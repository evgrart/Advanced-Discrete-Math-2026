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38761D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right" vertical="center" wrapText="1"/>
    </xf>
    <xf numFmtId="49" fontId="0" fillId="8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6"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6" t="inlineStr">
        <is>
          <t>4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7</t>
        </is>
      </c>
      <c r="L3" s="6" t="inlineStr">
        <is>
          <t>8</t>
        </is>
      </c>
      <c r="M3" s="6" t="inlineStr">
        <is>
          <t>9</t>
        </is>
      </c>
      <c r="N3" s="6" t="inlineStr">
        <is>
          <t>10</t>
        </is>
      </c>
      <c r="O3" s="6" t="inlineStr">
        <is>
          <t>11</t>
        </is>
      </c>
      <c r="P3" s="6" t="inlineStr">
        <is>
          <t>12</t>
        </is>
      </c>
      <c r="Q3" s="6" t="inlineStr">
        <is>
          <t>13</t>
        </is>
      </c>
      <c r="R3" s="6" t="inlineStr">
        <is>
          <t>14</t>
        </is>
      </c>
      <c r="S3" s="6" t="inlineStr">
        <is>
          <t>15</t>
        </is>
      </c>
      <c r="T3" s="6" t="inlineStr">
        <is>
          <t>16</t>
        </is>
      </c>
      <c r="U3" s="6" t="inlineStr">
        <is>
          <t>17</t>
        </is>
      </c>
      <c r="V3" s="6" t="inlineStr">
        <is>
          <t>18</t>
        </is>
      </c>
      <c r="W3" s="6" t="inlineStr">
        <is>
          <t>19</t>
        </is>
      </c>
      <c r="X3" s="6" t="inlineStr">
        <is>
          <t>20</t>
        </is>
      </c>
      <c r="Y3" s="6" t="inlineStr">
        <is>
          <t>21</t>
        </is>
      </c>
      <c r="Z3" s="6" t="inlineStr">
        <is>
          <t>22</t>
        </is>
      </c>
      <c r="AA3" s="6" t="inlineStr">
        <is>
          <t>23</t>
        </is>
      </c>
      <c r="AB3" s="6" t="inlineStr">
        <is>
          <t>24</t>
        </is>
      </c>
      <c r="AC3" s="6" t="inlineStr">
        <is>
          <t>25</t>
        </is>
      </c>
      <c r="AD3" s="6" t="inlineStr">
        <is>
          <t>26</t>
        </is>
      </c>
      <c r="AE3" s="6" t="inlineStr">
        <is>
          <t>27</t>
        </is>
      </c>
      <c r="AF3" s="6" t="inlineStr">
        <is>
          <t>28</t>
        </is>
      </c>
      <c r="AG3" s="6" t="inlineStr">
        <is>
          <t>29</t>
        </is>
      </c>
      <c r="AH3" s="6" t="inlineStr">
        <is>
          <t>30</t>
        </is>
      </c>
    </row>
    <row r="4">
      <c r="A4" s="7" t="inlineStr">
        <is>
          <t>Студент1.1</t>
        </is>
      </c>
      <c r="B4" s="8">
        <f>IF(A4="","",COUNTIF(E4:AH4,"+")+COUNTIF(E4:AH4,"1"))</f>
        <v/>
      </c>
      <c r="C4" s="8">
        <f>IF(A4="","",IF(B4&gt;2*COUNTA(E$3:AH$3)/3,1,IF(B4&gt;=COUNTA(E$3:AH$3)/2,0.8,0.5)))</f>
        <v/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>
      <c r="A5" s="7" t="inlineStr">
        <is>
          <t>Студент1.2</t>
        </is>
      </c>
      <c r="B5" s="8">
        <f>IF(A5="","",COUNTIF(E5:AH5,"+")+COUNTIF(E5:AH5,"1"))</f>
        <v/>
      </c>
      <c r="C5" s="8">
        <f>IF(A5="","",IF(B5&gt;2*COUNTA(E$3:AH$3)/3,1,IF(B5&gt;=COUNTA(E$3:AH$3)/2,0.8,0.5)))</f>
        <v/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>
      <c r="A6" s="7" t="inlineStr">
        <is>
          <t>Студент1.3</t>
        </is>
      </c>
      <c r="B6" s="8">
        <f>IF(A6="","",COUNTIF(E6:AH6,"+")+COUNTIF(E6:AH6,"1"))</f>
        <v/>
      </c>
      <c r="C6" s="8">
        <f>IF(A6="","",IF(B6&gt;2*COUNTA(E$3:AH$3)/3,1,IF(B6&gt;=COUNTA(E$3:AH$3)/2,0.8,0.5)))</f>
        <v/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>
      <c r="A7" s="7" t="inlineStr">
        <is>
          <t>Студент1.4</t>
        </is>
      </c>
      <c r="B7" s="8">
        <f>IF(A7="","",COUNTIF(E7:AH7,"+")+COUNTIF(E7:AH7,"1"))</f>
        <v/>
      </c>
      <c r="C7" s="8">
        <f>IF(A7="","",IF(B7&gt;2*COUNTA(E$3:AH$3)/3,1,IF(B7&gt;=COUNTA(E$3:AH$3)/2,0.8,0.5)))</f>
        <v/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>
      <c r="A8" s="7" t="inlineStr">
        <is>
          <t>Студент1.5</t>
        </is>
      </c>
      <c r="B8" s="8">
        <f>IF(A8="","",COUNTIF(E8:AH8,"+")+COUNTIF(E8:AH8,"1"))</f>
        <v/>
      </c>
      <c r="C8" s="8">
        <f>IF(A8="","",IF(B8&gt;2*COUNTA(E$3:AH$3)/3,1,IF(B8&gt;=COUNTA(E$3:AH$3)/2,0.8,0.5)))</f>
        <v/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>
      <c r="A9" s="7" t="inlineStr">
        <is>
          <t>Студент1.6</t>
        </is>
      </c>
      <c r="B9" s="8">
        <f>IF(A9="","",COUNTIF(E9:AH9,"+")+COUNTIF(E9:AH9,"1"))</f>
        <v/>
      </c>
      <c r="C9" s="8">
        <f>IF(A9="","",IF(B9&gt;2*COUNTA(E$3:AH$3)/3,1,IF(B9&gt;=COUNTA(E$3:AH$3)/2,0.8,0.5)))</f>
        <v/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>
      <c r="A10" s="7" t="inlineStr">
        <is>
          <t>Студент1.7</t>
        </is>
      </c>
      <c r="B10" s="8">
        <f>IF(A10="","",COUNTIF(E10:AH10,"+")+COUNTIF(E10:AH10,"1"))</f>
        <v/>
      </c>
      <c r="C10" s="8">
        <f>IF(A10="","",IF(B10&gt;2*COUNTA(E$3:AH$3)/3,1,IF(B10&gt;=COUNTA(E$3:AH$3)/2,0.8,0.5)))</f>
        <v/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>
      <c r="A11" s="7" t="inlineStr">
        <is>
          <t>Студент1.8</t>
        </is>
      </c>
      <c r="B11" s="8">
        <f>IF(A11="","",COUNTIF(E11:AH11,"+")+COUNTIF(E11:AH11,"1"))</f>
        <v/>
      </c>
      <c r="C11" s="8">
        <f>IF(A11="","",IF(B11&gt;2*COUNTA(E$3:AH$3)/3,1,IF(B11&gt;=COUNTA(E$3:AH$3)/2,0.8,0.5)))</f>
        <v/>
      </c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>
      <c r="A12" s="7" t="inlineStr">
        <is>
          <t>Студент1.9</t>
        </is>
      </c>
      <c r="B12" s="8">
        <f>IF(A12="","",COUNTIF(E12:AH12,"+")+COUNTIF(E12:AH12,"1"))</f>
        <v/>
      </c>
      <c r="C12" s="8">
        <f>IF(A12="","",IF(B12&gt;2*COUNTA(E$3:AH$3)/3,1,IF(B12&gt;=COUNTA(E$3:AH$3)/2,0.8,0.5)))</f>
        <v/>
      </c>
      <c r="D12" s="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7" t="inlineStr">
        <is>
          <t>Студент1.10</t>
        </is>
      </c>
      <c r="B13" s="8">
        <f>IF(A13="","",COUNTIF(E13:AH13,"+")+COUNTIF(E13:AH13,"1"))</f>
        <v/>
      </c>
      <c r="C13" s="8">
        <f>IF(A13="","",IF(B13&gt;2*COUNTA(E$3:AH$3)/3,1,IF(B13&gt;=COUNTA(E$3:AH$3)/2,0.8,0.5)))</f>
        <v/>
      </c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7" t="inlineStr">
        <is>
          <t>Студент1.11</t>
        </is>
      </c>
      <c r="B14" s="8">
        <f>IF(A14="","",COUNTIF(E14:AH14,"+")+COUNTIF(E14:AH14,"1"))</f>
        <v/>
      </c>
      <c r="C14" s="8">
        <f>IF(A14="","",IF(B14&gt;2*COUNTA(E$3:AH$3)/3,1,IF(B14&gt;=COUNTA(E$3:AH$3)/2,0.8,0.5)))</f>
        <v/>
      </c>
      <c r="D14" s="8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>
      <c r="A15" s="7" t="inlineStr">
        <is>
          <t>Студент1.12</t>
        </is>
      </c>
      <c r="B15" s="8">
        <f>IF(A15="","",COUNTIF(E15:AH15,"+")+COUNTIF(E15:AH15,"1"))</f>
        <v/>
      </c>
      <c r="C15" s="8">
        <f>IF(A15="","",IF(B15&gt;2*COUNTA(E$3:AH$3)/3,1,IF(B15&gt;=COUNTA(E$3:AH$3)/2,0.8,0.5)))</f>
        <v/>
      </c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>
      <c r="A16" s="7" t="inlineStr">
        <is>
          <t>Студент1.13</t>
        </is>
      </c>
      <c r="B16" s="8">
        <f>IF(A16="","",COUNTIF(E16:AH16,"+")+COUNTIF(E16:AH16,"1"))</f>
        <v/>
      </c>
      <c r="C16" s="8">
        <f>IF(A16="","",IF(B16&gt;2*COUNTA(E$3:AH$3)/3,1,IF(B16&gt;=COUNTA(E$3:AH$3)/2,0.8,0.5)))</f>
        <v/>
      </c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>
      <c r="A17" s="7" t="inlineStr">
        <is>
          <t>Студент1.14</t>
        </is>
      </c>
      <c r="B17" s="8">
        <f>IF(A17="","",COUNTIF(E17:AH17,"+")+COUNTIF(E17:AH17,"1"))</f>
        <v/>
      </c>
      <c r="C17" s="8">
        <f>IF(A17="","",IF(B17&gt;2*COUNTA(E$3:AH$3)/3,1,IF(B17&gt;=COUNTA(E$3:AH$3)/2,0.8,0.5)))</f>
        <v/>
      </c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>
      <c r="A18" s="7" t="inlineStr">
        <is>
          <t>Студент1.15</t>
        </is>
      </c>
      <c r="B18" s="8">
        <f>IF(A18="","",COUNTIF(E18:AH18,"+")+COUNTIF(E18:AH18,"1"))</f>
        <v/>
      </c>
      <c r="C18" s="8">
        <f>IF(A18="","",IF(B18&gt;2*COUNTA(E$3:AH$3)/3,1,IF(B18&gt;=COUNTA(E$3:AH$3)/2,0.8,0.5)))</f>
        <v/>
      </c>
      <c r="D18" s="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>
      <c r="A19" s="7" t="inlineStr">
        <is>
          <t>Студент1.16</t>
        </is>
      </c>
      <c r="B19" s="8">
        <f>IF(A19="","",COUNTIF(E19:AH19,"+")+COUNTIF(E19:AH19,"1"))</f>
        <v/>
      </c>
      <c r="C19" s="8">
        <f>IF(A19="","",IF(B19&gt;2*COUNTA(E$3:AH$3)/3,1,IF(B19&gt;=COUNTA(E$3:AH$3)/2,0.8,0.5)))</f>
        <v/>
      </c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>
      <c r="A20" s="7" t="inlineStr">
        <is>
          <t>Студент1.17</t>
        </is>
      </c>
      <c r="B20" s="8">
        <f>IF(A20="","",COUNTIF(E20:AH20,"+")+COUNTIF(E20:AH20,"1"))</f>
        <v/>
      </c>
      <c r="C20" s="8">
        <f>IF(A20="","",IF(B20&gt;2*COUNTA(E$3:AH$3)/3,1,IF(B20&gt;=COUNTA(E$3:AH$3)/2,0.8,0.5)))</f>
        <v/>
      </c>
      <c r="D20" s="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</row>
    <row r="21">
      <c r="A21" s="7" t="inlineStr">
        <is>
          <t>Студент1.18</t>
        </is>
      </c>
      <c r="B21" s="8">
        <f>IF(A21="","",COUNTIF(E21:AH21,"+")+COUNTIF(E21:AH21,"1"))</f>
        <v/>
      </c>
      <c r="C21" s="8">
        <f>IF(A21="","",IF(B21&gt;2*COUNTA(E$3:AH$3)/3,1,IF(B21&gt;=COUNTA(E$3:AH$3)/2,0.8,0.5)))</f>
        <v/>
      </c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>
      <c r="A22" s="7" t="inlineStr">
        <is>
          <t>Студент1.19</t>
        </is>
      </c>
      <c r="B22" s="8">
        <f>IF(A22="","",COUNTIF(E22:AH22,"+")+COUNTIF(E22:AH22,"1"))</f>
        <v/>
      </c>
      <c r="C22" s="8">
        <f>IF(A22="","",IF(B22&gt;2*COUNTA(E$3:AH$3)/3,1,IF(B22&gt;=COUNTA(E$3:AH$3)/2,0.8,0.5)))</f>
        <v/>
      </c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>
      <c r="A23" s="7" t="inlineStr">
        <is>
          <t>Студент1.20</t>
        </is>
      </c>
      <c r="B23" s="8">
        <f>IF(A23="","",COUNTIF(E23:AH23,"+")+COUNTIF(E23:AH23,"1"))</f>
        <v/>
      </c>
      <c r="C23" s="8">
        <f>IF(A23="","",IF(B23&gt;2*COUNTA(E$3:AH$3)/3,1,IF(B23&gt;=COUNTA(E$3:AH$3)/2,0.8,0.5)))</f>
        <v/>
      </c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>
      <c r="A24" s="7" t="inlineStr">
        <is>
          <t>Студент1.21</t>
        </is>
      </c>
      <c r="B24" s="8">
        <f>IF(A24="","",COUNTIF(E24:AH24,"+")+COUNTIF(E24:AH24,"1"))</f>
        <v/>
      </c>
      <c r="C24" s="8">
        <f>IF(A24="","",IF(B24&gt;2*COUNTA(E$3:AH$3)/3,1,IF(B24&gt;=COUNTA(E$3:AH$3)/2,0.8,0.5)))</f>
        <v/>
      </c>
      <c r="D24" s="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>
      <c r="A25" s="7" t="inlineStr">
        <is>
          <t>Студент1.22</t>
        </is>
      </c>
      <c r="B25" s="8">
        <f>IF(A25="","",COUNTIF(E25:AH25,"+")+COUNTIF(E25:AH25,"1"))</f>
        <v/>
      </c>
      <c r="C25" s="8">
        <f>IF(A25="","",IF(B25&gt;2*COUNTA(E$3:AH$3)/3,1,IF(B25&gt;=COUNTA(E$3:AH$3)/2,0.8,0.5)))</f>
        <v/>
      </c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>
      <c r="A26" s="7" t="inlineStr">
        <is>
          <t>Студент1.23</t>
        </is>
      </c>
      <c r="B26" s="8">
        <f>IF(A26="","",COUNTIF(E26:AH26,"+")+COUNTIF(E26:AH26,"1"))</f>
        <v/>
      </c>
      <c r="C26" s="8">
        <f>IF(A26="","",IF(B26&gt;2*COUNTA(E$3:AH$3)/3,1,IF(B26&gt;=COUNTA(E$3:AH$3)/2,0.8,0.5)))</f>
        <v/>
      </c>
      <c r="D26" s="8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>
      <c r="A27" s="7" t="inlineStr">
        <is>
          <t>Студент1.24</t>
        </is>
      </c>
      <c r="B27" s="8">
        <f>IF(A27="","",COUNTIF(E27:AH27,"+")+COUNTIF(E27:AH27,"1"))</f>
        <v/>
      </c>
      <c r="C27" s="8">
        <f>IF(A27="","",IF(B27&gt;2*COUNTA(E$3:AH$3)/3,1,IF(B27&gt;=COUNTA(E$3:AH$3)/2,0.8,0.5)))</f>
        <v/>
      </c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>
      <c r="A28" s="7" t="inlineStr">
        <is>
          <t>Студент1.25</t>
        </is>
      </c>
      <c r="B28" s="8">
        <f>IF(A28="","",COUNTIF(E28:AH28,"+")+COUNTIF(E28:AH28,"1"))</f>
        <v/>
      </c>
      <c r="C28" s="8">
        <f>IF(A28="","",IF(B28&gt;2*COUNTA(E$3:AH$3)/3,1,IF(B28&gt;=COUNTA(E$3:AH$3)/2,0.8,0.5)))</f>
        <v/>
      </c>
      <c r="D28" s="8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>
      <c r="A29" s="7" t="inlineStr">
        <is>
          <t>Студент1.26</t>
        </is>
      </c>
      <c r="B29" s="8">
        <f>IF(A29="","",COUNTIF(E29:AH29,"+")+COUNTIF(E29:AH29,"1"))</f>
        <v/>
      </c>
      <c r="C29" s="8">
        <f>IF(A29="","",IF(B29&gt;2*COUNTA(E$3:AH$3)/3,1,IF(B29&gt;=COUNTA(E$3:AH$3)/2,0.8,0.5)))</f>
        <v/>
      </c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>
      <c r="A30" s="7" t="inlineStr">
        <is>
          <t>Студент1.27</t>
        </is>
      </c>
      <c r="B30" s="8">
        <f>IF(A30="","",COUNTIF(E30:AH30,"+")+COUNTIF(E30:AH30,"1"))</f>
        <v/>
      </c>
      <c r="C30" s="8">
        <f>IF(A30="","",IF(B30&gt;2*COUNTA(E$3:AH$3)/3,1,IF(B30&gt;=COUNTA(E$3:AH$3)/2,0.8,0.5)))</f>
        <v/>
      </c>
      <c r="D30" s="8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>
      <c r="A31" s="7" t="inlineStr">
        <is>
          <t>Студент1.28</t>
        </is>
      </c>
      <c r="B31" s="8">
        <f>IF(A31="","",COUNTIF(E31:AH31,"+")+COUNTIF(E31:AH31,"1"))</f>
        <v/>
      </c>
      <c r="C31" s="8">
        <f>IF(A31="","",IF(B31&gt;2*COUNTA(E$3:AH$3)/3,1,IF(B31&gt;=COUNTA(E$3:AH$3)/2,0.8,0.5)))</f>
        <v/>
      </c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>
      <c r="A32" s="7" t="inlineStr">
        <is>
          <t>Студент1.29</t>
        </is>
      </c>
      <c r="B32" s="8">
        <f>IF(A32="","",COUNTIF(E32:AH32,"+")+COUNTIF(E32:AH32,"1"))</f>
        <v/>
      </c>
      <c r="C32" s="8">
        <f>IF(A32="","",IF(B32&gt;2*COUNTA(E$3:AH$3)/3,1,IF(B32&gt;=COUNTA(E$3:AH$3)/2,0.8,0.5)))</f>
        <v/>
      </c>
      <c r="D32" s="8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>
      <c r="A33" s="7" t="inlineStr">
        <is>
          <t>Студент1.30</t>
        </is>
      </c>
      <c r="B33" s="8">
        <f>IF(A33="","",COUNTIF(E33:AH33,"+")+COUNTIF(E33:AH33,"1"))</f>
        <v/>
      </c>
      <c r="C33" s="8">
        <f>IF(A33="","",IF(B33&gt;2*COUNTA(E$3:AH$3)/3,1,IF(B33&gt;=COUNTA(E$3:AH$3)/2,0.8,0.5)))</f>
        <v/>
      </c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</sheetData>
  <mergeCells count="1">
    <mergeCell ref="A1:AI1"/>
  </mergeCells>
  <conditionalFormatting sqref="E4:AH33">
    <cfRule type="expression" priority="1" dxfId="0">
      <formula>E4="+"</formula>
    </cfRule>
    <cfRule type="expression" priority="2" dxfId="1">
      <formula>E4="1"</formula>
    </cfRule>
    <cfRule type="expression" priority="3" dxfId="2">
      <formula>E4="-"</formula>
    </cfRule>
  </conditionalFormatting>
  <conditionalFormatting sqref="B4:B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2026-08-22T15:10:31Z</dcterms:created>
  <dcterms:modified xsi:type="dcterms:W3CDTF">2026-08-22T15:10:33Z</dcterms:modified>
</cp:coreProperties>
</file>