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</fonts>
  <fills count="11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FFFFF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49" fontId="0" fillId="9" borderId="2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TG</t>
        </is>
      </c>
      <c r="C3" s="4" t="inlineStr">
        <is>
          <t>S</t>
        </is>
      </c>
      <c r="D3" s="5" t="inlineStr">
        <is>
          <t>Коэффициент</t>
        </is>
      </c>
      <c r="E3" s="6" t="inlineStr">
        <is>
          <t>D за практику</t>
        </is>
      </c>
      <c r="F3" s="7" t="inlineStr">
        <is>
          <t>1</t>
        </is>
      </c>
      <c r="G3" s="7" t="inlineStr">
        <is>
          <t>2</t>
        </is>
      </c>
      <c r="H3" s="7" t="inlineStr">
        <is>
          <t>3</t>
        </is>
      </c>
      <c r="I3" s="7" t="inlineStr">
        <is>
          <t>4</t>
        </is>
      </c>
      <c r="J3" s="7" t="inlineStr">
        <is>
          <t>5</t>
        </is>
      </c>
      <c r="K3" s="7" t="inlineStr">
        <is>
          <t>6</t>
        </is>
      </c>
      <c r="L3" s="7" t="inlineStr">
        <is>
          <t>7</t>
        </is>
      </c>
      <c r="M3" s="7" t="inlineStr">
        <is>
          <t>8</t>
        </is>
      </c>
      <c r="N3" s="7" t="inlineStr">
        <is>
          <t>9</t>
        </is>
      </c>
      <c r="O3" s="7" t="inlineStr">
        <is>
          <t>10</t>
        </is>
      </c>
      <c r="P3" s="7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7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7" t="inlineStr">
        <is>
          <t>21</t>
        </is>
      </c>
      <c r="AA3" s="7" t="inlineStr">
        <is>
          <t>22</t>
        </is>
      </c>
      <c r="AB3" s="7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7" t="inlineStr">
        <is>
          <t>26</t>
        </is>
      </c>
      <c r="AF3" s="7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</row>
    <row r="4">
      <c r="A4" s="8" t="inlineStr">
        <is>
          <t>Студент1.1</t>
        </is>
      </c>
      <c r="B4" s="8" t="inlineStr"/>
      <c r="C4" s="8">
        <f>IF(A4="","",COUNTIF(F4:AI4,"+")+COUNTIF(F4:AI4,"1"))</f>
        <v/>
      </c>
      <c r="D4" s="8">
        <f>IF(A4="","",IF(C4&gt;2*COUNTA(F$3:AI$3)/3,1,IF(C4&gt;=COUNTA(F$3:AI$3)/2,0.8,0.5)))</f>
        <v/>
      </c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8" t="inlineStr">
        <is>
          <t>Студент1.2</t>
        </is>
      </c>
      <c r="B5" s="8" t="inlineStr"/>
      <c r="C5" s="8">
        <f>IF(A5="","",COUNTIF(F5:AI5,"+")+COUNTIF(F5:AI5,"1"))</f>
        <v/>
      </c>
      <c r="D5" s="8">
        <f>IF(A5="","",IF(C5&gt;2*COUNTA(F$3:AI$3)/3,1,IF(C5&gt;=COUNTA(F$3:AI$3)/2,0.8,0.5)))</f>
        <v/>
      </c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8" t="inlineStr">
        <is>
          <t>Студент1.3</t>
        </is>
      </c>
      <c r="B6" s="8" t="inlineStr"/>
      <c r="C6" s="8">
        <f>IF(A6="","",COUNTIF(F6:AI6,"+")+COUNTIF(F6:AI6,"1"))</f>
        <v/>
      </c>
      <c r="D6" s="8">
        <f>IF(A6="","",IF(C6&gt;2*COUNTA(F$3:AI$3)/3,1,IF(C6&gt;=COUNTA(F$3:AI$3)/2,0.8,0.5)))</f>
        <v/>
      </c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8" t="inlineStr">
        <is>
          <t>Студент1.4</t>
        </is>
      </c>
      <c r="B7" s="8" t="inlineStr"/>
      <c r="C7" s="8">
        <f>IF(A7="","",COUNTIF(F7:AI7,"+")+COUNTIF(F7:AI7,"1"))</f>
        <v/>
      </c>
      <c r="D7" s="8">
        <f>IF(A7="","",IF(C7&gt;2*COUNTA(F$3:AI$3)/3,1,IF(C7&gt;=COUNTA(F$3:AI$3)/2,0.8,0.5)))</f>
        <v/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8" t="inlineStr">
        <is>
          <t>Студент1.5</t>
        </is>
      </c>
      <c r="B8" s="8" t="inlineStr"/>
      <c r="C8" s="8">
        <f>IF(A8="","",COUNTIF(F8:AI8,"+")+COUNTIF(F8:AI8,"1"))</f>
        <v/>
      </c>
      <c r="D8" s="8">
        <f>IF(A8="","",IF(C8&gt;2*COUNTA(F$3:AI$3)/3,1,IF(C8&gt;=COUNTA(F$3:AI$3)/2,0.8,0.5)))</f>
        <v/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8" t="inlineStr">
        <is>
          <t>Студент1.6</t>
        </is>
      </c>
      <c r="B9" s="8" t="inlineStr"/>
      <c r="C9" s="8">
        <f>IF(A9="","",COUNTIF(F9:AI9,"+")+COUNTIF(F9:AI9,"1"))</f>
        <v/>
      </c>
      <c r="D9" s="8">
        <f>IF(A9="","",IF(C9&gt;2*COUNTA(F$3:AI$3)/3,1,IF(C9&gt;=COUNTA(F$3:AI$3)/2,0.8,0.5)))</f>
        <v/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8" t="inlineStr">
        <is>
          <t>Студент1.7</t>
        </is>
      </c>
      <c r="B10" s="8" t="inlineStr"/>
      <c r="C10" s="8">
        <f>IF(A10="","",COUNTIF(F10:AI10,"+")+COUNTIF(F10:AI10,"1"))</f>
        <v/>
      </c>
      <c r="D10" s="8">
        <f>IF(A10="","",IF(C10&gt;2*COUNTA(F$3:AI$3)/3,1,IF(C10&gt;=COUNTA(F$3:AI$3)/2,0.8,0.5)))</f>
        <v/>
      </c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8" t="inlineStr">
        <is>
          <t>Студент1.8</t>
        </is>
      </c>
      <c r="B11" s="8" t="inlineStr"/>
      <c r="C11" s="8">
        <f>IF(A11="","",COUNTIF(F11:AI11,"+")+COUNTIF(F11:AI11,"1"))</f>
        <v/>
      </c>
      <c r="D11" s="8">
        <f>IF(A11="","",IF(C11&gt;2*COUNTA(F$3:AI$3)/3,1,IF(C11&gt;=COUNTA(F$3:AI$3)/2,0.8,0.5)))</f>
        <v/>
      </c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8" t="inlineStr">
        <is>
          <t>Студент1.9</t>
        </is>
      </c>
      <c r="B12" s="8" t="inlineStr"/>
      <c r="C12" s="8">
        <f>IF(A12="","",COUNTIF(F12:AI12,"+")+COUNTIF(F12:AI12,"1"))</f>
        <v/>
      </c>
      <c r="D12" s="8">
        <f>IF(A12="","",IF(C12&gt;2*COUNTA(F$3:AI$3)/3,1,IF(C12&gt;=COUNTA(F$3:AI$3)/2,0.8,0.5)))</f>
        <v/>
      </c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8" t="inlineStr">
        <is>
          <t>Студент1.10</t>
        </is>
      </c>
      <c r="B13" s="8" t="inlineStr"/>
      <c r="C13" s="8">
        <f>IF(A13="","",COUNTIF(F13:AI13,"+")+COUNTIF(F13:AI13,"1"))</f>
        <v/>
      </c>
      <c r="D13" s="8">
        <f>IF(A13="","",IF(C13&gt;2*COUNTA(F$3:AI$3)/3,1,IF(C13&gt;=COUNTA(F$3:AI$3)/2,0.8,0.5)))</f>
        <v/>
      </c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8" t="inlineStr">
        <is>
          <t>Студент1.11</t>
        </is>
      </c>
      <c r="B14" s="8" t="inlineStr"/>
      <c r="C14" s="8">
        <f>IF(A14="","",COUNTIF(F14:AI14,"+")+COUNTIF(F14:AI14,"1"))</f>
        <v/>
      </c>
      <c r="D14" s="8">
        <f>IF(A14="","",IF(C14&gt;2*COUNTA(F$3:AI$3)/3,1,IF(C14&gt;=COUNTA(F$3:AI$3)/2,0.8,0.5)))</f>
        <v/>
      </c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8" t="inlineStr">
        <is>
          <t>Студент1.12</t>
        </is>
      </c>
      <c r="B15" s="8" t="inlineStr"/>
      <c r="C15" s="8">
        <f>IF(A15="","",COUNTIF(F15:AI15,"+")+COUNTIF(F15:AI15,"1"))</f>
        <v/>
      </c>
      <c r="D15" s="8">
        <f>IF(A15="","",IF(C15&gt;2*COUNTA(F$3:AI$3)/3,1,IF(C15&gt;=COUNTA(F$3:AI$3)/2,0.8,0.5)))</f>
        <v/>
      </c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8" t="inlineStr">
        <is>
          <t>Студент1.13</t>
        </is>
      </c>
      <c r="B16" s="8" t="inlineStr"/>
      <c r="C16" s="8">
        <f>IF(A16="","",COUNTIF(F16:AI16,"+")+COUNTIF(F16:AI16,"1"))</f>
        <v/>
      </c>
      <c r="D16" s="8">
        <f>IF(A16="","",IF(C16&gt;2*COUNTA(F$3:AI$3)/3,1,IF(C16&gt;=COUNTA(F$3:AI$3)/2,0.8,0.5)))</f>
        <v/>
      </c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8" t="inlineStr">
        <is>
          <t>Студент1.14</t>
        </is>
      </c>
      <c r="B17" s="8" t="inlineStr"/>
      <c r="C17" s="8">
        <f>IF(A17="","",COUNTIF(F17:AI17,"+")+COUNTIF(F17:AI17,"1"))</f>
        <v/>
      </c>
      <c r="D17" s="8">
        <f>IF(A17="","",IF(C17&gt;2*COUNTA(F$3:AI$3)/3,1,IF(C17&gt;=COUNTA(F$3:AI$3)/2,0.8,0.5)))</f>
        <v/>
      </c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8" t="inlineStr">
        <is>
          <t>Студент1.15</t>
        </is>
      </c>
      <c r="B18" s="8" t="inlineStr"/>
      <c r="C18" s="8">
        <f>IF(A18="","",COUNTIF(F18:AI18,"+")+COUNTIF(F18:AI18,"1"))</f>
        <v/>
      </c>
      <c r="D18" s="8">
        <f>IF(A18="","",IF(C18&gt;2*COUNTA(F$3:AI$3)/3,1,IF(C18&gt;=COUNTA(F$3:AI$3)/2,0.8,0.5)))</f>
        <v/>
      </c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8" t="inlineStr">
        <is>
          <t>Студент1.16</t>
        </is>
      </c>
      <c r="B19" s="8" t="inlineStr"/>
      <c r="C19" s="8">
        <f>IF(A19="","",COUNTIF(F19:AI19,"+")+COUNTIF(F19:AI19,"1"))</f>
        <v/>
      </c>
      <c r="D19" s="8">
        <f>IF(A19="","",IF(C19&gt;2*COUNTA(F$3:AI$3)/3,1,IF(C19&gt;=COUNTA(F$3:AI$3)/2,0.8,0.5)))</f>
        <v/>
      </c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8" t="inlineStr">
        <is>
          <t>Студент1.17</t>
        </is>
      </c>
      <c r="B20" s="8" t="inlineStr"/>
      <c r="C20" s="8">
        <f>IF(A20="","",COUNTIF(F20:AI20,"+")+COUNTIF(F20:AI20,"1"))</f>
        <v/>
      </c>
      <c r="D20" s="8">
        <f>IF(A20="","",IF(C20&gt;2*COUNTA(F$3:AI$3)/3,1,IF(C20&gt;=COUNTA(F$3:AI$3)/2,0.8,0.5)))</f>
        <v/>
      </c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8" t="inlineStr">
        <is>
          <t>Студент1.18</t>
        </is>
      </c>
      <c r="B21" s="8" t="inlineStr"/>
      <c r="C21" s="8">
        <f>IF(A21="","",COUNTIF(F21:AI21,"+")+COUNTIF(F21:AI21,"1"))</f>
        <v/>
      </c>
      <c r="D21" s="8">
        <f>IF(A21="","",IF(C21&gt;2*COUNTA(F$3:AI$3)/3,1,IF(C21&gt;=COUNTA(F$3:AI$3)/2,0.8,0.5)))</f>
        <v/>
      </c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8" t="inlineStr">
        <is>
          <t>Студент1.19</t>
        </is>
      </c>
      <c r="B22" s="8" t="inlineStr"/>
      <c r="C22" s="8">
        <f>IF(A22="","",COUNTIF(F22:AI22,"+")+COUNTIF(F22:AI22,"1"))</f>
        <v/>
      </c>
      <c r="D22" s="8">
        <f>IF(A22="","",IF(C22&gt;2*COUNTA(F$3:AI$3)/3,1,IF(C22&gt;=COUNTA(F$3:AI$3)/2,0.8,0.5)))</f>
        <v/>
      </c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8" t="inlineStr">
        <is>
          <t>Студент1.20</t>
        </is>
      </c>
      <c r="B23" s="8" t="inlineStr"/>
      <c r="C23" s="8">
        <f>IF(A23="","",COUNTIF(F23:AI23,"+")+COUNTIF(F23:AI23,"1"))</f>
        <v/>
      </c>
      <c r="D23" s="8">
        <f>IF(A23="","",IF(C23&gt;2*COUNTA(F$3:AI$3)/3,1,IF(C23&gt;=COUNTA(F$3:AI$3)/2,0.8,0.5)))</f>
        <v/>
      </c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8" t="inlineStr">
        <is>
          <t>Студент1.21</t>
        </is>
      </c>
      <c r="B24" s="8" t="inlineStr"/>
      <c r="C24" s="8">
        <f>IF(A24="","",COUNTIF(F24:AI24,"+")+COUNTIF(F24:AI24,"1"))</f>
        <v/>
      </c>
      <c r="D24" s="8">
        <f>IF(A24="","",IF(C24&gt;2*COUNTA(F$3:AI$3)/3,1,IF(C24&gt;=COUNTA(F$3:AI$3)/2,0.8,0.5)))</f>
        <v/>
      </c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8" t="inlineStr">
        <is>
          <t>Студент1.22</t>
        </is>
      </c>
      <c r="B25" s="8" t="inlineStr"/>
      <c r="C25" s="8">
        <f>IF(A25="","",COUNTIF(F25:AI25,"+")+COUNTIF(F25:AI25,"1"))</f>
        <v/>
      </c>
      <c r="D25" s="8">
        <f>IF(A25="","",IF(C25&gt;2*COUNTA(F$3:AI$3)/3,1,IF(C25&gt;=COUNTA(F$3:AI$3)/2,0.8,0.5)))</f>
        <v/>
      </c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8" t="inlineStr">
        <is>
          <t>Студент1.23</t>
        </is>
      </c>
      <c r="B26" s="8" t="inlineStr"/>
      <c r="C26" s="8">
        <f>IF(A26="","",COUNTIF(F26:AI26,"+")+COUNTIF(F26:AI26,"1"))</f>
        <v/>
      </c>
      <c r="D26" s="8">
        <f>IF(A26="","",IF(C26&gt;2*COUNTA(F$3:AI$3)/3,1,IF(C26&gt;=COUNTA(F$3:AI$3)/2,0.8,0.5)))</f>
        <v/>
      </c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8" t="inlineStr">
        <is>
          <t>Студент1.24</t>
        </is>
      </c>
      <c r="B27" s="8" t="inlineStr"/>
      <c r="C27" s="8">
        <f>IF(A27="","",COUNTIF(F27:AI27,"+")+COUNTIF(F27:AI27,"1"))</f>
        <v/>
      </c>
      <c r="D27" s="8">
        <f>IF(A27="","",IF(C27&gt;2*COUNTA(F$3:AI$3)/3,1,IF(C27&gt;=COUNTA(F$3:AI$3)/2,0.8,0.5)))</f>
        <v/>
      </c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8" t="inlineStr">
        <is>
          <t>Студент1.25</t>
        </is>
      </c>
      <c r="B28" s="8" t="inlineStr"/>
      <c r="C28" s="8">
        <f>IF(A28="","",COUNTIF(F28:AI28,"+")+COUNTIF(F28:AI28,"1"))</f>
        <v/>
      </c>
      <c r="D28" s="8">
        <f>IF(A28="","",IF(C28&gt;2*COUNTA(F$3:AI$3)/3,1,IF(C28&gt;=COUNTA(F$3:AI$3)/2,0.8,0.5)))</f>
        <v/>
      </c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8" t="inlineStr">
        <is>
          <t>Студент1.26</t>
        </is>
      </c>
      <c r="B29" s="8" t="inlineStr"/>
      <c r="C29" s="8">
        <f>IF(A29="","",COUNTIF(F29:AI29,"+")+COUNTIF(F29:AI29,"1"))</f>
        <v/>
      </c>
      <c r="D29" s="8">
        <f>IF(A29="","",IF(C29&gt;2*COUNTA(F$3:AI$3)/3,1,IF(C29&gt;=COUNTA(F$3:AI$3)/2,0.8,0.5)))</f>
        <v/>
      </c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8" t="inlineStr">
        <is>
          <t>Студент1.27</t>
        </is>
      </c>
      <c r="B30" s="8" t="inlineStr"/>
      <c r="C30" s="8">
        <f>IF(A30="","",COUNTIF(F30:AI30,"+")+COUNTIF(F30:AI30,"1"))</f>
        <v/>
      </c>
      <c r="D30" s="8">
        <f>IF(A30="","",IF(C30&gt;2*COUNTA(F$3:AI$3)/3,1,IF(C30&gt;=COUNTA(F$3:AI$3)/2,0.8,0.5)))</f>
        <v/>
      </c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8" t="inlineStr">
        <is>
          <t>Студент1.28</t>
        </is>
      </c>
      <c r="B31" s="8" t="inlineStr"/>
      <c r="C31" s="8">
        <f>IF(A31="","",COUNTIF(F31:AI31,"+")+COUNTIF(F31:AI31,"1"))</f>
        <v/>
      </c>
      <c r="D31" s="8">
        <f>IF(A31="","",IF(C31&gt;2*COUNTA(F$3:AI$3)/3,1,IF(C31&gt;=COUNTA(F$3:AI$3)/2,0.8,0.5)))</f>
        <v/>
      </c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8" t="inlineStr">
        <is>
          <t>Студент1.29</t>
        </is>
      </c>
      <c r="B32" s="8" t="inlineStr"/>
      <c r="C32" s="8">
        <f>IF(A32="","",COUNTIF(F32:AI32,"+")+COUNTIF(F32:AI32,"1"))</f>
        <v/>
      </c>
      <c r="D32" s="8">
        <f>IF(A32="","",IF(C32&gt;2*COUNTA(F$3:AI$3)/3,1,IF(C32&gt;=COUNTA(F$3:AI$3)/2,0.8,0.5)))</f>
        <v/>
      </c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8" t="inlineStr">
        <is>
          <t>Студент1.30</t>
        </is>
      </c>
      <c r="B33" s="8" t="inlineStr"/>
      <c r="C33" s="8">
        <f>IF(A33="","",COUNTIF(F33:AI33,"+")+COUNTIF(F33:AI33,"1"))</f>
        <v/>
      </c>
      <c r="D33" s="8">
        <f>IF(A33="","",IF(C33&gt;2*COUNTA(F$3:AI$3)/3,1,IF(C33&gt;=COUNTA(F$3:AI$3)/2,0.8,0.5)))</f>
        <v/>
      </c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2026-08-22T14:02:54Z</dcterms:created>
  <dcterms:modified xsi:type="dcterms:W3CDTF">2026-08-22T14:02:56Z</dcterms:modified>
</cp:coreProperties>
</file>