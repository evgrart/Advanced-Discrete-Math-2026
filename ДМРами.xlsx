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рактика 1" sheetId="1" state="visible" r:id="rId1"/>
    <sheet name="Практика 2" sheetId="2" state="visible" r:id="rId2"/>
    <sheet name="Практика 3" sheetId="3" state="visible" r:id="rId3"/>
    <sheet name="Практика 4" sheetId="4" state="visible" r:id="rId4"/>
    <sheet name="Практика 5" sheetId="5" state="visible" r:id="rId5"/>
    <sheet name="Практика 6" sheetId="6" state="visible" r:id="rId6"/>
    <sheet name="Практика 7" sheetId="7" state="visible" r:id="rId7"/>
    <sheet name="Практика 8" sheetId="8" state="visible" r:id="rId8"/>
    <sheet name="Практика 9" sheetId="9" state="visible" r:id="rId9"/>
    <sheet name="Практика 10" sheetId="10" state="visible" r:id="rId10"/>
    <sheet name="Практика 11" sheetId="11" state="visible" r:id="rId11"/>
    <sheet name="Практика 12" sheetId="12" state="visible" r:id="rId12"/>
    <sheet name="Практика 13" sheetId="13" state="visible" r:id="rId13"/>
    <sheet name="Практика 14" sheetId="14" state="visible" r:id="rId14"/>
    <sheet name="Практика 15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7365D"/>
      <sz val="14"/>
    </font>
    <font>
      <b val="1"/>
      <color rgb="00FFFFFF"/>
    </font>
    <font>
      <b val="1"/>
      <color rgb="00000000"/>
    </font>
  </fonts>
  <fills count="10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17365D"/>
      </patternFill>
    </fill>
    <fill>
      <patternFill patternType="solid">
        <fgColor rgb="00A9D18E"/>
      </patternFill>
    </fill>
    <fill>
      <patternFill patternType="solid">
        <fgColor rgb="00F4B183"/>
      </patternFill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FFFFFF"/>
      </patternFill>
    </fill>
    <fill>
      <patternFill patternType="solid">
        <fgColor rgb="0038761D"/>
      </patternFill>
    </fill>
  </fills>
  <borders count="3">
    <border>
      <left/>
      <right/>
      <top/>
      <bottom/>
      <diagonal/>
    </border>
    <border>
      <bottom style="medium">
        <color rgb="00FFFFFF"/>
      </bottom>
    </border>
    <border>
      <bottom style="thin">
        <color rgb="00D9E1F2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0" fillId="0" borderId="2" applyAlignment="1" pivotButton="0" quotePrefix="0" xfId="0">
      <alignment vertical="center" wrapText="1"/>
    </xf>
    <xf numFmtId="0" fontId="0" fillId="0" borderId="2" applyAlignment="1" pivotButton="0" quotePrefix="0" xfId="0">
      <alignment horizontal="right" vertical="center" wrapText="1"/>
    </xf>
    <xf numFmtId="49" fontId="0" fillId="8" borderId="2" applyAlignment="1" applyProtection="1" pivotButton="0" quotePrefix="0" xfId="0">
      <alignment horizontal="right" vertical="center" wrapText="1"/>
      <protection locked="0" hidden="0"/>
    </xf>
  </cellXfs>
  <cellStyles count="1">
    <cellStyle name="Normal" xfId="0" builtinId="0" hidden="0"/>
  </cellStyles>
  <dxfs count="6">
    <dxf>
      <font>
        <color rgb="00000000"/>
      </font>
      <fill>
        <patternFill patternType="solid">
          <fgColor rgb="00C6E0B4"/>
        </patternFill>
      </fill>
    </dxf>
    <dxf>
      <font>
        <color rgb="00FFFFFF"/>
      </font>
      <fill>
        <patternFill patternType="solid">
          <fgColor rgb="00548235"/>
        </patternFill>
      </fill>
    </dxf>
    <dxf>
      <font>
        <color rgb="00FFFFFF"/>
      </font>
      <fill>
        <patternFill patternType="solid">
          <fgColor rgb="00C00000"/>
        </patternFill>
      </fill>
    </dxf>
    <dxf>
      <fill>
        <patternFill patternType="solid">
          <fgColor rgb="0070AD47"/>
        </patternFill>
      </fill>
    </dxf>
    <dxf>
      <fill>
        <patternFill patternType="solid">
          <fgColor rgb="00A9D18E"/>
        </patternFill>
      </fill>
    </dxf>
    <dxf>
      <fill>
        <patternFill patternType="solid">
          <fgColor rgb="00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9" customWidth="1" min="2" max="2"/>
    <col width="14" customWidth="1" min="3" max="3"/>
    <col width="14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</cols>
  <sheetData>
    <row r="1" hidden="1">
      <c r="A1" s="1" t="inlineStr">
        <is>
          <t>Практика 1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S</t>
        </is>
      </c>
      <c r="C3" s="4" t="inlineStr">
        <is>
          <t>Коэффициент</t>
        </is>
      </c>
      <c r="D3" s="5" t="inlineStr">
        <is>
          <t>D за практику</t>
        </is>
      </c>
      <c r="E3" s="6" t="inlineStr">
        <is>
          <t>1</t>
        </is>
      </c>
      <c r="F3" s="6" t="inlineStr">
        <is>
          <t>2</t>
        </is>
      </c>
      <c r="G3" s="6" t="inlineStr">
        <is>
          <t>3</t>
        </is>
      </c>
      <c r="H3" s="6" t="inlineStr">
        <is>
          <t>4</t>
        </is>
      </c>
      <c r="I3" s="6" t="inlineStr">
        <is>
          <t>5</t>
        </is>
      </c>
      <c r="J3" s="6" t="inlineStr">
        <is>
          <t>6</t>
        </is>
      </c>
      <c r="K3" s="6" t="inlineStr">
        <is>
          <t>7</t>
        </is>
      </c>
      <c r="L3" s="6" t="inlineStr">
        <is>
          <t>8</t>
        </is>
      </c>
      <c r="M3" s="6" t="inlineStr">
        <is>
          <t>9</t>
        </is>
      </c>
      <c r="N3" s="6" t="inlineStr">
        <is>
          <t>10</t>
        </is>
      </c>
      <c r="O3" s="6" t="inlineStr">
        <is>
          <t>11</t>
        </is>
      </c>
      <c r="P3" s="6" t="inlineStr">
        <is>
          <t>12</t>
        </is>
      </c>
      <c r="Q3" s="6" t="inlineStr">
        <is>
          <t>13</t>
        </is>
      </c>
      <c r="R3" s="6" t="inlineStr">
        <is>
          <t>14</t>
        </is>
      </c>
      <c r="S3" s="6" t="inlineStr">
        <is>
          <t>15</t>
        </is>
      </c>
      <c r="T3" s="6" t="inlineStr">
        <is>
          <t>16</t>
        </is>
      </c>
      <c r="U3" s="6" t="inlineStr">
        <is>
          <t>17</t>
        </is>
      </c>
      <c r="V3" s="6" t="inlineStr">
        <is>
          <t>18</t>
        </is>
      </c>
      <c r="W3" s="6" t="inlineStr">
        <is>
          <t>19</t>
        </is>
      </c>
      <c r="X3" s="6" t="inlineStr">
        <is>
          <t>20</t>
        </is>
      </c>
      <c r="Y3" s="6" t="inlineStr">
        <is>
          <t>21</t>
        </is>
      </c>
      <c r="Z3" s="6" t="inlineStr">
        <is>
          <t>22</t>
        </is>
      </c>
      <c r="AA3" s="6" t="inlineStr">
        <is>
          <t>23</t>
        </is>
      </c>
      <c r="AB3" s="6" t="inlineStr">
        <is>
          <t>24</t>
        </is>
      </c>
      <c r="AC3" s="6" t="inlineStr">
        <is>
          <t>25</t>
        </is>
      </c>
      <c r="AD3" s="6" t="inlineStr">
        <is>
          <t>26</t>
        </is>
      </c>
      <c r="AE3" s="6" t="inlineStr">
        <is>
          <t>27</t>
        </is>
      </c>
      <c r="AF3" s="6" t="inlineStr">
        <is>
          <t>28</t>
        </is>
      </c>
      <c r="AG3" s="6" t="inlineStr">
        <is>
          <t>29</t>
        </is>
      </c>
      <c r="AH3" s="6" t="inlineStr">
        <is>
          <t>30</t>
        </is>
      </c>
    </row>
    <row r="4">
      <c r="A4" s="7" t="inlineStr">
        <is>
          <t>Студент2.1</t>
        </is>
      </c>
      <c r="B4" s="8">
        <f>IF(A4="","",COUNTIF(E4:AH4,"+")+COUNTIF(E4:AH4,"1"))</f>
        <v/>
      </c>
      <c r="C4" s="8">
        <f>IF(A4="","",IF(B4&gt;2*COUNTA(E$3:AH$3)/3,1,IF(B4&gt;=COUNTA(E$3:AH$3)/2,0.8,0.5)))</f>
        <v/>
      </c>
      <c r="D4" s="8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  <c r="AC4" s="9" t="n"/>
      <c r="AD4" s="9" t="n"/>
      <c r="AE4" s="9" t="n"/>
      <c r="AF4" s="9" t="n"/>
      <c r="AG4" s="9" t="n"/>
      <c r="AH4" s="9" t="n"/>
    </row>
    <row r="5">
      <c r="A5" s="7" t="inlineStr">
        <is>
          <t>Студент2.2</t>
        </is>
      </c>
      <c r="B5" s="8">
        <f>IF(A5="","",COUNTIF(E5:AH5,"+")+COUNTIF(E5:AH5,"1"))</f>
        <v/>
      </c>
      <c r="C5" s="8">
        <f>IF(A5="","",IF(B5&gt;2*COUNTA(E$3:AH$3)/3,1,IF(B5&gt;=COUNTA(E$3:AH$3)/2,0.8,0.5)))</f>
        <v/>
      </c>
      <c r="D5" s="8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</row>
    <row r="6">
      <c r="A6" s="7" t="inlineStr">
        <is>
          <t>Студент2.3</t>
        </is>
      </c>
      <c r="B6" s="8">
        <f>IF(A6="","",COUNTIF(E6:AH6,"+")+COUNTIF(E6:AH6,"1"))</f>
        <v/>
      </c>
      <c r="C6" s="8">
        <f>IF(A6="","",IF(B6&gt;2*COUNTA(E$3:AH$3)/3,1,IF(B6&gt;=COUNTA(E$3:AH$3)/2,0.8,0.5)))</f>
        <v/>
      </c>
      <c r="D6" s="8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</row>
    <row r="7">
      <c r="A7" s="7" t="inlineStr">
        <is>
          <t>Студент2.4</t>
        </is>
      </c>
      <c r="B7" s="8">
        <f>IF(A7="","",COUNTIF(E7:AH7,"+")+COUNTIF(E7:AH7,"1"))</f>
        <v/>
      </c>
      <c r="C7" s="8">
        <f>IF(A7="","",IF(B7&gt;2*COUNTA(E$3:AH$3)/3,1,IF(B7&gt;=COUNTA(E$3:AH$3)/2,0.8,0.5)))</f>
        <v/>
      </c>
      <c r="D7" s="8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</row>
    <row r="8">
      <c r="A8" s="7" t="inlineStr">
        <is>
          <t>Студент2.5</t>
        </is>
      </c>
      <c r="B8" s="8">
        <f>IF(A8="","",COUNTIF(E8:AH8,"+")+COUNTIF(E8:AH8,"1"))</f>
        <v/>
      </c>
      <c r="C8" s="8">
        <f>IF(A8="","",IF(B8&gt;2*COUNTA(E$3:AH$3)/3,1,IF(B8&gt;=COUNTA(E$3:AH$3)/2,0.8,0.5)))</f>
        <v/>
      </c>
      <c r="D8" s="8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</row>
    <row r="9">
      <c r="A9" s="7" t="inlineStr">
        <is>
          <t>Студент2.6</t>
        </is>
      </c>
      <c r="B9" s="8">
        <f>IF(A9="","",COUNTIF(E9:AH9,"+")+COUNTIF(E9:AH9,"1"))</f>
        <v/>
      </c>
      <c r="C9" s="8">
        <f>IF(A9="","",IF(B9&gt;2*COUNTA(E$3:AH$3)/3,1,IF(B9&gt;=COUNTA(E$3:AH$3)/2,0.8,0.5)))</f>
        <v/>
      </c>
      <c r="D9" s="8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</row>
    <row r="10">
      <c r="A10" s="7" t="inlineStr">
        <is>
          <t>Студент2.7</t>
        </is>
      </c>
      <c r="B10" s="8">
        <f>IF(A10="","",COUNTIF(E10:AH10,"+")+COUNTIF(E10:AH10,"1"))</f>
        <v/>
      </c>
      <c r="C10" s="8">
        <f>IF(A10="","",IF(B10&gt;2*COUNTA(E$3:AH$3)/3,1,IF(B10&gt;=COUNTA(E$3:AH$3)/2,0.8,0.5)))</f>
        <v/>
      </c>
      <c r="D10" s="8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</row>
    <row r="11">
      <c r="A11" s="7" t="inlineStr">
        <is>
          <t>Студент2.8</t>
        </is>
      </c>
      <c r="B11" s="8">
        <f>IF(A11="","",COUNTIF(E11:AH11,"+")+COUNTIF(E11:AH11,"1"))</f>
        <v/>
      </c>
      <c r="C11" s="8">
        <f>IF(A11="","",IF(B11&gt;2*COUNTA(E$3:AH$3)/3,1,IF(B11&gt;=COUNTA(E$3:AH$3)/2,0.8,0.5)))</f>
        <v/>
      </c>
      <c r="D11" s="8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</row>
    <row r="12">
      <c r="A12" s="7" t="inlineStr">
        <is>
          <t>Студент2.9</t>
        </is>
      </c>
      <c r="B12" s="8">
        <f>IF(A12="","",COUNTIF(E12:AH12,"+")+COUNTIF(E12:AH12,"1"))</f>
        <v/>
      </c>
      <c r="C12" s="8">
        <f>IF(A12="","",IF(B12&gt;2*COUNTA(E$3:AH$3)/3,1,IF(B12&gt;=COUNTA(E$3:AH$3)/2,0.8,0.5)))</f>
        <v/>
      </c>
      <c r="D12" s="8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</row>
    <row r="13">
      <c r="A13" s="7" t="inlineStr">
        <is>
          <t>Студент2.10</t>
        </is>
      </c>
      <c r="B13" s="8">
        <f>IF(A13="","",COUNTIF(E13:AH13,"+")+COUNTIF(E13:AH13,"1"))</f>
        <v/>
      </c>
      <c r="C13" s="8">
        <f>IF(A13="","",IF(B13&gt;2*COUNTA(E$3:AH$3)/3,1,IF(B13&gt;=COUNTA(E$3:AH$3)/2,0.8,0.5)))</f>
        <v/>
      </c>
      <c r="D13" s="8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</row>
    <row r="14">
      <c r="A14" s="7" t="inlineStr">
        <is>
          <t>Студент2.11</t>
        </is>
      </c>
      <c r="B14" s="8">
        <f>IF(A14="","",COUNTIF(E14:AH14,"+")+COUNTIF(E14:AH14,"1"))</f>
        <v/>
      </c>
      <c r="C14" s="8">
        <f>IF(A14="","",IF(B14&gt;2*COUNTA(E$3:AH$3)/3,1,IF(B14&gt;=COUNTA(E$3:AH$3)/2,0.8,0.5)))</f>
        <v/>
      </c>
      <c r="D14" s="8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</row>
    <row r="15">
      <c r="A15" s="7" t="inlineStr">
        <is>
          <t>Студент2.12</t>
        </is>
      </c>
      <c r="B15" s="8">
        <f>IF(A15="","",COUNTIF(E15:AH15,"+")+COUNTIF(E15:AH15,"1"))</f>
        <v/>
      </c>
      <c r="C15" s="8">
        <f>IF(A15="","",IF(B15&gt;2*COUNTA(E$3:AH$3)/3,1,IF(B15&gt;=COUNTA(E$3:AH$3)/2,0.8,0.5)))</f>
        <v/>
      </c>
      <c r="D15" s="8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  <c r="AH15" s="9" t="n"/>
    </row>
    <row r="16">
      <c r="A16" s="7" t="inlineStr">
        <is>
          <t>Студент2.13</t>
        </is>
      </c>
      <c r="B16" s="8">
        <f>IF(A16="","",COUNTIF(E16:AH16,"+")+COUNTIF(E16:AH16,"1"))</f>
        <v/>
      </c>
      <c r="C16" s="8">
        <f>IF(A16="","",IF(B16&gt;2*COUNTA(E$3:AH$3)/3,1,IF(B16&gt;=COUNTA(E$3:AH$3)/2,0.8,0.5)))</f>
        <v/>
      </c>
      <c r="D16" s="8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  <c r="AH16" s="9" t="n"/>
    </row>
    <row r="17">
      <c r="A17" s="7" t="inlineStr">
        <is>
          <t>Студент2.14</t>
        </is>
      </c>
      <c r="B17" s="8">
        <f>IF(A17="","",COUNTIF(E17:AH17,"+")+COUNTIF(E17:AH17,"1"))</f>
        <v/>
      </c>
      <c r="C17" s="8">
        <f>IF(A17="","",IF(B17&gt;2*COUNTA(E$3:AH$3)/3,1,IF(B17&gt;=COUNTA(E$3:AH$3)/2,0.8,0.5)))</f>
        <v/>
      </c>
      <c r="D17" s="8" t="n"/>
      <c r="E17" s="9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</row>
    <row r="18">
      <c r="A18" s="7" t="inlineStr">
        <is>
          <t>Студент2.15</t>
        </is>
      </c>
      <c r="B18" s="8">
        <f>IF(A18="","",COUNTIF(E18:AH18,"+")+COUNTIF(E18:AH18,"1"))</f>
        <v/>
      </c>
      <c r="C18" s="8">
        <f>IF(A18="","",IF(B18&gt;2*COUNTA(E$3:AH$3)/3,1,IF(B18&gt;=COUNTA(E$3:AH$3)/2,0.8,0.5)))</f>
        <v/>
      </c>
      <c r="D18" s="8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</row>
    <row r="19">
      <c r="A19" s="7" t="inlineStr">
        <is>
          <t>Студент2.16</t>
        </is>
      </c>
      <c r="B19" s="8">
        <f>IF(A19="","",COUNTIF(E19:AH19,"+")+COUNTIF(E19:AH19,"1"))</f>
        <v/>
      </c>
      <c r="C19" s="8">
        <f>IF(A19="","",IF(B19&gt;2*COUNTA(E$3:AH$3)/3,1,IF(B19&gt;=COUNTA(E$3:AH$3)/2,0.8,0.5)))</f>
        <v/>
      </c>
      <c r="D19" s="8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</row>
    <row r="20">
      <c r="A20" s="7" t="inlineStr">
        <is>
          <t>Студент2.17</t>
        </is>
      </c>
      <c r="B20" s="8">
        <f>IF(A20="","",COUNTIF(E20:AH20,"+")+COUNTIF(E20:AH20,"1"))</f>
        <v/>
      </c>
      <c r="C20" s="8">
        <f>IF(A20="","",IF(B20&gt;2*COUNTA(E$3:AH$3)/3,1,IF(B20&gt;=COUNTA(E$3:AH$3)/2,0.8,0.5)))</f>
        <v/>
      </c>
      <c r="D20" s="8" t="n"/>
      <c r="E20" s="9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  <c r="AH20" s="9" t="n"/>
    </row>
    <row r="21">
      <c r="A21" s="7" t="inlineStr">
        <is>
          <t>Студент2.18</t>
        </is>
      </c>
      <c r="B21" s="8">
        <f>IF(A21="","",COUNTIF(E21:AH21,"+")+COUNTIF(E21:AH21,"1"))</f>
        <v/>
      </c>
      <c r="C21" s="8">
        <f>IF(A21="","",IF(B21&gt;2*COUNTA(E$3:AH$3)/3,1,IF(B21&gt;=COUNTA(E$3:AH$3)/2,0.8,0.5)))</f>
        <v/>
      </c>
      <c r="D21" s="8" t="n"/>
      <c r="E21" s="9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</row>
    <row r="22">
      <c r="A22" s="7" t="inlineStr">
        <is>
          <t>Студент2.19</t>
        </is>
      </c>
      <c r="B22" s="8">
        <f>IF(A22="","",COUNTIF(E22:AH22,"+")+COUNTIF(E22:AH22,"1"))</f>
        <v/>
      </c>
      <c r="C22" s="8">
        <f>IF(A22="","",IF(B22&gt;2*COUNTA(E$3:AH$3)/3,1,IF(B22&gt;=COUNTA(E$3:AH$3)/2,0.8,0.5)))</f>
        <v/>
      </c>
      <c r="D22" s="8" t="n"/>
      <c r="E22" s="9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  <c r="AH22" s="9" t="n"/>
    </row>
    <row r="23">
      <c r="A23" s="7" t="inlineStr">
        <is>
          <t>Студент2.20</t>
        </is>
      </c>
      <c r="B23" s="8">
        <f>IF(A23="","",COUNTIF(E23:AH23,"+")+COUNTIF(E23:AH23,"1"))</f>
        <v/>
      </c>
      <c r="C23" s="8">
        <f>IF(A23="","",IF(B23&gt;2*COUNTA(E$3:AH$3)/3,1,IF(B23&gt;=COUNTA(E$3:AH$3)/2,0.8,0.5)))</f>
        <v/>
      </c>
      <c r="D23" s="8" t="n"/>
      <c r="E23" s="9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  <c r="AH23" s="9" t="n"/>
    </row>
    <row r="24">
      <c r="A24" s="7" t="inlineStr">
        <is>
          <t>Студент2.21</t>
        </is>
      </c>
      <c r="B24" s="8">
        <f>IF(A24="","",COUNTIF(E24:AH24,"+")+COUNTIF(E24:AH24,"1"))</f>
        <v/>
      </c>
      <c r="C24" s="8">
        <f>IF(A24="","",IF(B24&gt;2*COUNTA(E$3:AH$3)/3,1,IF(B24&gt;=COUNTA(E$3:AH$3)/2,0.8,0.5)))</f>
        <v/>
      </c>
      <c r="D24" s="8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  <c r="AH24" s="9" t="n"/>
    </row>
    <row r="25">
      <c r="A25" s="7" t="inlineStr">
        <is>
          <t>Студент2.22</t>
        </is>
      </c>
      <c r="B25" s="8">
        <f>IF(A25="","",COUNTIF(E25:AH25,"+")+COUNTIF(E25:AH25,"1"))</f>
        <v/>
      </c>
      <c r="C25" s="8">
        <f>IF(A25="","",IF(B25&gt;2*COUNTA(E$3:AH$3)/3,1,IF(B25&gt;=COUNTA(E$3:AH$3)/2,0.8,0.5)))</f>
        <v/>
      </c>
      <c r="D25" s="8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  <c r="AH25" s="9" t="n"/>
    </row>
    <row r="26">
      <c r="A26" s="7" t="inlineStr">
        <is>
          <t>Студент2.23</t>
        </is>
      </c>
      <c r="B26" s="8">
        <f>IF(A26="","",COUNTIF(E26:AH26,"+")+COUNTIF(E26:AH26,"1"))</f>
        <v/>
      </c>
      <c r="C26" s="8">
        <f>IF(A26="","",IF(B26&gt;2*COUNTA(E$3:AH$3)/3,1,IF(B26&gt;=COUNTA(E$3:AH$3)/2,0.8,0.5)))</f>
        <v/>
      </c>
      <c r="D26" s="8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</row>
    <row r="27">
      <c r="A27" s="7" t="inlineStr">
        <is>
          <t>Студент2.24</t>
        </is>
      </c>
      <c r="B27" s="8">
        <f>IF(A27="","",COUNTIF(E27:AH27,"+")+COUNTIF(E27:AH27,"1"))</f>
        <v/>
      </c>
      <c r="C27" s="8">
        <f>IF(A27="","",IF(B27&gt;2*COUNTA(E$3:AH$3)/3,1,IF(B27&gt;=COUNTA(E$3:AH$3)/2,0.8,0.5)))</f>
        <v/>
      </c>
      <c r="D27" s="8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</row>
    <row r="28">
      <c r="A28" s="7" t="inlineStr">
        <is>
          <t>Студент2.25</t>
        </is>
      </c>
      <c r="B28" s="8">
        <f>IF(A28="","",COUNTIF(E28:AH28,"+")+COUNTIF(E28:AH28,"1"))</f>
        <v/>
      </c>
      <c r="C28" s="8">
        <f>IF(A28="","",IF(B28&gt;2*COUNTA(E$3:AH$3)/3,1,IF(B28&gt;=COUNTA(E$3:AH$3)/2,0.8,0.5)))</f>
        <v/>
      </c>
      <c r="D28" s="8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  <c r="AF28" s="9" t="n"/>
      <c r="AG28" s="9" t="n"/>
      <c r="AH28" s="9" t="n"/>
    </row>
    <row r="29">
      <c r="A29" s="7" t="inlineStr">
        <is>
          <t>Студент2.26</t>
        </is>
      </c>
      <c r="B29" s="8">
        <f>IF(A29="","",COUNTIF(E29:AH29,"+")+COUNTIF(E29:AH29,"1"))</f>
        <v/>
      </c>
      <c r="C29" s="8">
        <f>IF(A29="","",IF(B29&gt;2*COUNTA(E$3:AH$3)/3,1,IF(B29&gt;=COUNTA(E$3:AH$3)/2,0.8,0.5)))</f>
        <v/>
      </c>
      <c r="D29" s="8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  <c r="AH29" s="9" t="n"/>
    </row>
    <row r="30">
      <c r="A30" s="7" t="inlineStr">
        <is>
          <t>Студент2.27</t>
        </is>
      </c>
      <c r="B30" s="8">
        <f>IF(A30="","",COUNTIF(E30:AH30,"+")+COUNTIF(E30:AH30,"1"))</f>
        <v/>
      </c>
      <c r="C30" s="8">
        <f>IF(A30="","",IF(B30&gt;2*COUNTA(E$3:AH$3)/3,1,IF(B30&gt;=COUNTA(E$3:AH$3)/2,0.8,0.5)))</f>
        <v/>
      </c>
      <c r="D30" s="8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  <c r="AH30" s="9" t="n"/>
    </row>
    <row r="31">
      <c r="A31" s="7" t="inlineStr">
        <is>
          <t>Студент2.28</t>
        </is>
      </c>
      <c r="B31" s="8">
        <f>IF(A31="","",COUNTIF(E31:AH31,"+")+COUNTIF(E31:AH31,"1"))</f>
        <v/>
      </c>
      <c r="C31" s="8">
        <f>IF(A31="","",IF(B31&gt;2*COUNTA(E$3:AH$3)/3,1,IF(B31&gt;=COUNTA(E$3:AH$3)/2,0.8,0.5)))</f>
        <v/>
      </c>
      <c r="D31" s="8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  <c r="AH31" s="9" t="n"/>
    </row>
    <row r="32">
      <c r="A32" s="7" t="inlineStr">
        <is>
          <t>Студент2.29</t>
        </is>
      </c>
      <c r="B32" s="8">
        <f>IF(A32="","",COUNTIF(E32:AH32,"+")+COUNTIF(E32:AH32,"1"))</f>
        <v/>
      </c>
      <c r="C32" s="8">
        <f>IF(A32="","",IF(B32&gt;2*COUNTA(E$3:AH$3)/3,1,IF(B32&gt;=COUNTA(E$3:AH$3)/2,0.8,0.5)))</f>
        <v/>
      </c>
      <c r="D32" s="8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  <c r="AH32" s="9" t="n"/>
    </row>
    <row r="33">
      <c r="A33" s="7" t="inlineStr">
        <is>
          <t>Студент2.30</t>
        </is>
      </c>
      <c r="B33" s="8">
        <f>IF(A33="","",COUNTIF(E33:AH33,"+")+COUNTIF(E33:AH33,"1"))</f>
        <v/>
      </c>
      <c r="C33" s="8">
        <f>IF(A33="","",IF(B33&gt;2*COUNTA(E$3:AH$3)/3,1,IF(B33&gt;=COUNTA(E$3:AH$3)/2,0.8,0.5)))</f>
        <v/>
      </c>
      <c r="D33" s="8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</row>
  </sheetData>
  <mergeCells count="1">
    <mergeCell ref="A1:AI1"/>
  </mergeCells>
  <conditionalFormatting sqref="E4:AH33">
    <cfRule type="expression" priority="1" dxfId="0">
      <formula>E4="+"</formula>
    </cfRule>
    <cfRule type="expression" priority="2" dxfId="1">
      <formula>E4="1"</formula>
    </cfRule>
    <cfRule type="expression" priority="3" dxfId="2">
      <formula>E4="-"</formula>
    </cfRule>
  </conditionalFormatting>
  <conditionalFormatting sqref="B4:B33">
    <cfRule type="cellIs" priority="4" operator="greaterThanOrEqual" dxfId="3">
      <formula>21</formula>
    </cfRule>
    <cfRule type="cellIs" priority="5" operator="between" dxfId="4">
      <formula>15</formula>
      <formula>20</formula>
    </cfRule>
    <cfRule type="cellIs" priority="6" operator="lessThan" dxfId="5">
      <formula>15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9" customWidth="1" min="2" max="2"/>
    <col width="14" customWidth="1" min="3" max="3"/>
    <col width="14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</cols>
  <sheetData>
    <row r="1" hidden="1">
      <c r="A1" s="1" t="inlineStr">
        <is>
          <t>Практика 2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S</t>
        </is>
      </c>
      <c r="C3" s="4" t="inlineStr">
        <is>
          <t>Коэффициент</t>
        </is>
      </c>
      <c r="D3" s="5" t="inlineStr">
        <is>
          <t>D за практику</t>
        </is>
      </c>
      <c r="E3" s="6" t="inlineStr">
        <is>
          <t>1</t>
        </is>
      </c>
      <c r="F3" s="6" t="inlineStr">
        <is>
          <t>2</t>
        </is>
      </c>
      <c r="G3" s="6" t="inlineStr">
        <is>
          <t>3</t>
        </is>
      </c>
      <c r="H3" s="6" t="inlineStr">
        <is>
          <t>4</t>
        </is>
      </c>
      <c r="I3" s="6" t="inlineStr">
        <is>
          <t>5</t>
        </is>
      </c>
      <c r="J3" s="6" t="inlineStr">
        <is>
          <t>6</t>
        </is>
      </c>
      <c r="K3" s="6" t="inlineStr">
        <is>
          <t>7</t>
        </is>
      </c>
      <c r="L3" s="6" t="inlineStr">
        <is>
          <t>8</t>
        </is>
      </c>
      <c r="M3" s="6" t="inlineStr">
        <is>
          <t>9</t>
        </is>
      </c>
      <c r="N3" s="6" t="inlineStr">
        <is>
          <t>10</t>
        </is>
      </c>
      <c r="O3" s="6" t="inlineStr">
        <is>
          <t>11</t>
        </is>
      </c>
      <c r="P3" s="6" t="inlineStr">
        <is>
          <t>12</t>
        </is>
      </c>
      <c r="Q3" s="6" t="inlineStr">
        <is>
          <t>13</t>
        </is>
      </c>
      <c r="R3" s="6" t="inlineStr">
        <is>
          <t>14</t>
        </is>
      </c>
      <c r="S3" s="6" t="inlineStr">
        <is>
          <t>15</t>
        </is>
      </c>
      <c r="T3" s="6" t="inlineStr">
        <is>
          <t>16</t>
        </is>
      </c>
      <c r="U3" s="6" t="inlineStr">
        <is>
          <t>17</t>
        </is>
      </c>
      <c r="V3" s="6" t="inlineStr">
        <is>
          <t>18</t>
        </is>
      </c>
      <c r="W3" s="6" t="inlineStr">
        <is>
          <t>19</t>
        </is>
      </c>
      <c r="X3" s="6" t="inlineStr">
        <is>
          <t>20</t>
        </is>
      </c>
      <c r="Y3" s="6" t="inlineStr">
        <is>
          <t>21</t>
        </is>
      </c>
      <c r="Z3" s="6" t="inlineStr">
        <is>
          <t>22</t>
        </is>
      </c>
      <c r="AA3" s="6" t="inlineStr">
        <is>
          <t>23</t>
        </is>
      </c>
      <c r="AB3" s="6" t="inlineStr">
        <is>
          <t>24</t>
        </is>
      </c>
      <c r="AC3" s="6" t="inlineStr">
        <is>
          <t>25</t>
        </is>
      </c>
      <c r="AD3" s="6" t="inlineStr">
        <is>
          <t>26</t>
        </is>
      </c>
      <c r="AE3" s="6" t="inlineStr">
        <is>
          <t>27</t>
        </is>
      </c>
      <c r="AF3" s="6" t="inlineStr">
        <is>
          <t>28</t>
        </is>
      </c>
      <c r="AG3" s="6" t="inlineStr">
        <is>
          <t>29</t>
        </is>
      </c>
      <c r="AH3" s="6" t="inlineStr">
        <is>
          <t>30</t>
        </is>
      </c>
    </row>
    <row r="4">
      <c r="A4" s="7" t="inlineStr">
        <is>
          <t>Студент2.1</t>
        </is>
      </c>
      <c r="B4" s="8">
        <f>IF(A4="","",COUNTIF(E4:AH4,"+")+COUNTIF(E4:AH4,"1"))</f>
        <v/>
      </c>
      <c r="C4" s="8">
        <f>IF(A4="","",IF(B4&gt;2*COUNTA(E$3:AH$3)/3,1,IF(B4&gt;=COUNTA(E$3:AH$3)/2,0.8,0.5)))</f>
        <v/>
      </c>
      <c r="D4" s="8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  <c r="AC4" s="9" t="n"/>
      <c r="AD4" s="9" t="n"/>
      <c r="AE4" s="9" t="n"/>
      <c r="AF4" s="9" t="n"/>
      <c r="AG4" s="9" t="n"/>
      <c r="AH4" s="9" t="n"/>
    </row>
    <row r="5">
      <c r="A5" s="7" t="inlineStr">
        <is>
          <t>Студент2.2</t>
        </is>
      </c>
      <c r="B5" s="8">
        <f>IF(A5="","",COUNTIF(E5:AH5,"+")+COUNTIF(E5:AH5,"1"))</f>
        <v/>
      </c>
      <c r="C5" s="8">
        <f>IF(A5="","",IF(B5&gt;2*COUNTA(E$3:AH$3)/3,1,IF(B5&gt;=COUNTA(E$3:AH$3)/2,0.8,0.5)))</f>
        <v/>
      </c>
      <c r="D5" s="8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</row>
    <row r="6">
      <c r="A6" s="7" t="inlineStr">
        <is>
          <t>Студент2.3</t>
        </is>
      </c>
      <c r="B6" s="8">
        <f>IF(A6="","",COUNTIF(E6:AH6,"+")+COUNTIF(E6:AH6,"1"))</f>
        <v/>
      </c>
      <c r="C6" s="8">
        <f>IF(A6="","",IF(B6&gt;2*COUNTA(E$3:AH$3)/3,1,IF(B6&gt;=COUNTA(E$3:AH$3)/2,0.8,0.5)))</f>
        <v/>
      </c>
      <c r="D6" s="8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</row>
    <row r="7">
      <c r="A7" s="7" t="inlineStr">
        <is>
          <t>Студент2.4</t>
        </is>
      </c>
      <c r="B7" s="8">
        <f>IF(A7="","",COUNTIF(E7:AH7,"+")+COUNTIF(E7:AH7,"1"))</f>
        <v/>
      </c>
      <c r="C7" s="8">
        <f>IF(A7="","",IF(B7&gt;2*COUNTA(E$3:AH$3)/3,1,IF(B7&gt;=COUNTA(E$3:AH$3)/2,0.8,0.5)))</f>
        <v/>
      </c>
      <c r="D7" s="8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</row>
    <row r="8">
      <c r="A8" s="7" t="inlineStr">
        <is>
          <t>Студент2.5</t>
        </is>
      </c>
      <c r="B8" s="8">
        <f>IF(A8="","",COUNTIF(E8:AH8,"+")+COUNTIF(E8:AH8,"1"))</f>
        <v/>
      </c>
      <c r="C8" s="8">
        <f>IF(A8="","",IF(B8&gt;2*COUNTA(E$3:AH$3)/3,1,IF(B8&gt;=COUNTA(E$3:AH$3)/2,0.8,0.5)))</f>
        <v/>
      </c>
      <c r="D8" s="8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</row>
    <row r="9">
      <c r="A9" s="7" t="inlineStr">
        <is>
          <t>Студент2.6</t>
        </is>
      </c>
      <c r="B9" s="8">
        <f>IF(A9="","",COUNTIF(E9:AH9,"+")+COUNTIF(E9:AH9,"1"))</f>
        <v/>
      </c>
      <c r="C9" s="8">
        <f>IF(A9="","",IF(B9&gt;2*COUNTA(E$3:AH$3)/3,1,IF(B9&gt;=COUNTA(E$3:AH$3)/2,0.8,0.5)))</f>
        <v/>
      </c>
      <c r="D9" s="8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</row>
    <row r="10">
      <c r="A10" s="7" t="inlineStr">
        <is>
          <t>Студент2.7</t>
        </is>
      </c>
      <c r="B10" s="8">
        <f>IF(A10="","",COUNTIF(E10:AH10,"+")+COUNTIF(E10:AH10,"1"))</f>
        <v/>
      </c>
      <c r="C10" s="8">
        <f>IF(A10="","",IF(B10&gt;2*COUNTA(E$3:AH$3)/3,1,IF(B10&gt;=COUNTA(E$3:AH$3)/2,0.8,0.5)))</f>
        <v/>
      </c>
      <c r="D10" s="8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</row>
    <row r="11">
      <c r="A11" s="7" t="inlineStr">
        <is>
          <t>Студент2.8</t>
        </is>
      </c>
      <c r="B11" s="8">
        <f>IF(A11="","",COUNTIF(E11:AH11,"+")+COUNTIF(E11:AH11,"1"))</f>
        <v/>
      </c>
      <c r="C11" s="8">
        <f>IF(A11="","",IF(B11&gt;2*COUNTA(E$3:AH$3)/3,1,IF(B11&gt;=COUNTA(E$3:AH$3)/2,0.8,0.5)))</f>
        <v/>
      </c>
      <c r="D11" s="8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</row>
    <row r="12">
      <c r="A12" s="7" t="inlineStr">
        <is>
          <t>Студент2.9</t>
        </is>
      </c>
      <c r="B12" s="8">
        <f>IF(A12="","",COUNTIF(E12:AH12,"+")+COUNTIF(E12:AH12,"1"))</f>
        <v/>
      </c>
      <c r="C12" s="8">
        <f>IF(A12="","",IF(B12&gt;2*COUNTA(E$3:AH$3)/3,1,IF(B12&gt;=COUNTA(E$3:AH$3)/2,0.8,0.5)))</f>
        <v/>
      </c>
      <c r="D12" s="8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</row>
    <row r="13">
      <c r="A13" s="7" t="inlineStr">
        <is>
          <t>Студент2.10</t>
        </is>
      </c>
      <c r="B13" s="8">
        <f>IF(A13="","",COUNTIF(E13:AH13,"+")+COUNTIF(E13:AH13,"1"))</f>
        <v/>
      </c>
      <c r="C13" s="8">
        <f>IF(A13="","",IF(B13&gt;2*COUNTA(E$3:AH$3)/3,1,IF(B13&gt;=COUNTA(E$3:AH$3)/2,0.8,0.5)))</f>
        <v/>
      </c>
      <c r="D13" s="8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</row>
    <row r="14">
      <c r="A14" s="7" t="inlineStr">
        <is>
          <t>Студент2.11</t>
        </is>
      </c>
      <c r="B14" s="8">
        <f>IF(A14="","",COUNTIF(E14:AH14,"+")+COUNTIF(E14:AH14,"1"))</f>
        <v/>
      </c>
      <c r="C14" s="8">
        <f>IF(A14="","",IF(B14&gt;2*COUNTA(E$3:AH$3)/3,1,IF(B14&gt;=COUNTA(E$3:AH$3)/2,0.8,0.5)))</f>
        <v/>
      </c>
      <c r="D14" s="8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</row>
    <row r="15">
      <c r="A15" s="7" t="inlineStr">
        <is>
          <t>Студент2.12</t>
        </is>
      </c>
      <c r="B15" s="8">
        <f>IF(A15="","",COUNTIF(E15:AH15,"+")+COUNTIF(E15:AH15,"1"))</f>
        <v/>
      </c>
      <c r="C15" s="8">
        <f>IF(A15="","",IF(B15&gt;2*COUNTA(E$3:AH$3)/3,1,IF(B15&gt;=COUNTA(E$3:AH$3)/2,0.8,0.5)))</f>
        <v/>
      </c>
      <c r="D15" s="8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  <c r="AH15" s="9" t="n"/>
    </row>
    <row r="16">
      <c r="A16" s="7" t="inlineStr">
        <is>
          <t>Студент2.13</t>
        </is>
      </c>
      <c r="B16" s="8">
        <f>IF(A16="","",COUNTIF(E16:AH16,"+")+COUNTIF(E16:AH16,"1"))</f>
        <v/>
      </c>
      <c r="C16" s="8">
        <f>IF(A16="","",IF(B16&gt;2*COUNTA(E$3:AH$3)/3,1,IF(B16&gt;=COUNTA(E$3:AH$3)/2,0.8,0.5)))</f>
        <v/>
      </c>
      <c r="D16" s="8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  <c r="AH16" s="9" t="n"/>
    </row>
    <row r="17">
      <c r="A17" s="7" t="inlineStr">
        <is>
          <t>Студент2.14</t>
        </is>
      </c>
      <c r="B17" s="8">
        <f>IF(A17="","",COUNTIF(E17:AH17,"+")+COUNTIF(E17:AH17,"1"))</f>
        <v/>
      </c>
      <c r="C17" s="8">
        <f>IF(A17="","",IF(B17&gt;2*COUNTA(E$3:AH$3)/3,1,IF(B17&gt;=COUNTA(E$3:AH$3)/2,0.8,0.5)))</f>
        <v/>
      </c>
      <c r="D17" s="8" t="n"/>
      <c r="E17" s="9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</row>
    <row r="18">
      <c r="A18" s="7" t="inlineStr">
        <is>
          <t>Студент2.15</t>
        </is>
      </c>
      <c r="B18" s="8">
        <f>IF(A18="","",COUNTIF(E18:AH18,"+")+COUNTIF(E18:AH18,"1"))</f>
        <v/>
      </c>
      <c r="C18" s="8">
        <f>IF(A18="","",IF(B18&gt;2*COUNTA(E$3:AH$3)/3,1,IF(B18&gt;=COUNTA(E$3:AH$3)/2,0.8,0.5)))</f>
        <v/>
      </c>
      <c r="D18" s="8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</row>
    <row r="19">
      <c r="A19" s="7" t="inlineStr">
        <is>
          <t>Студент2.16</t>
        </is>
      </c>
      <c r="B19" s="8">
        <f>IF(A19="","",COUNTIF(E19:AH19,"+")+COUNTIF(E19:AH19,"1"))</f>
        <v/>
      </c>
      <c r="C19" s="8">
        <f>IF(A19="","",IF(B19&gt;2*COUNTA(E$3:AH$3)/3,1,IF(B19&gt;=COUNTA(E$3:AH$3)/2,0.8,0.5)))</f>
        <v/>
      </c>
      <c r="D19" s="8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</row>
    <row r="20">
      <c r="A20" s="7" t="inlineStr">
        <is>
          <t>Студент2.17</t>
        </is>
      </c>
      <c r="B20" s="8">
        <f>IF(A20="","",COUNTIF(E20:AH20,"+")+COUNTIF(E20:AH20,"1"))</f>
        <v/>
      </c>
      <c r="C20" s="8">
        <f>IF(A20="","",IF(B20&gt;2*COUNTA(E$3:AH$3)/3,1,IF(B20&gt;=COUNTA(E$3:AH$3)/2,0.8,0.5)))</f>
        <v/>
      </c>
      <c r="D20" s="8" t="n"/>
      <c r="E20" s="9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  <c r="AH20" s="9" t="n"/>
    </row>
    <row r="21">
      <c r="A21" s="7" t="inlineStr">
        <is>
          <t>Студент2.18</t>
        </is>
      </c>
      <c r="B21" s="8">
        <f>IF(A21="","",COUNTIF(E21:AH21,"+")+COUNTIF(E21:AH21,"1"))</f>
        <v/>
      </c>
      <c r="C21" s="8">
        <f>IF(A21="","",IF(B21&gt;2*COUNTA(E$3:AH$3)/3,1,IF(B21&gt;=COUNTA(E$3:AH$3)/2,0.8,0.5)))</f>
        <v/>
      </c>
      <c r="D21" s="8" t="n"/>
      <c r="E21" s="9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</row>
    <row r="22">
      <c r="A22" s="7" t="inlineStr">
        <is>
          <t>Студент2.19</t>
        </is>
      </c>
      <c r="B22" s="8">
        <f>IF(A22="","",COUNTIF(E22:AH22,"+")+COUNTIF(E22:AH22,"1"))</f>
        <v/>
      </c>
      <c r="C22" s="8">
        <f>IF(A22="","",IF(B22&gt;2*COUNTA(E$3:AH$3)/3,1,IF(B22&gt;=COUNTA(E$3:AH$3)/2,0.8,0.5)))</f>
        <v/>
      </c>
      <c r="D22" s="8" t="n"/>
      <c r="E22" s="9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  <c r="AH22" s="9" t="n"/>
    </row>
    <row r="23">
      <c r="A23" s="7" t="inlineStr">
        <is>
          <t>Студент2.20</t>
        </is>
      </c>
      <c r="B23" s="8">
        <f>IF(A23="","",COUNTIF(E23:AH23,"+")+COUNTIF(E23:AH23,"1"))</f>
        <v/>
      </c>
      <c r="C23" s="8">
        <f>IF(A23="","",IF(B23&gt;2*COUNTA(E$3:AH$3)/3,1,IF(B23&gt;=COUNTA(E$3:AH$3)/2,0.8,0.5)))</f>
        <v/>
      </c>
      <c r="D23" s="8" t="n"/>
      <c r="E23" s="9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  <c r="AH23" s="9" t="n"/>
    </row>
    <row r="24">
      <c r="A24" s="7" t="inlineStr">
        <is>
          <t>Студент2.21</t>
        </is>
      </c>
      <c r="B24" s="8">
        <f>IF(A24="","",COUNTIF(E24:AH24,"+")+COUNTIF(E24:AH24,"1"))</f>
        <v/>
      </c>
      <c r="C24" s="8">
        <f>IF(A24="","",IF(B24&gt;2*COUNTA(E$3:AH$3)/3,1,IF(B24&gt;=COUNTA(E$3:AH$3)/2,0.8,0.5)))</f>
        <v/>
      </c>
      <c r="D24" s="8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  <c r="AH24" s="9" t="n"/>
    </row>
    <row r="25">
      <c r="A25" s="7" t="inlineStr">
        <is>
          <t>Студент2.22</t>
        </is>
      </c>
      <c r="B25" s="8">
        <f>IF(A25="","",COUNTIF(E25:AH25,"+")+COUNTIF(E25:AH25,"1"))</f>
        <v/>
      </c>
      <c r="C25" s="8">
        <f>IF(A25="","",IF(B25&gt;2*COUNTA(E$3:AH$3)/3,1,IF(B25&gt;=COUNTA(E$3:AH$3)/2,0.8,0.5)))</f>
        <v/>
      </c>
      <c r="D25" s="8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  <c r="AH25" s="9" t="n"/>
    </row>
    <row r="26">
      <c r="A26" s="7" t="inlineStr">
        <is>
          <t>Студент2.23</t>
        </is>
      </c>
      <c r="B26" s="8">
        <f>IF(A26="","",COUNTIF(E26:AH26,"+")+COUNTIF(E26:AH26,"1"))</f>
        <v/>
      </c>
      <c r="C26" s="8">
        <f>IF(A26="","",IF(B26&gt;2*COUNTA(E$3:AH$3)/3,1,IF(B26&gt;=COUNTA(E$3:AH$3)/2,0.8,0.5)))</f>
        <v/>
      </c>
      <c r="D26" s="8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</row>
    <row r="27">
      <c r="A27" s="7" t="inlineStr">
        <is>
          <t>Студент2.24</t>
        </is>
      </c>
      <c r="B27" s="8">
        <f>IF(A27="","",COUNTIF(E27:AH27,"+")+COUNTIF(E27:AH27,"1"))</f>
        <v/>
      </c>
      <c r="C27" s="8">
        <f>IF(A27="","",IF(B27&gt;2*COUNTA(E$3:AH$3)/3,1,IF(B27&gt;=COUNTA(E$3:AH$3)/2,0.8,0.5)))</f>
        <v/>
      </c>
      <c r="D27" s="8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</row>
    <row r="28">
      <c r="A28" s="7" t="inlineStr">
        <is>
          <t>Студент2.25</t>
        </is>
      </c>
      <c r="B28" s="8">
        <f>IF(A28="","",COUNTIF(E28:AH28,"+")+COUNTIF(E28:AH28,"1"))</f>
        <v/>
      </c>
      <c r="C28" s="8">
        <f>IF(A28="","",IF(B28&gt;2*COUNTA(E$3:AH$3)/3,1,IF(B28&gt;=COUNTA(E$3:AH$3)/2,0.8,0.5)))</f>
        <v/>
      </c>
      <c r="D28" s="8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  <c r="AF28" s="9" t="n"/>
      <c r="AG28" s="9" t="n"/>
      <c r="AH28" s="9" t="n"/>
    </row>
    <row r="29">
      <c r="A29" s="7" t="inlineStr">
        <is>
          <t>Студент2.26</t>
        </is>
      </c>
      <c r="B29" s="8">
        <f>IF(A29="","",COUNTIF(E29:AH29,"+")+COUNTIF(E29:AH29,"1"))</f>
        <v/>
      </c>
      <c r="C29" s="8">
        <f>IF(A29="","",IF(B29&gt;2*COUNTA(E$3:AH$3)/3,1,IF(B29&gt;=COUNTA(E$3:AH$3)/2,0.8,0.5)))</f>
        <v/>
      </c>
      <c r="D29" s="8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  <c r="AH29" s="9" t="n"/>
    </row>
    <row r="30">
      <c r="A30" s="7" t="inlineStr">
        <is>
          <t>Студент2.27</t>
        </is>
      </c>
      <c r="B30" s="8">
        <f>IF(A30="","",COUNTIF(E30:AH30,"+")+COUNTIF(E30:AH30,"1"))</f>
        <v/>
      </c>
      <c r="C30" s="8">
        <f>IF(A30="","",IF(B30&gt;2*COUNTA(E$3:AH$3)/3,1,IF(B30&gt;=COUNTA(E$3:AH$3)/2,0.8,0.5)))</f>
        <v/>
      </c>
      <c r="D30" s="8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  <c r="AH30" s="9" t="n"/>
    </row>
    <row r="31">
      <c r="A31" s="7" t="inlineStr">
        <is>
          <t>Студент2.28</t>
        </is>
      </c>
      <c r="B31" s="8">
        <f>IF(A31="","",COUNTIF(E31:AH31,"+")+COUNTIF(E31:AH31,"1"))</f>
        <v/>
      </c>
      <c r="C31" s="8">
        <f>IF(A31="","",IF(B31&gt;2*COUNTA(E$3:AH$3)/3,1,IF(B31&gt;=COUNTA(E$3:AH$3)/2,0.8,0.5)))</f>
        <v/>
      </c>
      <c r="D31" s="8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  <c r="AH31" s="9" t="n"/>
    </row>
    <row r="32">
      <c r="A32" s="7" t="inlineStr">
        <is>
          <t>Студент2.29</t>
        </is>
      </c>
      <c r="B32" s="8">
        <f>IF(A32="","",COUNTIF(E32:AH32,"+")+COUNTIF(E32:AH32,"1"))</f>
        <v/>
      </c>
      <c r="C32" s="8">
        <f>IF(A32="","",IF(B32&gt;2*COUNTA(E$3:AH$3)/3,1,IF(B32&gt;=COUNTA(E$3:AH$3)/2,0.8,0.5)))</f>
        <v/>
      </c>
      <c r="D32" s="8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  <c r="AH32" s="9" t="n"/>
    </row>
    <row r="33">
      <c r="A33" s="7" t="inlineStr">
        <is>
          <t>Студент2.30</t>
        </is>
      </c>
      <c r="B33" s="8">
        <f>IF(A33="","",COUNTIF(E33:AH33,"+")+COUNTIF(E33:AH33,"1"))</f>
        <v/>
      </c>
      <c r="C33" s="8">
        <f>IF(A33="","",IF(B33&gt;2*COUNTA(E$3:AH$3)/3,1,IF(B33&gt;=COUNTA(E$3:AH$3)/2,0.8,0.5)))</f>
        <v/>
      </c>
      <c r="D33" s="8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</row>
  </sheetData>
  <mergeCells count="1">
    <mergeCell ref="A1:AI1"/>
  </mergeCells>
  <conditionalFormatting sqref="E4:AH33">
    <cfRule type="expression" priority="1" dxfId="0">
      <formula>E4="+"</formula>
    </cfRule>
    <cfRule type="expression" priority="2" dxfId="1">
      <formula>E4="1"</formula>
    </cfRule>
    <cfRule type="expression" priority="3" dxfId="2">
      <formula>E4="-"</formula>
    </cfRule>
  </conditionalFormatting>
  <conditionalFormatting sqref="B4:B33">
    <cfRule type="cellIs" priority="4" operator="greaterThanOrEqual" dxfId="3">
      <formula>21</formula>
    </cfRule>
    <cfRule type="cellIs" priority="5" operator="between" dxfId="4">
      <formula>15</formula>
      <formula>20</formula>
    </cfRule>
    <cfRule type="cellIs" priority="6" operator="lessThan" dxfId="5">
      <formula>15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9" customWidth="1" min="2" max="2"/>
    <col width="14" customWidth="1" min="3" max="3"/>
    <col width="14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</cols>
  <sheetData>
    <row r="1" hidden="1">
      <c r="A1" s="1" t="inlineStr">
        <is>
          <t>Практика 3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S</t>
        </is>
      </c>
      <c r="C3" s="4" t="inlineStr">
        <is>
          <t>Коэффициент</t>
        </is>
      </c>
      <c r="D3" s="5" t="inlineStr">
        <is>
          <t>D за практику</t>
        </is>
      </c>
      <c r="E3" s="6" t="inlineStr">
        <is>
          <t>1</t>
        </is>
      </c>
      <c r="F3" s="6" t="inlineStr">
        <is>
          <t>2</t>
        </is>
      </c>
      <c r="G3" s="6" t="inlineStr">
        <is>
          <t>3</t>
        </is>
      </c>
      <c r="H3" s="6" t="inlineStr">
        <is>
          <t>4</t>
        </is>
      </c>
      <c r="I3" s="6" t="inlineStr">
        <is>
          <t>5</t>
        </is>
      </c>
      <c r="J3" s="6" t="inlineStr">
        <is>
          <t>6</t>
        </is>
      </c>
      <c r="K3" s="6" t="inlineStr">
        <is>
          <t>7</t>
        </is>
      </c>
      <c r="L3" s="6" t="inlineStr">
        <is>
          <t>8</t>
        </is>
      </c>
      <c r="M3" s="6" t="inlineStr">
        <is>
          <t>9</t>
        </is>
      </c>
      <c r="N3" s="6" t="inlineStr">
        <is>
          <t>10</t>
        </is>
      </c>
      <c r="O3" s="6" t="inlineStr">
        <is>
          <t>11</t>
        </is>
      </c>
      <c r="P3" s="6" t="inlineStr">
        <is>
          <t>12</t>
        </is>
      </c>
      <c r="Q3" s="6" t="inlineStr">
        <is>
          <t>13</t>
        </is>
      </c>
      <c r="R3" s="6" t="inlineStr">
        <is>
          <t>14</t>
        </is>
      </c>
      <c r="S3" s="6" t="inlineStr">
        <is>
          <t>15</t>
        </is>
      </c>
      <c r="T3" s="6" t="inlineStr">
        <is>
          <t>16</t>
        </is>
      </c>
      <c r="U3" s="6" t="inlineStr">
        <is>
          <t>17</t>
        </is>
      </c>
      <c r="V3" s="6" t="inlineStr">
        <is>
          <t>18</t>
        </is>
      </c>
      <c r="W3" s="6" t="inlineStr">
        <is>
          <t>19</t>
        </is>
      </c>
      <c r="X3" s="6" t="inlineStr">
        <is>
          <t>20</t>
        </is>
      </c>
      <c r="Y3" s="6" t="inlineStr">
        <is>
          <t>21</t>
        </is>
      </c>
      <c r="Z3" s="6" t="inlineStr">
        <is>
          <t>22</t>
        </is>
      </c>
      <c r="AA3" s="6" t="inlineStr">
        <is>
          <t>23</t>
        </is>
      </c>
      <c r="AB3" s="6" t="inlineStr">
        <is>
          <t>24</t>
        </is>
      </c>
      <c r="AC3" s="6" t="inlineStr">
        <is>
          <t>25</t>
        </is>
      </c>
      <c r="AD3" s="6" t="inlineStr">
        <is>
          <t>26</t>
        </is>
      </c>
      <c r="AE3" s="6" t="inlineStr">
        <is>
          <t>27</t>
        </is>
      </c>
      <c r="AF3" s="6" t="inlineStr">
        <is>
          <t>28</t>
        </is>
      </c>
      <c r="AG3" s="6" t="inlineStr">
        <is>
          <t>29</t>
        </is>
      </c>
      <c r="AH3" s="6" t="inlineStr">
        <is>
          <t>30</t>
        </is>
      </c>
    </row>
    <row r="4">
      <c r="A4" s="7" t="inlineStr">
        <is>
          <t>Студент2.1</t>
        </is>
      </c>
      <c r="B4" s="8">
        <f>IF(A4="","",COUNTIF(E4:AH4,"+")+COUNTIF(E4:AH4,"1"))</f>
        <v/>
      </c>
      <c r="C4" s="8">
        <f>IF(A4="","",IF(B4&gt;2*COUNTA(E$3:AH$3)/3,1,IF(B4&gt;=COUNTA(E$3:AH$3)/2,0.8,0.5)))</f>
        <v/>
      </c>
      <c r="D4" s="8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  <c r="AC4" s="9" t="n"/>
      <c r="AD4" s="9" t="n"/>
      <c r="AE4" s="9" t="n"/>
      <c r="AF4" s="9" t="n"/>
      <c r="AG4" s="9" t="n"/>
      <c r="AH4" s="9" t="n"/>
    </row>
    <row r="5">
      <c r="A5" s="7" t="inlineStr">
        <is>
          <t>Студент2.2</t>
        </is>
      </c>
      <c r="B5" s="8">
        <f>IF(A5="","",COUNTIF(E5:AH5,"+")+COUNTIF(E5:AH5,"1"))</f>
        <v/>
      </c>
      <c r="C5" s="8">
        <f>IF(A5="","",IF(B5&gt;2*COUNTA(E$3:AH$3)/3,1,IF(B5&gt;=COUNTA(E$3:AH$3)/2,0.8,0.5)))</f>
        <v/>
      </c>
      <c r="D5" s="8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</row>
    <row r="6">
      <c r="A6" s="7" t="inlineStr">
        <is>
          <t>Студент2.3</t>
        </is>
      </c>
      <c r="B6" s="8">
        <f>IF(A6="","",COUNTIF(E6:AH6,"+")+COUNTIF(E6:AH6,"1"))</f>
        <v/>
      </c>
      <c r="C6" s="8">
        <f>IF(A6="","",IF(B6&gt;2*COUNTA(E$3:AH$3)/3,1,IF(B6&gt;=COUNTA(E$3:AH$3)/2,0.8,0.5)))</f>
        <v/>
      </c>
      <c r="D6" s="8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</row>
    <row r="7">
      <c r="A7" s="7" t="inlineStr">
        <is>
          <t>Студент2.4</t>
        </is>
      </c>
      <c r="B7" s="8">
        <f>IF(A7="","",COUNTIF(E7:AH7,"+")+COUNTIF(E7:AH7,"1"))</f>
        <v/>
      </c>
      <c r="C7" s="8">
        <f>IF(A7="","",IF(B7&gt;2*COUNTA(E$3:AH$3)/3,1,IF(B7&gt;=COUNTA(E$3:AH$3)/2,0.8,0.5)))</f>
        <v/>
      </c>
      <c r="D7" s="8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</row>
    <row r="8">
      <c r="A8" s="7" t="inlineStr">
        <is>
          <t>Студент2.5</t>
        </is>
      </c>
      <c r="B8" s="8">
        <f>IF(A8="","",COUNTIF(E8:AH8,"+")+COUNTIF(E8:AH8,"1"))</f>
        <v/>
      </c>
      <c r="C8" s="8">
        <f>IF(A8="","",IF(B8&gt;2*COUNTA(E$3:AH$3)/3,1,IF(B8&gt;=COUNTA(E$3:AH$3)/2,0.8,0.5)))</f>
        <v/>
      </c>
      <c r="D8" s="8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</row>
    <row r="9">
      <c r="A9" s="7" t="inlineStr">
        <is>
          <t>Студент2.6</t>
        </is>
      </c>
      <c r="B9" s="8">
        <f>IF(A9="","",COUNTIF(E9:AH9,"+")+COUNTIF(E9:AH9,"1"))</f>
        <v/>
      </c>
      <c r="C9" s="8">
        <f>IF(A9="","",IF(B9&gt;2*COUNTA(E$3:AH$3)/3,1,IF(B9&gt;=COUNTA(E$3:AH$3)/2,0.8,0.5)))</f>
        <v/>
      </c>
      <c r="D9" s="8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</row>
    <row r="10">
      <c r="A10" s="7" t="inlineStr">
        <is>
          <t>Студент2.7</t>
        </is>
      </c>
      <c r="B10" s="8">
        <f>IF(A10="","",COUNTIF(E10:AH10,"+")+COUNTIF(E10:AH10,"1"))</f>
        <v/>
      </c>
      <c r="C10" s="8">
        <f>IF(A10="","",IF(B10&gt;2*COUNTA(E$3:AH$3)/3,1,IF(B10&gt;=COUNTA(E$3:AH$3)/2,0.8,0.5)))</f>
        <v/>
      </c>
      <c r="D10" s="8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</row>
    <row r="11">
      <c r="A11" s="7" t="inlineStr">
        <is>
          <t>Студент2.8</t>
        </is>
      </c>
      <c r="B11" s="8">
        <f>IF(A11="","",COUNTIF(E11:AH11,"+")+COUNTIF(E11:AH11,"1"))</f>
        <v/>
      </c>
      <c r="C11" s="8">
        <f>IF(A11="","",IF(B11&gt;2*COUNTA(E$3:AH$3)/3,1,IF(B11&gt;=COUNTA(E$3:AH$3)/2,0.8,0.5)))</f>
        <v/>
      </c>
      <c r="D11" s="8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</row>
    <row r="12">
      <c r="A12" s="7" t="inlineStr">
        <is>
          <t>Студент2.9</t>
        </is>
      </c>
      <c r="B12" s="8">
        <f>IF(A12="","",COUNTIF(E12:AH12,"+")+COUNTIF(E12:AH12,"1"))</f>
        <v/>
      </c>
      <c r="C12" s="8">
        <f>IF(A12="","",IF(B12&gt;2*COUNTA(E$3:AH$3)/3,1,IF(B12&gt;=COUNTA(E$3:AH$3)/2,0.8,0.5)))</f>
        <v/>
      </c>
      <c r="D12" s="8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</row>
    <row r="13">
      <c r="A13" s="7" t="inlineStr">
        <is>
          <t>Студент2.10</t>
        </is>
      </c>
      <c r="B13" s="8">
        <f>IF(A13="","",COUNTIF(E13:AH13,"+")+COUNTIF(E13:AH13,"1"))</f>
        <v/>
      </c>
      <c r="C13" s="8">
        <f>IF(A13="","",IF(B13&gt;2*COUNTA(E$3:AH$3)/3,1,IF(B13&gt;=COUNTA(E$3:AH$3)/2,0.8,0.5)))</f>
        <v/>
      </c>
      <c r="D13" s="8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</row>
    <row r="14">
      <c r="A14" s="7" t="inlineStr">
        <is>
          <t>Студент2.11</t>
        </is>
      </c>
      <c r="B14" s="8">
        <f>IF(A14="","",COUNTIF(E14:AH14,"+")+COUNTIF(E14:AH14,"1"))</f>
        <v/>
      </c>
      <c r="C14" s="8">
        <f>IF(A14="","",IF(B14&gt;2*COUNTA(E$3:AH$3)/3,1,IF(B14&gt;=COUNTA(E$3:AH$3)/2,0.8,0.5)))</f>
        <v/>
      </c>
      <c r="D14" s="8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</row>
    <row r="15">
      <c r="A15" s="7" t="inlineStr">
        <is>
          <t>Студент2.12</t>
        </is>
      </c>
      <c r="B15" s="8">
        <f>IF(A15="","",COUNTIF(E15:AH15,"+")+COUNTIF(E15:AH15,"1"))</f>
        <v/>
      </c>
      <c r="C15" s="8">
        <f>IF(A15="","",IF(B15&gt;2*COUNTA(E$3:AH$3)/3,1,IF(B15&gt;=COUNTA(E$3:AH$3)/2,0.8,0.5)))</f>
        <v/>
      </c>
      <c r="D15" s="8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  <c r="AH15" s="9" t="n"/>
    </row>
    <row r="16">
      <c r="A16" s="7" t="inlineStr">
        <is>
          <t>Студент2.13</t>
        </is>
      </c>
      <c r="B16" s="8">
        <f>IF(A16="","",COUNTIF(E16:AH16,"+")+COUNTIF(E16:AH16,"1"))</f>
        <v/>
      </c>
      <c r="C16" s="8">
        <f>IF(A16="","",IF(B16&gt;2*COUNTA(E$3:AH$3)/3,1,IF(B16&gt;=COUNTA(E$3:AH$3)/2,0.8,0.5)))</f>
        <v/>
      </c>
      <c r="D16" s="8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  <c r="AH16" s="9" t="n"/>
    </row>
    <row r="17">
      <c r="A17" s="7" t="inlineStr">
        <is>
          <t>Студент2.14</t>
        </is>
      </c>
      <c r="B17" s="8">
        <f>IF(A17="","",COUNTIF(E17:AH17,"+")+COUNTIF(E17:AH17,"1"))</f>
        <v/>
      </c>
      <c r="C17" s="8">
        <f>IF(A17="","",IF(B17&gt;2*COUNTA(E$3:AH$3)/3,1,IF(B17&gt;=COUNTA(E$3:AH$3)/2,0.8,0.5)))</f>
        <v/>
      </c>
      <c r="D17" s="8" t="n"/>
      <c r="E17" s="9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</row>
    <row r="18">
      <c r="A18" s="7" t="inlineStr">
        <is>
          <t>Студент2.15</t>
        </is>
      </c>
      <c r="B18" s="8">
        <f>IF(A18="","",COUNTIF(E18:AH18,"+")+COUNTIF(E18:AH18,"1"))</f>
        <v/>
      </c>
      <c r="C18" s="8">
        <f>IF(A18="","",IF(B18&gt;2*COUNTA(E$3:AH$3)/3,1,IF(B18&gt;=COUNTA(E$3:AH$3)/2,0.8,0.5)))</f>
        <v/>
      </c>
      <c r="D18" s="8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</row>
    <row r="19">
      <c r="A19" s="7" t="inlineStr">
        <is>
          <t>Студент2.16</t>
        </is>
      </c>
      <c r="B19" s="8">
        <f>IF(A19="","",COUNTIF(E19:AH19,"+")+COUNTIF(E19:AH19,"1"))</f>
        <v/>
      </c>
      <c r="C19" s="8">
        <f>IF(A19="","",IF(B19&gt;2*COUNTA(E$3:AH$3)/3,1,IF(B19&gt;=COUNTA(E$3:AH$3)/2,0.8,0.5)))</f>
        <v/>
      </c>
      <c r="D19" s="8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</row>
    <row r="20">
      <c r="A20" s="7" t="inlineStr">
        <is>
          <t>Студент2.17</t>
        </is>
      </c>
      <c r="B20" s="8">
        <f>IF(A20="","",COUNTIF(E20:AH20,"+")+COUNTIF(E20:AH20,"1"))</f>
        <v/>
      </c>
      <c r="C20" s="8">
        <f>IF(A20="","",IF(B20&gt;2*COUNTA(E$3:AH$3)/3,1,IF(B20&gt;=COUNTA(E$3:AH$3)/2,0.8,0.5)))</f>
        <v/>
      </c>
      <c r="D20" s="8" t="n"/>
      <c r="E20" s="9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  <c r="AH20" s="9" t="n"/>
    </row>
    <row r="21">
      <c r="A21" s="7" t="inlineStr">
        <is>
          <t>Студент2.18</t>
        </is>
      </c>
      <c r="B21" s="8">
        <f>IF(A21="","",COUNTIF(E21:AH21,"+")+COUNTIF(E21:AH21,"1"))</f>
        <v/>
      </c>
      <c r="C21" s="8">
        <f>IF(A21="","",IF(B21&gt;2*COUNTA(E$3:AH$3)/3,1,IF(B21&gt;=COUNTA(E$3:AH$3)/2,0.8,0.5)))</f>
        <v/>
      </c>
      <c r="D21" s="8" t="n"/>
      <c r="E21" s="9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</row>
    <row r="22">
      <c r="A22" s="7" t="inlineStr">
        <is>
          <t>Студент2.19</t>
        </is>
      </c>
      <c r="B22" s="8">
        <f>IF(A22="","",COUNTIF(E22:AH22,"+")+COUNTIF(E22:AH22,"1"))</f>
        <v/>
      </c>
      <c r="C22" s="8">
        <f>IF(A22="","",IF(B22&gt;2*COUNTA(E$3:AH$3)/3,1,IF(B22&gt;=COUNTA(E$3:AH$3)/2,0.8,0.5)))</f>
        <v/>
      </c>
      <c r="D22" s="8" t="n"/>
      <c r="E22" s="9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  <c r="AH22" s="9" t="n"/>
    </row>
    <row r="23">
      <c r="A23" s="7" t="inlineStr">
        <is>
          <t>Студент2.20</t>
        </is>
      </c>
      <c r="B23" s="8">
        <f>IF(A23="","",COUNTIF(E23:AH23,"+")+COUNTIF(E23:AH23,"1"))</f>
        <v/>
      </c>
      <c r="C23" s="8">
        <f>IF(A23="","",IF(B23&gt;2*COUNTA(E$3:AH$3)/3,1,IF(B23&gt;=COUNTA(E$3:AH$3)/2,0.8,0.5)))</f>
        <v/>
      </c>
      <c r="D23" s="8" t="n"/>
      <c r="E23" s="9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  <c r="AH23" s="9" t="n"/>
    </row>
    <row r="24">
      <c r="A24" s="7" t="inlineStr">
        <is>
          <t>Студент2.21</t>
        </is>
      </c>
      <c r="B24" s="8">
        <f>IF(A24="","",COUNTIF(E24:AH24,"+")+COUNTIF(E24:AH24,"1"))</f>
        <v/>
      </c>
      <c r="C24" s="8">
        <f>IF(A24="","",IF(B24&gt;2*COUNTA(E$3:AH$3)/3,1,IF(B24&gt;=COUNTA(E$3:AH$3)/2,0.8,0.5)))</f>
        <v/>
      </c>
      <c r="D24" s="8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  <c r="AH24" s="9" t="n"/>
    </row>
    <row r="25">
      <c r="A25" s="7" t="inlineStr">
        <is>
          <t>Студент2.22</t>
        </is>
      </c>
      <c r="B25" s="8">
        <f>IF(A25="","",COUNTIF(E25:AH25,"+")+COUNTIF(E25:AH25,"1"))</f>
        <v/>
      </c>
      <c r="C25" s="8">
        <f>IF(A25="","",IF(B25&gt;2*COUNTA(E$3:AH$3)/3,1,IF(B25&gt;=COUNTA(E$3:AH$3)/2,0.8,0.5)))</f>
        <v/>
      </c>
      <c r="D25" s="8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  <c r="AH25" s="9" t="n"/>
    </row>
    <row r="26">
      <c r="A26" s="7" t="inlineStr">
        <is>
          <t>Студент2.23</t>
        </is>
      </c>
      <c r="B26" s="8">
        <f>IF(A26="","",COUNTIF(E26:AH26,"+")+COUNTIF(E26:AH26,"1"))</f>
        <v/>
      </c>
      <c r="C26" s="8">
        <f>IF(A26="","",IF(B26&gt;2*COUNTA(E$3:AH$3)/3,1,IF(B26&gt;=COUNTA(E$3:AH$3)/2,0.8,0.5)))</f>
        <v/>
      </c>
      <c r="D26" s="8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</row>
    <row r="27">
      <c r="A27" s="7" t="inlineStr">
        <is>
          <t>Студент2.24</t>
        </is>
      </c>
      <c r="B27" s="8">
        <f>IF(A27="","",COUNTIF(E27:AH27,"+")+COUNTIF(E27:AH27,"1"))</f>
        <v/>
      </c>
      <c r="C27" s="8">
        <f>IF(A27="","",IF(B27&gt;2*COUNTA(E$3:AH$3)/3,1,IF(B27&gt;=COUNTA(E$3:AH$3)/2,0.8,0.5)))</f>
        <v/>
      </c>
      <c r="D27" s="8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</row>
    <row r="28">
      <c r="A28" s="7" t="inlineStr">
        <is>
          <t>Студент2.25</t>
        </is>
      </c>
      <c r="B28" s="8">
        <f>IF(A28="","",COUNTIF(E28:AH28,"+")+COUNTIF(E28:AH28,"1"))</f>
        <v/>
      </c>
      <c r="C28" s="8">
        <f>IF(A28="","",IF(B28&gt;2*COUNTA(E$3:AH$3)/3,1,IF(B28&gt;=COUNTA(E$3:AH$3)/2,0.8,0.5)))</f>
        <v/>
      </c>
      <c r="D28" s="8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  <c r="AF28" s="9" t="n"/>
      <c r="AG28" s="9" t="n"/>
      <c r="AH28" s="9" t="n"/>
    </row>
    <row r="29">
      <c r="A29" s="7" t="inlineStr">
        <is>
          <t>Студент2.26</t>
        </is>
      </c>
      <c r="B29" s="8">
        <f>IF(A29="","",COUNTIF(E29:AH29,"+")+COUNTIF(E29:AH29,"1"))</f>
        <v/>
      </c>
      <c r="C29" s="8">
        <f>IF(A29="","",IF(B29&gt;2*COUNTA(E$3:AH$3)/3,1,IF(B29&gt;=COUNTA(E$3:AH$3)/2,0.8,0.5)))</f>
        <v/>
      </c>
      <c r="D29" s="8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  <c r="AH29" s="9" t="n"/>
    </row>
    <row r="30">
      <c r="A30" s="7" t="inlineStr">
        <is>
          <t>Студент2.27</t>
        </is>
      </c>
      <c r="B30" s="8">
        <f>IF(A30="","",COUNTIF(E30:AH30,"+")+COUNTIF(E30:AH30,"1"))</f>
        <v/>
      </c>
      <c r="C30" s="8">
        <f>IF(A30="","",IF(B30&gt;2*COUNTA(E$3:AH$3)/3,1,IF(B30&gt;=COUNTA(E$3:AH$3)/2,0.8,0.5)))</f>
        <v/>
      </c>
      <c r="D30" s="8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  <c r="AH30" s="9" t="n"/>
    </row>
    <row r="31">
      <c r="A31" s="7" t="inlineStr">
        <is>
          <t>Студент2.28</t>
        </is>
      </c>
      <c r="B31" s="8">
        <f>IF(A31="","",COUNTIF(E31:AH31,"+")+COUNTIF(E31:AH31,"1"))</f>
        <v/>
      </c>
      <c r="C31" s="8">
        <f>IF(A31="","",IF(B31&gt;2*COUNTA(E$3:AH$3)/3,1,IF(B31&gt;=COUNTA(E$3:AH$3)/2,0.8,0.5)))</f>
        <v/>
      </c>
      <c r="D31" s="8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  <c r="AH31" s="9" t="n"/>
    </row>
    <row r="32">
      <c r="A32" s="7" t="inlineStr">
        <is>
          <t>Студент2.29</t>
        </is>
      </c>
      <c r="B32" s="8">
        <f>IF(A32="","",COUNTIF(E32:AH32,"+")+COUNTIF(E32:AH32,"1"))</f>
        <v/>
      </c>
      <c r="C32" s="8">
        <f>IF(A32="","",IF(B32&gt;2*COUNTA(E$3:AH$3)/3,1,IF(B32&gt;=COUNTA(E$3:AH$3)/2,0.8,0.5)))</f>
        <v/>
      </c>
      <c r="D32" s="8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  <c r="AH32" s="9" t="n"/>
    </row>
    <row r="33">
      <c r="A33" s="7" t="inlineStr">
        <is>
          <t>Студент2.30</t>
        </is>
      </c>
      <c r="B33" s="8">
        <f>IF(A33="","",COUNTIF(E33:AH33,"+")+COUNTIF(E33:AH33,"1"))</f>
        <v/>
      </c>
      <c r="C33" s="8">
        <f>IF(A33="","",IF(B33&gt;2*COUNTA(E$3:AH$3)/3,1,IF(B33&gt;=COUNTA(E$3:AH$3)/2,0.8,0.5)))</f>
        <v/>
      </c>
      <c r="D33" s="8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</row>
  </sheetData>
  <mergeCells count="1">
    <mergeCell ref="A1:AI1"/>
  </mergeCells>
  <conditionalFormatting sqref="E4:AH33">
    <cfRule type="expression" priority="1" dxfId="0">
      <formula>E4="+"</formula>
    </cfRule>
    <cfRule type="expression" priority="2" dxfId="1">
      <formula>E4="1"</formula>
    </cfRule>
    <cfRule type="expression" priority="3" dxfId="2">
      <formula>E4="-"</formula>
    </cfRule>
  </conditionalFormatting>
  <conditionalFormatting sqref="B4:B33">
    <cfRule type="cellIs" priority="4" operator="greaterThanOrEqual" dxfId="3">
      <formula>21</formula>
    </cfRule>
    <cfRule type="cellIs" priority="5" operator="between" dxfId="4">
      <formula>15</formula>
      <formula>20</formula>
    </cfRule>
    <cfRule type="cellIs" priority="6" operator="lessThan" dxfId="5">
      <formula>15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9" customWidth="1" min="2" max="2"/>
    <col width="14" customWidth="1" min="3" max="3"/>
    <col width="14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</cols>
  <sheetData>
    <row r="1" hidden="1">
      <c r="A1" s="1" t="inlineStr">
        <is>
          <t>Практика 4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S</t>
        </is>
      </c>
      <c r="C3" s="4" t="inlineStr">
        <is>
          <t>Коэффициент</t>
        </is>
      </c>
      <c r="D3" s="5" t="inlineStr">
        <is>
          <t>D за практику</t>
        </is>
      </c>
      <c r="E3" s="6" t="inlineStr">
        <is>
          <t>1</t>
        </is>
      </c>
      <c r="F3" s="6" t="inlineStr">
        <is>
          <t>2</t>
        </is>
      </c>
      <c r="G3" s="6" t="inlineStr">
        <is>
          <t>3</t>
        </is>
      </c>
      <c r="H3" s="6" t="inlineStr">
        <is>
          <t>4</t>
        </is>
      </c>
      <c r="I3" s="6" t="inlineStr">
        <is>
          <t>5</t>
        </is>
      </c>
      <c r="J3" s="6" t="inlineStr">
        <is>
          <t>6</t>
        </is>
      </c>
      <c r="K3" s="6" t="inlineStr">
        <is>
          <t>7</t>
        </is>
      </c>
      <c r="L3" s="6" t="inlineStr">
        <is>
          <t>8</t>
        </is>
      </c>
      <c r="M3" s="6" t="inlineStr">
        <is>
          <t>9</t>
        </is>
      </c>
      <c r="N3" s="6" t="inlineStr">
        <is>
          <t>10</t>
        </is>
      </c>
      <c r="O3" s="6" t="inlineStr">
        <is>
          <t>11</t>
        </is>
      </c>
      <c r="P3" s="6" t="inlineStr">
        <is>
          <t>12</t>
        </is>
      </c>
      <c r="Q3" s="6" t="inlineStr">
        <is>
          <t>13</t>
        </is>
      </c>
      <c r="R3" s="6" t="inlineStr">
        <is>
          <t>14</t>
        </is>
      </c>
      <c r="S3" s="6" t="inlineStr">
        <is>
          <t>15</t>
        </is>
      </c>
      <c r="T3" s="6" t="inlineStr">
        <is>
          <t>16</t>
        </is>
      </c>
      <c r="U3" s="6" t="inlineStr">
        <is>
          <t>17</t>
        </is>
      </c>
      <c r="V3" s="6" t="inlineStr">
        <is>
          <t>18</t>
        </is>
      </c>
      <c r="W3" s="6" t="inlineStr">
        <is>
          <t>19</t>
        </is>
      </c>
      <c r="X3" s="6" t="inlineStr">
        <is>
          <t>20</t>
        </is>
      </c>
      <c r="Y3" s="6" t="inlineStr">
        <is>
          <t>21</t>
        </is>
      </c>
      <c r="Z3" s="6" t="inlineStr">
        <is>
          <t>22</t>
        </is>
      </c>
      <c r="AA3" s="6" t="inlineStr">
        <is>
          <t>23</t>
        </is>
      </c>
      <c r="AB3" s="6" t="inlineStr">
        <is>
          <t>24</t>
        </is>
      </c>
      <c r="AC3" s="6" t="inlineStr">
        <is>
          <t>25</t>
        </is>
      </c>
      <c r="AD3" s="6" t="inlineStr">
        <is>
          <t>26</t>
        </is>
      </c>
      <c r="AE3" s="6" t="inlineStr">
        <is>
          <t>27</t>
        </is>
      </c>
      <c r="AF3" s="6" t="inlineStr">
        <is>
          <t>28</t>
        </is>
      </c>
      <c r="AG3" s="6" t="inlineStr">
        <is>
          <t>29</t>
        </is>
      </c>
      <c r="AH3" s="6" t="inlineStr">
        <is>
          <t>30</t>
        </is>
      </c>
    </row>
    <row r="4">
      <c r="A4" s="7" t="inlineStr">
        <is>
          <t>Студент2.1</t>
        </is>
      </c>
      <c r="B4" s="8">
        <f>IF(A4="","",COUNTIF(E4:AH4,"+")+COUNTIF(E4:AH4,"1"))</f>
        <v/>
      </c>
      <c r="C4" s="8">
        <f>IF(A4="","",IF(B4&gt;2*COUNTA(E$3:AH$3)/3,1,IF(B4&gt;=COUNTA(E$3:AH$3)/2,0.8,0.5)))</f>
        <v/>
      </c>
      <c r="D4" s="8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  <c r="AC4" s="9" t="n"/>
      <c r="AD4" s="9" t="n"/>
      <c r="AE4" s="9" t="n"/>
      <c r="AF4" s="9" t="n"/>
      <c r="AG4" s="9" t="n"/>
      <c r="AH4" s="9" t="n"/>
    </row>
    <row r="5">
      <c r="A5" s="7" t="inlineStr">
        <is>
          <t>Студент2.2</t>
        </is>
      </c>
      <c r="B5" s="8">
        <f>IF(A5="","",COUNTIF(E5:AH5,"+")+COUNTIF(E5:AH5,"1"))</f>
        <v/>
      </c>
      <c r="C5" s="8">
        <f>IF(A5="","",IF(B5&gt;2*COUNTA(E$3:AH$3)/3,1,IF(B5&gt;=COUNTA(E$3:AH$3)/2,0.8,0.5)))</f>
        <v/>
      </c>
      <c r="D5" s="8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</row>
    <row r="6">
      <c r="A6" s="7" t="inlineStr">
        <is>
          <t>Студент2.3</t>
        </is>
      </c>
      <c r="B6" s="8">
        <f>IF(A6="","",COUNTIF(E6:AH6,"+")+COUNTIF(E6:AH6,"1"))</f>
        <v/>
      </c>
      <c r="C6" s="8">
        <f>IF(A6="","",IF(B6&gt;2*COUNTA(E$3:AH$3)/3,1,IF(B6&gt;=COUNTA(E$3:AH$3)/2,0.8,0.5)))</f>
        <v/>
      </c>
      <c r="D6" s="8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</row>
    <row r="7">
      <c r="A7" s="7" t="inlineStr">
        <is>
          <t>Студент2.4</t>
        </is>
      </c>
      <c r="B7" s="8">
        <f>IF(A7="","",COUNTIF(E7:AH7,"+")+COUNTIF(E7:AH7,"1"))</f>
        <v/>
      </c>
      <c r="C7" s="8">
        <f>IF(A7="","",IF(B7&gt;2*COUNTA(E$3:AH$3)/3,1,IF(B7&gt;=COUNTA(E$3:AH$3)/2,0.8,0.5)))</f>
        <v/>
      </c>
      <c r="D7" s="8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</row>
    <row r="8">
      <c r="A8" s="7" t="inlineStr">
        <is>
          <t>Студент2.5</t>
        </is>
      </c>
      <c r="B8" s="8">
        <f>IF(A8="","",COUNTIF(E8:AH8,"+")+COUNTIF(E8:AH8,"1"))</f>
        <v/>
      </c>
      <c r="C8" s="8">
        <f>IF(A8="","",IF(B8&gt;2*COUNTA(E$3:AH$3)/3,1,IF(B8&gt;=COUNTA(E$3:AH$3)/2,0.8,0.5)))</f>
        <v/>
      </c>
      <c r="D8" s="8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</row>
    <row r="9">
      <c r="A9" s="7" t="inlineStr">
        <is>
          <t>Студент2.6</t>
        </is>
      </c>
      <c r="B9" s="8">
        <f>IF(A9="","",COUNTIF(E9:AH9,"+")+COUNTIF(E9:AH9,"1"))</f>
        <v/>
      </c>
      <c r="C9" s="8">
        <f>IF(A9="","",IF(B9&gt;2*COUNTA(E$3:AH$3)/3,1,IF(B9&gt;=COUNTA(E$3:AH$3)/2,0.8,0.5)))</f>
        <v/>
      </c>
      <c r="D9" s="8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</row>
    <row r="10">
      <c r="A10" s="7" t="inlineStr">
        <is>
          <t>Студент2.7</t>
        </is>
      </c>
      <c r="B10" s="8">
        <f>IF(A10="","",COUNTIF(E10:AH10,"+")+COUNTIF(E10:AH10,"1"))</f>
        <v/>
      </c>
      <c r="C10" s="8">
        <f>IF(A10="","",IF(B10&gt;2*COUNTA(E$3:AH$3)/3,1,IF(B10&gt;=COUNTA(E$3:AH$3)/2,0.8,0.5)))</f>
        <v/>
      </c>
      <c r="D10" s="8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</row>
    <row r="11">
      <c r="A11" s="7" t="inlineStr">
        <is>
          <t>Студент2.8</t>
        </is>
      </c>
      <c r="B11" s="8">
        <f>IF(A11="","",COUNTIF(E11:AH11,"+")+COUNTIF(E11:AH11,"1"))</f>
        <v/>
      </c>
      <c r="C11" s="8">
        <f>IF(A11="","",IF(B11&gt;2*COUNTA(E$3:AH$3)/3,1,IF(B11&gt;=COUNTA(E$3:AH$3)/2,0.8,0.5)))</f>
        <v/>
      </c>
      <c r="D11" s="8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</row>
    <row r="12">
      <c r="A12" s="7" t="inlineStr">
        <is>
          <t>Студент2.9</t>
        </is>
      </c>
      <c r="B12" s="8">
        <f>IF(A12="","",COUNTIF(E12:AH12,"+")+COUNTIF(E12:AH12,"1"))</f>
        <v/>
      </c>
      <c r="C12" s="8">
        <f>IF(A12="","",IF(B12&gt;2*COUNTA(E$3:AH$3)/3,1,IF(B12&gt;=COUNTA(E$3:AH$3)/2,0.8,0.5)))</f>
        <v/>
      </c>
      <c r="D12" s="8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</row>
    <row r="13">
      <c r="A13" s="7" t="inlineStr">
        <is>
          <t>Студент2.10</t>
        </is>
      </c>
      <c r="B13" s="8">
        <f>IF(A13="","",COUNTIF(E13:AH13,"+")+COUNTIF(E13:AH13,"1"))</f>
        <v/>
      </c>
      <c r="C13" s="8">
        <f>IF(A13="","",IF(B13&gt;2*COUNTA(E$3:AH$3)/3,1,IF(B13&gt;=COUNTA(E$3:AH$3)/2,0.8,0.5)))</f>
        <v/>
      </c>
      <c r="D13" s="8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</row>
    <row r="14">
      <c r="A14" s="7" t="inlineStr">
        <is>
          <t>Студент2.11</t>
        </is>
      </c>
      <c r="B14" s="8">
        <f>IF(A14="","",COUNTIF(E14:AH14,"+")+COUNTIF(E14:AH14,"1"))</f>
        <v/>
      </c>
      <c r="C14" s="8">
        <f>IF(A14="","",IF(B14&gt;2*COUNTA(E$3:AH$3)/3,1,IF(B14&gt;=COUNTA(E$3:AH$3)/2,0.8,0.5)))</f>
        <v/>
      </c>
      <c r="D14" s="8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</row>
    <row r="15">
      <c r="A15" s="7" t="inlineStr">
        <is>
          <t>Студент2.12</t>
        </is>
      </c>
      <c r="B15" s="8">
        <f>IF(A15="","",COUNTIF(E15:AH15,"+")+COUNTIF(E15:AH15,"1"))</f>
        <v/>
      </c>
      <c r="C15" s="8">
        <f>IF(A15="","",IF(B15&gt;2*COUNTA(E$3:AH$3)/3,1,IF(B15&gt;=COUNTA(E$3:AH$3)/2,0.8,0.5)))</f>
        <v/>
      </c>
      <c r="D15" s="8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  <c r="AH15" s="9" t="n"/>
    </row>
    <row r="16">
      <c r="A16" s="7" t="inlineStr">
        <is>
          <t>Студент2.13</t>
        </is>
      </c>
      <c r="B16" s="8">
        <f>IF(A16="","",COUNTIF(E16:AH16,"+")+COUNTIF(E16:AH16,"1"))</f>
        <v/>
      </c>
      <c r="C16" s="8">
        <f>IF(A16="","",IF(B16&gt;2*COUNTA(E$3:AH$3)/3,1,IF(B16&gt;=COUNTA(E$3:AH$3)/2,0.8,0.5)))</f>
        <v/>
      </c>
      <c r="D16" s="8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  <c r="AH16" s="9" t="n"/>
    </row>
    <row r="17">
      <c r="A17" s="7" t="inlineStr">
        <is>
          <t>Студент2.14</t>
        </is>
      </c>
      <c r="B17" s="8">
        <f>IF(A17="","",COUNTIF(E17:AH17,"+")+COUNTIF(E17:AH17,"1"))</f>
        <v/>
      </c>
      <c r="C17" s="8">
        <f>IF(A17="","",IF(B17&gt;2*COUNTA(E$3:AH$3)/3,1,IF(B17&gt;=COUNTA(E$3:AH$3)/2,0.8,0.5)))</f>
        <v/>
      </c>
      <c r="D17" s="8" t="n"/>
      <c r="E17" s="9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</row>
    <row r="18">
      <c r="A18" s="7" t="inlineStr">
        <is>
          <t>Студент2.15</t>
        </is>
      </c>
      <c r="B18" s="8">
        <f>IF(A18="","",COUNTIF(E18:AH18,"+")+COUNTIF(E18:AH18,"1"))</f>
        <v/>
      </c>
      <c r="C18" s="8">
        <f>IF(A18="","",IF(B18&gt;2*COUNTA(E$3:AH$3)/3,1,IF(B18&gt;=COUNTA(E$3:AH$3)/2,0.8,0.5)))</f>
        <v/>
      </c>
      <c r="D18" s="8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</row>
    <row r="19">
      <c r="A19" s="7" t="inlineStr">
        <is>
          <t>Студент2.16</t>
        </is>
      </c>
      <c r="B19" s="8">
        <f>IF(A19="","",COUNTIF(E19:AH19,"+")+COUNTIF(E19:AH19,"1"))</f>
        <v/>
      </c>
      <c r="C19" s="8">
        <f>IF(A19="","",IF(B19&gt;2*COUNTA(E$3:AH$3)/3,1,IF(B19&gt;=COUNTA(E$3:AH$3)/2,0.8,0.5)))</f>
        <v/>
      </c>
      <c r="D19" s="8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</row>
    <row r="20">
      <c r="A20" s="7" t="inlineStr">
        <is>
          <t>Студент2.17</t>
        </is>
      </c>
      <c r="B20" s="8">
        <f>IF(A20="","",COUNTIF(E20:AH20,"+")+COUNTIF(E20:AH20,"1"))</f>
        <v/>
      </c>
      <c r="C20" s="8">
        <f>IF(A20="","",IF(B20&gt;2*COUNTA(E$3:AH$3)/3,1,IF(B20&gt;=COUNTA(E$3:AH$3)/2,0.8,0.5)))</f>
        <v/>
      </c>
      <c r="D20" s="8" t="n"/>
      <c r="E20" s="9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  <c r="AH20" s="9" t="n"/>
    </row>
    <row r="21">
      <c r="A21" s="7" t="inlineStr">
        <is>
          <t>Студент2.18</t>
        </is>
      </c>
      <c r="B21" s="8">
        <f>IF(A21="","",COUNTIF(E21:AH21,"+")+COUNTIF(E21:AH21,"1"))</f>
        <v/>
      </c>
      <c r="C21" s="8">
        <f>IF(A21="","",IF(B21&gt;2*COUNTA(E$3:AH$3)/3,1,IF(B21&gt;=COUNTA(E$3:AH$3)/2,0.8,0.5)))</f>
        <v/>
      </c>
      <c r="D21" s="8" t="n"/>
      <c r="E21" s="9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</row>
    <row r="22">
      <c r="A22" s="7" t="inlineStr">
        <is>
          <t>Студент2.19</t>
        </is>
      </c>
      <c r="B22" s="8">
        <f>IF(A22="","",COUNTIF(E22:AH22,"+")+COUNTIF(E22:AH22,"1"))</f>
        <v/>
      </c>
      <c r="C22" s="8">
        <f>IF(A22="","",IF(B22&gt;2*COUNTA(E$3:AH$3)/3,1,IF(B22&gt;=COUNTA(E$3:AH$3)/2,0.8,0.5)))</f>
        <v/>
      </c>
      <c r="D22" s="8" t="n"/>
      <c r="E22" s="9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  <c r="AH22" s="9" t="n"/>
    </row>
    <row r="23">
      <c r="A23" s="7" t="inlineStr">
        <is>
          <t>Студент2.20</t>
        </is>
      </c>
      <c r="B23" s="8">
        <f>IF(A23="","",COUNTIF(E23:AH23,"+")+COUNTIF(E23:AH23,"1"))</f>
        <v/>
      </c>
      <c r="C23" s="8">
        <f>IF(A23="","",IF(B23&gt;2*COUNTA(E$3:AH$3)/3,1,IF(B23&gt;=COUNTA(E$3:AH$3)/2,0.8,0.5)))</f>
        <v/>
      </c>
      <c r="D23" s="8" t="n"/>
      <c r="E23" s="9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  <c r="AH23" s="9" t="n"/>
    </row>
    <row r="24">
      <c r="A24" s="7" t="inlineStr">
        <is>
          <t>Студент2.21</t>
        </is>
      </c>
      <c r="B24" s="8">
        <f>IF(A24="","",COUNTIF(E24:AH24,"+")+COUNTIF(E24:AH24,"1"))</f>
        <v/>
      </c>
      <c r="C24" s="8">
        <f>IF(A24="","",IF(B24&gt;2*COUNTA(E$3:AH$3)/3,1,IF(B24&gt;=COUNTA(E$3:AH$3)/2,0.8,0.5)))</f>
        <v/>
      </c>
      <c r="D24" s="8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  <c r="AH24" s="9" t="n"/>
    </row>
    <row r="25">
      <c r="A25" s="7" t="inlineStr">
        <is>
          <t>Студент2.22</t>
        </is>
      </c>
      <c r="B25" s="8">
        <f>IF(A25="","",COUNTIF(E25:AH25,"+")+COUNTIF(E25:AH25,"1"))</f>
        <v/>
      </c>
      <c r="C25" s="8">
        <f>IF(A25="","",IF(B25&gt;2*COUNTA(E$3:AH$3)/3,1,IF(B25&gt;=COUNTA(E$3:AH$3)/2,0.8,0.5)))</f>
        <v/>
      </c>
      <c r="D25" s="8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  <c r="AH25" s="9" t="n"/>
    </row>
    <row r="26">
      <c r="A26" s="7" t="inlineStr">
        <is>
          <t>Студент2.23</t>
        </is>
      </c>
      <c r="B26" s="8">
        <f>IF(A26="","",COUNTIF(E26:AH26,"+")+COUNTIF(E26:AH26,"1"))</f>
        <v/>
      </c>
      <c r="C26" s="8">
        <f>IF(A26="","",IF(B26&gt;2*COUNTA(E$3:AH$3)/3,1,IF(B26&gt;=COUNTA(E$3:AH$3)/2,0.8,0.5)))</f>
        <v/>
      </c>
      <c r="D26" s="8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</row>
    <row r="27">
      <c r="A27" s="7" t="inlineStr">
        <is>
          <t>Студент2.24</t>
        </is>
      </c>
      <c r="B27" s="8">
        <f>IF(A27="","",COUNTIF(E27:AH27,"+")+COUNTIF(E27:AH27,"1"))</f>
        <v/>
      </c>
      <c r="C27" s="8">
        <f>IF(A27="","",IF(B27&gt;2*COUNTA(E$3:AH$3)/3,1,IF(B27&gt;=COUNTA(E$3:AH$3)/2,0.8,0.5)))</f>
        <v/>
      </c>
      <c r="D27" s="8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</row>
    <row r="28">
      <c r="A28" s="7" t="inlineStr">
        <is>
          <t>Студент2.25</t>
        </is>
      </c>
      <c r="B28" s="8">
        <f>IF(A28="","",COUNTIF(E28:AH28,"+")+COUNTIF(E28:AH28,"1"))</f>
        <v/>
      </c>
      <c r="C28" s="8">
        <f>IF(A28="","",IF(B28&gt;2*COUNTA(E$3:AH$3)/3,1,IF(B28&gt;=COUNTA(E$3:AH$3)/2,0.8,0.5)))</f>
        <v/>
      </c>
      <c r="D28" s="8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  <c r="AF28" s="9" t="n"/>
      <c r="AG28" s="9" t="n"/>
      <c r="AH28" s="9" t="n"/>
    </row>
    <row r="29">
      <c r="A29" s="7" t="inlineStr">
        <is>
          <t>Студент2.26</t>
        </is>
      </c>
      <c r="B29" s="8">
        <f>IF(A29="","",COUNTIF(E29:AH29,"+")+COUNTIF(E29:AH29,"1"))</f>
        <v/>
      </c>
      <c r="C29" s="8">
        <f>IF(A29="","",IF(B29&gt;2*COUNTA(E$3:AH$3)/3,1,IF(B29&gt;=COUNTA(E$3:AH$3)/2,0.8,0.5)))</f>
        <v/>
      </c>
      <c r="D29" s="8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  <c r="AH29" s="9" t="n"/>
    </row>
    <row r="30">
      <c r="A30" s="7" t="inlineStr">
        <is>
          <t>Студент2.27</t>
        </is>
      </c>
      <c r="B30" s="8">
        <f>IF(A30="","",COUNTIF(E30:AH30,"+")+COUNTIF(E30:AH30,"1"))</f>
        <v/>
      </c>
      <c r="C30" s="8">
        <f>IF(A30="","",IF(B30&gt;2*COUNTA(E$3:AH$3)/3,1,IF(B30&gt;=COUNTA(E$3:AH$3)/2,0.8,0.5)))</f>
        <v/>
      </c>
      <c r="D30" s="8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  <c r="AH30" s="9" t="n"/>
    </row>
    <row r="31">
      <c r="A31" s="7" t="inlineStr">
        <is>
          <t>Студент2.28</t>
        </is>
      </c>
      <c r="B31" s="8">
        <f>IF(A31="","",COUNTIF(E31:AH31,"+")+COUNTIF(E31:AH31,"1"))</f>
        <v/>
      </c>
      <c r="C31" s="8">
        <f>IF(A31="","",IF(B31&gt;2*COUNTA(E$3:AH$3)/3,1,IF(B31&gt;=COUNTA(E$3:AH$3)/2,0.8,0.5)))</f>
        <v/>
      </c>
      <c r="D31" s="8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  <c r="AH31" s="9" t="n"/>
    </row>
    <row r="32">
      <c r="A32" s="7" t="inlineStr">
        <is>
          <t>Студент2.29</t>
        </is>
      </c>
      <c r="B32" s="8">
        <f>IF(A32="","",COUNTIF(E32:AH32,"+")+COUNTIF(E32:AH32,"1"))</f>
        <v/>
      </c>
      <c r="C32" s="8">
        <f>IF(A32="","",IF(B32&gt;2*COUNTA(E$3:AH$3)/3,1,IF(B32&gt;=COUNTA(E$3:AH$3)/2,0.8,0.5)))</f>
        <v/>
      </c>
      <c r="D32" s="8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  <c r="AH32" s="9" t="n"/>
    </row>
    <row r="33">
      <c r="A33" s="7" t="inlineStr">
        <is>
          <t>Студент2.30</t>
        </is>
      </c>
      <c r="B33" s="8">
        <f>IF(A33="","",COUNTIF(E33:AH33,"+")+COUNTIF(E33:AH33,"1"))</f>
        <v/>
      </c>
      <c r="C33" s="8">
        <f>IF(A33="","",IF(B33&gt;2*COUNTA(E$3:AH$3)/3,1,IF(B33&gt;=COUNTA(E$3:AH$3)/2,0.8,0.5)))</f>
        <v/>
      </c>
      <c r="D33" s="8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</row>
  </sheetData>
  <mergeCells count="1">
    <mergeCell ref="A1:AI1"/>
  </mergeCells>
  <conditionalFormatting sqref="E4:AH33">
    <cfRule type="expression" priority="1" dxfId="0">
      <formula>E4="+"</formula>
    </cfRule>
    <cfRule type="expression" priority="2" dxfId="1">
      <formula>E4="1"</formula>
    </cfRule>
    <cfRule type="expression" priority="3" dxfId="2">
      <formula>E4="-"</formula>
    </cfRule>
  </conditionalFormatting>
  <conditionalFormatting sqref="B4:B33">
    <cfRule type="cellIs" priority="4" operator="greaterThanOrEqual" dxfId="3">
      <formula>21</formula>
    </cfRule>
    <cfRule type="cellIs" priority="5" operator="between" dxfId="4">
      <formula>15</formula>
      <formula>20</formula>
    </cfRule>
    <cfRule type="cellIs" priority="6" operator="lessThan" dxfId="5">
      <formula>15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9" customWidth="1" min="2" max="2"/>
    <col width="14" customWidth="1" min="3" max="3"/>
    <col width="14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</cols>
  <sheetData>
    <row r="1" hidden="1">
      <c r="A1" s="1" t="inlineStr">
        <is>
          <t>Практика 5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S</t>
        </is>
      </c>
      <c r="C3" s="4" t="inlineStr">
        <is>
          <t>Коэффициент</t>
        </is>
      </c>
      <c r="D3" s="5" t="inlineStr">
        <is>
          <t>D за практику</t>
        </is>
      </c>
      <c r="E3" s="6" t="inlineStr">
        <is>
          <t>1</t>
        </is>
      </c>
      <c r="F3" s="6" t="inlineStr">
        <is>
          <t>2</t>
        </is>
      </c>
      <c r="G3" s="6" t="inlineStr">
        <is>
          <t>3</t>
        </is>
      </c>
      <c r="H3" s="6" t="inlineStr">
        <is>
          <t>4</t>
        </is>
      </c>
      <c r="I3" s="6" t="inlineStr">
        <is>
          <t>5</t>
        </is>
      </c>
      <c r="J3" s="6" t="inlineStr">
        <is>
          <t>6</t>
        </is>
      </c>
      <c r="K3" s="6" t="inlineStr">
        <is>
          <t>7</t>
        </is>
      </c>
      <c r="L3" s="6" t="inlineStr">
        <is>
          <t>8</t>
        </is>
      </c>
      <c r="M3" s="6" t="inlineStr">
        <is>
          <t>9</t>
        </is>
      </c>
      <c r="N3" s="6" t="inlineStr">
        <is>
          <t>10</t>
        </is>
      </c>
      <c r="O3" s="6" t="inlineStr">
        <is>
          <t>11</t>
        </is>
      </c>
      <c r="P3" s="6" t="inlineStr">
        <is>
          <t>12</t>
        </is>
      </c>
      <c r="Q3" s="6" t="inlineStr">
        <is>
          <t>13</t>
        </is>
      </c>
      <c r="R3" s="6" t="inlineStr">
        <is>
          <t>14</t>
        </is>
      </c>
      <c r="S3" s="6" t="inlineStr">
        <is>
          <t>15</t>
        </is>
      </c>
      <c r="T3" s="6" t="inlineStr">
        <is>
          <t>16</t>
        </is>
      </c>
      <c r="U3" s="6" t="inlineStr">
        <is>
          <t>17</t>
        </is>
      </c>
      <c r="V3" s="6" t="inlineStr">
        <is>
          <t>18</t>
        </is>
      </c>
      <c r="W3" s="6" t="inlineStr">
        <is>
          <t>19</t>
        </is>
      </c>
      <c r="X3" s="6" t="inlineStr">
        <is>
          <t>20</t>
        </is>
      </c>
      <c r="Y3" s="6" t="inlineStr">
        <is>
          <t>21</t>
        </is>
      </c>
      <c r="Z3" s="6" t="inlineStr">
        <is>
          <t>22</t>
        </is>
      </c>
      <c r="AA3" s="6" t="inlineStr">
        <is>
          <t>23</t>
        </is>
      </c>
      <c r="AB3" s="6" t="inlineStr">
        <is>
          <t>24</t>
        </is>
      </c>
      <c r="AC3" s="6" t="inlineStr">
        <is>
          <t>25</t>
        </is>
      </c>
      <c r="AD3" s="6" t="inlineStr">
        <is>
          <t>26</t>
        </is>
      </c>
      <c r="AE3" s="6" t="inlineStr">
        <is>
          <t>27</t>
        </is>
      </c>
      <c r="AF3" s="6" t="inlineStr">
        <is>
          <t>28</t>
        </is>
      </c>
      <c r="AG3" s="6" t="inlineStr">
        <is>
          <t>29</t>
        </is>
      </c>
      <c r="AH3" s="6" t="inlineStr">
        <is>
          <t>30</t>
        </is>
      </c>
    </row>
    <row r="4">
      <c r="A4" s="7" t="inlineStr">
        <is>
          <t>Студент2.1</t>
        </is>
      </c>
      <c r="B4" s="8">
        <f>IF(A4="","",COUNTIF(E4:AH4,"+")+COUNTIF(E4:AH4,"1"))</f>
        <v/>
      </c>
      <c r="C4" s="8">
        <f>IF(A4="","",IF(B4&gt;2*COUNTA(E$3:AH$3)/3,1,IF(B4&gt;=COUNTA(E$3:AH$3)/2,0.8,0.5)))</f>
        <v/>
      </c>
      <c r="D4" s="8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  <c r="AC4" s="9" t="n"/>
      <c r="AD4" s="9" t="n"/>
      <c r="AE4" s="9" t="n"/>
      <c r="AF4" s="9" t="n"/>
      <c r="AG4" s="9" t="n"/>
      <c r="AH4" s="9" t="n"/>
    </row>
    <row r="5">
      <c r="A5" s="7" t="inlineStr">
        <is>
          <t>Студент2.2</t>
        </is>
      </c>
      <c r="B5" s="8">
        <f>IF(A5="","",COUNTIF(E5:AH5,"+")+COUNTIF(E5:AH5,"1"))</f>
        <v/>
      </c>
      <c r="C5" s="8">
        <f>IF(A5="","",IF(B5&gt;2*COUNTA(E$3:AH$3)/3,1,IF(B5&gt;=COUNTA(E$3:AH$3)/2,0.8,0.5)))</f>
        <v/>
      </c>
      <c r="D5" s="8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</row>
    <row r="6">
      <c r="A6" s="7" t="inlineStr">
        <is>
          <t>Студент2.3</t>
        </is>
      </c>
      <c r="B6" s="8">
        <f>IF(A6="","",COUNTIF(E6:AH6,"+")+COUNTIF(E6:AH6,"1"))</f>
        <v/>
      </c>
      <c r="C6" s="8">
        <f>IF(A6="","",IF(B6&gt;2*COUNTA(E$3:AH$3)/3,1,IF(B6&gt;=COUNTA(E$3:AH$3)/2,0.8,0.5)))</f>
        <v/>
      </c>
      <c r="D6" s="8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</row>
    <row r="7">
      <c r="A7" s="7" t="inlineStr">
        <is>
          <t>Студент2.4</t>
        </is>
      </c>
      <c r="B7" s="8">
        <f>IF(A7="","",COUNTIF(E7:AH7,"+")+COUNTIF(E7:AH7,"1"))</f>
        <v/>
      </c>
      <c r="C7" s="8">
        <f>IF(A7="","",IF(B7&gt;2*COUNTA(E$3:AH$3)/3,1,IF(B7&gt;=COUNTA(E$3:AH$3)/2,0.8,0.5)))</f>
        <v/>
      </c>
      <c r="D7" s="8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</row>
    <row r="8">
      <c r="A8" s="7" t="inlineStr">
        <is>
          <t>Студент2.5</t>
        </is>
      </c>
      <c r="B8" s="8">
        <f>IF(A8="","",COUNTIF(E8:AH8,"+")+COUNTIF(E8:AH8,"1"))</f>
        <v/>
      </c>
      <c r="C8" s="8">
        <f>IF(A8="","",IF(B8&gt;2*COUNTA(E$3:AH$3)/3,1,IF(B8&gt;=COUNTA(E$3:AH$3)/2,0.8,0.5)))</f>
        <v/>
      </c>
      <c r="D8" s="8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</row>
    <row r="9">
      <c r="A9" s="7" t="inlineStr">
        <is>
          <t>Студент2.6</t>
        </is>
      </c>
      <c r="B9" s="8">
        <f>IF(A9="","",COUNTIF(E9:AH9,"+")+COUNTIF(E9:AH9,"1"))</f>
        <v/>
      </c>
      <c r="C9" s="8">
        <f>IF(A9="","",IF(B9&gt;2*COUNTA(E$3:AH$3)/3,1,IF(B9&gt;=COUNTA(E$3:AH$3)/2,0.8,0.5)))</f>
        <v/>
      </c>
      <c r="D9" s="8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</row>
    <row r="10">
      <c r="A10" s="7" t="inlineStr">
        <is>
          <t>Студент2.7</t>
        </is>
      </c>
      <c r="B10" s="8">
        <f>IF(A10="","",COUNTIF(E10:AH10,"+")+COUNTIF(E10:AH10,"1"))</f>
        <v/>
      </c>
      <c r="C10" s="8">
        <f>IF(A10="","",IF(B10&gt;2*COUNTA(E$3:AH$3)/3,1,IF(B10&gt;=COUNTA(E$3:AH$3)/2,0.8,0.5)))</f>
        <v/>
      </c>
      <c r="D10" s="8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</row>
    <row r="11">
      <c r="A11" s="7" t="inlineStr">
        <is>
          <t>Студент2.8</t>
        </is>
      </c>
      <c r="B11" s="8">
        <f>IF(A11="","",COUNTIF(E11:AH11,"+")+COUNTIF(E11:AH11,"1"))</f>
        <v/>
      </c>
      <c r="C11" s="8">
        <f>IF(A11="","",IF(B11&gt;2*COUNTA(E$3:AH$3)/3,1,IF(B11&gt;=COUNTA(E$3:AH$3)/2,0.8,0.5)))</f>
        <v/>
      </c>
      <c r="D11" s="8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</row>
    <row r="12">
      <c r="A12" s="7" t="inlineStr">
        <is>
          <t>Студент2.9</t>
        </is>
      </c>
      <c r="B12" s="8">
        <f>IF(A12="","",COUNTIF(E12:AH12,"+")+COUNTIF(E12:AH12,"1"))</f>
        <v/>
      </c>
      <c r="C12" s="8">
        <f>IF(A12="","",IF(B12&gt;2*COUNTA(E$3:AH$3)/3,1,IF(B12&gt;=COUNTA(E$3:AH$3)/2,0.8,0.5)))</f>
        <v/>
      </c>
      <c r="D12" s="8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</row>
    <row r="13">
      <c r="A13" s="7" t="inlineStr">
        <is>
          <t>Студент2.10</t>
        </is>
      </c>
      <c r="B13" s="8">
        <f>IF(A13="","",COUNTIF(E13:AH13,"+")+COUNTIF(E13:AH13,"1"))</f>
        <v/>
      </c>
      <c r="C13" s="8">
        <f>IF(A13="","",IF(B13&gt;2*COUNTA(E$3:AH$3)/3,1,IF(B13&gt;=COUNTA(E$3:AH$3)/2,0.8,0.5)))</f>
        <v/>
      </c>
      <c r="D13" s="8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</row>
    <row r="14">
      <c r="A14" s="7" t="inlineStr">
        <is>
          <t>Студент2.11</t>
        </is>
      </c>
      <c r="B14" s="8">
        <f>IF(A14="","",COUNTIF(E14:AH14,"+")+COUNTIF(E14:AH14,"1"))</f>
        <v/>
      </c>
      <c r="C14" s="8">
        <f>IF(A14="","",IF(B14&gt;2*COUNTA(E$3:AH$3)/3,1,IF(B14&gt;=COUNTA(E$3:AH$3)/2,0.8,0.5)))</f>
        <v/>
      </c>
      <c r="D14" s="8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</row>
    <row r="15">
      <c r="A15" s="7" t="inlineStr">
        <is>
          <t>Студент2.12</t>
        </is>
      </c>
      <c r="B15" s="8">
        <f>IF(A15="","",COUNTIF(E15:AH15,"+")+COUNTIF(E15:AH15,"1"))</f>
        <v/>
      </c>
      <c r="C15" s="8">
        <f>IF(A15="","",IF(B15&gt;2*COUNTA(E$3:AH$3)/3,1,IF(B15&gt;=COUNTA(E$3:AH$3)/2,0.8,0.5)))</f>
        <v/>
      </c>
      <c r="D15" s="8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  <c r="AH15" s="9" t="n"/>
    </row>
    <row r="16">
      <c r="A16" s="7" t="inlineStr">
        <is>
          <t>Студент2.13</t>
        </is>
      </c>
      <c r="B16" s="8">
        <f>IF(A16="","",COUNTIF(E16:AH16,"+")+COUNTIF(E16:AH16,"1"))</f>
        <v/>
      </c>
      <c r="C16" s="8">
        <f>IF(A16="","",IF(B16&gt;2*COUNTA(E$3:AH$3)/3,1,IF(B16&gt;=COUNTA(E$3:AH$3)/2,0.8,0.5)))</f>
        <v/>
      </c>
      <c r="D16" s="8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  <c r="AH16" s="9" t="n"/>
    </row>
    <row r="17">
      <c r="A17" s="7" t="inlineStr">
        <is>
          <t>Студент2.14</t>
        </is>
      </c>
      <c r="B17" s="8">
        <f>IF(A17="","",COUNTIF(E17:AH17,"+")+COUNTIF(E17:AH17,"1"))</f>
        <v/>
      </c>
      <c r="C17" s="8">
        <f>IF(A17="","",IF(B17&gt;2*COUNTA(E$3:AH$3)/3,1,IF(B17&gt;=COUNTA(E$3:AH$3)/2,0.8,0.5)))</f>
        <v/>
      </c>
      <c r="D17" s="8" t="n"/>
      <c r="E17" s="9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</row>
    <row r="18">
      <c r="A18" s="7" t="inlineStr">
        <is>
          <t>Студент2.15</t>
        </is>
      </c>
      <c r="B18" s="8">
        <f>IF(A18="","",COUNTIF(E18:AH18,"+")+COUNTIF(E18:AH18,"1"))</f>
        <v/>
      </c>
      <c r="C18" s="8">
        <f>IF(A18="","",IF(B18&gt;2*COUNTA(E$3:AH$3)/3,1,IF(B18&gt;=COUNTA(E$3:AH$3)/2,0.8,0.5)))</f>
        <v/>
      </c>
      <c r="D18" s="8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</row>
    <row r="19">
      <c r="A19" s="7" t="inlineStr">
        <is>
          <t>Студент2.16</t>
        </is>
      </c>
      <c r="B19" s="8">
        <f>IF(A19="","",COUNTIF(E19:AH19,"+")+COUNTIF(E19:AH19,"1"))</f>
        <v/>
      </c>
      <c r="C19" s="8">
        <f>IF(A19="","",IF(B19&gt;2*COUNTA(E$3:AH$3)/3,1,IF(B19&gt;=COUNTA(E$3:AH$3)/2,0.8,0.5)))</f>
        <v/>
      </c>
      <c r="D19" s="8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</row>
    <row r="20">
      <c r="A20" s="7" t="inlineStr">
        <is>
          <t>Студент2.17</t>
        </is>
      </c>
      <c r="B20" s="8">
        <f>IF(A20="","",COUNTIF(E20:AH20,"+")+COUNTIF(E20:AH20,"1"))</f>
        <v/>
      </c>
      <c r="C20" s="8">
        <f>IF(A20="","",IF(B20&gt;2*COUNTA(E$3:AH$3)/3,1,IF(B20&gt;=COUNTA(E$3:AH$3)/2,0.8,0.5)))</f>
        <v/>
      </c>
      <c r="D20" s="8" t="n"/>
      <c r="E20" s="9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  <c r="AH20" s="9" t="n"/>
    </row>
    <row r="21">
      <c r="A21" s="7" t="inlineStr">
        <is>
          <t>Студент2.18</t>
        </is>
      </c>
      <c r="B21" s="8">
        <f>IF(A21="","",COUNTIF(E21:AH21,"+")+COUNTIF(E21:AH21,"1"))</f>
        <v/>
      </c>
      <c r="C21" s="8">
        <f>IF(A21="","",IF(B21&gt;2*COUNTA(E$3:AH$3)/3,1,IF(B21&gt;=COUNTA(E$3:AH$3)/2,0.8,0.5)))</f>
        <v/>
      </c>
      <c r="D21" s="8" t="n"/>
      <c r="E21" s="9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</row>
    <row r="22">
      <c r="A22" s="7" t="inlineStr">
        <is>
          <t>Студент2.19</t>
        </is>
      </c>
      <c r="B22" s="8">
        <f>IF(A22="","",COUNTIF(E22:AH22,"+")+COUNTIF(E22:AH22,"1"))</f>
        <v/>
      </c>
      <c r="C22" s="8">
        <f>IF(A22="","",IF(B22&gt;2*COUNTA(E$3:AH$3)/3,1,IF(B22&gt;=COUNTA(E$3:AH$3)/2,0.8,0.5)))</f>
        <v/>
      </c>
      <c r="D22" s="8" t="n"/>
      <c r="E22" s="9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  <c r="AH22" s="9" t="n"/>
    </row>
    <row r="23">
      <c r="A23" s="7" t="inlineStr">
        <is>
          <t>Студент2.20</t>
        </is>
      </c>
      <c r="B23" s="8">
        <f>IF(A23="","",COUNTIF(E23:AH23,"+")+COUNTIF(E23:AH23,"1"))</f>
        <v/>
      </c>
      <c r="C23" s="8">
        <f>IF(A23="","",IF(B23&gt;2*COUNTA(E$3:AH$3)/3,1,IF(B23&gt;=COUNTA(E$3:AH$3)/2,0.8,0.5)))</f>
        <v/>
      </c>
      <c r="D23" s="8" t="n"/>
      <c r="E23" s="9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  <c r="AH23" s="9" t="n"/>
    </row>
    <row r="24">
      <c r="A24" s="7" t="inlineStr">
        <is>
          <t>Студент2.21</t>
        </is>
      </c>
      <c r="B24" s="8">
        <f>IF(A24="","",COUNTIF(E24:AH24,"+")+COUNTIF(E24:AH24,"1"))</f>
        <v/>
      </c>
      <c r="C24" s="8">
        <f>IF(A24="","",IF(B24&gt;2*COUNTA(E$3:AH$3)/3,1,IF(B24&gt;=COUNTA(E$3:AH$3)/2,0.8,0.5)))</f>
        <v/>
      </c>
      <c r="D24" s="8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  <c r="AH24" s="9" t="n"/>
    </row>
    <row r="25">
      <c r="A25" s="7" t="inlineStr">
        <is>
          <t>Студент2.22</t>
        </is>
      </c>
      <c r="B25" s="8">
        <f>IF(A25="","",COUNTIF(E25:AH25,"+")+COUNTIF(E25:AH25,"1"))</f>
        <v/>
      </c>
      <c r="C25" s="8">
        <f>IF(A25="","",IF(B25&gt;2*COUNTA(E$3:AH$3)/3,1,IF(B25&gt;=COUNTA(E$3:AH$3)/2,0.8,0.5)))</f>
        <v/>
      </c>
      <c r="D25" s="8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  <c r="AH25" s="9" t="n"/>
    </row>
    <row r="26">
      <c r="A26" s="7" t="inlineStr">
        <is>
          <t>Студент2.23</t>
        </is>
      </c>
      <c r="B26" s="8">
        <f>IF(A26="","",COUNTIF(E26:AH26,"+")+COUNTIF(E26:AH26,"1"))</f>
        <v/>
      </c>
      <c r="C26" s="8">
        <f>IF(A26="","",IF(B26&gt;2*COUNTA(E$3:AH$3)/3,1,IF(B26&gt;=COUNTA(E$3:AH$3)/2,0.8,0.5)))</f>
        <v/>
      </c>
      <c r="D26" s="8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</row>
    <row r="27">
      <c r="A27" s="7" t="inlineStr">
        <is>
          <t>Студент2.24</t>
        </is>
      </c>
      <c r="B27" s="8">
        <f>IF(A27="","",COUNTIF(E27:AH27,"+")+COUNTIF(E27:AH27,"1"))</f>
        <v/>
      </c>
      <c r="C27" s="8">
        <f>IF(A27="","",IF(B27&gt;2*COUNTA(E$3:AH$3)/3,1,IF(B27&gt;=COUNTA(E$3:AH$3)/2,0.8,0.5)))</f>
        <v/>
      </c>
      <c r="D27" s="8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</row>
    <row r="28">
      <c r="A28" s="7" t="inlineStr">
        <is>
          <t>Студент2.25</t>
        </is>
      </c>
      <c r="B28" s="8">
        <f>IF(A28="","",COUNTIF(E28:AH28,"+")+COUNTIF(E28:AH28,"1"))</f>
        <v/>
      </c>
      <c r="C28" s="8">
        <f>IF(A28="","",IF(B28&gt;2*COUNTA(E$3:AH$3)/3,1,IF(B28&gt;=COUNTA(E$3:AH$3)/2,0.8,0.5)))</f>
        <v/>
      </c>
      <c r="D28" s="8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  <c r="AF28" s="9" t="n"/>
      <c r="AG28" s="9" t="n"/>
      <c r="AH28" s="9" t="n"/>
    </row>
    <row r="29">
      <c r="A29" s="7" t="inlineStr">
        <is>
          <t>Студент2.26</t>
        </is>
      </c>
      <c r="B29" s="8">
        <f>IF(A29="","",COUNTIF(E29:AH29,"+")+COUNTIF(E29:AH29,"1"))</f>
        <v/>
      </c>
      <c r="C29" s="8">
        <f>IF(A29="","",IF(B29&gt;2*COUNTA(E$3:AH$3)/3,1,IF(B29&gt;=COUNTA(E$3:AH$3)/2,0.8,0.5)))</f>
        <v/>
      </c>
      <c r="D29" s="8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  <c r="AH29" s="9" t="n"/>
    </row>
    <row r="30">
      <c r="A30" s="7" t="inlineStr">
        <is>
          <t>Студент2.27</t>
        </is>
      </c>
      <c r="B30" s="8">
        <f>IF(A30="","",COUNTIF(E30:AH30,"+")+COUNTIF(E30:AH30,"1"))</f>
        <v/>
      </c>
      <c r="C30" s="8">
        <f>IF(A30="","",IF(B30&gt;2*COUNTA(E$3:AH$3)/3,1,IF(B30&gt;=COUNTA(E$3:AH$3)/2,0.8,0.5)))</f>
        <v/>
      </c>
      <c r="D30" s="8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  <c r="AH30" s="9" t="n"/>
    </row>
    <row r="31">
      <c r="A31" s="7" t="inlineStr">
        <is>
          <t>Студент2.28</t>
        </is>
      </c>
      <c r="B31" s="8">
        <f>IF(A31="","",COUNTIF(E31:AH31,"+")+COUNTIF(E31:AH31,"1"))</f>
        <v/>
      </c>
      <c r="C31" s="8">
        <f>IF(A31="","",IF(B31&gt;2*COUNTA(E$3:AH$3)/3,1,IF(B31&gt;=COUNTA(E$3:AH$3)/2,0.8,0.5)))</f>
        <v/>
      </c>
      <c r="D31" s="8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  <c r="AH31" s="9" t="n"/>
    </row>
    <row r="32">
      <c r="A32" s="7" t="inlineStr">
        <is>
          <t>Студент2.29</t>
        </is>
      </c>
      <c r="B32" s="8">
        <f>IF(A32="","",COUNTIF(E32:AH32,"+")+COUNTIF(E32:AH32,"1"))</f>
        <v/>
      </c>
      <c r="C32" s="8">
        <f>IF(A32="","",IF(B32&gt;2*COUNTA(E$3:AH$3)/3,1,IF(B32&gt;=COUNTA(E$3:AH$3)/2,0.8,0.5)))</f>
        <v/>
      </c>
      <c r="D32" s="8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  <c r="AH32" s="9" t="n"/>
    </row>
    <row r="33">
      <c r="A33" s="7" t="inlineStr">
        <is>
          <t>Студент2.30</t>
        </is>
      </c>
      <c r="B33" s="8">
        <f>IF(A33="","",COUNTIF(E33:AH33,"+")+COUNTIF(E33:AH33,"1"))</f>
        <v/>
      </c>
      <c r="C33" s="8">
        <f>IF(A33="","",IF(B33&gt;2*COUNTA(E$3:AH$3)/3,1,IF(B33&gt;=COUNTA(E$3:AH$3)/2,0.8,0.5)))</f>
        <v/>
      </c>
      <c r="D33" s="8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</row>
  </sheetData>
  <mergeCells count="1">
    <mergeCell ref="A1:AI1"/>
  </mergeCells>
  <conditionalFormatting sqref="E4:AH33">
    <cfRule type="expression" priority="1" dxfId="0">
      <formula>E4="+"</formula>
    </cfRule>
    <cfRule type="expression" priority="2" dxfId="1">
      <formula>E4="1"</formula>
    </cfRule>
    <cfRule type="expression" priority="3" dxfId="2">
      <formula>E4="-"</formula>
    </cfRule>
  </conditionalFormatting>
  <conditionalFormatting sqref="B4:B33">
    <cfRule type="cellIs" priority="4" operator="greaterThanOrEqual" dxfId="3">
      <formula>21</formula>
    </cfRule>
    <cfRule type="cellIs" priority="5" operator="between" dxfId="4">
      <formula>15</formula>
      <formula>20</formula>
    </cfRule>
    <cfRule type="cellIs" priority="6" operator="lessThan" dxfId="5">
      <formula>15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9" customWidth="1" min="2" max="2"/>
    <col width="14" customWidth="1" min="3" max="3"/>
    <col width="14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</cols>
  <sheetData>
    <row r="1" hidden="1">
      <c r="A1" s="1" t="inlineStr">
        <is>
          <t>Практика 6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S</t>
        </is>
      </c>
      <c r="C3" s="4" t="inlineStr">
        <is>
          <t>Коэффициент</t>
        </is>
      </c>
      <c r="D3" s="5" t="inlineStr">
        <is>
          <t>D за практику</t>
        </is>
      </c>
      <c r="E3" s="6" t="inlineStr">
        <is>
          <t>1</t>
        </is>
      </c>
      <c r="F3" s="6" t="inlineStr">
        <is>
          <t>2</t>
        </is>
      </c>
      <c r="G3" s="6" t="inlineStr">
        <is>
          <t>3</t>
        </is>
      </c>
      <c r="H3" s="6" t="inlineStr">
        <is>
          <t>4</t>
        </is>
      </c>
      <c r="I3" s="6" t="inlineStr">
        <is>
          <t>5</t>
        </is>
      </c>
      <c r="J3" s="6" t="inlineStr">
        <is>
          <t>6</t>
        </is>
      </c>
      <c r="K3" s="6" t="inlineStr">
        <is>
          <t>7</t>
        </is>
      </c>
      <c r="L3" s="6" t="inlineStr">
        <is>
          <t>8</t>
        </is>
      </c>
      <c r="M3" s="6" t="inlineStr">
        <is>
          <t>9</t>
        </is>
      </c>
      <c r="N3" s="6" t="inlineStr">
        <is>
          <t>10</t>
        </is>
      </c>
      <c r="O3" s="6" t="inlineStr">
        <is>
          <t>11</t>
        </is>
      </c>
      <c r="P3" s="6" t="inlineStr">
        <is>
          <t>12</t>
        </is>
      </c>
      <c r="Q3" s="6" t="inlineStr">
        <is>
          <t>13</t>
        </is>
      </c>
      <c r="R3" s="6" t="inlineStr">
        <is>
          <t>14</t>
        </is>
      </c>
      <c r="S3" s="6" t="inlineStr">
        <is>
          <t>15</t>
        </is>
      </c>
      <c r="T3" s="6" t="inlineStr">
        <is>
          <t>16</t>
        </is>
      </c>
      <c r="U3" s="6" t="inlineStr">
        <is>
          <t>17</t>
        </is>
      </c>
      <c r="V3" s="6" t="inlineStr">
        <is>
          <t>18</t>
        </is>
      </c>
      <c r="W3" s="6" t="inlineStr">
        <is>
          <t>19</t>
        </is>
      </c>
      <c r="X3" s="6" t="inlineStr">
        <is>
          <t>20</t>
        </is>
      </c>
      <c r="Y3" s="6" t="inlineStr">
        <is>
          <t>21</t>
        </is>
      </c>
      <c r="Z3" s="6" t="inlineStr">
        <is>
          <t>22</t>
        </is>
      </c>
      <c r="AA3" s="6" t="inlineStr">
        <is>
          <t>23</t>
        </is>
      </c>
      <c r="AB3" s="6" t="inlineStr">
        <is>
          <t>24</t>
        </is>
      </c>
      <c r="AC3" s="6" t="inlineStr">
        <is>
          <t>25</t>
        </is>
      </c>
      <c r="AD3" s="6" t="inlineStr">
        <is>
          <t>26</t>
        </is>
      </c>
      <c r="AE3" s="6" t="inlineStr">
        <is>
          <t>27</t>
        </is>
      </c>
      <c r="AF3" s="6" t="inlineStr">
        <is>
          <t>28</t>
        </is>
      </c>
      <c r="AG3" s="6" t="inlineStr">
        <is>
          <t>29</t>
        </is>
      </c>
      <c r="AH3" s="6" t="inlineStr">
        <is>
          <t>30</t>
        </is>
      </c>
    </row>
    <row r="4">
      <c r="A4" s="7" t="inlineStr">
        <is>
          <t>Студент2.1</t>
        </is>
      </c>
      <c r="B4" s="8">
        <f>IF(A4="","",COUNTIF(E4:AH4,"+")+COUNTIF(E4:AH4,"1"))</f>
        <v/>
      </c>
      <c r="C4" s="8">
        <f>IF(A4="","",IF(B4&gt;2*COUNTA(E$3:AH$3)/3,1,IF(B4&gt;=COUNTA(E$3:AH$3)/2,0.8,0.5)))</f>
        <v/>
      </c>
      <c r="D4" s="8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  <c r="AC4" s="9" t="n"/>
      <c r="AD4" s="9" t="n"/>
      <c r="AE4" s="9" t="n"/>
      <c r="AF4" s="9" t="n"/>
      <c r="AG4" s="9" t="n"/>
      <c r="AH4" s="9" t="n"/>
    </row>
    <row r="5">
      <c r="A5" s="7" t="inlineStr">
        <is>
          <t>Студент2.2</t>
        </is>
      </c>
      <c r="B5" s="8">
        <f>IF(A5="","",COUNTIF(E5:AH5,"+")+COUNTIF(E5:AH5,"1"))</f>
        <v/>
      </c>
      <c r="C5" s="8">
        <f>IF(A5="","",IF(B5&gt;2*COUNTA(E$3:AH$3)/3,1,IF(B5&gt;=COUNTA(E$3:AH$3)/2,0.8,0.5)))</f>
        <v/>
      </c>
      <c r="D5" s="8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</row>
    <row r="6">
      <c r="A6" s="7" t="inlineStr">
        <is>
          <t>Студент2.3</t>
        </is>
      </c>
      <c r="B6" s="8">
        <f>IF(A6="","",COUNTIF(E6:AH6,"+")+COUNTIF(E6:AH6,"1"))</f>
        <v/>
      </c>
      <c r="C6" s="8">
        <f>IF(A6="","",IF(B6&gt;2*COUNTA(E$3:AH$3)/3,1,IF(B6&gt;=COUNTA(E$3:AH$3)/2,0.8,0.5)))</f>
        <v/>
      </c>
      <c r="D6" s="8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</row>
    <row r="7">
      <c r="A7" s="7" t="inlineStr">
        <is>
          <t>Студент2.4</t>
        </is>
      </c>
      <c r="B7" s="8">
        <f>IF(A7="","",COUNTIF(E7:AH7,"+")+COUNTIF(E7:AH7,"1"))</f>
        <v/>
      </c>
      <c r="C7" s="8">
        <f>IF(A7="","",IF(B7&gt;2*COUNTA(E$3:AH$3)/3,1,IF(B7&gt;=COUNTA(E$3:AH$3)/2,0.8,0.5)))</f>
        <v/>
      </c>
      <c r="D7" s="8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</row>
    <row r="8">
      <c r="A8" s="7" t="inlineStr">
        <is>
          <t>Студент2.5</t>
        </is>
      </c>
      <c r="B8" s="8">
        <f>IF(A8="","",COUNTIF(E8:AH8,"+")+COUNTIF(E8:AH8,"1"))</f>
        <v/>
      </c>
      <c r="C8" s="8">
        <f>IF(A8="","",IF(B8&gt;2*COUNTA(E$3:AH$3)/3,1,IF(B8&gt;=COUNTA(E$3:AH$3)/2,0.8,0.5)))</f>
        <v/>
      </c>
      <c r="D8" s="8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</row>
    <row r="9">
      <c r="A9" s="7" t="inlineStr">
        <is>
          <t>Студент2.6</t>
        </is>
      </c>
      <c r="B9" s="8">
        <f>IF(A9="","",COUNTIF(E9:AH9,"+")+COUNTIF(E9:AH9,"1"))</f>
        <v/>
      </c>
      <c r="C9" s="8">
        <f>IF(A9="","",IF(B9&gt;2*COUNTA(E$3:AH$3)/3,1,IF(B9&gt;=COUNTA(E$3:AH$3)/2,0.8,0.5)))</f>
        <v/>
      </c>
      <c r="D9" s="8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</row>
    <row r="10">
      <c r="A10" s="7" t="inlineStr">
        <is>
          <t>Студент2.7</t>
        </is>
      </c>
      <c r="B10" s="8">
        <f>IF(A10="","",COUNTIF(E10:AH10,"+")+COUNTIF(E10:AH10,"1"))</f>
        <v/>
      </c>
      <c r="C10" s="8">
        <f>IF(A10="","",IF(B10&gt;2*COUNTA(E$3:AH$3)/3,1,IF(B10&gt;=COUNTA(E$3:AH$3)/2,0.8,0.5)))</f>
        <v/>
      </c>
      <c r="D10" s="8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</row>
    <row r="11">
      <c r="A11" s="7" t="inlineStr">
        <is>
          <t>Студент2.8</t>
        </is>
      </c>
      <c r="B11" s="8">
        <f>IF(A11="","",COUNTIF(E11:AH11,"+")+COUNTIF(E11:AH11,"1"))</f>
        <v/>
      </c>
      <c r="C11" s="8">
        <f>IF(A11="","",IF(B11&gt;2*COUNTA(E$3:AH$3)/3,1,IF(B11&gt;=COUNTA(E$3:AH$3)/2,0.8,0.5)))</f>
        <v/>
      </c>
      <c r="D11" s="8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</row>
    <row r="12">
      <c r="A12" s="7" t="inlineStr">
        <is>
          <t>Студент2.9</t>
        </is>
      </c>
      <c r="B12" s="8">
        <f>IF(A12="","",COUNTIF(E12:AH12,"+")+COUNTIF(E12:AH12,"1"))</f>
        <v/>
      </c>
      <c r="C12" s="8">
        <f>IF(A12="","",IF(B12&gt;2*COUNTA(E$3:AH$3)/3,1,IF(B12&gt;=COUNTA(E$3:AH$3)/2,0.8,0.5)))</f>
        <v/>
      </c>
      <c r="D12" s="8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</row>
    <row r="13">
      <c r="A13" s="7" t="inlineStr">
        <is>
          <t>Студент2.10</t>
        </is>
      </c>
      <c r="B13" s="8">
        <f>IF(A13="","",COUNTIF(E13:AH13,"+")+COUNTIF(E13:AH13,"1"))</f>
        <v/>
      </c>
      <c r="C13" s="8">
        <f>IF(A13="","",IF(B13&gt;2*COUNTA(E$3:AH$3)/3,1,IF(B13&gt;=COUNTA(E$3:AH$3)/2,0.8,0.5)))</f>
        <v/>
      </c>
      <c r="D13" s="8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</row>
    <row r="14">
      <c r="A14" s="7" t="inlineStr">
        <is>
          <t>Студент2.11</t>
        </is>
      </c>
      <c r="B14" s="8">
        <f>IF(A14="","",COUNTIF(E14:AH14,"+")+COUNTIF(E14:AH14,"1"))</f>
        <v/>
      </c>
      <c r="C14" s="8">
        <f>IF(A14="","",IF(B14&gt;2*COUNTA(E$3:AH$3)/3,1,IF(B14&gt;=COUNTA(E$3:AH$3)/2,0.8,0.5)))</f>
        <v/>
      </c>
      <c r="D14" s="8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</row>
    <row r="15">
      <c r="A15" s="7" t="inlineStr">
        <is>
          <t>Студент2.12</t>
        </is>
      </c>
      <c r="B15" s="8">
        <f>IF(A15="","",COUNTIF(E15:AH15,"+")+COUNTIF(E15:AH15,"1"))</f>
        <v/>
      </c>
      <c r="C15" s="8">
        <f>IF(A15="","",IF(B15&gt;2*COUNTA(E$3:AH$3)/3,1,IF(B15&gt;=COUNTA(E$3:AH$3)/2,0.8,0.5)))</f>
        <v/>
      </c>
      <c r="D15" s="8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  <c r="AH15" s="9" t="n"/>
    </row>
    <row r="16">
      <c r="A16" s="7" t="inlineStr">
        <is>
          <t>Студент2.13</t>
        </is>
      </c>
      <c r="B16" s="8">
        <f>IF(A16="","",COUNTIF(E16:AH16,"+")+COUNTIF(E16:AH16,"1"))</f>
        <v/>
      </c>
      <c r="C16" s="8">
        <f>IF(A16="","",IF(B16&gt;2*COUNTA(E$3:AH$3)/3,1,IF(B16&gt;=COUNTA(E$3:AH$3)/2,0.8,0.5)))</f>
        <v/>
      </c>
      <c r="D16" s="8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  <c r="AH16" s="9" t="n"/>
    </row>
    <row r="17">
      <c r="A17" s="7" t="inlineStr">
        <is>
          <t>Студент2.14</t>
        </is>
      </c>
      <c r="B17" s="8">
        <f>IF(A17="","",COUNTIF(E17:AH17,"+")+COUNTIF(E17:AH17,"1"))</f>
        <v/>
      </c>
      <c r="C17" s="8">
        <f>IF(A17="","",IF(B17&gt;2*COUNTA(E$3:AH$3)/3,1,IF(B17&gt;=COUNTA(E$3:AH$3)/2,0.8,0.5)))</f>
        <v/>
      </c>
      <c r="D17" s="8" t="n"/>
      <c r="E17" s="9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</row>
    <row r="18">
      <c r="A18" s="7" t="inlineStr">
        <is>
          <t>Студент2.15</t>
        </is>
      </c>
      <c r="B18" s="8">
        <f>IF(A18="","",COUNTIF(E18:AH18,"+")+COUNTIF(E18:AH18,"1"))</f>
        <v/>
      </c>
      <c r="C18" s="8">
        <f>IF(A18="","",IF(B18&gt;2*COUNTA(E$3:AH$3)/3,1,IF(B18&gt;=COUNTA(E$3:AH$3)/2,0.8,0.5)))</f>
        <v/>
      </c>
      <c r="D18" s="8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</row>
    <row r="19">
      <c r="A19" s="7" t="inlineStr">
        <is>
          <t>Студент2.16</t>
        </is>
      </c>
      <c r="B19" s="8">
        <f>IF(A19="","",COUNTIF(E19:AH19,"+")+COUNTIF(E19:AH19,"1"))</f>
        <v/>
      </c>
      <c r="C19" s="8">
        <f>IF(A19="","",IF(B19&gt;2*COUNTA(E$3:AH$3)/3,1,IF(B19&gt;=COUNTA(E$3:AH$3)/2,0.8,0.5)))</f>
        <v/>
      </c>
      <c r="D19" s="8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</row>
    <row r="20">
      <c r="A20" s="7" t="inlineStr">
        <is>
          <t>Студент2.17</t>
        </is>
      </c>
      <c r="B20" s="8">
        <f>IF(A20="","",COUNTIF(E20:AH20,"+")+COUNTIF(E20:AH20,"1"))</f>
        <v/>
      </c>
      <c r="C20" s="8">
        <f>IF(A20="","",IF(B20&gt;2*COUNTA(E$3:AH$3)/3,1,IF(B20&gt;=COUNTA(E$3:AH$3)/2,0.8,0.5)))</f>
        <v/>
      </c>
      <c r="D20" s="8" t="n"/>
      <c r="E20" s="9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  <c r="AH20" s="9" t="n"/>
    </row>
    <row r="21">
      <c r="A21" s="7" t="inlineStr">
        <is>
          <t>Студент2.18</t>
        </is>
      </c>
      <c r="B21" s="8">
        <f>IF(A21="","",COUNTIF(E21:AH21,"+")+COUNTIF(E21:AH21,"1"))</f>
        <v/>
      </c>
      <c r="C21" s="8">
        <f>IF(A21="","",IF(B21&gt;2*COUNTA(E$3:AH$3)/3,1,IF(B21&gt;=COUNTA(E$3:AH$3)/2,0.8,0.5)))</f>
        <v/>
      </c>
      <c r="D21" s="8" t="n"/>
      <c r="E21" s="9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</row>
    <row r="22">
      <c r="A22" s="7" t="inlineStr">
        <is>
          <t>Студент2.19</t>
        </is>
      </c>
      <c r="B22" s="8">
        <f>IF(A22="","",COUNTIF(E22:AH22,"+")+COUNTIF(E22:AH22,"1"))</f>
        <v/>
      </c>
      <c r="C22" s="8">
        <f>IF(A22="","",IF(B22&gt;2*COUNTA(E$3:AH$3)/3,1,IF(B22&gt;=COUNTA(E$3:AH$3)/2,0.8,0.5)))</f>
        <v/>
      </c>
      <c r="D22" s="8" t="n"/>
      <c r="E22" s="9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  <c r="AH22" s="9" t="n"/>
    </row>
    <row r="23">
      <c r="A23" s="7" t="inlineStr">
        <is>
          <t>Студент2.20</t>
        </is>
      </c>
      <c r="B23" s="8">
        <f>IF(A23="","",COUNTIF(E23:AH23,"+")+COUNTIF(E23:AH23,"1"))</f>
        <v/>
      </c>
      <c r="C23" s="8">
        <f>IF(A23="","",IF(B23&gt;2*COUNTA(E$3:AH$3)/3,1,IF(B23&gt;=COUNTA(E$3:AH$3)/2,0.8,0.5)))</f>
        <v/>
      </c>
      <c r="D23" s="8" t="n"/>
      <c r="E23" s="9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  <c r="AH23" s="9" t="n"/>
    </row>
    <row r="24">
      <c r="A24" s="7" t="inlineStr">
        <is>
          <t>Студент2.21</t>
        </is>
      </c>
      <c r="B24" s="8">
        <f>IF(A24="","",COUNTIF(E24:AH24,"+")+COUNTIF(E24:AH24,"1"))</f>
        <v/>
      </c>
      <c r="C24" s="8">
        <f>IF(A24="","",IF(B24&gt;2*COUNTA(E$3:AH$3)/3,1,IF(B24&gt;=COUNTA(E$3:AH$3)/2,0.8,0.5)))</f>
        <v/>
      </c>
      <c r="D24" s="8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  <c r="AH24" s="9" t="n"/>
    </row>
    <row r="25">
      <c r="A25" s="7" t="inlineStr">
        <is>
          <t>Студент2.22</t>
        </is>
      </c>
      <c r="B25" s="8">
        <f>IF(A25="","",COUNTIF(E25:AH25,"+")+COUNTIF(E25:AH25,"1"))</f>
        <v/>
      </c>
      <c r="C25" s="8">
        <f>IF(A25="","",IF(B25&gt;2*COUNTA(E$3:AH$3)/3,1,IF(B25&gt;=COUNTA(E$3:AH$3)/2,0.8,0.5)))</f>
        <v/>
      </c>
      <c r="D25" s="8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  <c r="AH25" s="9" t="n"/>
    </row>
    <row r="26">
      <c r="A26" s="7" t="inlineStr">
        <is>
          <t>Студент2.23</t>
        </is>
      </c>
      <c r="B26" s="8">
        <f>IF(A26="","",COUNTIF(E26:AH26,"+")+COUNTIF(E26:AH26,"1"))</f>
        <v/>
      </c>
      <c r="C26" s="8">
        <f>IF(A26="","",IF(B26&gt;2*COUNTA(E$3:AH$3)/3,1,IF(B26&gt;=COUNTA(E$3:AH$3)/2,0.8,0.5)))</f>
        <v/>
      </c>
      <c r="D26" s="8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</row>
    <row r="27">
      <c r="A27" s="7" t="inlineStr">
        <is>
          <t>Студент2.24</t>
        </is>
      </c>
      <c r="B27" s="8">
        <f>IF(A27="","",COUNTIF(E27:AH27,"+")+COUNTIF(E27:AH27,"1"))</f>
        <v/>
      </c>
      <c r="C27" s="8">
        <f>IF(A27="","",IF(B27&gt;2*COUNTA(E$3:AH$3)/3,1,IF(B27&gt;=COUNTA(E$3:AH$3)/2,0.8,0.5)))</f>
        <v/>
      </c>
      <c r="D27" s="8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</row>
    <row r="28">
      <c r="A28" s="7" t="inlineStr">
        <is>
          <t>Студент2.25</t>
        </is>
      </c>
      <c r="B28" s="8">
        <f>IF(A28="","",COUNTIF(E28:AH28,"+")+COUNTIF(E28:AH28,"1"))</f>
        <v/>
      </c>
      <c r="C28" s="8">
        <f>IF(A28="","",IF(B28&gt;2*COUNTA(E$3:AH$3)/3,1,IF(B28&gt;=COUNTA(E$3:AH$3)/2,0.8,0.5)))</f>
        <v/>
      </c>
      <c r="D28" s="8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  <c r="AF28" s="9" t="n"/>
      <c r="AG28" s="9" t="n"/>
      <c r="AH28" s="9" t="n"/>
    </row>
    <row r="29">
      <c r="A29" s="7" t="inlineStr">
        <is>
          <t>Студент2.26</t>
        </is>
      </c>
      <c r="B29" s="8">
        <f>IF(A29="","",COUNTIF(E29:AH29,"+")+COUNTIF(E29:AH29,"1"))</f>
        <v/>
      </c>
      <c r="C29" s="8">
        <f>IF(A29="","",IF(B29&gt;2*COUNTA(E$3:AH$3)/3,1,IF(B29&gt;=COUNTA(E$3:AH$3)/2,0.8,0.5)))</f>
        <v/>
      </c>
      <c r="D29" s="8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  <c r="AH29" s="9" t="n"/>
    </row>
    <row r="30">
      <c r="A30" s="7" t="inlineStr">
        <is>
          <t>Студент2.27</t>
        </is>
      </c>
      <c r="B30" s="8">
        <f>IF(A30="","",COUNTIF(E30:AH30,"+")+COUNTIF(E30:AH30,"1"))</f>
        <v/>
      </c>
      <c r="C30" s="8">
        <f>IF(A30="","",IF(B30&gt;2*COUNTA(E$3:AH$3)/3,1,IF(B30&gt;=COUNTA(E$3:AH$3)/2,0.8,0.5)))</f>
        <v/>
      </c>
      <c r="D30" s="8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  <c r="AH30" s="9" t="n"/>
    </row>
    <row r="31">
      <c r="A31" s="7" t="inlineStr">
        <is>
          <t>Студент2.28</t>
        </is>
      </c>
      <c r="B31" s="8">
        <f>IF(A31="","",COUNTIF(E31:AH31,"+")+COUNTIF(E31:AH31,"1"))</f>
        <v/>
      </c>
      <c r="C31" s="8">
        <f>IF(A31="","",IF(B31&gt;2*COUNTA(E$3:AH$3)/3,1,IF(B31&gt;=COUNTA(E$3:AH$3)/2,0.8,0.5)))</f>
        <v/>
      </c>
      <c r="D31" s="8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  <c r="AH31" s="9" t="n"/>
    </row>
    <row r="32">
      <c r="A32" s="7" t="inlineStr">
        <is>
          <t>Студент2.29</t>
        </is>
      </c>
      <c r="B32" s="8">
        <f>IF(A32="","",COUNTIF(E32:AH32,"+")+COUNTIF(E32:AH32,"1"))</f>
        <v/>
      </c>
      <c r="C32" s="8">
        <f>IF(A32="","",IF(B32&gt;2*COUNTA(E$3:AH$3)/3,1,IF(B32&gt;=COUNTA(E$3:AH$3)/2,0.8,0.5)))</f>
        <v/>
      </c>
      <c r="D32" s="8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  <c r="AH32" s="9" t="n"/>
    </row>
    <row r="33">
      <c r="A33" s="7" t="inlineStr">
        <is>
          <t>Студент2.30</t>
        </is>
      </c>
      <c r="B33" s="8">
        <f>IF(A33="","",COUNTIF(E33:AH33,"+")+COUNTIF(E33:AH33,"1"))</f>
        <v/>
      </c>
      <c r="C33" s="8">
        <f>IF(A33="","",IF(B33&gt;2*COUNTA(E$3:AH$3)/3,1,IF(B33&gt;=COUNTA(E$3:AH$3)/2,0.8,0.5)))</f>
        <v/>
      </c>
      <c r="D33" s="8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</row>
  </sheetData>
  <mergeCells count="1">
    <mergeCell ref="A1:AI1"/>
  </mergeCells>
  <conditionalFormatting sqref="E4:AH33">
    <cfRule type="expression" priority="1" dxfId="0">
      <formula>E4="+"</formula>
    </cfRule>
    <cfRule type="expression" priority="2" dxfId="1">
      <formula>E4="1"</formula>
    </cfRule>
    <cfRule type="expression" priority="3" dxfId="2">
      <formula>E4="-"</formula>
    </cfRule>
  </conditionalFormatting>
  <conditionalFormatting sqref="B4:B33">
    <cfRule type="cellIs" priority="4" operator="greaterThanOrEqual" dxfId="3">
      <formula>21</formula>
    </cfRule>
    <cfRule type="cellIs" priority="5" operator="between" dxfId="4">
      <formula>15</formula>
      <formula>20</formula>
    </cfRule>
    <cfRule type="cellIs" priority="6" operator="lessThan" dxfId="5">
      <formula>15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9" customWidth="1" min="2" max="2"/>
    <col width="14" customWidth="1" min="3" max="3"/>
    <col width="14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</cols>
  <sheetData>
    <row r="1" hidden="1">
      <c r="A1" s="1" t="inlineStr">
        <is>
          <t>Практика 7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S</t>
        </is>
      </c>
      <c r="C3" s="4" t="inlineStr">
        <is>
          <t>Коэффициент</t>
        </is>
      </c>
      <c r="D3" s="5" t="inlineStr">
        <is>
          <t>D за практику</t>
        </is>
      </c>
      <c r="E3" s="6" t="inlineStr">
        <is>
          <t>1</t>
        </is>
      </c>
      <c r="F3" s="6" t="inlineStr">
        <is>
          <t>2</t>
        </is>
      </c>
      <c r="G3" s="6" t="inlineStr">
        <is>
          <t>3</t>
        </is>
      </c>
      <c r="H3" s="6" t="inlineStr">
        <is>
          <t>4</t>
        </is>
      </c>
      <c r="I3" s="6" t="inlineStr">
        <is>
          <t>5</t>
        </is>
      </c>
      <c r="J3" s="6" t="inlineStr">
        <is>
          <t>6</t>
        </is>
      </c>
      <c r="K3" s="6" t="inlineStr">
        <is>
          <t>7</t>
        </is>
      </c>
      <c r="L3" s="6" t="inlineStr">
        <is>
          <t>8</t>
        </is>
      </c>
      <c r="M3" s="6" t="inlineStr">
        <is>
          <t>9</t>
        </is>
      </c>
      <c r="N3" s="6" t="inlineStr">
        <is>
          <t>10</t>
        </is>
      </c>
      <c r="O3" s="6" t="inlineStr">
        <is>
          <t>11</t>
        </is>
      </c>
      <c r="P3" s="6" t="inlineStr">
        <is>
          <t>12</t>
        </is>
      </c>
      <c r="Q3" s="6" t="inlineStr">
        <is>
          <t>13</t>
        </is>
      </c>
      <c r="R3" s="6" t="inlineStr">
        <is>
          <t>14</t>
        </is>
      </c>
      <c r="S3" s="6" t="inlineStr">
        <is>
          <t>15</t>
        </is>
      </c>
      <c r="T3" s="6" t="inlineStr">
        <is>
          <t>16</t>
        </is>
      </c>
      <c r="U3" s="6" t="inlineStr">
        <is>
          <t>17</t>
        </is>
      </c>
      <c r="V3" s="6" t="inlineStr">
        <is>
          <t>18</t>
        </is>
      </c>
      <c r="W3" s="6" t="inlineStr">
        <is>
          <t>19</t>
        </is>
      </c>
      <c r="X3" s="6" t="inlineStr">
        <is>
          <t>20</t>
        </is>
      </c>
      <c r="Y3" s="6" t="inlineStr">
        <is>
          <t>21</t>
        </is>
      </c>
      <c r="Z3" s="6" t="inlineStr">
        <is>
          <t>22</t>
        </is>
      </c>
      <c r="AA3" s="6" t="inlineStr">
        <is>
          <t>23</t>
        </is>
      </c>
      <c r="AB3" s="6" t="inlineStr">
        <is>
          <t>24</t>
        </is>
      </c>
      <c r="AC3" s="6" t="inlineStr">
        <is>
          <t>25</t>
        </is>
      </c>
      <c r="AD3" s="6" t="inlineStr">
        <is>
          <t>26</t>
        </is>
      </c>
      <c r="AE3" s="6" t="inlineStr">
        <is>
          <t>27</t>
        </is>
      </c>
      <c r="AF3" s="6" t="inlineStr">
        <is>
          <t>28</t>
        </is>
      </c>
      <c r="AG3" s="6" t="inlineStr">
        <is>
          <t>29</t>
        </is>
      </c>
      <c r="AH3" s="6" t="inlineStr">
        <is>
          <t>30</t>
        </is>
      </c>
    </row>
    <row r="4">
      <c r="A4" s="7" t="inlineStr">
        <is>
          <t>Студент2.1</t>
        </is>
      </c>
      <c r="B4" s="8">
        <f>IF(A4="","",COUNTIF(E4:AH4,"+")+COUNTIF(E4:AH4,"1"))</f>
        <v/>
      </c>
      <c r="C4" s="8">
        <f>IF(A4="","",IF(B4&gt;2*COUNTA(E$3:AH$3)/3,1,IF(B4&gt;=COUNTA(E$3:AH$3)/2,0.8,0.5)))</f>
        <v/>
      </c>
      <c r="D4" s="8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  <c r="AC4" s="9" t="n"/>
      <c r="AD4" s="9" t="n"/>
      <c r="AE4" s="9" t="n"/>
      <c r="AF4" s="9" t="n"/>
      <c r="AG4" s="9" t="n"/>
      <c r="AH4" s="9" t="n"/>
    </row>
    <row r="5">
      <c r="A5" s="7" t="inlineStr">
        <is>
          <t>Студент2.2</t>
        </is>
      </c>
      <c r="B5" s="8">
        <f>IF(A5="","",COUNTIF(E5:AH5,"+")+COUNTIF(E5:AH5,"1"))</f>
        <v/>
      </c>
      <c r="C5" s="8">
        <f>IF(A5="","",IF(B5&gt;2*COUNTA(E$3:AH$3)/3,1,IF(B5&gt;=COUNTA(E$3:AH$3)/2,0.8,0.5)))</f>
        <v/>
      </c>
      <c r="D5" s="8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</row>
    <row r="6">
      <c r="A6" s="7" t="inlineStr">
        <is>
          <t>Студент2.3</t>
        </is>
      </c>
      <c r="B6" s="8">
        <f>IF(A6="","",COUNTIF(E6:AH6,"+")+COUNTIF(E6:AH6,"1"))</f>
        <v/>
      </c>
      <c r="C6" s="8">
        <f>IF(A6="","",IF(B6&gt;2*COUNTA(E$3:AH$3)/3,1,IF(B6&gt;=COUNTA(E$3:AH$3)/2,0.8,0.5)))</f>
        <v/>
      </c>
      <c r="D6" s="8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</row>
    <row r="7">
      <c r="A7" s="7" t="inlineStr">
        <is>
          <t>Студент2.4</t>
        </is>
      </c>
      <c r="B7" s="8">
        <f>IF(A7="","",COUNTIF(E7:AH7,"+")+COUNTIF(E7:AH7,"1"))</f>
        <v/>
      </c>
      <c r="C7" s="8">
        <f>IF(A7="","",IF(B7&gt;2*COUNTA(E$3:AH$3)/3,1,IF(B7&gt;=COUNTA(E$3:AH$3)/2,0.8,0.5)))</f>
        <v/>
      </c>
      <c r="D7" s="8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</row>
    <row r="8">
      <c r="A8" s="7" t="inlineStr">
        <is>
          <t>Студент2.5</t>
        </is>
      </c>
      <c r="B8" s="8">
        <f>IF(A8="","",COUNTIF(E8:AH8,"+")+COUNTIF(E8:AH8,"1"))</f>
        <v/>
      </c>
      <c r="C8" s="8">
        <f>IF(A8="","",IF(B8&gt;2*COUNTA(E$3:AH$3)/3,1,IF(B8&gt;=COUNTA(E$3:AH$3)/2,0.8,0.5)))</f>
        <v/>
      </c>
      <c r="D8" s="8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</row>
    <row r="9">
      <c r="A9" s="7" t="inlineStr">
        <is>
          <t>Студент2.6</t>
        </is>
      </c>
      <c r="B9" s="8">
        <f>IF(A9="","",COUNTIF(E9:AH9,"+")+COUNTIF(E9:AH9,"1"))</f>
        <v/>
      </c>
      <c r="C9" s="8">
        <f>IF(A9="","",IF(B9&gt;2*COUNTA(E$3:AH$3)/3,1,IF(B9&gt;=COUNTA(E$3:AH$3)/2,0.8,0.5)))</f>
        <v/>
      </c>
      <c r="D9" s="8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</row>
    <row r="10">
      <c r="A10" s="7" t="inlineStr">
        <is>
          <t>Студент2.7</t>
        </is>
      </c>
      <c r="B10" s="8">
        <f>IF(A10="","",COUNTIF(E10:AH10,"+")+COUNTIF(E10:AH10,"1"))</f>
        <v/>
      </c>
      <c r="C10" s="8">
        <f>IF(A10="","",IF(B10&gt;2*COUNTA(E$3:AH$3)/3,1,IF(B10&gt;=COUNTA(E$3:AH$3)/2,0.8,0.5)))</f>
        <v/>
      </c>
      <c r="D10" s="8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</row>
    <row r="11">
      <c r="A11" s="7" t="inlineStr">
        <is>
          <t>Студент2.8</t>
        </is>
      </c>
      <c r="B11" s="8">
        <f>IF(A11="","",COUNTIF(E11:AH11,"+")+COUNTIF(E11:AH11,"1"))</f>
        <v/>
      </c>
      <c r="C11" s="8">
        <f>IF(A11="","",IF(B11&gt;2*COUNTA(E$3:AH$3)/3,1,IF(B11&gt;=COUNTA(E$3:AH$3)/2,0.8,0.5)))</f>
        <v/>
      </c>
      <c r="D11" s="8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</row>
    <row r="12">
      <c r="A12" s="7" t="inlineStr">
        <is>
          <t>Студент2.9</t>
        </is>
      </c>
      <c r="B12" s="8">
        <f>IF(A12="","",COUNTIF(E12:AH12,"+")+COUNTIF(E12:AH12,"1"))</f>
        <v/>
      </c>
      <c r="C12" s="8">
        <f>IF(A12="","",IF(B12&gt;2*COUNTA(E$3:AH$3)/3,1,IF(B12&gt;=COUNTA(E$3:AH$3)/2,0.8,0.5)))</f>
        <v/>
      </c>
      <c r="D12" s="8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</row>
    <row r="13">
      <c r="A13" s="7" t="inlineStr">
        <is>
          <t>Студент2.10</t>
        </is>
      </c>
      <c r="B13" s="8">
        <f>IF(A13="","",COUNTIF(E13:AH13,"+")+COUNTIF(E13:AH13,"1"))</f>
        <v/>
      </c>
      <c r="C13" s="8">
        <f>IF(A13="","",IF(B13&gt;2*COUNTA(E$3:AH$3)/3,1,IF(B13&gt;=COUNTA(E$3:AH$3)/2,0.8,0.5)))</f>
        <v/>
      </c>
      <c r="D13" s="8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</row>
    <row r="14">
      <c r="A14" s="7" t="inlineStr">
        <is>
          <t>Студент2.11</t>
        </is>
      </c>
      <c r="B14" s="8">
        <f>IF(A14="","",COUNTIF(E14:AH14,"+")+COUNTIF(E14:AH14,"1"))</f>
        <v/>
      </c>
      <c r="C14" s="8">
        <f>IF(A14="","",IF(B14&gt;2*COUNTA(E$3:AH$3)/3,1,IF(B14&gt;=COUNTA(E$3:AH$3)/2,0.8,0.5)))</f>
        <v/>
      </c>
      <c r="D14" s="8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</row>
    <row r="15">
      <c r="A15" s="7" t="inlineStr">
        <is>
          <t>Студент2.12</t>
        </is>
      </c>
      <c r="B15" s="8">
        <f>IF(A15="","",COUNTIF(E15:AH15,"+")+COUNTIF(E15:AH15,"1"))</f>
        <v/>
      </c>
      <c r="C15" s="8">
        <f>IF(A15="","",IF(B15&gt;2*COUNTA(E$3:AH$3)/3,1,IF(B15&gt;=COUNTA(E$3:AH$3)/2,0.8,0.5)))</f>
        <v/>
      </c>
      <c r="D15" s="8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  <c r="AH15" s="9" t="n"/>
    </row>
    <row r="16">
      <c r="A16" s="7" t="inlineStr">
        <is>
          <t>Студент2.13</t>
        </is>
      </c>
      <c r="B16" s="8">
        <f>IF(A16="","",COUNTIF(E16:AH16,"+")+COUNTIF(E16:AH16,"1"))</f>
        <v/>
      </c>
      <c r="C16" s="8">
        <f>IF(A16="","",IF(B16&gt;2*COUNTA(E$3:AH$3)/3,1,IF(B16&gt;=COUNTA(E$3:AH$3)/2,0.8,0.5)))</f>
        <v/>
      </c>
      <c r="D16" s="8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  <c r="AH16" s="9" t="n"/>
    </row>
    <row r="17">
      <c r="A17" s="7" t="inlineStr">
        <is>
          <t>Студент2.14</t>
        </is>
      </c>
      <c r="B17" s="8">
        <f>IF(A17="","",COUNTIF(E17:AH17,"+")+COUNTIF(E17:AH17,"1"))</f>
        <v/>
      </c>
      <c r="C17" s="8">
        <f>IF(A17="","",IF(B17&gt;2*COUNTA(E$3:AH$3)/3,1,IF(B17&gt;=COUNTA(E$3:AH$3)/2,0.8,0.5)))</f>
        <v/>
      </c>
      <c r="D17" s="8" t="n"/>
      <c r="E17" s="9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</row>
    <row r="18">
      <c r="A18" s="7" t="inlineStr">
        <is>
          <t>Студент2.15</t>
        </is>
      </c>
      <c r="B18" s="8">
        <f>IF(A18="","",COUNTIF(E18:AH18,"+")+COUNTIF(E18:AH18,"1"))</f>
        <v/>
      </c>
      <c r="C18" s="8">
        <f>IF(A18="","",IF(B18&gt;2*COUNTA(E$3:AH$3)/3,1,IF(B18&gt;=COUNTA(E$3:AH$3)/2,0.8,0.5)))</f>
        <v/>
      </c>
      <c r="D18" s="8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</row>
    <row r="19">
      <c r="A19" s="7" t="inlineStr">
        <is>
          <t>Студент2.16</t>
        </is>
      </c>
      <c r="B19" s="8">
        <f>IF(A19="","",COUNTIF(E19:AH19,"+")+COUNTIF(E19:AH19,"1"))</f>
        <v/>
      </c>
      <c r="C19" s="8">
        <f>IF(A19="","",IF(B19&gt;2*COUNTA(E$3:AH$3)/3,1,IF(B19&gt;=COUNTA(E$3:AH$3)/2,0.8,0.5)))</f>
        <v/>
      </c>
      <c r="D19" s="8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</row>
    <row r="20">
      <c r="A20" s="7" t="inlineStr">
        <is>
          <t>Студент2.17</t>
        </is>
      </c>
      <c r="B20" s="8">
        <f>IF(A20="","",COUNTIF(E20:AH20,"+")+COUNTIF(E20:AH20,"1"))</f>
        <v/>
      </c>
      <c r="C20" s="8">
        <f>IF(A20="","",IF(B20&gt;2*COUNTA(E$3:AH$3)/3,1,IF(B20&gt;=COUNTA(E$3:AH$3)/2,0.8,0.5)))</f>
        <v/>
      </c>
      <c r="D20" s="8" t="n"/>
      <c r="E20" s="9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  <c r="AH20" s="9" t="n"/>
    </row>
    <row r="21">
      <c r="A21" s="7" t="inlineStr">
        <is>
          <t>Студент2.18</t>
        </is>
      </c>
      <c r="B21" s="8">
        <f>IF(A21="","",COUNTIF(E21:AH21,"+")+COUNTIF(E21:AH21,"1"))</f>
        <v/>
      </c>
      <c r="C21" s="8">
        <f>IF(A21="","",IF(B21&gt;2*COUNTA(E$3:AH$3)/3,1,IF(B21&gt;=COUNTA(E$3:AH$3)/2,0.8,0.5)))</f>
        <v/>
      </c>
      <c r="D21" s="8" t="n"/>
      <c r="E21" s="9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</row>
    <row r="22">
      <c r="A22" s="7" t="inlineStr">
        <is>
          <t>Студент2.19</t>
        </is>
      </c>
      <c r="B22" s="8">
        <f>IF(A22="","",COUNTIF(E22:AH22,"+")+COUNTIF(E22:AH22,"1"))</f>
        <v/>
      </c>
      <c r="C22" s="8">
        <f>IF(A22="","",IF(B22&gt;2*COUNTA(E$3:AH$3)/3,1,IF(B22&gt;=COUNTA(E$3:AH$3)/2,0.8,0.5)))</f>
        <v/>
      </c>
      <c r="D22" s="8" t="n"/>
      <c r="E22" s="9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  <c r="AH22" s="9" t="n"/>
    </row>
    <row r="23">
      <c r="A23" s="7" t="inlineStr">
        <is>
          <t>Студент2.20</t>
        </is>
      </c>
      <c r="B23" s="8">
        <f>IF(A23="","",COUNTIF(E23:AH23,"+")+COUNTIF(E23:AH23,"1"))</f>
        <v/>
      </c>
      <c r="C23" s="8">
        <f>IF(A23="","",IF(B23&gt;2*COUNTA(E$3:AH$3)/3,1,IF(B23&gt;=COUNTA(E$3:AH$3)/2,0.8,0.5)))</f>
        <v/>
      </c>
      <c r="D23" s="8" t="n"/>
      <c r="E23" s="9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  <c r="AH23" s="9" t="n"/>
    </row>
    <row r="24">
      <c r="A24" s="7" t="inlineStr">
        <is>
          <t>Студент2.21</t>
        </is>
      </c>
      <c r="B24" s="8">
        <f>IF(A24="","",COUNTIF(E24:AH24,"+")+COUNTIF(E24:AH24,"1"))</f>
        <v/>
      </c>
      <c r="C24" s="8">
        <f>IF(A24="","",IF(B24&gt;2*COUNTA(E$3:AH$3)/3,1,IF(B24&gt;=COUNTA(E$3:AH$3)/2,0.8,0.5)))</f>
        <v/>
      </c>
      <c r="D24" s="8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  <c r="AH24" s="9" t="n"/>
    </row>
    <row r="25">
      <c r="A25" s="7" t="inlineStr">
        <is>
          <t>Студент2.22</t>
        </is>
      </c>
      <c r="B25" s="8">
        <f>IF(A25="","",COUNTIF(E25:AH25,"+")+COUNTIF(E25:AH25,"1"))</f>
        <v/>
      </c>
      <c r="C25" s="8">
        <f>IF(A25="","",IF(B25&gt;2*COUNTA(E$3:AH$3)/3,1,IF(B25&gt;=COUNTA(E$3:AH$3)/2,0.8,0.5)))</f>
        <v/>
      </c>
      <c r="D25" s="8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  <c r="AH25" s="9" t="n"/>
    </row>
    <row r="26">
      <c r="A26" s="7" t="inlineStr">
        <is>
          <t>Студент2.23</t>
        </is>
      </c>
      <c r="B26" s="8">
        <f>IF(A26="","",COUNTIF(E26:AH26,"+")+COUNTIF(E26:AH26,"1"))</f>
        <v/>
      </c>
      <c r="C26" s="8">
        <f>IF(A26="","",IF(B26&gt;2*COUNTA(E$3:AH$3)/3,1,IF(B26&gt;=COUNTA(E$3:AH$3)/2,0.8,0.5)))</f>
        <v/>
      </c>
      <c r="D26" s="8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</row>
    <row r="27">
      <c r="A27" s="7" t="inlineStr">
        <is>
          <t>Студент2.24</t>
        </is>
      </c>
      <c r="B27" s="8">
        <f>IF(A27="","",COUNTIF(E27:AH27,"+")+COUNTIF(E27:AH27,"1"))</f>
        <v/>
      </c>
      <c r="C27" s="8">
        <f>IF(A27="","",IF(B27&gt;2*COUNTA(E$3:AH$3)/3,1,IF(B27&gt;=COUNTA(E$3:AH$3)/2,0.8,0.5)))</f>
        <v/>
      </c>
      <c r="D27" s="8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</row>
    <row r="28">
      <c r="A28" s="7" t="inlineStr">
        <is>
          <t>Студент2.25</t>
        </is>
      </c>
      <c r="B28" s="8">
        <f>IF(A28="","",COUNTIF(E28:AH28,"+")+COUNTIF(E28:AH28,"1"))</f>
        <v/>
      </c>
      <c r="C28" s="8">
        <f>IF(A28="","",IF(B28&gt;2*COUNTA(E$3:AH$3)/3,1,IF(B28&gt;=COUNTA(E$3:AH$3)/2,0.8,0.5)))</f>
        <v/>
      </c>
      <c r="D28" s="8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  <c r="AF28" s="9" t="n"/>
      <c r="AG28" s="9" t="n"/>
      <c r="AH28" s="9" t="n"/>
    </row>
    <row r="29">
      <c r="A29" s="7" t="inlineStr">
        <is>
          <t>Студент2.26</t>
        </is>
      </c>
      <c r="B29" s="8">
        <f>IF(A29="","",COUNTIF(E29:AH29,"+")+COUNTIF(E29:AH29,"1"))</f>
        <v/>
      </c>
      <c r="C29" s="8">
        <f>IF(A29="","",IF(B29&gt;2*COUNTA(E$3:AH$3)/3,1,IF(B29&gt;=COUNTA(E$3:AH$3)/2,0.8,0.5)))</f>
        <v/>
      </c>
      <c r="D29" s="8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  <c r="AH29" s="9" t="n"/>
    </row>
    <row r="30">
      <c r="A30" s="7" t="inlineStr">
        <is>
          <t>Студент2.27</t>
        </is>
      </c>
      <c r="B30" s="8">
        <f>IF(A30="","",COUNTIF(E30:AH30,"+")+COUNTIF(E30:AH30,"1"))</f>
        <v/>
      </c>
      <c r="C30" s="8">
        <f>IF(A30="","",IF(B30&gt;2*COUNTA(E$3:AH$3)/3,1,IF(B30&gt;=COUNTA(E$3:AH$3)/2,0.8,0.5)))</f>
        <v/>
      </c>
      <c r="D30" s="8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  <c r="AH30" s="9" t="n"/>
    </row>
    <row r="31">
      <c r="A31" s="7" t="inlineStr">
        <is>
          <t>Студент2.28</t>
        </is>
      </c>
      <c r="B31" s="8">
        <f>IF(A31="","",COUNTIF(E31:AH31,"+")+COUNTIF(E31:AH31,"1"))</f>
        <v/>
      </c>
      <c r="C31" s="8">
        <f>IF(A31="","",IF(B31&gt;2*COUNTA(E$3:AH$3)/3,1,IF(B31&gt;=COUNTA(E$3:AH$3)/2,0.8,0.5)))</f>
        <v/>
      </c>
      <c r="D31" s="8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  <c r="AH31" s="9" t="n"/>
    </row>
    <row r="32">
      <c r="A32" s="7" t="inlineStr">
        <is>
          <t>Студент2.29</t>
        </is>
      </c>
      <c r="B32" s="8">
        <f>IF(A32="","",COUNTIF(E32:AH32,"+")+COUNTIF(E32:AH32,"1"))</f>
        <v/>
      </c>
      <c r="C32" s="8">
        <f>IF(A32="","",IF(B32&gt;2*COUNTA(E$3:AH$3)/3,1,IF(B32&gt;=COUNTA(E$3:AH$3)/2,0.8,0.5)))</f>
        <v/>
      </c>
      <c r="D32" s="8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  <c r="AH32" s="9" t="n"/>
    </row>
    <row r="33">
      <c r="A33" s="7" t="inlineStr">
        <is>
          <t>Студент2.30</t>
        </is>
      </c>
      <c r="B33" s="8">
        <f>IF(A33="","",COUNTIF(E33:AH33,"+")+COUNTIF(E33:AH33,"1"))</f>
        <v/>
      </c>
      <c r="C33" s="8">
        <f>IF(A33="","",IF(B33&gt;2*COUNTA(E$3:AH$3)/3,1,IF(B33&gt;=COUNTA(E$3:AH$3)/2,0.8,0.5)))</f>
        <v/>
      </c>
      <c r="D33" s="8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</row>
  </sheetData>
  <mergeCells count="1">
    <mergeCell ref="A1:AI1"/>
  </mergeCells>
  <conditionalFormatting sqref="E4:AH33">
    <cfRule type="expression" priority="1" dxfId="0">
      <formula>E4="+"</formula>
    </cfRule>
    <cfRule type="expression" priority="2" dxfId="1">
      <formula>E4="1"</formula>
    </cfRule>
    <cfRule type="expression" priority="3" dxfId="2">
      <formula>E4="-"</formula>
    </cfRule>
  </conditionalFormatting>
  <conditionalFormatting sqref="B4:B33">
    <cfRule type="cellIs" priority="4" operator="greaterThanOrEqual" dxfId="3">
      <formula>21</formula>
    </cfRule>
    <cfRule type="cellIs" priority="5" operator="between" dxfId="4">
      <formula>15</formula>
      <formula>20</formula>
    </cfRule>
    <cfRule type="cellIs" priority="6" operator="lessThan" dxfId="5">
      <formula>15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9" customWidth="1" min="2" max="2"/>
    <col width="14" customWidth="1" min="3" max="3"/>
    <col width="14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</cols>
  <sheetData>
    <row r="1" hidden="1">
      <c r="A1" s="1" t="inlineStr">
        <is>
          <t>Практика 8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S</t>
        </is>
      </c>
      <c r="C3" s="4" t="inlineStr">
        <is>
          <t>Коэффициент</t>
        </is>
      </c>
      <c r="D3" s="5" t="inlineStr">
        <is>
          <t>D за практику</t>
        </is>
      </c>
      <c r="E3" s="6" t="inlineStr">
        <is>
          <t>1</t>
        </is>
      </c>
      <c r="F3" s="6" t="inlineStr">
        <is>
          <t>2</t>
        </is>
      </c>
      <c r="G3" s="6" t="inlineStr">
        <is>
          <t>3</t>
        </is>
      </c>
      <c r="H3" s="6" t="inlineStr">
        <is>
          <t>4</t>
        </is>
      </c>
      <c r="I3" s="6" t="inlineStr">
        <is>
          <t>5</t>
        </is>
      </c>
      <c r="J3" s="6" t="inlineStr">
        <is>
          <t>6</t>
        </is>
      </c>
      <c r="K3" s="6" t="inlineStr">
        <is>
          <t>7</t>
        </is>
      </c>
      <c r="L3" s="6" t="inlineStr">
        <is>
          <t>8</t>
        </is>
      </c>
      <c r="M3" s="6" t="inlineStr">
        <is>
          <t>9</t>
        </is>
      </c>
      <c r="N3" s="6" t="inlineStr">
        <is>
          <t>10</t>
        </is>
      </c>
      <c r="O3" s="6" t="inlineStr">
        <is>
          <t>11</t>
        </is>
      </c>
      <c r="P3" s="6" t="inlineStr">
        <is>
          <t>12</t>
        </is>
      </c>
      <c r="Q3" s="6" t="inlineStr">
        <is>
          <t>13</t>
        </is>
      </c>
      <c r="R3" s="6" t="inlineStr">
        <is>
          <t>14</t>
        </is>
      </c>
      <c r="S3" s="6" t="inlineStr">
        <is>
          <t>15</t>
        </is>
      </c>
      <c r="T3" s="6" t="inlineStr">
        <is>
          <t>16</t>
        </is>
      </c>
      <c r="U3" s="6" t="inlineStr">
        <is>
          <t>17</t>
        </is>
      </c>
      <c r="V3" s="6" t="inlineStr">
        <is>
          <t>18</t>
        </is>
      </c>
      <c r="W3" s="6" t="inlineStr">
        <is>
          <t>19</t>
        </is>
      </c>
      <c r="X3" s="6" t="inlineStr">
        <is>
          <t>20</t>
        </is>
      </c>
      <c r="Y3" s="6" t="inlineStr">
        <is>
          <t>21</t>
        </is>
      </c>
      <c r="Z3" s="6" t="inlineStr">
        <is>
          <t>22</t>
        </is>
      </c>
      <c r="AA3" s="6" t="inlineStr">
        <is>
          <t>23</t>
        </is>
      </c>
      <c r="AB3" s="6" t="inlineStr">
        <is>
          <t>24</t>
        </is>
      </c>
      <c r="AC3" s="6" t="inlineStr">
        <is>
          <t>25</t>
        </is>
      </c>
      <c r="AD3" s="6" t="inlineStr">
        <is>
          <t>26</t>
        </is>
      </c>
      <c r="AE3" s="6" t="inlineStr">
        <is>
          <t>27</t>
        </is>
      </c>
      <c r="AF3" s="6" t="inlineStr">
        <is>
          <t>28</t>
        </is>
      </c>
      <c r="AG3" s="6" t="inlineStr">
        <is>
          <t>29</t>
        </is>
      </c>
      <c r="AH3" s="6" t="inlineStr">
        <is>
          <t>30</t>
        </is>
      </c>
    </row>
    <row r="4">
      <c r="A4" s="7" t="inlineStr">
        <is>
          <t>Студент2.1</t>
        </is>
      </c>
      <c r="B4" s="8">
        <f>IF(A4="","",COUNTIF(E4:AH4,"+")+COUNTIF(E4:AH4,"1"))</f>
        <v/>
      </c>
      <c r="C4" s="8">
        <f>IF(A4="","",IF(B4&gt;2*COUNTA(E$3:AH$3)/3,1,IF(B4&gt;=COUNTA(E$3:AH$3)/2,0.8,0.5)))</f>
        <v/>
      </c>
      <c r="D4" s="8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  <c r="AC4" s="9" t="n"/>
      <c r="AD4" s="9" t="n"/>
      <c r="AE4" s="9" t="n"/>
      <c r="AF4" s="9" t="n"/>
      <c r="AG4" s="9" t="n"/>
      <c r="AH4" s="9" t="n"/>
    </row>
    <row r="5">
      <c r="A5" s="7" t="inlineStr">
        <is>
          <t>Студент2.2</t>
        </is>
      </c>
      <c r="B5" s="8">
        <f>IF(A5="","",COUNTIF(E5:AH5,"+")+COUNTIF(E5:AH5,"1"))</f>
        <v/>
      </c>
      <c r="C5" s="8">
        <f>IF(A5="","",IF(B5&gt;2*COUNTA(E$3:AH$3)/3,1,IF(B5&gt;=COUNTA(E$3:AH$3)/2,0.8,0.5)))</f>
        <v/>
      </c>
      <c r="D5" s="8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</row>
    <row r="6">
      <c r="A6" s="7" t="inlineStr">
        <is>
          <t>Студент2.3</t>
        </is>
      </c>
      <c r="B6" s="8">
        <f>IF(A6="","",COUNTIF(E6:AH6,"+")+COUNTIF(E6:AH6,"1"))</f>
        <v/>
      </c>
      <c r="C6" s="8">
        <f>IF(A6="","",IF(B6&gt;2*COUNTA(E$3:AH$3)/3,1,IF(B6&gt;=COUNTA(E$3:AH$3)/2,0.8,0.5)))</f>
        <v/>
      </c>
      <c r="D6" s="8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</row>
    <row r="7">
      <c r="A7" s="7" t="inlineStr">
        <is>
          <t>Студент2.4</t>
        </is>
      </c>
      <c r="B7" s="8">
        <f>IF(A7="","",COUNTIF(E7:AH7,"+")+COUNTIF(E7:AH7,"1"))</f>
        <v/>
      </c>
      <c r="C7" s="8">
        <f>IF(A7="","",IF(B7&gt;2*COUNTA(E$3:AH$3)/3,1,IF(B7&gt;=COUNTA(E$3:AH$3)/2,0.8,0.5)))</f>
        <v/>
      </c>
      <c r="D7" s="8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</row>
    <row r="8">
      <c r="A8" s="7" t="inlineStr">
        <is>
          <t>Студент2.5</t>
        </is>
      </c>
      <c r="B8" s="8">
        <f>IF(A8="","",COUNTIF(E8:AH8,"+")+COUNTIF(E8:AH8,"1"))</f>
        <v/>
      </c>
      <c r="C8" s="8">
        <f>IF(A8="","",IF(B8&gt;2*COUNTA(E$3:AH$3)/3,1,IF(B8&gt;=COUNTA(E$3:AH$3)/2,0.8,0.5)))</f>
        <v/>
      </c>
      <c r="D8" s="8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</row>
    <row r="9">
      <c r="A9" s="7" t="inlineStr">
        <is>
          <t>Студент2.6</t>
        </is>
      </c>
      <c r="B9" s="8">
        <f>IF(A9="","",COUNTIF(E9:AH9,"+")+COUNTIF(E9:AH9,"1"))</f>
        <v/>
      </c>
      <c r="C9" s="8">
        <f>IF(A9="","",IF(B9&gt;2*COUNTA(E$3:AH$3)/3,1,IF(B9&gt;=COUNTA(E$3:AH$3)/2,0.8,0.5)))</f>
        <v/>
      </c>
      <c r="D9" s="8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</row>
    <row r="10">
      <c r="A10" s="7" t="inlineStr">
        <is>
          <t>Студент2.7</t>
        </is>
      </c>
      <c r="B10" s="8">
        <f>IF(A10="","",COUNTIF(E10:AH10,"+")+COUNTIF(E10:AH10,"1"))</f>
        <v/>
      </c>
      <c r="C10" s="8">
        <f>IF(A10="","",IF(B10&gt;2*COUNTA(E$3:AH$3)/3,1,IF(B10&gt;=COUNTA(E$3:AH$3)/2,0.8,0.5)))</f>
        <v/>
      </c>
      <c r="D10" s="8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</row>
    <row r="11">
      <c r="A11" s="7" t="inlineStr">
        <is>
          <t>Студент2.8</t>
        </is>
      </c>
      <c r="B11" s="8">
        <f>IF(A11="","",COUNTIF(E11:AH11,"+")+COUNTIF(E11:AH11,"1"))</f>
        <v/>
      </c>
      <c r="C11" s="8">
        <f>IF(A11="","",IF(B11&gt;2*COUNTA(E$3:AH$3)/3,1,IF(B11&gt;=COUNTA(E$3:AH$3)/2,0.8,0.5)))</f>
        <v/>
      </c>
      <c r="D11" s="8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</row>
    <row r="12">
      <c r="A12" s="7" t="inlineStr">
        <is>
          <t>Студент2.9</t>
        </is>
      </c>
      <c r="B12" s="8">
        <f>IF(A12="","",COUNTIF(E12:AH12,"+")+COUNTIF(E12:AH12,"1"))</f>
        <v/>
      </c>
      <c r="C12" s="8">
        <f>IF(A12="","",IF(B12&gt;2*COUNTA(E$3:AH$3)/3,1,IF(B12&gt;=COUNTA(E$3:AH$3)/2,0.8,0.5)))</f>
        <v/>
      </c>
      <c r="D12" s="8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</row>
    <row r="13">
      <c r="A13" s="7" t="inlineStr">
        <is>
          <t>Студент2.10</t>
        </is>
      </c>
      <c r="B13" s="8">
        <f>IF(A13="","",COUNTIF(E13:AH13,"+")+COUNTIF(E13:AH13,"1"))</f>
        <v/>
      </c>
      <c r="C13" s="8">
        <f>IF(A13="","",IF(B13&gt;2*COUNTA(E$3:AH$3)/3,1,IF(B13&gt;=COUNTA(E$3:AH$3)/2,0.8,0.5)))</f>
        <v/>
      </c>
      <c r="D13" s="8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</row>
    <row r="14">
      <c r="A14" s="7" t="inlineStr">
        <is>
          <t>Студент2.11</t>
        </is>
      </c>
      <c r="B14" s="8">
        <f>IF(A14="","",COUNTIF(E14:AH14,"+")+COUNTIF(E14:AH14,"1"))</f>
        <v/>
      </c>
      <c r="C14" s="8">
        <f>IF(A14="","",IF(B14&gt;2*COUNTA(E$3:AH$3)/3,1,IF(B14&gt;=COUNTA(E$3:AH$3)/2,0.8,0.5)))</f>
        <v/>
      </c>
      <c r="D14" s="8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</row>
    <row r="15">
      <c r="A15" s="7" t="inlineStr">
        <is>
          <t>Студент2.12</t>
        </is>
      </c>
      <c r="B15" s="8">
        <f>IF(A15="","",COUNTIF(E15:AH15,"+")+COUNTIF(E15:AH15,"1"))</f>
        <v/>
      </c>
      <c r="C15" s="8">
        <f>IF(A15="","",IF(B15&gt;2*COUNTA(E$3:AH$3)/3,1,IF(B15&gt;=COUNTA(E$3:AH$3)/2,0.8,0.5)))</f>
        <v/>
      </c>
      <c r="D15" s="8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  <c r="AH15" s="9" t="n"/>
    </row>
    <row r="16">
      <c r="A16" s="7" t="inlineStr">
        <is>
          <t>Студент2.13</t>
        </is>
      </c>
      <c r="B16" s="8">
        <f>IF(A16="","",COUNTIF(E16:AH16,"+")+COUNTIF(E16:AH16,"1"))</f>
        <v/>
      </c>
      <c r="C16" s="8">
        <f>IF(A16="","",IF(B16&gt;2*COUNTA(E$3:AH$3)/3,1,IF(B16&gt;=COUNTA(E$3:AH$3)/2,0.8,0.5)))</f>
        <v/>
      </c>
      <c r="D16" s="8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  <c r="AH16" s="9" t="n"/>
    </row>
    <row r="17">
      <c r="A17" s="7" t="inlineStr">
        <is>
          <t>Студент2.14</t>
        </is>
      </c>
      <c r="B17" s="8">
        <f>IF(A17="","",COUNTIF(E17:AH17,"+")+COUNTIF(E17:AH17,"1"))</f>
        <v/>
      </c>
      <c r="C17" s="8">
        <f>IF(A17="","",IF(B17&gt;2*COUNTA(E$3:AH$3)/3,1,IF(B17&gt;=COUNTA(E$3:AH$3)/2,0.8,0.5)))</f>
        <v/>
      </c>
      <c r="D17" s="8" t="n"/>
      <c r="E17" s="9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</row>
    <row r="18">
      <c r="A18" s="7" t="inlineStr">
        <is>
          <t>Студент2.15</t>
        </is>
      </c>
      <c r="B18" s="8">
        <f>IF(A18="","",COUNTIF(E18:AH18,"+")+COUNTIF(E18:AH18,"1"))</f>
        <v/>
      </c>
      <c r="C18" s="8">
        <f>IF(A18="","",IF(B18&gt;2*COUNTA(E$3:AH$3)/3,1,IF(B18&gt;=COUNTA(E$3:AH$3)/2,0.8,0.5)))</f>
        <v/>
      </c>
      <c r="D18" s="8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</row>
    <row r="19">
      <c r="A19" s="7" t="inlineStr">
        <is>
          <t>Студент2.16</t>
        </is>
      </c>
      <c r="B19" s="8">
        <f>IF(A19="","",COUNTIF(E19:AH19,"+")+COUNTIF(E19:AH19,"1"))</f>
        <v/>
      </c>
      <c r="C19" s="8">
        <f>IF(A19="","",IF(B19&gt;2*COUNTA(E$3:AH$3)/3,1,IF(B19&gt;=COUNTA(E$3:AH$3)/2,0.8,0.5)))</f>
        <v/>
      </c>
      <c r="D19" s="8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</row>
    <row r="20">
      <c r="A20" s="7" t="inlineStr">
        <is>
          <t>Студент2.17</t>
        </is>
      </c>
      <c r="B20" s="8">
        <f>IF(A20="","",COUNTIF(E20:AH20,"+")+COUNTIF(E20:AH20,"1"))</f>
        <v/>
      </c>
      <c r="C20" s="8">
        <f>IF(A20="","",IF(B20&gt;2*COUNTA(E$3:AH$3)/3,1,IF(B20&gt;=COUNTA(E$3:AH$3)/2,0.8,0.5)))</f>
        <v/>
      </c>
      <c r="D20" s="8" t="n"/>
      <c r="E20" s="9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  <c r="AH20" s="9" t="n"/>
    </row>
    <row r="21">
      <c r="A21" s="7" t="inlineStr">
        <is>
          <t>Студент2.18</t>
        </is>
      </c>
      <c r="B21" s="8">
        <f>IF(A21="","",COUNTIF(E21:AH21,"+")+COUNTIF(E21:AH21,"1"))</f>
        <v/>
      </c>
      <c r="C21" s="8">
        <f>IF(A21="","",IF(B21&gt;2*COUNTA(E$3:AH$3)/3,1,IF(B21&gt;=COUNTA(E$3:AH$3)/2,0.8,0.5)))</f>
        <v/>
      </c>
      <c r="D21" s="8" t="n"/>
      <c r="E21" s="9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</row>
    <row r="22">
      <c r="A22" s="7" t="inlineStr">
        <is>
          <t>Студент2.19</t>
        </is>
      </c>
      <c r="B22" s="8">
        <f>IF(A22="","",COUNTIF(E22:AH22,"+")+COUNTIF(E22:AH22,"1"))</f>
        <v/>
      </c>
      <c r="C22" s="8">
        <f>IF(A22="","",IF(B22&gt;2*COUNTA(E$3:AH$3)/3,1,IF(B22&gt;=COUNTA(E$3:AH$3)/2,0.8,0.5)))</f>
        <v/>
      </c>
      <c r="D22" s="8" t="n"/>
      <c r="E22" s="9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  <c r="AH22" s="9" t="n"/>
    </row>
    <row r="23">
      <c r="A23" s="7" t="inlineStr">
        <is>
          <t>Студент2.20</t>
        </is>
      </c>
      <c r="B23" s="8">
        <f>IF(A23="","",COUNTIF(E23:AH23,"+")+COUNTIF(E23:AH23,"1"))</f>
        <v/>
      </c>
      <c r="C23" s="8">
        <f>IF(A23="","",IF(B23&gt;2*COUNTA(E$3:AH$3)/3,1,IF(B23&gt;=COUNTA(E$3:AH$3)/2,0.8,0.5)))</f>
        <v/>
      </c>
      <c r="D23" s="8" t="n"/>
      <c r="E23" s="9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  <c r="AH23" s="9" t="n"/>
    </row>
    <row r="24">
      <c r="A24" s="7" t="inlineStr">
        <is>
          <t>Студент2.21</t>
        </is>
      </c>
      <c r="B24" s="8">
        <f>IF(A24="","",COUNTIF(E24:AH24,"+")+COUNTIF(E24:AH24,"1"))</f>
        <v/>
      </c>
      <c r="C24" s="8">
        <f>IF(A24="","",IF(B24&gt;2*COUNTA(E$3:AH$3)/3,1,IF(B24&gt;=COUNTA(E$3:AH$3)/2,0.8,0.5)))</f>
        <v/>
      </c>
      <c r="D24" s="8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  <c r="AH24" s="9" t="n"/>
    </row>
    <row r="25">
      <c r="A25" s="7" t="inlineStr">
        <is>
          <t>Студент2.22</t>
        </is>
      </c>
      <c r="B25" s="8">
        <f>IF(A25="","",COUNTIF(E25:AH25,"+")+COUNTIF(E25:AH25,"1"))</f>
        <v/>
      </c>
      <c r="C25" s="8">
        <f>IF(A25="","",IF(B25&gt;2*COUNTA(E$3:AH$3)/3,1,IF(B25&gt;=COUNTA(E$3:AH$3)/2,0.8,0.5)))</f>
        <v/>
      </c>
      <c r="D25" s="8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  <c r="AH25" s="9" t="n"/>
    </row>
    <row r="26">
      <c r="A26" s="7" t="inlineStr">
        <is>
          <t>Студент2.23</t>
        </is>
      </c>
      <c r="B26" s="8">
        <f>IF(A26="","",COUNTIF(E26:AH26,"+")+COUNTIF(E26:AH26,"1"))</f>
        <v/>
      </c>
      <c r="C26" s="8">
        <f>IF(A26="","",IF(B26&gt;2*COUNTA(E$3:AH$3)/3,1,IF(B26&gt;=COUNTA(E$3:AH$3)/2,0.8,0.5)))</f>
        <v/>
      </c>
      <c r="D26" s="8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</row>
    <row r="27">
      <c r="A27" s="7" t="inlineStr">
        <is>
          <t>Студент2.24</t>
        </is>
      </c>
      <c r="B27" s="8">
        <f>IF(A27="","",COUNTIF(E27:AH27,"+")+COUNTIF(E27:AH27,"1"))</f>
        <v/>
      </c>
      <c r="C27" s="8">
        <f>IF(A27="","",IF(B27&gt;2*COUNTA(E$3:AH$3)/3,1,IF(B27&gt;=COUNTA(E$3:AH$3)/2,0.8,0.5)))</f>
        <v/>
      </c>
      <c r="D27" s="8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</row>
    <row r="28">
      <c r="A28" s="7" t="inlineStr">
        <is>
          <t>Студент2.25</t>
        </is>
      </c>
      <c r="B28" s="8">
        <f>IF(A28="","",COUNTIF(E28:AH28,"+")+COUNTIF(E28:AH28,"1"))</f>
        <v/>
      </c>
      <c r="C28" s="8">
        <f>IF(A28="","",IF(B28&gt;2*COUNTA(E$3:AH$3)/3,1,IF(B28&gt;=COUNTA(E$3:AH$3)/2,0.8,0.5)))</f>
        <v/>
      </c>
      <c r="D28" s="8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  <c r="AF28" s="9" t="n"/>
      <c r="AG28" s="9" t="n"/>
      <c r="AH28" s="9" t="n"/>
    </row>
    <row r="29">
      <c r="A29" s="7" t="inlineStr">
        <is>
          <t>Студент2.26</t>
        </is>
      </c>
      <c r="B29" s="8">
        <f>IF(A29="","",COUNTIF(E29:AH29,"+")+COUNTIF(E29:AH29,"1"))</f>
        <v/>
      </c>
      <c r="C29" s="8">
        <f>IF(A29="","",IF(B29&gt;2*COUNTA(E$3:AH$3)/3,1,IF(B29&gt;=COUNTA(E$3:AH$3)/2,0.8,0.5)))</f>
        <v/>
      </c>
      <c r="D29" s="8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  <c r="AH29" s="9" t="n"/>
    </row>
    <row r="30">
      <c r="A30" s="7" t="inlineStr">
        <is>
          <t>Студент2.27</t>
        </is>
      </c>
      <c r="B30" s="8">
        <f>IF(A30="","",COUNTIF(E30:AH30,"+")+COUNTIF(E30:AH30,"1"))</f>
        <v/>
      </c>
      <c r="C30" s="8">
        <f>IF(A30="","",IF(B30&gt;2*COUNTA(E$3:AH$3)/3,1,IF(B30&gt;=COUNTA(E$3:AH$3)/2,0.8,0.5)))</f>
        <v/>
      </c>
      <c r="D30" s="8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  <c r="AH30" s="9" t="n"/>
    </row>
    <row r="31">
      <c r="A31" s="7" t="inlineStr">
        <is>
          <t>Студент2.28</t>
        </is>
      </c>
      <c r="B31" s="8">
        <f>IF(A31="","",COUNTIF(E31:AH31,"+")+COUNTIF(E31:AH31,"1"))</f>
        <v/>
      </c>
      <c r="C31" s="8">
        <f>IF(A31="","",IF(B31&gt;2*COUNTA(E$3:AH$3)/3,1,IF(B31&gt;=COUNTA(E$3:AH$3)/2,0.8,0.5)))</f>
        <v/>
      </c>
      <c r="D31" s="8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  <c r="AH31" s="9" t="n"/>
    </row>
    <row r="32">
      <c r="A32" s="7" t="inlineStr">
        <is>
          <t>Студент2.29</t>
        </is>
      </c>
      <c r="B32" s="8">
        <f>IF(A32="","",COUNTIF(E32:AH32,"+")+COUNTIF(E32:AH32,"1"))</f>
        <v/>
      </c>
      <c r="C32" s="8">
        <f>IF(A32="","",IF(B32&gt;2*COUNTA(E$3:AH$3)/3,1,IF(B32&gt;=COUNTA(E$3:AH$3)/2,0.8,0.5)))</f>
        <v/>
      </c>
      <c r="D32" s="8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  <c r="AH32" s="9" t="n"/>
    </row>
    <row r="33">
      <c r="A33" s="7" t="inlineStr">
        <is>
          <t>Студент2.30</t>
        </is>
      </c>
      <c r="B33" s="8">
        <f>IF(A33="","",COUNTIF(E33:AH33,"+")+COUNTIF(E33:AH33,"1"))</f>
        <v/>
      </c>
      <c r="C33" s="8">
        <f>IF(A33="","",IF(B33&gt;2*COUNTA(E$3:AH$3)/3,1,IF(B33&gt;=COUNTA(E$3:AH$3)/2,0.8,0.5)))</f>
        <v/>
      </c>
      <c r="D33" s="8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</row>
  </sheetData>
  <mergeCells count="1">
    <mergeCell ref="A1:AI1"/>
  </mergeCells>
  <conditionalFormatting sqref="E4:AH33">
    <cfRule type="expression" priority="1" dxfId="0">
      <formula>E4="+"</formula>
    </cfRule>
    <cfRule type="expression" priority="2" dxfId="1">
      <formula>E4="1"</formula>
    </cfRule>
    <cfRule type="expression" priority="3" dxfId="2">
      <formula>E4="-"</formula>
    </cfRule>
  </conditionalFormatting>
  <conditionalFormatting sqref="B4:B33">
    <cfRule type="cellIs" priority="4" operator="greaterThanOrEqual" dxfId="3">
      <formula>21</formula>
    </cfRule>
    <cfRule type="cellIs" priority="5" operator="between" dxfId="4">
      <formula>15</formula>
      <formula>20</formula>
    </cfRule>
    <cfRule type="cellIs" priority="6" operator="lessThan" dxfId="5">
      <formula>15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9" customWidth="1" min="2" max="2"/>
    <col width="14" customWidth="1" min="3" max="3"/>
    <col width="14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</cols>
  <sheetData>
    <row r="1" hidden="1">
      <c r="A1" s="1" t="inlineStr">
        <is>
          <t>Практика 9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S</t>
        </is>
      </c>
      <c r="C3" s="4" t="inlineStr">
        <is>
          <t>Коэффициент</t>
        </is>
      </c>
      <c r="D3" s="5" t="inlineStr">
        <is>
          <t>D за практику</t>
        </is>
      </c>
      <c r="E3" s="6" t="inlineStr">
        <is>
          <t>1</t>
        </is>
      </c>
      <c r="F3" s="6" t="inlineStr">
        <is>
          <t>2</t>
        </is>
      </c>
      <c r="G3" s="6" t="inlineStr">
        <is>
          <t>3</t>
        </is>
      </c>
      <c r="H3" s="6" t="inlineStr">
        <is>
          <t>4</t>
        </is>
      </c>
      <c r="I3" s="6" t="inlineStr">
        <is>
          <t>5</t>
        </is>
      </c>
      <c r="J3" s="6" t="inlineStr">
        <is>
          <t>6</t>
        </is>
      </c>
      <c r="K3" s="6" t="inlineStr">
        <is>
          <t>7</t>
        </is>
      </c>
      <c r="L3" s="6" t="inlineStr">
        <is>
          <t>8</t>
        </is>
      </c>
      <c r="M3" s="6" t="inlineStr">
        <is>
          <t>9</t>
        </is>
      </c>
      <c r="N3" s="6" t="inlineStr">
        <is>
          <t>10</t>
        </is>
      </c>
      <c r="O3" s="6" t="inlineStr">
        <is>
          <t>11</t>
        </is>
      </c>
      <c r="P3" s="6" t="inlineStr">
        <is>
          <t>12</t>
        </is>
      </c>
      <c r="Q3" s="6" t="inlineStr">
        <is>
          <t>13</t>
        </is>
      </c>
      <c r="R3" s="6" t="inlineStr">
        <is>
          <t>14</t>
        </is>
      </c>
      <c r="S3" s="6" t="inlineStr">
        <is>
          <t>15</t>
        </is>
      </c>
      <c r="T3" s="6" t="inlineStr">
        <is>
          <t>16</t>
        </is>
      </c>
      <c r="U3" s="6" t="inlineStr">
        <is>
          <t>17</t>
        </is>
      </c>
      <c r="V3" s="6" t="inlineStr">
        <is>
          <t>18</t>
        </is>
      </c>
      <c r="W3" s="6" t="inlineStr">
        <is>
          <t>19</t>
        </is>
      </c>
      <c r="X3" s="6" t="inlineStr">
        <is>
          <t>20</t>
        </is>
      </c>
      <c r="Y3" s="6" t="inlineStr">
        <is>
          <t>21</t>
        </is>
      </c>
      <c r="Z3" s="6" t="inlineStr">
        <is>
          <t>22</t>
        </is>
      </c>
      <c r="AA3" s="6" t="inlineStr">
        <is>
          <t>23</t>
        </is>
      </c>
      <c r="AB3" s="6" t="inlineStr">
        <is>
          <t>24</t>
        </is>
      </c>
      <c r="AC3" s="6" t="inlineStr">
        <is>
          <t>25</t>
        </is>
      </c>
      <c r="AD3" s="6" t="inlineStr">
        <is>
          <t>26</t>
        </is>
      </c>
      <c r="AE3" s="6" t="inlineStr">
        <is>
          <t>27</t>
        </is>
      </c>
      <c r="AF3" s="6" t="inlineStr">
        <is>
          <t>28</t>
        </is>
      </c>
      <c r="AG3" s="6" t="inlineStr">
        <is>
          <t>29</t>
        </is>
      </c>
      <c r="AH3" s="6" t="inlineStr">
        <is>
          <t>30</t>
        </is>
      </c>
    </row>
    <row r="4">
      <c r="A4" s="7" t="inlineStr">
        <is>
          <t>Студент2.1</t>
        </is>
      </c>
      <c r="B4" s="8">
        <f>IF(A4="","",COUNTIF(E4:AH4,"+")+COUNTIF(E4:AH4,"1"))</f>
        <v/>
      </c>
      <c r="C4" s="8">
        <f>IF(A4="","",IF(B4&gt;2*COUNTA(E$3:AH$3)/3,1,IF(B4&gt;=COUNTA(E$3:AH$3)/2,0.8,0.5)))</f>
        <v/>
      </c>
      <c r="D4" s="8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  <c r="AC4" s="9" t="n"/>
      <c r="AD4" s="9" t="n"/>
      <c r="AE4" s="9" t="n"/>
      <c r="AF4" s="9" t="n"/>
      <c r="AG4" s="9" t="n"/>
      <c r="AH4" s="9" t="n"/>
    </row>
    <row r="5">
      <c r="A5" s="7" t="inlineStr">
        <is>
          <t>Студент2.2</t>
        </is>
      </c>
      <c r="B5" s="8">
        <f>IF(A5="","",COUNTIF(E5:AH5,"+")+COUNTIF(E5:AH5,"1"))</f>
        <v/>
      </c>
      <c r="C5" s="8">
        <f>IF(A5="","",IF(B5&gt;2*COUNTA(E$3:AH$3)/3,1,IF(B5&gt;=COUNTA(E$3:AH$3)/2,0.8,0.5)))</f>
        <v/>
      </c>
      <c r="D5" s="8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</row>
    <row r="6">
      <c r="A6" s="7" t="inlineStr">
        <is>
          <t>Студент2.3</t>
        </is>
      </c>
      <c r="B6" s="8">
        <f>IF(A6="","",COUNTIF(E6:AH6,"+")+COUNTIF(E6:AH6,"1"))</f>
        <v/>
      </c>
      <c r="C6" s="8">
        <f>IF(A6="","",IF(B6&gt;2*COUNTA(E$3:AH$3)/3,1,IF(B6&gt;=COUNTA(E$3:AH$3)/2,0.8,0.5)))</f>
        <v/>
      </c>
      <c r="D6" s="8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</row>
    <row r="7">
      <c r="A7" s="7" t="inlineStr">
        <is>
          <t>Студент2.4</t>
        </is>
      </c>
      <c r="B7" s="8">
        <f>IF(A7="","",COUNTIF(E7:AH7,"+")+COUNTIF(E7:AH7,"1"))</f>
        <v/>
      </c>
      <c r="C7" s="8">
        <f>IF(A7="","",IF(B7&gt;2*COUNTA(E$3:AH$3)/3,1,IF(B7&gt;=COUNTA(E$3:AH$3)/2,0.8,0.5)))</f>
        <v/>
      </c>
      <c r="D7" s="8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</row>
    <row r="8">
      <c r="A8" s="7" t="inlineStr">
        <is>
          <t>Студент2.5</t>
        </is>
      </c>
      <c r="B8" s="8">
        <f>IF(A8="","",COUNTIF(E8:AH8,"+")+COUNTIF(E8:AH8,"1"))</f>
        <v/>
      </c>
      <c r="C8" s="8">
        <f>IF(A8="","",IF(B8&gt;2*COUNTA(E$3:AH$3)/3,1,IF(B8&gt;=COUNTA(E$3:AH$3)/2,0.8,0.5)))</f>
        <v/>
      </c>
      <c r="D8" s="8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</row>
    <row r="9">
      <c r="A9" s="7" t="inlineStr">
        <is>
          <t>Студент2.6</t>
        </is>
      </c>
      <c r="B9" s="8">
        <f>IF(A9="","",COUNTIF(E9:AH9,"+")+COUNTIF(E9:AH9,"1"))</f>
        <v/>
      </c>
      <c r="C9" s="8">
        <f>IF(A9="","",IF(B9&gt;2*COUNTA(E$3:AH$3)/3,1,IF(B9&gt;=COUNTA(E$3:AH$3)/2,0.8,0.5)))</f>
        <v/>
      </c>
      <c r="D9" s="8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</row>
    <row r="10">
      <c r="A10" s="7" t="inlineStr">
        <is>
          <t>Студент2.7</t>
        </is>
      </c>
      <c r="B10" s="8">
        <f>IF(A10="","",COUNTIF(E10:AH10,"+")+COUNTIF(E10:AH10,"1"))</f>
        <v/>
      </c>
      <c r="C10" s="8">
        <f>IF(A10="","",IF(B10&gt;2*COUNTA(E$3:AH$3)/3,1,IF(B10&gt;=COUNTA(E$3:AH$3)/2,0.8,0.5)))</f>
        <v/>
      </c>
      <c r="D10" s="8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</row>
    <row r="11">
      <c r="A11" s="7" t="inlineStr">
        <is>
          <t>Студент2.8</t>
        </is>
      </c>
      <c r="B11" s="8">
        <f>IF(A11="","",COUNTIF(E11:AH11,"+")+COUNTIF(E11:AH11,"1"))</f>
        <v/>
      </c>
      <c r="C11" s="8">
        <f>IF(A11="","",IF(B11&gt;2*COUNTA(E$3:AH$3)/3,1,IF(B11&gt;=COUNTA(E$3:AH$3)/2,0.8,0.5)))</f>
        <v/>
      </c>
      <c r="D11" s="8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</row>
    <row r="12">
      <c r="A12" s="7" t="inlineStr">
        <is>
          <t>Студент2.9</t>
        </is>
      </c>
      <c r="B12" s="8">
        <f>IF(A12="","",COUNTIF(E12:AH12,"+")+COUNTIF(E12:AH12,"1"))</f>
        <v/>
      </c>
      <c r="C12" s="8">
        <f>IF(A12="","",IF(B12&gt;2*COUNTA(E$3:AH$3)/3,1,IF(B12&gt;=COUNTA(E$3:AH$3)/2,0.8,0.5)))</f>
        <v/>
      </c>
      <c r="D12" s="8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</row>
    <row r="13">
      <c r="A13" s="7" t="inlineStr">
        <is>
          <t>Студент2.10</t>
        </is>
      </c>
      <c r="B13" s="8">
        <f>IF(A13="","",COUNTIF(E13:AH13,"+")+COUNTIF(E13:AH13,"1"))</f>
        <v/>
      </c>
      <c r="C13" s="8">
        <f>IF(A13="","",IF(B13&gt;2*COUNTA(E$3:AH$3)/3,1,IF(B13&gt;=COUNTA(E$3:AH$3)/2,0.8,0.5)))</f>
        <v/>
      </c>
      <c r="D13" s="8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</row>
    <row r="14">
      <c r="A14" s="7" t="inlineStr">
        <is>
          <t>Студент2.11</t>
        </is>
      </c>
      <c r="B14" s="8">
        <f>IF(A14="","",COUNTIF(E14:AH14,"+")+COUNTIF(E14:AH14,"1"))</f>
        <v/>
      </c>
      <c r="C14" s="8">
        <f>IF(A14="","",IF(B14&gt;2*COUNTA(E$3:AH$3)/3,1,IF(B14&gt;=COUNTA(E$3:AH$3)/2,0.8,0.5)))</f>
        <v/>
      </c>
      <c r="D14" s="8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</row>
    <row r="15">
      <c r="A15" s="7" t="inlineStr">
        <is>
          <t>Студент2.12</t>
        </is>
      </c>
      <c r="B15" s="8">
        <f>IF(A15="","",COUNTIF(E15:AH15,"+")+COUNTIF(E15:AH15,"1"))</f>
        <v/>
      </c>
      <c r="C15" s="8">
        <f>IF(A15="","",IF(B15&gt;2*COUNTA(E$3:AH$3)/3,1,IF(B15&gt;=COUNTA(E$3:AH$3)/2,0.8,0.5)))</f>
        <v/>
      </c>
      <c r="D15" s="8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  <c r="AH15" s="9" t="n"/>
    </row>
    <row r="16">
      <c r="A16" s="7" t="inlineStr">
        <is>
          <t>Студент2.13</t>
        </is>
      </c>
      <c r="B16" s="8">
        <f>IF(A16="","",COUNTIF(E16:AH16,"+")+COUNTIF(E16:AH16,"1"))</f>
        <v/>
      </c>
      <c r="C16" s="8">
        <f>IF(A16="","",IF(B16&gt;2*COUNTA(E$3:AH$3)/3,1,IF(B16&gt;=COUNTA(E$3:AH$3)/2,0.8,0.5)))</f>
        <v/>
      </c>
      <c r="D16" s="8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  <c r="AH16" s="9" t="n"/>
    </row>
    <row r="17">
      <c r="A17" s="7" t="inlineStr">
        <is>
          <t>Студент2.14</t>
        </is>
      </c>
      <c r="B17" s="8">
        <f>IF(A17="","",COUNTIF(E17:AH17,"+")+COUNTIF(E17:AH17,"1"))</f>
        <v/>
      </c>
      <c r="C17" s="8">
        <f>IF(A17="","",IF(B17&gt;2*COUNTA(E$3:AH$3)/3,1,IF(B17&gt;=COUNTA(E$3:AH$3)/2,0.8,0.5)))</f>
        <v/>
      </c>
      <c r="D17" s="8" t="n"/>
      <c r="E17" s="9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</row>
    <row r="18">
      <c r="A18" s="7" t="inlineStr">
        <is>
          <t>Студент2.15</t>
        </is>
      </c>
      <c r="B18" s="8">
        <f>IF(A18="","",COUNTIF(E18:AH18,"+")+COUNTIF(E18:AH18,"1"))</f>
        <v/>
      </c>
      <c r="C18" s="8">
        <f>IF(A18="","",IF(B18&gt;2*COUNTA(E$3:AH$3)/3,1,IF(B18&gt;=COUNTA(E$3:AH$3)/2,0.8,0.5)))</f>
        <v/>
      </c>
      <c r="D18" s="8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</row>
    <row r="19">
      <c r="A19" s="7" t="inlineStr">
        <is>
          <t>Студент2.16</t>
        </is>
      </c>
      <c r="B19" s="8">
        <f>IF(A19="","",COUNTIF(E19:AH19,"+")+COUNTIF(E19:AH19,"1"))</f>
        <v/>
      </c>
      <c r="C19" s="8">
        <f>IF(A19="","",IF(B19&gt;2*COUNTA(E$3:AH$3)/3,1,IF(B19&gt;=COUNTA(E$3:AH$3)/2,0.8,0.5)))</f>
        <v/>
      </c>
      <c r="D19" s="8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</row>
    <row r="20">
      <c r="A20" s="7" t="inlineStr">
        <is>
          <t>Студент2.17</t>
        </is>
      </c>
      <c r="B20" s="8">
        <f>IF(A20="","",COUNTIF(E20:AH20,"+")+COUNTIF(E20:AH20,"1"))</f>
        <v/>
      </c>
      <c r="C20" s="8">
        <f>IF(A20="","",IF(B20&gt;2*COUNTA(E$3:AH$3)/3,1,IF(B20&gt;=COUNTA(E$3:AH$3)/2,0.8,0.5)))</f>
        <v/>
      </c>
      <c r="D20" s="8" t="n"/>
      <c r="E20" s="9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  <c r="AH20" s="9" t="n"/>
    </row>
    <row r="21">
      <c r="A21" s="7" t="inlineStr">
        <is>
          <t>Студент2.18</t>
        </is>
      </c>
      <c r="B21" s="8">
        <f>IF(A21="","",COUNTIF(E21:AH21,"+")+COUNTIF(E21:AH21,"1"))</f>
        <v/>
      </c>
      <c r="C21" s="8">
        <f>IF(A21="","",IF(B21&gt;2*COUNTA(E$3:AH$3)/3,1,IF(B21&gt;=COUNTA(E$3:AH$3)/2,0.8,0.5)))</f>
        <v/>
      </c>
      <c r="D21" s="8" t="n"/>
      <c r="E21" s="9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</row>
    <row r="22">
      <c r="A22" s="7" t="inlineStr">
        <is>
          <t>Студент2.19</t>
        </is>
      </c>
      <c r="B22" s="8">
        <f>IF(A22="","",COUNTIF(E22:AH22,"+")+COUNTIF(E22:AH22,"1"))</f>
        <v/>
      </c>
      <c r="C22" s="8">
        <f>IF(A22="","",IF(B22&gt;2*COUNTA(E$3:AH$3)/3,1,IF(B22&gt;=COUNTA(E$3:AH$3)/2,0.8,0.5)))</f>
        <v/>
      </c>
      <c r="D22" s="8" t="n"/>
      <c r="E22" s="9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  <c r="AH22" s="9" t="n"/>
    </row>
    <row r="23">
      <c r="A23" s="7" t="inlineStr">
        <is>
          <t>Студент2.20</t>
        </is>
      </c>
      <c r="B23" s="8">
        <f>IF(A23="","",COUNTIF(E23:AH23,"+")+COUNTIF(E23:AH23,"1"))</f>
        <v/>
      </c>
      <c r="C23" s="8">
        <f>IF(A23="","",IF(B23&gt;2*COUNTA(E$3:AH$3)/3,1,IF(B23&gt;=COUNTA(E$3:AH$3)/2,0.8,0.5)))</f>
        <v/>
      </c>
      <c r="D23" s="8" t="n"/>
      <c r="E23" s="9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  <c r="AH23" s="9" t="n"/>
    </row>
    <row r="24">
      <c r="A24" s="7" t="inlineStr">
        <is>
          <t>Студент2.21</t>
        </is>
      </c>
      <c r="B24" s="8">
        <f>IF(A24="","",COUNTIF(E24:AH24,"+")+COUNTIF(E24:AH24,"1"))</f>
        <v/>
      </c>
      <c r="C24" s="8">
        <f>IF(A24="","",IF(B24&gt;2*COUNTA(E$3:AH$3)/3,1,IF(B24&gt;=COUNTA(E$3:AH$3)/2,0.8,0.5)))</f>
        <v/>
      </c>
      <c r="D24" s="8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  <c r="AH24" s="9" t="n"/>
    </row>
    <row r="25">
      <c r="A25" s="7" t="inlineStr">
        <is>
          <t>Студент2.22</t>
        </is>
      </c>
      <c r="B25" s="8">
        <f>IF(A25="","",COUNTIF(E25:AH25,"+")+COUNTIF(E25:AH25,"1"))</f>
        <v/>
      </c>
      <c r="C25" s="8">
        <f>IF(A25="","",IF(B25&gt;2*COUNTA(E$3:AH$3)/3,1,IF(B25&gt;=COUNTA(E$3:AH$3)/2,0.8,0.5)))</f>
        <v/>
      </c>
      <c r="D25" s="8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  <c r="AH25" s="9" t="n"/>
    </row>
    <row r="26">
      <c r="A26" s="7" t="inlineStr">
        <is>
          <t>Студент2.23</t>
        </is>
      </c>
      <c r="B26" s="8">
        <f>IF(A26="","",COUNTIF(E26:AH26,"+")+COUNTIF(E26:AH26,"1"))</f>
        <v/>
      </c>
      <c r="C26" s="8">
        <f>IF(A26="","",IF(B26&gt;2*COUNTA(E$3:AH$3)/3,1,IF(B26&gt;=COUNTA(E$3:AH$3)/2,0.8,0.5)))</f>
        <v/>
      </c>
      <c r="D26" s="8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</row>
    <row r="27">
      <c r="A27" s="7" t="inlineStr">
        <is>
          <t>Студент2.24</t>
        </is>
      </c>
      <c r="B27" s="8">
        <f>IF(A27="","",COUNTIF(E27:AH27,"+")+COUNTIF(E27:AH27,"1"))</f>
        <v/>
      </c>
      <c r="C27" s="8">
        <f>IF(A27="","",IF(B27&gt;2*COUNTA(E$3:AH$3)/3,1,IF(B27&gt;=COUNTA(E$3:AH$3)/2,0.8,0.5)))</f>
        <v/>
      </c>
      <c r="D27" s="8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</row>
    <row r="28">
      <c r="A28" s="7" t="inlineStr">
        <is>
          <t>Студент2.25</t>
        </is>
      </c>
      <c r="B28" s="8">
        <f>IF(A28="","",COUNTIF(E28:AH28,"+")+COUNTIF(E28:AH28,"1"))</f>
        <v/>
      </c>
      <c r="C28" s="8">
        <f>IF(A28="","",IF(B28&gt;2*COUNTA(E$3:AH$3)/3,1,IF(B28&gt;=COUNTA(E$3:AH$3)/2,0.8,0.5)))</f>
        <v/>
      </c>
      <c r="D28" s="8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  <c r="AF28" s="9" t="n"/>
      <c r="AG28" s="9" t="n"/>
      <c r="AH28" s="9" t="n"/>
    </row>
    <row r="29">
      <c r="A29" s="7" t="inlineStr">
        <is>
          <t>Студент2.26</t>
        </is>
      </c>
      <c r="B29" s="8">
        <f>IF(A29="","",COUNTIF(E29:AH29,"+")+COUNTIF(E29:AH29,"1"))</f>
        <v/>
      </c>
      <c r="C29" s="8">
        <f>IF(A29="","",IF(B29&gt;2*COUNTA(E$3:AH$3)/3,1,IF(B29&gt;=COUNTA(E$3:AH$3)/2,0.8,0.5)))</f>
        <v/>
      </c>
      <c r="D29" s="8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  <c r="AH29" s="9" t="n"/>
    </row>
    <row r="30">
      <c r="A30" s="7" t="inlineStr">
        <is>
          <t>Студент2.27</t>
        </is>
      </c>
      <c r="B30" s="8">
        <f>IF(A30="","",COUNTIF(E30:AH30,"+")+COUNTIF(E30:AH30,"1"))</f>
        <v/>
      </c>
      <c r="C30" s="8">
        <f>IF(A30="","",IF(B30&gt;2*COUNTA(E$3:AH$3)/3,1,IF(B30&gt;=COUNTA(E$3:AH$3)/2,0.8,0.5)))</f>
        <v/>
      </c>
      <c r="D30" s="8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  <c r="AH30" s="9" t="n"/>
    </row>
    <row r="31">
      <c r="A31" s="7" t="inlineStr">
        <is>
          <t>Студент2.28</t>
        </is>
      </c>
      <c r="B31" s="8">
        <f>IF(A31="","",COUNTIF(E31:AH31,"+")+COUNTIF(E31:AH31,"1"))</f>
        <v/>
      </c>
      <c r="C31" s="8">
        <f>IF(A31="","",IF(B31&gt;2*COUNTA(E$3:AH$3)/3,1,IF(B31&gt;=COUNTA(E$3:AH$3)/2,0.8,0.5)))</f>
        <v/>
      </c>
      <c r="D31" s="8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  <c r="AH31" s="9" t="n"/>
    </row>
    <row r="32">
      <c r="A32" s="7" t="inlineStr">
        <is>
          <t>Студент2.29</t>
        </is>
      </c>
      <c r="B32" s="8">
        <f>IF(A32="","",COUNTIF(E32:AH32,"+")+COUNTIF(E32:AH32,"1"))</f>
        <v/>
      </c>
      <c r="C32" s="8">
        <f>IF(A32="","",IF(B32&gt;2*COUNTA(E$3:AH$3)/3,1,IF(B32&gt;=COUNTA(E$3:AH$3)/2,0.8,0.5)))</f>
        <v/>
      </c>
      <c r="D32" s="8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  <c r="AH32" s="9" t="n"/>
    </row>
    <row r="33">
      <c r="A33" s="7" t="inlineStr">
        <is>
          <t>Студент2.30</t>
        </is>
      </c>
      <c r="B33" s="8">
        <f>IF(A33="","",COUNTIF(E33:AH33,"+")+COUNTIF(E33:AH33,"1"))</f>
        <v/>
      </c>
      <c r="C33" s="8">
        <f>IF(A33="","",IF(B33&gt;2*COUNTA(E$3:AH$3)/3,1,IF(B33&gt;=COUNTA(E$3:AH$3)/2,0.8,0.5)))</f>
        <v/>
      </c>
      <c r="D33" s="8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</row>
  </sheetData>
  <mergeCells count="1">
    <mergeCell ref="A1:AI1"/>
  </mergeCells>
  <conditionalFormatting sqref="E4:AH33">
    <cfRule type="expression" priority="1" dxfId="0">
      <formula>E4="+"</formula>
    </cfRule>
    <cfRule type="expression" priority="2" dxfId="1">
      <formula>E4="1"</formula>
    </cfRule>
    <cfRule type="expression" priority="3" dxfId="2">
      <formula>E4="-"</formula>
    </cfRule>
  </conditionalFormatting>
  <conditionalFormatting sqref="B4:B33">
    <cfRule type="cellIs" priority="4" operator="greaterThanOrEqual" dxfId="3">
      <formula>21</formula>
    </cfRule>
    <cfRule type="cellIs" priority="5" operator="between" dxfId="4">
      <formula>15</formula>
      <formula>20</formula>
    </cfRule>
    <cfRule type="cellIs" priority="6" operator="lessThan" dxfId="5">
      <formula>15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9" customWidth="1" min="2" max="2"/>
    <col width="14" customWidth="1" min="3" max="3"/>
    <col width="14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</cols>
  <sheetData>
    <row r="1" hidden="1">
      <c r="A1" s="1" t="inlineStr">
        <is>
          <t>Практика 10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S</t>
        </is>
      </c>
      <c r="C3" s="4" t="inlineStr">
        <is>
          <t>Коэффициент</t>
        </is>
      </c>
      <c r="D3" s="5" t="inlineStr">
        <is>
          <t>D за практику</t>
        </is>
      </c>
      <c r="E3" s="6" t="inlineStr">
        <is>
          <t>1</t>
        </is>
      </c>
      <c r="F3" s="6" t="inlineStr">
        <is>
          <t>2</t>
        </is>
      </c>
      <c r="G3" s="6" t="inlineStr">
        <is>
          <t>3</t>
        </is>
      </c>
      <c r="H3" s="6" t="inlineStr">
        <is>
          <t>4</t>
        </is>
      </c>
      <c r="I3" s="6" t="inlineStr">
        <is>
          <t>5</t>
        </is>
      </c>
      <c r="J3" s="6" t="inlineStr">
        <is>
          <t>6</t>
        </is>
      </c>
      <c r="K3" s="6" t="inlineStr">
        <is>
          <t>7</t>
        </is>
      </c>
      <c r="L3" s="6" t="inlineStr">
        <is>
          <t>8</t>
        </is>
      </c>
      <c r="M3" s="6" t="inlineStr">
        <is>
          <t>9</t>
        </is>
      </c>
      <c r="N3" s="6" t="inlineStr">
        <is>
          <t>10</t>
        </is>
      </c>
      <c r="O3" s="6" t="inlineStr">
        <is>
          <t>11</t>
        </is>
      </c>
      <c r="P3" s="6" t="inlineStr">
        <is>
          <t>12</t>
        </is>
      </c>
      <c r="Q3" s="6" t="inlineStr">
        <is>
          <t>13</t>
        </is>
      </c>
      <c r="R3" s="6" t="inlineStr">
        <is>
          <t>14</t>
        </is>
      </c>
      <c r="S3" s="6" t="inlineStr">
        <is>
          <t>15</t>
        </is>
      </c>
      <c r="T3" s="6" t="inlineStr">
        <is>
          <t>16</t>
        </is>
      </c>
      <c r="U3" s="6" t="inlineStr">
        <is>
          <t>17</t>
        </is>
      </c>
      <c r="V3" s="6" t="inlineStr">
        <is>
          <t>18</t>
        </is>
      </c>
      <c r="W3" s="6" t="inlineStr">
        <is>
          <t>19</t>
        </is>
      </c>
      <c r="X3" s="6" t="inlineStr">
        <is>
          <t>20</t>
        </is>
      </c>
      <c r="Y3" s="6" t="inlineStr">
        <is>
          <t>21</t>
        </is>
      </c>
      <c r="Z3" s="6" t="inlineStr">
        <is>
          <t>22</t>
        </is>
      </c>
      <c r="AA3" s="6" t="inlineStr">
        <is>
          <t>23</t>
        </is>
      </c>
      <c r="AB3" s="6" t="inlineStr">
        <is>
          <t>24</t>
        </is>
      </c>
      <c r="AC3" s="6" t="inlineStr">
        <is>
          <t>25</t>
        </is>
      </c>
      <c r="AD3" s="6" t="inlineStr">
        <is>
          <t>26</t>
        </is>
      </c>
      <c r="AE3" s="6" t="inlineStr">
        <is>
          <t>27</t>
        </is>
      </c>
      <c r="AF3" s="6" t="inlineStr">
        <is>
          <t>28</t>
        </is>
      </c>
      <c r="AG3" s="6" t="inlineStr">
        <is>
          <t>29</t>
        </is>
      </c>
      <c r="AH3" s="6" t="inlineStr">
        <is>
          <t>30</t>
        </is>
      </c>
    </row>
    <row r="4">
      <c r="A4" s="7" t="inlineStr">
        <is>
          <t>Студент2.1</t>
        </is>
      </c>
      <c r="B4" s="8">
        <f>IF(A4="","",COUNTIF(E4:AH4,"+")+COUNTIF(E4:AH4,"1"))</f>
        <v/>
      </c>
      <c r="C4" s="8">
        <f>IF(A4="","",IF(B4&gt;2*COUNTA(E$3:AH$3)/3,1,IF(B4&gt;=COUNTA(E$3:AH$3)/2,0.8,0.5)))</f>
        <v/>
      </c>
      <c r="D4" s="8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  <c r="AC4" s="9" t="n"/>
      <c r="AD4" s="9" t="n"/>
      <c r="AE4" s="9" t="n"/>
      <c r="AF4" s="9" t="n"/>
      <c r="AG4" s="9" t="n"/>
      <c r="AH4" s="9" t="n"/>
    </row>
    <row r="5">
      <c r="A5" s="7" t="inlineStr">
        <is>
          <t>Студент2.2</t>
        </is>
      </c>
      <c r="B5" s="8">
        <f>IF(A5="","",COUNTIF(E5:AH5,"+")+COUNTIF(E5:AH5,"1"))</f>
        <v/>
      </c>
      <c r="C5" s="8">
        <f>IF(A5="","",IF(B5&gt;2*COUNTA(E$3:AH$3)/3,1,IF(B5&gt;=COUNTA(E$3:AH$3)/2,0.8,0.5)))</f>
        <v/>
      </c>
      <c r="D5" s="8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</row>
    <row r="6">
      <c r="A6" s="7" t="inlineStr">
        <is>
          <t>Студент2.3</t>
        </is>
      </c>
      <c r="B6" s="8">
        <f>IF(A6="","",COUNTIF(E6:AH6,"+")+COUNTIF(E6:AH6,"1"))</f>
        <v/>
      </c>
      <c r="C6" s="8">
        <f>IF(A6="","",IF(B6&gt;2*COUNTA(E$3:AH$3)/3,1,IF(B6&gt;=COUNTA(E$3:AH$3)/2,0.8,0.5)))</f>
        <v/>
      </c>
      <c r="D6" s="8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</row>
    <row r="7">
      <c r="A7" s="7" t="inlineStr">
        <is>
          <t>Студент2.4</t>
        </is>
      </c>
      <c r="B7" s="8">
        <f>IF(A7="","",COUNTIF(E7:AH7,"+")+COUNTIF(E7:AH7,"1"))</f>
        <v/>
      </c>
      <c r="C7" s="8">
        <f>IF(A7="","",IF(B7&gt;2*COUNTA(E$3:AH$3)/3,1,IF(B7&gt;=COUNTA(E$3:AH$3)/2,0.8,0.5)))</f>
        <v/>
      </c>
      <c r="D7" s="8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</row>
    <row r="8">
      <c r="A8" s="7" t="inlineStr">
        <is>
          <t>Студент2.5</t>
        </is>
      </c>
      <c r="B8" s="8">
        <f>IF(A8="","",COUNTIF(E8:AH8,"+")+COUNTIF(E8:AH8,"1"))</f>
        <v/>
      </c>
      <c r="C8" s="8">
        <f>IF(A8="","",IF(B8&gt;2*COUNTA(E$3:AH$3)/3,1,IF(B8&gt;=COUNTA(E$3:AH$3)/2,0.8,0.5)))</f>
        <v/>
      </c>
      <c r="D8" s="8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</row>
    <row r="9">
      <c r="A9" s="7" t="inlineStr">
        <is>
          <t>Студент2.6</t>
        </is>
      </c>
      <c r="B9" s="8">
        <f>IF(A9="","",COUNTIF(E9:AH9,"+")+COUNTIF(E9:AH9,"1"))</f>
        <v/>
      </c>
      <c r="C9" s="8">
        <f>IF(A9="","",IF(B9&gt;2*COUNTA(E$3:AH$3)/3,1,IF(B9&gt;=COUNTA(E$3:AH$3)/2,0.8,0.5)))</f>
        <v/>
      </c>
      <c r="D9" s="8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</row>
    <row r="10">
      <c r="A10" s="7" t="inlineStr">
        <is>
          <t>Студент2.7</t>
        </is>
      </c>
      <c r="B10" s="8">
        <f>IF(A10="","",COUNTIF(E10:AH10,"+")+COUNTIF(E10:AH10,"1"))</f>
        <v/>
      </c>
      <c r="C10" s="8">
        <f>IF(A10="","",IF(B10&gt;2*COUNTA(E$3:AH$3)/3,1,IF(B10&gt;=COUNTA(E$3:AH$3)/2,0.8,0.5)))</f>
        <v/>
      </c>
      <c r="D10" s="8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</row>
    <row r="11">
      <c r="A11" s="7" t="inlineStr">
        <is>
          <t>Студент2.8</t>
        </is>
      </c>
      <c r="B11" s="8">
        <f>IF(A11="","",COUNTIF(E11:AH11,"+")+COUNTIF(E11:AH11,"1"))</f>
        <v/>
      </c>
      <c r="C11" s="8">
        <f>IF(A11="","",IF(B11&gt;2*COUNTA(E$3:AH$3)/3,1,IF(B11&gt;=COUNTA(E$3:AH$3)/2,0.8,0.5)))</f>
        <v/>
      </c>
      <c r="D11" s="8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</row>
    <row r="12">
      <c r="A12" s="7" t="inlineStr">
        <is>
          <t>Студент2.9</t>
        </is>
      </c>
      <c r="B12" s="8">
        <f>IF(A12="","",COUNTIF(E12:AH12,"+")+COUNTIF(E12:AH12,"1"))</f>
        <v/>
      </c>
      <c r="C12" s="8">
        <f>IF(A12="","",IF(B12&gt;2*COUNTA(E$3:AH$3)/3,1,IF(B12&gt;=COUNTA(E$3:AH$3)/2,0.8,0.5)))</f>
        <v/>
      </c>
      <c r="D12" s="8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</row>
    <row r="13">
      <c r="A13" s="7" t="inlineStr">
        <is>
          <t>Студент2.10</t>
        </is>
      </c>
      <c r="B13" s="8">
        <f>IF(A13="","",COUNTIF(E13:AH13,"+")+COUNTIF(E13:AH13,"1"))</f>
        <v/>
      </c>
      <c r="C13" s="8">
        <f>IF(A13="","",IF(B13&gt;2*COUNTA(E$3:AH$3)/3,1,IF(B13&gt;=COUNTA(E$3:AH$3)/2,0.8,0.5)))</f>
        <v/>
      </c>
      <c r="D13" s="8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</row>
    <row r="14">
      <c r="A14" s="7" t="inlineStr">
        <is>
          <t>Студент2.11</t>
        </is>
      </c>
      <c r="B14" s="8">
        <f>IF(A14="","",COUNTIF(E14:AH14,"+")+COUNTIF(E14:AH14,"1"))</f>
        <v/>
      </c>
      <c r="C14" s="8">
        <f>IF(A14="","",IF(B14&gt;2*COUNTA(E$3:AH$3)/3,1,IF(B14&gt;=COUNTA(E$3:AH$3)/2,0.8,0.5)))</f>
        <v/>
      </c>
      <c r="D14" s="8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</row>
    <row r="15">
      <c r="A15" s="7" t="inlineStr">
        <is>
          <t>Студент2.12</t>
        </is>
      </c>
      <c r="B15" s="8">
        <f>IF(A15="","",COUNTIF(E15:AH15,"+")+COUNTIF(E15:AH15,"1"))</f>
        <v/>
      </c>
      <c r="C15" s="8">
        <f>IF(A15="","",IF(B15&gt;2*COUNTA(E$3:AH$3)/3,1,IF(B15&gt;=COUNTA(E$3:AH$3)/2,0.8,0.5)))</f>
        <v/>
      </c>
      <c r="D15" s="8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  <c r="AH15" s="9" t="n"/>
    </row>
    <row r="16">
      <c r="A16" s="7" t="inlineStr">
        <is>
          <t>Студент2.13</t>
        </is>
      </c>
      <c r="B16" s="8">
        <f>IF(A16="","",COUNTIF(E16:AH16,"+")+COUNTIF(E16:AH16,"1"))</f>
        <v/>
      </c>
      <c r="C16" s="8">
        <f>IF(A16="","",IF(B16&gt;2*COUNTA(E$3:AH$3)/3,1,IF(B16&gt;=COUNTA(E$3:AH$3)/2,0.8,0.5)))</f>
        <v/>
      </c>
      <c r="D16" s="8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  <c r="AH16" s="9" t="n"/>
    </row>
    <row r="17">
      <c r="A17" s="7" t="inlineStr">
        <is>
          <t>Студент2.14</t>
        </is>
      </c>
      <c r="B17" s="8">
        <f>IF(A17="","",COUNTIF(E17:AH17,"+")+COUNTIF(E17:AH17,"1"))</f>
        <v/>
      </c>
      <c r="C17" s="8">
        <f>IF(A17="","",IF(B17&gt;2*COUNTA(E$3:AH$3)/3,1,IF(B17&gt;=COUNTA(E$3:AH$3)/2,0.8,0.5)))</f>
        <v/>
      </c>
      <c r="D17" s="8" t="n"/>
      <c r="E17" s="9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</row>
    <row r="18">
      <c r="A18" s="7" t="inlineStr">
        <is>
          <t>Студент2.15</t>
        </is>
      </c>
      <c r="B18" s="8">
        <f>IF(A18="","",COUNTIF(E18:AH18,"+")+COUNTIF(E18:AH18,"1"))</f>
        <v/>
      </c>
      <c r="C18" s="8">
        <f>IF(A18="","",IF(B18&gt;2*COUNTA(E$3:AH$3)/3,1,IF(B18&gt;=COUNTA(E$3:AH$3)/2,0.8,0.5)))</f>
        <v/>
      </c>
      <c r="D18" s="8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</row>
    <row r="19">
      <c r="A19" s="7" t="inlineStr">
        <is>
          <t>Студент2.16</t>
        </is>
      </c>
      <c r="B19" s="8">
        <f>IF(A19="","",COUNTIF(E19:AH19,"+")+COUNTIF(E19:AH19,"1"))</f>
        <v/>
      </c>
      <c r="C19" s="8">
        <f>IF(A19="","",IF(B19&gt;2*COUNTA(E$3:AH$3)/3,1,IF(B19&gt;=COUNTA(E$3:AH$3)/2,0.8,0.5)))</f>
        <v/>
      </c>
      <c r="D19" s="8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</row>
    <row r="20">
      <c r="A20" s="7" t="inlineStr">
        <is>
          <t>Студент2.17</t>
        </is>
      </c>
      <c r="B20" s="8">
        <f>IF(A20="","",COUNTIF(E20:AH20,"+")+COUNTIF(E20:AH20,"1"))</f>
        <v/>
      </c>
      <c r="C20" s="8">
        <f>IF(A20="","",IF(B20&gt;2*COUNTA(E$3:AH$3)/3,1,IF(B20&gt;=COUNTA(E$3:AH$3)/2,0.8,0.5)))</f>
        <v/>
      </c>
      <c r="D20" s="8" t="n"/>
      <c r="E20" s="9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  <c r="AH20" s="9" t="n"/>
    </row>
    <row r="21">
      <c r="A21" s="7" t="inlineStr">
        <is>
          <t>Студент2.18</t>
        </is>
      </c>
      <c r="B21" s="8">
        <f>IF(A21="","",COUNTIF(E21:AH21,"+")+COUNTIF(E21:AH21,"1"))</f>
        <v/>
      </c>
      <c r="C21" s="8">
        <f>IF(A21="","",IF(B21&gt;2*COUNTA(E$3:AH$3)/3,1,IF(B21&gt;=COUNTA(E$3:AH$3)/2,0.8,0.5)))</f>
        <v/>
      </c>
      <c r="D21" s="8" t="n"/>
      <c r="E21" s="9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</row>
    <row r="22">
      <c r="A22" s="7" t="inlineStr">
        <is>
          <t>Студент2.19</t>
        </is>
      </c>
      <c r="B22" s="8">
        <f>IF(A22="","",COUNTIF(E22:AH22,"+")+COUNTIF(E22:AH22,"1"))</f>
        <v/>
      </c>
      <c r="C22" s="8">
        <f>IF(A22="","",IF(B22&gt;2*COUNTA(E$3:AH$3)/3,1,IF(B22&gt;=COUNTA(E$3:AH$3)/2,0.8,0.5)))</f>
        <v/>
      </c>
      <c r="D22" s="8" t="n"/>
      <c r="E22" s="9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  <c r="AH22" s="9" t="n"/>
    </row>
    <row r="23">
      <c r="A23" s="7" t="inlineStr">
        <is>
          <t>Студент2.20</t>
        </is>
      </c>
      <c r="B23" s="8">
        <f>IF(A23="","",COUNTIF(E23:AH23,"+")+COUNTIF(E23:AH23,"1"))</f>
        <v/>
      </c>
      <c r="C23" s="8">
        <f>IF(A23="","",IF(B23&gt;2*COUNTA(E$3:AH$3)/3,1,IF(B23&gt;=COUNTA(E$3:AH$3)/2,0.8,0.5)))</f>
        <v/>
      </c>
      <c r="D23" s="8" t="n"/>
      <c r="E23" s="9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  <c r="AH23" s="9" t="n"/>
    </row>
    <row r="24">
      <c r="A24" s="7" t="inlineStr">
        <is>
          <t>Студент2.21</t>
        </is>
      </c>
      <c r="B24" s="8">
        <f>IF(A24="","",COUNTIF(E24:AH24,"+")+COUNTIF(E24:AH24,"1"))</f>
        <v/>
      </c>
      <c r="C24" s="8">
        <f>IF(A24="","",IF(B24&gt;2*COUNTA(E$3:AH$3)/3,1,IF(B24&gt;=COUNTA(E$3:AH$3)/2,0.8,0.5)))</f>
        <v/>
      </c>
      <c r="D24" s="8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  <c r="AH24" s="9" t="n"/>
    </row>
    <row r="25">
      <c r="A25" s="7" t="inlineStr">
        <is>
          <t>Студент2.22</t>
        </is>
      </c>
      <c r="B25" s="8">
        <f>IF(A25="","",COUNTIF(E25:AH25,"+")+COUNTIF(E25:AH25,"1"))</f>
        <v/>
      </c>
      <c r="C25" s="8">
        <f>IF(A25="","",IF(B25&gt;2*COUNTA(E$3:AH$3)/3,1,IF(B25&gt;=COUNTA(E$3:AH$3)/2,0.8,0.5)))</f>
        <v/>
      </c>
      <c r="D25" s="8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  <c r="AH25" s="9" t="n"/>
    </row>
    <row r="26">
      <c r="A26" s="7" t="inlineStr">
        <is>
          <t>Студент2.23</t>
        </is>
      </c>
      <c r="B26" s="8">
        <f>IF(A26="","",COUNTIF(E26:AH26,"+")+COUNTIF(E26:AH26,"1"))</f>
        <v/>
      </c>
      <c r="C26" s="8">
        <f>IF(A26="","",IF(B26&gt;2*COUNTA(E$3:AH$3)/3,1,IF(B26&gt;=COUNTA(E$3:AH$3)/2,0.8,0.5)))</f>
        <v/>
      </c>
      <c r="D26" s="8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</row>
    <row r="27">
      <c r="A27" s="7" t="inlineStr">
        <is>
          <t>Студент2.24</t>
        </is>
      </c>
      <c r="B27" s="8">
        <f>IF(A27="","",COUNTIF(E27:AH27,"+")+COUNTIF(E27:AH27,"1"))</f>
        <v/>
      </c>
      <c r="C27" s="8">
        <f>IF(A27="","",IF(B27&gt;2*COUNTA(E$3:AH$3)/3,1,IF(B27&gt;=COUNTA(E$3:AH$3)/2,0.8,0.5)))</f>
        <v/>
      </c>
      <c r="D27" s="8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</row>
    <row r="28">
      <c r="A28" s="7" t="inlineStr">
        <is>
          <t>Студент2.25</t>
        </is>
      </c>
      <c r="B28" s="8">
        <f>IF(A28="","",COUNTIF(E28:AH28,"+")+COUNTIF(E28:AH28,"1"))</f>
        <v/>
      </c>
      <c r="C28" s="8">
        <f>IF(A28="","",IF(B28&gt;2*COUNTA(E$3:AH$3)/3,1,IF(B28&gt;=COUNTA(E$3:AH$3)/2,0.8,0.5)))</f>
        <v/>
      </c>
      <c r="D28" s="8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  <c r="AF28" s="9" t="n"/>
      <c r="AG28" s="9" t="n"/>
      <c r="AH28" s="9" t="n"/>
    </row>
    <row r="29">
      <c r="A29" s="7" t="inlineStr">
        <is>
          <t>Студент2.26</t>
        </is>
      </c>
      <c r="B29" s="8">
        <f>IF(A29="","",COUNTIF(E29:AH29,"+")+COUNTIF(E29:AH29,"1"))</f>
        <v/>
      </c>
      <c r="C29" s="8">
        <f>IF(A29="","",IF(B29&gt;2*COUNTA(E$3:AH$3)/3,1,IF(B29&gt;=COUNTA(E$3:AH$3)/2,0.8,0.5)))</f>
        <v/>
      </c>
      <c r="D29" s="8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  <c r="AH29" s="9" t="n"/>
    </row>
    <row r="30">
      <c r="A30" s="7" t="inlineStr">
        <is>
          <t>Студент2.27</t>
        </is>
      </c>
      <c r="B30" s="8">
        <f>IF(A30="","",COUNTIF(E30:AH30,"+")+COUNTIF(E30:AH30,"1"))</f>
        <v/>
      </c>
      <c r="C30" s="8">
        <f>IF(A30="","",IF(B30&gt;2*COUNTA(E$3:AH$3)/3,1,IF(B30&gt;=COUNTA(E$3:AH$3)/2,0.8,0.5)))</f>
        <v/>
      </c>
      <c r="D30" s="8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  <c r="AH30" s="9" t="n"/>
    </row>
    <row r="31">
      <c r="A31" s="7" t="inlineStr">
        <is>
          <t>Студент2.28</t>
        </is>
      </c>
      <c r="B31" s="8">
        <f>IF(A31="","",COUNTIF(E31:AH31,"+")+COUNTIF(E31:AH31,"1"))</f>
        <v/>
      </c>
      <c r="C31" s="8">
        <f>IF(A31="","",IF(B31&gt;2*COUNTA(E$3:AH$3)/3,1,IF(B31&gt;=COUNTA(E$3:AH$3)/2,0.8,0.5)))</f>
        <v/>
      </c>
      <c r="D31" s="8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  <c r="AH31" s="9" t="n"/>
    </row>
    <row r="32">
      <c r="A32" s="7" t="inlineStr">
        <is>
          <t>Студент2.29</t>
        </is>
      </c>
      <c r="B32" s="8">
        <f>IF(A32="","",COUNTIF(E32:AH32,"+")+COUNTIF(E32:AH32,"1"))</f>
        <v/>
      </c>
      <c r="C32" s="8">
        <f>IF(A32="","",IF(B32&gt;2*COUNTA(E$3:AH$3)/3,1,IF(B32&gt;=COUNTA(E$3:AH$3)/2,0.8,0.5)))</f>
        <v/>
      </c>
      <c r="D32" s="8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  <c r="AH32" s="9" t="n"/>
    </row>
    <row r="33">
      <c r="A33" s="7" t="inlineStr">
        <is>
          <t>Студент2.30</t>
        </is>
      </c>
      <c r="B33" s="8">
        <f>IF(A33="","",COUNTIF(E33:AH33,"+")+COUNTIF(E33:AH33,"1"))</f>
        <v/>
      </c>
      <c r="C33" s="8">
        <f>IF(A33="","",IF(B33&gt;2*COUNTA(E$3:AH$3)/3,1,IF(B33&gt;=COUNTA(E$3:AH$3)/2,0.8,0.5)))</f>
        <v/>
      </c>
      <c r="D33" s="8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</row>
  </sheetData>
  <mergeCells count="1">
    <mergeCell ref="A1:AI1"/>
  </mergeCells>
  <conditionalFormatting sqref="E4:AH33">
    <cfRule type="expression" priority="1" dxfId="0">
      <formula>E4="+"</formula>
    </cfRule>
    <cfRule type="expression" priority="2" dxfId="1">
      <formula>E4="1"</formula>
    </cfRule>
    <cfRule type="expression" priority="3" dxfId="2">
      <formula>E4="-"</formula>
    </cfRule>
  </conditionalFormatting>
  <conditionalFormatting sqref="B4:B33">
    <cfRule type="cellIs" priority="4" operator="greaterThanOrEqual" dxfId="3">
      <formula>21</formula>
    </cfRule>
    <cfRule type="cellIs" priority="5" operator="between" dxfId="4">
      <formula>15</formula>
      <formula>20</formula>
    </cfRule>
    <cfRule type="cellIs" priority="6" operator="lessThan" dxfId="5">
      <formula>15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9" customWidth="1" min="2" max="2"/>
    <col width="14" customWidth="1" min="3" max="3"/>
    <col width="14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</cols>
  <sheetData>
    <row r="1" hidden="1">
      <c r="A1" s="1" t="inlineStr">
        <is>
          <t>Практика 11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S</t>
        </is>
      </c>
      <c r="C3" s="4" t="inlineStr">
        <is>
          <t>Коэффициент</t>
        </is>
      </c>
      <c r="D3" s="5" t="inlineStr">
        <is>
          <t>D за практику</t>
        </is>
      </c>
      <c r="E3" s="6" t="inlineStr">
        <is>
          <t>1</t>
        </is>
      </c>
      <c r="F3" s="6" t="inlineStr">
        <is>
          <t>2</t>
        </is>
      </c>
      <c r="G3" s="6" t="inlineStr">
        <is>
          <t>3</t>
        </is>
      </c>
      <c r="H3" s="6" t="inlineStr">
        <is>
          <t>4</t>
        </is>
      </c>
      <c r="I3" s="6" t="inlineStr">
        <is>
          <t>5</t>
        </is>
      </c>
      <c r="J3" s="6" t="inlineStr">
        <is>
          <t>6</t>
        </is>
      </c>
      <c r="K3" s="6" t="inlineStr">
        <is>
          <t>7</t>
        </is>
      </c>
      <c r="L3" s="6" t="inlineStr">
        <is>
          <t>8</t>
        </is>
      </c>
      <c r="M3" s="6" t="inlineStr">
        <is>
          <t>9</t>
        </is>
      </c>
      <c r="N3" s="6" t="inlineStr">
        <is>
          <t>10</t>
        </is>
      </c>
      <c r="O3" s="6" t="inlineStr">
        <is>
          <t>11</t>
        </is>
      </c>
      <c r="P3" s="6" t="inlineStr">
        <is>
          <t>12</t>
        </is>
      </c>
      <c r="Q3" s="6" t="inlineStr">
        <is>
          <t>13</t>
        </is>
      </c>
      <c r="R3" s="6" t="inlineStr">
        <is>
          <t>14</t>
        </is>
      </c>
      <c r="S3" s="6" t="inlineStr">
        <is>
          <t>15</t>
        </is>
      </c>
      <c r="T3" s="6" t="inlineStr">
        <is>
          <t>16</t>
        </is>
      </c>
      <c r="U3" s="6" t="inlineStr">
        <is>
          <t>17</t>
        </is>
      </c>
      <c r="V3" s="6" t="inlineStr">
        <is>
          <t>18</t>
        </is>
      </c>
      <c r="W3" s="6" t="inlineStr">
        <is>
          <t>19</t>
        </is>
      </c>
      <c r="X3" s="6" t="inlineStr">
        <is>
          <t>20</t>
        </is>
      </c>
      <c r="Y3" s="6" t="inlineStr">
        <is>
          <t>21</t>
        </is>
      </c>
      <c r="Z3" s="6" t="inlineStr">
        <is>
          <t>22</t>
        </is>
      </c>
      <c r="AA3" s="6" t="inlineStr">
        <is>
          <t>23</t>
        </is>
      </c>
      <c r="AB3" s="6" t="inlineStr">
        <is>
          <t>24</t>
        </is>
      </c>
      <c r="AC3" s="6" t="inlineStr">
        <is>
          <t>25</t>
        </is>
      </c>
      <c r="AD3" s="6" t="inlineStr">
        <is>
          <t>26</t>
        </is>
      </c>
      <c r="AE3" s="6" t="inlineStr">
        <is>
          <t>27</t>
        </is>
      </c>
      <c r="AF3" s="6" t="inlineStr">
        <is>
          <t>28</t>
        </is>
      </c>
      <c r="AG3" s="6" t="inlineStr">
        <is>
          <t>29</t>
        </is>
      </c>
      <c r="AH3" s="6" t="inlineStr">
        <is>
          <t>30</t>
        </is>
      </c>
    </row>
    <row r="4">
      <c r="A4" s="7" t="inlineStr">
        <is>
          <t>Студент2.1</t>
        </is>
      </c>
      <c r="B4" s="8">
        <f>IF(A4="","",COUNTIF(E4:AH4,"+")+COUNTIF(E4:AH4,"1"))</f>
        <v/>
      </c>
      <c r="C4" s="8">
        <f>IF(A4="","",IF(B4&gt;2*COUNTA(E$3:AH$3)/3,1,IF(B4&gt;=COUNTA(E$3:AH$3)/2,0.8,0.5)))</f>
        <v/>
      </c>
      <c r="D4" s="8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  <c r="AC4" s="9" t="n"/>
      <c r="AD4" s="9" t="n"/>
      <c r="AE4" s="9" t="n"/>
      <c r="AF4" s="9" t="n"/>
      <c r="AG4" s="9" t="n"/>
      <c r="AH4" s="9" t="n"/>
    </row>
    <row r="5">
      <c r="A5" s="7" t="inlineStr">
        <is>
          <t>Студент2.2</t>
        </is>
      </c>
      <c r="B5" s="8">
        <f>IF(A5="","",COUNTIF(E5:AH5,"+")+COUNTIF(E5:AH5,"1"))</f>
        <v/>
      </c>
      <c r="C5" s="8">
        <f>IF(A5="","",IF(B5&gt;2*COUNTA(E$3:AH$3)/3,1,IF(B5&gt;=COUNTA(E$3:AH$3)/2,0.8,0.5)))</f>
        <v/>
      </c>
      <c r="D5" s="8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</row>
    <row r="6">
      <c r="A6" s="7" t="inlineStr">
        <is>
          <t>Студент2.3</t>
        </is>
      </c>
      <c r="B6" s="8">
        <f>IF(A6="","",COUNTIF(E6:AH6,"+")+COUNTIF(E6:AH6,"1"))</f>
        <v/>
      </c>
      <c r="C6" s="8">
        <f>IF(A6="","",IF(B6&gt;2*COUNTA(E$3:AH$3)/3,1,IF(B6&gt;=COUNTA(E$3:AH$3)/2,0.8,0.5)))</f>
        <v/>
      </c>
      <c r="D6" s="8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</row>
    <row r="7">
      <c r="A7" s="7" t="inlineStr">
        <is>
          <t>Студент2.4</t>
        </is>
      </c>
      <c r="B7" s="8">
        <f>IF(A7="","",COUNTIF(E7:AH7,"+")+COUNTIF(E7:AH7,"1"))</f>
        <v/>
      </c>
      <c r="C7" s="8">
        <f>IF(A7="","",IF(B7&gt;2*COUNTA(E$3:AH$3)/3,1,IF(B7&gt;=COUNTA(E$3:AH$3)/2,0.8,0.5)))</f>
        <v/>
      </c>
      <c r="D7" s="8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</row>
    <row r="8">
      <c r="A8" s="7" t="inlineStr">
        <is>
          <t>Студент2.5</t>
        </is>
      </c>
      <c r="B8" s="8">
        <f>IF(A8="","",COUNTIF(E8:AH8,"+")+COUNTIF(E8:AH8,"1"))</f>
        <v/>
      </c>
      <c r="C8" s="8">
        <f>IF(A8="","",IF(B8&gt;2*COUNTA(E$3:AH$3)/3,1,IF(B8&gt;=COUNTA(E$3:AH$3)/2,0.8,0.5)))</f>
        <v/>
      </c>
      <c r="D8" s="8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</row>
    <row r="9">
      <c r="A9" s="7" t="inlineStr">
        <is>
          <t>Студент2.6</t>
        </is>
      </c>
      <c r="B9" s="8">
        <f>IF(A9="","",COUNTIF(E9:AH9,"+")+COUNTIF(E9:AH9,"1"))</f>
        <v/>
      </c>
      <c r="C9" s="8">
        <f>IF(A9="","",IF(B9&gt;2*COUNTA(E$3:AH$3)/3,1,IF(B9&gt;=COUNTA(E$3:AH$3)/2,0.8,0.5)))</f>
        <v/>
      </c>
      <c r="D9" s="8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</row>
    <row r="10">
      <c r="A10" s="7" t="inlineStr">
        <is>
          <t>Студент2.7</t>
        </is>
      </c>
      <c r="B10" s="8">
        <f>IF(A10="","",COUNTIF(E10:AH10,"+")+COUNTIF(E10:AH10,"1"))</f>
        <v/>
      </c>
      <c r="C10" s="8">
        <f>IF(A10="","",IF(B10&gt;2*COUNTA(E$3:AH$3)/3,1,IF(B10&gt;=COUNTA(E$3:AH$3)/2,0.8,0.5)))</f>
        <v/>
      </c>
      <c r="D10" s="8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</row>
    <row r="11">
      <c r="A11" s="7" t="inlineStr">
        <is>
          <t>Студент2.8</t>
        </is>
      </c>
      <c r="B11" s="8">
        <f>IF(A11="","",COUNTIF(E11:AH11,"+")+COUNTIF(E11:AH11,"1"))</f>
        <v/>
      </c>
      <c r="C11" s="8">
        <f>IF(A11="","",IF(B11&gt;2*COUNTA(E$3:AH$3)/3,1,IF(B11&gt;=COUNTA(E$3:AH$3)/2,0.8,0.5)))</f>
        <v/>
      </c>
      <c r="D11" s="8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</row>
    <row r="12">
      <c r="A12" s="7" t="inlineStr">
        <is>
          <t>Студент2.9</t>
        </is>
      </c>
      <c r="B12" s="8">
        <f>IF(A12="","",COUNTIF(E12:AH12,"+")+COUNTIF(E12:AH12,"1"))</f>
        <v/>
      </c>
      <c r="C12" s="8">
        <f>IF(A12="","",IF(B12&gt;2*COUNTA(E$3:AH$3)/3,1,IF(B12&gt;=COUNTA(E$3:AH$3)/2,0.8,0.5)))</f>
        <v/>
      </c>
      <c r="D12" s="8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</row>
    <row r="13">
      <c r="A13" s="7" t="inlineStr">
        <is>
          <t>Студент2.10</t>
        </is>
      </c>
      <c r="B13" s="8">
        <f>IF(A13="","",COUNTIF(E13:AH13,"+")+COUNTIF(E13:AH13,"1"))</f>
        <v/>
      </c>
      <c r="C13" s="8">
        <f>IF(A13="","",IF(B13&gt;2*COUNTA(E$3:AH$3)/3,1,IF(B13&gt;=COUNTA(E$3:AH$3)/2,0.8,0.5)))</f>
        <v/>
      </c>
      <c r="D13" s="8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</row>
    <row r="14">
      <c r="A14" s="7" t="inlineStr">
        <is>
          <t>Студент2.11</t>
        </is>
      </c>
      <c r="B14" s="8">
        <f>IF(A14="","",COUNTIF(E14:AH14,"+")+COUNTIF(E14:AH14,"1"))</f>
        <v/>
      </c>
      <c r="C14" s="8">
        <f>IF(A14="","",IF(B14&gt;2*COUNTA(E$3:AH$3)/3,1,IF(B14&gt;=COUNTA(E$3:AH$3)/2,0.8,0.5)))</f>
        <v/>
      </c>
      <c r="D14" s="8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</row>
    <row r="15">
      <c r="A15" s="7" t="inlineStr">
        <is>
          <t>Студент2.12</t>
        </is>
      </c>
      <c r="B15" s="8">
        <f>IF(A15="","",COUNTIF(E15:AH15,"+")+COUNTIF(E15:AH15,"1"))</f>
        <v/>
      </c>
      <c r="C15" s="8">
        <f>IF(A15="","",IF(B15&gt;2*COUNTA(E$3:AH$3)/3,1,IF(B15&gt;=COUNTA(E$3:AH$3)/2,0.8,0.5)))</f>
        <v/>
      </c>
      <c r="D15" s="8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  <c r="AH15" s="9" t="n"/>
    </row>
    <row r="16">
      <c r="A16" s="7" t="inlineStr">
        <is>
          <t>Студент2.13</t>
        </is>
      </c>
      <c r="B16" s="8">
        <f>IF(A16="","",COUNTIF(E16:AH16,"+")+COUNTIF(E16:AH16,"1"))</f>
        <v/>
      </c>
      <c r="C16" s="8">
        <f>IF(A16="","",IF(B16&gt;2*COUNTA(E$3:AH$3)/3,1,IF(B16&gt;=COUNTA(E$3:AH$3)/2,0.8,0.5)))</f>
        <v/>
      </c>
      <c r="D16" s="8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  <c r="AH16" s="9" t="n"/>
    </row>
    <row r="17">
      <c r="A17" s="7" t="inlineStr">
        <is>
          <t>Студент2.14</t>
        </is>
      </c>
      <c r="B17" s="8">
        <f>IF(A17="","",COUNTIF(E17:AH17,"+")+COUNTIF(E17:AH17,"1"))</f>
        <v/>
      </c>
      <c r="C17" s="8">
        <f>IF(A17="","",IF(B17&gt;2*COUNTA(E$3:AH$3)/3,1,IF(B17&gt;=COUNTA(E$3:AH$3)/2,0.8,0.5)))</f>
        <v/>
      </c>
      <c r="D17" s="8" t="n"/>
      <c r="E17" s="9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</row>
    <row r="18">
      <c r="A18" s="7" t="inlineStr">
        <is>
          <t>Студент2.15</t>
        </is>
      </c>
      <c r="B18" s="8">
        <f>IF(A18="","",COUNTIF(E18:AH18,"+")+COUNTIF(E18:AH18,"1"))</f>
        <v/>
      </c>
      <c r="C18" s="8">
        <f>IF(A18="","",IF(B18&gt;2*COUNTA(E$3:AH$3)/3,1,IF(B18&gt;=COUNTA(E$3:AH$3)/2,0.8,0.5)))</f>
        <v/>
      </c>
      <c r="D18" s="8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</row>
    <row r="19">
      <c r="A19" s="7" t="inlineStr">
        <is>
          <t>Студент2.16</t>
        </is>
      </c>
      <c r="B19" s="8">
        <f>IF(A19="","",COUNTIF(E19:AH19,"+")+COUNTIF(E19:AH19,"1"))</f>
        <v/>
      </c>
      <c r="C19" s="8">
        <f>IF(A19="","",IF(B19&gt;2*COUNTA(E$3:AH$3)/3,1,IF(B19&gt;=COUNTA(E$3:AH$3)/2,0.8,0.5)))</f>
        <v/>
      </c>
      <c r="D19" s="8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</row>
    <row r="20">
      <c r="A20" s="7" t="inlineStr">
        <is>
          <t>Студент2.17</t>
        </is>
      </c>
      <c r="B20" s="8">
        <f>IF(A20="","",COUNTIF(E20:AH20,"+")+COUNTIF(E20:AH20,"1"))</f>
        <v/>
      </c>
      <c r="C20" s="8">
        <f>IF(A20="","",IF(B20&gt;2*COUNTA(E$3:AH$3)/3,1,IF(B20&gt;=COUNTA(E$3:AH$3)/2,0.8,0.5)))</f>
        <v/>
      </c>
      <c r="D20" s="8" t="n"/>
      <c r="E20" s="9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  <c r="AH20" s="9" t="n"/>
    </row>
    <row r="21">
      <c r="A21" s="7" t="inlineStr">
        <is>
          <t>Студент2.18</t>
        </is>
      </c>
      <c r="B21" s="8">
        <f>IF(A21="","",COUNTIF(E21:AH21,"+")+COUNTIF(E21:AH21,"1"))</f>
        <v/>
      </c>
      <c r="C21" s="8">
        <f>IF(A21="","",IF(B21&gt;2*COUNTA(E$3:AH$3)/3,1,IF(B21&gt;=COUNTA(E$3:AH$3)/2,0.8,0.5)))</f>
        <v/>
      </c>
      <c r="D21" s="8" t="n"/>
      <c r="E21" s="9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</row>
    <row r="22">
      <c r="A22" s="7" t="inlineStr">
        <is>
          <t>Студент2.19</t>
        </is>
      </c>
      <c r="B22" s="8">
        <f>IF(A22="","",COUNTIF(E22:AH22,"+")+COUNTIF(E22:AH22,"1"))</f>
        <v/>
      </c>
      <c r="C22" s="8">
        <f>IF(A22="","",IF(B22&gt;2*COUNTA(E$3:AH$3)/3,1,IF(B22&gt;=COUNTA(E$3:AH$3)/2,0.8,0.5)))</f>
        <v/>
      </c>
      <c r="D22" s="8" t="n"/>
      <c r="E22" s="9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  <c r="AH22" s="9" t="n"/>
    </row>
    <row r="23">
      <c r="A23" s="7" t="inlineStr">
        <is>
          <t>Студент2.20</t>
        </is>
      </c>
      <c r="B23" s="8">
        <f>IF(A23="","",COUNTIF(E23:AH23,"+")+COUNTIF(E23:AH23,"1"))</f>
        <v/>
      </c>
      <c r="C23" s="8">
        <f>IF(A23="","",IF(B23&gt;2*COUNTA(E$3:AH$3)/3,1,IF(B23&gt;=COUNTA(E$3:AH$3)/2,0.8,0.5)))</f>
        <v/>
      </c>
      <c r="D23" s="8" t="n"/>
      <c r="E23" s="9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  <c r="AH23" s="9" t="n"/>
    </row>
    <row r="24">
      <c r="A24" s="7" t="inlineStr">
        <is>
          <t>Студент2.21</t>
        </is>
      </c>
      <c r="B24" s="8">
        <f>IF(A24="","",COUNTIF(E24:AH24,"+")+COUNTIF(E24:AH24,"1"))</f>
        <v/>
      </c>
      <c r="C24" s="8">
        <f>IF(A24="","",IF(B24&gt;2*COUNTA(E$3:AH$3)/3,1,IF(B24&gt;=COUNTA(E$3:AH$3)/2,0.8,0.5)))</f>
        <v/>
      </c>
      <c r="D24" s="8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  <c r="AH24" s="9" t="n"/>
    </row>
    <row r="25">
      <c r="A25" s="7" t="inlineStr">
        <is>
          <t>Студент2.22</t>
        </is>
      </c>
      <c r="B25" s="8">
        <f>IF(A25="","",COUNTIF(E25:AH25,"+")+COUNTIF(E25:AH25,"1"))</f>
        <v/>
      </c>
      <c r="C25" s="8">
        <f>IF(A25="","",IF(B25&gt;2*COUNTA(E$3:AH$3)/3,1,IF(B25&gt;=COUNTA(E$3:AH$3)/2,0.8,0.5)))</f>
        <v/>
      </c>
      <c r="D25" s="8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  <c r="AH25" s="9" t="n"/>
    </row>
    <row r="26">
      <c r="A26" s="7" t="inlineStr">
        <is>
          <t>Студент2.23</t>
        </is>
      </c>
      <c r="B26" s="8">
        <f>IF(A26="","",COUNTIF(E26:AH26,"+")+COUNTIF(E26:AH26,"1"))</f>
        <v/>
      </c>
      <c r="C26" s="8">
        <f>IF(A26="","",IF(B26&gt;2*COUNTA(E$3:AH$3)/3,1,IF(B26&gt;=COUNTA(E$3:AH$3)/2,0.8,0.5)))</f>
        <v/>
      </c>
      <c r="D26" s="8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</row>
    <row r="27">
      <c r="A27" s="7" t="inlineStr">
        <is>
          <t>Студент2.24</t>
        </is>
      </c>
      <c r="B27" s="8">
        <f>IF(A27="","",COUNTIF(E27:AH27,"+")+COUNTIF(E27:AH27,"1"))</f>
        <v/>
      </c>
      <c r="C27" s="8">
        <f>IF(A27="","",IF(B27&gt;2*COUNTA(E$3:AH$3)/3,1,IF(B27&gt;=COUNTA(E$3:AH$3)/2,0.8,0.5)))</f>
        <v/>
      </c>
      <c r="D27" s="8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</row>
    <row r="28">
      <c r="A28" s="7" t="inlineStr">
        <is>
          <t>Студент2.25</t>
        </is>
      </c>
      <c r="B28" s="8">
        <f>IF(A28="","",COUNTIF(E28:AH28,"+")+COUNTIF(E28:AH28,"1"))</f>
        <v/>
      </c>
      <c r="C28" s="8">
        <f>IF(A28="","",IF(B28&gt;2*COUNTA(E$3:AH$3)/3,1,IF(B28&gt;=COUNTA(E$3:AH$3)/2,0.8,0.5)))</f>
        <v/>
      </c>
      <c r="D28" s="8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  <c r="AF28" s="9" t="n"/>
      <c r="AG28" s="9" t="n"/>
      <c r="AH28" s="9" t="n"/>
    </row>
    <row r="29">
      <c r="A29" s="7" t="inlineStr">
        <is>
          <t>Студент2.26</t>
        </is>
      </c>
      <c r="B29" s="8">
        <f>IF(A29="","",COUNTIF(E29:AH29,"+")+COUNTIF(E29:AH29,"1"))</f>
        <v/>
      </c>
      <c r="C29" s="8">
        <f>IF(A29="","",IF(B29&gt;2*COUNTA(E$3:AH$3)/3,1,IF(B29&gt;=COUNTA(E$3:AH$3)/2,0.8,0.5)))</f>
        <v/>
      </c>
      <c r="D29" s="8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  <c r="AH29" s="9" t="n"/>
    </row>
    <row r="30">
      <c r="A30" s="7" t="inlineStr">
        <is>
          <t>Студент2.27</t>
        </is>
      </c>
      <c r="B30" s="8">
        <f>IF(A30="","",COUNTIF(E30:AH30,"+")+COUNTIF(E30:AH30,"1"))</f>
        <v/>
      </c>
      <c r="C30" s="8">
        <f>IF(A30="","",IF(B30&gt;2*COUNTA(E$3:AH$3)/3,1,IF(B30&gt;=COUNTA(E$3:AH$3)/2,0.8,0.5)))</f>
        <v/>
      </c>
      <c r="D30" s="8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  <c r="AH30" s="9" t="n"/>
    </row>
    <row r="31">
      <c r="A31" s="7" t="inlineStr">
        <is>
          <t>Студент2.28</t>
        </is>
      </c>
      <c r="B31" s="8">
        <f>IF(A31="","",COUNTIF(E31:AH31,"+")+COUNTIF(E31:AH31,"1"))</f>
        <v/>
      </c>
      <c r="C31" s="8">
        <f>IF(A31="","",IF(B31&gt;2*COUNTA(E$3:AH$3)/3,1,IF(B31&gt;=COUNTA(E$3:AH$3)/2,0.8,0.5)))</f>
        <v/>
      </c>
      <c r="D31" s="8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  <c r="AH31" s="9" t="n"/>
    </row>
    <row r="32">
      <c r="A32" s="7" t="inlineStr">
        <is>
          <t>Студент2.29</t>
        </is>
      </c>
      <c r="B32" s="8">
        <f>IF(A32="","",COUNTIF(E32:AH32,"+")+COUNTIF(E32:AH32,"1"))</f>
        <v/>
      </c>
      <c r="C32" s="8">
        <f>IF(A32="","",IF(B32&gt;2*COUNTA(E$3:AH$3)/3,1,IF(B32&gt;=COUNTA(E$3:AH$3)/2,0.8,0.5)))</f>
        <v/>
      </c>
      <c r="D32" s="8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  <c r="AH32" s="9" t="n"/>
    </row>
    <row r="33">
      <c r="A33" s="7" t="inlineStr">
        <is>
          <t>Студент2.30</t>
        </is>
      </c>
      <c r="B33" s="8">
        <f>IF(A33="","",COUNTIF(E33:AH33,"+")+COUNTIF(E33:AH33,"1"))</f>
        <v/>
      </c>
      <c r="C33" s="8">
        <f>IF(A33="","",IF(B33&gt;2*COUNTA(E$3:AH$3)/3,1,IF(B33&gt;=COUNTA(E$3:AH$3)/2,0.8,0.5)))</f>
        <v/>
      </c>
      <c r="D33" s="8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</row>
  </sheetData>
  <mergeCells count="1">
    <mergeCell ref="A1:AI1"/>
  </mergeCells>
  <conditionalFormatting sqref="E4:AH33">
    <cfRule type="expression" priority="1" dxfId="0">
      <formula>E4="+"</formula>
    </cfRule>
    <cfRule type="expression" priority="2" dxfId="1">
      <formula>E4="1"</formula>
    </cfRule>
    <cfRule type="expression" priority="3" dxfId="2">
      <formula>E4="-"</formula>
    </cfRule>
  </conditionalFormatting>
  <conditionalFormatting sqref="B4:B33">
    <cfRule type="cellIs" priority="4" operator="greaterThanOrEqual" dxfId="3">
      <formula>21</formula>
    </cfRule>
    <cfRule type="cellIs" priority="5" operator="between" dxfId="4">
      <formula>15</formula>
      <formula>20</formula>
    </cfRule>
    <cfRule type="cellIs" priority="6" operator="lessThan" dxfId="5">
      <formula>15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9" customWidth="1" min="2" max="2"/>
    <col width="14" customWidth="1" min="3" max="3"/>
    <col width="14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</cols>
  <sheetData>
    <row r="1" hidden="1">
      <c r="A1" s="1" t="inlineStr">
        <is>
          <t>Практика 12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S</t>
        </is>
      </c>
      <c r="C3" s="4" t="inlineStr">
        <is>
          <t>Коэффициент</t>
        </is>
      </c>
      <c r="D3" s="5" t="inlineStr">
        <is>
          <t>D за практику</t>
        </is>
      </c>
      <c r="E3" s="6" t="inlineStr">
        <is>
          <t>1</t>
        </is>
      </c>
      <c r="F3" s="6" t="inlineStr">
        <is>
          <t>2</t>
        </is>
      </c>
      <c r="G3" s="6" t="inlineStr">
        <is>
          <t>3</t>
        </is>
      </c>
      <c r="H3" s="6" t="inlineStr">
        <is>
          <t>4</t>
        </is>
      </c>
      <c r="I3" s="6" t="inlineStr">
        <is>
          <t>5</t>
        </is>
      </c>
      <c r="J3" s="6" t="inlineStr">
        <is>
          <t>6</t>
        </is>
      </c>
      <c r="K3" s="6" t="inlineStr">
        <is>
          <t>7</t>
        </is>
      </c>
      <c r="L3" s="6" t="inlineStr">
        <is>
          <t>8</t>
        </is>
      </c>
      <c r="M3" s="6" t="inlineStr">
        <is>
          <t>9</t>
        </is>
      </c>
      <c r="N3" s="6" t="inlineStr">
        <is>
          <t>10</t>
        </is>
      </c>
      <c r="O3" s="6" t="inlineStr">
        <is>
          <t>11</t>
        </is>
      </c>
      <c r="P3" s="6" t="inlineStr">
        <is>
          <t>12</t>
        </is>
      </c>
      <c r="Q3" s="6" t="inlineStr">
        <is>
          <t>13</t>
        </is>
      </c>
      <c r="R3" s="6" t="inlineStr">
        <is>
          <t>14</t>
        </is>
      </c>
      <c r="S3" s="6" t="inlineStr">
        <is>
          <t>15</t>
        </is>
      </c>
      <c r="T3" s="6" t="inlineStr">
        <is>
          <t>16</t>
        </is>
      </c>
      <c r="U3" s="6" t="inlineStr">
        <is>
          <t>17</t>
        </is>
      </c>
      <c r="V3" s="6" t="inlineStr">
        <is>
          <t>18</t>
        </is>
      </c>
      <c r="W3" s="6" t="inlineStr">
        <is>
          <t>19</t>
        </is>
      </c>
      <c r="X3" s="6" t="inlineStr">
        <is>
          <t>20</t>
        </is>
      </c>
      <c r="Y3" s="6" t="inlineStr">
        <is>
          <t>21</t>
        </is>
      </c>
      <c r="Z3" s="6" t="inlineStr">
        <is>
          <t>22</t>
        </is>
      </c>
      <c r="AA3" s="6" t="inlineStr">
        <is>
          <t>23</t>
        </is>
      </c>
      <c r="AB3" s="6" t="inlineStr">
        <is>
          <t>24</t>
        </is>
      </c>
      <c r="AC3" s="6" t="inlineStr">
        <is>
          <t>25</t>
        </is>
      </c>
      <c r="AD3" s="6" t="inlineStr">
        <is>
          <t>26</t>
        </is>
      </c>
      <c r="AE3" s="6" t="inlineStr">
        <is>
          <t>27</t>
        </is>
      </c>
      <c r="AF3" s="6" t="inlineStr">
        <is>
          <t>28</t>
        </is>
      </c>
      <c r="AG3" s="6" t="inlineStr">
        <is>
          <t>29</t>
        </is>
      </c>
      <c r="AH3" s="6" t="inlineStr">
        <is>
          <t>30</t>
        </is>
      </c>
    </row>
    <row r="4">
      <c r="A4" s="7" t="inlineStr">
        <is>
          <t>Студент2.1</t>
        </is>
      </c>
      <c r="B4" s="8">
        <f>IF(A4="","",COUNTIF(E4:AH4,"+")+COUNTIF(E4:AH4,"1"))</f>
        <v/>
      </c>
      <c r="C4" s="8">
        <f>IF(A4="","",IF(B4&gt;2*COUNTA(E$3:AH$3)/3,1,IF(B4&gt;=COUNTA(E$3:AH$3)/2,0.8,0.5)))</f>
        <v/>
      </c>
      <c r="D4" s="8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  <c r="AC4" s="9" t="n"/>
      <c r="AD4" s="9" t="n"/>
      <c r="AE4" s="9" t="n"/>
      <c r="AF4" s="9" t="n"/>
      <c r="AG4" s="9" t="n"/>
      <c r="AH4" s="9" t="n"/>
    </row>
    <row r="5">
      <c r="A5" s="7" t="inlineStr">
        <is>
          <t>Студент2.2</t>
        </is>
      </c>
      <c r="B5" s="8">
        <f>IF(A5="","",COUNTIF(E5:AH5,"+")+COUNTIF(E5:AH5,"1"))</f>
        <v/>
      </c>
      <c r="C5" s="8">
        <f>IF(A5="","",IF(B5&gt;2*COUNTA(E$3:AH$3)/3,1,IF(B5&gt;=COUNTA(E$3:AH$3)/2,0.8,0.5)))</f>
        <v/>
      </c>
      <c r="D5" s="8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</row>
    <row r="6">
      <c r="A6" s="7" t="inlineStr">
        <is>
          <t>Студент2.3</t>
        </is>
      </c>
      <c r="B6" s="8">
        <f>IF(A6="","",COUNTIF(E6:AH6,"+")+COUNTIF(E6:AH6,"1"))</f>
        <v/>
      </c>
      <c r="C6" s="8">
        <f>IF(A6="","",IF(B6&gt;2*COUNTA(E$3:AH$3)/3,1,IF(B6&gt;=COUNTA(E$3:AH$3)/2,0.8,0.5)))</f>
        <v/>
      </c>
      <c r="D6" s="8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</row>
    <row r="7">
      <c r="A7" s="7" t="inlineStr">
        <is>
          <t>Студент2.4</t>
        </is>
      </c>
      <c r="B7" s="8">
        <f>IF(A7="","",COUNTIF(E7:AH7,"+")+COUNTIF(E7:AH7,"1"))</f>
        <v/>
      </c>
      <c r="C7" s="8">
        <f>IF(A7="","",IF(B7&gt;2*COUNTA(E$3:AH$3)/3,1,IF(B7&gt;=COUNTA(E$3:AH$3)/2,0.8,0.5)))</f>
        <v/>
      </c>
      <c r="D7" s="8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</row>
    <row r="8">
      <c r="A8" s="7" t="inlineStr">
        <is>
          <t>Студент2.5</t>
        </is>
      </c>
      <c r="B8" s="8">
        <f>IF(A8="","",COUNTIF(E8:AH8,"+")+COUNTIF(E8:AH8,"1"))</f>
        <v/>
      </c>
      <c r="C8" s="8">
        <f>IF(A8="","",IF(B8&gt;2*COUNTA(E$3:AH$3)/3,1,IF(B8&gt;=COUNTA(E$3:AH$3)/2,0.8,0.5)))</f>
        <v/>
      </c>
      <c r="D8" s="8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</row>
    <row r="9">
      <c r="A9" s="7" t="inlineStr">
        <is>
          <t>Студент2.6</t>
        </is>
      </c>
      <c r="B9" s="8">
        <f>IF(A9="","",COUNTIF(E9:AH9,"+")+COUNTIF(E9:AH9,"1"))</f>
        <v/>
      </c>
      <c r="C9" s="8">
        <f>IF(A9="","",IF(B9&gt;2*COUNTA(E$3:AH$3)/3,1,IF(B9&gt;=COUNTA(E$3:AH$3)/2,0.8,0.5)))</f>
        <v/>
      </c>
      <c r="D9" s="8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</row>
    <row r="10">
      <c r="A10" s="7" t="inlineStr">
        <is>
          <t>Студент2.7</t>
        </is>
      </c>
      <c r="B10" s="8">
        <f>IF(A10="","",COUNTIF(E10:AH10,"+")+COUNTIF(E10:AH10,"1"))</f>
        <v/>
      </c>
      <c r="C10" s="8">
        <f>IF(A10="","",IF(B10&gt;2*COUNTA(E$3:AH$3)/3,1,IF(B10&gt;=COUNTA(E$3:AH$3)/2,0.8,0.5)))</f>
        <v/>
      </c>
      <c r="D10" s="8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</row>
    <row r="11">
      <c r="A11" s="7" t="inlineStr">
        <is>
          <t>Студент2.8</t>
        </is>
      </c>
      <c r="B11" s="8">
        <f>IF(A11="","",COUNTIF(E11:AH11,"+")+COUNTIF(E11:AH11,"1"))</f>
        <v/>
      </c>
      <c r="C11" s="8">
        <f>IF(A11="","",IF(B11&gt;2*COUNTA(E$3:AH$3)/3,1,IF(B11&gt;=COUNTA(E$3:AH$3)/2,0.8,0.5)))</f>
        <v/>
      </c>
      <c r="D11" s="8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</row>
    <row r="12">
      <c r="A12" s="7" t="inlineStr">
        <is>
          <t>Студент2.9</t>
        </is>
      </c>
      <c r="B12" s="8">
        <f>IF(A12="","",COUNTIF(E12:AH12,"+")+COUNTIF(E12:AH12,"1"))</f>
        <v/>
      </c>
      <c r="C12" s="8">
        <f>IF(A12="","",IF(B12&gt;2*COUNTA(E$3:AH$3)/3,1,IF(B12&gt;=COUNTA(E$3:AH$3)/2,0.8,0.5)))</f>
        <v/>
      </c>
      <c r="D12" s="8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</row>
    <row r="13">
      <c r="A13" s="7" t="inlineStr">
        <is>
          <t>Студент2.10</t>
        </is>
      </c>
      <c r="B13" s="8">
        <f>IF(A13="","",COUNTIF(E13:AH13,"+")+COUNTIF(E13:AH13,"1"))</f>
        <v/>
      </c>
      <c r="C13" s="8">
        <f>IF(A13="","",IF(B13&gt;2*COUNTA(E$3:AH$3)/3,1,IF(B13&gt;=COUNTA(E$3:AH$3)/2,0.8,0.5)))</f>
        <v/>
      </c>
      <c r="D13" s="8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</row>
    <row r="14">
      <c r="A14" s="7" t="inlineStr">
        <is>
          <t>Студент2.11</t>
        </is>
      </c>
      <c r="B14" s="8">
        <f>IF(A14="","",COUNTIF(E14:AH14,"+")+COUNTIF(E14:AH14,"1"))</f>
        <v/>
      </c>
      <c r="C14" s="8">
        <f>IF(A14="","",IF(B14&gt;2*COUNTA(E$3:AH$3)/3,1,IF(B14&gt;=COUNTA(E$3:AH$3)/2,0.8,0.5)))</f>
        <v/>
      </c>
      <c r="D14" s="8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</row>
    <row r="15">
      <c r="A15" s="7" t="inlineStr">
        <is>
          <t>Студент2.12</t>
        </is>
      </c>
      <c r="B15" s="8">
        <f>IF(A15="","",COUNTIF(E15:AH15,"+")+COUNTIF(E15:AH15,"1"))</f>
        <v/>
      </c>
      <c r="C15" s="8">
        <f>IF(A15="","",IF(B15&gt;2*COUNTA(E$3:AH$3)/3,1,IF(B15&gt;=COUNTA(E$3:AH$3)/2,0.8,0.5)))</f>
        <v/>
      </c>
      <c r="D15" s="8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  <c r="AH15" s="9" t="n"/>
    </row>
    <row r="16">
      <c r="A16" s="7" t="inlineStr">
        <is>
          <t>Студент2.13</t>
        </is>
      </c>
      <c r="B16" s="8">
        <f>IF(A16="","",COUNTIF(E16:AH16,"+")+COUNTIF(E16:AH16,"1"))</f>
        <v/>
      </c>
      <c r="C16" s="8">
        <f>IF(A16="","",IF(B16&gt;2*COUNTA(E$3:AH$3)/3,1,IF(B16&gt;=COUNTA(E$3:AH$3)/2,0.8,0.5)))</f>
        <v/>
      </c>
      <c r="D16" s="8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  <c r="AH16" s="9" t="n"/>
    </row>
    <row r="17">
      <c r="A17" s="7" t="inlineStr">
        <is>
          <t>Студент2.14</t>
        </is>
      </c>
      <c r="B17" s="8">
        <f>IF(A17="","",COUNTIF(E17:AH17,"+")+COUNTIF(E17:AH17,"1"))</f>
        <v/>
      </c>
      <c r="C17" s="8">
        <f>IF(A17="","",IF(B17&gt;2*COUNTA(E$3:AH$3)/3,1,IF(B17&gt;=COUNTA(E$3:AH$3)/2,0.8,0.5)))</f>
        <v/>
      </c>
      <c r="D17" s="8" t="n"/>
      <c r="E17" s="9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</row>
    <row r="18">
      <c r="A18" s="7" t="inlineStr">
        <is>
          <t>Студент2.15</t>
        </is>
      </c>
      <c r="B18" s="8">
        <f>IF(A18="","",COUNTIF(E18:AH18,"+")+COUNTIF(E18:AH18,"1"))</f>
        <v/>
      </c>
      <c r="C18" s="8">
        <f>IF(A18="","",IF(B18&gt;2*COUNTA(E$3:AH$3)/3,1,IF(B18&gt;=COUNTA(E$3:AH$3)/2,0.8,0.5)))</f>
        <v/>
      </c>
      <c r="D18" s="8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</row>
    <row r="19">
      <c r="A19" s="7" t="inlineStr">
        <is>
          <t>Студент2.16</t>
        </is>
      </c>
      <c r="B19" s="8">
        <f>IF(A19="","",COUNTIF(E19:AH19,"+")+COUNTIF(E19:AH19,"1"))</f>
        <v/>
      </c>
      <c r="C19" s="8">
        <f>IF(A19="","",IF(B19&gt;2*COUNTA(E$3:AH$3)/3,1,IF(B19&gt;=COUNTA(E$3:AH$3)/2,0.8,0.5)))</f>
        <v/>
      </c>
      <c r="D19" s="8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</row>
    <row r="20">
      <c r="A20" s="7" t="inlineStr">
        <is>
          <t>Студент2.17</t>
        </is>
      </c>
      <c r="B20" s="8">
        <f>IF(A20="","",COUNTIF(E20:AH20,"+")+COUNTIF(E20:AH20,"1"))</f>
        <v/>
      </c>
      <c r="C20" s="8">
        <f>IF(A20="","",IF(B20&gt;2*COUNTA(E$3:AH$3)/3,1,IF(B20&gt;=COUNTA(E$3:AH$3)/2,0.8,0.5)))</f>
        <v/>
      </c>
      <c r="D20" s="8" t="n"/>
      <c r="E20" s="9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  <c r="AH20" s="9" t="n"/>
    </row>
    <row r="21">
      <c r="A21" s="7" t="inlineStr">
        <is>
          <t>Студент2.18</t>
        </is>
      </c>
      <c r="B21" s="8">
        <f>IF(A21="","",COUNTIF(E21:AH21,"+")+COUNTIF(E21:AH21,"1"))</f>
        <v/>
      </c>
      <c r="C21" s="8">
        <f>IF(A21="","",IF(B21&gt;2*COUNTA(E$3:AH$3)/3,1,IF(B21&gt;=COUNTA(E$3:AH$3)/2,0.8,0.5)))</f>
        <v/>
      </c>
      <c r="D21" s="8" t="n"/>
      <c r="E21" s="9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</row>
    <row r="22">
      <c r="A22" s="7" t="inlineStr">
        <is>
          <t>Студент2.19</t>
        </is>
      </c>
      <c r="B22" s="8">
        <f>IF(A22="","",COUNTIF(E22:AH22,"+")+COUNTIF(E22:AH22,"1"))</f>
        <v/>
      </c>
      <c r="C22" s="8">
        <f>IF(A22="","",IF(B22&gt;2*COUNTA(E$3:AH$3)/3,1,IF(B22&gt;=COUNTA(E$3:AH$3)/2,0.8,0.5)))</f>
        <v/>
      </c>
      <c r="D22" s="8" t="n"/>
      <c r="E22" s="9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  <c r="AH22" s="9" t="n"/>
    </row>
    <row r="23">
      <c r="A23" s="7" t="inlineStr">
        <is>
          <t>Студент2.20</t>
        </is>
      </c>
      <c r="B23" s="8">
        <f>IF(A23="","",COUNTIF(E23:AH23,"+")+COUNTIF(E23:AH23,"1"))</f>
        <v/>
      </c>
      <c r="C23" s="8">
        <f>IF(A23="","",IF(B23&gt;2*COUNTA(E$3:AH$3)/3,1,IF(B23&gt;=COUNTA(E$3:AH$3)/2,0.8,0.5)))</f>
        <v/>
      </c>
      <c r="D23" s="8" t="n"/>
      <c r="E23" s="9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  <c r="AH23" s="9" t="n"/>
    </row>
    <row r="24">
      <c r="A24" s="7" t="inlineStr">
        <is>
          <t>Студент2.21</t>
        </is>
      </c>
      <c r="B24" s="8">
        <f>IF(A24="","",COUNTIF(E24:AH24,"+")+COUNTIF(E24:AH24,"1"))</f>
        <v/>
      </c>
      <c r="C24" s="8">
        <f>IF(A24="","",IF(B24&gt;2*COUNTA(E$3:AH$3)/3,1,IF(B24&gt;=COUNTA(E$3:AH$3)/2,0.8,0.5)))</f>
        <v/>
      </c>
      <c r="D24" s="8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  <c r="AH24" s="9" t="n"/>
    </row>
    <row r="25">
      <c r="A25" s="7" t="inlineStr">
        <is>
          <t>Студент2.22</t>
        </is>
      </c>
      <c r="B25" s="8">
        <f>IF(A25="","",COUNTIF(E25:AH25,"+")+COUNTIF(E25:AH25,"1"))</f>
        <v/>
      </c>
      <c r="C25" s="8">
        <f>IF(A25="","",IF(B25&gt;2*COUNTA(E$3:AH$3)/3,1,IF(B25&gt;=COUNTA(E$3:AH$3)/2,0.8,0.5)))</f>
        <v/>
      </c>
      <c r="D25" s="8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  <c r="AH25" s="9" t="n"/>
    </row>
    <row r="26">
      <c r="A26" s="7" t="inlineStr">
        <is>
          <t>Студент2.23</t>
        </is>
      </c>
      <c r="B26" s="8">
        <f>IF(A26="","",COUNTIF(E26:AH26,"+")+COUNTIF(E26:AH26,"1"))</f>
        <v/>
      </c>
      <c r="C26" s="8">
        <f>IF(A26="","",IF(B26&gt;2*COUNTA(E$3:AH$3)/3,1,IF(B26&gt;=COUNTA(E$3:AH$3)/2,0.8,0.5)))</f>
        <v/>
      </c>
      <c r="D26" s="8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</row>
    <row r="27">
      <c r="A27" s="7" t="inlineStr">
        <is>
          <t>Студент2.24</t>
        </is>
      </c>
      <c r="B27" s="8">
        <f>IF(A27="","",COUNTIF(E27:AH27,"+")+COUNTIF(E27:AH27,"1"))</f>
        <v/>
      </c>
      <c r="C27" s="8">
        <f>IF(A27="","",IF(B27&gt;2*COUNTA(E$3:AH$3)/3,1,IF(B27&gt;=COUNTA(E$3:AH$3)/2,0.8,0.5)))</f>
        <v/>
      </c>
      <c r="D27" s="8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</row>
    <row r="28">
      <c r="A28" s="7" t="inlineStr">
        <is>
          <t>Студент2.25</t>
        </is>
      </c>
      <c r="B28" s="8">
        <f>IF(A28="","",COUNTIF(E28:AH28,"+")+COUNTIF(E28:AH28,"1"))</f>
        <v/>
      </c>
      <c r="C28" s="8">
        <f>IF(A28="","",IF(B28&gt;2*COUNTA(E$3:AH$3)/3,1,IF(B28&gt;=COUNTA(E$3:AH$3)/2,0.8,0.5)))</f>
        <v/>
      </c>
      <c r="D28" s="8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  <c r="AF28" s="9" t="n"/>
      <c r="AG28" s="9" t="n"/>
      <c r="AH28" s="9" t="n"/>
    </row>
    <row r="29">
      <c r="A29" s="7" t="inlineStr">
        <is>
          <t>Студент2.26</t>
        </is>
      </c>
      <c r="B29" s="8">
        <f>IF(A29="","",COUNTIF(E29:AH29,"+")+COUNTIF(E29:AH29,"1"))</f>
        <v/>
      </c>
      <c r="C29" s="8">
        <f>IF(A29="","",IF(B29&gt;2*COUNTA(E$3:AH$3)/3,1,IF(B29&gt;=COUNTA(E$3:AH$3)/2,0.8,0.5)))</f>
        <v/>
      </c>
      <c r="D29" s="8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  <c r="AH29" s="9" t="n"/>
    </row>
    <row r="30">
      <c r="A30" s="7" t="inlineStr">
        <is>
          <t>Студент2.27</t>
        </is>
      </c>
      <c r="B30" s="8">
        <f>IF(A30="","",COUNTIF(E30:AH30,"+")+COUNTIF(E30:AH30,"1"))</f>
        <v/>
      </c>
      <c r="C30" s="8">
        <f>IF(A30="","",IF(B30&gt;2*COUNTA(E$3:AH$3)/3,1,IF(B30&gt;=COUNTA(E$3:AH$3)/2,0.8,0.5)))</f>
        <v/>
      </c>
      <c r="D30" s="8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  <c r="AH30" s="9" t="n"/>
    </row>
    <row r="31">
      <c r="A31" s="7" t="inlineStr">
        <is>
          <t>Студент2.28</t>
        </is>
      </c>
      <c r="B31" s="8">
        <f>IF(A31="","",COUNTIF(E31:AH31,"+")+COUNTIF(E31:AH31,"1"))</f>
        <v/>
      </c>
      <c r="C31" s="8">
        <f>IF(A31="","",IF(B31&gt;2*COUNTA(E$3:AH$3)/3,1,IF(B31&gt;=COUNTA(E$3:AH$3)/2,0.8,0.5)))</f>
        <v/>
      </c>
      <c r="D31" s="8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  <c r="AH31" s="9" t="n"/>
    </row>
    <row r="32">
      <c r="A32" s="7" t="inlineStr">
        <is>
          <t>Студент2.29</t>
        </is>
      </c>
      <c r="B32" s="8">
        <f>IF(A32="","",COUNTIF(E32:AH32,"+")+COUNTIF(E32:AH32,"1"))</f>
        <v/>
      </c>
      <c r="C32" s="8">
        <f>IF(A32="","",IF(B32&gt;2*COUNTA(E$3:AH$3)/3,1,IF(B32&gt;=COUNTA(E$3:AH$3)/2,0.8,0.5)))</f>
        <v/>
      </c>
      <c r="D32" s="8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  <c r="AH32" s="9" t="n"/>
    </row>
    <row r="33">
      <c r="A33" s="7" t="inlineStr">
        <is>
          <t>Студент2.30</t>
        </is>
      </c>
      <c r="B33" s="8">
        <f>IF(A33="","",COUNTIF(E33:AH33,"+")+COUNTIF(E33:AH33,"1"))</f>
        <v/>
      </c>
      <c r="C33" s="8">
        <f>IF(A33="","",IF(B33&gt;2*COUNTA(E$3:AH$3)/3,1,IF(B33&gt;=COUNTA(E$3:AH$3)/2,0.8,0.5)))</f>
        <v/>
      </c>
      <c r="D33" s="8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</row>
  </sheetData>
  <mergeCells count="1">
    <mergeCell ref="A1:AI1"/>
  </mergeCells>
  <conditionalFormatting sqref="E4:AH33">
    <cfRule type="expression" priority="1" dxfId="0">
      <formula>E4="+"</formula>
    </cfRule>
    <cfRule type="expression" priority="2" dxfId="1">
      <formula>E4="1"</formula>
    </cfRule>
    <cfRule type="expression" priority="3" dxfId="2">
      <formula>E4="-"</formula>
    </cfRule>
  </conditionalFormatting>
  <conditionalFormatting sqref="B4:B33">
    <cfRule type="cellIs" priority="4" operator="greaterThanOrEqual" dxfId="3">
      <formula>21</formula>
    </cfRule>
    <cfRule type="cellIs" priority="5" operator="between" dxfId="4">
      <formula>15</formula>
      <formula>20</formula>
    </cfRule>
    <cfRule type="cellIs" priority="6" operator="lessThan" dxfId="5">
      <formula>15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9" customWidth="1" min="2" max="2"/>
    <col width="14" customWidth="1" min="3" max="3"/>
    <col width="14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</cols>
  <sheetData>
    <row r="1" hidden="1">
      <c r="A1" s="1" t="inlineStr">
        <is>
          <t>Практика 13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S</t>
        </is>
      </c>
      <c r="C3" s="4" t="inlineStr">
        <is>
          <t>Коэффициент</t>
        </is>
      </c>
      <c r="D3" s="5" t="inlineStr">
        <is>
          <t>D за практику</t>
        </is>
      </c>
      <c r="E3" s="6" t="inlineStr">
        <is>
          <t>1</t>
        </is>
      </c>
      <c r="F3" s="6" t="inlineStr">
        <is>
          <t>2</t>
        </is>
      </c>
      <c r="G3" s="6" t="inlineStr">
        <is>
          <t>3</t>
        </is>
      </c>
      <c r="H3" s="6" t="inlineStr">
        <is>
          <t>4</t>
        </is>
      </c>
      <c r="I3" s="6" t="inlineStr">
        <is>
          <t>5</t>
        </is>
      </c>
      <c r="J3" s="6" t="inlineStr">
        <is>
          <t>6</t>
        </is>
      </c>
      <c r="K3" s="6" t="inlineStr">
        <is>
          <t>7</t>
        </is>
      </c>
      <c r="L3" s="6" t="inlineStr">
        <is>
          <t>8</t>
        </is>
      </c>
      <c r="M3" s="6" t="inlineStr">
        <is>
          <t>9</t>
        </is>
      </c>
      <c r="N3" s="6" t="inlineStr">
        <is>
          <t>10</t>
        </is>
      </c>
      <c r="O3" s="6" t="inlineStr">
        <is>
          <t>11</t>
        </is>
      </c>
      <c r="P3" s="6" t="inlineStr">
        <is>
          <t>12</t>
        </is>
      </c>
      <c r="Q3" s="6" t="inlineStr">
        <is>
          <t>13</t>
        </is>
      </c>
      <c r="R3" s="6" t="inlineStr">
        <is>
          <t>14</t>
        </is>
      </c>
      <c r="S3" s="6" t="inlineStr">
        <is>
          <t>15</t>
        </is>
      </c>
      <c r="T3" s="6" t="inlineStr">
        <is>
          <t>16</t>
        </is>
      </c>
      <c r="U3" s="6" t="inlineStr">
        <is>
          <t>17</t>
        </is>
      </c>
      <c r="V3" s="6" t="inlineStr">
        <is>
          <t>18</t>
        </is>
      </c>
      <c r="W3" s="6" t="inlineStr">
        <is>
          <t>19</t>
        </is>
      </c>
      <c r="X3" s="6" t="inlineStr">
        <is>
          <t>20</t>
        </is>
      </c>
      <c r="Y3" s="6" t="inlineStr">
        <is>
          <t>21</t>
        </is>
      </c>
      <c r="Z3" s="6" t="inlineStr">
        <is>
          <t>22</t>
        </is>
      </c>
      <c r="AA3" s="6" t="inlineStr">
        <is>
          <t>23</t>
        </is>
      </c>
      <c r="AB3" s="6" t="inlineStr">
        <is>
          <t>24</t>
        </is>
      </c>
      <c r="AC3" s="6" t="inlineStr">
        <is>
          <t>25</t>
        </is>
      </c>
      <c r="AD3" s="6" t="inlineStr">
        <is>
          <t>26</t>
        </is>
      </c>
      <c r="AE3" s="6" t="inlineStr">
        <is>
          <t>27</t>
        </is>
      </c>
      <c r="AF3" s="6" t="inlineStr">
        <is>
          <t>28</t>
        </is>
      </c>
      <c r="AG3" s="6" t="inlineStr">
        <is>
          <t>29</t>
        </is>
      </c>
      <c r="AH3" s="6" t="inlineStr">
        <is>
          <t>30</t>
        </is>
      </c>
    </row>
    <row r="4">
      <c r="A4" s="7" t="inlineStr">
        <is>
          <t>Студент2.1</t>
        </is>
      </c>
      <c r="B4" s="8">
        <f>IF(A4="","",COUNTIF(E4:AH4,"+")+COUNTIF(E4:AH4,"1"))</f>
        <v/>
      </c>
      <c r="C4" s="8">
        <f>IF(A4="","",IF(B4&gt;2*COUNTA(E$3:AH$3)/3,1,IF(B4&gt;=COUNTA(E$3:AH$3)/2,0.8,0.5)))</f>
        <v/>
      </c>
      <c r="D4" s="8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  <c r="AC4" s="9" t="n"/>
      <c r="AD4" s="9" t="n"/>
      <c r="AE4" s="9" t="n"/>
      <c r="AF4" s="9" t="n"/>
      <c r="AG4" s="9" t="n"/>
      <c r="AH4" s="9" t="n"/>
    </row>
    <row r="5">
      <c r="A5" s="7" t="inlineStr">
        <is>
          <t>Студент2.2</t>
        </is>
      </c>
      <c r="B5" s="8">
        <f>IF(A5="","",COUNTIF(E5:AH5,"+")+COUNTIF(E5:AH5,"1"))</f>
        <v/>
      </c>
      <c r="C5" s="8">
        <f>IF(A5="","",IF(B5&gt;2*COUNTA(E$3:AH$3)/3,1,IF(B5&gt;=COUNTA(E$3:AH$3)/2,0.8,0.5)))</f>
        <v/>
      </c>
      <c r="D5" s="8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</row>
    <row r="6">
      <c r="A6" s="7" t="inlineStr">
        <is>
          <t>Студент2.3</t>
        </is>
      </c>
      <c r="B6" s="8">
        <f>IF(A6="","",COUNTIF(E6:AH6,"+")+COUNTIF(E6:AH6,"1"))</f>
        <v/>
      </c>
      <c r="C6" s="8">
        <f>IF(A6="","",IF(B6&gt;2*COUNTA(E$3:AH$3)/3,1,IF(B6&gt;=COUNTA(E$3:AH$3)/2,0.8,0.5)))</f>
        <v/>
      </c>
      <c r="D6" s="8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</row>
    <row r="7">
      <c r="A7" s="7" t="inlineStr">
        <is>
          <t>Студент2.4</t>
        </is>
      </c>
      <c r="B7" s="8">
        <f>IF(A7="","",COUNTIF(E7:AH7,"+")+COUNTIF(E7:AH7,"1"))</f>
        <v/>
      </c>
      <c r="C7" s="8">
        <f>IF(A7="","",IF(B7&gt;2*COUNTA(E$3:AH$3)/3,1,IF(B7&gt;=COUNTA(E$3:AH$3)/2,0.8,0.5)))</f>
        <v/>
      </c>
      <c r="D7" s="8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</row>
    <row r="8">
      <c r="A8" s="7" t="inlineStr">
        <is>
          <t>Студент2.5</t>
        </is>
      </c>
      <c r="B8" s="8">
        <f>IF(A8="","",COUNTIF(E8:AH8,"+")+COUNTIF(E8:AH8,"1"))</f>
        <v/>
      </c>
      <c r="C8" s="8">
        <f>IF(A8="","",IF(B8&gt;2*COUNTA(E$3:AH$3)/3,1,IF(B8&gt;=COUNTA(E$3:AH$3)/2,0.8,0.5)))</f>
        <v/>
      </c>
      <c r="D8" s="8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</row>
    <row r="9">
      <c r="A9" s="7" t="inlineStr">
        <is>
          <t>Студент2.6</t>
        </is>
      </c>
      <c r="B9" s="8">
        <f>IF(A9="","",COUNTIF(E9:AH9,"+")+COUNTIF(E9:AH9,"1"))</f>
        <v/>
      </c>
      <c r="C9" s="8">
        <f>IF(A9="","",IF(B9&gt;2*COUNTA(E$3:AH$3)/3,1,IF(B9&gt;=COUNTA(E$3:AH$3)/2,0.8,0.5)))</f>
        <v/>
      </c>
      <c r="D9" s="8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</row>
    <row r="10">
      <c r="A10" s="7" t="inlineStr">
        <is>
          <t>Студент2.7</t>
        </is>
      </c>
      <c r="B10" s="8">
        <f>IF(A10="","",COUNTIF(E10:AH10,"+")+COUNTIF(E10:AH10,"1"))</f>
        <v/>
      </c>
      <c r="C10" s="8">
        <f>IF(A10="","",IF(B10&gt;2*COUNTA(E$3:AH$3)/3,1,IF(B10&gt;=COUNTA(E$3:AH$3)/2,0.8,0.5)))</f>
        <v/>
      </c>
      <c r="D10" s="8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</row>
    <row r="11">
      <c r="A11" s="7" t="inlineStr">
        <is>
          <t>Студент2.8</t>
        </is>
      </c>
      <c r="B11" s="8">
        <f>IF(A11="","",COUNTIF(E11:AH11,"+")+COUNTIF(E11:AH11,"1"))</f>
        <v/>
      </c>
      <c r="C11" s="8">
        <f>IF(A11="","",IF(B11&gt;2*COUNTA(E$3:AH$3)/3,1,IF(B11&gt;=COUNTA(E$3:AH$3)/2,0.8,0.5)))</f>
        <v/>
      </c>
      <c r="D11" s="8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</row>
    <row r="12">
      <c r="A12" s="7" t="inlineStr">
        <is>
          <t>Студент2.9</t>
        </is>
      </c>
      <c r="B12" s="8">
        <f>IF(A12="","",COUNTIF(E12:AH12,"+")+COUNTIF(E12:AH12,"1"))</f>
        <v/>
      </c>
      <c r="C12" s="8">
        <f>IF(A12="","",IF(B12&gt;2*COUNTA(E$3:AH$3)/3,1,IF(B12&gt;=COUNTA(E$3:AH$3)/2,0.8,0.5)))</f>
        <v/>
      </c>
      <c r="D12" s="8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</row>
    <row r="13">
      <c r="A13" s="7" t="inlineStr">
        <is>
          <t>Студент2.10</t>
        </is>
      </c>
      <c r="B13" s="8">
        <f>IF(A13="","",COUNTIF(E13:AH13,"+")+COUNTIF(E13:AH13,"1"))</f>
        <v/>
      </c>
      <c r="C13" s="8">
        <f>IF(A13="","",IF(B13&gt;2*COUNTA(E$3:AH$3)/3,1,IF(B13&gt;=COUNTA(E$3:AH$3)/2,0.8,0.5)))</f>
        <v/>
      </c>
      <c r="D13" s="8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</row>
    <row r="14">
      <c r="A14" s="7" t="inlineStr">
        <is>
          <t>Студент2.11</t>
        </is>
      </c>
      <c r="B14" s="8">
        <f>IF(A14="","",COUNTIF(E14:AH14,"+")+COUNTIF(E14:AH14,"1"))</f>
        <v/>
      </c>
      <c r="C14" s="8">
        <f>IF(A14="","",IF(B14&gt;2*COUNTA(E$3:AH$3)/3,1,IF(B14&gt;=COUNTA(E$3:AH$3)/2,0.8,0.5)))</f>
        <v/>
      </c>
      <c r="D14" s="8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</row>
    <row r="15">
      <c r="A15" s="7" t="inlineStr">
        <is>
          <t>Студент2.12</t>
        </is>
      </c>
      <c r="B15" s="8">
        <f>IF(A15="","",COUNTIF(E15:AH15,"+")+COUNTIF(E15:AH15,"1"))</f>
        <v/>
      </c>
      <c r="C15" s="8">
        <f>IF(A15="","",IF(B15&gt;2*COUNTA(E$3:AH$3)/3,1,IF(B15&gt;=COUNTA(E$3:AH$3)/2,0.8,0.5)))</f>
        <v/>
      </c>
      <c r="D15" s="8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  <c r="AH15" s="9" t="n"/>
    </row>
    <row r="16">
      <c r="A16" s="7" t="inlineStr">
        <is>
          <t>Студент2.13</t>
        </is>
      </c>
      <c r="B16" s="8">
        <f>IF(A16="","",COUNTIF(E16:AH16,"+")+COUNTIF(E16:AH16,"1"))</f>
        <v/>
      </c>
      <c r="C16" s="8">
        <f>IF(A16="","",IF(B16&gt;2*COUNTA(E$3:AH$3)/3,1,IF(B16&gt;=COUNTA(E$3:AH$3)/2,0.8,0.5)))</f>
        <v/>
      </c>
      <c r="D16" s="8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  <c r="AH16" s="9" t="n"/>
    </row>
    <row r="17">
      <c r="A17" s="7" t="inlineStr">
        <is>
          <t>Студент2.14</t>
        </is>
      </c>
      <c r="B17" s="8">
        <f>IF(A17="","",COUNTIF(E17:AH17,"+")+COUNTIF(E17:AH17,"1"))</f>
        <v/>
      </c>
      <c r="C17" s="8">
        <f>IF(A17="","",IF(B17&gt;2*COUNTA(E$3:AH$3)/3,1,IF(B17&gt;=COUNTA(E$3:AH$3)/2,0.8,0.5)))</f>
        <v/>
      </c>
      <c r="D17" s="8" t="n"/>
      <c r="E17" s="9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</row>
    <row r="18">
      <c r="A18" s="7" t="inlineStr">
        <is>
          <t>Студент2.15</t>
        </is>
      </c>
      <c r="B18" s="8">
        <f>IF(A18="","",COUNTIF(E18:AH18,"+")+COUNTIF(E18:AH18,"1"))</f>
        <v/>
      </c>
      <c r="C18" s="8">
        <f>IF(A18="","",IF(B18&gt;2*COUNTA(E$3:AH$3)/3,1,IF(B18&gt;=COUNTA(E$3:AH$3)/2,0.8,0.5)))</f>
        <v/>
      </c>
      <c r="D18" s="8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</row>
    <row r="19">
      <c r="A19" s="7" t="inlineStr">
        <is>
          <t>Студент2.16</t>
        </is>
      </c>
      <c r="B19" s="8">
        <f>IF(A19="","",COUNTIF(E19:AH19,"+")+COUNTIF(E19:AH19,"1"))</f>
        <v/>
      </c>
      <c r="C19" s="8">
        <f>IF(A19="","",IF(B19&gt;2*COUNTA(E$3:AH$3)/3,1,IF(B19&gt;=COUNTA(E$3:AH$3)/2,0.8,0.5)))</f>
        <v/>
      </c>
      <c r="D19" s="8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</row>
    <row r="20">
      <c r="A20" s="7" t="inlineStr">
        <is>
          <t>Студент2.17</t>
        </is>
      </c>
      <c r="B20" s="8">
        <f>IF(A20="","",COUNTIF(E20:AH20,"+")+COUNTIF(E20:AH20,"1"))</f>
        <v/>
      </c>
      <c r="C20" s="8">
        <f>IF(A20="","",IF(B20&gt;2*COUNTA(E$3:AH$3)/3,1,IF(B20&gt;=COUNTA(E$3:AH$3)/2,0.8,0.5)))</f>
        <v/>
      </c>
      <c r="D20" s="8" t="n"/>
      <c r="E20" s="9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  <c r="AH20" s="9" t="n"/>
    </row>
    <row r="21">
      <c r="A21" s="7" t="inlineStr">
        <is>
          <t>Студент2.18</t>
        </is>
      </c>
      <c r="B21" s="8">
        <f>IF(A21="","",COUNTIF(E21:AH21,"+")+COUNTIF(E21:AH21,"1"))</f>
        <v/>
      </c>
      <c r="C21" s="8">
        <f>IF(A21="","",IF(B21&gt;2*COUNTA(E$3:AH$3)/3,1,IF(B21&gt;=COUNTA(E$3:AH$3)/2,0.8,0.5)))</f>
        <v/>
      </c>
      <c r="D21" s="8" t="n"/>
      <c r="E21" s="9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</row>
    <row r="22">
      <c r="A22" s="7" t="inlineStr">
        <is>
          <t>Студент2.19</t>
        </is>
      </c>
      <c r="B22" s="8">
        <f>IF(A22="","",COUNTIF(E22:AH22,"+")+COUNTIF(E22:AH22,"1"))</f>
        <v/>
      </c>
      <c r="C22" s="8">
        <f>IF(A22="","",IF(B22&gt;2*COUNTA(E$3:AH$3)/3,1,IF(B22&gt;=COUNTA(E$3:AH$3)/2,0.8,0.5)))</f>
        <v/>
      </c>
      <c r="D22" s="8" t="n"/>
      <c r="E22" s="9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  <c r="AH22" s="9" t="n"/>
    </row>
    <row r="23">
      <c r="A23" s="7" t="inlineStr">
        <is>
          <t>Студент2.20</t>
        </is>
      </c>
      <c r="B23" s="8">
        <f>IF(A23="","",COUNTIF(E23:AH23,"+")+COUNTIF(E23:AH23,"1"))</f>
        <v/>
      </c>
      <c r="C23" s="8">
        <f>IF(A23="","",IF(B23&gt;2*COUNTA(E$3:AH$3)/3,1,IF(B23&gt;=COUNTA(E$3:AH$3)/2,0.8,0.5)))</f>
        <v/>
      </c>
      <c r="D23" s="8" t="n"/>
      <c r="E23" s="9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  <c r="AH23" s="9" t="n"/>
    </row>
    <row r="24">
      <c r="A24" s="7" t="inlineStr">
        <is>
          <t>Студент2.21</t>
        </is>
      </c>
      <c r="B24" s="8">
        <f>IF(A24="","",COUNTIF(E24:AH24,"+")+COUNTIF(E24:AH24,"1"))</f>
        <v/>
      </c>
      <c r="C24" s="8">
        <f>IF(A24="","",IF(B24&gt;2*COUNTA(E$3:AH$3)/3,1,IF(B24&gt;=COUNTA(E$3:AH$3)/2,0.8,0.5)))</f>
        <v/>
      </c>
      <c r="D24" s="8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  <c r="AH24" s="9" t="n"/>
    </row>
    <row r="25">
      <c r="A25" s="7" t="inlineStr">
        <is>
          <t>Студент2.22</t>
        </is>
      </c>
      <c r="B25" s="8">
        <f>IF(A25="","",COUNTIF(E25:AH25,"+")+COUNTIF(E25:AH25,"1"))</f>
        <v/>
      </c>
      <c r="C25" s="8">
        <f>IF(A25="","",IF(B25&gt;2*COUNTA(E$3:AH$3)/3,1,IF(B25&gt;=COUNTA(E$3:AH$3)/2,0.8,0.5)))</f>
        <v/>
      </c>
      <c r="D25" s="8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  <c r="AH25" s="9" t="n"/>
    </row>
    <row r="26">
      <c r="A26" s="7" t="inlineStr">
        <is>
          <t>Студент2.23</t>
        </is>
      </c>
      <c r="B26" s="8">
        <f>IF(A26="","",COUNTIF(E26:AH26,"+")+COUNTIF(E26:AH26,"1"))</f>
        <v/>
      </c>
      <c r="C26" s="8">
        <f>IF(A26="","",IF(B26&gt;2*COUNTA(E$3:AH$3)/3,1,IF(B26&gt;=COUNTA(E$3:AH$3)/2,0.8,0.5)))</f>
        <v/>
      </c>
      <c r="D26" s="8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</row>
    <row r="27">
      <c r="A27" s="7" t="inlineStr">
        <is>
          <t>Студент2.24</t>
        </is>
      </c>
      <c r="B27" s="8">
        <f>IF(A27="","",COUNTIF(E27:AH27,"+")+COUNTIF(E27:AH27,"1"))</f>
        <v/>
      </c>
      <c r="C27" s="8">
        <f>IF(A27="","",IF(B27&gt;2*COUNTA(E$3:AH$3)/3,1,IF(B27&gt;=COUNTA(E$3:AH$3)/2,0.8,0.5)))</f>
        <v/>
      </c>
      <c r="D27" s="8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</row>
    <row r="28">
      <c r="A28" s="7" t="inlineStr">
        <is>
          <t>Студент2.25</t>
        </is>
      </c>
      <c r="B28" s="8">
        <f>IF(A28="","",COUNTIF(E28:AH28,"+")+COUNTIF(E28:AH28,"1"))</f>
        <v/>
      </c>
      <c r="C28" s="8">
        <f>IF(A28="","",IF(B28&gt;2*COUNTA(E$3:AH$3)/3,1,IF(B28&gt;=COUNTA(E$3:AH$3)/2,0.8,0.5)))</f>
        <v/>
      </c>
      <c r="D28" s="8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  <c r="AF28" s="9" t="n"/>
      <c r="AG28" s="9" t="n"/>
      <c r="AH28" s="9" t="n"/>
    </row>
    <row r="29">
      <c r="A29" s="7" t="inlineStr">
        <is>
          <t>Студент2.26</t>
        </is>
      </c>
      <c r="B29" s="8">
        <f>IF(A29="","",COUNTIF(E29:AH29,"+")+COUNTIF(E29:AH29,"1"))</f>
        <v/>
      </c>
      <c r="C29" s="8">
        <f>IF(A29="","",IF(B29&gt;2*COUNTA(E$3:AH$3)/3,1,IF(B29&gt;=COUNTA(E$3:AH$3)/2,0.8,0.5)))</f>
        <v/>
      </c>
      <c r="D29" s="8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  <c r="AH29" s="9" t="n"/>
    </row>
    <row r="30">
      <c r="A30" s="7" t="inlineStr">
        <is>
          <t>Студент2.27</t>
        </is>
      </c>
      <c r="B30" s="8">
        <f>IF(A30="","",COUNTIF(E30:AH30,"+")+COUNTIF(E30:AH30,"1"))</f>
        <v/>
      </c>
      <c r="C30" s="8">
        <f>IF(A30="","",IF(B30&gt;2*COUNTA(E$3:AH$3)/3,1,IF(B30&gt;=COUNTA(E$3:AH$3)/2,0.8,0.5)))</f>
        <v/>
      </c>
      <c r="D30" s="8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  <c r="AH30" s="9" t="n"/>
    </row>
    <row r="31">
      <c r="A31" s="7" t="inlineStr">
        <is>
          <t>Студент2.28</t>
        </is>
      </c>
      <c r="B31" s="8">
        <f>IF(A31="","",COUNTIF(E31:AH31,"+")+COUNTIF(E31:AH31,"1"))</f>
        <v/>
      </c>
      <c r="C31" s="8">
        <f>IF(A31="","",IF(B31&gt;2*COUNTA(E$3:AH$3)/3,1,IF(B31&gt;=COUNTA(E$3:AH$3)/2,0.8,0.5)))</f>
        <v/>
      </c>
      <c r="D31" s="8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  <c r="AH31" s="9" t="n"/>
    </row>
    <row r="32">
      <c r="A32" s="7" t="inlineStr">
        <is>
          <t>Студент2.29</t>
        </is>
      </c>
      <c r="B32" s="8">
        <f>IF(A32="","",COUNTIF(E32:AH32,"+")+COUNTIF(E32:AH32,"1"))</f>
        <v/>
      </c>
      <c r="C32" s="8">
        <f>IF(A32="","",IF(B32&gt;2*COUNTA(E$3:AH$3)/3,1,IF(B32&gt;=COUNTA(E$3:AH$3)/2,0.8,0.5)))</f>
        <v/>
      </c>
      <c r="D32" s="8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  <c r="AH32" s="9" t="n"/>
    </row>
    <row r="33">
      <c r="A33" s="7" t="inlineStr">
        <is>
          <t>Студент2.30</t>
        </is>
      </c>
      <c r="B33" s="8">
        <f>IF(A33="","",COUNTIF(E33:AH33,"+")+COUNTIF(E33:AH33,"1"))</f>
        <v/>
      </c>
      <c r="C33" s="8">
        <f>IF(A33="","",IF(B33&gt;2*COUNTA(E$3:AH$3)/3,1,IF(B33&gt;=COUNTA(E$3:AH$3)/2,0.8,0.5)))</f>
        <v/>
      </c>
      <c r="D33" s="8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</row>
  </sheetData>
  <mergeCells count="1">
    <mergeCell ref="A1:AI1"/>
  </mergeCells>
  <conditionalFormatting sqref="E4:AH33">
    <cfRule type="expression" priority="1" dxfId="0">
      <formula>E4="+"</formula>
    </cfRule>
    <cfRule type="expression" priority="2" dxfId="1">
      <formula>E4="1"</formula>
    </cfRule>
    <cfRule type="expression" priority="3" dxfId="2">
      <formula>E4="-"</formula>
    </cfRule>
  </conditionalFormatting>
  <conditionalFormatting sqref="B4:B33">
    <cfRule type="cellIs" priority="4" operator="greaterThanOrEqual" dxfId="3">
      <formula>21</formula>
    </cfRule>
    <cfRule type="cellIs" priority="5" operator="between" dxfId="4">
      <formula>15</formula>
      <formula>20</formula>
    </cfRule>
    <cfRule type="cellIs" priority="6" operator="lessThan" dxfId="5">
      <formula>15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9" customWidth="1" min="2" max="2"/>
    <col width="14" customWidth="1" min="3" max="3"/>
    <col width="14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</cols>
  <sheetData>
    <row r="1" hidden="1">
      <c r="A1" s="1" t="inlineStr">
        <is>
          <t>Практика 14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S</t>
        </is>
      </c>
      <c r="C3" s="4" t="inlineStr">
        <is>
          <t>Коэффициент</t>
        </is>
      </c>
      <c r="D3" s="5" t="inlineStr">
        <is>
          <t>D за практику</t>
        </is>
      </c>
      <c r="E3" s="6" t="inlineStr">
        <is>
          <t>1</t>
        </is>
      </c>
      <c r="F3" s="6" t="inlineStr">
        <is>
          <t>2</t>
        </is>
      </c>
      <c r="G3" s="6" t="inlineStr">
        <is>
          <t>3</t>
        </is>
      </c>
      <c r="H3" s="6" t="inlineStr">
        <is>
          <t>4</t>
        </is>
      </c>
      <c r="I3" s="6" t="inlineStr">
        <is>
          <t>5</t>
        </is>
      </c>
      <c r="J3" s="6" t="inlineStr">
        <is>
          <t>6</t>
        </is>
      </c>
      <c r="K3" s="6" t="inlineStr">
        <is>
          <t>7</t>
        </is>
      </c>
      <c r="L3" s="6" t="inlineStr">
        <is>
          <t>8</t>
        </is>
      </c>
      <c r="M3" s="6" t="inlineStr">
        <is>
          <t>9</t>
        </is>
      </c>
      <c r="N3" s="6" t="inlineStr">
        <is>
          <t>10</t>
        </is>
      </c>
      <c r="O3" s="6" t="inlineStr">
        <is>
          <t>11</t>
        </is>
      </c>
      <c r="P3" s="6" t="inlineStr">
        <is>
          <t>12</t>
        </is>
      </c>
      <c r="Q3" s="6" t="inlineStr">
        <is>
          <t>13</t>
        </is>
      </c>
      <c r="R3" s="6" t="inlineStr">
        <is>
          <t>14</t>
        </is>
      </c>
      <c r="S3" s="6" t="inlineStr">
        <is>
          <t>15</t>
        </is>
      </c>
      <c r="T3" s="6" t="inlineStr">
        <is>
          <t>16</t>
        </is>
      </c>
      <c r="U3" s="6" t="inlineStr">
        <is>
          <t>17</t>
        </is>
      </c>
      <c r="V3" s="6" t="inlineStr">
        <is>
          <t>18</t>
        </is>
      </c>
      <c r="W3" s="6" t="inlineStr">
        <is>
          <t>19</t>
        </is>
      </c>
      <c r="X3" s="6" t="inlineStr">
        <is>
          <t>20</t>
        </is>
      </c>
      <c r="Y3" s="6" t="inlineStr">
        <is>
          <t>21</t>
        </is>
      </c>
      <c r="Z3" s="6" t="inlineStr">
        <is>
          <t>22</t>
        </is>
      </c>
      <c r="AA3" s="6" t="inlineStr">
        <is>
          <t>23</t>
        </is>
      </c>
      <c r="AB3" s="6" t="inlineStr">
        <is>
          <t>24</t>
        </is>
      </c>
      <c r="AC3" s="6" t="inlineStr">
        <is>
          <t>25</t>
        </is>
      </c>
      <c r="AD3" s="6" t="inlineStr">
        <is>
          <t>26</t>
        </is>
      </c>
      <c r="AE3" s="6" t="inlineStr">
        <is>
          <t>27</t>
        </is>
      </c>
      <c r="AF3" s="6" t="inlineStr">
        <is>
          <t>28</t>
        </is>
      </c>
      <c r="AG3" s="6" t="inlineStr">
        <is>
          <t>29</t>
        </is>
      </c>
      <c r="AH3" s="6" t="inlineStr">
        <is>
          <t>30</t>
        </is>
      </c>
    </row>
    <row r="4">
      <c r="A4" s="7" t="inlineStr">
        <is>
          <t>Студент2.1</t>
        </is>
      </c>
      <c r="B4" s="8">
        <f>IF(A4="","",COUNTIF(E4:AH4,"+")+COUNTIF(E4:AH4,"1"))</f>
        <v/>
      </c>
      <c r="C4" s="8">
        <f>IF(A4="","",IF(B4&gt;2*COUNTA(E$3:AH$3)/3,1,IF(B4&gt;=COUNTA(E$3:AH$3)/2,0.8,0.5)))</f>
        <v/>
      </c>
      <c r="D4" s="8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  <c r="AC4" s="9" t="n"/>
      <c r="AD4" s="9" t="n"/>
      <c r="AE4" s="9" t="n"/>
      <c r="AF4" s="9" t="n"/>
      <c r="AG4" s="9" t="n"/>
      <c r="AH4" s="9" t="n"/>
    </row>
    <row r="5">
      <c r="A5" s="7" t="inlineStr">
        <is>
          <t>Студент2.2</t>
        </is>
      </c>
      <c r="B5" s="8">
        <f>IF(A5="","",COUNTIF(E5:AH5,"+")+COUNTIF(E5:AH5,"1"))</f>
        <v/>
      </c>
      <c r="C5" s="8">
        <f>IF(A5="","",IF(B5&gt;2*COUNTA(E$3:AH$3)/3,1,IF(B5&gt;=COUNTA(E$3:AH$3)/2,0.8,0.5)))</f>
        <v/>
      </c>
      <c r="D5" s="8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</row>
    <row r="6">
      <c r="A6" s="7" t="inlineStr">
        <is>
          <t>Студент2.3</t>
        </is>
      </c>
      <c r="B6" s="8">
        <f>IF(A6="","",COUNTIF(E6:AH6,"+")+COUNTIF(E6:AH6,"1"))</f>
        <v/>
      </c>
      <c r="C6" s="8">
        <f>IF(A6="","",IF(B6&gt;2*COUNTA(E$3:AH$3)/3,1,IF(B6&gt;=COUNTA(E$3:AH$3)/2,0.8,0.5)))</f>
        <v/>
      </c>
      <c r="D6" s="8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</row>
    <row r="7">
      <c r="A7" s="7" t="inlineStr">
        <is>
          <t>Студент2.4</t>
        </is>
      </c>
      <c r="B7" s="8">
        <f>IF(A7="","",COUNTIF(E7:AH7,"+")+COUNTIF(E7:AH7,"1"))</f>
        <v/>
      </c>
      <c r="C7" s="8">
        <f>IF(A7="","",IF(B7&gt;2*COUNTA(E$3:AH$3)/3,1,IF(B7&gt;=COUNTA(E$3:AH$3)/2,0.8,0.5)))</f>
        <v/>
      </c>
      <c r="D7" s="8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</row>
    <row r="8">
      <c r="A8" s="7" t="inlineStr">
        <is>
          <t>Студент2.5</t>
        </is>
      </c>
      <c r="B8" s="8">
        <f>IF(A8="","",COUNTIF(E8:AH8,"+")+COUNTIF(E8:AH8,"1"))</f>
        <v/>
      </c>
      <c r="C8" s="8">
        <f>IF(A8="","",IF(B8&gt;2*COUNTA(E$3:AH$3)/3,1,IF(B8&gt;=COUNTA(E$3:AH$3)/2,0.8,0.5)))</f>
        <v/>
      </c>
      <c r="D8" s="8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</row>
    <row r="9">
      <c r="A9" s="7" t="inlineStr">
        <is>
          <t>Студент2.6</t>
        </is>
      </c>
      <c r="B9" s="8">
        <f>IF(A9="","",COUNTIF(E9:AH9,"+")+COUNTIF(E9:AH9,"1"))</f>
        <v/>
      </c>
      <c r="C9" s="8">
        <f>IF(A9="","",IF(B9&gt;2*COUNTA(E$3:AH$3)/3,1,IF(B9&gt;=COUNTA(E$3:AH$3)/2,0.8,0.5)))</f>
        <v/>
      </c>
      <c r="D9" s="8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</row>
    <row r="10">
      <c r="A10" s="7" t="inlineStr">
        <is>
          <t>Студент2.7</t>
        </is>
      </c>
      <c r="B10" s="8">
        <f>IF(A10="","",COUNTIF(E10:AH10,"+")+COUNTIF(E10:AH10,"1"))</f>
        <v/>
      </c>
      <c r="C10" s="8">
        <f>IF(A10="","",IF(B10&gt;2*COUNTA(E$3:AH$3)/3,1,IF(B10&gt;=COUNTA(E$3:AH$3)/2,0.8,0.5)))</f>
        <v/>
      </c>
      <c r="D10" s="8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</row>
    <row r="11">
      <c r="A11" s="7" t="inlineStr">
        <is>
          <t>Студент2.8</t>
        </is>
      </c>
      <c r="B11" s="8">
        <f>IF(A11="","",COUNTIF(E11:AH11,"+")+COUNTIF(E11:AH11,"1"))</f>
        <v/>
      </c>
      <c r="C11" s="8">
        <f>IF(A11="","",IF(B11&gt;2*COUNTA(E$3:AH$3)/3,1,IF(B11&gt;=COUNTA(E$3:AH$3)/2,0.8,0.5)))</f>
        <v/>
      </c>
      <c r="D11" s="8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</row>
    <row r="12">
      <c r="A12" s="7" t="inlineStr">
        <is>
          <t>Студент2.9</t>
        </is>
      </c>
      <c r="B12" s="8">
        <f>IF(A12="","",COUNTIF(E12:AH12,"+")+COUNTIF(E12:AH12,"1"))</f>
        <v/>
      </c>
      <c r="C12" s="8">
        <f>IF(A12="","",IF(B12&gt;2*COUNTA(E$3:AH$3)/3,1,IF(B12&gt;=COUNTA(E$3:AH$3)/2,0.8,0.5)))</f>
        <v/>
      </c>
      <c r="D12" s="8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</row>
    <row r="13">
      <c r="A13" s="7" t="inlineStr">
        <is>
          <t>Студент2.10</t>
        </is>
      </c>
      <c r="B13" s="8">
        <f>IF(A13="","",COUNTIF(E13:AH13,"+")+COUNTIF(E13:AH13,"1"))</f>
        <v/>
      </c>
      <c r="C13" s="8">
        <f>IF(A13="","",IF(B13&gt;2*COUNTA(E$3:AH$3)/3,1,IF(B13&gt;=COUNTA(E$3:AH$3)/2,0.8,0.5)))</f>
        <v/>
      </c>
      <c r="D13" s="8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</row>
    <row r="14">
      <c r="A14" s="7" t="inlineStr">
        <is>
          <t>Студент2.11</t>
        </is>
      </c>
      <c r="B14" s="8">
        <f>IF(A14="","",COUNTIF(E14:AH14,"+")+COUNTIF(E14:AH14,"1"))</f>
        <v/>
      </c>
      <c r="C14" s="8">
        <f>IF(A14="","",IF(B14&gt;2*COUNTA(E$3:AH$3)/3,1,IF(B14&gt;=COUNTA(E$3:AH$3)/2,0.8,0.5)))</f>
        <v/>
      </c>
      <c r="D14" s="8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</row>
    <row r="15">
      <c r="A15" s="7" t="inlineStr">
        <is>
          <t>Студент2.12</t>
        </is>
      </c>
      <c r="B15" s="8">
        <f>IF(A15="","",COUNTIF(E15:AH15,"+")+COUNTIF(E15:AH15,"1"))</f>
        <v/>
      </c>
      <c r="C15" s="8">
        <f>IF(A15="","",IF(B15&gt;2*COUNTA(E$3:AH$3)/3,1,IF(B15&gt;=COUNTA(E$3:AH$3)/2,0.8,0.5)))</f>
        <v/>
      </c>
      <c r="D15" s="8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  <c r="AH15" s="9" t="n"/>
    </row>
    <row r="16">
      <c r="A16" s="7" t="inlineStr">
        <is>
          <t>Студент2.13</t>
        </is>
      </c>
      <c r="B16" s="8">
        <f>IF(A16="","",COUNTIF(E16:AH16,"+")+COUNTIF(E16:AH16,"1"))</f>
        <v/>
      </c>
      <c r="C16" s="8">
        <f>IF(A16="","",IF(B16&gt;2*COUNTA(E$3:AH$3)/3,1,IF(B16&gt;=COUNTA(E$3:AH$3)/2,0.8,0.5)))</f>
        <v/>
      </c>
      <c r="D16" s="8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  <c r="AH16" s="9" t="n"/>
    </row>
    <row r="17">
      <c r="A17" s="7" t="inlineStr">
        <is>
          <t>Студент2.14</t>
        </is>
      </c>
      <c r="B17" s="8">
        <f>IF(A17="","",COUNTIF(E17:AH17,"+")+COUNTIF(E17:AH17,"1"))</f>
        <v/>
      </c>
      <c r="C17" s="8">
        <f>IF(A17="","",IF(B17&gt;2*COUNTA(E$3:AH$3)/3,1,IF(B17&gt;=COUNTA(E$3:AH$3)/2,0.8,0.5)))</f>
        <v/>
      </c>
      <c r="D17" s="8" t="n"/>
      <c r="E17" s="9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</row>
    <row r="18">
      <c r="A18" s="7" t="inlineStr">
        <is>
          <t>Студент2.15</t>
        </is>
      </c>
      <c r="B18" s="8">
        <f>IF(A18="","",COUNTIF(E18:AH18,"+")+COUNTIF(E18:AH18,"1"))</f>
        <v/>
      </c>
      <c r="C18" s="8">
        <f>IF(A18="","",IF(B18&gt;2*COUNTA(E$3:AH$3)/3,1,IF(B18&gt;=COUNTA(E$3:AH$3)/2,0.8,0.5)))</f>
        <v/>
      </c>
      <c r="D18" s="8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</row>
    <row r="19">
      <c r="A19" s="7" t="inlineStr">
        <is>
          <t>Студент2.16</t>
        </is>
      </c>
      <c r="B19" s="8">
        <f>IF(A19="","",COUNTIF(E19:AH19,"+")+COUNTIF(E19:AH19,"1"))</f>
        <v/>
      </c>
      <c r="C19" s="8">
        <f>IF(A19="","",IF(B19&gt;2*COUNTA(E$3:AH$3)/3,1,IF(B19&gt;=COUNTA(E$3:AH$3)/2,0.8,0.5)))</f>
        <v/>
      </c>
      <c r="D19" s="8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</row>
    <row r="20">
      <c r="A20" s="7" t="inlineStr">
        <is>
          <t>Студент2.17</t>
        </is>
      </c>
      <c r="B20" s="8">
        <f>IF(A20="","",COUNTIF(E20:AH20,"+")+COUNTIF(E20:AH20,"1"))</f>
        <v/>
      </c>
      <c r="C20" s="8">
        <f>IF(A20="","",IF(B20&gt;2*COUNTA(E$3:AH$3)/3,1,IF(B20&gt;=COUNTA(E$3:AH$3)/2,0.8,0.5)))</f>
        <v/>
      </c>
      <c r="D20" s="8" t="n"/>
      <c r="E20" s="9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  <c r="AH20" s="9" t="n"/>
    </row>
    <row r="21">
      <c r="A21" s="7" t="inlineStr">
        <is>
          <t>Студент2.18</t>
        </is>
      </c>
      <c r="B21" s="8">
        <f>IF(A21="","",COUNTIF(E21:AH21,"+")+COUNTIF(E21:AH21,"1"))</f>
        <v/>
      </c>
      <c r="C21" s="8">
        <f>IF(A21="","",IF(B21&gt;2*COUNTA(E$3:AH$3)/3,1,IF(B21&gt;=COUNTA(E$3:AH$3)/2,0.8,0.5)))</f>
        <v/>
      </c>
      <c r="D21" s="8" t="n"/>
      <c r="E21" s="9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</row>
    <row r="22">
      <c r="A22" s="7" t="inlineStr">
        <is>
          <t>Студент2.19</t>
        </is>
      </c>
      <c r="B22" s="8">
        <f>IF(A22="","",COUNTIF(E22:AH22,"+")+COUNTIF(E22:AH22,"1"))</f>
        <v/>
      </c>
      <c r="C22" s="8">
        <f>IF(A22="","",IF(B22&gt;2*COUNTA(E$3:AH$3)/3,1,IF(B22&gt;=COUNTA(E$3:AH$3)/2,0.8,0.5)))</f>
        <v/>
      </c>
      <c r="D22" s="8" t="n"/>
      <c r="E22" s="9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  <c r="AH22" s="9" t="n"/>
    </row>
    <row r="23">
      <c r="A23" s="7" t="inlineStr">
        <is>
          <t>Студент2.20</t>
        </is>
      </c>
      <c r="B23" s="8">
        <f>IF(A23="","",COUNTIF(E23:AH23,"+")+COUNTIF(E23:AH23,"1"))</f>
        <v/>
      </c>
      <c r="C23" s="8">
        <f>IF(A23="","",IF(B23&gt;2*COUNTA(E$3:AH$3)/3,1,IF(B23&gt;=COUNTA(E$3:AH$3)/2,0.8,0.5)))</f>
        <v/>
      </c>
      <c r="D23" s="8" t="n"/>
      <c r="E23" s="9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  <c r="AH23" s="9" t="n"/>
    </row>
    <row r="24">
      <c r="A24" s="7" t="inlineStr">
        <is>
          <t>Студент2.21</t>
        </is>
      </c>
      <c r="B24" s="8">
        <f>IF(A24="","",COUNTIF(E24:AH24,"+")+COUNTIF(E24:AH24,"1"))</f>
        <v/>
      </c>
      <c r="C24" s="8">
        <f>IF(A24="","",IF(B24&gt;2*COUNTA(E$3:AH$3)/3,1,IF(B24&gt;=COUNTA(E$3:AH$3)/2,0.8,0.5)))</f>
        <v/>
      </c>
      <c r="D24" s="8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  <c r="AH24" s="9" t="n"/>
    </row>
    <row r="25">
      <c r="A25" s="7" t="inlineStr">
        <is>
          <t>Студент2.22</t>
        </is>
      </c>
      <c r="B25" s="8">
        <f>IF(A25="","",COUNTIF(E25:AH25,"+")+COUNTIF(E25:AH25,"1"))</f>
        <v/>
      </c>
      <c r="C25" s="8">
        <f>IF(A25="","",IF(B25&gt;2*COUNTA(E$3:AH$3)/3,1,IF(B25&gt;=COUNTA(E$3:AH$3)/2,0.8,0.5)))</f>
        <v/>
      </c>
      <c r="D25" s="8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  <c r="AH25" s="9" t="n"/>
    </row>
    <row r="26">
      <c r="A26" s="7" t="inlineStr">
        <is>
          <t>Студент2.23</t>
        </is>
      </c>
      <c r="B26" s="8">
        <f>IF(A26="","",COUNTIF(E26:AH26,"+")+COUNTIF(E26:AH26,"1"))</f>
        <v/>
      </c>
      <c r="C26" s="8">
        <f>IF(A26="","",IF(B26&gt;2*COUNTA(E$3:AH$3)/3,1,IF(B26&gt;=COUNTA(E$3:AH$3)/2,0.8,0.5)))</f>
        <v/>
      </c>
      <c r="D26" s="8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</row>
    <row r="27">
      <c r="A27" s="7" t="inlineStr">
        <is>
          <t>Студент2.24</t>
        </is>
      </c>
      <c r="B27" s="8">
        <f>IF(A27="","",COUNTIF(E27:AH27,"+")+COUNTIF(E27:AH27,"1"))</f>
        <v/>
      </c>
      <c r="C27" s="8">
        <f>IF(A27="","",IF(B27&gt;2*COUNTA(E$3:AH$3)/3,1,IF(B27&gt;=COUNTA(E$3:AH$3)/2,0.8,0.5)))</f>
        <v/>
      </c>
      <c r="D27" s="8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</row>
    <row r="28">
      <c r="A28" s="7" t="inlineStr">
        <is>
          <t>Студент2.25</t>
        </is>
      </c>
      <c r="B28" s="8">
        <f>IF(A28="","",COUNTIF(E28:AH28,"+")+COUNTIF(E28:AH28,"1"))</f>
        <v/>
      </c>
      <c r="C28" s="8">
        <f>IF(A28="","",IF(B28&gt;2*COUNTA(E$3:AH$3)/3,1,IF(B28&gt;=COUNTA(E$3:AH$3)/2,0.8,0.5)))</f>
        <v/>
      </c>
      <c r="D28" s="8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  <c r="AF28" s="9" t="n"/>
      <c r="AG28" s="9" t="n"/>
      <c r="AH28" s="9" t="n"/>
    </row>
    <row r="29">
      <c r="A29" s="7" t="inlineStr">
        <is>
          <t>Студент2.26</t>
        </is>
      </c>
      <c r="B29" s="8">
        <f>IF(A29="","",COUNTIF(E29:AH29,"+")+COUNTIF(E29:AH29,"1"))</f>
        <v/>
      </c>
      <c r="C29" s="8">
        <f>IF(A29="","",IF(B29&gt;2*COUNTA(E$3:AH$3)/3,1,IF(B29&gt;=COUNTA(E$3:AH$3)/2,0.8,0.5)))</f>
        <v/>
      </c>
      <c r="D29" s="8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  <c r="AH29" s="9" t="n"/>
    </row>
    <row r="30">
      <c r="A30" s="7" t="inlineStr">
        <is>
          <t>Студент2.27</t>
        </is>
      </c>
      <c r="B30" s="8">
        <f>IF(A30="","",COUNTIF(E30:AH30,"+")+COUNTIF(E30:AH30,"1"))</f>
        <v/>
      </c>
      <c r="C30" s="8">
        <f>IF(A30="","",IF(B30&gt;2*COUNTA(E$3:AH$3)/3,1,IF(B30&gt;=COUNTA(E$3:AH$3)/2,0.8,0.5)))</f>
        <v/>
      </c>
      <c r="D30" s="8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  <c r="AH30" s="9" t="n"/>
    </row>
    <row r="31">
      <c r="A31" s="7" t="inlineStr">
        <is>
          <t>Студент2.28</t>
        </is>
      </c>
      <c r="B31" s="8">
        <f>IF(A31="","",COUNTIF(E31:AH31,"+")+COUNTIF(E31:AH31,"1"))</f>
        <v/>
      </c>
      <c r="C31" s="8">
        <f>IF(A31="","",IF(B31&gt;2*COUNTA(E$3:AH$3)/3,1,IF(B31&gt;=COUNTA(E$3:AH$3)/2,0.8,0.5)))</f>
        <v/>
      </c>
      <c r="D31" s="8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  <c r="AH31" s="9" t="n"/>
    </row>
    <row r="32">
      <c r="A32" s="7" t="inlineStr">
        <is>
          <t>Студент2.29</t>
        </is>
      </c>
      <c r="B32" s="8">
        <f>IF(A32="","",COUNTIF(E32:AH32,"+")+COUNTIF(E32:AH32,"1"))</f>
        <v/>
      </c>
      <c r="C32" s="8">
        <f>IF(A32="","",IF(B32&gt;2*COUNTA(E$3:AH$3)/3,1,IF(B32&gt;=COUNTA(E$3:AH$3)/2,0.8,0.5)))</f>
        <v/>
      </c>
      <c r="D32" s="8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  <c r="AH32" s="9" t="n"/>
    </row>
    <row r="33">
      <c r="A33" s="7" t="inlineStr">
        <is>
          <t>Студент2.30</t>
        </is>
      </c>
      <c r="B33" s="8">
        <f>IF(A33="","",COUNTIF(E33:AH33,"+")+COUNTIF(E33:AH33,"1"))</f>
        <v/>
      </c>
      <c r="C33" s="8">
        <f>IF(A33="","",IF(B33&gt;2*COUNTA(E$3:AH$3)/3,1,IF(B33&gt;=COUNTA(E$3:AH$3)/2,0.8,0.5)))</f>
        <v/>
      </c>
      <c r="D33" s="8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</row>
  </sheetData>
  <mergeCells count="1">
    <mergeCell ref="A1:AI1"/>
  </mergeCells>
  <conditionalFormatting sqref="E4:AH33">
    <cfRule type="expression" priority="1" dxfId="0">
      <formula>E4="+"</formula>
    </cfRule>
    <cfRule type="expression" priority="2" dxfId="1">
      <formula>E4="1"</formula>
    </cfRule>
    <cfRule type="expression" priority="3" dxfId="2">
      <formula>E4="-"</formula>
    </cfRule>
  </conditionalFormatting>
  <conditionalFormatting sqref="B4:B33">
    <cfRule type="cellIs" priority="4" operator="greaterThanOrEqual" dxfId="3">
      <formula>21</formula>
    </cfRule>
    <cfRule type="cellIs" priority="5" operator="between" dxfId="4">
      <formula>15</formula>
      <formula>20</formula>
    </cfRule>
    <cfRule type="cellIs" priority="6" operator="lessThan" dxfId="5">
      <formula>15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9" customWidth="1" min="2" max="2"/>
    <col width="14" customWidth="1" min="3" max="3"/>
    <col width="14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</cols>
  <sheetData>
    <row r="1" hidden="1">
      <c r="A1" s="1" t="inlineStr">
        <is>
          <t>Практика 15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S</t>
        </is>
      </c>
      <c r="C3" s="4" t="inlineStr">
        <is>
          <t>Коэффициент</t>
        </is>
      </c>
      <c r="D3" s="5" t="inlineStr">
        <is>
          <t>D за практику</t>
        </is>
      </c>
      <c r="E3" s="6" t="inlineStr">
        <is>
          <t>1</t>
        </is>
      </c>
      <c r="F3" s="6" t="inlineStr">
        <is>
          <t>2</t>
        </is>
      </c>
      <c r="G3" s="6" t="inlineStr">
        <is>
          <t>3</t>
        </is>
      </c>
      <c r="H3" s="6" t="inlineStr">
        <is>
          <t>4</t>
        </is>
      </c>
      <c r="I3" s="6" t="inlineStr">
        <is>
          <t>5</t>
        </is>
      </c>
      <c r="J3" s="6" t="inlineStr">
        <is>
          <t>6</t>
        </is>
      </c>
      <c r="K3" s="6" t="inlineStr">
        <is>
          <t>7</t>
        </is>
      </c>
      <c r="L3" s="6" t="inlineStr">
        <is>
          <t>8</t>
        </is>
      </c>
      <c r="M3" s="6" t="inlineStr">
        <is>
          <t>9</t>
        </is>
      </c>
      <c r="N3" s="6" t="inlineStr">
        <is>
          <t>10</t>
        </is>
      </c>
      <c r="O3" s="6" t="inlineStr">
        <is>
          <t>11</t>
        </is>
      </c>
      <c r="P3" s="6" t="inlineStr">
        <is>
          <t>12</t>
        </is>
      </c>
      <c r="Q3" s="6" t="inlineStr">
        <is>
          <t>13</t>
        </is>
      </c>
      <c r="R3" s="6" t="inlineStr">
        <is>
          <t>14</t>
        </is>
      </c>
      <c r="S3" s="6" t="inlineStr">
        <is>
          <t>15</t>
        </is>
      </c>
      <c r="T3" s="6" t="inlineStr">
        <is>
          <t>16</t>
        </is>
      </c>
      <c r="U3" s="6" t="inlineStr">
        <is>
          <t>17</t>
        </is>
      </c>
      <c r="V3" s="6" t="inlineStr">
        <is>
          <t>18</t>
        </is>
      </c>
      <c r="W3" s="6" t="inlineStr">
        <is>
          <t>19</t>
        </is>
      </c>
      <c r="X3" s="6" t="inlineStr">
        <is>
          <t>20</t>
        </is>
      </c>
      <c r="Y3" s="6" t="inlineStr">
        <is>
          <t>21</t>
        </is>
      </c>
      <c r="Z3" s="6" t="inlineStr">
        <is>
          <t>22</t>
        </is>
      </c>
      <c r="AA3" s="6" t="inlineStr">
        <is>
          <t>23</t>
        </is>
      </c>
      <c r="AB3" s="6" t="inlineStr">
        <is>
          <t>24</t>
        </is>
      </c>
      <c r="AC3" s="6" t="inlineStr">
        <is>
          <t>25</t>
        </is>
      </c>
      <c r="AD3" s="6" t="inlineStr">
        <is>
          <t>26</t>
        </is>
      </c>
      <c r="AE3" s="6" t="inlineStr">
        <is>
          <t>27</t>
        </is>
      </c>
      <c r="AF3" s="6" t="inlineStr">
        <is>
          <t>28</t>
        </is>
      </c>
      <c r="AG3" s="6" t="inlineStr">
        <is>
          <t>29</t>
        </is>
      </c>
      <c r="AH3" s="6" t="inlineStr">
        <is>
          <t>30</t>
        </is>
      </c>
    </row>
    <row r="4">
      <c r="A4" s="7" t="inlineStr">
        <is>
          <t>Студент2.1</t>
        </is>
      </c>
      <c r="B4" s="8">
        <f>IF(A4="","",COUNTIF(E4:AH4,"+")+COUNTIF(E4:AH4,"1"))</f>
        <v/>
      </c>
      <c r="C4" s="8">
        <f>IF(A4="","",IF(B4&gt;2*COUNTA(E$3:AH$3)/3,1,IF(B4&gt;=COUNTA(E$3:AH$3)/2,0.8,0.5)))</f>
        <v/>
      </c>
      <c r="D4" s="8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  <c r="AC4" s="9" t="n"/>
      <c r="AD4" s="9" t="n"/>
      <c r="AE4" s="9" t="n"/>
      <c r="AF4" s="9" t="n"/>
      <c r="AG4" s="9" t="n"/>
      <c r="AH4" s="9" t="n"/>
    </row>
    <row r="5">
      <c r="A5" s="7" t="inlineStr">
        <is>
          <t>Студент2.2</t>
        </is>
      </c>
      <c r="B5" s="8">
        <f>IF(A5="","",COUNTIF(E5:AH5,"+")+COUNTIF(E5:AH5,"1"))</f>
        <v/>
      </c>
      <c r="C5" s="8">
        <f>IF(A5="","",IF(B5&gt;2*COUNTA(E$3:AH$3)/3,1,IF(B5&gt;=COUNTA(E$3:AH$3)/2,0.8,0.5)))</f>
        <v/>
      </c>
      <c r="D5" s="8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</row>
    <row r="6">
      <c r="A6" s="7" t="inlineStr">
        <is>
          <t>Студент2.3</t>
        </is>
      </c>
      <c r="B6" s="8">
        <f>IF(A6="","",COUNTIF(E6:AH6,"+")+COUNTIF(E6:AH6,"1"))</f>
        <v/>
      </c>
      <c r="C6" s="8">
        <f>IF(A6="","",IF(B6&gt;2*COUNTA(E$3:AH$3)/3,1,IF(B6&gt;=COUNTA(E$3:AH$3)/2,0.8,0.5)))</f>
        <v/>
      </c>
      <c r="D6" s="8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</row>
    <row r="7">
      <c r="A7" s="7" t="inlineStr">
        <is>
          <t>Студент2.4</t>
        </is>
      </c>
      <c r="B7" s="8">
        <f>IF(A7="","",COUNTIF(E7:AH7,"+")+COUNTIF(E7:AH7,"1"))</f>
        <v/>
      </c>
      <c r="C7" s="8">
        <f>IF(A7="","",IF(B7&gt;2*COUNTA(E$3:AH$3)/3,1,IF(B7&gt;=COUNTA(E$3:AH$3)/2,0.8,0.5)))</f>
        <v/>
      </c>
      <c r="D7" s="8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</row>
    <row r="8">
      <c r="A8" s="7" t="inlineStr">
        <is>
          <t>Студент2.5</t>
        </is>
      </c>
      <c r="B8" s="8">
        <f>IF(A8="","",COUNTIF(E8:AH8,"+")+COUNTIF(E8:AH8,"1"))</f>
        <v/>
      </c>
      <c r="C8" s="8">
        <f>IF(A8="","",IF(B8&gt;2*COUNTA(E$3:AH$3)/3,1,IF(B8&gt;=COUNTA(E$3:AH$3)/2,0.8,0.5)))</f>
        <v/>
      </c>
      <c r="D8" s="8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</row>
    <row r="9">
      <c r="A9" s="7" t="inlineStr">
        <is>
          <t>Студент2.6</t>
        </is>
      </c>
      <c r="B9" s="8">
        <f>IF(A9="","",COUNTIF(E9:AH9,"+")+COUNTIF(E9:AH9,"1"))</f>
        <v/>
      </c>
      <c r="C9" s="8">
        <f>IF(A9="","",IF(B9&gt;2*COUNTA(E$3:AH$3)/3,1,IF(B9&gt;=COUNTA(E$3:AH$3)/2,0.8,0.5)))</f>
        <v/>
      </c>
      <c r="D9" s="8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</row>
    <row r="10">
      <c r="A10" s="7" t="inlineStr">
        <is>
          <t>Студент2.7</t>
        </is>
      </c>
      <c r="B10" s="8">
        <f>IF(A10="","",COUNTIF(E10:AH10,"+")+COUNTIF(E10:AH10,"1"))</f>
        <v/>
      </c>
      <c r="C10" s="8">
        <f>IF(A10="","",IF(B10&gt;2*COUNTA(E$3:AH$3)/3,1,IF(B10&gt;=COUNTA(E$3:AH$3)/2,0.8,0.5)))</f>
        <v/>
      </c>
      <c r="D10" s="8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</row>
    <row r="11">
      <c r="A11" s="7" t="inlineStr">
        <is>
          <t>Студент2.8</t>
        </is>
      </c>
      <c r="B11" s="8">
        <f>IF(A11="","",COUNTIF(E11:AH11,"+")+COUNTIF(E11:AH11,"1"))</f>
        <v/>
      </c>
      <c r="C11" s="8">
        <f>IF(A11="","",IF(B11&gt;2*COUNTA(E$3:AH$3)/3,1,IF(B11&gt;=COUNTA(E$3:AH$3)/2,0.8,0.5)))</f>
        <v/>
      </c>
      <c r="D11" s="8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</row>
    <row r="12">
      <c r="A12" s="7" t="inlineStr">
        <is>
          <t>Студент2.9</t>
        </is>
      </c>
      <c r="B12" s="8">
        <f>IF(A12="","",COUNTIF(E12:AH12,"+")+COUNTIF(E12:AH12,"1"))</f>
        <v/>
      </c>
      <c r="C12" s="8">
        <f>IF(A12="","",IF(B12&gt;2*COUNTA(E$3:AH$3)/3,1,IF(B12&gt;=COUNTA(E$3:AH$3)/2,0.8,0.5)))</f>
        <v/>
      </c>
      <c r="D12" s="8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</row>
    <row r="13">
      <c r="A13" s="7" t="inlineStr">
        <is>
          <t>Студент2.10</t>
        </is>
      </c>
      <c r="B13" s="8">
        <f>IF(A13="","",COUNTIF(E13:AH13,"+")+COUNTIF(E13:AH13,"1"))</f>
        <v/>
      </c>
      <c r="C13" s="8">
        <f>IF(A13="","",IF(B13&gt;2*COUNTA(E$3:AH$3)/3,1,IF(B13&gt;=COUNTA(E$3:AH$3)/2,0.8,0.5)))</f>
        <v/>
      </c>
      <c r="D13" s="8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</row>
    <row r="14">
      <c r="A14" s="7" t="inlineStr">
        <is>
          <t>Студент2.11</t>
        </is>
      </c>
      <c r="B14" s="8">
        <f>IF(A14="","",COUNTIF(E14:AH14,"+")+COUNTIF(E14:AH14,"1"))</f>
        <v/>
      </c>
      <c r="C14" s="8">
        <f>IF(A14="","",IF(B14&gt;2*COUNTA(E$3:AH$3)/3,1,IF(B14&gt;=COUNTA(E$3:AH$3)/2,0.8,0.5)))</f>
        <v/>
      </c>
      <c r="D14" s="8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</row>
    <row r="15">
      <c r="A15" s="7" t="inlineStr">
        <is>
          <t>Студент2.12</t>
        </is>
      </c>
      <c r="B15" s="8">
        <f>IF(A15="","",COUNTIF(E15:AH15,"+")+COUNTIF(E15:AH15,"1"))</f>
        <v/>
      </c>
      <c r="C15" s="8">
        <f>IF(A15="","",IF(B15&gt;2*COUNTA(E$3:AH$3)/3,1,IF(B15&gt;=COUNTA(E$3:AH$3)/2,0.8,0.5)))</f>
        <v/>
      </c>
      <c r="D15" s="8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  <c r="AH15" s="9" t="n"/>
    </row>
    <row r="16">
      <c r="A16" s="7" t="inlineStr">
        <is>
          <t>Студент2.13</t>
        </is>
      </c>
      <c r="B16" s="8">
        <f>IF(A16="","",COUNTIF(E16:AH16,"+")+COUNTIF(E16:AH16,"1"))</f>
        <v/>
      </c>
      <c r="C16" s="8">
        <f>IF(A16="","",IF(B16&gt;2*COUNTA(E$3:AH$3)/3,1,IF(B16&gt;=COUNTA(E$3:AH$3)/2,0.8,0.5)))</f>
        <v/>
      </c>
      <c r="D16" s="8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  <c r="AH16" s="9" t="n"/>
    </row>
    <row r="17">
      <c r="A17" s="7" t="inlineStr">
        <is>
          <t>Студент2.14</t>
        </is>
      </c>
      <c r="B17" s="8">
        <f>IF(A17="","",COUNTIF(E17:AH17,"+")+COUNTIF(E17:AH17,"1"))</f>
        <v/>
      </c>
      <c r="C17" s="8">
        <f>IF(A17="","",IF(B17&gt;2*COUNTA(E$3:AH$3)/3,1,IF(B17&gt;=COUNTA(E$3:AH$3)/2,0.8,0.5)))</f>
        <v/>
      </c>
      <c r="D17" s="8" t="n"/>
      <c r="E17" s="9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</row>
    <row r="18">
      <c r="A18" s="7" t="inlineStr">
        <is>
          <t>Студент2.15</t>
        </is>
      </c>
      <c r="B18" s="8">
        <f>IF(A18="","",COUNTIF(E18:AH18,"+")+COUNTIF(E18:AH18,"1"))</f>
        <v/>
      </c>
      <c r="C18" s="8">
        <f>IF(A18="","",IF(B18&gt;2*COUNTA(E$3:AH$3)/3,1,IF(B18&gt;=COUNTA(E$3:AH$3)/2,0.8,0.5)))</f>
        <v/>
      </c>
      <c r="D18" s="8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</row>
    <row r="19">
      <c r="A19" s="7" t="inlineStr">
        <is>
          <t>Студент2.16</t>
        </is>
      </c>
      <c r="B19" s="8">
        <f>IF(A19="","",COUNTIF(E19:AH19,"+")+COUNTIF(E19:AH19,"1"))</f>
        <v/>
      </c>
      <c r="C19" s="8">
        <f>IF(A19="","",IF(B19&gt;2*COUNTA(E$3:AH$3)/3,1,IF(B19&gt;=COUNTA(E$3:AH$3)/2,0.8,0.5)))</f>
        <v/>
      </c>
      <c r="D19" s="8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</row>
    <row r="20">
      <c r="A20" s="7" t="inlineStr">
        <is>
          <t>Студент2.17</t>
        </is>
      </c>
      <c r="B20" s="8">
        <f>IF(A20="","",COUNTIF(E20:AH20,"+")+COUNTIF(E20:AH20,"1"))</f>
        <v/>
      </c>
      <c r="C20" s="8">
        <f>IF(A20="","",IF(B20&gt;2*COUNTA(E$3:AH$3)/3,1,IF(B20&gt;=COUNTA(E$3:AH$3)/2,0.8,0.5)))</f>
        <v/>
      </c>
      <c r="D20" s="8" t="n"/>
      <c r="E20" s="9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  <c r="AH20" s="9" t="n"/>
    </row>
    <row r="21">
      <c r="A21" s="7" t="inlineStr">
        <is>
          <t>Студент2.18</t>
        </is>
      </c>
      <c r="B21" s="8">
        <f>IF(A21="","",COUNTIF(E21:AH21,"+")+COUNTIF(E21:AH21,"1"))</f>
        <v/>
      </c>
      <c r="C21" s="8">
        <f>IF(A21="","",IF(B21&gt;2*COUNTA(E$3:AH$3)/3,1,IF(B21&gt;=COUNTA(E$3:AH$3)/2,0.8,0.5)))</f>
        <v/>
      </c>
      <c r="D21" s="8" t="n"/>
      <c r="E21" s="9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</row>
    <row r="22">
      <c r="A22" s="7" t="inlineStr">
        <is>
          <t>Студент2.19</t>
        </is>
      </c>
      <c r="B22" s="8">
        <f>IF(A22="","",COUNTIF(E22:AH22,"+")+COUNTIF(E22:AH22,"1"))</f>
        <v/>
      </c>
      <c r="C22" s="8">
        <f>IF(A22="","",IF(B22&gt;2*COUNTA(E$3:AH$3)/3,1,IF(B22&gt;=COUNTA(E$3:AH$3)/2,0.8,0.5)))</f>
        <v/>
      </c>
      <c r="D22" s="8" t="n"/>
      <c r="E22" s="9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  <c r="AH22" s="9" t="n"/>
    </row>
    <row r="23">
      <c r="A23" s="7" t="inlineStr">
        <is>
          <t>Студент2.20</t>
        </is>
      </c>
      <c r="B23" s="8">
        <f>IF(A23="","",COUNTIF(E23:AH23,"+")+COUNTIF(E23:AH23,"1"))</f>
        <v/>
      </c>
      <c r="C23" s="8">
        <f>IF(A23="","",IF(B23&gt;2*COUNTA(E$3:AH$3)/3,1,IF(B23&gt;=COUNTA(E$3:AH$3)/2,0.8,0.5)))</f>
        <v/>
      </c>
      <c r="D23" s="8" t="n"/>
      <c r="E23" s="9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  <c r="AH23" s="9" t="n"/>
    </row>
    <row r="24">
      <c r="A24" s="7" t="inlineStr">
        <is>
          <t>Студент2.21</t>
        </is>
      </c>
      <c r="B24" s="8">
        <f>IF(A24="","",COUNTIF(E24:AH24,"+")+COUNTIF(E24:AH24,"1"))</f>
        <v/>
      </c>
      <c r="C24" s="8">
        <f>IF(A24="","",IF(B24&gt;2*COUNTA(E$3:AH$3)/3,1,IF(B24&gt;=COUNTA(E$3:AH$3)/2,0.8,0.5)))</f>
        <v/>
      </c>
      <c r="D24" s="8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  <c r="AH24" s="9" t="n"/>
    </row>
    <row r="25">
      <c r="A25" s="7" t="inlineStr">
        <is>
          <t>Студент2.22</t>
        </is>
      </c>
      <c r="B25" s="8">
        <f>IF(A25="","",COUNTIF(E25:AH25,"+")+COUNTIF(E25:AH25,"1"))</f>
        <v/>
      </c>
      <c r="C25" s="8">
        <f>IF(A25="","",IF(B25&gt;2*COUNTA(E$3:AH$3)/3,1,IF(B25&gt;=COUNTA(E$3:AH$3)/2,0.8,0.5)))</f>
        <v/>
      </c>
      <c r="D25" s="8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  <c r="AH25" s="9" t="n"/>
    </row>
    <row r="26">
      <c r="A26" s="7" t="inlineStr">
        <is>
          <t>Студент2.23</t>
        </is>
      </c>
      <c r="B26" s="8">
        <f>IF(A26="","",COUNTIF(E26:AH26,"+")+COUNTIF(E26:AH26,"1"))</f>
        <v/>
      </c>
      <c r="C26" s="8">
        <f>IF(A26="","",IF(B26&gt;2*COUNTA(E$3:AH$3)/3,1,IF(B26&gt;=COUNTA(E$3:AH$3)/2,0.8,0.5)))</f>
        <v/>
      </c>
      <c r="D26" s="8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</row>
    <row r="27">
      <c r="A27" s="7" t="inlineStr">
        <is>
          <t>Студент2.24</t>
        </is>
      </c>
      <c r="B27" s="8">
        <f>IF(A27="","",COUNTIF(E27:AH27,"+")+COUNTIF(E27:AH27,"1"))</f>
        <v/>
      </c>
      <c r="C27" s="8">
        <f>IF(A27="","",IF(B27&gt;2*COUNTA(E$3:AH$3)/3,1,IF(B27&gt;=COUNTA(E$3:AH$3)/2,0.8,0.5)))</f>
        <v/>
      </c>
      <c r="D27" s="8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</row>
    <row r="28">
      <c r="A28" s="7" t="inlineStr">
        <is>
          <t>Студент2.25</t>
        </is>
      </c>
      <c r="B28" s="8">
        <f>IF(A28="","",COUNTIF(E28:AH28,"+")+COUNTIF(E28:AH28,"1"))</f>
        <v/>
      </c>
      <c r="C28" s="8">
        <f>IF(A28="","",IF(B28&gt;2*COUNTA(E$3:AH$3)/3,1,IF(B28&gt;=COUNTA(E$3:AH$3)/2,0.8,0.5)))</f>
        <v/>
      </c>
      <c r="D28" s="8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  <c r="AF28" s="9" t="n"/>
      <c r="AG28" s="9" t="n"/>
      <c r="AH28" s="9" t="n"/>
    </row>
    <row r="29">
      <c r="A29" s="7" t="inlineStr">
        <is>
          <t>Студент2.26</t>
        </is>
      </c>
      <c r="B29" s="8">
        <f>IF(A29="","",COUNTIF(E29:AH29,"+")+COUNTIF(E29:AH29,"1"))</f>
        <v/>
      </c>
      <c r="C29" s="8">
        <f>IF(A29="","",IF(B29&gt;2*COUNTA(E$3:AH$3)/3,1,IF(B29&gt;=COUNTA(E$3:AH$3)/2,0.8,0.5)))</f>
        <v/>
      </c>
      <c r="D29" s="8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  <c r="AH29" s="9" t="n"/>
    </row>
    <row r="30">
      <c r="A30" s="7" t="inlineStr">
        <is>
          <t>Студент2.27</t>
        </is>
      </c>
      <c r="B30" s="8">
        <f>IF(A30="","",COUNTIF(E30:AH30,"+")+COUNTIF(E30:AH30,"1"))</f>
        <v/>
      </c>
      <c r="C30" s="8">
        <f>IF(A30="","",IF(B30&gt;2*COUNTA(E$3:AH$3)/3,1,IF(B30&gt;=COUNTA(E$3:AH$3)/2,0.8,0.5)))</f>
        <v/>
      </c>
      <c r="D30" s="8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  <c r="AH30" s="9" t="n"/>
    </row>
    <row r="31">
      <c r="A31" s="7" t="inlineStr">
        <is>
          <t>Студент2.28</t>
        </is>
      </c>
      <c r="B31" s="8">
        <f>IF(A31="","",COUNTIF(E31:AH31,"+")+COUNTIF(E31:AH31,"1"))</f>
        <v/>
      </c>
      <c r="C31" s="8">
        <f>IF(A31="","",IF(B31&gt;2*COUNTA(E$3:AH$3)/3,1,IF(B31&gt;=COUNTA(E$3:AH$3)/2,0.8,0.5)))</f>
        <v/>
      </c>
      <c r="D31" s="8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  <c r="AH31" s="9" t="n"/>
    </row>
    <row r="32">
      <c r="A32" s="7" t="inlineStr">
        <is>
          <t>Студент2.29</t>
        </is>
      </c>
      <c r="B32" s="8">
        <f>IF(A32="","",COUNTIF(E32:AH32,"+")+COUNTIF(E32:AH32,"1"))</f>
        <v/>
      </c>
      <c r="C32" s="8">
        <f>IF(A32="","",IF(B32&gt;2*COUNTA(E$3:AH$3)/3,1,IF(B32&gt;=COUNTA(E$3:AH$3)/2,0.8,0.5)))</f>
        <v/>
      </c>
      <c r="D32" s="8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  <c r="AH32" s="9" t="n"/>
    </row>
    <row r="33">
      <c r="A33" s="7" t="inlineStr">
        <is>
          <t>Студент2.30</t>
        </is>
      </c>
      <c r="B33" s="8">
        <f>IF(A33="","",COUNTIF(E33:AH33,"+")+COUNTIF(E33:AH33,"1"))</f>
        <v/>
      </c>
      <c r="C33" s="8">
        <f>IF(A33="","",IF(B33&gt;2*COUNTA(E$3:AH$3)/3,1,IF(B33&gt;=COUNTA(E$3:AH$3)/2,0.8,0.5)))</f>
        <v/>
      </c>
      <c r="D33" s="8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</row>
  </sheetData>
  <mergeCells count="1">
    <mergeCell ref="A1:AI1"/>
  </mergeCells>
  <conditionalFormatting sqref="E4:AH33">
    <cfRule type="expression" priority="1" dxfId="0">
      <formula>E4="+"</formula>
    </cfRule>
    <cfRule type="expression" priority="2" dxfId="1">
      <formula>E4="1"</formula>
    </cfRule>
    <cfRule type="expression" priority="3" dxfId="2">
      <formula>E4="-"</formula>
    </cfRule>
  </conditionalFormatting>
  <conditionalFormatting sqref="B4:B33">
    <cfRule type="cellIs" priority="4" operator="greaterThanOrEqual" dxfId="3">
      <formula>21</formula>
    </cfRule>
    <cfRule type="cellIs" priority="5" operator="between" dxfId="4">
      <formula>15</formula>
      <formula>20</formula>
    </cfRule>
    <cfRule type="cellIs" priority="6" operator="lessThan" dxfId="5">
      <formula>15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2026-08-22T15:10:33Z</dcterms:created>
  <dcterms:modified xsi:type="dcterms:W3CDTF">2026-08-22T15:10:35Z</dcterms:modified>
</cp:coreProperties>
</file>