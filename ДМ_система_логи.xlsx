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Логи" sheetId="3" state="visible" r:id="rId3"/>
    <sheet name="Плюсы_Артём" sheetId="4" state="visible" r:id="rId4"/>
    <sheet name="Плюсы_Рами" sheetId="5" state="visible" r:id="rId5"/>
    <sheet name="Плюсы_Немат" sheetId="6" state="visible" r:id="rId6"/>
  </sheets>
  <definedNames>
    <definedName name="_xlnm._FilterDatabase" localSheetId="0" hidden="1">'Общий'!$A$3:$K$93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7365D"/>
      <sz val="18"/>
    </font>
    <font>
      <i val="1"/>
      <color rgb="00666666"/>
    </font>
    <font>
      <b val="1"/>
      <color rgb="00FFFFFF"/>
    </font>
    <font>
      <b val="1"/>
      <color rgb="0017365D"/>
    </font>
    <font>
      <b val="1"/>
      <color rgb="0017365D"/>
      <sz val="14"/>
    </font>
    <font>
      <b val="1"/>
      <color rgb="00000000"/>
    </font>
    <font>
      <b val="1"/>
      <color rgb="0017365D"/>
      <sz val="12"/>
    </font>
  </fonts>
  <fills count="12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A9D18E"/>
      </patternFill>
    </fill>
    <fill>
      <patternFill patternType="solid">
        <fgColor rgb="00FFF2CC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38761D"/>
      </patternFill>
    </fill>
    <fill>
      <patternFill patternType="solid">
        <fgColor rgb="00D9EAD3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3" borderId="2" applyAlignment="1" applyProtection="1" pivotButton="0" quotePrefix="0" xfId="0">
      <alignment vertical="center" wrapText="1"/>
      <protection locked="0" hidden="0"/>
    </xf>
    <xf numFmtId="0" fontId="5" fillId="4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6" borderId="2" applyAlignment="1" applyProtection="1" pivotButton="0" quotePrefix="0" xfId="0">
      <alignment vertical="center" wrapText="1"/>
      <protection locked="0" hidden="0"/>
    </xf>
    <xf numFmtId="0" fontId="0" fillId="6" borderId="0" applyProtection="1" pivotButton="0" quotePrefix="0" xfId="0">
      <protection locked="0" hidden="0"/>
    </xf>
    <xf numFmtId="0" fontId="0" fillId="0" borderId="0" applyAlignment="1" pivotButton="0" quotePrefix="0" xfId="0">
      <alignment wrapText="1"/>
    </xf>
    <xf numFmtId="0" fontId="5" fillId="4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7" fillId="1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ont>
        <color rgb="00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7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22" customWidth="1" min="8" max="8"/>
    <col width="22" customWidth="1" min="9" max="9"/>
    <col width="18" customWidth="1" min="10" max="10"/>
    <col width="30" customWidth="1" min="11" max="11"/>
    <col width="25" customWidth="1" min="12" max="12"/>
    <col width="12" customWidth="1" min="13" max="13"/>
  </cols>
  <sheetData>
    <row r="1">
      <c r="A1" s="1" t="inlineStr">
        <is>
          <t>Дискретная математика — общий лист</t>
        </is>
      </c>
    </row>
    <row r="2" ht="30" customHeight="1">
      <c r="A2" s="2" t="inlineStr">
        <is>
          <t>Здесь хранится общий список студентов и итоговые результаты по трём практикам.</t>
        </is>
      </c>
    </row>
    <row r="3" ht="28" customHeight="1">
      <c r="A3" s="3" t="inlineStr">
        <is>
          <t>Практик</t>
        </is>
      </c>
      <c r="B3" s="3" t="inlineStr">
        <is>
          <t>Имя</t>
        </is>
      </c>
      <c r="C3" s="3" t="inlineStr">
        <is>
          <t>TG</t>
        </is>
      </c>
      <c r="D3" s="3" t="inlineStr">
        <is>
          <t>Активен</t>
        </is>
      </c>
      <c r="E3" s="3" t="inlineStr">
        <is>
          <t>D</t>
        </is>
      </c>
      <c r="F3" s="3" t="inlineStr">
        <is>
          <t>CW</t>
        </is>
      </c>
      <c r="G3" s="3" t="inlineStr">
        <is>
          <t>Тир</t>
        </is>
      </c>
      <c r="H3" s="3" t="inlineStr">
        <is>
          <t>Экзамен</t>
        </is>
      </c>
      <c r="I3" s="3" t="inlineStr">
        <is>
          <t>Оценка по таблице</t>
        </is>
      </c>
      <c r="J3" s="3" t="inlineStr">
        <is>
          <t>Финальная оценка</t>
        </is>
      </c>
      <c r="K3" s="3" t="inlineStr">
        <is>
          <t>Комментарий</t>
        </is>
      </c>
      <c r="L3" s="3" t="inlineStr">
        <is>
          <t>Порог</t>
        </is>
      </c>
      <c r="M3" s="3" t="inlineStr">
        <is>
          <t>Значение</t>
        </is>
      </c>
    </row>
    <row r="4">
      <c r="A4" s="4" t="inlineStr">
        <is>
          <t>Артём</t>
        </is>
      </c>
      <c r="B4" s="4" t="inlineStr">
        <is>
          <t>Студент1.1</t>
        </is>
      </c>
      <c r="C4" s="4" t="inlineStr"/>
      <c r="D4" s="5" t="inlineStr">
        <is>
          <t>Да</t>
        </is>
      </c>
      <c r="E4" s="5">
        <f>IF(B4="","",SUMIF('Логи'!$C$7:$C$3006,B4,'Логи'!$H$7:$H$3006))</f>
        <v/>
      </c>
      <c r="F4" s="5" t="n"/>
      <c r="G4" s="4">
        <f>IF(B4="","",IF(AND(E4&gt;=$M$7,F4&gt;=$M$8),"S",IF(AND(E4&gt;=$M$5,F4&gt;=$M$6),"A",IF(E4&gt;=$M$4,"B","Допса"))))</f>
        <v/>
      </c>
      <c r="H4" s="5" t="n"/>
      <c r="I4" s="5" t="n"/>
      <c r="J4" s="5" t="n"/>
      <c r="K4" s="5" t="n"/>
      <c r="L4" s="4" t="inlineStr">
        <is>
          <t>Тир B: D</t>
        </is>
      </c>
      <c r="M4" s="4" t="n">
        <v>17</v>
      </c>
    </row>
    <row r="5">
      <c r="A5" s="4" t="inlineStr">
        <is>
          <t>Артём</t>
        </is>
      </c>
      <c r="B5" s="4" t="inlineStr">
        <is>
          <t>Студент1.2</t>
        </is>
      </c>
      <c r="C5" s="4" t="inlineStr"/>
      <c r="D5" s="5" t="inlineStr">
        <is>
          <t>Да</t>
        </is>
      </c>
      <c r="E5" s="5">
        <f>IF(B5="","",SUMIF('Логи'!$C$7:$C$3006,B5,'Логи'!$H$7:$H$3006))</f>
        <v/>
      </c>
      <c r="F5" s="5" t="n"/>
      <c r="G5" s="4">
        <f>IF(B5="","",IF(AND(E5&gt;=$M$7,F5&gt;=$M$8),"S",IF(AND(E5&gt;=$M$5,F5&gt;=$M$6),"A",IF(E5&gt;=$M$4,"B","Допса"))))</f>
        <v/>
      </c>
      <c r="H5" s="5" t="n"/>
      <c r="I5" s="5" t="n"/>
      <c r="J5" s="5" t="n"/>
      <c r="K5" s="5" t="n"/>
      <c r="L5" s="4" t="inlineStr">
        <is>
          <t>Тир A: D</t>
        </is>
      </c>
      <c r="M5" s="4" t="n">
        <v>35</v>
      </c>
    </row>
    <row r="6">
      <c r="A6" s="4" t="inlineStr">
        <is>
          <t>Артём</t>
        </is>
      </c>
      <c r="B6" s="4" t="inlineStr">
        <is>
          <t>Студент1.3</t>
        </is>
      </c>
      <c r="C6" s="4" t="inlineStr"/>
      <c r="D6" s="5" t="inlineStr">
        <is>
          <t>Да</t>
        </is>
      </c>
      <c r="E6" s="5">
        <f>IF(B6="","",SUMIF('Логи'!$C$7:$C$3006,B6,'Логи'!$H$7:$H$3006))</f>
        <v/>
      </c>
      <c r="F6" s="5" t="n"/>
      <c r="G6" s="4">
        <f>IF(B6="","",IF(AND(E6&gt;=$M$7,F6&gt;=$M$8),"S",IF(AND(E6&gt;=$M$5,F6&gt;=$M$6),"A",IF(E6&gt;=$M$4,"B","Допса"))))</f>
        <v/>
      </c>
      <c r="H6" s="5" t="n"/>
      <c r="I6" s="5" t="n"/>
      <c r="J6" s="5" t="n"/>
      <c r="K6" s="5" t="n"/>
      <c r="L6" s="4" t="inlineStr">
        <is>
          <t>Тир A: CW</t>
        </is>
      </c>
      <c r="M6" s="4" t="n">
        <v>14</v>
      </c>
    </row>
    <row r="7">
      <c r="A7" s="4" t="inlineStr">
        <is>
          <t>Артём</t>
        </is>
      </c>
      <c r="B7" s="4" t="inlineStr">
        <is>
          <t>Студент1.4</t>
        </is>
      </c>
      <c r="C7" s="4" t="inlineStr"/>
      <c r="D7" s="5" t="inlineStr">
        <is>
          <t>Да</t>
        </is>
      </c>
      <c r="E7" s="5">
        <f>IF(B7="","",SUMIF('Логи'!$C$7:$C$3006,B7,'Логи'!$H$7:$H$3006))</f>
        <v/>
      </c>
      <c r="F7" s="5" t="n"/>
      <c r="G7" s="4">
        <f>IF(B7="","",IF(AND(E7&gt;=$M$7,F7&gt;=$M$8),"S",IF(AND(E7&gt;=$M$5,F7&gt;=$M$6),"A",IF(E7&gt;=$M$4,"B","Допса"))))</f>
        <v/>
      </c>
      <c r="H7" s="5" t="n"/>
      <c r="I7" s="5" t="n"/>
      <c r="J7" s="5" t="n"/>
      <c r="K7" s="5" t="n"/>
      <c r="L7" s="4" t="inlineStr">
        <is>
          <t>Тир S: D</t>
        </is>
      </c>
      <c r="M7" s="4" t="n">
        <v>55</v>
      </c>
    </row>
    <row r="8">
      <c r="A8" s="4" t="inlineStr">
        <is>
          <t>Артём</t>
        </is>
      </c>
      <c r="B8" s="4" t="inlineStr">
        <is>
          <t>Студент1.5</t>
        </is>
      </c>
      <c r="C8" s="4" t="inlineStr"/>
      <c r="D8" s="5" t="inlineStr">
        <is>
          <t>Да</t>
        </is>
      </c>
      <c r="E8" s="5">
        <f>IF(B8="","",SUMIF('Логи'!$C$7:$C$3006,B8,'Логи'!$H$7:$H$3006))</f>
        <v/>
      </c>
      <c r="F8" s="5" t="n"/>
      <c r="G8" s="4">
        <f>IF(B8="","",IF(AND(E8&gt;=$M$7,F8&gt;=$M$8),"S",IF(AND(E8&gt;=$M$5,F8&gt;=$M$6),"A",IF(E8&gt;=$M$4,"B","Допса"))))</f>
        <v/>
      </c>
      <c r="H8" s="5" t="n"/>
      <c r="I8" s="5" t="n"/>
      <c r="J8" s="5" t="n"/>
      <c r="K8" s="5" t="n"/>
      <c r="L8" s="4" t="inlineStr">
        <is>
          <t>Тир S: CW</t>
        </is>
      </c>
      <c r="M8" s="4" t="n">
        <v>24</v>
      </c>
    </row>
    <row r="9">
      <c r="A9" s="4" t="inlineStr">
        <is>
          <t>Артём</t>
        </is>
      </c>
      <c r="B9" s="4" t="inlineStr">
        <is>
          <t>Студент1.6</t>
        </is>
      </c>
      <c r="C9" s="4" t="inlineStr"/>
      <c r="D9" s="5" t="inlineStr">
        <is>
          <t>Да</t>
        </is>
      </c>
      <c r="E9" s="5">
        <f>IF(B9="","",SUMIF('Логи'!$C$7:$C$3006,B9,'Логи'!$H$7:$H$3006))</f>
        <v/>
      </c>
      <c r="F9" s="5" t="n"/>
      <c r="G9" s="4">
        <f>IF(B9="","",IF(AND(E9&gt;=$M$7,F9&gt;=$M$8),"S",IF(AND(E9&gt;=$M$5,F9&gt;=$M$6),"A",IF(E9&gt;=$M$4,"B","Допса"))))</f>
        <v/>
      </c>
      <c r="H9" s="5" t="n"/>
      <c r="I9" s="5" t="n"/>
      <c r="J9" s="5" t="n"/>
      <c r="K9" s="5" t="n"/>
      <c r="L9" s="4" t="inlineStr">
        <is>
          <t>Правило коэффициента 1</t>
        </is>
      </c>
      <c r="M9" s="4" t="inlineStr">
        <is>
          <t>&gt; 2x/3</t>
        </is>
      </c>
    </row>
    <row r="10">
      <c r="A10" s="4" t="inlineStr">
        <is>
          <t>Артём</t>
        </is>
      </c>
      <c r="B10" s="4" t="inlineStr">
        <is>
          <t>Студент1.7</t>
        </is>
      </c>
      <c r="C10" s="4" t="inlineStr"/>
      <c r="D10" s="5" t="inlineStr">
        <is>
          <t>Да</t>
        </is>
      </c>
      <c r="E10" s="5">
        <f>IF(B10="","",SUMIF('Логи'!$C$7:$C$3006,B10,'Логи'!$H$7:$H$3006))</f>
        <v/>
      </c>
      <c r="F10" s="5" t="n"/>
      <c r="G10" s="4">
        <f>IF(B10="","",IF(AND(E10&gt;=$M$7,F10&gt;=$M$8),"S",IF(AND(E10&gt;=$M$5,F10&gt;=$M$6),"A",IF(E10&gt;=$M$4,"B","Допса"))))</f>
        <v/>
      </c>
      <c r="H10" s="5" t="n"/>
      <c r="I10" s="5" t="n"/>
      <c r="J10" s="5" t="n"/>
      <c r="K10" s="5" t="n"/>
      <c r="L10" s="4" t="inlineStr">
        <is>
          <t>Правило коэффициента 0.8</t>
        </is>
      </c>
      <c r="M10" s="4" t="inlineStr">
        <is>
          <t>&gt;= x/2</t>
        </is>
      </c>
    </row>
    <row r="11">
      <c r="A11" s="4" t="inlineStr">
        <is>
          <t>Артём</t>
        </is>
      </c>
      <c r="B11" s="4" t="inlineStr">
        <is>
          <t>Студент1.8</t>
        </is>
      </c>
      <c r="C11" s="4" t="inlineStr"/>
      <c r="D11" s="5" t="inlineStr">
        <is>
          <t>Да</t>
        </is>
      </c>
      <c r="E11" s="5">
        <f>IF(B11="","",SUMIF('Логи'!$C$7:$C$3006,B11,'Логи'!$H$7:$H$3006))</f>
        <v/>
      </c>
      <c r="F11" s="5" t="n"/>
      <c r="G11" s="4">
        <f>IF(B11="","",IF(AND(E11&gt;=$M$7,F11&gt;=$M$8),"S",IF(AND(E11&gt;=$M$5,F11&gt;=$M$6),"A",IF(E11&gt;=$M$4,"B","Допса"))))</f>
        <v/>
      </c>
      <c r="H11" s="5" t="n"/>
      <c r="I11" s="5" t="n"/>
      <c r="J11" s="5" t="n"/>
      <c r="K11" s="5" t="n"/>
      <c r="L11" s="4" t="inlineStr">
        <is>
          <t>Коэффициент 1</t>
        </is>
      </c>
      <c r="M11" s="4" t="n">
        <v>1</v>
      </c>
    </row>
    <row r="12">
      <c r="A12" s="4" t="inlineStr">
        <is>
          <t>Артём</t>
        </is>
      </c>
      <c r="B12" s="4" t="inlineStr">
        <is>
          <t>Студент1.9</t>
        </is>
      </c>
      <c r="C12" s="4" t="inlineStr"/>
      <c r="D12" s="5" t="inlineStr">
        <is>
          <t>Да</t>
        </is>
      </c>
      <c r="E12" s="5">
        <f>IF(B12="","",SUMIF('Логи'!$C$7:$C$3006,B12,'Логи'!$H$7:$H$3006))</f>
        <v/>
      </c>
      <c r="F12" s="5" t="n"/>
      <c r="G12" s="4">
        <f>IF(B12="","",IF(AND(E12&gt;=$M$7,F12&gt;=$M$8),"S",IF(AND(E12&gt;=$M$5,F12&gt;=$M$6),"A",IF(E12&gt;=$M$4,"B","Допса"))))</f>
        <v/>
      </c>
      <c r="H12" s="5" t="n"/>
      <c r="I12" s="5" t="n"/>
      <c r="J12" s="5" t="n"/>
      <c r="K12" s="5" t="n"/>
      <c r="L12" s="4" t="inlineStr">
        <is>
          <t>Коэффициент 0.8</t>
        </is>
      </c>
      <c r="M12" s="4" t="n">
        <v>0.8</v>
      </c>
    </row>
    <row r="13">
      <c r="A13" s="4" t="inlineStr">
        <is>
          <t>Артём</t>
        </is>
      </c>
      <c r="B13" s="4" t="inlineStr">
        <is>
          <t>Студент1.10</t>
        </is>
      </c>
      <c r="C13" s="4" t="inlineStr"/>
      <c r="D13" s="5" t="inlineStr">
        <is>
          <t>Да</t>
        </is>
      </c>
      <c r="E13" s="5">
        <f>IF(B13="","",SUMIF('Логи'!$C$7:$C$3006,B13,'Логи'!$H$7:$H$3006))</f>
        <v/>
      </c>
      <c r="F13" s="5" t="n"/>
      <c r="G13" s="4">
        <f>IF(B13="","",IF(AND(E13&gt;=$M$7,F13&gt;=$M$8),"S",IF(AND(E13&gt;=$M$5,F13&gt;=$M$6),"A",IF(E13&gt;=$M$4,"B","Допса"))))</f>
        <v/>
      </c>
      <c r="H13" s="5" t="n"/>
      <c r="I13" s="5" t="n"/>
      <c r="J13" s="5" t="n"/>
      <c r="K13" s="5" t="n"/>
      <c r="L13" s="4" t="inlineStr">
        <is>
          <t>Коэффициент 0.5</t>
        </is>
      </c>
      <c r="M13" s="4" t="n">
        <v>0.5</v>
      </c>
    </row>
    <row r="14">
      <c r="A14" s="4" t="inlineStr">
        <is>
          <t>Артём</t>
        </is>
      </c>
      <c r="B14" s="4" t="inlineStr">
        <is>
          <t>Студент1.11</t>
        </is>
      </c>
      <c r="C14" s="4" t="inlineStr"/>
      <c r="D14" s="5" t="inlineStr">
        <is>
          <t>Да</t>
        </is>
      </c>
      <c r="E14" s="5">
        <f>IF(B14="","",SUMIF('Логи'!$C$7:$C$3006,B14,'Логи'!$H$7:$H$3006))</f>
        <v/>
      </c>
      <c r="F14" s="5" t="n"/>
      <c r="G14" s="4">
        <f>IF(B14="","",IF(AND(E14&gt;=$M$7,F14&gt;=$M$8),"S",IF(AND(E14&gt;=$M$5,F14&gt;=$M$6),"A",IF(E14&gt;=$M$4,"B","Допса"))))</f>
        <v/>
      </c>
      <c r="H14" s="5" t="n"/>
      <c r="I14" s="5" t="n"/>
      <c r="J14" s="5" t="n"/>
      <c r="K14" s="5" t="n"/>
    </row>
    <row r="15">
      <c r="A15" s="4" t="inlineStr">
        <is>
          <t>Артём</t>
        </is>
      </c>
      <c r="B15" s="4" t="inlineStr">
        <is>
          <t>Студент1.12</t>
        </is>
      </c>
      <c r="C15" s="4" t="inlineStr"/>
      <c r="D15" s="5" t="inlineStr">
        <is>
          <t>Да</t>
        </is>
      </c>
      <c r="E15" s="5">
        <f>IF(B15="","",SUMIF('Логи'!$C$7:$C$3006,B15,'Логи'!$H$7:$H$3006))</f>
        <v/>
      </c>
      <c r="F15" s="5" t="n"/>
      <c r="G15" s="4">
        <f>IF(B15="","",IF(AND(E15&gt;=$M$7,F15&gt;=$M$8),"S",IF(AND(E15&gt;=$M$5,F15&gt;=$M$6),"A",IF(E15&gt;=$M$4,"B","Допса"))))</f>
        <v/>
      </c>
      <c r="H15" s="5" t="n"/>
      <c r="I15" s="5" t="n"/>
      <c r="J15" s="5" t="n"/>
      <c r="K15" s="5" t="n"/>
    </row>
    <row r="16">
      <c r="A16" s="4" t="inlineStr">
        <is>
          <t>Артём</t>
        </is>
      </c>
      <c r="B16" s="4" t="inlineStr">
        <is>
          <t>Студент1.13</t>
        </is>
      </c>
      <c r="C16" s="4" t="inlineStr"/>
      <c r="D16" s="5" t="inlineStr">
        <is>
          <t>Да</t>
        </is>
      </c>
      <c r="E16" s="5">
        <f>IF(B16="","",SUMIF('Логи'!$C$7:$C$3006,B16,'Логи'!$H$7:$H$3006))</f>
        <v/>
      </c>
      <c r="F16" s="5" t="n"/>
      <c r="G16" s="4">
        <f>IF(B16="","",IF(AND(E16&gt;=$M$7,F16&gt;=$M$8),"S",IF(AND(E16&gt;=$M$5,F16&gt;=$M$6),"A",IF(E16&gt;=$M$4,"B","Допса"))))</f>
        <v/>
      </c>
      <c r="H16" s="5" t="n"/>
      <c r="I16" s="5" t="n"/>
      <c r="J16" s="5" t="n"/>
      <c r="K16" s="5" t="n"/>
    </row>
    <row r="17">
      <c r="A17" s="4" t="inlineStr">
        <is>
          <t>Артём</t>
        </is>
      </c>
      <c r="B17" s="4" t="inlineStr">
        <is>
          <t>Студент1.14</t>
        </is>
      </c>
      <c r="C17" s="4" t="inlineStr"/>
      <c r="D17" s="5" t="inlineStr">
        <is>
          <t>Да</t>
        </is>
      </c>
      <c r="E17" s="5">
        <f>IF(B17="","",SUMIF('Логи'!$C$7:$C$3006,B17,'Логи'!$H$7:$H$3006))</f>
        <v/>
      </c>
      <c r="F17" s="5" t="n"/>
      <c r="G17" s="4">
        <f>IF(B17="","",IF(AND(E17&gt;=$M$7,F17&gt;=$M$8),"S",IF(AND(E17&gt;=$M$5,F17&gt;=$M$6),"A",IF(E17&gt;=$M$4,"B","Допса"))))</f>
        <v/>
      </c>
      <c r="H17" s="5" t="n"/>
      <c r="I17" s="5" t="n"/>
      <c r="J17" s="5" t="n"/>
      <c r="K17" s="5" t="n"/>
    </row>
    <row r="18">
      <c r="A18" s="4" t="inlineStr">
        <is>
          <t>Артём</t>
        </is>
      </c>
      <c r="B18" s="4" t="inlineStr">
        <is>
          <t>Студент1.15</t>
        </is>
      </c>
      <c r="C18" s="4" t="inlineStr"/>
      <c r="D18" s="5" t="inlineStr">
        <is>
          <t>Да</t>
        </is>
      </c>
      <c r="E18" s="5">
        <f>IF(B18="","",SUMIF('Логи'!$C$7:$C$3006,B18,'Логи'!$H$7:$H$3006))</f>
        <v/>
      </c>
      <c r="F18" s="5" t="n"/>
      <c r="G18" s="4">
        <f>IF(B18="","",IF(AND(E18&gt;=$M$7,F18&gt;=$M$8),"S",IF(AND(E18&gt;=$M$5,F18&gt;=$M$6),"A",IF(E18&gt;=$M$4,"B","Допса"))))</f>
        <v/>
      </c>
      <c r="H18" s="5" t="n"/>
      <c r="I18" s="5" t="n"/>
      <c r="J18" s="5" t="n"/>
      <c r="K18" s="5" t="n"/>
    </row>
    <row r="19">
      <c r="A19" s="4" t="inlineStr">
        <is>
          <t>Артём</t>
        </is>
      </c>
      <c r="B19" s="4" t="inlineStr">
        <is>
          <t>Студент1.16</t>
        </is>
      </c>
      <c r="C19" s="4" t="inlineStr"/>
      <c r="D19" s="5" t="inlineStr">
        <is>
          <t>Да</t>
        </is>
      </c>
      <c r="E19" s="5">
        <f>IF(B19="","",SUMIF('Логи'!$C$7:$C$3006,B19,'Логи'!$H$7:$H$3006))</f>
        <v/>
      </c>
      <c r="F19" s="5" t="n"/>
      <c r="G19" s="4">
        <f>IF(B19="","",IF(AND(E19&gt;=$M$7,F19&gt;=$M$8),"S",IF(AND(E19&gt;=$M$5,F19&gt;=$M$6),"A",IF(E19&gt;=$M$4,"B","Допса"))))</f>
        <v/>
      </c>
      <c r="H19" s="5" t="n"/>
      <c r="I19" s="5" t="n"/>
      <c r="J19" s="5" t="n"/>
      <c r="K19" s="5" t="n"/>
    </row>
    <row r="20">
      <c r="A20" s="4" t="inlineStr">
        <is>
          <t>Артём</t>
        </is>
      </c>
      <c r="B20" s="4" t="inlineStr">
        <is>
          <t>Студент1.17</t>
        </is>
      </c>
      <c r="C20" s="4" t="inlineStr"/>
      <c r="D20" s="5" t="inlineStr">
        <is>
          <t>Да</t>
        </is>
      </c>
      <c r="E20" s="5">
        <f>IF(B20="","",SUMIF('Логи'!$C$7:$C$3006,B20,'Логи'!$H$7:$H$3006))</f>
        <v/>
      </c>
      <c r="F20" s="5" t="n"/>
      <c r="G20" s="4">
        <f>IF(B20="","",IF(AND(E20&gt;=$M$7,F20&gt;=$M$8),"S",IF(AND(E20&gt;=$M$5,F20&gt;=$M$6),"A",IF(E20&gt;=$M$4,"B","Допса"))))</f>
        <v/>
      </c>
      <c r="H20" s="5" t="n"/>
      <c r="I20" s="5" t="n"/>
      <c r="J20" s="5" t="n"/>
      <c r="K20" s="5" t="n"/>
    </row>
    <row r="21">
      <c r="A21" s="4" t="inlineStr">
        <is>
          <t>Артём</t>
        </is>
      </c>
      <c r="B21" s="4" t="inlineStr">
        <is>
          <t>Студент1.18</t>
        </is>
      </c>
      <c r="C21" s="4" t="inlineStr"/>
      <c r="D21" s="5" t="inlineStr">
        <is>
          <t>Да</t>
        </is>
      </c>
      <c r="E21" s="5">
        <f>IF(B21="","",SUMIF('Логи'!$C$7:$C$3006,B21,'Логи'!$H$7:$H$3006))</f>
        <v/>
      </c>
      <c r="F21" s="5" t="n"/>
      <c r="G21" s="4">
        <f>IF(B21="","",IF(AND(E21&gt;=$M$7,F21&gt;=$M$8),"S",IF(AND(E21&gt;=$M$5,F21&gt;=$M$6),"A",IF(E21&gt;=$M$4,"B","Допса"))))</f>
        <v/>
      </c>
      <c r="H21" s="5" t="n"/>
      <c r="I21" s="5" t="n"/>
      <c r="J21" s="5" t="n"/>
      <c r="K21" s="5" t="n"/>
    </row>
    <row r="22">
      <c r="A22" s="4" t="inlineStr">
        <is>
          <t>Артём</t>
        </is>
      </c>
      <c r="B22" s="4" t="inlineStr">
        <is>
          <t>Студент1.19</t>
        </is>
      </c>
      <c r="C22" s="4" t="inlineStr"/>
      <c r="D22" s="5" t="inlineStr">
        <is>
          <t>Да</t>
        </is>
      </c>
      <c r="E22" s="5">
        <f>IF(B22="","",SUMIF('Логи'!$C$7:$C$3006,B22,'Логи'!$H$7:$H$3006))</f>
        <v/>
      </c>
      <c r="F22" s="5" t="n"/>
      <c r="G22" s="4">
        <f>IF(B22="","",IF(AND(E22&gt;=$M$7,F22&gt;=$M$8),"S",IF(AND(E22&gt;=$M$5,F22&gt;=$M$6),"A",IF(E22&gt;=$M$4,"B","Допса"))))</f>
        <v/>
      </c>
      <c r="H22" s="5" t="n"/>
      <c r="I22" s="5" t="n"/>
      <c r="J22" s="5" t="n"/>
      <c r="K22" s="5" t="n"/>
    </row>
    <row r="23">
      <c r="A23" s="4" t="inlineStr">
        <is>
          <t>Артём</t>
        </is>
      </c>
      <c r="B23" s="4" t="inlineStr">
        <is>
          <t>Студент1.20</t>
        </is>
      </c>
      <c r="C23" s="4" t="inlineStr"/>
      <c r="D23" s="5" t="inlineStr">
        <is>
          <t>Да</t>
        </is>
      </c>
      <c r="E23" s="5">
        <f>IF(B23="","",SUMIF('Логи'!$C$7:$C$3006,B23,'Логи'!$H$7:$H$3006))</f>
        <v/>
      </c>
      <c r="F23" s="5" t="n"/>
      <c r="G23" s="4">
        <f>IF(B23="","",IF(AND(E23&gt;=$M$7,F23&gt;=$M$8),"S",IF(AND(E23&gt;=$M$5,F23&gt;=$M$6),"A",IF(E23&gt;=$M$4,"B","Допса"))))</f>
        <v/>
      </c>
      <c r="H23" s="5" t="n"/>
      <c r="I23" s="5" t="n"/>
      <c r="J23" s="5" t="n"/>
      <c r="K23" s="5" t="n"/>
    </row>
    <row r="24">
      <c r="A24" s="4" t="inlineStr">
        <is>
          <t>Артём</t>
        </is>
      </c>
      <c r="B24" s="4" t="inlineStr">
        <is>
          <t>Студент1.21</t>
        </is>
      </c>
      <c r="C24" s="4" t="inlineStr"/>
      <c r="D24" s="5" t="inlineStr">
        <is>
          <t>Да</t>
        </is>
      </c>
      <c r="E24" s="5">
        <f>IF(B24="","",SUMIF('Логи'!$C$7:$C$3006,B24,'Логи'!$H$7:$H$3006))</f>
        <v/>
      </c>
      <c r="F24" s="5" t="n"/>
      <c r="G24" s="4">
        <f>IF(B24="","",IF(AND(E24&gt;=$M$7,F24&gt;=$M$8),"S",IF(AND(E24&gt;=$M$5,F24&gt;=$M$6),"A",IF(E24&gt;=$M$4,"B","Допса"))))</f>
        <v/>
      </c>
      <c r="H24" s="5" t="n"/>
      <c r="I24" s="5" t="n"/>
      <c r="J24" s="5" t="n"/>
      <c r="K24" s="5" t="n"/>
    </row>
    <row r="25">
      <c r="A25" s="4" t="inlineStr">
        <is>
          <t>Артём</t>
        </is>
      </c>
      <c r="B25" s="4" t="inlineStr">
        <is>
          <t>Студент1.22</t>
        </is>
      </c>
      <c r="C25" s="4" t="inlineStr"/>
      <c r="D25" s="5" t="inlineStr">
        <is>
          <t>Да</t>
        </is>
      </c>
      <c r="E25" s="5">
        <f>IF(B25="","",SUMIF('Логи'!$C$7:$C$3006,B25,'Логи'!$H$7:$H$3006))</f>
        <v/>
      </c>
      <c r="F25" s="5" t="n"/>
      <c r="G25" s="4">
        <f>IF(B25="","",IF(AND(E25&gt;=$M$7,F25&gt;=$M$8),"S",IF(AND(E25&gt;=$M$5,F25&gt;=$M$6),"A",IF(E25&gt;=$M$4,"B","Допса"))))</f>
        <v/>
      </c>
      <c r="H25" s="5" t="n"/>
      <c r="I25" s="5" t="n"/>
      <c r="J25" s="5" t="n"/>
      <c r="K25" s="5" t="n"/>
    </row>
    <row r="26">
      <c r="A26" s="4" t="inlineStr">
        <is>
          <t>Артём</t>
        </is>
      </c>
      <c r="B26" s="4" t="inlineStr">
        <is>
          <t>Студент1.23</t>
        </is>
      </c>
      <c r="C26" s="4" t="inlineStr"/>
      <c r="D26" s="5" t="inlineStr">
        <is>
          <t>Да</t>
        </is>
      </c>
      <c r="E26" s="5">
        <f>IF(B26="","",SUMIF('Логи'!$C$7:$C$3006,B26,'Логи'!$H$7:$H$3006))</f>
        <v/>
      </c>
      <c r="F26" s="5" t="n"/>
      <c r="G26" s="4">
        <f>IF(B26="","",IF(AND(E26&gt;=$M$7,F26&gt;=$M$8),"S",IF(AND(E26&gt;=$M$5,F26&gt;=$M$6),"A",IF(E26&gt;=$M$4,"B","Допса"))))</f>
        <v/>
      </c>
      <c r="H26" s="5" t="n"/>
      <c r="I26" s="5" t="n"/>
      <c r="J26" s="5" t="n"/>
      <c r="K26" s="5" t="n"/>
    </row>
    <row r="27">
      <c r="A27" s="4" t="inlineStr">
        <is>
          <t>Артём</t>
        </is>
      </c>
      <c r="B27" s="4" t="inlineStr">
        <is>
          <t>Студент1.24</t>
        </is>
      </c>
      <c r="C27" s="4" t="inlineStr"/>
      <c r="D27" s="5" t="inlineStr">
        <is>
          <t>Да</t>
        </is>
      </c>
      <c r="E27" s="5">
        <f>IF(B27="","",SUMIF('Логи'!$C$7:$C$3006,B27,'Логи'!$H$7:$H$3006))</f>
        <v/>
      </c>
      <c r="F27" s="5" t="n"/>
      <c r="G27" s="4">
        <f>IF(B27="","",IF(AND(E27&gt;=$M$7,F27&gt;=$M$8),"S",IF(AND(E27&gt;=$M$5,F27&gt;=$M$6),"A",IF(E27&gt;=$M$4,"B","Допса"))))</f>
        <v/>
      </c>
      <c r="H27" s="5" t="n"/>
      <c r="I27" s="5" t="n"/>
      <c r="J27" s="5" t="n"/>
      <c r="K27" s="5" t="n"/>
    </row>
    <row r="28">
      <c r="A28" s="4" t="inlineStr">
        <is>
          <t>Артём</t>
        </is>
      </c>
      <c r="B28" s="4" t="inlineStr">
        <is>
          <t>Студент1.25</t>
        </is>
      </c>
      <c r="C28" s="4" t="inlineStr"/>
      <c r="D28" s="5" t="inlineStr">
        <is>
          <t>Да</t>
        </is>
      </c>
      <c r="E28" s="5">
        <f>IF(B28="","",SUMIF('Логи'!$C$7:$C$3006,B28,'Логи'!$H$7:$H$3006))</f>
        <v/>
      </c>
      <c r="F28" s="5" t="n"/>
      <c r="G28" s="4">
        <f>IF(B28="","",IF(AND(E28&gt;=$M$7,F28&gt;=$M$8),"S",IF(AND(E28&gt;=$M$5,F28&gt;=$M$6),"A",IF(E28&gt;=$M$4,"B","Допса"))))</f>
        <v/>
      </c>
      <c r="H28" s="5" t="n"/>
      <c r="I28" s="5" t="n"/>
      <c r="J28" s="5" t="n"/>
      <c r="K28" s="5" t="n"/>
    </row>
    <row r="29">
      <c r="A29" s="4" t="inlineStr">
        <is>
          <t>Артём</t>
        </is>
      </c>
      <c r="B29" s="4" t="inlineStr">
        <is>
          <t>Студент1.26</t>
        </is>
      </c>
      <c r="C29" s="4" t="inlineStr"/>
      <c r="D29" s="5" t="inlineStr">
        <is>
          <t>Да</t>
        </is>
      </c>
      <c r="E29" s="5">
        <f>IF(B29="","",SUMIF('Логи'!$C$7:$C$3006,B29,'Логи'!$H$7:$H$3006))</f>
        <v/>
      </c>
      <c r="F29" s="5" t="n"/>
      <c r="G29" s="4">
        <f>IF(B29="","",IF(AND(E29&gt;=$M$7,F29&gt;=$M$8),"S",IF(AND(E29&gt;=$M$5,F29&gt;=$M$6),"A",IF(E29&gt;=$M$4,"B","Допса"))))</f>
        <v/>
      </c>
      <c r="H29" s="5" t="n"/>
      <c r="I29" s="5" t="n"/>
      <c r="J29" s="5" t="n"/>
      <c r="K29" s="5" t="n"/>
    </row>
    <row r="30">
      <c r="A30" s="4" t="inlineStr">
        <is>
          <t>Артём</t>
        </is>
      </c>
      <c r="B30" s="4" t="inlineStr">
        <is>
          <t>Студент1.27</t>
        </is>
      </c>
      <c r="C30" s="4" t="inlineStr"/>
      <c r="D30" s="5" t="inlineStr">
        <is>
          <t>Да</t>
        </is>
      </c>
      <c r="E30" s="5">
        <f>IF(B30="","",SUMIF('Логи'!$C$7:$C$3006,B30,'Логи'!$H$7:$H$3006))</f>
        <v/>
      </c>
      <c r="F30" s="5" t="n"/>
      <c r="G30" s="4">
        <f>IF(B30="","",IF(AND(E30&gt;=$M$7,F30&gt;=$M$8),"S",IF(AND(E30&gt;=$M$5,F30&gt;=$M$6),"A",IF(E30&gt;=$M$4,"B","Допса"))))</f>
        <v/>
      </c>
      <c r="H30" s="5" t="n"/>
      <c r="I30" s="5" t="n"/>
      <c r="J30" s="5" t="n"/>
      <c r="K30" s="5" t="n"/>
    </row>
    <row r="31">
      <c r="A31" s="4" t="inlineStr">
        <is>
          <t>Артём</t>
        </is>
      </c>
      <c r="B31" s="4" t="inlineStr">
        <is>
          <t>Студент1.28</t>
        </is>
      </c>
      <c r="C31" s="4" t="inlineStr"/>
      <c r="D31" s="5" t="inlineStr">
        <is>
          <t>Да</t>
        </is>
      </c>
      <c r="E31" s="5">
        <f>IF(B31="","",SUMIF('Логи'!$C$7:$C$3006,B31,'Логи'!$H$7:$H$3006))</f>
        <v/>
      </c>
      <c r="F31" s="5" t="n"/>
      <c r="G31" s="4">
        <f>IF(B31="","",IF(AND(E31&gt;=$M$7,F31&gt;=$M$8),"S",IF(AND(E31&gt;=$M$5,F31&gt;=$M$6),"A",IF(E31&gt;=$M$4,"B","Допса"))))</f>
        <v/>
      </c>
      <c r="H31" s="5" t="n"/>
      <c r="I31" s="5" t="n"/>
      <c r="J31" s="5" t="n"/>
      <c r="K31" s="5" t="n"/>
    </row>
    <row r="32">
      <c r="A32" s="4" t="inlineStr">
        <is>
          <t>Артём</t>
        </is>
      </c>
      <c r="B32" s="4" t="inlineStr">
        <is>
          <t>Студент1.29</t>
        </is>
      </c>
      <c r="C32" s="4" t="inlineStr"/>
      <c r="D32" s="5" t="inlineStr">
        <is>
          <t>Да</t>
        </is>
      </c>
      <c r="E32" s="5">
        <f>IF(B32="","",SUMIF('Логи'!$C$7:$C$3006,B32,'Логи'!$H$7:$H$3006))</f>
        <v/>
      </c>
      <c r="F32" s="5" t="n"/>
      <c r="G32" s="4">
        <f>IF(B32="","",IF(AND(E32&gt;=$M$7,F32&gt;=$M$8),"S",IF(AND(E32&gt;=$M$5,F32&gt;=$M$6),"A",IF(E32&gt;=$M$4,"B","Допса"))))</f>
        <v/>
      </c>
      <c r="H32" s="5" t="n"/>
      <c r="I32" s="5" t="n"/>
      <c r="J32" s="5" t="n"/>
      <c r="K32" s="5" t="n"/>
    </row>
    <row r="33">
      <c r="A33" s="4" t="inlineStr">
        <is>
          <t>Артём</t>
        </is>
      </c>
      <c r="B33" s="4" t="inlineStr">
        <is>
          <t>Студент1.30</t>
        </is>
      </c>
      <c r="C33" s="4" t="inlineStr"/>
      <c r="D33" s="5" t="inlineStr">
        <is>
          <t>Да</t>
        </is>
      </c>
      <c r="E33" s="5">
        <f>IF(B33="","",SUMIF('Логи'!$C$7:$C$3006,B33,'Логи'!$H$7:$H$3006))</f>
        <v/>
      </c>
      <c r="F33" s="5" t="n"/>
      <c r="G33" s="4">
        <f>IF(B33="","",IF(AND(E33&gt;=$M$7,F33&gt;=$M$8),"S",IF(AND(E33&gt;=$M$5,F33&gt;=$M$6),"A",IF(E33&gt;=$M$4,"B","Допса"))))</f>
        <v/>
      </c>
      <c r="H33" s="5" t="n"/>
      <c r="I33" s="5" t="n"/>
      <c r="J33" s="5" t="n"/>
      <c r="K33" s="5" t="n"/>
    </row>
    <row r="34">
      <c r="A34" s="4" t="inlineStr">
        <is>
          <t>Рами</t>
        </is>
      </c>
      <c r="B34" s="4" t="inlineStr">
        <is>
          <t>Студент2.1</t>
        </is>
      </c>
      <c r="C34" s="4" t="inlineStr"/>
      <c r="D34" s="5" t="inlineStr">
        <is>
          <t>Да</t>
        </is>
      </c>
      <c r="E34" s="5">
        <f>IF(B34="","",SUMIF('Логи'!$C$7:$C$3006,B34,'Логи'!$H$7:$H$3006))</f>
        <v/>
      </c>
      <c r="F34" s="5" t="n"/>
      <c r="G34" s="4">
        <f>IF(B34="","",IF(AND(E34&gt;=$M$7,F34&gt;=$M$8),"S",IF(AND(E34&gt;=$M$5,F34&gt;=$M$6),"A",IF(E34&gt;=$M$4,"B","Допса"))))</f>
        <v/>
      </c>
      <c r="H34" s="5" t="n"/>
      <c r="I34" s="5" t="n"/>
      <c r="J34" s="5" t="n"/>
      <c r="K34" s="5" t="n"/>
    </row>
    <row r="35">
      <c r="A35" s="4" t="inlineStr">
        <is>
          <t>Рами</t>
        </is>
      </c>
      <c r="B35" s="4" t="inlineStr">
        <is>
          <t>Студент2.2</t>
        </is>
      </c>
      <c r="C35" s="4" t="inlineStr"/>
      <c r="D35" s="5" t="inlineStr">
        <is>
          <t>Да</t>
        </is>
      </c>
      <c r="E35" s="5">
        <f>IF(B35="","",SUMIF('Логи'!$C$7:$C$3006,B35,'Логи'!$H$7:$H$3006))</f>
        <v/>
      </c>
      <c r="F35" s="5" t="n"/>
      <c r="G35" s="4">
        <f>IF(B35="","",IF(AND(E35&gt;=$M$7,F35&gt;=$M$8),"S",IF(AND(E35&gt;=$M$5,F35&gt;=$M$6),"A",IF(E35&gt;=$M$4,"B","Допса"))))</f>
        <v/>
      </c>
      <c r="H35" s="5" t="n"/>
      <c r="I35" s="5" t="n"/>
      <c r="J35" s="5" t="n"/>
      <c r="K35" s="5" t="n"/>
    </row>
    <row r="36">
      <c r="A36" s="4" t="inlineStr">
        <is>
          <t>Рами</t>
        </is>
      </c>
      <c r="B36" s="4" t="inlineStr">
        <is>
          <t>Студент2.3</t>
        </is>
      </c>
      <c r="C36" s="4" t="inlineStr"/>
      <c r="D36" s="5" t="inlineStr">
        <is>
          <t>Да</t>
        </is>
      </c>
      <c r="E36" s="5">
        <f>IF(B36="","",SUMIF('Логи'!$C$7:$C$3006,B36,'Логи'!$H$7:$H$3006))</f>
        <v/>
      </c>
      <c r="F36" s="5" t="n"/>
      <c r="G36" s="4">
        <f>IF(B36="","",IF(AND(E36&gt;=$M$7,F36&gt;=$M$8),"S",IF(AND(E36&gt;=$M$5,F36&gt;=$M$6),"A",IF(E36&gt;=$M$4,"B","Допса"))))</f>
        <v/>
      </c>
      <c r="H36" s="5" t="n"/>
      <c r="I36" s="5" t="n"/>
      <c r="J36" s="5" t="n"/>
      <c r="K36" s="5" t="n"/>
    </row>
    <row r="37">
      <c r="A37" s="4" t="inlineStr">
        <is>
          <t>Рами</t>
        </is>
      </c>
      <c r="B37" s="4" t="inlineStr">
        <is>
          <t>Студент2.4</t>
        </is>
      </c>
      <c r="C37" s="4" t="inlineStr"/>
      <c r="D37" s="5" t="inlineStr">
        <is>
          <t>Да</t>
        </is>
      </c>
      <c r="E37" s="5">
        <f>IF(B37="","",SUMIF('Логи'!$C$7:$C$3006,B37,'Логи'!$H$7:$H$3006))</f>
        <v/>
      </c>
      <c r="F37" s="5" t="n"/>
      <c r="G37" s="4">
        <f>IF(B37="","",IF(AND(E37&gt;=$M$7,F37&gt;=$M$8),"S",IF(AND(E37&gt;=$M$5,F37&gt;=$M$6),"A",IF(E37&gt;=$M$4,"B","Допса"))))</f>
        <v/>
      </c>
      <c r="H37" s="5" t="n"/>
      <c r="I37" s="5" t="n"/>
      <c r="J37" s="5" t="n"/>
      <c r="K37" s="5" t="n"/>
    </row>
    <row r="38">
      <c r="A38" s="4" t="inlineStr">
        <is>
          <t>Рами</t>
        </is>
      </c>
      <c r="B38" s="4" t="inlineStr">
        <is>
          <t>Студент2.5</t>
        </is>
      </c>
      <c r="C38" s="4" t="inlineStr"/>
      <c r="D38" s="5" t="inlineStr">
        <is>
          <t>Да</t>
        </is>
      </c>
      <c r="E38" s="5">
        <f>IF(B38="","",SUMIF('Логи'!$C$7:$C$3006,B38,'Логи'!$H$7:$H$3006))</f>
        <v/>
      </c>
      <c r="F38" s="5" t="n"/>
      <c r="G38" s="4">
        <f>IF(B38="","",IF(AND(E38&gt;=$M$7,F38&gt;=$M$8),"S",IF(AND(E38&gt;=$M$5,F38&gt;=$M$6),"A",IF(E38&gt;=$M$4,"B","Допса"))))</f>
        <v/>
      </c>
      <c r="H38" s="5" t="n"/>
      <c r="I38" s="5" t="n"/>
      <c r="J38" s="5" t="n"/>
      <c r="K38" s="5" t="n"/>
    </row>
    <row r="39">
      <c r="A39" s="4" t="inlineStr">
        <is>
          <t>Рами</t>
        </is>
      </c>
      <c r="B39" s="4" t="inlineStr">
        <is>
          <t>Студент2.6</t>
        </is>
      </c>
      <c r="C39" s="4" t="inlineStr"/>
      <c r="D39" s="5" t="inlineStr">
        <is>
          <t>Да</t>
        </is>
      </c>
      <c r="E39" s="5">
        <f>IF(B39="","",SUMIF('Логи'!$C$7:$C$3006,B39,'Логи'!$H$7:$H$3006))</f>
        <v/>
      </c>
      <c r="F39" s="5" t="n"/>
      <c r="G39" s="4">
        <f>IF(B39="","",IF(AND(E39&gt;=$M$7,F39&gt;=$M$8),"S",IF(AND(E39&gt;=$M$5,F39&gt;=$M$6),"A",IF(E39&gt;=$M$4,"B","Допса"))))</f>
        <v/>
      </c>
      <c r="H39" s="5" t="n"/>
      <c r="I39" s="5" t="n"/>
      <c r="J39" s="5" t="n"/>
      <c r="K39" s="5" t="n"/>
    </row>
    <row r="40">
      <c r="A40" s="4" t="inlineStr">
        <is>
          <t>Рами</t>
        </is>
      </c>
      <c r="B40" s="4" t="inlineStr">
        <is>
          <t>Студент2.7</t>
        </is>
      </c>
      <c r="C40" s="4" t="inlineStr"/>
      <c r="D40" s="5" t="inlineStr">
        <is>
          <t>Да</t>
        </is>
      </c>
      <c r="E40" s="5">
        <f>IF(B40="","",SUMIF('Логи'!$C$7:$C$3006,B40,'Логи'!$H$7:$H$3006))</f>
        <v/>
      </c>
      <c r="F40" s="5" t="n"/>
      <c r="G40" s="4">
        <f>IF(B40="","",IF(AND(E40&gt;=$M$7,F40&gt;=$M$8),"S",IF(AND(E40&gt;=$M$5,F40&gt;=$M$6),"A",IF(E40&gt;=$M$4,"B","Допса"))))</f>
        <v/>
      </c>
      <c r="H40" s="5" t="n"/>
      <c r="I40" s="5" t="n"/>
      <c r="J40" s="5" t="n"/>
      <c r="K40" s="5" t="n"/>
    </row>
    <row r="41">
      <c r="A41" s="4" t="inlineStr">
        <is>
          <t>Рами</t>
        </is>
      </c>
      <c r="B41" s="4" t="inlineStr">
        <is>
          <t>Студент2.8</t>
        </is>
      </c>
      <c r="C41" s="4" t="inlineStr"/>
      <c r="D41" s="5" t="inlineStr">
        <is>
          <t>Да</t>
        </is>
      </c>
      <c r="E41" s="5">
        <f>IF(B41="","",SUMIF('Логи'!$C$7:$C$3006,B41,'Логи'!$H$7:$H$3006))</f>
        <v/>
      </c>
      <c r="F41" s="5" t="n"/>
      <c r="G41" s="4">
        <f>IF(B41="","",IF(AND(E41&gt;=$M$7,F41&gt;=$M$8),"S",IF(AND(E41&gt;=$M$5,F41&gt;=$M$6),"A",IF(E41&gt;=$M$4,"B","Допса"))))</f>
        <v/>
      </c>
      <c r="H41" s="5" t="n"/>
      <c r="I41" s="5" t="n"/>
      <c r="J41" s="5" t="n"/>
      <c r="K41" s="5" t="n"/>
    </row>
    <row r="42">
      <c r="A42" s="4" t="inlineStr">
        <is>
          <t>Рами</t>
        </is>
      </c>
      <c r="B42" s="4" t="inlineStr">
        <is>
          <t>Студент2.9</t>
        </is>
      </c>
      <c r="C42" s="4" t="inlineStr"/>
      <c r="D42" s="5" t="inlineStr">
        <is>
          <t>Да</t>
        </is>
      </c>
      <c r="E42" s="5">
        <f>IF(B42="","",SUMIF('Логи'!$C$7:$C$3006,B42,'Логи'!$H$7:$H$3006))</f>
        <v/>
      </c>
      <c r="F42" s="5" t="n"/>
      <c r="G42" s="4">
        <f>IF(B42="","",IF(AND(E42&gt;=$M$7,F42&gt;=$M$8),"S",IF(AND(E42&gt;=$M$5,F42&gt;=$M$6),"A",IF(E42&gt;=$M$4,"B","Допса"))))</f>
        <v/>
      </c>
      <c r="H42" s="5" t="n"/>
      <c r="I42" s="5" t="n"/>
      <c r="J42" s="5" t="n"/>
      <c r="K42" s="5" t="n"/>
    </row>
    <row r="43">
      <c r="A43" s="4" t="inlineStr">
        <is>
          <t>Рами</t>
        </is>
      </c>
      <c r="B43" s="4" t="inlineStr">
        <is>
          <t>Студент2.10</t>
        </is>
      </c>
      <c r="C43" s="4" t="inlineStr"/>
      <c r="D43" s="5" t="inlineStr">
        <is>
          <t>Да</t>
        </is>
      </c>
      <c r="E43" s="5">
        <f>IF(B43="","",SUMIF('Логи'!$C$7:$C$3006,B43,'Логи'!$H$7:$H$3006))</f>
        <v/>
      </c>
      <c r="F43" s="5" t="n"/>
      <c r="G43" s="4">
        <f>IF(B43="","",IF(AND(E43&gt;=$M$7,F43&gt;=$M$8),"S",IF(AND(E43&gt;=$M$5,F43&gt;=$M$6),"A",IF(E43&gt;=$M$4,"B","Допса"))))</f>
        <v/>
      </c>
      <c r="H43" s="5" t="n"/>
      <c r="I43" s="5" t="n"/>
      <c r="J43" s="5" t="n"/>
      <c r="K43" s="5" t="n"/>
    </row>
    <row r="44">
      <c r="A44" s="4" t="inlineStr">
        <is>
          <t>Рами</t>
        </is>
      </c>
      <c r="B44" s="4" t="inlineStr">
        <is>
          <t>Студент2.11</t>
        </is>
      </c>
      <c r="C44" s="4" t="inlineStr"/>
      <c r="D44" s="5" t="inlineStr">
        <is>
          <t>Да</t>
        </is>
      </c>
      <c r="E44" s="5">
        <f>IF(B44="","",SUMIF('Логи'!$C$7:$C$3006,B44,'Логи'!$H$7:$H$3006))</f>
        <v/>
      </c>
      <c r="F44" s="5" t="n"/>
      <c r="G44" s="4">
        <f>IF(B44="","",IF(AND(E44&gt;=$M$7,F44&gt;=$M$8),"S",IF(AND(E44&gt;=$M$5,F44&gt;=$M$6),"A",IF(E44&gt;=$M$4,"B","Допса"))))</f>
        <v/>
      </c>
      <c r="H44" s="5" t="n"/>
      <c r="I44" s="5" t="n"/>
      <c r="J44" s="5" t="n"/>
      <c r="K44" s="5" t="n"/>
    </row>
    <row r="45">
      <c r="A45" s="4" t="inlineStr">
        <is>
          <t>Рами</t>
        </is>
      </c>
      <c r="B45" s="4" t="inlineStr">
        <is>
          <t>Студент2.12</t>
        </is>
      </c>
      <c r="C45" s="4" t="inlineStr"/>
      <c r="D45" s="5" t="inlineStr">
        <is>
          <t>Да</t>
        </is>
      </c>
      <c r="E45" s="5">
        <f>IF(B45="","",SUMIF('Логи'!$C$7:$C$3006,B45,'Логи'!$H$7:$H$3006))</f>
        <v/>
      </c>
      <c r="F45" s="5" t="n"/>
      <c r="G45" s="4">
        <f>IF(B45="","",IF(AND(E45&gt;=$M$7,F45&gt;=$M$8),"S",IF(AND(E45&gt;=$M$5,F45&gt;=$M$6),"A",IF(E45&gt;=$M$4,"B","Допса"))))</f>
        <v/>
      </c>
      <c r="H45" s="5" t="n"/>
      <c r="I45" s="5" t="n"/>
      <c r="J45" s="5" t="n"/>
      <c r="K45" s="5" t="n"/>
    </row>
    <row r="46">
      <c r="A46" s="4" t="inlineStr">
        <is>
          <t>Рами</t>
        </is>
      </c>
      <c r="B46" s="4" t="inlineStr">
        <is>
          <t>Студент2.13</t>
        </is>
      </c>
      <c r="C46" s="4" t="inlineStr"/>
      <c r="D46" s="5" t="inlineStr">
        <is>
          <t>Да</t>
        </is>
      </c>
      <c r="E46" s="5">
        <f>IF(B46="","",SUMIF('Логи'!$C$7:$C$3006,B46,'Логи'!$H$7:$H$3006))</f>
        <v/>
      </c>
      <c r="F46" s="5" t="n"/>
      <c r="G46" s="4">
        <f>IF(B46="","",IF(AND(E46&gt;=$M$7,F46&gt;=$M$8),"S",IF(AND(E46&gt;=$M$5,F46&gt;=$M$6),"A",IF(E46&gt;=$M$4,"B","Допса"))))</f>
        <v/>
      </c>
      <c r="H46" s="5" t="n"/>
      <c r="I46" s="5" t="n"/>
      <c r="J46" s="5" t="n"/>
      <c r="K46" s="5" t="n"/>
    </row>
    <row r="47">
      <c r="A47" s="4" t="inlineStr">
        <is>
          <t>Рами</t>
        </is>
      </c>
      <c r="B47" s="4" t="inlineStr">
        <is>
          <t>Студент2.14</t>
        </is>
      </c>
      <c r="C47" s="4" t="inlineStr"/>
      <c r="D47" s="5" t="inlineStr">
        <is>
          <t>Да</t>
        </is>
      </c>
      <c r="E47" s="5">
        <f>IF(B47="","",SUMIF('Логи'!$C$7:$C$3006,B47,'Логи'!$H$7:$H$3006))</f>
        <v/>
      </c>
      <c r="F47" s="5" t="n"/>
      <c r="G47" s="4">
        <f>IF(B47="","",IF(AND(E47&gt;=$M$7,F47&gt;=$M$8),"S",IF(AND(E47&gt;=$M$5,F47&gt;=$M$6),"A",IF(E47&gt;=$M$4,"B","Допса"))))</f>
        <v/>
      </c>
      <c r="H47" s="5" t="n"/>
      <c r="I47" s="5" t="n"/>
      <c r="J47" s="5" t="n"/>
      <c r="K47" s="5" t="n"/>
    </row>
    <row r="48">
      <c r="A48" s="4" t="inlineStr">
        <is>
          <t>Рами</t>
        </is>
      </c>
      <c r="B48" s="4" t="inlineStr">
        <is>
          <t>Студент2.15</t>
        </is>
      </c>
      <c r="C48" s="4" t="inlineStr"/>
      <c r="D48" s="5" t="inlineStr">
        <is>
          <t>Да</t>
        </is>
      </c>
      <c r="E48" s="5">
        <f>IF(B48="","",SUMIF('Логи'!$C$7:$C$3006,B48,'Логи'!$H$7:$H$3006))</f>
        <v/>
      </c>
      <c r="F48" s="5" t="n"/>
      <c r="G48" s="4">
        <f>IF(B48="","",IF(AND(E48&gt;=$M$7,F48&gt;=$M$8),"S",IF(AND(E48&gt;=$M$5,F48&gt;=$M$6),"A",IF(E48&gt;=$M$4,"B","Допса"))))</f>
        <v/>
      </c>
      <c r="H48" s="5" t="n"/>
      <c r="I48" s="5" t="n"/>
      <c r="J48" s="5" t="n"/>
      <c r="K48" s="5" t="n"/>
    </row>
    <row r="49">
      <c r="A49" s="4" t="inlineStr">
        <is>
          <t>Рами</t>
        </is>
      </c>
      <c r="B49" s="4" t="inlineStr">
        <is>
          <t>Студент2.16</t>
        </is>
      </c>
      <c r="C49" s="4" t="inlineStr"/>
      <c r="D49" s="5" t="inlineStr">
        <is>
          <t>Да</t>
        </is>
      </c>
      <c r="E49" s="5">
        <f>IF(B49="","",SUMIF('Логи'!$C$7:$C$3006,B49,'Логи'!$H$7:$H$3006))</f>
        <v/>
      </c>
      <c r="F49" s="5" t="n"/>
      <c r="G49" s="4">
        <f>IF(B49="","",IF(AND(E49&gt;=$M$7,F49&gt;=$M$8),"S",IF(AND(E49&gt;=$M$5,F49&gt;=$M$6),"A",IF(E49&gt;=$M$4,"B","Допса"))))</f>
        <v/>
      </c>
      <c r="H49" s="5" t="n"/>
      <c r="I49" s="5" t="n"/>
      <c r="J49" s="5" t="n"/>
      <c r="K49" s="5" t="n"/>
    </row>
    <row r="50">
      <c r="A50" s="4" t="inlineStr">
        <is>
          <t>Рами</t>
        </is>
      </c>
      <c r="B50" s="4" t="inlineStr">
        <is>
          <t>Студент2.17</t>
        </is>
      </c>
      <c r="C50" s="4" t="inlineStr"/>
      <c r="D50" s="5" t="inlineStr">
        <is>
          <t>Да</t>
        </is>
      </c>
      <c r="E50" s="5">
        <f>IF(B50="","",SUMIF('Логи'!$C$7:$C$3006,B50,'Логи'!$H$7:$H$3006))</f>
        <v/>
      </c>
      <c r="F50" s="5" t="n"/>
      <c r="G50" s="4">
        <f>IF(B50="","",IF(AND(E50&gt;=$M$7,F50&gt;=$M$8),"S",IF(AND(E50&gt;=$M$5,F50&gt;=$M$6),"A",IF(E50&gt;=$M$4,"B","Допса"))))</f>
        <v/>
      </c>
      <c r="H50" s="5" t="n"/>
      <c r="I50" s="5" t="n"/>
      <c r="J50" s="5" t="n"/>
      <c r="K50" s="5" t="n"/>
    </row>
    <row r="51">
      <c r="A51" s="4" t="inlineStr">
        <is>
          <t>Рами</t>
        </is>
      </c>
      <c r="B51" s="4" t="inlineStr">
        <is>
          <t>Студент2.18</t>
        </is>
      </c>
      <c r="C51" s="4" t="inlineStr"/>
      <c r="D51" s="5" t="inlineStr">
        <is>
          <t>Да</t>
        </is>
      </c>
      <c r="E51" s="5">
        <f>IF(B51="","",SUMIF('Логи'!$C$7:$C$3006,B51,'Логи'!$H$7:$H$3006))</f>
        <v/>
      </c>
      <c r="F51" s="5" t="n"/>
      <c r="G51" s="4">
        <f>IF(B51="","",IF(AND(E51&gt;=$M$7,F51&gt;=$M$8),"S",IF(AND(E51&gt;=$M$5,F51&gt;=$M$6),"A",IF(E51&gt;=$M$4,"B","Допса"))))</f>
        <v/>
      </c>
      <c r="H51" s="5" t="n"/>
      <c r="I51" s="5" t="n"/>
      <c r="J51" s="5" t="n"/>
      <c r="K51" s="5" t="n"/>
    </row>
    <row r="52">
      <c r="A52" s="4" t="inlineStr">
        <is>
          <t>Рами</t>
        </is>
      </c>
      <c r="B52" s="4" t="inlineStr">
        <is>
          <t>Студент2.19</t>
        </is>
      </c>
      <c r="C52" s="4" t="inlineStr"/>
      <c r="D52" s="5" t="inlineStr">
        <is>
          <t>Да</t>
        </is>
      </c>
      <c r="E52" s="5">
        <f>IF(B52="","",SUMIF('Логи'!$C$7:$C$3006,B52,'Логи'!$H$7:$H$3006))</f>
        <v/>
      </c>
      <c r="F52" s="5" t="n"/>
      <c r="G52" s="4">
        <f>IF(B52="","",IF(AND(E52&gt;=$M$7,F52&gt;=$M$8),"S",IF(AND(E52&gt;=$M$5,F52&gt;=$M$6),"A",IF(E52&gt;=$M$4,"B","Допса"))))</f>
        <v/>
      </c>
      <c r="H52" s="5" t="n"/>
      <c r="I52" s="5" t="n"/>
      <c r="J52" s="5" t="n"/>
      <c r="K52" s="5" t="n"/>
    </row>
    <row r="53">
      <c r="A53" s="4" t="inlineStr">
        <is>
          <t>Рами</t>
        </is>
      </c>
      <c r="B53" s="4" t="inlineStr">
        <is>
          <t>Студент2.20</t>
        </is>
      </c>
      <c r="C53" s="4" t="inlineStr"/>
      <c r="D53" s="5" t="inlineStr">
        <is>
          <t>Да</t>
        </is>
      </c>
      <c r="E53" s="5">
        <f>IF(B53="","",SUMIF('Логи'!$C$7:$C$3006,B53,'Логи'!$H$7:$H$3006))</f>
        <v/>
      </c>
      <c r="F53" s="5" t="n"/>
      <c r="G53" s="4">
        <f>IF(B53="","",IF(AND(E53&gt;=$M$7,F53&gt;=$M$8),"S",IF(AND(E53&gt;=$M$5,F53&gt;=$M$6),"A",IF(E53&gt;=$M$4,"B","Допса"))))</f>
        <v/>
      </c>
      <c r="H53" s="5" t="n"/>
      <c r="I53" s="5" t="n"/>
      <c r="J53" s="5" t="n"/>
      <c r="K53" s="5" t="n"/>
    </row>
    <row r="54">
      <c r="A54" s="4" t="inlineStr">
        <is>
          <t>Рами</t>
        </is>
      </c>
      <c r="B54" s="4" t="inlineStr">
        <is>
          <t>Студент2.21</t>
        </is>
      </c>
      <c r="C54" s="4" t="inlineStr"/>
      <c r="D54" s="5" t="inlineStr">
        <is>
          <t>Да</t>
        </is>
      </c>
      <c r="E54" s="5">
        <f>IF(B54="","",SUMIF('Логи'!$C$7:$C$3006,B54,'Логи'!$H$7:$H$3006))</f>
        <v/>
      </c>
      <c r="F54" s="5" t="n"/>
      <c r="G54" s="4">
        <f>IF(B54="","",IF(AND(E54&gt;=$M$7,F54&gt;=$M$8),"S",IF(AND(E54&gt;=$M$5,F54&gt;=$M$6),"A",IF(E54&gt;=$M$4,"B","Допса"))))</f>
        <v/>
      </c>
      <c r="H54" s="5" t="n"/>
      <c r="I54" s="5" t="n"/>
      <c r="J54" s="5" t="n"/>
      <c r="K54" s="5" t="n"/>
    </row>
    <row r="55">
      <c r="A55" s="4" t="inlineStr">
        <is>
          <t>Рами</t>
        </is>
      </c>
      <c r="B55" s="4" t="inlineStr">
        <is>
          <t>Студент2.22</t>
        </is>
      </c>
      <c r="C55" s="4" t="inlineStr"/>
      <c r="D55" s="5" t="inlineStr">
        <is>
          <t>Да</t>
        </is>
      </c>
      <c r="E55" s="5">
        <f>IF(B55="","",SUMIF('Логи'!$C$7:$C$3006,B55,'Логи'!$H$7:$H$3006))</f>
        <v/>
      </c>
      <c r="F55" s="5" t="n"/>
      <c r="G55" s="4">
        <f>IF(B55="","",IF(AND(E55&gt;=$M$7,F55&gt;=$M$8),"S",IF(AND(E55&gt;=$M$5,F55&gt;=$M$6),"A",IF(E55&gt;=$M$4,"B","Допса"))))</f>
        <v/>
      </c>
      <c r="H55" s="5" t="n"/>
      <c r="I55" s="5" t="n"/>
      <c r="J55" s="5" t="n"/>
      <c r="K55" s="5" t="n"/>
    </row>
    <row r="56">
      <c r="A56" s="4" t="inlineStr">
        <is>
          <t>Рами</t>
        </is>
      </c>
      <c r="B56" s="4" t="inlineStr">
        <is>
          <t>Студент2.23</t>
        </is>
      </c>
      <c r="C56" s="4" t="inlineStr"/>
      <c r="D56" s="5" t="inlineStr">
        <is>
          <t>Да</t>
        </is>
      </c>
      <c r="E56" s="5">
        <f>IF(B56="","",SUMIF('Логи'!$C$7:$C$3006,B56,'Логи'!$H$7:$H$3006))</f>
        <v/>
      </c>
      <c r="F56" s="5" t="n"/>
      <c r="G56" s="4">
        <f>IF(B56="","",IF(AND(E56&gt;=$M$7,F56&gt;=$M$8),"S",IF(AND(E56&gt;=$M$5,F56&gt;=$M$6),"A",IF(E56&gt;=$M$4,"B","Допса"))))</f>
        <v/>
      </c>
      <c r="H56" s="5" t="n"/>
      <c r="I56" s="5" t="n"/>
      <c r="J56" s="5" t="n"/>
      <c r="K56" s="5" t="n"/>
    </row>
    <row r="57">
      <c r="A57" s="4" t="inlineStr">
        <is>
          <t>Рами</t>
        </is>
      </c>
      <c r="B57" s="4" t="inlineStr">
        <is>
          <t>Студент2.24</t>
        </is>
      </c>
      <c r="C57" s="4" t="inlineStr"/>
      <c r="D57" s="5" t="inlineStr">
        <is>
          <t>Да</t>
        </is>
      </c>
      <c r="E57" s="5">
        <f>IF(B57="","",SUMIF('Логи'!$C$7:$C$3006,B57,'Логи'!$H$7:$H$3006))</f>
        <v/>
      </c>
      <c r="F57" s="5" t="n"/>
      <c r="G57" s="4">
        <f>IF(B57="","",IF(AND(E57&gt;=$M$7,F57&gt;=$M$8),"S",IF(AND(E57&gt;=$M$5,F57&gt;=$M$6),"A",IF(E57&gt;=$M$4,"B","Допса"))))</f>
        <v/>
      </c>
      <c r="H57" s="5" t="n"/>
      <c r="I57" s="5" t="n"/>
      <c r="J57" s="5" t="n"/>
      <c r="K57" s="5" t="n"/>
    </row>
    <row r="58">
      <c r="A58" s="4" t="inlineStr">
        <is>
          <t>Рами</t>
        </is>
      </c>
      <c r="B58" s="4" t="inlineStr">
        <is>
          <t>Студент2.25</t>
        </is>
      </c>
      <c r="C58" s="4" t="inlineStr"/>
      <c r="D58" s="5" t="inlineStr">
        <is>
          <t>Да</t>
        </is>
      </c>
      <c r="E58" s="5">
        <f>IF(B58="","",SUMIF('Логи'!$C$7:$C$3006,B58,'Логи'!$H$7:$H$3006))</f>
        <v/>
      </c>
      <c r="F58" s="5" t="n"/>
      <c r="G58" s="4">
        <f>IF(B58="","",IF(AND(E58&gt;=$M$7,F58&gt;=$M$8),"S",IF(AND(E58&gt;=$M$5,F58&gt;=$M$6),"A",IF(E58&gt;=$M$4,"B","Допса"))))</f>
        <v/>
      </c>
      <c r="H58" s="5" t="n"/>
      <c r="I58" s="5" t="n"/>
      <c r="J58" s="5" t="n"/>
      <c r="K58" s="5" t="n"/>
    </row>
    <row r="59">
      <c r="A59" s="4" t="inlineStr">
        <is>
          <t>Рами</t>
        </is>
      </c>
      <c r="B59" s="4" t="inlineStr">
        <is>
          <t>Студент2.26</t>
        </is>
      </c>
      <c r="C59" s="4" t="inlineStr"/>
      <c r="D59" s="5" t="inlineStr">
        <is>
          <t>Да</t>
        </is>
      </c>
      <c r="E59" s="5">
        <f>IF(B59="","",SUMIF('Логи'!$C$7:$C$3006,B59,'Логи'!$H$7:$H$3006))</f>
        <v/>
      </c>
      <c r="F59" s="5" t="n"/>
      <c r="G59" s="4">
        <f>IF(B59="","",IF(AND(E59&gt;=$M$7,F59&gt;=$M$8),"S",IF(AND(E59&gt;=$M$5,F59&gt;=$M$6),"A",IF(E59&gt;=$M$4,"B","Допса"))))</f>
        <v/>
      </c>
      <c r="H59" s="5" t="n"/>
      <c r="I59" s="5" t="n"/>
      <c r="J59" s="5" t="n"/>
      <c r="K59" s="5" t="n"/>
    </row>
    <row r="60">
      <c r="A60" s="4" t="inlineStr">
        <is>
          <t>Рами</t>
        </is>
      </c>
      <c r="B60" s="4" t="inlineStr">
        <is>
          <t>Студент2.27</t>
        </is>
      </c>
      <c r="C60" s="4" t="inlineStr"/>
      <c r="D60" s="5" t="inlineStr">
        <is>
          <t>Да</t>
        </is>
      </c>
      <c r="E60" s="5">
        <f>IF(B60="","",SUMIF('Логи'!$C$7:$C$3006,B60,'Логи'!$H$7:$H$3006))</f>
        <v/>
      </c>
      <c r="F60" s="5" t="n"/>
      <c r="G60" s="4">
        <f>IF(B60="","",IF(AND(E60&gt;=$M$7,F60&gt;=$M$8),"S",IF(AND(E60&gt;=$M$5,F60&gt;=$M$6),"A",IF(E60&gt;=$M$4,"B","Допса"))))</f>
        <v/>
      </c>
      <c r="H60" s="5" t="n"/>
      <c r="I60" s="5" t="n"/>
      <c r="J60" s="5" t="n"/>
      <c r="K60" s="5" t="n"/>
    </row>
    <row r="61">
      <c r="A61" s="4" t="inlineStr">
        <is>
          <t>Рами</t>
        </is>
      </c>
      <c r="B61" s="4" t="inlineStr">
        <is>
          <t>Студент2.28</t>
        </is>
      </c>
      <c r="C61" s="4" t="inlineStr"/>
      <c r="D61" s="5" t="inlineStr">
        <is>
          <t>Да</t>
        </is>
      </c>
      <c r="E61" s="5">
        <f>IF(B61="","",SUMIF('Логи'!$C$7:$C$3006,B61,'Логи'!$H$7:$H$3006))</f>
        <v/>
      </c>
      <c r="F61" s="5" t="n"/>
      <c r="G61" s="4">
        <f>IF(B61="","",IF(AND(E61&gt;=$M$7,F61&gt;=$M$8),"S",IF(AND(E61&gt;=$M$5,F61&gt;=$M$6),"A",IF(E61&gt;=$M$4,"B","Допса"))))</f>
        <v/>
      </c>
      <c r="H61" s="5" t="n"/>
      <c r="I61" s="5" t="n"/>
      <c r="J61" s="5" t="n"/>
      <c r="K61" s="5" t="n"/>
    </row>
    <row r="62">
      <c r="A62" s="4" t="inlineStr">
        <is>
          <t>Рами</t>
        </is>
      </c>
      <c r="B62" s="4" t="inlineStr">
        <is>
          <t>Студент2.29</t>
        </is>
      </c>
      <c r="C62" s="4" t="inlineStr"/>
      <c r="D62" s="5" t="inlineStr">
        <is>
          <t>Да</t>
        </is>
      </c>
      <c r="E62" s="5">
        <f>IF(B62="","",SUMIF('Логи'!$C$7:$C$3006,B62,'Логи'!$H$7:$H$3006))</f>
        <v/>
      </c>
      <c r="F62" s="5" t="n"/>
      <c r="G62" s="4">
        <f>IF(B62="","",IF(AND(E62&gt;=$M$7,F62&gt;=$M$8),"S",IF(AND(E62&gt;=$M$5,F62&gt;=$M$6),"A",IF(E62&gt;=$M$4,"B","Допса"))))</f>
        <v/>
      </c>
      <c r="H62" s="5" t="n"/>
      <c r="I62" s="5" t="n"/>
      <c r="J62" s="5" t="n"/>
      <c r="K62" s="5" t="n"/>
    </row>
    <row r="63">
      <c r="A63" s="4" t="inlineStr">
        <is>
          <t>Рами</t>
        </is>
      </c>
      <c r="B63" s="4" t="inlineStr">
        <is>
          <t>Студент2.30</t>
        </is>
      </c>
      <c r="C63" s="4" t="inlineStr"/>
      <c r="D63" s="5" t="inlineStr">
        <is>
          <t>Да</t>
        </is>
      </c>
      <c r="E63" s="5">
        <f>IF(B63="","",SUMIF('Логи'!$C$7:$C$3006,B63,'Логи'!$H$7:$H$3006))</f>
        <v/>
      </c>
      <c r="F63" s="5" t="n"/>
      <c r="G63" s="4">
        <f>IF(B63="","",IF(AND(E63&gt;=$M$7,F63&gt;=$M$8),"S",IF(AND(E63&gt;=$M$5,F63&gt;=$M$6),"A",IF(E63&gt;=$M$4,"B","Допса"))))</f>
        <v/>
      </c>
      <c r="H63" s="5" t="n"/>
      <c r="I63" s="5" t="n"/>
      <c r="J63" s="5" t="n"/>
      <c r="K63" s="5" t="n"/>
    </row>
    <row r="64">
      <c r="A64" s="4" t="inlineStr">
        <is>
          <t>Немат</t>
        </is>
      </c>
      <c r="B64" s="4" t="inlineStr">
        <is>
          <t>Студент3.1</t>
        </is>
      </c>
      <c r="C64" s="4" t="inlineStr"/>
      <c r="D64" s="5" t="inlineStr">
        <is>
          <t>Да</t>
        </is>
      </c>
      <c r="E64" s="5">
        <f>IF(B64="","",SUMIF('Логи'!$C$7:$C$3006,B64,'Логи'!$H$7:$H$3006))</f>
        <v/>
      </c>
      <c r="F64" s="5" t="n"/>
      <c r="G64" s="4">
        <f>IF(B64="","",IF(AND(E64&gt;=$M$7,F64&gt;=$M$8),"S",IF(AND(E64&gt;=$M$5,F64&gt;=$M$6),"A",IF(E64&gt;=$M$4,"B","Допса"))))</f>
        <v/>
      </c>
      <c r="H64" s="5" t="n"/>
      <c r="I64" s="5" t="n"/>
      <c r="J64" s="5" t="n"/>
      <c r="K64" s="5" t="n"/>
    </row>
    <row r="65">
      <c r="A65" s="4" t="inlineStr">
        <is>
          <t>Немат</t>
        </is>
      </c>
      <c r="B65" s="4" t="inlineStr">
        <is>
          <t>Студент3.2</t>
        </is>
      </c>
      <c r="C65" s="4" t="inlineStr"/>
      <c r="D65" s="5" t="inlineStr">
        <is>
          <t>Да</t>
        </is>
      </c>
      <c r="E65" s="5">
        <f>IF(B65="","",SUMIF('Логи'!$C$7:$C$3006,B65,'Логи'!$H$7:$H$3006))</f>
        <v/>
      </c>
      <c r="F65" s="5" t="n"/>
      <c r="G65" s="4">
        <f>IF(B65="","",IF(AND(E65&gt;=$M$7,F65&gt;=$M$8),"S",IF(AND(E65&gt;=$M$5,F65&gt;=$M$6),"A",IF(E65&gt;=$M$4,"B","Допса"))))</f>
        <v/>
      </c>
      <c r="H65" s="5" t="n"/>
      <c r="I65" s="5" t="n"/>
      <c r="J65" s="5" t="n"/>
      <c r="K65" s="5" t="n"/>
    </row>
    <row r="66">
      <c r="A66" s="4" t="inlineStr">
        <is>
          <t>Немат</t>
        </is>
      </c>
      <c r="B66" s="4" t="inlineStr">
        <is>
          <t>Студент3.3</t>
        </is>
      </c>
      <c r="C66" s="4" t="inlineStr"/>
      <c r="D66" s="5" t="inlineStr">
        <is>
          <t>Да</t>
        </is>
      </c>
      <c r="E66" s="5">
        <f>IF(B66="","",SUMIF('Логи'!$C$7:$C$3006,B66,'Логи'!$H$7:$H$3006))</f>
        <v/>
      </c>
      <c r="F66" s="5" t="n"/>
      <c r="G66" s="4">
        <f>IF(B66="","",IF(AND(E66&gt;=$M$7,F66&gt;=$M$8),"S",IF(AND(E66&gt;=$M$5,F66&gt;=$M$6),"A",IF(E66&gt;=$M$4,"B","Допса"))))</f>
        <v/>
      </c>
      <c r="H66" s="5" t="n"/>
      <c r="I66" s="5" t="n"/>
      <c r="J66" s="5" t="n"/>
      <c r="K66" s="5" t="n"/>
    </row>
    <row r="67">
      <c r="A67" s="4" t="inlineStr">
        <is>
          <t>Немат</t>
        </is>
      </c>
      <c r="B67" s="4" t="inlineStr">
        <is>
          <t>Студент3.4</t>
        </is>
      </c>
      <c r="C67" s="4" t="inlineStr"/>
      <c r="D67" s="5" t="inlineStr">
        <is>
          <t>Да</t>
        </is>
      </c>
      <c r="E67" s="5">
        <f>IF(B67="","",SUMIF('Логи'!$C$7:$C$3006,B67,'Логи'!$H$7:$H$3006))</f>
        <v/>
      </c>
      <c r="F67" s="5" t="n"/>
      <c r="G67" s="4">
        <f>IF(B67="","",IF(AND(E67&gt;=$M$7,F67&gt;=$M$8),"S",IF(AND(E67&gt;=$M$5,F67&gt;=$M$6),"A",IF(E67&gt;=$M$4,"B","Допса"))))</f>
        <v/>
      </c>
      <c r="H67" s="5" t="n"/>
      <c r="I67" s="5" t="n"/>
      <c r="J67" s="5" t="n"/>
      <c r="K67" s="5" t="n"/>
    </row>
    <row r="68">
      <c r="A68" s="4" t="inlineStr">
        <is>
          <t>Немат</t>
        </is>
      </c>
      <c r="B68" s="4" t="inlineStr">
        <is>
          <t>Студент3.5</t>
        </is>
      </c>
      <c r="C68" s="4" t="inlineStr"/>
      <c r="D68" s="5" t="inlineStr">
        <is>
          <t>Да</t>
        </is>
      </c>
      <c r="E68" s="5">
        <f>IF(B68="","",SUMIF('Логи'!$C$7:$C$3006,B68,'Логи'!$H$7:$H$3006))</f>
        <v/>
      </c>
      <c r="F68" s="5" t="n"/>
      <c r="G68" s="4">
        <f>IF(B68="","",IF(AND(E68&gt;=$M$7,F68&gt;=$M$8),"S",IF(AND(E68&gt;=$M$5,F68&gt;=$M$6),"A",IF(E68&gt;=$M$4,"B","Допса"))))</f>
        <v/>
      </c>
      <c r="H68" s="5" t="n"/>
      <c r="I68" s="5" t="n"/>
      <c r="J68" s="5" t="n"/>
      <c r="K68" s="5" t="n"/>
    </row>
    <row r="69">
      <c r="A69" s="4" t="inlineStr">
        <is>
          <t>Немат</t>
        </is>
      </c>
      <c r="B69" s="4" t="inlineStr">
        <is>
          <t>Студент3.6</t>
        </is>
      </c>
      <c r="C69" s="4" t="inlineStr"/>
      <c r="D69" s="5" t="inlineStr">
        <is>
          <t>Да</t>
        </is>
      </c>
      <c r="E69" s="5">
        <f>IF(B69="","",SUMIF('Логи'!$C$7:$C$3006,B69,'Логи'!$H$7:$H$3006))</f>
        <v/>
      </c>
      <c r="F69" s="5" t="n"/>
      <c r="G69" s="4">
        <f>IF(B69="","",IF(AND(E69&gt;=$M$7,F69&gt;=$M$8),"S",IF(AND(E69&gt;=$M$5,F69&gt;=$M$6),"A",IF(E69&gt;=$M$4,"B","Допса"))))</f>
        <v/>
      </c>
      <c r="H69" s="5" t="n"/>
      <c r="I69" s="5" t="n"/>
      <c r="J69" s="5" t="n"/>
      <c r="K69" s="5" t="n"/>
    </row>
    <row r="70">
      <c r="A70" s="4" t="inlineStr">
        <is>
          <t>Немат</t>
        </is>
      </c>
      <c r="B70" s="4" t="inlineStr">
        <is>
          <t>Студент3.7</t>
        </is>
      </c>
      <c r="C70" s="4" t="inlineStr"/>
      <c r="D70" s="5" t="inlineStr">
        <is>
          <t>Да</t>
        </is>
      </c>
      <c r="E70" s="5">
        <f>IF(B70="","",SUMIF('Логи'!$C$7:$C$3006,B70,'Логи'!$H$7:$H$3006))</f>
        <v/>
      </c>
      <c r="F70" s="5" t="n"/>
      <c r="G70" s="4">
        <f>IF(B70="","",IF(AND(E70&gt;=$M$7,F70&gt;=$M$8),"S",IF(AND(E70&gt;=$M$5,F70&gt;=$M$6),"A",IF(E70&gt;=$M$4,"B","Допса"))))</f>
        <v/>
      </c>
      <c r="H70" s="5" t="n"/>
      <c r="I70" s="5" t="n"/>
      <c r="J70" s="5" t="n"/>
      <c r="K70" s="5" t="n"/>
    </row>
    <row r="71">
      <c r="A71" s="4" t="inlineStr">
        <is>
          <t>Немат</t>
        </is>
      </c>
      <c r="B71" s="4" t="inlineStr">
        <is>
          <t>Студент3.8</t>
        </is>
      </c>
      <c r="C71" s="4" t="inlineStr"/>
      <c r="D71" s="5" t="inlineStr">
        <is>
          <t>Да</t>
        </is>
      </c>
      <c r="E71" s="5">
        <f>IF(B71="","",SUMIF('Логи'!$C$7:$C$3006,B71,'Логи'!$H$7:$H$3006))</f>
        <v/>
      </c>
      <c r="F71" s="5" t="n"/>
      <c r="G71" s="4">
        <f>IF(B71="","",IF(AND(E71&gt;=$M$7,F71&gt;=$M$8),"S",IF(AND(E71&gt;=$M$5,F71&gt;=$M$6),"A",IF(E71&gt;=$M$4,"B","Допса"))))</f>
        <v/>
      </c>
      <c r="H71" s="5" t="n"/>
      <c r="I71" s="5" t="n"/>
      <c r="J71" s="5" t="n"/>
      <c r="K71" s="5" t="n"/>
    </row>
    <row r="72">
      <c r="A72" s="4" t="inlineStr">
        <is>
          <t>Немат</t>
        </is>
      </c>
      <c r="B72" s="4" t="inlineStr">
        <is>
          <t>Студент3.9</t>
        </is>
      </c>
      <c r="C72" s="4" t="inlineStr"/>
      <c r="D72" s="5" t="inlineStr">
        <is>
          <t>Да</t>
        </is>
      </c>
      <c r="E72" s="5">
        <f>IF(B72="","",SUMIF('Логи'!$C$7:$C$3006,B72,'Логи'!$H$7:$H$3006))</f>
        <v/>
      </c>
      <c r="F72" s="5" t="n"/>
      <c r="G72" s="4">
        <f>IF(B72="","",IF(AND(E72&gt;=$M$7,F72&gt;=$M$8),"S",IF(AND(E72&gt;=$M$5,F72&gt;=$M$6),"A",IF(E72&gt;=$M$4,"B","Допса"))))</f>
        <v/>
      </c>
      <c r="H72" s="5" t="n"/>
      <c r="I72" s="5" t="n"/>
      <c r="J72" s="5" t="n"/>
      <c r="K72" s="5" t="n"/>
    </row>
    <row r="73">
      <c r="A73" s="4" t="inlineStr">
        <is>
          <t>Немат</t>
        </is>
      </c>
      <c r="B73" s="4" t="inlineStr">
        <is>
          <t>Студент3.10</t>
        </is>
      </c>
      <c r="C73" s="4" t="inlineStr"/>
      <c r="D73" s="5" t="inlineStr">
        <is>
          <t>Да</t>
        </is>
      </c>
      <c r="E73" s="5">
        <f>IF(B73="","",SUMIF('Логи'!$C$7:$C$3006,B73,'Логи'!$H$7:$H$3006))</f>
        <v/>
      </c>
      <c r="F73" s="5" t="n"/>
      <c r="G73" s="4">
        <f>IF(B73="","",IF(AND(E73&gt;=$M$7,F73&gt;=$M$8),"S",IF(AND(E73&gt;=$M$5,F73&gt;=$M$6),"A",IF(E73&gt;=$M$4,"B","Допса"))))</f>
        <v/>
      </c>
      <c r="H73" s="5" t="n"/>
      <c r="I73" s="5" t="n"/>
      <c r="J73" s="5" t="n"/>
      <c r="K73" s="5" t="n"/>
    </row>
    <row r="74">
      <c r="A74" s="4" t="inlineStr">
        <is>
          <t>Немат</t>
        </is>
      </c>
      <c r="B74" s="4" t="inlineStr">
        <is>
          <t>Студент3.11</t>
        </is>
      </c>
      <c r="C74" s="4" t="inlineStr"/>
      <c r="D74" s="5" t="inlineStr">
        <is>
          <t>Да</t>
        </is>
      </c>
      <c r="E74" s="5">
        <f>IF(B74="","",SUMIF('Логи'!$C$7:$C$3006,B74,'Логи'!$H$7:$H$3006))</f>
        <v/>
      </c>
      <c r="F74" s="5" t="n"/>
      <c r="G74" s="4">
        <f>IF(B74="","",IF(AND(E74&gt;=$M$7,F74&gt;=$M$8),"S",IF(AND(E74&gt;=$M$5,F74&gt;=$M$6),"A",IF(E74&gt;=$M$4,"B","Допса"))))</f>
        <v/>
      </c>
      <c r="H74" s="5" t="n"/>
      <c r="I74" s="5" t="n"/>
      <c r="J74" s="5" t="n"/>
      <c r="K74" s="5" t="n"/>
    </row>
    <row r="75">
      <c r="A75" s="4" t="inlineStr">
        <is>
          <t>Немат</t>
        </is>
      </c>
      <c r="B75" s="4" t="inlineStr">
        <is>
          <t>Студент3.12</t>
        </is>
      </c>
      <c r="C75" s="4" t="inlineStr"/>
      <c r="D75" s="5" t="inlineStr">
        <is>
          <t>Да</t>
        </is>
      </c>
      <c r="E75" s="5">
        <f>IF(B75="","",SUMIF('Логи'!$C$7:$C$3006,B75,'Логи'!$H$7:$H$3006))</f>
        <v/>
      </c>
      <c r="F75" s="5" t="n"/>
      <c r="G75" s="4">
        <f>IF(B75="","",IF(AND(E75&gt;=$M$7,F75&gt;=$M$8),"S",IF(AND(E75&gt;=$M$5,F75&gt;=$M$6),"A",IF(E75&gt;=$M$4,"B","Допса"))))</f>
        <v/>
      </c>
      <c r="H75" s="5" t="n"/>
      <c r="I75" s="5" t="n"/>
      <c r="J75" s="5" t="n"/>
      <c r="K75" s="5" t="n"/>
    </row>
    <row r="76">
      <c r="A76" s="4" t="inlineStr">
        <is>
          <t>Немат</t>
        </is>
      </c>
      <c r="B76" s="4" t="inlineStr">
        <is>
          <t>Студент3.13</t>
        </is>
      </c>
      <c r="C76" s="4" t="inlineStr"/>
      <c r="D76" s="5" t="inlineStr">
        <is>
          <t>Да</t>
        </is>
      </c>
      <c r="E76" s="5">
        <f>IF(B76="","",SUMIF('Логи'!$C$7:$C$3006,B76,'Логи'!$H$7:$H$3006))</f>
        <v/>
      </c>
      <c r="F76" s="5" t="n"/>
      <c r="G76" s="4">
        <f>IF(B76="","",IF(AND(E76&gt;=$M$7,F76&gt;=$M$8),"S",IF(AND(E76&gt;=$M$5,F76&gt;=$M$6),"A",IF(E76&gt;=$M$4,"B","Допса"))))</f>
        <v/>
      </c>
      <c r="H76" s="5" t="n"/>
      <c r="I76" s="5" t="n"/>
      <c r="J76" s="5" t="n"/>
      <c r="K76" s="5" t="n"/>
    </row>
    <row r="77">
      <c r="A77" s="4" t="inlineStr">
        <is>
          <t>Немат</t>
        </is>
      </c>
      <c r="B77" s="4" t="inlineStr">
        <is>
          <t>Студент3.14</t>
        </is>
      </c>
      <c r="C77" s="4" t="inlineStr"/>
      <c r="D77" s="5" t="inlineStr">
        <is>
          <t>Да</t>
        </is>
      </c>
      <c r="E77" s="5">
        <f>IF(B77="","",SUMIF('Логи'!$C$7:$C$3006,B77,'Логи'!$H$7:$H$3006))</f>
        <v/>
      </c>
      <c r="F77" s="5" t="n"/>
      <c r="G77" s="4">
        <f>IF(B77="","",IF(AND(E77&gt;=$M$7,F77&gt;=$M$8),"S",IF(AND(E77&gt;=$M$5,F77&gt;=$M$6),"A",IF(E77&gt;=$M$4,"B","Допса"))))</f>
        <v/>
      </c>
      <c r="H77" s="5" t="n"/>
      <c r="I77" s="5" t="n"/>
      <c r="J77" s="5" t="n"/>
      <c r="K77" s="5" t="n"/>
    </row>
    <row r="78">
      <c r="A78" s="4" t="inlineStr">
        <is>
          <t>Немат</t>
        </is>
      </c>
      <c r="B78" s="4" t="inlineStr">
        <is>
          <t>Студент3.15</t>
        </is>
      </c>
      <c r="C78" s="4" t="inlineStr"/>
      <c r="D78" s="5" t="inlineStr">
        <is>
          <t>Да</t>
        </is>
      </c>
      <c r="E78" s="5">
        <f>IF(B78="","",SUMIF('Логи'!$C$7:$C$3006,B78,'Логи'!$H$7:$H$3006))</f>
        <v/>
      </c>
      <c r="F78" s="5" t="n"/>
      <c r="G78" s="4">
        <f>IF(B78="","",IF(AND(E78&gt;=$M$7,F78&gt;=$M$8),"S",IF(AND(E78&gt;=$M$5,F78&gt;=$M$6),"A",IF(E78&gt;=$M$4,"B","Допса"))))</f>
        <v/>
      </c>
      <c r="H78" s="5" t="n"/>
      <c r="I78" s="5" t="n"/>
      <c r="J78" s="5" t="n"/>
      <c r="K78" s="5" t="n"/>
    </row>
    <row r="79">
      <c r="A79" s="4" t="inlineStr">
        <is>
          <t>Немат</t>
        </is>
      </c>
      <c r="B79" s="4" t="inlineStr">
        <is>
          <t>Студент3.16</t>
        </is>
      </c>
      <c r="C79" s="4" t="inlineStr"/>
      <c r="D79" s="5" t="inlineStr">
        <is>
          <t>Да</t>
        </is>
      </c>
      <c r="E79" s="5">
        <f>IF(B79="","",SUMIF('Логи'!$C$7:$C$3006,B79,'Логи'!$H$7:$H$3006))</f>
        <v/>
      </c>
      <c r="F79" s="5" t="n"/>
      <c r="G79" s="4">
        <f>IF(B79="","",IF(AND(E79&gt;=$M$7,F79&gt;=$M$8),"S",IF(AND(E79&gt;=$M$5,F79&gt;=$M$6),"A",IF(E79&gt;=$M$4,"B","Допса"))))</f>
        <v/>
      </c>
      <c r="H79" s="5" t="n"/>
      <c r="I79" s="5" t="n"/>
      <c r="J79" s="5" t="n"/>
      <c r="K79" s="5" t="n"/>
    </row>
    <row r="80">
      <c r="A80" s="4" t="inlineStr">
        <is>
          <t>Немат</t>
        </is>
      </c>
      <c r="B80" s="4" t="inlineStr">
        <is>
          <t>Студент3.17</t>
        </is>
      </c>
      <c r="C80" s="4" t="inlineStr"/>
      <c r="D80" s="5" t="inlineStr">
        <is>
          <t>Да</t>
        </is>
      </c>
      <c r="E80" s="5">
        <f>IF(B80="","",SUMIF('Логи'!$C$7:$C$3006,B80,'Логи'!$H$7:$H$3006))</f>
        <v/>
      </c>
      <c r="F80" s="5" t="n"/>
      <c r="G80" s="4">
        <f>IF(B80="","",IF(AND(E80&gt;=$M$7,F80&gt;=$M$8),"S",IF(AND(E80&gt;=$M$5,F80&gt;=$M$6),"A",IF(E80&gt;=$M$4,"B","Допса"))))</f>
        <v/>
      </c>
      <c r="H80" s="5" t="n"/>
      <c r="I80" s="5" t="n"/>
      <c r="J80" s="5" t="n"/>
      <c r="K80" s="5" t="n"/>
    </row>
    <row r="81">
      <c r="A81" s="4" t="inlineStr">
        <is>
          <t>Немат</t>
        </is>
      </c>
      <c r="B81" s="4" t="inlineStr">
        <is>
          <t>Студент3.18</t>
        </is>
      </c>
      <c r="C81" s="4" t="inlineStr"/>
      <c r="D81" s="5" t="inlineStr">
        <is>
          <t>Да</t>
        </is>
      </c>
      <c r="E81" s="5">
        <f>IF(B81="","",SUMIF('Логи'!$C$7:$C$3006,B81,'Логи'!$H$7:$H$3006))</f>
        <v/>
      </c>
      <c r="F81" s="5" t="n"/>
      <c r="G81" s="4">
        <f>IF(B81="","",IF(AND(E81&gt;=$M$7,F81&gt;=$M$8),"S",IF(AND(E81&gt;=$M$5,F81&gt;=$M$6),"A",IF(E81&gt;=$M$4,"B","Допса"))))</f>
        <v/>
      </c>
      <c r="H81" s="5" t="n"/>
      <c r="I81" s="5" t="n"/>
      <c r="J81" s="5" t="n"/>
      <c r="K81" s="5" t="n"/>
    </row>
    <row r="82">
      <c r="A82" s="4" t="inlineStr">
        <is>
          <t>Немат</t>
        </is>
      </c>
      <c r="B82" s="4" t="inlineStr">
        <is>
          <t>Студент3.19</t>
        </is>
      </c>
      <c r="C82" s="4" t="inlineStr"/>
      <c r="D82" s="5" t="inlineStr">
        <is>
          <t>Да</t>
        </is>
      </c>
      <c r="E82" s="5">
        <f>IF(B82="","",SUMIF('Логи'!$C$7:$C$3006,B82,'Логи'!$H$7:$H$3006))</f>
        <v/>
      </c>
      <c r="F82" s="5" t="n"/>
      <c r="G82" s="4">
        <f>IF(B82="","",IF(AND(E82&gt;=$M$7,F82&gt;=$M$8),"S",IF(AND(E82&gt;=$M$5,F82&gt;=$M$6),"A",IF(E82&gt;=$M$4,"B","Допса"))))</f>
        <v/>
      </c>
      <c r="H82" s="5" t="n"/>
      <c r="I82" s="5" t="n"/>
      <c r="J82" s="5" t="n"/>
      <c r="K82" s="5" t="n"/>
    </row>
    <row r="83">
      <c r="A83" s="4" t="inlineStr">
        <is>
          <t>Немат</t>
        </is>
      </c>
      <c r="B83" s="4" t="inlineStr">
        <is>
          <t>Студент3.20</t>
        </is>
      </c>
      <c r="C83" s="4" t="inlineStr"/>
      <c r="D83" s="5" t="inlineStr">
        <is>
          <t>Да</t>
        </is>
      </c>
      <c r="E83" s="5">
        <f>IF(B83="","",SUMIF('Логи'!$C$7:$C$3006,B83,'Логи'!$H$7:$H$3006))</f>
        <v/>
      </c>
      <c r="F83" s="5" t="n"/>
      <c r="G83" s="4">
        <f>IF(B83="","",IF(AND(E83&gt;=$M$7,F83&gt;=$M$8),"S",IF(AND(E83&gt;=$M$5,F83&gt;=$M$6),"A",IF(E83&gt;=$M$4,"B","Допса"))))</f>
        <v/>
      </c>
      <c r="H83" s="5" t="n"/>
      <c r="I83" s="5" t="n"/>
      <c r="J83" s="5" t="n"/>
      <c r="K83" s="5" t="n"/>
    </row>
    <row r="84">
      <c r="A84" s="4" t="inlineStr">
        <is>
          <t>Немат</t>
        </is>
      </c>
      <c r="B84" s="4" t="inlineStr">
        <is>
          <t>Студент3.21</t>
        </is>
      </c>
      <c r="C84" s="4" t="inlineStr"/>
      <c r="D84" s="5" t="inlineStr">
        <is>
          <t>Да</t>
        </is>
      </c>
      <c r="E84" s="5">
        <f>IF(B84="","",SUMIF('Логи'!$C$7:$C$3006,B84,'Логи'!$H$7:$H$3006))</f>
        <v/>
      </c>
      <c r="F84" s="5" t="n"/>
      <c r="G84" s="4">
        <f>IF(B84="","",IF(AND(E84&gt;=$M$7,F84&gt;=$M$8),"S",IF(AND(E84&gt;=$M$5,F84&gt;=$M$6),"A",IF(E84&gt;=$M$4,"B","Допса"))))</f>
        <v/>
      </c>
      <c r="H84" s="5" t="n"/>
      <c r="I84" s="5" t="n"/>
      <c r="J84" s="5" t="n"/>
      <c r="K84" s="5" t="n"/>
    </row>
    <row r="85">
      <c r="A85" s="4" t="inlineStr">
        <is>
          <t>Немат</t>
        </is>
      </c>
      <c r="B85" s="4" t="inlineStr">
        <is>
          <t>Студент3.22</t>
        </is>
      </c>
      <c r="C85" s="4" t="inlineStr"/>
      <c r="D85" s="5" t="inlineStr">
        <is>
          <t>Да</t>
        </is>
      </c>
      <c r="E85" s="5">
        <f>IF(B85="","",SUMIF('Логи'!$C$7:$C$3006,B85,'Логи'!$H$7:$H$3006))</f>
        <v/>
      </c>
      <c r="F85" s="5" t="n"/>
      <c r="G85" s="4">
        <f>IF(B85="","",IF(AND(E85&gt;=$M$7,F85&gt;=$M$8),"S",IF(AND(E85&gt;=$M$5,F85&gt;=$M$6),"A",IF(E85&gt;=$M$4,"B","Допса"))))</f>
        <v/>
      </c>
      <c r="H85" s="5" t="n"/>
      <c r="I85" s="5" t="n"/>
      <c r="J85" s="5" t="n"/>
      <c r="K85" s="5" t="n"/>
    </row>
    <row r="86">
      <c r="A86" s="4" t="inlineStr">
        <is>
          <t>Немат</t>
        </is>
      </c>
      <c r="B86" s="4" t="inlineStr">
        <is>
          <t>Студент3.23</t>
        </is>
      </c>
      <c r="C86" s="4" t="inlineStr"/>
      <c r="D86" s="5" t="inlineStr">
        <is>
          <t>Да</t>
        </is>
      </c>
      <c r="E86" s="5">
        <f>IF(B86="","",SUMIF('Логи'!$C$7:$C$3006,B86,'Логи'!$H$7:$H$3006))</f>
        <v/>
      </c>
      <c r="F86" s="5" t="n"/>
      <c r="G86" s="4">
        <f>IF(B86="","",IF(AND(E86&gt;=$M$7,F86&gt;=$M$8),"S",IF(AND(E86&gt;=$M$5,F86&gt;=$M$6),"A",IF(E86&gt;=$M$4,"B","Допса"))))</f>
        <v/>
      </c>
      <c r="H86" s="5" t="n"/>
      <c r="I86" s="5" t="n"/>
      <c r="J86" s="5" t="n"/>
      <c r="K86" s="5" t="n"/>
    </row>
    <row r="87">
      <c r="A87" s="4" t="inlineStr">
        <is>
          <t>Немат</t>
        </is>
      </c>
      <c r="B87" s="4" t="inlineStr">
        <is>
          <t>Студент3.24</t>
        </is>
      </c>
      <c r="C87" s="4" t="inlineStr"/>
      <c r="D87" s="5" t="inlineStr">
        <is>
          <t>Да</t>
        </is>
      </c>
      <c r="E87" s="5">
        <f>IF(B87="","",SUMIF('Логи'!$C$7:$C$3006,B87,'Логи'!$H$7:$H$3006))</f>
        <v/>
      </c>
      <c r="F87" s="5" t="n"/>
      <c r="G87" s="4">
        <f>IF(B87="","",IF(AND(E87&gt;=$M$7,F87&gt;=$M$8),"S",IF(AND(E87&gt;=$M$5,F87&gt;=$M$6),"A",IF(E87&gt;=$M$4,"B","Допса"))))</f>
        <v/>
      </c>
      <c r="H87" s="5" t="n"/>
      <c r="I87" s="5" t="n"/>
      <c r="J87" s="5" t="n"/>
      <c r="K87" s="5" t="n"/>
    </row>
    <row r="88">
      <c r="A88" s="4" t="inlineStr">
        <is>
          <t>Немат</t>
        </is>
      </c>
      <c r="B88" s="4" t="inlineStr">
        <is>
          <t>Студент3.25</t>
        </is>
      </c>
      <c r="C88" s="4" t="inlineStr"/>
      <c r="D88" s="5" t="inlineStr">
        <is>
          <t>Да</t>
        </is>
      </c>
      <c r="E88" s="5">
        <f>IF(B88="","",SUMIF('Логи'!$C$7:$C$3006,B88,'Логи'!$H$7:$H$3006))</f>
        <v/>
      </c>
      <c r="F88" s="5" t="n"/>
      <c r="G88" s="4">
        <f>IF(B88="","",IF(AND(E88&gt;=$M$7,F88&gt;=$M$8),"S",IF(AND(E88&gt;=$M$5,F88&gt;=$M$6),"A",IF(E88&gt;=$M$4,"B","Допса"))))</f>
        <v/>
      </c>
      <c r="H88" s="5" t="n"/>
      <c r="I88" s="5" t="n"/>
      <c r="J88" s="5" t="n"/>
      <c r="K88" s="5" t="n"/>
    </row>
    <row r="89">
      <c r="A89" s="4" t="inlineStr">
        <is>
          <t>Немат</t>
        </is>
      </c>
      <c r="B89" s="4" t="inlineStr">
        <is>
          <t>Студент3.26</t>
        </is>
      </c>
      <c r="C89" s="4" t="inlineStr"/>
      <c r="D89" s="5" t="inlineStr">
        <is>
          <t>Да</t>
        </is>
      </c>
      <c r="E89" s="5">
        <f>IF(B89="","",SUMIF('Логи'!$C$7:$C$3006,B89,'Логи'!$H$7:$H$3006))</f>
        <v/>
      </c>
      <c r="F89" s="5" t="n"/>
      <c r="G89" s="4">
        <f>IF(B89="","",IF(AND(E89&gt;=$M$7,F89&gt;=$M$8),"S",IF(AND(E89&gt;=$M$5,F89&gt;=$M$6),"A",IF(E89&gt;=$M$4,"B","Допса"))))</f>
        <v/>
      </c>
      <c r="H89" s="5" t="n"/>
      <c r="I89" s="5" t="n"/>
      <c r="J89" s="5" t="n"/>
      <c r="K89" s="5" t="n"/>
    </row>
    <row r="90">
      <c r="A90" s="4" t="inlineStr">
        <is>
          <t>Немат</t>
        </is>
      </c>
      <c r="B90" s="4" t="inlineStr">
        <is>
          <t>Студент3.27</t>
        </is>
      </c>
      <c r="C90" s="4" t="inlineStr"/>
      <c r="D90" s="5" t="inlineStr">
        <is>
          <t>Да</t>
        </is>
      </c>
      <c r="E90" s="5">
        <f>IF(B90="","",SUMIF('Логи'!$C$7:$C$3006,B90,'Логи'!$H$7:$H$3006))</f>
        <v/>
      </c>
      <c r="F90" s="5" t="n"/>
      <c r="G90" s="4">
        <f>IF(B90="","",IF(AND(E90&gt;=$M$7,F90&gt;=$M$8),"S",IF(AND(E90&gt;=$M$5,F90&gt;=$M$6),"A",IF(E90&gt;=$M$4,"B","Допса"))))</f>
        <v/>
      </c>
      <c r="H90" s="5" t="n"/>
      <c r="I90" s="5" t="n"/>
      <c r="J90" s="5" t="n"/>
      <c r="K90" s="5" t="n"/>
    </row>
    <row r="91">
      <c r="A91" s="4" t="inlineStr">
        <is>
          <t>Немат</t>
        </is>
      </c>
      <c r="B91" s="4" t="inlineStr">
        <is>
          <t>Студент3.28</t>
        </is>
      </c>
      <c r="C91" s="4" t="inlineStr"/>
      <c r="D91" s="5" t="inlineStr">
        <is>
          <t>Да</t>
        </is>
      </c>
      <c r="E91" s="5">
        <f>IF(B91="","",SUMIF('Логи'!$C$7:$C$3006,B91,'Логи'!$H$7:$H$3006))</f>
        <v/>
      </c>
      <c r="F91" s="5" t="n"/>
      <c r="G91" s="4">
        <f>IF(B91="","",IF(AND(E91&gt;=$M$7,F91&gt;=$M$8),"S",IF(AND(E91&gt;=$M$5,F91&gt;=$M$6),"A",IF(E91&gt;=$M$4,"B","Допса"))))</f>
        <v/>
      </c>
      <c r="H91" s="5" t="n"/>
      <c r="I91" s="5" t="n"/>
      <c r="J91" s="5" t="n"/>
      <c r="K91" s="5" t="n"/>
    </row>
    <row r="92">
      <c r="A92" s="4" t="inlineStr">
        <is>
          <t>Немат</t>
        </is>
      </c>
      <c r="B92" s="4" t="inlineStr">
        <is>
          <t>Студент3.29</t>
        </is>
      </c>
      <c r="C92" s="4" t="inlineStr"/>
      <c r="D92" s="5" t="inlineStr">
        <is>
          <t>Да</t>
        </is>
      </c>
      <c r="E92" s="5">
        <f>IF(B92="","",SUMIF('Логи'!$C$7:$C$3006,B92,'Логи'!$H$7:$H$3006))</f>
        <v/>
      </c>
      <c r="F92" s="5" t="n"/>
      <c r="G92" s="4">
        <f>IF(B92="","",IF(AND(E92&gt;=$M$7,F92&gt;=$M$8),"S",IF(AND(E92&gt;=$M$5,F92&gt;=$M$6),"A",IF(E92&gt;=$M$4,"B","Допса"))))</f>
        <v/>
      </c>
      <c r="H92" s="5" t="n"/>
      <c r="I92" s="5" t="n"/>
      <c r="J92" s="5" t="n"/>
      <c r="K92" s="5" t="n"/>
    </row>
    <row r="93">
      <c r="A93" s="4" t="inlineStr">
        <is>
          <t>Немат</t>
        </is>
      </c>
      <c r="B93" s="4" t="inlineStr">
        <is>
          <t>Студент3.30</t>
        </is>
      </c>
      <c r="C93" s="4" t="inlineStr"/>
      <c r="D93" s="5" t="inlineStr">
        <is>
          <t>Да</t>
        </is>
      </c>
      <c r="E93" s="5">
        <f>IF(B93="","",SUMIF('Логи'!$C$7:$C$3006,B93,'Логи'!$H$7:$H$3006))</f>
        <v/>
      </c>
      <c r="F93" s="5" t="n"/>
      <c r="G93" s="4">
        <f>IF(B93="","",IF(AND(E93&gt;=$M$7,F93&gt;=$M$8),"S",IF(AND(E93&gt;=$M$5,F93&gt;=$M$6),"A",IF(E93&gt;=$M$4,"B","Допса"))))</f>
        <v/>
      </c>
      <c r="H93" s="5" t="n"/>
      <c r="I93" s="5" t="n"/>
      <c r="J93" s="5" t="n"/>
      <c r="K93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CEF"/>
  <autoFilter ref="A3:K93"/>
  <mergeCells count="2">
    <mergeCell ref="A2:M2"/>
    <mergeCell ref="A1:M1"/>
  </mergeCells>
  <dataValidations count="2">
    <dataValidation sqref="D4:D93" showDropDown="0" showInputMessage="0" showErrorMessage="1" allowBlank="1" errorTitle="Недопустимое значение" error="Выберите статус студента: Да или Нет" type="list" errorStyle="stop">
      <formula1>"Да,Нет"</formula1>
    </dataValidation>
    <dataValidation sqref="H4:H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2" customWidth="1" min="10" max="10"/>
    <col width="22" customWidth="1" min="11" max="11"/>
  </cols>
  <sheetData>
    <row r="1">
      <c r="A1" s="6" t="inlineStr">
        <is>
          <t>КР-1</t>
        </is>
      </c>
      <c r="K1" s="7" t="inlineStr">
        <is>
          <t>CW</t>
        </is>
      </c>
    </row>
    <row r="2">
      <c r="D2" t="inlineStr">
        <is>
          <t>W</t>
        </is>
      </c>
      <c r="E2" t="n">
        <v>0.5</v>
      </c>
      <c r="F2" t="n">
        <v>0.5</v>
      </c>
      <c r="G2" t="n">
        <v>1</v>
      </c>
      <c r="H2" t="n">
        <v>1</v>
      </c>
      <c r="I2" t="n">
        <v>2</v>
      </c>
      <c r="K2" s="8" t="inlineStr">
        <is>
          <t>Попытка — номер текущей сдачи</t>
        </is>
      </c>
    </row>
    <row r="3" ht="28" customHeight="1">
      <c r="A3" s="9" t="inlineStr">
        <is>
          <t>Имя</t>
        </is>
      </c>
      <c r="B3" s="10" t="inlineStr">
        <is>
          <t>Попытка</t>
        </is>
      </c>
      <c r="C3" s="11" t="inlineStr">
        <is>
          <t>TG</t>
        </is>
      </c>
      <c r="D3" s="12" t="inlineStr">
        <is>
          <t>S</t>
        </is>
      </c>
      <c r="E3" s="13" t="n">
        <v>1</v>
      </c>
      <c r="F3" s="13" t="n">
        <v>2</v>
      </c>
      <c r="G3" s="13" t="n">
        <v>3</v>
      </c>
      <c r="H3" s="13" t="n">
        <v>4</v>
      </c>
      <c r="I3" s="13" t="n">
        <v>5</v>
      </c>
      <c r="J3" s="3" t="n"/>
      <c r="K3" s="3" t="n"/>
    </row>
    <row r="4">
      <c r="A4" s="4" t="inlineStr">
        <is>
          <t>Студент1.1</t>
        </is>
      </c>
      <c r="B4" s="14" t="n"/>
      <c r="C4" s="4" t="inlineStr"/>
      <c r="D4" s="4">
        <f>IF(A4="","",SUMPRODUCT(E4:I4,E$2:I$2))</f>
        <v/>
      </c>
      <c r="E4" s="5" t="n"/>
      <c r="F4" s="5" t="n"/>
      <c r="G4" s="5" t="n"/>
      <c r="H4" s="5" t="n"/>
      <c r="I4" s="5" t="n"/>
      <c r="J4" s="4" t="n"/>
      <c r="K4" s="4" t="n"/>
    </row>
    <row r="5">
      <c r="A5" s="4" t="inlineStr">
        <is>
          <t>Студент1.2</t>
        </is>
      </c>
      <c r="B5" s="14" t="n"/>
      <c r="C5" s="4" t="inlineStr"/>
      <c r="D5" s="4">
        <f>IF(A5="","",SUMPRODUCT(E5:I5,E$2:I$2))</f>
        <v/>
      </c>
      <c r="E5" s="5" t="n"/>
      <c r="F5" s="5" t="n"/>
      <c r="G5" s="5" t="n"/>
      <c r="H5" s="5" t="n"/>
      <c r="I5" s="5" t="n"/>
      <c r="J5" s="4" t="n"/>
      <c r="K5" s="4" t="n"/>
    </row>
    <row r="6">
      <c r="A6" s="4" t="inlineStr">
        <is>
          <t>Студент1.3</t>
        </is>
      </c>
      <c r="B6" s="14" t="n"/>
      <c r="C6" s="4" t="inlineStr"/>
      <c r="D6" s="4">
        <f>IF(A6="","",SUMPRODUCT(E6:I6,E$2:I$2))</f>
        <v/>
      </c>
      <c r="E6" s="5" t="n"/>
      <c r="F6" s="5" t="n"/>
      <c r="G6" s="5" t="n"/>
      <c r="H6" s="5" t="n"/>
      <c r="I6" s="5" t="n"/>
      <c r="J6" s="4" t="n"/>
      <c r="K6" s="4" t="n"/>
    </row>
    <row r="7">
      <c r="A7" s="4" t="inlineStr">
        <is>
          <t>Студент1.4</t>
        </is>
      </c>
      <c r="B7" s="14" t="n"/>
      <c r="C7" s="4" t="inlineStr"/>
      <c r="D7" s="4">
        <f>IF(A7="","",SUMPRODUCT(E7:I7,E$2:I$2))</f>
        <v/>
      </c>
      <c r="E7" s="5" t="n"/>
      <c r="F7" s="5" t="n"/>
      <c r="G7" s="5" t="n"/>
      <c r="H7" s="5" t="n"/>
      <c r="I7" s="5" t="n"/>
      <c r="J7" s="4" t="n"/>
      <c r="K7" s="4" t="n"/>
    </row>
    <row r="8">
      <c r="A8" s="4" t="inlineStr">
        <is>
          <t>Студент1.5</t>
        </is>
      </c>
      <c r="B8" s="14" t="n"/>
      <c r="C8" s="4" t="inlineStr"/>
      <c r="D8" s="4">
        <f>IF(A8="","",SUMPRODUCT(E8:I8,E$2:I$2))</f>
        <v/>
      </c>
      <c r="E8" s="5" t="n"/>
      <c r="F8" s="5" t="n"/>
      <c r="G8" s="5" t="n"/>
      <c r="H8" s="5" t="n"/>
      <c r="I8" s="5" t="n"/>
      <c r="J8" s="4" t="n"/>
      <c r="K8" s="4" t="n"/>
    </row>
    <row r="9">
      <c r="A9" s="4" t="inlineStr">
        <is>
          <t>Студент1.6</t>
        </is>
      </c>
      <c r="B9" s="14" t="n"/>
      <c r="C9" s="4" t="inlineStr"/>
      <c r="D9" s="4">
        <f>IF(A9="","",SUMPRODUCT(E9:I9,E$2:I$2))</f>
        <v/>
      </c>
      <c r="E9" s="5" t="n"/>
      <c r="F9" s="5" t="n"/>
      <c r="G9" s="5" t="n"/>
      <c r="H9" s="5" t="n"/>
      <c r="I9" s="5" t="n"/>
      <c r="J9" s="4" t="n"/>
      <c r="K9" s="4" t="n"/>
    </row>
    <row r="10">
      <c r="A10" s="4" t="inlineStr">
        <is>
          <t>Студент1.7</t>
        </is>
      </c>
      <c r="B10" s="14" t="n"/>
      <c r="C10" s="4" t="inlineStr"/>
      <c r="D10" s="4">
        <f>IF(A10="","",SUMPRODUCT(E10:I10,E$2:I$2))</f>
        <v/>
      </c>
      <c r="E10" s="5" t="n"/>
      <c r="F10" s="5" t="n"/>
      <c r="G10" s="5" t="n"/>
      <c r="H10" s="5" t="n"/>
      <c r="I10" s="5" t="n"/>
      <c r="J10" s="4" t="n"/>
      <c r="K10" s="4" t="n"/>
    </row>
    <row r="11">
      <c r="A11" s="4" t="inlineStr">
        <is>
          <t>Студент1.8</t>
        </is>
      </c>
      <c r="B11" s="14" t="n"/>
      <c r="C11" s="4" t="inlineStr"/>
      <c r="D11" s="4">
        <f>IF(A11="","",SUMPRODUCT(E11:I11,E$2:I$2))</f>
        <v/>
      </c>
      <c r="E11" s="5" t="n"/>
      <c r="F11" s="5" t="n"/>
      <c r="G11" s="5" t="n"/>
      <c r="H11" s="5" t="n"/>
      <c r="I11" s="5" t="n"/>
      <c r="J11" s="4" t="n"/>
      <c r="K11" s="4" t="n"/>
    </row>
    <row r="12">
      <c r="A12" s="4" t="inlineStr">
        <is>
          <t>Студент1.9</t>
        </is>
      </c>
      <c r="B12" s="14" t="n"/>
      <c r="C12" s="4" t="inlineStr"/>
      <c r="D12" s="4">
        <f>IF(A12="","",SUMPRODUCT(E12:I12,E$2:I$2))</f>
        <v/>
      </c>
      <c r="E12" s="5" t="n"/>
      <c r="F12" s="5" t="n"/>
      <c r="G12" s="5" t="n"/>
      <c r="H12" s="5" t="n"/>
      <c r="I12" s="5" t="n"/>
      <c r="J12" s="4" t="n"/>
      <c r="K12" s="4" t="n"/>
    </row>
    <row r="13">
      <c r="A13" s="4" t="inlineStr">
        <is>
          <t>Студент1.10</t>
        </is>
      </c>
      <c r="B13" s="14" t="n"/>
      <c r="C13" s="4" t="inlineStr"/>
      <c r="D13" s="4">
        <f>IF(A13="","",SUMPRODUCT(E13:I13,E$2:I$2))</f>
        <v/>
      </c>
      <c r="E13" s="5" t="n"/>
      <c r="F13" s="5" t="n"/>
      <c r="G13" s="5" t="n"/>
      <c r="H13" s="5" t="n"/>
      <c r="I13" s="5" t="n"/>
      <c r="J13" s="4" t="n"/>
      <c r="K13" s="4" t="n"/>
    </row>
    <row r="14">
      <c r="A14" s="4" t="inlineStr">
        <is>
          <t>Студент1.11</t>
        </is>
      </c>
      <c r="B14" s="14" t="n"/>
      <c r="C14" s="4" t="inlineStr"/>
      <c r="D14" s="4">
        <f>IF(A14="","",SUMPRODUCT(E14:I14,E$2:I$2))</f>
        <v/>
      </c>
      <c r="E14" s="5" t="n"/>
      <c r="F14" s="5" t="n"/>
      <c r="G14" s="5" t="n"/>
      <c r="H14" s="5" t="n"/>
      <c r="I14" s="5" t="n"/>
      <c r="J14" s="4" t="n"/>
      <c r="K14" s="4" t="n"/>
    </row>
    <row r="15">
      <c r="A15" s="4" t="inlineStr">
        <is>
          <t>Студент1.12</t>
        </is>
      </c>
      <c r="B15" s="14" t="n"/>
      <c r="C15" s="4" t="inlineStr"/>
      <c r="D15" s="4">
        <f>IF(A15="","",SUMPRODUCT(E15:I15,E$2:I$2))</f>
        <v/>
      </c>
      <c r="E15" s="5" t="n"/>
      <c r="F15" s="5" t="n"/>
      <c r="G15" s="5" t="n"/>
      <c r="H15" s="5" t="n"/>
      <c r="I15" s="5" t="n"/>
      <c r="J15" s="4" t="n"/>
      <c r="K15" s="4" t="n"/>
    </row>
    <row r="16">
      <c r="A16" s="4" t="inlineStr">
        <is>
          <t>Студент1.13</t>
        </is>
      </c>
      <c r="B16" s="14" t="n"/>
      <c r="C16" s="4" t="inlineStr"/>
      <c r="D16" s="4">
        <f>IF(A16="","",SUMPRODUCT(E16:I16,E$2:I$2))</f>
        <v/>
      </c>
      <c r="E16" s="5" t="n"/>
      <c r="F16" s="5" t="n"/>
      <c r="G16" s="5" t="n"/>
      <c r="H16" s="5" t="n"/>
      <c r="I16" s="5" t="n"/>
      <c r="J16" s="4" t="n"/>
      <c r="K16" s="4" t="n"/>
    </row>
    <row r="17">
      <c r="A17" s="4" t="inlineStr">
        <is>
          <t>Студент1.14</t>
        </is>
      </c>
      <c r="B17" s="14" t="n"/>
      <c r="C17" s="4" t="inlineStr"/>
      <c r="D17" s="4">
        <f>IF(A17="","",SUMPRODUCT(E17:I17,E$2:I$2))</f>
        <v/>
      </c>
      <c r="E17" s="5" t="n"/>
      <c r="F17" s="5" t="n"/>
      <c r="G17" s="5" t="n"/>
      <c r="H17" s="5" t="n"/>
      <c r="I17" s="5" t="n"/>
      <c r="J17" s="4" t="n"/>
      <c r="K17" s="4" t="n"/>
    </row>
    <row r="18">
      <c r="A18" s="4" t="inlineStr">
        <is>
          <t>Студент1.15</t>
        </is>
      </c>
      <c r="B18" s="14" t="n"/>
      <c r="C18" s="4" t="inlineStr"/>
      <c r="D18" s="4">
        <f>IF(A18="","",SUMPRODUCT(E18:I18,E$2:I$2))</f>
        <v/>
      </c>
      <c r="E18" s="5" t="n"/>
      <c r="F18" s="5" t="n"/>
      <c r="G18" s="5" t="n"/>
      <c r="H18" s="5" t="n"/>
      <c r="I18" s="5" t="n"/>
      <c r="J18" s="4" t="n"/>
      <c r="K18" s="4" t="n"/>
    </row>
    <row r="19">
      <c r="A19" s="4" t="inlineStr">
        <is>
          <t>Студент1.16</t>
        </is>
      </c>
      <c r="B19" s="14" t="n"/>
      <c r="C19" s="4" t="inlineStr"/>
      <c r="D19" s="4">
        <f>IF(A19="","",SUMPRODUCT(E19:I19,E$2:I$2))</f>
        <v/>
      </c>
      <c r="E19" s="5" t="n"/>
      <c r="F19" s="5" t="n"/>
      <c r="G19" s="5" t="n"/>
      <c r="H19" s="5" t="n"/>
      <c r="I19" s="5" t="n"/>
      <c r="J19" s="4" t="n"/>
      <c r="K19" s="4" t="n"/>
    </row>
    <row r="20">
      <c r="A20" s="4" t="inlineStr">
        <is>
          <t>Студент1.17</t>
        </is>
      </c>
      <c r="B20" s="14" t="n"/>
      <c r="C20" s="4" t="inlineStr"/>
      <c r="D20" s="4">
        <f>IF(A20="","",SUMPRODUCT(E20:I20,E$2:I$2))</f>
        <v/>
      </c>
      <c r="E20" s="5" t="n"/>
      <c r="F20" s="5" t="n"/>
      <c r="G20" s="5" t="n"/>
      <c r="H20" s="5" t="n"/>
      <c r="I20" s="5" t="n"/>
      <c r="J20" s="4" t="n"/>
      <c r="K20" s="4" t="n"/>
    </row>
    <row r="21">
      <c r="A21" s="4" t="inlineStr">
        <is>
          <t>Студент1.18</t>
        </is>
      </c>
      <c r="B21" s="14" t="n"/>
      <c r="C21" s="4" t="inlineStr"/>
      <c r="D21" s="4">
        <f>IF(A21="","",SUMPRODUCT(E21:I21,E$2:I$2))</f>
        <v/>
      </c>
      <c r="E21" s="5" t="n"/>
      <c r="F21" s="5" t="n"/>
      <c r="G21" s="5" t="n"/>
      <c r="H21" s="5" t="n"/>
      <c r="I21" s="5" t="n"/>
      <c r="J21" s="4" t="n"/>
      <c r="K21" s="4" t="n"/>
    </row>
    <row r="22">
      <c r="A22" s="4" t="inlineStr">
        <is>
          <t>Студент1.19</t>
        </is>
      </c>
      <c r="B22" s="14" t="n"/>
      <c r="C22" s="4" t="inlineStr"/>
      <c r="D22" s="4">
        <f>IF(A22="","",SUMPRODUCT(E22:I22,E$2:I$2))</f>
        <v/>
      </c>
      <c r="E22" s="5" t="n"/>
      <c r="F22" s="5" t="n"/>
      <c r="G22" s="5" t="n"/>
      <c r="H22" s="5" t="n"/>
      <c r="I22" s="5" t="n"/>
      <c r="J22" s="4" t="n"/>
      <c r="K22" s="4" t="n"/>
    </row>
    <row r="23">
      <c r="A23" s="4" t="inlineStr">
        <is>
          <t>Студент1.20</t>
        </is>
      </c>
      <c r="B23" s="14" t="n"/>
      <c r="C23" s="4" t="inlineStr"/>
      <c r="D23" s="4">
        <f>IF(A23="","",SUMPRODUCT(E23:I23,E$2:I$2))</f>
        <v/>
      </c>
      <c r="E23" s="5" t="n"/>
      <c r="F23" s="5" t="n"/>
      <c r="G23" s="5" t="n"/>
      <c r="H23" s="5" t="n"/>
      <c r="I23" s="5" t="n"/>
      <c r="J23" s="4" t="n"/>
      <c r="K23" s="4" t="n"/>
    </row>
    <row r="24">
      <c r="A24" s="4" t="inlineStr">
        <is>
          <t>Студент1.21</t>
        </is>
      </c>
      <c r="B24" s="14" t="n"/>
      <c r="C24" s="4" t="inlineStr"/>
      <c r="D24" s="4">
        <f>IF(A24="","",SUMPRODUCT(E24:I24,E$2:I$2))</f>
        <v/>
      </c>
      <c r="E24" s="5" t="n"/>
      <c r="F24" s="5" t="n"/>
      <c r="G24" s="5" t="n"/>
      <c r="H24" s="5" t="n"/>
      <c r="I24" s="5" t="n"/>
      <c r="J24" s="4" t="n"/>
      <c r="K24" s="4" t="n"/>
    </row>
    <row r="25">
      <c r="A25" s="4" t="inlineStr">
        <is>
          <t>Студент1.22</t>
        </is>
      </c>
      <c r="B25" s="14" t="n"/>
      <c r="C25" s="4" t="inlineStr"/>
      <c r="D25" s="4">
        <f>IF(A25="","",SUMPRODUCT(E25:I25,E$2:I$2))</f>
        <v/>
      </c>
      <c r="E25" s="5" t="n"/>
      <c r="F25" s="5" t="n"/>
      <c r="G25" s="5" t="n"/>
      <c r="H25" s="5" t="n"/>
      <c r="I25" s="5" t="n"/>
      <c r="J25" s="4" t="n"/>
      <c r="K25" s="4" t="n"/>
    </row>
    <row r="26">
      <c r="A26" s="4" t="inlineStr">
        <is>
          <t>Студент1.23</t>
        </is>
      </c>
      <c r="B26" s="14" t="n"/>
      <c r="C26" s="4" t="inlineStr"/>
      <c r="D26" s="4">
        <f>IF(A26="","",SUMPRODUCT(E26:I26,E$2:I$2))</f>
        <v/>
      </c>
      <c r="E26" s="5" t="n"/>
      <c r="F26" s="5" t="n"/>
      <c r="G26" s="5" t="n"/>
      <c r="H26" s="5" t="n"/>
      <c r="I26" s="5" t="n"/>
      <c r="J26" s="4" t="n"/>
      <c r="K26" s="4" t="n"/>
    </row>
    <row r="27">
      <c r="A27" s="4" t="inlineStr">
        <is>
          <t>Студент1.24</t>
        </is>
      </c>
      <c r="B27" s="14" t="n"/>
      <c r="C27" s="4" t="inlineStr"/>
      <c r="D27" s="4">
        <f>IF(A27="","",SUMPRODUCT(E27:I27,E$2:I$2))</f>
        <v/>
      </c>
      <c r="E27" s="5" t="n"/>
      <c r="F27" s="5" t="n"/>
      <c r="G27" s="5" t="n"/>
      <c r="H27" s="5" t="n"/>
      <c r="I27" s="5" t="n"/>
      <c r="J27" s="4" t="n"/>
      <c r="K27" s="4" t="n"/>
    </row>
    <row r="28">
      <c r="A28" s="4" t="inlineStr">
        <is>
          <t>Студент1.25</t>
        </is>
      </c>
      <c r="B28" s="14" t="n"/>
      <c r="C28" s="4" t="inlineStr"/>
      <c r="D28" s="4">
        <f>IF(A28="","",SUMPRODUCT(E28:I28,E$2:I$2))</f>
        <v/>
      </c>
      <c r="E28" s="5" t="n"/>
      <c r="F28" s="5" t="n"/>
      <c r="G28" s="5" t="n"/>
      <c r="H28" s="5" t="n"/>
      <c r="I28" s="5" t="n"/>
      <c r="J28" s="4" t="n"/>
      <c r="K28" s="4" t="n"/>
    </row>
    <row r="29">
      <c r="A29" s="4" t="inlineStr">
        <is>
          <t>Студент1.26</t>
        </is>
      </c>
      <c r="B29" s="14" t="n"/>
      <c r="C29" s="4" t="inlineStr"/>
      <c r="D29" s="4">
        <f>IF(A29="","",SUMPRODUCT(E29:I29,E$2:I$2))</f>
        <v/>
      </c>
      <c r="E29" s="5" t="n"/>
      <c r="F29" s="5" t="n"/>
      <c r="G29" s="5" t="n"/>
      <c r="H29" s="5" t="n"/>
      <c r="I29" s="5" t="n"/>
      <c r="J29" s="4" t="n"/>
      <c r="K29" s="4" t="n"/>
    </row>
    <row r="30">
      <c r="A30" s="4" t="inlineStr">
        <is>
          <t>Студент1.27</t>
        </is>
      </c>
      <c r="B30" s="14" t="n"/>
      <c r="C30" s="4" t="inlineStr"/>
      <c r="D30" s="4">
        <f>IF(A30="","",SUMPRODUCT(E30:I30,E$2:I$2))</f>
        <v/>
      </c>
      <c r="E30" s="5" t="n"/>
      <c r="F30" s="5" t="n"/>
      <c r="G30" s="5" t="n"/>
      <c r="H30" s="5" t="n"/>
      <c r="I30" s="5" t="n"/>
      <c r="J30" s="4" t="n"/>
      <c r="K30" s="4" t="n"/>
    </row>
    <row r="31">
      <c r="A31" s="4" t="inlineStr">
        <is>
          <t>Студент1.28</t>
        </is>
      </c>
      <c r="B31" s="14" t="n"/>
      <c r="C31" s="4" t="inlineStr"/>
      <c r="D31" s="4">
        <f>IF(A31="","",SUMPRODUCT(E31:I31,E$2:I$2))</f>
        <v/>
      </c>
      <c r="E31" s="5" t="n"/>
      <c r="F31" s="5" t="n"/>
      <c r="G31" s="5" t="n"/>
      <c r="H31" s="5" t="n"/>
      <c r="I31" s="5" t="n"/>
      <c r="J31" s="4" t="n"/>
      <c r="K31" s="4" t="n"/>
    </row>
    <row r="32">
      <c r="A32" s="4" t="inlineStr">
        <is>
          <t>Студент1.29</t>
        </is>
      </c>
      <c r="B32" s="14" t="n"/>
      <c r="C32" s="4" t="inlineStr"/>
      <c r="D32" s="4">
        <f>IF(A32="","",SUMPRODUCT(E32:I32,E$2:I$2))</f>
        <v/>
      </c>
      <c r="E32" s="5" t="n"/>
      <c r="F32" s="5" t="n"/>
      <c r="G32" s="5" t="n"/>
      <c r="H32" s="5" t="n"/>
      <c r="I32" s="5" t="n"/>
      <c r="J32" s="4" t="n"/>
      <c r="K32" s="4" t="n"/>
    </row>
    <row r="33">
      <c r="A33" s="4" t="inlineStr">
        <is>
          <t>Студент1.30</t>
        </is>
      </c>
      <c r="B33" s="14" t="n"/>
      <c r="C33" s="4" t="inlineStr"/>
      <c r="D33" s="4">
        <f>IF(A33="","",SUMPRODUCT(E33:I33,E$2:I$2))</f>
        <v/>
      </c>
      <c r="E33" s="5" t="n"/>
      <c r="F33" s="5" t="n"/>
      <c r="G33" s="5" t="n"/>
      <c r="H33" s="5" t="n"/>
      <c r="I33" s="5" t="n"/>
      <c r="J33" s="4" t="n"/>
      <c r="K33" s="4" t="n"/>
    </row>
    <row r="34">
      <c r="A34" s="4" t="inlineStr">
        <is>
          <t>Студент2.1</t>
        </is>
      </c>
      <c r="B34" s="14" t="n"/>
      <c r="C34" s="4" t="inlineStr"/>
      <c r="D34" s="4">
        <f>IF(A34="","",SUMPRODUCT(E34:I34,E$2:I$2))</f>
        <v/>
      </c>
      <c r="E34" s="5" t="n"/>
      <c r="F34" s="5" t="n"/>
      <c r="G34" s="5" t="n"/>
      <c r="H34" s="5" t="n"/>
      <c r="I34" s="5" t="n"/>
      <c r="J34" s="4" t="n"/>
      <c r="K34" s="4" t="n"/>
    </row>
    <row r="35">
      <c r="A35" s="4" t="inlineStr">
        <is>
          <t>Студент2.2</t>
        </is>
      </c>
      <c r="B35" s="14" t="n"/>
      <c r="C35" s="4" t="inlineStr"/>
      <c r="D35" s="4">
        <f>IF(A35="","",SUMPRODUCT(E35:I35,E$2:I$2))</f>
        <v/>
      </c>
      <c r="E35" s="5" t="n"/>
      <c r="F35" s="5" t="n"/>
      <c r="G35" s="5" t="n"/>
      <c r="H35" s="5" t="n"/>
      <c r="I35" s="5" t="n"/>
      <c r="J35" s="4" t="n"/>
      <c r="K35" s="4" t="n"/>
    </row>
    <row r="36">
      <c r="A36" s="4" t="inlineStr">
        <is>
          <t>Студент2.3</t>
        </is>
      </c>
      <c r="B36" s="14" t="n"/>
      <c r="C36" s="4" t="inlineStr"/>
      <c r="D36" s="4">
        <f>IF(A36="","",SUMPRODUCT(E36:I36,E$2:I$2))</f>
        <v/>
      </c>
      <c r="E36" s="5" t="n"/>
      <c r="F36" s="5" t="n"/>
      <c r="G36" s="5" t="n"/>
      <c r="H36" s="5" t="n"/>
      <c r="I36" s="5" t="n"/>
      <c r="J36" s="4" t="n"/>
      <c r="K36" s="4" t="n"/>
    </row>
    <row r="37">
      <c r="A37" s="4" t="inlineStr">
        <is>
          <t>Студент2.4</t>
        </is>
      </c>
      <c r="B37" s="14" t="n"/>
      <c r="C37" s="4" t="inlineStr"/>
      <c r="D37" s="4">
        <f>IF(A37="","",SUMPRODUCT(E37:I37,E$2:I$2))</f>
        <v/>
      </c>
      <c r="E37" s="5" t="n"/>
      <c r="F37" s="5" t="n"/>
      <c r="G37" s="5" t="n"/>
      <c r="H37" s="5" t="n"/>
      <c r="I37" s="5" t="n"/>
      <c r="J37" s="4" t="n"/>
      <c r="K37" s="4" t="n"/>
    </row>
    <row r="38">
      <c r="A38" s="4" t="inlineStr">
        <is>
          <t>Студент2.5</t>
        </is>
      </c>
      <c r="B38" s="14" t="n"/>
      <c r="C38" s="4" t="inlineStr"/>
      <c r="D38" s="4">
        <f>IF(A38="","",SUMPRODUCT(E38:I38,E$2:I$2))</f>
        <v/>
      </c>
      <c r="E38" s="5" t="n"/>
      <c r="F38" s="5" t="n"/>
      <c r="G38" s="5" t="n"/>
      <c r="H38" s="5" t="n"/>
      <c r="I38" s="5" t="n"/>
      <c r="J38" s="4" t="n"/>
      <c r="K38" s="4" t="n"/>
    </row>
    <row r="39">
      <c r="A39" s="4" t="inlineStr">
        <is>
          <t>Студент2.6</t>
        </is>
      </c>
      <c r="B39" s="14" t="n"/>
      <c r="C39" s="4" t="inlineStr"/>
      <c r="D39" s="4">
        <f>IF(A39="","",SUMPRODUCT(E39:I39,E$2:I$2))</f>
        <v/>
      </c>
      <c r="E39" s="5" t="n"/>
      <c r="F39" s="5" t="n"/>
      <c r="G39" s="5" t="n"/>
      <c r="H39" s="5" t="n"/>
      <c r="I39" s="5" t="n"/>
      <c r="J39" s="4" t="n"/>
      <c r="K39" s="4" t="n"/>
    </row>
    <row r="40">
      <c r="A40" s="4" t="inlineStr">
        <is>
          <t>Студент2.7</t>
        </is>
      </c>
      <c r="B40" s="14" t="n"/>
      <c r="C40" s="4" t="inlineStr"/>
      <c r="D40" s="4">
        <f>IF(A40="","",SUMPRODUCT(E40:I40,E$2:I$2))</f>
        <v/>
      </c>
      <c r="E40" s="5" t="n"/>
      <c r="F40" s="5" t="n"/>
      <c r="G40" s="5" t="n"/>
      <c r="H40" s="5" t="n"/>
      <c r="I40" s="5" t="n"/>
      <c r="J40" s="4" t="n"/>
      <c r="K40" s="4" t="n"/>
    </row>
    <row r="41">
      <c r="A41" s="4" t="inlineStr">
        <is>
          <t>Студент2.8</t>
        </is>
      </c>
      <c r="B41" s="14" t="n"/>
      <c r="C41" s="4" t="inlineStr"/>
      <c r="D41" s="4">
        <f>IF(A41="","",SUMPRODUCT(E41:I41,E$2:I$2))</f>
        <v/>
      </c>
      <c r="E41" s="5" t="n"/>
      <c r="F41" s="5" t="n"/>
      <c r="G41" s="5" t="n"/>
      <c r="H41" s="5" t="n"/>
      <c r="I41" s="5" t="n"/>
      <c r="J41" s="4" t="n"/>
      <c r="K41" s="4" t="n"/>
    </row>
    <row r="42">
      <c r="A42" s="4" t="inlineStr">
        <is>
          <t>Студент2.9</t>
        </is>
      </c>
      <c r="B42" s="14" t="n"/>
      <c r="C42" s="4" t="inlineStr"/>
      <c r="D42" s="4">
        <f>IF(A42="","",SUMPRODUCT(E42:I42,E$2:I$2))</f>
        <v/>
      </c>
      <c r="E42" s="5" t="n"/>
      <c r="F42" s="5" t="n"/>
      <c r="G42" s="5" t="n"/>
      <c r="H42" s="5" t="n"/>
      <c r="I42" s="5" t="n"/>
      <c r="J42" s="4" t="n"/>
      <c r="K42" s="4" t="n"/>
    </row>
    <row r="43">
      <c r="A43" s="4" t="inlineStr">
        <is>
          <t>Студент2.10</t>
        </is>
      </c>
      <c r="B43" s="14" t="n"/>
      <c r="C43" s="4" t="inlineStr"/>
      <c r="D43" s="4">
        <f>IF(A43="","",SUMPRODUCT(E43:I43,E$2:I$2))</f>
        <v/>
      </c>
      <c r="E43" s="5" t="n"/>
      <c r="F43" s="5" t="n"/>
      <c r="G43" s="5" t="n"/>
      <c r="H43" s="5" t="n"/>
      <c r="I43" s="5" t="n"/>
      <c r="J43" s="4" t="n"/>
      <c r="K43" s="4" t="n"/>
    </row>
    <row r="44">
      <c r="A44" s="4" t="inlineStr">
        <is>
          <t>Студент2.11</t>
        </is>
      </c>
      <c r="B44" s="14" t="n"/>
      <c r="C44" s="4" t="inlineStr"/>
      <c r="D44" s="4">
        <f>IF(A44="","",SUMPRODUCT(E44:I44,E$2:I$2))</f>
        <v/>
      </c>
      <c r="E44" s="5" t="n"/>
      <c r="F44" s="5" t="n"/>
      <c r="G44" s="5" t="n"/>
      <c r="H44" s="5" t="n"/>
      <c r="I44" s="5" t="n"/>
      <c r="J44" s="4" t="n"/>
      <c r="K44" s="4" t="n"/>
    </row>
    <row r="45">
      <c r="A45" s="4" t="inlineStr">
        <is>
          <t>Студент2.12</t>
        </is>
      </c>
      <c r="B45" s="14" t="n"/>
      <c r="C45" s="4" t="inlineStr"/>
      <c r="D45" s="4">
        <f>IF(A45="","",SUMPRODUCT(E45:I45,E$2:I$2))</f>
        <v/>
      </c>
      <c r="E45" s="5" t="n"/>
      <c r="F45" s="5" t="n"/>
      <c r="G45" s="5" t="n"/>
      <c r="H45" s="5" t="n"/>
      <c r="I45" s="5" t="n"/>
      <c r="J45" s="4" t="n"/>
      <c r="K45" s="4" t="n"/>
    </row>
    <row r="46">
      <c r="A46" s="4" t="inlineStr">
        <is>
          <t>Студент2.13</t>
        </is>
      </c>
      <c r="B46" s="14" t="n"/>
      <c r="C46" s="4" t="inlineStr"/>
      <c r="D46" s="4">
        <f>IF(A46="","",SUMPRODUCT(E46:I46,E$2:I$2))</f>
        <v/>
      </c>
      <c r="E46" s="5" t="n"/>
      <c r="F46" s="5" t="n"/>
      <c r="G46" s="5" t="n"/>
      <c r="H46" s="5" t="n"/>
      <c r="I46" s="5" t="n"/>
      <c r="J46" s="4" t="n"/>
      <c r="K46" s="4" t="n"/>
    </row>
    <row r="47">
      <c r="A47" s="4" t="inlineStr">
        <is>
          <t>Студент2.14</t>
        </is>
      </c>
      <c r="B47" s="14" t="n"/>
      <c r="C47" s="4" t="inlineStr"/>
      <c r="D47" s="4">
        <f>IF(A47="","",SUMPRODUCT(E47:I47,E$2:I$2))</f>
        <v/>
      </c>
      <c r="E47" s="5" t="n"/>
      <c r="F47" s="5" t="n"/>
      <c r="G47" s="5" t="n"/>
      <c r="H47" s="5" t="n"/>
      <c r="I47" s="5" t="n"/>
      <c r="J47" s="4" t="n"/>
      <c r="K47" s="4" t="n"/>
    </row>
    <row r="48">
      <c r="A48" s="4" t="inlineStr">
        <is>
          <t>Студент2.15</t>
        </is>
      </c>
      <c r="B48" s="14" t="n"/>
      <c r="C48" s="4" t="inlineStr"/>
      <c r="D48" s="4">
        <f>IF(A48="","",SUMPRODUCT(E48:I48,E$2:I$2))</f>
        <v/>
      </c>
      <c r="E48" s="5" t="n"/>
      <c r="F48" s="5" t="n"/>
      <c r="G48" s="5" t="n"/>
      <c r="H48" s="5" t="n"/>
      <c r="I48" s="5" t="n"/>
      <c r="J48" s="4" t="n"/>
      <c r="K48" s="4" t="n"/>
    </row>
    <row r="49">
      <c r="A49" s="4" t="inlineStr">
        <is>
          <t>Студент2.16</t>
        </is>
      </c>
      <c r="B49" s="14" t="n"/>
      <c r="C49" s="4" t="inlineStr"/>
      <c r="D49" s="4">
        <f>IF(A49="","",SUMPRODUCT(E49:I49,E$2:I$2))</f>
        <v/>
      </c>
      <c r="E49" s="5" t="n"/>
      <c r="F49" s="5" t="n"/>
      <c r="G49" s="5" t="n"/>
      <c r="H49" s="5" t="n"/>
      <c r="I49" s="5" t="n"/>
      <c r="J49" s="4" t="n"/>
      <c r="K49" s="4" t="n"/>
    </row>
    <row r="50">
      <c r="A50" s="4" t="inlineStr">
        <is>
          <t>Студент2.17</t>
        </is>
      </c>
      <c r="B50" s="14" t="n"/>
      <c r="C50" s="4" t="inlineStr"/>
      <c r="D50" s="4">
        <f>IF(A50="","",SUMPRODUCT(E50:I50,E$2:I$2))</f>
        <v/>
      </c>
      <c r="E50" s="5" t="n"/>
      <c r="F50" s="5" t="n"/>
      <c r="G50" s="5" t="n"/>
      <c r="H50" s="5" t="n"/>
      <c r="I50" s="5" t="n"/>
      <c r="J50" s="4" t="n"/>
      <c r="K50" s="4" t="n"/>
    </row>
    <row r="51">
      <c r="A51" s="4" t="inlineStr">
        <is>
          <t>Студент2.18</t>
        </is>
      </c>
      <c r="B51" s="14" t="n"/>
      <c r="C51" s="4" t="inlineStr"/>
      <c r="D51" s="4">
        <f>IF(A51="","",SUMPRODUCT(E51:I51,E$2:I$2))</f>
        <v/>
      </c>
      <c r="E51" s="5" t="n"/>
      <c r="F51" s="5" t="n"/>
      <c r="G51" s="5" t="n"/>
      <c r="H51" s="5" t="n"/>
      <c r="I51" s="5" t="n"/>
      <c r="J51" s="4" t="n"/>
      <c r="K51" s="4" t="n"/>
    </row>
    <row r="52">
      <c r="A52" s="4" t="inlineStr">
        <is>
          <t>Студент2.19</t>
        </is>
      </c>
      <c r="B52" s="14" t="n"/>
      <c r="C52" s="4" t="inlineStr"/>
      <c r="D52" s="4">
        <f>IF(A52="","",SUMPRODUCT(E52:I52,E$2:I$2))</f>
        <v/>
      </c>
      <c r="E52" s="5" t="n"/>
      <c r="F52" s="5" t="n"/>
      <c r="G52" s="5" t="n"/>
      <c r="H52" s="5" t="n"/>
      <c r="I52" s="5" t="n"/>
      <c r="J52" s="4" t="n"/>
      <c r="K52" s="4" t="n"/>
    </row>
    <row r="53">
      <c r="A53" s="4" t="inlineStr">
        <is>
          <t>Студент2.20</t>
        </is>
      </c>
      <c r="B53" s="14" t="n"/>
      <c r="C53" s="4" t="inlineStr"/>
      <c r="D53" s="4">
        <f>IF(A53="","",SUMPRODUCT(E53:I53,E$2:I$2))</f>
        <v/>
      </c>
      <c r="E53" s="5" t="n"/>
      <c r="F53" s="5" t="n"/>
      <c r="G53" s="5" t="n"/>
      <c r="H53" s="5" t="n"/>
      <c r="I53" s="5" t="n"/>
      <c r="J53" s="4" t="n"/>
      <c r="K53" s="4" t="n"/>
    </row>
    <row r="54">
      <c r="A54" s="4" t="inlineStr">
        <is>
          <t>Студент2.21</t>
        </is>
      </c>
      <c r="B54" s="14" t="n"/>
      <c r="C54" s="4" t="inlineStr"/>
      <c r="D54" s="4">
        <f>IF(A54="","",SUMPRODUCT(E54:I54,E$2:I$2))</f>
        <v/>
      </c>
      <c r="E54" s="5" t="n"/>
      <c r="F54" s="5" t="n"/>
      <c r="G54" s="5" t="n"/>
      <c r="H54" s="5" t="n"/>
      <c r="I54" s="5" t="n"/>
      <c r="J54" s="4" t="n"/>
      <c r="K54" s="4" t="n"/>
    </row>
    <row r="55">
      <c r="A55" s="4" t="inlineStr">
        <is>
          <t>Студент2.22</t>
        </is>
      </c>
      <c r="B55" s="14" t="n"/>
      <c r="C55" s="4" t="inlineStr"/>
      <c r="D55" s="4">
        <f>IF(A55="","",SUMPRODUCT(E55:I55,E$2:I$2))</f>
        <v/>
      </c>
      <c r="E55" s="5" t="n"/>
      <c r="F55" s="5" t="n"/>
      <c r="G55" s="5" t="n"/>
      <c r="H55" s="5" t="n"/>
      <c r="I55" s="5" t="n"/>
      <c r="J55" s="4" t="n"/>
      <c r="K55" s="4" t="n"/>
    </row>
    <row r="56">
      <c r="A56" s="4" t="inlineStr">
        <is>
          <t>Студент2.23</t>
        </is>
      </c>
      <c r="B56" s="14" t="n"/>
      <c r="C56" s="4" t="inlineStr"/>
      <c r="D56" s="4">
        <f>IF(A56="","",SUMPRODUCT(E56:I56,E$2:I$2))</f>
        <v/>
      </c>
      <c r="E56" s="5" t="n"/>
      <c r="F56" s="5" t="n"/>
      <c r="G56" s="5" t="n"/>
      <c r="H56" s="5" t="n"/>
      <c r="I56" s="5" t="n"/>
      <c r="J56" s="4" t="n"/>
      <c r="K56" s="4" t="n"/>
    </row>
    <row r="57">
      <c r="A57" s="4" t="inlineStr">
        <is>
          <t>Студент2.24</t>
        </is>
      </c>
      <c r="B57" s="14" t="n"/>
      <c r="C57" s="4" t="inlineStr"/>
      <c r="D57" s="4">
        <f>IF(A57="","",SUMPRODUCT(E57:I57,E$2:I$2))</f>
        <v/>
      </c>
      <c r="E57" s="5" t="n"/>
      <c r="F57" s="5" t="n"/>
      <c r="G57" s="5" t="n"/>
      <c r="H57" s="5" t="n"/>
      <c r="I57" s="5" t="n"/>
      <c r="J57" s="4" t="n"/>
      <c r="K57" s="4" t="n"/>
    </row>
    <row r="58">
      <c r="A58" s="4" t="inlineStr">
        <is>
          <t>Студент2.25</t>
        </is>
      </c>
      <c r="B58" s="14" t="n"/>
      <c r="C58" s="4" t="inlineStr"/>
      <c r="D58" s="4">
        <f>IF(A58="","",SUMPRODUCT(E58:I58,E$2:I$2))</f>
        <v/>
      </c>
      <c r="E58" s="5" t="n"/>
      <c r="F58" s="5" t="n"/>
      <c r="G58" s="5" t="n"/>
      <c r="H58" s="5" t="n"/>
      <c r="I58" s="5" t="n"/>
      <c r="J58" s="4" t="n"/>
      <c r="K58" s="4" t="n"/>
    </row>
    <row r="59">
      <c r="A59" s="4" t="inlineStr">
        <is>
          <t>Студент2.26</t>
        </is>
      </c>
      <c r="B59" s="14" t="n"/>
      <c r="C59" s="4" t="inlineStr"/>
      <c r="D59" s="4">
        <f>IF(A59="","",SUMPRODUCT(E59:I59,E$2:I$2))</f>
        <v/>
      </c>
      <c r="E59" s="5" t="n"/>
      <c r="F59" s="5" t="n"/>
      <c r="G59" s="5" t="n"/>
      <c r="H59" s="5" t="n"/>
      <c r="I59" s="5" t="n"/>
      <c r="J59" s="4" t="n"/>
      <c r="K59" s="4" t="n"/>
    </row>
    <row r="60">
      <c r="A60" s="4" t="inlineStr">
        <is>
          <t>Студент2.27</t>
        </is>
      </c>
      <c r="B60" s="14" t="n"/>
      <c r="C60" s="4" t="inlineStr"/>
      <c r="D60" s="4">
        <f>IF(A60="","",SUMPRODUCT(E60:I60,E$2:I$2))</f>
        <v/>
      </c>
      <c r="E60" s="5" t="n"/>
      <c r="F60" s="5" t="n"/>
      <c r="G60" s="5" t="n"/>
      <c r="H60" s="5" t="n"/>
      <c r="I60" s="5" t="n"/>
      <c r="J60" s="4" t="n"/>
      <c r="K60" s="4" t="n"/>
    </row>
    <row r="61">
      <c r="A61" s="4" t="inlineStr">
        <is>
          <t>Студент2.28</t>
        </is>
      </c>
      <c r="B61" s="14" t="n"/>
      <c r="C61" s="4" t="inlineStr"/>
      <c r="D61" s="4">
        <f>IF(A61="","",SUMPRODUCT(E61:I61,E$2:I$2))</f>
        <v/>
      </c>
      <c r="E61" s="5" t="n"/>
      <c r="F61" s="5" t="n"/>
      <c r="G61" s="5" t="n"/>
      <c r="H61" s="5" t="n"/>
      <c r="I61" s="5" t="n"/>
      <c r="J61" s="4" t="n"/>
      <c r="K61" s="4" t="n"/>
    </row>
    <row r="62">
      <c r="A62" s="4" t="inlineStr">
        <is>
          <t>Студент2.29</t>
        </is>
      </c>
      <c r="B62" s="14" t="n"/>
      <c r="C62" s="4" t="inlineStr"/>
      <c r="D62" s="4">
        <f>IF(A62="","",SUMPRODUCT(E62:I62,E$2:I$2))</f>
        <v/>
      </c>
      <c r="E62" s="5" t="n"/>
      <c r="F62" s="5" t="n"/>
      <c r="G62" s="5" t="n"/>
      <c r="H62" s="5" t="n"/>
      <c r="I62" s="5" t="n"/>
      <c r="J62" s="4" t="n"/>
      <c r="K62" s="4" t="n"/>
    </row>
    <row r="63">
      <c r="A63" s="4" t="inlineStr">
        <is>
          <t>Студент2.30</t>
        </is>
      </c>
      <c r="B63" s="14" t="n"/>
      <c r="C63" s="4" t="inlineStr"/>
      <c r="D63" s="4">
        <f>IF(A63="","",SUMPRODUCT(E63:I63,E$2:I$2))</f>
        <v/>
      </c>
      <c r="E63" s="5" t="n"/>
      <c r="F63" s="5" t="n"/>
      <c r="G63" s="5" t="n"/>
      <c r="H63" s="5" t="n"/>
      <c r="I63" s="5" t="n"/>
      <c r="J63" s="4" t="n"/>
      <c r="K63" s="4" t="n"/>
    </row>
    <row r="64">
      <c r="A64" s="4" t="inlineStr">
        <is>
          <t>Студент3.1</t>
        </is>
      </c>
      <c r="B64" s="14" t="n"/>
      <c r="C64" s="4" t="inlineStr"/>
      <c r="D64" s="4">
        <f>IF(A64="","",SUMPRODUCT(E64:I64,E$2:I$2))</f>
        <v/>
      </c>
      <c r="E64" s="5" t="n"/>
      <c r="F64" s="5" t="n"/>
      <c r="G64" s="5" t="n"/>
      <c r="H64" s="5" t="n"/>
      <c r="I64" s="5" t="n"/>
      <c r="J64" s="4" t="n"/>
      <c r="K64" s="4" t="n"/>
    </row>
    <row r="65">
      <c r="A65" s="4" t="inlineStr">
        <is>
          <t>Студент3.2</t>
        </is>
      </c>
      <c r="B65" s="14" t="n"/>
      <c r="C65" s="4" t="inlineStr"/>
      <c r="D65" s="4">
        <f>IF(A65="","",SUMPRODUCT(E65:I65,E$2:I$2))</f>
        <v/>
      </c>
      <c r="E65" s="5" t="n"/>
      <c r="F65" s="5" t="n"/>
      <c r="G65" s="5" t="n"/>
      <c r="H65" s="5" t="n"/>
      <c r="I65" s="5" t="n"/>
      <c r="J65" s="4" t="n"/>
      <c r="K65" s="4" t="n"/>
    </row>
    <row r="66">
      <c r="A66" s="4" t="inlineStr">
        <is>
          <t>Студент3.3</t>
        </is>
      </c>
      <c r="B66" s="14" t="n"/>
      <c r="C66" s="4" t="inlineStr"/>
      <c r="D66" s="4">
        <f>IF(A66="","",SUMPRODUCT(E66:I66,E$2:I$2))</f>
        <v/>
      </c>
      <c r="E66" s="5" t="n"/>
      <c r="F66" s="5" t="n"/>
      <c r="G66" s="5" t="n"/>
      <c r="H66" s="5" t="n"/>
      <c r="I66" s="5" t="n"/>
      <c r="J66" s="4" t="n"/>
      <c r="K66" s="4" t="n"/>
    </row>
    <row r="67">
      <c r="A67" s="4" t="inlineStr">
        <is>
          <t>Студент3.4</t>
        </is>
      </c>
      <c r="B67" s="14" t="n"/>
      <c r="C67" s="4" t="inlineStr"/>
      <c r="D67" s="4">
        <f>IF(A67="","",SUMPRODUCT(E67:I67,E$2:I$2))</f>
        <v/>
      </c>
      <c r="E67" s="5" t="n"/>
      <c r="F67" s="5" t="n"/>
      <c r="G67" s="5" t="n"/>
      <c r="H67" s="5" t="n"/>
      <c r="I67" s="5" t="n"/>
      <c r="J67" s="4" t="n"/>
      <c r="K67" s="4" t="n"/>
    </row>
    <row r="68">
      <c r="A68" s="4" t="inlineStr">
        <is>
          <t>Студент3.5</t>
        </is>
      </c>
      <c r="B68" s="14" t="n"/>
      <c r="C68" s="4" t="inlineStr"/>
      <c r="D68" s="4">
        <f>IF(A68="","",SUMPRODUCT(E68:I68,E$2:I$2))</f>
        <v/>
      </c>
      <c r="E68" s="5" t="n"/>
      <c r="F68" s="5" t="n"/>
      <c r="G68" s="5" t="n"/>
      <c r="H68" s="5" t="n"/>
      <c r="I68" s="5" t="n"/>
      <c r="J68" s="4" t="n"/>
      <c r="K68" s="4" t="n"/>
    </row>
    <row r="69">
      <c r="A69" s="4" t="inlineStr">
        <is>
          <t>Студент3.6</t>
        </is>
      </c>
      <c r="B69" s="14" t="n"/>
      <c r="C69" s="4" t="inlineStr"/>
      <c r="D69" s="4">
        <f>IF(A69="","",SUMPRODUCT(E69:I69,E$2:I$2))</f>
        <v/>
      </c>
      <c r="E69" s="5" t="n"/>
      <c r="F69" s="5" t="n"/>
      <c r="G69" s="5" t="n"/>
      <c r="H69" s="5" t="n"/>
      <c r="I69" s="5" t="n"/>
      <c r="J69" s="4" t="n"/>
      <c r="K69" s="4" t="n"/>
    </row>
    <row r="70">
      <c r="A70" s="4" t="inlineStr">
        <is>
          <t>Студент3.7</t>
        </is>
      </c>
      <c r="B70" s="14" t="n"/>
      <c r="C70" s="4" t="inlineStr"/>
      <c r="D70" s="4">
        <f>IF(A70="","",SUMPRODUCT(E70:I70,E$2:I$2))</f>
        <v/>
      </c>
      <c r="E70" s="5" t="n"/>
      <c r="F70" s="5" t="n"/>
      <c r="G70" s="5" t="n"/>
      <c r="H70" s="5" t="n"/>
      <c r="I70" s="5" t="n"/>
      <c r="J70" s="4" t="n"/>
      <c r="K70" s="4" t="n"/>
    </row>
    <row r="71">
      <c r="A71" s="4" t="inlineStr">
        <is>
          <t>Студент3.8</t>
        </is>
      </c>
      <c r="B71" s="14" t="n"/>
      <c r="C71" s="4" t="inlineStr"/>
      <c r="D71" s="4">
        <f>IF(A71="","",SUMPRODUCT(E71:I71,E$2:I$2))</f>
        <v/>
      </c>
      <c r="E71" s="5" t="n"/>
      <c r="F71" s="5" t="n"/>
      <c r="G71" s="5" t="n"/>
      <c r="H71" s="5" t="n"/>
      <c r="I71" s="5" t="n"/>
      <c r="J71" s="4" t="n"/>
      <c r="K71" s="4" t="n"/>
    </row>
    <row r="72">
      <c r="A72" s="4" t="inlineStr">
        <is>
          <t>Студент3.9</t>
        </is>
      </c>
      <c r="B72" s="14" t="n"/>
      <c r="C72" s="4" t="inlineStr"/>
      <c r="D72" s="4">
        <f>IF(A72="","",SUMPRODUCT(E72:I72,E$2:I$2))</f>
        <v/>
      </c>
      <c r="E72" s="5" t="n"/>
      <c r="F72" s="5" t="n"/>
      <c r="G72" s="5" t="n"/>
      <c r="H72" s="5" t="n"/>
      <c r="I72" s="5" t="n"/>
      <c r="J72" s="4" t="n"/>
      <c r="K72" s="4" t="n"/>
    </row>
    <row r="73">
      <c r="A73" s="4" t="inlineStr">
        <is>
          <t>Студент3.10</t>
        </is>
      </c>
      <c r="B73" s="14" t="n"/>
      <c r="C73" s="4" t="inlineStr"/>
      <c r="D73" s="4">
        <f>IF(A73="","",SUMPRODUCT(E73:I73,E$2:I$2))</f>
        <v/>
      </c>
      <c r="E73" s="5" t="n"/>
      <c r="F73" s="5" t="n"/>
      <c r="G73" s="5" t="n"/>
      <c r="H73" s="5" t="n"/>
      <c r="I73" s="5" t="n"/>
      <c r="J73" s="4" t="n"/>
      <c r="K73" s="4" t="n"/>
    </row>
    <row r="74">
      <c r="A74" s="4" t="inlineStr">
        <is>
          <t>Студент3.11</t>
        </is>
      </c>
      <c r="B74" s="14" t="n"/>
      <c r="C74" s="4" t="inlineStr"/>
      <c r="D74" s="4">
        <f>IF(A74="","",SUMPRODUCT(E74:I74,E$2:I$2))</f>
        <v/>
      </c>
      <c r="E74" s="5" t="n"/>
      <c r="F74" s="5" t="n"/>
      <c r="G74" s="5" t="n"/>
      <c r="H74" s="5" t="n"/>
      <c r="I74" s="5" t="n"/>
      <c r="J74" s="4" t="n"/>
      <c r="K74" s="4" t="n"/>
    </row>
    <row r="75">
      <c r="A75" s="4" t="inlineStr">
        <is>
          <t>Студент3.12</t>
        </is>
      </c>
      <c r="B75" s="14" t="n"/>
      <c r="C75" s="4" t="inlineStr"/>
      <c r="D75" s="4">
        <f>IF(A75="","",SUMPRODUCT(E75:I75,E$2:I$2))</f>
        <v/>
      </c>
      <c r="E75" s="5" t="n"/>
      <c r="F75" s="5" t="n"/>
      <c r="G75" s="5" t="n"/>
      <c r="H75" s="5" t="n"/>
      <c r="I75" s="5" t="n"/>
      <c r="J75" s="4" t="n"/>
      <c r="K75" s="4" t="n"/>
    </row>
    <row r="76">
      <c r="A76" s="4" t="inlineStr">
        <is>
          <t>Студент3.13</t>
        </is>
      </c>
      <c r="B76" s="14" t="n"/>
      <c r="C76" s="4" t="inlineStr"/>
      <c r="D76" s="4">
        <f>IF(A76="","",SUMPRODUCT(E76:I76,E$2:I$2))</f>
        <v/>
      </c>
      <c r="E76" s="5" t="n"/>
      <c r="F76" s="5" t="n"/>
      <c r="G76" s="5" t="n"/>
      <c r="H76" s="5" t="n"/>
      <c r="I76" s="5" t="n"/>
      <c r="J76" s="4" t="n"/>
      <c r="K76" s="4" t="n"/>
    </row>
    <row r="77">
      <c r="A77" s="4" t="inlineStr">
        <is>
          <t>Студент3.14</t>
        </is>
      </c>
      <c r="B77" s="14" t="n"/>
      <c r="C77" s="4" t="inlineStr"/>
      <c r="D77" s="4">
        <f>IF(A77="","",SUMPRODUCT(E77:I77,E$2:I$2))</f>
        <v/>
      </c>
      <c r="E77" s="5" t="n"/>
      <c r="F77" s="5" t="n"/>
      <c r="G77" s="5" t="n"/>
      <c r="H77" s="5" t="n"/>
      <c r="I77" s="5" t="n"/>
      <c r="J77" s="4" t="n"/>
      <c r="K77" s="4" t="n"/>
    </row>
    <row r="78">
      <c r="A78" s="4" t="inlineStr">
        <is>
          <t>Студент3.15</t>
        </is>
      </c>
      <c r="B78" s="14" t="n"/>
      <c r="C78" s="4" t="inlineStr"/>
      <c r="D78" s="4">
        <f>IF(A78="","",SUMPRODUCT(E78:I78,E$2:I$2))</f>
        <v/>
      </c>
      <c r="E78" s="5" t="n"/>
      <c r="F78" s="5" t="n"/>
      <c r="G78" s="5" t="n"/>
      <c r="H78" s="5" t="n"/>
      <c r="I78" s="5" t="n"/>
      <c r="J78" s="4" t="n"/>
      <c r="K78" s="4" t="n"/>
    </row>
    <row r="79">
      <c r="A79" s="4" t="inlineStr">
        <is>
          <t>Студент3.16</t>
        </is>
      </c>
      <c r="B79" s="14" t="n"/>
      <c r="C79" s="4" t="inlineStr"/>
      <c r="D79" s="4">
        <f>IF(A79="","",SUMPRODUCT(E79:I79,E$2:I$2))</f>
        <v/>
      </c>
      <c r="E79" s="5" t="n"/>
      <c r="F79" s="5" t="n"/>
      <c r="G79" s="5" t="n"/>
      <c r="H79" s="5" t="n"/>
      <c r="I79" s="5" t="n"/>
      <c r="J79" s="4" t="n"/>
      <c r="K79" s="4" t="n"/>
    </row>
    <row r="80">
      <c r="A80" s="4" t="inlineStr">
        <is>
          <t>Студент3.17</t>
        </is>
      </c>
      <c r="B80" s="14" t="n"/>
      <c r="C80" s="4" t="inlineStr"/>
      <c r="D80" s="4">
        <f>IF(A80="","",SUMPRODUCT(E80:I80,E$2:I$2))</f>
        <v/>
      </c>
      <c r="E80" s="5" t="n"/>
      <c r="F80" s="5" t="n"/>
      <c r="G80" s="5" t="n"/>
      <c r="H80" s="5" t="n"/>
      <c r="I80" s="5" t="n"/>
      <c r="J80" s="4" t="n"/>
      <c r="K80" s="4" t="n"/>
    </row>
    <row r="81">
      <c r="A81" s="4" t="inlineStr">
        <is>
          <t>Студент3.18</t>
        </is>
      </c>
      <c r="B81" s="14" t="n"/>
      <c r="C81" s="4" t="inlineStr"/>
      <c r="D81" s="4">
        <f>IF(A81="","",SUMPRODUCT(E81:I81,E$2:I$2))</f>
        <v/>
      </c>
      <c r="E81" s="5" t="n"/>
      <c r="F81" s="5" t="n"/>
      <c r="G81" s="5" t="n"/>
      <c r="H81" s="5" t="n"/>
      <c r="I81" s="5" t="n"/>
      <c r="J81" s="4" t="n"/>
      <c r="K81" s="4" t="n"/>
    </row>
    <row r="82">
      <c r="A82" s="4" t="inlineStr">
        <is>
          <t>Студент3.19</t>
        </is>
      </c>
      <c r="B82" s="14" t="n"/>
      <c r="C82" s="4" t="inlineStr"/>
      <c r="D82" s="4">
        <f>IF(A82="","",SUMPRODUCT(E82:I82,E$2:I$2))</f>
        <v/>
      </c>
      <c r="E82" s="5" t="n"/>
      <c r="F82" s="5" t="n"/>
      <c r="G82" s="5" t="n"/>
      <c r="H82" s="5" t="n"/>
      <c r="I82" s="5" t="n"/>
      <c r="J82" s="4" t="n"/>
      <c r="K82" s="4" t="n"/>
    </row>
    <row r="83">
      <c r="A83" s="4" t="inlineStr">
        <is>
          <t>Студент3.20</t>
        </is>
      </c>
      <c r="B83" s="14" t="n"/>
      <c r="C83" s="4" t="inlineStr"/>
      <c r="D83" s="4">
        <f>IF(A83="","",SUMPRODUCT(E83:I83,E$2:I$2))</f>
        <v/>
      </c>
      <c r="E83" s="5" t="n"/>
      <c r="F83" s="5" t="n"/>
      <c r="G83" s="5" t="n"/>
      <c r="H83" s="5" t="n"/>
      <c r="I83" s="5" t="n"/>
      <c r="J83" s="4" t="n"/>
      <c r="K83" s="4" t="n"/>
    </row>
    <row r="84">
      <c r="A84" s="4" t="inlineStr">
        <is>
          <t>Студент3.21</t>
        </is>
      </c>
      <c r="B84" s="14" t="n"/>
      <c r="C84" s="4" t="inlineStr"/>
      <c r="D84" s="4">
        <f>IF(A84="","",SUMPRODUCT(E84:I84,E$2:I$2))</f>
        <v/>
      </c>
      <c r="E84" s="5" t="n"/>
      <c r="F84" s="5" t="n"/>
      <c r="G84" s="5" t="n"/>
      <c r="H84" s="5" t="n"/>
      <c r="I84" s="5" t="n"/>
      <c r="J84" s="4" t="n"/>
      <c r="K84" s="4" t="n"/>
    </row>
    <row r="85">
      <c r="A85" s="4" t="inlineStr">
        <is>
          <t>Студент3.22</t>
        </is>
      </c>
      <c r="B85" s="14" t="n"/>
      <c r="C85" s="4" t="inlineStr"/>
      <c r="D85" s="4">
        <f>IF(A85="","",SUMPRODUCT(E85:I85,E$2:I$2))</f>
        <v/>
      </c>
      <c r="E85" s="5" t="n"/>
      <c r="F85" s="5" t="n"/>
      <c r="G85" s="5" t="n"/>
      <c r="H85" s="5" t="n"/>
      <c r="I85" s="5" t="n"/>
      <c r="J85" s="4" t="n"/>
      <c r="K85" s="4" t="n"/>
    </row>
    <row r="86">
      <c r="A86" s="4" t="inlineStr">
        <is>
          <t>Студент3.23</t>
        </is>
      </c>
      <c r="B86" s="14" t="n"/>
      <c r="C86" s="4" t="inlineStr"/>
      <c r="D86" s="4">
        <f>IF(A86="","",SUMPRODUCT(E86:I86,E$2:I$2))</f>
        <v/>
      </c>
      <c r="E86" s="5" t="n"/>
      <c r="F86" s="5" t="n"/>
      <c r="G86" s="5" t="n"/>
      <c r="H86" s="5" t="n"/>
      <c r="I86" s="5" t="n"/>
      <c r="J86" s="4" t="n"/>
      <c r="K86" s="4" t="n"/>
    </row>
    <row r="87">
      <c r="A87" s="4" t="inlineStr">
        <is>
          <t>Студент3.24</t>
        </is>
      </c>
      <c r="B87" s="14" t="n"/>
      <c r="C87" s="4" t="inlineStr"/>
      <c r="D87" s="4">
        <f>IF(A87="","",SUMPRODUCT(E87:I87,E$2:I$2))</f>
        <v/>
      </c>
      <c r="E87" s="5" t="n"/>
      <c r="F87" s="5" t="n"/>
      <c r="G87" s="5" t="n"/>
      <c r="H87" s="5" t="n"/>
      <c r="I87" s="5" t="n"/>
      <c r="J87" s="4" t="n"/>
      <c r="K87" s="4" t="n"/>
    </row>
    <row r="88">
      <c r="A88" s="4" t="inlineStr">
        <is>
          <t>Студент3.25</t>
        </is>
      </c>
      <c r="B88" s="14" t="n"/>
      <c r="C88" s="4" t="inlineStr"/>
      <c r="D88" s="4">
        <f>IF(A88="","",SUMPRODUCT(E88:I88,E$2:I$2))</f>
        <v/>
      </c>
      <c r="E88" s="5" t="n"/>
      <c r="F88" s="5" t="n"/>
      <c r="G88" s="5" t="n"/>
      <c r="H88" s="5" t="n"/>
      <c r="I88" s="5" t="n"/>
      <c r="J88" s="4" t="n"/>
      <c r="K88" s="4" t="n"/>
    </row>
    <row r="89">
      <c r="A89" s="4" t="inlineStr">
        <is>
          <t>Студент3.26</t>
        </is>
      </c>
      <c r="B89" s="14" t="n"/>
      <c r="C89" s="4" t="inlineStr"/>
      <c r="D89" s="4">
        <f>IF(A89="","",SUMPRODUCT(E89:I89,E$2:I$2))</f>
        <v/>
      </c>
      <c r="E89" s="5" t="n"/>
      <c r="F89" s="5" t="n"/>
      <c r="G89" s="5" t="n"/>
      <c r="H89" s="5" t="n"/>
      <c r="I89" s="5" t="n"/>
      <c r="J89" s="4" t="n"/>
      <c r="K89" s="4" t="n"/>
    </row>
    <row r="90">
      <c r="A90" s="4" t="inlineStr">
        <is>
          <t>Студент3.27</t>
        </is>
      </c>
      <c r="B90" s="14" t="n"/>
      <c r="C90" s="4" t="inlineStr"/>
      <c r="D90" s="4">
        <f>IF(A90="","",SUMPRODUCT(E90:I90,E$2:I$2))</f>
        <v/>
      </c>
      <c r="E90" s="5" t="n"/>
      <c r="F90" s="5" t="n"/>
      <c r="G90" s="5" t="n"/>
      <c r="H90" s="5" t="n"/>
      <c r="I90" s="5" t="n"/>
      <c r="J90" s="4" t="n"/>
      <c r="K90" s="4" t="n"/>
    </row>
    <row r="91">
      <c r="A91" s="4" t="inlineStr">
        <is>
          <t>Студент3.28</t>
        </is>
      </c>
      <c r="B91" s="14" t="n"/>
      <c r="C91" s="4" t="inlineStr"/>
      <c r="D91" s="4">
        <f>IF(A91="","",SUMPRODUCT(E91:I91,E$2:I$2))</f>
        <v/>
      </c>
      <c r="E91" s="5" t="n"/>
      <c r="F91" s="5" t="n"/>
      <c r="G91" s="5" t="n"/>
      <c r="H91" s="5" t="n"/>
      <c r="I91" s="5" t="n"/>
      <c r="J91" s="4" t="n"/>
      <c r="K91" s="4" t="n"/>
    </row>
    <row r="92">
      <c r="A92" s="4" t="inlineStr">
        <is>
          <t>Студент3.29</t>
        </is>
      </c>
      <c r="B92" s="14" t="n"/>
      <c r="C92" s="4" t="inlineStr"/>
      <c r="D92" s="4">
        <f>IF(A92="","",SUMPRODUCT(E92:I92,E$2:I$2))</f>
        <v/>
      </c>
      <c r="E92" s="5" t="n"/>
      <c r="F92" s="5" t="n"/>
      <c r="G92" s="5" t="n"/>
      <c r="H92" s="5" t="n"/>
      <c r="I92" s="5" t="n"/>
      <c r="J92" s="4" t="n"/>
      <c r="K92" s="4" t="n"/>
    </row>
    <row r="93">
      <c r="A93" s="4" t="inlineStr">
        <is>
          <t>Студент3.30</t>
        </is>
      </c>
      <c r="B93" s="14" t="n"/>
      <c r="C93" s="4" t="inlineStr"/>
      <c r="D93" s="4">
        <f>IF(A93="","",SUMPRODUCT(E93:I93,E$2:I$2))</f>
        <v/>
      </c>
      <c r="E93" s="5" t="n"/>
      <c r="F93" s="5" t="n"/>
      <c r="G93" s="5" t="n"/>
      <c r="H93" s="5" t="n"/>
      <c r="I93" s="5" t="n"/>
      <c r="J93" s="4" t="n"/>
      <c r="K93" s="4" t="n"/>
    </row>
    <row r="95">
      <c r="A95" s="6" t="inlineStr">
        <is>
          <t>КР-1 Перепись</t>
        </is>
      </c>
    </row>
    <row r="96">
      <c r="D96" t="inlineStr">
        <is>
          <t>W</t>
        </is>
      </c>
      <c r="E96" t="n">
        <v>1</v>
      </c>
      <c r="F96" t="n">
        <v>1</v>
      </c>
      <c r="G96" t="n">
        <v>1</v>
      </c>
      <c r="H96" t="n">
        <v>1</v>
      </c>
      <c r="I96" t="n">
        <v>1</v>
      </c>
    </row>
    <row r="97" ht="28" customHeight="1">
      <c r="A97" s="9" t="inlineStr">
        <is>
          <t>Имя</t>
        </is>
      </c>
      <c r="B97" s="10" t="inlineStr">
        <is>
          <t>Попытка</t>
        </is>
      </c>
      <c r="C97" s="11" t="inlineStr">
        <is>
          <t>TG</t>
        </is>
      </c>
      <c r="D97" s="12" t="inlineStr">
        <is>
          <t>S</t>
        </is>
      </c>
      <c r="E97" s="13" t="n">
        <v>1</v>
      </c>
      <c r="F97" s="13" t="n">
        <v>2</v>
      </c>
      <c r="G97" s="13" t="n">
        <v>3</v>
      </c>
      <c r="H97" s="13" t="n">
        <v>4</v>
      </c>
      <c r="I97" s="13" t="n">
        <v>5</v>
      </c>
      <c r="J97" s="3" t="n"/>
      <c r="K97" s="3" t="n"/>
    </row>
    <row r="98">
      <c r="A98" s="4" t="inlineStr">
        <is>
          <t>Студент1.1</t>
        </is>
      </c>
      <c r="B98" s="14" t="n"/>
      <c r="C98" s="4" t="inlineStr"/>
      <c r="D98" s="4">
        <f>IF(A98="","",SUMPRODUCT(E98:I98,E$96:I$96))</f>
        <v/>
      </c>
      <c r="E98" s="5" t="n"/>
      <c r="F98" s="5" t="n"/>
      <c r="G98" s="5" t="n"/>
      <c r="H98" s="5" t="n"/>
      <c r="I98" s="5" t="n"/>
      <c r="J98" s="4" t="n"/>
      <c r="K98" s="4" t="n"/>
    </row>
    <row r="99">
      <c r="A99" s="4" t="inlineStr">
        <is>
          <t>Студент1.2</t>
        </is>
      </c>
      <c r="B99" s="14" t="n"/>
      <c r="C99" s="4" t="inlineStr"/>
      <c r="D99" s="4">
        <f>IF(A99="","",SUMPRODUCT(E99:I99,E$96:I$96))</f>
        <v/>
      </c>
      <c r="E99" s="5" t="n"/>
      <c r="F99" s="5" t="n"/>
      <c r="G99" s="5" t="n"/>
      <c r="H99" s="5" t="n"/>
      <c r="I99" s="5" t="n"/>
      <c r="J99" s="4" t="n"/>
      <c r="K99" s="4" t="n"/>
    </row>
    <row r="100">
      <c r="A100" s="4" t="inlineStr">
        <is>
          <t>Студент1.3</t>
        </is>
      </c>
      <c r="B100" s="14" t="n"/>
      <c r="C100" s="4" t="inlineStr"/>
      <c r="D100" s="4">
        <f>IF(A100="","",SUMPRODUCT(E100:I100,E$96:I$96))</f>
        <v/>
      </c>
      <c r="E100" s="5" t="n"/>
      <c r="F100" s="5" t="n"/>
      <c r="G100" s="5" t="n"/>
      <c r="H100" s="5" t="n"/>
      <c r="I100" s="5" t="n"/>
      <c r="J100" s="4" t="n"/>
      <c r="K100" s="4" t="n"/>
    </row>
    <row r="101">
      <c r="A101" s="4" t="inlineStr">
        <is>
          <t>Студент1.4</t>
        </is>
      </c>
      <c r="B101" s="14" t="n"/>
      <c r="C101" s="4" t="inlineStr"/>
      <c r="D101" s="4">
        <f>IF(A101="","",SUMPRODUCT(E101:I101,E$96:I$96))</f>
        <v/>
      </c>
      <c r="E101" s="5" t="n"/>
      <c r="F101" s="5" t="n"/>
      <c r="G101" s="5" t="n"/>
      <c r="H101" s="5" t="n"/>
      <c r="I101" s="5" t="n"/>
      <c r="J101" s="4" t="n"/>
      <c r="K101" s="4" t="n"/>
    </row>
    <row r="102">
      <c r="A102" s="4" t="inlineStr">
        <is>
          <t>Студент1.5</t>
        </is>
      </c>
      <c r="B102" s="14" t="n"/>
      <c r="C102" s="4" t="inlineStr"/>
      <c r="D102" s="4">
        <f>IF(A102="","",SUMPRODUCT(E102:I102,E$96:I$96))</f>
        <v/>
      </c>
      <c r="E102" s="5" t="n"/>
      <c r="F102" s="5" t="n"/>
      <c r="G102" s="5" t="n"/>
      <c r="H102" s="5" t="n"/>
      <c r="I102" s="5" t="n"/>
      <c r="J102" s="4" t="n"/>
      <c r="K102" s="4" t="n"/>
    </row>
    <row r="103">
      <c r="A103" s="4" t="inlineStr">
        <is>
          <t>Студент1.6</t>
        </is>
      </c>
      <c r="B103" s="14" t="n"/>
      <c r="C103" s="4" t="inlineStr"/>
      <c r="D103" s="4">
        <f>IF(A103="","",SUMPRODUCT(E103:I103,E$96:I$96))</f>
        <v/>
      </c>
      <c r="E103" s="5" t="n"/>
      <c r="F103" s="5" t="n"/>
      <c r="G103" s="5" t="n"/>
      <c r="H103" s="5" t="n"/>
      <c r="I103" s="5" t="n"/>
      <c r="J103" s="4" t="n"/>
      <c r="K103" s="4" t="n"/>
    </row>
    <row r="104">
      <c r="A104" s="4" t="inlineStr">
        <is>
          <t>Студент1.7</t>
        </is>
      </c>
      <c r="B104" s="14" t="n"/>
      <c r="C104" s="4" t="inlineStr"/>
      <c r="D104" s="4">
        <f>IF(A104="","",SUMPRODUCT(E104:I104,E$96:I$96))</f>
        <v/>
      </c>
      <c r="E104" s="5" t="n"/>
      <c r="F104" s="5" t="n"/>
      <c r="G104" s="5" t="n"/>
      <c r="H104" s="5" t="n"/>
      <c r="I104" s="5" t="n"/>
      <c r="J104" s="4" t="n"/>
      <c r="K104" s="4" t="n"/>
    </row>
    <row r="105">
      <c r="A105" s="4" t="inlineStr">
        <is>
          <t>Студент1.8</t>
        </is>
      </c>
      <c r="B105" s="14" t="n"/>
      <c r="C105" s="4" t="inlineStr"/>
      <c r="D105" s="4">
        <f>IF(A105="","",SUMPRODUCT(E105:I105,E$96:I$96))</f>
        <v/>
      </c>
      <c r="E105" s="5" t="n"/>
      <c r="F105" s="5" t="n"/>
      <c r="G105" s="5" t="n"/>
      <c r="H105" s="5" t="n"/>
      <c r="I105" s="5" t="n"/>
      <c r="J105" s="4" t="n"/>
      <c r="K105" s="4" t="n"/>
    </row>
    <row r="106">
      <c r="A106" s="4" t="inlineStr">
        <is>
          <t>Студент1.9</t>
        </is>
      </c>
      <c r="B106" s="14" t="n"/>
      <c r="C106" s="4" t="inlineStr"/>
      <c r="D106" s="4">
        <f>IF(A106="","",SUMPRODUCT(E106:I106,E$96:I$96))</f>
        <v/>
      </c>
      <c r="E106" s="5" t="n"/>
      <c r="F106" s="5" t="n"/>
      <c r="G106" s="5" t="n"/>
      <c r="H106" s="5" t="n"/>
      <c r="I106" s="5" t="n"/>
      <c r="J106" s="4" t="n"/>
      <c r="K106" s="4" t="n"/>
    </row>
    <row r="107">
      <c r="A107" s="4" t="inlineStr">
        <is>
          <t>Студент1.10</t>
        </is>
      </c>
      <c r="B107" s="14" t="n"/>
      <c r="C107" s="4" t="inlineStr"/>
      <c r="D107" s="4">
        <f>IF(A107="","",SUMPRODUCT(E107:I107,E$96:I$96))</f>
        <v/>
      </c>
      <c r="E107" s="5" t="n"/>
      <c r="F107" s="5" t="n"/>
      <c r="G107" s="5" t="n"/>
      <c r="H107" s="5" t="n"/>
      <c r="I107" s="5" t="n"/>
      <c r="J107" s="4" t="n"/>
      <c r="K107" s="4" t="n"/>
    </row>
    <row r="108">
      <c r="A108" s="4" t="inlineStr">
        <is>
          <t>Студент1.11</t>
        </is>
      </c>
      <c r="B108" s="14" t="n"/>
      <c r="C108" s="4" t="inlineStr"/>
      <c r="D108" s="4">
        <f>IF(A108="","",SUMPRODUCT(E108:I108,E$96:I$96))</f>
        <v/>
      </c>
      <c r="E108" s="5" t="n"/>
      <c r="F108" s="5" t="n"/>
      <c r="G108" s="5" t="n"/>
      <c r="H108" s="5" t="n"/>
      <c r="I108" s="5" t="n"/>
      <c r="J108" s="4" t="n"/>
      <c r="K108" s="4" t="n"/>
    </row>
    <row r="109">
      <c r="A109" s="4" t="inlineStr">
        <is>
          <t>Студент1.12</t>
        </is>
      </c>
      <c r="B109" s="14" t="n"/>
      <c r="C109" s="4" t="inlineStr"/>
      <c r="D109" s="4">
        <f>IF(A109="","",SUMPRODUCT(E109:I109,E$96:I$96))</f>
        <v/>
      </c>
      <c r="E109" s="5" t="n"/>
      <c r="F109" s="5" t="n"/>
      <c r="G109" s="5" t="n"/>
      <c r="H109" s="5" t="n"/>
      <c r="I109" s="5" t="n"/>
      <c r="J109" s="4" t="n"/>
      <c r="K109" s="4" t="n"/>
    </row>
    <row r="110">
      <c r="A110" s="4" t="inlineStr">
        <is>
          <t>Студент1.13</t>
        </is>
      </c>
      <c r="B110" s="14" t="n"/>
      <c r="C110" s="4" t="inlineStr"/>
      <c r="D110" s="4">
        <f>IF(A110="","",SUMPRODUCT(E110:I110,E$96:I$96))</f>
        <v/>
      </c>
      <c r="E110" s="5" t="n"/>
      <c r="F110" s="5" t="n"/>
      <c r="G110" s="5" t="n"/>
      <c r="H110" s="5" t="n"/>
      <c r="I110" s="5" t="n"/>
      <c r="J110" s="4" t="n"/>
      <c r="K110" s="4" t="n"/>
    </row>
    <row r="111">
      <c r="A111" s="4" t="inlineStr">
        <is>
          <t>Студент1.14</t>
        </is>
      </c>
      <c r="B111" s="14" t="n"/>
      <c r="C111" s="4" t="inlineStr"/>
      <c r="D111" s="4">
        <f>IF(A111="","",SUMPRODUCT(E111:I111,E$96:I$96))</f>
        <v/>
      </c>
      <c r="E111" s="5" t="n"/>
      <c r="F111" s="5" t="n"/>
      <c r="G111" s="5" t="n"/>
      <c r="H111" s="5" t="n"/>
      <c r="I111" s="5" t="n"/>
      <c r="J111" s="4" t="n"/>
      <c r="K111" s="4" t="n"/>
    </row>
    <row r="112">
      <c r="A112" s="4" t="inlineStr">
        <is>
          <t>Студент1.15</t>
        </is>
      </c>
      <c r="B112" s="14" t="n"/>
      <c r="C112" s="4" t="inlineStr"/>
      <c r="D112" s="4">
        <f>IF(A112="","",SUMPRODUCT(E112:I112,E$96:I$96))</f>
        <v/>
      </c>
      <c r="E112" s="5" t="n"/>
      <c r="F112" s="5" t="n"/>
      <c r="G112" s="5" t="n"/>
      <c r="H112" s="5" t="n"/>
      <c r="I112" s="5" t="n"/>
      <c r="J112" s="4" t="n"/>
      <c r="K112" s="4" t="n"/>
    </row>
    <row r="113">
      <c r="A113" s="4" t="inlineStr">
        <is>
          <t>Студент1.16</t>
        </is>
      </c>
      <c r="B113" s="14" t="n"/>
      <c r="C113" s="4" t="inlineStr"/>
      <c r="D113" s="4">
        <f>IF(A113="","",SUMPRODUCT(E113:I113,E$96:I$96))</f>
        <v/>
      </c>
      <c r="E113" s="5" t="n"/>
      <c r="F113" s="5" t="n"/>
      <c r="G113" s="5" t="n"/>
      <c r="H113" s="5" t="n"/>
      <c r="I113" s="5" t="n"/>
      <c r="J113" s="4" t="n"/>
      <c r="K113" s="4" t="n"/>
    </row>
    <row r="114">
      <c r="A114" s="4" t="inlineStr">
        <is>
          <t>Студент1.17</t>
        </is>
      </c>
      <c r="B114" s="14" t="n"/>
      <c r="C114" s="4" t="inlineStr"/>
      <c r="D114" s="4">
        <f>IF(A114="","",SUMPRODUCT(E114:I114,E$96:I$96))</f>
        <v/>
      </c>
      <c r="E114" s="5" t="n"/>
      <c r="F114" s="5" t="n"/>
      <c r="G114" s="5" t="n"/>
      <c r="H114" s="5" t="n"/>
      <c r="I114" s="5" t="n"/>
      <c r="J114" s="4" t="n"/>
      <c r="K114" s="4" t="n"/>
    </row>
    <row r="115">
      <c r="A115" s="4" t="inlineStr">
        <is>
          <t>Студент1.18</t>
        </is>
      </c>
      <c r="B115" s="14" t="n"/>
      <c r="C115" s="4" t="inlineStr"/>
      <c r="D115" s="4">
        <f>IF(A115="","",SUMPRODUCT(E115:I115,E$96:I$96))</f>
        <v/>
      </c>
      <c r="E115" s="5" t="n"/>
      <c r="F115" s="5" t="n"/>
      <c r="G115" s="5" t="n"/>
      <c r="H115" s="5" t="n"/>
      <c r="I115" s="5" t="n"/>
      <c r="J115" s="4" t="n"/>
      <c r="K115" s="4" t="n"/>
    </row>
    <row r="116">
      <c r="A116" s="4" t="inlineStr">
        <is>
          <t>Студент1.19</t>
        </is>
      </c>
      <c r="B116" s="14" t="n"/>
      <c r="C116" s="4" t="inlineStr"/>
      <c r="D116" s="4">
        <f>IF(A116="","",SUMPRODUCT(E116:I116,E$96:I$96))</f>
        <v/>
      </c>
      <c r="E116" s="5" t="n"/>
      <c r="F116" s="5" t="n"/>
      <c r="G116" s="5" t="n"/>
      <c r="H116" s="5" t="n"/>
      <c r="I116" s="5" t="n"/>
      <c r="J116" s="4" t="n"/>
      <c r="K116" s="4" t="n"/>
    </row>
    <row r="117">
      <c r="A117" s="4" t="inlineStr">
        <is>
          <t>Студент1.20</t>
        </is>
      </c>
      <c r="B117" s="14" t="n"/>
      <c r="C117" s="4" t="inlineStr"/>
      <c r="D117" s="4">
        <f>IF(A117="","",SUMPRODUCT(E117:I117,E$96:I$96))</f>
        <v/>
      </c>
      <c r="E117" s="5" t="n"/>
      <c r="F117" s="5" t="n"/>
      <c r="G117" s="5" t="n"/>
      <c r="H117" s="5" t="n"/>
      <c r="I117" s="5" t="n"/>
      <c r="J117" s="4" t="n"/>
      <c r="K117" s="4" t="n"/>
    </row>
    <row r="118">
      <c r="A118" s="4" t="inlineStr">
        <is>
          <t>Студент1.21</t>
        </is>
      </c>
      <c r="B118" s="14" t="n"/>
      <c r="C118" s="4" t="inlineStr"/>
      <c r="D118" s="4">
        <f>IF(A118="","",SUMPRODUCT(E118:I118,E$96:I$96))</f>
        <v/>
      </c>
      <c r="E118" s="5" t="n"/>
      <c r="F118" s="5" t="n"/>
      <c r="G118" s="5" t="n"/>
      <c r="H118" s="5" t="n"/>
      <c r="I118" s="5" t="n"/>
      <c r="J118" s="4" t="n"/>
      <c r="K118" s="4" t="n"/>
    </row>
    <row r="119">
      <c r="A119" s="4" t="inlineStr">
        <is>
          <t>Студент1.22</t>
        </is>
      </c>
      <c r="B119" s="14" t="n"/>
      <c r="C119" s="4" t="inlineStr"/>
      <c r="D119" s="4">
        <f>IF(A119="","",SUMPRODUCT(E119:I119,E$96:I$96))</f>
        <v/>
      </c>
      <c r="E119" s="5" t="n"/>
      <c r="F119" s="5" t="n"/>
      <c r="G119" s="5" t="n"/>
      <c r="H119" s="5" t="n"/>
      <c r="I119" s="5" t="n"/>
      <c r="J119" s="4" t="n"/>
      <c r="K119" s="4" t="n"/>
    </row>
    <row r="120">
      <c r="A120" s="4" t="inlineStr">
        <is>
          <t>Студент1.23</t>
        </is>
      </c>
      <c r="B120" s="14" t="n"/>
      <c r="C120" s="4" t="inlineStr"/>
      <c r="D120" s="4">
        <f>IF(A120="","",SUMPRODUCT(E120:I120,E$96:I$96))</f>
        <v/>
      </c>
      <c r="E120" s="5" t="n"/>
      <c r="F120" s="5" t="n"/>
      <c r="G120" s="5" t="n"/>
      <c r="H120" s="5" t="n"/>
      <c r="I120" s="5" t="n"/>
      <c r="J120" s="4" t="n"/>
      <c r="K120" s="4" t="n"/>
    </row>
    <row r="121">
      <c r="A121" s="4" t="inlineStr">
        <is>
          <t>Студент1.24</t>
        </is>
      </c>
      <c r="B121" s="14" t="n"/>
      <c r="C121" s="4" t="inlineStr"/>
      <c r="D121" s="4">
        <f>IF(A121="","",SUMPRODUCT(E121:I121,E$96:I$96))</f>
        <v/>
      </c>
      <c r="E121" s="5" t="n"/>
      <c r="F121" s="5" t="n"/>
      <c r="G121" s="5" t="n"/>
      <c r="H121" s="5" t="n"/>
      <c r="I121" s="5" t="n"/>
      <c r="J121" s="4" t="n"/>
      <c r="K121" s="4" t="n"/>
    </row>
    <row r="122">
      <c r="A122" s="4" t="inlineStr">
        <is>
          <t>Студент1.25</t>
        </is>
      </c>
      <c r="B122" s="14" t="n"/>
      <c r="C122" s="4" t="inlineStr"/>
      <c r="D122" s="4">
        <f>IF(A122="","",SUMPRODUCT(E122:I122,E$96:I$96))</f>
        <v/>
      </c>
      <c r="E122" s="5" t="n"/>
      <c r="F122" s="5" t="n"/>
      <c r="G122" s="5" t="n"/>
      <c r="H122" s="5" t="n"/>
      <c r="I122" s="5" t="n"/>
      <c r="J122" s="4" t="n"/>
      <c r="K122" s="4" t="n"/>
    </row>
    <row r="123">
      <c r="A123" s="4" t="inlineStr">
        <is>
          <t>Студент1.26</t>
        </is>
      </c>
      <c r="B123" s="14" t="n"/>
      <c r="C123" s="4" t="inlineStr"/>
      <c r="D123" s="4">
        <f>IF(A123="","",SUMPRODUCT(E123:I123,E$96:I$96))</f>
        <v/>
      </c>
      <c r="E123" s="5" t="n"/>
      <c r="F123" s="5" t="n"/>
      <c r="G123" s="5" t="n"/>
      <c r="H123" s="5" t="n"/>
      <c r="I123" s="5" t="n"/>
      <c r="J123" s="4" t="n"/>
      <c r="K123" s="4" t="n"/>
    </row>
    <row r="124">
      <c r="A124" s="4" t="inlineStr">
        <is>
          <t>Студент1.27</t>
        </is>
      </c>
      <c r="B124" s="14" t="n"/>
      <c r="C124" s="4" t="inlineStr"/>
      <c r="D124" s="4">
        <f>IF(A124="","",SUMPRODUCT(E124:I124,E$96:I$96))</f>
        <v/>
      </c>
      <c r="E124" s="5" t="n"/>
      <c r="F124" s="5" t="n"/>
      <c r="G124" s="5" t="n"/>
      <c r="H124" s="5" t="n"/>
      <c r="I124" s="5" t="n"/>
      <c r="J124" s="4" t="n"/>
      <c r="K124" s="4" t="n"/>
    </row>
    <row r="125">
      <c r="A125" s="4" t="inlineStr">
        <is>
          <t>Студент1.28</t>
        </is>
      </c>
      <c r="B125" s="14" t="n"/>
      <c r="C125" s="4" t="inlineStr"/>
      <c r="D125" s="4">
        <f>IF(A125="","",SUMPRODUCT(E125:I125,E$96:I$96))</f>
        <v/>
      </c>
      <c r="E125" s="5" t="n"/>
      <c r="F125" s="5" t="n"/>
      <c r="G125" s="5" t="n"/>
      <c r="H125" s="5" t="n"/>
      <c r="I125" s="5" t="n"/>
      <c r="J125" s="4" t="n"/>
      <c r="K125" s="4" t="n"/>
    </row>
    <row r="126">
      <c r="A126" s="4" t="inlineStr">
        <is>
          <t>Студент1.29</t>
        </is>
      </c>
      <c r="B126" s="14" t="n"/>
      <c r="C126" s="4" t="inlineStr"/>
      <c r="D126" s="4">
        <f>IF(A126="","",SUMPRODUCT(E126:I126,E$96:I$96))</f>
        <v/>
      </c>
      <c r="E126" s="5" t="n"/>
      <c r="F126" s="5" t="n"/>
      <c r="G126" s="5" t="n"/>
      <c r="H126" s="5" t="n"/>
      <c r="I126" s="5" t="n"/>
      <c r="J126" s="4" t="n"/>
      <c r="K126" s="4" t="n"/>
    </row>
    <row r="127">
      <c r="A127" s="4" t="inlineStr">
        <is>
          <t>Студент1.30</t>
        </is>
      </c>
      <c r="B127" s="14" t="n"/>
      <c r="C127" s="4" t="inlineStr"/>
      <c r="D127" s="4">
        <f>IF(A127="","",SUMPRODUCT(E127:I127,E$96:I$96))</f>
        <v/>
      </c>
      <c r="E127" s="5" t="n"/>
      <c r="F127" s="5" t="n"/>
      <c r="G127" s="5" t="n"/>
      <c r="H127" s="5" t="n"/>
      <c r="I127" s="5" t="n"/>
      <c r="J127" s="4" t="n"/>
      <c r="K127" s="4" t="n"/>
    </row>
    <row r="128">
      <c r="A128" s="4" t="inlineStr">
        <is>
          <t>Студент2.1</t>
        </is>
      </c>
      <c r="B128" s="14" t="n"/>
      <c r="C128" s="4" t="inlineStr"/>
      <c r="D128" s="4">
        <f>IF(A128="","",SUMPRODUCT(E128:I128,E$96:I$96))</f>
        <v/>
      </c>
      <c r="E128" s="5" t="n"/>
      <c r="F128" s="5" t="n"/>
      <c r="G128" s="5" t="n"/>
      <c r="H128" s="5" t="n"/>
      <c r="I128" s="5" t="n"/>
      <c r="J128" s="4" t="n"/>
      <c r="K128" s="4" t="n"/>
    </row>
    <row r="129">
      <c r="A129" s="4" t="inlineStr">
        <is>
          <t>Студент2.2</t>
        </is>
      </c>
      <c r="B129" s="14" t="n"/>
      <c r="C129" s="4" t="inlineStr"/>
      <c r="D129" s="4">
        <f>IF(A129="","",SUMPRODUCT(E129:I129,E$96:I$96))</f>
        <v/>
      </c>
      <c r="E129" s="5" t="n"/>
      <c r="F129" s="5" t="n"/>
      <c r="G129" s="5" t="n"/>
      <c r="H129" s="5" t="n"/>
      <c r="I129" s="5" t="n"/>
      <c r="J129" s="4" t="n"/>
      <c r="K129" s="4" t="n"/>
    </row>
    <row r="130">
      <c r="A130" s="4" t="inlineStr">
        <is>
          <t>Студент2.3</t>
        </is>
      </c>
      <c r="B130" s="14" t="n"/>
      <c r="C130" s="4" t="inlineStr"/>
      <c r="D130" s="4">
        <f>IF(A130="","",SUMPRODUCT(E130:I130,E$96:I$96))</f>
        <v/>
      </c>
      <c r="E130" s="5" t="n"/>
      <c r="F130" s="5" t="n"/>
      <c r="G130" s="5" t="n"/>
      <c r="H130" s="5" t="n"/>
      <c r="I130" s="5" t="n"/>
      <c r="J130" s="4" t="n"/>
      <c r="K130" s="4" t="n"/>
    </row>
    <row r="131">
      <c r="A131" s="4" t="inlineStr">
        <is>
          <t>Студент2.4</t>
        </is>
      </c>
      <c r="B131" s="14" t="n"/>
      <c r="C131" s="4" t="inlineStr"/>
      <c r="D131" s="4">
        <f>IF(A131="","",SUMPRODUCT(E131:I131,E$96:I$96))</f>
        <v/>
      </c>
      <c r="E131" s="5" t="n"/>
      <c r="F131" s="5" t="n"/>
      <c r="G131" s="5" t="n"/>
      <c r="H131" s="5" t="n"/>
      <c r="I131" s="5" t="n"/>
      <c r="J131" s="4" t="n"/>
      <c r="K131" s="4" t="n"/>
    </row>
    <row r="132">
      <c r="A132" s="4" t="inlineStr">
        <is>
          <t>Студент2.5</t>
        </is>
      </c>
      <c r="B132" s="14" t="n"/>
      <c r="C132" s="4" t="inlineStr"/>
      <c r="D132" s="4">
        <f>IF(A132="","",SUMPRODUCT(E132:I132,E$96:I$96))</f>
        <v/>
      </c>
      <c r="E132" s="5" t="n"/>
      <c r="F132" s="5" t="n"/>
      <c r="G132" s="5" t="n"/>
      <c r="H132" s="5" t="n"/>
      <c r="I132" s="5" t="n"/>
      <c r="J132" s="4" t="n"/>
      <c r="K132" s="4" t="n"/>
    </row>
    <row r="133">
      <c r="A133" s="4" t="inlineStr">
        <is>
          <t>Студент2.6</t>
        </is>
      </c>
      <c r="B133" s="14" t="n"/>
      <c r="C133" s="4" t="inlineStr"/>
      <c r="D133" s="4">
        <f>IF(A133="","",SUMPRODUCT(E133:I133,E$96:I$96))</f>
        <v/>
      </c>
      <c r="E133" s="5" t="n"/>
      <c r="F133" s="5" t="n"/>
      <c r="G133" s="5" t="n"/>
      <c r="H133" s="5" t="n"/>
      <c r="I133" s="5" t="n"/>
      <c r="J133" s="4" t="n"/>
      <c r="K133" s="4" t="n"/>
    </row>
    <row r="134">
      <c r="A134" s="4" t="inlineStr">
        <is>
          <t>Студент2.7</t>
        </is>
      </c>
      <c r="B134" s="14" t="n"/>
      <c r="C134" s="4" t="inlineStr"/>
      <c r="D134" s="4">
        <f>IF(A134="","",SUMPRODUCT(E134:I134,E$96:I$96))</f>
        <v/>
      </c>
      <c r="E134" s="5" t="n"/>
      <c r="F134" s="5" t="n"/>
      <c r="G134" s="5" t="n"/>
      <c r="H134" s="5" t="n"/>
      <c r="I134" s="5" t="n"/>
      <c r="J134" s="4" t="n"/>
      <c r="K134" s="4" t="n"/>
    </row>
    <row r="135">
      <c r="A135" s="4" t="inlineStr">
        <is>
          <t>Студент2.8</t>
        </is>
      </c>
      <c r="B135" s="14" t="n"/>
      <c r="C135" s="4" t="inlineStr"/>
      <c r="D135" s="4">
        <f>IF(A135="","",SUMPRODUCT(E135:I135,E$96:I$96))</f>
        <v/>
      </c>
      <c r="E135" s="5" t="n"/>
      <c r="F135" s="5" t="n"/>
      <c r="G135" s="5" t="n"/>
      <c r="H135" s="5" t="n"/>
      <c r="I135" s="5" t="n"/>
      <c r="J135" s="4" t="n"/>
      <c r="K135" s="4" t="n"/>
    </row>
    <row r="136">
      <c r="A136" s="4" t="inlineStr">
        <is>
          <t>Студент2.9</t>
        </is>
      </c>
      <c r="B136" s="14" t="n"/>
      <c r="C136" s="4" t="inlineStr"/>
      <c r="D136" s="4">
        <f>IF(A136="","",SUMPRODUCT(E136:I136,E$96:I$96))</f>
        <v/>
      </c>
      <c r="E136" s="5" t="n"/>
      <c r="F136" s="5" t="n"/>
      <c r="G136" s="5" t="n"/>
      <c r="H136" s="5" t="n"/>
      <c r="I136" s="5" t="n"/>
      <c r="J136" s="4" t="n"/>
      <c r="K136" s="4" t="n"/>
    </row>
    <row r="137">
      <c r="A137" s="4" t="inlineStr">
        <is>
          <t>Студент2.10</t>
        </is>
      </c>
      <c r="B137" s="14" t="n"/>
      <c r="C137" s="4" t="inlineStr"/>
      <c r="D137" s="4">
        <f>IF(A137="","",SUMPRODUCT(E137:I137,E$96:I$96))</f>
        <v/>
      </c>
      <c r="E137" s="5" t="n"/>
      <c r="F137" s="5" t="n"/>
      <c r="G137" s="5" t="n"/>
      <c r="H137" s="5" t="n"/>
      <c r="I137" s="5" t="n"/>
      <c r="J137" s="4" t="n"/>
      <c r="K137" s="4" t="n"/>
    </row>
    <row r="138">
      <c r="A138" s="4" t="inlineStr">
        <is>
          <t>Студент2.11</t>
        </is>
      </c>
      <c r="B138" s="14" t="n"/>
      <c r="C138" s="4" t="inlineStr"/>
      <c r="D138" s="4">
        <f>IF(A138="","",SUMPRODUCT(E138:I138,E$96:I$96))</f>
        <v/>
      </c>
      <c r="E138" s="5" t="n"/>
      <c r="F138" s="5" t="n"/>
      <c r="G138" s="5" t="n"/>
      <c r="H138" s="5" t="n"/>
      <c r="I138" s="5" t="n"/>
      <c r="J138" s="4" t="n"/>
      <c r="K138" s="4" t="n"/>
    </row>
    <row r="139">
      <c r="A139" s="4" t="inlineStr">
        <is>
          <t>Студент2.12</t>
        </is>
      </c>
      <c r="B139" s="14" t="n"/>
      <c r="C139" s="4" t="inlineStr"/>
      <c r="D139" s="4">
        <f>IF(A139="","",SUMPRODUCT(E139:I139,E$96:I$96))</f>
        <v/>
      </c>
      <c r="E139" s="5" t="n"/>
      <c r="F139" s="5" t="n"/>
      <c r="G139" s="5" t="n"/>
      <c r="H139" s="5" t="n"/>
      <c r="I139" s="5" t="n"/>
      <c r="J139" s="4" t="n"/>
      <c r="K139" s="4" t="n"/>
    </row>
    <row r="140">
      <c r="A140" s="4" t="inlineStr">
        <is>
          <t>Студент2.13</t>
        </is>
      </c>
      <c r="B140" s="14" t="n"/>
      <c r="C140" s="4" t="inlineStr"/>
      <c r="D140" s="4">
        <f>IF(A140="","",SUMPRODUCT(E140:I140,E$96:I$96))</f>
        <v/>
      </c>
      <c r="E140" s="5" t="n"/>
      <c r="F140" s="5" t="n"/>
      <c r="G140" s="5" t="n"/>
      <c r="H140" s="5" t="n"/>
      <c r="I140" s="5" t="n"/>
      <c r="J140" s="4" t="n"/>
      <c r="K140" s="4" t="n"/>
    </row>
    <row r="141">
      <c r="A141" s="4" t="inlineStr">
        <is>
          <t>Студент2.14</t>
        </is>
      </c>
      <c r="B141" s="14" t="n"/>
      <c r="C141" s="4" t="inlineStr"/>
      <c r="D141" s="4">
        <f>IF(A141="","",SUMPRODUCT(E141:I141,E$96:I$96))</f>
        <v/>
      </c>
      <c r="E141" s="5" t="n"/>
      <c r="F141" s="5" t="n"/>
      <c r="G141" s="5" t="n"/>
      <c r="H141" s="5" t="n"/>
      <c r="I141" s="5" t="n"/>
      <c r="J141" s="4" t="n"/>
      <c r="K141" s="4" t="n"/>
    </row>
    <row r="142">
      <c r="A142" s="4" t="inlineStr">
        <is>
          <t>Студент2.15</t>
        </is>
      </c>
      <c r="B142" s="14" t="n"/>
      <c r="C142" s="4" t="inlineStr"/>
      <c r="D142" s="4">
        <f>IF(A142="","",SUMPRODUCT(E142:I142,E$96:I$96))</f>
        <v/>
      </c>
      <c r="E142" s="5" t="n"/>
      <c r="F142" s="5" t="n"/>
      <c r="G142" s="5" t="n"/>
      <c r="H142" s="5" t="n"/>
      <c r="I142" s="5" t="n"/>
      <c r="J142" s="4" t="n"/>
      <c r="K142" s="4" t="n"/>
    </row>
    <row r="143">
      <c r="A143" s="4" t="inlineStr">
        <is>
          <t>Студент2.16</t>
        </is>
      </c>
      <c r="B143" s="14" t="n"/>
      <c r="C143" s="4" t="inlineStr"/>
      <c r="D143" s="4">
        <f>IF(A143="","",SUMPRODUCT(E143:I143,E$96:I$96))</f>
        <v/>
      </c>
      <c r="E143" s="5" t="n"/>
      <c r="F143" s="5" t="n"/>
      <c r="G143" s="5" t="n"/>
      <c r="H143" s="5" t="n"/>
      <c r="I143" s="5" t="n"/>
      <c r="J143" s="4" t="n"/>
      <c r="K143" s="4" t="n"/>
    </row>
    <row r="144">
      <c r="A144" s="4" t="inlineStr">
        <is>
          <t>Студент2.17</t>
        </is>
      </c>
      <c r="B144" s="14" t="n"/>
      <c r="C144" s="4" t="inlineStr"/>
      <c r="D144" s="4">
        <f>IF(A144="","",SUMPRODUCT(E144:I144,E$96:I$96))</f>
        <v/>
      </c>
      <c r="E144" s="5" t="n"/>
      <c r="F144" s="5" t="n"/>
      <c r="G144" s="5" t="n"/>
      <c r="H144" s="5" t="n"/>
      <c r="I144" s="5" t="n"/>
      <c r="J144" s="4" t="n"/>
      <c r="K144" s="4" t="n"/>
    </row>
    <row r="145">
      <c r="A145" s="4" t="inlineStr">
        <is>
          <t>Студент2.18</t>
        </is>
      </c>
      <c r="B145" s="14" t="n"/>
      <c r="C145" s="4" t="inlineStr"/>
      <c r="D145" s="4">
        <f>IF(A145="","",SUMPRODUCT(E145:I145,E$96:I$96))</f>
        <v/>
      </c>
      <c r="E145" s="5" t="n"/>
      <c r="F145" s="5" t="n"/>
      <c r="G145" s="5" t="n"/>
      <c r="H145" s="5" t="n"/>
      <c r="I145" s="5" t="n"/>
      <c r="J145" s="4" t="n"/>
      <c r="K145" s="4" t="n"/>
    </row>
    <row r="146">
      <c r="A146" s="4" t="inlineStr">
        <is>
          <t>Студент2.19</t>
        </is>
      </c>
      <c r="B146" s="14" t="n"/>
      <c r="C146" s="4" t="inlineStr"/>
      <c r="D146" s="4">
        <f>IF(A146="","",SUMPRODUCT(E146:I146,E$96:I$96))</f>
        <v/>
      </c>
      <c r="E146" s="5" t="n"/>
      <c r="F146" s="5" t="n"/>
      <c r="G146" s="5" t="n"/>
      <c r="H146" s="5" t="n"/>
      <c r="I146" s="5" t="n"/>
      <c r="J146" s="4" t="n"/>
      <c r="K146" s="4" t="n"/>
    </row>
    <row r="147">
      <c r="A147" s="4" t="inlineStr">
        <is>
          <t>Студент2.20</t>
        </is>
      </c>
      <c r="B147" s="14" t="n"/>
      <c r="C147" s="4" t="inlineStr"/>
      <c r="D147" s="4">
        <f>IF(A147="","",SUMPRODUCT(E147:I147,E$96:I$96))</f>
        <v/>
      </c>
      <c r="E147" s="5" t="n"/>
      <c r="F147" s="5" t="n"/>
      <c r="G147" s="5" t="n"/>
      <c r="H147" s="5" t="n"/>
      <c r="I147" s="5" t="n"/>
      <c r="J147" s="4" t="n"/>
      <c r="K147" s="4" t="n"/>
    </row>
    <row r="148">
      <c r="A148" s="4" t="inlineStr">
        <is>
          <t>Студент2.21</t>
        </is>
      </c>
      <c r="B148" s="14" t="n"/>
      <c r="C148" s="4" t="inlineStr"/>
      <c r="D148" s="4">
        <f>IF(A148="","",SUMPRODUCT(E148:I148,E$96:I$96))</f>
        <v/>
      </c>
      <c r="E148" s="5" t="n"/>
      <c r="F148" s="5" t="n"/>
      <c r="G148" s="5" t="n"/>
      <c r="H148" s="5" t="n"/>
      <c r="I148" s="5" t="n"/>
      <c r="J148" s="4" t="n"/>
      <c r="K148" s="4" t="n"/>
    </row>
    <row r="149">
      <c r="A149" s="4" t="inlineStr">
        <is>
          <t>Студент2.22</t>
        </is>
      </c>
      <c r="B149" s="14" t="n"/>
      <c r="C149" s="4" t="inlineStr"/>
      <c r="D149" s="4">
        <f>IF(A149="","",SUMPRODUCT(E149:I149,E$96:I$96))</f>
        <v/>
      </c>
      <c r="E149" s="5" t="n"/>
      <c r="F149" s="5" t="n"/>
      <c r="G149" s="5" t="n"/>
      <c r="H149" s="5" t="n"/>
      <c r="I149" s="5" t="n"/>
      <c r="J149" s="4" t="n"/>
      <c r="K149" s="4" t="n"/>
    </row>
    <row r="150">
      <c r="A150" s="4" t="inlineStr">
        <is>
          <t>Студент2.23</t>
        </is>
      </c>
      <c r="B150" s="14" t="n"/>
      <c r="C150" s="4" t="inlineStr"/>
      <c r="D150" s="4">
        <f>IF(A150="","",SUMPRODUCT(E150:I150,E$96:I$96))</f>
        <v/>
      </c>
      <c r="E150" s="5" t="n"/>
      <c r="F150" s="5" t="n"/>
      <c r="G150" s="5" t="n"/>
      <c r="H150" s="5" t="n"/>
      <c r="I150" s="5" t="n"/>
      <c r="J150" s="4" t="n"/>
      <c r="K150" s="4" t="n"/>
    </row>
    <row r="151">
      <c r="A151" s="4" t="inlineStr">
        <is>
          <t>Студент2.24</t>
        </is>
      </c>
      <c r="B151" s="14" t="n"/>
      <c r="C151" s="4" t="inlineStr"/>
      <c r="D151" s="4">
        <f>IF(A151="","",SUMPRODUCT(E151:I151,E$96:I$96))</f>
        <v/>
      </c>
      <c r="E151" s="5" t="n"/>
      <c r="F151" s="5" t="n"/>
      <c r="G151" s="5" t="n"/>
      <c r="H151" s="5" t="n"/>
      <c r="I151" s="5" t="n"/>
      <c r="J151" s="4" t="n"/>
      <c r="K151" s="4" t="n"/>
    </row>
    <row r="152">
      <c r="A152" s="4" t="inlineStr">
        <is>
          <t>Студент2.25</t>
        </is>
      </c>
      <c r="B152" s="14" t="n"/>
      <c r="C152" s="4" t="inlineStr"/>
      <c r="D152" s="4">
        <f>IF(A152="","",SUMPRODUCT(E152:I152,E$96:I$96))</f>
        <v/>
      </c>
      <c r="E152" s="5" t="n"/>
      <c r="F152" s="5" t="n"/>
      <c r="G152" s="5" t="n"/>
      <c r="H152" s="5" t="n"/>
      <c r="I152" s="5" t="n"/>
      <c r="J152" s="4" t="n"/>
      <c r="K152" s="4" t="n"/>
    </row>
    <row r="153">
      <c r="A153" s="4" t="inlineStr">
        <is>
          <t>Студент2.26</t>
        </is>
      </c>
      <c r="B153" s="14" t="n"/>
      <c r="C153" s="4" t="inlineStr"/>
      <c r="D153" s="4">
        <f>IF(A153="","",SUMPRODUCT(E153:I153,E$96:I$96))</f>
        <v/>
      </c>
      <c r="E153" s="5" t="n"/>
      <c r="F153" s="5" t="n"/>
      <c r="G153" s="5" t="n"/>
      <c r="H153" s="5" t="n"/>
      <c r="I153" s="5" t="n"/>
      <c r="J153" s="4" t="n"/>
      <c r="K153" s="4" t="n"/>
    </row>
    <row r="154">
      <c r="A154" s="4" t="inlineStr">
        <is>
          <t>Студент2.27</t>
        </is>
      </c>
      <c r="B154" s="14" t="n"/>
      <c r="C154" s="4" t="inlineStr"/>
      <c r="D154" s="4">
        <f>IF(A154="","",SUMPRODUCT(E154:I154,E$96:I$96))</f>
        <v/>
      </c>
      <c r="E154" s="5" t="n"/>
      <c r="F154" s="5" t="n"/>
      <c r="G154" s="5" t="n"/>
      <c r="H154" s="5" t="n"/>
      <c r="I154" s="5" t="n"/>
      <c r="J154" s="4" t="n"/>
      <c r="K154" s="4" t="n"/>
    </row>
    <row r="155">
      <c r="A155" s="4" t="inlineStr">
        <is>
          <t>Студент2.28</t>
        </is>
      </c>
      <c r="B155" s="14" t="n"/>
      <c r="C155" s="4" t="inlineStr"/>
      <c r="D155" s="4">
        <f>IF(A155="","",SUMPRODUCT(E155:I155,E$96:I$96))</f>
        <v/>
      </c>
      <c r="E155" s="5" t="n"/>
      <c r="F155" s="5" t="n"/>
      <c r="G155" s="5" t="n"/>
      <c r="H155" s="5" t="n"/>
      <c r="I155" s="5" t="n"/>
      <c r="J155" s="4" t="n"/>
      <c r="K155" s="4" t="n"/>
    </row>
    <row r="156">
      <c r="A156" s="4" t="inlineStr">
        <is>
          <t>Студент2.29</t>
        </is>
      </c>
      <c r="B156" s="14" t="n"/>
      <c r="C156" s="4" t="inlineStr"/>
      <c r="D156" s="4">
        <f>IF(A156="","",SUMPRODUCT(E156:I156,E$96:I$96))</f>
        <v/>
      </c>
      <c r="E156" s="5" t="n"/>
      <c r="F156" s="5" t="n"/>
      <c r="G156" s="5" t="n"/>
      <c r="H156" s="5" t="n"/>
      <c r="I156" s="5" t="n"/>
      <c r="J156" s="4" t="n"/>
      <c r="K156" s="4" t="n"/>
    </row>
    <row r="157">
      <c r="A157" s="4" t="inlineStr">
        <is>
          <t>Студент2.30</t>
        </is>
      </c>
      <c r="B157" s="14" t="n"/>
      <c r="C157" s="4" t="inlineStr"/>
      <c r="D157" s="4">
        <f>IF(A157="","",SUMPRODUCT(E157:I157,E$96:I$96))</f>
        <v/>
      </c>
      <c r="E157" s="5" t="n"/>
      <c r="F157" s="5" t="n"/>
      <c r="G157" s="5" t="n"/>
      <c r="H157" s="5" t="n"/>
      <c r="I157" s="5" t="n"/>
      <c r="J157" s="4" t="n"/>
      <c r="K157" s="4" t="n"/>
    </row>
    <row r="158">
      <c r="A158" s="4" t="inlineStr">
        <is>
          <t>Студент3.1</t>
        </is>
      </c>
      <c r="B158" s="14" t="n"/>
      <c r="C158" s="4" t="inlineStr"/>
      <c r="D158" s="4">
        <f>IF(A158="","",SUMPRODUCT(E158:I158,E$96:I$96))</f>
        <v/>
      </c>
      <c r="E158" s="5" t="n"/>
      <c r="F158" s="5" t="n"/>
      <c r="G158" s="5" t="n"/>
      <c r="H158" s="5" t="n"/>
      <c r="I158" s="5" t="n"/>
      <c r="J158" s="4" t="n"/>
      <c r="K158" s="4" t="n"/>
    </row>
    <row r="159">
      <c r="A159" s="4" t="inlineStr">
        <is>
          <t>Студент3.2</t>
        </is>
      </c>
      <c r="B159" s="14" t="n"/>
      <c r="C159" s="4" t="inlineStr"/>
      <c r="D159" s="4">
        <f>IF(A159="","",SUMPRODUCT(E159:I159,E$96:I$96))</f>
        <v/>
      </c>
      <c r="E159" s="5" t="n"/>
      <c r="F159" s="5" t="n"/>
      <c r="G159" s="5" t="n"/>
      <c r="H159" s="5" t="n"/>
      <c r="I159" s="5" t="n"/>
      <c r="J159" s="4" t="n"/>
      <c r="K159" s="4" t="n"/>
    </row>
    <row r="160">
      <c r="A160" s="4" t="inlineStr">
        <is>
          <t>Студент3.3</t>
        </is>
      </c>
      <c r="B160" s="14" t="n"/>
      <c r="C160" s="4" t="inlineStr"/>
      <c r="D160" s="4">
        <f>IF(A160="","",SUMPRODUCT(E160:I160,E$96:I$96))</f>
        <v/>
      </c>
      <c r="E160" s="5" t="n"/>
      <c r="F160" s="5" t="n"/>
      <c r="G160" s="5" t="n"/>
      <c r="H160" s="5" t="n"/>
      <c r="I160" s="5" t="n"/>
      <c r="J160" s="4" t="n"/>
      <c r="K160" s="4" t="n"/>
    </row>
    <row r="161">
      <c r="A161" s="4" t="inlineStr">
        <is>
          <t>Студент3.4</t>
        </is>
      </c>
      <c r="B161" s="14" t="n"/>
      <c r="C161" s="4" t="inlineStr"/>
      <c r="D161" s="4">
        <f>IF(A161="","",SUMPRODUCT(E161:I161,E$96:I$96))</f>
        <v/>
      </c>
      <c r="E161" s="5" t="n"/>
      <c r="F161" s="5" t="n"/>
      <c r="G161" s="5" t="n"/>
      <c r="H161" s="5" t="n"/>
      <c r="I161" s="5" t="n"/>
      <c r="J161" s="4" t="n"/>
      <c r="K161" s="4" t="n"/>
    </row>
    <row r="162">
      <c r="A162" s="4" t="inlineStr">
        <is>
          <t>Студент3.5</t>
        </is>
      </c>
      <c r="B162" s="14" t="n"/>
      <c r="C162" s="4" t="inlineStr"/>
      <c r="D162" s="4">
        <f>IF(A162="","",SUMPRODUCT(E162:I162,E$96:I$96))</f>
        <v/>
      </c>
      <c r="E162" s="5" t="n"/>
      <c r="F162" s="5" t="n"/>
      <c r="G162" s="5" t="n"/>
      <c r="H162" s="5" t="n"/>
      <c r="I162" s="5" t="n"/>
      <c r="J162" s="4" t="n"/>
      <c r="K162" s="4" t="n"/>
    </row>
    <row r="163">
      <c r="A163" s="4" t="inlineStr">
        <is>
          <t>Студент3.6</t>
        </is>
      </c>
      <c r="B163" s="14" t="n"/>
      <c r="C163" s="4" t="inlineStr"/>
      <c r="D163" s="4">
        <f>IF(A163="","",SUMPRODUCT(E163:I163,E$96:I$96))</f>
        <v/>
      </c>
      <c r="E163" s="5" t="n"/>
      <c r="F163" s="5" t="n"/>
      <c r="G163" s="5" t="n"/>
      <c r="H163" s="5" t="n"/>
      <c r="I163" s="5" t="n"/>
      <c r="J163" s="4" t="n"/>
      <c r="K163" s="4" t="n"/>
    </row>
    <row r="164">
      <c r="A164" s="4" t="inlineStr">
        <is>
          <t>Студент3.7</t>
        </is>
      </c>
      <c r="B164" s="14" t="n"/>
      <c r="C164" s="4" t="inlineStr"/>
      <c r="D164" s="4">
        <f>IF(A164="","",SUMPRODUCT(E164:I164,E$96:I$96))</f>
        <v/>
      </c>
      <c r="E164" s="5" t="n"/>
      <c r="F164" s="5" t="n"/>
      <c r="G164" s="5" t="n"/>
      <c r="H164" s="5" t="n"/>
      <c r="I164" s="5" t="n"/>
      <c r="J164" s="4" t="n"/>
      <c r="K164" s="4" t="n"/>
    </row>
    <row r="165">
      <c r="A165" s="4" t="inlineStr">
        <is>
          <t>Студент3.8</t>
        </is>
      </c>
      <c r="B165" s="14" t="n"/>
      <c r="C165" s="4" t="inlineStr"/>
      <c r="D165" s="4">
        <f>IF(A165="","",SUMPRODUCT(E165:I165,E$96:I$96))</f>
        <v/>
      </c>
      <c r="E165" s="5" t="n"/>
      <c r="F165" s="5" t="n"/>
      <c r="G165" s="5" t="n"/>
      <c r="H165" s="5" t="n"/>
      <c r="I165" s="5" t="n"/>
      <c r="J165" s="4" t="n"/>
      <c r="K165" s="4" t="n"/>
    </row>
    <row r="166">
      <c r="A166" s="4" t="inlineStr">
        <is>
          <t>Студент3.9</t>
        </is>
      </c>
      <c r="B166" s="14" t="n"/>
      <c r="C166" s="4" t="inlineStr"/>
      <c r="D166" s="4">
        <f>IF(A166="","",SUMPRODUCT(E166:I166,E$96:I$96))</f>
        <v/>
      </c>
      <c r="E166" s="5" t="n"/>
      <c r="F166" s="5" t="n"/>
      <c r="G166" s="5" t="n"/>
      <c r="H166" s="5" t="n"/>
      <c r="I166" s="5" t="n"/>
      <c r="J166" s="4" t="n"/>
      <c r="K166" s="4" t="n"/>
    </row>
    <row r="167">
      <c r="A167" s="4" t="inlineStr">
        <is>
          <t>Студент3.10</t>
        </is>
      </c>
      <c r="B167" s="14" t="n"/>
      <c r="C167" s="4" t="inlineStr"/>
      <c r="D167" s="4">
        <f>IF(A167="","",SUMPRODUCT(E167:I167,E$96:I$96))</f>
        <v/>
      </c>
      <c r="E167" s="5" t="n"/>
      <c r="F167" s="5" t="n"/>
      <c r="G167" s="5" t="n"/>
      <c r="H167" s="5" t="n"/>
      <c r="I167" s="5" t="n"/>
      <c r="J167" s="4" t="n"/>
      <c r="K167" s="4" t="n"/>
    </row>
    <row r="168">
      <c r="A168" s="4" t="inlineStr">
        <is>
          <t>Студент3.11</t>
        </is>
      </c>
      <c r="B168" s="14" t="n"/>
      <c r="C168" s="4" t="inlineStr"/>
      <c r="D168" s="4">
        <f>IF(A168="","",SUMPRODUCT(E168:I168,E$96:I$96))</f>
        <v/>
      </c>
      <c r="E168" s="5" t="n"/>
      <c r="F168" s="5" t="n"/>
      <c r="G168" s="5" t="n"/>
      <c r="H168" s="5" t="n"/>
      <c r="I168" s="5" t="n"/>
      <c r="J168" s="4" t="n"/>
      <c r="K168" s="4" t="n"/>
    </row>
    <row r="169">
      <c r="A169" s="4" t="inlineStr">
        <is>
          <t>Студент3.12</t>
        </is>
      </c>
      <c r="B169" s="14" t="n"/>
      <c r="C169" s="4" t="inlineStr"/>
      <c r="D169" s="4">
        <f>IF(A169="","",SUMPRODUCT(E169:I169,E$96:I$96))</f>
        <v/>
      </c>
      <c r="E169" s="5" t="n"/>
      <c r="F169" s="5" t="n"/>
      <c r="G169" s="5" t="n"/>
      <c r="H169" s="5" t="n"/>
      <c r="I169" s="5" t="n"/>
      <c r="J169" s="4" t="n"/>
      <c r="K169" s="4" t="n"/>
    </row>
    <row r="170">
      <c r="A170" s="4" t="inlineStr">
        <is>
          <t>Студент3.13</t>
        </is>
      </c>
      <c r="B170" s="14" t="n"/>
      <c r="C170" s="4" t="inlineStr"/>
      <c r="D170" s="4">
        <f>IF(A170="","",SUMPRODUCT(E170:I170,E$96:I$96))</f>
        <v/>
      </c>
      <c r="E170" s="5" t="n"/>
      <c r="F170" s="5" t="n"/>
      <c r="G170" s="5" t="n"/>
      <c r="H170" s="5" t="n"/>
      <c r="I170" s="5" t="n"/>
      <c r="J170" s="4" t="n"/>
      <c r="K170" s="4" t="n"/>
    </row>
    <row r="171">
      <c r="A171" s="4" t="inlineStr">
        <is>
          <t>Студент3.14</t>
        </is>
      </c>
      <c r="B171" s="14" t="n"/>
      <c r="C171" s="4" t="inlineStr"/>
      <c r="D171" s="4">
        <f>IF(A171="","",SUMPRODUCT(E171:I171,E$96:I$96))</f>
        <v/>
      </c>
      <c r="E171" s="5" t="n"/>
      <c r="F171" s="5" t="n"/>
      <c r="G171" s="5" t="n"/>
      <c r="H171" s="5" t="n"/>
      <c r="I171" s="5" t="n"/>
      <c r="J171" s="4" t="n"/>
      <c r="K171" s="4" t="n"/>
    </row>
    <row r="172">
      <c r="A172" s="4" t="inlineStr">
        <is>
          <t>Студент3.15</t>
        </is>
      </c>
      <c r="B172" s="14" t="n"/>
      <c r="C172" s="4" t="inlineStr"/>
      <c r="D172" s="4">
        <f>IF(A172="","",SUMPRODUCT(E172:I172,E$96:I$96))</f>
        <v/>
      </c>
      <c r="E172" s="5" t="n"/>
      <c r="F172" s="5" t="n"/>
      <c r="G172" s="5" t="n"/>
      <c r="H172" s="5" t="n"/>
      <c r="I172" s="5" t="n"/>
      <c r="J172" s="4" t="n"/>
      <c r="K172" s="4" t="n"/>
    </row>
    <row r="173">
      <c r="A173" s="4" t="inlineStr">
        <is>
          <t>Студент3.16</t>
        </is>
      </c>
      <c r="B173" s="14" t="n"/>
      <c r="C173" s="4" t="inlineStr"/>
      <c r="D173" s="4">
        <f>IF(A173="","",SUMPRODUCT(E173:I173,E$96:I$96))</f>
        <v/>
      </c>
      <c r="E173" s="5" t="n"/>
      <c r="F173" s="5" t="n"/>
      <c r="G173" s="5" t="n"/>
      <c r="H173" s="5" t="n"/>
      <c r="I173" s="5" t="n"/>
      <c r="J173" s="4" t="n"/>
      <c r="K173" s="4" t="n"/>
    </row>
    <row r="174">
      <c r="A174" s="4" t="inlineStr">
        <is>
          <t>Студент3.17</t>
        </is>
      </c>
      <c r="B174" s="14" t="n"/>
      <c r="C174" s="4" t="inlineStr"/>
      <c r="D174" s="4">
        <f>IF(A174="","",SUMPRODUCT(E174:I174,E$96:I$96))</f>
        <v/>
      </c>
      <c r="E174" s="5" t="n"/>
      <c r="F174" s="5" t="n"/>
      <c r="G174" s="5" t="n"/>
      <c r="H174" s="5" t="n"/>
      <c r="I174" s="5" t="n"/>
      <c r="J174" s="4" t="n"/>
      <c r="K174" s="4" t="n"/>
    </row>
    <row r="175">
      <c r="A175" s="4" t="inlineStr">
        <is>
          <t>Студент3.18</t>
        </is>
      </c>
      <c r="B175" s="14" t="n"/>
      <c r="C175" s="4" t="inlineStr"/>
      <c r="D175" s="4">
        <f>IF(A175="","",SUMPRODUCT(E175:I175,E$96:I$96))</f>
        <v/>
      </c>
      <c r="E175" s="5" t="n"/>
      <c r="F175" s="5" t="n"/>
      <c r="G175" s="5" t="n"/>
      <c r="H175" s="5" t="n"/>
      <c r="I175" s="5" t="n"/>
      <c r="J175" s="4" t="n"/>
      <c r="K175" s="4" t="n"/>
    </row>
    <row r="176">
      <c r="A176" s="4" t="inlineStr">
        <is>
          <t>Студент3.19</t>
        </is>
      </c>
      <c r="B176" s="14" t="n"/>
      <c r="C176" s="4" t="inlineStr"/>
      <c r="D176" s="4">
        <f>IF(A176="","",SUMPRODUCT(E176:I176,E$96:I$96))</f>
        <v/>
      </c>
      <c r="E176" s="5" t="n"/>
      <c r="F176" s="5" t="n"/>
      <c r="G176" s="5" t="n"/>
      <c r="H176" s="5" t="n"/>
      <c r="I176" s="5" t="n"/>
      <c r="J176" s="4" t="n"/>
      <c r="K176" s="4" t="n"/>
    </row>
    <row r="177">
      <c r="A177" s="4" t="inlineStr">
        <is>
          <t>Студент3.20</t>
        </is>
      </c>
      <c r="B177" s="14" t="n"/>
      <c r="C177" s="4" t="inlineStr"/>
      <c r="D177" s="4">
        <f>IF(A177="","",SUMPRODUCT(E177:I177,E$96:I$96))</f>
        <v/>
      </c>
      <c r="E177" s="5" t="n"/>
      <c r="F177" s="5" t="n"/>
      <c r="G177" s="5" t="n"/>
      <c r="H177" s="5" t="n"/>
      <c r="I177" s="5" t="n"/>
      <c r="J177" s="4" t="n"/>
      <c r="K177" s="4" t="n"/>
    </row>
    <row r="178">
      <c r="A178" s="4" t="inlineStr">
        <is>
          <t>Студент3.21</t>
        </is>
      </c>
      <c r="B178" s="14" t="n"/>
      <c r="C178" s="4" t="inlineStr"/>
      <c r="D178" s="4">
        <f>IF(A178="","",SUMPRODUCT(E178:I178,E$96:I$96))</f>
        <v/>
      </c>
      <c r="E178" s="5" t="n"/>
      <c r="F178" s="5" t="n"/>
      <c r="G178" s="5" t="n"/>
      <c r="H178" s="5" t="n"/>
      <c r="I178" s="5" t="n"/>
      <c r="J178" s="4" t="n"/>
      <c r="K178" s="4" t="n"/>
    </row>
    <row r="179">
      <c r="A179" s="4" t="inlineStr">
        <is>
          <t>Студент3.22</t>
        </is>
      </c>
      <c r="B179" s="14" t="n"/>
      <c r="C179" s="4" t="inlineStr"/>
      <c r="D179" s="4">
        <f>IF(A179="","",SUMPRODUCT(E179:I179,E$96:I$96))</f>
        <v/>
      </c>
      <c r="E179" s="5" t="n"/>
      <c r="F179" s="5" t="n"/>
      <c r="G179" s="5" t="n"/>
      <c r="H179" s="5" t="n"/>
      <c r="I179" s="5" t="n"/>
      <c r="J179" s="4" t="n"/>
      <c r="K179" s="4" t="n"/>
    </row>
    <row r="180">
      <c r="A180" s="4" t="inlineStr">
        <is>
          <t>Студент3.23</t>
        </is>
      </c>
      <c r="B180" s="14" t="n"/>
      <c r="C180" s="4" t="inlineStr"/>
      <c r="D180" s="4">
        <f>IF(A180="","",SUMPRODUCT(E180:I180,E$96:I$96))</f>
        <v/>
      </c>
      <c r="E180" s="5" t="n"/>
      <c r="F180" s="5" t="n"/>
      <c r="G180" s="5" t="n"/>
      <c r="H180" s="5" t="n"/>
      <c r="I180" s="5" t="n"/>
      <c r="J180" s="4" t="n"/>
      <c r="K180" s="4" t="n"/>
    </row>
    <row r="181">
      <c r="A181" s="4" t="inlineStr">
        <is>
          <t>Студент3.24</t>
        </is>
      </c>
      <c r="B181" s="14" t="n"/>
      <c r="C181" s="4" t="inlineStr"/>
      <c r="D181" s="4">
        <f>IF(A181="","",SUMPRODUCT(E181:I181,E$96:I$96))</f>
        <v/>
      </c>
      <c r="E181" s="5" t="n"/>
      <c r="F181" s="5" t="n"/>
      <c r="G181" s="5" t="n"/>
      <c r="H181" s="5" t="n"/>
      <c r="I181" s="5" t="n"/>
      <c r="J181" s="4" t="n"/>
      <c r="K181" s="4" t="n"/>
    </row>
    <row r="182">
      <c r="A182" s="4" t="inlineStr">
        <is>
          <t>Студент3.25</t>
        </is>
      </c>
      <c r="B182" s="14" t="n"/>
      <c r="C182" s="4" t="inlineStr"/>
      <c r="D182" s="4">
        <f>IF(A182="","",SUMPRODUCT(E182:I182,E$96:I$96))</f>
        <v/>
      </c>
      <c r="E182" s="5" t="n"/>
      <c r="F182" s="5" t="n"/>
      <c r="G182" s="5" t="n"/>
      <c r="H182" s="5" t="n"/>
      <c r="I182" s="5" t="n"/>
      <c r="J182" s="4" t="n"/>
      <c r="K182" s="4" t="n"/>
    </row>
    <row r="183">
      <c r="A183" s="4" t="inlineStr">
        <is>
          <t>Студент3.26</t>
        </is>
      </c>
      <c r="B183" s="14" t="n"/>
      <c r="C183" s="4" t="inlineStr"/>
      <c r="D183" s="4">
        <f>IF(A183="","",SUMPRODUCT(E183:I183,E$96:I$96))</f>
        <v/>
      </c>
      <c r="E183" s="5" t="n"/>
      <c r="F183" s="5" t="n"/>
      <c r="G183" s="5" t="n"/>
      <c r="H183" s="5" t="n"/>
      <c r="I183" s="5" t="n"/>
      <c r="J183" s="4" t="n"/>
      <c r="K183" s="4" t="n"/>
    </row>
    <row r="184">
      <c r="A184" s="4" t="inlineStr">
        <is>
          <t>Студент3.27</t>
        </is>
      </c>
      <c r="B184" s="14" t="n"/>
      <c r="C184" s="4" t="inlineStr"/>
      <c r="D184" s="4">
        <f>IF(A184="","",SUMPRODUCT(E184:I184,E$96:I$96))</f>
        <v/>
      </c>
      <c r="E184" s="5" t="n"/>
      <c r="F184" s="5" t="n"/>
      <c r="G184" s="5" t="n"/>
      <c r="H184" s="5" t="n"/>
      <c r="I184" s="5" t="n"/>
      <c r="J184" s="4" t="n"/>
      <c r="K184" s="4" t="n"/>
    </row>
    <row r="185">
      <c r="A185" s="4" t="inlineStr">
        <is>
          <t>Студент3.28</t>
        </is>
      </c>
      <c r="B185" s="14" t="n"/>
      <c r="C185" s="4" t="inlineStr"/>
      <c r="D185" s="4">
        <f>IF(A185="","",SUMPRODUCT(E185:I185,E$96:I$96))</f>
        <v/>
      </c>
      <c r="E185" s="5" t="n"/>
      <c r="F185" s="5" t="n"/>
      <c r="G185" s="5" t="n"/>
      <c r="H185" s="5" t="n"/>
      <c r="I185" s="5" t="n"/>
      <c r="J185" s="4" t="n"/>
      <c r="K185" s="4" t="n"/>
    </row>
    <row r="186">
      <c r="A186" s="4" t="inlineStr">
        <is>
          <t>Студент3.29</t>
        </is>
      </c>
      <c r="B186" s="14" t="n"/>
      <c r="C186" s="4" t="inlineStr"/>
      <c r="D186" s="4">
        <f>IF(A186="","",SUMPRODUCT(E186:I186,E$96:I$96))</f>
        <v/>
      </c>
      <c r="E186" s="5" t="n"/>
      <c r="F186" s="5" t="n"/>
      <c r="G186" s="5" t="n"/>
      <c r="H186" s="5" t="n"/>
      <c r="I186" s="5" t="n"/>
      <c r="J186" s="4" t="n"/>
      <c r="K186" s="4" t="n"/>
    </row>
    <row r="187">
      <c r="A187" s="4" t="inlineStr">
        <is>
          <t>Студент3.30</t>
        </is>
      </c>
      <c r="B187" s="14" t="n"/>
      <c r="C187" s="4" t="inlineStr"/>
      <c r="D187" s="4">
        <f>IF(A187="","",SUMPRODUCT(E187:I187,E$96:I$96))</f>
        <v/>
      </c>
      <c r="E187" s="5" t="n"/>
      <c r="F187" s="5" t="n"/>
      <c r="G187" s="5" t="n"/>
      <c r="H187" s="5" t="n"/>
      <c r="I187" s="5" t="n"/>
      <c r="J187" s="4" t="n"/>
      <c r="K187" s="4" t="n"/>
    </row>
    <row r="189">
      <c r="A189" s="6" t="inlineStr">
        <is>
          <t>КР-2</t>
        </is>
      </c>
    </row>
    <row r="190">
      <c r="D190" t="inlineStr">
        <is>
          <t>W</t>
        </is>
      </c>
      <c r="E190" t="n">
        <v>1</v>
      </c>
      <c r="F190" t="n">
        <v>1</v>
      </c>
      <c r="G190" t="n">
        <v>1</v>
      </c>
      <c r="H190" t="n">
        <v>1.5</v>
      </c>
      <c r="I190" t="n">
        <v>1</v>
      </c>
    </row>
    <row r="191" ht="28" customHeight="1">
      <c r="A191" s="9" t="inlineStr">
        <is>
          <t>Имя</t>
        </is>
      </c>
      <c r="B191" s="10" t="inlineStr">
        <is>
          <t>Попытка</t>
        </is>
      </c>
      <c r="C191" s="11" t="inlineStr">
        <is>
          <t>TG</t>
        </is>
      </c>
      <c r="D191" s="12" t="inlineStr">
        <is>
          <t>S</t>
        </is>
      </c>
      <c r="E191" s="13" t="n">
        <v>1</v>
      </c>
      <c r="F191" s="13" t="n">
        <v>2</v>
      </c>
      <c r="G191" s="13" t="n">
        <v>3</v>
      </c>
      <c r="H191" s="13" t="n">
        <v>4</v>
      </c>
      <c r="I191" s="13" t="n">
        <v>5</v>
      </c>
      <c r="J191" s="3" t="n"/>
      <c r="K191" s="3" t="n"/>
    </row>
    <row r="192">
      <c r="A192" s="4" t="inlineStr">
        <is>
          <t>Студент1.1</t>
        </is>
      </c>
      <c r="B192" s="14" t="n"/>
      <c r="C192" s="4" t="inlineStr"/>
      <c r="D192" s="4">
        <f>IF(A192="","",SUMPRODUCT(E192:I192,E$190:I$190))</f>
        <v/>
      </c>
      <c r="E192" s="5" t="n"/>
      <c r="F192" s="5" t="n"/>
      <c r="G192" s="5" t="n"/>
      <c r="H192" s="5" t="n"/>
      <c r="I192" s="5" t="n"/>
      <c r="J192" s="4" t="n"/>
      <c r="K192" s="4" t="n"/>
    </row>
    <row r="193">
      <c r="A193" s="4" t="inlineStr">
        <is>
          <t>Студент1.2</t>
        </is>
      </c>
      <c r="B193" s="14" t="n"/>
      <c r="C193" s="4" t="inlineStr"/>
      <c r="D193" s="4">
        <f>IF(A193="","",SUMPRODUCT(E193:I193,E$190:I$190))</f>
        <v/>
      </c>
      <c r="E193" s="5" t="n"/>
      <c r="F193" s="5" t="n"/>
      <c r="G193" s="5" t="n"/>
      <c r="H193" s="5" t="n"/>
      <c r="I193" s="5" t="n"/>
      <c r="J193" s="4" t="n"/>
      <c r="K193" s="4" t="n"/>
    </row>
    <row r="194">
      <c r="A194" s="4" t="inlineStr">
        <is>
          <t>Студент1.3</t>
        </is>
      </c>
      <c r="B194" s="14" t="n"/>
      <c r="C194" s="4" t="inlineStr"/>
      <c r="D194" s="4">
        <f>IF(A194="","",SUMPRODUCT(E194:I194,E$190:I$190))</f>
        <v/>
      </c>
      <c r="E194" s="5" t="n"/>
      <c r="F194" s="5" t="n"/>
      <c r="G194" s="5" t="n"/>
      <c r="H194" s="5" t="n"/>
      <c r="I194" s="5" t="n"/>
      <c r="J194" s="4" t="n"/>
      <c r="K194" s="4" t="n"/>
    </row>
    <row r="195">
      <c r="A195" s="4" t="inlineStr">
        <is>
          <t>Студент1.4</t>
        </is>
      </c>
      <c r="B195" s="14" t="n"/>
      <c r="C195" s="4" t="inlineStr"/>
      <c r="D195" s="4">
        <f>IF(A195="","",SUMPRODUCT(E195:I195,E$190:I$190))</f>
        <v/>
      </c>
      <c r="E195" s="5" t="n"/>
      <c r="F195" s="5" t="n"/>
      <c r="G195" s="5" t="n"/>
      <c r="H195" s="5" t="n"/>
      <c r="I195" s="5" t="n"/>
      <c r="J195" s="4" t="n"/>
      <c r="K195" s="4" t="n"/>
    </row>
    <row r="196">
      <c r="A196" s="4" t="inlineStr">
        <is>
          <t>Студент1.5</t>
        </is>
      </c>
      <c r="B196" s="14" t="n"/>
      <c r="C196" s="4" t="inlineStr"/>
      <c r="D196" s="4">
        <f>IF(A196="","",SUMPRODUCT(E196:I196,E$190:I$190))</f>
        <v/>
      </c>
      <c r="E196" s="5" t="n"/>
      <c r="F196" s="5" t="n"/>
      <c r="G196" s="5" t="n"/>
      <c r="H196" s="5" t="n"/>
      <c r="I196" s="5" t="n"/>
      <c r="J196" s="4" t="n"/>
      <c r="K196" s="4" t="n"/>
    </row>
    <row r="197">
      <c r="A197" s="4" t="inlineStr">
        <is>
          <t>Студент1.6</t>
        </is>
      </c>
      <c r="B197" s="14" t="n"/>
      <c r="C197" s="4" t="inlineStr"/>
      <c r="D197" s="4">
        <f>IF(A197="","",SUMPRODUCT(E197:I197,E$190:I$190))</f>
        <v/>
      </c>
      <c r="E197" s="5" t="n"/>
      <c r="F197" s="5" t="n"/>
      <c r="G197" s="5" t="n"/>
      <c r="H197" s="5" t="n"/>
      <c r="I197" s="5" t="n"/>
      <c r="J197" s="4" t="n"/>
      <c r="K197" s="4" t="n"/>
    </row>
    <row r="198">
      <c r="A198" s="4" t="inlineStr">
        <is>
          <t>Студент1.7</t>
        </is>
      </c>
      <c r="B198" s="14" t="n"/>
      <c r="C198" s="4" t="inlineStr"/>
      <c r="D198" s="4">
        <f>IF(A198="","",SUMPRODUCT(E198:I198,E$190:I$190))</f>
        <v/>
      </c>
      <c r="E198" s="5" t="n"/>
      <c r="F198" s="5" t="n"/>
      <c r="G198" s="5" t="n"/>
      <c r="H198" s="5" t="n"/>
      <c r="I198" s="5" t="n"/>
      <c r="J198" s="4" t="n"/>
      <c r="K198" s="4" t="n"/>
    </row>
    <row r="199">
      <c r="A199" s="4" t="inlineStr">
        <is>
          <t>Студент1.8</t>
        </is>
      </c>
      <c r="B199" s="14" t="n"/>
      <c r="C199" s="4" t="inlineStr"/>
      <c r="D199" s="4">
        <f>IF(A199="","",SUMPRODUCT(E199:I199,E$190:I$190))</f>
        <v/>
      </c>
      <c r="E199" s="5" t="n"/>
      <c r="F199" s="5" t="n"/>
      <c r="G199" s="5" t="n"/>
      <c r="H199" s="5" t="n"/>
      <c r="I199" s="5" t="n"/>
      <c r="J199" s="4" t="n"/>
      <c r="K199" s="4" t="n"/>
    </row>
    <row r="200">
      <c r="A200" s="4" t="inlineStr">
        <is>
          <t>Студент1.9</t>
        </is>
      </c>
      <c r="B200" s="14" t="n"/>
      <c r="C200" s="4" t="inlineStr"/>
      <c r="D200" s="4">
        <f>IF(A200="","",SUMPRODUCT(E200:I200,E$190:I$190))</f>
        <v/>
      </c>
      <c r="E200" s="5" t="n"/>
      <c r="F200" s="5" t="n"/>
      <c r="G200" s="5" t="n"/>
      <c r="H200" s="5" t="n"/>
      <c r="I200" s="5" t="n"/>
      <c r="J200" s="4" t="n"/>
      <c r="K200" s="4" t="n"/>
    </row>
    <row r="201">
      <c r="A201" s="4" t="inlineStr">
        <is>
          <t>Студент1.10</t>
        </is>
      </c>
      <c r="B201" s="14" t="n"/>
      <c r="C201" s="4" t="inlineStr"/>
      <c r="D201" s="4">
        <f>IF(A201="","",SUMPRODUCT(E201:I201,E$190:I$190))</f>
        <v/>
      </c>
      <c r="E201" s="5" t="n"/>
      <c r="F201" s="5" t="n"/>
      <c r="G201" s="5" t="n"/>
      <c r="H201" s="5" t="n"/>
      <c r="I201" s="5" t="n"/>
      <c r="J201" s="4" t="n"/>
      <c r="K201" s="4" t="n"/>
    </row>
    <row r="202">
      <c r="A202" s="4" t="inlineStr">
        <is>
          <t>Студент1.11</t>
        </is>
      </c>
      <c r="B202" s="14" t="n"/>
      <c r="C202" s="4" t="inlineStr"/>
      <c r="D202" s="4">
        <f>IF(A202="","",SUMPRODUCT(E202:I202,E$190:I$190))</f>
        <v/>
      </c>
      <c r="E202" s="5" t="n"/>
      <c r="F202" s="5" t="n"/>
      <c r="G202" s="5" t="n"/>
      <c r="H202" s="5" t="n"/>
      <c r="I202" s="5" t="n"/>
      <c r="J202" s="4" t="n"/>
      <c r="K202" s="4" t="n"/>
    </row>
    <row r="203">
      <c r="A203" s="4" t="inlineStr">
        <is>
          <t>Студент1.12</t>
        </is>
      </c>
      <c r="B203" s="14" t="n"/>
      <c r="C203" s="4" t="inlineStr"/>
      <c r="D203" s="4">
        <f>IF(A203="","",SUMPRODUCT(E203:I203,E$190:I$190))</f>
        <v/>
      </c>
      <c r="E203" s="5" t="n"/>
      <c r="F203" s="5" t="n"/>
      <c r="G203" s="5" t="n"/>
      <c r="H203" s="5" t="n"/>
      <c r="I203" s="5" t="n"/>
      <c r="J203" s="4" t="n"/>
      <c r="K203" s="4" t="n"/>
    </row>
    <row r="204">
      <c r="A204" s="4" t="inlineStr">
        <is>
          <t>Студент1.13</t>
        </is>
      </c>
      <c r="B204" s="14" t="n"/>
      <c r="C204" s="4" t="inlineStr"/>
      <c r="D204" s="4">
        <f>IF(A204="","",SUMPRODUCT(E204:I204,E$190:I$190))</f>
        <v/>
      </c>
      <c r="E204" s="5" t="n"/>
      <c r="F204" s="5" t="n"/>
      <c r="G204" s="5" t="n"/>
      <c r="H204" s="5" t="n"/>
      <c r="I204" s="5" t="n"/>
      <c r="J204" s="4" t="n"/>
      <c r="K204" s="4" t="n"/>
    </row>
    <row r="205">
      <c r="A205" s="4" t="inlineStr">
        <is>
          <t>Студент1.14</t>
        </is>
      </c>
      <c r="B205" s="14" t="n"/>
      <c r="C205" s="4" t="inlineStr"/>
      <c r="D205" s="4">
        <f>IF(A205="","",SUMPRODUCT(E205:I205,E$190:I$190))</f>
        <v/>
      </c>
      <c r="E205" s="5" t="n"/>
      <c r="F205" s="5" t="n"/>
      <c r="G205" s="5" t="n"/>
      <c r="H205" s="5" t="n"/>
      <c r="I205" s="5" t="n"/>
      <c r="J205" s="4" t="n"/>
      <c r="K205" s="4" t="n"/>
    </row>
    <row r="206">
      <c r="A206" s="4" t="inlineStr">
        <is>
          <t>Студент1.15</t>
        </is>
      </c>
      <c r="B206" s="14" t="n"/>
      <c r="C206" s="4" t="inlineStr"/>
      <c r="D206" s="4">
        <f>IF(A206="","",SUMPRODUCT(E206:I206,E$190:I$190))</f>
        <v/>
      </c>
      <c r="E206" s="5" t="n"/>
      <c r="F206" s="5" t="n"/>
      <c r="G206" s="5" t="n"/>
      <c r="H206" s="5" t="n"/>
      <c r="I206" s="5" t="n"/>
      <c r="J206" s="4" t="n"/>
      <c r="K206" s="4" t="n"/>
    </row>
    <row r="207">
      <c r="A207" s="4" t="inlineStr">
        <is>
          <t>Студент1.16</t>
        </is>
      </c>
      <c r="B207" s="14" t="n"/>
      <c r="C207" s="4" t="inlineStr"/>
      <c r="D207" s="4">
        <f>IF(A207="","",SUMPRODUCT(E207:I207,E$190:I$190))</f>
        <v/>
      </c>
      <c r="E207" s="5" t="n"/>
      <c r="F207" s="5" t="n"/>
      <c r="G207" s="5" t="n"/>
      <c r="H207" s="5" t="n"/>
      <c r="I207" s="5" t="n"/>
      <c r="J207" s="4" t="n"/>
      <c r="K207" s="4" t="n"/>
    </row>
    <row r="208">
      <c r="A208" s="4" t="inlineStr">
        <is>
          <t>Студент1.17</t>
        </is>
      </c>
      <c r="B208" s="14" t="n"/>
      <c r="C208" s="4" t="inlineStr"/>
      <c r="D208" s="4">
        <f>IF(A208="","",SUMPRODUCT(E208:I208,E$190:I$190))</f>
        <v/>
      </c>
      <c r="E208" s="5" t="n"/>
      <c r="F208" s="5" t="n"/>
      <c r="G208" s="5" t="n"/>
      <c r="H208" s="5" t="n"/>
      <c r="I208" s="5" t="n"/>
      <c r="J208" s="4" t="n"/>
      <c r="K208" s="4" t="n"/>
    </row>
    <row r="209">
      <c r="A209" s="4" t="inlineStr">
        <is>
          <t>Студент1.18</t>
        </is>
      </c>
      <c r="B209" s="14" t="n"/>
      <c r="C209" s="4" t="inlineStr"/>
      <c r="D209" s="4">
        <f>IF(A209="","",SUMPRODUCT(E209:I209,E$190:I$190))</f>
        <v/>
      </c>
      <c r="E209" s="5" t="n"/>
      <c r="F209" s="5" t="n"/>
      <c r="G209" s="5" t="n"/>
      <c r="H209" s="5" t="n"/>
      <c r="I209" s="5" t="n"/>
      <c r="J209" s="4" t="n"/>
      <c r="K209" s="4" t="n"/>
    </row>
    <row r="210">
      <c r="A210" s="4" t="inlineStr">
        <is>
          <t>Студент1.19</t>
        </is>
      </c>
      <c r="B210" s="14" t="n"/>
      <c r="C210" s="4" t="inlineStr"/>
      <c r="D210" s="4">
        <f>IF(A210="","",SUMPRODUCT(E210:I210,E$190:I$190))</f>
        <v/>
      </c>
      <c r="E210" s="5" t="n"/>
      <c r="F210" s="5" t="n"/>
      <c r="G210" s="5" t="n"/>
      <c r="H210" s="5" t="n"/>
      <c r="I210" s="5" t="n"/>
      <c r="J210" s="4" t="n"/>
      <c r="K210" s="4" t="n"/>
    </row>
    <row r="211">
      <c r="A211" s="4" t="inlineStr">
        <is>
          <t>Студент1.20</t>
        </is>
      </c>
      <c r="B211" s="14" t="n"/>
      <c r="C211" s="4" t="inlineStr"/>
      <c r="D211" s="4">
        <f>IF(A211="","",SUMPRODUCT(E211:I211,E$190:I$190))</f>
        <v/>
      </c>
      <c r="E211" s="5" t="n"/>
      <c r="F211" s="5" t="n"/>
      <c r="G211" s="5" t="n"/>
      <c r="H211" s="5" t="n"/>
      <c r="I211" s="5" t="n"/>
      <c r="J211" s="4" t="n"/>
      <c r="K211" s="4" t="n"/>
    </row>
    <row r="212">
      <c r="A212" s="4" t="inlineStr">
        <is>
          <t>Студент1.21</t>
        </is>
      </c>
      <c r="B212" s="14" t="n"/>
      <c r="C212" s="4" t="inlineStr"/>
      <c r="D212" s="4">
        <f>IF(A212="","",SUMPRODUCT(E212:I212,E$190:I$190))</f>
        <v/>
      </c>
      <c r="E212" s="5" t="n"/>
      <c r="F212" s="5" t="n"/>
      <c r="G212" s="5" t="n"/>
      <c r="H212" s="5" t="n"/>
      <c r="I212" s="5" t="n"/>
      <c r="J212" s="4" t="n"/>
      <c r="K212" s="4" t="n"/>
    </row>
    <row r="213">
      <c r="A213" s="4" t="inlineStr">
        <is>
          <t>Студент1.22</t>
        </is>
      </c>
      <c r="B213" s="14" t="n"/>
      <c r="C213" s="4" t="inlineStr"/>
      <c r="D213" s="4">
        <f>IF(A213="","",SUMPRODUCT(E213:I213,E$190:I$190))</f>
        <v/>
      </c>
      <c r="E213" s="5" t="n"/>
      <c r="F213" s="5" t="n"/>
      <c r="G213" s="5" t="n"/>
      <c r="H213" s="5" t="n"/>
      <c r="I213" s="5" t="n"/>
      <c r="J213" s="4" t="n"/>
      <c r="K213" s="4" t="n"/>
    </row>
    <row r="214">
      <c r="A214" s="4" t="inlineStr">
        <is>
          <t>Студент1.23</t>
        </is>
      </c>
      <c r="B214" s="14" t="n"/>
      <c r="C214" s="4" t="inlineStr"/>
      <c r="D214" s="4">
        <f>IF(A214="","",SUMPRODUCT(E214:I214,E$190:I$190))</f>
        <v/>
      </c>
      <c r="E214" s="5" t="n"/>
      <c r="F214" s="5" t="n"/>
      <c r="G214" s="5" t="n"/>
      <c r="H214" s="5" t="n"/>
      <c r="I214" s="5" t="n"/>
      <c r="J214" s="4" t="n"/>
      <c r="K214" s="4" t="n"/>
    </row>
    <row r="215">
      <c r="A215" s="4" t="inlineStr">
        <is>
          <t>Студент1.24</t>
        </is>
      </c>
      <c r="B215" s="14" t="n"/>
      <c r="C215" s="4" t="inlineStr"/>
      <c r="D215" s="4">
        <f>IF(A215="","",SUMPRODUCT(E215:I215,E$190:I$190))</f>
        <v/>
      </c>
      <c r="E215" s="5" t="n"/>
      <c r="F215" s="5" t="n"/>
      <c r="G215" s="5" t="n"/>
      <c r="H215" s="5" t="n"/>
      <c r="I215" s="5" t="n"/>
      <c r="J215" s="4" t="n"/>
      <c r="K215" s="4" t="n"/>
    </row>
    <row r="216">
      <c r="A216" s="4" t="inlineStr">
        <is>
          <t>Студент1.25</t>
        </is>
      </c>
      <c r="B216" s="14" t="n"/>
      <c r="C216" s="4" t="inlineStr"/>
      <c r="D216" s="4">
        <f>IF(A216="","",SUMPRODUCT(E216:I216,E$190:I$190))</f>
        <v/>
      </c>
      <c r="E216" s="5" t="n"/>
      <c r="F216" s="5" t="n"/>
      <c r="G216" s="5" t="n"/>
      <c r="H216" s="5" t="n"/>
      <c r="I216" s="5" t="n"/>
      <c r="J216" s="4" t="n"/>
      <c r="K216" s="4" t="n"/>
    </row>
    <row r="217">
      <c r="A217" s="4" t="inlineStr">
        <is>
          <t>Студент1.26</t>
        </is>
      </c>
      <c r="B217" s="14" t="n"/>
      <c r="C217" s="4" t="inlineStr"/>
      <c r="D217" s="4">
        <f>IF(A217="","",SUMPRODUCT(E217:I217,E$190:I$190))</f>
        <v/>
      </c>
      <c r="E217" s="5" t="n"/>
      <c r="F217" s="5" t="n"/>
      <c r="G217" s="5" t="n"/>
      <c r="H217" s="5" t="n"/>
      <c r="I217" s="5" t="n"/>
      <c r="J217" s="4" t="n"/>
      <c r="K217" s="4" t="n"/>
    </row>
    <row r="218">
      <c r="A218" s="4" t="inlineStr">
        <is>
          <t>Студент1.27</t>
        </is>
      </c>
      <c r="B218" s="14" t="n"/>
      <c r="C218" s="4" t="inlineStr"/>
      <c r="D218" s="4">
        <f>IF(A218="","",SUMPRODUCT(E218:I218,E$190:I$190))</f>
        <v/>
      </c>
      <c r="E218" s="5" t="n"/>
      <c r="F218" s="5" t="n"/>
      <c r="G218" s="5" t="n"/>
      <c r="H218" s="5" t="n"/>
      <c r="I218" s="5" t="n"/>
      <c r="J218" s="4" t="n"/>
      <c r="K218" s="4" t="n"/>
    </row>
    <row r="219">
      <c r="A219" s="4" t="inlineStr">
        <is>
          <t>Студент1.28</t>
        </is>
      </c>
      <c r="B219" s="14" t="n"/>
      <c r="C219" s="4" t="inlineStr"/>
      <c r="D219" s="4">
        <f>IF(A219="","",SUMPRODUCT(E219:I219,E$190:I$190))</f>
        <v/>
      </c>
      <c r="E219" s="5" t="n"/>
      <c r="F219" s="5" t="n"/>
      <c r="G219" s="5" t="n"/>
      <c r="H219" s="5" t="n"/>
      <c r="I219" s="5" t="n"/>
      <c r="J219" s="4" t="n"/>
      <c r="K219" s="4" t="n"/>
    </row>
    <row r="220">
      <c r="A220" s="4" t="inlineStr">
        <is>
          <t>Студент1.29</t>
        </is>
      </c>
      <c r="B220" s="14" t="n"/>
      <c r="C220" s="4" t="inlineStr"/>
      <c r="D220" s="4">
        <f>IF(A220="","",SUMPRODUCT(E220:I220,E$190:I$190))</f>
        <v/>
      </c>
      <c r="E220" s="5" t="n"/>
      <c r="F220" s="5" t="n"/>
      <c r="G220" s="5" t="n"/>
      <c r="H220" s="5" t="n"/>
      <c r="I220" s="5" t="n"/>
      <c r="J220" s="4" t="n"/>
      <c r="K220" s="4" t="n"/>
    </row>
    <row r="221">
      <c r="A221" s="4" t="inlineStr">
        <is>
          <t>Студент1.30</t>
        </is>
      </c>
      <c r="B221" s="14" t="n"/>
      <c r="C221" s="4" t="inlineStr"/>
      <c r="D221" s="4">
        <f>IF(A221="","",SUMPRODUCT(E221:I221,E$190:I$190))</f>
        <v/>
      </c>
      <c r="E221" s="5" t="n"/>
      <c r="F221" s="5" t="n"/>
      <c r="G221" s="5" t="n"/>
      <c r="H221" s="5" t="n"/>
      <c r="I221" s="5" t="n"/>
      <c r="J221" s="4" t="n"/>
      <c r="K221" s="4" t="n"/>
    </row>
    <row r="222">
      <c r="A222" s="4" t="inlineStr">
        <is>
          <t>Студент2.1</t>
        </is>
      </c>
      <c r="B222" s="14" t="n"/>
      <c r="C222" s="4" t="inlineStr"/>
      <c r="D222" s="4">
        <f>IF(A222="","",SUMPRODUCT(E222:I222,E$190:I$190))</f>
        <v/>
      </c>
      <c r="E222" s="5" t="n"/>
      <c r="F222" s="5" t="n"/>
      <c r="G222" s="5" t="n"/>
      <c r="H222" s="5" t="n"/>
      <c r="I222" s="5" t="n"/>
      <c r="J222" s="4" t="n"/>
      <c r="K222" s="4" t="n"/>
    </row>
    <row r="223">
      <c r="A223" s="4" t="inlineStr">
        <is>
          <t>Студент2.2</t>
        </is>
      </c>
      <c r="B223" s="14" t="n"/>
      <c r="C223" s="4" t="inlineStr"/>
      <c r="D223" s="4">
        <f>IF(A223="","",SUMPRODUCT(E223:I223,E$190:I$190))</f>
        <v/>
      </c>
      <c r="E223" s="5" t="n"/>
      <c r="F223" s="5" t="n"/>
      <c r="G223" s="5" t="n"/>
      <c r="H223" s="5" t="n"/>
      <c r="I223" s="5" t="n"/>
      <c r="J223" s="4" t="n"/>
      <c r="K223" s="4" t="n"/>
    </row>
    <row r="224">
      <c r="A224" s="4" t="inlineStr">
        <is>
          <t>Студент2.3</t>
        </is>
      </c>
      <c r="B224" s="14" t="n"/>
      <c r="C224" s="4" t="inlineStr"/>
      <c r="D224" s="4">
        <f>IF(A224="","",SUMPRODUCT(E224:I224,E$190:I$190))</f>
        <v/>
      </c>
      <c r="E224" s="5" t="n"/>
      <c r="F224" s="5" t="n"/>
      <c r="G224" s="5" t="n"/>
      <c r="H224" s="5" t="n"/>
      <c r="I224" s="5" t="n"/>
      <c r="J224" s="4" t="n"/>
      <c r="K224" s="4" t="n"/>
    </row>
    <row r="225">
      <c r="A225" s="4" t="inlineStr">
        <is>
          <t>Студент2.4</t>
        </is>
      </c>
      <c r="B225" s="14" t="n"/>
      <c r="C225" s="4" t="inlineStr"/>
      <c r="D225" s="4">
        <f>IF(A225="","",SUMPRODUCT(E225:I225,E$190:I$190))</f>
        <v/>
      </c>
      <c r="E225" s="5" t="n"/>
      <c r="F225" s="5" t="n"/>
      <c r="G225" s="5" t="n"/>
      <c r="H225" s="5" t="n"/>
      <c r="I225" s="5" t="n"/>
      <c r="J225" s="4" t="n"/>
      <c r="K225" s="4" t="n"/>
    </row>
    <row r="226">
      <c r="A226" s="4" t="inlineStr">
        <is>
          <t>Студент2.5</t>
        </is>
      </c>
      <c r="B226" s="14" t="n"/>
      <c r="C226" s="4" t="inlineStr"/>
      <c r="D226" s="4">
        <f>IF(A226="","",SUMPRODUCT(E226:I226,E$190:I$190))</f>
        <v/>
      </c>
      <c r="E226" s="5" t="n"/>
      <c r="F226" s="5" t="n"/>
      <c r="G226" s="5" t="n"/>
      <c r="H226" s="5" t="n"/>
      <c r="I226" s="5" t="n"/>
      <c r="J226" s="4" t="n"/>
      <c r="K226" s="4" t="n"/>
    </row>
    <row r="227">
      <c r="A227" s="4" t="inlineStr">
        <is>
          <t>Студент2.6</t>
        </is>
      </c>
      <c r="B227" s="14" t="n"/>
      <c r="C227" s="4" t="inlineStr"/>
      <c r="D227" s="4">
        <f>IF(A227="","",SUMPRODUCT(E227:I227,E$190:I$190))</f>
        <v/>
      </c>
      <c r="E227" s="5" t="n"/>
      <c r="F227" s="5" t="n"/>
      <c r="G227" s="5" t="n"/>
      <c r="H227" s="5" t="n"/>
      <c r="I227" s="5" t="n"/>
      <c r="J227" s="4" t="n"/>
      <c r="K227" s="4" t="n"/>
    </row>
    <row r="228">
      <c r="A228" s="4" t="inlineStr">
        <is>
          <t>Студент2.7</t>
        </is>
      </c>
      <c r="B228" s="14" t="n"/>
      <c r="C228" s="4" t="inlineStr"/>
      <c r="D228" s="4">
        <f>IF(A228="","",SUMPRODUCT(E228:I228,E$190:I$190))</f>
        <v/>
      </c>
      <c r="E228" s="5" t="n"/>
      <c r="F228" s="5" t="n"/>
      <c r="G228" s="5" t="n"/>
      <c r="H228" s="5" t="n"/>
      <c r="I228" s="5" t="n"/>
      <c r="J228" s="4" t="n"/>
      <c r="K228" s="4" t="n"/>
    </row>
    <row r="229">
      <c r="A229" s="4" t="inlineStr">
        <is>
          <t>Студент2.8</t>
        </is>
      </c>
      <c r="B229" s="14" t="n"/>
      <c r="C229" s="4" t="inlineStr"/>
      <c r="D229" s="4">
        <f>IF(A229="","",SUMPRODUCT(E229:I229,E$190:I$190))</f>
        <v/>
      </c>
      <c r="E229" s="5" t="n"/>
      <c r="F229" s="5" t="n"/>
      <c r="G229" s="5" t="n"/>
      <c r="H229" s="5" t="n"/>
      <c r="I229" s="5" t="n"/>
      <c r="J229" s="4" t="n"/>
      <c r="K229" s="4" t="n"/>
    </row>
    <row r="230">
      <c r="A230" s="4" t="inlineStr">
        <is>
          <t>Студент2.9</t>
        </is>
      </c>
      <c r="B230" s="14" t="n"/>
      <c r="C230" s="4" t="inlineStr"/>
      <c r="D230" s="4">
        <f>IF(A230="","",SUMPRODUCT(E230:I230,E$190:I$190))</f>
        <v/>
      </c>
      <c r="E230" s="5" t="n"/>
      <c r="F230" s="5" t="n"/>
      <c r="G230" s="5" t="n"/>
      <c r="H230" s="5" t="n"/>
      <c r="I230" s="5" t="n"/>
      <c r="J230" s="4" t="n"/>
      <c r="K230" s="4" t="n"/>
    </row>
    <row r="231">
      <c r="A231" s="4" t="inlineStr">
        <is>
          <t>Студент2.10</t>
        </is>
      </c>
      <c r="B231" s="14" t="n"/>
      <c r="C231" s="4" t="inlineStr"/>
      <c r="D231" s="4">
        <f>IF(A231="","",SUMPRODUCT(E231:I231,E$190:I$190))</f>
        <v/>
      </c>
      <c r="E231" s="5" t="n"/>
      <c r="F231" s="5" t="n"/>
      <c r="G231" s="5" t="n"/>
      <c r="H231" s="5" t="n"/>
      <c r="I231" s="5" t="n"/>
      <c r="J231" s="4" t="n"/>
      <c r="K231" s="4" t="n"/>
    </row>
    <row r="232">
      <c r="A232" s="4" t="inlineStr">
        <is>
          <t>Студент2.11</t>
        </is>
      </c>
      <c r="B232" s="14" t="n"/>
      <c r="C232" s="4" t="inlineStr"/>
      <c r="D232" s="4">
        <f>IF(A232="","",SUMPRODUCT(E232:I232,E$190:I$190))</f>
        <v/>
      </c>
      <c r="E232" s="5" t="n"/>
      <c r="F232" s="5" t="n"/>
      <c r="G232" s="5" t="n"/>
      <c r="H232" s="5" t="n"/>
      <c r="I232" s="5" t="n"/>
      <c r="J232" s="4" t="n"/>
      <c r="K232" s="4" t="n"/>
    </row>
    <row r="233">
      <c r="A233" s="4" t="inlineStr">
        <is>
          <t>Студент2.12</t>
        </is>
      </c>
      <c r="B233" s="14" t="n"/>
      <c r="C233" s="4" t="inlineStr"/>
      <c r="D233" s="4">
        <f>IF(A233="","",SUMPRODUCT(E233:I233,E$190:I$190))</f>
        <v/>
      </c>
      <c r="E233" s="5" t="n"/>
      <c r="F233" s="5" t="n"/>
      <c r="G233" s="5" t="n"/>
      <c r="H233" s="5" t="n"/>
      <c r="I233" s="5" t="n"/>
      <c r="J233" s="4" t="n"/>
      <c r="K233" s="4" t="n"/>
    </row>
    <row r="234">
      <c r="A234" s="4" t="inlineStr">
        <is>
          <t>Студент2.13</t>
        </is>
      </c>
      <c r="B234" s="14" t="n"/>
      <c r="C234" s="4" t="inlineStr"/>
      <c r="D234" s="4">
        <f>IF(A234="","",SUMPRODUCT(E234:I234,E$190:I$190))</f>
        <v/>
      </c>
      <c r="E234" s="5" t="n"/>
      <c r="F234" s="5" t="n"/>
      <c r="G234" s="5" t="n"/>
      <c r="H234" s="5" t="n"/>
      <c r="I234" s="5" t="n"/>
      <c r="J234" s="4" t="n"/>
      <c r="K234" s="4" t="n"/>
    </row>
    <row r="235">
      <c r="A235" s="4" t="inlineStr">
        <is>
          <t>Студент2.14</t>
        </is>
      </c>
      <c r="B235" s="14" t="n"/>
      <c r="C235" s="4" t="inlineStr"/>
      <c r="D235" s="4">
        <f>IF(A235="","",SUMPRODUCT(E235:I235,E$190:I$190))</f>
        <v/>
      </c>
      <c r="E235" s="5" t="n"/>
      <c r="F235" s="5" t="n"/>
      <c r="G235" s="5" t="n"/>
      <c r="H235" s="5" t="n"/>
      <c r="I235" s="5" t="n"/>
      <c r="J235" s="4" t="n"/>
      <c r="K235" s="4" t="n"/>
    </row>
    <row r="236">
      <c r="A236" s="4" t="inlineStr">
        <is>
          <t>Студент2.15</t>
        </is>
      </c>
      <c r="B236" s="14" t="n"/>
      <c r="C236" s="4" t="inlineStr"/>
      <c r="D236" s="4">
        <f>IF(A236="","",SUMPRODUCT(E236:I236,E$190:I$190))</f>
        <v/>
      </c>
      <c r="E236" s="5" t="n"/>
      <c r="F236" s="5" t="n"/>
      <c r="G236" s="5" t="n"/>
      <c r="H236" s="5" t="n"/>
      <c r="I236" s="5" t="n"/>
      <c r="J236" s="4" t="n"/>
      <c r="K236" s="4" t="n"/>
    </row>
    <row r="237">
      <c r="A237" s="4" t="inlineStr">
        <is>
          <t>Студент2.16</t>
        </is>
      </c>
      <c r="B237" s="14" t="n"/>
      <c r="C237" s="4" t="inlineStr"/>
      <c r="D237" s="4">
        <f>IF(A237="","",SUMPRODUCT(E237:I237,E$190:I$190))</f>
        <v/>
      </c>
      <c r="E237" s="5" t="n"/>
      <c r="F237" s="5" t="n"/>
      <c r="G237" s="5" t="n"/>
      <c r="H237" s="5" t="n"/>
      <c r="I237" s="5" t="n"/>
      <c r="J237" s="4" t="n"/>
      <c r="K237" s="4" t="n"/>
    </row>
    <row r="238">
      <c r="A238" s="4" t="inlineStr">
        <is>
          <t>Студент2.17</t>
        </is>
      </c>
      <c r="B238" s="14" t="n"/>
      <c r="C238" s="4" t="inlineStr"/>
      <c r="D238" s="4">
        <f>IF(A238="","",SUMPRODUCT(E238:I238,E$190:I$190))</f>
        <v/>
      </c>
      <c r="E238" s="5" t="n"/>
      <c r="F238" s="5" t="n"/>
      <c r="G238" s="5" t="n"/>
      <c r="H238" s="5" t="n"/>
      <c r="I238" s="5" t="n"/>
      <c r="J238" s="4" t="n"/>
      <c r="K238" s="4" t="n"/>
    </row>
    <row r="239">
      <c r="A239" s="4" t="inlineStr">
        <is>
          <t>Студент2.18</t>
        </is>
      </c>
      <c r="B239" s="14" t="n"/>
      <c r="C239" s="4" t="inlineStr"/>
      <c r="D239" s="4">
        <f>IF(A239="","",SUMPRODUCT(E239:I239,E$190:I$190))</f>
        <v/>
      </c>
      <c r="E239" s="5" t="n"/>
      <c r="F239" s="5" t="n"/>
      <c r="G239" s="5" t="n"/>
      <c r="H239" s="5" t="n"/>
      <c r="I239" s="5" t="n"/>
      <c r="J239" s="4" t="n"/>
      <c r="K239" s="4" t="n"/>
    </row>
    <row r="240">
      <c r="A240" s="4" t="inlineStr">
        <is>
          <t>Студент2.19</t>
        </is>
      </c>
      <c r="B240" s="14" t="n"/>
      <c r="C240" s="4" t="inlineStr"/>
      <c r="D240" s="4">
        <f>IF(A240="","",SUMPRODUCT(E240:I240,E$190:I$190))</f>
        <v/>
      </c>
      <c r="E240" s="5" t="n"/>
      <c r="F240" s="5" t="n"/>
      <c r="G240" s="5" t="n"/>
      <c r="H240" s="5" t="n"/>
      <c r="I240" s="5" t="n"/>
      <c r="J240" s="4" t="n"/>
      <c r="K240" s="4" t="n"/>
    </row>
    <row r="241">
      <c r="A241" s="4" t="inlineStr">
        <is>
          <t>Студент2.20</t>
        </is>
      </c>
      <c r="B241" s="14" t="n"/>
      <c r="C241" s="4" t="inlineStr"/>
      <c r="D241" s="4">
        <f>IF(A241="","",SUMPRODUCT(E241:I241,E$190:I$190))</f>
        <v/>
      </c>
      <c r="E241" s="5" t="n"/>
      <c r="F241" s="5" t="n"/>
      <c r="G241" s="5" t="n"/>
      <c r="H241" s="5" t="n"/>
      <c r="I241" s="5" t="n"/>
      <c r="J241" s="4" t="n"/>
      <c r="K241" s="4" t="n"/>
    </row>
    <row r="242">
      <c r="A242" s="4" t="inlineStr">
        <is>
          <t>Студент2.21</t>
        </is>
      </c>
      <c r="B242" s="14" t="n"/>
      <c r="C242" s="4" t="inlineStr"/>
      <c r="D242" s="4">
        <f>IF(A242="","",SUMPRODUCT(E242:I242,E$190:I$190))</f>
        <v/>
      </c>
      <c r="E242" s="5" t="n"/>
      <c r="F242" s="5" t="n"/>
      <c r="G242" s="5" t="n"/>
      <c r="H242" s="5" t="n"/>
      <c r="I242" s="5" t="n"/>
      <c r="J242" s="4" t="n"/>
      <c r="K242" s="4" t="n"/>
    </row>
    <row r="243">
      <c r="A243" s="4" t="inlineStr">
        <is>
          <t>Студент2.22</t>
        </is>
      </c>
      <c r="B243" s="14" t="n"/>
      <c r="C243" s="4" t="inlineStr"/>
      <c r="D243" s="4">
        <f>IF(A243="","",SUMPRODUCT(E243:I243,E$190:I$190))</f>
        <v/>
      </c>
      <c r="E243" s="5" t="n"/>
      <c r="F243" s="5" t="n"/>
      <c r="G243" s="5" t="n"/>
      <c r="H243" s="5" t="n"/>
      <c r="I243" s="5" t="n"/>
      <c r="J243" s="4" t="n"/>
      <c r="K243" s="4" t="n"/>
    </row>
    <row r="244">
      <c r="A244" s="4" t="inlineStr">
        <is>
          <t>Студент2.23</t>
        </is>
      </c>
      <c r="B244" s="14" t="n"/>
      <c r="C244" s="4" t="inlineStr"/>
      <c r="D244" s="4">
        <f>IF(A244="","",SUMPRODUCT(E244:I244,E$190:I$190))</f>
        <v/>
      </c>
      <c r="E244" s="5" t="n"/>
      <c r="F244" s="5" t="n"/>
      <c r="G244" s="5" t="n"/>
      <c r="H244" s="5" t="n"/>
      <c r="I244" s="5" t="n"/>
      <c r="J244" s="4" t="n"/>
      <c r="K244" s="4" t="n"/>
    </row>
    <row r="245">
      <c r="A245" s="4" t="inlineStr">
        <is>
          <t>Студент2.24</t>
        </is>
      </c>
      <c r="B245" s="14" t="n"/>
      <c r="C245" s="4" t="inlineStr"/>
      <c r="D245" s="4">
        <f>IF(A245="","",SUMPRODUCT(E245:I245,E$190:I$190))</f>
        <v/>
      </c>
      <c r="E245" s="5" t="n"/>
      <c r="F245" s="5" t="n"/>
      <c r="G245" s="5" t="n"/>
      <c r="H245" s="5" t="n"/>
      <c r="I245" s="5" t="n"/>
      <c r="J245" s="4" t="n"/>
      <c r="K245" s="4" t="n"/>
    </row>
    <row r="246">
      <c r="A246" s="4" t="inlineStr">
        <is>
          <t>Студент2.25</t>
        </is>
      </c>
      <c r="B246" s="14" t="n"/>
      <c r="C246" s="4" t="inlineStr"/>
      <c r="D246" s="4">
        <f>IF(A246="","",SUMPRODUCT(E246:I246,E$190:I$190))</f>
        <v/>
      </c>
      <c r="E246" s="5" t="n"/>
      <c r="F246" s="5" t="n"/>
      <c r="G246" s="5" t="n"/>
      <c r="H246" s="5" t="n"/>
      <c r="I246" s="5" t="n"/>
      <c r="J246" s="4" t="n"/>
      <c r="K246" s="4" t="n"/>
    </row>
    <row r="247">
      <c r="A247" s="4" t="inlineStr">
        <is>
          <t>Студент2.26</t>
        </is>
      </c>
      <c r="B247" s="14" t="n"/>
      <c r="C247" s="4" t="inlineStr"/>
      <c r="D247" s="4">
        <f>IF(A247="","",SUMPRODUCT(E247:I247,E$190:I$190))</f>
        <v/>
      </c>
      <c r="E247" s="5" t="n"/>
      <c r="F247" s="5" t="n"/>
      <c r="G247" s="5" t="n"/>
      <c r="H247" s="5" t="n"/>
      <c r="I247" s="5" t="n"/>
      <c r="J247" s="4" t="n"/>
      <c r="K247" s="4" t="n"/>
    </row>
    <row r="248">
      <c r="A248" s="4" t="inlineStr">
        <is>
          <t>Студент2.27</t>
        </is>
      </c>
      <c r="B248" s="14" t="n"/>
      <c r="C248" s="4" t="inlineStr"/>
      <c r="D248" s="4">
        <f>IF(A248="","",SUMPRODUCT(E248:I248,E$190:I$190))</f>
        <v/>
      </c>
      <c r="E248" s="5" t="n"/>
      <c r="F248" s="5" t="n"/>
      <c r="G248" s="5" t="n"/>
      <c r="H248" s="5" t="n"/>
      <c r="I248" s="5" t="n"/>
      <c r="J248" s="4" t="n"/>
      <c r="K248" s="4" t="n"/>
    </row>
    <row r="249">
      <c r="A249" s="4" t="inlineStr">
        <is>
          <t>Студент2.28</t>
        </is>
      </c>
      <c r="B249" s="14" t="n"/>
      <c r="C249" s="4" t="inlineStr"/>
      <c r="D249" s="4">
        <f>IF(A249="","",SUMPRODUCT(E249:I249,E$190:I$190))</f>
        <v/>
      </c>
      <c r="E249" s="5" t="n"/>
      <c r="F249" s="5" t="n"/>
      <c r="G249" s="5" t="n"/>
      <c r="H249" s="5" t="n"/>
      <c r="I249" s="5" t="n"/>
      <c r="J249" s="4" t="n"/>
      <c r="K249" s="4" t="n"/>
    </row>
    <row r="250">
      <c r="A250" s="4" t="inlineStr">
        <is>
          <t>Студент2.29</t>
        </is>
      </c>
      <c r="B250" s="14" t="n"/>
      <c r="C250" s="4" t="inlineStr"/>
      <c r="D250" s="4">
        <f>IF(A250="","",SUMPRODUCT(E250:I250,E$190:I$190))</f>
        <v/>
      </c>
      <c r="E250" s="5" t="n"/>
      <c r="F250" s="5" t="n"/>
      <c r="G250" s="5" t="n"/>
      <c r="H250" s="5" t="n"/>
      <c r="I250" s="5" t="n"/>
      <c r="J250" s="4" t="n"/>
      <c r="K250" s="4" t="n"/>
    </row>
    <row r="251">
      <c r="A251" s="4" t="inlineStr">
        <is>
          <t>Студент2.30</t>
        </is>
      </c>
      <c r="B251" s="14" t="n"/>
      <c r="C251" s="4" t="inlineStr"/>
      <c r="D251" s="4">
        <f>IF(A251="","",SUMPRODUCT(E251:I251,E$190:I$190))</f>
        <v/>
      </c>
      <c r="E251" s="5" t="n"/>
      <c r="F251" s="5" t="n"/>
      <c r="G251" s="5" t="n"/>
      <c r="H251" s="5" t="n"/>
      <c r="I251" s="5" t="n"/>
      <c r="J251" s="4" t="n"/>
      <c r="K251" s="4" t="n"/>
    </row>
    <row r="252">
      <c r="A252" s="4" t="inlineStr">
        <is>
          <t>Студент3.1</t>
        </is>
      </c>
      <c r="B252" s="14" t="n"/>
      <c r="C252" s="4" t="inlineStr"/>
      <c r="D252" s="4">
        <f>IF(A252="","",SUMPRODUCT(E252:I252,E$190:I$190))</f>
        <v/>
      </c>
      <c r="E252" s="5" t="n"/>
      <c r="F252" s="5" t="n"/>
      <c r="G252" s="5" t="n"/>
      <c r="H252" s="5" t="n"/>
      <c r="I252" s="5" t="n"/>
      <c r="J252" s="4" t="n"/>
      <c r="K252" s="4" t="n"/>
    </row>
    <row r="253">
      <c r="A253" s="4" t="inlineStr">
        <is>
          <t>Студент3.2</t>
        </is>
      </c>
      <c r="B253" s="14" t="n"/>
      <c r="C253" s="4" t="inlineStr"/>
      <c r="D253" s="4">
        <f>IF(A253="","",SUMPRODUCT(E253:I253,E$190:I$190))</f>
        <v/>
      </c>
      <c r="E253" s="5" t="n"/>
      <c r="F253" s="5" t="n"/>
      <c r="G253" s="5" t="n"/>
      <c r="H253" s="5" t="n"/>
      <c r="I253" s="5" t="n"/>
      <c r="J253" s="4" t="n"/>
      <c r="K253" s="4" t="n"/>
    </row>
    <row r="254">
      <c r="A254" s="4" t="inlineStr">
        <is>
          <t>Студент3.3</t>
        </is>
      </c>
      <c r="B254" s="14" t="n"/>
      <c r="C254" s="4" t="inlineStr"/>
      <c r="D254" s="4">
        <f>IF(A254="","",SUMPRODUCT(E254:I254,E$190:I$190))</f>
        <v/>
      </c>
      <c r="E254" s="5" t="n"/>
      <c r="F254" s="5" t="n"/>
      <c r="G254" s="5" t="n"/>
      <c r="H254" s="5" t="n"/>
      <c r="I254" s="5" t="n"/>
      <c r="J254" s="4" t="n"/>
      <c r="K254" s="4" t="n"/>
    </row>
    <row r="255">
      <c r="A255" s="4" t="inlineStr">
        <is>
          <t>Студент3.4</t>
        </is>
      </c>
      <c r="B255" s="14" t="n"/>
      <c r="C255" s="4" t="inlineStr"/>
      <c r="D255" s="4">
        <f>IF(A255="","",SUMPRODUCT(E255:I255,E$190:I$190))</f>
        <v/>
      </c>
      <c r="E255" s="5" t="n"/>
      <c r="F255" s="5" t="n"/>
      <c r="G255" s="5" t="n"/>
      <c r="H255" s="5" t="n"/>
      <c r="I255" s="5" t="n"/>
      <c r="J255" s="4" t="n"/>
      <c r="K255" s="4" t="n"/>
    </row>
    <row r="256">
      <c r="A256" s="4" t="inlineStr">
        <is>
          <t>Студент3.5</t>
        </is>
      </c>
      <c r="B256" s="14" t="n"/>
      <c r="C256" s="4" t="inlineStr"/>
      <c r="D256" s="4">
        <f>IF(A256="","",SUMPRODUCT(E256:I256,E$190:I$190))</f>
        <v/>
      </c>
      <c r="E256" s="5" t="n"/>
      <c r="F256" s="5" t="n"/>
      <c r="G256" s="5" t="n"/>
      <c r="H256" s="5" t="n"/>
      <c r="I256" s="5" t="n"/>
      <c r="J256" s="4" t="n"/>
      <c r="K256" s="4" t="n"/>
    </row>
    <row r="257">
      <c r="A257" s="4" t="inlineStr">
        <is>
          <t>Студент3.6</t>
        </is>
      </c>
      <c r="B257" s="14" t="n"/>
      <c r="C257" s="4" t="inlineStr"/>
      <c r="D257" s="4">
        <f>IF(A257="","",SUMPRODUCT(E257:I257,E$190:I$190))</f>
        <v/>
      </c>
      <c r="E257" s="5" t="n"/>
      <c r="F257" s="5" t="n"/>
      <c r="G257" s="5" t="n"/>
      <c r="H257" s="5" t="n"/>
      <c r="I257" s="5" t="n"/>
      <c r="J257" s="4" t="n"/>
      <c r="K257" s="4" t="n"/>
    </row>
    <row r="258">
      <c r="A258" s="4" t="inlineStr">
        <is>
          <t>Студент3.7</t>
        </is>
      </c>
      <c r="B258" s="14" t="n"/>
      <c r="C258" s="4" t="inlineStr"/>
      <c r="D258" s="4">
        <f>IF(A258="","",SUMPRODUCT(E258:I258,E$190:I$190))</f>
        <v/>
      </c>
      <c r="E258" s="5" t="n"/>
      <c r="F258" s="5" t="n"/>
      <c r="G258" s="5" t="n"/>
      <c r="H258" s="5" t="n"/>
      <c r="I258" s="5" t="n"/>
      <c r="J258" s="4" t="n"/>
      <c r="K258" s="4" t="n"/>
    </row>
    <row r="259">
      <c r="A259" s="4" t="inlineStr">
        <is>
          <t>Студент3.8</t>
        </is>
      </c>
      <c r="B259" s="14" t="n"/>
      <c r="C259" s="4" t="inlineStr"/>
      <c r="D259" s="4">
        <f>IF(A259="","",SUMPRODUCT(E259:I259,E$190:I$190))</f>
        <v/>
      </c>
      <c r="E259" s="5" t="n"/>
      <c r="F259" s="5" t="n"/>
      <c r="G259" s="5" t="n"/>
      <c r="H259" s="5" t="n"/>
      <c r="I259" s="5" t="n"/>
      <c r="J259" s="4" t="n"/>
      <c r="K259" s="4" t="n"/>
    </row>
    <row r="260">
      <c r="A260" s="4" t="inlineStr">
        <is>
          <t>Студент3.9</t>
        </is>
      </c>
      <c r="B260" s="14" t="n"/>
      <c r="C260" s="4" t="inlineStr"/>
      <c r="D260" s="4">
        <f>IF(A260="","",SUMPRODUCT(E260:I260,E$190:I$190))</f>
        <v/>
      </c>
      <c r="E260" s="5" t="n"/>
      <c r="F260" s="5" t="n"/>
      <c r="G260" s="5" t="n"/>
      <c r="H260" s="5" t="n"/>
      <c r="I260" s="5" t="n"/>
      <c r="J260" s="4" t="n"/>
      <c r="K260" s="4" t="n"/>
    </row>
    <row r="261">
      <c r="A261" s="4" t="inlineStr">
        <is>
          <t>Студент3.10</t>
        </is>
      </c>
      <c r="B261" s="14" t="n"/>
      <c r="C261" s="4" t="inlineStr"/>
      <c r="D261" s="4">
        <f>IF(A261="","",SUMPRODUCT(E261:I261,E$190:I$190))</f>
        <v/>
      </c>
      <c r="E261" s="5" t="n"/>
      <c r="F261" s="5" t="n"/>
      <c r="G261" s="5" t="n"/>
      <c r="H261" s="5" t="n"/>
      <c r="I261" s="5" t="n"/>
      <c r="J261" s="4" t="n"/>
      <c r="K261" s="4" t="n"/>
    </row>
    <row r="262">
      <c r="A262" s="4" t="inlineStr">
        <is>
          <t>Студент3.11</t>
        </is>
      </c>
      <c r="B262" s="14" t="n"/>
      <c r="C262" s="4" t="inlineStr"/>
      <c r="D262" s="4">
        <f>IF(A262="","",SUMPRODUCT(E262:I262,E$190:I$190))</f>
        <v/>
      </c>
      <c r="E262" s="5" t="n"/>
      <c r="F262" s="5" t="n"/>
      <c r="G262" s="5" t="n"/>
      <c r="H262" s="5" t="n"/>
      <c r="I262" s="5" t="n"/>
      <c r="J262" s="4" t="n"/>
      <c r="K262" s="4" t="n"/>
    </row>
    <row r="263">
      <c r="A263" s="4" t="inlineStr">
        <is>
          <t>Студент3.12</t>
        </is>
      </c>
      <c r="B263" s="14" t="n"/>
      <c r="C263" s="4" t="inlineStr"/>
      <c r="D263" s="4">
        <f>IF(A263="","",SUMPRODUCT(E263:I263,E$190:I$190))</f>
        <v/>
      </c>
      <c r="E263" s="5" t="n"/>
      <c r="F263" s="5" t="n"/>
      <c r="G263" s="5" t="n"/>
      <c r="H263" s="5" t="n"/>
      <c r="I263" s="5" t="n"/>
      <c r="J263" s="4" t="n"/>
      <c r="K263" s="4" t="n"/>
    </row>
    <row r="264">
      <c r="A264" s="4" t="inlineStr">
        <is>
          <t>Студент3.13</t>
        </is>
      </c>
      <c r="B264" s="14" t="n"/>
      <c r="C264" s="4" t="inlineStr"/>
      <c r="D264" s="4">
        <f>IF(A264="","",SUMPRODUCT(E264:I264,E$190:I$190))</f>
        <v/>
      </c>
      <c r="E264" s="5" t="n"/>
      <c r="F264" s="5" t="n"/>
      <c r="G264" s="5" t="n"/>
      <c r="H264" s="5" t="n"/>
      <c r="I264" s="5" t="n"/>
      <c r="J264" s="4" t="n"/>
      <c r="K264" s="4" t="n"/>
    </row>
    <row r="265">
      <c r="A265" s="4" t="inlineStr">
        <is>
          <t>Студент3.14</t>
        </is>
      </c>
      <c r="B265" s="14" t="n"/>
      <c r="C265" s="4" t="inlineStr"/>
      <c r="D265" s="4">
        <f>IF(A265="","",SUMPRODUCT(E265:I265,E$190:I$190))</f>
        <v/>
      </c>
      <c r="E265" s="5" t="n"/>
      <c r="F265" s="5" t="n"/>
      <c r="G265" s="5" t="n"/>
      <c r="H265" s="5" t="n"/>
      <c r="I265" s="5" t="n"/>
      <c r="J265" s="4" t="n"/>
      <c r="K265" s="4" t="n"/>
    </row>
    <row r="266">
      <c r="A266" s="4" t="inlineStr">
        <is>
          <t>Студент3.15</t>
        </is>
      </c>
      <c r="B266" s="14" t="n"/>
      <c r="C266" s="4" t="inlineStr"/>
      <c r="D266" s="4">
        <f>IF(A266="","",SUMPRODUCT(E266:I266,E$190:I$190))</f>
        <v/>
      </c>
      <c r="E266" s="5" t="n"/>
      <c r="F266" s="5" t="n"/>
      <c r="G266" s="5" t="n"/>
      <c r="H266" s="5" t="n"/>
      <c r="I266" s="5" t="n"/>
      <c r="J266" s="4" t="n"/>
      <c r="K266" s="4" t="n"/>
    </row>
    <row r="267">
      <c r="A267" s="4" t="inlineStr">
        <is>
          <t>Студент3.16</t>
        </is>
      </c>
      <c r="B267" s="14" t="n"/>
      <c r="C267" s="4" t="inlineStr"/>
      <c r="D267" s="4">
        <f>IF(A267="","",SUMPRODUCT(E267:I267,E$190:I$190))</f>
        <v/>
      </c>
      <c r="E267" s="5" t="n"/>
      <c r="F267" s="5" t="n"/>
      <c r="G267" s="5" t="n"/>
      <c r="H267" s="5" t="n"/>
      <c r="I267" s="5" t="n"/>
      <c r="J267" s="4" t="n"/>
      <c r="K267" s="4" t="n"/>
    </row>
    <row r="268">
      <c r="A268" s="4" t="inlineStr">
        <is>
          <t>Студент3.17</t>
        </is>
      </c>
      <c r="B268" s="14" t="n"/>
      <c r="C268" s="4" t="inlineStr"/>
      <c r="D268" s="4">
        <f>IF(A268="","",SUMPRODUCT(E268:I268,E$190:I$190))</f>
        <v/>
      </c>
      <c r="E268" s="5" t="n"/>
      <c r="F268" s="5" t="n"/>
      <c r="G268" s="5" t="n"/>
      <c r="H268" s="5" t="n"/>
      <c r="I268" s="5" t="n"/>
      <c r="J268" s="4" t="n"/>
      <c r="K268" s="4" t="n"/>
    </row>
    <row r="269">
      <c r="A269" s="4" t="inlineStr">
        <is>
          <t>Студент3.18</t>
        </is>
      </c>
      <c r="B269" s="14" t="n"/>
      <c r="C269" s="4" t="inlineStr"/>
      <c r="D269" s="4">
        <f>IF(A269="","",SUMPRODUCT(E269:I269,E$190:I$190))</f>
        <v/>
      </c>
      <c r="E269" s="5" t="n"/>
      <c r="F269" s="5" t="n"/>
      <c r="G269" s="5" t="n"/>
      <c r="H269" s="5" t="n"/>
      <c r="I269" s="5" t="n"/>
      <c r="J269" s="4" t="n"/>
      <c r="K269" s="4" t="n"/>
    </row>
    <row r="270">
      <c r="A270" s="4" t="inlineStr">
        <is>
          <t>Студент3.19</t>
        </is>
      </c>
      <c r="B270" s="14" t="n"/>
      <c r="C270" s="4" t="inlineStr"/>
      <c r="D270" s="4">
        <f>IF(A270="","",SUMPRODUCT(E270:I270,E$190:I$190))</f>
        <v/>
      </c>
      <c r="E270" s="5" t="n"/>
      <c r="F270" s="5" t="n"/>
      <c r="G270" s="5" t="n"/>
      <c r="H270" s="5" t="n"/>
      <c r="I270" s="5" t="n"/>
      <c r="J270" s="4" t="n"/>
      <c r="K270" s="4" t="n"/>
    </row>
    <row r="271">
      <c r="A271" s="4" t="inlineStr">
        <is>
          <t>Студент3.20</t>
        </is>
      </c>
      <c r="B271" s="14" t="n"/>
      <c r="C271" s="4" t="inlineStr"/>
      <c r="D271" s="4">
        <f>IF(A271="","",SUMPRODUCT(E271:I271,E$190:I$190))</f>
        <v/>
      </c>
      <c r="E271" s="5" t="n"/>
      <c r="F271" s="5" t="n"/>
      <c r="G271" s="5" t="n"/>
      <c r="H271" s="5" t="n"/>
      <c r="I271" s="5" t="n"/>
      <c r="J271" s="4" t="n"/>
      <c r="K271" s="4" t="n"/>
    </row>
    <row r="272">
      <c r="A272" s="4" t="inlineStr">
        <is>
          <t>Студент3.21</t>
        </is>
      </c>
      <c r="B272" s="14" t="n"/>
      <c r="C272" s="4" t="inlineStr"/>
      <c r="D272" s="4">
        <f>IF(A272="","",SUMPRODUCT(E272:I272,E$190:I$190))</f>
        <v/>
      </c>
      <c r="E272" s="5" t="n"/>
      <c r="F272" s="5" t="n"/>
      <c r="G272" s="5" t="n"/>
      <c r="H272" s="5" t="n"/>
      <c r="I272" s="5" t="n"/>
      <c r="J272" s="4" t="n"/>
      <c r="K272" s="4" t="n"/>
    </row>
    <row r="273">
      <c r="A273" s="4" t="inlineStr">
        <is>
          <t>Студент3.22</t>
        </is>
      </c>
      <c r="B273" s="14" t="n"/>
      <c r="C273" s="4" t="inlineStr"/>
      <c r="D273" s="4">
        <f>IF(A273="","",SUMPRODUCT(E273:I273,E$190:I$190))</f>
        <v/>
      </c>
      <c r="E273" s="5" t="n"/>
      <c r="F273" s="5" t="n"/>
      <c r="G273" s="5" t="n"/>
      <c r="H273" s="5" t="n"/>
      <c r="I273" s="5" t="n"/>
      <c r="J273" s="4" t="n"/>
      <c r="K273" s="4" t="n"/>
    </row>
    <row r="274">
      <c r="A274" s="4" t="inlineStr">
        <is>
          <t>Студент3.23</t>
        </is>
      </c>
      <c r="B274" s="14" t="n"/>
      <c r="C274" s="4" t="inlineStr"/>
      <c r="D274" s="4">
        <f>IF(A274="","",SUMPRODUCT(E274:I274,E$190:I$190))</f>
        <v/>
      </c>
      <c r="E274" s="5" t="n"/>
      <c r="F274" s="5" t="n"/>
      <c r="G274" s="5" t="n"/>
      <c r="H274" s="5" t="n"/>
      <c r="I274" s="5" t="n"/>
      <c r="J274" s="4" t="n"/>
      <c r="K274" s="4" t="n"/>
    </row>
    <row r="275">
      <c r="A275" s="4" t="inlineStr">
        <is>
          <t>Студент3.24</t>
        </is>
      </c>
      <c r="B275" s="14" t="n"/>
      <c r="C275" s="4" t="inlineStr"/>
      <c r="D275" s="4">
        <f>IF(A275="","",SUMPRODUCT(E275:I275,E$190:I$190))</f>
        <v/>
      </c>
      <c r="E275" s="5" t="n"/>
      <c r="F275" s="5" t="n"/>
      <c r="G275" s="5" t="n"/>
      <c r="H275" s="5" t="n"/>
      <c r="I275" s="5" t="n"/>
      <c r="J275" s="4" t="n"/>
      <c r="K275" s="4" t="n"/>
    </row>
    <row r="276">
      <c r="A276" s="4" t="inlineStr">
        <is>
          <t>Студент3.25</t>
        </is>
      </c>
      <c r="B276" s="14" t="n"/>
      <c r="C276" s="4" t="inlineStr"/>
      <c r="D276" s="4">
        <f>IF(A276="","",SUMPRODUCT(E276:I276,E$190:I$190))</f>
        <v/>
      </c>
      <c r="E276" s="5" t="n"/>
      <c r="F276" s="5" t="n"/>
      <c r="G276" s="5" t="n"/>
      <c r="H276" s="5" t="n"/>
      <c r="I276" s="5" t="n"/>
      <c r="J276" s="4" t="n"/>
      <c r="K276" s="4" t="n"/>
    </row>
    <row r="277">
      <c r="A277" s="4" t="inlineStr">
        <is>
          <t>Студент3.26</t>
        </is>
      </c>
      <c r="B277" s="14" t="n"/>
      <c r="C277" s="4" t="inlineStr"/>
      <c r="D277" s="4">
        <f>IF(A277="","",SUMPRODUCT(E277:I277,E$190:I$190))</f>
        <v/>
      </c>
      <c r="E277" s="5" t="n"/>
      <c r="F277" s="5" t="n"/>
      <c r="G277" s="5" t="n"/>
      <c r="H277" s="5" t="n"/>
      <c r="I277" s="5" t="n"/>
      <c r="J277" s="4" t="n"/>
      <c r="K277" s="4" t="n"/>
    </row>
    <row r="278">
      <c r="A278" s="4" t="inlineStr">
        <is>
          <t>Студент3.27</t>
        </is>
      </c>
      <c r="B278" s="14" t="n"/>
      <c r="C278" s="4" t="inlineStr"/>
      <c r="D278" s="4">
        <f>IF(A278="","",SUMPRODUCT(E278:I278,E$190:I$190))</f>
        <v/>
      </c>
      <c r="E278" s="5" t="n"/>
      <c r="F278" s="5" t="n"/>
      <c r="G278" s="5" t="n"/>
      <c r="H278" s="5" t="n"/>
      <c r="I278" s="5" t="n"/>
      <c r="J278" s="4" t="n"/>
      <c r="K278" s="4" t="n"/>
    </row>
    <row r="279">
      <c r="A279" s="4" t="inlineStr">
        <is>
          <t>Студент3.28</t>
        </is>
      </c>
      <c r="B279" s="14" t="n"/>
      <c r="C279" s="4" t="inlineStr"/>
      <c r="D279" s="4">
        <f>IF(A279="","",SUMPRODUCT(E279:I279,E$190:I$190))</f>
        <v/>
      </c>
      <c r="E279" s="5" t="n"/>
      <c r="F279" s="5" t="n"/>
      <c r="G279" s="5" t="n"/>
      <c r="H279" s="5" t="n"/>
      <c r="I279" s="5" t="n"/>
      <c r="J279" s="4" t="n"/>
      <c r="K279" s="4" t="n"/>
    </row>
    <row r="280">
      <c r="A280" s="4" t="inlineStr">
        <is>
          <t>Студент3.29</t>
        </is>
      </c>
      <c r="B280" s="14" t="n"/>
      <c r="C280" s="4" t="inlineStr"/>
      <c r="D280" s="4">
        <f>IF(A280="","",SUMPRODUCT(E280:I280,E$190:I$190))</f>
        <v/>
      </c>
      <c r="E280" s="5" t="n"/>
      <c r="F280" s="5" t="n"/>
      <c r="G280" s="5" t="n"/>
      <c r="H280" s="5" t="n"/>
      <c r="I280" s="5" t="n"/>
      <c r="J280" s="4" t="n"/>
      <c r="K280" s="4" t="n"/>
    </row>
    <row r="281">
      <c r="A281" s="4" t="inlineStr">
        <is>
          <t>Студент3.30</t>
        </is>
      </c>
      <c r="B281" s="14" t="n"/>
      <c r="C281" s="4" t="inlineStr"/>
      <c r="D281" s="4">
        <f>IF(A281="","",SUMPRODUCT(E281:I281,E$190:I$190))</f>
        <v/>
      </c>
      <c r="E281" s="5" t="n"/>
      <c r="F281" s="5" t="n"/>
      <c r="G281" s="5" t="n"/>
      <c r="H281" s="5" t="n"/>
      <c r="I281" s="5" t="n"/>
      <c r="J281" s="4" t="n"/>
      <c r="K281" s="4" t="n"/>
    </row>
  </sheetData>
  <mergeCells count="3">
    <mergeCell ref="A1:I1"/>
    <mergeCell ref="A189:I189"/>
    <mergeCell ref="A95:I95"/>
  </mergeCells>
  <dataValidations count="6">
    <dataValidation sqref="B4:B93" showDropDown="0" showInputMessage="0" showErrorMessage="1" allowBlank="1" errorTitle="Недопустимое значение" error="Укажите номер попытки от 1 до 4" type="list" errorStyle="stop">
      <formula1>"1,2,3,4"</formula1>
    </dataValidation>
    <dataValidation sqref="E4:I93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  <dataValidation sqref="B98:B187" showDropDown="0" showInputMessage="0" showErrorMessage="1" allowBlank="1" errorTitle="Недопустимое значение" error="Укажите номер попытки от 1 до 4" type="list" errorStyle="stop">
      <formula1>"1,2,3,4"</formula1>
    </dataValidation>
    <dataValidation sqref="E98:I187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  <dataValidation sqref="B192:B281" showDropDown="0" showInputMessage="0" showErrorMessage="1" allowBlank="1" errorTitle="Недопустимое значение" error="Укажите номер попытки от 1 до 4" type="list" errorStyle="stop">
      <formula1>"1,2,3,4"</formula1>
    </dataValidation>
    <dataValidation sqref="E192:I281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7" customWidth="1" min="3" max="3"/>
    <col width="16" customWidth="1" min="4" max="4"/>
    <col width="14" customWidth="1" min="5" max="5"/>
    <col width="10" customWidth="1" min="6" max="6"/>
    <col width="14" customWidth="1" min="7" max="7"/>
    <col width="14" customWidth="1" min="8" max="8"/>
    <col width="24" customWidth="1" min="9" max="9"/>
    <col width="12" customWidth="1" min="10" max="10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Логи D</t>
        </is>
      </c>
    </row>
    <row r="2" ht="30" customHeight="1">
      <c r="A2" s="2" t="inlineStr">
        <is>
          <t>Служебный журнал выходов. Записи добавляются автоматически, когда практик заменяет + на 1 в верхнем плюсовике.</t>
        </is>
      </c>
    </row>
    <row r="3" hidden="1">
      <c r="A3" t="inlineStr">
        <is>
          <t>Практик (1 Артём / 2 Рами / 3 Немат)</t>
        </is>
      </c>
      <c r="B3" s="15" t="n">
        <v>1</v>
      </c>
      <c r="C3" t="inlineStr">
        <is>
          <t>Студент</t>
        </is>
      </c>
      <c r="D3" s="15" t="inlineStr"/>
      <c r="E3" t="inlineStr">
        <is>
          <t>Задача</t>
        </is>
      </c>
      <c r="F3" s="15" t="inlineStr"/>
      <c r="G3" t="inlineStr">
        <is>
          <t>Практика</t>
        </is>
      </c>
      <c r="H3" s="15" t="n">
        <v>2</v>
      </c>
      <c r="I3" t="inlineStr">
        <is>
          <t>Разрешить выход после 15</t>
        </is>
      </c>
      <c r="J3" s="15" t="inlineStr">
        <is>
          <t>Нет</t>
        </is>
      </c>
    </row>
    <row r="4" hidden="1" ht="32" customHeight="1">
      <c r="A4" s="16" t="inlineStr">
        <is>
          <t>Кнопка учитывает только задачи, где у студента стоит + в таблице выбранной практики, и не выдаёт больше двух выходов за одну практику. После 15 выходов требуется явное разрешение.</t>
        </is>
      </c>
    </row>
    <row r="6" ht="28" customHeight="1">
      <c r="A6" s="3" t="inlineStr">
        <is>
          <t>Практика</t>
        </is>
      </c>
      <c r="B6" s="3" t="inlineStr">
        <is>
          <t>Практикант</t>
        </is>
      </c>
      <c r="C6" s="3" t="inlineStr">
        <is>
          <t>Студент</t>
        </is>
      </c>
      <c r="D6" s="3" t="inlineStr">
        <is>
          <t>Задача</t>
        </is>
      </c>
      <c r="E6" s="3" t="inlineStr">
        <is>
          <t>Номер выхода</t>
        </is>
      </c>
      <c r="F6" s="3" t="inlineStr">
        <is>
          <t>База D</t>
        </is>
      </c>
      <c r="G6" s="3" t="inlineStr">
        <is>
          <t>Коэффициент</t>
        </is>
      </c>
      <c r="H6" s="3" t="inlineStr">
        <is>
          <t>Начислено D</t>
        </is>
      </c>
      <c r="I6" s="3" t="inlineStr">
        <is>
          <t>Статус</t>
        </is>
      </c>
      <c r="J6" s="3" t="inlineStr">
        <is>
          <t>Поправка</t>
        </is>
      </c>
    </row>
    <row r="7">
      <c r="A7" s="5" t="n"/>
      <c r="B7" s="5" t="n"/>
      <c r="C7" s="5" t="n"/>
      <c r="D7" s="5" t="n"/>
      <c r="E7" s="4">
        <f>IF(C7="","",COUNTIF($C$7:C7,C7))</f>
        <v/>
      </c>
      <c r="F7" s="4">
        <f>IF(E7="","",IF(E7&lt;=3,6,IF(E7&lt;=6,5,IF(E7&lt;=9,4,IF(E7&lt;=12,3,IF(E7&lt;=15,2,0))))))</f>
        <v/>
      </c>
      <c r="G7" s="5" t="n"/>
      <c r="H7" s="4">
        <f>IF(OR(F7="",G7=""),"",F7*G7+IF(J7="",0,J7))</f>
        <v/>
      </c>
      <c r="I7" s="5" t="n"/>
      <c r="J7" s="5" t="n"/>
    </row>
    <row r="8">
      <c r="A8" s="5" t="n"/>
      <c r="B8" s="5" t="n"/>
      <c r="C8" s="5" t="n"/>
      <c r="D8" s="5" t="n"/>
      <c r="E8" s="4">
        <f>IF(C8="","",COUNTIF($C$7:C8,C8))</f>
        <v/>
      </c>
      <c r="F8" s="4">
        <f>IF(E8="","",IF(E8&lt;=3,6,IF(E8&lt;=6,5,IF(E8&lt;=9,4,IF(E8&lt;=12,3,IF(E8&lt;=15,2,0))))))</f>
        <v/>
      </c>
      <c r="G8" s="5" t="n"/>
      <c r="H8" s="4">
        <f>IF(OR(F8="",G8=""),"",F8*G8+IF(J8="",0,J8))</f>
        <v/>
      </c>
      <c r="I8" s="5" t="n"/>
      <c r="J8" s="5" t="n"/>
    </row>
    <row r="9">
      <c r="A9" s="5" t="n"/>
      <c r="B9" s="5" t="n"/>
      <c r="C9" s="5" t="n"/>
      <c r="D9" s="5" t="n"/>
      <c r="E9" s="4">
        <f>IF(C9="","",COUNTIF($C$7:C9,C9))</f>
        <v/>
      </c>
      <c r="F9" s="4">
        <f>IF(E9="","",IF(E9&lt;=3,6,IF(E9&lt;=6,5,IF(E9&lt;=9,4,IF(E9&lt;=12,3,IF(E9&lt;=15,2,0))))))</f>
        <v/>
      </c>
      <c r="G9" s="5" t="n"/>
      <c r="H9" s="4">
        <f>IF(OR(F9="",G9=""),"",F9*G9+IF(J9="",0,J9))</f>
        <v/>
      </c>
      <c r="I9" s="5" t="n"/>
      <c r="J9" s="5" t="n"/>
    </row>
    <row r="10">
      <c r="A10" s="5" t="n"/>
      <c r="B10" s="5" t="n"/>
      <c r="C10" s="5" t="n"/>
      <c r="D10" s="5" t="n"/>
      <c r="E10" s="4">
        <f>IF(C10="","",COUNTIF($C$7:C10,C10))</f>
        <v/>
      </c>
      <c r="F10" s="4">
        <f>IF(E10="","",IF(E10&lt;=3,6,IF(E10&lt;=6,5,IF(E10&lt;=9,4,IF(E10&lt;=12,3,IF(E10&lt;=15,2,0))))))</f>
        <v/>
      </c>
      <c r="G10" s="5" t="n"/>
      <c r="H10" s="4">
        <f>IF(OR(F10="",G10=""),"",F10*G10+IF(J10="",0,J10))</f>
        <v/>
      </c>
      <c r="I10" s="5" t="n"/>
      <c r="J10" s="5" t="n"/>
    </row>
    <row r="11">
      <c r="A11" s="5" t="n"/>
      <c r="B11" s="5" t="n"/>
      <c r="C11" s="5" t="n"/>
      <c r="D11" s="5" t="n"/>
      <c r="E11" s="4">
        <f>IF(C11="","",COUNTIF($C$7:C11,C11))</f>
        <v/>
      </c>
      <c r="F11" s="4">
        <f>IF(E11="","",IF(E11&lt;=3,6,IF(E11&lt;=6,5,IF(E11&lt;=9,4,IF(E11&lt;=12,3,IF(E11&lt;=15,2,0))))))</f>
        <v/>
      </c>
      <c r="G11" s="5" t="n"/>
      <c r="H11" s="4">
        <f>IF(OR(F11="",G11=""),"",F11*G11+IF(J11="",0,J11))</f>
        <v/>
      </c>
      <c r="I11" s="5" t="n"/>
      <c r="J11" s="5" t="n"/>
    </row>
    <row r="12">
      <c r="A12" s="5" t="n"/>
      <c r="B12" s="5" t="n"/>
      <c r="C12" s="5" t="n"/>
      <c r="D12" s="5" t="n"/>
      <c r="E12" s="4">
        <f>IF(C12="","",COUNTIF($C$7:C12,C12))</f>
        <v/>
      </c>
      <c r="F12" s="4">
        <f>IF(E12="","",IF(E12&lt;=3,6,IF(E12&lt;=6,5,IF(E12&lt;=9,4,IF(E12&lt;=12,3,IF(E12&lt;=15,2,0))))))</f>
        <v/>
      </c>
      <c r="G12" s="5" t="n"/>
      <c r="H12" s="4">
        <f>IF(OR(F12="",G12=""),"",F12*G12+IF(J12="",0,J12))</f>
        <v/>
      </c>
      <c r="I12" s="5" t="n"/>
      <c r="J12" s="5" t="n"/>
    </row>
    <row r="13">
      <c r="A13" s="5" t="n"/>
      <c r="B13" s="5" t="n"/>
      <c r="C13" s="5" t="n"/>
      <c r="D13" s="5" t="n"/>
      <c r="E13" s="4">
        <f>IF(C13="","",COUNTIF($C$7:C13,C13))</f>
        <v/>
      </c>
      <c r="F13" s="4">
        <f>IF(E13="","",IF(E13&lt;=3,6,IF(E13&lt;=6,5,IF(E13&lt;=9,4,IF(E13&lt;=12,3,IF(E13&lt;=15,2,0))))))</f>
        <v/>
      </c>
      <c r="G13" s="5" t="n"/>
      <c r="H13" s="4">
        <f>IF(OR(F13="",G13=""),"",F13*G13+IF(J13="",0,J13))</f>
        <v/>
      </c>
      <c r="I13" s="5" t="n"/>
      <c r="J13" s="5" t="n"/>
    </row>
    <row r="14">
      <c r="A14" s="5" t="n"/>
      <c r="B14" s="5" t="n"/>
      <c r="C14" s="5" t="n"/>
      <c r="D14" s="5" t="n"/>
      <c r="E14" s="4">
        <f>IF(C14="","",COUNTIF($C$7:C14,C14))</f>
        <v/>
      </c>
      <c r="F14" s="4">
        <f>IF(E14="","",IF(E14&lt;=3,6,IF(E14&lt;=6,5,IF(E14&lt;=9,4,IF(E14&lt;=12,3,IF(E14&lt;=15,2,0))))))</f>
        <v/>
      </c>
      <c r="G14" s="5" t="n"/>
      <c r="H14" s="4">
        <f>IF(OR(F14="",G14=""),"",F14*G14+IF(J14="",0,J14))</f>
        <v/>
      </c>
      <c r="I14" s="5" t="n"/>
      <c r="J14" s="5" t="n"/>
    </row>
    <row r="15">
      <c r="A15" s="5" t="n"/>
      <c r="B15" s="5" t="n"/>
      <c r="C15" s="5" t="n"/>
      <c r="D15" s="5" t="n"/>
      <c r="E15" s="4">
        <f>IF(C15="","",COUNTIF($C$7:C15,C15))</f>
        <v/>
      </c>
      <c r="F15" s="4">
        <f>IF(E15="","",IF(E15&lt;=3,6,IF(E15&lt;=6,5,IF(E15&lt;=9,4,IF(E15&lt;=12,3,IF(E15&lt;=15,2,0))))))</f>
        <v/>
      </c>
      <c r="G15" s="5" t="n"/>
      <c r="H15" s="4">
        <f>IF(OR(F15="",G15=""),"",F15*G15+IF(J15="",0,J15))</f>
        <v/>
      </c>
      <c r="I15" s="5" t="n"/>
      <c r="J15" s="5" t="n"/>
    </row>
    <row r="16">
      <c r="A16" s="5" t="n"/>
      <c r="B16" s="5" t="n"/>
      <c r="C16" s="5" t="n"/>
      <c r="D16" s="5" t="n"/>
      <c r="E16" s="4">
        <f>IF(C16="","",COUNTIF($C$7:C16,C16))</f>
        <v/>
      </c>
      <c r="F16" s="4">
        <f>IF(E16="","",IF(E16&lt;=3,6,IF(E16&lt;=6,5,IF(E16&lt;=9,4,IF(E16&lt;=12,3,IF(E16&lt;=15,2,0))))))</f>
        <v/>
      </c>
      <c r="G16" s="5" t="n"/>
      <c r="H16" s="4">
        <f>IF(OR(F16="",G16=""),"",F16*G16+IF(J16="",0,J16))</f>
        <v/>
      </c>
      <c r="I16" s="5" t="n"/>
      <c r="J16" s="5" t="n"/>
    </row>
    <row r="17">
      <c r="A17" s="5" t="n"/>
      <c r="B17" s="5" t="n"/>
      <c r="C17" s="5" t="n"/>
      <c r="D17" s="5" t="n"/>
      <c r="E17" s="4">
        <f>IF(C17="","",COUNTIF($C$7:C17,C17))</f>
        <v/>
      </c>
      <c r="F17" s="4">
        <f>IF(E17="","",IF(E17&lt;=3,6,IF(E17&lt;=6,5,IF(E17&lt;=9,4,IF(E17&lt;=12,3,IF(E17&lt;=15,2,0))))))</f>
        <v/>
      </c>
      <c r="G17" s="5" t="n"/>
      <c r="H17" s="4">
        <f>IF(OR(F17="",G17=""),"",F17*G17+IF(J17="",0,J17))</f>
        <v/>
      </c>
      <c r="I17" s="5" t="n"/>
      <c r="J17" s="5" t="n"/>
    </row>
    <row r="18">
      <c r="A18" s="5" t="n"/>
      <c r="B18" s="5" t="n"/>
      <c r="C18" s="5" t="n"/>
      <c r="D18" s="5" t="n"/>
      <c r="E18" s="4">
        <f>IF(C18="","",COUNTIF($C$7:C18,C18))</f>
        <v/>
      </c>
      <c r="F18" s="4">
        <f>IF(E18="","",IF(E18&lt;=3,6,IF(E18&lt;=6,5,IF(E18&lt;=9,4,IF(E18&lt;=12,3,IF(E18&lt;=15,2,0))))))</f>
        <v/>
      </c>
      <c r="G18" s="5" t="n"/>
      <c r="H18" s="4">
        <f>IF(OR(F18="",G18=""),"",F18*G18+IF(J18="",0,J18))</f>
        <v/>
      </c>
      <c r="I18" s="5" t="n"/>
      <c r="J18" s="5" t="n"/>
    </row>
    <row r="19">
      <c r="A19" s="5" t="n"/>
      <c r="B19" s="5" t="n"/>
      <c r="C19" s="5" t="n"/>
      <c r="D19" s="5" t="n"/>
      <c r="E19" s="4">
        <f>IF(C19="","",COUNTIF($C$7:C19,C19))</f>
        <v/>
      </c>
      <c r="F19" s="4">
        <f>IF(E19="","",IF(E19&lt;=3,6,IF(E19&lt;=6,5,IF(E19&lt;=9,4,IF(E19&lt;=12,3,IF(E19&lt;=15,2,0))))))</f>
        <v/>
      </c>
      <c r="G19" s="5" t="n"/>
      <c r="H19" s="4">
        <f>IF(OR(F19="",G19=""),"",F19*G19+IF(J19="",0,J19))</f>
        <v/>
      </c>
      <c r="I19" s="5" t="n"/>
      <c r="J19" s="5" t="n"/>
    </row>
    <row r="20">
      <c r="A20" s="5" t="n"/>
      <c r="B20" s="5" t="n"/>
      <c r="C20" s="5" t="n"/>
      <c r="D20" s="5" t="n"/>
      <c r="E20" s="4">
        <f>IF(C20="","",COUNTIF($C$7:C20,C20))</f>
        <v/>
      </c>
      <c r="F20" s="4">
        <f>IF(E20="","",IF(E20&lt;=3,6,IF(E20&lt;=6,5,IF(E20&lt;=9,4,IF(E20&lt;=12,3,IF(E20&lt;=15,2,0))))))</f>
        <v/>
      </c>
      <c r="G20" s="5" t="n"/>
      <c r="H20" s="4">
        <f>IF(OR(F20="",G20=""),"",F20*G20+IF(J20="",0,J20))</f>
        <v/>
      </c>
      <c r="I20" s="5" t="n"/>
      <c r="J20" s="5" t="n"/>
    </row>
    <row r="21">
      <c r="A21" s="5" t="n"/>
      <c r="B21" s="5" t="n"/>
      <c r="C21" s="5" t="n"/>
      <c r="D21" s="5" t="n"/>
      <c r="E21" s="4">
        <f>IF(C21="","",COUNTIF($C$7:C21,C21))</f>
        <v/>
      </c>
      <c r="F21" s="4">
        <f>IF(E21="","",IF(E21&lt;=3,6,IF(E21&lt;=6,5,IF(E21&lt;=9,4,IF(E21&lt;=12,3,IF(E21&lt;=15,2,0))))))</f>
        <v/>
      </c>
      <c r="G21" s="5" t="n"/>
      <c r="H21" s="4">
        <f>IF(OR(F21="",G21=""),"",F21*G21+IF(J21="",0,J21))</f>
        <v/>
      </c>
      <c r="I21" s="5" t="n"/>
      <c r="J21" s="5" t="n"/>
    </row>
    <row r="22">
      <c r="A22" s="5" t="n"/>
      <c r="B22" s="5" t="n"/>
      <c r="C22" s="5" t="n"/>
      <c r="D22" s="5" t="n"/>
      <c r="E22" s="4">
        <f>IF(C22="","",COUNTIF($C$7:C22,C22))</f>
        <v/>
      </c>
      <c r="F22" s="4">
        <f>IF(E22="","",IF(E22&lt;=3,6,IF(E22&lt;=6,5,IF(E22&lt;=9,4,IF(E22&lt;=12,3,IF(E22&lt;=15,2,0))))))</f>
        <v/>
      </c>
      <c r="G22" s="5" t="n"/>
      <c r="H22" s="4">
        <f>IF(OR(F22="",G22=""),"",F22*G22+IF(J22="",0,J22))</f>
        <v/>
      </c>
      <c r="I22" s="5" t="n"/>
      <c r="J22" s="5" t="n"/>
    </row>
    <row r="23">
      <c r="A23" s="5" t="n"/>
      <c r="B23" s="5" t="n"/>
      <c r="C23" s="5" t="n"/>
      <c r="D23" s="5" t="n"/>
      <c r="E23" s="4">
        <f>IF(C23="","",COUNTIF($C$7:C23,C23))</f>
        <v/>
      </c>
      <c r="F23" s="4">
        <f>IF(E23="","",IF(E23&lt;=3,6,IF(E23&lt;=6,5,IF(E23&lt;=9,4,IF(E23&lt;=12,3,IF(E23&lt;=15,2,0))))))</f>
        <v/>
      </c>
      <c r="G23" s="5" t="n"/>
      <c r="H23" s="4">
        <f>IF(OR(F23="",G23=""),"",F23*G23+IF(J23="",0,J23))</f>
        <v/>
      </c>
      <c r="I23" s="5" t="n"/>
      <c r="J23" s="5" t="n"/>
    </row>
    <row r="24">
      <c r="A24" s="5" t="n"/>
      <c r="B24" s="5" t="n"/>
      <c r="C24" s="5" t="n"/>
      <c r="D24" s="5" t="n"/>
      <c r="E24" s="4">
        <f>IF(C24="","",COUNTIF($C$7:C24,C24))</f>
        <v/>
      </c>
      <c r="F24" s="4">
        <f>IF(E24="","",IF(E24&lt;=3,6,IF(E24&lt;=6,5,IF(E24&lt;=9,4,IF(E24&lt;=12,3,IF(E24&lt;=15,2,0))))))</f>
        <v/>
      </c>
      <c r="G24" s="5" t="n"/>
      <c r="H24" s="4">
        <f>IF(OR(F24="",G24=""),"",F24*G24+IF(J24="",0,J24))</f>
        <v/>
      </c>
      <c r="I24" s="5" t="n"/>
      <c r="J24" s="5" t="n"/>
    </row>
    <row r="25">
      <c r="A25" s="5" t="n"/>
      <c r="B25" s="5" t="n"/>
      <c r="C25" s="5" t="n"/>
      <c r="D25" s="5" t="n"/>
      <c r="E25" s="4">
        <f>IF(C25="","",COUNTIF($C$7:C25,C25))</f>
        <v/>
      </c>
      <c r="F25" s="4">
        <f>IF(E25="","",IF(E25&lt;=3,6,IF(E25&lt;=6,5,IF(E25&lt;=9,4,IF(E25&lt;=12,3,IF(E25&lt;=15,2,0))))))</f>
        <v/>
      </c>
      <c r="G25" s="5" t="n"/>
      <c r="H25" s="4">
        <f>IF(OR(F25="",G25=""),"",F25*G25+IF(J25="",0,J25))</f>
        <v/>
      </c>
      <c r="I25" s="5" t="n"/>
      <c r="J25" s="5" t="n"/>
    </row>
    <row r="26">
      <c r="A26" s="5" t="n"/>
      <c r="B26" s="5" t="n"/>
      <c r="C26" s="5" t="n"/>
      <c r="D26" s="5" t="n"/>
      <c r="E26" s="4">
        <f>IF(C26="","",COUNTIF($C$7:C26,C26))</f>
        <v/>
      </c>
      <c r="F26" s="4">
        <f>IF(E26="","",IF(E26&lt;=3,6,IF(E26&lt;=6,5,IF(E26&lt;=9,4,IF(E26&lt;=12,3,IF(E26&lt;=15,2,0))))))</f>
        <v/>
      </c>
      <c r="G26" s="5" t="n"/>
      <c r="H26" s="4">
        <f>IF(OR(F26="",G26=""),"",F26*G26+IF(J26="",0,J26))</f>
        <v/>
      </c>
      <c r="I26" s="5" t="n"/>
      <c r="J26" s="5" t="n"/>
    </row>
    <row r="27">
      <c r="A27" s="5" t="n"/>
      <c r="B27" s="5" t="n"/>
      <c r="C27" s="5" t="n"/>
      <c r="D27" s="5" t="n"/>
      <c r="E27" s="4">
        <f>IF(C27="","",COUNTIF($C$7:C27,C27))</f>
        <v/>
      </c>
      <c r="F27" s="4">
        <f>IF(E27="","",IF(E27&lt;=3,6,IF(E27&lt;=6,5,IF(E27&lt;=9,4,IF(E27&lt;=12,3,IF(E27&lt;=15,2,0))))))</f>
        <v/>
      </c>
      <c r="G27" s="5" t="n"/>
      <c r="H27" s="4">
        <f>IF(OR(F27="",G27=""),"",F27*G27+IF(J27="",0,J27))</f>
        <v/>
      </c>
      <c r="I27" s="5" t="n"/>
      <c r="J27" s="5" t="n"/>
    </row>
    <row r="28">
      <c r="A28" s="5" t="n"/>
      <c r="B28" s="5" t="n"/>
      <c r="C28" s="5" t="n"/>
      <c r="D28" s="5" t="n"/>
      <c r="E28" s="4">
        <f>IF(C28="","",COUNTIF($C$7:C28,C28))</f>
        <v/>
      </c>
      <c r="F28" s="4">
        <f>IF(E28="","",IF(E28&lt;=3,6,IF(E28&lt;=6,5,IF(E28&lt;=9,4,IF(E28&lt;=12,3,IF(E28&lt;=15,2,0))))))</f>
        <v/>
      </c>
      <c r="G28" s="5" t="n"/>
      <c r="H28" s="4">
        <f>IF(OR(F28="",G28=""),"",F28*G28+IF(J28="",0,J28))</f>
        <v/>
      </c>
      <c r="I28" s="5" t="n"/>
      <c r="J28" s="5" t="n"/>
    </row>
    <row r="29">
      <c r="A29" s="5" t="n"/>
      <c r="B29" s="5" t="n"/>
      <c r="C29" s="5" t="n"/>
      <c r="D29" s="5" t="n"/>
      <c r="E29" s="4">
        <f>IF(C29="","",COUNTIF($C$7:C29,C29))</f>
        <v/>
      </c>
      <c r="F29" s="4">
        <f>IF(E29="","",IF(E29&lt;=3,6,IF(E29&lt;=6,5,IF(E29&lt;=9,4,IF(E29&lt;=12,3,IF(E29&lt;=15,2,0))))))</f>
        <v/>
      </c>
      <c r="G29" s="5" t="n"/>
      <c r="H29" s="4">
        <f>IF(OR(F29="",G29=""),"",F29*G29+IF(J29="",0,J29))</f>
        <v/>
      </c>
      <c r="I29" s="5" t="n"/>
      <c r="J29" s="5" t="n"/>
    </row>
    <row r="30">
      <c r="A30" s="5" t="n"/>
      <c r="B30" s="5" t="n"/>
      <c r="C30" s="5" t="n"/>
      <c r="D30" s="5" t="n"/>
      <c r="E30" s="4">
        <f>IF(C30="","",COUNTIF($C$7:C30,C30))</f>
        <v/>
      </c>
      <c r="F30" s="4">
        <f>IF(E30="","",IF(E30&lt;=3,6,IF(E30&lt;=6,5,IF(E30&lt;=9,4,IF(E30&lt;=12,3,IF(E30&lt;=15,2,0))))))</f>
        <v/>
      </c>
      <c r="G30" s="5" t="n"/>
      <c r="H30" s="4">
        <f>IF(OR(F30="",G30=""),"",F30*G30+IF(J30="",0,J30))</f>
        <v/>
      </c>
      <c r="I30" s="5" t="n"/>
      <c r="J30" s="5" t="n"/>
    </row>
    <row r="31">
      <c r="A31" s="5" t="n"/>
      <c r="B31" s="5" t="n"/>
      <c r="C31" s="5" t="n"/>
      <c r="D31" s="5" t="n"/>
      <c r="E31" s="4">
        <f>IF(C31="","",COUNTIF($C$7:C31,C31))</f>
        <v/>
      </c>
      <c r="F31" s="4">
        <f>IF(E31="","",IF(E31&lt;=3,6,IF(E31&lt;=6,5,IF(E31&lt;=9,4,IF(E31&lt;=12,3,IF(E31&lt;=15,2,0))))))</f>
        <v/>
      </c>
      <c r="G31" s="5" t="n"/>
      <c r="H31" s="4">
        <f>IF(OR(F31="",G31=""),"",F31*G31+IF(J31="",0,J31))</f>
        <v/>
      </c>
      <c r="I31" s="5" t="n"/>
      <c r="J31" s="5" t="n"/>
    </row>
    <row r="32">
      <c r="A32" s="5" t="n"/>
      <c r="B32" s="5" t="n"/>
      <c r="C32" s="5" t="n"/>
      <c r="D32" s="5" t="n"/>
      <c r="E32" s="4">
        <f>IF(C32="","",COUNTIF($C$7:C32,C32))</f>
        <v/>
      </c>
      <c r="F32" s="4">
        <f>IF(E32="","",IF(E32&lt;=3,6,IF(E32&lt;=6,5,IF(E32&lt;=9,4,IF(E32&lt;=12,3,IF(E32&lt;=15,2,0))))))</f>
        <v/>
      </c>
      <c r="G32" s="5" t="n"/>
      <c r="H32" s="4">
        <f>IF(OR(F32="",G32=""),"",F32*G32+IF(J32="",0,J32))</f>
        <v/>
      </c>
      <c r="I32" s="5" t="n"/>
      <c r="J32" s="5" t="n"/>
    </row>
    <row r="33">
      <c r="A33" s="5" t="n"/>
      <c r="B33" s="5" t="n"/>
      <c r="C33" s="5" t="n"/>
      <c r="D33" s="5" t="n"/>
      <c r="E33" s="4">
        <f>IF(C33="","",COUNTIF($C$7:C33,C33))</f>
        <v/>
      </c>
      <c r="F33" s="4">
        <f>IF(E33="","",IF(E33&lt;=3,6,IF(E33&lt;=6,5,IF(E33&lt;=9,4,IF(E33&lt;=12,3,IF(E33&lt;=15,2,0))))))</f>
        <v/>
      </c>
      <c r="G33" s="5" t="n"/>
      <c r="H33" s="4">
        <f>IF(OR(F33="",G33=""),"",F33*G33+IF(J33="",0,J33))</f>
        <v/>
      </c>
      <c r="I33" s="5" t="n"/>
      <c r="J33" s="5" t="n"/>
    </row>
    <row r="34">
      <c r="A34" s="5" t="n"/>
      <c r="B34" s="5" t="n"/>
      <c r="C34" s="5" t="n"/>
      <c r="D34" s="5" t="n"/>
      <c r="E34" s="4">
        <f>IF(C34="","",COUNTIF($C$7:C34,C34))</f>
        <v/>
      </c>
      <c r="F34" s="4">
        <f>IF(E34="","",IF(E34&lt;=3,6,IF(E34&lt;=6,5,IF(E34&lt;=9,4,IF(E34&lt;=12,3,IF(E34&lt;=15,2,0))))))</f>
        <v/>
      </c>
      <c r="G34" s="5" t="n"/>
      <c r="H34" s="4">
        <f>IF(OR(F34="",G34=""),"",F34*G34+IF(J34="",0,J34))</f>
        <v/>
      </c>
      <c r="I34" s="5" t="n"/>
      <c r="J34" s="5" t="n"/>
    </row>
    <row r="35">
      <c r="A35" s="5" t="n"/>
      <c r="B35" s="5" t="n"/>
      <c r="C35" s="5" t="n"/>
      <c r="D35" s="5" t="n"/>
      <c r="E35" s="4">
        <f>IF(C35="","",COUNTIF($C$7:C35,C35))</f>
        <v/>
      </c>
      <c r="F35" s="4">
        <f>IF(E35="","",IF(E35&lt;=3,6,IF(E35&lt;=6,5,IF(E35&lt;=9,4,IF(E35&lt;=12,3,IF(E35&lt;=15,2,0))))))</f>
        <v/>
      </c>
      <c r="G35" s="5" t="n"/>
      <c r="H35" s="4">
        <f>IF(OR(F35="",G35=""),"",F35*G35+IF(J35="",0,J35))</f>
        <v/>
      </c>
      <c r="I35" s="5" t="n"/>
      <c r="J35" s="5" t="n"/>
    </row>
    <row r="36">
      <c r="A36" s="5" t="n"/>
      <c r="B36" s="5" t="n"/>
      <c r="C36" s="5" t="n"/>
      <c r="D36" s="5" t="n"/>
      <c r="E36" s="4">
        <f>IF(C36="","",COUNTIF($C$7:C36,C36))</f>
        <v/>
      </c>
      <c r="F36" s="4">
        <f>IF(E36="","",IF(E36&lt;=3,6,IF(E36&lt;=6,5,IF(E36&lt;=9,4,IF(E36&lt;=12,3,IF(E36&lt;=15,2,0))))))</f>
        <v/>
      </c>
      <c r="G36" s="5" t="n"/>
      <c r="H36" s="4">
        <f>IF(OR(F36="",G36=""),"",F36*G36+IF(J36="",0,J36))</f>
        <v/>
      </c>
      <c r="I36" s="5" t="n"/>
      <c r="J36" s="5" t="n"/>
    </row>
    <row r="37">
      <c r="A37" s="5" t="n"/>
      <c r="B37" s="5" t="n"/>
      <c r="C37" s="5" t="n"/>
      <c r="D37" s="5" t="n"/>
      <c r="E37" s="4">
        <f>IF(C37="","",COUNTIF($C$7:C37,C37))</f>
        <v/>
      </c>
      <c r="F37" s="4">
        <f>IF(E37="","",IF(E37&lt;=3,6,IF(E37&lt;=6,5,IF(E37&lt;=9,4,IF(E37&lt;=12,3,IF(E37&lt;=15,2,0))))))</f>
        <v/>
      </c>
      <c r="G37" s="5" t="n"/>
      <c r="H37" s="4">
        <f>IF(OR(F37="",G37=""),"",F37*G37+IF(J37="",0,J37))</f>
        <v/>
      </c>
      <c r="I37" s="5" t="n"/>
      <c r="J37" s="5" t="n"/>
    </row>
    <row r="38">
      <c r="A38" s="5" t="n"/>
      <c r="B38" s="5" t="n"/>
      <c r="C38" s="5" t="n"/>
      <c r="D38" s="5" t="n"/>
      <c r="E38" s="4">
        <f>IF(C38="","",COUNTIF($C$7:C38,C38))</f>
        <v/>
      </c>
      <c r="F38" s="4">
        <f>IF(E38="","",IF(E38&lt;=3,6,IF(E38&lt;=6,5,IF(E38&lt;=9,4,IF(E38&lt;=12,3,IF(E38&lt;=15,2,0))))))</f>
        <v/>
      </c>
      <c r="G38" s="5" t="n"/>
      <c r="H38" s="4">
        <f>IF(OR(F38="",G38=""),"",F38*G38+IF(J38="",0,J38))</f>
        <v/>
      </c>
      <c r="I38" s="5" t="n"/>
      <c r="J38" s="5" t="n"/>
    </row>
    <row r="39">
      <c r="A39" s="5" t="n"/>
      <c r="B39" s="5" t="n"/>
      <c r="C39" s="5" t="n"/>
      <c r="D39" s="5" t="n"/>
      <c r="E39" s="4">
        <f>IF(C39="","",COUNTIF($C$7:C39,C39))</f>
        <v/>
      </c>
      <c r="F39" s="4">
        <f>IF(E39="","",IF(E39&lt;=3,6,IF(E39&lt;=6,5,IF(E39&lt;=9,4,IF(E39&lt;=12,3,IF(E39&lt;=15,2,0))))))</f>
        <v/>
      </c>
      <c r="G39" s="5" t="n"/>
      <c r="H39" s="4">
        <f>IF(OR(F39="",G39=""),"",F39*G39+IF(J39="",0,J39))</f>
        <v/>
      </c>
      <c r="I39" s="5" t="n"/>
      <c r="J39" s="5" t="n"/>
    </row>
    <row r="40">
      <c r="A40" s="5" t="n"/>
      <c r="B40" s="5" t="n"/>
      <c r="C40" s="5" t="n"/>
      <c r="D40" s="5" t="n"/>
      <c r="E40" s="4">
        <f>IF(C40="","",COUNTIF($C$7:C40,C40))</f>
        <v/>
      </c>
      <c r="F40" s="4">
        <f>IF(E40="","",IF(E40&lt;=3,6,IF(E40&lt;=6,5,IF(E40&lt;=9,4,IF(E40&lt;=12,3,IF(E40&lt;=15,2,0))))))</f>
        <v/>
      </c>
      <c r="G40" s="5" t="n"/>
      <c r="H40" s="4">
        <f>IF(OR(F40="",G40=""),"",F40*G40+IF(J40="",0,J40))</f>
        <v/>
      </c>
      <c r="I40" s="5" t="n"/>
      <c r="J40" s="5" t="n"/>
    </row>
    <row r="41">
      <c r="A41" s="5" t="n"/>
      <c r="B41" s="5" t="n"/>
      <c r="C41" s="5" t="n"/>
      <c r="D41" s="5" t="n"/>
      <c r="E41" s="4">
        <f>IF(C41="","",COUNTIF($C$7:C41,C41))</f>
        <v/>
      </c>
      <c r="F41" s="4">
        <f>IF(E41="","",IF(E41&lt;=3,6,IF(E41&lt;=6,5,IF(E41&lt;=9,4,IF(E41&lt;=12,3,IF(E41&lt;=15,2,0))))))</f>
        <v/>
      </c>
      <c r="G41" s="5" t="n"/>
      <c r="H41" s="4">
        <f>IF(OR(F41="",G41=""),"",F41*G41+IF(J41="",0,J41))</f>
        <v/>
      </c>
      <c r="I41" s="5" t="n"/>
      <c r="J41" s="5" t="n"/>
    </row>
    <row r="42">
      <c r="A42" s="5" t="n"/>
      <c r="B42" s="5" t="n"/>
      <c r="C42" s="5" t="n"/>
      <c r="D42" s="5" t="n"/>
      <c r="E42" s="4">
        <f>IF(C42="","",COUNTIF($C$7:C42,C42))</f>
        <v/>
      </c>
      <c r="F42" s="4">
        <f>IF(E42="","",IF(E42&lt;=3,6,IF(E42&lt;=6,5,IF(E42&lt;=9,4,IF(E42&lt;=12,3,IF(E42&lt;=15,2,0))))))</f>
        <v/>
      </c>
      <c r="G42" s="5" t="n"/>
      <c r="H42" s="4">
        <f>IF(OR(F42="",G42=""),"",F42*G42+IF(J42="",0,J42))</f>
        <v/>
      </c>
      <c r="I42" s="5" t="n"/>
      <c r="J42" s="5" t="n"/>
    </row>
    <row r="43">
      <c r="A43" s="5" t="n"/>
      <c r="B43" s="5" t="n"/>
      <c r="C43" s="5" t="n"/>
      <c r="D43" s="5" t="n"/>
      <c r="E43" s="4">
        <f>IF(C43="","",COUNTIF($C$7:C43,C43))</f>
        <v/>
      </c>
      <c r="F43" s="4">
        <f>IF(E43="","",IF(E43&lt;=3,6,IF(E43&lt;=6,5,IF(E43&lt;=9,4,IF(E43&lt;=12,3,IF(E43&lt;=15,2,0))))))</f>
        <v/>
      </c>
      <c r="G43" s="5" t="n"/>
      <c r="H43" s="4">
        <f>IF(OR(F43="",G43=""),"",F43*G43+IF(J43="",0,J43))</f>
        <v/>
      </c>
      <c r="I43" s="5" t="n"/>
      <c r="J43" s="5" t="n"/>
    </row>
    <row r="44">
      <c r="A44" s="5" t="n"/>
      <c r="B44" s="5" t="n"/>
      <c r="C44" s="5" t="n"/>
      <c r="D44" s="5" t="n"/>
      <c r="E44" s="4">
        <f>IF(C44="","",COUNTIF($C$7:C44,C44))</f>
        <v/>
      </c>
      <c r="F44" s="4">
        <f>IF(E44="","",IF(E44&lt;=3,6,IF(E44&lt;=6,5,IF(E44&lt;=9,4,IF(E44&lt;=12,3,IF(E44&lt;=15,2,0))))))</f>
        <v/>
      </c>
      <c r="G44" s="5" t="n"/>
      <c r="H44" s="4">
        <f>IF(OR(F44="",G44=""),"",F44*G44+IF(J44="",0,J44))</f>
        <v/>
      </c>
      <c r="I44" s="5" t="n"/>
      <c r="J44" s="5" t="n"/>
    </row>
    <row r="45">
      <c r="A45" s="5" t="n"/>
      <c r="B45" s="5" t="n"/>
      <c r="C45" s="5" t="n"/>
      <c r="D45" s="5" t="n"/>
      <c r="E45" s="4">
        <f>IF(C45="","",COUNTIF($C$7:C45,C45))</f>
        <v/>
      </c>
      <c r="F45" s="4">
        <f>IF(E45="","",IF(E45&lt;=3,6,IF(E45&lt;=6,5,IF(E45&lt;=9,4,IF(E45&lt;=12,3,IF(E45&lt;=15,2,0))))))</f>
        <v/>
      </c>
      <c r="G45" s="5" t="n"/>
      <c r="H45" s="4">
        <f>IF(OR(F45="",G45=""),"",F45*G45+IF(J45="",0,J45))</f>
        <v/>
      </c>
      <c r="I45" s="5" t="n"/>
      <c r="J45" s="5" t="n"/>
    </row>
    <row r="46">
      <c r="A46" s="5" t="n"/>
      <c r="B46" s="5" t="n"/>
      <c r="C46" s="5" t="n"/>
      <c r="D46" s="5" t="n"/>
      <c r="E46" s="4">
        <f>IF(C46="","",COUNTIF($C$7:C46,C46))</f>
        <v/>
      </c>
      <c r="F46" s="4">
        <f>IF(E46="","",IF(E46&lt;=3,6,IF(E46&lt;=6,5,IF(E46&lt;=9,4,IF(E46&lt;=12,3,IF(E46&lt;=15,2,0))))))</f>
        <v/>
      </c>
      <c r="G46" s="5" t="n"/>
      <c r="H46" s="4">
        <f>IF(OR(F46="",G46=""),"",F46*G46+IF(J46="",0,J46))</f>
        <v/>
      </c>
      <c r="I46" s="5" t="n"/>
      <c r="J46" s="5" t="n"/>
    </row>
    <row r="47">
      <c r="A47" s="5" t="n"/>
      <c r="B47" s="5" t="n"/>
      <c r="C47" s="5" t="n"/>
      <c r="D47" s="5" t="n"/>
      <c r="E47" s="4">
        <f>IF(C47="","",COUNTIF($C$7:C47,C47))</f>
        <v/>
      </c>
      <c r="F47" s="4">
        <f>IF(E47="","",IF(E47&lt;=3,6,IF(E47&lt;=6,5,IF(E47&lt;=9,4,IF(E47&lt;=12,3,IF(E47&lt;=15,2,0))))))</f>
        <v/>
      </c>
      <c r="G47" s="5" t="n"/>
      <c r="H47" s="4">
        <f>IF(OR(F47="",G47=""),"",F47*G47+IF(J47="",0,J47))</f>
        <v/>
      </c>
      <c r="I47" s="5" t="n"/>
      <c r="J47" s="5" t="n"/>
    </row>
    <row r="48">
      <c r="A48" s="5" t="n"/>
      <c r="B48" s="5" t="n"/>
      <c r="C48" s="5" t="n"/>
      <c r="D48" s="5" t="n"/>
      <c r="E48" s="4">
        <f>IF(C48="","",COUNTIF($C$7:C48,C48))</f>
        <v/>
      </c>
      <c r="F48" s="4">
        <f>IF(E48="","",IF(E48&lt;=3,6,IF(E48&lt;=6,5,IF(E48&lt;=9,4,IF(E48&lt;=12,3,IF(E48&lt;=15,2,0))))))</f>
        <v/>
      </c>
      <c r="G48" s="5" t="n"/>
      <c r="H48" s="4">
        <f>IF(OR(F48="",G48=""),"",F48*G48+IF(J48="",0,J48))</f>
        <v/>
      </c>
      <c r="I48" s="5" t="n"/>
      <c r="J48" s="5" t="n"/>
    </row>
    <row r="49">
      <c r="A49" s="5" t="n"/>
      <c r="B49" s="5" t="n"/>
      <c r="C49" s="5" t="n"/>
      <c r="D49" s="5" t="n"/>
      <c r="E49" s="4">
        <f>IF(C49="","",COUNTIF($C$7:C49,C49))</f>
        <v/>
      </c>
      <c r="F49" s="4">
        <f>IF(E49="","",IF(E49&lt;=3,6,IF(E49&lt;=6,5,IF(E49&lt;=9,4,IF(E49&lt;=12,3,IF(E49&lt;=15,2,0))))))</f>
        <v/>
      </c>
      <c r="G49" s="5" t="n"/>
      <c r="H49" s="4">
        <f>IF(OR(F49="",G49=""),"",F49*G49+IF(J49="",0,J49))</f>
        <v/>
      </c>
      <c r="I49" s="5" t="n"/>
      <c r="J49" s="5" t="n"/>
    </row>
    <row r="50">
      <c r="A50" s="5" t="n"/>
      <c r="B50" s="5" t="n"/>
      <c r="C50" s="5" t="n"/>
      <c r="D50" s="5" t="n"/>
      <c r="E50" s="4">
        <f>IF(C50="","",COUNTIF($C$7:C50,C50))</f>
        <v/>
      </c>
      <c r="F50" s="4">
        <f>IF(E50="","",IF(E50&lt;=3,6,IF(E50&lt;=6,5,IF(E50&lt;=9,4,IF(E50&lt;=12,3,IF(E50&lt;=15,2,0))))))</f>
        <v/>
      </c>
      <c r="G50" s="5" t="n"/>
      <c r="H50" s="4">
        <f>IF(OR(F50="",G50=""),"",F50*G50+IF(J50="",0,J50))</f>
        <v/>
      </c>
      <c r="I50" s="5" t="n"/>
      <c r="J50" s="5" t="n"/>
    </row>
    <row r="51">
      <c r="A51" s="5" t="n"/>
      <c r="B51" s="5" t="n"/>
      <c r="C51" s="5" t="n"/>
      <c r="D51" s="5" t="n"/>
      <c r="E51" s="4">
        <f>IF(C51="","",COUNTIF($C$7:C51,C51))</f>
        <v/>
      </c>
      <c r="F51" s="4">
        <f>IF(E51="","",IF(E51&lt;=3,6,IF(E51&lt;=6,5,IF(E51&lt;=9,4,IF(E51&lt;=12,3,IF(E51&lt;=15,2,0))))))</f>
        <v/>
      </c>
      <c r="G51" s="5" t="n"/>
      <c r="H51" s="4">
        <f>IF(OR(F51="",G51=""),"",F51*G51+IF(J51="",0,J51))</f>
        <v/>
      </c>
      <c r="I51" s="5" t="n"/>
      <c r="J51" s="5" t="n"/>
    </row>
    <row r="52">
      <c r="A52" s="5" t="n"/>
      <c r="B52" s="5" t="n"/>
      <c r="C52" s="5" t="n"/>
      <c r="D52" s="5" t="n"/>
      <c r="E52" s="4">
        <f>IF(C52="","",COUNTIF($C$7:C52,C52))</f>
        <v/>
      </c>
      <c r="F52" s="4">
        <f>IF(E52="","",IF(E52&lt;=3,6,IF(E52&lt;=6,5,IF(E52&lt;=9,4,IF(E52&lt;=12,3,IF(E52&lt;=15,2,0))))))</f>
        <v/>
      </c>
      <c r="G52" s="5" t="n"/>
      <c r="H52" s="4">
        <f>IF(OR(F52="",G52=""),"",F52*G52+IF(J52="",0,J52))</f>
        <v/>
      </c>
      <c r="I52" s="5" t="n"/>
      <c r="J52" s="5" t="n"/>
    </row>
    <row r="53">
      <c r="A53" s="5" t="n"/>
      <c r="B53" s="5" t="n"/>
      <c r="C53" s="5" t="n"/>
      <c r="D53" s="5" t="n"/>
      <c r="E53" s="4">
        <f>IF(C53="","",COUNTIF($C$7:C53,C53))</f>
        <v/>
      </c>
      <c r="F53" s="4">
        <f>IF(E53="","",IF(E53&lt;=3,6,IF(E53&lt;=6,5,IF(E53&lt;=9,4,IF(E53&lt;=12,3,IF(E53&lt;=15,2,0))))))</f>
        <v/>
      </c>
      <c r="G53" s="5" t="n"/>
      <c r="H53" s="4">
        <f>IF(OR(F53="",G53=""),"",F53*G53+IF(J53="",0,J53))</f>
        <v/>
      </c>
      <c r="I53" s="5" t="n"/>
      <c r="J53" s="5" t="n"/>
    </row>
    <row r="54">
      <c r="A54" s="5" t="n"/>
      <c r="B54" s="5" t="n"/>
      <c r="C54" s="5" t="n"/>
      <c r="D54" s="5" t="n"/>
      <c r="E54" s="4">
        <f>IF(C54="","",COUNTIF($C$7:C54,C54))</f>
        <v/>
      </c>
      <c r="F54" s="4">
        <f>IF(E54="","",IF(E54&lt;=3,6,IF(E54&lt;=6,5,IF(E54&lt;=9,4,IF(E54&lt;=12,3,IF(E54&lt;=15,2,0))))))</f>
        <v/>
      </c>
      <c r="G54" s="5" t="n"/>
      <c r="H54" s="4">
        <f>IF(OR(F54="",G54=""),"",F54*G54+IF(J54="",0,J54))</f>
        <v/>
      </c>
      <c r="I54" s="5" t="n"/>
      <c r="J54" s="5" t="n"/>
    </row>
    <row r="55">
      <c r="A55" s="5" t="n"/>
      <c r="B55" s="5" t="n"/>
      <c r="C55" s="5" t="n"/>
      <c r="D55" s="5" t="n"/>
      <c r="E55" s="4">
        <f>IF(C55="","",COUNTIF($C$7:C55,C55))</f>
        <v/>
      </c>
      <c r="F55" s="4">
        <f>IF(E55="","",IF(E55&lt;=3,6,IF(E55&lt;=6,5,IF(E55&lt;=9,4,IF(E55&lt;=12,3,IF(E55&lt;=15,2,0))))))</f>
        <v/>
      </c>
      <c r="G55" s="5" t="n"/>
      <c r="H55" s="4">
        <f>IF(OR(F55="",G55=""),"",F55*G55+IF(J55="",0,J55))</f>
        <v/>
      </c>
      <c r="I55" s="5" t="n"/>
      <c r="J55" s="5" t="n"/>
    </row>
    <row r="56">
      <c r="A56" s="5" t="n"/>
      <c r="B56" s="5" t="n"/>
      <c r="C56" s="5" t="n"/>
      <c r="D56" s="5" t="n"/>
      <c r="E56" s="4">
        <f>IF(C56="","",COUNTIF($C$7:C56,C56))</f>
        <v/>
      </c>
      <c r="F56" s="4">
        <f>IF(E56="","",IF(E56&lt;=3,6,IF(E56&lt;=6,5,IF(E56&lt;=9,4,IF(E56&lt;=12,3,IF(E56&lt;=15,2,0))))))</f>
        <v/>
      </c>
      <c r="G56" s="5" t="n"/>
      <c r="H56" s="4">
        <f>IF(OR(F56="",G56=""),"",F56*G56+IF(J56="",0,J56))</f>
        <v/>
      </c>
      <c r="I56" s="5" t="n"/>
      <c r="J56" s="5" t="n"/>
    </row>
    <row r="57">
      <c r="A57" s="5" t="n"/>
      <c r="B57" s="5" t="n"/>
      <c r="C57" s="5" t="n"/>
      <c r="D57" s="5" t="n"/>
      <c r="E57" s="4">
        <f>IF(C57="","",COUNTIF($C$7:C57,C57))</f>
        <v/>
      </c>
      <c r="F57" s="4">
        <f>IF(E57="","",IF(E57&lt;=3,6,IF(E57&lt;=6,5,IF(E57&lt;=9,4,IF(E57&lt;=12,3,IF(E57&lt;=15,2,0))))))</f>
        <v/>
      </c>
      <c r="G57" s="5" t="n"/>
      <c r="H57" s="4">
        <f>IF(OR(F57="",G57=""),"",F57*G57+IF(J57="",0,J57))</f>
        <v/>
      </c>
      <c r="I57" s="5" t="n"/>
      <c r="J57" s="5" t="n"/>
    </row>
    <row r="58">
      <c r="A58" s="5" t="n"/>
      <c r="B58" s="5" t="n"/>
      <c r="C58" s="5" t="n"/>
      <c r="D58" s="5" t="n"/>
      <c r="E58" s="4">
        <f>IF(C58="","",COUNTIF($C$7:C58,C58))</f>
        <v/>
      </c>
      <c r="F58" s="4">
        <f>IF(E58="","",IF(E58&lt;=3,6,IF(E58&lt;=6,5,IF(E58&lt;=9,4,IF(E58&lt;=12,3,IF(E58&lt;=15,2,0))))))</f>
        <v/>
      </c>
      <c r="G58" s="5" t="n"/>
      <c r="H58" s="4">
        <f>IF(OR(F58="",G58=""),"",F58*G58+IF(J58="",0,J58))</f>
        <v/>
      </c>
      <c r="I58" s="5" t="n"/>
      <c r="J58" s="5" t="n"/>
    </row>
    <row r="59">
      <c r="A59" s="5" t="n"/>
      <c r="B59" s="5" t="n"/>
      <c r="C59" s="5" t="n"/>
      <c r="D59" s="5" t="n"/>
      <c r="E59" s="4">
        <f>IF(C59="","",COUNTIF($C$7:C59,C59))</f>
        <v/>
      </c>
      <c r="F59" s="4">
        <f>IF(E59="","",IF(E59&lt;=3,6,IF(E59&lt;=6,5,IF(E59&lt;=9,4,IF(E59&lt;=12,3,IF(E59&lt;=15,2,0))))))</f>
        <v/>
      </c>
      <c r="G59" s="5" t="n"/>
      <c r="H59" s="4">
        <f>IF(OR(F59="",G59=""),"",F59*G59+IF(J59="",0,J59))</f>
        <v/>
      </c>
      <c r="I59" s="5" t="n"/>
      <c r="J59" s="5" t="n"/>
    </row>
    <row r="60">
      <c r="A60" s="5" t="n"/>
      <c r="B60" s="5" t="n"/>
      <c r="C60" s="5" t="n"/>
      <c r="D60" s="5" t="n"/>
      <c r="E60" s="4">
        <f>IF(C60="","",COUNTIF($C$7:C60,C60))</f>
        <v/>
      </c>
      <c r="F60" s="4">
        <f>IF(E60="","",IF(E60&lt;=3,6,IF(E60&lt;=6,5,IF(E60&lt;=9,4,IF(E60&lt;=12,3,IF(E60&lt;=15,2,0))))))</f>
        <v/>
      </c>
      <c r="G60" s="5" t="n"/>
      <c r="H60" s="4">
        <f>IF(OR(F60="",G60=""),"",F60*G60+IF(J60="",0,J60))</f>
        <v/>
      </c>
      <c r="I60" s="5" t="n"/>
      <c r="J60" s="5" t="n"/>
    </row>
    <row r="61">
      <c r="A61" s="5" t="n"/>
      <c r="B61" s="5" t="n"/>
      <c r="C61" s="5" t="n"/>
      <c r="D61" s="5" t="n"/>
      <c r="E61" s="4">
        <f>IF(C61="","",COUNTIF($C$7:C61,C61))</f>
        <v/>
      </c>
      <c r="F61" s="4">
        <f>IF(E61="","",IF(E61&lt;=3,6,IF(E61&lt;=6,5,IF(E61&lt;=9,4,IF(E61&lt;=12,3,IF(E61&lt;=15,2,0))))))</f>
        <v/>
      </c>
      <c r="G61" s="5" t="n"/>
      <c r="H61" s="4">
        <f>IF(OR(F61="",G61=""),"",F61*G61+IF(J61="",0,J61))</f>
        <v/>
      </c>
      <c r="I61" s="5" t="n"/>
      <c r="J61" s="5" t="n"/>
    </row>
    <row r="62">
      <c r="A62" s="5" t="n"/>
      <c r="B62" s="5" t="n"/>
      <c r="C62" s="5" t="n"/>
      <c r="D62" s="5" t="n"/>
      <c r="E62" s="4">
        <f>IF(C62="","",COUNTIF($C$7:C62,C62))</f>
        <v/>
      </c>
      <c r="F62" s="4">
        <f>IF(E62="","",IF(E62&lt;=3,6,IF(E62&lt;=6,5,IF(E62&lt;=9,4,IF(E62&lt;=12,3,IF(E62&lt;=15,2,0))))))</f>
        <v/>
      </c>
      <c r="G62" s="5" t="n"/>
      <c r="H62" s="4">
        <f>IF(OR(F62="",G62=""),"",F62*G62+IF(J62="",0,J62))</f>
        <v/>
      </c>
      <c r="I62" s="5" t="n"/>
      <c r="J62" s="5" t="n"/>
    </row>
    <row r="63">
      <c r="A63" s="5" t="n"/>
      <c r="B63" s="5" t="n"/>
      <c r="C63" s="5" t="n"/>
      <c r="D63" s="5" t="n"/>
      <c r="E63" s="4">
        <f>IF(C63="","",COUNTIF($C$7:C63,C63))</f>
        <v/>
      </c>
      <c r="F63" s="4">
        <f>IF(E63="","",IF(E63&lt;=3,6,IF(E63&lt;=6,5,IF(E63&lt;=9,4,IF(E63&lt;=12,3,IF(E63&lt;=15,2,0))))))</f>
        <v/>
      </c>
      <c r="G63" s="5" t="n"/>
      <c r="H63" s="4">
        <f>IF(OR(F63="",G63=""),"",F63*G63+IF(J63="",0,J63))</f>
        <v/>
      </c>
      <c r="I63" s="5" t="n"/>
      <c r="J63" s="5" t="n"/>
    </row>
    <row r="64">
      <c r="A64" s="5" t="n"/>
      <c r="B64" s="5" t="n"/>
      <c r="C64" s="5" t="n"/>
      <c r="D64" s="5" t="n"/>
      <c r="E64" s="4">
        <f>IF(C64="","",COUNTIF($C$7:C64,C64))</f>
        <v/>
      </c>
      <c r="F64" s="4">
        <f>IF(E64="","",IF(E64&lt;=3,6,IF(E64&lt;=6,5,IF(E64&lt;=9,4,IF(E64&lt;=12,3,IF(E64&lt;=15,2,0))))))</f>
        <v/>
      </c>
      <c r="G64" s="5" t="n"/>
      <c r="H64" s="4">
        <f>IF(OR(F64="",G64=""),"",F64*G64+IF(J64="",0,J64))</f>
        <v/>
      </c>
      <c r="I64" s="5" t="n"/>
      <c r="J64" s="5" t="n"/>
    </row>
    <row r="65">
      <c r="A65" s="5" t="n"/>
      <c r="B65" s="5" t="n"/>
      <c r="C65" s="5" t="n"/>
      <c r="D65" s="5" t="n"/>
      <c r="E65" s="4">
        <f>IF(C65="","",COUNTIF($C$7:C65,C65))</f>
        <v/>
      </c>
      <c r="F65" s="4">
        <f>IF(E65="","",IF(E65&lt;=3,6,IF(E65&lt;=6,5,IF(E65&lt;=9,4,IF(E65&lt;=12,3,IF(E65&lt;=15,2,0))))))</f>
        <v/>
      </c>
      <c r="G65" s="5" t="n"/>
      <c r="H65" s="4">
        <f>IF(OR(F65="",G65=""),"",F65*G65+IF(J65="",0,J65))</f>
        <v/>
      </c>
      <c r="I65" s="5" t="n"/>
      <c r="J65" s="5" t="n"/>
    </row>
    <row r="66">
      <c r="A66" s="5" t="n"/>
      <c r="B66" s="5" t="n"/>
      <c r="C66" s="5" t="n"/>
      <c r="D66" s="5" t="n"/>
      <c r="E66" s="4">
        <f>IF(C66="","",COUNTIF($C$7:C66,C66))</f>
        <v/>
      </c>
      <c r="F66" s="4">
        <f>IF(E66="","",IF(E66&lt;=3,6,IF(E66&lt;=6,5,IF(E66&lt;=9,4,IF(E66&lt;=12,3,IF(E66&lt;=15,2,0))))))</f>
        <v/>
      </c>
      <c r="G66" s="5" t="n"/>
      <c r="H66" s="4">
        <f>IF(OR(F66="",G66=""),"",F66*G66+IF(J66="",0,J66))</f>
        <v/>
      </c>
      <c r="I66" s="5" t="n"/>
      <c r="J66" s="5" t="n"/>
    </row>
    <row r="67">
      <c r="A67" s="5" t="n"/>
      <c r="B67" s="5" t="n"/>
      <c r="C67" s="5" t="n"/>
      <c r="D67" s="5" t="n"/>
      <c r="E67" s="4">
        <f>IF(C67="","",COUNTIF($C$7:C67,C67))</f>
        <v/>
      </c>
      <c r="F67" s="4">
        <f>IF(E67="","",IF(E67&lt;=3,6,IF(E67&lt;=6,5,IF(E67&lt;=9,4,IF(E67&lt;=12,3,IF(E67&lt;=15,2,0))))))</f>
        <v/>
      </c>
      <c r="G67" s="5" t="n"/>
      <c r="H67" s="4">
        <f>IF(OR(F67="",G67=""),"",F67*G67+IF(J67="",0,J67))</f>
        <v/>
      </c>
      <c r="I67" s="5" t="n"/>
      <c r="J67" s="5" t="n"/>
    </row>
    <row r="68">
      <c r="A68" s="5" t="n"/>
      <c r="B68" s="5" t="n"/>
      <c r="C68" s="5" t="n"/>
      <c r="D68" s="5" t="n"/>
      <c r="E68" s="4">
        <f>IF(C68="","",COUNTIF($C$7:C68,C68))</f>
        <v/>
      </c>
      <c r="F68" s="4">
        <f>IF(E68="","",IF(E68&lt;=3,6,IF(E68&lt;=6,5,IF(E68&lt;=9,4,IF(E68&lt;=12,3,IF(E68&lt;=15,2,0))))))</f>
        <v/>
      </c>
      <c r="G68" s="5" t="n"/>
      <c r="H68" s="4">
        <f>IF(OR(F68="",G68=""),"",F68*G68+IF(J68="",0,J68))</f>
        <v/>
      </c>
      <c r="I68" s="5" t="n"/>
      <c r="J68" s="5" t="n"/>
    </row>
    <row r="69">
      <c r="A69" s="5" t="n"/>
      <c r="B69" s="5" t="n"/>
      <c r="C69" s="5" t="n"/>
      <c r="D69" s="5" t="n"/>
      <c r="E69" s="4">
        <f>IF(C69="","",COUNTIF($C$7:C69,C69))</f>
        <v/>
      </c>
      <c r="F69" s="4">
        <f>IF(E69="","",IF(E69&lt;=3,6,IF(E69&lt;=6,5,IF(E69&lt;=9,4,IF(E69&lt;=12,3,IF(E69&lt;=15,2,0))))))</f>
        <v/>
      </c>
      <c r="G69" s="5" t="n"/>
      <c r="H69" s="4">
        <f>IF(OR(F69="",G69=""),"",F69*G69+IF(J69="",0,J69))</f>
        <v/>
      </c>
      <c r="I69" s="5" t="n"/>
      <c r="J69" s="5" t="n"/>
    </row>
    <row r="70">
      <c r="A70" s="5" t="n"/>
      <c r="B70" s="5" t="n"/>
      <c r="C70" s="5" t="n"/>
      <c r="D70" s="5" t="n"/>
      <c r="E70" s="4">
        <f>IF(C70="","",COUNTIF($C$7:C70,C70))</f>
        <v/>
      </c>
      <c r="F70" s="4">
        <f>IF(E70="","",IF(E70&lt;=3,6,IF(E70&lt;=6,5,IF(E70&lt;=9,4,IF(E70&lt;=12,3,IF(E70&lt;=15,2,0))))))</f>
        <v/>
      </c>
      <c r="G70" s="5" t="n"/>
      <c r="H70" s="4">
        <f>IF(OR(F70="",G70=""),"",F70*G70+IF(J70="",0,J70))</f>
        <v/>
      </c>
      <c r="I70" s="5" t="n"/>
      <c r="J70" s="5" t="n"/>
    </row>
    <row r="71">
      <c r="A71" s="5" t="n"/>
      <c r="B71" s="5" t="n"/>
      <c r="C71" s="5" t="n"/>
      <c r="D71" s="5" t="n"/>
      <c r="E71" s="4">
        <f>IF(C71="","",COUNTIF($C$7:C71,C71))</f>
        <v/>
      </c>
      <c r="F71" s="4">
        <f>IF(E71="","",IF(E71&lt;=3,6,IF(E71&lt;=6,5,IF(E71&lt;=9,4,IF(E71&lt;=12,3,IF(E71&lt;=15,2,0))))))</f>
        <v/>
      </c>
      <c r="G71" s="5" t="n"/>
      <c r="H71" s="4">
        <f>IF(OR(F71="",G71=""),"",F71*G71+IF(J71="",0,J71))</f>
        <v/>
      </c>
      <c r="I71" s="5" t="n"/>
      <c r="J71" s="5" t="n"/>
    </row>
    <row r="72">
      <c r="A72" s="5" t="n"/>
      <c r="B72" s="5" t="n"/>
      <c r="C72" s="5" t="n"/>
      <c r="D72" s="5" t="n"/>
      <c r="E72" s="4">
        <f>IF(C72="","",COUNTIF($C$7:C72,C72))</f>
        <v/>
      </c>
      <c r="F72" s="4">
        <f>IF(E72="","",IF(E72&lt;=3,6,IF(E72&lt;=6,5,IF(E72&lt;=9,4,IF(E72&lt;=12,3,IF(E72&lt;=15,2,0))))))</f>
        <v/>
      </c>
      <c r="G72" s="5" t="n"/>
      <c r="H72" s="4">
        <f>IF(OR(F72="",G72=""),"",F72*G72+IF(J72="",0,J72))</f>
        <v/>
      </c>
      <c r="I72" s="5" t="n"/>
      <c r="J72" s="5" t="n"/>
    </row>
    <row r="73">
      <c r="A73" s="5" t="n"/>
      <c r="B73" s="5" t="n"/>
      <c r="C73" s="5" t="n"/>
      <c r="D73" s="5" t="n"/>
      <c r="E73" s="4">
        <f>IF(C73="","",COUNTIF($C$7:C73,C73))</f>
        <v/>
      </c>
      <c r="F73" s="4">
        <f>IF(E73="","",IF(E73&lt;=3,6,IF(E73&lt;=6,5,IF(E73&lt;=9,4,IF(E73&lt;=12,3,IF(E73&lt;=15,2,0))))))</f>
        <v/>
      </c>
      <c r="G73" s="5" t="n"/>
      <c r="H73" s="4">
        <f>IF(OR(F73="",G73=""),"",F73*G73+IF(J73="",0,J73))</f>
        <v/>
      </c>
      <c r="I73" s="5" t="n"/>
      <c r="J73" s="5" t="n"/>
    </row>
    <row r="74">
      <c r="A74" s="5" t="n"/>
      <c r="B74" s="5" t="n"/>
      <c r="C74" s="5" t="n"/>
      <c r="D74" s="5" t="n"/>
      <c r="E74" s="4">
        <f>IF(C74="","",COUNTIF($C$7:C74,C74))</f>
        <v/>
      </c>
      <c r="F74" s="4">
        <f>IF(E74="","",IF(E74&lt;=3,6,IF(E74&lt;=6,5,IF(E74&lt;=9,4,IF(E74&lt;=12,3,IF(E74&lt;=15,2,0))))))</f>
        <v/>
      </c>
      <c r="G74" s="5" t="n"/>
      <c r="H74" s="4">
        <f>IF(OR(F74="",G74=""),"",F74*G74+IF(J74="",0,J74))</f>
        <v/>
      </c>
      <c r="I74" s="5" t="n"/>
      <c r="J74" s="5" t="n"/>
    </row>
    <row r="75">
      <c r="A75" s="5" t="n"/>
      <c r="B75" s="5" t="n"/>
      <c r="C75" s="5" t="n"/>
      <c r="D75" s="5" t="n"/>
      <c r="E75" s="4">
        <f>IF(C75="","",COUNTIF($C$7:C75,C75))</f>
        <v/>
      </c>
      <c r="F75" s="4">
        <f>IF(E75="","",IF(E75&lt;=3,6,IF(E75&lt;=6,5,IF(E75&lt;=9,4,IF(E75&lt;=12,3,IF(E75&lt;=15,2,0))))))</f>
        <v/>
      </c>
      <c r="G75" s="5" t="n"/>
      <c r="H75" s="4">
        <f>IF(OR(F75="",G75=""),"",F75*G75+IF(J75="",0,J75))</f>
        <v/>
      </c>
      <c r="I75" s="5" t="n"/>
      <c r="J75" s="5" t="n"/>
    </row>
    <row r="76">
      <c r="A76" s="5" t="n"/>
      <c r="B76" s="5" t="n"/>
      <c r="C76" s="5" t="n"/>
      <c r="D76" s="5" t="n"/>
      <c r="E76" s="4">
        <f>IF(C76="","",COUNTIF($C$7:C76,C76))</f>
        <v/>
      </c>
      <c r="F76" s="4">
        <f>IF(E76="","",IF(E76&lt;=3,6,IF(E76&lt;=6,5,IF(E76&lt;=9,4,IF(E76&lt;=12,3,IF(E76&lt;=15,2,0))))))</f>
        <v/>
      </c>
      <c r="G76" s="5" t="n"/>
      <c r="H76" s="4">
        <f>IF(OR(F76="",G76=""),"",F76*G76+IF(J76="",0,J76))</f>
        <v/>
      </c>
      <c r="I76" s="5" t="n"/>
      <c r="J76" s="5" t="n"/>
    </row>
    <row r="77">
      <c r="A77" s="5" t="n"/>
      <c r="B77" s="5" t="n"/>
      <c r="C77" s="5" t="n"/>
      <c r="D77" s="5" t="n"/>
      <c r="E77" s="4">
        <f>IF(C77="","",COUNTIF($C$7:C77,C77))</f>
        <v/>
      </c>
      <c r="F77" s="4">
        <f>IF(E77="","",IF(E77&lt;=3,6,IF(E77&lt;=6,5,IF(E77&lt;=9,4,IF(E77&lt;=12,3,IF(E77&lt;=15,2,0))))))</f>
        <v/>
      </c>
      <c r="G77" s="5" t="n"/>
      <c r="H77" s="4">
        <f>IF(OR(F77="",G77=""),"",F77*G77+IF(J77="",0,J77))</f>
        <v/>
      </c>
      <c r="I77" s="5" t="n"/>
      <c r="J77" s="5" t="n"/>
    </row>
    <row r="78">
      <c r="A78" s="5" t="n"/>
      <c r="B78" s="5" t="n"/>
      <c r="C78" s="5" t="n"/>
      <c r="D78" s="5" t="n"/>
      <c r="E78" s="4">
        <f>IF(C78="","",COUNTIF($C$7:C78,C78))</f>
        <v/>
      </c>
      <c r="F78" s="4">
        <f>IF(E78="","",IF(E78&lt;=3,6,IF(E78&lt;=6,5,IF(E78&lt;=9,4,IF(E78&lt;=12,3,IF(E78&lt;=15,2,0))))))</f>
        <v/>
      </c>
      <c r="G78" s="5" t="n"/>
      <c r="H78" s="4">
        <f>IF(OR(F78="",G78=""),"",F78*G78+IF(J78="",0,J78))</f>
        <v/>
      </c>
      <c r="I78" s="5" t="n"/>
      <c r="J78" s="5" t="n"/>
    </row>
    <row r="79">
      <c r="A79" s="5" t="n"/>
      <c r="B79" s="5" t="n"/>
      <c r="C79" s="5" t="n"/>
      <c r="D79" s="5" t="n"/>
      <c r="E79" s="4">
        <f>IF(C79="","",COUNTIF($C$7:C79,C79))</f>
        <v/>
      </c>
      <c r="F79" s="4">
        <f>IF(E79="","",IF(E79&lt;=3,6,IF(E79&lt;=6,5,IF(E79&lt;=9,4,IF(E79&lt;=12,3,IF(E79&lt;=15,2,0))))))</f>
        <v/>
      </c>
      <c r="G79" s="5" t="n"/>
      <c r="H79" s="4">
        <f>IF(OR(F79="",G79=""),"",F79*G79+IF(J79="",0,J79))</f>
        <v/>
      </c>
      <c r="I79" s="5" t="n"/>
      <c r="J79" s="5" t="n"/>
    </row>
    <row r="80">
      <c r="A80" s="5" t="n"/>
      <c r="B80" s="5" t="n"/>
      <c r="C80" s="5" t="n"/>
      <c r="D80" s="5" t="n"/>
      <c r="E80" s="4">
        <f>IF(C80="","",COUNTIF($C$7:C80,C80))</f>
        <v/>
      </c>
      <c r="F80" s="4">
        <f>IF(E80="","",IF(E80&lt;=3,6,IF(E80&lt;=6,5,IF(E80&lt;=9,4,IF(E80&lt;=12,3,IF(E80&lt;=15,2,0))))))</f>
        <v/>
      </c>
      <c r="G80" s="5" t="n"/>
      <c r="H80" s="4">
        <f>IF(OR(F80="",G80=""),"",F80*G80+IF(J80="",0,J80))</f>
        <v/>
      </c>
      <c r="I80" s="5" t="n"/>
      <c r="J80" s="5" t="n"/>
    </row>
    <row r="81">
      <c r="A81" s="5" t="n"/>
      <c r="B81" s="5" t="n"/>
      <c r="C81" s="5" t="n"/>
      <c r="D81" s="5" t="n"/>
      <c r="E81" s="4">
        <f>IF(C81="","",COUNTIF($C$7:C81,C81))</f>
        <v/>
      </c>
      <c r="F81" s="4">
        <f>IF(E81="","",IF(E81&lt;=3,6,IF(E81&lt;=6,5,IF(E81&lt;=9,4,IF(E81&lt;=12,3,IF(E81&lt;=15,2,0))))))</f>
        <v/>
      </c>
      <c r="G81" s="5" t="n"/>
      <c r="H81" s="4">
        <f>IF(OR(F81="",G81=""),"",F81*G81+IF(J81="",0,J81))</f>
        <v/>
      </c>
      <c r="I81" s="5" t="n"/>
      <c r="J81" s="5" t="n"/>
    </row>
    <row r="82">
      <c r="A82" s="5" t="n"/>
      <c r="B82" s="5" t="n"/>
      <c r="C82" s="5" t="n"/>
      <c r="D82" s="5" t="n"/>
      <c r="E82" s="4">
        <f>IF(C82="","",COUNTIF($C$7:C82,C82))</f>
        <v/>
      </c>
      <c r="F82" s="4">
        <f>IF(E82="","",IF(E82&lt;=3,6,IF(E82&lt;=6,5,IF(E82&lt;=9,4,IF(E82&lt;=12,3,IF(E82&lt;=15,2,0))))))</f>
        <v/>
      </c>
      <c r="G82" s="5" t="n"/>
      <c r="H82" s="4">
        <f>IF(OR(F82="",G82=""),"",F82*G82+IF(J82="",0,J82))</f>
        <v/>
      </c>
      <c r="I82" s="5" t="n"/>
      <c r="J82" s="5" t="n"/>
    </row>
    <row r="83">
      <c r="A83" s="5" t="n"/>
      <c r="B83" s="5" t="n"/>
      <c r="C83" s="5" t="n"/>
      <c r="D83" s="5" t="n"/>
      <c r="E83" s="4">
        <f>IF(C83="","",COUNTIF($C$7:C83,C83))</f>
        <v/>
      </c>
      <c r="F83" s="4">
        <f>IF(E83="","",IF(E83&lt;=3,6,IF(E83&lt;=6,5,IF(E83&lt;=9,4,IF(E83&lt;=12,3,IF(E83&lt;=15,2,0))))))</f>
        <v/>
      </c>
      <c r="G83" s="5" t="n"/>
      <c r="H83" s="4">
        <f>IF(OR(F83="",G83=""),"",F83*G83+IF(J83="",0,J83))</f>
        <v/>
      </c>
      <c r="I83" s="5" t="n"/>
      <c r="J83" s="5" t="n"/>
    </row>
    <row r="84">
      <c r="A84" s="5" t="n"/>
      <c r="B84" s="5" t="n"/>
      <c r="C84" s="5" t="n"/>
      <c r="D84" s="5" t="n"/>
      <c r="E84" s="4">
        <f>IF(C84="","",COUNTIF($C$7:C84,C84))</f>
        <v/>
      </c>
      <c r="F84" s="4">
        <f>IF(E84="","",IF(E84&lt;=3,6,IF(E84&lt;=6,5,IF(E84&lt;=9,4,IF(E84&lt;=12,3,IF(E84&lt;=15,2,0))))))</f>
        <v/>
      </c>
      <c r="G84" s="5" t="n"/>
      <c r="H84" s="4">
        <f>IF(OR(F84="",G84=""),"",F84*G84+IF(J84="",0,J84))</f>
        <v/>
      </c>
      <c r="I84" s="5" t="n"/>
      <c r="J84" s="5" t="n"/>
    </row>
    <row r="85">
      <c r="A85" s="5" t="n"/>
      <c r="B85" s="5" t="n"/>
      <c r="C85" s="5" t="n"/>
      <c r="D85" s="5" t="n"/>
      <c r="E85" s="4">
        <f>IF(C85="","",COUNTIF($C$7:C85,C85))</f>
        <v/>
      </c>
      <c r="F85" s="4">
        <f>IF(E85="","",IF(E85&lt;=3,6,IF(E85&lt;=6,5,IF(E85&lt;=9,4,IF(E85&lt;=12,3,IF(E85&lt;=15,2,0))))))</f>
        <v/>
      </c>
      <c r="G85" s="5" t="n"/>
      <c r="H85" s="4">
        <f>IF(OR(F85="",G85=""),"",F85*G85+IF(J85="",0,J85))</f>
        <v/>
      </c>
      <c r="I85" s="5" t="n"/>
      <c r="J85" s="5" t="n"/>
    </row>
    <row r="86">
      <c r="A86" s="5" t="n"/>
      <c r="B86" s="5" t="n"/>
      <c r="C86" s="5" t="n"/>
      <c r="D86" s="5" t="n"/>
      <c r="E86" s="4">
        <f>IF(C86="","",COUNTIF($C$7:C86,C86))</f>
        <v/>
      </c>
      <c r="F86" s="4">
        <f>IF(E86="","",IF(E86&lt;=3,6,IF(E86&lt;=6,5,IF(E86&lt;=9,4,IF(E86&lt;=12,3,IF(E86&lt;=15,2,0))))))</f>
        <v/>
      </c>
      <c r="G86" s="5" t="n"/>
      <c r="H86" s="4">
        <f>IF(OR(F86="",G86=""),"",F86*G86+IF(J86="",0,J86))</f>
        <v/>
      </c>
      <c r="I86" s="5" t="n"/>
      <c r="J86" s="5" t="n"/>
    </row>
    <row r="87">
      <c r="A87" s="5" t="n"/>
      <c r="B87" s="5" t="n"/>
      <c r="C87" s="5" t="n"/>
      <c r="D87" s="5" t="n"/>
      <c r="E87" s="4">
        <f>IF(C87="","",COUNTIF($C$7:C87,C87))</f>
        <v/>
      </c>
      <c r="F87" s="4">
        <f>IF(E87="","",IF(E87&lt;=3,6,IF(E87&lt;=6,5,IF(E87&lt;=9,4,IF(E87&lt;=12,3,IF(E87&lt;=15,2,0))))))</f>
        <v/>
      </c>
      <c r="G87" s="5" t="n"/>
      <c r="H87" s="4">
        <f>IF(OR(F87="",G87=""),"",F87*G87+IF(J87="",0,J87))</f>
        <v/>
      </c>
      <c r="I87" s="5" t="n"/>
      <c r="J87" s="5" t="n"/>
    </row>
    <row r="88">
      <c r="A88" s="5" t="n"/>
      <c r="B88" s="5" t="n"/>
      <c r="C88" s="5" t="n"/>
      <c r="D88" s="5" t="n"/>
      <c r="E88" s="4">
        <f>IF(C88="","",COUNTIF($C$7:C88,C88))</f>
        <v/>
      </c>
      <c r="F88" s="4">
        <f>IF(E88="","",IF(E88&lt;=3,6,IF(E88&lt;=6,5,IF(E88&lt;=9,4,IF(E88&lt;=12,3,IF(E88&lt;=15,2,0))))))</f>
        <v/>
      </c>
      <c r="G88" s="5" t="n"/>
      <c r="H88" s="4">
        <f>IF(OR(F88="",G88=""),"",F88*G88+IF(J88="",0,J88))</f>
        <v/>
      </c>
      <c r="I88" s="5" t="n"/>
      <c r="J88" s="5" t="n"/>
    </row>
    <row r="89">
      <c r="A89" s="5" t="n"/>
      <c r="B89" s="5" t="n"/>
      <c r="C89" s="5" t="n"/>
      <c r="D89" s="5" t="n"/>
      <c r="E89" s="4">
        <f>IF(C89="","",COUNTIF($C$7:C89,C89))</f>
        <v/>
      </c>
      <c r="F89" s="4">
        <f>IF(E89="","",IF(E89&lt;=3,6,IF(E89&lt;=6,5,IF(E89&lt;=9,4,IF(E89&lt;=12,3,IF(E89&lt;=15,2,0))))))</f>
        <v/>
      </c>
      <c r="G89" s="5" t="n"/>
      <c r="H89" s="4">
        <f>IF(OR(F89="",G89=""),"",F89*G89+IF(J89="",0,J89))</f>
        <v/>
      </c>
      <c r="I89" s="5" t="n"/>
      <c r="J89" s="5" t="n"/>
    </row>
    <row r="90">
      <c r="A90" s="5" t="n"/>
      <c r="B90" s="5" t="n"/>
      <c r="C90" s="5" t="n"/>
      <c r="D90" s="5" t="n"/>
      <c r="E90" s="4">
        <f>IF(C90="","",COUNTIF($C$7:C90,C90))</f>
        <v/>
      </c>
      <c r="F90" s="4">
        <f>IF(E90="","",IF(E90&lt;=3,6,IF(E90&lt;=6,5,IF(E90&lt;=9,4,IF(E90&lt;=12,3,IF(E90&lt;=15,2,0))))))</f>
        <v/>
      </c>
      <c r="G90" s="5" t="n"/>
      <c r="H90" s="4">
        <f>IF(OR(F90="",G90=""),"",F90*G90+IF(J90="",0,J90))</f>
        <v/>
      </c>
      <c r="I90" s="5" t="n"/>
      <c r="J90" s="5" t="n"/>
    </row>
    <row r="91">
      <c r="A91" s="5" t="n"/>
      <c r="B91" s="5" t="n"/>
      <c r="C91" s="5" t="n"/>
      <c r="D91" s="5" t="n"/>
      <c r="E91" s="4">
        <f>IF(C91="","",COUNTIF($C$7:C91,C91))</f>
        <v/>
      </c>
      <c r="F91" s="4">
        <f>IF(E91="","",IF(E91&lt;=3,6,IF(E91&lt;=6,5,IF(E91&lt;=9,4,IF(E91&lt;=12,3,IF(E91&lt;=15,2,0))))))</f>
        <v/>
      </c>
      <c r="G91" s="5" t="n"/>
      <c r="H91" s="4">
        <f>IF(OR(F91="",G91=""),"",F91*G91+IF(J91="",0,J91))</f>
        <v/>
      </c>
      <c r="I91" s="5" t="n"/>
      <c r="J91" s="5" t="n"/>
    </row>
    <row r="92">
      <c r="A92" s="5" t="n"/>
      <c r="B92" s="5" t="n"/>
      <c r="C92" s="5" t="n"/>
      <c r="D92" s="5" t="n"/>
      <c r="E92" s="4">
        <f>IF(C92="","",COUNTIF($C$7:C92,C92))</f>
        <v/>
      </c>
      <c r="F92" s="4">
        <f>IF(E92="","",IF(E92&lt;=3,6,IF(E92&lt;=6,5,IF(E92&lt;=9,4,IF(E92&lt;=12,3,IF(E92&lt;=15,2,0))))))</f>
        <v/>
      </c>
      <c r="G92" s="5" t="n"/>
      <c r="H92" s="4">
        <f>IF(OR(F92="",G92=""),"",F92*G92+IF(J92="",0,J92))</f>
        <v/>
      </c>
      <c r="I92" s="5" t="n"/>
      <c r="J92" s="5" t="n"/>
    </row>
    <row r="93">
      <c r="A93" s="5" t="n"/>
      <c r="B93" s="5" t="n"/>
      <c r="C93" s="5" t="n"/>
      <c r="D93" s="5" t="n"/>
      <c r="E93" s="4">
        <f>IF(C93="","",COUNTIF($C$7:C93,C93))</f>
        <v/>
      </c>
      <c r="F93" s="4">
        <f>IF(E93="","",IF(E93&lt;=3,6,IF(E93&lt;=6,5,IF(E93&lt;=9,4,IF(E93&lt;=12,3,IF(E93&lt;=15,2,0))))))</f>
        <v/>
      </c>
      <c r="G93" s="5" t="n"/>
      <c r="H93" s="4">
        <f>IF(OR(F93="",G93=""),"",F93*G93+IF(J93="",0,J93))</f>
        <v/>
      </c>
      <c r="I93" s="5" t="n"/>
      <c r="J93" s="5" t="n"/>
    </row>
    <row r="94">
      <c r="A94" s="5" t="n"/>
      <c r="B94" s="5" t="n"/>
      <c r="C94" s="5" t="n"/>
      <c r="D94" s="5" t="n"/>
      <c r="E94" s="4">
        <f>IF(C94="","",COUNTIF($C$7:C94,C94))</f>
        <v/>
      </c>
      <c r="F94" s="4">
        <f>IF(E94="","",IF(E94&lt;=3,6,IF(E94&lt;=6,5,IF(E94&lt;=9,4,IF(E94&lt;=12,3,IF(E94&lt;=15,2,0))))))</f>
        <v/>
      </c>
      <c r="G94" s="5" t="n"/>
      <c r="H94" s="4">
        <f>IF(OR(F94="",G94=""),"",F94*G94+IF(J94="",0,J94))</f>
        <v/>
      </c>
      <c r="I94" s="5" t="n"/>
      <c r="J94" s="5" t="n"/>
    </row>
    <row r="95">
      <c r="A95" s="5" t="n"/>
      <c r="B95" s="5" t="n"/>
      <c r="C95" s="5" t="n"/>
      <c r="D95" s="5" t="n"/>
      <c r="E95" s="4">
        <f>IF(C95="","",COUNTIF($C$7:C95,C95))</f>
        <v/>
      </c>
      <c r="F95" s="4">
        <f>IF(E95="","",IF(E95&lt;=3,6,IF(E95&lt;=6,5,IF(E95&lt;=9,4,IF(E95&lt;=12,3,IF(E95&lt;=15,2,0))))))</f>
        <v/>
      </c>
      <c r="G95" s="5" t="n"/>
      <c r="H95" s="4">
        <f>IF(OR(F95="",G95=""),"",F95*G95+IF(J95="",0,J95))</f>
        <v/>
      </c>
      <c r="I95" s="5" t="n"/>
      <c r="J95" s="5" t="n"/>
    </row>
    <row r="96">
      <c r="A96" s="5" t="n"/>
      <c r="B96" s="5" t="n"/>
      <c r="C96" s="5" t="n"/>
      <c r="D96" s="5" t="n"/>
      <c r="E96" s="4">
        <f>IF(C96="","",COUNTIF($C$7:C96,C96))</f>
        <v/>
      </c>
      <c r="F96" s="4">
        <f>IF(E96="","",IF(E96&lt;=3,6,IF(E96&lt;=6,5,IF(E96&lt;=9,4,IF(E96&lt;=12,3,IF(E96&lt;=15,2,0))))))</f>
        <v/>
      </c>
      <c r="G96" s="5" t="n"/>
      <c r="H96" s="4">
        <f>IF(OR(F96="",G96=""),"",F96*G96+IF(J96="",0,J96))</f>
        <v/>
      </c>
      <c r="I96" s="5" t="n"/>
      <c r="J96" s="5" t="n"/>
    </row>
    <row r="97">
      <c r="A97" s="5" t="n"/>
      <c r="B97" s="5" t="n"/>
      <c r="C97" s="5" t="n"/>
      <c r="D97" s="5" t="n"/>
      <c r="E97" s="4">
        <f>IF(C97="","",COUNTIF($C$7:C97,C97))</f>
        <v/>
      </c>
      <c r="F97" s="4">
        <f>IF(E97="","",IF(E97&lt;=3,6,IF(E97&lt;=6,5,IF(E97&lt;=9,4,IF(E97&lt;=12,3,IF(E97&lt;=15,2,0))))))</f>
        <v/>
      </c>
      <c r="G97" s="5" t="n"/>
      <c r="H97" s="4">
        <f>IF(OR(F97="",G97=""),"",F97*G97+IF(J97="",0,J97))</f>
        <v/>
      </c>
      <c r="I97" s="5" t="n"/>
      <c r="J97" s="5" t="n"/>
    </row>
    <row r="98">
      <c r="A98" s="5" t="n"/>
      <c r="B98" s="5" t="n"/>
      <c r="C98" s="5" t="n"/>
      <c r="D98" s="5" t="n"/>
      <c r="E98" s="4">
        <f>IF(C98="","",COUNTIF($C$7:C98,C98))</f>
        <v/>
      </c>
      <c r="F98" s="4">
        <f>IF(E98="","",IF(E98&lt;=3,6,IF(E98&lt;=6,5,IF(E98&lt;=9,4,IF(E98&lt;=12,3,IF(E98&lt;=15,2,0))))))</f>
        <v/>
      </c>
      <c r="G98" s="5" t="n"/>
      <c r="H98" s="4">
        <f>IF(OR(F98="",G98=""),"",F98*G98+IF(J98="",0,J98))</f>
        <v/>
      </c>
      <c r="I98" s="5" t="n"/>
      <c r="J98" s="5" t="n"/>
    </row>
    <row r="99">
      <c r="A99" s="5" t="n"/>
      <c r="B99" s="5" t="n"/>
      <c r="C99" s="5" t="n"/>
      <c r="D99" s="5" t="n"/>
      <c r="E99" s="4">
        <f>IF(C99="","",COUNTIF($C$7:C99,C99))</f>
        <v/>
      </c>
      <c r="F99" s="4">
        <f>IF(E99="","",IF(E99&lt;=3,6,IF(E99&lt;=6,5,IF(E99&lt;=9,4,IF(E99&lt;=12,3,IF(E99&lt;=15,2,0))))))</f>
        <v/>
      </c>
      <c r="G99" s="5" t="n"/>
      <c r="H99" s="4">
        <f>IF(OR(F99="",G99=""),"",F99*G99+IF(J99="",0,J99))</f>
        <v/>
      </c>
      <c r="I99" s="5" t="n"/>
      <c r="J99" s="5" t="n"/>
    </row>
    <row r="100">
      <c r="A100" s="5" t="n"/>
      <c r="B100" s="5" t="n"/>
      <c r="C100" s="5" t="n"/>
      <c r="D100" s="5" t="n"/>
      <c r="E100" s="4">
        <f>IF(C100="","",COUNTIF($C$7:C100,C100))</f>
        <v/>
      </c>
      <c r="F100" s="4">
        <f>IF(E100="","",IF(E100&lt;=3,6,IF(E100&lt;=6,5,IF(E100&lt;=9,4,IF(E100&lt;=12,3,IF(E100&lt;=15,2,0))))))</f>
        <v/>
      </c>
      <c r="G100" s="5" t="n"/>
      <c r="H100" s="4">
        <f>IF(OR(F100="",G100=""),"",F100*G100+IF(J100="",0,J100))</f>
        <v/>
      </c>
      <c r="I100" s="5" t="n"/>
      <c r="J100" s="5" t="n"/>
    </row>
    <row r="101">
      <c r="A101" s="5" t="n"/>
      <c r="B101" s="5" t="n"/>
      <c r="C101" s="5" t="n"/>
      <c r="D101" s="5" t="n"/>
      <c r="E101" s="4">
        <f>IF(C101="","",COUNTIF($C$7:C101,C101))</f>
        <v/>
      </c>
      <c r="F101" s="4">
        <f>IF(E101="","",IF(E101&lt;=3,6,IF(E101&lt;=6,5,IF(E101&lt;=9,4,IF(E101&lt;=12,3,IF(E101&lt;=15,2,0))))))</f>
        <v/>
      </c>
      <c r="G101" s="5" t="n"/>
      <c r="H101" s="4">
        <f>IF(OR(F101="",G101=""),"",F101*G101+IF(J101="",0,J101))</f>
        <v/>
      </c>
      <c r="I101" s="5" t="n"/>
      <c r="J101" s="5" t="n"/>
    </row>
    <row r="102">
      <c r="A102" s="5" t="n"/>
      <c r="B102" s="5" t="n"/>
      <c r="C102" s="5" t="n"/>
      <c r="D102" s="5" t="n"/>
      <c r="E102" s="4">
        <f>IF(C102="","",COUNTIF($C$7:C102,C102))</f>
        <v/>
      </c>
      <c r="F102" s="4">
        <f>IF(E102="","",IF(E102&lt;=3,6,IF(E102&lt;=6,5,IF(E102&lt;=9,4,IF(E102&lt;=12,3,IF(E102&lt;=15,2,0))))))</f>
        <v/>
      </c>
      <c r="G102" s="5" t="n"/>
      <c r="H102" s="4">
        <f>IF(OR(F102="",G102=""),"",F102*G102+IF(J102="",0,J102))</f>
        <v/>
      </c>
      <c r="I102" s="5" t="n"/>
      <c r="J102" s="5" t="n"/>
    </row>
    <row r="103">
      <c r="A103" s="5" t="n"/>
      <c r="B103" s="5" t="n"/>
      <c r="C103" s="5" t="n"/>
      <c r="D103" s="5" t="n"/>
      <c r="E103" s="4">
        <f>IF(C103="","",COUNTIF($C$7:C103,C103))</f>
        <v/>
      </c>
      <c r="F103" s="4">
        <f>IF(E103="","",IF(E103&lt;=3,6,IF(E103&lt;=6,5,IF(E103&lt;=9,4,IF(E103&lt;=12,3,IF(E103&lt;=15,2,0))))))</f>
        <v/>
      </c>
      <c r="G103" s="5" t="n"/>
      <c r="H103" s="4">
        <f>IF(OR(F103="",G103=""),"",F103*G103+IF(J103="",0,J103))</f>
        <v/>
      </c>
      <c r="I103" s="5" t="n"/>
      <c r="J103" s="5" t="n"/>
    </row>
    <row r="104">
      <c r="A104" s="5" t="n"/>
      <c r="B104" s="5" t="n"/>
      <c r="C104" s="5" t="n"/>
      <c r="D104" s="5" t="n"/>
      <c r="E104" s="4">
        <f>IF(C104="","",COUNTIF($C$7:C104,C104))</f>
        <v/>
      </c>
      <c r="F104" s="4">
        <f>IF(E104="","",IF(E104&lt;=3,6,IF(E104&lt;=6,5,IF(E104&lt;=9,4,IF(E104&lt;=12,3,IF(E104&lt;=15,2,0))))))</f>
        <v/>
      </c>
      <c r="G104" s="5" t="n"/>
      <c r="H104" s="4">
        <f>IF(OR(F104="",G104=""),"",F104*G104+IF(J104="",0,J104))</f>
        <v/>
      </c>
      <c r="I104" s="5" t="n"/>
      <c r="J104" s="5" t="n"/>
    </row>
    <row r="105">
      <c r="A105" s="5" t="n"/>
      <c r="B105" s="5" t="n"/>
      <c r="C105" s="5" t="n"/>
      <c r="D105" s="5" t="n"/>
      <c r="E105" s="4">
        <f>IF(C105="","",COUNTIF($C$7:C105,C105))</f>
        <v/>
      </c>
      <c r="F105" s="4">
        <f>IF(E105="","",IF(E105&lt;=3,6,IF(E105&lt;=6,5,IF(E105&lt;=9,4,IF(E105&lt;=12,3,IF(E105&lt;=15,2,0))))))</f>
        <v/>
      </c>
      <c r="G105" s="5" t="n"/>
      <c r="H105" s="4">
        <f>IF(OR(F105="",G105=""),"",F105*G105+IF(J105="",0,J105))</f>
        <v/>
      </c>
      <c r="I105" s="5" t="n"/>
      <c r="J105" s="5" t="n"/>
    </row>
    <row r="106">
      <c r="A106" s="5" t="n"/>
      <c r="B106" s="5" t="n"/>
      <c r="C106" s="5" t="n"/>
      <c r="D106" s="5" t="n"/>
      <c r="E106" s="4">
        <f>IF(C106="","",COUNTIF($C$7:C106,C106))</f>
        <v/>
      </c>
      <c r="F106" s="4">
        <f>IF(E106="","",IF(E106&lt;=3,6,IF(E106&lt;=6,5,IF(E106&lt;=9,4,IF(E106&lt;=12,3,IF(E106&lt;=15,2,0))))))</f>
        <v/>
      </c>
      <c r="G106" s="5" t="n"/>
      <c r="H106" s="4">
        <f>IF(OR(F106="",G106=""),"",F106*G106+IF(J106="",0,J106))</f>
        <v/>
      </c>
      <c r="I106" s="5" t="n"/>
      <c r="J106" s="5" t="n"/>
    </row>
    <row r="107">
      <c r="A107" s="5" t="n"/>
      <c r="B107" s="5" t="n"/>
      <c r="C107" s="5" t="n"/>
      <c r="D107" s="5" t="n"/>
      <c r="E107" s="4">
        <f>IF(C107="","",COUNTIF($C$7:C107,C107))</f>
        <v/>
      </c>
      <c r="F107" s="4">
        <f>IF(E107="","",IF(E107&lt;=3,6,IF(E107&lt;=6,5,IF(E107&lt;=9,4,IF(E107&lt;=12,3,IF(E107&lt;=15,2,0))))))</f>
        <v/>
      </c>
      <c r="G107" s="5" t="n"/>
      <c r="H107" s="4">
        <f>IF(OR(F107="",G107=""),"",F107*G107+IF(J107="",0,J107))</f>
        <v/>
      </c>
      <c r="I107" s="5" t="n"/>
      <c r="J107" s="5" t="n"/>
    </row>
    <row r="108">
      <c r="A108" s="5" t="n"/>
      <c r="B108" s="5" t="n"/>
      <c r="C108" s="5" t="n"/>
      <c r="D108" s="5" t="n"/>
      <c r="E108" s="4">
        <f>IF(C108="","",COUNTIF($C$7:C108,C108))</f>
        <v/>
      </c>
      <c r="F108" s="4">
        <f>IF(E108="","",IF(E108&lt;=3,6,IF(E108&lt;=6,5,IF(E108&lt;=9,4,IF(E108&lt;=12,3,IF(E108&lt;=15,2,0))))))</f>
        <v/>
      </c>
      <c r="G108" s="5" t="n"/>
      <c r="H108" s="4">
        <f>IF(OR(F108="",G108=""),"",F108*G108+IF(J108="",0,J108))</f>
        <v/>
      </c>
      <c r="I108" s="5" t="n"/>
      <c r="J108" s="5" t="n"/>
    </row>
    <row r="109">
      <c r="A109" s="5" t="n"/>
      <c r="B109" s="5" t="n"/>
      <c r="C109" s="5" t="n"/>
      <c r="D109" s="5" t="n"/>
      <c r="E109" s="4">
        <f>IF(C109="","",COUNTIF($C$7:C109,C109))</f>
        <v/>
      </c>
      <c r="F109" s="4">
        <f>IF(E109="","",IF(E109&lt;=3,6,IF(E109&lt;=6,5,IF(E109&lt;=9,4,IF(E109&lt;=12,3,IF(E109&lt;=15,2,0))))))</f>
        <v/>
      </c>
      <c r="G109" s="5" t="n"/>
      <c r="H109" s="4">
        <f>IF(OR(F109="",G109=""),"",F109*G109+IF(J109="",0,J109))</f>
        <v/>
      </c>
      <c r="I109" s="5" t="n"/>
      <c r="J109" s="5" t="n"/>
    </row>
    <row r="110">
      <c r="A110" s="5" t="n"/>
      <c r="B110" s="5" t="n"/>
      <c r="C110" s="5" t="n"/>
      <c r="D110" s="5" t="n"/>
      <c r="E110" s="4">
        <f>IF(C110="","",COUNTIF($C$7:C110,C110))</f>
        <v/>
      </c>
      <c r="F110" s="4">
        <f>IF(E110="","",IF(E110&lt;=3,6,IF(E110&lt;=6,5,IF(E110&lt;=9,4,IF(E110&lt;=12,3,IF(E110&lt;=15,2,0))))))</f>
        <v/>
      </c>
      <c r="G110" s="5" t="n"/>
      <c r="H110" s="4">
        <f>IF(OR(F110="",G110=""),"",F110*G110+IF(J110="",0,J110))</f>
        <v/>
      </c>
      <c r="I110" s="5" t="n"/>
      <c r="J110" s="5" t="n"/>
    </row>
    <row r="111">
      <c r="A111" s="5" t="n"/>
      <c r="B111" s="5" t="n"/>
      <c r="C111" s="5" t="n"/>
      <c r="D111" s="5" t="n"/>
      <c r="E111" s="4">
        <f>IF(C111="","",COUNTIF($C$7:C111,C111))</f>
        <v/>
      </c>
      <c r="F111" s="4">
        <f>IF(E111="","",IF(E111&lt;=3,6,IF(E111&lt;=6,5,IF(E111&lt;=9,4,IF(E111&lt;=12,3,IF(E111&lt;=15,2,0))))))</f>
        <v/>
      </c>
      <c r="G111" s="5" t="n"/>
      <c r="H111" s="4">
        <f>IF(OR(F111="",G111=""),"",F111*G111+IF(J111="",0,J111))</f>
        <v/>
      </c>
      <c r="I111" s="5" t="n"/>
      <c r="J111" s="5" t="n"/>
    </row>
    <row r="112">
      <c r="A112" s="5" t="n"/>
      <c r="B112" s="5" t="n"/>
      <c r="C112" s="5" t="n"/>
      <c r="D112" s="5" t="n"/>
      <c r="E112" s="4">
        <f>IF(C112="","",COUNTIF($C$7:C112,C112))</f>
        <v/>
      </c>
      <c r="F112" s="4">
        <f>IF(E112="","",IF(E112&lt;=3,6,IF(E112&lt;=6,5,IF(E112&lt;=9,4,IF(E112&lt;=12,3,IF(E112&lt;=15,2,0))))))</f>
        <v/>
      </c>
      <c r="G112" s="5" t="n"/>
      <c r="H112" s="4">
        <f>IF(OR(F112="",G112=""),"",F112*G112+IF(J112="",0,J112))</f>
        <v/>
      </c>
      <c r="I112" s="5" t="n"/>
      <c r="J112" s="5" t="n"/>
    </row>
    <row r="113">
      <c r="A113" s="5" t="n"/>
      <c r="B113" s="5" t="n"/>
      <c r="C113" s="5" t="n"/>
      <c r="D113" s="5" t="n"/>
      <c r="E113" s="4">
        <f>IF(C113="","",COUNTIF($C$7:C113,C113))</f>
        <v/>
      </c>
      <c r="F113" s="4">
        <f>IF(E113="","",IF(E113&lt;=3,6,IF(E113&lt;=6,5,IF(E113&lt;=9,4,IF(E113&lt;=12,3,IF(E113&lt;=15,2,0))))))</f>
        <v/>
      </c>
      <c r="G113" s="5" t="n"/>
      <c r="H113" s="4">
        <f>IF(OR(F113="",G113=""),"",F113*G113+IF(J113="",0,J113))</f>
        <v/>
      </c>
      <c r="I113" s="5" t="n"/>
      <c r="J113" s="5" t="n"/>
    </row>
    <row r="114">
      <c r="A114" s="5" t="n"/>
      <c r="B114" s="5" t="n"/>
      <c r="C114" s="5" t="n"/>
      <c r="D114" s="5" t="n"/>
      <c r="E114" s="4">
        <f>IF(C114="","",COUNTIF($C$7:C114,C114))</f>
        <v/>
      </c>
      <c r="F114" s="4">
        <f>IF(E114="","",IF(E114&lt;=3,6,IF(E114&lt;=6,5,IF(E114&lt;=9,4,IF(E114&lt;=12,3,IF(E114&lt;=15,2,0))))))</f>
        <v/>
      </c>
      <c r="G114" s="5" t="n"/>
      <c r="H114" s="4">
        <f>IF(OR(F114="",G114=""),"",F114*G114+IF(J114="",0,J114))</f>
        <v/>
      </c>
      <c r="I114" s="5" t="n"/>
      <c r="J114" s="5" t="n"/>
    </row>
    <row r="115">
      <c r="A115" s="5" t="n"/>
      <c r="B115" s="5" t="n"/>
      <c r="C115" s="5" t="n"/>
      <c r="D115" s="5" t="n"/>
      <c r="E115" s="4">
        <f>IF(C115="","",COUNTIF($C$7:C115,C115))</f>
        <v/>
      </c>
      <c r="F115" s="4">
        <f>IF(E115="","",IF(E115&lt;=3,6,IF(E115&lt;=6,5,IF(E115&lt;=9,4,IF(E115&lt;=12,3,IF(E115&lt;=15,2,0))))))</f>
        <v/>
      </c>
      <c r="G115" s="5" t="n"/>
      <c r="H115" s="4">
        <f>IF(OR(F115="",G115=""),"",F115*G115+IF(J115="",0,J115))</f>
        <v/>
      </c>
      <c r="I115" s="5" t="n"/>
      <c r="J115" s="5" t="n"/>
    </row>
    <row r="116">
      <c r="A116" s="5" t="n"/>
      <c r="B116" s="5" t="n"/>
      <c r="C116" s="5" t="n"/>
      <c r="D116" s="5" t="n"/>
      <c r="E116" s="4">
        <f>IF(C116="","",COUNTIF($C$7:C116,C116))</f>
        <v/>
      </c>
      <c r="F116" s="4">
        <f>IF(E116="","",IF(E116&lt;=3,6,IF(E116&lt;=6,5,IF(E116&lt;=9,4,IF(E116&lt;=12,3,IF(E116&lt;=15,2,0))))))</f>
        <v/>
      </c>
      <c r="G116" s="5" t="n"/>
      <c r="H116" s="4">
        <f>IF(OR(F116="",G116=""),"",F116*G116+IF(J116="",0,J116))</f>
        <v/>
      </c>
      <c r="I116" s="5" t="n"/>
      <c r="J116" s="5" t="n"/>
    </row>
    <row r="117">
      <c r="A117" s="5" t="n"/>
      <c r="B117" s="5" t="n"/>
      <c r="C117" s="5" t="n"/>
      <c r="D117" s="5" t="n"/>
      <c r="E117" s="4">
        <f>IF(C117="","",COUNTIF($C$7:C117,C117))</f>
        <v/>
      </c>
      <c r="F117" s="4">
        <f>IF(E117="","",IF(E117&lt;=3,6,IF(E117&lt;=6,5,IF(E117&lt;=9,4,IF(E117&lt;=12,3,IF(E117&lt;=15,2,0))))))</f>
        <v/>
      </c>
      <c r="G117" s="5" t="n"/>
      <c r="H117" s="4">
        <f>IF(OR(F117="",G117=""),"",F117*G117+IF(J117="",0,J117))</f>
        <v/>
      </c>
      <c r="I117" s="5" t="n"/>
      <c r="J117" s="5" t="n"/>
    </row>
    <row r="118">
      <c r="A118" s="5" t="n"/>
      <c r="B118" s="5" t="n"/>
      <c r="C118" s="5" t="n"/>
      <c r="D118" s="5" t="n"/>
      <c r="E118" s="4">
        <f>IF(C118="","",COUNTIF($C$7:C118,C118))</f>
        <v/>
      </c>
      <c r="F118" s="4">
        <f>IF(E118="","",IF(E118&lt;=3,6,IF(E118&lt;=6,5,IF(E118&lt;=9,4,IF(E118&lt;=12,3,IF(E118&lt;=15,2,0))))))</f>
        <v/>
      </c>
      <c r="G118" s="5" t="n"/>
      <c r="H118" s="4">
        <f>IF(OR(F118="",G118=""),"",F118*G118+IF(J118="",0,J118))</f>
        <v/>
      </c>
      <c r="I118" s="5" t="n"/>
      <c r="J118" s="5" t="n"/>
    </row>
    <row r="119">
      <c r="A119" s="5" t="n"/>
      <c r="B119" s="5" t="n"/>
      <c r="C119" s="5" t="n"/>
      <c r="D119" s="5" t="n"/>
      <c r="E119" s="4">
        <f>IF(C119="","",COUNTIF($C$7:C119,C119))</f>
        <v/>
      </c>
      <c r="F119" s="4">
        <f>IF(E119="","",IF(E119&lt;=3,6,IF(E119&lt;=6,5,IF(E119&lt;=9,4,IF(E119&lt;=12,3,IF(E119&lt;=15,2,0))))))</f>
        <v/>
      </c>
      <c r="G119" s="5" t="n"/>
      <c r="H119" s="4">
        <f>IF(OR(F119="",G119=""),"",F119*G119+IF(J119="",0,J119))</f>
        <v/>
      </c>
      <c r="I119" s="5" t="n"/>
      <c r="J119" s="5" t="n"/>
    </row>
    <row r="120">
      <c r="A120" s="5" t="n"/>
      <c r="B120" s="5" t="n"/>
      <c r="C120" s="5" t="n"/>
      <c r="D120" s="5" t="n"/>
      <c r="E120" s="4">
        <f>IF(C120="","",COUNTIF($C$7:C120,C120))</f>
        <v/>
      </c>
      <c r="F120" s="4">
        <f>IF(E120="","",IF(E120&lt;=3,6,IF(E120&lt;=6,5,IF(E120&lt;=9,4,IF(E120&lt;=12,3,IF(E120&lt;=15,2,0))))))</f>
        <v/>
      </c>
      <c r="G120" s="5" t="n"/>
      <c r="H120" s="4">
        <f>IF(OR(F120="",G120=""),"",F120*G120+IF(J120="",0,J120))</f>
        <v/>
      </c>
      <c r="I120" s="5" t="n"/>
      <c r="J120" s="5" t="n"/>
    </row>
    <row r="121">
      <c r="A121" s="5" t="n"/>
      <c r="B121" s="5" t="n"/>
      <c r="C121" s="5" t="n"/>
      <c r="D121" s="5" t="n"/>
      <c r="E121" s="4">
        <f>IF(C121="","",COUNTIF($C$7:C121,C121))</f>
        <v/>
      </c>
      <c r="F121" s="4">
        <f>IF(E121="","",IF(E121&lt;=3,6,IF(E121&lt;=6,5,IF(E121&lt;=9,4,IF(E121&lt;=12,3,IF(E121&lt;=15,2,0))))))</f>
        <v/>
      </c>
      <c r="G121" s="5" t="n"/>
      <c r="H121" s="4">
        <f>IF(OR(F121="",G121=""),"",F121*G121+IF(J121="",0,J121))</f>
        <v/>
      </c>
      <c r="I121" s="5" t="n"/>
      <c r="J121" s="5" t="n"/>
    </row>
    <row r="122">
      <c r="A122" s="5" t="n"/>
      <c r="B122" s="5" t="n"/>
      <c r="C122" s="5" t="n"/>
      <c r="D122" s="5" t="n"/>
      <c r="E122" s="4">
        <f>IF(C122="","",COUNTIF($C$7:C122,C122))</f>
        <v/>
      </c>
      <c r="F122" s="4">
        <f>IF(E122="","",IF(E122&lt;=3,6,IF(E122&lt;=6,5,IF(E122&lt;=9,4,IF(E122&lt;=12,3,IF(E122&lt;=15,2,0))))))</f>
        <v/>
      </c>
      <c r="G122" s="5" t="n"/>
      <c r="H122" s="4">
        <f>IF(OR(F122="",G122=""),"",F122*G122+IF(J122="",0,J122))</f>
        <v/>
      </c>
      <c r="I122" s="5" t="n"/>
      <c r="J122" s="5" t="n"/>
    </row>
    <row r="123">
      <c r="A123" s="5" t="n"/>
      <c r="B123" s="5" t="n"/>
      <c r="C123" s="5" t="n"/>
      <c r="D123" s="5" t="n"/>
      <c r="E123" s="4">
        <f>IF(C123="","",COUNTIF($C$7:C123,C123))</f>
        <v/>
      </c>
      <c r="F123" s="4">
        <f>IF(E123="","",IF(E123&lt;=3,6,IF(E123&lt;=6,5,IF(E123&lt;=9,4,IF(E123&lt;=12,3,IF(E123&lt;=15,2,0))))))</f>
        <v/>
      </c>
      <c r="G123" s="5" t="n"/>
      <c r="H123" s="4">
        <f>IF(OR(F123="",G123=""),"",F123*G123+IF(J123="",0,J123))</f>
        <v/>
      </c>
      <c r="I123" s="5" t="n"/>
      <c r="J123" s="5" t="n"/>
    </row>
    <row r="124">
      <c r="A124" s="5" t="n"/>
      <c r="B124" s="5" t="n"/>
      <c r="C124" s="5" t="n"/>
      <c r="D124" s="5" t="n"/>
      <c r="E124" s="4">
        <f>IF(C124="","",COUNTIF($C$7:C124,C124))</f>
        <v/>
      </c>
      <c r="F124" s="4">
        <f>IF(E124="","",IF(E124&lt;=3,6,IF(E124&lt;=6,5,IF(E124&lt;=9,4,IF(E124&lt;=12,3,IF(E124&lt;=15,2,0))))))</f>
        <v/>
      </c>
      <c r="G124" s="5" t="n"/>
      <c r="H124" s="4">
        <f>IF(OR(F124="",G124=""),"",F124*G124+IF(J124="",0,J124))</f>
        <v/>
      </c>
      <c r="I124" s="5" t="n"/>
      <c r="J124" s="5" t="n"/>
    </row>
    <row r="125">
      <c r="A125" s="5" t="n"/>
      <c r="B125" s="5" t="n"/>
      <c r="C125" s="5" t="n"/>
      <c r="D125" s="5" t="n"/>
      <c r="E125" s="4">
        <f>IF(C125="","",COUNTIF($C$7:C125,C125))</f>
        <v/>
      </c>
      <c r="F125" s="4">
        <f>IF(E125="","",IF(E125&lt;=3,6,IF(E125&lt;=6,5,IF(E125&lt;=9,4,IF(E125&lt;=12,3,IF(E125&lt;=15,2,0))))))</f>
        <v/>
      </c>
      <c r="G125" s="5" t="n"/>
      <c r="H125" s="4">
        <f>IF(OR(F125="",G125=""),"",F125*G125+IF(J125="",0,J125))</f>
        <v/>
      </c>
      <c r="I125" s="5" t="n"/>
      <c r="J125" s="5" t="n"/>
    </row>
    <row r="126">
      <c r="A126" s="5" t="n"/>
      <c r="B126" s="5" t="n"/>
      <c r="C126" s="5" t="n"/>
      <c r="D126" s="5" t="n"/>
      <c r="E126" s="4">
        <f>IF(C126="","",COUNTIF($C$7:C126,C126))</f>
        <v/>
      </c>
      <c r="F126" s="4">
        <f>IF(E126="","",IF(E126&lt;=3,6,IF(E126&lt;=6,5,IF(E126&lt;=9,4,IF(E126&lt;=12,3,IF(E126&lt;=15,2,0))))))</f>
        <v/>
      </c>
      <c r="G126" s="5" t="n"/>
      <c r="H126" s="4">
        <f>IF(OR(F126="",G126=""),"",F126*G126+IF(J126="",0,J126))</f>
        <v/>
      </c>
      <c r="I126" s="5" t="n"/>
      <c r="J126" s="5" t="n"/>
    </row>
    <row r="127">
      <c r="A127" s="5" t="n"/>
      <c r="B127" s="5" t="n"/>
      <c r="C127" s="5" t="n"/>
      <c r="D127" s="5" t="n"/>
      <c r="E127" s="4">
        <f>IF(C127="","",COUNTIF($C$7:C127,C127))</f>
        <v/>
      </c>
      <c r="F127" s="4">
        <f>IF(E127="","",IF(E127&lt;=3,6,IF(E127&lt;=6,5,IF(E127&lt;=9,4,IF(E127&lt;=12,3,IF(E127&lt;=15,2,0))))))</f>
        <v/>
      </c>
      <c r="G127" s="5" t="n"/>
      <c r="H127" s="4">
        <f>IF(OR(F127="",G127=""),"",F127*G127+IF(J127="",0,J127))</f>
        <v/>
      </c>
      <c r="I127" s="5" t="n"/>
      <c r="J127" s="5" t="n"/>
    </row>
    <row r="128">
      <c r="A128" s="5" t="n"/>
      <c r="B128" s="5" t="n"/>
      <c r="C128" s="5" t="n"/>
      <c r="D128" s="5" t="n"/>
      <c r="E128" s="4">
        <f>IF(C128="","",COUNTIF($C$7:C128,C128))</f>
        <v/>
      </c>
      <c r="F128" s="4">
        <f>IF(E128="","",IF(E128&lt;=3,6,IF(E128&lt;=6,5,IF(E128&lt;=9,4,IF(E128&lt;=12,3,IF(E128&lt;=15,2,0))))))</f>
        <v/>
      </c>
      <c r="G128" s="5" t="n"/>
      <c r="H128" s="4">
        <f>IF(OR(F128="",G128=""),"",F128*G128+IF(J128="",0,J128))</f>
        <v/>
      </c>
      <c r="I128" s="5" t="n"/>
      <c r="J128" s="5" t="n"/>
    </row>
    <row r="129">
      <c r="A129" s="5" t="n"/>
      <c r="B129" s="5" t="n"/>
      <c r="C129" s="5" t="n"/>
      <c r="D129" s="5" t="n"/>
      <c r="E129" s="4">
        <f>IF(C129="","",COUNTIF($C$7:C129,C129))</f>
        <v/>
      </c>
      <c r="F129" s="4">
        <f>IF(E129="","",IF(E129&lt;=3,6,IF(E129&lt;=6,5,IF(E129&lt;=9,4,IF(E129&lt;=12,3,IF(E129&lt;=15,2,0))))))</f>
        <v/>
      </c>
      <c r="G129" s="5" t="n"/>
      <c r="H129" s="4">
        <f>IF(OR(F129="",G129=""),"",F129*G129+IF(J129="",0,J129))</f>
        <v/>
      </c>
      <c r="I129" s="5" t="n"/>
      <c r="J129" s="5" t="n"/>
    </row>
    <row r="130">
      <c r="A130" s="5" t="n"/>
      <c r="B130" s="5" t="n"/>
      <c r="C130" s="5" t="n"/>
      <c r="D130" s="5" t="n"/>
      <c r="E130" s="4">
        <f>IF(C130="","",COUNTIF($C$7:C130,C130))</f>
        <v/>
      </c>
      <c r="F130" s="4">
        <f>IF(E130="","",IF(E130&lt;=3,6,IF(E130&lt;=6,5,IF(E130&lt;=9,4,IF(E130&lt;=12,3,IF(E130&lt;=15,2,0))))))</f>
        <v/>
      </c>
      <c r="G130" s="5" t="n"/>
      <c r="H130" s="4">
        <f>IF(OR(F130="",G130=""),"",F130*G130+IF(J130="",0,J130))</f>
        <v/>
      </c>
      <c r="I130" s="5" t="n"/>
      <c r="J130" s="5" t="n"/>
    </row>
    <row r="131">
      <c r="A131" s="5" t="n"/>
      <c r="B131" s="5" t="n"/>
      <c r="C131" s="5" t="n"/>
      <c r="D131" s="5" t="n"/>
      <c r="E131" s="4">
        <f>IF(C131="","",COUNTIF($C$7:C131,C131))</f>
        <v/>
      </c>
      <c r="F131" s="4">
        <f>IF(E131="","",IF(E131&lt;=3,6,IF(E131&lt;=6,5,IF(E131&lt;=9,4,IF(E131&lt;=12,3,IF(E131&lt;=15,2,0))))))</f>
        <v/>
      </c>
      <c r="G131" s="5" t="n"/>
      <c r="H131" s="4">
        <f>IF(OR(F131="",G131=""),"",F131*G131+IF(J131="",0,J131))</f>
        <v/>
      </c>
      <c r="I131" s="5" t="n"/>
      <c r="J131" s="5" t="n"/>
    </row>
    <row r="132">
      <c r="A132" s="5" t="n"/>
      <c r="B132" s="5" t="n"/>
      <c r="C132" s="5" t="n"/>
      <c r="D132" s="5" t="n"/>
      <c r="E132" s="4">
        <f>IF(C132="","",COUNTIF($C$7:C132,C132))</f>
        <v/>
      </c>
      <c r="F132" s="4">
        <f>IF(E132="","",IF(E132&lt;=3,6,IF(E132&lt;=6,5,IF(E132&lt;=9,4,IF(E132&lt;=12,3,IF(E132&lt;=15,2,0))))))</f>
        <v/>
      </c>
      <c r="G132" s="5" t="n"/>
      <c r="H132" s="4">
        <f>IF(OR(F132="",G132=""),"",F132*G132+IF(J132="",0,J132))</f>
        <v/>
      </c>
      <c r="I132" s="5" t="n"/>
      <c r="J132" s="5" t="n"/>
    </row>
    <row r="133">
      <c r="A133" s="5" t="n"/>
      <c r="B133" s="5" t="n"/>
      <c r="C133" s="5" t="n"/>
      <c r="D133" s="5" t="n"/>
      <c r="E133" s="4">
        <f>IF(C133="","",COUNTIF($C$7:C133,C133))</f>
        <v/>
      </c>
      <c r="F133" s="4">
        <f>IF(E133="","",IF(E133&lt;=3,6,IF(E133&lt;=6,5,IF(E133&lt;=9,4,IF(E133&lt;=12,3,IF(E133&lt;=15,2,0))))))</f>
        <v/>
      </c>
      <c r="G133" s="5" t="n"/>
      <c r="H133" s="4">
        <f>IF(OR(F133="",G133=""),"",F133*G133+IF(J133="",0,J133))</f>
        <v/>
      </c>
      <c r="I133" s="5" t="n"/>
      <c r="J133" s="5" t="n"/>
    </row>
    <row r="134">
      <c r="A134" s="5" t="n"/>
      <c r="B134" s="5" t="n"/>
      <c r="C134" s="5" t="n"/>
      <c r="D134" s="5" t="n"/>
      <c r="E134" s="4">
        <f>IF(C134="","",COUNTIF($C$7:C134,C134))</f>
        <v/>
      </c>
      <c r="F134" s="4">
        <f>IF(E134="","",IF(E134&lt;=3,6,IF(E134&lt;=6,5,IF(E134&lt;=9,4,IF(E134&lt;=12,3,IF(E134&lt;=15,2,0))))))</f>
        <v/>
      </c>
      <c r="G134" s="5" t="n"/>
      <c r="H134" s="4">
        <f>IF(OR(F134="",G134=""),"",F134*G134+IF(J134="",0,J134))</f>
        <v/>
      </c>
      <c r="I134" s="5" t="n"/>
      <c r="J134" s="5" t="n"/>
    </row>
    <row r="135">
      <c r="A135" s="5" t="n"/>
      <c r="B135" s="5" t="n"/>
      <c r="C135" s="5" t="n"/>
      <c r="D135" s="5" t="n"/>
      <c r="E135" s="4">
        <f>IF(C135="","",COUNTIF($C$7:C135,C135))</f>
        <v/>
      </c>
      <c r="F135" s="4">
        <f>IF(E135="","",IF(E135&lt;=3,6,IF(E135&lt;=6,5,IF(E135&lt;=9,4,IF(E135&lt;=12,3,IF(E135&lt;=15,2,0))))))</f>
        <v/>
      </c>
      <c r="G135" s="5" t="n"/>
      <c r="H135" s="4">
        <f>IF(OR(F135="",G135=""),"",F135*G135+IF(J135="",0,J135))</f>
        <v/>
      </c>
      <c r="I135" s="5" t="n"/>
      <c r="J135" s="5" t="n"/>
    </row>
    <row r="136">
      <c r="A136" s="5" t="n"/>
      <c r="B136" s="5" t="n"/>
      <c r="C136" s="5" t="n"/>
      <c r="D136" s="5" t="n"/>
      <c r="E136" s="4">
        <f>IF(C136="","",COUNTIF($C$7:C136,C136))</f>
        <v/>
      </c>
      <c r="F136" s="4">
        <f>IF(E136="","",IF(E136&lt;=3,6,IF(E136&lt;=6,5,IF(E136&lt;=9,4,IF(E136&lt;=12,3,IF(E136&lt;=15,2,0))))))</f>
        <v/>
      </c>
      <c r="G136" s="5" t="n"/>
      <c r="H136" s="4">
        <f>IF(OR(F136="",G136=""),"",F136*G136+IF(J136="",0,J136))</f>
        <v/>
      </c>
      <c r="I136" s="5" t="n"/>
      <c r="J136" s="5" t="n"/>
    </row>
    <row r="137">
      <c r="A137" s="5" t="n"/>
      <c r="B137" s="5" t="n"/>
      <c r="C137" s="5" t="n"/>
      <c r="D137" s="5" t="n"/>
      <c r="E137" s="4">
        <f>IF(C137="","",COUNTIF($C$7:C137,C137))</f>
        <v/>
      </c>
      <c r="F137" s="4">
        <f>IF(E137="","",IF(E137&lt;=3,6,IF(E137&lt;=6,5,IF(E137&lt;=9,4,IF(E137&lt;=12,3,IF(E137&lt;=15,2,0))))))</f>
        <v/>
      </c>
      <c r="G137" s="5" t="n"/>
      <c r="H137" s="4">
        <f>IF(OR(F137="",G137=""),"",F137*G137+IF(J137="",0,J137))</f>
        <v/>
      </c>
      <c r="I137" s="5" t="n"/>
      <c r="J137" s="5" t="n"/>
    </row>
    <row r="138">
      <c r="A138" s="5" t="n"/>
      <c r="B138" s="5" t="n"/>
      <c r="C138" s="5" t="n"/>
      <c r="D138" s="5" t="n"/>
      <c r="E138" s="4">
        <f>IF(C138="","",COUNTIF($C$7:C138,C138))</f>
        <v/>
      </c>
      <c r="F138" s="4">
        <f>IF(E138="","",IF(E138&lt;=3,6,IF(E138&lt;=6,5,IF(E138&lt;=9,4,IF(E138&lt;=12,3,IF(E138&lt;=15,2,0))))))</f>
        <v/>
      </c>
      <c r="G138" s="5" t="n"/>
      <c r="H138" s="4">
        <f>IF(OR(F138="",G138=""),"",F138*G138+IF(J138="",0,J138))</f>
        <v/>
      </c>
      <c r="I138" s="5" t="n"/>
      <c r="J138" s="5" t="n"/>
    </row>
    <row r="139">
      <c r="A139" s="5" t="n"/>
      <c r="B139" s="5" t="n"/>
      <c r="C139" s="5" t="n"/>
      <c r="D139" s="5" t="n"/>
      <c r="E139" s="4">
        <f>IF(C139="","",COUNTIF($C$7:C139,C139))</f>
        <v/>
      </c>
      <c r="F139" s="4">
        <f>IF(E139="","",IF(E139&lt;=3,6,IF(E139&lt;=6,5,IF(E139&lt;=9,4,IF(E139&lt;=12,3,IF(E139&lt;=15,2,0))))))</f>
        <v/>
      </c>
      <c r="G139" s="5" t="n"/>
      <c r="H139" s="4">
        <f>IF(OR(F139="",G139=""),"",F139*G139+IF(J139="",0,J139))</f>
        <v/>
      </c>
      <c r="I139" s="5" t="n"/>
      <c r="J139" s="5" t="n"/>
    </row>
    <row r="140">
      <c r="A140" s="5" t="n"/>
      <c r="B140" s="5" t="n"/>
      <c r="C140" s="5" t="n"/>
      <c r="D140" s="5" t="n"/>
      <c r="E140" s="4">
        <f>IF(C140="","",COUNTIF($C$7:C140,C140))</f>
        <v/>
      </c>
      <c r="F140" s="4">
        <f>IF(E140="","",IF(E140&lt;=3,6,IF(E140&lt;=6,5,IF(E140&lt;=9,4,IF(E140&lt;=12,3,IF(E140&lt;=15,2,0))))))</f>
        <v/>
      </c>
      <c r="G140" s="5" t="n"/>
      <c r="H140" s="4">
        <f>IF(OR(F140="",G140=""),"",F140*G140+IF(J140="",0,J140))</f>
        <v/>
      </c>
      <c r="I140" s="5" t="n"/>
      <c r="J140" s="5" t="n"/>
    </row>
    <row r="141">
      <c r="A141" s="5" t="n"/>
      <c r="B141" s="5" t="n"/>
      <c r="C141" s="5" t="n"/>
      <c r="D141" s="5" t="n"/>
      <c r="E141" s="4">
        <f>IF(C141="","",COUNTIF($C$7:C141,C141))</f>
        <v/>
      </c>
      <c r="F141" s="4">
        <f>IF(E141="","",IF(E141&lt;=3,6,IF(E141&lt;=6,5,IF(E141&lt;=9,4,IF(E141&lt;=12,3,IF(E141&lt;=15,2,0))))))</f>
        <v/>
      </c>
      <c r="G141" s="5" t="n"/>
      <c r="H141" s="4">
        <f>IF(OR(F141="",G141=""),"",F141*G141+IF(J141="",0,J141))</f>
        <v/>
      </c>
      <c r="I141" s="5" t="n"/>
      <c r="J141" s="5" t="n"/>
    </row>
    <row r="142">
      <c r="A142" s="5" t="n"/>
      <c r="B142" s="5" t="n"/>
      <c r="C142" s="5" t="n"/>
      <c r="D142" s="5" t="n"/>
      <c r="E142" s="4">
        <f>IF(C142="","",COUNTIF($C$7:C142,C142))</f>
        <v/>
      </c>
      <c r="F142" s="4">
        <f>IF(E142="","",IF(E142&lt;=3,6,IF(E142&lt;=6,5,IF(E142&lt;=9,4,IF(E142&lt;=12,3,IF(E142&lt;=15,2,0))))))</f>
        <v/>
      </c>
      <c r="G142" s="5" t="n"/>
      <c r="H142" s="4">
        <f>IF(OR(F142="",G142=""),"",F142*G142+IF(J142="",0,J142))</f>
        <v/>
      </c>
      <c r="I142" s="5" t="n"/>
      <c r="J142" s="5" t="n"/>
    </row>
    <row r="143">
      <c r="A143" s="5" t="n"/>
      <c r="B143" s="5" t="n"/>
      <c r="C143" s="5" t="n"/>
      <c r="D143" s="5" t="n"/>
      <c r="E143" s="4">
        <f>IF(C143="","",COUNTIF($C$7:C143,C143))</f>
        <v/>
      </c>
      <c r="F143" s="4">
        <f>IF(E143="","",IF(E143&lt;=3,6,IF(E143&lt;=6,5,IF(E143&lt;=9,4,IF(E143&lt;=12,3,IF(E143&lt;=15,2,0))))))</f>
        <v/>
      </c>
      <c r="G143" s="5" t="n"/>
      <c r="H143" s="4">
        <f>IF(OR(F143="",G143=""),"",F143*G143+IF(J143="",0,J143))</f>
        <v/>
      </c>
      <c r="I143" s="5" t="n"/>
      <c r="J143" s="5" t="n"/>
    </row>
    <row r="144">
      <c r="A144" s="5" t="n"/>
      <c r="B144" s="5" t="n"/>
      <c r="C144" s="5" t="n"/>
      <c r="D144" s="5" t="n"/>
      <c r="E144" s="4">
        <f>IF(C144="","",COUNTIF($C$7:C144,C144))</f>
        <v/>
      </c>
      <c r="F144" s="4">
        <f>IF(E144="","",IF(E144&lt;=3,6,IF(E144&lt;=6,5,IF(E144&lt;=9,4,IF(E144&lt;=12,3,IF(E144&lt;=15,2,0))))))</f>
        <v/>
      </c>
      <c r="G144" s="5" t="n"/>
      <c r="H144" s="4">
        <f>IF(OR(F144="",G144=""),"",F144*G144+IF(J144="",0,J144))</f>
        <v/>
      </c>
      <c r="I144" s="5" t="n"/>
      <c r="J144" s="5" t="n"/>
    </row>
    <row r="145">
      <c r="A145" s="5" t="n"/>
      <c r="B145" s="5" t="n"/>
      <c r="C145" s="5" t="n"/>
      <c r="D145" s="5" t="n"/>
      <c r="E145" s="4">
        <f>IF(C145="","",COUNTIF($C$7:C145,C145))</f>
        <v/>
      </c>
      <c r="F145" s="4">
        <f>IF(E145="","",IF(E145&lt;=3,6,IF(E145&lt;=6,5,IF(E145&lt;=9,4,IF(E145&lt;=12,3,IF(E145&lt;=15,2,0))))))</f>
        <v/>
      </c>
      <c r="G145" s="5" t="n"/>
      <c r="H145" s="4">
        <f>IF(OR(F145="",G145=""),"",F145*G145+IF(J145="",0,J145))</f>
        <v/>
      </c>
      <c r="I145" s="5" t="n"/>
      <c r="J145" s="5" t="n"/>
    </row>
    <row r="146">
      <c r="A146" s="5" t="n"/>
      <c r="B146" s="5" t="n"/>
      <c r="C146" s="5" t="n"/>
      <c r="D146" s="5" t="n"/>
      <c r="E146" s="4">
        <f>IF(C146="","",COUNTIF($C$7:C146,C146))</f>
        <v/>
      </c>
      <c r="F146" s="4">
        <f>IF(E146="","",IF(E146&lt;=3,6,IF(E146&lt;=6,5,IF(E146&lt;=9,4,IF(E146&lt;=12,3,IF(E146&lt;=15,2,0))))))</f>
        <v/>
      </c>
      <c r="G146" s="5" t="n"/>
      <c r="H146" s="4">
        <f>IF(OR(F146="",G146=""),"",F146*G146+IF(J146="",0,J146))</f>
        <v/>
      </c>
      <c r="I146" s="5" t="n"/>
      <c r="J146" s="5" t="n"/>
    </row>
    <row r="147">
      <c r="A147" s="5" t="n"/>
      <c r="B147" s="5" t="n"/>
      <c r="C147" s="5" t="n"/>
      <c r="D147" s="5" t="n"/>
      <c r="E147" s="4">
        <f>IF(C147="","",COUNTIF($C$7:C147,C147))</f>
        <v/>
      </c>
      <c r="F147" s="4">
        <f>IF(E147="","",IF(E147&lt;=3,6,IF(E147&lt;=6,5,IF(E147&lt;=9,4,IF(E147&lt;=12,3,IF(E147&lt;=15,2,0))))))</f>
        <v/>
      </c>
      <c r="G147" s="5" t="n"/>
      <c r="H147" s="4">
        <f>IF(OR(F147="",G147=""),"",F147*G147+IF(J147="",0,J147))</f>
        <v/>
      </c>
      <c r="I147" s="5" t="n"/>
      <c r="J147" s="5" t="n"/>
    </row>
    <row r="148">
      <c r="A148" s="5" t="n"/>
      <c r="B148" s="5" t="n"/>
      <c r="C148" s="5" t="n"/>
      <c r="D148" s="5" t="n"/>
      <c r="E148" s="4">
        <f>IF(C148="","",COUNTIF($C$7:C148,C148))</f>
        <v/>
      </c>
      <c r="F148" s="4">
        <f>IF(E148="","",IF(E148&lt;=3,6,IF(E148&lt;=6,5,IF(E148&lt;=9,4,IF(E148&lt;=12,3,IF(E148&lt;=15,2,0))))))</f>
        <v/>
      </c>
      <c r="G148" s="5" t="n"/>
      <c r="H148" s="4">
        <f>IF(OR(F148="",G148=""),"",F148*G148+IF(J148="",0,J148))</f>
        <v/>
      </c>
      <c r="I148" s="5" t="n"/>
      <c r="J148" s="5" t="n"/>
    </row>
    <row r="149">
      <c r="A149" s="5" t="n"/>
      <c r="B149" s="5" t="n"/>
      <c r="C149" s="5" t="n"/>
      <c r="D149" s="5" t="n"/>
      <c r="E149" s="4">
        <f>IF(C149="","",COUNTIF($C$7:C149,C149))</f>
        <v/>
      </c>
      <c r="F149" s="4">
        <f>IF(E149="","",IF(E149&lt;=3,6,IF(E149&lt;=6,5,IF(E149&lt;=9,4,IF(E149&lt;=12,3,IF(E149&lt;=15,2,0))))))</f>
        <v/>
      </c>
      <c r="G149" s="5" t="n"/>
      <c r="H149" s="4">
        <f>IF(OR(F149="",G149=""),"",F149*G149+IF(J149="",0,J149))</f>
        <v/>
      </c>
      <c r="I149" s="5" t="n"/>
      <c r="J149" s="5" t="n"/>
    </row>
    <row r="150">
      <c r="A150" s="5" t="n"/>
      <c r="B150" s="5" t="n"/>
      <c r="C150" s="5" t="n"/>
      <c r="D150" s="5" t="n"/>
      <c r="E150" s="4">
        <f>IF(C150="","",COUNTIF($C$7:C150,C150))</f>
        <v/>
      </c>
      <c r="F150" s="4">
        <f>IF(E150="","",IF(E150&lt;=3,6,IF(E150&lt;=6,5,IF(E150&lt;=9,4,IF(E150&lt;=12,3,IF(E150&lt;=15,2,0))))))</f>
        <v/>
      </c>
      <c r="G150" s="5" t="n"/>
      <c r="H150" s="4">
        <f>IF(OR(F150="",G150=""),"",F150*G150+IF(J150="",0,J150))</f>
        <v/>
      </c>
      <c r="I150" s="5" t="n"/>
      <c r="J150" s="5" t="n"/>
    </row>
    <row r="151">
      <c r="A151" s="5" t="n"/>
      <c r="B151" s="5" t="n"/>
      <c r="C151" s="5" t="n"/>
      <c r="D151" s="5" t="n"/>
      <c r="E151" s="4">
        <f>IF(C151="","",COUNTIF($C$7:C151,C151))</f>
        <v/>
      </c>
      <c r="F151" s="4">
        <f>IF(E151="","",IF(E151&lt;=3,6,IF(E151&lt;=6,5,IF(E151&lt;=9,4,IF(E151&lt;=12,3,IF(E151&lt;=15,2,0))))))</f>
        <v/>
      </c>
      <c r="G151" s="5" t="n"/>
      <c r="H151" s="4">
        <f>IF(OR(F151="",G151=""),"",F151*G151+IF(J151="",0,J151))</f>
        <v/>
      </c>
      <c r="I151" s="5" t="n"/>
      <c r="J151" s="5" t="n"/>
    </row>
    <row r="152">
      <c r="A152" s="5" t="n"/>
      <c r="B152" s="5" t="n"/>
      <c r="C152" s="5" t="n"/>
      <c r="D152" s="5" t="n"/>
      <c r="E152" s="4">
        <f>IF(C152="","",COUNTIF($C$7:C152,C152))</f>
        <v/>
      </c>
      <c r="F152" s="4">
        <f>IF(E152="","",IF(E152&lt;=3,6,IF(E152&lt;=6,5,IF(E152&lt;=9,4,IF(E152&lt;=12,3,IF(E152&lt;=15,2,0))))))</f>
        <v/>
      </c>
      <c r="G152" s="5" t="n"/>
      <c r="H152" s="4">
        <f>IF(OR(F152="",G152=""),"",F152*G152+IF(J152="",0,J152))</f>
        <v/>
      </c>
      <c r="I152" s="5" t="n"/>
      <c r="J152" s="5" t="n"/>
    </row>
    <row r="153">
      <c r="A153" s="5" t="n"/>
      <c r="B153" s="5" t="n"/>
      <c r="C153" s="5" t="n"/>
      <c r="D153" s="5" t="n"/>
      <c r="E153" s="4">
        <f>IF(C153="","",COUNTIF($C$7:C153,C153))</f>
        <v/>
      </c>
      <c r="F153" s="4">
        <f>IF(E153="","",IF(E153&lt;=3,6,IF(E153&lt;=6,5,IF(E153&lt;=9,4,IF(E153&lt;=12,3,IF(E153&lt;=15,2,0))))))</f>
        <v/>
      </c>
      <c r="G153" s="5" t="n"/>
      <c r="H153" s="4">
        <f>IF(OR(F153="",G153=""),"",F153*G153+IF(J153="",0,J153))</f>
        <v/>
      </c>
      <c r="I153" s="5" t="n"/>
      <c r="J153" s="5" t="n"/>
    </row>
    <row r="154">
      <c r="A154" s="5" t="n"/>
      <c r="B154" s="5" t="n"/>
      <c r="C154" s="5" t="n"/>
      <c r="D154" s="5" t="n"/>
      <c r="E154" s="4">
        <f>IF(C154="","",COUNTIF($C$7:C154,C154))</f>
        <v/>
      </c>
      <c r="F154" s="4">
        <f>IF(E154="","",IF(E154&lt;=3,6,IF(E154&lt;=6,5,IF(E154&lt;=9,4,IF(E154&lt;=12,3,IF(E154&lt;=15,2,0))))))</f>
        <v/>
      </c>
      <c r="G154" s="5" t="n"/>
      <c r="H154" s="4">
        <f>IF(OR(F154="",G154=""),"",F154*G154+IF(J154="",0,J154))</f>
        <v/>
      </c>
      <c r="I154" s="5" t="n"/>
      <c r="J154" s="5" t="n"/>
    </row>
    <row r="155">
      <c r="A155" s="5" t="n"/>
      <c r="B155" s="5" t="n"/>
      <c r="C155" s="5" t="n"/>
      <c r="D155" s="5" t="n"/>
      <c r="E155" s="4">
        <f>IF(C155="","",COUNTIF($C$7:C155,C155))</f>
        <v/>
      </c>
      <c r="F155" s="4">
        <f>IF(E155="","",IF(E155&lt;=3,6,IF(E155&lt;=6,5,IF(E155&lt;=9,4,IF(E155&lt;=12,3,IF(E155&lt;=15,2,0))))))</f>
        <v/>
      </c>
      <c r="G155" s="5" t="n"/>
      <c r="H155" s="4">
        <f>IF(OR(F155="",G155=""),"",F155*G155+IF(J155="",0,J155))</f>
        <v/>
      </c>
      <c r="I155" s="5" t="n"/>
      <c r="J155" s="5" t="n"/>
    </row>
    <row r="156">
      <c r="A156" s="5" t="n"/>
      <c r="B156" s="5" t="n"/>
      <c r="C156" s="5" t="n"/>
      <c r="D156" s="5" t="n"/>
      <c r="E156" s="4">
        <f>IF(C156="","",COUNTIF($C$7:C156,C156))</f>
        <v/>
      </c>
      <c r="F156" s="4">
        <f>IF(E156="","",IF(E156&lt;=3,6,IF(E156&lt;=6,5,IF(E156&lt;=9,4,IF(E156&lt;=12,3,IF(E156&lt;=15,2,0))))))</f>
        <v/>
      </c>
      <c r="G156" s="5" t="n"/>
      <c r="H156" s="4">
        <f>IF(OR(F156="",G156=""),"",F156*G156+IF(J156="",0,J156))</f>
        <v/>
      </c>
      <c r="I156" s="5" t="n"/>
      <c r="J156" s="5" t="n"/>
    </row>
    <row r="157">
      <c r="A157" s="5" t="n"/>
      <c r="B157" s="5" t="n"/>
      <c r="C157" s="5" t="n"/>
      <c r="D157" s="5" t="n"/>
      <c r="E157" s="4">
        <f>IF(C157="","",COUNTIF($C$7:C157,C157))</f>
        <v/>
      </c>
      <c r="F157" s="4">
        <f>IF(E157="","",IF(E157&lt;=3,6,IF(E157&lt;=6,5,IF(E157&lt;=9,4,IF(E157&lt;=12,3,IF(E157&lt;=15,2,0))))))</f>
        <v/>
      </c>
      <c r="G157" s="5" t="n"/>
      <c r="H157" s="4">
        <f>IF(OR(F157="",G157=""),"",F157*G157+IF(J157="",0,J157))</f>
        <v/>
      </c>
      <c r="I157" s="5" t="n"/>
      <c r="J157" s="5" t="n"/>
    </row>
    <row r="158">
      <c r="A158" s="5" t="n"/>
      <c r="B158" s="5" t="n"/>
      <c r="C158" s="5" t="n"/>
      <c r="D158" s="5" t="n"/>
      <c r="E158" s="4">
        <f>IF(C158="","",COUNTIF($C$7:C158,C158))</f>
        <v/>
      </c>
      <c r="F158" s="4">
        <f>IF(E158="","",IF(E158&lt;=3,6,IF(E158&lt;=6,5,IF(E158&lt;=9,4,IF(E158&lt;=12,3,IF(E158&lt;=15,2,0))))))</f>
        <v/>
      </c>
      <c r="G158" s="5" t="n"/>
      <c r="H158" s="4">
        <f>IF(OR(F158="",G158=""),"",F158*G158+IF(J158="",0,J158))</f>
        <v/>
      </c>
      <c r="I158" s="5" t="n"/>
      <c r="J158" s="5" t="n"/>
    </row>
    <row r="159">
      <c r="A159" s="5" t="n"/>
      <c r="B159" s="5" t="n"/>
      <c r="C159" s="5" t="n"/>
      <c r="D159" s="5" t="n"/>
      <c r="E159" s="4">
        <f>IF(C159="","",COUNTIF($C$7:C159,C159))</f>
        <v/>
      </c>
      <c r="F159" s="4">
        <f>IF(E159="","",IF(E159&lt;=3,6,IF(E159&lt;=6,5,IF(E159&lt;=9,4,IF(E159&lt;=12,3,IF(E159&lt;=15,2,0))))))</f>
        <v/>
      </c>
      <c r="G159" s="5" t="n"/>
      <c r="H159" s="4">
        <f>IF(OR(F159="",G159=""),"",F159*G159+IF(J159="",0,J159))</f>
        <v/>
      </c>
      <c r="I159" s="5" t="n"/>
      <c r="J159" s="5" t="n"/>
    </row>
    <row r="160">
      <c r="A160" s="5" t="n"/>
      <c r="B160" s="5" t="n"/>
      <c r="C160" s="5" t="n"/>
      <c r="D160" s="5" t="n"/>
      <c r="E160" s="4">
        <f>IF(C160="","",COUNTIF($C$7:C160,C160))</f>
        <v/>
      </c>
      <c r="F160" s="4">
        <f>IF(E160="","",IF(E160&lt;=3,6,IF(E160&lt;=6,5,IF(E160&lt;=9,4,IF(E160&lt;=12,3,IF(E160&lt;=15,2,0))))))</f>
        <v/>
      </c>
      <c r="G160" s="5" t="n"/>
      <c r="H160" s="4">
        <f>IF(OR(F160="",G160=""),"",F160*G160+IF(J160="",0,J160))</f>
        <v/>
      </c>
      <c r="I160" s="5" t="n"/>
      <c r="J160" s="5" t="n"/>
    </row>
    <row r="161">
      <c r="A161" s="5" t="n"/>
      <c r="B161" s="5" t="n"/>
      <c r="C161" s="5" t="n"/>
      <c r="D161" s="5" t="n"/>
      <c r="E161" s="4">
        <f>IF(C161="","",COUNTIF($C$7:C161,C161))</f>
        <v/>
      </c>
      <c r="F161" s="4">
        <f>IF(E161="","",IF(E161&lt;=3,6,IF(E161&lt;=6,5,IF(E161&lt;=9,4,IF(E161&lt;=12,3,IF(E161&lt;=15,2,0))))))</f>
        <v/>
      </c>
      <c r="G161" s="5" t="n"/>
      <c r="H161" s="4">
        <f>IF(OR(F161="",G161=""),"",F161*G161+IF(J161="",0,J161))</f>
        <v/>
      </c>
      <c r="I161" s="5" t="n"/>
      <c r="J161" s="5" t="n"/>
    </row>
    <row r="162">
      <c r="A162" s="5" t="n"/>
      <c r="B162" s="5" t="n"/>
      <c r="C162" s="5" t="n"/>
      <c r="D162" s="5" t="n"/>
      <c r="E162" s="4">
        <f>IF(C162="","",COUNTIF($C$7:C162,C162))</f>
        <v/>
      </c>
      <c r="F162" s="4">
        <f>IF(E162="","",IF(E162&lt;=3,6,IF(E162&lt;=6,5,IF(E162&lt;=9,4,IF(E162&lt;=12,3,IF(E162&lt;=15,2,0))))))</f>
        <v/>
      </c>
      <c r="G162" s="5" t="n"/>
      <c r="H162" s="4">
        <f>IF(OR(F162="",G162=""),"",F162*G162+IF(J162="",0,J162))</f>
        <v/>
      </c>
      <c r="I162" s="5" t="n"/>
      <c r="J162" s="5" t="n"/>
    </row>
    <row r="163">
      <c r="A163" s="5" t="n"/>
      <c r="B163" s="5" t="n"/>
      <c r="C163" s="5" t="n"/>
      <c r="D163" s="5" t="n"/>
      <c r="E163" s="4">
        <f>IF(C163="","",COUNTIF($C$7:C163,C163))</f>
        <v/>
      </c>
      <c r="F163" s="4">
        <f>IF(E163="","",IF(E163&lt;=3,6,IF(E163&lt;=6,5,IF(E163&lt;=9,4,IF(E163&lt;=12,3,IF(E163&lt;=15,2,0))))))</f>
        <v/>
      </c>
      <c r="G163" s="5" t="n"/>
      <c r="H163" s="4">
        <f>IF(OR(F163="",G163=""),"",F163*G163+IF(J163="",0,J163))</f>
        <v/>
      </c>
      <c r="I163" s="5" t="n"/>
      <c r="J163" s="5" t="n"/>
    </row>
    <row r="164">
      <c r="A164" s="5" t="n"/>
      <c r="B164" s="5" t="n"/>
      <c r="C164" s="5" t="n"/>
      <c r="D164" s="5" t="n"/>
      <c r="E164" s="4">
        <f>IF(C164="","",COUNTIF($C$7:C164,C164))</f>
        <v/>
      </c>
      <c r="F164" s="4">
        <f>IF(E164="","",IF(E164&lt;=3,6,IF(E164&lt;=6,5,IF(E164&lt;=9,4,IF(E164&lt;=12,3,IF(E164&lt;=15,2,0))))))</f>
        <v/>
      </c>
      <c r="G164" s="5" t="n"/>
      <c r="H164" s="4">
        <f>IF(OR(F164="",G164=""),"",F164*G164+IF(J164="",0,J164))</f>
        <v/>
      </c>
      <c r="I164" s="5" t="n"/>
      <c r="J164" s="5" t="n"/>
    </row>
    <row r="165">
      <c r="A165" s="5" t="n"/>
      <c r="B165" s="5" t="n"/>
      <c r="C165" s="5" t="n"/>
      <c r="D165" s="5" t="n"/>
      <c r="E165" s="4">
        <f>IF(C165="","",COUNTIF($C$7:C165,C165))</f>
        <v/>
      </c>
      <c r="F165" s="4">
        <f>IF(E165="","",IF(E165&lt;=3,6,IF(E165&lt;=6,5,IF(E165&lt;=9,4,IF(E165&lt;=12,3,IF(E165&lt;=15,2,0))))))</f>
        <v/>
      </c>
      <c r="G165" s="5" t="n"/>
      <c r="H165" s="4">
        <f>IF(OR(F165="",G165=""),"",F165*G165+IF(J165="",0,J165))</f>
        <v/>
      </c>
      <c r="I165" s="5" t="n"/>
      <c r="J165" s="5" t="n"/>
    </row>
    <row r="166">
      <c r="A166" s="5" t="n"/>
      <c r="B166" s="5" t="n"/>
      <c r="C166" s="5" t="n"/>
      <c r="D166" s="5" t="n"/>
      <c r="E166" s="4">
        <f>IF(C166="","",COUNTIF($C$7:C166,C166))</f>
        <v/>
      </c>
      <c r="F166" s="4">
        <f>IF(E166="","",IF(E166&lt;=3,6,IF(E166&lt;=6,5,IF(E166&lt;=9,4,IF(E166&lt;=12,3,IF(E166&lt;=15,2,0))))))</f>
        <v/>
      </c>
      <c r="G166" s="5" t="n"/>
      <c r="H166" s="4">
        <f>IF(OR(F166="",G166=""),"",F166*G166+IF(J166="",0,J166))</f>
        <v/>
      </c>
      <c r="I166" s="5" t="n"/>
      <c r="J166" s="5" t="n"/>
    </row>
    <row r="167">
      <c r="A167" s="5" t="n"/>
      <c r="B167" s="5" t="n"/>
      <c r="C167" s="5" t="n"/>
      <c r="D167" s="5" t="n"/>
      <c r="E167" s="4">
        <f>IF(C167="","",COUNTIF($C$7:C167,C167))</f>
        <v/>
      </c>
      <c r="F167" s="4">
        <f>IF(E167="","",IF(E167&lt;=3,6,IF(E167&lt;=6,5,IF(E167&lt;=9,4,IF(E167&lt;=12,3,IF(E167&lt;=15,2,0))))))</f>
        <v/>
      </c>
      <c r="G167" s="5" t="n"/>
      <c r="H167" s="4">
        <f>IF(OR(F167="",G167=""),"",F167*G167+IF(J167="",0,J167))</f>
        <v/>
      </c>
      <c r="I167" s="5" t="n"/>
      <c r="J167" s="5" t="n"/>
    </row>
    <row r="168">
      <c r="A168" s="5" t="n"/>
      <c r="B168" s="5" t="n"/>
      <c r="C168" s="5" t="n"/>
      <c r="D168" s="5" t="n"/>
      <c r="E168" s="4">
        <f>IF(C168="","",COUNTIF($C$7:C168,C168))</f>
        <v/>
      </c>
      <c r="F168" s="4">
        <f>IF(E168="","",IF(E168&lt;=3,6,IF(E168&lt;=6,5,IF(E168&lt;=9,4,IF(E168&lt;=12,3,IF(E168&lt;=15,2,0))))))</f>
        <v/>
      </c>
      <c r="G168" s="5" t="n"/>
      <c r="H168" s="4">
        <f>IF(OR(F168="",G168=""),"",F168*G168+IF(J168="",0,J168))</f>
        <v/>
      </c>
      <c r="I168" s="5" t="n"/>
      <c r="J168" s="5" t="n"/>
    </row>
    <row r="169">
      <c r="A169" s="5" t="n"/>
      <c r="B169" s="5" t="n"/>
      <c r="C169" s="5" t="n"/>
      <c r="D169" s="5" t="n"/>
      <c r="E169" s="4">
        <f>IF(C169="","",COUNTIF($C$7:C169,C169))</f>
        <v/>
      </c>
      <c r="F169" s="4">
        <f>IF(E169="","",IF(E169&lt;=3,6,IF(E169&lt;=6,5,IF(E169&lt;=9,4,IF(E169&lt;=12,3,IF(E169&lt;=15,2,0))))))</f>
        <v/>
      </c>
      <c r="G169" s="5" t="n"/>
      <c r="H169" s="4">
        <f>IF(OR(F169="",G169=""),"",F169*G169+IF(J169="",0,J169))</f>
        <v/>
      </c>
      <c r="I169" s="5" t="n"/>
      <c r="J169" s="5" t="n"/>
    </row>
    <row r="170">
      <c r="A170" s="5" t="n"/>
      <c r="B170" s="5" t="n"/>
      <c r="C170" s="5" t="n"/>
      <c r="D170" s="5" t="n"/>
      <c r="E170" s="4">
        <f>IF(C170="","",COUNTIF($C$7:C170,C170))</f>
        <v/>
      </c>
      <c r="F170" s="4">
        <f>IF(E170="","",IF(E170&lt;=3,6,IF(E170&lt;=6,5,IF(E170&lt;=9,4,IF(E170&lt;=12,3,IF(E170&lt;=15,2,0))))))</f>
        <v/>
      </c>
      <c r="G170" s="5" t="n"/>
      <c r="H170" s="4">
        <f>IF(OR(F170="",G170=""),"",F170*G170+IF(J170="",0,J170))</f>
        <v/>
      </c>
      <c r="I170" s="5" t="n"/>
      <c r="J170" s="5" t="n"/>
    </row>
    <row r="171">
      <c r="A171" s="5" t="n"/>
      <c r="B171" s="5" t="n"/>
      <c r="C171" s="5" t="n"/>
      <c r="D171" s="5" t="n"/>
      <c r="E171" s="4">
        <f>IF(C171="","",COUNTIF($C$7:C171,C171))</f>
        <v/>
      </c>
      <c r="F171" s="4">
        <f>IF(E171="","",IF(E171&lt;=3,6,IF(E171&lt;=6,5,IF(E171&lt;=9,4,IF(E171&lt;=12,3,IF(E171&lt;=15,2,0))))))</f>
        <v/>
      </c>
      <c r="G171" s="5" t="n"/>
      <c r="H171" s="4">
        <f>IF(OR(F171="",G171=""),"",F171*G171+IF(J171="",0,J171))</f>
        <v/>
      </c>
      <c r="I171" s="5" t="n"/>
      <c r="J171" s="5" t="n"/>
    </row>
    <row r="172">
      <c r="A172" s="5" t="n"/>
      <c r="B172" s="5" t="n"/>
      <c r="C172" s="5" t="n"/>
      <c r="D172" s="5" t="n"/>
      <c r="E172" s="4">
        <f>IF(C172="","",COUNTIF($C$7:C172,C172))</f>
        <v/>
      </c>
      <c r="F172" s="4">
        <f>IF(E172="","",IF(E172&lt;=3,6,IF(E172&lt;=6,5,IF(E172&lt;=9,4,IF(E172&lt;=12,3,IF(E172&lt;=15,2,0))))))</f>
        <v/>
      </c>
      <c r="G172" s="5" t="n"/>
      <c r="H172" s="4">
        <f>IF(OR(F172="",G172=""),"",F172*G172+IF(J172="",0,J172))</f>
        <v/>
      </c>
      <c r="I172" s="5" t="n"/>
      <c r="J172" s="5" t="n"/>
    </row>
    <row r="173">
      <c r="A173" s="5" t="n"/>
      <c r="B173" s="5" t="n"/>
      <c r="C173" s="5" t="n"/>
      <c r="D173" s="5" t="n"/>
      <c r="E173" s="4">
        <f>IF(C173="","",COUNTIF($C$7:C173,C173))</f>
        <v/>
      </c>
      <c r="F173" s="4">
        <f>IF(E173="","",IF(E173&lt;=3,6,IF(E173&lt;=6,5,IF(E173&lt;=9,4,IF(E173&lt;=12,3,IF(E173&lt;=15,2,0))))))</f>
        <v/>
      </c>
      <c r="G173" s="5" t="n"/>
      <c r="H173" s="4">
        <f>IF(OR(F173="",G173=""),"",F173*G173+IF(J173="",0,J173))</f>
        <v/>
      </c>
      <c r="I173" s="5" t="n"/>
      <c r="J173" s="5" t="n"/>
    </row>
    <row r="174">
      <c r="A174" s="5" t="n"/>
      <c r="B174" s="5" t="n"/>
      <c r="C174" s="5" t="n"/>
      <c r="D174" s="5" t="n"/>
      <c r="E174" s="4">
        <f>IF(C174="","",COUNTIF($C$7:C174,C174))</f>
        <v/>
      </c>
      <c r="F174" s="4">
        <f>IF(E174="","",IF(E174&lt;=3,6,IF(E174&lt;=6,5,IF(E174&lt;=9,4,IF(E174&lt;=12,3,IF(E174&lt;=15,2,0))))))</f>
        <v/>
      </c>
      <c r="G174" s="5" t="n"/>
      <c r="H174" s="4">
        <f>IF(OR(F174="",G174=""),"",F174*G174+IF(J174="",0,J174))</f>
        <v/>
      </c>
      <c r="I174" s="5" t="n"/>
      <c r="J174" s="5" t="n"/>
    </row>
    <row r="175">
      <c r="A175" s="5" t="n"/>
      <c r="B175" s="5" t="n"/>
      <c r="C175" s="5" t="n"/>
      <c r="D175" s="5" t="n"/>
      <c r="E175" s="4">
        <f>IF(C175="","",COUNTIF($C$7:C175,C175))</f>
        <v/>
      </c>
      <c r="F175" s="4">
        <f>IF(E175="","",IF(E175&lt;=3,6,IF(E175&lt;=6,5,IF(E175&lt;=9,4,IF(E175&lt;=12,3,IF(E175&lt;=15,2,0))))))</f>
        <v/>
      </c>
      <c r="G175" s="5" t="n"/>
      <c r="H175" s="4">
        <f>IF(OR(F175="",G175=""),"",F175*G175+IF(J175="",0,J175))</f>
        <v/>
      </c>
      <c r="I175" s="5" t="n"/>
      <c r="J175" s="5" t="n"/>
    </row>
    <row r="176">
      <c r="A176" s="5" t="n"/>
      <c r="B176" s="5" t="n"/>
      <c r="C176" s="5" t="n"/>
      <c r="D176" s="5" t="n"/>
      <c r="E176" s="4">
        <f>IF(C176="","",COUNTIF($C$7:C176,C176))</f>
        <v/>
      </c>
      <c r="F176" s="4">
        <f>IF(E176="","",IF(E176&lt;=3,6,IF(E176&lt;=6,5,IF(E176&lt;=9,4,IF(E176&lt;=12,3,IF(E176&lt;=15,2,0))))))</f>
        <v/>
      </c>
      <c r="G176" s="5" t="n"/>
      <c r="H176" s="4">
        <f>IF(OR(F176="",G176=""),"",F176*G176+IF(J176="",0,J176))</f>
        <v/>
      </c>
      <c r="I176" s="5" t="n"/>
      <c r="J176" s="5" t="n"/>
    </row>
    <row r="177">
      <c r="A177" s="5" t="n"/>
      <c r="B177" s="5" t="n"/>
      <c r="C177" s="5" t="n"/>
      <c r="D177" s="5" t="n"/>
      <c r="E177" s="4">
        <f>IF(C177="","",COUNTIF($C$7:C177,C177))</f>
        <v/>
      </c>
      <c r="F177" s="4">
        <f>IF(E177="","",IF(E177&lt;=3,6,IF(E177&lt;=6,5,IF(E177&lt;=9,4,IF(E177&lt;=12,3,IF(E177&lt;=15,2,0))))))</f>
        <v/>
      </c>
      <c r="G177" s="5" t="n"/>
      <c r="H177" s="4">
        <f>IF(OR(F177="",G177=""),"",F177*G177+IF(J177="",0,J177))</f>
        <v/>
      </c>
      <c r="I177" s="5" t="n"/>
      <c r="J177" s="5" t="n"/>
    </row>
    <row r="178">
      <c r="A178" s="5" t="n"/>
      <c r="B178" s="5" t="n"/>
      <c r="C178" s="5" t="n"/>
      <c r="D178" s="5" t="n"/>
      <c r="E178" s="4">
        <f>IF(C178="","",COUNTIF($C$7:C178,C178))</f>
        <v/>
      </c>
      <c r="F178" s="4">
        <f>IF(E178="","",IF(E178&lt;=3,6,IF(E178&lt;=6,5,IF(E178&lt;=9,4,IF(E178&lt;=12,3,IF(E178&lt;=15,2,0))))))</f>
        <v/>
      </c>
      <c r="G178" s="5" t="n"/>
      <c r="H178" s="4">
        <f>IF(OR(F178="",G178=""),"",F178*G178+IF(J178="",0,J178))</f>
        <v/>
      </c>
      <c r="I178" s="5" t="n"/>
      <c r="J178" s="5" t="n"/>
    </row>
    <row r="179">
      <c r="A179" s="5" t="n"/>
      <c r="B179" s="5" t="n"/>
      <c r="C179" s="5" t="n"/>
      <c r="D179" s="5" t="n"/>
      <c r="E179" s="4">
        <f>IF(C179="","",COUNTIF($C$7:C179,C179))</f>
        <v/>
      </c>
      <c r="F179" s="4">
        <f>IF(E179="","",IF(E179&lt;=3,6,IF(E179&lt;=6,5,IF(E179&lt;=9,4,IF(E179&lt;=12,3,IF(E179&lt;=15,2,0))))))</f>
        <v/>
      </c>
      <c r="G179" s="5" t="n"/>
      <c r="H179" s="4">
        <f>IF(OR(F179="",G179=""),"",F179*G179+IF(J179="",0,J179))</f>
        <v/>
      </c>
      <c r="I179" s="5" t="n"/>
      <c r="J179" s="5" t="n"/>
    </row>
    <row r="180">
      <c r="A180" s="5" t="n"/>
      <c r="B180" s="5" t="n"/>
      <c r="C180" s="5" t="n"/>
      <c r="D180" s="5" t="n"/>
      <c r="E180" s="4">
        <f>IF(C180="","",COUNTIF($C$7:C180,C180))</f>
        <v/>
      </c>
      <c r="F180" s="4">
        <f>IF(E180="","",IF(E180&lt;=3,6,IF(E180&lt;=6,5,IF(E180&lt;=9,4,IF(E180&lt;=12,3,IF(E180&lt;=15,2,0))))))</f>
        <v/>
      </c>
      <c r="G180" s="5" t="n"/>
      <c r="H180" s="4">
        <f>IF(OR(F180="",G180=""),"",F180*G180+IF(J180="",0,J180))</f>
        <v/>
      </c>
      <c r="I180" s="5" t="n"/>
      <c r="J180" s="5" t="n"/>
    </row>
    <row r="181">
      <c r="A181" s="5" t="n"/>
      <c r="B181" s="5" t="n"/>
      <c r="C181" s="5" t="n"/>
      <c r="D181" s="5" t="n"/>
      <c r="E181" s="4">
        <f>IF(C181="","",COUNTIF($C$7:C181,C181))</f>
        <v/>
      </c>
      <c r="F181" s="4">
        <f>IF(E181="","",IF(E181&lt;=3,6,IF(E181&lt;=6,5,IF(E181&lt;=9,4,IF(E181&lt;=12,3,IF(E181&lt;=15,2,0))))))</f>
        <v/>
      </c>
      <c r="G181" s="5" t="n"/>
      <c r="H181" s="4">
        <f>IF(OR(F181="",G181=""),"",F181*G181+IF(J181="",0,J181))</f>
        <v/>
      </c>
      <c r="I181" s="5" t="n"/>
      <c r="J181" s="5" t="n"/>
    </row>
    <row r="182">
      <c r="A182" s="5" t="n"/>
      <c r="B182" s="5" t="n"/>
      <c r="C182" s="5" t="n"/>
      <c r="D182" s="5" t="n"/>
      <c r="E182" s="4">
        <f>IF(C182="","",COUNTIF($C$7:C182,C182))</f>
        <v/>
      </c>
      <c r="F182" s="4">
        <f>IF(E182="","",IF(E182&lt;=3,6,IF(E182&lt;=6,5,IF(E182&lt;=9,4,IF(E182&lt;=12,3,IF(E182&lt;=15,2,0))))))</f>
        <v/>
      </c>
      <c r="G182" s="5" t="n"/>
      <c r="H182" s="4">
        <f>IF(OR(F182="",G182=""),"",F182*G182+IF(J182="",0,J182))</f>
        <v/>
      </c>
      <c r="I182" s="5" t="n"/>
      <c r="J182" s="5" t="n"/>
    </row>
    <row r="183">
      <c r="A183" s="5" t="n"/>
      <c r="B183" s="5" t="n"/>
      <c r="C183" s="5" t="n"/>
      <c r="D183" s="5" t="n"/>
      <c r="E183" s="4">
        <f>IF(C183="","",COUNTIF($C$7:C183,C183))</f>
        <v/>
      </c>
      <c r="F183" s="4">
        <f>IF(E183="","",IF(E183&lt;=3,6,IF(E183&lt;=6,5,IF(E183&lt;=9,4,IF(E183&lt;=12,3,IF(E183&lt;=15,2,0))))))</f>
        <v/>
      </c>
      <c r="G183" s="5" t="n"/>
      <c r="H183" s="4">
        <f>IF(OR(F183="",G183=""),"",F183*G183+IF(J183="",0,J183))</f>
        <v/>
      </c>
      <c r="I183" s="5" t="n"/>
      <c r="J183" s="5" t="n"/>
    </row>
    <row r="184">
      <c r="A184" s="5" t="n"/>
      <c r="B184" s="5" t="n"/>
      <c r="C184" s="5" t="n"/>
      <c r="D184" s="5" t="n"/>
      <c r="E184" s="4">
        <f>IF(C184="","",COUNTIF($C$7:C184,C184))</f>
        <v/>
      </c>
      <c r="F184" s="4">
        <f>IF(E184="","",IF(E184&lt;=3,6,IF(E184&lt;=6,5,IF(E184&lt;=9,4,IF(E184&lt;=12,3,IF(E184&lt;=15,2,0))))))</f>
        <v/>
      </c>
      <c r="G184" s="5" t="n"/>
      <c r="H184" s="4">
        <f>IF(OR(F184="",G184=""),"",F184*G184+IF(J184="",0,J184))</f>
        <v/>
      </c>
      <c r="I184" s="5" t="n"/>
      <c r="J184" s="5" t="n"/>
    </row>
    <row r="185">
      <c r="A185" s="5" t="n"/>
      <c r="B185" s="5" t="n"/>
      <c r="C185" s="5" t="n"/>
      <c r="D185" s="5" t="n"/>
      <c r="E185" s="4">
        <f>IF(C185="","",COUNTIF($C$7:C185,C185))</f>
        <v/>
      </c>
      <c r="F185" s="4">
        <f>IF(E185="","",IF(E185&lt;=3,6,IF(E185&lt;=6,5,IF(E185&lt;=9,4,IF(E185&lt;=12,3,IF(E185&lt;=15,2,0))))))</f>
        <v/>
      </c>
      <c r="G185" s="5" t="n"/>
      <c r="H185" s="4">
        <f>IF(OR(F185="",G185=""),"",F185*G185+IF(J185="",0,J185))</f>
        <v/>
      </c>
      <c r="I185" s="5" t="n"/>
      <c r="J185" s="5" t="n"/>
    </row>
    <row r="186">
      <c r="A186" s="5" t="n"/>
      <c r="B186" s="5" t="n"/>
      <c r="C186" s="5" t="n"/>
      <c r="D186" s="5" t="n"/>
      <c r="E186" s="4">
        <f>IF(C186="","",COUNTIF($C$7:C186,C186))</f>
        <v/>
      </c>
      <c r="F186" s="4">
        <f>IF(E186="","",IF(E186&lt;=3,6,IF(E186&lt;=6,5,IF(E186&lt;=9,4,IF(E186&lt;=12,3,IF(E186&lt;=15,2,0))))))</f>
        <v/>
      </c>
      <c r="G186" s="5" t="n"/>
      <c r="H186" s="4">
        <f>IF(OR(F186="",G186=""),"",F186*G186+IF(J186="",0,J186))</f>
        <v/>
      </c>
      <c r="I186" s="5" t="n"/>
      <c r="J186" s="5" t="n"/>
    </row>
    <row r="187">
      <c r="A187" s="5" t="n"/>
      <c r="B187" s="5" t="n"/>
      <c r="C187" s="5" t="n"/>
      <c r="D187" s="5" t="n"/>
      <c r="E187" s="4">
        <f>IF(C187="","",COUNTIF($C$7:C187,C187))</f>
        <v/>
      </c>
      <c r="F187" s="4">
        <f>IF(E187="","",IF(E187&lt;=3,6,IF(E187&lt;=6,5,IF(E187&lt;=9,4,IF(E187&lt;=12,3,IF(E187&lt;=15,2,0))))))</f>
        <v/>
      </c>
      <c r="G187" s="5" t="n"/>
      <c r="H187" s="4">
        <f>IF(OR(F187="",G187=""),"",F187*G187+IF(J187="",0,J187))</f>
        <v/>
      </c>
      <c r="I187" s="5" t="n"/>
      <c r="J187" s="5" t="n"/>
    </row>
    <row r="188">
      <c r="A188" s="5" t="n"/>
      <c r="B188" s="5" t="n"/>
      <c r="C188" s="5" t="n"/>
      <c r="D188" s="5" t="n"/>
      <c r="E188" s="4">
        <f>IF(C188="","",COUNTIF($C$7:C188,C188))</f>
        <v/>
      </c>
      <c r="F188" s="4">
        <f>IF(E188="","",IF(E188&lt;=3,6,IF(E188&lt;=6,5,IF(E188&lt;=9,4,IF(E188&lt;=12,3,IF(E188&lt;=15,2,0))))))</f>
        <v/>
      </c>
      <c r="G188" s="5" t="n"/>
      <c r="H188" s="4">
        <f>IF(OR(F188="",G188=""),"",F188*G188+IF(J188="",0,J188))</f>
        <v/>
      </c>
      <c r="I188" s="5" t="n"/>
      <c r="J188" s="5" t="n"/>
    </row>
    <row r="189">
      <c r="A189" s="5" t="n"/>
      <c r="B189" s="5" t="n"/>
      <c r="C189" s="5" t="n"/>
      <c r="D189" s="5" t="n"/>
      <c r="E189" s="4">
        <f>IF(C189="","",COUNTIF($C$7:C189,C189))</f>
        <v/>
      </c>
      <c r="F189" s="4">
        <f>IF(E189="","",IF(E189&lt;=3,6,IF(E189&lt;=6,5,IF(E189&lt;=9,4,IF(E189&lt;=12,3,IF(E189&lt;=15,2,0))))))</f>
        <v/>
      </c>
      <c r="G189" s="5" t="n"/>
      <c r="H189" s="4">
        <f>IF(OR(F189="",G189=""),"",F189*G189+IF(J189="",0,J189))</f>
        <v/>
      </c>
      <c r="I189" s="5" t="n"/>
      <c r="J189" s="5" t="n"/>
    </row>
    <row r="190">
      <c r="A190" s="5" t="n"/>
      <c r="B190" s="5" t="n"/>
      <c r="C190" s="5" t="n"/>
      <c r="D190" s="5" t="n"/>
      <c r="E190" s="4">
        <f>IF(C190="","",COUNTIF($C$7:C190,C190))</f>
        <v/>
      </c>
      <c r="F190" s="4">
        <f>IF(E190="","",IF(E190&lt;=3,6,IF(E190&lt;=6,5,IF(E190&lt;=9,4,IF(E190&lt;=12,3,IF(E190&lt;=15,2,0))))))</f>
        <v/>
      </c>
      <c r="G190" s="5" t="n"/>
      <c r="H190" s="4">
        <f>IF(OR(F190="",G190=""),"",F190*G190+IF(J190="",0,J190))</f>
        <v/>
      </c>
      <c r="I190" s="5" t="n"/>
      <c r="J190" s="5" t="n"/>
    </row>
    <row r="191">
      <c r="A191" s="5" t="n"/>
      <c r="B191" s="5" t="n"/>
      <c r="C191" s="5" t="n"/>
      <c r="D191" s="5" t="n"/>
      <c r="E191" s="4">
        <f>IF(C191="","",COUNTIF($C$7:C191,C191))</f>
        <v/>
      </c>
      <c r="F191" s="4">
        <f>IF(E191="","",IF(E191&lt;=3,6,IF(E191&lt;=6,5,IF(E191&lt;=9,4,IF(E191&lt;=12,3,IF(E191&lt;=15,2,0))))))</f>
        <v/>
      </c>
      <c r="G191" s="5" t="n"/>
      <c r="H191" s="4">
        <f>IF(OR(F191="",G191=""),"",F191*G191+IF(J191="",0,J191))</f>
        <v/>
      </c>
      <c r="I191" s="5" t="n"/>
      <c r="J191" s="5" t="n"/>
    </row>
    <row r="192">
      <c r="A192" s="5" t="n"/>
      <c r="B192" s="5" t="n"/>
      <c r="C192" s="5" t="n"/>
      <c r="D192" s="5" t="n"/>
      <c r="E192" s="4">
        <f>IF(C192="","",COUNTIF($C$7:C192,C192))</f>
        <v/>
      </c>
      <c r="F192" s="4">
        <f>IF(E192="","",IF(E192&lt;=3,6,IF(E192&lt;=6,5,IF(E192&lt;=9,4,IF(E192&lt;=12,3,IF(E192&lt;=15,2,0))))))</f>
        <v/>
      </c>
      <c r="G192" s="5" t="n"/>
      <c r="H192" s="4">
        <f>IF(OR(F192="",G192=""),"",F192*G192+IF(J192="",0,J192))</f>
        <v/>
      </c>
      <c r="I192" s="5" t="n"/>
      <c r="J192" s="5" t="n"/>
    </row>
    <row r="193">
      <c r="A193" s="5" t="n"/>
      <c r="B193" s="5" t="n"/>
      <c r="C193" s="5" t="n"/>
      <c r="D193" s="5" t="n"/>
      <c r="E193" s="4">
        <f>IF(C193="","",COUNTIF($C$7:C193,C193))</f>
        <v/>
      </c>
      <c r="F193" s="4">
        <f>IF(E193="","",IF(E193&lt;=3,6,IF(E193&lt;=6,5,IF(E193&lt;=9,4,IF(E193&lt;=12,3,IF(E193&lt;=15,2,0))))))</f>
        <v/>
      </c>
      <c r="G193" s="5" t="n"/>
      <c r="H193" s="4">
        <f>IF(OR(F193="",G193=""),"",F193*G193+IF(J193="",0,J193))</f>
        <v/>
      </c>
      <c r="I193" s="5" t="n"/>
      <c r="J193" s="5" t="n"/>
    </row>
    <row r="194">
      <c r="A194" s="5" t="n"/>
      <c r="B194" s="5" t="n"/>
      <c r="C194" s="5" t="n"/>
      <c r="D194" s="5" t="n"/>
      <c r="E194" s="4">
        <f>IF(C194="","",COUNTIF($C$7:C194,C194))</f>
        <v/>
      </c>
      <c r="F194" s="4">
        <f>IF(E194="","",IF(E194&lt;=3,6,IF(E194&lt;=6,5,IF(E194&lt;=9,4,IF(E194&lt;=12,3,IF(E194&lt;=15,2,0))))))</f>
        <v/>
      </c>
      <c r="G194" s="5" t="n"/>
      <c r="H194" s="4">
        <f>IF(OR(F194="",G194=""),"",F194*G194+IF(J194="",0,J194))</f>
        <v/>
      </c>
      <c r="I194" s="5" t="n"/>
      <c r="J194" s="5" t="n"/>
    </row>
    <row r="195">
      <c r="A195" s="5" t="n"/>
      <c r="B195" s="5" t="n"/>
      <c r="C195" s="5" t="n"/>
      <c r="D195" s="5" t="n"/>
      <c r="E195" s="4">
        <f>IF(C195="","",COUNTIF($C$7:C195,C195))</f>
        <v/>
      </c>
      <c r="F195" s="4">
        <f>IF(E195="","",IF(E195&lt;=3,6,IF(E195&lt;=6,5,IF(E195&lt;=9,4,IF(E195&lt;=12,3,IF(E195&lt;=15,2,0))))))</f>
        <v/>
      </c>
      <c r="G195" s="5" t="n"/>
      <c r="H195" s="4">
        <f>IF(OR(F195="",G195=""),"",F195*G195+IF(J195="",0,J195))</f>
        <v/>
      </c>
      <c r="I195" s="5" t="n"/>
      <c r="J195" s="5" t="n"/>
    </row>
    <row r="196">
      <c r="A196" s="5" t="n"/>
      <c r="B196" s="5" t="n"/>
      <c r="C196" s="5" t="n"/>
      <c r="D196" s="5" t="n"/>
      <c r="E196" s="4">
        <f>IF(C196="","",COUNTIF($C$7:C196,C196))</f>
        <v/>
      </c>
      <c r="F196" s="4">
        <f>IF(E196="","",IF(E196&lt;=3,6,IF(E196&lt;=6,5,IF(E196&lt;=9,4,IF(E196&lt;=12,3,IF(E196&lt;=15,2,0))))))</f>
        <v/>
      </c>
      <c r="G196" s="5" t="n"/>
      <c r="H196" s="4">
        <f>IF(OR(F196="",G196=""),"",F196*G196+IF(J196="",0,J196))</f>
        <v/>
      </c>
      <c r="I196" s="5" t="n"/>
      <c r="J196" s="5" t="n"/>
    </row>
    <row r="197">
      <c r="A197" s="5" t="n"/>
      <c r="B197" s="5" t="n"/>
      <c r="C197" s="5" t="n"/>
      <c r="D197" s="5" t="n"/>
      <c r="E197" s="4">
        <f>IF(C197="","",COUNTIF($C$7:C197,C197))</f>
        <v/>
      </c>
      <c r="F197" s="4">
        <f>IF(E197="","",IF(E197&lt;=3,6,IF(E197&lt;=6,5,IF(E197&lt;=9,4,IF(E197&lt;=12,3,IF(E197&lt;=15,2,0))))))</f>
        <v/>
      </c>
      <c r="G197" s="5" t="n"/>
      <c r="H197" s="4">
        <f>IF(OR(F197="",G197=""),"",F197*G197+IF(J197="",0,J197))</f>
        <v/>
      </c>
      <c r="I197" s="5" t="n"/>
      <c r="J197" s="5" t="n"/>
    </row>
    <row r="198">
      <c r="A198" s="5" t="n"/>
      <c r="B198" s="5" t="n"/>
      <c r="C198" s="5" t="n"/>
      <c r="D198" s="5" t="n"/>
      <c r="E198" s="4">
        <f>IF(C198="","",COUNTIF($C$7:C198,C198))</f>
        <v/>
      </c>
      <c r="F198" s="4">
        <f>IF(E198="","",IF(E198&lt;=3,6,IF(E198&lt;=6,5,IF(E198&lt;=9,4,IF(E198&lt;=12,3,IF(E198&lt;=15,2,0))))))</f>
        <v/>
      </c>
      <c r="G198" s="5" t="n"/>
      <c r="H198" s="4">
        <f>IF(OR(F198="",G198=""),"",F198*G198+IF(J198="",0,J198))</f>
        <v/>
      </c>
      <c r="I198" s="5" t="n"/>
      <c r="J198" s="5" t="n"/>
    </row>
    <row r="199">
      <c r="A199" s="5" t="n"/>
      <c r="B199" s="5" t="n"/>
      <c r="C199" s="5" t="n"/>
      <c r="D199" s="5" t="n"/>
      <c r="E199" s="4">
        <f>IF(C199="","",COUNTIF($C$7:C199,C199))</f>
        <v/>
      </c>
      <c r="F199" s="4">
        <f>IF(E199="","",IF(E199&lt;=3,6,IF(E199&lt;=6,5,IF(E199&lt;=9,4,IF(E199&lt;=12,3,IF(E199&lt;=15,2,0))))))</f>
        <v/>
      </c>
      <c r="G199" s="5" t="n"/>
      <c r="H199" s="4">
        <f>IF(OR(F199="",G199=""),"",F199*G199+IF(J199="",0,J199))</f>
        <v/>
      </c>
      <c r="I199" s="5" t="n"/>
      <c r="J199" s="5" t="n"/>
    </row>
    <row r="200">
      <c r="A200" s="5" t="n"/>
      <c r="B200" s="5" t="n"/>
      <c r="C200" s="5" t="n"/>
      <c r="D200" s="5" t="n"/>
      <c r="E200" s="4">
        <f>IF(C200="","",COUNTIF($C$7:C200,C200))</f>
        <v/>
      </c>
      <c r="F200" s="4">
        <f>IF(E200="","",IF(E200&lt;=3,6,IF(E200&lt;=6,5,IF(E200&lt;=9,4,IF(E200&lt;=12,3,IF(E200&lt;=15,2,0))))))</f>
        <v/>
      </c>
      <c r="G200" s="5" t="n"/>
      <c r="H200" s="4">
        <f>IF(OR(F200="",G200=""),"",F200*G200+IF(J200="",0,J200))</f>
        <v/>
      </c>
      <c r="I200" s="5" t="n"/>
      <c r="J200" s="5" t="n"/>
    </row>
    <row r="201">
      <c r="A201" s="5" t="n"/>
      <c r="B201" s="5" t="n"/>
      <c r="C201" s="5" t="n"/>
      <c r="D201" s="5" t="n"/>
      <c r="E201" s="4">
        <f>IF(C201="","",COUNTIF($C$7:C201,C201))</f>
        <v/>
      </c>
      <c r="F201" s="4">
        <f>IF(E201="","",IF(E201&lt;=3,6,IF(E201&lt;=6,5,IF(E201&lt;=9,4,IF(E201&lt;=12,3,IF(E201&lt;=15,2,0))))))</f>
        <v/>
      </c>
      <c r="G201" s="5" t="n"/>
      <c r="H201" s="4">
        <f>IF(OR(F201="",G201=""),"",F201*G201+IF(J201="",0,J201))</f>
        <v/>
      </c>
      <c r="I201" s="5" t="n"/>
      <c r="J201" s="5" t="n"/>
    </row>
    <row r="202">
      <c r="A202" s="5" t="n"/>
      <c r="B202" s="5" t="n"/>
      <c r="C202" s="5" t="n"/>
      <c r="D202" s="5" t="n"/>
      <c r="E202" s="4">
        <f>IF(C202="","",COUNTIF($C$7:C202,C202))</f>
        <v/>
      </c>
      <c r="F202" s="4">
        <f>IF(E202="","",IF(E202&lt;=3,6,IF(E202&lt;=6,5,IF(E202&lt;=9,4,IF(E202&lt;=12,3,IF(E202&lt;=15,2,0))))))</f>
        <v/>
      </c>
      <c r="G202" s="5" t="n"/>
      <c r="H202" s="4">
        <f>IF(OR(F202="",G202=""),"",F202*G202+IF(J202="",0,J202))</f>
        <v/>
      </c>
      <c r="I202" s="5" t="n"/>
      <c r="J202" s="5" t="n"/>
    </row>
    <row r="203">
      <c r="A203" s="5" t="n"/>
      <c r="B203" s="5" t="n"/>
      <c r="C203" s="5" t="n"/>
      <c r="D203" s="5" t="n"/>
      <c r="E203" s="4">
        <f>IF(C203="","",COUNTIF($C$7:C203,C203))</f>
        <v/>
      </c>
      <c r="F203" s="4">
        <f>IF(E203="","",IF(E203&lt;=3,6,IF(E203&lt;=6,5,IF(E203&lt;=9,4,IF(E203&lt;=12,3,IF(E203&lt;=15,2,0))))))</f>
        <v/>
      </c>
      <c r="G203" s="5" t="n"/>
      <c r="H203" s="4">
        <f>IF(OR(F203="",G203=""),"",F203*G203+IF(J203="",0,J203))</f>
        <v/>
      </c>
      <c r="I203" s="5" t="n"/>
      <c r="J203" s="5" t="n"/>
    </row>
    <row r="204">
      <c r="A204" s="5" t="n"/>
      <c r="B204" s="5" t="n"/>
      <c r="C204" s="5" t="n"/>
      <c r="D204" s="5" t="n"/>
      <c r="E204" s="4">
        <f>IF(C204="","",COUNTIF($C$7:C204,C204))</f>
        <v/>
      </c>
      <c r="F204" s="4">
        <f>IF(E204="","",IF(E204&lt;=3,6,IF(E204&lt;=6,5,IF(E204&lt;=9,4,IF(E204&lt;=12,3,IF(E204&lt;=15,2,0))))))</f>
        <v/>
      </c>
      <c r="G204" s="5" t="n"/>
      <c r="H204" s="4">
        <f>IF(OR(F204="",G204=""),"",F204*G204+IF(J204="",0,J204))</f>
        <v/>
      </c>
      <c r="I204" s="5" t="n"/>
      <c r="J204" s="5" t="n"/>
    </row>
    <row r="205">
      <c r="A205" s="5" t="n"/>
      <c r="B205" s="5" t="n"/>
      <c r="C205" s="5" t="n"/>
      <c r="D205" s="5" t="n"/>
      <c r="E205" s="4">
        <f>IF(C205="","",COUNTIF($C$7:C205,C205))</f>
        <v/>
      </c>
      <c r="F205" s="4">
        <f>IF(E205="","",IF(E205&lt;=3,6,IF(E205&lt;=6,5,IF(E205&lt;=9,4,IF(E205&lt;=12,3,IF(E205&lt;=15,2,0))))))</f>
        <v/>
      </c>
      <c r="G205" s="5" t="n"/>
      <c r="H205" s="4">
        <f>IF(OR(F205="",G205=""),"",F205*G205+IF(J205="",0,J205))</f>
        <v/>
      </c>
      <c r="I205" s="5" t="n"/>
      <c r="J205" s="5" t="n"/>
    </row>
    <row r="206">
      <c r="A206" s="5" t="n"/>
      <c r="B206" s="5" t="n"/>
      <c r="C206" s="5" t="n"/>
      <c r="D206" s="5" t="n"/>
      <c r="E206" s="4">
        <f>IF(C206="","",COUNTIF($C$7:C206,C206))</f>
        <v/>
      </c>
      <c r="F206" s="4">
        <f>IF(E206="","",IF(E206&lt;=3,6,IF(E206&lt;=6,5,IF(E206&lt;=9,4,IF(E206&lt;=12,3,IF(E206&lt;=15,2,0))))))</f>
        <v/>
      </c>
      <c r="G206" s="5" t="n"/>
      <c r="H206" s="4">
        <f>IF(OR(F206="",G206=""),"",F206*G206+IF(J206="",0,J206))</f>
        <v/>
      </c>
      <c r="I206" s="5" t="n"/>
      <c r="J206" s="5" t="n"/>
    </row>
    <row r="207">
      <c r="A207" s="5" t="n"/>
      <c r="B207" s="5" t="n"/>
      <c r="C207" s="5" t="n"/>
      <c r="D207" s="5" t="n"/>
      <c r="E207" s="4">
        <f>IF(C207="","",COUNTIF($C$7:C207,C207))</f>
        <v/>
      </c>
      <c r="F207" s="4">
        <f>IF(E207="","",IF(E207&lt;=3,6,IF(E207&lt;=6,5,IF(E207&lt;=9,4,IF(E207&lt;=12,3,IF(E207&lt;=15,2,0))))))</f>
        <v/>
      </c>
      <c r="G207" s="5" t="n"/>
      <c r="H207" s="4">
        <f>IF(OR(F207="",G207=""),"",F207*G207+IF(J207="",0,J207))</f>
        <v/>
      </c>
      <c r="I207" s="5" t="n"/>
      <c r="J207" s="5" t="n"/>
    </row>
    <row r="208">
      <c r="A208" s="5" t="n"/>
      <c r="B208" s="5" t="n"/>
      <c r="C208" s="5" t="n"/>
      <c r="D208" s="5" t="n"/>
      <c r="E208" s="4">
        <f>IF(C208="","",COUNTIF($C$7:C208,C208))</f>
        <v/>
      </c>
      <c r="F208" s="4">
        <f>IF(E208="","",IF(E208&lt;=3,6,IF(E208&lt;=6,5,IF(E208&lt;=9,4,IF(E208&lt;=12,3,IF(E208&lt;=15,2,0))))))</f>
        <v/>
      </c>
      <c r="G208" s="5" t="n"/>
      <c r="H208" s="4">
        <f>IF(OR(F208="",G208=""),"",F208*G208+IF(J208="",0,J208))</f>
        <v/>
      </c>
      <c r="I208" s="5" t="n"/>
      <c r="J208" s="5" t="n"/>
    </row>
    <row r="209">
      <c r="A209" s="5" t="n"/>
      <c r="B209" s="5" t="n"/>
      <c r="C209" s="5" t="n"/>
      <c r="D209" s="5" t="n"/>
      <c r="E209" s="4">
        <f>IF(C209="","",COUNTIF($C$7:C209,C209))</f>
        <v/>
      </c>
      <c r="F209" s="4">
        <f>IF(E209="","",IF(E209&lt;=3,6,IF(E209&lt;=6,5,IF(E209&lt;=9,4,IF(E209&lt;=12,3,IF(E209&lt;=15,2,0))))))</f>
        <v/>
      </c>
      <c r="G209" s="5" t="n"/>
      <c r="H209" s="4">
        <f>IF(OR(F209="",G209=""),"",F209*G209+IF(J209="",0,J209))</f>
        <v/>
      </c>
      <c r="I209" s="5" t="n"/>
      <c r="J209" s="5" t="n"/>
    </row>
    <row r="210">
      <c r="A210" s="5" t="n"/>
      <c r="B210" s="5" t="n"/>
      <c r="C210" s="5" t="n"/>
      <c r="D210" s="5" t="n"/>
      <c r="E210" s="4">
        <f>IF(C210="","",COUNTIF($C$7:C210,C210))</f>
        <v/>
      </c>
      <c r="F210" s="4">
        <f>IF(E210="","",IF(E210&lt;=3,6,IF(E210&lt;=6,5,IF(E210&lt;=9,4,IF(E210&lt;=12,3,IF(E210&lt;=15,2,0))))))</f>
        <v/>
      </c>
      <c r="G210" s="5" t="n"/>
      <c r="H210" s="4">
        <f>IF(OR(F210="",G210=""),"",F210*G210+IF(J210="",0,J210))</f>
        <v/>
      </c>
      <c r="I210" s="5" t="n"/>
      <c r="J210" s="5" t="n"/>
    </row>
    <row r="211">
      <c r="A211" s="5" t="n"/>
      <c r="B211" s="5" t="n"/>
      <c r="C211" s="5" t="n"/>
      <c r="D211" s="5" t="n"/>
      <c r="E211" s="4">
        <f>IF(C211="","",COUNTIF($C$7:C211,C211))</f>
        <v/>
      </c>
      <c r="F211" s="4">
        <f>IF(E211="","",IF(E211&lt;=3,6,IF(E211&lt;=6,5,IF(E211&lt;=9,4,IF(E211&lt;=12,3,IF(E211&lt;=15,2,0))))))</f>
        <v/>
      </c>
      <c r="G211" s="5" t="n"/>
      <c r="H211" s="4">
        <f>IF(OR(F211="",G211=""),"",F211*G211+IF(J211="",0,J211))</f>
        <v/>
      </c>
      <c r="I211" s="5" t="n"/>
      <c r="J211" s="5" t="n"/>
    </row>
    <row r="212">
      <c r="A212" s="5" t="n"/>
      <c r="B212" s="5" t="n"/>
      <c r="C212" s="5" t="n"/>
      <c r="D212" s="5" t="n"/>
      <c r="E212" s="4">
        <f>IF(C212="","",COUNTIF($C$7:C212,C212))</f>
        <v/>
      </c>
      <c r="F212" s="4">
        <f>IF(E212="","",IF(E212&lt;=3,6,IF(E212&lt;=6,5,IF(E212&lt;=9,4,IF(E212&lt;=12,3,IF(E212&lt;=15,2,0))))))</f>
        <v/>
      </c>
      <c r="G212" s="5" t="n"/>
      <c r="H212" s="4">
        <f>IF(OR(F212="",G212=""),"",F212*G212+IF(J212="",0,J212))</f>
        <v/>
      </c>
      <c r="I212" s="5" t="n"/>
      <c r="J212" s="5" t="n"/>
    </row>
    <row r="213">
      <c r="A213" s="5" t="n"/>
      <c r="B213" s="5" t="n"/>
      <c r="C213" s="5" t="n"/>
      <c r="D213" s="5" t="n"/>
      <c r="E213" s="4">
        <f>IF(C213="","",COUNTIF($C$7:C213,C213))</f>
        <v/>
      </c>
      <c r="F213" s="4">
        <f>IF(E213="","",IF(E213&lt;=3,6,IF(E213&lt;=6,5,IF(E213&lt;=9,4,IF(E213&lt;=12,3,IF(E213&lt;=15,2,0))))))</f>
        <v/>
      </c>
      <c r="G213" s="5" t="n"/>
      <c r="H213" s="4">
        <f>IF(OR(F213="",G213=""),"",F213*G213+IF(J213="",0,J213))</f>
        <v/>
      </c>
      <c r="I213" s="5" t="n"/>
      <c r="J213" s="5" t="n"/>
    </row>
    <row r="214">
      <c r="A214" s="5" t="n"/>
      <c r="B214" s="5" t="n"/>
      <c r="C214" s="5" t="n"/>
      <c r="D214" s="5" t="n"/>
      <c r="E214" s="4">
        <f>IF(C214="","",COUNTIF($C$7:C214,C214))</f>
        <v/>
      </c>
      <c r="F214" s="4">
        <f>IF(E214="","",IF(E214&lt;=3,6,IF(E214&lt;=6,5,IF(E214&lt;=9,4,IF(E214&lt;=12,3,IF(E214&lt;=15,2,0))))))</f>
        <v/>
      </c>
      <c r="G214" s="5" t="n"/>
      <c r="H214" s="4">
        <f>IF(OR(F214="",G214=""),"",F214*G214+IF(J214="",0,J214))</f>
        <v/>
      </c>
      <c r="I214" s="5" t="n"/>
      <c r="J214" s="5" t="n"/>
    </row>
    <row r="215">
      <c r="A215" s="5" t="n"/>
      <c r="B215" s="5" t="n"/>
      <c r="C215" s="5" t="n"/>
      <c r="D215" s="5" t="n"/>
      <c r="E215" s="4">
        <f>IF(C215="","",COUNTIF($C$7:C215,C215))</f>
        <v/>
      </c>
      <c r="F215" s="4">
        <f>IF(E215="","",IF(E215&lt;=3,6,IF(E215&lt;=6,5,IF(E215&lt;=9,4,IF(E215&lt;=12,3,IF(E215&lt;=15,2,0))))))</f>
        <v/>
      </c>
      <c r="G215" s="5" t="n"/>
      <c r="H215" s="4">
        <f>IF(OR(F215="",G215=""),"",F215*G215+IF(J215="",0,J215))</f>
        <v/>
      </c>
      <c r="I215" s="5" t="n"/>
      <c r="J215" s="5" t="n"/>
    </row>
    <row r="216">
      <c r="A216" s="5" t="n"/>
      <c r="B216" s="5" t="n"/>
      <c r="C216" s="5" t="n"/>
      <c r="D216" s="5" t="n"/>
      <c r="E216" s="4">
        <f>IF(C216="","",COUNTIF($C$7:C216,C216))</f>
        <v/>
      </c>
      <c r="F216" s="4">
        <f>IF(E216="","",IF(E216&lt;=3,6,IF(E216&lt;=6,5,IF(E216&lt;=9,4,IF(E216&lt;=12,3,IF(E216&lt;=15,2,0))))))</f>
        <v/>
      </c>
      <c r="G216" s="5" t="n"/>
      <c r="H216" s="4">
        <f>IF(OR(F216="",G216=""),"",F216*G216+IF(J216="",0,J216))</f>
        <v/>
      </c>
      <c r="I216" s="5" t="n"/>
      <c r="J216" s="5" t="n"/>
    </row>
    <row r="217">
      <c r="A217" s="5" t="n"/>
      <c r="B217" s="5" t="n"/>
      <c r="C217" s="5" t="n"/>
      <c r="D217" s="5" t="n"/>
      <c r="E217" s="4">
        <f>IF(C217="","",COUNTIF($C$7:C217,C217))</f>
        <v/>
      </c>
      <c r="F217" s="4">
        <f>IF(E217="","",IF(E217&lt;=3,6,IF(E217&lt;=6,5,IF(E217&lt;=9,4,IF(E217&lt;=12,3,IF(E217&lt;=15,2,0))))))</f>
        <v/>
      </c>
      <c r="G217" s="5" t="n"/>
      <c r="H217" s="4">
        <f>IF(OR(F217="",G217=""),"",F217*G217+IF(J217="",0,J217))</f>
        <v/>
      </c>
      <c r="I217" s="5" t="n"/>
      <c r="J217" s="5" t="n"/>
    </row>
    <row r="218">
      <c r="A218" s="5" t="n"/>
      <c r="B218" s="5" t="n"/>
      <c r="C218" s="5" t="n"/>
      <c r="D218" s="5" t="n"/>
      <c r="E218" s="4">
        <f>IF(C218="","",COUNTIF($C$7:C218,C218))</f>
        <v/>
      </c>
      <c r="F218" s="4">
        <f>IF(E218="","",IF(E218&lt;=3,6,IF(E218&lt;=6,5,IF(E218&lt;=9,4,IF(E218&lt;=12,3,IF(E218&lt;=15,2,0))))))</f>
        <v/>
      </c>
      <c r="G218" s="5" t="n"/>
      <c r="H218" s="4">
        <f>IF(OR(F218="",G218=""),"",F218*G218+IF(J218="",0,J218))</f>
        <v/>
      </c>
      <c r="I218" s="5" t="n"/>
      <c r="J218" s="5" t="n"/>
    </row>
    <row r="219">
      <c r="A219" s="5" t="n"/>
      <c r="B219" s="5" t="n"/>
      <c r="C219" s="5" t="n"/>
      <c r="D219" s="5" t="n"/>
      <c r="E219" s="4">
        <f>IF(C219="","",COUNTIF($C$7:C219,C219))</f>
        <v/>
      </c>
      <c r="F219" s="4">
        <f>IF(E219="","",IF(E219&lt;=3,6,IF(E219&lt;=6,5,IF(E219&lt;=9,4,IF(E219&lt;=12,3,IF(E219&lt;=15,2,0))))))</f>
        <v/>
      </c>
      <c r="G219" s="5" t="n"/>
      <c r="H219" s="4">
        <f>IF(OR(F219="",G219=""),"",F219*G219+IF(J219="",0,J219))</f>
        <v/>
      </c>
      <c r="I219" s="5" t="n"/>
      <c r="J219" s="5" t="n"/>
    </row>
    <row r="220">
      <c r="A220" s="5" t="n"/>
      <c r="B220" s="5" t="n"/>
      <c r="C220" s="5" t="n"/>
      <c r="D220" s="5" t="n"/>
      <c r="E220" s="4">
        <f>IF(C220="","",COUNTIF($C$7:C220,C220))</f>
        <v/>
      </c>
      <c r="F220" s="4">
        <f>IF(E220="","",IF(E220&lt;=3,6,IF(E220&lt;=6,5,IF(E220&lt;=9,4,IF(E220&lt;=12,3,IF(E220&lt;=15,2,0))))))</f>
        <v/>
      </c>
      <c r="G220" s="5" t="n"/>
      <c r="H220" s="4">
        <f>IF(OR(F220="",G220=""),"",F220*G220+IF(J220="",0,J220))</f>
        <v/>
      </c>
      <c r="I220" s="5" t="n"/>
      <c r="J220" s="5" t="n"/>
    </row>
    <row r="221">
      <c r="A221" s="5" t="n"/>
      <c r="B221" s="5" t="n"/>
      <c r="C221" s="5" t="n"/>
      <c r="D221" s="5" t="n"/>
      <c r="E221" s="4">
        <f>IF(C221="","",COUNTIF($C$7:C221,C221))</f>
        <v/>
      </c>
      <c r="F221" s="4">
        <f>IF(E221="","",IF(E221&lt;=3,6,IF(E221&lt;=6,5,IF(E221&lt;=9,4,IF(E221&lt;=12,3,IF(E221&lt;=15,2,0))))))</f>
        <v/>
      </c>
      <c r="G221" s="5" t="n"/>
      <c r="H221" s="4">
        <f>IF(OR(F221="",G221=""),"",F221*G221+IF(J221="",0,J221))</f>
        <v/>
      </c>
      <c r="I221" s="5" t="n"/>
      <c r="J221" s="5" t="n"/>
    </row>
    <row r="222">
      <c r="A222" s="5" t="n"/>
      <c r="B222" s="5" t="n"/>
      <c r="C222" s="5" t="n"/>
      <c r="D222" s="5" t="n"/>
      <c r="E222" s="4">
        <f>IF(C222="","",COUNTIF($C$7:C222,C222))</f>
        <v/>
      </c>
      <c r="F222" s="4">
        <f>IF(E222="","",IF(E222&lt;=3,6,IF(E222&lt;=6,5,IF(E222&lt;=9,4,IF(E222&lt;=12,3,IF(E222&lt;=15,2,0))))))</f>
        <v/>
      </c>
      <c r="G222" s="5" t="n"/>
      <c r="H222" s="4">
        <f>IF(OR(F222="",G222=""),"",F222*G222+IF(J222="",0,J222))</f>
        <v/>
      </c>
      <c r="I222" s="5" t="n"/>
      <c r="J222" s="5" t="n"/>
    </row>
    <row r="223">
      <c r="A223" s="5" t="n"/>
      <c r="B223" s="5" t="n"/>
      <c r="C223" s="5" t="n"/>
      <c r="D223" s="5" t="n"/>
      <c r="E223" s="4">
        <f>IF(C223="","",COUNTIF($C$7:C223,C223))</f>
        <v/>
      </c>
      <c r="F223" s="4">
        <f>IF(E223="","",IF(E223&lt;=3,6,IF(E223&lt;=6,5,IF(E223&lt;=9,4,IF(E223&lt;=12,3,IF(E223&lt;=15,2,0))))))</f>
        <v/>
      </c>
      <c r="G223" s="5" t="n"/>
      <c r="H223" s="4">
        <f>IF(OR(F223="",G223=""),"",F223*G223+IF(J223="",0,J223))</f>
        <v/>
      </c>
      <c r="I223" s="5" t="n"/>
      <c r="J223" s="5" t="n"/>
    </row>
    <row r="224">
      <c r="A224" s="5" t="n"/>
      <c r="B224" s="5" t="n"/>
      <c r="C224" s="5" t="n"/>
      <c r="D224" s="5" t="n"/>
      <c r="E224" s="4">
        <f>IF(C224="","",COUNTIF($C$7:C224,C224))</f>
        <v/>
      </c>
      <c r="F224" s="4">
        <f>IF(E224="","",IF(E224&lt;=3,6,IF(E224&lt;=6,5,IF(E224&lt;=9,4,IF(E224&lt;=12,3,IF(E224&lt;=15,2,0))))))</f>
        <v/>
      </c>
      <c r="G224" s="5" t="n"/>
      <c r="H224" s="4">
        <f>IF(OR(F224="",G224=""),"",F224*G224+IF(J224="",0,J224))</f>
        <v/>
      </c>
      <c r="I224" s="5" t="n"/>
      <c r="J224" s="5" t="n"/>
    </row>
    <row r="225">
      <c r="A225" s="5" t="n"/>
      <c r="B225" s="5" t="n"/>
      <c r="C225" s="5" t="n"/>
      <c r="D225" s="5" t="n"/>
      <c r="E225" s="4">
        <f>IF(C225="","",COUNTIF($C$7:C225,C225))</f>
        <v/>
      </c>
      <c r="F225" s="4">
        <f>IF(E225="","",IF(E225&lt;=3,6,IF(E225&lt;=6,5,IF(E225&lt;=9,4,IF(E225&lt;=12,3,IF(E225&lt;=15,2,0))))))</f>
        <v/>
      </c>
      <c r="G225" s="5" t="n"/>
      <c r="H225" s="4">
        <f>IF(OR(F225="",G225=""),"",F225*G225+IF(J225="",0,J225))</f>
        <v/>
      </c>
      <c r="I225" s="5" t="n"/>
      <c r="J225" s="5" t="n"/>
    </row>
    <row r="226">
      <c r="A226" s="5" t="n"/>
      <c r="B226" s="5" t="n"/>
      <c r="C226" s="5" t="n"/>
      <c r="D226" s="5" t="n"/>
      <c r="E226" s="4">
        <f>IF(C226="","",COUNTIF($C$7:C226,C226))</f>
        <v/>
      </c>
      <c r="F226" s="4">
        <f>IF(E226="","",IF(E226&lt;=3,6,IF(E226&lt;=6,5,IF(E226&lt;=9,4,IF(E226&lt;=12,3,IF(E226&lt;=15,2,0))))))</f>
        <v/>
      </c>
      <c r="G226" s="5" t="n"/>
      <c r="H226" s="4">
        <f>IF(OR(F226="",G226=""),"",F226*G226+IF(J226="",0,J226))</f>
        <v/>
      </c>
      <c r="I226" s="5" t="n"/>
      <c r="J226" s="5" t="n"/>
    </row>
    <row r="227">
      <c r="A227" s="5" t="n"/>
      <c r="B227" s="5" t="n"/>
      <c r="C227" s="5" t="n"/>
      <c r="D227" s="5" t="n"/>
      <c r="E227" s="4">
        <f>IF(C227="","",COUNTIF($C$7:C227,C227))</f>
        <v/>
      </c>
      <c r="F227" s="4">
        <f>IF(E227="","",IF(E227&lt;=3,6,IF(E227&lt;=6,5,IF(E227&lt;=9,4,IF(E227&lt;=12,3,IF(E227&lt;=15,2,0))))))</f>
        <v/>
      </c>
      <c r="G227" s="5" t="n"/>
      <c r="H227" s="4">
        <f>IF(OR(F227="",G227=""),"",F227*G227+IF(J227="",0,J227))</f>
        <v/>
      </c>
      <c r="I227" s="5" t="n"/>
      <c r="J227" s="5" t="n"/>
    </row>
    <row r="228">
      <c r="A228" s="5" t="n"/>
      <c r="B228" s="5" t="n"/>
      <c r="C228" s="5" t="n"/>
      <c r="D228" s="5" t="n"/>
      <c r="E228" s="4">
        <f>IF(C228="","",COUNTIF($C$7:C228,C228))</f>
        <v/>
      </c>
      <c r="F228" s="4">
        <f>IF(E228="","",IF(E228&lt;=3,6,IF(E228&lt;=6,5,IF(E228&lt;=9,4,IF(E228&lt;=12,3,IF(E228&lt;=15,2,0))))))</f>
        <v/>
      </c>
      <c r="G228" s="5" t="n"/>
      <c r="H228" s="4">
        <f>IF(OR(F228="",G228=""),"",F228*G228+IF(J228="",0,J228))</f>
        <v/>
      </c>
      <c r="I228" s="5" t="n"/>
      <c r="J228" s="5" t="n"/>
    </row>
    <row r="229">
      <c r="A229" s="5" t="n"/>
      <c r="B229" s="5" t="n"/>
      <c r="C229" s="5" t="n"/>
      <c r="D229" s="5" t="n"/>
      <c r="E229" s="4">
        <f>IF(C229="","",COUNTIF($C$7:C229,C229))</f>
        <v/>
      </c>
      <c r="F229" s="4">
        <f>IF(E229="","",IF(E229&lt;=3,6,IF(E229&lt;=6,5,IF(E229&lt;=9,4,IF(E229&lt;=12,3,IF(E229&lt;=15,2,0))))))</f>
        <v/>
      </c>
      <c r="G229" s="5" t="n"/>
      <c r="H229" s="4">
        <f>IF(OR(F229="",G229=""),"",F229*G229+IF(J229="",0,J229))</f>
        <v/>
      </c>
      <c r="I229" s="5" t="n"/>
      <c r="J229" s="5" t="n"/>
    </row>
    <row r="230">
      <c r="A230" s="5" t="n"/>
      <c r="B230" s="5" t="n"/>
      <c r="C230" s="5" t="n"/>
      <c r="D230" s="5" t="n"/>
      <c r="E230" s="4">
        <f>IF(C230="","",COUNTIF($C$7:C230,C230))</f>
        <v/>
      </c>
      <c r="F230" s="4">
        <f>IF(E230="","",IF(E230&lt;=3,6,IF(E230&lt;=6,5,IF(E230&lt;=9,4,IF(E230&lt;=12,3,IF(E230&lt;=15,2,0))))))</f>
        <v/>
      </c>
      <c r="G230" s="5" t="n"/>
      <c r="H230" s="4">
        <f>IF(OR(F230="",G230=""),"",F230*G230+IF(J230="",0,J230))</f>
        <v/>
      </c>
      <c r="I230" s="5" t="n"/>
      <c r="J230" s="5" t="n"/>
    </row>
    <row r="231">
      <c r="A231" s="5" t="n"/>
      <c r="B231" s="5" t="n"/>
      <c r="C231" s="5" t="n"/>
      <c r="D231" s="5" t="n"/>
      <c r="E231" s="4">
        <f>IF(C231="","",COUNTIF($C$7:C231,C231))</f>
        <v/>
      </c>
      <c r="F231" s="4">
        <f>IF(E231="","",IF(E231&lt;=3,6,IF(E231&lt;=6,5,IF(E231&lt;=9,4,IF(E231&lt;=12,3,IF(E231&lt;=15,2,0))))))</f>
        <v/>
      </c>
      <c r="G231" s="5" t="n"/>
      <c r="H231" s="4">
        <f>IF(OR(F231="",G231=""),"",F231*G231+IF(J231="",0,J231))</f>
        <v/>
      </c>
      <c r="I231" s="5" t="n"/>
      <c r="J231" s="5" t="n"/>
    </row>
    <row r="232">
      <c r="A232" s="5" t="n"/>
      <c r="B232" s="5" t="n"/>
      <c r="C232" s="5" t="n"/>
      <c r="D232" s="5" t="n"/>
      <c r="E232" s="4">
        <f>IF(C232="","",COUNTIF($C$7:C232,C232))</f>
        <v/>
      </c>
      <c r="F232" s="4">
        <f>IF(E232="","",IF(E232&lt;=3,6,IF(E232&lt;=6,5,IF(E232&lt;=9,4,IF(E232&lt;=12,3,IF(E232&lt;=15,2,0))))))</f>
        <v/>
      </c>
      <c r="G232" s="5" t="n"/>
      <c r="H232" s="4">
        <f>IF(OR(F232="",G232=""),"",F232*G232+IF(J232="",0,J232))</f>
        <v/>
      </c>
      <c r="I232" s="5" t="n"/>
      <c r="J232" s="5" t="n"/>
    </row>
    <row r="233">
      <c r="A233" s="5" t="n"/>
      <c r="B233" s="5" t="n"/>
      <c r="C233" s="5" t="n"/>
      <c r="D233" s="5" t="n"/>
      <c r="E233" s="4">
        <f>IF(C233="","",COUNTIF($C$7:C233,C233))</f>
        <v/>
      </c>
      <c r="F233" s="4">
        <f>IF(E233="","",IF(E233&lt;=3,6,IF(E233&lt;=6,5,IF(E233&lt;=9,4,IF(E233&lt;=12,3,IF(E233&lt;=15,2,0))))))</f>
        <v/>
      </c>
      <c r="G233" s="5" t="n"/>
      <c r="H233" s="4">
        <f>IF(OR(F233="",G233=""),"",F233*G233+IF(J233="",0,J233))</f>
        <v/>
      </c>
      <c r="I233" s="5" t="n"/>
      <c r="J233" s="5" t="n"/>
    </row>
    <row r="234">
      <c r="A234" s="5" t="n"/>
      <c r="B234" s="5" t="n"/>
      <c r="C234" s="5" t="n"/>
      <c r="D234" s="5" t="n"/>
      <c r="E234" s="4">
        <f>IF(C234="","",COUNTIF($C$7:C234,C234))</f>
        <v/>
      </c>
      <c r="F234" s="4">
        <f>IF(E234="","",IF(E234&lt;=3,6,IF(E234&lt;=6,5,IF(E234&lt;=9,4,IF(E234&lt;=12,3,IF(E234&lt;=15,2,0))))))</f>
        <v/>
      </c>
      <c r="G234" s="5" t="n"/>
      <c r="H234" s="4">
        <f>IF(OR(F234="",G234=""),"",F234*G234+IF(J234="",0,J234))</f>
        <v/>
      </c>
      <c r="I234" s="5" t="n"/>
      <c r="J234" s="5" t="n"/>
    </row>
    <row r="235">
      <c r="A235" s="5" t="n"/>
      <c r="B235" s="5" t="n"/>
      <c r="C235" s="5" t="n"/>
      <c r="D235" s="5" t="n"/>
      <c r="E235" s="4">
        <f>IF(C235="","",COUNTIF($C$7:C235,C235))</f>
        <v/>
      </c>
      <c r="F235" s="4">
        <f>IF(E235="","",IF(E235&lt;=3,6,IF(E235&lt;=6,5,IF(E235&lt;=9,4,IF(E235&lt;=12,3,IF(E235&lt;=15,2,0))))))</f>
        <v/>
      </c>
      <c r="G235" s="5" t="n"/>
      <c r="H235" s="4">
        <f>IF(OR(F235="",G235=""),"",F235*G235+IF(J235="",0,J235))</f>
        <v/>
      </c>
      <c r="I235" s="5" t="n"/>
      <c r="J235" s="5" t="n"/>
    </row>
    <row r="236">
      <c r="A236" s="5" t="n"/>
      <c r="B236" s="5" t="n"/>
      <c r="C236" s="5" t="n"/>
      <c r="D236" s="5" t="n"/>
      <c r="E236" s="4">
        <f>IF(C236="","",COUNTIF($C$7:C236,C236))</f>
        <v/>
      </c>
      <c r="F236" s="4">
        <f>IF(E236="","",IF(E236&lt;=3,6,IF(E236&lt;=6,5,IF(E236&lt;=9,4,IF(E236&lt;=12,3,IF(E236&lt;=15,2,0))))))</f>
        <v/>
      </c>
      <c r="G236" s="5" t="n"/>
      <c r="H236" s="4">
        <f>IF(OR(F236="",G236=""),"",F236*G236+IF(J236="",0,J236))</f>
        <v/>
      </c>
      <c r="I236" s="5" t="n"/>
      <c r="J236" s="5" t="n"/>
    </row>
    <row r="237">
      <c r="A237" s="5" t="n"/>
      <c r="B237" s="5" t="n"/>
      <c r="C237" s="5" t="n"/>
      <c r="D237" s="5" t="n"/>
      <c r="E237" s="4">
        <f>IF(C237="","",COUNTIF($C$7:C237,C237))</f>
        <v/>
      </c>
      <c r="F237" s="4">
        <f>IF(E237="","",IF(E237&lt;=3,6,IF(E237&lt;=6,5,IF(E237&lt;=9,4,IF(E237&lt;=12,3,IF(E237&lt;=15,2,0))))))</f>
        <v/>
      </c>
      <c r="G237" s="5" t="n"/>
      <c r="H237" s="4">
        <f>IF(OR(F237="",G237=""),"",F237*G237+IF(J237="",0,J237))</f>
        <v/>
      </c>
      <c r="I237" s="5" t="n"/>
      <c r="J237" s="5" t="n"/>
    </row>
    <row r="238">
      <c r="A238" s="5" t="n"/>
      <c r="B238" s="5" t="n"/>
      <c r="C238" s="5" t="n"/>
      <c r="D238" s="5" t="n"/>
      <c r="E238" s="4">
        <f>IF(C238="","",COUNTIF($C$7:C238,C238))</f>
        <v/>
      </c>
      <c r="F238" s="4">
        <f>IF(E238="","",IF(E238&lt;=3,6,IF(E238&lt;=6,5,IF(E238&lt;=9,4,IF(E238&lt;=12,3,IF(E238&lt;=15,2,0))))))</f>
        <v/>
      </c>
      <c r="G238" s="5" t="n"/>
      <c r="H238" s="4">
        <f>IF(OR(F238="",G238=""),"",F238*G238+IF(J238="",0,J238))</f>
        <v/>
      </c>
      <c r="I238" s="5" t="n"/>
      <c r="J238" s="5" t="n"/>
    </row>
    <row r="239">
      <c r="A239" s="5" t="n"/>
      <c r="B239" s="5" t="n"/>
      <c r="C239" s="5" t="n"/>
      <c r="D239" s="5" t="n"/>
      <c r="E239" s="4">
        <f>IF(C239="","",COUNTIF($C$7:C239,C239))</f>
        <v/>
      </c>
      <c r="F239" s="4">
        <f>IF(E239="","",IF(E239&lt;=3,6,IF(E239&lt;=6,5,IF(E239&lt;=9,4,IF(E239&lt;=12,3,IF(E239&lt;=15,2,0))))))</f>
        <v/>
      </c>
      <c r="G239" s="5" t="n"/>
      <c r="H239" s="4">
        <f>IF(OR(F239="",G239=""),"",F239*G239+IF(J239="",0,J239))</f>
        <v/>
      </c>
      <c r="I239" s="5" t="n"/>
      <c r="J239" s="5" t="n"/>
    </row>
    <row r="240">
      <c r="A240" s="5" t="n"/>
      <c r="B240" s="5" t="n"/>
      <c r="C240" s="5" t="n"/>
      <c r="D240" s="5" t="n"/>
      <c r="E240" s="4">
        <f>IF(C240="","",COUNTIF($C$7:C240,C240))</f>
        <v/>
      </c>
      <c r="F240" s="4">
        <f>IF(E240="","",IF(E240&lt;=3,6,IF(E240&lt;=6,5,IF(E240&lt;=9,4,IF(E240&lt;=12,3,IF(E240&lt;=15,2,0))))))</f>
        <v/>
      </c>
      <c r="G240" s="5" t="n"/>
      <c r="H240" s="4">
        <f>IF(OR(F240="",G240=""),"",F240*G240+IF(J240="",0,J240))</f>
        <v/>
      </c>
      <c r="I240" s="5" t="n"/>
      <c r="J240" s="5" t="n"/>
    </row>
    <row r="241">
      <c r="A241" s="5" t="n"/>
      <c r="B241" s="5" t="n"/>
      <c r="C241" s="5" t="n"/>
      <c r="D241" s="5" t="n"/>
      <c r="E241" s="4">
        <f>IF(C241="","",COUNTIF($C$7:C241,C241))</f>
        <v/>
      </c>
      <c r="F241" s="4">
        <f>IF(E241="","",IF(E241&lt;=3,6,IF(E241&lt;=6,5,IF(E241&lt;=9,4,IF(E241&lt;=12,3,IF(E241&lt;=15,2,0))))))</f>
        <v/>
      </c>
      <c r="G241" s="5" t="n"/>
      <c r="H241" s="4">
        <f>IF(OR(F241="",G241=""),"",F241*G241+IF(J241="",0,J241))</f>
        <v/>
      </c>
      <c r="I241" s="5" t="n"/>
      <c r="J241" s="5" t="n"/>
    </row>
    <row r="242">
      <c r="A242" s="5" t="n"/>
      <c r="B242" s="5" t="n"/>
      <c r="C242" s="5" t="n"/>
      <c r="D242" s="5" t="n"/>
      <c r="E242" s="4">
        <f>IF(C242="","",COUNTIF($C$7:C242,C242))</f>
        <v/>
      </c>
      <c r="F242" s="4">
        <f>IF(E242="","",IF(E242&lt;=3,6,IF(E242&lt;=6,5,IF(E242&lt;=9,4,IF(E242&lt;=12,3,IF(E242&lt;=15,2,0))))))</f>
        <v/>
      </c>
      <c r="G242" s="5" t="n"/>
      <c r="H242" s="4">
        <f>IF(OR(F242="",G242=""),"",F242*G242+IF(J242="",0,J242))</f>
        <v/>
      </c>
      <c r="I242" s="5" t="n"/>
      <c r="J242" s="5" t="n"/>
    </row>
    <row r="243">
      <c r="A243" s="5" t="n"/>
      <c r="B243" s="5" t="n"/>
      <c r="C243" s="5" t="n"/>
      <c r="D243" s="5" t="n"/>
      <c r="E243" s="4">
        <f>IF(C243="","",COUNTIF($C$7:C243,C243))</f>
        <v/>
      </c>
      <c r="F243" s="4">
        <f>IF(E243="","",IF(E243&lt;=3,6,IF(E243&lt;=6,5,IF(E243&lt;=9,4,IF(E243&lt;=12,3,IF(E243&lt;=15,2,0))))))</f>
        <v/>
      </c>
      <c r="G243" s="5" t="n"/>
      <c r="H243" s="4">
        <f>IF(OR(F243="",G243=""),"",F243*G243+IF(J243="",0,J243))</f>
        <v/>
      </c>
      <c r="I243" s="5" t="n"/>
      <c r="J243" s="5" t="n"/>
    </row>
    <row r="244">
      <c r="A244" s="5" t="n"/>
      <c r="B244" s="5" t="n"/>
      <c r="C244" s="5" t="n"/>
      <c r="D244" s="5" t="n"/>
      <c r="E244" s="4">
        <f>IF(C244="","",COUNTIF($C$7:C244,C244))</f>
        <v/>
      </c>
      <c r="F244" s="4">
        <f>IF(E244="","",IF(E244&lt;=3,6,IF(E244&lt;=6,5,IF(E244&lt;=9,4,IF(E244&lt;=12,3,IF(E244&lt;=15,2,0))))))</f>
        <v/>
      </c>
      <c r="G244" s="5" t="n"/>
      <c r="H244" s="4">
        <f>IF(OR(F244="",G244=""),"",F244*G244+IF(J244="",0,J244))</f>
        <v/>
      </c>
      <c r="I244" s="5" t="n"/>
      <c r="J244" s="5" t="n"/>
    </row>
    <row r="245">
      <c r="A245" s="5" t="n"/>
      <c r="B245" s="5" t="n"/>
      <c r="C245" s="5" t="n"/>
      <c r="D245" s="5" t="n"/>
      <c r="E245" s="4">
        <f>IF(C245="","",COUNTIF($C$7:C245,C245))</f>
        <v/>
      </c>
      <c r="F245" s="4">
        <f>IF(E245="","",IF(E245&lt;=3,6,IF(E245&lt;=6,5,IF(E245&lt;=9,4,IF(E245&lt;=12,3,IF(E245&lt;=15,2,0))))))</f>
        <v/>
      </c>
      <c r="G245" s="5" t="n"/>
      <c r="H245" s="4">
        <f>IF(OR(F245="",G245=""),"",F245*G245+IF(J245="",0,J245))</f>
        <v/>
      </c>
      <c r="I245" s="5" t="n"/>
      <c r="J245" s="5" t="n"/>
    </row>
    <row r="246">
      <c r="A246" s="5" t="n"/>
      <c r="B246" s="5" t="n"/>
      <c r="C246" s="5" t="n"/>
      <c r="D246" s="5" t="n"/>
      <c r="E246" s="4">
        <f>IF(C246="","",COUNTIF($C$7:C246,C246))</f>
        <v/>
      </c>
      <c r="F246" s="4">
        <f>IF(E246="","",IF(E246&lt;=3,6,IF(E246&lt;=6,5,IF(E246&lt;=9,4,IF(E246&lt;=12,3,IF(E246&lt;=15,2,0))))))</f>
        <v/>
      </c>
      <c r="G246" s="5" t="n"/>
      <c r="H246" s="4">
        <f>IF(OR(F246="",G246=""),"",F246*G246+IF(J246="",0,J246))</f>
        <v/>
      </c>
      <c r="I246" s="5" t="n"/>
      <c r="J246" s="5" t="n"/>
    </row>
    <row r="247">
      <c r="A247" s="5" t="n"/>
      <c r="B247" s="5" t="n"/>
      <c r="C247" s="5" t="n"/>
      <c r="D247" s="5" t="n"/>
      <c r="E247" s="4">
        <f>IF(C247="","",COUNTIF($C$7:C247,C247))</f>
        <v/>
      </c>
      <c r="F247" s="4">
        <f>IF(E247="","",IF(E247&lt;=3,6,IF(E247&lt;=6,5,IF(E247&lt;=9,4,IF(E247&lt;=12,3,IF(E247&lt;=15,2,0))))))</f>
        <v/>
      </c>
      <c r="G247" s="5" t="n"/>
      <c r="H247" s="4">
        <f>IF(OR(F247="",G247=""),"",F247*G247+IF(J247="",0,J247))</f>
        <v/>
      </c>
      <c r="I247" s="5" t="n"/>
      <c r="J247" s="5" t="n"/>
    </row>
    <row r="248">
      <c r="A248" s="5" t="n"/>
      <c r="B248" s="5" t="n"/>
      <c r="C248" s="5" t="n"/>
      <c r="D248" s="5" t="n"/>
      <c r="E248" s="4">
        <f>IF(C248="","",COUNTIF($C$7:C248,C248))</f>
        <v/>
      </c>
      <c r="F248" s="4">
        <f>IF(E248="","",IF(E248&lt;=3,6,IF(E248&lt;=6,5,IF(E248&lt;=9,4,IF(E248&lt;=12,3,IF(E248&lt;=15,2,0))))))</f>
        <v/>
      </c>
      <c r="G248" s="5" t="n"/>
      <c r="H248" s="4">
        <f>IF(OR(F248="",G248=""),"",F248*G248+IF(J248="",0,J248))</f>
        <v/>
      </c>
      <c r="I248" s="5" t="n"/>
      <c r="J248" s="5" t="n"/>
    </row>
    <row r="249">
      <c r="A249" s="5" t="n"/>
      <c r="B249" s="5" t="n"/>
      <c r="C249" s="5" t="n"/>
      <c r="D249" s="5" t="n"/>
      <c r="E249" s="4">
        <f>IF(C249="","",COUNTIF($C$7:C249,C249))</f>
        <v/>
      </c>
      <c r="F249" s="4">
        <f>IF(E249="","",IF(E249&lt;=3,6,IF(E249&lt;=6,5,IF(E249&lt;=9,4,IF(E249&lt;=12,3,IF(E249&lt;=15,2,0))))))</f>
        <v/>
      </c>
      <c r="G249" s="5" t="n"/>
      <c r="H249" s="4">
        <f>IF(OR(F249="",G249=""),"",F249*G249+IF(J249="",0,J249))</f>
        <v/>
      </c>
      <c r="I249" s="5" t="n"/>
      <c r="J249" s="5" t="n"/>
    </row>
    <row r="250">
      <c r="A250" s="5" t="n"/>
      <c r="B250" s="5" t="n"/>
      <c r="C250" s="5" t="n"/>
      <c r="D250" s="5" t="n"/>
      <c r="E250" s="4">
        <f>IF(C250="","",COUNTIF($C$7:C250,C250))</f>
        <v/>
      </c>
      <c r="F250" s="4">
        <f>IF(E250="","",IF(E250&lt;=3,6,IF(E250&lt;=6,5,IF(E250&lt;=9,4,IF(E250&lt;=12,3,IF(E250&lt;=15,2,0))))))</f>
        <v/>
      </c>
      <c r="G250" s="5" t="n"/>
      <c r="H250" s="4">
        <f>IF(OR(F250="",G250=""),"",F250*G250+IF(J250="",0,J250))</f>
        <v/>
      </c>
      <c r="I250" s="5" t="n"/>
      <c r="J250" s="5" t="n"/>
    </row>
    <row r="251">
      <c r="A251" s="5" t="n"/>
      <c r="B251" s="5" t="n"/>
      <c r="C251" s="5" t="n"/>
      <c r="D251" s="5" t="n"/>
      <c r="E251" s="4">
        <f>IF(C251="","",COUNTIF($C$7:C251,C251))</f>
        <v/>
      </c>
      <c r="F251" s="4">
        <f>IF(E251="","",IF(E251&lt;=3,6,IF(E251&lt;=6,5,IF(E251&lt;=9,4,IF(E251&lt;=12,3,IF(E251&lt;=15,2,0))))))</f>
        <v/>
      </c>
      <c r="G251" s="5" t="n"/>
      <c r="H251" s="4">
        <f>IF(OR(F251="",G251=""),"",F251*G251+IF(J251="",0,J251))</f>
        <v/>
      </c>
      <c r="I251" s="5" t="n"/>
      <c r="J251" s="5" t="n"/>
    </row>
    <row r="252">
      <c r="A252" s="5" t="n"/>
      <c r="B252" s="5" t="n"/>
      <c r="C252" s="5" t="n"/>
      <c r="D252" s="5" t="n"/>
      <c r="E252" s="4">
        <f>IF(C252="","",COUNTIF($C$7:C252,C252))</f>
        <v/>
      </c>
      <c r="F252" s="4">
        <f>IF(E252="","",IF(E252&lt;=3,6,IF(E252&lt;=6,5,IF(E252&lt;=9,4,IF(E252&lt;=12,3,IF(E252&lt;=15,2,0))))))</f>
        <v/>
      </c>
      <c r="G252" s="5" t="n"/>
      <c r="H252" s="4">
        <f>IF(OR(F252="",G252=""),"",F252*G252+IF(J252="",0,J252))</f>
        <v/>
      </c>
      <c r="I252" s="5" t="n"/>
      <c r="J252" s="5" t="n"/>
    </row>
    <row r="253">
      <c r="A253" s="5" t="n"/>
      <c r="B253" s="5" t="n"/>
      <c r="C253" s="5" t="n"/>
      <c r="D253" s="5" t="n"/>
      <c r="E253" s="4">
        <f>IF(C253="","",COUNTIF($C$7:C253,C253))</f>
        <v/>
      </c>
      <c r="F253" s="4">
        <f>IF(E253="","",IF(E253&lt;=3,6,IF(E253&lt;=6,5,IF(E253&lt;=9,4,IF(E253&lt;=12,3,IF(E253&lt;=15,2,0))))))</f>
        <v/>
      </c>
      <c r="G253" s="5" t="n"/>
      <c r="H253" s="4">
        <f>IF(OR(F253="",G253=""),"",F253*G253+IF(J253="",0,J253))</f>
        <v/>
      </c>
      <c r="I253" s="5" t="n"/>
      <c r="J253" s="5" t="n"/>
    </row>
    <row r="254">
      <c r="A254" s="5" t="n"/>
      <c r="B254" s="5" t="n"/>
      <c r="C254" s="5" t="n"/>
      <c r="D254" s="5" t="n"/>
      <c r="E254" s="4">
        <f>IF(C254="","",COUNTIF($C$7:C254,C254))</f>
        <v/>
      </c>
      <c r="F254" s="4">
        <f>IF(E254="","",IF(E254&lt;=3,6,IF(E254&lt;=6,5,IF(E254&lt;=9,4,IF(E254&lt;=12,3,IF(E254&lt;=15,2,0))))))</f>
        <v/>
      </c>
      <c r="G254" s="5" t="n"/>
      <c r="H254" s="4">
        <f>IF(OR(F254="",G254=""),"",F254*G254+IF(J254="",0,J254))</f>
        <v/>
      </c>
      <c r="I254" s="5" t="n"/>
      <c r="J254" s="5" t="n"/>
    </row>
    <row r="255">
      <c r="A255" s="5" t="n"/>
      <c r="B255" s="5" t="n"/>
      <c r="C255" s="5" t="n"/>
      <c r="D255" s="5" t="n"/>
      <c r="E255" s="4">
        <f>IF(C255="","",COUNTIF($C$7:C255,C255))</f>
        <v/>
      </c>
      <c r="F255" s="4">
        <f>IF(E255="","",IF(E255&lt;=3,6,IF(E255&lt;=6,5,IF(E255&lt;=9,4,IF(E255&lt;=12,3,IF(E255&lt;=15,2,0))))))</f>
        <v/>
      </c>
      <c r="G255" s="5" t="n"/>
      <c r="H255" s="4">
        <f>IF(OR(F255="",G255=""),"",F255*G255+IF(J255="",0,J255))</f>
        <v/>
      </c>
      <c r="I255" s="5" t="n"/>
      <c r="J255" s="5" t="n"/>
    </row>
    <row r="256">
      <c r="A256" s="5" t="n"/>
      <c r="B256" s="5" t="n"/>
      <c r="C256" s="5" t="n"/>
      <c r="D256" s="5" t="n"/>
      <c r="E256" s="4">
        <f>IF(C256="","",COUNTIF($C$7:C256,C256))</f>
        <v/>
      </c>
      <c r="F256" s="4">
        <f>IF(E256="","",IF(E256&lt;=3,6,IF(E256&lt;=6,5,IF(E256&lt;=9,4,IF(E256&lt;=12,3,IF(E256&lt;=15,2,0))))))</f>
        <v/>
      </c>
      <c r="G256" s="5" t="n"/>
      <c r="H256" s="4">
        <f>IF(OR(F256="",G256=""),"",F256*G256+IF(J256="",0,J256))</f>
        <v/>
      </c>
      <c r="I256" s="5" t="n"/>
      <c r="J256" s="5" t="n"/>
    </row>
    <row r="257">
      <c r="A257" s="5" t="n"/>
      <c r="B257" s="5" t="n"/>
      <c r="C257" s="5" t="n"/>
      <c r="D257" s="5" t="n"/>
      <c r="E257" s="4">
        <f>IF(C257="","",COUNTIF($C$7:C257,C257))</f>
        <v/>
      </c>
      <c r="F257" s="4">
        <f>IF(E257="","",IF(E257&lt;=3,6,IF(E257&lt;=6,5,IF(E257&lt;=9,4,IF(E257&lt;=12,3,IF(E257&lt;=15,2,0))))))</f>
        <v/>
      </c>
      <c r="G257" s="5" t="n"/>
      <c r="H257" s="4">
        <f>IF(OR(F257="",G257=""),"",F257*G257+IF(J257="",0,J257))</f>
        <v/>
      </c>
      <c r="I257" s="5" t="n"/>
      <c r="J257" s="5" t="n"/>
    </row>
    <row r="258">
      <c r="A258" s="5" t="n"/>
      <c r="B258" s="5" t="n"/>
      <c r="C258" s="5" t="n"/>
      <c r="D258" s="5" t="n"/>
      <c r="E258" s="4">
        <f>IF(C258="","",COUNTIF($C$7:C258,C258))</f>
        <v/>
      </c>
      <c r="F258" s="4">
        <f>IF(E258="","",IF(E258&lt;=3,6,IF(E258&lt;=6,5,IF(E258&lt;=9,4,IF(E258&lt;=12,3,IF(E258&lt;=15,2,0))))))</f>
        <v/>
      </c>
      <c r="G258" s="5" t="n"/>
      <c r="H258" s="4">
        <f>IF(OR(F258="",G258=""),"",F258*G258+IF(J258="",0,J258))</f>
        <v/>
      </c>
      <c r="I258" s="5" t="n"/>
      <c r="J258" s="5" t="n"/>
    </row>
    <row r="259">
      <c r="A259" s="5" t="n"/>
      <c r="B259" s="5" t="n"/>
      <c r="C259" s="5" t="n"/>
      <c r="D259" s="5" t="n"/>
      <c r="E259" s="4">
        <f>IF(C259="","",COUNTIF($C$7:C259,C259))</f>
        <v/>
      </c>
      <c r="F259" s="4">
        <f>IF(E259="","",IF(E259&lt;=3,6,IF(E259&lt;=6,5,IF(E259&lt;=9,4,IF(E259&lt;=12,3,IF(E259&lt;=15,2,0))))))</f>
        <v/>
      </c>
      <c r="G259" s="5" t="n"/>
      <c r="H259" s="4">
        <f>IF(OR(F259="",G259=""),"",F259*G259+IF(J259="",0,J259))</f>
        <v/>
      </c>
      <c r="I259" s="5" t="n"/>
      <c r="J259" s="5" t="n"/>
    </row>
    <row r="260">
      <c r="A260" s="5" t="n"/>
      <c r="B260" s="5" t="n"/>
      <c r="C260" s="5" t="n"/>
      <c r="D260" s="5" t="n"/>
      <c r="E260" s="4">
        <f>IF(C260="","",COUNTIF($C$7:C260,C260))</f>
        <v/>
      </c>
      <c r="F260" s="4">
        <f>IF(E260="","",IF(E260&lt;=3,6,IF(E260&lt;=6,5,IF(E260&lt;=9,4,IF(E260&lt;=12,3,IF(E260&lt;=15,2,0))))))</f>
        <v/>
      </c>
      <c r="G260" s="5" t="n"/>
      <c r="H260" s="4">
        <f>IF(OR(F260="",G260=""),"",F260*G260+IF(J260="",0,J260))</f>
        <v/>
      </c>
      <c r="I260" s="5" t="n"/>
      <c r="J260" s="5" t="n"/>
    </row>
    <row r="261">
      <c r="A261" s="5" t="n"/>
      <c r="B261" s="5" t="n"/>
      <c r="C261" s="5" t="n"/>
      <c r="D261" s="5" t="n"/>
      <c r="E261" s="4">
        <f>IF(C261="","",COUNTIF($C$7:C261,C261))</f>
        <v/>
      </c>
      <c r="F261" s="4">
        <f>IF(E261="","",IF(E261&lt;=3,6,IF(E261&lt;=6,5,IF(E261&lt;=9,4,IF(E261&lt;=12,3,IF(E261&lt;=15,2,0))))))</f>
        <v/>
      </c>
      <c r="G261" s="5" t="n"/>
      <c r="H261" s="4">
        <f>IF(OR(F261="",G261=""),"",F261*G261+IF(J261="",0,J261))</f>
        <v/>
      </c>
      <c r="I261" s="5" t="n"/>
      <c r="J261" s="5" t="n"/>
    </row>
    <row r="262">
      <c r="A262" s="5" t="n"/>
      <c r="B262" s="5" t="n"/>
      <c r="C262" s="5" t="n"/>
      <c r="D262" s="5" t="n"/>
      <c r="E262" s="4">
        <f>IF(C262="","",COUNTIF($C$7:C262,C262))</f>
        <v/>
      </c>
      <c r="F262" s="4">
        <f>IF(E262="","",IF(E262&lt;=3,6,IF(E262&lt;=6,5,IF(E262&lt;=9,4,IF(E262&lt;=12,3,IF(E262&lt;=15,2,0))))))</f>
        <v/>
      </c>
      <c r="G262" s="5" t="n"/>
      <c r="H262" s="4">
        <f>IF(OR(F262="",G262=""),"",F262*G262+IF(J262="",0,J262))</f>
        <v/>
      </c>
      <c r="I262" s="5" t="n"/>
      <c r="J262" s="5" t="n"/>
    </row>
    <row r="263">
      <c r="A263" s="5" t="n"/>
      <c r="B263" s="5" t="n"/>
      <c r="C263" s="5" t="n"/>
      <c r="D263" s="5" t="n"/>
      <c r="E263" s="4">
        <f>IF(C263="","",COUNTIF($C$7:C263,C263))</f>
        <v/>
      </c>
      <c r="F263" s="4">
        <f>IF(E263="","",IF(E263&lt;=3,6,IF(E263&lt;=6,5,IF(E263&lt;=9,4,IF(E263&lt;=12,3,IF(E263&lt;=15,2,0))))))</f>
        <v/>
      </c>
      <c r="G263" s="5" t="n"/>
      <c r="H263" s="4">
        <f>IF(OR(F263="",G263=""),"",F263*G263+IF(J263="",0,J263))</f>
        <v/>
      </c>
      <c r="I263" s="5" t="n"/>
      <c r="J263" s="5" t="n"/>
    </row>
    <row r="264">
      <c r="A264" s="5" t="n"/>
      <c r="B264" s="5" t="n"/>
      <c r="C264" s="5" t="n"/>
      <c r="D264" s="5" t="n"/>
      <c r="E264" s="4">
        <f>IF(C264="","",COUNTIF($C$7:C264,C264))</f>
        <v/>
      </c>
      <c r="F264" s="4">
        <f>IF(E264="","",IF(E264&lt;=3,6,IF(E264&lt;=6,5,IF(E264&lt;=9,4,IF(E264&lt;=12,3,IF(E264&lt;=15,2,0))))))</f>
        <v/>
      </c>
      <c r="G264" s="5" t="n"/>
      <c r="H264" s="4">
        <f>IF(OR(F264="",G264=""),"",F264*G264+IF(J264="",0,J264))</f>
        <v/>
      </c>
      <c r="I264" s="5" t="n"/>
      <c r="J264" s="5" t="n"/>
    </row>
    <row r="265">
      <c r="A265" s="5" t="n"/>
      <c r="B265" s="5" t="n"/>
      <c r="C265" s="5" t="n"/>
      <c r="D265" s="5" t="n"/>
      <c r="E265" s="4">
        <f>IF(C265="","",COUNTIF($C$7:C265,C265))</f>
        <v/>
      </c>
      <c r="F265" s="4">
        <f>IF(E265="","",IF(E265&lt;=3,6,IF(E265&lt;=6,5,IF(E265&lt;=9,4,IF(E265&lt;=12,3,IF(E265&lt;=15,2,0))))))</f>
        <v/>
      </c>
      <c r="G265" s="5" t="n"/>
      <c r="H265" s="4">
        <f>IF(OR(F265="",G265=""),"",F265*G265+IF(J265="",0,J265))</f>
        <v/>
      </c>
      <c r="I265" s="5" t="n"/>
      <c r="J265" s="5" t="n"/>
    </row>
    <row r="266">
      <c r="A266" s="5" t="n"/>
      <c r="B266" s="5" t="n"/>
      <c r="C266" s="5" t="n"/>
      <c r="D266" s="5" t="n"/>
      <c r="E266" s="4">
        <f>IF(C266="","",COUNTIF($C$7:C266,C266))</f>
        <v/>
      </c>
      <c r="F266" s="4">
        <f>IF(E266="","",IF(E266&lt;=3,6,IF(E266&lt;=6,5,IF(E266&lt;=9,4,IF(E266&lt;=12,3,IF(E266&lt;=15,2,0))))))</f>
        <v/>
      </c>
      <c r="G266" s="5" t="n"/>
      <c r="H266" s="4">
        <f>IF(OR(F266="",G266=""),"",F266*G266+IF(J266="",0,J266))</f>
        <v/>
      </c>
      <c r="I266" s="5" t="n"/>
      <c r="J266" s="5" t="n"/>
    </row>
    <row r="267">
      <c r="A267" s="5" t="n"/>
      <c r="B267" s="5" t="n"/>
      <c r="C267" s="5" t="n"/>
      <c r="D267" s="5" t="n"/>
      <c r="E267" s="4">
        <f>IF(C267="","",COUNTIF($C$7:C267,C267))</f>
        <v/>
      </c>
      <c r="F267" s="4">
        <f>IF(E267="","",IF(E267&lt;=3,6,IF(E267&lt;=6,5,IF(E267&lt;=9,4,IF(E267&lt;=12,3,IF(E267&lt;=15,2,0))))))</f>
        <v/>
      </c>
      <c r="G267" s="5" t="n"/>
      <c r="H267" s="4">
        <f>IF(OR(F267="",G267=""),"",F267*G267+IF(J267="",0,J267))</f>
        <v/>
      </c>
      <c r="I267" s="5" t="n"/>
      <c r="J267" s="5" t="n"/>
    </row>
    <row r="268">
      <c r="A268" s="5" t="n"/>
      <c r="B268" s="5" t="n"/>
      <c r="C268" s="5" t="n"/>
      <c r="D268" s="5" t="n"/>
      <c r="E268" s="4">
        <f>IF(C268="","",COUNTIF($C$7:C268,C268))</f>
        <v/>
      </c>
      <c r="F268" s="4">
        <f>IF(E268="","",IF(E268&lt;=3,6,IF(E268&lt;=6,5,IF(E268&lt;=9,4,IF(E268&lt;=12,3,IF(E268&lt;=15,2,0))))))</f>
        <v/>
      </c>
      <c r="G268" s="5" t="n"/>
      <c r="H268" s="4">
        <f>IF(OR(F268="",G268=""),"",F268*G268+IF(J268="",0,J268))</f>
        <v/>
      </c>
      <c r="I268" s="5" t="n"/>
      <c r="J268" s="5" t="n"/>
    </row>
    <row r="269">
      <c r="A269" s="5" t="n"/>
      <c r="B269" s="5" t="n"/>
      <c r="C269" s="5" t="n"/>
      <c r="D269" s="5" t="n"/>
      <c r="E269" s="4">
        <f>IF(C269="","",COUNTIF($C$7:C269,C269))</f>
        <v/>
      </c>
      <c r="F269" s="4">
        <f>IF(E269="","",IF(E269&lt;=3,6,IF(E269&lt;=6,5,IF(E269&lt;=9,4,IF(E269&lt;=12,3,IF(E269&lt;=15,2,0))))))</f>
        <v/>
      </c>
      <c r="G269" s="5" t="n"/>
      <c r="H269" s="4">
        <f>IF(OR(F269="",G269=""),"",F269*G269+IF(J269="",0,J269))</f>
        <v/>
      </c>
      <c r="I269" s="5" t="n"/>
      <c r="J269" s="5" t="n"/>
    </row>
    <row r="270">
      <c r="A270" s="5" t="n"/>
      <c r="B270" s="5" t="n"/>
      <c r="C270" s="5" t="n"/>
      <c r="D270" s="5" t="n"/>
      <c r="E270" s="4">
        <f>IF(C270="","",COUNTIF($C$7:C270,C270))</f>
        <v/>
      </c>
      <c r="F270" s="4">
        <f>IF(E270="","",IF(E270&lt;=3,6,IF(E270&lt;=6,5,IF(E270&lt;=9,4,IF(E270&lt;=12,3,IF(E270&lt;=15,2,0))))))</f>
        <v/>
      </c>
      <c r="G270" s="5" t="n"/>
      <c r="H270" s="4">
        <f>IF(OR(F270="",G270=""),"",F270*G270+IF(J270="",0,J270))</f>
        <v/>
      </c>
      <c r="I270" s="5" t="n"/>
      <c r="J270" s="5" t="n"/>
    </row>
    <row r="271">
      <c r="A271" s="5" t="n"/>
      <c r="B271" s="5" t="n"/>
      <c r="C271" s="5" t="n"/>
      <c r="D271" s="5" t="n"/>
      <c r="E271" s="4">
        <f>IF(C271="","",COUNTIF($C$7:C271,C271))</f>
        <v/>
      </c>
      <c r="F271" s="4">
        <f>IF(E271="","",IF(E271&lt;=3,6,IF(E271&lt;=6,5,IF(E271&lt;=9,4,IF(E271&lt;=12,3,IF(E271&lt;=15,2,0))))))</f>
        <v/>
      </c>
      <c r="G271" s="5" t="n"/>
      <c r="H271" s="4">
        <f>IF(OR(F271="",G271=""),"",F271*G271+IF(J271="",0,J271))</f>
        <v/>
      </c>
      <c r="I271" s="5" t="n"/>
      <c r="J271" s="5" t="n"/>
    </row>
    <row r="272">
      <c r="A272" s="5" t="n"/>
      <c r="B272" s="5" t="n"/>
      <c r="C272" s="5" t="n"/>
      <c r="D272" s="5" t="n"/>
      <c r="E272" s="4">
        <f>IF(C272="","",COUNTIF($C$7:C272,C272))</f>
        <v/>
      </c>
      <c r="F272" s="4">
        <f>IF(E272="","",IF(E272&lt;=3,6,IF(E272&lt;=6,5,IF(E272&lt;=9,4,IF(E272&lt;=12,3,IF(E272&lt;=15,2,0))))))</f>
        <v/>
      </c>
      <c r="G272" s="5" t="n"/>
      <c r="H272" s="4">
        <f>IF(OR(F272="",G272=""),"",F272*G272+IF(J272="",0,J272))</f>
        <v/>
      </c>
      <c r="I272" s="5" t="n"/>
      <c r="J272" s="5" t="n"/>
    </row>
    <row r="273">
      <c r="A273" s="5" t="n"/>
      <c r="B273" s="5" t="n"/>
      <c r="C273" s="5" t="n"/>
      <c r="D273" s="5" t="n"/>
      <c r="E273" s="4">
        <f>IF(C273="","",COUNTIF($C$7:C273,C273))</f>
        <v/>
      </c>
      <c r="F273" s="4">
        <f>IF(E273="","",IF(E273&lt;=3,6,IF(E273&lt;=6,5,IF(E273&lt;=9,4,IF(E273&lt;=12,3,IF(E273&lt;=15,2,0))))))</f>
        <v/>
      </c>
      <c r="G273" s="5" t="n"/>
      <c r="H273" s="4">
        <f>IF(OR(F273="",G273=""),"",F273*G273+IF(J273="",0,J273))</f>
        <v/>
      </c>
      <c r="I273" s="5" t="n"/>
      <c r="J273" s="5" t="n"/>
    </row>
    <row r="274">
      <c r="A274" s="5" t="n"/>
      <c r="B274" s="5" t="n"/>
      <c r="C274" s="5" t="n"/>
      <c r="D274" s="5" t="n"/>
      <c r="E274" s="4">
        <f>IF(C274="","",COUNTIF($C$7:C274,C274))</f>
        <v/>
      </c>
      <c r="F274" s="4">
        <f>IF(E274="","",IF(E274&lt;=3,6,IF(E274&lt;=6,5,IF(E274&lt;=9,4,IF(E274&lt;=12,3,IF(E274&lt;=15,2,0))))))</f>
        <v/>
      </c>
      <c r="G274" s="5" t="n"/>
      <c r="H274" s="4">
        <f>IF(OR(F274="",G274=""),"",F274*G274+IF(J274="",0,J274))</f>
        <v/>
      </c>
      <c r="I274" s="5" t="n"/>
      <c r="J274" s="5" t="n"/>
    </row>
    <row r="275">
      <c r="A275" s="5" t="n"/>
      <c r="B275" s="5" t="n"/>
      <c r="C275" s="5" t="n"/>
      <c r="D275" s="5" t="n"/>
      <c r="E275" s="4">
        <f>IF(C275="","",COUNTIF($C$7:C275,C275))</f>
        <v/>
      </c>
      <c r="F275" s="4">
        <f>IF(E275="","",IF(E275&lt;=3,6,IF(E275&lt;=6,5,IF(E275&lt;=9,4,IF(E275&lt;=12,3,IF(E275&lt;=15,2,0))))))</f>
        <v/>
      </c>
      <c r="G275" s="5" t="n"/>
      <c r="H275" s="4">
        <f>IF(OR(F275="",G275=""),"",F275*G275+IF(J275="",0,J275))</f>
        <v/>
      </c>
      <c r="I275" s="5" t="n"/>
      <c r="J275" s="5" t="n"/>
    </row>
    <row r="276">
      <c r="A276" s="5" t="n"/>
      <c r="B276" s="5" t="n"/>
      <c r="C276" s="5" t="n"/>
      <c r="D276" s="5" t="n"/>
      <c r="E276" s="4">
        <f>IF(C276="","",COUNTIF($C$7:C276,C276))</f>
        <v/>
      </c>
      <c r="F276" s="4">
        <f>IF(E276="","",IF(E276&lt;=3,6,IF(E276&lt;=6,5,IF(E276&lt;=9,4,IF(E276&lt;=12,3,IF(E276&lt;=15,2,0))))))</f>
        <v/>
      </c>
      <c r="G276" s="5" t="n"/>
      <c r="H276" s="4">
        <f>IF(OR(F276="",G276=""),"",F276*G276+IF(J276="",0,J276))</f>
        <v/>
      </c>
      <c r="I276" s="5" t="n"/>
      <c r="J276" s="5" t="n"/>
    </row>
    <row r="277">
      <c r="A277" s="5" t="n"/>
      <c r="B277" s="5" t="n"/>
      <c r="C277" s="5" t="n"/>
      <c r="D277" s="5" t="n"/>
      <c r="E277" s="4">
        <f>IF(C277="","",COUNTIF($C$7:C277,C277))</f>
        <v/>
      </c>
      <c r="F277" s="4">
        <f>IF(E277="","",IF(E277&lt;=3,6,IF(E277&lt;=6,5,IF(E277&lt;=9,4,IF(E277&lt;=12,3,IF(E277&lt;=15,2,0))))))</f>
        <v/>
      </c>
      <c r="G277" s="5" t="n"/>
      <c r="H277" s="4">
        <f>IF(OR(F277="",G277=""),"",F277*G277+IF(J277="",0,J277))</f>
        <v/>
      </c>
      <c r="I277" s="5" t="n"/>
      <c r="J277" s="5" t="n"/>
    </row>
    <row r="278">
      <c r="A278" s="5" t="n"/>
      <c r="B278" s="5" t="n"/>
      <c r="C278" s="5" t="n"/>
      <c r="D278" s="5" t="n"/>
      <c r="E278" s="4">
        <f>IF(C278="","",COUNTIF($C$7:C278,C278))</f>
        <v/>
      </c>
      <c r="F278" s="4">
        <f>IF(E278="","",IF(E278&lt;=3,6,IF(E278&lt;=6,5,IF(E278&lt;=9,4,IF(E278&lt;=12,3,IF(E278&lt;=15,2,0))))))</f>
        <v/>
      </c>
      <c r="G278" s="5" t="n"/>
      <c r="H278" s="4">
        <f>IF(OR(F278="",G278=""),"",F278*G278+IF(J278="",0,J278))</f>
        <v/>
      </c>
      <c r="I278" s="5" t="n"/>
      <c r="J278" s="5" t="n"/>
    </row>
    <row r="279">
      <c r="A279" s="5" t="n"/>
      <c r="B279" s="5" t="n"/>
      <c r="C279" s="5" t="n"/>
      <c r="D279" s="5" t="n"/>
      <c r="E279" s="4">
        <f>IF(C279="","",COUNTIF($C$7:C279,C279))</f>
        <v/>
      </c>
      <c r="F279" s="4">
        <f>IF(E279="","",IF(E279&lt;=3,6,IF(E279&lt;=6,5,IF(E279&lt;=9,4,IF(E279&lt;=12,3,IF(E279&lt;=15,2,0))))))</f>
        <v/>
      </c>
      <c r="G279" s="5" t="n"/>
      <c r="H279" s="4">
        <f>IF(OR(F279="",G279=""),"",F279*G279+IF(J279="",0,J279))</f>
        <v/>
      </c>
      <c r="I279" s="5" t="n"/>
      <c r="J279" s="5" t="n"/>
    </row>
    <row r="280">
      <c r="A280" s="5" t="n"/>
      <c r="B280" s="5" t="n"/>
      <c r="C280" s="5" t="n"/>
      <c r="D280" s="5" t="n"/>
      <c r="E280" s="4">
        <f>IF(C280="","",COUNTIF($C$7:C280,C280))</f>
        <v/>
      </c>
      <c r="F280" s="4">
        <f>IF(E280="","",IF(E280&lt;=3,6,IF(E280&lt;=6,5,IF(E280&lt;=9,4,IF(E280&lt;=12,3,IF(E280&lt;=15,2,0))))))</f>
        <v/>
      </c>
      <c r="G280" s="5" t="n"/>
      <c r="H280" s="4">
        <f>IF(OR(F280="",G280=""),"",F280*G280+IF(J280="",0,J280))</f>
        <v/>
      </c>
      <c r="I280" s="5" t="n"/>
      <c r="J280" s="5" t="n"/>
    </row>
    <row r="281">
      <c r="A281" s="5" t="n"/>
      <c r="B281" s="5" t="n"/>
      <c r="C281" s="5" t="n"/>
      <c r="D281" s="5" t="n"/>
      <c r="E281" s="4">
        <f>IF(C281="","",COUNTIF($C$7:C281,C281))</f>
        <v/>
      </c>
      <c r="F281" s="4">
        <f>IF(E281="","",IF(E281&lt;=3,6,IF(E281&lt;=6,5,IF(E281&lt;=9,4,IF(E281&lt;=12,3,IF(E281&lt;=15,2,0))))))</f>
        <v/>
      </c>
      <c r="G281" s="5" t="n"/>
      <c r="H281" s="4">
        <f>IF(OR(F281="",G281=""),"",F281*G281+IF(J281="",0,J281))</f>
        <v/>
      </c>
      <c r="I281" s="5" t="n"/>
      <c r="J281" s="5" t="n"/>
    </row>
    <row r="282">
      <c r="A282" s="5" t="n"/>
      <c r="B282" s="5" t="n"/>
      <c r="C282" s="5" t="n"/>
      <c r="D282" s="5" t="n"/>
      <c r="E282" s="4">
        <f>IF(C282="","",COUNTIF($C$7:C282,C282))</f>
        <v/>
      </c>
      <c r="F282" s="4">
        <f>IF(E282="","",IF(E282&lt;=3,6,IF(E282&lt;=6,5,IF(E282&lt;=9,4,IF(E282&lt;=12,3,IF(E282&lt;=15,2,0))))))</f>
        <v/>
      </c>
      <c r="G282" s="5" t="n"/>
      <c r="H282" s="4">
        <f>IF(OR(F282="",G282=""),"",F282*G282+IF(J282="",0,J282))</f>
        <v/>
      </c>
      <c r="I282" s="5" t="n"/>
      <c r="J282" s="5" t="n"/>
    </row>
    <row r="283">
      <c r="A283" s="5" t="n"/>
      <c r="B283" s="5" t="n"/>
      <c r="C283" s="5" t="n"/>
      <c r="D283" s="5" t="n"/>
      <c r="E283" s="4">
        <f>IF(C283="","",COUNTIF($C$7:C283,C283))</f>
        <v/>
      </c>
      <c r="F283" s="4">
        <f>IF(E283="","",IF(E283&lt;=3,6,IF(E283&lt;=6,5,IF(E283&lt;=9,4,IF(E283&lt;=12,3,IF(E283&lt;=15,2,0))))))</f>
        <v/>
      </c>
      <c r="G283" s="5" t="n"/>
      <c r="H283" s="4">
        <f>IF(OR(F283="",G283=""),"",F283*G283+IF(J283="",0,J283))</f>
        <v/>
      </c>
      <c r="I283" s="5" t="n"/>
      <c r="J283" s="5" t="n"/>
    </row>
    <row r="284">
      <c r="A284" s="5" t="n"/>
      <c r="B284" s="5" t="n"/>
      <c r="C284" s="5" t="n"/>
      <c r="D284" s="5" t="n"/>
      <c r="E284" s="4">
        <f>IF(C284="","",COUNTIF($C$7:C284,C284))</f>
        <v/>
      </c>
      <c r="F284" s="4">
        <f>IF(E284="","",IF(E284&lt;=3,6,IF(E284&lt;=6,5,IF(E284&lt;=9,4,IF(E284&lt;=12,3,IF(E284&lt;=15,2,0))))))</f>
        <v/>
      </c>
      <c r="G284" s="5" t="n"/>
      <c r="H284" s="4">
        <f>IF(OR(F284="",G284=""),"",F284*G284+IF(J284="",0,J284))</f>
        <v/>
      </c>
      <c r="I284" s="5" t="n"/>
      <c r="J284" s="5" t="n"/>
    </row>
    <row r="285">
      <c r="A285" s="5" t="n"/>
      <c r="B285" s="5" t="n"/>
      <c r="C285" s="5" t="n"/>
      <c r="D285" s="5" t="n"/>
      <c r="E285" s="4">
        <f>IF(C285="","",COUNTIF($C$7:C285,C285))</f>
        <v/>
      </c>
      <c r="F285" s="4">
        <f>IF(E285="","",IF(E285&lt;=3,6,IF(E285&lt;=6,5,IF(E285&lt;=9,4,IF(E285&lt;=12,3,IF(E285&lt;=15,2,0))))))</f>
        <v/>
      </c>
      <c r="G285" s="5" t="n"/>
      <c r="H285" s="4">
        <f>IF(OR(F285="",G285=""),"",F285*G285+IF(J285="",0,J285))</f>
        <v/>
      </c>
      <c r="I285" s="5" t="n"/>
      <c r="J285" s="5" t="n"/>
    </row>
    <row r="286">
      <c r="A286" s="5" t="n"/>
      <c r="B286" s="5" t="n"/>
      <c r="C286" s="5" t="n"/>
      <c r="D286" s="5" t="n"/>
      <c r="E286" s="4">
        <f>IF(C286="","",COUNTIF($C$7:C286,C286))</f>
        <v/>
      </c>
      <c r="F286" s="4">
        <f>IF(E286="","",IF(E286&lt;=3,6,IF(E286&lt;=6,5,IF(E286&lt;=9,4,IF(E286&lt;=12,3,IF(E286&lt;=15,2,0))))))</f>
        <v/>
      </c>
      <c r="G286" s="5" t="n"/>
      <c r="H286" s="4">
        <f>IF(OR(F286="",G286=""),"",F286*G286+IF(J286="",0,J286))</f>
        <v/>
      </c>
      <c r="I286" s="5" t="n"/>
      <c r="J286" s="5" t="n"/>
    </row>
    <row r="287">
      <c r="A287" s="5" t="n"/>
      <c r="B287" s="5" t="n"/>
      <c r="C287" s="5" t="n"/>
      <c r="D287" s="5" t="n"/>
      <c r="E287" s="4">
        <f>IF(C287="","",COUNTIF($C$7:C287,C287))</f>
        <v/>
      </c>
      <c r="F287" s="4">
        <f>IF(E287="","",IF(E287&lt;=3,6,IF(E287&lt;=6,5,IF(E287&lt;=9,4,IF(E287&lt;=12,3,IF(E287&lt;=15,2,0))))))</f>
        <v/>
      </c>
      <c r="G287" s="5" t="n"/>
      <c r="H287" s="4">
        <f>IF(OR(F287="",G287=""),"",F287*G287+IF(J287="",0,J287))</f>
        <v/>
      </c>
      <c r="I287" s="5" t="n"/>
      <c r="J287" s="5" t="n"/>
    </row>
    <row r="288">
      <c r="A288" s="5" t="n"/>
      <c r="B288" s="5" t="n"/>
      <c r="C288" s="5" t="n"/>
      <c r="D288" s="5" t="n"/>
      <c r="E288" s="4">
        <f>IF(C288="","",COUNTIF($C$7:C288,C288))</f>
        <v/>
      </c>
      <c r="F288" s="4">
        <f>IF(E288="","",IF(E288&lt;=3,6,IF(E288&lt;=6,5,IF(E288&lt;=9,4,IF(E288&lt;=12,3,IF(E288&lt;=15,2,0))))))</f>
        <v/>
      </c>
      <c r="G288" s="5" t="n"/>
      <c r="H288" s="4">
        <f>IF(OR(F288="",G288=""),"",F288*G288+IF(J288="",0,J288))</f>
        <v/>
      </c>
      <c r="I288" s="5" t="n"/>
      <c r="J288" s="5" t="n"/>
    </row>
    <row r="289">
      <c r="A289" s="5" t="n"/>
      <c r="B289" s="5" t="n"/>
      <c r="C289" s="5" t="n"/>
      <c r="D289" s="5" t="n"/>
      <c r="E289" s="4">
        <f>IF(C289="","",COUNTIF($C$7:C289,C289))</f>
        <v/>
      </c>
      <c r="F289" s="4">
        <f>IF(E289="","",IF(E289&lt;=3,6,IF(E289&lt;=6,5,IF(E289&lt;=9,4,IF(E289&lt;=12,3,IF(E289&lt;=15,2,0))))))</f>
        <v/>
      </c>
      <c r="G289" s="5" t="n"/>
      <c r="H289" s="4">
        <f>IF(OR(F289="",G289=""),"",F289*G289+IF(J289="",0,J289))</f>
        <v/>
      </c>
      <c r="I289" s="5" t="n"/>
      <c r="J289" s="5" t="n"/>
    </row>
    <row r="290">
      <c r="A290" s="5" t="n"/>
      <c r="B290" s="5" t="n"/>
      <c r="C290" s="5" t="n"/>
      <c r="D290" s="5" t="n"/>
      <c r="E290" s="4">
        <f>IF(C290="","",COUNTIF($C$7:C290,C290))</f>
        <v/>
      </c>
      <c r="F290" s="4">
        <f>IF(E290="","",IF(E290&lt;=3,6,IF(E290&lt;=6,5,IF(E290&lt;=9,4,IF(E290&lt;=12,3,IF(E290&lt;=15,2,0))))))</f>
        <v/>
      </c>
      <c r="G290" s="5" t="n"/>
      <c r="H290" s="4">
        <f>IF(OR(F290="",G290=""),"",F290*G290+IF(J290="",0,J290))</f>
        <v/>
      </c>
      <c r="I290" s="5" t="n"/>
      <c r="J290" s="5" t="n"/>
    </row>
    <row r="291">
      <c r="A291" s="5" t="n"/>
      <c r="B291" s="5" t="n"/>
      <c r="C291" s="5" t="n"/>
      <c r="D291" s="5" t="n"/>
      <c r="E291" s="4">
        <f>IF(C291="","",COUNTIF($C$7:C291,C291))</f>
        <v/>
      </c>
      <c r="F291" s="4">
        <f>IF(E291="","",IF(E291&lt;=3,6,IF(E291&lt;=6,5,IF(E291&lt;=9,4,IF(E291&lt;=12,3,IF(E291&lt;=15,2,0))))))</f>
        <v/>
      </c>
      <c r="G291" s="5" t="n"/>
      <c r="H291" s="4">
        <f>IF(OR(F291="",G291=""),"",F291*G291+IF(J291="",0,J291))</f>
        <v/>
      </c>
      <c r="I291" s="5" t="n"/>
      <c r="J291" s="5" t="n"/>
    </row>
    <row r="292">
      <c r="A292" s="5" t="n"/>
      <c r="B292" s="5" t="n"/>
      <c r="C292" s="5" t="n"/>
      <c r="D292" s="5" t="n"/>
      <c r="E292" s="4">
        <f>IF(C292="","",COUNTIF($C$7:C292,C292))</f>
        <v/>
      </c>
      <c r="F292" s="4">
        <f>IF(E292="","",IF(E292&lt;=3,6,IF(E292&lt;=6,5,IF(E292&lt;=9,4,IF(E292&lt;=12,3,IF(E292&lt;=15,2,0))))))</f>
        <v/>
      </c>
      <c r="G292" s="5" t="n"/>
      <c r="H292" s="4">
        <f>IF(OR(F292="",G292=""),"",F292*G292+IF(J292="",0,J292))</f>
        <v/>
      </c>
      <c r="I292" s="5" t="n"/>
      <c r="J292" s="5" t="n"/>
    </row>
    <row r="293">
      <c r="A293" s="5" t="n"/>
      <c r="B293" s="5" t="n"/>
      <c r="C293" s="5" t="n"/>
      <c r="D293" s="5" t="n"/>
      <c r="E293" s="4">
        <f>IF(C293="","",COUNTIF($C$7:C293,C293))</f>
        <v/>
      </c>
      <c r="F293" s="4">
        <f>IF(E293="","",IF(E293&lt;=3,6,IF(E293&lt;=6,5,IF(E293&lt;=9,4,IF(E293&lt;=12,3,IF(E293&lt;=15,2,0))))))</f>
        <v/>
      </c>
      <c r="G293" s="5" t="n"/>
      <c r="H293" s="4">
        <f>IF(OR(F293="",G293=""),"",F293*G293+IF(J293="",0,J293))</f>
        <v/>
      </c>
      <c r="I293" s="5" t="n"/>
      <c r="J293" s="5" t="n"/>
    </row>
    <row r="294">
      <c r="A294" s="5" t="n"/>
      <c r="B294" s="5" t="n"/>
      <c r="C294" s="5" t="n"/>
      <c r="D294" s="5" t="n"/>
      <c r="E294" s="4">
        <f>IF(C294="","",COUNTIF($C$7:C294,C294))</f>
        <v/>
      </c>
      <c r="F294" s="4">
        <f>IF(E294="","",IF(E294&lt;=3,6,IF(E294&lt;=6,5,IF(E294&lt;=9,4,IF(E294&lt;=12,3,IF(E294&lt;=15,2,0))))))</f>
        <v/>
      </c>
      <c r="G294" s="5" t="n"/>
      <c r="H294" s="4">
        <f>IF(OR(F294="",G294=""),"",F294*G294+IF(J294="",0,J294))</f>
        <v/>
      </c>
      <c r="I294" s="5" t="n"/>
      <c r="J294" s="5" t="n"/>
    </row>
    <row r="295">
      <c r="A295" s="5" t="n"/>
      <c r="B295" s="5" t="n"/>
      <c r="C295" s="5" t="n"/>
      <c r="D295" s="5" t="n"/>
      <c r="E295" s="4">
        <f>IF(C295="","",COUNTIF($C$7:C295,C295))</f>
        <v/>
      </c>
      <c r="F295" s="4">
        <f>IF(E295="","",IF(E295&lt;=3,6,IF(E295&lt;=6,5,IF(E295&lt;=9,4,IF(E295&lt;=12,3,IF(E295&lt;=15,2,0))))))</f>
        <v/>
      </c>
      <c r="G295" s="5" t="n"/>
      <c r="H295" s="4">
        <f>IF(OR(F295="",G295=""),"",F295*G295+IF(J295="",0,J295))</f>
        <v/>
      </c>
      <c r="I295" s="5" t="n"/>
      <c r="J295" s="5" t="n"/>
    </row>
    <row r="296">
      <c r="A296" s="5" t="n"/>
      <c r="B296" s="5" t="n"/>
      <c r="C296" s="5" t="n"/>
      <c r="D296" s="5" t="n"/>
      <c r="E296" s="4">
        <f>IF(C296="","",COUNTIF($C$7:C296,C296))</f>
        <v/>
      </c>
      <c r="F296" s="4">
        <f>IF(E296="","",IF(E296&lt;=3,6,IF(E296&lt;=6,5,IF(E296&lt;=9,4,IF(E296&lt;=12,3,IF(E296&lt;=15,2,0))))))</f>
        <v/>
      </c>
      <c r="G296" s="5" t="n"/>
      <c r="H296" s="4">
        <f>IF(OR(F296="",G296=""),"",F296*G296+IF(J296="",0,J296))</f>
        <v/>
      </c>
      <c r="I296" s="5" t="n"/>
      <c r="J296" s="5" t="n"/>
    </row>
    <row r="297">
      <c r="A297" s="5" t="n"/>
      <c r="B297" s="5" t="n"/>
      <c r="C297" s="5" t="n"/>
      <c r="D297" s="5" t="n"/>
      <c r="E297" s="4">
        <f>IF(C297="","",COUNTIF($C$7:C297,C297))</f>
        <v/>
      </c>
      <c r="F297" s="4">
        <f>IF(E297="","",IF(E297&lt;=3,6,IF(E297&lt;=6,5,IF(E297&lt;=9,4,IF(E297&lt;=12,3,IF(E297&lt;=15,2,0))))))</f>
        <v/>
      </c>
      <c r="G297" s="5" t="n"/>
      <c r="H297" s="4">
        <f>IF(OR(F297="",G297=""),"",F297*G297+IF(J297="",0,J297))</f>
        <v/>
      </c>
      <c r="I297" s="5" t="n"/>
      <c r="J297" s="5" t="n"/>
    </row>
    <row r="298">
      <c r="A298" s="5" t="n"/>
      <c r="B298" s="5" t="n"/>
      <c r="C298" s="5" t="n"/>
      <c r="D298" s="5" t="n"/>
      <c r="E298" s="4">
        <f>IF(C298="","",COUNTIF($C$7:C298,C298))</f>
        <v/>
      </c>
      <c r="F298" s="4">
        <f>IF(E298="","",IF(E298&lt;=3,6,IF(E298&lt;=6,5,IF(E298&lt;=9,4,IF(E298&lt;=12,3,IF(E298&lt;=15,2,0))))))</f>
        <v/>
      </c>
      <c r="G298" s="5" t="n"/>
      <c r="H298" s="4">
        <f>IF(OR(F298="",G298=""),"",F298*G298+IF(J298="",0,J298))</f>
        <v/>
      </c>
      <c r="I298" s="5" t="n"/>
      <c r="J298" s="5" t="n"/>
    </row>
    <row r="299">
      <c r="A299" s="5" t="n"/>
      <c r="B299" s="5" t="n"/>
      <c r="C299" s="5" t="n"/>
      <c r="D299" s="5" t="n"/>
      <c r="E299" s="4">
        <f>IF(C299="","",COUNTIF($C$7:C299,C299))</f>
        <v/>
      </c>
      <c r="F299" s="4">
        <f>IF(E299="","",IF(E299&lt;=3,6,IF(E299&lt;=6,5,IF(E299&lt;=9,4,IF(E299&lt;=12,3,IF(E299&lt;=15,2,0))))))</f>
        <v/>
      </c>
      <c r="G299" s="5" t="n"/>
      <c r="H299" s="4">
        <f>IF(OR(F299="",G299=""),"",F299*G299+IF(J299="",0,J299))</f>
        <v/>
      </c>
      <c r="I299" s="5" t="n"/>
      <c r="J299" s="5" t="n"/>
    </row>
    <row r="300">
      <c r="A300" s="5" t="n"/>
      <c r="B300" s="5" t="n"/>
      <c r="C300" s="5" t="n"/>
      <c r="D300" s="5" t="n"/>
      <c r="E300" s="4">
        <f>IF(C300="","",COUNTIF($C$7:C300,C300))</f>
        <v/>
      </c>
      <c r="F300" s="4">
        <f>IF(E300="","",IF(E300&lt;=3,6,IF(E300&lt;=6,5,IF(E300&lt;=9,4,IF(E300&lt;=12,3,IF(E300&lt;=15,2,0))))))</f>
        <v/>
      </c>
      <c r="G300" s="5" t="n"/>
      <c r="H300" s="4">
        <f>IF(OR(F300="",G300=""),"",F300*G300+IF(J300="",0,J300))</f>
        <v/>
      </c>
      <c r="I300" s="5" t="n"/>
      <c r="J300" s="5" t="n"/>
    </row>
    <row r="301">
      <c r="A301" s="5" t="n"/>
      <c r="B301" s="5" t="n"/>
      <c r="C301" s="5" t="n"/>
      <c r="D301" s="5" t="n"/>
      <c r="E301" s="4">
        <f>IF(C301="","",COUNTIF($C$7:C301,C301))</f>
        <v/>
      </c>
      <c r="F301" s="4">
        <f>IF(E301="","",IF(E301&lt;=3,6,IF(E301&lt;=6,5,IF(E301&lt;=9,4,IF(E301&lt;=12,3,IF(E301&lt;=15,2,0))))))</f>
        <v/>
      </c>
      <c r="G301" s="5" t="n"/>
      <c r="H301" s="4">
        <f>IF(OR(F301="",G301=""),"",F301*G301+IF(J301="",0,J301))</f>
        <v/>
      </c>
      <c r="I301" s="5" t="n"/>
      <c r="J301" s="5" t="n"/>
    </row>
    <row r="302">
      <c r="A302" s="5" t="n"/>
      <c r="B302" s="5" t="n"/>
      <c r="C302" s="5" t="n"/>
      <c r="D302" s="5" t="n"/>
      <c r="E302" s="4">
        <f>IF(C302="","",COUNTIF($C$7:C302,C302))</f>
        <v/>
      </c>
      <c r="F302" s="4">
        <f>IF(E302="","",IF(E302&lt;=3,6,IF(E302&lt;=6,5,IF(E302&lt;=9,4,IF(E302&lt;=12,3,IF(E302&lt;=15,2,0))))))</f>
        <v/>
      </c>
      <c r="G302" s="5" t="n"/>
      <c r="H302" s="4">
        <f>IF(OR(F302="",G302=""),"",F302*G302+IF(J302="",0,J302))</f>
        <v/>
      </c>
      <c r="I302" s="5" t="n"/>
      <c r="J302" s="5" t="n"/>
    </row>
    <row r="303">
      <c r="A303" s="5" t="n"/>
      <c r="B303" s="5" t="n"/>
      <c r="C303" s="5" t="n"/>
      <c r="D303" s="5" t="n"/>
      <c r="E303" s="4">
        <f>IF(C303="","",COUNTIF($C$7:C303,C303))</f>
        <v/>
      </c>
      <c r="F303" s="4">
        <f>IF(E303="","",IF(E303&lt;=3,6,IF(E303&lt;=6,5,IF(E303&lt;=9,4,IF(E303&lt;=12,3,IF(E303&lt;=15,2,0))))))</f>
        <v/>
      </c>
      <c r="G303" s="5" t="n"/>
      <c r="H303" s="4">
        <f>IF(OR(F303="",G303=""),"",F303*G303+IF(J303="",0,J303))</f>
        <v/>
      </c>
      <c r="I303" s="5" t="n"/>
      <c r="J303" s="5" t="n"/>
    </row>
    <row r="304">
      <c r="A304" s="5" t="n"/>
      <c r="B304" s="5" t="n"/>
      <c r="C304" s="5" t="n"/>
      <c r="D304" s="5" t="n"/>
      <c r="E304" s="4">
        <f>IF(C304="","",COUNTIF($C$7:C304,C304))</f>
        <v/>
      </c>
      <c r="F304" s="4">
        <f>IF(E304="","",IF(E304&lt;=3,6,IF(E304&lt;=6,5,IF(E304&lt;=9,4,IF(E304&lt;=12,3,IF(E304&lt;=15,2,0))))))</f>
        <v/>
      </c>
      <c r="G304" s="5" t="n"/>
      <c r="H304" s="4">
        <f>IF(OR(F304="",G304=""),"",F304*G304+IF(J304="",0,J304))</f>
        <v/>
      </c>
      <c r="I304" s="5" t="n"/>
      <c r="J304" s="5" t="n"/>
    </row>
    <row r="305">
      <c r="A305" s="5" t="n"/>
      <c r="B305" s="5" t="n"/>
      <c r="C305" s="5" t="n"/>
      <c r="D305" s="5" t="n"/>
      <c r="E305" s="4">
        <f>IF(C305="","",COUNTIF($C$7:C305,C305))</f>
        <v/>
      </c>
      <c r="F305" s="4">
        <f>IF(E305="","",IF(E305&lt;=3,6,IF(E305&lt;=6,5,IF(E305&lt;=9,4,IF(E305&lt;=12,3,IF(E305&lt;=15,2,0))))))</f>
        <v/>
      </c>
      <c r="G305" s="5" t="n"/>
      <c r="H305" s="4">
        <f>IF(OR(F305="",G305=""),"",F305*G305+IF(J305="",0,J305))</f>
        <v/>
      </c>
      <c r="I305" s="5" t="n"/>
      <c r="J305" s="5" t="n"/>
    </row>
    <row r="306">
      <c r="A306" s="5" t="n"/>
      <c r="B306" s="5" t="n"/>
      <c r="C306" s="5" t="n"/>
      <c r="D306" s="5" t="n"/>
      <c r="E306" s="4">
        <f>IF(C306="","",COUNTIF($C$7:C306,C306))</f>
        <v/>
      </c>
      <c r="F306" s="4">
        <f>IF(E306="","",IF(E306&lt;=3,6,IF(E306&lt;=6,5,IF(E306&lt;=9,4,IF(E306&lt;=12,3,IF(E306&lt;=15,2,0))))))</f>
        <v/>
      </c>
      <c r="G306" s="5" t="n"/>
      <c r="H306" s="4">
        <f>IF(OR(F306="",G306=""),"",F306*G306+IF(J306="",0,J306))</f>
        <v/>
      </c>
      <c r="I306" s="5" t="n"/>
      <c r="J306" s="5" t="n"/>
    </row>
    <row r="307">
      <c r="A307" s="5" t="n"/>
      <c r="B307" s="5" t="n"/>
      <c r="C307" s="5" t="n"/>
      <c r="D307" s="5" t="n"/>
      <c r="E307" s="4">
        <f>IF(C307="","",COUNTIF($C$7:C307,C307))</f>
        <v/>
      </c>
      <c r="F307" s="4">
        <f>IF(E307="","",IF(E307&lt;=3,6,IF(E307&lt;=6,5,IF(E307&lt;=9,4,IF(E307&lt;=12,3,IF(E307&lt;=15,2,0))))))</f>
        <v/>
      </c>
      <c r="G307" s="5" t="n"/>
      <c r="H307" s="4">
        <f>IF(OR(F307="",G307=""),"",F307*G307+IF(J307="",0,J307))</f>
        <v/>
      </c>
      <c r="I307" s="5" t="n"/>
      <c r="J307" s="5" t="n"/>
    </row>
    <row r="308">
      <c r="A308" s="5" t="n"/>
      <c r="B308" s="5" t="n"/>
      <c r="C308" s="5" t="n"/>
      <c r="D308" s="5" t="n"/>
      <c r="E308" s="4">
        <f>IF(C308="","",COUNTIF($C$7:C308,C308))</f>
        <v/>
      </c>
      <c r="F308" s="4">
        <f>IF(E308="","",IF(E308&lt;=3,6,IF(E308&lt;=6,5,IF(E308&lt;=9,4,IF(E308&lt;=12,3,IF(E308&lt;=15,2,0))))))</f>
        <v/>
      </c>
      <c r="G308" s="5" t="n"/>
      <c r="H308" s="4">
        <f>IF(OR(F308="",G308=""),"",F308*G308+IF(J308="",0,J308))</f>
        <v/>
      </c>
      <c r="I308" s="5" t="n"/>
      <c r="J308" s="5" t="n"/>
    </row>
    <row r="309">
      <c r="A309" s="5" t="n"/>
      <c r="B309" s="5" t="n"/>
      <c r="C309" s="5" t="n"/>
      <c r="D309" s="5" t="n"/>
      <c r="E309" s="4">
        <f>IF(C309="","",COUNTIF($C$7:C309,C309))</f>
        <v/>
      </c>
      <c r="F309" s="4">
        <f>IF(E309="","",IF(E309&lt;=3,6,IF(E309&lt;=6,5,IF(E309&lt;=9,4,IF(E309&lt;=12,3,IF(E309&lt;=15,2,0))))))</f>
        <v/>
      </c>
      <c r="G309" s="5" t="n"/>
      <c r="H309" s="4">
        <f>IF(OR(F309="",G309=""),"",F309*G309+IF(J309="",0,J309))</f>
        <v/>
      </c>
      <c r="I309" s="5" t="n"/>
      <c r="J309" s="5" t="n"/>
    </row>
    <row r="310">
      <c r="A310" s="5" t="n"/>
      <c r="B310" s="5" t="n"/>
      <c r="C310" s="5" t="n"/>
      <c r="D310" s="5" t="n"/>
      <c r="E310" s="4">
        <f>IF(C310="","",COUNTIF($C$7:C310,C310))</f>
        <v/>
      </c>
      <c r="F310" s="4">
        <f>IF(E310="","",IF(E310&lt;=3,6,IF(E310&lt;=6,5,IF(E310&lt;=9,4,IF(E310&lt;=12,3,IF(E310&lt;=15,2,0))))))</f>
        <v/>
      </c>
      <c r="G310" s="5" t="n"/>
      <c r="H310" s="4">
        <f>IF(OR(F310="",G310=""),"",F310*G310+IF(J310="",0,J310))</f>
        <v/>
      </c>
      <c r="I310" s="5" t="n"/>
      <c r="J310" s="5" t="n"/>
    </row>
    <row r="311">
      <c r="A311" s="5" t="n"/>
      <c r="B311" s="5" t="n"/>
      <c r="C311" s="5" t="n"/>
      <c r="D311" s="5" t="n"/>
      <c r="E311" s="4">
        <f>IF(C311="","",COUNTIF($C$7:C311,C311))</f>
        <v/>
      </c>
      <c r="F311" s="4">
        <f>IF(E311="","",IF(E311&lt;=3,6,IF(E311&lt;=6,5,IF(E311&lt;=9,4,IF(E311&lt;=12,3,IF(E311&lt;=15,2,0))))))</f>
        <v/>
      </c>
      <c r="G311" s="5" t="n"/>
      <c r="H311" s="4">
        <f>IF(OR(F311="",G311=""),"",F311*G311+IF(J311="",0,J311))</f>
        <v/>
      </c>
      <c r="I311" s="5" t="n"/>
      <c r="J311" s="5" t="n"/>
    </row>
    <row r="312">
      <c r="A312" s="5" t="n"/>
      <c r="B312" s="5" t="n"/>
      <c r="C312" s="5" t="n"/>
      <c r="D312" s="5" t="n"/>
      <c r="E312" s="4">
        <f>IF(C312="","",COUNTIF($C$7:C312,C312))</f>
        <v/>
      </c>
      <c r="F312" s="4">
        <f>IF(E312="","",IF(E312&lt;=3,6,IF(E312&lt;=6,5,IF(E312&lt;=9,4,IF(E312&lt;=12,3,IF(E312&lt;=15,2,0))))))</f>
        <v/>
      </c>
      <c r="G312" s="5" t="n"/>
      <c r="H312" s="4">
        <f>IF(OR(F312="",G312=""),"",F312*G312+IF(J312="",0,J312))</f>
        <v/>
      </c>
      <c r="I312" s="5" t="n"/>
      <c r="J312" s="5" t="n"/>
    </row>
    <row r="313">
      <c r="A313" s="5" t="n"/>
      <c r="B313" s="5" t="n"/>
      <c r="C313" s="5" t="n"/>
      <c r="D313" s="5" t="n"/>
      <c r="E313" s="4">
        <f>IF(C313="","",COUNTIF($C$7:C313,C313))</f>
        <v/>
      </c>
      <c r="F313" s="4">
        <f>IF(E313="","",IF(E313&lt;=3,6,IF(E313&lt;=6,5,IF(E313&lt;=9,4,IF(E313&lt;=12,3,IF(E313&lt;=15,2,0))))))</f>
        <v/>
      </c>
      <c r="G313" s="5" t="n"/>
      <c r="H313" s="4">
        <f>IF(OR(F313="",G313=""),"",F313*G313+IF(J313="",0,J313))</f>
        <v/>
      </c>
      <c r="I313" s="5" t="n"/>
      <c r="J313" s="5" t="n"/>
    </row>
    <row r="314">
      <c r="A314" s="5" t="n"/>
      <c r="B314" s="5" t="n"/>
      <c r="C314" s="5" t="n"/>
      <c r="D314" s="5" t="n"/>
      <c r="E314" s="4">
        <f>IF(C314="","",COUNTIF($C$7:C314,C314))</f>
        <v/>
      </c>
      <c r="F314" s="4">
        <f>IF(E314="","",IF(E314&lt;=3,6,IF(E314&lt;=6,5,IF(E314&lt;=9,4,IF(E314&lt;=12,3,IF(E314&lt;=15,2,0))))))</f>
        <v/>
      </c>
      <c r="G314" s="5" t="n"/>
      <c r="H314" s="4">
        <f>IF(OR(F314="",G314=""),"",F314*G314+IF(J314="",0,J314))</f>
        <v/>
      </c>
      <c r="I314" s="5" t="n"/>
      <c r="J314" s="5" t="n"/>
    </row>
    <row r="315">
      <c r="A315" s="5" t="n"/>
      <c r="B315" s="5" t="n"/>
      <c r="C315" s="5" t="n"/>
      <c r="D315" s="5" t="n"/>
      <c r="E315" s="4">
        <f>IF(C315="","",COUNTIF($C$7:C315,C315))</f>
        <v/>
      </c>
      <c r="F315" s="4">
        <f>IF(E315="","",IF(E315&lt;=3,6,IF(E315&lt;=6,5,IF(E315&lt;=9,4,IF(E315&lt;=12,3,IF(E315&lt;=15,2,0))))))</f>
        <v/>
      </c>
      <c r="G315" s="5" t="n"/>
      <c r="H315" s="4">
        <f>IF(OR(F315="",G315=""),"",F315*G315+IF(J315="",0,J315))</f>
        <v/>
      </c>
      <c r="I315" s="5" t="n"/>
      <c r="J315" s="5" t="n"/>
    </row>
    <row r="316">
      <c r="A316" s="5" t="n"/>
      <c r="B316" s="5" t="n"/>
      <c r="C316" s="5" t="n"/>
      <c r="D316" s="5" t="n"/>
      <c r="E316" s="4">
        <f>IF(C316="","",COUNTIF($C$7:C316,C316))</f>
        <v/>
      </c>
      <c r="F316" s="4">
        <f>IF(E316="","",IF(E316&lt;=3,6,IF(E316&lt;=6,5,IF(E316&lt;=9,4,IF(E316&lt;=12,3,IF(E316&lt;=15,2,0))))))</f>
        <v/>
      </c>
      <c r="G316" s="5" t="n"/>
      <c r="H316" s="4">
        <f>IF(OR(F316="",G316=""),"",F316*G316+IF(J316="",0,J316))</f>
        <v/>
      </c>
      <c r="I316" s="5" t="n"/>
      <c r="J316" s="5" t="n"/>
    </row>
    <row r="317">
      <c r="A317" s="5" t="n"/>
      <c r="B317" s="5" t="n"/>
      <c r="C317" s="5" t="n"/>
      <c r="D317" s="5" t="n"/>
      <c r="E317" s="4">
        <f>IF(C317="","",COUNTIF($C$7:C317,C317))</f>
        <v/>
      </c>
      <c r="F317" s="4">
        <f>IF(E317="","",IF(E317&lt;=3,6,IF(E317&lt;=6,5,IF(E317&lt;=9,4,IF(E317&lt;=12,3,IF(E317&lt;=15,2,0))))))</f>
        <v/>
      </c>
      <c r="G317" s="5" t="n"/>
      <c r="H317" s="4">
        <f>IF(OR(F317="",G317=""),"",F317*G317+IF(J317="",0,J317))</f>
        <v/>
      </c>
      <c r="I317" s="5" t="n"/>
      <c r="J317" s="5" t="n"/>
    </row>
    <row r="318">
      <c r="A318" s="5" t="n"/>
      <c r="B318" s="5" t="n"/>
      <c r="C318" s="5" t="n"/>
      <c r="D318" s="5" t="n"/>
      <c r="E318" s="4">
        <f>IF(C318="","",COUNTIF($C$7:C318,C318))</f>
        <v/>
      </c>
      <c r="F318" s="4">
        <f>IF(E318="","",IF(E318&lt;=3,6,IF(E318&lt;=6,5,IF(E318&lt;=9,4,IF(E318&lt;=12,3,IF(E318&lt;=15,2,0))))))</f>
        <v/>
      </c>
      <c r="G318" s="5" t="n"/>
      <c r="H318" s="4">
        <f>IF(OR(F318="",G318=""),"",F318*G318+IF(J318="",0,J318))</f>
        <v/>
      </c>
      <c r="I318" s="5" t="n"/>
      <c r="J318" s="5" t="n"/>
    </row>
    <row r="319">
      <c r="A319" s="5" t="n"/>
      <c r="B319" s="5" t="n"/>
      <c r="C319" s="5" t="n"/>
      <c r="D319" s="5" t="n"/>
      <c r="E319" s="4">
        <f>IF(C319="","",COUNTIF($C$7:C319,C319))</f>
        <v/>
      </c>
      <c r="F319" s="4">
        <f>IF(E319="","",IF(E319&lt;=3,6,IF(E319&lt;=6,5,IF(E319&lt;=9,4,IF(E319&lt;=12,3,IF(E319&lt;=15,2,0))))))</f>
        <v/>
      </c>
      <c r="G319" s="5" t="n"/>
      <c r="H319" s="4">
        <f>IF(OR(F319="",G319=""),"",F319*G319+IF(J319="",0,J319))</f>
        <v/>
      </c>
      <c r="I319" s="5" t="n"/>
      <c r="J319" s="5" t="n"/>
    </row>
    <row r="320">
      <c r="A320" s="5" t="n"/>
      <c r="B320" s="5" t="n"/>
      <c r="C320" s="5" t="n"/>
      <c r="D320" s="5" t="n"/>
      <c r="E320" s="4">
        <f>IF(C320="","",COUNTIF($C$7:C320,C320))</f>
        <v/>
      </c>
      <c r="F320" s="4">
        <f>IF(E320="","",IF(E320&lt;=3,6,IF(E320&lt;=6,5,IF(E320&lt;=9,4,IF(E320&lt;=12,3,IF(E320&lt;=15,2,0))))))</f>
        <v/>
      </c>
      <c r="G320" s="5" t="n"/>
      <c r="H320" s="4">
        <f>IF(OR(F320="",G320=""),"",F320*G320+IF(J320="",0,J320))</f>
        <v/>
      </c>
      <c r="I320" s="5" t="n"/>
      <c r="J320" s="5" t="n"/>
    </row>
    <row r="321">
      <c r="A321" s="5" t="n"/>
      <c r="B321" s="5" t="n"/>
      <c r="C321" s="5" t="n"/>
      <c r="D321" s="5" t="n"/>
      <c r="E321" s="4">
        <f>IF(C321="","",COUNTIF($C$7:C321,C321))</f>
        <v/>
      </c>
      <c r="F321" s="4">
        <f>IF(E321="","",IF(E321&lt;=3,6,IF(E321&lt;=6,5,IF(E321&lt;=9,4,IF(E321&lt;=12,3,IF(E321&lt;=15,2,0))))))</f>
        <v/>
      </c>
      <c r="G321" s="5" t="n"/>
      <c r="H321" s="4">
        <f>IF(OR(F321="",G321=""),"",F321*G321+IF(J321="",0,J321))</f>
        <v/>
      </c>
      <c r="I321" s="5" t="n"/>
      <c r="J321" s="5" t="n"/>
    </row>
    <row r="322">
      <c r="A322" s="5" t="n"/>
      <c r="B322" s="5" t="n"/>
      <c r="C322" s="5" t="n"/>
      <c r="D322" s="5" t="n"/>
      <c r="E322" s="4">
        <f>IF(C322="","",COUNTIF($C$7:C322,C322))</f>
        <v/>
      </c>
      <c r="F322" s="4">
        <f>IF(E322="","",IF(E322&lt;=3,6,IF(E322&lt;=6,5,IF(E322&lt;=9,4,IF(E322&lt;=12,3,IF(E322&lt;=15,2,0))))))</f>
        <v/>
      </c>
      <c r="G322" s="5" t="n"/>
      <c r="H322" s="4">
        <f>IF(OR(F322="",G322=""),"",F322*G322+IF(J322="",0,J322))</f>
        <v/>
      </c>
      <c r="I322" s="5" t="n"/>
      <c r="J322" s="5" t="n"/>
    </row>
    <row r="323">
      <c r="A323" s="5" t="n"/>
      <c r="B323" s="5" t="n"/>
      <c r="C323" s="5" t="n"/>
      <c r="D323" s="5" t="n"/>
      <c r="E323" s="4">
        <f>IF(C323="","",COUNTIF($C$7:C323,C323))</f>
        <v/>
      </c>
      <c r="F323" s="4">
        <f>IF(E323="","",IF(E323&lt;=3,6,IF(E323&lt;=6,5,IF(E323&lt;=9,4,IF(E323&lt;=12,3,IF(E323&lt;=15,2,0))))))</f>
        <v/>
      </c>
      <c r="G323" s="5" t="n"/>
      <c r="H323" s="4">
        <f>IF(OR(F323="",G323=""),"",F323*G323+IF(J323="",0,J323))</f>
        <v/>
      </c>
      <c r="I323" s="5" t="n"/>
      <c r="J323" s="5" t="n"/>
    </row>
    <row r="324">
      <c r="A324" s="5" t="n"/>
      <c r="B324" s="5" t="n"/>
      <c r="C324" s="5" t="n"/>
      <c r="D324" s="5" t="n"/>
      <c r="E324" s="4">
        <f>IF(C324="","",COUNTIF($C$7:C324,C324))</f>
        <v/>
      </c>
      <c r="F324" s="4">
        <f>IF(E324="","",IF(E324&lt;=3,6,IF(E324&lt;=6,5,IF(E324&lt;=9,4,IF(E324&lt;=12,3,IF(E324&lt;=15,2,0))))))</f>
        <v/>
      </c>
      <c r="G324" s="5" t="n"/>
      <c r="H324" s="4">
        <f>IF(OR(F324="",G324=""),"",F324*G324+IF(J324="",0,J324))</f>
        <v/>
      </c>
      <c r="I324" s="5" t="n"/>
      <c r="J324" s="5" t="n"/>
    </row>
    <row r="325">
      <c r="A325" s="5" t="n"/>
      <c r="B325" s="5" t="n"/>
      <c r="C325" s="5" t="n"/>
      <c r="D325" s="5" t="n"/>
      <c r="E325" s="4">
        <f>IF(C325="","",COUNTIF($C$7:C325,C325))</f>
        <v/>
      </c>
      <c r="F325" s="4">
        <f>IF(E325="","",IF(E325&lt;=3,6,IF(E325&lt;=6,5,IF(E325&lt;=9,4,IF(E325&lt;=12,3,IF(E325&lt;=15,2,0))))))</f>
        <v/>
      </c>
      <c r="G325" s="5" t="n"/>
      <c r="H325" s="4">
        <f>IF(OR(F325="",G325=""),"",F325*G325+IF(J325="",0,J325))</f>
        <v/>
      </c>
      <c r="I325" s="5" t="n"/>
      <c r="J325" s="5" t="n"/>
    </row>
    <row r="326">
      <c r="A326" s="5" t="n"/>
      <c r="B326" s="5" t="n"/>
      <c r="C326" s="5" t="n"/>
      <c r="D326" s="5" t="n"/>
      <c r="E326" s="4">
        <f>IF(C326="","",COUNTIF($C$7:C326,C326))</f>
        <v/>
      </c>
      <c r="F326" s="4">
        <f>IF(E326="","",IF(E326&lt;=3,6,IF(E326&lt;=6,5,IF(E326&lt;=9,4,IF(E326&lt;=12,3,IF(E326&lt;=15,2,0))))))</f>
        <v/>
      </c>
      <c r="G326" s="5" t="n"/>
      <c r="H326" s="4">
        <f>IF(OR(F326="",G326=""),"",F326*G326+IF(J326="",0,J326))</f>
        <v/>
      </c>
      <c r="I326" s="5" t="n"/>
      <c r="J326" s="5" t="n"/>
    </row>
    <row r="327">
      <c r="A327" s="5" t="n"/>
      <c r="B327" s="5" t="n"/>
      <c r="C327" s="5" t="n"/>
      <c r="D327" s="5" t="n"/>
      <c r="E327" s="4">
        <f>IF(C327="","",COUNTIF($C$7:C327,C327))</f>
        <v/>
      </c>
      <c r="F327" s="4">
        <f>IF(E327="","",IF(E327&lt;=3,6,IF(E327&lt;=6,5,IF(E327&lt;=9,4,IF(E327&lt;=12,3,IF(E327&lt;=15,2,0))))))</f>
        <v/>
      </c>
      <c r="G327" s="5" t="n"/>
      <c r="H327" s="4">
        <f>IF(OR(F327="",G327=""),"",F327*G327+IF(J327="",0,J327))</f>
        <v/>
      </c>
      <c r="I327" s="5" t="n"/>
      <c r="J327" s="5" t="n"/>
    </row>
    <row r="328">
      <c r="A328" s="5" t="n"/>
      <c r="B328" s="5" t="n"/>
      <c r="C328" s="5" t="n"/>
      <c r="D328" s="5" t="n"/>
      <c r="E328" s="4">
        <f>IF(C328="","",COUNTIF($C$7:C328,C328))</f>
        <v/>
      </c>
      <c r="F328" s="4">
        <f>IF(E328="","",IF(E328&lt;=3,6,IF(E328&lt;=6,5,IF(E328&lt;=9,4,IF(E328&lt;=12,3,IF(E328&lt;=15,2,0))))))</f>
        <v/>
      </c>
      <c r="G328" s="5" t="n"/>
      <c r="H328" s="4">
        <f>IF(OR(F328="",G328=""),"",F328*G328+IF(J328="",0,J328))</f>
        <v/>
      </c>
      <c r="I328" s="5" t="n"/>
      <c r="J328" s="5" t="n"/>
    </row>
    <row r="329">
      <c r="A329" s="5" t="n"/>
      <c r="B329" s="5" t="n"/>
      <c r="C329" s="5" t="n"/>
      <c r="D329" s="5" t="n"/>
      <c r="E329" s="4">
        <f>IF(C329="","",COUNTIF($C$7:C329,C329))</f>
        <v/>
      </c>
      <c r="F329" s="4">
        <f>IF(E329="","",IF(E329&lt;=3,6,IF(E329&lt;=6,5,IF(E329&lt;=9,4,IF(E329&lt;=12,3,IF(E329&lt;=15,2,0))))))</f>
        <v/>
      </c>
      <c r="G329" s="5" t="n"/>
      <c r="H329" s="4">
        <f>IF(OR(F329="",G329=""),"",F329*G329+IF(J329="",0,J329))</f>
        <v/>
      </c>
      <c r="I329" s="5" t="n"/>
      <c r="J329" s="5" t="n"/>
    </row>
    <row r="330">
      <c r="A330" s="5" t="n"/>
      <c r="B330" s="5" t="n"/>
      <c r="C330" s="5" t="n"/>
      <c r="D330" s="5" t="n"/>
      <c r="E330" s="4">
        <f>IF(C330="","",COUNTIF($C$7:C330,C330))</f>
        <v/>
      </c>
      <c r="F330" s="4">
        <f>IF(E330="","",IF(E330&lt;=3,6,IF(E330&lt;=6,5,IF(E330&lt;=9,4,IF(E330&lt;=12,3,IF(E330&lt;=15,2,0))))))</f>
        <v/>
      </c>
      <c r="G330" s="5" t="n"/>
      <c r="H330" s="4">
        <f>IF(OR(F330="",G330=""),"",F330*G330+IF(J330="",0,J330))</f>
        <v/>
      </c>
      <c r="I330" s="5" t="n"/>
      <c r="J330" s="5" t="n"/>
    </row>
    <row r="331">
      <c r="A331" s="5" t="n"/>
      <c r="B331" s="5" t="n"/>
      <c r="C331" s="5" t="n"/>
      <c r="D331" s="5" t="n"/>
      <c r="E331" s="4">
        <f>IF(C331="","",COUNTIF($C$7:C331,C331))</f>
        <v/>
      </c>
      <c r="F331" s="4">
        <f>IF(E331="","",IF(E331&lt;=3,6,IF(E331&lt;=6,5,IF(E331&lt;=9,4,IF(E331&lt;=12,3,IF(E331&lt;=15,2,0))))))</f>
        <v/>
      </c>
      <c r="G331" s="5" t="n"/>
      <c r="H331" s="4">
        <f>IF(OR(F331="",G331=""),"",F331*G331+IF(J331="",0,J331))</f>
        <v/>
      </c>
      <c r="I331" s="5" t="n"/>
      <c r="J331" s="5" t="n"/>
    </row>
    <row r="332">
      <c r="A332" s="5" t="n"/>
      <c r="B332" s="5" t="n"/>
      <c r="C332" s="5" t="n"/>
      <c r="D332" s="5" t="n"/>
      <c r="E332" s="4">
        <f>IF(C332="","",COUNTIF($C$7:C332,C332))</f>
        <v/>
      </c>
      <c r="F332" s="4">
        <f>IF(E332="","",IF(E332&lt;=3,6,IF(E332&lt;=6,5,IF(E332&lt;=9,4,IF(E332&lt;=12,3,IF(E332&lt;=15,2,0))))))</f>
        <v/>
      </c>
      <c r="G332" s="5" t="n"/>
      <c r="H332" s="4">
        <f>IF(OR(F332="",G332=""),"",F332*G332+IF(J332="",0,J332))</f>
        <v/>
      </c>
      <c r="I332" s="5" t="n"/>
      <c r="J332" s="5" t="n"/>
    </row>
    <row r="333">
      <c r="A333" s="5" t="n"/>
      <c r="B333" s="5" t="n"/>
      <c r="C333" s="5" t="n"/>
      <c r="D333" s="5" t="n"/>
      <c r="E333" s="4">
        <f>IF(C333="","",COUNTIF($C$7:C333,C333))</f>
        <v/>
      </c>
      <c r="F333" s="4">
        <f>IF(E333="","",IF(E333&lt;=3,6,IF(E333&lt;=6,5,IF(E333&lt;=9,4,IF(E333&lt;=12,3,IF(E333&lt;=15,2,0))))))</f>
        <v/>
      </c>
      <c r="G333" s="5" t="n"/>
      <c r="H333" s="4">
        <f>IF(OR(F333="",G333=""),"",F333*G333+IF(J333="",0,J333))</f>
        <v/>
      </c>
      <c r="I333" s="5" t="n"/>
      <c r="J333" s="5" t="n"/>
    </row>
    <row r="334">
      <c r="A334" s="5" t="n"/>
      <c r="B334" s="5" t="n"/>
      <c r="C334" s="5" t="n"/>
      <c r="D334" s="5" t="n"/>
      <c r="E334" s="4">
        <f>IF(C334="","",COUNTIF($C$7:C334,C334))</f>
        <v/>
      </c>
      <c r="F334" s="4">
        <f>IF(E334="","",IF(E334&lt;=3,6,IF(E334&lt;=6,5,IF(E334&lt;=9,4,IF(E334&lt;=12,3,IF(E334&lt;=15,2,0))))))</f>
        <v/>
      </c>
      <c r="G334" s="5" t="n"/>
      <c r="H334" s="4">
        <f>IF(OR(F334="",G334=""),"",F334*G334+IF(J334="",0,J334))</f>
        <v/>
      </c>
      <c r="I334" s="5" t="n"/>
      <c r="J334" s="5" t="n"/>
    </row>
    <row r="335">
      <c r="A335" s="5" t="n"/>
      <c r="B335" s="5" t="n"/>
      <c r="C335" s="5" t="n"/>
      <c r="D335" s="5" t="n"/>
      <c r="E335" s="4">
        <f>IF(C335="","",COUNTIF($C$7:C335,C335))</f>
        <v/>
      </c>
      <c r="F335" s="4">
        <f>IF(E335="","",IF(E335&lt;=3,6,IF(E335&lt;=6,5,IF(E335&lt;=9,4,IF(E335&lt;=12,3,IF(E335&lt;=15,2,0))))))</f>
        <v/>
      </c>
      <c r="G335" s="5" t="n"/>
      <c r="H335" s="4">
        <f>IF(OR(F335="",G335=""),"",F335*G335+IF(J335="",0,J335))</f>
        <v/>
      </c>
      <c r="I335" s="5" t="n"/>
      <c r="J335" s="5" t="n"/>
    </row>
    <row r="336">
      <c r="A336" s="5" t="n"/>
      <c r="B336" s="5" t="n"/>
      <c r="C336" s="5" t="n"/>
      <c r="D336" s="5" t="n"/>
      <c r="E336" s="4">
        <f>IF(C336="","",COUNTIF($C$7:C336,C336))</f>
        <v/>
      </c>
      <c r="F336" s="4">
        <f>IF(E336="","",IF(E336&lt;=3,6,IF(E336&lt;=6,5,IF(E336&lt;=9,4,IF(E336&lt;=12,3,IF(E336&lt;=15,2,0))))))</f>
        <v/>
      </c>
      <c r="G336" s="5" t="n"/>
      <c r="H336" s="4">
        <f>IF(OR(F336="",G336=""),"",F336*G336+IF(J336="",0,J336))</f>
        <v/>
      </c>
      <c r="I336" s="5" t="n"/>
      <c r="J336" s="5" t="n"/>
    </row>
    <row r="337">
      <c r="A337" s="5" t="n"/>
      <c r="B337" s="5" t="n"/>
      <c r="C337" s="5" t="n"/>
      <c r="D337" s="5" t="n"/>
      <c r="E337" s="4">
        <f>IF(C337="","",COUNTIF($C$7:C337,C337))</f>
        <v/>
      </c>
      <c r="F337" s="4">
        <f>IF(E337="","",IF(E337&lt;=3,6,IF(E337&lt;=6,5,IF(E337&lt;=9,4,IF(E337&lt;=12,3,IF(E337&lt;=15,2,0))))))</f>
        <v/>
      </c>
      <c r="G337" s="5" t="n"/>
      <c r="H337" s="4">
        <f>IF(OR(F337="",G337=""),"",F337*G337+IF(J337="",0,J337))</f>
        <v/>
      </c>
      <c r="I337" s="5" t="n"/>
      <c r="J337" s="5" t="n"/>
    </row>
    <row r="338">
      <c r="A338" s="5" t="n"/>
      <c r="B338" s="5" t="n"/>
      <c r="C338" s="5" t="n"/>
      <c r="D338" s="5" t="n"/>
      <c r="E338" s="4">
        <f>IF(C338="","",COUNTIF($C$7:C338,C338))</f>
        <v/>
      </c>
      <c r="F338" s="4">
        <f>IF(E338="","",IF(E338&lt;=3,6,IF(E338&lt;=6,5,IF(E338&lt;=9,4,IF(E338&lt;=12,3,IF(E338&lt;=15,2,0))))))</f>
        <v/>
      </c>
      <c r="G338" s="5" t="n"/>
      <c r="H338" s="4">
        <f>IF(OR(F338="",G338=""),"",F338*G338+IF(J338="",0,J338))</f>
        <v/>
      </c>
      <c r="I338" s="5" t="n"/>
      <c r="J338" s="5" t="n"/>
    </row>
    <row r="339">
      <c r="A339" s="5" t="n"/>
      <c r="B339" s="5" t="n"/>
      <c r="C339" s="5" t="n"/>
      <c r="D339" s="5" t="n"/>
      <c r="E339" s="4">
        <f>IF(C339="","",COUNTIF($C$7:C339,C339))</f>
        <v/>
      </c>
      <c r="F339" s="4">
        <f>IF(E339="","",IF(E339&lt;=3,6,IF(E339&lt;=6,5,IF(E339&lt;=9,4,IF(E339&lt;=12,3,IF(E339&lt;=15,2,0))))))</f>
        <v/>
      </c>
      <c r="G339" s="5" t="n"/>
      <c r="H339" s="4">
        <f>IF(OR(F339="",G339=""),"",F339*G339+IF(J339="",0,J339))</f>
        <v/>
      </c>
      <c r="I339" s="5" t="n"/>
      <c r="J339" s="5" t="n"/>
    </row>
    <row r="340">
      <c r="A340" s="5" t="n"/>
      <c r="B340" s="5" t="n"/>
      <c r="C340" s="5" t="n"/>
      <c r="D340" s="5" t="n"/>
      <c r="E340" s="4">
        <f>IF(C340="","",COUNTIF($C$7:C340,C340))</f>
        <v/>
      </c>
      <c r="F340" s="4">
        <f>IF(E340="","",IF(E340&lt;=3,6,IF(E340&lt;=6,5,IF(E340&lt;=9,4,IF(E340&lt;=12,3,IF(E340&lt;=15,2,0))))))</f>
        <v/>
      </c>
      <c r="G340" s="5" t="n"/>
      <c r="H340" s="4">
        <f>IF(OR(F340="",G340=""),"",F340*G340+IF(J340="",0,J340))</f>
        <v/>
      </c>
      <c r="I340" s="5" t="n"/>
      <c r="J340" s="5" t="n"/>
    </row>
    <row r="341">
      <c r="A341" s="5" t="n"/>
      <c r="B341" s="5" t="n"/>
      <c r="C341" s="5" t="n"/>
      <c r="D341" s="5" t="n"/>
      <c r="E341" s="4">
        <f>IF(C341="","",COUNTIF($C$7:C341,C341))</f>
        <v/>
      </c>
      <c r="F341" s="4">
        <f>IF(E341="","",IF(E341&lt;=3,6,IF(E341&lt;=6,5,IF(E341&lt;=9,4,IF(E341&lt;=12,3,IF(E341&lt;=15,2,0))))))</f>
        <v/>
      </c>
      <c r="G341" s="5" t="n"/>
      <c r="H341" s="4">
        <f>IF(OR(F341="",G341=""),"",F341*G341+IF(J341="",0,J341))</f>
        <v/>
      </c>
      <c r="I341" s="5" t="n"/>
      <c r="J341" s="5" t="n"/>
    </row>
    <row r="342">
      <c r="A342" s="5" t="n"/>
      <c r="B342" s="5" t="n"/>
      <c r="C342" s="5" t="n"/>
      <c r="D342" s="5" t="n"/>
      <c r="E342" s="4">
        <f>IF(C342="","",COUNTIF($C$7:C342,C342))</f>
        <v/>
      </c>
      <c r="F342" s="4">
        <f>IF(E342="","",IF(E342&lt;=3,6,IF(E342&lt;=6,5,IF(E342&lt;=9,4,IF(E342&lt;=12,3,IF(E342&lt;=15,2,0))))))</f>
        <v/>
      </c>
      <c r="G342" s="5" t="n"/>
      <c r="H342" s="4">
        <f>IF(OR(F342="",G342=""),"",F342*G342+IF(J342="",0,J342))</f>
        <v/>
      </c>
      <c r="I342" s="5" t="n"/>
      <c r="J342" s="5" t="n"/>
    </row>
    <row r="343">
      <c r="A343" s="5" t="n"/>
      <c r="B343" s="5" t="n"/>
      <c r="C343" s="5" t="n"/>
      <c r="D343" s="5" t="n"/>
      <c r="E343" s="4">
        <f>IF(C343="","",COUNTIF($C$7:C343,C343))</f>
        <v/>
      </c>
      <c r="F343" s="4">
        <f>IF(E343="","",IF(E343&lt;=3,6,IF(E343&lt;=6,5,IF(E343&lt;=9,4,IF(E343&lt;=12,3,IF(E343&lt;=15,2,0))))))</f>
        <v/>
      </c>
      <c r="G343" s="5" t="n"/>
      <c r="H343" s="4">
        <f>IF(OR(F343="",G343=""),"",F343*G343+IF(J343="",0,J343))</f>
        <v/>
      </c>
      <c r="I343" s="5" t="n"/>
      <c r="J343" s="5" t="n"/>
    </row>
    <row r="344">
      <c r="A344" s="5" t="n"/>
      <c r="B344" s="5" t="n"/>
      <c r="C344" s="5" t="n"/>
      <c r="D344" s="5" t="n"/>
      <c r="E344" s="4">
        <f>IF(C344="","",COUNTIF($C$7:C344,C344))</f>
        <v/>
      </c>
      <c r="F344" s="4">
        <f>IF(E344="","",IF(E344&lt;=3,6,IF(E344&lt;=6,5,IF(E344&lt;=9,4,IF(E344&lt;=12,3,IF(E344&lt;=15,2,0))))))</f>
        <v/>
      </c>
      <c r="G344" s="5" t="n"/>
      <c r="H344" s="4">
        <f>IF(OR(F344="",G344=""),"",F344*G344+IF(J344="",0,J344))</f>
        <v/>
      </c>
      <c r="I344" s="5" t="n"/>
      <c r="J344" s="5" t="n"/>
    </row>
    <row r="345">
      <c r="A345" s="5" t="n"/>
      <c r="B345" s="5" t="n"/>
      <c r="C345" s="5" t="n"/>
      <c r="D345" s="5" t="n"/>
      <c r="E345" s="4">
        <f>IF(C345="","",COUNTIF($C$7:C345,C345))</f>
        <v/>
      </c>
      <c r="F345" s="4">
        <f>IF(E345="","",IF(E345&lt;=3,6,IF(E345&lt;=6,5,IF(E345&lt;=9,4,IF(E345&lt;=12,3,IF(E345&lt;=15,2,0))))))</f>
        <v/>
      </c>
      <c r="G345" s="5" t="n"/>
      <c r="H345" s="4">
        <f>IF(OR(F345="",G345=""),"",F345*G345+IF(J345="",0,J345))</f>
        <v/>
      </c>
      <c r="I345" s="5" t="n"/>
      <c r="J345" s="5" t="n"/>
    </row>
    <row r="346">
      <c r="A346" s="5" t="n"/>
      <c r="B346" s="5" t="n"/>
      <c r="C346" s="5" t="n"/>
      <c r="D346" s="5" t="n"/>
      <c r="E346" s="4">
        <f>IF(C346="","",COUNTIF($C$7:C346,C346))</f>
        <v/>
      </c>
      <c r="F346" s="4">
        <f>IF(E346="","",IF(E346&lt;=3,6,IF(E346&lt;=6,5,IF(E346&lt;=9,4,IF(E346&lt;=12,3,IF(E346&lt;=15,2,0))))))</f>
        <v/>
      </c>
      <c r="G346" s="5" t="n"/>
      <c r="H346" s="4">
        <f>IF(OR(F346="",G346=""),"",F346*G346+IF(J346="",0,J346))</f>
        <v/>
      </c>
      <c r="I346" s="5" t="n"/>
      <c r="J346" s="5" t="n"/>
    </row>
    <row r="347">
      <c r="A347" s="5" t="n"/>
      <c r="B347" s="5" t="n"/>
      <c r="C347" s="5" t="n"/>
      <c r="D347" s="5" t="n"/>
      <c r="E347" s="4">
        <f>IF(C347="","",COUNTIF($C$7:C347,C347))</f>
        <v/>
      </c>
      <c r="F347" s="4">
        <f>IF(E347="","",IF(E347&lt;=3,6,IF(E347&lt;=6,5,IF(E347&lt;=9,4,IF(E347&lt;=12,3,IF(E347&lt;=15,2,0))))))</f>
        <v/>
      </c>
      <c r="G347" s="5" t="n"/>
      <c r="H347" s="4">
        <f>IF(OR(F347="",G347=""),"",F347*G347+IF(J347="",0,J347))</f>
        <v/>
      </c>
      <c r="I347" s="5" t="n"/>
      <c r="J347" s="5" t="n"/>
    </row>
    <row r="348">
      <c r="A348" s="5" t="n"/>
      <c r="B348" s="5" t="n"/>
      <c r="C348" s="5" t="n"/>
      <c r="D348" s="5" t="n"/>
      <c r="E348" s="4">
        <f>IF(C348="","",COUNTIF($C$7:C348,C348))</f>
        <v/>
      </c>
      <c r="F348" s="4">
        <f>IF(E348="","",IF(E348&lt;=3,6,IF(E348&lt;=6,5,IF(E348&lt;=9,4,IF(E348&lt;=12,3,IF(E348&lt;=15,2,0))))))</f>
        <v/>
      </c>
      <c r="G348" s="5" t="n"/>
      <c r="H348" s="4">
        <f>IF(OR(F348="",G348=""),"",F348*G348+IF(J348="",0,J348))</f>
        <v/>
      </c>
      <c r="I348" s="5" t="n"/>
      <c r="J348" s="5" t="n"/>
    </row>
    <row r="349">
      <c r="A349" s="5" t="n"/>
      <c r="B349" s="5" t="n"/>
      <c r="C349" s="5" t="n"/>
      <c r="D349" s="5" t="n"/>
      <c r="E349" s="4">
        <f>IF(C349="","",COUNTIF($C$7:C349,C349))</f>
        <v/>
      </c>
      <c r="F349" s="4">
        <f>IF(E349="","",IF(E349&lt;=3,6,IF(E349&lt;=6,5,IF(E349&lt;=9,4,IF(E349&lt;=12,3,IF(E349&lt;=15,2,0))))))</f>
        <v/>
      </c>
      <c r="G349" s="5" t="n"/>
      <c r="H349" s="4">
        <f>IF(OR(F349="",G349=""),"",F349*G349+IF(J349="",0,J349))</f>
        <v/>
      </c>
      <c r="I349" s="5" t="n"/>
      <c r="J349" s="5" t="n"/>
    </row>
    <row r="350">
      <c r="A350" s="5" t="n"/>
      <c r="B350" s="5" t="n"/>
      <c r="C350" s="5" t="n"/>
      <c r="D350" s="5" t="n"/>
      <c r="E350" s="4">
        <f>IF(C350="","",COUNTIF($C$7:C350,C350))</f>
        <v/>
      </c>
      <c r="F350" s="4">
        <f>IF(E350="","",IF(E350&lt;=3,6,IF(E350&lt;=6,5,IF(E350&lt;=9,4,IF(E350&lt;=12,3,IF(E350&lt;=15,2,0))))))</f>
        <v/>
      </c>
      <c r="G350" s="5" t="n"/>
      <c r="H350" s="4">
        <f>IF(OR(F350="",G350=""),"",F350*G350+IF(J350="",0,J350))</f>
        <v/>
      </c>
      <c r="I350" s="5" t="n"/>
      <c r="J350" s="5" t="n"/>
    </row>
    <row r="351">
      <c r="A351" s="5" t="n"/>
      <c r="B351" s="5" t="n"/>
      <c r="C351" s="5" t="n"/>
      <c r="D351" s="5" t="n"/>
      <c r="E351" s="4">
        <f>IF(C351="","",COUNTIF($C$7:C351,C351))</f>
        <v/>
      </c>
      <c r="F351" s="4">
        <f>IF(E351="","",IF(E351&lt;=3,6,IF(E351&lt;=6,5,IF(E351&lt;=9,4,IF(E351&lt;=12,3,IF(E351&lt;=15,2,0))))))</f>
        <v/>
      </c>
      <c r="G351" s="5" t="n"/>
      <c r="H351" s="4">
        <f>IF(OR(F351="",G351=""),"",F351*G351+IF(J351="",0,J351))</f>
        <v/>
      </c>
      <c r="I351" s="5" t="n"/>
      <c r="J351" s="5" t="n"/>
    </row>
    <row r="352">
      <c r="A352" s="5" t="n"/>
      <c r="B352" s="5" t="n"/>
      <c r="C352" s="5" t="n"/>
      <c r="D352" s="5" t="n"/>
      <c r="E352" s="4">
        <f>IF(C352="","",COUNTIF($C$7:C352,C352))</f>
        <v/>
      </c>
      <c r="F352" s="4">
        <f>IF(E352="","",IF(E352&lt;=3,6,IF(E352&lt;=6,5,IF(E352&lt;=9,4,IF(E352&lt;=12,3,IF(E352&lt;=15,2,0))))))</f>
        <v/>
      </c>
      <c r="G352" s="5" t="n"/>
      <c r="H352" s="4">
        <f>IF(OR(F352="",G352=""),"",F352*G352+IF(J352="",0,J352))</f>
        <v/>
      </c>
      <c r="I352" s="5" t="n"/>
      <c r="J352" s="5" t="n"/>
    </row>
    <row r="353">
      <c r="A353" s="5" t="n"/>
      <c r="B353" s="5" t="n"/>
      <c r="C353" s="5" t="n"/>
      <c r="D353" s="5" t="n"/>
      <c r="E353" s="4">
        <f>IF(C353="","",COUNTIF($C$7:C353,C353))</f>
        <v/>
      </c>
      <c r="F353" s="4">
        <f>IF(E353="","",IF(E353&lt;=3,6,IF(E353&lt;=6,5,IF(E353&lt;=9,4,IF(E353&lt;=12,3,IF(E353&lt;=15,2,0))))))</f>
        <v/>
      </c>
      <c r="G353" s="5" t="n"/>
      <c r="H353" s="4">
        <f>IF(OR(F353="",G353=""),"",F353*G353+IF(J353="",0,J353))</f>
        <v/>
      </c>
      <c r="I353" s="5" t="n"/>
      <c r="J353" s="5" t="n"/>
    </row>
    <row r="354">
      <c r="A354" s="5" t="n"/>
      <c r="B354" s="5" t="n"/>
      <c r="C354" s="5" t="n"/>
      <c r="D354" s="5" t="n"/>
      <c r="E354" s="4">
        <f>IF(C354="","",COUNTIF($C$7:C354,C354))</f>
        <v/>
      </c>
      <c r="F354" s="4">
        <f>IF(E354="","",IF(E354&lt;=3,6,IF(E354&lt;=6,5,IF(E354&lt;=9,4,IF(E354&lt;=12,3,IF(E354&lt;=15,2,0))))))</f>
        <v/>
      </c>
      <c r="G354" s="5" t="n"/>
      <c r="H354" s="4">
        <f>IF(OR(F354="",G354=""),"",F354*G354+IF(J354="",0,J354))</f>
        <v/>
      </c>
      <c r="I354" s="5" t="n"/>
      <c r="J354" s="5" t="n"/>
    </row>
    <row r="355">
      <c r="A355" s="5" t="n"/>
      <c r="B355" s="5" t="n"/>
      <c r="C355" s="5" t="n"/>
      <c r="D355" s="5" t="n"/>
      <c r="E355" s="4">
        <f>IF(C355="","",COUNTIF($C$7:C355,C355))</f>
        <v/>
      </c>
      <c r="F355" s="4">
        <f>IF(E355="","",IF(E355&lt;=3,6,IF(E355&lt;=6,5,IF(E355&lt;=9,4,IF(E355&lt;=12,3,IF(E355&lt;=15,2,0))))))</f>
        <v/>
      </c>
      <c r="G355" s="5" t="n"/>
      <c r="H355" s="4">
        <f>IF(OR(F355="",G355=""),"",F355*G355+IF(J355="",0,J355))</f>
        <v/>
      </c>
      <c r="I355" s="5" t="n"/>
      <c r="J355" s="5" t="n"/>
    </row>
    <row r="356">
      <c r="A356" s="5" t="n"/>
      <c r="B356" s="5" t="n"/>
      <c r="C356" s="5" t="n"/>
      <c r="D356" s="5" t="n"/>
      <c r="E356" s="4">
        <f>IF(C356="","",COUNTIF($C$7:C356,C356))</f>
        <v/>
      </c>
      <c r="F356" s="4">
        <f>IF(E356="","",IF(E356&lt;=3,6,IF(E356&lt;=6,5,IF(E356&lt;=9,4,IF(E356&lt;=12,3,IF(E356&lt;=15,2,0))))))</f>
        <v/>
      </c>
      <c r="G356" s="5" t="n"/>
      <c r="H356" s="4">
        <f>IF(OR(F356="",G356=""),"",F356*G356+IF(J356="",0,J356))</f>
        <v/>
      </c>
      <c r="I356" s="5" t="n"/>
      <c r="J356" s="5" t="n"/>
    </row>
    <row r="357">
      <c r="A357" s="5" t="n"/>
      <c r="B357" s="5" t="n"/>
      <c r="C357" s="5" t="n"/>
      <c r="D357" s="5" t="n"/>
      <c r="E357" s="4">
        <f>IF(C357="","",COUNTIF($C$7:C357,C357))</f>
        <v/>
      </c>
      <c r="F357" s="4">
        <f>IF(E357="","",IF(E357&lt;=3,6,IF(E357&lt;=6,5,IF(E357&lt;=9,4,IF(E357&lt;=12,3,IF(E357&lt;=15,2,0))))))</f>
        <v/>
      </c>
      <c r="G357" s="5" t="n"/>
      <c r="H357" s="4">
        <f>IF(OR(F357="",G357=""),"",F357*G357+IF(J357="",0,J357))</f>
        <v/>
      </c>
      <c r="I357" s="5" t="n"/>
      <c r="J357" s="5" t="n"/>
    </row>
    <row r="358">
      <c r="A358" s="5" t="n"/>
      <c r="B358" s="5" t="n"/>
      <c r="C358" s="5" t="n"/>
      <c r="D358" s="5" t="n"/>
      <c r="E358" s="4">
        <f>IF(C358="","",COUNTIF($C$7:C358,C358))</f>
        <v/>
      </c>
      <c r="F358" s="4">
        <f>IF(E358="","",IF(E358&lt;=3,6,IF(E358&lt;=6,5,IF(E358&lt;=9,4,IF(E358&lt;=12,3,IF(E358&lt;=15,2,0))))))</f>
        <v/>
      </c>
      <c r="G358" s="5" t="n"/>
      <c r="H358" s="4">
        <f>IF(OR(F358="",G358=""),"",F358*G358+IF(J358="",0,J358))</f>
        <v/>
      </c>
      <c r="I358" s="5" t="n"/>
      <c r="J358" s="5" t="n"/>
    </row>
    <row r="359">
      <c r="A359" s="5" t="n"/>
      <c r="B359" s="5" t="n"/>
      <c r="C359" s="5" t="n"/>
      <c r="D359" s="5" t="n"/>
      <c r="E359" s="4">
        <f>IF(C359="","",COUNTIF($C$7:C359,C359))</f>
        <v/>
      </c>
      <c r="F359" s="4">
        <f>IF(E359="","",IF(E359&lt;=3,6,IF(E359&lt;=6,5,IF(E359&lt;=9,4,IF(E359&lt;=12,3,IF(E359&lt;=15,2,0))))))</f>
        <v/>
      </c>
      <c r="G359" s="5" t="n"/>
      <c r="H359" s="4">
        <f>IF(OR(F359="",G359=""),"",F359*G359+IF(J359="",0,J359))</f>
        <v/>
      </c>
      <c r="I359" s="5" t="n"/>
      <c r="J359" s="5" t="n"/>
    </row>
    <row r="360">
      <c r="A360" s="5" t="n"/>
      <c r="B360" s="5" t="n"/>
      <c r="C360" s="5" t="n"/>
      <c r="D360" s="5" t="n"/>
      <c r="E360" s="4">
        <f>IF(C360="","",COUNTIF($C$7:C360,C360))</f>
        <v/>
      </c>
      <c r="F360" s="4">
        <f>IF(E360="","",IF(E360&lt;=3,6,IF(E360&lt;=6,5,IF(E360&lt;=9,4,IF(E360&lt;=12,3,IF(E360&lt;=15,2,0))))))</f>
        <v/>
      </c>
      <c r="G360" s="5" t="n"/>
      <c r="H360" s="4">
        <f>IF(OR(F360="",G360=""),"",F360*G360+IF(J360="",0,J360))</f>
        <v/>
      </c>
      <c r="I360" s="5" t="n"/>
      <c r="J360" s="5" t="n"/>
    </row>
    <row r="361">
      <c r="A361" s="5" t="n"/>
      <c r="B361" s="5" t="n"/>
      <c r="C361" s="5" t="n"/>
      <c r="D361" s="5" t="n"/>
      <c r="E361" s="4">
        <f>IF(C361="","",COUNTIF($C$7:C361,C361))</f>
        <v/>
      </c>
      <c r="F361" s="4">
        <f>IF(E361="","",IF(E361&lt;=3,6,IF(E361&lt;=6,5,IF(E361&lt;=9,4,IF(E361&lt;=12,3,IF(E361&lt;=15,2,0))))))</f>
        <v/>
      </c>
      <c r="G361" s="5" t="n"/>
      <c r="H361" s="4">
        <f>IF(OR(F361="",G361=""),"",F361*G361+IF(J361="",0,J361))</f>
        <v/>
      </c>
      <c r="I361" s="5" t="n"/>
      <c r="J361" s="5" t="n"/>
    </row>
    <row r="362">
      <c r="A362" s="5" t="n"/>
      <c r="B362" s="5" t="n"/>
      <c r="C362" s="5" t="n"/>
      <c r="D362" s="5" t="n"/>
      <c r="E362" s="4">
        <f>IF(C362="","",COUNTIF($C$7:C362,C362))</f>
        <v/>
      </c>
      <c r="F362" s="4">
        <f>IF(E362="","",IF(E362&lt;=3,6,IF(E362&lt;=6,5,IF(E362&lt;=9,4,IF(E362&lt;=12,3,IF(E362&lt;=15,2,0))))))</f>
        <v/>
      </c>
      <c r="G362" s="5" t="n"/>
      <c r="H362" s="4">
        <f>IF(OR(F362="",G362=""),"",F362*G362+IF(J362="",0,J362))</f>
        <v/>
      </c>
      <c r="I362" s="5" t="n"/>
      <c r="J362" s="5" t="n"/>
    </row>
    <row r="363">
      <c r="A363" s="5" t="n"/>
      <c r="B363" s="5" t="n"/>
      <c r="C363" s="5" t="n"/>
      <c r="D363" s="5" t="n"/>
      <c r="E363" s="4">
        <f>IF(C363="","",COUNTIF($C$7:C363,C363))</f>
        <v/>
      </c>
      <c r="F363" s="4">
        <f>IF(E363="","",IF(E363&lt;=3,6,IF(E363&lt;=6,5,IF(E363&lt;=9,4,IF(E363&lt;=12,3,IF(E363&lt;=15,2,0))))))</f>
        <v/>
      </c>
      <c r="G363" s="5" t="n"/>
      <c r="H363" s="4">
        <f>IF(OR(F363="",G363=""),"",F363*G363+IF(J363="",0,J363))</f>
        <v/>
      </c>
      <c r="I363" s="5" t="n"/>
      <c r="J363" s="5" t="n"/>
    </row>
    <row r="364">
      <c r="A364" s="5" t="n"/>
      <c r="B364" s="5" t="n"/>
      <c r="C364" s="5" t="n"/>
      <c r="D364" s="5" t="n"/>
      <c r="E364" s="4">
        <f>IF(C364="","",COUNTIF($C$7:C364,C364))</f>
        <v/>
      </c>
      <c r="F364" s="4">
        <f>IF(E364="","",IF(E364&lt;=3,6,IF(E364&lt;=6,5,IF(E364&lt;=9,4,IF(E364&lt;=12,3,IF(E364&lt;=15,2,0))))))</f>
        <v/>
      </c>
      <c r="G364" s="5" t="n"/>
      <c r="H364" s="4">
        <f>IF(OR(F364="",G364=""),"",F364*G364+IF(J364="",0,J364))</f>
        <v/>
      </c>
      <c r="I364" s="5" t="n"/>
      <c r="J364" s="5" t="n"/>
    </row>
    <row r="365">
      <c r="A365" s="5" t="n"/>
      <c r="B365" s="5" t="n"/>
      <c r="C365" s="5" t="n"/>
      <c r="D365" s="5" t="n"/>
      <c r="E365" s="4">
        <f>IF(C365="","",COUNTIF($C$7:C365,C365))</f>
        <v/>
      </c>
      <c r="F365" s="4">
        <f>IF(E365="","",IF(E365&lt;=3,6,IF(E365&lt;=6,5,IF(E365&lt;=9,4,IF(E365&lt;=12,3,IF(E365&lt;=15,2,0))))))</f>
        <v/>
      </c>
      <c r="G365" s="5" t="n"/>
      <c r="H365" s="4">
        <f>IF(OR(F365="",G365=""),"",F365*G365+IF(J365="",0,J365))</f>
        <v/>
      </c>
      <c r="I365" s="5" t="n"/>
      <c r="J365" s="5" t="n"/>
    </row>
    <row r="366">
      <c r="A366" s="5" t="n"/>
      <c r="B366" s="5" t="n"/>
      <c r="C366" s="5" t="n"/>
      <c r="D366" s="5" t="n"/>
      <c r="E366" s="4">
        <f>IF(C366="","",COUNTIF($C$7:C366,C366))</f>
        <v/>
      </c>
      <c r="F366" s="4">
        <f>IF(E366="","",IF(E366&lt;=3,6,IF(E366&lt;=6,5,IF(E366&lt;=9,4,IF(E366&lt;=12,3,IF(E366&lt;=15,2,0))))))</f>
        <v/>
      </c>
      <c r="G366" s="5" t="n"/>
      <c r="H366" s="4">
        <f>IF(OR(F366="",G366=""),"",F366*G366+IF(J366="",0,J366))</f>
        <v/>
      </c>
      <c r="I366" s="5" t="n"/>
      <c r="J366" s="5" t="n"/>
    </row>
    <row r="367">
      <c r="A367" s="5" t="n"/>
      <c r="B367" s="5" t="n"/>
      <c r="C367" s="5" t="n"/>
      <c r="D367" s="5" t="n"/>
      <c r="E367" s="4">
        <f>IF(C367="","",COUNTIF($C$7:C367,C367))</f>
        <v/>
      </c>
      <c r="F367" s="4">
        <f>IF(E367="","",IF(E367&lt;=3,6,IF(E367&lt;=6,5,IF(E367&lt;=9,4,IF(E367&lt;=12,3,IF(E367&lt;=15,2,0))))))</f>
        <v/>
      </c>
      <c r="G367" s="5" t="n"/>
      <c r="H367" s="4">
        <f>IF(OR(F367="",G367=""),"",F367*G367+IF(J367="",0,J367))</f>
        <v/>
      </c>
      <c r="I367" s="5" t="n"/>
      <c r="J367" s="5" t="n"/>
    </row>
    <row r="368">
      <c r="A368" s="5" t="n"/>
      <c r="B368" s="5" t="n"/>
      <c r="C368" s="5" t="n"/>
      <c r="D368" s="5" t="n"/>
      <c r="E368" s="4">
        <f>IF(C368="","",COUNTIF($C$7:C368,C368))</f>
        <v/>
      </c>
      <c r="F368" s="4">
        <f>IF(E368="","",IF(E368&lt;=3,6,IF(E368&lt;=6,5,IF(E368&lt;=9,4,IF(E368&lt;=12,3,IF(E368&lt;=15,2,0))))))</f>
        <v/>
      </c>
      <c r="G368" s="5" t="n"/>
      <c r="H368" s="4">
        <f>IF(OR(F368="",G368=""),"",F368*G368+IF(J368="",0,J368))</f>
        <v/>
      </c>
      <c r="I368" s="5" t="n"/>
      <c r="J368" s="5" t="n"/>
    </row>
    <row r="369">
      <c r="A369" s="5" t="n"/>
      <c r="B369" s="5" t="n"/>
      <c r="C369" s="5" t="n"/>
      <c r="D369" s="5" t="n"/>
      <c r="E369" s="4">
        <f>IF(C369="","",COUNTIF($C$7:C369,C369))</f>
        <v/>
      </c>
      <c r="F369" s="4">
        <f>IF(E369="","",IF(E369&lt;=3,6,IF(E369&lt;=6,5,IF(E369&lt;=9,4,IF(E369&lt;=12,3,IF(E369&lt;=15,2,0))))))</f>
        <v/>
      </c>
      <c r="G369" s="5" t="n"/>
      <c r="H369" s="4">
        <f>IF(OR(F369="",G369=""),"",F369*G369+IF(J369="",0,J369))</f>
        <v/>
      </c>
      <c r="I369" s="5" t="n"/>
      <c r="J369" s="5" t="n"/>
    </row>
    <row r="370">
      <c r="A370" s="5" t="n"/>
      <c r="B370" s="5" t="n"/>
      <c r="C370" s="5" t="n"/>
      <c r="D370" s="5" t="n"/>
      <c r="E370" s="4">
        <f>IF(C370="","",COUNTIF($C$7:C370,C370))</f>
        <v/>
      </c>
      <c r="F370" s="4">
        <f>IF(E370="","",IF(E370&lt;=3,6,IF(E370&lt;=6,5,IF(E370&lt;=9,4,IF(E370&lt;=12,3,IF(E370&lt;=15,2,0))))))</f>
        <v/>
      </c>
      <c r="G370" s="5" t="n"/>
      <c r="H370" s="4">
        <f>IF(OR(F370="",G370=""),"",F370*G370+IF(J370="",0,J370))</f>
        <v/>
      </c>
      <c r="I370" s="5" t="n"/>
      <c r="J370" s="5" t="n"/>
    </row>
    <row r="371">
      <c r="A371" s="5" t="n"/>
      <c r="B371" s="5" t="n"/>
      <c r="C371" s="5" t="n"/>
      <c r="D371" s="5" t="n"/>
      <c r="E371" s="4">
        <f>IF(C371="","",COUNTIF($C$7:C371,C371))</f>
        <v/>
      </c>
      <c r="F371" s="4">
        <f>IF(E371="","",IF(E371&lt;=3,6,IF(E371&lt;=6,5,IF(E371&lt;=9,4,IF(E371&lt;=12,3,IF(E371&lt;=15,2,0))))))</f>
        <v/>
      </c>
      <c r="G371" s="5" t="n"/>
      <c r="H371" s="4">
        <f>IF(OR(F371="",G371=""),"",F371*G371+IF(J371="",0,J371))</f>
        <v/>
      </c>
      <c r="I371" s="5" t="n"/>
      <c r="J371" s="5" t="n"/>
    </row>
    <row r="372">
      <c r="A372" s="5" t="n"/>
      <c r="B372" s="5" t="n"/>
      <c r="C372" s="5" t="n"/>
      <c r="D372" s="5" t="n"/>
      <c r="E372" s="4">
        <f>IF(C372="","",COUNTIF($C$7:C372,C372))</f>
        <v/>
      </c>
      <c r="F372" s="4">
        <f>IF(E372="","",IF(E372&lt;=3,6,IF(E372&lt;=6,5,IF(E372&lt;=9,4,IF(E372&lt;=12,3,IF(E372&lt;=15,2,0))))))</f>
        <v/>
      </c>
      <c r="G372" s="5" t="n"/>
      <c r="H372" s="4">
        <f>IF(OR(F372="",G372=""),"",F372*G372+IF(J372="",0,J372))</f>
        <v/>
      </c>
      <c r="I372" s="5" t="n"/>
      <c r="J372" s="5" t="n"/>
    </row>
    <row r="373">
      <c r="A373" s="5" t="n"/>
      <c r="B373" s="5" t="n"/>
      <c r="C373" s="5" t="n"/>
      <c r="D373" s="5" t="n"/>
      <c r="E373" s="4">
        <f>IF(C373="","",COUNTIF($C$7:C373,C373))</f>
        <v/>
      </c>
      <c r="F373" s="4">
        <f>IF(E373="","",IF(E373&lt;=3,6,IF(E373&lt;=6,5,IF(E373&lt;=9,4,IF(E373&lt;=12,3,IF(E373&lt;=15,2,0))))))</f>
        <v/>
      </c>
      <c r="G373" s="5" t="n"/>
      <c r="H373" s="4">
        <f>IF(OR(F373="",G373=""),"",F373*G373+IF(J373="",0,J373))</f>
        <v/>
      </c>
      <c r="I373" s="5" t="n"/>
      <c r="J373" s="5" t="n"/>
    </row>
    <row r="374">
      <c r="A374" s="5" t="n"/>
      <c r="B374" s="5" t="n"/>
      <c r="C374" s="5" t="n"/>
      <c r="D374" s="5" t="n"/>
      <c r="E374" s="4">
        <f>IF(C374="","",COUNTIF($C$7:C374,C374))</f>
        <v/>
      </c>
      <c r="F374" s="4">
        <f>IF(E374="","",IF(E374&lt;=3,6,IF(E374&lt;=6,5,IF(E374&lt;=9,4,IF(E374&lt;=12,3,IF(E374&lt;=15,2,0))))))</f>
        <v/>
      </c>
      <c r="G374" s="5" t="n"/>
      <c r="H374" s="4">
        <f>IF(OR(F374="",G374=""),"",F374*G374+IF(J374="",0,J374))</f>
        <v/>
      </c>
      <c r="I374" s="5" t="n"/>
      <c r="J374" s="5" t="n"/>
    </row>
    <row r="375">
      <c r="A375" s="5" t="n"/>
      <c r="B375" s="5" t="n"/>
      <c r="C375" s="5" t="n"/>
      <c r="D375" s="5" t="n"/>
      <c r="E375" s="4">
        <f>IF(C375="","",COUNTIF($C$7:C375,C375))</f>
        <v/>
      </c>
      <c r="F375" s="4">
        <f>IF(E375="","",IF(E375&lt;=3,6,IF(E375&lt;=6,5,IF(E375&lt;=9,4,IF(E375&lt;=12,3,IF(E375&lt;=15,2,0))))))</f>
        <v/>
      </c>
      <c r="G375" s="5" t="n"/>
      <c r="H375" s="4">
        <f>IF(OR(F375="",G375=""),"",F375*G375+IF(J375="",0,J375))</f>
        <v/>
      </c>
      <c r="I375" s="5" t="n"/>
      <c r="J375" s="5" t="n"/>
    </row>
    <row r="376">
      <c r="A376" s="5" t="n"/>
      <c r="B376" s="5" t="n"/>
      <c r="C376" s="5" t="n"/>
      <c r="D376" s="5" t="n"/>
      <c r="E376" s="4">
        <f>IF(C376="","",COUNTIF($C$7:C376,C376))</f>
        <v/>
      </c>
      <c r="F376" s="4">
        <f>IF(E376="","",IF(E376&lt;=3,6,IF(E376&lt;=6,5,IF(E376&lt;=9,4,IF(E376&lt;=12,3,IF(E376&lt;=15,2,0))))))</f>
        <v/>
      </c>
      <c r="G376" s="5" t="n"/>
      <c r="H376" s="4">
        <f>IF(OR(F376="",G376=""),"",F376*G376+IF(J376="",0,J376))</f>
        <v/>
      </c>
      <c r="I376" s="5" t="n"/>
      <c r="J376" s="5" t="n"/>
    </row>
    <row r="377">
      <c r="A377" s="5" t="n"/>
      <c r="B377" s="5" t="n"/>
      <c r="C377" s="5" t="n"/>
      <c r="D377" s="5" t="n"/>
      <c r="E377" s="4">
        <f>IF(C377="","",COUNTIF($C$7:C377,C377))</f>
        <v/>
      </c>
      <c r="F377" s="4">
        <f>IF(E377="","",IF(E377&lt;=3,6,IF(E377&lt;=6,5,IF(E377&lt;=9,4,IF(E377&lt;=12,3,IF(E377&lt;=15,2,0))))))</f>
        <v/>
      </c>
      <c r="G377" s="5" t="n"/>
      <c r="H377" s="4">
        <f>IF(OR(F377="",G377=""),"",F377*G377+IF(J377="",0,J377))</f>
        <v/>
      </c>
      <c r="I377" s="5" t="n"/>
      <c r="J377" s="5" t="n"/>
    </row>
    <row r="378">
      <c r="A378" s="5" t="n"/>
      <c r="B378" s="5" t="n"/>
      <c r="C378" s="5" t="n"/>
      <c r="D378" s="5" t="n"/>
      <c r="E378" s="4">
        <f>IF(C378="","",COUNTIF($C$7:C378,C378))</f>
        <v/>
      </c>
      <c r="F378" s="4">
        <f>IF(E378="","",IF(E378&lt;=3,6,IF(E378&lt;=6,5,IF(E378&lt;=9,4,IF(E378&lt;=12,3,IF(E378&lt;=15,2,0))))))</f>
        <v/>
      </c>
      <c r="G378" s="5" t="n"/>
      <c r="H378" s="4">
        <f>IF(OR(F378="",G378=""),"",F378*G378+IF(J378="",0,J378))</f>
        <v/>
      </c>
      <c r="I378" s="5" t="n"/>
      <c r="J378" s="5" t="n"/>
    </row>
    <row r="379">
      <c r="A379" s="5" t="n"/>
      <c r="B379" s="5" t="n"/>
      <c r="C379" s="5" t="n"/>
      <c r="D379" s="5" t="n"/>
      <c r="E379" s="4">
        <f>IF(C379="","",COUNTIF($C$7:C379,C379))</f>
        <v/>
      </c>
      <c r="F379" s="4">
        <f>IF(E379="","",IF(E379&lt;=3,6,IF(E379&lt;=6,5,IF(E379&lt;=9,4,IF(E379&lt;=12,3,IF(E379&lt;=15,2,0))))))</f>
        <v/>
      </c>
      <c r="G379" s="5" t="n"/>
      <c r="H379" s="4">
        <f>IF(OR(F379="",G379=""),"",F379*G379+IF(J379="",0,J379))</f>
        <v/>
      </c>
      <c r="I379" s="5" t="n"/>
      <c r="J379" s="5" t="n"/>
    </row>
    <row r="380">
      <c r="A380" s="5" t="n"/>
      <c r="B380" s="5" t="n"/>
      <c r="C380" s="5" t="n"/>
      <c r="D380" s="5" t="n"/>
      <c r="E380" s="4">
        <f>IF(C380="","",COUNTIF($C$7:C380,C380))</f>
        <v/>
      </c>
      <c r="F380" s="4">
        <f>IF(E380="","",IF(E380&lt;=3,6,IF(E380&lt;=6,5,IF(E380&lt;=9,4,IF(E380&lt;=12,3,IF(E380&lt;=15,2,0))))))</f>
        <v/>
      </c>
      <c r="G380" s="5" t="n"/>
      <c r="H380" s="4">
        <f>IF(OR(F380="",G380=""),"",F380*G380+IF(J380="",0,J380))</f>
        <v/>
      </c>
      <c r="I380" s="5" t="n"/>
      <c r="J380" s="5" t="n"/>
    </row>
    <row r="381">
      <c r="A381" s="5" t="n"/>
      <c r="B381" s="5" t="n"/>
      <c r="C381" s="5" t="n"/>
      <c r="D381" s="5" t="n"/>
      <c r="E381" s="4">
        <f>IF(C381="","",COUNTIF($C$7:C381,C381))</f>
        <v/>
      </c>
      <c r="F381" s="4">
        <f>IF(E381="","",IF(E381&lt;=3,6,IF(E381&lt;=6,5,IF(E381&lt;=9,4,IF(E381&lt;=12,3,IF(E381&lt;=15,2,0))))))</f>
        <v/>
      </c>
      <c r="G381" s="5" t="n"/>
      <c r="H381" s="4">
        <f>IF(OR(F381="",G381=""),"",F381*G381+IF(J381="",0,J381))</f>
        <v/>
      </c>
      <c r="I381" s="5" t="n"/>
      <c r="J381" s="5" t="n"/>
    </row>
    <row r="382">
      <c r="A382" s="5" t="n"/>
      <c r="B382" s="5" t="n"/>
      <c r="C382" s="5" t="n"/>
      <c r="D382" s="5" t="n"/>
      <c r="E382" s="4">
        <f>IF(C382="","",COUNTIF($C$7:C382,C382))</f>
        <v/>
      </c>
      <c r="F382" s="4">
        <f>IF(E382="","",IF(E382&lt;=3,6,IF(E382&lt;=6,5,IF(E382&lt;=9,4,IF(E382&lt;=12,3,IF(E382&lt;=15,2,0))))))</f>
        <v/>
      </c>
      <c r="G382" s="5" t="n"/>
      <c r="H382" s="4">
        <f>IF(OR(F382="",G382=""),"",F382*G382+IF(J382="",0,J382))</f>
        <v/>
      </c>
      <c r="I382" s="5" t="n"/>
      <c r="J382" s="5" t="n"/>
    </row>
    <row r="383">
      <c r="A383" s="5" t="n"/>
      <c r="B383" s="5" t="n"/>
      <c r="C383" s="5" t="n"/>
      <c r="D383" s="5" t="n"/>
      <c r="E383" s="4">
        <f>IF(C383="","",COUNTIF($C$7:C383,C383))</f>
        <v/>
      </c>
      <c r="F383" s="4">
        <f>IF(E383="","",IF(E383&lt;=3,6,IF(E383&lt;=6,5,IF(E383&lt;=9,4,IF(E383&lt;=12,3,IF(E383&lt;=15,2,0))))))</f>
        <v/>
      </c>
      <c r="G383" s="5" t="n"/>
      <c r="H383" s="4">
        <f>IF(OR(F383="",G383=""),"",F383*G383+IF(J383="",0,J383))</f>
        <v/>
      </c>
      <c r="I383" s="5" t="n"/>
      <c r="J383" s="5" t="n"/>
    </row>
    <row r="384">
      <c r="A384" s="5" t="n"/>
      <c r="B384" s="5" t="n"/>
      <c r="C384" s="5" t="n"/>
      <c r="D384" s="5" t="n"/>
      <c r="E384" s="4">
        <f>IF(C384="","",COUNTIF($C$7:C384,C384))</f>
        <v/>
      </c>
      <c r="F384" s="4">
        <f>IF(E384="","",IF(E384&lt;=3,6,IF(E384&lt;=6,5,IF(E384&lt;=9,4,IF(E384&lt;=12,3,IF(E384&lt;=15,2,0))))))</f>
        <v/>
      </c>
      <c r="G384" s="5" t="n"/>
      <c r="H384" s="4">
        <f>IF(OR(F384="",G384=""),"",F384*G384+IF(J384="",0,J384))</f>
        <v/>
      </c>
      <c r="I384" s="5" t="n"/>
      <c r="J384" s="5" t="n"/>
    </row>
    <row r="385">
      <c r="A385" s="5" t="n"/>
      <c r="B385" s="5" t="n"/>
      <c r="C385" s="5" t="n"/>
      <c r="D385" s="5" t="n"/>
      <c r="E385" s="4">
        <f>IF(C385="","",COUNTIF($C$7:C385,C385))</f>
        <v/>
      </c>
      <c r="F385" s="4">
        <f>IF(E385="","",IF(E385&lt;=3,6,IF(E385&lt;=6,5,IF(E385&lt;=9,4,IF(E385&lt;=12,3,IF(E385&lt;=15,2,0))))))</f>
        <v/>
      </c>
      <c r="G385" s="5" t="n"/>
      <c r="H385" s="4">
        <f>IF(OR(F385="",G385=""),"",F385*G385+IF(J385="",0,J385))</f>
        <v/>
      </c>
      <c r="I385" s="5" t="n"/>
      <c r="J385" s="5" t="n"/>
    </row>
    <row r="386">
      <c r="A386" s="5" t="n"/>
      <c r="B386" s="5" t="n"/>
      <c r="C386" s="5" t="n"/>
      <c r="D386" s="5" t="n"/>
      <c r="E386" s="4">
        <f>IF(C386="","",COUNTIF($C$7:C386,C386))</f>
        <v/>
      </c>
      <c r="F386" s="4">
        <f>IF(E386="","",IF(E386&lt;=3,6,IF(E386&lt;=6,5,IF(E386&lt;=9,4,IF(E386&lt;=12,3,IF(E386&lt;=15,2,0))))))</f>
        <v/>
      </c>
      <c r="G386" s="5" t="n"/>
      <c r="H386" s="4">
        <f>IF(OR(F386="",G386=""),"",F386*G386+IF(J386="",0,J386))</f>
        <v/>
      </c>
      <c r="I386" s="5" t="n"/>
      <c r="J386" s="5" t="n"/>
    </row>
    <row r="387">
      <c r="A387" s="5" t="n"/>
      <c r="B387" s="5" t="n"/>
      <c r="C387" s="5" t="n"/>
      <c r="D387" s="5" t="n"/>
      <c r="E387" s="4">
        <f>IF(C387="","",COUNTIF($C$7:C387,C387))</f>
        <v/>
      </c>
      <c r="F387" s="4">
        <f>IF(E387="","",IF(E387&lt;=3,6,IF(E387&lt;=6,5,IF(E387&lt;=9,4,IF(E387&lt;=12,3,IF(E387&lt;=15,2,0))))))</f>
        <v/>
      </c>
      <c r="G387" s="5" t="n"/>
      <c r="H387" s="4">
        <f>IF(OR(F387="",G387=""),"",F387*G387+IF(J387="",0,J387))</f>
        <v/>
      </c>
      <c r="I387" s="5" t="n"/>
      <c r="J387" s="5" t="n"/>
    </row>
    <row r="388">
      <c r="A388" s="5" t="n"/>
      <c r="B388" s="5" t="n"/>
      <c r="C388" s="5" t="n"/>
      <c r="D388" s="5" t="n"/>
      <c r="E388" s="4">
        <f>IF(C388="","",COUNTIF($C$7:C388,C388))</f>
        <v/>
      </c>
      <c r="F388" s="4">
        <f>IF(E388="","",IF(E388&lt;=3,6,IF(E388&lt;=6,5,IF(E388&lt;=9,4,IF(E388&lt;=12,3,IF(E388&lt;=15,2,0))))))</f>
        <v/>
      </c>
      <c r="G388" s="5" t="n"/>
      <c r="H388" s="4">
        <f>IF(OR(F388="",G388=""),"",F388*G388+IF(J388="",0,J388))</f>
        <v/>
      </c>
      <c r="I388" s="5" t="n"/>
      <c r="J388" s="5" t="n"/>
    </row>
    <row r="389">
      <c r="A389" s="5" t="n"/>
      <c r="B389" s="5" t="n"/>
      <c r="C389" s="5" t="n"/>
      <c r="D389" s="5" t="n"/>
      <c r="E389" s="4">
        <f>IF(C389="","",COUNTIF($C$7:C389,C389))</f>
        <v/>
      </c>
      <c r="F389" s="4">
        <f>IF(E389="","",IF(E389&lt;=3,6,IF(E389&lt;=6,5,IF(E389&lt;=9,4,IF(E389&lt;=12,3,IF(E389&lt;=15,2,0))))))</f>
        <v/>
      </c>
      <c r="G389" s="5" t="n"/>
      <c r="H389" s="4">
        <f>IF(OR(F389="",G389=""),"",F389*G389+IF(J389="",0,J389))</f>
        <v/>
      </c>
      <c r="I389" s="5" t="n"/>
      <c r="J389" s="5" t="n"/>
    </row>
    <row r="390">
      <c r="A390" s="5" t="n"/>
      <c r="B390" s="5" t="n"/>
      <c r="C390" s="5" t="n"/>
      <c r="D390" s="5" t="n"/>
      <c r="E390" s="4">
        <f>IF(C390="","",COUNTIF($C$7:C390,C390))</f>
        <v/>
      </c>
      <c r="F390" s="4">
        <f>IF(E390="","",IF(E390&lt;=3,6,IF(E390&lt;=6,5,IF(E390&lt;=9,4,IF(E390&lt;=12,3,IF(E390&lt;=15,2,0))))))</f>
        <v/>
      </c>
      <c r="G390" s="5" t="n"/>
      <c r="H390" s="4">
        <f>IF(OR(F390="",G390=""),"",F390*G390+IF(J390="",0,J390))</f>
        <v/>
      </c>
      <c r="I390" s="5" t="n"/>
      <c r="J390" s="5" t="n"/>
    </row>
    <row r="391">
      <c r="A391" s="5" t="n"/>
      <c r="B391" s="5" t="n"/>
      <c r="C391" s="5" t="n"/>
      <c r="D391" s="5" t="n"/>
      <c r="E391" s="4">
        <f>IF(C391="","",COUNTIF($C$7:C391,C391))</f>
        <v/>
      </c>
      <c r="F391" s="4">
        <f>IF(E391="","",IF(E391&lt;=3,6,IF(E391&lt;=6,5,IF(E391&lt;=9,4,IF(E391&lt;=12,3,IF(E391&lt;=15,2,0))))))</f>
        <v/>
      </c>
      <c r="G391" s="5" t="n"/>
      <c r="H391" s="4">
        <f>IF(OR(F391="",G391=""),"",F391*G391+IF(J391="",0,J391))</f>
        <v/>
      </c>
      <c r="I391" s="5" t="n"/>
      <c r="J391" s="5" t="n"/>
    </row>
    <row r="392">
      <c r="A392" s="5" t="n"/>
      <c r="B392" s="5" t="n"/>
      <c r="C392" s="5" t="n"/>
      <c r="D392" s="5" t="n"/>
      <c r="E392" s="4">
        <f>IF(C392="","",COUNTIF($C$7:C392,C392))</f>
        <v/>
      </c>
      <c r="F392" s="4">
        <f>IF(E392="","",IF(E392&lt;=3,6,IF(E392&lt;=6,5,IF(E392&lt;=9,4,IF(E392&lt;=12,3,IF(E392&lt;=15,2,0))))))</f>
        <v/>
      </c>
      <c r="G392" s="5" t="n"/>
      <c r="H392" s="4">
        <f>IF(OR(F392="",G392=""),"",F392*G392+IF(J392="",0,J392))</f>
        <v/>
      </c>
      <c r="I392" s="5" t="n"/>
      <c r="J392" s="5" t="n"/>
    </row>
    <row r="393">
      <c r="A393" s="5" t="n"/>
      <c r="B393" s="5" t="n"/>
      <c r="C393" s="5" t="n"/>
      <c r="D393" s="5" t="n"/>
      <c r="E393" s="4">
        <f>IF(C393="","",COUNTIF($C$7:C393,C393))</f>
        <v/>
      </c>
      <c r="F393" s="4">
        <f>IF(E393="","",IF(E393&lt;=3,6,IF(E393&lt;=6,5,IF(E393&lt;=9,4,IF(E393&lt;=12,3,IF(E393&lt;=15,2,0))))))</f>
        <v/>
      </c>
      <c r="G393" s="5" t="n"/>
      <c r="H393" s="4">
        <f>IF(OR(F393="",G393=""),"",F393*G393+IF(J393="",0,J393))</f>
        <v/>
      </c>
      <c r="I393" s="5" t="n"/>
      <c r="J393" s="5" t="n"/>
    </row>
    <row r="394">
      <c r="A394" s="5" t="n"/>
      <c r="B394" s="5" t="n"/>
      <c r="C394" s="5" t="n"/>
      <c r="D394" s="5" t="n"/>
      <c r="E394" s="4">
        <f>IF(C394="","",COUNTIF($C$7:C394,C394))</f>
        <v/>
      </c>
      <c r="F394" s="4">
        <f>IF(E394="","",IF(E394&lt;=3,6,IF(E394&lt;=6,5,IF(E394&lt;=9,4,IF(E394&lt;=12,3,IF(E394&lt;=15,2,0))))))</f>
        <v/>
      </c>
      <c r="G394" s="5" t="n"/>
      <c r="H394" s="4">
        <f>IF(OR(F394="",G394=""),"",F394*G394+IF(J394="",0,J394))</f>
        <v/>
      </c>
      <c r="I394" s="5" t="n"/>
      <c r="J394" s="5" t="n"/>
    </row>
    <row r="395">
      <c r="A395" s="5" t="n"/>
      <c r="B395" s="5" t="n"/>
      <c r="C395" s="5" t="n"/>
      <c r="D395" s="5" t="n"/>
      <c r="E395" s="4">
        <f>IF(C395="","",COUNTIF($C$7:C395,C395))</f>
        <v/>
      </c>
      <c r="F395" s="4">
        <f>IF(E395="","",IF(E395&lt;=3,6,IF(E395&lt;=6,5,IF(E395&lt;=9,4,IF(E395&lt;=12,3,IF(E395&lt;=15,2,0))))))</f>
        <v/>
      </c>
      <c r="G395" s="5" t="n"/>
      <c r="H395" s="4">
        <f>IF(OR(F395="",G395=""),"",F395*G395+IF(J395="",0,J395))</f>
        <v/>
      </c>
      <c r="I395" s="5" t="n"/>
      <c r="J395" s="5" t="n"/>
    </row>
    <row r="396">
      <c r="A396" s="5" t="n"/>
      <c r="B396" s="5" t="n"/>
      <c r="C396" s="5" t="n"/>
      <c r="D396" s="5" t="n"/>
      <c r="E396" s="4">
        <f>IF(C396="","",COUNTIF($C$7:C396,C396))</f>
        <v/>
      </c>
      <c r="F396" s="4">
        <f>IF(E396="","",IF(E396&lt;=3,6,IF(E396&lt;=6,5,IF(E396&lt;=9,4,IF(E396&lt;=12,3,IF(E396&lt;=15,2,0))))))</f>
        <v/>
      </c>
      <c r="G396" s="5" t="n"/>
      <c r="H396" s="4">
        <f>IF(OR(F396="",G396=""),"",F396*G396+IF(J396="",0,J396))</f>
        <v/>
      </c>
      <c r="I396" s="5" t="n"/>
      <c r="J396" s="5" t="n"/>
    </row>
    <row r="397">
      <c r="A397" s="5" t="n"/>
      <c r="B397" s="5" t="n"/>
      <c r="C397" s="5" t="n"/>
      <c r="D397" s="5" t="n"/>
      <c r="E397" s="4">
        <f>IF(C397="","",COUNTIF($C$7:C397,C397))</f>
        <v/>
      </c>
      <c r="F397" s="4">
        <f>IF(E397="","",IF(E397&lt;=3,6,IF(E397&lt;=6,5,IF(E397&lt;=9,4,IF(E397&lt;=12,3,IF(E397&lt;=15,2,0))))))</f>
        <v/>
      </c>
      <c r="G397" s="5" t="n"/>
      <c r="H397" s="4">
        <f>IF(OR(F397="",G397=""),"",F397*G397+IF(J397="",0,J397))</f>
        <v/>
      </c>
      <c r="I397" s="5" t="n"/>
      <c r="J397" s="5" t="n"/>
    </row>
    <row r="398">
      <c r="A398" s="5" t="n"/>
      <c r="B398" s="5" t="n"/>
      <c r="C398" s="5" t="n"/>
      <c r="D398" s="5" t="n"/>
      <c r="E398" s="4">
        <f>IF(C398="","",COUNTIF($C$7:C398,C398))</f>
        <v/>
      </c>
      <c r="F398" s="4">
        <f>IF(E398="","",IF(E398&lt;=3,6,IF(E398&lt;=6,5,IF(E398&lt;=9,4,IF(E398&lt;=12,3,IF(E398&lt;=15,2,0))))))</f>
        <v/>
      </c>
      <c r="G398" s="5" t="n"/>
      <c r="H398" s="4">
        <f>IF(OR(F398="",G398=""),"",F398*G398+IF(J398="",0,J398))</f>
        <v/>
      </c>
      <c r="I398" s="5" t="n"/>
      <c r="J398" s="5" t="n"/>
    </row>
    <row r="399">
      <c r="A399" s="5" t="n"/>
      <c r="B399" s="5" t="n"/>
      <c r="C399" s="5" t="n"/>
      <c r="D399" s="5" t="n"/>
      <c r="E399" s="4">
        <f>IF(C399="","",COUNTIF($C$7:C399,C399))</f>
        <v/>
      </c>
      <c r="F399" s="4">
        <f>IF(E399="","",IF(E399&lt;=3,6,IF(E399&lt;=6,5,IF(E399&lt;=9,4,IF(E399&lt;=12,3,IF(E399&lt;=15,2,0))))))</f>
        <v/>
      </c>
      <c r="G399" s="5" t="n"/>
      <c r="H399" s="4">
        <f>IF(OR(F399="",G399=""),"",F399*G399+IF(J399="",0,J399))</f>
        <v/>
      </c>
      <c r="I399" s="5" t="n"/>
      <c r="J399" s="5" t="n"/>
    </row>
    <row r="400">
      <c r="A400" s="5" t="n"/>
      <c r="B400" s="5" t="n"/>
      <c r="C400" s="5" t="n"/>
      <c r="D400" s="5" t="n"/>
      <c r="E400" s="4">
        <f>IF(C400="","",COUNTIF($C$7:C400,C400))</f>
        <v/>
      </c>
      <c r="F400" s="4">
        <f>IF(E400="","",IF(E400&lt;=3,6,IF(E400&lt;=6,5,IF(E400&lt;=9,4,IF(E400&lt;=12,3,IF(E400&lt;=15,2,0))))))</f>
        <v/>
      </c>
      <c r="G400" s="5" t="n"/>
      <c r="H400" s="4">
        <f>IF(OR(F400="",G400=""),"",F400*G400+IF(J400="",0,J400))</f>
        <v/>
      </c>
      <c r="I400" s="5" t="n"/>
      <c r="J400" s="5" t="n"/>
    </row>
    <row r="401">
      <c r="A401" s="5" t="n"/>
      <c r="B401" s="5" t="n"/>
      <c r="C401" s="5" t="n"/>
      <c r="D401" s="5" t="n"/>
      <c r="E401" s="4">
        <f>IF(C401="","",COUNTIF($C$7:C401,C401))</f>
        <v/>
      </c>
      <c r="F401" s="4">
        <f>IF(E401="","",IF(E401&lt;=3,6,IF(E401&lt;=6,5,IF(E401&lt;=9,4,IF(E401&lt;=12,3,IF(E401&lt;=15,2,0))))))</f>
        <v/>
      </c>
      <c r="G401" s="5" t="n"/>
      <c r="H401" s="4">
        <f>IF(OR(F401="",G401=""),"",F401*G401+IF(J401="",0,J401))</f>
        <v/>
      </c>
      <c r="I401" s="5" t="n"/>
      <c r="J401" s="5" t="n"/>
    </row>
    <row r="402">
      <c r="A402" s="5" t="n"/>
      <c r="B402" s="5" t="n"/>
      <c r="C402" s="5" t="n"/>
      <c r="D402" s="5" t="n"/>
      <c r="E402" s="4">
        <f>IF(C402="","",COUNTIF($C$7:C402,C402))</f>
        <v/>
      </c>
      <c r="F402" s="4">
        <f>IF(E402="","",IF(E402&lt;=3,6,IF(E402&lt;=6,5,IF(E402&lt;=9,4,IF(E402&lt;=12,3,IF(E402&lt;=15,2,0))))))</f>
        <v/>
      </c>
      <c r="G402" s="5" t="n"/>
      <c r="H402" s="4">
        <f>IF(OR(F402="",G402=""),"",F402*G402+IF(J402="",0,J402))</f>
        <v/>
      </c>
      <c r="I402" s="5" t="n"/>
      <c r="J402" s="5" t="n"/>
    </row>
    <row r="403">
      <c r="A403" s="5" t="n"/>
      <c r="B403" s="5" t="n"/>
      <c r="C403" s="5" t="n"/>
      <c r="D403" s="5" t="n"/>
      <c r="E403" s="4">
        <f>IF(C403="","",COUNTIF($C$7:C403,C403))</f>
        <v/>
      </c>
      <c r="F403" s="4">
        <f>IF(E403="","",IF(E403&lt;=3,6,IF(E403&lt;=6,5,IF(E403&lt;=9,4,IF(E403&lt;=12,3,IF(E403&lt;=15,2,0))))))</f>
        <v/>
      </c>
      <c r="G403" s="5" t="n"/>
      <c r="H403" s="4">
        <f>IF(OR(F403="",G403=""),"",F403*G403+IF(J403="",0,J403))</f>
        <v/>
      </c>
      <c r="I403" s="5" t="n"/>
      <c r="J403" s="5" t="n"/>
    </row>
    <row r="404">
      <c r="A404" s="5" t="n"/>
      <c r="B404" s="5" t="n"/>
      <c r="C404" s="5" t="n"/>
      <c r="D404" s="5" t="n"/>
      <c r="E404" s="4">
        <f>IF(C404="","",COUNTIF($C$7:C404,C404))</f>
        <v/>
      </c>
      <c r="F404" s="4">
        <f>IF(E404="","",IF(E404&lt;=3,6,IF(E404&lt;=6,5,IF(E404&lt;=9,4,IF(E404&lt;=12,3,IF(E404&lt;=15,2,0))))))</f>
        <v/>
      </c>
      <c r="G404" s="5" t="n"/>
      <c r="H404" s="4">
        <f>IF(OR(F404="",G404=""),"",F404*G404+IF(J404="",0,J404))</f>
        <v/>
      </c>
      <c r="I404" s="5" t="n"/>
      <c r="J404" s="5" t="n"/>
    </row>
    <row r="405">
      <c r="A405" s="5" t="n"/>
      <c r="B405" s="5" t="n"/>
      <c r="C405" s="5" t="n"/>
      <c r="D405" s="5" t="n"/>
      <c r="E405" s="4">
        <f>IF(C405="","",COUNTIF($C$7:C405,C405))</f>
        <v/>
      </c>
      <c r="F405" s="4">
        <f>IF(E405="","",IF(E405&lt;=3,6,IF(E405&lt;=6,5,IF(E405&lt;=9,4,IF(E405&lt;=12,3,IF(E405&lt;=15,2,0))))))</f>
        <v/>
      </c>
      <c r="G405" s="5" t="n"/>
      <c r="H405" s="4">
        <f>IF(OR(F405="",G405=""),"",F405*G405+IF(J405="",0,J405))</f>
        <v/>
      </c>
      <c r="I405" s="5" t="n"/>
      <c r="J405" s="5" t="n"/>
    </row>
    <row r="406">
      <c r="A406" s="5" t="n"/>
      <c r="B406" s="5" t="n"/>
      <c r="C406" s="5" t="n"/>
      <c r="D406" s="5" t="n"/>
      <c r="E406" s="4">
        <f>IF(C406="","",COUNTIF($C$7:C406,C406))</f>
        <v/>
      </c>
      <c r="F406" s="4">
        <f>IF(E406="","",IF(E406&lt;=3,6,IF(E406&lt;=6,5,IF(E406&lt;=9,4,IF(E406&lt;=12,3,IF(E406&lt;=15,2,0))))))</f>
        <v/>
      </c>
      <c r="G406" s="5" t="n"/>
      <c r="H406" s="4">
        <f>IF(OR(F406="",G406=""),"",F406*G406+IF(J406="",0,J406))</f>
        <v/>
      </c>
      <c r="I406" s="5" t="n"/>
      <c r="J406" s="5" t="n"/>
    </row>
    <row r="407">
      <c r="A407" s="5" t="n"/>
      <c r="B407" s="5" t="n"/>
      <c r="C407" s="5" t="n"/>
      <c r="D407" s="5" t="n"/>
      <c r="E407" s="4">
        <f>IF(C407="","",COUNTIF($C$7:C407,C407))</f>
        <v/>
      </c>
      <c r="F407" s="4">
        <f>IF(E407="","",IF(E407&lt;=3,6,IF(E407&lt;=6,5,IF(E407&lt;=9,4,IF(E407&lt;=12,3,IF(E407&lt;=15,2,0))))))</f>
        <v/>
      </c>
      <c r="G407" s="5" t="n"/>
      <c r="H407" s="4">
        <f>IF(OR(F407="",G407=""),"",F407*G407+IF(J407="",0,J407))</f>
        <v/>
      </c>
      <c r="I407" s="5" t="n"/>
      <c r="J407" s="5" t="n"/>
    </row>
    <row r="408">
      <c r="A408" s="5" t="n"/>
      <c r="B408" s="5" t="n"/>
      <c r="C408" s="5" t="n"/>
      <c r="D408" s="5" t="n"/>
      <c r="E408" s="4">
        <f>IF(C408="","",COUNTIF($C$7:C408,C408))</f>
        <v/>
      </c>
      <c r="F408" s="4">
        <f>IF(E408="","",IF(E408&lt;=3,6,IF(E408&lt;=6,5,IF(E408&lt;=9,4,IF(E408&lt;=12,3,IF(E408&lt;=15,2,0))))))</f>
        <v/>
      </c>
      <c r="G408" s="5" t="n"/>
      <c r="H408" s="4">
        <f>IF(OR(F408="",G408=""),"",F408*G408+IF(J408="",0,J408))</f>
        <v/>
      </c>
      <c r="I408" s="5" t="n"/>
      <c r="J408" s="5" t="n"/>
    </row>
    <row r="409">
      <c r="A409" s="5" t="n"/>
      <c r="B409" s="5" t="n"/>
      <c r="C409" s="5" t="n"/>
      <c r="D409" s="5" t="n"/>
      <c r="E409" s="4">
        <f>IF(C409="","",COUNTIF($C$7:C409,C409))</f>
        <v/>
      </c>
      <c r="F409" s="4">
        <f>IF(E409="","",IF(E409&lt;=3,6,IF(E409&lt;=6,5,IF(E409&lt;=9,4,IF(E409&lt;=12,3,IF(E409&lt;=15,2,0))))))</f>
        <v/>
      </c>
      <c r="G409" s="5" t="n"/>
      <c r="H409" s="4">
        <f>IF(OR(F409="",G409=""),"",F409*G409+IF(J409="",0,J409))</f>
        <v/>
      </c>
      <c r="I409" s="5" t="n"/>
      <c r="J409" s="5" t="n"/>
    </row>
    <row r="410">
      <c r="A410" s="5" t="n"/>
      <c r="B410" s="5" t="n"/>
      <c r="C410" s="5" t="n"/>
      <c r="D410" s="5" t="n"/>
      <c r="E410" s="4">
        <f>IF(C410="","",COUNTIF($C$7:C410,C410))</f>
        <v/>
      </c>
      <c r="F410" s="4">
        <f>IF(E410="","",IF(E410&lt;=3,6,IF(E410&lt;=6,5,IF(E410&lt;=9,4,IF(E410&lt;=12,3,IF(E410&lt;=15,2,0))))))</f>
        <v/>
      </c>
      <c r="G410" s="5" t="n"/>
      <c r="H410" s="4">
        <f>IF(OR(F410="",G410=""),"",F410*G410+IF(J410="",0,J410))</f>
        <v/>
      </c>
      <c r="I410" s="5" t="n"/>
      <c r="J410" s="5" t="n"/>
    </row>
    <row r="411">
      <c r="A411" s="5" t="n"/>
      <c r="B411" s="5" t="n"/>
      <c r="C411" s="5" t="n"/>
      <c r="D411" s="5" t="n"/>
      <c r="E411" s="4">
        <f>IF(C411="","",COUNTIF($C$7:C411,C411))</f>
        <v/>
      </c>
      <c r="F411" s="4">
        <f>IF(E411="","",IF(E411&lt;=3,6,IF(E411&lt;=6,5,IF(E411&lt;=9,4,IF(E411&lt;=12,3,IF(E411&lt;=15,2,0))))))</f>
        <v/>
      </c>
      <c r="G411" s="5" t="n"/>
      <c r="H411" s="4">
        <f>IF(OR(F411="",G411=""),"",F411*G411+IF(J411="",0,J411))</f>
        <v/>
      </c>
      <c r="I411" s="5" t="n"/>
      <c r="J411" s="5" t="n"/>
    </row>
    <row r="412">
      <c r="A412" s="5" t="n"/>
      <c r="B412" s="5" t="n"/>
      <c r="C412" s="5" t="n"/>
      <c r="D412" s="5" t="n"/>
      <c r="E412" s="4">
        <f>IF(C412="","",COUNTIF($C$7:C412,C412))</f>
        <v/>
      </c>
      <c r="F412" s="4">
        <f>IF(E412="","",IF(E412&lt;=3,6,IF(E412&lt;=6,5,IF(E412&lt;=9,4,IF(E412&lt;=12,3,IF(E412&lt;=15,2,0))))))</f>
        <v/>
      </c>
      <c r="G412" s="5" t="n"/>
      <c r="H412" s="4">
        <f>IF(OR(F412="",G412=""),"",F412*G412+IF(J412="",0,J412))</f>
        <v/>
      </c>
      <c r="I412" s="5" t="n"/>
      <c r="J412" s="5" t="n"/>
    </row>
    <row r="413">
      <c r="A413" s="5" t="n"/>
      <c r="B413" s="5" t="n"/>
      <c r="C413" s="5" t="n"/>
      <c r="D413" s="5" t="n"/>
      <c r="E413" s="4">
        <f>IF(C413="","",COUNTIF($C$7:C413,C413))</f>
        <v/>
      </c>
      <c r="F413" s="4">
        <f>IF(E413="","",IF(E413&lt;=3,6,IF(E413&lt;=6,5,IF(E413&lt;=9,4,IF(E413&lt;=12,3,IF(E413&lt;=15,2,0))))))</f>
        <v/>
      </c>
      <c r="G413" s="5" t="n"/>
      <c r="H413" s="4">
        <f>IF(OR(F413="",G413=""),"",F413*G413+IF(J413="",0,J413))</f>
        <v/>
      </c>
      <c r="I413" s="5" t="n"/>
      <c r="J413" s="5" t="n"/>
    </row>
    <row r="414">
      <c r="A414" s="5" t="n"/>
      <c r="B414" s="5" t="n"/>
      <c r="C414" s="5" t="n"/>
      <c r="D414" s="5" t="n"/>
      <c r="E414" s="4">
        <f>IF(C414="","",COUNTIF($C$7:C414,C414))</f>
        <v/>
      </c>
      <c r="F414" s="4">
        <f>IF(E414="","",IF(E414&lt;=3,6,IF(E414&lt;=6,5,IF(E414&lt;=9,4,IF(E414&lt;=12,3,IF(E414&lt;=15,2,0))))))</f>
        <v/>
      </c>
      <c r="G414" s="5" t="n"/>
      <c r="H414" s="4">
        <f>IF(OR(F414="",G414=""),"",F414*G414+IF(J414="",0,J414))</f>
        <v/>
      </c>
      <c r="I414" s="5" t="n"/>
      <c r="J414" s="5" t="n"/>
    </row>
    <row r="415">
      <c r="A415" s="5" t="n"/>
      <c r="B415" s="5" t="n"/>
      <c r="C415" s="5" t="n"/>
      <c r="D415" s="5" t="n"/>
      <c r="E415" s="4">
        <f>IF(C415="","",COUNTIF($C$7:C415,C415))</f>
        <v/>
      </c>
      <c r="F415" s="4">
        <f>IF(E415="","",IF(E415&lt;=3,6,IF(E415&lt;=6,5,IF(E415&lt;=9,4,IF(E415&lt;=12,3,IF(E415&lt;=15,2,0))))))</f>
        <v/>
      </c>
      <c r="G415" s="5" t="n"/>
      <c r="H415" s="4">
        <f>IF(OR(F415="",G415=""),"",F415*G415+IF(J415="",0,J415))</f>
        <v/>
      </c>
      <c r="I415" s="5" t="n"/>
      <c r="J415" s="5" t="n"/>
    </row>
    <row r="416">
      <c r="A416" s="5" t="n"/>
      <c r="B416" s="5" t="n"/>
      <c r="C416" s="5" t="n"/>
      <c r="D416" s="5" t="n"/>
      <c r="E416" s="4">
        <f>IF(C416="","",COUNTIF($C$7:C416,C416))</f>
        <v/>
      </c>
      <c r="F416" s="4">
        <f>IF(E416="","",IF(E416&lt;=3,6,IF(E416&lt;=6,5,IF(E416&lt;=9,4,IF(E416&lt;=12,3,IF(E416&lt;=15,2,0))))))</f>
        <v/>
      </c>
      <c r="G416" s="5" t="n"/>
      <c r="H416" s="4">
        <f>IF(OR(F416="",G416=""),"",F416*G416+IF(J416="",0,J416))</f>
        <v/>
      </c>
      <c r="I416" s="5" t="n"/>
      <c r="J416" s="5" t="n"/>
    </row>
    <row r="417">
      <c r="A417" s="5" t="n"/>
      <c r="B417" s="5" t="n"/>
      <c r="C417" s="5" t="n"/>
      <c r="D417" s="5" t="n"/>
      <c r="E417" s="4">
        <f>IF(C417="","",COUNTIF($C$7:C417,C417))</f>
        <v/>
      </c>
      <c r="F417" s="4">
        <f>IF(E417="","",IF(E417&lt;=3,6,IF(E417&lt;=6,5,IF(E417&lt;=9,4,IF(E417&lt;=12,3,IF(E417&lt;=15,2,0))))))</f>
        <v/>
      </c>
      <c r="G417" s="5" t="n"/>
      <c r="H417" s="4">
        <f>IF(OR(F417="",G417=""),"",F417*G417+IF(J417="",0,J417))</f>
        <v/>
      </c>
      <c r="I417" s="5" t="n"/>
      <c r="J417" s="5" t="n"/>
    </row>
    <row r="418">
      <c r="A418" s="5" t="n"/>
      <c r="B418" s="5" t="n"/>
      <c r="C418" s="5" t="n"/>
      <c r="D418" s="5" t="n"/>
      <c r="E418" s="4">
        <f>IF(C418="","",COUNTIF($C$7:C418,C418))</f>
        <v/>
      </c>
      <c r="F418" s="4">
        <f>IF(E418="","",IF(E418&lt;=3,6,IF(E418&lt;=6,5,IF(E418&lt;=9,4,IF(E418&lt;=12,3,IF(E418&lt;=15,2,0))))))</f>
        <v/>
      </c>
      <c r="G418" s="5" t="n"/>
      <c r="H418" s="4">
        <f>IF(OR(F418="",G418=""),"",F418*G418+IF(J418="",0,J418))</f>
        <v/>
      </c>
      <c r="I418" s="5" t="n"/>
      <c r="J418" s="5" t="n"/>
    </row>
    <row r="419">
      <c r="A419" s="5" t="n"/>
      <c r="B419" s="5" t="n"/>
      <c r="C419" s="5" t="n"/>
      <c r="D419" s="5" t="n"/>
      <c r="E419" s="4">
        <f>IF(C419="","",COUNTIF($C$7:C419,C419))</f>
        <v/>
      </c>
      <c r="F419" s="4">
        <f>IF(E419="","",IF(E419&lt;=3,6,IF(E419&lt;=6,5,IF(E419&lt;=9,4,IF(E419&lt;=12,3,IF(E419&lt;=15,2,0))))))</f>
        <v/>
      </c>
      <c r="G419" s="5" t="n"/>
      <c r="H419" s="4">
        <f>IF(OR(F419="",G419=""),"",F419*G419+IF(J419="",0,J419))</f>
        <v/>
      </c>
      <c r="I419" s="5" t="n"/>
      <c r="J419" s="5" t="n"/>
    </row>
    <row r="420">
      <c r="A420" s="5" t="n"/>
      <c r="B420" s="5" t="n"/>
      <c r="C420" s="5" t="n"/>
      <c r="D420" s="5" t="n"/>
      <c r="E420" s="4">
        <f>IF(C420="","",COUNTIF($C$7:C420,C420))</f>
        <v/>
      </c>
      <c r="F420" s="4">
        <f>IF(E420="","",IF(E420&lt;=3,6,IF(E420&lt;=6,5,IF(E420&lt;=9,4,IF(E420&lt;=12,3,IF(E420&lt;=15,2,0))))))</f>
        <v/>
      </c>
      <c r="G420" s="5" t="n"/>
      <c r="H420" s="4">
        <f>IF(OR(F420="",G420=""),"",F420*G420+IF(J420="",0,J420))</f>
        <v/>
      </c>
      <c r="I420" s="5" t="n"/>
      <c r="J420" s="5" t="n"/>
    </row>
    <row r="421">
      <c r="A421" s="5" t="n"/>
      <c r="B421" s="5" t="n"/>
      <c r="C421" s="5" t="n"/>
      <c r="D421" s="5" t="n"/>
      <c r="E421" s="4">
        <f>IF(C421="","",COUNTIF($C$7:C421,C421))</f>
        <v/>
      </c>
      <c r="F421" s="4">
        <f>IF(E421="","",IF(E421&lt;=3,6,IF(E421&lt;=6,5,IF(E421&lt;=9,4,IF(E421&lt;=12,3,IF(E421&lt;=15,2,0))))))</f>
        <v/>
      </c>
      <c r="G421" s="5" t="n"/>
      <c r="H421" s="4">
        <f>IF(OR(F421="",G421=""),"",F421*G421+IF(J421="",0,J421))</f>
        <v/>
      </c>
      <c r="I421" s="5" t="n"/>
      <c r="J421" s="5" t="n"/>
    </row>
    <row r="422">
      <c r="A422" s="5" t="n"/>
      <c r="B422" s="5" t="n"/>
      <c r="C422" s="5" t="n"/>
      <c r="D422" s="5" t="n"/>
      <c r="E422" s="4">
        <f>IF(C422="","",COUNTIF($C$7:C422,C422))</f>
        <v/>
      </c>
      <c r="F422" s="4">
        <f>IF(E422="","",IF(E422&lt;=3,6,IF(E422&lt;=6,5,IF(E422&lt;=9,4,IF(E422&lt;=12,3,IF(E422&lt;=15,2,0))))))</f>
        <v/>
      </c>
      <c r="G422" s="5" t="n"/>
      <c r="H422" s="4">
        <f>IF(OR(F422="",G422=""),"",F422*G422+IF(J422="",0,J422))</f>
        <v/>
      </c>
      <c r="I422" s="5" t="n"/>
      <c r="J422" s="5" t="n"/>
    </row>
    <row r="423">
      <c r="A423" s="5" t="n"/>
      <c r="B423" s="5" t="n"/>
      <c r="C423" s="5" t="n"/>
      <c r="D423" s="5" t="n"/>
      <c r="E423" s="4">
        <f>IF(C423="","",COUNTIF($C$7:C423,C423))</f>
        <v/>
      </c>
      <c r="F423" s="4">
        <f>IF(E423="","",IF(E423&lt;=3,6,IF(E423&lt;=6,5,IF(E423&lt;=9,4,IF(E423&lt;=12,3,IF(E423&lt;=15,2,0))))))</f>
        <v/>
      </c>
      <c r="G423" s="5" t="n"/>
      <c r="H423" s="4">
        <f>IF(OR(F423="",G423=""),"",F423*G423+IF(J423="",0,J423))</f>
        <v/>
      </c>
      <c r="I423" s="5" t="n"/>
      <c r="J423" s="5" t="n"/>
    </row>
    <row r="424">
      <c r="A424" s="5" t="n"/>
      <c r="B424" s="5" t="n"/>
      <c r="C424" s="5" t="n"/>
      <c r="D424" s="5" t="n"/>
      <c r="E424" s="4">
        <f>IF(C424="","",COUNTIF($C$7:C424,C424))</f>
        <v/>
      </c>
      <c r="F424" s="4">
        <f>IF(E424="","",IF(E424&lt;=3,6,IF(E424&lt;=6,5,IF(E424&lt;=9,4,IF(E424&lt;=12,3,IF(E424&lt;=15,2,0))))))</f>
        <v/>
      </c>
      <c r="G424" s="5" t="n"/>
      <c r="H424" s="4">
        <f>IF(OR(F424="",G424=""),"",F424*G424+IF(J424="",0,J424))</f>
        <v/>
      </c>
      <c r="I424" s="5" t="n"/>
      <c r="J424" s="5" t="n"/>
    </row>
    <row r="425">
      <c r="A425" s="5" t="n"/>
      <c r="B425" s="5" t="n"/>
      <c r="C425" s="5" t="n"/>
      <c r="D425" s="5" t="n"/>
      <c r="E425" s="4">
        <f>IF(C425="","",COUNTIF($C$7:C425,C425))</f>
        <v/>
      </c>
      <c r="F425" s="4">
        <f>IF(E425="","",IF(E425&lt;=3,6,IF(E425&lt;=6,5,IF(E425&lt;=9,4,IF(E425&lt;=12,3,IF(E425&lt;=15,2,0))))))</f>
        <v/>
      </c>
      <c r="G425" s="5" t="n"/>
      <c r="H425" s="4">
        <f>IF(OR(F425="",G425=""),"",F425*G425+IF(J425="",0,J425))</f>
        <v/>
      </c>
      <c r="I425" s="5" t="n"/>
      <c r="J425" s="5" t="n"/>
    </row>
    <row r="426">
      <c r="A426" s="5" t="n"/>
      <c r="B426" s="5" t="n"/>
      <c r="C426" s="5" t="n"/>
      <c r="D426" s="5" t="n"/>
      <c r="E426" s="4">
        <f>IF(C426="","",COUNTIF($C$7:C426,C426))</f>
        <v/>
      </c>
      <c r="F426" s="4">
        <f>IF(E426="","",IF(E426&lt;=3,6,IF(E426&lt;=6,5,IF(E426&lt;=9,4,IF(E426&lt;=12,3,IF(E426&lt;=15,2,0))))))</f>
        <v/>
      </c>
      <c r="G426" s="5" t="n"/>
      <c r="H426" s="4">
        <f>IF(OR(F426="",G426=""),"",F426*G426+IF(J426="",0,J426))</f>
        <v/>
      </c>
      <c r="I426" s="5" t="n"/>
      <c r="J426" s="5" t="n"/>
    </row>
    <row r="427">
      <c r="A427" s="5" t="n"/>
      <c r="B427" s="5" t="n"/>
      <c r="C427" s="5" t="n"/>
      <c r="D427" s="5" t="n"/>
      <c r="E427" s="4">
        <f>IF(C427="","",COUNTIF($C$7:C427,C427))</f>
        <v/>
      </c>
      <c r="F427" s="4">
        <f>IF(E427="","",IF(E427&lt;=3,6,IF(E427&lt;=6,5,IF(E427&lt;=9,4,IF(E427&lt;=12,3,IF(E427&lt;=15,2,0))))))</f>
        <v/>
      </c>
      <c r="G427" s="5" t="n"/>
      <c r="H427" s="4">
        <f>IF(OR(F427="",G427=""),"",F427*G427+IF(J427="",0,J427))</f>
        <v/>
      </c>
      <c r="I427" s="5" t="n"/>
      <c r="J427" s="5" t="n"/>
    </row>
    <row r="428">
      <c r="A428" s="5" t="n"/>
      <c r="B428" s="5" t="n"/>
      <c r="C428" s="5" t="n"/>
      <c r="D428" s="5" t="n"/>
      <c r="E428" s="4">
        <f>IF(C428="","",COUNTIF($C$7:C428,C428))</f>
        <v/>
      </c>
      <c r="F428" s="4">
        <f>IF(E428="","",IF(E428&lt;=3,6,IF(E428&lt;=6,5,IF(E428&lt;=9,4,IF(E428&lt;=12,3,IF(E428&lt;=15,2,0))))))</f>
        <v/>
      </c>
      <c r="G428" s="5" t="n"/>
      <c r="H428" s="4">
        <f>IF(OR(F428="",G428=""),"",F428*G428+IF(J428="",0,J428))</f>
        <v/>
      </c>
      <c r="I428" s="5" t="n"/>
      <c r="J428" s="5" t="n"/>
    </row>
    <row r="429">
      <c r="A429" s="5" t="n"/>
      <c r="B429" s="5" t="n"/>
      <c r="C429" s="5" t="n"/>
      <c r="D429" s="5" t="n"/>
      <c r="E429" s="4">
        <f>IF(C429="","",COUNTIF($C$7:C429,C429))</f>
        <v/>
      </c>
      <c r="F429" s="4">
        <f>IF(E429="","",IF(E429&lt;=3,6,IF(E429&lt;=6,5,IF(E429&lt;=9,4,IF(E429&lt;=12,3,IF(E429&lt;=15,2,0))))))</f>
        <v/>
      </c>
      <c r="G429" s="5" t="n"/>
      <c r="H429" s="4">
        <f>IF(OR(F429="",G429=""),"",F429*G429+IF(J429="",0,J429))</f>
        <v/>
      </c>
      <c r="I429" s="5" t="n"/>
      <c r="J429" s="5" t="n"/>
    </row>
    <row r="430">
      <c r="A430" s="5" t="n"/>
      <c r="B430" s="5" t="n"/>
      <c r="C430" s="5" t="n"/>
      <c r="D430" s="5" t="n"/>
      <c r="E430" s="4">
        <f>IF(C430="","",COUNTIF($C$7:C430,C430))</f>
        <v/>
      </c>
      <c r="F430" s="4">
        <f>IF(E430="","",IF(E430&lt;=3,6,IF(E430&lt;=6,5,IF(E430&lt;=9,4,IF(E430&lt;=12,3,IF(E430&lt;=15,2,0))))))</f>
        <v/>
      </c>
      <c r="G430" s="5" t="n"/>
      <c r="H430" s="4">
        <f>IF(OR(F430="",G430=""),"",F430*G430+IF(J430="",0,J430))</f>
        <v/>
      </c>
      <c r="I430" s="5" t="n"/>
      <c r="J430" s="5" t="n"/>
    </row>
    <row r="431">
      <c r="A431" s="5" t="n"/>
      <c r="B431" s="5" t="n"/>
      <c r="C431" s="5" t="n"/>
      <c r="D431" s="5" t="n"/>
      <c r="E431" s="4">
        <f>IF(C431="","",COUNTIF($C$7:C431,C431))</f>
        <v/>
      </c>
      <c r="F431" s="4">
        <f>IF(E431="","",IF(E431&lt;=3,6,IF(E431&lt;=6,5,IF(E431&lt;=9,4,IF(E431&lt;=12,3,IF(E431&lt;=15,2,0))))))</f>
        <v/>
      </c>
      <c r="G431" s="5" t="n"/>
      <c r="H431" s="4">
        <f>IF(OR(F431="",G431=""),"",F431*G431+IF(J431="",0,J431))</f>
        <v/>
      </c>
      <c r="I431" s="5" t="n"/>
      <c r="J431" s="5" t="n"/>
    </row>
    <row r="432">
      <c r="A432" s="5" t="n"/>
      <c r="B432" s="5" t="n"/>
      <c r="C432" s="5" t="n"/>
      <c r="D432" s="5" t="n"/>
      <c r="E432" s="4">
        <f>IF(C432="","",COUNTIF($C$7:C432,C432))</f>
        <v/>
      </c>
      <c r="F432" s="4">
        <f>IF(E432="","",IF(E432&lt;=3,6,IF(E432&lt;=6,5,IF(E432&lt;=9,4,IF(E432&lt;=12,3,IF(E432&lt;=15,2,0))))))</f>
        <v/>
      </c>
      <c r="G432" s="5" t="n"/>
      <c r="H432" s="4">
        <f>IF(OR(F432="",G432=""),"",F432*G432+IF(J432="",0,J432))</f>
        <v/>
      </c>
      <c r="I432" s="5" t="n"/>
      <c r="J432" s="5" t="n"/>
    </row>
    <row r="433">
      <c r="A433" s="5" t="n"/>
      <c r="B433" s="5" t="n"/>
      <c r="C433" s="5" t="n"/>
      <c r="D433" s="5" t="n"/>
      <c r="E433" s="4">
        <f>IF(C433="","",COUNTIF($C$7:C433,C433))</f>
        <v/>
      </c>
      <c r="F433" s="4">
        <f>IF(E433="","",IF(E433&lt;=3,6,IF(E433&lt;=6,5,IF(E433&lt;=9,4,IF(E433&lt;=12,3,IF(E433&lt;=15,2,0))))))</f>
        <v/>
      </c>
      <c r="G433" s="5" t="n"/>
      <c r="H433" s="4">
        <f>IF(OR(F433="",G433=""),"",F433*G433+IF(J433="",0,J433))</f>
        <v/>
      </c>
      <c r="I433" s="5" t="n"/>
      <c r="J433" s="5" t="n"/>
    </row>
    <row r="434">
      <c r="A434" s="5" t="n"/>
      <c r="B434" s="5" t="n"/>
      <c r="C434" s="5" t="n"/>
      <c r="D434" s="5" t="n"/>
      <c r="E434" s="4">
        <f>IF(C434="","",COUNTIF($C$7:C434,C434))</f>
        <v/>
      </c>
      <c r="F434" s="4">
        <f>IF(E434="","",IF(E434&lt;=3,6,IF(E434&lt;=6,5,IF(E434&lt;=9,4,IF(E434&lt;=12,3,IF(E434&lt;=15,2,0))))))</f>
        <v/>
      </c>
      <c r="G434" s="5" t="n"/>
      <c r="H434" s="4">
        <f>IF(OR(F434="",G434=""),"",F434*G434+IF(J434="",0,J434))</f>
        <v/>
      </c>
      <c r="I434" s="5" t="n"/>
      <c r="J434" s="5" t="n"/>
    </row>
    <row r="435">
      <c r="A435" s="5" t="n"/>
      <c r="B435" s="5" t="n"/>
      <c r="C435" s="5" t="n"/>
      <c r="D435" s="5" t="n"/>
      <c r="E435" s="4">
        <f>IF(C435="","",COUNTIF($C$7:C435,C435))</f>
        <v/>
      </c>
      <c r="F435" s="4">
        <f>IF(E435="","",IF(E435&lt;=3,6,IF(E435&lt;=6,5,IF(E435&lt;=9,4,IF(E435&lt;=12,3,IF(E435&lt;=15,2,0))))))</f>
        <v/>
      </c>
      <c r="G435" s="5" t="n"/>
      <c r="H435" s="4">
        <f>IF(OR(F435="",G435=""),"",F435*G435+IF(J435="",0,J435))</f>
        <v/>
      </c>
      <c r="I435" s="5" t="n"/>
      <c r="J435" s="5" t="n"/>
    </row>
    <row r="436">
      <c r="A436" s="5" t="n"/>
      <c r="B436" s="5" t="n"/>
      <c r="C436" s="5" t="n"/>
      <c r="D436" s="5" t="n"/>
      <c r="E436" s="4">
        <f>IF(C436="","",COUNTIF($C$7:C436,C436))</f>
        <v/>
      </c>
      <c r="F436" s="4">
        <f>IF(E436="","",IF(E436&lt;=3,6,IF(E436&lt;=6,5,IF(E436&lt;=9,4,IF(E436&lt;=12,3,IF(E436&lt;=15,2,0))))))</f>
        <v/>
      </c>
      <c r="G436" s="5" t="n"/>
      <c r="H436" s="4">
        <f>IF(OR(F436="",G436=""),"",F436*G436+IF(J436="",0,J436))</f>
        <v/>
      </c>
      <c r="I436" s="5" t="n"/>
      <c r="J436" s="5" t="n"/>
    </row>
    <row r="437">
      <c r="A437" s="5" t="n"/>
      <c r="B437" s="5" t="n"/>
      <c r="C437" s="5" t="n"/>
      <c r="D437" s="5" t="n"/>
      <c r="E437" s="4">
        <f>IF(C437="","",COUNTIF($C$7:C437,C437))</f>
        <v/>
      </c>
      <c r="F437" s="4">
        <f>IF(E437="","",IF(E437&lt;=3,6,IF(E437&lt;=6,5,IF(E437&lt;=9,4,IF(E437&lt;=12,3,IF(E437&lt;=15,2,0))))))</f>
        <v/>
      </c>
      <c r="G437" s="5" t="n"/>
      <c r="H437" s="4">
        <f>IF(OR(F437="",G437=""),"",F437*G437+IF(J437="",0,J437))</f>
        <v/>
      </c>
      <c r="I437" s="5" t="n"/>
      <c r="J437" s="5" t="n"/>
    </row>
    <row r="438">
      <c r="A438" s="5" t="n"/>
      <c r="B438" s="5" t="n"/>
      <c r="C438" s="5" t="n"/>
      <c r="D438" s="5" t="n"/>
      <c r="E438" s="4">
        <f>IF(C438="","",COUNTIF($C$7:C438,C438))</f>
        <v/>
      </c>
      <c r="F438" s="4">
        <f>IF(E438="","",IF(E438&lt;=3,6,IF(E438&lt;=6,5,IF(E438&lt;=9,4,IF(E438&lt;=12,3,IF(E438&lt;=15,2,0))))))</f>
        <v/>
      </c>
      <c r="G438" s="5" t="n"/>
      <c r="H438" s="4">
        <f>IF(OR(F438="",G438=""),"",F438*G438+IF(J438="",0,J438))</f>
        <v/>
      </c>
      <c r="I438" s="5" t="n"/>
      <c r="J438" s="5" t="n"/>
    </row>
    <row r="439">
      <c r="A439" s="5" t="n"/>
      <c r="B439" s="5" t="n"/>
      <c r="C439" s="5" t="n"/>
      <c r="D439" s="5" t="n"/>
      <c r="E439" s="4">
        <f>IF(C439="","",COUNTIF($C$7:C439,C439))</f>
        <v/>
      </c>
      <c r="F439" s="4">
        <f>IF(E439="","",IF(E439&lt;=3,6,IF(E439&lt;=6,5,IF(E439&lt;=9,4,IF(E439&lt;=12,3,IF(E439&lt;=15,2,0))))))</f>
        <v/>
      </c>
      <c r="G439" s="5" t="n"/>
      <c r="H439" s="4">
        <f>IF(OR(F439="",G439=""),"",F439*G439+IF(J439="",0,J439))</f>
        <v/>
      </c>
      <c r="I439" s="5" t="n"/>
      <c r="J439" s="5" t="n"/>
    </row>
    <row r="440">
      <c r="A440" s="5" t="n"/>
      <c r="B440" s="5" t="n"/>
      <c r="C440" s="5" t="n"/>
      <c r="D440" s="5" t="n"/>
      <c r="E440" s="4">
        <f>IF(C440="","",COUNTIF($C$7:C440,C440))</f>
        <v/>
      </c>
      <c r="F440" s="4">
        <f>IF(E440="","",IF(E440&lt;=3,6,IF(E440&lt;=6,5,IF(E440&lt;=9,4,IF(E440&lt;=12,3,IF(E440&lt;=15,2,0))))))</f>
        <v/>
      </c>
      <c r="G440" s="5" t="n"/>
      <c r="H440" s="4">
        <f>IF(OR(F440="",G440=""),"",F440*G440+IF(J440="",0,J440))</f>
        <v/>
      </c>
      <c r="I440" s="5" t="n"/>
      <c r="J440" s="5" t="n"/>
    </row>
    <row r="441">
      <c r="A441" s="5" t="n"/>
      <c r="B441" s="5" t="n"/>
      <c r="C441" s="5" t="n"/>
      <c r="D441" s="5" t="n"/>
      <c r="E441" s="4">
        <f>IF(C441="","",COUNTIF($C$7:C441,C441))</f>
        <v/>
      </c>
      <c r="F441" s="4">
        <f>IF(E441="","",IF(E441&lt;=3,6,IF(E441&lt;=6,5,IF(E441&lt;=9,4,IF(E441&lt;=12,3,IF(E441&lt;=15,2,0))))))</f>
        <v/>
      </c>
      <c r="G441" s="5" t="n"/>
      <c r="H441" s="4">
        <f>IF(OR(F441="",G441=""),"",F441*G441+IF(J441="",0,J441))</f>
        <v/>
      </c>
      <c r="I441" s="5" t="n"/>
      <c r="J441" s="5" t="n"/>
    </row>
    <row r="442">
      <c r="A442" s="5" t="n"/>
      <c r="B442" s="5" t="n"/>
      <c r="C442" s="5" t="n"/>
      <c r="D442" s="5" t="n"/>
      <c r="E442" s="4">
        <f>IF(C442="","",COUNTIF($C$7:C442,C442))</f>
        <v/>
      </c>
      <c r="F442" s="4">
        <f>IF(E442="","",IF(E442&lt;=3,6,IF(E442&lt;=6,5,IF(E442&lt;=9,4,IF(E442&lt;=12,3,IF(E442&lt;=15,2,0))))))</f>
        <v/>
      </c>
      <c r="G442" s="5" t="n"/>
      <c r="H442" s="4">
        <f>IF(OR(F442="",G442=""),"",F442*G442+IF(J442="",0,J442))</f>
        <v/>
      </c>
      <c r="I442" s="5" t="n"/>
      <c r="J442" s="5" t="n"/>
    </row>
    <row r="443">
      <c r="A443" s="5" t="n"/>
      <c r="B443" s="5" t="n"/>
      <c r="C443" s="5" t="n"/>
      <c r="D443" s="5" t="n"/>
      <c r="E443" s="4">
        <f>IF(C443="","",COUNTIF($C$7:C443,C443))</f>
        <v/>
      </c>
      <c r="F443" s="4">
        <f>IF(E443="","",IF(E443&lt;=3,6,IF(E443&lt;=6,5,IF(E443&lt;=9,4,IF(E443&lt;=12,3,IF(E443&lt;=15,2,0))))))</f>
        <v/>
      </c>
      <c r="G443" s="5" t="n"/>
      <c r="H443" s="4">
        <f>IF(OR(F443="",G443=""),"",F443*G443+IF(J443="",0,J443))</f>
        <v/>
      </c>
      <c r="I443" s="5" t="n"/>
      <c r="J443" s="5" t="n"/>
    </row>
    <row r="444">
      <c r="A444" s="5" t="n"/>
      <c r="B444" s="5" t="n"/>
      <c r="C444" s="5" t="n"/>
      <c r="D444" s="5" t="n"/>
      <c r="E444" s="4">
        <f>IF(C444="","",COUNTIF($C$7:C444,C444))</f>
        <v/>
      </c>
      <c r="F444" s="4">
        <f>IF(E444="","",IF(E444&lt;=3,6,IF(E444&lt;=6,5,IF(E444&lt;=9,4,IF(E444&lt;=12,3,IF(E444&lt;=15,2,0))))))</f>
        <v/>
      </c>
      <c r="G444" s="5" t="n"/>
      <c r="H444" s="4">
        <f>IF(OR(F444="",G444=""),"",F444*G444+IF(J444="",0,J444))</f>
        <v/>
      </c>
      <c r="I444" s="5" t="n"/>
      <c r="J444" s="5" t="n"/>
    </row>
    <row r="445">
      <c r="A445" s="5" t="n"/>
      <c r="B445" s="5" t="n"/>
      <c r="C445" s="5" t="n"/>
      <c r="D445" s="5" t="n"/>
      <c r="E445" s="4">
        <f>IF(C445="","",COUNTIF($C$7:C445,C445))</f>
        <v/>
      </c>
      <c r="F445" s="4">
        <f>IF(E445="","",IF(E445&lt;=3,6,IF(E445&lt;=6,5,IF(E445&lt;=9,4,IF(E445&lt;=12,3,IF(E445&lt;=15,2,0))))))</f>
        <v/>
      </c>
      <c r="G445" s="5" t="n"/>
      <c r="H445" s="4">
        <f>IF(OR(F445="",G445=""),"",F445*G445+IF(J445="",0,J445))</f>
        <v/>
      </c>
      <c r="I445" s="5" t="n"/>
      <c r="J445" s="5" t="n"/>
    </row>
    <row r="446">
      <c r="A446" s="5" t="n"/>
      <c r="B446" s="5" t="n"/>
      <c r="C446" s="5" t="n"/>
      <c r="D446" s="5" t="n"/>
      <c r="E446" s="4">
        <f>IF(C446="","",COUNTIF($C$7:C446,C446))</f>
        <v/>
      </c>
      <c r="F446" s="4">
        <f>IF(E446="","",IF(E446&lt;=3,6,IF(E446&lt;=6,5,IF(E446&lt;=9,4,IF(E446&lt;=12,3,IF(E446&lt;=15,2,0))))))</f>
        <v/>
      </c>
      <c r="G446" s="5" t="n"/>
      <c r="H446" s="4">
        <f>IF(OR(F446="",G446=""),"",F446*G446+IF(J446="",0,J446))</f>
        <v/>
      </c>
      <c r="I446" s="5" t="n"/>
      <c r="J446" s="5" t="n"/>
    </row>
    <row r="447">
      <c r="A447" s="5" t="n"/>
      <c r="B447" s="5" t="n"/>
      <c r="C447" s="5" t="n"/>
      <c r="D447" s="5" t="n"/>
      <c r="E447" s="4">
        <f>IF(C447="","",COUNTIF($C$7:C447,C447))</f>
        <v/>
      </c>
      <c r="F447" s="4">
        <f>IF(E447="","",IF(E447&lt;=3,6,IF(E447&lt;=6,5,IF(E447&lt;=9,4,IF(E447&lt;=12,3,IF(E447&lt;=15,2,0))))))</f>
        <v/>
      </c>
      <c r="G447" s="5" t="n"/>
      <c r="H447" s="4">
        <f>IF(OR(F447="",G447=""),"",F447*G447+IF(J447="",0,J447))</f>
        <v/>
      </c>
      <c r="I447" s="5" t="n"/>
      <c r="J447" s="5" t="n"/>
    </row>
    <row r="448">
      <c r="A448" s="5" t="n"/>
      <c r="B448" s="5" t="n"/>
      <c r="C448" s="5" t="n"/>
      <c r="D448" s="5" t="n"/>
      <c r="E448" s="4">
        <f>IF(C448="","",COUNTIF($C$7:C448,C448))</f>
        <v/>
      </c>
      <c r="F448" s="4">
        <f>IF(E448="","",IF(E448&lt;=3,6,IF(E448&lt;=6,5,IF(E448&lt;=9,4,IF(E448&lt;=12,3,IF(E448&lt;=15,2,0))))))</f>
        <v/>
      </c>
      <c r="G448" s="5" t="n"/>
      <c r="H448" s="4">
        <f>IF(OR(F448="",G448=""),"",F448*G448+IF(J448="",0,J448))</f>
        <v/>
      </c>
      <c r="I448" s="5" t="n"/>
      <c r="J448" s="5" t="n"/>
    </row>
    <row r="449">
      <c r="A449" s="5" t="n"/>
      <c r="B449" s="5" t="n"/>
      <c r="C449" s="5" t="n"/>
      <c r="D449" s="5" t="n"/>
      <c r="E449" s="4">
        <f>IF(C449="","",COUNTIF($C$7:C449,C449))</f>
        <v/>
      </c>
      <c r="F449" s="4">
        <f>IF(E449="","",IF(E449&lt;=3,6,IF(E449&lt;=6,5,IF(E449&lt;=9,4,IF(E449&lt;=12,3,IF(E449&lt;=15,2,0))))))</f>
        <v/>
      </c>
      <c r="G449" s="5" t="n"/>
      <c r="H449" s="4">
        <f>IF(OR(F449="",G449=""),"",F449*G449+IF(J449="",0,J449))</f>
        <v/>
      </c>
      <c r="I449" s="5" t="n"/>
      <c r="J449" s="5" t="n"/>
    </row>
    <row r="450">
      <c r="A450" s="5" t="n"/>
      <c r="B450" s="5" t="n"/>
      <c r="C450" s="5" t="n"/>
      <c r="D450" s="5" t="n"/>
      <c r="E450" s="4">
        <f>IF(C450="","",COUNTIF($C$7:C450,C450))</f>
        <v/>
      </c>
      <c r="F450" s="4">
        <f>IF(E450="","",IF(E450&lt;=3,6,IF(E450&lt;=6,5,IF(E450&lt;=9,4,IF(E450&lt;=12,3,IF(E450&lt;=15,2,0))))))</f>
        <v/>
      </c>
      <c r="G450" s="5" t="n"/>
      <c r="H450" s="4">
        <f>IF(OR(F450="",G450=""),"",F450*G450+IF(J450="",0,J450))</f>
        <v/>
      </c>
      <c r="I450" s="5" t="n"/>
      <c r="J450" s="5" t="n"/>
    </row>
    <row r="451">
      <c r="A451" s="5" t="n"/>
      <c r="B451" s="5" t="n"/>
      <c r="C451" s="5" t="n"/>
      <c r="D451" s="5" t="n"/>
      <c r="E451" s="4">
        <f>IF(C451="","",COUNTIF($C$7:C451,C451))</f>
        <v/>
      </c>
      <c r="F451" s="4">
        <f>IF(E451="","",IF(E451&lt;=3,6,IF(E451&lt;=6,5,IF(E451&lt;=9,4,IF(E451&lt;=12,3,IF(E451&lt;=15,2,0))))))</f>
        <v/>
      </c>
      <c r="G451" s="5" t="n"/>
      <c r="H451" s="4">
        <f>IF(OR(F451="",G451=""),"",F451*G451+IF(J451="",0,J451))</f>
        <v/>
      </c>
      <c r="I451" s="5" t="n"/>
      <c r="J451" s="5" t="n"/>
    </row>
    <row r="452">
      <c r="A452" s="5" t="n"/>
      <c r="B452" s="5" t="n"/>
      <c r="C452" s="5" t="n"/>
      <c r="D452" s="5" t="n"/>
      <c r="E452" s="4">
        <f>IF(C452="","",COUNTIF($C$7:C452,C452))</f>
        <v/>
      </c>
      <c r="F452" s="4">
        <f>IF(E452="","",IF(E452&lt;=3,6,IF(E452&lt;=6,5,IF(E452&lt;=9,4,IF(E452&lt;=12,3,IF(E452&lt;=15,2,0))))))</f>
        <v/>
      </c>
      <c r="G452" s="5" t="n"/>
      <c r="H452" s="4">
        <f>IF(OR(F452="",G452=""),"",F452*G452+IF(J452="",0,J452))</f>
        <v/>
      </c>
      <c r="I452" s="5" t="n"/>
      <c r="J452" s="5" t="n"/>
    </row>
    <row r="453">
      <c r="A453" s="5" t="n"/>
      <c r="B453" s="5" t="n"/>
      <c r="C453" s="5" t="n"/>
      <c r="D453" s="5" t="n"/>
      <c r="E453" s="4">
        <f>IF(C453="","",COUNTIF($C$7:C453,C453))</f>
        <v/>
      </c>
      <c r="F453" s="4">
        <f>IF(E453="","",IF(E453&lt;=3,6,IF(E453&lt;=6,5,IF(E453&lt;=9,4,IF(E453&lt;=12,3,IF(E453&lt;=15,2,0))))))</f>
        <v/>
      </c>
      <c r="G453" s="5" t="n"/>
      <c r="H453" s="4">
        <f>IF(OR(F453="",G453=""),"",F453*G453+IF(J453="",0,J453))</f>
        <v/>
      </c>
      <c r="I453" s="5" t="n"/>
      <c r="J453" s="5" t="n"/>
    </row>
    <row r="454">
      <c r="A454" s="5" t="n"/>
      <c r="B454" s="5" t="n"/>
      <c r="C454" s="5" t="n"/>
      <c r="D454" s="5" t="n"/>
      <c r="E454" s="4">
        <f>IF(C454="","",COUNTIF($C$7:C454,C454))</f>
        <v/>
      </c>
      <c r="F454" s="4">
        <f>IF(E454="","",IF(E454&lt;=3,6,IF(E454&lt;=6,5,IF(E454&lt;=9,4,IF(E454&lt;=12,3,IF(E454&lt;=15,2,0))))))</f>
        <v/>
      </c>
      <c r="G454" s="5" t="n"/>
      <c r="H454" s="4">
        <f>IF(OR(F454="",G454=""),"",F454*G454+IF(J454="",0,J454))</f>
        <v/>
      </c>
      <c r="I454" s="5" t="n"/>
      <c r="J454" s="5" t="n"/>
    </row>
    <row r="455">
      <c r="A455" s="5" t="n"/>
      <c r="B455" s="5" t="n"/>
      <c r="C455" s="5" t="n"/>
      <c r="D455" s="5" t="n"/>
      <c r="E455" s="4">
        <f>IF(C455="","",COUNTIF($C$7:C455,C455))</f>
        <v/>
      </c>
      <c r="F455" s="4">
        <f>IF(E455="","",IF(E455&lt;=3,6,IF(E455&lt;=6,5,IF(E455&lt;=9,4,IF(E455&lt;=12,3,IF(E455&lt;=15,2,0))))))</f>
        <v/>
      </c>
      <c r="G455" s="5" t="n"/>
      <c r="H455" s="4">
        <f>IF(OR(F455="",G455=""),"",F455*G455+IF(J455="",0,J455))</f>
        <v/>
      </c>
      <c r="I455" s="5" t="n"/>
      <c r="J455" s="5" t="n"/>
    </row>
    <row r="456">
      <c r="A456" s="5" t="n"/>
      <c r="B456" s="5" t="n"/>
      <c r="C456" s="5" t="n"/>
      <c r="D456" s="5" t="n"/>
      <c r="E456" s="4">
        <f>IF(C456="","",COUNTIF($C$7:C456,C456))</f>
        <v/>
      </c>
      <c r="F456" s="4">
        <f>IF(E456="","",IF(E456&lt;=3,6,IF(E456&lt;=6,5,IF(E456&lt;=9,4,IF(E456&lt;=12,3,IF(E456&lt;=15,2,0))))))</f>
        <v/>
      </c>
      <c r="G456" s="5" t="n"/>
      <c r="H456" s="4">
        <f>IF(OR(F456="",G456=""),"",F456*G456+IF(J456="",0,J456))</f>
        <v/>
      </c>
      <c r="I456" s="5" t="n"/>
      <c r="J456" s="5" t="n"/>
    </row>
    <row r="457">
      <c r="A457" s="5" t="n"/>
      <c r="B457" s="5" t="n"/>
      <c r="C457" s="5" t="n"/>
      <c r="D457" s="5" t="n"/>
      <c r="E457" s="4">
        <f>IF(C457="","",COUNTIF($C$7:C457,C457))</f>
        <v/>
      </c>
      <c r="F457" s="4">
        <f>IF(E457="","",IF(E457&lt;=3,6,IF(E457&lt;=6,5,IF(E457&lt;=9,4,IF(E457&lt;=12,3,IF(E457&lt;=15,2,0))))))</f>
        <v/>
      </c>
      <c r="G457" s="5" t="n"/>
      <c r="H457" s="4">
        <f>IF(OR(F457="",G457=""),"",F457*G457+IF(J457="",0,J457))</f>
        <v/>
      </c>
      <c r="I457" s="5" t="n"/>
      <c r="J457" s="5" t="n"/>
    </row>
    <row r="458">
      <c r="A458" s="5" t="n"/>
      <c r="B458" s="5" t="n"/>
      <c r="C458" s="5" t="n"/>
      <c r="D458" s="5" t="n"/>
      <c r="E458" s="4">
        <f>IF(C458="","",COUNTIF($C$7:C458,C458))</f>
        <v/>
      </c>
      <c r="F458" s="4">
        <f>IF(E458="","",IF(E458&lt;=3,6,IF(E458&lt;=6,5,IF(E458&lt;=9,4,IF(E458&lt;=12,3,IF(E458&lt;=15,2,0))))))</f>
        <v/>
      </c>
      <c r="G458" s="5" t="n"/>
      <c r="H458" s="4">
        <f>IF(OR(F458="",G458=""),"",F458*G458+IF(J458="",0,J458))</f>
        <v/>
      </c>
      <c r="I458" s="5" t="n"/>
      <c r="J458" s="5" t="n"/>
    </row>
    <row r="459">
      <c r="A459" s="5" t="n"/>
      <c r="B459" s="5" t="n"/>
      <c r="C459" s="5" t="n"/>
      <c r="D459" s="5" t="n"/>
      <c r="E459" s="4">
        <f>IF(C459="","",COUNTIF($C$7:C459,C459))</f>
        <v/>
      </c>
      <c r="F459" s="4">
        <f>IF(E459="","",IF(E459&lt;=3,6,IF(E459&lt;=6,5,IF(E459&lt;=9,4,IF(E459&lt;=12,3,IF(E459&lt;=15,2,0))))))</f>
        <v/>
      </c>
      <c r="G459" s="5" t="n"/>
      <c r="H459" s="4">
        <f>IF(OR(F459="",G459=""),"",F459*G459+IF(J459="",0,J459))</f>
        <v/>
      </c>
      <c r="I459" s="5" t="n"/>
      <c r="J459" s="5" t="n"/>
    </row>
    <row r="460">
      <c r="A460" s="5" t="n"/>
      <c r="B460" s="5" t="n"/>
      <c r="C460" s="5" t="n"/>
      <c r="D460" s="5" t="n"/>
      <c r="E460" s="4">
        <f>IF(C460="","",COUNTIF($C$7:C460,C460))</f>
        <v/>
      </c>
      <c r="F460" s="4">
        <f>IF(E460="","",IF(E460&lt;=3,6,IF(E460&lt;=6,5,IF(E460&lt;=9,4,IF(E460&lt;=12,3,IF(E460&lt;=15,2,0))))))</f>
        <v/>
      </c>
      <c r="G460" s="5" t="n"/>
      <c r="H460" s="4">
        <f>IF(OR(F460="",G460=""),"",F460*G460+IF(J460="",0,J460))</f>
        <v/>
      </c>
      <c r="I460" s="5" t="n"/>
      <c r="J460" s="5" t="n"/>
    </row>
    <row r="461">
      <c r="A461" s="5" t="n"/>
      <c r="B461" s="5" t="n"/>
      <c r="C461" s="5" t="n"/>
      <c r="D461" s="5" t="n"/>
      <c r="E461" s="4">
        <f>IF(C461="","",COUNTIF($C$7:C461,C461))</f>
        <v/>
      </c>
      <c r="F461" s="4">
        <f>IF(E461="","",IF(E461&lt;=3,6,IF(E461&lt;=6,5,IF(E461&lt;=9,4,IF(E461&lt;=12,3,IF(E461&lt;=15,2,0))))))</f>
        <v/>
      </c>
      <c r="G461" s="5" t="n"/>
      <c r="H461" s="4">
        <f>IF(OR(F461="",G461=""),"",F461*G461+IF(J461="",0,J461))</f>
        <v/>
      </c>
      <c r="I461" s="5" t="n"/>
      <c r="J461" s="5" t="n"/>
    </row>
    <row r="462">
      <c r="A462" s="5" t="n"/>
      <c r="B462" s="5" t="n"/>
      <c r="C462" s="5" t="n"/>
      <c r="D462" s="5" t="n"/>
      <c r="E462" s="4">
        <f>IF(C462="","",COUNTIF($C$7:C462,C462))</f>
        <v/>
      </c>
      <c r="F462" s="4">
        <f>IF(E462="","",IF(E462&lt;=3,6,IF(E462&lt;=6,5,IF(E462&lt;=9,4,IF(E462&lt;=12,3,IF(E462&lt;=15,2,0))))))</f>
        <v/>
      </c>
      <c r="G462" s="5" t="n"/>
      <c r="H462" s="4">
        <f>IF(OR(F462="",G462=""),"",F462*G462+IF(J462="",0,J462))</f>
        <v/>
      </c>
      <c r="I462" s="5" t="n"/>
      <c r="J462" s="5" t="n"/>
    </row>
    <row r="463">
      <c r="A463" s="5" t="n"/>
      <c r="B463" s="5" t="n"/>
      <c r="C463" s="5" t="n"/>
      <c r="D463" s="5" t="n"/>
      <c r="E463" s="4">
        <f>IF(C463="","",COUNTIF($C$7:C463,C463))</f>
        <v/>
      </c>
      <c r="F463" s="4">
        <f>IF(E463="","",IF(E463&lt;=3,6,IF(E463&lt;=6,5,IF(E463&lt;=9,4,IF(E463&lt;=12,3,IF(E463&lt;=15,2,0))))))</f>
        <v/>
      </c>
      <c r="G463" s="5" t="n"/>
      <c r="H463" s="4">
        <f>IF(OR(F463="",G463=""),"",F463*G463+IF(J463="",0,J463))</f>
        <v/>
      </c>
      <c r="I463" s="5" t="n"/>
      <c r="J463" s="5" t="n"/>
    </row>
    <row r="464">
      <c r="A464" s="5" t="n"/>
      <c r="B464" s="5" t="n"/>
      <c r="C464" s="5" t="n"/>
      <c r="D464" s="5" t="n"/>
      <c r="E464" s="4">
        <f>IF(C464="","",COUNTIF($C$7:C464,C464))</f>
        <v/>
      </c>
      <c r="F464" s="4">
        <f>IF(E464="","",IF(E464&lt;=3,6,IF(E464&lt;=6,5,IF(E464&lt;=9,4,IF(E464&lt;=12,3,IF(E464&lt;=15,2,0))))))</f>
        <v/>
      </c>
      <c r="G464" s="5" t="n"/>
      <c r="H464" s="4">
        <f>IF(OR(F464="",G464=""),"",F464*G464+IF(J464="",0,J464))</f>
        <v/>
      </c>
      <c r="I464" s="5" t="n"/>
      <c r="J464" s="5" t="n"/>
    </row>
    <row r="465">
      <c r="A465" s="5" t="n"/>
      <c r="B465" s="5" t="n"/>
      <c r="C465" s="5" t="n"/>
      <c r="D465" s="5" t="n"/>
      <c r="E465" s="4">
        <f>IF(C465="","",COUNTIF($C$7:C465,C465))</f>
        <v/>
      </c>
      <c r="F465" s="4">
        <f>IF(E465="","",IF(E465&lt;=3,6,IF(E465&lt;=6,5,IF(E465&lt;=9,4,IF(E465&lt;=12,3,IF(E465&lt;=15,2,0))))))</f>
        <v/>
      </c>
      <c r="G465" s="5" t="n"/>
      <c r="H465" s="4">
        <f>IF(OR(F465="",G465=""),"",F465*G465+IF(J465="",0,J465))</f>
        <v/>
      </c>
      <c r="I465" s="5" t="n"/>
      <c r="J465" s="5" t="n"/>
    </row>
    <row r="466">
      <c r="A466" s="5" t="n"/>
      <c r="B466" s="5" t="n"/>
      <c r="C466" s="5" t="n"/>
      <c r="D466" s="5" t="n"/>
      <c r="E466" s="4">
        <f>IF(C466="","",COUNTIF($C$7:C466,C466))</f>
        <v/>
      </c>
      <c r="F466" s="4">
        <f>IF(E466="","",IF(E466&lt;=3,6,IF(E466&lt;=6,5,IF(E466&lt;=9,4,IF(E466&lt;=12,3,IF(E466&lt;=15,2,0))))))</f>
        <v/>
      </c>
      <c r="G466" s="5" t="n"/>
      <c r="H466" s="4">
        <f>IF(OR(F466="",G466=""),"",F466*G466+IF(J466="",0,J466))</f>
        <v/>
      </c>
      <c r="I466" s="5" t="n"/>
      <c r="J466" s="5" t="n"/>
    </row>
    <row r="467">
      <c r="A467" s="5" t="n"/>
      <c r="B467" s="5" t="n"/>
      <c r="C467" s="5" t="n"/>
      <c r="D467" s="5" t="n"/>
      <c r="E467" s="4">
        <f>IF(C467="","",COUNTIF($C$7:C467,C467))</f>
        <v/>
      </c>
      <c r="F467" s="4">
        <f>IF(E467="","",IF(E467&lt;=3,6,IF(E467&lt;=6,5,IF(E467&lt;=9,4,IF(E467&lt;=12,3,IF(E467&lt;=15,2,0))))))</f>
        <v/>
      </c>
      <c r="G467" s="5" t="n"/>
      <c r="H467" s="4">
        <f>IF(OR(F467="",G467=""),"",F467*G467+IF(J467="",0,J467))</f>
        <v/>
      </c>
      <c r="I467" s="5" t="n"/>
      <c r="J467" s="5" t="n"/>
    </row>
    <row r="468">
      <c r="A468" s="5" t="n"/>
      <c r="B468" s="5" t="n"/>
      <c r="C468" s="5" t="n"/>
      <c r="D468" s="5" t="n"/>
      <c r="E468" s="4">
        <f>IF(C468="","",COUNTIF($C$7:C468,C468))</f>
        <v/>
      </c>
      <c r="F468" s="4">
        <f>IF(E468="","",IF(E468&lt;=3,6,IF(E468&lt;=6,5,IF(E468&lt;=9,4,IF(E468&lt;=12,3,IF(E468&lt;=15,2,0))))))</f>
        <v/>
      </c>
      <c r="G468" s="5" t="n"/>
      <c r="H468" s="4">
        <f>IF(OR(F468="",G468=""),"",F468*G468+IF(J468="",0,J468))</f>
        <v/>
      </c>
      <c r="I468" s="5" t="n"/>
      <c r="J468" s="5" t="n"/>
    </row>
    <row r="469">
      <c r="A469" s="5" t="n"/>
      <c r="B469" s="5" t="n"/>
      <c r="C469" s="5" t="n"/>
      <c r="D469" s="5" t="n"/>
      <c r="E469" s="4">
        <f>IF(C469="","",COUNTIF($C$7:C469,C469))</f>
        <v/>
      </c>
      <c r="F469" s="4">
        <f>IF(E469="","",IF(E469&lt;=3,6,IF(E469&lt;=6,5,IF(E469&lt;=9,4,IF(E469&lt;=12,3,IF(E469&lt;=15,2,0))))))</f>
        <v/>
      </c>
      <c r="G469" s="5" t="n"/>
      <c r="H469" s="4">
        <f>IF(OR(F469="",G469=""),"",F469*G469+IF(J469="",0,J469))</f>
        <v/>
      </c>
      <c r="I469" s="5" t="n"/>
      <c r="J469" s="5" t="n"/>
    </row>
    <row r="470">
      <c r="A470" s="5" t="n"/>
      <c r="B470" s="5" t="n"/>
      <c r="C470" s="5" t="n"/>
      <c r="D470" s="5" t="n"/>
      <c r="E470" s="4">
        <f>IF(C470="","",COUNTIF($C$7:C470,C470))</f>
        <v/>
      </c>
      <c r="F470" s="4">
        <f>IF(E470="","",IF(E470&lt;=3,6,IF(E470&lt;=6,5,IF(E470&lt;=9,4,IF(E470&lt;=12,3,IF(E470&lt;=15,2,0))))))</f>
        <v/>
      </c>
      <c r="G470" s="5" t="n"/>
      <c r="H470" s="4">
        <f>IF(OR(F470="",G470=""),"",F470*G470+IF(J470="",0,J470))</f>
        <v/>
      </c>
      <c r="I470" s="5" t="n"/>
      <c r="J470" s="5" t="n"/>
    </row>
    <row r="471">
      <c r="A471" s="5" t="n"/>
      <c r="B471" s="5" t="n"/>
      <c r="C471" s="5" t="n"/>
      <c r="D471" s="5" t="n"/>
      <c r="E471" s="4">
        <f>IF(C471="","",COUNTIF($C$7:C471,C471))</f>
        <v/>
      </c>
      <c r="F471" s="4">
        <f>IF(E471="","",IF(E471&lt;=3,6,IF(E471&lt;=6,5,IF(E471&lt;=9,4,IF(E471&lt;=12,3,IF(E471&lt;=15,2,0))))))</f>
        <v/>
      </c>
      <c r="G471" s="5" t="n"/>
      <c r="H471" s="4">
        <f>IF(OR(F471="",G471=""),"",F471*G471+IF(J471="",0,J471))</f>
        <v/>
      </c>
      <c r="I471" s="5" t="n"/>
      <c r="J471" s="5" t="n"/>
    </row>
    <row r="472">
      <c r="A472" s="5" t="n"/>
      <c r="B472" s="5" t="n"/>
      <c r="C472" s="5" t="n"/>
      <c r="D472" s="5" t="n"/>
      <c r="E472" s="4">
        <f>IF(C472="","",COUNTIF($C$7:C472,C472))</f>
        <v/>
      </c>
      <c r="F472" s="4">
        <f>IF(E472="","",IF(E472&lt;=3,6,IF(E472&lt;=6,5,IF(E472&lt;=9,4,IF(E472&lt;=12,3,IF(E472&lt;=15,2,0))))))</f>
        <v/>
      </c>
      <c r="G472" s="5" t="n"/>
      <c r="H472" s="4">
        <f>IF(OR(F472="",G472=""),"",F472*G472+IF(J472="",0,J472))</f>
        <v/>
      </c>
      <c r="I472" s="5" t="n"/>
      <c r="J472" s="5" t="n"/>
    </row>
    <row r="473">
      <c r="A473" s="5" t="n"/>
      <c r="B473" s="5" t="n"/>
      <c r="C473" s="5" t="n"/>
      <c r="D473" s="5" t="n"/>
      <c r="E473" s="4">
        <f>IF(C473="","",COUNTIF($C$7:C473,C473))</f>
        <v/>
      </c>
      <c r="F473" s="4">
        <f>IF(E473="","",IF(E473&lt;=3,6,IF(E473&lt;=6,5,IF(E473&lt;=9,4,IF(E473&lt;=12,3,IF(E473&lt;=15,2,0))))))</f>
        <v/>
      </c>
      <c r="G473" s="5" t="n"/>
      <c r="H473" s="4">
        <f>IF(OR(F473="",G473=""),"",F473*G473+IF(J473="",0,J473))</f>
        <v/>
      </c>
      <c r="I473" s="5" t="n"/>
      <c r="J473" s="5" t="n"/>
    </row>
    <row r="474">
      <c r="A474" s="5" t="n"/>
      <c r="B474" s="5" t="n"/>
      <c r="C474" s="5" t="n"/>
      <c r="D474" s="5" t="n"/>
      <c r="E474" s="4">
        <f>IF(C474="","",COUNTIF($C$7:C474,C474))</f>
        <v/>
      </c>
      <c r="F474" s="4">
        <f>IF(E474="","",IF(E474&lt;=3,6,IF(E474&lt;=6,5,IF(E474&lt;=9,4,IF(E474&lt;=12,3,IF(E474&lt;=15,2,0))))))</f>
        <v/>
      </c>
      <c r="G474" s="5" t="n"/>
      <c r="H474" s="4">
        <f>IF(OR(F474="",G474=""),"",F474*G474+IF(J474="",0,J474))</f>
        <v/>
      </c>
      <c r="I474" s="5" t="n"/>
      <c r="J474" s="5" t="n"/>
    </row>
    <row r="475">
      <c r="A475" s="5" t="n"/>
      <c r="B475" s="5" t="n"/>
      <c r="C475" s="5" t="n"/>
      <c r="D475" s="5" t="n"/>
      <c r="E475" s="4">
        <f>IF(C475="","",COUNTIF($C$7:C475,C475))</f>
        <v/>
      </c>
      <c r="F475" s="4">
        <f>IF(E475="","",IF(E475&lt;=3,6,IF(E475&lt;=6,5,IF(E475&lt;=9,4,IF(E475&lt;=12,3,IF(E475&lt;=15,2,0))))))</f>
        <v/>
      </c>
      <c r="G475" s="5" t="n"/>
      <c r="H475" s="4">
        <f>IF(OR(F475="",G475=""),"",F475*G475+IF(J475="",0,J475))</f>
        <v/>
      </c>
      <c r="I475" s="5" t="n"/>
      <c r="J475" s="5" t="n"/>
    </row>
    <row r="476">
      <c r="A476" s="5" t="n"/>
      <c r="B476" s="5" t="n"/>
      <c r="C476" s="5" t="n"/>
      <c r="D476" s="5" t="n"/>
      <c r="E476" s="4">
        <f>IF(C476="","",COUNTIF($C$7:C476,C476))</f>
        <v/>
      </c>
      <c r="F476" s="4">
        <f>IF(E476="","",IF(E476&lt;=3,6,IF(E476&lt;=6,5,IF(E476&lt;=9,4,IF(E476&lt;=12,3,IF(E476&lt;=15,2,0))))))</f>
        <v/>
      </c>
      <c r="G476" s="5" t="n"/>
      <c r="H476" s="4">
        <f>IF(OR(F476="",G476=""),"",F476*G476+IF(J476="",0,J476))</f>
        <v/>
      </c>
      <c r="I476" s="5" t="n"/>
      <c r="J476" s="5" t="n"/>
    </row>
    <row r="477">
      <c r="A477" s="5" t="n"/>
      <c r="B477" s="5" t="n"/>
      <c r="C477" s="5" t="n"/>
      <c r="D477" s="5" t="n"/>
      <c r="E477" s="4">
        <f>IF(C477="","",COUNTIF($C$7:C477,C477))</f>
        <v/>
      </c>
      <c r="F477" s="4">
        <f>IF(E477="","",IF(E477&lt;=3,6,IF(E477&lt;=6,5,IF(E477&lt;=9,4,IF(E477&lt;=12,3,IF(E477&lt;=15,2,0))))))</f>
        <v/>
      </c>
      <c r="G477" s="5" t="n"/>
      <c r="H477" s="4">
        <f>IF(OR(F477="",G477=""),"",F477*G477+IF(J477="",0,J477))</f>
        <v/>
      </c>
      <c r="I477" s="5" t="n"/>
      <c r="J477" s="5" t="n"/>
    </row>
    <row r="478">
      <c r="A478" s="5" t="n"/>
      <c r="B478" s="5" t="n"/>
      <c r="C478" s="5" t="n"/>
      <c r="D478" s="5" t="n"/>
      <c r="E478" s="4">
        <f>IF(C478="","",COUNTIF($C$7:C478,C478))</f>
        <v/>
      </c>
      <c r="F478" s="4">
        <f>IF(E478="","",IF(E478&lt;=3,6,IF(E478&lt;=6,5,IF(E478&lt;=9,4,IF(E478&lt;=12,3,IF(E478&lt;=15,2,0))))))</f>
        <v/>
      </c>
      <c r="G478" s="5" t="n"/>
      <c r="H478" s="4">
        <f>IF(OR(F478="",G478=""),"",F478*G478+IF(J478="",0,J478))</f>
        <v/>
      </c>
      <c r="I478" s="5" t="n"/>
      <c r="J478" s="5" t="n"/>
    </row>
    <row r="479">
      <c r="A479" s="5" t="n"/>
      <c r="B479" s="5" t="n"/>
      <c r="C479" s="5" t="n"/>
      <c r="D479" s="5" t="n"/>
      <c r="E479" s="4">
        <f>IF(C479="","",COUNTIF($C$7:C479,C479))</f>
        <v/>
      </c>
      <c r="F479" s="4">
        <f>IF(E479="","",IF(E479&lt;=3,6,IF(E479&lt;=6,5,IF(E479&lt;=9,4,IF(E479&lt;=12,3,IF(E479&lt;=15,2,0))))))</f>
        <v/>
      </c>
      <c r="G479" s="5" t="n"/>
      <c r="H479" s="4">
        <f>IF(OR(F479="",G479=""),"",F479*G479+IF(J479="",0,J479))</f>
        <v/>
      </c>
      <c r="I479" s="5" t="n"/>
      <c r="J479" s="5" t="n"/>
    </row>
    <row r="480">
      <c r="A480" s="5" t="n"/>
      <c r="B480" s="5" t="n"/>
      <c r="C480" s="5" t="n"/>
      <c r="D480" s="5" t="n"/>
      <c r="E480" s="4">
        <f>IF(C480="","",COUNTIF($C$7:C480,C480))</f>
        <v/>
      </c>
      <c r="F480" s="4">
        <f>IF(E480="","",IF(E480&lt;=3,6,IF(E480&lt;=6,5,IF(E480&lt;=9,4,IF(E480&lt;=12,3,IF(E480&lt;=15,2,0))))))</f>
        <v/>
      </c>
      <c r="G480" s="5" t="n"/>
      <c r="H480" s="4">
        <f>IF(OR(F480="",G480=""),"",F480*G480+IF(J480="",0,J480))</f>
        <v/>
      </c>
      <c r="I480" s="5" t="n"/>
      <c r="J480" s="5" t="n"/>
    </row>
    <row r="481">
      <c r="A481" s="5" t="n"/>
      <c r="B481" s="5" t="n"/>
      <c r="C481" s="5" t="n"/>
      <c r="D481" s="5" t="n"/>
      <c r="E481" s="4">
        <f>IF(C481="","",COUNTIF($C$7:C481,C481))</f>
        <v/>
      </c>
      <c r="F481" s="4">
        <f>IF(E481="","",IF(E481&lt;=3,6,IF(E481&lt;=6,5,IF(E481&lt;=9,4,IF(E481&lt;=12,3,IF(E481&lt;=15,2,0))))))</f>
        <v/>
      </c>
      <c r="G481" s="5" t="n"/>
      <c r="H481" s="4">
        <f>IF(OR(F481="",G481=""),"",F481*G481+IF(J481="",0,J481))</f>
        <v/>
      </c>
      <c r="I481" s="5" t="n"/>
      <c r="J481" s="5" t="n"/>
    </row>
    <row r="482">
      <c r="A482" s="5" t="n"/>
      <c r="B482" s="5" t="n"/>
      <c r="C482" s="5" t="n"/>
      <c r="D482" s="5" t="n"/>
      <c r="E482" s="4">
        <f>IF(C482="","",COUNTIF($C$7:C482,C482))</f>
        <v/>
      </c>
      <c r="F482" s="4">
        <f>IF(E482="","",IF(E482&lt;=3,6,IF(E482&lt;=6,5,IF(E482&lt;=9,4,IF(E482&lt;=12,3,IF(E482&lt;=15,2,0))))))</f>
        <v/>
      </c>
      <c r="G482" s="5" t="n"/>
      <c r="H482" s="4">
        <f>IF(OR(F482="",G482=""),"",F482*G482+IF(J482="",0,J482))</f>
        <v/>
      </c>
      <c r="I482" s="5" t="n"/>
      <c r="J482" s="5" t="n"/>
    </row>
    <row r="483">
      <c r="A483" s="5" t="n"/>
      <c r="B483" s="5" t="n"/>
      <c r="C483" s="5" t="n"/>
      <c r="D483" s="5" t="n"/>
      <c r="E483" s="4">
        <f>IF(C483="","",COUNTIF($C$7:C483,C483))</f>
        <v/>
      </c>
      <c r="F483" s="4">
        <f>IF(E483="","",IF(E483&lt;=3,6,IF(E483&lt;=6,5,IF(E483&lt;=9,4,IF(E483&lt;=12,3,IF(E483&lt;=15,2,0))))))</f>
        <v/>
      </c>
      <c r="G483" s="5" t="n"/>
      <c r="H483" s="4">
        <f>IF(OR(F483="",G483=""),"",F483*G483+IF(J483="",0,J483))</f>
        <v/>
      </c>
      <c r="I483" s="5" t="n"/>
      <c r="J483" s="5" t="n"/>
    </row>
    <row r="484">
      <c r="A484" s="5" t="n"/>
      <c r="B484" s="5" t="n"/>
      <c r="C484" s="5" t="n"/>
      <c r="D484" s="5" t="n"/>
      <c r="E484" s="4">
        <f>IF(C484="","",COUNTIF($C$7:C484,C484))</f>
        <v/>
      </c>
      <c r="F484" s="4">
        <f>IF(E484="","",IF(E484&lt;=3,6,IF(E484&lt;=6,5,IF(E484&lt;=9,4,IF(E484&lt;=12,3,IF(E484&lt;=15,2,0))))))</f>
        <v/>
      </c>
      <c r="G484" s="5" t="n"/>
      <c r="H484" s="4">
        <f>IF(OR(F484="",G484=""),"",F484*G484+IF(J484="",0,J484))</f>
        <v/>
      </c>
      <c r="I484" s="5" t="n"/>
      <c r="J484" s="5" t="n"/>
    </row>
    <row r="485">
      <c r="A485" s="5" t="n"/>
      <c r="B485" s="5" t="n"/>
      <c r="C485" s="5" t="n"/>
      <c r="D485" s="5" t="n"/>
      <c r="E485" s="4">
        <f>IF(C485="","",COUNTIF($C$7:C485,C485))</f>
        <v/>
      </c>
      <c r="F485" s="4">
        <f>IF(E485="","",IF(E485&lt;=3,6,IF(E485&lt;=6,5,IF(E485&lt;=9,4,IF(E485&lt;=12,3,IF(E485&lt;=15,2,0))))))</f>
        <v/>
      </c>
      <c r="G485" s="5" t="n"/>
      <c r="H485" s="4">
        <f>IF(OR(F485="",G485=""),"",F485*G485+IF(J485="",0,J485))</f>
        <v/>
      </c>
      <c r="I485" s="5" t="n"/>
      <c r="J485" s="5" t="n"/>
    </row>
    <row r="486">
      <c r="A486" s="5" t="n"/>
      <c r="B486" s="5" t="n"/>
      <c r="C486" s="5" t="n"/>
      <c r="D486" s="5" t="n"/>
      <c r="E486" s="4">
        <f>IF(C486="","",COUNTIF($C$7:C486,C486))</f>
        <v/>
      </c>
      <c r="F486" s="4">
        <f>IF(E486="","",IF(E486&lt;=3,6,IF(E486&lt;=6,5,IF(E486&lt;=9,4,IF(E486&lt;=12,3,IF(E486&lt;=15,2,0))))))</f>
        <v/>
      </c>
      <c r="G486" s="5" t="n"/>
      <c r="H486" s="4">
        <f>IF(OR(F486="",G486=""),"",F486*G486+IF(J486="",0,J486))</f>
        <v/>
      </c>
      <c r="I486" s="5" t="n"/>
      <c r="J486" s="5" t="n"/>
    </row>
    <row r="487">
      <c r="A487" s="5" t="n"/>
      <c r="B487" s="5" t="n"/>
      <c r="C487" s="5" t="n"/>
      <c r="D487" s="5" t="n"/>
      <c r="E487" s="4">
        <f>IF(C487="","",COUNTIF($C$7:C487,C487))</f>
        <v/>
      </c>
      <c r="F487" s="4">
        <f>IF(E487="","",IF(E487&lt;=3,6,IF(E487&lt;=6,5,IF(E487&lt;=9,4,IF(E487&lt;=12,3,IF(E487&lt;=15,2,0))))))</f>
        <v/>
      </c>
      <c r="G487" s="5" t="n"/>
      <c r="H487" s="4">
        <f>IF(OR(F487="",G487=""),"",F487*G487+IF(J487="",0,J487))</f>
        <v/>
      </c>
      <c r="I487" s="5" t="n"/>
      <c r="J487" s="5" t="n"/>
    </row>
    <row r="488">
      <c r="A488" s="5" t="n"/>
      <c r="B488" s="5" t="n"/>
      <c r="C488" s="5" t="n"/>
      <c r="D488" s="5" t="n"/>
      <c r="E488" s="4">
        <f>IF(C488="","",COUNTIF($C$7:C488,C488))</f>
        <v/>
      </c>
      <c r="F488" s="4">
        <f>IF(E488="","",IF(E488&lt;=3,6,IF(E488&lt;=6,5,IF(E488&lt;=9,4,IF(E488&lt;=12,3,IF(E488&lt;=15,2,0))))))</f>
        <v/>
      </c>
      <c r="G488" s="5" t="n"/>
      <c r="H488" s="4">
        <f>IF(OR(F488="",G488=""),"",F488*G488+IF(J488="",0,J488))</f>
        <v/>
      </c>
      <c r="I488" s="5" t="n"/>
      <c r="J488" s="5" t="n"/>
    </row>
    <row r="489">
      <c r="A489" s="5" t="n"/>
      <c r="B489" s="5" t="n"/>
      <c r="C489" s="5" t="n"/>
      <c r="D489" s="5" t="n"/>
      <c r="E489" s="4">
        <f>IF(C489="","",COUNTIF($C$7:C489,C489))</f>
        <v/>
      </c>
      <c r="F489" s="4">
        <f>IF(E489="","",IF(E489&lt;=3,6,IF(E489&lt;=6,5,IF(E489&lt;=9,4,IF(E489&lt;=12,3,IF(E489&lt;=15,2,0))))))</f>
        <v/>
      </c>
      <c r="G489" s="5" t="n"/>
      <c r="H489" s="4">
        <f>IF(OR(F489="",G489=""),"",F489*G489+IF(J489="",0,J489))</f>
        <v/>
      </c>
      <c r="I489" s="5" t="n"/>
      <c r="J489" s="5" t="n"/>
    </row>
    <row r="490">
      <c r="A490" s="5" t="n"/>
      <c r="B490" s="5" t="n"/>
      <c r="C490" s="5" t="n"/>
      <c r="D490" s="5" t="n"/>
      <c r="E490" s="4">
        <f>IF(C490="","",COUNTIF($C$7:C490,C490))</f>
        <v/>
      </c>
      <c r="F490" s="4">
        <f>IF(E490="","",IF(E490&lt;=3,6,IF(E490&lt;=6,5,IF(E490&lt;=9,4,IF(E490&lt;=12,3,IF(E490&lt;=15,2,0))))))</f>
        <v/>
      </c>
      <c r="G490" s="5" t="n"/>
      <c r="H490" s="4">
        <f>IF(OR(F490="",G490=""),"",F490*G490+IF(J490="",0,J490))</f>
        <v/>
      </c>
      <c r="I490" s="5" t="n"/>
      <c r="J490" s="5" t="n"/>
    </row>
    <row r="491">
      <c r="A491" s="5" t="n"/>
      <c r="B491" s="5" t="n"/>
      <c r="C491" s="5" t="n"/>
      <c r="D491" s="5" t="n"/>
      <c r="E491" s="4">
        <f>IF(C491="","",COUNTIF($C$7:C491,C491))</f>
        <v/>
      </c>
      <c r="F491" s="4">
        <f>IF(E491="","",IF(E491&lt;=3,6,IF(E491&lt;=6,5,IF(E491&lt;=9,4,IF(E491&lt;=12,3,IF(E491&lt;=15,2,0))))))</f>
        <v/>
      </c>
      <c r="G491" s="5" t="n"/>
      <c r="H491" s="4">
        <f>IF(OR(F491="",G491=""),"",F491*G491+IF(J491="",0,J491))</f>
        <v/>
      </c>
      <c r="I491" s="5" t="n"/>
      <c r="J491" s="5" t="n"/>
    </row>
    <row r="492">
      <c r="A492" s="5" t="n"/>
      <c r="B492" s="5" t="n"/>
      <c r="C492" s="5" t="n"/>
      <c r="D492" s="5" t="n"/>
      <c r="E492" s="4">
        <f>IF(C492="","",COUNTIF($C$7:C492,C492))</f>
        <v/>
      </c>
      <c r="F492" s="4">
        <f>IF(E492="","",IF(E492&lt;=3,6,IF(E492&lt;=6,5,IF(E492&lt;=9,4,IF(E492&lt;=12,3,IF(E492&lt;=15,2,0))))))</f>
        <v/>
      </c>
      <c r="G492" s="5" t="n"/>
      <c r="H492" s="4">
        <f>IF(OR(F492="",G492=""),"",F492*G492+IF(J492="",0,J492))</f>
        <v/>
      </c>
      <c r="I492" s="5" t="n"/>
      <c r="J492" s="5" t="n"/>
    </row>
    <row r="493">
      <c r="A493" s="5" t="n"/>
      <c r="B493" s="5" t="n"/>
      <c r="C493" s="5" t="n"/>
      <c r="D493" s="5" t="n"/>
      <c r="E493" s="4">
        <f>IF(C493="","",COUNTIF($C$7:C493,C493))</f>
        <v/>
      </c>
      <c r="F493" s="4">
        <f>IF(E493="","",IF(E493&lt;=3,6,IF(E493&lt;=6,5,IF(E493&lt;=9,4,IF(E493&lt;=12,3,IF(E493&lt;=15,2,0))))))</f>
        <v/>
      </c>
      <c r="G493" s="5" t="n"/>
      <c r="H493" s="4">
        <f>IF(OR(F493="",G493=""),"",F493*G493+IF(J493="",0,J493))</f>
        <v/>
      </c>
      <c r="I493" s="5" t="n"/>
      <c r="J493" s="5" t="n"/>
    </row>
    <row r="494">
      <c r="A494" s="5" t="n"/>
      <c r="B494" s="5" t="n"/>
      <c r="C494" s="5" t="n"/>
      <c r="D494" s="5" t="n"/>
      <c r="E494" s="4">
        <f>IF(C494="","",COUNTIF($C$7:C494,C494))</f>
        <v/>
      </c>
      <c r="F494" s="4">
        <f>IF(E494="","",IF(E494&lt;=3,6,IF(E494&lt;=6,5,IF(E494&lt;=9,4,IF(E494&lt;=12,3,IF(E494&lt;=15,2,0))))))</f>
        <v/>
      </c>
      <c r="G494" s="5" t="n"/>
      <c r="H494" s="4">
        <f>IF(OR(F494="",G494=""),"",F494*G494+IF(J494="",0,J494))</f>
        <v/>
      </c>
      <c r="I494" s="5" t="n"/>
      <c r="J494" s="5" t="n"/>
    </row>
    <row r="495">
      <c r="A495" s="5" t="n"/>
      <c r="B495" s="5" t="n"/>
      <c r="C495" s="5" t="n"/>
      <c r="D495" s="5" t="n"/>
      <c r="E495" s="4">
        <f>IF(C495="","",COUNTIF($C$7:C495,C495))</f>
        <v/>
      </c>
      <c r="F495" s="4">
        <f>IF(E495="","",IF(E495&lt;=3,6,IF(E495&lt;=6,5,IF(E495&lt;=9,4,IF(E495&lt;=12,3,IF(E495&lt;=15,2,0))))))</f>
        <v/>
      </c>
      <c r="G495" s="5" t="n"/>
      <c r="H495" s="4">
        <f>IF(OR(F495="",G495=""),"",F495*G495+IF(J495="",0,J495))</f>
        <v/>
      </c>
      <c r="I495" s="5" t="n"/>
      <c r="J495" s="5" t="n"/>
    </row>
    <row r="496">
      <c r="A496" s="5" t="n"/>
      <c r="B496" s="5" t="n"/>
      <c r="C496" s="5" t="n"/>
      <c r="D496" s="5" t="n"/>
      <c r="E496" s="4">
        <f>IF(C496="","",COUNTIF($C$7:C496,C496))</f>
        <v/>
      </c>
      <c r="F496" s="4">
        <f>IF(E496="","",IF(E496&lt;=3,6,IF(E496&lt;=6,5,IF(E496&lt;=9,4,IF(E496&lt;=12,3,IF(E496&lt;=15,2,0))))))</f>
        <v/>
      </c>
      <c r="G496" s="5" t="n"/>
      <c r="H496" s="4">
        <f>IF(OR(F496="",G496=""),"",F496*G496+IF(J496="",0,J496))</f>
        <v/>
      </c>
      <c r="I496" s="5" t="n"/>
      <c r="J496" s="5" t="n"/>
    </row>
    <row r="497">
      <c r="A497" s="5" t="n"/>
      <c r="B497" s="5" t="n"/>
      <c r="C497" s="5" t="n"/>
      <c r="D497" s="5" t="n"/>
      <c r="E497" s="4">
        <f>IF(C497="","",COUNTIF($C$7:C497,C497))</f>
        <v/>
      </c>
      <c r="F497" s="4">
        <f>IF(E497="","",IF(E497&lt;=3,6,IF(E497&lt;=6,5,IF(E497&lt;=9,4,IF(E497&lt;=12,3,IF(E497&lt;=15,2,0))))))</f>
        <v/>
      </c>
      <c r="G497" s="5" t="n"/>
      <c r="H497" s="4">
        <f>IF(OR(F497="",G497=""),"",F497*G497+IF(J497="",0,J497))</f>
        <v/>
      </c>
      <c r="I497" s="5" t="n"/>
      <c r="J497" s="5" t="n"/>
    </row>
    <row r="498">
      <c r="A498" s="5" t="n"/>
      <c r="B498" s="5" t="n"/>
      <c r="C498" s="5" t="n"/>
      <c r="D498" s="5" t="n"/>
      <c r="E498" s="4">
        <f>IF(C498="","",COUNTIF($C$7:C498,C498))</f>
        <v/>
      </c>
      <c r="F498" s="4">
        <f>IF(E498="","",IF(E498&lt;=3,6,IF(E498&lt;=6,5,IF(E498&lt;=9,4,IF(E498&lt;=12,3,IF(E498&lt;=15,2,0))))))</f>
        <v/>
      </c>
      <c r="G498" s="5" t="n"/>
      <c r="H498" s="4">
        <f>IF(OR(F498="",G498=""),"",F498*G498+IF(J498="",0,J498))</f>
        <v/>
      </c>
      <c r="I498" s="5" t="n"/>
      <c r="J498" s="5" t="n"/>
    </row>
    <row r="499">
      <c r="A499" s="5" t="n"/>
      <c r="B499" s="5" t="n"/>
      <c r="C499" s="5" t="n"/>
      <c r="D499" s="5" t="n"/>
      <c r="E499" s="4">
        <f>IF(C499="","",COUNTIF($C$7:C499,C499))</f>
        <v/>
      </c>
      <c r="F499" s="4">
        <f>IF(E499="","",IF(E499&lt;=3,6,IF(E499&lt;=6,5,IF(E499&lt;=9,4,IF(E499&lt;=12,3,IF(E499&lt;=15,2,0))))))</f>
        <v/>
      </c>
      <c r="G499" s="5" t="n"/>
      <c r="H499" s="4">
        <f>IF(OR(F499="",G499=""),"",F499*G499+IF(J499="",0,J499))</f>
        <v/>
      </c>
      <c r="I499" s="5" t="n"/>
      <c r="J499" s="5" t="n"/>
    </row>
    <row r="500">
      <c r="A500" s="5" t="n"/>
      <c r="B500" s="5" t="n"/>
      <c r="C500" s="5" t="n"/>
      <c r="D500" s="5" t="n"/>
      <c r="E500" s="4">
        <f>IF(C500="","",COUNTIF($C$7:C500,C500))</f>
        <v/>
      </c>
      <c r="F500" s="4">
        <f>IF(E500="","",IF(E500&lt;=3,6,IF(E500&lt;=6,5,IF(E500&lt;=9,4,IF(E500&lt;=12,3,IF(E500&lt;=15,2,0))))))</f>
        <v/>
      </c>
      <c r="G500" s="5" t="n"/>
      <c r="H500" s="4">
        <f>IF(OR(F500="",G500=""),"",F500*G500+IF(J500="",0,J500))</f>
        <v/>
      </c>
      <c r="I500" s="5" t="n"/>
      <c r="J500" s="5" t="n"/>
    </row>
    <row r="501">
      <c r="A501" s="5" t="n"/>
      <c r="B501" s="5" t="n"/>
      <c r="C501" s="5" t="n"/>
      <c r="D501" s="5" t="n"/>
      <c r="E501" s="4">
        <f>IF(C501="","",COUNTIF($C$7:C501,C501))</f>
        <v/>
      </c>
      <c r="F501" s="4">
        <f>IF(E501="","",IF(E501&lt;=3,6,IF(E501&lt;=6,5,IF(E501&lt;=9,4,IF(E501&lt;=12,3,IF(E501&lt;=15,2,0))))))</f>
        <v/>
      </c>
      <c r="G501" s="5" t="n"/>
      <c r="H501" s="4">
        <f>IF(OR(F501="",G501=""),"",F501*G501+IF(J501="",0,J501))</f>
        <v/>
      </c>
      <c r="I501" s="5" t="n"/>
      <c r="J501" s="5" t="n"/>
    </row>
    <row r="502">
      <c r="A502" s="5" t="n"/>
      <c r="B502" s="5" t="n"/>
      <c r="C502" s="5" t="n"/>
      <c r="D502" s="5" t="n"/>
      <c r="E502" s="4">
        <f>IF(C502="","",COUNTIF($C$7:C502,C502))</f>
        <v/>
      </c>
      <c r="F502" s="4">
        <f>IF(E502="","",IF(E502&lt;=3,6,IF(E502&lt;=6,5,IF(E502&lt;=9,4,IF(E502&lt;=12,3,IF(E502&lt;=15,2,0))))))</f>
        <v/>
      </c>
      <c r="G502" s="5" t="n"/>
      <c r="H502" s="4">
        <f>IF(OR(F502="",G502=""),"",F502*G502+IF(J502="",0,J502))</f>
        <v/>
      </c>
      <c r="I502" s="5" t="n"/>
      <c r="J502" s="5" t="n"/>
    </row>
    <row r="503">
      <c r="A503" s="5" t="n"/>
      <c r="B503" s="5" t="n"/>
      <c r="C503" s="5" t="n"/>
      <c r="D503" s="5" t="n"/>
      <c r="E503" s="4">
        <f>IF(C503="","",COUNTIF($C$7:C503,C503))</f>
        <v/>
      </c>
      <c r="F503" s="4">
        <f>IF(E503="","",IF(E503&lt;=3,6,IF(E503&lt;=6,5,IF(E503&lt;=9,4,IF(E503&lt;=12,3,IF(E503&lt;=15,2,0))))))</f>
        <v/>
      </c>
      <c r="G503" s="5" t="n"/>
      <c r="H503" s="4">
        <f>IF(OR(F503="",G503=""),"",F503*G503+IF(J503="",0,J503))</f>
        <v/>
      </c>
      <c r="I503" s="5" t="n"/>
      <c r="J503" s="5" t="n"/>
    </row>
    <row r="504">
      <c r="A504" s="5" t="n"/>
      <c r="B504" s="5" t="n"/>
      <c r="C504" s="5" t="n"/>
      <c r="D504" s="5" t="n"/>
      <c r="E504" s="4">
        <f>IF(C504="","",COUNTIF($C$7:C504,C504))</f>
        <v/>
      </c>
      <c r="F504" s="4">
        <f>IF(E504="","",IF(E504&lt;=3,6,IF(E504&lt;=6,5,IF(E504&lt;=9,4,IF(E504&lt;=12,3,IF(E504&lt;=15,2,0))))))</f>
        <v/>
      </c>
      <c r="G504" s="5" t="n"/>
      <c r="H504" s="4">
        <f>IF(OR(F504="",G504=""),"",F504*G504+IF(J504="",0,J504))</f>
        <v/>
      </c>
      <c r="I504" s="5" t="n"/>
      <c r="J504" s="5" t="n"/>
    </row>
    <row r="505">
      <c r="A505" s="5" t="n"/>
      <c r="B505" s="5" t="n"/>
      <c r="C505" s="5" t="n"/>
      <c r="D505" s="5" t="n"/>
      <c r="E505" s="4">
        <f>IF(C505="","",COUNTIF($C$7:C505,C505))</f>
        <v/>
      </c>
      <c r="F505" s="4">
        <f>IF(E505="","",IF(E505&lt;=3,6,IF(E505&lt;=6,5,IF(E505&lt;=9,4,IF(E505&lt;=12,3,IF(E505&lt;=15,2,0))))))</f>
        <v/>
      </c>
      <c r="G505" s="5" t="n"/>
      <c r="H505" s="4">
        <f>IF(OR(F505="",G505=""),"",F505*G505+IF(J505="",0,J505))</f>
        <v/>
      </c>
      <c r="I505" s="5" t="n"/>
      <c r="J505" s="5" t="n"/>
    </row>
    <row r="506">
      <c r="A506" s="5" t="n"/>
      <c r="B506" s="5" t="n"/>
      <c r="C506" s="5" t="n"/>
      <c r="D506" s="5" t="n"/>
      <c r="E506" s="4">
        <f>IF(C506="","",COUNTIF($C$7:C506,C506))</f>
        <v/>
      </c>
      <c r="F506" s="4">
        <f>IF(E506="","",IF(E506&lt;=3,6,IF(E506&lt;=6,5,IF(E506&lt;=9,4,IF(E506&lt;=12,3,IF(E506&lt;=15,2,0))))))</f>
        <v/>
      </c>
      <c r="G506" s="5" t="n"/>
      <c r="H506" s="4">
        <f>IF(OR(F506="",G506=""),"",F506*G506+IF(J506="",0,J506))</f>
        <v/>
      </c>
      <c r="I506" s="5" t="n"/>
      <c r="J506" s="5" t="n"/>
    </row>
    <row r="507">
      <c r="A507" s="5" t="n"/>
      <c r="B507" s="5" t="n"/>
      <c r="C507" s="5" t="n"/>
      <c r="D507" s="5" t="n"/>
      <c r="E507" s="4">
        <f>IF(C507="","",COUNTIF($C$7:C507,C507))</f>
        <v/>
      </c>
      <c r="F507" s="4">
        <f>IF(E507="","",IF(E507&lt;=3,6,IF(E507&lt;=6,5,IF(E507&lt;=9,4,IF(E507&lt;=12,3,IF(E507&lt;=15,2,0))))))</f>
        <v/>
      </c>
      <c r="G507" s="5" t="n"/>
      <c r="H507" s="4">
        <f>IF(OR(F507="",G507=""),"",F507*G507+IF(J507="",0,J507))</f>
        <v/>
      </c>
      <c r="I507" s="5" t="n"/>
      <c r="J507" s="5" t="n"/>
    </row>
    <row r="508">
      <c r="A508" s="5" t="n"/>
      <c r="B508" s="5" t="n"/>
      <c r="C508" s="5" t="n"/>
      <c r="D508" s="5" t="n"/>
      <c r="E508" s="4">
        <f>IF(C508="","",COUNTIF($C$7:C508,C508))</f>
        <v/>
      </c>
      <c r="F508" s="4">
        <f>IF(E508="","",IF(E508&lt;=3,6,IF(E508&lt;=6,5,IF(E508&lt;=9,4,IF(E508&lt;=12,3,IF(E508&lt;=15,2,0))))))</f>
        <v/>
      </c>
      <c r="G508" s="5" t="n"/>
      <c r="H508" s="4">
        <f>IF(OR(F508="",G508=""),"",F508*G508+IF(J508="",0,J508))</f>
        <v/>
      </c>
      <c r="I508" s="5" t="n"/>
      <c r="J508" s="5" t="n"/>
    </row>
    <row r="509">
      <c r="A509" s="5" t="n"/>
      <c r="B509" s="5" t="n"/>
      <c r="C509" s="5" t="n"/>
      <c r="D509" s="5" t="n"/>
      <c r="E509" s="4">
        <f>IF(C509="","",COUNTIF($C$7:C509,C509))</f>
        <v/>
      </c>
      <c r="F509" s="4">
        <f>IF(E509="","",IF(E509&lt;=3,6,IF(E509&lt;=6,5,IF(E509&lt;=9,4,IF(E509&lt;=12,3,IF(E509&lt;=15,2,0))))))</f>
        <v/>
      </c>
      <c r="G509" s="5" t="n"/>
      <c r="H509" s="4">
        <f>IF(OR(F509="",G509=""),"",F509*G509+IF(J509="",0,J509))</f>
        <v/>
      </c>
      <c r="I509" s="5" t="n"/>
      <c r="J509" s="5" t="n"/>
    </row>
    <row r="510">
      <c r="A510" s="5" t="n"/>
      <c r="B510" s="5" t="n"/>
      <c r="C510" s="5" t="n"/>
      <c r="D510" s="5" t="n"/>
      <c r="E510" s="4">
        <f>IF(C510="","",COUNTIF($C$7:C510,C510))</f>
        <v/>
      </c>
      <c r="F510" s="4">
        <f>IF(E510="","",IF(E510&lt;=3,6,IF(E510&lt;=6,5,IF(E510&lt;=9,4,IF(E510&lt;=12,3,IF(E510&lt;=15,2,0))))))</f>
        <v/>
      </c>
      <c r="G510" s="5" t="n"/>
      <c r="H510" s="4">
        <f>IF(OR(F510="",G510=""),"",F510*G510+IF(J510="",0,J510))</f>
        <v/>
      </c>
      <c r="I510" s="5" t="n"/>
      <c r="J510" s="5" t="n"/>
    </row>
    <row r="511">
      <c r="A511" s="5" t="n"/>
      <c r="B511" s="5" t="n"/>
      <c r="C511" s="5" t="n"/>
      <c r="D511" s="5" t="n"/>
      <c r="E511" s="4">
        <f>IF(C511="","",COUNTIF($C$7:C511,C511))</f>
        <v/>
      </c>
      <c r="F511" s="4">
        <f>IF(E511="","",IF(E511&lt;=3,6,IF(E511&lt;=6,5,IF(E511&lt;=9,4,IF(E511&lt;=12,3,IF(E511&lt;=15,2,0))))))</f>
        <v/>
      </c>
      <c r="G511" s="5" t="n"/>
      <c r="H511" s="4">
        <f>IF(OR(F511="",G511=""),"",F511*G511+IF(J511="",0,J511))</f>
        <v/>
      </c>
      <c r="I511" s="5" t="n"/>
      <c r="J511" s="5" t="n"/>
    </row>
    <row r="512">
      <c r="A512" s="5" t="n"/>
      <c r="B512" s="5" t="n"/>
      <c r="C512" s="5" t="n"/>
      <c r="D512" s="5" t="n"/>
      <c r="E512" s="4">
        <f>IF(C512="","",COUNTIF($C$7:C512,C512))</f>
        <v/>
      </c>
      <c r="F512" s="4">
        <f>IF(E512="","",IF(E512&lt;=3,6,IF(E512&lt;=6,5,IF(E512&lt;=9,4,IF(E512&lt;=12,3,IF(E512&lt;=15,2,0))))))</f>
        <v/>
      </c>
      <c r="G512" s="5" t="n"/>
      <c r="H512" s="4">
        <f>IF(OR(F512="",G512=""),"",F512*G512+IF(J512="",0,J512))</f>
        <v/>
      </c>
      <c r="I512" s="5" t="n"/>
      <c r="J512" s="5" t="n"/>
    </row>
    <row r="513">
      <c r="A513" s="5" t="n"/>
      <c r="B513" s="5" t="n"/>
      <c r="C513" s="5" t="n"/>
      <c r="D513" s="5" t="n"/>
      <c r="E513" s="4">
        <f>IF(C513="","",COUNTIF($C$7:C513,C513))</f>
        <v/>
      </c>
      <c r="F513" s="4">
        <f>IF(E513="","",IF(E513&lt;=3,6,IF(E513&lt;=6,5,IF(E513&lt;=9,4,IF(E513&lt;=12,3,IF(E513&lt;=15,2,0))))))</f>
        <v/>
      </c>
      <c r="G513" s="5" t="n"/>
      <c r="H513" s="4">
        <f>IF(OR(F513="",G513=""),"",F513*G513+IF(J513="",0,J513))</f>
        <v/>
      </c>
      <c r="I513" s="5" t="n"/>
      <c r="J513" s="5" t="n"/>
    </row>
    <row r="514">
      <c r="A514" s="5" t="n"/>
      <c r="B514" s="5" t="n"/>
      <c r="C514" s="5" t="n"/>
      <c r="D514" s="5" t="n"/>
      <c r="E514" s="4">
        <f>IF(C514="","",COUNTIF($C$7:C514,C514))</f>
        <v/>
      </c>
      <c r="F514" s="4">
        <f>IF(E514="","",IF(E514&lt;=3,6,IF(E514&lt;=6,5,IF(E514&lt;=9,4,IF(E514&lt;=12,3,IF(E514&lt;=15,2,0))))))</f>
        <v/>
      </c>
      <c r="G514" s="5" t="n"/>
      <c r="H514" s="4">
        <f>IF(OR(F514="",G514=""),"",F514*G514+IF(J514="",0,J514))</f>
        <v/>
      </c>
      <c r="I514" s="5" t="n"/>
      <c r="J514" s="5" t="n"/>
    </row>
    <row r="515">
      <c r="A515" s="5" t="n"/>
      <c r="B515" s="5" t="n"/>
      <c r="C515" s="5" t="n"/>
      <c r="D515" s="5" t="n"/>
      <c r="E515" s="4">
        <f>IF(C515="","",COUNTIF($C$7:C515,C515))</f>
        <v/>
      </c>
      <c r="F515" s="4">
        <f>IF(E515="","",IF(E515&lt;=3,6,IF(E515&lt;=6,5,IF(E515&lt;=9,4,IF(E515&lt;=12,3,IF(E515&lt;=15,2,0))))))</f>
        <v/>
      </c>
      <c r="G515" s="5" t="n"/>
      <c r="H515" s="4">
        <f>IF(OR(F515="",G515=""),"",F515*G515+IF(J515="",0,J515))</f>
        <v/>
      </c>
      <c r="I515" s="5" t="n"/>
      <c r="J515" s="5" t="n"/>
    </row>
    <row r="516">
      <c r="A516" s="5" t="n"/>
      <c r="B516" s="5" t="n"/>
      <c r="C516" s="5" t="n"/>
      <c r="D516" s="5" t="n"/>
      <c r="E516" s="4">
        <f>IF(C516="","",COUNTIF($C$7:C516,C516))</f>
        <v/>
      </c>
      <c r="F516" s="4">
        <f>IF(E516="","",IF(E516&lt;=3,6,IF(E516&lt;=6,5,IF(E516&lt;=9,4,IF(E516&lt;=12,3,IF(E516&lt;=15,2,0))))))</f>
        <v/>
      </c>
      <c r="G516" s="5" t="n"/>
      <c r="H516" s="4">
        <f>IF(OR(F516="",G516=""),"",F516*G516+IF(J516="",0,J516))</f>
        <v/>
      </c>
      <c r="I516" s="5" t="n"/>
      <c r="J516" s="5" t="n"/>
    </row>
    <row r="517">
      <c r="A517" s="5" t="n"/>
      <c r="B517" s="5" t="n"/>
      <c r="C517" s="5" t="n"/>
      <c r="D517" s="5" t="n"/>
      <c r="E517" s="4">
        <f>IF(C517="","",COUNTIF($C$7:C517,C517))</f>
        <v/>
      </c>
      <c r="F517" s="4">
        <f>IF(E517="","",IF(E517&lt;=3,6,IF(E517&lt;=6,5,IF(E517&lt;=9,4,IF(E517&lt;=12,3,IF(E517&lt;=15,2,0))))))</f>
        <v/>
      </c>
      <c r="G517" s="5" t="n"/>
      <c r="H517" s="4">
        <f>IF(OR(F517="",G517=""),"",F517*G517+IF(J517="",0,J517))</f>
        <v/>
      </c>
      <c r="I517" s="5" t="n"/>
      <c r="J517" s="5" t="n"/>
    </row>
    <row r="518">
      <c r="A518" s="5" t="n"/>
      <c r="B518" s="5" t="n"/>
      <c r="C518" s="5" t="n"/>
      <c r="D518" s="5" t="n"/>
      <c r="E518" s="4">
        <f>IF(C518="","",COUNTIF($C$7:C518,C518))</f>
        <v/>
      </c>
      <c r="F518" s="4">
        <f>IF(E518="","",IF(E518&lt;=3,6,IF(E518&lt;=6,5,IF(E518&lt;=9,4,IF(E518&lt;=12,3,IF(E518&lt;=15,2,0))))))</f>
        <v/>
      </c>
      <c r="G518" s="5" t="n"/>
      <c r="H518" s="4">
        <f>IF(OR(F518="",G518=""),"",F518*G518+IF(J518="",0,J518))</f>
        <v/>
      </c>
      <c r="I518" s="5" t="n"/>
      <c r="J518" s="5" t="n"/>
    </row>
    <row r="519">
      <c r="A519" s="5" t="n"/>
      <c r="B519" s="5" t="n"/>
      <c r="C519" s="5" t="n"/>
      <c r="D519" s="5" t="n"/>
      <c r="E519" s="4">
        <f>IF(C519="","",COUNTIF($C$7:C519,C519))</f>
        <v/>
      </c>
      <c r="F519" s="4">
        <f>IF(E519="","",IF(E519&lt;=3,6,IF(E519&lt;=6,5,IF(E519&lt;=9,4,IF(E519&lt;=12,3,IF(E519&lt;=15,2,0))))))</f>
        <v/>
      </c>
      <c r="G519" s="5" t="n"/>
      <c r="H519" s="4">
        <f>IF(OR(F519="",G519=""),"",F519*G519+IF(J519="",0,J519))</f>
        <v/>
      </c>
      <c r="I519" s="5" t="n"/>
      <c r="J519" s="5" t="n"/>
    </row>
    <row r="520">
      <c r="A520" s="5" t="n"/>
      <c r="B520" s="5" t="n"/>
      <c r="C520" s="5" t="n"/>
      <c r="D520" s="5" t="n"/>
      <c r="E520" s="4">
        <f>IF(C520="","",COUNTIF($C$7:C520,C520))</f>
        <v/>
      </c>
      <c r="F520" s="4">
        <f>IF(E520="","",IF(E520&lt;=3,6,IF(E520&lt;=6,5,IF(E520&lt;=9,4,IF(E520&lt;=12,3,IF(E520&lt;=15,2,0))))))</f>
        <v/>
      </c>
      <c r="G520" s="5" t="n"/>
      <c r="H520" s="4">
        <f>IF(OR(F520="",G520=""),"",F520*G520+IF(J520="",0,J520))</f>
        <v/>
      </c>
      <c r="I520" s="5" t="n"/>
      <c r="J520" s="5" t="n"/>
    </row>
    <row r="521">
      <c r="A521" s="5" t="n"/>
      <c r="B521" s="5" t="n"/>
      <c r="C521" s="5" t="n"/>
      <c r="D521" s="5" t="n"/>
      <c r="E521" s="4">
        <f>IF(C521="","",COUNTIF($C$7:C521,C521))</f>
        <v/>
      </c>
      <c r="F521" s="4">
        <f>IF(E521="","",IF(E521&lt;=3,6,IF(E521&lt;=6,5,IF(E521&lt;=9,4,IF(E521&lt;=12,3,IF(E521&lt;=15,2,0))))))</f>
        <v/>
      </c>
      <c r="G521" s="5" t="n"/>
      <c r="H521" s="4">
        <f>IF(OR(F521="",G521=""),"",F521*G521+IF(J521="",0,J521))</f>
        <v/>
      </c>
      <c r="I521" s="5" t="n"/>
      <c r="J521" s="5" t="n"/>
    </row>
    <row r="522">
      <c r="A522" s="5" t="n"/>
      <c r="B522" s="5" t="n"/>
      <c r="C522" s="5" t="n"/>
      <c r="D522" s="5" t="n"/>
      <c r="E522" s="4">
        <f>IF(C522="","",COUNTIF($C$7:C522,C522))</f>
        <v/>
      </c>
      <c r="F522" s="4">
        <f>IF(E522="","",IF(E522&lt;=3,6,IF(E522&lt;=6,5,IF(E522&lt;=9,4,IF(E522&lt;=12,3,IF(E522&lt;=15,2,0))))))</f>
        <v/>
      </c>
      <c r="G522" s="5" t="n"/>
      <c r="H522" s="4">
        <f>IF(OR(F522="",G522=""),"",F522*G522+IF(J522="",0,J522))</f>
        <v/>
      </c>
      <c r="I522" s="5" t="n"/>
      <c r="J522" s="5" t="n"/>
    </row>
    <row r="523">
      <c r="A523" s="5" t="n"/>
      <c r="B523" s="5" t="n"/>
      <c r="C523" s="5" t="n"/>
      <c r="D523" s="5" t="n"/>
      <c r="E523" s="4">
        <f>IF(C523="","",COUNTIF($C$7:C523,C523))</f>
        <v/>
      </c>
      <c r="F523" s="4">
        <f>IF(E523="","",IF(E523&lt;=3,6,IF(E523&lt;=6,5,IF(E523&lt;=9,4,IF(E523&lt;=12,3,IF(E523&lt;=15,2,0))))))</f>
        <v/>
      </c>
      <c r="G523" s="5" t="n"/>
      <c r="H523" s="4">
        <f>IF(OR(F523="",G523=""),"",F523*G523+IF(J523="",0,J523))</f>
        <v/>
      </c>
      <c r="I523" s="5" t="n"/>
      <c r="J523" s="5" t="n"/>
    </row>
    <row r="524">
      <c r="A524" s="5" t="n"/>
      <c r="B524" s="5" t="n"/>
      <c r="C524" s="5" t="n"/>
      <c r="D524" s="5" t="n"/>
      <c r="E524" s="4">
        <f>IF(C524="","",COUNTIF($C$7:C524,C524))</f>
        <v/>
      </c>
      <c r="F524" s="4">
        <f>IF(E524="","",IF(E524&lt;=3,6,IF(E524&lt;=6,5,IF(E524&lt;=9,4,IF(E524&lt;=12,3,IF(E524&lt;=15,2,0))))))</f>
        <v/>
      </c>
      <c r="G524" s="5" t="n"/>
      <c r="H524" s="4">
        <f>IF(OR(F524="",G524=""),"",F524*G524+IF(J524="",0,J524))</f>
        <v/>
      </c>
      <c r="I524" s="5" t="n"/>
      <c r="J524" s="5" t="n"/>
    </row>
    <row r="525">
      <c r="A525" s="5" t="n"/>
      <c r="B525" s="5" t="n"/>
      <c r="C525" s="5" t="n"/>
      <c r="D525" s="5" t="n"/>
      <c r="E525" s="4">
        <f>IF(C525="","",COUNTIF($C$7:C525,C525))</f>
        <v/>
      </c>
      <c r="F525" s="4">
        <f>IF(E525="","",IF(E525&lt;=3,6,IF(E525&lt;=6,5,IF(E525&lt;=9,4,IF(E525&lt;=12,3,IF(E525&lt;=15,2,0))))))</f>
        <v/>
      </c>
      <c r="G525" s="5" t="n"/>
      <c r="H525" s="4">
        <f>IF(OR(F525="",G525=""),"",F525*G525+IF(J525="",0,J525))</f>
        <v/>
      </c>
      <c r="I525" s="5" t="n"/>
      <c r="J525" s="5" t="n"/>
    </row>
    <row r="526">
      <c r="A526" s="5" t="n"/>
      <c r="B526" s="5" t="n"/>
      <c r="C526" s="5" t="n"/>
      <c r="D526" s="5" t="n"/>
      <c r="E526" s="4">
        <f>IF(C526="","",COUNTIF($C$7:C526,C526))</f>
        <v/>
      </c>
      <c r="F526" s="4">
        <f>IF(E526="","",IF(E526&lt;=3,6,IF(E526&lt;=6,5,IF(E526&lt;=9,4,IF(E526&lt;=12,3,IF(E526&lt;=15,2,0))))))</f>
        <v/>
      </c>
      <c r="G526" s="5" t="n"/>
      <c r="H526" s="4">
        <f>IF(OR(F526="",G526=""),"",F526*G526+IF(J526="",0,J526))</f>
        <v/>
      </c>
      <c r="I526" s="5" t="n"/>
      <c r="J526" s="5" t="n"/>
    </row>
    <row r="527">
      <c r="A527" s="5" t="n"/>
      <c r="B527" s="5" t="n"/>
      <c r="C527" s="5" t="n"/>
      <c r="D527" s="5" t="n"/>
      <c r="E527" s="4">
        <f>IF(C527="","",COUNTIF($C$7:C527,C527))</f>
        <v/>
      </c>
      <c r="F527" s="4">
        <f>IF(E527="","",IF(E527&lt;=3,6,IF(E527&lt;=6,5,IF(E527&lt;=9,4,IF(E527&lt;=12,3,IF(E527&lt;=15,2,0))))))</f>
        <v/>
      </c>
      <c r="G527" s="5" t="n"/>
      <c r="H527" s="4">
        <f>IF(OR(F527="",G527=""),"",F527*G527+IF(J527="",0,J527))</f>
        <v/>
      </c>
      <c r="I527" s="5" t="n"/>
      <c r="J527" s="5" t="n"/>
    </row>
    <row r="528">
      <c r="A528" s="5" t="n"/>
      <c r="B528" s="5" t="n"/>
      <c r="C528" s="5" t="n"/>
      <c r="D528" s="5" t="n"/>
      <c r="E528" s="4">
        <f>IF(C528="","",COUNTIF($C$7:C528,C528))</f>
        <v/>
      </c>
      <c r="F528" s="4">
        <f>IF(E528="","",IF(E528&lt;=3,6,IF(E528&lt;=6,5,IF(E528&lt;=9,4,IF(E528&lt;=12,3,IF(E528&lt;=15,2,0))))))</f>
        <v/>
      </c>
      <c r="G528" s="5" t="n"/>
      <c r="H528" s="4">
        <f>IF(OR(F528="",G528=""),"",F528*G528+IF(J528="",0,J528))</f>
        <v/>
      </c>
      <c r="I528" s="5" t="n"/>
      <c r="J528" s="5" t="n"/>
    </row>
    <row r="529">
      <c r="A529" s="5" t="n"/>
      <c r="B529" s="5" t="n"/>
      <c r="C529" s="5" t="n"/>
      <c r="D529" s="5" t="n"/>
      <c r="E529" s="4">
        <f>IF(C529="","",COUNTIF($C$7:C529,C529))</f>
        <v/>
      </c>
      <c r="F529" s="4">
        <f>IF(E529="","",IF(E529&lt;=3,6,IF(E529&lt;=6,5,IF(E529&lt;=9,4,IF(E529&lt;=12,3,IF(E529&lt;=15,2,0))))))</f>
        <v/>
      </c>
      <c r="G529" s="5" t="n"/>
      <c r="H529" s="4">
        <f>IF(OR(F529="",G529=""),"",F529*G529+IF(J529="",0,J529))</f>
        <v/>
      </c>
      <c r="I529" s="5" t="n"/>
      <c r="J529" s="5" t="n"/>
    </row>
    <row r="530">
      <c r="A530" s="5" t="n"/>
      <c r="B530" s="5" t="n"/>
      <c r="C530" s="5" t="n"/>
      <c r="D530" s="5" t="n"/>
      <c r="E530" s="4">
        <f>IF(C530="","",COUNTIF($C$7:C530,C530))</f>
        <v/>
      </c>
      <c r="F530" s="4">
        <f>IF(E530="","",IF(E530&lt;=3,6,IF(E530&lt;=6,5,IF(E530&lt;=9,4,IF(E530&lt;=12,3,IF(E530&lt;=15,2,0))))))</f>
        <v/>
      </c>
      <c r="G530" s="5" t="n"/>
      <c r="H530" s="4">
        <f>IF(OR(F530="",G530=""),"",F530*G530+IF(J530="",0,J530))</f>
        <v/>
      </c>
      <c r="I530" s="5" t="n"/>
      <c r="J530" s="5" t="n"/>
    </row>
    <row r="531">
      <c r="A531" s="5" t="n"/>
      <c r="B531" s="5" t="n"/>
      <c r="C531" s="5" t="n"/>
      <c r="D531" s="5" t="n"/>
      <c r="E531" s="4">
        <f>IF(C531="","",COUNTIF($C$7:C531,C531))</f>
        <v/>
      </c>
      <c r="F531" s="4">
        <f>IF(E531="","",IF(E531&lt;=3,6,IF(E531&lt;=6,5,IF(E531&lt;=9,4,IF(E531&lt;=12,3,IF(E531&lt;=15,2,0))))))</f>
        <v/>
      </c>
      <c r="G531" s="5" t="n"/>
      <c r="H531" s="4">
        <f>IF(OR(F531="",G531=""),"",F531*G531+IF(J531="",0,J531))</f>
        <v/>
      </c>
      <c r="I531" s="5" t="n"/>
      <c r="J531" s="5" t="n"/>
    </row>
    <row r="532">
      <c r="A532" s="5" t="n"/>
      <c r="B532" s="5" t="n"/>
      <c r="C532" s="5" t="n"/>
      <c r="D532" s="5" t="n"/>
      <c r="E532" s="4">
        <f>IF(C532="","",COUNTIF($C$7:C532,C532))</f>
        <v/>
      </c>
      <c r="F532" s="4">
        <f>IF(E532="","",IF(E532&lt;=3,6,IF(E532&lt;=6,5,IF(E532&lt;=9,4,IF(E532&lt;=12,3,IF(E532&lt;=15,2,0))))))</f>
        <v/>
      </c>
      <c r="G532" s="5" t="n"/>
      <c r="H532" s="4">
        <f>IF(OR(F532="",G532=""),"",F532*G532+IF(J532="",0,J532))</f>
        <v/>
      </c>
      <c r="I532" s="5" t="n"/>
      <c r="J532" s="5" t="n"/>
    </row>
    <row r="533">
      <c r="A533" s="5" t="n"/>
      <c r="B533" s="5" t="n"/>
      <c r="C533" s="5" t="n"/>
      <c r="D533" s="5" t="n"/>
      <c r="E533" s="4">
        <f>IF(C533="","",COUNTIF($C$7:C533,C533))</f>
        <v/>
      </c>
      <c r="F533" s="4">
        <f>IF(E533="","",IF(E533&lt;=3,6,IF(E533&lt;=6,5,IF(E533&lt;=9,4,IF(E533&lt;=12,3,IF(E533&lt;=15,2,0))))))</f>
        <v/>
      </c>
      <c r="G533" s="5" t="n"/>
      <c r="H533" s="4">
        <f>IF(OR(F533="",G533=""),"",F533*G533+IF(J533="",0,J533))</f>
        <v/>
      </c>
      <c r="I533" s="5" t="n"/>
      <c r="J533" s="5" t="n"/>
    </row>
    <row r="534">
      <c r="A534" s="5" t="n"/>
      <c r="B534" s="5" t="n"/>
      <c r="C534" s="5" t="n"/>
      <c r="D534" s="5" t="n"/>
      <c r="E534" s="4">
        <f>IF(C534="","",COUNTIF($C$7:C534,C534))</f>
        <v/>
      </c>
      <c r="F534" s="4">
        <f>IF(E534="","",IF(E534&lt;=3,6,IF(E534&lt;=6,5,IF(E534&lt;=9,4,IF(E534&lt;=12,3,IF(E534&lt;=15,2,0))))))</f>
        <v/>
      </c>
      <c r="G534" s="5" t="n"/>
      <c r="H534" s="4">
        <f>IF(OR(F534="",G534=""),"",F534*G534+IF(J534="",0,J534))</f>
        <v/>
      </c>
      <c r="I534" s="5" t="n"/>
      <c r="J534" s="5" t="n"/>
    </row>
    <row r="535">
      <c r="A535" s="5" t="n"/>
      <c r="B535" s="5" t="n"/>
      <c r="C535" s="5" t="n"/>
      <c r="D535" s="5" t="n"/>
      <c r="E535" s="4">
        <f>IF(C535="","",COUNTIF($C$7:C535,C535))</f>
        <v/>
      </c>
      <c r="F535" s="4">
        <f>IF(E535="","",IF(E535&lt;=3,6,IF(E535&lt;=6,5,IF(E535&lt;=9,4,IF(E535&lt;=12,3,IF(E535&lt;=15,2,0))))))</f>
        <v/>
      </c>
      <c r="G535" s="5" t="n"/>
      <c r="H535" s="4">
        <f>IF(OR(F535="",G535=""),"",F535*G535+IF(J535="",0,J535))</f>
        <v/>
      </c>
      <c r="I535" s="5" t="n"/>
      <c r="J535" s="5" t="n"/>
    </row>
    <row r="536">
      <c r="A536" s="5" t="n"/>
      <c r="B536" s="5" t="n"/>
      <c r="C536" s="5" t="n"/>
      <c r="D536" s="5" t="n"/>
      <c r="E536" s="4">
        <f>IF(C536="","",COUNTIF($C$7:C536,C536))</f>
        <v/>
      </c>
      <c r="F536" s="4">
        <f>IF(E536="","",IF(E536&lt;=3,6,IF(E536&lt;=6,5,IF(E536&lt;=9,4,IF(E536&lt;=12,3,IF(E536&lt;=15,2,0))))))</f>
        <v/>
      </c>
      <c r="G536" s="5" t="n"/>
      <c r="H536" s="4">
        <f>IF(OR(F536="",G536=""),"",F536*G536+IF(J536="",0,J536))</f>
        <v/>
      </c>
      <c r="I536" s="5" t="n"/>
      <c r="J536" s="5" t="n"/>
    </row>
    <row r="537">
      <c r="A537" s="5" t="n"/>
      <c r="B537" s="5" t="n"/>
      <c r="C537" s="5" t="n"/>
      <c r="D537" s="5" t="n"/>
      <c r="E537" s="4">
        <f>IF(C537="","",COUNTIF($C$7:C537,C537))</f>
        <v/>
      </c>
      <c r="F537" s="4">
        <f>IF(E537="","",IF(E537&lt;=3,6,IF(E537&lt;=6,5,IF(E537&lt;=9,4,IF(E537&lt;=12,3,IF(E537&lt;=15,2,0))))))</f>
        <v/>
      </c>
      <c r="G537" s="5" t="n"/>
      <c r="H537" s="4">
        <f>IF(OR(F537="",G537=""),"",F537*G537+IF(J537="",0,J537))</f>
        <v/>
      </c>
      <c r="I537" s="5" t="n"/>
      <c r="J537" s="5" t="n"/>
    </row>
    <row r="538">
      <c r="A538" s="5" t="n"/>
      <c r="B538" s="5" t="n"/>
      <c r="C538" s="5" t="n"/>
      <c r="D538" s="5" t="n"/>
      <c r="E538" s="4">
        <f>IF(C538="","",COUNTIF($C$7:C538,C538))</f>
        <v/>
      </c>
      <c r="F538" s="4">
        <f>IF(E538="","",IF(E538&lt;=3,6,IF(E538&lt;=6,5,IF(E538&lt;=9,4,IF(E538&lt;=12,3,IF(E538&lt;=15,2,0))))))</f>
        <v/>
      </c>
      <c r="G538" s="5" t="n"/>
      <c r="H538" s="4">
        <f>IF(OR(F538="",G538=""),"",F538*G538+IF(J538="",0,J538))</f>
        <v/>
      </c>
      <c r="I538" s="5" t="n"/>
      <c r="J538" s="5" t="n"/>
    </row>
    <row r="539">
      <c r="A539" s="5" t="n"/>
      <c r="B539" s="5" t="n"/>
      <c r="C539" s="5" t="n"/>
      <c r="D539" s="5" t="n"/>
      <c r="E539" s="4">
        <f>IF(C539="","",COUNTIF($C$7:C539,C539))</f>
        <v/>
      </c>
      <c r="F539" s="4">
        <f>IF(E539="","",IF(E539&lt;=3,6,IF(E539&lt;=6,5,IF(E539&lt;=9,4,IF(E539&lt;=12,3,IF(E539&lt;=15,2,0))))))</f>
        <v/>
      </c>
      <c r="G539" s="5" t="n"/>
      <c r="H539" s="4">
        <f>IF(OR(F539="",G539=""),"",F539*G539+IF(J539="",0,J539))</f>
        <v/>
      </c>
      <c r="I539" s="5" t="n"/>
      <c r="J539" s="5" t="n"/>
    </row>
    <row r="540">
      <c r="A540" s="5" t="n"/>
      <c r="B540" s="5" t="n"/>
      <c r="C540" s="5" t="n"/>
      <c r="D540" s="5" t="n"/>
      <c r="E540" s="4">
        <f>IF(C540="","",COUNTIF($C$7:C540,C540))</f>
        <v/>
      </c>
      <c r="F540" s="4">
        <f>IF(E540="","",IF(E540&lt;=3,6,IF(E540&lt;=6,5,IF(E540&lt;=9,4,IF(E540&lt;=12,3,IF(E540&lt;=15,2,0))))))</f>
        <v/>
      </c>
      <c r="G540" s="5" t="n"/>
      <c r="H540" s="4">
        <f>IF(OR(F540="",G540=""),"",F540*G540+IF(J540="",0,J540))</f>
        <v/>
      </c>
      <c r="I540" s="5" t="n"/>
      <c r="J540" s="5" t="n"/>
    </row>
    <row r="541">
      <c r="A541" s="5" t="n"/>
      <c r="B541" s="5" t="n"/>
      <c r="C541" s="5" t="n"/>
      <c r="D541" s="5" t="n"/>
      <c r="E541" s="4">
        <f>IF(C541="","",COUNTIF($C$7:C541,C541))</f>
        <v/>
      </c>
      <c r="F541" s="4">
        <f>IF(E541="","",IF(E541&lt;=3,6,IF(E541&lt;=6,5,IF(E541&lt;=9,4,IF(E541&lt;=12,3,IF(E541&lt;=15,2,0))))))</f>
        <v/>
      </c>
      <c r="G541" s="5" t="n"/>
      <c r="H541" s="4">
        <f>IF(OR(F541="",G541=""),"",F541*G541+IF(J541="",0,J541))</f>
        <v/>
      </c>
      <c r="I541" s="5" t="n"/>
      <c r="J541" s="5" t="n"/>
    </row>
    <row r="542">
      <c r="A542" s="5" t="n"/>
      <c r="B542" s="5" t="n"/>
      <c r="C542" s="5" t="n"/>
      <c r="D542" s="5" t="n"/>
      <c r="E542" s="4">
        <f>IF(C542="","",COUNTIF($C$7:C542,C542))</f>
        <v/>
      </c>
      <c r="F542" s="4">
        <f>IF(E542="","",IF(E542&lt;=3,6,IF(E542&lt;=6,5,IF(E542&lt;=9,4,IF(E542&lt;=12,3,IF(E542&lt;=15,2,0))))))</f>
        <v/>
      </c>
      <c r="G542" s="5" t="n"/>
      <c r="H542" s="4">
        <f>IF(OR(F542="",G542=""),"",F542*G542+IF(J542="",0,J542))</f>
        <v/>
      </c>
      <c r="I542" s="5" t="n"/>
      <c r="J542" s="5" t="n"/>
    </row>
    <row r="543">
      <c r="A543" s="5" t="n"/>
      <c r="B543" s="5" t="n"/>
      <c r="C543" s="5" t="n"/>
      <c r="D543" s="5" t="n"/>
      <c r="E543" s="4">
        <f>IF(C543="","",COUNTIF($C$7:C543,C543))</f>
        <v/>
      </c>
      <c r="F543" s="4">
        <f>IF(E543="","",IF(E543&lt;=3,6,IF(E543&lt;=6,5,IF(E543&lt;=9,4,IF(E543&lt;=12,3,IF(E543&lt;=15,2,0))))))</f>
        <v/>
      </c>
      <c r="G543" s="5" t="n"/>
      <c r="H543" s="4">
        <f>IF(OR(F543="",G543=""),"",F543*G543+IF(J543="",0,J543))</f>
        <v/>
      </c>
      <c r="I543" s="5" t="n"/>
      <c r="J543" s="5" t="n"/>
    </row>
    <row r="544">
      <c r="A544" s="5" t="n"/>
      <c r="B544" s="5" t="n"/>
      <c r="C544" s="5" t="n"/>
      <c r="D544" s="5" t="n"/>
      <c r="E544" s="4">
        <f>IF(C544="","",COUNTIF($C$7:C544,C544))</f>
        <v/>
      </c>
      <c r="F544" s="4">
        <f>IF(E544="","",IF(E544&lt;=3,6,IF(E544&lt;=6,5,IF(E544&lt;=9,4,IF(E544&lt;=12,3,IF(E544&lt;=15,2,0))))))</f>
        <v/>
      </c>
      <c r="G544" s="5" t="n"/>
      <c r="H544" s="4">
        <f>IF(OR(F544="",G544=""),"",F544*G544+IF(J544="",0,J544))</f>
        <v/>
      </c>
      <c r="I544" s="5" t="n"/>
      <c r="J544" s="5" t="n"/>
    </row>
    <row r="545">
      <c r="A545" s="5" t="n"/>
      <c r="B545" s="5" t="n"/>
      <c r="C545" s="5" t="n"/>
      <c r="D545" s="5" t="n"/>
      <c r="E545" s="4">
        <f>IF(C545="","",COUNTIF($C$7:C545,C545))</f>
        <v/>
      </c>
      <c r="F545" s="4">
        <f>IF(E545="","",IF(E545&lt;=3,6,IF(E545&lt;=6,5,IF(E545&lt;=9,4,IF(E545&lt;=12,3,IF(E545&lt;=15,2,0))))))</f>
        <v/>
      </c>
      <c r="G545" s="5" t="n"/>
      <c r="H545" s="4">
        <f>IF(OR(F545="",G545=""),"",F545*G545+IF(J545="",0,J545))</f>
        <v/>
      </c>
      <c r="I545" s="5" t="n"/>
      <c r="J545" s="5" t="n"/>
    </row>
    <row r="546">
      <c r="A546" s="5" t="n"/>
      <c r="B546" s="5" t="n"/>
      <c r="C546" s="5" t="n"/>
      <c r="D546" s="5" t="n"/>
      <c r="E546" s="4">
        <f>IF(C546="","",COUNTIF($C$7:C546,C546))</f>
        <v/>
      </c>
      <c r="F546" s="4">
        <f>IF(E546="","",IF(E546&lt;=3,6,IF(E546&lt;=6,5,IF(E546&lt;=9,4,IF(E546&lt;=12,3,IF(E546&lt;=15,2,0))))))</f>
        <v/>
      </c>
      <c r="G546" s="5" t="n"/>
      <c r="H546" s="4">
        <f>IF(OR(F546="",G546=""),"",F546*G546+IF(J546="",0,J546))</f>
        <v/>
      </c>
      <c r="I546" s="5" t="n"/>
      <c r="J546" s="5" t="n"/>
    </row>
    <row r="547">
      <c r="A547" s="5" t="n"/>
      <c r="B547" s="5" t="n"/>
      <c r="C547" s="5" t="n"/>
      <c r="D547" s="5" t="n"/>
      <c r="E547" s="4">
        <f>IF(C547="","",COUNTIF($C$7:C547,C547))</f>
        <v/>
      </c>
      <c r="F547" s="4">
        <f>IF(E547="","",IF(E547&lt;=3,6,IF(E547&lt;=6,5,IF(E547&lt;=9,4,IF(E547&lt;=12,3,IF(E547&lt;=15,2,0))))))</f>
        <v/>
      </c>
      <c r="G547" s="5" t="n"/>
      <c r="H547" s="4">
        <f>IF(OR(F547="",G547=""),"",F547*G547+IF(J547="",0,J547))</f>
        <v/>
      </c>
      <c r="I547" s="5" t="n"/>
      <c r="J547" s="5" t="n"/>
    </row>
    <row r="548">
      <c r="A548" s="5" t="n"/>
      <c r="B548" s="5" t="n"/>
      <c r="C548" s="5" t="n"/>
      <c r="D548" s="5" t="n"/>
      <c r="E548" s="4">
        <f>IF(C548="","",COUNTIF($C$7:C548,C548))</f>
        <v/>
      </c>
      <c r="F548" s="4">
        <f>IF(E548="","",IF(E548&lt;=3,6,IF(E548&lt;=6,5,IF(E548&lt;=9,4,IF(E548&lt;=12,3,IF(E548&lt;=15,2,0))))))</f>
        <v/>
      </c>
      <c r="G548" s="5" t="n"/>
      <c r="H548" s="4">
        <f>IF(OR(F548="",G548=""),"",F548*G548+IF(J548="",0,J548))</f>
        <v/>
      </c>
      <c r="I548" s="5" t="n"/>
      <c r="J548" s="5" t="n"/>
    </row>
    <row r="549">
      <c r="A549" s="5" t="n"/>
      <c r="B549" s="5" t="n"/>
      <c r="C549" s="5" t="n"/>
      <c r="D549" s="5" t="n"/>
      <c r="E549" s="4">
        <f>IF(C549="","",COUNTIF($C$7:C549,C549))</f>
        <v/>
      </c>
      <c r="F549" s="4">
        <f>IF(E549="","",IF(E549&lt;=3,6,IF(E549&lt;=6,5,IF(E549&lt;=9,4,IF(E549&lt;=12,3,IF(E549&lt;=15,2,0))))))</f>
        <v/>
      </c>
      <c r="G549" s="5" t="n"/>
      <c r="H549" s="4">
        <f>IF(OR(F549="",G549=""),"",F549*G549+IF(J549="",0,J549))</f>
        <v/>
      </c>
      <c r="I549" s="5" t="n"/>
      <c r="J549" s="5" t="n"/>
    </row>
    <row r="550">
      <c r="A550" s="5" t="n"/>
      <c r="B550" s="5" t="n"/>
      <c r="C550" s="5" t="n"/>
      <c r="D550" s="5" t="n"/>
      <c r="E550" s="4">
        <f>IF(C550="","",COUNTIF($C$7:C550,C550))</f>
        <v/>
      </c>
      <c r="F550" s="4">
        <f>IF(E550="","",IF(E550&lt;=3,6,IF(E550&lt;=6,5,IF(E550&lt;=9,4,IF(E550&lt;=12,3,IF(E550&lt;=15,2,0))))))</f>
        <v/>
      </c>
      <c r="G550" s="5" t="n"/>
      <c r="H550" s="4">
        <f>IF(OR(F550="",G550=""),"",F550*G550+IF(J550="",0,J550))</f>
        <v/>
      </c>
      <c r="I550" s="5" t="n"/>
      <c r="J550" s="5" t="n"/>
    </row>
    <row r="551">
      <c r="A551" s="5" t="n"/>
      <c r="B551" s="5" t="n"/>
      <c r="C551" s="5" t="n"/>
      <c r="D551" s="5" t="n"/>
      <c r="E551" s="4">
        <f>IF(C551="","",COUNTIF($C$7:C551,C551))</f>
        <v/>
      </c>
      <c r="F551" s="4">
        <f>IF(E551="","",IF(E551&lt;=3,6,IF(E551&lt;=6,5,IF(E551&lt;=9,4,IF(E551&lt;=12,3,IF(E551&lt;=15,2,0))))))</f>
        <v/>
      </c>
      <c r="G551" s="5" t="n"/>
      <c r="H551" s="4">
        <f>IF(OR(F551="",G551=""),"",F551*G551+IF(J551="",0,J551))</f>
        <v/>
      </c>
      <c r="I551" s="5" t="n"/>
      <c r="J551" s="5" t="n"/>
    </row>
    <row r="552">
      <c r="A552" s="5" t="n"/>
      <c r="B552" s="5" t="n"/>
      <c r="C552" s="5" t="n"/>
      <c r="D552" s="5" t="n"/>
      <c r="E552" s="4">
        <f>IF(C552="","",COUNTIF($C$7:C552,C552))</f>
        <v/>
      </c>
      <c r="F552" s="4">
        <f>IF(E552="","",IF(E552&lt;=3,6,IF(E552&lt;=6,5,IF(E552&lt;=9,4,IF(E552&lt;=12,3,IF(E552&lt;=15,2,0))))))</f>
        <v/>
      </c>
      <c r="G552" s="5" t="n"/>
      <c r="H552" s="4">
        <f>IF(OR(F552="",G552=""),"",F552*G552+IF(J552="",0,J552))</f>
        <v/>
      </c>
      <c r="I552" s="5" t="n"/>
      <c r="J552" s="5" t="n"/>
    </row>
    <row r="553">
      <c r="A553" s="5" t="n"/>
      <c r="B553" s="5" t="n"/>
      <c r="C553" s="5" t="n"/>
      <c r="D553" s="5" t="n"/>
      <c r="E553" s="4">
        <f>IF(C553="","",COUNTIF($C$7:C553,C553))</f>
        <v/>
      </c>
      <c r="F553" s="4">
        <f>IF(E553="","",IF(E553&lt;=3,6,IF(E553&lt;=6,5,IF(E553&lt;=9,4,IF(E553&lt;=12,3,IF(E553&lt;=15,2,0))))))</f>
        <v/>
      </c>
      <c r="G553" s="5" t="n"/>
      <c r="H553" s="4">
        <f>IF(OR(F553="",G553=""),"",F553*G553+IF(J553="",0,J553))</f>
        <v/>
      </c>
      <c r="I553" s="5" t="n"/>
      <c r="J553" s="5" t="n"/>
    </row>
    <row r="554">
      <c r="A554" s="5" t="n"/>
      <c r="B554" s="5" t="n"/>
      <c r="C554" s="5" t="n"/>
      <c r="D554" s="5" t="n"/>
      <c r="E554" s="4">
        <f>IF(C554="","",COUNTIF($C$7:C554,C554))</f>
        <v/>
      </c>
      <c r="F554" s="4">
        <f>IF(E554="","",IF(E554&lt;=3,6,IF(E554&lt;=6,5,IF(E554&lt;=9,4,IF(E554&lt;=12,3,IF(E554&lt;=15,2,0))))))</f>
        <v/>
      </c>
      <c r="G554" s="5" t="n"/>
      <c r="H554" s="4">
        <f>IF(OR(F554="",G554=""),"",F554*G554+IF(J554="",0,J554))</f>
        <v/>
      </c>
      <c r="I554" s="5" t="n"/>
      <c r="J554" s="5" t="n"/>
    </row>
    <row r="555">
      <c r="A555" s="5" t="n"/>
      <c r="B555" s="5" t="n"/>
      <c r="C555" s="5" t="n"/>
      <c r="D555" s="5" t="n"/>
      <c r="E555" s="4">
        <f>IF(C555="","",COUNTIF($C$7:C555,C555))</f>
        <v/>
      </c>
      <c r="F555" s="4">
        <f>IF(E555="","",IF(E555&lt;=3,6,IF(E555&lt;=6,5,IF(E555&lt;=9,4,IF(E555&lt;=12,3,IF(E555&lt;=15,2,0))))))</f>
        <v/>
      </c>
      <c r="G555" s="5" t="n"/>
      <c r="H555" s="4">
        <f>IF(OR(F555="",G555=""),"",F555*G555+IF(J555="",0,J555))</f>
        <v/>
      </c>
      <c r="I555" s="5" t="n"/>
      <c r="J555" s="5" t="n"/>
    </row>
    <row r="556">
      <c r="A556" s="5" t="n"/>
      <c r="B556" s="5" t="n"/>
      <c r="C556" s="5" t="n"/>
      <c r="D556" s="5" t="n"/>
      <c r="E556" s="4">
        <f>IF(C556="","",COUNTIF($C$7:C556,C556))</f>
        <v/>
      </c>
      <c r="F556" s="4">
        <f>IF(E556="","",IF(E556&lt;=3,6,IF(E556&lt;=6,5,IF(E556&lt;=9,4,IF(E556&lt;=12,3,IF(E556&lt;=15,2,0))))))</f>
        <v/>
      </c>
      <c r="G556" s="5" t="n"/>
      <c r="H556" s="4">
        <f>IF(OR(F556="",G556=""),"",F556*G556+IF(J556="",0,J556))</f>
        <v/>
      </c>
      <c r="I556" s="5" t="n"/>
      <c r="J556" s="5" t="n"/>
    </row>
    <row r="557">
      <c r="A557" s="5" t="n"/>
      <c r="B557" s="5" t="n"/>
      <c r="C557" s="5" t="n"/>
      <c r="D557" s="5" t="n"/>
      <c r="E557" s="4">
        <f>IF(C557="","",COUNTIF($C$7:C557,C557))</f>
        <v/>
      </c>
      <c r="F557" s="4">
        <f>IF(E557="","",IF(E557&lt;=3,6,IF(E557&lt;=6,5,IF(E557&lt;=9,4,IF(E557&lt;=12,3,IF(E557&lt;=15,2,0))))))</f>
        <v/>
      </c>
      <c r="G557" s="5" t="n"/>
      <c r="H557" s="4">
        <f>IF(OR(F557="",G557=""),"",F557*G557+IF(J557="",0,J557))</f>
        <v/>
      </c>
      <c r="I557" s="5" t="n"/>
      <c r="J557" s="5" t="n"/>
    </row>
    <row r="558">
      <c r="A558" s="5" t="n"/>
      <c r="B558" s="5" t="n"/>
      <c r="C558" s="5" t="n"/>
      <c r="D558" s="5" t="n"/>
      <c r="E558" s="4">
        <f>IF(C558="","",COUNTIF($C$7:C558,C558))</f>
        <v/>
      </c>
      <c r="F558" s="4">
        <f>IF(E558="","",IF(E558&lt;=3,6,IF(E558&lt;=6,5,IF(E558&lt;=9,4,IF(E558&lt;=12,3,IF(E558&lt;=15,2,0))))))</f>
        <v/>
      </c>
      <c r="G558" s="5" t="n"/>
      <c r="H558" s="4">
        <f>IF(OR(F558="",G558=""),"",F558*G558+IF(J558="",0,J558))</f>
        <v/>
      </c>
      <c r="I558" s="5" t="n"/>
      <c r="J558" s="5" t="n"/>
    </row>
    <row r="559">
      <c r="A559" s="5" t="n"/>
      <c r="B559" s="5" t="n"/>
      <c r="C559" s="5" t="n"/>
      <c r="D559" s="5" t="n"/>
      <c r="E559" s="4">
        <f>IF(C559="","",COUNTIF($C$7:C559,C559))</f>
        <v/>
      </c>
      <c r="F559" s="4">
        <f>IF(E559="","",IF(E559&lt;=3,6,IF(E559&lt;=6,5,IF(E559&lt;=9,4,IF(E559&lt;=12,3,IF(E559&lt;=15,2,0))))))</f>
        <v/>
      </c>
      <c r="G559" s="5" t="n"/>
      <c r="H559" s="4">
        <f>IF(OR(F559="",G559=""),"",F559*G559+IF(J559="",0,J559))</f>
        <v/>
      </c>
      <c r="I559" s="5" t="n"/>
      <c r="J559" s="5" t="n"/>
    </row>
    <row r="560">
      <c r="A560" s="5" t="n"/>
      <c r="B560" s="5" t="n"/>
      <c r="C560" s="5" t="n"/>
      <c r="D560" s="5" t="n"/>
      <c r="E560" s="4">
        <f>IF(C560="","",COUNTIF($C$7:C560,C560))</f>
        <v/>
      </c>
      <c r="F560" s="4">
        <f>IF(E560="","",IF(E560&lt;=3,6,IF(E560&lt;=6,5,IF(E560&lt;=9,4,IF(E560&lt;=12,3,IF(E560&lt;=15,2,0))))))</f>
        <v/>
      </c>
      <c r="G560" s="5" t="n"/>
      <c r="H560" s="4">
        <f>IF(OR(F560="",G560=""),"",F560*G560+IF(J560="",0,J560))</f>
        <v/>
      </c>
      <c r="I560" s="5" t="n"/>
      <c r="J560" s="5" t="n"/>
    </row>
    <row r="561">
      <c r="A561" s="5" t="n"/>
      <c r="B561" s="5" t="n"/>
      <c r="C561" s="5" t="n"/>
      <c r="D561" s="5" t="n"/>
      <c r="E561" s="4">
        <f>IF(C561="","",COUNTIF($C$7:C561,C561))</f>
        <v/>
      </c>
      <c r="F561" s="4">
        <f>IF(E561="","",IF(E561&lt;=3,6,IF(E561&lt;=6,5,IF(E561&lt;=9,4,IF(E561&lt;=12,3,IF(E561&lt;=15,2,0))))))</f>
        <v/>
      </c>
      <c r="G561" s="5" t="n"/>
      <c r="H561" s="4">
        <f>IF(OR(F561="",G561=""),"",F561*G561+IF(J561="",0,J561))</f>
        <v/>
      </c>
      <c r="I561" s="5" t="n"/>
      <c r="J561" s="5" t="n"/>
    </row>
    <row r="562">
      <c r="A562" s="5" t="n"/>
      <c r="B562" s="5" t="n"/>
      <c r="C562" s="5" t="n"/>
      <c r="D562" s="5" t="n"/>
      <c r="E562" s="4">
        <f>IF(C562="","",COUNTIF($C$7:C562,C562))</f>
        <v/>
      </c>
      <c r="F562" s="4">
        <f>IF(E562="","",IF(E562&lt;=3,6,IF(E562&lt;=6,5,IF(E562&lt;=9,4,IF(E562&lt;=12,3,IF(E562&lt;=15,2,0))))))</f>
        <v/>
      </c>
      <c r="G562" s="5" t="n"/>
      <c r="H562" s="4">
        <f>IF(OR(F562="",G562=""),"",F562*G562+IF(J562="",0,J562))</f>
        <v/>
      </c>
      <c r="I562" s="5" t="n"/>
      <c r="J562" s="5" t="n"/>
    </row>
    <row r="563">
      <c r="A563" s="5" t="n"/>
      <c r="B563" s="5" t="n"/>
      <c r="C563" s="5" t="n"/>
      <c r="D563" s="5" t="n"/>
      <c r="E563" s="4">
        <f>IF(C563="","",COUNTIF($C$7:C563,C563))</f>
        <v/>
      </c>
      <c r="F563" s="4">
        <f>IF(E563="","",IF(E563&lt;=3,6,IF(E563&lt;=6,5,IF(E563&lt;=9,4,IF(E563&lt;=12,3,IF(E563&lt;=15,2,0))))))</f>
        <v/>
      </c>
      <c r="G563" s="5" t="n"/>
      <c r="H563" s="4">
        <f>IF(OR(F563="",G563=""),"",F563*G563+IF(J563="",0,J563))</f>
        <v/>
      </c>
      <c r="I563" s="5" t="n"/>
      <c r="J563" s="5" t="n"/>
    </row>
    <row r="564">
      <c r="A564" s="5" t="n"/>
      <c r="B564" s="5" t="n"/>
      <c r="C564" s="5" t="n"/>
      <c r="D564" s="5" t="n"/>
      <c r="E564" s="4">
        <f>IF(C564="","",COUNTIF($C$7:C564,C564))</f>
        <v/>
      </c>
      <c r="F564" s="4">
        <f>IF(E564="","",IF(E564&lt;=3,6,IF(E564&lt;=6,5,IF(E564&lt;=9,4,IF(E564&lt;=12,3,IF(E564&lt;=15,2,0))))))</f>
        <v/>
      </c>
      <c r="G564" s="5" t="n"/>
      <c r="H564" s="4">
        <f>IF(OR(F564="",G564=""),"",F564*G564+IF(J564="",0,J564))</f>
        <v/>
      </c>
      <c r="I564" s="5" t="n"/>
      <c r="J564" s="5" t="n"/>
    </row>
    <row r="565">
      <c r="A565" s="5" t="n"/>
      <c r="B565" s="5" t="n"/>
      <c r="C565" s="5" t="n"/>
      <c r="D565" s="5" t="n"/>
      <c r="E565" s="4">
        <f>IF(C565="","",COUNTIF($C$7:C565,C565))</f>
        <v/>
      </c>
      <c r="F565" s="4">
        <f>IF(E565="","",IF(E565&lt;=3,6,IF(E565&lt;=6,5,IF(E565&lt;=9,4,IF(E565&lt;=12,3,IF(E565&lt;=15,2,0))))))</f>
        <v/>
      </c>
      <c r="G565" s="5" t="n"/>
      <c r="H565" s="4">
        <f>IF(OR(F565="",G565=""),"",F565*G565+IF(J565="",0,J565))</f>
        <v/>
      </c>
      <c r="I565" s="5" t="n"/>
      <c r="J565" s="5" t="n"/>
    </row>
    <row r="566">
      <c r="A566" s="5" t="n"/>
      <c r="B566" s="5" t="n"/>
      <c r="C566" s="5" t="n"/>
      <c r="D566" s="5" t="n"/>
      <c r="E566" s="4">
        <f>IF(C566="","",COUNTIF($C$7:C566,C566))</f>
        <v/>
      </c>
      <c r="F566" s="4">
        <f>IF(E566="","",IF(E566&lt;=3,6,IF(E566&lt;=6,5,IF(E566&lt;=9,4,IF(E566&lt;=12,3,IF(E566&lt;=15,2,0))))))</f>
        <v/>
      </c>
      <c r="G566" s="5" t="n"/>
      <c r="H566" s="4">
        <f>IF(OR(F566="",G566=""),"",F566*G566+IF(J566="",0,J566))</f>
        <v/>
      </c>
      <c r="I566" s="5" t="n"/>
      <c r="J566" s="5" t="n"/>
    </row>
    <row r="567">
      <c r="A567" s="5" t="n"/>
      <c r="B567" s="5" t="n"/>
      <c r="C567" s="5" t="n"/>
      <c r="D567" s="5" t="n"/>
      <c r="E567" s="4">
        <f>IF(C567="","",COUNTIF($C$7:C567,C567))</f>
        <v/>
      </c>
      <c r="F567" s="4">
        <f>IF(E567="","",IF(E567&lt;=3,6,IF(E567&lt;=6,5,IF(E567&lt;=9,4,IF(E567&lt;=12,3,IF(E567&lt;=15,2,0))))))</f>
        <v/>
      </c>
      <c r="G567" s="5" t="n"/>
      <c r="H567" s="4">
        <f>IF(OR(F567="",G567=""),"",F567*G567+IF(J567="",0,J567))</f>
        <v/>
      </c>
      <c r="I567" s="5" t="n"/>
      <c r="J567" s="5" t="n"/>
    </row>
    <row r="568">
      <c r="A568" s="5" t="n"/>
      <c r="B568" s="5" t="n"/>
      <c r="C568" s="5" t="n"/>
      <c r="D568" s="5" t="n"/>
      <c r="E568" s="4">
        <f>IF(C568="","",COUNTIF($C$7:C568,C568))</f>
        <v/>
      </c>
      <c r="F568" s="4">
        <f>IF(E568="","",IF(E568&lt;=3,6,IF(E568&lt;=6,5,IF(E568&lt;=9,4,IF(E568&lt;=12,3,IF(E568&lt;=15,2,0))))))</f>
        <v/>
      </c>
      <c r="G568" s="5" t="n"/>
      <c r="H568" s="4">
        <f>IF(OR(F568="",G568=""),"",F568*G568+IF(J568="",0,J568))</f>
        <v/>
      </c>
      <c r="I568" s="5" t="n"/>
      <c r="J568" s="5" t="n"/>
    </row>
    <row r="569">
      <c r="A569" s="5" t="n"/>
      <c r="B569" s="5" t="n"/>
      <c r="C569" s="5" t="n"/>
      <c r="D569" s="5" t="n"/>
      <c r="E569" s="4">
        <f>IF(C569="","",COUNTIF($C$7:C569,C569))</f>
        <v/>
      </c>
      <c r="F569" s="4">
        <f>IF(E569="","",IF(E569&lt;=3,6,IF(E569&lt;=6,5,IF(E569&lt;=9,4,IF(E569&lt;=12,3,IF(E569&lt;=15,2,0))))))</f>
        <v/>
      </c>
      <c r="G569" s="5" t="n"/>
      <c r="H569" s="4">
        <f>IF(OR(F569="",G569=""),"",F569*G569+IF(J569="",0,J569))</f>
        <v/>
      </c>
      <c r="I569" s="5" t="n"/>
      <c r="J569" s="5" t="n"/>
    </row>
    <row r="570">
      <c r="A570" s="5" t="n"/>
      <c r="B570" s="5" t="n"/>
      <c r="C570" s="5" t="n"/>
      <c r="D570" s="5" t="n"/>
      <c r="E570" s="4">
        <f>IF(C570="","",COUNTIF($C$7:C570,C570))</f>
        <v/>
      </c>
      <c r="F570" s="4">
        <f>IF(E570="","",IF(E570&lt;=3,6,IF(E570&lt;=6,5,IF(E570&lt;=9,4,IF(E570&lt;=12,3,IF(E570&lt;=15,2,0))))))</f>
        <v/>
      </c>
      <c r="G570" s="5" t="n"/>
      <c r="H570" s="4">
        <f>IF(OR(F570="",G570=""),"",F570*G570+IF(J570="",0,J570))</f>
        <v/>
      </c>
      <c r="I570" s="5" t="n"/>
      <c r="J570" s="5" t="n"/>
    </row>
    <row r="571">
      <c r="A571" s="5" t="n"/>
      <c r="B571" s="5" t="n"/>
      <c r="C571" s="5" t="n"/>
      <c r="D571" s="5" t="n"/>
      <c r="E571" s="4">
        <f>IF(C571="","",COUNTIF($C$7:C571,C571))</f>
        <v/>
      </c>
      <c r="F571" s="4">
        <f>IF(E571="","",IF(E571&lt;=3,6,IF(E571&lt;=6,5,IF(E571&lt;=9,4,IF(E571&lt;=12,3,IF(E571&lt;=15,2,0))))))</f>
        <v/>
      </c>
      <c r="G571" s="5" t="n"/>
      <c r="H571" s="4">
        <f>IF(OR(F571="",G571=""),"",F571*G571+IF(J571="",0,J571))</f>
        <v/>
      </c>
      <c r="I571" s="5" t="n"/>
      <c r="J571" s="5" t="n"/>
    </row>
    <row r="572">
      <c r="A572" s="5" t="n"/>
      <c r="B572" s="5" t="n"/>
      <c r="C572" s="5" t="n"/>
      <c r="D572" s="5" t="n"/>
      <c r="E572" s="4">
        <f>IF(C572="","",COUNTIF($C$7:C572,C572))</f>
        <v/>
      </c>
      <c r="F572" s="4">
        <f>IF(E572="","",IF(E572&lt;=3,6,IF(E572&lt;=6,5,IF(E572&lt;=9,4,IF(E572&lt;=12,3,IF(E572&lt;=15,2,0))))))</f>
        <v/>
      </c>
      <c r="G572" s="5" t="n"/>
      <c r="H572" s="4">
        <f>IF(OR(F572="",G572=""),"",F572*G572+IF(J572="",0,J572))</f>
        <v/>
      </c>
      <c r="I572" s="5" t="n"/>
      <c r="J572" s="5" t="n"/>
    </row>
    <row r="573">
      <c r="A573" s="5" t="n"/>
      <c r="B573" s="5" t="n"/>
      <c r="C573" s="5" t="n"/>
      <c r="D573" s="5" t="n"/>
      <c r="E573" s="4">
        <f>IF(C573="","",COUNTIF($C$7:C573,C573))</f>
        <v/>
      </c>
      <c r="F573" s="4">
        <f>IF(E573="","",IF(E573&lt;=3,6,IF(E573&lt;=6,5,IF(E573&lt;=9,4,IF(E573&lt;=12,3,IF(E573&lt;=15,2,0))))))</f>
        <v/>
      </c>
      <c r="G573" s="5" t="n"/>
      <c r="H573" s="4">
        <f>IF(OR(F573="",G573=""),"",F573*G573+IF(J573="",0,J573))</f>
        <v/>
      </c>
      <c r="I573" s="5" t="n"/>
      <c r="J573" s="5" t="n"/>
    </row>
    <row r="574">
      <c r="A574" s="5" t="n"/>
      <c r="B574" s="5" t="n"/>
      <c r="C574" s="5" t="n"/>
      <c r="D574" s="5" t="n"/>
      <c r="E574" s="4">
        <f>IF(C574="","",COUNTIF($C$7:C574,C574))</f>
        <v/>
      </c>
      <c r="F574" s="4">
        <f>IF(E574="","",IF(E574&lt;=3,6,IF(E574&lt;=6,5,IF(E574&lt;=9,4,IF(E574&lt;=12,3,IF(E574&lt;=15,2,0))))))</f>
        <v/>
      </c>
      <c r="G574" s="5" t="n"/>
      <c r="H574" s="4">
        <f>IF(OR(F574="",G574=""),"",F574*G574+IF(J574="",0,J574))</f>
        <v/>
      </c>
      <c r="I574" s="5" t="n"/>
      <c r="J574" s="5" t="n"/>
    </row>
    <row r="575">
      <c r="A575" s="5" t="n"/>
      <c r="B575" s="5" t="n"/>
      <c r="C575" s="5" t="n"/>
      <c r="D575" s="5" t="n"/>
      <c r="E575" s="4">
        <f>IF(C575="","",COUNTIF($C$7:C575,C575))</f>
        <v/>
      </c>
      <c r="F575" s="4">
        <f>IF(E575="","",IF(E575&lt;=3,6,IF(E575&lt;=6,5,IF(E575&lt;=9,4,IF(E575&lt;=12,3,IF(E575&lt;=15,2,0))))))</f>
        <v/>
      </c>
      <c r="G575" s="5" t="n"/>
      <c r="H575" s="4">
        <f>IF(OR(F575="",G575=""),"",F575*G575+IF(J575="",0,J575))</f>
        <v/>
      </c>
      <c r="I575" s="5" t="n"/>
      <c r="J575" s="5" t="n"/>
    </row>
    <row r="576">
      <c r="A576" s="5" t="n"/>
      <c r="B576" s="5" t="n"/>
      <c r="C576" s="5" t="n"/>
      <c r="D576" s="5" t="n"/>
      <c r="E576" s="4">
        <f>IF(C576="","",COUNTIF($C$7:C576,C576))</f>
        <v/>
      </c>
      <c r="F576" s="4">
        <f>IF(E576="","",IF(E576&lt;=3,6,IF(E576&lt;=6,5,IF(E576&lt;=9,4,IF(E576&lt;=12,3,IF(E576&lt;=15,2,0))))))</f>
        <v/>
      </c>
      <c r="G576" s="5" t="n"/>
      <c r="H576" s="4">
        <f>IF(OR(F576="",G576=""),"",F576*G576+IF(J576="",0,J576))</f>
        <v/>
      </c>
      <c r="I576" s="5" t="n"/>
      <c r="J576" s="5" t="n"/>
    </row>
    <row r="577">
      <c r="A577" s="5" t="n"/>
      <c r="B577" s="5" t="n"/>
      <c r="C577" s="5" t="n"/>
      <c r="D577" s="5" t="n"/>
      <c r="E577" s="4">
        <f>IF(C577="","",COUNTIF($C$7:C577,C577))</f>
        <v/>
      </c>
      <c r="F577" s="4">
        <f>IF(E577="","",IF(E577&lt;=3,6,IF(E577&lt;=6,5,IF(E577&lt;=9,4,IF(E577&lt;=12,3,IF(E577&lt;=15,2,0))))))</f>
        <v/>
      </c>
      <c r="G577" s="5" t="n"/>
      <c r="H577" s="4">
        <f>IF(OR(F577="",G577=""),"",F577*G577+IF(J577="",0,J577))</f>
        <v/>
      </c>
      <c r="I577" s="5" t="n"/>
      <c r="J577" s="5" t="n"/>
    </row>
    <row r="578">
      <c r="A578" s="5" t="n"/>
      <c r="B578" s="5" t="n"/>
      <c r="C578" s="5" t="n"/>
      <c r="D578" s="5" t="n"/>
      <c r="E578" s="4">
        <f>IF(C578="","",COUNTIF($C$7:C578,C578))</f>
        <v/>
      </c>
      <c r="F578" s="4">
        <f>IF(E578="","",IF(E578&lt;=3,6,IF(E578&lt;=6,5,IF(E578&lt;=9,4,IF(E578&lt;=12,3,IF(E578&lt;=15,2,0))))))</f>
        <v/>
      </c>
      <c r="G578" s="5" t="n"/>
      <c r="H578" s="4">
        <f>IF(OR(F578="",G578=""),"",F578*G578+IF(J578="",0,J578))</f>
        <v/>
      </c>
      <c r="I578" s="5" t="n"/>
      <c r="J578" s="5" t="n"/>
    </row>
    <row r="579">
      <c r="A579" s="5" t="n"/>
      <c r="B579" s="5" t="n"/>
      <c r="C579" s="5" t="n"/>
      <c r="D579" s="5" t="n"/>
      <c r="E579" s="4">
        <f>IF(C579="","",COUNTIF($C$7:C579,C579))</f>
        <v/>
      </c>
      <c r="F579" s="4">
        <f>IF(E579="","",IF(E579&lt;=3,6,IF(E579&lt;=6,5,IF(E579&lt;=9,4,IF(E579&lt;=12,3,IF(E579&lt;=15,2,0))))))</f>
        <v/>
      </c>
      <c r="G579" s="5" t="n"/>
      <c r="H579" s="4">
        <f>IF(OR(F579="",G579=""),"",F579*G579+IF(J579="",0,J579))</f>
        <v/>
      </c>
      <c r="I579" s="5" t="n"/>
      <c r="J579" s="5" t="n"/>
    </row>
    <row r="580">
      <c r="A580" s="5" t="n"/>
      <c r="B580" s="5" t="n"/>
      <c r="C580" s="5" t="n"/>
      <c r="D580" s="5" t="n"/>
      <c r="E580" s="4">
        <f>IF(C580="","",COUNTIF($C$7:C580,C580))</f>
        <v/>
      </c>
      <c r="F580" s="4">
        <f>IF(E580="","",IF(E580&lt;=3,6,IF(E580&lt;=6,5,IF(E580&lt;=9,4,IF(E580&lt;=12,3,IF(E580&lt;=15,2,0))))))</f>
        <v/>
      </c>
      <c r="G580" s="5" t="n"/>
      <c r="H580" s="4">
        <f>IF(OR(F580="",G580=""),"",F580*G580+IF(J580="",0,J580))</f>
        <v/>
      </c>
      <c r="I580" s="5" t="n"/>
      <c r="J580" s="5" t="n"/>
    </row>
    <row r="581">
      <c r="A581" s="5" t="n"/>
      <c r="B581" s="5" t="n"/>
      <c r="C581" s="5" t="n"/>
      <c r="D581" s="5" t="n"/>
      <c r="E581" s="4">
        <f>IF(C581="","",COUNTIF($C$7:C581,C581))</f>
        <v/>
      </c>
      <c r="F581" s="4">
        <f>IF(E581="","",IF(E581&lt;=3,6,IF(E581&lt;=6,5,IF(E581&lt;=9,4,IF(E581&lt;=12,3,IF(E581&lt;=15,2,0))))))</f>
        <v/>
      </c>
      <c r="G581" s="5" t="n"/>
      <c r="H581" s="4">
        <f>IF(OR(F581="",G581=""),"",F581*G581+IF(J581="",0,J581))</f>
        <v/>
      </c>
      <c r="I581" s="5" t="n"/>
      <c r="J581" s="5" t="n"/>
    </row>
    <row r="582">
      <c r="A582" s="5" t="n"/>
      <c r="B582" s="5" t="n"/>
      <c r="C582" s="5" t="n"/>
      <c r="D582" s="5" t="n"/>
      <c r="E582" s="4">
        <f>IF(C582="","",COUNTIF($C$7:C582,C582))</f>
        <v/>
      </c>
      <c r="F582" s="4">
        <f>IF(E582="","",IF(E582&lt;=3,6,IF(E582&lt;=6,5,IF(E582&lt;=9,4,IF(E582&lt;=12,3,IF(E582&lt;=15,2,0))))))</f>
        <v/>
      </c>
      <c r="G582" s="5" t="n"/>
      <c r="H582" s="4">
        <f>IF(OR(F582="",G582=""),"",F582*G582+IF(J582="",0,J582))</f>
        <v/>
      </c>
      <c r="I582" s="5" t="n"/>
      <c r="J582" s="5" t="n"/>
    </row>
    <row r="583">
      <c r="A583" s="5" t="n"/>
      <c r="B583" s="5" t="n"/>
      <c r="C583" s="5" t="n"/>
      <c r="D583" s="5" t="n"/>
      <c r="E583" s="4">
        <f>IF(C583="","",COUNTIF($C$7:C583,C583))</f>
        <v/>
      </c>
      <c r="F583" s="4">
        <f>IF(E583="","",IF(E583&lt;=3,6,IF(E583&lt;=6,5,IF(E583&lt;=9,4,IF(E583&lt;=12,3,IF(E583&lt;=15,2,0))))))</f>
        <v/>
      </c>
      <c r="G583" s="5" t="n"/>
      <c r="H583" s="4">
        <f>IF(OR(F583="",G583=""),"",F583*G583+IF(J583="",0,J583))</f>
        <v/>
      </c>
      <c r="I583" s="5" t="n"/>
      <c r="J583" s="5" t="n"/>
    </row>
    <row r="584">
      <c r="A584" s="5" t="n"/>
      <c r="B584" s="5" t="n"/>
      <c r="C584" s="5" t="n"/>
      <c r="D584" s="5" t="n"/>
      <c r="E584" s="4">
        <f>IF(C584="","",COUNTIF($C$7:C584,C584))</f>
        <v/>
      </c>
      <c r="F584" s="4">
        <f>IF(E584="","",IF(E584&lt;=3,6,IF(E584&lt;=6,5,IF(E584&lt;=9,4,IF(E584&lt;=12,3,IF(E584&lt;=15,2,0))))))</f>
        <v/>
      </c>
      <c r="G584" s="5" t="n"/>
      <c r="H584" s="4">
        <f>IF(OR(F584="",G584=""),"",F584*G584+IF(J584="",0,J584))</f>
        <v/>
      </c>
      <c r="I584" s="5" t="n"/>
      <c r="J584" s="5" t="n"/>
    </row>
    <row r="585">
      <c r="A585" s="5" t="n"/>
      <c r="B585" s="5" t="n"/>
      <c r="C585" s="5" t="n"/>
      <c r="D585" s="5" t="n"/>
      <c r="E585" s="4">
        <f>IF(C585="","",COUNTIF($C$7:C585,C585))</f>
        <v/>
      </c>
      <c r="F585" s="4">
        <f>IF(E585="","",IF(E585&lt;=3,6,IF(E585&lt;=6,5,IF(E585&lt;=9,4,IF(E585&lt;=12,3,IF(E585&lt;=15,2,0))))))</f>
        <v/>
      </c>
      <c r="G585" s="5" t="n"/>
      <c r="H585" s="4">
        <f>IF(OR(F585="",G585=""),"",F585*G585+IF(J585="",0,J585))</f>
        <v/>
      </c>
      <c r="I585" s="5" t="n"/>
      <c r="J585" s="5" t="n"/>
    </row>
    <row r="586">
      <c r="A586" s="5" t="n"/>
      <c r="B586" s="5" t="n"/>
      <c r="C586" s="5" t="n"/>
      <c r="D586" s="5" t="n"/>
      <c r="E586" s="4">
        <f>IF(C586="","",COUNTIF($C$7:C586,C586))</f>
        <v/>
      </c>
      <c r="F586" s="4">
        <f>IF(E586="","",IF(E586&lt;=3,6,IF(E586&lt;=6,5,IF(E586&lt;=9,4,IF(E586&lt;=12,3,IF(E586&lt;=15,2,0))))))</f>
        <v/>
      </c>
      <c r="G586" s="5" t="n"/>
      <c r="H586" s="4">
        <f>IF(OR(F586="",G586=""),"",F586*G586+IF(J586="",0,J586))</f>
        <v/>
      </c>
      <c r="I586" s="5" t="n"/>
      <c r="J586" s="5" t="n"/>
    </row>
    <row r="587">
      <c r="A587" s="5" t="n"/>
      <c r="B587" s="5" t="n"/>
      <c r="C587" s="5" t="n"/>
      <c r="D587" s="5" t="n"/>
      <c r="E587" s="4">
        <f>IF(C587="","",COUNTIF($C$7:C587,C587))</f>
        <v/>
      </c>
      <c r="F587" s="4">
        <f>IF(E587="","",IF(E587&lt;=3,6,IF(E587&lt;=6,5,IF(E587&lt;=9,4,IF(E587&lt;=12,3,IF(E587&lt;=15,2,0))))))</f>
        <v/>
      </c>
      <c r="G587" s="5" t="n"/>
      <c r="H587" s="4">
        <f>IF(OR(F587="",G587=""),"",F587*G587+IF(J587="",0,J587))</f>
        <v/>
      </c>
      <c r="I587" s="5" t="n"/>
      <c r="J587" s="5" t="n"/>
    </row>
    <row r="588">
      <c r="A588" s="5" t="n"/>
      <c r="B588" s="5" t="n"/>
      <c r="C588" s="5" t="n"/>
      <c r="D588" s="5" t="n"/>
      <c r="E588" s="4">
        <f>IF(C588="","",COUNTIF($C$7:C588,C588))</f>
        <v/>
      </c>
      <c r="F588" s="4">
        <f>IF(E588="","",IF(E588&lt;=3,6,IF(E588&lt;=6,5,IF(E588&lt;=9,4,IF(E588&lt;=12,3,IF(E588&lt;=15,2,0))))))</f>
        <v/>
      </c>
      <c r="G588" s="5" t="n"/>
      <c r="H588" s="4">
        <f>IF(OR(F588="",G588=""),"",F588*G588+IF(J588="",0,J588))</f>
        <v/>
      </c>
      <c r="I588" s="5" t="n"/>
      <c r="J588" s="5" t="n"/>
    </row>
    <row r="589">
      <c r="A589" s="5" t="n"/>
      <c r="B589" s="5" t="n"/>
      <c r="C589" s="5" t="n"/>
      <c r="D589" s="5" t="n"/>
      <c r="E589" s="4">
        <f>IF(C589="","",COUNTIF($C$7:C589,C589))</f>
        <v/>
      </c>
      <c r="F589" s="4">
        <f>IF(E589="","",IF(E589&lt;=3,6,IF(E589&lt;=6,5,IF(E589&lt;=9,4,IF(E589&lt;=12,3,IF(E589&lt;=15,2,0))))))</f>
        <v/>
      </c>
      <c r="G589" s="5" t="n"/>
      <c r="H589" s="4">
        <f>IF(OR(F589="",G589=""),"",F589*G589+IF(J589="",0,J589))</f>
        <v/>
      </c>
      <c r="I589" s="5" t="n"/>
      <c r="J589" s="5" t="n"/>
    </row>
    <row r="590">
      <c r="A590" s="5" t="n"/>
      <c r="B590" s="5" t="n"/>
      <c r="C590" s="5" t="n"/>
      <c r="D590" s="5" t="n"/>
      <c r="E590" s="4">
        <f>IF(C590="","",COUNTIF($C$7:C590,C590))</f>
        <v/>
      </c>
      <c r="F590" s="4">
        <f>IF(E590="","",IF(E590&lt;=3,6,IF(E590&lt;=6,5,IF(E590&lt;=9,4,IF(E590&lt;=12,3,IF(E590&lt;=15,2,0))))))</f>
        <v/>
      </c>
      <c r="G590" s="5" t="n"/>
      <c r="H590" s="4">
        <f>IF(OR(F590="",G590=""),"",F590*G590+IF(J590="",0,J590))</f>
        <v/>
      </c>
      <c r="I590" s="5" t="n"/>
      <c r="J590" s="5" t="n"/>
    </row>
    <row r="591">
      <c r="A591" s="5" t="n"/>
      <c r="B591" s="5" t="n"/>
      <c r="C591" s="5" t="n"/>
      <c r="D591" s="5" t="n"/>
      <c r="E591" s="4">
        <f>IF(C591="","",COUNTIF($C$7:C591,C591))</f>
        <v/>
      </c>
      <c r="F591" s="4">
        <f>IF(E591="","",IF(E591&lt;=3,6,IF(E591&lt;=6,5,IF(E591&lt;=9,4,IF(E591&lt;=12,3,IF(E591&lt;=15,2,0))))))</f>
        <v/>
      </c>
      <c r="G591" s="5" t="n"/>
      <c r="H591" s="4">
        <f>IF(OR(F591="",G591=""),"",F591*G591+IF(J591="",0,J591))</f>
        <v/>
      </c>
      <c r="I591" s="5" t="n"/>
      <c r="J591" s="5" t="n"/>
    </row>
    <row r="592">
      <c r="A592" s="5" t="n"/>
      <c r="B592" s="5" t="n"/>
      <c r="C592" s="5" t="n"/>
      <c r="D592" s="5" t="n"/>
      <c r="E592" s="4">
        <f>IF(C592="","",COUNTIF($C$7:C592,C592))</f>
        <v/>
      </c>
      <c r="F592" s="4">
        <f>IF(E592="","",IF(E592&lt;=3,6,IF(E592&lt;=6,5,IF(E592&lt;=9,4,IF(E592&lt;=12,3,IF(E592&lt;=15,2,0))))))</f>
        <v/>
      </c>
      <c r="G592" s="5" t="n"/>
      <c r="H592" s="4">
        <f>IF(OR(F592="",G592=""),"",F592*G592+IF(J592="",0,J592))</f>
        <v/>
      </c>
      <c r="I592" s="5" t="n"/>
      <c r="J592" s="5" t="n"/>
    </row>
    <row r="593">
      <c r="A593" s="5" t="n"/>
      <c r="B593" s="5" t="n"/>
      <c r="C593" s="5" t="n"/>
      <c r="D593" s="5" t="n"/>
      <c r="E593" s="4">
        <f>IF(C593="","",COUNTIF($C$7:C593,C593))</f>
        <v/>
      </c>
      <c r="F593" s="4">
        <f>IF(E593="","",IF(E593&lt;=3,6,IF(E593&lt;=6,5,IF(E593&lt;=9,4,IF(E593&lt;=12,3,IF(E593&lt;=15,2,0))))))</f>
        <v/>
      </c>
      <c r="G593" s="5" t="n"/>
      <c r="H593" s="4">
        <f>IF(OR(F593="",G593=""),"",F593*G593+IF(J593="",0,J593))</f>
        <v/>
      </c>
      <c r="I593" s="5" t="n"/>
      <c r="J593" s="5" t="n"/>
    </row>
    <row r="594">
      <c r="A594" s="5" t="n"/>
      <c r="B594" s="5" t="n"/>
      <c r="C594" s="5" t="n"/>
      <c r="D594" s="5" t="n"/>
      <c r="E594" s="4">
        <f>IF(C594="","",COUNTIF($C$7:C594,C594))</f>
        <v/>
      </c>
      <c r="F594" s="4">
        <f>IF(E594="","",IF(E594&lt;=3,6,IF(E594&lt;=6,5,IF(E594&lt;=9,4,IF(E594&lt;=12,3,IF(E594&lt;=15,2,0))))))</f>
        <v/>
      </c>
      <c r="G594" s="5" t="n"/>
      <c r="H594" s="4">
        <f>IF(OR(F594="",G594=""),"",F594*G594+IF(J594="",0,J594))</f>
        <v/>
      </c>
      <c r="I594" s="5" t="n"/>
      <c r="J594" s="5" t="n"/>
    </row>
    <row r="595">
      <c r="A595" s="5" t="n"/>
      <c r="B595" s="5" t="n"/>
      <c r="C595" s="5" t="n"/>
      <c r="D595" s="5" t="n"/>
      <c r="E595" s="4">
        <f>IF(C595="","",COUNTIF($C$7:C595,C595))</f>
        <v/>
      </c>
      <c r="F595" s="4">
        <f>IF(E595="","",IF(E595&lt;=3,6,IF(E595&lt;=6,5,IF(E595&lt;=9,4,IF(E595&lt;=12,3,IF(E595&lt;=15,2,0))))))</f>
        <v/>
      </c>
      <c r="G595" s="5" t="n"/>
      <c r="H595" s="4">
        <f>IF(OR(F595="",G595=""),"",F595*G595+IF(J595="",0,J595))</f>
        <v/>
      </c>
      <c r="I595" s="5" t="n"/>
      <c r="J595" s="5" t="n"/>
    </row>
    <row r="596">
      <c r="A596" s="5" t="n"/>
      <c r="B596" s="5" t="n"/>
      <c r="C596" s="5" t="n"/>
      <c r="D596" s="5" t="n"/>
      <c r="E596" s="4">
        <f>IF(C596="","",COUNTIF($C$7:C596,C596))</f>
        <v/>
      </c>
      <c r="F596" s="4">
        <f>IF(E596="","",IF(E596&lt;=3,6,IF(E596&lt;=6,5,IF(E596&lt;=9,4,IF(E596&lt;=12,3,IF(E596&lt;=15,2,0))))))</f>
        <v/>
      </c>
      <c r="G596" s="5" t="n"/>
      <c r="H596" s="4">
        <f>IF(OR(F596="",G596=""),"",F596*G596+IF(J596="",0,J596))</f>
        <v/>
      </c>
      <c r="I596" s="5" t="n"/>
      <c r="J596" s="5" t="n"/>
    </row>
    <row r="597">
      <c r="A597" s="5" t="n"/>
      <c r="B597" s="5" t="n"/>
      <c r="C597" s="5" t="n"/>
      <c r="D597" s="5" t="n"/>
      <c r="E597" s="4">
        <f>IF(C597="","",COUNTIF($C$7:C597,C597))</f>
        <v/>
      </c>
      <c r="F597" s="4">
        <f>IF(E597="","",IF(E597&lt;=3,6,IF(E597&lt;=6,5,IF(E597&lt;=9,4,IF(E597&lt;=12,3,IF(E597&lt;=15,2,0))))))</f>
        <v/>
      </c>
      <c r="G597" s="5" t="n"/>
      <c r="H597" s="4">
        <f>IF(OR(F597="",G597=""),"",F597*G597+IF(J597="",0,J597))</f>
        <v/>
      </c>
      <c r="I597" s="5" t="n"/>
      <c r="J597" s="5" t="n"/>
    </row>
    <row r="598">
      <c r="A598" s="5" t="n"/>
      <c r="B598" s="5" t="n"/>
      <c r="C598" s="5" t="n"/>
      <c r="D598" s="5" t="n"/>
      <c r="E598" s="4">
        <f>IF(C598="","",COUNTIF($C$7:C598,C598))</f>
        <v/>
      </c>
      <c r="F598" s="4">
        <f>IF(E598="","",IF(E598&lt;=3,6,IF(E598&lt;=6,5,IF(E598&lt;=9,4,IF(E598&lt;=12,3,IF(E598&lt;=15,2,0))))))</f>
        <v/>
      </c>
      <c r="G598" s="5" t="n"/>
      <c r="H598" s="4">
        <f>IF(OR(F598="",G598=""),"",F598*G598+IF(J598="",0,J598))</f>
        <v/>
      </c>
      <c r="I598" s="5" t="n"/>
      <c r="J598" s="5" t="n"/>
    </row>
    <row r="599">
      <c r="A599" s="5" t="n"/>
      <c r="B599" s="5" t="n"/>
      <c r="C599" s="5" t="n"/>
      <c r="D599" s="5" t="n"/>
      <c r="E599" s="4">
        <f>IF(C599="","",COUNTIF($C$7:C599,C599))</f>
        <v/>
      </c>
      <c r="F599" s="4">
        <f>IF(E599="","",IF(E599&lt;=3,6,IF(E599&lt;=6,5,IF(E599&lt;=9,4,IF(E599&lt;=12,3,IF(E599&lt;=15,2,0))))))</f>
        <v/>
      </c>
      <c r="G599" s="5" t="n"/>
      <c r="H599" s="4">
        <f>IF(OR(F599="",G599=""),"",F599*G599+IF(J599="",0,J599))</f>
        <v/>
      </c>
      <c r="I599" s="5" t="n"/>
      <c r="J599" s="5" t="n"/>
    </row>
    <row r="600">
      <c r="A600" s="5" t="n"/>
      <c r="B600" s="5" t="n"/>
      <c r="C600" s="5" t="n"/>
      <c r="D600" s="5" t="n"/>
      <c r="E600" s="4">
        <f>IF(C600="","",COUNTIF($C$7:C600,C600))</f>
        <v/>
      </c>
      <c r="F600" s="4">
        <f>IF(E600="","",IF(E600&lt;=3,6,IF(E600&lt;=6,5,IF(E600&lt;=9,4,IF(E600&lt;=12,3,IF(E600&lt;=15,2,0))))))</f>
        <v/>
      </c>
      <c r="G600" s="5" t="n"/>
      <c r="H600" s="4">
        <f>IF(OR(F600="",G600=""),"",F600*G600+IF(J600="",0,J600))</f>
        <v/>
      </c>
      <c r="I600" s="5" t="n"/>
      <c r="J600" s="5" t="n"/>
    </row>
    <row r="601">
      <c r="A601" s="5" t="n"/>
      <c r="B601" s="5" t="n"/>
      <c r="C601" s="5" t="n"/>
      <c r="D601" s="5" t="n"/>
      <c r="E601" s="4">
        <f>IF(C601="","",COUNTIF($C$7:C601,C601))</f>
        <v/>
      </c>
      <c r="F601" s="4">
        <f>IF(E601="","",IF(E601&lt;=3,6,IF(E601&lt;=6,5,IF(E601&lt;=9,4,IF(E601&lt;=12,3,IF(E601&lt;=15,2,0))))))</f>
        <v/>
      </c>
      <c r="G601" s="5" t="n"/>
      <c r="H601" s="4">
        <f>IF(OR(F601="",G601=""),"",F601*G601+IF(J601="",0,J601))</f>
        <v/>
      </c>
      <c r="I601" s="5" t="n"/>
      <c r="J601" s="5" t="n"/>
    </row>
    <row r="602">
      <c r="A602" s="5" t="n"/>
      <c r="B602" s="5" t="n"/>
      <c r="C602" s="5" t="n"/>
      <c r="D602" s="5" t="n"/>
      <c r="E602" s="4">
        <f>IF(C602="","",COUNTIF($C$7:C602,C602))</f>
        <v/>
      </c>
      <c r="F602" s="4">
        <f>IF(E602="","",IF(E602&lt;=3,6,IF(E602&lt;=6,5,IF(E602&lt;=9,4,IF(E602&lt;=12,3,IF(E602&lt;=15,2,0))))))</f>
        <v/>
      </c>
      <c r="G602" s="5" t="n"/>
      <c r="H602" s="4">
        <f>IF(OR(F602="",G602=""),"",F602*G602+IF(J602="",0,J602))</f>
        <v/>
      </c>
      <c r="I602" s="5" t="n"/>
      <c r="J602" s="5" t="n"/>
    </row>
    <row r="603">
      <c r="A603" s="5" t="n"/>
      <c r="B603" s="5" t="n"/>
      <c r="C603" s="5" t="n"/>
      <c r="D603" s="5" t="n"/>
      <c r="E603" s="4">
        <f>IF(C603="","",COUNTIF($C$7:C603,C603))</f>
        <v/>
      </c>
      <c r="F603" s="4">
        <f>IF(E603="","",IF(E603&lt;=3,6,IF(E603&lt;=6,5,IF(E603&lt;=9,4,IF(E603&lt;=12,3,IF(E603&lt;=15,2,0))))))</f>
        <v/>
      </c>
      <c r="G603" s="5" t="n"/>
      <c r="H603" s="4">
        <f>IF(OR(F603="",G603=""),"",F603*G603+IF(J603="",0,J603))</f>
        <v/>
      </c>
      <c r="I603" s="5" t="n"/>
      <c r="J603" s="5" t="n"/>
    </row>
    <row r="604">
      <c r="A604" s="5" t="n"/>
      <c r="B604" s="5" t="n"/>
      <c r="C604" s="5" t="n"/>
      <c r="D604" s="5" t="n"/>
      <c r="E604" s="4">
        <f>IF(C604="","",COUNTIF($C$7:C604,C604))</f>
        <v/>
      </c>
      <c r="F604" s="4">
        <f>IF(E604="","",IF(E604&lt;=3,6,IF(E604&lt;=6,5,IF(E604&lt;=9,4,IF(E604&lt;=12,3,IF(E604&lt;=15,2,0))))))</f>
        <v/>
      </c>
      <c r="G604" s="5" t="n"/>
      <c r="H604" s="4">
        <f>IF(OR(F604="",G604=""),"",F604*G604+IF(J604="",0,J604))</f>
        <v/>
      </c>
      <c r="I604" s="5" t="n"/>
      <c r="J604" s="5" t="n"/>
    </row>
    <row r="605">
      <c r="A605" s="5" t="n"/>
      <c r="B605" s="5" t="n"/>
      <c r="C605" s="5" t="n"/>
      <c r="D605" s="5" t="n"/>
      <c r="E605" s="4">
        <f>IF(C605="","",COUNTIF($C$7:C605,C605))</f>
        <v/>
      </c>
      <c r="F605" s="4">
        <f>IF(E605="","",IF(E605&lt;=3,6,IF(E605&lt;=6,5,IF(E605&lt;=9,4,IF(E605&lt;=12,3,IF(E605&lt;=15,2,0))))))</f>
        <v/>
      </c>
      <c r="G605" s="5" t="n"/>
      <c r="H605" s="4">
        <f>IF(OR(F605="",G605=""),"",F605*G605+IF(J605="",0,J605))</f>
        <v/>
      </c>
      <c r="I605" s="5" t="n"/>
      <c r="J605" s="5" t="n"/>
    </row>
    <row r="606">
      <c r="A606" s="5" t="n"/>
      <c r="B606" s="5" t="n"/>
      <c r="C606" s="5" t="n"/>
      <c r="D606" s="5" t="n"/>
      <c r="E606" s="4">
        <f>IF(C606="","",COUNTIF($C$7:C606,C606))</f>
        <v/>
      </c>
      <c r="F606" s="4">
        <f>IF(E606="","",IF(E606&lt;=3,6,IF(E606&lt;=6,5,IF(E606&lt;=9,4,IF(E606&lt;=12,3,IF(E606&lt;=15,2,0))))))</f>
        <v/>
      </c>
      <c r="G606" s="5" t="n"/>
      <c r="H606" s="4">
        <f>IF(OR(F606="",G606=""),"",F606*G606+IF(J606="",0,J606))</f>
        <v/>
      </c>
      <c r="I606" s="5" t="n"/>
      <c r="J606" s="5" t="n"/>
    </row>
    <row r="607">
      <c r="A607" s="5" t="n"/>
      <c r="B607" s="5" t="n"/>
      <c r="C607" s="5" t="n"/>
      <c r="D607" s="5" t="n"/>
      <c r="E607" s="4">
        <f>IF(C607="","",COUNTIF($C$7:C607,C607))</f>
        <v/>
      </c>
      <c r="F607" s="4">
        <f>IF(E607="","",IF(E607&lt;=3,6,IF(E607&lt;=6,5,IF(E607&lt;=9,4,IF(E607&lt;=12,3,IF(E607&lt;=15,2,0))))))</f>
        <v/>
      </c>
      <c r="G607" s="5" t="n"/>
      <c r="H607" s="4">
        <f>IF(OR(F607="",G607=""),"",F607*G607+IF(J607="",0,J607))</f>
        <v/>
      </c>
      <c r="I607" s="5" t="n"/>
      <c r="J607" s="5" t="n"/>
    </row>
    <row r="608">
      <c r="A608" s="5" t="n"/>
      <c r="B608" s="5" t="n"/>
      <c r="C608" s="5" t="n"/>
      <c r="D608" s="5" t="n"/>
      <c r="E608" s="4">
        <f>IF(C608="","",COUNTIF($C$7:C608,C608))</f>
        <v/>
      </c>
      <c r="F608" s="4">
        <f>IF(E608="","",IF(E608&lt;=3,6,IF(E608&lt;=6,5,IF(E608&lt;=9,4,IF(E608&lt;=12,3,IF(E608&lt;=15,2,0))))))</f>
        <v/>
      </c>
      <c r="G608" s="5" t="n"/>
      <c r="H608" s="4">
        <f>IF(OR(F608="",G608=""),"",F608*G608+IF(J608="",0,J608))</f>
        <v/>
      </c>
      <c r="I608" s="5" t="n"/>
      <c r="J608" s="5" t="n"/>
    </row>
    <row r="609">
      <c r="A609" s="5" t="n"/>
      <c r="B609" s="5" t="n"/>
      <c r="C609" s="5" t="n"/>
      <c r="D609" s="5" t="n"/>
      <c r="E609" s="4">
        <f>IF(C609="","",COUNTIF($C$7:C609,C609))</f>
        <v/>
      </c>
      <c r="F609" s="4">
        <f>IF(E609="","",IF(E609&lt;=3,6,IF(E609&lt;=6,5,IF(E609&lt;=9,4,IF(E609&lt;=12,3,IF(E609&lt;=15,2,0))))))</f>
        <v/>
      </c>
      <c r="G609" s="5" t="n"/>
      <c r="H609" s="4">
        <f>IF(OR(F609="",G609=""),"",F609*G609+IF(J609="",0,J609))</f>
        <v/>
      </c>
      <c r="I609" s="5" t="n"/>
      <c r="J609" s="5" t="n"/>
    </row>
    <row r="610">
      <c r="A610" s="5" t="n"/>
      <c r="B610" s="5" t="n"/>
      <c r="C610" s="5" t="n"/>
      <c r="D610" s="5" t="n"/>
      <c r="E610" s="4">
        <f>IF(C610="","",COUNTIF($C$7:C610,C610))</f>
        <v/>
      </c>
      <c r="F610" s="4">
        <f>IF(E610="","",IF(E610&lt;=3,6,IF(E610&lt;=6,5,IF(E610&lt;=9,4,IF(E610&lt;=12,3,IF(E610&lt;=15,2,0))))))</f>
        <v/>
      </c>
      <c r="G610" s="5" t="n"/>
      <c r="H610" s="4">
        <f>IF(OR(F610="",G610=""),"",F610*G610+IF(J610="",0,J610))</f>
        <v/>
      </c>
      <c r="I610" s="5" t="n"/>
      <c r="J610" s="5" t="n"/>
    </row>
    <row r="611">
      <c r="A611" s="5" t="n"/>
      <c r="B611" s="5" t="n"/>
      <c r="C611" s="5" t="n"/>
      <c r="D611" s="5" t="n"/>
      <c r="E611" s="4">
        <f>IF(C611="","",COUNTIF($C$7:C611,C611))</f>
        <v/>
      </c>
      <c r="F611" s="4">
        <f>IF(E611="","",IF(E611&lt;=3,6,IF(E611&lt;=6,5,IF(E611&lt;=9,4,IF(E611&lt;=12,3,IF(E611&lt;=15,2,0))))))</f>
        <v/>
      </c>
      <c r="G611" s="5" t="n"/>
      <c r="H611" s="4">
        <f>IF(OR(F611="",G611=""),"",F611*G611+IF(J611="",0,J611))</f>
        <v/>
      </c>
      <c r="I611" s="5" t="n"/>
      <c r="J611" s="5" t="n"/>
    </row>
    <row r="612">
      <c r="A612" s="5" t="n"/>
      <c r="B612" s="5" t="n"/>
      <c r="C612" s="5" t="n"/>
      <c r="D612" s="5" t="n"/>
      <c r="E612" s="4">
        <f>IF(C612="","",COUNTIF($C$7:C612,C612))</f>
        <v/>
      </c>
      <c r="F612" s="4">
        <f>IF(E612="","",IF(E612&lt;=3,6,IF(E612&lt;=6,5,IF(E612&lt;=9,4,IF(E612&lt;=12,3,IF(E612&lt;=15,2,0))))))</f>
        <v/>
      </c>
      <c r="G612" s="5" t="n"/>
      <c r="H612" s="4">
        <f>IF(OR(F612="",G612=""),"",F612*G612+IF(J612="",0,J612))</f>
        <v/>
      </c>
      <c r="I612" s="5" t="n"/>
      <c r="J612" s="5" t="n"/>
    </row>
    <row r="613">
      <c r="A613" s="5" t="n"/>
      <c r="B613" s="5" t="n"/>
      <c r="C613" s="5" t="n"/>
      <c r="D613" s="5" t="n"/>
      <c r="E613" s="4">
        <f>IF(C613="","",COUNTIF($C$7:C613,C613))</f>
        <v/>
      </c>
      <c r="F613" s="4">
        <f>IF(E613="","",IF(E613&lt;=3,6,IF(E613&lt;=6,5,IF(E613&lt;=9,4,IF(E613&lt;=12,3,IF(E613&lt;=15,2,0))))))</f>
        <v/>
      </c>
      <c r="G613" s="5" t="n"/>
      <c r="H613" s="4">
        <f>IF(OR(F613="",G613=""),"",F613*G613+IF(J613="",0,J613))</f>
        <v/>
      </c>
      <c r="I613" s="5" t="n"/>
      <c r="J613" s="5" t="n"/>
    </row>
    <row r="614">
      <c r="A614" s="5" t="n"/>
      <c r="B614" s="5" t="n"/>
      <c r="C614" s="5" t="n"/>
      <c r="D614" s="5" t="n"/>
      <c r="E614" s="4">
        <f>IF(C614="","",COUNTIF($C$7:C614,C614))</f>
        <v/>
      </c>
      <c r="F614" s="4">
        <f>IF(E614="","",IF(E614&lt;=3,6,IF(E614&lt;=6,5,IF(E614&lt;=9,4,IF(E614&lt;=12,3,IF(E614&lt;=15,2,0))))))</f>
        <v/>
      </c>
      <c r="G614" s="5" t="n"/>
      <c r="H614" s="4">
        <f>IF(OR(F614="",G614=""),"",F614*G614+IF(J614="",0,J614))</f>
        <v/>
      </c>
      <c r="I614" s="5" t="n"/>
      <c r="J614" s="5" t="n"/>
    </row>
    <row r="615">
      <c r="A615" s="5" t="n"/>
      <c r="B615" s="5" t="n"/>
      <c r="C615" s="5" t="n"/>
      <c r="D615" s="5" t="n"/>
      <c r="E615" s="4">
        <f>IF(C615="","",COUNTIF($C$7:C615,C615))</f>
        <v/>
      </c>
      <c r="F615" s="4">
        <f>IF(E615="","",IF(E615&lt;=3,6,IF(E615&lt;=6,5,IF(E615&lt;=9,4,IF(E615&lt;=12,3,IF(E615&lt;=15,2,0))))))</f>
        <v/>
      </c>
      <c r="G615" s="5" t="n"/>
      <c r="H615" s="4">
        <f>IF(OR(F615="",G615=""),"",F615*G615+IF(J615="",0,J615))</f>
        <v/>
      </c>
      <c r="I615" s="5" t="n"/>
      <c r="J615" s="5" t="n"/>
    </row>
    <row r="616">
      <c r="A616" s="5" t="n"/>
      <c r="B616" s="5" t="n"/>
      <c r="C616" s="5" t="n"/>
      <c r="D616" s="5" t="n"/>
      <c r="E616" s="4">
        <f>IF(C616="","",COUNTIF($C$7:C616,C616))</f>
        <v/>
      </c>
      <c r="F616" s="4">
        <f>IF(E616="","",IF(E616&lt;=3,6,IF(E616&lt;=6,5,IF(E616&lt;=9,4,IF(E616&lt;=12,3,IF(E616&lt;=15,2,0))))))</f>
        <v/>
      </c>
      <c r="G616" s="5" t="n"/>
      <c r="H616" s="4">
        <f>IF(OR(F616="",G616=""),"",F616*G616+IF(J616="",0,J616))</f>
        <v/>
      </c>
      <c r="I616" s="5" t="n"/>
      <c r="J616" s="5" t="n"/>
    </row>
    <row r="617">
      <c r="A617" s="5" t="n"/>
      <c r="B617" s="5" t="n"/>
      <c r="C617" s="5" t="n"/>
      <c r="D617" s="5" t="n"/>
      <c r="E617" s="4">
        <f>IF(C617="","",COUNTIF($C$7:C617,C617))</f>
        <v/>
      </c>
      <c r="F617" s="4">
        <f>IF(E617="","",IF(E617&lt;=3,6,IF(E617&lt;=6,5,IF(E617&lt;=9,4,IF(E617&lt;=12,3,IF(E617&lt;=15,2,0))))))</f>
        <v/>
      </c>
      <c r="G617" s="5" t="n"/>
      <c r="H617" s="4">
        <f>IF(OR(F617="",G617=""),"",F617*G617+IF(J617="",0,J617))</f>
        <v/>
      </c>
      <c r="I617" s="5" t="n"/>
      <c r="J617" s="5" t="n"/>
    </row>
    <row r="618">
      <c r="A618" s="5" t="n"/>
      <c r="B618" s="5" t="n"/>
      <c r="C618" s="5" t="n"/>
      <c r="D618" s="5" t="n"/>
      <c r="E618" s="4">
        <f>IF(C618="","",COUNTIF($C$7:C618,C618))</f>
        <v/>
      </c>
      <c r="F618" s="4">
        <f>IF(E618="","",IF(E618&lt;=3,6,IF(E618&lt;=6,5,IF(E618&lt;=9,4,IF(E618&lt;=12,3,IF(E618&lt;=15,2,0))))))</f>
        <v/>
      </c>
      <c r="G618" s="5" t="n"/>
      <c r="H618" s="4">
        <f>IF(OR(F618="",G618=""),"",F618*G618+IF(J618="",0,J618))</f>
        <v/>
      </c>
      <c r="I618" s="5" t="n"/>
      <c r="J618" s="5" t="n"/>
    </row>
    <row r="619">
      <c r="A619" s="5" t="n"/>
      <c r="B619" s="5" t="n"/>
      <c r="C619" s="5" t="n"/>
      <c r="D619" s="5" t="n"/>
      <c r="E619" s="4">
        <f>IF(C619="","",COUNTIF($C$7:C619,C619))</f>
        <v/>
      </c>
      <c r="F619" s="4">
        <f>IF(E619="","",IF(E619&lt;=3,6,IF(E619&lt;=6,5,IF(E619&lt;=9,4,IF(E619&lt;=12,3,IF(E619&lt;=15,2,0))))))</f>
        <v/>
      </c>
      <c r="G619" s="5" t="n"/>
      <c r="H619" s="4">
        <f>IF(OR(F619="",G619=""),"",F619*G619+IF(J619="",0,J619))</f>
        <v/>
      </c>
      <c r="I619" s="5" t="n"/>
      <c r="J619" s="5" t="n"/>
    </row>
    <row r="620">
      <c r="A620" s="5" t="n"/>
      <c r="B620" s="5" t="n"/>
      <c r="C620" s="5" t="n"/>
      <c r="D620" s="5" t="n"/>
      <c r="E620" s="4">
        <f>IF(C620="","",COUNTIF($C$7:C620,C620))</f>
        <v/>
      </c>
      <c r="F620" s="4">
        <f>IF(E620="","",IF(E620&lt;=3,6,IF(E620&lt;=6,5,IF(E620&lt;=9,4,IF(E620&lt;=12,3,IF(E620&lt;=15,2,0))))))</f>
        <v/>
      </c>
      <c r="G620" s="5" t="n"/>
      <c r="H620" s="4">
        <f>IF(OR(F620="",G620=""),"",F620*G620+IF(J620="",0,J620))</f>
        <v/>
      </c>
      <c r="I620" s="5" t="n"/>
      <c r="J620" s="5" t="n"/>
    </row>
    <row r="621">
      <c r="A621" s="5" t="n"/>
      <c r="B621" s="5" t="n"/>
      <c r="C621" s="5" t="n"/>
      <c r="D621" s="5" t="n"/>
      <c r="E621" s="4">
        <f>IF(C621="","",COUNTIF($C$7:C621,C621))</f>
        <v/>
      </c>
      <c r="F621" s="4">
        <f>IF(E621="","",IF(E621&lt;=3,6,IF(E621&lt;=6,5,IF(E621&lt;=9,4,IF(E621&lt;=12,3,IF(E621&lt;=15,2,0))))))</f>
        <v/>
      </c>
      <c r="G621" s="5" t="n"/>
      <c r="H621" s="4">
        <f>IF(OR(F621="",G621=""),"",F621*G621+IF(J621="",0,J621))</f>
        <v/>
      </c>
      <c r="I621" s="5" t="n"/>
      <c r="J621" s="5" t="n"/>
    </row>
    <row r="622">
      <c r="A622" s="5" t="n"/>
      <c r="B622" s="5" t="n"/>
      <c r="C622" s="5" t="n"/>
      <c r="D622" s="5" t="n"/>
      <c r="E622" s="4">
        <f>IF(C622="","",COUNTIF($C$7:C622,C622))</f>
        <v/>
      </c>
      <c r="F622" s="4">
        <f>IF(E622="","",IF(E622&lt;=3,6,IF(E622&lt;=6,5,IF(E622&lt;=9,4,IF(E622&lt;=12,3,IF(E622&lt;=15,2,0))))))</f>
        <v/>
      </c>
      <c r="G622" s="5" t="n"/>
      <c r="H622" s="4">
        <f>IF(OR(F622="",G622=""),"",F622*G622+IF(J622="",0,J622))</f>
        <v/>
      </c>
      <c r="I622" s="5" t="n"/>
      <c r="J622" s="5" t="n"/>
    </row>
    <row r="623">
      <c r="A623" s="5" t="n"/>
      <c r="B623" s="5" t="n"/>
      <c r="C623" s="5" t="n"/>
      <c r="D623" s="5" t="n"/>
      <c r="E623" s="4">
        <f>IF(C623="","",COUNTIF($C$7:C623,C623))</f>
        <v/>
      </c>
      <c r="F623" s="4">
        <f>IF(E623="","",IF(E623&lt;=3,6,IF(E623&lt;=6,5,IF(E623&lt;=9,4,IF(E623&lt;=12,3,IF(E623&lt;=15,2,0))))))</f>
        <v/>
      </c>
      <c r="G623" s="5" t="n"/>
      <c r="H623" s="4">
        <f>IF(OR(F623="",G623=""),"",F623*G623+IF(J623="",0,J623))</f>
        <v/>
      </c>
      <c r="I623" s="5" t="n"/>
      <c r="J623" s="5" t="n"/>
    </row>
    <row r="624">
      <c r="A624" s="5" t="n"/>
      <c r="B624" s="5" t="n"/>
      <c r="C624" s="5" t="n"/>
      <c r="D624" s="5" t="n"/>
      <c r="E624" s="4">
        <f>IF(C624="","",COUNTIF($C$7:C624,C624))</f>
        <v/>
      </c>
      <c r="F624" s="4">
        <f>IF(E624="","",IF(E624&lt;=3,6,IF(E624&lt;=6,5,IF(E624&lt;=9,4,IF(E624&lt;=12,3,IF(E624&lt;=15,2,0))))))</f>
        <v/>
      </c>
      <c r="G624" s="5" t="n"/>
      <c r="H624" s="4">
        <f>IF(OR(F624="",G624=""),"",F624*G624+IF(J624="",0,J624))</f>
        <v/>
      </c>
      <c r="I624" s="5" t="n"/>
      <c r="J624" s="5" t="n"/>
    </row>
    <row r="625">
      <c r="A625" s="5" t="n"/>
      <c r="B625" s="5" t="n"/>
      <c r="C625" s="5" t="n"/>
      <c r="D625" s="5" t="n"/>
      <c r="E625" s="4">
        <f>IF(C625="","",COUNTIF($C$7:C625,C625))</f>
        <v/>
      </c>
      <c r="F625" s="4">
        <f>IF(E625="","",IF(E625&lt;=3,6,IF(E625&lt;=6,5,IF(E625&lt;=9,4,IF(E625&lt;=12,3,IF(E625&lt;=15,2,0))))))</f>
        <v/>
      </c>
      <c r="G625" s="5" t="n"/>
      <c r="H625" s="4">
        <f>IF(OR(F625="",G625=""),"",F625*G625+IF(J625="",0,J625))</f>
        <v/>
      </c>
      <c r="I625" s="5" t="n"/>
      <c r="J625" s="5" t="n"/>
    </row>
    <row r="626">
      <c r="A626" s="5" t="n"/>
      <c r="B626" s="5" t="n"/>
      <c r="C626" s="5" t="n"/>
      <c r="D626" s="5" t="n"/>
      <c r="E626" s="4">
        <f>IF(C626="","",COUNTIF($C$7:C626,C626))</f>
        <v/>
      </c>
      <c r="F626" s="4">
        <f>IF(E626="","",IF(E626&lt;=3,6,IF(E626&lt;=6,5,IF(E626&lt;=9,4,IF(E626&lt;=12,3,IF(E626&lt;=15,2,0))))))</f>
        <v/>
      </c>
      <c r="G626" s="5" t="n"/>
      <c r="H626" s="4">
        <f>IF(OR(F626="",G626=""),"",F626*G626+IF(J626="",0,J626))</f>
        <v/>
      </c>
      <c r="I626" s="5" t="n"/>
      <c r="J626" s="5" t="n"/>
    </row>
    <row r="627">
      <c r="A627" s="5" t="n"/>
      <c r="B627" s="5" t="n"/>
      <c r="C627" s="5" t="n"/>
      <c r="D627" s="5" t="n"/>
      <c r="E627" s="4">
        <f>IF(C627="","",COUNTIF($C$7:C627,C627))</f>
        <v/>
      </c>
      <c r="F627" s="4">
        <f>IF(E627="","",IF(E627&lt;=3,6,IF(E627&lt;=6,5,IF(E627&lt;=9,4,IF(E627&lt;=12,3,IF(E627&lt;=15,2,0))))))</f>
        <v/>
      </c>
      <c r="G627" s="5" t="n"/>
      <c r="H627" s="4">
        <f>IF(OR(F627="",G627=""),"",F627*G627+IF(J627="",0,J627))</f>
        <v/>
      </c>
      <c r="I627" s="5" t="n"/>
      <c r="J627" s="5" t="n"/>
    </row>
    <row r="628">
      <c r="A628" s="5" t="n"/>
      <c r="B628" s="5" t="n"/>
      <c r="C628" s="5" t="n"/>
      <c r="D628" s="5" t="n"/>
      <c r="E628" s="4">
        <f>IF(C628="","",COUNTIF($C$7:C628,C628))</f>
        <v/>
      </c>
      <c r="F628" s="4">
        <f>IF(E628="","",IF(E628&lt;=3,6,IF(E628&lt;=6,5,IF(E628&lt;=9,4,IF(E628&lt;=12,3,IF(E628&lt;=15,2,0))))))</f>
        <v/>
      </c>
      <c r="G628" s="5" t="n"/>
      <c r="H628" s="4">
        <f>IF(OR(F628="",G628=""),"",F628*G628+IF(J628="",0,J628))</f>
        <v/>
      </c>
      <c r="I628" s="5" t="n"/>
      <c r="J628" s="5" t="n"/>
    </row>
    <row r="629">
      <c r="A629" s="5" t="n"/>
      <c r="B629" s="5" t="n"/>
      <c r="C629" s="5" t="n"/>
      <c r="D629" s="5" t="n"/>
      <c r="E629" s="4">
        <f>IF(C629="","",COUNTIF($C$7:C629,C629))</f>
        <v/>
      </c>
      <c r="F629" s="4">
        <f>IF(E629="","",IF(E629&lt;=3,6,IF(E629&lt;=6,5,IF(E629&lt;=9,4,IF(E629&lt;=12,3,IF(E629&lt;=15,2,0))))))</f>
        <v/>
      </c>
      <c r="G629" s="5" t="n"/>
      <c r="H629" s="4">
        <f>IF(OR(F629="",G629=""),"",F629*G629+IF(J629="",0,J629))</f>
        <v/>
      </c>
      <c r="I629" s="5" t="n"/>
      <c r="J629" s="5" t="n"/>
    </row>
    <row r="630">
      <c r="A630" s="5" t="n"/>
      <c r="B630" s="5" t="n"/>
      <c r="C630" s="5" t="n"/>
      <c r="D630" s="5" t="n"/>
      <c r="E630" s="4">
        <f>IF(C630="","",COUNTIF($C$7:C630,C630))</f>
        <v/>
      </c>
      <c r="F630" s="4">
        <f>IF(E630="","",IF(E630&lt;=3,6,IF(E630&lt;=6,5,IF(E630&lt;=9,4,IF(E630&lt;=12,3,IF(E630&lt;=15,2,0))))))</f>
        <v/>
      </c>
      <c r="G630" s="5" t="n"/>
      <c r="H630" s="4">
        <f>IF(OR(F630="",G630=""),"",F630*G630+IF(J630="",0,J630))</f>
        <v/>
      </c>
      <c r="I630" s="5" t="n"/>
      <c r="J630" s="5" t="n"/>
    </row>
    <row r="631">
      <c r="A631" s="5" t="n"/>
      <c r="B631" s="5" t="n"/>
      <c r="C631" s="5" t="n"/>
      <c r="D631" s="5" t="n"/>
      <c r="E631" s="4">
        <f>IF(C631="","",COUNTIF($C$7:C631,C631))</f>
        <v/>
      </c>
      <c r="F631" s="4">
        <f>IF(E631="","",IF(E631&lt;=3,6,IF(E631&lt;=6,5,IF(E631&lt;=9,4,IF(E631&lt;=12,3,IF(E631&lt;=15,2,0))))))</f>
        <v/>
      </c>
      <c r="G631" s="5" t="n"/>
      <c r="H631" s="4">
        <f>IF(OR(F631="",G631=""),"",F631*G631+IF(J631="",0,J631))</f>
        <v/>
      </c>
      <c r="I631" s="5" t="n"/>
      <c r="J631" s="5" t="n"/>
    </row>
    <row r="632">
      <c r="A632" s="5" t="n"/>
      <c r="B632" s="5" t="n"/>
      <c r="C632" s="5" t="n"/>
      <c r="D632" s="5" t="n"/>
      <c r="E632" s="4">
        <f>IF(C632="","",COUNTIF($C$7:C632,C632))</f>
        <v/>
      </c>
      <c r="F632" s="4">
        <f>IF(E632="","",IF(E632&lt;=3,6,IF(E632&lt;=6,5,IF(E632&lt;=9,4,IF(E632&lt;=12,3,IF(E632&lt;=15,2,0))))))</f>
        <v/>
      </c>
      <c r="G632" s="5" t="n"/>
      <c r="H632" s="4">
        <f>IF(OR(F632="",G632=""),"",F632*G632+IF(J632="",0,J632))</f>
        <v/>
      </c>
      <c r="I632" s="5" t="n"/>
      <c r="J632" s="5" t="n"/>
    </row>
    <row r="633">
      <c r="A633" s="5" t="n"/>
      <c r="B633" s="5" t="n"/>
      <c r="C633" s="5" t="n"/>
      <c r="D633" s="5" t="n"/>
      <c r="E633" s="4">
        <f>IF(C633="","",COUNTIF($C$7:C633,C633))</f>
        <v/>
      </c>
      <c r="F633" s="4">
        <f>IF(E633="","",IF(E633&lt;=3,6,IF(E633&lt;=6,5,IF(E633&lt;=9,4,IF(E633&lt;=12,3,IF(E633&lt;=15,2,0))))))</f>
        <v/>
      </c>
      <c r="G633" s="5" t="n"/>
      <c r="H633" s="4">
        <f>IF(OR(F633="",G633=""),"",F633*G633+IF(J633="",0,J633))</f>
        <v/>
      </c>
      <c r="I633" s="5" t="n"/>
      <c r="J633" s="5" t="n"/>
    </row>
    <row r="634">
      <c r="A634" s="5" t="n"/>
      <c r="B634" s="5" t="n"/>
      <c r="C634" s="5" t="n"/>
      <c r="D634" s="5" t="n"/>
      <c r="E634" s="4">
        <f>IF(C634="","",COUNTIF($C$7:C634,C634))</f>
        <v/>
      </c>
      <c r="F634" s="4">
        <f>IF(E634="","",IF(E634&lt;=3,6,IF(E634&lt;=6,5,IF(E634&lt;=9,4,IF(E634&lt;=12,3,IF(E634&lt;=15,2,0))))))</f>
        <v/>
      </c>
      <c r="G634" s="5" t="n"/>
      <c r="H634" s="4">
        <f>IF(OR(F634="",G634=""),"",F634*G634+IF(J634="",0,J634))</f>
        <v/>
      </c>
      <c r="I634" s="5" t="n"/>
      <c r="J634" s="5" t="n"/>
    </row>
    <row r="635">
      <c r="A635" s="5" t="n"/>
      <c r="B635" s="5" t="n"/>
      <c r="C635" s="5" t="n"/>
      <c r="D635" s="5" t="n"/>
      <c r="E635" s="4">
        <f>IF(C635="","",COUNTIF($C$7:C635,C635))</f>
        <v/>
      </c>
      <c r="F635" s="4">
        <f>IF(E635="","",IF(E635&lt;=3,6,IF(E635&lt;=6,5,IF(E635&lt;=9,4,IF(E635&lt;=12,3,IF(E635&lt;=15,2,0))))))</f>
        <v/>
      </c>
      <c r="G635" s="5" t="n"/>
      <c r="H635" s="4">
        <f>IF(OR(F635="",G635=""),"",F635*G635+IF(J635="",0,J635))</f>
        <v/>
      </c>
      <c r="I635" s="5" t="n"/>
      <c r="J635" s="5" t="n"/>
    </row>
    <row r="636">
      <c r="A636" s="5" t="n"/>
      <c r="B636" s="5" t="n"/>
      <c r="C636" s="5" t="n"/>
      <c r="D636" s="5" t="n"/>
      <c r="E636" s="4">
        <f>IF(C636="","",COUNTIF($C$7:C636,C636))</f>
        <v/>
      </c>
      <c r="F636" s="4">
        <f>IF(E636="","",IF(E636&lt;=3,6,IF(E636&lt;=6,5,IF(E636&lt;=9,4,IF(E636&lt;=12,3,IF(E636&lt;=15,2,0))))))</f>
        <v/>
      </c>
      <c r="G636" s="5" t="n"/>
      <c r="H636" s="4">
        <f>IF(OR(F636="",G636=""),"",F636*G636+IF(J636="",0,J636))</f>
        <v/>
      </c>
      <c r="I636" s="5" t="n"/>
      <c r="J636" s="5" t="n"/>
    </row>
    <row r="637">
      <c r="A637" s="5" t="n"/>
      <c r="B637" s="5" t="n"/>
      <c r="C637" s="5" t="n"/>
      <c r="D637" s="5" t="n"/>
      <c r="E637" s="4">
        <f>IF(C637="","",COUNTIF($C$7:C637,C637))</f>
        <v/>
      </c>
      <c r="F637" s="4">
        <f>IF(E637="","",IF(E637&lt;=3,6,IF(E637&lt;=6,5,IF(E637&lt;=9,4,IF(E637&lt;=12,3,IF(E637&lt;=15,2,0))))))</f>
        <v/>
      </c>
      <c r="G637" s="5" t="n"/>
      <c r="H637" s="4">
        <f>IF(OR(F637="",G637=""),"",F637*G637+IF(J637="",0,J637))</f>
        <v/>
      </c>
      <c r="I637" s="5" t="n"/>
      <c r="J637" s="5" t="n"/>
    </row>
    <row r="638">
      <c r="A638" s="5" t="n"/>
      <c r="B638" s="5" t="n"/>
      <c r="C638" s="5" t="n"/>
      <c r="D638" s="5" t="n"/>
      <c r="E638" s="4">
        <f>IF(C638="","",COUNTIF($C$7:C638,C638))</f>
        <v/>
      </c>
      <c r="F638" s="4">
        <f>IF(E638="","",IF(E638&lt;=3,6,IF(E638&lt;=6,5,IF(E638&lt;=9,4,IF(E638&lt;=12,3,IF(E638&lt;=15,2,0))))))</f>
        <v/>
      </c>
      <c r="G638" s="5" t="n"/>
      <c r="H638" s="4">
        <f>IF(OR(F638="",G638=""),"",F638*G638+IF(J638="",0,J638))</f>
        <v/>
      </c>
      <c r="I638" s="5" t="n"/>
      <c r="J638" s="5" t="n"/>
    </row>
    <row r="639">
      <c r="A639" s="5" t="n"/>
      <c r="B639" s="5" t="n"/>
      <c r="C639" s="5" t="n"/>
      <c r="D639" s="5" t="n"/>
      <c r="E639" s="4">
        <f>IF(C639="","",COUNTIF($C$7:C639,C639))</f>
        <v/>
      </c>
      <c r="F639" s="4">
        <f>IF(E639="","",IF(E639&lt;=3,6,IF(E639&lt;=6,5,IF(E639&lt;=9,4,IF(E639&lt;=12,3,IF(E639&lt;=15,2,0))))))</f>
        <v/>
      </c>
      <c r="G639" s="5" t="n"/>
      <c r="H639" s="4">
        <f>IF(OR(F639="",G639=""),"",F639*G639+IF(J639="",0,J639))</f>
        <v/>
      </c>
      <c r="I639" s="5" t="n"/>
      <c r="J639" s="5" t="n"/>
    </row>
    <row r="640">
      <c r="A640" s="5" t="n"/>
      <c r="B640" s="5" t="n"/>
      <c r="C640" s="5" t="n"/>
      <c r="D640" s="5" t="n"/>
      <c r="E640" s="4">
        <f>IF(C640="","",COUNTIF($C$7:C640,C640))</f>
        <v/>
      </c>
      <c r="F640" s="4">
        <f>IF(E640="","",IF(E640&lt;=3,6,IF(E640&lt;=6,5,IF(E640&lt;=9,4,IF(E640&lt;=12,3,IF(E640&lt;=15,2,0))))))</f>
        <v/>
      </c>
      <c r="G640" s="5" t="n"/>
      <c r="H640" s="4">
        <f>IF(OR(F640="",G640=""),"",F640*G640+IF(J640="",0,J640))</f>
        <v/>
      </c>
      <c r="I640" s="5" t="n"/>
      <c r="J640" s="5" t="n"/>
    </row>
    <row r="641">
      <c r="A641" s="5" t="n"/>
      <c r="B641" s="5" t="n"/>
      <c r="C641" s="5" t="n"/>
      <c r="D641" s="5" t="n"/>
      <c r="E641" s="4">
        <f>IF(C641="","",COUNTIF($C$7:C641,C641))</f>
        <v/>
      </c>
      <c r="F641" s="4">
        <f>IF(E641="","",IF(E641&lt;=3,6,IF(E641&lt;=6,5,IF(E641&lt;=9,4,IF(E641&lt;=12,3,IF(E641&lt;=15,2,0))))))</f>
        <v/>
      </c>
      <c r="G641" s="5" t="n"/>
      <c r="H641" s="4">
        <f>IF(OR(F641="",G641=""),"",F641*G641+IF(J641="",0,J641))</f>
        <v/>
      </c>
      <c r="I641" s="5" t="n"/>
      <c r="J641" s="5" t="n"/>
    </row>
    <row r="642">
      <c r="A642" s="5" t="n"/>
      <c r="B642" s="5" t="n"/>
      <c r="C642" s="5" t="n"/>
      <c r="D642" s="5" t="n"/>
      <c r="E642" s="4">
        <f>IF(C642="","",COUNTIF($C$7:C642,C642))</f>
        <v/>
      </c>
      <c r="F642" s="4">
        <f>IF(E642="","",IF(E642&lt;=3,6,IF(E642&lt;=6,5,IF(E642&lt;=9,4,IF(E642&lt;=12,3,IF(E642&lt;=15,2,0))))))</f>
        <v/>
      </c>
      <c r="G642" s="5" t="n"/>
      <c r="H642" s="4">
        <f>IF(OR(F642="",G642=""),"",F642*G642+IF(J642="",0,J642))</f>
        <v/>
      </c>
      <c r="I642" s="5" t="n"/>
      <c r="J642" s="5" t="n"/>
    </row>
    <row r="643">
      <c r="A643" s="5" t="n"/>
      <c r="B643" s="5" t="n"/>
      <c r="C643" s="5" t="n"/>
      <c r="D643" s="5" t="n"/>
      <c r="E643" s="4">
        <f>IF(C643="","",COUNTIF($C$7:C643,C643))</f>
        <v/>
      </c>
      <c r="F643" s="4">
        <f>IF(E643="","",IF(E643&lt;=3,6,IF(E643&lt;=6,5,IF(E643&lt;=9,4,IF(E643&lt;=12,3,IF(E643&lt;=15,2,0))))))</f>
        <v/>
      </c>
      <c r="G643" s="5" t="n"/>
      <c r="H643" s="4">
        <f>IF(OR(F643="",G643=""),"",F643*G643+IF(J643="",0,J643))</f>
        <v/>
      </c>
      <c r="I643" s="5" t="n"/>
      <c r="J643" s="5" t="n"/>
    </row>
    <row r="644">
      <c r="A644" s="5" t="n"/>
      <c r="B644" s="5" t="n"/>
      <c r="C644" s="5" t="n"/>
      <c r="D644" s="5" t="n"/>
      <c r="E644" s="4">
        <f>IF(C644="","",COUNTIF($C$7:C644,C644))</f>
        <v/>
      </c>
      <c r="F644" s="4">
        <f>IF(E644="","",IF(E644&lt;=3,6,IF(E644&lt;=6,5,IF(E644&lt;=9,4,IF(E644&lt;=12,3,IF(E644&lt;=15,2,0))))))</f>
        <v/>
      </c>
      <c r="G644" s="5" t="n"/>
      <c r="H644" s="4">
        <f>IF(OR(F644="",G644=""),"",F644*G644+IF(J644="",0,J644))</f>
        <v/>
      </c>
      <c r="I644" s="5" t="n"/>
      <c r="J644" s="5" t="n"/>
    </row>
    <row r="645">
      <c r="A645" s="5" t="n"/>
      <c r="B645" s="5" t="n"/>
      <c r="C645" s="5" t="n"/>
      <c r="D645" s="5" t="n"/>
      <c r="E645" s="4">
        <f>IF(C645="","",COUNTIF($C$7:C645,C645))</f>
        <v/>
      </c>
      <c r="F645" s="4">
        <f>IF(E645="","",IF(E645&lt;=3,6,IF(E645&lt;=6,5,IF(E645&lt;=9,4,IF(E645&lt;=12,3,IF(E645&lt;=15,2,0))))))</f>
        <v/>
      </c>
      <c r="G645" s="5" t="n"/>
      <c r="H645" s="4">
        <f>IF(OR(F645="",G645=""),"",F645*G645+IF(J645="",0,J645))</f>
        <v/>
      </c>
      <c r="I645" s="5" t="n"/>
      <c r="J645" s="5" t="n"/>
    </row>
    <row r="646">
      <c r="A646" s="5" t="n"/>
      <c r="B646" s="5" t="n"/>
      <c r="C646" s="5" t="n"/>
      <c r="D646" s="5" t="n"/>
      <c r="E646" s="4">
        <f>IF(C646="","",COUNTIF($C$7:C646,C646))</f>
        <v/>
      </c>
      <c r="F646" s="4">
        <f>IF(E646="","",IF(E646&lt;=3,6,IF(E646&lt;=6,5,IF(E646&lt;=9,4,IF(E646&lt;=12,3,IF(E646&lt;=15,2,0))))))</f>
        <v/>
      </c>
      <c r="G646" s="5" t="n"/>
      <c r="H646" s="4">
        <f>IF(OR(F646="",G646=""),"",F646*G646+IF(J646="",0,J646))</f>
        <v/>
      </c>
      <c r="I646" s="5" t="n"/>
      <c r="J646" s="5" t="n"/>
    </row>
    <row r="647">
      <c r="A647" s="5" t="n"/>
      <c r="B647" s="5" t="n"/>
      <c r="C647" s="5" t="n"/>
      <c r="D647" s="5" t="n"/>
      <c r="E647" s="4">
        <f>IF(C647="","",COUNTIF($C$7:C647,C647))</f>
        <v/>
      </c>
      <c r="F647" s="4">
        <f>IF(E647="","",IF(E647&lt;=3,6,IF(E647&lt;=6,5,IF(E647&lt;=9,4,IF(E647&lt;=12,3,IF(E647&lt;=15,2,0))))))</f>
        <v/>
      </c>
      <c r="G647" s="5" t="n"/>
      <c r="H647" s="4">
        <f>IF(OR(F647="",G647=""),"",F647*G647+IF(J647="",0,J647))</f>
        <v/>
      </c>
      <c r="I647" s="5" t="n"/>
      <c r="J647" s="5" t="n"/>
    </row>
    <row r="648">
      <c r="A648" s="5" t="n"/>
      <c r="B648" s="5" t="n"/>
      <c r="C648" s="5" t="n"/>
      <c r="D648" s="5" t="n"/>
      <c r="E648" s="4">
        <f>IF(C648="","",COUNTIF($C$7:C648,C648))</f>
        <v/>
      </c>
      <c r="F648" s="4">
        <f>IF(E648="","",IF(E648&lt;=3,6,IF(E648&lt;=6,5,IF(E648&lt;=9,4,IF(E648&lt;=12,3,IF(E648&lt;=15,2,0))))))</f>
        <v/>
      </c>
      <c r="G648" s="5" t="n"/>
      <c r="H648" s="4">
        <f>IF(OR(F648="",G648=""),"",F648*G648+IF(J648="",0,J648))</f>
        <v/>
      </c>
      <c r="I648" s="5" t="n"/>
      <c r="J648" s="5" t="n"/>
    </row>
    <row r="649">
      <c r="A649" s="5" t="n"/>
      <c r="B649" s="5" t="n"/>
      <c r="C649" s="5" t="n"/>
      <c r="D649" s="5" t="n"/>
      <c r="E649" s="4">
        <f>IF(C649="","",COUNTIF($C$7:C649,C649))</f>
        <v/>
      </c>
      <c r="F649" s="4">
        <f>IF(E649="","",IF(E649&lt;=3,6,IF(E649&lt;=6,5,IF(E649&lt;=9,4,IF(E649&lt;=12,3,IF(E649&lt;=15,2,0))))))</f>
        <v/>
      </c>
      <c r="G649" s="5" t="n"/>
      <c r="H649" s="4">
        <f>IF(OR(F649="",G649=""),"",F649*G649+IF(J649="",0,J649))</f>
        <v/>
      </c>
      <c r="I649" s="5" t="n"/>
      <c r="J649" s="5" t="n"/>
    </row>
    <row r="650">
      <c r="A650" s="5" t="n"/>
      <c r="B650" s="5" t="n"/>
      <c r="C650" s="5" t="n"/>
      <c r="D650" s="5" t="n"/>
      <c r="E650" s="4">
        <f>IF(C650="","",COUNTIF($C$7:C650,C650))</f>
        <v/>
      </c>
      <c r="F650" s="4">
        <f>IF(E650="","",IF(E650&lt;=3,6,IF(E650&lt;=6,5,IF(E650&lt;=9,4,IF(E650&lt;=12,3,IF(E650&lt;=15,2,0))))))</f>
        <v/>
      </c>
      <c r="G650" s="5" t="n"/>
      <c r="H650" s="4">
        <f>IF(OR(F650="",G650=""),"",F650*G650+IF(J650="",0,J650))</f>
        <v/>
      </c>
      <c r="I650" s="5" t="n"/>
      <c r="J650" s="5" t="n"/>
    </row>
    <row r="651">
      <c r="A651" s="5" t="n"/>
      <c r="B651" s="5" t="n"/>
      <c r="C651" s="5" t="n"/>
      <c r="D651" s="5" t="n"/>
      <c r="E651" s="4">
        <f>IF(C651="","",COUNTIF($C$7:C651,C651))</f>
        <v/>
      </c>
      <c r="F651" s="4">
        <f>IF(E651="","",IF(E651&lt;=3,6,IF(E651&lt;=6,5,IF(E651&lt;=9,4,IF(E651&lt;=12,3,IF(E651&lt;=15,2,0))))))</f>
        <v/>
      </c>
      <c r="G651" s="5" t="n"/>
      <c r="H651" s="4">
        <f>IF(OR(F651="",G651=""),"",F651*G651+IF(J651="",0,J651))</f>
        <v/>
      </c>
      <c r="I651" s="5" t="n"/>
      <c r="J651" s="5" t="n"/>
    </row>
    <row r="652">
      <c r="A652" s="5" t="n"/>
      <c r="B652" s="5" t="n"/>
      <c r="C652" s="5" t="n"/>
      <c r="D652" s="5" t="n"/>
      <c r="E652" s="4">
        <f>IF(C652="","",COUNTIF($C$7:C652,C652))</f>
        <v/>
      </c>
      <c r="F652" s="4">
        <f>IF(E652="","",IF(E652&lt;=3,6,IF(E652&lt;=6,5,IF(E652&lt;=9,4,IF(E652&lt;=12,3,IF(E652&lt;=15,2,0))))))</f>
        <v/>
      </c>
      <c r="G652" s="5" t="n"/>
      <c r="H652" s="4">
        <f>IF(OR(F652="",G652=""),"",F652*G652+IF(J652="",0,J652))</f>
        <v/>
      </c>
      <c r="I652" s="5" t="n"/>
      <c r="J652" s="5" t="n"/>
    </row>
    <row r="653">
      <c r="A653" s="5" t="n"/>
      <c r="B653" s="5" t="n"/>
      <c r="C653" s="5" t="n"/>
      <c r="D653" s="5" t="n"/>
      <c r="E653" s="4">
        <f>IF(C653="","",COUNTIF($C$7:C653,C653))</f>
        <v/>
      </c>
      <c r="F653" s="4">
        <f>IF(E653="","",IF(E653&lt;=3,6,IF(E653&lt;=6,5,IF(E653&lt;=9,4,IF(E653&lt;=12,3,IF(E653&lt;=15,2,0))))))</f>
        <v/>
      </c>
      <c r="G653" s="5" t="n"/>
      <c r="H653" s="4">
        <f>IF(OR(F653="",G653=""),"",F653*G653+IF(J653="",0,J653))</f>
        <v/>
      </c>
      <c r="I653" s="5" t="n"/>
      <c r="J653" s="5" t="n"/>
    </row>
    <row r="654">
      <c r="A654" s="5" t="n"/>
      <c r="B654" s="5" t="n"/>
      <c r="C654" s="5" t="n"/>
      <c r="D654" s="5" t="n"/>
      <c r="E654" s="4">
        <f>IF(C654="","",COUNTIF($C$7:C654,C654))</f>
        <v/>
      </c>
      <c r="F654" s="4">
        <f>IF(E654="","",IF(E654&lt;=3,6,IF(E654&lt;=6,5,IF(E654&lt;=9,4,IF(E654&lt;=12,3,IF(E654&lt;=15,2,0))))))</f>
        <v/>
      </c>
      <c r="G654" s="5" t="n"/>
      <c r="H654" s="4">
        <f>IF(OR(F654="",G654=""),"",F654*G654+IF(J654="",0,J654))</f>
        <v/>
      </c>
      <c r="I654" s="5" t="n"/>
      <c r="J654" s="5" t="n"/>
    </row>
    <row r="655">
      <c r="A655" s="5" t="n"/>
      <c r="B655" s="5" t="n"/>
      <c r="C655" s="5" t="n"/>
      <c r="D655" s="5" t="n"/>
      <c r="E655" s="4">
        <f>IF(C655="","",COUNTIF($C$7:C655,C655))</f>
        <v/>
      </c>
      <c r="F655" s="4">
        <f>IF(E655="","",IF(E655&lt;=3,6,IF(E655&lt;=6,5,IF(E655&lt;=9,4,IF(E655&lt;=12,3,IF(E655&lt;=15,2,0))))))</f>
        <v/>
      </c>
      <c r="G655" s="5" t="n"/>
      <c r="H655" s="4">
        <f>IF(OR(F655="",G655=""),"",F655*G655+IF(J655="",0,J655))</f>
        <v/>
      </c>
      <c r="I655" s="5" t="n"/>
      <c r="J655" s="5" t="n"/>
    </row>
    <row r="656">
      <c r="A656" s="5" t="n"/>
      <c r="B656" s="5" t="n"/>
      <c r="C656" s="5" t="n"/>
      <c r="D656" s="5" t="n"/>
      <c r="E656" s="4">
        <f>IF(C656="","",COUNTIF($C$7:C656,C656))</f>
        <v/>
      </c>
      <c r="F656" s="4">
        <f>IF(E656="","",IF(E656&lt;=3,6,IF(E656&lt;=6,5,IF(E656&lt;=9,4,IF(E656&lt;=12,3,IF(E656&lt;=15,2,0))))))</f>
        <v/>
      </c>
      <c r="G656" s="5" t="n"/>
      <c r="H656" s="4">
        <f>IF(OR(F656="",G656=""),"",F656*G656+IF(J656="",0,J656))</f>
        <v/>
      </c>
      <c r="I656" s="5" t="n"/>
      <c r="J656" s="5" t="n"/>
    </row>
    <row r="657">
      <c r="A657" s="5" t="n"/>
      <c r="B657" s="5" t="n"/>
      <c r="C657" s="5" t="n"/>
      <c r="D657" s="5" t="n"/>
      <c r="E657" s="4">
        <f>IF(C657="","",COUNTIF($C$7:C657,C657))</f>
        <v/>
      </c>
      <c r="F657" s="4">
        <f>IF(E657="","",IF(E657&lt;=3,6,IF(E657&lt;=6,5,IF(E657&lt;=9,4,IF(E657&lt;=12,3,IF(E657&lt;=15,2,0))))))</f>
        <v/>
      </c>
      <c r="G657" s="5" t="n"/>
      <c r="H657" s="4">
        <f>IF(OR(F657="",G657=""),"",F657*G657+IF(J657="",0,J657))</f>
        <v/>
      </c>
      <c r="I657" s="5" t="n"/>
      <c r="J657" s="5" t="n"/>
    </row>
    <row r="658">
      <c r="A658" s="5" t="n"/>
      <c r="B658" s="5" t="n"/>
      <c r="C658" s="5" t="n"/>
      <c r="D658" s="5" t="n"/>
      <c r="E658" s="4">
        <f>IF(C658="","",COUNTIF($C$7:C658,C658))</f>
        <v/>
      </c>
      <c r="F658" s="4">
        <f>IF(E658="","",IF(E658&lt;=3,6,IF(E658&lt;=6,5,IF(E658&lt;=9,4,IF(E658&lt;=12,3,IF(E658&lt;=15,2,0))))))</f>
        <v/>
      </c>
      <c r="G658" s="5" t="n"/>
      <c r="H658" s="4">
        <f>IF(OR(F658="",G658=""),"",F658*G658+IF(J658="",0,J658))</f>
        <v/>
      </c>
      <c r="I658" s="5" t="n"/>
      <c r="J658" s="5" t="n"/>
    </row>
    <row r="659">
      <c r="A659" s="5" t="n"/>
      <c r="B659" s="5" t="n"/>
      <c r="C659" s="5" t="n"/>
      <c r="D659" s="5" t="n"/>
      <c r="E659" s="4">
        <f>IF(C659="","",COUNTIF($C$7:C659,C659))</f>
        <v/>
      </c>
      <c r="F659" s="4">
        <f>IF(E659="","",IF(E659&lt;=3,6,IF(E659&lt;=6,5,IF(E659&lt;=9,4,IF(E659&lt;=12,3,IF(E659&lt;=15,2,0))))))</f>
        <v/>
      </c>
      <c r="G659" s="5" t="n"/>
      <c r="H659" s="4">
        <f>IF(OR(F659="",G659=""),"",F659*G659+IF(J659="",0,J659))</f>
        <v/>
      </c>
      <c r="I659" s="5" t="n"/>
      <c r="J659" s="5" t="n"/>
    </row>
    <row r="660">
      <c r="A660" s="5" t="n"/>
      <c r="B660" s="5" t="n"/>
      <c r="C660" s="5" t="n"/>
      <c r="D660" s="5" t="n"/>
      <c r="E660" s="4">
        <f>IF(C660="","",COUNTIF($C$7:C660,C660))</f>
        <v/>
      </c>
      <c r="F660" s="4">
        <f>IF(E660="","",IF(E660&lt;=3,6,IF(E660&lt;=6,5,IF(E660&lt;=9,4,IF(E660&lt;=12,3,IF(E660&lt;=15,2,0))))))</f>
        <v/>
      </c>
      <c r="G660" s="5" t="n"/>
      <c r="H660" s="4">
        <f>IF(OR(F660="",G660=""),"",F660*G660+IF(J660="",0,J660))</f>
        <v/>
      </c>
      <c r="I660" s="5" t="n"/>
      <c r="J660" s="5" t="n"/>
    </row>
    <row r="661">
      <c r="A661" s="5" t="n"/>
      <c r="B661" s="5" t="n"/>
      <c r="C661" s="5" t="n"/>
      <c r="D661" s="5" t="n"/>
      <c r="E661" s="4">
        <f>IF(C661="","",COUNTIF($C$7:C661,C661))</f>
        <v/>
      </c>
      <c r="F661" s="4">
        <f>IF(E661="","",IF(E661&lt;=3,6,IF(E661&lt;=6,5,IF(E661&lt;=9,4,IF(E661&lt;=12,3,IF(E661&lt;=15,2,0))))))</f>
        <v/>
      </c>
      <c r="G661" s="5" t="n"/>
      <c r="H661" s="4">
        <f>IF(OR(F661="",G661=""),"",F661*G661+IF(J661="",0,J661))</f>
        <v/>
      </c>
      <c r="I661" s="5" t="n"/>
      <c r="J661" s="5" t="n"/>
    </row>
    <row r="662">
      <c r="A662" s="5" t="n"/>
      <c r="B662" s="5" t="n"/>
      <c r="C662" s="5" t="n"/>
      <c r="D662" s="5" t="n"/>
      <c r="E662" s="4">
        <f>IF(C662="","",COUNTIF($C$7:C662,C662))</f>
        <v/>
      </c>
      <c r="F662" s="4">
        <f>IF(E662="","",IF(E662&lt;=3,6,IF(E662&lt;=6,5,IF(E662&lt;=9,4,IF(E662&lt;=12,3,IF(E662&lt;=15,2,0))))))</f>
        <v/>
      </c>
      <c r="G662" s="5" t="n"/>
      <c r="H662" s="4">
        <f>IF(OR(F662="",G662=""),"",F662*G662+IF(J662="",0,J662))</f>
        <v/>
      </c>
      <c r="I662" s="5" t="n"/>
      <c r="J662" s="5" t="n"/>
    </row>
    <row r="663">
      <c r="A663" s="5" t="n"/>
      <c r="B663" s="5" t="n"/>
      <c r="C663" s="5" t="n"/>
      <c r="D663" s="5" t="n"/>
      <c r="E663" s="4">
        <f>IF(C663="","",COUNTIF($C$7:C663,C663))</f>
        <v/>
      </c>
      <c r="F663" s="4">
        <f>IF(E663="","",IF(E663&lt;=3,6,IF(E663&lt;=6,5,IF(E663&lt;=9,4,IF(E663&lt;=12,3,IF(E663&lt;=15,2,0))))))</f>
        <v/>
      </c>
      <c r="G663" s="5" t="n"/>
      <c r="H663" s="4">
        <f>IF(OR(F663="",G663=""),"",F663*G663+IF(J663="",0,J663))</f>
        <v/>
      </c>
      <c r="I663" s="5" t="n"/>
      <c r="J663" s="5" t="n"/>
    </row>
    <row r="664">
      <c r="A664" s="5" t="n"/>
      <c r="B664" s="5" t="n"/>
      <c r="C664" s="5" t="n"/>
      <c r="D664" s="5" t="n"/>
      <c r="E664" s="4">
        <f>IF(C664="","",COUNTIF($C$7:C664,C664))</f>
        <v/>
      </c>
      <c r="F664" s="4">
        <f>IF(E664="","",IF(E664&lt;=3,6,IF(E664&lt;=6,5,IF(E664&lt;=9,4,IF(E664&lt;=12,3,IF(E664&lt;=15,2,0))))))</f>
        <v/>
      </c>
      <c r="G664" s="5" t="n"/>
      <c r="H664" s="4">
        <f>IF(OR(F664="",G664=""),"",F664*G664+IF(J664="",0,J664))</f>
        <v/>
      </c>
      <c r="I664" s="5" t="n"/>
      <c r="J664" s="5" t="n"/>
    </row>
    <row r="665">
      <c r="A665" s="5" t="n"/>
      <c r="B665" s="5" t="n"/>
      <c r="C665" s="5" t="n"/>
      <c r="D665" s="5" t="n"/>
      <c r="E665" s="4">
        <f>IF(C665="","",COUNTIF($C$7:C665,C665))</f>
        <v/>
      </c>
      <c r="F665" s="4">
        <f>IF(E665="","",IF(E665&lt;=3,6,IF(E665&lt;=6,5,IF(E665&lt;=9,4,IF(E665&lt;=12,3,IF(E665&lt;=15,2,0))))))</f>
        <v/>
      </c>
      <c r="G665" s="5" t="n"/>
      <c r="H665" s="4">
        <f>IF(OR(F665="",G665=""),"",F665*G665+IF(J665="",0,J665))</f>
        <v/>
      </c>
      <c r="I665" s="5" t="n"/>
      <c r="J665" s="5" t="n"/>
    </row>
    <row r="666">
      <c r="A666" s="5" t="n"/>
      <c r="B666" s="5" t="n"/>
      <c r="C666" s="5" t="n"/>
      <c r="D666" s="5" t="n"/>
      <c r="E666" s="4">
        <f>IF(C666="","",COUNTIF($C$7:C666,C666))</f>
        <v/>
      </c>
      <c r="F666" s="4">
        <f>IF(E666="","",IF(E666&lt;=3,6,IF(E666&lt;=6,5,IF(E666&lt;=9,4,IF(E666&lt;=12,3,IF(E666&lt;=15,2,0))))))</f>
        <v/>
      </c>
      <c r="G666" s="5" t="n"/>
      <c r="H666" s="4">
        <f>IF(OR(F666="",G666=""),"",F666*G666+IF(J666="",0,J666))</f>
        <v/>
      </c>
      <c r="I666" s="5" t="n"/>
      <c r="J666" s="5" t="n"/>
    </row>
    <row r="667">
      <c r="A667" s="5" t="n"/>
      <c r="B667" s="5" t="n"/>
      <c r="C667" s="5" t="n"/>
      <c r="D667" s="5" t="n"/>
      <c r="E667" s="4">
        <f>IF(C667="","",COUNTIF($C$7:C667,C667))</f>
        <v/>
      </c>
      <c r="F667" s="4">
        <f>IF(E667="","",IF(E667&lt;=3,6,IF(E667&lt;=6,5,IF(E667&lt;=9,4,IF(E667&lt;=12,3,IF(E667&lt;=15,2,0))))))</f>
        <v/>
      </c>
      <c r="G667" s="5" t="n"/>
      <c r="H667" s="4">
        <f>IF(OR(F667="",G667=""),"",F667*G667+IF(J667="",0,J667))</f>
        <v/>
      </c>
      <c r="I667" s="5" t="n"/>
      <c r="J667" s="5" t="n"/>
    </row>
    <row r="668">
      <c r="A668" s="5" t="n"/>
      <c r="B668" s="5" t="n"/>
      <c r="C668" s="5" t="n"/>
      <c r="D668" s="5" t="n"/>
      <c r="E668" s="4">
        <f>IF(C668="","",COUNTIF($C$7:C668,C668))</f>
        <v/>
      </c>
      <c r="F668" s="4">
        <f>IF(E668="","",IF(E668&lt;=3,6,IF(E668&lt;=6,5,IF(E668&lt;=9,4,IF(E668&lt;=12,3,IF(E668&lt;=15,2,0))))))</f>
        <v/>
      </c>
      <c r="G668" s="5" t="n"/>
      <c r="H668" s="4">
        <f>IF(OR(F668="",G668=""),"",F668*G668+IF(J668="",0,J668))</f>
        <v/>
      </c>
      <c r="I668" s="5" t="n"/>
      <c r="J668" s="5" t="n"/>
    </row>
    <row r="669">
      <c r="A669" s="5" t="n"/>
      <c r="B669" s="5" t="n"/>
      <c r="C669" s="5" t="n"/>
      <c r="D669" s="5" t="n"/>
      <c r="E669" s="4">
        <f>IF(C669="","",COUNTIF($C$7:C669,C669))</f>
        <v/>
      </c>
      <c r="F669" s="4">
        <f>IF(E669="","",IF(E669&lt;=3,6,IF(E669&lt;=6,5,IF(E669&lt;=9,4,IF(E669&lt;=12,3,IF(E669&lt;=15,2,0))))))</f>
        <v/>
      </c>
      <c r="G669" s="5" t="n"/>
      <c r="H669" s="4">
        <f>IF(OR(F669="",G669=""),"",F669*G669+IF(J669="",0,J669))</f>
        <v/>
      </c>
      <c r="I669" s="5" t="n"/>
      <c r="J669" s="5" t="n"/>
    </row>
    <row r="670">
      <c r="A670" s="5" t="n"/>
      <c r="B670" s="5" t="n"/>
      <c r="C670" s="5" t="n"/>
      <c r="D670" s="5" t="n"/>
      <c r="E670" s="4">
        <f>IF(C670="","",COUNTIF($C$7:C670,C670))</f>
        <v/>
      </c>
      <c r="F670" s="4">
        <f>IF(E670="","",IF(E670&lt;=3,6,IF(E670&lt;=6,5,IF(E670&lt;=9,4,IF(E670&lt;=12,3,IF(E670&lt;=15,2,0))))))</f>
        <v/>
      </c>
      <c r="G670" s="5" t="n"/>
      <c r="H670" s="4">
        <f>IF(OR(F670="",G670=""),"",F670*G670+IF(J670="",0,J670))</f>
        <v/>
      </c>
      <c r="I670" s="5" t="n"/>
      <c r="J670" s="5" t="n"/>
    </row>
    <row r="671">
      <c r="A671" s="5" t="n"/>
      <c r="B671" s="5" t="n"/>
      <c r="C671" s="5" t="n"/>
      <c r="D671" s="5" t="n"/>
      <c r="E671" s="4">
        <f>IF(C671="","",COUNTIF($C$7:C671,C671))</f>
        <v/>
      </c>
      <c r="F671" s="4">
        <f>IF(E671="","",IF(E671&lt;=3,6,IF(E671&lt;=6,5,IF(E671&lt;=9,4,IF(E671&lt;=12,3,IF(E671&lt;=15,2,0))))))</f>
        <v/>
      </c>
      <c r="G671" s="5" t="n"/>
      <c r="H671" s="4">
        <f>IF(OR(F671="",G671=""),"",F671*G671+IF(J671="",0,J671))</f>
        <v/>
      </c>
      <c r="I671" s="5" t="n"/>
      <c r="J671" s="5" t="n"/>
    </row>
    <row r="672">
      <c r="A672" s="5" t="n"/>
      <c r="B672" s="5" t="n"/>
      <c r="C672" s="5" t="n"/>
      <c r="D672" s="5" t="n"/>
      <c r="E672" s="4">
        <f>IF(C672="","",COUNTIF($C$7:C672,C672))</f>
        <v/>
      </c>
      <c r="F672" s="4">
        <f>IF(E672="","",IF(E672&lt;=3,6,IF(E672&lt;=6,5,IF(E672&lt;=9,4,IF(E672&lt;=12,3,IF(E672&lt;=15,2,0))))))</f>
        <v/>
      </c>
      <c r="G672" s="5" t="n"/>
      <c r="H672" s="4">
        <f>IF(OR(F672="",G672=""),"",F672*G672+IF(J672="",0,J672))</f>
        <v/>
      </c>
      <c r="I672" s="5" t="n"/>
      <c r="J672" s="5" t="n"/>
    </row>
    <row r="673">
      <c r="A673" s="5" t="n"/>
      <c r="B673" s="5" t="n"/>
      <c r="C673" s="5" t="n"/>
      <c r="D673" s="5" t="n"/>
      <c r="E673" s="4">
        <f>IF(C673="","",COUNTIF($C$7:C673,C673))</f>
        <v/>
      </c>
      <c r="F673" s="4">
        <f>IF(E673="","",IF(E673&lt;=3,6,IF(E673&lt;=6,5,IF(E673&lt;=9,4,IF(E673&lt;=12,3,IF(E673&lt;=15,2,0))))))</f>
        <v/>
      </c>
      <c r="G673" s="5" t="n"/>
      <c r="H673" s="4">
        <f>IF(OR(F673="",G673=""),"",F673*G673+IF(J673="",0,J673))</f>
        <v/>
      </c>
      <c r="I673" s="5" t="n"/>
      <c r="J673" s="5" t="n"/>
    </row>
    <row r="674">
      <c r="A674" s="5" t="n"/>
      <c r="B674" s="5" t="n"/>
      <c r="C674" s="5" t="n"/>
      <c r="D674" s="5" t="n"/>
      <c r="E674" s="4">
        <f>IF(C674="","",COUNTIF($C$7:C674,C674))</f>
        <v/>
      </c>
      <c r="F674" s="4">
        <f>IF(E674="","",IF(E674&lt;=3,6,IF(E674&lt;=6,5,IF(E674&lt;=9,4,IF(E674&lt;=12,3,IF(E674&lt;=15,2,0))))))</f>
        <v/>
      </c>
      <c r="G674" s="5" t="n"/>
      <c r="H674" s="4">
        <f>IF(OR(F674="",G674=""),"",F674*G674+IF(J674="",0,J674))</f>
        <v/>
      </c>
      <c r="I674" s="5" t="n"/>
      <c r="J674" s="5" t="n"/>
    </row>
    <row r="675">
      <c r="A675" s="5" t="n"/>
      <c r="B675" s="5" t="n"/>
      <c r="C675" s="5" t="n"/>
      <c r="D675" s="5" t="n"/>
      <c r="E675" s="4">
        <f>IF(C675="","",COUNTIF($C$7:C675,C675))</f>
        <v/>
      </c>
      <c r="F675" s="4">
        <f>IF(E675="","",IF(E675&lt;=3,6,IF(E675&lt;=6,5,IF(E675&lt;=9,4,IF(E675&lt;=12,3,IF(E675&lt;=15,2,0))))))</f>
        <v/>
      </c>
      <c r="G675" s="5" t="n"/>
      <c r="H675" s="4">
        <f>IF(OR(F675="",G675=""),"",F675*G675+IF(J675="",0,J675))</f>
        <v/>
      </c>
      <c r="I675" s="5" t="n"/>
      <c r="J675" s="5" t="n"/>
    </row>
    <row r="676">
      <c r="A676" s="5" t="n"/>
      <c r="B676" s="5" t="n"/>
      <c r="C676" s="5" t="n"/>
      <c r="D676" s="5" t="n"/>
      <c r="E676" s="4">
        <f>IF(C676="","",COUNTIF($C$7:C676,C676))</f>
        <v/>
      </c>
      <c r="F676" s="4">
        <f>IF(E676="","",IF(E676&lt;=3,6,IF(E676&lt;=6,5,IF(E676&lt;=9,4,IF(E676&lt;=12,3,IF(E676&lt;=15,2,0))))))</f>
        <v/>
      </c>
      <c r="G676" s="5" t="n"/>
      <c r="H676" s="4">
        <f>IF(OR(F676="",G676=""),"",F676*G676+IF(J676="",0,J676))</f>
        <v/>
      </c>
      <c r="I676" s="5" t="n"/>
      <c r="J676" s="5" t="n"/>
    </row>
    <row r="677">
      <c r="A677" s="5" t="n"/>
      <c r="B677" s="5" t="n"/>
      <c r="C677" s="5" t="n"/>
      <c r="D677" s="5" t="n"/>
      <c r="E677" s="4">
        <f>IF(C677="","",COUNTIF($C$7:C677,C677))</f>
        <v/>
      </c>
      <c r="F677" s="4">
        <f>IF(E677="","",IF(E677&lt;=3,6,IF(E677&lt;=6,5,IF(E677&lt;=9,4,IF(E677&lt;=12,3,IF(E677&lt;=15,2,0))))))</f>
        <v/>
      </c>
      <c r="G677" s="5" t="n"/>
      <c r="H677" s="4">
        <f>IF(OR(F677="",G677=""),"",F677*G677+IF(J677="",0,J677))</f>
        <v/>
      </c>
      <c r="I677" s="5" t="n"/>
      <c r="J677" s="5" t="n"/>
    </row>
    <row r="678">
      <c r="A678" s="5" t="n"/>
      <c r="B678" s="5" t="n"/>
      <c r="C678" s="5" t="n"/>
      <c r="D678" s="5" t="n"/>
      <c r="E678" s="4">
        <f>IF(C678="","",COUNTIF($C$7:C678,C678))</f>
        <v/>
      </c>
      <c r="F678" s="4">
        <f>IF(E678="","",IF(E678&lt;=3,6,IF(E678&lt;=6,5,IF(E678&lt;=9,4,IF(E678&lt;=12,3,IF(E678&lt;=15,2,0))))))</f>
        <v/>
      </c>
      <c r="G678" s="5" t="n"/>
      <c r="H678" s="4">
        <f>IF(OR(F678="",G678=""),"",F678*G678+IF(J678="",0,J678))</f>
        <v/>
      </c>
      <c r="I678" s="5" t="n"/>
      <c r="J678" s="5" t="n"/>
    </row>
    <row r="679">
      <c r="A679" s="5" t="n"/>
      <c r="B679" s="5" t="n"/>
      <c r="C679" s="5" t="n"/>
      <c r="D679" s="5" t="n"/>
      <c r="E679" s="4">
        <f>IF(C679="","",COUNTIF($C$7:C679,C679))</f>
        <v/>
      </c>
      <c r="F679" s="4">
        <f>IF(E679="","",IF(E679&lt;=3,6,IF(E679&lt;=6,5,IF(E679&lt;=9,4,IF(E679&lt;=12,3,IF(E679&lt;=15,2,0))))))</f>
        <v/>
      </c>
      <c r="G679" s="5" t="n"/>
      <c r="H679" s="4">
        <f>IF(OR(F679="",G679=""),"",F679*G679+IF(J679="",0,J679))</f>
        <v/>
      </c>
      <c r="I679" s="5" t="n"/>
      <c r="J679" s="5" t="n"/>
    </row>
    <row r="680">
      <c r="A680" s="5" t="n"/>
      <c r="B680" s="5" t="n"/>
      <c r="C680" s="5" t="n"/>
      <c r="D680" s="5" t="n"/>
      <c r="E680" s="4">
        <f>IF(C680="","",COUNTIF($C$7:C680,C680))</f>
        <v/>
      </c>
      <c r="F680" s="4">
        <f>IF(E680="","",IF(E680&lt;=3,6,IF(E680&lt;=6,5,IF(E680&lt;=9,4,IF(E680&lt;=12,3,IF(E680&lt;=15,2,0))))))</f>
        <v/>
      </c>
      <c r="G680" s="5" t="n"/>
      <c r="H680" s="4">
        <f>IF(OR(F680="",G680=""),"",F680*G680+IF(J680="",0,J680))</f>
        <v/>
      </c>
      <c r="I680" s="5" t="n"/>
      <c r="J680" s="5" t="n"/>
    </row>
    <row r="681">
      <c r="A681" s="5" t="n"/>
      <c r="B681" s="5" t="n"/>
      <c r="C681" s="5" t="n"/>
      <c r="D681" s="5" t="n"/>
      <c r="E681" s="4">
        <f>IF(C681="","",COUNTIF($C$7:C681,C681))</f>
        <v/>
      </c>
      <c r="F681" s="4">
        <f>IF(E681="","",IF(E681&lt;=3,6,IF(E681&lt;=6,5,IF(E681&lt;=9,4,IF(E681&lt;=12,3,IF(E681&lt;=15,2,0))))))</f>
        <v/>
      </c>
      <c r="G681" s="5" t="n"/>
      <c r="H681" s="4">
        <f>IF(OR(F681="",G681=""),"",F681*G681+IF(J681="",0,J681))</f>
        <v/>
      </c>
      <c r="I681" s="5" t="n"/>
      <c r="J681" s="5" t="n"/>
    </row>
    <row r="682">
      <c r="A682" s="5" t="n"/>
      <c r="B682" s="5" t="n"/>
      <c r="C682" s="5" t="n"/>
      <c r="D682" s="5" t="n"/>
      <c r="E682" s="4">
        <f>IF(C682="","",COUNTIF($C$7:C682,C682))</f>
        <v/>
      </c>
      <c r="F682" s="4">
        <f>IF(E682="","",IF(E682&lt;=3,6,IF(E682&lt;=6,5,IF(E682&lt;=9,4,IF(E682&lt;=12,3,IF(E682&lt;=15,2,0))))))</f>
        <v/>
      </c>
      <c r="G682" s="5" t="n"/>
      <c r="H682" s="4">
        <f>IF(OR(F682="",G682=""),"",F682*G682+IF(J682="",0,J682))</f>
        <v/>
      </c>
      <c r="I682" s="5" t="n"/>
      <c r="J682" s="5" t="n"/>
    </row>
    <row r="683">
      <c r="A683" s="5" t="n"/>
      <c r="B683" s="5" t="n"/>
      <c r="C683" s="5" t="n"/>
      <c r="D683" s="5" t="n"/>
      <c r="E683" s="4">
        <f>IF(C683="","",COUNTIF($C$7:C683,C683))</f>
        <v/>
      </c>
      <c r="F683" s="4">
        <f>IF(E683="","",IF(E683&lt;=3,6,IF(E683&lt;=6,5,IF(E683&lt;=9,4,IF(E683&lt;=12,3,IF(E683&lt;=15,2,0))))))</f>
        <v/>
      </c>
      <c r="G683" s="5" t="n"/>
      <c r="H683" s="4">
        <f>IF(OR(F683="",G683=""),"",F683*G683+IF(J683="",0,J683))</f>
        <v/>
      </c>
      <c r="I683" s="5" t="n"/>
      <c r="J683" s="5" t="n"/>
    </row>
    <row r="684">
      <c r="A684" s="5" t="n"/>
      <c r="B684" s="5" t="n"/>
      <c r="C684" s="5" t="n"/>
      <c r="D684" s="5" t="n"/>
      <c r="E684" s="4">
        <f>IF(C684="","",COUNTIF($C$7:C684,C684))</f>
        <v/>
      </c>
      <c r="F684" s="4">
        <f>IF(E684="","",IF(E684&lt;=3,6,IF(E684&lt;=6,5,IF(E684&lt;=9,4,IF(E684&lt;=12,3,IF(E684&lt;=15,2,0))))))</f>
        <v/>
      </c>
      <c r="G684" s="5" t="n"/>
      <c r="H684" s="4">
        <f>IF(OR(F684="",G684=""),"",F684*G684+IF(J684="",0,J684))</f>
        <v/>
      </c>
      <c r="I684" s="5" t="n"/>
      <c r="J684" s="5" t="n"/>
    </row>
    <row r="685">
      <c r="A685" s="5" t="n"/>
      <c r="B685" s="5" t="n"/>
      <c r="C685" s="5" t="n"/>
      <c r="D685" s="5" t="n"/>
      <c r="E685" s="4">
        <f>IF(C685="","",COUNTIF($C$7:C685,C685))</f>
        <v/>
      </c>
      <c r="F685" s="4">
        <f>IF(E685="","",IF(E685&lt;=3,6,IF(E685&lt;=6,5,IF(E685&lt;=9,4,IF(E685&lt;=12,3,IF(E685&lt;=15,2,0))))))</f>
        <v/>
      </c>
      <c r="G685" s="5" t="n"/>
      <c r="H685" s="4">
        <f>IF(OR(F685="",G685=""),"",F685*G685+IF(J685="",0,J685))</f>
        <v/>
      </c>
      <c r="I685" s="5" t="n"/>
      <c r="J685" s="5" t="n"/>
    </row>
    <row r="686">
      <c r="A686" s="5" t="n"/>
      <c r="B686" s="5" t="n"/>
      <c r="C686" s="5" t="n"/>
      <c r="D686" s="5" t="n"/>
      <c r="E686" s="4">
        <f>IF(C686="","",COUNTIF($C$7:C686,C686))</f>
        <v/>
      </c>
      <c r="F686" s="4">
        <f>IF(E686="","",IF(E686&lt;=3,6,IF(E686&lt;=6,5,IF(E686&lt;=9,4,IF(E686&lt;=12,3,IF(E686&lt;=15,2,0))))))</f>
        <v/>
      </c>
      <c r="G686" s="5" t="n"/>
      <c r="H686" s="4">
        <f>IF(OR(F686="",G686=""),"",F686*G686+IF(J686="",0,J686))</f>
        <v/>
      </c>
      <c r="I686" s="5" t="n"/>
      <c r="J686" s="5" t="n"/>
    </row>
    <row r="687">
      <c r="A687" s="5" t="n"/>
      <c r="B687" s="5" t="n"/>
      <c r="C687" s="5" t="n"/>
      <c r="D687" s="5" t="n"/>
      <c r="E687" s="4">
        <f>IF(C687="","",COUNTIF($C$7:C687,C687))</f>
        <v/>
      </c>
      <c r="F687" s="4">
        <f>IF(E687="","",IF(E687&lt;=3,6,IF(E687&lt;=6,5,IF(E687&lt;=9,4,IF(E687&lt;=12,3,IF(E687&lt;=15,2,0))))))</f>
        <v/>
      </c>
      <c r="G687" s="5" t="n"/>
      <c r="H687" s="4">
        <f>IF(OR(F687="",G687=""),"",F687*G687+IF(J687="",0,J687))</f>
        <v/>
      </c>
      <c r="I687" s="5" t="n"/>
      <c r="J687" s="5" t="n"/>
    </row>
    <row r="688">
      <c r="A688" s="5" t="n"/>
      <c r="B688" s="5" t="n"/>
      <c r="C688" s="5" t="n"/>
      <c r="D688" s="5" t="n"/>
      <c r="E688" s="4">
        <f>IF(C688="","",COUNTIF($C$7:C688,C688))</f>
        <v/>
      </c>
      <c r="F688" s="4">
        <f>IF(E688="","",IF(E688&lt;=3,6,IF(E688&lt;=6,5,IF(E688&lt;=9,4,IF(E688&lt;=12,3,IF(E688&lt;=15,2,0))))))</f>
        <v/>
      </c>
      <c r="G688" s="5" t="n"/>
      <c r="H688" s="4">
        <f>IF(OR(F688="",G688=""),"",F688*G688+IF(J688="",0,J688))</f>
        <v/>
      </c>
      <c r="I688" s="5" t="n"/>
      <c r="J688" s="5" t="n"/>
    </row>
    <row r="689">
      <c r="A689" s="5" t="n"/>
      <c r="B689" s="5" t="n"/>
      <c r="C689" s="5" t="n"/>
      <c r="D689" s="5" t="n"/>
      <c r="E689" s="4">
        <f>IF(C689="","",COUNTIF($C$7:C689,C689))</f>
        <v/>
      </c>
      <c r="F689" s="4">
        <f>IF(E689="","",IF(E689&lt;=3,6,IF(E689&lt;=6,5,IF(E689&lt;=9,4,IF(E689&lt;=12,3,IF(E689&lt;=15,2,0))))))</f>
        <v/>
      </c>
      <c r="G689" s="5" t="n"/>
      <c r="H689" s="4">
        <f>IF(OR(F689="",G689=""),"",F689*G689+IF(J689="",0,J689))</f>
        <v/>
      </c>
      <c r="I689" s="5" t="n"/>
      <c r="J689" s="5" t="n"/>
    </row>
    <row r="690">
      <c r="A690" s="5" t="n"/>
      <c r="B690" s="5" t="n"/>
      <c r="C690" s="5" t="n"/>
      <c r="D690" s="5" t="n"/>
      <c r="E690" s="4">
        <f>IF(C690="","",COUNTIF($C$7:C690,C690))</f>
        <v/>
      </c>
      <c r="F690" s="4">
        <f>IF(E690="","",IF(E690&lt;=3,6,IF(E690&lt;=6,5,IF(E690&lt;=9,4,IF(E690&lt;=12,3,IF(E690&lt;=15,2,0))))))</f>
        <v/>
      </c>
      <c r="G690" s="5" t="n"/>
      <c r="H690" s="4">
        <f>IF(OR(F690="",G690=""),"",F690*G690+IF(J690="",0,J690))</f>
        <v/>
      </c>
      <c r="I690" s="5" t="n"/>
      <c r="J690" s="5" t="n"/>
    </row>
    <row r="691">
      <c r="A691" s="5" t="n"/>
      <c r="B691" s="5" t="n"/>
      <c r="C691" s="5" t="n"/>
      <c r="D691" s="5" t="n"/>
      <c r="E691" s="4">
        <f>IF(C691="","",COUNTIF($C$7:C691,C691))</f>
        <v/>
      </c>
      <c r="F691" s="4">
        <f>IF(E691="","",IF(E691&lt;=3,6,IF(E691&lt;=6,5,IF(E691&lt;=9,4,IF(E691&lt;=12,3,IF(E691&lt;=15,2,0))))))</f>
        <v/>
      </c>
      <c r="G691" s="5" t="n"/>
      <c r="H691" s="4">
        <f>IF(OR(F691="",G691=""),"",F691*G691+IF(J691="",0,J691))</f>
        <v/>
      </c>
      <c r="I691" s="5" t="n"/>
      <c r="J691" s="5" t="n"/>
    </row>
    <row r="692">
      <c r="A692" s="5" t="n"/>
      <c r="B692" s="5" t="n"/>
      <c r="C692" s="5" t="n"/>
      <c r="D692" s="5" t="n"/>
      <c r="E692" s="4">
        <f>IF(C692="","",COUNTIF($C$7:C692,C692))</f>
        <v/>
      </c>
      <c r="F692" s="4">
        <f>IF(E692="","",IF(E692&lt;=3,6,IF(E692&lt;=6,5,IF(E692&lt;=9,4,IF(E692&lt;=12,3,IF(E692&lt;=15,2,0))))))</f>
        <v/>
      </c>
      <c r="G692" s="5" t="n"/>
      <c r="H692" s="4">
        <f>IF(OR(F692="",G692=""),"",F692*G692+IF(J692="",0,J692))</f>
        <v/>
      </c>
      <c r="I692" s="5" t="n"/>
      <c r="J692" s="5" t="n"/>
    </row>
    <row r="693">
      <c r="A693" s="5" t="n"/>
      <c r="B693" s="5" t="n"/>
      <c r="C693" s="5" t="n"/>
      <c r="D693" s="5" t="n"/>
      <c r="E693" s="4">
        <f>IF(C693="","",COUNTIF($C$7:C693,C693))</f>
        <v/>
      </c>
      <c r="F693" s="4">
        <f>IF(E693="","",IF(E693&lt;=3,6,IF(E693&lt;=6,5,IF(E693&lt;=9,4,IF(E693&lt;=12,3,IF(E693&lt;=15,2,0))))))</f>
        <v/>
      </c>
      <c r="G693" s="5" t="n"/>
      <c r="H693" s="4">
        <f>IF(OR(F693="",G693=""),"",F693*G693+IF(J693="",0,J693))</f>
        <v/>
      </c>
      <c r="I693" s="5" t="n"/>
      <c r="J693" s="5" t="n"/>
    </row>
    <row r="694">
      <c r="A694" s="5" t="n"/>
      <c r="B694" s="5" t="n"/>
      <c r="C694" s="5" t="n"/>
      <c r="D694" s="5" t="n"/>
      <c r="E694" s="4">
        <f>IF(C694="","",COUNTIF($C$7:C694,C694))</f>
        <v/>
      </c>
      <c r="F694" s="4">
        <f>IF(E694="","",IF(E694&lt;=3,6,IF(E694&lt;=6,5,IF(E694&lt;=9,4,IF(E694&lt;=12,3,IF(E694&lt;=15,2,0))))))</f>
        <v/>
      </c>
      <c r="G694" s="5" t="n"/>
      <c r="H694" s="4">
        <f>IF(OR(F694="",G694=""),"",F694*G694+IF(J694="",0,J694))</f>
        <v/>
      </c>
      <c r="I694" s="5" t="n"/>
      <c r="J694" s="5" t="n"/>
    </row>
    <row r="695">
      <c r="A695" s="5" t="n"/>
      <c r="B695" s="5" t="n"/>
      <c r="C695" s="5" t="n"/>
      <c r="D695" s="5" t="n"/>
      <c r="E695" s="4">
        <f>IF(C695="","",COUNTIF($C$7:C695,C695))</f>
        <v/>
      </c>
      <c r="F695" s="4">
        <f>IF(E695="","",IF(E695&lt;=3,6,IF(E695&lt;=6,5,IF(E695&lt;=9,4,IF(E695&lt;=12,3,IF(E695&lt;=15,2,0))))))</f>
        <v/>
      </c>
      <c r="G695" s="5" t="n"/>
      <c r="H695" s="4">
        <f>IF(OR(F695="",G695=""),"",F695*G695+IF(J695="",0,J695))</f>
        <v/>
      </c>
      <c r="I695" s="5" t="n"/>
      <c r="J695" s="5" t="n"/>
    </row>
    <row r="696">
      <c r="A696" s="5" t="n"/>
      <c r="B696" s="5" t="n"/>
      <c r="C696" s="5" t="n"/>
      <c r="D696" s="5" t="n"/>
      <c r="E696" s="4">
        <f>IF(C696="","",COUNTIF($C$7:C696,C696))</f>
        <v/>
      </c>
      <c r="F696" s="4">
        <f>IF(E696="","",IF(E696&lt;=3,6,IF(E696&lt;=6,5,IF(E696&lt;=9,4,IF(E696&lt;=12,3,IF(E696&lt;=15,2,0))))))</f>
        <v/>
      </c>
      <c r="G696" s="5" t="n"/>
      <c r="H696" s="4">
        <f>IF(OR(F696="",G696=""),"",F696*G696+IF(J696="",0,J696))</f>
        <v/>
      </c>
      <c r="I696" s="5" t="n"/>
      <c r="J696" s="5" t="n"/>
    </row>
    <row r="697">
      <c r="A697" s="5" t="n"/>
      <c r="B697" s="5" t="n"/>
      <c r="C697" s="5" t="n"/>
      <c r="D697" s="5" t="n"/>
      <c r="E697" s="4">
        <f>IF(C697="","",COUNTIF($C$7:C697,C697))</f>
        <v/>
      </c>
      <c r="F697" s="4">
        <f>IF(E697="","",IF(E697&lt;=3,6,IF(E697&lt;=6,5,IF(E697&lt;=9,4,IF(E697&lt;=12,3,IF(E697&lt;=15,2,0))))))</f>
        <v/>
      </c>
      <c r="G697" s="5" t="n"/>
      <c r="H697" s="4">
        <f>IF(OR(F697="",G697=""),"",F697*G697+IF(J697="",0,J697))</f>
        <v/>
      </c>
      <c r="I697" s="5" t="n"/>
      <c r="J697" s="5" t="n"/>
    </row>
    <row r="698">
      <c r="A698" s="5" t="n"/>
      <c r="B698" s="5" t="n"/>
      <c r="C698" s="5" t="n"/>
      <c r="D698" s="5" t="n"/>
      <c r="E698" s="4">
        <f>IF(C698="","",COUNTIF($C$7:C698,C698))</f>
        <v/>
      </c>
      <c r="F698" s="4">
        <f>IF(E698="","",IF(E698&lt;=3,6,IF(E698&lt;=6,5,IF(E698&lt;=9,4,IF(E698&lt;=12,3,IF(E698&lt;=15,2,0))))))</f>
        <v/>
      </c>
      <c r="G698" s="5" t="n"/>
      <c r="H698" s="4">
        <f>IF(OR(F698="",G698=""),"",F698*G698+IF(J698="",0,J698))</f>
        <v/>
      </c>
      <c r="I698" s="5" t="n"/>
      <c r="J698" s="5" t="n"/>
    </row>
    <row r="699">
      <c r="A699" s="5" t="n"/>
      <c r="B699" s="5" t="n"/>
      <c r="C699" s="5" t="n"/>
      <c r="D699" s="5" t="n"/>
      <c r="E699" s="4">
        <f>IF(C699="","",COUNTIF($C$7:C699,C699))</f>
        <v/>
      </c>
      <c r="F699" s="4">
        <f>IF(E699="","",IF(E699&lt;=3,6,IF(E699&lt;=6,5,IF(E699&lt;=9,4,IF(E699&lt;=12,3,IF(E699&lt;=15,2,0))))))</f>
        <v/>
      </c>
      <c r="G699" s="5" t="n"/>
      <c r="H699" s="4">
        <f>IF(OR(F699="",G699=""),"",F699*G699+IF(J699="",0,J699))</f>
        <v/>
      </c>
      <c r="I699" s="5" t="n"/>
      <c r="J699" s="5" t="n"/>
    </row>
    <row r="700">
      <c r="A700" s="5" t="n"/>
      <c r="B700" s="5" t="n"/>
      <c r="C700" s="5" t="n"/>
      <c r="D700" s="5" t="n"/>
      <c r="E700" s="4">
        <f>IF(C700="","",COUNTIF($C$7:C700,C700))</f>
        <v/>
      </c>
      <c r="F700" s="4">
        <f>IF(E700="","",IF(E700&lt;=3,6,IF(E700&lt;=6,5,IF(E700&lt;=9,4,IF(E700&lt;=12,3,IF(E700&lt;=15,2,0))))))</f>
        <v/>
      </c>
      <c r="G700" s="5" t="n"/>
      <c r="H700" s="4">
        <f>IF(OR(F700="",G700=""),"",F700*G700+IF(J700="",0,J700))</f>
        <v/>
      </c>
      <c r="I700" s="5" t="n"/>
      <c r="J700" s="5" t="n"/>
    </row>
    <row r="701">
      <c r="A701" s="5" t="n"/>
      <c r="B701" s="5" t="n"/>
      <c r="C701" s="5" t="n"/>
      <c r="D701" s="5" t="n"/>
      <c r="E701" s="4">
        <f>IF(C701="","",COUNTIF($C$7:C701,C701))</f>
        <v/>
      </c>
      <c r="F701" s="4">
        <f>IF(E701="","",IF(E701&lt;=3,6,IF(E701&lt;=6,5,IF(E701&lt;=9,4,IF(E701&lt;=12,3,IF(E701&lt;=15,2,0))))))</f>
        <v/>
      </c>
      <c r="G701" s="5" t="n"/>
      <c r="H701" s="4">
        <f>IF(OR(F701="",G701=""),"",F701*G701+IF(J701="",0,J701))</f>
        <v/>
      </c>
      <c r="I701" s="5" t="n"/>
      <c r="J701" s="5" t="n"/>
    </row>
    <row r="702">
      <c r="A702" s="5" t="n"/>
      <c r="B702" s="5" t="n"/>
      <c r="C702" s="5" t="n"/>
      <c r="D702" s="5" t="n"/>
      <c r="E702" s="4">
        <f>IF(C702="","",COUNTIF($C$7:C702,C702))</f>
        <v/>
      </c>
      <c r="F702" s="4">
        <f>IF(E702="","",IF(E702&lt;=3,6,IF(E702&lt;=6,5,IF(E702&lt;=9,4,IF(E702&lt;=12,3,IF(E702&lt;=15,2,0))))))</f>
        <v/>
      </c>
      <c r="G702" s="5" t="n"/>
      <c r="H702" s="4">
        <f>IF(OR(F702="",G702=""),"",F702*G702+IF(J702="",0,J702))</f>
        <v/>
      </c>
      <c r="I702" s="5" t="n"/>
      <c r="J702" s="5" t="n"/>
    </row>
    <row r="703">
      <c r="A703" s="5" t="n"/>
      <c r="B703" s="5" t="n"/>
      <c r="C703" s="5" t="n"/>
      <c r="D703" s="5" t="n"/>
      <c r="E703" s="4">
        <f>IF(C703="","",COUNTIF($C$7:C703,C703))</f>
        <v/>
      </c>
      <c r="F703" s="4">
        <f>IF(E703="","",IF(E703&lt;=3,6,IF(E703&lt;=6,5,IF(E703&lt;=9,4,IF(E703&lt;=12,3,IF(E703&lt;=15,2,0))))))</f>
        <v/>
      </c>
      <c r="G703" s="5" t="n"/>
      <c r="H703" s="4">
        <f>IF(OR(F703="",G703=""),"",F703*G703+IF(J703="",0,J703))</f>
        <v/>
      </c>
      <c r="I703" s="5" t="n"/>
      <c r="J703" s="5" t="n"/>
    </row>
    <row r="704">
      <c r="A704" s="5" t="n"/>
      <c r="B704" s="5" t="n"/>
      <c r="C704" s="5" t="n"/>
      <c r="D704" s="5" t="n"/>
      <c r="E704" s="4">
        <f>IF(C704="","",COUNTIF($C$7:C704,C704))</f>
        <v/>
      </c>
      <c r="F704" s="4">
        <f>IF(E704="","",IF(E704&lt;=3,6,IF(E704&lt;=6,5,IF(E704&lt;=9,4,IF(E704&lt;=12,3,IF(E704&lt;=15,2,0))))))</f>
        <v/>
      </c>
      <c r="G704" s="5" t="n"/>
      <c r="H704" s="4">
        <f>IF(OR(F704="",G704=""),"",F704*G704+IF(J704="",0,J704))</f>
        <v/>
      </c>
      <c r="I704" s="5" t="n"/>
      <c r="J704" s="5" t="n"/>
    </row>
    <row r="705">
      <c r="A705" s="5" t="n"/>
      <c r="B705" s="5" t="n"/>
      <c r="C705" s="5" t="n"/>
      <c r="D705" s="5" t="n"/>
      <c r="E705" s="4">
        <f>IF(C705="","",COUNTIF($C$7:C705,C705))</f>
        <v/>
      </c>
      <c r="F705" s="4">
        <f>IF(E705="","",IF(E705&lt;=3,6,IF(E705&lt;=6,5,IF(E705&lt;=9,4,IF(E705&lt;=12,3,IF(E705&lt;=15,2,0))))))</f>
        <v/>
      </c>
      <c r="G705" s="5" t="n"/>
      <c r="H705" s="4">
        <f>IF(OR(F705="",G705=""),"",F705*G705+IF(J705="",0,J705))</f>
        <v/>
      </c>
      <c r="I705" s="5" t="n"/>
      <c r="J705" s="5" t="n"/>
    </row>
    <row r="706">
      <c r="A706" s="5" t="n"/>
      <c r="B706" s="5" t="n"/>
      <c r="C706" s="5" t="n"/>
      <c r="D706" s="5" t="n"/>
      <c r="E706" s="4">
        <f>IF(C706="","",COUNTIF($C$7:C706,C706))</f>
        <v/>
      </c>
      <c r="F706" s="4">
        <f>IF(E706="","",IF(E706&lt;=3,6,IF(E706&lt;=6,5,IF(E706&lt;=9,4,IF(E706&lt;=12,3,IF(E706&lt;=15,2,0))))))</f>
        <v/>
      </c>
      <c r="G706" s="5" t="n"/>
      <c r="H706" s="4">
        <f>IF(OR(F706="",G706=""),"",F706*G706+IF(J706="",0,J706))</f>
        <v/>
      </c>
      <c r="I706" s="5" t="n"/>
      <c r="J706" s="5" t="n"/>
    </row>
    <row r="707">
      <c r="A707" s="5" t="n"/>
      <c r="B707" s="5" t="n"/>
      <c r="C707" s="5" t="n"/>
      <c r="D707" s="5" t="n"/>
      <c r="E707" s="4">
        <f>IF(C707="","",COUNTIF($C$7:C707,C707))</f>
        <v/>
      </c>
      <c r="F707" s="4">
        <f>IF(E707="","",IF(E707&lt;=3,6,IF(E707&lt;=6,5,IF(E707&lt;=9,4,IF(E707&lt;=12,3,IF(E707&lt;=15,2,0))))))</f>
        <v/>
      </c>
      <c r="G707" s="5" t="n"/>
      <c r="H707" s="4">
        <f>IF(OR(F707="",G707=""),"",F707*G707+IF(J707="",0,J707))</f>
        <v/>
      </c>
      <c r="I707" s="5" t="n"/>
      <c r="J707" s="5" t="n"/>
    </row>
    <row r="708">
      <c r="A708" s="5" t="n"/>
      <c r="B708" s="5" t="n"/>
      <c r="C708" s="5" t="n"/>
      <c r="D708" s="5" t="n"/>
      <c r="E708" s="4">
        <f>IF(C708="","",COUNTIF($C$7:C708,C708))</f>
        <v/>
      </c>
      <c r="F708" s="4">
        <f>IF(E708="","",IF(E708&lt;=3,6,IF(E708&lt;=6,5,IF(E708&lt;=9,4,IF(E708&lt;=12,3,IF(E708&lt;=15,2,0))))))</f>
        <v/>
      </c>
      <c r="G708" s="5" t="n"/>
      <c r="H708" s="4">
        <f>IF(OR(F708="",G708=""),"",F708*G708+IF(J708="",0,J708))</f>
        <v/>
      </c>
      <c r="I708" s="5" t="n"/>
      <c r="J708" s="5" t="n"/>
    </row>
    <row r="709">
      <c r="A709" s="5" t="n"/>
      <c r="B709" s="5" t="n"/>
      <c r="C709" s="5" t="n"/>
      <c r="D709" s="5" t="n"/>
      <c r="E709" s="4">
        <f>IF(C709="","",COUNTIF($C$7:C709,C709))</f>
        <v/>
      </c>
      <c r="F709" s="4">
        <f>IF(E709="","",IF(E709&lt;=3,6,IF(E709&lt;=6,5,IF(E709&lt;=9,4,IF(E709&lt;=12,3,IF(E709&lt;=15,2,0))))))</f>
        <v/>
      </c>
      <c r="G709" s="5" t="n"/>
      <c r="H709" s="4">
        <f>IF(OR(F709="",G709=""),"",F709*G709+IF(J709="",0,J709))</f>
        <v/>
      </c>
      <c r="I709" s="5" t="n"/>
      <c r="J709" s="5" t="n"/>
    </row>
    <row r="710">
      <c r="A710" s="5" t="n"/>
      <c r="B710" s="5" t="n"/>
      <c r="C710" s="5" t="n"/>
      <c r="D710" s="5" t="n"/>
      <c r="E710" s="4">
        <f>IF(C710="","",COUNTIF($C$7:C710,C710))</f>
        <v/>
      </c>
      <c r="F710" s="4">
        <f>IF(E710="","",IF(E710&lt;=3,6,IF(E710&lt;=6,5,IF(E710&lt;=9,4,IF(E710&lt;=12,3,IF(E710&lt;=15,2,0))))))</f>
        <v/>
      </c>
      <c r="G710" s="5" t="n"/>
      <c r="H710" s="4">
        <f>IF(OR(F710="",G710=""),"",F710*G710+IF(J710="",0,J710))</f>
        <v/>
      </c>
      <c r="I710" s="5" t="n"/>
      <c r="J710" s="5" t="n"/>
    </row>
    <row r="711">
      <c r="A711" s="5" t="n"/>
      <c r="B711" s="5" t="n"/>
      <c r="C711" s="5" t="n"/>
      <c r="D711" s="5" t="n"/>
      <c r="E711" s="4">
        <f>IF(C711="","",COUNTIF($C$7:C711,C711))</f>
        <v/>
      </c>
      <c r="F711" s="4">
        <f>IF(E711="","",IF(E711&lt;=3,6,IF(E711&lt;=6,5,IF(E711&lt;=9,4,IF(E711&lt;=12,3,IF(E711&lt;=15,2,0))))))</f>
        <v/>
      </c>
      <c r="G711" s="5" t="n"/>
      <c r="H711" s="4">
        <f>IF(OR(F711="",G711=""),"",F711*G711+IF(J711="",0,J711))</f>
        <v/>
      </c>
      <c r="I711" s="5" t="n"/>
      <c r="J711" s="5" t="n"/>
    </row>
    <row r="712">
      <c r="A712" s="5" t="n"/>
      <c r="B712" s="5" t="n"/>
      <c r="C712" s="5" t="n"/>
      <c r="D712" s="5" t="n"/>
      <c r="E712" s="4">
        <f>IF(C712="","",COUNTIF($C$7:C712,C712))</f>
        <v/>
      </c>
      <c r="F712" s="4">
        <f>IF(E712="","",IF(E712&lt;=3,6,IF(E712&lt;=6,5,IF(E712&lt;=9,4,IF(E712&lt;=12,3,IF(E712&lt;=15,2,0))))))</f>
        <v/>
      </c>
      <c r="G712" s="5" t="n"/>
      <c r="H712" s="4">
        <f>IF(OR(F712="",G712=""),"",F712*G712+IF(J712="",0,J712))</f>
        <v/>
      </c>
      <c r="I712" s="5" t="n"/>
      <c r="J712" s="5" t="n"/>
    </row>
    <row r="713">
      <c r="A713" s="5" t="n"/>
      <c r="B713" s="5" t="n"/>
      <c r="C713" s="5" t="n"/>
      <c r="D713" s="5" t="n"/>
      <c r="E713" s="4">
        <f>IF(C713="","",COUNTIF($C$7:C713,C713))</f>
        <v/>
      </c>
      <c r="F713" s="4">
        <f>IF(E713="","",IF(E713&lt;=3,6,IF(E713&lt;=6,5,IF(E713&lt;=9,4,IF(E713&lt;=12,3,IF(E713&lt;=15,2,0))))))</f>
        <v/>
      </c>
      <c r="G713" s="5" t="n"/>
      <c r="H713" s="4">
        <f>IF(OR(F713="",G713=""),"",F713*G713+IF(J713="",0,J713))</f>
        <v/>
      </c>
      <c r="I713" s="5" t="n"/>
      <c r="J713" s="5" t="n"/>
    </row>
    <row r="714">
      <c r="A714" s="5" t="n"/>
      <c r="B714" s="5" t="n"/>
      <c r="C714" s="5" t="n"/>
      <c r="D714" s="5" t="n"/>
      <c r="E714" s="4">
        <f>IF(C714="","",COUNTIF($C$7:C714,C714))</f>
        <v/>
      </c>
      <c r="F714" s="4">
        <f>IF(E714="","",IF(E714&lt;=3,6,IF(E714&lt;=6,5,IF(E714&lt;=9,4,IF(E714&lt;=12,3,IF(E714&lt;=15,2,0))))))</f>
        <v/>
      </c>
      <c r="G714" s="5" t="n"/>
      <c r="H714" s="4">
        <f>IF(OR(F714="",G714=""),"",F714*G714+IF(J714="",0,J714))</f>
        <v/>
      </c>
      <c r="I714" s="5" t="n"/>
      <c r="J714" s="5" t="n"/>
    </row>
    <row r="715">
      <c r="A715" s="5" t="n"/>
      <c r="B715" s="5" t="n"/>
      <c r="C715" s="5" t="n"/>
      <c r="D715" s="5" t="n"/>
      <c r="E715" s="4">
        <f>IF(C715="","",COUNTIF($C$7:C715,C715))</f>
        <v/>
      </c>
      <c r="F715" s="4">
        <f>IF(E715="","",IF(E715&lt;=3,6,IF(E715&lt;=6,5,IF(E715&lt;=9,4,IF(E715&lt;=12,3,IF(E715&lt;=15,2,0))))))</f>
        <v/>
      </c>
      <c r="G715" s="5" t="n"/>
      <c r="H715" s="4">
        <f>IF(OR(F715="",G715=""),"",F715*G715+IF(J715="",0,J715))</f>
        <v/>
      </c>
      <c r="I715" s="5" t="n"/>
      <c r="J715" s="5" t="n"/>
    </row>
    <row r="716">
      <c r="A716" s="5" t="n"/>
      <c r="B716" s="5" t="n"/>
      <c r="C716" s="5" t="n"/>
      <c r="D716" s="5" t="n"/>
      <c r="E716" s="4">
        <f>IF(C716="","",COUNTIF($C$7:C716,C716))</f>
        <v/>
      </c>
      <c r="F716" s="4">
        <f>IF(E716="","",IF(E716&lt;=3,6,IF(E716&lt;=6,5,IF(E716&lt;=9,4,IF(E716&lt;=12,3,IF(E716&lt;=15,2,0))))))</f>
        <v/>
      </c>
      <c r="G716" s="5" t="n"/>
      <c r="H716" s="4">
        <f>IF(OR(F716="",G716=""),"",F716*G716+IF(J716="",0,J716))</f>
        <v/>
      </c>
      <c r="I716" s="5" t="n"/>
      <c r="J716" s="5" t="n"/>
    </row>
    <row r="717">
      <c r="A717" s="5" t="n"/>
      <c r="B717" s="5" t="n"/>
      <c r="C717" s="5" t="n"/>
      <c r="D717" s="5" t="n"/>
      <c r="E717" s="4">
        <f>IF(C717="","",COUNTIF($C$7:C717,C717))</f>
        <v/>
      </c>
      <c r="F717" s="4">
        <f>IF(E717="","",IF(E717&lt;=3,6,IF(E717&lt;=6,5,IF(E717&lt;=9,4,IF(E717&lt;=12,3,IF(E717&lt;=15,2,0))))))</f>
        <v/>
      </c>
      <c r="G717" s="5" t="n"/>
      <c r="H717" s="4">
        <f>IF(OR(F717="",G717=""),"",F717*G717+IF(J717="",0,J717))</f>
        <v/>
      </c>
      <c r="I717" s="5" t="n"/>
      <c r="J717" s="5" t="n"/>
    </row>
    <row r="718">
      <c r="A718" s="5" t="n"/>
      <c r="B718" s="5" t="n"/>
      <c r="C718" s="5" t="n"/>
      <c r="D718" s="5" t="n"/>
      <c r="E718" s="4">
        <f>IF(C718="","",COUNTIF($C$7:C718,C718))</f>
        <v/>
      </c>
      <c r="F718" s="4">
        <f>IF(E718="","",IF(E718&lt;=3,6,IF(E718&lt;=6,5,IF(E718&lt;=9,4,IF(E718&lt;=12,3,IF(E718&lt;=15,2,0))))))</f>
        <v/>
      </c>
      <c r="G718" s="5" t="n"/>
      <c r="H718" s="4">
        <f>IF(OR(F718="",G718=""),"",F718*G718+IF(J718="",0,J718))</f>
        <v/>
      </c>
      <c r="I718" s="5" t="n"/>
      <c r="J718" s="5" t="n"/>
    </row>
    <row r="719">
      <c r="A719" s="5" t="n"/>
      <c r="B719" s="5" t="n"/>
      <c r="C719" s="5" t="n"/>
      <c r="D719" s="5" t="n"/>
      <c r="E719" s="4">
        <f>IF(C719="","",COUNTIF($C$7:C719,C719))</f>
        <v/>
      </c>
      <c r="F719" s="4">
        <f>IF(E719="","",IF(E719&lt;=3,6,IF(E719&lt;=6,5,IF(E719&lt;=9,4,IF(E719&lt;=12,3,IF(E719&lt;=15,2,0))))))</f>
        <v/>
      </c>
      <c r="G719" s="5" t="n"/>
      <c r="H719" s="4">
        <f>IF(OR(F719="",G719=""),"",F719*G719+IF(J719="",0,J719))</f>
        <v/>
      </c>
      <c r="I719" s="5" t="n"/>
      <c r="J719" s="5" t="n"/>
    </row>
    <row r="720">
      <c r="A720" s="5" t="n"/>
      <c r="B720" s="5" t="n"/>
      <c r="C720" s="5" t="n"/>
      <c r="D720" s="5" t="n"/>
      <c r="E720" s="4">
        <f>IF(C720="","",COUNTIF($C$7:C720,C720))</f>
        <v/>
      </c>
      <c r="F720" s="4">
        <f>IF(E720="","",IF(E720&lt;=3,6,IF(E720&lt;=6,5,IF(E720&lt;=9,4,IF(E720&lt;=12,3,IF(E720&lt;=15,2,0))))))</f>
        <v/>
      </c>
      <c r="G720" s="5" t="n"/>
      <c r="H720" s="4">
        <f>IF(OR(F720="",G720=""),"",F720*G720+IF(J720="",0,J720))</f>
        <v/>
      </c>
      <c r="I720" s="5" t="n"/>
      <c r="J720" s="5" t="n"/>
    </row>
    <row r="721">
      <c r="A721" s="5" t="n"/>
      <c r="B721" s="5" t="n"/>
      <c r="C721" s="5" t="n"/>
      <c r="D721" s="5" t="n"/>
      <c r="E721" s="4">
        <f>IF(C721="","",COUNTIF($C$7:C721,C721))</f>
        <v/>
      </c>
      <c r="F721" s="4">
        <f>IF(E721="","",IF(E721&lt;=3,6,IF(E721&lt;=6,5,IF(E721&lt;=9,4,IF(E721&lt;=12,3,IF(E721&lt;=15,2,0))))))</f>
        <v/>
      </c>
      <c r="G721" s="5" t="n"/>
      <c r="H721" s="4">
        <f>IF(OR(F721="",G721=""),"",F721*G721+IF(J721="",0,J721))</f>
        <v/>
      </c>
      <c r="I721" s="5" t="n"/>
      <c r="J721" s="5" t="n"/>
    </row>
    <row r="722">
      <c r="A722" s="5" t="n"/>
      <c r="B722" s="5" t="n"/>
      <c r="C722" s="5" t="n"/>
      <c r="D722" s="5" t="n"/>
      <c r="E722" s="4">
        <f>IF(C722="","",COUNTIF($C$7:C722,C722))</f>
        <v/>
      </c>
      <c r="F722" s="4">
        <f>IF(E722="","",IF(E722&lt;=3,6,IF(E722&lt;=6,5,IF(E722&lt;=9,4,IF(E722&lt;=12,3,IF(E722&lt;=15,2,0))))))</f>
        <v/>
      </c>
      <c r="G722" s="5" t="n"/>
      <c r="H722" s="4">
        <f>IF(OR(F722="",G722=""),"",F722*G722+IF(J722="",0,J722))</f>
        <v/>
      </c>
      <c r="I722" s="5" t="n"/>
      <c r="J722" s="5" t="n"/>
    </row>
    <row r="723">
      <c r="A723" s="5" t="n"/>
      <c r="B723" s="5" t="n"/>
      <c r="C723" s="5" t="n"/>
      <c r="D723" s="5" t="n"/>
      <c r="E723" s="4">
        <f>IF(C723="","",COUNTIF($C$7:C723,C723))</f>
        <v/>
      </c>
      <c r="F723" s="4">
        <f>IF(E723="","",IF(E723&lt;=3,6,IF(E723&lt;=6,5,IF(E723&lt;=9,4,IF(E723&lt;=12,3,IF(E723&lt;=15,2,0))))))</f>
        <v/>
      </c>
      <c r="G723" s="5" t="n"/>
      <c r="H723" s="4">
        <f>IF(OR(F723="",G723=""),"",F723*G723+IF(J723="",0,J723))</f>
        <v/>
      </c>
      <c r="I723" s="5" t="n"/>
      <c r="J723" s="5" t="n"/>
    </row>
    <row r="724">
      <c r="A724" s="5" t="n"/>
      <c r="B724" s="5" t="n"/>
      <c r="C724" s="5" t="n"/>
      <c r="D724" s="5" t="n"/>
      <c r="E724" s="4">
        <f>IF(C724="","",COUNTIF($C$7:C724,C724))</f>
        <v/>
      </c>
      <c r="F724" s="4">
        <f>IF(E724="","",IF(E724&lt;=3,6,IF(E724&lt;=6,5,IF(E724&lt;=9,4,IF(E724&lt;=12,3,IF(E724&lt;=15,2,0))))))</f>
        <v/>
      </c>
      <c r="G724" s="5" t="n"/>
      <c r="H724" s="4">
        <f>IF(OR(F724="",G724=""),"",F724*G724+IF(J724="",0,J724))</f>
        <v/>
      </c>
      <c r="I724" s="5" t="n"/>
      <c r="J724" s="5" t="n"/>
    </row>
    <row r="725">
      <c r="A725" s="5" t="n"/>
      <c r="B725" s="5" t="n"/>
      <c r="C725" s="5" t="n"/>
      <c r="D725" s="5" t="n"/>
      <c r="E725" s="4">
        <f>IF(C725="","",COUNTIF($C$7:C725,C725))</f>
        <v/>
      </c>
      <c r="F725" s="4">
        <f>IF(E725="","",IF(E725&lt;=3,6,IF(E725&lt;=6,5,IF(E725&lt;=9,4,IF(E725&lt;=12,3,IF(E725&lt;=15,2,0))))))</f>
        <v/>
      </c>
      <c r="G725" s="5" t="n"/>
      <c r="H725" s="4">
        <f>IF(OR(F725="",G725=""),"",F725*G725+IF(J725="",0,J725))</f>
        <v/>
      </c>
      <c r="I725" s="5" t="n"/>
      <c r="J725" s="5" t="n"/>
    </row>
    <row r="726">
      <c r="A726" s="5" t="n"/>
      <c r="B726" s="5" t="n"/>
      <c r="C726" s="5" t="n"/>
      <c r="D726" s="5" t="n"/>
      <c r="E726" s="4">
        <f>IF(C726="","",COUNTIF($C$7:C726,C726))</f>
        <v/>
      </c>
      <c r="F726" s="4">
        <f>IF(E726="","",IF(E726&lt;=3,6,IF(E726&lt;=6,5,IF(E726&lt;=9,4,IF(E726&lt;=12,3,IF(E726&lt;=15,2,0))))))</f>
        <v/>
      </c>
      <c r="G726" s="5" t="n"/>
      <c r="H726" s="4">
        <f>IF(OR(F726="",G726=""),"",F726*G726+IF(J726="",0,J726))</f>
        <v/>
      </c>
      <c r="I726" s="5" t="n"/>
      <c r="J726" s="5" t="n"/>
    </row>
    <row r="727">
      <c r="A727" s="5" t="n"/>
      <c r="B727" s="5" t="n"/>
      <c r="C727" s="5" t="n"/>
      <c r="D727" s="5" t="n"/>
      <c r="E727" s="4">
        <f>IF(C727="","",COUNTIF($C$7:C727,C727))</f>
        <v/>
      </c>
      <c r="F727" s="4">
        <f>IF(E727="","",IF(E727&lt;=3,6,IF(E727&lt;=6,5,IF(E727&lt;=9,4,IF(E727&lt;=12,3,IF(E727&lt;=15,2,0))))))</f>
        <v/>
      </c>
      <c r="G727" s="5" t="n"/>
      <c r="H727" s="4">
        <f>IF(OR(F727="",G727=""),"",F727*G727+IF(J727="",0,J727))</f>
        <v/>
      </c>
      <c r="I727" s="5" t="n"/>
      <c r="J727" s="5" t="n"/>
    </row>
    <row r="728">
      <c r="A728" s="5" t="n"/>
      <c r="B728" s="5" t="n"/>
      <c r="C728" s="5" t="n"/>
      <c r="D728" s="5" t="n"/>
      <c r="E728" s="4">
        <f>IF(C728="","",COUNTIF($C$7:C728,C728))</f>
        <v/>
      </c>
      <c r="F728" s="4">
        <f>IF(E728="","",IF(E728&lt;=3,6,IF(E728&lt;=6,5,IF(E728&lt;=9,4,IF(E728&lt;=12,3,IF(E728&lt;=15,2,0))))))</f>
        <v/>
      </c>
      <c r="G728" s="5" t="n"/>
      <c r="H728" s="4">
        <f>IF(OR(F728="",G728=""),"",F728*G728+IF(J728="",0,J728))</f>
        <v/>
      </c>
      <c r="I728" s="5" t="n"/>
      <c r="J728" s="5" t="n"/>
    </row>
    <row r="729">
      <c r="A729" s="5" t="n"/>
      <c r="B729" s="5" t="n"/>
      <c r="C729" s="5" t="n"/>
      <c r="D729" s="5" t="n"/>
      <c r="E729" s="4">
        <f>IF(C729="","",COUNTIF($C$7:C729,C729))</f>
        <v/>
      </c>
      <c r="F729" s="4">
        <f>IF(E729="","",IF(E729&lt;=3,6,IF(E729&lt;=6,5,IF(E729&lt;=9,4,IF(E729&lt;=12,3,IF(E729&lt;=15,2,0))))))</f>
        <v/>
      </c>
      <c r="G729" s="5" t="n"/>
      <c r="H729" s="4">
        <f>IF(OR(F729="",G729=""),"",F729*G729+IF(J729="",0,J729))</f>
        <v/>
      </c>
      <c r="I729" s="5" t="n"/>
      <c r="J729" s="5" t="n"/>
    </row>
    <row r="730">
      <c r="A730" s="5" t="n"/>
      <c r="B730" s="5" t="n"/>
      <c r="C730" s="5" t="n"/>
      <c r="D730" s="5" t="n"/>
      <c r="E730" s="4">
        <f>IF(C730="","",COUNTIF($C$7:C730,C730))</f>
        <v/>
      </c>
      <c r="F730" s="4">
        <f>IF(E730="","",IF(E730&lt;=3,6,IF(E730&lt;=6,5,IF(E730&lt;=9,4,IF(E730&lt;=12,3,IF(E730&lt;=15,2,0))))))</f>
        <v/>
      </c>
      <c r="G730" s="5" t="n"/>
      <c r="H730" s="4">
        <f>IF(OR(F730="",G730=""),"",F730*G730+IF(J730="",0,J730))</f>
        <v/>
      </c>
      <c r="I730" s="5" t="n"/>
      <c r="J730" s="5" t="n"/>
    </row>
    <row r="731">
      <c r="A731" s="5" t="n"/>
      <c r="B731" s="5" t="n"/>
      <c r="C731" s="5" t="n"/>
      <c r="D731" s="5" t="n"/>
      <c r="E731" s="4">
        <f>IF(C731="","",COUNTIF($C$7:C731,C731))</f>
        <v/>
      </c>
      <c r="F731" s="4">
        <f>IF(E731="","",IF(E731&lt;=3,6,IF(E731&lt;=6,5,IF(E731&lt;=9,4,IF(E731&lt;=12,3,IF(E731&lt;=15,2,0))))))</f>
        <v/>
      </c>
      <c r="G731" s="5" t="n"/>
      <c r="H731" s="4">
        <f>IF(OR(F731="",G731=""),"",F731*G731+IF(J731="",0,J731))</f>
        <v/>
      </c>
      <c r="I731" s="5" t="n"/>
      <c r="J731" s="5" t="n"/>
    </row>
    <row r="732">
      <c r="A732" s="5" t="n"/>
      <c r="B732" s="5" t="n"/>
      <c r="C732" s="5" t="n"/>
      <c r="D732" s="5" t="n"/>
      <c r="E732" s="4">
        <f>IF(C732="","",COUNTIF($C$7:C732,C732))</f>
        <v/>
      </c>
      <c r="F732" s="4">
        <f>IF(E732="","",IF(E732&lt;=3,6,IF(E732&lt;=6,5,IF(E732&lt;=9,4,IF(E732&lt;=12,3,IF(E732&lt;=15,2,0))))))</f>
        <v/>
      </c>
      <c r="G732" s="5" t="n"/>
      <c r="H732" s="4">
        <f>IF(OR(F732="",G732=""),"",F732*G732+IF(J732="",0,J732))</f>
        <v/>
      </c>
      <c r="I732" s="5" t="n"/>
      <c r="J732" s="5" t="n"/>
    </row>
    <row r="733">
      <c r="A733" s="5" t="n"/>
      <c r="B733" s="5" t="n"/>
      <c r="C733" s="5" t="n"/>
      <c r="D733" s="5" t="n"/>
      <c r="E733" s="4">
        <f>IF(C733="","",COUNTIF($C$7:C733,C733))</f>
        <v/>
      </c>
      <c r="F733" s="4">
        <f>IF(E733="","",IF(E733&lt;=3,6,IF(E733&lt;=6,5,IF(E733&lt;=9,4,IF(E733&lt;=12,3,IF(E733&lt;=15,2,0))))))</f>
        <v/>
      </c>
      <c r="G733" s="5" t="n"/>
      <c r="H733" s="4">
        <f>IF(OR(F733="",G733=""),"",F733*G733+IF(J733="",0,J733))</f>
        <v/>
      </c>
      <c r="I733" s="5" t="n"/>
      <c r="J733" s="5" t="n"/>
    </row>
    <row r="734">
      <c r="A734" s="5" t="n"/>
      <c r="B734" s="5" t="n"/>
      <c r="C734" s="5" t="n"/>
      <c r="D734" s="5" t="n"/>
      <c r="E734" s="4">
        <f>IF(C734="","",COUNTIF($C$7:C734,C734))</f>
        <v/>
      </c>
      <c r="F734" s="4">
        <f>IF(E734="","",IF(E734&lt;=3,6,IF(E734&lt;=6,5,IF(E734&lt;=9,4,IF(E734&lt;=12,3,IF(E734&lt;=15,2,0))))))</f>
        <v/>
      </c>
      <c r="G734" s="5" t="n"/>
      <c r="H734" s="4">
        <f>IF(OR(F734="",G734=""),"",F734*G734+IF(J734="",0,J734))</f>
        <v/>
      </c>
      <c r="I734" s="5" t="n"/>
      <c r="J734" s="5" t="n"/>
    </row>
    <row r="735">
      <c r="A735" s="5" t="n"/>
      <c r="B735" s="5" t="n"/>
      <c r="C735" s="5" t="n"/>
      <c r="D735" s="5" t="n"/>
      <c r="E735" s="4">
        <f>IF(C735="","",COUNTIF($C$7:C735,C735))</f>
        <v/>
      </c>
      <c r="F735" s="4">
        <f>IF(E735="","",IF(E735&lt;=3,6,IF(E735&lt;=6,5,IF(E735&lt;=9,4,IF(E735&lt;=12,3,IF(E735&lt;=15,2,0))))))</f>
        <v/>
      </c>
      <c r="G735" s="5" t="n"/>
      <c r="H735" s="4">
        <f>IF(OR(F735="",G735=""),"",F735*G735+IF(J735="",0,J735))</f>
        <v/>
      </c>
      <c r="I735" s="5" t="n"/>
      <c r="J735" s="5" t="n"/>
    </row>
    <row r="736">
      <c r="A736" s="5" t="n"/>
      <c r="B736" s="5" t="n"/>
      <c r="C736" s="5" t="n"/>
      <c r="D736" s="5" t="n"/>
      <c r="E736" s="4">
        <f>IF(C736="","",COUNTIF($C$7:C736,C736))</f>
        <v/>
      </c>
      <c r="F736" s="4">
        <f>IF(E736="","",IF(E736&lt;=3,6,IF(E736&lt;=6,5,IF(E736&lt;=9,4,IF(E736&lt;=12,3,IF(E736&lt;=15,2,0))))))</f>
        <v/>
      </c>
      <c r="G736" s="5" t="n"/>
      <c r="H736" s="4">
        <f>IF(OR(F736="",G736=""),"",F736*G736+IF(J736="",0,J736))</f>
        <v/>
      </c>
      <c r="I736" s="5" t="n"/>
      <c r="J736" s="5" t="n"/>
    </row>
    <row r="737">
      <c r="A737" s="5" t="n"/>
      <c r="B737" s="5" t="n"/>
      <c r="C737" s="5" t="n"/>
      <c r="D737" s="5" t="n"/>
      <c r="E737" s="4">
        <f>IF(C737="","",COUNTIF($C$7:C737,C737))</f>
        <v/>
      </c>
      <c r="F737" s="4">
        <f>IF(E737="","",IF(E737&lt;=3,6,IF(E737&lt;=6,5,IF(E737&lt;=9,4,IF(E737&lt;=12,3,IF(E737&lt;=15,2,0))))))</f>
        <v/>
      </c>
      <c r="G737" s="5" t="n"/>
      <c r="H737" s="4">
        <f>IF(OR(F737="",G737=""),"",F737*G737+IF(J737="",0,J737))</f>
        <v/>
      </c>
      <c r="I737" s="5" t="n"/>
      <c r="J737" s="5" t="n"/>
    </row>
    <row r="738">
      <c r="A738" s="5" t="n"/>
      <c r="B738" s="5" t="n"/>
      <c r="C738" s="5" t="n"/>
      <c r="D738" s="5" t="n"/>
      <c r="E738" s="4">
        <f>IF(C738="","",COUNTIF($C$7:C738,C738))</f>
        <v/>
      </c>
      <c r="F738" s="4">
        <f>IF(E738="","",IF(E738&lt;=3,6,IF(E738&lt;=6,5,IF(E738&lt;=9,4,IF(E738&lt;=12,3,IF(E738&lt;=15,2,0))))))</f>
        <v/>
      </c>
      <c r="G738" s="5" t="n"/>
      <c r="H738" s="4">
        <f>IF(OR(F738="",G738=""),"",F738*G738+IF(J738="",0,J738))</f>
        <v/>
      </c>
      <c r="I738" s="5" t="n"/>
      <c r="J738" s="5" t="n"/>
    </row>
    <row r="739">
      <c r="A739" s="5" t="n"/>
      <c r="B739" s="5" t="n"/>
      <c r="C739" s="5" t="n"/>
      <c r="D739" s="5" t="n"/>
      <c r="E739" s="4">
        <f>IF(C739="","",COUNTIF($C$7:C739,C739))</f>
        <v/>
      </c>
      <c r="F739" s="4">
        <f>IF(E739="","",IF(E739&lt;=3,6,IF(E739&lt;=6,5,IF(E739&lt;=9,4,IF(E739&lt;=12,3,IF(E739&lt;=15,2,0))))))</f>
        <v/>
      </c>
      <c r="G739" s="5" t="n"/>
      <c r="H739" s="4">
        <f>IF(OR(F739="",G739=""),"",F739*G739+IF(J739="",0,J739))</f>
        <v/>
      </c>
      <c r="I739" s="5" t="n"/>
      <c r="J739" s="5" t="n"/>
    </row>
    <row r="740">
      <c r="A740" s="5" t="n"/>
      <c r="B740" s="5" t="n"/>
      <c r="C740" s="5" t="n"/>
      <c r="D740" s="5" t="n"/>
      <c r="E740" s="4">
        <f>IF(C740="","",COUNTIF($C$7:C740,C740))</f>
        <v/>
      </c>
      <c r="F740" s="4">
        <f>IF(E740="","",IF(E740&lt;=3,6,IF(E740&lt;=6,5,IF(E740&lt;=9,4,IF(E740&lt;=12,3,IF(E740&lt;=15,2,0))))))</f>
        <v/>
      </c>
      <c r="G740" s="5" t="n"/>
      <c r="H740" s="4">
        <f>IF(OR(F740="",G740=""),"",F740*G740+IF(J740="",0,J740))</f>
        <v/>
      </c>
      <c r="I740" s="5" t="n"/>
      <c r="J740" s="5" t="n"/>
    </row>
    <row r="741">
      <c r="A741" s="5" t="n"/>
      <c r="B741" s="5" t="n"/>
      <c r="C741" s="5" t="n"/>
      <c r="D741" s="5" t="n"/>
      <c r="E741" s="4">
        <f>IF(C741="","",COUNTIF($C$7:C741,C741))</f>
        <v/>
      </c>
      <c r="F741" s="4">
        <f>IF(E741="","",IF(E741&lt;=3,6,IF(E741&lt;=6,5,IF(E741&lt;=9,4,IF(E741&lt;=12,3,IF(E741&lt;=15,2,0))))))</f>
        <v/>
      </c>
      <c r="G741" s="5" t="n"/>
      <c r="H741" s="4">
        <f>IF(OR(F741="",G741=""),"",F741*G741+IF(J741="",0,J741))</f>
        <v/>
      </c>
      <c r="I741" s="5" t="n"/>
      <c r="J741" s="5" t="n"/>
    </row>
    <row r="742">
      <c r="A742" s="5" t="n"/>
      <c r="B742" s="5" t="n"/>
      <c r="C742" s="5" t="n"/>
      <c r="D742" s="5" t="n"/>
      <c r="E742" s="4">
        <f>IF(C742="","",COUNTIF($C$7:C742,C742))</f>
        <v/>
      </c>
      <c r="F742" s="4">
        <f>IF(E742="","",IF(E742&lt;=3,6,IF(E742&lt;=6,5,IF(E742&lt;=9,4,IF(E742&lt;=12,3,IF(E742&lt;=15,2,0))))))</f>
        <v/>
      </c>
      <c r="G742" s="5" t="n"/>
      <c r="H742" s="4">
        <f>IF(OR(F742="",G742=""),"",F742*G742+IF(J742="",0,J742))</f>
        <v/>
      </c>
      <c r="I742" s="5" t="n"/>
      <c r="J742" s="5" t="n"/>
    </row>
    <row r="743">
      <c r="A743" s="5" t="n"/>
      <c r="B743" s="5" t="n"/>
      <c r="C743" s="5" t="n"/>
      <c r="D743" s="5" t="n"/>
      <c r="E743" s="4">
        <f>IF(C743="","",COUNTIF($C$7:C743,C743))</f>
        <v/>
      </c>
      <c r="F743" s="4">
        <f>IF(E743="","",IF(E743&lt;=3,6,IF(E743&lt;=6,5,IF(E743&lt;=9,4,IF(E743&lt;=12,3,IF(E743&lt;=15,2,0))))))</f>
        <v/>
      </c>
      <c r="G743" s="5" t="n"/>
      <c r="H743" s="4">
        <f>IF(OR(F743="",G743=""),"",F743*G743+IF(J743="",0,J743))</f>
        <v/>
      </c>
      <c r="I743" s="5" t="n"/>
      <c r="J743" s="5" t="n"/>
    </row>
    <row r="744">
      <c r="A744" s="5" t="n"/>
      <c r="B744" s="5" t="n"/>
      <c r="C744" s="5" t="n"/>
      <c r="D744" s="5" t="n"/>
      <c r="E744" s="4">
        <f>IF(C744="","",COUNTIF($C$7:C744,C744))</f>
        <v/>
      </c>
      <c r="F744" s="4">
        <f>IF(E744="","",IF(E744&lt;=3,6,IF(E744&lt;=6,5,IF(E744&lt;=9,4,IF(E744&lt;=12,3,IF(E744&lt;=15,2,0))))))</f>
        <v/>
      </c>
      <c r="G744" s="5" t="n"/>
      <c r="H744" s="4">
        <f>IF(OR(F744="",G744=""),"",F744*G744+IF(J744="",0,J744))</f>
        <v/>
      </c>
      <c r="I744" s="5" t="n"/>
      <c r="J744" s="5" t="n"/>
    </row>
    <row r="745">
      <c r="A745" s="5" t="n"/>
      <c r="B745" s="5" t="n"/>
      <c r="C745" s="5" t="n"/>
      <c r="D745" s="5" t="n"/>
      <c r="E745" s="4">
        <f>IF(C745="","",COUNTIF($C$7:C745,C745))</f>
        <v/>
      </c>
      <c r="F745" s="4">
        <f>IF(E745="","",IF(E745&lt;=3,6,IF(E745&lt;=6,5,IF(E745&lt;=9,4,IF(E745&lt;=12,3,IF(E745&lt;=15,2,0))))))</f>
        <v/>
      </c>
      <c r="G745" s="5" t="n"/>
      <c r="H745" s="4">
        <f>IF(OR(F745="",G745=""),"",F745*G745+IF(J745="",0,J745))</f>
        <v/>
      </c>
      <c r="I745" s="5" t="n"/>
      <c r="J745" s="5" t="n"/>
    </row>
    <row r="746">
      <c r="A746" s="5" t="n"/>
      <c r="B746" s="5" t="n"/>
      <c r="C746" s="5" t="n"/>
      <c r="D746" s="5" t="n"/>
      <c r="E746" s="4">
        <f>IF(C746="","",COUNTIF($C$7:C746,C746))</f>
        <v/>
      </c>
      <c r="F746" s="4">
        <f>IF(E746="","",IF(E746&lt;=3,6,IF(E746&lt;=6,5,IF(E746&lt;=9,4,IF(E746&lt;=12,3,IF(E746&lt;=15,2,0))))))</f>
        <v/>
      </c>
      <c r="G746" s="5" t="n"/>
      <c r="H746" s="4">
        <f>IF(OR(F746="",G746=""),"",F746*G746+IF(J746="",0,J746))</f>
        <v/>
      </c>
      <c r="I746" s="5" t="n"/>
      <c r="J746" s="5" t="n"/>
    </row>
    <row r="747">
      <c r="A747" s="5" t="n"/>
      <c r="B747" s="5" t="n"/>
      <c r="C747" s="5" t="n"/>
      <c r="D747" s="5" t="n"/>
      <c r="E747" s="4">
        <f>IF(C747="","",COUNTIF($C$7:C747,C747))</f>
        <v/>
      </c>
      <c r="F747" s="4">
        <f>IF(E747="","",IF(E747&lt;=3,6,IF(E747&lt;=6,5,IF(E747&lt;=9,4,IF(E747&lt;=12,3,IF(E747&lt;=15,2,0))))))</f>
        <v/>
      </c>
      <c r="G747" s="5" t="n"/>
      <c r="H747" s="4">
        <f>IF(OR(F747="",G747=""),"",F747*G747+IF(J747="",0,J747))</f>
        <v/>
      </c>
      <c r="I747" s="5" t="n"/>
      <c r="J747" s="5" t="n"/>
    </row>
    <row r="748">
      <c r="A748" s="5" t="n"/>
      <c r="B748" s="5" t="n"/>
      <c r="C748" s="5" t="n"/>
      <c r="D748" s="5" t="n"/>
      <c r="E748" s="4">
        <f>IF(C748="","",COUNTIF($C$7:C748,C748))</f>
        <v/>
      </c>
      <c r="F748" s="4">
        <f>IF(E748="","",IF(E748&lt;=3,6,IF(E748&lt;=6,5,IF(E748&lt;=9,4,IF(E748&lt;=12,3,IF(E748&lt;=15,2,0))))))</f>
        <v/>
      </c>
      <c r="G748" s="5" t="n"/>
      <c r="H748" s="4">
        <f>IF(OR(F748="",G748=""),"",F748*G748+IF(J748="",0,J748))</f>
        <v/>
      </c>
      <c r="I748" s="5" t="n"/>
      <c r="J748" s="5" t="n"/>
    </row>
    <row r="749">
      <c r="A749" s="5" t="n"/>
      <c r="B749" s="5" t="n"/>
      <c r="C749" s="5" t="n"/>
      <c r="D749" s="5" t="n"/>
      <c r="E749" s="4">
        <f>IF(C749="","",COUNTIF($C$7:C749,C749))</f>
        <v/>
      </c>
      <c r="F749" s="4">
        <f>IF(E749="","",IF(E749&lt;=3,6,IF(E749&lt;=6,5,IF(E749&lt;=9,4,IF(E749&lt;=12,3,IF(E749&lt;=15,2,0))))))</f>
        <v/>
      </c>
      <c r="G749" s="5" t="n"/>
      <c r="H749" s="4">
        <f>IF(OR(F749="",G749=""),"",F749*G749+IF(J749="",0,J749))</f>
        <v/>
      </c>
      <c r="I749" s="5" t="n"/>
      <c r="J749" s="5" t="n"/>
    </row>
    <row r="750">
      <c r="A750" s="5" t="n"/>
      <c r="B750" s="5" t="n"/>
      <c r="C750" s="5" t="n"/>
      <c r="D750" s="5" t="n"/>
      <c r="E750" s="4">
        <f>IF(C750="","",COUNTIF($C$7:C750,C750))</f>
        <v/>
      </c>
      <c r="F750" s="4">
        <f>IF(E750="","",IF(E750&lt;=3,6,IF(E750&lt;=6,5,IF(E750&lt;=9,4,IF(E750&lt;=12,3,IF(E750&lt;=15,2,0))))))</f>
        <v/>
      </c>
      <c r="G750" s="5" t="n"/>
      <c r="H750" s="4">
        <f>IF(OR(F750="",G750=""),"",F750*G750+IF(J750="",0,J750))</f>
        <v/>
      </c>
      <c r="I750" s="5" t="n"/>
      <c r="J750" s="5" t="n"/>
    </row>
    <row r="751">
      <c r="A751" s="5" t="n"/>
      <c r="B751" s="5" t="n"/>
      <c r="C751" s="5" t="n"/>
      <c r="D751" s="5" t="n"/>
      <c r="E751" s="4">
        <f>IF(C751="","",COUNTIF($C$7:C751,C751))</f>
        <v/>
      </c>
      <c r="F751" s="4">
        <f>IF(E751="","",IF(E751&lt;=3,6,IF(E751&lt;=6,5,IF(E751&lt;=9,4,IF(E751&lt;=12,3,IF(E751&lt;=15,2,0))))))</f>
        <v/>
      </c>
      <c r="G751" s="5" t="n"/>
      <c r="H751" s="4">
        <f>IF(OR(F751="",G751=""),"",F751*G751+IF(J751="",0,J751))</f>
        <v/>
      </c>
      <c r="I751" s="5" t="n"/>
      <c r="J751" s="5" t="n"/>
    </row>
    <row r="752">
      <c r="A752" s="5" t="n"/>
      <c r="B752" s="5" t="n"/>
      <c r="C752" s="5" t="n"/>
      <c r="D752" s="5" t="n"/>
      <c r="E752" s="4">
        <f>IF(C752="","",COUNTIF($C$7:C752,C752))</f>
        <v/>
      </c>
      <c r="F752" s="4">
        <f>IF(E752="","",IF(E752&lt;=3,6,IF(E752&lt;=6,5,IF(E752&lt;=9,4,IF(E752&lt;=12,3,IF(E752&lt;=15,2,0))))))</f>
        <v/>
      </c>
      <c r="G752" s="5" t="n"/>
      <c r="H752" s="4">
        <f>IF(OR(F752="",G752=""),"",F752*G752+IF(J752="",0,J752))</f>
        <v/>
      </c>
      <c r="I752" s="5" t="n"/>
      <c r="J752" s="5" t="n"/>
    </row>
    <row r="753">
      <c r="A753" s="5" t="n"/>
      <c r="B753" s="5" t="n"/>
      <c r="C753" s="5" t="n"/>
      <c r="D753" s="5" t="n"/>
      <c r="E753" s="4">
        <f>IF(C753="","",COUNTIF($C$7:C753,C753))</f>
        <v/>
      </c>
      <c r="F753" s="4">
        <f>IF(E753="","",IF(E753&lt;=3,6,IF(E753&lt;=6,5,IF(E753&lt;=9,4,IF(E753&lt;=12,3,IF(E753&lt;=15,2,0))))))</f>
        <v/>
      </c>
      <c r="G753" s="5" t="n"/>
      <c r="H753" s="4">
        <f>IF(OR(F753="",G753=""),"",F753*G753+IF(J753="",0,J753))</f>
        <v/>
      </c>
      <c r="I753" s="5" t="n"/>
      <c r="J753" s="5" t="n"/>
    </row>
    <row r="754">
      <c r="A754" s="5" t="n"/>
      <c r="B754" s="5" t="n"/>
      <c r="C754" s="5" t="n"/>
      <c r="D754" s="5" t="n"/>
      <c r="E754" s="4">
        <f>IF(C754="","",COUNTIF($C$7:C754,C754))</f>
        <v/>
      </c>
      <c r="F754" s="4">
        <f>IF(E754="","",IF(E754&lt;=3,6,IF(E754&lt;=6,5,IF(E754&lt;=9,4,IF(E754&lt;=12,3,IF(E754&lt;=15,2,0))))))</f>
        <v/>
      </c>
      <c r="G754" s="5" t="n"/>
      <c r="H754" s="4">
        <f>IF(OR(F754="",G754=""),"",F754*G754+IF(J754="",0,J754))</f>
        <v/>
      </c>
      <c r="I754" s="5" t="n"/>
      <c r="J754" s="5" t="n"/>
    </row>
    <row r="755">
      <c r="A755" s="5" t="n"/>
      <c r="B755" s="5" t="n"/>
      <c r="C755" s="5" t="n"/>
      <c r="D755" s="5" t="n"/>
      <c r="E755" s="4">
        <f>IF(C755="","",COUNTIF($C$7:C755,C755))</f>
        <v/>
      </c>
      <c r="F755" s="4">
        <f>IF(E755="","",IF(E755&lt;=3,6,IF(E755&lt;=6,5,IF(E755&lt;=9,4,IF(E755&lt;=12,3,IF(E755&lt;=15,2,0))))))</f>
        <v/>
      </c>
      <c r="G755" s="5" t="n"/>
      <c r="H755" s="4">
        <f>IF(OR(F755="",G755=""),"",F755*G755+IF(J755="",0,J755))</f>
        <v/>
      </c>
      <c r="I755" s="5" t="n"/>
      <c r="J755" s="5" t="n"/>
    </row>
    <row r="756">
      <c r="A756" s="5" t="n"/>
      <c r="B756" s="5" t="n"/>
      <c r="C756" s="5" t="n"/>
      <c r="D756" s="5" t="n"/>
      <c r="E756" s="4">
        <f>IF(C756="","",COUNTIF($C$7:C756,C756))</f>
        <v/>
      </c>
      <c r="F756" s="4">
        <f>IF(E756="","",IF(E756&lt;=3,6,IF(E756&lt;=6,5,IF(E756&lt;=9,4,IF(E756&lt;=12,3,IF(E756&lt;=15,2,0))))))</f>
        <v/>
      </c>
      <c r="G756" s="5" t="n"/>
      <c r="H756" s="4">
        <f>IF(OR(F756="",G756=""),"",F756*G756+IF(J756="",0,J756))</f>
        <v/>
      </c>
      <c r="I756" s="5" t="n"/>
      <c r="J756" s="5" t="n"/>
    </row>
    <row r="757">
      <c r="A757" s="5" t="n"/>
      <c r="B757" s="5" t="n"/>
      <c r="C757" s="5" t="n"/>
      <c r="D757" s="5" t="n"/>
      <c r="E757" s="4">
        <f>IF(C757="","",COUNTIF($C$7:C757,C757))</f>
        <v/>
      </c>
      <c r="F757" s="4">
        <f>IF(E757="","",IF(E757&lt;=3,6,IF(E757&lt;=6,5,IF(E757&lt;=9,4,IF(E757&lt;=12,3,IF(E757&lt;=15,2,0))))))</f>
        <v/>
      </c>
      <c r="G757" s="5" t="n"/>
      <c r="H757" s="4">
        <f>IF(OR(F757="",G757=""),"",F757*G757+IF(J757="",0,J757))</f>
        <v/>
      </c>
      <c r="I757" s="5" t="n"/>
      <c r="J757" s="5" t="n"/>
    </row>
    <row r="758">
      <c r="A758" s="5" t="n"/>
      <c r="B758" s="5" t="n"/>
      <c r="C758" s="5" t="n"/>
      <c r="D758" s="5" t="n"/>
      <c r="E758" s="4">
        <f>IF(C758="","",COUNTIF($C$7:C758,C758))</f>
        <v/>
      </c>
      <c r="F758" s="4">
        <f>IF(E758="","",IF(E758&lt;=3,6,IF(E758&lt;=6,5,IF(E758&lt;=9,4,IF(E758&lt;=12,3,IF(E758&lt;=15,2,0))))))</f>
        <v/>
      </c>
      <c r="G758" s="5" t="n"/>
      <c r="H758" s="4">
        <f>IF(OR(F758="",G758=""),"",F758*G758+IF(J758="",0,J758))</f>
        <v/>
      </c>
      <c r="I758" s="5" t="n"/>
      <c r="J758" s="5" t="n"/>
    </row>
    <row r="759">
      <c r="A759" s="5" t="n"/>
      <c r="B759" s="5" t="n"/>
      <c r="C759" s="5" t="n"/>
      <c r="D759" s="5" t="n"/>
      <c r="E759" s="4">
        <f>IF(C759="","",COUNTIF($C$7:C759,C759))</f>
        <v/>
      </c>
      <c r="F759" s="4">
        <f>IF(E759="","",IF(E759&lt;=3,6,IF(E759&lt;=6,5,IF(E759&lt;=9,4,IF(E759&lt;=12,3,IF(E759&lt;=15,2,0))))))</f>
        <v/>
      </c>
      <c r="G759" s="5" t="n"/>
      <c r="H759" s="4">
        <f>IF(OR(F759="",G759=""),"",F759*G759+IF(J759="",0,J759))</f>
        <v/>
      </c>
      <c r="I759" s="5" t="n"/>
      <c r="J759" s="5" t="n"/>
    </row>
    <row r="760">
      <c r="A760" s="5" t="n"/>
      <c r="B760" s="5" t="n"/>
      <c r="C760" s="5" t="n"/>
      <c r="D760" s="5" t="n"/>
      <c r="E760" s="4">
        <f>IF(C760="","",COUNTIF($C$7:C760,C760))</f>
        <v/>
      </c>
      <c r="F760" s="4">
        <f>IF(E760="","",IF(E760&lt;=3,6,IF(E760&lt;=6,5,IF(E760&lt;=9,4,IF(E760&lt;=12,3,IF(E760&lt;=15,2,0))))))</f>
        <v/>
      </c>
      <c r="G760" s="5" t="n"/>
      <c r="H760" s="4">
        <f>IF(OR(F760="",G760=""),"",F760*G760+IF(J760="",0,J760))</f>
        <v/>
      </c>
      <c r="I760" s="5" t="n"/>
      <c r="J760" s="5" t="n"/>
    </row>
    <row r="761">
      <c r="A761" s="5" t="n"/>
      <c r="B761" s="5" t="n"/>
      <c r="C761" s="5" t="n"/>
      <c r="D761" s="5" t="n"/>
      <c r="E761" s="4">
        <f>IF(C761="","",COUNTIF($C$7:C761,C761))</f>
        <v/>
      </c>
      <c r="F761" s="4">
        <f>IF(E761="","",IF(E761&lt;=3,6,IF(E761&lt;=6,5,IF(E761&lt;=9,4,IF(E761&lt;=12,3,IF(E761&lt;=15,2,0))))))</f>
        <v/>
      </c>
      <c r="G761" s="5" t="n"/>
      <c r="H761" s="4">
        <f>IF(OR(F761="",G761=""),"",F761*G761+IF(J761="",0,J761))</f>
        <v/>
      </c>
      <c r="I761" s="5" t="n"/>
      <c r="J761" s="5" t="n"/>
    </row>
    <row r="762">
      <c r="A762" s="5" t="n"/>
      <c r="B762" s="5" t="n"/>
      <c r="C762" s="5" t="n"/>
      <c r="D762" s="5" t="n"/>
      <c r="E762" s="4">
        <f>IF(C762="","",COUNTIF($C$7:C762,C762))</f>
        <v/>
      </c>
      <c r="F762" s="4">
        <f>IF(E762="","",IF(E762&lt;=3,6,IF(E762&lt;=6,5,IF(E762&lt;=9,4,IF(E762&lt;=12,3,IF(E762&lt;=15,2,0))))))</f>
        <v/>
      </c>
      <c r="G762" s="5" t="n"/>
      <c r="H762" s="4">
        <f>IF(OR(F762="",G762=""),"",F762*G762+IF(J762="",0,J762))</f>
        <v/>
      </c>
      <c r="I762" s="5" t="n"/>
      <c r="J762" s="5" t="n"/>
    </row>
    <row r="763">
      <c r="A763" s="5" t="n"/>
      <c r="B763" s="5" t="n"/>
      <c r="C763" s="5" t="n"/>
      <c r="D763" s="5" t="n"/>
      <c r="E763" s="4">
        <f>IF(C763="","",COUNTIF($C$7:C763,C763))</f>
        <v/>
      </c>
      <c r="F763" s="4">
        <f>IF(E763="","",IF(E763&lt;=3,6,IF(E763&lt;=6,5,IF(E763&lt;=9,4,IF(E763&lt;=12,3,IF(E763&lt;=15,2,0))))))</f>
        <v/>
      </c>
      <c r="G763" s="5" t="n"/>
      <c r="H763" s="4">
        <f>IF(OR(F763="",G763=""),"",F763*G763+IF(J763="",0,J763))</f>
        <v/>
      </c>
      <c r="I763" s="5" t="n"/>
      <c r="J763" s="5" t="n"/>
    </row>
    <row r="764">
      <c r="A764" s="5" t="n"/>
      <c r="B764" s="5" t="n"/>
      <c r="C764" s="5" t="n"/>
      <c r="D764" s="5" t="n"/>
      <c r="E764" s="4">
        <f>IF(C764="","",COUNTIF($C$7:C764,C764))</f>
        <v/>
      </c>
      <c r="F764" s="4">
        <f>IF(E764="","",IF(E764&lt;=3,6,IF(E764&lt;=6,5,IF(E764&lt;=9,4,IF(E764&lt;=12,3,IF(E764&lt;=15,2,0))))))</f>
        <v/>
      </c>
      <c r="G764" s="5" t="n"/>
      <c r="H764" s="4">
        <f>IF(OR(F764="",G764=""),"",F764*G764+IF(J764="",0,J764))</f>
        <v/>
      </c>
      <c r="I764" s="5" t="n"/>
      <c r="J764" s="5" t="n"/>
    </row>
    <row r="765">
      <c r="A765" s="5" t="n"/>
      <c r="B765" s="5" t="n"/>
      <c r="C765" s="5" t="n"/>
      <c r="D765" s="5" t="n"/>
      <c r="E765" s="4">
        <f>IF(C765="","",COUNTIF($C$7:C765,C765))</f>
        <v/>
      </c>
      <c r="F765" s="4">
        <f>IF(E765="","",IF(E765&lt;=3,6,IF(E765&lt;=6,5,IF(E765&lt;=9,4,IF(E765&lt;=12,3,IF(E765&lt;=15,2,0))))))</f>
        <v/>
      </c>
      <c r="G765" s="5" t="n"/>
      <c r="H765" s="4">
        <f>IF(OR(F765="",G765=""),"",F765*G765+IF(J765="",0,J765))</f>
        <v/>
      </c>
      <c r="I765" s="5" t="n"/>
      <c r="J765" s="5" t="n"/>
    </row>
    <row r="766">
      <c r="A766" s="5" t="n"/>
      <c r="B766" s="5" t="n"/>
      <c r="C766" s="5" t="n"/>
      <c r="D766" s="5" t="n"/>
      <c r="E766" s="4">
        <f>IF(C766="","",COUNTIF($C$7:C766,C766))</f>
        <v/>
      </c>
      <c r="F766" s="4">
        <f>IF(E766="","",IF(E766&lt;=3,6,IF(E766&lt;=6,5,IF(E766&lt;=9,4,IF(E766&lt;=12,3,IF(E766&lt;=15,2,0))))))</f>
        <v/>
      </c>
      <c r="G766" s="5" t="n"/>
      <c r="H766" s="4">
        <f>IF(OR(F766="",G766=""),"",F766*G766+IF(J766="",0,J766))</f>
        <v/>
      </c>
      <c r="I766" s="5" t="n"/>
      <c r="J766" s="5" t="n"/>
    </row>
    <row r="767">
      <c r="A767" s="5" t="n"/>
      <c r="B767" s="5" t="n"/>
      <c r="C767" s="5" t="n"/>
      <c r="D767" s="5" t="n"/>
      <c r="E767" s="4">
        <f>IF(C767="","",COUNTIF($C$7:C767,C767))</f>
        <v/>
      </c>
      <c r="F767" s="4">
        <f>IF(E767="","",IF(E767&lt;=3,6,IF(E767&lt;=6,5,IF(E767&lt;=9,4,IF(E767&lt;=12,3,IF(E767&lt;=15,2,0))))))</f>
        <v/>
      </c>
      <c r="G767" s="5" t="n"/>
      <c r="H767" s="4">
        <f>IF(OR(F767="",G767=""),"",F767*G767+IF(J767="",0,J767))</f>
        <v/>
      </c>
      <c r="I767" s="5" t="n"/>
      <c r="J767" s="5" t="n"/>
    </row>
    <row r="768">
      <c r="A768" s="5" t="n"/>
      <c r="B768" s="5" t="n"/>
      <c r="C768" s="5" t="n"/>
      <c r="D768" s="5" t="n"/>
      <c r="E768" s="4">
        <f>IF(C768="","",COUNTIF($C$7:C768,C768))</f>
        <v/>
      </c>
      <c r="F768" s="4">
        <f>IF(E768="","",IF(E768&lt;=3,6,IF(E768&lt;=6,5,IF(E768&lt;=9,4,IF(E768&lt;=12,3,IF(E768&lt;=15,2,0))))))</f>
        <v/>
      </c>
      <c r="G768" s="5" t="n"/>
      <c r="H768" s="4">
        <f>IF(OR(F768="",G768=""),"",F768*G768+IF(J768="",0,J768))</f>
        <v/>
      </c>
      <c r="I768" s="5" t="n"/>
      <c r="J768" s="5" t="n"/>
    </row>
    <row r="769">
      <c r="A769" s="5" t="n"/>
      <c r="B769" s="5" t="n"/>
      <c r="C769" s="5" t="n"/>
      <c r="D769" s="5" t="n"/>
      <c r="E769" s="4">
        <f>IF(C769="","",COUNTIF($C$7:C769,C769))</f>
        <v/>
      </c>
      <c r="F769" s="4">
        <f>IF(E769="","",IF(E769&lt;=3,6,IF(E769&lt;=6,5,IF(E769&lt;=9,4,IF(E769&lt;=12,3,IF(E769&lt;=15,2,0))))))</f>
        <v/>
      </c>
      <c r="G769" s="5" t="n"/>
      <c r="H769" s="4">
        <f>IF(OR(F769="",G769=""),"",F769*G769+IF(J769="",0,J769))</f>
        <v/>
      </c>
      <c r="I769" s="5" t="n"/>
      <c r="J769" s="5" t="n"/>
    </row>
    <row r="770">
      <c r="A770" s="5" t="n"/>
      <c r="B770" s="5" t="n"/>
      <c r="C770" s="5" t="n"/>
      <c r="D770" s="5" t="n"/>
      <c r="E770" s="4">
        <f>IF(C770="","",COUNTIF($C$7:C770,C770))</f>
        <v/>
      </c>
      <c r="F770" s="4">
        <f>IF(E770="","",IF(E770&lt;=3,6,IF(E770&lt;=6,5,IF(E770&lt;=9,4,IF(E770&lt;=12,3,IF(E770&lt;=15,2,0))))))</f>
        <v/>
      </c>
      <c r="G770" s="5" t="n"/>
      <c r="H770" s="4">
        <f>IF(OR(F770="",G770=""),"",F770*G770+IF(J770="",0,J770))</f>
        <v/>
      </c>
      <c r="I770" s="5" t="n"/>
      <c r="J770" s="5" t="n"/>
    </row>
    <row r="771">
      <c r="A771" s="5" t="n"/>
      <c r="B771" s="5" t="n"/>
      <c r="C771" s="5" t="n"/>
      <c r="D771" s="5" t="n"/>
      <c r="E771" s="4">
        <f>IF(C771="","",COUNTIF($C$7:C771,C771))</f>
        <v/>
      </c>
      <c r="F771" s="4">
        <f>IF(E771="","",IF(E771&lt;=3,6,IF(E771&lt;=6,5,IF(E771&lt;=9,4,IF(E771&lt;=12,3,IF(E771&lt;=15,2,0))))))</f>
        <v/>
      </c>
      <c r="G771" s="5" t="n"/>
      <c r="H771" s="4">
        <f>IF(OR(F771="",G771=""),"",F771*G771+IF(J771="",0,J771))</f>
        <v/>
      </c>
      <c r="I771" s="5" t="n"/>
      <c r="J771" s="5" t="n"/>
    </row>
    <row r="772">
      <c r="A772" s="5" t="n"/>
      <c r="B772" s="5" t="n"/>
      <c r="C772" s="5" t="n"/>
      <c r="D772" s="5" t="n"/>
      <c r="E772" s="4">
        <f>IF(C772="","",COUNTIF($C$7:C772,C772))</f>
        <v/>
      </c>
      <c r="F772" s="4">
        <f>IF(E772="","",IF(E772&lt;=3,6,IF(E772&lt;=6,5,IF(E772&lt;=9,4,IF(E772&lt;=12,3,IF(E772&lt;=15,2,0))))))</f>
        <v/>
      </c>
      <c r="G772" s="5" t="n"/>
      <c r="H772" s="4">
        <f>IF(OR(F772="",G772=""),"",F772*G772+IF(J772="",0,J772))</f>
        <v/>
      </c>
      <c r="I772" s="5" t="n"/>
      <c r="J772" s="5" t="n"/>
    </row>
    <row r="773">
      <c r="A773" s="5" t="n"/>
      <c r="B773" s="5" t="n"/>
      <c r="C773" s="5" t="n"/>
      <c r="D773" s="5" t="n"/>
      <c r="E773" s="4">
        <f>IF(C773="","",COUNTIF($C$7:C773,C773))</f>
        <v/>
      </c>
      <c r="F773" s="4">
        <f>IF(E773="","",IF(E773&lt;=3,6,IF(E773&lt;=6,5,IF(E773&lt;=9,4,IF(E773&lt;=12,3,IF(E773&lt;=15,2,0))))))</f>
        <v/>
      </c>
      <c r="G773" s="5" t="n"/>
      <c r="H773" s="4">
        <f>IF(OR(F773="",G773=""),"",F773*G773+IF(J773="",0,J773))</f>
        <v/>
      </c>
      <c r="I773" s="5" t="n"/>
      <c r="J773" s="5" t="n"/>
    </row>
    <row r="774">
      <c r="A774" s="5" t="n"/>
      <c r="B774" s="5" t="n"/>
      <c r="C774" s="5" t="n"/>
      <c r="D774" s="5" t="n"/>
      <c r="E774" s="4">
        <f>IF(C774="","",COUNTIF($C$7:C774,C774))</f>
        <v/>
      </c>
      <c r="F774" s="4">
        <f>IF(E774="","",IF(E774&lt;=3,6,IF(E774&lt;=6,5,IF(E774&lt;=9,4,IF(E774&lt;=12,3,IF(E774&lt;=15,2,0))))))</f>
        <v/>
      </c>
      <c r="G774" s="5" t="n"/>
      <c r="H774" s="4">
        <f>IF(OR(F774="",G774=""),"",F774*G774+IF(J774="",0,J774))</f>
        <v/>
      </c>
      <c r="I774" s="5" t="n"/>
      <c r="J774" s="5" t="n"/>
    </row>
    <row r="775">
      <c r="A775" s="5" t="n"/>
      <c r="B775" s="5" t="n"/>
      <c r="C775" s="5" t="n"/>
      <c r="D775" s="5" t="n"/>
      <c r="E775" s="4">
        <f>IF(C775="","",COUNTIF($C$7:C775,C775))</f>
        <v/>
      </c>
      <c r="F775" s="4">
        <f>IF(E775="","",IF(E775&lt;=3,6,IF(E775&lt;=6,5,IF(E775&lt;=9,4,IF(E775&lt;=12,3,IF(E775&lt;=15,2,0))))))</f>
        <v/>
      </c>
      <c r="G775" s="5" t="n"/>
      <c r="H775" s="4">
        <f>IF(OR(F775="",G775=""),"",F775*G775+IF(J775="",0,J775))</f>
        <v/>
      </c>
      <c r="I775" s="5" t="n"/>
      <c r="J775" s="5" t="n"/>
    </row>
    <row r="776">
      <c r="A776" s="5" t="n"/>
      <c r="B776" s="5" t="n"/>
      <c r="C776" s="5" t="n"/>
      <c r="D776" s="5" t="n"/>
      <c r="E776" s="4">
        <f>IF(C776="","",COUNTIF($C$7:C776,C776))</f>
        <v/>
      </c>
      <c r="F776" s="4">
        <f>IF(E776="","",IF(E776&lt;=3,6,IF(E776&lt;=6,5,IF(E776&lt;=9,4,IF(E776&lt;=12,3,IF(E776&lt;=15,2,0))))))</f>
        <v/>
      </c>
      <c r="G776" s="5" t="n"/>
      <c r="H776" s="4">
        <f>IF(OR(F776="",G776=""),"",F776*G776+IF(J776="",0,J776))</f>
        <v/>
      </c>
      <c r="I776" s="5" t="n"/>
      <c r="J776" s="5" t="n"/>
    </row>
    <row r="777">
      <c r="A777" s="5" t="n"/>
      <c r="B777" s="5" t="n"/>
      <c r="C777" s="5" t="n"/>
      <c r="D777" s="5" t="n"/>
      <c r="E777" s="4">
        <f>IF(C777="","",COUNTIF($C$7:C777,C777))</f>
        <v/>
      </c>
      <c r="F777" s="4">
        <f>IF(E777="","",IF(E777&lt;=3,6,IF(E777&lt;=6,5,IF(E777&lt;=9,4,IF(E777&lt;=12,3,IF(E777&lt;=15,2,0))))))</f>
        <v/>
      </c>
      <c r="G777" s="5" t="n"/>
      <c r="H777" s="4">
        <f>IF(OR(F777="",G777=""),"",F777*G777+IF(J777="",0,J777))</f>
        <v/>
      </c>
      <c r="I777" s="5" t="n"/>
      <c r="J777" s="5" t="n"/>
    </row>
    <row r="778">
      <c r="A778" s="5" t="n"/>
      <c r="B778" s="5" t="n"/>
      <c r="C778" s="5" t="n"/>
      <c r="D778" s="5" t="n"/>
      <c r="E778" s="4">
        <f>IF(C778="","",COUNTIF($C$7:C778,C778))</f>
        <v/>
      </c>
      <c r="F778" s="4">
        <f>IF(E778="","",IF(E778&lt;=3,6,IF(E778&lt;=6,5,IF(E778&lt;=9,4,IF(E778&lt;=12,3,IF(E778&lt;=15,2,0))))))</f>
        <v/>
      </c>
      <c r="G778" s="5" t="n"/>
      <c r="H778" s="4">
        <f>IF(OR(F778="",G778=""),"",F778*G778+IF(J778="",0,J778))</f>
        <v/>
      </c>
      <c r="I778" s="5" t="n"/>
      <c r="J778" s="5" t="n"/>
    </row>
    <row r="779">
      <c r="A779" s="5" t="n"/>
      <c r="B779" s="5" t="n"/>
      <c r="C779" s="5" t="n"/>
      <c r="D779" s="5" t="n"/>
      <c r="E779" s="4">
        <f>IF(C779="","",COUNTIF($C$7:C779,C779))</f>
        <v/>
      </c>
      <c r="F779" s="4">
        <f>IF(E779="","",IF(E779&lt;=3,6,IF(E779&lt;=6,5,IF(E779&lt;=9,4,IF(E779&lt;=12,3,IF(E779&lt;=15,2,0))))))</f>
        <v/>
      </c>
      <c r="G779" s="5" t="n"/>
      <c r="H779" s="4">
        <f>IF(OR(F779="",G779=""),"",F779*G779+IF(J779="",0,J779))</f>
        <v/>
      </c>
      <c r="I779" s="5" t="n"/>
      <c r="J779" s="5" t="n"/>
    </row>
    <row r="780">
      <c r="A780" s="5" t="n"/>
      <c r="B780" s="5" t="n"/>
      <c r="C780" s="5" t="n"/>
      <c r="D780" s="5" t="n"/>
      <c r="E780" s="4">
        <f>IF(C780="","",COUNTIF($C$7:C780,C780))</f>
        <v/>
      </c>
      <c r="F780" s="4">
        <f>IF(E780="","",IF(E780&lt;=3,6,IF(E780&lt;=6,5,IF(E780&lt;=9,4,IF(E780&lt;=12,3,IF(E780&lt;=15,2,0))))))</f>
        <v/>
      </c>
      <c r="G780" s="5" t="n"/>
      <c r="H780" s="4">
        <f>IF(OR(F780="",G780=""),"",F780*G780+IF(J780="",0,J780))</f>
        <v/>
      </c>
      <c r="I780" s="5" t="n"/>
      <c r="J780" s="5" t="n"/>
    </row>
    <row r="781">
      <c r="A781" s="5" t="n"/>
      <c r="B781" s="5" t="n"/>
      <c r="C781" s="5" t="n"/>
      <c r="D781" s="5" t="n"/>
      <c r="E781" s="4">
        <f>IF(C781="","",COUNTIF($C$7:C781,C781))</f>
        <v/>
      </c>
      <c r="F781" s="4">
        <f>IF(E781="","",IF(E781&lt;=3,6,IF(E781&lt;=6,5,IF(E781&lt;=9,4,IF(E781&lt;=12,3,IF(E781&lt;=15,2,0))))))</f>
        <v/>
      </c>
      <c r="G781" s="5" t="n"/>
      <c r="H781" s="4">
        <f>IF(OR(F781="",G781=""),"",F781*G781+IF(J781="",0,J781))</f>
        <v/>
      </c>
      <c r="I781" s="5" t="n"/>
      <c r="J781" s="5" t="n"/>
    </row>
    <row r="782">
      <c r="A782" s="5" t="n"/>
      <c r="B782" s="5" t="n"/>
      <c r="C782" s="5" t="n"/>
      <c r="D782" s="5" t="n"/>
      <c r="E782" s="4">
        <f>IF(C782="","",COUNTIF($C$7:C782,C782))</f>
        <v/>
      </c>
      <c r="F782" s="4">
        <f>IF(E782="","",IF(E782&lt;=3,6,IF(E782&lt;=6,5,IF(E782&lt;=9,4,IF(E782&lt;=12,3,IF(E782&lt;=15,2,0))))))</f>
        <v/>
      </c>
      <c r="G782" s="5" t="n"/>
      <c r="H782" s="4">
        <f>IF(OR(F782="",G782=""),"",F782*G782+IF(J782="",0,J782))</f>
        <v/>
      </c>
      <c r="I782" s="5" t="n"/>
      <c r="J782" s="5" t="n"/>
    </row>
    <row r="783">
      <c r="A783" s="5" t="n"/>
      <c r="B783" s="5" t="n"/>
      <c r="C783" s="5" t="n"/>
      <c r="D783" s="5" t="n"/>
      <c r="E783" s="4">
        <f>IF(C783="","",COUNTIF($C$7:C783,C783))</f>
        <v/>
      </c>
      <c r="F783" s="4">
        <f>IF(E783="","",IF(E783&lt;=3,6,IF(E783&lt;=6,5,IF(E783&lt;=9,4,IF(E783&lt;=12,3,IF(E783&lt;=15,2,0))))))</f>
        <v/>
      </c>
      <c r="G783" s="5" t="n"/>
      <c r="H783" s="4">
        <f>IF(OR(F783="",G783=""),"",F783*G783+IF(J783="",0,J783))</f>
        <v/>
      </c>
      <c r="I783" s="5" t="n"/>
      <c r="J783" s="5" t="n"/>
    </row>
    <row r="784">
      <c r="A784" s="5" t="n"/>
      <c r="B784" s="5" t="n"/>
      <c r="C784" s="5" t="n"/>
      <c r="D784" s="5" t="n"/>
      <c r="E784" s="4">
        <f>IF(C784="","",COUNTIF($C$7:C784,C784))</f>
        <v/>
      </c>
      <c r="F784" s="4">
        <f>IF(E784="","",IF(E784&lt;=3,6,IF(E784&lt;=6,5,IF(E784&lt;=9,4,IF(E784&lt;=12,3,IF(E784&lt;=15,2,0))))))</f>
        <v/>
      </c>
      <c r="G784" s="5" t="n"/>
      <c r="H784" s="4">
        <f>IF(OR(F784="",G784=""),"",F784*G784+IF(J784="",0,J784))</f>
        <v/>
      </c>
      <c r="I784" s="5" t="n"/>
      <c r="J784" s="5" t="n"/>
    </row>
    <row r="785">
      <c r="A785" s="5" t="n"/>
      <c r="B785" s="5" t="n"/>
      <c r="C785" s="5" t="n"/>
      <c r="D785" s="5" t="n"/>
      <c r="E785" s="4">
        <f>IF(C785="","",COUNTIF($C$7:C785,C785))</f>
        <v/>
      </c>
      <c r="F785" s="4">
        <f>IF(E785="","",IF(E785&lt;=3,6,IF(E785&lt;=6,5,IF(E785&lt;=9,4,IF(E785&lt;=12,3,IF(E785&lt;=15,2,0))))))</f>
        <v/>
      </c>
      <c r="G785" s="5" t="n"/>
      <c r="H785" s="4">
        <f>IF(OR(F785="",G785=""),"",F785*G785+IF(J785="",0,J785))</f>
        <v/>
      </c>
      <c r="I785" s="5" t="n"/>
      <c r="J785" s="5" t="n"/>
    </row>
    <row r="786">
      <c r="A786" s="5" t="n"/>
      <c r="B786" s="5" t="n"/>
      <c r="C786" s="5" t="n"/>
      <c r="D786" s="5" t="n"/>
      <c r="E786" s="4">
        <f>IF(C786="","",COUNTIF($C$7:C786,C786))</f>
        <v/>
      </c>
      <c r="F786" s="4">
        <f>IF(E786="","",IF(E786&lt;=3,6,IF(E786&lt;=6,5,IF(E786&lt;=9,4,IF(E786&lt;=12,3,IF(E786&lt;=15,2,0))))))</f>
        <v/>
      </c>
      <c r="G786" s="5" t="n"/>
      <c r="H786" s="4">
        <f>IF(OR(F786="",G786=""),"",F786*G786+IF(J786="",0,J786))</f>
        <v/>
      </c>
      <c r="I786" s="5" t="n"/>
      <c r="J786" s="5" t="n"/>
    </row>
    <row r="787">
      <c r="A787" s="5" t="n"/>
      <c r="B787" s="5" t="n"/>
      <c r="C787" s="5" t="n"/>
      <c r="D787" s="5" t="n"/>
      <c r="E787" s="4">
        <f>IF(C787="","",COUNTIF($C$7:C787,C787))</f>
        <v/>
      </c>
      <c r="F787" s="4">
        <f>IF(E787="","",IF(E787&lt;=3,6,IF(E787&lt;=6,5,IF(E787&lt;=9,4,IF(E787&lt;=12,3,IF(E787&lt;=15,2,0))))))</f>
        <v/>
      </c>
      <c r="G787" s="5" t="n"/>
      <c r="H787" s="4">
        <f>IF(OR(F787="",G787=""),"",F787*G787+IF(J787="",0,J787))</f>
        <v/>
      </c>
      <c r="I787" s="5" t="n"/>
      <c r="J787" s="5" t="n"/>
    </row>
    <row r="788">
      <c r="A788" s="5" t="n"/>
      <c r="B788" s="5" t="n"/>
      <c r="C788" s="5" t="n"/>
      <c r="D788" s="5" t="n"/>
      <c r="E788" s="4">
        <f>IF(C788="","",COUNTIF($C$7:C788,C788))</f>
        <v/>
      </c>
      <c r="F788" s="4">
        <f>IF(E788="","",IF(E788&lt;=3,6,IF(E788&lt;=6,5,IF(E788&lt;=9,4,IF(E788&lt;=12,3,IF(E788&lt;=15,2,0))))))</f>
        <v/>
      </c>
      <c r="G788" s="5" t="n"/>
      <c r="H788" s="4">
        <f>IF(OR(F788="",G788=""),"",F788*G788+IF(J788="",0,J788))</f>
        <v/>
      </c>
      <c r="I788" s="5" t="n"/>
      <c r="J788" s="5" t="n"/>
    </row>
    <row r="789">
      <c r="A789" s="5" t="n"/>
      <c r="B789" s="5" t="n"/>
      <c r="C789" s="5" t="n"/>
      <c r="D789" s="5" t="n"/>
      <c r="E789" s="4">
        <f>IF(C789="","",COUNTIF($C$7:C789,C789))</f>
        <v/>
      </c>
      <c r="F789" s="4">
        <f>IF(E789="","",IF(E789&lt;=3,6,IF(E789&lt;=6,5,IF(E789&lt;=9,4,IF(E789&lt;=12,3,IF(E789&lt;=15,2,0))))))</f>
        <v/>
      </c>
      <c r="G789" s="5" t="n"/>
      <c r="H789" s="4">
        <f>IF(OR(F789="",G789=""),"",F789*G789+IF(J789="",0,J789))</f>
        <v/>
      </c>
      <c r="I789" s="5" t="n"/>
      <c r="J789" s="5" t="n"/>
    </row>
    <row r="790">
      <c r="A790" s="5" t="n"/>
      <c r="B790" s="5" t="n"/>
      <c r="C790" s="5" t="n"/>
      <c r="D790" s="5" t="n"/>
      <c r="E790" s="4">
        <f>IF(C790="","",COUNTIF($C$7:C790,C790))</f>
        <v/>
      </c>
      <c r="F790" s="4">
        <f>IF(E790="","",IF(E790&lt;=3,6,IF(E790&lt;=6,5,IF(E790&lt;=9,4,IF(E790&lt;=12,3,IF(E790&lt;=15,2,0))))))</f>
        <v/>
      </c>
      <c r="G790" s="5" t="n"/>
      <c r="H790" s="4">
        <f>IF(OR(F790="",G790=""),"",F790*G790+IF(J790="",0,J790))</f>
        <v/>
      </c>
      <c r="I790" s="5" t="n"/>
      <c r="J790" s="5" t="n"/>
    </row>
    <row r="791">
      <c r="A791" s="5" t="n"/>
      <c r="B791" s="5" t="n"/>
      <c r="C791" s="5" t="n"/>
      <c r="D791" s="5" t="n"/>
      <c r="E791" s="4">
        <f>IF(C791="","",COUNTIF($C$7:C791,C791))</f>
        <v/>
      </c>
      <c r="F791" s="4">
        <f>IF(E791="","",IF(E791&lt;=3,6,IF(E791&lt;=6,5,IF(E791&lt;=9,4,IF(E791&lt;=12,3,IF(E791&lt;=15,2,0))))))</f>
        <v/>
      </c>
      <c r="G791" s="5" t="n"/>
      <c r="H791" s="4">
        <f>IF(OR(F791="",G791=""),"",F791*G791+IF(J791="",0,J791))</f>
        <v/>
      </c>
      <c r="I791" s="5" t="n"/>
      <c r="J791" s="5" t="n"/>
    </row>
    <row r="792">
      <c r="A792" s="5" t="n"/>
      <c r="B792" s="5" t="n"/>
      <c r="C792" s="5" t="n"/>
      <c r="D792" s="5" t="n"/>
      <c r="E792" s="4">
        <f>IF(C792="","",COUNTIF($C$7:C792,C792))</f>
        <v/>
      </c>
      <c r="F792" s="4">
        <f>IF(E792="","",IF(E792&lt;=3,6,IF(E792&lt;=6,5,IF(E792&lt;=9,4,IF(E792&lt;=12,3,IF(E792&lt;=15,2,0))))))</f>
        <v/>
      </c>
      <c r="G792" s="5" t="n"/>
      <c r="H792" s="4">
        <f>IF(OR(F792="",G792=""),"",F792*G792+IF(J792="",0,J792))</f>
        <v/>
      </c>
      <c r="I792" s="5" t="n"/>
      <c r="J792" s="5" t="n"/>
    </row>
    <row r="793">
      <c r="A793" s="5" t="n"/>
      <c r="B793" s="5" t="n"/>
      <c r="C793" s="5" t="n"/>
      <c r="D793" s="5" t="n"/>
      <c r="E793" s="4">
        <f>IF(C793="","",COUNTIF($C$7:C793,C793))</f>
        <v/>
      </c>
      <c r="F793" s="4">
        <f>IF(E793="","",IF(E793&lt;=3,6,IF(E793&lt;=6,5,IF(E793&lt;=9,4,IF(E793&lt;=12,3,IF(E793&lt;=15,2,0))))))</f>
        <v/>
      </c>
      <c r="G793" s="5" t="n"/>
      <c r="H793" s="4">
        <f>IF(OR(F793="",G793=""),"",F793*G793+IF(J793="",0,J793))</f>
        <v/>
      </c>
      <c r="I793" s="5" t="n"/>
      <c r="J793" s="5" t="n"/>
    </row>
    <row r="794">
      <c r="A794" s="5" t="n"/>
      <c r="B794" s="5" t="n"/>
      <c r="C794" s="5" t="n"/>
      <c r="D794" s="5" t="n"/>
      <c r="E794" s="4">
        <f>IF(C794="","",COUNTIF($C$7:C794,C794))</f>
        <v/>
      </c>
      <c r="F794" s="4">
        <f>IF(E794="","",IF(E794&lt;=3,6,IF(E794&lt;=6,5,IF(E794&lt;=9,4,IF(E794&lt;=12,3,IF(E794&lt;=15,2,0))))))</f>
        <v/>
      </c>
      <c r="G794" s="5" t="n"/>
      <c r="H794" s="4">
        <f>IF(OR(F794="",G794=""),"",F794*G794+IF(J794="",0,J794))</f>
        <v/>
      </c>
      <c r="I794" s="5" t="n"/>
      <c r="J794" s="5" t="n"/>
    </row>
    <row r="795">
      <c r="A795" s="5" t="n"/>
      <c r="B795" s="5" t="n"/>
      <c r="C795" s="5" t="n"/>
      <c r="D795" s="5" t="n"/>
      <c r="E795" s="4">
        <f>IF(C795="","",COUNTIF($C$7:C795,C795))</f>
        <v/>
      </c>
      <c r="F795" s="4">
        <f>IF(E795="","",IF(E795&lt;=3,6,IF(E795&lt;=6,5,IF(E795&lt;=9,4,IF(E795&lt;=12,3,IF(E795&lt;=15,2,0))))))</f>
        <v/>
      </c>
      <c r="G795" s="5" t="n"/>
      <c r="H795" s="4">
        <f>IF(OR(F795="",G795=""),"",F795*G795+IF(J795="",0,J795))</f>
        <v/>
      </c>
      <c r="I795" s="5" t="n"/>
      <c r="J795" s="5" t="n"/>
    </row>
    <row r="796">
      <c r="A796" s="5" t="n"/>
      <c r="B796" s="5" t="n"/>
      <c r="C796" s="5" t="n"/>
      <c r="D796" s="5" t="n"/>
      <c r="E796" s="4">
        <f>IF(C796="","",COUNTIF($C$7:C796,C796))</f>
        <v/>
      </c>
      <c r="F796" s="4">
        <f>IF(E796="","",IF(E796&lt;=3,6,IF(E796&lt;=6,5,IF(E796&lt;=9,4,IF(E796&lt;=12,3,IF(E796&lt;=15,2,0))))))</f>
        <v/>
      </c>
      <c r="G796" s="5" t="n"/>
      <c r="H796" s="4">
        <f>IF(OR(F796="",G796=""),"",F796*G796+IF(J796="",0,J796))</f>
        <v/>
      </c>
      <c r="I796" s="5" t="n"/>
      <c r="J796" s="5" t="n"/>
    </row>
    <row r="797">
      <c r="A797" s="5" t="n"/>
      <c r="B797" s="5" t="n"/>
      <c r="C797" s="5" t="n"/>
      <c r="D797" s="5" t="n"/>
      <c r="E797" s="4">
        <f>IF(C797="","",COUNTIF($C$7:C797,C797))</f>
        <v/>
      </c>
      <c r="F797" s="4">
        <f>IF(E797="","",IF(E797&lt;=3,6,IF(E797&lt;=6,5,IF(E797&lt;=9,4,IF(E797&lt;=12,3,IF(E797&lt;=15,2,0))))))</f>
        <v/>
      </c>
      <c r="G797" s="5" t="n"/>
      <c r="H797" s="4">
        <f>IF(OR(F797="",G797=""),"",F797*G797+IF(J797="",0,J797))</f>
        <v/>
      </c>
      <c r="I797" s="5" t="n"/>
      <c r="J797" s="5" t="n"/>
    </row>
    <row r="798">
      <c r="A798" s="5" t="n"/>
      <c r="B798" s="5" t="n"/>
      <c r="C798" s="5" t="n"/>
      <c r="D798" s="5" t="n"/>
      <c r="E798" s="4">
        <f>IF(C798="","",COUNTIF($C$7:C798,C798))</f>
        <v/>
      </c>
      <c r="F798" s="4">
        <f>IF(E798="","",IF(E798&lt;=3,6,IF(E798&lt;=6,5,IF(E798&lt;=9,4,IF(E798&lt;=12,3,IF(E798&lt;=15,2,0))))))</f>
        <v/>
      </c>
      <c r="G798" s="5" t="n"/>
      <c r="H798" s="4">
        <f>IF(OR(F798="",G798=""),"",F798*G798+IF(J798="",0,J798))</f>
        <v/>
      </c>
      <c r="I798" s="5" t="n"/>
      <c r="J798" s="5" t="n"/>
    </row>
    <row r="799">
      <c r="A799" s="5" t="n"/>
      <c r="B799" s="5" t="n"/>
      <c r="C799" s="5" t="n"/>
      <c r="D799" s="5" t="n"/>
      <c r="E799" s="4">
        <f>IF(C799="","",COUNTIF($C$7:C799,C799))</f>
        <v/>
      </c>
      <c r="F799" s="4">
        <f>IF(E799="","",IF(E799&lt;=3,6,IF(E799&lt;=6,5,IF(E799&lt;=9,4,IF(E799&lt;=12,3,IF(E799&lt;=15,2,0))))))</f>
        <v/>
      </c>
      <c r="G799" s="5" t="n"/>
      <c r="H799" s="4">
        <f>IF(OR(F799="",G799=""),"",F799*G799+IF(J799="",0,J799))</f>
        <v/>
      </c>
      <c r="I799" s="5" t="n"/>
      <c r="J799" s="5" t="n"/>
    </row>
    <row r="800">
      <c r="A800" s="5" t="n"/>
      <c r="B800" s="5" t="n"/>
      <c r="C800" s="5" t="n"/>
      <c r="D800" s="5" t="n"/>
      <c r="E800" s="4">
        <f>IF(C800="","",COUNTIF($C$7:C800,C800))</f>
        <v/>
      </c>
      <c r="F800" s="4">
        <f>IF(E800="","",IF(E800&lt;=3,6,IF(E800&lt;=6,5,IF(E800&lt;=9,4,IF(E800&lt;=12,3,IF(E800&lt;=15,2,0))))))</f>
        <v/>
      </c>
      <c r="G800" s="5" t="n"/>
      <c r="H800" s="4">
        <f>IF(OR(F800="",G800=""),"",F800*G800+IF(J800="",0,J800))</f>
        <v/>
      </c>
      <c r="I800" s="5" t="n"/>
      <c r="J800" s="5" t="n"/>
    </row>
    <row r="801">
      <c r="A801" s="5" t="n"/>
      <c r="B801" s="5" t="n"/>
      <c r="C801" s="5" t="n"/>
      <c r="D801" s="5" t="n"/>
      <c r="E801" s="4">
        <f>IF(C801="","",COUNTIF($C$7:C801,C801))</f>
        <v/>
      </c>
      <c r="F801" s="4">
        <f>IF(E801="","",IF(E801&lt;=3,6,IF(E801&lt;=6,5,IF(E801&lt;=9,4,IF(E801&lt;=12,3,IF(E801&lt;=15,2,0))))))</f>
        <v/>
      </c>
      <c r="G801" s="5" t="n"/>
      <c r="H801" s="4">
        <f>IF(OR(F801="",G801=""),"",F801*G801+IF(J801="",0,J801))</f>
        <v/>
      </c>
      <c r="I801" s="5" t="n"/>
      <c r="J801" s="5" t="n"/>
    </row>
    <row r="802">
      <c r="A802" s="5" t="n"/>
      <c r="B802" s="5" t="n"/>
      <c r="C802" s="5" t="n"/>
      <c r="D802" s="5" t="n"/>
      <c r="E802" s="4">
        <f>IF(C802="","",COUNTIF($C$7:C802,C802))</f>
        <v/>
      </c>
      <c r="F802" s="4">
        <f>IF(E802="","",IF(E802&lt;=3,6,IF(E802&lt;=6,5,IF(E802&lt;=9,4,IF(E802&lt;=12,3,IF(E802&lt;=15,2,0))))))</f>
        <v/>
      </c>
      <c r="G802" s="5" t="n"/>
      <c r="H802" s="4">
        <f>IF(OR(F802="",G802=""),"",F802*G802+IF(J802="",0,J802))</f>
        <v/>
      </c>
      <c r="I802" s="5" t="n"/>
      <c r="J802" s="5" t="n"/>
    </row>
    <row r="803">
      <c r="A803" s="5" t="n"/>
      <c r="B803" s="5" t="n"/>
      <c r="C803" s="5" t="n"/>
      <c r="D803" s="5" t="n"/>
      <c r="E803" s="4">
        <f>IF(C803="","",COUNTIF($C$7:C803,C803))</f>
        <v/>
      </c>
      <c r="F803" s="4">
        <f>IF(E803="","",IF(E803&lt;=3,6,IF(E803&lt;=6,5,IF(E803&lt;=9,4,IF(E803&lt;=12,3,IF(E803&lt;=15,2,0))))))</f>
        <v/>
      </c>
      <c r="G803" s="5" t="n"/>
      <c r="H803" s="4">
        <f>IF(OR(F803="",G803=""),"",F803*G803+IF(J803="",0,J803))</f>
        <v/>
      </c>
      <c r="I803" s="5" t="n"/>
      <c r="J803" s="5" t="n"/>
    </row>
    <row r="804">
      <c r="A804" s="5" t="n"/>
      <c r="B804" s="5" t="n"/>
      <c r="C804" s="5" t="n"/>
      <c r="D804" s="5" t="n"/>
      <c r="E804" s="4">
        <f>IF(C804="","",COUNTIF($C$7:C804,C804))</f>
        <v/>
      </c>
      <c r="F804" s="4">
        <f>IF(E804="","",IF(E804&lt;=3,6,IF(E804&lt;=6,5,IF(E804&lt;=9,4,IF(E804&lt;=12,3,IF(E804&lt;=15,2,0))))))</f>
        <v/>
      </c>
      <c r="G804" s="5" t="n"/>
      <c r="H804" s="4">
        <f>IF(OR(F804="",G804=""),"",F804*G804+IF(J804="",0,J804))</f>
        <v/>
      </c>
      <c r="I804" s="5" t="n"/>
      <c r="J804" s="5" t="n"/>
    </row>
    <row r="805">
      <c r="A805" s="5" t="n"/>
      <c r="B805" s="5" t="n"/>
      <c r="C805" s="5" t="n"/>
      <c r="D805" s="5" t="n"/>
      <c r="E805" s="4">
        <f>IF(C805="","",COUNTIF($C$7:C805,C805))</f>
        <v/>
      </c>
      <c r="F805" s="4">
        <f>IF(E805="","",IF(E805&lt;=3,6,IF(E805&lt;=6,5,IF(E805&lt;=9,4,IF(E805&lt;=12,3,IF(E805&lt;=15,2,0))))))</f>
        <v/>
      </c>
      <c r="G805" s="5" t="n"/>
      <c r="H805" s="4">
        <f>IF(OR(F805="",G805=""),"",F805*G805+IF(J805="",0,J805))</f>
        <v/>
      </c>
      <c r="I805" s="5" t="n"/>
      <c r="J805" s="5" t="n"/>
    </row>
    <row r="806">
      <c r="A806" s="5" t="n"/>
      <c r="B806" s="5" t="n"/>
      <c r="C806" s="5" t="n"/>
      <c r="D806" s="5" t="n"/>
      <c r="E806" s="4">
        <f>IF(C806="","",COUNTIF($C$7:C806,C806))</f>
        <v/>
      </c>
      <c r="F806" s="4">
        <f>IF(E806="","",IF(E806&lt;=3,6,IF(E806&lt;=6,5,IF(E806&lt;=9,4,IF(E806&lt;=12,3,IF(E806&lt;=15,2,0))))))</f>
        <v/>
      </c>
      <c r="G806" s="5" t="n"/>
      <c r="H806" s="4">
        <f>IF(OR(F806="",G806=""),"",F806*G806+IF(J806="",0,J806))</f>
        <v/>
      </c>
      <c r="I806" s="5" t="n"/>
      <c r="J806" s="5" t="n"/>
    </row>
    <row r="807">
      <c r="A807" s="5" t="n"/>
      <c r="B807" s="5" t="n"/>
      <c r="C807" s="5" t="n"/>
      <c r="D807" s="5" t="n"/>
      <c r="E807" s="4">
        <f>IF(C807="","",COUNTIF($C$7:C807,C807))</f>
        <v/>
      </c>
      <c r="F807" s="4">
        <f>IF(E807="","",IF(E807&lt;=3,6,IF(E807&lt;=6,5,IF(E807&lt;=9,4,IF(E807&lt;=12,3,IF(E807&lt;=15,2,0))))))</f>
        <v/>
      </c>
      <c r="G807" s="5" t="n"/>
      <c r="H807" s="4">
        <f>IF(OR(F807="",G807=""),"",F807*G807+IF(J807="",0,J807))</f>
        <v/>
      </c>
      <c r="I807" s="5" t="n"/>
      <c r="J807" s="5" t="n"/>
    </row>
    <row r="808">
      <c r="A808" s="5" t="n"/>
      <c r="B808" s="5" t="n"/>
      <c r="C808" s="5" t="n"/>
      <c r="D808" s="5" t="n"/>
      <c r="E808" s="4">
        <f>IF(C808="","",COUNTIF($C$7:C808,C808))</f>
        <v/>
      </c>
      <c r="F808" s="4">
        <f>IF(E808="","",IF(E808&lt;=3,6,IF(E808&lt;=6,5,IF(E808&lt;=9,4,IF(E808&lt;=12,3,IF(E808&lt;=15,2,0))))))</f>
        <v/>
      </c>
      <c r="G808" s="5" t="n"/>
      <c r="H808" s="4">
        <f>IF(OR(F808="",G808=""),"",F808*G808+IF(J808="",0,J808))</f>
        <v/>
      </c>
      <c r="I808" s="5" t="n"/>
      <c r="J808" s="5" t="n"/>
    </row>
    <row r="809">
      <c r="A809" s="5" t="n"/>
      <c r="B809" s="5" t="n"/>
      <c r="C809" s="5" t="n"/>
      <c r="D809" s="5" t="n"/>
      <c r="E809" s="4">
        <f>IF(C809="","",COUNTIF($C$7:C809,C809))</f>
        <v/>
      </c>
      <c r="F809" s="4">
        <f>IF(E809="","",IF(E809&lt;=3,6,IF(E809&lt;=6,5,IF(E809&lt;=9,4,IF(E809&lt;=12,3,IF(E809&lt;=15,2,0))))))</f>
        <v/>
      </c>
      <c r="G809" s="5" t="n"/>
      <c r="H809" s="4">
        <f>IF(OR(F809="",G809=""),"",F809*G809+IF(J809="",0,J809))</f>
        <v/>
      </c>
      <c r="I809" s="5" t="n"/>
      <c r="J809" s="5" t="n"/>
    </row>
    <row r="810">
      <c r="A810" s="5" t="n"/>
      <c r="B810" s="5" t="n"/>
      <c r="C810" s="5" t="n"/>
      <c r="D810" s="5" t="n"/>
      <c r="E810" s="4">
        <f>IF(C810="","",COUNTIF($C$7:C810,C810))</f>
        <v/>
      </c>
      <c r="F810" s="4">
        <f>IF(E810="","",IF(E810&lt;=3,6,IF(E810&lt;=6,5,IF(E810&lt;=9,4,IF(E810&lt;=12,3,IF(E810&lt;=15,2,0))))))</f>
        <v/>
      </c>
      <c r="G810" s="5" t="n"/>
      <c r="H810" s="4">
        <f>IF(OR(F810="",G810=""),"",F810*G810+IF(J810="",0,J810))</f>
        <v/>
      </c>
      <c r="I810" s="5" t="n"/>
      <c r="J810" s="5" t="n"/>
    </row>
    <row r="811">
      <c r="A811" s="5" t="n"/>
      <c r="B811" s="5" t="n"/>
      <c r="C811" s="5" t="n"/>
      <c r="D811" s="5" t="n"/>
      <c r="E811" s="4">
        <f>IF(C811="","",COUNTIF($C$7:C811,C811))</f>
        <v/>
      </c>
      <c r="F811" s="4">
        <f>IF(E811="","",IF(E811&lt;=3,6,IF(E811&lt;=6,5,IF(E811&lt;=9,4,IF(E811&lt;=12,3,IF(E811&lt;=15,2,0))))))</f>
        <v/>
      </c>
      <c r="G811" s="5" t="n"/>
      <c r="H811" s="4">
        <f>IF(OR(F811="",G811=""),"",F811*G811+IF(J811="",0,J811))</f>
        <v/>
      </c>
      <c r="I811" s="5" t="n"/>
      <c r="J811" s="5" t="n"/>
    </row>
    <row r="812">
      <c r="A812" s="5" t="n"/>
      <c r="B812" s="5" t="n"/>
      <c r="C812" s="5" t="n"/>
      <c r="D812" s="5" t="n"/>
      <c r="E812" s="4">
        <f>IF(C812="","",COUNTIF($C$7:C812,C812))</f>
        <v/>
      </c>
      <c r="F812" s="4">
        <f>IF(E812="","",IF(E812&lt;=3,6,IF(E812&lt;=6,5,IF(E812&lt;=9,4,IF(E812&lt;=12,3,IF(E812&lt;=15,2,0))))))</f>
        <v/>
      </c>
      <c r="G812" s="5" t="n"/>
      <c r="H812" s="4">
        <f>IF(OR(F812="",G812=""),"",F812*G812+IF(J812="",0,J812))</f>
        <v/>
      </c>
      <c r="I812" s="5" t="n"/>
      <c r="J812" s="5" t="n"/>
    </row>
    <row r="813">
      <c r="A813" s="5" t="n"/>
      <c r="B813" s="5" t="n"/>
      <c r="C813" s="5" t="n"/>
      <c r="D813" s="5" t="n"/>
      <c r="E813" s="4">
        <f>IF(C813="","",COUNTIF($C$7:C813,C813))</f>
        <v/>
      </c>
      <c r="F813" s="4">
        <f>IF(E813="","",IF(E813&lt;=3,6,IF(E813&lt;=6,5,IF(E813&lt;=9,4,IF(E813&lt;=12,3,IF(E813&lt;=15,2,0))))))</f>
        <v/>
      </c>
      <c r="G813" s="5" t="n"/>
      <c r="H813" s="4">
        <f>IF(OR(F813="",G813=""),"",F813*G813+IF(J813="",0,J813))</f>
        <v/>
      </c>
      <c r="I813" s="5" t="n"/>
      <c r="J813" s="5" t="n"/>
    </row>
    <row r="814">
      <c r="A814" s="5" t="n"/>
      <c r="B814" s="5" t="n"/>
      <c r="C814" s="5" t="n"/>
      <c r="D814" s="5" t="n"/>
      <c r="E814" s="4">
        <f>IF(C814="","",COUNTIF($C$7:C814,C814))</f>
        <v/>
      </c>
      <c r="F814" s="4">
        <f>IF(E814="","",IF(E814&lt;=3,6,IF(E814&lt;=6,5,IF(E814&lt;=9,4,IF(E814&lt;=12,3,IF(E814&lt;=15,2,0))))))</f>
        <v/>
      </c>
      <c r="G814" s="5" t="n"/>
      <c r="H814" s="4">
        <f>IF(OR(F814="",G814=""),"",F814*G814+IF(J814="",0,J814))</f>
        <v/>
      </c>
      <c r="I814" s="5" t="n"/>
      <c r="J814" s="5" t="n"/>
    </row>
    <row r="815">
      <c r="A815" s="5" t="n"/>
      <c r="B815" s="5" t="n"/>
      <c r="C815" s="5" t="n"/>
      <c r="D815" s="5" t="n"/>
      <c r="E815" s="4">
        <f>IF(C815="","",COUNTIF($C$7:C815,C815))</f>
        <v/>
      </c>
      <c r="F815" s="4">
        <f>IF(E815="","",IF(E815&lt;=3,6,IF(E815&lt;=6,5,IF(E815&lt;=9,4,IF(E815&lt;=12,3,IF(E815&lt;=15,2,0))))))</f>
        <v/>
      </c>
      <c r="G815" s="5" t="n"/>
      <c r="H815" s="4">
        <f>IF(OR(F815="",G815=""),"",F815*G815+IF(J815="",0,J815))</f>
        <v/>
      </c>
      <c r="I815" s="5" t="n"/>
      <c r="J815" s="5" t="n"/>
    </row>
    <row r="816">
      <c r="A816" s="5" t="n"/>
      <c r="B816" s="5" t="n"/>
      <c r="C816" s="5" t="n"/>
      <c r="D816" s="5" t="n"/>
      <c r="E816" s="4">
        <f>IF(C816="","",COUNTIF($C$7:C816,C816))</f>
        <v/>
      </c>
      <c r="F816" s="4">
        <f>IF(E816="","",IF(E816&lt;=3,6,IF(E816&lt;=6,5,IF(E816&lt;=9,4,IF(E816&lt;=12,3,IF(E816&lt;=15,2,0))))))</f>
        <v/>
      </c>
      <c r="G816" s="5" t="n"/>
      <c r="H816" s="4">
        <f>IF(OR(F816="",G816=""),"",F816*G816+IF(J816="",0,J816))</f>
        <v/>
      </c>
      <c r="I816" s="5" t="n"/>
      <c r="J816" s="5" t="n"/>
    </row>
    <row r="817">
      <c r="A817" s="5" t="n"/>
      <c r="B817" s="5" t="n"/>
      <c r="C817" s="5" t="n"/>
      <c r="D817" s="5" t="n"/>
      <c r="E817" s="4">
        <f>IF(C817="","",COUNTIF($C$7:C817,C817))</f>
        <v/>
      </c>
      <c r="F817" s="4">
        <f>IF(E817="","",IF(E817&lt;=3,6,IF(E817&lt;=6,5,IF(E817&lt;=9,4,IF(E817&lt;=12,3,IF(E817&lt;=15,2,0))))))</f>
        <v/>
      </c>
      <c r="G817" s="5" t="n"/>
      <c r="H817" s="4">
        <f>IF(OR(F817="",G817=""),"",F817*G817+IF(J817="",0,J817))</f>
        <v/>
      </c>
      <c r="I817" s="5" t="n"/>
      <c r="J817" s="5" t="n"/>
    </row>
    <row r="818">
      <c r="A818" s="5" t="n"/>
      <c r="B818" s="5" t="n"/>
      <c r="C818" s="5" t="n"/>
      <c r="D818" s="5" t="n"/>
      <c r="E818" s="4">
        <f>IF(C818="","",COUNTIF($C$7:C818,C818))</f>
        <v/>
      </c>
      <c r="F818" s="4">
        <f>IF(E818="","",IF(E818&lt;=3,6,IF(E818&lt;=6,5,IF(E818&lt;=9,4,IF(E818&lt;=12,3,IF(E818&lt;=15,2,0))))))</f>
        <v/>
      </c>
      <c r="G818" s="5" t="n"/>
      <c r="H818" s="4">
        <f>IF(OR(F818="",G818=""),"",F818*G818+IF(J818="",0,J818))</f>
        <v/>
      </c>
      <c r="I818" s="5" t="n"/>
      <c r="J818" s="5" t="n"/>
    </row>
    <row r="819">
      <c r="A819" s="5" t="n"/>
      <c r="B819" s="5" t="n"/>
      <c r="C819" s="5" t="n"/>
      <c r="D819" s="5" t="n"/>
      <c r="E819" s="4">
        <f>IF(C819="","",COUNTIF($C$7:C819,C819))</f>
        <v/>
      </c>
      <c r="F819" s="4">
        <f>IF(E819="","",IF(E819&lt;=3,6,IF(E819&lt;=6,5,IF(E819&lt;=9,4,IF(E819&lt;=12,3,IF(E819&lt;=15,2,0))))))</f>
        <v/>
      </c>
      <c r="G819" s="5" t="n"/>
      <c r="H819" s="4">
        <f>IF(OR(F819="",G819=""),"",F819*G819+IF(J819="",0,J819))</f>
        <v/>
      </c>
      <c r="I819" s="5" t="n"/>
      <c r="J819" s="5" t="n"/>
    </row>
    <row r="820">
      <c r="A820" s="5" t="n"/>
      <c r="B820" s="5" t="n"/>
      <c r="C820" s="5" t="n"/>
      <c r="D820" s="5" t="n"/>
      <c r="E820" s="4">
        <f>IF(C820="","",COUNTIF($C$7:C820,C820))</f>
        <v/>
      </c>
      <c r="F820" s="4">
        <f>IF(E820="","",IF(E820&lt;=3,6,IF(E820&lt;=6,5,IF(E820&lt;=9,4,IF(E820&lt;=12,3,IF(E820&lt;=15,2,0))))))</f>
        <v/>
      </c>
      <c r="G820" s="5" t="n"/>
      <c r="H820" s="4">
        <f>IF(OR(F820="",G820=""),"",F820*G820+IF(J820="",0,J820))</f>
        <v/>
      </c>
      <c r="I820" s="5" t="n"/>
      <c r="J820" s="5" t="n"/>
    </row>
    <row r="821">
      <c r="A821" s="5" t="n"/>
      <c r="B821" s="5" t="n"/>
      <c r="C821" s="5" t="n"/>
      <c r="D821" s="5" t="n"/>
      <c r="E821" s="4">
        <f>IF(C821="","",COUNTIF($C$7:C821,C821))</f>
        <v/>
      </c>
      <c r="F821" s="4">
        <f>IF(E821="","",IF(E821&lt;=3,6,IF(E821&lt;=6,5,IF(E821&lt;=9,4,IF(E821&lt;=12,3,IF(E821&lt;=15,2,0))))))</f>
        <v/>
      </c>
      <c r="G821" s="5" t="n"/>
      <c r="H821" s="4">
        <f>IF(OR(F821="",G821=""),"",F821*G821+IF(J821="",0,J821))</f>
        <v/>
      </c>
      <c r="I821" s="5" t="n"/>
      <c r="J821" s="5" t="n"/>
    </row>
    <row r="822">
      <c r="A822" s="5" t="n"/>
      <c r="B822" s="5" t="n"/>
      <c r="C822" s="5" t="n"/>
      <c r="D822" s="5" t="n"/>
      <c r="E822" s="4">
        <f>IF(C822="","",COUNTIF($C$7:C822,C822))</f>
        <v/>
      </c>
      <c r="F822" s="4">
        <f>IF(E822="","",IF(E822&lt;=3,6,IF(E822&lt;=6,5,IF(E822&lt;=9,4,IF(E822&lt;=12,3,IF(E822&lt;=15,2,0))))))</f>
        <v/>
      </c>
      <c r="G822" s="5" t="n"/>
      <c r="H822" s="4">
        <f>IF(OR(F822="",G822=""),"",F822*G822+IF(J822="",0,J822))</f>
        <v/>
      </c>
      <c r="I822" s="5" t="n"/>
      <c r="J822" s="5" t="n"/>
    </row>
    <row r="823">
      <c r="A823" s="5" t="n"/>
      <c r="B823" s="5" t="n"/>
      <c r="C823" s="5" t="n"/>
      <c r="D823" s="5" t="n"/>
      <c r="E823" s="4">
        <f>IF(C823="","",COUNTIF($C$7:C823,C823))</f>
        <v/>
      </c>
      <c r="F823" s="4">
        <f>IF(E823="","",IF(E823&lt;=3,6,IF(E823&lt;=6,5,IF(E823&lt;=9,4,IF(E823&lt;=12,3,IF(E823&lt;=15,2,0))))))</f>
        <v/>
      </c>
      <c r="G823" s="5" t="n"/>
      <c r="H823" s="4">
        <f>IF(OR(F823="",G823=""),"",F823*G823+IF(J823="",0,J823))</f>
        <v/>
      </c>
      <c r="I823" s="5" t="n"/>
      <c r="J823" s="5" t="n"/>
    </row>
    <row r="824">
      <c r="A824" s="5" t="n"/>
      <c r="B824" s="5" t="n"/>
      <c r="C824" s="5" t="n"/>
      <c r="D824" s="5" t="n"/>
      <c r="E824" s="4">
        <f>IF(C824="","",COUNTIF($C$7:C824,C824))</f>
        <v/>
      </c>
      <c r="F824" s="4">
        <f>IF(E824="","",IF(E824&lt;=3,6,IF(E824&lt;=6,5,IF(E824&lt;=9,4,IF(E824&lt;=12,3,IF(E824&lt;=15,2,0))))))</f>
        <v/>
      </c>
      <c r="G824" s="5" t="n"/>
      <c r="H824" s="4">
        <f>IF(OR(F824="",G824=""),"",F824*G824+IF(J824="",0,J824))</f>
        <v/>
      </c>
      <c r="I824" s="5" t="n"/>
      <c r="J824" s="5" t="n"/>
    </row>
    <row r="825">
      <c r="A825" s="5" t="n"/>
      <c r="B825" s="5" t="n"/>
      <c r="C825" s="5" t="n"/>
      <c r="D825" s="5" t="n"/>
      <c r="E825" s="4">
        <f>IF(C825="","",COUNTIF($C$7:C825,C825))</f>
        <v/>
      </c>
      <c r="F825" s="4">
        <f>IF(E825="","",IF(E825&lt;=3,6,IF(E825&lt;=6,5,IF(E825&lt;=9,4,IF(E825&lt;=12,3,IF(E825&lt;=15,2,0))))))</f>
        <v/>
      </c>
      <c r="G825" s="5" t="n"/>
      <c r="H825" s="4">
        <f>IF(OR(F825="",G825=""),"",F825*G825+IF(J825="",0,J825))</f>
        <v/>
      </c>
      <c r="I825" s="5" t="n"/>
      <c r="J825" s="5" t="n"/>
    </row>
    <row r="826">
      <c r="A826" s="5" t="n"/>
      <c r="B826" s="5" t="n"/>
      <c r="C826" s="5" t="n"/>
      <c r="D826" s="5" t="n"/>
      <c r="E826" s="4">
        <f>IF(C826="","",COUNTIF($C$7:C826,C826))</f>
        <v/>
      </c>
      <c r="F826" s="4">
        <f>IF(E826="","",IF(E826&lt;=3,6,IF(E826&lt;=6,5,IF(E826&lt;=9,4,IF(E826&lt;=12,3,IF(E826&lt;=15,2,0))))))</f>
        <v/>
      </c>
      <c r="G826" s="5" t="n"/>
      <c r="H826" s="4">
        <f>IF(OR(F826="",G826=""),"",F826*G826+IF(J826="",0,J826))</f>
        <v/>
      </c>
      <c r="I826" s="5" t="n"/>
      <c r="J826" s="5" t="n"/>
    </row>
    <row r="827">
      <c r="A827" s="5" t="n"/>
      <c r="B827" s="5" t="n"/>
      <c r="C827" s="5" t="n"/>
      <c r="D827" s="5" t="n"/>
      <c r="E827" s="4">
        <f>IF(C827="","",COUNTIF($C$7:C827,C827))</f>
        <v/>
      </c>
      <c r="F827" s="4">
        <f>IF(E827="","",IF(E827&lt;=3,6,IF(E827&lt;=6,5,IF(E827&lt;=9,4,IF(E827&lt;=12,3,IF(E827&lt;=15,2,0))))))</f>
        <v/>
      </c>
      <c r="G827" s="5" t="n"/>
      <c r="H827" s="4">
        <f>IF(OR(F827="",G827=""),"",F827*G827+IF(J827="",0,J827))</f>
        <v/>
      </c>
      <c r="I827" s="5" t="n"/>
      <c r="J827" s="5" t="n"/>
    </row>
    <row r="828">
      <c r="A828" s="5" t="n"/>
      <c r="B828" s="5" t="n"/>
      <c r="C828" s="5" t="n"/>
      <c r="D828" s="5" t="n"/>
      <c r="E828" s="4">
        <f>IF(C828="","",COUNTIF($C$7:C828,C828))</f>
        <v/>
      </c>
      <c r="F828" s="4">
        <f>IF(E828="","",IF(E828&lt;=3,6,IF(E828&lt;=6,5,IF(E828&lt;=9,4,IF(E828&lt;=12,3,IF(E828&lt;=15,2,0))))))</f>
        <v/>
      </c>
      <c r="G828" s="5" t="n"/>
      <c r="H828" s="4">
        <f>IF(OR(F828="",G828=""),"",F828*G828+IF(J828="",0,J828))</f>
        <v/>
      </c>
      <c r="I828" s="5" t="n"/>
      <c r="J828" s="5" t="n"/>
    </row>
    <row r="829">
      <c r="A829" s="5" t="n"/>
      <c r="B829" s="5" t="n"/>
      <c r="C829" s="5" t="n"/>
      <c r="D829" s="5" t="n"/>
      <c r="E829" s="4">
        <f>IF(C829="","",COUNTIF($C$7:C829,C829))</f>
        <v/>
      </c>
      <c r="F829" s="4">
        <f>IF(E829="","",IF(E829&lt;=3,6,IF(E829&lt;=6,5,IF(E829&lt;=9,4,IF(E829&lt;=12,3,IF(E829&lt;=15,2,0))))))</f>
        <v/>
      </c>
      <c r="G829" s="5" t="n"/>
      <c r="H829" s="4">
        <f>IF(OR(F829="",G829=""),"",F829*G829+IF(J829="",0,J829))</f>
        <v/>
      </c>
      <c r="I829" s="5" t="n"/>
      <c r="J829" s="5" t="n"/>
    </row>
    <row r="830">
      <c r="A830" s="5" t="n"/>
      <c r="B830" s="5" t="n"/>
      <c r="C830" s="5" t="n"/>
      <c r="D830" s="5" t="n"/>
      <c r="E830" s="4">
        <f>IF(C830="","",COUNTIF($C$7:C830,C830))</f>
        <v/>
      </c>
      <c r="F830" s="4">
        <f>IF(E830="","",IF(E830&lt;=3,6,IF(E830&lt;=6,5,IF(E830&lt;=9,4,IF(E830&lt;=12,3,IF(E830&lt;=15,2,0))))))</f>
        <v/>
      </c>
      <c r="G830" s="5" t="n"/>
      <c r="H830" s="4">
        <f>IF(OR(F830="",G830=""),"",F830*G830+IF(J830="",0,J830))</f>
        <v/>
      </c>
      <c r="I830" s="5" t="n"/>
      <c r="J830" s="5" t="n"/>
    </row>
    <row r="831">
      <c r="A831" s="5" t="n"/>
      <c r="B831" s="5" t="n"/>
      <c r="C831" s="5" t="n"/>
      <c r="D831" s="5" t="n"/>
      <c r="E831" s="4">
        <f>IF(C831="","",COUNTIF($C$7:C831,C831))</f>
        <v/>
      </c>
      <c r="F831" s="4">
        <f>IF(E831="","",IF(E831&lt;=3,6,IF(E831&lt;=6,5,IF(E831&lt;=9,4,IF(E831&lt;=12,3,IF(E831&lt;=15,2,0))))))</f>
        <v/>
      </c>
      <c r="G831" s="5" t="n"/>
      <c r="H831" s="4">
        <f>IF(OR(F831="",G831=""),"",F831*G831+IF(J831="",0,J831))</f>
        <v/>
      </c>
      <c r="I831" s="5" t="n"/>
      <c r="J831" s="5" t="n"/>
    </row>
    <row r="832">
      <c r="A832" s="5" t="n"/>
      <c r="B832" s="5" t="n"/>
      <c r="C832" s="5" t="n"/>
      <c r="D832" s="5" t="n"/>
      <c r="E832" s="4">
        <f>IF(C832="","",COUNTIF($C$7:C832,C832))</f>
        <v/>
      </c>
      <c r="F832" s="4">
        <f>IF(E832="","",IF(E832&lt;=3,6,IF(E832&lt;=6,5,IF(E832&lt;=9,4,IF(E832&lt;=12,3,IF(E832&lt;=15,2,0))))))</f>
        <v/>
      </c>
      <c r="G832" s="5" t="n"/>
      <c r="H832" s="4">
        <f>IF(OR(F832="",G832=""),"",F832*G832+IF(J832="",0,J832))</f>
        <v/>
      </c>
      <c r="I832" s="5" t="n"/>
      <c r="J832" s="5" t="n"/>
    </row>
    <row r="833">
      <c r="A833" s="5" t="n"/>
      <c r="B833" s="5" t="n"/>
      <c r="C833" s="5" t="n"/>
      <c r="D833" s="5" t="n"/>
      <c r="E833" s="4">
        <f>IF(C833="","",COUNTIF($C$7:C833,C833))</f>
        <v/>
      </c>
      <c r="F833" s="4">
        <f>IF(E833="","",IF(E833&lt;=3,6,IF(E833&lt;=6,5,IF(E833&lt;=9,4,IF(E833&lt;=12,3,IF(E833&lt;=15,2,0))))))</f>
        <v/>
      </c>
      <c r="G833" s="5" t="n"/>
      <c r="H833" s="4">
        <f>IF(OR(F833="",G833=""),"",F833*G833+IF(J833="",0,J833))</f>
        <v/>
      </c>
      <c r="I833" s="5" t="n"/>
      <c r="J833" s="5" t="n"/>
    </row>
    <row r="834">
      <c r="A834" s="5" t="n"/>
      <c r="B834" s="5" t="n"/>
      <c r="C834" s="5" t="n"/>
      <c r="D834" s="5" t="n"/>
      <c r="E834" s="4">
        <f>IF(C834="","",COUNTIF($C$7:C834,C834))</f>
        <v/>
      </c>
      <c r="F834" s="4">
        <f>IF(E834="","",IF(E834&lt;=3,6,IF(E834&lt;=6,5,IF(E834&lt;=9,4,IF(E834&lt;=12,3,IF(E834&lt;=15,2,0))))))</f>
        <v/>
      </c>
      <c r="G834" s="5" t="n"/>
      <c r="H834" s="4">
        <f>IF(OR(F834="",G834=""),"",F834*G834+IF(J834="",0,J834))</f>
        <v/>
      </c>
      <c r="I834" s="5" t="n"/>
      <c r="J834" s="5" t="n"/>
    </row>
    <row r="835">
      <c r="A835" s="5" t="n"/>
      <c r="B835" s="5" t="n"/>
      <c r="C835" s="5" t="n"/>
      <c r="D835" s="5" t="n"/>
      <c r="E835" s="4">
        <f>IF(C835="","",COUNTIF($C$7:C835,C835))</f>
        <v/>
      </c>
      <c r="F835" s="4">
        <f>IF(E835="","",IF(E835&lt;=3,6,IF(E835&lt;=6,5,IF(E835&lt;=9,4,IF(E835&lt;=12,3,IF(E835&lt;=15,2,0))))))</f>
        <v/>
      </c>
      <c r="G835" s="5" t="n"/>
      <c r="H835" s="4">
        <f>IF(OR(F835="",G835=""),"",F835*G835+IF(J835="",0,J835))</f>
        <v/>
      </c>
      <c r="I835" s="5" t="n"/>
      <c r="J835" s="5" t="n"/>
    </row>
    <row r="836">
      <c r="A836" s="5" t="n"/>
      <c r="B836" s="5" t="n"/>
      <c r="C836" s="5" t="n"/>
      <c r="D836" s="5" t="n"/>
      <c r="E836" s="4">
        <f>IF(C836="","",COUNTIF($C$7:C836,C836))</f>
        <v/>
      </c>
      <c r="F836" s="4">
        <f>IF(E836="","",IF(E836&lt;=3,6,IF(E836&lt;=6,5,IF(E836&lt;=9,4,IF(E836&lt;=12,3,IF(E836&lt;=15,2,0))))))</f>
        <v/>
      </c>
      <c r="G836" s="5" t="n"/>
      <c r="H836" s="4">
        <f>IF(OR(F836="",G836=""),"",F836*G836+IF(J836="",0,J836))</f>
        <v/>
      </c>
      <c r="I836" s="5" t="n"/>
      <c r="J836" s="5" t="n"/>
    </row>
    <row r="837">
      <c r="A837" s="5" t="n"/>
      <c r="B837" s="5" t="n"/>
      <c r="C837" s="5" t="n"/>
      <c r="D837" s="5" t="n"/>
      <c r="E837" s="4">
        <f>IF(C837="","",COUNTIF($C$7:C837,C837))</f>
        <v/>
      </c>
      <c r="F837" s="4">
        <f>IF(E837="","",IF(E837&lt;=3,6,IF(E837&lt;=6,5,IF(E837&lt;=9,4,IF(E837&lt;=12,3,IF(E837&lt;=15,2,0))))))</f>
        <v/>
      </c>
      <c r="G837" s="5" t="n"/>
      <c r="H837" s="4">
        <f>IF(OR(F837="",G837=""),"",F837*G837+IF(J837="",0,J837))</f>
        <v/>
      </c>
      <c r="I837" s="5" t="n"/>
      <c r="J837" s="5" t="n"/>
    </row>
    <row r="838">
      <c r="A838" s="5" t="n"/>
      <c r="B838" s="5" t="n"/>
      <c r="C838" s="5" t="n"/>
      <c r="D838" s="5" t="n"/>
      <c r="E838" s="4">
        <f>IF(C838="","",COUNTIF($C$7:C838,C838))</f>
        <v/>
      </c>
      <c r="F838" s="4">
        <f>IF(E838="","",IF(E838&lt;=3,6,IF(E838&lt;=6,5,IF(E838&lt;=9,4,IF(E838&lt;=12,3,IF(E838&lt;=15,2,0))))))</f>
        <v/>
      </c>
      <c r="G838" s="5" t="n"/>
      <c r="H838" s="4">
        <f>IF(OR(F838="",G838=""),"",F838*G838+IF(J838="",0,J838))</f>
        <v/>
      </c>
      <c r="I838" s="5" t="n"/>
      <c r="J838" s="5" t="n"/>
    </row>
    <row r="839">
      <c r="A839" s="5" t="n"/>
      <c r="B839" s="5" t="n"/>
      <c r="C839" s="5" t="n"/>
      <c r="D839" s="5" t="n"/>
      <c r="E839" s="4">
        <f>IF(C839="","",COUNTIF($C$7:C839,C839))</f>
        <v/>
      </c>
      <c r="F839" s="4">
        <f>IF(E839="","",IF(E839&lt;=3,6,IF(E839&lt;=6,5,IF(E839&lt;=9,4,IF(E839&lt;=12,3,IF(E839&lt;=15,2,0))))))</f>
        <v/>
      </c>
      <c r="G839" s="5" t="n"/>
      <c r="H839" s="4">
        <f>IF(OR(F839="",G839=""),"",F839*G839+IF(J839="",0,J839))</f>
        <v/>
      </c>
      <c r="I839" s="5" t="n"/>
      <c r="J839" s="5" t="n"/>
    </row>
    <row r="840">
      <c r="A840" s="5" t="n"/>
      <c r="B840" s="5" t="n"/>
      <c r="C840" s="5" t="n"/>
      <c r="D840" s="5" t="n"/>
      <c r="E840" s="4">
        <f>IF(C840="","",COUNTIF($C$7:C840,C840))</f>
        <v/>
      </c>
      <c r="F840" s="4">
        <f>IF(E840="","",IF(E840&lt;=3,6,IF(E840&lt;=6,5,IF(E840&lt;=9,4,IF(E840&lt;=12,3,IF(E840&lt;=15,2,0))))))</f>
        <v/>
      </c>
      <c r="G840" s="5" t="n"/>
      <c r="H840" s="4">
        <f>IF(OR(F840="",G840=""),"",F840*G840+IF(J840="",0,J840))</f>
        <v/>
      </c>
      <c r="I840" s="5" t="n"/>
      <c r="J840" s="5" t="n"/>
    </row>
    <row r="841">
      <c r="A841" s="5" t="n"/>
      <c r="B841" s="5" t="n"/>
      <c r="C841" s="5" t="n"/>
      <c r="D841" s="5" t="n"/>
      <c r="E841" s="4">
        <f>IF(C841="","",COUNTIF($C$7:C841,C841))</f>
        <v/>
      </c>
      <c r="F841" s="4">
        <f>IF(E841="","",IF(E841&lt;=3,6,IF(E841&lt;=6,5,IF(E841&lt;=9,4,IF(E841&lt;=12,3,IF(E841&lt;=15,2,0))))))</f>
        <v/>
      </c>
      <c r="G841" s="5" t="n"/>
      <c r="H841" s="4">
        <f>IF(OR(F841="",G841=""),"",F841*G841+IF(J841="",0,J841))</f>
        <v/>
      </c>
      <c r="I841" s="5" t="n"/>
      <c r="J841" s="5" t="n"/>
    </row>
    <row r="842">
      <c r="A842" s="5" t="n"/>
      <c r="B842" s="5" t="n"/>
      <c r="C842" s="5" t="n"/>
      <c r="D842" s="5" t="n"/>
      <c r="E842" s="4">
        <f>IF(C842="","",COUNTIF($C$7:C842,C842))</f>
        <v/>
      </c>
      <c r="F842" s="4">
        <f>IF(E842="","",IF(E842&lt;=3,6,IF(E842&lt;=6,5,IF(E842&lt;=9,4,IF(E842&lt;=12,3,IF(E842&lt;=15,2,0))))))</f>
        <v/>
      </c>
      <c r="G842" s="5" t="n"/>
      <c r="H842" s="4">
        <f>IF(OR(F842="",G842=""),"",F842*G842+IF(J842="",0,J842))</f>
        <v/>
      </c>
      <c r="I842" s="5" t="n"/>
      <c r="J842" s="5" t="n"/>
    </row>
    <row r="843">
      <c r="A843" s="5" t="n"/>
      <c r="B843" s="5" t="n"/>
      <c r="C843" s="5" t="n"/>
      <c r="D843" s="5" t="n"/>
      <c r="E843" s="4">
        <f>IF(C843="","",COUNTIF($C$7:C843,C843))</f>
        <v/>
      </c>
      <c r="F843" s="4">
        <f>IF(E843="","",IF(E843&lt;=3,6,IF(E843&lt;=6,5,IF(E843&lt;=9,4,IF(E843&lt;=12,3,IF(E843&lt;=15,2,0))))))</f>
        <v/>
      </c>
      <c r="G843" s="5" t="n"/>
      <c r="H843" s="4">
        <f>IF(OR(F843="",G843=""),"",F843*G843+IF(J843="",0,J843))</f>
        <v/>
      </c>
      <c r="I843" s="5" t="n"/>
      <c r="J843" s="5" t="n"/>
    </row>
    <row r="844">
      <c r="A844" s="5" t="n"/>
      <c r="B844" s="5" t="n"/>
      <c r="C844" s="5" t="n"/>
      <c r="D844" s="5" t="n"/>
      <c r="E844" s="4">
        <f>IF(C844="","",COUNTIF($C$7:C844,C844))</f>
        <v/>
      </c>
      <c r="F844" s="4">
        <f>IF(E844="","",IF(E844&lt;=3,6,IF(E844&lt;=6,5,IF(E844&lt;=9,4,IF(E844&lt;=12,3,IF(E844&lt;=15,2,0))))))</f>
        <v/>
      </c>
      <c r="G844" s="5" t="n"/>
      <c r="H844" s="4">
        <f>IF(OR(F844="",G844=""),"",F844*G844+IF(J844="",0,J844))</f>
        <v/>
      </c>
      <c r="I844" s="5" t="n"/>
      <c r="J844" s="5" t="n"/>
    </row>
    <row r="845">
      <c r="A845" s="5" t="n"/>
      <c r="B845" s="5" t="n"/>
      <c r="C845" s="5" t="n"/>
      <c r="D845" s="5" t="n"/>
      <c r="E845" s="4">
        <f>IF(C845="","",COUNTIF($C$7:C845,C845))</f>
        <v/>
      </c>
      <c r="F845" s="4">
        <f>IF(E845="","",IF(E845&lt;=3,6,IF(E845&lt;=6,5,IF(E845&lt;=9,4,IF(E845&lt;=12,3,IF(E845&lt;=15,2,0))))))</f>
        <v/>
      </c>
      <c r="G845" s="5" t="n"/>
      <c r="H845" s="4">
        <f>IF(OR(F845="",G845=""),"",F845*G845+IF(J845="",0,J845))</f>
        <v/>
      </c>
      <c r="I845" s="5" t="n"/>
      <c r="J845" s="5" t="n"/>
    </row>
    <row r="846">
      <c r="A846" s="5" t="n"/>
      <c r="B846" s="5" t="n"/>
      <c r="C846" s="5" t="n"/>
      <c r="D846" s="5" t="n"/>
      <c r="E846" s="4">
        <f>IF(C846="","",COUNTIF($C$7:C846,C846))</f>
        <v/>
      </c>
      <c r="F846" s="4">
        <f>IF(E846="","",IF(E846&lt;=3,6,IF(E846&lt;=6,5,IF(E846&lt;=9,4,IF(E846&lt;=12,3,IF(E846&lt;=15,2,0))))))</f>
        <v/>
      </c>
      <c r="G846" s="5" t="n"/>
      <c r="H846" s="4">
        <f>IF(OR(F846="",G846=""),"",F846*G846+IF(J846="",0,J846))</f>
        <v/>
      </c>
      <c r="I846" s="5" t="n"/>
      <c r="J846" s="5" t="n"/>
    </row>
    <row r="847">
      <c r="A847" s="5" t="n"/>
      <c r="B847" s="5" t="n"/>
      <c r="C847" s="5" t="n"/>
      <c r="D847" s="5" t="n"/>
      <c r="E847" s="4">
        <f>IF(C847="","",COUNTIF($C$7:C847,C847))</f>
        <v/>
      </c>
      <c r="F847" s="4">
        <f>IF(E847="","",IF(E847&lt;=3,6,IF(E847&lt;=6,5,IF(E847&lt;=9,4,IF(E847&lt;=12,3,IF(E847&lt;=15,2,0))))))</f>
        <v/>
      </c>
      <c r="G847" s="5" t="n"/>
      <c r="H847" s="4">
        <f>IF(OR(F847="",G847=""),"",F847*G847+IF(J847="",0,J847))</f>
        <v/>
      </c>
      <c r="I847" s="5" t="n"/>
      <c r="J847" s="5" t="n"/>
    </row>
    <row r="848">
      <c r="A848" s="5" t="n"/>
      <c r="B848" s="5" t="n"/>
      <c r="C848" s="5" t="n"/>
      <c r="D848" s="5" t="n"/>
      <c r="E848" s="4">
        <f>IF(C848="","",COUNTIF($C$7:C848,C848))</f>
        <v/>
      </c>
      <c r="F848" s="4">
        <f>IF(E848="","",IF(E848&lt;=3,6,IF(E848&lt;=6,5,IF(E848&lt;=9,4,IF(E848&lt;=12,3,IF(E848&lt;=15,2,0))))))</f>
        <v/>
      </c>
      <c r="G848" s="5" t="n"/>
      <c r="H848" s="4">
        <f>IF(OR(F848="",G848=""),"",F848*G848+IF(J848="",0,J848))</f>
        <v/>
      </c>
      <c r="I848" s="5" t="n"/>
      <c r="J848" s="5" t="n"/>
    </row>
    <row r="849">
      <c r="A849" s="5" t="n"/>
      <c r="B849" s="5" t="n"/>
      <c r="C849" s="5" t="n"/>
      <c r="D849" s="5" t="n"/>
      <c r="E849" s="4">
        <f>IF(C849="","",COUNTIF($C$7:C849,C849))</f>
        <v/>
      </c>
      <c r="F849" s="4">
        <f>IF(E849="","",IF(E849&lt;=3,6,IF(E849&lt;=6,5,IF(E849&lt;=9,4,IF(E849&lt;=12,3,IF(E849&lt;=15,2,0))))))</f>
        <v/>
      </c>
      <c r="G849" s="5" t="n"/>
      <c r="H849" s="4">
        <f>IF(OR(F849="",G849=""),"",F849*G849+IF(J849="",0,J849))</f>
        <v/>
      </c>
      <c r="I849" s="5" t="n"/>
      <c r="J849" s="5" t="n"/>
    </row>
    <row r="850">
      <c r="A850" s="5" t="n"/>
      <c r="B850" s="5" t="n"/>
      <c r="C850" s="5" t="n"/>
      <c r="D850" s="5" t="n"/>
      <c r="E850" s="4">
        <f>IF(C850="","",COUNTIF($C$7:C850,C850))</f>
        <v/>
      </c>
      <c r="F850" s="4">
        <f>IF(E850="","",IF(E850&lt;=3,6,IF(E850&lt;=6,5,IF(E850&lt;=9,4,IF(E850&lt;=12,3,IF(E850&lt;=15,2,0))))))</f>
        <v/>
      </c>
      <c r="G850" s="5" t="n"/>
      <c r="H850" s="4">
        <f>IF(OR(F850="",G850=""),"",F850*G850+IF(J850="",0,J850))</f>
        <v/>
      </c>
      <c r="I850" s="5" t="n"/>
      <c r="J850" s="5" t="n"/>
    </row>
    <row r="851">
      <c r="A851" s="5" t="n"/>
      <c r="B851" s="5" t="n"/>
      <c r="C851" s="5" t="n"/>
      <c r="D851" s="5" t="n"/>
      <c r="E851" s="4">
        <f>IF(C851="","",COUNTIF($C$7:C851,C851))</f>
        <v/>
      </c>
      <c r="F851" s="4">
        <f>IF(E851="","",IF(E851&lt;=3,6,IF(E851&lt;=6,5,IF(E851&lt;=9,4,IF(E851&lt;=12,3,IF(E851&lt;=15,2,0))))))</f>
        <v/>
      </c>
      <c r="G851" s="5" t="n"/>
      <c r="H851" s="4">
        <f>IF(OR(F851="",G851=""),"",F851*G851+IF(J851="",0,J851))</f>
        <v/>
      </c>
      <c r="I851" s="5" t="n"/>
      <c r="J851" s="5" t="n"/>
    </row>
    <row r="852">
      <c r="A852" s="5" t="n"/>
      <c r="B852" s="5" t="n"/>
      <c r="C852" s="5" t="n"/>
      <c r="D852" s="5" t="n"/>
      <c r="E852" s="4">
        <f>IF(C852="","",COUNTIF($C$7:C852,C852))</f>
        <v/>
      </c>
      <c r="F852" s="4">
        <f>IF(E852="","",IF(E852&lt;=3,6,IF(E852&lt;=6,5,IF(E852&lt;=9,4,IF(E852&lt;=12,3,IF(E852&lt;=15,2,0))))))</f>
        <v/>
      </c>
      <c r="G852" s="5" t="n"/>
      <c r="H852" s="4">
        <f>IF(OR(F852="",G852=""),"",F852*G852+IF(J852="",0,J852))</f>
        <v/>
      </c>
      <c r="I852" s="5" t="n"/>
      <c r="J852" s="5" t="n"/>
    </row>
    <row r="853">
      <c r="A853" s="5" t="n"/>
      <c r="B853" s="5" t="n"/>
      <c r="C853" s="5" t="n"/>
      <c r="D853" s="5" t="n"/>
      <c r="E853" s="4">
        <f>IF(C853="","",COUNTIF($C$7:C853,C853))</f>
        <v/>
      </c>
      <c r="F853" s="4">
        <f>IF(E853="","",IF(E853&lt;=3,6,IF(E853&lt;=6,5,IF(E853&lt;=9,4,IF(E853&lt;=12,3,IF(E853&lt;=15,2,0))))))</f>
        <v/>
      </c>
      <c r="G853" s="5" t="n"/>
      <c r="H853" s="4">
        <f>IF(OR(F853="",G853=""),"",F853*G853+IF(J853="",0,J853))</f>
        <v/>
      </c>
      <c r="I853" s="5" t="n"/>
      <c r="J853" s="5" t="n"/>
    </row>
    <row r="854">
      <c r="A854" s="5" t="n"/>
      <c r="B854" s="5" t="n"/>
      <c r="C854" s="5" t="n"/>
      <c r="D854" s="5" t="n"/>
      <c r="E854" s="4">
        <f>IF(C854="","",COUNTIF($C$7:C854,C854))</f>
        <v/>
      </c>
      <c r="F854" s="4">
        <f>IF(E854="","",IF(E854&lt;=3,6,IF(E854&lt;=6,5,IF(E854&lt;=9,4,IF(E854&lt;=12,3,IF(E854&lt;=15,2,0))))))</f>
        <v/>
      </c>
      <c r="G854" s="5" t="n"/>
      <c r="H854" s="4">
        <f>IF(OR(F854="",G854=""),"",F854*G854+IF(J854="",0,J854))</f>
        <v/>
      </c>
      <c r="I854" s="5" t="n"/>
      <c r="J854" s="5" t="n"/>
    </row>
    <row r="855">
      <c r="A855" s="5" t="n"/>
      <c r="B855" s="5" t="n"/>
      <c r="C855" s="5" t="n"/>
      <c r="D855" s="5" t="n"/>
      <c r="E855" s="4">
        <f>IF(C855="","",COUNTIF($C$7:C855,C855))</f>
        <v/>
      </c>
      <c r="F855" s="4">
        <f>IF(E855="","",IF(E855&lt;=3,6,IF(E855&lt;=6,5,IF(E855&lt;=9,4,IF(E855&lt;=12,3,IF(E855&lt;=15,2,0))))))</f>
        <v/>
      </c>
      <c r="G855" s="5" t="n"/>
      <c r="H855" s="4">
        <f>IF(OR(F855="",G855=""),"",F855*G855+IF(J855="",0,J855))</f>
        <v/>
      </c>
      <c r="I855" s="5" t="n"/>
      <c r="J855" s="5" t="n"/>
    </row>
    <row r="856">
      <c r="A856" s="5" t="n"/>
      <c r="B856" s="5" t="n"/>
      <c r="C856" s="5" t="n"/>
      <c r="D856" s="5" t="n"/>
      <c r="E856" s="4">
        <f>IF(C856="","",COUNTIF($C$7:C856,C856))</f>
        <v/>
      </c>
      <c r="F856" s="4">
        <f>IF(E856="","",IF(E856&lt;=3,6,IF(E856&lt;=6,5,IF(E856&lt;=9,4,IF(E856&lt;=12,3,IF(E856&lt;=15,2,0))))))</f>
        <v/>
      </c>
      <c r="G856" s="5" t="n"/>
      <c r="H856" s="4">
        <f>IF(OR(F856="",G856=""),"",F856*G856+IF(J856="",0,J856))</f>
        <v/>
      </c>
      <c r="I856" s="5" t="n"/>
      <c r="J856" s="5" t="n"/>
    </row>
    <row r="857">
      <c r="A857" s="5" t="n"/>
      <c r="B857" s="5" t="n"/>
      <c r="C857" s="5" t="n"/>
      <c r="D857" s="5" t="n"/>
      <c r="E857" s="4">
        <f>IF(C857="","",COUNTIF($C$7:C857,C857))</f>
        <v/>
      </c>
      <c r="F857" s="4">
        <f>IF(E857="","",IF(E857&lt;=3,6,IF(E857&lt;=6,5,IF(E857&lt;=9,4,IF(E857&lt;=12,3,IF(E857&lt;=15,2,0))))))</f>
        <v/>
      </c>
      <c r="G857" s="5" t="n"/>
      <c r="H857" s="4">
        <f>IF(OR(F857="",G857=""),"",F857*G857+IF(J857="",0,J857))</f>
        <v/>
      </c>
      <c r="I857" s="5" t="n"/>
      <c r="J857" s="5" t="n"/>
    </row>
    <row r="858">
      <c r="A858" s="5" t="n"/>
      <c r="B858" s="5" t="n"/>
      <c r="C858" s="5" t="n"/>
      <c r="D858" s="5" t="n"/>
      <c r="E858" s="4">
        <f>IF(C858="","",COUNTIF($C$7:C858,C858))</f>
        <v/>
      </c>
      <c r="F858" s="4">
        <f>IF(E858="","",IF(E858&lt;=3,6,IF(E858&lt;=6,5,IF(E858&lt;=9,4,IF(E858&lt;=12,3,IF(E858&lt;=15,2,0))))))</f>
        <v/>
      </c>
      <c r="G858" s="5" t="n"/>
      <c r="H858" s="4">
        <f>IF(OR(F858="",G858=""),"",F858*G858+IF(J858="",0,J858))</f>
        <v/>
      </c>
      <c r="I858" s="5" t="n"/>
      <c r="J858" s="5" t="n"/>
    </row>
    <row r="859">
      <c r="A859" s="5" t="n"/>
      <c r="B859" s="5" t="n"/>
      <c r="C859" s="5" t="n"/>
      <c r="D859" s="5" t="n"/>
      <c r="E859" s="4">
        <f>IF(C859="","",COUNTIF($C$7:C859,C859))</f>
        <v/>
      </c>
      <c r="F859" s="4">
        <f>IF(E859="","",IF(E859&lt;=3,6,IF(E859&lt;=6,5,IF(E859&lt;=9,4,IF(E859&lt;=12,3,IF(E859&lt;=15,2,0))))))</f>
        <v/>
      </c>
      <c r="G859" s="5" t="n"/>
      <c r="H859" s="4">
        <f>IF(OR(F859="",G859=""),"",F859*G859+IF(J859="",0,J859))</f>
        <v/>
      </c>
      <c r="I859" s="5" t="n"/>
      <c r="J859" s="5" t="n"/>
    </row>
    <row r="860">
      <c r="A860" s="5" t="n"/>
      <c r="B860" s="5" t="n"/>
      <c r="C860" s="5" t="n"/>
      <c r="D860" s="5" t="n"/>
      <c r="E860" s="4">
        <f>IF(C860="","",COUNTIF($C$7:C860,C860))</f>
        <v/>
      </c>
      <c r="F860" s="4">
        <f>IF(E860="","",IF(E860&lt;=3,6,IF(E860&lt;=6,5,IF(E860&lt;=9,4,IF(E860&lt;=12,3,IF(E860&lt;=15,2,0))))))</f>
        <v/>
      </c>
      <c r="G860" s="5" t="n"/>
      <c r="H860" s="4">
        <f>IF(OR(F860="",G860=""),"",F860*G860+IF(J860="",0,J860))</f>
        <v/>
      </c>
      <c r="I860" s="5" t="n"/>
      <c r="J860" s="5" t="n"/>
    </row>
    <row r="861">
      <c r="A861" s="5" t="n"/>
      <c r="B861" s="5" t="n"/>
      <c r="C861" s="5" t="n"/>
      <c r="D861" s="5" t="n"/>
      <c r="E861" s="4">
        <f>IF(C861="","",COUNTIF($C$7:C861,C861))</f>
        <v/>
      </c>
      <c r="F861" s="4">
        <f>IF(E861="","",IF(E861&lt;=3,6,IF(E861&lt;=6,5,IF(E861&lt;=9,4,IF(E861&lt;=12,3,IF(E861&lt;=15,2,0))))))</f>
        <v/>
      </c>
      <c r="G861" s="5" t="n"/>
      <c r="H861" s="4">
        <f>IF(OR(F861="",G861=""),"",F861*G861+IF(J861="",0,J861))</f>
        <v/>
      </c>
      <c r="I861" s="5" t="n"/>
      <c r="J861" s="5" t="n"/>
    </row>
    <row r="862">
      <c r="A862" s="5" t="n"/>
      <c r="B862" s="5" t="n"/>
      <c r="C862" s="5" t="n"/>
      <c r="D862" s="5" t="n"/>
      <c r="E862" s="4">
        <f>IF(C862="","",COUNTIF($C$7:C862,C862))</f>
        <v/>
      </c>
      <c r="F862" s="4">
        <f>IF(E862="","",IF(E862&lt;=3,6,IF(E862&lt;=6,5,IF(E862&lt;=9,4,IF(E862&lt;=12,3,IF(E862&lt;=15,2,0))))))</f>
        <v/>
      </c>
      <c r="G862" s="5" t="n"/>
      <c r="H862" s="4">
        <f>IF(OR(F862="",G862=""),"",F862*G862+IF(J862="",0,J862))</f>
        <v/>
      </c>
      <c r="I862" s="5" t="n"/>
      <c r="J862" s="5" t="n"/>
    </row>
    <row r="863">
      <c r="A863" s="5" t="n"/>
      <c r="B863" s="5" t="n"/>
      <c r="C863" s="5" t="n"/>
      <c r="D863" s="5" t="n"/>
      <c r="E863" s="4">
        <f>IF(C863="","",COUNTIF($C$7:C863,C863))</f>
        <v/>
      </c>
      <c r="F863" s="4">
        <f>IF(E863="","",IF(E863&lt;=3,6,IF(E863&lt;=6,5,IF(E863&lt;=9,4,IF(E863&lt;=12,3,IF(E863&lt;=15,2,0))))))</f>
        <v/>
      </c>
      <c r="G863" s="5" t="n"/>
      <c r="H863" s="4">
        <f>IF(OR(F863="",G863=""),"",F863*G863+IF(J863="",0,J863))</f>
        <v/>
      </c>
      <c r="I863" s="5" t="n"/>
      <c r="J863" s="5" t="n"/>
    </row>
    <row r="864">
      <c r="A864" s="5" t="n"/>
      <c r="B864" s="5" t="n"/>
      <c r="C864" s="5" t="n"/>
      <c r="D864" s="5" t="n"/>
      <c r="E864" s="4">
        <f>IF(C864="","",COUNTIF($C$7:C864,C864))</f>
        <v/>
      </c>
      <c r="F864" s="4">
        <f>IF(E864="","",IF(E864&lt;=3,6,IF(E864&lt;=6,5,IF(E864&lt;=9,4,IF(E864&lt;=12,3,IF(E864&lt;=15,2,0))))))</f>
        <v/>
      </c>
      <c r="G864" s="5" t="n"/>
      <c r="H864" s="4">
        <f>IF(OR(F864="",G864=""),"",F864*G864+IF(J864="",0,J864))</f>
        <v/>
      </c>
      <c r="I864" s="5" t="n"/>
      <c r="J864" s="5" t="n"/>
    </row>
    <row r="865">
      <c r="A865" s="5" t="n"/>
      <c r="B865" s="5" t="n"/>
      <c r="C865" s="5" t="n"/>
      <c r="D865" s="5" t="n"/>
      <c r="E865" s="4">
        <f>IF(C865="","",COUNTIF($C$7:C865,C865))</f>
        <v/>
      </c>
      <c r="F865" s="4">
        <f>IF(E865="","",IF(E865&lt;=3,6,IF(E865&lt;=6,5,IF(E865&lt;=9,4,IF(E865&lt;=12,3,IF(E865&lt;=15,2,0))))))</f>
        <v/>
      </c>
      <c r="G865" s="5" t="n"/>
      <c r="H865" s="4">
        <f>IF(OR(F865="",G865=""),"",F865*G865+IF(J865="",0,J865))</f>
        <v/>
      </c>
      <c r="I865" s="5" t="n"/>
      <c r="J865" s="5" t="n"/>
    </row>
    <row r="866">
      <c r="A866" s="5" t="n"/>
      <c r="B866" s="5" t="n"/>
      <c r="C866" s="5" t="n"/>
      <c r="D866" s="5" t="n"/>
      <c r="E866" s="4">
        <f>IF(C866="","",COUNTIF($C$7:C866,C866))</f>
        <v/>
      </c>
      <c r="F866" s="4">
        <f>IF(E866="","",IF(E866&lt;=3,6,IF(E866&lt;=6,5,IF(E866&lt;=9,4,IF(E866&lt;=12,3,IF(E866&lt;=15,2,0))))))</f>
        <v/>
      </c>
      <c r="G866" s="5" t="n"/>
      <c r="H866" s="4">
        <f>IF(OR(F866="",G866=""),"",F866*G866+IF(J866="",0,J866))</f>
        <v/>
      </c>
      <c r="I866" s="5" t="n"/>
      <c r="J866" s="5" t="n"/>
    </row>
    <row r="867">
      <c r="A867" s="5" t="n"/>
      <c r="B867" s="5" t="n"/>
      <c r="C867" s="5" t="n"/>
      <c r="D867" s="5" t="n"/>
      <c r="E867" s="4">
        <f>IF(C867="","",COUNTIF($C$7:C867,C867))</f>
        <v/>
      </c>
      <c r="F867" s="4">
        <f>IF(E867="","",IF(E867&lt;=3,6,IF(E867&lt;=6,5,IF(E867&lt;=9,4,IF(E867&lt;=12,3,IF(E867&lt;=15,2,0))))))</f>
        <v/>
      </c>
      <c r="G867" s="5" t="n"/>
      <c r="H867" s="4">
        <f>IF(OR(F867="",G867=""),"",F867*G867+IF(J867="",0,J867))</f>
        <v/>
      </c>
      <c r="I867" s="5" t="n"/>
      <c r="J867" s="5" t="n"/>
    </row>
    <row r="868">
      <c r="A868" s="5" t="n"/>
      <c r="B868" s="5" t="n"/>
      <c r="C868" s="5" t="n"/>
      <c r="D868" s="5" t="n"/>
      <c r="E868" s="4">
        <f>IF(C868="","",COUNTIF($C$7:C868,C868))</f>
        <v/>
      </c>
      <c r="F868" s="4">
        <f>IF(E868="","",IF(E868&lt;=3,6,IF(E868&lt;=6,5,IF(E868&lt;=9,4,IF(E868&lt;=12,3,IF(E868&lt;=15,2,0))))))</f>
        <v/>
      </c>
      <c r="G868" s="5" t="n"/>
      <c r="H868" s="4">
        <f>IF(OR(F868="",G868=""),"",F868*G868+IF(J868="",0,J868))</f>
        <v/>
      </c>
      <c r="I868" s="5" t="n"/>
      <c r="J868" s="5" t="n"/>
    </row>
    <row r="869">
      <c r="A869" s="5" t="n"/>
      <c r="B869" s="5" t="n"/>
      <c r="C869" s="5" t="n"/>
      <c r="D869" s="5" t="n"/>
      <c r="E869" s="4">
        <f>IF(C869="","",COUNTIF($C$7:C869,C869))</f>
        <v/>
      </c>
      <c r="F869" s="4">
        <f>IF(E869="","",IF(E869&lt;=3,6,IF(E869&lt;=6,5,IF(E869&lt;=9,4,IF(E869&lt;=12,3,IF(E869&lt;=15,2,0))))))</f>
        <v/>
      </c>
      <c r="G869" s="5" t="n"/>
      <c r="H869" s="4">
        <f>IF(OR(F869="",G869=""),"",F869*G869+IF(J869="",0,J869))</f>
        <v/>
      </c>
      <c r="I869" s="5" t="n"/>
      <c r="J869" s="5" t="n"/>
    </row>
    <row r="870">
      <c r="A870" s="5" t="n"/>
      <c r="B870" s="5" t="n"/>
      <c r="C870" s="5" t="n"/>
      <c r="D870" s="5" t="n"/>
      <c r="E870" s="4">
        <f>IF(C870="","",COUNTIF($C$7:C870,C870))</f>
        <v/>
      </c>
      <c r="F870" s="4">
        <f>IF(E870="","",IF(E870&lt;=3,6,IF(E870&lt;=6,5,IF(E870&lt;=9,4,IF(E870&lt;=12,3,IF(E870&lt;=15,2,0))))))</f>
        <v/>
      </c>
      <c r="G870" s="5" t="n"/>
      <c r="H870" s="4">
        <f>IF(OR(F870="",G870=""),"",F870*G870+IF(J870="",0,J870))</f>
        <v/>
      </c>
      <c r="I870" s="5" t="n"/>
      <c r="J870" s="5" t="n"/>
    </row>
    <row r="871">
      <c r="A871" s="5" t="n"/>
      <c r="B871" s="5" t="n"/>
      <c r="C871" s="5" t="n"/>
      <c r="D871" s="5" t="n"/>
      <c r="E871" s="4">
        <f>IF(C871="","",COUNTIF($C$7:C871,C871))</f>
        <v/>
      </c>
      <c r="F871" s="4">
        <f>IF(E871="","",IF(E871&lt;=3,6,IF(E871&lt;=6,5,IF(E871&lt;=9,4,IF(E871&lt;=12,3,IF(E871&lt;=15,2,0))))))</f>
        <v/>
      </c>
      <c r="G871" s="5" t="n"/>
      <c r="H871" s="4">
        <f>IF(OR(F871="",G871=""),"",F871*G871+IF(J871="",0,J871))</f>
        <v/>
      </c>
      <c r="I871" s="5" t="n"/>
      <c r="J871" s="5" t="n"/>
    </row>
    <row r="872">
      <c r="A872" s="5" t="n"/>
      <c r="B872" s="5" t="n"/>
      <c r="C872" s="5" t="n"/>
      <c r="D872" s="5" t="n"/>
      <c r="E872" s="4">
        <f>IF(C872="","",COUNTIF($C$7:C872,C872))</f>
        <v/>
      </c>
      <c r="F872" s="4">
        <f>IF(E872="","",IF(E872&lt;=3,6,IF(E872&lt;=6,5,IF(E872&lt;=9,4,IF(E872&lt;=12,3,IF(E872&lt;=15,2,0))))))</f>
        <v/>
      </c>
      <c r="G872" s="5" t="n"/>
      <c r="H872" s="4">
        <f>IF(OR(F872="",G872=""),"",F872*G872+IF(J872="",0,J872))</f>
        <v/>
      </c>
      <c r="I872" s="5" t="n"/>
      <c r="J872" s="5" t="n"/>
    </row>
    <row r="873">
      <c r="A873" s="5" t="n"/>
      <c r="B873" s="5" t="n"/>
      <c r="C873" s="5" t="n"/>
      <c r="D873" s="5" t="n"/>
      <c r="E873" s="4">
        <f>IF(C873="","",COUNTIF($C$7:C873,C873))</f>
        <v/>
      </c>
      <c r="F873" s="4">
        <f>IF(E873="","",IF(E873&lt;=3,6,IF(E873&lt;=6,5,IF(E873&lt;=9,4,IF(E873&lt;=12,3,IF(E873&lt;=15,2,0))))))</f>
        <v/>
      </c>
      <c r="G873" s="5" t="n"/>
      <c r="H873" s="4">
        <f>IF(OR(F873="",G873=""),"",F873*G873+IF(J873="",0,J873))</f>
        <v/>
      </c>
      <c r="I873" s="5" t="n"/>
      <c r="J873" s="5" t="n"/>
    </row>
    <row r="874">
      <c r="A874" s="5" t="n"/>
      <c r="B874" s="5" t="n"/>
      <c r="C874" s="5" t="n"/>
      <c r="D874" s="5" t="n"/>
      <c r="E874" s="4">
        <f>IF(C874="","",COUNTIF($C$7:C874,C874))</f>
        <v/>
      </c>
      <c r="F874" s="4">
        <f>IF(E874="","",IF(E874&lt;=3,6,IF(E874&lt;=6,5,IF(E874&lt;=9,4,IF(E874&lt;=12,3,IF(E874&lt;=15,2,0))))))</f>
        <v/>
      </c>
      <c r="G874" s="5" t="n"/>
      <c r="H874" s="4">
        <f>IF(OR(F874="",G874=""),"",F874*G874+IF(J874="",0,J874))</f>
        <v/>
      </c>
      <c r="I874" s="5" t="n"/>
      <c r="J874" s="5" t="n"/>
    </row>
    <row r="875">
      <c r="A875" s="5" t="n"/>
      <c r="B875" s="5" t="n"/>
      <c r="C875" s="5" t="n"/>
      <c r="D875" s="5" t="n"/>
      <c r="E875" s="4">
        <f>IF(C875="","",COUNTIF($C$7:C875,C875))</f>
        <v/>
      </c>
      <c r="F875" s="4">
        <f>IF(E875="","",IF(E875&lt;=3,6,IF(E875&lt;=6,5,IF(E875&lt;=9,4,IF(E875&lt;=12,3,IF(E875&lt;=15,2,0))))))</f>
        <v/>
      </c>
      <c r="G875" s="5" t="n"/>
      <c r="H875" s="4">
        <f>IF(OR(F875="",G875=""),"",F875*G875+IF(J875="",0,J875))</f>
        <v/>
      </c>
      <c r="I875" s="5" t="n"/>
      <c r="J875" s="5" t="n"/>
    </row>
    <row r="876">
      <c r="A876" s="5" t="n"/>
      <c r="B876" s="5" t="n"/>
      <c r="C876" s="5" t="n"/>
      <c r="D876" s="5" t="n"/>
      <c r="E876" s="4">
        <f>IF(C876="","",COUNTIF($C$7:C876,C876))</f>
        <v/>
      </c>
      <c r="F876" s="4">
        <f>IF(E876="","",IF(E876&lt;=3,6,IF(E876&lt;=6,5,IF(E876&lt;=9,4,IF(E876&lt;=12,3,IF(E876&lt;=15,2,0))))))</f>
        <v/>
      </c>
      <c r="G876" s="5" t="n"/>
      <c r="H876" s="4">
        <f>IF(OR(F876="",G876=""),"",F876*G876+IF(J876="",0,J876))</f>
        <v/>
      </c>
      <c r="I876" s="5" t="n"/>
      <c r="J876" s="5" t="n"/>
    </row>
    <row r="877">
      <c r="A877" s="5" t="n"/>
      <c r="B877" s="5" t="n"/>
      <c r="C877" s="5" t="n"/>
      <c r="D877" s="5" t="n"/>
      <c r="E877" s="4">
        <f>IF(C877="","",COUNTIF($C$7:C877,C877))</f>
        <v/>
      </c>
      <c r="F877" s="4">
        <f>IF(E877="","",IF(E877&lt;=3,6,IF(E877&lt;=6,5,IF(E877&lt;=9,4,IF(E877&lt;=12,3,IF(E877&lt;=15,2,0))))))</f>
        <v/>
      </c>
      <c r="G877" s="5" t="n"/>
      <c r="H877" s="4">
        <f>IF(OR(F877="",G877=""),"",F877*G877+IF(J877="",0,J877))</f>
        <v/>
      </c>
      <c r="I877" s="5" t="n"/>
      <c r="J877" s="5" t="n"/>
    </row>
    <row r="878">
      <c r="A878" s="5" t="n"/>
      <c r="B878" s="5" t="n"/>
      <c r="C878" s="5" t="n"/>
      <c r="D878" s="5" t="n"/>
      <c r="E878" s="4">
        <f>IF(C878="","",COUNTIF($C$7:C878,C878))</f>
        <v/>
      </c>
      <c r="F878" s="4">
        <f>IF(E878="","",IF(E878&lt;=3,6,IF(E878&lt;=6,5,IF(E878&lt;=9,4,IF(E878&lt;=12,3,IF(E878&lt;=15,2,0))))))</f>
        <v/>
      </c>
      <c r="G878" s="5" t="n"/>
      <c r="H878" s="4">
        <f>IF(OR(F878="",G878=""),"",F878*G878+IF(J878="",0,J878))</f>
        <v/>
      </c>
      <c r="I878" s="5" t="n"/>
      <c r="J878" s="5" t="n"/>
    </row>
    <row r="879">
      <c r="A879" s="5" t="n"/>
      <c r="B879" s="5" t="n"/>
      <c r="C879" s="5" t="n"/>
      <c r="D879" s="5" t="n"/>
      <c r="E879" s="4">
        <f>IF(C879="","",COUNTIF($C$7:C879,C879))</f>
        <v/>
      </c>
      <c r="F879" s="4">
        <f>IF(E879="","",IF(E879&lt;=3,6,IF(E879&lt;=6,5,IF(E879&lt;=9,4,IF(E879&lt;=12,3,IF(E879&lt;=15,2,0))))))</f>
        <v/>
      </c>
      <c r="G879" s="5" t="n"/>
      <c r="H879" s="4">
        <f>IF(OR(F879="",G879=""),"",F879*G879+IF(J879="",0,J879))</f>
        <v/>
      </c>
      <c r="I879" s="5" t="n"/>
      <c r="J879" s="5" t="n"/>
    </row>
    <row r="880">
      <c r="A880" s="5" t="n"/>
      <c r="B880" s="5" t="n"/>
      <c r="C880" s="5" t="n"/>
      <c r="D880" s="5" t="n"/>
      <c r="E880" s="4">
        <f>IF(C880="","",COUNTIF($C$7:C880,C880))</f>
        <v/>
      </c>
      <c r="F880" s="4">
        <f>IF(E880="","",IF(E880&lt;=3,6,IF(E880&lt;=6,5,IF(E880&lt;=9,4,IF(E880&lt;=12,3,IF(E880&lt;=15,2,0))))))</f>
        <v/>
      </c>
      <c r="G880" s="5" t="n"/>
      <c r="H880" s="4">
        <f>IF(OR(F880="",G880=""),"",F880*G880+IF(J880="",0,J880))</f>
        <v/>
      </c>
      <c r="I880" s="5" t="n"/>
      <c r="J880" s="5" t="n"/>
    </row>
    <row r="881">
      <c r="A881" s="5" t="n"/>
      <c r="B881" s="5" t="n"/>
      <c r="C881" s="5" t="n"/>
      <c r="D881" s="5" t="n"/>
      <c r="E881" s="4">
        <f>IF(C881="","",COUNTIF($C$7:C881,C881))</f>
        <v/>
      </c>
      <c r="F881" s="4">
        <f>IF(E881="","",IF(E881&lt;=3,6,IF(E881&lt;=6,5,IF(E881&lt;=9,4,IF(E881&lt;=12,3,IF(E881&lt;=15,2,0))))))</f>
        <v/>
      </c>
      <c r="G881" s="5" t="n"/>
      <c r="H881" s="4">
        <f>IF(OR(F881="",G881=""),"",F881*G881+IF(J881="",0,J881))</f>
        <v/>
      </c>
      <c r="I881" s="5" t="n"/>
      <c r="J881" s="5" t="n"/>
    </row>
    <row r="882">
      <c r="A882" s="5" t="n"/>
      <c r="B882" s="5" t="n"/>
      <c r="C882" s="5" t="n"/>
      <c r="D882" s="5" t="n"/>
      <c r="E882" s="4">
        <f>IF(C882="","",COUNTIF($C$7:C882,C882))</f>
        <v/>
      </c>
      <c r="F882" s="4">
        <f>IF(E882="","",IF(E882&lt;=3,6,IF(E882&lt;=6,5,IF(E882&lt;=9,4,IF(E882&lt;=12,3,IF(E882&lt;=15,2,0))))))</f>
        <v/>
      </c>
      <c r="G882" s="5" t="n"/>
      <c r="H882" s="4">
        <f>IF(OR(F882="",G882=""),"",F882*G882+IF(J882="",0,J882))</f>
        <v/>
      </c>
      <c r="I882" s="5" t="n"/>
      <c r="J882" s="5" t="n"/>
    </row>
    <row r="883">
      <c r="A883" s="5" t="n"/>
      <c r="B883" s="5" t="n"/>
      <c r="C883" s="5" t="n"/>
      <c r="D883" s="5" t="n"/>
      <c r="E883" s="4">
        <f>IF(C883="","",COUNTIF($C$7:C883,C883))</f>
        <v/>
      </c>
      <c r="F883" s="4">
        <f>IF(E883="","",IF(E883&lt;=3,6,IF(E883&lt;=6,5,IF(E883&lt;=9,4,IF(E883&lt;=12,3,IF(E883&lt;=15,2,0))))))</f>
        <v/>
      </c>
      <c r="G883" s="5" t="n"/>
      <c r="H883" s="4">
        <f>IF(OR(F883="",G883=""),"",F883*G883+IF(J883="",0,J883))</f>
        <v/>
      </c>
      <c r="I883" s="5" t="n"/>
      <c r="J883" s="5" t="n"/>
    </row>
    <row r="884">
      <c r="A884" s="5" t="n"/>
      <c r="B884" s="5" t="n"/>
      <c r="C884" s="5" t="n"/>
      <c r="D884" s="5" t="n"/>
      <c r="E884" s="4">
        <f>IF(C884="","",COUNTIF($C$7:C884,C884))</f>
        <v/>
      </c>
      <c r="F884" s="4">
        <f>IF(E884="","",IF(E884&lt;=3,6,IF(E884&lt;=6,5,IF(E884&lt;=9,4,IF(E884&lt;=12,3,IF(E884&lt;=15,2,0))))))</f>
        <v/>
      </c>
      <c r="G884" s="5" t="n"/>
      <c r="H884" s="4">
        <f>IF(OR(F884="",G884=""),"",F884*G884+IF(J884="",0,J884))</f>
        <v/>
      </c>
      <c r="I884" s="5" t="n"/>
      <c r="J884" s="5" t="n"/>
    </row>
    <row r="885">
      <c r="A885" s="5" t="n"/>
      <c r="B885" s="5" t="n"/>
      <c r="C885" s="5" t="n"/>
      <c r="D885" s="5" t="n"/>
      <c r="E885" s="4">
        <f>IF(C885="","",COUNTIF($C$7:C885,C885))</f>
        <v/>
      </c>
      <c r="F885" s="4">
        <f>IF(E885="","",IF(E885&lt;=3,6,IF(E885&lt;=6,5,IF(E885&lt;=9,4,IF(E885&lt;=12,3,IF(E885&lt;=15,2,0))))))</f>
        <v/>
      </c>
      <c r="G885" s="5" t="n"/>
      <c r="H885" s="4">
        <f>IF(OR(F885="",G885=""),"",F885*G885+IF(J885="",0,J885))</f>
        <v/>
      </c>
      <c r="I885" s="5" t="n"/>
      <c r="J885" s="5" t="n"/>
    </row>
    <row r="886">
      <c r="A886" s="5" t="n"/>
      <c r="B886" s="5" t="n"/>
      <c r="C886" s="5" t="n"/>
      <c r="D886" s="5" t="n"/>
      <c r="E886" s="4">
        <f>IF(C886="","",COUNTIF($C$7:C886,C886))</f>
        <v/>
      </c>
      <c r="F886" s="4">
        <f>IF(E886="","",IF(E886&lt;=3,6,IF(E886&lt;=6,5,IF(E886&lt;=9,4,IF(E886&lt;=12,3,IF(E886&lt;=15,2,0))))))</f>
        <v/>
      </c>
      <c r="G886" s="5" t="n"/>
      <c r="H886" s="4">
        <f>IF(OR(F886="",G886=""),"",F886*G886+IF(J886="",0,J886))</f>
        <v/>
      </c>
      <c r="I886" s="5" t="n"/>
      <c r="J886" s="5" t="n"/>
    </row>
    <row r="887">
      <c r="A887" s="5" t="n"/>
      <c r="B887" s="5" t="n"/>
      <c r="C887" s="5" t="n"/>
      <c r="D887" s="5" t="n"/>
      <c r="E887" s="4">
        <f>IF(C887="","",COUNTIF($C$7:C887,C887))</f>
        <v/>
      </c>
      <c r="F887" s="4">
        <f>IF(E887="","",IF(E887&lt;=3,6,IF(E887&lt;=6,5,IF(E887&lt;=9,4,IF(E887&lt;=12,3,IF(E887&lt;=15,2,0))))))</f>
        <v/>
      </c>
      <c r="G887" s="5" t="n"/>
      <c r="H887" s="4">
        <f>IF(OR(F887="",G887=""),"",F887*G887+IF(J887="",0,J887))</f>
        <v/>
      </c>
      <c r="I887" s="5" t="n"/>
      <c r="J887" s="5" t="n"/>
    </row>
    <row r="888">
      <c r="A888" s="5" t="n"/>
      <c r="B888" s="5" t="n"/>
      <c r="C888" s="5" t="n"/>
      <c r="D888" s="5" t="n"/>
      <c r="E888" s="4">
        <f>IF(C888="","",COUNTIF($C$7:C888,C888))</f>
        <v/>
      </c>
      <c r="F888" s="4">
        <f>IF(E888="","",IF(E888&lt;=3,6,IF(E888&lt;=6,5,IF(E888&lt;=9,4,IF(E888&lt;=12,3,IF(E888&lt;=15,2,0))))))</f>
        <v/>
      </c>
      <c r="G888" s="5" t="n"/>
      <c r="H888" s="4">
        <f>IF(OR(F888="",G888=""),"",F888*G888+IF(J888="",0,J888))</f>
        <v/>
      </c>
      <c r="I888" s="5" t="n"/>
      <c r="J888" s="5" t="n"/>
    </row>
    <row r="889">
      <c r="A889" s="5" t="n"/>
      <c r="B889" s="5" t="n"/>
      <c r="C889" s="5" t="n"/>
      <c r="D889" s="5" t="n"/>
      <c r="E889" s="4">
        <f>IF(C889="","",COUNTIF($C$7:C889,C889))</f>
        <v/>
      </c>
      <c r="F889" s="4">
        <f>IF(E889="","",IF(E889&lt;=3,6,IF(E889&lt;=6,5,IF(E889&lt;=9,4,IF(E889&lt;=12,3,IF(E889&lt;=15,2,0))))))</f>
        <v/>
      </c>
      <c r="G889" s="5" t="n"/>
      <c r="H889" s="4">
        <f>IF(OR(F889="",G889=""),"",F889*G889+IF(J889="",0,J889))</f>
        <v/>
      </c>
      <c r="I889" s="5" t="n"/>
      <c r="J889" s="5" t="n"/>
    </row>
    <row r="890">
      <c r="A890" s="5" t="n"/>
      <c r="B890" s="5" t="n"/>
      <c r="C890" s="5" t="n"/>
      <c r="D890" s="5" t="n"/>
      <c r="E890" s="4">
        <f>IF(C890="","",COUNTIF($C$7:C890,C890))</f>
        <v/>
      </c>
      <c r="F890" s="4">
        <f>IF(E890="","",IF(E890&lt;=3,6,IF(E890&lt;=6,5,IF(E890&lt;=9,4,IF(E890&lt;=12,3,IF(E890&lt;=15,2,0))))))</f>
        <v/>
      </c>
      <c r="G890" s="5" t="n"/>
      <c r="H890" s="4">
        <f>IF(OR(F890="",G890=""),"",F890*G890+IF(J890="",0,J890))</f>
        <v/>
      </c>
      <c r="I890" s="5" t="n"/>
      <c r="J890" s="5" t="n"/>
    </row>
    <row r="891">
      <c r="A891" s="5" t="n"/>
      <c r="B891" s="5" t="n"/>
      <c r="C891" s="5" t="n"/>
      <c r="D891" s="5" t="n"/>
      <c r="E891" s="4">
        <f>IF(C891="","",COUNTIF($C$7:C891,C891))</f>
        <v/>
      </c>
      <c r="F891" s="4">
        <f>IF(E891="","",IF(E891&lt;=3,6,IF(E891&lt;=6,5,IF(E891&lt;=9,4,IF(E891&lt;=12,3,IF(E891&lt;=15,2,0))))))</f>
        <v/>
      </c>
      <c r="G891" s="5" t="n"/>
      <c r="H891" s="4">
        <f>IF(OR(F891="",G891=""),"",F891*G891+IF(J891="",0,J891))</f>
        <v/>
      </c>
      <c r="I891" s="5" t="n"/>
      <c r="J891" s="5" t="n"/>
    </row>
    <row r="892">
      <c r="A892" s="5" t="n"/>
      <c r="B892" s="5" t="n"/>
      <c r="C892" s="5" t="n"/>
      <c r="D892" s="5" t="n"/>
      <c r="E892" s="4">
        <f>IF(C892="","",COUNTIF($C$7:C892,C892))</f>
        <v/>
      </c>
      <c r="F892" s="4">
        <f>IF(E892="","",IF(E892&lt;=3,6,IF(E892&lt;=6,5,IF(E892&lt;=9,4,IF(E892&lt;=12,3,IF(E892&lt;=15,2,0))))))</f>
        <v/>
      </c>
      <c r="G892" s="5" t="n"/>
      <c r="H892" s="4">
        <f>IF(OR(F892="",G892=""),"",F892*G892+IF(J892="",0,J892))</f>
        <v/>
      </c>
      <c r="I892" s="5" t="n"/>
      <c r="J892" s="5" t="n"/>
    </row>
    <row r="893">
      <c r="A893" s="5" t="n"/>
      <c r="B893" s="5" t="n"/>
      <c r="C893" s="5" t="n"/>
      <c r="D893" s="5" t="n"/>
      <c r="E893" s="4">
        <f>IF(C893="","",COUNTIF($C$7:C893,C893))</f>
        <v/>
      </c>
      <c r="F893" s="4">
        <f>IF(E893="","",IF(E893&lt;=3,6,IF(E893&lt;=6,5,IF(E893&lt;=9,4,IF(E893&lt;=12,3,IF(E893&lt;=15,2,0))))))</f>
        <v/>
      </c>
      <c r="G893" s="5" t="n"/>
      <c r="H893" s="4">
        <f>IF(OR(F893="",G893=""),"",F893*G893+IF(J893="",0,J893))</f>
        <v/>
      </c>
      <c r="I893" s="5" t="n"/>
      <c r="J893" s="5" t="n"/>
    </row>
    <row r="894">
      <c r="A894" s="5" t="n"/>
      <c r="B894" s="5" t="n"/>
      <c r="C894" s="5" t="n"/>
      <c r="D894" s="5" t="n"/>
      <c r="E894" s="4">
        <f>IF(C894="","",COUNTIF($C$7:C894,C894))</f>
        <v/>
      </c>
      <c r="F894" s="4">
        <f>IF(E894="","",IF(E894&lt;=3,6,IF(E894&lt;=6,5,IF(E894&lt;=9,4,IF(E894&lt;=12,3,IF(E894&lt;=15,2,0))))))</f>
        <v/>
      </c>
      <c r="G894" s="5" t="n"/>
      <c r="H894" s="4">
        <f>IF(OR(F894="",G894=""),"",F894*G894+IF(J894="",0,J894))</f>
        <v/>
      </c>
      <c r="I894" s="5" t="n"/>
      <c r="J894" s="5" t="n"/>
    </row>
    <row r="895">
      <c r="A895" s="5" t="n"/>
      <c r="B895" s="5" t="n"/>
      <c r="C895" s="5" t="n"/>
      <c r="D895" s="5" t="n"/>
      <c r="E895" s="4">
        <f>IF(C895="","",COUNTIF($C$7:C895,C895))</f>
        <v/>
      </c>
      <c r="F895" s="4">
        <f>IF(E895="","",IF(E895&lt;=3,6,IF(E895&lt;=6,5,IF(E895&lt;=9,4,IF(E895&lt;=12,3,IF(E895&lt;=15,2,0))))))</f>
        <v/>
      </c>
      <c r="G895" s="5" t="n"/>
      <c r="H895" s="4">
        <f>IF(OR(F895="",G895=""),"",F895*G895+IF(J895="",0,J895))</f>
        <v/>
      </c>
      <c r="I895" s="5" t="n"/>
      <c r="J895" s="5" t="n"/>
    </row>
    <row r="896">
      <c r="A896" s="5" t="n"/>
      <c r="B896" s="5" t="n"/>
      <c r="C896" s="5" t="n"/>
      <c r="D896" s="5" t="n"/>
      <c r="E896" s="4">
        <f>IF(C896="","",COUNTIF($C$7:C896,C896))</f>
        <v/>
      </c>
      <c r="F896" s="4">
        <f>IF(E896="","",IF(E896&lt;=3,6,IF(E896&lt;=6,5,IF(E896&lt;=9,4,IF(E896&lt;=12,3,IF(E896&lt;=15,2,0))))))</f>
        <v/>
      </c>
      <c r="G896" s="5" t="n"/>
      <c r="H896" s="4">
        <f>IF(OR(F896="",G896=""),"",F896*G896+IF(J896="",0,J896))</f>
        <v/>
      </c>
      <c r="I896" s="5" t="n"/>
      <c r="J896" s="5" t="n"/>
    </row>
    <row r="897">
      <c r="A897" s="5" t="n"/>
      <c r="B897" s="5" t="n"/>
      <c r="C897" s="5" t="n"/>
      <c r="D897" s="5" t="n"/>
      <c r="E897" s="4">
        <f>IF(C897="","",COUNTIF($C$7:C897,C897))</f>
        <v/>
      </c>
      <c r="F897" s="4">
        <f>IF(E897="","",IF(E897&lt;=3,6,IF(E897&lt;=6,5,IF(E897&lt;=9,4,IF(E897&lt;=12,3,IF(E897&lt;=15,2,0))))))</f>
        <v/>
      </c>
      <c r="G897" s="5" t="n"/>
      <c r="H897" s="4">
        <f>IF(OR(F897="",G897=""),"",F897*G897+IF(J897="",0,J897))</f>
        <v/>
      </c>
      <c r="I897" s="5" t="n"/>
      <c r="J897" s="5" t="n"/>
    </row>
    <row r="898">
      <c r="A898" s="5" t="n"/>
      <c r="B898" s="5" t="n"/>
      <c r="C898" s="5" t="n"/>
      <c r="D898" s="5" t="n"/>
      <c r="E898" s="4">
        <f>IF(C898="","",COUNTIF($C$7:C898,C898))</f>
        <v/>
      </c>
      <c r="F898" s="4">
        <f>IF(E898="","",IF(E898&lt;=3,6,IF(E898&lt;=6,5,IF(E898&lt;=9,4,IF(E898&lt;=12,3,IF(E898&lt;=15,2,0))))))</f>
        <v/>
      </c>
      <c r="G898" s="5" t="n"/>
      <c r="H898" s="4">
        <f>IF(OR(F898="",G898=""),"",F898*G898+IF(J898="",0,J898))</f>
        <v/>
      </c>
      <c r="I898" s="5" t="n"/>
      <c r="J898" s="5" t="n"/>
    </row>
    <row r="899">
      <c r="A899" s="5" t="n"/>
      <c r="B899" s="5" t="n"/>
      <c r="C899" s="5" t="n"/>
      <c r="D899" s="5" t="n"/>
      <c r="E899" s="4">
        <f>IF(C899="","",COUNTIF($C$7:C899,C899))</f>
        <v/>
      </c>
      <c r="F899" s="4">
        <f>IF(E899="","",IF(E899&lt;=3,6,IF(E899&lt;=6,5,IF(E899&lt;=9,4,IF(E899&lt;=12,3,IF(E899&lt;=15,2,0))))))</f>
        <v/>
      </c>
      <c r="G899" s="5" t="n"/>
      <c r="H899" s="4">
        <f>IF(OR(F899="",G899=""),"",F899*G899+IF(J899="",0,J899))</f>
        <v/>
      </c>
      <c r="I899" s="5" t="n"/>
      <c r="J899" s="5" t="n"/>
    </row>
    <row r="900">
      <c r="A900" s="5" t="n"/>
      <c r="B900" s="5" t="n"/>
      <c r="C900" s="5" t="n"/>
      <c r="D900" s="5" t="n"/>
      <c r="E900" s="4">
        <f>IF(C900="","",COUNTIF($C$7:C900,C900))</f>
        <v/>
      </c>
      <c r="F900" s="4">
        <f>IF(E900="","",IF(E900&lt;=3,6,IF(E900&lt;=6,5,IF(E900&lt;=9,4,IF(E900&lt;=12,3,IF(E900&lt;=15,2,0))))))</f>
        <v/>
      </c>
      <c r="G900" s="5" t="n"/>
      <c r="H900" s="4">
        <f>IF(OR(F900="",G900=""),"",F900*G900+IF(J900="",0,J900))</f>
        <v/>
      </c>
      <c r="I900" s="5" t="n"/>
      <c r="J900" s="5" t="n"/>
    </row>
    <row r="901">
      <c r="A901" s="5" t="n"/>
      <c r="B901" s="5" t="n"/>
      <c r="C901" s="5" t="n"/>
      <c r="D901" s="5" t="n"/>
      <c r="E901" s="4">
        <f>IF(C901="","",COUNTIF($C$7:C901,C901))</f>
        <v/>
      </c>
      <c r="F901" s="4">
        <f>IF(E901="","",IF(E901&lt;=3,6,IF(E901&lt;=6,5,IF(E901&lt;=9,4,IF(E901&lt;=12,3,IF(E901&lt;=15,2,0))))))</f>
        <v/>
      </c>
      <c r="G901" s="5" t="n"/>
      <c r="H901" s="4">
        <f>IF(OR(F901="",G901=""),"",F901*G901+IF(J901="",0,J901))</f>
        <v/>
      </c>
      <c r="I901" s="5" t="n"/>
      <c r="J901" s="5" t="n"/>
    </row>
    <row r="902">
      <c r="A902" s="5" t="n"/>
      <c r="B902" s="5" t="n"/>
      <c r="C902" s="5" t="n"/>
      <c r="D902" s="5" t="n"/>
      <c r="E902" s="4">
        <f>IF(C902="","",COUNTIF($C$7:C902,C902))</f>
        <v/>
      </c>
      <c r="F902" s="4">
        <f>IF(E902="","",IF(E902&lt;=3,6,IF(E902&lt;=6,5,IF(E902&lt;=9,4,IF(E902&lt;=12,3,IF(E902&lt;=15,2,0))))))</f>
        <v/>
      </c>
      <c r="G902" s="5" t="n"/>
      <c r="H902" s="4">
        <f>IF(OR(F902="",G902=""),"",F902*G902+IF(J902="",0,J902))</f>
        <v/>
      </c>
      <c r="I902" s="5" t="n"/>
      <c r="J902" s="5" t="n"/>
    </row>
    <row r="903">
      <c r="A903" s="5" t="n"/>
      <c r="B903" s="5" t="n"/>
      <c r="C903" s="5" t="n"/>
      <c r="D903" s="5" t="n"/>
      <c r="E903" s="4">
        <f>IF(C903="","",COUNTIF($C$7:C903,C903))</f>
        <v/>
      </c>
      <c r="F903" s="4">
        <f>IF(E903="","",IF(E903&lt;=3,6,IF(E903&lt;=6,5,IF(E903&lt;=9,4,IF(E903&lt;=12,3,IF(E903&lt;=15,2,0))))))</f>
        <v/>
      </c>
      <c r="G903" s="5" t="n"/>
      <c r="H903" s="4">
        <f>IF(OR(F903="",G903=""),"",F903*G903+IF(J903="",0,J903))</f>
        <v/>
      </c>
      <c r="I903" s="5" t="n"/>
      <c r="J903" s="5" t="n"/>
    </row>
    <row r="904">
      <c r="A904" s="5" t="n"/>
      <c r="B904" s="5" t="n"/>
      <c r="C904" s="5" t="n"/>
      <c r="D904" s="5" t="n"/>
      <c r="E904" s="4">
        <f>IF(C904="","",COUNTIF($C$7:C904,C904))</f>
        <v/>
      </c>
      <c r="F904" s="4">
        <f>IF(E904="","",IF(E904&lt;=3,6,IF(E904&lt;=6,5,IF(E904&lt;=9,4,IF(E904&lt;=12,3,IF(E904&lt;=15,2,0))))))</f>
        <v/>
      </c>
      <c r="G904" s="5" t="n"/>
      <c r="H904" s="4">
        <f>IF(OR(F904="",G904=""),"",F904*G904+IF(J904="",0,J904))</f>
        <v/>
      </c>
      <c r="I904" s="5" t="n"/>
      <c r="J904" s="5" t="n"/>
    </row>
    <row r="905">
      <c r="A905" s="5" t="n"/>
      <c r="B905" s="5" t="n"/>
      <c r="C905" s="5" t="n"/>
      <c r="D905" s="5" t="n"/>
      <c r="E905" s="4">
        <f>IF(C905="","",COUNTIF($C$7:C905,C905))</f>
        <v/>
      </c>
      <c r="F905" s="4">
        <f>IF(E905="","",IF(E905&lt;=3,6,IF(E905&lt;=6,5,IF(E905&lt;=9,4,IF(E905&lt;=12,3,IF(E905&lt;=15,2,0))))))</f>
        <v/>
      </c>
      <c r="G905" s="5" t="n"/>
      <c r="H905" s="4">
        <f>IF(OR(F905="",G905=""),"",F905*G905+IF(J905="",0,J905))</f>
        <v/>
      </c>
      <c r="I905" s="5" t="n"/>
      <c r="J905" s="5" t="n"/>
    </row>
    <row r="906">
      <c r="A906" s="5" t="n"/>
      <c r="B906" s="5" t="n"/>
      <c r="C906" s="5" t="n"/>
      <c r="D906" s="5" t="n"/>
      <c r="E906" s="4">
        <f>IF(C906="","",COUNTIF($C$7:C906,C906))</f>
        <v/>
      </c>
      <c r="F906" s="4">
        <f>IF(E906="","",IF(E906&lt;=3,6,IF(E906&lt;=6,5,IF(E906&lt;=9,4,IF(E906&lt;=12,3,IF(E906&lt;=15,2,0))))))</f>
        <v/>
      </c>
      <c r="G906" s="5" t="n"/>
      <c r="H906" s="4">
        <f>IF(OR(F906="",G906=""),"",F906*G906+IF(J906="",0,J906))</f>
        <v/>
      </c>
      <c r="I906" s="5" t="n"/>
      <c r="J906" s="5" t="n"/>
    </row>
    <row r="907">
      <c r="A907" s="5" t="n"/>
      <c r="B907" s="5" t="n"/>
      <c r="C907" s="5" t="n"/>
      <c r="D907" s="5" t="n"/>
      <c r="E907" s="4">
        <f>IF(C907="","",COUNTIF($C$7:C907,C907))</f>
        <v/>
      </c>
      <c r="F907" s="4">
        <f>IF(E907="","",IF(E907&lt;=3,6,IF(E907&lt;=6,5,IF(E907&lt;=9,4,IF(E907&lt;=12,3,IF(E907&lt;=15,2,0))))))</f>
        <v/>
      </c>
      <c r="G907" s="5" t="n"/>
      <c r="H907" s="4">
        <f>IF(OR(F907="",G907=""),"",F907*G907+IF(J907="",0,J907))</f>
        <v/>
      </c>
      <c r="I907" s="5" t="n"/>
      <c r="J907" s="5" t="n"/>
    </row>
    <row r="908">
      <c r="A908" s="5" t="n"/>
      <c r="B908" s="5" t="n"/>
      <c r="C908" s="5" t="n"/>
      <c r="D908" s="5" t="n"/>
      <c r="E908" s="4">
        <f>IF(C908="","",COUNTIF($C$7:C908,C908))</f>
        <v/>
      </c>
      <c r="F908" s="4">
        <f>IF(E908="","",IF(E908&lt;=3,6,IF(E908&lt;=6,5,IF(E908&lt;=9,4,IF(E908&lt;=12,3,IF(E908&lt;=15,2,0))))))</f>
        <v/>
      </c>
      <c r="G908" s="5" t="n"/>
      <c r="H908" s="4">
        <f>IF(OR(F908="",G908=""),"",F908*G908+IF(J908="",0,J908))</f>
        <v/>
      </c>
      <c r="I908" s="5" t="n"/>
      <c r="J908" s="5" t="n"/>
    </row>
    <row r="909">
      <c r="A909" s="5" t="n"/>
      <c r="B909" s="5" t="n"/>
      <c r="C909" s="5" t="n"/>
      <c r="D909" s="5" t="n"/>
      <c r="E909" s="4">
        <f>IF(C909="","",COUNTIF($C$7:C909,C909))</f>
        <v/>
      </c>
      <c r="F909" s="4">
        <f>IF(E909="","",IF(E909&lt;=3,6,IF(E909&lt;=6,5,IF(E909&lt;=9,4,IF(E909&lt;=12,3,IF(E909&lt;=15,2,0))))))</f>
        <v/>
      </c>
      <c r="G909" s="5" t="n"/>
      <c r="H909" s="4">
        <f>IF(OR(F909="",G909=""),"",F909*G909+IF(J909="",0,J909))</f>
        <v/>
      </c>
      <c r="I909" s="5" t="n"/>
      <c r="J909" s="5" t="n"/>
    </row>
    <row r="910">
      <c r="A910" s="5" t="n"/>
      <c r="B910" s="5" t="n"/>
      <c r="C910" s="5" t="n"/>
      <c r="D910" s="5" t="n"/>
      <c r="E910" s="4">
        <f>IF(C910="","",COUNTIF($C$7:C910,C910))</f>
        <v/>
      </c>
      <c r="F910" s="4">
        <f>IF(E910="","",IF(E910&lt;=3,6,IF(E910&lt;=6,5,IF(E910&lt;=9,4,IF(E910&lt;=12,3,IF(E910&lt;=15,2,0))))))</f>
        <v/>
      </c>
      <c r="G910" s="5" t="n"/>
      <c r="H910" s="4">
        <f>IF(OR(F910="",G910=""),"",F910*G910+IF(J910="",0,J910))</f>
        <v/>
      </c>
      <c r="I910" s="5" t="n"/>
      <c r="J910" s="5" t="n"/>
    </row>
    <row r="911">
      <c r="A911" s="5" t="n"/>
      <c r="B911" s="5" t="n"/>
      <c r="C911" s="5" t="n"/>
      <c r="D911" s="5" t="n"/>
      <c r="E911" s="4">
        <f>IF(C911="","",COUNTIF($C$7:C911,C911))</f>
        <v/>
      </c>
      <c r="F911" s="4">
        <f>IF(E911="","",IF(E911&lt;=3,6,IF(E911&lt;=6,5,IF(E911&lt;=9,4,IF(E911&lt;=12,3,IF(E911&lt;=15,2,0))))))</f>
        <v/>
      </c>
      <c r="G911" s="5" t="n"/>
      <c r="H911" s="4">
        <f>IF(OR(F911="",G911=""),"",F911*G911+IF(J911="",0,J911))</f>
        <v/>
      </c>
      <c r="I911" s="5" t="n"/>
      <c r="J911" s="5" t="n"/>
    </row>
    <row r="912">
      <c r="A912" s="5" t="n"/>
      <c r="B912" s="5" t="n"/>
      <c r="C912" s="5" t="n"/>
      <c r="D912" s="5" t="n"/>
      <c r="E912" s="4">
        <f>IF(C912="","",COUNTIF($C$7:C912,C912))</f>
        <v/>
      </c>
      <c r="F912" s="4">
        <f>IF(E912="","",IF(E912&lt;=3,6,IF(E912&lt;=6,5,IF(E912&lt;=9,4,IF(E912&lt;=12,3,IF(E912&lt;=15,2,0))))))</f>
        <v/>
      </c>
      <c r="G912" s="5" t="n"/>
      <c r="H912" s="4">
        <f>IF(OR(F912="",G912=""),"",F912*G912+IF(J912="",0,J912))</f>
        <v/>
      </c>
      <c r="I912" s="5" t="n"/>
      <c r="J912" s="5" t="n"/>
    </row>
    <row r="913">
      <c r="A913" s="5" t="n"/>
      <c r="B913" s="5" t="n"/>
      <c r="C913" s="5" t="n"/>
      <c r="D913" s="5" t="n"/>
      <c r="E913" s="4">
        <f>IF(C913="","",COUNTIF($C$7:C913,C913))</f>
        <v/>
      </c>
      <c r="F913" s="4">
        <f>IF(E913="","",IF(E913&lt;=3,6,IF(E913&lt;=6,5,IF(E913&lt;=9,4,IF(E913&lt;=12,3,IF(E913&lt;=15,2,0))))))</f>
        <v/>
      </c>
      <c r="G913" s="5" t="n"/>
      <c r="H913" s="4">
        <f>IF(OR(F913="",G913=""),"",F913*G913+IF(J913="",0,J913))</f>
        <v/>
      </c>
      <c r="I913" s="5" t="n"/>
      <c r="J913" s="5" t="n"/>
    </row>
    <row r="914">
      <c r="A914" s="5" t="n"/>
      <c r="B914" s="5" t="n"/>
      <c r="C914" s="5" t="n"/>
      <c r="D914" s="5" t="n"/>
      <c r="E914" s="4">
        <f>IF(C914="","",COUNTIF($C$7:C914,C914))</f>
        <v/>
      </c>
      <c r="F914" s="4">
        <f>IF(E914="","",IF(E914&lt;=3,6,IF(E914&lt;=6,5,IF(E914&lt;=9,4,IF(E914&lt;=12,3,IF(E914&lt;=15,2,0))))))</f>
        <v/>
      </c>
      <c r="G914" s="5" t="n"/>
      <c r="H914" s="4">
        <f>IF(OR(F914="",G914=""),"",F914*G914+IF(J914="",0,J914))</f>
        <v/>
      </c>
      <c r="I914" s="5" t="n"/>
      <c r="J914" s="5" t="n"/>
    </row>
    <row r="915">
      <c r="A915" s="5" t="n"/>
      <c r="B915" s="5" t="n"/>
      <c r="C915" s="5" t="n"/>
      <c r="D915" s="5" t="n"/>
      <c r="E915" s="4">
        <f>IF(C915="","",COUNTIF($C$7:C915,C915))</f>
        <v/>
      </c>
      <c r="F915" s="4">
        <f>IF(E915="","",IF(E915&lt;=3,6,IF(E915&lt;=6,5,IF(E915&lt;=9,4,IF(E915&lt;=12,3,IF(E915&lt;=15,2,0))))))</f>
        <v/>
      </c>
      <c r="G915" s="5" t="n"/>
      <c r="H915" s="4">
        <f>IF(OR(F915="",G915=""),"",F915*G915+IF(J915="",0,J915))</f>
        <v/>
      </c>
      <c r="I915" s="5" t="n"/>
      <c r="J915" s="5" t="n"/>
    </row>
    <row r="916">
      <c r="A916" s="5" t="n"/>
      <c r="B916" s="5" t="n"/>
      <c r="C916" s="5" t="n"/>
      <c r="D916" s="5" t="n"/>
      <c r="E916" s="4">
        <f>IF(C916="","",COUNTIF($C$7:C916,C916))</f>
        <v/>
      </c>
      <c r="F916" s="4">
        <f>IF(E916="","",IF(E916&lt;=3,6,IF(E916&lt;=6,5,IF(E916&lt;=9,4,IF(E916&lt;=12,3,IF(E916&lt;=15,2,0))))))</f>
        <v/>
      </c>
      <c r="G916" s="5" t="n"/>
      <c r="H916" s="4">
        <f>IF(OR(F916="",G916=""),"",F916*G916+IF(J916="",0,J916))</f>
        <v/>
      </c>
      <c r="I916" s="5" t="n"/>
      <c r="J916" s="5" t="n"/>
    </row>
    <row r="917">
      <c r="A917" s="5" t="n"/>
      <c r="B917" s="5" t="n"/>
      <c r="C917" s="5" t="n"/>
      <c r="D917" s="5" t="n"/>
      <c r="E917" s="4">
        <f>IF(C917="","",COUNTIF($C$7:C917,C917))</f>
        <v/>
      </c>
      <c r="F917" s="4">
        <f>IF(E917="","",IF(E917&lt;=3,6,IF(E917&lt;=6,5,IF(E917&lt;=9,4,IF(E917&lt;=12,3,IF(E917&lt;=15,2,0))))))</f>
        <v/>
      </c>
      <c r="G917" s="5" t="n"/>
      <c r="H917" s="4">
        <f>IF(OR(F917="",G917=""),"",F917*G917+IF(J917="",0,J917))</f>
        <v/>
      </c>
      <c r="I917" s="5" t="n"/>
      <c r="J917" s="5" t="n"/>
    </row>
    <row r="918">
      <c r="A918" s="5" t="n"/>
      <c r="B918" s="5" t="n"/>
      <c r="C918" s="5" t="n"/>
      <c r="D918" s="5" t="n"/>
      <c r="E918" s="4">
        <f>IF(C918="","",COUNTIF($C$7:C918,C918))</f>
        <v/>
      </c>
      <c r="F918" s="4">
        <f>IF(E918="","",IF(E918&lt;=3,6,IF(E918&lt;=6,5,IF(E918&lt;=9,4,IF(E918&lt;=12,3,IF(E918&lt;=15,2,0))))))</f>
        <v/>
      </c>
      <c r="G918" s="5" t="n"/>
      <c r="H918" s="4">
        <f>IF(OR(F918="",G918=""),"",F918*G918+IF(J918="",0,J918))</f>
        <v/>
      </c>
      <c r="I918" s="5" t="n"/>
      <c r="J918" s="5" t="n"/>
    </row>
    <row r="919">
      <c r="A919" s="5" t="n"/>
      <c r="B919" s="5" t="n"/>
      <c r="C919" s="5" t="n"/>
      <c r="D919" s="5" t="n"/>
      <c r="E919" s="4">
        <f>IF(C919="","",COUNTIF($C$7:C919,C919))</f>
        <v/>
      </c>
      <c r="F919" s="4">
        <f>IF(E919="","",IF(E919&lt;=3,6,IF(E919&lt;=6,5,IF(E919&lt;=9,4,IF(E919&lt;=12,3,IF(E919&lt;=15,2,0))))))</f>
        <v/>
      </c>
      <c r="G919" s="5" t="n"/>
      <c r="H919" s="4">
        <f>IF(OR(F919="",G919=""),"",F919*G919+IF(J919="",0,J919))</f>
        <v/>
      </c>
      <c r="I919" s="5" t="n"/>
      <c r="J919" s="5" t="n"/>
    </row>
    <row r="920">
      <c r="A920" s="5" t="n"/>
      <c r="B920" s="5" t="n"/>
      <c r="C920" s="5" t="n"/>
      <c r="D920" s="5" t="n"/>
      <c r="E920" s="4">
        <f>IF(C920="","",COUNTIF($C$7:C920,C920))</f>
        <v/>
      </c>
      <c r="F920" s="4">
        <f>IF(E920="","",IF(E920&lt;=3,6,IF(E920&lt;=6,5,IF(E920&lt;=9,4,IF(E920&lt;=12,3,IF(E920&lt;=15,2,0))))))</f>
        <v/>
      </c>
      <c r="G920" s="5" t="n"/>
      <c r="H920" s="4">
        <f>IF(OR(F920="",G920=""),"",F920*G920+IF(J920="",0,J920))</f>
        <v/>
      </c>
      <c r="I920" s="5" t="n"/>
      <c r="J920" s="5" t="n"/>
    </row>
    <row r="921">
      <c r="A921" s="5" t="n"/>
      <c r="B921" s="5" t="n"/>
      <c r="C921" s="5" t="n"/>
      <c r="D921" s="5" t="n"/>
      <c r="E921" s="4">
        <f>IF(C921="","",COUNTIF($C$7:C921,C921))</f>
        <v/>
      </c>
      <c r="F921" s="4">
        <f>IF(E921="","",IF(E921&lt;=3,6,IF(E921&lt;=6,5,IF(E921&lt;=9,4,IF(E921&lt;=12,3,IF(E921&lt;=15,2,0))))))</f>
        <v/>
      </c>
      <c r="G921" s="5" t="n"/>
      <c r="H921" s="4">
        <f>IF(OR(F921="",G921=""),"",F921*G921+IF(J921="",0,J921))</f>
        <v/>
      </c>
      <c r="I921" s="5" t="n"/>
      <c r="J921" s="5" t="n"/>
    </row>
    <row r="922">
      <c r="A922" s="5" t="n"/>
      <c r="B922" s="5" t="n"/>
      <c r="C922" s="5" t="n"/>
      <c r="D922" s="5" t="n"/>
      <c r="E922" s="4">
        <f>IF(C922="","",COUNTIF($C$7:C922,C922))</f>
        <v/>
      </c>
      <c r="F922" s="4">
        <f>IF(E922="","",IF(E922&lt;=3,6,IF(E922&lt;=6,5,IF(E922&lt;=9,4,IF(E922&lt;=12,3,IF(E922&lt;=15,2,0))))))</f>
        <v/>
      </c>
      <c r="G922" s="5" t="n"/>
      <c r="H922" s="4">
        <f>IF(OR(F922="",G922=""),"",F922*G922+IF(J922="",0,J922))</f>
        <v/>
      </c>
      <c r="I922" s="5" t="n"/>
      <c r="J922" s="5" t="n"/>
    </row>
    <row r="923">
      <c r="A923" s="5" t="n"/>
      <c r="B923" s="5" t="n"/>
      <c r="C923" s="5" t="n"/>
      <c r="D923" s="5" t="n"/>
      <c r="E923" s="4">
        <f>IF(C923="","",COUNTIF($C$7:C923,C923))</f>
        <v/>
      </c>
      <c r="F923" s="4">
        <f>IF(E923="","",IF(E923&lt;=3,6,IF(E923&lt;=6,5,IF(E923&lt;=9,4,IF(E923&lt;=12,3,IF(E923&lt;=15,2,0))))))</f>
        <v/>
      </c>
      <c r="G923" s="5" t="n"/>
      <c r="H923" s="4">
        <f>IF(OR(F923="",G923=""),"",F923*G923+IF(J923="",0,J923))</f>
        <v/>
      </c>
      <c r="I923" s="5" t="n"/>
      <c r="J923" s="5" t="n"/>
    </row>
    <row r="924">
      <c r="A924" s="5" t="n"/>
      <c r="B924" s="5" t="n"/>
      <c r="C924" s="5" t="n"/>
      <c r="D924" s="5" t="n"/>
      <c r="E924" s="4">
        <f>IF(C924="","",COUNTIF($C$7:C924,C924))</f>
        <v/>
      </c>
      <c r="F924" s="4">
        <f>IF(E924="","",IF(E924&lt;=3,6,IF(E924&lt;=6,5,IF(E924&lt;=9,4,IF(E924&lt;=12,3,IF(E924&lt;=15,2,0))))))</f>
        <v/>
      </c>
      <c r="G924" s="5" t="n"/>
      <c r="H924" s="4">
        <f>IF(OR(F924="",G924=""),"",F924*G924+IF(J924="",0,J924))</f>
        <v/>
      </c>
      <c r="I924" s="5" t="n"/>
      <c r="J924" s="5" t="n"/>
    </row>
    <row r="925">
      <c r="A925" s="5" t="n"/>
      <c r="B925" s="5" t="n"/>
      <c r="C925" s="5" t="n"/>
      <c r="D925" s="5" t="n"/>
      <c r="E925" s="4">
        <f>IF(C925="","",COUNTIF($C$7:C925,C925))</f>
        <v/>
      </c>
      <c r="F925" s="4">
        <f>IF(E925="","",IF(E925&lt;=3,6,IF(E925&lt;=6,5,IF(E925&lt;=9,4,IF(E925&lt;=12,3,IF(E925&lt;=15,2,0))))))</f>
        <v/>
      </c>
      <c r="G925" s="5" t="n"/>
      <c r="H925" s="4">
        <f>IF(OR(F925="",G925=""),"",F925*G925+IF(J925="",0,J925))</f>
        <v/>
      </c>
      <c r="I925" s="5" t="n"/>
      <c r="J925" s="5" t="n"/>
    </row>
    <row r="926">
      <c r="A926" s="5" t="n"/>
      <c r="B926" s="5" t="n"/>
      <c r="C926" s="5" t="n"/>
      <c r="D926" s="5" t="n"/>
      <c r="E926" s="4">
        <f>IF(C926="","",COUNTIF($C$7:C926,C926))</f>
        <v/>
      </c>
      <c r="F926" s="4">
        <f>IF(E926="","",IF(E926&lt;=3,6,IF(E926&lt;=6,5,IF(E926&lt;=9,4,IF(E926&lt;=12,3,IF(E926&lt;=15,2,0))))))</f>
        <v/>
      </c>
      <c r="G926" s="5" t="n"/>
      <c r="H926" s="4">
        <f>IF(OR(F926="",G926=""),"",F926*G926+IF(J926="",0,J926))</f>
        <v/>
      </c>
      <c r="I926" s="5" t="n"/>
      <c r="J926" s="5" t="n"/>
    </row>
    <row r="927">
      <c r="A927" s="5" t="n"/>
      <c r="B927" s="5" t="n"/>
      <c r="C927" s="5" t="n"/>
      <c r="D927" s="5" t="n"/>
      <c r="E927" s="4">
        <f>IF(C927="","",COUNTIF($C$7:C927,C927))</f>
        <v/>
      </c>
      <c r="F927" s="4">
        <f>IF(E927="","",IF(E927&lt;=3,6,IF(E927&lt;=6,5,IF(E927&lt;=9,4,IF(E927&lt;=12,3,IF(E927&lt;=15,2,0))))))</f>
        <v/>
      </c>
      <c r="G927" s="5" t="n"/>
      <c r="H927" s="4">
        <f>IF(OR(F927="",G927=""),"",F927*G927+IF(J927="",0,J927))</f>
        <v/>
      </c>
      <c r="I927" s="5" t="n"/>
      <c r="J927" s="5" t="n"/>
    </row>
    <row r="928">
      <c r="A928" s="5" t="n"/>
      <c r="B928" s="5" t="n"/>
      <c r="C928" s="5" t="n"/>
      <c r="D928" s="5" t="n"/>
      <c r="E928" s="4">
        <f>IF(C928="","",COUNTIF($C$7:C928,C928))</f>
        <v/>
      </c>
      <c r="F928" s="4">
        <f>IF(E928="","",IF(E928&lt;=3,6,IF(E928&lt;=6,5,IF(E928&lt;=9,4,IF(E928&lt;=12,3,IF(E928&lt;=15,2,0))))))</f>
        <v/>
      </c>
      <c r="G928" s="5" t="n"/>
      <c r="H928" s="4">
        <f>IF(OR(F928="",G928=""),"",F928*G928+IF(J928="",0,J928))</f>
        <v/>
      </c>
      <c r="I928" s="5" t="n"/>
      <c r="J928" s="5" t="n"/>
    </row>
    <row r="929">
      <c r="A929" s="5" t="n"/>
      <c r="B929" s="5" t="n"/>
      <c r="C929" s="5" t="n"/>
      <c r="D929" s="5" t="n"/>
      <c r="E929" s="4">
        <f>IF(C929="","",COUNTIF($C$7:C929,C929))</f>
        <v/>
      </c>
      <c r="F929" s="4">
        <f>IF(E929="","",IF(E929&lt;=3,6,IF(E929&lt;=6,5,IF(E929&lt;=9,4,IF(E929&lt;=12,3,IF(E929&lt;=15,2,0))))))</f>
        <v/>
      </c>
      <c r="G929" s="5" t="n"/>
      <c r="H929" s="4">
        <f>IF(OR(F929="",G929=""),"",F929*G929+IF(J929="",0,J929))</f>
        <v/>
      </c>
      <c r="I929" s="5" t="n"/>
      <c r="J929" s="5" t="n"/>
    </row>
    <row r="930">
      <c r="A930" s="5" t="n"/>
      <c r="B930" s="5" t="n"/>
      <c r="C930" s="5" t="n"/>
      <c r="D930" s="5" t="n"/>
      <c r="E930" s="4">
        <f>IF(C930="","",COUNTIF($C$7:C930,C930))</f>
        <v/>
      </c>
      <c r="F930" s="4">
        <f>IF(E930="","",IF(E930&lt;=3,6,IF(E930&lt;=6,5,IF(E930&lt;=9,4,IF(E930&lt;=12,3,IF(E930&lt;=15,2,0))))))</f>
        <v/>
      </c>
      <c r="G930" s="5" t="n"/>
      <c r="H930" s="4">
        <f>IF(OR(F930="",G930=""),"",F930*G930+IF(J930="",0,J930))</f>
        <v/>
      </c>
      <c r="I930" s="5" t="n"/>
      <c r="J930" s="5" t="n"/>
    </row>
    <row r="931">
      <c r="A931" s="5" t="n"/>
      <c r="B931" s="5" t="n"/>
      <c r="C931" s="5" t="n"/>
      <c r="D931" s="5" t="n"/>
      <c r="E931" s="4">
        <f>IF(C931="","",COUNTIF($C$7:C931,C931))</f>
        <v/>
      </c>
      <c r="F931" s="4">
        <f>IF(E931="","",IF(E931&lt;=3,6,IF(E931&lt;=6,5,IF(E931&lt;=9,4,IF(E931&lt;=12,3,IF(E931&lt;=15,2,0))))))</f>
        <v/>
      </c>
      <c r="G931" s="5" t="n"/>
      <c r="H931" s="4">
        <f>IF(OR(F931="",G931=""),"",F931*G931+IF(J931="",0,J931))</f>
        <v/>
      </c>
      <c r="I931" s="5" t="n"/>
      <c r="J931" s="5" t="n"/>
    </row>
    <row r="932">
      <c r="A932" s="5" t="n"/>
      <c r="B932" s="5" t="n"/>
      <c r="C932" s="5" t="n"/>
      <c r="D932" s="5" t="n"/>
      <c r="E932" s="4">
        <f>IF(C932="","",COUNTIF($C$7:C932,C932))</f>
        <v/>
      </c>
      <c r="F932" s="4">
        <f>IF(E932="","",IF(E932&lt;=3,6,IF(E932&lt;=6,5,IF(E932&lt;=9,4,IF(E932&lt;=12,3,IF(E932&lt;=15,2,0))))))</f>
        <v/>
      </c>
      <c r="G932" s="5" t="n"/>
      <c r="H932" s="4">
        <f>IF(OR(F932="",G932=""),"",F932*G932+IF(J932="",0,J932))</f>
        <v/>
      </c>
      <c r="I932" s="5" t="n"/>
      <c r="J932" s="5" t="n"/>
    </row>
    <row r="933">
      <c r="A933" s="5" t="n"/>
      <c r="B933" s="5" t="n"/>
      <c r="C933" s="5" t="n"/>
      <c r="D933" s="5" t="n"/>
      <c r="E933" s="4">
        <f>IF(C933="","",COUNTIF($C$7:C933,C933))</f>
        <v/>
      </c>
      <c r="F933" s="4">
        <f>IF(E933="","",IF(E933&lt;=3,6,IF(E933&lt;=6,5,IF(E933&lt;=9,4,IF(E933&lt;=12,3,IF(E933&lt;=15,2,0))))))</f>
        <v/>
      </c>
      <c r="G933" s="5" t="n"/>
      <c r="H933" s="4">
        <f>IF(OR(F933="",G933=""),"",F933*G933+IF(J933="",0,J933))</f>
        <v/>
      </c>
      <c r="I933" s="5" t="n"/>
      <c r="J933" s="5" t="n"/>
    </row>
    <row r="934">
      <c r="A934" s="5" t="n"/>
      <c r="B934" s="5" t="n"/>
      <c r="C934" s="5" t="n"/>
      <c r="D934" s="5" t="n"/>
      <c r="E934" s="4">
        <f>IF(C934="","",COUNTIF($C$7:C934,C934))</f>
        <v/>
      </c>
      <c r="F934" s="4">
        <f>IF(E934="","",IF(E934&lt;=3,6,IF(E934&lt;=6,5,IF(E934&lt;=9,4,IF(E934&lt;=12,3,IF(E934&lt;=15,2,0))))))</f>
        <v/>
      </c>
      <c r="G934" s="5" t="n"/>
      <c r="H934" s="4">
        <f>IF(OR(F934="",G934=""),"",F934*G934+IF(J934="",0,J934))</f>
        <v/>
      </c>
      <c r="I934" s="5" t="n"/>
      <c r="J934" s="5" t="n"/>
    </row>
    <row r="935">
      <c r="A935" s="5" t="n"/>
      <c r="B935" s="5" t="n"/>
      <c r="C935" s="5" t="n"/>
      <c r="D935" s="5" t="n"/>
      <c r="E935" s="4">
        <f>IF(C935="","",COUNTIF($C$7:C935,C935))</f>
        <v/>
      </c>
      <c r="F935" s="4">
        <f>IF(E935="","",IF(E935&lt;=3,6,IF(E935&lt;=6,5,IF(E935&lt;=9,4,IF(E935&lt;=12,3,IF(E935&lt;=15,2,0))))))</f>
        <v/>
      </c>
      <c r="G935" s="5" t="n"/>
      <c r="H935" s="4">
        <f>IF(OR(F935="",G935=""),"",F935*G935+IF(J935="",0,J935))</f>
        <v/>
      </c>
      <c r="I935" s="5" t="n"/>
      <c r="J935" s="5" t="n"/>
    </row>
    <row r="936">
      <c r="A936" s="5" t="n"/>
      <c r="B936" s="5" t="n"/>
      <c r="C936" s="5" t="n"/>
      <c r="D936" s="5" t="n"/>
      <c r="E936" s="4">
        <f>IF(C936="","",COUNTIF($C$7:C936,C936))</f>
        <v/>
      </c>
      <c r="F936" s="4">
        <f>IF(E936="","",IF(E936&lt;=3,6,IF(E936&lt;=6,5,IF(E936&lt;=9,4,IF(E936&lt;=12,3,IF(E936&lt;=15,2,0))))))</f>
        <v/>
      </c>
      <c r="G936" s="5" t="n"/>
      <c r="H936" s="4">
        <f>IF(OR(F936="",G936=""),"",F936*G936+IF(J936="",0,J936))</f>
        <v/>
      </c>
      <c r="I936" s="5" t="n"/>
      <c r="J936" s="5" t="n"/>
    </row>
    <row r="937">
      <c r="A937" s="5" t="n"/>
      <c r="B937" s="5" t="n"/>
      <c r="C937" s="5" t="n"/>
      <c r="D937" s="5" t="n"/>
      <c r="E937" s="4">
        <f>IF(C937="","",COUNTIF($C$7:C937,C937))</f>
        <v/>
      </c>
      <c r="F937" s="4">
        <f>IF(E937="","",IF(E937&lt;=3,6,IF(E937&lt;=6,5,IF(E937&lt;=9,4,IF(E937&lt;=12,3,IF(E937&lt;=15,2,0))))))</f>
        <v/>
      </c>
      <c r="G937" s="5" t="n"/>
      <c r="H937" s="4">
        <f>IF(OR(F937="",G937=""),"",F937*G937+IF(J937="",0,J937))</f>
        <v/>
      </c>
      <c r="I937" s="5" t="n"/>
      <c r="J937" s="5" t="n"/>
    </row>
    <row r="938">
      <c r="A938" s="5" t="n"/>
      <c r="B938" s="5" t="n"/>
      <c r="C938" s="5" t="n"/>
      <c r="D938" s="5" t="n"/>
      <c r="E938" s="4">
        <f>IF(C938="","",COUNTIF($C$7:C938,C938))</f>
        <v/>
      </c>
      <c r="F938" s="4">
        <f>IF(E938="","",IF(E938&lt;=3,6,IF(E938&lt;=6,5,IF(E938&lt;=9,4,IF(E938&lt;=12,3,IF(E938&lt;=15,2,0))))))</f>
        <v/>
      </c>
      <c r="G938" s="5" t="n"/>
      <c r="H938" s="4">
        <f>IF(OR(F938="",G938=""),"",F938*G938+IF(J938="",0,J938))</f>
        <v/>
      </c>
      <c r="I938" s="5" t="n"/>
      <c r="J938" s="5" t="n"/>
    </row>
    <row r="939">
      <c r="A939" s="5" t="n"/>
      <c r="B939" s="5" t="n"/>
      <c r="C939" s="5" t="n"/>
      <c r="D939" s="5" t="n"/>
      <c r="E939" s="4">
        <f>IF(C939="","",COUNTIF($C$7:C939,C939))</f>
        <v/>
      </c>
      <c r="F939" s="4">
        <f>IF(E939="","",IF(E939&lt;=3,6,IF(E939&lt;=6,5,IF(E939&lt;=9,4,IF(E939&lt;=12,3,IF(E939&lt;=15,2,0))))))</f>
        <v/>
      </c>
      <c r="G939" s="5" t="n"/>
      <c r="H939" s="4">
        <f>IF(OR(F939="",G939=""),"",F939*G939+IF(J939="",0,J939))</f>
        <v/>
      </c>
      <c r="I939" s="5" t="n"/>
      <c r="J939" s="5" t="n"/>
    </row>
    <row r="940">
      <c r="A940" s="5" t="n"/>
      <c r="B940" s="5" t="n"/>
      <c r="C940" s="5" t="n"/>
      <c r="D940" s="5" t="n"/>
      <c r="E940" s="4">
        <f>IF(C940="","",COUNTIF($C$7:C940,C940))</f>
        <v/>
      </c>
      <c r="F940" s="4">
        <f>IF(E940="","",IF(E940&lt;=3,6,IF(E940&lt;=6,5,IF(E940&lt;=9,4,IF(E940&lt;=12,3,IF(E940&lt;=15,2,0))))))</f>
        <v/>
      </c>
      <c r="G940" s="5" t="n"/>
      <c r="H940" s="4">
        <f>IF(OR(F940="",G940=""),"",F940*G940+IF(J940="",0,J940))</f>
        <v/>
      </c>
      <c r="I940" s="5" t="n"/>
      <c r="J940" s="5" t="n"/>
    </row>
    <row r="941">
      <c r="A941" s="5" t="n"/>
      <c r="B941" s="5" t="n"/>
      <c r="C941" s="5" t="n"/>
      <c r="D941" s="5" t="n"/>
      <c r="E941" s="4">
        <f>IF(C941="","",COUNTIF($C$7:C941,C941))</f>
        <v/>
      </c>
      <c r="F941" s="4">
        <f>IF(E941="","",IF(E941&lt;=3,6,IF(E941&lt;=6,5,IF(E941&lt;=9,4,IF(E941&lt;=12,3,IF(E941&lt;=15,2,0))))))</f>
        <v/>
      </c>
      <c r="G941" s="5" t="n"/>
      <c r="H941" s="4">
        <f>IF(OR(F941="",G941=""),"",F941*G941+IF(J941="",0,J941))</f>
        <v/>
      </c>
      <c r="I941" s="5" t="n"/>
      <c r="J941" s="5" t="n"/>
    </row>
    <row r="942">
      <c r="A942" s="5" t="n"/>
      <c r="B942" s="5" t="n"/>
      <c r="C942" s="5" t="n"/>
      <c r="D942" s="5" t="n"/>
      <c r="E942" s="4">
        <f>IF(C942="","",COUNTIF($C$7:C942,C942))</f>
        <v/>
      </c>
      <c r="F942" s="4">
        <f>IF(E942="","",IF(E942&lt;=3,6,IF(E942&lt;=6,5,IF(E942&lt;=9,4,IF(E942&lt;=12,3,IF(E942&lt;=15,2,0))))))</f>
        <v/>
      </c>
      <c r="G942" s="5" t="n"/>
      <c r="H942" s="4">
        <f>IF(OR(F942="",G942=""),"",F942*G942+IF(J942="",0,J942))</f>
        <v/>
      </c>
      <c r="I942" s="5" t="n"/>
      <c r="J942" s="5" t="n"/>
    </row>
    <row r="943">
      <c r="A943" s="5" t="n"/>
      <c r="B943" s="5" t="n"/>
      <c r="C943" s="5" t="n"/>
      <c r="D943" s="5" t="n"/>
      <c r="E943" s="4">
        <f>IF(C943="","",COUNTIF($C$7:C943,C943))</f>
        <v/>
      </c>
      <c r="F943" s="4">
        <f>IF(E943="","",IF(E943&lt;=3,6,IF(E943&lt;=6,5,IF(E943&lt;=9,4,IF(E943&lt;=12,3,IF(E943&lt;=15,2,0))))))</f>
        <v/>
      </c>
      <c r="G943" s="5" t="n"/>
      <c r="H943" s="4">
        <f>IF(OR(F943="",G943=""),"",F943*G943+IF(J943="",0,J943))</f>
        <v/>
      </c>
      <c r="I943" s="5" t="n"/>
      <c r="J943" s="5" t="n"/>
    </row>
    <row r="944">
      <c r="A944" s="5" t="n"/>
      <c r="B944" s="5" t="n"/>
      <c r="C944" s="5" t="n"/>
      <c r="D944" s="5" t="n"/>
      <c r="E944" s="4">
        <f>IF(C944="","",COUNTIF($C$7:C944,C944))</f>
        <v/>
      </c>
      <c r="F944" s="4">
        <f>IF(E944="","",IF(E944&lt;=3,6,IF(E944&lt;=6,5,IF(E944&lt;=9,4,IF(E944&lt;=12,3,IF(E944&lt;=15,2,0))))))</f>
        <v/>
      </c>
      <c r="G944" s="5" t="n"/>
      <c r="H944" s="4">
        <f>IF(OR(F944="",G944=""),"",F944*G944+IF(J944="",0,J944))</f>
        <v/>
      </c>
      <c r="I944" s="5" t="n"/>
      <c r="J944" s="5" t="n"/>
    </row>
    <row r="945">
      <c r="A945" s="5" t="n"/>
      <c r="B945" s="5" t="n"/>
      <c r="C945" s="5" t="n"/>
      <c r="D945" s="5" t="n"/>
      <c r="E945" s="4">
        <f>IF(C945="","",COUNTIF($C$7:C945,C945))</f>
        <v/>
      </c>
      <c r="F945" s="4">
        <f>IF(E945="","",IF(E945&lt;=3,6,IF(E945&lt;=6,5,IF(E945&lt;=9,4,IF(E945&lt;=12,3,IF(E945&lt;=15,2,0))))))</f>
        <v/>
      </c>
      <c r="G945" s="5" t="n"/>
      <c r="H945" s="4">
        <f>IF(OR(F945="",G945=""),"",F945*G945+IF(J945="",0,J945))</f>
        <v/>
      </c>
      <c r="I945" s="5" t="n"/>
      <c r="J945" s="5" t="n"/>
    </row>
    <row r="946">
      <c r="A946" s="5" t="n"/>
      <c r="B946" s="5" t="n"/>
      <c r="C946" s="5" t="n"/>
      <c r="D946" s="5" t="n"/>
      <c r="E946" s="4">
        <f>IF(C946="","",COUNTIF($C$7:C946,C946))</f>
        <v/>
      </c>
      <c r="F946" s="4">
        <f>IF(E946="","",IF(E946&lt;=3,6,IF(E946&lt;=6,5,IF(E946&lt;=9,4,IF(E946&lt;=12,3,IF(E946&lt;=15,2,0))))))</f>
        <v/>
      </c>
      <c r="G946" s="5" t="n"/>
      <c r="H946" s="4">
        <f>IF(OR(F946="",G946=""),"",F946*G946+IF(J946="",0,J946))</f>
        <v/>
      </c>
      <c r="I946" s="5" t="n"/>
      <c r="J946" s="5" t="n"/>
    </row>
    <row r="947">
      <c r="A947" s="5" t="n"/>
      <c r="B947" s="5" t="n"/>
      <c r="C947" s="5" t="n"/>
      <c r="D947" s="5" t="n"/>
      <c r="E947" s="4">
        <f>IF(C947="","",COUNTIF($C$7:C947,C947))</f>
        <v/>
      </c>
      <c r="F947" s="4">
        <f>IF(E947="","",IF(E947&lt;=3,6,IF(E947&lt;=6,5,IF(E947&lt;=9,4,IF(E947&lt;=12,3,IF(E947&lt;=15,2,0))))))</f>
        <v/>
      </c>
      <c r="G947" s="5" t="n"/>
      <c r="H947" s="4">
        <f>IF(OR(F947="",G947=""),"",F947*G947+IF(J947="",0,J947))</f>
        <v/>
      </c>
      <c r="I947" s="5" t="n"/>
      <c r="J947" s="5" t="n"/>
    </row>
    <row r="948">
      <c r="A948" s="5" t="n"/>
      <c r="B948" s="5" t="n"/>
      <c r="C948" s="5" t="n"/>
      <c r="D948" s="5" t="n"/>
      <c r="E948" s="4">
        <f>IF(C948="","",COUNTIF($C$7:C948,C948))</f>
        <v/>
      </c>
      <c r="F948" s="4">
        <f>IF(E948="","",IF(E948&lt;=3,6,IF(E948&lt;=6,5,IF(E948&lt;=9,4,IF(E948&lt;=12,3,IF(E948&lt;=15,2,0))))))</f>
        <v/>
      </c>
      <c r="G948" s="5" t="n"/>
      <c r="H948" s="4">
        <f>IF(OR(F948="",G948=""),"",F948*G948+IF(J948="",0,J948))</f>
        <v/>
      </c>
      <c r="I948" s="5" t="n"/>
      <c r="J948" s="5" t="n"/>
    </row>
    <row r="949">
      <c r="A949" s="5" t="n"/>
      <c r="B949" s="5" t="n"/>
      <c r="C949" s="5" t="n"/>
      <c r="D949" s="5" t="n"/>
      <c r="E949" s="4">
        <f>IF(C949="","",COUNTIF($C$7:C949,C949))</f>
        <v/>
      </c>
      <c r="F949" s="4">
        <f>IF(E949="","",IF(E949&lt;=3,6,IF(E949&lt;=6,5,IF(E949&lt;=9,4,IF(E949&lt;=12,3,IF(E949&lt;=15,2,0))))))</f>
        <v/>
      </c>
      <c r="G949" s="5" t="n"/>
      <c r="H949" s="4">
        <f>IF(OR(F949="",G949=""),"",F949*G949+IF(J949="",0,J949))</f>
        <v/>
      </c>
      <c r="I949" s="5" t="n"/>
      <c r="J949" s="5" t="n"/>
    </row>
    <row r="950">
      <c r="A950" s="5" t="n"/>
      <c r="B950" s="5" t="n"/>
      <c r="C950" s="5" t="n"/>
      <c r="D950" s="5" t="n"/>
      <c r="E950" s="4">
        <f>IF(C950="","",COUNTIF($C$7:C950,C950))</f>
        <v/>
      </c>
      <c r="F950" s="4">
        <f>IF(E950="","",IF(E950&lt;=3,6,IF(E950&lt;=6,5,IF(E950&lt;=9,4,IF(E950&lt;=12,3,IF(E950&lt;=15,2,0))))))</f>
        <v/>
      </c>
      <c r="G950" s="5" t="n"/>
      <c r="H950" s="4">
        <f>IF(OR(F950="",G950=""),"",F950*G950+IF(J950="",0,J950))</f>
        <v/>
      </c>
      <c r="I950" s="5" t="n"/>
      <c r="J950" s="5" t="n"/>
    </row>
    <row r="951">
      <c r="A951" s="5" t="n"/>
      <c r="B951" s="5" t="n"/>
      <c r="C951" s="5" t="n"/>
      <c r="D951" s="5" t="n"/>
      <c r="E951" s="4">
        <f>IF(C951="","",COUNTIF($C$7:C951,C951))</f>
        <v/>
      </c>
      <c r="F951" s="4">
        <f>IF(E951="","",IF(E951&lt;=3,6,IF(E951&lt;=6,5,IF(E951&lt;=9,4,IF(E951&lt;=12,3,IF(E951&lt;=15,2,0))))))</f>
        <v/>
      </c>
      <c r="G951" s="5" t="n"/>
      <c r="H951" s="4">
        <f>IF(OR(F951="",G951=""),"",F951*G951+IF(J951="",0,J951))</f>
        <v/>
      </c>
      <c r="I951" s="5" t="n"/>
      <c r="J951" s="5" t="n"/>
    </row>
    <row r="952">
      <c r="A952" s="5" t="n"/>
      <c r="B952" s="5" t="n"/>
      <c r="C952" s="5" t="n"/>
      <c r="D952" s="5" t="n"/>
      <c r="E952" s="4">
        <f>IF(C952="","",COUNTIF($C$7:C952,C952))</f>
        <v/>
      </c>
      <c r="F952" s="4">
        <f>IF(E952="","",IF(E952&lt;=3,6,IF(E952&lt;=6,5,IF(E952&lt;=9,4,IF(E952&lt;=12,3,IF(E952&lt;=15,2,0))))))</f>
        <v/>
      </c>
      <c r="G952" s="5" t="n"/>
      <c r="H952" s="4">
        <f>IF(OR(F952="",G952=""),"",F952*G952+IF(J952="",0,J952))</f>
        <v/>
      </c>
      <c r="I952" s="5" t="n"/>
      <c r="J952" s="5" t="n"/>
    </row>
    <row r="953">
      <c r="A953" s="5" t="n"/>
      <c r="B953" s="5" t="n"/>
      <c r="C953" s="5" t="n"/>
      <c r="D953" s="5" t="n"/>
      <c r="E953" s="4">
        <f>IF(C953="","",COUNTIF($C$7:C953,C953))</f>
        <v/>
      </c>
      <c r="F953" s="4">
        <f>IF(E953="","",IF(E953&lt;=3,6,IF(E953&lt;=6,5,IF(E953&lt;=9,4,IF(E953&lt;=12,3,IF(E953&lt;=15,2,0))))))</f>
        <v/>
      </c>
      <c r="G953" s="5" t="n"/>
      <c r="H953" s="4">
        <f>IF(OR(F953="",G953=""),"",F953*G953+IF(J953="",0,J953))</f>
        <v/>
      </c>
      <c r="I953" s="5" t="n"/>
      <c r="J953" s="5" t="n"/>
    </row>
    <row r="954">
      <c r="A954" s="5" t="n"/>
      <c r="B954" s="5" t="n"/>
      <c r="C954" s="5" t="n"/>
      <c r="D954" s="5" t="n"/>
      <c r="E954" s="4">
        <f>IF(C954="","",COUNTIF($C$7:C954,C954))</f>
        <v/>
      </c>
      <c r="F954" s="4">
        <f>IF(E954="","",IF(E954&lt;=3,6,IF(E954&lt;=6,5,IF(E954&lt;=9,4,IF(E954&lt;=12,3,IF(E954&lt;=15,2,0))))))</f>
        <v/>
      </c>
      <c r="G954" s="5" t="n"/>
      <c r="H954" s="4">
        <f>IF(OR(F954="",G954=""),"",F954*G954+IF(J954="",0,J954))</f>
        <v/>
      </c>
      <c r="I954" s="5" t="n"/>
      <c r="J954" s="5" t="n"/>
    </row>
    <row r="955">
      <c r="A955" s="5" t="n"/>
      <c r="B955" s="5" t="n"/>
      <c r="C955" s="5" t="n"/>
      <c r="D955" s="5" t="n"/>
      <c r="E955" s="4">
        <f>IF(C955="","",COUNTIF($C$7:C955,C955))</f>
        <v/>
      </c>
      <c r="F955" s="4">
        <f>IF(E955="","",IF(E955&lt;=3,6,IF(E955&lt;=6,5,IF(E955&lt;=9,4,IF(E955&lt;=12,3,IF(E955&lt;=15,2,0))))))</f>
        <v/>
      </c>
      <c r="G955" s="5" t="n"/>
      <c r="H955" s="4">
        <f>IF(OR(F955="",G955=""),"",F955*G955+IF(J955="",0,J955))</f>
        <v/>
      </c>
      <c r="I955" s="5" t="n"/>
      <c r="J955" s="5" t="n"/>
    </row>
    <row r="956">
      <c r="A956" s="5" t="n"/>
      <c r="B956" s="5" t="n"/>
      <c r="C956" s="5" t="n"/>
      <c r="D956" s="5" t="n"/>
      <c r="E956" s="4">
        <f>IF(C956="","",COUNTIF($C$7:C956,C956))</f>
        <v/>
      </c>
      <c r="F956" s="4">
        <f>IF(E956="","",IF(E956&lt;=3,6,IF(E956&lt;=6,5,IF(E956&lt;=9,4,IF(E956&lt;=12,3,IF(E956&lt;=15,2,0))))))</f>
        <v/>
      </c>
      <c r="G956" s="5" t="n"/>
      <c r="H956" s="4">
        <f>IF(OR(F956="",G956=""),"",F956*G956+IF(J956="",0,J956))</f>
        <v/>
      </c>
      <c r="I956" s="5" t="n"/>
      <c r="J956" s="5" t="n"/>
    </row>
    <row r="957">
      <c r="A957" s="5" t="n"/>
      <c r="B957" s="5" t="n"/>
      <c r="C957" s="5" t="n"/>
      <c r="D957" s="5" t="n"/>
      <c r="E957" s="4">
        <f>IF(C957="","",COUNTIF($C$7:C957,C957))</f>
        <v/>
      </c>
      <c r="F957" s="4">
        <f>IF(E957="","",IF(E957&lt;=3,6,IF(E957&lt;=6,5,IF(E957&lt;=9,4,IF(E957&lt;=12,3,IF(E957&lt;=15,2,0))))))</f>
        <v/>
      </c>
      <c r="G957" s="5" t="n"/>
      <c r="H957" s="4">
        <f>IF(OR(F957="",G957=""),"",F957*G957+IF(J957="",0,J957))</f>
        <v/>
      </c>
      <c r="I957" s="5" t="n"/>
      <c r="J957" s="5" t="n"/>
    </row>
    <row r="958">
      <c r="A958" s="5" t="n"/>
      <c r="B958" s="5" t="n"/>
      <c r="C958" s="5" t="n"/>
      <c r="D958" s="5" t="n"/>
      <c r="E958" s="4">
        <f>IF(C958="","",COUNTIF($C$7:C958,C958))</f>
        <v/>
      </c>
      <c r="F958" s="4">
        <f>IF(E958="","",IF(E958&lt;=3,6,IF(E958&lt;=6,5,IF(E958&lt;=9,4,IF(E958&lt;=12,3,IF(E958&lt;=15,2,0))))))</f>
        <v/>
      </c>
      <c r="G958" s="5" t="n"/>
      <c r="H958" s="4">
        <f>IF(OR(F958="",G958=""),"",F958*G958+IF(J958="",0,J958))</f>
        <v/>
      </c>
      <c r="I958" s="5" t="n"/>
      <c r="J958" s="5" t="n"/>
    </row>
    <row r="959">
      <c r="A959" s="5" t="n"/>
      <c r="B959" s="5" t="n"/>
      <c r="C959" s="5" t="n"/>
      <c r="D959" s="5" t="n"/>
      <c r="E959" s="4">
        <f>IF(C959="","",COUNTIF($C$7:C959,C959))</f>
        <v/>
      </c>
      <c r="F959" s="4">
        <f>IF(E959="","",IF(E959&lt;=3,6,IF(E959&lt;=6,5,IF(E959&lt;=9,4,IF(E959&lt;=12,3,IF(E959&lt;=15,2,0))))))</f>
        <v/>
      </c>
      <c r="G959" s="5" t="n"/>
      <c r="H959" s="4">
        <f>IF(OR(F959="",G959=""),"",F959*G959+IF(J959="",0,J959))</f>
        <v/>
      </c>
      <c r="I959" s="5" t="n"/>
      <c r="J959" s="5" t="n"/>
    </row>
    <row r="960">
      <c r="A960" s="5" t="n"/>
      <c r="B960" s="5" t="n"/>
      <c r="C960" s="5" t="n"/>
      <c r="D960" s="5" t="n"/>
      <c r="E960" s="4">
        <f>IF(C960="","",COUNTIF($C$7:C960,C960))</f>
        <v/>
      </c>
      <c r="F960" s="4">
        <f>IF(E960="","",IF(E960&lt;=3,6,IF(E960&lt;=6,5,IF(E960&lt;=9,4,IF(E960&lt;=12,3,IF(E960&lt;=15,2,0))))))</f>
        <v/>
      </c>
      <c r="G960" s="5" t="n"/>
      <c r="H960" s="4">
        <f>IF(OR(F960="",G960=""),"",F960*G960+IF(J960="",0,J960))</f>
        <v/>
      </c>
      <c r="I960" s="5" t="n"/>
      <c r="J960" s="5" t="n"/>
    </row>
    <row r="961">
      <c r="A961" s="5" t="n"/>
      <c r="B961" s="5" t="n"/>
      <c r="C961" s="5" t="n"/>
      <c r="D961" s="5" t="n"/>
      <c r="E961" s="4">
        <f>IF(C961="","",COUNTIF($C$7:C961,C961))</f>
        <v/>
      </c>
      <c r="F961" s="4">
        <f>IF(E961="","",IF(E961&lt;=3,6,IF(E961&lt;=6,5,IF(E961&lt;=9,4,IF(E961&lt;=12,3,IF(E961&lt;=15,2,0))))))</f>
        <v/>
      </c>
      <c r="G961" s="5" t="n"/>
      <c r="H961" s="4">
        <f>IF(OR(F961="",G961=""),"",F961*G961+IF(J961="",0,J961))</f>
        <v/>
      </c>
      <c r="I961" s="5" t="n"/>
      <c r="J961" s="5" t="n"/>
    </row>
    <row r="962">
      <c r="A962" s="5" t="n"/>
      <c r="B962" s="5" t="n"/>
      <c r="C962" s="5" t="n"/>
      <c r="D962" s="5" t="n"/>
      <c r="E962" s="4">
        <f>IF(C962="","",COUNTIF($C$7:C962,C962))</f>
        <v/>
      </c>
      <c r="F962" s="4">
        <f>IF(E962="","",IF(E962&lt;=3,6,IF(E962&lt;=6,5,IF(E962&lt;=9,4,IF(E962&lt;=12,3,IF(E962&lt;=15,2,0))))))</f>
        <v/>
      </c>
      <c r="G962" s="5" t="n"/>
      <c r="H962" s="4">
        <f>IF(OR(F962="",G962=""),"",F962*G962+IF(J962="",0,J962))</f>
        <v/>
      </c>
      <c r="I962" s="5" t="n"/>
      <c r="J962" s="5" t="n"/>
    </row>
    <row r="963">
      <c r="A963" s="5" t="n"/>
      <c r="B963" s="5" t="n"/>
      <c r="C963" s="5" t="n"/>
      <c r="D963" s="5" t="n"/>
      <c r="E963" s="4">
        <f>IF(C963="","",COUNTIF($C$7:C963,C963))</f>
        <v/>
      </c>
      <c r="F963" s="4">
        <f>IF(E963="","",IF(E963&lt;=3,6,IF(E963&lt;=6,5,IF(E963&lt;=9,4,IF(E963&lt;=12,3,IF(E963&lt;=15,2,0))))))</f>
        <v/>
      </c>
      <c r="G963" s="5" t="n"/>
      <c r="H963" s="4">
        <f>IF(OR(F963="",G963=""),"",F963*G963+IF(J963="",0,J963))</f>
        <v/>
      </c>
      <c r="I963" s="5" t="n"/>
      <c r="J963" s="5" t="n"/>
    </row>
    <row r="964">
      <c r="A964" s="5" t="n"/>
      <c r="B964" s="5" t="n"/>
      <c r="C964" s="5" t="n"/>
      <c r="D964" s="5" t="n"/>
      <c r="E964" s="4">
        <f>IF(C964="","",COUNTIF($C$7:C964,C964))</f>
        <v/>
      </c>
      <c r="F964" s="4">
        <f>IF(E964="","",IF(E964&lt;=3,6,IF(E964&lt;=6,5,IF(E964&lt;=9,4,IF(E964&lt;=12,3,IF(E964&lt;=15,2,0))))))</f>
        <v/>
      </c>
      <c r="G964" s="5" t="n"/>
      <c r="H964" s="4">
        <f>IF(OR(F964="",G964=""),"",F964*G964+IF(J964="",0,J964))</f>
        <v/>
      </c>
      <c r="I964" s="5" t="n"/>
      <c r="J964" s="5" t="n"/>
    </row>
    <row r="965">
      <c r="A965" s="5" t="n"/>
      <c r="B965" s="5" t="n"/>
      <c r="C965" s="5" t="n"/>
      <c r="D965" s="5" t="n"/>
      <c r="E965" s="4">
        <f>IF(C965="","",COUNTIF($C$7:C965,C965))</f>
        <v/>
      </c>
      <c r="F965" s="4">
        <f>IF(E965="","",IF(E965&lt;=3,6,IF(E965&lt;=6,5,IF(E965&lt;=9,4,IF(E965&lt;=12,3,IF(E965&lt;=15,2,0))))))</f>
        <v/>
      </c>
      <c r="G965" s="5" t="n"/>
      <c r="H965" s="4">
        <f>IF(OR(F965="",G965=""),"",F965*G965+IF(J965="",0,J965))</f>
        <v/>
      </c>
      <c r="I965" s="5" t="n"/>
      <c r="J965" s="5" t="n"/>
    </row>
    <row r="966">
      <c r="A966" s="5" t="n"/>
      <c r="B966" s="5" t="n"/>
      <c r="C966" s="5" t="n"/>
      <c r="D966" s="5" t="n"/>
      <c r="E966" s="4">
        <f>IF(C966="","",COUNTIF($C$7:C966,C966))</f>
        <v/>
      </c>
      <c r="F966" s="4">
        <f>IF(E966="","",IF(E966&lt;=3,6,IF(E966&lt;=6,5,IF(E966&lt;=9,4,IF(E966&lt;=12,3,IF(E966&lt;=15,2,0))))))</f>
        <v/>
      </c>
      <c r="G966" s="5" t="n"/>
      <c r="H966" s="4">
        <f>IF(OR(F966="",G966=""),"",F966*G966+IF(J966="",0,J966))</f>
        <v/>
      </c>
      <c r="I966" s="5" t="n"/>
      <c r="J966" s="5" t="n"/>
    </row>
    <row r="967">
      <c r="A967" s="5" t="n"/>
      <c r="B967" s="5" t="n"/>
      <c r="C967" s="5" t="n"/>
      <c r="D967" s="5" t="n"/>
      <c r="E967" s="4">
        <f>IF(C967="","",COUNTIF($C$7:C967,C967))</f>
        <v/>
      </c>
      <c r="F967" s="4">
        <f>IF(E967="","",IF(E967&lt;=3,6,IF(E967&lt;=6,5,IF(E967&lt;=9,4,IF(E967&lt;=12,3,IF(E967&lt;=15,2,0))))))</f>
        <v/>
      </c>
      <c r="G967" s="5" t="n"/>
      <c r="H967" s="4">
        <f>IF(OR(F967="",G967=""),"",F967*G967+IF(J967="",0,J967))</f>
        <v/>
      </c>
      <c r="I967" s="5" t="n"/>
      <c r="J967" s="5" t="n"/>
    </row>
    <row r="968">
      <c r="A968" s="5" t="n"/>
      <c r="B968" s="5" t="n"/>
      <c r="C968" s="5" t="n"/>
      <c r="D968" s="5" t="n"/>
      <c r="E968" s="4">
        <f>IF(C968="","",COUNTIF($C$7:C968,C968))</f>
        <v/>
      </c>
      <c r="F968" s="4">
        <f>IF(E968="","",IF(E968&lt;=3,6,IF(E968&lt;=6,5,IF(E968&lt;=9,4,IF(E968&lt;=12,3,IF(E968&lt;=15,2,0))))))</f>
        <v/>
      </c>
      <c r="G968" s="5" t="n"/>
      <c r="H968" s="4">
        <f>IF(OR(F968="",G968=""),"",F968*G968+IF(J968="",0,J968))</f>
        <v/>
      </c>
      <c r="I968" s="5" t="n"/>
      <c r="J968" s="5" t="n"/>
    </row>
    <row r="969">
      <c r="A969" s="5" t="n"/>
      <c r="B969" s="5" t="n"/>
      <c r="C969" s="5" t="n"/>
      <c r="D969" s="5" t="n"/>
      <c r="E969" s="4">
        <f>IF(C969="","",COUNTIF($C$7:C969,C969))</f>
        <v/>
      </c>
      <c r="F969" s="4">
        <f>IF(E969="","",IF(E969&lt;=3,6,IF(E969&lt;=6,5,IF(E969&lt;=9,4,IF(E969&lt;=12,3,IF(E969&lt;=15,2,0))))))</f>
        <v/>
      </c>
      <c r="G969" s="5" t="n"/>
      <c r="H969" s="4">
        <f>IF(OR(F969="",G969=""),"",F969*G969+IF(J969="",0,J969))</f>
        <v/>
      </c>
      <c r="I969" s="5" t="n"/>
      <c r="J969" s="5" t="n"/>
    </row>
    <row r="970">
      <c r="A970" s="5" t="n"/>
      <c r="B970" s="5" t="n"/>
      <c r="C970" s="5" t="n"/>
      <c r="D970" s="5" t="n"/>
      <c r="E970" s="4">
        <f>IF(C970="","",COUNTIF($C$7:C970,C970))</f>
        <v/>
      </c>
      <c r="F970" s="4">
        <f>IF(E970="","",IF(E970&lt;=3,6,IF(E970&lt;=6,5,IF(E970&lt;=9,4,IF(E970&lt;=12,3,IF(E970&lt;=15,2,0))))))</f>
        <v/>
      </c>
      <c r="G970" s="5" t="n"/>
      <c r="H970" s="4">
        <f>IF(OR(F970="",G970=""),"",F970*G970+IF(J970="",0,J970))</f>
        <v/>
      </c>
      <c r="I970" s="5" t="n"/>
      <c r="J970" s="5" t="n"/>
    </row>
    <row r="971">
      <c r="A971" s="5" t="n"/>
      <c r="B971" s="5" t="n"/>
      <c r="C971" s="5" t="n"/>
      <c r="D971" s="5" t="n"/>
      <c r="E971" s="4">
        <f>IF(C971="","",COUNTIF($C$7:C971,C971))</f>
        <v/>
      </c>
      <c r="F971" s="4">
        <f>IF(E971="","",IF(E971&lt;=3,6,IF(E971&lt;=6,5,IF(E971&lt;=9,4,IF(E971&lt;=12,3,IF(E971&lt;=15,2,0))))))</f>
        <v/>
      </c>
      <c r="G971" s="5" t="n"/>
      <c r="H971" s="4">
        <f>IF(OR(F971="",G971=""),"",F971*G971+IF(J971="",0,J971))</f>
        <v/>
      </c>
      <c r="I971" s="5" t="n"/>
      <c r="J971" s="5" t="n"/>
    </row>
    <row r="972">
      <c r="A972" s="5" t="n"/>
      <c r="B972" s="5" t="n"/>
      <c r="C972" s="5" t="n"/>
      <c r="D972" s="5" t="n"/>
      <c r="E972" s="4">
        <f>IF(C972="","",COUNTIF($C$7:C972,C972))</f>
        <v/>
      </c>
      <c r="F972" s="4">
        <f>IF(E972="","",IF(E972&lt;=3,6,IF(E972&lt;=6,5,IF(E972&lt;=9,4,IF(E972&lt;=12,3,IF(E972&lt;=15,2,0))))))</f>
        <v/>
      </c>
      <c r="G972" s="5" t="n"/>
      <c r="H972" s="4">
        <f>IF(OR(F972="",G972=""),"",F972*G972+IF(J972="",0,J972))</f>
        <v/>
      </c>
      <c r="I972" s="5" t="n"/>
      <c r="J972" s="5" t="n"/>
    </row>
    <row r="973">
      <c r="A973" s="5" t="n"/>
      <c r="B973" s="5" t="n"/>
      <c r="C973" s="5" t="n"/>
      <c r="D973" s="5" t="n"/>
      <c r="E973" s="4">
        <f>IF(C973="","",COUNTIF($C$7:C973,C973))</f>
        <v/>
      </c>
      <c r="F973" s="4">
        <f>IF(E973="","",IF(E973&lt;=3,6,IF(E973&lt;=6,5,IF(E973&lt;=9,4,IF(E973&lt;=12,3,IF(E973&lt;=15,2,0))))))</f>
        <v/>
      </c>
      <c r="G973" s="5" t="n"/>
      <c r="H973" s="4">
        <f>IF(OR(F973="",G973=""),"",F973*G973+IF(J973="",0,J973))</f>
        <v/>
      </c>
      <c r="I973" s="5" t="n"/>
      <c r="J973" s="5" t="n"/>
    </row>
    <row r="974">
      <c r="A974" s="5" t="n"/>
      <c r="B974" s="5" t="n"/>
      <c r="C974" s="5" t="n"/>
      <c r="D974" s="5" t="n"/>
      <c r="E974" s="4">
        <f>IF(C974="","",COUNTIF($C$7:C974,C974))</f>
        <v/>
      </c>
      <c r="F974" s="4">
        <f>IF(E974="","",IF(E974&lt;=3,6,IF(E974&lt;=6,5,IF(E974&lt;=9,4,IF(E974&lt;=12,3,IF(E974&lt;=15,2,0))))))</f>
        <v/>
      </c>
      <c r="G974" s="5" t="n"/>
      <c r="H974" s="4">
        <f>IF(OR(F974="",G974=""),"",F974*G974+IF(J974="",0,J974))</f>
        <v/>
      </c>
      <c r="I974" s="5" t="n"/>
      <c r="J974" s="5" t="n"/>
    </row>
    <row r="975">
      <c r="A975" s="5" t="n"/>
      <c r="B975" s="5" t="n"/>
      <c r="C975" s="5" t="n"/>
      <c r="D975" s="5" t="n"/>
      <c r="E975" s="4">
        <f>IF(C975="","",COUNTIF($C$7:C975,C975))</f>
        <v/>
      </c>
      <c r="F975" s="4">
        <f>IF(E975="","",IF(E975&lt;=3,6,IF(E975&lt;=6,5,IF(E975&lt;=9,4,IF(E975&lt;=12,3,IF(E975&lt;=15,2,0))))))</f>
        <v/>
      </c>
      <c r="G975" s="5" t="n"/>
      <c r="H975" s="4">
        <f>IF(OR(F975="",G975=""),"",F975*G975+IF(J975="",0,J975))</f>
        <v/>
      </c>
      <c r="I975" s="5" t="n"/>
      <c r="J975" s="5" t="n"/>
    </row>
    <row r="976">
      <c r="A976" s="5" t="n"/>
      <c r="B976" s="5" t="n"/>
      <c r="C976" s="5" t="n"/>
      <c r="D976" s="5" t="n"/>
      <c r="E976" s="4">
        <f>IF(C976="","",COUNTIF($C$7:C976,C976))</f>
        <v/>
      </c>
      <c r="F976" s="4">
        <f>IF(E976="","",IF(E976&lt;=3,6,IF(E976&lt;=6,5,IF(E976&lt;=9,4,IF(E976&lt;=12,3,IF(E976&lt;=15,2,0))))))</f>
        <v/>
      </c>
      <c r="G976" s="5" t="n"/>
      <c r="H976" s="4">
        <f>IF(OR(F976="",G976=""),"",F976*G976+IF(J976="",0,J976))</f>
        <v/>
      </c>
      <c r="I976" s="5" t="n"/>
      <c r="J976" s="5" t="n"/>
    </row>
    <row r="977">
      <c r="A977" s="5" t="n"/>
      <c r="B977" s="5" t="n"/>
      <c r="C977" s="5" t="n"/>
      <c r="D977" s="5" t="n"/>
      <c r="E977" s="4">
        <f>IF(C977="","",COUNTIF($C$7:C977,C977))</f>
        <v/>
      </c>
      <c r="F977" s="4">
        <f>IF(E977="","",IF(E977&lt;=3,6,IF(E977&lt;=6,5,IF(E977&lt;=9,4,IF(E977&lt;=12,3,IF(E977&lt;=15,2,0))))))</f>
        <v/>
      </c>
      <c r="G977" s="5" t="n"/>
      <c r="H977" s="4">
        <f>IF(OR(F977="",G977=""),"",F977*G977+IF(J977="",0,J977))</f>
        <v/>
      </c>
      <c r="I977" s="5" t="n"/>
      <c r="J977" s="5" t="n"/>
    </row>
    <row r="978">
      <c r="A978" s="5" t="n"/>
      <c r="B978" s="5" t="n"/>
      <c r="C978" s="5" t="n"/>
      <c r="D978" s="5" t="n"/>
      <c r="E978" s="4">
        <f>IF(C978="","",COUNTIF($C$7:C978,C978))</f>
        <v/>
      </c>
      <c r="F978" s="4">
        <f>IF(E978="","",IF(E978&lt;=3,6,IF(E978&lt;=6,5,IF(E978&lt;=9,4,IF(E978&lt;=12,3,IF(E978&lt;=15,2,0))))))</f>
        <v/>
      </c>
      <c r="G978" s="5" t="n"/>
      <c r="H978" s="4">
        <f>IF(OR(F978="",G978=""),"",F978*G978+IF(J978="",0,J978))</f>
        <v/>
      </c>
      <c r="I978" s="5" t="n"/>
      <c r="J978" s="5" t="n"/>
    </row>
    <row r="979">
      <c r="A979" s="5" t="n"/>
      <c r="B979" s="5" t="n"/>
      <c r="C979" s="5" t="n"/>
      <c r="D979" s="5" t="n"/>
      <c r="E979" s="4">
        <f>IF(C979="","",COUNTIF($C$7:C979,C979))</f>
        <v/>
      </c>
      <c r="F979" s="4">
        <f>IF(E979="","",IF(E979&lt;=3,6,IF(E979&lt;=6,5,IF(E979&lt;=9,4,IF(E979&lt;=12,3,IF(E979&lt;=15,2,0))))))</f>
        <v/>
      </c>
      <c r="G979" s="5" t="n"/>
      <c r="H979" s="4">
        <f>IF(OR(F979="",G979=""),"",F979*G979+IF(J979="",0,J979))</f>
        <v/>
      </c>
      <c r="I979" s="5" t="n"/>
      <c r="J979" s="5" t="n"/>
    </row>
    <row r="980">
      <c r="A980" s="5" t="n"/>
      <c r="B980" s="5" t="n"/>
      <c r="C980" s="5" t="n"/>
      <c r="D980" s="5" t="n"/>
      <c r="E980" s="4">
        <f>IF(C980="","",COUNTIF($C$7:C980,C980))</f>
        <v/>
      </c>
      <c r="F980" s="4">
        <f>IF(E980="","",IF(E980&lt;=3,6,IF(E980&lt;=6,5,IF(E980&lt;=9,4,IF(E980&lt;=12,3,IF(E980&lt;=15,2,0))))))</f>
        <v/>
      </c>
      <c r="G980" s="5" t="n"/>
      <c r="H980" s="4">
        <f>IF(OR(F980="",G980=""),"",F980*G980+IF(J980="",0,J980))</f>
        <v/>
      </c>
      <c r="I980" s="5" t="n"/>
      <c r="J980" s="5" t="n"/>
    </row>
    <row r="981">
      <c r="A981" s="5" t="n"/>
      <c r="B981" s="5" t="n"/>
      <c r="C981" s="5" t="n"/>
      <c r="D981" s="5" t="n"/>
      <c r="E981" s="4">
        <f>IF(C981="","",COUNTIF($C$7:C981,C981))</f>
        <v/>
      </c>
      <c r="F981" s="4">
        <f>IF(E981="","",IF(E981&lt;=3,6,IF(E981&lt;=6,5,IF(E981&lt;=9,4,IF(E981&lt;=12,3,IF(E981&lt;=15,2,0))))))</f>
        <v/>
      </c>
      <c r="G981" s="5" t="n"/>
      <c r="H981" s="4">
        <f>IF(OR(F981="",G981=""),"",F981*G981+IF(J981="",0,J981))</f>
        <v/>
      </c>
      <c r="I981" s="5" t="n"/>
      <c r="J981" s="5" t="n"/>
    </row>
    <row r="982">
      <c r="A982" s="5" t="n"/>
      <c r="B982" s="5" t="n"/>
      <c r="C982" s="5" t="n"/>
      <c r="D982" s="5" t="n"/>
      <c r="E982" s="4">
        <f>IF(C982="","",COUNTIF($C$7:C982,C982))</f>
        <v/>
      </c>
      <c r="F982" s="4">
        <f>IF(E982="","",IF(E982&lt;=3,6,IF(E982&lt;=6,5,IF(E982&lt;=9,4,IF(E982&lt;=12,3,IF(E982&lt;=15,2,0))))))</f>
        <v/>
      </c>
      <c r="G982" s="5" t="n"/>
      <c r="H982" s="4">
        <f>IF(OR(F982="",G982=""),"",F982*G982+IF(J982="",0,J982))</f>
        <v/>
      </c>
      <c r="I982" s="5" t="n"/>
      <c r="J982" s="5" t="n"/>
    </row>
    <row r="983">
      <c r="A983" s="5" t="n"/>
      <c r="B983" s="5" t="n"/>
      <c r="C983" s="5" t="n"/>
      <c r="D983" s="5" t="n"/>
      <c r="E983" s="4">
        <f>IF(C983="","",COUNTIF($C$7:C983,C983))</f>
        <v/>
      </c>
      <c r="F983" s="4">
        <f>IF(E983="","",IF(E983&lt;=3,6,IF(E983&lt;=6,5,IF(E983&lt;=9,4,IF(E983&lt;=12,3,IF(E983&lt;=15,2,0))))))</f>
        <v/>
      </c>
      <c r="G983" s="5" t="n"/>
      <c r="H983" s="4">
        <f>IF(OR(F983="",G983=""),"",F983*G983+IF(J983="",0,J983))</f>
        <v/>
      </c>
      <c r="I983" s="5" t="n"/>
      <c r="J983" s="5" t="n"/>
    </row>
    <row r="984">
      <c r="A984" s="5" t="n"/>
      <c r="B984" s="5" t="n"/>
      <c r="C984" s="5" t="n"/>
      <c r="D984" s="5" t="n"/>
      <c r="E984" s="4">
        <f>IF(C984="","",COUNTIF($C$7:C984,C984))</f>
        <v/>
      </c>
      <c r="F984" s="4">
        <f>IF(E984="","",IF(E984&lt;=3,6,IF(E984&lt;=6,5,IF(E984&lt;=9,4,IF(E984&lt;=12,3,IF(E984&lt;=15,2,0))))))</f>
        <v/>
      </c>
      <c r="G984" s="5" t="n"/>
      <c r="H984" s="4">
        <f>IF(OR(F984="",G984=""),"",F984*G984+IF(J984="",0,J984))</f>
        <v/>
      </c>
      <c r="I984" s="5" t="n"/>
      <c r="J984" s="5" t="n"/>
    </row>
    <row r="985">
      <c r="A985" s="5" t="n"/>
      <c r="B985" s="5" t="n"/>
      <c r="C985" s="5" t="n"/>
      <c r="D985" s="5" t="n"/>
      <c r="E985" s="4">
        <f>IF(C985="","",COUNTIF($C$7:C985,C985))</f>
        <v/>
      </c>
      <c r="F985" s="4">
        <f>IF(E985="","",IF(E985&lt;=3,6,IF(E985&lt;=6,5,IF(E985&lt;=9,4,IF(E985&lt;=12,3,IF(E985&lt;=15,2,0))))))</f>
        <v/>
      </c>
      <c r="G985" s="5" t="n"/>
      <c r="H985" s="4">
        <f>IF(OR(F985="",G985=""),"",F985*G985+IF(J985="",0,J985))</f>
        <v/>
      </c>
      <c r="I985" s="5" t="n"/>
      <c r="J985" s="5" t="n"/>
    </row>
    <row r="986">
      <c r="A986" s="5" t="n"/>
      <c r="B986" s="5" t="n"/>
      <c r="C986" s="5" t="n"/>
      <c r="D986" s="5" t="n"/>
      <c r="E986" s="4">
        <f>IF(C986="","",COUNTIF($C$7:C986,C986))</f>
        <v/>
      </c>
      <c r="F986" s="4">
        <f>IF(E986="","",IF(E986&lt;=3,6,IF(E986&lt;=6,5,IF(E986&lt;=9,4,IF(E986&lt;=12,3,IF(E986&lt;=15,2,0))))))</f>
        <v/>
      </c>
      <c r="G986" s="5" t="n"/>
      <c r="H986" s="4">
        <f>IF(OR(F986="",G986=""),"",F986*G986+IF(J986="",0,J986))</f>
        <v/>
      </c>
      <c r="I986" s="5" t="n"/>
      <c r="J986" s="5" t="n"/>
    </row>
    <row r="987">
      <c r="A987" s="5" t="n"/>
      <c r="B987" s="5" t="n"/>
      <c r="C987" s="5" t="n"/>
      <c r="D987" s="5" t="n"/>
      <c r="E987" s="4">
        <f>IF(C987="","",COUNTIF($C$7:C987,C987))</f>
        <v/>
      </c>
      <c r="F987" s="4">
        <f>IF(E987="","",IF(E987&lt;=3,6,IF(E987&lt;=6,5,IF(E987&lt;=9,4,IF(E987&lt;=12,3,IF(E987&lt;=15,2,0))))))</f>
        <v/>
      </c>
      <c r="G987" s="5" t="n"/>
      <c r="H987" s="4">
        <f>IF(OR(F987="",G987=""),"",F987*G987+IF(J987="",0,J987))</f>
        <v/>
      </c>
      <c r="I987" s="5" t="n"/>
      <c r="J987" s="5" t="n"/>
    </row>
    <row r="988">
      <c r="A988" s="5" t="n"/>
      <c r="B988" s="5" t="n"/>
      <c r="C988" s="5" t="n"/>
      <c r="D988" s="5" t="n"/>
      <c r="E988" s="4">
        <f>IF(C988="","",COUNTIF($C$7:C988,C988))</f>
        <v/>
      </c>
      <c r="F988" s="4">
        <f>IF(E988="","",IF(E988&lt;=3,6,IF(E988&lt;=6,5,IF(E988&lt;=9,4,IF(E988&lt;=12,3,IF(E988&lt;=15,2,0))))))</f>
        <v/>
      </c>
      <c r="G988" s="5" t="n"/>
      <c r="H988" s="4">
        <f>IF(OR(F988="",G988=""),"",F988*G988+IF(J988="",0,J988))</f>
        <v/>
      </c>
      <c r="I988" s="5" t="n"/>
      <c r="J988" s="5" t="n"/>
    </row>
    <row r="989">
      <c r="A989" s="5" t="n"/>
      <c r="B989" s="5" t="n"/>
      <c r="C989" s="5" t="n"/>
      <c r="D989" s="5" t="n"/>
      <c r="E989" s="4">
        <f>IF(C989="","",COUNTIF($C$7:C989,C989))</f>
        <v/>
      </c>
      <c r="F989" s="4">
        <f>IF(E989="","",IF(E989&lt;=3,6,IF(E989&lt;=6,5,IF(E989&lt;=9,4,IF(E989&lt;=12,3,IF(E989&lt;=15,2,0))))))</f>
        <v/>
      </c>
      <c r="G989" s="5" t="n"/>
      <c r="H989" s="4">
        <f>IF(OR(F989="",G989=""),"",F989*G989+IF(J989="",0,J989))</f>
        <v/>
      </c>
      <c r="I989" s="5" t="n"/>
      <c r="J989" s="5" t="n"/>
    </row>
    <row r="990">
      <c r="A990" s="5" t="n"/>
      <c r="B990" s="5" t="n"/>
      <c r="C990" s="5" t="n"/>
      <c r="D990" s="5" t="n"/>
      <c r="E990" s="4">
        <f>IF(C990="","",COUNTIF($C$7:C990,C990))</f>
        <v/>
      </c>
      <c r="F990" s="4">
        <f>IF(E990="","",IF(E990&lt;=3,6,IF(E990&lt;=6,5,IF(E990&lt;=9,4,IF(E990&lt;=12,3,IF(E990&lt;=15,2,0))))))</f>
        <v/>
      </c>
      <c r="G990" s="5" t="n"/>
      <c r="H990" s="4">
        <f>IF(OR(F990="",G990=""),"",F990*G990+IF(J990="",0,J990))</f>
        <v/>
      </c>
      <c r="I990" s="5" t="n"/>
      <c r="J990" s="5" t="n"/>
    </row>
    <row r="991">
      <c r="A991" s="5" t="n"/>
      <c r="B991" s="5" t="n"/>
      <c r="C991" s="5" t="n"/>
      <c r="D991" s="5" t="n"/>
      <c r="E991" s="4">
        <f>IF(C991="","",COUNTIF($C$7:C991,C991))</f>
        <v/>
      </c>
      <c r="F991" s="4">
        <f>IF(E991="","",IF(E991&lt;=3,6,IF(E991&lt;=6,5,IF(E991&lt;=9,4,IF(E991&lt;=12,3,IF(E991&lt;=15,2,0))))))</f>
        <v/>
      </c>
      <c r="G991" s="5" t="n"/>
      <c r="H991" s="4">
        <f>IF(OR(F991="",G991=""),"",F991*G991+IF(J991="",0,J991))</f>
        <v/>
      </c>
      <c r="I991" s="5" t="n"/>
      <c r="J991" s="5" t="n"/>
    </row>
    <row r="992">
      <c r="A992" s="5" t="n"/>
      <c r="B992" s="5" t="n"/>
      <c r="C992" s="5" t="n"/>
      <c r="D992" s="5" t="n"/>
      <c r="E992" s="4">
        <f>IF(C992="","",COUNTIF($C$7:C992,C992))</f>
        <v/>
      </c>
      <c r="F992" s="4">
        <f>IF(E992="","",IF(E992&lt;=3,6,IF(E992&lt;=6,5,IF(E992&lt;=9,4,IF(E992&lt;=12,3,IF(E992&lt;=15,2,0))))))</f>
        <v/>
      </c>
      <c r="G992" s="5" t="n"/>
      <c r="H992" s="4">
        <f>IF(OR(F992="",G992=""),"",F992*G992+IF(J992="",0,J992))</f>
        <v/>
      </c>
      <c r="I992" s="5" t="n"/>
      <c r="J992" s="5" t="n"/>
    </row>
    <row r="993">
      <c r="A993" s="5" t="n"/>
      <c r="B993" s="5" t="n"/>
      <c r="C993" s="5" t="n"/>
      <c r="D993" s="5" t="n"/>
      <c r="E993" s="4">
        <f>IF(C993="","",COUNTIF($C$7:C993,C993))</f>
        <v/>
      </c>
      <c r="F993" s="4">
        <f>IF(E993="","",IF(E993&lt;=3,6,IF(E993&lt;=6,5,IF(E993&lt;=9,4,IF(E993&lt;=12,3,IF(E993&lt;=15,2,0))))))</f>
        <v/>
      </c>
      <c r="G993" s="5" t="n"/>
      <c r="H993" s="4">
        <f>IF(OR(F993="",G993=""),"",F993*G993+IF(J993="",0,J993))</f>
        <v/>
      </c>
      <c r="I993" s="5" t="n"/>
      <c r="J993" s="5" t="n"/>
    </row>
    <row r="994">
      <c r="A994" s="5" t="n"/>
      <c r="B994" s="5" t="n"/>
      <c r="C994" s="5" t="n"/>
      <c r="D994" s="5" t="n"/>
      <c r="E994" s="4">
        <f>IF(C994="","",COUNTIF($C$7:C994,C994))</f>
        <v/>
      </c>
      <c r="F994" s="4">
        <f>IF(E994="","",IF(E994&lt;=3,6,IF(E994&lt;=6,5,IF(E994&lt;=9,4,IF(E994&lt;=12,3,IF(E994&lt;=15,2,0))))))</f>
        <v/>
      </c>
      <c r="G994" s="5" t="n"/>
      <c r="H994" s="4">
        <f>IF(OR(F994="",G994=""),"",F994*G994+IF(J994="",0,J994))</f>
        <v/>
      </c>
      <c r="I994" s="5" t="n"/>
      <c r="J994" s="5" t="n"/>
    </row>
    <row r="995">
      <c r="A995" s="5" t="n"/>
      <c r="B995" s="5" t="n"/>
      <c r="C995" s="5" t="n"/>
      <c r="D995" s="5" t="n"/>
      <c r="E995" s="4">
        <f>IF(C995="","",COUNTIF($C$7:C995,C995))</f>
        <v/>
      </c>
      <c r="F995" s="4">
        <f>IF(E995="","",IF(E995&lt;=3,6,IF(E995&lt;=6,5,IF(E995&lt;=9,4,IF(E995&lt;=12,3,IF(E995&lt;=15,2,0))))))</f>
        <v/>
      </c>
      <c r="G995" s="5" t="n"/>
      <c r="H995" s="4">
        <f>IF(OR(F995="",G995=""),"",F995*G995+IF(J995="",0,J995))</f>
        <v/>
      </c>
      <c r="I995" s="5" t="n"/>
      <c r="J995" s="5" t="n"/>
    </row>
    <row r="996">
      <c r="A996" s="5" t="n"/>
      <c r="B996" s="5" t="n"/>
      <c r="C996" s="5" t="n"/>
      <c r="D996" s="5" t="n"/>
      <c r="E996" s="4">
        <f>IF(C996="","",COUNTIF($C$7:C996,C996))</f>
        <v/>
      </c>
      <c r="F996" s="4">
        <f>IF(E996="","",IF(E996&lt;=3,6,IF(E996&lt;=6,5,IF(E996&lt;=9,4,IF(E996&lt;=12,3,IF(E996&lt;=15,2,0))))))</f>
        <v/>
      </c>
      <c r="G996" s="5" t="n"/>
      <c r="H996" s="4">
        <f>IF(OR(F996="",G996=""),"",F996*G996+IF(J996="",0,J996))</f>
        <v/>
      </c>
      <c r="I996" s="5" t="n"/>
      <c r="J996" s="5" t="n"/>
    </row>
    <row r="997">
      <c r="A997" s="5" t="n"/>
      <c r="B997" s="5" t="n"/>
      <c r="C997" s="5" t="n"/>
      <c r="D997" s="5" t="n"/>
      <c r="E997" s="4">
        <f>IF(C997="","",COUNTIF($C$7:C997,C997))</f>
        <v/>
      </c>
      <c r="F997" s="4">
        <f>IF(E997="","",IF(E997&lt;=3,6,IF(E997&lt;=6,5,IF(E997&lt;=9,4,IF(E997&lt;=12,3,IF(E997&lt;=15,2,0))))))</f>
        <v/>
      </c>
      <c r="G997" s="5" t="n"/>
      <c r="H997" s="4">
        <f>IF(OR(F997="",G997=""),"",F997*G997+IF(J997="",0,J997))</f>
        <v/>
      </c>
      <c r="I997" s="5" t="n"/>
      <c r="J997" s="5" t="n"/>
    </row>
    <row r="998">
      <c r="A998" s="5" t="n"/>
      <c r="B998" s="5" t="n"/>
      <c r="C998" s="5" t="n"/>
      <c r="D998" s="5" t="n"/>
      <c r="E998" s="4">
        <f>IF(C998="","",COUNTIF($C$7:C998,C998))</f>
        <v/>
      </c>
      <c r="F998" s="4">
        <f>IF(E998="","",IF(E998&lt;=3,6,IF(E998&lt;=6,5,IF(E998&lt;=9,4,IF(E998&lt;=12,3,IF(E998&lt;=15,2,0))))))</f>
        <v/>
      </c>
      <c r="G998" s="5" t="n"/>
      <c r="H998" s="4">
        <f>IF(OR(F998="",G998=""),"",F998*G998+IF(J998="",0,J998))</f>
        <v/>
      </c>
      <c r="I998" s="5" t="n"/>
      <c r="J998" s="5" t="n"/>
    </row>
    <row r="999">
      <c r="A999" s="5" t="n"/>
      <c r="B999" s="5" t="n"/>
      <c r="C999" s="5" t="n"/>
      <c r="D999" s="5" t="n"/>
      <c r="E999" s="4">
        <f>IF(C999="","",COUNTIF($C$7:C999,C999))</f>
        <v/>
      </c>
      <c r="F999" s="4">
        <f>IF(E999="","",IF(E999&lt;=3,6,IF(E999&lt;=6,5,IF(E999&lt;=9,4,IF(E999&lt;=12,3,IF(E999&lt;=15,2,0))))))</f>
        <v/>
      </c>
      <c r="G999" s="5" t="n"/>
      <c r="H999" s="4">
        <f>IF(OR(F999="",G999=""),"",F999*G999+IF(J999="",0,J999))</f>
        <v/>
      </c>
      <c r="I999" s="5" t="n"/>
      <c r="J999" s="5" t="n"/>
    </row>
    <row r="1000">
      <c r="A1000" s="5" t="n"/>
      <c r="B1000" s="5" t="n"/>
      <c r="C1000" s="5" t="n"/>
      <c r="D1000" s="5" t="n"/>
      <c r="E1000" s="4">
        <f>IF(C1000="","",COUNTIF($C$7:C1000,C1000))</f>
        <v/>
      </c>
      <c r="F1000" s="4">
        <f>IF(E1000="","",IF(E1000&lt;=3,6,IF(E1000&lt;=6,5,IF(E1000&lt;=9,4,IF(E1000&lt;=12,3,IF(E1000&lt;=15,2,0))))))</f>
        <v/>
      </c>
      <c r="G1000" s="5" t="n"/>
      <c r="H1000" s="4">
        <f>IF(OR(F1000="",G1000=""),"",F1000*G1000+IF(J1000="",0,J1000))</f>
        <v/>
      </c>
      <c r="I1000" s="5" t="n"/>
      <c r="J1000" s="5" t="n"/>
    </row>
    <row r="1001">
      <c r="A1001" s="5" t="n"/>
      <c r="B1001" s="5" t="n"/>
      <c r="C1001" s="5" t="n"/>
      <c r="D1001" s="5" t="n"/>
      <c r="E1001" s="4">
        <f>IF(C1001="","",COUNTIF($C$7:C1001,C1001))</f>
        <v/>
      </c>
      <c r="F1001" s="4">
        <f>IF(E1001="","",IF(E1001&lt;=3,6,IF(E1001&lt;=6,5,IF(E1001&lt;=9,4,IF(E1001&lt;=12,3,IF(E1001&lt;=15,2,0))))))</f>
        <v/>
      </c>
      <c r="G1001" s="5" t="n"/>
      <c r="H1001" s="4">
        <f>IF(OR(F1001="",G1001=""),"",F1001*G1001+IF(J1001="",0,J1001))</f>
        <v/>
      </c>
      <c r="I1001" s="5" t="n"/>
      <c r="J1001" s="5" t="n"/>
    </row>
    <row r="1002">
      <c r="A1002" s="5" t="n"/>
      <c r="B1002" s="5" t="n"/>
      <c r="C1002" s="5" t="n"/>
      <c r="D1002" s="5" t="n"/>
      <c r="E1002" s="4">
        <f>IF(C1002="","",COUNTIF($C$7:C1002,C1002))</f>
        <v/>
      </c>
      <c r="F1002" s="4">
        <f>IF(E1002="","",IF(E1002&lt;=3,6,IF(E1002&lt;=6,5,IF(E1002&lt;=9,4,IF(E1002&lt;=12,3,IF(E1002&lt;=15,2,0))))))</f>
        <v/>
      </c>
      <c r="G1002" s="5" t="n"/>
      <c r="H1002" s="4">
        <f>IF(OR(F1002="",G1002=""),"",F1002*G1002+IF(J1002="",0,J1002))</f>
        <v/>
      </c>
      <c r="I1002" s="5" t="n"/>
      <c r="J1002" s="5" t="n"/>
    </row>
    <row r="1003">
      <c r="A1003" s="5" t="n"/>
      <c r="B1003" s="5" t="n"/>
      <c r="C1003" s="5" t="n"/>
      <c r="D1003" s="5" t="n"/>
      <c r="E1003" s="4">
        <f>IF(C1003="","",COUNTIF($C$7:C1003,C1003))</f>
        <v/>
      </c>
      <c r="F1003" s="4">
        <f>IF(E1003="","",IF(E1003&lt;=3,6,IF(E1003&lt;=6,5,IF(E1003&lt;=9,4,IF(E1003&lt;=12,3,IF(E1003&lt;=15,2,0))))))</f>
        <v/>
      </c>
      <c r="G1003" s="5" t="n"/>
      <c r="H1003" s="4">
        <f>IF(OR(F1003="",G1003=""),"",F1003*G1003+IF(J1003="",0,J1003))</f>
        <v/>
      </c>
      <c r="I1003" s="5" t="n"/>
      <c r="J1003" s="5" t="n"/>
    </row>
    <row r="1004">
      <c r="A1004" s="5" t="n"/>
      <c r="B1004" s="5" t="n"/>
      <c r="C1004" s="5" t="n"/>
      <c r="D1004" s="5" t="n"/>
      <c r="E1004" s="4">
        <f>IF(C1004="","",COUNTIF($C$7:C1004,C1004))</f>
        <v/>
      </c>
      <c r="F1004" s="4">
        <f>IF(E1004="","",IF(E1004&lt;=3,6,IF(E1004&lt;=6,5,IF(E1004&lt;=9,4,IF(E1004&lt;=12,3,IF(E1004&lt;=15,2,0))))))</f>
        <v/>
      </c>
      <c r="G1004" s="5" t="n"/>
      <c r="H1004" s="4">
        <f>IF(OR(F1004="",G1004=""),"",F1004*G1004+IF(J1004="",0,J1004))</f>
        <v/>
      </c>
      <c r="I1004" s="5" t="n"/>
      <c r="J1004" s="5" t="n"/>
    </row>
    <row r="1005">
      <c r="A1005" s="5" t="n"/>
      <c r="B1005" s="5" t="n"/>
      <c r="C1005" s="5" t="n"/>
      <c r="D1005" s="5" t="n"/>
      <c r="E1005" s="4">
        <f>IF(C1005="","",COUNTIF($C$7:C1005,C1005))</f>
        <v/>
      </c>
      <c r="F1005" s="4">
        <f>IF(E1005="","",IF(E1005&lt;=3,6,IF(E1005&lt;=6,5,IF(E1005&lt;=9,4,IF(E1005&lt;=12,3,IF(E1005&lt;=15,2,0))))))</f>
        <v/>
      </c>
      <c r="G1005" s="5" t="n"/>
      <c r="H1005" s="4">
        <f>IF(OR(F1005="",G1005=""),"",F1005*G1005+IF(J1005="",0,J1005))</f>
        <v/>
      </c>
      <c r="I1005" s="5" t="n"/>
      <c r="J1005" s="5" t="n"/>
    </row>
    <row r="1006">
      <c r="A1006" s="5" t="n"/>
      <c r="B1006" s="5" t="n"/>
      <c r="C1006" s="5" t="n"/>
      <c r="D1006" s="5" t="n"/>
      <c r="E1006" s="4">
        <f>IF(C1006="","",COUNTIF($C$7:C1006,C1006))</f>
        <v/>
      </c>
      <c r="F1006" s="4">
        <f>IF(E1006="","",IF(E1006&lt;=3,6,IF(E1006&lt;=6,5,IF(E1006&lt;=9,4,IF(E1006&lt;=12,3,IF(E1006&lt;=15,2,0))))))</f>
        <v/>
      </c>
      <c r="G1006" s="5" t="n"/>
      <c r="H1006" s="4">
        <f>IF(OR(F1006="",G1006=""),"",F1006*G1006+IF(J1006="",0,J1006))</f>
        <v/>
      </c>
      <c r="I1006" s="5" t="n"/>
      <c r="J1006" s="5" t="n"/>
    </row>
    <row r="1007">
      <c r="A1007" s="5" t="n"/>
      <c r="B1007" s="5" t="n"/>
      <c r="C1007" s="5" t="n"/>
      <c r="D1007" s="5" t="n"/>
      <c r="E1007" s="4">
        <f>IF(C1007="","",COUNTIF($C$7:C1007,C1007))</f>
        <v/>
      </c>
      <c r="F1007" s="4">
        <f>IF(E1007="","",IF(E1007&lt;=3,6,IF(E1007&lt;=6,5,IF(E1007&lt;=9,4,IF(E1007&lt;=12,3,IF(E1007&lt;=15,2,0))))))</f>
        <v/>
      </c>
      <c r="G1007" s="5" t="n"/>
      <c r="H1007" s="4">
        <f>IF(OR(F1007="",G1007=""),"",F1007*G1007+IF(J1007="",0,J1007))</f>
        <v/>
      </c>
      <c r="I1007" s="5" t="n"/>
      <c r="J1007" s="5" t="n"/>
    </row>
    <row r="1008">
      <c r="A1008" s="5" t="n"/>
      <c r="B1008" s="5" t="n"/>
      <c r="C1008" s="5" t="n"/>
      <c r="D1008" s="5" t="n"/>
      <c r="E1008" s="4">
        <f>IF(C1008="","",COUNTIF($C$7:C1008,C1008))</f>
        <v/>
      </c>
      <c r="F1008" s="4">
        <f>IF(E1008="","",IF(E1008&lt;=3,6,IF(E1008&lt;=6,5,IF(E1008&lt;=9,4,IF(E1008&lt;=12,3,IF(E1008&lt;=15,2,0))))))</f>
        <v/>
      </c>
      <c r="G1008" s="5" t="n"/>
      <c r="H1008" s="4">
        <f>IF(OR(F1008="",G1008=""),"",F1008*G1008+IF(J1008="",0,J1008))</f>
        <v/>
      </c>
      <c r="I1008" s="5" t="n"/>
      <c r="J1008" s="5" t="n"/>
    </row>
    <row r="1009">
      <c r="A1009" s="5" t="n"/>
      <c r="B1009" s="5" t="n"/>
      <c r="C1009" s="5" t="n"/>
      <c r="D1009" s="5" t="n"/>
      <c r="E1009" s="4">
        <f>IF(C1009="","",COUNTIF($C$7:C1009,C1009))</f>
        <v/>
      </c>
      <c r="F1009" s="4">
        <f>IF(E1009="","",IF(E1009&lt;=3,6,IF(E1009&lt;=6,5,IF(E1009&lt;=9,4,IF(E1009&lt;=12,3,IF(E1009&lt;=15,2,0))))))</f>
        <v/>
      </c>
      <c r="G1009" s="5" t="n"/>
      <c r="H1009" s="4">
        <f>IF(OR(F1009="",G1009=""),"",F1009*G1009+IF(J1009="",0,J1009))</f>
        <v/>
      </c>
      <c r="I1009" s="5" t="n"/>
      <c r="J1009" s="5" t="n"/>
    </row>
    <row r="1010">
      <c r="A1010" s="5" t="n"/>
      <c r="B1010" s="5" t="n"/>
      <c r="C1010" s="5" t="n"/>
      <c r="D1010" s="5" t="n"/>
      <c r="E1010" s="4">
        <f>IF(C1010="","",COUNTIF($C$7:C1010,C1010))</f>
        <v/>
      </c>
      <c r="F1010" s="4">
        <f>IF(E1010="","",IF(E1010&lt;=3,6,IF(E1010&lt;=6,5,IF(E1010&lt;=9,4,IF(E1010&lt;=12,3,IF(E1010&lt;=15,2,0))))))</f>
        <v/>
      </c>
      <c r="G1010" s="5" t="n"/>
      <c r="H1010" s="4">
        <f>IF(OR(F1010="",G1010=""),"",F1010*G1010+IF(J1010="",0,J1010))</f>
        <v/>
      </c>
      <c r="I1010" s="5" t="n"/>
      <c r="J1010" s="5" t="n"/>
    </row>
    <row r="1011">
      <c r="A1011" s="5" t="n"/>
      <c r="B1011" s="5" t="n"/>
      <c r="C1011" s="5" t="n"/>
      <c r="D1011" s="5" t="n"/>
      <c r="E1011" s="4">
        <f>IF(C1011="","",COUNTIF($C$7:C1011,C1011))</f>
        <v/>
      </c>
      <c r="F1011" s="4">
        <f>IF(E1011="","",IF(E1011&lt;=3,6,IF(E1011&lt;=6,5,IF(E1011&lt;=9,4,IF(E1011&lt;=12,3,IF(E1011&lt;=15,2,0))))))</f>
        <v/>
      </c>
      <c r="G1011" s="5" t="n"/>
      <c r="H1011" s="4">
        <f>IF(OR(F1011="",G1011=""),"",F1011*G1011+IF(J1011="",0,J1011))</f>
        <v/>
      </c>
      <c r="I1011" s="5" t="n"/>
      <c r="J1011" s="5" t="n"/>
    </row>
    <row r="1012">
      <c r="A1012" s="5" t="n"/>
      <c r="B1012" s="5" t="n"/>
      <c r="C1012" s="5" t="n"/>
      <c r="D1012" s="5" t="n"/>
      <c r="E1012" s="4">
        <f>IF(C1012="","",COUNTIF($C$7:C1012,C1012))</f>
        <v/>
      </c>
      <c r="F1012" s="4">
        <f>IF(E1012="","",IF(E1012&lt;=3,6,IF(E1012&lt;=6,5,IF(E1012&lt;=9,4,IF(E1012&lt;=12,3,IF(E1012&lt;=15,2,0))))))</f>
        <v/>
      </c>
      <c r="G1012" s="5" t="n"/>
      <c r="H1012" s="4">
        <f>IF(OR(F1012="",G1012=""),"",F1012*G1012+IF(J1012="",0,J1012))</f>
        <v/>
      </c>
      <c r="I1012" s="5" t="n"/>
      <c r="J1012" s="5" t="n"/>
    </row>
    <row r="1013">
      <c r="A1013" s="5" t="n"/>
      <c r="B1013" s="5" t="n"/>
      <c r="C1013" s="5" t="n"/>
      <c r="D1013" s="5" t="n"/>
      <c r="E1013" s="4">
        <f>IF(C1013="","",COUNTIF($C$7:C1013,C1013))</f>
        <v/>
      </c>
      <c r="F1013" s="4">
        <f>IF(E1013="","",IF(E1013&lt;=3,6,IF(E1013&lt;=6,5,IF(E1013&lt;=9,4,IF(E1013&lt;=12,3,IF(E1013&lt;=15,2,0))))))</f>
        <v/>
      </c>
      <c r="G1013" s="5" t="n"/>
      <c r="H1013" s="4">
        <f>IF(OR(F1013="",G1013=""),"",F1013*G1013+IF(J1013="",0,J1013))</f>
        <v/>
      </c>
      <c r="I1013" s="5" t="n"/>
      <c r="J1013" s="5" t="n"/>
    </row>
    <row r="1014">
      <c r="A1014" s="5" t="n"/>
      <c r="B1014" s="5" t="n"/>
      <c r="C1014" s="5" t="n"/>
      <c r="D1014" s="5" t="n"/>
      <c r="E1014" s="4">
        <f>IF(C1014="","",COUNTIF($C$7:C1014,C1014))</f>
        <v/>
      </c>
      <c r="F1014" s="4">
        <f>IF(E1014="","",IF(E1014&lt;=3,6,IF(E1014&lt;=6,5,IF(E1014&lt;=9,4,IF(E1014&lt;=12,3,IF(E1014&lt;=15,2,0))))))</f>
        <v/>
      </c>
      <c r="G1014" s="5" t="n"/>
      <c r="H1014" s="4">
        <f>IF(OR(F1014="",G1014=""),"",F1014*G1014+IF(J1014="",0,J1014))</f>
        <v/>
      </c>
      <c r="I1014" s="5" t="n"/>
      <c r="J1014" s="5" t="n"/>
    </row>
    <row r="1015">
      <c r="A1015" s="5" t="n"/>
      <c r="B1015" s="5" t="n"/>
      <c r="C1015" s="5" t="n"/>
      <c r="D1015" s="5" t="n"/>
      <c r="E1015" s="4">
        <f>IF(C1015="","",COUNTIF($C$7:C1015,C1015))</f>
        <v/>
      </c>
      <c r="F1015" s="4">
        <f>IF(E1015="","",IF(E1015&lt;=3,6,IF(E1015&lt;=6,5,IF(E1015&lt;=9,4,IF(E1015&lt;=12,3,IF(E1015&lt;=15,2,0))))))</f>
        <v/>
      </c>
      <c r="G1015" s="5" t="n"/>
      <c r="H1015" s="4">
        <f>IF(OR(F1015="",G1015=""),"",F1015*G1015+IF(J1015="",0,J1015))</f>
        <v/>
      </c>
      <c r="I1015" s="5" t="n"/>
      <c r="J1015" s="5" t="n"/>
    </row>
    <row r="1016">
      <c r="A1016" s="5" t="n"/>
      <c r="B1016" s="5" t="n"/>
      <c r="C1016" s="5" t="n"/>
      <c r="D1016" s="5" t="n"/>
      <c r="E1016" s="4">
        <f>IF(C1016="","",COUNTIF($C$7:C1016,C1016))</f>
        <v/>
      </c>
      <c r="F1016" s="4">
        <f>IF(E1016="","",IF(E1016&lt;=3,6,IF(E1016&lt;=6,5,IF(E1016&lt;=9,4,IF(E1016&lt;=12,3,IF(E1016&lt;=15,2,0))))))</f>
        <v/>
      </c>
      <c r="G1016" s="5" t="n"/>
      <c r="H1016" s="4">
        <f>IF(OR(F1016="",G1016=""),"",F1016*G1016+IF(J1016="",0,J1016))</f>
        <v/>
      </c>
      <c r="I1016" s="5" t="n"/>
      <c r="J1016" s="5" t="n"/>
    </row>
    <row r="1017">
      <c r="A1017" s="5" t="n"/>
      <c r="B1017" s="5" t="n"/>
      <c r="C1017" s="5" t="n"/>
      <c r="D1017" s="5" t="n"/>
      <c r="E1017" s="4">
        <f>IF(C1017="","",COUNTIF($C$7:C1017,C1017))</f>
        <v/>
      </c>
      <c r="F1017" s="4">
        <f>IF(E1017="","",IF(E1017&lt;=3,6,IF(E1017&lt;=6,5,IF(E1017&lt;=9,4,IF(E1017&lt;=12,3,IF(E1017&lt;=15,2,0))))))</f>
        <v/>
      </c>
      <c r="G1017" s="5" t="n"/>
      <c r="H1017" s="4">
        <f>IF(OR(F1017="",G1017=""),"",F1017*G1017+IF(J1017="",0,J1017))</f>
        <v/>
      </c>
      <c r="I1017" s="5" t="n"/>
      <c r="J1017" s="5" t="n"/>
    </row>
    <row r="1018">
      <c r="A1018" s="5" t="n"/>
      <c r="B1018" s="5" t="n"/>
      <c r="C1018" s="5" t="n"/>
      <c r="D1018" s="5" t="n"/>
      <c r="E1018" s="4">
        <f>IF(C1018="","",COUNTIF($C$7:C1018,C1018))</f>
        <v/>
      </c>
      <c r="F1018" s="4">
        <f>IF(E1018="","",IF(E1018&lt;=3,6,IF(E1018&lt;=6,5,IF(E1018&lt;=9,4,IF(E1018&lt;=12,3,IF(E1018&lt;=15,2,0))))))</f>
        <v/>
      </c>
      <c r="G1018" s="5" t="n"/>
      <c r="H1018" s="4">
        <f>IF(OR(F1018="",G1018=""),"",F1018*G1018+IF(J1018="",0,J1018))</f>
        <v/>
      </c>
      <c r="I1018" s="5" t="n"/>
      <c r="J1018" s="5" t="n"/>
    </row>
    <row r="1019">
      <c r="A1019" s="5" t="n"/>
      <c r="B1019" s="5" t="n"/>
      <c r="C1019" s="5" t="n"/>
      <c r="D1019" s="5" t="n"/>
      <c r="E1019" s="4">
        <f>IF(C1019="","",COUNTIF($C$7:C1019,C1019))</f>
        <v/>
      </c>
      <c r="F1019" s="4">
        <f>IF(E1019="","",IF(E1019&lt;=3,6,IF(E1019&lt;=6,5,IF(E1019&lt;=9,4,IF(E1019&lt;=12,3,IF(E1019&lt;=15,2,0))))))</f>
        <v/>
      </c>
      <c r="G1019" s="5" t="n"/>
      <c r="H1019" s="4">
        <f>IF(OR(F1019="",G1019=""),"",F1019*G1019+IF(J1019="",0,J1019))</f>
        <v/>
      </c>
      <c r="I1019" s="5" t="n"/>
      <c r="J1019" s="5" t="n"/>
    </row>
    <row r="1020">
      <c r="A1020" s="5" t="n"/>
      <c r="B1020" s="5" t="n"/>
      <c r="C1020" s="5" t="n"/>
      <c r="D1020" s="5" t="n"/>
      <c r="E1020" s="4">
        <f>IF(C1020="","",COUNTIF($C$7:C1020,C1020))</f>
        <v/>
      </c>
      <c r="F1020" s="4">
        <f>IF(E1020="","",IF(E1020&lt;=3,6,IF(E1020&lt;=6,5,IF(E1020&lt;=9,4,IF(E1020&lt;=12,3,IF(E1020&lt;=15,2,0))))))</f>
        <v/>
      </c>
      <c r="G1020" s="5" t="n"/>
      <c r="H1020" s="4">
        <f>IF(OR(F1020="",G1020=""),"",F1020*G1020+IF(J1020="",0,J1020))</f>
        <v/>
      </c>
      <c r="I1020" s="5" t="n"/>
      <c r="J1020" s="5" t="n"/>
    </row>
    <row r="1021">
      <c r="A1021" s="5" t="n"/>
      <c r="B1021" s="5" t="n"/>
      <c r="C1021" s="5" t="n"/>
      <c r="D1021" s="5" t="n"/>
      <c r="E1021" s="4">
        <f>IF(C1021="","",COUNTIF($C$7:C1021,C1021))</f>
        <v/>
      </c>
      <c r="F1021" s="4">
        <f>IF(E1021="","",IF(E1021&lt;=3,6,IF(E1021&lt;=6,5,IF(E1021&lt;=9,4,IF(E1021&lt;=12,3,IF(E1021&lt;=15,2,0))))))</f>
        <v/>
      </c>
      <c r="G1021" s="5" t="n"/>
      <c r="H1021" s="4">
        <f>IF(OR(F1021="",G1021=""),"",F1021*G1021+IF(J1021="",0,J1021))</f>
        <v/>
      </c>
      <c r="I1021" s="5" t="n"/>
      <c r="J1021" s="5" t="n"/>
    </row>
    <row r="1022">
      <c r="A1022" s="5" t="n"/>
      <c r="B1022" s="5" t="n"/>
      <c r="C1022" s="5" t="n"/>
      <c r="D1022" s="5" t="n"/>
      <c r="E1022" s="4">
        <f>IF(C1022="","",COUNTIF($C$7:C1022,C1022))</f>
        <v/>
      </c>
      <c r="F1022" s="4">
        <f>IF(E1022="","",IF(E1022&lt;=3,6,IF(E1022&lt;=6,5,IF(E1022&lt;=9,4,IF(E1022&lt;=12,3,IF(E1022&lt;=15,2,0))))))</f>
        <v/>
      </c>
      <c r="G1022" s="5" t="n"/>
      <c r="H1022" s="4">
        <f>IF(OR(F1022="",G1022=""),"",F1022*G1022+IF(J1022="",0,J1022))</f>
        <v/>
      </c>
      <c r="I1022" s="5" t="n"/>
      <c r="J1022" s="5" t="n"/>
    </row>
    <row r="1023">
      <c r="A1023" s="5" t="n"/>
      <c r="B1023" s="5" t="n"/>
      <c r="C1023" s="5" t="n"/>
      <c r="D1023" s="5" t="n"/>
      <c r="E1023" s="4">
        <f>IF(C1023="","",COUNTIF($C$7:C1023,C1023))</f>
        <v/>
      </c>
      <c r="F1023" s="4">
        <f>IF(E1023="","",IF(E1023&lt;=3,6,IF(E1023&lt;=6,5,IF(E1023&lt;=9,4,IF(E1023&lt;=12,3,IF(E1023&lt;=15,2,0))))))</f>
        <v/>
      </c>
      <c r="G1023" s="5" t="n"/>
      <c r="H1023" s="4">
        <f>IF(OR(F1023="",G1023=""),"",F1023*G1023+IF(J1023="",0,J1023))</f>
        <v/>
      </c>
      <c r="I1023" s="5" t="n"/>
      <c r="J1023" s="5" t="n"/>
    </row>
    <row r="1024">
      <c r="A1024" s="5" t="n"/>
      <c r="B1024" s="5" t="n"/>
      <c r="C1024" s="5" t="n"/>
      <c r="D1024" s="5" t="n"/>
      <c r="E1024" s="4">
        <f>IF(C1024="","",COUNTIF($C$7:C1024,C1024))</f>
        <v/>
      </c>
      <c r="F1024" s="4">
        <f>IF(E1024="","",IF(E1024&lt;=3,6,IF(E1024&lt;=6,5,IF(E1024&lt;=9,4,IF(E1024&lt;=12,3,IF(E1024&lt;=15,2,0))))))</f>
        <v/>
      </c>
      <c r="G1024" s="5" t="n"/>
      <c r="H1024" s="4">
        <f>IF(OR(F1024="",G1024=""),"",F1024*G1024+IF(J1024="",0,J1024))</f>
        <v/>
      </c>
      <c r="I1024" s="5" t="n"/>
      <c r="J1024" s="5" t="n"/>
    </row>
    <row r="1025">
      <c r="A1025" s="5" t="n"/>
      <c r="B1025" s="5" t="n"/>
      <c r="C1025" s="5" t="n"/>
      <c r="D1025" s="5" t="n"/>
      <c r="E1025" s="4">
        <f>IF(C1025="","",COUNTIF($C$7:C1025,C1025))</f>
        <v/>
      </c>
      <c r="F1025" s="4">
        <f>IF(E1025="","",IF(E1025&lt;=3,6,IF(E1025&lt;=6,5,IF(E1025&lt;=9,4,IF(E1025&lt;=12,3,IF(E1025&lt;=15,2,0))))))</f>
        <v/>
      </c>
      <c r="G1025" s="5" t="n"/>
      <c r="H1025" s="4">
        <f>IF(OR(F1025="",G1025=""),"",F1025*G1025+IF(J1025="",0,J1025))</f>
        <v/>
      </c>
      <c r="I1025" s="5" t="n"/>
      <c r="J1025" s="5" t="n"/>
    </row>
    <row r="1026">
      <c r="A1026" s="5" t="n"/>
      <c r="B1026" s="5" t="n"/>
      <c r="C1026" s="5" t="n"/>
      <c r="D1026" s="5" t="n"/>
      <c r="E1026" s="4">
        <f>IF(C1026="","",COUNTIF($C$7:C1026,C1026))</f>
        <v/>
      </c>
      <c r="F1026" s="4">
        <f>IF(E1026="","",IF(E1026&lt;=3,6,IF(E1026&lt;=6,5,IF(E1026&lt;=9,4,IF(E1026&lt;=12,3,IF(E1026&lt;=15,2,0))))))</f>
        <v/>
      </c>
      <c r="G1026" s="5" t="n"/>
      <c r="H1026" s="4">
        <f>IF(OR(F1026="",G1026=""),"",F1026*G1026+IF(J1026="",0,J1026))</f>
        <v/>
      </c>
      <c r="I1026" s="5" t="n"/>
      <c r="J1026" s="5" t="n"/>
    </row>
    <row r="1027">
      <c r="A1027" s="5" t="n"/>
      <c r="B1027" s="5" t="n"/>
      <c r="C1027" s="5" t="n"/>
      <c r="D1027" s="5" t="n"/>
      <c r="E1027" s="4">
        <f>IF(C1027="","",COUNTIF($C$7:C1027,C1027))</f>
        <v/>
      </c>
      <c r="F1027" s="4">
        <f>IF(E1027="","",IF(E1027&lt;=3,6,IF(E1027&lt;=6,5,IF(E1027&lt;=9,4,IF(E1027&lt;=12,3,IF(E1027&lt;=15,2,0))))))</f>
        <v/>
      </c>
      <c r="G1027" s="5" t="n"/>
      <c r="H1027" s="4">
        <f>IF(OR(F1027="",G1027=""),"",F1027*G1027+IF(J1027="",0,J1027))</f>
        <v/>
      </c>
      <c r="I1027" s="5" t="n"/>
      <c r="J1027" s="5" t="n"/>
    </row>
    <row r="1028">
      <c r="A1028" s="5" t="n"/>
      <c r="B1028" s="5" t="n"/>
      <c r="C1028" s="5" t="n"/>
      <c r="D1028" s="5" t="n"/>
      <c r="E1028" s="4">
        <f>IF(C1028="","",COUNTIF($C$7:C1028,C1028))</f>
        <v/>
      </c>
      <c r="F1028" s="4">
        <f>IF(E1028="","",IF(E1028&lt;=3,6,IF(E1028&lt;=6,5,IF(E1028&lt;=9,4,IF(E1028&lt;=12,3,IF(E1028&lt;=15,2,0))))))</f>
        <v/>
      </c>
      <c r="G1028" s="5" t="n"/>
      <c r="H1028" s="4">
        <f>IF(OR(F1028="",G1028=""),"",F1028*G1028+IF(J1028="",0,J1028))</f>
        <v/>
      </c>
      <c r="I1028" s="5" t="n"/>
      <c r="J1028" s="5" t="n"/>
    </row>
    <row r="1029">
      <c r="A1029" s="5" t="n"/>
      <c r="B1029" s="5" t="n"/>
      <c r="C1029" s="5" t="n"/>
      <c r="D1029" s="5" t="n"/>
      <c r="E1029" s="4">
        <f>IF(C1029="","",COUNTIF($C$7:C1029,C1029))</f>
        <v/>
      </c>
      <c r="F1029" s="4">
        <f>IF(E1029="","",IF(E1029&lt;=3,6,IF(E1029&lt;=6,5,IF(E1029&lt;=9,4,IF(E1029&lt;=12,3,IF(E1029&lt;=15,2,0))))))</f>
        <v/>
      </c>
      <c r="G1029" s="5" t="n"/>
      <c r="H1029" s="4">
        <f>IF(OR(F1029="",G1029=""),"",F1029*G1029+IF(J1029="",0,J1029))</f>
        <v/>
      </c>
      <c r="I1029" s="5" t="n"/>
      <c r="J1029" s="5" t="n"/>
    </row>
    <row r="1030">
      <c r="A1030" s="5" t="n"/>
      <c r="B1030" s="5" t="n"/>
      <c r="C1030" s="5" t="n"/>
      <c r="D1030" s="5" t="n"/>
      <c r="E1030" s="4">
        <f>IF(C1030="","",COUNTIF($C$7:C1030,C1030))</f>
        <v/>
      </c>
      <c r="F1030" s="4">
        <f>IF(E1030="","",IF(E1030&lt;=3,6,IF(E1030&lt;=6,5,IF(E1030&lt;=9,4,IF(E1030&lt;=12,3,IF(E1030&lt;=15,2,0))))))</f>
        <v/>
      </c>
      <c r="G1030" s="5" t="n"/>
      <c r="H1030" s="4">
        <f>IF(OR(F1030="",G1030=""),"",F1030*G1030+IF(J1030="",0,J1030))</f>
        <v/>
      </c>
      <c r="I1030" s="5" t="n"/>
      <c r="J1030" s="5" t="n"/>
    </row>
    <row r="1031">
      <c r="A1031" s="5" t="n"/>
      <c r="B1031" s="5" t="n"/>
      <c r="C1031" s="5" t="n"/>
      <c r="D1031" s="5" t="n"/>
      <c r="E1031" s="4">
        <f>IF(C1031="","",COUNTIF($C$7:C1031,C1031))</f>
        <v/>
      </c>
      <c r="F1031" s="4">
        <f>IF(E1031="","",IF(E1031&lt;=3,6,IF(E1031&lt;=6,5,IF(E1031&lt;=9,4,IF(E1031&lt;=12,3,IF(E1031&lt;=15,2,0))))))</f>
        <v/>
      </c>
      <c r="G1031" s="5" t="n"/>
      <c r="H1031" s="4">
        <f>IF(OR(F1031="",G1031=""),"",F1031*G1031+IF(J1031="",0,J1031))</f>
        <v/>
      </c>
      <c r="I1031" s="5" t="n"/>
      <c r="J1031" s="5" t="n"/>
    </row>
    <row r="1032">
      <c r="A1032" s="5" t="n"/>
      <c r="B1032" s="5" t="n"/>
      <c r="C1032" s="5" t="n"/>
      <c r="D1032" s="5" t="n"/>
      <c r="E1032" s="4">
        <f>IF(C1032="","",COUNTIF($C$7:C1032,C1032))</f>
        <v/>
      </c>
      <c r="F1032" s="4">
        <f>IF(E1032="","",IF(E1032&lt;=3,6,IF(E1032&lt;=6,5,IF(E1032&lt;=9,4,IF(E1032&lt;=12,3,IF(E1032&lt;=15,2,0))))))</f>
        <v/>
      </c>
      <c r="G1032" s="5" t="n"/>
      <c r="H1032" s="4">
        <f>IF(OR(F1032="",G1032=""),"",F1032*G1032+IF(J1032="",0,J1032))</f>
        <v/>
      </c>
      <c r="I1032" s="5" t="n"/>
      <c r="J1032" s="5" t="n"/>
    </row>
    <row r="1033">
      <c r="A1033" s="5" t="n"/>
      <c r="B1033" s="5" t="n"/>
      <c r="C1033" s="5" t="n"/>
      <c r="D1033" s="5" t="n"/>
      <c r="E1033" s="4">
        <f>IF(C1033="","",COUNTIF($C$7:C1033,C1033))</f>
        <v/>
      </c>
      <c r="F1033" s="4">
        <f>IF(E1033="","",IF(E1033&lt;=3,6,IF(E1033&lt;=6,5,IF(E1033&lt;=9,4,IF(E1033&lt;=12,3,IF(E1033&lt;=15,2,0))))))</f>
        <v/>
      </c>
      <c r="G1033" s="5" t="n"/>
      <c r="H1033" s="4">
        <f>IF(OR(F1033="",G1033=""),"",F1033*G1033+IF(J1033="",0,J1033))</f>
        <v/>
      </c>
      <c r="I1033" s="5" t="n"/>
      <c r="J1033" s="5" t="n"/>
    </row>
    <row r="1034">
      <c r="A1034" s="5" t="n"/>
      <c r="B1034" s="5" t="n"/>
      <c r="C1034" s="5" t="n"/>
      <c r="D1034" s="5" t="n"/>
      <c r="E1034" s="4">
        <f>IF(C1034="","",COUNTIF($C$7:C1034,C1034))</f>
        <v/>
      </c>
      <c r="F1034" s="4">
        <f>IF(E1034="","",IF(E1034&lt;=3,6,IF(E1034&lt;=6,5,IF(E1034&lt;=9,4,IF(E1034&lt;=12,3,IF(E1034&lt;=15,2,0))))))</f>
        <v/>
      </c>
      <c r="G1034" s="5" t="n"/>
      <c r="H1034" s="4">
        <f>IF(OR(F1034="",G1034=""),"",F1034*G1034+IF(J1034="",0,J1034))</f>
        <v/>
      </c>
      <c r="I1034" s="5" t="n"/>
      <c r="J1034" s="5" t="n"/>
    </row>
    <row r="1035">
      <c r="A1035" s="5" t="n"/>
      <c r="B1035" s="5" t="n"/>
      <c r="C1035" s="5" t="n"/>
      <c r="D1035" s="5" t="n"/>
      <c r="E1035" s="4">
        <f>IF(C1035="","",COUNTIF($C$7:C1035,C1035))</f>
        <v/>
      </c>
      <c r="F1035" s="4">
        <f>IF(E1035="","",IF(E1035&lt;=3,6,IF(E1035&lt;=6,5,IF(E1035&lt;=9,4,IF(E1035&lt;=12,3,IF(E1035&lt;=15,2,0))))))</f>
        <v/>
      </c>
      <c r="G1035" s="5" t="n"/>
      <c r="H1035" s="4">
        <f>IF(OR(F1035="",G1035=""),"",F1035*G1035+IF(J1035="",0,J1035))</f>
        <v/>
      </c>
      <c r="I1035" s="5" t="n"/>
      <c r="J1035" s="5" t="n"/>
    </row>
    <row r="1036">
      <c r="A1036" s="5" t="n"/>
      <c r="B1036" s="5" t="n"/>
      <c r="C1036" s="5" t="n"/>
      <c r="D1036" s="5" t="n"/>
      <c r="E1036" s="4">
        <f>IF(C1036="","",COUNTIF($C$7:C1036,C1036))</f>
        <v/>
      </c>
      <c r="F1036" s="4">
        <f>IF(E1036="","",IF(E1036&lt;=3,6,IF(E1036&lt;=6,5,IF(E1036&lt;=9,4,IF(E1036&lt;=12,3,IF(E1036&lt;=15,2,0))))))</f>
        <v/>
      </c>
      <c r="G1036" s="5" t="n"/>
      <c r="H1036" s="4">
        <f>IF(OR(F1036="",G1036=""),"",F1036*G1036+IF(J1036="",0,J1036))</f>
        <v/>
      </c>
      <c r="I1036" s="5" t="n"/>
      <c r="J1036" s="5" t="n"/>
    </row>
    <row r="1037">
      <c r="A1037" s="5" t="n"/>
      <c r="B1037" s="5" t="n"/>
      <c r="C1037" s="5" t="n"/>
      <c r="D1037" s="5" t="n"/>
      <c r="E1037" s="4">
        <f>IF(C1037="","",COUNTIF($C$7:C1037,C1037))</f>
        <v/>
      </c>
      <c r="F1037" s="4">
        <f>IF(E1037="","",IF(E1037&lt;=3,6,IF(E1037&lt;=6,5,IF(E1037&lt;=9,4,IF(E1037&lt;=12,3,IF(E1037&lt;=15,2,0))))))</f>
        <v/>
      </c>
      <c r="G1037" s="5" t="n"/>
      <c r="H1037" s="4">
        <f>IF(OR(F1037="",G1037=""),"",F1037*G1037+IF(J1037="",0,J1037))</f>
        <v/>
      </c>
      <c r="I1037" s="5" t="n"/>
      <c r="J1037" s="5" t="n"/>
    </row>
    <row r="1038">
      <c r="A1038" s="5" t="n"/>
      <c r="B1038" s="5" t="n"/>
      <c r="C1038" s="5" t="n"/>
      <c r="D1038" s="5" t="n"/>
      <c r="E1038" s="4">
        <f>IF(C1038="","",COUNTIF($C$7:C1038,C1038))</f>
        <v/>
      </c>
      <c r="F1038" s="4">
        <f>IF(E1038="","",IF(E1038&lt;=3,6,IF(E1038&lt;=6,5,IF(E1038&lt;=9,4,IF(E1038&lt;=12,3,IF(E1038&lt;=15,2,0))))))</f>
        <v/>
      </c>
      <c r="G1038" s="5" t="n"/>
      <c r="H1038" s="4">
        <f>IF(OR(F1038="",G1038=""),"",F1038*G1038+IF(J1038="",0,J1038))</f>
        <v/>
      </c>
      <c r="I1038" s="5" t="n"/>
      <c r="J1038" s="5" t="n"/>
    </row>
    <row r="1039">
      <c r="A1039" s="5" t="n"/>
      <c r="B1039" s="5" t="n"/>
      <c r="C1039" s="5" t="n"/>
      <c r="D1039" s="5" t="n"/>
      <c r="E1039" s="4">
        <f>IF(C1039="","",COUNTIF($C$7:C1039,C1039))</f>
        <v/>
      </c>
      <c r="F1039" s="4">
        <f>IF(E1039="","",IF(E1039&lt;=3,6,IF(E1039&lt;=6,5,IF(E1039&lt;=9,4,IF(E1039&lt;=12,3,IF(E1039&lt;=15,2,0))))))</f>
        <v/>
      </c>
      <c r="G1039" s="5" t="n"/>
      <c r="H1039" s="4">
        <f>IF(OR(F1039="",G1039=""),"",F1039*G1039+IF(J1039="",0,J1039))</f>
        <v/>
      </c>
      <c r="I1039" s="5" t="n"/>
      <c r="J1039" s="5" t="n"/>
    </row>
    <row r="1040">
      <c r="A1040" s="5" t="n"/>
      <c r="B1040" s="5" t="n"/>
      <c r="C1040" s="5" t="n"/>
      <c r="D1040" s="5" t="n"/>
      <c r="E1040" s="4">
        <f>IF(C1040="","",COUNTIF($C$7:C1040,C1040))</f>
        <v/>
      </c>
      <c r="F1040" s="4">
        <f>IF(E1040="","",IF(E1040&lt;=3,6,IF(E1040&lt;=6,5,IF(E1040&lt;=9,4,IF(E1040&lt;=12,3,IF(E1040&lt;=15,2,0))))))</f>
        <v/>
      </c>
      <c r="G1040" s="5" t="n"/>
      <c r="H1040" s="4">
        <f>IF(OR(F1040="",G1040=""),"",F1040*G1040+IF(J1040="",0,J1040))</f>
        <v/>
      </c>
      <c r="I1040" s="5" t="n"/>
      <c r="J1040" s="5" t="n"/>
    </row>
    <row r="1041">
      <c r="A1041" s="5" t="n"/>
      <c r="B1041" s="5" t="n"/>
      <c r="C1041" s="5" t="n"/>
      <c r="D1041" s="5" t="n"/>
      <c r="E1041" s="4">
        <f>IF(C1041="","",COUNTIF($C$7:C1041,C1041))</f>
        <v/>
      </c>
      <c r="F1041" s="4">
        <f>IF(E1041="","",IF(E1041&lt;=3,6,IF(E1041&lt;=6,5,IF(E1041&lt;=9,4,IF(E1041&lt;=12,3,IF(E1041&lt;=15,2,0))))))</f>
        <v/>
      </c>
      <c r="G1041" s="5" t="n"/>
      <c r="H1041" s="4">
        <f>IF(OR(F1041="",G1041=""),"",F1041*G1041+IF(J1041="",0,J1041))</f>
        <v/>
      </c>
      <c r="I1041" s="5" t="n"/>
      <c r="J1041" s="5" t="n"/>
    </row>
    <row r="1042">
      <c r="A1042" s="5" t="n"/>
      <c r="B1042" s="5" t="n"/>
      <c r="C1042" s="5" t="n"/>
      <c r="D1042" s="5" t="n"/>
      <c r="E1042" s="4">
        <f>IF(C1042="","",COUNTIF($C$7:C1042,C1042))</f>
        <v/>
      </c>
      <c r="F1042" s="4">
        <f>IF(E1042="","",IF(E1042&lt;=3,6,IF(E1042&lt;=6,5,IF(E1042&lt;=9,4,IF(E1042&lt;=12,3,IF(E1042&lt;=15,2,0))))))</f>
        <v/>
      </c>
      <c r="G1042" s="5" t="n"/>
      <c r="H1042" s="4">
        <f>IF(OR(F1042="",G1042=""),"",F1042*G1042+IF(J1042="",0,J1042))</f>
        <v/>
      </c>
      <c r="I1042" s="5" t="n"/>
      <c r="J1042" s="5" t="n"/>
    </row>
    <row r="1043">
      <c r="A1043" s="5" t="n"/>
      <c r="B1043" s="5" t="n"/>
      <c r="C1043" s="5" t="n"/>
      <c r="D1043" s="5" t="n"/>
      <c r="E1043" s="4">
        <f>IF(C1043="","",COUNTIF($C$7:C1043,C1043))</f>
        <v/>
      </c>
      <c r="F1043" s="4">
        <f>IF(E1043="","",IF(E1043&lt;=3,6,IF(E1043&lt;=6,5,IF(E1043&lt;=9,4,IF(E1043&lt;=12,3,IF(E1043&lt;=15,2,0))))))</f>
        <v/>
      </c>
      <c r="G1043" s="5" t="n"/>
      <c r="H1043" s="4">
        <f>IF(OR(F1043="",G1043=""),"",F1043*G1043+IF(J1043="",0,J1043))</f>
        <v/>
      </c>
      <c r="I1043" s="5" t="n"/>
      <c r="J1043" s="5" t="n"/>
    </row>
    <row r="1044">
      <c r="A1044" s="5" t="n"/>
      <c r="B1044" s="5" t="n"/>
      <c r="C1044" s="5" t="n"/>
      <c r="D1044" s="5" t="n"/>
      <c r="E1044" s="4">
        <f>IF(C1044="","",COUNTIF($C$7:C1044,C1044))</f>
        <v/>
      </c>
      <c r="F1044" s="4">
        <f>IF(E1044="","",IF(E1044&lt;=3,6,IF(E1044&lt;=6,5,IF(E1044&lt;=9,4,IF(E1044&lt;=12,3,IF(E1044&lt;=15,2,0))))))</f>
        <v/>
      </c>
      <c r="G1044" s="5" t="n"/>
      <c r="H1044" s="4">
        <f>IF(OR(F1044="",G1044=""),"",F1044*G1044+IF(J1044="",0,J1044))</f>
        <v/>
      </c>
      <c r="I1044" s="5" t="n"/>
      <c r="J1044" s="5" t="n"/>
    </row>
    <row r="1045">
      <c r="A1045" s="5" t="n"/>
      <c r="B1045" s="5" t="n"/>
      <c r="C1045" s="5" t="n"/>
      <c r="D1045" s="5" t="n"/>
      <c r="E1045" s="4">
        <f>IF(C1045="","",COUNTIF($C$7:C1045,C1045))</f>
        <v/>
      </c>
      <c r="F1045" s="4">
        <f>IF(E1045="","",IF(E1045&lt;=3,6,IF(E1045&lt;=6,5,IF(E1045&lt;=9,4,IF(E1045&lt;=12,3,IF(E1045&lt;=15,2,0))))))</f>
        <v/>
      </c>
      <c r="G1045" s="5" t="n"/>
      <c r="H1045" s="4">
        <f>IF(OR(F1045="",G1045=""),"",F1045*G1045+IF(J1045="",0,J1045))</f>
        <v/>
      </c>
      <c r="I1045" s="5" t="n"/>
      <c r="J1045" s="5" t="n"/>
    </row>
    <row r="1046">
      <c r="A1046" s="5" t="n"/>
      <c r="B1046" s="5" t="n"/>
      <c r="C1046" s="5" t="n"/>
      <c r="D1046" s="5" t="n"/>
      <c r="E1046" s="4">
        <f>IF(C1046="","",COUNTIF($C$7:C1046,C1046))</f>
        <v/>
      </c>
      <c r="F1046" s="4">
        <f>IF(E1046="","",IF(E1046&lt;=3,6,IF(E1046&lt;=6,5,IF(E1046&lt;=9,4,IF(E1046&lt;=12,3,IF(E1046&lt;=15,2,0))))))</f>
        <v/>
      </c>
      <c r="G1046" s="5" t="n"/>
      <c r="H1046" s="4">
        <f>IF(OR(F1046="",G1046=""),"",F1046*G1046+IF(J1046="",0,J1046))</f>
        <v/>
      </c>
      <c r="I1046" s="5" t="n"/>
      <c r="J1046" s="5" t="n"/>
    </row>
    <row r="1047">
      <c r="A1047" s="5" t="n"/>
      <c r="B1047" s="5" t="n"/>
      <c r="C1047" s="5" t="n"/>
      <c r="D1047" s="5" t="n"/>
      <c r="E1047" s="4">
        <f>IF(C1047="","",COUNTIF($C$7:C1047,C1047))</f>
        <v/>
      </c>
      <c r="F1047" s="4">
        <f>IF(E1047="","",IF(E1047&lt;=3,6,IF(E1047&lt;=6,5,IF(E1047&lt;=9,4,IF(E1047&lt;=12,3,IF(E1047&lt;=15,2,0))))))</f>
        <v/>
      </c>
      <c r="G1047" s="5" t="n"/>
      <c r="H1047" s="4">
        <f>IF(OR(F1047="",G1047=""),"",F1047*G1047+IF(J1047="",0,J1047))</f>
        <v/>
      </c>
      <c r="I1047" s="5" t="n"/>
      <c r="J1047" s="5" t="n"/>
    </row>
    <row r="1048">
      <c r="A1048" s="5" t="n"/>
      <c r="B1048" s="5" t="n"/>
      <c r="C1048" s="5" t="n"/>
      <c r="D1048" s="5" t="n"/>
      <c r="E1048" s="4">
        <f>IF(C1048="","",COUNTIF($C$7:C1048,C1048))</f>
        <v/>
      </c>
      <c r="F1048" s="4">
        <f>IF(E1048="","",IF(E1048&lt;=3,6,IF(E1048&lt;=6,5,IF(E1048&lt;=9,4,IF(E1048&lt;=12,3,IF(E1048&lt;=15,2,0))))))</f>
        <v/>
      </c>
      <c r="G1048" s="5" t="n"/>
      <c r="H1048" s="4">
        <f>IF(OR(F1048="",G1048=""),"",F1048*G1048+IF(J1048="",0,J1048))</f>
        <v/>
      </c>
      <c r="I1048" s="5" t="n"/>
      <c r="J1048" s="5" t="n"/>
    </row>
    <row r="1049">
      <c r="A1049" s="5" t="n"/>
      <c r="B1049" s="5" t="n"/>
      <c r="C1049" s="5" t="n"/>
      <c r="D1049" s="5" t="n"/>
      <c r="E1049" s="4">
        <f>IF(C1049="","",COUNTIF($C$7:C1049,C1049))</f>
        <v/>
      </c>
      <c r="F1049" s="4">
        <f>IF(E1049="","",IF(E1049&lt;=3,6,IF(E1049&lt;=6,5,IF(E1049&lt;=9,4,IF(E1049&lt;=12,3,IF(E1049&lt;=15,2,0))))))</f>
        <v/>
      </c>
      <c r="G1049" s="5" t="n"/>
      <c r="H1049" s="4">
        <f>IF(OR(F1049="",G1049=""),"",F1049*G1049+IF(J1049="",0,J1049))</f>
        <v/>
      </c>
      <c r="I1049" s="5" t="n"/>
      <c r="J1049" s="5" t="n"/>
    </row>
    <row r="1050">
      <c r="A1050" s="5" t="n"/>
      <c r="B1050" s="5" t="n"/>
      <c r="C1050" s="5" t="n"/>
      <c r="D1050" s="5" t="n"/>
      <c r="E1050" s="4">
        <f>IF(C1050="","",COUNTIF($C$7:C1050,C1050))</f>
        <v/>
      </c>
      <c r="F1050" s="4">
        <f>IF(E1050="","",IF(E1050&lt;=3,6,IF(E1050&lt;=6,5,IF(E1050&lt;=9,4,IF(E1050&lt;=12,3,IF(E1050&lt;=15,2,0))))))</f>
        <v/>
      </c>
      <c r="G1050" s="5" t="n"/>
      <c r="H1050" s="4">
        <f>IF(OR(F1050="",G1050=""),"",F1050*G1050+IF(J1050="",0,J1050))</f>
        <v/>
      </c>
      <c r="I1050" s="5" t="n"/>
      <c r="J1050" s="5" t="n"/>
    </row>
    <row r="1051">
      <c r="A1051" s="5" t="n"/>
      <c r="B1051" s="5" t="n"/>
      <c r="C1051" s="5" t="n"/>
      <c r="D1051" s="5" t="n"/>
      <c r="E1051" s="4">
        <f>IF(C1051="","",COUNTIF($C$7:C1051,C1051))</f>
        <v/>
      </c>
      <c r="F1051" s="4">
        <f>IF(E1051="","",IF(E1051&lt;=3,6,IF(E1051&lt;=6,5,IF(E1051&lt;=9,4,IF(E1051&lt;=12,3,IF(E1051&lt;=15,2,0))))))</f>
        <v/>
      </c>
      <c r="G1051" s="5" t="n"/>
      <c r="H1051" s="4">
        <f>IF(OR(F1051="",G1051=""),"",F1051*G1051+IF(J1051="",0,J1051))</f>
        <v/>
      </c>
      <c r="I1051" s="5" t="n"/>
      <c r="J1051" s="5" t="n"/>
    </row>
    <row r="1052">
      <c r="A1052" s="5" t="n"/>
      <c r="B1052" s="5" t="n"/>
      <c r="C1052" s="5" t="n"/>
      <c r="D1052" s="5" t="n"/>
      <c r="E1052" s="4">
        <f>IF(C1052="","",COUNTIF($C$7:C1052,C1052))</f>
        <v/>
      </c>
      <c r="F1052" s="4">
        <f>IF(E1052="","",IF(E1052&lt;=3,6,IF(E1052&lt;=6,5,IF(E1052&lt;=9,4,IF(E1052&lt;=12,3,IF(E1052&lt;=15,2,0))))))</f>
        <v/>
      </c>
      <c r="G1052" s="5" t="n"/>
      <c r="H1052" s="4">
        <f>IF(OR(F1052="",G1052=""),"",F1052*G1052+IF(J1052="",0,J1052))</f>
        <v/>
      </c>
      <c r="I1052" s="5" t="n"/>
      <c r="J1052" s="5" t="n"/>
    </row>
    <row r="1053">
      <c r="A1053" s="5" t="n"/>
      <c r="B1053" s="5" t="n"/>
      <c r="C1053" s="5" t="n"/>
      <c r="D1053" s="5" t="n"/>
      <c r="E1053" s="4">
        <f>IF(C1053="","",COUNTIF($C$7:C1053,C1053))</f>
        <v/>
      </c>
      <c r="F1053" s="4">
        <f>IF(E1053="","",IF(E1053&lt;=3,6,IF(E1053&lt;=6,5,IF(E1053&lt;=9,4,IF(E1053&lt;=12,3,IF(E1053&lt;=15,2,0))))))</f>
        <v/>
      </c>
      <c r="G1053" s="5" t="n"/>
      <c r="H1053" s="4">
        <f>IF(OR(F1053="",G1053=""),"",F1053*G1053+IF(J1053="",0,J1053))</f>
        <v/>
      </c>
      <c r="I1053" s="5" t="n"/>
      <c r="J1053" s="5" t="n"/>
    </row>
    <row r="1054">
      <c r="A1054" s="5" t="n"/>
      <c r="B1054" s="5" t="n"/>
      <c r="C1054" s="5" t="n"/>
      <c r="D1054" s="5" t="n"/>
      <c r="E1054" s="4">
        <f>IF(C1054="","",COUNTIF($C$7:C1054,C1054))</f>
        <v/>
      </c>
      <c r="F1054" s="4">
        <f>IF(E1054="","",IF(E1054&lt;=3,6,IF(E1054&lt;=6,5,IF(E1054&lt;=9,4,IF(E1054&lt;=12,3,IF(E1054&lt;=15,2,0))))))</f>
        <v/>
      </c>
      <c r="G1054" s="5" t="n"/>
      <c r="H1054" s="4">
        <f>IF(OR(F1054="",G1054=""),"",F1054*G1054+IF(J1054="",0,J1054))</f>
        <v/>
      </c>
      <c r="I1054" s="5" t="n"/>
      <c r="J1054" s="5" t="n"/>
    </row>
    <row r="1055">
      <c r="A1055" s="5" t="n"/>
      <c r="B1055" s="5" t="n"/>
      <c r="C1055" s="5" t="n"/>
      <c r="D1055" s="5" t="n"/>
      <c r="E1055" s="4">
        <f>IF(C1055="","",COUNTIF($C$7:C1055,C1055))</f>
        <v/>
      </c>
      <c r="F1055" s="4">
        <f>IF(E1055="","",IF(E1055&lt;=3,6,IF(E1055&lt;=6,5,IF(E1055&lt;=9,4,IF(E1055&lt;=12,3,IF(E1055&lt;=15,2,0))))))</f>
        <v/>
      </c>
      <c r="G1055" s="5" t="n"/>
      <c r="H1055" s="4">
        <f>IF(OR(F1055="",G1055=""),"",F1055*G1055+IF(J1055="",0,J1055))</f>
        <v/>
      </c>
      <c r="I1055" s="5" t="n"/>
      <c r="J1055" s="5" t="n"/>
    </row>
    <row r="1056">
      <c r="A1056" s="5" t="n"/>
      <c r="B1056" s="5" t="n"/>
      <c r="C1056" s="5" t="n"/>
      <c r="D1056" s="5" t="n"/>
      <c r="E1056" s="4">
        <f>IF(C1056="","",COUNTIF($C$7:C1056,C1056))</f>
        <v/>
      </c>
      <c r="F1056" s="4">
        <f>IF(E1056="","",IF(E1056&lt;=3,6,IF(E1056&lt;=6,5,IF(E1056&lt;=9,4,IF(E1056&lt;=12,3,IF(E1056&lt;=15,2,0))))))</f>
        <v/>
      </c>
      <c r="G1056" s="5" t="n"/>
      <c r="H1056" s="4">
        <f>IF(OR(F1056="",G1056=""),"",F1056*G1056+IF(J1056="",0,J1056))</f>
        <v/>
      </c>
      <c r="I1056" s="5" t="n"/>
      <c r="J1056" s="5" t="n"/>
    </row>
    <row r="1057">
      <c r="A1057" s="5" t="n"/>
      <c r="B1057" s="5" t="n"/>
      <c r="C1057" s="5" t="n"/>
      <c r="D1057" s="5" t="n"/>
      <c r="E1057" s="4">
        <f>IF(C1057="","",COUNTIF($C$7:C1057,C1057))</f>
        <v/>
      </c>
      <c r="F1057" s="4">
        <f>IF(E1057="","",IF(E1057&lt;=3,6,IF(E1057&lt;=6,5,IF(E1057&lt;=9,4,IF(E1057&lt;=12,3,IF(E1057&lt;=15,2,0))))))</f>
        <v/>
      </c>
      <c r="G1057" s="5" t="n"/>
      <c r="H1057" s="4">
        <f>IF(OR(F1057="",G1057=""),"",F1057*G1057+IF(J1057="",0,J1057))</f>
        <v/>
      </c>
      <c r="I1057" s="5" t="n"/>
      <c r="J1057" s="5" t="n"/>
    </row>
    <row r="1058">
      <c r="A1058" s="5" t="n"/>
      <c r="B1058" s="5" t="n"/>
      <c r="C1058" s="5" t="n"/>
      <c r="D1058" s="5" t="n"/>
      <c r="E1058" s="4">
        <f>IF(C1058="","",COUNTIF($C$7:C1058,C1058))</f>
        <v/>
      </c>
      <c r="F1058" s="4">
        <f>IF(E1058="","",IF(E1058&lt;=3,6,IF(E1058&lt;=6,5,IF(E1058&lt;=9,4,IF(E1058&lt;=12,3,IF(E1058&lt;=15,2,0))))))</f>
        <v/>
      </c>
      <c r="G1058" s="5" t="n"/>
      <c r="H1058" s="4">
        <f>IF(OR(F1058="",G1058=""),"",F1058*G1058+IF(J1058="",0,J1058))</f>
        <v/>
      </c>
      <c r="I1058" s="5" t="n"/>
      <c r="J1058" s="5" t="n"/>
    </row>
    <row r="1059">
      <c r="A1059" s="5" t="n"/>
      <c r="B1059" s="5" t="n"/>
      <c r="C1059" s="5" t="n"/>
      <c r="D1059" s="5" t="n"/>
      <c r="E1059" s="4">
        <f>IF(C1059="","",COUNTIF($C$7:C1059,C1059))</f>
        <v/>
      </c>
      <c r="F1059" s="4">
        <f>IF(E1059="","",IF(E1059&lt;=3,6,IF(E1059&lt;=6,5,IF(E1059&lt;=9,4,IF(E1059&lt;=12,3,IF(E1059&lt;=15,2,0))))))</f>
        <v/>
      </c>
      <c r="G1059" s="5" t="n"/>
      <c r="H1059" s="4">
        <f>IF(OR(F1059="",G1059=""),"",F1059*G1059+IF(J1059="",0,J1059))</f>
        <v/>
      </c>
      <c r="I1059" s="5" t="n"/>
      <c r="J1059" s="5" t="n"/>
    </row>
    <row r="1060">
      <c r="A1060" s="5" t="n"/>
      <c r="B1060" s="5" t="n"/>
      <c r="C1060" s="5" t="n"/>
      <c r="D1060" s="5" t="n"/>
      <c r="E1060" s="4">
        <f>IF(C1060="","",COUNTIF($C$7:C1060,C1060))</f>
        <v/>
      </c>
      <c r="F1060" s="4">
        <f>IF(E1060="","",IF(E1060&lt;=3,6,IF(E1060&lt;=6,5,IF(E1060&lt;=9,4,IF(E1060&lt;=12,3,IF(E1060&lt;=15,2,0))))))</f>
        <v/>
      </c>
      <c r="G1060" s="5" t="n"/>
      <c r="H1060" s="4">
        <f>IF(OR(F1060="",G1060=""),"",F1060*G1060+IF(J1060="",0,J1060))</f>
        <v/>
      </c>
      <c r="I1060" s="5" t="n"/>
      <c r="J1060" s="5" t="n"/>
    </row>
    <row r="1061">
      <c r="A1061" s="5" t="n"/>
      <c r="B1061" s="5" t="n"/>
      <c r="C1061" s="5" t="n"/>
      <c r="D1061" s="5" t="n"/>
      <c r="E1061" s="4">
        <f>IF(C1061="","",COUNTIF($C$7:C1061,C1061))</f>
        <v/>
      </c>
      <c r="F1061" s="4">
        <f>IF(E1061="","",IF(E1061&lt;=3,6,IF(E1061&lt;=6,5,IF(E1061&lt;=9,4,IF(E1061&lt;=12,3,IF(E1061&lt;=15,2,0))))))</f>
        <v/>
      </c>
      <c r="G1061" s="5" t="n"/>
      <c r="H1061" s="4">
        <f>IF(OR(F1061="",G1061=""),"",F1061*G1061+IF(J1061="",0,J1061))</f>
        <v/>
      </c>
      <c r="I1061" s="5" t="n"/>
      <c r="J1061" s="5" t="n"/>
    </row>
    <row r="1062">
      <c r="A1062" s="5" t="n"/>
      <c r="B1062" s="5" t="n"/>
      <c r="C1062" s="5" t="n"/>
      <c r="D1062" s="5" t="n"/>
      <c r="E1062" s="4">
        <f>IF(C1062="","",COUNTIF($C$7:C1062,C1062))</f>
        <v/>
      </c>
      <c r="F1062" s="4">
        <f>IF(E1062="","",IF(E1062&lt;=3,6,IF(E1062&lt;=6,5,IF(E1062&lt;=9,4,IF(E1062&lt;=12,3,IF(E1062&lt;=15,2,0))))))</f>
        <v/>
      </c>
      <c r="G1062" s="5" t="n"/>
      <c r="H1062" s="4">
        <f>IF(OR(F1062="",G1062=""),"",F1062*G1062+IF(J1062="",0,J1062))</f>
        <v/>
      </c>
      <c r="I1062" s="5" t="n"/>
      <c r="J1062" s="5" t="n"/>
    </row>
    <row r="1063">
      <c r="A1063" s="5" t="n"/>
      <c r="B1063" s="5" t="n"/>
      <c r="C1063" s="5" t="n"/>
      <c r="D1063" s="5" t="n"/>
      <c r="E1063" s="4">
        <f>IF(C1063="","",COUNTIF($C$7:C1063,C1063))</f>
        <v/>
      </c>
      <c r="F1063" s="4">
        <f>IF(E1063="","",IF(E1063&lt;=3,6,IF(E1063&lt;=6,5,IF(E1063&lt;=9,4,IF(E1063&lt;=12,3,IF(E1063&lt;=15,2,0))))))</f>
        <v/>
      </c>
      <c r="G1063" s="5" t="n"/>
      <c r="H1063" s="4">
        <f>IF(OR(F1063="",G1063=""),"",F1063*G1063+IF(J1063="",0,J1063))</f>
        <v/>
      </c>
      <c r="I1063" s="5" t="n"/>
      <c r="J1063" s="5" t="n"/>
    </row>
    <row r="1064">
      <c r="A1064" s="5" t="n"/>
      <c r="B1064" s="5" t="n"/>
      <c r="C1064" s="5" t="n"/>
      <c r="D1064" s="5" t="n"/>
      <c r="E1064" s="4">
        <f>IF(C1064="","",COUNTIF($C$7:C1064,C1064))</f>
        <v/>
      </c>
      <c r="F1064" s="4">
        <f>IF(E1064="","",IF(E1064&lt;=3,6,IF(E1064&lt;=6,5,IF(E1064&lt;=9,4,IF(E1064&lt;=12,3,IF(E1064&lt;=15,2,0))))))</f>
        <v/>
      </c>
      <c r="G1064" s="5" t="n"/>
      <c r="H1064" s="4">
        <f>IF(OR(F1064="",G1064=""),"",F1064*G1064+IF(J1064="",0,J1064))</f>
        <v/>
      </c>
      <c r="I1064" s="5" t="n"/>
      <c r="J1064" s="5" t="n"/>
    </row>
    <row r="1065">
      <c r="A1065" s="5" t="n"/>
      <c r="B1065" s="5" t="n"/>
      <c r="C1065" s="5" t="n"/>
      <c r="D1065" s="5" t="n"/>
      <c r="E1065" s="4">
        <f>IF(C1065="","",COUNTIF($C$7:C1065,C1065))</f>
        <v/>
      </c>
      <c r="F1065" s="4">
        <f>IF(E1065="","",IF(E1065&lt;=3,6,IF(E1065&lt;=6,5,IF(E1065&lt;=9,4,IF(E1065&lt;=12,3,IF(E1065&lt;=15,2,0))))))</f>
        <v/>
      </c>
      <c r="G1065" s="5" t="n"/>
      <c r="H1065" s="4">
        <f>IF(OR(F1065="",G1065=""),"",F1065*G1065+IF(J1065="",0,J1065))</f>
        <v/>
      </c>
      <c r="I1065" s="5" t="n"/>
      <c r="J1065" s="5" t="n"/>
    </row>
    <row r="1066">
      <c r="A1066" s="5" t="n"/>
      <c r="B1066" s="5" t="n"/>
      <c r="C1066" s="5" t="n"/>
      <c r="D1066" s="5" t="n"/>
      <c r="E1066" s="4">
        <f>IF(C1066="","",COUNTIF($C$7:C1066,C1066))</f>
        <v/>
      </c>
      <c r="F1066" s="4">
        <f>IF(E1066="","",IF(E1066&lt;=3,6,IF(E1066&lt;=6,5,IF(E1066&lt;=9,4,IF(E1066&lt;=12,3,IF(E1066&lt;=15,2,0))))))</f>
        <v/>
      </c>
      <c r="G1066" s="5" t="n"/>
      <c r="H1066" s="4">
        <f>IF(OR(F1066="",G1066=""),"",F1066*G1066+IF(J1066="",0,J1066))</f>
        <v/>
      </c>
      <c r="I1066" s="5" t="n"/>
      <c r="J1066" s="5" t="n"/>
    </row>
    <row r="1067">
      <c r="A1067" s="5" t="n"/>
      <c r="B1067" s="5" t="n"/>
      <c r="C1067" s="5" t="n"/>
      <c r="D1067" s="5" t="n"/>
      <c r="E1067" s="4">
        <f>IF(C1067="","",COUNTIF($C$7:C1067,C1067))</f>
        <v/>
      </c>
      <c r="F1067" s="4">
        <f>IF(E1067="","",IF(E1067&lt;=3,6,IF(E1067&lt;=6,5,IF(E1067&lt;=9,4,IF(E1067&lt;=12,3,IF(E1067&lt;=15,2,0))))))</f>
        <v/>
      </c>
      <c r="G1067" s="5" t="n"/>
      <c r="H1067" s="4">
        <f>IF(OR(F1067="",G1067=""),"",F1067*G1067+IF(J1067="",0,J1067))</f>
        <v/>
      </c>
      <c r="I1067" s="5" t="n"/>
      <c r="J1067" s="5" t="n"/>
    </row>
    <row r="1068">
      <c r="A1068" s="5" t="n"/>
      <c r="B1068" s="5" t="n"/>
      <c r="C1068" s="5" t="n"/>
      <c r="D1068" s="5" t="n"/>
      <c r="E1068" s="4">
        <f>IF(C1068="","",COUNTIF($C$7:C1068,C1068))</f>
        <v/>
      </c>
      <c r="F1068" s="4">
        <f>IF(E1068="","",IF(E1068&lt;=3,6,IF(E1068&lt;=6,5,IF(E1068&lt;=9,4,IF(E1068&lt;=12,3,IF(E1068&lt;=15,2,0))))))</f>
        <v/>
      </c>
      <c r="G1068" s="5" t="n"/>
      <c r="H1068" s="4">
        <f>IF(OR(F1068="",G1068=""),"",F1068*G1068+IF(J1068="",0,J1068))</f>
        <v/>
      </c>
      <c r="I1068" s="5" t="n"/>
      <c r="J1068" s="5" t="n"/>
    </row>
    <row r="1069">
      <c r="A1069" s="5" t="n"/>
      <c r="B1069" s="5" t="n"/>
      <c r="C1069" s="5" t="n"/>
      <c r="D1069" s="5" t="n"/>
      <c r="E1069" s="4">
        <f>IF(C1069="","",COUNTIF($C$7:C1069,C1069))</f>
        <v/>
      </c>
      <c r="F1069" s="4">
        <f>IF(E1069="","",IF(E1069&lt;=3,6,IF(E1069&lt;=6,5,IF(E1069&lt;=9,4,IF(E1069&lt;=12,3,IF(E1069&lt;=15,2,0))))))</f>
        <v/>
      </c>
      <c r="G1069" s="5" t="n"/>
      <c r="H1069" s="4">
        <f>IF(OR(F1069="",G1069=""),"",F1069*G1069+IF(J1069="",0,J1069))</f>
        <v/>
      </c>
      <c r="I1069" s="5" t="n"/>
      <c r="J1069" s="5" t="n"/>
    </row>
    <row r="1070">
      <c r="A1070" s="5" t="n"/>
      <c r="B1070" s="5" t="n"/>
      <c r="C1070" s="5" t="n"/>
      <c r="D1070" s="5" t="n"/>
      <c r="E1070" s="4">
        <f>IF(C1070="","",COUNTIF($C$7:C1070,C1070))</f>
        <v/>
      </c>
      <c r="F1070" s="4">
        <f>IF(E1070="","",IF(E1070&lt;=3,6,IF(E1070&lt;=6,5,IF(E1070&lt;=9,4,IF(E1070&lt;=12,3,IF(E1070&lt;=15,2,0))))))</f>
        <v/>
      </c>
      <c r="G1070" s="5" t="n"/>
      <c r="H1070" s="4">
        <f>IF(OR(F1070="",G1070=""),"",F1070*G1070+IF(J1070="",0,J1070))</f>
        <v/>
      </c>
      <c r="I1070" s="5" t="n"/>
      <c r="J1070" s="5" t="n"/>
    </row>
    <row r="1071">
      <c r="A1071" s="5" t="n"/>
      <c r="B1071" s="5" t="n"/>
      <c r="C1071" s="5" t="n"/>
      <c r="D1071" s="5" t="n"/>
      <c r="E1071" s="4">
        <f>IF(C1071="","",COUNTIF($C$7:C1071,C1071))</f>
        <v/>
      </c>
      <c r="F1071" s="4">
        <f>IF(E1071="","",IF(E1071&lt;=3,6,IF(E1071&lt;=6,5,IF(E1071&lt;=9,4,IF(E1071&lt;=12,3,IF(E1071&lt;=15,2,0))))))</f>
        <v/>
      </c>
      <c r="G1071" s="5" t="n"/>
      <c r="H1071" s="4">
        <f>IF(OR(F1071="",G1071=""),"",F1071*G1071+IF(J1071="",0,J1071))</f>
        <v/>
      </c>
      <c r="I1071" s="5" t="n"/>
      <c r="J1071" s="5" t="n"/>
    </row>
    <row r="1072">
      <c r="A1072" s="5" t="n"/>
      <c r="B1072" s="5" t="n"/>
      <c r="C1072" s="5" t="n"/>
      <c r="D1072" s="5" t="n"/>
      <c r="E1072" s="4">
        <f>IF(C1072="","",COUNTIF($C$7:C1072,C1072))</f>
        <v/>
      </c>
      <c r="F1072" s="4">
        <f>IF(E1072="","",IF(E1072&lt;=3,6,IF(E1072&lt;=6,5,IF(E1072&lt;=9,4,IF(E1072&lt;=12,3,IF(E1072&lt;=15,2,0))))))</f>
        <v/>
      </c>
      <c r="G1072" s="5" t="n"/>
      <c r="H1072" s="4">
        <f>IF(OR(F1072="",G1072=""),"",F1072*G1072+IF(J1072="",0,J1072))</f>
        <v/>
      </c>
      <c r="I1072" s="5" t="n"/>
      <c r="J1072" s="5" t="n"/>
    </row>
    <row r="1073">
      <c r="A1073" s="5" t="n"/>
      <c r="B1073" s="5" t="n"/>
      <c r="C1073" s="5" t="n"/>
      <c r="D1073" s="5" t="n"/>
      <c r="E1073" s="4">
        <f>IF(C1073="","",COUNTIF($C$7:C1073,C1073))</f>
        <v/>
      </c>
      <c r="F1073" s="4">
        <f>IF(E1073="","",IF(E1073&lt;=3,6,IF(E1073&lt;=6,5,IF(E1073&lt;=9,4,IF(E1073&lt;=12,3,IF(E1073&lt;=15,2,0))))))</f>
        <v/>
      </c>
      <c r="G1073" s="5" t="n"/>
      <c r="H1073" s="4">
        <f>IF(OR(F1073="",G1073=""),"",F1073*G1073+IF(J1073="",0,J1073))</f>
        <v/>
      </c>
      <c r="I1073" s="5" t="n"/>
      <c r="J1073" s="5" t="n"/>
    </row>
    <row r="1074">
      <c r="A1074" s="5" t="n"/>
      <c r="B1074" s="5" t="n"/>
      <c r="C1074" s="5" t="n"/>
      <c r="D1074" s="5" t="n"/>
      <c r="E1074" s="4">
        <f>IF(C1074="","",COUNTIF($C$7:C1074,C1074))</f>
        <v/>
      </c>
      <c r="F1074" s="4">
        <f>IF(E1074="","",IF(E1074&lt;=3,6,IF(E1074&lt;=6,5,IF(E1074&lt;=9,4,IF(E1074&lt;=12,3,IF(E1074&lt;=15,2,0))))))</f>
        <v/>
      </c>
      <c r="G1074" s="5" t="n"/>
      <c r="H1074" s="4">
        <f>IF(OR(F1074="",G1074=""),"",F1074*G1074+IF(J1074="",0,J1074))</f>
        <v/>
      </c>
      <c r="I1074" s="5" t="n"/>
      <c r="J1074" s="5" t="n"/>
    </row>
    <row r="1075">
      <c r="A1075" s="5" t="n"/>
      <c r="B1075" s="5" t="n"/>
      <c r="C1075" s="5" t="n"/>
      <c r="D1075" s="5" t="n"/>
      <c r="E1075" s="4">
        <f>IF(C1075="","",COUNTIF($C$7:C1075,C1075))</f>
        <v/>
      </c>
      <c r="F1075" s="4">
        <f>IF(E1075="","",IF(E1075&lt;=3,6,IF(E1075&lt;=6,5,IF(E1075&lt;=9,4,IF(E1075&lt;=12,3,IF(E1075&lt;=15,2,0))))))</f>
        <v/>
      </c>
      <c r="G1075" s="5" t="n"/>
      <c r="H1075" s="4">
        <f>IF(OR(F1075="",G1075=""),"",F1075*G1075+IF(J1075="",0,J1075))</f>
        <v/>
      </c>
      <c r="I1075" s="5" t="n"/>
      <c r="J1075" s="5" t="n"/>
    </row>
    <row r="1076">
      <c r="A1076" s="5" t="n"/>
      <c r="B1076" s="5" t="n"/>
      <c r="C1076" s="5" t="n"/>
      <c r="D1076" s="5" t="n"/>
      <c r="E1076" s="4">
        <f>IF(C1076="","",COUNTIF($C$7:C1076,C1076))</f>
        <v/>
      </c>
      <c r="F1076" s="4">
        <f>IF(E1076="","",IF(E1076&lt;=3,6,IF(E1076&lt;=6,5,IF(E1076&lt;=9,4,IF(E1076&lt;=12,3,IF(E1076&lt;=15,2,0))))))</f>
        <v/>
      </c>
      <c r="G1076" s="5" t="n"/>
      <c r="H1076" s="4">
        <f>IF(OR(F1076="",G1076=""),"",F1076*G1076+IF(J1076="",0,J1076))</f>
        <v/>
      </c>
      <c r="I1076" s="5" t="n"/>
      <c r="J1076" s="5" t="n"/>
    </row>
    <row r="1077">
      <c r="A1077" s="5" t="n"/>
      <c r="B1077" s="5" t="n"/>
      <c r="C1077" s="5" t="n"/>
      <c r="D1077" s="5" t="n"/>
      <c r="E1077" s="4">
        <f>IF(C1077="","",COUNTIF($C$7:C1077,C1077))</f>
        <v/>
      </c>
      <c r="F1077" s="4">
        <f>IF(E1077="","",IF(E1077&lt;=3,6,IF(E1077&lt;=6,5,IF(E1077&lt;=9,4,IF(E1077&lt;=12,3,IF(E1077&lt;=15,2,0))))))</f>
        <v/>
      </c>
      <c r="G1077" s="5" t="n"/>
      <c r="H1077" s="4">
        <f>IF(OR(F1077="",G1077=""),"",F1077*G1077+IF(J1077="",0,J1077))</f>
        <v/>
      </c>
      <c r="I1077" s="5" t="n"/>
      <c r="J1077" s="5" t="n"/>
    </row>
    <row r="1078">
      <c r="A1078" s="5" t="n"/>
      <c r="B1078" s="5" t="n"/>
      <c r="C1078" s="5" t="n"/>
      <c r="D1078" s="5" t="n"/>
      <c r="E1078" s="4">
        <f>IF(C1078="","",COUNTIF($C$7:C1078,C1078))</f>
        <v/>
      </c>
      <c r="F1078" s="4">
        <f>IF(E1078="","",IF(E1078&lt;=3,6,IF(E1078&lt;=6,5,IF(E1078&lt;=9,4,IF(E1078&lt;=12,3,IF(E1078&lt;=15,2,0))))))</f>
        <v/>
      </c>
      <c r="G1078" s="5" t="n"/>
      <c r="H1078" s="4">
        <f>IF(OR(F1078="",G1078=""),"",F1078*G1078+IF(J1078="",0,J1078))</f>
        <v/>
      </c>
      <c r="I1078" s="5" t="n"/>
      <c r="J1078" s="5" t="n"/>
    </row>
    <row r="1079">
      <c r="A1079" s="5" t="n"/>
      <c r="B1079" s="5" t="n"/>
      <c r="C1079" s="5" t="n"/>
      <c r="D1079" s="5" t="n"/>
      <c r="E1079" s="4">
        <f>IF(C1079="","",COUNTIF($C$7:C1079,C1079))</f>
        <v/>
      </c>
      <c r="F1079" s="4">
        <f>IF(E1079="","",IF(E1079&lt;=3,6,IF(E1079&lt;=6,5,IF(E1079&lt;=9,4,IF(E1079&lt;=12,3,IF(E1079&lt;=15,2,0))))))</f>
        <v/>
      </c>
      <c r="G1079" s="5" t="n"/>
      <c r="H1079" s="4">
        <f>IF(OR(F1079="",G1079=""),"",F1079*G1079+IF(J1079="",0,J1079))</f>
        <v/>
      </c>
      <c r="I1079" s="5" t="n"/>
      <c r="J1079" s="5" t="n"/>
    </row>
    <row r="1080">
      <c r="A1080" s="5" t="n"/>
      <c r="B1080" s="5" t="n"/>
      <c r="C1080" s="5" t="n"/>
      <c r="D1080" s="5" t="n"/>
      <c r="E1080" s="4">
        <f>IF(C1080="","",COUNTIF($C$7:C1080,C1080))</f>
        <v/>
      </c>
      <c r="F1080" s="4">
        <f>IF(E1080="","",IF(E1080&lt;=3,6,IF(E1080&lt;=6,5,IF(E1080&lt;=9,4,IF(E1080&lt;=12,3,IF(E1080&lt;=15,2,0))))))</f>
        <v/>
      </c>
      <c r="G1080" s="5" t="n"/>
      <c r="H1080" s="4">
        <f>IF(OR(F1080="",G1080=""),"",F1080*G1080+IF(J1080="",0,J1080))</f>
        <v/>
      </c>
      <c r="I1080" s="5" t="n"/>
      <c r="J1080" s="5" t="n"/>
    </row>
    <row r="1081">
      <c r="A1081" s="5" t="n"/>
      <c r="B1081" s="5" t="n"/>
      <c r="C1081" s="5" t="n"/>
      <c r="D1081" s="5" t="n"/>
      <c r="E1081" s="4">
        <f>IF(C1081="","",COUNTIF($C$7:C1081,C1081))</f>
        <v/>
      </c>
      <c r="F1081" s="4">
        <f>IF(E1081="","",IF(E1081&lt;=3,6,IF(E1081&lt;=6,5,IF(E1081&lt;=9,4,IF(E1081&lt;=12,3,IF(E1081&lt;=15,2,0))))))</f>
        <v/>
      </c>
      <c r="G1081" s="5" t="n"/>
      <c r="H1081" s="4">
        <f>IF(OR(F1081="",G1081=""),"",F1081*G1081+IF(J1081="",0,J1081))</f>
        <v/>
      </c>
      <c r="I1081" s="5" t="n"/>
      <c r="J1081" s="5" t="n"/>
    </row>
    <row r="1082">
      <c r="A1082" s="5" t="n"/>
      <c r="B1082" s="5" t="n"/>
      <c r="C1082" s="5" t="n"/>
      <c r="D1082" s="5" t="n"/>
      <c r="E1082" s="4">
        <f>IF(C1082="","",COUNTIF($C$7:C1082,C1082))</f>
        <v/>
      </c>
      <c r="F1082" s="4">
        <f>IF(E1082="","",IF(E1082&lt;=3,6,IF(E1082&lt;=6,5,IF(E1082&lt;=9,4,IF(E1082&lt;=12,3,IF(E1082&lt;=15,2,0))))))</f>
        <v/>
      </c>
      <c r="G1082" s="5" t="n"/>
      <c r="H1082" s="4">
        <f>IF(OR(F1082="",G1082=""),"",F1082*G1082+IF(J1082="",0,J1082))</f>
        <v/>
      </c>
      <c r="I1082" s="5" t="n"/>
      <c r="J1082" s="5" t="n"/>
    </row>
    <row r="1083">
      <c r="A1083" s="5" t="n"/>
      <c r="B1083" s="5" t="n"/>
      <c r="C1083" s="5" t="n"/>
      <c r="D1083" s="5" t="n"/>
      <c r="E1083" s="4">
        <f>IF(C1083="","",COUNTIF($C$7:C1083,C1083))</f>
        <v/>
      </c>
      <c r="F1083" s="4">
        <f>IF(E1083="","",IF(E1083&lt;=3,6,IF(E1083&lt;=6,5,IF(E1083&lt;=9,4,IF(E1083&lt;=12,3,IF(E1083&lt;=15,2,0))))))</f>
        <v/>
      </c>
      <c r="G1083" s="5" t="n"/>
      <c r="H1083" s="4">
        <f>IF(OR(F1083="",G1083=""),"",F1083*G1083+IF(J1083="",0,J1083))</f>
        <v/>
      </c>
      <c r="I1083" s="5" t="n"/>
      <c r="J1083" s="5" t="n"/>
    </row>
    <row r="1084">
      <c r="A1084" s="5" t="n"/>
      <c r="B1084" s="5" t="n"/>
      <c r="C1084" s="5" t="n"/>
      <c r="D1084" s="5" t="n"/>
      <c r="E1084" s="4">
        <f>IF(C1084="","",COUNTIF($C$7:C1084,C1084))</f>
        <v/>
      </c>
      <c r="F1084" s="4">
        <f>IF(E1084="","",IF(E1084&lt;=3,6,IF(E1084&lt;=6,5,IF(E1084&lt;=9,4,IF(E1084&lt;=12,3,IF(E1084&lt;=15,2,0))))))</f>
        <v/>
      </c>
      <c r="G1084" s="5" t="n"/>
      <c r="H1084" s="4">
        <f>IF(OR(F1084="",G1084=""),"",F1084*G1084+IF(J1084="",0,J1084))</f>
        <v/>
      </c>
      <c r="I1084" s="5" t="n"/>
      <c r="J1084" s="5" t="n"/>
    </row>
    <row r="1085">
      <c r="A1085" s="5" t="n"/>
      <c r="B1085" s="5" t="n"/>
      <c r="C1085" s="5" t="n"/>
      <c r="D1085" s="5" t="n"/>
      <c r="E1085" s="4">
        <f>IF(C1085="","",COUNTIF($C$7:C1085,C1085))</f>
        <v/>
      </c>
      <c r="F1085" s="4">
        <f>IF(E1085="","",IF(E1085&lt;=3,6,IF(E1085&lt;=6,5,IF(E1085&lt;=9,4,IF(E1085&lt;=12,3,IF(E1085&lt;=15,2,0))))))</f>
        <v/>
      </c>
      <c r="G1085" s="5" t="n"/>
      <c r="H1085" s="4">
        <f>IF(OR(F1085="",G1085=""),"",F1085*G1085+IF(J1085="",0,J1085))</f>
        <v/>
      </c>
      <c r="I1085" s="5" t="n"/>
      <c r="J1085" s="5" t="n"/>
    </row>
    <row r="1086">
      <c r="A1086" s="5" t="n"/>
      <c r="B1086" s="5" t="n"/>
      <c r="C1086" s="5" t="n"/>
      <c r="D1086" s="5" t="n"/>
      <c r="E1086" s="4">
        <f>IF(C1086="","",COUNTIF($C$7:C1086,C1086))</f>
        <v/>
      </c>
      <c r="F1086" s="4">
        <f>IF(E1086="","",IF(E1086&lt;=3,6,IF(E1086&lt;=6,5,IF(E1086&lt;=9,4,IF(E1086&lt;=12,3,IF(E1086&lt;=15,2,0))))))</f>
        <v/>
      </c>
      <c r="G1086" s="5" t="n"/>
      <c r="H1086" s="4">
        <f>IF(OR(F1086="",G1086=""),"",F1086*G1086+IF(J1086="",0,J1086))</f>
        <v/>
      </c>
      <c r="I1086" s="5" t="n"/>
      <c r="J1086" s="5" t="n"/>
    </row>
    <row r="1087">
      <c r="A1087" s="5" t="n"/>
      <c r="B1087" s="5" t="n"/>
      <c r="C1087" s="5" t="n"/>
      <c r="D1087" s="5" t="n"/>
      <c r="E1087" s="4">
        <f>IF(C1087="","",COUNTIF($C$7:C1087,C1087))</f>
        <v/>
      </c>
      <c r="F1087" s="4">
        <f>IF(E1087="","",IF(E1087&lt;=3,6,IF(E1087&lt;=6,5,IF(E1087&lt;=9,4,IF(E1087&lt;=12,3,IF(E1087&lt;=15,2,0))))))</f>
        <v/>
      </c>
      <c r="G1087" s="5" t="n"/>
      <c r="H1087" s="4">
        <f>IF(OR(F1087="",G1087=""),"",F1087*G1087+IF(J1087="",0,J1087))</f>
        <v/>
      </c>
      <c r="I1087" s="5" t="n"/>
      <c r="J1087" s="5" t="n"/>
    </row>
    <row r="1088">
      <c r="A1088" s="5" t="n"/>
      <c r="B1088" s="5" t="n"/>
      <c r="C1088" s="5" t="n"/>
      <c r="D1088" s="5" t="n"/>
      <c r="E1088" s="4">
        <f>IF(C1088="","",COUNTIF($C$7:C1088,C1088))</f>
        <v/>
      </c>
      <c r="F1088" s="4">
        <f>IF(E1088="","",IF(E1088&lt;=3,6,IF(E1088&lt;=6,5,IF(E1088&lt;=9,4,IF(E1088&lt;=12,3,IF(E1088&lt;=15,2,0))))))</f>
        <v/>
      </c>
      <c r="G1088" s="5" t="n"/>
      <c r="H1088" s="4">
        <f>IF(OR(F1088="",G1088=""),"",F1088*G1088+IF(J1088="",0,J1088))</f>
        <v/>
      </c>
      <c r="I1088" s="5" t="n"/>
      <c r="J1088" s="5" t="n"/>
    </row>
    <row r="1089">
      <c r="A1089" s="5" t="n"/>
      <c r="B1089" s="5" t="n"/>
      <c r="C1089" s="5" t="n"/>
      <c r="D1089" s="5" t="n"/>
      <c r="E1089" s="4">
        <f>IF(C1089="","",COUNTIF($C$7:C1089,C1089))</f>
        <v/>
      </c>
      <c r="F1089" s="4">
        <f>IF(E1089="","",IF(E1089&lt;=3,6,IF(E1089&lt;=6,5,IF(E1089&lt;=9,4,IF(E1089&lt;=12,3,IF(E1089&lt;=15,2,0))))))</f>
        <v/>
      </c>
      <c r="G1089" s="5" t="n"/>
      <c r="H1089" s="4">
        <f>IF(OR(F1089="",G1089=""),"",F1089*G1089+IF(J1089="",0,J1089))</f>
        <v/>
      </c>
      <c r="I1089" s="5" t="n"/>
      <c r="J1089" s="5" t="n"/>
    </row>
    <row r="1090">
      <c r="A1090" s="5" t="n"/>
      <c r="B1090" s="5" t="n"/>
      <c r="C1090" s="5" t="n"/>
      <c r="D1090" s="5" t="n"/>
      <c r="E1090" s="4">
        <f>IF(C1090="","",COUNTIF($C$7:C1090,C1090))</f>
        <v/>
      </c>
      <c r="F1090" s="4">
        <f>IF(E1090="","",IF(E1090&lt;=3,6,IF(E1090&lt;=6,5,IF(E1090&lt;=9,4,IF(E1090&lt;=12,3,IF(E1090&lt;=15,2,0))))))</f>
        <v/>
      </c>
      <c r="G1090" s="5" t="n"/>
      <c r="H1090" s="4">
        <f>IF(OR(F1090="",G1090=""),"",F1090*G1090+IF(J1090="",0,J1090))</f>
        <v/>
      </c>
      <c r="I1090" s="5" t="n"/>
      <c r="J1090" s="5" t="n"/>
    </row>
    <row r="1091">
      <c r="A1091" s="5" t="n"/>
      <c r="B1091" s="5" t="n"/>
      <c r="C1091" s="5" t="n"/>
      <c r="D1091" s="5" t="n"/>
      <c r="E1091" s="4">
        <f>IF(C1091="","",COUNTIF($C$7:C1091,C1091))</f>
        <v/>
      </c>
      <c r="F1091" s="4">
        <f>IF(E1091="","",IF(E1091&lt;=3,6,IF(E1091&lt;=6,5,IF(E1091&lt;=9,4,IF(E1091&lt;=12,3,IF(E1091&lt;=15,2,0))))))</f>
        <v/>
      </c>
      <c r="G1091" s="5" t="n"/>
      <c r="H1091" s="4">
        <f>IF(OR(F1091="",G1091=""),"",F1091*G1091+IF(J1091="",0,J1091))</f>
        <v/>
      </c>
      <c r="I1091" s="5" t="n"/>
      <c r="J1091" s="5" t="n"/>
    </row>
    <row r="1092">
      <c r="A1092" s="5" t="n"/>
      <c r="B1092" s="5" t="n"/>
      <c r="C1092" s="5" t="n"/>
      <c r="D1092" s="5" t="n"/>
      <c r="E1092" s="4">
        <f>IF(C1092="","",COUNTIF($C$7:C1092,C1092))</f>
        <v/>
      </c>
      <c r="F1092" s="4">
        <f>IF(E1092="","",IF(E1092&lt;=3,6,IF(E1092&lt;=6,5,IF(E1092&lt;=9,4,IF(E1092&lt;=12,3,IF(E1092&lt;=15,2,0))))))</f>
        <v/>
      </c>
      <c r="G1092" s="5" t="n"/>
      <c r="H1092" s="4">
        <f>IF(OR(F1092="",G1092=""),"",F1092*G1092+IF(J1092="",0,J1092))</f>
        <v/>
      </c>
      <c r="I1092" s="5" t="n"/>
      <c r="J1092" s="5" t="n"/>
    </row>
    <row r="1093">
      <c r="A1093" s="5" t="n"/>
      <c r="B1093" s="5" t="n"/>
      <c r="C1093" s="5" t="n"/>
      <c r="D1093" s="5" t="n"/>
      <c r="E1093" s="4">
        <f>IF(C1093="","",COUNTIF($C$7:C1093,C1093))</f>
        <v/>
      </c>
      <c r="F1093" s="4">
        <f>IF(E1093="","",IF(E1093&lt;=3,6,IF(E1093&lt;=6,5,IF(E1093&lt;=9,4,IF(E1093&lt;=12,3,IF(E1093&lt;=15,2,0))))))</f>
        <v/>
      </c>
      <c r="G1093" s="5" t="n"/>
      <c r="H1093" s="4">
        <f>IF(OR(F1093="",G1093=""),"",F1093*G1093+IF(J1093="",0,J1093))</f>
        <v/>
      </c>
      <c r="I1093" s="5" t="n"/>
      <c r="J1093" s="5" t="n"/>
    </row>
    <row r="1094">
      <c r="A1094" s="5" t="n"/>
      <c r="B1094" s="5" t="n"/>
      <c r="C1094" s="5" t="n"/>
      <c r="D1094" s="5" t="n"/>
      <c r="E1094" s="4">
        <f>IF(C1094="","",COUNTIF($C$7:C1094,C1094))</f>
        <v/>
      </c>
      <c r="F1094" s="4">
        <f>IF(E1094="","",IF(E1094&lt;=3,6,IF(E1094&lt;=6,5,IF(E1094&lt;=9,4,IF(E1094&lt;=12,3,IF(E1094&lt;=15,2,0))))))</f>
        <v/>
      </c>
      <c r="G1094" s="5" t="n"/>
      <c r="H1094" s="4">
        <f>IF(OR(F1094="",G1094=""),"",F1094*G1094+IF(J1094="",0,J1094))</f>
        <v/>
      </c>
      <c r="I1094" s="5" t="n"/>
      <c r="J1094" s="5" t="n"/>
    </row>
    <row r="1095">
      <c r="A1095" s="5" t="n"/>
      <c r="B1095" s="5" t="n"/>
      <c r="C1095" s="5" t="n"/>
      <c r="D1095" s="5" t="n"/>
      <c r="E1095" s="4">
        <f>IF(C1095="","",COUNTIF($C$7:C1095,C1095))</f>
        <v/>
      </c>
      <c r="F1095" s="4">
        <f>IF(E1095="","",IF(E1095&lt;=3,6,IF(E1095&lt;=6,5,IF(E1095&lt;=9,4,IF(E1095&lt;=12,3,IF(E1095&lt;=15,2,0))))))</f>
        <v/>
      </c>
      <c r="G1095" s="5" t="n"/>
      <c r="H1095" s="4">
        <f>IF(OR(F1095="",G1095=""),"",F1095*G1095+IF(J1095="",0,J1095))</f>
        <v/>
      </c>
      <c r="I1095" s="5" t="n"/>
      <c r="J1095" s="5" t="n"/>
    </row>
    <row r="1096">
      <c r="A1096" s="5" t="n"/>
      <c r="B1096" s="5" t="n"/>
      <c r="C1096" s="5" t="n"/>
      <c r="D1096" s="5" t="n"/>
      <c r="E1096" s="4">
        <f>IF(C1096="","",COUNTIF($C$7:C1096,C1096))</f>
        <v/>
      </c>
      <c r="F1096" s="4">
        <f>IF(E1096="","",IF(E1096&lt;=3,6,IF(E1096&lt;=6,5,IF(E1096&lt;=9,4,IF(E1096&lt;=12,3,IF(E1096&lt;=15,2,0))))))</f>
        <v/>
      </c>
      <c r="G1096" s="5" t="n"/>
      <c r="H1096" s="4">
        <f>IF(OR(F1096="",G1096=""),"",F1096*G1096+IF(J1096="",0,J1096))</f>
        <v/>
      </c>
      <c r="I1096" s="5" t="n"/>
      <c r="J1096" s="5" t="n"/>
    </row>
    <row r="1097">
      <c r="A1097" s="5" t="n"/>
      <c r="B1097" s="5" t="n"/>
      <c r="C1097" s="5" t="n"/>
      <c r="D1097" s="5" t="n"/>
      <c r="E1097" s="4">
        <f>IF(C1097="","",COUNTIF($C$7:C1097,C1097))</f>
        <v/>
      </c>
      <c r="F1097" s="4">
        <f>IF(E1097="","",IF(E1097&lt;=3,6,IF(E1097&lt;=6,5,IF(E1097&lt;=9,4,IF(E1097&lt;=12,3,IF(E1097&lt;=15,2,0))))))</f>
        <v/>
      </c>
      <c r="G1097" s="5" t="n"/>
      <c r="H1097" s="4">
        <f>IF(OR(F1097="",G1097=""),"",F1097*G1097+IF(J1097="",0,J1097))</f>
        <v/>
      </c>
      <c r="I1097" s="5" t="n"/>
      <c r="J1097" s="5" t="n"/>
    </row>
    <row r="1098">
      <c r="A1098" s="5" t="n"/>
      <c r="B1098" s="5" t="n"/>
      <c r="C1098" s="5" t="n"/>
      <c r="D1098" s="5" t="n"/>
      <c r="E1098" s="4">
        <f>IF(C1098="","",COUNTIF($C$7:C1098,C1098))</f>
        <v/>
      </c>
      <c r="F1098" s="4">
        <f>IF(E1098="","",IF(E1098&lt;=3,6,IF(E1098&lt;=6,5,IF(E1098&lt;=9,4,IF(E1098&lt;=12,3,IF(E1098&lt;=15,2,0))))))</f>
        <v/>
      </c>
      <c r="G1098" s="5" t="n"/>
      <c r="H1098" s="4">
        <f>IF(OR(F1098="",G1098=""),"",F1098*G1098+IF(J1098="",0,J1098))</f>
        <v/>
      </c>
      <c r="I1098" s="5" t="n"/>
      <c r="J1098" s="5" t="n"/>
    </row>
    <row r="1099">
      <c r="A1099" s="5" t="n"/>
      <c r="B1099" s="5" t="n"/>
      <c r="C1099" s="5" t="n"/>
      <c r="D1099" s="5" t="n"/>
      <c r="E1099" s="4">
        <f>IF(C1099="","",COUNTIF($C$7:C1099,C1099))</f>
        <v/>
      </c>
      <c r="F1099" s="4">
        <f>IF(E1099="","",IF(E1099&lt;=3,6,IF(E1099&lt;=6,5,IF(E1099&lt;=9,4,IF(E1099&lt;=12,3,IF(E1099&lt;=15,2,0))))))</f>
        <v/>
      </c>
      <c r="G1099" s="5" t="n"/>
      <c r="H1099" s="4">
        <f>IF(OR(F1099="",G1099=""),"",F1099*G1099+IF(J1099="",0,J1099))</f>
        <v/>
      </c>
      <c r="I1099" s="5" t="n"/>
      <c r="J1099" s="5" t="n"/>
    </row>
    <row r="1100">
      <c r="A1100" s="5" t="n"/>
      <c r="B1100" s="5" t="n"/>
      <c r="C1100" s="5" t="n"/>
      <c r="D1100" s="5" t="n"/>
      <c r="E1100" s="4">
        <f>IF(C1100="","",COUNTIF($C$7:C1100,C1100))</f>
        <v/>
      </c>
      <c r="F1100" s="4">
        <f>IF(E1100="","",IF(E1100&lt;=3,6,IF(E1100&lt;=6,5,IF(E1100&lt;=9,4,IF(E1100&lt;=12,3,IF(E1100&lt;=15,2,0))))))</f>
        <v/>
      </c>
      <c r="G1100" s="5" t="n"/>
      <c r="H1100" s="4">
        <f>IF(OR(F1100="",G1100=""),"",F1100*G1100+IF(J1100="",0,J1100))</f>
        <v/>
      </c>
      <c r="I1100" s="5" t="n"/>
      <c r="J1100" s="5" t="n"/>
    </row>
    <row r="1101">
      <c r="A1101" s="5" t="n"/>
      <c r="B1101" s="5" t="n"/>
      <c r="C1101" s="5" t="n"/>
      <c r="D1101" s="5" t="n"/>
      <c r="E1101" s="4">
        <f>IF(C1101="","",COUNTIF($C$7:C1101,C1101))</f>
        <v/>
      </c>
      <c r="F1101" s="4">
        <f>IF(E1101="","",IF(E1101&lt;=3,6,IF(E1101&lt;=6,5,IF(E1101&lt;=9,4,IF(E1101&lt;=12,3,IF(E1101&lt;=15,2,0))))))</f>
        <v/>
      </c>
      <c r="G1101" s="5" t="n"/>
      <c r="H1101" s="4">
        <f>IF(OR(F1101="",G1101=""),"",F1101*G1101+IF(J1101="",0,J1101))</f>
        <v/>
      </c>
      <c r="I1101" s="5" t="n"/>
      <c r="J1101" s="5" t="n"/>
    </row>
    <row r="1102">
      <c r="A1102" s="5" t="n"/>
      <c r="B1102" s="5" t="n"/>
      <c r="C1102" s="5" t="n"/>
      <c r="D1102" s="5" t="n"/>
      <c r="E1102" s="4">
        <f>IF(C1102="","",COUNTIF($C$7:C1102,C1102))</f>
        <v/>
      </c>
      <c r="F1102" s="4">
        <f>IF(E1102="","",IF(E1102&lt;=3,6,IF(E1102&lt;=6,5,IF(E1102&lt;=9,4,IF(E1102&lt;=12,3,IF(E1102&lt;=15,2,0))))))</f>
        <v/>
      </c>
      <c r="G1102" s="5" t="n"/>
      <c r="H1102" s="4">
        <f>IF(OR(F1102="",G1102=""),"",F1102*G1102+IF(J1102="",0,J1102))</f>
        <v/>
      </c>
      <c r="I1102" s="5" t="n"/>
      <c r="J1102" s="5" t="n"/>
    </row>
    <row r="1103">
      <c r="A1103" s="5" t="n"/>
      <c r="B1103" s="5" t="n"/>
      <c r="C1103" s="5" t="n"/>
      <c r="D1103" s="5" t="n"/>
      <c r="E1103" s="4">
        <f>IF(C1103="","",COUNTIF($C$7:C1103,C1103))</f>
        <v/>
      </c>
      <c r="F1103" s="4">
        <f>IF(E1103="","",IF(E1103&lt;=3,6,IF(E1103&lt;=6,5,IF(E1103&lt;=9,4,IF(E1103&lt;=12,3,IF(E1103&lt;=15,2,0))))))</f>
        <v/>
      </c>
      <c r="G1103" s="5" t="n"/>
      <c r="H1103" s="4">
        <f>IF(OR(F1103="",G1103=""),"",F1103*G1103+IF(J1103="",0,J1103))</f>
        <v/>
      </c>
      <c r="I1103" s="5" t="n"/>
      <c r="J1103" s="5" t="n"/>
    </row>
    <row r="1104">
      <c r="A1104" s="5" t="n"/>
      <c r="B1104" s="5" t="n"/>
      <c r="C1104" s="5" t="n"/>
      <c r="D1104" s="5" t="n"/>
      <c r="E1104" s="4">
        <f>IF(C1104="","",COUNTIF($C$7:C1104,C1104))</f>
        <v/>
      </c>
      <c r="F1104" s="4">
        <f>IF(E1104="","",IF(E1104&lt;=3,6,IF(E1104&lt;=6,5,IF(E1104&lt;=9,4,IF(E1104&lt;=12,3,IF(E1104&lt;=15,2,0))))))</f>
        <v/>
      </c>
      <c r="G1104" s="5" t="n"/>
      <c r="H1104" s="4">
        <f>IF(OR(F1104="",G1104=""),"",F1104*G1104+IF(J1104="",0,J1104))</f>
        <v/>
      </c>
      <c r="I1104" s="5" t="n"/>
      <c r="J1104" s="5" t="n"/>
    </row>
    <row r="1105">
      <c r="A1105" s="5" t="n"/>
      <c r="B1105" s="5" t="n"/>
      <c r="C1105" s="5" t="n"/>
      <c r="D1105" s="5" t="n"/>
      <c r="E1105" s="4">
        <f>IF(C1105="","",COUNTIF($C$7:C1105,C1105))</f>
        <v/>
      </c>
      <c r="F1105" s="4">
        <f>IF(E1105="","",IF(E1105&lt;=3,6,IF(E1105&lt;=6,5,IF(E1105&lt;=9,4,IF(E1105&lt;=12,3,IF(E1105&lt;=15,2,0))))))</f>
        <v/>
      </c>
      <c r="G1105" s="5" t="n"/>
      <c r="H1105" s="4">
        <f>IF(OR(F1105="",G1105=""),"",F1105*G1105+IF(J1105="",0,J1105))</f>
        <v/>
      </c>
      <c r="I1105" s="5" t="n"/>
      <c r="J1105" s="5" t="n"/>
    </row>
    <row r="1106">
      <c r="A1106" s="5" t="n"/>
      <c r="B1106" s="5" t="n"/>
      <c r="C1106" s="5" t="n"/>
      <c r="D1106" s="5" t="n"/>
      <c r="E1106" s="4">
        <f>IF(C1106="","",COUNTIF($C$7:C1106,C1106))</f>
        <v/>
      </c>
      <c r="F1106" s="4">
        <f>IF(E1106="","",IF(E1106&lt;=3,6,IF(E1106&lt;=6,5,IF(E1106&lt;=9,4,IF(E1106&lt;=12,3,IF(E1106&lt;=15,2,0))))))</f>
        <v/>
      </c>
      <c r="G1106" s="5" t="n"/>
      <c r="H1106" s="4">
        <f>IF(OR(F1106="",G1106=""),"",F1106*G1106+IF(J1106="",0,J1106))</f>
        <v/>
      </c>
      <c r="I1106" s="5" t="n"/>
      <c r="J1106" s="5" t="n"/>
    </row>
    <row r="1107">
      <c r="A1107" s="5" t="n"/>
      <c r="B1107" s="5" t="n"/>
      <c r="C1107" s="5" t="n"/>
      <c r="D1107" s="5" t="n"/>
      <c r="E1107" s="4">
        <f>IF(C1107="","",COUNTIF($C$7:C1107,C1107))</f>
        <v/>
      </c>
      <c r="F1107" s="4">
        <f>IF(E1107="","",IF(E1107&lt;=3,6,IF(E1107&lt;=6,5,IF(E1107&lt;=9,4,IF(E1107&lt;=12,3,IF(E1107&lt;=15,2,0))))))</f>
        <v/>
      </c>
      <c r="G1107" s="5" t="n"/>
      <c r="H1107" s="4">
        <f>IF(OR(F1107="",G1107=""),"",F1107*G1107+IF(J1107="",0,J1107))</f>
        <v/>
      </c>
      <c r="I1107" s="5" t="n"/>
      <c r="J1107" s="5" t="n"/>
    </row>
    <row r="1108">
      <c r="A1108" s="5" t="n"/>
      <c r="B1108" s="5" t="n"/>
      <c r="C1108" s="5" t="n"/>
      <c r="D1108" s="5" t="n"/>
      <c r="E1108" s="4">
        <f>IF(C1108="","",COUNTIF($C$7:C1108,C1108))</f>
        <v/>
      </c>
      <c r="F1108" s="4">
        <f>IF(E1108="","",IF(E1108&lt;=3,6,IF(E1108&lt;=6,5,IF(E1108&lt;=9,4,IF(E1108&lt;=12,3,IF(E1108&lt;=15,2,0))))))</f>
        <v/>
      </c>
      <c r="G1108" s="5" t="n"/>
      <c r="H1108" s="4">
        <f>IF(OR(F1108="",G1108=""),"",F1108*G1108+IF(J1108="",0,J1108))</f>
        <v/>
      </c>
      <c r="I1108" s="5" t="n"/>
      <c r="J1108" s="5" t="n"/>
    </row>
    <row r="1109">
      <c r="A1109" s="5" t="n"/>
      <c r="B1109" s="5" t="n"/>
      <c r="C1109" s="5" t="n"/>
      <c r="D1109" s="5" t="n"/>
      <c r="E1109" s="4">
        <f>IF(C1109="","",COUNTIF($C$7:C1109,C1109))</f>
        <v/>
      </c>
      <c r="F1109" s="4">
        <f>IF(E1109="","",IF(E1109&lt;=3,6,IF(E1109&lt;=6,5,IF(E1109&lt;=9,4,IF(E1109&lt;=12,3,IF(E1109&lt;=15,2,0))))))</f>
        <v/>
      </c>
      <c r="G1109" s="5" t="n"/>
      <c r="H1109" s="4">
        <f>IF(OR(F1109="",G1109=""),"",F1109*G1109+IF(J1109="",0,J1109))</f>
        <v/>
      </c>
      <c r="I1109" s="5" t="n"/>
      <c r="J1109" s="5" t="n"/>
    </row>
    <row r="1110">
      <c r="A1110" s="5" t="n"/>
      <c r="B1110" s="5" t="n"/>
      <c r="C1110" s="5" t="n"/>
      <c r="D1110" s="5" t="n"/>
      <c r="E1110" s="4">
        <f>IF(C1110="","",COUNTIF($C$7:C1110,C1110))</f>
        <v/>
      </c>
      <c r="F1110" s="4">
        <f>IF(E1110="","",IF(E1110&lt;=3,6,IF(E1110&lt;=6,5,IF(E1110&lt;=9,4,IF(E1110&lt;=12,3,IF(E1110&lt;=15,2,0))))))</f>
        <v/>
      </c>
      <c r="G1110" s="5" t="n"/>
      <c r="H1110" s="4">
        <f>IF(OR(F1110="",G1110=""),"",F1110*G1110+IF(J1110="",0,J1110))</f>
        <v/>
      </c>
      <c r="I1110" s="5" t="n"/>
      <c r="J1110" s="5" t="n"/>
    </row>
    <row r="1111">
      <c r="A1111" s="5" t="n"/>
      <c r="B1111" s="5" t="n"/>
      <c r="C1111" s="5" t="n"/>
      <c r="D1111" s="5" t="n"/>
      <c r="E1111" s="4">
        <f>IF(C1111="","",COUNTIF($C$7:C1111,C1111))</f>
        <v/>
      </c>
      <c r="F1111" s="4">
        <f>IF(E1111="","",IF(E1111&lt;=3,6,IF(E1111&lt;=6,5,IF(E1111&lt;=9,4,IF(E1111&lt;=12,3,IF(E1111&lt;=15,2,0))))))</f>
        <v/>
      </c>
      <c r="G1111" s="5" t="n"/>
      <c r="H1111" s="4">
        <f>IF(OR(F1111="",G1111=""),"",F1111*G1111+IF(J1111="",0,J1111))</f>
        <v/>
      </c>
      <c r="I1111" s="5" t="n"/>
      <c r="J1111" s="5" t="n"/>
    </row>
    <row r="1112">
      <c r="A1112" s="5" t="n"/>
      <c r="B1112" s="5" t="n"/>
      <c r="C1112" s="5" t="n"/>
      <c r="D1112" s="5" t="n"/>
      <c r="E1112" s="4">
        <f>IF(C1112="","",COUNTIF($C$7:C1112,C1112))</f>
        <v/>
      </c>
      <c r="F1112" s="4">
        <f>IF(E1112="","",IF(E1112&lt;=3,6,IF(E1112&lt;=6,5,IF(E1112&lt;=9,4,IF(E1112&lt;=12,3,IF(E1112&lt;=15,2,0))))))</f>
        <v/>
      </c>
      <c r="G1112" s="5" t="n"/>
      <c r="H1112" s="4">
        <f>IF(OR(F1112="",G1112=""),"",F1112*G1112+IF(J1112="",0,J1112))</f>
        <v/>
      </c>
      <c r="I1112" s="5" t="n"/>
      <c r="J1112" s="5" t="n"/>
    </row>
    <row r="1113">
      <c r="A1113" s="5" t="n"/>
      <c r="B1113" s="5" t="n"/>
      <c r="C1113" s="5" t="n"/>
      <c r="D1113" s="5" t="n"/>
      <c r="E1113" s="4">
        <f>IF(C1113="","",COUNTIF($C$7:C1113,C1113))</f>
        <v/>
      </c>
      <c r="F1113" s="4">
        <f>IF(E1113="","",IF(E1113&lt;=3,6,IF(E1113&lt;=6,5,IF(E1113&lt;=9,4,IF(E1113&lt;=12,3,IF(E1113&lt;=15,2,0))))))</f>
        <v/>
      </c>
      <c r="G1113" s="5" t="n"/>
      <c r="H1113" s="4">
        <f>IF(OR(F1113="",G1113=""),"",F1113*G1113+IF(J1113="",0,J1113))</f>
        <v/>
      </c>
      <c r="I1113" s="5" t="n"/>
      <c r="J1113" s="5" t="n"/>
    </row>
    <row r="1114">
      <c r="A1114" s="5" t="n"/>
      <c r="B1114" s="5" t="n"/>
      <c r="C1114" s="5" t="n"/>
      <c r="D1114" s="5" t="n"/>
      <c r="E1114" s="4">
        <f>IF(C1114="","",COUNTIF($C$7:C1114,C1114))</f>
        <v/>
      </c>
      <c r="F1114" s="4">
        <f>IF(E1114="","",IF(E1114&lt;=3,6,IF(E1114&lt;=6,5,IF(E1114&lt;=9,4,IF(E1114&lt;=12,3,IF(E1114&lt;=15,2,0))))))</f>
        <v/>
      </c>
      <c r="G1114" s="5" t="n"/>
      <c r="H1114" s="4">
        <f>IF(OR(F1114="",G1114=""),"",F1114*G1114+IF(J1114="",0,J1114))</f>
        <v/>
      </c>
      <c r="I1114" s="5" t="n"/>
      <c r="J1114" s="5" t="n"/>
    </row>
    <row r="1115">
      <c r="A1115" s="5" t="n"/>
      <c r="B1115" s="5" t="n"/>
      <c r="C1115" s="5" t="n"/>
      <c r="D1115" s="5" t="n"/>
      <c r="E1115" s="4">
        <f>IF(C1115="","",COUNTIF($C$7:C1115,C1115))</f>
        <v/>
      </c>
      <c r="F1115" s="4">
        <f>IF(E1115="","",IF(E1115&lt;=3,6,IF(E1115&lt;=6,5,IF(E1115&lt;=9,4,IF(E1115&lt;=12,3,IF(E1115&lt;=15,2,0))))))</f>
        <v/>
      </c>
      <c r="G1115" s="5" t="n"/>
      <c r="H1115" s="4">
        <f>IF(OR(F1115="",G1115=""),"",F1115*G1115+IF(J1115="",0,J1115))</f>
        <v/>
      </c>
      <c r="I1115" s="5" t="n"/>
      <c r="J1115" s="5" t="n"/>
    </row>
    <row r="1116">
      <c r="A1116" s="5" t="n"/>
      <c r="B1116" s="5" t="n"/>
      <c r="C1116" s="5" t="n"/>
      <c r="D1116" s="5" t="n"/>
      <c r="E1116" s="4">
        <f>IF(C1116="","",COUNTIF($C$7:C1116,C1116))</f>
        <v/>
      </c>
      <c r="F1116" s="4">
        <f>IF(E1116="","",IF(E1116&lt;=3,6,IF(E1116&lt;=6,5,IF(E1116&lt;=9,4,IF(E1116&lt;=12,3,IF(E1116&lt;=15,2,0))))))</f>
        <v/>
      </c>
      <c r="G1116" s="5" t="n"/>
      <c r="H1116" s="4">
        <f>IF(OR(F1116="",G1116=""),"",F1116*G1116+IF(J1116="",0,J1116))</f>
        <v/>
      </c>
      <c r="I1116" s="5" t="n"/>
      <c r="J1116" s="5" t="n"/>
    </row>
    <row r="1117">
      <c r="A1117" s="5" t="n"/>
      <c r="B1117" s="5" t="n"/>
      <c r="C1117" s="5" t="n"/>
      <c r="D1117" s="5" t="n"/>
      <c r="E1117" s="4">
        <f>IF(C1117="","",COUNTIF($C$7:C1117,C1117))</f>
        <v/>
      </c>
      <c r="F1117" s="4">
        <f>IF(E1117="","",IF(E1117&lt;=3,6,IF(E1117&lt;=6,5,IF(E1117&lt;=9,4,IF(E1117&lt;=12,3,IF(E1117&lt;=15,2,0))))))</f>
        <v/>
      </c>
      <c r="G1117" s="5" t="n"/>
      <c r="H1117" s="4">
        <f>IF(OR(F1117="",G1117=""),"",F1117*G1117+IF(J1117="",0,J1117))</f>
        <v/>
      </c>
      <c r="I1117" s="5" t="n"/>
      <c r="J1117" s="5" t="n"/>
    </row>
    <row r="1118">
      <c r="A1118" s="5" t="n"/>
      <c r="B1118" s="5" t="n"/>
      <c r="C1118" s="5" t="n"/>
      <c r="D1118" s="5" t="n"/>
      <c r="E1118" s="4">
        <f>IF(C1118="","",COUNTIF($C$7:C1118,C1118))</f>
        <v/>
      </c>
      <c r="F1118" s="4">
        <f>IF(E1118="","",IF(E1118&lt;=3,6,IF(E1118&lt;=6,5,IF(E1118&lt;=9,4,IF(E1118&lt;=12,3,IF(E1118&lt;=15,2,0))))))</f>
        <v/>
      </c>
      <c r="G1118" s="5" t="n"/>
      <c r="H1118" s="4">
        <f>IF(OR(F1118="",G1118=""),"",F1118*G1118+IF(J1118="",0,J1118))</f>
        <v/>
      </c>
      <c r="I1118" s="5" t="n"/>
      <c r="J1118" s="5" t="n"/>
    </row>
    <row r="1119">
      <c r="A1119" s="5" t="n"/>
      <c r="B1119" s="5" t="n"/>
      <c r="C1119" s="5" t="n"/>
      <c r="D1119" s="5" t="n"/>
      <c r="E1119" s="4">
        <f>IF(C1119="","",COUNTIF($C$7:C1119,C1119))</f>
        <v/>
      </c>
      <c r="F1119" s="4">
        <f>IF(E1119="","",IF(E1119&lt;=3,6,IF(E1119&lt;=6,5,IF(E1119&lt;=9,4,IF(E1119&lt;=12,3,IF(E1119&lt;=15,2,0))))))</f>
        <v/>
      </c>
      <c r="G1119" s="5" t="n"/>
      <c r="H1119" s="4">
        <f>IF(OR(F1119="",G1119=""),"",F1119*G1119+IF(J1119="",0,J1119))</f>
        <v/>
      </c>
      <c r="I1119" s="5" t="n"/>
      <c r="J1119" s="5" t="n"/>
    </row>
    <row r="1120">
      <c r="A1120" s="5" t="n"/>
      <c r="B1120" s="5" t="n"/>
      <c r="C1120" s="5" t="n"/>
      <c r="D1120" s="5" t="n"/>
      <c r="E1120" s="4">
        <f>IF(C1120="","",COUNTIF($C$7:C1120,C1120))</f>
        <v/>
      </c>
      <c r="F1120" s="4">
        <f>IF(E1120="","",IF(E1120&lt;=3,6,IF(E1120&lt;=6,5,IF(E1120&lt;=9,4,IF(E1120&lt;=12,3,IF(E1120&lt;=15,2,0))))))</f>
        <v/>
      </c>
      <c r="G1120" s="5" t="n"/>
      <c r="H1120" s="4">
        <f>IF(OR(F1120="",G1120=""),"",F1120*G1120+IF(J1120="",0,J1120))</f>
        <v/>
      </c>
      <c r="I1120" s="5" t="n"/>
      <c r="J1120" s="5" t="n"/>
    </row>
    <row r="1121">
      <c r="A1121" s="5" t="n"/>
      <c r="B1121" s="5" t="n"/>
      <c r="C1121" s="5" t="n"/>
      <c r="D1121" s="5" t="n"/>
      <c r="E1121" s="4">
        <f>IF(C1121="","",COUNTIF($C$7:C1121,C1121))</f>
        <v/>
      </c>
      <c r="F1121" s="4">
        <f>IF(E1121="","",IF(E1121&lt;=3,6,IF(E1121&lt;=6,5,IF(E1121&lt;=9,4,IF(E1121&lt;=12,3,IF(E1121&lt;=15,2,0))))))</f>
        <v/>
      </c>
      <c r="G1121" s="5" t="n"/>
      <c r="H1121" s="4">
        <f>IF(OR(F1121="",G1121=""),"",F1121*G1121+IF(J1121="",0,J1121))</f>
        <v/>
      </c>
      <c r="I1121" s="5" t="n"/>
      <c r="J1121" s="5" t="n"/>
    </row>
    <row r="1122">
      <c r="A1122" s="5" t="n"/>
      <c r="B1122" s="5" t="n"/>
      <c r="C1122" s="5" t="n"/>
      <c r="D1122" s="5" t="n"/>
      <c r="E1122" s="4">
        <f>IF(C1122="","",COUNTIF($C$7:C1122,C1122))</f>
        <v/>
      </c>
      <c r="F1122" s="4">
        <f>IF(E1122="","",IF(E1122&lt;=3,6,IF(E1122&lt;=6,5,IF(E1122&lt;=9,4,IF(E1122&lt;=12,3,IF(E1122&lt;=15,2,0))))))</f>
        <v/>
      </c>
      <c r="G1122" s="5" t="n"/>
      <c r="H1122" s="4">
        <f>IF(OR(F1122="",G1122=""),"",F1122*G1122+IF(J1122="",0,J1122))</f>
        <v/>
      </c>
      <c r="I1122" s="5" t="n"/>
      <c r="J1122" s="5" t="n"/>
    </row>
    <row r="1123">
      <c r="A1123" s="5" t="n"/>
      <c r="B1123" s="5" t="n"/>
      <c r="C1123" s="5" t="n"/>
      <c r="D1123" s="5" t="n"/>
      <c r="E1123" s="4">
        <f>IF(C1123="","",COUNTIF($C$7:C1123,C1123))</f>
        <v/>
      </c>
      <c r="F1123" s="4">
        <f>IF(E1123="","",IF(E1123&lt;=3,6,IF(E1123&lt;=6,5,IF(E1123&lt;=9,4,IF(E1123&lt;=12,3,IF(E1123&lt;=15,2,0))))))</f>
        <v/>
      </c>
      <c r="G1123" s="5" t="n"/>
      <c r="H1123" s="4">
        <f>IF(OR(F1123="",G1123=""),"",F1123*G1123+IF(J1123="",0,J1123))</f>
        <v/>
      </c>
      <c r="I1123" s="5" t="n"/>
      <c r="J1123" s="5" t="n"/>
    </row>
    <row r="1124">
      <c r="A1124" s="5" t="n"/>
      <c r="B1124" s="5" t="n"/>
      <c r="C1124" s="5" t="n"/>
      <c r="D1124" s="5" t="n"/>
      <c r="E1124" s="4">
        <f>IF(C1124="","",COUNTIF($C$7:C1124,C1124))</f>
        <v/>
      </c>
      <c r="F1124" s="4">
        <f>IF(E1124="","",IF(E1124&lt;=3,6,IF(E1124&lt;=6,5,IF(E1124&lt;=9,4,IF(E1124&lt;=12,3,IF(E1124&lt;=15,2,0))))))</f>
        <v/>
      </c>
      <c r="G1124" s="5" t="n"/>
      <c r="H1124" s="4">
        <f>IF(OR(F1124="",G1124=""),"",F1124*G1124+IF(J1124="",0,J1124))</f>
        <v/>
      </c>
      <c r="I1124" s="5" t="n"/>
      <c r="J1124" s="5" t="n"/>
    </row>
    <row r="1125">
      <c r="A1125" s="5" t="n"/>
      <c r="B1125" s="5" t="n"/>
      <c r="C1125" s="5" t="n"/>
      <c r="D1125" s="5" t="n"/>
      <c r="E1125" s="4">
        <f>IF(C1125="","",COUNTIF($C$7:C1125,C1125))</f>
        <v/>
      </c>
      <c r="F1125" s="4">
        <f>IF(E1125="","",IF(E1125&lt;=3,6,IF(E1125&lt;=6,5,IF(E1125&lt;=9,4,IF(E1125&lt;=12,3,IF(E1125&lt;=15,2,0))))))</f>
        <v/>
      </c>
      <c r="G1125" s="5" t="n"/>
      <c r="H1125" s="4">
        <f>IF(OR(F1125="",G1125=""),"",F1125*G1125+IF(J1125="",0,J1125))</f>
        <v/>
      </c>
      <c r="I1125" s="5" t="n"/>
      <c r="J1125" s="5" t="n"/>
    </row>
    <row r="1126">
      <c r="A1126" s="5" t="n"/>
      <c r="B1126" s="5" t="n"/>
      <c r="C1126" s="5" t="n"/>
      <c r="D1126" s="5" t="n"/>
      <c r="E1126" s="4">
        <f>IF(C1126="","",COUNTIF($C$7:C1126,C1126))</f>
        <v/>
      </c>
      <c r="F1126" s="4">
        <f>IF(E1126="","",IF(E1126&lt;=3,6,IF(E1126&lt;=6,5,IF(E1126&lt;=9,4,IF(E1126&lt;=12,3,IF(E1126&lt;=15,2,0))))))</f>
        <v/>
      </c>
      <c r="G1126" s="5" t="n"/>
      <c r="H1126" s="4">
        <f>IF(OR(F1126="",G1126=""),"",F1126*G1126+IF(J1126="",0,J1126))</f>
        <v/>
      </c>
      <c r="I1126" s="5" t="n"/>
      <c r="J1126" s="5" t="n"/>
    </row>
    <row r="1127">
      <c r="A1127" s="5" t="n"/>
      <c r="B1127" s="5" t="n"/>
      <c r="C1127" s="5" t="n"/>
      <c r="D1127" s="5" t="n"/>
      <c r="E1127" s="4">
        <f>IF(C1127="","",COUNTIF($C$7:C1127,C1127))</f>
        <v/>
      </c>
      <c r="F1127" s="4">
        <f>IF(E1127="","",IF(E1127&lt;=3,6,IF(E1127&lt;=6,5,IF(E1127&lt;=9,4,IF(E1127&lt;=12,3,IF(E1127&lt;=15,2,0))))))</f>
        <v/>
      </c>
      <c r="G1127" s="5" t="n"/>
      <c r="H1127" s="4">
        <f>IF(OR(F1127="",G1127=""),"",F1127*G1127+IF(J1127="",0,J1127))</f>
        <v/>
      </c>
      <c r="I1127" s="5" t="n"/>
      <c r="J1127" s="5" t="n"/>
    </row>
    <row r="1128">
      <c r="A1128" s="5" t="n"/>
      <c r="B1128" s="5" t="n"/>
      <c r="C1128" s="5" t="n"/>
      <c r="D1128" s="5" t="n"/>
      <c r="E1128" s="4">
        <f>IF(C1128="","",COUNTIF($C$7:C1128,C1128))</f>
        <v/>
      </c>
      <c r="F1128" s="4">
        <f>IF(E1128="","",IF(E1128&lt;=3,6,IF(E1128&lt;=6,5,IF(E1128&lt;=9,4,IF(E1128&lt;=12,3,IF(E1128&lt;=15,2,0))))))</f>
        <v/>
      </c>
      <c r="G1128" s="5" t="n"/>
      <c r="H1128" s="4">
        <f>IF(OR(F1128="",G1128=""),"",F1128*G1128+IF(J1128="",0,J1128))</f>
        <v/>
      </c>
      <c r="I1128" s="5" t="n"/>
      <c r="J1128" s="5" t="n"/>
    </row>
    <row r="1129">
      <c r="A1129" s="5" t="n"/>
      <c r="B1129" s="5" t="n"/>
      <c r="C1129" s="5" t="n"/>
      <c r="D1129" s="5" t="n"/>
      <c r="E1129" s="4">
        <f>IF(C1129="","",COUNTIF($C$7:C1129,C1129))</f>
        <v/>
      </c>
      <c r="F1129" s="4">
        <f>IF(E1129="","",IF(E1129&lt;=3,6,IF(E1129&lt;=6,5,IF(E1129&lt;=9,4,IF(E1129&lt;=12,3,IF(E1129&lt;=15,2,0))))))</f>
        <v/>
      </c>
      <c r="G1129" s="5" t="n"/>
      <c r="H1129" s="4">
        <f>IF(OR(F1129="",G1129=""),"",F1129*G1129+IF(J1129="",0,J1129))</f>
        <v/>
      </c>
      <c r="I1129" s="5" t="n"/>
      <c r="J1129" s="5" t="n"/>
    </row>
    <row r="1130">
      <c r="A1130" s="5" t="n"/>
      <c r="B1130" s="5" t="n"/>
      <c r="C1130" s="5" t="n"/>
      <c r="D1130" s="5" t="n"/>
      <c r="E1130" s="4">
        <f>IF(C1130="","",COUNTIF($C$7:C1130,C1130))</f>
        <v/>
      </c>
      <c r="F1130" s="4">
        <f>IF(E1130="","",IF(E1130&lt;=3,6,IF(E1130&lt;=6,5,IF(E1130&lt;=9,4,IF(E1130&lt;=12,3,IF(E1130&lt;=15,2,0))))))</f>
        <v/>
      </c>
      <c r="G1130" s="5" t="n"/>
      <c r="H1130" s="4">
        <f>IF(OR(F1130="",G1130=""),"",F1130*G1130+IF(J1130="",0,J1130))</f>
        <v/>
      </c>
      <c r="I1130" s="5" t="n"/>
      <c r="J1130" s="5" t="n"/>
    </row>
    <row r="1131">
      <c r="A1131" s="5" t="n"/>
      <c r="B1131" s="5" t="n"/>
      <c r="C1131" s="5" t="n"/>
      <c r="D1131" s="5" t="n"/>
      <c r="E1131" s="4">
        <f>IF(C1131="","",COUNTIF($C$7:C1131,C1131))</f>
        <v/>
      </c>
      <c r="F1131" s="4">
        <f>IF(E1131="","",IF(E1131&lt;=3,6,IF(E1131&lt;=6,5,IF(E1131&lt;=9,4,IF(E1131&lt;=12,3,IF(E1131&lt;=15,2,0))))))</f>
        <v/>
      </c>
      <c r="G1131" s="5" t="n"/>
      <c r="H1131" s="4">
        <f>IF(OR(F1131="",G1131=""),"",F1131*G1131+IF(J1131="",0,J1131))</f>
        <v/>
      </c>
      <c r="I1131" s="5" t="n"/>
      <c r="J1131" s="5" t="n"/>
    </row>
    <row r="1132">
      <c r="A1132" s="5" t="n"/>
      <c r="B1132" s="5" t="n"/>
      <c r="C1132" s="5" t="n"/>
      <c r="D1132" s="5" t="n"/>
      <c r="E1132" s="4">
        <f>IF(C1132="","",COUNTIF($C$7:C1132,C1132))</f>
        <v/>
      </c>
      <c r="F1132" s="4">
        <f>IF(E1132="","",IF(E1132&lt;=3,6,IF(E1132&lt;=6,5,IF(E1132&lt;=9,4,IF(E1132&lt;=12,3,IF(E1132&lt;=15,2,0))))))</f>
        <v/>
      </c>
      <c r="G1132" s="5" t="n"/>
      <c r="H1132" s="4">
        <f>IF(OR(F1132="",G1132=""),"",F1132*G1132+IF(J1132="",0,J1132))</f>
        <v/>
      </c>
      <c r="I1132" s="5" t="n"/>
      <c r="J1132" s="5" t="n"/>
    </row>
    <row r="1133">
      <c r="A1133" s="5" t="n"/>
      <c r="B1133" s="5" t="n"/>
      <c r="C1133" s="5" t="n"/>
      <c r="D1133" s="5" t="n"/>
      <c r="E1133" s="4">
        <f>IF(C1133="","",COUNTIF($C$7:C1133,C1133))</f>
        <v/>
      </c>
      <c r="F1133" s="4">
        <f>IF(E1133="","",IF(E1133&lt;=3,6,IF(E1133&lt;=6,5,IF(E1133&lt;=9,4,IF(E1133&lt;=12,3,IF(E1133&lt;=15,2,0))))))</f>
        <v/>
      </c>
      <c r="G1133" s="5" t="n"/>
      <c r="H1133" s="4">
        <f>IF(OR(F1133="",G1133=""),"",F1133*G1133+IF(J1133="",0,J1133))</f>
        <v/>
      </c>
      <c r="I1133" s="5" t="n"/>
      <c r="J1133" s="5" t="n"/>
    </row>
    <row r="1134">
      <c r="A1134" s="5" t="n"/>
      <c r="B1134" s="5" t="n"/>
      <c r="C1134" s="5" t="n"/>
      <c r="D1134" s="5" t="n"/>
      <c r="E1134" s="4">
        <f>IF(C1134="","",COUNTIF($C$7:C1134,C1134))</f>
        <v/>
      </c>
      <c r="F1134" s="4">
        <f>IF(E1134="","",IF(E1134&lt;=3,6,IF(E1134&lt;=6,5,IF(E1134&lt;=9,4,IF(E1134&lt;=12,3,IF(E1134&lt;=15,2,0))))))</f>
        <v/>
      </c>
      <c r="G1134" s="5" t="n"/>
      <c r="H1134" s="4">
        <f>IF(OR(F1134="",G1134=""),"",F1134*G1134+IF(J1134="",0,J1134))</f>
        <v/>
      </c>
      <c r="I1134" s="5" t="n"/>
      <c r="J1134" s="5" t="n"/>
    </row>
    <row r="1135">
      <c r="A1135" s="5" t="n"/>
      <c r="B1135" s="5" t="n"/>
      <c r="C1135" s="5" t="n"/>
      <c r="D1135" s="5" t="n"/>
      <c r="E1135" s="4">
        <f>IF(C1135="","",COUNTIF($C$7:C1135,C1135))</f>
        <v/>
      </c>
      <c r="F1135" s="4">
        <f>IF(E1135="","",IF(E1135&lt;=3,6,IF(E1135&lt;=6,5,IF(E1135&lt;=9,4,IF(E1135&lt;=12,3,IF(E1135&lt;=15,2,0))))))</f>
        <v/>
      </c>
      <c r="G1135" s="5" t="n"/>
      <c r="H1135" s="4">
        <f>IF(OR(F1135="",G1135=""),"",F1135*G1135+IF(J1135="",0,J1135))</f>
        <v/>
      </c>
      <c r="I1135" s="5" t="n"/>
      <c r="J1135" s="5" t="n"/>
    </row>
    <row r="1136">
      <c r="A1136" s="5" t="n"/>
      <c r="B1136" s="5" t="n"/>
      <c r="C1136" s="5" t="n"/>
      <c r="D1136" s="5" t="n"/>
      <c r="E1136" s="4">
        <f>IF(C1136="","",COUNTIF($C$7:C1136,C1136))</f>
        <v/>
      </c>
      <c r="F1136" s="4">
        <f>IF(E1136="","",IF(E1136&lt;=3,6,IF(E1136&lt;=6,5,IF(E1136&lt;=9,4,IF(E1136&lt;=12,3,IF(E1136&lt;=15,2,0))))))</f>
        <v/>
      </c>
      <c r="G1136" s="5" t="n"/>
      <c r="H1136" s="4">
        <f>IF(OR(F1136="",G1136=""),"",F1136*G1136+IF(J1136="",0,J1136))</f>
        <v/>
      </c>
      <c r="I1136" s="5" t="n"/>
      <c r="J1136" s="5" t="n"/>
    </row>
    <row r="1137">
      <c r="A1137" s="5" t="n"/>
      <c r="B1137" s="5" t="n"/>
      <c r="C1137" s="5" t="n"/>
      <c r="D1137" s="5" t="n"/>
      <c r="E1137" s="4">
        <f>IF(C1137="","",COUNTIF($C$7:C1137,C1137))</f>
        <v/>
      </c>
      <c r="F1137" s="4">
        <f>IF(E1137="","",IF(E1137&lt;=3,6,IF(E1137&lt;=6,5,IF(E1137&lt;=9,4,IF(E1137&lt;=12,3,IF(E1137&lt;=15,2,0))))))</f>
        <v/>
      </c>
      <c r="G1137" s="5" t="n"/>
      <c r="H1137" s="4">
        <f>IF(OR(F1137="",G1137=""),"",F1137*G1137+IF(J1137="",0,J1137))</f>
        <v/>
      </c>
      <c r="I1137" s="5" t="n"/>
      <c r="J1137" s="5" t="n"/>
    </row>
    <row r="1138">
      <c r="A1138" s="5" t="n"/>
      <c r="B1138" s="5" t="n"/>
      <c r="C1138" s="5" t="n"/>
      <c r="D1138" s="5" t="n"/>
      <c r="E1138" s="4">
        <f>IF(C1138="","",COUNTIF($C$7:C1138,C1138))</f>
        <v/>
      </c>
      <c r="F1138" s="4">
        <f>IF(E1138="","",IF(E1138&lt;=3,6,IF(E1138&lt;=6,5,IF(E1138&lt;=9,4,IF(E1138&lt;=12,3,IF(E1138&lt;=15,2,0))))))</f>
        <v/>
      </c>
      <c r="G1138" s="5" t="n"/>
      <c r="H1138" s="4">
        <f>IF(OR(F1138="",G1138=""),"",F1138*G1138+IF(J1138="",0,J1138))</f>
        <v/>
      </c>
      <c r="I1138" s="5" t="n"/>
      <c r="J1138" s="5" t="n"/>
    </row>
    <row r="1139">
      <c r="A1139" s="5" t="n"/>
      <c r="B1139" s="5" t="n"/>
      <c r="C1139" s="5" t="n"/>
      <c r="D1139" s="5" t="n"/>
      <c r="E1139" s="4">
        <f>IF(C1139="","",COUNTIF($C$7:C1139,C1139))</f>
        <v/>
      </c>
      <c r="F1139" s="4">
        <f>IF(E1139="","",IF(E1139&lt;=3,6,IF(E1139&lt;=6,5,IF(E1139&lt;=9,4,IF(E1139&lt;=12,3,IF(E1139&lt;=15,2,0))))))</f>
        <v/>
      </c>
      <c r="G1139" s="5" t="n"/>
      <c r="H1139" s="4">
        <f>IF(OR(F1139="",G1139=""),"",F1139*G1139+IF(J1139="",0,J1139))</f>
        <v/>
      </c>
      <c r="I1139" s="5" t="n"/>
      <c r="J1139" s="5" t="n"/>
    </row>
    <row r="1140">
      <c r="A1140" s="5" t="n"/>
      <c r="B1140" s="5" t="n"/>
      <c r="C1140" s="5" t="n"/>
      <c r="D1140" s="5" t="n"/>
      <c r="E1140" s="4">
        <f>IF(C1140="","",COUNTIF($C$7:C1140,C1140))</f>
        <v/>
      </c>
      <c r="F1140" s="4">
        <f>IF(E1140="","",IF(E1140&lt;=3,6,IF(E1140&lt;=6,5,IF(E1140&lt;=9,4,IF(E1140&lt;=12,3,IF(E1140&lt;=15,2,0))))))</f>
        <v/>
      </c>
      <c r="G1140" s="5" t="n"/>
      <c r="H1140" s="4">
        <f>IF(OR(F1140="",G1140=""),"",F1140*G1140+IF(J1140="",0,J1140))</f>
        <v/>
      </c>
      <c r="I1140" s="5" t="n"/>
      <c r="J1140" s="5" t="n"/>
    </row>
    <row r="1141">
      <c r="A1141" s="5" t="n"/>
      <c r="B1141" s="5" t="n"/>
      <c r="C1141" s="5" t="n"/>
      <c r="D1141" s="5" t="n"/>
      <c r="E1141" s="4">
        <f>IF(C1141="","",COUNTIF($C$7:C1141,C1141))</f>
        <v/>
      </c>
      <c r="F1141" s="4">
        <f>IF(E1141="","",IF(E1141&lt;=3,6,IF(E1141&lt;=6,5,IF(E1141&lt;=9,4,IF(E1141&lt;=12,3,IF(E1141&lt;=15,2,0))))))</f>
        <v/>
      </c>
      <c r="G1141" s="5" t="n"/>
      <c r="H1141" s="4">
        <f>IF(OR(F1141="",G1141=""),"",F1141*G1141+IF(J1141="",0,J1141))</f>
        <v/>
      </c>
      <c r="I1141" s="5" t="n"/>
      <c r="J1141" s="5" t="n"/>
    </row>
    <row r="1142">
      <c r="A1142" s="5" t="n"/>
      <c r="B1142" s="5" t="n"/>
      <c r="C1142" s="5" t="n"/>
      <c r="D1142" s="5" t="n"/>
      <c r="E1142" s="4">
        <f>IF(C1142="","",COUNTIF($C$7:C1142,C1142))</f>
        <v/>
      </c>
      <c r="F1142" s="4">
        <f>IF(E1142="","",IF(E1142&lt;=3,6,IF(E1142&lt;=6,5,IF(E1142&lt;=9,4,IF(E1142&lt;=12,3,IF(E1142&lt;=15,2,0))))))</f>
        <v/>
      </c>
      <c r="G1142" s="5" t="n"/>
      <c r="H1142" s="4">
        <f>IF(OR(F1142="",G1142=""),"",F1142*G1142+IF(J1142="",0,J1142))</f>
        <v/>
      </c>
      <c r="I1142" s="5" t="n"/>
      <c r="J1142" s="5" t="n"/>
    </row>
    <row r="1143">
      <c r="A1143" s="5" t="n"/>
      <c r="B1143" s="5" t="n"/>
      <c r="C1143" s="5" t="n"/>
      <c r="D1143" s="5" t="n"/>
      <c r="E1143" s="4">
        <f>IF(C1143="","",COUNTIF($C$7:C1143,C1143))</f>
        <v/>
      </c>
      <c r="F1143" s="4">
        <f>IF(E1143="","",IF(E1143&lt;=3,6,IF(E1143&lt;=6,5,IF(E1143&lt;=9,4,IF(E1143&lt;=12,3,IF(E1143&lt;=15,2,0))))))</f>
        <v/>
      </c>
      <c r="G1143" s="5" t="n"/>
      <c r="H1143" s="4">
        <f>IF(OR(F1143="",G1143=""),"",F1143*G1143+IF(J1143="",0,J1143))</f>
        <v/>
      </c>
      <c r="I1143" s="5" t="n"/>
      <c r="J1143" s="5" t="n"/>
    </row>
    <row r="1144">
      <c r="A1144" s="5" t="n"/>
      <c r="B1144" s="5" t="n"/>
      <c r="C1144" s="5" t="n"/>
      <c r="D1144" s="5" t="n"/>
      <c r="E1144" s="4">
        <f>IF(C1144="","",COUNTIF($C$7:C1144,C1144))</f>
        <v/>
      </c>
      <c r="F1144" s="4">
        <f>IF(E1144="","",IF(E1144&lt;=3,6,IF(E1144&lt;=6,5,IF(E1144&lt;=9,4,IF(E1144&lt;=12,3,IF(E1144&lt;=15,2,0))))))</f>
        <v/>
      </c>
      <c r="G1144" s="5" t="n"/>
      <c r="H1144" s="4">
        <f>IF(OR(F1144="",G1144=""),"",F1144*G1144+IF(J1144="",0,J1144))</f>
        <v/>
      </c>
      <c r="I1144" s="5" t="n"/>
      <c r="J1144" s="5" t="n"/>
    </row>
    <row r="1145">
      <c r="A1145" s="5" t="n"/>
      <c r="B1145" s="5" t="n"/>
      <c r="C1145" s="5" t="n"/>
      <c r="D1145" s="5" t="n"/>
      <c r="E1145" s="4">
        <f>IF(C1145="","",COUNTIF($C$7:C1145,C1145))</f>
        <v/>
      </c>
      <c r="F1145" s="4">
        <f>IF(E1145="","",IF(E1145&lt;=3,6,IF(E1145&lt;=6,5,IF(E1145&lt;=9,4,IF(E1145&lt;=12,3,IF(E1145&lt;=15,2,0))))))</f>
        <v/>
      </c>
      <c r="G1145" s="5" t="n"/>
      <c r="H1145" s="4">
        <f>IF(OR(F1145="",G1145=""),"",F1145*G1145+IF(J1145="",0,J1145))</f>
        <v/>
      </c>
      <c r="I1145" s="5" t="n"/>
      <c r="J1145" s="5" t="n"/>
    </row>
    <row r="1146">
      <c r="A1146" s="5" t="n"/>
      <c r="B1146" s="5" t="n"/>
      <c r="C1146" s="5" t="n"/>
      <c r="D1146" s="5" t="n"/>
      <c r="E1146" s="4">
        <f>IF(C1146="","",COUNTIF($C$7:C1146,C1146))</f>
        <v/>
      </c>
      <c r="F1146" s="4">
        <f>IF(E1146="","",IF(E1146&lt;=3,6,IF(E1146&lt;=6,5,IF(E1146&lt;=9,4,IF(E1146&lt;=12,3,IF(E1146&lt;=15,2,0))))))</f>
        <v/>
      </c>
      <c r="G1146" s="5" t="n"/>
      <c r="H1146" s="4">
        <f>IF(OR(F1146="",G1146=""),"",F1146*G1146+IF(J1146="",0,J1146))</f>
        <v/>
      </c>
      <c r="I1146" s="5" t="n"/>
      <c r="J1146" s="5" t="n"/>
    </row>
    <row r="1147">
      <c r="A1147" s="5" t="n"/>
      <c r="B1147" s="5" t="n"/>
      <c r="C1147" s="5" t="n"/>
      <c r="D1147" s="5" t="n"/>
      <c r="E1147" s="4">
        <f>IF(C1147="","",COUNTIF($C$7:C1147,C1147))</f>
        <v/>
      </c>
      <c r="F1147" s="4">
        <f>IF(E1147="","",IF(E1147&lt;=3,6,IF(E1147&lt;=6,5,IF(E1147&lt;=9,4,IF(E1147&lt;=12,3,IF(E1147&lt;=15,2,0))))))</f>
        <v/>
      </c>
      <c r="G1147" s="5" t="n"/>
      <c r="H1147" s="4">
        <f>IF(OR(F1147="",G1147=""),"",F1147*G1147+IF(J1147="",0,J1147))</f>
        <v/>
      </c>
      <c r="I1147" s="5" t="n"/>
      <c r="J1147" s="5" t="n"/>
    </row>
    <row r="1148">
      <c r="A1148" s="5" t="n"/>
      <c r="B1148" s="5" t="n"/>
      <c r="C1148" s="5" t="n"/>
      <c r="D1148" s="5" t="n"/>
      <c r="E1148" s="4">
        <f>IF(C1148="","",COUNTIF($C$7:C1148,C1148))</f>
        <v/>
      </c>
      <c r="F1148" s="4">
        <f>IF(E1148="","",IF(E1148&lt;=3,6,IF(E1148&lt;=6,5,IF(E1148&lt;=9,4,IF(E1148&lt;=12,3,IF(E1148&lt;=15,2,0))))))</f>
        <v/>
      </c>
      <c r="G1148" s="5" t="n"/>
      <c r="H1148" s="4">
        <f>IF(OR(F1148="",G1148=""),"",F1148*G1148+IF(J1148="",0,J1148))</f>
        <v/>
      </c>
      <c r="I1148" s="5" t="n"/>
      <c r="J1148" s="5" t="n"/>
    </row>
    <row r="1149">
      <c r="A1149" s="5" t="n"/>
      <c r="B1149" s="5" t="n"/>
      <c r="C1149" s="5" t="n"/>
      <c r="D1149" s="5" t="n"/>
      <c r="E1149" s="4">
        <f>IF(C1149="","",COUNTIF($C$7:C1149,C1149))</f>
        <v/>
      </c>
      <c r="F1149" s="4">
        <f>IF(E1149="","",IF(E1149&lt;=3,6,IF(E1149&lt;=6,5,IF(E1149&lt;=9,4,IF(E1149&lt;=12,3,IF(E1149&lt;=15,2,0))))))</f>
        <v/>
      </c>
      <c r="G1149" s="5" t="n"/>
      <c r="H1149" s="4">
        <f>IF(OR(F1149="",G1149=""),"",F1149*G1149+IF(J1149="",0,J1149))</f>
        <v/>
      </c>
      <c r="I1149" s="5" t="n"/>
      <c r="J1149" s="5" t="n"/>
    </row>
    <row r="1150">
      <c r="A1150" s="5" t="n"/>
      <c r="B1150" s="5" t="n"/>
      <c r="C1150" s="5" t="n"/>
      <c r="D1150" s="5" t="n"/>
      <c r="E1150" s="4">
        <f>IF(C1150="","",COUNTIF($C$7:C1150,C1150))</f>
        <v/>
      </c>
      <c r="F1150" s="4">
        <f>IF(E1150="","",IF(E1150&lt;=3,6,IF(E1150&lt;=6,5,IF(E1150&lt;=9,4,IF(E1150&lt;=12,3,IF(E1150&lt;=15,2,0))))))</f>
        <v/>
      </c>
      <c r="G1150" s="5" t="n"/>
      <c r="H1150" s="4">
        <f>IF(OR(F1150="",G1150=""),"",F1150*G1150+IF(J1150="",0,J1150))</f>
        <v/>
      </c>
      <c r="I1150" s="5" t="n"/>
      <c r="J1150" s="5" t="n"/>
    </row>
    <row r="1151">
      <c r="A1151" s="5" t="n"/>
      <c r="B1151" s="5" t="n"/>
      <c r="C1151" s="5" t="n"/>
      <c r="D1151" s="5" t="n"/>
      <c r="E1151" s="4">
        <f>IF(C1151="","",COUNTIF($C$7:C1151,C1151))</f>
        <v/>
      </c>
      <c r="F1151" s="4">
        <f>IF(E1151="","",IF(E1151&lt;=3,6,IF(E1151&lt;=6,5,IF(E1151&lt;=9,4,IF(E1151&lt;=12,3,IF(E1151&lt;=15,2,0))))))</f>
        <v/>
      </c>
      <c r="G1151" s="5" t="n"/>
      <c r="H1151" s="4">
        <f>IF(OR(F1151="",G1151=""),"",F1151*G1151+IF(J1151="",0,J1151))</f>
        <v/>
      </c>
      <c r="I1151" s="5" t="n"/>
      <c r="J1151" s="5" t="n"/>
    </row>
    <row r="1152">
      <c r="A1152" s="5" t="n"/>
      <c r="B1152" s="5" t="n"/>
      <c r="C1152" s="5" t="n"/>
      <c r="D1152" s="5" t="n"/>
      <c r="E1152" s="4">
        <f>IF(C1152="","",COUNTIF($C$7:C1152,C1152))</f>
        <v/>
      </c>
      <c r="F1152" s="4">
        <f>IF(E1152="","",IF(E1152&lt;=3,6,IF(E1152&lt;=6,5,IF(E1152&lt;=9,4,IF(E1152&lt;=12,3,IF(E1152&lt;=15,2,0))))))</f>
        <v/>
      </c>
      <c r="G1152" s="5" t="n"/>
      <c r="H1152" s="4">
        <f>IF(OR(F1152="",G1152=""),"",F1152*G1152+IF(J1152="",0,J1152))</f>
        <v/>
      </c>
      <c r="I1152" s="5" t="n"/>
      <c r="J1152" s="5" t="n"/>
    </row>
    <row r="1153">
      <c r="A1153" s="5" t="n"/>
      <c r="B1153" s="5" t="n"/>
      <c r="C1153" s="5" t="n"/>
      <c r="D1153" s="5" t="n"/>
      <c r="E1153" s="4">
        <f>IF(C1153="","",COUNTIF($C$7:C1153,C1153))</f>
        <v/>
      </c>
      <c r="F1153" s="4">
        <f>IF(E1153="","",IF(E1153&lt;=3,6,IF(E1153&lt;=6,5,IF(E1153&lt;=9,4,IF(E1153&lt;=12,3,IF(E1153&lt;=15,2,0))))))</f>
        <v/>
      </c>
      <c r="G1153" s="5" t="n"/>
      <c r="H1153" s="4">
        <f>IF(OR(F1153="",G1153=""),"",F1153*G1153+IF(J1153="",0,J1153))</f>
        <v/>
      </c>
      <c r="I1153" s="5" t="n"/>
      <c r="J1153" s="5" t="n"/>
    </row>
    <row r="1154">
      <c r="A1154" s="5" t="n"/>
      <c r="B1154" s="5" t="n"/>
      <c r="C1154" s="5" t="n"/>
      <c r="D1154" s="5" t="n"/>
      <c r="E1154" s="4">
        <f>IF(C1154="","",COUNTIF($C$7:C1154,C1154))</f>
        <v/>
      </c>
      <c r="F1154" s="4">
        <f>IF(E1154="","",IF(E1154&lt;=3,6,IF(E1154&lt;=6,5,IF(E1154&lt;=9,4,IF(E1154&lt;=12,3,IF(E1154&lt;=15,2,0))))))</f>
        <v/>
      </c>
      <c r="G1154" s="5" t="n"/>
      <c r="H1154" s="4">
        <f>IF(OR(F1154="",G1154=""),"",F1154*G1154+IF(J1154="",0,J1154))</f>
        <v/>
      </c>
      <c r="I1154" s="5" t="n"/>
      <c r="J1154" s="5" t="n"/>
    </row>
    <row r="1155">
      <c r="A1155" s="5" t="n"/>
      <c r="B1155" s="5" t="n"/>
      <c r="C1155" s="5" t="n"/>
      <c r="D1155" s="5" t="n"/>
      <c r="E1155" s="4">
        <f>IF(C1155="","",COUNTIF($C$7:C1155,C1155))</f>
        <v/>
      </c>
      <c r="F1155" s="4">
        <f>IF(E1155="","",IF(E1155&lt;=3,6,IF(E1155&lt;=6,5,IF(E1155&lt;=9,4,IF(E1155&lt;=12,3,IF(E1155&lt;=15,2,0))))))</f>
        <v/>
      </c>
      <c r="G1155" s="5" t="n"/>
      <c r="H1155" s="4">
        <f>IF(OR(F1155="",G1155=""),"",F1155*G1155+IF(J1155="",0,J1155))</f>
        <v/>
      </c>
      <c r="I1155" s="5" t="n"/>
      <c r="J1155" s="5" t="n"/>
    </row>
    <row r="1156">
      <c r="A1156" s="5" t="n"/>
      <c r="B1156" s="5" t="n"/>
      <c r="C1156" s="5" t="n"/>
      <c r="D1156" s="5" t="n"/>
      <c r="E1156" s="4">
        <f>IF(C1156="","",COUNTIF($C$7:C1156,C1156))</f>
        <v/>
      </c>
      <c r="F1156" s="4">
        <f>IF(E1156="","",IF(E1156&lt;=3,6,IF(E1156&lt;=6,5,IF(E1156&lt;=9,4,IF(E1156&lt;=12,3,IF(E1156&lt;=15,2,0))))))</f>
        <v/>
      </c>
      <c r="G1156" s="5" t="n"/>
      <c r="H1156" s="4">
        <f>IF(OR(F1156="",G1156=""),"",F1156*G1156+IF(J1156="",0,J1156))</f>
        <v/>
      </c>
      <c r="I1156" s="5" t="n"/>
      <c r="J1156" s="5" t="n"/>
    </row>
    <row r="1157">
      <c r="A1157" s="5" t="n"/>
      <c r="B1157" s="5" t="n"/>
      <c r="C1157" s="5" t="n"/>
      <c r="D1157" s="5" t="n"/>
      <c r="E1157" s="4">
        <f>IF(C1157="","",COUNTIF($C$7:C1157,C1157))</f>
        <v/>
      </c>
      <c r="F1157" s="4">
        <f>IF(E1157="","",IF(E1157&lt;=3,6,IF(E1157&lt;=6,5,IF(E1157&lt;=9,4,IF(E1157&lt;=12,3,IF(E1157&lt;=15,2,0))))))</f>
        <v/>
      </c>
      <c r="G1157" s="5" t="n"/>
      <c r="H1157" s="4">
        <f>IF(OR(F1157="",G1157=""),"",F1157*G1157+IF(J1157="",0,J1157))</f>
        <v/>
      </c>
      <c r="I1157" s="5" t="n"/>
      <c r="J1157" s="5" t="n"/>
    </row>
    <row r="1158">
      <c r="A1158" s="5" t="n"/>
      <c r="B1158" s="5" t="n"/>
      <c r="C1158" s="5" t="n"/>
      <c r="D1158" s="5" t="n"/>
      <c r="E1158" s="4">
        <f>IF(C1158="","",COUNTIF($C$7:C1158,C1158))</f>
        <v/>
      </c>
      <c r="F1158" s="4">
        <f>IF(E1158="","",IF(E1158&lt;=3,6,IF(E1158&lt;=6,5,IF(E1158&lt;=9,4,IF(E1158&lt;=12,3,IF(E1158&lt;=15,2,0))))))</f>
        <v/>
      </c>
      <c r="G1158" s="5" t="n"/>
      <c r="H1158" s="4">
        <f>IF(OR(F1158="",G1158=""),"",F1158*G1158+IF(J1158="",0,J1158))</f>
        <v/>
      </c>
      <c r="I1158" s="5" t="n"/>
      <c r="J1158" s="5" t="n"/>
    </row>
    <row r="1159">
      <c r="A1159" s="5" t="n"/>
      <c r="B1159" s="5" t="n"/>
      <c r="C1159" s="5" t="n"/>
      <c r="D1159" s="5" t="n"/>
      <c r="E1159" s="4">
        <f>IF(C1159="","",COUNTIF($C$7:C1159,C1159))</f>
        <v/>
      </c>
      <c r="F1159" s="4">
        <f>IF(E1159="","",IF(E1159&lt;=3,6,IF(E1159&lt;=6,5,IF(E1159&lt;=9,4,IF(E1159&lt;=12,3,IF(E1159&lt;=15,2,0))))))</f>
        <v/>
      </c>
      <c r="G1159" s="5" t="n"/>
      <c r="H1159" s="4">
        <f>IF(OR(F1159="",G1159=""),"",F1159*G1159+IF(J1159="",0,J1159))</f>
        <v/>
      </c>
      <c r="I1159" s="5" t="n"/>
      <c r="J1159" s="5" t="n"/>
    </row>
    <row r="1160">
      <c r="A1160" s="5" t="n"/>
      <c r="B1160" s="5" t="n"/>
      <c r="C1160" s="5" t="n"/>
      <c r="D1160" s="5" t="n"/>
      <c r="E1160" s="4">
        <f>IF(C1160="","",COUNTIF($C$7:C1160,C1160))</f>
        <v/>
      </c>
      <c r="F1160" s="4">
        <f>IF(E1160="","",IF(E1160&lt;=3,6,IF(E1160&lt;=6,5,IF(E1160&lt;=9,4,IF(E1160&lt;=12,3,IF(E1160&lt;=15,2,0))))))</f>
        <v/>
      </c>
      <c r="G1160" s="5" t="n"/>
      <c r="H1160" s="4">
        <f>IF(OR(F1160="",G1160=""),"",F1160*G1160+IF(J1160="",0,J1160))</f>
        <v/>
      </c>
      <c r="I1160" s="5" t="n"/>
      <c r="J1160" s="5" t="n"/>
    </row>
    <row r="1161">
      <c r="A1161" s="5" t="n"/>
      <c r="B1161" s="5" t="n"/>
      <c r="C1161" s="5" t="n"/>
      <c r="D1161" s="5" t="n"/>
      <c r="E1161" s="4">
        <f>IF(C1161="","",COUNTIF($C$7:C1161,C1161))</f>
        <v/>
      </c>
      <c r="F1161" s="4">
        <f>IF(E1161="","",IF(E1161&lt;=3,6,IF(E1161&lt;=6,5,IF(E1161&lt;=9,4,IF(E1161&lt;=12,3,IF(E1161&lt;=15,2,0))))))</f>
        <v/>
      </c>
      <c r="G1161" s="5" t="n"/>
      <c r="H1161" s="4">
        <f>IF(OR(F1161="",G1161=""),"",F1161*G1161+IF(J1161="",0,J1161))</f>
        <v/>
      </c>
      <c r="I1161" s="5" t="n"/>
      <c r="J1161" s="5" t="n"/>
    </row>
    <row r="1162">
      <c r="A1162" s="5" t="n"/>
      <c r="B1162" s="5" t="n"/>
      <c r="C1162" s="5" t="n"/>
      <c r="D1162" s="5" t="n"/>
      <c r="E1162" s="4">
        <f>IF(C1162="","",COUNTIF($C$7:C1162,C1162))</f>
        <v/>
      </c>
      <c r="F1162" s="4">
        <f>IF(E1162="","",IF(E1162&lt;=3,6,IF(E1162&lt;=6,5,IF(E1162&lt;=9,4,IF(E1162&lt;=12,3,IF(E1162&lt;=15,2,0))))))</f>
        <v/>
      </c>
      <c r="G1162" s="5" t="n"/>
      <c r="H1162" s="4">
        <f>IF(OR(F1162="",G1162=""),"",F1162*G1162+IF(J1162="",0,J1162))</f>
        <v/>
      </c>
      <c r="I1162" s="5" t="n"/>
      <c r="J1162" s="5" t="n"/>
    </row>
    <row r="1163">
      <c r="A1163" s="5" t="n"/>
      <c r="B1163" s="5" t="n"/>
      <c r="C1163" s="5" t="n"/>
      <c r="D1163" s="5" t="n"/>
      <c r="E1163" s="4">
        <f>IF(C1163="","",COUNTIF($C$7:C1163,C1163))</f>
        <v/>
      </c>
      <c r="F1163" s="4">
        <f>IF(E1163="","",IF(E1163&lt;=3,6,IF(E1163&lt;=6,5,IF(E1163&lt;=9,4,IF(E1163&lt;=12,3,IF(E1163&lt;=15,2,0))))))</f>
        <v/>
      </c>
      <c r="G1163" s="5" t="n"/>
      <c r="H1163" s="4">
        <f>IF(OR(F1163="",G1163=""),"",F1163*G1163+IF(J1163="",0,J1163))</f>
        <v/>
      </c>
      <c r="I1163" s="5" t="n"/>
      <c r="J1163" s="5" t="n"/>
    </row>
    <row r="1164">
      <c r="A1164" s="5" t="n"/>
      <c r="B1164" s="5" t="n"/>
      <c r="C1164" s="5" t="n"/>
      <c r="D1164" s="5" t="n"/>
      <c r="E1164" s="4">
        <f>IF(C1164="","",COUNTIF($C$7:C1164,C1164))</f>
        <v/>
      </c>
      <c r="F1164" s="4">
        <f>IF(E1164="","",IF(E1164&lt;=3,6,IF(E1164&lt;=6,5,IF(E1164&lt;=9,4,IF(E1164&lt;=12,3,IF(E1164&lt;=15,2,0))))))</f>
        <v/>
      </c>
      <c r="G1164" s="5" t="n"/>
      <c r="H1164" s="4">
        <f>IF(OR(F1164="",G1164=""),"",F1164*G1164+IF(J1164="",0,J1164))</f>
        <v/>
      </c>
      <c r="I1164" s="5" t="n"/>
      <c r="J1164" s="5" t="n"/>
    </row>
    <row r="1165">
      <c r="A1165" s="5" t="n"/>
      <c r="B1165" s="5" t="n"/>
      <c r="C1165" s="5" t="n"/>
      <c r="D1165" s="5" t="n"/>
      <c r="E1165" s="4">
        <f>IF(C1165="","",COUNTIF($C$7:C1165,C1165))</f>
        <v/>
      </c>
      <c r="F1165" s="4">
        <f>IF(E1165="","",IF(E1165&lt;=3,6,IF(E1165&lt;=6,5,IF(E1165&lt;=9,4,IF(E1165&lt;=12,3,IF(E1165&lt;=15,2,0))))))</f>
        <v/>
      </c>
      <c r="G1165" s="5" t="n"/>
      <c r="H1165" s="4">
        <f>IF(OR(F1165="",G1165=""),"",F1165*G1165+IF(J1165="",0,J1165))</f>
        <v/>
      </c>
      <c r="I1165" s="5" t="n"/>
      <c r="J1165" s="5" t="n"/>
    </row>
    <row r="1166">
      <c r="A1166" s="5" t="n"/>
      <c r="B1166" s="5" t="n"/>
      <c r="C1166" s="5" t="n"/>
      <c r="D1166" s="5" t="n"/>
      <c r="E1166" s="4">
        <f>IF(C1166="","",COUNTIF($C$7:C1166,C1166))</f>
        <v/>
      </c>
      <c r="F1166" s="4">
        <f>IF(E1166="","",IF(E1166&lt;=3,6,IF(E1166&lt;=6,5,IF(E1166&lt;=9,4,IF(E1166&lt;=12,3,IF(E1166&lt;=15,2,0))))))</f>
        <v/>
      </c>
      <c r="G1166" s="5" t="n"/>
      <c r="H1166" s="4">
        <f>IF(OR(F1166="",G1166=""),"",F1166*G1166+IF(J1166="",0,J1166))</f>
        <v/>
      </c>
      <c r="I1166" s="5" t="n"/>
      <c r="J1166" s="5" t="n"/>
    </row>
    <row r="1167">
      <c r="A1167" s="5" t="n"/>
      <c r="B1167" s="5" t="n"/>
      <c r="C1167" s="5" t="n"/>
      <c r="D1167" s="5" t="n"/>
      <c r="E1167" s="4">
        <f>IF(C1167="","",COUNTIF($C$7:C1167,C1167))</f>
        <v/>
      </c>
      <c r="F1167" s="4">
        <f>IF(E1167="","",IF(E1167&lt;=3,6,IF(E1167&lt;=6,5,IF(E1167&lt;=9,4,IF(E1167&lt;=12,3,IF(E1167&lt;=15,2,0))))))</f>
        <v/>
      </c>
      <c r="G1167" s="5" t="n"/>
      <c r="H1167" s="4">
        <f>IF(OR(F1167="",G1167=""),"",F1167*G1167+IF(J1167="",0,J1167))</f>
        <v/>
      </c>
      <c r="I1167" s="5" t="n"/>
      <c r="J1167" s="5" t="n"/>
    </row>
    <row r="1168">
      <c r="A1168" s="5" t="n"/>
      <c r="B1168" s="5" t="n"/>
      <c r="C1168" s="5" t="n"/>
      <c r="D1168" s="5" t="n"/>
      <c r="E1168" s="4">
        <f>IF(C1168="","",COUNTIF($C$7:C1168,C1168))</f>
        <v/>
      </c>
      <c r="F1168" s="4">
        <f>IF(E1168="","",IF(E1168&lt;=3,6,IF(E1168&lt;=6,5,IF(E1168&lt;=9,4,IF(E1168&lt;=12,3,IF(E1168&lt;=15,2,0))))))</f>
        <v/>
      </c>
      <c r="G1168" s="5" t="n"/>
      <c r="H1168" s="4">
        <f>IF(OR(F1168="",G1168=""),"",F1168*G1168+IF(J1168="",0,J1168))</f>
        <v/>
      </c>
      <c r="I1168" s="5" t="n"/>
      <c r="J1168" s="5" t="n"/>
    </row>
    <row r="1169">
      <c r="A1169" s="5" t="n"/>
      <c r="B1169" s="5" t="n"/>
      <c r="C1169" s="5" t="n"/>
      <c r="D1169" s="5" t="n"/>
      <c r="E1169" s="4">
        <f>IF(C1169="","",COUNTIF($C$7:C1169,C1169))</f>
        <v/>
      </c>
      <c r="F1169" s="4">
        <f>IF(E1169="","",IF(E1169&lt;=3,6,IF(E1169&lt;=6,5,IF(E1169&lt;=9,4,IF(E1169&lt;=12,3,IF(E1169&lt;=15,2,0))))))</f>
        <v/>
      </c>
      <c r="G1169" s="5" t="n"/>
      <c r="H1169" s="4">
        <f>IF(OR(F1169="",G1169=""),"",F1169*G1169+IF(J1169="",0,J1169))</f>
        <v/>
      </c>
      <c r="I1169" s="5" t="n"/>
      <c r="J1169" s="5" t="n"/>
    </row>
    <row r="1170">
      <c r="A1170" s="5" t="n"/>
      <c r="B1170" s="5" t="n"/>
      <c r="C1170" s="5" t="n"/>
      <c r="D1170" s="5" t="n"/>
      <c r="E1170" s="4">
        <f>IF(C1170="","",COUNTIF($C$7:C1170,C1170))</f>
        <v/>
      </c>
      <c r="F1170" s="4">
        <f>IF(E1170="","",IF(E1170&lt;=3,6,IF(E1170&lt;=6,5,IF(E1170&lt;=9,4,IF(E1170&lt;=12,3,IF(E1170&lt;=15,2,0))))))</f>
        <v/>
      </c>
      <c r="G1170" s="5" t="n"/>
      <c r="H1170" s="4">
        <f>IF(OR(F1170="",G1170=""),"",F1170*G1170+IF(J1170="",0,J1170))</f>
        <v/>
      </c>
      <c r="I1170" s="5" t="n"/>
      <c r="J1170" s="5" t="n"/>
    </row>
    <row r="1171">
      <c r="A1171" s="5" t="n"/>
      <c r="B1171" s="5" t="n"/>
      <c r="C1171" s="5" t="n"/>
      <c r="D1171" s="5" t="n"/>
      <c r="E1171" s="4">
        <f>IF(C1171="","",COUNTIF($C$7:C1171,C1171))</f>
        <v/>
      </c>
      <c r="F1171" s="4">
        <f>IF(E1171="","",IF(E1171&lt;=3,6,IF(E1171&lt;=6,5,IF(E1171&lt;=9,4,IF(E1171&lt;=12,3,IF(E1171&lt;=15,2,0))))))</f>
        <v/>
      </c>
      <c r="G1171" s="5" t="n"/>
      <c r="H1171" s="4">
        <f>IF(OR(F1171="",G1171=""),"",F1171*G1171+IF(J1171="",0,J1171))</f>
        <v/>
      </c>
      <c r="I1171" s="5" t="n"/>
      <c r="J1171" s="5" t="n"/>
    </row>
    <row r="1172">
      <c r="A1172" s="5" t="n"/>
      <c r="B1172" s="5" t="n"/>
      <c r="C1172" s="5" t="n"/>
      <c r="D1172" s="5" t="n"/>
      <c r="E1172" s="4">
        <f>IF(C1172="","",COUNTIF($C$7:C1172,C1172))</f>
        <v/>
      </c>
      <c r="F1172" s="4">
        <f>IF(E1172="","",IF(E1172&lt;=3,6,IF(E1172&lt;=6,5,IF(E1172&lt;=9,4,IF(E1172&lt;=12,3,IF(E1172&lt;=15,2,0))))))</f>
        <v/>
      </c>
      <c r="G1172" s="5" t="n"/>
      <c r="H1172" s="4">
        <f>IF(OR(F1172="",G1172=""),"",F1172*G1172+IF(J1172="",0,J1172))</f>
        <v/>
      </c>
      <c r="I1172" s="5" t="n"/>
      <c r="J1172" s="5" t="n"/>
    </row>
    <row r="1173">
      <c r="A1173" s="5" t="n"/>
      <c r="B1173" s="5" t="n"/>
      <c r="C1173" s="5" t="n"/>
      <c r="D1173" s="5" t="n"/>
      <c r="E1173" s="4">
        <f>IF(C1173="","",COUNTIF($C$7:C1173,C1173))</f>
        <v/>
      </c>
      <c r="F1173" s="4">
        <f>IF(E1173="","",IF(E1173&lt;=3,6,IF(E1173&lt;=6,5,IF(E1173&lt;=9,4,IF(E1173&lt;=12,3,IF(E1173&lt;=15,2,0))))))</f>
        <v/>
      </c>
      <c r="G1173" s="5" t="n"/>
      <c r="H1173" s="4">
        <f>IF(OR(F1173="",G1173=""),"",F1173*G1173+IF(J1173="",0,J1173))</f>
        <v/>
      </c>
      <c r="I1173" s="5" t="n"/>
      <c r="J1173" s="5" t="n"/>
    </row>
    <row r="1174">
      <c r="A1174" s="5" t="n"/>
      <c r="B1174" s="5" t="n"/>
      <c r="C1174" s="5" t="n"/>
      <c r="D1174" s="5" t="n"/>
      <c r="E1174" s="4">
        <f>IF(C1174="","",COUNTIF($C$7:C1174,C1174))</f>
        <v/>
      </c>
      <c r="F1174" s="4">
        <f>IF(E1174="","",IF(E1174&lt;=3,6,IF(E1174&lt;=6,5,IF(E1174&lt;=9,4,IF(E1174&lt;=12,3,IF(E1174&lt;=15,2,0))))))</f>
        <v/>
      </c>
      <c r="G1174" s="5" t="n"/>
      <c r="H1174" s="4">
        <f>IF(OR(F1174="",G1174=""),"",F1174*G1174+IF(J1174="",0,J1174))</f>
        <v/>
      </c>
      <c r="I1174" s="5" t="n"/>
      <c r="J1174" s="5" t="n"/>
    </row>
    <row r="1175">
      <c r="A1175" s="5" t="n"/>
      <c r="B1175" s="5" t="n"/>
      <c r="C1175" s="5" t="n"/>
      <c r="D1175" s="5" t="n"/>
      <c r="E1175" s="4">
        <f>IF(C1175="","",COUNTIF($C$7:C1175,C1175))</f>
        <v/>
      </c>
      <c r="F1175" s="4">
        <f>IF(E1175="","",IF(E1175&lt;=3,6,IF(E1175&lt;=6,5,IF(E1175&lt;=9,4,IF(E1175&lt;=12,3,IF(E1175&lt;=15,2,0))))))</f>
        <v/>
      </c>
      <c r="G1175" s="5" t="n"/>
      <c r="H1175" s="4">
        <f>IF(OR(F1175="",G1175=""),"",F1175*G1175+IF(J1175="",0,J1175))</f>
        <v/>
      </c>
      <c r="I1175" s="5" t="n"/>
      <c r="J1175" s="5" t="n"/>
    </row>
    <row r="1176">
      <c r="A1176" s="5" t="n"/>
      <c r="B1176" s="5" t="n"/>
      <c r="C1176" s="5" t="n"/>
      <c r="D1176" s="5" t="n"/>
      <c r="E1176" s="4">
        <f>IF(C1176="","",COUNTIF($C$7:C1176,C1176))</f>
        <v/>
      </c>
      <c r="F1176" s="4">
        <f>IF(E1176="","",IF(E1176&lt;=3,6,IF(E1176&lt;=6,5,IF(E1176&lt;=9,4,IF(E1176&lt;=12,3,IF(E1176&lt;=15,2,0))))))</f>
        <v/>
      </c>
      <c r="G1176" s="5" t="n"/>
      <c r="H1176" s="4">
        <f>IF(OR(F1176="",G1176=""),"",F1176*G1176+IF(J1176="",0,J1176))</f>
        <v/>
      </c>
      <c r="I1176" s="5" t="n"/>
      <c r="J1176" s="5" t="n"/>
    </row>
    <row r="1177">
      <c r="A1177" s="5" t="n"/>
      <c r="B1177" s="5" t="n"/>
      <c r="C1177" s="5" t="n"/>
      <c r="D1177" s="5" t="n"/>
      <c r="E1177" s="4">
        <f>IF(C1177="","",COUNTIF($C$7:C1177,C1177))</f>
        <v/>
      </c>
      <c r="F1177" s="4">
        <f>IF(E1177="","",IF(E1177&lt;=3,6,IF(E1177&lt;=6,5,IF(E1177&lt;=9,4,IF(E1177&lt;=12,3,IF(E1177&lt;=15,2,0))))))</f>
        <v/>
      </c>
      <c r="G1177" s="5" t="n"/>
      <c r="H1177" s="4">
        <f>IF(OR(F1177="",G1177=""),"",F1177*G1177+IF(J1177="",0,J1177))</f>
        <v/>
      </c>
      <c r="I1177" s="5" t="n"/>
      <c r="J1177" s="5" t="n"/>
    </row>
    <row r="1178">
      <c r="A1178" s="5" t="n"/>
      <c r="B1178" s="5" t="n"/>
      <c r="C1178" s="5" t="n"/>
      <c r="D1178" s="5" t="n"/>
      <c r="E1178" s="4">
        <f>IF(C1178="","",COUNTIF($C$7:C1178,C1178))</f>
        <v/>
      </c>
      <c r="F1178" s="4">
        <f>IF(E1178="","",IF(E1178&lt;=3,6,IF(E1178&lt;=6,5,IF(E1178&lt;=9,4,IF(E1178&lt;=12,3,IF(E1178&lt;=15,2,0))))))</f>
        <v/>
      </c>
      <c r="G1178" s="5" t="n"/>
      <c r="H1178" s="4">
        <f>IF(OR(F1178="",G1178=""),"",F1178*G1178+IF(J1178="",0,J1178))</f>
        <v/>
      </c>
      <c r="I1178" s="5" t="n"/>
      <c r="J1178" s="5" t="n"/>
    </row>
    <row r="1179">
      <c r="A1179" s="5" t="n"/>
      <c r="B1179" s="5" t="n"/>
      <c r="C1179" s="5" t="n"/>
      <c r="D1179" s="5" t="n"/>
      <c r="E1179" s="4">
        <f>IF(C1179="","",COUNTIF($C$7:C1179,C1179))</f>
        <v/>
      </c>
      <c r="F1179" s="4">
        <f>IF(E1179="","",IF(E1179&lt;=3,6,IF(E1179&lt;=6,5,IF(E1179&lt;=9,4,IF(E1179&lt;=12,3,IF(E1179&lt;=15,2,0))))))</f>
        <v/>
      </c>
      <c r="G1179" s="5" t="n"/>
      <c r="H1179" s="4">
        <f>IF(OR(F1179="",G1179=""),"",F1179*G1179+IF(J1179="",0,J1179))</f>
        <v/>
      </c>
      <c r="I1179" s="5" t="n"/>
      <c r="J1179" s="5" t="n"/>
    </row>
    <row r="1180">
      <c r="A1180" s="5" t="n"/>
      <c r="B1180" s="5" t="n"/>
      <c r="C1180" s="5" t="n"/>
      <c r="D1180" s="5" t="n"/>
      <c r="E1180" s="4">
        <f>IF(C1180="","",COUNTIF($C$7:C1180,C1180))</f>
        <v/>
      </c>
      <c r="F1180" s="4">
        <f>IF(E1180="","",IF(E1180&lt;=3,6,IF(E1180&lt;=6,5,IF(E1180&lt;=9,4,IF(E1180&lt;=12,3,IF(E1180&lt;=15,2,0))))))</f>
        <v/>
      </c>
      <c r="G1180" s="5" t="n"/>
      <c r="H1180" s="4">
        <f>IF(OR(F1180="",G1180=""),"",F1180*G1180+IF(J1180="",0,J1180))</f>
        <v/>
      </c>
      <c r="I1180" s="5" t="n"/>
      <c r="J1180" s="5" t="n"/>
    </row>
    <row r="1181">
      <c r="A1181" s="5" t="n"/>
      <c r="B1181" s="5" t="n"/>
      <c r="C1181" s="5" t="n"/>
      <c r="D1181" s="5" t="n"/>
      <c r="E1181" s="4">
        <f>IF(C1181="","",COUNTIF($C$7:C1181,C1181))</f>
        <v/>
      </c>
      <c r="F1181" s="4">
        <f>IF(E1181="","",IF(E1181&lt;=3,6,IF(E1181&lt;=6,5,IF(E1181&lt;=9,4,IF(E1181&lt;=12,3,IF(E1181&lt;=15,2,0))))))</f>
        <v/>
      </c>
      <c r="G1181" s="5" t="n"/>
      <c r="H1181" s="4">
        <f>IF(OR(F1181="",G1181=""),"",F1181*G1181+IF(J1181="",0,J1181))</f>
        <v/>
      </c>
      <c r="I1181" s="5" t="n"/>
      <c r="J1181" s="5" t="n"/>
    </row>
    <row r="1182">
      <c r="A1182" s="5" t="n"/>
      <c r="B1182" s="5" t="n"/>
      <c r="C1182" s="5" t="n"/>
      <c r="D1182" s="5" t="n"/>
      <c r="E1182" s="4">
        <f>IF(C1182="","",COUNTIF($C$7:C1182,C1182))</f>
        <v/>
      </c>
      <c r="F1182" s="4">
        <f>IF(E1182="","",IF(E1182&lt;=3,6,IF(E1182&lt;=6,5,IF(E1182&lt;=9,4,IF(E1182&lt;=12,3,IF(E1182&lt;=15,2,0))))))</f>
        <v/>
      </c>
      <c r="G1182" s="5" t="n"/>
      <c r="H1182" s="4">
        <f>IF(OR(F1182="",G1182=""),"",F1182*G1182+IF(J1182="",0,J1182))</f>
        <v/>
      </c>
      <c r="I1182" s="5" t="n"/>
      <c r="J1182" s="5" t="n"/>
    </row>
    <row r="1183">
      <c r="A1183" s="5" t="n"/>
      <c r="B1183" s="5" t="n"/>
      <c r="C1183" s="5" t="n"/>
      <c r="D1183" s="5" t="n"/>
      <c r="E1183" s="4">
        <f>IF(C1183="","",COUNTIF($C$7:C1183,C1183))</f>
        <v/>
      </c>
      <c r="F1183" s="4">
        <f>IF(E1183="","",IF(E1183&lt;=3,6,IF(E1183&lt;=6,5,IF(E1183&lt;=9,4,IF(E1183&lt;=12,3,IF(E1183&lt;=15,2,0))))))</f>
        <v/>
      </c>
      <c r="G1183" s="5" t="n"/>
      <c r="H1183" s="4">
        <f>IF(OR(F1183="",G1183=""),"",F1183*G1183+IF(J1183="",0,J1183))</f>
        <v/>
      </c>
      <c r="I1183" s="5" t="n"/>
      <c r="J1183" s="5" t="n"/>
    </row>
    <row r="1184">
      <c r="A1184" s="5" t="n"/>
      <c r="B1184" s="5" t="n"/>
      <c r="C1184" s="5" t="n"/>
      <c r="D1184" s="5" t="n"/>
      <c r="E1184" s="4">
        <f>IF(C1184="","",COUNTIF($C$7:C1184,C1184))</f>
        <v/>
      </c>
      <c r="F1184" s="4">
        <f>IF(E1184="","",IF(E1184&lt;=3,6,IF(E1184&lt;=6,5,IF(E1184&lt;=9,4,IF(E1184&lt;=12,3,IF(E1184&lt;=15,2,0))))))</f>
        <v/>
      </c>
      <c r="G1184" s="5" t="n"/>
      <c r="H1184" s="4">
        <f>IF(OR(F1184="",G1184=""),"",F1184*G1184+IF(J1184="",0,J1184))</f>
        <v/>
      </c>
      <c r="I1184" s="5" t="n"/>
      <c r="J1184" s="5" t="n"/>
    </row>
    <row r="1185">
      <c r="A1185" s="5" t="n"/>
      <c r="B1185" s="5" t="n"/>
      <c r="C1185" s="5" t="n"/>
      <c r="D1185" s="5" t="n"/>
      <c r="E1185" s="4">
        <f>IF(C1185="","",COUNTIF($C$7:C1185,C1185))</f>
        <v/>
      </c>
      <c r="F1185" s="4">
        <f>IF(E1185="","",IF(E1185&lt;=3,6,IF(E1185&lt;=6,5,IF(E1185&lt;=9,4,IF(E1185&lt;=12,3,IF(E1185&lt;=15,2,0))))))</f>
        <v/>
      </c>
      <c r="G1185" s="5" t="n"/>
      <c r="H1185" s="4">
        <f>IF(OR(F1185="",G1185=""),"",F1185*G1185+IF(J1185="",0,J1185))</f>
        <v/>
      </c>
      <c r="I1185" s="5" t="n"/>
      <c r="J1185" s="5" t="n"/>
    </row>
    <row r="1186">
      <c r="A1186" s="5" t="n"/>
      <c r="B1186" s="5" t="n"/>
      <c r="C1186" s="5" t="n"/>
      <c r="D1186" s="5" t="n"/>
      <c r="E1186" s="4">
        <f>IF(C1186="","",COUNTIF($C$7:C1186,C1186))</f>
        <v/>
      </c>
      <c r="F1186" s="4">
        <f>IF(E1186="","",IF(E1186&lt;=3,6,IF(E1186&lt;=6,5,IF(E1186&lt;=9,4,IF(E1186&lt;=12,3,IF(E1186&lt;=15,2,0))))))</f>
        <v/>
      </c>
      <c r="G1186" s="5" t="n"/>
      <c r="H1186" s="4">
        <f>IF(OR(F1186="",G1186=""),"",F1186*G1186+IF(J1186="",0,J1186))</f>
        <v/>
      </c>
      <c r="I1186" s="5" t="n"/>
      <c r="J1186" s="5" t="n"/>
    </row>
    <row r="1187">
      <c r="A1187" s="5" t="n"/>
      <c r="B1187" s="5" t="n"/>
      <c r="C1187" s="5" t="n"/>
      <c r="D1187" s="5" t="n"/>
      <c r="E1187" s="4">
        <f>IF(C1187="","",COUNTIF($C$7:C1187,C1187))</f>
        <v/>
      </c>
      <c r="F1187" s="4">
        <f>IF(E1187="","",IF(E1187&lt;=3,6,IF(E1187&lt;=6,5,IF(E1187&lt;=9,4,IF(E1187&lt;=12,3,IF(E1187&lt;=15,2,0))))))</f>
        <v/>
      </c>
      <c r="G1187" s="5" t="n"/>
      <c r="H1187" s="4">
        <f>IF(OR(F1187="",G1187=""),"",F1187*G1187+IF(J1187="",0,J1187))</f>
        <v/>
      </c>
      <c r="I1187" s="5" t="n"/>
      <c r="J1187" s="5" t="n"/>
    </row>
    <row r="1188">
      <c r="A1188" s="5" t="n"/>
      <c r="B1188" s="5" t="n"/>
      <c r="C1188" s="5" t="n"/>
      <c r="D1188" s="5" t="n"/>
      <c r="E1188" s="4">
        <f>IF(C1188="","",COUNTIF($C$7:C1188,C1188))</f>
        <v/>
      </c>
      <c r="F1188" s="4">
        <f>IF(E1188="","",IF(E1188&lt;=3,6,IF(E1188&lt;=6,5,IF(E1188&lt;=9,4,IF(E1188&lt;=12,3,IF(E1188&lt;=15,2,0))))))</f>
        <v/>
      </c>
      <c r="G1188" s="5" t="n"/>
      <c r="H1188" s="4">
        <f>IF(OR(F1188="",G1188=""),"",F1188*G1188+IF(J1188="",0,J1188))</f>
        <v/>
      </c>
      <c r="I1188" s="5" t="n"/>
      <c r="J1188" s="5" t="n"/>
    </row>
    <row r="1189">
      <c r="A1189" s="5" t="n"/>
      <c r="B1189" s="5" t="n"/>
      <c r="C1189" s="5" t="n"/>
      <c r="D1189" s="5" t="n"/>
      <c r="E1189" s="4">
        <f>IF(C1189="","",COUNTIF($C$7:C1189,C1189))</f>
        <v/>
      </c>
      <c r="F1189" s="4">
        <f>IF(E1189="","",IF(E1189&lt;=3,6,IF(E1189&lt;=6,5,IF(E1189&lt;=9,4,IF(E1189&lt;=12,3,IF(E1189&lt;=15,2,0))))))</f>
        <v/>
      </c>
      <c r="G1189" s="5" t="n"/>
      <c r="H1189" s="4">
        <f>IF(OR(F1189="",G1189=""),"",F1189*G1189+IF(J1189="",0,J1189))</f>
        <v/>
      </c>
      <c r="I1189" s="5" t="n"/>
      <c r="J1189" s="5" t="n"/>
    </row>
    <row r="1190">
      <c r="A1190" s="5" t="n"/>
      <c r="B1190" s="5" t="n"/>
      <c r="C1190" s="5" t="n"/>
      <c r="D1190" s="5" t="n"/>
      <c r="E1190" s="4">
        <f>IF(C1190="","",COUNTIF($C$7:C1190,C1190))</f>
        <v/>
      </c>
      <c r="F1190" s="4">
        <f>IF(E1190="","",IF(E1190&lt;=3,6,IF(E1190&lt;=6,5,IF(E1190&lt;=9,4,IF(E1190&lt;=12,3,IF(E1190&lt;=15,2,0))))))</f>
        <v/>
      </c>
      <c r="G1190" s="5" t="n"/>
      <c r="H1190" s="4">
        <f>IF(OR(F1190="",G1190=""),"",F1190*G1190+IF(J1190="",0,J1190))</f>
        <v/>
      </c>
      <c r="I1190" s="5" t="n"/>
      <c r="J1190" s="5" t="n"/>
    </row>
    <row r="1191">
      <c r="A1191" s="5" t="n"/>
      <c r="B1191" s="5" t="n"/>
      <c r="C1191" s="5" t="n"/>
      <c r="D1191" s="5" t="n"/>
      <c r="E1191" s="4">
        <f>IF(C1191="","",COUNTIF($C$7:C1191,C1191))</f>
        <v/>
      </c>
      <c r="F1191" s="4">
        <f>IF(E1191="","",IF(E1191&lt;=3,6,IF(E1191&lt;=6,5,IF(E1191&lt;=9,4,IF(E1191&lt;=12,3,IF(E1191&lt;=15,2,0))))))</f>
        <v/>
      </c>
      <c r="G1191" s="5" t="n"/>
      <c r="H1191" s="4">
        <f>IF(OR(F1191="",G1191=""),"",F1191*G1191+IF(J1191="",0,J1191))</f>
        <v/>
      </c>
      <c r="I1191" s="5" t="n"/>
      <c r="J1191" s="5" t="n"/>
    </row>
    <row r="1192">
      <c r="A1192" s="5" t="n"/>
      <c r="B1192" s="5" t="n"/>
      <c r="C1192" s="5" t="n"/>
      <c r="D1192" s="5" t="n"/>
      <c r="E1192" s="4">
        <f>IF(C1192="","",COUNTIF($C$7:C1192,C1192))</f>
        <v/>
      </c>
      <c r="F1192" s="4">
        <f>IF(E1192="","",IF(E1192&lt;=3,6,IF(E1192&lt;=6,5,IF(E1192&lt;=9,4,IF(E1192&lt;=12,3,IF(E1192&lt;=15,2,0))))))</f>
        <v/>
      </c>
      <c r="G1192" s="5" t="n"/>
      <c r="H1192" s="4">
        <f>IF(OR(F1192="",G1192=""),"",F1192*G1192+IF(J1192="",0,J1192))</f>
        <v/>
      </c>
      <c r="I1192" s="5" t="n"/>
      <c r="J1192" s="5" t="n"/>
    </row>
    <row r="1193">
      <c r="A1193" s="5" t="n"/>
      <c r="B1193" s="5" t="n"/>
      <c r="C1193" s="5" t="n"/>
      <c r="D1193" s="5" t="n"/>
      <c r="E1193" s="4">
        <f>IF(C1193="","",COUNTIF($C$7:C1193,C1193))</f>
        <v/>
      </c>
      <c r="F1193" s="4">
        <f>IF(E1193="","",IF(E1193&lt;=3,6,IF(E1193&lt;=6,5,IF(E1193&lt;=9,4,IF(E1193&lt;=12,3,IF(E1193&lt;=15,2,0))))))</f>
        <v/>
      </c>
      <c r="G1193" s="5" t="n"/>
      <c r="H1193" s="4">
        <f>IF(OR(F1193="",G1193=""),"",F1193*G1193+IF(J1193="",0,J1193))</f>
        <v/>
      </c>
      <c r="I1193" s="5" t="n"/>
      <c r="J1193" s="5" t="n"/>
    </row>
    <row r="1194">
      <c r="A1194" s="5" t="n"/>
      <c r="B1194" s="5" t="n"/>
      <c r="C1194" s="5" t="n"/>
      <c r="D1194" s="5" t="n"/>
      <c r="E1194" s="4">
        <f>IF(C1194="","",COUNTIF($C$7:C1194,C1194))</f>
        <v/>
      </c>
      <c r="F1194" s="4">
        <f>IF(E1194="","",IF(E1194&lt;=3,6,IF(E1194&lt;=6,5,IF(E1194&lt;=9,4,IF(E1194&lt;=12,3,IF(E1194&lt;=15,2,0))))))</f>
        <v/>
      </c>
      <c r="G1194" s="5" t="n"/>
      <c r="H1194" s="4">
        <f>IF(OR(F1194="",G1194=""),"",F1194*G1194+IF(J1194="",0,J1194))</f>
        <v/>
      </c>
      <c r="I1194" s="5" t="n"/>
      <c r="J1194" s="5" t="n"/>
    </row>
    <row r="1195">
      <c r="A1195" s="5" t="n"/>
      <c r="B1195" s="5" t="n"/>
      <c r="C1195" s="5" t="n"/>
      <c r="D1195" s="5" t="n"/>
      <c r="E1195" s="4">
        <f>IF(C1195="","",COUNTIF($C$7:C1195,C1195))</f>
        <v/>
      </c>
      <c r="F1195" s="4">
        <f>IF(E1195="","",IF(E1195&lt;=3,6,IF(E1195&lt;=6,5,IF(E1195&lt;=9,4,IF(E1195&lt;=12,3,IF(E1195&lt;=15,2,0))))))</f>
        <v/>
      </c>
      <c r="G1195" s="5" t="n"/>
      <c r="H1195" s="4">
        <f>IF(OR(F1195="",G1195=""),"",F1195*G1195+IF(J1195="",0,J1195))</f>
        <v/>
      </c>
      <c r="I1195" s="5" t="n"/>
      <c r="J1195" s="5" t="n"/>
    </row>
    <row r="1196">
      <c r="A1196" s="5" t="n"/>
      <c r="B1196" s="5" t="n"/>
      <c r="C1196" s="5" t="n"/>
      <c r="D1196" s="5" t="n"/>
      <c r="E1196" s="4">
        <f>IF(C1196="","",COUNTIF($C$7:C1196,C1196))</f>
        <v/>
      </c>
      <c r="F1196" s="4">
        <f>IF(E1196="","",IF(E1196&lt;=3,6,IF(E1196&lt;=6,5,IF(E1196&lt;=9,4,IF(E1196&lt;=12,3,IF(E1196&lt;=15,2,0))))))</f>
        <v/>
      </c>
      <c r="G1196" s="5" t="n"/>
      <c r="H1196" s="4">
        <f>IF(OR(F1196="",G1196=""),"",F1196*G1196+IF(J1196="",0,J1196))</f>
        <v/>
      </c>
      <c r="I1196" s="5" t="n"/>
      <c r="J1196" s="5" t="n"/>
    </row>
    <row r="1197">
      <c r="A1197" s="5" t="n"/>
      <c r="B1197" s="5" t="n"/>
      <c r="C1197" s="5" t="n"/>
      <c r="D1197" s="5" t="n"/>
      <c r="E1197" s="4">
        <f>IF(C1197="","",COUNTIF($C$7:C1197,C1197))</f>
        <v/>
      </c>
      <c r="F1197" s="4">
        <f>IF(E1197="","",IF(E1197&lt;=3,6,IF(E1197&lt;=6,5,IF(E1197&lt;=9,4,IF(E1197&lt;=12,3,IF(E1197&lt;=15,2,0))))))</f>
        <v/>
      </c>
      <c r="G1197" s="5" t="n"/>
      <c r="H1197" s="4">
        <f>IF(OR(F1197="",G1197=""),"",F1197*G1197+IF(J1197="",0,J1197))</f>
        <v/>
      </c>
      <c r="I1197" s="5" t="n"/>
      <c r="J1197" s="5" t="n"/>
    </row>
    <row r="1198">
      <c r="A1198" s="5" t="n"/>
      <c r="B1198" s="5" t="n"/>
      <c r="C1198" s="5" t="n"/>
      <c r="D1198" s="5" t="n"/>
      <c r="E1198" s="4">
        <f>IF(C1198="","",COUNTIF($C$7:C1198,C1198))</f>
        <v/>
      </c>
      <c r="F1198" s="4">
        <f>IF(E1198="","",IF(E1198&lt;=3,6,IF(E1198&lt;=6,5,IF(E1198&lt;=9,4,IF(E1198&lt;=12,3,IF(E1198&lt;=15,2,0))))))</f>
        <v/>
      </c>
      <c r="G1198" s="5" t="n"/>
      <c r="H1198" s="4">
        <f>IF(OR(F1198="",G1198=""),"",F1198*G1198+IF(J1198="",0,J1198))</f>
        <v/>
      </c>
      <c r="I1198" s="5" t="n"/>
      <c r="J1198" s="5" t="n"/>
    </row>
    <row r="1199">
      <c r="A1199" s="5" t="n"/>
      <c r="B1199" s="5" t="n"/>
      <c r="C1199" s="5" t="n"/>
      <c r="D1199" s="5" t="n"/>
      <c r="E1199" s="4">
        <f>IF(C1199="","",COUNTIF($C$7:C1199,C1199))</f>
        <v/>
      </c>
      <c r="F1199" s="4">
        <f>IF(E1199="","",IF(E1199&lt;=3,6,IF(E1199&lt;=6,5,IF(E1199&lt;=9,4,IF(E1199&lt;=12,3,IF(E1199&lt;=15,2,0))))))</f>
        <v/>
      </c>
      <c r="G1199" s="5" t="n"/>
      <c r="H1199" s="4">
        <f>IF(OR(F1199="",G1199=""),"",F1199*G1199+IF(J1199="",0,J1199))</f>
        <v/>
      </c>
      <c r="I1199" s="5" t="n"/>
      <c r="J1199" s="5" t="n"/>
    </row>
    <row r="1200">
      <c r="A1200" s="5" t="n"/>
      <c r="B1200" s="5" t="n"/>
      <c r="C1200" s="5" t="n"/>
      <c r="D1200" s="5" t="n"/>
      <c r="E1200" s="4">
        <f>IF(C1200="","",COUNTIF($C$7:C1200,C1200))</f>
        <v/>
      </c>
      <c r="F1200" s="4">
        <f>IF(E1200="","",IF(E1200&lt;=3,6,IF(E1200&lt;=6,5,IF(E1200&lt;=9,4,IF(E1200&lt;=12,3,IF(E1200&lt;=15,2,0))))))</f>
        <v/>
      </c>
      <c r="G1200" s="5" t="n"/>
      <c r="H1200" s="4">
        <f>IF(OR(F1200="",G1200=""),"",F1200*G1200+IF(J1200="",0,J1200))</f>
        <v/>
      </c>
      <c r="I1200" s="5" t="n"/>
      <c r="J1200" s="5" t="n"/>
    </row>
    <row r="1201">
      <c r="A1201" s="5" t="n"/>
      <c r="B1201" s="5" t="n"/>
      <c r="C1201" s="5" t="n"/>
      <c r="D1201" s="5" t="n"/>
      <c r="E1201" s="4">
        <f>IF(C1201="","",COUNTIF($C$7:C1201,C1201))</f>
        <v/>
      </c>
      <c r="F1201" s="4">
        <f>IF(E1201="","",IF(E1201&lt;=3,6,IF(E1201&lt;=6,5,IF(E1201&lt;=9,4,IF(E1201&lt;=12,3,IF(E1201&lt;=15,2,0))))))</f>
        <v/>
      </c>
      <c r="G1201" s="5" t="n"/>
      <c r="H1201" s="4">
        <f>IF(OR(F1201="",G1201=""),"",F1201*G1201+IF(J1201="",0,J1201))</f>
        <v/>
      </c>
      <c r="I1201" s="5" t="n"/>
      <c r="J1201" s="5" t="n"/>
    </row>
    <row r="1202">
      <c r="A1202" s="5" t="n"/>
      <c r="B1202" s="5" t="n"/>
      <c r="C1202" s="5" t="n"/>
      <c r="D1202" s="5" t="n"/>
      <c r="E1202" s="4">
        <f>IF(C1202="","",COUNTIF($C$7:C1202,C1202))</f>
        <v/>
      </c>
      <c r="F1202" s="4">
        <f>IF(E1202="","",IF(E1202&lt;=3,6,IF(E1202&lt;=6,5,IF(E1202&lt;=9,4,IF(E1202&lt;=12,3,IF(E1202&lt;=15,2,0))))))</f>
        <v/>
      </c>
      <c r="G1202" s="5" t="n"/>
      <c r="H1202" s="4">
        <f>IF(OR(F1202="",G1202=""),"",F1202*G1202+IF(J1202="",0,J1202))</f>
        <v/>
      </c>
      <c r="I1202" s="5" t="n"/>
      <c r="J1202" s="5" t="n"/>
    </row>
    <row r="1203">
      <c r="A1203" s="5" t="n"/>
      <c r="B1203" s="5" t="n"/>
      <c r="C1203" s="5" t="n"/>
      <c r="D1203" s="5" t="n"/>
      <c r="E1203" s="4">
        <f>IF(C1203="","",COUNTIF($C$7:C1203,C1203))</f>
        <v/>
      </c>
      <c r="F1203" s="4">
        <f>IF(E1203="","",IF(E1203&lt;=3,6,IF(E1203&lt;=6,5,IF(E1203&lt;=9,4,IF(E1203&lt;=12,3,IF(E1203&lt;=15,2,0))))))</f>
        <v/>
      </c>
      <c r="G1203" s="5" t="n"/>
      <c r="H1203" s="4">
        <f>IF(OR(F1203="",G1203=""),"",F1203*G1203+IF(J1203="",0,J1203))</f>
        <v/>
      </c>
      <c r="I1203" s="5" t="n"/>
      <c r="J1203" s="5" t="n"/>
    </row>
    <row r="1204">
      <c r="A1204" s="5" t="n"/>
      <c r="B1204" s="5" t="n"/>
      <c r="C1204" s="5" t="n"/>
      <c r="D1204" s="5" t="n"/>
      <c r="E1204" s="4">
        <f>IF(C1204="","",COUNTIF($C$7:C1204,C1204))</f>
        <v/>
      </c>
      <c r="F1204" s="4">
        <f>IF(E1204="","",IF(E1204&lt;=3,6,IF(E1204&lt;=6,5,IF(E1204&lt;=9,4,IF(E1204&lt;=12,3,IF(E1204&lt;=15,2,0))))))</f>
        <v/>
      </c>
      <c r="G1204" s="5" t="n"/>
      <c r="H1204" s="4">
        <f>IF(OR(F1204="",G1204=""),"",F1204*G1204+IF(J1204="",0,J1204))</f>
        <v/>
      </c>
      <c r="I1204" s="5" t="n"/>
      <c r="J1204" s="5" t="n"/>
    </row>
    <row r="1205">
      <c r="A1205" s="5" t="n"/>
      <c r="B1205" s="5" t="n"/>
      <c r="C1205" s="5" t="n"/>
      <c r="D1205" s="5" t="n"/>
      <c r="E1205" s="4">
        <f>IF(C1205="","",COUNTIF($C$7:C1205,C1205))</f>
        <v/>
      </c>
      <c r="F1205" s="4">
        <f>IF(E1205="","",IF(E1205&lt;=3,6,IF(E1205&lt;=6,5,IF(E1205&lt;=9,4,IF(E1205&lt;=12,3,IF(E1205&lt;=15,2,0))))))</f>
        <v/>
      </c>
      <c r="G1205" s="5" t="n"/>
      <c r="H1205" s="4">
        <f>IF(OR(F1205="",G1205=""),"",F1205*G1205+IF(J1205="",0,J1205))</f>
        <v/>
      </c>
      <c r="I1205" s="5" t="n"/>
      <c r="J1205" s="5" t="n"/>
    </row>
    <row r="1206">
      <c r="A1206" s="5" t="n"/>
      <c r="B1206" s="5" t="n"/>
      <c r="C1206" s="5" t="n"/>
      <c r="D1206" s="5" t="n"/>
      <c r="E1206" s="4">
        <f>IF(C1206="","",COUNTIF($C$7:C1206,C1206))</f>
        <v/>
      </c>
      <c r="F1206" s="4">
        <f>IF(E1206="","",IF(E1206&lt;=3,6,IF(E1206&lt;=6,5,IF(E1206&lt;=9,4,IF(E1206&lt;=12,3,IF(E1206&lt;=15,2,0))))))</f>
        <v/>
      </c>
      <c r="G1206" s="5" t="n"/>
      <c r="H1206" s="4">
        <f>IF(OR(F1206="",G1206=""),"",F1206*G1206+IF(J1206="",0,J1206))</f>
        <v/>
      </c>
      <c r="I1206" s="5" t="n"/>
      <c r="J1206" s="5" t="n"/>
    </row>
    <row r="1207">
      <c r="A1207" s="5" t="n"/>
      <c r="B1207" s="5" t="n"/>
      <c r="C1207" s="5" t="n"/>
      <c r="D1207" s="5" t="n"/>
      <c r="E1207" s="4">
        <f>IF(C1207="","",COUNTIF($C$7:C1207,C1207))</f>
        <v/>
      </c>
      <c r="F1207" s="4">
        <f>IF(E1207="","",IF(E1207&lt;=3,6,IF(E1207&lt;=6,5,IF(E1207&lt;=9,4,IF(E1207&lt;=12,3,IF(E1207&lt;=15,2,0))))))</f>
        <v/>
      </c>
      <c r="G1207" s="5" t="n"/>
      <c r="H1207" s="4">
        <f>IF(OR(F1207="",G1207=""),"",F1207*G1207+IF(J1207="",0,J1207))</f>
        <v/>
      </c>
      <c r="I1207" s="5" t="n"/>
      <c r="J1207" s="5" t="n"/>
    </row>
    <row r="1208">
      <c r="A1208" s="5" t="n"/>
      <c r="B1208" s="5" t="n"/>
      <c r="C1208" s="5" t="n"/>
      <c r="D1208" s="5" t="n"/>
      <c r="E1208" s="4">
        <f>IF(C1208="","",COUNTIF($C$7:C1208,C1208))</f>
        <v/>
      </c>
      <c r="F1208" s="4">
        <f>IF(E1208="","",IF(E1208&lt;=3,6,IF(E1208&lt;=6,5,IF(E1208&lt;=9,4,IF(E1208&lt;=12,3,IF(E1208&lt;=15,2,0))))))</f>
        <v/>
      </c>
      <c r="G1208" s="5" t="n"/>
      <c r="H1208" s="4">
        <f>IF(OR(F1208="",G1208=""),"",F1208*G1208+IF(J1208="",0,J1208))</f>
        <v/>
      </c>
      <c r="I1208" s="5" t="n"/>
      <c r="J1208" s="5" t="n"/>
    </row>
    <row r="1209">
      <c r="A1209" s="5" t="n"/>
      <c r="B1209" s="5" t="n"/>
      <c r="C1209" s="5" t="n"/>
      <c r="D1209" s="5" t="n"/>
      <c r="E1209" s="4">
        <f>IF(C1209="","",COUNTIF($C$7:C1209,C1209))</f>
        <v/>
      </c>
      <c r="F1209" s="4">
        <f>IF(E1209="","",IF(E1209&lt;=3,6,IF(E1209&lt;=6,5,IF(E1209&lt;=9,4,IF(E1209&lt;=12,3,IF(E1209&lt;=15,2,0))))))</f>
        <v/>
      </c>
      <c r="G1209" s="5" t="n"/>
      <c r="H1209" s="4">
        <f>IF(OR(F1209="",G1209=""),"",F1209*G1209+IF(J1209="",0,J1209))</f>
        <v/>
      </c>
      <c r="I1209" s="5" t="n"/>
      <c r="J1209" s="5" t="n"/>
    </row>
    <row r="1210">
      <c r="A1210" s="5" t="n"/>
      <c r="B1210" s="5" t="n"/>
      <c r="C1210" s="5" t="n"/>
      <c r="D1210" s="5" t="n"/>
      <c r="E1210" s="4">
        <f>IF(C1210="","",COUNTIF($C$7:C1210,C1210))</f>
        <v/>
      </c>
      <c r="F1210" s="4">
        <f>IF(E1210="","",IF(E1210&lt;=3,6,IF(E1210&lt;=6,5,IF(E1210&lt;=9,4,IF(E1210&lt;=12,3,IF(E1210&lt;=15,2,0))))))</f>
        <v/>
      </c>
      <c r="G1210" s="5" t="n"/>
      <c r="H1210" s="4">
        <f>IF(OR(F1210="",G1210=""),"",F1210*G1210+IF(J1210="",0,J1210))</f>
        <v/>
      </c>
      <c r="I1210" s="5" t="n"/>
      <c r="J1210" s="5" t="n"/>
    </row>
    <row r="1211">
      <c r="A1211" s="5" t="n"/>
      <c r="B1211" s="5" t="n"/>
      <c r="C1211" s="5" t="n"/>
      <c r="D1211" s="5" t="n"/>
      <c r="E1211" s="4">
        <f>IF(C1211="","",COUNTIF($C$7:C1211,C1211))</f>
        <v/>
      </c>
      <c r="F1211" s="4">
        <f>IF(E1211="","",IF(E1211&lt;=3,6,IF(E1211&lt;=6,5,IF(E1211&lt;=9,4,IF(E1211&lt;=12,3,IF(E1211&lt;=15,2,0))))))</f>
        <v/>
      </c>
      <c r="G1211" s="5" t="n"/>
      <c r="H1211" s="4">
        <f>IF(OR(F1211="",G1211=""),"",F1211*G1211+IF(J1211="",0,J1211))</f>
        <v/>
      </c>
      <c r="I1211" s="5" t="n"/>
      <c r="J1211" s="5" t="n"/>
    </row>
    <row r="1212">
      <c r="A1212" s="5" t="n"/>
      <c r="B1212" s="5" t="n"/>
      <c r="C1212" s="5" t="n"/>
      <c r="D1212" s="5" t="n"/>
      <c r="E1212" s="4">
        <f>IF(C1212="","",COUNTIF($C$7:C1212,C1212))</f>
        <v/>
      </c>
      <c r="F1212" s="4">
        <f>IF(E1212="","",IF(E1212&lt;=3,6,IF(E1212&lt;=6,5,IF(E1212&lt;=9,4,IF(E1212&lt;=12,3,IF(E1212&lt;=15,2,0))))))</f>
        <v/>
      </c>
      <c r="G1212" s="5" t="n"/>
      <c r="H1212" s="4">
        <f>IF(OR(F1212="",G1212=""),"",F1212*G1212+IF(J1212="",0,J1212))</f>
        <v/>
      </c>
      <c r="I1212" s="5" t="n"/>
      <c r="J1212" s="5" t="n"/>
    </row>
    <row r="1213">
      <c r="A1213" s="5" t="n"/>
      <c r="B1213" s="5" t="n"/>
      <c r="C1213" s="5" t="n"/>
      <c r="D1213" s="5" t="n"/>
      <c r="E1213" s="4">
        <f>IF(C1213="","",COUNTIF($C$7:C1213,C1213))</f>
        <v/>
      </c>
      <c r="F1213" s="4">
        <f>IF(E1213="","",IF(E1213&lt;=3,6,IF(E1213&lt;=6,5,IF(E1213&lt;=9,4,IF(E1213&lt;=12,3,IF(E1213&lt;=15,2,0))))))</f>
        <v/>
      </c>
      <c r="G1213" s="5" t="n"/>
      <c r="H1213" s="4">
        <f>IF(OR(F1213="",G1213=""),"",F1213*G1213+IF(J1213="",0,J1213))</f>
        <v/>
      </c>
      <c r="I1213" s="5" t="n"/>
      <c r="J1213" s="5" t="n"/>
    </row>
    <row r="1214">
      <c r="A1214" s="5" t="n"/>
      <c r="B1214" s="5" t="n"/>
      <c r="C1214" s="5" t="n"/>
      <c r="D1214" s="5" t="n"/>
      <c r="E1214" s="4">
        <f>IF(C1214="","",COUNTIF($C$7:C1214,C1214))</f>
        <v/>
      </c>
      <c r="F1214" s="4">
        <f>IF(E1214="","",IF(E1214&lt;=3,6,IF(E1214&lt;=6,5,IF(E1214&lt;=9,4,IF(E1214&lt;=12,3,IF(E1214&lt;=15,2,0))))))</f>
        <v/>
      </c>
      <c r="G1214" s="5" t="n"/>
      <c r="H1214" s="4">
        <f>IF(OR(F1214="",G1214=""),"",F1214*G1214+IF(J1214="",0,J1214))</f>
        <v/>
      </c>
      <c r="I1214" s="5" t="n"/>
      <c r="J1214" s="5" t="n"/>
    </row>
    <row r="1215">
      <c r="A1215" s="5" t="n"/>
      <c r="B1215" s="5" t="n"/>
      <c r="C1215" s="5" t="n"/>
      <c r="D1215" s="5" t="n"/>
      <c r="E1215" s="4">
        <f>IF(C1215="","",COUNTIF($C$7:C1215,C1215))</f>
        <v/>
      </c>
      <c r="F1215" s="4">
        <f>IF(E1215="","",IF(E1215&lt;=3,6,IF(E1215&lt;=6,5,IF(E1215&lt;=9,4,IF(E1215&lt;=12,3,IF(E1215&lt;=15,2,0))))))</f>
        <v/>
      </c>
      <c r="G1215" s="5" t="n"/>
      <c r="H1215" s="4">
        <f>IF(OR(F1215="",G1215=""),"",F1215*G1215+IF(J1215="",0,J1215))</f>
        <v/>
      </c>
      <c r="I1215" s="5" t="n"/>
      <c r="J1215" s="5" t="n"/>
    </row>
    <row r="1216">
      <c r="A1216" s="5" t="n"/>
      <c r="B1216" s="5" t="n"/>
      <c r="C1216" s="5" t="n"/>
      <c r="D1216" s="5" t="n"/>
      <c r="E1216" s="4">
        <f>IF(C1216="","",COUNTIF($C$7:C1216,C1216))</f>
        <v/>
      </c>
      <c r="F1216" s="4">
        <f>IF(E1216="","",IF(E1216&lt;=3,6,IF(E1216&lt;=6,5,IF(E1216&lt;=9,4,IF(E1216&lt;=12,3,IF(E1216&lt;=15,2,0))))))</f>
        <v/>
      </c>
      <c r="G1216" s="5" t="n"/>
      <c r="H1216" s="4">
        <f>IF(OR(F1216="",G1216=""),"",F1216*G1216+IF(J1216="",0,J1216))</f>
        <v/>
      </c>
      <c r="I1216" s="5" t="n"/>
      <c r="J1216" s="5" t="n"/>
    </row>
    <row r="1217">
      <c r="A1217" s="5" t="n"/>
      <c r="B1217" s="5" t="n"/>
      <c r="C1217" s="5" t="n"/>
      <c r="D1217" s="5" t="n"/>
      <c r="E1217" s="4">
        <f>IF(C1217="","",COUNTIF($C$7:C1217,C1217))</f>
        <v/>
      </c>
      <c r="F1217" s="4">
        <f>IF(E1217="","",IF(E1217&lt;=3,6,IF(E1217&lt;=6,5,IF(E1217&lt;=9,4,IF(E1217&lt;=12,3,IF(E1217&lt;=15,2,0))))))</f>
        <v/>
      </c>
      <c r="G1217" s="5" t="n"/>
      <c r="H1217" s="4">
        <f>IF(OR(F1217="",G1217=""),"",F1217*G1217+IF(J1217="",0,J1217))</f>
        <v/>
      </c>
      <c r="I1217" s="5" t="n"/>
      <c r="J1217" s="5" t="n"/>
    </row>
    <row r="1218">
      <c r="A1218" s="5" t="n"/>
      <c r="B1218" s="5" t="n"/>
      <c r="C1218" s="5" t="n"/>
      <c r="D1218" s="5" t="n"/>
      <c r="E1218" s="4">
        <f>IF(C1218="","",COUNTIF($C$7:C1218,C1218))</f>
        <v/>
      </c>
      <c r="F1218" s="4">
        <f>IF(E1218="","",IF(E1218&lt;=3,6,IF(E1218&lt;=6,5,IF(E1218&lt;=9,4,IF(E1218&lt;=12,3,IF(E1218&lt;=15,2,0))))))</f>
        <v/>
      </c>
      <c r="G1218" s="5" t="n"/>
      <c r="H1218" s="4">
        <f>IF(OR(F1218="",G1218=""),"",F1218*G1218+IF(J1218="",0,J1218))</f>
        <v/>
      </c>
      <c r="I1218" s="5" t="n"/>
      <c r="J1218" s="5" t="n"/>
    </row>
    <row r="1219">
      <c r="A1219" s="5" t="n"/>
      <c r="B1219" s="5" t="n"/>
      <c r="C1219" s="5" t="n"/>
      <c r="D1219" s="5" t="n"/>
      <c r="E1219" s="4">
        <f>IF(C1219="","",COUNTIF($C$7:C1219,C1219))</f>
        <v/>
      </c>
      <c r="F1219" s="4">
        <f>IF(E1219="","",IF(E1219&lt;=3,6,IF(E1219&lt;=6,5,IF(E1219&lt;=9,4,IF(E1219&lt;=12,3,IF(E1219&lt;=15,2,0))))))</f>
        <v/>
      </c>
      <c r="G1219" s="5" t="n"/>
      <c r="H1219" s="4">
        <f>IF(OR(F1219="",G1219=""),"",F1219*G1219+IF(J1219="",0,J1219))</f>
        <v/>
      </c>
      <c r="I1219" s="5" t="n"/>
      <c r="J1219" s="5" t="n"/>
    </row>
    <row r="1220">
      <c r="A1220" s="5" t="n"/>
      <c r="B1220" s="5" t="n"/>
      <c r="C1220" s="5" t="n"/>
      <c r="D1220" s="5" t="n"/>
      <c r="E1220" s="4">
        <f>IF(C1220="","",COUNTIF($C$7:C1220,C1220))</f>
        <v/>
      </c>
      <c r="F1220" s="4">
        <f>IF(E1220="","",IF(E1220&lt;=3,6,IF(E1220&lt;=6,5,IF(E1220&lt;=9,4,IF(E1220&lt;=12,3,IF(E1220&lt;=15,2,0))))))</f>
        <v/>
      </c>
      <c r="G1220" s="5" t="n"/>
      <c r="H1220" s="4">
        <f>IF(OR(F1220="",G1220=""),"",F1220*G1220+IF(J1220="",0,J1220))</f>
        <v/>
      </c>
      <c r="I1220" s="5" t="n"/>
      <c r="J1220" s="5" t="n"/>
    </row>
    <row r="1221">
      <c r="A1221" s="5" t="n"/>
      <c r="B1221" s="5" t="n"/>
      <c r="C1221" s="5" t="n"/>
      <c r="D1221" s="5" t="n"/>
      <c r="E1221" s="4">
        <f>IF(C1221="","",COUNTIF($C$7:C1221,C1221))</f>
        <v/>
      </c>
      <c r="F1221" s="4">
        <f>IF(E1221="","",IF(E1221&lt;=3,6,IF(E1221&lt;=6,5,IF(E1221&lt;=9,4,IF(E1221&lt;=12,3,IF(E1221&lt;=15,2,0))))))</f>
        <v/>
      </c>
      <c r="G1221" s="5" t="n"/>
      <c r="H1221" s="4">
        <f>IF(OR(F1221="",G1221=""),"",F1221*G1221+IF(J1221="",0,J1221))</f>
        <v/>
      </c>
      <c r="I1221" s="5" t="n"/>
      <c r="J1221" s="5" t="n"/>
    </row>
    <row r="1222">
      <c r="A1222" s="5" t="n"/>
      <c r="B1222" s="5" t="n"/>
      <c r="C1222" s="5" t="n"/>
      <c r="D1222" s="5" t="n"/>
      <c r="E1222" s="4">
        <f>IF(C1222="","",COUNTIF($C$7:C1222,C1222))</f>
        <v/>
      </c>
      <c r="F1222" s="4">
        <f>IF(E1222="","",IF(E1222&lt;=3,6,IF(E1222&lt;=6,5,IF(E1222&lt;=9,4,IF(E1222&lt;=12,3,IF(E1222&lt;=15,2,0))))))</f>
        <v/>
      </c>
      <c r="G1222" s="5" t="n"/>
      <c r="H1222" s="4">
        <f>IF(OR(F1222="",G1222=""),"",F1222*G1222+IF(J1222="",0,J1222))</f>
        <v/>
      </c>
      <c r="I1222" s="5" t="n"/>
      <c r="J1222" s="5" t="n"/>
    </row>
    <row r="1223">
      <c r="A1223" s="5" t="n"/>
      <c r="B1223" s="5" t="n"/>
      <c r="C1223" s="5" t="n"/>
      <c r="D1223" s="5" t="n"/>
      <c r="E1223" s="4">
        <f>IF(C1223="","",COUNTIF($C$7:C1223,C1223))</f>
        <v/>
      </c>
      <c r="F1223" s="4">
        <f>IF(E1223="","",IF(E1223&lt;=3,6,IF(E1223&lt;=6,5,IF(E1223&lt;=9,4,IF(E1223&lt;=12,3,IF(E1223&lt;=15,2,0))))))</f>
        <v/>
      </c>
      <c r="G1223" s="5" t="n"/>
      <c r="H1223" s="4">
        <f>IF(OR(F1223="",G1223=""),"",F1223*G1223+IF(J1223="",0,J1223))</f>
        <v/>
      </c>
      <c r="I1223" s="5" t="n"/>
      <c r="J1223" s="5" t="n"/>
    </row>
    <row r="1224">
      <c r="A1224" s="5" t="n"/>
      <c r="B1224" s="5" t="n"/>
      <c r="C1224" s="5" t="n"/>
      <c r="D1224" s="5" t="n"/>
      <c r="E1224" s="4">
        <f>IF(C1224="","",COUNTIF($C$7:C1224,C1224))</f>
        <v/>
      </c>
      <c r="F1224" s="4">
        <f>IF(E1224="","",IF(E1224&lt;=3,6,IF(E1224&lt;=6,5,IF(E1224&lt;=9,4,IF(E1224&lt;=12,3,IF(E1224&lt;=15,2,0))))))</f>
        <v/>
      </c>
      <c r="G1224" s="5" t="n"/>
      <c r="H1224" s="4">
        <f>IF(OR(F1224="",G1224=""),"",F1224*G1224+IF(J1224="",0,J1224))</f>
        <v/>
      </c>
      <c r="I1224" s="5" t="n"/>
      <c r="J1224" s="5" t="n"/>
    </row>
    <row r="1225">
      <c r="A1225" s="5" t="n"/>
      <c r="B1225" s="5" t="n"/>
      <c r="C1225" s="5" t="n"/>
      <c r="D1225" s="5" t="n"/>
      <c r="E1225" s="4">
        <f>IF(C1225="","",COUNTIF($C$7:C1225,C1225))</f>
        <v/>
      </c>
      <c r="F1225" s="4">
        <f>IF(E1225="","",IF(E1225&lt;=3,6,IF(E1225&lt;=6,5,IF(E1225&lt;=9,4,IF(E1225&lt;=12,3,IF(E1225&lt;=15,2,0))))))</f>
        <v/>
      </c>
      <c r="G1225" s="5" t="n"/>
      <c r="H1225" s="4">
        <f>IF(OR(F1225="",G1225=""),"",F1225*G1225+IF(J1225="",0,J1225))</f>
        <v/>
      </c>
      <c r="I1225" s="5" t="n"/>
      <c r="J1225" s="5" t="n"/>
    </row>
    <row r="1226">
      <c r="A1226" s="5" t="n"/>
      <c r="B1226" s="5" t="n"/>
      <c r="C1226" s="5" t="n"/>
      <c r="D1226" s="5" t="n"/>
      <c r="E1226" s="4">
        <f>IF(C1226="","",COUNTIF($C$7:C1226,C1226))</f>
        <v/>
      </c>
      <c r="F1226" s="4">
        <f>IF(E1226="","",IF(E1226&lt;=3,6,IF(E1226&lt;=6,5,IF(E1226&lt;=9,4,IF(E1226&lt;=12,3,IF(E1226&lt;=15,2,0))))))</f>
        <v/>
      </c>
      <c r="G1226" s="5" t="n"/>
      <c r="H1226" s="4">
        <f>IF(OR(F1226="",G1226=""),"",F1226*G1226+IF(J1226="",0,J1226))</f>
        <v/>
      </c>
      <c r="I1226" s="5" t="n"/>
      <c r="J1226" s="5" t="n"/>
    </row>
    <row r="1227">
      <c r="A1227" s="5" t="n"/>
      <c r="B1227" s="5" t="n"/>
      <c r="C1227" s="5" t="n"/>
      <c r="D1227" s="5" t="n"/>
      <c r="E1227" s="4">
        <f>IF(C1227="","",COUNTIF($C$7:C1227,C1227))</f>
        <v/>
      </c>
      <c r="F1227" s="4">
        <f>IF(E1227="","",IF(E1227&lt;=3,6,IF(E1227&lt;=6,5,IF(E1227&lt;=9,4,IF(E1227&lt;=12,3,IF(E1227&lt;=15,2,0))))))</f>
        <v/>
      </c>
      <c r="G1227" s="5" t="n"/>
      <c r="H1227" s="4">
        <f>IF(OR(F1227="",G1227=""),"",F1227*G1227+IF(J1227="",0,J1227))</f>
        <v/>
      </c>
      <c r="I1227" s="5" t="n"/>
      <c r="J1227" s="5" t="n"/>
    </row>
    <row r="1228">
      <c r="A1228" s="5" t="n"/>
      <c r="B1228" s="5" t="n"/>
      <c r="C1228" s="5" t="n"/>
      <c r="D1228" s="5" t="n"/>
      <c r="E1228" s="4">
        <f>IF(C1228="","",COUNTIF($C$7:C1228,C1228))</f>
        <v/>
      </c>
      <c r="F1228" s="4">
        <f>IF(E1228="","",IF(E1228&lt;=3,6,IF(E1228&lt;=6,5,IF(E1228&lt;=9,4,IF(E1228&lt;=12,3,IF(E1228&lt;=15,2,0))))))</f>
        <v/>
      </c>
      <c r="G1228" s="5" t="n"/>
      <c r="H1228" s="4">
        <f>IF(OR(F1228="",G1228=""),"",F1228*G1228+IF(J1228="",0,J1228))</f>
        <v/>
      </c>
      <c r="I1228" s="5" t="n"/>
      <c r="J1228" s="5" t="n"/>
    </row>
    <row r="1229">
      <c r="A1229" s="5" t="n"/>
      <c r="B1229" s="5" t="n"/>
      <c r="C1229" s="5" t="n"/>
      <c r="D1229" s="5" t="n"/>
      <c r="E1229" s="4">
        <f>IF(C1229="","",COUNTIF($C$7:C1229,C1229))</f>
        <v/>
      </c>
      <c r="F1229" s="4">
        <f>IF(E1229="","",IF(E1229&lt;=3,6,IF(E1229&lt;=6,5,IF(E1229&lt;=9,4,IF(E1229&lt;=12,3,IF(E1229&lt;=15,2,0))))))</f>
        <v/>
      </c>
      <c r="G1229" s="5" t="n"/>
      <c r="H1229" s="4">
        <f>IF(OR(F1229="",G1229=""),"",F1229*G1229+IF(J1229="",0,J1229))</f>
        <v/>
      </c>
      <c r="I1229" s="5" t="n"/>
      <c r="J1229" s="5" t="n"/>
    </row>
    <row r="1230">
      <c r="A1230" s="5" t="n"/>
      <c r="B1230" s="5" t="n"/>
      <c r="C1230" s="5" t="n"/>
      <c r="D1230" s="5" t="n"/>
      <c r="E1230" s="4">
        <f>IF(C1230="","",COUNTIF($C$7:C1230,C1230))</f>
        <v/>
      </c>
      <c r="F1230" s="4">
        <f>IF(E1230="","",IF(E1230&lt;=3,6,IF(E1230&lt;=6,5,IF(E1230&lt;=9,4,IF(E1230&lt;=12,3,IF(E1230&lt;=15,2,0))))))</f>
        <v/>
      </c>
      <c r="G1230" s="5" t="n"/>
      <c r="H1230" s="4">
        <f>IF(OR(F1230="",G1230=""),"",F1230*G1230+IF(J1230="",0,J1230))</f>
        <v/>
      </c>
      <c r="I1230" s="5" t="n"/>
      <c r="J1230" s="5" t="n"/>
    </row>
    <row r="1231">
      <c r="A1231" s="5" t="n"/>
      <c r="B1231" s="5" t="n"/>
      <c r="C1231" s="5" t="n"/>
      <c r="D1231" s="5" t="n"/>
      <c r="E1231" s="4">
        <f>IF(C1231="","",COUNTIF($C$7:C1231,C1231))</f>
        <v/>
      </c>
      <c r="F1231" s="4">
        <f>IF(E1231="","",IF(E1231&lt;=3,6,IF(E1231&lt;=6,5,IF(E1231&lt;=9,4,IF(E1231&lt;=12,3,IF(E1231&lt;=15,2,0))))))</f>
        <v/>
      </c>
      <c r="G1231" s="5" t="n"/>
      <c r="H1231" s="4">
        <f>IF(OR(F1231="",G1231=""),"",F1231*G1231+IF(J1231="",0,J1231))</f>
        <v/>
      </c>
      <c r="I1231" s="5" t="n"/>
      <c r="J1231" s="5" t="n"/>
    </row>
    <row r="1232">
      <c r="A1232" s="5" t="n"/>
      <c r="B1232" s="5" t="n"/>
      <c r="C1232" s="5" t="n"/>
      <c r="D1232" s="5" t="n"/>
      <c r="E1232" s="4">
        <f>IF(C1232="","",COUNTIF($C$7:C1232,C1232))</f>
        <v/>
      </c>
      <c r="F1232" s="4">
        <f>IF(E1232="","",IF(E1232&lt;=3,6,IF(E1232&lt;=6,5,IF(E1232&lt;=9,4,IF(E1232&lt;=12,3,IF(E1232&lt;=15,2,0))))))</f>
        <v/>
      </c>
      <c r="G1232" s="5" t="n"/>
      <c r="H1232" s="4">
        <f>IF(OR(F1232="",G1232=""),"",F1232*G1232+IF(J1232="",0,J1232))</f>
        <v/>
      </c>
      <c r="I1232" s="5" t="n"/>
      <c r="J1232" s="5" t="n"/>
    </row>
    <row r="1233">
      <c r="A1233" s="5" t="n"/>
      <c r="B1233" s="5" t="n"/>
      <c r="C1233" s="5" t="n"/>
      <c r="D1233" s="5" t="n"/>
      <c r="E1233" s="4">
        <f>IF(C1233="","",COUNTIF($C$7:C1233,C1233))</f>
        <v/>
      </c>
      <c r="F1233" s="4">
        <f>IF(E1233="","",IF(E1233&lt;=3,6,IF(E1233&lt;=6,5,IF(E1233&lt;=9,4,IF(E1233&lt;=12,3,IF(E1233&lt;=15,2,0))))))</f>
        <v/>
      </c>
      <c r="G1233" s="5" t="n"/>
      <c r="H1233" s="4">
        <f>IF(OR(F1233="",G1233=""),"",F1233*G1233+IF(J1233="",0,J1233))</f>
        <v/>
      </c>
      <c r="I1233" s="5" t="n"/>
      <c r="J1233" s="5" t="n"/>
    </row>
    <row r="1234">
      <c r="A1234" s="5" t="n"/>
      <c r="B1234" s="5" t="n"/>
      <c r="C1234" s="5" t="n"/>
      <c r="D1234" s="5" t="n"/>
      <c r="E1234" s="4">
        <f>IF(C1234="","",COUNTIF($C$7:C1234,C1234))</f>
        <v/>
      </c>
      <c r="F1234" s="4">
        <f>IF(E1234="","",IF(E1234&lt;=3,6,IF(E1234&lt;=6,5,IF(E1234&lt;=9,4,IF(E1234&lt;=12,3,IF(E1234&lt;=15,2,0))))))</f>
        <v/>
      </c>
      <c r="G1234" s="5" t="n"/>
      <c r="H1234" s="4">
        <f>IF(OR(F1234="",G1234=""),"",F1234*G1234+IF(J1234="",0,J1234))</f>
        <v/>
      </c>
      <c r="I1234" s="5" t="n"/>
      <c r="J1234" s="5" t="n"/>
    </row>
    <row r="1235">
      <c r="A1235" s="5" t="n"/>
      <c r="B1235" s="5" t="n"/>
      <c r="C1235" s="5" t="n"/>
      <c r="D1235" s="5" t="n"/>
      <c r="E1235" s="4">
        <f>IF(C1235="","",COUNTIF($C$7:C1235,C1235))</f>
        <v/>
      </c>
      <c r="F1235" s="4">
        <f>IF(E1235="","",IF(E1235&lt;=3,6,IF(E1235&lt;=6,5,IF(E1235&lt;=9,4,IF(E1235&lt;=12,3,IF(E1235&lt;=15,2,0))))))</f>
        <v/>
      </c>
      <c r="G1235" s="5" t="n"/>
      <c r="H1235" s="4">
        <f>IF(OR(F1235="",G1235=""),"",F1235*G1235+IF(J1235="",0,J1235))</f>
        <v/>
      </c>
      <c r="I1235" s="5" t="n"/>
      <c r="J1235" s="5" t="n"/>
    </row>
    <row r="1236">
      <c r="A1236" s="5" t="n"/>
      <c r="B1236" s="5" t="n"/>
      <c r="C1236" s="5" t="n"/>
      <c r="D1236" s="5" t="n"/>
      <c r="E1236" s="4">
        <f>IF(C1236="","",COUNTIF($C$7:C1236,C1236))</f>
        <v/>
      </c>
      <c r="F1236" s="4">
        <f>IF(E1236="","",IF(E1236&lt;=3,6,IF(E1236&lt;=6,5,IF(E1236&lt;=9,4,IF(E1236&lt;=12,3,IF(E1236&lt;=15,2,0))))))</f>
        <v/>
      </c>
      <c r="G1236" s="5" t="n"/>
      <c r="H1236" s="4">
        <f>IF(OR(F1236="",G1236=""),"",F1236*G1236+IF(J1236="",0,J1236))</f>
        <v/>
      </c>
      <c r="I1236" s="5" t="n"/>
      <c r="J1236" s="5" t="n"/>
    </row>
    <row r="1237">
      <c r="A1237" s="5" t="n"/>
      <c r="B1237" s="5" t="n"/>
      <c r="C1237" s="5" t="n"/>
      <c r="D1237" s="5" t="n"/>
      <c r="E1237" s="4">
        <f>IF(C1237="","",COUNTIF($C$7:C1237,C1237))</f>
        <v/>
      </c>
      <c r="F1237" s="4">
        <f>IF(E1237="","",IF(E1237&lt;=3,6,IF(E1237&lt;=6,5,IF(E1237&lt;=9,4,IF(E1237&lt;=12,3,IF(E1237&lt;=15,2,0))))))</f>
        <v/>
      </c>
      <c r="G1237" s="5" t="n"/>
      <c r="H1237" s="4">
        <f>IF(OR(F1237="",G1237=""),"",F1237*G1237+IF(J1237="",0,J1237))</f>
        <v/>
      </c>
      <c r="I1237" s="5" t="n"/>
      <c r="J1237" s="5" t="n"/>
    </row>
    <row r="1238">
      <c r="A1238" s="5" t="n"/>
      <c r="B1238" s="5" t="n"/>
      <c r="C1238" s="5" t="n"/>
      <c r="D1238" s="5" t="n"/>
      <c r="E1238" s="4">
        <f>IF(C1238="","",COUNTIF($C$7:C1238,C1238))</f>
        <v/>
      </c>
      <c r="F1238" s="4">
        <f>IF(E1238="","",IF(E1238&lt;=3,6,IF(E1238&lt;=6,5,IF(E1238&lt;=9,4,IF(E1238&lt;=12,3,IF(E1238&lt;=15,2,0))))))</f>
        <v/>
      </c>
      <c r="G1238" s="5" t="n"/>
      <c r="H1238" s="4">
        <f>IF(OR(F1238="",G1238=""),"",F1238*G1238+IF(J1238="",0,J1238))</f>
        <v/>
      </c>
      <c r="I1238" s="5" t="n"/>
      <c r="J1238" s="5" t="n"/>
    </row>
    <row r="1239">
      <c r="A1239" s="5" t="n"/>
      <c r="B1239" s="5" t="n"/>
      <c r="C1239" s="5" t="n"/>
      <c r="D1239" s="5" t="n"/>
      <c r="E1239" s="4">
        <f>IF(C1239="","",COUNTIF($C$7:C1239,C1239))</f>
        <v/>
      </c>
      <c r="F1239" s="4">
        <f>IF(E1239="","",IF(E1239&lt;=3,6,IF(E1239&lt;=6,5,IF(E1239&lt;=9,4,IF(E1239&lt;=12,3,IF(E1239&lt;=15,2,0))))))</f>
        <v/>
      </c>
      <c r="G1239" s="5" t="n"/>
      <c r="H1239" s="4">
        <f>IF(OR(F1239="",G1239=""),"",F1239*G1239+IF(J1239="",0,J1239))</f>
        <v/>
      </c>
      <c r="I1239" s="5" t="n"/>
      <c r="J1239" s="5" t="n"/>
    </row>
    <row r="1240">
      <c r="A1240" s="5" t="n"/>
      <c r="B1240" s="5" t="n"/>
      <c r="C1240" s="5" t="n"/>
      <c r="D1240" s="5" t="n"/>
      <c r="E1240" s="4">
        <f>IF(C1240="","",COUNTIF($C$7:C1240,C1240))</f>
        <v/>
      </c>
      <c r="F1240" s="4">
        <f>IF(E1240="","",IF(E1240&lt;=3,6,IF(E1240&lt;=6,5,IF(E1240&lt;=9,4,IF(E1240&lt;=12,3,IF(E1240&lt;=15,2,0))))))</f>
        <v/>
      </c>
      <c r="G1240" s="5" t="n"/>
      <c r="H1240" s="4">
        <f>IF(OR(F1240="",G1240=""),"",F1240*G1240+IF(J1240="",0,J1240))</f>
        <v/>
      </c>
      <c r="I1240" s="5" t="n"/>
      <c r="J1240" s="5" t="n"/>
    </row>
    <row r="1241">
      <c r="A1241" s="5" t="n"/>
      <c r="B1241" s="5" t="n"/>
      <c r="C1241" s="5" t="n"/>
      <c r="D1241" s="5" t="n"/>
      <c r="E1241" s="4">
        <f>IF(C1241="","",COUNTIF($C$7:C1241,C1241))</f>
        <v/>
      </c>
      <c r="F1241" s="4">
        <f>IF(E1241="","",IF(E1241&lt;=3,6,IF(E1241&lt;=6,5,IF(E1241&lt;=9,4,IF(E1241&lt;=12,3,IF(E1241&lt;=15,2,0))))))</f>
        <v/>
      </c>
      <c r="G1241" s="5" t="n"/>
      <c r="H1241" s="4">
        <f>IF(OR(F1241="",G1241=""),"",F1241*G1241+IF(J1241="",0,J1241))</f>
        <v/>
      </c>
      <c r="I1241" s="5" t="n"/>
      <c r="J1241" s="5" t="n"/>
    </row>
    <row r="1242">
      <c r="A1242" s="5" t="n"/>
      <c r="B1242" s="5" t="n"/>
      <c r="C1242" s="5" t="n"/>
      <c r="D1242" s="5" t="n"/>
      <c r="E1242" s="4">
        <f>IF(C1242="","",COUNTIF($C$7:C1242,C1242))</f>
        <v/>
      </c>
      <c r="F1242" s="4">
        <f>IF(E1242="","",IF(E1242&lt;=3,6,IF(E1242&lt;=6,5,IF(E1242&lt;=9,4,IF(E1242&lt;=12,3,IF(E1242&lt;=15,2,0))))))</f>
        <v/>
      </c>
      <c r="G1242" s="5" t="n"/>
      <c r="H1242" s="4">
        <f>IF(OR(F1242="",G1242=""),"",F1242*G1242+IF(J1242="",0,J1242))</f>
        <v/>
      </c>
      <c r="I1242" s="5" t="n"/>
      <c r="J1242" s="5" t="n"/>
    </row>
    <row r="1243">
      <c r="A1243" s="5" t="n"/>
      <c r="B1243" s="5" t="n"/>
      <c r="C1243" s="5" t="n"/>
      <c r="D1243" s="5" t="n"/>
      <c r="E1243" s="4">
        <f>IF(C1243="","",COUNTIF($C$7:C1243,C1243))</f>
        <v/>
      </c>
      <c r="F1243" s="4">
        <f>IF(E1243="","",IF(E1243&lt;=3,6,IF(E1243&lt;=6,5,IF(E1243&lt;=9,4,IF(E1243&lt;=12,3,IF(E1243&lt;=15,2,0))))))</f>
        <v/>
      </c>
      <c r="G1243" s="5" t="n"/>
      <c r="H1243" s="4">
        <f>IF(OR(F1243="",G1243=""),"",F1243*G1243+IF(J1243="",0,J1243))</f>
        <v/>
      </c>
      <c r="I1243" s="5" t="n"/>
      <c r="J1243" s="5" t="n"/>
    </row>
    <row r="1244">
      <c r="A1244" s="5" t="n"/>
      <c r="B1244" s="5" t="n"/>
      <c r="C1244" s="5" t="n"/>
      <c r="D1244" s="5" t="n"/>
      <c r="E1244" s="4">
        <f>IF(C1244="","",COUNTIF($C$7:C1244,C1244))</f>
        <v/>
      </c>
      <c r="F1244" s="4">
        <f>IF(E1244="","",IF(E1244&lt;=3,6,IF(E1244&lt;=6,5,IF(E1244&lt;=9,4,IF(E1244&lt;=12,3,IF(E1244&lt;=15,2,0))))))</f>
        <v/>
      </c>
      <c r="G1244" s="5" t="n"/>
      <c r="H1244" s="4">
        <f>IF(OR(F1244="",G1244=""),"",F1244*G1244+IF(J1244="",0,J1244))</f>
        <v/>
      </c>
      <c r="I1244" s="5" t="n"/>
      <c r="J1244" s="5" t="n"/>
    </row>
    <row r="1245">
      <c r="A1245" s="5" t="n"/>
      <c r="B1245" s="5" t="n"/>
      <c r="C1245" s="5" t="n"/>
      <c r="D1245" s="5" t="n"/>
      <c r="E1245" s="4">
        <f>IF(C1245="","",COUNTIF($C$7:C1245,C1245))</f>
        <v/>
      </c>
      <c r="F1245" s="4">
        <f>IF(E1245="","",IF(E1245&lt;=3,6,IF(E1245&lt;=6,5,IF(E1245&lt;=9,4,IF(E1245&lt;=12,3,IF(E1245&lt;=15,2,0))))))</f>
        <v/>
      </c>
      <c r="G1245" s="5" t="n"/>
      <c r="H1245" s="4">
        <f>IF(OR(F1245="",G1245=""),"",F1245*G1245+IF(J1245="",0,J1245))</f>
        <v/>
      </c>
      <c r="I1245" s="5" t="n"/>
      <c r="J1245" s="5" t="n"/>
    </row>
    <row r="1246">
      <c r="A1246" s="5" t="n"/>
      <c r="B1246" s="5" t="n"/>
      <c r="C1246" s="5" t="n"/>
      <c r="D1246" s="5" t="n"/>
      <c r="E1246" s="4">
        <f>IF(C1246="","",COUNTIF($C$7:C1246,C1246))</f>
        <v/>
      </c>
      <c r="F1246" s="4">
        <f>IF(E1246="","",IF(E1246&lt;=3,6,IF(E1246&lt;=6,5,IF(E1246&lt;=9,4,IF(E1246&lt;=12,3,IF(E1246&lt;=15,2,0))))))</f>
        <v/>
      </c>
      <c r="G1246" s="5" t="n"/>
      <c r="H1246" s="4">
        <f>IF(OR(F1246="",G1246=""),"",F1246*G1246+IF(J1246="",0,J1246))</f>
        <v/>
      </c>
      <c r="I1246" s="5" t="n"/>
      <c r="J1246" s="5" t="n"/>
    </row>
    <row r="1247">
      <c r="A1247" s="5" t="n"/>
      <c r="B1247" s="5" t="n"/>
      <c r="C1247" s="5" t="n"/>
      <c r="D1247" s="5" t="n"/>
      <c r="E1247" s="4">
        <f>IF(C1247="","",COUNTIF($C$7:C1247,C1247))</f>
        <v/>
      </c>
      <c r="F1247" s="4">
        <f>IF(E1247="","",IF(E1247&lt;=3,6,IF(E1247&lt;=6,5,IF(E1247&lt;=9,4,IF(E1247&lt;=12,3,IF(E1247&lt;=15,2,0))))))</f>
        <v/>
      </c>
      <c r="G1247" s="5" t="n"/>
      <c r="H1247" s="4">
        <f>IF(OR(F1247="",G1247=""),"",F1247*G1247+IF(J1247="",0,J1247))</f>
        <v/>
      </c>
      <c r="I1247" s="5" t="n"/>
      <c r="J1247" s="5" t="n"/>
    </row>
    <row r="1248">
      <c r="A1248" s="5" t="n"/>
      <c r="B1248" s="5" t="n"/>
      <c r="C1248" s="5" t="n"/>
      <c r="D1248" s="5" t="n"/>
      <c r="E1248" s="4">
        <f>IF(C1248="","",COUNTIF($C$7:C1248,C1248))</f>
        <v/>
      </c>
      <c r="F1248" s="4">
        <f>IF(E1248="","",IF(E1248&lt;=3,6,IF(E1248&lt;=6,5,IF(E1248&lt;=9,4,IF(E1248&lt;=12,3,IF(E1248&lt;=15,2,0))))))</f>
        <v/>
      </c>
      <c r="G1248" s="5" t="n"/>
      <c r="H1248" s="4">
        <f>IF(OR(F1248="",G1248=""),"",F1248*G1248+IF(J1248="",0,J1248))</f>
        <v/>
      </c>
      <c r="I1248" s="5" t="n"/>
      <c r="J1248" s="5" t="n"/>
    </row>
    <row r="1249">
      <c r="A1249" s="5" t="n"/>
      <c r="B1249" s="5" t="n"/>
      <c r="C1249" s="5" t="n"/>
      <c r="D1249" s="5" t="n"/>
      <c r="E1249" s="4">
        <f>IF(C1249="","",COUNTIF($C$7:C1249,C1249))</f>
        <v/>
      </c>
      <c r="F1249" s="4">
        <f>IF(E1249="","",IF(E1249&lt;=3,6,IF(E1249&lt;=6,5,IF(E1249&lt;=9,4,IF(E1249&lt;=12,3,IF(E1249&lt;=15,2,0))))))</f>
        <v/>
      </c>
      <c r="G1249" s="5" t="n"/>
      <c r="H1249" s="4">
        <f>IF(OR(F1249="",G1249=""),"",F1249*G1249+IF(J1249="",0,J1249))</f>
        <v/>
      </c>
      <c r="I1249" s="5" t="n"/>
      <c r="J1249" s="5" t="n"/>
    </row>
    <row r="1250">
      <c r="A1250" s="5" t="n"/>
      <c r="B1250" s="5" t="n"/>
      <c r="C1250" s="5" t="n"/>
      <c r="D1250" s="5" t="n"/>
      <c r="E1250" s="4">
        <f>IF(C1250="","",COUNTIF($C$7:C1250,C1250))</f>
        <v/>
      </c>
      <c r="F1250" s="4">
        <f>IF(E1250="","",IF(E1250&lt;=3,6,IF(E1250&lt;=6,5,IF(E1250&lt;=9,4,IF(E1250&lt;=12,3,IF(E1250&lt;=15,2,0))))))</f>
        <v/>
      </c>
      <c r="G1250" s="5" t="n"/>
      <c r="H1250" s="4">
        <f>IF(OR(F1250="",G1250=""),"",F1250*G1250+IF(J1250="",0,J1250))</f>
        <v/>
      </c>
      <c r="I1250" s="5" t="n"/>
      <c r="J1250" s="5" t="n"/>
    </row>
    <row r="1251">
      <c r="A1251" s="5" t="n"/>
      <c r="B1251" s="5" t="n"/>
      <c r="C1251" s="5" t="n"/>
      <c r="D1251" s="5" t="n"/>
      <c r="E1251" s="4">
        <f>IF(C1251="","",COUNTIF($C$7:C1251,C1251))</f>
        <v/>
      </c>
      <c r="F1251" s="4">
        <f>IF(E1251="","",IF(E1251&lt;=3,6,IF(E1251&lt;=6,5,IF(E1251&lt;=9,4,IF(E1251&lt;=12,3,IF(E1251&lt;=15,2,0))))))</f>
        <v/>
      </c>
      <c r="G1251" s="5" t="n"/>
      <c r="H1251" s="4">
        <f>IF(OR(F1251="",G1251=""),"",F1251*G1251+IF(J1251="",0,J1251))</f>
        <v/>
      </c>
      <c r="I1251" s="5" t="n"/>
      <c r="J1251" s="5" t="n"/>
    </row>
    <row r="1252">
      <c r="A1252" s="5" t="n"/>
      <c r="B1252" s="5" t="n"/>
      <c r="C1252" s="5" t="n"/>
      <c r="D1252" s="5" t="n"/>
      <c r="E1252" s="4">
        <f>IF(C1252="","",COUNTIF($C$7:C1252,C1252))</f>
        <v/>
      </c>
      <c r="F1252" s="4">
        <f>IF(E1252="","",IF(E1252&lt;=3,6,IF(E1252&lt;=6,5,IF(E1252&lt;=9,4,IF(E1252&lt;=12,3,IF(E1252&lt;=15,2,0))))))</f>
        <v/>
      </c>
      <c r="G1252" s="5" t="n"/>
      <c r="H1252" s="4">
        <f>IF(OR(F1252="",G1252=""),"",F1252*G1252+IF(J1252="",0,J1252))</f>
        <v/>
      </c>
      <c r="I1252" s="5" t="n"/>
      <c r="J1252" s="5" t="n"/>
    </row>
    <row r="1253">
      <c r="A1253" s="5" t="n"/>
      <c r="B1253" s="5" t="n"/>
      <c r="C1253" s="5" t="n"/>
      <c r="D1253" s="5" t="n"/>
      <c r="E1253" s="4">
        <f>IF(C1253="","",COUNTIF($C$7:C1253,C1253))</f>
        <v/>
      </c>
      <c r="F1253" s="4">
        <f>IF(E1253="","",IF(E1253&lt;=3,6,IF(E1253&lt;=6,5,IF(E1253&lt;=9,4,IF(E1253&lt;=12,3,IF(E1253&lt;=15,2,0))))))</f>
        <v/>
      </c>
      <c r="G1253" s="5" t="n"/>
      <c r="H1253" s="4">
        <f>IF(OR(F1253="",G1253=""),"",F1253*G1253+IF(J1253="",0,J1253))</f>
        <v/>
      </c>
      <c r="I1253" s="5" t="n"/>
      <c r="J1253" s="5" t="n"/>
    </row>
    <row r="1254">
      <c r="A1254" s="5" t="n"/>
      <c r="B1254" s="5" t="n"/>
      <c r="C1254" s="5" t="n"/>
      <c r="D1254" s="5" t="n"/>
      <c r="E1254" s="4">
        <f>IF(C1254="","",COUNTIF($C$7:C1254,C1254))</f>
        <v/>
      </c>
      <c r="F1254" s="4">
        <f>IF(E1254="","",IF(E1254&lt;=3,6,IF(E1254&lt;=6,5,IF(E1254&lt;=9,4,IF(E1254&lt;=12,3,IF(E1254&lt;=15,2,0))))))</f>
        <v/>
      </c>
      <c r="G1254" s="5" t="n"/>
      <c r="H1254" s="4">
        <f>IF(OR(F1254="",G1254=""),"",F1254*G1254+IF(J1254="",0,J1254))</f>
        <v/>
      </c>
      <c r="I1254" s="5" t="n"/>
      <c r="J1254" s="5" t="n"/>
    </row>
    <row r="1255">
      <c r="A1255" s="5" t="n"/>
      <c r="B1255" s="5" t="n"/>
      <c r="C1255" s="5" t="n"/>
      <c r="D1255" s="5" t="n"/>
      <c r="E1255" s="4">
        <f>IF(C1255="","",COUNTIF($C$7:C1255,C1255))</f>
        <v/>
      </c>
      <c r="F1255" s="4">
        <f>IF(E1255="","",IF(E1255&lt;=3,6,IF(E1255&lt;=6,5,IF(E1255&lt;=9,4,IF(E1255&lt;=12,3,IF(E1255&lt;=15,2,0))))))</f>
        <v/>
      </c>
      <c r="G1255" s="5" t="n"/>
      <c r="H1255" s="4">
        <f>IF(OR(F1255="",G1255=""),"",F1255*G1255+IF(J1255="",0,J1255))</f>
        <v/>
      </c>
      <c r="I1255" s="5" t="n"/>
      <c r="J1255" s="5" t="n"/>
    </row>
    <row r="1256">
      <c r="A1256" s="5" t="n"/>
      <c r="B1256" s="5" t="n"/>
      <c r="C1256" s="5" t="n"/>
      <c r="D1256" s="5" t="n"/>
      <c r="E1256" s="4">
        <f>IF(C1256="","",COUNTIF($C$7:C1256,C1256))</f>
        <v/>
      </c>
      <c r="F1256" s="4">
        <f>IF(E1256="","",IF(E1256&lt;=3,6,IF(E1256&lt;=6,5,IF(E1256&lt;=9,4,IF(E1256&lt;=12,3,IF(E1256&lt;=15,2,0))))))</f>
        <v/>
      </c>
      <c r="G1256" s="5" t="n"/>
      <c r="H1256" s="4">
        <f>IF(OR(F1256="",G1256=""),"",F1256*G1256+IF(J1256="",0,J1256))</f>
        <v/>
      </c>
      <c r="I1256" s="5" t="n"/>
      <c r="J1256" s="5" t="n"/>
    </row>
    <row r="1257">
      <c r="A1257" s="5" t="n"/>
      <c r="B1257" s="5" t="n"/>
      <c r="C1257" s="5" t="n"/>
      <c r="D1257" s="5" t="n"/>
      <c r="E1257" s="4">
        <f>IF(C1257="","",COUNTIF($C$7:C1257,C1257))</f>
        <v/>
      </c>
      <c r="F1257" s="4">
        <f>IF(E1257="","",IF(E1257&lt;=3,6,IF(E1257&lt;=6,5,IF(E1257&lt;=9,4,IF(E1257&lt;=12,3,IF(E1257&lt;=15,2,0))))))</f>
        <v/>
      </c>
      <c r="G1257" s="5" t="n"/>
      <c r="H1257" s="4">
        <f>IF(OR(F1257="",G1257=""),"",F1257*G1257+IF(J1257="",0,J1257))</f>
        <v/>
      </c>
      <c r="I1257" s="5" t="n"/>
      <c r="J1257" s="5" t="n"/>
    </row>
    <row r="1258">
      <c r="A1258" s="5" t="n"/>
      <c r="B1258" s="5" t="n"/>
      <c r="C1258" s="5" t="n"/>
      <c r="D1258" s="5" t="n"/>
      <c r="E1258" s="4">
        <f>IF(C1258="","",COUNTIF($C$7:C1258,C1258))</f>
        <v/>
      </c>
      <c r="F1258" s="4">
        <f>IF(E1258="","",IF(E1258&lt;=3,6,IF(E1258&lt;=6,5,IF(E1258&lt;=9,4,IF(E1258&lt;=12,3,IF(E1258&lt;=15,2,0))))))</f>
        <v/>
      </c>
      <c r="G1258" s="5" t="n"/>
      <c r="H1258" s="4">
        <f>IF(OR(F1258="",G1258=""),"",F1258*G1258+IF(J1258="",0,J1258))</f>
        <v/>
      </c>
      <c r="I1258" s="5" t="n"/>
      <c r="J1258" s="5" t="n"/>
    </row>
    <row r="1259">
      <c r="A1259" s="5" t="n"/>
      <c r="B1259" s="5" t="n"/>
      <c r="C1259" s="5" t="n"/>
      <c r="D1259" s="5" t="n"/>
      <c r="E1259" s="4">
        <f>IF(C1259="","",COUNTIF($C$7:C1259,C1259))</f>
        <v/>
      </c>
      <c r="F1259" s="4">
        <f>IF(E1259="","",IF(E1259&lt;=3,6,IF(E1259&lt;=6,5,IF(E1259&lt;=9,4,IF(E1259&lt;=12,3,IF(E1259&lt;=15,2,0))))))</f>
        <v/>
      </c>
      <c r="G1259" s="5" t="n"/>
      <c r="H1259" s="4">
        <f>IF(OR(F1259="",G1259=""),"",F1259*G1259+IF(J1259="",0,J1259))</f>
        <v/>
      </c>
      <c r="I1259" s="5" t="n"/>
      <c r="J1259" s="5" t="n"/>
    </row>
    <row r="1260">
      <c r="A1260" s="5" t="n"/>
      <c r="B1260" s="5" t="n"/>
      <c r="C1260" s="5" t="n"/>
      <c r="D1260" s="5" t="n"/>
      <c r="E1260" s="4">
        <f>IF(C1260="","",COUNTIF($C$7:C1260,C1260))</f>
        <v/>
      </c>
      <c r="F1260" s="4">
        <f>IF(E1260="","",IF(E1260&lt;=3,6,IF(E1260&lt;=6,5,IF(E1260&lt;=9,4,IF(E1260&lt;=12,3,IF(E1260&lt;=15,2,0))))))</f>
        <v/>
      </c>
      <c r="G1260" s="5" t="n"/>
      <c r="H1260" s="4">
        <f>IF(OR(F1260="",G1260=""),"",F1260*G1260+IF(J1260="",0,J1260))</f>
        <v/>
      </c>
      <c r="I1260" s="5" t="n"/>
      <c r="J1260" s="5" t="n"/>
    </row>
    <row r="1261">
      <c r="A1261" s="5" t="n"/>
      <c r="B1261" s="5" t="n"/>
      <c r="C1261" s="5" t="n"/>
      <c r="D1261" s="5" t="n"/>
      <c r="E1261" s="4">
        <f>IF(C1261="","",COUNTIF($C$7:C1261,C1261))</f>
        <v/>
      </c>
      <c r="F1261" s="4">
        <f>IF(E1261="","",IF(E1261&lt;=3,6,IF(E1261&lt;=6,5,IF(E1261&lt;=9,4,IF(E1261&lt;=12,3,IF(E1261&lt;=15,2,0))))))</f>
        <v/>
      </c>
      <c r="G1261" s="5" t="n"/>
      <c r="H1261" s="4">
        <f>IF(OR(F1261="",G1261=""),"",F1261*G1261+IF(J1261="",0,J1261))</f>
        <v/>
      </c>
      <c r="I1261" s="5" t="n"/>
      <c r="J1261" s="5" t="n"/>
    </row>
    <row r="1262">
      <c r="A1262" s="5" t="n"/>
      <c r="B1262" s="5" t="n"/>
      <c r="C1262" s="5" t="n"/>
      <c r="D1262" s="5" t="n"/>
      <c r="E1262" s="4">
        <f>IF(C1262="","",COUNTIF($C$7:C1262,C1262))</f>
        <v/>
      </c>
      <c r="F1262" s="4">
        <f>IF(E1262="","",IF(E1262&lt;=3,6,IF(E1262&lt;=6,5,IF(E1262&lt;=9,4,IF(E1262&lt;=12,3,IF(E1262&lt;=15,2,0))))))</f>
        <v/>
      </c>
      <c r="G1262" s="5" t="n"/>
      <c r="H1262" s="4">
        <f>IF(OR(F1262="",G1262=""),"",F1262*G1262+IF(J1262="",0,J1262))</f>
        <v/>
      </c>
      <c r="I1262" s="5" t="n"/>
      <c r="J1262" s="5" t="n"/>
    </row>
    <row r="1263">
      <c r="A1263" s="5" t="n"/>
      <c r="B1263" s="5" t="n"/>
      <c r="C1263" s="5" t="n"/>
      <c r="D1263" s="5" t="n"/>
      <c r="E1263" s="4">
        <f>IF(C1263="","",COUNTIF($C$7:C1263,C1263))</f>
        <v/>
      </c>
      <c r="F1263" s="4">
        <f>IF(E1263="","",IF(E1263&lt;=3,6,IF(E1263&lt;=6,5,IF(E1263&lt;=9,4,IF(E1263&lt;=12,3,IF(E1263&lt;=15,2,0))))))</f>
        <v/>
      </c>
      <c r="G1263" s="5" t="n"/>
      <c r="H1263" s="4">
        <f>IF(OR(F1263="",G1263=""),"",F1263*G1263+IF(J1263="",0,J1263))</f>
        <v/>
      </c>
      <c r="I1263" s="5" t="n"/>
      <c r="J1263" s="5" t="n"/>
    </row>
    <row r="1264">
      <c r="A1264" s="5" t="n"/>
      <c r="B1264" s="5" t="n"/>
      <c r="C1264" s="5" t="n"/>
      <c r="D1264" s="5" t="n"/>
      <c r="E1264" s="4">
        <f>IF(C1264="","",COUNTIF($C$7:C1264,C1264))</f>
        <v/>
      </c>
      <c r="F1264" s="4">
        <f>IF(E1264="","",IF(E1264&lt;=3,6,IF(E1264&lt;=6,5,IF(E1264&lt;=9,4,IF(E1264&lt;=12,3,IF(E1264&lt;=15,2,0))))))</f>
        <v/>
      </c>
      <c r="G1264" s="5" t="n"/>
      <c r="H1264" s="4">
        <f>IF(OR(F1264="",G1264=""),"",F1264*G1264+IF(J1264="",0,J1264))</f>
        <v/>
      </c>
      <c r="I1264" s="5" t="n"/>
      <c r="J1264" s="5" t="n"/>
    </row>
    <row r="1265">
      <c r="A1265" s="5" t="n"/>
      <c r="B1265" s="5" t="n"/>
      <c r="C1265" s="5" t="n"/>
      <c r="D1265" s="5" t="n"/>
      <c r="E1265" s="4">
        <f>IF(C1265="","",COUNTIF($C$7:C1265,C1265))</f>
        <v/>
      </c>
      <c r="F1265" s="4">
        <f>IF(E1265="","",IF(E1265&lt;=3,6,IF(E1265&lt;=6,5,IF(E1265&lt;=9,4,IF(E1265&lt;=12,3,IF(E1265&lt;=15,2,0))))))</f>
        <v/>
      </c>
      <c r="G1265" s="5" t="n"/>
      <c r="H1265" s="4">
        <f>IF(OR(F1265="",G1265=""),"",F1265*G1265+IF(J1265="",0,J1265))</f>
        <v/>
      </c>
      <c r="I1265" s="5" t="n"/>
      <c r="J1265" s="5" t="n"/>
    </row>
    <row r="1266">
      <c r="A1266" s="5" t="n"/>
      <c r="B1266" s="5" t="n"/>
      <c r="C1266" s="5" t="n"/>
      <c r="D1266" s="5" t="n"/>
      <c r="E1266" s="4">
        <f>IF(C1266="","",COUNTIF($C$7:C1266,C1266))</f>
        <v/>
      </c>
      <c r="F1266" s="4">
        <f>IF(E1266="","",IF(E1266&lt;=3,6,IF(E1266&lt;=6,5,IF(E1266&lt;=9,4,IF(E1266&lt;=12,3,IF(E1266&lt;=15,2,0))))))</f>
        <v/>
      </c>
      <c r="G1266" s="5" t="n"/>
      <c r="H1266" s="4">
        <f>IF(OR(F1266="",G1266=""),"",F1266*G1266+IF(J1266="",0,J1266))</f>
        <v/>
      </c>
      <c r="I1266" s="5" t="n"/>
      <c r="J1266" s="5" t="n"/>
    </row>
    <row r="1267">
      <c r="A1267" s="5" t="n"/>
      <c r="B1267" s="5" t="n"/>
      <c r="C1267" s="5" t="n"/>
      <c r="D1267" s="5" t="n"/>
      <c r="E1267" s="4">
        <f>IF(C1267="","",COUNTIF($C$7:C1267,C1267))</f>
        <v/>
      </c>
      <c r="F1267" s="4">
        <f>IF(E1267="","",IF(E1267&lt;=3,6,IF(E1267&lt;=6,5,IF(E1267&lt;=9,4,IF(E1267&lt;=12,3,IF(E1267&lt;=15,2,0))))))</f>
        <v/>
      </c>
      <c r="G1267" s="5" t="n"/>
      <c r="H1267" s="4">
        <f>IF(OR(F1267="",G1267=""),"",F1267*G1267+IF(J1267="",0,J1267))</f>
        <v/>
      </c>
      <c r="I1267" s="5" t="n"/>
      <c r="J1267" s="5" t="n"/>
    </row>
    <row r="1268">
      <c r="A1268" s="5" t="n"/>
      <c r="B1268" s="5" t="n"/>
      <c r="C1268" s="5" t="n"/>
      <c r="D1268" s="5" t="n"/>
      <c r="E1268" s="4">
        <f>IF(C1268="","",COUNTIF($C$7:C1268,C1268))</f>
        <v/>
      </c>
      <c r="F1268" s="4">
        <f>IF(E1268="","",IF(E1268&lt;=3,6,IF(E1268&lt;=6,5,IF(E1268&lt;=9,4,IF(E1268&lt;=12,3,IF(E1268&lt;=15,2,0))))))</f>
        <v/>
      </c>
      <c r="G1268" s="5" t="n"/>
      <c r="H1268" s="4">
        <f>IF(OR(F1268="",G1268=""),"",F1268*G1268+IF(J1268="",0,J1268))</f>
        <v/>
      </c>
      <c r="I1268" s="5" t="n"/>
      <c r="J1268" s="5" t="n"/>
    </row>
    <row r="1269">
      <c r="A1269" s="5" t="n"/>
      <c r="B1269" s="5" t="n"/>
      <c r="C1269" s="5" t="n"/>
      <c r="D1269" s="5" t="n"/>
      <c r="E1269" s="4">
        <f>IF(C1269="","",COUNTIF($C$7:C1269,C1269))</f>
        <v/>
      </c>
      <c r="F1269" s="4">
        <f>IF(E1269="","",IF(E1269&lt;=3,6,IF(E1269&lt;=6,5,IF(E1269&lt;=9,4,IF(E1269&lt;=12,3,IF(E1269&lt;=15,2,0))))))</f>
        <v/>
      </c>
      <c r="G1269" s="5" t="n"/>
      <c r="H1269" s="4">
        <f>IF(OR(F1269="",G1269=""),"",F1269*G1269+IF(J1269="",0,J1269))</f>
        <v/>
      </c>
      <c r="I1269" s="5" t="n"/>
      <c r="J1269" s="5" t="n"/>
    </row>
    <row r="1270">
      <c r="A1270" s="5" t="n"/>
      <c r="B1270" s="5" t="n"/>
      <c r="C1270" s="5" t="n"/>
      <c r="D1270" s="5" t="n"/>
      <c r="E1270" s="4">
        <f>IF(C1270="","",COUNTIF($C$7:C1270,C1270))</f>
        <v/>
      </c>
      <c r="F1270" s="4">
        <f>IF(E1270="","",IF(E1270&lt;=3,6,IF(E1270&lt;=6,5,IF(E1270&lt;=9,4,IF(E1270&lt;=12,3,IF(E1270&lt;=15,2,0))))))</f>
        <v/>
      </c>
      <c r="G1270" s="5" t="n"/>
      <c r="H1270" s="4">
        <f>IF(OR(F1270="",G1270=""),"",F1270*G1270+IF(J1270="",0,J1270))</f>
        <v/>
      </c>
      <c r="I1270" s="5" t="n"/>
      <c r="J1270" s="5" t="n"/>
    </row>
    <row r="1271">
      <c r="A1271" s="5" t="n"/>
      <c r="B1271" s="5" t="n"/>
      <c r="C1271" s="5" t="n"/>
      <c r="D1271" s="5" t="n"/>
      <c r="E1271" s="4">
        <f>IF(C1271="","",COUNTIF($C$7:C1271,C1271))</f>
        <v/>
      </c>
      <c r="F1271" s="4">
        <f>IF(E1271="","",IF(E1271&lt;=3,6,IF(E1271&lt;=6,5,IF(E1271&lt;=9,4,IF(E1271&lt;=12,3,IF(E1271&lt;=15,2,0))))))</f>
        <v/>
      </c>
      <c r="G1271" s="5" t="n"/>
      <c r="H1271" s="4">
        <f>IF(OR(F1271="",G1271=""),"",F1271*G1271+IF(J1271="",0,J1271))</f>
        <v/>
      </c>
      <c r="I1271" s="5" t="n"/>
      <c r="J1271" s="5" t="n"/>
    </row>
    <row r="1272">
      <c r="A1272" s="5" t="n"/>
      <c r="B1272" s="5" t="n"/>
      <c r="C1272" s="5" t="n"/>
      <c r="D1272" s="5" t="n"/>
      <c r="E1272" s="4">
        <f>IF(C1272="","",COUNTIF($C$7:C1272,C1272))</f>
        <v/>
      </c>
      <c r="F1272" s="4">
        <f>IF(E1272="","",IF(E1272&lt;=3,6,IF(E1272&lt;=6,5,IF(E1272&lt;=9,4,IF(E1272&lt;=12,3,IF(E1272&lt;=15,2,0))))))</f>
        <v/>
      </c>
      <c r="G1272" s="5" t="n"/>
      <c r="H1272" s="4">
        <f>IF(OR(F1272="",G1272=""),"",F1272*G1272+IF(J1272="",0,J1272))</f>
        <v/>
      </c>
      <c r="I1272" s="5" t="n"/>
      <c r="J1272" s="5" t="n"/>
    </row>
    <row r="1273">
      <c r="A1273" s="5" t="n"/>
      <c r="B1273" s="5" t="n"/>
      <c r="C1273" s="5" t="n"/>
      <c r="D1273" s="5" t="n"/>
      <c r="E1273" s="4">
        <f>IF(C1273="","",COUNTIF($C$7:C1273,C1273))</f>
        <v/>
      </c>
      <c r="F1273" s="4">
        <f>IF(E1273="","",IF(E1273&lt;=3,6,IF(E1273&lt;=6,5,IF(E1273&lt;=9,4,IF(E1273&lt;=12,3,IF(E1273&lt;=15,2,0))))))</f>
        <v/>
      </c>
      <c r="G1273" s="5" t="n"/>
      <c r="H1273" s="4">
        <f>IF(OR(F1273="",G1273=""),"",F1273*G1273+IF(J1273="",0,J1273))</f>
        <v/>
      </c>
      <c r="I1273" s="5" t="n"/>
      <c r="J1273" s="5" t="n"/>
    </row>
    <row r="1274">
      <c r="A1274" s="5" t="n"/>
      <c r="B1274" s="5" t="n"/>
      <c r="C1274" s="5" t="n"/>
      <c r="D1274" s="5" t="n"/>
      <c r="E1274" s="4">
        <f>IF(C1274="","",COUNTIF($C$7:C1274,C1274))</f>
        <v/>
      </c>
      <c r="F1274" s="4">
        <f>IF(E1274="","",IF(E1274&lt;=3,6,IF(E1274&lt;=6,5,IF(E1274&lt;=9,4,IF(E1274&lt;=12,3,IF(E1274&lt;=15,2,0))))))</f>
        <v/>
      </c>
      <c r="G1274" s="5" t="n"/>
      <c r="H1274" s="4">
        <f>IF(OR(F1274="",G1274=""),"",F1274*G1274+IF(J1274="",0,J1274))</f>
        <v/>
      </c>
      <c r="I1274" s="5" t="n"/>
      <c r="J1274" s="5" t="n"/>
    </row>
    <row r="1275">
      <c r="A1275" s="5" t="n"/>
      <c r="B1275" s="5" t="n"/>
      <c r="C1275" s="5" t="n"/>
      <c r="D1275" s="5" t="n"/>
      <c r="E1275" s="4">
        <f>IF(C1275="","",COUNTIF($C$7:C1275,C1275))</f>
        <v/>
      </c>
      <c r="F1275" s="4">
        <f>IF(E1275="","",IF(E1275&lt;=3,6,IF(E1275&lt;=6,5,IF(E1275&lt;=9,4,IF(E1275&lt;=12,3,IF(E1275&lt;=15,2,0))))))</f>
        <v/>
      </c>
      <c r="G1275" s="5" t="n"/>
      <c r="H1275" s="4">
        <f>IF(OR(F1275="",G1275=""),"",F1275*G1275+IF(J1275="",0,J1275))</f>
        <v/>
      </c>
      <c r="I1275" s="5" t="n"/>
      <c r="J1275" s="5" t="n"/>
    </row>
    <row r="1276">
      <c r="A1276" s="5" t="n"/>
      <c r="B1276" s="5" t="n"/>
      <c r="C1276" s="5" t="n"/>
      <c r="D1276" s="5" t="n"/>
      <c r="E1276" s="4">
        <f>IF(C1276="","",COUNTIF($C$7:C1276,C1276))</f>
        <v/>
      </c>
      <c r="F1276" s="4">
        <f>IF(E1276="","",IF(E1276&lt;=3,6,IF(E1276&lt;=6,5,IF(E1276&lt;=9,4,IF(E1276&lt;=12,3,IF(E1276&lt;=15,2,0))))))</f>
        <v/>
      </c>
      <c r="G1276" s="5" t="n"/>
      <c r="H1276" s="4">
        <f>IF(OR(F1276="",G1276=""),"",F1276*G1276+IF(J1276="",0,J1276))</f>
        <v/>
      </c>
      <c r="I1276" s="5" t="n"/>
      <c r="J1276" s="5" t="n"/>
    </row>
    <row r="1277">
      <c r="A1277" s="5" t="n"/>
      <c r="B1277" s="5" t="n"/>
      <c r="C1277" s="5" t="n"/>
      <c r="D1277" s="5" t="n"/>
      <c r="E1277" s="4">
        <f>IF(C1277="","",COUNTIF($C$7:C1277,C1277))</f>
        <v/>
      </c>
      <c r="F1277" s="4">
        <f>IF(E1277="","",IF(E1277&lt;=3,6,IF(E1277&lt;=6,5,IF(E1277&lt;=9,4,IF(E1277&lt;=12,3,IF(E1277&lt;=15,2,0))))))</f>
        <v/>
      </c>
      <c r="G1277" s="5" t="n"/>
      <c r="H1277" s="4">
        <f>IF(OR(F1277="",G1277=""),"",F1277*G1277+IF(J1277="",0,J1277))</f>
        <v/>
      </c>
      <c r="I1277" s="5" t="n"/>
      <c r="J1277" s="5" t="n"/>
    </row>
    <row r="1278">
      <c r="A1278" s="5" t="n"/>
      <c r="B1278" s="5" t="n"/>
      <c r="C1278" s="5" t="n"/>
      <c r="D1278" s="5" t="n"/>
      <c r="E1278" s="4">
        <f>IF(C1278="","",COUNTIF($C$7:C1278,C1278))</f>
        <v/>
      </c>
      <c r="F1278" s="4">
        <f>IF(E1278="","",IF(E1278&lt;=3,6,IF(E1278&lt;=6,5,IF(E1278&lt;=9,4,IF(E1278&lt;=12,3,IF(E1278&lt;=15,2,0))))))</f>
        <v/>
      </c>
      <c r="G1278" s="5" t="n"/>
      <c r="H1278" s="4">
        <f>IF(OR(F1278="",G1278=""),"",F1278*G1278+IF(J1278="",0,J1278))</f>
        <v/>
      </c>
      <c r="I1278" s="5" t="n"/>
      <c r="J1278" s="5" t="n"/>
    </row>
    <row r="1279">
      <c r="A1279" s="5" t="n"/>
      <c r="B1279" s="5" t="n"/>
      <c r="C1279" s="5" t="n"/>
      <c r="D1279" s="5" t="n"/>
      <c r="E1279" s="4">
        <f>IF(C1279="","",COUNTIF($C$7:C1279,C1279))</f>
        <v/>
      </c>
      <c r="F1279" s="4">
        <f>IF(E1279="","",IF(E1279&lt;=3,6,IF(E1279&lt;=6,5,IF(E1279&lt;=9,4,IF(E1279&lt;=12,3,IF(E1279&lt;=15,2,0))))))</f>
        <v/>
      </c>
      <c r="G1279" s="5" t="n"/>
      <c r="H1279" s="4">
        <f>IF(OR(F1279="",G1279=""),"",F1279*G1279+IF(J1279="",0,J1279))</f>
        <v/>
      </c>
      <c r="I1279" s="5" t="n"/>
      <c r="J1279" s="5" t="n"/>
    </row>
    <row r="1280">
      <c r="A1280" s="5" t="n"/>
      <c r="B1280" s="5" t="n"/>
      <c r="C1280" s="5" t="n"/>
      <c r="D1280" s="5" t="n"/>
      <c r="E1280" s="4">
        <f>IF(C1280="","",COUNTIF($C$7:C1280,C1280))</f>
        <v/>
      </c>
      <c r="F1280" s="4">
        <f>IF(E1280="","",IF(E1280&lt;=3,6,IF(E1280&lt;=6,5,IF(E1280&lt;=9,4,IF(E1280&lt;=12,3,IF(E1280&lt;=15,2,0))))))</f>
        <v/>
      </c>
      <c r="G1280" s="5" t="n"/>
      <c r="H1280" s="4">
        <f>IF(OR(F1280="",G1280=""),"",F1280*G1280+IF(J1280="",0,J1280))</f>
        <v/>
      </c>
      <c r="I1280" s="5" t="n"/>
      <c r="J1280" s="5" t="n"/>
    </row>
    <row r="1281">
      <c r="A1281" s="5" t="n"/>
      <c r="B1281" s="5" t="n"/>
      <c r="C1281" s="5" t="n"/>
      <c r="D1281" s="5" t="n"/>
      <c r="E1281" s="4">
        <f>IF(C1281="","",COUNTIF($C$7:C1281,C1281))</f>
        <v/>
      </c>
      <c r="F1281" s="4">
        <f>IF(E1281="","",IF(E1281&lt;=3,6,IF(E1281&lt;=6,5,IF(E1281&lt;=9,4,IF(E1281&lt;=12,3,IF(E1281&lt;=15,2,0))))))</f>
        <v/>
      </c>
      <c r="G1281" s="5" t="n"/>
      <c r="H1281" s="4">
        <f>IF(OR(F1281="",G1281=""),"",F1281*G1281+IF(J1281="",0,J1281))</f>
        <v/>
      </c>
      <c r="I1281" s="5" t="n"/>
      <c r="J1281" s="5" t="n"/>
    </row>
    <row r="1282">
      <c r="A1282" s="5" t="n"/>
      <c r="B1282" s="5" t="n"/>
      <c r="C1282" s="5" t="n"/>
      <c r="D1282" s="5" t="n"/>
      <c r="E1282" s="4">
        <f>IF(C1282="","",COUNTIF($C$7:C1282,C1282))</f>
        <v/>
      </c>
      <c r="F1282" s="4">
        <f>IF(E1282="","",IF(E1282&lt;=3,6,IF(E1282&lt;=6,5,IF(E1282&lt;=9,4,IF(E1282&lt;=12,3,IF(E1282&lt;=15,2,0))))))</f>
        <v/>
      </c>
      <c r="G1282" s="5" t="n"/>
      <c r="H1282" s="4">
        <f>IF(OR(F1282="",G1282=""),"",F1282*G1282+IF(J1282="",0,J1282))</f>
        <v/>
      </c>
      <c r="I1282" s="5" t="n"/>
      <c r="J1282" s="5" t="n"/>
    </row>
    <row r="1283">
      <c r="A1283" s="5" t="n"/>
      <c r="B1283" s="5" t="n"/>
      <c r="C1283" s="5" t="n"/>
      <c r="D1283" s="5" t="n"/>
      <c r="E1283" s="4">
        <f>IF(C1283="","",COUNTIF($C$7:C1283,C1283))</f>
        <v/>
      </c>
      <c r="F1283" s="4">
        <f>IF(E1283="","",IF(E1283&lt;=3,6,IF(E1283&lt;=6,5,IF(E1283&lt;=9,4,IF(E1283&lt;=12,3,IF(E1283&lt;=15,2,0))))))</f>
        <v/>
      </c>
      <c r="G1283" s="5" t="n"/>
      <c r="H1283" s="4">
        <f>IF(OR(F1283="",G1283=""),"",F1283*G1283+IF(J1283="",0,J1283))</f>
        <v/>
      </c>
      <c r="I1283" s="5" t="n"/>
      <c r="J1283" s="5" t="n"/>
    </row>
    <row r="1284">
      <c r="A1284" s="5" t="n"/>
      <c r="B1284" s="5" t="n"/>
      <c r="C1284" s="5" t="n"/>
      <c r="D1284" s="5" t="n"/>
      <c r="E1284" s="4">
        <f>IF(C1284="","",COUNTIF($C$7:C1284,C1284))</f>
        <v/>
      </c>
      <c r="F1284" s="4">
        <f>IF(E1284="","",IF(E1284&lt;=3,6,IF(E1284&lt;=6,5,IF(E1284&lt;=9,4,IF(E1284&lt;=12,3,IF(E1284&lt;=15,2,0))))))</f>
        <v/>
      </c>
      <c r="G1284" s="5" t="n"/>
      <c r="H1284" s="4">
        <f>IF(OR(F1284="",G1284=""),"",F1284*G1284+IF(J1284="",0,J1284))</f>
        <v/>
      </c>
      <c r="I1284" s="5" t="n"/>
      <c r="J1284" s="5" t="n"/>
    </row>
    <row r="1285">
      <c r="A1285" s="5" t="n"/>
      <c r="B1285" s="5" t="n"/>
      <c r="C1285" s="5" t="n"/>
      <c r="D1285" s="5" t="n"/>
      <c r="E1285" s="4">
        <f>IF(C1285="","",COUNTIF($C$7:C1285,C1285))</f>
        <v/>
      </c>
      <c r="F1285" s="4">
        <f>IF(E1285="","",IF(E1285&lt;=3,6,IF(E1285&lt;=6,5,IF(E1285&lt;=9,4,IF(E1285&lt;=12,3,IF(E1285&lt;=15,2,0))))))</f>
        <v/>
      </c>
      <c r="G1285" s="5" t="n"/>
      <c r="H1285" s="4">
        <f>IF(OR(F1285="",G1285=""),"",F1285*G1285+IF(J1285="",0,J1285))</f>
        <v/>
      </c>
      <c r="I1285" s="5" t="n"/>
      <c r="J1285" s="5" t="n"/>
    </row>
    <row r="1286">
      <c r="A1286" s="5" t="n"/>
      <c r="B1286" s="5" t="n"/>
      <c r="C1286" s="5" t="n"/>
      <c r="D1286" s="5" t="n"/>
      <c r="E1286" s="4">
        <f>IF(C1286="","",COUNTIF($C$7:C1286,C1286))</f>
        <v/>
      </c>
      <c r="F1286" s="4">
        <f>IF(E1286="","",IF(E1286&lt;=3,6,IF(E1286&lt;=6,5,IF(E1286&lt;=9,4,IF(E1286&lt;=12,3,IF(E1286&lt;=15,2,0))))))</f>
        <v/>
      </c>
      <c r="G1286" s="5" t="n"/>
      <c r="H1286" s="4">
        <f>IF(OR(F1286="",G1286=""),"",F1286*G1286+IF(J1286="",0,J1286))</f>
        <v/>
      </c>
      <c r="I1286" s="5" t="n"/>
      <c r="J1286" s="5" t="n"/>
    </row>
    <row r="1287">
      <c r="A1287" s="5" t="n"/>
      <c r="B1287" s="5" t="n"/>
      <c r="C1287" s="5" t="n"/>
      <c r="D1287" s="5" t="n"/>
      <c r="E1287" s="4">
        <f>IF(C1287="","",COUNTIF($C$7:C1287,C1287))</f>
        <v/>
      </c>
      <c r="F1287" s="4">
        <f>IF(E1287="","",IF(E1287&lt;=3,6,IF(E1287&lt;=6,5,IF(E1287&lt;=9,4,IF(E1287&lt;=12,3,IF(E1287&lt;=15,2,0))))))</f>
        <v/>
      </c>
      <c r="G1287" s="5" t="n"/>
      <c r="H1287" s="4">
        <f>IF(OR(F1287="",G1287=""),"",F1287*G1287+IF(J1287="",0,J1287))</f>
        <v/>
      </c>
      <c r="I1287" s="5" t="n"/>
      <c r="J1287" s="5" t="n"/>
    </row>
    <row r="1288">
      <c r="A1288" s="5" t="n"/>
      <c r="B1288" s="5" t="n"/>
      <c r="C1288" s="5" t="n"/>
      <c r="D1288" s="5" t="n"/>
      <c r="E1288" s="4">
        <f>IF(C1288="","",COUNTIF($C$7:C1288,C1288))</f>
        <v/>
      </c>
      <c r="F1288" s="4">
        <f>IF(E1288="","",IF(E1288&lt;=3,6,IF(E1288&lt;=6,5,IF(E1288&lt;=9,4,IF(E1288&lt;=12,3,IF(E1288&lt;=15,2,0))))))</f>
        <v/>
      </c>
      <c r="G1288" s="5" t="n"/>
      <c r="H1288" s="4">
        <f>IF(OR(F1288="",G1288=""),"",F1288*G1288+IF(J1288="",0,J1288))</f>
        <v/>
      </c>
      <c r="I1288" s="5" t="n"/>
      <c r="J1288" s="5" t="n"/>
    </row>
    <row r="1289">
      <c r="A1289" s="5" t="n"/>
      <c r="B1289" s="5" t="n"/>
      <c r="C1289" s="5" t="n"/>
      <c r="D1289" s="5" t="n"/>
      <c r="E1289" s="4">
        <f>IF(C1289="","",COUNTIF($C$7:C1289,C1289))</f>
        <v/>
      </c>
      <c r="F1289" s="4">
        <f>IF(E1289="","",IF(E1289&lt;=3,6,IF(E1289&lt;=6,5,IF(E1289&lt;=9,4,IF(E1289&lt;=12,3,IF(E1289&lt;=15,2,0))))))</f>
        <v/>
      </c>
      <c r="G1289" s="5" t="n"/>
      <c r="H1289" s="4">
        <f>IF(OR(F1289="",G1289=""),"",F1289*G1289+IF(J1289="",0,J1289))</f>
        <v/>
      </c>
      <c r="I1289" s="5" t="n"/>
      <c r="J1289" s="5" t="n"/>
    </row>
    <row r="1290">
      <c r="A1290" s="5" t="n"/>
      <c r="B1290" s="5" t="n"/>
      <c r="C1290" s="5" t="n"/>
      <c r="D1290" s="5" t="n"/>
      <c r="E1290" s="4">
        <f>IF(C1290="","",COUNTIF($C$7:C1290,C1290))</f>
        <v/>
      </c>
      <c r="F1290" s="4">
        <f>IF(E1290="","",IF(E1290&lt;=3,6,IF(E1290&lt;=6,5,IF(E1290&lt;=9,4,IF(E1290&lt;=12,3,IF(E1290&lt;=15,2,0))))))</f>
        <v/>
      </c>
      <c r="G1290" s="5" t="n"/>
      <c r="H1290" s="4">
        <f>IF(OR(F1290="",G1290=""),"",F1290*G1290+IF(J1290="",0,J1290))</f>
        <v/>
      </c>
      <c r="I1290" s="5" t="n"/>
      <c r="J1290" s="5" t="n"/>
    </row>
    <row r="1291">
      <c r="A1291" s="5" t="n"/>
      <c r="B1291" s="5" t="n"/>
      <c r="C1291" s="5" t="n"/>
      <c r="D1291" s="5" t="n"/>
      <c r="E1291" s="4">
        <f>IF(C1291="","",COUNTIF($C$7:C1291,C1291))</f>
        <v/>
      </c>
      <c r="F1291" s="4">
        <f>IF(E1291="","",IF(E1291&lt;=3,6,IF(E1291&lt;=6,5,IF(E1291&lt;=9,4,IF(E1291&lt;=12,3,IF(E1291&lt;=15,2,0))))))</f>
        <v/>
      </c>
      <c r="G1291" s="5" t="n"/>
      <c r="H1291" s="4">
        <f>IF(OR(F1291="",G1291=""),"",F1291*G1291+IF(J1291="",0,J1291))</f>
        <v/>
      </c>
      <c r="I1291" s="5" t="n"/>
      <c r="J1291" s="5" t="n"/>
    </row>
    <row r="1292">
      <c r="A1292" s="5" t="n"/>
      <c r="B1292" s="5" t="n"/>
      <c r="C1292" s="5" t="n"/>
      <c r="D1292" s="5" t="n"/>
      <c r="E1292" s="4">
        <f>IF(C1292="","",COUNTIF($C$7:C1292,C1292))</f>
        <v/>
      </c>
      <c r="F1292" s="4">
        <f>IF(E1292="","",IF(E1292&lt;=3,6,IF(E1292&lt;=6,5,IF(E1292&lt;=9,4,IF(E1292&lt;=12,3,IF(E1292&lt;=15,2,0))))))</f>
        <v/>
      </c>
      <c r="G1292" s="5" t="n"/>
      <c r="H1292" s="4">
        <f>IF(OR(F1292="",G1292=""),"",F1292*G1292+IF(J1292="",0,J1292))</f>
        <v/>
      </c>
      <c r="I1292" s="5" t="n"/>
      <c r="J1292" s="5" t="n"/>
    </row>
    <row r="1293">
      <c r="A1293" s="5" t="n"/>
      <c r="B1293" s="5" t="n"/>
      <c r="C1293" s="5" t="n"/>
      <c r="D1293" s="5" t="n"/>
      <c r="E1293" s="4">
        <f>IF(C1293="","",COUNTIF($C$7:C1293,C1293))</f>
        <v/>
      </c>
      <c r="F1293" s="4">
        <f>IF(E1293="","",IF(E1293&lt;=3,6,IF(E1293&lt;=6,5,IF(E1293&lt;=9,4,IF(E1293&lt;=12,3,IF(E1293&lt;=15,2,0))))))</f>
        <v/>
      </c>
      <c r="G1293" s="5" t="n"/>
      <c r="H1293" s="4">
        <f>IF(OR(F1293="",G1293=""),"",F1293*G1293+IF(J1293="",0,J1293))</f>
        <v/>
      </c>
      <c r="I1293" s="5" t="n"/>
      <c r="J1293" s="5" t="n"/>
    </row>
    <row r="1294">
      <c r="A1294" s="5" t="n"/>
      <c r="B1294" s="5" t="n"/>
      <c r="C1294" s="5" t="n"/>
      <c r="D1294" s="5" t="n"/>
      <c r="E1294" s="4">
        <f>IF(C1294="","",COUNTIF($C$7:C1294,C1294))</f>
        <v/>
      </c>
      <c r="F1294" s="4">
        <f>IF(E1294="","",IF(E1294&lt;=3,6,IF(E1294&lt;=6,5,IF(E1294&lt;=9,4,IF(E1294&lt;=12,3,IF(E1294&lt;=15,2,0))))))</f>
        <v/>
      </c>
      <c r="G1294" s="5" t="n"/>
      <c r="H1294" s="4">
        <f>IF(OR(F1294="",G1294=""),"",F1294*G1294+IF(J1294="",0,J1294))</f>
        <v/>
      </c>
      <c r="I1294" s="5" t="n"/>
      <c r="J1294" s="5" t="n"/>
    </row>
    <row r="1295">
      <c r="A1295" s="5" t="n"/>
      <c r="B1295" s="5" t="n"/>
      <c r="C1295" s="5" t="n"/>
      <c r="D1295" s="5" t="n"/>
      <c r="E1295" s="4">
        <f>IF(C1295="","",COUNTIF($C$7:C1295,C1295))</f>
        <v/>
      </c>
      <c r="F1295" s="4">
        <f>IF(E1295="","",IF(E1295&lt;=3,6,IF(E1295&lt;=6,5,IF(E1295&lt;=9,4,IF(E1295&lt;=12,3,IF(E1295&lt;=15,2,0))))))</f>
        <v/>
      </c>
      <c r="G1295" s="5" t="n"/>
      <c r="H1295" s="4">
        <f>IF(OR(F1295="",G1295=""),"",F1295*G1295+IF(J1295="",0,J1295))</f>
        <v/>
      </c>
      <c r="I1295" s="5" t="n"/>
      <c r="J1295" s="5" t="n"/>
    </row>
    <row r="1296">
      <c r="A1296" s="5" t="n"/>
      <c r="B1296" s="5" t="n"/>
      <c r="C1296" s="5" t="n"/>
      <c r="D1296" s="5" t="n"/>
      <c r="E1296" s="4">
        <f>IF(C1296="","",COUNTIF($C$7:C1296,C1296))</f>
        <v/>
      </c>
      <c r="F1296" s="4">
        <f>IF(E1296="","",IF(E1296&lt;=3,6,IF(E1296&lt;=6,5,IF(E1296&lt;=9,4,IF(E1296&lt;=12,3,IF(E1296&lt;=15,2,0))))))</f>
        <v/>
      </c>
      <c r="G1296" s="5" t="n"/>
      <c r="H1296" s="4">
        <f>IF(OR(F1296="",G1296=""),"",F1296*G1296+IF(J1296="",0,J1296))</f>
        <v/>
      </c>
      <c r="I1296" s="5" t="n"/>
      <c r="J1296" s="5" t="n"/>
    </row>
    <row r="1297">
      <c r="A1297" s="5" t="n"/>
      <c r="B1297" s="5" t="n"/>
      <c r="C1297" s="5" t="n"/>
      <c r="D1297" s="5" t="n"/>
      <c r="E1297" s="4">
        <f>IF(C1297="","",COUNTIF($C$7:C1297,C1297))</f>
        <v/>
      </c>
      <c r="F1297" s="4">
        <f>IF(E1297="","",IF(E1297&lt;=3,6,IF(E1297&lt;=6,5,IF(E1297&lt;=9,4,IF(E1297&lt;=12,3,IF(E1297&lt;=15,2,0))))))</f>
        <v/>
      </c>
      <c r="G1297" s="5" t="n"/>
      <c r="H1297" s="4">
        <f>IF(OR(F1297="",G1297=""),"",F1297*G1297+IF(J1297="",0,J1297))</f>
        <v/>
      </c>
      <c r="I1297" s="5" t="n"/>
      <c r="J1297" s="5" t="n"/>
    </row>
    <row r="1298">
      <c r="A1298" s="5" t="n"/>
      <c r="B1298" s="5" t="n"/>
      <c r="C1298" s="5" t="n"/>
      <c r="D1298" s="5" t="n"/>
      <c r="E1298" s="4">
        <f>IF(C1298="","",COUNTIF($C$7:C1298,C1298))</f>
        <v/>
      </c>
      <c r="F1298" s="4">
        <f>IF(E1298="","",IF(E1298&lt;=3,6,IF(E1298&lt;=6,5,IF(E1298&lt;=9,4,IF(E1298&lt;=12,3,IF(E1298&lt;=15,2,0))))))</f>
        <v/>
      </c>
      <c r="G1298" s="5" t="n"/>
      <c r="H1298" s="4">
        <f>IF(OR(F1298="",G1298=""),"",F1298*G1298+IF(J1298="",0,J1298))</f>
        <v/>
      </c>
      <c r="I1298" s="5" t="n"/>
      <c r="J1298" s="5" t="n"/>
    </row>
    <row r="1299">
      <c r="A1299" s="5" t="n"/>
      <c r="B1299" s="5" t="n"/>
      <c r="C1299" s="5" t="n"/>
      <c r="D1299" s="5" t="n"/>
      <c r="E1299" s="4">
        <f>IF(C1299="","",COUNTIF($C$7:C1299,C1299))</f>
        <v/>
      </c>
      <c r="F1299" s="4">
        <f>IF(E1299="","",IF(E1299&lt;=3,6,IF(E1299&lt;=6,5,IF(E1299&lt;=9,4,IF(E1299&lt;=12,3,IF(E1299&lt;=15,2,0))))))</f>
        <v/>
      </c>
      <c r="G1299" s="5" t="n"/>
      <c r="H1299" s="4">
        <f>IF(OR(F1299="",G1299=""),"",F1299*G1299+IF(J1299="",0,J1299))</f>
        <v/>
      </c>
      <c r="I1299" s="5" t="n"/>
      <c r="J1299" s="5" t="n"/>
    </row>
    <row r="1300">
      <c r="A1300" s="5" t="n"/>
      <c r="B1300" s="5" t="n"/>
      <c r="C1300" s="5" t="n"/>
      <c r="D1300" s="5" t="n"/>
      <c r="E1300" s="4">
        <f>IF(C1300="","",COUNTIF($C$7:C1300,C1300))</f>
        <v/>
      </c>
      <c r="F1300" s="4">
        <f>IF(E1300="","",IF(E1300&lt;=3,6,IF(E1300&lt;=6,5,IF(E1300&lt;=9,4,IF(E1300&lt;=12,3,IF(E1300&lt;=15,2,0))))))</f>
        <v/>
      </c>
      <c r="G1300" s="5" t="n"/>
      <c r="H1300" s="4">
        <f>IF(OR(F1300="",G1300=""),"",F1300*G1300+IF(J1300="",0,J1300))</f>
        <v/>
      </c>
      <c r="I1300" s="5" t="n"/>
      <c r="J1300" s="5" t="n"/>
    </row>
    <row r="1301">
      <c r="A1301" s="5" t="n"/>
      <c r="B1301" s="5" t="n"/>
      <c r="C1301" s="5" t="n"/>
      <c r="D1301" s="5" t="n"/>
      <c r="E1301" s="4">
        <f>IF(C1301="","",COUNTIF($C$7:C1301,C1301))</f>
        <v/>
      </c>
      <c r="F1301" s="4">
        <f>IF(E1301="","",IF(E1301&lt;=3,6,IF(E1301&lt;=6,5,IF(E1301&lt;=9,4,IF(E1301&lt;=12,3,IF(E1301&lt;=15,2,0))))))</f>
        <v/>
      </c>
      <c r="G1301" s="5" t="n"/>
      <c r="H1301" s="4">
        <f>IF(OR(F1301="",G1301=""),"",F1301*G1301+IF(J1301="",0,J1301))</f>
        <v/>
      </c>
      <c r="I1301" s="5" t="n"/>
      <c r="J1301" s="5" t="n"/>
    </row>
    <row r="1302">
      <c r="A1302" s="5" t="n"/>
      <c r="B1302" s="5" t="n"/>
      <c r="C1302" s="5" t="n"/>
      <c r="D1302" s="5" t="n"/>
      <c r="E1302" s="4">
        <f>IF(C1302="","",COUNTIF($C$7:C1302,C1302))</f>
        <v/>
      </c>
      <c r="F1302" s="4">
        <f>IF(E1302="","",IF(E1302&lt;=3,6,IF(E1302&lt;=6,5,IF(E1302&lt;=9,4,IF(E1302&lt;=12,3,IF(E1302&lt;=15,2,0))))))</f>
        <v/>
      </c>
      <c r="G1302" s="5" t="n"/>
      <c r="H1302" s="4">
        <f>IF(OR(F1302="",G1302=""),"",F1302*G1302+IF(J1302="",0,J1302))</f>
        <v/>
      </c>
      <c r="I1302" s="5" t="n"/>
      <c r="J1302" s="5" t="n"/>
    </row>
    <row r="1303">
      <c r="A1303" s="5" t="n"/>
      <c r="B1303" s="5" t="n"/>
      <c r="C1303" s="5" t="n"/>
      <c r="D1303" s="5" t="n"/>
      <c r="E1303" s="4">
        <f>IF(C1303="","",COUNTIF($C$7:C1303,C1303))</f>
        <v/>
      </c>
      <c r="F1303" s="4">
        <f>IF(E1303="","",IF(E1303&lt;=3,6,IF(E1303&lt;=6,5,IF(E1303&lt;=9,4,IF(E1303&lt;=12,3,IF(E1303&lt;=15,2,0))))))</f>
        <v/>
      </c>
      <c r="G1303" s="5" t="n"/>
      <c r="H1303" s="4">
        <f>IF(OR(F1303="",G1303=""),"",F1303*G1303+IF(J1303="",0,J1303))</f>
        <v/>
      </c>
      <c r="I1303" s="5" t="n"/>
      <c r="J1303" s="5" t="n"/>
    </row>
    <row r="1304">
      <c r="A1304" s="5" t="n"/>
      <c r="B1304" s="5" t="n"/>
      <c r="C1304" s="5" t="n"/>
      <c r="D1304" s="5" t="n"/>
      <c r="E1304" s="4">
        <f>IF(C1304="","",COUNTIF($C$7:C1304,C1304))</f>
        <v/>
      </c>
      <c r="F1304" s="4">
        <f>IF(E1304="","",IF(E1304&lt;=3,6,IF(E1304&lt;=6,5,IF(E1304&lt;=9,4,IF(E1304&lt;=12,3,IF(E1304&lt;=15,2,0))))))</f>
        <v/>
      </c>
      <c r="G1304" s="5" t="n"/>
      <c r="H1304" s="4">
        <f>IF(OR(F1304="",G1304=""),"",F1304*G1304+IF(J1304="",0,J1304))</f>
        <v/>
      </c>
      <c r="I1304" s="5" t="n"/>
      <c r="J1304" s="5" t="n"/>
    </row>
    <row r="1305">
      <c r="A1305" s="5" t="n"/>
      <c r="B1305" s="5" t="n"/>
      <c r="C1305" s="5" t="n"/>
      <c r="D1305" s="5" t="n"/>
      <c r="E1305" s="4">
        <f>IF(C1305="","",COUNTIF($C$7:C1305,C1305))</f>
        <v/>
      </c>
      <c r="F1305" s="4">
        <f>IF(E1305="","",IF(E1305&lt;=3,6,IF(E1305&lt;=6,5,IF(E1305&lt;=9,4,IF(E1305&lt;=12,3,IF(E1305&lt;=15,2,0))))))</f>
        <v/>
      </c>
      <c r="G1305" s="5" t="n"/>
      <c r="H1305" s="4">
        <f>IF(OR(F1305="",G1305=""),"",F1305*G1305+IF(J1305="",0,J1305))</f>
        <v/>
      </c>
      <c r="I1305" s="5" t="n"/>
      <c r="J1305" s="5" t="n"/>
    </row>
    <row r="1306">
      <c r="A1306" s="5" t="n"/>
      <c r="B1306" s="5" t="n"/>
      <c r="C1306" s="5" t="n"/>
      <c r="D1306" s="5" t="n"/>
      <c r="E1306" s="4">
        <f>IF(C1306="","",COUNTIF($C$7:C1306,C1306))</f>
        <v/>
      </c>
      <c r="F1306" s="4">
        <f>IF(E1306="","",IF(E1306&lt;=3,6,IF(E1306&lt;=6,5,IF(E1306&lt;=9,4,IF(E1306&lt;=12,3,IF(E1306&lt;=15,2,0))))))</f>
        <v/>
      </c>
      <c r="G1306" s="5" t="n"/>
      <c r="H1306" s="4">
        <f>IF(OR(F1306="",G1306=""),"",F1306*G1306+IF(J1306="",0,J1306))</f>
        <v/>
      </c>
      <c r="I1306" s="5" t="n"/>
      <c r="J1306" s="5" t="n"/>
    </row>
    <row r="1307">
      <c r="A1307" s="5" t="n"/>
      <c r="B1307" s="5" t="n"/>
      <c r="C1307" s="5" t="n"/>
      <c r="D1307" s="5" t="n"/>
      <c r="E1307" s="4">
        <f>IF(C1307="","",COUNTIF($C$7:C1307,C1307))</f>
        <v/>
      </c>
      <c r="F1307" s="4">
        <f>IF(E1307="","",IF(E1307&lt;=3,6,IF(E1307&lt;=6,5,IF(E1307&lt;=9,4,IF(E1307&lt;=12,3,IF(E1307&lt;=15,2,0))))))</f>
        <v/>
      </c>
      <c r="G1307" s="5" t="n"/>
      <c r="H1307" s="4">
        <f>IF(OR(F1307="",G1307=""),"",F1307*G1307+IF(J1307="",0,J1307))</f>
        <v/>
      </c>
      <c r="I1307" s="5" t="n"/>
      <c r="J1307" s="5" t="n"/>
    </row>
    <row r="1308">
      <c r="A1308" s="5" t="n"/>
      <c r="B1308" s="5" t="n"/>
      <c r="C1308" s="5" t="n"/>
      <c r="D1308" s="5" t="n"/>
      <c r="E1308" s="4">
        <f>IF(C1308="","",COUNTIF($C$7:C1308,C1308))</f>
        <v/>
      </c>
      <c r="F1308" s="4">
        <f>IF(E1308="","",IF(E1308&lt;=3,6,IF(E1308&lt;=6,5,IF(E1308&lt;=9,4,IF(E1308&lt;=12,3,IF(E1308&lt;=15,2,0))))))</f>
        <v/>
      </c>
      <c r="G1308" s="5" t="n"/>
      <c r="H1308" s="4">
        <f>IF(OR(F1308="",G1308=""),"",F1308*G1308+IF(J1308="",0,J1308))</f>
        <v/>
      </c>
      <c r="I1308" s="5" t="n"/>
      <c r="J1308" s="5" t="n"/>
    </row>
    <row r="1309">
      <c r="A1309" s="5" t="n"/>
      <c r="B1309" s="5" t="n"/>
      <c r="C1309" s="5" t="n"/>
      <c r="D1309" s="5" t="n"/>
      <c r="E1309" s="4">
        <f>IF(C1309="","",COUNTIF($C$7:C1309,C1309))</f>
        <v/>
      </c>
      <c r="F1309" s="4">
        <f>IF(E1309="","",IF(E1309&lt;=3,6,IF(E1309&lt;=6,5,IF(E1309&lt;=9,4,IF(E1309&lt;=12,3,IF(E1309&lt;=15,2,0))))))</f>
        <v/>
      </c>
      <c r="G1309" s="5" t="n"/>
      <c r="H1309" s="4">
        <f>IF(OR(F1309="",G1309=""),"",F1309*G1309+IF(J1309="",0,J1309))</f>
        <v/>
      </c>
      <c r="I1309" s="5" t="n"/>
      <c r="J1309" s="5" t="n"/>
    </row>
    <row r="1310">
      <c r="A1310" s="5" t="n"/>
      <c r="B1310" s="5" t="n"/>
      <c r="C1310" s="5" t="n"/>
      <c r="D1310" s="5" t="n"/>
      <c r="E1310" s="4">
        <f>IF(C1310="","",COUNTIF($C$7:C1310,C1310))</f>
        <v/>
      </c>
      <c r="F1310" s="4">
        <f>IF(E1310="","",IF(E1310&lt;=3,6,IF(E1310&lt;=6,5,IF(E1310&lt;=9,4,IF(E1310&lt;=12,3,IF(E1310&lt;=15,2,0))))))</f>
        <v/>
      </c>
      <c r="G1310" s="5" t="n"/>
      <c r="H1310" s="4">
        <f>IF(OR(F1310="",G1310=""),"",F1310*G1310+IF(J1310="",0,J1310))</f>
        <v/>
      </c>
      <c r="I1310" s="5" t="n"/>
      <c r="J1310" s="5" t="n"/>
    </row>
    <row r="1311">
      <c r="A1311" s="5" t="n"/>
      <c r="B1311" s="5" t="n"/>
      <c r="C1311" s="5" t="n"/>
      <c r="D1311" s="5" t="n"/>
      <c r="E1311" s="4">
        <f>IF(C1311="","",COUNTIF($C$7:C1311,C1311))</f>
        <v/>
      </c>
      <c r="F1311" s="4">
        <f>IF(E1311="","",IF(E1311&lt;=3,6,IF(E1311&lt;=6,5,IF(E1311&lt;=9,4,IF(E1311&lt;=12,3,IF(E1311&lt;=15,2,0))))))</f>
        <v/>
      </c>
      <c r="G1311" s="5" t="n"/>
      <c r="H1311" s="4">
        <f>IF(OR(F1311="",G1311=""),"",F1311*G1311+IF(J1311="",0,J1311))</f>
        <v/>
      </c>
      <c r="I1311" s="5" t="n"/>
      <c r="J1311" s="5" t="n"/>
    </row>
    <row r="1312">
      <c r="A1312" s="5" t="n"/>
      <c r="B1312" s="5" t="n"/>
      <c r="C1312" s="5" t="n"/>
      <c r="D1312" s="5" t="n"/>
      <c r="E1312" s="4">
        <f>IF(C1312="","",COUNTIF($C$7:C1312,C1312))</f>
        <v/>
      </c>
      <c r="F1312" s="4">
        <f>IF(E1312="","",IF(E1312&lt;=3,6,IF(E1312&lt;=6,5,IF(E1312&lt;=9,4,IF(E1312&lt;=12,3,IF(E1312&lt;=15,2,0))))))</f>
        <v/>
      </c>
      <c r="G1312" s="5" t="n"/>
      <c r="H1312" s="4">
        <f>IF(OR(F1312="",G1312=""),"",F1312*G1312+IF(J1312="",0,J1312))</f>
        <v/>
      </c>
      <c r="I1312" s="5" t="n"/>
      <c r="J1312" s="5" t="n"/>
    </row>
    <row r="1313">
      <c r="A1313" s="5" t="n"/>
      <c r="B1313" s="5" t="n"/>
      <c r="C1313" s="5" t="n"/>
      <c r="D1313" s="5" t="n"/>
      <c r="E1313" s="4">
        <f>IF(C1313="","",COUNTIF($C$7:C1313,C1313))</f>
        <v/>
      </c>
      <c r="F1313" s="4">
        <f>IF(E1313="","",IF(E1313&lt;=3,6,IF(E1313&lt;=6,5,IF(E1313&lt;=9,4,IF(E1313&lt;=12,3,IF(E1313&lt;=15,2,0))))))</f>
        <v/>
      </c>
      <c r="G1313" s="5" t="n"/>
      <c r="H1313" s="4">
        <f>IF(OR(F1313="",G1313=""),"",F1313*G1313+IF(J1313="",0,J1313))</f>
        <v/>
      </c>
      <c r="I1313" s="5" t="n"/>
      <c r="J1313" s="5" t="n"/>
    </row>
    <row r="1314">
      <c r="A1314" s="5" t="n"/>
      <c r="B1314" s="5" t="n"/>
      <c r="C1314" s="5" t="n"/>
      <c r="D1314" s="5" t="n"/>
      <c r="E1314" s="4">
        <f>IF(C1314="","",COUNTIF($C$7:C1314,C1314))</f>
        <v/>
      </c>
      <c r="F1314" s="4">
        <f>IF(E1314="","",IF(E1314&lt;=3,6,IF(E1314&lt;=6,5,IF(E1314&lt;=9,4,IF(E1314&lt;=12,3,IF(E1314&lt;=15,2,0))))))</f>
        <v/>
      </c>
      <c r="G1314" s="5" t="n"/>
      <c r="H1314" s="4">
        <f>IF(OR(F1314="",G1314=""),"",F1314*G1314+IF(J1314="",0,J1314))</f>
        <v/>
      </c>
      <c r="I1314" s="5" t="n"/>
      <c r="J1314" s="5" t="n"/>
    </row>
    <row r="1315">
      <c r="A1315" s="5" t="n"/>
      <c r="B1315" s="5" t="n"/>
      <c r="C1315" s="5" t="n"/>
      <c r="D1315" s="5" t="n"/>
      <c r="E1315" s="4">
        <f>IF(C1315="","",COUNTIF($C$7:C1315,C1315))</f>
        <v/>
      </c>
      <c r="F1315" s="4">
        <f>IF(E1315="","",IF(E1315&lt;=3,6,IF(E1315&lt;=6,5,IF(E1315&lt;=9,4,IF(E1315&lt;=12,3,IF(E1315&lt;=15,2,0))))))</f>
        <v/>
      </c>
      <c r="G1315" s="5" t="n"/>
      <c r="H1315" s="4">
        <f>IF(OR(F1315="",G1315=""),"",F1315*G1315+IF(J1315="",0,J1315))</f>
        <v/>
      </c>
      <c r="I1315" s="5" t="n"/>
      <c r="J1315" s="5" t="n"/>
    </row>
    <row r="1316">
      <c r="A1316" s="5" t="n"/>
      <c r="B1316" s="5" t="n"/>
      <c r="C1316" s="5" t="n"/>
      <c r="D1316" s="5" t="n"/>
      <c r="E1316" s="4">
        <f>IF(C1316="","",COUNTIF($C$7:C1316,C1316))</f>
        <v/>
      </c>
      <c r="F1316" s="4">
        <f>IF(E1316="","",IF(E1316&lt;=3,6,IF(E1316&lt;=6,5,IF(E1316&lt;=9,4,IF(E1316&lt;=12,3,IF(E1316&lt;=15,2,0))))))</f>
        <v/>
      </c>
      <c r="G1316" s="5" t="n"/>
      <c r="H1316" s="4">
        <f>IF(OR(F1316="",G1316=""),"",F1316*G1316+IF(J1316="",0,J1316))</f>
        <v/>
      </c>
      <c r="I1316" s="5" t="n"/>
      <c r="J1316" s="5" t="n"/>
    </row>
    <row r="1317">
      <c r="A1317" s="5" t="n"/>
      <c r="B1317" s="5" t="n"/>
      <c r="C1317" s="5" t="n"/>
      <c r="D1317" s="5" t="n"/>
      <c r="E1317" s="4">
        <f>IF(C1317="","",COUNTIF($C$7:C1317,C1317))</f>
        <v/>
      </c>
      <c r="F1317" s="4">
        <f>IF(E1317="","",IF(E1317&lt;=3,6,IF(E1317&lt;=6,5,IF(E1317&lt;=9,4,IF(E1317&lt;=12,3,IF(E1317&lt;=15,2,0))))))</f>
        <v/>
      </c>
      <c r="G1317" s="5" t="n"/>
      <c r="H1317" s="4">
        <f>IF(OR(F1317="",G1317=""),"",F1317*G1317+IF(J1317="",0,J1317))</f>
        <v/>
      </c>
      <c r="I1317" s="5" t="n"/>
      <c r="J1317" s="5" t="n"/>
    </row>
    <row r="1318">
      <c r="A1318" s="5" t="n"/>
      <c r="B1318" s="5" t="n"/>
      <c r="C1318" s="5" t="n"/>
      <c r="D1318" s="5" t="n"/>
      <c r="E1318" s="4">
        <f>IF(C1318="","",COUNTIF($C$7:C1318,C1318))</f>
        <v/>
      </c>
      <c r="F1318" s="4">
        <f>IF(E1318="","",IF(E1318&lt;=3,6,IF(E1318&lt;=6,5,IF(E1318&lt;=9,4,IF(E1318&lt;=12,3,IF(E1318&lt;=15,2,0))))))</f>
        <v/>
      </c>
      <c r="G1318" s="5" t="n"/>
      <c r="H1318" s="4">
        <f>IF(OR(F1318="",G1318=""),"",F1318*G1318+IF(J1318="",0,J1318))</f>
        <v/>
      </c>
      <c r="I1318" s="5" t="n"/>
      <c r="J1318" s="5" t="n"/>
    </row>
    <row r="1319">
      <c r="A1319" s="5" t="n"/>
      <c r="B1319" s="5" t="n"/>
      <c r="C1319" s="5" t="n"/>
      <c r="D1319" s="5" t="n"/>
      <c r="E1319" s="4">
        <f>IF(C1319="","",COUNTIF($C$7:C1319,C1319))</f>
        <v/>
      </c>
      <c r="F1319" s="4">
        <f>IF(E1319="","",IF(E1319&lt;=3,6,IF(E1319&lt;=6,5,IF(E1319&lt;=9,4,IF(E1319&lt;=12,3,IF(E1319&lt;=15,2,0))))))</f>
        <v/>
      </c>
      <c r="G1319" s="5" t="n"/>
      <c r="H1319" s="4">
        <f>IF(OR(F1319="",G1319=""),"",F1319*G1319+IF(J1319="",0,J1319))</f>
        <v/>
      </c>
      <c r="I1319" s="5" t="n"/>
      <c r="J1319" s="5" t="n"/>
    </row>
    <row r="1320">
      <c r="A1320" s="5" t="n"/>
      <c r="B1320" s="5" t="n"/>
      <c r="C1320" s="5" t="n"/>
      <c r="D1320" s="5" t="n"/>
      <c r="E1320" s="4">
        <f>IF(C1320="","",COUNTIF($C$7:C1320,C1320))</f>
        <v/>
      </c>
      <c r="F1320" s="4">
        <f>IF(E1320="","",IF(E1320&lt;=3,6,IF(E1320&lt;=6,5,IF(E1320&lt;=9,4,IF(E1320&lt;=12,3,IF(E1320&lt;=15,2,0))))))</f>
        <v/>
      </c>
      <c r="G1320" s="5" t="n"/>
      <c r="H1320" s="4">
        <f>IF(OR(F1320="",G1320=""),"",F1320*G1320+IF(J1320="",0,J1320))</f>
        <v/>
      </c>
      <c r="I1320" s="5" t="n"/>
      <c r="J1320" s="5" t="n"/>
    </row>
    <row r="1321">
      <c r="A1321" s="5" t="n"/>
      <c r="B1321" s="5" t="n"/>
      <c r="C1321" s="5" t="n"/>
      <c r="D1321" s="5" t="n"/>
      <c r="E1321" s="4">
        <f>IF(C1321="","",COUNTIF($C$7:C1321,C1321))</f>
        <v/>
      </c>
      <c r="F1321" s="4">
        <f>IF(E1321="","",IF(E1321&lt;=3,6,IF(E1321&lt;=6,5,IF(E1321&lt;=9,4,IF(E1321&lt;=12,3,IF(E1321&lt;=15,2,0))))))</f>
        <v/>
      </c>
      <c r="G1321" s="5" t="n"/>
      <c r="H1321" s="4">
        <f>IF(OR(F1321="",G1321=""),"",F1321*G1321+IF(J1321="",0,J1321))</f>
        <v/>
      </c>
      <c r="I1321" s="5" t="n"/>
      <c r="J1321" s="5" t="n"/>
    </row>
    <row r="1322">
      <c r="A1322" s="5" t="n"/>
      <c r="B1322" s="5" t="n"/>
      <c r="C1322" s="5" t="n"/>
      <c r="D1322" s="5" t="n"/>
      <c r="E1322" s="4">
        <f>IF(C1322="","",COUNTIF($C$7:C1322,C1322))</f>
        <v/>
      </c>
      <c r="F1322" s="4">
        <f>IF(E1322="","",IF(E1322&lt;=3,6,IF(E1322&lt;=6,5,IF(E1322&lt;=9,4,IF(E1322&lt;=12,3,IF(E1322&lt;=15,2,0))))))</f>
        <v/>
      </c>
      <c r="G1322" s="5" t="n"/>
      <c r="H1322" s="4">
        <f>IF(OR(F1322="",G1322=""),"",F1322*G1322+IF(J1322="",0,J1322))</f>
        <v/>
      </c>
      <c r="I1322" s="5" t="n"/>
      <c r="J1322" s="5" t="n"/>
    </row>
    <row r="1323">
      <c r="A1323" s="5" t="n"/>
      <c r="B1323" s="5" t="n"/>
      <c r="C1323" s="5" t="n"/>
      <c r="D1323" s="5" t="n"/>
      <c r="E1323" s="4">
        <f>IF(C1323="","",COUNTIF($C$7:C1323,C1323))</f>
        <v/>
      </c>
      <c r="F1323" s="4">
        <f>IF(E1323="","",IF(E1323&lt;=3,6,IF(E1323&lt;=6,5,IF(E1323&lt;=9,4,IF(E1323&lt;=12,3,IF(E1323&lt;=15,2,0))))))</f>
        <v/>
      </c>
      <c r="G1323" s="5" t="n"/>
      <c r="H1323" s="4">
        <f>IF(OR(F1323="",G1323=""),"",F1323*G1323+IF(J1323="",0,J1323))</f>
        <v/>
      </c>
      <c r="I1323" s="5" t="n"/>
      <c r="J1323" s="5" t="n"/>
    </row>
    <row r="1324">
      <c r="A1324" s="5" t="n"/>
      <c r="B1324" s="5" t="n"/>
      <c r="C1324" s="5" t="n"/>
      <c r="D1324" s="5" t="n"/>
      <c r="E1324" s="4">
        <f>IF(C1324="","",COUNTIF($C$7:C1324,C1324))</f>
        <v/>
      </c>
      <c r="F1324" s="4">
        <f>IF(E1324="","",IF(E1324&lt;=3,6,IF(E1324&lt;=6,5,IF(E1324&lt;=9,4,IF(E1324&lt;=12,3,IF(E1324&lt;=15,2,0))))))</f>
        <v/>
      </c>
      <c r="G1324" s="5" t="n"/>
      <c r="H1324" s="4">
        <f>IF(OR(F1324="",G1324=""),"",F1324*G1324+IF(J1324="",0,J1324))</f>
        <v/>
      </c>
      <c r="I1324" s="5" t="n"/>
      <c r="J1324" s="5" t="n"/>
    </row>
    <row r="1325">
      <c r="A1325" s="5" t="n"/>
      <c r="B1325" s="5" t="n"/>
      <c r="C1325" s="5" t="n"/>
      <c r="D1325" s="5" t="n"/>
      <c r="E1325" s="4">
        <f>IF(C1325="","",COUNTIF($C$7:C1325,C1325))</f>
        <v/>
      </c>
      <c r="F1325" s="4">
        <f>IF(E1325="","",IF(E1325&lt;=3,6,IF(E1325&lt;=6,5,IF(E1325&lt;=9,4,IF(E1325&lt;=12,3,IF(E1325&lt;=15,2,0))))))</f>
        <v/>
      </c>
      <c r="G1325" s="5" t="n"/>
      <c r="H1325" s="4">
        <f>IF(OR(F1325="",G1325=""),"",F1325*G1325+IF(J1325="",0,J1325))</f>
        <v/>
      </c>
      <c r="I1325" s="5" t="n"/>
      <c r="J1325" s="5" t="n"/>
    </row>
    <row r="1326">
      <c r="A1326" s="5" t="n"/>
      <c r="B1326" s="5" t="n"/>
      <c r="C1326" s="5" t="n"/>
      <c r="D1326" s="5" t="n"/>
      <c r="E1326" s="4">
        <f>IF(C1326="","",COUNTIF($C$7:C1326,C1326))</f>
        <v/>
      </c>
      <c r="F1326" s="4">
        <f>IF(E1326="","",IF(E1326&lt;=3,6,IF(E1326&lt;=6,5,IF(E1326&lt;=9,4,IF(E1326&lt;=12,3,IF(E1326&lt;=15,2,0))))))</f>
        <v/>
      </c>
      <c r="G1326" s="5" t="n"/>
      <c r="H1326" s="4">
        <f>IF(OR(F1326="",G1326=""),"",F1326*G1326+IF(J1326="",0,J1326))</f>
        <v/>
      </c>
      <c r="I1326" s="5" t="n"/>
      <c r="J1326" s="5" t="n"/>
    </row>
    <row r="1327">
      <c r="A1327" s="5" t="n"/>
      <c r="B1327" s="5" t="n"/>
      <c r="C1327" s="5" t="n"/>
      <c r="D1327" s="5" t="n"/>
      <c r="E1327" s="4">
        <f>IF(C1327="","",COUNTIF($C$7:C1327,C1327))</f>
        <v/>
      </c>
      <c r="F1327" s="4">
        <f>IF(E1327="","",IF(E1327&lt;=3,6,IF(E1327&lt;=6,5,IF(E1327&lt;=9,4,IF(E1327&lt;=12,3,IF(E1327&lt;=15,2,0))))))</f>
        <v/>
      </c>
      <c r="G1327" s="5" t="n"/>
      <c r="H1327" s="4">
        <f>IF(OR(F1327="",G1327=""),"",F1327*G1327+IF(J1327="",0,J1327))</f>
        <v/>
      </c>
      <c r="I1327" s="5" t="n"/>
      <c r="J1327" s="5" t="n"/>
    </row>
    <row r="1328">
      <c r="A1328" s="5" t="n"/>
      <c r="B1328" s="5" t="n"/>
      <c r="C1328" s="5" t="n"/>
      <c r="D1328" s="5" t="n"/>
      <c r="E1328" s="4">
        <f>IF(C1328="","",COUNTIF($C$7:C1328,C1328))</f>
        <v/>
      </c>
      <c r="F1328" s="4">
        <f>IF(E1328="","",IF(E1328&lt;=3,6,IF(E1328&lt;=6,5,IF(E1328&lt;=9,4,IF(E1328&lt;=12,3,IF(E1328&lt;=15,2,0))))))</f>
        <v/>
      </c>
      <c r="G1328" s="5" t="n"/>
      <c r="H1328" s="4">
        <f>IF(OR(F1328="",G1328=""),"",F1328*G1328+IF(J1328="",0,J1328))</f>
        <v/>
      </c>
      <c r="I1328" s="5" t="n"/>
      <c r="J1328" s="5" t="n"/>
    </row>
    <row r="1329">
      <c r="A1329" s="5" t="n"/>
      <c r="B1329" s="5" t="n"/>
      <c r="C1329" s="5" t="n"/>
      <c r="D1329" s="5" t="n"/>
      <c r="E1329" s="4">
        <f>IF(C1329="","",COUNTIF($C$7:C1329,C1329))</f>
        <v/>
      </c>
      <c r="F1329" s="4">
        <f>IF(E1329="","",IF(E1329&lt;=3,6,IF(E1329&lt;=6,5,IF(E1329&lt;=9,4,IF(E1329&lt;=12,3,IF(E1329&lt;=15,2,0))))))</f>
        <v/>
      </c>
      <c r="G1329" s="5" t="n"/>
      <c r="H1329" s="4">
        <f>IF(OR(F1329="",G1329=""),"",F1329*G1329+IF(J1329="",0,J1329))</f>
        <v/>
      </c>
      <c r="I1329" s="5" t="n"/>
      <c r="J1329" s="5" t="n"/>
    </row>
    <row r="1330">
      <c r="A1330" s="5" t="n"/>
      <c r="B1330" s="5" t="n"/>
      <c r="C1330" s="5" t="n"/>
      <c r="D1330" s="5" t="n"/>
      <c r="E1330" s="4">
        <f>IF(C1330="","",COUNTIF($C$7:C1330,C1330))</f>
        <v/>
      </c>
      <c r="F1330" s="4">
        <f>IF(E1330="","",IF(E1330&lt;=3,6,IF(E1330&lt;=6,5,IF(E1330&lt;=9,4,IF(E1330&lt;=12,3,IF(E1330&lt;=15,2,0))))))</f>
        <v/>
      </c>
      <c r="G1330" s="5" t="n"/>
      <c r="H1330" s="4">
        <f>IF(OR(F1330="",G1330=""),"",F1330*G1330+IF(J1330="",0,J1330))</f>
        <v/>
      </c>
      <c r="I1330" s="5" t="n"/>
      <c r="J1330" s="5" t="n"/>
    </row>
    <row r="1331">
      <c r="A1331" s="5" t="n"/>
      <c r="B1331" s="5" t="n"/>
      <c r="C1331" s="5" t="n"/>
      <c r="D1331" s="5" t="n"/>
      <c r="E1331" s="4">
        <f>IF(C1331="","",COUNTIF($C$7:C1331,C1331))</f>
        <v/>
      </c>
      <c r="F1331" s="4">
        <f>IF(E1331="","",IF(E1331&lt;=3,6,IF(E1331&lt;=6,5,IF(E1331&lt;=9,4,IF(E1331&lt;=12,3,IF(E1331&lt;=15,2,0))))))</f>
        <v/>
      </c>
      <c r="G1331" s="5" t="n"/>
      <c r="H1331" s="4">
        <f>IF(OR(F1331="",G1331=""),"",F1331*G1331+IF(J1331="",0,J1331))</f>
        <v/>
      </c>
      <c r="I1331" s="5" t="n"/>
      <c r="J1331" s="5" t="n"/>
    </row>
    <row r="1332">
      <c r="A1332" s="5" t="n"/>
      <c r="B1332" s="5" t="n"/>
      <c r="C1332" s="5" t="n"/>
      <c r="D1332" s="5" t="n"/>
      <c r="E1332" s="4">
        <f>IF(C1332="","",COUNTIF($C$7:C1332,C1332))</f>
        <v/>
      </c>
      <c r="F1332" s="4">
        <f>IF(E1332="","",IF(E1332&lt;=3,6,IF(E1332&lt;=6,5,IF(E1332&lt;=9,4,IF(E1332&lt;=12,3,IF(E1332&lt;=15,2,0))))))</f>
        <v/>
      </c>
      <c r="G1332" s="5" t="n"/>
      <c r="H1332" s="4">
        <f>IF(OR(F1332="",G1332=""),"",F1332*G1332+IF(J1332="",0,J1332))</f>
        <v/>
      </c>
      <c r="I1332" s="5" t="n"/>
      <c r="J1332" s="5" t="n"/>
    </row>
    <row r="1333">
      <c r="A1333" s="5" t="n"/>
      <c r="B1333" s="5" t="n"/>
      <c r="C1333" s="5" t="n"/>
      <c r="D1333" s="5" t="n"/>
      <c r="E1333" s="4">
        <f>IF(C1333="","",COUNTIF($C$7:C1333,C1333))</f>
        <v/>
      </c>
      <c r="F1333" s="4">
        <f>IF(E1333="","",IF(E1333&lt;=3,6,IF(E1333&lt;=6,5,IF(E1333&lt;=9,4,IF(E1333&lt;=12,3,IF(E1333&lt;=15,2,0))))))</f>
        <v/>
      </c>
      <c r="G1333" s="5" t="n"/>
      <c r="H1333" s="4">
        <f>IF(OR(F1333="",G1333=""),"",F1333*G1333+IF(J1333="",0,J1333))</f>
        <v/>
      </c>
      <c r="I1333" s="5" t="n"/>
      <c r="J1333" s="5" t="n"/>
    </row>
    <row r="1334">
      <c r="A1334" s="5" t="n"/>
      <c r="B1334" s="5" t="n"/>
      <c r="C1334" s="5" t="n"/>
      <c r="D1334" s="5" t="n"/>
      <c r="E1334" s="4">
        <f>IF(C1334="","",COUNTIF($C$7:C1334,C1334))</f>
        <v/>
      </c>
      <c r="F1334" s="4">
        <f>IF(E1334="","",IF(E1334&lt;=3,6,IF(E1334&lt;=6,5,IF(E1334&lt;=9,4,IF(E1334&lt;=12,3,IF(E1334&lt;=15,2,0))))))</f>
        <v/>
      </c>
      <c r="G1334" s="5" t="n"/>
      <c r="H1334" s="4">
        <f>IF(OR(F1334="",G1334=""),"",F1334*G1334+IF(J1334="",0,J1334))</f>
        <v/>
      </c>
      <c r="I1334" s="5" t="n"/>
      <c r="J1334" s="5" t="n"/>
    </row>
    <row r="1335">
      <c r="A1335" s="5" t="n"/>
      <c r="B1335" s="5" t="n"/>
      <c r="C1335" s="5" t="n"/>
      <c r="D1335" s="5" t="n"/>
      <c r="E1335" s="4">
        <f>IF(C1335="","",COUNTIF($C$7:C1335,C1335))</f>
        <v/>
      </c>
      <c r="F1335" s="4">
        <f>IF(E1335="","",IF(E1335&lt;=3,6,IF(E1335&lt;=6,5,IF(E1335&lt;=9,4,IF(E1335&lt;=12,3,IF(E1335&lt;=15,2,0))))))</f>
        <v/>
      </c>
      <c r="G1335" s="5" t="n"/>
      <c r="H1335" s="4">
        <f>IF(OR(F1335="",G1335=""),"",F1335*G1335+IF(J1335="",0,J1335))</f>
        <v/>
      </c>
      <c r="I1335" s="5" t="n"/>
      <c r="J1335" s="5" t="n"/>
    </row>
    <row r="1336">
      <c r="A1336" s="5" t="n"/>
      <c r="B1336" s="5" t="n"/>
      <c r="C1336" s="5" t="n"/>
      <c r="D1336" s="5" t="n"/>
      <c r="E1336" s="4">
        <f>IF(C1336="","",COUNTIF($C$7:C1336,C1336))</f>
        <v/>
      </c>
      <c r="F1336" s="4">
        <f>IF(E1336="","",IF(E1336&lt;=3,6,IF(E1336&lt;=6,5,IF(E1336&lt;=9,4,IF(E1336&lt;=12,3,IF(E1336&lt;=15,2,0))))))</f>
        <v/>
      </c>
      <c r="G1336" s="5" t="n"/>
      <c r="H1336" s="4">
        <f>IF(OR(F1336="",G1336=""),"",F1336*G1336+IF(J1336="",0,J1336))</f>
        <v/>
      </c>
      <c r="I1336" s="5" t="n"/>
      <c r="J1336" s="5" t="n"/>
    </row>
    <row r="1337">
      <c r="A1337" s="5" t="n"/>
      <c r="B1337" s="5" t="n"/>
      <c r="C1337" s="5" t="n"/>
      <c r="D1337" s="5" t="n"/>
      <c r="E1337" s="4">
        <f>IF(C1337="","",COUNTIF($C$7:C1337,C1337))</f>
        <v/>
      </c>
      <c r="F1337" s="4">
        <f>IF(E1337="","",IF(E1337&lt;=3,6,IF(E1337&lt;=6,5,IF(E1337&lt;=9,4,IF(E1337&lt;=12,3,IF(E1337&lt;=15,2,0))))))</f>
        <v/>
      </c>
      <c r="G1337" s="5" t="n"/>
      <c r="H1337" s="4">
        <f>IF(OR(F1337="",G1337=""),"",F1337*G1337+IF(J1337="",0,J1337))</f>
        <v/>
      </c>
      <c r="I1337" s="5" t="n"/>
      <c r="J1337" s="5" t="n"/>
    </row>
    <row r="1338">
      <c r="A1338" s="5" t="n"/>
      <c r="B1338" s="5" t="n"/>
      <c r="C1338" s="5" t="n"/>
      <c r="D1338" s="5" t="n"/>
      <c r="E1338" s="4">
        <f>IF(C1338="","",COUNTIF($C$7:C1338,C1338))</f>
        <v/>
      </c>
      <c r="F1338" s="4">
        <f>IF(E1338="","",IF(E1338&lt;=3,6,IF(E1338&lt;=6,5,IF(E1338&lt;=9,4,IF(E1338&lt;=12,3,IF(E1338&lt;=15,2,0))))))</f>
        <v/>
      </c>
      <c r="G1338" s="5" t="n"/>
      <c r="H1338" s="4">
        <f>IF(OR(F1338="",G1338=""),"",F1338*G1338+IF(J1338="",0,J1338))</f>
        <v/>
      </c>
      <c r="I1338" s="5" t="n"/>
      <c r="J1338" s="5" t="n"/>
    </row>
    <row r="1339">
      <c r="A1339" s="5" t="n"/>
      <c r="B1339" s="5" t="n"/>
      <c r="C1339" s="5" t="n"/>
      <c r="D1339" s="5" t="n"/>
      <c r="E1339" s="4">
        <f>IF(C1339="","",COUNTIF($C$7:C1339,C1339))</f>
        <v/>
      </c>
      <c r="F1339" s="4">
        <f>IF(E1339="","",IF(E1339&lt;=3,6,IF(E1339&lt;=6,5,IF(E1339&lt;=9,4,IF(E1339&lt;=12,3,IF(E1339&lt;=15,2,0))))))</f>
        <v/>
      </c>
      <c r="G1339" s="5" t="n"/>
      <c r="H1339" s="4">
        <f>IF(OR(F1339="",G1339=""),"",F1339*G1339+IF(J1339="",0,J1339))</f>
        <v/>
      </c>
      <c r="I1339" s="5" t="n"/>
      <c r="J1339" s="5" t="n"/>
    </row>
    <row r="1340">
      <c r="A1340" s="5" t="n"/>
      <c r="B1340" s="5" t="n"/>
      <c r="C1340" s="5" t="n"/>
      <c r="D1340" s="5" t="n"/>
      <c r="E1340" s="4">
        <f>IF(C1340="","",COUNTIF($C$7:C1340,C1340))</f>
        <v/>
      </c>
      <c r="F1340" s="4">
        <f>IF(E1340="","",IF(E1340&lt;=3,6,IF(E1340&lt;=6,5,IF(E1340&lt;=9,4,IF(E1340&lt;=12,3,IF(E1340&lt;=15,2,0))))))</f>
        <v/>
      </c>
      <c r="G1340" s="5" t="n"/>
      <c r="H1340" s="4">
        <f>IF(OR(F1340="",G1340=""),"",F1340*G1340+IF(J1340="",0,J1340))</f>
        <v/>
      </c>
      <c r="I1340" s="5" t="n"/>
      <c r="J1340" s="5" t="n"/>
    </row>
    <row r="1341">
      <c r="A1341" s="5" t="n"/>
      <c r="B1341" s="5" t="n"/>
      <c r="C1341" s="5" t="n"/>
      <c r="D1341" s="5" t="n"/>
      <c r="E1341" s="4">
        <f>IF(C1341="","",COUNTIF($C$7:C1341,C1341))</f>
        <v/>
      </c>
      <c r="F1341" s="4">
        <f>IF(E1341="","",IF(E1341&lt;=3,6,IF(E1341&lt;=6,5,IF(E1341&lt;=9,4,IF(E1341&lt;=12,3,IF(E1341&lt;=15,2,0))))))</f>
        <v/>
      </c>
      <c r="G1341" s="5" t="n"/>
      <c r="H1341" s="4">
        <f>IF(OR(F1341="",G1341=""),"",F1341*G1341+IF(J1341="",0,J1341))</f>
        <v/>
      </c>
      <c r="I1341" s="5" t="n"/>
      <c r="J1341" s="5" t="n"/>
    </row>
    <row r="1342">
      <c r="A1342" s="5" t="n"/>
      <c r="B1342" s="5" t="n"/>
      <c r="C1342" s="5" t="n"/>
      <c r="D1342" s="5" t="n"/>
      <c r="E1342" s="4">
        <f>IF(C1342="","",COUNTIF($C$7:C1342,C1342))</f>
        <v/>
      </c>
      <c r="F1342" s="4">
        <f>IF(E1342="","",IF(E1342&lt;=3,6,IF(E1342&lt;=6,5,IF(E1342&lt;=9,4,IF(E1342&lt;=12,3,IF(E1342&lt;=15,2,0))))))</f>
        <v/>
      </c>
      <c r="G1342" s="5" t="n"/>
      <c r="H1342" s="4">
        <f>IF(OR(F1342="",G1342=""),"",F1342*G1342+IF(J1342="",0,J1342))</f>
        <v/>
      </c>
      <c r="I1342" s="5" t="n"/>
      <c r="J1342" s="5" t="n"/>
    </row>
    <row r="1343">
      <c r="A1343" s="5" t="n"/>
      <c r="B1343" s="5" t="n"/>
      <c r="C1343" s="5" t="n"/>
      <c r="D1343" s="5" t="n"/>
      <c r="E1343" s="4">
        <f>IF(C1343="","",COUNTIF($C$7:C1343,C1343))</f>
        <v/>
      </c>
      <c r="F1343" s="4">
        <f>IF(E1343="","",IF(E1343&lt;=3,6,IF(E1343&lt;=6,5,IF(E1343&lt;=9,4,IF(E1343&lt;=12,3,IF(E1343&lt;=15,2,0))))))</f>
        <v/>
      </c>
      <c r="G1343" s="5" t="n"/>
      <c r="H1343" s="4">
        <f>IF(OR(F1343="",G1343=""),"",F1343*G1343+IF(J1343="",0,J1343))</f>
        <v/>
      </c>
      <c r="I1343" s="5" t="n"/>
      <c r="J1343" s="5" t="n"/>
    </row>
    <row r="1344">
      <c r="A1344" s="5" t="n"/>
      <c r="B1344" s="5" t="n"/>
      <c r="C1344" s="5" t="n"/>
      <c r="D1344" s="5" t="n"/>
      <c r="E1344" s="4">
        <f>IF(C1344="","",COUNTIF($C$7:C1344,C1344))</f>
        <v/>
      </c>
      <c r="F1344" s="4">
        <f>IF(E1344="","",IF(E1344&lt;=3,6,IF(E1344&lt;=6,5,IF(E1344&lt;=9,4,IF(E1344&lt;=12,3,IF(E1344&lt;=15,2,0))))))</f>
        <v/>
      </c>
      <c r="G1344" s="5" t="n"/>
      <c r="H1344" s="4">
        <f>IF(OR(F1344="",G1344=""),"",F1344*G1344+IF(J1344="",0,J1344))</f>
        <v/>
      </c>
      <c r="I1344" s="5" t="n"/>
      <c r="J1344" s="5" t="n"/>
    </row>
    <row r="1345">
      <c r="A1345" s="5" t="n"/>
      <c r="B1345" s="5" t="n"/>
      <c r="C1345" s="5" t="n"/>
      <c r="D1345" s="5" t="n"/>
      <c r="E1345" s="4">
        <f>IF(C1345="","",COUNTIF($C$7:C1345,C1345))</f>
        <v/>
      </c>
      <c r="F1345" s="4">
        <f>IF(E1345="","",IF(E1345&lt;=3,6,IF(E1345&lt;=6,5,IF(E1345&lt;=9,4,IF(E1345&lt;=12,3,IF(E1345&lt;=15,2,0))))))</f>
        <v/>
      </c>
      <c r="G1345" s="5" t="n"/>
      <c r="H1345" s="4">
        <f>IF(OR(F1345="",G1345=""),"",F1345*G1345+IF(J1345="",0,J1345))</f>
        <v/>
      </c>
      <c r="I1345" s="5" t="n"/>
      <c r="J1345" s="5" t="n"/>
    </row>
    <row r="1346">
      <c r="A1346" s="5" t="n"/>
      <c r="B1346" s="5" t="n"/>
      <c r="C1346" s="5" t="n"/>
      <c r="D1346" s="5" t="n"/>
      <c r="E1346" s="4">
        <f>IF(C1346="","",COUNTIF($C$7:C1346,C1346))</f>
        <v/>
      </c>
      <c r="F1346" s="4">
        <f>IF(E1346="","",IF(E1346&lt;=3,6,IF(E1346&lt;=6,5,IF(E1346&lt;=9,4,IF(E1346&lt;=12,3,IF(E1346&lt;=15,2,0))))))</f>
        <v/>
      </c>
      <c r="G1346" s="5" t="n"/>
      <c r="H1346" s="4">
        <f>IF(OR(F1346="",G1346=""),"",F1346*G1346+IF(J1346="",0,J1346))</f>
        <v/>
      </c>
      <c r="I1346" s="5" t="n"/>
      <c r="J1346" s="5" t="n"/>
    </row>
    <row r="1347">
      <c r="A1347" s="5" t="n"/>
      <c r="B1347" s="5" t="n"/>
      <c r="C1347" s="5" t="n"/>
      <c r="D1347" s="5" t="n"/>
      <c r="E1347" s="4">
        <f>IF(C1347="","",COUNTIF($C$7:C1347,C1347))</f>
        <v/>
      </c>
      <c r="F1347" s="4">
        <f>IF(E1347="","",IF(E1347&lt;=3,6,IF(E1347&lt;=6,5,IF(E1347&lt;=9,4,IF(E1347&lt;=12,3,IF(E1347&lt;=15,2,0))))))</f>
        <v/>
      </c>
      <c r="G1347" s="5" t="n"/>
      <c r="H1347" s="4">
        <f>IF(OR(F1347="",G1347=""),"",F1347*G1347+IF(J1347="",0,J1347))</f>
        <v/>
      </c>
      <c r="I1347" s="5" t="n"/>
      <c r="J1347" s="5" t="n"/>
    </row>
    <row r="1348">
      <c r="A1348" s="5" t="n"/>
      <c r="B1348" s="5" t="n"/>
      <c r="C1348" s="5" t="n"/>
      <c r="D1348" s="5" t="n"/>
      <c r="E1348" s="4">
        <f>IF(C1348="","",COUNTIF($C$7:C1348,C1348))</f>
        <v/>
      </c>
      <c r="F1348" s="4">
        <f>IF(E1348="","",IF(E1348&lt;=3,6,IF(E1348&lt;=6,5,IF(E1348&lt;=9,4,IF(E1348&lt;=12,3,IF(E1348&lt;=15,2,0))))))</f>
        <v/>
      </c>
      <c r="G1348" s="5" t="n"/>
      <c r="H1348" s="4">
        <f>IF(OR(F1348="",G1348=""),"",F1348*G1348+IF(J1348="",0,J1348))</f>
        <v/>
      </c>
      <c r="I1348" s="5" t="n"/>
      <c r="J1348" s="5" t="n"/>
    </row>
    <row r="1349">
      <c r="A1349" s="5" t="n"/>
      <c r="B1349" s="5" t="n"/>
      <c r="C1349" s="5" t="n"/>
      <c r="D1349" s="5" t="n"/>
      <c r="E1349" s="4">
        <f>IF(C1349="","",COUNTIF($C$7:C1349,C1349))</f>
        <v/>
      </c>
      <c r="F1349" s="4">
        <f>IF(E1349="","",IF(E1349&lt;=3,6,IF(E1349&lt;=6,5,IF(E1349&lt;=9,4,IF(E1349&lt;=12,3,IF(E1349&lt;=15,2,0))))))</f>
        <v/>
      </c>
      <c r="G1349" s="5" t="n"/>
      <c r="H1349" s="4">
        <f>IF(OR(F1349="",G1349=""),"",F1349*G1349+IF(J1349="",0,J1349))</f>
        <v/>
      </c>
      <c r="I1349" s="5" t="n"/>
      <c r="J1349" s="5" t="n"/>
    </row>
    <row r="1350">
      <c r="A1350" s="5" t="n"/>
      <c r="B1350" s="5" t="n"/>
      <c r="C1350" s="5" t="n"/>
      <c r="D1350" s="5" t="n"/>
      <c r="E1350" s="4">
        <f>IF(C1350="","",COUNTIF($C$7:C1350,C1350))</f>
        <v/>
      </c>
      <c r="F1350" s="4">
        <f>IF(E1350="","",IF(E1350&lt;=3,6,IF(E1350&lt;=6,5,IF(E1350&lt;=9,4,IF(E1350&lt;=12,3,IF(E1350&lt;=15,2,0))))))</f>
        <v/>
      </c>
      <c r="G1350" s="5" t="n"/>
      <c r="H1350" s="4">
        <f>IF(OR(F1350="",G1350=""),"",F1350*G1350+IF(J1350="",0,J1350))</f>
        <v/>
      </c>
      <c r="I1350" s="5" t="n"/>
      <c r="J1350" s="5" t="n"/>
    </row>
    <row r="1351">
      <c r="A1351" s="5" t="n"/>
      <c r="B1351" s="5" t="n"/>
      <c r="C1351" s="5" t="n"/>
      <c r="D1351" s="5" t="n"/>
      <c r="E1351" s="4">
        <f>IF(C1351="","",COUNTIF($C$7:C1351,C1351))</f>
        <v/>
      </c>
      <c r="F1351" s="4">
        <f>IF(E1351="","",IF(E1351&lt;=3,6,IF(E1351&lt;=6,5,IF(E1351&lt;=9,4,IF(E1351&lt;=12,3,IF(E1351&lt;=15,2,0))))))</f>
        <v/>
      </c>
      <c r="G1351" s="5" t="n"/>
      <c r="H1351" s="4">
        <f>IF(OR(F1351="",G1351=""),"",F1351*G1351+IF(J1351="",0,J1351))</f>
        <v/>
      </c>
      <c r="I1351" s="5" t="n"/>
      <c r="J1351" s="5" t="n"/>
    </row>
    <row r="1352">
      <c r="A1352" s="5" t="n"/>
      <c r="B1352" s="5" t="n"/>
      <c r="C1352" s="5" t="n"/>
      <c r="D1352" s="5" t="n"/>
      <c r="E1352" s="4">
        <f>IF(C1352="","",COUNTIF($C$7:C1352,C1352))</f>
        <v/>
      </c>
      <c r="F1352" s="4">
        <f>IF(E1352="","",IF(E1352&lt;=3,6,IF(E1352&lt;=6,5,IF(E1352&lt;=9,4,IF(E1352&lt;=12,3,IF(E1352&lt;=15,2,0))))))</f>
        <v/>
      </c>
      <c r="G1352" s="5" t="n"/>
      <c r="H1352" s="4">
        <f>IF(OR(F1352="",G1352=""),"",F1352*G1352+IF(J1352="",0,J1352))</f>
        <v/>
      </c>
      <c r="I1352" s="5" t="n"/>
      <c r="J1352" s="5" t="n"/>
    </row>
    <row r="1353">
      <c r="A1353" s="5" t="n"/>
      <c r="B1353" s="5" t="n"/>
      <c r="C1353" s="5" t="n"/>
      <c r="D1353" s="5" t="n"/>
      <c r="E1353" s="4">
        <f>IF(C1353="","",COUNTIF($C$7:C1353,C1353))</f>
        <v/>
      </c>
      <c r="F1353" s="4">
        <f>IF(E1353="","",IF(E1353&lt;=3,6,IF(E1353&lt;=6,5,IF(E1353&lt;=9,4,IF(E1353&lt;=12,3,IF(E1353&lt;=15,2,0))))))</f>
        <v/>
      </c>
      <c r="G1353" s="5" t="n"/>
      <c r="H1353" s="4">
        <f>IF(OR(F1353="",G1353=""),"",F1353*G1353+IF(J1353="",0,J1353))</f>
        <v/>
      </c>
      <c r="I1353" s="5" t="n"/>
      <c r="J1353" s="5" t="n"/>
    </row>
    <row r="1354">
      <c r="A1354" s="5" t="n"/>
      <c r="B1354" s="5" t="n"/>
      <c r="C1354" s="5" t="n"/>
      <c r="D1354" s="5" t="n"/>
      <c r="E1354" s="4">
        <f>IF(C1354="","",COUNTIF($C$7:C1354,C1354))</f>
        <v/>
      </c>
      <c r="F1354" s="4">
        <f>IF(E1354="","",IF(E1354&lt;=3,6,IF(E1354&lt;=6,5,IF(E1354&lt;=9,4,IF(E1354&lt;=12,3,IF(E1354&lt;=15,2,0))))))</f>
        <v/>
      </c>
      <c r="G1354" s="5" t="n"/>
      <c r="H1354" s="4">
        <f>IF(OR(F1354="",G1354=""),"",F1354*G1354+IF(J1354="",0,J1354))</f>
        <v/>
      </c>
      <c r="I1354" s="5" t="n"/>
      <c r="J1354" s="5" t="n"/>
    </row>
    <row r="1355">
      <c r="A1355" s="5" t="n"/>
      <c r="B1355" s="5" t="n"/>
      <c r="C1355" s="5" t="n"/>
      <c r="D1355" s="5" t="n"/>
      <c r="E1355" s="4">
        <f>IF(C1355="","",COUNTIF($C$7:C1355,C1355))</f>
        <v/>
      </c>
      <c r="F1355" s="4">
        <f>IF(E1355="","",IF(E1355&lt;=3,6,IF(E1355&lt;=6,5,IF(E1355&lt;=9,4,IF(E1355&lt;=12,3,IF(E1355&lt;=15,2,0))))))</f>
        <v/>
      </c>
      <c r="G1355" s="5" t="n"/>
      <c r="H1355" s="4">
        <f>IF(OR(F1355="",G1355=""),"",F1355*G1355+IF(J1355="",0,J1355))</f>
        <v/>
      </c>
      <c r="I1355" s="5" t="n"/>
      <c r="J1355" s="5" t="n"/>
    </row>
    <row r="1356">
      <c r="A1356" s="5" t="n"/>
      <c r="B1356" s="5" t="n"/>
      <c r="C1356" s="5" t="n"/>
      <c r="D1356" s="5" t="n"/>
      <c r="E1356" s="4">
        <f>IF(C1356="","",COUNTIF($C$7:C1356,C1356))</f>
        <v/>
      </c>
      <c r="F1356" s="4">
        <f>IF(E1356="","",IF(E1356&lt;=3,6,IF(E1356&lt;=6,5,IF(E1356&lt;=9,4,IF(E1356&lt;=12,3,IF(E1356&lt;=15,2,0))))))</f>
        <v/>
      </c>
      <c r="G1356" s="5" t="n"/>
      <c r="H1356" s="4">
        <f>IF(OR(F1356="",G1356=""),"",F1356*G1356+IF(J1356="",0,J1356))</f>
        <v/>
      </c>
      <c r="I1356" s="5" t="n"/>
      <c r="J1356" s="5" t="n"/>
    </row>
    <row r="1357">
      <c r="A1357" s="5" t="n"/>
      <c r="B1357" s="5" t="n"/>
      <c r="C1357" s="5" t="n"/>
      <c r="D1357" s="5" t="n"/>
      <c r="E1357" s="4">
        <f>IF(C1357="","",COUNTIF($C$7:C1357,C1357))</f>
        <v/>
      </c>
      <c r="F1357" s="4">
        <f>IF(E1357="","",IF(E1357&lt;=3,6,IF(E1357&lt;=6,5,IF(E1357&lt;=9,4,IF(E1357&lt;=12,3,IF(E1357&lt;=15,2,0))))))</f>
        <v/>
      </c>
      <c r="G1357" s="5" t="n"/>
      <c r="H1357" s="4">
        <f>IF(OR(F1357="",G1357=""),"",F1357*G1357+IF(J1357="",0,J1357))</f>
        <v/>
      </c>
      <c r="I1357" s="5" t="n"/>
      <c r="J1357" s="5" t="n"/>
    </row>
    <row r="1358">
      <c r="A1358" s="5" t="n"/>
      <c r="B1358" s="5" t="n"/>
      <c r="C1358" s="5" t="n"/>
      <c r="D1358" s="5" t="n"/>
      <c r="E1358" s="4">
        <f>IF(C1358="","",COUNTIF($C$7:C1358,C1358))</f>
        <v/>
      </c>
      <c r="F1358" s="4">
        <f>IF(E1358="","",IF(E1358&lt;=3,6,IF(E1358&lt;=6,5,IF(E1358&lt;=9,4,IF(E1358&lt;=12,3,IF(E1358&lt;=15,2,0))))))</f>
        <v/>
      </c>
      <c r="G1358" s="5" t="n"/>
      <c r="H1358" s="4">
        <f>IF(OR(F1358="",G1358=""),"",F1358*G1358+IF(J1358="",0,J1358))</f>
        <v/>
      </c>
      <c r="I1358" s="5" t="n"/>
      <c r="J1358" s="5" t="n"/>
    </row>
    <row r="1359">
      <c r="A1359" s="5" t="n"/>
      <c r="B1359" s="5" t="n"/>
      <c r="C1359" s="5" t="n"/>
      <c r="D1359" s="5" t="n"/>
      <c r="E1359" s="4">
        <f>IF(C1359="","",COUNTIF($C$7:C1359,C1359))</f>
        <v/>
      </c>
      <c r="F1359" s="4">
        <f>IF(E1359="","",IF(E1359&lt;=3,6,IF(E1359&lt;=6,5,IF(E1359&lt;=9,4,IF(E1359&lt;=12,3,IF(E1359&lt;=15,2,0))))))</f>
        <v/>
      </c>
      <c r="G1359" s="5" t="n"/>
      <c r="H1359" s="4">
        <f>IF(OR(F1359="",G1359=""),"",F1359*G1359+IF(J1359="",0,J1359))</f>
        <v/>
      </c>
      <c r="I1359" s="5" t="n"/>
      <c r="J1359" s="5" t="n"/>
    </row>
    <row r="1360">
      <c r="A1360" s="5" t="n"/>
      <c r="B1360" s="5" t="n"/>
      <c r="C1360" s="5" t="n"/>
      <c r="D1360" s="5" t="n"/>
      <c r="E1360" s="4">
        <f>IF(C1360="","",COUNTIF($C$7:C1360,C1360))</f>
        <v/>
      </c>
      <c r="F1360" s="4">
        <f>IF(E1360="","",IF(E1360&lt;=3,6,IF(E1360&lt;=6,5,IF(E1360&lt;=9,4,IF(E1360&lt;=12,3,IF(E1360&lt;=15,2,0))))))</f>
        <v/>
      </c>
      <c r="G1360" s="5" t="n"/>
      <c r="H1360" s="4">
        <f>IF(OR(F1360="",G1360=""),"",F1360*G1360+IF(J1360="",0,J1360))</f>
        <v/>
      </c>
      <c r="I1360" s="5" t="n"/>
      <c r="J1360" s="5" t="n"/>
    </row>
    <row r="1361">
      <c r="A1361" s="5" t="n"/>
      <c r="B1361" s="5" t="n"/>
      <c r="C1361" s="5" t="n"/>
      <c r="D1361" s="5" t="n"/>
      <c r="E1361" s="4">
        <f>IF(C1361="","",COUNTIF($C$7:C1361,C1361))</f>
        <v/>
      </c>
      <c r="F1361" s="4">
        <f>IF(E1361="","",IF(E1361&lt;=3,6,IF(E1361&lt;=6,5,IF(E1361&lt;=9,4,IF(E1361&lt;=12,3,IF(E1361&lt;=15,2,0))))))</f>
        <v/>
      </c>
      <c r="G1361" s="5" t="n"/>
      <c r="H1361" s="4">
        <f>IF(OR(F1361="",G1361=""),"",F1361*G1361+IF(J1361="",0,J1361))</f>
        <v/>
      </c>
      <c r="I1361" s="5" t="n"/>
      <c r="J1361" s="5" t="n"/>
    </row>
    <row r="1362">
      <c r="A1362" s="5" t="n"/>
      <c r="B1362" s="5" t="n"/>
      <c r="C1362" s="5" t="n"/>
      <c r="D1362" s="5" t="n"/>
      <c r="E1362" s="4">
        <f>IF(C1362="","",COUNTIF($C$7:C1362,C1362))</f>
        <v/>
      </c>
      <c r="F1362" s="4">
        <f>IF(E1362="","",IF(E1362&lt;=3,6,IF(E1362&lt;=6,5,IF(E1362&lt;=9,4,IF(E1362&lt;=12,3,IF(E1362&lt;=15,2,0))))))</f>
        <v/>
      </c>
      <c r="G1362" s="5" t="n"/>
      <c r="H1362" s="4">
        <f>IF(OR(F1362="",G1362=""),"",F1362*G1362+IF(J1362="",0,J1362))</f>
        <v/>
      </c>
      <c r="I1362" s="5" t="n"/>
      <c r="J1362" s="5" t="n"/>
    </row>
    <row r="1363">
      <c r="A1363" s="5" t="n"/>
      <c r="B1363" s="5" t="n"/>
      <c r="C1363" s="5" t="n"/>
      <c r="D1363" s="5" t="n"/>
      <c r="E1363" s="4">
        <f>IF(C1363="","",COUNTIF($C$7:C1363,C1363))</f>
        <v/>
      </c>
      <c r="F1363" s="4">
        <f>IF(E1363="","",IF(E1363&lt;=3,6,IF(E1363&lt;=6,5,IF(E1363&lt;=9,4,IF(E1363&lt;=12,3,IF(E1363&lt;=15,2,0))))))</f>
        <v/>
      </c>
      <c r="G1363" s="5" t="n"/>
      <c r="H1363" s="4">
        <f>IF(OR(F1363="",G1363=""),"",F1363*G1363+IF(J1363="",0,J1363))</f>
        <v/>
      </c>
      <c r="I1363" s="5" t="n"/>
      <c r="J1363" s="5" t="n"/>
    </row>
    <row r="1364">
      <c r="A1364" s="5" t="n"/>
      <c r="B1364" s="5" t="n"/>
      <c r="C1364" s="5" t="n"/>
      <c r="D1364" s="5" t="n"/>
      <c r="E1364" s="4">
        <f>IF(C1364="","",COUNTIF($C$7:C1364,C1364))</f>
        <v/>
      </c>
      <c r="F1364" s="4">
        <f>IF(E1364="","",IF(E1364&lt;=3,6,IF(E1364&lt;=6,5,IF(E1364&lt;=9,4,IF(E1364&lt;=12,3,IF(E1364&lt;=15,2,0))))))</f>
        <v/>
      </c>
      <c r="G1364" s="5" t="n"/>
      <c r="H1364" s="4">
        <f>IF(OR(F1364="",G1364=""),"",F1364*G1364+IF(J1364="",0,J1364))</f>
        <v/>
      </c>
      <c r="I1364" s="5" t="n"/>
      <c r="J1364" s="5" t="n"/>
    </row>
    <row r="1365">
      <c r="A1365" s="5" t="n"/>
      <c r="B1365" s="5" t="n"/>
      <c r="C1365" s="5" t="n"/>
      <c r="D1365" s="5" t="n"/>
      <c r="E1365" s="4">
        <f>IF(C1365="","",COUNTIF($C$7:C1365,C1365))</f>
        <v/>
      </c>
      <c r="F1365" s="4">
        <f>IF(E1365="","",IF(E1365&lt;=3,6,IF(E1365&lt;=6,5,IF(E1365&lt;=9,4,IF(E1365&lt;=12,3,IF(E1365&lt;=15,2,0))))))</f>
        <v/>
      </c>
      <c r="G1365" s="5" t="n"/>
      <c r="H1365" s="4">
        <f>IF(OR(F1365="",G1365=""),"",F1365*G1365+IF(J1365="",0,J1365))</f>
        <v/>
      </c>
      <c r="I1365" s="5" t="n"/>
      <c r="J1365" s="5" t="n"/>
    </row>
    <row r="1366">
      <c r="A1366" s="5" t="n"/>
      <c r="B1366" s="5" t="n"/>
      <c r="C1366" s="5" t="n"/>
      <c r="D1366" s="5" t="n"/>
      <c r="E1366" s="4">
        <f>IF(C1366="","",COUNTIF($C$7:C1366,C1366))</f>
        <v/>
      </c>
      <c r="F1366" s="4">
        <f>IF(E1366="","",IF(E1366&lt;=3,6,IF(E1366&lt;=6,5,IF(E1366&lt;=9,4,IF(E1366&lt;=12,3,IF(E1366&lt;=15,2,0))))))</f>
        <v/>
      </c>
      <c r="G1366" s="5" t="n"/>
      <c r="H1366" s="4">
        <f>IF(OR(F1366="",G1366=""),"",F1366*G1366+IF(J1366="",0,J1366))</f>
        <v/>
      </c>
      <c r="I1366" s="5" t="n"/>
      <c r="J1366" s="5" t="n"/>
    </row>
    <row r="1367">
      <c r="A1367" s="5" t="n"/>
      <c r="B1367" s="5" t="n"/>
      <c r="C1367" s="5" t="n"/>
      <c r="D1367" s="5" t="n"/>
      <c r="E1367" s="4">
        <f>IF(C1367="","",COUNTIF($C$7:C1367,C1367))</f>
        <v/>
      </c>
      <c r="F1367" s="4">
        <f>IF(E1367="","",IF(E1367&lt;=3,6,IF(E1367&lt;=6,5,IF(E1367&lt;=9,4,IF(E1367&lt;=12,3,IF(E1367&lt;=15,2,0))))))</f>
        <v/>
      </c>
      <c r="G1367" s="5" t="n"/>
      <c r="H1367" s="4">
        <f>IF(OR(F1367="",G1367=""),"",F1367*G1367+IF(J1367="",0,J1367))</f>
        <v/>
      </c>
      <c r="I1367" s="5" t="n"/>
      <c r="J1367" s="5" t="n"/>
    </row>
    <row r="1368">
      <c r="A1368" s="5" t="n"/>
      <c r="B1368" s="5" t="n"/>
      <c r="C1368" s="5" t="n"/>
      <c r="D1368" s="5" t="n"/>
      <c r="E1368" s="4">
        <f>IF(C1368="","",COUNTIF($C$7:C1368,C1368))</f>
        <v/>
      </c>
      <c r="F1368" s="4">
        <f>IF(E1368="","",IF(E1368&lt;=3,6,IF(E1368&lt;=6,5,IF(E1368&lt;=9,4,IF(E1368&lt;=12,3,IF(E1368&lt;=15,2,0))))))</f>
        <v/>
      </c>
      <c r="G1368" s="5" t="n"/>
      <c r="H1368" s="4">
        <f>IF(OR(F1368="",G1368=""),"",F1368*G1368+IF(J1368="",0,J1368))</f>
        <v/>
      </c>
      <c r="I1368" s="5" t="n"/>
      <c r="J1368" s="5" t="n"/>
    </row>
    <row r="1369">
      <c r="A1369" s="5" t="n"/>
      <c r="B1369" s="5" t="n"/>
      <c r="C1369" s="5" t="n"/>
      <c r="D1369" s="5" t="n"/>
      <c r="E1369" s="4">
        <f>IF(C1369="","",COUNTIF($C$7:C1369,C1369))</f>
        <v/>
      </c>
      <c r="F1369" s="4">
        <f>IF(E1369="","",IF(E1369&lt;=3,6,IF(E1369&lt;=6,5,IF(E1369&lt;=9,4,IF(E1369&lt;=12,3,IF(E1369&lt;=15,2,0))))))</f>
        <v/>
      </c>
      <c r="G1369" s="5" t="n"/>
      <c r="H1369" s="4">
        <f>IF(OR(F1369="",G1369=""),"",F1369*G1369+IF(J1369="",0,J1369))</f>
        <v/>
      </c>
      <c r="I1369" s="5" t="n"/>
      <c r="J1369" s="5" t="n"/>
    </row>
    <row r="1370">
      <c r="A1370" s="5" t="n"/>
      <c r="B1370" s="5" t="n"/>
      <c r="C1370" s="5" t="n"/>
      <c r="D1370" s="5" t="n"/>
      <c r="E1370" s="4">
        <f>IF(C1370="","",COUNTIF($C$7:C1370,C1370))</f>
        <v/>
      </c>
      <c r="F1370" s="4">
        <f>IF(E1370="","",IF(E1370&lt;=3,6,IF(E1370&lt;=6,5,IF(E1370&lt;=9,4,IF(E1370&lt;=12,3,IF(E1370&lt;=15,2,0))))))</f>
        <v/>
      </c>
      <c r="G1370" s="5" t="n"/>
      <c r="H1370" s="4">
        <f>IF(OR(F1370="",G1370=""),"",F1370*G1370+IF(J1370="",0,J1370))</f>
        <v/>
      </c>
      <c r="I1370" s="5" t="n"/>
      <c r="J1370" s="5" t="n"/>
    </row>
    <row r="1371">
      <c r="A1371" s="5" t="n"/>
      <c r="B1371" s="5" t="n"/>
      <c r="C1371" s="5" t="n"/>
      <c r="D1371" s="5" t="n"/>
      <c r="E1371" s="4">
        <f>IF(C1371="","",COUNTIF($C$7:C1371,C1371))</f>
        <v/>
      </c>
      <c r="F1371" s="4">
        <f>IF(E1371="","",IF(E1371&lt;=3,6,IF(E1371&lt;=6,5,IF(E1371&lt;=9,4,IF(E1371&lt;=12,3,IF(E1371&lt;=15,2,0))))))</f>
        <v/>
      </c>
      <c r="G1371" s="5" t="n"/>
      <c r="H1371" s="4">
        <f>IF(OR(F1371="",G1371=""),"",F1371*G1371+IF(J1371="",0,J1371))</f>
        <v/>
      </c>
      <c r="I1371" s="5" t="n"/>
      <c r="J1371" s="5" t="n"/>
    </row>
    <row r="1372">
      <c r="A1372" s="5" t="n"/>
      <c r="B1372" s="5" t="n"/>
      <c r="C1372" s="5" t="n"/>
      <c r="D1372" s="5" t="n"/>
      <c r="E1372" s="4">
        <f>IF(C1372="","",COUNTIF($C$7:C1372,C1372))</f>
        <v/>
      </c>
      <c r="F1372" s="4">
        <f>IF(E1372="","",IF(E1372&lt;=3,6,IF(E1372&lt;=6,5,IF(E1372&lt;=9,4,IF(E1372&lt;=12,3,IF(E1372&lt;=15,2,0))))))</f>
        <v/>
      </c>
      <c r="G1372" s="5" t="n"/>
      <c r="H1372" s="4">
        <f>IF(OR(F1372="",G1372=""),"",F1372*G1372+IF(J1372="",0,J1372))</f>
        <v/>
      </c>
      <c r="I1372" s="5" t="n"/>
      <c r="J1372" s="5" t="n"/>
    </row>
    <row r="1373">
      <c r="A1373" s="5" t="n"/>
      <c r="B1373" s="5" t="n"/>
      <c r="C1373" s="5" t="n"/>
      <c r="D1373" s="5" t="n"/>
      <c r="E1373" s="4">
        <f>IF(C1373="","",COUNTIF($C$7:C1373,C1373))</f>
        <v/>
      </c>
      <c r="F1373" s="4">
        <f>IF(E1373="","",IF(E1373&lt;=3,6,IF(E1373&lt;=6,5,IF(E1373&lt;=9,4,IF(E1373&lt;=12,3,IF(E1373&lt;=15,2,0))))))</f>
        <v/>
      </c>
      <c r="G1373" s="5" t="n"/>
      <c r="H1373" s="4">
        <f>IF(OR(F1373="",G1373=""),"",F1373*G1373+IF(J1373="",0,J1373))</f>
        <v/>
      </c>
      <c r="I1373" s="5" t="n"/>
      <c r="J1373" s="5" t="n"/>
    </row>
    <row r="1374">
      <c r="A1374" s="5" t="n"/>
      <c r="B1374" s="5" t="n"/>
      <c r="C1374" s="5" t="n"/>
      <c r="D1374" s="5" t="n"/>
      <c r="E1374" s="4">
        <f>IF(C1374="","",COUNTIF($C$7:C1374,C1374))</f>
        <v/>
      </c>
      <c r="F1374" s="4">
        <f>IF(E1374="","",IF(E1374&lt;=3,6,IF(E1374&lt;=6,5,IF(E1374&lt;=9,4,IF(E1374&lt;=12,3,IF(E1374&lt;=15,2,0))))))</f>
        <v/>
      </c>
      <c r="G1374" s="5" t="n"/>
      <c r="H1374" s="4">
        <f>IF(OR(F1374="",G1374=""),"",F1374*G1374+IF(J1374="",0,J1374))</f>
        <v/>
      </c>
      <c r="I1374" s="5" t="n"/>
      <c r="J1374" s="5" t="n"/>
    </row>
    <row r="1375">
      <c r="A1375" s="5" t="n"/>
      <c r="B1375" s="5" t="n"/>
      <c r="C1375" s="5" t="n"/>
      <c r="D1375" s="5" t="n"/>
      <c r="E1375" s="4">
        <f>IF(C1375="","",COUNTIF($C$7:C1375,C1375))</f>
        <v/>
      </c>
      <c r="F1375" s="4">
        <f>IF(E1375="","",IF(E1375&lt;=3,6,IF(E1375&lt;=6,5,IF(E1375&lt;=9,4,IF(E1375&lt;=12,3,IF(E1375&lt;=15,2,0))))))</f>
        <v/>
      </c>
      <c r="G1375" s="5" t="n"/>
      <c r="H1375" s="4">
        <f>IF(OR(F1375="",G1375=""),"",F1375*G1375+IF(J1375="",0,J1375))</f>
        <v/>
      </c>
      <c r="I1375" s="5" t="n"/>
      <c r="J1375" s="5" t="n"/>
    </row>
    <row r="1376">
      <c r="A1376" s="5" t="n"/>
      <c r="B1376" s="5" t="n"/>
      <c r="C1376" s="5" t="n"/>
      <c r="D1376" s="5" t="n"/>
      <c r="E1376" s="4">
        <f>IF(C1376="","",COUNTIF($C$7:C1376,C1376))</f>
        <v/>
      </c>
      <c r="F1376" s="4">
        <f>IF(E1376="","",IF(E1376&lt;=3,6,IF(E1376&lt;=6,5,IF(E1376&lt;=9,4,IF(E1376&lt;=12,3,IF(E1376&lt;=15,2,0))))))</f>
        <v/>
      </c>
      <c r="G1376" s="5" t="n"/>
      <c r="H1376" s="4">
        <f>IF(OR(F1376="",G1376=""),"",F1376*G1376+IF(J1376="",0,J1376))</f>
        <v/>
      </c>
      <c r="I1376" s="5" t="n"/>
      <c r="J1376" s="5" t="n"/>
    </row>
    <row r="1377">
      <c r="A1377" s="5" t="n"/>
      <c r="B1377" s="5" t="n"/>
      <c r="C1377" s="5" t="n"/>
      <c r="D1377" s="5" t="n"/>
      <c r="E1377" s="4">
        <f>IF(C1377="","",COUNTIF($C$7:C1377,C1377))</f>
        <v/>
      </c>
      <c r="F1377" s="4">
        <f>IF(E1377="","",IF(E1377&lt;=3,6,IF(E1377&lt;=6,5,IF(E1377&lt;=9,4,IF(E1377&lt;=12,3,IF(E1377&lt;=15,2,0))))))</f>
        <v/>
      </c>
      <c r="G1377" s="5" t="n"/>
      <c r="H1377" s="4">
        <f>IF(OR(F1377="",G1377=""),"",F1377*G1377+IF(J1377="",0,J1377))</f>
        <v/>
      </c>
      <c r="I1377" s="5" t="n"/>
      <c r="J1377" s="5" t="n"/>
    </row>
    <row r="1378">
      <c r="A1378" s="5" t="n"/>
      <c r="B1378" s="5" t="n"/>
      <c r="C1378" s="5" t="n"/>
      <c r="D1378" s="5" t="n"/>
      <c r="E1378" s="4">
        <f>IF(C1378="","",COUNTIF($C$7:C1378,C1378))</f>
        <v/>
      </c>
      <c r="F1378" s="4">
        <f>IF(E1378="","",IF(E1378&lt;=3,6,IF(E1378&lt;=6,5,IF(E1378&lt;=9,4,IF(E1378&lt;=12,3,IF(E1378&lt;=15,2,0))))))</f>
        <v/>
      </c>
      <c r="G1378" s="5" t="n"/>
      <c r="H1378" s="4">
        <f>IF(OR(F1378="",G1378=""),"",F1378*G1378+IF(J1378="",0,J1378))</f>
        <v/>
      </c>
      <c r="I1378" s="5" t="n"/>
      <c r="J1378" s="5" t="n"/>
    </row>
    <row r="1379">
      <c r="A1379" s="5" t="n"/>
      <c r="B1379" s="5" t="n"/>
      <c r="C1379" s="5" t="n"/>
      <c r="D1379" s="5" t="n"/>
      <c r="E1379" s="4">
        <f>IF(C1379="","",COUNTIF($C$7:C1379,C1379))</f>
        <v/>
      </c>
      <c r="F1379" s="4">
        <f>IF(E1379="","",IF(E1379&lt;=3,6,IF(E1379&lt;=6,5,IF(E1379&lt;=9,4,IF(E1379&lt;=12,3,IF(E1379&lt;=15,2,0))))))</f>
        <v/>
      </c>
      <c r="G1379" s="5" t="n"/>
      <c r="H1379" s="4">
        <f>IF(OR(F1379="",G1379=""),"",F1379*G1379+IF(J1379="",0,J1379))</f>
        <v/>
      </c>
      <c r="I1379" s="5" t="n"/>
      <c r="J1379" s="5" t="n"/>
    </row>
    <row r="1380">
      <c r="A1380" s="5" t="n"/>
      <c r="B1380" s="5" t="n"/>
      <c r="C1380" s="5" t="n"/>
      <c r="D1380" s="5" t="n"/>
      <c r="E1380" s="4">
        <f>IF(C1380="","",COUNTIF($C$7:C1380,C1380))</f>
        <v/>
      </c>
      <c r="F1380" s="4">
        <f>IF(E1380="","",IF(E1380&lt;=3,6,IF(E1380&lt;=6,5,IF(E1380&lt;=9,4,IF(E1380&lt;=12,3,IF(E1380&lt;=15,2,0))))))</f>
        <v/>
      </c>
      <c r="G1380" s="5" t="n"/>
      <c r="H1380" s="4">
        <f>IF(OR(F1380="",G1380=""),"",F1380*G1380+IF(J1380="",0,J1380))</f>
        <v/>
      </c>
      <c r="I1380" s="5" t="n"/>
      <c r="J1380" s="5" t="n"/>
    </row>
    <row r="1381">
      <c r="A1381" s="5" t="n"/>
      <c r="B1381" s="5" t="n"/>
      <c r="C1381" s="5" t="n"/>
      <c r="D1381" s="5" t="n"/>
      <c r="E1381" s="4">
        <f>IF(C1381="","",COUNTIF($C$7:C1381,C1381))</f>
        <v/>
      </c>
      <c r="F1381" s="4">
        <f>IF(E1381="","",IF(E1381&lt;=3,6,IF(E1381&lt;=6,5,IF(E1381&lt;=9,4,IF(E1381&lt;=12,3,IF(E1381&lt;=15,2,0))))))</f>
        <v/>
      </c>
      <c r="G1381" s="5" t="n"/>
      <c r="H1381" s="4">
        <f>IF(OR(F1381="",G1381=""),"",F1381*G1381+IF(J1381="",0,J1381))</f>
        <v/>
      </c>
      <c r="I1381" s="5" t="n"/>
      <c r="J1381" s="5" t="n"/>
    </row>
    <row r="1382">
      <c r="A1382" s="5" t="n"/>
      <c r="B1382" s="5" t="n"/>
      <c r="C1382" s="5" t="n"/>
      <c r="D1382" s="5" t="n"/>
      <c r="E1382" s="4">
        <f>IF(C1382="","",COUNTIF($C$7:C1382,C1382))</f>
        <v/>
      </c>
      <c r="F1382" s="4">
        <f>IF(E1382="","",IF(E1382&lt;=3,6,IF(E1382&lt;=6,5,IF(E1382&lt;=9,4,IF(E1382&lt;=12,3,IF(E1382&lt;=15,2,0))))))</f>
        <v/>
      </c>
      <c r="G1382" s="5" t="n"/>
      <c r="H1382" s="4">
        <f>IF(OR(F1382="",G1382=""),"",F1382*G1382+IF(J1382="",0,J1382))</f>
        <v/>
      </c>
      <c r="I1382" s="5" t="n"/>
      <c r="J1382" s="5" t="n"/>
    </row>
    <row r="1383">
      <c r="A1383" s="5" t="n"/>
      <c r="B1383" s="5" t="n"/>
      <c r="C1383" s="5" t="n"/>
      <c r="D1383" s="5" t="n"/>
      <c r="E1383" s="4">
        <f>IF(C1383="","",COUNTIF($C$7:C1383,C1383))</f>
        <v/>
      </c>
      <c r="F1383" s="4">
        <f>IF(E1383="","",IF(E1383&lt;=3,6,IF(E1383&lt;=6,5,IF(E1383&lt;=9,4,IF(E1383&lt;=12,3,IF(E1383&lt;=15,2,0))))))</f>
        <v/>
      </c>
      <c r="G1383" s="5" t="n"/>
      <c r="H1383" s="4">
        <f>IF(OR(F1383="",G1383=""),"",F1383*G1383+IF(J1383="",0,J1383))</f>
        <v/>
      </c>
      <c r="I1383" s="5" t="n"/>
      <c r="J1383" s="5" t="n"/>
    </row>
    <row r="1384">
      <c r="A1384" s="5" t="n"/>
      <c r="B1384" s="5" t="n"/>
      <c r="C1384" s="5" t="n"/>
      <c r="D1384" s="5" t="n"/>
      <c r="E1384" s="4">
        <f>IF(C1384="","",COUNTIF($C$7:C1384,C1384))</f>
        <v/>
      </c>
      <c r="F1384" s="4">
        <f>IF(E1384="","",IF(E1384&lt;=3,6,IF(E1384&lt;=6,5,IF(E1384&lt;=9,4,IF(E1384&lt;=12,3,IF(E1384&lt;=15,2,0))))))</f>
        <v/>
      </c>
      <c r="G1384" s="5" t="n"/>
      <c r="H1384" s="4">
        <f>IF(OR(F1384="",G1384=""),"",F1384*G1384+IF(J1384="",0,J1384))</f>
        <v/>
      </c>
      <c r="I1384" s="5" t="n"/>
      <c r="J1384" s="5" t="n"/>
    </row>
    <row r="1385">
      <c r="A1385" s="5" t="n"/>
      <c r="B1385" s="5" t="n"/>
      <c r="C1385" s="5" t="n"/>
      <c r="D1385" s="5" t="n"/>
      <c r="E1385" s="4">
        <f>IF(C1385="","",COUNTIF($C$7:C1385,C1385))</f>
        <v/>
      </c>
      <c r="F1385" s="4">
        <f>IF(E1385="","",IF(E1385&lt;=3,6,IF(E1385&lt;=6,5,IF(E1385&lt;=9,4,IF(E1385&lt;=12,3,IF(E1385&lt;=15,2,0))))))</f>
        <v/>
      </c>
      <c r="G1385" s="5" t="n"/>
      <c r="H1385" s="4">
        <f>IF(OR(F1385="",G1385=""),"",F1385*G1385+IF(J1385="",0,J1385))</f>
        <v/>
      </c>
      <c r="I1385" s="5" t="n"/>
      <c r="J1385" s="5" t="n"/>
    </row>
    <row r="1386">
      <c r="A1386" s="5" t="n"/>
      <c r="B1386" s="5" t="n"/>
      <c r="C1386" s="5" t="n"/>
      <c r="D1386" s="5" t="n"/>
      <c r="E1386" s="4">
        <f>IF(C1386="","",COUNTIF($C$7:C1386,C1386))</f>
        <v/>
      </c>
      <c r="F1386" s="4">
        <f>IF(E1386="","",IF(E1386&lt;=3,6,IF(E1386&lt;=6,5,IF(E1386&lt;=9,4,IF(E1386&lt;=12,3,IF(E1386&lt;=15,2,0))))))</f>
        <v/>
      </c>
      <c r="G1386" s="5" t="n"/>
      <c r="H1386" s="4">
        <f>IF(OR(F1386="",G1386=""),"",F1386*G1386+IF(J1386="",0,J1386))</f>
        <v/>
      </c>
      <c r="I1386" s="5" t="n"/>
      <c r="J1386" s="5" t="n"/>
    </row>
    <row r="1387">
      <c r="A1387" s="5" t="n"/>
      <c r="B1387" s="5" t="n"/>
      <c r="C1387" s="5" t="n"/>
      <c r="D1387" s="5" t="n"/>
      <c r="E1387" s="4">
        <f>IF(C1387="","",COUNTIF($C$7:C1387,C1387))</f>
        <v/>
      </c>
      <c r="F1387" s="4">
        <f>IF(E1387="","",IF(E1387&lt;=3,6,IF(E1387&lt;=6,5,IF(E1387&lt;=9,4,IF(E1387&lt;=12,3,IF(E1387&lt;=15,2,0))))))</f>
        <v/>
      </c>
      <c r="G1387" s="5" t="n"/>
      <c r="H1387" s="4">
        <f>IF(OR(F1387="",G1387=""),"",F1387*G1387+IF(J1387="",0,J1387))</f>
        <v/>
      </c>
      <c r="I1387" s="5" t="n"/>
      <c r="J1387" s="5" t="n"/>
    </row>
    <row r="1388">
      <c r="A1388" s="5" t="n"/>
      <c r="B1388" s="5" t="n"/>
      <c r="C1388" s="5" t="n"/>
      <c r="D1388" s="5" t="n"/>
      <c r="E1388" s="4">
        <f>IF(C1388="","",COUNTIF($C$7:C1388,C1388))</f>
        <v/>
      </c>
      <c r="F1388" s="4">
        <f>IF(E1388="","",IF(E1388&lt;=3,6,IF(E1388&lt;=6,5,IF(E1388&lt;=9,4,IF(E1388&lt;=12,3,IF(E1388&lt;=15,2,0))))))</f>
        <v/>
      </c>
      <c r="G1388" s="5" t="n"/>
      <c r="H1388" s="4">
        <f>IF(OR(F1388="",G1388=""),"",F1388*G1388+IF(J1388="",0,J1388))</f>
        <v/>
      </c>
      <c r="I1388" s="5" t="n"/>
      <c r="J1388" s="5" t="n"/>
    </row>
    <row r="1389">
      <c r="A1389" s="5" t="n"/>
      <c r="B1389" s="5" t="n"/>
      <c r="C1389" s="5" t="n"/>
      <c r="D1389" s="5" t="n"/>
      <c r="E1389" s="4">
        <f>IF(C1389="","",COUNTIF($C$7:C1389,C1389))</f>
        <v/>
      </c>
      <c r="F1389" s="4">
        <f>IF(E1389="","",IF(E1389&lt;=3,6,IF(E1389&lt;=6,5,IF(E1389&lt;=9,4,IF(E1389&lt;=12,3,IF(E1389&lt;=15,2,0))))))</f>
        <v/>
      </c>
      <c r="G1389" s="5" t="n"/>
      <c r="H1389" s="4">
        <f>IF(OR(F1389="",G1389=""),"",F1389*G1389+IF(J1389="",0,J1389))</f>
        <v/>
      </c>
      <c r="I1389" s="5" t="n"/>
      <c r="J1389" s="5" t="n"/>
    </row>
    <row r="1390">
      <c r="A1390" s="5" t="n"/>
      <c r="B1390" s="5" t="n"/>
      <c r="C1390" s="5" t="n"/>
      <c r="D1390" s="5" t="n"/>
      <c r="E1390" s="4">
        <f>IF(C1390="","",COUNTIF($C$7:C1390,C1390))</f>
        <v/>
      </c>
      <c r="F1390" s="4">
        <f>IF(E1390="","",IF(E1390&lt;=3,6,IF(E1390&lt;=6,5,IF(E1390&lt;=9,4,IF(E1390&lt;=12,3,IF(E1390&lt;=15,2,0))))))</f>
        <v/>
      </c>
      <c r="G1390" s="5" t="n"/>
      <c r="H1390" s="4">
        <f>IF(OR(F1390="",G1390=""),"",F1390*G1390+IF(J1390="",0,J1390))</f>
        <v/>
      </c>
      <c r="I1390" s="5" t="n"/>
      <c r="J1390" s="5" t="n"/>
    </row>
    <row r="1391">
      <c r="A1391" s="5" t="n"/>
      <c r="B1391" s="5" t="n"/>
      <c r="C1391" s="5" t="n"/>
      <c r="D1391" s="5" t="n"/>
      <c r="E1391" s="4">
        <f>IF(C1391="","",COUNTIF($C$7:C1391,C1391))</f>
        <v/>
      </c>
      <c r="F1391" s="4">
        <f>IF(E1391="","",IF(E1391&lt;=3,6,IF(E1391&lt;=6,5,IF(E1391&lt;=9,4,IF(E1391&lt;=12,3,IF(E1391&lt;=15,2,0))))))</f>
        <v/>
      </c>
      <c r="G1391" s="5" t="n"/>
      <c r="H1391" s="4">
        <f>IF(OR(F1391="",G1391=""),"",F1391*G1391+IF(J1391="",0,J1391))</f>
        <v/>
      </c>
      <c r="I1391" s="5" t="n"/>
      <c r="J1391" s="5" t="n"/>
    </row>
    <row r="1392">
      <c r="A1392" s="5" t="n"/>
      <c r="B1392" s="5" t="n"/>
      <c r="C1392" s="5" t="n"/>
      <c r="D1392" s="5" t="n"/>
      <c r="E1392" s="4">
        <f>IF(C1392="","",COUNTIF($C$7:C1392,C1392))</f>
        <v/>
      </c>
      <c r="F1392" s="4">
        <f>IF(E1392="","",IF(E1392&lt;=3,6,IF(E1392&lt;=6,5,IF(E1392&lt;=9,4,IF(E1392&lt;=12,3,IF(E1392&lt;=15,2,0))))))</f>
        <v/>
      </c>
      <c r="G1392" s="5" t="n"/>
      <c r="H1392" s="4">
        <f>IF(OR(F1392="",G1392=""),"",F1392*G1392+IF(J1392="",0,J1392))</f>
        <v/>
      </c>
      <c r="I1392" s="5" t="n"/>
      <c r="J1392" s="5" t="n"/>
    </row>
    <row r="1393">
      <c r="A1393" s="5" t="n"/>
      <c r="B1393" s="5" t="n"/>
      <c r="C1393" s="5" t="n"/>
      <c r="D1393" s="5" t="n"/>
      <c r="E1393" s="4">
        <f>IF(C1393="","",COUNTIF($C$7:C1393,C1393))</f>
        <v/>
      </c>
      <c r="F1393" s="4">
        <f>IF(E1393="","",IF(E1393&lt;=3,6,IF(E1393&lt;=6,5,IF(E1393&lt;=9,4,IF(E1393&lt;=12,3,IF(E1393&lt;=15,2,0))))))</f>
        <v/>
      </c>
      <c r="G1393" s="5" t="n"/>
      <c r="H1393" s="4">
        <f>IF(OR(F1393="",G1393=""),"",F1393*G1393+IF(J1393="",0,J1393))</f>
        <v/>
      </c>
      <c r="I1393" s="5" t="n"/>
      <c r="J1393" s="5" t="n"/>
    </row>
    <row r="1394">
      <c r="A1394" s="5" t="n"/>
      <c r="B1394" s="5" t="n"/>
      <c r="C1394" s="5" t="n"/>
      <c r="D1394" s="5" t="n"/>
      <c r="E1394" s="4">
        <f>IF(C1394="","",COUNTIF($C$7:C1394,C1394))</f>
        <v/>
      </c>
      <c r="F1394" s="4">
        <f>IF(E1394="","",IF(E1394&lt;=3,6,IF(E1394&lt;=6,5,IF(E1394&lt;=9,4,IF(E1394&lt;=12,3,IF(E1394&lt;=15,2,0))))))</f>
        <v/>
      </c>
      <c r="G1394" s="5" t="n"/>
      <c r="H1394" s="4">
        <f>IF(OR(F1394="",G1394=""),"",F1394*G1394+IF(J1394="",0,J1394))</f>
        <v/>
      </c>
      <c r="I1394" s="5" t="n"/>
      <c r="J1394" s="5" t="n"/>
    </row>
    <row r="1395">
      <c r="A1395" s="5" t="n"/>
      <c r="B1395" s="5" t="n"/>
      <c r="C1395" s="5" t="n"/>
      <c r="D1395" s="5" t="n"/>
      <c r="E1395" s="4">
        <f>IF(C1395="","",COUNTIF($C$7:C1395,C1395))</f>
        <v/>
      </c>
      <c r="F1395" s="4">
        <f>IF(E1395="","",IF(E1395&lt;=3,6,IF(E1395&lt;=6,5,IF(E1395&lt;=9,4,IF(E1395&lt;=12,3,IF(E1395&lt;=15,2,0))))))</f>
        <v/>
      </c>
      <c r="G1395" s="5" t="n"/>
      <c r="H1395" s="4">
        <f>IF(OR(F1395="",G1395=""),"",F1395*G1395+IF(J1395="",0,J1395))</f>
        <v/>
      </c>
      <c r="I1395" s="5" t="n"/>
      <c r="J1395" s="5" t="n"/>
    </row>
    <row r="1396">
      <c r="A1396" s="5" t="n"/>
      <c r="B1396" s="5" t="n"/>
      <c r="C1396" s="5" t="n"/>
      <c r="D1396" s="5" t="n"/>
      <c r="E1396" s="4">
        <f>IF(C1396="","",COUNTIF($C$7:C1396,C1396))</f>
        <v/>
      </c>
      <c r="F1396" s="4">
        <f>IF(E1396="","",IF(E1396&lt;=3,6,IF(E1396&lt;=6,5,IF(E1396&lt;=9,4,IF(E1396&lt;=12,3,IF(E1396&lt;=15,2,0))))))</f>
        <v/>
      </c>
      <c r="G1396" s="5" t="n"/>
      <c r="H1396" s="4">
        <f>IF(OR(F1396="",G1396=""),"",F1396*G1396+IF(J1396="",0,J1396))</f>
        <v/>
      </c>
      <c r="I1396" s="5" t="n"/>
      <c r="J1396" s="5" t="n"/>
    </row>
    <row r="1397">
      <c r="A1397" s="5" t="n"/>
      <c r="B1397" s="5" t="n"/>
      <c r="C1397" s="5" t="n"/>
      <c r="D1397" s="5" t="n"/>
      <c r="E1397" s="4">
        <f>IF(C1397="","",COUNTIF($C$7:C1397,C1397))</f>
        <v/>
      </c>
      <c r="F1397" s="4">
        <f>IF(E1397="","",IF(E1397&lt;=3,6,IF(E1397&lt;=6,5,IF(E1397&lt;=9,4,IF(E1397&lt;=12,3,IF(E1397&lt;=15,2,0))))))</f>
        <v/>
      </c>
      <c r="G1397" s="5" t="n"/>
      <c r="H1397" s="4">
        <f>IF(OR(F1397="",G1397=""),"",F1397*G1397+IF(J1397="",0,J1397))</f>
        <v/>
      </c>
      <c r="I1397" s="5" t="n"/>
      <c r="J1397" s="5" t="n"/>
    </row>
    <row r="1398">
      <c r="A1398" s="5" t="n"/>
      <c r="B1398" s="5" t="n"/>
      <c r="C1398" s="5" t="n"/>
      <c r="D1398" s="5" t="n"/>
      <c r="E1398" s="4">
        <f>IF(C1398="","",COUNTIF($C$7:C1398,C1398))</f>
        <v/>
      </c>
      <c r="F1398" s="4">
        <f>IF(E1398="","",IF(E1398&lt;=3,6,IF(E1398&lt;=6,5,IF(E1398&lt;=9,4,IF(E1398&lt;=12,3,IF(E1398&lt;=15,2,0))))))</f>
        <v/>
      </c>
      <c r="G1398" s="5" t="n"/>
      <c r="H1398" s="4">
        <f>IF(OR(F1398="",G1398=""),"",F1398*G1398+IF(J1398="",0,J1398))</f>
        <v/>
      </c>
      <c r="I1398" s="5" t="n"/>
      <c r="J1398" s="5" t="n"/>
    </row>
    <row r="1399">
      <c r="A1399" s="5" t="n"/>
      <c r="B1399" s="5" t="n"/>
      <c r="C1399" s="5" t="n"/>
      <c r="D1399" s="5" t="n"/>
      <c r="E1399" s="4">
        <f>IF(C1399="","",COUNTIF($C$7:C1399,C1399))</f>
        <v/>
      </c>
      <c r="F1399" s="4">
        <f>IF(E1399="","",IF(E1399&lt;=3,6,IF(E1399&lt;=6,5,IF(E1399&lt;=9,4,IF(E1399&lt;=12,3,IF(E1399&lt;=15,2,0))))))</f>
        <v/>
      </c>
      <c r="G1399" s="5" t="n"/>
      <c r="H1399" s="4">
        <f>IF(OR(F1399="",G1399=""),"",F1399*G1399+IF(J1399="",0,J1399))</f>
        <v/>
      </c>
      <c r="I1399" s="5" t="n"/>
      <c r="J1399" s="5" t="n"/>
    </row>
    <row r="1400">
      <c r="A1400" s="5" t="n"/>
      <c r="B1400" s="5" t="n"/>
      <c r="C1400" s="5" t="n"/>
      <c r="D1400" s="5" t="n"/>
      <c r="E1400" s="4">
        <f>IF(C1400="","",COUNTIF($C$7:C1400,C1400))</f>
        <v/>
      </c>
      <c r="F1400" s="4">
        <f>IF(E1400="","",IF(E1400&lt;=3,6,IF(E1400&lt;=6,5,IF(E1400&lt;=9,4,IF(E1400&lt;=12,3,IF(E1400&lt;=15,2,0))))))</f>
        <v/>
      </c>
      <c r="G1400" s="5" t="n"/>
      <c r="H1400" s="4">
        <f>IF(OR(F1400="",G1400=""),"",F1400*G1400+IF(J1400="",0,J1400))</f>
        <v/>
      </c>
      <c r="I1400" s="5" t="n"/>
      <c r="J1400" s="5" t="n"/>
    </row>
    <row r="1401">
      <c r="A1401" s="5" t="n"/>
      <c r="B1401" s="5" t="n"/>
      <c r="C1401" s="5" t="n"/>
      <c r="D1401" s="5" t="n"/>
      <c r="E1401" s="4">
        <f>IF(C1401="","",COUNTIF($C$7:C1401,C1401))</f>
        <v/>
      </c>
      <c r="F1401" s="4">
        <f>IF(E1401="","",IF(E1401&lt;=3,6,IF(E1401&lt;=6,5,IF(E1401&lt;=9,4,IF(E1401&lt;=12,3,IF(E1401&lt;=15,2,0))))))</f>
        <v/>
      </c>
      <c r="G1401" s="5" t="n"/>
      <c r="H1401" s="4">
        <f>IF(OR(F1401="",G1401=""),"",F1401*G1401+IF(J1401="",0,J1401))</f>
        <v/>
      </c>
      <c r="I1401" s="5" t="n"/>
      <c r="J1401" s="5" t="n"/>
    </row>
    <row r="1402">
      <c r="A1402" s="5" t="n"/>
      <c r="B1402" s="5" t="n"/>
      <c r="C1402" s="5" t="n"/>
      <c r="D1402" s="5" t="n"/>
      <c r="E1402" s="4">
        <f>IF(C1402="","",COUNTIF($C$7:C1402,C1402))</f>
        <v/>
      </c>
      <c r="F1402" s="4">
        <f>IF(E1402="","",IF(E1402&lt;=3,6,IF(E1402&lt;=6,5,IF(E1402&lt;=9,4,IF(E1402&lt;=12,3,IF(E1402&lt;=15,2,0))))))</f>
        <v/>
      </c>
      <c r="G1402" s="5" t="n"/>
      <c r="H1402" s="4">
        <f>IF(OR(F1402="",G1402=""),"",F1402*G1402+IF(J1402="",0,J1402))</f>
        <v/>
      </c>
      <c r="I1402" s="5" t="n"/>
      <c r="J1402" s="5" t="n"/>
    </row>
    <row r="1403">
      <c r="A1403" s="5" t="n"/>
      <c r="B1403" s="5" t="n"/>
      <c r="C1403" s="5" t="n"/>
      <c r="D1403" s="5" t="n"/>
      <c r="E1403" s="4">
        <f>IF(C1403="","",COUNTIF($C$7:C1403,C1403))</f>
        <v/>
      </c>
      <c r="F1403" s="4">
        <f>IF(E1403="","",IF(E1403&lt;=3,6,IF(E1403&lt;=6,5,IF(E1403&lt;=9,4,IF(E1403&lt;=12,3,IF(E1403&lt;=15,2,0))))))</f>
        <v/>
      </c>
      <c r="G1403" s="5" t="n"/>
      <c r="H1403" s="4">
        <f>IF(OR(F1403="",G1403=""),"",F1403*G1403+IF(J1403="",0,J1403))</f>
        <v/>
      </c>
      <c r="I1403" s="5" t="n"/>
      <c r="J1403" s="5" t="n"/>
    </row>
    <row r="1404">
      <c r="A1404" s="5" t="n"/>
      <c r="B1404" s="5" t="n"/>
      <c r="C1404" s="5" t="n"/>
      <c r="D1404" s="5" t="n"/>
      <c r="E1404" s="4">
        <f>IF(C1404="","",COUNTIF($C$7:C1404,C1404))</f>
        <v/>
      </c>
      <c r="F1404" s="4">
        <f>IF(E1404="","",IF(E1404&lt;=3,6,IF(E1404&lt;=6,5,IF(E1404&lt;=9,4,IF(E1404&lt;=12,3,IF(E1404&lt;=15,2,0))))))</f>
        <v/>
      </c>
      <c r="G1404" s="5" t="n"/>
      <c r="H1404" s="4">
        <f>IF(OR(F1404="",G1404=""),"",F1404*G1404+IF(J1404="",0,J1404))</f>
        <v/>
      </c>
      <c r="I1404" s="5" t="n"/>
      <c r="J1404" s="5" t="n"/>
    </row>
    <row r="1405">
      <c r="A1405" s="5" t="n"/>
      <c r="B1405" s="5" t="n"/>
      <c r="C1405" s="5" t="n"/>
      <c r="D1405" s="5" t="n"/>
      <c r="E1405" s="4">
        <f>IF(C1405="","",COUNTIF($C$7:C1405,C1405))</f>
        <v/>
      </c>
      <c r="F1405" s="4">
        <f>IF(E1405="","",IF(E1405&lt;=3,6,IF(E1405&lt;=6,5,IF(E1405&lt;=9,4,IF(E1405&lt;=12,3,IF(E1405&lt;=15,2,0))))))</f>
        <v/>
      </c>
      <c r="G1405" s="5" t="n"/>
      <c r="H1405" s="4">
        <f>IF(OR(F1405="",G1405=""),"",F1405*G1405+IF(J1405="",0,J1405))</f>
        <v/>
      </c>
      <c r="I1405" s="5" t="n"/>
      <c r="J1405" s="5" t="n"/>
    </row>
    <row r="1406">
      <c r="A1406" s="5" t="n"/>
      <c r="B1406" s="5" t="n"/>
      <c r="C1406" s="5" t="n"/>
      <c r="D1406" s="5" t="n"/>
      <c r="E1406" s="4">
        <f>IF(C1406="","",COUNTIF($C$7:C1406,C1406))</f>
        <v/>
      </c>
      <c r="F1406" s="4">
        <f>IF(E1406="","",IF(E1406&lt;=3,6,IF(E1406&lt;=6,5,IF(E1406&lt;=9,4,IF(E1406&lt;=12,3,IF(E1406&lt;=15,2,0))))))</f>
        <v/>
      </c>
      <c r="G1406" s="5" t="n"/>
      <c r="H1406" s="4">
        <f>IF(OR(F1406="",G1406=""),"",F1406*G1406+IF(J1406="",0,J1406))</f>
        <v/>
      </c>
      <c r="I1406" s="5" t="n"/>
      <c r="J1406" s="5" t="n"/>
    </row>
    <row r="1407">
      <c r="A1407" s="5" t="n"/>
      <c r="B1407" s="5" t="n"/>
      <c r="C1407" s="5" t="n"/>
      <c r="D1407" s="5" t="n"/>
      <c r="E1407" s="4">
        <f>IF(C1407="","",COUNTIF($C$7:C1407,C1407))</f>
        <v/>
      </c>
      <c r="F1407" s="4">
        <f>IF(E1407="","",IF(E1407&lt;=3,6,IF(E1407&lt;=6,5,IF(E1407&lt;=9,4,IF(E1407&lt;=12,3,IF(E1407&lt;=15,2,0))))))</f>
        <v/>
      </c>
      <c r="G1407" s="5" t="n"/>
      <c r="H1407" s="4">
        <f>IF(OR(F1407="",G1407=""),"",F1407*G1407+IF(J1407="",0,J1407))</f>
        <v/>
      </c>
      <c r="I1407" s="5" t="n"/>
      <c r="J1407" s="5" t="n"/>
    </row>
    <row r="1408">
      <c r="A1408" s="5" t="n"/>
      <c r="B1408" s="5" t="n"/>
      <c r="C1408" s="5" t="n"/>
      <c r="D1408" s="5" t="n"/>
      <c r="E1408" s="4">
        <f>IF(C1408="","",COUNTIF($C$7:C1408,C1408))</f>
        <v/>
      </c>
      <c r="F1408" s="4">
        <f>IF(E1408="","",IF(E1408&lt;=3,6,IF(E1408&lt;=6,5,IF(E1408&lt;=9,4,IF(E1408&lt;=12,3,IF(E1408&lt;=15,2,0))))))</f>
        <v/>
      </c>
      <c r="G1408" s="5" t="n"/>
      <c r="H1408" s="4">
        <f>IF(OR(F1408="",G1408=""),"",F1408*G1408+IF(J1408="",0,J1408))</f>
        <v/>
      </c>
      <c r="I1408" s="5" t="n"/>
      <c r="J1408" s="5" t="n"/>
    </row>
    <row r="1409">
      <c r="A1409" s="5" t="n"/>
      <c r="B1409" s="5" t="n"/>
      <c r="C1409" s="5" t="n"/>
      <c r="D1409" s="5" t="n"/>
      <c r="E1409" s="4">
        <f>IF(C1409="","",COUNTIF($C$7:C1409,C1409))</f>
        <v/>
      </c>
      <c r="F1409" s="4">
        <f>IF(E1409="","",IF(E1409&lt;=3,6,IF(E1409&lt;=6,5,IF(E1409&lt;=9,4,IF(E1409&lt;=12,3,IF(E1409&lt;=15,2,0))))))</f>
        <v/>
      </c>
      <c r="G1409" s="5" t="n"/>
      <c r="H1409" s="4">
        <f>IF(OR(F1409="",G1409=""),"",F1409*G1409+IF(J1409="",0,J1409))</f>
        <v/>
      </c>
      <c r="I1409" s="5" t="n"/>
      <c r="J1409" s="5" t="n"/>
    </row>
    <row r="1410">
      <c r="A1410" s="5" t="n"/>
      <c r="B1410" s="5" t="n"/>
      <c r="C1410" s="5" t="n"/>
      <c r="D1410" s="5" t="n"/>
      <c r="E1410" s="4">
        <f>IF(C1410="","",COUNTIF($C$7:C1410,C1410))</f>
        <v/>
      </c>
      <c r="F1410" s="4">
        <f>IF(E1410="","",IF(E1410&lt;=3,6,IF(E1410&lt;=6,5,IF(E1410&lt;=9,4,IF(E1410&lt;=12,3,IF(E1410&lt;=15,2,0))))))</f>
        <v/>
      </c>
      <c r="G1410" s="5" t="n"/>
      <c r="H1410" s="4">
        <f>IF(OR(F1410="",G1410=""),"",F1410*G1410+IF(J1410="",0,J1410))</f>
        <v/>
      </c>
      <c r="I1410" s="5" t="n"/>
      <c r="J1410" s="5" t="n"/>
    </row>
    <row r="1411">
      <c r="A1411" s="5" t="n"/>
      <c r="B1411" s="5" t="n"/>
      <c r="C1411" s="5" t="n"/>
      <c r="D1411" s="5" t="n"/>
      <c r="E1411" s="4">
        <f>IF(C1411="","",COUNTIF($C$7:C1411,C1411))</f>
        <v/>
      </c>
      <c r="F1411" s="4">
        <f>IF(E1411="","",IF(E1411&lt;=3,6,IF(E1411&lt;=6,5,IF(E1411&lt;=9,4,IF(E1411&lt;=12,3,IF(E1411&lt;=15,2,0))))))</f>
        <v/>
      </c>
      <c r="G1411" s="5" t="n"/>
      <c r="H1411" s="4">
        <f>IF(OR(F1411="",G1411=""),"",F1411*G1411+IF(J1411="",0,J1411))</f>
        <v/>
      </c>
      <c r="I1411" s="5" t="n"/>
      <c r="J1411" s="5" t="n"/>
    </row>
    <row r="1412">
      <c r="A1412" s="5" t="n"/>
      <c r="B1412" s="5" t="n"/>
      <c r="C1412" s="5" t="n"/>
      <c r="D1412" s="5" t="n"/>
      <c r="E1412" s="4">
        <f>IF(C1412="","",COUNTIF($C$7:C1412,C1412))</f>
        <v/>
      </c>
      <c r="F1412" s="4">
        <f>IF(E1412="","",IF(E1412&lt;=3,6,IF(E1412&lt;=6,5,IF(E1412&lt;=9,4,IF(E1412&lt;=12,3,IF(E1412&lt;=15,2,0))))))</f>
        <v/>
      </c>
      <c r="G1412" s="5" t="n"/>
      <c r="H1412" s="4">
        <f>IF(OR(F1412="",G1412=""),"",F1412*G1412+IF(J1412="",0,J1412))</f>
        <v/>
      </c>
      <c r="I1412" s="5" t="n"/>
      <c r="J1412" s="5" t="n"/>
    </row>
    <row r="1413">
      <c r="A1413" s="5" t="n"/>
      <c r="B1413" s="5" t="n"/>
      <c r="C1413" s="5" t="n"/>
      <c r="D1413" s="5" t="n"/>
      <c r="E1413" s="4">
        <f>IF(C1413="","",COUNTIF($C$7:C1413,C1413))</f>
        <v/>
      </c>
      <c r="F1413" s="4">
        <f>IF(E1413="","",IF(E1413&lt;=3,6,IF(E1413&lt;=6,5,IF(E1413&lt;=9,4,IF(E1413&lt;=12,3,IF(E1413&lt;=15,2,0))))))</f>
        <v/>
      </c>
      <c r="G1413" s="5" t="n"/>
      <c r="H1413" s="4">
        <f>IF(OR(F1413="",G1413=""),"",F1413*G1413+IF(J1413="",0,J1413))</f>
        <v/>
      </c>
      <c r="I1413" s="5" t="n"/>
      <c r="J1413" s="5" t="n"/>
    </row>
    <row r="1414">
      <c r="A1414" s="5" t="n"/>
      <c r="B1414" s="5" t="n"/>
      <c r="C1414" s="5" t="n"/>
      <c r="D1414" s="5" t="n"/>
      <c r="E1414" s="4">
        <f>IF(C1414="","",COUNTIF($C$7:C1414,C1414))</f>
        <v/>
      </c>
      <c r="F1414" s="4">
        <f>IF(E1414="","",IF(E1414&lt;=3,6,IF(E1414&lt;=6,5,IF(E1414&lt;=9,4,IF(E1414&lt;=12,3,IF(E1414&lt;=15,2,0))))))</f>
        <v/>
      </c>
      <c r="G1414" s="5" t="n"/>
      <c r="H1414" s="4">
        <f>IF(OR(F1414="",G1414=""),"",F1414*G1414+IF(J1414="",0,J1414))</f>
        <v/>
      </c>
      <c r="I1414" s="5" t="n"/>
      <c r="J1414" s="5" t="n"/>
    </row>
    <row r="1415">
      <c r="A1415" s="5" t="n"/>
      <c r="B1415" s="5" t="n"/>
      <c r="C1415" s="5" t="n"/>
      <c r="D1415" s="5" t="n"/>
      <c r="E1415" s="4">
        <f>IF(C1415="","",COUNTIF($C$7:C1415,C1415))</f>
        <v/>
      </c>
      <c r="F1415" s="4">
        <f>IF(E1415="","",IF(E1415&lt;=3,6,IF(E1415&lt;=6,5,IF(E1415&lt;=9,4,IF(E1415&lt;=12,3,IF(E1415&lt;=15,2,0))))))</f>
        <v/>
      </c>
      <c r="G1415" s="5" t="n"/>
      <c r="H1415" s="4">
        <f>IF(OR(F1415="",G1415=""),"",F1415*G1415+IF(J1415="",0,J1415))</f>
        <v/>
      </c>
      <c r="I1415" s="5" t="n"/>
      <c r="J1415" s="5" t="n"/>
    </row>
    <row r="1416">
      <c r="A1416" s="5" t="n"/>
      <c r="B1416" s="5" t="n"/>
      <c r="C1416" s="5" t="n"/>
      <c r="D1416" s="5" t="n"/>
      <c r="E1416" s="4">
        <f>IF(C1416="","",COUNTIF($C$7:C1416,C1416))</f>
        <v/>
      </c>
      <c r="F1416" s="4">
        <f>IF(E1416="","",IF(E1416&lt;=3,6,IF(E1416&lt;=6,5,IF(E1416&lt;=9,4,IF(E1416&lt;=12,3,IF(E1416&lt;=15,2,0))))))</f>
        <v/>
      </c>
      <c r="G1416" s="5" t="n"/>
      <c r="H1416" s="4">
        <f>IF(OR(F1416="",G1416=""),"",F1416*G1416+IF(J1416="",0,J1416))</f>
        <v/>
      </c>
      <c r="I1416" s="5" t="n"/>
      <c r="J1416" s="5" t="n"/>
    </row>
    <row r="1417">
      <c r="A1417" s="5" t="n"/>
      <c r="B1417" s="5" t="n"/>
      <c r="C1417" s="5" t="n"/>
      <c r="D1417" s="5" t="n"/>
      <c r="E1417" s="4">
        <f>IF(C1417="","",COUNTIF($C$7:C1417,C1417))</f>
        <v/>
      </c>
      <c r="F1417" s="4">
        <f>IF(E1417="","",IF(E1417&lt;=3,6,IF(E1417&lt;=6,5,IF(E1417&lt;=9,4,IF(E1417&lt;=12,3,IF(E1417&lt;=15,2,0))))))</f>
        <v/>
      </c>
      <c r="G1417" s="5" t="n"/>
      <c r="H1417" s="4">
        <f>IF(OR(F1417="",G1417=""),"",F1417*G1417+IF(J1417="",0,J1417))</f>
        <v/>
      </c>
      <c r="I1417" s="5" t="n"/>
      <c r="J1417" s="5" t="n"/>
    </row>
    <row r="1418">
      <c r="A1418" s="5" t="n"/>
      <c r="B1418" s="5" t="n"/>
      <c r="C1418" s="5" t="n"/>
      <c r="D1418" s="5" t="n"/>
      <c r="E1418" s="4">
        <f>IF(C1418="","",COUNTIF($C$7:C1418,C1418))</f>
        <v/>
      </c>
      <c r="F1418" s="4">
        <f>IF(E1418="","",IF(E1418&lt;=3,6,IF(E1418&lt;=6,5,IF(E1418&lt;=9,4,IF(E1418&lt;=12,3,IF(E1418&lt;=15,2,0))))))</f>
        <v/>
      </c>
      <c r="G1418" s="5" t="n"/>
      <c r="H1418" s="4">
        <f>IF(OR(F1418="",G1418=""),"",F1418*G1418+IF(J1418="",0,J1418))</f>
        <v/>
      </c>
      <c r="I1418" s="5" t="n"/>
      <c r="J1418" s="5" t="n"/>
    </row>
    <row r="1419">
      <c r="A1419" s="5" t="n"/>
      <c r="B1419" s="5" t="n"/>
      <c r="C1419" s="5" t="n"/>
      <c r="D1419" s="5" t="n"/>
      <c r="E1419" s="4">
        <f>IF(C1419="","",COUNTIF($C$7:C1419,C1419))</f>
        <v/>
      </c>
      <c r="F1419" s="4">
        <f>IF(E1419="","",IF(E1419&lt;=3,6,IF(E1419&lt;=6,5,IF(E1419&lt;=9,4,IF(E1419&lt;=12,3,IF(E1419&lt;=15,2,0))))))</f>
        <v/>
      </c>
      <c r="G1419" s="5" t="n"/>
      <c r="H1419" s="4">
        <f>IF(OR(F1419="",G1419=""),"",F1419*G1419+IF(J1419="",0,J1419))</f>
        <v/>
      </c>
      <c r="I1419" s="5" t="n"/>
      <c r="J1419" s="5" t="n"/>
    </row>
    <row r="1420">
      <c r="A1420" s="5" t="n"/>
      <c r="B1420" s="5" t="n"/>
      <c r="C1420" s="5" t="n"/>
      <c r="D1420" s="5" t="n"/>
      <c r="E1420" s="4">
        <f>IF(C1420="","",COUNTIF($C$7:C1420,C1420))</f>
        <v/>
      </c>
      <c r="F1420" s="4">
        <f>IF(E1420="","",IF(E1420&lt;=3,6,IF(E1420&lt;=6,5,IF(E1420&lt;=9,4,IF(E1420&lt;=12,3,IF(E1420&lt;=15,2,0))))))</f>
        <v/>
      </c>
      <c r="G1420" s="5" t="n"/>
      <c r="H1420" s="4">
        <f>IF(OR(F1420="",G1420=""),"",F1420*G1420+IF(J1420="",0,J1420))</f>
        <v/>
      </c>
      <c r="I1420" s="5" t="n"/>
      <c r="J1420" s="5" t="n"/>
    </row>
    <row r="1421">
      <c r="A1421" s="5" t="n"/>
      <c r="B1421" s="5" t="n"/>
      <c r="C1421" s="5" t="n"/>
      <c r="D1421" s="5" t="n"/>
      <c r="E1421" s="4">
        <f>IF(C1421="","",COUNTIF($C$7:C1421,C1421))</f>
        <v/>
      </c>
      <c r="F1421" s="4">
        <f>IF(E1421="","",IF(E1421&lt;=3,6,IF(E1421&lt;=6,5,IF(E1421&lt;=9,4,IF(E1421&lt;=12,3,IF(E1421&lt;=15,2,0))))))</f>
        <v/>
      </c>
      <c r="G1421" s="5" t="n"/>
      <c r="H1421" s="4">
        <f>IF(OR(F1421="",G1421=""),"",F1421*G1421+IF(J1421="",0,J1421))</f>
        <v/>
      </c>
      <c r="I1421" s="5" t="n"/>
      <c r="J1421" s="5" t="n"/>
    </row>
    <row r="1422">
      <c r="A1422" s="5" t="n"/>
      <c r="B1422" s="5" t="n"/>
      <c r="C1422" s="5" t="n"/>
      <c r="D1422" s="5" t="n"/>
      <c r="E1422" s="4">
        <f>IF(C1422="","",COUNTIF($C$7:C1422,C1422))</f>
        <v/>
      </c>
      <c r="F1422" s="4">
        <f>IF(E1422="","",IF(E1422&lt;=3,6,IF(E1422&lt;=6,5,IF(E1422&lt;=9,4,IF(E1422&lt;=12,3,IF(E1422&lt;=15,2,0))))))</f>
        <v/>
      </c>
      <c r="G1422" s="5" t="n"/>
      <c r="H1422" s="4">
        <f>IF(OR(F1422="",G1422=""),"",F1422*G1422+IF(J1422="",0,J1422))</f>
        <v/>
      </c>
      <c r="I1422" s="5" t="n"/>
      <c r="J1422" s="5" t="n"/>
    </row>
    <row r="1423">
      <c r="A1423" s="5" t="n"/>
      <c r="B1423" s="5" t="n"/>
      <c r="C1423" s="5" t="n"/>
      <c r="D1423" s="5" t="n"/>
      <c r="E1423" s="4">
        <f>IF(C1423="","",COUNTIF($C$7:C1423,C1423))</f>
        <v/>
      </c>
      <c r="F1423" s="4">
        <f>IF(E1423="","",IF(E1423&lt;=3,6,IF(E1423&lt;=6,5,IF(E1423&lt;=9,4,IF(E1423&lt;=12,3,IF(E1423&lt;=15,2,0))))))</f>
        <v/>
      </c>
      <c r="G1423" s="5" t="n"/>
      <c r="H1423" s="4">
        <f>IF(OR(F1423="",G1423=""),"",F1423*G1423+IF(J1423="",0,J1423))</f>
        <v/>
      </c>
      <c r="I1423" s="5" t="n"/>
      <c r="J1423" s="5" t="n"/>
    </row>
    <row r="1424">
      <c r="A1424" s="5" t="n"/>
      <c r="B1424" s="5" t="n"/>
      <c r="C1424" s="5" t="n"/>
      <c r="D1424" s="5" t="n"/>
      <c r="E1424" s="4">
        <f>IF(C1424="","",COUNTIF($C$7:C1424,C1424))</f>
        <v/>
      </c>
      <c r="F1424" s="4">
        <f>IF(E1424="","",IF(E1424&lt;=3,6,IF(E1424&lt;=6,5,IF(E1424&lt;=9,4,IF(E1424&lt;=12,3,IF(E1424&lt;=15,2,0))))))</f>
        <v/>
      </c>
      <c r="G1424" s="5" t="n"/>
      <c r="H1424" s="4">
        <f>IF(OR(F1424="",G1424=""),"",F1424*G1424+IF(J1424="",0,J1424))</f>
        <v/>
      </c>
      <c r="I1424" s="5" t="n"/>
      <c r="J1424" s="5" t="n"/>
    </row>
    <row r="1425">
      <c r="A1425" s="5" t="n"/>
      <c r="B1425" s="5" t="n"/>
      <c r="C1425" s="5" t="n"/>
      <c r="D1425" s="5" t="n"/>
      <c r="E1425" s="4">
        <f>IF(C1425="","",COUNTIF($C$7:C1425,C1425))</f>
        <v/>
      </c>
      <c r="F1425" s="4">
        <f>IF(E1425="","",IF(E1425&lt;=3,6,IF(E1425&lt;=6,5,IF(E1425&lt;=9,4,IF(E1425&lt;=12,3,IF(E1425&lt;=15,2,0))))))</f>
        <v/>
      </c>
      <c r="G1425" s="5" t="n"/>
      <c r="H1425" s="4">
        <f>IF(OR(F1425="",G1425=""),"",F1425*G1425+IF(J1425="",0,J1425))</f>
        <v/>
      </c>
      <c r="I1425" s="5" t="n"/>
      <c r="J1425" s="5" t="n"/>
    </row>
    <row r="1426">
      <c r="A1426" s="5" t="n"/>
      <c r="B1426" s="5" t="n"/>
      <c r="C1426" s="5" t="n"/>
      <c r="D1426" s="5" t="n"/>
      <c r="E1426" s="4">
        <f>IF(C1426="","",COUNTIF($C$7:C1426,C1426))</f>
        <v/>
      </c>
      <c r="F1426" s="4">
        <f>IF(E1426="","",IF(E1426&lt;=3,6,IF(E1426&lt;=6,5,IF(E1426&lt;=9,4,IF(E1426&lt;=12,3,IF(E1426&lt;=15,2,0))))))</f>
        <v/>
      </c>
      <c r="G1426" s="5" t="n"/>
      <c r="H1426" s="4">
        <f>IF(OR(F1426="",G1426=""),"",F1426*G1426+IF(J1426="",0,J1426))</f>
        <v/>
      </c>
      <c r="I1426" s="5" t="n"/>
      <c r="J1426" s="5" t="n"/>
    </row>
    <row r="1427">
      <c r="A1427" s="5" t="n"/>
      <c r="B1427" s="5" t="n"/>
      <c r="C1427" s="5" t="n"/>
      <c r="D1427" s="5" t="n"/>
      <c r="E1427" s="4">
        <f>IF(C1427="","",COUNTIF($C$7:C1427,C1427))</f>
        <v/>
      </c>
      <c r="F1427" s="4">
        <f>IF(E1427="","",IF(E1427&lt;=3,6,IF(E1427&lt;=6,5,IF(E1427&lt;=9,4,IF(E1427&lt;=12,3,IF(E1427&lt;=15,2,0))))))</f>
        <v/>
      </c>
      <c r="G1427" s="5" t="n"/>
      <c r="H1427" s="4">
        <f>IF(OR(F1427="",G1427=""),"",F1427*G1427+IF(J1427="",0,J1427))</f>
        <v/>
      </c>
      <c r="I1427" s="5" t="n"/>
      <c r="J1427" s="5" t="n"/>
    </row>
    <row r="1428">
      <c r="A1428" s="5" t="n"/>
      <c r="B1428" s="5" t="n"/>
      <c r="C1428" s="5" t="n"/>
      <c r="D1428" s="5" t="n"/>
      <c r="E1428" s="4">
        <f>IF(C1428="","",COUNTIF($C$7:C1428,C1428))</f>
        <v/>
      </c>
      <c r="F1428" s="4">
        <f>IF(E1428="","",IF(E1428&lt;=3,6,IF(E1428&lt;=6,5,IF(E1428&lt;=9,4,IF(E1428&lt;=12,3,IF(E1428&lt;=15,2,0))))))</f>
        <v/>
      </c>
      <c r="G1428" s="5" t="n"/>
      <c r="H1428" s="4">
        <f>IF(OR(F1428="",G1428=""),"",F1428*G1428+IF(J1428="",0,J1428))</f>
        <v/>
      </c>
      <c r="I1428" s="5" t="n"/>
      <c r="J1428" s="5" t="n"/>
    </row>
    <row r="1429">
      <c r="A1429" s="5" t="n"/>
      <c r="B1429" s="5" t="n"/>
      <c r="C1429" s="5" t="n"/>
      <c r="D1429" s="5" t="n"/>
      <c r="E1429" s="4">
        <f>IF(C1429="","",COUNTIF($C$7:C1429,C1429))</f>
        <v/>
      </c>
      <c r="F1429" s="4">
        <f>IF(E1429="","",IF(E1429&lt;=3,6,IF(E1429&lt;=6,5,IF(E1429&lt;=9,4,IF(E1429&lt;=12,3,IF(E1429&lt;=15,2,0))))))</f>
        <v/>
      </c>
      <c r="G1429" s="5" t="n"/>
      <c r="H1429" s="4">
        <f>IF(OR(F1429="",G1429=""),"",F1429*G1429+IF(J1429="",0,J1429))</f>
        <v/>
      </c>
      <c r="I1429" s="5" t="n"/>
      <c r="J1429" s="5" t="n"/>
    </row>
    <row r="1430">
      <c r="A1430" s="5" t="n"/>
      <c r="B1430" s="5" t="n"/>
      <c r="C1430" s="5" t="n"/>
      <c r="D1430" s="5" t="n"/>
      <c r="E1430" s="4">
        <f>IF(C1430="","",COUNTIF($C$7:C1430,C1430))</f>
        <v/>
      </c>
      <c r="F1430" s="4">
        <f>IF(E1430="","",IF(E1430&lt;=3,6,IF(E1430&lt;=6,5,IF(E1430&lt;=9,4,IF(E1430&lt;=12,3,IF(E1430&lt;=15,2,0))))))</f>
        <v/>
      </c>
      <c r="G1430" s="5" t="n"/>
      <c r="H1430" s="4">
        <f>IF(OR(F1430="",G1430=""),"",F1430*G1430+IF(J1430="",0,J1430))</f>
        <v/>
      </c>
      <c r="I1430" s="5" t="n"/>
      <c r="J1430" s="5" t="n"/>
    </row>
    <row r="1431">
      <c r="A1431" s="5" t="n"/>
      <c r="B1431" s="5" t="n"/>
      <c r="C1431" s="5" t="n"/>
      <c r="D1431" s="5" t="n"/>
      <c r="E1431" s="4">
        <f>IF(C1431="","",COUNTIF($C$7:C1431,C1431))</f>
        <v/>
      </c>
      <c r="F1431" s="4">
        <f>IF(E1431="","",IF(E1431&lt;=3,6,IF(E1431&lt;=6,5,IF(E1431&lt;=9,4,IF(E1431&lt;=12,3,IF(E1431&lt;=15,2,0))))))</f>
        <v/>
      </c>
      <c r="G1431" s="5" t="n"/>
      <c r="H1431" s="4">
        <f>IF(OR(F1431="",G1431=""),"",F1431*G1431+IF(J1431="",0,J1431))</f>
        <v/>
      </c>
      <c r="I1431" s="5" t="n"/>
      <c r="J1431" s="5" t="n"/>
    </row>
    <row r="1432">
      <c r="A1432" s="5" t="n"/>
      <c r="B1432" s="5" t="n"/>
      <c r="C1432" s="5" t="n"/>
      <c r="D1432" s="5" t="n"/>
      <c r="E1432" s="4">
        <f>IF(C1432="","",COUNTIF($C$7:C1432,C1432))</f>
        <v/>
      </c>
      <c r="F1432" s="4">
        <f>IF(E1432="","",IF(E1432&lt;=3,6,IF(E1432&lt;=6,5,IF(E1432&lt;=9,4,IF(E1432&lt;=12,3,IF(E1432&lt;=15,2,0))))))</f>
        <v/>
      </c>
      <c r="G1432" s="5" t="n"/>
      <c r="H1432" s="4">
        <f>IF(OR(F1432="",G1432=""),"",F1432*G1432+IF(J1432="",0,J1432))</f>
        <v/>
      </c>
      <c r="I1432" s="5" t="n"/>
      <c r="J1432" s="5" t="n"/>
    </row>
    <row r="1433">
      <c r="A1433" s="5" t="n"/>
      <c r="B1433" s="5" t="n"/>
      <c r="C1433" s="5" t="n"/>
      <c r="D1433" s="5" t="n"/>
      <c r="E1433" s="4">
        <f>IF(C1433="","",COUNTIF($C$7:C1433,C1433))</f>
        <v/>
      </c>
      <c r="F1433" s="4">
        <f>IF(E1433="","",IF(E1433&lt;=3,6,IF(E1433&lt;=6,5,IF(E1433&lt;=9,4,IF(E1433&lt;=12,3,IF(E1433&lt;=15,2,0))))))</f>
        <v/>
      </c>
      <c r="G1433" s="5" t="n"/>
      <c r="H1433" s="4">
        <f>IF(OR(F1433="",G1433=""),"",F1433*G1433+IF(J1433="",0,J1433))</f>
        <v/>
      </c>
      <c r="I1433" s="5" t="n"/>
      <c r="J1433" s="5" t="n"/>
    </row>
    <row r="1434">
      <c r="A1434" s="5" t="n"/>
      <c r="B1434" s="5" t="n"/>
      <c r="C1434" s="5" t="n"/>
      <c r="D1434" s="5" t="n"/>
      <c r="E1434" s="4">
        <f>IF(C1434="","",COUNTIF($C$7:C1434,C1434))</f>
        <v/>
      </c>
      <c r="F1434" s="4">
        <f>IF(E1434="","",IF(E1434&lt;=3,6,IF(E1434&lt;=6,5,IF(E1434&lt;=9,4,IF(E1434&lt;=12,3,IF(E1434&lt;=15,2,0))))))</f>
        <v/>
      </c>
      <c r="G1434" s="5" t="n"/>
      <c r="H1434" s="4">
        <f>IF(OR(F1434="",G1434=""),"",F1434*G1434+IF(J1434="",0,J1434))</f>
        <v/>
      </c>
      <c r="I1434" s="5" t="n"/>
      <c r="J1434" s="5" t="n"/>
    </row>
    <row r="1435">
      <c r="A1435" s="5" t="n"/>
      <c r="B1435" s="5" t="n"/>
      <c r="C1435" s="5" t="n"/>
      <c r="D1435" s="5" t="n"/>
      <c r="E1435" s="4">
        <f>IF(C1435="","",COUNTIF($C$7:C1435,C1435))</f>
        <v/>
      </c>
      <c r="F1435" s="4">
        <f>IF(E1435="","",IF(E1435&lt;=3,6,IF(E1435&lt;=6,5,IF(E1435&lt;=9,4,IF(E1435&lt;=12,3,IF(E1435&lt;=15,2,0))))))</f>
        <v/>
      </c>
      <c r="G1435" s="5" t="n"/>
      <c r="H1435" s="4">
        <f>IF(OR(F1435="",G1435=""),"",F1435*G1435+IF(J1435="",0,J1435))</f>
        <v/>
      </c>
      <c r="I1435" s="5" t="n"/>
      <c r="J1435" s="5" t="n"/>
    </row>
    <row r="1436">
      <c r="A1436" s="5" t="n"/>
      <c r="B1436" s="5" t="n"/>
      <c r="C1436" s="5" t="n"/>
      <c r="D1436" s="5" t="n"/>
      <c r="E1436" s="4">
        <f>IF(C1436="","",COUNTIF($C$7:C1436,C1436))</f>
        <v/>
      </c>
      <c r="F1436" s="4">
        <f>IF(E1436="","",IF(E1436&lt;=3,6,IF(E1436&lt;=6,5,IF(E1436&lt;=9,4,IF(E1436&lt;=12,3,IF(E1436&lt;=15,2,0))))))</f>
        <v/>
      </c>
      <c r="G1436" s="5" t="n"/>
      <c r="H1436" s="4">
        <f>IF(OR(F1436="",G1436=""),"",F1436*G1436+IF(J1436="",0,J1436))</f>
        <v/>
      </c>
      <c r="I1436" s="5" t="n"/>
      <c r="J1436" s="5" t="n"/>
    </row>
    <row r="1437">
      <c r="A1437" s="5" t="n"/>
      <c r="B1437" s="5" t="n"/>
      <c r="C1437" s="5" t="n"/>
      <c r="D1437" s="5" t="n"/>
      <c r="E1437" s="4">
        <f>IF(C1437="","",COUNTIF($C$7:C1437,C1437))</f>
        <v/>
      </c>
      <c r="F1437" s="4">
        <f>IF(E1437="","",IF(E1437&lt;=3,6,IF(E1437&lt;=6,5,IF(E1437&lt;=9,4,IF(E1437&lt;=12,3,IF(E1437&lt;=15,2,0))))))</f>
        <v/>
      </c>
      <c r="G1437" s="5" t="n"/>
      <c r="H1437" s="4">
        <f>IF(OR(F1437="",G1437=""),"",F1437*G1437+IF(J1437="",0,J1437))</f>
        <v/>
      </c>
      <c r="I1437" s="5" t="n"/>
      <c r="J1437" s="5" t="n"/>
    </row>
    <row r="1438">
      <c r="A1438" s="5" t="n"/>
      <c r="B1438" s="5" t="n"/>
      <c r="C1438" s="5" t="n"/>
      <c r="D1438" s="5" t="n"/>
      <c r="E1438" s="4">
        <f>IF(C1438="","",COUNTIF($C$7:C1438,C1438))</f>
        <v/>
      </c>
      <c r="F1438" s="4">
        <f>IF(E1438="","",IF(E1438&lt;=3,6,IF(E1438&lt;=6,5,IF(E1438&lt;=9,4,IF(E1438&lt;=12,3,IF(E1438&lt;=15,2,0))))))</f>
        <v/>
      </c>
      <c r="G1438" s="5" t="n"/>
      <c r="H1438" s="4">
        <f>IF(OR(F1438="",G1438=""),"",F1438*G1438+IF(J1438="",0,J1438))</f>
        <v/>
      </c>
      <c r="I1438" s="5" t="n"/>
      <c r="J1438" s="5" t="n"/>
    </row>
    <row r="1439">
      <c r="A1439" s="5" t="n"/>
      <c r="B1439" s="5" t="n"/>
      <c r="C1439" s="5" t="n"/>
      <c r="D1439" s="5" t="n"/>
      <c r="E1439" s="4">
        <f>IF(C1439="","",COUNTIF($C$7:C1439,C1439))</f>
        <v/>
      </c>
      <c r="F1439" s="4">
        <f>IF(E1439="","",IF(E1439&lt;=3,6,IF(E1439&lt;=6,5,IF(E1439&lt;=9,4,IF(E1439&lt;=12,3,IF(E1439&lt;=15,2,0))))))</f>
        <v/>
      </c>
      <c r="G1439" s="5" t="n"/>
      <c r="H1439" s="4">
        <f>IF(OR(F1439="",G1439=""),"",F1439*G1439+IF(J1439="",0,J1439))</f>
        <v/>
      </c>
      <c r="I1439" s="5" t="n"/>
      <c r="J1439" s="5" t="n"/>
    </row>
    <row r="1440">
      <c r="A1440" s="5" t="n"/>
      <c r="B1440" s="5" t="n"/>
      <c r="C1440" s="5" t="n"/>
      <c r="D1440" s="5" t="n"/>
      <c r="E1440" s="4">
        <f>IF(C1440="","",COUNTIF($C$7:C1440,C1440))</f>
        <v/>
      </c>
      <c r="F1440" s="4">
        <f>IF(E1440="","",IF(E1440&lt;=3,6,IF(E1440&lt;=6,5,IF(E1440&lt;=9,4,IF(E1440&lt;=12,3,IF(E1440&lt;=15,2,0))))))</f>
        <v/>
      </c>
      <c r="G1440" s="5" t="n"/>
      <c r="H1440" s="4">
        <f>IF(OR(F1440="",G1440=""),"",F1440*G1440+IF(J1440="",0,J1440))</f>
        <v/>
      </c>
      <c r="I1440" s="5" t="n"/>
      <c r="J1440" s="5" t="n"/>
    </row>
    <row r="1441">
      <c r="A1441" s="5" t="n"/>
      <c r="B1441" s="5" t="n"/>
      <c r="C1441" s="5" t="n"/>
      <c r="D1441" s="5" t="n"/>
      <c r="E1441" s="4">
        <f>IF(C1441="","",COUNTIF($C$7:C1441,C1441))</f>
        <v/>
      </c>
      <c r="F1441" s="4">
        <f>IF(E1441="","",IF(E1441&lt;=3,6,IF(E1441&lt;=6,5,IF(E1441&lt;=9,4,IF(E1441&lt;=12,3,IF(E1441&lt;=15,2,0))))))</f>
        <v/>
      </c>
      <c r="G1441" s="5" t="n"/>
      <c r="H1441" s="4">
        <f>IF(OR(F1441="",G1441=""),"",F1441*G1441+IF(J1441="",0,J1441))</f>
        <v/>
      </c>
      <c r="I1441" s="5" t="n"/>
      <c r="J1441" s="5" t="n"/>
    </row>
    <row r="1442">
      <c r="A1442" s="5" t="n"/>
      <c r="B1442" s="5" t="n"/>
      <c r="C1442" s="5" t="n"/>
      <c r="D1442" s="5" t="n"/>
      <c r="E1442" s="4">
        <f>IF(C1442="","",COUNTIF($C$7:C1442,C1442))</f>
        <v/>
      </c>
      <c r="F1442" s="4">
        <f>IF(E1442="","",IF(E1442&lt;=3,6,IF(E1442&lt;=6,5,IF(E1442&lt;=9,4,IF(E1442&lt;=12,3,IF(E1442&lt;=15,2,0))))))</f>
        <v/>
      </c>
      <c r="G1442" s="5" t="n"/>
      <c r="H1442" s="4">
        <f>IF(OR(F1442="",G1442=""),"",F1442*G1442+IF(J1442="",0,J1442))</f>
        <v/>
      </c>
      <c r="I1442" s="5" t="n"/>
      <c r="J1442" s="5" t="n"/>
    </row>
    <row r="1443">
      <c r="A1443" s="5" t="n"/>
      <c r="B1443" s="5" t="n"/>
      <c r="C1443" s="5" t="n"/>
      <c r="D1443" s="5" t="n"/>
      <c r="E1443" s="4">
        <f>IF(C1443="","",COUNTIF($C$7:C1443,C1443))</f>
        <v/>
      </c>
      <c r="F1443" s="4">
        <f>IF(E1443="","",IF(E1443&lt;=3,6,IF(E1443&lt;=6,5,IF(E1443&lt;=9,4,IF(E1443&lt;=12,3,IF(E1443&lt;=15,2,0))))))</f>
        <v/>
      </c>
      <c r="G1443" s="5" t="n"/>
      <c r="H1443" s="4">
        <f>IF(OR(F1443="",G1443=""),"",F1443*G1443+IF(J1443="",0,J1443))</f>
        <v/>
      </c>
      <c r="I1443" s="5" t="n"/>
      <c r="J1443" s="5" t="n"/>
    </row>
    <row r="1444">
      <c r="A1444" s="5" t="n"/>
      <c r="B1444" s="5" t="n"/>
      <c r="C1444" s="5" t="n"/>
      <c r="D1444" s="5" t="n"/>
      <c r="E1444" s="4">
        <f>IF(C1444="","",COUNTIF($C$7:C1444,C1444))</f>
        <v/>
      </c>
      <c r="F1444" s="4">
        <f>IF(E1444="","",IF(E1444&lt;=3,6,IF(E1444&lt;=6,5,IF(E1444&lt;=9,4,IF(E1444&lt;=12,3,IF(E1444&lt;=15,2,0))))))</f>
        <v/>
      </c>
      <c r="G1444" s="5" t="n"/>
      <c r="H1444" s="4">
        <f>IF(OR(F1444="",G1444=""),"",F1444*G1444+IF(J1444="",0,J1444))</f>
        <v/>
      </c>
      <c r="I1444" s="5" t="n"/>
      <c r="J1444" s="5" t="n"/>
    </row>
    <row r="1445">
      <c r="A1445" s="5" t="n"/>
      <c r="B1445" s="5" t="n"/>
      <c r="C1445" s="5" t="n"/>
      <c r="D1445" s="5" t="n"/>
      <c r="E1445" s="4">
        <f>IF(C1445="","",COUNTIF($C$7:C1445,C1445))</f>
        <v/>
      </c>
      <c r="F1445" s="4">
        <f>IF(E1445="","",IF(E1445&lt;=3,6,IF(E1445&lt;=6,5,IF(E1445&lt;=9,4,IF(E1445&lt;=12,3,IF(E1445&lt;=15,2,0))))))</f>
        <v/>
      </c>
      <c r="G1445" s="5" t="n"/>
      <c r="H1445" s="4">
        <f>IF(OR(F1445="",G1445=""),"",F1445*G1445+IF(J1445="",0,J1445))</f>
        <v/>
      </c>
      <c r="I1445" s="5" t="n"/>
      <c r="J1445" s="5" t="n"/>
    </row>
    <row r="1446">
      <c r="A1446" s="5" t="n"/>
      <c r="B1446" s="5" t="n"/>
      <c r="C1446" s="5" t="n"/>
      <c r="D1446" s="5" t="n"/>
      <c r="E1446" s="4">
        <f>IF(C1446="","",COUNTIF($C$7:C1446,C1446))</f>
        <v/>
      </c>
      <c r="F1446" s="4">
        <f>IF(E1446="","",IF(E1446&lt;=3,6,IF(E1446&lt;=6,5,IF(E1446&lt;=9,4,IF(E1446&lt;=12,3,IF(E1446&lt;=15,2,0))))))</f>
        <v/>
      </c>
      <c r="G1446" s="5" t="n"/>
      <c r="H1446" s="4">
        <f>IF(OR(F1446="",G1446=""),"",F1446*G1446+IF(J1446="",0,J1446))</f>
        <v/>
      </c>
      <c r="I1446" s="5" t="n"/>
      <c r="J1446" s="5" t="n"/>
    </row>
    <row r="1447">
      <c r="A1447" s="5" t="n"/>
      <c r="B1447" s="5" t="n"/>
      <c r="C1447" s="5" t="n"/>
      <c r="D1447" s="5" t="n"/>
      <c r="E1447" s="4">
        <f>IF(C1447="","",COUNTIF($C$7:C1447,C1447))</f>
        <v/>
      </c>
      <c r="F1447" s="4">
        <f>IF(E1447="","",IF(E1447&lt;=3,6,IF(E1447&lt;=6,5,IF(E1447&lt;=9,4,IF(E1447&lt;=12,3,IF(E1447&lt;=15,2,0))))))</f>
        <v/>
      </c>
      <c r="G1447" s="5" t="n"/>
      <c r="H1447" s="4">
        <f>IF(OR(F1447="",G1447=""),"",F1447*G1447+IF(J1447="",0,J1447))</f>
        <v/>
      </c>
      <c r="I1447" s="5" t="n"/>
      <c r="J1447" s="5" t="n"/>
    </row>
    <row r="1448">
      <c r="A1448" s="5" t="n"/>
      <c r="B1448" s="5" t="n"/>
      <c r="C1448" s="5" t="n"/>
      <c r="D1448" s="5" t="n"/>
      <c r="E1448" s="4">
        <f>IF(C1448="","",COUNTIF($C$7:C1448,C1448))</f>
        <v/>
      </c>
      <c r="F1448" s="4">
        <f>IF(E1448="","",IF(E1448&lt;=3,6,IF(E1448&lt;=6,5,IF(E1448&lt;=9,4,IF(E1448&lt;=12,3,IF(E1448&lt;=15,2,0))))))</f>
        <v/>
      </c>
      <c r="G1448" s="5" t="n"/>
      <c r="H1448" s="4">
        <f>IF(OR(F1448="",G1448=""),"",F1448*G1448+IF(J1448="",0,J1448))</f>
        <v/>
      </c>
      <c r="I1448" s="5" t="n"/>
      <c r="J1448" s="5" t="n"/>
    </row>
    <row r="1449">
      <c r="A1449" s="5" t="n"/>
      <c r="B1449" s="5" t="n"/>
      <c r="C1449" s="5" t="n"/>
      <c r="D1449" s="5" t="n"/>
      <c r="E1449" s="4">
        <f>IF(C1449="","",COUNTIF($C$7:C1449,C1449))</f>
        <v/>
      </c>
      <c r="F1449" s="4">
        <f>IF(E1449="","",IF(E1449&lt;=3,6,IF(E1449&lt;=6,5,IF(E1449&lt;=9,4,IF(E1449&lt;=12,3,IF(E1449&lt;=15,2,0))))))</f>
        <v/>
      </c>
      <c r="G1449" s="5" t="n"/>
      <c r="H1449" s="4">
        <f>IF(OR(F1449="",G1449=""),"",F1449*G1449+IF(J1449="",0,J1449))</f>
        <v/>
      </c>
      <c r="I1449" s="5" t="n"/>
      <c r="J1449" s="5" t="n"/>
    </row>
    <row r="1450">
      <c r="A1450" s="5" t="n"/>
      <c r="B1450" s="5" t="n"/>
      <c r="C1450" s="5" t="n"/>
      <c r="D1450" s="5" t="n"/>
      <c r="E1450" s="4">
        <f>IF(C1450="","",COUNTIF($C$7:C1450,C1450))</f>
        <v/>
      </c>
      <c r="F1450" s="4">
        <f>IF(E1450="","",IF(E1450&lt;=3,6,IF(E1450&lt;=6,5,IF(E1450&lt;=9,4,IF(E1450&lt;=12,3,IF(E1450&lt;=15,2,0))))))</f>
        <v/>
      </c>
      <c r="G1450" s="5" t="n"/>
      <c r="H1450" s="4">
        <f>IF(OR(F1450="",G1450=""),"",F1450*G1450+IF(J1450="",0,J1450))</f>
        <v/>
      </c>
      <c r="I1450" s="5" t="n"/>
      <c r="J1450" s="5" t="n"/>
    </row>
    <row r="1451">
      <c r="A1451" s="5" t="n"/>
      <c r="B1451" s="5" t="n"/>
      <c r="C1451" s="5" t="n"/>
      <c r="D1451" s="5" t="n"/>
      <c r="E1451" s="4">
        <f>IF(C1451="","",COUNTIF($C$7:C1451,C1451))</f>
        <v/>
      </c>
      <c r="F1451" s="4">
        <f>IF(E1451="","",IF(E1451&lt;=3,6,IF(E1451&lt;=6,5,IF(E1451&lt;=9,4,IF(E1451&lt;=12,3,IF(E1451&lt;=15,2,0))))))</f>
        <v/>
      </c>
      <c r="G1451" s="5" t="n"/>
      <c r="H1451" s="4">
        <f>IF(OR(F1451="",G1451=""),"",F1451*G1451+IF(J1451="",0,J1451))</f>
        <v/>
      </c>
      <c r="I1451" s="5" t="n"/>
      <c r="J1451" s="5" t="n"/>
    </row>
    <row r="1452">
      <c r="A1452" s="5" t="n"/>
      <c r="B1452" s="5" t="n"/>
      <c r="C1452" s="5" t="n"/>
      <c r="D1452" s="5" t="n"/>
      <c r="E1452" s="4">
        <f>IF(C1452="","",COUNTIF($C$7:C1452,C1452))</f>
        <v/>
      </c>
      <c r="F1452" s="4">
        <f>IF(E1452="","",IF(E1452&lt;=3,6,IF(E1452&lt;=6,5,IF(E1452&lt;=9,4,IF(E1452&lt;=12,3,IF(E1452&lt;=15,2,0))))))</f>
        <v/>
      </c>
      <c r="G1452" s="5" t="n"/>
      <c r="H1452" s="4">
        <f>IF(OR(F1452="",G1452=""),"",F1452*G1452+IF(J1452="",0,J1452))</f>
        <v/>
      </c>
      <c r="I1452" s="5" t="n"/>
      <c r="J1452" s="5" t="n"/>
    </row>
    <row r="1453">
      <c r="A1453" s="5" t="n"/>
      <c r="B1453" s="5" t="n"/>
      <c r="C1453" s="5" t="n"/>
      <c r="D1453" s="5" t="n"/>
      <c r="E1453" s="4">
        <f>IF(C1453="","",COUNTIF($C$7:C1453,C1453))</f>
        <v/>
      </c>
      <c r="F1453" s="4">
        <f>IF(E1453="","",IF(E1453&lt;=3,6,IF(E1453&lt;=6,5,IF(E1453&lt;=9,4,IF(E1453&lt;=12,3,IF(E1453&lt;=15,2,0))))))</f>
        <v/>
      </c>
      <c r="G1453" s="5" t="n"/>
      <c r="H1453" s="4">
        <f>IF(OR(F1453="",G1453=""),"",F1453*G1453+IF(J1453="",0,J1453))</f>
        <v/>
      </c>
      <c r="I1453" s="5" t="n"/>
      <c r="J1453" s="5" t="n"/>
    </row>
    <row r="1454">
      <c r="A1454" s="5" t="n"/>
      <c r="B1454" s="5" t="n"/>
      <c r="C1454" s="5" t="n"/>
      <c r="D1454" s="5" t="n"/>
      <c r="E1454" s="4">
        <f>IF(C1454="","",COUNTIF($C$7:C1454,C1454))</f>
        <v/>
      </c>
      <c r="F1454" s="4">
        <f>IF(E1454="","",IF(E1454&lt;=3,6,IF(E1454&lt;=6,5,IF(E1454&lt;=9,4,IF(E1454&lt;=12,3,IF(E1454&lt;=15,2,0))))))</f>
        <v/>
      </c>
      <c r="G1454" s="5" t="n"/>
      <c r="H1454" s="4">
        <f>IF(OR(F1454="",G1454=""),"",F1454*G1454+IF(J1454="",0,J1454))</f>
        <v/>
      </c>
      <c r="I1454" s="5" t="n"/>
      <c r="J1454" s="5" t="n"/>
    </row>
    <row r="1455">
      <c r="A1455" s="5" t="n"/>
      <c r="B1455" s="5" t="n"/>
      <c r="C1455" s="5" t="n"/>
      <c r="D1455" s="5" t="n"/>
      <c r="E1455" s="4">
        <f>IF(C1455="","",COUNTIF($C$7:C1455,C1455))</f>
        <v/>
      </c>
      <c r="F1455" s="4">
        <f>IF(E1455="","",IF(E1455&lt;=3,6,IF(E1455&lt;=6,5,IF(E1455&lt;=9,4,IF(E1455&lt;=12,3,IF(E1455&lt;=15,2,0))))))</f>
        <v/>
      </c>
      <c r="G1455" s="5" t="n"/>
      <c r="H1455" s="4">
        <f>IF(OR(F1455="",G1455=""),"",F1455*G1455+IF(J1455="",0,J1455))</f>
        <v/>
      </c>
      <c r="I1455" s="5" t="n"/>
      <c r="J1455" s="5" t="n"/>
    </row>
    <row r="1456">
      <c r="A1456" s="5" t="n"/>
      <c r="B1456" s="5" t="n"/>
      <c r="C1456" s="5" t="n"/>
      <c r="D1456" s="5" t="n"/>
      <c r="E1456" s="4">
        <f>IF(C1456="","",COUNTIF($C$7:C1456,C1456))</f>
        <v/>
      </c>
      <c r="F1456" s="4">
        <f>IF(E1456="","",IF(E1456&lt;=3,6,IF(E1456&lt;=6,5,IF(E1456&lt;=9,4,IF(E1456&lt;=12,3,IF(E1456&lt;=15,2,0))))))</f>
        <v/>
      </c>
      <c r="G1456" s="5" t="n"/>
      <c r="H1456" s="4">
        <f>IF(OR(F1456="",G1456=""),"",F1456*G1456+IF(J1456="",0,J1456))</f>
        <v/>
      </c>
      <c r="I1456" s="5" t="n"/>
      <c r="J1456" s="5" t="n"/>
    </row>
    <row r="1457">
      <c r="A1457" s="5" t="n"/>
      <c r="B1457" s="5" t="n"/>
      <c r="C1457" s="5" t="n"/>
      <c r="D1457" s="5" t="n"/>
      <c r="E1457" s="4">
        <f>IF(C1457="","",COUNTIF($C$7:C1457,C1457))</f>
        <v/>
      </c>
      <c r="F1457" s="4">
        <f>IF(E1457="","",IF(E1457&lt;=3,6,IF(E1457&lt;=6,5,IF(E1457&lt;=9,4,IF(E1457&lt;=12,3,IF(E1457&lt;=15,2,0))))))</f>
        <v/>
      </c>
      <c r="G1457" s="5" t="n"/>
      <c r="H1457" s="4">
        <f>IF(OR(F1457="",G1457=""),"",F1457*G1457+IF(J1457="",0,J1457))</f>
        <v/>
      </c>
      <c r="I1457" s="5" t="n"/>
      <c r="J1457" s="5" t="n"/>
    </row>
    <row r="1458">
      <c r="A1458" s="5" t="n"/>
      <c r="B1458" s="5" t="n"/>
      <c r="C1458" s="5" t="n"/>
      <c r="D1458" s="5" t="n"/>
      <c r="E1458" s="4">
        <f>IF(C1458="","",COUNTIF($C$7:C1458,C1458))</f>
        <v/>
      </c>
      <c r="F1458" s="4">
        <f>IF(E1458="","",IF(E1458&lt;=3,6,IF(E1458&lt;=6,5,IF(E1458&lt;=9,4,IF(E1458&lt;=12,3,IF(E1458&lt;=15,2,0))))))</f>
        <v/>
      </c>
      <c r="G1458" s="5" t="n"/>
      <c r="H1458" s="4">
        <f>IF(OR(F1458="",G1458=""),"",F1458*G1458+IF(J1458="",0,J1458))</f>
        <v/>
      </c>
      <c r="I1458" s="5" t="n"/>
      <c r="J1458" s="5" t="n"/>
    </row>
    <row r="1459">
      <c r="A1459" s="5" t="n"/>
      <c r="B1459" s="5" t="n"/>
      <c r="C1459" s="5" t="n"/>
      <c r="D1459" s="5" t="n"/>
      <c r="E1459" s="4">
        <f>IF(C1459="","",COUNTIF($C$7:C1459,C1459))</f>
        <v/>
      </c>
      <c r="F1459" s="4">
        <f>IF(E1459="","",IF(E1459&lt;=3,6,IF(E1459&lt;=6,5,IF(E1459&lt;=9,4,IF(E1459&lt;=12,3,IF(E1459&lt;=15,2,0))))))</f>
        <v/>
      </c>
      <c r="G1459" s="5" t="n"/>
      <c r="H1459" s="4">
        <f>IF(OR(F1459="",G1459=""),"",F1459*G1459+IF(J1459="",0,J1459))</f>
        <v/>
      </c>
      <c r="I1459" s="5" t="n"/>
      <c r="J1459" s="5" t="n"/>
    </row>
    <row r="1460">
      <c r="A1460" s="5" t="n"/>
      <c r="B1460" s="5" t="n"/>
      <c r="C1460" s="5" t="n"/>
      <c r="D1460" s="5" t="n"/>
      <c r="E1460" s="4">
        <f>IF(C1460="","",COUNTIF($C$7:C1460,C1460))</f>
        <v/>
      </c>
      <c r="F1460" s="4">
        <f>IF(E1460="","",IF(E1460&lt;=3,6,IF(E1460&lt;=6,5,IF(E1460&lt;=9,4,IF(E1460&lt;=12,3,IF(E1460&lt;=15,2,0))))))</f>
        <v/>
      </c>
      <c r="G1460" s="5" t="n"/>
      <c r="H1460" s="4">
        <f>IF(OR(F1460="",G1460=""),"",F1460*G1460+IF(J1460="",0,J1460))</f>
        <v/>
      </c>
      <c r="I1460" s="5" t="n"/>
      <c r="J1460" s="5" t="n"/>
    </row>
    <row r="1461">
      <c r="A1461" s="5" t="n"/>
      <c r="B1461" s="5" t="n"/>
      <c r="C1461" s="5" t="n"/>
      <c r="D1461" s="5" t="n"/>
      <c r="E1461" s="4">
        <f>IF(C1461="","",COUNTIF($C$7:C1461,C1461))</f>
        <v/>
      </c>
      <c r="F1461" s="4">
        <f>IF(E1461="","",IF(E1461&lt;=3,6,IF(E1461&lt;=6,5,IF(E1461&lt;=9,4,IF(E1461&lt;=12,3,IF(E1461&lt;=15,2,0))))))</f>
        <v/>
      </c>
      <c r="G1461" s="5" t="n"/>
      <c r="H1461" s="4">
        <f>IF(OR(F1461="",G1461=""),"",F1461*G1461+IF(J1461="",0,J1461))</f>
        <v/>
      </c>
      <c r="I1461" s="5" t="n"/>
      <c r="J1461" s="5" t="n"/>
    </row>
    <row r="1462">
      <c r="A1462" s="5" t="n"/>
      <c r="B1462" s="5" t="n"/>
      <c r="C1462" s="5" t="n"/>
      <c r="D1462" s="5" t="n"/>
      <c r="E1462" s="4">
        <f>IF(C1462="","",COUNTIF($C$7:C1462,C1462))</f>
        <v/>
      </c>
      <c r="F1462" s="4">
        <f>IF(E1462="","",IF(E1462&lt;=3,6,IF(E1462&lt;=6,5,IF(E1462&lt;=9,4,IF(E1462&lt;=12,3,IF(E1462&lt;=15,2,0))))))</f>
        <v/>
      </c>
      <c r="G1462" s="5" t="n"/>
      <c r="H1462" s="4">
        <f>IF(OR(F1462="",G1462=""),"",F1462*G1462+IF(J1462="",0,J1462))</f>
        <v/>
      </c>
      <c r="I1462" s="5" t="n"/>
      <c r="J1462" s="5" t="n"/>
    </row>
    <row r="1463">
      <c r="A1463" s="5" t="n"/>
      <c r="B1463" s="5" t="n"/>
      <c r="C1463" s="5" t="n"/>
      <c r="D1463" s="5" t="n"/>
      <c r="E1463" s="4">
        <f>IF(C1463="","",COUNTIF($C$7:C1463,C1463))</f>
        <v/>
      </c>
      <c r="F1463" s="4">
        <f>IF(E1463="","",IF(E1463&lt;=3,6,IF(E1463&lt;=6,5,IF(E1463&lt;=9,4,IF(E1463&lt;=12,3,IF(E1463&lt;=15,2,0))))))</f>
        <v/>
      </c>
      <c r="G1463" s="5" t="n"/>
      <c r="H1463" s="4">
        <f>IF(OR(F1463="",G1463=""),"",F1463*G1463+IF(J1463="",0,J1463))</f>
        <v/>
      </c>
      <c r="I1463" s="5" t="n"/>
      <c r="J1463" s="5" t="n"/>
    </row>
    <row r="1464">
      <c r="A1464" s="5" t="n"/>
      <c r="B1464" s="5" t="n"/>
      <c r="C1464" s="5" t="n"/>
      <c r="D1464" s="5" t="n"/>
      <c r="E1464" s="4">
        <f>IF(C1464="","",COUNTIF($C$7:C1464,C1464))</f>
        <v/>
      </c>
      <c r="F1464" s="4">
        <f>IF(E1464="","",IF(E1464&lt;=3,6,IF(E1464&lt;=6,5,IF(E1464&lt;=9,4,IF(E1464&lt;=12,3,IF(E1464&lt;=15,2,0))))))</f>
        <v/>
      </c>
      <c r="G1464" s="5" t="n"/>
      <c r="H1464" s="4">
        <f>IF(OR(F1464="",G1464=""),"",F1464*G1464+IF(J1464="",0,J1464))</f>
        <v/>
      </c>
      <c r="I1464" s="5" t="n"/>
      <c r="J1464" s="5" t="n"/>
    </row>
    <row r="1465">
      <c r="A1465" s="5" t="n"/>
      <c r="B1465" s="5" t="n"/>
      <c r="C1465" s="5" t="n"/>
      <c r="D1465" s="5" t="n"/>
      <c r="E1465" s="4">
        <f>IF(C1465="","",COUNTIF($C$7:C1465,C1465))</f>
        <v/>
      </c>
      <c r="F1465" s="4">
        <f>IF(E1465="","",IF(E1465&lt;=3,6,IF(E1465&lt;=6,5,IF(E1465&lt;=9,4,IF(E1465&lt;=12,3,IF(E1465&lt;=15,2,0))))))</f>
        <v/>
      </c>
      <c r="G1465" s="5" t="n"/>
      <c r="H1465" s="4">
        <f>IF(OR(F1465="",G1465=""),"",F1465*G1465+IF(J1465="",0,J1465))</f>
        <v/>
      </c>
      <c r="I1465" s="5" t="n"/>
      <c r="J1465" s="5" t="n"/>
    </row>
    <row r="1466">
      <c r="A1466" s="5" t="n"/>
      <c r="B1466" s="5" t="n"/>
      <c r="C1466" s="5" t="n"/>
      <c r="D1466" s="5" t="n"/>
      <c r="E1466" s="4">
        <f>IF(C1466="","",COUNTIF($C$7:C1466,C1466))</f>
        <v/>
      </c>
      <c r="F1466" s="4">
        <f>IF(E1466="","",IF(E1466&lt;=3,6,IF(E1466&lt;=6,5,IF(E1466&lt;=9,4,IF(E1466&lt;=12,3,IF(E1466&lt;=15,2,0))))))</f>
        <v/>
      </c>
      <c r="G1466" s="5" t="n"/>
      <c r="H1466" s="4">
        <f>IF(OR(F1466="",G1466=""),"",F1466*G1466+IF(J1466="",0,J1466))</f>
        <v/>
      </c>
      <c r="I1466" s="5" t="n"/>
      <c r="J1466" s="5" t="n"/>
    </row>
    <row r="1467">
      <c r="A1467" s="5" t="n"/>
      <c r="B1467" s="5" t="n"/>
      <c r="C1467" s="5" t="n"/>
      <c r="D1467" s="5" t="n"/>
      <c r="E1467" s="4">
        <f>IF(C1467="","",COUNTIF($C$7:C1467,C1467))</f>
        <v/>
      </c>
      <c r="F1467" s="4">
        <f>IF(E1467="","",IF(E1467&lt;=3,6,IF(E1467&lt;=6,5,IF(E1467&lt;=9,4,IF(E1467&lt;=12,3,IF(E1467&lt;=15,2,0))))))</f>
        <v/>
      </c>
      <c r="G1467" s="5" t="n"/>
      <c r="H1467" s="4">
        <f>IF(OR(F1467="",G1467=""),"",F1467*G1467+IF(J1467="",0,J1467))</f>
        <v/>
      </c>
      <c r="I1467" s="5" t="n"/>
      <c r="J1467" s="5" t="n"/>
    </row>
    <row r="1468">
      <c r="A1468" s="5" t="n"/>
      <c r="B1468" s="5" t="n"/>
      <c r="C1468" s="5" t="n"/>
      <c r="D1468" s="5" t="n"/>
      <c r="E1468" s="4">
        <f>IF(C1468="","",COUNTIF($C$7:C1468,C1468))</f>
        <v/>
      </c>
      <c r="F1468" s="4">
        <f>IF(E1468="","",IF(E1468&lt;=3,6,IF(E1468&lt;=6,5,IF(E1468&lt;=9,4,IF(E1468&lt;=12,3,IF(E1468&lt;=15,2,0))))))</f>
        <v/>
      </c>
      <c r="G1468" s="5" t="n"/>
      <c r="H1468" s="4">
        <f>IF(OR(F1468="",G1468=""),"",F1468*G1468+IF(J1468="",0,J1468))</f>
        <v/>
      </c>
      <c r="I1468" s="5" t="n"/>
      <c r="J1468" s="5" t="n"/>
    </row>
    <row r="1469">
      <c r="A1469" s="5" t="n"/>
      <c r="B1469" s="5" t="n"/>
      <c r="C1469" s="5" t="n"/>
      <c r="D1469" s="5" t="n"/>
      <c r="E1469" s="4">
        <f>IF(C1469="","",COUNTIF($C$7:C1469,C1469))</f>
        <v/>
      </c>
      <c r="F1469" s="4">
        <f>IF(E1469="","",IF(E1469&lt;=3,6,IF(E1469&lt;=6,5,IF(E1469&lt;=9,4,IF(E1469&lt;=12,3,IF(E1469&lt;=15,2,0))))))</f>
        <v/>
      </c>
      <c r="G1469" s="5" t="n"/>
      <c r="H1469" s="4">
        <f>IF(OR(F1469="",G1469=""),"",F1469*G1469+IF(J1469="",0,J1469))</f>
        <v/>
      </c>
      <c r="I1469" s="5" t="n"/>
      <c r="J1469" s="5" t="n"/>
    </row>
    <row r="1470">
      <c r="A1470" s="5" t="n"/>
      <c r="B1470" s="5" t="n"/>
      <c r="C1470" s="5" t="n"/>
      <c r="D1470" s="5" t="n"/>
      <c r="E1470" s="4">
        <f>IF(C1470="","",COUNTIF($C$7:C1470,C1470))</f>
        <v/>
      </c>
      <c r="F1470" s="4">
        <f>IF(E1470="","",IF(E1470&lt;=3,6,IF(E1470&lt;=6,5,IF(E1470&lt;=9,4,IF(E1470&lt;=12,3,IF(E1470&lt;=15,2,0))))))</f>
        <v/>
      </c>
      <c r="G1470" s="5" t="n"/>
      <c r="H1470" s="4">
        <f>IF(OR(F1470="",G1470=""),"",F1470*G1470+IF(J1470="",0,J1470))</f>
        <v/>
      </c>
      <c r="I1470" s="5" t="n"/>
      <c r="J1470" s="5" t="n"/>
    </row>
    <row r="1471">
      <c r="A1471" s="5" t="n"/>
      <c r="B1471" s="5" t="n"/>
      <c r="C1471" s="5" t="n"/>
      <c r="D1471" s="5" t="n"/>
      <c r="E1471" s="4">
        <f>IF(C1471="","",COUNTIF($C$7:C1471,C1471))</f>
        <v/>
      </c>
      <c r="F1471" s="4">
        <f>IF(E1471="","",IF(E1471&lt;=3,6,IF(E1471&lt;=6,5,IF(E1471&lt;=9,4,IF(E1471&lt;=12,3,IF(E1471&lt;=15,2,0))))))</f>
        <v/>
      </c>
      <c r="G1471" s="5" t="n"/>
      <c r="H1471" s="4">
        <f>IF(OR(F1471="",G1471=""),"",F1471*G1471+IF(J1471="",0,J1471))</f>
        <v/>
      </c>
      <c r="I1471" s="5" t="n"/>
      <c r="J1471" s="5" t="n"/>
    </row>
    <row r="1472">
      <c r="A1472" s="5" t="n"/>
      <c r="B1472" s="5" t="n"/>
      <c r="C1472" s="5" t="n"/>
      <c r="D1472" s="5" t="n"/>
      <c r="E1472" s="4">
        <f>IF(C1472="","",COUNTIF($C$7:C1472,C1472))</f>
        <v/>
      </c>
      <c r="F1472" s="4">
        <f>IF(E1472="","",IF(E1472&lt;=3,6,IF(E1472&lt;=6,5,IF(E1472&lt;=9,4,IF(E1472&lt;=12,3,IF(E1472&lt;=15,2,0))))))</f>
        <v/>
      </c>
      <c r="G1472" s="5" t="n"/>
      <c r="H1472" s="4">
        <f>IF(OR(F1472="",G1472=""),"",F1472*G1472+IF(J1472="",0,J1472))</f>
        <v/>
      </c>
      <c r="I1472" s="5" t="n"/>
      <c r="J1472" s="5" t="n"/>
    </row>
    <row r="1473">
      <c r="A1473" s="5" t="n"/>
      <c r="B1473" s="5" t="n"/>
      <c r="C1473" s="5" t="n"/>
      <c r="D1473" s="5" t="n"/>
      <c r="E1473" s="4">
        <f>IF(C1473="","",COUNTIF($C$7:C1473,C1473))</f>
        <v/>
      </c>
      <c r="F1473" s="4">
        <f>IF(E1473="","",IF(E1473&lt;=3,6,IF(E1473&lt;=6,5,IF(E1473&lt;=9,4,IF(E1473&lt;=12,3,IF(E1473&lt;=15,2,0))))))</f>
        <v/>
      </c>
      <c r="G1473" s="5" t="n"/>
      <c r="H1473" s="4">
        <f>IF(OR(F1473="",G1473=""),"",F1473*G1473+IF(J1473="",0,J1473))</f>
        <v/>
      </c>
      <c r="I1473" s="5" t="n"/>
      <c r="J1473" s="5" t="n"/>
    </row>
    <row r="1474">
      <c r="A1474" s="5" t="n"/>
      <c r="B1474" s="5" t="n"/>
      <c r="C1474" s="5" t="n"/>
      <c r="D1474" s="5" t="n"/>
      <c r="E1474" s="4">
        <f>IF(C1474="","",COUNTIF($C$7:C1474,C1474))</f>
        <v/>
      </c>
      <c r="F1474" s="4">
        <f>IF(E1474="","",IF(E1474&lt;=3,6,IF(E1474&lt;=6,5,IF(E1474&lt;=9,4,IF(E1474&lt;=12,3,IF(E1474&lt;=15,2,0))))))</f>
        <v/>
      </c>
      <c r="G1474" s="5" t="n"/>
      <c r="H1474" s="4">
        <f>IF(OR(F1474="",G1474=""),"",F1474*G1474+IF(J1474="",0,J1474))</f>
        <v/>
      </c>
      <c r="I1474" s="5" t="n"/>
      <c r="J1474" s="5" t="n"/>
    </row>
    <row r="1475">
      <c r="A1475" s="5" t="n"/>
      <c r="B1475" s="5" t="n"/>
      <c r="C1475" s="5" t="n"/>
      <c r="D1475" s="5" t="n"/>
      <c r="E1475" s="4">
        <f>IF(C1475="","",COUNTIF($C$7:C1475,C1475))</f>
        <v/>
      </c>
      <c r="F1475" s="4">
        <f>IF(E1475="","",IF(E1475&lt;=3,6,IF(E1475&lt;=6,5,IF(E1475&lt;=9,4,IF(E1475&lt;=12,3,IF(E1475&lt;=15,2,0))))))</f>
        <v/>
      </c>
      <c r="G1475" s="5" t="n"/>
      <c r="H1475" s="4">
        <f>IF(OR(F1475="",G1475=""),"",F1475*G1475+IF(J1475="",0,J1475))</f>
        <v/>
      </c>
      <c r="I1475" s="5" t="n"/>
      <c r="J1475" s="5" t="n"/>
    </row>
    <row r="1476">
      <c r="A1476" s="5" t="n"/>
      <c r="B1476" s="5" t="n"/>
      <c r="C1476" s="5" t="n"/>
      <c r="D1476" s="5" t="n"/>
      <c r="E1476" s="4">
        <f>IF(C1476="","",COUNTIF($C$7:C1476,C1476))</f>
        <v/>
      </c>
      <c r="F1476" s="4">
        <f>IF(E1476="","",IF(E1476&lt;=3,6,IF(E1476&lt;=6,5,IF(E1476&lt;=9,4,IF(E1476&lt;=12,3,IF(E1476&lt;=15,2,0))))))</f>
        <v/>
      </c>
      <c r="G1476" s="5" t="n"/>
      <c r="H1476" s="4">
        <f>IF(OR(F1476="",G1476=""),"",F1476*G1476+IF(J1476="",0,J1476))</f>
        <v/>
      </c>
      <c r="I1476" s="5" t="n"/>
      <c r="J1476" s="5" t="n"/>
    </row>
    <row r="1477">
      <c r="A1477" s="5" t="n"/>
      <c r="B1477" s="5" t="n"/>
      <c r="C1477" s="5" t="n"/>
      <c r="D1477" s="5" t="n"/>
      <c r="E1477" s="4">
        <f>IF(C1477="","",COUNTIF($C$7:C1477,C1477))</f>
        <v/>
      </c>
      <c r="F1477" s="4">
        <f>IF(E1477="","",IF(E1477&lt;=3,6,IF(E1477&lt;=6,5,IF(E1477&lt;=9,4,IF(E1477&lt;=12,3,IF(E1477&lt;=15,2,0))))))</f>
        <v/>
      </c>
      <c r="G1477" s="5" t="n"/>
      <c r="H1477" s="4">
        <f>IF(OR(F1477="",G1477=""),"",F1477*G1477+IF(J1477="",0,J1477))</f>
        <v/>
      </c>
      <c r="I1477" s="5" t="n"/>
      <c r="J1477" s="5" t="n"/>
    </row>
    <row r="1478">
      <c r="A1478" s="5" t="n"/>
      <c r="B1478" s="5" t="n"/>
      <c r="C1478" s="5" t="n"/>
      <c r="D1478" s="5" t="n"/>
      <c r="E1478" s="4">
        <f>IF(C1478="","",COUNTIF($C$7:C1478,C1478))</f>
        <v/>
      </c>
      <c r="F1478" s="4">
        <f>IF(E1478="","",IF(E1478&lt;=3,6,IF(E1478&lt;=6,5,IF(E1478&lt;=9,4,IF(E1478&lt;=12,3,IF(E1478&lt;=15,2,0))))))</f>
        <v/>
      </c>
      <c r="G1478" s="5" t="n"/>
      <c r="H1478" s="4">
        <f>IF(OR(F1478="",G1478=""),"",F1478*G1478+IF(J1478="",0,J1478))</f>
        <v/>
      </c>
      <c r="I1478" s="5" t="n"/>
      <c r="J1478" s="5" t="n"/>
    </row>
    <row r="1479">
      <c r="A1479" s="5" t="n"/>
      <c r="B1479" s="5" t="n"/>
      <c r="C1479" s="5" t="n"/>
      <c r="D1479" s="5" t="n"/>
      <c r="E1479" s="4">
        <f>IF(C1479="","",COUNTIF($C$7:C1479,C1479))</f>
        <v/>
      </c>
      <c r="F1479" s="4">
        <f>IF(E1479="","",IF(E1479&lt;=3,6,IF(E1479&lt;=6,5,IF(E1479&lt;=9,4,IF(E1479&lt;=12,3,IF(E1479&lt;=15,2,0))))))</f>
        <v/>
      </c>
      <c r="G1479" s="5" t="n"/>
      <c r="H1479" s="4">
        <f>IF(OR(F1479="",G1479=""),"",F1479*G1479+IF(J1479="",0,J1479))</f>
        <v/>
      </c>
      <c r="I1479" s="5" t="n"/>
      <c r="J1479" s="5" t="n"/>
    </row>
    <row r="1480">
      <c r="A1480" s="5" t="n"/>
      <c r="B1480" s="5" t="n"/>
      <c r="C1480" s="5" t="n"/>
      <c r="D1480" s="5" t="n"/>
      <c r="E1480" s="4">
        <f>IF(C1480="","",COUNTIF($C$7:C1480,C1480))</f>
        <v/>
      </c>
      <c r="F1480" s="4">
        <f>IF(E1480="","",IF(E1480&lt;=3,6,IF(E1480&lt;=6,5,IF(E1480&lt;=9,4,IF(E1480&lt;=12,3,IF(E1480&lt;=15,2,0))))))</f>
        <v/>
      </c>
      <c r="G1480" s="5" t="n"/>
      <c r="H1480" s="4">
        <f>IF(OR(F1480="",G1480=""),"",F1480*G1480+IF(J1480="",0,J1480))</f>
        <v/>
      </c>
      <c r="I1480" s="5" t="n"/>
      <c r="J1480" s="5" t="n"/>
    </row>
    <row r="1481">
      <c r="A1481" s="5" t="n"/>
      <c r="B1481" s="5" t="n"/>
      <c r="C1481" s="5" t="n"/>
      <c r="D1481" s="5" t="n"/>
      <c r="E1481" s="4">
        <f>IF(C1481="","",COUNTIF($C$7:C1481,C1481))</f>
        <v/>
      </c>
      <c r="F1481" s="4">
        <f>IF(E1481="","",IF(E1481&lt;=3,6,IF(E1481&lt;=6,5,IF(E1481&lt;=9,4,IF(E1481&lt;=12,3,IF(E1481&lt;=15,2,0))))))</f>
        <v/>
      </c>
      <c r="G1481" s="5" t="n"/>
      <c r="H1481" s="4">
        <f>IF(OR(F1481="",G1481=""),"",F1481*G1481+IF(J1481="",0,J1481))</f>
        <v/>
      </c>
      <c r="I1481" s="5" t="n"/>
      <c r="J1481" s="5" t="n"/>
    </row>
    <row r="1482">
      <c r="A1482" s="5" t="n"/>
      <c r="B1482" s="5" t="n"/>
      <c r="C1482" s="5" t="n"/>
      <c r="D1482" s="5" t="n"/>
      <c r="E1482" s="4">
        <f>IF(C1482="","",COUNTIF($C$7:C1482,C1482))</f>
        <v/>
      </c>
      <c r="F1482" s="4">
        <f>IF(E1482="","",IF(E1482&lt;=3,6,IF(E1482&lt;=6,5,IF(E1482&lt;=9,4,IF(E1482&lt;=12,3,IF(E1482&lt;=15,2,0))))))</f>
        <v/>
      </c>
      <c r="G1482" s="5" t="n"/>
      <c r="H1482" s="4">
        <f>IF(OR(F1482="",G1482=""),"",F1482*G1482+IF(J1482="",0,J1482))</f>
        <v/>
      </c>
      <c r="I1482" s="5" t="n"/>
      <c r="J1482" s="5" t="n"/>
    </row>
    <row r="1483">
      <c r="A1483" s="5" t="n"/>
      <c r="B1483" s="5" t="n"/>
      <c r="C1483" s="5" t="n"/>
      <c r="D1483" s="5" t="n"/>
      <c r="E1483" s="4">
        <f>IF(C1483="","",COUNTIF($C$7:C1483,C1483))</f>
        <v/>
      </c>
      <c r="F1483" s="4">
        <f>IF(E1483="","",IF(E1483&lt;=3,6,IF(E1483&lt;=6,5,IF(E1483&lt;=9,4,IF(E1483&lt;=12,3,IF(E1483&lt;=15,2,0))))))</f>
        <v/>
      </c>
      <c r="G1483" s="5" t="n"/>
      <c r="H1483" s="4">
        <f>IF(OR(F1483="",G1483=""),"",F1483*G1483+IF(J1483="",0,J1483))</f>
        <v/>
      </c>
      <c r="I1483" s="5" t="n"/>
      <c r="J1483" s="5" t="n"/>
    </row>
    <row r="1484">
      <c r="A1484" s="5" t="n"/>
      <c r="B1484" s="5" t="n"/>
      <c r="C1484" s="5" t="n"/>
      <c r="D1484" s="5" t="n"/>
      <c r="E1484" s="4">
        <f>IF(C1484="","",COUNTIF($C$7:C1484,C1484))</f>
        <v/>
      </c>
      <c r="F1484" s="4">
        <f>IF(E1484="","",IF(E1484&lt;=3,6,IF(E1484&lt;=6,5,IF(E1484&lt;=9,4,IF(E1484&lt;=12,3,IF(E1484&lt;=15,2,0))))))</f>
        <v/>
      </c>
      <c r="G1484" s="5" t="n"/>
      <c r="H1484" s="4">
        <f>IF(OR(F1484="",G1484=""),"",F1484*G1484+IF(J1484="",0,J1484))</f>
        <v/>
      </c>
      <c r="I1484" s="5" t="n"/>
      <c r="J1484" s="5" t="n"/>
    </row>
    <row r="1485">
      <c r="A1485" s="5" t="n"/>
      <c r="B1485" s="5" t="n"/>
      <c r="C1485" s="5" t="n"/>
      <c r="D1485" s="5" t="n"/>
      <c r="E1485" s="4">
        <f>IF(C1485="","",COUNTIF($C$7:C1485,C1485))</f>
        <v/>
      </c>
      <c r="F1485" s="4">
        <f>IF(E1485="","",IF(E1485&lt;=3,6,IF(E1485&lt;=6,5,IF(E1485&lt;=9,4,IF(E1485&lt;=12,3,IF(E1485&lt;=15,2,0))))))</f>
        <v/>
      </c>
      <c r="G1485" s="5" t="n"/>
      <c r="H1485" s="4">
        <f>IF(OR(F1485="",G1485=""),"",F1485*G1485+IF(J1485="",0,J1485))</f>
        <v/>
      </c>
      <c r="I1485" s="5" t="n"/>
      <c r="J1485" s="5" t="n"/>
    </row>
    <row r="1486">
      <c r="A1486" s="5" t="n"/>
      <c r="B1486" s="5" t="n"/>
      <c r="C1486" s="5" t="n"/>
      <c r="D1486" s="5" t="n"/>
      <c r="E1486" s="4">
        <f>IF(C1486="","",COUNTIF($C$7:C1486,C1486))</f>
        <v/>
      </c>
      <c r="F1486" s="4">
        <f>IF(E1486="","",IF(E1486&lt;=3,6,IF(E1486&lt;=6,5,IF(E1486&lt;=9,4,IF(E1486&lt;=12,3,IF(E1486&lt;=15,2,0))))))</f>
        <v/>
      </c>
      <c r="G1486" s="5" t="n"/>
      <c r="H1486" s="4">
        <f>IF(OR(F1486="",G1486=""),"",F1486*G1486+IF(J1486="",0,J1486))</f>
        <v/>
      </c>
      <c r="I1486" s="5" t="n"/>
      <c r="J1486" s="5" t="n"/>
    </row>
    <row r="1487">
      <c r="A1487" s="5" t="n"/>
      <c r="B1487" s="5" t="n"/>
      <c r="C1487" s="5" t="n"/>
      <c r="D1487" s="5" t="n"/>
      <c r="E1487" s="4">
        <f>IF(C1487="","",COUNTIF($C$7:C1487,C1487))</f>
        <v/>
      </c>
      <c r="F1487" s="4">
        <f>IF(E1487="","",IF(E1487&lt;=3,6,IF(E1487&lt;=6,5,IF(E1487&lt;=9,4,IF(E1487&lt;=12,3,IF(E1487&lt;=15,2,0))))))</f>
        <v/>
      </c>
      <c r="G1487" s="5" t="n"/>
      <c r="H1487" s="4">
        <f>IF(OR(F1487="",G1487=""),"",F1487*G1487+IF(J1487="",0,J1487))</f>
        <v/>
      </c>
      <c r="I1487" s="5" t="n"/>
      <c r="J1487" s="5" t="n"/>
    </row>
    <row r="1488">
      <c r="A1488" s="5" t="n"/>
      <c r="B1488" s="5" t="n"/>
      <c r="C1488" s="5" t="n"/>
      <c r="D1488" s="5" t="n"/>
      <c r="E1488" s="4">
        <f>IF(C1488="","",COUNTIF($C$7:C1488,C1488))</f>
        <v/>
      </c>
      <c r="F1488" s="4">
        <f>IF(E1488="","",IF(E1488&lt;=3,6,IF(E1488&lt;=6,5,IF(E1488&lt;=9,4,IF(E1488&lt;=12,3,IF(E1488&lt;=15,2,0))))))</f>
        <v/>
      </c>
      <c r="G1488" s="5" t="n"/>
      <c r="H1488" s="4">
        <f>IF(OR(F1488="",G1488=""),"",F1488*G1488+IF(J1488="",0,J1488))</f>
        <v/>
      </c>
      <c r="I1488" s="5" t="n"/>
      <c r="J1488" s="5" t="n"/>
    </row>
    <row r="1489">
      <c r="A1489" s="5" t="n"/>
      <c r="B1489" s="5" t="n"/>
      <c r="C1489" s="5" t="n"/>
      <c r="D1489" s="5" t="n"/>
      <c r="E1489" s="4">
        <f>IF(C1489="","",COUNTIF($C$7:C1489,C1489))</f>
        <v/>
      </c>
      <c r="F1489" s="4">
        <f>IF(E1489="","",IF(E1489&lt;=3,6,IF(E1489&lt;=6,5,IF(E1489&lt;=9,4,IF(E1489&lt;=12,3,IF(E1489&lt;=15,2,0))))))</f>
        <v/>
      </c>
      <c r="G1489" s="5" t="n"/>
      <c r="H1489" s="4">
        <f>IF(OR(F1489="",G1489=""),"",F1489*G1489+IF(J1489="",0,J1489))</f>
        <v/>
      </c>
      <c r="I1489" s="5" t="n"/>
      <c r="J1489" s="5" t="n"/>
    </row>
    <row r="1490">
      <c r="A1490" s="5" t="n"/>
      <c r="B1490" s="5" t="n"/>
      <c r="C1490" s="5" t="n"/>
      <c r="D1490" s="5" t="n"/>
      <c r="E1490" s="4">
        <f>IF(C1490="","",COUNTIF($C$7:C1490,C1490))</f>
        <v/>
      </c>
      <c r="F1490" s="4">
        <f>IF(E1490="","",IF(E1490&lt;=3,6,IF(E1490&lt;=6,5,IF(E1490&lt;=9,4,IF(E1490&lt;=12,3,IF(E1490&lt;=15,2,0))))))</f>
        <v/>
      </c>
      <c r="G1490" s="5" t="n"/>
      <c r="H1490" s="4">
        <f>IF(OR(F1490="",G1490=""),"",F1490*G1490+IF(J1490="",0,J1490))</f>
        <v/>
      </c>
      <c r="I1490" s="5" t="n"/>
      <c r="J1490" s="5" t="n"/>
    </row>
    <row r="1491">
      <c r="A1491" s="5" t="n"/>
      <c r="B1491" s="5" t="n"/>
      <c r="C1491" s="5" t="n"/>
      <c r="D1491" s="5" t="n"/>
      <c r="E1491" s="4">
        <f>IF(C1491="","",COUNTIF($C$7:C1491,C1491))</f>
        <v/>
      </c>
      <c r="F1491" s="4">
        <f>IF(E1491="","",IF(E1491&lt;=3,6,IF(E1491&lt;=6,5,IF(E1491&lt;=9,4,IF(E1491&lt;=12,3,IF(E1491&lt;=15,2,0))))))</f>
        <v/>
      </c>
      <c r="G1491" s="5" t="n"/>
      <c r="H1491" s="4">
        <f>IF(OR(F1491="",G1491=""),"",F1491*G1491+IF(J1491="",0,J1491))</f>
        <v/>
      </c>
      <c r="I1491" s="5" t="n"/>
      <c r="J1491" s="5" t="n"/>
    </row>
    <row r="1492">
      <c r="A1492" s="5" t="n"/>
      <c r="B1492" s="5" t="n"/>
      <c r="C1492" s="5" t="n"/>
      <c r="D1492" s="5" t="n"/>
      <c r="E1492" s="4">
        <f>IF(C1492="","",COUNTIF($C$7:C1492,C1492))</f>
        <v/>
      </c>
      <c r="F1492" s="4">
        <f>IF(E1492="","",IF(E1492&lt;=3,6,IF(E1492&lt;=6,5,IF(E1492&lt;=9,4,IF(E1492&lt;=12,3,IF(E1492&lt;=15,2,0))))))</f>
        <v/>
      </c>
      <c r="G1492" s="5" t="n"/>
      <c r="H1492" s="4">
        <f>IF(OR(F1492="",G1492=""),"",F1492*G1492+IF(J1492="",0,J1492))</f>
        <v/>
      </c>
      <c r="I1492" s="5" t="n"/>
      <c r="J1492" s="5" t="n"/>
    </row>
    <row r="1493">
      <c r="A1493" s="5" t="n"/>
      <c r="B1493" s="5" t="n"/>
      <c r="C1493" s="5" t="n"/>
      <c r="D1493" s="5" t="n"/>
      <c r="E1493" s="4">
        <f>IF(C1493="","",COUNTIF($C$7:C1493,C1493))</f>
        <v/>
      </c>
      <c r="F1493" s="4">
        <f>IF(E1493="","",IF(E1493&lt;=3,6,IF(E1493&lt;=6,5,IF(E1493&lt;=9,4,IF(E1493&lt;=12,3,IF(E1493&lt;=15,2,0))))))</f>
        <v/>
      </c>
      <c r="G1493" s="5" t="n"/>
      <c r="H1493" s="4">
        <f>IF(OR(F1493="",G1493=""),"",F1493*G1493+IF(J1493="",0,J1493))</f>
        <v/>
      </c>
      <c r="I1493" s="5" t="n"/>
      <c r="J1493" s="5" t="n"/>
    </row>
    <row r="1494">
      <c r="A1494" s="5" t="n"/>
      <c r="B1494" s="5" t="n"/>
      <c r="C1494" s="5" t="n"/>
      <c r="D1494" s="5" t="n"/>
      <c r="E1494" s="4">
        <f>IF(C1494="","",COUNTIF($C$7:C1494,C1494))</f>
        <v/>
      </c>
      <c r="F1494" s="4">
        <f>IF(E1494="","",IF(E1494&lt;=3,6,IF(E1494&lt;=6,5,IF(E1494&lt;=9,4,IF(E1494&lt;=12,3,IF(E1494&lt;=15,2,0))))))</f>
        <v/>
      </c>
      <c r="G1494" s="5" t="n"/>
      <c r="H1494" s="4">
        <f>IF(OR(F1494="",G1494=""),"",F1494*G1494+IF(J1494="",0,J1494))</f>
        <v/>
      </c>
      <c r="I1494" s="5" t="n"/>
      <c r="J1494" s="5" t="n"/>
    </row>
    <row r="1495">
      <c r="A1495" s="5" t="n"/>
      <c r="B1495" s="5" t="n"/>
      <c r="C1495" s="5" t="n"/>
      <c r="D1495" s="5" t="n"/>
      <c r="E1495" s="4">
        <f>IF(C1495="","",COUNTIF($C$7:C1495,C1495))</f>
        <v/>
      </c>
      <c r="F1495" s="4">
        <f>IF(E1495="","",IF(E1495&lt;=3,6,IF(E1495&lt;=6,5,IF(E1495&lt;=9,4,IF(E1495&lt;=12,3,IF(E1495&lt;=15,2,0))))))</f>
        <v/>
      </c>
      <c r="G1495" s="5" t="n"/>
      <c r="H1495" s="4">
        <f>IF(OR(F1495="",G1495=""),"",F1495*G1495+IF(J1495="",0,J1495))</f>
        <v/>
      </c>
      <c r="I1495" s="5" t="n"/>
      <c r="J1495" s="5" t="n"/>
    </row>
    <row r="1496">
      <c r="A1496" s="5" t="n"/>
      <c r="B1496" s="5" t="n"/>
      <c r="C1496" s="5" t="n"/>
      <c r="D1496" s="5" t="n"/>
      <c r="E1496" s="4">
        <f>IF(C1496="","",COUNTIF($C$7:C1496,C1496))</f>
        <v/>
      </c>
      <c r="F1496" s="4">
        <f>IF(E1496="","",IF(E1496&lt;=3,6,IF(E1496&lt;=6,5,IF(E1496&lt;=9,4,IF(E1496&lt;=12,3,IF(E1496&lt;=15,2,0))))))</f>
        <v/>
      </c>
      <c r="G1496" s="5" t="n"/>
      <c r="H1496" s="4">
        <f>IF(OR(F1496="",G1496=""),"",F1496*G1496+IF(J1496="",0,J1496))</f>
        <v/>
      </c>
      <c r="I1496" s="5" t="n"/>
      <c r="J1496" s="5" t="n"/>
    </row>
    <row r="1497">
      <c r="A1497" s="5" t="n"/>
      <c r="B1497" s="5" t="n"/>
      <c r="C1497" s="5" t="n"/>
      <c r="D1497" s="5" t="n"/>
      <c r="E1497" s="4">
        <f>IF(C1497="","",COUNTIF($C$7:C1497,C1497))</f>
        <v/>
      </c>
      <c r="F1497" s="4">
        <f>IF(E1497="","",IF(E1497&lt;=3,6,IF(E1497&lt;=6,5,IF(E1497&lt;=9,4,IF(E1497&lt;=12,3,IF(E1497&lt;=15,2,0))))))</f>
        <v/>
      </c>
      <c r="G1497" s="5" t="n"/>
      <c r="H1497" s="4">
        <f>IF(OR(F1497="",G1497=""),"",F1497*G1497+IF(J1497="",0,J1497))</f>
        <v/>
      </c>
      <c r="I1497" s="5" t="n"/>
      <c r="J1497" s="5" t="n"/>
    </row>
    <row r="1498">
      <c r="A1498" s="5" t="n"/>
      <c r="B1498" s="5" t="n"/>
      <c r="C1498" s="5" t="n"/>
      <c r="D1498" s="5" t="n"/>
      <c r="E1498" s="4">
        <f>IF(C1498="","",COUNTIF($C$7:C1498,C1498))</f>
        <v/>
      </c>
      <c r="F1498" s="4">
        <f>IF(E1498="","",IF(E1498&lt;=3,6,IF(E1498&lt;=6,5,IF(E1498&lt;=9,4,IF(E1498&lt;=12,3,IF(E1498&lt;=15,2,0))))))</f>
        <v/>
      </c>
      <c r="G1498" s="5" t="n"/>
      <c r="H1498" s="4">
        <f>IF(OR(F1498="",G1498=""),"",F1498*G1498+IF(J1498="",0,J1498))</f>
        <v/>
      </c>
      <c r="I1498" s="5" t="n"/>
      <c r="J1498" s="5" t="n"/>
    </row>
    <row r="1499">
      <c r="A1499" s="5" t="n"/>
      <c r="B1499" s="5" t="n"/>
      <c r="C1499" s="5" t="n"/>
      <c r="D1499" s="5" t="n"/>
      <c r="E1499" s="4">
        <f>IF(C1499="","",COUNTIF($C$7:C1499,C1499))</f>
        <v/>
      </c>
      <c r="F1499" s="4">
        <f>IF(E1499="","",IF(E1499&lt;=3,6,IF(E1499&lt;=6,5,IF(E1499&lt;=9,4,IF(E1499&lt;=12,3,IF(E1499&lt;=15,2,0))))))</f>
        <v/>
      </c>
      <c r="G1499" s="5" t="n"/>
      <c r="H1499" s="4">
        <f>IF(OR(F1499="",G1499=""),"",F1499*G1499+IF(J1499="",0,J1499))</f>
        <v/>
      </c>
      <c r="I1499" s="5" t="n"/>
      <c r="J1499" s="5" t="n"/>
    </row>
    <row r="1500">
      <c r="A1500" s="5" t="n"/>
      <c r="B1500" s="5" t="n"/>
      <c r="C1500" s="5" t="n"/>
      <c r="D1500" s="5" t="n"/>
      <c r="E1500" s="4">
        <f>IF(C1500="","",COUNTIF($C$7:C1500,C1500))</f>
        <v/>
      </c>
      <c r="F1500" s="4">
        <f>IF(E1500="","",IF(E1500&lt;=3,6,IF(E1500&lt;=6,5,IF(E1500&lt;=9,4,IF(E1500&lt;=12,3,IF(E1500&lt;=15,2,0))))))</f>
        <v/>
      </c>
      <c r="G1500" s="5" t="n"/>
      <c r="H1500" s="4">
        <f>IF(OR(F1500="",G1500=""),"",F1500*G1500+IF(J1500="",0,J1500))</f>
        <v/>
      </c>
      <c r="I1500" s="5" t="n"/>
      <c r="J1500" s="5" t="n"/>
    </row>
    <row r="1501">
      <c r="A1501" s="5" t="n"/>
      <c r="B1501" s="5" t="n"/>
      <c r="C1501" s="5" t="n"/>
      <c r="D1501" s="5" t="n"/>
      <c r="E1501" s="4">
        <f>IF(C1501="","",COUNTIF($C$7:C1501,C1501))</f>
        <v/>
      </c>
      <c r="F1501" s="4">
        <f>IF(E1501="","",IF(E1501&lt;=3,6,IF(E1501&lt;=6,5,IF(E1501&lt;=9,4,IF(E1501&lt;=12,3,IF(E1501&lt;=15,2,0))))))</f>
        <v/>
      </c>
      <c r="G1501" s="5" t="n"/>
      <c r="H1501" s="4">
        <f>IF(OR(F1501="",G1501=""),"",F1501*G1501+IF(J1501="",0,J1501))</f>
        <v/>
      </c>
      <c r="I1501" s="5" t="n"/>
      <c r="J1501" s="5" t="n"/>
    </row>
    <row r="1502">
      <c r="A1502" s="5" t="n"/>
      <c r="B1502" s="5" t="n"/>
      <c r="C1502" s="5" t="n"/>
      <c r="D1502" s="5" t="n"/>
      <c r="E1502" s="4">
        <f>IF(C1502="","",COUNTIF($C$7:C1502,C1502))</f>
        <v/>
      </c>
      <c r="F1502" s="4">
        <f>IF(E1502="","",IF(E1502&lt;=3,6,IF(E1502&lt;=6,5,IF(E1502&lt;=9,4,IF(E1502&lt;=12,3,IF(E1502&lt;=15,2,0))))))</f>
        <v/>
      </c>
      <c r="G1502" s="5" t="n"/>
      <c r="H1502" s="4">
        <f>IF(OR(F1502="",G1502=""),"",F1502*G1502+IF(J1502="",0,J1502))</f>
        <v/>
      </c>
      <c r="I1502" s="5" t="n"/>
      <c r="J1502" s="5" t="n"/>
    </row>
    <row r="1503">
      <c r="A1503" s="5" t="n"/>
      <c r="B1503" s="5" t="n"/>
      <c r="C1503" s="5" t="n"/>
      <c r="D1503" s="5" t="n"/>
      <c r="E1503" s="4">
        <f>IF(C1503="","",COUNTIF($C$7:C1503,C1503))</f>
        <v/>
      </c>
      <c r="F1503" s="4">
        <f>IF(E1503="","",IF(E1503&lt;=3,6,IF(E1503&lt;=6,5,IF(E1503&lt;=9,4,IF(E1503&lt;=12,3,IF(E1503&lt;=15,2,0))))))</f>
        <v/>
      </c>
      <c r="G1503" s="5" t="n"/>
      <c r="H1503" s="4">
        <f>IF(OR(F1503="",G1503=""),"",F1503*G1503+IF(J1503="",0,J1503))</f>
        <v/>
      </c>
      <c r="I1503" s="5" t="n"/>
      <c r="J1503" s="5" t="n"/>
    </row>
    <row r="1504">
      <c r="A1504" s="5" t="n"/>
      <c r="B1504" s="5" t="n"/>
      <c r="C1504" s="5" t="n"/>
      <c r="D1504" s="5" t="n"/>
      <c r="E1504" s="4">
        <f>IF(C1504="","",COUNTIF($C$7:C1504,C1504))</f>
        <v/>
      </c>
      <c r="F1504" s="4">
        <f>IF(E1504="","",IF(E1504&lt;=3,6,IF(E1504&lt;=6,5,IF(E1504&lt;=9,4,IF(E1504&lt;=12,3,IF(E1504&lt;=15,2,0))))))</f>
        <v/>
      </c>
      <c r="G1504" s="5" t="n"/>
      <c r="H1504" s="4">
        <f>IF(OR(F1504="",G1504=""),"",F1504*G1504+IF(J1504="",0,J1504))</f>
        <v/>
      </c>
      <c r="I1504" s="5" t="n"/>
      <c r="J1504" s="5" t="n"/>
    </row>
    <row r="1505">
      <c r="A1505" s="5" t="n"/>
      <c r="B1505" s="5" t="n"/>
      <c r="C1505" s="5" t="n"/>
      <c r="D1505" s="5" t="n"/>
      <c r="E1505" s="4">
        <f>IF(C1505="","",COUNTIF($C$7:C1505,C1505))</f>
        <v/>
      </c>
      <c r="F1505" s="4">
        <f>IF(E1505="","",IF(E1505&lt;=3,6,IF(E1505&lt;=6,5,IF(E1505&lt;=9,4,IF(E1505&lt;=12,3,IF(E1505&lt;=15,2,0))))))</f>
        <v/>
      </c>
      <c r="G1505" s="5" t="n"/>
      <c r="H1505" s="4">
        <f>IF(OR(F1505="",G1505=""),"",F1505*G1505+IF(J1505="",0,J1505))</f>
        <v/>
      </c>
      <c r="I1505" s="5" t="n"/>
      <c r="J1505" s="5" t="n"/>
    </row>
    <row r="1506">
      <c r="A1506" s="5" t="n"/>
      <c r="B1506" s="5" t="n"/>
      <c r="C1506" s="5" t="n"/>
      <c r="D1506" s="5" t="n"/>
      <c r="E1506" s="4">
        <f>IF(C1506="","",COUNTIF($C$7:C1506,C1506))</f>
        <v/>
      </c>
      <c r="F1506" s="4">
        <f>IF(E1506="","",IF(E1506&lt;=3,6,IF(E1506&lt;=6,5,IF(E1506&lt;=9,4,IF(E1506&lt;=12,3,IF(E1506&lt;=15,2,0))))))</f>
        <v/>
      </c>
      <c r="G1506" s="5" t="n"/>
      <c r="H1506" s="4">
        <f>IF(OR(F1506="",G1506=""),"",F1506*G1506+IF(J1506="",0,J1506))</f>
        <v/>
      </c>
      <c r="I1506" s="5" t="n"/>
      <c r="J1506" s="5" t="n"/>
    </row>
    <row r="1507">
      <c r="A1507" s="5" t="n"/>
      <c r="B1507" s="5" t="n"/>
      <c r="C1507" s="5" t="n"/>
      <c r="D1507" s="5" t="n"/>
      <c r="E1507" s="4">
        <f>IF(C1507="","",COUNTIF($C$7:C1507,C1507))</f>
        <v/>
      </c>
      <c r="F1507" s="4">
        <f>IF(E1507="","",IF(E1507&lt;=3,6,IF(E1507&lt;=6,5,IF(E1507&lt;=9,4,IF(E1507&lt;=12,3,IF(E1507&lt;=15,2,0))))))</f>
        <v/>
      </c>
      <c r="G1507" s="5" t="n"/>
      <c r="H1507" s="4">
        <f>IF(OR(F1507="",G1507=""),"",F1507*G1507+IF(J1507="",0,J1507))</f>
        <v/>
      </c>
      <c r="I1507" s="5" t="n"/>
      <c r="J1507" s="5" t="n"/>
    </row>
    <row r="1508">
      <c r="A1508" s="5" t="n"/>
      <c r="B1508" s="5" t="n"/>
      <c r="C1508" s="5" t="n"/>
      <c r="D1508" s="5" t="n"/>
      <c r="E1508" s="4">
        <f>IF(C1508="","",COUNTIF($C$7:C1508,C1508))</f>
        <v/>
      </c>
      <c r="F1508" s="4">
        <f>IF(E1508="","",IF(E1508&lt;=3,6,IF(E1508&lt;=6,5,IF(E1508&lt;=9,4,IF(E1508&lt;=12,3,IF(E1508&lt;=15,2,0))))))</f>
        <v/>
      </c>
      <c r="G1508" s="5" t="n"/>
      <c r="H1508" s="4">
        <f>IF(OR(F1508="",G1508=""),"",F1508*G1508+IF(J1508="",0,J1508))</f>
        <v/>
      </c>
      <c r="I1508" s="5" t="n"/>
      <c r="J1508" s="5" t="n"/>
    </row>
    <row r="1509">
      <c r="A1509" s="5" t="n"/>
      <c r="B1509" s="5" t="n"/>
      <c r="C1509" s="5" t="n"/>
      <c r="D1509" s="5" t="n"/>
      <c r="E1509" s="4">
        <f>IF(C1509="","",COUNTIF($C$7:C1509,C1509))</f>
        <v/>
      </c>
      <c r="F1509" s="4">
        <f>IF(E1509="","",IF(E1509&lt;=3,6,IF(E1509&lt;=6,5,IF(E1509&lt;=9,4,IF(E1509&lt;=12,3,IF(E1509&lt;=15,2,0))))))</f>
        <v/>
      </c>
      <c r="G1509" s="5" t="n"/>
      <c r="H1509" s="4">
        <f>IF(OR(F1509="",G1509=""),"",F1509*G1509+IF(J1509="",0,J1509))</f>
        <v/>
      </c>
      <c r="I1509" s="5" t="n"/>
      <c r="J1509" s="5" t="n"/>
    </row>
    <row r="1510">
      <c r="A1510" s="5" t="n"/>
      <c r="B1510" s="5" t="n"/>
      <c r="C1510" s="5" t="n"/>
      <c r="D1510" s="5" t="n"/>
      <c r="E1510" s="4">
        <f>IF(C1510="","",COUNTIF($C$7:C1510,C1510))</f>
        <v/>
      </c>
      <c r="F1510" s="4">
        <f>IF(E1510="","",IF(E1510&lt;=3,6,IF(E1510&lt;=6,5,IF(E1510&lt;=9,4,IF(E1510&lt;=12,3,IF(E1510&lt;=15,2,0))))))</f>
        <v/>
      </c>
      <c r="G1510" s="5" t="n"/>
      <c r="H1510" s="4">
        <f>IF(OR(F1510="",G1510=""),"",F1510*G1510+IF(J1510="",0,J1510))</f>
        <v/>
      </c>
      <c r="I1510" s="5" t="n"/>
      <c r="J1510" s="5" t="n"/>
    </row>
    <row r="1511">
      <c r="A1511" s="5" t="n"/>
      <c r="B1511" s="5" t="n"/>
      <c r="C1511" s="5" t="n"/>
      <c r="D1511" s="5" t="n"/>
      <c r="E1511" s="4">
        <f>IF(C1511="","",COUNTIF($C$7:C1511,C1511))</f>
        <v/>
      </c>
      <c r="F1511" s="4">
        <f>IF(E1511="","",IF(E1511&lt;=3,6,IF(E1511&lt;=6,5,IF(E1511&lt;=9,4,IF(E1511&lt;=12,3,IF(E1511&lt;=15,2,0))))))</f>
        <v/>
      </c>
      <c r="G1511" s="5" t="n"/>
      <c r="H1511" s="4">
        <f>IF(OR(F1511="",G1511=""),"",F1511*G1511+IF(J1511="",0,J1511))</f>
        <v/>
      </c>
      <c r="I1511" s="5" t="n"/>
      <c r="J1511" s="5" t="n"/>
    </row>
    <row r="1512">
      <c r="A1512" s="5" t="n"/>
      <c r="B1512" s="5" t="n"/>
      <c r="C1512" s="5" t="n"/>
      <c r="D1512" s="5" t="n"/>
      <c r="E1512" s="4">
        <f>IF(C1512="","",COUNTIF($C$7:C1512,C1512))</f>
        <v/>
      </c>
      <c r="F1512" s="4">
        <f>IF(E1512="","",IF(E1512&lt;=3,6,IF(E1512&lt;=6,5,IF(E1512&lt;=9,4,IF(E1512&lt;=12,3,IF(E1512&lt;=15,2,0))))))</f>
        <v/>
      </c>
      <c r="G1512" s="5" t="n"/>
      <c r="H1512" s="4">
        <f>IF(OR(F1512="",G1512=""),"",F1512*G1512+IF(J1512="",0,J1512))</f>
        <v/>
      </c>
      <c r="I1512" s="5" t="n"/>
      <c r="J1512" s="5" t="n"/>
    </row>
    <row r="1513">
      <c r="A1513" s="5" t="n"/>
      <c r="B1513" s="5" t="n"/>
      <c r="C1513" s="5" t="n"/>
      <c r="D1513" s="5" t="n"/>
      <c r="E1513" s="4">
        <f>IF(C1513="","",COUNTIF($C$7:C1513,C1513))</f>
        <v/>
      </c>
      <c r="F1513" s="4">
        <f>IF(E1513="","",IF(E1513&lt;=3,6,IF(E1513&lt;=6,5,IF(E1513&lt;=9,4,IF(E1513&lt;=12,3,IF(E1513&lt;=15,2,0))))))</f>
        <v/>
      </c>
      <c r="G1513" s="5" t="n"/>
      <c r="H1513" s="4">
        <f>IF(OR(F1513="",G1513=""),"",F1513*G1513+IF(J1513="",0,J1513))</f>
        <v/>
      </c>
      <c r="I1513" s="5" t="n"/>
      <c r="J1513" s="5" t="n"/>
    </row>
    <row r="1514">
      <c r="A1514" s="5" t="n"/>
      <c r="B1514" s="5" t="n"/>
      <c r="C1514" s="5" t="n"/>
      <c r="D1514" s="5" t="n"/>
      <c r="E1514" s="4">
        <f>IF(C1514="","",COUNTIF($C$7:C1514,C1514))</f>
        <v/>
      </c>
      <c r="F1514" s="4">
        <f>IF(E1514="","",IF(E1514&lt;=3,6,IF(E1514&lt;=6,5,IF(E1514&lt;=9,4,IF(E1514&lt;=12,3,IF(E1514&lt;=15,2,0))))))</f>
        <v/>
      </c>
      <c r="G1514" s="5" t="n"/>
      <c r="H1514" s="4">
        <f>IF(OR(F1514="",G1514=""),"",F1514*G1514+IF(J1514="",0,J1514))</f>
        <v/>
      </c>
      <c r="I1514" s="5" t="n"/>
      <c r="J1514" s="5" t="n"/>
    </row>
    <row r="1515">
      <c r="A1515" s="5" t="n"/>
      <c r="B1515" s="5" t="n"/>
      <c r="C1515" s="5" t="n"/>
      <c r="D1515" s="5" t="n"/>
      <c r="E1515" s="4">
        <f>IF(C1515="","",COUNTIF($C$7:C1515,C1515))</f>
        <v/>
      </c>
      <c r="F1515" s="4">
        <f>IF(E1515="","",IF(E1515&lt;=3,6,IF(E1515&lt;=6,5,IF(E1515&lt;=9,4,IF(E1515&lt;=12,3,IF(E1515&lt;=15,2,0))))))</f>
        <v/>
      </c>
      <c r="G1515" s="5" t="n"/>
      <c r="H1515" s="4">
        <f>IF(OR(F1515="",G1515=""),"",F1515*G1515+IF(J1515="",0,J1515))</f>
        <v/>
      </c>
      <c r="I1515" s="5" t="n"/>
      <c r="J1515" s="5" t="n"/>
    </row>
    <row r="1516">
      <c r="A1516" s="5" t="n"/>
      <c r="B1516" s="5" t="n"/>
      <c r="C1516" s="5" t="n"/>
      <c r="D1516" s="5" t="n"/>
      <c r="E1516" s="4">
        <f>IF(C1516="","",COUNTIF($C$7:C1516,C1516))</f>
        <v/>
      </c>
      <c r="F1516" s="4">
        <f>IF(E1516="","",IF(E1516&lt;=3,6,IF(E1516&lt;=6,5,IF(E1516&lt;=9,4,IF(E1516&lt;=12,3,IF(E1516&lt;=15,2,0))))))</f>
        <v/>
      </c>
      <c r="G1516" s="5" t="n"/>
      <c r="H1516" s="4">
        <f>IF(OR(F1516="",G1516=""),"",F1516*G1516+IF(J1516="",0,J1516))</f>
        <v/>
      </c>
      <c r="I1516" s="5" t="n"/>
      <c r="J1516" s="5" t="n"/>
    </row>
    <row r="1517">
      <c r="A1517" s="5" t="n"/>
      <c r="B1517" s="5" t="n"/>
      <c r="C1517" s="5" t="n"/>
      <c r="D1517" s="5" t="n"/>
      <c r="E1517" s="4">
        <f>IF(C1517="","",COUNTIF($C$7:C1517,C1517))</f>
        <v/>
      </c>
      <c r="F1517" s="4">
        <f>IF(E1517="","",IF(E1517&lt;=3,6,IF(E1517&lt;=6,5,IF(E1517&lt;=9,4,IF(E1517&lt;=12,3,IF(E1517&lt;=15,2,0))))))</f>
        <v/>
      </c>
      <c r="G1517" s="5" t="n"/>
      <c r="H1517" s="4">
        <f>IF(OR(F1517="",G1517=""),"",F1517*G1517+IF(J1517="",0,J1517))</f>
        <v/>
      </c>
      <c r="I1517" s="5" t="n"/>
      <c r="J1517" s="5" t="n"/>
    </row>
    <row r="1518">
      <c r="A1518" s="5" t="n"/>
      <c r="B1518" s="5" t="n"/>
      <c r="C1518" s="5" t="n"/>
      <c r="D1518" s="5" t="n"/>
      <c r="E1518" s="4">
        <f>IF(C1518="","",COUNTIF($C$7:C1518,C1518))</f>
        <v/>
      </c>
      <c r="F1518" s="4">
        <f>IF(E1518="","",IF(E1518&lt;=3,6,IF(E1518&lt;=6,5,IF(E1518&lt;=9,4,IF(E1518&lt;=12,3,IF(E1518&lt;=15,2,0))))))</f>
        <v/>
      </c>
      <c r="G1518" s="5" t="n"/>
      <c r="H1518" s="4">
        <f>IF(OR(F1518="",G1518=""),"",F1518*G1518+IF(J1518="",0,J1518))</f>
        <v/>
      </c>
      <c r="I1518" s="5" t="n"/>
      <c r="J1518" s="5" t="n"/>
    </row>
    <row r="1519">
      <c r="A1519" s="5" t="n"/>
      <c r="B1519" s="5" t="n"/>
      <c r="C1519" s="5" t="n"/>
      <c r="D1519" s="5" t="n"/>
      <c r="E1519" s="4">
        <f>IF(C1519="","",COUNTIF($C$7:C1519,C1519))</f>
        <v/>
      </c>
      <c r="F1519" s="4">
        <f>IF(E1519="","",IF(E1519&lt;=3,6,IF(E1519&lt;=6,5,IF(E1519&lt;=9,4,IF(E1519&lt;=12,3,IF(E1519&lt;=15,2,0))))))</f>
        <v/>
      </c>
      <c r="G1519" s="5" t="n"/>
      <c r="H1519" s="4">
        <f>IF(OR(F1519="",G1519=""),"",F1519*G1519+IF(J1519="",0,J1519))</f>
        <v/>
      </c>
      <c r="I1519" s="5" t="n"/>
      <c r="J1519" s="5" t="n"/>
    </row>
    <row r="1520">
      <c r="A1520" s="5" t="n"/>
      <c r="B1520" s="5" t="n"/>
      <c r="C1520" s="5" t="n"/>
      <c r="D1520" s="5" t="n"/>
      <c r="E1520" s="4">
        <f>IF(C1520="","",COUNTIF($C$7:C1520,C1520))</f>
        <v/>
      </c>
      <c r="F1520" s="4">
        <f>IF(E1520="","",IF(E1520&lt;=3,6,IF(E1520&lt;=6,5,IF(E1520&lt;=9,4,IF(E1520&lt;=12,3,IF(E1520&lt;=15,2,0))))))</f>
        <v/>
      </c>
      <c r="G1520" s="5" t="n"/>
      <c r="H1520" s="4">
        <f>IF(OR(F1520="",G1520=""),"",F1520*G1520+IF(J1520="",0,J1520))</f>
        <v/>
      </c>
      <c r="I1520" s="5" t="n"/>
      <c r="J1520" s="5" t="n"/>
    </row>
    <row r="1521">
      <c r="A1521" s="5" t="n"/>
      <c r="B1521" s="5" t="n"/>
      <c r="C1521" s="5" t="n"/>
      <c r="D1521" s="5" t="n"/>
      <c r="E1521" s="4">
        <f>IF(C1521="","",COUNTIF($C$7:C1521,C1521))</f>
        <v/>
      </c>
      <c r="F1521" s="4">
        <f>IF(E1521="","",IF(E1521&lt;=3,6,IF(E1521&lt;=6,5,IF(E1521&lt;=9,4,IF(E1521&lt;=12,3,IF(E1521&lt;=15,2,0))))))</f>
        <v/>
      </c>
      <c r="G1521" s="5" t="n"/>
      <c r="H1521" s="4">
        <f>IF(OR(F1521="",G1521=""),"",F1521*G1521+IF(J1521="",0,J1521))</f>
        <v/>
      </c>
      <c r="I1521" s="5" t="n"/>
      <c r="J1521" s="5" t="n"/>
    </row>
    <row r="1522">
      <c r="A1522" s="5" t="n"/>
      <c r="B1522" s="5" t="n"/>
      <c r="C1522" s="5" t="n"/>
      <c r="D1522" s="5" t="n"/>
      <c r="E1522" s="4">
        <f>IF(C1522="","",COUNTIF($C$7:C1522,C1522))</f>
        <v/>
      </c>
      <c r="F1522" s="4">
        <f>IF(E1522="","",IF(E1522&lt;=3,6,IF(E1522&lt;=6,5,IF(E1522&lt;=9,4,IF(E1522&lt;=12,3,IF(E1522&lt;=15,2,0))))))</f>
        <v/>
      </c>
      <c r="G1522" s="5" t="n"/>
      <c r="H1522" s="4">
        <f>IF(OR(F1522="",G1522=""),"",F1522*G1522+IF(J1522="",0,J1522))</f>
        <v/>
      </c>
      <c r="I1522" s="5" t="n"/>
      <c r="J1522" s="5" t="n"/>
    </row>
    <row r="1523">
      <c r="A1523" s="5" t="n"/>
      <c r="B1523" s="5" t="n"/>
      <c r="C1523" s="5" t="n"/>
      <c r="D1523" s="5" t="n"/>
      <c r="E1523" s="4">
        <f>IF(C1523="","",COUNTIF($C$7:C1523,C1523))</f>
        <v/>
      </c>
      <c r="F1523" s="4">
        <f>IF(E1523="","",IF(E1523&lt;=3,6,IF(E1523&lt;=6,5,IF(E1523&lt;=9,4,IF(E1523&lt;=12,3,IF(E1523&lt;=15,2,0))))))</f>
        <v/>
      </c>
      <c r="G1523" s="5" t="n"/>
      <c r="H1523" s="4">
        <f>IF(OR(F1523="",G1523=""),"",F1523*G1523+IF(J1523="",0,J1523))</f>
        <v/>
      </c>
      <c r="I1523" s="5" t="n"/>
      <c r="J1523" s="5" t="n"/>
    </row>
    <row r="1524">
      <c r="A1524" s="5" t="n"/>
      <c r="B1524" s="5" t="n"/>
      <c r="C1524" s="5" t="n"/>
      <c r="D1524" s="5" t="n"/>
      <c r="E1524" s="4">
        <f>IF(C1524="","",COUNTIF($C$7:C1524,C1524))</f>
        <v/>
      </c>
      <c r="F1524" s="4">
        <f>IF(E1524="","",IF(E1524&lt;=3,6,IF(E1524&lt;=6,5,IF(E1524&lt;=9,4,IF(E1524&lt;=12,3,IF(E1524&lt;=15,2,0))))))</f>
        <v/>
      </c>
      <c r="G1524" s="5" t="n"/>
      <c r="H1524" s="4">
        <f>IF(OR(F1524="",G1524=""),"",F1524*G1524+IF(J1524="",0,J1524))</f>
        <v/>
      </c>
      <c r="I1524" s="5" t="n"/>
      <c r="J1524" s="5" t="n"/>
    </row>
    <row r="1525">
      <c r="A1525" s="5" t="n"/>
      <c r="B1525" s="5" t="n"/>
      <c r="C1525" s="5" t="n"/>
      <c r="D1525" s="5" t="n"/>
      <c r="E1525" s="4">
        <f>IF(C1525="","",COUNTIF($C$7:C1525,C1525))</f>
        <v/>
      </c>
      <c r="F1525" s="4">
        <f>IF(E1525="","",IF(E1525&lt;=3,6,IF(E1525&lt;=6,5,IF(E1525&lt;=9,4,IF(E1525&lt;=12,3,IF(E1525&lt;=15,2,0))))))</f>
        <v/>
      </c>
      <c r="G1525" s="5" t="n"/>
      <c r="H1525" s="4">
        <f>IF(OR(F1525="",G1525=""),"",F1525*G1525+IF(J1525="",0,J1525))</f>
        <v/>
      </c>
      <c r="I1525" s="5" t="n"/>
      <c r="J1525" s="5" t="n"/>
    </row>
    <row r="1526">
      <c r="A1526" s="5" t="n"/>
      <c r="B1526" s="5" t="n"/>
      <c r="C1526" s="5" t="n"/>
      <c r="D1526" s="5" t="n"/>
      <c r="E1526" s="4">
        <f>IF(C1526="","",COUNTIF($C$7:C1526,C1526))</f>
        <v/>
      </c>
      <c r="F1526" s="4">
        <f>IF(E1526="","",IF(E1526&lt;=3,6,IF(E1526&lt;=6,5,IF(E1526&lt;=9,4,IF(E1526&lt;=12,3,IF(E1526&lt;=15,2,0))))))</f>
        <v/>
      </c>
      <c r="G1526" s="5" t="n"/>
      <c r="H1526" s="4">
        <f>IF(OR(F1526="",G1526=""),"",F1526*G1526+IF(J1526="",0,J1526))</f>
        <v/>
      </c>
      <c r="I1526" s="5" t="n"/>
      <c r="J1526" s="5" t="n"/>
    </row>
    <row r="1527">
      <c r="A1527" s="5" t="n"/>
      <c r="B1527" s="5" t="n"/>
      <c r="C1527" s="5" t="n"/>
      <c r="D1527" s="5" t="n"/>
      <c r="E1527" s="4">
        <f>IF(C1527="","",COUNTIF($C$7:C1527,C1527))</f>
        <v/>
      </c>
      <c r="F1527" s="4">
        <f>IF(E1527="","",IF(E1527&lt;=3,6,IF(E1527&lt;=6,5,IF(E1527&lt;=9,4,IF(E1527&lt;=12,3,IF(E1527&lt;=15,2,0))))))</f>
        <v/>
      </c>
      <c r="G1527" s="5" t="n"/>
      <c r="H1527" s="4">
        <f>IF(OR(F1527="",G1527=""),"",F1527*G1527+IF(J1527="",0,J1527))</f>
        <v/>
      </c>
      <c r="I1527" s="5" t="n"/>
      <c r="J1527" s="5" t="n"/>
    </row>
    <row r="1528">
      <c r="A1528" s="5" t="n"/>
      <c r="B1528" s="5" t="n"/>
      <c r="C1528" s="5" t="n"/>
      <c r="D1528" s="5" t="n"/>
      <c r="E1528" s="4">
        <f>IF(C1528="","",COUNTIF($C$7:C1528,C1528))</f>
        <v/>
      </c>
      <c r="F1528" s="4">
        <f>IF(E1528="","",IF(E1528&lt;=3,6,IF(E1528&lt;=6,5,IF(E1528&lt;=9,4,IF(E1528&lt;=12,3,IF(E1528&lt;=15,2,0))))))</f>
        <v/>
      </c>
      <c r="G1528" s="5" t="n"/>
      <c r="H1528" s="4">
        <f>IF(OR(F1528="",G1528=""),"",F1528*G1528+IF(J1528="",0,J1528))</f>
        <v/>
      </c>
      <c r="I1528" s="5" t="n"/>
      <c r="J1528" s="5" t="n"/>
    </row>
    <row r="1529">
      <c r="A1529" s="5" t="n"/>
      <c r="B1529" s="5" t="n"/>
      <c r="C1529" s="5" t="n"/>
      <c r="D1529" s="5" t="n"/>
      <c r="E1529" s="4">
        <f>IF(C1529="","",COUNTIF($C$7:C1529,C1529))</f>
        <v/>
      </c>
      <c r="F1529" s="4">
        <f>IF(E1529="","",IF(E1529&lt;=3,6,IF(E1529&lt;=6,5,IF(E1529&lt;=9,4,IF(E1529&lt;=12,3,IF(E1529&lt;=15,2,0))))))</f>
        <v/>
      </c>
      <c r="G1529" s="5" t="n"/>
      <c r="H1529" s="4">
        <f>IF(OR(F1529="",G1529=""),"",F1529*G1529+IF(J1529="",0,J1529))</f>
        <v/>
      </c>
      <c r="I1529" s="5" t="n"/>
      <c r="J1529" s="5" t="n"/>
    </row>
    <row r="1530">
      <c r="A1530" s="5" t="n"/>
      <c r="B1530" s="5" t="n"/>
      <c r="C1530" s="5" t="n"/>
      <c r="D1530" s="5" t="n"/>
      <c r="E1530" s="4">
        <f>IF(C1530="","",COUNTIF($C$7:C1530,C1530))</f>
        <v/>
      </c>
      <c r="F1530" s="4">
        <f>IF(E1530="","",IF(E1530&lt;=3,6,IF(E1530&lt;=6,5,IF(E1530&lt;=9,4,IF(E1530&lt;=12,3,IF(E1530&lt;=15,2,0))))))</f>
        <v/>
      </c>
      <c r="G1530" s="5" t="n"/>
      <c r="H1530" s="4">
        <f>IF(OR(F1530="",G1530=""),"",F1530*G1530+IF(J1530="",0,J1530))</f>
        <v/>
      </c>
      <c r="I1530" s="5" t="n"/>
      <c r="J1530" s="5" t="n"/>
    </row>
    <row r="1531">
      <c r="A1531" s="5" t="n"/>
      <c r="B1531" s="5" t="n"/>
      <c r="C1531" s="5" t="n"/>
      <c r="D1531" s="5" t="n"/>
      <c r="E1531" s="4">
        <f>IF(C1531="","",COUNTIF($C$7:C1531,C1531))</f>
        <v/>
      </c>
      <c r="F1531" s="4">
        <f>IF(E1531="","",IF(E1531&lt;=3,6,IF(E1531&lt;=6,5,IF(E1531&lt;=9,4,IF(E1531&lt;=12,3,IF(E1531&lt;=15,2,0))))))</f>
        <v/>
      </c>
      <c r="G1531" s="5" t="n"/>
      <c r="H1531" s="4">
        <f>IF(OR(F1531="",G1531=""),"",F1531*G1531+IF(J1531="",0,J1531))</f>
        <v/>
      </c>
      <c r="I1531" s="5" t="n"/>
      <c r="J1531" s="5" t="n"/>
    </row>
    <row r="1532">
      <c r="A1532" s="5" t="n"/>
      <c r="B1532" s="5" t="n"/>
      <c r="C1532" s="5" t="n"/>
      <c r="D1532" s="5" t="n"/>
      <c r="E1532" s="4">
        <f>IF(C1532="","",COUNTIF($C$7:C1532,C1532))</f>
        <v/>
      </c>
      <c r="F1532" s="4">
        <f>IF(E1532="","",IF(E1532&lt;=3,6,IF(E1532&lt;=6,5,IF(E1532&lt;=9,4,IF(E1532&lt;=12,3,IF(E1532&lt;=15,2,0))))))</f>
        <v/>
      </c>
      <c r="G1532" s="5" t="n"/>
      <c r="H1532" s="4">
        <f>IF(OR(F1532="",G1532=""),"",F1532*G1532+IF(J1532="",0,J1532))</f>
        <v/>
      </c>
      <c r="I1532" s="5" t="n"/>
      <c r="J1532" s="5" t="n"/>
    </row>
    <row r="1533">
      <c r="A1533" s="5" t="n"/>
      <c r="B1533" s="5" t="n"/>
      <c r="C1533" s="5" t="n"/>
      <c r="D1533" s="5" t="n"/>
      <c r="E1533" s="4">
        <f>IF(C1533="","",COUNTIF($C$7:C1533,C1533))</f>
        <v/>
      </c>
      <c r="F1533" s="4">
        <f>IF(E1533="","",IF(E1533&lt;=3,6,IF(E1533&lt;=6,5,IF(E1533&lt;=9,4,IF(E1533&lt;=12,3,IF(E1533&lt;=15,2,0))))))</f>
        <v/>
      </c>
      <c r="G1533" s="5" t="n"/>
      <c r="H1533" s="4">
        <f>IF(OR(F1533="",G1533=""),"",F1533*G1533+IF(J1533="",0,J1533))</f>
        <v/>
      </c>
      <c r="I1533" s="5" t="n"/>
      <c r="J1533" s="5" t="n"/>
    </row>
    <row r="1534">
      <c r="A1534" s="5" t="n"/>
      <c r="B1534" s="5" t="n"/>
      <c r="C1534" s="5" t="n"/>
      <c r="D1534" s="5" t="n"/>
      <c r="E1534" s="4">
        <f>IF(C1534="","",COUNTIF($C$7:C1534,C1534))</f>
        <v/>
      </c>
      <c r="F1534" s="4">
        <f>IF(E1534="","",IF(E1534&lt;=3,6,IF(E1534&lt;=6,5,IF(E1534&lt;=9,4,IF(E1534&lt;=12,3,IF(E1534&lt;=15,2,0))))))</f>
        <v/>
      </c>
      <c r="G1534" s="5" t="n"/>
      <c r="H1534" s="4">
        <f>IF(OR(F1534="",G1534=""),"",F1534*G1534+IF(J1534="",0,J1534))</f>
        <v/>
      </c>
      <c r="I1534" s="5" t="n"/>
      <c r="J1534" s="5" t="n"/>
    </row>
    <row r="1535">
      <c r="A1535" s="5" t="n"/>
      <c r="B1535" s="5" t="n"/>
      <c r="C1535" s="5" t="n"/>
      <c r="D1535" s="5" t="n"/>
      <c r="E1535" s="4">
        <f>IF(C1535="","",COUNTIF($C$7:C1535,C1535))</f>
        <v/>
      </c>
      <c r="F1535" s="4">
        <f>IF(E1535="","",IF(E1535&lt;=3,6,IF(E1535&lt;=6,5,IF(E1535&lt;=9,4,IF(E1535&lt;=12,3,IF(E1535&lt;=15,2,0))))))</f>
        <v/>
      </c>
      <c r="G1535" s="5" t="n"/>
      <c r="H1535" s="4">
        <f>IF(OR(F1535="",G1535=""),"",F1535*G1535+IF(J1535="",0,J1535))</f>
        <v/>
      </c>
      <c r="I1535" s="5" t="n"/>
      <c r="J1535" s="5" t="n"/>
    </row>
    <row r="1536">
      <c r="A1536" s="5" t="n"/>
      <c r="B1536" s="5" t="n"/>
      <c r="C1536" s="5" t="n"/>
      <c r="D1536" s="5" t="n"/>
      <c r="E1536" s="4">
        <f>IF(C1536="","",COUNTIF($C$7:C1536,C1536))</f>
        <v/>
      </c>
      <c r="F1536" s="4">
        <f>IF(E1536="","",IF(E1536&lt;=3,6,IF(E1536&lt;=6,5,IF(E1536&lt;=9,4,IF(E1536&lt;=12,3,IF(E1536&lt;=15,2,0))))))</f>
        <v/>
      </c>
      <c r="G1536" s="5" t="n"/>
      <c r="H1536" s="4">
        <f>IF(OR(F1536="",G1536=""),"",F1536*G1536+IF(J1536="",0,J1536))</f>
        <v/>
      </c>
      <c r="I1536" s="5" t="n"/>
      <c r="J1536" s="5" t="n"/>
    </row>
    <row r="1537">
      <c r="A1537" s="5" t="n"/>
      <c r="B1537" s="5" t="n"/>
      <c r="C1537" s="5" t="n"/>
      <c r="D1537" s="5" t="n"/>
      <c r="E1537" s="4">
        <f>IF(C1537="","",COUNTIF($C$7:C1537,C1537))</f>
        <v/>
      </c>
      <c r="F1537" s="4">
        <f>IF(E1537="","",IF(E1537&lt;=3,6,IF(E1537&lt;=6,5,IF(E1537&lt;=9,4,IF(E1537&lt;=12,3,IF(E1537&lt;=15,2,0))))))</f>
        <v/>
      </c>
      <c r="G1537" s="5" t="n"/>
      <c r="H1537" s="4">
        <f>IF(OR(F1537="",G1537=""),"",F1537*G1537+IF(J1537="",0,J1537))</f>
        <v/>
      </c>
      <c r="I1537" s="5" t="n"/>
      <c r="J1537" s="5" t="n"/>
    </row>
    <row r="1538">
      <c r="A1538" s="5" t="n"/>
      <c r="B1538" s="5" t="n"/>
      <c r="C1538" s="5" t="n"/>
      <c r="D1538" s="5" t="n"/>
      <c r="E1538" s="4">
        <f>IF(C1538="","",COUNTIF($C$7:C1538,C1538))</f>
        <v/>
      </c>
      <c r="F1538" s="4">
        <f>IF(E1538="","",IF(E1538&lt;=3,6,IF(E1538&lt;=6,5,IF(E1538&lt;=9,4,IF(E1538&lt;=12,3,IF(E1538&lt;=15,2,0))))))</f>
        <v/>
      </c>
      <c r="G1538" s="5" t="n"/>
      <c r="H1538" s="4">
        <f>IF(OR(F1538="",G1538=""),"",F1538*G1538+IF(J1538="",0,J1538))</f>
        <v/>
      </c>
      <c r="I1538" s="5" t="n"/>
      <c r="J1538" s="5" t="n"/>
    </row>
    <row r="1539">
      <c r="A1539" s="5" t="n"/>
      <c r="B1539" s="5" t="n"/>
      <c r="C1539" s="5" t="n"/>
      <c r="D1539" s="5" t="n"/>
      <c r="E1539" s="4">
        <f>IF(C1539="","",COUNTIF($C$7:C1539,C1539))</f>
        <v/>
      </c>
      <c r="F1539" s="4">
        <f>IF(E1539="","",IF(E1539&lt;=3,6,IF(E1539&lt;=6,5,IF(E1539&lt;=9,4,IF(E1539&lt;=12,3,IF(E1539&lt;=15,2,0))))))</f>
        <v/>
      </c>
      <c r="G1539" s="5" t="n"/>
      <c r="H1539" s="4">
        <f>IF(OR(F1539="",G1539=""),"",F1539*G1539+IF(J1539="",0,J1539))</f>
        <v/>
      </c>
      <c r="I1539" s="5" t="n"/>
      <c r="J1539" s="5" t="n"/>
    </row>
    <row r="1540">
      <c r="A1540" s="5" t="n"/>
      <c r="B1540" s="5" t="n"/>
      <c r="C1540" s="5" t="n"/>
      <c r="D1540" s="5" t="n"/>
      <c r="E1540" s="4">
        <f>IF(C1540="","",COUNTIF($C$7:C1540,C1540))</f>
        <v/>
      </c>
      <c r="F1540" s="4">
        <f>IF(E1540="","",IF(E1540&lt;=3,6,IF(E1540&lt;=6,5,IF(E1540&lt;=9,4,IF(E1540&lt;=12,3,IF(E1540&lt;=15,2,0))))))</f>
        <v/>
      </c>
      <c r="G1540" s="5" t="n"/>
      <c r="H1540" s="4">
        <f>IF(OR(F1540="",G1540=""),"",F1540*G1540+IF(J1540="",0,J1540))</f>
        <v/>
      </c>
      <c r="I1540" s="5" t="n"/>
      <c r="J1540" s="5" t="n"/>
    </row>
    <row r="1541">
      <c r="A1541" s="5" t="n"/>
      <c r="B1541" s="5" t="n"/>
      <c r="C1541" s="5" t="n"/>
      <c r="D1541" s="5" t="n"/>
      <c r="E1541" s="4">
        <f>IF(C1541="","",COUNTIF($C$7:C1541,C1541))</f>
        <v/>
      </c>
      <c r="F1541" s="4">
        <f>IF(E1541="","",IF(E1541&lt;=3,6,IF(E1541&lt;=6,5,IF(E1541&lt;=9,4,IF(E1541&lt;=12,3,IF(E1541&lt;=15,2,0))))))</f>
        <v/>
      </c>
      <c r="G1541" s="5" t="n"/>
      <c r="H1541" s="4">
        <f>IF(OR(F1541="",G1541=""),"",F1541*G1541+IF(J1541="",0,J1541))</f>
        <v/>
      </c>
      <c r="I1541" s="5" t="n"/>
      <c r="J1541" s="5" t="n"/>
    </row>
    <row r="1542">
      <c r="A1542" s="5" t="n"/>
      <c r="B1542" s="5" t="n"/>
      <c r="C1542" s="5" t="n"/>
      <c r="D1542" s="5" t="n"/>
      <c r="E1542" s="4">
        <f>IF(C1542="","",COUNTIF($C$7:C1542,C1542))</f>
        <v/>
      </c>
      <c r="F1542" s="4">
        <f>IF(E1542="","",IF(E1542&lt;=3,6,IF(E1542&lt;=6,5,IF(E1542&lt;=9,4,IF(E1542&lt;=12,3,IF(E1542&lt;=15,2,0))))))</f>
        <v/>
      </c>
      <c r="G1542" s="5" t="n"/>
      <c r="H1542" s="4">
        <f>IF(OR(F1542="",G1542=""),"",F1542*G1542+IF(J1542="",0,J1542))</f>
        <v/>
      </c>
      <c r="I1542" s="5" t="n"/>
      <c r="J1542" s="5" t="n"/>
    </row>
    <row r="1543">
      <c r="A1543" s="5" t="n"/>
      <c r="B1543" s="5" t="n"/>
      <c r="C1543" s="5" t="n"/>
      <c r="D1543" s="5" t="n"/>
      <c r="E1543" s="4">
        <f>IF(C1543="","",COUNTIF($C$7:C1543,C1543))</f>
        <v/>
      </c>
      <c r="F1543" s="4">
        <f>IF(E1543="","",IF(E1543&lt;=3,6,IF(E1543&lt;=6,5,IF(E1543&lt;=9,4,IF(E1543&lt;=12,3,IF(E1543&lt;=15,2,0))))))</f>
        <v/>
      </c>
      <c r="G1543" s="5" t="n"/>
      <c r="H1543" s="4">
        <f>IF(OR(F1543="",G1543=""),"",F1543*G1543+IF(J1543="",0,J1543))</f>
        <v/>
      </c>
      <c r="I1543" s="5" t="n"/>
      <c r="J1543" s="5" t="n"/>
    </row>
    <row r="1544">
      <c r="A1544" s="5" t="n"/>
      <c r="B1544" s="5" t="n"/>
      <c r="C1544" s="5" t="n"/>
      <c r="D1544" s="5" t="n"/>
      <c r="E1544" s="4">
        <f>IF(C1544="","",COUNTIF($C$7:C1544,C1544))</f>
        <v/>
      </c>
      <c r="F1544" s="4">
        <f>IF(E1544="","",IF(E1544&lt;=3,6,IF(E1544&lt;=6,5,IF(E1544&lt;=9,4,IF(E1544&lt;=12,3,IF(E1544&lt;=15,2,0))))))</f>
        <v/>
      </c>
      <c r="G1544" s="5" t="n"/>
      <c r="H1544" s="4">
        <f>IF(OR(F1544="",G1544=""),"",F1544*G1544+IF(J1544="",0,J1544))</f>
        <v/>
      </c>
      <c r="I1544" s="5" t="n"/>
      <c r="J1544" s="5" t="n"/>
    </row>
    <row r="1545">
      <c r="A1545" s="5" t="n"/>
      <c r="B1545" s="5" t="n"/>
      <c r="C1545" s="5" t="n"/>
      <c r="D1545" s="5" t="n"/>
      <c r="E1545" s="4">
        <f>IF(C1545="","",COUNTIF($C$7:C1545,C1545))</f>
        <v/>
      </c>
      <c r="F1545" s="4">
        <f>IF(E1545="","",IF(E1545&lt;=3,6,IF(E1545&lt;=6,5,IF(E1545&lt;=9,4,IF(E1545&lt;=12,3,IF(E1545&lt;=15,2,0))))))</f>
        <v/>
      </c>
      <c r="G1545" s="5" t="n"/>
      <c r="H1545" s="4">
        <f>IF(OR(F1545="",G1545=""),"",F1545*G1545+IF(J1545="",0,J1545))</f>
        <v/>
      </c>
      <c r="I1545" s="5" t="n"/>
      <c r="J1545" s="5" t="n"/>
    </row>
    <row r="1546">
      <c r="A1546" s="5" t="n"/>
      <c r="B1546" s="5" t="n"/>
      <c r="C1546" s="5" t="n"/>
      <c r="D1546" s="5" t="n"/>
      <c r="E1546" s="4">
        <f>IF(C1546="","",COUNTIF($C$7:C1546,C1546))</f>
        <v/>
      </c>
      <c r="F1546" s="4">
        <f>IF(E1546="","",IF(E1546&lt;=3,6,IF(E1546&lt;=6,5,IF(E1546&lt;=9,4,IF(E1546&lt;=12,3,IF(E1546&lt;=15,2,0))))))</f>
        <v/>
      </c>
      <c r="G1546" s="5" t="n"/>
      <c r="H1546" s="4">
        <f>IF(OR(F1546="",G1546=""),"",F1546*G1546+IF(J1546="",0,J1546))</f>
        <v/>
      </c>
      <c r="I1546" s="5" t="n"/>
      <c r="J1546" s="5" t="n"/>
    </row>
    <row r="1547">
      <c r="A1547" s="5" t="n"/>
      <c r="B1547" s="5" t="n"/>
      <c r="C1547" s="5" t="n"/>
      <c r="D1547" s="5" t="n"/>
      <c r="E1547" s="4">
        <f>IF(C1547="","",COUNTIF($C$7:C1547,C1547))</f>
        <v/>
      </c>
      <c r="F1547" s="4">
        <f>IF(E1547="","",IF(E1547&lt;=3,6,IF(E1547&lt;=6,5,IF(E1547&lt;=9,4,IF(E1547&lt;=12,3,IF(E1547&lt;=15,2,0))))))</f>
        <v/>
      </c>
      <c r="G1547" s="5" t="n"/>
      <c r="H1547" s="4">
        <f>IF(OR(F1547="",G1547=""),"",F1547*G1547+IF(J1547="",0,J1547))</f>
        <v/>
      </c>
      <c r="I1547" s="5" t="n"/>
      <c r="J1547" s="5" t="n"/>
    </row>
    <row r="1548">
      <c r="A1548" s="5" t="n"/>
      <c r="B1548" s="5" t="n"/>
      <c r="C1548" s="5" t="n"/>
      <c r="D1548" s="5" t="n"/>
      <c r="E1548" s="4">
        <f>IF(C1548="","",COUNTIF($C$7:C1548,C1548))</f>
        <v/>
      </c>
      <c r="F1548" s="4">
        <f>IF(E1548="","",IF(E1548&lt;=3,6,IF(E1548&lt;=6,5,IF(E1548&lt;=9,4,IF(E1548&lt;=12,3,IF(E1548&lt;=15,2,0))))))</f>
        <v/>
      </c>
      <c r="G1548" s="5" t="n"/>
      <c r="H1548" s="4">
        <f>IF(OR(F1548="",G1548=""),"",F1548*G1548+IF(J1548="",0,J1548))</f>
        <v/>
      </c>
      <c r="I1548" s="5" t="n"/>
      <c r="J1548" s="5" t="n"/>
    </row>
    <row r="1549">
      <c r="A1549" s="5" t="n"/>
      <c r="B1549" s="5" t="n"/>
      <c r="C1549" s="5" t="n"/>
      <c r="D1549" s="5" t="n"/>
      <c r="E1549" s="4">
        <f>IF(C1549="","",COUNTIF($C$7:C1549,C1549))</f>
        <v/>
      </c>
      <c r="F1549" s="4">
        <f>IF(E1549="","",IF(E1549&lt;=3,6,IF(E1549&lt;=6,5,IF(E1549&lt;=9,4,IF(E1549&lt;=12,3,IF(E1549&lt;=15,2,0))))))</f>
        <v/>
      </c>
      <c r="G1549" s="5" t="n"/>
      <c r="H1549" s="4">
        <f>IF(OR(F1549="",G1549=""),"",F1549*G1549+IF(J1549="",0,J1549))</f>
        <v/>
      </c>
      <c r="I1549" s="5" t="n"/>
      <c r="J1549" s="5" t="n"/>
    </row>
    <row r="1550">
      <c r="A1550" s="5" t="n"/>
      <c r="B1550" s="5" t="n"/>
      <c r="C1550" s="5" t="n"/>
      <c r="D1550" s="5" t="n"/>
      <c r="E1550" s="4">
        <f>IF(C1550="","",COUNTIF($C$7:C1550,C1550))</f>
        <v/>
      </c>
      <c r="F1550" s="4">
        <f>IF(E1550="","",IF(E1550&lt;=3,6,IF(E1550&lt;=6,5,IF(E1550&lt;=9,4,IF(E1550&lt;=12,3,IF(E1550&lt;=15,2,0))))))</f>
        <v/>
      </c>
      <c r="G1550" s="5" t="n"/>
      <c r="H1550" s="4">
        <f>IF(OR(F1550="",G1550=""),"",F1550*G1550+IF(J1550="",0,J1550))</f>
        <v/>
      </c>
      <c r="I1550" s="5" t="n"/>
      <c r="J1550" s="5" t="n"/>
    </row>
    <row r="1551">
      <c r="A1551" s="5" t="n"/>
      <c r="B1551" s="5" t="n"/>
      <c r="C1551" s="5" t="n"/>
      <c r="D1551" s="5" t="n"/>
      <c r="E1551" s="4">
        <f>IF(C1551="","",COUNTIF($C$7:C1551,C1551))</f>
        <v/>
      </c>
      <c r="F1551" s="4">
        <f>IF(E1551="","",IF(E1551&lt;=3,6,IF(E1551&lt;=6,5,IF(E1551&lt;=9,4,IF(E1551&lt;=12,3,IF(E1551&lt;=15,2,0))))))</f>
        <v/>
      </c>
      <c r="G1551" s="5" t="n"/>
      <c r="H1551" s="4">
        <f>IF(OR(F1551="",G1551=""),"",F1551*G1551+IF(J1551="",0,J1551))</f>
        <v/>
      </c>
      <c r="I1551" s="5" t="n"/>
      <c r="J1551" s="5" t="n"/>
    </row>
    <row r="1552">
      <c r="A1552" s="5" t="n"/>
      <c r="B1552" s="5" t="n"/>
      <c r="C1552" s="5" t="n"/>
      <c r="D1552" s="5" t="n"/>
      <c r="E1552" s="4">
        <f>IF(C1552="","",COUNTIF($C$7:C1552,C1552))</f>
        <v/>
      </c>
      <c r="F1552" s="4">
        <f>IF(E1552="","",IF(E1552&lt;=3,6,IF(E1552&lt;=6,5,IF(E1552&lt;=9,4,IF(E1552&lt;=12,3,IF(E1552&lt;=15,2,0))))))</f>
        <v/>
      </c>
      <c r="G1552" s="5" t="n"/>
      <c r="H1552" s="4">
        <f>IF(OR(F1552="",G1552=""),"",F1552*G1552+IF(J1552="",0,J1552))</f>
        <v/>
      </c>
      <c r="I1552" s="5" t="n"/>
      <c r="J1552" s="5" t="n"/>
    </row>
    <row r="1553">
      <c r="A1553" s="5" t="n"/>
      <c r="B1553" s="5" t="n"/>
      <c r="C1553" s="5" t="n"/>
      <c r="D1553" s="5" t="n"/>
      <c r="E1553" s="4">
        <f>IF(C1553="","",COUNTIF($C$7:C1553,C1553))</f>
        <v/>
      </c>
      <c r="F1553" s="4">
        <f>IF(E1553="","",IF(E1553&lt;=3,6,IF(E1553&lt;=6,5,IF(E1553&lt;=9,4,IF(E1553&lt;=12,3,IF(E1553&lt;=15,2,0))))))</f>
        <v/>
      </c>
      <c r="G1553" s="5" t="n"/>
      <c r="H1553" s="4">
        <f>IF(OR(F1553="",G1553=""),"",F1553*G1553+IF(J1553="",0,J1553))</f>
        <v/>
      </c>
      <c r="I1553" s="5" t="n"/>
      <c r="J1553" s="5" t="n"/>
    </row>
    <row r="1554">
      <c r="A1554" s="5" t="n"/>
      <c r="B1554" s="5" t="n"/>
      <c r="C1554" s="5" t="n"/>
      <c r="D1554" s="5" t="n"/>
      <c r="E1554" s="4">
        <f>IF(C1554="","",COUNTIF($C$7:C1554,C1554))</f>
        <v/>
      </c>
      <c r="F1554" s="4">
        <f>IF(E1554="","",IF(E1554&lt;=3,6,IF(E1554&lt;=6,5,IF(E1554&lt;=9,4,IF(E1554&lt;=12,3,IF(E1554&lt;=15,2,0))))))</f>
        <v/>
      </c>
      <c r="G1554" s="5" t="n"/>
      <c r="H1554" s="4">
        <f>IF(OR(F1554="",G1554=""),"",F1554*G1554+IF(J1554="",0,J1554))</f>
        <v/>
      </c>
      <c r="I1554" s="5" t="n"/>
      <c r="J1554" s="5" t="n"/>
    </row>
    <row r="1555">
      <c r="A1555" s="5" t="n"/>
      <c r="B1555" s="5" t="n"/>
      <c r="C1555" s="5" t="n"/>
      <c r="D1555" s="5" t="n"/>
      <c r="E1555" s="4">
        <f>IF(C1555="","",COUNTIF($C$7:C1555,C1555))</f>
        <v/>
      </c>
      <c r="F1555" s="4">
        <f>IF(E1555="","",IF(E1555&lt;=3,6,IF(E1555&lt;=6,5,IF(E1555&lt;=9,4,IF(E1555&lt;=12,3,IF(E1555&lt;=15,2,0))))))</f>
        <v/>
      </c>
      <c r="G1555" s="5" t="n"/>
      <c r="H1555" s="4">
        <f>IF(OR(F1555="",G1555=""),"",F1555*G1555+IF(J1555="",0,J1555))</f>
        <v/>
      </c>
      <c r="I1555" s="5" t="n"/>
      <c r="J1555" s="5" t="n"/>
    </row>
    <row r="1556">
      <c r="A1556" s="5" t="n"/>
      <c r="B1556" s="5" t="n"/>
      <c r="C1556" s="5" t="n"/>
      <c r="D1556" s="5" t="n"/>
      <c r="E1556" s="4">
        <f>IF(C1556="","",COUNTIF($C$7:C1556,C1556))</f>
        <v/>
      </c>
      <c r="F1556" s="4">
        <f>IF(E1556="","",IF(E1556&lt;=3,6,IF(E1556&lt;=6,5,IF(E1556&lt;=9,4,IF(E1556&lt;=12,3,IF(E1556&lt;=15,2,0))))))</f>
        <v/>
      </c>
      <c r="G1556" s="5" t="n"/>
      <c r="H1556" s="4">
        <f>IF(OR(F1556="",G1556=""),"",F1556*G1556+IF(J1556="",0,J1556))</f>
        <v/>
      </c>
      <c r="I1556" s="5" t="n"/>
      <c r="J1556" s="5" t="n"/>
    </row>
    <row r="1557">
      <c r="A1557" s="5" t="n"/>
      <c r="B1557" s="5" t="n"/>
      <c r="C1557" s="5" t="n"/>
      <c r="D1557" s="5" t="n"/>
      <c r="E1557" s="4">
        <f>IF(C1557="","",COUNTIF($C$7:C1557,C1557))</f>
        <v/>
      </c>
      <c r="F1557" s="4">
        <f>IF(E1557="","",IF(E1557&lt;=3,6,IF(E1557&lt;=6,5,IF(E1557&lt;=9,4,IF(E1557&lt;=12,3,IF(E1557&lt;=15,2,0))))))</f>
        <v/>
      </c>
      <c r="G1557" s="5" t="n"/>
      <c r="H1557" s="4">
        <f>IF(OR(F1557="",G1557=""),"",F1557*G1557+IF(J1557="",0,J1557))</f>
        <v/>
      </c>
      <c r="I1557" s="5" t="n"/>
      <c r="J1557" s="5" t="n"/>
    </row>
    <row r="1558">
      <c r="A1558" s="5" t="n"/>
      <c r="B1558" s="5" t="n"/>
      <c r="C1558" s="5" t="n"/>
      <c r="D1558" s="5" t="n"/>
      <c r="E1558" s="4">
        <f>IF(C1558="","",COUNTIF($C$7:C1558,C1558))</f>
        <v/>
      </c>
      <c r="F1558" s="4">
        <f>IF(E1558="","",IF(E1558&lt;=3,6,IF(E1558&lt;=6,5,IF(E1558&lt;=9,4,IF(E1558&lt;=12,3,IF(E1558&lt;=15,2,0))))))</f>
        <v/>
      </c>
      <c r="G1558" s="5" t="n"/>
      <c r="H1558" s="4">
        <f>IF(OR(F1558="",G1558=""),"",F1558*G1558+IF(J1558="",0,J1558))</f>
        <v/>
      </c>
      <c r="I1558" s="5" t="n"/>
      <c r="J1558" s="5" t="n"/>
    </row>
    <row r="1559">
      <c r="A1559" s="5" t="n"/>
      <c r="B1559" s="5" t="n"/>
      <c r="C1559" s="5" t="n"/>
      <c r="D1559" s="5" t="n"/>
      <c r="E1559" s="4">
        <f>IF(C1559="","",COUNTIF($C$7:C1559,C1559))</f>
        <v/>
      </c>
      <c r="F1559" s="4">
        <f>IF(E1559="","",IF(E1559&lt;=3,6,IF(E1559&lt;=6,5,IF(E1559&lt;=9,4,IF(E1559&lt;=12,3,IF(E1559&lt;=15,2,0))))))</f>
        <v/>
      </c>
      <c r="G1559" s="5" t="n"/>
      <c r="H1559" s="4">
        <f>IF(OR(F1559="",G1559=""),"",F1559*G1559+IF(J1559="",0,J1559))</f>
        <v/>
      </c>
      <c r="I1559" s="5" t="n"/>
      <c r="J1559" s="5" t="n"/>
    </row>
    <row r="1560">
      <c r="A1560" s="5" t="n"/>
      <c r="B1560" s="5" t="n"/>
      <c r="C1560" s="5" t="n"/>
      <c r="D1560" s="5" t="n"/>
      <c r="E1560" s="4">
        <f>IF(C1560="","",COUNTIF($C$7:C1560,C1560))</f>
        <v/>
      </c>
      <c r="F1560" s="4">
        <f>IF(E1560="","",IF(E1560&lt;=3,6,IF(E1560&lt;=6,5,IF(E1560&lt;=9,4,IF(E1560&lt;=12,3,IF(E1560&lt;=15,2,0))))))</f>
        <v/>
      </c>
      <c r="G1560" s="5" t="n"/>
      <c r="H1560" s="4">
        <f>IF(OR(F1560="",G1560=""),"",F1560*G1560+IF(J1560="",0,J1560))</f>
        <v/>
      </c>
      <c r="I1560" s="5" t="n"/>
      <c r="J1560" s="5" t="n"/>
    </row>
    <row r="1561">
      <c r="A1561" s="5" t="n"/>
      <c r="B1561" s="5" t="n"/>
      <c r="C1561" s="5" t="n"/>
      <c r="D1561" s="5" t="n"/>
      <c r="E1561" s="4">
        <f>IF(C1561="","",COUNTIF($C$7:C1561,C1561))</f>
        <v/>
      </c>
      <c r="F1561" s="4">
        <f>IF(E1561="","",IF(E1561&lt;=3,6,IF(E1561&lt;=6,5,IF(E1561&lt;=9,4,IF(E1561&lt;=12,3,IF(E1561&lt;=15,2,0))))))</f>
        <v/>
      </c>
      <c r="G1561" s="5" t="n"/>
      <c r="H1561" s="4">
        <f>IF(OR(F1561="",G1561=""),"",F1561*G1561+IF(J1561="",0,J1561))</f>
        <v/>
      </c>
      <c r="I1561" s="5" t="n"/>
      <c r="J1561" s="5" t="n"/>
    </row>
    <row r="1562">
      <c r="A1562" s="5" t="n"/>
      <c r="B1562" s="5" t="n"/>
      <c r="C1562" s="5" t="n"/>
      <c r="D1562" s="5" t="n"/>
      <c r="E1562" s="4">
        <f>IF(C1562="","",COUNTIF($C$7:C1562,C1562))</f>
        <v/>
      </c>
      <c r="F1562" s="4">
        <f>IF(E1562="","",IF(E1562&lt;=3,6,IF(E1562&lt;=6,5,IF(E1562&lt;=9,4,IF(E1562&lt;=12,3,IF(E1562&lt;=15,2,0))))))</f>
        <v/>
      </c>
      <c r="G1562" s="5" t="n"/>
      <c r="H1562" s="4">
        <f>IF(OR(F1562="",G1562=""),"",F1562*G1562+IF(J1562="",0,J1562))</f>
        <v/>
      </c>
      <c r="I1562" s="5" t="n"/>
      <c r="J1562" s="5" t="n"/>
    </row>
    <row r="1563">
      <c r="A1563" s="5" t="n"/>
      <c r="B1563" s="5" t="n"/>
      <c r="C1563" s="5" t="n"/>
      <c r="D1563" s="5" t="n"/>
      <c r="E1563" s="4">
        <f>IF(C1563="","",COUNTIF($C$7:C1563,C1563))</f>
        <v/>
      </c>
      <c r="F1563" s="4">
        <f>IF(E1563="","",IF(E1563&lt;=3,6,IF(E1563&lt;=6,5,IF(E1563&lt;=9,4,IF(E1563&lt;=12,3,IF(E1563&lt;=15,2,0))))))</f>
        <v/>
      </c>
      <c r="G1563" s="5" t="n"/>
      <c r="H1563" s="4">
        <f>IF(OR(F1563="",G1563=""),"",F1563*G1563+IF(J1563="",0,J1563))</f>
        <v/>
      </c>
      <c r="I1563" s="5" t="n"/>
      <c r="J1563" s="5" t="n"/>
    </row>
    <row r="1564">
      <c r="A1564" s="5" t="n"/>
      <c r="B1564" s="5" t="n"/>
      <c r="C1564" s="5" t="n"/>
      <c r="D1564" s="5" t="n"/>
      <c r="E1564" s="4">
        <f>IF(C1564="","",COUNTIF($C$7:C1564,C1564))</f>
        <v/>
      </c>
      <c r="F1564" s="4">
        <f>IF(E1564="","",IF(E1564&lt;=3,6,IF(E1564&lt;=6,5,IF(E1564&lt;=9,4,IF(E1564&lt;=12,3,IF(E1564&lt;=15,2,0))))))</f>
        <v/>
      </c>
      <c r="G1564" s="5" t="n"/>
      <c r="H1564" s="4">
        <f>IF(OR(F1564="",G1564=""),"",F1564*G1564+IF(J1564="",0,J1564))</f>
        <v/>
      </c>
      <c r="I1564" s="5" t="n"/>
      <c r="J1564" s="5" t="n"/>
    </row>
    <row r="1565">
      <c r="A1565" s="5" t="n"/>
      <c r="B1565" s="5" t="n"/>
      <c r="C1565" s="5" t="n"/>
      <c r="D1565" s="5" t="n"/>
      <c r="E1565" s="4">
        <f>IF(C1565="","",COUNTIF($C$7:C1565,C1565))</f>
        <v/>
      </c>
      <c r="F1565" s="4">
        <f>IF(E1565="","",IF(E1565&lt;=3,6,IF(E1565&lt;=6,5,IF(E1565&lt;=9,4,IF(E1565&lt;=12,3,IF(E1565&lt;=15,2,0))))))</f>
        <v/>
      </c>
      <c r="G1565" s="5" t="n"/>
      <c r="H1565" s="4">
        <f>IF(OR(F1565="",G1565=""),"",F1565*G1565+IF(J1565="",0,J1565))</f>
        <v/>
      </c>
      <c r="I1565" s="5" t="n"/>
      <c r="J1565" s="5" t="n"/>
    </row>
    <row r="1566">
      <c r="A1566" s="5" t="n"/>
      <c r="B1566" s="5" t="n"/>
      <c r="C1566" s="5" t="n"/>
      <c r="D1566" s="5" t="n"/>
      <c r="E1566" s="4">
        <f>IF(C1566="","",COUNTIF($C$7:C1566,C1566))</f>
        <v/>
      </c>
      <c r="F1566" s="4">
        <f>IF(E1566="","",IF(E1566&lt;=3,6,IF(E1566&lt;=6,5,IF(E1566&lt;=9,4,IF(E1566&lt;=12,3,IF(E1566&lt;=15,2,0))))))</f>
        <v/>
      </c>
      <c r="G1566" s="5" t="n"/>
      <c r="H1566" s="4">
        <f>IF(OR(F1566="",G1566=""),"",F1566*G1566+IF(J1566="",0,J1566))</f>
        <v/>
      </c>
      <c r="I1566" s="5" t="n"/>
      <c r="J1566" s="5" t="n"/>
    </row>
    <row r="1567">
      <c r="A1567" s="5" t="n"/>
      <c r="B1567" s="5" t="n"/>
      <c r="C1567" s="5" t="n"/>
      <c r="D1567" s="5" t="n"/>
      <c r="E1567" s="4">
        <f>IF(C1567="","",COUNTIF($C$7:C1567,C1567))</f>
        <v/>
      </c>
      <c r="F1567" s="4">
        <f>IF(E1567="","",IF(E1567&lt;=3,6,IF(E1567&lt;=6,5,IF(E1567&lt;=9,4,IF(E1567&lt;=12,3,IF(E1567&lt;=15,2,0))))))</f>
        <v/>
      </c>
      <c r="G1567" s="5" t="n"/>
      <c r="H1567" s="4">
        <f>IF(OR(F1567="",G1567=""),"",F1567*G1567+IF(J1567="",0,J1567))</f>
        <v/>
      </c>
      <c r="I1567" s="5" t="n"/>
      <c r="J1567" s="5" t="n"/>
    </row>
    <row r="1568">
      <c r="A1568" s="5" t="n"/>
      <c r="B1568" s="5" t="n"/>
      <c r="C1568" s="5" t="n"/>
      <c r="D1568" s="5" t="n"/>
      <c r="E1568" s="4">
        <f>IF(C1568="","",COUNTIF($C$7:C1568,C1568))</f>
        <v/>
      </c>
      <c r="F1568" s="4">
        <f>IF(E1568="","",IF(E1568&lt;=3,6,IF(E1568&lt;=6,5,IF(E1568&lt;=9,4,IF(E1568&lt;=12,3,IF(E1568&lt;=15,2,0))))))</f>
        <v/>
      </c>
      <c r="G1568" s="5" t="n"/>
      <c r="H1568" s="4">
        <f>IF(OR(F1568="",G1568=""),"",F1568*G1568+IF(J1568="",0,J1568))</f>
        <v/>
      </c>
      <c r="I1568" s="5" t="n"/>
      <c r="J1568" s="5" t="n"/>
    </row>
    <row r="1569">
      <c r="A1569" s="5" t="n"/>
      <c r="B1569" s="5" t="n"/>
      <c r="C1569" s="5" t="n"/>
      <c r="D1569" s="5" t="n"/>
      <c r="E1569" s="4">
        <f>IF(C1569="","",COUNTIF($C$7:C1569,C1569))</f>
        <v/>
      </c>
      <c r="F1569" s="4">
        <f>IF(E1569="","",IF(E1569&lt;=3,6,IF(E1569&lt;=6,5,IF(E1569&lt;=9,4,IF(E1569&lt;=12,3,IF(E1569&lt;=15,2,0))))))</f>
        <v/>
      </c>
      <c r="G1569" s="5" t="n"/>
      <c r="H1569" s="4">
        <f>IF(OR(F1569="",G1569=""),"",F1569*G1569+IF(J1569="",0,J1569))</f>
        <v/>
      </c>
      <c r="I1569" s="5" t="n"/>
      <c r="J1569" s="5" t="n"/>
    </row>
    <row r="1570">
      <c r="A1570" s="5" t="n"/>
      <c r="B1570" s="5" t="n"/>
      <c r="C1570" s="5" t="n"/>
      <c r="D1570" s="5" t="n"/>
      <c r="E1570" s="4">
        <f>IF(C1570="","",COUNTIF($C$7:C1570,C1570))</f>
        <v/>
      </c>
      <c r="F1570" s="4">
        <f>IF(E1570="","",IF(E1570&lt;=3,6,IF(E1570&lt;=6,5,IF(E1570&lt;=9,4,IF(E1570&lt;=12,3,IF(E1570&lt;=15,2,0))))))</f>
        <v/>
      </c>
      <c r="G1570" s="5" t="n"/>
      <c r="H1570" s="4">
        <f>IF(OR(F1570="",G1570=""),"",F1570*G1570+IF(J1570="",0,J1570))</f>
        <v/>
      </c>
      <c r="I1570" s="5" t="n"/>
      <c r="J1570" s="5" t="n"/>
    </row>
    <row r="1571">
      <c r="A1571" s="5" t="n"/>
      <c r="B1571" s="5" t="n"/>
      <c r="C1571" s="5" t="n"/>
      <c r="D1571" s="5" t="n"/>
      <c r="E1571" s="4">
        <f>IF(C1571="","",COUNTIF($C$7:C1571,C1571))</f>
        <v/>
      </c>
      <c r="F1571" s="4">
        <f>IF(E1571="","",IF(E1571&lt;=3,6,IF(E1571&lt;=6,5,IF(E1571&lt;=9,4,IF(E1571&lt;=12,3,IF(E1571&lt;=15,2,0))))))</f>
        <v/>
      </c>
      <c r="G1571" s="5" t="n"/>
      <c r="H1571" s="4">
        <f>IF(OR(F1571="",G1571=""),"",F1571*G1571+IF(J1571="",0,J1571))</f>
        <v/>
      </c>
      <c r="I1571" s="5" t="n"/>
      <c r="J1571" s="5" t="n"/>
    </row>
    <row r="1572">
      <c r="A1572" s="5" t="n"/>
      <c r="B1572" s="5" t="n"/>
      <c r="C1572" s="5" t="n"/>
      <c r="D1572" s="5" t="n"/>
      <c r="E1572" s="4">
        <f>IF(C1572="","",COUNTIF($C$7:C1572,C1572))</f>
        <v/>
      </c>
      <c r="F1572" s="4">
        <f>IF(E1572="","",IF(E1572&lt;=3,6,IF(E1572&lt;=6,5,IF(E1572&lt;=9,4,IF(E1572&lt;=12,3,IF(E1572&lt;=15,2,0))))))</f>
        <v/>
      </c>
      <c r="G1572" s="5" t="n"/>
      <c r="H1572" s="4">
        <f>IF(OR(F1572="",G1572=""),"",F1572*G1572+IF(J1572="",0,J1572))</f>
        <v/>
      </c>
      <c r="I1572" s="5" t="n"/>
      <c r="J1572" s="5" t="n"/>
    </row>
    <row r="1573">
      <c r="A1573" s="5" t="n"/>
      <c r="B1573" s="5" t="n"/>
      <c r="C1573" s="5" t="n"/>
      <c r="D1573" s="5" t="n"/>
      <c r="E1573" s="4">
        <f>IF(C1573="","",COUNTIF($C$7:C1573,C1573))</f>
        <v/>
      </c>
      <c r="F1573" s="4">
        <f>IF(E1573="","",IF(E1573&lt;=3,6,IF(E1573&lt;=6,5,IF(E1573&lt;=9,4,IF(E1573&lt;=12,3,IF(E1573&lt;=15,2,0))))))</f>
        <v/>
      </c>
      <c r="G1573" s="5" t="n"/>
      <c r="H1573" s="4">
        <f>IF(OR(F1573="",G1573=""),"",F1573*G1573+IF(J1573="",0,J1573))</f>
        <v/>
      </c>
      <c r="I1573" s="5" t="n"/>
      <c r="J1573" s="5" t="n"/>
    </row>
    <row r="1574">
      <c r="A1574" s="5" t="n"/>
      <c r="B1574" s="5" t="n"/>
      <c r="C1574" s="5" t="n"/>
      <c r="D1574" s="5" t="n"/>
      <c r="E1574" s="4">
        <f>IF(C1574="","",COUNTIF($C$7:C1574,C1574))</f>
        <v/>
      </c>
      <c r="F1574" s="4">
        <f>IF(E1574="","",IF(E1574&lt;=3,6,IF(E1574&lt;=6,5,IF(E1574&lt;=9,4,IF(E1574&lt;=12,3,IF(E1574&lt;=15,2,0))))))</f>
        <v/>
      </c>
      <c r="G1574" s="5" t="n"/>
      <c r="H1574" s="4">
        <f>IF(OR(F1574="",G1574=""),"",F1574*G1574+IF(J1574="",0,J1574))</f>
        <v/>
      </c>
      <c r="I1574" s="5" t="n"/>
      <c r="J1574" s="5" t="n"/>
    </row>
    <row r="1575">
      <c r="A1575" s="5" t="n"/>
      <c r="B1575" s="5" t="n"/>
      <c r="C1575" s="5" t="n"/>
      <c r="D1575" s="5" t="n"/>
      <c r="E1575" s="4">
        <f>IF(C1575="","",COUNTIF($C$7:C1575,C1575))</f>
        <v/>
      </c>
      <c r="F1575" s="4">
        <f>IF(E1575="","",IF(E1575&lt;=3,6,IF(E1575&lt;=6,5,IF(E1575&lt;=9,4,IF(E1575&lt;=12,3,IF(E1575&lt;=15,2,0))))))</f>
        <v/>
      </c>
      <c r="G1575" s="5" t="n"/>
      <c r="H1575" s="4">
        <f>IF(OR(F1575="",G1575=""),"",F1575*G1575+IF(J1575="",0,J1575))</f>
        <v/>
      </c>
      <c r="I1575" s="5" t="n"/>
      <c r="J1575" s="5" t="n"/>
    </row>
    <row r="1576">
      <c r="A1576" s="5" t="n"/>
      <c r="B1576" s="5" t="n"/>
      <c r="C1576" s="5" t="n"/>
      <c r="D1576" s="5" t="n"/>
      <c r="E1576" s="4">
        <f>IF(C1576="","",COUNTIF($C$7:C1576,C1576))</f>
        <v/>
      </c>
      <c r="F1576" s="4">
        <f>IF(E1576="","",IF(E1576&lt;=3,6,IF(E1576&lt;=6,5,IF(E1576&lt;=9,4,IF(E1576&lt;=12,3,IF(E1576&lt;=15,2,0))))))</f>
        <v/>
      </c>
      <c r="G1576" s="5" t="n"/>
      <c r="H1576" s="4">
        <f>IF(OR(F1576="",G1576=""),"",F1576*G1576+IF(J1576="",0,J1576))</f>
        <v/>
      </c>
      <c r="I1576" s="5" t="n"/>
      <c r="J1576" s="5" t="n"/>
    </row>
    <row r="1577">
      <c r="A1577" s="5" t="n"/>
      <c r="B1577" s="5" t="n"/>
      <c r="C1577" s="5" t="n"/>
      <c r="D1577" s="5" t="n"/>
      <c r="E1577" s="4">
        <f>IF(C1577="","",COUNTIF($C$7:C1577,C1577))</f>
        <v/>
      </c>
      <c r="F1577" s="4">
        <f>IF(E1577="","",IF(E1577&lt;=3,6,IF(E1577&lt;=6,5,IF(E1577&lt;=9,4,IF(E1577&lt;=12,3,IF(E1577&lt;=15,2,0))))))</f>
        <v/>
      </c>
      <c r="G1577" s="5" t="n"/>
      <c r="H1577" s="4">
        <f>IF(OR(F1577="",G1577=""),"",F1577*G1577+IF(J1577="",0,J1577))</f>
        <v/>
      </c>
      <c r="I1577" s="5" t="n"/>
      <c r="J1577" s="5" t="n"/>
    </row>
    <row r="1578">
      <c r="A1578" s="5" t="n"/>
      <c r="B1578" s="5" t="n"/>
      <c r="C1578" s="5" t="n"/>
      <c r="D1578" s="5" t="n"/>
      <c r="E1578" s="4">
        <f>IF(C1578="","",COUNTIF($C$7:C1578,C1578))</f>
        <v/>
      </c>
      <c r="F1578" s="4">
        <f>IF(E1578="","",IF(E1578&lt;=3,6,IF(E1578&lt;=6,5,IF(E1578&lt;=9,4,IF(E1578&lt;=12,3,IF(E1578&lt;=15,2,0))))))</f>
        <v/>
      </c>
      <c r="G1578" s="5" t="n"/>
      <c r="H1578" s="4">
        <f>IF(OR(F1578="",G1578=""),"",F1578*G1578+IF(J1578="",0,J1578))</f>
        <v/>
      </c>
      <c r="I1578" s="5" t="n"/>
      <c r="J1578" s="5" t="n"/>
    </row>
    <row r="1579">
      <c r="A1579" s="5" t="n"/>
      <c r="B1579" s="5" t="n"/>
      <c r="C1579" s="5" t="n"/>
      <c r="D1579" s="5" t="n"/>
      <c r="E1579" s="4">
        <f>IF(C1579="","",COUNTIF($C$7:C1579,C1579))</f>
        <v/>
      </c>
      <c r="F1579" s="4">
        <f>IF(E1579="","",IF(E1579&lt;=3,6,IF(E1579&lt;=6,5,IF(E1579&lt;=9,4,IF(E1579&lt;=12,3,IF(E1579&lt;=15,2,0))))))</f>
        <v/>
      </c>
      <c r="G1579" s="5" t="n"/>
      <c r="H1579" s="4">
        <f>IF(OR(F1579="",G1579=""),"",F1579*G1579+IF(J1579="",0,J1579))</f>
        <v/>
      </c>
      <c r="I1579" s="5" t="n"/>
      <c r="J1579" s="5" t="n"/>
    </row>
    <row r="1580">
      <c r="A1580" s="5" t="n"/>
      <c r="B1580" s="5" t="n"/>
      <c r="C1580" s="5" t="n"/>
      <c r="D1580" s="5" t="n"/>
      <c r="E1580" s="4">
        <f>IF(C1580="","",COUNTIF($C$7:C1580,C1580))</f>
        <v/>
      </c>
      <c r="F1580" s="4">
        <f>IF(E1580="","",IF(E1580&lt;=3,6,IF(E1580&lt;=6,5,IF(E1580&lt;=9,4,IF(E1580&lt;=12,3,IF(E1580&lt;=15,2,0))))))</f>
        <v/>
      </c>
      <c r="G1580" s="5" t="n"/>
      <c r="H1580" s="4">
        <f>IF(OR(F1580="",G1580=""),"",F1580*G1580+IF(J1580="",0,J1580))</f>
        <v/>
      </c>
      <c r="I1580" s="5" t="n"/>
      <c r="J1580" s="5" t="n"/>
    </row>
    <row r="1581">
      <c r="A1581" s="5" t="n"/>
      <c r="B1581" s="5" t="n"/>
      <c r="C1581" s="5" t="n"/>
      <c r="D1581" s="5" t="n"/>
      <c r="E1581" s="4">
        <f>IF(C1581="","",COUNTIF($C$7:C1581,C1581))</f>
        <v/>
      </c>
      <c r="F1581" s="4">
        <f>IF(E1581="","",IF(E1581&lt;=3,6,IF(E1581&lt;=6,5,IF(E1581&lt;=9,4,IF(E1581&lt;=12,3,IF(E1581&lt;=15,2,0))))))</f>
        <v/>
      </c>
      <c r="G1581" s="5" t="n"/>
      <c r="H1581" s="4">
        <f>IF(OR(F1581="",G1581=""),"",F1581*G1581+IF(J1581="",0,J1581))</f>
        <v/>
      </c>
      <c r="I1581" s="5" t="n"/>
      <c r="J1581" s="5" t="n"/>
    </row>
    <row r="1582">
      <c r="A1582" s="5" t="n"/>
      <c r="B1582" s="5" t="n"/>
      <c r="C1582" s="5" t="n"/>
      <c r="D1582" s="5" t="n"/>
      <c r="E1582" s="4">
        <f>IF(C1582="","",COUNTIF($C$7:C1582,C1582))</f>
        <v/>
      </c>
      <c r="F1582" s="4">
        <f>IF(E1582="","",IF(E1582&lt;=3,6,IF(E1582&lt;=6,5,IF(E1582&lt;=9,4,IF(E1582&lt;=12,3,IF(E1582&lt;=15,2,0))))))</f>
        <v/>
      </c>
      <c r="G1582" s="5" t="n"/>
      <c r="H1582" s="4">
        <f>IF(OR(F1582="",G1582=""),"",F1582*G1582+IF(J1582="",0,J1582))</f>
        <v/>
      </c>
      <c r="I1582" s="5" t="n"/>
      <c r="J1582" s="5" t="n"/>
    </row>
    <row r="1583">
      <c r="A1583" s="5" t="n"/>
      <c r="B1583" s="5" t="n"/>
      <c r="C1583" s="5" t="n"/>
      <c r="D1583" s="5" t="n"/>
      <c r="E1583" s="4">
        <f>IF(C1583="","",COUNTIF($C$7:C1583,C1583))</f>
        <v/>
      </c>
      <c r="F1583" s="4">
        <f>IF(E1583="","",IF(E1583&lt;=3,6,IF(E1583&lt;=6,5,IF(E1583&lt;=9,4,IF(E1583&lt;=12,3,IF(E1583&lt;=15,2,0))))))</f>
        <v/>
      </c>
      <c r="G1583" s="5" t="n"/>
      <c r="H1583" s="4">
        <f>IF(OR(F1583="",G1583=""),"",F1583*G1583+IF(J1583="",0,J1583))</f>
        <v/>
      </c>
      <c r="I1583" s="5" t="n"/>
      <c r="J1583" s="5" t="n"/>
    </row>
    <row r="1584">
      <c r="A1584" s="5" t="n"/>
      <c r="B1584" s="5" t="n"/>
      <c r="C1584" s="5" t="n"/>
      <c r="D1584" s="5" t="n"/>
      <c r="E1584" s="4">
        <f>IF(C1584="","",COUNTIF($C$7:C1584,C1584))</f>
        <v/>
      </c>
      <c r="F1584" s="4">
        <f>IF(E1584="","",IF(E1584&lt;=3,6,IF(E1584&lt;=6,5,IF(E1584&lt;=9,4,IF(E1584&lt;=12,3,IF(E1584&lt;=15,2,0))))))</f>
        <v/>
      </c>
      <c r="G1584" s="5" t="n"/>
      <c r="H1584" s="4">
        <f>IF(OR(F1584="",G1584=""),"",F1584*G1584+IF(J1584="",0,J1584))</f>
        <v/>
      </c>
      <c r="I1584" s="5" t="n"/>
      <c r="J1584" s="5" t="n"/>
    </row>
    <row r="1585">
      <c r="A1585" s="5" t="n"/>
      <c r="B1585" s="5" t="n"/>
      <c r="C1585" s="5" t="n"/>
      <c r="D1585" s="5" t="n"/>
      <c r="E1585" s="4">
        <f>IF(C1585="","",COUNTIF($C$7:C1585,C1585))</f>
        <v/>
      </c>
      <c r="F1585" s="4">
        <f>IF(E1585="","",IF(E1585&lt;=3,6,IF(E1585&lt;=6,5,IF(E1585&lt;=9,4,IF(E1585&lt;=12,3,IF(E1585&lt;=15,2,0))))))</f>
        <v/>
      </c>
      <c r="G1585" s="5" t="n"/>
      <c r="H1585" s="4">
        <f>IF(OR(F1585="",G1585=""),"",F1585*G1585+IF(J1585="",0,J1585))</f>
        <v/>
      </c>
      <c r="I1585" s="5" t="n"/>
      <c r="J1585" s="5" t="n"/>
    </row>
    <row r="1586">
      <c r="A1586" s="5" t="n"/>
      <c r="B1586" s="5" t="n"/>
      <c r="C1586" s="5" t="n"/>
      <c r="D1586" s="5" t="n"/>
      <c r="E1586" s="4">
        <f>IF(C1586="","",COUNTIF($C$7:C1586,C1586))</f>
        <v/>
      </c>
      <c r="F1586" s="4">
        <f>IF(E1586="","",IF(E1586&lt;=3,6,IF(E1586&lt;=6,5,IF(E1586&lt;=9,4,IF(E1586&lt;=12,3,IF(E1586&lt;=15,2,0))))))</f>
        <v/>
      </c>
      <c r="G1586" s="5" t="n"/>
      <c r="H1586" s="4">
        <f>IF(OR(F1586="",G1586=""),"",F1586*G1586+IF(J1586="",0,J1586))</f>
        <v/>
      </c>
      <c r="I1586" s="5" t="n"/>
      <c r="J1586" s="5" t="n"/>
    </row>
    <row r="1587">
      <c r="A1587" s="5" t="n"/>
      <c r="B1587" s="5" t="n"/>
      <c r="C1587" s="5" t="n"/>
      <c r="D1587" s="5" t="n"/>
      <c r="E1587" s="4">
        <f>IF(C1587="","",COUNTIF($C$7:C1587,C1587))</f>
        <v/>
      </c>
      <c r="F1587" s="4">
        <f>IF(E1587="","",IF(E1587&lt;=3,6,IF(E1587&lt;=6,5,IF(E1587&lt;=9,4,IF(E1587&lt;=12,3,IF(E1587&lt;=15,2,0))))))</f>
        <v/>
      </c>
      <c r="G1587" s="5" t="n"/>
      <c r="H1587" s="4">
        <f>IF(OR(F1587="",G1587=""),"",F1587*G1587+IF(J1587="",0,J1587))</f>
        <v/>
      </c>
      <c r="I1587" s="5" t="n"/>
      <c r="J1587" s="5" t="n"/>
    </row>
    <row r="1588">
      <c r="A1588" s="5" t="n"/>
      <c r="B1588" s="5" t="n"/>
      <c r="C1588" s="5" t="n"/>
      <c r="D1588" s="5" t="n"/>
      <c r="E1588" s="4">
        <f>IF(C1588="","",COUNTIF($C$7:C1588,C1588))</f>
        <v/>
      </c>
      <c r="F1588" s="4">
        <f>IF(E1588="","",IF(E1588&lt;=3,6,IF(E1588&lt;=6,5,IF(E1588&lt;=9,4,IF(E1588&lt;=12,3,IF(E1588&lt;=15,2,0))))))</f>
        <v/>
      </c>
      <c r="G1588" s="5" t="n"/>
      <c r="H1588" s="4">
        <f>IF(OR(F1588="",G1588=""),"",F1588*G1588+IF(J1588="",0,J1588))</f>
        <v/>
      </c>
      <c r="I1588" s="5" t="n"/>
      <c r="J1588" s="5" t="n"/>
    </row>
    <row r="1589">
      <c r="A1589" s="5" t="n"/>
      <c r="B1589" s="5" t="n"/>
      <c r="C1589" s="5" t="n"/>
      <c r="D1589" s="5" t="n"/>
      <c r="E1589" s="4">
        <f>IF(C1589="","",COUNTIF($C$7:C1589,C1589))</f>
        <v/>
      </c>
      <c r="F1589" s="4">
        <f>IF(E1589="","",IF(E1589&lt;=3,6,IF(E1589&lt;=6,5,IF(E1589&lt;=9,4,IF(E1589&lt;=12,3,IF(E1589&lt;=15,2,0))))))</f>
        <v/>
      </c>
      <c r="G1589" s="5" t="n"/>
      <c r="H1589" s="4">
        <f>IF(OR(F1589="",G1589=""),"",F1589*G1589+IF(J1589="",0,J1589))</f>
        <v/>
      </c>
      <c r="I1589" s="5" t="n"/>
      <c r="J1589" s="5" t="n"/>
    </row>
    <row r="1590">
      <c r="A1590" s="5" t="n"/>
      <c r="B1590" s="5" t="n"/>
      <c r="C1590" s="5" t="n"/>
      <c r="D1590" s="5" t="n"/>
      <c r="E1590" s="4">
        <f>IF(C1590="","",COUNTIF($C$7:C1590,C1590))</f>
        <v/>
      </c>
      <c r="F1590" s="4">
        <f>IF(E1590="","",IF(E1590&lt;=3,6,IF(E1590&lt;=6,5,IF(E1590&lt;=9,4,IF(E1590&lt;=12,3,IF(E1590&lt;=15,2,0))))))</f>
        <v/>
      </c>
      <c r="G1590" s="5" t="n"/>
      <c r="H1590" s="4">
        <f>IF(OR(F1590="",G1590=""),"",F1590*G1590+IF(J1590="",0,J1590))</f>
        <v/>
      </c>
      <c r="I1590" s="5" t="n"/>
      <c r="J1590" s="5" t="n"/>
    </row>
    <row r="1591">
      <c r="A1591" s="5" t="n"/>
      <c r="B1591" s="5" t="n"/>
      <c r="C1591" s="5" t="n"/>
      <c r="D1591" s="5" t="n"/>
      <c r="E1591" s="4">
        <f>IF(C1591="","",COUNTIF($C$7:C1591,C1591))</f>
        <v/>
      </c>
      <c r="F1591" s="4">
        <f>IF(E1591="","",IF(E1591&lt;=3,6,IF(E1591&lt;=6,5,IF(E1591&lt;=9,4,IF(E1591&lt;=12,3,IF(E1591&lt;=15,2,0))))))</f>
        <v/>
      </c>
      <c r="G1591" s="5" t="n"/>
      <c r="H1591" s="4">
        <f>IF(OR(F1591="",G1591=""),"",F1591*G1591+IF(J1591="",0,J1591))</f>
        <v/>
      </c>
      <c r="I1591" s="5" t="n"/>
      <c r="J1591" s="5" t="n"/>
    </row>
    <row r="1592">
      <c r="A1592" s="5" t="n"/>
      <c r="B1592" s="5" t="n"/>
      <c r="C1592" s="5" t="n"/>
      <c r="D1592" s="5" t="n"/>
      <c r="E1592" s="4">
        <f>IF(C1592="","",COUNTIF($C$7:C1592,C1592))</f>
        <v/>
      </c>
      <c r="F1592" s="4">
        <f>IF(E1592="","",IF(E1592&lt;=3,6,IF(E1592&lt;=6,5,IF(E1592&lt;=9,4,IF(E1592&lt;=12,3,IF(E1592&lt;=15,2,0))))))</f>
        <v/>
      </c>
      <c r="G1592" s="5" t="n"/>
      <c r="H1592" s="4">
        <f>IF(OR(F1592="",G1592=""),"",F1592*G1592+IF(J1592="",0,J1592))</f>
        <v/>
      </c>
      <c r="I1592" s="5" t="n"/>
      <c r="J1592" s="5" t="n"/>
    </row>
    <row r="1593">
      <c r="A1593" s="5" t="n"/>
      <c r="B1593" s="5" t="n"/>
      <c r="C1593" s="5" t="n"/>
      <c r="D1593" s="5" t="n"/>
      <c r="E1593" s="4">
        <f>IF(C1593="","",COUNTIF($C$7:C1593,C1593))</f>
        <v/>
      </c>
      <c r="F1593" s="4">
        <f>IF(E1593="","",IF(E1593&lt;=3,6,IF(E1593&lt;=6,5,IF(E1593&lt;=9,4,IF(E1593&lt;=12,3,IF(E1593&lt;=15,2,0))))))</f>
        <v/>
      </c>
      <c r="G1593" s="5" t="n"/>
      <c r="H1593" s="4">
        <f>IF(OR(F1593="",G1593=""),"",F1593*G1593+IF(J1593="",0,J1593))</f>
        <v/>
      </c>
      <c r="I1593" s="5" t="n"/>
      <c r="J1593" s="5" t="n"/>
    </row>
    <row r="1594">
      <c r="A1594" s="5" t="n"/>
      <c r="B1594" s="5" t="n"/>
      <c r="C1594" s="5" t="n"/>
      <c r="D1594" s="5" t="n"/>
      <c r="E1594" s="4">
        <f>IF(C1594="","",COUNTIF($C$7:C1594,C1594))</f>
        <v/>
      </c>
      <c r="F1594" s="4">
        <f>IF(E1594="","",IF(E1594&lt;=3,6,IF(E1594&lt;=6,5,IF(E1594&lt;=9,4,IF(E1594&lt;=12,3,IF(E1594&lt;=15,2,0))))))</f>
        <v/>
      </c>
      <c r="G1594" s="5" t="n"/>
      <c r="H1594" s="4">
        <f>IF(OR(F1594="",G1594=""),"",F1594*G1594+IF(J1594="",0,J1594))</f>
        <v/>
      </c>
      <c r="I1594" s="5" t="n"/>
      <c r="J1594" s="5" t="n"/>
    </row>
    <row r="1595">
      <c r="A1595" s="5" t="n"/>
      <c r="B1595" s="5" t="n"/>
      <c r="C1595" s="5" t="n"/>
      <c r="D1595" s="5" t="n"/>
      <c r="E1595" s="4">
        <f>IF(C1595="","",COUNTIF($C$7:C1595,C1595))</f>
        <v/>
      </c>
      <c r="F1595" s="4">
        <f>IF(E1595="","",IF(E1595&lt;=3,6,IF(E1595&lt;=6,5,IF(E1595&lt;=9,4,IF(E1595&lt;=12,3,IF(E1595&lt;=15,2,0))))))</f>
        <v/>
      </c>
      <c r="G1595" s="5" t="n"/>
      <c r="H1595" s="4">
        <f>IF(OR(F1595="",G1595=""),"",F1595*G1595+IF(J1595="",0,J1595))</f>
        <v/>
      </c>
      <c r="I1595" s="5" t="n"/>
      <c r="J1595" s="5" t="n"/>
    </row>
    <row r="1596">
      <c r="A1596" s="5" t="n"/>
      <c r="B1596" s="5" t="n"/>
      <c r="C1596" s="5" t="n"/>
      <c r="D1596" s="5" t="n"/>
      <c r="E1596" s="4">
        <f>IF(C1596="","",COUNTIF($C$7:C1596,C1596))</f>
        <v/>
      </c>
      <c r="F1596" s="4">
        <f>IF(E1596="","",IF(E1596&lt;=3,6,IF(E1596&lt;=6,5,IF(E1596&lt;=9,4,IF(E1596&lt;=12,3,IF(E1596&lt;=15,2,0))))))</f>
        <v/>
      </c>
      <c r="G1596" s="5" t="n"/>
      <c r="H1596" s="4">
        <f>IF(OR(F1596="",G1596=""),"",F1596*G1596+IF(J1596="",0,J1596))</f>
        <v/>
      </c>
      <c r="I1596" s="5" t="n"/>
      <c r="J1596" s="5" t="n"/>
    </row>
    <row r="1597">
      <c r="A1597" s="5" t="n"/>
      <c r="B1597" s="5" t="n"/>
      <c r="C1597" s="5" t="n"/>
      <c r="D1597" s="5" t="n"/>
      <c r="E1597" s="4">
        <f>IF(C1597="","",COUNTIF($C$7:C1597,C1597))</f>
        <v/>
      </c>
      <c r="F1597" s="4">
        <f>IF(E1597="","",IF(E1597&lt;=3,6,IF(E1597&lt;=6,5,IF(E1597&lt;=9,4,IF(E1597&lt;=12,3,IF(E1597&lt;=15,2,0))))))</f>
        <v/>
      </c>
      <c r="G1597" s="5" t="n"/>
      <c r="H1597" s="4">
        <f>IF(OR(F1597="",G1597=""),"",F1597*G1597+IF(J1597="",0,J1597))</f>
        <v/>
      </c>
      <c r="I1597" s="5" t="n"/>
      <c r="J1597" s="5" t="n"/>
    </row>
    <row r="1598">
      <c r="A1598" s="5" t="n"/>
      <c r="B1598" s="5" t="n"/>
      <c r="C1598" s="5" t="n"/>
      <c r="D1598" s="5" t="n"/>
      <c r="E1598" s="4">
        <f>IF(C1598="","",COUNTIF($C$7:C1598,C1598))</f>
        <v/>
      </c>
      <c r="F1598" s="4">
        <f>IF(E1598="","",IF(E1598&lt;=3,6,IF(E1598&lt;=6,5,IF(E1598&lt;=9,4,IF(E1598&lt;=12,3,IF(E1598&lt;=15,2,0))))))</f>
        <v/>
      </c>
      <c r="G1598" s="5" t="n"/>
      <c r="H1598" s="4">
        <f>IF(OR(F1598="",G1598=""),"",F1598*G1598+IF(J1598="",0,J1598))</f>
        <v/>
      </c>
      <c r="I1598" s="5" t="n"/>
      <c r="J1598" s="5" t="n"/>
    </row>
    <row r="1599">
      <c r="A1599" s="5" t="n"/>
      <c r="B1599" s="5" t="n"/>
      <c r="C1599" s="5" t="n"/>
      <c r="D1599" s="5" t="n"/>
      <c r="E1599" s="4">
        <f>IF(C1599="","",COUNTIF($C$7:C1599,C1599))</f>
        <v/>
      </c>
      <c r="F1599" s="4">
        <f>IF(E1599="","",IF(E1599&lt;=3,6,IF(E1599&lt;=6,5,IF(E1599&lt;=9,4,IF(E1599&lt;=12,3,IF(E1599&lt;=15,2,0))))))</f>
        <v/>
      </c>
      <c r="G1599" s="5" t="n"/>
      <c r="H1599" s="4">
        <f>IF(OR(F1599="",G1599=""),"",F1599*G1599+IF(J1599="",0,J1599))</f>
        <v/>
      </c>
      <c r="I1599" s="5" t="n"/>
      <c r="J1599" s="5" t="n"/>
    </row>
    <row r="1600">
      <c r="A1600" s="5" t="n"/>
      <c r="B1600" s="5" t="n"/>
      <c r="C1600" s="5" t="n"/>
      <c r="D1600" s="5" t="n"/>
      <c r="E1600" s="4">
        <f>IF(C1600="","",COUNTIF($C$7:C1600,C1600))</f>
        <v/>
      </c>
      <c r="F1600" s="4">
        <f>IF(E1600="","",IF(E1600&lt;=3,6,IF(E1600&lt;=6,5,IF(E1600&lt;=9,4,IF(E1600&lt;=12,3,IF(E1600&lt;=15,2,0))))))</f>
        <v/>
      </c>
      <c r="G1600" s="5" t="n"/>
      <c r="H1600" s="4">
        <f>IF(OR(F1600="",G1600=""),"",F1600*G1600+IF(J1600="",0,J1600))</f>
        <v/>
      </c>
      <c r="I1600" s="5" t="n"/>
      <c r="J1600" s="5" t="n"/>
    </row>
    <row r="1601">
      <c r="A1601" s="5" t="n"/>
      <c r="B1601" s="5" t="n"/>
      <c r="C1601" s="5" t="n"/>
      <c r="D1601" s="5" t="n"/>
      <c r="E1601" s="4">
        <f>IF(C1601="","",COUNTIF($C$7:C1601,C1601))</f>
        <v/>
      </c>
      <c r="F1601" s="4">
        <f>IF(E1601="","",IF(E1601&lt;=3,6,IF(E1601&lt;=6,5,IF(E1601&lt;=9,4,IF(E1601&lt;=12,3,IF(E1601&lt;=15,2,0))))))</f>
        <v/>
      </c>
      <c r="G1601" s="5" t="n"/>
      <c r="H1601" s="4">
        <f>IF(OR(F1601="",G1601=""),"",F1601*G1601+IF(J1601="",0,J1601))</f>
        <v/>
      </c>
      <c r="I1601" s="5" t="n"/>
      <c r="J1601" s="5" t="n"/>
    </row>
    <row r="1602">
      <c r="A1602" s="5" t="n"/>
      <c r="B1602" s="5" t="n"/>
      <c r="C1602" s="5" t="n"/>
      <c r="D1602" s="5" t="n"/>
      <c r="E1602" s="4">
        <f>IF(C1602="","",COUNTIF($C$7:C1602,C1602))</f>
        <v/>
      </c>
      <c r="F1602" s="4">
        <f>IF(E1602="","",IF(E1602&lt;=3,6,IF(E1602&lt;=6,5,IF(E1602&lt;=9,4,IF(E1602&lt;=12,3,IF(E1602&lt;=15,2,0))))))</f>
        <v/>
      </c>
      <c r="G1602" s="5" t="n"/>
      <c r="H1602" s="4">
        <f>IF(OR(F1602="",G1602=""),"",F1602*G1602+IF(J1602="",0,J1602))</f>
        <v/>
      </c>
      <c r="I1602" s="5" t="n"/>
      <c r="J1602" s="5" t="n"/>
    </row>
    <row r="1603">
      <c r="A1603" s="5" t="n"/>
      <c r="B1603" s="5" t="n"/>
      <c r="C1603" s="5" t="n"/>
      <c r="D1603" s="5" t="n"/>
      <c r="E1603" s="4">
        <f>IF(C1603="","",COUNTIF($C$7:C1603,C1603))</f>
        <v/>
      </c>
      <c r="F1603" s="4">
        <f>IF(E1603="","",IF(E1603&lt;=3,6,IF(E1603&lt;=6,5,IF(E1603&lt;=9,4,IF(E1603&lt;=12,3,IF(E1603&lt;=15,2,0))))))</f>
        <v/>
      </c>
      <c r="G1603" s="5" t="n"/>
      <c r="H1603" s="4">
        <f>IF(OR(F1603="",G1603=""),"",F1603*G1603+IF(J1603="",0,J1603))</f>
        <v/>
      </c>
      <c r="I1603" s="5" t="n"/>
      <c r="J1603" s="5" t="n"/>
    </row>
    <row r="1604">
      <c r="A1604" s="5" t="n"/>
      <c r="B1604" s="5" t="n"/>
      <c r="C1604" s="5" t="n"/>
      <c r="D1604" s="5" t="n"/>
      <c r="E1604" s="4">
        <f>IF(C1604="","",COUNTIF($C$7:C1604,C1604))</f>
        <v/>
      </c>
      <c r="F1604" s="4">
        <f>IF(E1604="","",IF(E1604&lt;=3,6,IF(E1604&lt;=6,5,IF(E1604&lt;=9,4,IF(E1604&lt;=12,3,IF(E1604&lt;=15,2,0))))))</f>
        <v/>
      </c>
      <c r="G1604" s="5" t="n"/>
      <c r="H1604" s="4">
        <f>IF(OR(F1604="",G1604=""),"",F1604*G1604+IF(J1604="",0,J1604))</f>
        <v/>
      </c>
      <c r="I1604" s="5" t="n"/>
      <c r="J1604" s="5" t="n"/>
    </row>
    <row r="1605">
      <c r="A1605" s="5" t="n"/>
      <c r="B1605" s="5" t="n"/>
      <c r="C1605" s="5" t="n"/>
      <c r="D1605" s="5" t="n"/>
      <c r="E1605" s="4">
        <f>IF(C1605="","",COUNTIF($C$7:C1605,C1605))</f>
        <v/>
      </c>
      <c r="F1605" s="4">
        <f>IF(E1605="","",IF(E1605&lt;=3,6,IF(E1605&lt;=6,5,IF(E1605&lt;=9,4,IF(E1605&lt;=12,3,IF(E1605&lt;=15,2,0))))))</f>
        <v/>
      </c>
      <c r="G1605" s="5" t="n"/>
      <c r="H1605" s="4">
        <f>IF(OR(F1605="",G1605=""),"",F1605*G1605+IF(J1605="",0,J1605))</f>
        <v/>
      </c>
      <c r="I1605" s="5" t="n"/>
      <c r="J1605" s="5" t="n"/>
    </row>
    <row r="1606">
      <c r="A1606" s="5" t="n"/>
      <c r="B1606" s="5" t="n"/>
      <c r="C1606" s="5" t="n"/>
      <c r="D1606" s="5" t="n"/>
      <c r="E1606" s="4">
        <f>IF(C1606="","",COUNTIF($C$7:C1606,C1606))</f>
        <v/>
      </c>
      <c r="F1606" s="4">
        <f>IF(E1606="","",IF(E1606&lt;=3,6,IF(E1606&lt;=6,5,IF(E1606&lt;=9,4,IF(E1606&lt;=12,3,IF(E1606&lt;=15,2,0))))))</f>
        <v/>
      </c>
      <c r="G1606" s="5" t="n"/>
      <c r="H1606" s="4">
        <f>IF(OR(F1606="",G1606=""),"",F1606*G1606+IF(J1606="",0,J1606))</f>
        <v/>
      </c>
      <c r="I1606" s="5" t="n"/>
      <c r="J1606" s="5" t="n"/>
    </row>
    <row r="1607">
      <c r="A1607" s="5" t="n"/>
      <c r="B1607" s="5" t="n"/>
      <c r="C1607" s="5" t="n"/>
      <c r="D1607" s="5" t="n"/>
      <c r="E1607" s="4">
        <f>IF(C1607="","",COUNTIF($C$7:C1607,C1607))</f>
        <v/>
      </c>
      <c r="F1607" s="4">
        <f>IF(E1607="","",IF(E1607&lt;=3,6,IF(E1607&lt;=6,5,IF(E1607&lt;=9,4,IF(E1607&lt;=12,3,IF(E1607&lt;=15,2,0))))))</f>
        <v/>
      </c>
      <c r="G1607" s="5" t="n"/>
      <c r="H1607" s="4">
        <f>IF(OR(F1607="",G1607=""),"",F1607*G1607+IF(J1607="",0,J1607))</f>
        <v/>
      </c>
      <c r="I1607" s="5" t="n"/>
      <c r="J1607" s="5" t="n"/>
    </row>
    <row r="1608">
      <c r="A1608" s="5" t="n"/>
      <c r="B1608" s="5" t="n"/>
      <c r="C1608" s="5" t="n"/>
      <c r="D1608" s="5" t="n"/>
      <c r="E1608" s="4">
        <f>IF(C1608="","",COUNTIF($C$7:C1608,C1608))</f>
        <v/>
      </c>
      <c r="F1608" s="4">
        <f>IF(E1608="","",IF(E1608&lt;=3,6,IF(E1608&lt;=6,5,IF(E1608&lt;=9,4,IF(E1608&lt;=12,3,IF(E1608&lt;=15,2,0))))))</f>
        <v/>
      </c>
      <c r="G1608" s="5" t="n"/>
      <c r="H1608" s="4">
        <f>IF(OR(F1608="",G1608=""),"",F1608*G1608+IF(J1608="",0,J1608))</f>
        <v/>
      </c>
      <c r="I1608" s="5" t="n"/>
      <c r="J1608" s="5" t="n"/>
    </row>
    <row r="1609">
      <c r="A1609" s="5" t="n"/>
      <c r="B1609" s="5" t="n"/>
      <c r="C1609" s="5" t="n"/>
      <c r="D1609" s="5" t="n"/>
      <c r="E1609" s="4">
        <f>IF(C1609="","",COUNTIF($C$7:C1609,C1609))</f>
        <v/>
      </c>
      <c r="F1609" s="4">
        <f>IF(E1609="","",IF(E1609&lt;=3,6,IF(E1609&lt;=6,5,IF(E1609&lt;=9,4,IF(E1609&lt;=12,3,IF(E1609&lt;=15,2,0))))))</f>
        <v/>
      </c>
      <c r="G1609" s="5" t="n"/>
      <c r="H1609" s="4">
        <f>IF(OR(F1609="",G1609=""),"",F1609*G1609+IF(J1609="",0,J1609))</f>
        <v/>
      </c>
      <c r="I1609" s="5" t="n"/>
      <c r="J1609" s="5" t="n"/>
    </row>
    <row r="1610">
      <c r="A1610" s="5" t="n"/>
      <c r="B1610" s="5" t="n"/>
      <c r="C1610" s="5" t="n"/>
      <c r="D1610" s="5" t="n"/>
      <c r="E1610" s="4">
        <f>IF(C1610="","",COUNTIF($C$7:C1610,C1610))</f>
        <v/>
      </c>
      <c r="F1610" s="4">
        <f>IF(E1610="","",IF(E1610&lt;=3,6,IF(E1610&lt;=6,5,IF(E1610&lt;=9,4,IF(E1610&lt;=12,3,IF(E1610&lt;=15,2,0))))))</f>
        <v/>
      </c>
      <c r="G1610" s="5" t="n"/>
      <c r="H1610" s="4">
        <f>IF(OR(F1610="",G1610=""),"",F1610*G1610+IF(J1610="",0,J1610))</f>
        <v/>
      </c>
      <c r="I1610" s="5" t="n"/>
      <c r="J1610" s="5" t="n"/>
    </row>
    <row r="1611">
      <c r="A1611" s="5" t="n"/>
      <c r="B1611" s="5" t="n"/>
      <c r="C1611" s="5" t="n"/>
      <c r="D1611" s="5" t="n"/>
      <c r="E1611" s="4">
        <f>IF(C1611="","",COUNTIF($C$7:C1611,C1611))</f>
        <v/>
      </c>
      <c r="F1611" s="4">
        <f>IF(E1611="","",IF(E1611&lt;=3,6,IF(E1611&lt;=6,5,IF(E1611&lt;=9,4,IF(E1611&lt;=12,3,IF(E1611&lt;=15,2,0))))))</f>
        <v/>
      </c>
      <c r="G1611" s="5" t="n"/>
      <c r="H1611" s="4">
        <f>IF(OR(F1611="",G1611=""),"",F1611*G1611+IF(J1611="",0,J1611))</f>
        <v/>
      </c>
      <c r="I1611" s="5" t="n"/>
      <c r="J1611" s="5" t="n"/>
    </row>
    <row r="1612">
      <c r="A1612" s="5" t="n"/>
      <c r="B1612" s="5" t="n"/>
      <c r="C1612" s="5" t="n"/>
      <c r="D1612" s="5" t="n"/>
      <c r="E1612" s="4">
        <f>IF(C1612="","",COUNTIF($C$7:C1612,C1612))</f>
        <v/>
      </c>
      <c r="F1612" s="4">
        <f>IF(E1612="","",IF(E1612&lt;=3,6,IF(E1612&lt;=6,5,IF(E1612&lt;=9,4,IF(E1612&lt;=12,3,IF(E1612&lt;=15,2,0))))))</f>
        <v/>
      </c>
      <c r="G1612" s="5" t="n"/>
      <c r="H1612" s="4">
        <f>IF(OR(F1612="",G1612=""),"",F1612*G1612+IF(J1612="",0,J1612))</f>
        <v/>
      </c>
      <c r="I1612" s="5" t="n"/>
      <c r="J1612" s="5" t="n"/>
    </row>
    <row r="1613">
      <c r="A1613" s="5" t="n"/>
      <c r="B1613" s="5" t="n"/>
      <c r="C1613" s="5" t="n"/>
      <c r="D1613" s="5" t="n"/>
      <c r="E1613" s="4">
        <f>IF(C1613="","",COUNTIF($C$7:C1613,C1613))</f>
        <v/>
      </c>
      <c r="F1613" s="4">
        <f>IF(E1613="","",IF(E1613&lt;=3,6,IF(E1613&lt;=6,5,IF(E1613&lt;=9,4,IF(E1613&lt;=12,3,IF(E1613&lt;=15,2,0))))))</f>
        <v/>
      </c>
      <c r="G1613" s="5" t="n"/>
      <c r="H1613" s="4">
        <f>IF(OR(F1613="",G1613=""),"",F1613*G1613+IF(J1613="",0,J1613))</f>
        <v/>
      </c>
      <c r="I1613" s="5" t="n"/>
      <c r="J1613" s="5" t="n"/>
    </row>
    <row r="1614">
      <c r="A1614" s="5" t="n"/>
      <c r="B1614" s="5" t="n"/>
      <c r="C1614" s="5" t="n"/>
      <c r="D1614" s="5" t="n"/>
      <c r="E1614" s="4">
        <f>IF(C1614="","",COUNTIF($C$7:C1614,C1614))</f>
        <v/>
      </c>
      <c r="F1614" s="4">
        <f>IF(E1614="","",IF(E1614&lt;=3,6,IF(E1614&lt;=6,5,IF(E1614&lt;=9,4,IF(E1614&lt;=12,3,IF(E1614&lt;=15,2,0))))))</f>
        <v/>
      </c>
      <c r="G1614" s="5" t="n"/>
      <c r="H1614" s="4">
        <f>IF(OR(F1614="",G1614=""),"",F1614*G1614+IF(J1614="",0,J1614))</f>
        <v/>
      </c>
      <c r="I1614" s="5" t="n"/>
      <c r="J1614" s="5" t="n"/>
    </row>
    <row r="1615">
      <c r="A1615" s="5" t="n"/>
      <c r="B1615" s="5" t="n"/>
      <c r="C1615" s="5" t="n"/>
      <c r="D1615" s="5" t="n"/>
      <c r="E1615" s="4">
        <f>IF(C1615="","",COUNTIF($C$7:C1615,C1615))</f>
        <v/>
      </c>
      <c r="F1615" s="4">
        <f>IF(E1615="","",IF(E1615&lt;=3,6,IF(E1615&lt;=6,5,IF(E1615&lt;=9,4,IF(E1615&lt;=12,3,IF(E1615&lt;=15,2,0))))))</f>
        <v/>
      </c>
      <c r="G1615" s="5" t="n"/>
      <c r="H1615" s="4">
        <f>IF(OR(F1615="",G1615=""),"",F1615*G1615+IF(J1615="",0,J1615))</f>
        <v/>
      </c>
      <c r="I1615" s="5" t="n"/>
      <c r="J1615" s="5" t="n"/>
    </row>
    <row r="1616">
      <c r="A1616" s="5" t="n"/>
      <c r="B1616" s="5" t="n"/>
      <c r="C1616" s="5" t="n"/>
      <c r="D1616" s="5" t="n"/>
      <c r="E1616" s="4">
        <f>IF(C1616="","",COUNTIF($C$7:C1616,C1616))</f>
        <v/>
      </c>
      <c r="F1616" s="4">
        <f>IF(E1616="","",IF(E1616&lt;=3,6,IF(E1616&lt;=6,5,IF(E1616&lt;=9,4,IF(E1616&lt;=12,3,IF(E1616&lt;=15,2,0))))))</f>
        <v/>
      </c>
      <c r="G1616" s="5" t="n"/>
      <c r="H1616" s="4">
        <f>IF(OR(F1616="",G1616=""),"",F1616*G1616+IF(J1616="",0,J1616))</f>
        <v/>
      </c>
      <c r="I1616" s="5" t="n"/>
      <c r="J1616" s="5" t="n"/>
    </row>
    <row r="1617">
      <c r="A1617" s="5" t="n"/>
      <c r="B1617" s="5" t="n"/>
      <c r="C1617" s="5" t="n"/>
      <c r="D1617" s="5" t="n"/>
      <c r="E1617" s="4">
        <f>IF(C1617="","",COUNTIF($C$7:C1617,C1617))</f>
        <v/>
      </c>
      <c r="F1617" s="4">
        <f>IF(E1617="","",IF(E1617&lt;=3,6,IF(E1617&lt;=6,5,IF(E1617&lt;=9,4,IF(E1617&lt;=12,3,IF(E1617&lt;=15,2,0))))))</f>
        <v/>
      </c>
      <c r="G1617" s="5" t="n"/>
      <c r="H1617" s="4">
        <f>IF(OR(F1617="",G1617=""),"",F1617*G1617+IF(J1617="",0,J1617))</f>
        <v/>
      </c>
      <c r="I1617" s="5" t="n"/>
      <c r="J1617" s="5" t="n"/>
    </row>
    <row r="1618">
      <c r="A1618" s="5" t="n"/>
      <c r="B1618" s="5" t="n"/>
      <c r="C1618" s="5" t="n"/>
      <c r="D1618" s="5" t="n"/>
      <c r="E1618" s="4">
        <f>IF(C1618="","",COUNTIF($C$7:C1618,C1618))</f>
        <v/>
      </c>
      <c r="F1618" s="4">
        <f>IF(E1618="","",IF(E1618&lt;=3,6,IF(E1618&lt;=6,5,IF(E1618&lt;=9,4,IF(E1618&lt;=12,3,IF(E1618&lt;=15,2,0))))))</f>
        <v/>
      </c>
      <c r="G1618" s="5" t="n"/>
      <c r="H1618" s="4">
        <f>IF(OR(F1618="",G1618=""),"",F1618*G1618+IF(J1618="",0,J1618))</f>
        <v/>
      </c>
      <c r="I1618" s="5" t="n"/>
      <c r="J1618" s="5" t="n"/>
    </row>
    <row r="1619">
      <c r="A1619" s="5" t="n"/>
      <c r="B1619" s="5" t="n"/>
      <c r="C1619" s="5" t="n"/>
      <c r="D1619" s="5" t="n"/>
      <c r="E1619" s="4">
        <f>IF(C1619="","",COUNTIF($C$7:C1619,C1619))</f>
        <v/>
      </c>
      <c r="F1619" s="4">
        <f>IF(E1619="","",IF(E1619&lt;=3,6,IF(E1619&lt;=6,5,IF(E1619&lt;=9,4,IF(E1619&lt;=12,3,IF(E1619&lt;=15,2,0))))))</f>
        <v/>
      </c>
      <c r="G1619" s="5" t="n"/>
      <c r="H1619" s="4">
        <f>IF(OR(F1619="",G1619=""),"",F1619*G1619+IF(J1619="",0,J1619))</f>
        <v/>
      </c>
      <c r="I1619" s="5" t="n"/>
      <c r="J1619" s="5" t="n"/>
    </row>
    <row r="1620">
      <c r="A1620" s="5" t="n"/>
      <c r="B1620" s="5" t="n"/>
      <c r="C1620" s="5" t="n"/>
      <c r="D1620" s="5" t="n"/>
      <c r="E1620" s="4">
        <f>IF(C1620="","",COUNTIF($C$7:C1620,C1620))</f>
        <v/>
      </c>
      <c r="F1620" s="4">
        <f>IF(E1620="","",IF(E1620&lt;=3,6,IF(E1620&lt;=6,5,IF(E1620&lt;=9,4,IF(E1620&lt;=12,3,IF(E1620&lt;=15,2,0))))))</f>
        <v/>
      </c>
      <c r="G1620" s="5" t="n"/>
      <c r="H1620" s="4">
        <f>IF(OR(F1620="",G1620=""),"",F1620*G1620+IF(J1620="",0,J1620))</f>
        <v/>
      </c>
      <c r="I1620" s="5" t="n"/>
      <c r="J1620" s="5" t="n"/>
    </row>
    <row r="1621">
      <c r="A1621" s="5" t="n"/>
      <c r="B1621" s="5" t="n"/>
      <c r="C1621" s="5" t="n"/>
      <c r="D1621" s="5" t="n"/>
      <c r="E1621" s="4">
        <f>IF(C1621="","",COUNTIF($C$7:C1621,C1621))</f>
        <v/>
      </c>
      <c r="F1621" s="4">
        <f>IF(E1621="","",IF(E1621&lt;=3,6,IF(E1621&lt;=6,5,IF(E1621&lt;=9,4,IF(E1621&lt;=12,3,IF(E1621&lt;=15,2,0))))))</f>
        <v/>
      </c>
      <c r="G1621" s="5" t="n"/>
      <c r="H1621" s="4">
        <f>IF(OR(F1621="",G1621=""),"",F1621*G1621+IF(J1621="",0,J1621))</f>
        <v/>
      </c>
      <c r="I1621" s="5" t="n"/>
      <c r="J1621" s="5" t="n"/>
    </row>
    <row r="1622">
      <c r="A1622" s="5" t="n"/>
      <c r="B1622" s="5" t="n"/>
      <c r="C1622" s="5" t="n"/>
      <c r="D1622" s="5" t="n"/>
      <c r="E1622" s="4">
        <f>IF(C1622="","",COUNTIF($C$7:C1622,C1622))</f>
        <v/>
      </c>
      <c r="F1622" s="4">
        <f>IF(E1622="","",IF(E1622&lt;=3,6,IF(E1622&lt;=6,5,IF(E1622&lt;=9,4,IF(E1622&lt;=12,3,IF(E1622&lt;=15,2,0))))))</f>
        <v/>
      </c>
      <c r="G1622" s="5" t="n"/>
      <c r="H1622" s="4">
        <f>IF(OR(F1622="",G1622=""),"",F1622*G1622+IF(J1622="",0,J1622))</f>
        <v/>
      </c>
      <c r="I1622" s="5" t="n"/>
      <c r="J1622" s="5" t="n"/>
    </row>
    <row r="1623">
      <c r="A1623" s="5" t="n"/>
      <c r="B1623" s="5" t="n"/>
      <c r="C1623" s="5" t="n"/>
      <c r="D1623" s="5" t="n"/>
      <c r="E1623" s="4">
        <f>IF(C1623="","",COUNTIF($C$7:C1623,C1623))</f>
        <v/>
      </c>
      <c r="F1623" s="4">
        <f>IF(E1623="","",IF(E1623&lt;=3,6,IF(E1623&lt;=6,5,IF(E1623&lt;=9,4,IF(E1623&lt;=12,3,IF(E1623&lt;=15,2,0))))))</f>
        <v/>
      </c>
      <c r="G1623" s="5" t="n"/>
      <c r="H1623" s="4">
        <f>IF(OR(F1623="",G1623=""),"",F1623*G1623+IF(J1623="",0,J1623))</f>
        <v/>
      </c>
      <c r="I1623" s="5" t="n"/>
      <c r="J1623" s="5" t="n"/>
    </row>
    <row r="1624">
      <c r="A1624" s="5" t="n"/>
      <c r="B1624" s="5" t="n"/>
      <c r="C1624" s="5" t="n"/>
      <c r="D1624" s="5" t="n"/>
      <c r="E1624" s="4">
        <f>IF(C1624="","",COUNTIF($C$7:C1624,C1624))</f>
        <v/>
      </c>
      <c r="F1624" s="4">
        <f>IF(E1624="","",IF(E1624&lt;=3,6,IF(E1624&lt;=6,5,IF(E1624&lt;=9,4,IF(E1624&lt;=12,3,IF(E1624&lt;=15,2,0))))))</f>
        <v/>
      </c>
      <c r="G1624" s="5" t="n"/>
      <c r="H1624" s="4">
        <f>IF(OR(F1624="",G1624=""),"",F1624*G1624+IF(J1624="",0,J1624))</f>
        <v/>
      </c>
      <c r="I1624" s="5" t="n"/>
      <c r="J1624" s="5" t="n"/>
    </row>
    <row r="1625">
      <c r="A1625" s="5" t="n"/>
      <c r="B1625" s="5" t="n"/>
      <c r="C1625" s="5" t="n"/>
      <c r="D1625" s="5" t="n"/>
      <c r="E1625" s="4">
        <f>IF(C1625="","",COUNTIF($C$7:C1625,C1625))</f>
        <v/>
      </c>
      <c r="F1625" s="4">
        <f>IF(E1625="","",IF(E1625&lt;=3,6,IF(E1625&lt;=6,5,IF(E1625&lt;=9,4,IF(E1625&lt;=12,3,IF(E1625&lt;=15,2,0))))))</f>
        <v/>
      </c>
      <c r="G1625" s="5" t="n"/>
      <c r="H1625" s="4">
        <f>IF(OR(F1625="",G1625=""),"",F1625*G1625+IF(J1625="",0,J1625))</f>
        <v/>
      </c>
      <c r="I1625" s="5" t="n"/>
      <c r="J1625" s="5" t="n"/>
    </row>
    <row r="1626">
      <c r="A1626" s="5" t="n"/>
      <c r="B1626" s="5" t="n"/>
      <c r="C1626" s="5" t="n"/>
      <c r="D1626" s="5" t="n"/>
      <c r="E1626" s="4">
        <f>IF(C1626="","",COUNTIF($C$7:C1626,C1626))</f>
        <v/>
      </c>
      <c r="F1626" s="4">
        <f>IF(E1626="","",IF(E1626&lt;=3,6,IF(E1626&lt;=6,5,IF(E1626&lt;=9,4,IF(E1626&lt;=12,3,IF(E1626&lt;=15,2,0))))))</f>
        <v/>
      </c>
      <c r="G1626" s="5" t="n"/>
      <c r="H1626" s="4">
        <f>IF(OR(F1626="",G1626=""),"",F1626*G1626+IF(J1626="",0,J1626))</f>
        <v/>
      </c>
      <c r="I1626" s="5" t="n"/>
      <c r="J1626" s="5" t="n"/>
    </row>
    <row r="1627">
      <c r="A1627" s="5" t="n"/>
      <c r="B1627" s="5" t="n"/>
      <c r="C1627" s="5" t="n"/>
      <c r="D1627" s="5" t="n"/>
      <c r="E1627" s="4">
        <f>IF(C1627="","",COUNTIF($C$7:C1627,C1627))</f>
        <v/>
      </c>
      <c r="F1627" s="4">
        <f>IF(E1627="","",IF(E1627&lt;=3,6,IF(E1627&lt;=6,5,IF(E1627&lt;=9,4,IF(E1627&lt;=12,3,IF(E1627&lt;=15,2,0))))))</f>
        <v/>
      </c>
      <c r="G1627" s="5" t="n"/>
      <c r="H1627" s="4">
        <f>IF(OR(F1627="",G1627=""),"",F1627*G1627+IF(J1627="",0,J1627))</f>
        <v/>
      </c>
      <c r="I1627" s="5" t="n"/>
      <c r="J1627" s="5" t="n"/>
    </row>
    <row r="1628">
      <c r="A1628" s="5" t="n"/>
      <c r="B1628" s="5" t="n"/>
      <c r="C1628" s="5" t="n"/>
      <c r="D1628" s="5" t="n"/>
      <c r="E1628" s="4">
        <f>IF(C1628="","",COUNTIF($C$7:C1628,C1628))</f>
        <v/>
      </c>
      <c r="F1628" s="4">
        <f>IF(E1628="","",IF(E1628&lt;=3,6,IF(E1628&lt;=6,5,IF(E1628&lt;=9,4,IF(E1628&lt;=12,3,IF(E1628&lt;=15,2,0))))))</f>
        <v/>
      </c>
      <c r="G1628" s="5" t="n"/>
      <c r="H1628" s="4">
        <f>IF(OR(F1628="",G1628=""),"",F1628*G1628+IF(J1628="",0,J1628))</f>
        <v/>
      </c>
      <c r="I1628" s="5" t="n"/>
      <c r="J1628" s="5" t="n"/>
    </row>
    <row r="1629">
      <c r="A1629" s="5" t="n"/>
      <c r="B1629" s="5" t="n"/>
      <c r="C1629" s="5" t="n"/>
      <c r="D1629" s="5" t="n"/>
      <c r="E1629" s="4">
        <f>IF(C1629="","",COUNTIF($C$7:C1629,C1629))</f>
        <v/>
      </c>
      <c r="F1629" s="4">
        <f>IF(E1629="","",IF(E1629&lt;=3,6,IF(E1629&lt;=6,5,IF(E1629&lt;=9,4,IF(E1629&lt;=12,3,IF(E1629&lt;=15,2,0))))))</f>
        <v/>
      </c>
      <c r="G1629" s="5" t="n"/>
      <c r="H1629" s="4">
        <f>IF(OR(F1629="",G1629=""),"",F1629*G1629+IF(J1629="",0,J1629))</f>
        <v/>
      </c>
      <c r="I1629" s="5" t="n"/>
      <c r="J1629" s="5" t="n"/>
    </row>
    <row r="1630">
      <c r="A1630" s="5" t="n"/>
      <c r="B1630" s="5" t="n"/>
      <c r="C1630" s="5" t="n"/>
      <c r="D1630" s="5" t="n"/>
      <c r="E1630" s="4">
        <f>IF(C1630="","",COUNTIF($C$7:C1630,C1630))</f>
        <v/>
      </c>
      <c r="F1630" s="4">
        <f>IF(E1630="","",IF(E1630&lt;=3,6,IF(E1630&lt;=6,5,IF(E1630&lt;=9,4,IF(E1630&lt;=12,3,IF(E1630&lt;=15,2,0))))))</f>
        <v/>
      </c>
      <c r="G1630" s="5" t="n"/>
      <c r="H1630" s="4">
        <f>IF(OR(F1630="",G1630=""),"",F1630*G1630+IF(J1630="",0,J1630))</f>
        <v/>
      </c>
      <c r="I1630" s="5" t="n"/>
      <c r="J1630" s="5" t="n"/>
    </row>
    <row r="1631">
      <c r="A1631" s="5" t="n"/>
      <c r="B1631" s="5" t="n"/>
      <c r="C1631" s="5" t="n"/>
      <c r="D1631" s="5" t="n"/>
      <c r="E1631" s="4">
        <f>IF(C1631="","",COUNTIF($C$7:C1631,C1631))</f>
        <v/>
      </c>
      <c r="F1631" s="4">
        <f>IF(E1631="","",IF(E1631&lt;=3,6,IF(E1631&lt;=6,5,IF(E1631&lt;=9,4,IF(E1631&lt;=12,3,IF(E1631&lt;=15,2,0))))))</f>
        <v/>
      </c>
      <c r="G1631" s="5" t="n"/>
      <c r="H1631" s="4">
        <f>IF(OR(F1631="",G1631=""),"",F1631*G1631+IF(J1631="",0,J1631))</f>
        <v/>
      </c>
      <c r="I1631" s="5" t="n"/>
      <c r="J1631" s="5" t="n"/>
    </row>
    <row r="1632">
      <c r="A1632" s="5" t="n"/>
      <c r="B1632" s="5" t="n"/>
      <c r="C1632" s="5" t="n"/>
      <c r="D1632" s="5" t="n"/>
      <c r="E1632" s="4">
        <f>IF(C1632="","",COUNTIF($C$7:C1632,C1632))</f>
        <v/>
      </c>
      <c r="F1632" s="4">
        <f>IF(E1632="","",IF(E1632&lt;=3,6,IF(E1632&lt;=6,5,IF(E1632&lt;=9,4,IF(E1632&lt;=12,3,IF(E1632&lt;=15,2,0))))))</f>
        <v/>
      </c>
      <c r="G1632" s="5" t="n"/>
      <c r="H1632" s="4">
        <f>IF(OR(F1632="",G1632=""),"",F1632*G1632+IF(J1632="",0,J1632))</f>
        <v/>
      </c>
      <c r="I1632" s="5" t="n"/>
      <c r="J1632" s="5" t="n"/>
    </row>
    <row r="1633">
      <c r="A1633" s="5" t="n"/>
      <c r="B1633" s="5" t="n"/>
      <c r="C1633" s="5" t="n"/>
      <c r="D1633" s="5" t="n"/>
      <c r="E1633" s="4">
        <f>IF(C1633="","",COUNTIF($C$7:C1633,C1633))</f>
        <v/>
      </c>
      <c r="F1633" s="4">
        <f>IF(E1633="","",IF(E1633&lt;=3,6,IF(E1633&lt;=6,5,IF(E1633&lt;=9,4,IF(E1633&lt;=12,3,IF(E1633&lt;=15,2,0))))))</f>
        <v/>
      </c>
      <c r="G1633" s="5" t="n"/>
      <c r="H1633" s="4">
        <f>IF(OR(F1633="",G1633=""),"",F1633*G1633+IF(J1633="",0,J1633))</f>
        <v/>
      </c>
      <c r="I1633" s="5" t="n"/>
      <c r="J1633" s="5" t="n"/>
    </row>
    <row r="1634">
      <c r="A1634" s="5" t="n"/>
      <c r="B1634" s="5" t="n"/>
      <c r="C1634" s="5" t="n"/>
      <c r="D1634" s="5" t="n"/>
      <c r="E1634" s="4">
        <f>IF(C1634="","",COUNTIF($C$7:C1634,C1634))</f>
        <v/>
      </c>
      <c r="F1634" s="4">
        <f>IF(E1634="","",IF(E1634&lt;=3,6,IF(E1634&lt;=6,5,IF(E1634&lt;=9,4,IF(E1634&lt;=12,3,IF(E1634&lt;=15,2,0))))))</f>
        <v/>
      </c>
      <c r="G1634" s="5" t="n"/>
      <c r="H1634" s="4">
        <f>IF(OR(F1634="",G1634=""),"",F1634*G1634+IF(J1634="",0,J1634))</f>
        <v/>
      </c>
      <c r="I1634" s="5" t="n"/>
      <c r="J1634" s="5" t="n"/>
    </row>
    <row r="1635">
      <c r="A1635" s="5" t="n"/>
      <c r="B1635" s="5" t="n"/>
      <c r="C1635" s="5" t="n"/>
      <c r="D1635" s="5" t="n"/>
      <c r="E1635" s="4">
        <f>IF(C1635="","",COUNTIF($C$7:C1635,C1635))</f>
        <v/>
      </c>
      <c r="F1635" s="4">
        <f>IF(E1635="","",IF(E1635&lt;=3,6,IF(E1635&lt;=6,5,IF(E1635&lt;=9,4,IF(E1635&lt;=12,3,IF(E1635&lt;=15,2,0))))))</f>
        <v/>
      </c>
      <c r="G1635" s="5" t="n"/>
      <c r="H1635" s="4">
        <f>IF(OR(F1635="",G1635=""),"",F1635*G1635+IF(J1635="",0,J1635))</f>
        <v/>
      </c>
      <c r="I1635" s="5" t="n"/>
      <c r="J1635" s="5" t="n"/>
    </row>
    <row r="1636">
      <c r="A1636" s="5" t="n"/>
      <c r="B1636" s="5" t="n"/>
      <c r="C1636" s="5" t="n"/>
      <c r="D1636" s="5" t="n"/>
      <c r="E1636" s="4">
        <f>IF(C1636="","",COUNTIF($C$7:C1636,C1636))</f>
        <v/>
      </c>
      <c r="F1636" s="4">
        <f>IF(E1636="","",IF(E1636&lt;=3,6,IF(E1636&lt;=6,5,IF(E1636&lt;=9,4,IF(E1636&lt;=12,3,IF(E1636&lt;=15,2,0))))))</f>
        <v/>
      </c>
      <c r="G1636" s="5" t="n"/>
      <c r="H1636" s="4">
        <f>IF(OR(F1636="",G1636=""),"",F1636*G1636+IF(J1636="",0,J1636))</f>
        <v/>
      </c>
      <c r="I1636" s="5" t="n"/>
      <c r="J1636" s="5" t="n"/>
    </row>
    <row r="1637">
      <c r="A1637" s="5" t="n"/>
      <c r="B1637" s="5" t="n"/>
      <c r="C1637" s="5" t="n"/>
      <c r="D1637" s="5" t="n"/>
      <c r="E1637" s="4">
        <f>IF(C1637="","",COUNTIF($C$7:C1637,C1637))</f>
        <v/>
      </c>
      <c r="F1637" s="4">
        <f>IF(E1637="","",IF(E1637&lt;=3,6,IF(E1637&lt;=6,5,IF(E1637&lt;=9,4,IF(E1637&lt;=12,3,IF(E1637&lt;=15,2,0))))))</f>
        <v/>
      </c>
      <c r="G1637" s="5" t="n"/>
      <c r="H1637" s="4">
        <f>IF(OR(F1637="",G1637=""),"",F1637*G1637+IF(J1637="",0,J1637))</f>
        <v/>
      </c>
      <c r="I1637" s="5" t="n"/>
      <c r="J1637" s="5" t="n"/>
    </row>
    <row r="1638">
      <c r="A1638" s="5" t="n"/>
      <c r="B1638" s="5" t="n"/>
      <c r="C1638" s="5" t="n"/>
      <c r="D1638" s="5" t="n"/>
      <c r="E1638" s="4">
        <f>IF(C1638="","",COUNTIF($C$7:C1638,C1638))</f>
        <v/>
      </c>
      <c r="F1638" s="4">
        <f>IF(E1638="","",IF(E1638&lt;=3,6,IF(E1638&lt;=6,5,IF(E1638&lt;=9,4,IF(E1638&lt;=12,3,IF(E1638&lt;=15,2,0))))))</f>
        <v/>
      </c>
      <c r="G1638" s="5" t="n"/>
      <c r="H1638" s="4">
        <f>IF(OR(F1638="",G1638=""),"",F1638*G1638+IF(J1638="",0,J1638))</f>
        <v/>
      </c>
      <c r="I1638" s="5" t="n"/>
      <c r="J1638" s="5" t="n"/>
    </row>
    <row r="1639">
      <c r="A1639" s="5" t="n"/>
      <c r="B1639" s="5" t="n"/>
      <c r="C1639" s="5" t="n"/>
      <c r="D1639" s="5" t="n"/>
      <c r="E1639" s="4">
        <f>IF(C1639="","",COUNTIF($C$7:C1639,C1639))</f>
        <v/>
      </c>
      <c r="F1639" s="4">
        <f>IF(E1639="","",IF(E1639&lt;=3,6,IF(E1639&lt;=6,5,IF(E1639&lt;=9,4,IF(E1639&lt;=12,3,IF(E1639&lt;=15,2,0))))))</f>
        <v/>
      </c>
      <c r="G1639" s="5" t="n"/>
      <c r="H1639" s="4">
        <f>IF(OR(F1639="",G1639=""),"",F1639*G1639+IF(J1639="",0,J1639))</f>
        <v/>
      </c>
      <c r="I1639" s="5" t="n"/>
      <c r="J1639" s="5" t="n"/>
    </row>
    <row r="1640">
      <c r="A1640" s="5" t="n"/>
      <c r="B1640" s="5" t="n"/>
      <c r="C1640" s="5" t="n"/>
      <c r="D1640" s="5" t="n"/>
      <c r="E1640" s="4">
        <f>IF(C1640="","",COUNTIF($C$7:C1640,C1640))</f>
        <v/>
      </c>
      <c r="F1640" s="4">
        <f>IF(E1640="","",IF(E1640&lt;=3,6,IF(E1640&lt;=6,5,IF(E1640&lt;=9,4,IF(E1640&lt;=12,3,IF(E1640&lt;=15,2,0))))))</f>
        <v/>
      </c>
      <c r="G1640" s="5" t="n"/>
      <c r="H1640" s="4">
        <f>IF(OR(F1640="",G1640=""),"",F1640*G1640+IF(J1640="",0,J1640))</f>
        <v/>
      </c>
      <c r="I1640" s="5" t="n"/>
      <c r="J1640" s="5" t="n"/>
    </row>
    <row r="1641">
      <c r="A1641" s="5" t="n"/>
      <c r="B1641" s="5" t="n"/>
      <c r="C1641" s="5" t="n"/>
      <c r="D1641" s="5" t="n"/>
      <c r="E1641" s="4">
        <f>IF(C1641="","",COUNTIF($C$7:C1641,C1641))</f>
        <v/>
      </c>
      <c r="F1641" s="4">
        <f>IF(E1641="","",IF(E1641&lt;=3,6,IF(E1641&lt;=6,5,IF(E1641&lt;=9,4,IF(E1641&lt;=12,3,IF(E1641&lt;=15,2,0))))))</f>
        <v/>
      </c>
      <c r="G1641" s="5" t="n"/>
      <c r="H1641" s="4">
        <f>IF(OR(F1641="",G1641=""),"",F1641*G1641+IF(J1641="",0,J1641))</f>
        <v/>
      </c>
      <c r="I1641" s="5" t="n"/>
      <c r="J1641" s="5" t="n"/>
    </row>
    <row r="1642">
      <c r="A1642" s="5" t="n"/>
      <c r="B1642" s="5" t="n"/>
      <c r="C1642" s="5" t="n"/>
      <c r="D1642" s="5" t="n"/>
      <c r="E1642" s="4">
        <f>IF(C1642="","",COUNTIF($C$7:C1642,C1642))</f>
        <v/>
      </c>
      <c r="F1642" s="4">
        <f>IF(E1642="","",IF(E1642&lt;=3,6,IF(E1642&lt;=6,5,IF(E1642&lt;=9,4,IF(E1642&lt;=12,3,IF(E1642&lt;=15,2,0))))))</f>
        <v/>
      </c>
      <c r="G1642" s="5" t="n"/>
      <c r="H1642" s="4">
        <f>IF(OR(F1642="",G1642=""),"",F1642*G1642+IF(J1642="",0,J1642))</f>
        <v/>
      </c>
      <c r="I1642" s="5" t="n"/>
      <c r="J1642" s="5" t="n"/>
    </row>
    <row r="1643">
      <c r="A1643" s="5" t="n"/>
      <c r="B1643" s="5" t="n"/>
      <c r="C1643" s="5" t="n"/>
      <c r="D1643" s="5" t="n"/>
      <c r="E1643" s="4">
        <f>IF(C1643="","",COUNTIF($C$7:C1643,C1643))</f>
        <v/>
      </c>
      <c r="F1643" s="4">
        <f>IF(E1643="","",IF(E1643&lt;=3,6,IF(E1643&lt;=6,5,IF(E1643&lt;=9,4,IF(E1643&lt;=12,3,IF(E1643&lt;=15,2,0))))))</f>
        <v/>
      </c>
      <c r="G1643" s="5" t="n"/>
      <c r="H1643" s="4">
        <f>IF(OR(F1643="",G1643=""),"",F1643*G1643+IF(J1643="",0,J1643))</f>
        <v/>
      </c>
      <c r="I1643" s="5" t="n"/>
      <c r="J1643" s="5" t="n"/>
    </row>
    <row r="1644">
      <c r="A1644" s="5" t="n"/>
      <c r="B1644" s="5" t="n"/>
      <c r="C1644" s="5" t="n"/>
      <c r="D1644" s="5" t="n"/>
      <c r="E1644" s="4">
        <f>IF(C1644="","",COUNTIF($C$7:C1644,C1644))</f>
        <v/>
      </c>
      <c r="F1644" s="4">
        <f>IF(E1644="","",IF(E1644&lt;=3,6,IF(E1644&lt;=6,5,IF(E1644&lt;=9,4,IF(E1644&lt;=12,3,IF(E1644&lt;=15,2,0))))))</f>
        <v/>
      </c>
      <c r="G1644" s="5" t="n"/>
      <c r="H1644" s="4">
        <f>IF(OR(F1644="",G1644=""),"",F1644*G1644+IF(J1644="",0,J1644))</f>
        <v/>
      </c>
      <c r="I1644" s="5" t="n"/>
      <c r="J1644" s="5" t="n"/>
    </row>
    <row r="1645">
      <c r="A1645" s="5" t="n"/>
      <c r="B1645" s="5" t="n"/>
      <c r="C1645" s="5" t="n"/>
      <c r="D1645" s="5" t="n"/>
      <c r="E1645" s="4">
        <f>IF(C1645="","",COUNTIF($C$7:C1645,C1645))</f>
        <v/>
      </c>
      <c r="F1645" s="4">
        <f>IF(E1645="","",IF(E1645&lt;=3,6,IF(E1645&lt;=6,5,IF(E1645&lt;=9,4,IF(E1645&lt;=12,3,IF(E1645&lt;=15,2,0))))))</f>
        <v/>
      </c>
      <c r="G1645" s="5" t="n"/>
      <c r="H1645" s="4">
        <f>IF(OR(F1645="",G1645=""),"",F1645*G1645+IF(J1645="",0,J1645))</f>
        <v/>
      </c>
      <c r="I1645" s="5" t="n"/>
      <c r="J1645" s="5" t="n"/>
    </row>
    <row r="1646">
      <c r="A1646" s="5" t="n"/>
      <c r="B1646" s="5" t="n"/>
      <c r="C1646" s="5" t="n"/>
      <c r="D1646" s="5" t="n"/>
      <c r="E1646" s="4">
        <f>IF(C1646="","",COUNTIF($C$7:C1646,C1646))</f>
        <v/>
      </c>
      <c r="F1646" s="4">
        <f>IF(E1646="","",IF(E1646&lt;=3,6,IF(E1646&lt;=6,5,IF(E1646&lt;=9,4,IF(E1646&lt;=12,3,IF(E1646&lt;=15,2,0))))))</f>
        <v/>
      </c>
      <c r="G1646" s="5" t="n"/>
      <c r="H1646" s="4">
        <f>IF(OR(F1646="",G1646=""),"",F1646*G1646+IF(J1646="",0,J1646))</f>
        <v/>
      </c>
      <c r="I1646" s="5" t="n"/>
      <c r="J1646" s="5" t="n"/>
    </row>
    <row r="1647">
      <c r="A1647" s="5" t="n"/>
      <c r="B1647" s="5" t="n"/>
      <c r="C1647" s="5" t="n"/>
      <c r="D1647" s="5" t="n"/>
      <c r="E1647" s="4">
        <f>IF(C1647="","",COUNTIF($C$7:C1647,C1647))</f>
        <v/>
      </c>
      <c r="F1647" s="4">
        <f>IF(E1647="","",IF(E1647&lt;=3,6,IF(E1647&lt;=6,5,IF(E1647&lt;=9,4,IF(E1647&lt;=12,3,IF(E1647&lt;=15,2,0))))))</f>
        <v/>
      </c>
      <c r="G1647" s="5" t="n"/>
      <c r="H1647" s="4">
        <f>IF(OR(F1647="",G1647=""),"",F1647*G1647+IF(J1647="",0,J1647))</f>
        <v/>
      </c>
      <c r="I1647" s="5" t="n"/>
      <c r="J1647" s="5" t="n"/>
    </row>
    <row r="1648">
      <c r="A1648" s="5" t="n"/>
      <c r="B1648" s="5" t="n"/>
      <c r="C1648" s="5" t="n"/>
      <c r="D1648" s="5" t="n"/>
      <c r="E1648" s="4">
        <f>IF(C1648="","",COUNTIF($C$7:C1648,C1648))</f>
        <v/>
      </c>
      <c r="F1648" s="4">
        <f>IF(E1648="","",IF(E1648&lt;=3,6,IF(E1648&lt;=6,5,IF(E1648&lt;=9,4,IF(E1648&lt;=12,3,IF(E1648&lt;=15,2,0))))))</f>
        <v/>
      </c>
      <c r="G1648" s="5" t="n"/>
      <c r="H1648" s="4">
        <f>IF(OR(F1648="",G1648=""),"",F1648*G1648+IF(J1648="",0,J1648))</f>
        <v/>
      </c>
      <c r="I1648" s="5" t="n"/>
      <c r="J1648" s="5" t="n"/>
    </row>
    <row r="1649">
      <c r="A1649" s="5" t="n"/>
      <c r="B1649" s="5" t="n"/>
      <c r="C1649" s="5" t="n"/>
      <c r="D1649" s="5" t="n"/>
      <c r="E1649" s="4">
        <f>IF(C1649="","",COUNTIF($C$7:C1649,C1649))</f>
        <v/>
      </c>
      <c r="F1649" s="4">
        <f>IF(E1649="","",IF(E1649&lt;=3,6,IF(E1649&lt;=6,5,IF(E1649&lt;=9,4,IF(E1649&lt;=12,3,IF(E1649&lt;=15,2,0))))))</f>
        <v/>
      </c>
      <c r="G1649" s="5" t="n"/>
      <c r="H1649" s="4">
        <f>IF(OR(F1649="",G1649=""),"",F1649*G1649+IF(J1649="",0,J1649))</f>
        <v/>
      </c>
      <c r="I1649" s="5" t="n"/>
      <c r="J1649" s="5" t="n"/>
    </row>
    <row r="1650">
      <c r="A1650" s="5" t="n"/>
      <c r="B1650" s="5" t="n"/>
      <c r="C1650" s="5" t="n"/>
      <c r="D1650" s="5" t="n"/>
      <c r="E1650" s="4">
        <f>IF(C1650="","",COUNTIF($C$7:C1650,C1650))</f>
        <v/>
      </c>
      <c r="F1650" s="4">
        <f>IF(E1650="","",IF(E1650&lt;=3,6,IF(E1650&lt;=6,5,IF(E1650&lt;=9,4,IF(E1650&lt;=12,3,IF(E1650&lt;=15,2,0))))))</f>
        <v/>
      </c>
      <c r="G1650" s="5" t="n"/>
      <c r="H1650" s="4">
        <f>IF(OR(F1650="",G1650=""),"",F1650*G1650+IF(J1650="",0,J1650))</f>
        <v/>
      </c>
      <c r="I1650" s="5" t="n"/>
      <c r="J1650" s="5" t="n"/>
    </row>
    <row r="1651">
      <c r="A1651" s="5" t="n"/>
      <c r="B1651" s="5" t="n"/>
      <c r="C1651" s="5" t="n"/>
      <c r="D1651" s="5" t="n"/>
      <c r="E1651" s="4">
        <f>IF(C1651="","",COUNTIF($C$7:C1651,C1651))</f>
        <v/>
      </c>
      <c r="F1651" s="4">
        <f>IF(E1651="","",IF(E1651&lt;=3,6,IF(E1651&lt;=6,5,IF(E1651&lt;=9,4,IF(E1651&lt;=12,3,IF(E1651&lt;=15,2,0))))))</f>
        <v/>
      </c>
      <c r="G1651" s="5" t="n"/>
      <c r="H1651" s="4">
        <f>IF(OR(F1651="",G1651=""),"",F1651*G1651+IF(J1651="",0,J1651))</f>
        <v/>
      </c>
      <c r="I1651" s="5" t="n"/>
      <c r="J1651" s="5" t="n"/>
    </row>
    <row r="1652">
      <c r="A1652" s="5" t="n"/>
      <c r="B1652" s="5" t="n"/>
      <c r="C1652" s="5" t="n"/>
      <c r="D1652" s="5" t="n"/>
      <c r="E1652" s="4">
        <f>IF(C1652="","",COUNTIF($C$7:C1652,C1652))</f>
        <v/>
      </c>
      <c r="F1652" s="4">
        <f>IF(E1652="","",IF(E1652&lt;=3,6,IF(E1652&lt;=6,5,IF(E1652&lt;=9,4,IF(E1652&lt;=12,3,IF(E1652&lt;=15,2,0))))))</f>
        <v/>
      </c>
      <c r="G1652" s="5" t="n"/>
      <c r="H1652" s="4">
        <f>IF(OR(F1652="",G1652=""),"",F1652*G1652+IF(J1652="",0,J1652))</f>
        <v/>
      </c>
      <c r="I1652" s="5" t="n"/>
      <c r="J1652" s="5" t="n"/>
    </row>
    <row r="1653">
      <c r="A1653" s="5" t="n"/>
      <c r="B1653" s="5" t="n"/>
      <c r="C1653" s="5" t="n"/>
      <c r="D1653" s="5" t="n"/>
      <c r="E1653" s="4">
        <f>IF(C1653="","",COUNTIF($C$7:C1653,C1653))</f>
        <v/>
      </c>
      <c r="F1653" s="4">
        <f>IF(E1653="","",IF(E1653&lt;=3,6,IF(E1653&lt;=6,5,IF(E1653&lt;=9,4,IF(E1653&lt;=12,3,IF(E1653&lt;=15,2,0))))))</f>
        <v/>
      </c>
      <c r="G1653" s="5" t="n"/>
      <c r="H1653" s="4">
        <f>IF(OR(F1653="",G1653=""),"",F1653*G1653+IF(J1653="",0,J1653))</f>
        <v/>
      </c>
      <c r="I1653" s="5" t="n"/>
      <c r="J1653" s="5" t="n"/>
    </row>
    <row r="1654">
      <c r="A1654" s="5" t="n"/>
      <c r="B1654" s="5" t="n"/>
      <c r="C1654" s="5" t="n"/>
      <c r="D1654" s="5" t="n"/>
      <c r="E1654" s="4">
        <f>IF(C1654="","",COUNTIF($C$7:C1654,C1654))</f>
        <v/>
      </c>
      <c r="F1654" s="4">
        <f>IF(E1654="","",IF(E1654&lt;=3,6,IF(E1654&lt;=6,5,IF(E1654&lt;=9,4,IF(E1654&lt;=12,3,IF(E1654&lt;=15,2,0))))))</f>
        <v/>
      </c>
      <c r="G1654" s="5" t="n"/>
      <c r="H1654" s="4">
        <f>IF(OR(F1654="",G1654=""),"",F1654*G1654+IF(J1654="",0,J1654))</f>
        <v/>
      </c>
      <c r="I1654" s="5" t="n"/>
      <c r="J1654" s="5" t="n"/>
    </row>
    <row r="1655">
      <c r="A1655" s="5" t="n"/>
      <c r="B1655" s="5" t="n"/>
      <c r="C1655" s="5" t="n"/>
      <c r="D1655" s="5" t="n"/>
      <c r="E1655" s="4">
        <f>IF(C1655="","",COUNTIF($C$7:C1655,C1655))</f>
        <v/>
      </c>
      <c r="F1655" s="4">
        <f>IF(E1655="","",IF(E1655&lt;=3,6,IF(E1655&lt;=6,5,IF(E1655&lt;=9,4,IF(E1655&lt;=12,3,IF(E1655&lt;=15,2,0))))))</f>
        <v/>
      </c>
      <c r="G1655" s="5" t="n"/>
      <c r="H1655" s="4">
        <f>IF(OR(F1655="",G1655=""),"",F1655*G1655+IF(J1655="",0,J1655))</f>
        <v/>
      </c>
      <c r="I1655" s="5" t="n"/>
      <c r="J1655" s="5" t="n"/>
    </row>
    <row r="1656">
      <c r="A1656" s="5" t="n"/>
      <c r="B1656" s="5" t="n"/>
      <c r="C1656" s="5" t="n"/>
      <c r="D1656" s="5" t="n"/>
      <c r="E1656" s="4">
        <f>IF(C1656="","",COUNTIF($C$7:C1656,C1656))</f>
        <v/>
      </c>
      <c r="F1656" s="4">
        <f>IF(E1656="","",IF(E1656&lt;=3,6,IF(E1656&lt;=6,5,IF(E1656&lt;=9,4,IF(E1656&lt;=12,3,IF(E1656&lt;=15,2,0))))))</f>
        <v/>
      </c>
      <c r="G1656" s="5" t="n"/>
      <c r="H1656" s="4">
        <f>IF(OR(F1656="",G1656=""),"",F1656*G1656+IF(J1656="",0,J1656))</f>
        <v/>
      </c>
      <c r="I1656" s="5" t="n"/>
      <c r="J1656" s="5" t="n"/>
    </row>
    <row r="1657">
      <c r="A1657" s="5" t="n"/>
      <c r="B1657" s="5" t="n"/>
      <c r="C1657" s="5" t="n"/>
      <c r="D1657" s="5" t="n"/>
      <c r="E1657" s="4">
        <f>IF(C1657="","",COUNTIF($C$7:C1657,C1657))</f>
        <v/>
      </c>
      <c r="F1657" s="4">
        <f>IF(E1657="","",IF(E1657&lt;=3,6,IF(E1657&lt;=6,5,IF(E1657&lt;=9,4,IF(E1657&lt;=12,3,IF(E1657&lt;=15,2,0))))))</f>
        <v/>
      </c>
      <c r="G1657" s="5" t="n"/>
      <c r="H1657" s="4">
        <f>IF(OR(F1657="",G1657=""),"",F1657*G1657+IF(J1657="",0,J1657))</f>
        <v/>
      </c>
      <c r="I1657" s="5" t="n"/>
      <c r="J1657" s="5" t="n"/>
    </row>
    <row r="1658">
      <c r="A1658" s="5" t="n"/>
      <c r="B1658" s="5" t="n"/>
      <c r="C1658" s="5" t="n"/>
      <c r="D1658" s="5" t="n"/>
      <c r="E1658" s="4">
        <f>IF(C1658="","",COUNTIF($C$7:C1658,C1658))</f>
        <v/>
      </c>
      <c r="F1658" s="4">
        <f>IF(E1658="","",IF(E1658&lt;=3,6,IF(E1658&lt;=6,5,IF(E1658&lt;=9,4,IF(E1658&lt;=12,3,IF(E1658&lt;=15,2,0))))))</f>
        <v/>
      </c>
      <c r="G1658" s="5" t="n"/>
      <c r="H1658" s="4">
        <f>IF(OR(F1658="",G1658=""),"",F1658*G1658+IF(J1658="",0,J1658))</f>
        <v/>
      </c>
      <c r="I1658" s="5" t="n"/>
      <c r="J1658" s="5" t="n"/>
    </row>
    <row r="1659">
      <c r="A1659" s="5" t="n"/>
      <c r="B1659" s="5" t="n"/>
      <c r="C1659" s="5" t="n"/>
      <c r="D1659" s="5" t="n"/>
      <c r="E1659" s="4">
        <f>IF(C1659="","",COUNTIF($C$7:C1659,C1659))</f>
        <v/>
      </c>
      <c r="F1659" s="4">
        <f>IF(E1659="","",IF(E1659&lt;=3,6,IF(E1659&lt;=6,5,IF(E1659&lt;=9,4,IF(E1659&lt;=12,3,IF(E1659&lt;=15,2,0))))))</f>
        <v/>
      </c>
      <c r="G1659" s="5" t="n"/>
      <c r="H1659" s="4">
        <f>IF(OR(F1659="",G1659=""),"",F1659*G1659+IF(J1659="",0,J1659))</f>
        <v/>
      </c>
      <c r="I1659" s="5" t="n"/>
      <c r="J1659" s="5" t="n"/>
    </row>
    <row r="1660">
      <c r="A1660" s="5" t="n"/>
      <c r="B1660" s="5" t="n"/>
      <c r="C1660" s="5" t="n"/>
      <c r="D1660" s="5" t="n"/>
      <c r="E1660" s="4">
        <f>IF(C1660="","",COUNTIF($C$7:C1660,C1660))</f>
        <v/>
      </c>
      <c r="F1660" s="4">
        <f>IF(E1660="","",IF(E1660&lt;=3,6,IF(E1660&lt;=6,5,IF(E1660&lt;=9,4,IF(E1660&lt;=12,3,IF(E1660&lt;=15,2,0))))))</f>
        <v/>
      </c>
      <c r="G1660" s="5" t="n"/>
      <c r="H1660" s="4">
        <f>IF(OR(F1660="",G1660=""),"",F1660*G1660+IF(J1660="",0,J1660))</f>
        <v/>
      </c>
      <c r="I1660" s="5" t="n"/>
      <c r="J1660" s="5" t="n"/>
    </row>
    <row r="1661">
      <c r="A1661" s="5" t="n"/>
      <c r="B1661" s="5" t="n"/>
      <c r="C1661" s="5" t="n"/>
      <c r="D1661" s="5" t="n"/>
      <c r="E1661" s="4">
        <f>IF(C1661="","",COUNTIF($C$7:C1661,C1661))</f>
        <v/>
      </c>
      <c r="F1661" s="4">
        <f>IF(E1661="","",IF(E1661&lt;=3,6,IF(E1661&lt;=6,5,IF(E1661&lt;=9,4,IF(E1661&lt;=12,3,IF(E1661&lt;=15,2,0))))))</f>
        <v/>
      </c>
      <c r="G1661" s="5" t="n"/>
      <c r="H1661" s="4">
        <f>IF(OR(F1661="",G1661=""),"",F1661*G1661+IF(J1661="",0,J1661))</f>
        <v/>
      </c>
      <c r="I1661" s="5" t="n"/>
      <c r="J1661" s="5" t="n"/>
    </row>
    <row r="1662">
      <c r="A1662" s="5" t="n"/>
      <c r="B1662" s="5" t="n"/>
      <c r="C1662" s="5" t="n"/>
      <c r="D1662" s="5" t="n"/>
      <c r="E1662" s="4">
        <f>IF(C1662="","",COUNTIF($C$7:C1662,C1662))</f>
        <v/>
      </c>
      <c r="F1662" s="4">
        <f>IF(E1662="","",IF(E1662&lt;=3,6,IF(E1662&lt;=6,5,IF(E1662&lt;=9,4,IF(E1662&lt;=12,3,IF(E1662&lt;=15,2,0))))))</f>
        <v/>
      </c>
      <c r="G1662" s="5" t="n"/>
      <c r="H1662" s="4">
        <f>IF(OR(F1662="",G1662=""),"",F1662*G1662+IF(J1662="",0,J1662))</f>
        <v/>
      </c>
      <c r="I1662" s="5" t="n"/>
      <c r="J1662" s="5" t="n"/>
    </row>
    <row r="1663">
      <c r="A1663" s="5" t="n"/>
      <c r="B1663" s="5" t="n"/>
      <c r="C1663" s="5" t="n"/>
      <c r="D1663" s="5" t="n"/>
      <c r="E1663" s="4">
        <f>IF(C1663="","",COUNTIF($C$7:C1663,C1663))</f>
        <v/>
      </c>
      <c r="F1663" s="4">
        <f>IF(E1663="","",IF(E1663&lt;=3,6,IF(E1663&lt;=6,5,IF(E1663&lt;=9,4,IF(E1663&lt;=12,3,IF(E1663&lt;=15,2,0))))))</f>
        <v/>
      </c>
      <c r="G1663" s="5" t="n"/>
      <c r="H1663" s="4">
        <f>IF(OR(F1663="",G1663=""),"",F1663*G1663+IF(J1663="",0,J1663))</f>
        <v/>
      </c>
      <c r="I1663" s="5" t="n"/>
      <c r="J1663" s="5" t="n"/>
    </row>
    <row r="1664">
      <c r="A1664" s="5" t="n"/>
      <c r="B1664" s="5" t="n"/>
      <c r="C1664" s="5" t="n"/>
      <c r="D1664" s="5" t="n"/>
      <c r="E1664" s="4">
        <f>IF(C1664="","",COUNTIF($C$7:C1664,C1664))</f>
        <v/>
      </c>
      <c r="F1664" s="4">
        <f>IF(E1664="","",IF(E1664&lt;=3,6,IF(E1664&lt;=6,5,IF(E1664&lt;=9,4,IF(E1664&lt;=12,3,IF(E1664&lt;=15,2,0))))))</f>
        <v/>
      </c>
      <c r="G1664" s="5" t="n"/>
      <c r="H1664" s="4">
        <f>IF(OR(F1664="",G1664=""),"",F1664*G1664+IF(J1664="",0,J1664))</f>
        <v/>
      </c>
      <c r="I1664" s="5" t="n"/>
      <c r="J1664" s="5" t="n"/>
    </row>
    <row r="1665">
      <c r="A1665" s="5" t="n"/>
      <c r="B1665" s="5" t="n"/>
      <c r="C1665" s="5" t="n"/>
      <c r="D1665" s="5" t="n"/>
      <c r="E1665" s="4">
        <f>IF(C1665="","",COUNTIF($C$7:C1665,C1665))</f>
        <v/>
      </c>
      <c r="F1665" s="4">
        <f>IF(E1665="","",IF(E1665&lt;=3,6,IF(E1665&lt;=6,5,IF(E1665&lt;=9,4,IF(E1665&lt;=12,3,IF(E1665&lt;=15,2,0))))))</f>
        <v/>
      </c>
      <c r="G1665" s="5" t="n"/>
      <c r="H1665" s="4">
        <f>IF(OR(F1665="",G1665=""),"",F1665*G1665+IF(J1665="",0,J1665))</f>
        <v/>
      </c>
      <c r="I1665" s="5" t="n"/>
      <c r="J1665" s="5" t="n"/>
    </row>
    <row r="1666">
      <c r="A1666" s="5" t="n"/>
      <c r="B1666" s="5" t="n"/>
      <c r="C1666" s="5" t="n"/>
      <c r="D1666" s="5" t="n"/>
      <c r="E1666" s="4">
        <f>IF(C1666="","",COUNTIF($C$7:C1666,C1666))</f>
        <v/>
      </c>
      <c r="F1666" s="4">
        <f>IF(E1666="","",IF(E1666&lt;=3,6,IF(E1666&lt;=6,5,IF(E1666&lt;=9,4,IF(E1666&lt;=12,3,IF(E1666&lt;=15,2,0))))))</f>
        <v/>
      </c>
      <c r="G1666" s="5" t="n"/>
      <c r="H1666" s="4">
        <f>IF(OR(F1666="",G1666=""),"",F1666*G1666+IF(J1666="",0,J1666))</f>
        <v/>
      </c>
      <c r="I1666" s="5" t="n"/>
      <c r="J1666" s="5" t="n"/>
    </row>
    <row r="1667">
      <c r="A1667" s="5" t="n"/>
      <c r="B1667" s="5" t="n"/>
      <c r="C1667" s="5" t="n"/>
      <c r="D1667" s="5" t="n"/>
      <c r="E1667" s="4">
        <f>IF(C1667="","",COUNTIF($C$7:C1667,C1667))</f>
        <v/>
      </c>
      <c r="F1667" s="4">
        <f>IF(E1667="","",IF(E1667&lt;=3,6,IF(E1667&lt;=6,5,IF(E1667&lt;=9,4,IF(E1667&lt;=12,3,IF(E1667&lt;=15,2,0))))))</f>
        <v/>
      </c>
      <c r="G1667" s="5" t="n"/>
      <c r="H1667" s="4">
        <f>IF(OR(F1667="",G1667=""),"",F1667*G1667+IF(J1667="",0,J1667))</f>
        <v/>
      </c>
      <c r="I1667" s="5" t="n"/>
      <c r="J1667" s="5" t="n"/>
    </row>
    <row r="1668">
      <c r="A1668" s="5" t="n"/>
      <c r="B1668" s="5" t="n"/>
      <c r="C1668" s="5" t="n"/>
      <c r="D1668" s="5" t="n"/>
      <c r="E1668" s="4">
        <f>IF(C1668="","",COUNTIF($C$7:C1668,C1668))</f>
        <v/>
      </c>
      <c r="F1668" s="4">
        <f>IF(E1668="","",IF(E1668&lt;=3,6,IF(E1668&lt;=6,5,IF(E1668&lt;=9,4,IF(E1668&lt;=12,3,IF(E1668&lt;=15,2,0))))))</f>
        <v/>
      </c>
      <c r="G1668" s="5" t="n"/>
      <c r="H1668" s="4">
        <f>IF(OR(F1668="",G1668=""),"",F1668*G1668+IF(J1668="",0,J1668))</f>
        <v/>
      </c>
      <c r="I1668" s="5" t="n"/>
      <c r="J1668" s="5" t="n"/>
    </row>
    <row r="1669">
      <c r="A1669" s="5" t="n"/>
      <c r="B1669" s="5" t="n"/>
      <c r="C1669" s="5" t="n"/>
      <c r="D1669" s="5" t="n"/>
      <c r="E1669" s="4">
        <f>IF(C1669="","",COUNTIF($C$7:C1669,C1669))</f>
        <v/>
      </c>
      <c r="F1669" s="4">
        <f>IF(E1669="","",IF(E1669&lt;=3,6,IF(E1669&lt;=6,5,IF(E1669&lt;=9,4,IF(E1669&lt;=12,3,IF(E1669&lt;=15,2,0))))))</f>
        <v/>
      </c>
      <c r="G1669" s="5" t="n"/>
      <c r="H1669" s="4">
        <f>IF(OR(F1669="",G1669=""),"",F1669*G1669+IF(J1669="",0,J1669))</f>
        <v/>
      </c>
      <c r="I1669" s="5" t="n"/>
      <c r="J1669" s="5" t="n"/>
    </row>
    <row r="1670">
      <c r="A1670" s="5" t="n"/>
      <c r="B1670" s="5" t="n"/>
      <c r="C1670" s="5" t="n"/>
      <c r="D1670" s="5" t="n"/>
      <c r="E1670" s="4">
        <f>IF(C1670="","",COUNTIF($C$7:C1670,C1670))</f>
        <v/>
      </c>
      <c r="F1670" s="4">
        <f>IF(E1670="","",IF(E1670&lt;=3,6,IF(E1670&lt;=6,5,IF(E1670&lt;=9,4,IF(E1670&lt;=12,3,IF(E1670&lt;=15,2,0))))))</f>
        <v/>
      </c>
      <c r="G1670" s="5" t="n"/>
      <c r="H1670" s="4">
        <f>IF(OR(F1670="",G1670=""),"",F1670*G1670+IF(J1670="",0,J1670))</f>
        <v/>
      </c>
      <c r="I1670" s="5" t="n"/>
      <c r="J1670" s="5" t="n"/>
    </row>
    <row r="1671">
      <c r="A1671" s="5" t="n"/>
      <c r="B1671" s="5" t="n"/>
      <c r="C1671" s="5" t="n"/>
      <c r="D1671" s="5" t="n"/>
      <c r="E1671" s="4">
        <f>IF(C1671="","",COUNTIF($C$7:C1671,C1671))</f>
        <v/>
      </c>
      <c r="F1671" s="4">
        <f>IF(E1671="","",IF(E1671&lt;=3,6,IF(E1671&lt;=6,5,IF(E1671&lt;=9,4,IF(E1671&lt;=12,3,IF(E1671&lt;=15,2,0))))))</f>
        <v/>
      </c>
      <c r="G1671" s="5" t="n"/>
      <c r="H1671" s="4">
        <f>IF(OR(F1671="",G1671=""),"",F1671*G1671+IF(J1671="",0,J1671))</f>
        <v/>
      </c>
      <c r="I1671" s="5" t="n"/>
      <c r="J1671" s="5" t="n"/>
    </row>
    <row r="1672">
      <c r="A1672" s="5" t="n"/>
      <c r="B1672" s="5" t="n"/>
      <c r="C1672" s="5" t="n"/>
      <c r="D1672" s="5" t="n"/>
      <c r="E1672" s="4">
        <f>IF(C1672="","",COUNTIF($C$7:C1672,C1672))</f>
        <v/>
      </c>
      <c r="F1672" s="4">
        <f>IF(E1672="","",IF(E1672&lt;=3,6,IF(E1672&lt;=6,5,IF(E1672&lt;=9,4,IF(E1672&lt;=12,3,IF(E1672&lt;=15,2,0))))))</f>
        <v/>
      </c>
      <c r="G1672" s="5" t="n"/>
      <c r="H1672" s="4">
        <f>IF(OR(F1672="",G1672=""),"",F1672*G1672+IF(J1672="",0,J1672))</f>
        <v/>
      </c>
      <c r="I1672" s="5" t="n"/>
      <c r="J1672" s="5" t="n"/>
    </row>
    <row r="1673">
      <c r="A1673" s="5" t="n"/>
      <c r="B1673" s="5" t="n"/>
      <c r="C1673" s="5" t="n"/>
      <c r="D1673" s="5" t="n"/>
      <c r="E1673" s="4">
        <f>IF(C1673="","",COUNTIF($C$7:C1673,C1673))</f>
        <v/>
      </c>
      <c r="F1673" s="4">
        <f>IF(E1673="","",IF(E1673&lt;=3,6,IF(E1673&lt;=6,5,IF(E1673&lt;=9,4,IF(E1673&lt;=12,3,IF(E1673&lt;=15,2,0))))))</f>
        <v/>
      </c>
      <c r="G1673" s="5" t="n"/>
      <c r="H1673" s="4">
        <f>IF(OR(F1673="",G1673=""),"",F1673*G1673+IF(J1673="",0,J1673))</f>
        <v/>
      </c>
      <c r="I1673" s="5" t="n"/>
      <c r="J1673" s="5" t="n"/>
    </row>
    <row r="1674">
      <c r="A1674" s="5" t="n"/>
      <c r="B1674" s="5" t="n"/>
      <c r="C1674" s="5" t="n"/>
      <c r="D1674" s="5" t="n"/>
      <c r="E1674" s="4">
        <f>IF(C1674="","",COUNTIF($C$7:C1674,C1674))</f>
        <v/>
      </c>
      <c r="F1674" s="4">
        <f>IF(E1674="","",IF(E1674&lt;=3,6,IF(E1674&lt;=6,5,IF(E1674&lt;=9,4,IF(E1674&lt;=12,3,IF(E1674&lt;=15,2,0))))))</f>
        <v/>
      </c>
      <c r="G1674" s="5" t="n"/>
      <c r="H1674" s="4">
        <f>IF(OR(F1674="",G1674=""),"",F1674*G1674+IF(J1674="",0,J1674))</f>
        <v/>
      </c>
      <c r="I1674" s="5" t="n"/>
      <c r="J1674" s="5" t="n"/>
    </row>
    <row r="1675">
      <c r="A1675" s="5" t="n"/>
      <c r="B1675" s="5" t="n"/>
      <c r="C1675" s="5" t="n"/>
      <c r="D1675" s="5" t="n"/>
      <c r="E1675" s="4">
        <f>IF(C1675="","",COUNTIF($C$7:C1675,C1675))</f>
        <v/>
      </c>
      <c r="F1675" s="4">
        <f>IF(E1675="","",IF(E1675&lt;=3,6,IF(E1675&lt;=6,5,IF(E1675&lt;=9,4,IF(E1675&lt;=12,3,IF(E1675&lt;=15,2,0))))))</f>
        <v/>
      </c>
      <c r="G1675" s="5" t="n"/>
      <c r="H1675" s="4">
        <f>IF(OR(F1675="",G1675=""),"",F1675*G1675+IF(J1675="",0,J1675))</f>
        <v/>
      </c>
      <c r="I1675" s="5" t="n"/>
      <c r="J1675" s="5" t="n"/>
    </row>
    <row r="1676">
      <c r="A1676" s="5" t="n"/>
      <c r="B1676" s="5" t="n"/>
      <c r="C1676" s="5" t="n"/>
      <c r="D1676" s="5" t="n"/>
      <c r="E1676" s="4">
        <f>IF(C1676="","",COUNTIF($C$7:C1676,C1676))</f>
        <v/>
      </c>
      <c r="F1676" s="4">
        <f>IF(E1676="","",IF(E1676&lt;=3,6,IF(E1676&lt;=6,5,IF(E1676&lt;=9,4,IF(E1676&lt;=12,3,IF(E1676&lt;=15,2,0))))))</f>
        <v/>
      </c>
      <c r="G1676" s="5" t="n"/>
      <c r="H1676" s="4">
        <f>IF(OR(F1676="",G1676=""),"",F1676*G1676+IF(J1676="",0,J1676))</f>
        <v/>
      </c>
      <c r="I1676" s="5" t="n"/>
      <c r="J1676" s="5" t="n"/>
    </row>
    <row r="1677">
      <c r="A1677" s="5" t="n"/>
      <c r="B1677" s="5" t="n"/>
      <c r="C1677" s="5" t="n"/>
      <c r="D1677" s="5" t="n"/>
      <c r="E1677" s="4">
        <f>IF(C1677="","",COUNTIF($C$7:C1677,C1677))</f>
        <v/>
      </c>
      <c r="F1677" s="4">
        <f>IF(E1677="","",IF(E1677&lt;=3,6,IF(E1677&lt;=6,5,IF(E1677&lt;=9,4,IF(E1677&lt;=12,3,IF(E1677&lt;=15,2,0))))))</f>
        <v/>
      </c>
      <c r="G1677" s="5" t="n"/>
      <c r="H1677" s="4">
        <f>IF(OR(F1677="",G1677=""),"",F1677*G1677+IF(J1677="",0,J1677))</f>
        <v/>
      </c>
      <c r="I1677" s="5" t="n"/>
      <c r="J1677" s="5" t="n"/>
    </row>
    <row r="1678">
      <c r="A1678" s="5" t="n"/>
      <c r="B1678" s="5" t="n"/>
      <c r="C1678" s="5" t="n"/>
      <c r="D1678" s="5" t="n"/>
      <c r="E1678" s="4">
        <f>IF(C1678="","",COUNTIF($C$7:C1678,C1678))</f>
        <v/>
      </c>
      <c r="F1678" s="4">
        <f>IF(E1678="","",IF(E1678&lt;=3,6,IF(E1678&lt;=6,5,IF(E1678&lt;=9,4,IF(E1678&lt;=12,3,IF(E1678&lt;=15,2,0))))))</f>
        <v/>
      </c>
      <c r="G1678" s="5" t="n"/>
      <c r="H1678" s="4">
        <f>IF(OR(F1678="",G1678=""),"",F1678*G1678+IF(J1678="",0,J1678))</f>
        <v/>
      </c>
      <c r="I1678" s="5" t="n"/>
      <c r="J1678" s="5" t="n"/>
    </row>
    <row r="1679">
      <c r="A1679" s="5" t="n"/>
      <c r="B1679" s="5" t="n"/>
      <c r="C1679" s="5" t="n"/>
      <c r="D1679" s="5" t="n"/>
      <c r="E1679" s="4">
        <f>IF(C1679="","",COUNTIF($C$7:C1679,C1679))</f>
        <v/>
      </c>
      <c r="F1679" s="4">
        <f>IF(E1679="","",IF(E1679&lt;=3,6,IF(E1679&lt;=6,5,IF(E1679&lt;=9,4,IF(E1679&lt;=12,3,IF(E1679&lt;=15,2,0))))))</f>
        <v/>
      </c>
      <c r="G1679" s="5" t="n"/>
      <c r="H1679" s="4">
        <f>IF(OR(F1679="",G1679=""),"",F1679*G1679+IF(J1679="",0,J1679))</f>
        <v/>
      </c>
      <c r="I1679" s="5" t="n"/>
      <c r="J1679" s="5" t="n"/>
    </row>
    <row r="1680">
      <c r="A1680" s="5" t="n"/>
      <c r="B1680" s="5" t="n"/>
      <c r="C1680" s="5" t="n"/>
      <c r="D1680" s="5" t="n"/>
      <c r="E1680" s="4">
        <f>IF(C1680="","",COUNTIF($C$7:C1680,C1680))</f>
        <v/>
      </c>
      <c r="F1680" s="4">
        <f>IF(E1680="","",IF(E1680&lt;=3,6,IF(E1680&lt;=6,5,IF(E1680&lt;=9,4,IF(E1680&lt;=12,3,IF(E1680&lt;=15,2,0))))))</f>
        <v/>
      </c>
      <c r="G1680" s="5" t="n"/>
      <c r="H1680" s="4">
        <f>IF(OR(F1680="",G1680=""),"",F1680*G1680+IF(J1680="",0,J1680))</f>
        <v/>
      </c>
      <c r="I1680" s="5" t="n"/>
      <c r="J1680" s="5" t="n"/>
    </row>
    <row r="1681">
      <c r="A1681" s="5" t="n"/>
      <c r="B1681" s="5" t="n"/>
      <c r="C1681" s="5" t="n"/>
      <c r="D1681" s="5" t="n"/>
      <c r="E1681" s="4">
        <f>IF(C1681="","",COUNTIF($C$7:C1681,C1681))</f>
        <v/>
      </c>
      <c r="F1681" s="4">
        <f>IF(E1681="","",IF(E1681&lt;=3,6,IF(E1681&lt;=6,5,IF(E1681&lt;=9,4,IF(E1681&lt;=12,3,IF(E1681&lt;=15,2,0))))))</f>
        <v/>
      </c>
      <c r="G1681" s="5" t="n"/>
      <c r="H1681" s="4">
        <f>IF(OR(F1681="",G1681=""),"",F1681*G1681+IF(J1681="",0,J1681))</f>
        <v/>
      </c>
      <c r="I1681" s="5" t="n"/>
      <c r="J1681" s="5" t="n"/>
    </row>
    <row r="1682">
      <c r="A1682" s="5" t="n"/>
      <c r="B1682" s="5" t="n"/>
      <c r="C1682" s="5" t="n"/>
      <c r="D1682" s="5" t="n"/>
      <c r="E1682" s="4">
        <f>IF(C1682="","",COUNTIF($C$7:C1682,C1682))</f>
        <v/>
      </c>
      <c r="F1682" s="4">
        <f>IF(E1682="","",IF(E1682&lt;=3,6,IF(E1682&lt;=6,5,IF(E1682&lt;=9,4,IF(E1682&lt;=12,3,IF(E1682&lt;=15,2,0))))))</f>
        <v/>
      </c>
      <c r="G1682" s="5" t="n"/>
      <c r="H1682" s="4">
        <f>IF(OR(F1682="",G1682=""),"",F1682*G1682+IF(J1682="",0,J1682))</f>
        <v/>
      </c>
      <c r="I1682" s="5" t="n"/>
      <c r="J1682" s="5" t="n"/>
    </row>
    <row r="1683">
      <c r="A1683" s="5" t="n"/>
      <c r="B1683" s="5" t="n"/>
      <c r="C1683" s="5" t="n"/>
      <c r="D1683" s="5" t="n"/>
      <c r="E1683" s="4">
        <f>IF(C1683="","",COUNTIF($C$7:C1683,C1683))</f>
        <v/>
      </c>
      <c r="F1683" s="4">
        <f>IF(E1683="","",IF(E1683&lt;=3,6,IF(E1683&lt;=6,5,IF(E1683&lt;=9,4,IF(E1683&lt;=12,3,IF(E1683&lt;=15,2,0))))))</f>
        <v/>
      </c>
      <c r="G1683" s="5" t="n"/>
      <c r="H1683" s="4">
        <f>IF(OR(F1683="",G1683=""),"",F1683*G1683+IF(J1683="",0,J1683))</f>
        <v/>
      </c>
      <c r="I1683" s="5" t="n"/>
      <c r="J1683" s="5" t="n"/>
    </row>
    <row r="1684">
      <c r="A1684" s="5" t="n"/>
      <c r="B1684" s="5" t="n"/>
      <c r="C1684" s="5" t="n"/>
      <c r="D1684" s="5" t="n"/>
      <c r="E1684" s="4">
        <f>IF(C1684="","",COUNTIF($C$7:C1684,C1684))</f>
        <v/>
      </c>
      <c r="F1684" s="4">
        <f>IF(E1684="","",IF(E1684&lt;=3,6,IF(E1684&lt;=6,5,IF(E1684&lt;=9,4,IF(E1684&lt;=12,3,IF(E1684&lt;=15,2,0))))))</f>
        <v/>
      </c>
      <c r="G1684" s="5" t="n"/>
      <c r="H1684" s="4">
        <f>IF(OR(F1684="",G1684=""),"",F1684*G1684+IF(J1684="",0,J1684))</f>
        <v/>
      </c>
      <c r="I1684" s="5" t="n"/>
      <c r="J1684" s="5" t="n"/>
    </row>
    <row r="1685">
      <c r="A1685" s="5" t="n"/>
      <c r="B1685" s="5" t="n"/>
      <c r="C1685" s="5" t="n"/>
      <c r="D1685" s="5" t="n"/>
      <c r="E1685" s="4">
        <f>IF(C1685="","",COUNTIF($C$7:C1685,C1685))</f>
        <v/>
      </c>
      <c r="F1685" s="4">
        <f>IF(E1685="","",IF(E1685&lt;=3,6,IF(E1685&lt;=6,5,IF(E1685&lt;=9,4,IF(E1685&lt;=12,3,IF(E1685&lt;=15,2,0))))))</f>
        <v/>
      </c>
      <c r="G1685" s="5" t="n"/>
      <c r="H1685" s="4">
        <f>IF(OR(F1685="",G1685=""),"",F1685*G1685+IF(J1685="",0,J1685))</f>
        <v/>
      </c>
      <c r="I1685" s="5" t="n"/>
      <c r="J1685" s="5" t="n"/>
    </row>
    <row r="1686">
      <c r="A1686" s="5" t="n"/>
      <c r="B1686" s="5" t="n"/>
      <c r="C1686" s="5" t="n"/>
      <c r="D1686" s="5" t="n"/>
      <c r="E1686" s="4">
        <f>IF(C1686="","",COUNTIF($C$7:C1686,C1686))</f>
        <v/>
      </c>
      <c r="F1686" s="4">
        <f>IF(E1686="","",IF(E1686&lt;=3,6,IF(E1686&lt;=6,5,IF(E1686&lt;=9,4,IF(E1686&lt;=12,3,IF(E1686&lt;=15,2,0))))))</f>
        <v/>
      </c>
      <c r="G1686" s="5" t="n"/>
      <c r="H1686" s="4">
        <f>IF(OR(F1686="",G1686=""),"",F1686*G1686+IF(J1686="",0,J1686))</f>
        <v/>
      </c>
      <c r="I1686" s="5" t="n"/>
      <c r="J1686" s="5" t="n"/>
    </row>
    <row r="1687">
      <c r="A1687" s="5" t="n"/>
      <c r="B1687" s="5" t="n"/>
      <c r="C1687" s="5" t="n"/>
      <c r="D1687" s="5" t="n"/>
      <c r="E1687" s="4">
        <f>IF(C1687="","",COUNTIF($C$7:C1687,C1687))</f>
        <v/>
      </c>
      <c r="F1687" s="4">
        <f>IF(E1687="","",IF(E1687&lt;=3,6,IF(E1687&lt;=6,5,IF(E1687&lt;=9,4,IF(E1687&lt;=12,3,IF(E1687&lt;=15,2,0))))))</f>
        <v/>
      </c>
      <c r="G1687" s="5" t="n"/>
      <c r="H1687" s="4">
        <f>IF(OR(F1687="",G1687=""),"",F1687*G1687+IF(J1687="",0,J1687))</f>
        <v/>
      </c>
      <c r="I1687" s="5" t="n"/>
      <c r="J1687" s="5" t="n"/>
    </row>
    <row r="1688">
      <c r="A1688" s="5" t="n"/>
      <c r="B1688" s="5" t="n"/>
      <c r="C1688" s="5" t="n"/>
      <c r="D1688" s="5" t="n"/>
      <c r="E1688" s="4">
        <f>IF(C1688="","",COUNTIF($C$7:C1688,C1688))</f>
        <v/>
      </c>
      <c r="F1688" s="4">
        <f>IF(E1688="","",IF(E1688&lt;=3,6,IF(E1688&lt;=6,5,IF(E1688&lt;=9,4,IF(E1688&lt;=12,3,IF(E1688&lt;=15,2,0))))))</f>
        <v/>
      </c>
      <c r="G1688" s="5" t="n"/>
      <c r="H1688" s="4">
        <f>IF(OR(F1688="",G1688=""),"",F1688*G1688+IF(J1688="",0,J1688))</f>
        <v/>
      </c>
      <c r="I1688" s="5" t="n"/>
      <c r="J1688" s="5" t="n"/>
    </row>
    <row r="1689">
      <c r="A1689" s="5" t="n"/>
      <c r="B1689" s="5" t="n"/>
      <c r="C1689" s="5" t="n"/>
      <c r="D1689" s="5" t="n"/>
      <c r="E1689" s="4">
        <f>IF(C1689="","",COUNTIF($C$7:C1689,C1689))</f>
        <v/>
      </c>
      <c r="F1689" s="4">
        <f>IF(E1689="","",IF(E1689&lt;=3,6,IF(E1689&lt;=6,5,IF(E1689&lt;=9,4,IF(E1689&lt;=12,3,IF(E1689&lt;=15,2,0))))))</f>
        <v/>
      </c>
      <c r="G1689" s="5" t="n"/>
      <c r="H1689" s="4">
        <f>IF(OR(F1689="",G1689=""),"",F1689*G1689+IF(J1689="",0,J1689))</f>
        <v/>
      </c>
      <c r="I1689" s="5" t="n"/>
      <c r="J1689" s="5" t="n"/>
    </row>
    <row r="1690">
      <c r="A1690" s="5" t="n"/>
      <c r="B1690" s="5" t="n"/>
      <c r="C1690" s="5" t="n"/>
      <c r="D1690" s="5" t="n"/>
      <c r="E1690" s="4">
        <f>IF(C1690="","",COUNTIF($C$7:C1690,C1690))</f>
        <v/>
      </c>
      <c r="F1690" s="4">
        <f>IF(E1690="","",IF(E1690&lt;=3,6,IF(E1690&lt;=6,5,IF(E1690&lt;=9,4,IF(E1690&lt;=12,3,IF(E1690&lt;=15,2,0))))))</f>
        <v/>
      </c>
      <c r="G1690" s="5" t="n"/>
      <c r="H1690" s="4">
        <f>IF(OR(F1690="",G1690=""),"",F1690*G1690+IF(J1690="",0,J1690))</f>
        <v/>
      </c>
      <c r="I1690" s="5" t="n"/>
      <c r="J1690" s="5" t="n"/>
    </row>
    <row r="1691">
      <c r="A1691" s="5" t="n"/>
      <c r="B1691" s="5" t="n"/>
      <c r="C1691" s="5" t="n"/>
      <c r="D1691" s="5" t="n"/>
      <c r="E1691" s="4">
        <f>IF(C1691="","",COUNTIF($C$7:C1691,C1691))</f>
        <v/>
      </c>
      <c r="F1691" s="4">
        <f>IF(E1691="","",IF(E1691&lt;=3,6,IF(E1691&lt;=6,5,IF(E1691&lt;=9,4,IF(E1691&lt;=12,3,IF(E1691&lt;=15,2,0))))))</f>
        <v/>
      </c>
      <c r="G1691" s="5" t="n"/>
      <c r="H1691" s="4">
        <f>IF(OR(F1691="",G1691=""),"",F1691*G1691+IF(J1691="",0,J1691))</f>
        <v/>
      </c>
      <c r="I1691" s="5" t="n"/>
      <c r="J1691" s="5" t="n"/>
    </row>
    <row r="1692">
      <c r="A1692" s="5" t="n"/>
      <c r="B1692" s="5" t="n"/>
      <c r="C1692" s="5" t="n"/>
      <c r="D1692" s="5" t="n"/>
      <c r="E1692" s="4">
        <f>IF(C1692="","",COUNTIF($C$7:C1692,C1692))</f>
        <v/>
      </c>
      <c r="F1692" s="4">
        <f>IF(E1692="","",IF(E1692&lt;=3,6,IF(E1692&lt;=6,5,IF(E1692&lt;=9,4,IF(E1692&lt;=12,3,IF(E1692&lt;=15,2,0))))))</f>
        <v/>
      </c>
      <c r="G1692" s="5" t="n"/>
      <c r="H1692" s="4">
        <f>IF(OR(F1692="",G1692=""),"",F1692*G1692+IF(J1692="",0,J1692))</f>
        <v/>
      </c>
      <c r="I1692" s="5" t="n"/>
      <c r="J1692" s="5" t="n"/>
    </row>
    <row r="1693">
      <c r="A1693" s="5" t="n"/>
      <c r="B1693" s="5" t="n"/>
      <c r="C1693" s="5" t="n"/>
      <c r="D1693" s="5" t="n"/>
      <c r="E1693" s="4">
        <f>IF(C1693="","",COUNTIF($C$7:C1693,C1693))</f>
        <v/>
      </c>
      <c r="F1693" s="4">
        <f>IF(E1693="","",IF(E1693&lt;=3,6,IF(E1693&lt;=6,5,IF(E1693&lt;=9,4,IF(E1693&lt;=12,3,IF(E1693&lt;=15,2,0))))))</f>
        <v/>
      </c>
      <c r="G1693" s="5" t="n"/>
      <c r="H1693" s="4">
        <f>IF(OR(F1693="",G1693=""),"",F1693*G1693+IF(J1693="",0,J1693))</f>
        <v/>
      </c>
      <c r="I1693" s="5" t="n"/>
      <c r="J1693" s="5" t="n"/>
    </row>
    <row r="1694">
      <c r="A1694" s="5" t="n"/>
      <c r="B1694" s="5" t="n"/>
      <c r="C1694" s="5" t="n"/>
      <c r="D1694" s="5" t="n"/>
      <c r="E1694" s="4">
        <f>IF(C1694="","",COUNTIF($C$7:C1694,C1694))</f>
        <v/>
      </c>
      <c r="F1694" s="4">
        <f>IF(E1694="","",IF(E1694&lt;=3,6,IF(E1694&lt;=6,5,IF(E1694&lt;=9,4,IF(E1694&lt;=12,3,IF(E1694&lt;=15,2,0))))))</f>
        <v/>
      </c>
      <c r="G1694" s="5" t="n"/>
      <c r="H1694" s="4">
        <f>IF(OR(F1694="",G1694=""),"",F1694*G1694+IF(J1694="",0,J1694))</f>
        <v/>
      </c>
      <c r="I1694" s="5" t="n"/>
      <c r="J1694" s="5" t="n"/>
    </row>
    <row r="1695">
      <c r="A1695" s="5" t="n"/>
      <c r="B1695" s="5" t="n"/>
      <c r="C1695" s="5" t="n"/>
      <c r="D1695" s="5" t="n"/>
      <c r="E1695" s="4">
        <f>IF(C1695="","",COUNTIF($C$7:C1695,C1695))</f>
        <v/>
      </c>
      <c r="F1695" s="4">
        <f>IF(E1695="","",IF(E1695&lt;=3,6,IF(E1695&lt;=6,5,IF(E1695&lt;=9,4,IF(E1695&lt;=12,3,IF(E1695&lt;=15,2,0))))))</f>
        <v/>
      </c>
      <c r="G1695" s="5" t="n"/>
      <c r="H1695" s="4">
        <f>IF(OR(F1695="",G1695=""),"",F1695*G1695+IF(J1695="",0,J1695))</f>
        <v/>
      </c>
      <c r="I1695" s="5" t="n"/>
      <c r="J1695" s="5" t="n"/>
    </row>
    <row r="1696">
      <c r="A1696" s="5" t="n"/>
      <c r="B1696" s="5" t="n"/>
      <c r="C1696" s="5" t="n"/>
      <c r="D1696" s="5" t="n"/>
      <c r="E1696" s="4">
        <f>IF(C1696="","",COUNTIF($C$7:C1696,C1696))</f>
        <v/>
      </c>
      <c r="F1696" s="4">
        <f>IF(E1696="","",IF(E1696&lt;=3,6,IF(E1696&lt;=6,5,IF(E1696&lt;=9,4,IF(E1696&lt;=12,3,IF(E1696&lt;=15,2,0))))))</f>
        <v/>
      </c>
      <c r="G1696" s="5" t="n"/>
      <c r="H1696" s="4">
        <f>IF(OR(F1696="",G1696=""),"",F1696*G1696+IF(J1696="",0,J1696))</f>
        <v/>
      </c>
      <c r="I1696" s="5" t="n"/>
      <c r="J1696" s="5" t="n"/>
    </row>
    <row r="1697">
      <c r="A1697" s="5" t="n"/>
      <c r="B1697" s="5" t="n"/>
      <c r="C1697" s="5" t="n"/>
      <c r="D1697" s="5" t="n"/>
      <c r="E1697" s="4">
        <f>IF(C1697="","",COUNTIF($C$7:C1697,C1697))</f>
        <v/>
      </c>
      <c r="F1697" s="4">
        <f>IF(E1697="","",IF(E1697&lt;=3,6,IF(E1697&lt;=6,5,IF(E1697&lt;=9,4,IF(E1697&lt;=12,3,IF(E1697&lt;=15,2,0))))))</f>
        <v/>
      </c>
      <c r="G1697" s="5" t="n"/>
      <c r="H1697" s="4">
        <f>IF(OR(F1697="",G1697=""),"",F1697*G1697+IF(J1697="",0,J1697))</f>
        <v/>
      </c>
      <c r="I1697" s="5" t="n"/>
      <c r="J1697" s="5" t="n"/>
    </row>
    <row r="1698">
      <c r="A1698" s="5" t="n"/>
      <c r="B1698" s="5" t="n"/>
      <c r="C1698" s="5" t="n"/>
      <c r="D1698" s="5" t="n"/>
      <c r="E1698" s="4">
        <f>IF(C1698="","",COUNTIF($C$7:C1698,C1698))</f>
        <v/>
      </c>
      <c r="F1698" s="4">
        <f>IF(E1698="","",IF(E1698&lt;=3,6,IF(E1698&lt;=6,5,IF(E1698&lt;=9,4,IF(E1698&lt;=12,3,IF(E1698&lt;=15,2,0))))))</f>
        <v/>
      </c>
      <c r="G1698" s="5" t="n"/>
      <c r="H1698" s="4">
        <f>IF(OR(F1698="",G1698=""),"",F1698*G1698+IF(J1698="",0,J1698))</f>
        <v/>
      </c>
      <c r="I1698" s="5" t="n"/>
      <c r="J1698" s="5" t="n"/>
    </row>
    <row r="1699">
      <c r="A1699" s="5" t="n"/>
      <c r="B1699" s="5" t="n"/>
      <c r="C1699" s="5" t="n"/>
      <c r="D1699" s="5" t="n"/>
      <c r="E1699" s="4">
        <f>IF(C1699="","",COUNTIF($C$7:C1699,C1699))</f>
        <v/>
      </c>
      <c r="F1699" s="4">
        <f>IF(E1699="","",IF(E1699&lt;=3,6,IF(E1699&lt;=6,5,IF(E1699&lt;=9,4,IF(E1699&lt;=12,3,IF(E1699&lt;=15,2,0))))))</f>
        <v/>
      </c>
      <c r="G1699" s="5" t="n"/>
      <c r="H1699" s="4">
        <f>IF(OR(F1699="",G1699=""),"",F1699*G1699+IF(J1699="",0,J1699))</f>
        <v/>
      </c>
      <c r="I1699" s="5" t="n"/>
      <c r="J1699" s="5" t="n"/>
    </row>
    <row r="1700">
      <c r="A1700" s="5" t="n"/>
      <c r="B1700" s="5" t="n"/>
      <c r="C1700" s="5" t="n"/>
      <c r="D1700" s="5" t="n"/>
      <c r="E1700" s="4">
        <f>IF(C1700="","",COUNTIF($C$7:C1700,C1700))</f>
        <v/>
      </c>
      <c r="F1700" s="4">
        <f>IF(E1700="","",IF(E1700&lt;=3,6,IF(E1700&lt;=6,5,IF(E1700&lt;=9,4,IF(E1700&lt;=12,3,IF(E1700&lt;=15,2,0))))))</f>
        <v/>
      </c>
      <c r="G1700" s="5" t="n"/>
      <c r="H1700" s="4">
        <f>IF(OR(F1700="",G1700=""),"",F1700*G1700+IF(J1700="",0,J1700))</f>
        <v/>
      </c>
      <c r="I1700" s="5" t="n"/>
      <c r="J1700" s="5" t="n"/>
    </row>
    <row r="1701">
      <c r="A1701" s="5" t="n"/>
      <c r="B1701" s="5" t="n"/>
      <c r="C1701" s="5" t="n"/>
      <c r="D1701" s="5" t="n"/>
      <c r="E1701" s="4">
        <f>IF(C1701="","",COUNTIF($C$7:C1701,C1701))</f>
        <v/>
      </c>
      <c r="F1701" s="4">
        <f>IF(E1701="","",IF(E1701&lt;=3,6,IF(E1701&lt;=6,5,IF(E1701&lt;=9,4,IF(E1701&lt;=12,3,IF(E1701&lt;=15,2,0))))))</f>
        <v/>
      </c>
      <c r="G1701" s="5" t="n"/>
      <c r="H1701" s="4">
        <f>IF(OR(F1701="",G1701=""),"",F1701*G1701+IF(J1701="",0,J1701))</f>
        <v/>
      </c>
      <c r="I1701" s="5" t="n"/>
      <c r="J1701" s="5" t="n"/>
    </row>
    <row r="1702">
      <c r="A1702" s="5" t="n"/>
      <c r="B1702" s="5" t="n"/>
      <c r="C1702" s="5" t="n"/>
      <c r="D1702" s="5" t="n"/>
      <c r="E1702" s="4">
        <f>IF(C1702="","",COUNTIF($C$7:C1702,C1702))</f>
        <v/>
      </c>
      <c r="F1702" s="4">
        <f>IF(E1702="","",IF(E1702&lt;=3,6,IF(E1702&lt;=6,5,IF(E1702&lt;=9,4,IF(E1702&lt;=12,3,IF(E1702&lt;=15,2,0))))))</f>
        <v/>
      </c>
      <c r="G1702" s="5" t="n"/>
      <c r="H1702" s="4">
        <f>IF(OR(F1702="",G1702=""),"",F1702*G1702+IF(J1702="",0,J1702))</f>
        <v/>
      </c>
      <c r="I1702" s="5" t="n"/>
      <c r="J1702" s="5" t="n"/>
    </row>
    <row r="1703">
      <c r="A1703" s="5" t="n"/>
      <c r="B1703" s="5" t="n"/>
      <c r="C1703" s="5" t="n"/>
      <c r="D1703" s="5" t="n"/>
      <c r="E1703" s="4">
        <f>IF(C1703="","",COUNTIF($C$7:C1703,C1703))</f>
        <v/>
      </c>
      <c r="F1703" s="4">
        <f>IF(E1703="","",IF(E1703&lt;=3,6,IF(E1703&lt;=6,5,IF(E1703&lt;=9,4,IF(E1703&lt;=12,3,IF(E1703&lt;=15,2,0))))))</f>
        <v/>
      </c>
      <c r="G1703" s="5" t="n"/>
      <c r="H1703" s="4">
        <f>IF(OR(F1703="",G1703=""),"",F1703*G1703+IF(J1703="",0,J1703))</f>
        <v/>
      </c>
      <c r="I1703" s="5" t="n"/>
      <c r="J1703" s="5" t="n"/>
    </row>
    <row r="1704">
      <c r="A1704" s="5" t="n"/>
      <c r="B1704" s="5" t="n"/>
      <c r="C1704" s="5" t="n"/>
      <c r="D1704" s="5" t="n"/>
      <c r="E1704" s="4">
        <f>IF(C1704="","",COUNTIF($C$7:C1704,C1704))</f>
        <v/>
      </c>
      <c r="F1704" s="4">
        <f>IF(E1704="","",IF(E1704&lt;=3,6,IF(E1704&lt;=6,5,IF(E1704&lt;=9,4,IF(E1704&lt;=12,3,IF(E1704&lt;=15,2,0))))))</f>
        <v/>
      </c>
      <c r="G1704" s="5" t="n"/>
      <c r="H1704" s="4">
        <f>IF(OR(F1704="",G1704=""),"",F1704*G1704+IF(J1704="",0,J1704))</f>
        <v/>
      </c>
      <c r="I1704" s="5" t="n"/>
      <c r="J1704" s="5" t="n"/>
    </row>
    <row r="1705">
      <c r="A1705" s="5" t="n"/>
      <c r="B1705" s="5" t="n"/>
      <c r="C1705" s="5" t="n"/>
      <c r="D1705" s="5" t="n"/>
      <c r="E1705" s="4">
        <f>IF(C1705="","",COUNTIF($C$7:C1705,C1705))</f>
        <v/>
      </c>
      <c r="F1705" s="4">
        <f>IF(E1705="","",IF(E1705&lt;=3,6,IF(E1705&lt;=6,5,IF(E1705&lt;=9,4,IF(E1705&lt;=12,3,IF(E1705&lt;=15,2,0))))))</f>
        <v/>
      </c>
      <c r="G1705" s="5" t="n"/>
      <c r="H1705" s="4">
        <f>IF(OR(F1705="",G1705=""),"",F1705*G1705+IF(J1705="",0,J1705))</f>
        <v/>
      </c>
      <c r="I1705" s="5" t="n"/>
      <c r="J1705" s="5" t="n"/>
    </row>
    <row r="1706">
      <c r="A1706" s="5" t="n"/>
      <c r="B1706" s="5" t="n"/>
      <c r="C1706" s="5" t="n"/>
      <c r="D1706" s="5" t="n"/>
      <c r="E1706" s="4">
        <f>IF(C1706="","",COUNTIF($C$7:C1706,C1706))</f>
        <v/>
      </c>
      <c r="F1706" s="4">
        <f>IF(E1706="","",IF(E1706&lt;=3,6,IF(E1706&lt;=6,5,IF(E1706&lt;=9,4,IF(E1706&lt;=12,3,IF(E1706&lt;=15,2,0))))))</f>
        <v/>
      </c>
      <c r="G1706" s="5" t="n"/>
      <c r="H1706" s="4">
        <f>IF(OR(F1706="",G1706=""),"",F1706*G1706+IF(J1706="",0,J1706))</f>
        <v/>
      </c>
      <c r="I1706" s="5" t="n"/>
      <c r="J1706" s="5" t="n"/>
    </row>
    <row r="1707">
      <c r="A1707" s="5" t="n"/>
      <c r="B1707" s="5" t="n"/>
      <c r="C1707" s="5" t="n"/>
      <c r="D1707" s="5" t="n"/>
      <c r="E1707" s="4">
        <f>IF(C1707="","",COUNTIF($C$7:C1707,C1707))</f>
        <v/>
      </c>
      <c r="F1707" s="4">
        <f>IF(E1707="","",IF(E1707&lt;=3,6,IF(E1707&lt;=6,5,IF(E1707&lt;=9,4,IF(E1707&lt;=12,3,IF(E1707&lt;=15,2,0))))))</f>
        <v/>
      </c>
      <c r="G1707" s="5" t="n"/>
      <c r="H1707" s="4">
        <f>IF(OR(F1707="",G1707=""),"",F1707*G1707+IF(J1707="",0,J1707))</f>
        <v/>
      </c>
      <c r="I1707" s="5" t="n"/>
      <c r="J1707" s="5" t="n"/>
    </row>
    <row r="1708">
      <c r="A1708" s="5" t="n"/>
      <c r="B1708" s="5" t="n"/>
      <c r="C1708" s="5" t="n"/>
      <c r="D1708" s="5" t="n"/>
      <c r="E1708" s="4">
        <f>IF(C1708="","",COUNTIF($C$7:C1708,C1708))</f>
        <v/>
      </c>
      <c r="F1708" s="4">
        <f>IF(E1708="","",IF(E1708&lt;=3,6,IF(E1708&lt;=6,5,IF(E1708&lt;=9,4,IF(E1708&lt;=12,3,IF(E1708&lt;=15,2,0))))))</f>
        <v/>
      </c>
      <c r="G1708" s="5" t="n"/>
      <c r="H1708" s="4">
        <f>IF(OR(F1708="",G1708=""),"",F1708*G1708+IF(J1708="",0,J1708))</f>
        <v/>
      </c>
      <c r="I1708" s="5" t="n"/>
      <c r="J1708" s="5" t="n"/>
    </row>
    <row r="1709">
      <c r="A1709" s="5" t="n"/>
      <c r="B1709" s="5" t="n"/>
      <c r="C1709" s="5" t="n"/>
      <c r="D1709" s="5" t="n"/>
      <c r="E1709" s="4">
        <f>IF(C1709="","",COUNTIF($C$7:C1709,C1709))</f>
        <v/>
      </c>
      <c r="F1709" s="4">
        <f>IF(E1709="","",IF(E1709&lt;=3,6,IF(E1709&lt;=6,5,IF(E1709&lt;=9,4,IF(E1709&lt;=12,3,IF(E1709&lt;=15,2,0))))))</f>
        <v/>
      </c>
      <c r="G1709" s="5" t="n"/>
      <c r="H1709" s="4">
        <f>IF(OR(F1709="",G1709=""),"",F1709*G1709+IF(J1709="",0,J1709))</f>
        <v/>
      </c>
      <c r="I1709" s="5" t="n"/>
      <c r="J1709" s="5" t="n"/>
    </row>
    <row r="1710">
      <c r="A1710" s="5" t="n"/>
      <c r="B1710" s="5" t="n"/>
      <c r="C1710" s="5" t="n"/>
      <c r="D1710" s="5" t="n"/>
      <c r="E1710" s="4">
        <f>IF(C1710="","",COUNTIF($C$7:C1710,C1710))</f>
        <v/>
      </c>
      <c r="F1710" s="4">
        <f>IF(E1710="","",IF(E1710&lt;=3,6,IF(E1710&lt;=6,5,IF(E1710&lt;=9,4,IF(E1710&lt;=12,3,IF(E1710&lt;=15,2,0))))))</f>
        <v/>
      </c>
      <c r="G1710" s="5" t="n"/>
      <c r="H1710" s="4">
        <f>IF(OR(F1710="",G1710=""),"",F1710*G1710+IF(J1710="",0,J1710))</f>
        <v/>
      </c>
      <c r="I1710" s="5" t="n"/>
      <c r="J1710" s="5" t="n"/>
    </row>
    <row r="1711">
      <c r="A1711" s="5" t="n"/>
      <c r="B1711" s="5" t="n"/>
      <c r="C1711" s="5" t="n"/>
      <c r="D1711" s="5" t="n"/>
      <c r="E1711" s="4">
        <f>IF(C1711="","",COUNTIF($C$7:C1711,C1711))</f>
        <v/>
      </c>
      <c r="F1711" s="4">
        <f>IF(E1711="","",IF(E1711&lt;=3,6,IF(E1711&lt;=6,5,IF(E1711&lt;=9,4,IF(E1711&lt;=12,3,IF(E1711&lt;=15,2,0))))))</f>
        <v/>
      </c>
      <c r="G1711" s="5" t="n"/>
      <c r="H1711" s="4">
        <f>IF(OR(F1711="",G1711=""),"",F1711*G1711+IF(J1711="",0,J1711))</f>
        <v/>
      </c>
      <c r="I1711" s="5" t="n"/>
      <c r="J1711" s="5" t="n"/>
    </row>
    <row r="1712">
      <c r="A1712" s="5" t="n"/>
      <c r="B1712" s="5" t="n"/>
      <c r="C1712" s="5" t="n"/>
      <c r="D1712" s="5" t="n"/>
      <c r="E1712" s="4">
        <f>IF(C1712="","",COUNTIF($C$7:C1712,C1712))</f>
        <v/>
      </c>
      <c r="F1712" s="4">
        <f>IF(E1712="","",IF(E1712&lt;=3,6,IF(E1712&lt;=6,5,IF(E1712&lt;=9,4,IF(E1712&lt;=12,3,IF(E1712&lt;=15,2,0))))))</f>
        <v/>
      </c>
      <c r="G1712" s="5" t="n"/>
      <c r="H1712" s="4">
        <f>IF(OR(F1712="",G1712=""),"",F1712*G1712+IF(J1712="",0,J1712))</f>
        <v/>
      </c>
      <c r="I1712" s="5" t="n"/>
      <c r="J1712" s="5" t="n"/>
    </row>
    <row r="1713">
      <c r="A1713" s="5" t="n"/>
      <c r="B1713" s="5" t="n"/>
      <c r="C1713" s="5" t="n"/>
      <c r="D1713" s="5" t="n"/>
      <c r="E1713" s="4">
        <f>IF(C1713="","",COUNTIF($C$7:C1713,C1713))</f>
        <v/>
      </c>
      <c r="F1713" s="4">
        <f>IF(E1713="","",IF(E1713&lt;=3,6,IF(E1713&lt;=6,5,IF(E1713&lt;=9,4,IF(E1713&lt;=12,3,IF(E1713&lt;=15,2,0))))))</f>
        <v/>
      </c>
      <c r="G1713" s="5" t="n"/>
      <c r="H1713" s="4">
        <f>IF(OR(F1713="",G1713=""),"",F1713*G1713+IF(J1713="",0,J1713))</f>
        <v/>
      </c>
      <c r="I1713" s="5" t="n"/>
      <c r="J1713" s="5" t="n"/>
    </row>
    <row r="1714">
      <c r="A1714" s="5" t="n"/>
      <c r="B1714" s="5" t="n"/>
      <c r="C1714" s="5" t="n"/>
      <c r="D1714" s="5" t="n"/>
      <c r="E1714" s="4">
        <f>IF(C1714="","",COUNTIF($C$7:C1714,C1714))</f>
        <v/>
      </c>
      <c r="F1714" s="4">
        <f>IF(E1714="","",IF(E1714&lt;=3,6,IF(E1714&lt;=6,5,IF(E1714&lt;=9,4,IF(E1714&lt;=12,3,IF(E1714&lt;=15,2,0))))))</f>
        <v/>
      </c>
      <c r="G1714" s="5" t="n"/>
      <c r="H1714" s="4">
        <f>IF(OR(F1714="",G1714=""),"",F1714*G1714+IF(J1714="",0,J1714))</f>
        <v/>
      </c>
      <c r="I1714" s="5" t="n"/>
      <c r="J1714" s="5" t="n"/>
    </row>
    <row r="1715">
      <c r="A1715" s="5" t="n"/>
      <c r="B1715" s="5" t="n"/>
      <c r="C1715" s="5" t="n"/>
      <c r="D1715" s="5" t="n"/>
      <c r="E1715" s="4">
        <f>IF(C1715="","",COUNTIF($C$7:C1715,C1715))</f>
        <v/>
      </c>
      <c r="F1715" s="4">
        <f>IF(E1715="","",IF(E1715&lt;=3,6,IF(E1715&lt;=6,5,IF(E1715&lt;=9,4,IF(E1715&lt;=12,3,IF(E1715&lt;=15,2,0))))))</f>
        <v/>
      </c>
      <c r="G1715" s="5" t="n"/>
      <c r="H1715" s="4">
        <f>IF(OR(F1715="",G1715=""),"",F1715*G1715+IF(J1715="",0,J1715))</f>
        <v/>
      </c>
      <c r="I1715" s="5" t="n"/>
      <c r="J1715" s="5" t="n"/>
    </row>
    <row r="1716">
      <c r="A1716" s="5" t="n"/>
      <c r="B1716" s="5" t="n"/>
      <c r="C1716" s="5" t="n"/>
      <c r="D1716" s="5" t="n"/>
      <c r="E1716" s="4">
        <f>IF(C1716="","",COUNTIF($C$7:C1716,C1716))</f>
        <v/>
      </c>
      <c r="F1716" s="4">
        <f>IF(E1716="","",IF(E1716&lt;=3,6,IF(E1716&lt;=6,5,IF(E1716&lt;=9,4,IF(E1716&lt;=12,3,IF(E1716&lt;=15,2,0))))))</f>
        <v/>
      </c>
      <c r="G1716" s="5" t="n"/>
      <c r="H1716" s="4">
        <f>IF(OR(F1716="",G1716=""),"",F1716*G1716+IF(J1716="",0,J1716))</f>
        <v/>
      </c>
      <c r="I1716" s="5" t="n"/>
      <c r="J1716" s="5" t="n"/>
    </row>
    <row r="1717">
      <c r="A1717" s="5" t="n"/>
      <c r="B1717" s="5" t="n"/>
      <c r="C1717" s="5" t="n"/>
      <c r="D1717" s="5" t="n"/>
      <c r="E1717" s="4">
        <f>IF(C1717="","",COUNTIF($C$7:C1717,C1717))</f>
        <v/>
      </c>
      <c r="F1717" s="4">
        <f>IF(E1717="","",IF(E1717&lt;=3,6,IF(E1717&lt;=6,5,IF(E1717&lt;=9,4,IF(E1717&lt;=12,3,IF(E1717&lt;=15,2,0))))))</f>
        <v/>
      </c>
      <c r="G1717" s="5" t="n"/>
      <c r="H1717" s="4">
        <f>IF(OR(F1717="",G1717=""),"",F1717*G1717+IF(J1717="",0,J1717))</f>
        <v/>
      </c>
      <c r="I1717" s="5" t="n"/>
      <c r="J1717" s="5" t="n"/>
    </row>
    <row r="1718">
      <c r="A1718" s="5" t="n"/>
      <c r="B1718" s="5" t="n"/>
      <c r="C1718" s="5" t="n"/>
      <c r="D1718" s="5" t="n"/>
      <c r="E1718" s="4">
        <f>IF(C1718="","",COUNTIF($C$7:C1718,C1718))</f>
        <v/>
      </c>
      <c r="F1718" s="4">
        <f>IF(E1718="","",IF(E1718&lt;=3,6,IF(E1718&lt;=6,5,IF(E1718&lt;=9,4,IF(E1718&lt;=12,3,IF(E1718&lt;=15,2,0))))))</f>
        <v/>
      </c>
      <c r="G1718" s="5" t="n"/>
      <c r="H1718" s="4">
        <f>IF(OR(F1718="",G1718=""),"",F1718*G1718+IF(J1718="",0,J1718))</f>
        <v/>
      </c>
      <c r="I1718" s="5" t="n"/>
      <c r="J1718" s="5" t="n"/>
    </row>
    <row r="1719">
      <c r="A1719" s="5" t="n"/>
      <c r="B1719" s="5" t="n"/>
      <c r="C1719" s="5" t="n"/>
      <c r="D1719" s="5" t="n"/>
      <c r="E1719" s="4">
        <f>IF(C1719="","",COUNTIF($C$7:C1719,C1719))</f>
        <v/>
      </c>
      <c r="F1719" s="4">
        <f>IF(E1719="","",IF(E1719&lt;=3,6,IF(E1719&lt;=6,5,IF(E1719&lt;=9,4,IF(E1719&lt;=12,3,IF(E1719&lt;=15,2,0))))))</f>
        <v/>
      </c>
      <c r="G1719" s="5" t="n"/>
      <c r="H1719" s="4">
        <f>IF(OR(F1719="",G1719=""),"",F1719*G1719+IF(J1719="",0,J1719))</f>
        <v/>
      </c>
      <c r="I1719" s="5" t="n"/>
      <c r="J1719" s="5" t="n"/>
    </row>
    <row r="1720">
      <c r="A1720" s="5" t="n"/>
      <c r="B1720" s="5" t="n"/>
      <c r="C1720" s="5" t="n"/>
      <c r="D1720" s="5" t="n"/>
      <c r="E1720" s="4">
        <f>IF(C1720="","",COUNTIF($C$7:C1720,C1720))</f>
        <v/>
      </c>
      <c r="F1720" s="4">
        <f>IF(E1720="","",IF(E1720&lt;=3,6,IF(E1720&lt;=6,5,IF(E1720&lt;=9,4,IF(E1720&lt;=12,3,IF(E1720&lt;=15,2,0))))))</f>
        <v/>
      </c>
      <c r="G1720" s="5" t="n"/>
      <c r="H1720" s="4">
        <f>IF(OR(F1720="",G1720=""),"",F1720*G1720+IF(J1720="",0,J1720))</f>
        <v/>
      </c>
      <c r="I1720" s="5" t="n"/>
      <c r="J1720" s="5" t="n"/>
    </row>
    <row r="1721">
      <c r="A1721" s="5" t="n"/>
      <c r="B1721" s="5" t="n"/>
      <c r="C1721" s="5" t="n"/>
      <c r="D1721" s="5" t="n"/>
      <c r="E1721" s="4">
        <f>IF(C1721="","",COUNTIF($C$7:C1721,C1721))</f>
        <v/>
      </c>
      <c r="F1721" s="4">
        <f>IF(E1721="","",IF(E1721&lt;=3,6,IF(E1721&lt;=6,5,IF(E1721&lt;=9,4,IF(E1721&lt;=12,3,IF(E1721&lt;=15,2,0))))))</f>
        <v/>
      </c>
      <c r="G1721" s="5" t="n"/>
      <c r="H1721" s="4">
        <f>IF(OR(F1721="",G1721=""),"",F1721*G1721+IF(J1721="",0,J1721))</f>
        <v/>
      </c>
      <c r="I1721" s="5" t="n"/>
      <c r="J1721" s="5" t="n"/>
    </row>
    <row r="1722">
      <c r="A1722" s="5" t="n"/>
      <c r="B1722" s="5" t="n"/>
      <c r="C1722" s="5" t="n"/>
      <c r="D1722" s="5" t="n"/>
      <c r="E1722" s="4">
        <f>IF(C1722="","",COUNTIF($C$7:C1722,C1722))</f>
        <v/>
      </c>
      <c r="F1722" s="4">
        <f>IF(E1722="","",IF(E1722&lt;=3,6,IF(E1722&lt;=6,5,IF(E1722&lt;=9,4,IF(E1722&lt;=12,3,IF(E1722&lt;=15,2,0))))))</f>
        <v/>
      </c>
      <c r="G1722" s="5" t="n"/>
      <c r="H1722" s="4">
        <f>IF(OR(F1722="",G1722=""),"",F1722*G1722+IF(J1722="",0,J1722))</f>
        <v/>
      </c>
      <c r="I1722" s="5" t="n"/>
      <c r="J1722" s="5" t="n"/>
    </row>
    <row r="1723">
      <c r="A1723" s="5" t="n"/>
      <c r="B1723" s="5" t="n"/>
      <c r="C1723" s="5" t="n"/>
      <c r="D1723" s="5" t="n"/>
      <c r="E1723" s="4">
        <f>IF(C1723="","",COUNTIF($C$7:C1723,C1723))</f>
        <v/>
      </c>
      <c r="F1723" s="4">
        <f>IF(E1723="","",IF(E1723&lt;=3,6,IF(E1723&lt;=6,5,IF(E1723&lt;=9,4,IF(E1723&lt;=12,3,IF(E1723&lt;=15,2,0))))))</f>
        <v/>
      </c>
      <c r="G1723" s="5" t="n"/>
      <c r="H1723" s="4">
        <f>IF(OR(F1723="",G1723=""),"",F1723*G1723+IF(J1723="",0,J1723))</f>
        <v/>
      </c>
      <c r="I1723" s="5" t="n"/>
      <c r="J1723" s="5" t="n"/>
    </row>
    <row r="1724">
      <c r="A1724" s="5" t="n"/>
      <c r="B1724" s="5" t="n"/>
      <c r="C1724" s="5" t="n"/>
      <c r="D1724" s="5" t="n"/>
      <c r="E1724" s="4">
        <f>IF(C1724="","",COUNTIF($C$7:C1724,C1724))</f>
        <v/>
      </c>
      <c r="F1724" s="4">
        <f>IF(E1724="","",IF(E1724&lt;=3,6,IF(E1724&lt;=6,5,IF(E1724&lt;=9,4,IF(E1724&lt;=12,3,IF(E1724&lt;=15,2,0))))))</f>
        <v/>
      </c>
      <c r="G1724" s="5" t="n"/>
      <c r="H1724" s="4">
        <f>IF(OR(F1724="",G1724=""),"",F1724*G1724+IF(J1724="",0,J1724))</f>
        <v/>
      </c>
      <c r="I1724" s="5" t="n"/>
      <c r="J1724" s="5" t="n"/>
    </row>
    <row r="1725">
      <c r="A1725" s="5" t="n"/>
      <c r="B1725" s="5" t="n"/>
      <c r="C1725" s="5" t="n"/>
      <c r="D1725" s="5" t="n"/>
      <c r="E1725" s="4">
        <f>IF(C1725="","",COUNTIF($C$7:C1725,C1725))</f>
        <v/>
      </c>
      <c r="F1725" s="4">
        <f>IF(E1725="","",IF(E1725&lt;=3,6,IF(E1725&lt;=6,5,IF(E1725&lt;=9,4,IF(E1725&lt;=12,3,IF(E1725&lt;=15,2,0))))))</f>
        <v/>
      </c>
      <c r="G1725" s="5" t="n"/>
      <c r="H1725" s="4">
        <f>IF(OR(F1725="",G1725=""),"",F1725*G1725+IF(J1725="",0,J1725))</f>
        <v/>
      </c>
      <c r="I1725" s="5" t="n"/>
      <c r="J1725" s="5" t="n"/>
    </row>
    <row r="1726">
      <c r="A1726" s="5" t="n"/>
      <c r="B1726" s="5" t="n"/>
      <c r="C1726" s="5" t="n"/>
      <c r="D1726" s="5" t="n"/>
      <c r="E1726" s="4">
        <f>IF(C1726="","",COUNTIF($C$7:C1726,C1726))</f>
        <v/>
      </c>
      <c r="F1726" s="4">
        <f>IF(E1726="","",IF(E1726&lt;=3,6,IF(E1726&lt;=6,5,IF(E1726&lt;=9,4,IF(E1726&lt;=12,3,IF(E1726&lt;=15,2,0))))))</f>
        <v/>
      </c>
      <c r="G1726" s="5" t="n"/>
      <c r="H1726" s="4">
        <f>IF(OR(F1726="",G1726=""),"",F1726*G1726+IF(J1726="",0,J1726))</f>
        <v/>
      </c>
      <c r="I1726" s="5" t="n"/>
      <c r="J1726" s="5" t="n"/>
    </row>
    <row r="1727">
      <c r="A1727" s="5" t="n"/>
      <c r="B1727" s="5" t="n"/>
      <c r="C1727" s="5" t="n"/>
      <c r="D1727" s="5" t="n"/>
      <c r="E1727" s="4">
        <f>IF(C1727="","",COUNTIF($C$7:C1727,C1727))</f>
        <v/>
      </c>
      <c r="F1727" s="4">
        <f>IF(E1727="","",IF(E1727&lt;=3,6,IF(E1727&lt;=6,5,IF(E1727&lt;=9,4,IF(E1727&lt;=12,3,IF(E1727&lt;=15,2,0))))))</f>
        <v/>
      </c>
      <c r="G1727" s="5" t="n"/>
      <c r="H1727" s="4">
        <f>IF(OR(F1727="",G1727=""),"",F1727*G1727+IF(J1727="",0,J1727))</f>
        <v/>
      </c>
      <c r="I1727" s="5" t="n"/>
      <c r="J1727" s="5" t="n"/>
    </row>
    <row r="1728">
      <c r="A1728" s="5" t="n"/>
      <c r="B1728" s="5" t="n"/>
      <c r="C1728" s="5" t="n"/>
      <c r="D1728" s="5" t="n"/>
      <c r="E1728" s="4">
        <f>IF(C1728="","",COUNTIF($C$7:C1728,C1728))</f>
        <v/>
      </c>
      <c r="F1728" s="4">
        <f>IF(E1728="","",IF(E1728&lt;=3,6,IF(E1728&lt;=6,5,IF(E1728&lt;=9,4,IF(E1728&lt;=12,3,IF(E1728&lt;=15,2,0))))))</f>
        <v/>
      </c>
      <c r="G1728" s="5" t="n"/>
      <c r="H1728" s="4">
        <f>IF(OR(F1728="",G1728=""),"",F1728*G1728+IF(J1728="",0,J1728))</f>
        <v/>
      </c>
      <c r="I1728" s="5" t="n"/>
      <c r="J1728" s="5" t="n"/>
    </row>
    <row r="1729">
      <c r="A1729" s="5" t="n"/>
      <c r="B1729" s="5" t="n"/>
      <c r="C1729" s="5" t="n"/>
      <c r="D1729" s="5" t="n"/>
      <c r="E1729" s="4">
        <f>IF(C1729="","",COUNTIF($C$7:C1729,C1729))</f>
        <v/>
      </c>
      <c r="F1729" s="4">
        <f>IF(E1729="","",IF(E1729&lt;=3,6,IF(E1729&lt;=6,5,IF(E1729&lt;=9,4,IF(E1729&lt;=12,3,IF(E1729&lt;=15,2,0))))))</f>
        <v/>
      </c>
      <c r="G1729" s="5" t="n"/>
      <c r="H1729" s="4">
        <f>IF(OR(F1729="",G1729=""),"",F1729*G1729+IF(J1729="",0,J1729))</f>
        <v/>
      </c>
      <c r="I1729" s="5" t="n"/>
      <c r="J1729" s="5" t="n"/>
    </row>
    <row r="1730">
      <c r="A1730" s="5" t="n"/>
      <c r="B1730" s="5" t="n"/>
      <c r="C1730" s="5" t="n"/>
      <c r="D1730" s="5" t="n"/>
      <c r="E1730" s="4">
        <f>IF(C1730="","",COUNTIF($C$7:C1730,C1730))</f>
        <v/>
      </c>
      <c r="F1730" s="4">
        <f>IF(E1730="","",IF(E1730&lt;=3,6,IF(E1730&lt;=6,5,IF(E1730&lt;=9,4,IF(E1730&lt;=12,3,IF(E1730&lt;=15,2,0))))))</f>
        <v/>
      </c>
      <c r="G1730" s="5" t="n"/>
      <c r="H1730" s="4">
        <f>IF(OR(F1730="",G1730=""),"",F1730*G1730+IF(J1730="",0,J1730))</f>
        <v/>
      </c>
      <c r="I1730" s="5" t="n"/>
      <c r="J1730" s="5" t="n"/>
    </row>
    <row r="1731">
      <c r="A1731" s="5" t="n"/>
      <c r="B1731" s="5" t="n"/>
      <c r="C1731" s="5" t="n"/>
      <c r="D1731" s="5" t="n"/>
      <c r="E1731" s="4">
        <f>IF(C1731="","",COUNTIF($C$7:C1731,C1731))</f>
        <v/>
      </c>
      <c r="F1731" s="4">
        <f>IF(E1731="","",IF(E1731&lt;=3,6,IF(E1731&lt;=6,5,IF(E1731&lt;=9,4,IF(E1731&lt;=12,3,IF(E1731&lt;=15,2,0))))))</f>
        <v/>
      </c>
      <c r="G1731" s="5" t="n"/>
      <c r="H1731" s="4">
        <f>IF(OR(F1731="",G1731=""),"",F1731*G1731+IF(J1731="",0,J1731))</f>
        <v/>
      </c>
      <c r="I1731" s="5" t="n"/>
      <c r="J1731" s="5" t="n"/>
    </row>
    <row r="1732">
      <c r="A1732" s="5" t="n"/>
      <c r="B1732" s="5" t="n"/>
      <c r="C1732" s="5" t="n"/>
      <c r="D1732" s="5" t="n"/>
      <c r="E1732" s="4">
        <f>IF(C1732="","",COUNTIF($C$7:C1732,C1732))</f>
        <v/>
      </c>
      <c r="F1732" s="4">
        <f>IF(E1732="","",IF(E1732&lt;=3,6,IF(E1732&lt;=6,5,IF(E1732&lt;=9,4,IF(E1732&lt;=12,3,IF(E1732&lt;=15,2,0))))))</f>
        <v/>
      </c>
      <c r="G1732" s="5" t="n"/>
      <c r="H1732" s="4">
        <f>IF(OR(F1732="",G1732=""),"",F1732*G1732+IF(J1732="",0,J1732))</f>
        <v/>
      </c>
      <c r="I1732" s="5" t="n"/>
      <c r="J1732" s="5" t="n"/>
    </row>
    <row r="1733">
      <c r="A1733" s="5" t="n"/>
      <c r="B1733" s="5" t="n"/>
      <c r="C1733" s="5" t="n"/>
      <c r="D1733" s="5" t="n"/>
      <c r="E1733" s="4">
        <f>IF(C1733="","",COUNTIF($C$7:C1733,C1733))</f>
        <v/>
      </c>
      <c r="F1733" s="4">
        <f>IF(E1733="","",IF(E1733&lt;=3,6,IF(E1733&lt;=6,5,IF(E1733&lt;=9,4,IF(E1733&lt;=12,3,IF(E1733&lt;=15,2,0))))))</f>
        <v/>
      </c>
      <c r="G1733" s="5" t="n"/>
      <c r="H1733" s="4">
        <f>IF(OR(F1733="",G1733=""),"",F1733*G1733+IF(J1733="",0,J1733))</f>
        <v/>
      </c>
      <c r="I1733" s="5" t="n"/>
      <c r="J1733" s="5" t="n"/>
    </row>
    <row r="1734">
      <c r="A1734" s="5" t="n"/>
      <c r="B1734" s="5" t="n"/>
      <c r="C1734" s="5" t="n"/>
      <c r="D1734" s="5" t="n"/>
      <c r="E1734" s="4">
        <f>IF(C1734="","",COUNTIF($C$7:C1734,C1734))</f>
        <v/>
      </c>
      <c r="F1734" s="4">
        <f>IF(E1734="","",IF(E1734&lt;=3,6,IF(E1734&lt;=6,5,IF(E1734&lt;=9,4,IF(E1734&lt;=12,3,IF(E1734&lt;=15,2,0))))))</f>
        <v/>
      </c>
      <c r="G1734" s="5" t="n"/>
      <c r="H1734" s="4">
        <f>IF(OR(F1734="",G1734=""),"",F1734*G1734+IF(J1734="",0,J1734))</f>
        <v/>
      </c>
      <c r="I1734" s="5" t="n"/>
      <c r="J1734" s="5" t="n"/>
    </row>
    <row r="1735">
      <c r="A1735" s="5" t="n"/>
      <c r="B1735" s="5" t="n"/>
      <c r="C1735" s="5" t="n"/>
      <c r="D1735" s="5" t="n"/>
      <c r="E1735" s="4">
        <f>IF(C1735="","",COUNTIF($C$7:C1735,C1735))</f>
        <v/>
      </c>
      <c r="F1735" s="4">
        <f>IF(E1735="","",IF(E1735&lt;=3,6,IF(E1735&lt;=6,5,IF(E1735&lt;=9,4,IF(E1735&lt;=12,3,IF(E1735&lt;=15,2,0))))))</f>
        <v/>
      </c>
      <c r="G1735" s="5" t="n"/>
      <c r="H1735" s="4">
        <f>IF(OR(F1735="",G1735=""),"",F1735*G1735+IF(J1735="",0,J1735))</f>
        <v/>
      </c>
      <c r="I1735" s="5" t="n"/>
      <c r="J1735" s="5" t="n"/>
    </row>
    <row r="1736">
      <c r="A1736" s="5" t="n"/>
      <c r="B1736" s="5" t="n"/>
      <c r="C1736" s="5" t="n"/>
      <c r="D1736" s="5" t="n"/>
      <c r="E1736" s="4">
        <f>IF(C1736="","",COUNTIF($C$7:C1736,C1736))</f>
        <v/>
      </c>
      <c r="F1736" s="4">
        <f>IF(E1736="","",IF(E1736&lt;=3,6,IF(E1736&lt;=6,5,IF(E1736&lt;=9,4,IF(E1736&lt;=12,3,IF(E1736&lt;=15,2,0))))))</f>
        <v/>
      </c>
      <c r="G1736" s="5" t="n"/>
      <c r="H1736" s="4">
        <f>IF(OR(F1736="",G1736=""),"",F1736*G1736+IF(J1736="",0,J1736))</f>
        <v/>
      </c>
      <c r="I1736" s="5" t="n"/>
      <c r="J1736" s="5" t="n"/>
    </row>
    <row r="1737">
      <c r="A1737" s="5" t="n"/>
      <c r="B1737" s="5" t="n"/>
      <c r="C1737" s="5" t="n"/>
      <c r="D1737" s="5" t="n"/>
      <c r="E1737" s="4">
        <f>IF(C1737="","",COUNTIF($C$7:C1737,C1737))</f>
        <v/>
      </c>
      <c r="F1737" s="4">
        <f>IF(E1737="","",IF(E1737&lt;=3,6,IF(E1737&lt;=6,5,IF(E1737&lt;=9,4,IF(E1737&lt;=12,3,IF(E1737&lt;=15,2,0))))))</f>
        <v/>
      </c>
      <c r="G1737" s="5" t="n"/>
      <c r="H1737" s="4">
        <f>IF(OR(F1737="",G1737=""),"",F1737*G1737+IF(J1737="",0,J1737))</f>
        <v/>
      </c>
      <c r="I1737" s="5" t="n"/>
      <c r="J1737" s="5" t="n"/>
    </row>
    <row r="1738">
      <c r="A1738" s="5" t="n"/>
      <c r="B1738" s="5" t="n"/>
      <c r="C1738" s="5" t="n"/>
      <c r="D1738" s="5" t="n"/>
      <c r="E1738" s="4">
        <f>IF(C1738="","",COUNTIF($C$7:C1738,C1738))</f>
        <v/>
      </c>
      <c r="F1738" s="4">
        <f>IF(E1738="","",IF(E1738&lt;=3,6,IF(E1738&lt;=6,5,IF(E1738&lt;=9,4,IF(E1738&lt;=12,3,IF(E1738&lt;=15,2,0))))))</f>
        <v/>
      </c>
      <c r="G1738" s="5" t="n"/>
      <c r="H1738" s="4">
        <f>IF(OR(F1738="",G1738=""),"",F1738*G1738+IF(J1738="",0,J1738))</f>
        <v/>
      </c>
      <c r="I1738" s="5" t="n"/>
      <c r="J1738" s="5" t="n"/>
    </row>
    <row r="1739">
      <c r="A1739" s="5" t="n"/>
      <c r="B1739" s="5" t="n"/>
      <c r="C1739" s="5" t="n"/>
      <c r="D1739" s="5" t="n"/>
      <c r="E1739" s="4">
        <f>IF(C1739="","",COUNTIF($C$7:C1739,C1739))</f>
        <v/>
      </c>
      <c r="F1739" s="4">
        <f>IF(E1739="","",IF(E1739&lt;=3,6,IF(E1739&lt;=6,5,IF(E1739&lt;=9,4,IF(E1739&lt;=12,3,IF(E1739&lt;=15,2,0))))))</f>
        <v/>
      </c>
      <c r="G1739" s="5" t="n"/>
      <c r="H1739" s="4">
        <f>IF(OR(F1739="",G1739=""),"",F1739*G1739+IF(J1739="",0,J1739))</f>
        <v/>
      </c>
      <c r="I1739" s="5" t="n"/>
      <c r="J1739" s="5" t="n"/>
    </row>
    <row r="1740">
      <c r="A1740" s="5" t="n"/>
      <c r="B1740" s="5" t="n"/>
      <c r="C1740" s="5" t="n"/>
      <c r="D1740" s="5" t="n"/>
      <c r="E1740" s="4">
        <f>IF(C1740="","",COUNTIF($C$7:C1740,C1740))</f>
        <v/>
      </c>
      <c r="F1740" s="4">
        <f>IF(E1740="","",IF(E1740&lt;=3,6,IF(E1740&lt;=6,5,IF(E1740&lt;=9,4,IF(E1740&lt;=12,3,IF(E1740&lt;=15,2,0))))))</f>
        <v/>
      </c>
      <c r="G1740" s="5" t="n"/>
      <c r="H1740" s="4">
        <f>IF(OR(F1740="",G1740=""),"",F1740*G1740+IF(J1740="",0,J1740))</f>
        <v/>
      </c>
      <c r="I1740" s="5" t="n"/>
      <c r="J1740" s="5" t="n"/>
    </row>
    <row r="1741">
      <c r="A1741" s="5" t="n"/>
      <c r="B1741" s="5" t="n"/>
      <c r="C1741" s="5" t="n"/>
      <c r="D1741" s="5" t="n"/>
      <c r="E1741" s="4">
        <f>IF(C1741="","",COUNTIF($C$7:C1741,C1741))</f>
        <v/>
      </c>
      <c r="F1741" s="4">
        <f>IF(E1741="","",IF(E1741&lt;=3,6,IF(E1741&lt;=6,5,IF(E1741&lt;=9,4,IF(E1741&lt;=12,3,IF(E1741&lt;=15,2,0))))))</f>
        <v/>
      </c>
      <c r="G1741" s="5" t="n"/>
      <c r="H1741" s="4">
        <f>IF(OR(F1741="",G1741=""),"",F1741*G1741+IF(J1741="",0,J1741))</f>
        <v/>
      </c>
      <c r="I1741" s="5" t="n"/>
      <c r="J1741" s="5" t="n"/>
    </row>
    <row r="1742">
      <c r="A1742" s="5" t="n"/>
      <c r="B1742" s="5" t="n"/>
      <c r="C1742" s="5" t="n"/>
      <c r="D1742" s="5" t="n"/>
      <c r="E1742" s="4">
        <f>IF(C1742="","",COUNTIF($C$7:C1742,C1742))</f>
        <v/>
      </c>
      <c r="F1742" s="4">
        <f>IF(E1742="","",IF(E1742&lt;=3,6,IF(E1742&lt;=6,5,IF(E1742&lt;=9,4,IF(E1742&lt;=12,3,IF(E1742&lt;=15,2,0))))))</f>
        <v/>
      </c>
      <c r="G1742" s="5" t="n"/>
      <c r="H1742" s="4">
        <f>IF(OR(F1742="",G1742=""),"",F1742*G1742+IF(J1742="",0,J1742))</f>
        <v/>
      </c>
      <c r="I1742" s="5" t="n"/>
      <c r="J1742" s="5" t="n"/>
    </row>
    <row r="1743">
      <c r="A1743" s="5" t="n"/>
      <c r="B1743" s="5" t="n"/>
      <c r="C1743" s="5" t="n"/>
      <c r="D1743" s="5" t="n"/>
      <c r="E1743" s="4">
        <f>IF(C1743="","",COUNTIF($C$7:C1743,C1743))</f>
        <v/>
      </c>
      <c r="F1743" s="4">
        <f>IF(E1743="","",IF(E1743&lt;=3,6,IF(E1743&lt;=6,5,IF(E1743&lt;=9,4,IF(E1743&lt;=12,3,IF(E1743&lt;=15,2,0))))))</f>
        <v/>
      </c>
      <c r="G1743" s="5" t="n"/>
      <c r="H1743" s="4">
        <f>IF(OR(F1743="",G1743=""),"",F1743*G1743+IF(J1743="",0,J1743))</f>
        <v/>
      </c>
      <c r="I1743" s="5" t="n"/>
      <c r="J1743" s="5" t="n"/>
    </row>
    <row r="1744">
      <c r="A1744" s="5" t="n"/>
      <c r="B1744" s="5" t="n"/>
      <c r="C1744" s="5" t="n"/>
      <c r="D1744" s="5" t="n"/>
      <c r="E1744" s="4">
        <f>IF(C1744="","",COUNTIF($C$7:C1744,C1744))</f>
        <v/>
      </c>
      <c r="F1744" s="4">
        <f>IF(E1744="","",IF(E1744&lt;=3,6,IF(E1744&lt;=6,5,IF(E1744&lt;=9,4,IF(E1744&lt;=12,3,IF(E1744&lt;=15,2,0))))))</f>
        <v/>
      </c>
      <c r="G1744" s="5" t="n"/>
      <c r="H1744" s="4">
        <f>IF(OR(F1744="",G1744=""),"",F1744*G1744+IF(J1744="",0,J1744))</f>
        <v/>
      </c>
      <c r="I1744" s="5" t="n"/>
      <c r="J1744" s="5" t="n"/>
    </row>
    <row r="1745">
      <c r="A1745" s="5" t="n"/>
      <c r="B1745" s="5" t="n"/>
      <c r="C1745" s="5" t="n"/>
      <c r="D1745" s="5" t="n"/>
      <c r="E1745" s="4">
        <f>IF(C1745="","",COUNTIF($C$7:C1745,C1745))</f>
        <v/>
      </c>
      <c r="F1745" s="4">
        <f>IF(E1745="","",IF(E1745&lt;=3,6,IF(E1745&lt;=6,5,IF(E1745&lt;=9,4,IF(E1745&lt;=12,3,IF(E1745&lt;=15,2,0))))))</f>
        <v/>
      </c>
      <c r="G1745" s="5" t="n"/>
      <c r="H1745" s="4">
        <f>IF(OR(F1745="",G1745=""),"",F1745*G1745+IF(J1745="",0,J1745))</f>
        <v/>
      </c>
      <c r="I1745" s="5" t="n"/>
      <c r="J1745" s="5" t="n"/>
    </row>
    <row r="1746">
      <c r="A1746" s="5" t="n"/>
      <c r="B1746" s="5" t="n"/>
      <c r="C1746" s="5" t="n"/>
      <c r="D1746" s="5" t="n"/>
      <c r="E1746" s="4">
        <f>IF(C1746="","",COUNTIF($C$7:C1746,C1746))</f>
        <v/>
      </c>
      <c r="F1746" s="4">
        <f>IF(E1746="","",IF(E1746&lt;=3,6,IF(E1746&lt;=6,5,IF(E1746&lt;=9,4,IF(E1746&lt;=12,3,IF(E1746&lt;=15,2,0))))))</f>
        <v/>
      </c>
      <c r="G1746" s="5" t="n"/>
      <c r="H1746" s="4">
        <f>IF(OR(F1746="",G1746=""),"",F1746*G1746+IF(J1746="",0,J1746))</f>
        <v/>
      </c>
      <c r="I1746" s="5" t="n"/>
      <c r="J1746" s="5" t="n"/>
    </row>
    <row r="1747">
      <c r="A1747" s="5" t="n"/>
      <c r="B1747" s="5" t="n"/>
      <c r="C1747" s="5" t="n"/>
      <c r="D1747" s="5" t="n"/>
      <c r="E1747" s="4">
        <f>IF(C1747="","",COUNTIF($C$7:C1747,C1747))</f>
        <v/>
      </c>
      <c r="F1747" s="4">
        <f>IF(E1747="","",IF(E1747&lt;=3,6,IF(E1747&lt;=6,5,IF(E1747&lt;=9,4,IF(E1747&lt;=12,3,IF(E1747&lt;=15,2,0))))))</f>
        <v/>
      </c>
      <c r="G1747" s="5" t="n"/>
      <c r="H1747" s="4">
        <f>IF(OR(F1747="",G1747=""),"",F1747*G1747+IF(J1747="",0,J1747))</f>
        <v/>
      </c>
      <c r="I1747" s="5" t="n"/>
      <c r="J1747" s="5" t="n"/>
    </row>
    <row r="1748">
      <c r="A1748" s="5" t="n"/>
      <c r="B1748" s="5" t="n"/>
      <c r="C1748" s="5" t="n"/>
      <c r="D1748" s="5" t="n"/>
      <c r="E1748" s="4">
        <f>IF(C1748="","",COUNTIF($C$7:C1748,C1748))</f>
        <v/>
      </c>
      <c r="F1748" s="4">
        <f>IF(E1748="","",IF(E1748&lt;=3,6,IF(E1748&lt;=6,5,IF(E1748&lt;=9,4,IF(E1748&lt;=12,3,IF(E1748&lt;=15,2,0))))))</f>
        <v/>
      </c>
      <c r="G1748" s="5" t="n"/>
      <c r="H1748" s="4">
        <f>IF(OR(F1748="",G1748=""),"",F1748*G1748+IF(J1748="",0,J1748))</f>
        <v/>
      </c>
      <c r="I1748" s="5" t="n"/>
      <c r="J1748" s="5" t="n"/>
    </row>
    <row r="1749">
      <c r="A1749" s="5" t="n"/>
      <c r="B1749" s="5" t="n"/>
      <c r="C1749" s="5" t="n"/>
      <c r="D1749" s="5" t="n"/>
      <c r="E1749" s="4">
        <f>IF(C1749="","",COUNTIF($C$7:C1749,C1749))</f>
        <v/>
      </c>
      <c r="F1749" s="4">
        <f>IF(E1749="","",IF(E1749&lt;=3,6,IF(E1749&lt;=6,5,IF(E1749&lt;=9,4,IF(E1749&lt;=12,3,IF(E1749&lt;=15,2,0))))))</f>
        <v/>
      </c>
      <c r="G1749" s="5" t="n"/>
      <c r="H1749" s="4">
        <f>IF(OR(F1749="",G1749=""),"",F1749*G1749+IF(J1749="",0,J1749))</f>
        <v/>
      </c>
      <c r="I1749" s="5" t="n"/>
      <c r="J1749" s="5" t="n"/>
    </row>
    <row r="1750">
      <c r="A1750" s="5" t="n"/>
      <c r="B1750" s="5" t="n"/>
      <c r="C1750" s="5" t="n"/>
      <c r="D1750" s="5" t="n"/>
      <c r="E1750" s="4">
        <f>IF(C1750="","",COUNTIF($C$7:C1750,C1750))</f>
        <v/>
      </c>
      <c r="F1750" s="4">
        <f>IF(E1750="","",IF(E1750&lt;=3,6,IF(E1750&lt;=6,5,IF(E1750&lt;=9,4,IF(E1750&lt;=12,3,IF(E1750&lt;=15,2,0))))))</f>
        <v/>
      </c>
      <c r="G1750" s="5" t="n"/>
      <c r="H1750" s="4">
        <f>IF(OR(F1750="",G1750=""),"",F1750*G1750+IF(J1750="",0,J1750))</f>
        <v/>
      </c>
      <c r="I1750" s="5" t="n"/>
      <c r="J1750" s="5" t="n"/>
    </row>
    <row r="1751">
      <c r="A1751" s="5" t="n"/>
      <c r="B1751" s="5" t="n"/>
      <c r="C1751" s="5" t="n"/>
      <c r="D1751" s="5" t="n"/>
      <c r="E1751" s="4">
        <f>IF(C1751="","",COUNTIF($C$7:C1751,C1751))</f>
        <v/>
      </c>
      <c r="F1751" s="4">
        <f>IF(E1751="","",IF(E1751&lt;=3,6,IF(E1751&lt;=6,5,IF(E1751&lt;=9,4,IF(E1751&lt;=12,3,IF(E1751&lt;=15,2,0))))))</f>
        <v/>
      </c>
      <c r="G1751" s="5" t="n"/>
      <c r="H1751" s="4">
        <f>IF(OR(F1751="",G1751=""),"",F1751*G1751+IF(J1751="",0,J1751))</f>
        <v/>
      </c>
      <c r="I1751" s="5" t="n"/>
      <c r="J1751" s="5" t="n"/>
    </row>
    <row r="1752">
      <c r="A1752" s="5" t="n"/>
      <c r="B1752" s="5" t="n"/>
      <c r="C1752" s="5" t="n"/>
      <c r="D1752" s="5" t="n"/>
      <c r="E1752" s="4">
        <f>IF(C1752="","",COUNTIF($C$7:C1752,C1752))</f>
        <v/>
      </c>
      <c r="F1752" s="4">
        <f>IF(E1752="","",IF(E1752&lt;=3,6,IF(E1752&lt;=6,5,IF(E1752&lt;=9,4,IF(E1752&lt;=12,3,IF(E1752&lt;=15,2,0))))))</f>
        <v/>
      </c>
      <c r="G1752" s="5" t="n"/>
      <c r="H1752" s="4">
        <f>IF(OR(F1752="",G1752=""),"",F1752*G1752+IF(J1752="",0,J1752))</f>
        <v/>
      </c>
      <c r="I1752" s="5" t="n"/>
      <c r="J1752" s="5" t="n"/>
    </row>
    <row r="1753">
      <c r="A1753" s="5" t="n"/>
      <c r="B1753" s="5" t="n"/>
      <c r="C1753" s="5" t="n"/>
      <c r="D1753" s="5" t="n"/>
      <c r="E1753" s="4">
        <f>IF(C1753="","",COUNTIF($C$7:C1753,C1753))</f>
        <v/>
      </c>
      <c r="F1753" s="4">
        <f>IF(E1753="","",IF(E1753&lt;=3,6,IF(E1753&lt;=6,5,IF(E1753&lt;=9,4,IF(E1753&lt;=12,3,IF(E1753&lt;=15,2,0))))))</f>
        <v/>
      </c>
      <c r="G1753" s="5" t="n"/>
      <c r="H1753" s="4">
        <f>IF(OR(F1753="",G1753=""),"",F1753*G1753+IF(J1753="",0,J1753))</f>
        <v/>
      </c>
      <c r="I1753" s="5" t="n"/>
      <c r="J1753" s="5" t="n"/>
    </row>
    <row r="1754">
      <c r="A1754" s="5" t="n"/>
      <c r="B1754" s="5" t="n"/>
      <c r="C1754" s="5" t="n"/>
      <c r="D1754" s="5" t="n"/>
      <c r="E1754" s="4">
        <f>IF(C1754="","",COUNTIF($C$7:C1754,C1754))</f>
        <v/>
      </c>
      <c r="F1754" s="4">
        <f>IF(E1754="","",IF(E1754&lt;=3,6,IF(E1754&lt;=6,5,IF(E1754&lt;=9,4,IF(E1754&lt;=12,3,IF(E1754&lt;=15,2,0))))))</f>
        <v/>
      </c>
      <c r="G1754" s="5" t="n"/>
      <c r="H1754" s="4">
        <f>IF(OR(F1754="",G1754=""),"",F1754*G1754+IF(J1754="",0,J1754))</f>
        <v/>
      </c>
      <c r="I1754" s="5" t="n"/>
      <c r="J1754" s="5" t="n"/>
    </row>
    <row r="1755">
      <c r="A1755" s="5" t="n"/>
      <c r="B1755" s="5" t="n"/>
      <c r="C1755" s="5" t="n"/>
      <c r="D1755" s="5" t="n"/>
      <c r="E1755" s="4">
        <f>IF(C1755="","",COUNTIF($C$7:C1755,C1755))</f>
        <v/>
      </c>
      <c r="F1755" s="4">
        <f>IF(E1755="","",IF(E1755&lt;=3,6,IF(E1755&lt;=6,5,IF(E1755&lt;=9,4,IF(E1755&lt;=12,3,IF(E1755&lt;=15,2,0))))))</f>
        <v/>
      </c>
      <c r="G1755" s="5" t="n"/>
      <c r="H1755" s="4">
        <f>IF(OR(F1755="",G1755=""),"",F1755*G1755+IF(J1755="",0,J1755))</f>
        <v/>
      </c>
      <c r="I1755" s="5" t="n"/>
      <c r="J1755" s="5" t="n"/>
    </row>
    <row r="1756">
      <c r="A1756" s="5" t="n"/>
      <c r="B1756" s="5" t="n"/>
      <c r="C1756" s="5" t="n"/>
      <c r="D1756" s="5" t="n"/>
      <c r="E1756" s="4">
        <f>IF(C1756="","",COUNTIF($C$7:C1756,C1756))</f>
        <v/>
      </c>
      <c r="F1756" s="4">
        <f>IF(E1756="","",IF(E1756&lt;=3,6,IF(E1756&lt;=6,5,IF(E1756&lt;=9,4,IF(E1756&lt;=12,3,IF(E1756&lt;=15,2,0))))))</f>
        <v/>
      </c>
      <c r="G1756" s="5" t="n"/>
      <c r="H1756" s="4">
        <f>IF(OR(F1756="",G1756=""),"",F1756*G1756+IF(J1756="",0,J1756))</f>
        <v/>
      </c>
      <c r="I1756" s="5" t="n"/>
      <c r="J1756" s="5" t="n"/>
    </row>
    <row r="1757">
      <c r="A1757" s="5" t="n"/>
      <c r="B1757" s="5" t="n"/>
      <c r="C1757" s="5" t="n"/>
      <c r="D1757" s="5" t="n"/>
      <c r="E1757" s="4">
        <f>IF(C1757="","",COUNTIF($C$7:C1757,C1757))</f>
        <v/>
      </c>
      <c r="F1757" s="4">
        <f>IF(E1757="","",IF(E1757&lt;=3,6,IF(E1757&lt;=6,5,IF(E1757&lt;=9,4,IF(E1757&lt;=12,3,IF(E1757&lt;=15,2,0))))))</f>
        <v/>
      </c>
      <c r="G1757" s="5" t="n"/>
      <c r="H1757" s="4">
        <f>IF(OR(F1757="",G1757=""),"",F1757*G1757+IF(J1757="",0,J1757))</f>
        <v/>
      </c>
      <c r="I1757" s="5" t="n"/>
      <c r="J1757" s="5" t="n"/>
    </row>
    <row r="1758">
      <c r="A1758" s="5" t="n"/>
      <c r="B1758" s="5" t="n"/>
      <c r="C1758" s="5" t="n"/>
      <c r="D1758" s="5" t="n"/>
      <c r="E1758" s="4">
        <f>IF(C1758="","",COUNTIF($C$7:C1758,C1758))</f>
        <v/>
      </c>
      <c r="F1758" s="4">
        <f>IF(E1758="","",IF(E1758&lt;=3,6,IF(E1758&lt;=6,5,IF(E1758&lt;=9,4,IF(E1758&lt;=12,3,IF(E1758&lt;=15,2,0))))))</f>
        <v/>
      </c>
      <c r="G1758" s="5" t="n"/>
      <c r="H1758" s="4">
        <f>IF(OR(F1758="",G1758=""),"",F1758*G1758+IF(J1758="",0,J1758))</f>
        <v/>
      </c>
      <c r="I1758" s="5" t="n"/>
      <c r="J1758" s="5" t="n"/>
    </row>
    <row r="1759">
      <c r="A1759" s="5" t="n"/>
      <c r="B1759" s="5" t="n"/>
      <c r="C1759" s="5" t="n"/>
      <c r="D1759" s="5" t="n"/>
      <c r="E1759" s="4">
        <f>IF(C1759="","",COUNTIF($C$7:C1759,C1759))</f>
        <v/>
      </c>
      <c r="F1759" s="4">
        <f>IF(E1759="","",IF(E1759&lt;=3,6,IF(E1759&lt;=6,5,IF(E1759&lt;=9,4,IF(E1759&lt;=12,3,IF(E1759&lt;=15,2,0))))))</f>
        <v/>
      </c>
      <c r="G1759" s="5" t="n"/>
      <c r="H1759" s="4">
        <f>IF(OR(F1759="",G1759=""),"",F1759*G1759+IF(J1759="",0,J1759))</f>
        <v/>
      </c>
      <c r="I1759" s="5" t="n"/>
      <c r="J1759" s="5" t="n"/>
    </row>
    <row r="1760">
      <c r="A1760" s="5" t="n"/>
      <c r="B1760" s="5" t="n"/>
      <c r="C1760" s="5" t="n"/>
      <c r="D1760" s="5" t="n"/>
      <c r="E1760" s="4">
        <f>IF(C1760="","",COUNTIF($C$7:C1760,C1760))</f>
        <v/>
      </c>
      <c r="F1760" s="4">
        <f>IF(E1760="","",IF(E1760&lt;=3,6,IF(E1760&lt;=6,5,IF(E1760&lt;=9,4,IF(E1760&lt;=12,3,IF(E1760&lt;=15,2,0))))))</f>
        <v/>
      </c>
      <c r="G1760" s="5" t="n"/>
      <c r="H1760" s="4">
        <f>IF(OR(F1760="",G1760=""),"",F1760*G1760+IF(J1760="",0,J1760))</f>
        <v/>
      </c>
      <c r="I1760" s="5" t="n"/>
      <c r="J1760" s="5" t="n"/>
    </row>
    <row r="1761">
      <c r="A1761" s="5" t="n"/>
      <c r="B1761" s="5" t="n"/>
      <c r="C1761" s="5" t="n"/>
      <c r="D1761" s="5" t="n"/>
      <c r="E1761" s="4">
        <f>IF(C1761="","",COUNTIF($C$7:C1761,C1761))</f>
        <v/>
      </c>
      <c r="F1761" s="4">
        <f>IF(E1761="","",IF(E1761&lt;=3,6,IF(E1761&lt;=6,5,IF(E1761&lt;=9,4,IF(E1761&lt;=12,3,IF(E1761&lt;=15,2,0))))))</f>
        <v/>
      </c>
      <c r="G1761" s="5" t="n"/>
      <c r="H1761" s="4">
        <f>IF(OR(F1761="",G1761=""),"",F1761*G1761+IF(J1761="",0,J1761))</f>
        <v/>
      </c>
      <c r="I1761" s="5" t="n"/>
      <c r="J1761" s="5" t="n"/>
    </row>
    <row r="1762">
      <c r="A1762" s="5" t="n"/>
      <c r="B1762" s="5" t="n"/>
      <c r="C1762" s="5" t="n"/>
      <c r="D1762" s="5" t="n"/>
      <c r="E1762" s="4">
        <f>IF(C1762="","",COUNTIF($C$7:C1762,C1762))</f>
        <v/>
      </c>
      <c r="F1762" s="4">
        <f>IF(E1762="","",IF(E1762&lt;=3,6,IF(E1762&lt;=6,5,IF(E1762&lt;=9,4,IF(E1762&lt;=12,3,IF(E1762&lt;=15,2,0))))))</f>
        <v/>
      </c>
      <c r="G1762" s="5" t="n"/>
      <c r="H1762" s="4">
        <f>IF(OR(F1762="",G1762=""),"",F1762*G1762+IF(J1762="",0,J1762))</f>
        <v/>
      </c>
      <c r="I1762" s="5" t="n"/>
      <c r="J1762" s="5" t="n"/>
    </row>
    <row r="1763">
      <c r="A1763" s="5" t="n"/>
      <c r="B1763" s="5" t="n"/>
      <c r="C1763" s="5" t="n"/>
      <c r="D1763" s="5" t="n"/>
      <c r="E1763" s="4">
        <f>IF(C1763="","",COUNTIF($C$7:C1763,C1763))</f>
        <v/>
      </c>
      <c r="F1763" s="4">
        <f>IF(E1763="","",IF(E1763&lt;=3,6,IF(E1763&lt;=6,5,IF(E1763&lt;=9,4,IF(E1763&lt;=12,3,IF(E1763&lt;=15,2,0))))))</f>
        <v/>
      </c>
      <c r="G1763" s="5" t="n"/>
      <c r="H1763" s="4">
        <f>IF(OR(F1763="",G1763=""),"",F1763*G1763+IF(J1763="",0,J1763))</f>
        <v/>
      </c>
      <c r="I1763" s="5" t="n"/>
      <c r="J1763" s="5" t="n"/>
    </row>
    <row r="1764">
      <c r="A1764" s="5" t="n"/>
      <c r="B1764" s="5" t="n"/>
      <c r="C1764" s="5" t="n"/>
      <c r="D1764" s="5" t="n"/>
      <c r="E1764" s="4">
        <f>IF(C1764="","",COUNTIF($C$7:C1764,C1764))</f>
        <v/>
      </c>
      <c r="F1764" s="4">
        <f>IF(E1764="","",IF(E1764&lt;=3,6,IF(E1764&lt;=6,5,IF(E1764&lt;=9,4,IF(E1764&lt;=12,3,IF(E1764&lt;=15,2,0))))))</f>
        <v/>
      </c>
      <c r="G1764" s="5" t="n"/>
      <c r="H1764" s="4">
        <f>IF(OR(F1764="",G1764=""),"",F1764*G1764+IF(J1764="",0,J1764))</f>
        <v/>
      </c>
      <c r="I1764" s="5" t="n"/>
      <c r="J1764" s="5" t="n"/>
    </row>
    <row r="1765">
      <c r="A1765" s="5" t="n"/>
      <c r="B1765" s="5" t="n"/>
      <c r="C1765" s="5" t="n"/>
      <c r="D1765" s="5" t="n"/>
      <c r="E1765" s="4">
        <f>IF(C1765="","",COUNTIF($C$7:C1765,C1765))</f>
        <v/>
      </c>
      <c r="F1765" s="4">
        <f>IF(E1765="","",IF(E1765&lt;=3,6,IF(E1765&lt;=6,5,IF(E1765&lt;=9,4,IF(E1765&lt;=12,3,IF(E1765&lt;=15,2,0))))))</f>
        <v/>
      </c>
      <c r="G1765" s="5" t="n"/>
      <c r="H1765" s="4">
        <f>IF(OR(F1765="",G1765=""),"",F1765*G1765+IF(J1765="",0,J1765))</f>
        <v/>
      </c>
      <c r="I1765" s="5" t="n"/>
      <c r="J1765" s="5" t="n"/>
    </row>
    <row r="1766">
      <c r="A1766" s="5" t="n"/>
      <c r="B1766" s="5" t="n"/>
      <c r="C1766" s="5" t="n"/>
      <c r="D1766" s="5" t="n"/>
      <c r="E1766" s="4">
        <f>IF(C1766="","",COUNTIF($C$7:C1766,C1766))</f>
        <v/>
      </c>
      <c r="F1766" s="4">
        <f>IF(E1766="","",IF(E1766&lt;=3,6,IF(E1766&lt;=6,5,IF(E1766&lt;=9,4,IF(E1766&lt;=12,3,IF(E1766&lt;=15,2,0))))))</f>
        <v/>
      </c>
      <c r="G1766" s="5" t="n"/>
      <c r="H1766" s="4">
        <f>IF(OR(F1766="",G1766=""),"",F1766*G1766+IF(J1766="",0,J1766))</f>
        <v/>
      </c>
      <c r="I1766" s="5" t="n"/>
      <c r="J1766" s="5" t="n"/>
    </row>
    <row r="1767">
      <c r="A1767" s="5" t="n"/>
      <c r="B1767" s="5" t="n"/>
      <c r="C1767" s="5" t="n"/>
      <c r="D1767" s="5" t="n"/>
      <c r="E1767" s="4">
        <f>IF(C1767="","",COUNTIF($C$7:C1767,C1767))</f>
        <v/>
      </c>
      <c r="F1767" s="4">
        <f>IF(E1767="","",IF(E1767&lt;=3,6,IF(E1767&lt;=6,5,IF(E1767&lt;=9,4,IF(E1767&lt;=12,3,IF(E1767&lt;=15,2,0))))))</f>
        <v/>
      </c>
      <c r="G1767" s="5" t="n"/>
      <c r="H1767" s="4">
        <f>IF(OR(F1767="",G1767=""),"",F1767*G1767+IF(J1767="",0,J1767))</f>
        <v/>
      </c>
      <c r="I1767" s="5" t="n"/>
      <c r="J1767" s="5" t="n"/>
    </row>
    <row r="1768">
      <c r="A1768" s="5" t="n"/>
      <c r="B1768" s="5" t="n"/>
      <c r="C1768" s="5" t="n"/>
      <c r="D1768" s="5" t="n"/>
      <c r="E1768" s="4">
        <f>IF(C1768="","",COUNTIF($C$7:C1768,C1768))</f>
        <v/>
      </c>
      <c r="F1768" s="4">
        <f>IF(E1768="","",IF(E1768&lt;=3,6,IF(E1768&lt;=6,5,IF(E1768&lt;=9,4,IF(E1768&lt;=12,3,IF(E1768&lt;=15,2,0))))))</f>
        <v/>
      </c>
      <c r="G1768" s="5" t="n"/>
      <c r="H1768" s="4">
        <f>IF(OR(F1768="",G1768=""),"",F1768*G1768+IF(J1768="",0,J1768))</f>
        <v/>
      </c>
      <c r="I1768" s="5" t="n"/>
      <c r="J1768" s="5" t="n"/>
    </row>
    <row r="1769">
      <c r="A1769" s="5" t="n"/>
      <c r="B1769" s="5" t="n"/>
      <c r="C1769" s="5" t="n"/>
      <c r="D1769" s="5" t="n"/>
      <c r="E1769" s="4">
        <f>IF(C1769="","",COUNTIF($C$7:C1769,C1769))</f>
        <v/>
      </c>
      <c r="F1769" s="4">
        <f>IF(E1769="","",IF(E1769&lt;=3,6,IF(E1769&lt;=6,5,IF(E1769&lt;=9,4,IF(E1769&lt;=12,3,IF(E1769&lt;=15,2,0))))))</f>
        <v/>
      </c>
      <c r="G1769" s="5" t="n"/>
      <c r="H1769" s="4">
        <f>IF(OR(F1769="",G1769=""),"",F1769*G1769+IF(J1769="",0,J1769))</f>
        <v/>
      </c>
      <c r="I1769" s="5" t="n"/>
      <c r="J1769" s="5" t="n"/>
    </row>
    <row r="1770">
      <c r="A1770" s="5" t="n"/>
      <c r="B1770" s="5" t="n"/>
      <c r="C1770" s="5" t="n"/>
      <c r="D1770" s="5" t="n"/>
      <c r="E1770" s="4">
        <f>IF(C1770="","",COUNTIF($C$7:C1770,C1770))</f>
        <v/>
      </c>
      <c r="F1770" s="4">
        <f>IF(E1770="","",IF(E1770&lt;=3,6,IF(E1770&lt;=6,5,IF(E1770&lt;=9,4,IF(E1770&lt;=12,3,IF(E1770&lt;=15,2,0))))))</f>
        <v/>
      </c>
      <c r="G1770" s="5" t="n"/>
      <c r="H1770" s="4">
        <f>IF(OR(F1770="",G1770=""),"",F1770*G1770+IF(J1770="",0,J1770))</f>
        <v/>
      </c>
      <c r="I1770" s="5" t="n"/>
      <c r="J1770" s="5" t="n"/>
    </row>
    <row r="1771">
      <c r="A1771" s="5" t="n"/>
      <c r="B1771" s="5" t="n"/>
      <c r="C1771" s="5" t="n"/>
      <c r="D1771" s="5" t="n"/>
      <c r="E1771" s="4">
        <f>IF(C1771="","",COUNTIF($C$7:C1771,C1771))</f>
        <v/>
      </c>
      <c r="F1771" s="4">
        <f>IF(E1771="","",IF(E1771&lt;=3,6,IF(E1771&lt;=6,5,IF(E1771&lt;=9,4,IF(E1771&lt;=12,3,IF(E1771&lt;=15,2,0))))))</f>
        <v/>
      </c>
      <c r="G1771" s="5" t="n"/>
      <c r="H1771" s="4">
        <f>IF(OR(F1771="",G1771=""),"",F1771*G1771+IF(J1771="",0,J1771))</f>
        <v/>
      </c>
      <c r="I1771" s="5" t="n"/>
      <c r="J1771" s="5" t="n"/>
    </row>
    <row r="1772">
      <c r="A1772" s="5" t="n"/>
      <c r="B1772" s="5" t="n"/>
      <c r="C1772" s="5" t="n"/>
      <c r="D1772" s="5" t="n"/>
      <c r="E1772" s="4">
        <f>IF(C1772="","",COUNTIF($C$7:C1772,C1772))</f>
        <v/>
      </c>
      <c r="F1772" s="4">
        <f>IF(E1772="","",IF(E1772&lt;=3,6,IF(E1772&lt;=6,5,IF(E1772&lt;=9,4,IF(E1772&lt;=12,3,IF(E1772&lt;=15,2,0))))))</f>
        <v/>
      </c>
      <c r="G1772" s="5" t="n"/>
      <c r="H1772" s="4">
        <f>IF(OR(F1772="",G1772=""),"",F1772*G1772+IF(J1772="",0,J1772))</f>
        <v/>
      </c>
      <c r="I1772" s="5" t="n"/>
      <c r="J1772" s="5" t="n"/>
    </row>
    <row r="1773">
      <c r="A1773" s="5" t="n"/>
      <c r="B1773" s="5" t="n"/>
      <c r="C1773" s="5" t="n"/>
      <c r="D1773" s="5" t="n"/>
      <c r="E1773" s="4">
        <f>IF(C1773="","",COUNTIF($C$7:C1773,C1773))</f>
        <v/>
      </c>
      <c r="F1773" s="4">
        <f>IF(E1773="","",IF(E1773&lt;=3,6,IF(E1773&lt;=6,5,IF(E1773&lt;=9,4,IF(E1773&lt;=12,3,IF(E1773&lt;=15,2,0))))))</f>
        <v/>
      </c>
      <c r="G1773" s="5" t="n"/>
      <c r="H1773" s="4">
        <f>IF(OR(F1773="",G1773=""),"",F1773*G1773+IF(J1773="",0,J1773))</f>
        <v/>
      </c>
      <c r="I1773" s="5" t="n"/>
      <c r="J1773" s="5" t="n"/>
    </row>
    <row r="1774">
      <c r="A1774" s="5" t="n"/>
      <c r="B1774" s="5" t="n"/>
      <c r="C1774" s="5" t="n"/>
      <c r="D1774" s="5" t="n"/>
      <c r="E1774" s="4">
        <f>IF(C1774="","",COUNTIF($C$7:C1774,C1774))</f>
        <v/>
      </c>
      <c r="F1774" s="4">
        <f>IF(E1774="","",IF(E1774&lt;=3,6,IF(E1774&lt;=6,5,IF(E1774&lt;=9,4,IF(E1774&lt;=12,3,IF(E1774&lt;=15,2,0))))))</f>
        <v/>
      </c>
      <c r="G1774" s="5" t="n"/>
      <c r="H1774" s="4">
        <f>IF(OR(F1774="",G1774=""),"",F1774*G1774+IF(J1774="",0,J1774))</f>
        <v/>
      </c>
      <c r="I1774" s="5" t="n"/>
      <c r="J1774" s="5" t="n"/>
    </row>
    <row r="1775">
      <c r="A1775" s="5" t="n"/>
      <c r="B1775" s="5" t="n"/>
      <c r="C1775" s="5" t="n"/>
      <c r="D1775" s="5" t="n"/>
      <c r="E1775" s="4">
        <f>IF(C1775="","",COUNTIF($C$7:C1775,C1775))</f>
        <v/>
      </c>
      <c r="F1775" s="4">
        <f>IF(E1775="","",IF(E1775&lt;=3,6,IF(E1775&lt;=6,5,IF(E1775&lt;=9,4,IF(E1775&lt;=12,3,IF(E1775&lt;=15,2,0))))))</f>
        <v/>
      </c>
      <c r="G1775" s="5" t="n"/>
      <c r="H1775" s="4">
        <f>IF(OR(F1775="",G1775=""),"",F1775*G1775+IF(J1775="",0,J1775))</f>
        <v/>
      </c>
      <c r="I1775" s="5" t="n"/>
      <c r="J1775" s="5" t="n"/>
    </row>
    <row r="1776">
      <c r="A1776" s="5" t="n"/>
      <c r="B1776" s="5" t="n"/>
      <c r="C1776" s="5" t="n"/>
      <c r="D1776" s="5" t="n"/>
      <c r="E1776" s="4">
        <f>IF(C1776="","",COUNTIF($C$7:C1776,C1776))</f>
        <v/>
      </c>
      <c r="F1776" s="4">
        <f>IF(E1776="","",IF(E1776&lt;=3,6,IF(E1776&lt;=6,5,IF(E1776&lt;=9,4,IF(E1776&lt;=12,3,IF(E1776&lt;=15,2,0))))))</f>
        <v/>
      </c>
      <c r="G1776" s="5" t="n"/>
      <c r="H1776" s="4">
        <f>IF(OR(F1776="",G1776=""),"",F1776*G1776+IF(J1776="",0,J1776))</f>
        <v/>
      </c>
      <c r="I1776" s="5" t="n"/>
      <c r="J1776" s="5" t="n"/>
    </row>
    <row r="1777">
      <c r="A1777" s="5" t="n"/>
      <c r="B1777" s="5" t="n"/>
      <c r="C1777" s="5" t="n"/>
      <c r="D1777" s="5" t="n"/>
      <c r="E1777" s="4">
        <f>IF(C1777="","",COUNTIF($C$7:C1777,C1777))</f>
        <v/>
      </c>
      <c r="F1777" s="4">
        <f>IF(E1777="","",IF(E1777&lt;=3,6,IF(E1777&lt;=6,5,IF(E1777&lt;=9,4,IF(E1777&lt;=12,3,IF(E1777&lt;=15,2,0))))))</f>
        <v/>
      </c>
      <c r="G1777" s="5" t="n"/>
      <c r="H1777" s="4">
        <f>IF(OR(F1777="",G1777=""),"",F1777*G1777+IF(J1777="",0,J1777))</f>
        <v/>
      </c>
      <c r="I1777" s="5" t="n"/>
      <c r="J1777" s="5" t="n"/>
    </row>
    <row r="1778">
      <c r="A1778" s="5" t="n"/>
      <c r="B1778" s="5" t="n"/>
      <c r="C1778" s="5" t="n"/>
      <c r="D1778" s="5" t="n"/>
      <c r="E1778" s="4">
        <f>IF(C1778="","",COUNTIF($C$7:C1778,C1778))</f>
        <v/>
      </c>
      <c r="F1778" s="4">
        <f>IF(E1778="","",IF(E1778&lt;=3,6,IF(E1778&lt;=6,5,IF(E1778&lt;=9,4,IF(E1778&lt;=12,3,IF(E1778&lt;=15,2,0))))))</f>
        <v/>
      </c>
      <c r="G1778" s="5" t="n"/>
      <c r="H1778" s="4">
        <f>IF(OR(F1778="",G1778=""),"",F1778*G1778+IF(J1778="",0,J1778))</f>
        <v/>
      </c>
      <c r="I1778" s="5" t="n"/>
      <c r="J1778" s="5" t="n"/>
    </row>
    <row r="1779">
      <c r="A1779" s="5" t="n"/>
      <c r="B1779" s="5" t="n"/>
      <c r="C1779" s="5" t="n"/>
      <c r="D1779" s="5" t="n"/>
      <c r="E1779" s="4">
        <f>IF(C1779="","",COUNTIF($C$7:C1779,C1779))</f>
        <v/>
      </c>
      <c r="F1779" s="4">
        <f>IF(E1779="","",IF(E1779&lt;=3,6,IF(E1779&lt;=6,5,IF(E1779&lt;=9,4,IF(E1779&lt;=12,3,IF(E1779&lt;=15,2,0))))))</f>
        <v/>
      </c>
      <c r="G1779" s="5" t="n"/>
      <c r="H1779" s="4">
        <f>IF(OR(F1779="",G1779=""),"",F1779*G1779+IF(J1779="",0,J1779))</f>
        <v/>
      </c>
      <c r="I1779" s="5" t="n"/>
      <c r="J1779" s="5" t="n"/>
    </row>
    <row r="1780">
      <c r="A1780" s="5" t="n"/>
      <c r="B1780" s="5" t="n"/>
      <c r="C1780" s="5" t="n"/>
      <c r="D1780" s="5" t="n"/>
      <c r="E1780" s="4">
        <f>IF(C1780="","",COUNTIF($C$7:C1780,C1780))</f>
        <v/>
      </c>
      <c r="F1780" s="4">
        <f>IF(E1780="","",IF(E1780&lt;=3,6,IF(E1780&lt;=6,5,IF(E1780&lt;=9,4,IF(E1780&lt;=12,3,IF(E1780&lt;=15,2,0))))))</f>
        <v/>
      </c>
      <c r="G1780" s="5" t="n"/>
      <c r="H1780" s="4">
        <f>IF(OR(F1780="",G1780=""),"",F1780*G1780+IF(J1780="",0,J1780))</f>
        <v/>
      </c>
      <c r="I1780" s="5" t="n"/>
      <c r="J1780" s="5" t="n"/>
    </row>
    <row r="1781">
      <c r="A1781" s="5" t="n"/>
      <c r="B1781" s="5" t="n"/>
      <c r="C1781" s="5" t="n"/>
      <c r="D1781" s="5" t="n"/>
      <c r="E1781" s="4">
        <f>IF(C1781="","",COUNTIF($C$7:C1781,C1781))</f>
        <v/>
      </c>
      <c r="F1781" s="4">
        <f>IF(E1781="","",IF(E1781&lt;=3,6,IF(E1781&lt;=6,5,IF(E1781&lt;=9,4,IF(E1781&lt;=12,3,IF(E1781&lt;=15,2,0))))))</f>
        <v/>
      </c>
      <c r="G1781" s="5" t="n"/>
      <c r="H1781" s="4">
        <f>IF(OR(F1781="",G1781=""),"",F1781*G1781+IF(J1781="",0,J1781))</f>
        <v/>
      </c>
      <c r="I1781" s="5" t="n"/>
      <c r="J1781" s="5" t="n"/>
    </row>
    <row r="1782">
      <c r="A1782" s="5" t="n"/>
      <c r="B1782" s="5" t="n"/>
      <c r="C1782" s="5" t="n"/>
      <c r="D1782" s="5" t="n"/>
      <c r="E1782" s="4">
        <f>IF(C1782="","",COUNTIF($C$7:C1782,C1782))</f>
        <v/>
      </c>
      <c r="F1782" s="4">
        <f>IF(E1782="","",IF(E1782&lt;=3,6,IF(E1782&lt;=6,5,IF(E1782&lt;=9,4,IF(E1782&lt;=12,3,IF(E1782&lt;=15,2,0))))))</f>
        <v/>
      </c>
      <c r="G1782" s="5" t="n"/>
      <c r="H1782" s="4">
        <f>IF(OR(F1782="",G1782=""),"",F1782*G1782+IF(J1782="",0,J1782))</f>
        <v/>
      </c>
      <c r="I1782" s="5" t="n"/>
      <c r="J1782" s="5" t="n"/>
    </row>
    <row r="1783">
      <c r="A1783" s="5" t="n"/>
      <c r="B1783" s="5" t="n"/>
      <c r="C1783" s="5" t="n"/>
      <c r="D1783" s="5" t="n"/>
      <c r="E1783" s="4">
        <f>IF(C1783="","",COUNTIF($C$7:C1783,C1783))</f>
        <v/>
      </c>
      <c r="F1783" s="4">
        <f>IF(E1783="","",IF(E1783&lt;=3,6,IF(E1783&lt;=6,5,IF(E1783&lt;=9,4,IF(E1783&lt;=12,3,IF(E1783&lt;=15,2,0))))))</f>
        <v/>
      </c>
      <c r="G1783" s="5" t="n"/>
      <c r="H1783" s="4">
        <f>IF(OR(F1783="",G1783=""),"",F1783*G1783+IF(J1783="",0,J1783))</f>
        <v/>
      </c>
      <c r="I1783" s="5" t="n"/>
      <c r="J1783" s="5" t="n"/>
    </row>
    <row r="1784">
      <c r="A1784" s="5" t="n"/>
      <c r="B1784" s="5" t="n"/>
      <c r="C1784" s="5" t="n"/>
      <c r="D1784" s="5" t="n"/>
      <c r="E1784" s="4">
        <f>IF(C1784="","",COUNTIF($C$7:C1784,C1784))</f>
        <v/>
      </c>
      <c r="F1784" s="4">
        <f>IF(E1784="","",IF(E1784&lt;=3,6,IF(E1784&lt;=6,5,IF(E1784&lt;=9,4,IF(E1784&lt;=12,3,IF(E1784&lt;=15,2,0))))))</f>
        <v/>
      </c>
      <c r="G1784" s="5" t="n"/>
      <c r="H1784" s="4">
        <f>IF(OR(F1784="",G1784=""),"",F1784*G1784+IF(J1784="",0,J1784))</f>
        <v/>
      </c>
      <c r="I1784" s="5" t="n"/>
      <c r="J1784" s="5" t="n"/>
    </row>
    <row r="1785">
      <c r="A1785" s="5" t="n"/>
      <c r="B1785" s="5" t="n"/>
      <c r="C1785" s="5" t="n"/>
      <c r="D1785" s="5" t="n"/>
      <c r="E1785" s="4">
        <f>IF(C1785="","",COUNTIF($C$7:C1785,C1785))</f>
        <v/>
      </c>
      <c r="F1785" s="4">
        <f>IF(E1785="","",IF(E1785&lt;=3,6,IF(E1785&lt;=6,5,IF(E1785&lt;=9,4,IF(E1785&lt;=12,3,IF(E1785&lt;=15,2,0))))))</f>
        <v/>
      </c>
      <c r="G1785" s="5" t="n"/>
      <c r="H1785" s="4">
        <f>IF(OR(F1785="",G1785=""),"",F1785*G1785+IF(J1785="",0,J1785))</f>
        <v/>
      </c>
      <c r="I1785" s="5" t="n"/>
      <c r="J1785" s="5" t="n"/>
    </row>
    <row r="1786">
      <c r="A1786" s="5" t="n"/>
      <c r="B1786" s="5" t="n"/>
      <c r="C1786" s="5" t="n"/>
      <c r="D1786" s="5" t="n"/>
      <c r="E1786" s="4">
        <f>IF(C1786="","",COUNTIF($C$7:C1786,C1786))</f>
        <v/>
      </c>
      <c r="F1786" s="4">
        <f>IF(E1786="","",IF(E1786&lt;=3,6,IF(E1786&lt;=6,5,IF(E1786&lt;=9,4,IF(E1786&lt;=12,3,IF(E1786&lt;=15,2,0))))))</f>
        <v/>
      </c>
      <c r="G1786" s="5" t="n"/>
      <c r="H1786" s="4">
        <f>IF(OR(F1786="",G1786=""),"",F1786*G1786+IF(J1786="",0,J1786))</f>
        <v/>
      </c>
      <c r="I1786" s="5" t="n"/>
      <c r="J1786" s="5" t="n"/>
    </row>
    <row r="1787">
      <c r="A1787" s="5" t="n"/>
      <c r="B1787" s="5" t="n"/>
      <c r="C1787" s="5" t="n"/>
      <c r="D1787" s="5" t="n"/>
      <c r="E1787" s="4">
        <f>IF(C1787="","",COUNTIF($C$7:C1787,C1787))</f>
        <v/>
      </c>
      <c r="F1787" s="4">
        <f>IF(E1787="","",IF(E1787&lt;=3,6,IF(E1787&lt;=6,5,IF(E1787&lt;=9,4,IF(E1787&lt;=12,3,IF(E1787&lt;=15,2,0))))))</f>
        <v/>
      </c>
      <c r="G1787" s="5" t="n"/>
      <c r="H1787" s="4">
        <f>IF(OR(F1787="",G1787=""),"",F1787*G1787+IF(J1787="",0,J1787))</f>
        <v/>
      </c>
      <c r="I1787" s="5" t="n"/>
      <c r="J1787" s="5" t="n"/>
    </row>
    <row r="1788">
      <c r="A1788" s="5" t="n"/>
      <c r="B1788" s="5" t="n"/>
      <c r="C1788" s="5" t="n"/>
      <c r="D1788" s="5" t="n"/>
      <c r="E1788" s="4">
        <f>IF(C1788="","",COUNTIF($C$7:C1788,C1788))</f>
        <v/>
      </c>
      <c r="F1788" s="4">
        <f>IF(E1788="","",IF(E1788&lt;=3,6,IF(E1788&lt;=6,5,IF(E1788&lt;=9,4,IF(E1788&lt;=12,3,IF(E1788&lt;=15,2,0))))))</f>
        <v/>
      </c>
      <c r="G1788" s="5" t="n"/>
      <c r="H1788" s="4">
        <f>IF(OR(F1788="",G1788=""),"",F1788*G1788+IF(J1788="",0,J1788))</f>
        <v/>
      </c>
      <c r="I1788" s="5" t="n"/>
      <c r="J1788" s="5" t="n"/>
    </row>
    <row r="1789">
      <c r="A1789" s="5" t="n"/>
      <c r="B1789" s="5" t="n"/>
      <c r="C1789" s="5" t="n"/>
      <c r="D1789" s="5" t="n"/>
      <c r="E1789" s="4">
        <f>IF(C1789="","",COUNTIF($C$7:C1789,C1789))</f>
        <v/>
      </c>
      <c r="F1789" s="4">
        <f>IF(E1789="","",IF(E1789&lt;=3,6,IF(E1789&lt;=6,5,IF(E1789&lt;=9,4,IF(E1789&lt;=12,3,IF(E1789&lt;=15,2,0))))))</f>
        <v/>
      </c>
      <c r="G1789" s="5" t="n"/>
      <c r="H1789" s="4">
        <f>IF(OR(F1789="",G1789=""),"",F1789*G1789+IF(J1789="",0,J1789))</f>
        <v/>
      </c>
      <c r="I1789" s="5" t="n"/>
      <c r="J1789" s="5" t="n"/>
    </row>
    <row r="1790">
      <c r="A1790" s="5" t="n"/>
      <c r="B1790" s="5" t="n"/>
      <c r="C1790" s="5" t="n"/>
      <c r="D1790" s="5" t="n"/>
      <c r="E1790" s="4">
        <f>IF(C1790="","",COUNTIF($C$7:C1790,C1790))</f>
        <v/>
      </c>
      <c r="F1790" s="4">
        <f>IF(E1790="","",IF(E1790&lt;=3,6,IF(E1790&lt;=6,5,IF(E1790&lt;=9,4,IF(E1790&lt;=12,3,IF(E1790&lt;=15,2,0))))))</f>
        <v/>
      </c>
      <c r="G1790" s="5" t="n"/>
      <c r="H1790" s="4">
        <f>IF(OR(F1790="",G1790=""),"",F1790*G1790+IF(J1790="",0,J1790))</f>
        <v/>
      </c>
      <c r="I1790" s="5" t="n"/>
      <c r="J1790" s="5" t="n"/>
    </row>
    <row r="1791">
      <c r="A1791" s="5" t="n"/>
      <c r="B1791" s="5" t="n"/>
      <c r="C1791" s="5" t="n"/>
      <c r="D1791" s="5" t="n"/>
      <c r="E1791" s="4">
        <f>IF(C1791="","",COUNTIF($C$7:C1791,C1791))</f>
        <v/>
      </c>
      <c r="F1791" s="4">
        <f>IF(E1791="","",IF(E1791&lt;=3,6,IF(E1791&lt;=6,5,IF(E1791&lt;=9,4,IF(E1791&lt;=12,3,IF(E1791&lt;=15,2,0))))))</f>
        <v/>
      </c>
      <c r="G1791" s="5" t="n"/>
      <c r="H1791" s="4">
        <f>IF(OR(F1791="",G1791=""),"",F1791*G1791+IF(J1791="",0,J1791))</f>
        <v/>
      </c>
      <c r="I1791" s="5" t="n"/>
      <c r="J1791" s="5" t="n"/>
    </row>
    <row r="1792">
      <c r="A1792" s="5" t="n"/>
      <c r="B1792" s="5" t="n"/>
      <c r="C1792" s="5" t="n"/>
      <c r="D1792" s="5" t="n"/>
      <c r="E1792" s="4">
        <f>IF(C1792="","",COUNTIF($C$7:C1792,C1792))</f>
        <v/>
      </c>
      <c r="F1792" s="4">
        <f>IF(E1792="","",IF(E1792&lt;=3,6,IF(E1792&lt;=6,5,IF(E1792&lt;=9,4,IF(E1792&lt;=12,3,IF(E1792&lt;=15,2,0))))))</f>
        <v/>
      </c>
      <c r="G1792" s="5" t="n"/>
      <c r="H1792" s="4">
        <f>IF(OR(F1792="",G1792=""),"",F1792*G1792+IF(J1792="",0,J1792))</f>
        <v/>
      </c>
      <c r="I1792" s="5" t="n"/>
      <c r="J1792" s="5" t="n"/>
    </row>
    <row r="1793">
      <c r="A1793" s="5" t="n"/>
      <c r="B1793" s="5" t="n"/>
      <c r="C1793" s="5" t="n"/>
      <c r="D1793" s="5" t="n"/>
      <c r="E1793" s="4">
        <f>IF(C1793="","",COUNTIF($C$7:C1793,C1793))</f>
        <v/>
      </c>
      <c r="F1793" s="4">
        <f>IF(E1793="","",IF(E1793&lt;=3,6,IF(E1793&lt;=6,5,IF(E1793&lt;=9,4,IF(E1793&lt;=12,3,IF(E1793&lt;=15,2,0))))))</f>
        <v/>
      </c>
      <c r="G1793" s="5" t="n"/>
      <c r="H1793" s="4">
        <f>IF(OR(F1793="",G1793=""),"",F1793*G1793+IF(J1793="",0,J1793))</f>
        <v/>
      </c>
      <c r="I1793" s="5" t="n"/>
      <c r="J1793" s="5" t="n"/>
    </row>
    <row r="1794">
      <c r="A1794" s="5" t="n"/>
      <c r="B1794" s="5" t="n"/>
      <c r="C1794" s="5" t="n"/>
      <c r="D1794" s="5" t="n"/>
      <c r="E1794" s="4">
        <f>IF(C1794="","",COUNTIF($C$7:C1794,C1794))</f>
        <v/>
      </c>
      <c r="F1794" s="4">
        <f>IF(E1794="","",IF(E1794&lt;=3,6,IF(E1794&lt;=6,5,IF(E1794&lt;=9,4,IF(E1794&lt;=12,3,IF(E1794&lt;=15,2,0))))))</f>
        <v/>
      </c>
      <c r="G1794" s="5" t="n"/>
      <c r="H1794" s="4">
        <f>IF(OR(F1794="",G1794=""),"",F1794*G1794+IF(J1794="",0,J1794))</f>
        <v/>
      </c>
      <c r="I1794" s="5" t="n"/>
      <c r="J1794" s="5" t="n"/>
    </row>
    <row r="1795">
      <c r="A1795" s="5" t="n"/>
      <c r="B1795" s="5" t="n"/>
      <c r="C1795" s="5" t="n"/>
      <c r="D1795" s="5" t="n"/>
      <c r="E1795" s="4">
        <f>IF(C1795="","",COUNTIF($C$7:C1795,C1795))</f>
        <v/>
      </c>
      <c r="F1795" s="4">
        <f>IF(E1795="","",IF(E1795&lt;=3,6,IF(E1795&lt;=6,5,IF(E1795&lt;=9,4,IF(E1795&lt;=12,3,IF(E1795&lt;=15,2,0))))))</f>
        <v/>
      </c>
      <c r="G1795" s="5" t="n"/>
      <c r="H1795" s="4">
        <f>IF(OR(F1795="",G1795=""),"",F1795*G1795+IF(J1795="",0,J1795))</f>
        <v/>
      </c>
      <c r="I1795" s="5" t="n"/>
      <c r="J1795" s="5" t="n"/>
    </row>
    <row r="1796">
      <c r="A1796" s="5" t="n"/>
      <c r="B1796" s="5" t="n"/>
      <c r="C1796" s="5" t="n"/>
      <c r="D1796" s="5" t="n"/>
      <c r="E1796" s="4">
        <f>IF(C1796="","",COUNTIF($C$7:C1796,C1796))</f>
        <v/>
      </c>
      <c r="F1796" s="4">
        <f>IF(E1796="","",IF(E1796&lt;=3,6,IF(E1796&lt;=6,5,IF(E1796&lt;=9,4,IF(E1796&lt;=12,3,IF(E1796&lt;=15,2,0))))))</f>
        <v/>
      </c>
      <c r="G1796" s="5" t="n"/>
      <c r="H1796" s="4">
        <f>IF(OR(F1796="",G1796=""),"",F1796*G1796+IF(J1796="",0,J1796))</f>
        <v/>
      </c>
      <c r="I1796" s="5" t="n"/>
      <c r="J1796" s="5" t="n"/>
    </row>
    <row r="1797">
      <c r="A1797" s="5" t="n"/>
      <c r="B1797" s="5" t="n"/>
      <c r="C1797" s="5" t="n"/>
      <c r="D1797" s="5" t="n"/>
      <c r="E1797" s="4">
        <f>IF(C1797="","",COUNTIF($C$7:C1797,C1797))</f>
        <v/>
      </c>
      <c r="F1797" s="4">
        <f>IF(E1797="","",IF(E1797&lt;=3,6,IF(E1797&lt;=6,5,IF(E1797&lt;=9,4,IF(E1797&lt;=12,3,IF(E1797&lt;=15,2,0))))))</f>
        <v/>
      </c>
      <c r="G1797" s="5" t="n"/>
      <c r="H1797" s="4">
        <f>IF(OR(F1797="",G1797=""),"",F1797*G1797+IF(J1797="",0,J1797))</f>
        <v/>
      </c>
      <c r="I1797" s="5" t="n"/>
      <c r="J1797" s="5" t="n"/>
    </row>
    <row r="1798">
      <c r="A1798" s="5" t="n"/>
      <c r="B1798" s="5" t="n"/>
      <c r="C1798" s="5" t="n"/>
      <c r="D1798" s="5" t="n"/>
      <c r="E1798" s="4">
        <f>IF(C1798="","",COUNTIF($C$7:C1798,C1798))</f>
        <v/>
      </c>
      <c r="F1798" s="4">
        <f>IF(E1798="","",IF(E1798&lt;=3,6,IF(E1798&lt;=6,5,IF(E1798&lt;=9,4,IF(E1798&lt;=12,3,IF(E1798&lt;=15,2,0))))))</f>
        <v/>
      </c>
      <c r="G1798" s="5" t="n"/>
      <c r="H1798" s="4">
        <f>IF(OR(F1798="",G1798=""),"",F1798*G1798+IF(J1798="",0,J1798))</f>
        <v/>
      </c>
      <c r="I1798" s="5" t="n"/>
      <c r="J1798" s="5" t="n"/>
    </row>
    <row r="1799">
      <c r="A1799" s="5" t="n"/>
      <c r="B1799" s="5" t="n"/>
      <c r="C1799" s="5" t="n"/>
      <c r="D1799" s="5" t="n"/>
      <c r="E1799" s="4">
        <f>IF(C1799="","",COUNTIF($C$7:C1799,C1799))</f>
        <v/>
      </c>
      <c r="F1799" s="4">
        <f>IF(E1799="","",IF(E1799&lt;=3,6,IF(E1799&lt;=6,5,IF(E1799&lt;=9,4,IF(E1799&lt;=12,3,IF(E1799&lt;=15,2,0))))))</f>
        <v/>
      </c>
      <c r="G1799" s="5" t="n"/>
      <c r="H1799" s="4">
        <f>IF(OR(F1799="",G1799=""),"",F1799*G1799+IF(J1799="",0,J1799))</f>
        <v/>
      </c>
      <c r="I1799" s="5" t="n"/>
      <c r="J1799" s="5" t="n"/>
    </row>
    <row r="1800">
      <c r="A1800" s="5" t="n"/>
      <c r="B1800" s="5" t="n"/>
      <c r="C1800" s="5" t="n"/>
      <c r="D1800" s="5" t="n"/>
      <c r="E1800" s="4">
        <f>IF(C1800="","",COUNTIF($C$7:C1800,C1800))</f>
        <v/>
      </c>
      <c r="F1800" s="4">
        <f>IF(E1800="","",IF(E1800&lt;=3,6,IF(E1800&lt;=6,5,IF(E1800&lt;=9,4,IF(E1800&lt;=12,3,IF(E1800&lt;=15,2,0))))))</f>
        <v/>
      </c>
      <c r="G1800" s="5" t="n"/>
      <c r="H1800" s="4">
        <f>IF(OR(F1800="",G1800=""),"",F1800*G1800+IF(J1800="",0,J1800))</f>
        <v/>
      </c>
      <c r="I1800" s="5" t="n"/>
      <c r="J1800" s="5" t="n"/>
    </row>
    <row r="1801">
      <c r="A1801" s="5" t="n"/>
      <c r="B1801" s="5" t="n"/>
      <c r="C1801" s="5" t="n"/>
      <c r="D1801" s="5" t="n"/>
      <c r="E1801" s="4">
        <f>IF(C1801="","",COUNTIF($C$7:C1801,C1801))</f>
        <v/>
      </c>
      <c r="F1801" s="4">
        <f>IF(E1801="","",IF(E1801&lt;=3,6,IF(E1801&lt;=6,5,IF(E1801&lt;=9,4,IF(E1801&lt;=12,3,IF(E1801&lt;=15,2,0))))))</f>
        <v/>
      </c>
      <c r="G1801" s="5" t="n"/>
      <c r="H1801" s="4">
        <f>IF(OR(F1801="",G1801=""),"",F1801*G1801+IF(J1801="",0,J1801))</f>
        <v/>
      </c>
      <c r="I1801" s="5" t="n"/>
      <c r="J1801" s="5" t="n"/>
    </row>
    <row r="1802">
      <c r="A1802" s="5" t="n"/>
      <c r="B1802" s="5" t="n"/>
      <c r="C1802" s="5" t="n"/>
      <c r="D1802" s="5" t="n"/>
      <c r="E1802" s="4">
        <f>IF(C1802="","",COUNTIF($C$7:C1802,C1802))</f>
        <v/>
      </c>
      <c r="F1802" s="4">
        <f>IF(E1802="","",IF(E1802&lt;=3,6,IF(E1802&lt;=6,5,IF(E1802&lt;=9,4,IF(E1802&lt;=12,3,IF(E1802&lt;=15,2,0))))))</f>
        <v/>
      </c>
      <c r="G1802" s="5" t="n"/>
      <c r="H1802" s="4">
        <f>IF(OR(F1802="",G1802=""),"",F1802*G1802+IF(J1802="",0,J1802))</f>
        <v/>
      </c>
      <c r="I1802" s="5" t="n"/>
      <c r="J1802" s="5" t="n"/>
    </row>
    <row r="1803">
      <c r="A1803" s="5" t="n"/>
      <c r="B1803" s="5" t="n"/>
      <c r="C1803" s="5" t="n"/>
      <c r="D1803" s="5" t="n"/>
      <c r="E1803" s="4">
        <f>IF(C1803="","",COUNTIF($C$7:C1803,C1803))</f>
        <v/>
      </c>
      <c r="F1803" s="4">
        <f>IF(E1803="","",IF(E1803&lt;=3,6,IF(E1803&lt;=6,5,IF(E1803&lt;=9,4,IF(E1803&lt;=12,3,IF(E1803&lt;=15,2,0))))))</f>
        <v/>
      </c>
      <c r="G1803" s="5" t="n"/>
      <c r="H1803" s="4">
        <f>IF(OR(F1803="",G1803=""),"",F1803*G1803+IF(J1803="",0,J1803))</f>
        <v/>
      </c>
      <c r="I1803" s="5" t="n"/>
      <c r="J1803" s="5" t="n"/>
    </row>
    <row r="1804">
      <c r="A1804" s="5" t="n"/>
      <c r="B1804" s="5" t="n"/>
      <c r="C1804" s="5" t="n"/>
      <c r="D1804" s="5" t="n"/>
      <c r="E1804" s="4">
        <f>IF(C1804="","",COUNTIF($C$7:C1804,C1804))</f>
        <v/>
      </c>
      <c r="F1804" s="4">
        <f>IF(E1804="","",IF(E1804&lt;=3,6,IF(E1804&lt;=6,5,IF(E1804&lt;=9,4,IF(E1804&lt;=12,3,IF(E1804&lt;=15,2,0))))))</f>
        <v/>
      </c>
      <c r="G1804" s="5" t="n"/>
      <c r="H1804" s="4">
        <f>IF(OR(F1804="",G1804=""),"",F1804*G1804+IF(J1804="",0,J1804))</f>
        <v/>
      </c>
      <c r="I1804" s="5" t="n"/>
      <c r="J1804" s="5" t="n"/>
    </row>
    <row r="1805">
      <c r="A1805" s="5" t="n"/>
      <c r="B1805" s="5" t="n"/>
      <c r="C1805" s="5" t="n"/>
      <c r="D1805" s="5" t="n"/>
      <c r="E1805" s="4">
        <f>IF(C1805="","",COUNTIF($C$7:C1805,C1805))</f>
        <v/>
      </c>
      <c r="F1805" s="4">
        <f>IF(E1805="","",IF(E1805&lt;=3,6,IF(E1805&lt;=6,5,IF(E1805&lt;=9,4,IF(E1805&lt;=12,3,IF(E1805&lt;=15,2,0))))))</f>
        <v/>
      </c>
      <c r="G1805" s="5" t="n"/>
      <c r="H1805" s="4">
        <f>IF(OR(F1805="",G1805=""),"",F1805*G1805+IF(J1805="",0,J1805))</f>
        <v/>
      </c>
      <c r="I1805" s="5" t="n"/>
      <c r="J1805" s="5" t="n"/>
    </row>
    <row r="1806">
      <c r="A1806" s="5" t="n"/>
      <c r="B1806" s="5" t="n"/>
      <c r="C1806" s="5" t="n"/>
      <c r="D1806" s="5" t="n"/>
      <c r="E1806" s="4">
        <f>IF(C1806="","",COUNTIF($C$7:C1806,C1806))</f>
        <v/>
      </c>
      <c r="F1806" s="4">
        <f>IF(E1806="","",IF(E1806&lt;=3,6,IF(E1806&lt;=6,5,IF(E1806&lt;=9,4,IF(E1806&lt;=12,3,IF(E1806&lt;=15,2,0))))))</f>
        <v/>
      </c>
      <c r="G1806" s="5" t="n"/>
      <c r="H1806" s="4">
        <f>IF(OR(F1806="",G1806=""),"",F1806*G1806+IF(J1806="",0,J1806))</f>
        <v/>
      </c>
      <c r="I1806" s="5" t="n"/>
      <c r="J1806" s="5" t="n"/>
    </row>
    <row r="1807">
      <c r="A1807" s="5" t="n"/>
      <c r="B1807" s="5" t="n"/>
      <c r="C1807" s="5" t="n"/>
      <c r="D1807" s="5" t="n"/>
      <c r="E1807" s="4">
        <f>IF(C1807="","",COUNTIF($C$7:C1807,C1807))</f>
        <v/>
      </c>
      <c r="F1807" s="4">
        <f>IF(E1807="","",IF(E1807&lt;=3,6,IF(E1807&lt;=6,5,IF(E1807&lt;=9,4,IF(E1807&lt;=12,3,IF(E1807&lt;=15,2,0))))))</f>
        <v/>
      </c>
      <c r="G1807" s="5" t="n"/>
      <c r="H1807" s="4">
        <f>IF(OR(F1807="",G1807=""),"",F1807*G1807+IF(J1807="",0,J1807))</f>
        <v/>
      </c>
      <c r="I1807" s="5" t="n"/>
      <c r="J1807" s="5" t="n"/>
    </row>
    <row r="1808">
      <c r="A1808" s="5" t="n"/>
      <c r="B1808" s="5" t="n"/>
      <c r="C1808" s="5" t="n"/>
      <c r="D1808" s="5" t="n"/>
      <c r="E1808" s="4">
        <f>IF(C1808="","",COUNTIF($C$7:C1808,C1808))</f>
        <v/>
      </c>
      <c r="F1808" s="4">
        <f>IF(E1808="","",IF(E1808&lt;=3,6,IF(E1808&lt;=6,5,IF(E1808&lt;=9,4,IF(E1808&lt;=12,3,IF(E1808&lt;=15,2,0))))))</f>
        <v/>
      </c>
      <c r="G1808" s="5" t="n"/>
      <c r="H1808" s="4">
        <f>IF(OR(F1808="",G1808=""),"",F1808*G1808+IF(J1808="",0,J1808))</f>
        <v/>
      </c>
      <c r="I1808" s="5" t="n"/>
      <c r="J1808" s="5" t="n"/>
    </row>
    <row r="1809">
      <c r="A1809" s="5" t="n"/>
      <c r="B1809" s="5" t="n"/>
      <c r="C1809" s="5" t="n"/>
      <c r="D1809" s="5" t="n"/>
      <c r="E1809" s="4">
        <f>IF(C1809="","",COUNTIF($C$7:C1809,C1809))</f>
        <v/>
      </c>
      <c r="F1809" s="4">
        <f>IF(E1809="","",IF(E1809&lt;=3,6,IF(E1809&lt;=6,5,IF(E1809&lt;=9,4,IF(E1809&lt;=12,3,IF(E1809&lt;=15,2,0))))))</f>
        <v/>
      </c>
      <c r="G1809" s="5" t="n"/>
      <c r="H1809" s="4">
        <f>IF(OR(F1809="",G1809=""),"",F1809*G1809+IF(J1809="",0,J1809))</f>
        <v/>
      </c>
      <c r="I1809" s="5" t="n"/>
      <c r="J1809" s="5" t="n"/>
    </row>
    <row r="1810">
      <c r="A1810" s="5" t="n"/>
      <c r="B1810" s="5" t="n"/>
      <c r="C1810" s="5" t="n"/>
      <c r="D1810" s="5" t="n"/>
      <c r="E1810" s="4">
        <f>IF(C1810="","",COUNTIF($C$7:C1810,C1810))</f>
        <v/>
      </c>
      <c r="F1810" s="4">
        <f>IF(E1810="","",IF(E1810&lt;=3,6,IF(E1810&lt;=6,5,IF(E1810&lt;=9,4,IF(E1810&lt;=12,3,IF(E1810&lt;=15,2,0))))))</f>
        <v/>
      </c>
      <c r="G1810" s="5" t="n"/>
      <c r="H1810" s="4">
        <f>IF(OR(F1810="",G1810=""),"",F1810*G1810+IF(J1810="",0,J1810))</f>
        <v/>
      </c>
      <c r="I1810" s="5" t="n"/>
      <c r="J1810" s="5" t="n"/>
    </row>
    <row r="1811">
      <c r="A1811" s="5" t="n"/>
      <c r="B1811" s="5" t="n"/>
      <c r="C1811" s="5" t="n"/>
      <c r="D1811" s="5" t="n"/>
      <c r="E1811" s="4">
        <f>IF(C1811="","",COUNTIF($C$7:C1811,C1811))</f>
        <v/>
      </c>
      <c r="F1811" s="4">
        <f>IF(E1811="","",IF(E1811&lt;=3,6,IF(E1811&lt;=6,5,IF(E1811&lt;=9,4,IF(E1811&lt;=12,3,IF(E1811&lt;=15,2,0))))))</f>
        <v/>
      </c>
      <c r="G1811" s="5" t="n"/>
      <c r="H1811" s="4">
        <f>IF(OR(F1811="",G1811=""),"",F1811*G1811+IF(J1811="",0,J1811))</f>
        <v/>
      </c>
      <c r="I1811" s="5" t="n"/>
      <c r="J1811" s="5" t="n"/>
    </row>
    <row r="1812">
      <c r="A1812" s="5" t="n"/>
      <c r="B1812" s="5" t="n"/>
      <c r="C1812" s="5" t="n"/>
      <c r="D1812" s="5" t="n"/>
      <c r="E1812" s="4">
        <f>IF(C1812="","",COUNTIF($C$7:C1812,C1812))</f>
        <v/>
      </c>
      <c r="F1812" s="4">
        <f>IF(E1812="","",IF(E1812&lt;=3,6,IF(E1812&lt;=6,5,IF(E1812&lt;=9,4,IF(E1812&lt;=12,3,IF(E1812&lt;=15,2,0))))))</f>
        <v/>
      </c>
      <c r="G1812" s="5" t="n"/>
      <c r="H1812" s="4">
        <f>IF(OR(F1812="",G1812=""),"",F1812*G1812+IF(J1812="",0,J1812))</f>
        <v/>
      </c>
      <c r="I1812" s="5" t="n"/>
      <c r="J1812" s="5" t="n"/>
    </row>
    <row r="1813">
      <c r="A1813" s="5" t="n"/>
      <c r="B1813" s="5" t="n"/>
      <c r="C1813" s="5" t="n"/>
      <c r="D1813" s="5" t="n"/>
      <c r="E1813" s="4">
        <f>IF(C1813="","",COUNTIF($C$7:C1813,C1813))</f>
        <v/>
      </c>
      <c r="F1813" s="4">
        <f>IF(E1813="","",IF(E1813&lt;=3,6,IF(E1813&lt;=6,5,IF(E1813&lt;=9,4,IF(E1813&lt;=12,3,IF(E1813&lt;=15,2,0))))))</f>
        <v/>
      </c>
      <c r="G1813" s="5" t="n"/>
      <c r="H1813" s="4">
        <f>IF(OR(F1813="",G1813=""),"",F1813*G1813+IF(J1813="",0,J1813))</f>
        <v/>
      </c>
      <c r="I1813" s="5" t="n"/>
      <c r="J1813" s="5" t="n"/>
    </row>
    <row r="1814">
      <c r="A1814" s="5" t="n"/>
      <c r="B1814" s="5" t="n"/>
      <c r="C1814" s="5" t="n"/>
      <c r="D1814" s="5" t="n"/>
      <c r="E1814" s="4">
        <f>IF(C1814="","",COUNTIF($C$7:C1814,C1814))</f>
        <v/>
      </c>
      <c r="F1814" s="4">
        <f>IF(E1814="","",IF(E1814&lt;=3,6,IF(E1814&lt;=6,5,IF(E1814&lt;=9,4,IF(E1814&lt;=12,3,IF(E1814&lt;=15,2,0))))))</f>
        <v/>
      </c>
      <c r="G1814" s="5" t="n"/>
      <c r="H1814" s="4">
        <f>IF(OR(F1814="",G1814=""),"",F1814*G1814+IF(J1814="",0,J1814))</f>
        <v/>
      </c>
      <c r="I1814" s="5" t="n"/>
      <c r="J1814" s="5" t="n"/>
    </row>
    <row r="1815">
      <c r="A1815" s="5" t="n"/>
      <c r="B1815" s="5" t="n"/>
      <c r="C1815" s="5" t="n"/>
      <c r="D1815" s="5" t="n"/>
      <c r="E1815" s="4">
        <f>IF(C1815="","",COUNTIF($C$7:C1815,C1815))</f>
        <v/>
      </c>
      <c r="F1815" s="4">
        <f>IF(E1815="","",IF(E1815&lt;=3,6,IF(E1815&lt;=6,5,IF(E1815&lt;=9,4,IF(E1815&lt;=12,3,IF(E1815&lt;=15,2,0))))))</f>
        <v/>
      </c>
      <c r="G1815" s="5" t="n"/>
      <c r="H1815" s="4">
        <f>IF(OR(F1815="",G1815=""),"",F1815*G1815+IF(J1815="",0,J1815))</f>
        <v/>
      </c>
      <c r="I1815" s="5" t="n"/>
      <c r="J1815" s="5" t="n"/>
    </row>
    <row r="1816">
      <c r="A1816" s="5" t="n"/>
      <c r="B1816" s="5" t="n"/>
      <c r="C1816" s="5" t="n"/>
      <c r="D1816" s="5" t="n"/>
      <c r="E1816" s="4">
        <f>IF(C1816="","",COUNTIF($C$7:C1816,C1816))</f>
        <v/>
      </c>
      <c r="F1816" s="4">
        <f>IF(E1816="","",IF(E1816&lt;=3,6,IF(E1816&lt;=6,5,IF(E1816&lt;=9,4,IF(E1816&lt;=12,3,IF(E1816&lt;=15,2,0))))))</f>
        <v/>
      </c>
      <c r="G1816" s="5" t="n"/>
      <c r="H1816" s="4">
        <f>IF(OR(F1816="",G1816=""),"",F1816*G1816+IF(J1816="",0,J1816))</f>
        <v/>
      </c>
      <c r="I1816" s="5" t="n"/>
      <c r="J1816" s="5" t="n"/>
    </row>
    <row r="1817">
      <c r="A1817" s="5" t="n"/>
      <c r="B1817" s="5" t="n"/>
      <c r="C1817" s="5" t="n"/>
      <c r="D1817" s="5" t="n"/>
      <c r="E1817" s="4">
        <f>IF(C1817="","",COUNTIF($C$7:C1817,C1817))</f>
        <v/>
      </c>
      <c r="F1817" s="4">
        <f>IF(E1817="","",IF(E1817&lt;=3,6,IF(E1817&lt;=6,5,IF(E1817&lt;=9,4,IF(E1817&lt;=12,3,IF(E1817&lt;=15,2,0))))))</f>
        <v/>
      </c>
      <c r="G1817" s="5" t="n"/>
      <c r="H1817" s="4">
        <f>IF(OR(F1817="",G1817=""),"",F1817*G1817+IF(J1817="",0,J1817))</f>
        <v/>
      </c>
      <c r="I1817" s="5" t="n"/>
      <c r="J1817" s="5" t="n"/>
    </row>
    <row r="1818">
      <c r="A1818" s="5" t="n"/>
      <c r="B1818" s="5" t="n"/>
      <c r="C1818" s="5" t="n"/>
      <c r="D1818" s="5" t="n"/>
      <c r="E1818" s="4">
        <f>IF(C1818="","",COUNTIF($C$7:C1818,C1818))</f>
        <v/>
      </c>
      <c r="F1818" s="4">
        <f>IF(E1818="","",IF(E1818&lt;=3,6,IF(E1818&lt;=6,5,IF(E1818&lt;=9,4,IF(E1818&lt;=12,3,IF(E1818&lt;=15,2,0))))))</f>
        <v/>
      </c>
      <c r="G1818" s="5" t="n"/>
      <c r="H1818" s="4">
        <f>IF(OR(F1818="",G1818=""),"",F1818*G1818+IF(J1818="",0,J1818))</f>
        <v/>
      </c>
      <c r="I1818" s="5" t="n"/>
      <c r="J1818" s="5" t="n"/>
    </row>
    <row r="1819">
      <c r="A1819" s="5" t="n"/>
      <c r="B1819" s="5" t="n"/>
      <c r="C1819" s="5" t="n"/>
      <c r="D1819" s="5" t="n"/>
      <c r="E1819" s="4">
        <f>IF(C1819="","",COUNTIF($C$7:C1819,C1819))</f>
        <v/>
      </c>
      <c r="F1819" s="4">
        <f>IF(E1819="","",IF(E1819&lt;=3,6,IF(E1819&lt;=6,5,IF(E1819&lt;=9,4,IF(E1819&lt;=12,3,IF(E1819&lt;=15,2,0))))))</f>
        <v/>
      </c>
      <c r="G1819" s="5" t="n"/>
      <c r="H1819" s="4">
        <f>IF(OR(F1819="",G1819=""),"",F1819*G1819+IF(J1819="",0,J1819))</f>
        <v/>
      </c>
      <c r="I1819" s="5" t="n"/>
      <c r="J1819" s="5" t="n"/>
    </row>
    <row r="1820">
      <c r="A1820" s="5" t="n"/>
      <c r="B1820" s="5" t="n"/>
      <c r="C1820" s="5" t="n"/>
      <c r="D1820" s="5" t="n"/>
      <c r="E1820" s="4">
        <f>IF(C1820="","",COUNTIF($C$7:C1820,C1820))</f>
        <v/>
      </c>
      <c r="F1820" s="4">
        <f>IF(E1820="","",IF(E1820&lt;=3,6,IF(E1820&lt;=6,5,IF(E1820&lt;=9,4,IF(E1820&lt;=12,3,IF(E1820&lt;=15,2,0))))))</f>
        <v/>
      </c>
      <c r="G1820" s="5" t="n"/>
      <c r="H1820" s="4">
        <f>IF(OR(F1820="",G1820=""),"",F1820*G1820+IF(J1820="",0,J1820))</f>
        <v/>
      </c>
      <c r="I1820" s="5" t="n"/>
      <c r="J1820" s="5" t="n"/>
    </row>
    <row r="1821">
      <c r="A1821" s="5" t="n"/>
      <c r="B1821" s="5" t="n"/>
      <c r="C1821" s="5" t="n"/>
      <c r="D1821" s="5" t="n"/>
      <c r="E1821" s="4">
        <f>IF(C1821="","",COUNTIF($C$7:C1821,C1821))</f>
        <v/>
      </c>
      <c r="F1821" s="4">
        <f>IF(E1821="","",IF(E1821&lt;=3,6,IF(E1821&lt;=6,5,IF(E1821&lt;=9,4,IF(E1821&lt;=12,3,IF(E1821&lt;=15,2,0))))))</f>
        <v/>
      </c>
      <c r="G1821" s="5" t="n"/>
      <c r="H1821" s="4">
        <f>IF(OR(F1821="",G1821=""),"",F1821*G1821+IF(J1821="",0,J1821))</f>
        <v/>
      </c>
      <c r="I1821" s="5" t="n"/>
      <c r="J1821" s="5" t="n"/>
    </row>
    <row r="1822">
      <c r="A1822" s="5" t="n"/>
      <c r="B1822" s="5" t="n"/>
      <c r="C1822" s="5" t="n"/>
      <c r="D1822" s="5" t="n"/>
      <c r="E1822" s="4">
        <f>IF(C1822="","",COUNTIF($C$7:C1822,C1822))</f>
        <v/>
      </c>
      <c r="F1822" s="4">
        <f>IF(E1822="","",IF(E1822&lt;=3,6,IF(E1822&lt;=6,5,IF(E1822&lt;=9,4,IF(E1822&lt;=12,3,IF(E1822&lt;=15,2,0))))))</f>
        <v/>
      </c>
      <c r="G1822" s="5" t="n"/>
      <c r="H1822" s="4">
        <f>IF(OR(F1822="",G1822=""),"",F1822*G1822+IF(J1822="",0,J1822))</f>
        <v/>
      </c>
      <c r="I1822" s="5" t="n"/>
      <c r="J1822" s="5" t="n"/>
    </row>
    <row r="1823">
      <c r="A1823" s="5" t="n"/>
      <c r="B1823" s="5" t="n"/>
      <c r="C1823" s="5" t="n"/>
      <c r="D1823" s="5" t="n"/>
      <c r="E1823" s="4">
        <f>IF(C1823="","",COUNTIF($C$7:C1823,C1823))</f>
        <v/>
      </c>
      <c r="F1823" s="4">
        <f>IF(E1823="","",IF(E1823&lt;=3,6,IF(E1823&lt;=6,5,IF(E1823&lt;=9,4,IF(E1823&lt;=12,3,IF(E1823&lt;=15,2,0))))))</f>
        <v/>
      </c>
      <c r="G1823" s="5" t="n"/>
      <c r="H1823" s="4">
        <f>IF(OR(F1823="",G1823=""),"",F1823*G1823+IF(J1823="",0,J1823))</f>
        <v/>
      </c>
      <c r="I1823" s="5" t="n"/>
      <c r="J1823" s="5" t="n"/>
    </row>
    <row r="1824">
      <c r="A1824" s="5" t="n"/>
      <c r="B1824" s="5" t="n"/>
      <c r="C1824" s="5" t="n"/>
      <c r="D1824" s="5" t="n"/>
      <c r="E1824" s="4">
        <f>IF(C1824="","",COUNTIF($C$7:C1824,C1824))</f>
        <v/>
      </c>
      <c r="F1824" s="4">
        <f>IF(E1824="","",IF(E1824&lt;=3,6,IF(E1824&lt;=6,5,IF(E1824&lt;=9,4,IF(E1824&lt;=12,3,IF(E1824&lt;=15,2,0))))))</f>
        <v/>
      </c>
      <c r="G1824" s="5" t="n"/>
      <c r="H1824" s="4">
        <f>IF(OR(F1824="",G1824=""),"",F1824*G1824+IF(J1824="",0,J1824))</f>
        <v/>
      </c>
      <c r="I1824" s="5" t="n"/>
      <c r="J1824" s="5" t="n"/>
    </row>
    <row r="1825">
      <c r="A1825" s="5" t="n"/>
      <c r="B1825" s="5" t="n"/>
      <c r="C1825" s="5" t="n"/>
      <c r="D1825" s="5" t="n"/>
      <c r="E1825" s="4">
        <f>IF(C1825="","",COUNTIF($C$7:C1825,C1825))</f>
        <v/>
      </c>
      <c r="F1825" s="4">
        <f>IF(E1825="","",IF(E1825&lt;=3,6,IF(E1825&lt;=6,5,IF(E1825&lt;=9,4,IF(E1825&lt;=12,3,IF(E1825&lt;=15,2,0))))))</f>
        <v/>
      </c>
      <c r="G1825" s="5" t="n"/>
      <c r="H1825" s="4">
        <f>IF(OR(F1825="",G1825=""),"",F1825*G1825+IF(J1825="",0,J1825))</f>
        <v/>
      </c>
      <c r="I1825" s="5" t="n"/>
      <c r="J1825" s="5" t="n"/>
    </row>
    <row r="1826">
      <c r="A1826" s="5" t="n"/>
      <c r="B1826" s="5" t="n"/>
      <c r="C1826" s="5" t="n"/>
      <c r="D1826" s="5" t="n"/>
      <c r="E1826" s="4">
        <f>IF(C1826="","",COUNTIF($C$7:C1826,C1826))</f>
        <v/>
      </c>
      <c r="F1826" s="4">
        <f>IF(E1826="","",IF(E1826&lt;=3,6,IF(E1826&lt;=6,5,IF(E1826&lt;=9,4,IF(E1826&lt;=12,3,IF(E1826&lt;=15,2,0))))))</f>
        <v/>
      </c>
      <c r="G1826" s="5" t="n"/>
      <c r="H1826" s="4">
        <f>IF(OR(F1826="",G1826=""),"",F1826*G1826+IF(J1826="",0,J1826))</f>
        <v/>
      </c>
      <c r="I1826" s="5" t="n"/>
      <c r="J1826" s="5" t="n"/>
    </row>
    <row r="1827">
      <c r="A1827" s="5" t="n"/>
      <c r="B1827" s="5" t="n"/>
      <c r="C1827" s="5" t="n"/>
      <c r="D1827" s="5" t="n"/>
      <c r="E1827" s="4">
        <f>IF(C1827="","",COUNTIF($C$7:C1827,C1827))</f>
        <v/>
      </c>
      <c r="F1827" s="4">
        <f>IF(E1827="","",IF(E1827&lt;=3,6,IF(E1827&lt;=6,5,IF(E1827&lt;=9,4,IF(E1827&lt;=12,3,IF(E1827&lt;=15,2,0))))))</f>
        <v/>
      </c>
      <c r="G1827" s="5" t="n"/>
      <c r="H1827" s="4">
        <f>IF(OR(F1827="",G1827=""),"",F1827*G1827+IF(J1827="",0,J1827))</f>
        <v/>
      </c>
      <c r="I1827" s="5" t="n"/>
      <c r="J1827" s="5" t="n"/>
    </row>
    <row r="1828">
      <c r="A1828" s="5" t="n"/>
      <c r="B1828" s="5" t="n"/>
      <c r="C1828" s="5" t="n"/>
      <c r="D1828" s="5" t="n"/>
      <c r="E1828" s="4">
        <f>IF(C1828="","",COUNTIF($C$7:C1828,C1828))</f>
        <v/>
      </c>
      <c r="F1828" s="4">
        <f>IF(E1828="","",IF(E1828&lt;=3,6,IF(E1828&lt;=6,5,IF(E1828&lt;=9,4,IF(E1828&lt;=12,3,IF(E1828&lt;=15,2,0))))))</f>
        <v/>
      </c>
      <c r="G1828" s="5" t="n"/>
      <c r="H1828" s="4">
        <f>IF(OR(F1828="",G1828=""),"",F1828*G1828+IF(J1828="",0,J1828))</f>
        <v/>
      </c>
      <c r="I1828" s="5" t="n"/>
      <c r="J1828" s="5" t="n"/>
    </row>
    <row r="1829">
      <c r="A1829" s="5" t="n"/>
      <c r="B1829" s="5" t="n"/>
      <c r="C1829" s="5" t="n"/>
      <c r="D1829" s="5" t="n"/>
      <c r="E1829" s="4">
        <f>IF(C1829="","",COUNTIF($C$7:C1829,C1829))</f>
        <v/>
      </c>
      <c r="F1829" s="4">
        <f>IF(E1829="","",IF(E1829&lt;=3,6,IF(E1829&lt;=6,5,IF(E1829&lt;=9,4,IF(E1829&lt;=12,3,IF(E1829&lt;=15,2,0))))))</f>
        <v/>
      </c>
      <c r="G1829" s="5" t="n"/>
      <c r="H1829" s="4">
        <f>IF(OR(F1829="",G1829=""),"",F1829*G1829+IF(J1829="",0,J1829))</f>
        <v/>
      </c>
      <c r="I1829" s="5" t="n"/>
      <c r="J1829" s="5" t="n"/>
    </row>
    <row r="1830">
      <c r="A1830" s="5" t="n"/>
      <c r="B1830" s="5" t="n"/>
      <c r="C1830" s="5" t="n"/>
      <c r="D1830" s="5" t="n"/>
      <c r="E1830" s="4">
        <f>IF(C1830="","",COUNTIF($C$7:C1830,C1830))</f>
        <v/>
      </c>
      <c r="F1830" s="4">
        <f>IF(E1830="","",IF(E1830&lt;=3,6,IF(E1830&lt;=6,5,IF(E1830&lt;=9,4,IF(E1830&lt;=12,3,IF(E1830&lt;=15,2,0))))))</f>
        <v/>
      </c>
      <c r="G1830" s="5" t="n"/>
      <c r="H1830" s="4">
        <f>IF(OR(F1830="",G1830=""),"",F1830*G1830+IF(J1830="",0,J1830))</f>
        <v/>
      </c>
      <c r="I1830" s="5" t="n"/>
      <c r="J1830" s="5" t="n"/>
    </row>
    <row r="1831">
      <c r="A1831" s="5" t="n"/>
      <c r="B1831" s="5" t="n"/>
      <c r="C1831" s="5" t="n"/>
      <c r="D1831" s="5" t="n"/>
      <c r="E1831" s="4">
        <f>IF(C1831="","",COUNTIF($C$7:C1831,C1831))</f>
        <v/>
      </c>
      <c r="F1831" s="4">
        <f>IF(E1831="","",IF(E1831&lt;=3,6,IF(E1831&lt;=6,5,IF(E1831&lt;=9,4,IF(E1831&lt;=12,3,IF(E1831&lt;=15,2,0))))))</f>
        <v/>
      </c>
      <c r="G1831" s="5" t="n"/>
      <c r="H1831" s="4">
        <f>IF(OR(F1831="",G1831=""),"",F1831*G1831+IF(J1831="",0,J1831))</f>
        <v/>
      </c>
      <c r="I1831" s="5" t="n"/>
      <c r="J1831" s="5" t="n"/>
    </row>
    <row r="1832">
      <c r="A1832" s="5" t="n"/>
      <c r="B1832" s="5" t="n"/>
      <c r="C1832" s="5" t="n"/>
      <c r="D1832" s="5" t="n"/>
      <c r="E1832" s="4">
        <f>IF(C1832="","",COUNTIF($C$7:C1832,C1832))</f>
        <v/>
      </c>
      <c r="F1832" s="4">
        <f>IF(E1832="","",IF(E1832&lt;=3,6,IF(E1832&lt;=6,5,IF(E1832&lt;=9,4,IF(E1832&lt;=12,3,IF(E1832&lt;=15,2,0))))))</f>
        <v/>
      </c>
      <c r="G1832" s="5" t="n"/>
      <c r="H1832" s="4">
        <f>IF(OR(F1832="",G1832=""),"",F1832*G1832+IF(J1832="",0,J1832))</f>
        <v/>
      </c>
      <c r="I1832" s="5" t="n"/>
      <c r="J1832" s="5" t="n"/>
    </row>
    <row r="1833">
      <c r="A1833" s="5" t="n"/>
      <c r="B1833" s="5" t="n"/>
      <c r="C1833" s="5" t="n"/>
      <c r="D1833" s="5" t="n"/>
      <c r="E1833" s="4">
        <f>IF(C1833="","",COUNTIF($C$7:C1833,C1833))</f>
        <v/>
      </c>
      <c r="F1833" s="4">
        <f>IF(E1833="","",IF(E1833&lt;=3,6,IF(E1833&lt;=6,5,IF(E1833&lt;=9,4,IF(E1833&lt;=12,3,IF(E1833&lt;=15,2,0))))))</f>
        <v/>
      </c>
      <c r="G1833" s="5" t="n"/>
      <c r="H1833" s="4">
        <f>IF(OR(F1833="",G1833=""),"",F1833*G1833+IF(J1833="",0,J1833))</f>
        <v/>
      </c>
      <c r="I1833" s="5" t="n"/>
      <c r="J1833" s="5" t="n"/>
    </row>
    <row r="1834">
      <c r="A1834" s="5" t="n"/>
      <c r="B1834" s="5" t="n"/>
      <c r="C1834" s="5" t="n"/>
      <c r="D1834" s="5" t="n"/>
      <c r="E1834" s="4">
        <f>IF(C1834="","",COUNTIF($C$7:C1834,C1834))</f>
        <v/>
      </c>
      <c r="F1834" s="4">
        <f>IF(E1834="","",IF(E1834&lt;=3,6,IF(E1834&lt;=6,5,IF(E1834&lt;=9,4,IF(E1834&lt;=12,3,IF(E1834&lt;=15,2,0))))))</f>
        <v/>
      </c>
      <c r="G1834" s="5" t="n"/>
      <c r="H1834" s="4">
        <f>IF(OR(F1834="",G1834=""),"",F1834*G1834+IF(J1834="",0,J1834))</f>
        <v/>
      </c>
      <c r="I1834" s="5" t="n"/>
      <c r="J1834" s="5" t="n"/>
    </row>
    <row r="1835">
      <c r="A1835" s="5" t="n"/>
      <c r="B1835" s="5" t="n"/>
      <c r="C1835" s="5" t="n"/>
      <c r="D1835" s="5" t="n"/>
      <c r="E1835" s="4">
        <f>IF(C1835="","",COUNTIF($C$7:C1835,C1835))</f>
        <v/>
      </c>
      <c r="F1835" s="4">
        <f>IF(E1835="","",IF(E1835&lt;=3,6,IF(E1835&lt;=6,5,IF(E1835&lt;=9,4,IF(E1835&lt;=12,3,IF(E1835&lt;=15,2,0))))))</f>
        <v/>
      </c>
      <c r="G1835" s="5" t="n"/>
      <c r="H1835" s="4">
        <f>IF(OR(F1835="",G1835=""),"",F1835*G1835+IF(J1835="",0,J1835))</f>
        <v/>
      </c>
      <c r="I1835" s="5" t="n"/>
      <c r="J1835" s="5" t="n"/>
    </row>
    <row r="1836">
      <c r="A1836" s="5" t="n"/>
      <c r="B1836" s="5" t="n"/>
      <c r="C1836" s="5" t="n"/>
      <c r="D1836" s="5" t="n"/>
      <c r="E1836" s="4">
        <f>IF(C1836="","",COUNTIF($C$7:C1836,C1836))</f>
        <v/>
      </c>
      <c r="F1836" s="4">
        <f>IF(E1836="","",IF(E1836&lt;=3,6,IF(E1836&lt;=6,5,IF(E1836&lt;=9,4,IF(E1836&lt;=12,3,IF(E1836&lt;=15,2,0))))))</f>
        <v/>
      </c>
      <c r="G1836" s="5" t="n"/>
      <c r="H1836" s="4">
        <f>IF(OR(F1836="",G1836=""),"",F1836*G1836+IF(J1836="",0,J1836))</f>
        <v/>
      </c>
      <c r="I1836" s="5" t="n"/>
      <c r="J1836" s="5" t="n"/>
    </row>
    <row r="1837">
      <c r="A1837" s="5" t="n"/>
      <c r="B1837" s="5" t="n"/>
      <c r="C1837" s="5" t="n"/>
      <c r="D1837" s="5" t="n"/>
      <c r="E1837" s="4">
        <f>IF(C1837="","",COUNTIF($C$7:C1837,C1837))</f>
        <v/>
      </c>
      <c r="F1837" s="4">
        <f>IF(E1837="","",IF(E1837&lt;=3,6,IF(E1837&lt;=6,5,IF(E1837&lt;=9,4,IF(E1837&lt;=12,3,IF(E1837&lt;=15,2,0))))))</f>
        <v/>
      </c>
      <c r="G1837" s="5" t="n"/>
      <c r="H1837" s="4">
        <f>IF(OR(F1837="",G1837=""),"",F1837*G1837+IF(J1837="",0,J1837))</f>
        <v/>
      </c>
      <c r="I1837" s="5" t="n"/>
      <c r="J1837" s="5" t="n"/>
    </row>
    <row r="1838">
      <c r="A1838" s="5" t="n"/>
      <c r="B1838" s="5" t="n"/>
      <c r="C1838" s="5" t="n"/>
      <c r="D1838" s="5" t="n"/>
      <c r="E1838" s="4">
        <f>IF(C1838="","",COUNTIF($C$7:C1838,C1838))</f>
        <v/>
      </c>
      <c r="F1838" s="4">
        <f>IF(E1838="","",IF(E1838&lt;=3,6,IF(E1838&lt;=6,5,IF(E1838&lt;=9,4,IF(E1838&lt;=12,3,IF(E1838&lt;=15,2,0))))))</f>
        <v/>
      </c>
      <c r="G1838" s="5" t="n"/>
      <c r="H1838" s="4">
        <f>IF(OR(F1838="",G1838=""),"",F1838*G1838+IF(J1838="",0,J1838))</f>
        <v/>
      </c>
      <c r="I1838" s="5" t="n"/>
      <c r="J1838" s="5" t="n"/>
    </row>
    <row r="1839">
      <c r="A1839" s="5" t="n"/>
      <c r="B1839" s="5" t="n"/>
      <c r="C1839" s="5" t="n"/>
      <c r="D1839" s="5" t="n"/>
      <c r="E1839" s="4">
        <f>IF(C1839="","",COUNTIF($C$7:C1839,C1839))</f>
        <v/>
      </c>
      <c r="F1839" s="4">
        <f>IF(E1839="","",IF(E1839&lt;=3,6,IF(E1839&lt;=6,5,IF(E1839&lt;=9,4,IF(E1839&lt;=12,3,IF(E1839&lt;=15,2,0))))))</f>
        <v/>
      </c>
      <c r="G1839" s="5" t="n"/>
      <c r="H1839" s="4">
        <f>IF(OR(F1839="",G1839=""),"",F1839*G1839+IF(J1839="",0,J1839))</f>
        <v/>
      </c>
      <c r="I1839" s="5" t="n"/>
      <c r="J1839" s="5" t="n"/>
    </row>
    <row r="1840">
      <c r="A1840" s="5" t="n"/>
      <c r="B1840" s="5" t="n"/>
      <c r="C1840" s="5" t="n"/>
      <c r="D1840" s="5" t="n"/>
      <c r="E1840" s="4">
        <f>IF(C1840="","",COUNTIF($C$7:C1840,C1840))</f>
        <v/>
      </c>
      <c r="F1840" s="4">
        <f>IF(E1840="","",IF(E1840&lt;=3,6,IF(E1840&lt;=6,5,IF(E1840&lt;=9,4,IF(E1840&lt;=12,3,IF(E1840&lt;=15,2,0))))))</f>
        <v/>
      </c>
      <c r="G1840" s="5" t="n"/>
      <c r="H1840" s="4">
        <f>IF(OR(F1840="",G1840=""),"",F1840*G1840+IF(J1840="",0,J1840))</f>
        <v/>
      </c>
      <c r="I1840" s="5" t="n"/>
      <c r="J1840" s="5" t="n"/>
    </row>
    <row r="1841">
      <c r="A1841" s="5" t="n"/>
      <c r="B1841" s="5" t="n"/>
      <c r="C1841" s="5" t="n"/>
      <c r="D1841" s="5" t="n"/>
      <c r="E1841" s="4">
        <f>IF(C1841="","",COUNTIF($C$7:C1841,C1841))</f>
        <v/>
      </c>
      <c r="F1841" s="4">
        <f>IF(E1841="","",IF(E1841&lt;=3,6,IF(E1841&lt;=6,5,IF(E1841&lt;=9,4,IF(E1841&lt;=12,3,IF(E1841&lt;=15,2,0))))))</f>
        <v/>
      </c>
      <c r="G1841" s="5" t="n"/>
      <c r="H1841" s="4">
        <f>IF(OR(F1841="",G1841=""),"",F1841*G1841+IF(J1841="",0,J1841))</f>
        <v/>
      </c>
      <c r="I1841" s="5" t="n"/>
      <c r="J1841" s="5" t="n"/>
    </row>
    <row r="1842">
      <c r="A1842" s="5" t="n"/>
      <c r="B1842" s="5" t="n"/>
      <c r="C1842" s="5" t="n"/>
      <c r="D1842" s="5" t="n"/>
      <c r="E1842" s="4">
        <f>IF(C1842="","",COUNTIF($C$7:C1842,C1842))</f>
        <v/>
      </c>
      <c r="F1842" s="4">
        <f>IF(E1842="","",IF(E1842&lt;=3,6,IF(E1842&lt;=6,5,IF(E1842&lt;=9,4,IF(E1842&lt;=12,3,IF(E1842&lt;=15,2,0))))))</f>
        <v/>
      </c>
      <c r="G1842" s="5" t="n"/>
      <c r="H1842" s="4">
        <f>IF(OR(F1842="",G1842=""),"",F1842*G1842+IF(J1842="",0,J1842))</f>
        <v/>
      </c>
      <c r="I1842" s="5" t="n"/>
      <c r="J1842" s="5" t="n"/>
    </row>
    <row r="1843">
      <c r="A1843" s="5" t="n"/>
      <c r="B1843" s="5" t="n"/>
      <c r="C1843" s="5" t="n"/>
      <c r="D1843" s="5" t="n"/>
      <c r="E1843" s="4">
        <f>IF(C1843="","",COUNTIF($C$7:C1843,C1843))</f>
        <v/>
      </c>
      <c r="F1843" s="4">
        <f>IF(E1843="","",IF(E1843&lt;=3,6,IF(E1843&lt;=6,5,IF(E1843&lt;=9,4,IF(E1843&lt;=12,3,IF(E1843&lt;=15,2,0))))))</f>
        <v/>
      </c>
      <c r="G1843" s="5" t="n"/>
      <c r="H1843" s="4">
        <f>IF(OR(F1843="",G1843=""),"",F1843*G1843+IF(J1843="",0,J1843))</f>
        <v/>
      </c>
      <c r="I1843" s="5" t="n"/>
      <c r="J1843" s="5" t="n"/>
    </row>
    <row r="1844">
      <c r="A1844" s="5" t="n"/>
      <c r="B1844" s="5" t="n"/>
      <c r="C1844" s="5" t="n"/>
      <c r="D1844" s="5" t="n"/>
      <c r="E1844" s="4">
        <f>IF(C1844="","",COUNTIF($C$7:C1844,C1844))</f>
        <v/>
      </c>
      <c r="F1844" s="4">
        <f>IF(E1844="","",IF(E1844&lt;=3,6,IF(E1844&lt;=6,5,IF(E1844&lt;=9,4,IF(E1844&lt;=12,3,IF(E1844&lt;=15,2,0))))))</f>
        <v/>
      </c>
      <c r="G1844" s="5" t="n"/>
      <c r="H1844" s="4">
        <f>IF(OR(F1844="",G1844=""),"",F1844*G1844+IF(J1844="",0,J1844))</f>
        <v/>
      </c>
      <c r="I1844" s="5" t="n"/>
      <c r="J1844" s="5" t="n"/>
    </row>
    <row r="1845">
      <c r="A1845" s="5" t="n"/>
      <c r="B1845" s="5" t="n"/>
      <c r="C1845" s="5" t="n"/>
      <c r="D1845" s="5" t="n"/>
      <c r="E1845" s="4">
        <f>IF(C1845="","",COUNTIF($C$7:C1845,C1845))</f>
        <v/>
      </c>
      <c r="F1845" s="4">
        <f>IF(E1845="","",IF(E1845&lt;=3,6,IF(E1845&lt;=6,5,IF(E1845&lt;=9,4,IF(E1845&lt;=12,3,IF(E1845&lt;=15,2,0))))))</f>
        <v/>
      </c>
      <c r="G1845" s="5" t="n"/>
      <c r="H1845" s="4">
        <f>IF(OR(F1845="",G1845=""),"",F1845*G1845+IF(J1845="",0,J1845))</f>
        <v/>
      </c>
      <c r="I1845" s="5" t="n"/>
      <c r="J1845" s="5" t="n"/>
    </row>
    <row r="1846">
      <c r="A1846" s="5" t="n"/>
      <c r="B1846" s="5" t="n"/>
      <c r="C1846" s="5" t="n"/>
      <c r="D1846" s="5" t="n"/>
      <c r="E1846" s="4">
        <f>IF(C1846="","",COUNTIF($C$7:C1846,C1846))</f>
        <v/>
      </c>
      <c r="F1846" s="4">
        <f>IF(E1846="","",IF(E1846&lt;=3,6,IF(E1846&lt;=6,5,IF(E1846&lt;=9,4,IF(E1846&lt;=12,3,IF(E1846&lt;=15,2,0))))))</f>
        <v/>
      </c>
      <c r="G1846" s="5" t="n"/>
      <c r="H1846" s="4">
        <f>IF(OR(F1846="",G1846=""),"",F1846*G1846+IF(J1846="",0,J1846))</f>
        <v/>
      </c>
      <c r="I1846" s="5" t="n"/>
      <c r="J1846" s="5" t="n"/>
    </row>
    <row r="1847">
      <c r="A1847" s="5" t="n"/>
      <c r="B1847" s="5" t="n"/>
      <c r="C1847" s="5" t="n"/>
      <c r="D1847" s="5" t="n"/>
      <c r="E1847" s="4">
        <f>IF(C1847="","",COUNTIF($C$7:C1847,C1847))</f>
        <v/>
      </c>
      <c r="F1847" s="4">
        <f>IF(E1847="","",IF(E1847&lt;=3,6,IF(E1847&lt;=6,5,IF(E1847&lt;=9,4,IF(E1847&lt;=12,3,IF(E1847&lt;=15,2,0))))))</f>
        <v/>
      </c>
      <c r="G1847" s="5" t="n"/>
      <c r="H1847" s="4">
        <f>IF(OR(F1847="",G1847=""),"",F1847*G1847+IF(J1847="",0,J1847))</f>
        <v/>
      </c>
      <c r="I1847" s="5" t="n"/>
      <c r="J1847" s="5" t="n"/>
    </row>
    <row r="1848">
      <c r="A1848" s="5" t="n"/>
      <c r="B1848" s="5" t="n"/>
      <c r="C1848" s="5" t="n"/>
      <c r="D1848" s="5" t="n"/>
      <c r="E1848" s="4">
        <f>IF(C1848="","",COUNTIF($C$7:C1848,C1848))</f>
        <v/>
      </c>
      <c r="F1848" s="4">
        <f>IF(E1848="","",IF(E1848&lt;=3,6,IF(E1848&lt;=6,5,IF(E1848&lt;=9,4,IF(E1848&lt;=12,3,IF(E1848&lt;=15,2,0))))))</f>
        <v/>
      </c>
      <c r="G1848" s="5" t="n"/>
      <c r="H1848" s="4">
        <f>IF(OR(F1848="",G1848=""),"",F1848*G1848+IF(J1848="",0,J1848))</f>
        <v/>
      </c>
      <c r="I1848" s="5" t="n"/>
      <c r="J1848" s="5" t="n"/>
    </row>
    <row r="1849">
      <c r="A1849" s="5" t="n"/>
      <c r="B1849" s="5" t="n"/>
      <c r="C1849" s="5" t="n"/>
      <c r="D1849" s="5" t="n"/>
      <c r="E1849" s="4">
        <f>IF(C1849="","",COUNTIF($C$7:C1849,C1849))</f>
        <v/>
      </c>
      <c r="F1849" s="4">
        <f>IF(E1849="","",IF(E1849&lt;=3,6,IF(E1849&lt;=6,5,IF(E1849&lt;=9,4,IF(E1849&lt;=12,3,IF(E1849&lt;=15,2,0))))))</f>
        <v/>
      </c>
      <c r="G1849" s="5" t="n"/>
      <c r="H1849" s="4">
        <f>IF(OR(F1849="",G1849=""),"",F1849*G1849+IF(J1849="",0,J1849))</f>
        <v/>
      </c>
      <c r="I1849" s="5" t="n"/>
      <c r="J1849" s="5" t="n"/>
    </row>
    <row r="1850">
      <c r="A1850" s="5" t="n"/>
      <c r="B1850" s="5" t="n"/>
      <c r="C1850" s="5" t="n"/>
      <c r="D1850" s="5" t="n"/>
      <c r="E1850" s="4">
        <f>IF(C1850="","",COUNTIF($C$7:C1850,C1850))</f>
        <v/>
      </c>
      <c r="F1850" s="4">
        <f>IF(E1850="","",IF(E1850&lt;=3,6,IF(E1850&lt;=6,5,IF(E1850&lt;=9,4,IF(E1850&lt;=12,3,IF(E1850&lt;=15,2,0))))))</f>
        <v/>
      </c>
      <c r="G1850" s="5" t="n"/>
      <c r="H1850" s="4">
        <f>IF(OR(F1850="",G1850=""),"",F1850*G1850+IF(J1850="",0,J1850))</f>
        <v/>
      </c>
      <c r="I1850" s="5" t="n"/>
      <c r="J1850" s="5" t="n"/>
    </row>
    <row r="1851">
      <c r="A1851" s="5" t="n"/>
      <c r="B1851" s="5" t="n"/>
      <c r="C1851" s="5" t="n"/>
      <c r="D1851" s="5" t="n"/>
      <c r="E1851" s="4">
        <f>IF(C1851="","",COUNTIF($C$7:C1851,C1851))</f>
        <v/>
      </c>
      <c r="F1851" s="4">
        <f>IF(E1851="","",IF(E1851&lt;=3,6,IF(E1851&lt;=6,5,IF(E1851&lt;=9,4,IF(E1851&lt;=12,3,IF(E1851&lt;=15,2,0))))))</f>
        <v/>
      </c>
      <c r="G1851" s="5" t="n"/>
      <c r="H1851" s="4">
        <f>IF(OR(F1851="",G1851=""),"",F1851*G1851+IF(J1851="",0,J1851))</f>
        <v/>
      </c>
      <c r="I1851" s="5" t="n"/>
      <c r="J1851" s="5" t="n"/>
    </row>
    <row r="1852">
      <c r="A1852" s="5" t="n"/>
      <c r="B1852" s="5" t="n"/>
      <c r="C1852" s="5" t="n"/>
      <c r="D1852" s="5" t="n"/>
      <c r="E1852" s="4">
        <f>IF(C1852="","",COUNTIF($C$7:C1852,C1852))</f>
        <v/>
      </c>
      <c r="F1852" s="4">
        <f>IF(E1852="","",IF(E1852&lt;=3,6,IF(E1852&lt;=6,5,IF(E1852&lt;=9,4,IF(E1852&lt;=12,3,IF(E1852&lt;=15,2,0))))))</f>
        <v/>
      </c>
      <c r="G1852" s="5" t="n"/>
      <c r="H1852" s="4">
        <f>IF(OR(F1852="",G1852=""),"",F1852*G1852+IF(J1852="",0,J1852))</f>
        <v/>
      </c>
      <c r="I1852" s="5" t="n"/>
      <c r="J1852" s="5" t="n"/>
    </row>
    <row r="1853">
      <c r="A1853" s="5" t="n"/>
      <c r="B1853" s="5" t="n"/>
      <c r="C1853" s="5" t="n"/>
      <c r="D1853" s="5" t="n"/>
      <c r="E1853" s="4">
        <f>IF(C1853="","",COUNTIF($C$7:C1853,C1853))</f>
        <v/>
      </c>
      <c r="F1853" s="4">
        <f>IF(E1853="","",IF(E1853&lt;=3,6,IF(E1853&lt;=6,5,IF(E1853&lt;=9,4,IF(E1853&lt;=12,3,IF(E1853&lt;=15,2,0))))))</f>
        <v/>
      </c>
      <c r="G1853" s="5" t="n"/>
      <c r="H1853" s="4">
        <f>IF(OR(F1853="",G1853=""),"",F1853*G1853+IF(J1853="",0,J1853))</f>
        <v/>
      </c>
      <c r="I1853" s="5" t="n"/>
      <c r="J1853" s="5" t="n"/>
    </row>
    <row r="1854">
      <c r="A1854" s="5" t="n"/>
      <c r="B1854" s="5" t="n"/>
      <c r="C1854" s="5" t="n"/>
      <c r="D1854" s="5" t="n"/>
      <c r="E1854" s="4">
        <f>IF(C1854="","",COUNTIF($C$7:C1854,C1854))</f>
        <v/>
      </c>
      <c r="F1854" s="4">
        <f>IF(E1854="","",IF(E1854&lt;=3,6,IF(E1854&lt;=6,5,IF(E1854&lt;=9,4,IF(E1854&lt;=12,3,IF(E1854&lt;=15,2,0))))))</f>
        <v/>
      </c>
      <c r="G1854" s="5" t="n"/>
      <c r="H1854" s="4">
        <f>IF(OR(F1854="",G1854=""),"",F1854*G1854+IF(J1854="",0,J1854))</f>
        <v/>
      </c>
      <c r="I1854" s="5" t="n"/>
      <c r="J1854" s="5" t="n"/>
    </row>
    <row r="1855">
      <c r="A1855" s="5" t="n"/>
      <c r="B1855" s="5" t="n"/>
      <c r="C1855" s="5" t="n"/>
      <c r="D1855" s="5" t="n"/>
      <c r="E1855" s="4">
        <f>IF(C1855="","",COUNTIF($C$7:C1855,C1855))</f>
        <v/>
      </c>
      <c r="F1855" s="4">
        <f>IF(E1855="","",IF(E1855&lt;=3,6,IF(E1855&lt;=6,5,IF(E1855&lt;=9,4,IF(E1855&lt;=12,3,IF(E1855&lt;=15,2,0))))))</f>
        <v/>
      </c>
      <c r="G1855" s="5" t="n"/>
      <c r="H1855" s="4">
        <f>IF(OR(F1855="",G1855=""),"",F1855*G1855+IF(J1855="",0,J1855))</f>
        <v/>
      </c>
      <c r="I1855" s="5" t="n"/>
      <c r="J1855" s="5" t="n"/>
    </row>
    <row r="1856">
      <c r="A1856" s="5" t="n"/>
      <c r="B1856" s="5" t="n"/>
      <c r="C1856" s="5" t="n"/>
      <c r="D1856" s="5" t="n"/>
      <c r="E1856" s="4">
        <f>IF(C1856="","",COUNTIF($C$7:C1856,C1856))</f>
        <v/>
      </c>
      <c r="F1856" s="4">
        <f>IF(E1856="","",IF(E1856&lt;=3,6,IF(E1856&lt;=6,5,IF(E1856&lt;=9,4,IF(E1856&lt;=12,3,IF(E1856&lt;=15,2,0))))))</f>
        <v/>
      </c>
      <c r="G1856" s="5" t="n"/>
      <c r="H1856" s="4">
        <f>IF(OR(F1856="",G1856=""),"",F1856*G1856+IF(J1856="",0,J1856))</f>
        <v/>
      </c>
      <c r="I1856" s="5" t="n"/>
      <c r="J1856" s="5" t="n"/>
    </row>
    <row r="1857">
      <c r="A1857" s="5" t="n"/>
      <c r="B1857" s="5" t="n"/>
      <c r="C1857" s="5" t="n"/>
      <c r="D1857" s="5" t="n"/>
      <c r="E1857" s="4">
        <f>IF(C1857="","",COUNTIF($C$7:C1857,C1857))</f>
        <v/>
      </c>
      <c r="F1857" s="4">
        <f>IF(E1857="","",IF(E1857&lt;=3,6,IF(E1857&lt;=6,5,IF(E1857&lt;=9,4,IF(E1857&lt;=12,3,IF(E1857&lt;=15,2,0))))))</f>
        <v/>
      </c>
      <c r="G1857" s="5" t="n"/>
      <c r="H1857" s="4">
        <f>IF(OR(F1857="",G1857=""),"",F1857*G1857+IF(J1857="",0,J1857))</f>
        <v/>
      </c>
      <c r="I1857" s="5" t="n"/>
      <c r="J1857" s="5" t="n"/>
    </row>
    <row r="1858">
      <c r="A1858" s="5" t="n"/>
      <c r="B1858" s="5" t="n"/>
      <c r="C1858" s="5" t="n"/>
      <c r="D1858" s="5" t="n"/>
      <c r="E1858" s="4">
        <f>IF(C1858="","",COUNTIF($C$7:C1858,C1858))</f>
        <v/>
      </c>
      <c r="F1858" s="4">
        <f>IF(E1858="","",IF(E1858&lt;=3,6,IF(E1858&lt;=6,5,IF(E1858&lt;=9,4,IF(E1858&lt;=12,3,IF(E1858&lt;=15,2,0))))))</f>
        <v/>
      </c>
      <c r="G1858" s="5" t="n"/>
      <c r="H1858" s="4">
        <f>IF(OR(F1858="",G1858=""),"",F1858*G1858+IF(J1858="",0,J1858))</f>
        <v/>
      </c>
      <c r="I1858" s="5" t="n"/>
      <c r="J1858" s="5" t="n"/>
    </row>
    <row r="1859">
      <c r="A1859" s="5" t="n"/>
      <c r="B1859" s="5" t="n"/>
      <c r="C1859" s="5" t="n"/>
      <c r="D1859" s="5" t="n"/>
      <c r="E1859" s="4">
        <f>IF(C1859="","",COUNTIF($C$7:C1859,C1859))</f>
        <v/>
      </c>
      <c r="F1859" s="4">
        <f>IF(E1859="","",IF(E1859&lt;=3,6,IF(E1859&lt;=6,5,IF(E1859&lt;=9,4,IF(E1859&lt;=12,3,IF(E1859&lt;=15,2,0))))))</f>
        <v/>
      </c>
      <c r="G1859" s="5" t="n"/>
      <c r="H1859" s="4">
        <f>IF(OR(F1859="",G1859=""),"",F1859*G1859+IF(J1859="",0,J1859))</f>
        <v/>
      </c>
      <c r="I1859" s="5" t="n"/>
      <c r="J1859" s="5" t="n"/>
    </row>
    <row r="1860">
      <c r="A1860" s="5" t="n"/>
      <c r="B1860" s="5" t="n"/>
      <c r="C1860" s="5" t="n"/>
      <c r="D1860" s="5" t="n"/>
      <c r="E1860" s="4">
        <f>IF(C1860="","",COUNTIF($C$7:C1860,C1860))</f>
        <v/>
      </c>
      <c r="F1860" s="4">
        <f>IF(E1860="","",IF(E1860&lt;=3,6,IF(E1860&lt;=6,5,IF(E1860&lt;=9,4,IF(E1860&lt;=12,3,IF(E1860&lt;=15,2,0))))))</f>
        <v/>
      </c>
      <c r="G1860" s="5" t="n"/>
      <c r="H1860" s="4">
        <f>IF(OR(F1860="",G1860=""),"",F1860*G1860+IF(J1860="",0,J1860))</f>
        <v/>
      </c>
      <c r="I1860" s="5" t="n"/>
      <c r="J1860" s="5" t="n"/>
    </row>
    <row r="1861">
      <c r="A1861" s="5" t="n"/>
      <c r="B1861" s="5" t="n"/>
      <c r="C1861" s="5" t="n"/>
      <c r="D1861" s="5" t="n"/>
      <c r="E1861" s="4">
        <f>IF(C1861="","",COUNTIF($C$7:C1861,C1861))</f>
        <v/>
      </c>
      <c r="F1861" s="4">
        <f>IF(E1861="","",IF(E1861&lt;=3,6,IF(E1861&lt;=6,5,IF(E1861&lt;=9,4,IF(E1861&lt;=12,3,IF(E1861&lt;=15,2,0))))))</f>
        <v/>
      </c>
      <c r="G1861" s="5" t="n"/>
      <c r="H1861" s="4">
        <f>IF(OR(F1861="",G1861=""),"",F1861*G1861+IF(J1861="",0,J1861))</f>
        <v/>
      </c>
      <c r="I1861" s="5" t="n"/>
      <c r="J1861" s="5" t="n"/>
    </row>
    <row r="1862">
      <c r="A1862" s="5" t="n"/>
      <c r="B1862" s="5" t="n"/>
      <c r="C1862" s="5" t="n"/>
      <c r="D1862" s="5" t="n"/>
      <c r="E1862" s="4">
        <f>IF(C1862="","",COUNTIF($C$7:C1862,C1862))</f>
        <v/>
      </c>
      <c r="F1862" s="4">
        <f>IF(E1862="","",IF(E1862&lt;=3,6,IF(E1862&lt;=6,5,IF(E1862&lt;=9,4,IF(E1862&lt;=12,3,IF(E1862&lt;=15,2,0))))))</f>
        <v/>
      </c>
      <c r="G1862" s="5" t="n"/>
      <c r="H1862" s="4">
        <f>IF(OR(F1862="",G1862=""),"",F1862*G1862+IF(J1862="",0,J1862))</f>
        <v/>
      </c>
      <c r="I1862" s="5" t="n"/>
      <c r="J1862" s="5" t="n"/>
    </row>
    <row r="1863">
      <c r="A1863" s="5" t="n"/>
      <c r="B1863" s="5" t="n"/>
      <c r="C1863" s="5" t="n"/>
      <c r="D1863" s="5" t="n"/>
      <c r="E1863" s="4">
        <f>IF(C1863="","",COUNTIF($C$7:C1863,C1863))</f>
        <v/>
      </c>
      <c r="F1863" s="4">
        <f>IF(E1863="","",IF(E1863&lt;=3,6,IF(E1863&lt;=6,5,IF(E1863&lt;=9,4,IF(E1863&lt;=12,3,IF(E1863&lt;=15,2,0))))))</f>
        <v/>
      </c>
      <c r="G1863" s="5" t="n"/>
      <c r="H1863" s="4">
        <f>IF(OR(F1863="",G1863=""),"",F1863*G1863+IF(J1863="",0,J1863))</f>
        <v/>
      </c>
      <c r="I1863" s="5" t="n"/>
      <c r="J1863" s="5" t="n"/>
    </row>
    <row r="1864">
      <c r="A1864" s="5" t="n"/>
      <c r="B1864" s="5" t="n"/>
      <c r="C1864" s="5" t="n"/>
      <c r="D1864" s="5" t="n"/>
      <c r="E1864" s="4">
        <f>IF(C1864="","",COUNTIF($C$7:C1864,C1864))</f>
        <v/>
      </c>
      <c r="F1864" s="4">
        <f>IF(E1864="","",IF(E1864&lt;=3,6,IF(E1864&lt;=6,5,IF(E1864&lt;=9,4,IF(E1864&lt;=12,3,IF(E1864&lt;=15,2,0))))))</f>
        <v/>
      </c>
      <c r="G1864" s="5" t="n"/>
      <c r="H1864" s="4">
        <f>IF(OR(F1864="",G1864=""),"",F1864*G1864+IF(J1864="",0,J1864))</f>
        <v/>
      </c>
      <c r="I1864" s="5" t="n"/>
      <c r="J1864" s="5" t="n"/>
    </row>
    <row r="1865">
      <c r="A1865" s="5" t="n"/>
      <c r="B1865" s="5" t="n"/>
      <c r="C1865" s="5" t="n"/>
      <c r="D1865" s="5" t="n"/>
      <c r="E1865" s="4">
        <f>IF(C1865="","",COUNTIF($C$7:C1865,C1865))</f>
        <v/>
      </c>
      <c r="F1865" s="4">
        <f>IF(E1865="","",IF(E1865&lt;=3,6,IF(E1865&lt;=6,5,IF(E1865&lt;=9,4,IF(E1865&lt;=12,3,IF(E1865&lt;=15,2,0))))))</f>
        <v/>
      </c>
      <c r="G1865" s="5" t="n"/>
      <c r="H1865" s="4">
        <f>IF(OR(F1865="",G1865=""),"",F1865*G1865+IF(J1865="",0,J1865))</f>
        <v/>
      </c>
      <c r="I1865" s="5" t="n"/>
      <c r="J1865" s="5" t="n"/>
    </row>
    <row r="1866">
      <c r="A1866" s="5" t="n"/>
      <c r="B1866" s="5" t="n"/>
      <c r="C1866" s="5" t="n"/>
      <c r="D1866" s="5" t="n"/>
      <c r="E1866" s="4">
        <f>IF(C1866="","",COUNTIF($C$7:C1866,C1866))</f>
        <v/>
      </c>
      <c r="F1866" s="4">
        <f>IF(E1866="","",IF(E1866&lt;=3,6,IF(E1866&lt;=6,5,IF(E1866&lt;=9,4,IF(E1866&lt;=12,3,IF(E1866&lt;=15,2,0))))))</f>
        <v/>
      </c>
      <c r="G1866" s="5" t="n"/>
      <c r="H1866" s="4">
        <f>IF(OR(F1866="",G1866=""),"",F1866*G1866+IF(J1866="",0,J1866))</f>
        <v/>
      </c>
      <c r="I1866" s="5" t="n"/>
      <c r="J1866" s="5" t="n"/>
    </row>
    <row r="1867">
      <c r="A1867" s="5" t="n"/>
      <c r="B1867" s="5" t="n"/>
      <c r="C1867" s="5" t="n"/>
      <c r="D1867" s="5" t="n"/>
      <c r="E1867" s="4">
        <f>IF(C1867="","",COUNTIF($C$7:C1867,C1867))</f>
        <v/>
      </c>
      <c r="F1867" s="4">
        <f>IF(E1867="","",IF(E1867&lt;=3,6,IF(E1867&lt;=6,5,IF(E1867&lt;=9,4,IF(E1867&lt;=12,3,IF(E1867&lt;=15,2,0))))))</f>
        <v/>
      </c>
      <c r="G1867" s="5" t="n"/>
      <c r="H1867" s="4">
        <f>IF(OR(F1867="",G1867=""),"",F1867*G1867+IF(J1867="",0,J1867))</f>
        <v/>
      </c>
      <c r="I1867" s="5" t="n"/>
      <c r="J1867" s="5" t="n"/>
    </row>
    <row r="1868">
      <c r="A1868" s="5" t="n"/>
      <c r="B1868" s="5" t="n"/>
      <c r="C1868" s="5" t="n"/>
      <c r="D1868" s="5" t="n"/>
      <c r="E1868" s="4">
        <f>IF(C1868="","",COUNTIF($C$7:C1868,C1868))</f>
        <v/>
      </c>
      <c r="F1868" s="4">
        <f>IF(E1868="","",IF(E1868&lt;=3,6,IF(E1868&lt;=6,5,IF(E1868&lt;=9,4,IF(E1868&lt;=12,3,IF(E1868&lt;=15,2,0))))))</f>
        <v/>
      </c>
      <c r="G1868" s="5" t="n"/>
      <c r="H1868" s="4">
        <f>IF(OR(F1868="",G1868=""),"",F1868*G1868+IF(J1868="",0,J1868))</f>
        <v/>
      </c>
      <c r="I1868" s="5" t="n"/>
      <c r="J1868" s="5" t="n"/>
    </row>
    <row r="1869">
      <c r="A1869" s="5" t="n"/>
      <c r="B1869" s="5" t="n"/>
      <c r="C1869" s="5" t="n"/>
      <c r="D1869" s="5" t="n"/>
      <c r="E1869" s="4">
        <f>IF(C1869="","",COUNTIF($C$7:C1869,C1869))</f>
        <v/>
      </c>
      <c r="F1869" s="4">
        <f>IF(E1869="","",IF(E1869&lt;=3,6,IF(E1869&lt;=6,5,IF(E1869&lt;=9,4,IF(E1869&lt;=12,3,IF(E1869&lt;=15,2,0))))))</f>
        <v/>
      </c>
      <c r="G1869" s="5" t="n"/>
      <c r="H1869" s="4">
        <f>IF(OR(F1869="",G1869=""),"",F1869*G1869+IF(J1869="",0,J1869))</f>
        <v/>
      </c>
      <c r="I1869" s="5" t="n"/>
      <c r="J1869" s="5" t="n"/>
    </row>
    <row r="1870">
      <c r="A1870" s="5" t="n"/>
      <c r="B1870" s="5" t="n"/>
      <c r="C1870" s="5" t="n"/>
      <c r="D1870" s="5" t="n"/>
      <c r="E1870" s="4">
        <f>IF(C1870="","",COUNTIF($C$7:C1870,C1870))</f>
        <v/>
      </c>
      <c r="F1870" s="4">
        <f>IF(E1870="","",IF(E1870&lt;=3,6,IF(E1870&lt;=6,5,IF(E1870&lt;=9,4,IF(E1870&lt;=12,3,IF(E1870&lt;=15,2,0))))))</f>
        <v/>
      </c>
      <c r="G1870" s="5" t="n"/>
      <c r="H1870" s="4">
        <f>IF(OR(F1870="",G1870=""),"",F1870*G1870+IF(J1870="",0,J1870))</f>
        <v/>
      </c>
      <c r="I1870" s="5" t="n"/>
      <c r="J1870" s="5" t="n"/>
    </row>
    <row r="1871">
      <c r="A1871" s="5" t="n"/>
      <c r="B1871" s="5" t="n"/>
      <c r="C1871" s="5" t="n"/>
      <c r="D1871" s="5" t="n"/>
      <c r="E1871" s="4">
        <f>IF(C1871="","",COUNTIF($C$7:C1871,C1871))</f>
        <v/>
      </c>
      <c r="F1871" s="4">
        <f>IF(E1871="","",IF(E1871&lt;=3,6,IF(E1871&lt;=6,5,IF(E1871&lt;=9,4,IF(E1871&lt;=12,3,IF(E1871&lt;=15,2,0))))))</f>
        <v/>
      </c>
      <c r="G1871" s="5" t="n"/>
      <c r="H1871" s="4">
        <f>IF(OR(F1871="",G1871=""),"",F1871*G1871+IF(J1871="",0,J1871))</f>
        <v/>
      </c>
      <c r="I1871" s="5" t="n"/>
      <c r="J1871" s="5" t="n"/>
    </row>
    <row r="1872">
      <c r="A1872" s="5" t="n"/>
      <c r="B1872" s="5" t="n"/>
      <c r="C1872" s="5" t="n"/>
      <c r="D1872" s="5" t="n"/>
      <c r="E1872" s="4">
        <f>IF(C1872="","",COUNTIF($C$7:C1872,C1872))</f>
        <v/>
      </c>
      <c r="F1872" s="4">
        <f>IF(E1872="","",IF(E1872&lt;=3,6,IF(E1872&lt;=6,5,IF(E1872&lt;=9,4,IF(E1872&lt;=12,3,IF(E1872&lt;=15,2,0))))))</f>
        <v/>
      </c>
      <c r="G1872" s="5" t="n"/>
      <c r="H1872" s="4">
        <f>IF(OR(F1872="",G1872=""),"",F1872*G1872+IF(J1872="",0,J1872))</f>
        <v/>
      </c>
      <c r="I1872" s="5" t="n"/>
      <c r="J1872" s="5" t="n"/>
    </row>
    <row r="1873">
      <c r="A1873" s="5" t="n"/>
      <c r="B1873" s="5" t="n"/>
      <c r="C1873" s="5" t="n"/>
      <c r="D1873" s="5" t="n"/>
      <c r="E1873" s="4">
        <f>IF(C1873="","",COUNTIF($C$7:C1873,C1873))</f>
        <v/>
      </c>
      <c r="F1873" s="4">
        <f>IF(E1873="","",IF(E1873&lt;=3,6,IF(E1873&lt;=6,5,IF(E1873&lt;=9,4,IF(E1873&lt;=12,3,IF(E1873&lt;=15,2,0))))))</f>
        <v/>
      </c>
      <c r="G1873" s="5" t="n"/>
      <c r="H1873" s="4">
        <f>IF(OR(F1873="",G1873=""),"",F1873*G1873+IF(J1873="",0,J1873))</f>
        <v/>
      </c>
      <c r="I1873" s="5" t="n"/>
      <c r="J1873" s="5" t="n"/>
    </row>
    <row r="1874">
      <c r="A1874" s="5" t="n"/>
      <c r="B1874" s="5" t="n"/>
      <c r="C1874" s="5" t="n"/>
      <c r="D1874" s="5" t="n"/>
      <c r="E1874" s="4">
        <f>IF(C1874="","",COUNTIF($C$7:C1874,C1874))</f>
        <v/>
      </c>
      <c r="F1874" s="4">
        <f>IF(E1874="","",IF(E1874&lt;=3,6,IF(E1874&lt;=6,5,IF(E1874&lt;=9,4,IF(E1874&lt;=12,3,IF(E1874&lt;=15,2,0))))))</f>
        <v/>
      </c>
      <c r="G1874" s="5" t="n"/>
      <c r="H1874" s="4">
        <f>IF(OR(F1874="",G1874=""),"",F1874*G1874+IF(J1874="",0,J1874))</f>
        <v/>
      </c>
      <c r="I1874" s="5" t="n"/>
      <c r="J1874" s="5" t="n"/>
    </row>
    <row r="1875">
      <c r="A1875" s="5" t="n"/>
      <c r="B1875" s="5" t="n"/>
      <c r="C1875" s="5" t="n"/>
      <c r="D1875" s="5" t="n"/>
      <c r="E1875" s="4">
        <f>IF(C1875="","",COUNTIF($C$7:C1875,C1875))</f>
        <v/>
      </c>
      <c r="F1875" s="4">
        <f>IF(E1875="","",IF(E1875&lt;=3,6,IF(E1875&lt;=6,5,IF(E1875&lt;=9,4,IF(E1875&lt;=12,3,IF(E1875&lt;=15,2,0))))))</f>
        <v/>
      </c>
      <c r="G1875" s="5" t="n"/>
      <c r="H1875" s="4">
        <f>IF(OR(F1875="",G1875=""),"",F1875*G1875+IF(J1875="",0,J1875))</f>
        <v/>
      </c>
      <c r="I1875" s="5" t="n"/>
      <c r="J1875" s="5" t="n"/>
    </row>
    <row r="1876">
      <c r="A1876" s="5" t="n"/>
      <c r="B1876" s="5" t="n"/>
      <c r="C1876" s="5" t="n"/>
      <c r="D1876" s="5" t="n"/>
      <c r="E1876" s="4">
        <f>IF(C1876="","",COUNTIF($C$7:C1876,C1876))</f>
        <v/>
      </c>
      <c r="F1876" s="4">
        <f>IF(E1876="","",IF(E1876&lt;=3,6,IF(E1876&lt;=6,5,IF(E1876&lt;=9,4,IF(E1876&lt;=12,3,IF(E1876&lt;=15,2,0))))))</f>
        <v/>
      </c>
      <c r="G1876" s="5" t="n"/>
      <c r="H1876" s="4">
        <f>IF(OR(F1876="",G1876=""),"",F1876*G1876+IF(J1876="",0,J1876))</f>
        <v/>
      </c>
      <c r="I1876" s="5" t="n"/>
      <c r="J1876" s="5" t="n"/>
    </row>
    <row r="1877">
      <c r="A1877" s="5" t="n"/>
      <c r="B1877" s="5" t="n"/>
      <c r="C1877" s="5" t="n"/>
      <c r="D1877" s="5" t="n"/>
      <c r="E1877" s="4">
        <f>IF(C1877="","",COUNTIF($C$7:C1877,C1877))</f>
        <v/>
      </c>
      <c r="F1877" s="4">
        <f>IF(E1877="","",IF(E1877&lt;=3,6,IF(E1877&lt;=6,5,IF(E1877&lt;=9,4,IF(E1877&lt;=12,3,IF(E1877&lt;=15,2,0))))))</f>
        <v/>
      </c>
      <c r="G1877" s="5" t="n"/>
      <c r="H1877" s="4">
        <f>IF(OR(F1877="",G1877=""),"",F1877*G1877+IF(J1877="",0,J1877))</f>
        <v/>
      </c>
      <c r="I1877" s="5" t="n"/>
      <c r="J1877" s="5" t="n"/>
    </row>
    <row r="1878">
      <c r="A1878" s="5" t="n"/>
      <c r="B1878" s="5" t="n"/>
      <c r="C1878" s="5" t="n"/>
      <c r="D1878" s="5" t="n"/>
      <c r="E1878" s="4">
        <f>IF(C1878="","",COUNTIF($C$7:C1878,C1878))</f>
        <v/>
      </c>
      <c r="F1878" s="4">
        <f>IF(E1878="","",IF(E1878&lt;=3,6,IF(E1878&lt;=6,5,IF(E1878&lt;=9,4,IF(E1878&lt;=12,3,IF(E1878&lt;=15,2,0))))))</f>
        <v/>
      </c>
      <c r="G1878" s="5" t="n"/>
      <c r="H1878" s="4">
        <f>IF(OR(F1878="",G1878=""),"",F1878*G1878+IF(J1878="",0,J1878))</f>
        <v/>
      </c>
      <c r="I1878" s="5" t="n"/>
      <c r="J1878" s="5" t="n"/>
    </row>
    <row r="1879">
      <c r="A1879" s="5" t="n"/>
      <c r="B1879" s="5" t="n"/>
      <c r="C1879" s="5" t="n"/>
      <c r="D1879" s="5" t="n"/>
      <c r="E1879" s="4">
        <f>IF(C1879="","",COUNTIF($C$7:C1879,C1879))</f>
        <v/>
      </c>
      <c r="F1879" s="4">
        <f>IF(E1879="","",IF(E1879&lt;=3,6,IF(E1879&lt;=6,5,IF(E1879&lt;=9,4,IF(E1879&lt;=12,3,IF(E1879&lt;=15,2,0))))))</f>
        <v/>
      </c>
      <c r="G1879" s="5" t="n"/>
      <c r="H1879" s="4">
        <f>IF(OR(F1879="",G1879=""),"",F1879*G1879+IF(J1879="",0,J1879))</f>
        <v/>
      </c>
      <c r="I1879" s="5" t="n"/>
      <c r="J1879" s="5" t="n"/>
    </row>
    <row r="1880">
      <c r="A1880" s="5" t="n"/>
      <c r="B1880" s="5" t="n"/>
      <c r="C1880" s="5" t="n"/>
      <c r="D1880" s="5" t="n"/>
      <c r="E1880" s="4">
        <f>IF(C1880="","",COUNTIF($C$7:C1880,C1880))</f>
        <v/>
      </c>
      <c r="F1880" s="4">
        <f>IF(E1880="","",IF(E1880&lt;=3,6,IF(E1880&lt;=6,5,IF(E1880&lt;=9,4,IF(E1880&lt;=12,3,IF(E1880&lt;=15,2,0))))))</f>
        <v/>
      </c>
      <c r="G1880" s="5" t="n"/>
      <c r="H1880" s="4">
        <f>IF(OR(F1880="",G1880=""),"",F1880*G1880+IF(J1880="",0,J1880))</f>
        <v/>
      </c>
      <c r="I1880" s="5" t="n"/>
      <c r="J1880" s="5" t="n"/>
    </row>
    <row r="1881">
      <c r="A1881" s="5" t="n"/>
      <c r="B1881" s="5" t="n"/>
      <c r="C1881" s="5" t="n"/>
      <c r="D1881" s="5" t="n"/>
      <c r="E1881" s="4">
        <f>IF(C1881="","",COUNTIF($C$7:C1881,C1881))</f>
        <v/>
      </c>
      <c r="F1881" s="4">
        <f>IF(E1881="","",IF(E1881&lt;=3,6,IF(E1881&lt;=6,5,IF(E1881&lt;=9,4,IF(E1881&lt;=12,3,IF(E1881&lt;=15,2,0))))))</f>
        <v/>
      </c>
      <c r="G1881" s="5" t="n"/>
      <c r="H1881" s="4">
        <f>IF(OR(F1881="",G1881=""),"",F1881*G1881+IF(J1881="",0,J1881))</f>
        <v/>
      </c>
      <c r="I1881" s="5" t="n"/>
      <c r="J1881" s="5" t="n"/>
    </row>
    <row r="1882">
      <c r="A1882" s="5" t="n"/>
      <c r="B1882" s="5" t="n"/>
      <c r="C1882" s="5" t="n"/>
      <c r="D1882" s="5" t="n"/>
      <c r="E1882" s="4">
        <f>IF(C1882="","",COUNTIF($C$7:C1882,C1882))</f>
        <v/>
      </c>
      <c r="F1882" s="4">
        <f>IF(E1882="","",IF(E1882&lt;=3,6,IF(E1882&lt;=6,5,IF(E1882&lt;=9,4,IF(E1882&lt;=12,3,IF(E1882&lt;=15,2,0))))))</f>
        <v/>
      </c>
      <c r="G1882" s="5" t="n"/>
      <c r="H1882" s="4">
        <f>IF(OR(F1882="",G1882=""),"",F1882*G1882+IF(J1882="",0,J1882))</f>
        <v/>
      </c>
      <c r="I1882" s="5" t="n"/>
      <c r="J1882" s="5" t="n"/>
    </row>
    <row r="1883">
      <c r="A1883" s="5" t="n"/>
      <c r="B1883" s="5" t="n"/>
      <c r="C1883" s="5" t="n"/>
      <c r="D1883" s="5" t="n"/>
      <c r="E1883" s="4">
        <f>IF(C1883="","",COUNTIF($C$7:C1883,C1883))</f>
        <v/>
      </c>
      <c r="F1883" s="4">
        <f>IF(E1883="","",IF(E1883&lt;=3,6,IF(E1883&lt;=6,5,IF(E1883&lt;=9,4,IF(E1883&lt;=12,3,IF(E1883&lt;=15,2,0))))))</f>
        <v/>
      </c>
      <c r="G1883" s="5" t="n"/>
      <c r="H1883" s="4">
        <f>IF(OR(F1883="",G1883=""),"",F1883*G1883+IF(J1883="",0,J1883))</f>
        <v/>
      </c>
      <c r="I1883" s="5" t="n"/>
      <c r="J1883" s="5" t="n"/>
    </row>
    <row r="1884">
      <c r="A1884" s="5" t="n"/>
      <c r="B1884" s="5" t="n"/>
      <c r="C1884" s="5" t="n"/>
      <c r="D1884" s="5" t="n"/>
      <c r="E1884" s="4">
        <f>IF(C1884="","",COUNTIF($C$7:C1884,C1884))</f>
        <v/>
      </c>
      <c r="F1884" s="4">
        <f>IF(E1884="","",IF(E1884&lt;=3,6,IF(E1884&lt;=6,5,IF(E1884&lt;=9,4,IF(E1884&lt;=12,3,IF(E1884&lt;=15,2,0))))))</f>
        <v/>
      </c>
      <c r="G1884" s="5" t="n"/>
      <c r="H1884" s="4">
        <f>IF(OR(F1884="",G1884=""),"",F1884*G1884+IF(J1884="",0,J1884))</f>
        <v/>
      </c>
      <c r="I1884" s="5" t="n"/>
      <c r="J1884" s="5" t="n"/>
    </row>
    <row r="1885">
      <c r="A1885" s="5" t="n"/>
      <c r="B1885" s="5" t="n"/>
      <c r="C1885" s="5" t="n"/>
      <c r="D1885" s="5" t="n"/>
      <c r="E1885" s="4">
        <f>IF(C1885="","",COUNTIF($C$7:C1885,C1885))</f>
        <v/>
      </c>
      <c r="F1885" s="4">
        <f>IF(E1885="","",IF(E1885&lt;=3,6,IF(E1885&lt;=6,5,IF(E1885&lt;=9,4,IF(E1885&lt;=12,3,IF(E1885&lt;=15,2,0))))))</f>
        <v/>
      </c>
      <c r="G1885" s="5" t="n"/>
      <c r="H1885" s="4">
        <f>IF(OR(F1885="",G1885=""),"",F1885*G1885+IF(J1885="",0,J1885))</f>
        <v/>
      </c>
      <c r="I1885" s="5" t="n"/>
      <c r="J1885" s="5" t="n"/>
    </row>
    <row r="1886">
      <c r="A1886" s="5" t="n"/>
      <c r="B1886" s="5" t="n"/>
      <c r="C1886" s="5" t="n"/>
      <c r="D1886" s="5" t="n"/>
      <c r="E1886" s="4">
        <f>IF(C1886="","",COUNTIF($C$7:C1886,C1886))</f>
        <v/>
      </c>
      <c r="F1886" s="4">
        <f>IF(E1886="","",IF(E1886&lt;=3,6,IF(E1886&lt;=6,5,IF(E1886&lt;=9,4,IF(E1886&lt;=12,3,IF(E1886&lt;=15,2,0))))))</f>
        <v/>
      </c>
      <c r="G1886" s="5" t="n"/>
      <c r="H1886" s="4">
        <f>IF(OR(F1886="",G1886=""),"",F1886*G1886+IF(J1886="",0,J1886))</f>
        <v/>
      </c>
      <c r="I1886" s="5" t="n"/>
      <c r="J1886" s="5" t="n"/>
    </row>
    <row r="1887">
      <c r="A1887" s="5" t="n"/>
      <c r="B1887" s="5" t="n"/>
      <c r="C1887" s="5" t="n"/>
      <c r="D1887" s="5" t="n"/>
      <c r="E1887" s="4">
        <f>IF(C1887="","",COUNTIF($C$7:C1887,C1887))</f>
        <v/>
      </c>
      <c r="F1887" s="4">
        <f>IF(E1887="","",IF(E1887&lt;=3,6,IF(E1887&lt;=6,5,IF(E1887&lt;=9,4,IF(E1887&lt;=12,3,IF(E1887&lt;=15,2,0))))))</f>
        <v/>
      </c>
      <c r="G1887" s="5" t="n"/>
      <c r="H1887" s="4">
        <f>IF(OR(F1887="",G1887=""),"",F1887*G1887+IF(J1887="",0,J1887))</f>
        <v/>
      </c>
      <c r="I1887" s="5" t="n"/>
      <c r="J1887" s="5" t="n"/>
    </row>
    <row r="1888">
      <c r="A1888" s="5" t="n"/>
      <c r="B1888" s="5" t="n"/>
      <c r="C1888" s="5" t="n"/>
      <c r="D1888" s="5" t="n"/>
      <c r="E1888" s="4">
        <f>IF(C1888="","",COUNTIF($C$7:C1888,C1888))</f>
        <v/>
      </c>
      <c r="F1888" s="4">
        <f>IF(E1888="","",IF(E1888&lt;=3,6,IF(E1888&lt;=6,5,IF(E1888&lt;=9,4,IF(E1888&lt;=12,3,IF(E1888&lt;=15,2,0))))))</f>
        <v/>
      </c>
      <c r="G1888" s="5" t="n"/>
      <c r="H1888" s="4">
        <f>IF(OR(F1888="",G1888=""),"",F1888*G1888+IF(J1888="",0,J1888))</f>
        <v/>
      </c>
      <c r="I1888" s="5" t="n"/>
      <c r="J1888" s="5" t="n"/>
    </row>
    <row r="1889">
      <c r="A1889" s="5" t="n"/>
      <c r="B1889" s="5" t="n"/>
      <c r="C1889" s="5" t="n"/>
      <c r="D1889" s="5" t="n"/>
      <c r="E1889" s="4">
        <f>IF(C1889="","",COUNTIF($C$7:C1889,C1889))</f>
        <v/>
      </c>
      <c r="F1889" s="4">
        <f>IF(E1889="","",IF(E1889&lt;=3,6,IF(E1889&lt;=6,5,IF(E1889&lt;=9,4,IF(E1889&lt;=12,3,IF(E1889&lt;=15,2,0))))))</f>
        <v/>
      </c>
      <c r="G1889" s="5" t="n"/>
      <c r="H1889" s="4">
        <f>IF(OR(F1889="",G1889=""),"",F1889*G1889+IF(J1889="",0,J1889))</f>
        <v/>
      </c>
      <c r="I1889" s="5" t="n"/>
      <c r="J1889" s="5" t="n"/>
    </row>
    <row r="1890">
      <c r="A1890" s="5" t="n"/>
      <c r="B1890" s="5" t="n"/>
      <c r="C1890" s="5" t="n"/>
      <c r="D1890" s="5" t="n"/>
      <c r="E1890" s="4">
        <f>IF(C1890="","",COUNTIF($C$7:C1890,C1890))</f>
        <v/>
      </c>
      <c r="F1890" s="4">
        <f>IF(E1890="","",IF(E1890&lt;=3,6,IF(E1890&lt;=6,5,IF(E1890&lt;=9,4,IF(E1890&lt;=12,3,IF(E1890&lt;=15,2,0))))))</f>
        <v/>
      </c>
      <c r="G1890" s="5" t="n"/>
      <c r="H1890" s="4">
        <f>IF(OR(F1890="",G1890=""),"",F1890*G1890+IF(J1890="",0,J1890))</f>
        <v/>
      </c>
      <c r="I1890" s="5" t="n"/>
      <c r="J1890" s="5" t="n"/>
    </row>
    <row r="1891">
      <c r="A1891" s="5" t="n"/>
      <c r="B1891" s="5" t="n"/>
      <c r="C1891" s="5" t="n"/>
      <c r="D1891" s="5" t="n"/>
      <c r="E1891" s="4">
        <f>IF(C1891="","",COUNTIF($C$7:C1891,C1891))</f>
        <v/>
      </c>
      <c r="F1891" s="4">
        <f>IF(E1891="","",IF(E1891&lt;=3,6,IF(E1891&lt;=6,5,IF(E1891&lt;=9,4,IF(E1891&lt;=12,3,IF(E1891&lt;=15,2,0))))))</f>
        <v/>
      </c>
      <c r="G1891" s="5" t="n"/>
      <c r="H1891" s="4">
        <f>IF(OR(F1891="",G1891=""),"",F1891*G1891+IF(J1891="",0,J1891))</f>
        <v/>
      </c>
      <c r="I1891" s="5" t="n"/>
      <c r="J1891" s="5" t="n"/>
    </row>
    <row r="1892">
      <c r="A1892" s="5" t="n"/>
      <c r="B1892" s="5" t="n"/>
      <c r="C1892" s="5" t="n"/>
      <c r="D1892" s="5" t="n"/>
      <c r="E1892" s="4">
        <f>IF(C1892="","",COUNTIF($C$7:C1892,C1892))</f>
        <v/>
      </c>
      <c r="F1892" s="4">
        <f>IF(E1892="","",IF(E1892&lt;=3,6,IF(E1892&lt;=6,5,IF(E1892&lt;=9,4,IF(E1892&lt;=12,3,IF(E1892&lt;=15,2,0))))))</f>
        <v/>
      </c>
      <c r="G1892" s="5" t="n"/>
      <c r="H1892" s="4">
        <f>IF(OR(F1892="",G1892=""),"",F1892*G1892+IF(J1892="",0,J1892))</f>
        <v/>
      </c>
      <c r="I1892" s="5" t="n"/>
      <c r="J1892" s="5" t="n"/>
    </row>
    <row r="1893">
      <c r="A1893" s="5" t="n"/>
      <c r="B1893" s="5" t="n"/>
      <c r="C1893" s="5" t="n"/>
      <c r="D1893" s="5" t="n"/>
      <c r="E1893" s="4">
        <f>IF(C1893="","",COUNTIF($C$7:C1893,C1893))</f>
        <v/>
      </c>
      <c r="F1893" s="4">
        <f>IF(E1893="","",IF(E1893&lt;=3,6,IF(E1893&lt;=6,5,IF(E1893&lt;=9,4,IF(E1893&lt;=12,3,IF(E1893&lt;=15,2,0))))))</f>
        <v/>
      </c>
      <c r="G1893" s="5" t="n"/>
      <c r="H1893" s="4">
        <f>IF(OR(F1893="",G1893=""),"",F1893*G1893+IF(J1893="",0,J1893))</f>
        <v/>
      </c>
      <c r="I1893" s="5" t="n"/>
      <c r="J1893" s="5" t="n"/>
    </row>
    <row r="1894">
      <c r="A1894" s="5" t="n"/>
      <c r="B1894" s="5" t="n"/>
      <c r="C1894" s="5" t="n"/>
      <c r="D1894" s="5" t="n"/>
      <c r="E1894" s="4">
        <f>IF(C1894="","",COUNTIF($C$7:C1894,C1894))</f>
        <v/>
      </c>
      <c r="F1894" s="4">
        <f>IF(E1894="","",IF(E1894&lt;=3,6,IF(E1894&lt;=6,5,IF(E1894&lt;=9,4,IF(E1894&lt;=12,3,IF(E1894&lt;=15,2,0))))))</f>
        <v/>
      </c>
      <c r="G1894" s="5" t="n"/>
      <c r="H1894" s="4">
        <f>IF(OR(F1894="",G1894=""),"",F1894*G1894+IF(J1894="",0,J1894))</f>
        <v/>
      </c>
      <c r="I1894" s="5" t="n"/>
      <c r="J1894" s="5" t="n"/>
    </row>
    <row r="1895">
      <c r="A1895" s="5" t="n"/>
      <c r="B1895" s="5" t="n"/>
      <c r="C1895" s="5" t="n"/>
      <c r="D1895" s="5" t="n"/>
      <c r="E1895" s="4">
        <f>IF(C1895="","",COUNTIF($C$7:C1895,C1895))</f>
        <v/>
      </c>
      <c r="F1895" s="4">
        <f>IF(E1895="","",IF(E1895&lt;=3,6,IF(E1895&lt;=6,5,IF(E1895&lt;=9,4,IF(E1895&lt;=12,3,IF(E1895&lt;=15,2,0))))))</f>
        <v/>
      </c>
      <c r="G1895" s="5" t="n"/>
      <c r="H1895" s="4">
        <f>IF(OR(F1895="",G1895=""),"",F1895*G1895+IF(J1895="",0,J1895))</f>
        <v/>
      </c>
      <c r="I1895" s="5" t="n"/>
      <c r="J1895" s="5" t="n"/>
    </row>
    <row r="1896">
      <c r="A1896" s="5" t="n"/>
      <c r="B1896" s="5" t="n"/>
      <c r="C1896" s="5" t="n"/>
      <c r="D1896" s="5" t="n"/>
      <c r="E1896" s="4">
        <f>IF(C1896="","",COUNTIF($C$7:C1896,C1896))</f>
        <v/>
      </c>
      <c r="F1896" s="4">
        <f>IF(E1896="","",IF(E1896&lt;=3,6,IF(E1896&lt;=6,5,IF(E1896&lt;=9,4,IF(E1896&lt;=12,3,IF(E1896&lt;=15,2,0))))))</f>
        <v/>
      </c>
      <c r="G1896" s="5" t="n"/>
      <c r="H1896" s="4">
        <f>IF(OR(F1896="",G1896=""),"",F1896*G1896+IF(J1896="",0,J1896))</f>
        <v/>
      </c>
      <c r="I1896" s="5" t="n"/>
      <c r="J1896" s="5" t="n"/>
    </row>
    <row r="1897">
      <c r="A1897" s="5" t="n"/>
      <c r="B1897" s="5" t="n"/>
      <c r="C1897" s="5" t="n"/>
      <c r="D1897" s="5" t="n"/>
      <c r="E1897" s="4">
        <f>IF(C1897="","",COUNTIF($C$7:C1897,C1897))</f>
        <v/>
      </c>
      <c r="F1897" s="4">
        <f>IF(E1897="","",IF(E1897&lt;=3,6,IF(E1897&lt;=6,5,IF(E1897&lt;=9,4,IF(E1897&lt;=12,3,IF(E1897&lt;=15,2,0))))))</f>
        <v/>
      </c>
      <c r="G1897" s="5" t="n"/>
      <c r="H1897" s="4">
        <f>IF(OR(F1897="",G1897=""),"",F1897*G1897+IF(J1897="",0,J1897))</f>
        <v/>
      </c>
      <c r="I1897" s="5" t="n"/>
      <c r="J1897" s="5" t="n"/>
    </row>
    <row r="1898">
      <c r="A1898" s="5" t="n"/>
      <c r="B1898" s="5" t="n"/>
      <c r="C1898" s="5" t="n"/>
      <c r="D1898" s="5" t="n"/>
      <c r="E1898" s="4">
        <f>IF(C1898="","",COUNTIF($C$7:C1898,C1898))</f>
        <v/>
      </c>
      <c r="F1898" s="4">
        <f>IF(E1898="","",IF(E1898&lt;=3,6,IF(E1898&lt;=6,5,IF(E1898&lt;=9,4,IF(E1898&lt;=12,3,IF(E1898&lt;=15,2,0))))))</f>
        <v/>
      </c>
      <c r="G1898" s="5" t="n"/>
      <c r="H1898" s="4">
        <f>IF(OR(F1898="",G1898=""),"",F1898*G1898+IF(J1898="",0,J1898))</f>
        <v/>
      </c>
      <c r="I1898" s="5" t="n"/>
      <c r="J1898" s="5" t="n"/>
    </row>
    <row r="1899">
      <c r="A1899" s="5" t="n"/>
      <c r="B1899" s="5" t="n"/>
      <c r="C1899" s="5" t="n"/>
      <c r="D1899" s="5" t="n"/>
      <c r="E1899" s="4">
        <f>IF(C1899="","",COUNTIF($C$7:C1899,C1899))</f>
        <v/>
      </c>
      <c r="F1899" s="4">
        <f>IF(E1899="","",IF(E1899&lt;=3,6,IF(E1899&lt;=6,5,IF(E1899&lt;=9,4,IF(E1899&lt;=12,3,IF(E1899&lt;=15,2,0))))))</f>
        <v/>
      </c>
      <c r="G1899" s="5" t="n"/>
      <c r="H1899" s="4">
        <f>IF(OR(F1899="",G1899=""),"",F1899*G1899+IF(J1899="",0,J1899))</f>
        <v/>
      </c>
      <c r="I1899" s="5" t="n"/>
      <c r="J1899" s="5" t="n"/>
    </row>
    <row r="1900">
      <c r="A1900" s="5" t="n"/>
      <c r="B1900" s="5" t="n"/>
      <c r="C1900" s="5" t="n"/>
      <c r="D1900" s="5" t="n"/>
      <c r="E1900" s="4">
        <f>IF(C1900="","",COUNTIF($C$7:C1900,C1900))</f>
        <v/>
      </c>
      <c r="F1900" s="4">
        <f>IF(E1900="","",IF(E1900&lt;=3,6,IF(E1900&lt;=6,5,IF(E1900&lt;=9,4,IF(E1900&lt;=12,3,IF(E1900&lt;=15,2,0))))))</f>
        <v/>
      </c>
      <c r="G1900" s="5" t="n"/>
      <c r="H1900" s="4">
        <f>IF(OR(F1900="",G1900=""),"",F1900*G1900+IF(J1900="",0,J1900))</f>
        <v/>
      </c>
      <c r="I1900" s="5" t="n"/>
      <c r="J1900" s="5" t="n"/>
    </row>
    <row r="1901">
      <c r="A1901" s="5" t="n"/>
      <c r="B1901" s="5" t="n"/>
      <c r="C1901" s="5" t="n"/>
      <c r="D1901" s="5" t="n"/>
      <c r="E1901" s="4">
        <f>IF(C1901="","",COUNTIF($C$7:C1901,C1901))</f>
        <v/>
      </c>
      <c r="F1901" s="4">
        <f>IF(E1901="","",IF(E1901&lt;=3,6,IF(E1901&lt;=6,5,IF(E1901&lt;=9,4,IF(E1901&lt;=12,3,IF(E1901&lt;=15,2,0))))))</f>
        <v/>
      </c>
      <c r="G1901" s="5" t="n"/>
      <c r="H1901" s="4">
        <f>IF(OR(F1901="",G1901=""),"",F1901*G1901+IF(J1901="",0,J1901))</f>
        <v/>
      </c>
      <c r="I1901" s="5" t="n"/>
      <c r="J1901" s="5" t="n"/>
    </row>
    <row r="1902">
      <c r="A1902" s="5" t="n"/>
      <c r="B1902" s="5" t="n"/>
      <c r="C1902" s="5" t="n"/>
      <c r="D1902" s="5" t="n"/>
      <c r="E1902" s="4">
        <f>IF(C1902="","",COUNTIF($C$7:C1902,C1902))</f>
        <v/>
      </c>
      <c r="F1902" s="4">
        <f>IF(E1902="","",IF(E1902&lt;=3,6,IF(E1902&lt;=6,5,IF(E1902&lt;=9,4,IF(E1902&lt;=12,3,IF(E1902&lt;=15,2,0))))))</f>
        <v/>
      </c>
      <c r="G1902" s="5" t="n"/>
      <c r="H1902" s="4">
        <f>IF(OR(F1902="",G1902=""),"",F1902*G1902+IF(J1902="",0,J1902))</f>
        <v/>
      </c>
      <c r="I1902" s="5" t="n"/>
      <c r="J1902" s="5" t="n"/>
    </row>
    <row r="1903">
      <c r="A1903" s="5" t="n"/>
      <c r="B1903" s="5" t="n"/>
      <c r="C1903" s="5" t="n"/>
      <c r="D1903" s="5" t="n"/>
      <c r="E1903" s="4">
        <f>IF(C1903="","",COUNTIF($C$7:C1903,C1903))</f>
        <v/>
      </c>
      <c r="F1903" s="4">
        <f>IF(E1903="","",IF(E1903&lt;=3,6,IF(E1903&lt;=6,5,IF(E1903&lt;=9,4,IF(E1903&lt;=12,3,IF(E1903&lt;=15,2,0))))))</f>
        <v/>
      </c>
      <c r="G1903" s="5" t="n"/>
      <c r="H1903" s="4">
        <f>IF(OR(F1903="",G1903=""),"",F1903*G1903+IF(J1903="",0,J1903))</f>
        <v/>
      </c>
      <c r="I1903" s="5" t="n"/>
      <c r="J1903" s="5" t="n"/>
    </row>
    <row r="1904">
      <c r="A1904" s="5" t="n"/>
      <c r="B1904" s="5" t="n"/>
      <c r="C1904" s="5" t="n"/>
      <c r="D1904" s="5" t="n"/>
      <c r="E1904" s="4">
        <f>IF(C1904="","",COUNTIF($C$7:C1904,C1904))</f>
        <v/>
      </c>
      <c r="F1904" s="4">
        <f>IF(E1904="","",IF(E1904&lt;=3,6,IF(E1904&lt;=6,5,IF(E1904&lt;=9,4,IF(E1904&lt;=12,3,IF(E1904&lt;=15,2,0))))))</f>
        <v/>
      </c>
      <c r="G1904" s="5" t="n"/>
      <c r="H1904" s="4">
        <f>IF(OR(F1904="",G1904=""),"",F1904*G1904+IF(J1904="",0,J1904))</f>
        <v/>
      </c>
      <c r="I1904" s="5" t="n"/>
      <c r="J1904" s="5" t="n"/>
    </row>
    <row r="1905">
      <c r="A1905" s="5" t="n"/>
      <c r="B1905" s="5" t="n"/>
      <c r="C1905" s="5" t="n"/>
      <c r="D1905" s="5" t="n"/>
      <c r="E1905" s="4">
        <f>IF(C1905="","",COUNTIF($C$7:C1905,C1905))</f>
        <v/>
      </c>
      <c r="F1905" s="4">
        <f>IF(E1905="","",IF(E1905&lt;=3,6,IF(E1905&lt;=6,5,IF(E1905&lt;=9,4,IF(E1905&lt;=12,3,IF(E1905&lt;=15,2,0))))))</f>
        <v/>
      </c>
      <c r="G1905" s="5" t="n"/>
      <c r="H1905" s="4">
        <f>IF(OR(F1905="",G1905=""),"",F1905*G1905+IF(J1905="",0,J1905))</f>
        <v/>
      </c>
      <c r="I1905" s="5" t="n"/>
      <c r="J1905" s="5" t="n"/>
    </row>
    <row r="1906">
      <c r="A1906" s="5" t="n"/>
      <c r="B1906" s="5" t="n"/>
      <c r="C1906" s="5" t="n"/>
      <c r="D1906" s="5" t="n"/>
      <c r="E1906" s="4">
        <f>IF(C1906="","",COUNTIF($C$7:C1906,C1906))</f>
        <v/>
      </c>
      <c r="F1906" s="4">
        <f>IF(E1906="","",IF(E1906&lt;=3,6,IF(E1906&lt;=6,5,IF(E1906&lt;=9,4,IF(E1906&lt;=12,3,IF(E1906&lt;=15,2,0))))))</f>
        <v/>
      </c>
      <c r="G1906" s="5" t="n"/>
      <c r="H1906" s="4">
        <f>IF(OR(F1906="",G1906=""),"",F1906*G1906+IF(J1906="",0,J1906))</f>
        <v/>
      </c>
      <c r="I1906" s="5" t="n"/>
      <c r="J1906" s="5" t="n"/>
    </row>
    <row r="1907">
      <c r="A1907" s="5" t="n"/>
      <c r="B1907" s="5" t="n"/>
      <c r="C1907" s="5" t="n"/>
      <c r="D1907" s="5" t="n"/>
      <c r="E1907" s="4">
        <f>IF(C1907="","",COUNTIF($C$7:C1907,C1907))</f>
        <v/>
      </c>
      <c r="F1907" s="4">
        <f>IF(E1907="","",IF(E1907&lt;=3,6,IF(E1907&lt;=6,5,IF(E1907&lt;=9,4,IF(E1907&lt;=12,3,IF(E1907&lt;=15,2,0))))))</f>
        <v/>
      </c>
      <c r="G1907" s="5" t="n"/>
      <c r="H1907" s="4">
        <f>IF(OR(F1907="",G1907=""),"",F1907*G1907+IF(J1907="",0,J1907))</f>
        <v/>
      </c>
      <c r="I1907" s="5" t="n"/>
      <c r="J1907" s="5" t="n"/>
    </row>
    <row r="1908">
      <c r="A1908" s="5" t="n"/>
      <c r="B1908" s="5" t="n"/>
      <c r="C1908" s="5" t="n"/>
      <c r="D1908" s="5" t="n"/>
      <c r="E1908" s="4">
        <f>IF(C1908="","",COUNTIF($C$7:C1908,C1908))</f>
        <v/>
      </c>
      <c r="F1908" s="4">
        <f>IF(E1908="","",IF(E1908&lt;=3,6,IF(E1908&lt;=6,5,IF(E1908&lt;=9,4,IF(E1908&lt;=12,3,IF(E1908&lt;=15,2,0))))))</f>
        <v/>
      </c>
      <c r="G1908" s="5" t="n"/>
      <c r="H1908" s="4">
        <f>IF(OR(F1908="",G1908=""),"",F1908*G1908+IF(J1908="",0,J1908))</f>
        <v/>
      </c>
      <c r="I1908" s="5" t="n"/>
      <c r="J1908" s="5" t="n"/>
    </row>
    <row r="1909">
      <c r="A1909" s="5" t="n"/>
      <c r="B1909" s="5" t="n"/>
      <c r="C1909" s="5" t="n"/>
      <c r="D1909" s="5" t="n"/>
      <c r="E1909" s="4">
        <f>IF(C1909="","",COUNTIF($C$7:C1909,C1909))</f>
        <v/>
      </c>
      <c r="F1909" s="4">
        <f>IF(E1909="","",IF(E1909&lt;=3,6,IF(E1909&lt;=6,5,IF(E1909&lt;=9,4,IF(E1909&lt;=12,3,IF(E1909&lt;=15,2,0))))))</f>
        <v/>
      </c>
      <c r="G1909" s="5" t="n"/>
      <c r="H1909" s="4">
        <f>IF(OR(F1909="",G1909=""),"",F1909*G1909+IF(J1909="",0,J1909))</f>
        <v/>
      </c>
      <c r="I1909" s="5" t="n"/>
      <c r="J1909" s="5" t="n"/>
    </row>
    <row r="1910">
      <c r="A1910" s="5" t="n"/>
      <c r="B1910" s="5" t="n"/>
      <c r="C1910" s="5" t="n"/>
      <c r="D1910" s="5" t="n"/>
      <c r="E1910" s="4">
        <f>IF(C1910="","",COUNTIF($C$7:C1910,C1910))</f>
        <v/>
      </c>
      <c r="F1910" s="4">
        <f>IF(E1910="","",IF(E1910&lt;=3,6,IF(E1910&lt;=6,5,IF(E1910&lt;=9,4,IF(E1910&lt;=12,3,IF(E1910&lt;=15,2,0))))))</f>
        <v/>
      </c>
      <c r="G1910" s="5" t="n"/>
      <c r="H1910" s="4">
        <f>IF(OR(F1910="",G1910=""),"",F1910*G1910+IF(J1910="",0,J1910))</f>
        <v/>
      </c>
      <c r="I1910" s="5" t="n"/>
      <c r="J1910" s="5" t="n"/>
    </row>
    <row r="1911">
      <c r="A1911" s="5" t="n"/>
      <c r="B1911" s="5" t="n"/>
      <c r="C1911" s="5" t="n"/>
      <c r="D1911" s="5" t="n"/>
      <c r="E1911" s="4">
        <f>IF(C1911="","",COUNTIF($C$7:C1911,C1911))</f>
        <v/>
      </c>
      <c r="F1911" s="4">
        <f>IF(E1911="","",IF(E1911&lt;=3,6,IF(E1911&lt;=6,5,IF(E1911&lt;=9,4,IF(E1911&lt;=12,3,IF(E1911&lt;=15,2,0))))))</f>
        <v/>
      </c>
      <c r="G1911" s="5" t="n"/>
      <c r="H1911" s="4">
        <f>IF(OR(F1911="",G1911=""),"",F1911*G1911+IF(J1911="",0,J1911))</f>
        <v/>
      </c>
      <c r="I1911" s="5" t="n"/>
      <c r="J1911" s="5" t="n"/>
    </row>
    <row r="1912">
      <c r="A1912" s="5" t="n"/>
      <c r="B1912" s="5" t="n"/>
      <c r="C1912" s="5" t="n"/>
      <c r="D1912" s="5" t="n"/>
      <c r="E1912" s="4">
        <f>IF(C1912="","",COUNTIF($C$7:C1912,C1912))</f>
        <v/>
      </c>
      <c r="F1912" s="4">
        <f>IF(E1912="","",IF(E1912&lt;=3,6,IF(E1912&lt;=6,5,IF(E1912&lt;=9,4,IF(E1912&lt;=12,3,IF(E1912&lt;=15,2,0))))))</f>
        <v/>
      </c>
      <c r="G1912" s="5" t="n"/>
      <c r="H1912" s="4">
        <f>IF(OR(F1912="",G1912=""),"",F1912*G1912+IF(J1912="",0,J1912))</f>
        <v/>
      </c>
      <c r="I1912" s="5" t="n"/>
      <c r="J1912" s="5" t="n"/>
    </row>
    <row r="1913">
      <c r="A1913" s="5" t="n"/>
      <c r="B1913" s="5" t="n"/>
      <c r="C1913" s="5" t="n"/>
      <c r="D1913" s="5" t="n"/>
      <c r="E1913" s="4">
        <f>IF(C1913="","",COUNTIF($C$7:C1913,C1913))</f>
        <v/>
      </c>
      <c r="F1913" s="4">
        <f>IF(E1913="","",IF(E1913&lt;=3,6,IF(E1913&lt;=6,5,IF(E1913&lt;=9,4,IF(E1913&lt;=12,3,IF(E1913&lt;=15,2,0))))))</f>
        <v/>
      </c>
      <c r="G1913" s="5" t="n"/>
      <c r="H1913" s="4">
        <f>IF(OR(F1913="",G1913=""),"",F1913*G1913+IF(J1913="",0,J1913))</f>
        <v/>
      </c>
      <c r="I1913" s="5" t="n"/>
      <c r="J1913" s="5" t="n"/>
    </row>
    <row r="1914">
      <c r="A1914" s="5" t="n"/>
      <c r="B1914" s="5" t="n"/>
      <c r="C1914" s="5" t="n"/>
      <c r="D1914" s="5" t="n"/>
      <c r="E1914" s="4">
        <f>IF(C1914="","",COUNTIF($C$7:C1914,C1914))</f>
        <v/>
      </c>
      <c r="F1914" s="4">
        <f>IF(E1914="","",IF(E1914&lt;=3,6,IF(E1914&lt;=6,5,IF(E1914&lt;=9,4,IF(E1914&lt;=12,3,IF(E1914&lt;=15,2,0))))))</f>
        <v/>
      </c>
      <c r="G1914" s="5" t="n"/>
      <c r="H1914" s="4">
        <f>IF(OR(F1914="",G1914=""),"",F1914*G1914+IF(J1914="",0,J1914))</f>
        <v/>
      </c>
      <c r="I1914" s="5" t="n"/>
      <c r="J1914" s="5" t="n"/>
    </row>
    <row r="1915">
      <c r="A1915" s="5" t="n"/>
      <c r="B1915" s="5" t="n"/>
      <c r="C1915" s="5" t="n"/>
      <c r="D1915" s="5" t="n"/>
      <c r="E1915" s="4">
        <f>IF(C1915="","",COUNTIF($C$7:C1915,C1915))</f>
        <v/>
      </c>
      <c r="F1915" s="4">
        <f>IF(E1915="","",IF(E1915&lt;=3,6,IF(E1915&lt;=6,5,IF(E1915&lt;=9,4,IF(E1915&lt;=12,3,IF(E1915&lt;=15,2,0))))))</f>
        <v/>
      </c>
      <c r="G1915" s="5" t="n"/>
      <c r="H1915" s="4">
        <f>IF(OR(F1915="",G1915=""),"",F1915*G1915+IF(J1915="",0,J1915))</f>
        <v/>
      </c>
      <c r="I1915" s="5" t="n"/>
      <c r="J1915" s="5" t="n"/>
    </row>
    <row r="1916">
      <c r="A1916" s="5" t="n"/>
      <c r="B1916" s="5" t="n"/>
      <c r="C1916" s="5" t="n"/>
      <c r="D1916" s="5" t="n"/>
      <c r="E1916" s="4">
        <f>IF(C1916="","",COUNTIF($C$7:C1916,C1916))</f>
        <v/>
      </c>
      <c r="F1916" s="4">
        <f>IF(E1916="","",IF(E1916&lt;=3,6,IF(E1916&lt;=6,5,IF(E1916&lt;=9,4,IF(E1916&lt;=12,3,IF(E1916&lt;=15,2,0))))))</f>
        <v/>
      </c>
      <c r="G1916" s="5" t="n"/>
      <c r="H1916" s="4">
        <f>IF(OR(F1916="",G1916=""),"",F1916*G1916+IF(J1916="",0,J1916))</f>
        <v/>
      </c>
      <c r="I1916" s="5" t="n"/>
      <c r="J1916" s="5" t="n"/>
    </row>
    <row r="1917">
      <c r="A1917" s="5" t="n"/>
      <c r="B1917" s="5" t="n"/>
      <c r="C1917" s="5" t="n"/>
      <c r="D1917" s="5" t="n"/>
      <c r="E1917" s="4">
        <f>IF(C1917="","",COUNTIF($C$7:C1917,C1917))</f>
        <v/>
      </c>
      <c r="F1917" s="4">
        <f>IF(E1917="","",IF(E1917&lt;=3,6,IF(E1917&lt;=6,5,IF(E1917&lt;=9,4,IF(E1917&lt;=12,3,IF(E1917&lt;=15,2,0))))))</f>
        <v/>
      </c>
      <c r="G1917" s="5" t="n"/>
      <c r="H1917" s="4">
        <f>IF(OR(F1917="",G1917=""),"",F1917*G1917+IF(J1917="",0,J1917))</f>
        <v/>
      </c>
      <c r="I1917" s="5" t="n"/>
      <c r="J1917" s="5" t="n"/>
    </row>
    <row r="1918">
      <c r="A1918" s="5" t="n"/>
      <c r="B1918" s="5" t="n"/>
      <c r="C1918" s="5" t="n"/>
      <c r="D1918" s="5" t="n"/>
      <c r="E1918" s="4">
        <f>IF(C1918="","",COUNTIF($C$7:C1918,C1918))</f>
        <v/>
      </c>
      <c r="F1918" s="4">
        <f>IF(E1918="","",IF(E1918&lt;=3,6,IF(E1918&lt;=6,5,IF(E1918&lt;=9,4,IF(E1918&lt;=12,3,IF(E1918&lt;=15,2,0))))))</f>
        <v/>
      </c>
      <c r="G1918" s="5" t="n"/>
      <c r="H1918" s="4">
        <f>IF(OR(F1918="",G1918=""),"",F1918*G1918+IF(J1918="",0,J1918))</f>
        <v/>
      </c>
      <c r="I1918" s="5" t="n"/>
      <c r="J1918" s="5" t="n"/>
    </row>
    <row r="1919">
      <c r="A1919" s="5" t="n"/>
      <c r="B1919" s="5" t="n"/>
      <c r="C1919" s="5" t="n"/>
      <c r="D1919" s="5" t="n"/>
      <c r="E1919" s="4">
        <f>IF(C1919="","",COUNTIF($C$7:C1919,C1919))</f>
        <v/>
      </c>
      <c r="F1919" s="4">
        <f>IF(E1919="","",IF(E1919&lt;=3,6,IF(E1919&lt;=6,5,IF(E1919&lt;=9,4,IF(E1919&lt;=12,3,IF(E1919&lt;=15,2,0))))))</f>
        <v/>
      </c>
      <c r="G1919" s="5" t="n"/>
      <c r="H1919" s="4">
        <f>IF(OR(F1919="",G1919=""),"",F1919*G1919+IF(J1919="",0,J1919))</f>
        <v/>
      </c>
      <c r="I1919" s="5" t="n"/>
      <c r="J1919" s="5" t="n"/>
    </row>
    <row r="1920">
      <c r="A1920" s="5" t="n"/>
      <c r="B1920" s="5" t="n"/>
      <c r="C1920" s="5" t="n"/>
      <c r="D1920" s="5" t="n"/>
      <c r="E1920" s="4">
        <f>IF(C1920="","",COUNTIF($C$7:C1920,C1920))</f>
        <v/>
      </c>
      <c r="F1920" s="4">
        <f>IF(E1920="","",IF(E1920&lt;=3,6,IF(E1920&lt;=6,5,IF(E1920&lt;=9,4,IF(E1920&lt;=12,3,IF(E1920&lt;=15,2,0))))))</f>
        <v/>
      </c>
      <c r="G1920" s="5" t="n"/>
      <c r="H1920" s="4">
        <f>IF(OR(F1920="",G1920=""),"",F1920*G1920+IF(J1920="",0,J1920))</f>
        <v/>
      </c>
      <c r="I1920" s="5" t="n"/>
      <c r="J1920" s="5" t="n"/>
    </row>
    <row r="1921">
      <c r="A1921" s="5" t="n"/>
      <c r="B1921" s="5" t="n"/>
      <c r="C1921" s="5" t="n"/>
      <c r="D1921" s="5" t="n"/>
      <c r="E1921" s="4">
        <f>IF(C1921="","",COUNTIF($C$7:C1921,C1921))</f>
        <v/>
      </c>
      <c r="F1921" s="4">
        <f>IF(E1921="","",IF(E1921&lt;=3,6,IF(E1921&lt;=6,5,IF(E1921&lt;=9,4,IF(E1921&lt;=12,3,IF(E1921&lt;=15,2,0))))))</f>
        <v/>
      </c>
      <c r="G1921" s="5" t="n"/>
      <c r="H1921" s="4">
        <f>IF(OR(F1921="",G1921=""),"",F1921*G1921+IF(J1921="",0,J1921))</f>
        <v/>
      </c>
      <c r="I1921" s="5" t="n"/>
      <c r="J1921" s="5" t="n"/>
    </row>
    <row r="1922">
      <c r="A1922" s="5" t="n"/>
      <c r="B1922" s="5" t="n"/>
      <c r="C1922" s="5" t="n"/>
      <c r="D1922" s="5" t="n"/>
      <c r="E1922" s="4">
        <f>IF(C1922="","",COUNTIF($C$7:C1922,C1922))</f>
        <v/>
      </c>
      <c r="F1922" s="4">
        <f>IF(E1922="","",IF(E1922&lt;=3,6,IF(E1922&lt;=6,5,IF(E1922&lt;=9,4,IF(E1922&lt;=12,3,IF(E1922&lt;=15,2,0))))))</f>
        <v/>
      </c>
      <c r="G1922" s="5" t="n"/>
      <c r="H1922" s="4">
        <f>IF(OR(F1922="",G1922=""),"",F1922*G1922+IF(J1922="",0,J1922))</f>
        <v/>
      </c>
      <c r="I1922" s="5" t="n"/>
      <c r="J1922" s="5" t="n"/>
    </row>
    <row r="1923">
      <c r="A1923" s="5" t="n"/>
      <c r="B1923" s="5" t="n"/>
      <c r="C1923" s="5" t="n"/>
      <c r="D1923" s="5" t="n"/>
      <c r="E1923" s="4">
        <f>IF(C1923="","",COUNTIF($C$7:C1923,C1923))</f>
        <v/>
      </c>
      <c r="F1923" s="4">
        <f>IF(E1923="","",IF(E1923&lt;=3,6,IF(E1923&lt;=6,5,IF(E1923&lt;=9,4,IF(E1923&lt;=12,3,IF(E1923&lt;=15,2,0))))))</f>
        <v/>
      </c>
      <c r="G1923" s="5" t="n"/>
      <c r="H1923" s="4">
        <f>IF(OR(F1923="",G1923=""),"",F1923*G1923+IF(J1923="",0,J1923))</f>
        <v/>
      </c>
      <c r="I1923" s="5" t="n"/>
      <c r="J1923" s="5" t="n"/>
    </row>
    <row r="1924">
      <c r="A1924" s="5" t="n"/>
      <c r="B1924" s="5" t="n"/>
      <c r="C1924" s="5" t="n"/>
      <c r="D1924" s="5" t="n"/>
      <c r="E1924" s="4">
        <f>IF(C1924="","",COUNTIF($C$7:C1924,C1924))</f>
        <v/>
      </c>
      <c r="F1924" s="4">
        <f>IF(E1924="","",IF(E1924&lt;=3,6,IF(E1924&lt;=6,5,IF(E1924&lt;=9,4,IF(E1924&lt;=12,3,IF(E1924&lt;=15,2,0))))))</f>
        <v/>
      </c>
      <c r="G1924" s="5" t="n"/>
      <c r="H1924" s="4">
        <f>IF(OR(F1924="",G1924=""),"",F1924*G1924+IF(J1924="",0,J1924))</f>
        <v/>
      </c>
      <c r="I1924" s="5" t="n"/>
      <c r="J1924" s="5" t="n"/>
    </row>
    <row r="1925">
      <c r="A1925" s="5" t="n"/>
      <c r="B1925" s="5" t="n"/>
      <c r="C1925" s="5" t="n"/>
      <c r="D1925" s="5" t="n"/>
      <c r="E1925" s="4">
        <f>IF(C1925="","",COUNTIF($C$7:C1925,C1925))</f>
        <v/>
      </c>
      <c r="F1925" s="4">
        <f>IF(E1925="","",IF(E1925&lt;=3,6,IF(E1925&lt;=6,5,IF(E1925&lt;=9,4,IF(E1925&lt;=12,3,IF(E1925&lt;=15,2,0))))))</f>
        <v/>
      </c>
      <c r="G1925" s="5" t="n"/>
      <c r="H1925" s="4">
        <f>IF(OR(F1925="",G1925=""),"",F1925*G1925+IF(J1925="",0,J1925))</f>
        <v/>
      </c>
      <c r="I1925" s="5" t="n"/>
      <c r="J1925" s="5" t="n"/>
    </row>
    <row r="1926">
      <c r="A1926" s="5" t="n"/>
      <c r="B1926" s="5" t="n"/>
      <c r="C1926" s="5" t="n"/>
      <c r="D1926" s="5" t="n"/>
      <c r="E1926" s="4">
        <f>IF(C1926="","",COUNTIF($C$7:C1926,C1926))</f>
        <v/>
      </c>
      <c r="F1926" s="4">
        <f>IF(E1926="","",IF(E1926&lt;=3,6,IF(E1926&lt;=6,5,IF(E1926&lt;=9,4,IF(E1926&lt;=12,3,IF(E1926&lt;=15,2,0))))))</f>
        <v/>
      </c>
      <c r="G1926" s="5" t="n"/>
      <c r="H1926" s="4">
        <f>IF(OR(F1926="",G1926=""),"",F1926*G1926+IF(J1926="",0,J1926))</f>
        <v/>
      </c>
      <c r="I1926" s="5" t="n"/>
      <c r="J1926" s="5" t="n"/>
    </row>
    <row r="1927">
      <c r="A1927" s="5" t="n"/>
      <c r="B1927" s="5" t="n"/>
      <c r="C1927" s="5" t="n"/>
      <c r="D1927" s="5" t="n"/>
      <c r="E1927" s="4">
        <f>IF(C1927="","",COUNTIF($C$7:C1927,C1927))</f>
        <v/>
      </c>
      <c r="F1927" s="4">
        <f>IF(E1927="","",IF(E1927&lt;=3,6,IF(E1927&lt;=6,5,IF(E1927&lt;=9,4,IF(E1927&lt;=12,3,IF(E1927&lt;=15,2,0))))))</f>
        <v/>
      </c>
      <c r="G1927" s="5" t="n"/>
      <c r="H1927" s="4">
        <f>IF(OR(F1927="",G1927=""),"",F1927*G1927+IF(J1927="",0,J1927))</f>
        <v/>
      </c>
      <c r="I1927" s="5" t="n"/>
      <c r="J1927" s="5" t="n"/>
    </row>
    <row r="1928">
      <c r="A1928" s="5" t="n"/>
      <c r="B1928" s="5" t="n"/>
      <c r="C1928" s="5" t="n"/>
      <c r="D1928" s="5" t="n"/>
      <c r="E1928" s="4">
        <f>IF(C1928="","",COUNTIF($C$7:C1928,C1928))</f>
        <v/>
      </c>
      <c r="F1928" s="4">
        <f>IF(E1928="","",IF(E1928&lt;=3,6,IF(E1928&lt;=6,5,IF(E1928&lt;=9,4,IF(E1928&lt;=12,3,IF(E1928&lt;=15,2,0))))))</f>
        <v/>
      </c>
      <c r="G1928" s="5" t="n"/>
      <c r="H1928" s="4">
        <f>IF(OR(F1928="",G1928=""),"",F1928*G1928+IF(J1928="",0,J1928))</f>
        <v/>
      </c>
      <c r="I1928" s="5" t="n"/>
      <c r="J1928" s="5" t="n"/>
    </row>
    <row r="1929">
      <c r="A1929" s="5" t="n"/>
      <c r="B1929" s="5" t="n"/>
      <c r="C1929" s="5" t="n"/>
      <c r="D1929" s="5" t="n"/>
      <c r="E1929" s="4">
        <f>IF(C1929="","",COUNTIF($C$7:C1929,C1929))</f>
        <v/>
      </c>
      <c r="F1929" s="4">
        <f>IF(E1929="","",IF(E1929&lt;=3,6,IF(E1929&lt;=6,5,IF(E1929&lt;=9,4,IF(E1929&lt;=12,3,IF(E1929&lt;=15,2,0))))))</f>
        <v/>
      </c>
      <c r="G1929" s="5" t="n"/>
      <c r="H1929" s="4">
        <f>IF(OR(F1929="",G1929=""),"",F1929*G1929+IF(J1929="",0,J1929))</f>
        <v/>
      </c>
      <c r="I1929" s="5" t="n"/>
      <c r="J1929" s="5" t="n"/>
    </row>
    <row r="1930">
      <c r="A1930" s="5" t="n"/>
      <c r="B1930" s="5" t="n"/>
      <c r="C1930" s="5" t="n"/>
      <c r="D1930" s="5" t="n"/>
      <c r="E1930" s="4">
        <f>IF(C1930="","",COUNTIF($C$7:C1930,C1930))</f>
        <v/>
      </c>
      <c r="F1930" s="4">
        <f>IF(E1930="","",IF(E1930&lt;=3,6,IF(E1930&lt;=6,5,IF(E1930&lt;=9,4,IF(E1930&lt;=12,3,IF(E1930&lt;=15,2,0))))))</f>
        <v/>
      </c>
      <c r="G1930" s="5" t="n"/>
      <c r="H1930" s="4">
        <f>IF(OR(F1930="",G1930=""),"",F1930*G1930+IF(J1930="",0,J1930))</f>
        <v/>
      </c>
      <c r="I1930" s="5" t="n"/>
      <c r="J1930" s="5" t="n"/>
    </row>
    <row r="1931">
      <c r="A1931" s="5" t="n"/>
      <c r="B1931" s="5" t="n"/>
      <c r="C1931" s="5" t="n"/>
      <c r="D1931" s="5" t="n"/>
      <c r="E1931" s="4">
        <f>IF(C1931="","",COUNTIF($C$7:C1931,C1931))</f>
        <v/>
      </c>
      <c r="F1931" s="4">
        <f>IF(E1931="","",IF(E1931&lt;=3,6,IF(E1931&lt;=6,5,IF(E1931&lt;=9,4,IF(E1931&lt;=12,3,IF(E1931&lt;=15,2,0))))))</f>
        <v/>
      </c>
      <c r="G1931" s="5" t="n"/>
      <c r="H1931" s="4">
        <f>IF(OR(F1931="",G1931=""),"",F1931*G1931+IF(J1931="",0,J1931))</f>
        <v/>
      </c>
      <c r="I1931" s="5" t="n"/>
      <c r="J1931" s="5" t="n"/>
    </row>
    <row r="1932">
      <c r="A1932" s="5" t="n"/>
      <c r="B1932" s="5" t="n"/>
      <c r="C1932" s="5" t="n"/>
      <c r="D1932" s="5" t="n"/>
      <c r="E1932" s="4">
        <f>IF(C1932="","",COUNTIF($C$7:C1932,C1932))</f>
        <v/>
      </c>
      <c r="F1932" s="4">
        <f>IF(E1932="","",IF(E1932&lt;=3,6,IF(E1932&lt;=6,5,IF(E1932&lt;=9,4,IF(E1932&lt;=12,3,IF(E1932&lt;=15,2,0))))))</f>
        <v/>
      </c>
      <c r="G1932" s="5" t="n"/>
      <c r="H1932" s="4">
        <f>IF(OR(F1932="",G1932=""),"",F1932*G1932+IF(J1932="",0,J1932))</f>
        <v/>
      </c>
      <c r="I1932" s="5" t="n"/>
      <c r="J1932" s="5" t="n"/>
    </row>
    <row r="1933">
      <c r="A1933" s="5" t="n"/>
      <c r="B1933" s="5" t="n"/>
      <c r="C1933" s="5" t="n"/>
      <c r="D1933" s="5" t="n"/>
      <c r="E1933" s="4">
        <f>IF(C1933="","",COUNTIF($C$7:C1933,C1933))</f>
        <v/>
      </c>
      <c r="F1933" s="4">
        <f>IF(E1933="","",IF(E1933&lt;=3,6,IF(E1933&lt;=6,5,IF(E1933&lt;=9,4,IF(E1933&lt;=12,3,IF(E1933&lt;=15,2,0))))))</f>
        <v/>
      </c>
      <c r="G1933" s="5" t="n"/>
      <c r="H1933" s="4">
        <f>IF(OR(F1933="",G1933=""),"",F1933*G1933+IF(J1933="",0,J1933))</f>
        <v/>
      </c>
      <c r="I1933" s="5" t="n"/>
      <c r="J1933" s="5" t="n"/>
    </row>
    <row r="1934">
      <c r="A1934" s="5" t="n"/>
      <c r="B1934" s="5" t="n"/>
      <c r="C1934" s="5" t="n"/>
      <c r="D1934" s="5" t="n"/>
      <c r="E1934" s="4">
        <f>IF(C1934="","",COUNTIF($C$7:C1934,C1934))</f>
        <v/>
      </c>
      <c r="F1934" s="4">
        <f>IF(E1934="","",IF(E1934&lt;=3,6,IF(E1934&lt;=6,5,IF(E1934&lt;=9,4,IF(E1934&lt;=12,3,IF(E1934&lt;=15,2,0))))))</f>
        <v/>
      </c>
      <c r="G1934" s="5" t="n"/>
      <c r="H1934" s="4">
        <f>IF(OR(F1934="",G1934=""),"",F1934*G1934+IF(J1934="",0,J1934))</f>
        <v/>
      </c>
      <c r="I1934" s="5" t="n"/>
      <c r="J1934" s="5" t="n"/>
    </row>
    <row r="1935">
      <c r="A1935" s="5" t="n"/>
      <c r="B1935" s="5" t="n"/>
      <c r="C1935" s="5" t="n"/>
      <c r="D1935" s="5" t="n"/>
      <c r="E1935" s="4">
        <f>IF(C1935="","",COUNTIF($C$7:C1935,C1935))</f>
        <v/>
      </c>
      <c r="F1935" s="4">
        <f>IF(E1935="","",IF(E1935&lt;=3,6,IF(E1935&lt;=6,5,IF(E1935&lt;=9,4,IF(E1935&lt;=12,3,IF(E1935&lt;=15,2,0))))))</f>
        <v/>
      </c>
      <c r="G1935" s="5" t="n"/>
      <c r="H1935" s="4">
        <f>IF(OR(F1935="",G1935=""),"",F1935*G1935+IF(J1935="",0,J1935))</f>
        <v/>
      </c>
      <c r="I1935" s="5" t="n"/>
      <c r="J1935" s="5" t="n"/>
    </row>
    <row r="1936">
      <c r="A1936" s="5" t="n"/>
      <c r="B1936" s="5" t="n"/>
      <c r="C1936" s="5" t="n"/>
      <c r="D1936" s="5" t="n"/>
      <c r="E1936" s="4">
        <f>IF(C1936="","",COUNTIF($C$7:C1936,C1936))</f>
        <v/>
      </c>
      <c r="F1936" s="4">
        <f>IF(E1936="","",IF(E1936&lt;=3,6,IF(E1936&lt;=6,5,IF(E1936&lt;=9,4,IF(E1936&lt;=12,3,IF(E1936&lt;=15,2,0))))))</f>
        <v/>
      </c>
      <c r="G1936" s="5" t="n"/>
      <c r="H1936" s="4">
        <f>IF(OR(F1936="",G1936=""),"",F1936*G1936+IF(J1936="",0,J1936))</f>
        <v/>
      </c>
      <c r="I1936" s="5" t="n"/>
      <c r="J1936" s="5" t="n"/>
    </row>
    <row r="1937">
      <c r="A1937" s="5" t="n"/>
      <c r="B1937" s="5" t="n"/>
      <c r="C1937" s="5" t="n"/>
      <c r="D1937" s="5" t="n"/>
      <c r="E1937" s="4">
        <f>IF(C1937="","",COUNTIF($C$7:C1937,C1937))</f>
        <v/>
      </c>
      <c r="F1937" s="4">
        <f>IF(E1937="","",IF(E1937&lt;=3,6,IF(E1937&lt;=6,5,IF(E1937&lt;=9,4,IF(E1937&lt;=12,3,IF(E1937&lt;=15,2,0))))))</f>
        <v/>
      </c>
      <c r="G1937" s="5" t="n"/>
      <c r="H1937" s="4">
        <f>IF(OR(F1937="",G1937=""),"",F1937*G1937+IF(J1937="",0,J1937))</f>
        <v/>
      </c>
      <c r="I1937" s="5" t="n"/>
      <c r="J1937" s="5" t="n"/>
    </row>
    <row r="1938">
      <c r="A1938" s="5" t="n"/>
      <c r="B1938" s="5" t="n"/>
      <c r="C1938" s="5" t="n"/>
      <c r="D1938" s="5" t="n"/>
      <c r="E1938" s="4">
        <f>IF(C1938="","",COUNTIF($C$7:C1938,C1938))</f>
        <v/>
      </c>
      <c r="F1938" s="4">
        <f>IF(E1938="","",IF(E1938&lt;=3,6,IF(E1938&lt;=6,5,IF(E1938&lt;=9,4,IF(E1938&lt;=12,3,IF(E1938&lt;=15,2,0))))))</f>
        <v/>
      </c>
      <c r="G1938" s="5" t="n"/>
      <c r="H1938" s="4">
        <f>IF(OR(F1938="",G1938=""),"",F1938*G1938+IF(J1938="",0,J1938))</f>
        <v/>
      </c>
      <c r="I1938" s="5" t="n"/>
      <c r="J1938" s="5" t="n"/>
    </row>
    <row r="1939">
      <c r="A1939" s="5" t="n"/>
      <c r="B1939" s="5" t="n"/>
      <c r="C1939" s="5" t="n"/>
      <c r="D1939" s="5" t="n"/>
      <c r="E1939" s="4">
        <f>IF(C1939="","",COUNTIF($C$7:C1939,C1939))</f>
        <v/>
      </c>
      <c r="F1939" s="4">
        <f>IF(E1939="","",IF(E1939&lt;=3,6,IF(E1939&lt;=6,5,IF(E1939&lt;=9,4,IF(E1939&lt;=12,3,IF(E1939&lt;=15,2,0))))))</f>
        <v/>
      </c>
      <c r="G1939" s="5" t="n"/>
      <c r="H1939" s="4">
        <f>IF(OR(F1939="",G1939=""),"",F1939*G1939+IF(J1939="",0,J1939))</f>
        <v/>
      </c>
      <c r="I1939" s="5" t="n"/>
      <c r="J1939" s="5" t="n"/>
    </row>
    <row r="1940">
      <c r="A1940" s="5" t="n"/>
      <c r="B1940" s="5" t="n"/>
      <c r="C1940" s="5" t="n"/>
      <c r="D1940" s="5" t="n"/>
      <c r="E1940" s="4">
        <f>IF(C1940="","",COUNTIF($C$7:C1940,C1940))</f>
        <v/>
      </c>
      <c r="F1940" s="4">
        <f>IF(E1940="","",IF(E1940&lt;=3,6,IF(E1940&lt;=6,5,IF(E1940&lt;=9,4,IF(E1940&lt;=12,3,IF(E1940&lt;=15,2,0))))))</f>
        <v/>
      </c>
      <c r="G1940" s="5" t="n"/>
      <c r="H1940" s="4">
        <f>IF(OR(F1940="",G1940=""),"",F1940*G1940+IF(J1940="",0,J1940))</f>
        <v/>
      </c>
      <c r="I1940" s="5" t="n"/>
      <c r="J1940" s="5" t="n"/>
    </row>
    <row r="1941">
      <c r="A1941" s="5" t="n"/>
      <c r="B1941" s="5" t="n"/>
      <c r="C1941" s="5" t="n"/>
      <c r="D1941" s="5" t="n"/>
      <c r="E1941" s="4">
        <f>IF(C1941="","",COUNTIF($C$7:C1941,C1941))</f>
        <v/>
      </c>
      <c r="F1941" s="4">
        <f>IF(E1941="","",IF(E1941&lt;=3,6,IF(E1941&lt;=6,5,IF(E1941&lt;=9,4,IF(E1941&lt;=12,3,IF(E1941&lt;=15,2,0))))))</f>
        <v/>
      </c>
      <c r="G1941" s="5" t="n"/>
      <c r="H1941" s="4">
        <f>IF(OR(F1941="",G1941=""),"",F1941*G1941+IF(J1941="",0,J1941))</f>
        <v/>
      </c>
      <c r="I1941" s="5" t="n"/>
      <c r="J1941" s="5" t="n"/>
    </row>
    <row r="1942">
      <c r="A1942" s="5" t="n"/>
      <c r="B1942" s="5" t="n"/>
      <c r="C1942" s="5" t="n"/>
      <c r="D1942" s="5" t="n"/>
      <c r="E1942" s="4">
        <f>IF(C1942="","",COUNTIF($C$7:C1942,C1942))</f>
        <v/>
      </c>
      <c r="F1942" s="4">
        <f>IF(E1942="","",IF(E1942&lt;=3,6,IF(E1942&lt;=6,5,IF(E1942&lt;=9,4,IF(E1942&lt;=12,3,IF(E1942&lt;=15,2,0))))))</f>
        <v/>
      </c>
      <c r="G1942" s="5" t="n"/>
      <c r="H1942" s="4">
        <f>IF(OR(F1942="",G1942=""),"",F1942*G1942+IF(J1942="",0,J1942))</f>
        <v/>
      </c>
      <c r="I1942" s="5" t="n"/>
      <c r="J1942" s="5" t="n"/>
    </row>
    <row r="1943">
      <c r="A1943" s="5" t="n"/>
      <c r="B1943" s="5" t="n"/>
      <c r="C1943" s="5" t="n"/>
      <c r="D1943" s="5" t="n"/>
      <c r="E1943" s="4">
        <f>IF(C1943="","",COUNTIF($C$7:C1943,C1943))</f>
        <v/>
      </c>
      <c r="F1943" s="4">
        <f>IF(E1943="","",IF(E1943&lt;=3,6,IF(E1943&lt;=6,5,IF(E1943&lt;=9,4,IF(E1943&lt;=12,3,IF(E1943&lt;=15,2,0))))))</f>
        <v/>
      </c>
      <c r="G1943" s="5" t="n"/>
      <c r="H1943" s="4">
        <f>IF(OR(F1943="",G1943=""),"",F1943*G1943+IF(J1943="",0,J1943))</f>
        <v/>
      </c>
      <c r="I1943" s="5" t="n"/>
      <c r="J1943" s="5" t="n"/>
    </row>
    <row r="1944">
      <c r="A1944" s="5" t="n"/>
      <c r="B1944" s="5" t="n"/>
      <c r="C1944" s="5" t="n"/>
      <c r="D1944" s="5" t="n"/>
      <c r="E1944" s="4">
        <f>IF(C1944="","",COUNTIF($C$7:C1944,C1944))</f>
        <v/>
      </c>
      <c r="F1944" s="4">
        <f>IF(E1944="","",IF(E1944&lt;=3,6,IF(E1944&lt;=6,5,IF(E1944&lt;=9,4,IF(E1944&lt;=12,3,IF(E1944&lt;=15,2,0))))))</f>
        <v/>
      </c>
      <c r="G1944" s="5" t="n"/>
      <c r="H1944" s="4">
        <f>IF(OR(F1944="",G1944=""),"",F1944*G1944+IF(J1944="",0,J1944))</f>
        <v/>
      </c>
      <c r="I1944" s="5" t="n"/>
      <c r="J1944" s="5" t="n"/>
    </row>
    <row r="1945">
      <c r="A1945" s="5" t="n"/>
      <c r="B1945" s="5" t="n"/>
      <c r="C1945" s="5" t="n"/>
      <c r="D1945" s="5" t="n"/>
      <c r="E1945" s="4">
        <f>IF(C1945="","",COUNTIF($C$7:C1945,C1945))</f>
        <v/>
      </c>
      <c r="F1945" s="4">
        <f>IF(E1945="","",IF(E1945&lt;=3,6,IF(E1945&lt;=6,5,IF(E1945&lt;=9,4,IF(E1945&lt;=12,3,IF(E1945&lt;=15,2,0))))))</f>
        <v/>
      </c>
      <c r="G1945" s="5" t="n"/>
      <c r="H1945" s="4">
        <f>IF(OR(F1945="",G1945=""),"",F1945*G1945+IF(J1945="",0,J1945))</f>
        <v/>
      </c>
      <c r="I1945" s="5" t="n"/>
      <c r="J1945" s="5" t="n"/>
    </row>
    <row r="1946">
      <c r="A1946" s="5" t="n"/>
      <c r="B1946" s="5" t="n"/>
      <c r="C1946" s="5" t="n"/>
      <c r="D1946" s="5" t="n"/>
      <c r="E1946" s="4">
        <f>IF(C1946="","",COUNTIF($C$7:C1946,C1946))</f>
        <v/>
      </c>
      <c r="F1946" s="4">
        <f>IF(E1946="","",IF(E1946&lt;=3,6,IF(E1946&lt;=6,5,IF(E1946&lt;=9,4,IF(E1946&lt;=12,3,IF(E1946&lt;=15,2,0))))))</f>
        <v/>
      </c>
      <c r="G1946" s="5" t="n"/>
      <c r="H1946" s="4">
        <f>IF(OR(F1946="",G1946=""),"",F1946*G1946+IF(J1946="",0,J1946))</f>
        <v/>
      </c>
      <c r="I1946" s="5" t="n"/>
      <c r="J1946" s="5" t="n"/>
    </row>
    <row r="1947">
      <c r="A1947" s="5" t="n"/>
      <c r="B1947" s="5" t="n"/>
      <c r="C1947" s="5" t="n"/>
      <c r="D1947" s="5" t="n"/>
      <c r="E1947" s="4">
        <f>IF(C1947="","",COUNTIF($C$7:C1947,C1947))</f>
        <v/>
      </c>
      <c r="F1947" s="4">
        <f>IF(E1947="","",IF(E1947&lt;=3,6,IF(E1947&lt;=6,5,IF(E1947&lt;=9,4,IF(E1947&lt;=12,3,IF(E1947&lt;=15,2,0))))))</f>
        <v/>
      </c>
      <c r="G1947" s="5" t="n"/>
      <c r="H1947" s="4">
        <f>IF(OR(F1947="",G1947=""),"",F1947*G1947+IF(J1947="",0,J1947))</f>
        <v/>
      </c>
      <c r="I1947" s="5" t="n"/>
      <c r="J1947" s="5" t="n"/>
    </row>
    <row r="1948">
      <c r="A1948" s="5" t="n"/>
      <c r="B1948" s="5" t="n"/>
      <c r="C1948" s="5" t="n"/>
      <c r="D1948" s="5" t="n"/>
      <c r="E1948" s="4">
        <f>IF(C1948="","",COUNTIF($C$7:C1948,C1948))</f>
        <v/>
      </c>
      <c r="F1948" s="4">
        <f>IF(E1948="","",IF(E1948&lt;=3,6,IF(E1948&lt;=6,5,IF(E1948&lt;=9,4,IF(E1948&lt;=12,3,IF(E1948&lt;=15,2,0))))))</f>
        <v/>
      </c>
      <c r="G1948" s="5" t="n"/>
      <c r="H1948" s="4">
        <f>IF(OR(F1948="",G1948=""),"",F1948*G1948+IF(J1948="",0,J1948))</f>
        <v/>
      </c>
      <c r="I1948" s="5" t="n"/>
      <c r="J1948" s="5" t="n"/>
    </row>
    <row r="1949">
      <c r="A1949" s="5" t="n"/>
      <c r="B1949" s="5" t="n"/>
      <c r="C1949" s="5" t="n"/>
      <c r="D1949" s="5" t="n"/>
      <c r="E1949" s="4">
        <f>IF(C1949="","",COUNTIF($C$7:C1949,C1949))</f>
        <v/>
      </c>
      <c r="F1949" s="4">
        <f>IF(E1949="","",IF(E1949&lt;=3,6,IF(E1949&lt;=6,5,IF(E1949&lt;=9,4,IF(E1949&lt;=12,3,IF(E1949&lt;=15,2,0))))))</f>
        <v/>
      </c>
      <c r="G1949" s="5" t="n"/>
      <c r="H1949" s="4">
        <f>IF(OR(F1949="",G1949=""),"",F1949*G1949+IF(J1949="",0,J1949))</f>
        <v/>
      </c>
      <c r="I1949" s="5" t="n"/>
      <c r="J1949" s="5" t="n"/>
    </row>
    <row r="1950">
      <c r="A1950" s="5" t="n"/>
      <c r="B1950" s="5" t="n"/>
      <c r="C1950" s="5" t="n"/>
      <c r="D1950" s="5" t="n"/>
      <c r="E1950" s="4">
        <f>IF(C1950="","",COUNTIF($C$7:C1950,C1950))</f>
        <v/>
      </c>
      <c r="F1950" s="4">
        <f>IF(E1950="","",IF(E1950&lt;=3,6,IF(E1950&lt;=6,5,IF(E1950&lt;=9,4,IF(E1950&lt;=12,3,IF(E1950&lt;=15,2,0))))))</f>
        <v/>
      </c>
      <c r="G1950" s="5" t="n"/>
      <c r="H1950" s="4">
        <f>IF(OR(F1950="",G1950=""),"",F1950*G1950+IF(J1950="",0,J1950))</f>
        <v/>
      </c>
      <c r="I1950" s="5" t="n"/>
      <c r="J1950" s="5" t="n"/>
    </row>
    <row r="1951">
      <c r="A1951" s="5" t="n"/>
      <c r="B1951" s="5" t="n"/>
      <c r="C1951" s="5" t="n"/>
      <c r="D1951" s="5" t="n"/>
      <c r="E1951" s="4">
        <f>IF(C1951="","",COUNTIF($C$7:C1951,C1951))</f>
        <v/>
      </c>
      <c r="F1951" s="4">
        <f>IF(E1951="","",IF(E1951&lt;=3,6,IF(E1951&lt;=6,5,IF(E1951&lt;=9,4,IF(E1951&lt;=12,3,IF(E1951&lt;=15,2,0))))))</f>
        <v/>
      </c>
      <c r="G1951" s="5" t="n"/>
      <c r="H1951" s="4">
        <f>IF(OR(F1951="",G1951=""),"",F1951*G1951+IF(J1951="",0,J1951))</f>
        <v/>
      </c>
      <c r="I1951" s="5" t="n"/>
      <c r="J1951" s="5" t="n"/>
    </row>
    <row r="1952">
      <c r="A1952" s="5" t="n"/>
      <c r="B1952" s="5" t="n"/>
      <c r="C1952" s="5" t="n"/>
      <c r="D1952" s="5" t="n"/>
      <c r="E1952" s="4">
        <f>IF(C1952="","",COUNTIF($C$7:C1952,C1952))</f>
        <v/>
      </c>
      <c r="F1952" s="4">
        <f>IF(E1952="","",IF(E1952&lt;=3,6,IF(E1952&lt;=6,5,IF(E1952&lt;=9,4,IF(E1952&lt;=12,3,IF(E1952&lt;=15,2,0))))))</f>
        <v/>
      </c>
      <c r="G1952" s="5" t="n"/>
      <c r="H1952" s="4">
        <f>IF(OR(F1952="",G1952=""),"",F1952*G1952+IF(J1952="",0,J1952))</f>
        <v/>
      </c>
      <c r="I1952" s="5" t="n"/>
      <c r="J1952" s="5" t="n"/>
    </row>
    <row r="1953">
      <c r="A1953" s="5" t="n"/>
      <c r="B1953" s="5" t="n"/>
      <c r="C1953" s="5" t="n"/>
      <c r="D1953" s="5" t="n"/>
      <c r="E1953" s="4">
        <f>IF(C1953="","",COUNTIF($C$7:C1953,C1953))</f>
        <v/>
      </c>
      <c r="F1953" s="4">
        <f>IF(E1953="","",IF(E1953&lt;=3,6,IF(E1953&lt;=6,5,IF(E1953&lt;=9,4,IF(E1953&lt;=12,3,IF(E1953&lt;=15,2,0))))))</f>
        <v/>
      </c>
      <c r="G1953" s="5" t="n"/>
      <c r="H1953" s="4">
        <f>IF(OR(F1953="",G1953=""),"",F1953*G1953+IF(J1953="",0,J1953))</f>
        <v/>
      </c>
      <c r="I1953" s="5" t="n"/>
      <c r="J1953" s="5" t="n"/>
    </row>
    <row r="1954">
      <c r="A1954" s="5" t="n"/>
      <c r="B1954" s="5" t="n"/>
      <c r="C1954" s="5" t="n"/>
      <c r="D1954" s="5" t="n"/>
      <c r="E1954" s="4">
        <f>IF(C1954="","",COUNTIF($C$7:C1954,C1954))</f>
        <v/>
      </c>
      <c r="F1954" s="4">
        <f>IF(E1954="","",IF(E1954&lt;=3,6,IF(E1954&lt;=6,5,IF(E1954&lt;=9,4,IF(E1954&lt;=12,3,IF(E1954&lt;=15,2,0))))))</f>
        <v/>
      </c>
      <c r="G1954" s="5" t="n"/>
      <c r="H1954" s="4">
        <f>IF(OR(F1954="",G1954=""),"",F1954*G1954+IF(J1954="",0,J1954))</f>
        <v/>
      </c>
      <c r="I1954" s="5" t="n"/>
      <c r="J1954" s="5" t="n"/>
    </row>
    <row r="1955">
      <c r="A1955" s="5" t="n"/>
      <c r="B1955" s="5" t="n"/>
      <c r="C1955" s="5" t="n"/>
      <c r="D1955" s="5" t="n"/>
      <c r="E1955" s="4">
        <f>IF(C1955="","",COUNTIF($C$7:C1955,C1955))</f>
        <v/>
      </c>
      <c r="F1955" s="4">
        <f>IF(E1955="","",IF(E1955&lt;=3,6,IF(E1955&lt;=6,5,IF(E1955&lt;=9,4,IF(E1955&lt;=12,3,IF(E1955&lt;=15,2,0))))))</f>
        <v/>
      </c>
      <c r="G1955" s="5" t="n"/>
      <c r="H1955" s="4">
        <f>IF(OR(F1955="",G1955=""),"",F1955*G1955+IF(J1955="",0,J1955))</f>
        <v/>
      </c>
      <c r="I1955" s="5" t="n"/>
      <c r="J1955" s="5" t="n"/>
    </row>
    <row r="1956">
      <c r="A1956" s="5" t="n"/>
      <c r="B1956" s="5" t="n"/>
      <c r="C1956" s="5" t="n"/>
      <c r="D1956" s="5" t="n"/>
      <c r="E1956" s="4">
        <f>IF(C1956="","",COUNTIF($C$7:C1956,C1956))</f>
        <v/>
      </c>
      <c r="F1956" s="4">
        <f>IF(E1956="","",IF(E1956&lt;=3,6,IF(E1956&lt;=6,5,IF(E1956&lt;=9,4,IF(E1956&lt;=12,3,IF(E1956&lt;=15,2,0))))))</f>
        <v/>
      </c>
      <c r="G1956" s="5" t="n"/>
      <c r="H1956" s="4">
        <f>IF(OR(F1956="",G1956=""),"",F1956*G1956+IF(J1956="",0,J1956))</f>
        <v/>
      </c>
      <c r="I1956" s="5" t="n"/>
      <c r="J1956" s="5" t="n"/>
    </row>
    <row r="1957">
      <c r="A1957" s="5" t="n"/>
      <c r="B1957" s="5" t="n"/>
      <c r="C1957" s="5" t="n"/>
      <c r="D1957" s="5" t="n"/>
      <c r="E1957" s="4">
        <f>IF(C1957="","",COUNTIF($C$7:C1957,C1957))</f>
        <v/>
      </c>
      <c r="F1957" s="4">
        <f>IF(E1957="","",IF(E1957&lt;=3,6,IF(E1957&lt;=6,5,IF(E1957&lt;=9,4,IF(E1957&lt;=12,3,IF(E1957&lt;=15,2,0))))))</f>
        <v/>
      </c>
      <c r="G1957" s="5" t="n"/>
      <c r="H1957" s="4">
        <f>IF(OR(F1957="",G1957=""),"",F1957*G1957+IF(J1957="",0,J1957))</f>
        <v/>
      </c>
      <c r="I1957" s="5" t="n"/>
      <c r="J1957" s="5" t="n"/>
    </row>
    <row r="1958">
      <c r="A1958" s="5" t="n"/>
      <c r="B1958" s="5" t="n"/>
      <c r="C1958" s="5" t="n"/>
      <c r="D1958" s="5" t="n"/>
      <c r="E1958" s="4">
        <f>IF(C1958="","",COUNTIF($C$7:C1958,C1958))</f>
        <v/>
      </c>
      <c r="F1958" s="4">
        <f>IF(E1958="","",IF(E1958&lt;=3,6,IF(E1958&lt;=6,5,IF(E1958&lt;=9,4,IF(E1958&lt;=12,3,IF(E1958&lt;=15,2,0))))))</f>
        <v/>
      </c>
      <c r="G1958" s="5" t="n"/>
      <c r="H1958" s="4">
        <f>IF(OR(F1958="",G1958=""),"",F1958*G1958+IF(J1958="",0,J1958))</f>
        <v/>
      </c>
      <c r="I1958" s="5" t="n"/>
      <c r="J1958" s="5" t="n"/>
    </row>
    <row r="1959">
      <c r="A1959" s="5" t="n"/>
      <c r="B1959" s="5" t="n"/>
      <c r="C1959" s="5" t="n"/>
      <c r="D1959" s="5" t="n"/>
      <c r="E1959" s="4">
        <f>IF(C1959="","",COUNTIF($C$7:C1959,C1959))</f>
        <v/>
      </c>
      <c r="F1959" s="4">
        <f>IF(E1959="","",IF(E1959&lt;=3,6,IF(E1959&lt;=6,5,IF(E1959&lt;=9,4,IF(E1959&lt;=12,3,IF(E1959&lt;=15,2,0))))))</f>
        <v/>
      </c>
      <c r="G1959" s="5" t="n"/>
      <c r="H1959" s="4">
        <f>IF(OR(F1959="",G1959=""),"",F1959*G1959+IF(J1959="",0,J1959))</f>
        <v/>
      </c>
      <c r="I1959" s="5" t="n"/>
      <c r="J1959" s="5" t="n"/>
    </row>
    <row r="1960">
      <c r="A1960" s="5" t="n"/>
      <c r="B1960" s="5" t="n"/>
      <c r="C1960" s="5" t="n"/>
      <c r="D1960" s="5" t="n"/>
      <c r="E1960" s="4">
        <f>IF(C1960="","",COUNTIF($C$7:C1960,C1960))</f>
        <v/>
      </c>
      <c r="F1960" s="4">
        <f>IF(E1960="","",IF(E1960&lt;=3,6,IF(E1960&lt;=6,5,IF(E1960&lt;=9,4,IF(E1960&lt;=12,3,IF(E1960&lt;=15,2,0))))))</f>
        <v/>
      </c>
      <c r="G1960" s="5" t="n"/>
      <c r="H1960" s="4">
        <f>IF(OR(F1960="",G1960=""),"",F1960*G1960+IF(J1960="",0,J1960))</f>
        <v/>
      </c>
      <c r="I1960" s="5" t="n"/>
      <c r="J1960" s="5" t="n"/>
    </row>
    <row r="1961">
      <c r="A1961" s="5" t="n"/>
      <c r="B1961" s="5" t="n"/>
      <c r="C1961" s="5" t="n"/>
      <c r="D1961" s="5" t="n"/>
      <c r="E1961" s="4">
        <f>IF(C1961="","",COUNTIF($C$7:C1961,C1961))</f>
        <v/>
      </c>
      <c r="F1961" s="4">
        <f>IF(E1961="","",IF(E1961&lt;=3,6,IF(E1961&lt;=6,5,IF(E1961&lt;=9,4,IF(E1961&lt;=12,3,IF(E1961&lt;=15,2,0))))))</f>
        <v/>
      </c>
      <c r="G1961" s="5" t="n"/>
      <c r="H1961" s="4">
        <f>IF(OR(F1961="",G1961=""),"",F1961*G1961+IF(J1961="",0,J1961))</f>
        <v/>
      </c>
      <c r="I1961" s="5" t="n"/>
      <c r="J1961" s="5" t="n"/>
    </row>
    <row r="1962">
      <c r="A1962" s="5" t="n"/>
      <c r="B1962" s="5" t="n"/>
      <c r="C1962" s="5" t="n"/>
      <c r="D1962" s="5" t="n"/>
      <c r="E1962" s="4">
        <f>IF(C1962="","",COUNTIF($C$7:C1962,C1962))</f>
        <v/>
      </c>
      <c r="F1962" s="4">
        <f>IF(E1962="","",IF(E1962&lt;=3,6,IF(E1962&lt;=6,5,IF(E1962&lt;=9,4,IF(E1962&lt;=12,3,IF(E1962&lt;=15,2,0))))))</f>
        <v/>
      </c>
      <c r="G1962" s="5" t="n"/>
      <c r="H1962" s="4">
        <f>IF(OR(F1962="",G1962=""),"",F1962*G1962+IF(J1962="",0,J1962))</f>
        <v/>
      </c>
      <c r="I1962" s="5" t="n"/>
      <c r="J1962" s="5" t="n"/>
    </row>
    <row r="1963">
      <c r="A1963" s="5" t="n"/>
      <c r="B1963" s="5" t="n"/>
      <c r="C1963" s="5" t="n"/>
      <c r="D1963" s="5" t="n"/>
      <c r="E1963" s="4">
        <f>IF(C1963="","",COUNTIF($C$7:C1963,C1963))</f>
        <v/>
      </c>
      <c r="F1963" s="4">
        <f>IF(E1963="","",IF(E1963&lt;=3,6,IF(E1963&lt;=6,5,IF(E1963&lt;=9,4,IF(E1963&lt;=12,3,IF(E1963&lt;=15,2,0))))))</f>
        <v/>
      </c>
      <c r="G1963" s="5" t="n"/>
      <c r="H1963" s="4">
        <f>IF(OR(F1963="",G1963=""),"",F1963*G1963+IF(J1963="",0,J1963))</f>
        <v/>
      </c>
      <c r="I1963" s="5" t="n"/>
      <c r="J1963" s="5" t="n"/>
    </row>
    <row r="1964">
      <c r="A1964" s="5" t="n"/>
      <c r="B1964" s="5" t="n"/>
      <c r="C1964" s="5" t="n"/>
      <c r="D1964" s="5" t="n"/>
      <c r="E1964" s="4">
        <f>IF(C1964="","",COUNTIF($C$7:C1964,C1964))</f>
        <v/>
      </c>
      <c r="F1964" s="4">
        <f>IF(E1964="","",IF(E1964&lt;=3,6,IF(E1964&lt;=6,5,IF(E1964&lt;=9,4,IF(E1964&lt;=12,3,IF(E1964&lt;=15,2,0))))))</f>
        <v/>
      </c>
      <c r="G1964" s="5" t="n"/>
      <c r="H1964" s="4">
        <f>IF(OR(F1964="",G1964=""),"",F1964*G1964+IF(J1964="",0,J1964))</f>
        <v/>
      </c>
      <c r="I1964" s="5" t="n"/>
      <c r="J1964" s="5" t="n"/>
    </row>
    <row r="1965">
      <c r="A1965" s="5" t="n"/>
      <c r="B1965" s="5" t="n"/>
      <c r="C1965" s="5" t="n"/>
      <c r="D1965" s="5" t="n"/>
      <c r="E1965" s="4">
        <f>IF(C1965="","",COUNTIF($C$7:C1965,C1965))</f>
        <v/>
      </c>
      <c r="F1965" s="4">
        <f>IF(E1965="","",IF(E1965&lt;=3,6,IF(E1965&lt;=6,5,IF(E1965&lt;=9,4,IF(E1965&lt;=12,3,IF(E1965&lt;=15,2,0))))))</f>
        <v/>
      </c>
      <c r="G1965" s="5" t="n"/>
      <c r="H1965" s="4">
        <f>IF(OR(F1965="",G1965=""),"",F1965*G1965+IF(J1965="",0,J1965))</f>
        <v/>
      </c>
      <c r="I1965" s="5" t="n"/>
      <c r="J1965" s="5" t="n"/>
    </row>
    <row r="1966">
      <c r="A1966" s="5" t="n"/>
      <c r="B1966" s="5" t="n"/>
      <c r="C1966" s="5" t="n"/>
      <c r="D1966" s="5" t="n"/>
      <c r="E1966" s="4">
        <f>IF(C1966="","",COUNTIF($C$7:C1966,C1966))</f>
        <v/>
      </c>
      <c r="F1966" s="4">
        <f>IF(E1966="","",IF(E1966&lt;=3,6,IF(E1966&lt;=6,5,IF(E1966&lt;=9,4,IF(E1966&lt;=12,3,IF(E1966&lt;=15,2,0))))))</f>
        <v/>
      </c>
      <c r="G1966" s="5" t="n"/>
      <c r="H1966" s="4">
        <f>IF(OR(F1966="",G1966=""),"",F1966*G1966+IF(J1966="",0,J1966))</f>
        <v/>
      </c>
      <c r="I1966" s="5" t="n"/>
      <c r="J1966" s="5" t="n"/>
    </row>
    <row r="1967">
      <c r="A1967" s="5" t="n"/>
      <c r="B1967" s="5" t="n"/>
      <c r="C1967" s="5" t="n"/>
      <c r="D1967" s="5" t="n"/>
      <c r="E1967" s="4">
        <f>IF(C1967="","",COUNTIF($C$7:C1967,C1967))</f>
        <v/>
      </c>
      <c r="F1967" s="4">
        <f>IF(E1967="","",IF(E1967&lt;=3,6,IF(E1967&lt;=6,5,IF(E1967&lt;=9,4,IF(E1967&lt;=12,3,IF(E1967&lt;=15,2,0))))))</f>
        <v/>
      </c>
      <c r="G1967" s="5" t="n"/>
      <c r="H1967" s="4">
        <f>IF(OR(F1967="",G1967=""),"",F1967*G1967+IF(J1967="",0,J1967))</f>
        <v/>
      </c>
      <c r="I1967" s="5" t="n"/>
      <c r="J1967" s="5" t="n"/>
    </row>
    <row r="1968">
      <c r="A1968" s="5" t="n"/>
      <c r="B1968" s="5" t="n"/>
      <c r="C1968" s="5" t="n"/>
      <c r="D1968" s="5" t="n"/>
      <c r="E1968" s="4">
        <f>IF(C1968="","",COUNTIF($C$7:C1968,C1968))</f>
        <v/>
      </c>
      <c r="F1968" s="4">
        <f>IF(E1968="","",IF(E1968&lt;=3,6,IF(E1968&lt;=6,5,IF(E1968&lt;=9,4,IF(E1968&lt;=12,3,IF(E1968&lt;=15,2,0))))))</f>
        <v/>
      </c>
      <c r="G1968" s="5" t="n"/>
      <c r="H1968" s="4">
        <f>IF(OR(F1968="",G1968=""),"",F1968*G1968+IF(J1968="",0,J1968))</f>
        <v/>
      </c>
      <c r="I1968" s="5" t="n"/>
      <c r="J1968" s="5" t="n"/>
    </row>
    <row r="1969">
      <c r="A1969" s="5" t="n"/>
      <c r="B1969" s="5" t="n"/>
      <c r="C1969" s="5" t="n"/>
      <c r="D1969" s="5" t="n"/>
      <c r="E1969" s="4">
        <f>IF(C1969="","",COUNTIF($C$7:C1969,C1969))</f>
        <v/>
      </c>
      <c r="F1969" s="4">
        <f>IF(E1969="","",IF(E1969&lt;=3,6,IF(E1969&lt;=6,5,IF(E1969&lt;=9,4,IF(E1969&lt;=12,3,IF(E1969&lt;=15,2,0))))))</f>
        <v/>
      </c>
      <c r="G1969" s="5" t="n"/>
      <c r="H1969" s="4">
        <f>IF(OR(F1969="",G1969=""),"",F1969*G1969+IF(J1969="",0,J1969))</f>
        <v/>
      </c>
      <c r="I1969" s="5" t="n"/>
      <c r="J1969" s="5" t="n"/>
    </row>
    <row r="1970">
      <c r="A1970" s="5" t="n"/>
      <c r="B1970" s="5" t="n"/>
      <c r="C1970" s="5" t="n"/>
      <c r="D1970" s="5" t="n"/>
      <c r="E1970" s="4">
        <f>IF(C1970="","",COUNTIF($C$7:C1970,C1970))</f>
        <v/>
      </c>
      <c r="F1970" s="4">
        <f>IF(E1970="","",IF(E1970&lt;=3,6,IF(E1970&lt;=6,5,IF(E1970&lt;=9,4,IF(E1970&lt;=12,3,IF(E1970&lt;=15,2,0))))))</f>
        <v/>
      </c>
      <c r="G1970" s="5" t="n"/>
      <c r="H1970" s="4">
        <f>IF(OR(F1970="",G1970=""),"",F1970*G1970+IF(J1970="",0,J1970))</f>
        <v/>
      </c>
      <c r="I1970" s="5" t="n"/>
      <c r="J1970" s="5" t="n"/>
    </row>
    <row r="1971">
      <c r="A1971" s="5" t="n"/>
      <c r="B1971" s="5" t="n"/>
      <c r="C1971" s="5" t="n"/>
      <c r="D1971" s="5" t="n"/>
      <c r="E1971" s="4">
        <f>IF(C1971="","",COUNTIF($C$7:C1971,C1971))</f>
        <v/>
      </c>
      <c r="F1971" s="4">
        <f>IF(E1971="","",IF(E1971&lt;=3,6,IF(E1971&lt;=6,5,IF(E1971&lt;=9,4,IF(E1971&lt;=12,3,IF(E1971&lt;=15,2,0))))))</f>
        <v/>
      </c>
      <c r="G1971" s="5" t="n"/>
      <c r="H1971" s="4">
        <f>IF(OR(F1971="",G1971=""),"",F1971*G1971+IF(J1971="",0,J1971))</f>
        <v/>
      </c>
      <c r="I1971" s="5" t="n"/>
      <c r="J1971" s="5" t="n"/>
    </row>
    <row r="1972">
      <c r="A1972" s="5" t="n"/>
      <c r="B1972" s="5" t="n"/>
      <c r="C1972" s="5" t="n"/>
      <c r="D1972" s="5" t="n"/>
      <c r="E1972" s="4">
        <f>IF(C1972="","",COUNTIF($C$7:C1972,C1972))</f>
        <v/>
      </c>
      <c r="F1972" s="4">
        <f>IF(E1972="","",IF(E1972&lt;=3,6,IF(E1972&lt;=6,5,IF(E1972&lt;=9,4,IF(E1972&lt;=12,3,IF(E1972&lt;=15,2,0))))))</f>
        <v/>
      </c>
      <c r="G1972" s="5" t="n"/>
      <c r="H1972" s="4">
        <f>IF(OR(F1972="",G1972=""),"",F1972*G1972+IF(J1972="",0,J1972))</f>
        <v/>
      </c>
      <c r="I1972" s="5" t="n"/>
      <c r="J1972" s="5" t="n"/>
    </row>
    <row r="1973">
      <c r="A1973" s="5" t="n"/>
      <c r="B1973" s="5" t="n"/>
      <c r="C1973" s="5" t="n"/>
      <c r="D1973" s="5" t="n"/>
      <c r="E1973" s="4">
        <f>IF(C1973="","",COUNTIF($C$7:C1973,C1973))</f>
        <v/>
      </c>
      <c r="F1973" s="4">
        <f>IF(E1973="","",IF(E1973&lt;=3,6,IF(E1973&lt;=6,5,IF(E1973&lt;=9,4,IF(E1973&lt;=12,3,IF(E1973&lt;=15,2,0))))))</f>
        <v/>
      </c>
      <c r="G1973" s="5" t="n"/>
      <c r="H1973" s="4">
        <f>IF(OR(F1973="",G1973=""),"",F1973*G1973+IF(J1973="",0,J1973))</f>
        <v/>
      </c>
      <c r="I1973" s="5" t="n"/>
      <c r="J1973" s="5" t="n"/>
    </row>
    <row r="1974">
      <c r="A1974" s="5" t="n"/>
      <c r="B1974" s="5" t="n"/>
      <c r="C1974" s="5" t="n"/>
      <c r="D1974" s="5" t="n"/>
      <c r="E1974" s="4">
        <f>IF(C1974="","",COUNTIF($C$7:C1974,C1974))</f>
        <v/>
      </c>
      <c r="F1974" s="4">
        <f>IF(E1974="","",IF(E1974&lt;=3,6,IF(E1974&lt;=6,5,IF(E1974&lt;=9,4,IF(E1974&lt;=12,3,IF(E1974&lt;=15,2,0))))))</f>
        <v/>
      </c>
      <c r="G1974" s="5" t="n"/>
      <c r="H1974" s="4">
        <f>IF(OR(F1974="",G1974=""),"",F1974*G1974+IF(J1974="",0,J1974))</f>
        <v/>
      </c>
      <c r="I1974" s="5" t="n"/>
      <c r="J1974" s="5" t="n"/>
    </row>
    <row r="1975">
      <c r="A1975" s="5" t="n"/>
      <c r="B1975" s="5" t="n"/>
      <c r="C1975" s="5" t="n"/>
      <c r="D1975" s="5" t="n"/>
      <c r="E1975" s="4">
        <f>IF(C1975="","",COUNTIF($C$7:C1975,C1975))</f>
        <v/>
      </c>
      <c r="F1975" s="4">
        <f>IF(E1975="","",IF(E1975&lt;=3,6,IF(E1975&lt;=6,5,IF(E1975&lt;=9,4,IF(E1975&lt;=12,3,IF(E1975&lt;=15,2,0))))))</f>
        <v/>
      </c>
      <c r="G1975" s="5" t="n"/>
      <c r="H1975" s="4">
        <f>IF(OR(F1975="",G1975=""),"",F1975*G1975+IF(J1975="",0,J1975))</f>
        <v/>
      </c>
      <c r="I1975" s="5" t="n"/>
      <c r="J1975" s="5" t="n"/>
    </row>
    <row r="1976">
      <c r="A1976" s="5" t="n"/>
      <c r="B1976" s="5" t="n"/>
      <c r="C1976" s="5" t="n"/>
      <c r="D1976" s="5" t="n"/>
      <c r="E1976" s="4">
        <f>IF(C1976="","",COUNTIF($C$7:C1976,C1976))</f>
        <v/>
      </c>
      <c r="F1976" s="4">
        <f>IF(E1976="","",IF(E1976&lt;=3,6,IF(E1976&lt;=6,5,IF(E1976&lt;=9,4,IF(E1976&lt;=12,3,IF(E1976&lt;=15,2,0))))))</f>
        <v/>
      </c>
      <c r="G1976" s="5" t="n"/>
      <c r="H1976" s="4">
        <f>IF(OR(F1976="",G1976=""),"",F1976*G1976+IF(J1976="",0,J1976))</f>
        <v/>
      </c>
      <c r="I1976" s="5" t="n"/>
      <c r="J1976" s="5" t="n"/>
    </row>
    <row r="1977">
      <c r="A1977" s="5" t="n"/>
      <c r="B1977" s="5" t="n"/>
      <c r="C1977" s="5" t="n"/>
      <c r="D1977" s="5" t="n"/>
      <c r="E1977" s="4">
        <f>IF(C1977="","",COUNTIF($C$7:C1977,C1977))</f>
        <v/>
      </c>
      <c r="F1977" s="4">
        <f>IF(E1977="","",IF(E1977&lt;=3,6,IF(E1977&lt;=6,5,IF(E1977&lt;=9,4,IF(E1977&lt;=12,3,IF(E1977&lt;=15,2,0))))))</f>
        <v/>
      </c>
      <c r="G1977" s="5" t="n"/>
      <c r="H1977" s="4">
        <f>IF(OR(F1977="",G1977=""),"",F1977*G1977+IF(J1977="",0,J1977))</f>
        <v/>
      </c>
      <c r="I1977" s="5" t="n"/>
      <c r="J1977" s="5" t="n"/>
    </row>
    <row r="1978">
      <c r="A1978" s="5" t="n"/>
      <c r="B1978" s="5" t="n"/>
      <c r="C1978" s="5" t="n"/>
      <c r="D1978" s="5" t="n"/>
      <c r="E1978" s="4">
        <f>IF(C1978="","",COUNTIF($C$7:C1978,C1978))</f>
        <v/>
      </c>
      <c r="F1978" s="4">
        <f>IF(E1978="","",IF(E1978&lt;=3,6,IF(E1978&lt;=6,5,IF(E1978&lt;=9,4,IF(E1978&lt;=12,3,IF(E1978&lt;=15,2,0))))))</f>
        <v/>
      </c>
      <c r="G1978" s="5" t="n"/>
      <c r="H1978" s="4">
        <f>IF(OR(F1978="",G1978=""),"",F1978*G1978+IF(J1978="",0,J1978))</f>
        <v/>
      </c>
      <c r="I1978" s="5" t="n"/>
      <c r="J1978" s="5" t="n"/>
    </row>
    <row r="1979">
      <c r="A1979" s="5" t="n"/>
      <c r="B1979" s="5" t="n"/>
      <c r="C1979" s="5" t="n"/>
      <c r="D1979" s="5" t="n"/>
      <c r="E1979" s="4">
        <f>IF(C1979="","",COUNTIF($C$7:C1979,C1979))</f>
        <v/>
      </c>
      <c r="F1979" s="4">
        <f>IF(E1979="","",IF(E1979&lt;=3,6,IF(E1979&lt;=6,5,IF(E1979&lt;=9,4,IF(E1979&lt;=12,3,IF(E1979&lt;=15,2,0))))))</f>
        <v/>
      </c>
      <c r="G1979" s="5" t="n"/>
      <c r="H1979" s="4">
        <f>IF(OR(F1979="",G1979=""),"",F1979*G1979+IF(J1979="",0,J1979))</f>
        <v/>
      </c>
      <c r="I1979" s="5" t="n"/>
      <c r="J1979" s="5" t="n"/>
    </row>
    <row r="1980">
      <c r="A1980" s="5" t="n"/>
      <c r="B1980" s="5" t="n"/>
      <c r="C1980" s="5" t="n"/>
      <c r="D1980" s="5" t="n"/>
      <c r="E1980" s="4">
        <f>IF(C1980="","",COUNTIF($C$7:C1980,C1980))</f>
        <v/>
      </c>
      <c r="F1980" s="4">
        <f>IF(E1980="","",IF(E1980&lt;=3,6,IF(E1980&lt;=6,5,IF(E1980&lt;=9,4,IF(E1980&lt;=12,3,IF(E1980&lt;=15,2,0))))))</f>
        <v/>
      </c>
      <c r="G1980" s="5" t="n"/>
      <c r="H1980" s="4">
        <f>IF(OR(F1980="",G1980=""),"",F1980*G1980+IF(J1980="",0,J1980))</f>
        <v/>
      </c>
      <c r="I1980" s="5" t="n"/>
      <c r="J1980" s="5" t="n"/>
    </row>
    <row r="1981">
      <c r="A1981" s="5" t="n"/>
      <c r="B1981" s="5" t="n"/>
      <c r="C1981" s="5" t="n"/>
      <c r="D1981" s="5" t="n"/>
      <c r="E1981" s="4">
        <f>IF(C1981="","",COUNTIF($C$7:C1981,C1981))</f>
        <v/>
      </c>
      <c r="F1981" s="4">
        <f>IF(E1981="","",IF(E1981&lt;=3,6,IF(E1981&lt;=6,5,IF(E1981&lt;=9,4,IF(E1981&lt;=12,3,IF(E1981&lt;=15,2,0))))))</f>
        <v/>
      </c>
      <c r="G1981" s="5" t="n"/>
      <c r="H1981" s="4">
        <f>IF(OR(F1981="",G1981=""),"",F1981*G1981+IF(J1981="",0,J1981))</f>
        <v/>
      </c>
      <c r="I1981" s="5" t="n"/>
      <c r="J1981" s="5" t="n"/>
    </row>
    <row r="1982">
      <c r="A1982" s="5" t="n"/>
      <c r="B1982" s="5" t="n"/>
      <c r="C1982" s="5" t="n"/>
      <c r="D1982" s="5" t="n"/>
      <c r="E1982" s="4">
        <f>IF(C1982="","",COUNTIF($C$7:C1982,C1982))</f>
        <v/>
      </c>
      <c r="F1982" s="4">
        <f>IF(E1982="","",IF(E1982&lt;=3,6,IF(E1982&lt;=6,5,IF(E1982&lt;=9,4,IF(E1982&lt;=12,3,IF(E1982&lt;=15,2,0))))))</f>
        <v/>
      </c>
      <c r="G1982" s="5" t="n"/>
      <c r="H1982" s="4">
        <f>IF(OR(F1982="",G1982=""),"",F1982*G1982+IF(J1982="",0,J1982))</f>
        <v/>
      </c>
      <c r="I1982" s="5" t="n"/>
      <c r="J1982" s="5" t="n"/>
    </row>
    <row r="1983">
      <c r="A1983" s="5" t="n"/>
      <c r="B1983" s="5" t="n"/>
      <c r="C1983" s="5" t="n"/>
      <c r="D1983" s="5" t="n"/>
      <c r="E1983" s="4">
        <f>IF(C1983="","",COUNTIF($C$7:C1983,C1983))</f>
        <v/>
      </c>
      <c r="F1983" s="4">
        <f>IF(E1983="","",IF(E1983&lt;=3,6,IF(E1983&lt;=6,5,IF(E1983&lt;=9,4,IF(E1983&lt;=12,3,IF(E1983&lt;=15,2,0))))))</f>
        <v/>
      </c>
      <c r="G1983" s="5" t="n"/>
      <c r="H1983" s="4">
        <f>IF(OR(F1983="",G1983=""),"",F1983*G1983+IF(J1983="",0,J1983))</f>
        <v/>
      </c>
      <c r="I1983" s="5" t="n"/>
      <c r="J1983" s="5" t="n"/>
    </row>
    <row r="1984">
      <c r="A1984" s="5" t="n"/>
      <c r="B1984" s="5" t="n"/>
      <c r="C1984" s="5" t="n"/>
      <c r="D1984" s="5" t="n"/>
      <c r="E1984" s="4">
        <f>IF(C1984="","",COUNTIF($C$7:C1984,C1984))</f>
        <v/>
      </c>
      <c r="F1984" s="4">
        <f>IF(E1984="","",IF(E1984&lt;=3,6,IF(E1984&lt;=6,5,IF(E1984&lt;=9,4,IF(E1984&lt;=12,3,IF(E1984&lt;=15,2,0))))))</f>
        <v/>
      </c>
      <c r="G1984" s="5" t="n"/>
      <c r="H1984" s="4">
        <f>IF(OR(F1984="",G1984=""),"",F1984*G1984+IF(J1984="",0,J1984))</f>
        <v/>
      </c>
      <c r="I1984" s="5" t="n"/>
      <c r="J1984" s="5" t="n"/>
    </row>
    <row r="1985">
      <c r="A1985" s="5" t="n"/>
      <c r="B1985" s="5" t="n"/>
      <c r="C1985" s="5" t="n"/>
      <c r="D1985" s="5" t="n"/>
      <c r="E1985" s="4">
        <f>IF(C1985="","",COUNTIF($C$7:C1985,C1985))</f>
        <v/>
      </c>
      <c r="F1985" s="4">
        <f>IF(E1985="","",IF(E1985&lt;=3,6,IF(E1985&lt;=6,5,IF(E1985&lt;=9,4,IF(E1985&lt;=12,3,IF(E1985&lt;=15,2,0))))))</f>
        <v/>
      </c>
      <c r="G1985" s="5" t="n"/>
      <c r="H1985" s="4">
        <f>IF(OR(F1985="",G1985=""),"",F1985*G1985+IF(J1985="",0,J1985))</f>
        <v/>
      </c>
      <c r="I1985" s="5" t="n"/>
      <c r="J1985" s="5" t="n"/>
    </row>
    <row r="1986">
      <c r="A1986" s="5" t="n"/>
      <c r="B1986" s="5" t="n"/>
      <c r="C1986" s="5" t="n"/>
      <c r="D1986" s="5" t="n"/>
      <c r="E1986" s="4">
        <f>IF(C1986="","",COUNTIF($C$7:C1986,C1986))</f>
        <v/>
      </c>
      <c r="F1986" s="4">
        <f>IF(E1986="","",IF(E1986&lt;=3,6,IF(E1986&lt;=6,5,IF(E1986&lt;=9,4,IF(E1986&lt;=12,3,IF(E1986&lt;=15,2,0))))))</f>
        <v/>
      </c>
      <c r="G1986" s="5" t="n"/>
      <c r="H1986" s="4">
        <f>IF(OR(F1986="",G1986=""),"",F1986*G1986+IF(J1986="",0,J1986))</f>
        <v/>
      </c>
      <c r="I1986" s="5" t="n"/>
      <c r="J1986" s="5" t="n"/>
    </row>
    <row r="1987">
      <c r="A1987" s="5" t="n"/>
      <c r="B1987" s="5" t="n"/>
      <c r="C1987" s="5" t="n"/>
      <c r="D1987" s="5" t="n"/>
      <c r="E1987" s="4">
        <f>IF(C1987="","",COUNTIF($C$7:C1987,C1987))</f>
        <v/>
      </c>
      <c r="F1987" s="4">
        <f>IF(E1987="","",IF(E1987&lt;=3,6,IF(E1987&lt;=6,5,IF(E1987&lt;=9,4,IF(E1987&lt;=12,3,IF(E1987&lt;=15,2,0))))))</f>
        <v/>
      </c>
      <c r="G1987" s="5" t="n"/>
      <c r="H1987" s="4">
        <f>IF(OR(F1987="",G1987=""),"",F1987*G1987+IF(J1987="",0,J1987))</f>
        <v/>
      </c>
      <c r="I1987" s="5" t="n"/>
      <c r="J1987" s="5" t="n"/>
    </row>
    <row r="1988">
      <c r="A1988" s="5" t="n"/>
      <c r="B1988" s="5" t="n"/>
      <c r="C1988" s="5" t="n"/>
      <c r="D1988" s="5" t="n"/>
      <c r="E1988" s="4">
        <f>IF(C1988="","",COUNTIF($C$7:C1988,C1988))</f>
        <v/>
      </c>
      <c r="F1988" s="4">
        <f>IF(E1988="","",IF(E1988&lt;=3,6,IF(E1988&lt;=6,5,IF(E1988&lt;=9,4,IF(E1988&lt;=12,3,IF(E1988&lt;=15,2,0))))))</f>
        <v/>
      </c>
      <c r="G1988" s="5" t="n"/>
      <c r="H1988" s="4">
        <f>IF(OR(F1988="",G1988=""),"",F1988*G1988+IF(J1988="",0,J1988))</f>
        <v/>
      </c>
      <c r="I1988" s="5" t="n"/>
      <c r="J1988" s="5" t="n"/>
    </row>
    <row r="1989">
      <c r="A1989" s="5" t="n"/>
      <c r="B1989" s="5" t="n"/>
      <c r="C1989" s="5" t="n"/>
      <c r="D1989" s="5" t="n"/>
      <c r="E1989" s="4">
        <f>IF(C1989="","",COUNTIF($C$7:C1989,C1989))</f>
        <v/>
      </c>
      <c r="F1989" s="4">
        <f>IF(E1989="","",IF(E1989&lt;=3,6,IF(E1989&lt;=6,5,IF(E1989&lt;=9,4,IF(E1989&lt;=12,3,IF(E1989&lt;=15,2,0))))))</f>
        <v/>
      </c>
      <c r="G1989" s="5" t="n"/>
      <c r="H1989" s="4">
        <f>IF(OR(F1989="",G1989=""),"",F1989*G1989+IF(J1989="",0,J1989))</f>
        <v/>
      </c>
      <c r="I1989" s="5" t="n"/>
      <c r="J1989" s="5" t="n"/>
    </row>
    <row r="1990">
      <c r="A1990" s="5" t="n"/>
      <c r="B1990" s="5" t="n"/>
      <c r="C1990" s="5" t="n"/>
      <c r="D1990" s="5" t="n"/>
      <c r="E1990" s="4">
        <f>IF(C1990="","",COUNTIF($C$7:C1990,C1990))</f>
        <v/>
      </c>
      <c r="F1990" s="4">
        <f>IF(E1990="","",IF(E1990&lt;=3,6,IF(E1990&lt;=6,5,IF(E1990&lt;=9,4,IF(E1990&lt;=12,3,IF(E1990&lt;=15,2,0))))))</f>
        <v/>
      </c>
      <c r="G1990" s="5" t="n"/>
      <c r="H1990" s="4">
        <f>IF(OR(F1990="",G1990=""),"",F1990*G1990+IF(J1990="",0,J1990))</f>
        <v/>
      </c>
      <c r="I1990" s="5" t="n"/>
      <c r="J1990" s="5" t="n"/>
    </row>
    <row r="1991">
      <c r="A1991" s="5" t="n"/>
      <c r="B1991" s="5" t="n"/>
      <c r="C1991" s="5" t="n"/>
      <c r="D1991" s="5" t="n"/>
      <c r="E1991" s="4">
        <f>IF(C1991="","",COUNTIF($C$7:C1991,C1991))</f>
        <v/>
      </c>
      <c r="F1991" s="4">
        <f>IF(E1991="","",IF(E1991&lt;=3,6,IF(E1991&lt;=6,5,IF(E1991&lt;=9,4,IF(E1991&lt;=12,3,IF(E1991&lt;=15,2,0))))))</f>
        <v/>
      </c>
      <c r="G1991" s="5" t="n"/>
      <c r="H1991" s="4">
        <f>IF(OR(F1991="",G1991=""),"",F1991*G1991+IF(J1991="",0,J1991))</f>
        <v/>
      </c>
      <c r="I1991" s="5" t="n"/>
      <c r="J1991" s="5" t="n"/>
    </row>
    <row r="1992">
      <c r="A1992" s="5" t="n"/>
      <c r="B1992" s="5" t="n"/>
      <c r="C1992" s="5" t="n"/>
      <c r="D1992" s="5" t="n"/>
      <c r="E1992" s="4">
        <f>IF(C1992="","",COUNTIF($C$7:C1992,C1992))</f>
        <v/>
      </c>
      <c r="F1992" s="4">
        <f>IF(E1992="","",IF(E1992&lt;=3,6,IF(E1992&lt;=6,5,IF(E1992&lt;=9,4,IF(E1992&lt;=12,3,IF(E1992&lt;=15,2,0))))))</f>
        <v/>
      </c>
      <c r="G1992" s="5" t="n"/>
      <c r="H1992" s="4">
        <f>IF(OR(F1992="",G1992=""),"",F1992*G1992+IF(J1992="",0,J1992))</f>
        <v/>
      </c>
      <c r="I1992" s="5" t="n"/>
      <c r="J1992" s="5" t="n"/>
    </row>
    <row r="1993">
      <c r="A1993" s="5" t="n"/>
      <c r="B1993" s="5" t="n"/>
      <c r="C1993" s="5" t="n"/>
      <c r="D1993" s="5" t="n"/>
      <c r="E1993" s="4">
        <f>IF(C1993="","",COUNTIF($C$7:C1993,C1993))</f>
        <v/>
      </c>
      <c r="F1993" s="4">
        <f>IF(E1993="","",IF(E1993&lt;=3,6,IF(E1993&lt;=6,5,IF(E1993&lt;=9,4,IF(E1993&lt;=12,3,IF(E1993&lt;=15,2,0))))))</f>
        <v/>
      </c>
      <c r="G1993" s="5" t="n"/>
      <c r="H1993" s="4">
        <f>IF(OR(F1993="",G1993=""),"",F1993*G1993+IF(J1993="",0,J1993))</f>
        <v/>
      </c>
      <c r="I1993" s="5" t="n"/>
      <c r="J1993" s="5" t="n"/>
    </row>
    <row r="1994">
      <c r="A1994" s="5" t="n"/>
      <c r="B1994" s="5" t="n"/>
      <c r="C1994" s="5" t="n"/>
      <c r="D1994" s="5" t="n"/>
      <c r="E1994" s="4">
        <f>IF(C1994="","",COUNTIF($C$7:C1994,C1994))</f>
        <v/>
      </c>
      <c r="F1994" s="4">
        <f>IF(E1994="","",IF(E1994&lt;=3,6,IF(E1994&lt;=6,5,IF(E1994&lt;=9,4,IF(E1994&lt;=12,3,IF(E1994&lt;=15,2,0))))))</f>
        <v/>
      </c>
      <c r="G1994" s="5" t="n"/>
      <c r="H1994" s="4">
        <f>IF(OR(F1994="",G1994=""),"",F1994*G1994+IF(J1994="",0,J1994))</f>
        <v/>
      </c>
      <c r="I1994" s="5" t="n"/>
      <c r="J1994" s="5" t="n"/>
    </row>
    <row r="1995">
      <c r="A1995" s="5" t="n"/>
      <c r="B1995" s="5" t="n"/>
      <c r="C1995" s="5" t="n"/>
      <c r="D1995" s="5" t="n"/>
      <c r="E1995" s="4">
        <f>IF(C1995="","",COUNTIF($C$7:C1995,C1995))</f>
        <v/>
      </c>
      <c r="F1995" s="4">
        <f>IF(E1995="","",IF(E1995&lt;=3,6,IF(E1995&lt;=6,5,IF(E1995&lt;=9,4,IF(E1995&lt;=12,3,IF(E1995&lt;=15,2,0))))))</f>
        <v/>
      </c>
      <c r="G1995" s="5" t="n"/>
      <c r="H1995" s="4">
        <f>IF(OR(F1995="",G1995=""),"",F1995*G1995+IF(J1995="",0,J1995))</f>
        <v/>
      </c>
      <c r="I1995" s="5" t="n"/>
      <c r="J1995" s="5" t="n"/>
    </row>
    <row r="1996">
      <c r="A1996" s="5" t="n"/>
      <c r="B1996" s="5" t="n"/>
      <c r="C1996" s="5" t="n"/>
      <c r="D1996" s="5" t="n"/>
      <c r="E1996" s="4">
        <f>IF(C1996="","",COUNTIF($C$7:C1996,C1996))</f>
        <v/>
      </c>
      <c r="F1996" s="4">
        <f>IF(E1996="","",IF(E1996&lt;=3,6,IF(E1996&lt;=6,5,IF(E1996&lt;=9,4,IF(E1996&lt;=12,3,IF(E1996&lt;=15,2,0))))))</f>
        <v/>
      </c>
      <c r="G1996" s="5" t="n"/>
      <c r="H1996" s="4">
        <f>IF(OR(F1996="",G1996=""),"",F1996*G1996+IF(J1996="",0,J1996))</f>
        <v/>
      </c>
      <c r="I1996" s="5" t="n"/>
      <c r="J1996" s="5" t="n"/>
    </row>
    <row r="1997">
      <c r="A1997" s="5" t="n"/>
      <c r="B1997" s="5" t="n"/>
      <c r="C1997" s="5" t="n"/>
      <c r="D1997" s="5" t="n"/>
      <c r="E1997" s="4">
        <f>IF(C1997="","",COUNTIF($C$7:C1997,C1997))</f>
        <v/>
      </c>
      <c r="F1997" s="4">
        <f>IF(E1997="","",IF(E1997&lt;=3,6,IF(E1997&lt;=6,5,IF(E1997&lt;=9,4,IF(E1997&lt;=12,3,IF(E1997&lt;=15,2,0))))))</f>
        <v/>
      </c>
      <c r="G1997" s="5" t="n"/>
      <c r="H1997" s="4">
        <f>IF(OR(F1997="",G1997=""),"",F1997*G1997+IF(J1997="",0,J1997))</f>
        <v/>
      </c>
      <c r="I1997" s="5" t="n"/>
      <c r="J1997" s="5" t="n"/>
    </row>
    <row r="1998">
      <c r="A1998" s="5" t="n"/>
      <c r="B1998" s="5" t="n"/>
      <c r="C1998" s="5" t="n"/>
      <c r="D1998" s="5" t="n"/>
      <c r="E1998" s="4">
        <f>IF(C1998="","",COUNTIF($C$7:C1998,C1998))</f>
        <v/>
      </c>
      <c r="F1998" s="4">
        <f>IF(E1998="","",IF(E1998&lt;=3,6,IF(E1998&lt;=6,5,IF(E1998&lt;=9,4,IF(E1998&lt;=12,3,IF(E1998&lt;=15,2,0))))))</f>
        <v/>
      </c>
      <c r="G1998" s="5" t="n"/>
      <c r="H1998" s="4">
        <f>IF(OR(F1998="",G1998=""),"",F1998*G1998+IF(J1998="",0,J1998))</f>
        <v/>
      </c>
      <c r="I1998" s="5" t="n"/>
      <c r="J1998" s="5" t="n"/>
    </row>
    <row r="1999">
      <c r="A1999" s="5" t="n"/>
      <c r="B1999" s="5" t="n"/>
      <c r="C1999" s="5" t="n"/>
      <c r="D1999" s="5" t="n"/>
      <c r="E1999" s="4">
        <f>IF(C1999="","",COUNTIF($C$7:C1999,C1999))</f>
        <v/>
      </c>
      <c r="F1999" s="4">
        <f>IF(E1999="","",IF(E1999&lt;=3,6,IF(E1999&lt;=6,5,IF(E1999&lt;=9,4,IF(E1999&lt;=12,3,IF(E1999&lt;=15,2,0))))))</f>
        <v/>
      </c>
      <c r="G1999" s="5" t="n"/>
      <c r="H1999" s="4">
        <f>IF(OR(F1999="",G1999=""),"",F1999*G1999+IF(J1999="",0,J1999))</f>
        <v/>
      </c>
      <c r="I1999" s="5" t="n"/>
      <c r="J1999" s="5" t="n"/>
    </row>
    <row r="2000">
      <c r="A2000" s="5" t="n"/>
      <c r="B2000" s="5" t="n"/>
      <c r="C2000" s="5" t="n"/>
      <c r="D2000" s="5" t="n"/>
      <c r="E2000" s="4">
        <f>IF(C2000="","",COUNTIF($C$7:C2000,C2000))</f>
        <v/>
      </c>
      <c r="F2000" s="4">
        <f>IF(E2000="","",IF(E2000&lt;=3,6,IF(E2000&lt;=6,5,IF(E2000&lt;=9,4,IF(E2000&lt;=12,3,IF(E2000&lt;=15,2,0))))))</f>
        <v/>
      </c>
      <c r="G2000" s="5" t="n"/>
      <c r="H2000" s="4">
        <f>IF(OR(F2000="",G2000=""),"",F2000*G2000+IF(J2000="",0,J2000))</f>
        <v/>
      </c>
      <c r="I2000" s="5" t="n"/>
      <c r="J2000" s="5" t="n"/>
    </row>
    <row r="2001">
      <c r="A2001" s="5" t="n"/>
      <c r="B2001" s="5" t="n"/>
      <c r="C2001" s="5" t="n"/>
      <c r="D2001" s="5" t="n"/>
      <c r="E2001" s="4">
        <f>IF(C2001="","",COUNTIF($C$7:C2001,C2001))</f>
        <v/>
      </c>
      <c r="F2001" s="4">
        <f>IF(E2001="","",IF(E2001&lt;=3,6,IF(E2001&lt;=6,5,IF(E2001&lt;=9,4,IF(E2001&lt;=12,3,IF(E2001&lt;=15,2,0))))))</f>
        <v/>
      </c>
      <c r="G2001" s="5" t="n"/>
      <c r="H2001" s="4">
        <f>IF(OR(F2001="",G2001=""),"",F2001*G2001+IF(J2001="",0,J2001))</f>
        <v/>
      </c>
      <c r="I2001" s="5" t="n"/>
      <c r="J2001" s="5" t="n"/>
    </row>
    <row r="2002">
      <c r="A2002" s="5" t="n"/>
      <c r="B2002" s="5" t="n"/>
      <c r="C2002" s="5" t="n"/>
      <c r="D2002" s="5" t="n"/>
      <c r="E2002" s="4">
        <f>IF(C2002="","",COUNTIF($C$7:C2002,C2002))</f>
        <v/>
      </c>
      <c r="F2002" s="4">
        <f>IF(E2002="","",IF(E2002&lt;=3,6,IF(E2002&lt;=6,5,IF(E2002&lt;=9,4,IF(E2002&lt;=12,3,IF(E2002&lt;=15,2,0))))))</f>
        <v/>
      </c>
      <c r="G2002" s="5" t="n"/>
      <c r="H2002" s="4">
        <f>IF(OR(F2002="",G2002=""),"",F2002*G2002+IF(J2002="",0,J2002))</f>
        <v/>
      </c>
      <c r="I2002" s="5" t="n"/>
      <c r="J2002" s="5" t="n"/>
    </row>
    <row r="2003">
      <c r="A2003" s="5" t="n"/>
      <c r="B2003" s="5" t="n"/>
      <c r="C2003" s="5" t="n"/>
      <c r="D2003" s="5" t="n"/>
      <c r="E2003" s="4">
        <f>IF(C2003="","",COUNTIF($C$7:C2003,C2003))</f>
        <v/>
      </c>
      <c r="F2003" s="4">
        <f>IF(E2003="","",IF(E2003&lt;=3,6,IF(E2003&lt;=6,5,IF(E2003&lt;=9,4,IF(E2003&lt;=12,3,IF(E2003&lt;=15,2,0))))))</f>
        <v/>
      </c>
      <c r="G2003" s="5" t="n"/>
      <c r="H2003" s="4">
        <f>IF(OR(F2003="",G2003=""),"",F2003*G2003+IF(J2003="",0,J2003))</f>
        <v/>
      </c>
      <c r="I2003" s="5" t="n"/>
      <c r="J2003" s="5" t="n"/>
    </row>
    <row r="2004">
      <c r="A2004" s="5" t="n"/>
      <c r="B2004" s="5" t="n"/>
      <c r="C2004" s="5" t="n"/>
      <c r="D2004" s="5" t="n"/>
      <c r="E2004" s="4">
        <f>IF(C2004="","",COUNTIF($C$7:C2004,C2004))</f>
        <v/>
      </c>
      <c r="F2004" s="4">
        <f>IF(E2004="","",IF(E2004&lt;=3,6,IF(E2004&lt;=6,5,IF(E2004&lt;=9,4,IF(E2004&lt;=12,3,IF(E2004&lt;=15,2,0))))))</f>
        <v/>
      </c>
      <c r="G2004" s="5" t="n"/>
      <c r="H2004" s="4">
        <f>IF(OR(F2004="",G2004=""),"",F2004*G2004+IF(J2004="",0,J2004))</f>
        <v/>
      </c>
      <c r="I2004" s="5" t="n"/>
      <c r="J2004" s="5" t="n"/>
    </row>
    <row r="2005">
      <c r="A2005" s="5" t="n"/>
      <c r="B2005" s="5" t="n"/>
      <c r="C2005" s="5" t="n"/>
      <c r="D2005" s="5" t="n"/>
      <c r="E2005" s="4">
        <f>IF(C2005="","",COUNTIF($C$7:C2005,C2005))</f>
        <v/>
      </c>
      <c r="F2005" s="4">
        <f>IF(E2005="","",IF(E2005&lt;=3,6,IF(E2005&lt;=6,5,IF(E2005&lt;=9,4,IF(E2005&lt;=12,3,IF(E2005&lt;=15,2,0))))))</f>
        <v/>
      </c>
      <c r="G2005" s="5" t="n"/>
      <c r="H2005" s="4">
        <f>IF(OR(F2005="",G2005=""),"",F2005*G2005+IF(J2005="",0,J2005))</f>
        <v/>
      </c>
      <c r="I2005" s="5" t="n"/>
      <c r="J2005" s="5" t="n"/>
    </row>
    <row r="2006">
      <c r="A2006" s="5" t="n"/>
      <c r="B2006" s="5" t="n"/>
      <c r="C2006" s="5" t="n"/>
      <c r="D2006" s="5" t="n"/>
      <c r="E2006" s="4">
        <f>IF(C2006="","",COUNTIF($C$7:C2006,C2006))</f>
        <v/>
      </c>
      <c r="F2006" s="4">
        <f>IF(E2006="","",IF(E2006&lt;=3,6,IF(E2006&lt;=6,5,IF(E2006&lt;=9,4,IF(E2006&lt;=12,3,IF(E2006&lt;=15,2,0))))))</f>
        <v/>
      </c>
      <c r="G2006" s="5" t="n"/>
      <c r="H2006" s="4">
        <f>IF(OR(F2006="",G2006=""),"",F2006*G2006+IF(J2006="",0,J2006))</f>
        <v/>
      </c>
      <c r="I2006" s="5" t="n"/>
      <c r="J2006" s="5" t="n"/>
    </row>
    <row r="2007">
      <c r="A2007" s="5" t="n"/>
      <c r="B2007" s="5" t="n"/>
      <c r="C2007" s="5" t="n"/>
      <c r="D2007" s="5" t="n"/>
      <c r="E2007" s="4">
        <f>IF(C2007="","",COUNTIF($C$7:C2007,C2007))</f>
        <v/>
      </c>
      <c r="F2007" s="4">
        <f>IF(E2007="","",IF(E2007&lt;=3,6,IF(E2007&lt;=6,5,IF(E2007&lt;=9,4,IF(E2007&lt;=12,3,IF(E2007&lt;=15,2,0))))))</f>
        <v/>
      </c>
      <c r="G2007" s="5" t="n"/>
      <c r="H2007" s="4">
        <f>IF(OR(F2007="",G2007=""),"",F2007*G2007+IF(J2007="",0,J2007))</f>
        <v/>
      </c>
      <c r="I2007" s="5" t="n"/>
      <c r="J2007" s="5" t="n"/>
    </row>
    <row r="2008">
      <c r="A2008" s="5" t="n"/>
      <c r="B2008" s="5" t="n"/>
      <c r="C2008" s="5" t="n"/>
      <c r="D2008" s="5" t="n"/>
      <c r="E2008" s="4">
        <f>IF(C2008="","",COUNTIF($C$7:C2008,C2008))</f>
        <v/>
      </c>
      <c r="F2008" s="4">
        <f>IF(E2008="","",IF(E2008&lt;=3,6,IF(E2008&lt;=6,5,IF(E2008&lt;=9,4,IF(E2008&lt;=12,3,IF(E2008&lt;=15,2,0))))))</f>
        <v/>
      </c>
      <c r="G2008" s="5" t="n"/>
      <c r="H2008" s="4">
        <f>IF(OR(F2008="",G2008=""),"",F2008*G2008+IF(J2008="",0,J2008))</f>
        <v/>
      </c>
      <c r="I2008" s="5" t="n"/>
      <c r="J2008" s="5" t="n"/>
    </row>
    <row r="2009">
      <c r="A2009" s="5" t="n"/>
      <c r="B2009" s="5" t="n"/>
      <c r="C2009" s="5" t="n"/>
      <c r="D2009" s="5" t="n"/>
      <c r="E2009" s="4">
        <f>IF(C2009="","",COUNTIF($C$7:C2009,C2009))</f>
        <v/>
      </c>
      <c r="F2009" s="4">
        <f>IF(E2009="","",IF(E2009&lt;=3,6,IF(E2009&lt;=6,5,IF(E2009&lt;=9,4,IF(E2009&lt;=12,3,IF(E2009&lt;=15,2,0))))))</f>
        <v/>
      </c>
      <c r="G2009" s="5" t="n"/>
      <c r="H2009" s="4">
        <f>IF(OR(F2009="",G2009=""),"",F2009*G2009+IF(J2009="",0,J2009))</f>
        <v/>
      </c>
      <c r="I2009" s="5" t="n"/>
      <c r="J2009" s="5" t="n"/>
    </row>
    <row r="2010">
      <c r="A2010" s="5" t="n"/>
      <c r="B2010" s="5" t="n"/>
      <c r="C2010" s="5" t="n"/>
      <c r="D2010" s="5" t="n"/>
      <c r="E2010" s="4">
        <f>IF(C2010="","",COUNTIF($C$7:C2010,C2010))</f>
        <v/>
      </c>
      <c r="F2010" s="4">
        <f>IF(E2010="","",IF(E2010&lt;=3,6,IF(E2010&lt;=6,5,IF(E2010&lt;=9,4,IF(E2010&lt;=12,3,IF(E2010&lt;=15,2,0))))))</f>
        <v/>
      </c>
      <c r="G2010" s="5" t="n"/>
      <c r="H2010" s="4">
        <f>IF(OR(F2010="",G2010=""),"",F2010*G2010+IF(J2010="",0,J2010))</f>
        <v/>
      </c>
      <c r="I2010" s="5" t="n"/>
      <c r="J2010" s="5" t="n"/>
    </row>
    <row r="2011">
      <c r="A2011" s="5" t="n"/>
      <c r="B2011" s="5" t="n"/>
      <c r="C2011" s="5" t="n"/>
      <c r="D2011" s="5" t="n"/>
      <c r="E2011" s="4">
        <f>IF(C2011="","",COUNTIF($C$7:C2011,C2011))</f>
        <v/>
      </c>
      <c r="F2011" s="4">
        <f>IF(E2011="","",IF(E2011&lt;=3,6,IF(E2011&lt;=6,5,IF(E2011&lt;=9,4,IF(E2011&lt;=12,3,IF(E2011&lt;=15,2,0))))))</f>
        <v/>
      </c>
      <c r="G2011" s="5" t="n"/>
      <c r="H2011" s="4">
        <f>IF(OR(F2011="",G2011=""),"",F2011*G2011+IF(J2011="",0,J2011))</f>
        <v/>
      </c>
      <c r="I2011" s="5" t="n"/>
      <c r="J2011" s="5" t="n"/>
    </row>
    <row r="2012">
      <c r="A2012" s="5" t="n"/>
      <c r="B2012" s="5" t="n"/>
      <c r="C2012" s="5" t="n"/>
      <c r="D2012" s="5" t="n"/>
      <c r="E2012" s="4">
        <f>IF(C2012="","",COUNTIF($C$7:C2012,C2012))</f>
        <v/>
      </c>
      <c r="F2012" s="4">
        <f>IF(E2012="","",IF(E2012&lt;=3,6,IF(E2012&lt;=6,5,IF(E2012&lt;=9,4,IF(E2012&lt;=12,3,IF(E2012&lt;=15,2,0))))))</f>
        <v/>
      </c>
      <c r="G2012" s="5" t="n"/>
      <c r="H2012" s="4">
        <f>IF(OR(F2012="",G2012=""),"",F2012*G2012+IF(J2012="",0,J2012))</f>
        <v/>
      </c>
      <c r="I2012" s="5" t="n"/>
      <c r="J2012" s="5" t="n"/>
    </row>
    <row r="2013">
      <c r="A2013" s="5" t="n"/>
      <c r="B2013" s="5" t="n"/>
      <c r="C2013" s="5" t="n"/>
      <c r="D2013" s="5" t="n"/>
      <c r="E2013" s="4">
        <f>IF(C2013="","",COUNTIF($C$7:C2013,C2013))</f>
        <v/>
      </c>
      <c r="F2013" s="4">
        <f>IF(E2013="","",IF(E2013&lt;=3,6,IF(E2013&lt;=6,5,IF(E2013&lt;=9,4,IF(E2013&lt;=12,3,IF(E2013&lt;=15,2,0))))))</f>
        <v/>
      </c>
      <c r="G2013" s="5" t="n"/>
      <c r="H2013" s="4">
        <f>IF(OR(F2013="",G2013=""),"",F2013*G2013+IF(J2013="",0,J2013))</f>
        <v/>
      </c>
      <c r="I2013" s="5" t="n"/>
      <c r="J2013" s="5" t="n"/>
    </row>
    <row r="2014">
      <c r="A2014" s="5" t="n"/>
      <c r="B2014" s="5" t="n"/>
      <c r="C2014" s="5" t="n"/>
      <c r="D2014" s="5" t="n"/>
      <c r="E2014" s="4">
        <f>IF(C2014="","",COUNTIF($C$7:C2014,C2014))</f>
        <v/>
      </c>
      <c r="F2014" s="4">
        <f>IF(E2014="","",IF(E2014&lt;=3,6,IF(E2014&lt;=6,5,IF(E2014&lt;=9,4,IF(E2014&lt;=12,3,IF(E2014&lt;=15,2,0))))))</f>
        <v/>
      </c>
      <c r="G2014" s="5" t="n"/>
      <c r="H2014" s="4">
        <f>IF(OR(F2014="",G2014=""),"",F2014*G2014+IF(J2014="",0,J2014))</f>
        <v/>
      </c>
      <c r="I2014" s="5" t="n"/>
      <c r="J2014" s="5" t="n"/>
    </row>
    <row r="2015">
      <c r="A2015" s="5" t="n"/>
      <c r="B2015" s="5" t="n"/>
      <c r="C2015" s="5" t="n"/>
      <c r="D2015" s="5" t="n"/>
      <c r="E2015" s="4">
        <f>IF(C2015="","",COUNTIF($C$7:C2015,C2015))</f>
        <v/>
      </c>
      <c r="F2015" s="4">
        <f>IF(E2015="","",IF(E2015&lt;=3,6,IF(E2015&lt;=6,5,IF(E2015&lt;=9,4,IF(E2015&lt;=12,3,IF(E2015&lt;=15,2,0))))))</f>
        <v/>
      </c>
      <c r="G2015" s="5" t="n"/>
      <c r="H2015" s="4">
        <f>IF(OR(F2015="",G2015=""),"",F2015*G2015+IF(J2015="",0,J2015))</f>
        <v/>
      </c>
      <c r="I2015" s="5" t="n"/>
      <c r="J2015" s="5" t="n"/>
    </row>
    <row r="2016">
      <c r="A2016" s="5" t="n"/>
      <c r="B2016" s="5" t="n"/>
      <c r="C2016" s="5" t="n"/>
      <c r="D2016" s="5" t="n"/>
      <c r="E2016" s="4">
        <f>IF(C2016="","",COUNTIF($C$7:C2016,C2016))</f>
        <v/>
      </c>
      <c r="F2016" s="4">
        <f>IF(E2016="","",IF(E2016&lt;=3,6,IF(E2016&lt;=6,5,IF(E2016&lt;=9,4,IF(E2016&lt;=12,3,IF(E2016&lt;=15,2,0))))))</f>
        <v/>
      </c>
      <c r="G2016" s="5" t="n"/>
      <c r="H2016" s="4">
        <f>IF(OR(F2016="",G2016=""),"",F2016*G2016+IF(J2016="",0,J2016))</f>
        <v/>
      </c>
      <c r="I2016" s="5" t="n"/>
      <c r="J2016" s="5" t="n"/>
    </row>
    <row r="2017">
      <c r="A2017" s="5" t="n"/>
      <c r="B2017" s="5" t="n"/>
      <c r="C2017" s="5" t="n"/>
      <c r="D2017" s="5" t="n"/>
      <c r="E2017" s="4">
        <f>IF(C2017="","",COUNTIF($C$7:C2017,C2017))</f>
        <v/>
      </c>
      <c r="F2017" s="4">
        <f>IF(E2017="","",IF(E2017&lt;=3,6,IF(E2017&lt;=6,5,IF(E2017&lt;=9,4,IF(E2017&lt;=12,3,IF(E2017&lt;=15,2,0))))))</f>
        <v/>
      </c>
      <c r="G2017" s="5" t="n"/>
      <c r="H2017" s="4">
        <f>IF(OR(F2017="",G2017=""),"",F2017*G2017+IF(J2017="",0,J2017))</f>
        <v/>
      </c>
      <c r="I2017" s="5" t="n"/>
      <c r="J2017" s="5" t="n"/>
    </row>
    <row r="2018">
      <c r="A2018" s="5" t="n"/>
      <c r="B2018" s="5" t="n"/>
      <c r="C2018" s="5" t="n"/>
      <c r="D2018" s="5" t="n"/>
      <c r="E2018" s="4">
        <f>IF(C2018="","",COUNTIF($C$7:C2018,C2018))</f>
        <v/>
      </c>
      <c r="F2018" s="4">
        <f>IF(E2018="","",IF(E2018&lt;=3,6,IF(E2018&lt;=6,5,IF(E2018&lt;=9,4,IF(E2018&lt;=12,3,IF(E2018&lt;=15,2,0))))))</f>
        <v/>
      </c>
      <c r="G2018" s="5" t="n"/>
      <c r="H2018" s="4">
        <f>IF(OR(F2018="",G2018=""),"",F2018*G2018+IF(J2018="",0,J2018))</f>
        <v/>
      </c>
      <c r="I2018" s="5" t="n"/>
      <c r="J2018" s="5" t="n"/>
    </row>
    <row r="2019">
      <c r="A2019" s="5" t="n"/>
      <c r="B2019" s="5" t="n"/>
      <c r="C2019" s="5" t="n"/>
      <c r="D2019" s="5" t="n"/>
      <c r="E2019" s="4">
        <f>IF(C2019="","",COUNTIF($C$7:C2019,C2019))</f>
        <v/>
      </c>
      <c r="F2019" s="4">
        <f>IF(E2019="","",IF(E2019&lt;=3,6,IF(E2019&lt;=6,5,IF(E2019&lt;=9,4,IF(E2019&lt;=12,3,IF(E2019&lt;=15,2,0))))))</f>
        <v/>
      </c>
      <c r="G2019" s="5" t="n"/>
      <c r="H2019" s="4">
        <f>IF(OR(F2019="",G2019=""),"",F2019*G2019+IF(J2019="",0,J2019))</f>
        <v/>
      </c>
      <c r="I2019" s="5" t="n"/>
      <c r="J2019" s="5" t="n"/>
    </row>
    <row r="2020">
      <c r="A2020" s="5" t="n"/>
      <c r="B2020" s="5" t="n"/>
      <c r="C2020" s="5" t="n"/>
      <c r="D2020" s="5" t="n"/>
      <c r="E2020" s="4">
        <f>IF(C2020="","",COUNTIF($C$7:C2020,C2020))</f>
        <v/>
      </c>
      <c r="F2020" s="4">
        <f>IF(E2020="","",IF(E2020&lt;=3,6,IF(E2020&lt;=6,5,IF(E2020&lt;=9,4,IF(E2020&lt;=12,3,IF(E2020&lt;=15,2,0))))))</f>
        <v/>
      </c>
      <c r="G2020" s="5" t="n"/>
      <c r="H2020" s="4">
        <f>IF(OR(F2020="",G2020=""),"",F2020*G2020+IF(J2020="",0,J2020))</f>
        <v/>
      </c>
      <c r="I2020" s="5" t="n"/>
      <c r="J2020" s="5" t="n"/>
    </row>
    <row r="2021">
      <c r="A2021" s="5" t="n"/>
      <c r="B2021" s="5" t="n"/>
      <c r="C2021" s="5" t="n"/>
      <c r="D2021" s="5" t="n"/>
      <c r="E2021" s="4">
        <f>IF(C2021="","",COUNTIF($C$7:C2021,C2021))</f>
        <v/>
      </c>
      <c r="F2021" s="4">
        <f>IF(E2021="","",IF(E2021&lt;=3,6,IF(E2021&lt;=6,5,IF(E2021&lt;=9,4,IF(E2021&lt;=12,3,IF(E2021&lt;=15,2,0))))))</f>
        <v/>
      </c>
      <c r="G2021" s="5" t="n"/>
      <c r="H2021" s="4">
        <f>IF(OR(F2021="",G2021=""),"",F2021*G2021+IF(J2021="",0,J2021))</f>
        <v/>
      </c>
      <c r="I2021" s="5" t="n"/>
      <c r="J2021" s="5" t="n"/>
    </row>
    <row r="2022">
      <c r="A2022" s="5" t="n"/>
      <c r="B2022" s="5" t="n"/>
      <c r="C2022" s="5" t="n"/>
      <c r="D2022" s="5" t="n"/>
      <c r="E2022" s="4">
        <f>IF(C2022="","",COUNTIF($C$7:C2022,C2022))</f>
        <v/>
      </c>
      <c r="F2022" s="4">
        <f>IF(E2022="","",IF(E2022&lt;=3,6,IF(E2022&lt;=6,5,IF(E2022&lt;=9,4,IF(E2022&lt;=12,3,IF(E2022&lt;=15,2,0))))))</f>
        <v/>
      </c>
      <c r="G2022" s="5" t="n"/>
      <c r="H2022" s="4">
        <f>IF(OR(F2022="",G2022=""),"",F2022*G2022+IF(J2022="",0,J2022))</f>
        <v/>
      </c>
      <c r="I2022" s="5" t="n"/>
      <c r="J2022" s="5" t="n"/>
    </row>
    <row r="2023">
      <c r="A2023" s="5" t="n"/>
      <c r="B2023" s="5" t="n"/>
      <c r="C2023" s="5" t="n"/>
      <c r="D2023" s="5" t="n"/>
      <c r="E2023" s="4">
        <f>IF(C2023="","",COUNTIF($C$7:C2023,C2023))</f>
        <v/>
      </c>
      <c r="F2023" s="4">
        <f>IF(E2023="","",IF(E2023&lt;=3,6,IF(E2023&lt;=6,5,IF(E2023&lt;=9,4,IF(E2023&lt;=12,3,IF(E2023&lt;=15,2,0))))))</f>
        <v/>
      </c>
      <c r="G2023" s="5" t="n"/>
      <c r="H2023" s="4">
        <f>IF(OR(F2023="",G2023=""),"",F2023*G2023+IF(J2023="",0,J2023))</f>
        <v/>
      </c>
      <c r="I2023" s="5" t="n"/>
      <c r="J2023" s="5" t="n"/>
    </row>
    <row r="2024">
      <c r="A2024" s="5" t="n"/>
      <c r="B2024" s="5" t="n"/>
      <c r="C2024" s="5" t="n"/>
      <c r="D2024" s="5" t="n"/>
      <c r="E2024" s="4">
        <f>IF(C2024="","",COUNTIF($C$7:C2024,C2024))</f>
        <v/>
      </c>
      <c r="F2024" s="4">
        <f>IF(E2024="","",IF(E2024&lt;=3,6,IF(E2024&lt;=6,5,IF(E2024&lt;=9,4,IF(E2024&lt;=12,3,IF(E2024&lt;=15,2,0))))))</f>
        <v/>
      </c>
      <c r="G2024" s="5" t="n"/>
      <c r="H2024" s="4">
        <f>IF(OR(F2024="",G2024=""),"",F2024*G2024+IF(J2024="",0,J2024))</f>
        <v/>
      </c>
      <c r="I2024" s="5" t="n"/>
      <c r="J2024" s="5" t="n"/>
    </row>
    <row r="2025">
      <c r="A2025" s="5" t="n"/>
      <c r="B2025" s="5" t="n"/>
      <c r="C2025" s="5" t="n"/>
      <c r="D2025" s="5" t="n"/>
      <c r="E2025" s="4">
        <f>IF(C2025="","",COUNTIF($C$7:C2025,C2025))</f>
        <v/>
      </c>
      <c r="F2025" s="4">
        <f>IF(E2025="","",IF(E2025&lt;=3,6,IF(E2025&lt;=6,5,IF(E2025&lt;=9,4,IF(E2025&lt;=12,3,IF(E2025&lt;=15,2,0))))))</f>
        <v/>
      </c>
      <c r="G2025" s="5" t="n"/>
      <c r="H2025" s="4">
        <f>IF(OR(F2025="",G2025=""),"",F2025*G2025+IF(J2025="",0,J2025))</f>
        <v/>
      </c>
      <c r="I2025" s="5" t="n"/>
      <c r="J2025" s="5" t="n"/>
    </row>
    <row r="2026">
      <c r="A2026" s="5" t="n"/>
      <c r="B2026" s="5" t="n"/>
      <c r="C2026" s="5" t="n"/>
      <c r="D2026" s="5" t="n"/>
      <c r="E2026" s="4">
        <f>IF(C2026="","",COUNTIF($C$7:C2026,C2026))</f>
        <v/>
      </c>
      <c r="F2026" s="4">
        <f>IF(E2026="","",IF(E2026&lt;=3,6,IF(E2026&lt;=6,5,IF(E2026&lt;=9,4,IF(E2026&lt;=12,3,IF(E2026&lt;=15,2,0))))))</f>
        <v/>
      </c>
      <c r="G2026" s="5" t="n"/>
      <c r="H2026" s="4">
        <f>IF(OR(F2026="",G2026=""),"",F2026*G2026+IF(J2026="",0,J2026))</f>
        <v/>
      </c>
      <c r="I2026" s="5" t="n"/>
      <c r="J2026" s="5" t="n"/>
    </row>
    <row r="2027">
      <c r="A2027" s="5" t="n"/>
      <c r="B2027" s="5" t="n"/>
      <c r="C2027" s="5" t="n"/>
      <c r="D2027" s="5" t="n"/>
      <c r="E2027" s="4">
        <f>IF(C2027="","",COUNTIF($C$7:C2027,C2027))</f>
        <v/>
      </c>
      <c r="F2027" s="4">
        <f>IF(E2027="","",IF(E2027&lt;=3,6,IF(E2027&lt;=6,5,IF(E2027&lt;=9,4,IF(E2027&lt;=12,3,IF(E2027&lt;=15,2,0))))))</f>
        <v/>
      </c>
      <c r="G2027" s="5" t="n"/>
      <c r="H2027" s="4">
        <f>IF(OR(F2027="",G2027=""),"",F2027*G2027+IF(J2027="",0,J2027))</f>
        <v/>
      </c>
      <c r="I2027" s="5" t="n"/>
      <c r="J2027" s="5" t="n"/>
    </row>
    <row r="2028">
      <c r="A2028" s="5" t="n"/>
      <c r="B2028" s="5" t="n"/>
      <c r="C2028" s="5" t="n"/>
      <c r="D2028" s="5" t="n"/>
      <c r="E2028" s="4">
        <f>IF(C2028="","",COUNTIF($C$7:C2028,C2028))</f>
        <v/>
      </c>
      <c r="F2028" s="4">
        <f>IF(E2028="","",IF(E2028&lt;=3,6,IF(E2028&lt;=6,5,IF(E2028&lt;=9,4,IF(E2028&lt;=12,3,IF(E2028&lt;=15,2,0))))))</f>
        <v/>
      </c>
      <c r="G2028" s="5" t="n"/>
      <c r="H2028" s="4">
        <f>IF(OR(F2028="",G2028=""),"",F2028*G2028+IF(J2028="",0,J2028))</f>
        <v/>
      </c>
      <c r="I2028" s="5" t="n"/>
      <c r="J2028" s="5" t="n"/>
    </row>
    <row r="2029">
      <c r="A2029" s="5" t="n"/>
      <c r="B2029" s="5" t="n"/>
      <c r="C2029" s="5" t="n"/>
      <c r="D2029" s="5" t="n"/>
      <c r="E2029" s="4">
        <f>IF(C2029="","",COUNTIF($C$7:C2029,C2029))</f>
        <v/>
      </c>
      <c r="F2029" s="4">
        <f>IF(E2029="","",IF(E2029&lt;=3,6,IF(E2029&lt;=6,5,IF(E2029&lt;=9,4,IF(E2029&lt;=12,3,IF(E2029&lt;=15,2,0))))))</f>
        <v/>
      </c>
      <c r="G2029" s="5" t="n"/>
      <c r="H2029" s="4">
        <f>IF(OR(F2029="",G2029=""),"",F2029*G2029+IF(J2029="",0,J2029))</f>
        <v/>
      </c>
      <c r="I2029" s="5" t="n"/>
      <c r="J2029" s="5" t="n"/>
    </row>
    <row r="2030">
      <c r="A2030" s="5" t="n"/>
      <c r="B2030" s="5" t="n"/>
      <c r="C2030" s="5" t="n"/>
      <c r="D2030" s="5" t="n"/>
      <c r="E2030" s="4">
        <f>IF(C2030="","",COUNTIF($C$7:C2030,C2030))</f>
        <v/>
      </c>
      <c r="F2030" s="4">
        <f>IF(E2030="","",IF(E2030&lt;=3,6,IF(E2030&lt;=6,5,IF(E2030&lt;=9,4,IF(E2030&lt;=12,3,IF(E2030&lt;=15,2,0))))))</f>
        <v/>
      </c>
      <c r="G2030" s="5" t="n"/>
      <c r="H2030" s="4">
        <f>IF(OR(F2030="",G2030=""),"",F2030*G2030+IF(J2030="",0,J2030))</f>
        <v/>
      </c>
      <c r="I2030" s="5" t="n"/>
      <c r="J2030" s="5" t="n"/>
    </row>
    <row r="2031">
      <c r="A2031" s="5" t="n"/>
      <c r="B2031" s="5" t="n"/>
      <c r="C2031" s="5" t="n"/>
      <c r="D2031" s="5" t="n"/>
      <c r="E2031" s="4">
        <f>IF(C2031="","",COUNTIF($C$7:C2031,C2031))</f>
        <v/>
      </c>
      <c r="F2031" s="4">
        <f>IF(E2031="","",IF(E2031&lt;=3,6,IF(E2031&lt;=6,5,IF(E2031&lt;=9,4,IF(E2031&lt;=12,3,IF(E2031&lt;=15,2,0))))))</f>
        <v/>
      </c>
      <c r="G2031" s="5" t="n"/>
      <c r="H2031" s="4">
        <f>IF(OR(F2031="",G2031=""),"",F2031*G2031+IF(J2031="",0,J2031))</f>
        <v/>
      </c>
      <c r="I2031" s="5" t="n"/>
      <c r="J2031" s="5" t="n"/>
    </row>
    <row r="2032">
      <c r="A2032" s="5" t="n"/>
      <c r="B2032" s="5" t="n"/>
      <c r="C2032" s="5" t="n"/>
      <c r="D2032" s="5" t="n"/>
      <c r="E2032" s="4">
        <f>IF(C2032="","",COUNTIF($C$7:C2032,C2032))</f>
        <v/>
      </c>
      <c r="F2032" s="4">
        <f>IF(E2032="","",IF(E2032&lt;=3,6,IF(E2032&lt;=6,5,IF(E2032&lt;=9,4,IF(E2032&lt;=12,3,IF(E2032&lt;=15,2,0))))))</f>
        <v/>
      </c>
      <c r="G2032" s="5" t="n"/>
      <c r="H2032" s="4">
        <f>IF(OR(F2032="",G2032=""),"",F2032*G2032+IF(J2032="",0,J2032))</f>
        <v/>
      </c>
      <c r="I2032" s="5" t="n"/>
      <c r="J2032" s="5" t="n"/>
    </row>
    <row r="2033">
      <c r="A2033" s="5" t="n"/>
      <c r="B2033" s="5" t="n"/>
      <c r="C2033" s="5" t="n"/>
      <c r="D2033" s="5" t="n"/>
      <c r="E2033" s="4">
        <f>IF(C2033="","",COUNTIF($C$7:C2033,C2033))</f>
        <v/>
      </c>
      <c r="F2033" s="4">
        <f>IF(E2033="","",IF(E2033&lt;=3,6,IF(E2033&lt;=6,5,IF(E2033&lt;=9,4,IF(E2033&lt;=12,3,IF(E2033&lt;=15,2,0))))))</f>
        <v/>
      </c>
      <c r="G2033" s="5" t="n"/>
      <c r="H2033" s="4">
        <f>IF(OR(F2033="",G2033=""),"",F2033*G2033+IF(J2033="",0,J2033))</f>
        <v/>
      </c>
      <c r="I2033" s="5" t="n"/>
      <c r="J2033" s="5" t="n"/>
    </row>
    <row r="2034">
      <c r="A2034" s="5" t="n"/>
      <c r="B2034" s="5" t="n"/>
      <c r="C2034" s="5" t="n"/>
      <c r="D2034" s="5" t="n"/>
      <c r="E2034" s="4">
        <f>IF(C2034="","",COUNTIF($C$7:C2034,C2034))</f>
        <v/>
      </c>
      <c r="F2034" s="4">
        <f>IF(E2034="","",IF(E2034&lt;=3,6,IF(E2034&lt;=6,5,IF(E2034&lt;=9,4,IF(E2034&lt;=12,3,IF(E2034&lt;=15,2,0))))))</f>
        <v/>
      </c>
      <c r="G2034" s="5" t="n"/>
      <c r="H2034" s="4">
        <f>IF(OR(F2034="",G2034=""),"",F2034*G2034+IF(J2034="",0,J2034))</f>
        <v/>
      </c>
      <c r="I2034" s="5" t="n"/>
      <c r="J2034" s="5" t="n"/>
    </row>
    <row r="2035">
      <c r="A2035" s="5" t="n"/>
      <c r="B2035" s="5" t="n"/>
      <c r="C2035" s="5" t="n"/>
      <c r="D2035" s="5" t="n"/>
      <c r="E2035" s="4">
        <f>IF(C2035="","",COUNTIF($C$7:C2035,C2035))</f>
        <v/>
      </c>
      <c r="F2035" s="4">
        <f>IF(E2035="","",IF(E2035&lt;=3,6,IF(E2035&lt;=6,5,IF(E2035&lt;=9,4,IF(E2035&lt;=12,3,IF(E2035&lt;=15,2,0))))))</f>
        <v/>
      </c>
      <c r="G2035" s="5" t="n"/>
      <c r="H2035" s="4">
        <f>IF(OR(F2035="",G2035=""),"",F2035*G2035+IF(J2035="",0,J2035))</f>
        <v/>
      </c>
      <c r="I2035" s="5" t="n"/>
      <c r="J2035" s="5" t="n"/>
    </row>
    <row r="2036">
      <c r="A2036" s="5" t="n"/>
      <c r="B2036" s="5" t="n"/>
      <c r="C2036" s="5" t="n"/>
      <c r="D2036" s="5" t="n"/>
      <c r="E2036" s="4">
        <f>IF(C2036="","",COUNTIF($C$7:C2036,C2036))</f>
        <v/>
      </c>
      <c r="F2036" s="4">
        <f>IF(E2036="","",IF(E2036&lt;=3,6,IF(E2036&lt;=6,5,IF(E2036&lt;=9,4,IF(E2036&lt;=12,3,IF(E2036&lt;=15,2,0))))))</f>
        <v/>
      </c>
      <c r="G2036" s="5" t="n"/>
      <c r="H2036" s="4">
        <f>IF(OR(F2036="",G2036=""),"",F2036*G2036+IF(J2036="",0,J2036))</f>
        <v/>
      </c>
      <c r="I2036" s="5" t="n"/>
      <c r="J2036" s="5" t="n"/>
    </row>
    <row r="2037">
      <c r="A2037" s="5" t="n"/>
      <c r="B2037" s="5" t="n"/>
      <c r="C2037" s="5" t="n"/>
      <c r="D2037" s="5" t="n"/>
      <c r="E2037" s="4">
        <f>IF(C2037="","",COUNTIF($C$7:C2037,C2037))</f>
        <v/>
      </c>
      <c r="F2037" s="4">
        <f>IF(E2037="","",IF(E2037&lt;=3,6,IF(E2037&lt;=6,5,IF(E2037&lt;=9,4,IF(E2037&lt;=12,3,IF(E2037&lt;=15,2,0))))))</f>
        <v/>
      </c>
      <c r="G2037" s="5" t="n"/>
      <c r="H2037" s="4">
        <f>IF(OR(F2037="",G2037=""),"",F2037*G2037+IF(J2037="",0,J2037))</f>
        <v/>
      </c>
      <c r="I2037" s="5" t="n"/>
      <c r="J2037" s="5" t="n"/>
    </row>
    <row r="2038">
      <c r="A2038" s="5" t="n"/>
      <c r="B2038" s="5" t="n"/>
      <c r="C2038" s="5" t="n"/>
      <c r="D2038" s="5" t="n"/>
      <c r="E2038" s="4">
        <f>IF(C2038="","",COUNTIF($C$7:C2038,C2038))</f>
        <v/>
      </c>
      <c r="F2038" s="4">
        <f>IF(E2038="","",IF(E2038&lt;=3,6,IF(E2038&lt;=6,5,IF(E2038&lt;=9,4,IF(E2038&lt;=12,3,IF(E2038&lt;=15,2,0))))))</f>
        <v/>
      </c>
      <c r="G2038" s="5" t="n"/>
      <c r="H2038" s="4">
        <f>IF(OR(F2038="",G2038=""),"",F2038*G2038+IF(J2038="",0,J2038))</f>
        <v/>
      </c>
      <c r="I2038" s="5" t="n"/>
      <c r="J2038" s="5" t="n"/>
    </row>
    <row r="2039">
      <c r="A2039" s="5" t="n"/>
      <c r="B2039" s="5" t="n"/>
      <c r="C2039" s="5" t="n"/>
      <c r="D2039" s="5" t="n"/>
      <c r="E2039" s="4">
        <f>IF(C2039="","",COUNTIF($C$7:C2039,C2039))</f>
        <v/>
      </c>
      <c r="F2039" s="4">
        <f>IF(E2039="","",IF(E2039&lt;=3,6,IF(E2039&lt;=6,5,IF(E2039&lt;=9,4,IF(E2039&lt;=12,3,IF(E2039&lt;=15,2,0))))))</f>
        <v/>
      </c>
      <c r="G2039" s="5" t="n"/>
      <c r="H2039" s="4">
        <f>IF(OR(F2039="",G2039=""),"",F2039*G2039+IF(J2039="",0,J2039))</f>
        <v/>
      </c>
      <c r="I2039" s="5" t="n"/>
      <c r="J2039" s="5" t="n"/>
    </row>
    <row r="2040">
      <c r="A2040" s="5" t="n"/>
      <c r="B2040" s="5" t="n"/>
      <c r="C2040" s="5" t="n"/>
      <c r="D2040" s="5" t="n"/>
      <c r="E2040" s="4">
        <f>IF(C2040="","",COUNTIF($C$7:C2040,C2040))</f>
        <v/>
      </c>
      <c r="F2040" s="4">
        <f>IF(E2040="","",IF(E2040&lt;=3,6,IF(E2040&lt;=6,5,IF(E2040&lt;=9,4,IF(E2040&lt;=12,3,IF(E2040&lt;=15,2,0))))))</f>
        <v/>
      </c>
      <c r="G2040" s="5" t="n"/>
      <c r="H2040" s="4">
        <f>IF(OR(F2040="",G2040=""),"",F2040*G2040+IF(J2040="",0,J2040))</f>
        <v/>
      </c>
      <c r="I2040" s="5" t="n"/>
      <c r="J2040" s="5" t="n"/>
    </row>
    <row r="2041">
      <c r="A2041" s="5" t="n"/>
      <c r="B2041" s="5" t="n"/>
      <c r="C2041" s="5" t="n"/>
      <c r="D2041" s="5" t="n"/>
      <c r="E2041" s="4">
        <f>IF(C2041="","",COUNTIF($C$7:C2041,C2041))</f>
        <v/>
      </c>
      <c r="F2041" s="4">
        <f>IF(E2041="","",IF(E2041&lt;=3,6,IF(E2041&lt;=6,5,IF(E2041&lt;=9,4,IF(E2041&lt;=12,3,IF(E2041&lt;=15,2,0))))))</f>
        <v/>
      </c>
      <c r="G2041" s="5" t="n"/>
      <c r="H2041" s="4">
        <f>IF(OR(F2041="",G2041=""),"",F2041*G2041+IF(J2041="",0,J2041))</f>
        <v/>
      </c>
      <c r="I2041" s="5" t="n"/>
      <c r="J2041" s="5" t="n"/>
    </row>
    <row r="2042">
      <c r="A2042" s="5" t="n"/>
      <c r="B2042" s="5" t="n"/>
      <c r="C2042" s="5" t="n"/>
      <c r="D2042" s="5" t="n"/>
      <c r="E2042" s="4">
        <f>IF(C2042="","",COUNTIF($C$7:C2042,C2042))</f>
        <v/>
      </c>
      <c r="F2042" s="4">
        <f>IF(E2042="","",IF(E2042&lt;=3,6,IF(E2042&lt;=6,5,IF(E2042&lt;=9,4,IF(E2042&lt;=12,3,IF(E2042&lt;=15,2,0))))))</f>
        <v/>
      </c>
      <c r="G2042" s="5" t="n"/>
      <c r="H2042" s="4">
        <f>IF(OR(F2042="",G2042=""),"",F2042*G2042+IF(J2042="",0,J2042))</f>
        <v/>
      </c>
      <c r="I2042" s="5" t="n"/>
      <c r="J2042" s="5" t="n"/>
    </row>
    <row r="2043">
      <c r="A2043" s="5" t="n"/>
      <c r="B2043" s="5" t="n"/>
      <c r="C2043" s="5" t="n"/>
      <c r="D2043" s="5" t="n"/>
      <c r="E2043" s="4">
        <f>IF(C2043="","",COUNTIF($C$7:C2043,C2043))</f>
        <v/>
      </c>
      <c r="F2043" s="4">
        <f>IF(E2043="","",IF(E2043&lt;=3,6,IF(E2043&lt;=6,5,IF(E2043&lt;=9,4,IF(E2043&lt;=12,3,IF(E2043&lt;=15,2,0))))))</f>
        <v/>
      </c>
      <c r="G2043" s="5" t="n"/>
      <c r="H2043" s="4">
        <f>IF(OR(F2043="",G2043=""),"",F2043*G2043+IF(J2043="",0,J2043))</f>
        <v/>
      </c>
      <c r="I2043" s="5" t="n"/>
      <c r="J2043" s="5" t="n"/>
    </row>
    <row r="2044">
      <c r="A2044" s="5" t="n"/>
      <c r="B2044" s="5" t="n"/>
      <c r="C2044" s="5" t="n"/>
      <c r="D2044" s="5" t="n"/>
      <c r="E2044" s="4">
        <f>IF(C2044="","",COUNTIF($C$7:C2044,C2044))</f>
        <v/>
      </c>
      <c r="F2044" s="4">
        <f>IF(E2044="","",IF(E2044&lt;=3,6,IF(E2044&lt;=6,5,IF(E2044&lt;=9,4,IF(E2044&lt;=12,3,IF(E2044&lt;=15,2,0))))))</f>
        <v/>
      </c>
      <c r="G2044" s="5" t="n"/>
      <c r="H2044" s="4">
        <f>IF(OR(F2044="",G2044=""),"",F2044*G2044+IF(J2044="",0,J2044))</f>
        <v/>
      </c>
      <c r="I2044" s="5" t="n"/>
      <c r="J2044" s="5" t="n"/>
    </row>
    <row r="2045">
      <c r="A2045" s="5" t="n"/>
      <c r="B2045" s="5" t="n"/>
      <c r="C2045" s="5" t="n"/>
      <c r="D2045" s="5" t="n"/>
      <c r="E2045" s="4">
        <f>IF(C2045="","",COUNTIF($C$7:C2045,C2045))</f>
        <v/>
      </c>
      <c r="F2045" s="4">
        <f>IF(E2045="","",IF(E2045&lt;=3,6,IF(E2045&lt;=6,5,IF(E2045&lt;=9,4,IF(E2045&lt;=12,3,IF(E2045&lt;=15,2,0))))))</f>
        <v/>
      </c>
      <c r="G2045" s="5" t="n"/>
      <c r="H2045" s="4">
        <f>IF(OR(F2045="",G2045=""),"",F2045*G2045+IF(J2045="",0,J2045))</f>
        <v/>
      </c>
      <c r="I2045" s="5" t="n"/>
      <c r="J2045" s="5" t="n"/>
    </row>
    <row r="2046">
      <c r="A2046" s="5" t="n"/>
      <c r="B2046" s="5" t="n"/>
      <c r="C2046" s="5" t="n"/>
      <c r="D2046" s="5" t="n"/>
      <c r="E2046" s="4">
        <f>IF(C2046="","",COUNTIF($C$7:C2046,C2046))</f>
        <v/>
      </c>
      <c r="F2046" s="4">
        <f>IF(E2046="","",IF(E2046&lt;=3,6,IF(E2046&lt;=6,5,IF(E2046&lt;=9,4,IF(E2046&lt;=12,3,IF(E2046&lt;=15,2,0))))))</f>
        <v/>
      </c>
      <c r="G2046" s="5" t="n"/>
      <c r="H2046" s="4">
        <f>IF(OR(F2046="",G2046=""),"",F2046*G2046+IF(J2046="",0,J2046))</f>
        <v/>
      </c>
      <c r="I2046" s="5" t="n"/>
      <c r="J2046" s="5" t="n"/>
    </row>
    <row r="2047">
      <c r="A2047" s="5" t="n"/>
      <c r="B2047" s="5" t="n"/>
      <c r="C2047" s="5" t="n"/>
      <c r="D2047" s="5" t="n"/>
      <c r="E2047" s="4">
        <f>IF(C2047="","",COUNTIF($C$7:C2047,C2047))</f>
        <v/>
      </c>
      <c r="F2047" s="4">
        <f>IF(E2047="","",IF(E2047&lt;=3,6,IF(E2047&lt;=6,5,IF(E2047&lt;=9,4,IF(E2047&lt;=12,3,IF(E2047&lt;=15,2,0))))))</f>
        <v/>
      </c>
      <c r="G2047" s="5" t="n"/>
      <c r="H2047" s="4">
        <f>IF(OR(F2047="",G2047=""),"",F2047*G2047+IF(J2047="",0,J2047))</f>
        <v/>
      </c>
      <c r="I2047" s="5" t="n"/>
      <c r="J2047" s="5" t="n"/>
    </row>
    <row r="2048">
      <c r="A2048" s="5" t="n"/>
      <c r="B2048" s="5" t="n"/>
      <c r="C2048" s="5" t="n"/>
      <c r="D2048" s="5" t="n"/>
      <c r="E2048" s="4">
        <f>IF(C2048="","",COUNTIF($C$7:C2048,C2048))</f>
        <v/>
      </c>
      <c r="F2048" s="4">
        <f>IF(E2048="","",IF(E2048&lt;=3,6,IF(E2048&lt;=6,5,IF(E2048&lt;=9,4,IF(E2048&lt;=12,3,IF(E2048&lt;=15,2,0))))))</f>
        <v/>
      </c>
      <c r="G2048" s="5" t="n"/>
      <c r="H2048" s="4">
        <f>IF(OR(F2048="",G2048=""),"",F2048*G2048+IF(J2048="",0,J2048))</f>
        <v/>
      </c>
      <c r="I2048" s="5" t="n"/>
      <c r="J2048" s="5" t="n"/>
    </row>
    <row r="2049">
      <c r="A2049" s="5" t="n"/>
      <c r="B2049" s="5" t="n"/>
      <c r="C2049" s="5" t="n"/>
      <c r="D2049" s="5" t="n"/>
      <c r="E2049" s="4">
        <f>IF(C2049="","",COUNTIF($C$7:C2049,C2049))</f>
        <v/>
      </c>
      <c r="F2049" s="4">
        <f>IF(E2049="","",IF(E2049&lt;=3,6,IF(E2049&lt;=6,5,IF(E2049&lt;=9,4,IF(E2049&lt;=12,3,IF(E2049&lt;=15,2,0))))))</f>
        <v/>
      </c>
      <c r="G2049" s="5" t="n"/>
      <c r="H2049" s="4">
        <f>IF(OR(F2049="",G2049=""),"",F2049*G2049+IF(J2049="",0,J2049))</f>
        <v/>
      </c>
      <c r="I2049" s="5" t="n"/>
      <c r="J2049" s="5" t="n"/>
    </row>
    <row r="2050">
      <c r="A2050" s="5" t="n"/>
      <c r="B2050" s="5" t="n"/>
      <c r="C2050" s="5" t="n"/>
      <c r="D2050" s="5" t="n"/>
      <c r="E2050" s="4">
        <f>IF(C2050="","",COUNTIF($C$7:C2050,C2050))</f>
        <v/>
      </c>
      <c r="F2050" s="4">
        <f>IF(E2050="","",IF(E2050&lt;=3,6,IF(E2050&lt;=6,5,IF(E2050&lt;=9,4,IF(E2050&lt;=12,3,IF(E2050&lt;=15,2,0))))))</f>
        <v/>
      </c>
      <c r="G2050" s="5" t="n"/>
      <c r="H2050" s="4">
        <f>IF(OR(F2050="",G2050=""),"",F2050*G2050+IF(J2050="",0,J2050))</f>
        <v/>
      </c>
      <c r="I2050" s="5" t="n"/>
      <c r="J2050" s="5" t="n"/>
    </row>
    <row r="2051">
      <c r="A2051" s="5" t="n"/>
      <c r="B2051" s="5" t="n"/>
      <c r="C2051" s="5" t="n"/>
      <c r="D2051" s="5" t="n"/>
      <c r="E2051" s="4">
        <f>IF(C2051="","",COUNTIF($C$7:C2051,C2051))</f>
        <v/>
      </c>
      <c r="F2051" s="4">
        <f>IF(E2051="","",IF(E2051&lt;=3,6,IF(E2051&lt;=6,5,IF(E2051&lt;=9,4,IF(E2051&lt;=12,3,IF(E2051&lt;=15,2,0))))))</f>
        <v/>
      </c>
      <c r="G2051" s="5" t="n"/>
      <c r="H2051" s="4">
        <f>IF(OR(F2051="",G2051=""),"",F2051*G2051+IF(J2051="",0,J2051))</f>
        <v/>
      </c>
      <c r="I2051" s="5" t="n"/>
      <c r="J2051" s="5" t="n"/>
    </row>
    <row r="2052">
      <c r="A2052" s="5" t="n"/>
      <c r="B2052" s="5" t="n"/>
      <c r="C2052" s="5" t="n"/>
      <c r="D2052" s="5" t="n"/>
      <c r="E2052" s="4">
        <f>IF(C2052="","",COUNTIF($C$7:C2052,C2052))</f>
        <v/>
      </c>
      <c r="F2052" s="4">
        <f>IF(E2052="","",IF(E2052&lt;=3,6,IF(E2052&lt;=6,5,IF(E2052&lt;=9,4,IF(E2052&lt;=12,3,IF(E2052&lt;=15,2,0))))))</f>
        <v/>
      </c>
      <c r="G2052" s="5" t="n"/>
      <c r="H2052" s="4">
        <f>IF(OR(F2052="",G2052=""),"",F2052*G2052+IF(J2052="",0,J2052))</f>
        <v/>
      </c>
      <c r="I2052" s="5" t="n"/>
      <c r="J2052" s="5" t="n"/>
    </row>
    <row r="2053">
      <c r="A2053" s="5" t="n"/>
      <c r="B2053" s="5" t="n"/>
      <c r="C2053" s="5" t="n"/>
      <c r="D2053" s="5" t="n"/>
      <c r="E2053" s="4">
        <f>IF(C2053="","",COUNTIF($C$7:C2053,C2053))</f>
        <v/>
      </c>
      <c r="F2053" s="4">
        <f>IF(E2053="","",IF(E2053&lt;=3,6,IF(E2053&lt;=6,5,IF(E2053&lt;=9,4,IF(E2053&lt;=12,3,IF(E2053&lt;=15,2,0))))))</f>
        <v/>
      </c>
      <c r="G2053" s="5" t="n"/>
      <c r="H2053" s="4">
        <f>IF(OR(F2053="",G2053=""),"",F2053*G2053+IF(J2053="",0,J2053))</f>
        <v/>
      </c>
      <c r="I2053" s="5" t="n"/>
      <c r="J2053" s="5" t="n"/>
    </row>
    <row r="2054">
      <c r="A2054" s="5" t="n"/>
      <c r="B2054" s="5" t="n"/>
      <c r="C2054" s="5" t="n"/>
      <c r="D2054" s="5" t="n"/>
      <c r="E2054" s="4">
        <f>IF(C2054="","",COUNTIF($C$7:C2054,C2054))</f>
        <v/>
      </c>
      <c r="F2054" s="4">
        <f>IF(E2054="","",IF(E2054&lt;=3,6,IF(E2054&lt;=6,5,IF(E2054&lt;=9,4,IF(E2054&lt;=12,3,IF(E2054&lt;=15,2,0))))))</f>
        <v/>
      </c>
      <c r="G2054" s="5" t="n"/>
      <c r="H2054" s="4">
        <f>IF(OR(F2054="",G2054=""),"",F2054*G2054+IF(J2054="",0,J2054))</f>
        <v/>
      </c>
      <c r="I2054" s="5" t="n"/>
      <c r="J2054" s="5" t="n"/>
    </row>
    <row r="2055">
      <c r="A2055" s="5" t="n"/>
      <c r="B2055" s="5" t="n"/>
      <c r="C2055" s="5" t="n"/>
      <c r="D2055" s="5" t="n"/>
      <c r="E2055" s="4">
        <f>IF(C2055="","",COUNTIF($C$7:C2055,C2055))</f>
        <v/>
      </c>
      <c r="F2055" s="4">
        <f>IF(E2055="","",IF(E2055&lt;=3,6,IF(E2055&lt;=6,5,IF(E2055&lt;=9,4,IF(E2055&lt;=12,3,IF(E2055&lt;=15,2,0))))))</f>
        <v/>
      </c>
      <c r="G2055" s="5" t="n"/>
      <c r="H2055" s="4">
        <f>IF(OR(F2055="",G2055=""),"",F2055*G2055+IF(J2055="",0,J2055))</f>
        <v/>
      </c>
      <c r="I2055" s="5" t="n"/>
      <c r="J2055" s="5" t="n"/>
    </row>
    <row r="2056">
      <c r="A2056" s="5" t="n"/>
      <c r="B2056" s="5" t="n"/>
      <c r="C2056" s="5" t="n"/>
      <c r="D2056" s="5" t="n"/>
      <c r="E2056" s="4">
        <f>IF(C2056="","",COUNTIF($C$7:C2056,C2056))</f>
        <v/>
      </c>
      <c r="F2056" s="4">
        <f>IF(E2056="","",IF(E2056&lt;=3,6,IF(E2056&lt;=6,5,IF(E2056&lt;=9,4,IF(E2056&lt;=12,3,IF(E2056&lt;=15,2,0))))))</f>
        <v/>
      </c>
      <c r="G2056" s="5" t="n"/>
      <c r="H2056" s="4">
        <f>IF(OR(F2056="",G2056=""),"",F2056*G2056+IF(J2056="",0,J2056))</f>
        <v/>
      </c>
      <c r="I2056" s="5" t="n"/>
      <c r="J2056" s="5" t="n"/>
    </row>
    <row r="2057">
      <c r="A2057" s="5" t="n"/>
      <c r="B2057" s="5" t="n"/>
      <c r="C2057" s="5" t="n"/>
      <c r="D2057" s="5" t="n"/>
      <c r="E2057" s="4">
        <f>IF(C2057="","",COUNTIF($C$7:C2057,C2057))</f>
        <v/>
      </c>
      <c r="F2057" s="4">
        <f>IF(E2057="","",IF(E2057&lt;=3,6,IF(E2057&lt;=6,5,IF(E2057&lt;=9,4,IF(E2057&lt;=12,3,IF(E2057&lt;=15,2,0))))))</f>
        <v/>
      </c>
      <c r="G2057" s="5" t="n"/>
      <c r="H2057" s="4">
        <f>IF(OR(F2057="",G2057=""),"",F2057*G2057+IF(J2057="",0,J2057))</f>
        <v/>
      </c>
      <c r="I2057" s="5" t="n"/>
      <c r="J2057" s="5" t="n"/>
    </row>
    <row r="2058">
      <c r="A2058" s="5" t="n"/>
      <c r="B2058" s="5" t="n"/>
      <c r="C2058" s="5" t="n"/>
      <c r="D2058" s="5" t="n"/>
      <c r="E2058" s="4">
        <f>IF(C2058="","",COUNTIF($C$7:C2058,C2058))</f>
        <v/>
      </c>
      <c r="F2058" s="4">
        <f>IF(E2058="","",IF(E2058&lt;=3,6,IF(E2058&lt;=6,5,IF(E2058&lt;=9,4,IF(E2058&lt;=12,3,IF(E2058&lt;=15,2,0))))))</f>
        <v/>
      </c>
      <c r="G2058" s="5" t="n"/>
      <c r="H2058" s="4">
        <f>IF(OR(F2058="",G2058=""),"",F2058*G2058+IF(J2058="",0,J2058))</f>
        <v/>
      </c>
      <c r="I2058" s="5" t="n"/>
      <c r="J2058" s="5" t="n"/>
    </row>
    <row r="2059">
      <c r="A2059" s="5" t="n"/>
      <c r="B2059" s="5" t="n"/>
      <c r="C2059" s="5" t="n"/>
      <c r="D2059" s="5" t="n"/>
      <c r="E2059" s="4">
        <f>IF(C2059="","",COUNTIF($C$7:C2059,C2059))</f>
        <v/>
      </c>
      <c r="F2059" s="4">
        <f>IF(E2059="","",IF(E2059&lt;=3,6,IF(E2059&lt;=6,5,IF(E2059&lt;=9,4,IF(E2059&lt;=12,3,IF(E2059&lt;=15,2,0))))))</f>
        <v/>
      </c>
      <c r="G2059" s="5" t="n"/>
      <c r="H2059" s="4">
        <f>IF(OR(F2059="",G2059=""),"",F2059*G2059+IF(J2059="",0,J2059))</f>
        <v/>
      </c>
      <c r="I2059" s="5" t="n"/>
      <c r="J2059" s="5" t="n"/>
    </row>
    <row r="2060">
      <c r="A2060" s="5" t="n"/>
      <c r="B2060" s="5" t="n"/>
      <c r="C2060" s="5" t="n"/>
      <c r="D2060" s="5" t="n"/>
      <c r="E2060" s="4">
        <f>IF(C2060="","",COUNTIF($C$7:C2060,C2060))</f>
        <v/>
      </c>
      <c r="F2060" s="4">
        <f>IF(E2060="","",IF(E2060&lt;=3,6,IF(E2060&lt;=6,5,IF(E2060&lt;=9,4,IF(E2060&lt;=12,3,IF(E2060&lt;=15,2,0))))))</f>
        <v/>
      </c>
      <c r="G2060" s="5" t="n"/>
      <c r="H2060" s="4">
        <f>IF(OR(F2060="",G2060=""),"",F2060*G2060+IF(J2060="",0,J2060))</f>
        <v/>
      </c>
      <c r="I2060" s="5" t="n"/>
      <c r="J2060" s="5" t="n"/>
    </row>
    <row r="2061">
      <c r="A2061" s="5" t="n"/>
      <c r="B2061" s="5" t="n"/>
      <c r="C2061" s="5" t="n"/>
      <c r="D2061" s="5" t="n"/>
      <c r="E2061" s="4">
        <f>IF(C2061="","",COUNTIF($C$7:C2061,C2061))</f>
        <v/>
      </c>
      <c r="F2061" s="4">
        <f>IF(E2061="","",IF(E2061&lt;=3,6,IF(E2061&lt;=6,5,IF(E2061&lt;=9,4,IF(E2061&lt;=12,3,IF(E2061&lt;=15,2,0))))))</f>
        <v/>
      </c>
      <c r="G2061" s="5" t="n"/>
      <c r="H2061" s="4">
        <f>IF(OR(F2061="",G2061=""),"",F2061*G2061+IF(J2061="",0,J2061))</f>
        <v/>
      </c>
      <c r="I2061" s="5" t="n"/>
      <c r="J2061" s="5" t="n"/>
    </row>
    <row r="2062">
      <c r="A2062" s="5" t="n"/>
      <c r="B2062" s="5" t="n"/>
      <c r="C2062" s="5" t="n"/>
      <c r="D2062" s="5" t="n"/>
      <c r="E2062" s="4">
        <f>IF(C2062="","",COUNTIF($C$7:C2062,C2062))</f>
        <v/>
      </c>
      <c r="F2062" s="4">
        <f>IF(E2062="","",IF(E2062&lt;=3,6,IF(E2062&lt;=6,5,IF(E2062&lt;=9,4,IF(E2062&lt;=12,3,IF(E2062&lt;=15,2,0))))))</f>
        <v/>
      </c>
      <c r="G2062" s="5" t="n"/>
      <c r="H2062" s="4">
        <f>IF(OR(F2062="",G2062=""),"",F2062*G2062+IF(J2062="",0,J2062))</f>
        <v/>
      </c>
      <c r="I2062" s="5" t="n"/>
      <c r="J2062" s="5" t="n"/>
    </row>
    <row r="2063">
      <c r="A2063" s="5" t="n"/>
      <c r="B2063" s="5" t="n"/>
      <c r="C2063" s="5" t="n"/>
      <c r="D2063" s="5" t="n"/>
      <c r="E2063" s="4">
        <f>IF(C2063="","",COUNTIF($C$7:C2063,C2063))</f>
        <v/>
      </c>
      <c r="F2063" s="4">
        <f>IF(E2063="","",IF(E2063&lt;=3,6,IF(E2063&lt;=6,5,IF(E2063&lt;=9,4,IF(E2063&lt;=12,3,IF(E2063&lt;=15,2,0))))))</f>
        <v/>
      </c>
      <c r="G2063" s="5" t="n"/>
      <c r="H2063" s="4">
        <f>IF(OR(F2063="",G2063=""),"",F2063*G2063+IF(J2063="",0,J2063))</f>
        <v/>
      </c>
      <c r="I2063" s="5" t="n"/>
      <c r="J2063" s="5" t="n"/>
    </row>
    <row r="2064">
      <c r="A2064" s="5" t="n"/>
      <c r="B2064" s="5" t="n"/>
      <c r="C2064" s="5" t="n"/>
      <c r="D2064" s="5" t="n"/>
      <c r="E2064" s="4">
        <f>IF(C2064="","",COUNTIF($C$7:C2064,C2064))</f>
        <v/>
      </c>
      <c r="F2064" s="4">
        <f>IF(E2064="","",IF(E2064&lt;=3,6,IF(E2064&lt;=6,5,IF(E2064&lt;=9,4,IF(E2064&lt;=12,3,IF(E2064&lt;=15,2,0))))))</f>
        <v/>
      </c>
      <c r="G2064" s="5" t="n"/>
      <c r="H2064" s="4">
        <f>IF(OR(F2064="",G2064=""),"",F2064*G2064+IF(J2064="",0,J2064))</f>
        <v/>
      </c>
      <c r="I2064" s="5" t="n"/>
      <c r="J2064" s="5" t="n"/>
    </row>
    <row r="2065">
      <c r="A2065" s="5" t="n"/>
      <c r="B2065" s="5" t="n"/>
      <c r="C2065" s="5" t="n"/>
      <c r="D2065" s="5" t="n"/>
      <c r="E2065" s="4">
        <f>IF(C2065="","",COUNTIF($C$7:C2065,C2065))</f>
        <v/>
      </c>
      <c r="F2065" s="4">
        <f>IF(E2065="","",IF(E2065&lt;=3,6,IF(E2065&lt;=6,5,IF(E2065&lt;=9,4,IF(E2065&lt;=12,3,IF(E2065&lt;=15,2,0))))))</f>
        <v/>
      </c>
      <c r="G2065" s="5" t="n"/>
      <c r="H2065" s="4">
        <f>IF(OR(F2065="",G2065=""),"",F2065*G2065+IF(J2065="",0,J2065))</f>
        <v/>
      </c>
      <c r="I2065" s="5" t="n"/>
      <c r="J2065" s="5" t="n"/>
    </row>
    <row r="2066">
      <c r="A2066" s="5" t="n"/>
      <c r="B2066" s="5" t="n"/>
      <c r="C2066" s="5" t="n"/>
      <c r="D2066" s="5" t="n"/>
      <c r="E2066" s="4">
        <f>IF(C2066="","",COUNTIF($C$7:C2066,C2066))</f>
        <v/>
      </c>
      <c r="F2066" s="4">
        <f>IF(E2066="","",IF(E2066&lt;=3,6,IF(E2066&lt;=6,5,IF(E2066&lt;=9,4,IF(E2066&lt;=12,3,IF(E2066&lt;=15,2,0))))))</f>
        <v/>
      </c>
      <c r="G2066" s="5" t="n"/>
      <c r="H2066" s="4">
        <f>IF(OR(F2066="",G2066=""),"",F2066*G2066+IF(J2066="",0,J2066))</f>
        <v/>
      </c>
      <c r="I2066" s="5" t="n"/>
      <c r="J2066" s="5" t="n"/>
    </row>
    <row r="2067">
      <c r="A2067" s="5" t="n"/>
      <c r="B2067" s="5" t="n"/>
      <c r="C2067" s="5" t="n"/>
      <c r="D2067" s="5" t="n"/>
      <c r="E2067" s="4">
        <f>IF(C2067="","",COUNTIF($C$7:C2067,C2067))</f>
        <v/>
      </c>
      <c r="F2067" s="4">
        <f>IF(E2067="","",IF(E2067&lt;=3,6,IF(E2067&lt;=6,5,IF(E2067&lt;=9,4,IF(E2067&lt;=12,3,IF(E2067&lt;=15,2,0))))))</f>
        <v/>
      </c>
      <c r="G2067" s="5" t="n"/>
      <c r="H2067" s="4">
        <f>IF(OR(F2067="",G2067=""),"",F2067*G2067+IF(J2067="",0,J2067))</f>
        <v/>
      </c>
      <c r="I2067" s="5" t="n"/>
      <c r="J2067" s="5" t="n"/>
    </row>
    <row r="2068">
      <c r="A2068" s="5" t="n"/>
      <c r="B2068" s="5" t="n"/>
      <c r="C2068" s="5" t="n"/>
      <c r="D2068" s="5" t="n"/>
      <c r="E2068" s="4">
        <f>IF(C2068="","",COUNTIF($C$7:C2068,C2068))</f>
        <v/>
      </c>
      <c r="F2068" s="4">
        <f>IF(E2068="","",IF(E2068&lt;=3,6,IF(E2068&lt;=6,5,IF(E2068&lt;=9,4,IF(E2068&lt;=12,3,IF(E2068&lt;=15,2,0))))))</f>
        <v/>
      </c>
      <c r="G2068" s="5" t="n"/>
      <c r="H2068" s="4">
        <f>IF(OR(F2068="",G2068=""),"",F2068*G2068+IF(J2068="",0,J2068))</f>
        <v/>
      </c>
      <c r="I2068" s="5" t="n"/>
      <c r="J2068" s="5" t="n"/>
    </row>
    <row r="2069">
      <c r="A2069" s="5" t="n"/>
      <c r="B2069" s="5" t="n"/>
      <c r="C2069" s="5" t="n"/>
      <c r="D2069" s="5" t="n"/>
      <c r="E2069" s="4">
        <f>IF(C2069="","",COUNTIF($C$7:C2069,C2069))</f>
        <v/>
      </c>
      <c r="F2069" s="4">
        <f>IF(E2069="","",IF(E2069&lt;=3,6,IF(E2069&lt;=6,5,IF(E2069&lt;=9,4,IF(E2069&lt;=12,3,IF(E2069&lt;=15,2,0))))))</f>
        <v/>
      </c>
      <c r="G2069" s="5" t="n"/>
      <c r="H2069" s="4">
        <f>IF(OR(F2069="",G2069=""),"",F2069*G2069+IF(J2069="",0,J2069))</f>
        <v/>
      </c>
      <c r="I2069" s="5" t="n"/>
      <c r="J2069" s="5" t="n"/>
    </row>
    <row r="2070">
      <c r="A2070" s="5" t="n"/>
      <c r="B2070" s="5" t="n"/>
      <c r="C2070" s="5" t="n"/>
      <c r="D2070" s="5" t="n"/>
      <c r="E2070" s="4">
        <f>IF(C2070="","",COUNTIF($C$7:C2070,C2070))</f>
        <v/>
      </c>
      <c r="F2070" s="4">
        <f>IF(E2070="","",IF(E2070&lt;=3,6,IF(E2070&lt;=6,5,IF(E2070&lt;=9,4,IF(E2070&lt;=12,3,IF(E2070&lt;=15,2,0))))))</f>
        <v/>
      </c>
      <c r="G2070" s="5" t="n"/>
      <c r="H2070" s="4">
        <f>IF(OR(F2070="",G2070=""),"",F2070*G2070+IF(J2070="",0,J2070))</f>
        <v/>
      </c>
      <c r="I2070" s="5" t="n"/>
      <c r="J2070" s="5" t="n"/>
    </row>
    <row r="2071">
      <c r="A2071" s="5" t="n"/>
      <c r="B2071" s="5" t="n"/>
      <c r="C2071" s="5" t="n"/>
      <c r="D2071" s="5" t="n"/>
      <c r="E2071" s="4">
        <f>IF(C2071="","",COUNTIF($C$7:C2071,C2071))</f>
        <v/>
      </c>
      <c r="F2071" s="4">
        <f>IF(E2071="","",IF(E2071&lt;=3,6,IF(E2071&lt;=6,5,IF(E2071&lt;=9,4,IF(E2071&lt;=12,3,IF(E2071&lt;=15,2,0))))))</f>
        <v/>
      </c>
      <c r="G2071" s="5" t="n"/>
      <c r="H2071" s="4">
        <f>IF(OR(F2071="",G2071=""),"",F2071*G2071+IF(J2071="",0,J2071))</f>
        <v/>
      </c>
      <c r="I2071" s="5" t="n"/>
      <c r="J2071" s="5" t="n"/>
    </row>
    <row r="2072">
      <c r="A2072" s="5" t="n"/>
      <c r="B2072" s="5" t="n"/>
      <c r="C2072" s="5" t="n"/>
      <c r="D2072" s="5" t="n"/>
      <c r="E2072" s="4">
        <f>IF(C2072="","",COUNTIF($C$7:C2072,C2072))</f>
        <v/>
      </c>
      <c r="F2072" s="4">
        <f>IF(E2072="","",IF(E2072&lt;=3,6,IF(E2072&lt;=6,5,IF(E2072&lt;=9,4,IF(E2072&lt;=12,3,IF(E2072&lt;=15,2,0))))))</f>
        <v/>
      </c>
      <c r="G2072" s="5" t="n"/>
      <c r="H2072" s="4">
        <f>IF(OR(F2072="",G2072=""),"",F2072*G2072+IF(J2072="",0,J2072))</f>
        <v/>
      </c>
      <c r="I2072" s="5" t="n"/>
      <c r="J2072" s="5" t="n"/>
    </row>
    <row r="2073">
      <c r="A2073" s="5" t="n"/>
      <c r="B2073" s="5" t="n"/>
      <c r="C2073" s="5" t="n"/>
      <c r="D2073" s="5" t="n"/>
      <c r="E2073" s="4">
        <f>IF(C2073="","",COUNTIF($C$7:C2073,C2073))</f>
        <v/>
      </c>
      <c r="F2073" s="4">
        <f>IF(E2073="","",IF(E2073&lt;=3,6,IF(E2073&lt;=6,5,IF(E2073&lt;=9,4,IF(E2073&lt;=12,3,IF(E2073&lt;=15,2,0))))))</f>
        <v/>
      </c>
      <c r="G2073" s="5" t="n"/>
      <c r="H2073" s="4">
        <f>IF(OR(F2073="",G2073=""),"",F2073*G2073+IF(J2073="",0,J2073))</f>
        <v/>
      </c>
      <c r="I2073" s="5" t="n"/>
      <c r="J2073" s="5" t="n"/>
    </row>
    <row r="2074">
      <c r="A2074" s="5" t="n"/>
      <c r="B2074" s="5" t="n"/>
      <c r="C2074" s="5" t="n"/>
      <c r="D2074" s="5" t="n"/>
      <c r="E2074" s="4">
        <f>IF(C2074="","",COUNTIF($C$7:C2074,C2074))</f>
        <v/>
      </c>
      <c r="F2074" s="4">
        <f>IF(E2074="","",IF(E2074&lt;=3,6,IF(E2074&lt;=6,5,IF(E2074&lt;=9,4,IF(E2074&lt;=12,3,IF(E2074&lt;=15,2,0))))))</f>
        <v/>
      </c>
      <c r="G2074" s="5" t="n"/>
      <c r="H2074" s="4">
        <f>IF(OR(F2074="",G2074=""),"",F2074*G2074+IF(J2074="",0,J2074))</f>
        <v/>
      </c>
      <c r="I2074" s="5" t="n"/>
      <c r="J2074" s="5" t="n"/>
    </row>
    <row r="2075">
      <c r="A2075" s="5" t="n"/>
      <c r="B2075" s="5" t="n"/>
      <c r="C2075" s="5" t="n"/>
      <c r="D2075" s="5" t="n"/>
      <c r="E2075" s="4">
        <f>IF(C2075="","",COUNTIF($C$7:C2075,C2075))</f>
        <v/>
      </c>
      <c r="F2075" s="4">
        <f>IF(E2075="","",IF(E2075&lt;=3,6,IF(E2075&lt;=6,5,IF(E2075&lt;=9,4,IF(E2075&lt;=12,3,IF(E2075&lt;=15,2,0))))))</f>
        <v/>
      </c>
      <c r="G2075" s="5" t="n"/>
      <c r="H2075" s="4">
        <f>IF(OR(F2075="",G2075=""),"",F2075*G2075+IF(J2075="",0,J2075))</f>
        <v/>
      </c>
      <c r="I2075" s="5" t="n"/>
      <c r="J2075" s="5" t="n"/>
    </row>
    <row r="2076">
      <c r="A2076" s="5" t="n"/>
      <c r="B2076" s="5" t="n"/>
      <c r="C2076" s="5" t="n"/>
      <c r="D2076" s="5" t="n"/>
      <c r="E2076" s="4">
        <f>IF(C2076="","",COUNTIF($C$7:C2076,C2076))</f>
        <v/>
      </c>
      <c r="F2076" s="4">
        <f>IF(E2076="","",IF(E2076&lt;=3,6,IF(E2076&lt;=6,5,IF(E2076&lt;=9,4,IF(E2076&lt;=12,3,IF(E2076&lt;=15,2,0))))))</f>
        <v/>
      </c>
      <c r="G2076" s="5" t="n"/>
      <c r="H2076" s="4">
        <f>IF(OR(F2076="",G2076=""),"",F2076*G2076+IF(J2076="",0,J2076))</f>
        <v/>
      </c>
      <c r="I2076" s="5" t="n"/>
      <c r="J2076" s="5" t="n"/>
    </row>
    <row r="2077">
      <c r="A2077" s="5" t="n"/>
      <c r="B2077" s="5" t="n"/>
      <c r="C2077" s="5" t="n"/>
      <c r="D2077" s="5" t="n"/>
      <c r="E2077" s="4">
        <f>IF(C2077="","",COUNTIF($C$7:C2077,C2077))</f>
        <v/>
      </c>
      <c r="F2077" s="4">
        <f>IF(E2077="","",IF(E2077&lt;=3,6,IF(E2077&lt;=6,5,IF(E2077&lt;=9,4,IF(E2077&lt;=12,3,IF(E2077&lt;=15,2,0))))))</f>
        <v/>
      </c>
      <c r="G2077" s="5" t="n"/>
      <c r="H2077" s="4">
        <f>IF(OR(F2077="",G2077=""),"",F2077*G2077+IF(J2077="",0,J2077))</f>
        <v/>
      </c>
      <c r="I2077" s="5" t="n"/>
      <c r="J2077" s="5" t="n"/>
    </row>
    <row r="2078">
      <c r="A2078" s="5" t="n"/>
      <c r="B2078" s="5" t="n"/>
      <c r="C2078" s="5" t="n"/>
      <c r="D2078" s="5" t="n"/>
      <c r="E2078" s="4">
        <f>IF(C2078="","",COUNTIF($C$7:C2078,C2078))</f>
        <v/>
      </c>
      <c r="F2078" s="4">
        <f>IF(E2078="","",IF(E2078&lt;=3,6,IF(E2078&lt;=6,5,IF(E2078&lt;=9,4,IF(E2078&lt;=12,3,IF(E2078&lt;=15,2,0))))))</f>
        <v/>
      </c>
      <c r="G2078" s="5" t="n"/>
      <c r="H2078" s="4">
        <f>IF(OR(F2078="",G2078=""),"",F2078*G2078+IF(J2078="",0,J2078))</f>
        <v/>
      </c>
      <c r="I2078" s="5" t="n"/>
      <c r="J2078" s="5" t="n"/>
    </row>
    <row r="2079">
      <c r="A2079" s="5" t="n"/>
      <c r="B2079" s="5" t="n"/>
      <c r="C2079" s="5" t="n"/>
      <c r="D2079" s="5" t="n"/>
      <c r="E2079" s="4">
        <f>IF(C2079="","",COUNTIF($C$7:C2079,C2079))</f>
        <v/>
      </c>
      <c r="F2079" s="4">
        <f>IF(E2079="","",IF(E2079&lt;=3,6,IF(E2079&lt;=6,5,IF(E2079&lt;=9,4,IF(E2079&lt;=12,3,IF(E2079&lt;=15,2,0))))))</f>
        <v/>
      </c>
      <c r="G2079" s="5" t="n"/>
      <c r="H2079" s="4">
        <f>IF(OR(F2079="",G2079=""),"",F2079*G2079+IF(J2079="",0,J2079))</f>
        <v/>
      </c>
      <c r="I2079" s="5" t="n"/>
      <c r="J2079" s="5" t="n"/>
    </row>
    <row r="2080">
      <c r="A2080" s="5" t="n"/>
      <c r="B2080" s="5" t="n"/>
      <c r="C2080" s="5" t="n"/>
      <c r="D2080" s="5" t="n"/>
      <c r="E2080" s="4">
        <f>IF(C2080="","",COUNTIF($C$7:C2080,C2080))</f>
        <v/>
      </c>
      <c r="F2080" s="4">
        <f>IF(E2080="","",IF(E2080&lt;=3,6,IF(E2080&lt;=6,5,IF(E2080&lt;=9,4,IF(E2080&lt;=12,3,IF(E2080&lt;=15,2,0))))))</f>
        <v/>
      </c>
      <c r="G2080" s="5" t="n"/>
      <c r="H2080" s="4">
        <f>IF(OR(F2080="",G2080=""),"",F2080*G2080+IF(J2080="",0,J2080))</f>
        <v/>
      </c>
      <c r="I2080" s="5" t="n"/>
      <c r="J2080" s="5" t="n"/>
    </row>
    <row r="2081">
      <c r="A2081" s="5" t="n"/>
      <c r="B2081" s="5" t="n"/>
      <c r="C2081" s="5" t="n"/>
      <c r="D2081" s="5" t="n"/>
      <c r="E2081" s="4">
        <f>IF(C2081="","",COUNTIF($C$7:C2081,C2081))</f>
        <v/>
      </c>
      <c r="F2081" s="4">
        <f>IF(E2081="","",IF(E2081&lt;=3,6,IF(E2081&lt;=6,5,IF(E2081&lt;=9,4,IF(E2081&lt;=12,3,IF(E2081&lt;=15,2,0))))))</f>
        <v/>
      </c>
      <c r="G2081" s="5" t="n"/>
      <c r="H2081" s="4">
        <f>IF(OR(F2081="",G2081=""),"",F2081*G2081+IF(J2081="",0,J2081))</f>
        <v/>
      </c>
      <c r="I2081" s="5" t="n"/>
      <c r="J2081" s="5" t="n"/>
    </row>
    <row r="2082">
      <c r="A2082" s="5" t="n"/>
      <c r="B2082" s="5" t="n"/>
      <c r="C2082" s="5" t="n"/>
      <c r="D2082" s="5" t="n"/>
      <c r="E2082" s="4">
        <f>IF(C2082="","",COUNTIF($C$7:C2082,C2082))</f>
        <v/>
      </c>
      <c r="F2082" s="4">
        <f>IF(E2082="","",IF(E2082&lt;=3,6,IF(E2082&lt;=6,5,IF(E2082&lt;=9,4,IF(E2082&lt;=12,3,IF(E2082&lt;=15,2,0))))))</f>
        <v/>
      </c>
      <c r="G2082" s="5" t="n"/>
      <c r="H2082" s="4">
        <f>IF(OR(F2082="",G2082=""),"",F2082*G2082+IF(J2082="",0,J2082))</f>
        <v/>
      </c>
      <c r="I2082" s="5" t="n"/>
      <c r="J2082" s="5" t="n"/>
    </row>
    <row r="2083">
      <c r="A2083" s="5" t="n"/>
      <c r="B2083" s="5" t="n"/>
      <c r="C2083" s="5" t="n"/>
      <c r="D2083" s="5" t="n"/>
      <c r="E2083" s="4">
        <f>IF(C2083="","",COUNTIF($C$7:C2083,C2083))</f>
        <v/>
      </c>
      <c r="F2083" s="4">
        <f>IF(E2083="","",IF(E2083&lt;=3,6,IF(E2083&lt;=6,5,IF(E2083&lt;=9,4,IF(E2083&lt;=12,3,IF(E2083&lt;=15,2,0))))))</f>
        <v/>
      </c>
      <c r="G2083" s="5" t="n"/>
      <c r="H2083" s="4">
        <f>IF(OR(F2083="",G2083=""),"",F2083*G2083+IF(J2083="",0,J2083))</f>
        <v/>
      </c>
      <c r="I2083" s="5" t="n"/>
      <c r="J2083" s="5" t="n"/>
    </row>
    <row r="2084">
      <c r="A2084" s="5" t="n"/>
      <c r="B2084" s="5" t="n"/>
      <c r="C2084" s="5" t="n"/>
      <c r="D2084" s="5" t="n"/>
      <c r="E2084" s="4">
        <f>IF(C2084="","",COUNTIF($C$7:C2084,C2084))</f>
        <v/>
      </c>
      <c r="F2084" s="4">
        <f>IF(E2084="","",IF(E2084&lt;=3,6,IF(E2084&lt;=6,5,IF(E2084&lt;=9,4,IF(E2084&lt;=12,3,IF(E2084&lt;=15,2,0))))))</f>
        <v/>
      </c>
      <c r="G2084" s="5" t="n"/>
      <c r="H2084" s="4">
        <f>IF(OR(F2084="",G2084=""),"",F2084*G2084+IF(J2084="",0,J2084))</f>
        <v/>
      </c>
      <c r="I2084" s="5" t="n"/>
      <c r="J2084" s="5" t="n"/>
    </row>
    <row r="2085">
      <c r="A2085" s="5" t="n"/>
      <c r="B2085" s="5" t="n"/>
      <c r="C2085" s="5" t="n"/>
      <c r="D2085" s="5" t="n"/>
      <c r="E2085" s="4">
        <f>IF(C2085="","",COUNTIF($C$7:C2085,C2085))</f>
        <v/>
      </c>
      <c r="F2085" s="4">
        <f>IF(E2085="","",IF(E2085&lt;=3,6,IF(E2085&lt;=6,5,IF(E2085&lt;=9,4,IF(E2085&lt;=12,3,IF(E2085&lt;=15,2,0))))))</f>
        <v/>
      </c>
      <c r="G2085" s="5" t="n"/>
      <c r="H2085" s="4">
        <f>IF(OR(F2085="",G2085=""),"",F2085*G2085+IF(J2085="",0,J2085))</f>
        <v/>
      </c>
      <c r="I2085" s="5" t="n"/>
      <c r="J2085" s="5" t="n"/>
    </row>
    <row r="2086">
      <c r="A2086" s="5" t="n"/>
      <c r="B2086" s="5" t="n"/>
      <c r="C2086" s="5" t="n"/>
      <c r="D2086" s="5" t="n"/>
      <c r="E2086" s="4">
        <f>IF(C2086="","",COUNTIF($C$7:C2086,C2086))</f>
        <v/>
      </c>
      <c r="F2086" s="4">
        <f>IF(E2086="","",IF(E2086&lt;=3,6,IF(E2086&lt;=6,5,IF(E2086&lt;=9,4,IF(E2086&lt;=12,3,IF(E2086&lt;=15,2,0))))))</f>
        <v/>
      </c>
      <c r="G2086" s="5" t="n"/>
      <c r="H2086" s="4">
        <f>IF(OR(F2086="",G2086=""),"",F2086*G2086+IF(J2086="",0,J2086))</f>
        <v/>
      </c>
      <c r="I2086" s="5" t="n"/>
      <c r="J2086" s="5" t="n"/>
    </row>
    <row r="2087">
      <c r="A2087" s="5" t="n"/>
      <c r="B2087" s="5" t="n"/>
      <c r="C2087" s="5" t="n"/>
      <c r="D2087" s="5" t="n"/>
      <c r="E2087" s="4">
        <f>IF(C2087="","",COUNTIF($C$7:C2087,C2087))</f>
        <v/>
      </c>
      <c r="F2087" s="4">
        <f>IF(E2087="","",IF(E2087&lt;=3,6,IF(E2087&lt;=6,5,IF(E2087&lt;=9,4,IF(E2087&lt;=12,3,IF(E2087&lt;=15,2,0))))))</f>
        <v/>
      </c>
      <c r="G2087" s="5" t="n"/>
      <c r="H2087" s="4">
        <f>IF(OR(F2087="",G2087=""),"",F2087*G2087+IF(J2087="",0,J2087))</f>
        <v/>
      </c>
      <c r="I2087" s="5" t="n"/>
      <c r="J2087" s="5" t="n"/>
    </row>
    <row r="2088">
      <c r="A2088" s="5" t="n"/>
      <c r="B2088" s="5" t="n"/>
      <c r="C2088" s="5" t="n"/>
      <c r="D2088" s="5" t="n"/>
      <c r="E2088" s="4">
        <f>IF(C2088="","",COUNTIF($C$7:C2088,C2088))</f>
        <v/>
      </c>
      <c r="F2088" s="4">
        <f>IF(E2088="","",IF(E2088&lt;=3,6,IF(E2088&lt;=6,5,IF(E2088&lt;=9,4,IF(E2088&lt;=12,3,IF(E2088&lt;=15,2,0))))))</f>
        <v/>
      </c>
      <c r="G2088" s="5" t="n"/>
      <c r="H2088" s="4">
        <f>IF(OR(F2088="",G2088=""),"",F2088*G2088+IF(J2088="",0,J2088))</f>
        <v/>
      </c>
      <c r="I2088" s="5" t="n"/>
      <c r="J2088" s="5" t="n"/>
    </row>
    <row r="2089">
      <c r="A2089" s="5" t="n"/>
      <c r="B2089" s="5" t="n"/>
      <c r="C2089" s="5" t="n"/>
      <c r="D2089" s="5" t="n"/>
      <c r="E2089" s="4">
        <f>IF(C2089="","",COUNTIF($C$7:C2089,C2089))</f>
        <v/>
      </c>
      <c r="F2089" s="4">
        <f>IF(E2089="","",IF(E2089&lt;=3,6,IF(E2089&lt;=6,5,IF(E2089&lt;=9,4,IF(E2089&lt;=12,3,IF(E2089&lt;=15,2,0))))))</f>
        <v/>
      </c>
      <c r="G2089" s="5" t="n"/>
      <c r="H2089" s="4">
        <f>IF(OR(F2089="",G2089=""),"",F2089*G2089+IF(J2089="",0,J2089))</f>
        <v/>
      </c>
      <c r="I2089" s="5" t="n"/>
      <c r="J2089" s="5" t="n"/>
    </row>
    <row r="2090">
      <c r="A2090" s="5" t="n"/>
      <c r="B2090" s="5" t="n"/>
      <c r="C2090" s="5" t="n"/>
      <c r="D2090" s="5" t="n"/>
      <c r="E2090" s="4">
        <f>IF(C2090="","",COUNTIF($C$7:C2090,C2090))</f>
        <v/>
      </c>
      <c r="F2090" s="4">
        <f>IF(E2090="","",IF(E2090&lt;=3,6,IF(E2090&lt;=6,5,IF(E2090&lt;=9,4,IF(E2090&lt;=12,3,IF(E2090&lt;=15,2,0))))))</f>
        <v/>
      </c>
      <c r="G2090" s="5" t="n"/>
      <c r="H2090" s="4">
        <f>IF(OR(F2090="",G2090=""),"",F2090*G2090+IF(J2090="",0,J2090))</f>
        <v/>
      </c>
      <c r="I2090" s="5" t="n"/>
      <c r="J2090" s="5" t="n"/>
    </row>
    <row r="2091">
      <c r="A2091" s="5" t="n"/>
      <c r="B2091" s="5" t="n"/>
      <c r="C2091" s="5" t="n"/>
      <c r="D2091" s="5" t="n"/>
      <c r="E2091" s="4">
        <f>IF(C2091="","",COUNTIF($C$7:C2091,C2091))</f>
        <v/>
      </c>
      <c r="F2091" s="4">
        <f>IF(E2091="","",IF(E2091&lt;=3,6,IF(E2091&lt;=6,5,IF(E2091&lt;=9,4,IF(E2091&lt;=12,3,IF(E2091&lt;=15,2,0))))))</f>
        <v/>
      </c>
      <c r="G2091" s="5" t="n"/>
      <c r="H2091" s="4">
        <f>IF(OR(F2091="",G2091=""),"",F2091*G2091+IF(J2091="",0,J2091))</f>
        <v/>
      </c>
      <c r="I2091" s="5" t="n"/>
      <c r="J2091" s="5" t="n"/>
    </row>
    <row r="2092">
      <c r="A2092" s="5" t="n"/>
      <c r="B2092" s="5" t="n"/>
      <c r="C2092" s="5" t="n"/>
      <c r="D2092" s="5" t="n"/>
      <c r="E2092" s="4">
        <f>IF(C2092="","",COUNTIF($C$7:C2092,C2092))</f>
        <v/>
      </c>
      <c r="F2092" s="4">
        <f>IF(E2092="","",IF(E2092&lt;=3,6,IF(E2092&lt;=6,5,IF(E2092&lt;=9,4,IF(E2092&lt;=12,3,IF(E2092&lt;=15,2,0))))))</f>
        <v/>
      </c>
      <c r="G2092" s="5" t="n"/>
      <c r="H2092" s="4">
        <f>IF(OR(F2092="",G2092=""),"",F2092*G2092+IF(J2092="",0,J2092))</f>
        <v/>
      </c>
      <c r="I2092" s="5" t="n"/>
      <c r="J2092" s="5" t="n"/>
    </row>
    <row r="2093">
      <c r="A2093" s="5" t="n"/>
      <c r="B2093" s="5" t="n"/>
      <c r="C2093" s="5" t="n"/>
      <c r="D2093" s="5" t="n"/>
      <c r="E2093" s="4">
        <f>IF(C2093="","",COUNTIF($C$7:C2093,C2093))</f>
        <v/>
      </c>
      <c r="F2093" s="4">
        <f>IF(E2093="","",IF(E2093&lt;=3,6,IF(E2093&lt;=6,5,IF(E2093&lt;=9,4,IF(E2093&lt;=12,3,IF(E2093&lt;=15,2,0))))))</f>
        <v/>
      </c>
      <c r="G2093" s="5" t="n"/>
      <c r="H2093" s="4">
        <f>IF(OR(F2093="",G2093=""),"",F2093*G2093+IF(J2093="",0,J2093))</f>
        <v/>
      </c>
      <c r="I2093" s="5" t="n"/>
      <c r="J2093" s="5" t="n"/>
    </row>
    <row r="2094">
      <c r="A2094" s="5" t="n"/>
      <c r="B2094" s="5" t="n"/>
      <c r="C2094" s="5" t="n"/>
      <c r="D2094" s="5" t="n"/>
      <c r="E2094" s="4">
        <f>IF(C2094="","",COUNTIF($C$7:C2094,C2094))</f>
        <v/>
      </c>
      <c r="F2094" s="4">
        <f>IF(E2094="","",IF(E2094&lt;=3,6,IF(E2094&lt;=6,5,IF(E2094&lt;=9,4,IF(E2094&lt;=12,3,IF(E2094&lt;=15,2,0))))))</f>
        <v/>
      </c>
      <c r="G2094" s="5" t="n"/>
      <c r="H2094" s="4">
        <f>IF(OR(F2094="",G2094=""),"",F2094*G2094+IF(J2094="",0,J2094))</f>
        <v/>
      </c>
      <c r="I2094" s="5" t="n"/>
      <c r="J2094" s="5" t="n"/>
    </row>
    <row r="2095">
      <c r="A2095" s="5" t="n"/>
      <c r="B2095" s="5" t="n"/>
      <c r="C2095" s="5" t="n"/>
      <c r="D2095" s="5" t="n"/>
      <c r="E2095" s="4">
        <f>IF(C2095="","",COUNTIF($C$7:C2095,C2095))</f>
        <v/>
      </c>
      <c r="F2095" s="4">
        <f>IF(E2095="","",IF(E2095&lt;=3,6,IF(E2095&lt;=6,5,IF(E2095&lt;=9,4,IF(E2095&lt;=12,3,IF(E2095&lt;=15,2,0))))))</f>
        <v/>
      </c>
      <c r="G2095" s="5" t="n"/>
      <c r="H2095" s="4">
        <f>IF(OR(F2095="",G2095=""),"",F2095*G2095+IF(J2095="",0,J2095))</f>
        <v/>
      </c>
      <c r="I2095" s="5" t="n"/>
      <c r="J2095" s="5" t="n"/>
    </row>
    <row r="2096">
      <c r="A2096" s="5" t="n"/>
      <c r="B2096" s="5" t="n"/>
      <c r="C2096" s="5" t="n"/>
      <c r="D2096" s="5" t="n"/>
      <c r="E2096" s="4">
        <f>IF(C2096="","",COUNTIF($C$7:C2096,C2096))</f>
        <v/>
      </c>
      <c r="F2096" s="4">
        <f>IF(E2096="","",IF(E2096&lt;=3,6,IF(E2096&lt;=6,5,IF(E2096&lt;=9,4,IF(E2096&lt;=12,3,IF(E2096&lt;=15,2,0))))))</f>
        <v/>
      </c>
      <c r="G2096" s="5" t="n"/>
      <c r="H2096" s="4">
        <f>IF(OR(F2096="",G2096=""),"",F2096*G2096+IF(J2096="",0,J2096))</f>
        <v/>
      </c>
      <c r="I2096" s="5" t="n"/>
      <c r="J2096" s="5" t="n"/>
    </row>
    <row r="2097">
      <c r="A2097" s="5" t="n"/>
      <c r="B2097" s="5" t="n"/>
      <c r="C2097" s="5" t="n"/>
      <c r="D2097" s="5" t="n"/>
      <c r="E2097" s="4">
        <f>IF(C2097="","",COUNTIF($C$7:C2097,C2097))</f>
        <v/>
      </c>
      <c r="F2097" s="4">
        <f>IF(E2097="","",IF(E2097&lt;=3,6,IF(E2097&lt;=6,5,IF(E2097&lt;=9,4,IF(E2097&lt;=12,3,IF(E2097&lt;=15,2,0))))))</f>
        <v/>
      </c>
      <c r="G2097" s="5" t="n"/>
      <c r="H2097" s="4">
        <f>IF(OR(F2097="",G2097=""),"",F2097*G2097+IF(J2097="",0,J2097))</f>
        <v/>
      </c>
      <c r="I2097" s="5" t="n"/>
      <c r="J2097" s="5" t="n"/>
    </row>
    <row r="2098">
      <c r="A2098" s="5" t="n"/>
      <c r="B2098" s="5" t="n"/>
      <c r="C2098" s="5" t="n"/>
      <c r="D2098" s="5" t="n"/>
      <c r="E2098" s="4">
        <f>IF(C2098="","",COUNTIF($C$7:C2098,C2098))</f>
        <v/>
      </c>
      <c r="F2098" s="4">
        <f>IF(E2098="","",IF(E2098&lt;=3,6,IF(E2098&lt;=6,5,IF(E2098&lt;=9,4,IF(E2098&lt;=12,3,IF(E2098&lt;=15,2,0))))))</f>
        <v/>
      </c>
      <c r="G2098" s="5" t="n"/>
      <c r="H2098" s="4">
        <f>IF(OR(F2098="",G2098=""),"",F2098*G2098+IF(J2098="",0,J2098))</f>
        <v/>
      </c>
      <c r="I2098" s="5" t="n"/>
      <c r="J2098" s="5" t="n"/>
    </row>
    <row r="2099">
      <c r="A2099" s="5" t="n"/>
      <c r="B2099" s="5" t="n"/>
      <c r="C2099" s="5" t="n"/>
      <c r="D2099" s="5" t="n"/>
      <c r="E2099" s="4">
        <f>IF(C2099="","",COUNTIF($C$7:C2099,C2099))</f>
        <v/>
      </c>
      <c r="F2099" s="4">
        <f>IF(E2099="","",IF(E2099&lt;=3,6,IF(E2099&lt;=6,5,IF(E2099&lt;=9,4,IF(E2099&lt;=12,3,IF(E2099&lt;=15,2,0))))))</f>
        <v/>
      </c>
      <c r="G2099" s="5" t="n"/>
      <c r="H2099" s="4">
        <f>IF(OR(F2099="",G2099=""),"",F2099*G2099+IF(J2099="",0,J2099))</f>
        <v/>
      </c>
      <c r="I2099" s="5" t="n"/>
      <c r="J2099" s="5" t="n"/>
    </row>
    <row r="2100">
      <c r="A2100" s="5" t="n"/>
      <c r="B2100" s="5" t="n"/>
      <c r="C2100" s="5" t="n"/>
      <c r="D2100" s="5" t="n"/>
      <c r="E2100" s="4">
        <f>IF(C2100="","",COUNTIF($C$7:C2100,C2100))</f>
        <v/>
      </c>
      <c r="F2100" s="4">
        <f>IF(E2100="","",IF(E2100&lt;=3,6,IF(E2100&lt;=6,5,IF(E2100&lt;=9,4,IF(E2100&lt;=12,3,IF(E2100&lt;=15,2,0))))))</f>
        <v/>
      </c>
      <c r="G2100" s="5" t="n"/>
      <c r="H2100" s="4">
        <f>IF(OR(F2100="",G2100=""),"",F2100*G2100+IF(J2100="",0,J2100))</f>
        <v/>
      </c>
      <c r="I2100" s="5" t="n"/>
      <c r="J2100" s="5" t="n"/>
    </row>
    <row r="2101">
      <c r="A2101" s="5" t="n"/>
      <c r="B2101" s="5" t="n"/>
      <c r="C2101" s="5" t="n"/>
      <c r="D2101" s="5" t="n"/>
      <c r="E2101" s="4">
        <f>IF(C2101="","",COUNTIF($C$7:C2101,C2101))</f>
        <v/>
      </c>
      <c r="F2101" s="4">
        <f>IF(E2101="","",IF(E2101&lt;=3,6,IF(E2101&lt;=6,5,IF(E2101&lt;=9,4,IF(E2101&lt;=12,3,IF(E2101&lt;=15,2,0))))))</f>
        <v/>
      </c>
      <c r="G2101" s="5" t="n"/>
      <c r="H2101" s="4">
        <f>IF(OR(F2101="",G2101=""),"",F2101*G2101+IF(J2101="",0,J2101))</f>
        <v/>
      </c>
      <c r="I2101" s="5" t="n"/>
      <c r="J2101" s="5" t="n"/>
    </row>
    <row r="2102">
      <c r="A2102" s="5" t="n"/>
      <c r="B2102" s="5" t="n"/>
      <c r="C2102" s="5" t="n"/>
      <c r="D2102" s="5" t="n"/>
      <c r="E2102" s="4">
        <f>IF(C2102="","",COUNTIF($C$7:C2102,C2102))</f>
        <v/>
      </c>
      <c r="F2102" s="4">
        <f>IF(E2102="","",IF(E2102&lt;=3,6,IF(E2102&lt;=6,5,IF(E2102&lt;=9,4,IF(E2102&lt;=12,3,IF(E2102&lt;=15,2,0))))))</f>
        <v/>
      </c>
      <c r="G2102" s="5" t="n"/>
      <c r="H2102" s="4">
        <f>IF(OR(F2102="",G2102=""),"",F2102*G2102+IF(J2102="",0,J2102))</f>
        <v/>
      </c>
      <c r="I2102" s="5" t="n"/>
      <c r="J2102" s="5" t="n"/>
    </row>
    <row r="2103">
      <c r="A2103" s="5" t="n"/>
      <c r="B2103" s="5" t="n"/>
      <c r="C2103" s="5" t="n"/>
      <c r="D2103" s="5" t="n"/>
      <c r="E2103" s="4">
        <f>IF(C2103="","",COUNTIF($C$7:C2103,C2103))</f>
        <v/>
      </c>
      <c r="F2103" s="4">
        <f>IF(E2103="","",IF(E2103&lt;=3,6,IF(E2103&lt;=6,5,IF(E2103&lt;=9,4,IF(E2103&lt;=12,3,IF(E2103&lt;=15,2,0))))))</f>
        <v/>
      </c>
      <c r="G2103" s="5" t="n"/>
      <c r="H2103" s="4">
        <f>IF(OR(F2103="",G2103=""),"",F2103*G2103+IF(J2103="",0,J2103))</f>
        <v/>
      </c>
      <c r="I2103" s="5" t="n"/>
      <c r="J2103" s="5" t="n"/>
    </row>
    <row r="2104">
      <c r="A2104" s="5" t="n"/>
      <c r="B2104" s="5" t="n"/>
      <c r="C2104" s="5" t="n"/>
      <c r="D2104" s="5" t="n"/>
      <c r="E2104" s="4">
        <f>IF(C2104="","",COUNTIF($C$7:C2104,C2104))</f>
        <v/>
      </c>
      <c r="F2104" s="4">
        <f>IF(E2104="","",IF(E2104&lt;=3,6,IF(E2104&lt;=6,5,IF(E2104&lt;=9,4,IF(E2104&lt;=12,3,IF(E2104&lt;=15,2,0))))))</f>
        <v/>
      </c>
      <c r="G2104" s="5" t="n"/>
      <c r="H2104" s="4">
        <f>IF(OR(F2104="",G2104=""),"",F2104*G2104+IF(J2104="",0,J2104))</f>
        <v/>
      </c>
      <c r="I2104" s="5" t="n"/>
      <c r="J2104" s="5" t="n"/>
    </row>
    <row r="2105">
      <c r="A2105" s="5" t="n"/>
      <c r="B2105" s="5" t="n"/>
      <c r="C2105" s="5" t="n"/>
      <c r="D2105" s="5" t="n"/>
      <c r="E2105" s="4">
        <f>IF(C2105="","",COUNTIF($C$7:C2105,C2105))</f>
        <v/>
      </c>
      <c r="F2105" s="4">
        <f>IF(E2105="","",IF(E2105&lt;=3,6,IF(E2105&lt;=6,5,IF(E2105&lt;=9,4,IF(E2105&lt;=12,3,IF(E2105&lt;=15,2,0))))))</f>
        <v/>
      </c>
      <c r="G2105" s="5" t="n"/>
      <c r="H2105" s="4">
        <f>IF(OR(F2105="",G2105=""),"",F2105*G2105+IF(J2105="",0,J2105))</f>
        <v/>
      </c>
      <c r="I2105" s="5" t="n"/>
      <c r="J2105" s="5" t="n"/>
    </row>
    <row r="2106">
      <c r="A2106" s="5" t="n"/>
      <c r="B2106" s="5" t="n"/>
      <c r="C2106" s="5" t="n"/>
      <c r="D2106" s="5" t="n"/>
      <c r="E2106" s="4">
        <f>IF(C2106="","",COUNTIF($C$7:C2106,C2106))</f>
        <v/>
      </c>
      <c r="F2106" s="4">
        <f>IF(E2106="","",IF(E2106&lt;=3,6,IF(E2106&lt;=6,5,IF(E2106&lt;=9,4,IF(E2106&lt;=12,3,IF(E2106&lt;=15,2,0))))))</f>
        <v/>
      </c>
      <c r="G2106" s="5" t="n"/>
      <c r="H2106" s="4">
        <f>IF(OR(F2106="",G2106=""),"",F2106*G2106+IF(J2106="",0,J2106))</f>
        <v/>
      </c>
      <c r="I2106" s="5" t="n"/>
      <c r="J2106" s="5" t="n"/>
    </row>
    <row r="2107">
      <c r="A2107" s="5" t="n"/>
      <c r="B2107" s="5" t="n"/>
      <c r="C2107" s="5" t="n"/>
      <c r="D2107" s="5" t="n"/>
      <c r="E2107" s="4">
        <f>IF(C2107="","",COUNTIF($C$7:C2107,C2107))</f>
        <v/>
      </c>
      <c r="F2107" s="4">
        <f>IF(E2107="","",IF(E2107&lt;=3,6,IF(E2107&lt;=6,5,IF(E2107&lt;=9,4,IF(E2107&lt;=12,3,IF(E2107&lt;=15,2,0))))))</f>
        <v/>
      </c>
      <c r="G2107" s="5" t="n"/>
      <c r="H2107" s="4">
        <f>IF(OR(F2107="",G2107=""),"",F2107*G2107+IF(J2107="",0,J2107))</f>
        <v/>
      </c>
      <c r="I2107" s="5" t="n"/>
      <c r="J2107" s="5" t="n"/>
    </row>
    <row r="2108">
      <c r="A2108" s="5" t="n"/>
      <c r="B2108" s="5" t="n"/>
      <c r="C2108" s="5" t="n"/>
      <c r="D2108" s="5" t="n"/>
      <c r="E2108" s="4">
        <f>IF(C2108="","",COUNTIF($C$7:C2108,C2108))</f>
        <v/>
      </c>
      <c r="F2108" s="4">
        <f>IF(E2108="","",IF(E2108&lt;=3,6,IF(E2108&lt;=6,5,IF(E2108&lt;=9,4,IF(E2108&lt;=12,3,IF(E2108&lt;=15,2,0))))))</f>
        <v/>
      </c>
      <c r="G2108" s="5" t="n"/>
      <c r="H2108" s="4">
        <f>IF(OR(F2108="",G2108=""),"",F2108*G2108+IF(J2108="",0,J2108))</f>
        <v/>
      </c>
      <c r="I2108" s="5" t="n"/>
      <c r="J2108" s="5" t="n"/>
    </row>
    <row r="2109">
      <c r="A2109" s="5" t="n"/>
      <c r="B2109" s="5" t="n"/>
      <c r="C2109" s="5" t="n"/>
      <c r="D2109" s="5" t="n"/>
      <c r="E2109" s="4">
        <f>IF(C2109="","",COUNTIF($C$7:C2109,C2109))</f>
        <v/>
      </c>
      <c r="F2109" s="4">
        <f>IF(E2109="","",IF(E2109&lt;=3,6,IF(E2109&lt;=6,5,IF(E2109&lt;=9,4,IF(E2109&lt;=12,3,IF(E2109&lt;=15,2,0))))))</f>
        <v/>
      </c>
      <c r="G2109" s="5" t="n"/>
      <c r="H2109" s="4">
        <f>IF(OR(F2109="",G2109=""),"",F2109*G2109+IF(J2109="",0,J2109))</f>
        <v/>
      </c>
      <c r="I2109" s="5" t="n"/>
      <c r="J2109" s="5" t="n"/>
    </row>
    <row r="2110">
      <c r="A2110" s="5" t="n"/>
      <c r="B2110" s="5" t="n"/>
      <c r="C2110" s="5" t="n"/>
      <c r="D2110" s="5" t="n"/>
      <c r="E2110" s="4">
        <f>IF(C2110="","",COUNTIF($C$7:C2110,C2110))</f>
        <v/>
      </c>
      <c r="F2110" s="4">
        <f>IF(E2110="","",IF(E2110&lt;=3,6,IF(E2110&lt;=6,5,IF(E2110&lt;=9,4,IF(E2110&lt;=12,3,IF(E2110&lt;=15,2,0))))))</f>
        <v/>
      </c>
      <c r="G2110" s="5" t="n"/>
      <c r="H2110" s="4">
        <f>IF(OR(F2110="",G2110=""),"",F2110*G2110+IF(J2110="",0,J2110))</f>
        <v/>
      </c>
      <c r="I2110" s="5" t="n"/>
      <c r="J2110" s="5" t="n"/>
    </row>
    <row r="2111">
      <c r="A2111" s="5" t="n"/>
      <c r="B2111" s="5" t="n"/>
      <c r="C2111" s="5" t="n"/>
      <c r="D2111" s="5" t="n"/>
      <c r="E2111" s="4">
        <f>IF(C2111="","",COUNTIF($C$7:C2111,C2111))</f>
        <v/>
      </c>
      <c r="F2111" s="4">
        <f>IF(E2111="","",IF(E2111&lt;=3,6,IF(E2111&lt;=6,5,IF(E2111&lt;=9,4,IF(E2111&lt;=12,3,IF(E2111&lt;=15,2,0))))))</f>
        <v/>
      </c>
      <c r="G2111" s="5" t="n"/>
      <c r="H2111" s="4">
        <f>IF(OR(F2111="",G2111=""),"",F2111*G2111+IF(J2111="",0,J2111))</f>
        <v/>
      </c>
      <c r="I2111" s="5" t="n"/>
      <c r="J2111" s="5" t="n"/>
    </row>
    <row r="2112">
      <c r="A2112" s="5" t="n"/>
      <c r="B2112" s="5" t="n"/>
      <c r="C2112" s="5" t="n"/>
      <c r="D2112" s="5" t="n"/>
      <c r="E2112" s="4">
        <f>IF(C2112="","",COUNTIF($C$7:C2112,C2112))</f>
        <v/>
      </c>
      <c r="F2112" s="4">
        <f>IF(E2112="","",IF(E2112&lt;=3,6,IF(E2112&lt;=6,5,IF(E2112&lt;=9,4,IF(E2112&lt;=12,3,IF(E2112&lt;=15,2,0))))))</f>
        <v/>
      </c>
      <c r="G2112" s="5" t="n"/>
      <c r="H2112" s="4">
        <f>IF(OR(F2112="",G2112=""),"",F2112*G2112+IF(J2112="",0,J2112))</f>
        <v/>
      </c>
      <c r="I2112" s="5" t="n"/>
      <c r="J2112" s="5" t="n"/>
    </row>
    <row r="2113">
      <c r="A2113" s="5" t="n"/>
      <c r="B2113" s="5" t="n"/>
      <c r="C2113" s="5" t="n"/>
      <c r="D2113" s="5" t="n"/>
      <c r="E2113" s="4">
        <f>IF(C2113="","",COUNTIF($C$7:C2113,C2113))</f>
        <v/>
      </c>
      <c r="F2113" s="4">
        <f>IF(E2113="","",IF(E2113&lt;=3,6,IF(E2113&lt;=6,5,IF(E2113&lt;=9,4,IF(E2113&lt;=12,3,IF(E2113&lt;=15,2,0))))))</f>
        <v/>
      </c>
      <c r="G2113" s="5" t="n"/>
      <c r="H2113" s="4">
        <f>IF(OR(F2113="",G2113=""),"",F2113*G2113+IF(J2113="",0,J2113))</f>
        <v/>
      </c>
      <c r="I2113" s="5" t="n"/>
      <c r="J2113" s="5" t="n"/>
    </row>
    <row r="2114">
      <c r="A2114" s="5" t="n"/>
      <c r="B2114" s="5" t="n"/>
      <c r="C2114" s="5" t="n"/>
      <c r="D2114" s="5" t="n"/>
      <c r="E2114" s="4">
        <f>IF(C2114="","",COUNTIF($C$7:C2114,C2114))</f>
        <v/>
      </c>
      <c r="F2114" s="4">
        <f>IF(E2114="","",IF(E2114&lt;=3,6,IF(E2114&lt;=6,5,IF(E2114&lt;=9,4,IF(E2114&lt;=12,3,IF(E2114&lt;=15,2,0))))))</f>
        <v/>
      </c>
      <c r="G2114" s="5" t="n"/>
      <c r="H2114" s="4">
        <f>IF(OR(F2114="",G2114=""),"",F2114*G2114+IF(J2114="",0,J2114))</f>
        <v/>
      </c>
      <c r="I2114" s="5" t="n"/>
      <c r="J2114" s="5" t="n"/>
    </row>
    <row r="2115">
      <c r="A2115" s="5" t="n"/>
      <c r="B2115" s="5" t="n"/>
      <c r="C2115" s="5" t="n"/>
      <c r="D2115" s="5" t="n"/>
      <c r="E2115" s="4">
        <f>IF(C2115="","",COUNTIF($C$7:C2115,C2115))</f>
        <v/>
      </c>
      <c r="F2115" s="4">
        <f>IF(E2115="","",IF(E2115&lt;=3,6,IF(E2115&lt;=6,5,IF(E2115&lt;=9,4,IF(E2115&lt;=12,3,IF(E2115&lt;=15,2,0))))))</f>
        <v/>
      </c>
      <c r="G2115" s="5" t="n"/>
      <c r="H2115" s="4">
        <f>IF(OR(F2115="",G2115=""),"",F2115*G2115+IF(J2115="",0,J2115))</f>
        <v/>
      </c>
      <c r="I2115" s="5" t="n"/>
      <c r="J2115" s="5" t="n"/>
    </row>
    <row r="2116">
      <c r="A2116" s="5" t="n"/>
      <c r="B2116" s="5" t="n"/>
      <c r="C2116" s="5" t="n"/>
      <c r="D2116" s="5" t="n"/>
      <c r="E2116" s="4">
        <f>IF(C2116="","",COUNTIF($C$7:C2116,C2116))</f>
        <v/>
      </c>
      <c r="F2116" s="4">
        <f>IF(E2116="","",IF(E2116&lt;=3,6,IF(E2116&lt;=6,5,IF(E2116&lt;=9,4,IF(E2116&lt;=12,3,IF(E2116&lt;=15,2,0))))))</f>
        <v/>
      </c>
      <c r="G2116" s="5" t="n"/>
      <c r="H2116" s="4">
        <f>IF(OR(F2116="",G2116=""),"",F2116*G2116+IF(J2116="",0,J2116))</f>
        <v/>
      </c>
      <c r="I2116" s="5" t="n"/>
      <c r="J2116" s="5" t="n"/>
    </row>
    <row r="2117">
      <c r="A2117" s="5" t="n"/>
      <c r="B2117" s="5" t="n"/>
      <c r="C2117" s="5" t="n"/>
      <c r="D2117" s="5" t="n"/>
      <c r="E2117" s="4">
        <f>IF(C2117="","",COUNTIF($C$7:C2117,C2117))</f>
        <v/>
      </c>
      <c r="F2117" s="4">
        <f>IF(E2117="","",IF(E2117&lt;=3,6,IF(E2117&lt;=6,5,IF(E2117&lt;=9,4,IF(E2117&lt;=12,3,IF(E2117&lt;=15,2,0))))))</f>
        <v/>
      </c>
      <c r="G2117" s="5" t="n"/>
      <c r="H2117" s="4">
        <f>IF(OR(F2117="",G2117=""),"",F2117*G2117+IF(J2117="",0,J2117))</f>
        <v/>
      </c>
      <c r="I2117" s="5" t="n"/>
      <c r="J2117" s="5" t="n"/>
    </row>
    <row r="2118">
      <c r="A2118" s="5" t="n"/>
      <c r="B2118" s="5" t="n"/>
      <c r="C2118" s="5" t="n"/>
      <c r="D2118" s="5" t="n"/>
      <c r="E2118" s="4">
        <f>IF(C2118="","",COUNTIF($C$7:C2118,C2118))</f>
        <v/>
      </c>
      <c r="F2118" s="4">
        <f>IF(E2118="","",IF(E2118&lt;=3,6,IF(E2118&lt;=6,5,IF(E2118&lt;=9,4,IF(E2118&lt;=12,3,IF(E2118&lt;=15,2,0))))))</f>
        <v/>
      </c>
      <c r="G2118" s="5" t="n"/>
      <c r="H2118" s="4">
        <f>IF(OR(F2118="",G2118=""),"",F2118*G2118+IF(J2118="",0,J2118))</f>
        <v/>
      </c>
      <c r="I2118" s="5" t="n"/>
      <c r="J2118" s="5" t="n"/>
    </row>
    <row r="2119">
      <c r="A2119" s="5" t="n"/>
      <c r="B2119" s="5" t="n"/>
      <c r="C2119" s="5" t="n"/>
      <c r="D2119" s="5" t="n"/>
      <c r="E2119" s="4">
        <f>IF(C2119="","",COUNTIF($C$7:C2119,C2119))</f>
        <v/>
      </c>
      <c r="F2119" s="4">
        <f>IF(E2119="","",IF(E2119&lt;=3,6,IF(E2119&lt;=6,5,IF(E2119&lt;=9,4,IF(E2119&lt;=12,3,IF(E2119&lt;=15,2,0))))))</f>
        <v/>
      </c>
      <c r="G2119" s="5" t="n"/>
      <c r="H2119" s="4">
        <f>IF(OR(F2119="",G2119=""),"",F2119*G2119+IF(J2119="",0,J2119))</f>
        <v/>
      </c>
      <c r="I2119" s="5" t="n"/>
      <c r="J2119" s="5" t="n"/>
    </row>
    <row r="2120">
      <c r="A2120" s="5" t="n"/>
      <c r="B2120" s="5" t="n"/>
      <c r="C2120" s="5" t="n"/>
      <c r="D2120" s="5" t="n"/>
      <c r="E2120" s="4">
        <f>IF(C2120="","",COUNTIF($C$7:C2120,C2120))</f>
        <v/>
      </c>
      <c r="F2120" s="4">
        <f>IF(E2120="","",IF(E2120&lt;=3,6,IF(E2120&lt;=6,5,IF(E2120&lt;=9,4,IF(E2120&lt;=12,3,IF(E2120&lt;=15,2,0))))))</f>
        <v/>
      </c>
      <c r="G2120" s="5" t="n"/>
      <c r="H2120" s="4">
        <f>IF(OR(F2120="",G2120=""),"",F2120*G2120+IF(J2120="",0,J2120))</f>
        <v/>
      </c>
      <c r="I2120" s="5" t="n"/>
      <c r="J2120" s="5" t="n"/>
    </row>
    <row r="2121">
      <c r="A2121" s="5" t="n"/>
      <c r="B2121" s="5" t="n"/>
      <c r="C2121" s="5" t="n"/>
      <c r="D2121" s="5" t="n"/>
      <c r="E2121" s="4">
        <f>IF(C2121="","",COUNTIF($C$7:C2121,C2121))</f>
        <v/>
      </c>
      <c r="F2121" s="4">
        <f>IF(E2121="","",IF(E2121&lt;=3,6,IF(E2121&lt;=6,5,IF(E2121&lt;=9,4,IF(E2121&lt;=12,3,IF(E2121&lt;=15,2,0))))))</f>
        <v/>
      </c>
      <c r="G2121" s="5" t="n"/>
      <c r="H2121" s="4">
        <f>IF(OR(F2121="",G2121=""),"",F2121*G2121+IF(J2121="",0,J2121))</f>
        <v/>
      </c>
      <c r="I2121" s="5" t="n"/>
      <c r="J2121" s="5" t="n"/>
    </row>
    <row r="2122">
      <c r="A2122" s="5" t="n"/>
      <c r="B2122" s="5" t="n"/>
      <c r="C2122" s="5" t="n"/>
      <c r="D2122" s="5" t="n"/>
      <c r="E2122" s="4">
        <f>IF(C2122="","",COUNTIF($C$7:C2122,C2122))</f>
        <v/>
      </c>
      <c r="F2122" s="4">
        <f>IF(E2122="","",IF(E2122&lt;=3,6,IF(E2122&lt;=6,5,IF(E2122&lt;=9,4,IF(E2122&lt;=12,3,IF(E2122&lt;=15,2,0))))))</f>
        <v/>
      </c>
      <c r="G2122" s="5" t="n"/>
      <c r="H2122" s="4">
        <f>IF(OR(F2122="",G2122=""),"",F2122*G2122+IF(J2122="",0,J2122))</f>
        <v/>
      </c>
      <c r="I2122" s="5" t="n"/>
      <c r="J2122" s="5" t="n"/>
    </row>
    <row r="2123">
      <c r="A2123" s="5" t="n"/>
      <c r="B2123" s="5" t="n"/>
      <c r="C2123" s="5" t="n"/>
      <c r="D2123" s="5" t="n"/>
      <c r="E2123" s="4">
        <f>IF(C2123="","",COUNTIF($C$7:C2123,C2123))</f>
        <v/>
      </c>
      <c r="F2123" s="4">
        <f>IF(E2123="","",IF(E2123&lt;=3,6,IF(E2123&lt;=6,5,IF(E2123&lt;=9,4,IF(E2123&lt;=12,3,IF(E2123&lt;=15,2,0))))))</f>
        <v/>
      </c>
      <c r="G2123" s="5" t="n"/>
      <c r="H2123" s="4">
        <f>IF(OR(F2123="",G2123=""),"",F2123*G2123+IF(J2123="",0,J2123))</f>
        <v/>
      </c>
      <c r="I2123" s="5" t="n"/>
      <c r="J2123" s="5" t="n"/>
    </row>
    <row r="2124">
      <c r="A2124" s="5" t="n"/>
      <c r="B2124" s="5" t="n"/>
      <c r="C2124" s="5" t="n"/>
      <c r="D2124" s="5" t="n"/>
      <c r="E2124" s="4">
        <f>IF(C2124="","",COUNTIF($C$7:C2124,C2124))</f>
        <v/>
      </c>
      <c r="F2124" s="4">
        <f>IF(E2124="","",IF(E2124&lt;=3,6,IF(E2124&lt;=6,5,IF(E2124&lt;=9,4,IF(E2124&lt;=12,3,IF(E2124&lt;=15,2,0))))))</f>
        <v/>
      </c>
      <c r="G2124" s="5" t="n"/>
      <c r="H2124" s="4">
        <f>IF(OR(F2124="",G2124=""),"",F2124*G2124+IF(J2124="",0,J2124))</f>
        <v/>
      </c>
      <c r="I2124" s="5" t="n"/>
      <c r="J2124" s="5" t="n"/>
    </row>
    <row r="2125">
      <c r="A2125" s="5" t="n"/>
      <c r="B2125" s="5" t="n"/>
      <c r="C2125" s="5" t="n"/>
      <c r="D2125" s="5" t="n"/>
      <c r="E2125" s="4">
        <f>IF(C2125="","",COUNTIF($C$7:C2125,C2125))</f>
        <v/>
      </c>
      <c r="F2125" s="4">
        <f>IF(E2125="","",IF(E2125&lt;=3,6,IF(E2125&lt;=6,5,IF(E2125&lt;=9,4,IF(E2125&lt;=12,3,IF(E2125&lt;=15,2,0))))))</f>
        <v/>
      </c>
      <c r="G2125" s="5" t="n"/>
      <c r="H2125" s="4">
        <f>IF(OR(F2125="",G2125=""),"",F2125*G2125+IF(J2125="",0,J2125))</f>
        <v/>
      </c>
      <c r="I2125" s="5" t="n"/>
      <c r="J2125" s="5" t="n"/>
    </row>
    <row r="2126">
      <c r="A2126" s="5" t="n"/>
      <c r="B2126" s="5" t="n"/>
      <c r="C2126" s="5" t="n"/>
      <c r="D2126" s="5" t="n"/>
      <c r="E2126" s="4">
        <f>IF(C2126="","",COUNTIF($C$7:C2126,C2126))</f>
        <v/>
      </c>
      <c r="F2126" s="4">
        <f>IF(E2126="","",IF(E2126&lt;=3,6,IF(E2126&lt;=6,5,IF(E2126&lt;=9,4,IF(E2126&lt;=12,3,IF(E2126&lt;=15,2,0))))))</f>
        <v/>
      </c>
      <c r="G2126" s="5" t="n"/>
      <c r="H2126" s="4">
        <f>IF(OR(F2126="",G2126=""),"",F2126*G2126+IF(J2126="",0,J2126))</f>
        <v/>
      </c>
      <c r="I2126" s="5" t="n"/>
      <c r="J2126" s="5" t="n"/>
    </row>
    <row r="2127">
      <c r="A2127" s="5" t="n"/>
      <c r="B2127" s="5" t="n"/>
      <c r="C2127" s="5" t="n"/>
      <c r="D2127" s="5" t="n"/>
      <c r="E2127" s="4">
        <f>IF(C2127="","",COUNTIF($C$7:C2127,C2127))</f>
        <v/>
      </c>
      <c r="F2127" s="4">
        <f>IF(E2127="","",IF(E2127&lt;=3,6,IF(E2127&lt;=6,5,IF(E2127&lt;=9,4,IF(E2127&lt;=12,3,IF(E2127&lt;=15,2,0))))))</f>
        <v/>
      </c>
      <c r="G2127" s="5" t="n"/>
      <c r="H2127" s="4">
        <f>IF(OR(F2127="",G2127=""),"",F2127*G2127+IF(J2127="",0,J2127))</f>
        <v/>
      </c>
      <c r="I2127" s="5" t="n"/>
      <c r="J2127" s="5" t="n"/>
    </row>
    <row r="2128">
      <c r="A2128" s="5" t="n"/>
      <c r="B2128" s="5" t="n"/>
      <c r="C2128" s="5" t="n"/>
      <c r="D2128" s="5" t="n"/>
      <c r="E2128" s="4">
        <f>IF(C2128="","",COUNTIF($C$7:C2128,C2128))</f>
        <v/>
      </c>
      <c r="F2128" s="4">
        <f>IF(E2128="","",IF(E2128&lt;=3,6,IF(E2128&lt;=6,5,IF(E2128&lt;=9,4,IF(E2128&lt;=12,3,IF(E2128&lt;=15,2,0))))))</f>
        <v/>
      </c>
      <c r="G2128" s="5" t="n"/>
      <c r="H2128" s="4">
        <f>IF(OR(F2128="",G2128=""),"",F2128*G2128+IF(J2128="",0,J2128))</f>
        <v/>
      </c>
      <c r="I2128" s="5" t="n"/>
      <c r="J2128" s="5" t="n"/>
    </row>
    <row r="2129">
      <c r="A2129" s="5" t="n"/>
      <c r="B2129" s="5" t="n"/>
      <c r="C2129" s="5" t="n"/>
      <c r="D2129" s="5" t="n"/>
      <c r="E2129" s="4">
        <f>IF(C2129="","",COUNTIF($C$7:C2129,C2129))</f>
        <v/>
      </c>
      <c r="F2129" s="4">
        <f>IF(E2129="","",IF(E2129&lt;=3,6,IF(E2129&lt;=6,5,IF(E2129&lt;=9,4,IF(E2129&lt;=12,3,IF(E2129&lt;=15,2,0))))))</f>
        <v/>
      </c>
      <c r="G2129" s="5" t="n"/>
      <c r="H2129" s="4">
        <f>IF(OR(F2129="",G2129=""),"",F2129*G2129+IF(J2129="",0,J2129))</f>
        <v/>
      </c>
      <c r="I2129" s="5" t="n"/>
      <c r="J2129" s="5" t="n"/>
    </row>
    <row r="2130">
      <c r="A2130" s="5" t="n"/>
      <c r="B2130" s="5" t="n"/>
      <c r="C2130" s="5" t="n"/>
      <c r="D2130" s="5" t="n"/>
      <c r="E2130" s="4">
        <f>IF(C2130="","",COUNTIF($C$7:C2130,C2130))</f>
        <v/>
      </c>
      <c r="F2130" s="4">
        <f>IF(E2130="","",IF(E2130&lt;=3,6,IF(E2130&lt;=6,5,IF(E2130&lt;=9,4,IF(E2130&lt;=12,3,IF(E2130&lt;=15,2,0))))))</f>
        <v/>
      </c>
      <c r="G2130" s="5" t="n"/>
      <c r="H2130" s="4">
        <f>IF(OR(F2130="",G2130=""),"",F2130*G2130+IF(J2130="",0,J2130))</f>
        <v/>
      </c>
      <c r="I2130" s="5" t="n"/>
      <c r="J2130" s="5" t="n"/>
    </row>
    <row r="2131">
      <c r="A2131" s="5" t="n"/>
      <c r="B2131" s="5" t="n"/>
      <c r="C2131" s="5" t="n"/>
      <c r="D2131" s="5" t="n"/>
      <c r="E2131" s="4">
        <f>IF(C2131="","",COUNTIF($C$7:C2131,C2131))</f>
        <v/>
      </c>
      <c r="F2131" s="4">
        <f>IF(E2131="","",IF(E2131&lt;=3,6,IF(E2131&lt;=6,5,IF(E2131&lt;=9,4,IF(E2131&lt;=12,3,IF(E2131&lt;=15,2,0))))))</f>
        <v/>
      </c>
      <c r="G2131" s="5" t="n"/>
      <c r="H2131" s="4">
        <f>IF(OR(F2131="",G2131=""),"",F2131*G2131+IF(J2131="",0,J2131))</f>
        <v/>
      </c>
      <c r="I2131" s="5" t="n"/>
      <c r="J2131" s="5" t="n"/>
    </row>
    <row r="2132">
      <c r="A2132" s="5" t="n"/>
      <c r="B2132" s="5" t="n"/>
      <c r="C2132" s="5" t="n"/>
      <c r="D2132" s="5" t="n"/>
      <c r="E2132" s="4">
        <f>IF(C2132="","",COUNTIF($C$7:C2132,C2132))</f>
        <v/>
      </c>
      <c r="F2132" s="4">
        <f>IF(E2132="","",IF(E2132&lt;=3,6,IF(E2132&lt;=6,5,IF(E2132&lt;=9,4,IF(E2132&lt;=12,3,IF(E2132&lt;=15,2,0))))))</f>
        <v/>
      </c>
      <c r="G2132" s="5" t="n"/>
      <c r="H2132" s="4">
        <f>IF(OR(F2132="",G2132=""),"",F2132*G2132+IF(J2132="",0,J2132))</f>
        <v/>
      </c>
      <c r="I2132" s="5" t="n"/>
      <c r="J2132" s="5" t="n"/>
    </row>
    <row r="2133">
      <c r="A2133" s="5" t="n"/>
      <c r="B2133" s="5" t="n"/>
      <c r="C2133" s="5" t="n"/>
      <c r="D2133" s="5" t="n"/>
      <c r="E2133" s="4">
        <f>IF(C2133="","",COUNTIF($C$7:C2133,C2133))</f>
        <v/>
      </c>
      <c r="F2133" s="4">
        <f>IF(E2133="","",IF(E2133&lt;=3,6,IF(E2133&lt;=6,5,IF(E2133&lt;=9,4,IF(E2133&lt;=12,3,IF(E2133&lt;=15,2,0))))))</f>
        <v/>
      </c>
      <c r="G2133" s="5" t="n"/>
      <c r="H2133" s="4">
        <f>IF(OR(F2133="",G2133=""),"",F2133*G2133+IF(J2133="",0,J2133))</f>
        <v/>
      </c>
      <c r="I2133" s="5" t="n"/>
      <c r="J2133" s="5" t="n"/>
    </row>
    <row r="2134">
      <c r="A2134" s="5" t="n"/>
      <c r="B2134" s="5" t="n"/>
      <c r="C2134" s="5" t="n"/>
      <c r="D2134" s="5" t="n"/>
      <c r="E2134" s="4">
        <f>IF(C2134="","",COUNTIF($C$7:C2134,C2134))</f>
        <v/>
      </c>
      <c r="F2134" s="4">
        <f>IF(E2134="","",IF(E2134&lt;=3,6,IF(E2134&lt;=6,5,IF(E2134&lt;=9,4,IF(E2134&lt;=12,3,IF(E2134&lt;=15,2,0))))))</f>
        <v/>
      </c>
      <c r="G2134" s="5" t="n"/>
      <c r="H2134" s="4">
        <f>IF(OR(F2134="",G2134=""),"",F2134*G2134+IF(J2134="",0,J2134))</f>
        <v/>
      </c>
      <c r="I2134" s="5" t="n"/>
      <c r="J2134" s="5" t="n"/>
    </row>
    <row r="2135">
      <c r="A2135" s="5" t="n"/>
      <c r="B2135" s="5" t="n"/>
      <c r="C2135" s="5" t="n"/>
      <c r="D2135" s="5" t="n"/>
      <c r="E2135" s="4">
        <f>IF(C2135="","",COUNTIF($C$7:C2135,C2135))</f>
        <v/>
      </c>
      <c r="F2135" s="4">
        <f>IF(E2135="","",IF(E2135&lt;=3,6,IF(E2135&lt;=6,5,IF(E2135&lt;=9,4,IF(E2135&lt;=12,3,IF(E2135&lt;=15,2,0))))))</f>
        <v/>
      </c>
      <c r="G2135" s="5" t="n"/>
      <c r="H2135" s="4">
        <f>IF(OR(F2135="",G2135=""),"",F2135*G2135+IF(J2135="",0,J2135))</f>
        <v/>
      </c>
      <c r="I2135" s="5" t="n"/>
      <c r="J2135" s="5" t="n"/>
    </row>
    <row r="2136">
      <c r="A2136" s="5" t="n"/>
      <c r="B2136" s="5" t="n"/>
      <c r="C2136" s="5" t="n"/>
      <c r="D2136" s="5" t="n"/>
      <c r="E2136" s="4">
        <f>IF(C2136="","",COUNTIF($C$7:C2136,C2136))</f>
        <v/>
      </c>
      <c r="F2136" s="4">
        <f>IF(E2136="","",IF(E2136&lt;=3,6,IF(E2136&lt;=6,5,IF(E2136&lt;=9,4,IF(E2136&lt;=12,3,IF(E2136&lt;=15,2,0))))))</f>
        <v/>
      </c>
      <c r="G2136" s="5" t="n"/>
      <c r="H2136" s="4">
        <f>IF(OR(F2136="",G2136=""),"",F2136*G2136+IF(J2136="",0,J2136))</f>
        <v/>
      </c>
      <c r="I2136" s="5" t="n"/>
      <c r="J2136" s="5" t="n"/>
    </row>
    <row r="2137">
      <c r="A2137" s="5" t="n"/>
      <c r="B2137" s="5" t="n"/>
      <c r="C2137" s="5" t="n"/>
      <c r="D2137" s="5" t="n"/>
      <c r="E2137" s="4">
        <f>IF(C2137="","",COUNTIF($C$7:C2137,C2137))</f>
        <v/>
      </c>
      <c r="F2137" s="4">
        <f>IF(E2137="","",IF(E2137&lt;=3,6,IF(E2137&lt;=6,5,IF(E2137&lt;=9,4,IF(E2137&lt;=12,3,IF(E2137&lt;=15,2,0))))))</f>
        <v/>
      </c>
      <c r="G2137" s="5" t="n"/>
      <c r="H2137" s="4">
        <f>IF(OR(F2137="",G2137=""),"",F2137*G2137+IF(J2137="",0,J2137))</f>
        <v/>
      </c>
      <c r="I2137" s="5" t="n"/>
      <c r="J2137" s="5" t="n"/>
    </row>
    <row r="2138">
      <c r="A2138" s="5" t="n"/>
      <c r="B2138" s="5" t="n"/>
      <c r="C2138" s="5" t="n"/>
      <c r="D2138" s="5" t="n"/>
      <c r="E2138" s="4">
        <f>IF(C2138="","",COUNTIF($C$7:C2138,C2138))</f>
        <v/>
      </c>
      <c r="F2138" s="4">
        <f>IF(E2138="","",IF(E2138&lt;=3,6,IF(E2138&lt;=6,5,IF(E2138&lt;=9,4,IF(E2138&lt;=12,3,IF(E2138&lt;=15,2,0))))))</f>
        <v/>
      </c>
      <c r="G2138" s="5" t="n"/>
      <c r="H2138" s="4">
        <f>IF(OR(F2138="",G2138=""),"",F2138*G2138+IF(J2138="",0,J2138))</f>
        <v/>
      </c>
      <c r="I2138" s="5" t="n"/>
      <c r="J2138" s="5" t="n"/>
    </row>
    <row r="2139">
      <c r="A2139" s="5" t="n"/>
      <c r="B2139" s="5" t="n"/>
      <c r="C2139" s="5" t="n"/>
      <c r="D2139" s="5" t="n"/>
      <c r="E2139" s="4">
        <f>IF(C2139="","",COUNTIF($C$7:C2139,C2139))</f>
        <v/>
      </c>
      <c r="F2139" s="4">
        <f>IF(E2139="","",IF(E2139&lt;=3,6,IF(E2139&lt;=6,5,IF(E2139&lt;=9,4,IF(E2139&lt;=12,3,IF(E2139&lt;=15,2,0))))))</f>
        <v/>
      </c>
      <c r="G2139" s="5" t="n"/>
      <c r="H2139" s="4">
        <f>IF(OR(F2139="",G2139=""),"",F2139*G2139+IF(J2139="",0,J2139))</f>
        <v/>
      </c>
      <c r="I2139" s="5" t="n"/>
      <c r="J2139" s="5" t="n"/>
    </row>
    <row r="2140">
      <c r="A2140" s="5" t="n"/>
      <c r="B2140" s="5" t="n"/>
      <c r="C2140" s="5" t="n"/>
      <c r="D2140" s="5" t="n"/>
      <c r="E2140" s="4">
        <f>IF(C2140="","",COUNTIF($C$7:C2140,C2140))</f>
        <v/>
      </c>
      <c r="F2140" s="4">
        <f>IF(E2140="","",IF(E2140&lt;=3,6,IF(E2140&lt;=6,5,IF(E2140&lt;=9,4,IF(E2140&lt;=12,3,IF(E2140&lt;=15,2,0))))))</f>
        <v/>
      </c>
      <c r="G2140" s="5" t="n"/>
      <c r="H2140" s="4">
        <f>IF(OR(F2140="",G2140=""),"",F2140*G2140+IF(J2140="",0,J2140))</f>
        <v/>
      </c>
      <c r="I2140" s="5" t="n"/>
      <c r="J2140" s="5" t="n"/>
    </row>
    <row r="2141">
      <c r="A2141" s="5" t="n"/>
      <c r="B2141" s="5" t="n"/>
      <c r="C2141" s="5" t="n"/>
      <c r="D2141" s="5" t="n"/>
      <c r="E2141" s="4">
        <f>IF(C2141="","",COUNTIF($C$7:C2141,C2141))</f>
        <v/>
      </c>
      <c r="F2141" s="4">
        <f>IF(E2141="","",IF(E2141&lt;=3,6,IF(E2141&lt;=6,5,IF(E2141&lt;=9,4,IF(E2141&lt;=12,3,IF(E2141&lt;=15,2,0))))))</f>
        <v/>
      </c>
      <c r="G2141" s="5" t="n"/>
      <c r="H2141" s="4">
        <f>IF(OR(F2141="",G2141=""),"",F2141*G2141+IF(J2141="",0,J2141))</f>
        <v/>
      </c>
      <c r="I2141" s="5" t="n"/>
      <c r="J2141" s="5" t="n"/>
    </row>
    <row r="2142">
      <c r="A2142" s="5" t="n"/>
      <c r="B2142" s="5" t="n"/>
      <c r="C2142" s="5" t="n"/>
      <c r="D2142" s="5" t="n"/>
      <c r="E2142" s="4">
        <f>IF(C2142="","",COUNTIF($C$7:C2142,C2142))</f>
        <v/>
      </c>
      <c r="F2142" s="4">
        <f>IF(E2142="","",IF(E2142&lt;=3,6,IF(E2142&lt;=6,5,IF(E2142&lt;=9,4,IF(E2142&lt;=12,3,IF(E2142&lt;=15,2,0))))))</f>
        <v/>
      </c>
      <c r="G2142" s="5" t="n"/>
      <c r="H2142" s="4">
        <f>IF(OR(F2142="",G2142=""),"",F2142*G2142+IF(J2142="",0,J2142))</f>
        <v/>
      </c>
      <c r="I2142" s="5" t="n"/>
      <c r="J2142" s="5" t="n"/>
    </row>
    <row r="2143">
      <c r="A2143" s="5" t="n"/>
      <c r="B2143" s="5" t="n"/>
      <c r="C2143" s="5" t="n"/>
      <c r="D2143" s="5" t="n"/>
      <c r="E2143" s="4">
        <f>IF(C2143="","",COUNTIF($C$7:C2143,C2143))</f>
        <v/>
      </c>
      <c r="F2143" s="4">
        <f>IF(E2143="","",IF(E2143&lt;=3,6,IF(E2143&lt;=6,5,IF(E2143&lt;=9,4,IF(E2143&lt;=12,3,IF(E2143&lt;=15,2,0))))))</f>
        <v/>
      </c>
      <c r="G2143" s="5" t="n"/>
      <c r="H2143" s="4">
        <f>IF(OR(F2143="",G2143=""),"",F2143*G2143+IF(J2143="",0,J2143))</f>
        <v/>
      </c>
      <c r="I2143" s="5" t="n"/>
      <c r="J2143" s="5" t="n"/>
    </row>
    <row r="2144">
      <c r="A2144" s="5" t="n"/>
      <c r="B2144" s="5" t="n"/>
      <c r="C2144" s="5" t="n"/>
      <c r="D2144" s="5" t="n"/>
      <c r="E2144" s="4">
        <f>IF(C2144="","",COUNTIF($C$7:C2144,C2144))</f>
        <v/>
      </c>
      <c r="F2144" s="4">
        <f>IF(E2144="","",IF(E2144&lt;=3,6,IF(E2144&lt;=6,5,IF(E2144&lt;=9,4,IF(E2144&lt;=12,3,IF(E2144&lt;=15,2,0))))))</f>
        <v/>
      </c>
      <c r="G2144" s="5" t="n"/>
      <c r="H2144" s="4">
        <f>IF(OR(F2144="",G2144=""),"",F2144*G2144+IF(J2144="",0,J2144))</f>
        <v/>
      </c>
      <c r="I2144" s="5" t="n"/>
      <c r="J2144" s="5" t="n"/>
    </row>
    <row r="2145">
      <c r="A2145" s="5" t="n"/>
      <c r="B2145" s="5" t="n"/>
      <c r="C2145" s="5" t="n"/>
      <c r="D2145" s="5" t="n"/>
      <c r="E2145" s="4">
        <f>IF(C2145="","",COUNTIF($C$7:C2145,C2145))</f>
        <v/>
      </c>
      <c r="F2145" s="4">
        <f>IF(E2145="","",IF(E2145&lt;=3,6,IF(E2145&lt;=6,5,IF(E2145&lt;=9,4,IF(E2145&lt;=12,3,IF(E2145&lt;=15,2,0))))))</f>
        <v/>
      </c>
      <c r="G2145" s="5" t="n"/>
      <c r="H2145" s="4">
        <f>IF(OR(F2145="",G2145=""),"",F2145*G2145+IF(J2145="",0,J2145))</f>
        <v/>
      </c>
      <c r="I2145" s="5" t="n"/>
      <c r="J2145" s="5" t="n"/>
    </row>
    <row r="2146">
      <c r="A2146" s="5" t="n"/>
      <c r="B2146" s="5" t="n"/>
      <c r="C2146" s="5" t="n"/>
      <c r="D2146" s="5" t="n"/>
      <c r="E2146" s="4">
        <f>IF(C2146="","",COUNTIF($C$7:C2146,C2146))</f>
        <v/>
      </c>
      <c r="F2146" s="4">
        <f>IF(E2146="","",IF(E2146&lt;=3,6,IF(E2146&lt;=6,5,IF(E2146&lt;=9,4,IF(E2146&lt;=12,3,IF(E2146&lt;=15,2,0))))))</f>
        <v/>
      </c>
      <c r="G2146" s="5" t="n"/>
      <c r="H2146" s="4">
        <f>IF(OR(F2146="",G2146=""),"",F2146*G2146+IF(J2146="",0,J2146))</f>
        <v/>
      </c>
      <c r="I2146" s="5" t="n"/>
      <c r="J2146" s="5" t="n"/>
    </row>
    <row r="2147">
      <c r="A2147" s="5" t="n"/>
      <c r="B2147" s="5" t="n"/>
      <c r="C2147" s="5" t="n"/>
      <c r="D2147" s="5" t="n"/>
      <c r="E2147" s="4">
        <f>IF(C2147="","",COUNTIF($C$7:C2147,C2147))</f>
        <v/>
      </c>
      <c r="F2147" s="4">
        <f>IF(E2147="","",IF(E2147&lt;=3,6,IF(E2147&lt;=6,5,IF(E2147&lt;=9,4,IF(E2147&lt;=12,3,IF(E2147&lt;=15,2,0))))))</f>
        <v/>
      </c>
      <c r="G2147" s="5" t="n"/>
      <c r="H2147" s="4">
        <f>IF(OR(F2147="",G2147=""),"",F2147*G2147+IF(J2147="",0,J2147))</f>
        <v/>
      </c>
      <c r="I2147" s="5" t="n"/>
      <c r="J2147" s="5" t="n"/>
    </row>
    <row r="2148">
      <c r="A2148" s="5" t="n"/>
      <c r="B2148" s="5" t="n"/>
      <c r="C2148" s="5" t="n"/>
      <c r="D2148" s="5" t="n"/>
      <c r="E2148" s="4">
        <f>IF(C2148="","",COUNTIF($C$7:C2148,C2148))</f>
        <v/>
      </c>
      <c r="F2148" s="4">
        <f>IF(E2148="","",IF(E2148&lt;=3,6,IF(E2148&lt;=6,5,IF(E2148&lt;=9,4,IF(E2148&lt;=12,3,IF(E2148&lt;=15,2,0))))))</f>
        <v/>
      </c>
      <c r="G2148" s="5" t="n"/>
      <c r="H2148" s="4">
        <f>IF(OR(F2148="",G2148=""),"",F2148*G2148+IF(J2148="",0,J2148))</f>
        <v/>
      </c>
      <c r="I2148" s="5" t="n"/>
      <c r="J2148" s="5" t="n"/>
    </row>
    <row r="2149">
      <c r="A2149" s="5" t="n"/>
      <c r="B2149" s="5" t="n"/>
      <c r="C2149" s="5" t="n"/>
      <c r="D2149" s="5" t="n"/>
      <c r="E2149" s="4">
        <f>IF(C2149="","",COUNTIF($C$7:C2149,C2149))</f>
        <v/>
      </c>
      <c r="F2149" s="4">
        <f>IF(E2149="","",IF(E2149&lt;=3,6,IF(E2149&lt;=6,5,IF(E2149&lt;=9,4,IF(E2149&lt;=12,3,IF(E2149&lt;=15,2,0))))))</f>
        <v/>
      </c>
      <c r="G2149" s="5" t="n"/>
      <c r="H2149" s="4">
        <f>IF(OR(F2149="",G2149=""),"",F2149*G2149+IF(J2149="",0,J2149))</f>
        <v/>
      </c>
      <c r="I2149" s="5" t="n"/>
      <c r="J2149" s="5" t="n"/>
    </row>
    <row r="2150">
      <c r="A2150" s="5" t="n"/>
      <c r="B2150" s="5" t="n"/>
      <c r="C2150" s="5" t="n"/>
      <c r="D2150" s="5" t="n"/>
      <c r="E2150" s="4">
        <f>IF(C2150="","",COUNTIF($C$7:C2150,C2150))</f>
        <v/>
      </c>
      <c r="F2150" s="4">
        <f>IF(E2150="","",IF(E2150&lt;=3,6,IF(E2150&lt;=6,5,IF(E2150&lt;=9,4,IF(E2150&lt;=12,3,IF(E2150&lt;=15,2,0))))))</f>
        <v/>
      </c>
      <c r="G2150" s="5" t="n"/>
      <c r="H2150" s="4">
        <f>IF(OR(F2150="",G2150=""),"",F2150*G2150+IF(J2150="",0,J2150))</f>
        <v/>
      </c>
      <c r="I2150" s="5" t="n"/>
      <c r="J2150" s="5" t="n"/>
    </row>
    <row r="2151">
      <c r="A2151" s="5" t="n"/>
      <c r="B2151" s="5" t="n"/>
      <c r="C2151" s="5" t="n"/>
      <c r="D2151" s="5" t="n"/>
      <c r="E2151" s="4">
        <f>IF(C2151="","",COUNTIF($C$7:C2151,C2151))</f>
        <v/>
      </c>
      <c r="F2151" s="4">
        <f>IF(E2151="","",IF(E2151&lt;=3,6,IF(E2151&lt;=6,5,IF(E2151&lt;=9,4,IF(E2151&lt;=12,3,IF(E2151&lt;=15,2,0))))))</f>
        <v/>
      </c>
      <c r="G2151" s="5" t="n"/>
      <c r="H2151" s="4">
        <f>IF(OR(F2151="",G2151=""),"",F2151*G2151+IF(J2151="",0,J2151))</f>
        <v/>
      </c>
      <c r="I2151" s="5" t="n"/>
      <c r="J2151" s="5" t="n"/>
    </row>
    <row r="2152">
      <c r="A2152" s="5" t="n"/>
      <c r="B2152" s="5" t="n"/>
      <c r="C2152" s="5" t="n"/>
      <c r="D2152" s="5" t="n"/>
      <c r="E2152" s="4">
        <f>IF(C2152="","",COUNTIF($C$7:C2152,C2152))</f>
        <v/>
      </c>
      <c r="F2152" s="4">
        <f>IF(E2152="","",IF(E2152&lt;=3,6,IF(E2152&lt;=6,5,IF(E2152&lt;=9,4,IF(E2152&lt;=12,3,IF(E2152&lt;=15,2,0))))))</f>
        <v/>
      </c>
      <c r="G2152" s="5" t="n"/>
      <c r="H2152" s="4">
        <f>IF(OR(F2152="",G2152=""),"",F2152*G2152+IF(J2152="",0,J2152))</f>
        <v/>
      </c>
      <c r="I2152" s="5" t="n"/>
      <c r="J2152" s="5" t="n"/>
    </row>
    <row r="2153">
      <c r="A2153" s="5" t="n"/>
      <c r="B2153" s="5" t="n"/>
      <c r="C2153" s="5" t="n"/>
      <c r="D2153" s="5" t="n"/>
      <c r="E2153" s="4">
        <f>IF(C2153="","",COUNTIF($C$7:C2153,C2153))</f>
        <v/>
      </c>
      <c r="F2153" s="4">
        <f>IF(E2153="","",IF(E2153&lt;=3,6,IF(E2153&lt;=6,5,IF(E2153&lt;=9,4,IF(E2153&lt;=12,3,IF(E2153&lt;=15,2,0))))))</f>
        <v/>
      </c>
      <c r="G2153" s="5" t="n"/>
      <c r="H2153" s="4">
        <f>IF(OR(F2153="",G2153=""),"",F2153*G2153+IF(J2153="",0,J2153))</f>
        <v/>
      </c>
      <c r="I2153" s="5" t="n"/>
      <c r="J2153" s="5" t="n"/>
    </row>
    <row r="2154">
      <c r="A2154" s="5" t="n"/>
      <c r="B2154" s="5" t="n"/>
      <c r="C2154" s="5" t="n"/>
      <c r="D2154" s="5" t="n"/>
      <c r="E2154" s="4">
        <f>IF(C2154="","",COUNTIF($C$7:C2154,C2154))</f>
        <v/>
      </c>
      <c r="F2154" s="4">
        <f>IF(E2154="","",IF(E2154&lt;=3,6,IF(E2154&lt;=6,5,IF(E2154&lt;=9,4,IF(E2154&lt;=12,3,IF(E2154&lt;=15,2,0))))))</f>
        <v/>
      </c>
      <c r="G2154" s="5" t="n"/>
      <c r="H2154" s="4">
        <f>IF(OR(F2154="",G2154=""),"",F2154*G2154+IF(J2154="",0,J2154))</f>
        <v/>
      </c>
      <c r="I2154" s="5" t="n"/>
      <c r="J2154" s="5" t="n"/>
    </row>
    <row r="2155">
      <c r="A2155" s="5" t="n"/>
      <c r="B2155" s="5" t="n"/>
      <c r="C2155" s="5" t="n"/>
      <c r="D2155" s="5" t="n"/>
      <c r="E2155" s="4">
        <f>IF(C2155="","",COUNTIF($C$7:C2155,C2155))</f>
        <v/>
      </c>
      <c r="F2155" s="4">
        <f>IF(E2155="","",IF(E2155&lt;=3,6,IF(E2155&lt;=6,5,IF(E2155&lt;=9,4,IF(E2155&lt;=12,3,IF(E2155&lt;=15,2,0))))))</f>
        <v/>
      </c>
      <c r="G2155" s="5" t="n"/>
      <c r="H2155" s="4">
        <f>IF(OR(F2155="",G2155=""),"",F2155*G2155+IF(J2155="",0,J2155))</f>
        <v/>
      </c>
      <c r="I2155" s="5" t="n"/>
      <c r="J2155" s="5" t="n"/>
    </row>
    <row r="2156">
      <c r="A2156" s="5" t="n"/>
      <c r="B2156" s="5" t="n"/>
      <c r="C2156" s="5" t="n"/>
      <c r="D2156" s="5" t="n"/>
      <c r="E2156" s="4">
        <f>IF(C2156="","",COUNTIF($C$7:C2156,C2156))</f>
        <v/>
      </c>
      <c r="F2156" s="4">
        <f>IF(E2156="","",IF(E2156&lt;=3,6,IF(E2156&lt;=6,5,IF(E2156&lt;=9,4,IF(E2156&lt;=12,3,IF(E2156&lt;=15,2,0))))))</f>
        <v/>
      </c>
      <c r="G2156" s="5" t="n"/>
      <c r="H2156" s="4">
        <f>IF(OR(F2156="",G2156=""),"",F2156*G2156+IF(J2156="",0,J2156))</f>
        <v/>
      </c>
      <c r="I2156" s="5" t="n"/>
      <c r="J2156" s="5" t="n"/>
    </row>
    <row r="2157">
      <c r="A2157" s="5" t="n"/>
      <c r="B2157" s="5" t="n"/>
      <c r="C2157" s="5" t="n"/>
      <c r="D2157" s="5" t="n"/>
      <c r="E2157" s="4">
        <f>IF(C2157="","",COUNTIF($C$7:C2157,C2157))</f>
        <v/>
      </c>
      <c r="F2157" s="4">
        <f>IF(E2157="","",IF(E2157&lt;=3,6,IF(E2157&lt;=6,5,IF(E2157&lt;=9,4,IF(E2157&lt;=12,3,IF(E2157&lt;=15,2,0))))))</f>
        <v/>
      </c>
      <c r="G2157" s="5" t="n"/>
      <c r="H2157" s="4">
        <f>IF(OR(F2157="",G2157=""),"",F2157*G2157+IF(J2157="",0,J2157))</f>
        <v/>
      </c>
      <c r="I2157" s="5" t="n"/>
      <c r="J2157" s="5" t="n"/>
    </row>
    <row r="2158">
      <c r="A2158" s="5" t="n"/>
      <c r="B2158" s="5" t="n"/>
      <c r="C2158" s="5" t="n"/>
      <c r="D2158" s="5" t="n"/>
      <c r="E2158" s="4">
        <f>IF(C2158="","",COUNTIF($C$7:C2158,C2158))</f>
        <v/>
      </c>
      <c r="F2158" s="4">
        <f>IF(E2158="","",IF(E2158&lt;=3,6,IF(E2158&lt;=6,5,IF(E2158&lt;=9,4,IF(E2158&lt;=12,3,IF(E2158&lt;=15,2,0))))))</f>
        <v/>
      </c>
      <c r="G2158" s="5" t="n"/>
      <c r="H2158" s="4">
        <f>IF(OR(F2158="",G2158=""),"",F2158*G2158+IF(J2158="",0,J2158))</f>
        <v/>
      </c>
      <c r="I2158" s="5" t="n"/>
      <c r="J2158" s="5" t="n"/>
    </row>
    <row r="2159">
      <c r="A2159" s="5" t="n"/>
      <c r="B2159" s="5" t="n"/>
      <c r="C2159" s="5" t="n"/>
      <c r="D2159" s="5" t="n"/>
      <c r="E2159" s="4">
        <f>IF(C2159="","",COUNTIF($C$7:C2159,C2159))</f>
        <v/>
      </c>
      <c r="F2159" s="4">
        <f>IF(E2159="","",IF(E2159&lt;=3,6,IF(E2159&lt;=6,5,IF(E2159&lt;=9,4,IF(E2159&lt;=12,3,IF(E2159&lt;=15,2,0))))))</f>
        <v/>
      </c>
      <c r="G2159" s="5" t="n"/>
      <c r="H2159" s="4">
        <f>IF(OR(F2159="",G2159=""),"",F2159*G2159+IF(J2159="",0,J2159))</f>
        <v/>
      </c>
      <c r="I2159" s="5" t="n"/>
      <c r="J2159" s="5" t="n"/>
    </row>
    <row r="2160">
      <c r="A2160" s="5" t="n"/>
      <c r="B2160" s="5" t="n"/>
      <c r="C2160" s="5" t="n"/>
      <c r="D2160" s="5" t="n"/>
      <c r="E2160" s="4">
        <f>IF(C2160="","",COUNTIF($C$7:C2160,C2160))</f>
        <v/>
      </c>
      <c r="F2160" s="4">
        <f>IF(E2160="","",IF(E2160&lt;=3,6,IF(E2160&lt;=6,5,IF(E2160&lt;=9,4,IF(E2160&lt;=12,3,IF(E2160&lt;=15,2,0))))))</f>
        <v/>
      </c>
      <c r="G2160" s="5" t="n"/>
      <c r="H2160" s="4">
        <f>IF(OR(F2160="",G2160=""),"",F2160*G2160+IF(J2160="",0,J2160))</f>
        <v/>
      </c>
      <c r="I2160" s="5" t="n"/>
      <c r="J2160" s="5" t="n"/>
    </row>
    <row r="2161">
      <c r="A2161" s="5" t="n"/>
      <c r="B2161" s="5" t="n"/>
      <c r="C2161" s="5" t="n"/>
      <c r="D2161" s="5" t="n"/>
      <c r="E2161" s="4">
        <f>IF(C2161="","",COUNTIF($C$7:C2161,C2161))</f>
        <v/>
      </c>
      <c r="F2161" s="4">
        <f>IF(E2161="","",IF(E2161&lt;=3,6,IF(E2161&lt;=6,5,IF(E2161&lt;=9,4,IF(E2161&lt;=12,3,IF(E2161&lt;=15,2,0))))))</f>
        <v/>
      </c>
      <c r="G2161" s="5" t="n"/>
      <c r="H2161" s="4">
        <f>IF(OR(F2161="",G2161=""),"",F2161*G2161+IF(J2161="",0,J2161))</f>
        <v/>
      </c>
      <c r="I2161" s="5" t="n"/>
      <c r="J2161" s="5" t="n"/>
    </row>
    <row r="2162">
      <c r="A2162" s="5" t="n"/>
      <c r="B2162" s="5" t="n"/>
      <c r="C2162" s="5" t="n"/>
      <c r="D2162" s="5" t="n"/>
      <c r="E2162" s="4">
        <f>IF(C2162="","",COUNTIF($C$7:C2162,C2162))</f>
        <v/>
      </c>
      <c r="F2162" s="4">
        <f>IF(E2162="","",IF(E2162&lt;=3,6,IF(E2162&lt;=6,5,IF(E2162&lt;=9,4,IF(E2162&lt;=12,3,IF(E2162&lt;=15,2,0))))))</f>
        <v/>
      </c>
      <c r="G2162" s="5" t="n"/>
      <c r="H2162" s="4">
        <f>IF(OR(F2162="",G2162=""),"",F2162*G2162+IF(J2162="",0,J2162))</f>
        <v/>
      </c>
      <c r="I2162" s="5" t="n"/>
      <c r="J2162" s="5" t="n"/>
    </row>
    <row r="2163">
      <c r="A2163" s="5" t="n"/>
      <c r="B2163" s="5" t="n"/>
      <c r="C2163" s="5" t="n"/>
      <c r="D2163" s="5" t="n"/>
      <c r="E2163" s="4">
        <f>IF(C2163="","",COUNTIF($C$7:C2163,C2163))</f>
        <v/>
      </c>
      <c r="F2163" s="4">
        <f>IF(E2163="","",IF(E2163&lt;=3,6,IF(E2163&lt;=6,5,IF(E2163&lt;=9,4,IF(E2163&lt;=12,3,IF(E2163&lt;=15,2,0))))))</f>
        <v/>
      </c>
      <c r="G2163" s="5" t="n"/>
      <c r="H2163" s="4">
        <f>IF(OR(F2163="",G2163=""),"",F2163*G2163+IF(J2163="",0,J2163))</f>
        <v/>
      </c>
      <c r="I2163" s="5" t="n"/>
      <c r="J2163" s="5" t="n"/>
    </row>
    <row r="2164">
      <c r="A2164" s="5" t="n"/>
      <c r="B2164" s="5" t="n"/>
      <c r="C2164" s="5" t="n"/>
      <c r="D2164" s="5" t="n"/>
      <c r="E2164" s="4">
        <f>IF(C2164="","",COUNTIF($C$7:C2164,C2164))</f>
        <v/>
      </c>
      <c r="F2164" s="4">
        <f>IF(E2164="","",IF(E2164&lt;=3,6,IF(E2164&lt;=6,5,IF(E2164&lt;=9,4,IF(E2164&lt;=12,3,IF(E2164&lt;=15,2,0))))))</f>
        <v/>
      </c>
      <c r="G2164" s="5" t="n"/>
      <c r="H2164" s="4">
        <f>IF(OR(F2164="",G2164=""),"",F2164*G2164+IF(J2164="",0,J2164))</f>
        <v/>
      </c>
      <c r="I2164" s="5" t="n"/>
      <c r="J2164" s="5" t="n"/>
    </row>
    <row r="2165">
      <c r="A2165" s="5" t="n"/>
      <c r="B2165" s="5" t="n"/>
      <c r="C2165" s="5" t="n"/>
      <c r="D2165" s="5" t="n"/>
      <c r="E2165" s="4">
        <f>IF(C2165="","",COUNTIF($C$7:C2165,C2165))</f>
        <v/>
      </c>
      <c r="F2165" s="4">
        <f>IF(E2165="","",IF(E2165&lt;=3,6,IF(E2165&lt;=6,5,IF(E2165&lt;=9,4,IF(E2165&lt;=12,3,IF(E2165&lt;=15,2,0))))))</f>
        <v/>
      </c>
      <c r="G2165" s="5" t="n"/>
      <c r="H2165" s="4">
        <f>IF(OR(F2165="",G2165=""),"",F2165*G2165+IF(J2165="",0,J2165))</f>
        <v/>
      </c>
      <c r="I2165" s="5" t="n"/>
      <c r="J2165" s="5" t="n"/>
    </row>
    <row r="2166">
      <c r="A2166" s="5" t="n"/>
      <c r="B2166" s="5" t="n"/>
      <c r="C2166" s="5" t="n"/>
      <c r="D2166" s="5" t="n"/>
      <c r="E2166" s="4">
        <f>IF(C2166="","",COUNTIF($C$7:C2166,C2166))</f>
        <v/>
      </c>
      <c r="F2166" s="4">
        <f>IF(E2166="","",IF(E2166&lt;=3,6,IF(E2166&lt;=6,5,IF(E2166&lt;=9,4,IF(E2166&lt;=12,3,IF(E2166&lt;=15,2,0))))))</f>
        <v/>
      </c>
      <c r="G2166" s="5" t="n"/>
      <c r="H2166" s="4">
        <f>IF(OR(F2166="",G2166=""),"",F2166*G2166+IF(J2166="",0,J2166))</f>
        <v/>
      </c>
      <c r="I2166" s="5" t="n"/>
      <c r="J2166" s="5" t="n"/>
    </row>
    <row r="2167">
      <c r="A2167" s="5" t="n"/>
      <c r="B2167" s="5" t="n"/>
      <c r="C2167" s="5" t="n"/>
      <c r="D2167" s="5" t="n"/>
      <c r="E2167" s="4">
        <f>IF(C2167="","",COUNTIF($C$7:C2167,C2167))</f>
        <v/>
      </c>
      <c r="F2167" s="4">
        <f>IF(E2167="","",IF(E2167&lt;=3,6,IF(E2167&lt;=6,5,IF(E2167&lt;=9,4,IF(E2167&lt;=12,3,IF(E2167&lt;=15,2,0))))))</f>
        <v/>
      </c>
      <c r="G2167" s="5" t="n"/>
      <c r="H2167" s="4">
        <f>IF(OR(F2167="",G2167=""),"",F2167*G2167+IF(J2167="",0,J2167))</f>
        <v/>
      </c>
      <c r="I2167" s="5" t="n"/>
      <c r="J2167" s="5" t="n"/>
    </row>
    <row r="2168">
      <c r="A2168" s="5" t="n"/>
      <c r="B2168" s="5" t="n"/>
      <c r="C2168" s="5" t="n"/>
      <c r="D2168" s="5" t="n"/>
      <c r="E2168" s="4">
        <f>IF(C2168="","",COUNTIF($C$7:C2168,C2168))</f>
        <v/>
      </c>
      <c r="F2168" s="4">
        <f>IF(E2168="","",IF(E2168&lt;=3,6,IF(E2168&lt;=6,5,IF(E2168&lt;=9,4,IF(E2168&lt;=12,3,IF(E2168&lt;=15,2,0))))))</f>
        <v/>
      </c>
      <c r="G2168" s="5" t="n"/>
      <c r="H2168" s="4">
        <f>IF(OR(F2168="",G2168=""),"",F2168*G2168+IF(J2168="",0,J2168))</f>
        <v/>
      </c>
      <c r="I2168" s="5" t="n"/>
      <c r="J2168" s="5" t="n"/>
    </row>
    <row r="2169">
      <c r="A2169" s="5" t="n"/>
      <c r="B2169" s="5" t="n"/>
      <c r="C2169" s="5" t="n"/>
      <c r="D2169" s="5" t="n"/>
      <c r="E2169" s="4">
        <f>IF(C2169="","",COUNTIF($C$7:C2169,C2169))</f>
        <v/>
      </c>
      <c r="F2169" s="4">
        <f>IF(E2169="","",IF(E2169&lt;=3,6,IF(E2169&lt;=6,5,IF(E2169&lt;=9,4,IF(E2169&lt;=12,3,IF(E2169&lt;=15,2,0))))))</f>
        <v/>
      </c>
      <c r="G2169" s="5" t="n"/>
      <c r="H2169" s="4">
        <f>IF(OR(F2169="",G2169=""),"",F2169*G2169+IF(J2169="",0,J2169))</f>
        <v/>
      </c>
      <c r="I2169" s="5" t="n"/>
      <c r="J2169" s="5" t="n"/>
    </row>
    <row r="2170">
      <c r="A2170" s="5" t="n"/>
      <c r="B2170" s="5" t="n"/>
      <c r="C2170" s="5" t="n"/>
      <c r="D2170" s="5" t="n"/>
      <c r="E2170" s="4">
        <f>IF(C2170="","",COUNTIF($C$7:C2170,C2170))</f>
        <v/>
      </c>
      <c r="F2170" s="4">
        <f>IF(E2170="","",IF(E2170&lt;=3,6,IF(E2170&lt;=6,5,IF(E2170&lt;=9,4,IF(E2170&lt;=12,3,IF(E2170&lt;=15,2,0))))))</f>
        <v/>
      </c>
      <c r="G2170" s="5" t="n"/>
      <c r="H2170" s="4">
        <f>IF(OR(F2170="",G2170=""),"",F2170*G2170+IF(J2170="",0,J2170))</f>
        <v/>
      </c>
      <c r="I2170" s="5" t="n"/>
      <c r="J2170" s="5" t="n"/>
    </row>
    <row r="2171">
      <c r="A2171" s="5" t="n"/>
      <c r="B2171" s="5" t="n"/>
      <c r="C2171" s="5" t="n"/>
      <c r="D2171" s="5" t="n"/>
      <c r="E2171" s="4">
        <f>IF(C2171="","",COUNTIF($C$7:C2171,C2171))</f>
        <v/>
      </c>
      <c r="F2171" s="4">
        <f>IF(E2171="","",IF(E2171&lt;=3,6,IF(E2171&lt;=6,5,IF(E2171&lt;=9,4,IF(E2171&lt;=12,3,IF(E2171&lt;=15,2,0))))))</f>
        <v/>
      </c>
      <c r="G2171" s="5" t="n"/>
      <c r="H2171" s="4">
        <f>IF(OR(F2171="",G2171=""),"",F2171*G2171+IF(J2171="",0,J2171))</f>
        <v/>
      </c>
      <c r="I2171" s="5" t="n"/>
      <c r="J2171" s="5" t="n"/>
    </row>
    <row r="2172">
      <c r="A2172" s="5" t="n"/>
      <c r="B2172" s="5" t="n"/>
      <c r="C2172" s="5" t="n"/>
      <c r="D2172" s="5" t="n"/>
      <c r="E2172" s="4">
        <f>IF(C2172="","",COUNTIF($C$7:C2172,C2172))</f>
        <v/>
      </c>
      <c r="F2172" s="4">
        <f>IF(E2172="","",IF(E2172&lt;=3,6,IF(E2172&lt;=6,5,IF(E2172&lt;=9,4,IF(E2172&lt;=12,3,IF(E2172&lt;=15,2,0))))))</f>
        <v/>
      </c>
      <c r="G2172" s="5" t="n"/>
      <c r="H2172" s="4">
        <f>IF(OR(F2172="",G2172=""),"",F2172*G2172+IF(J2172="",0,J2172))</f>
        <v/>
      </c>
      <c r="I2172" s="5" t="n"/>
      <c r="J2172" s="5" t="n"/>
    </row>
    <row r="2173">
      <c r="A2173" s="5" t="n"/>
      <c r="B2173" s="5" t="n"/>
      <c r="C2173" s="5" t="n"/>
      <c r="D2173" s="5" t="n"/>
      <c r="E2173" s="4">
        <f>IF(C2173="","",COUNTIF($C$7:C2173,C2173))</f>
        <v/>
      </c>
      <c r="F2173" s="4">
        <f>IF(E2173="","",IF(E2173&lt;=3,6,IF(E2173&lt;=6,5,IF(E2173&lt;=9,4,IF(E2173&lt;=12,3,IF(E2173&lt;=15,2,0))))))</f>
        <v/>
      </c>
      <c r="G2173" s="5" t="n"/>
      <c r="H2173" s="4">
        <f>IF(OR(F2173="",G2173=""),"",F2173*G2173+IF(J2173="",0,J2173))</f>
        <v/>
      </c>
      <c r="I2173" s="5" t="n"/>
      <c r="J2173" s="5" t="n"/>
    </row>
    <row r="2174">
      <c r="A2174" s="5" t="n"/>
      <c r="B2174" s="5" t="n"/>
      <c r="C2174" s="5" t="n"/>
      <c r="D2174" s="5" t="n"/>
      <c r="E2174" s="4">
        <f>IF(C2174="","",COUNTIF($C$7:C2174,C2174))</f>
        <v/>
      </c>
      <c r="F2174" s="4">
        <f>IF(E2174="","",IF(E2174&lt;=3,6,IF(E2174&lt;=6,5,IF(E2174&lt;=9,4,IF(E2174&lt;=12,3,IF(E2174&lt;=15,2,0))))))</f>
        <v/>
      </c>
      <c r="G2174" s="5" t="n"/>
      <c r="H2174" s="4">
        <f>IF(OR(F2174="",G2174=""),"",F2174*G2174+IF(J2174="",0,J2174))</f>
        <v/>
      </c>
      <c r="I2174" s="5" t="n"/>
      <c r="J2174" s="5" t="n"/>
    </row>
    <row r="2175">
      <c r="A2175" s="5" t="n"/>
      <c r="B2175" s="5" t="n"/>
      <c r="C2175" s="5" t="n"/>
      <c r="D2175" s="5" t="n"/>
      <c r="E2175" s="4">
        <f>IF(C2175="","",COUNTIF($C$7:C2175,C2175))</f>
        <v/>
      </c>
      <c r="F2175" s="4">
        <f>IF(E2175="","",IF(E2175&lt;=3,6,IF(E2175&lt;=6,5,IF(E2175&lt;=9,4,IF(E2175&lt;=12,3,IF(E2175&lt;=15,2,0))))))</f>
        <v/>
      </c>
      <c r="G2175" s="5" t="n"/>
      <c r="H2175" s="4">
        <f>IF(OR(F2175="",G2175=""),"",F2175*G2175+IF(J2175="",0,J2175))</f>
        <v/>
      </c>
      <c r="I2175" s="5" t="n"/>
      <c r="J2175" s="5" t="n"/>
    </row>
    <row r="2176">
      <c r="A2176" s="5" t="n"/>
      <c r="B2176" s="5" t="n"/>
      <c r="C2176" s="5" t="n"/>
      <c r="D2176" s="5" t="n"/>
      <c r="E2176" s="4">
        <f>IF(C2176="","",COUNTIF($C$7:C2176,C2176))</f>
        <v/>
      </c>
      <c r="F2176" s="4">
        <f>IF(E2176="","",IF(E2176&lt;=3,6,IF(E2176&lt;=6,5,IF(E2176&lt;=9,4,IF(E2176&lt;=12,3,IF(E2176&lt;=15,2,0))))))</f>
        <v/>
      </c>
      <c r="G2176" s="5" t="n"/>
      <c r="H2176" s="4">
        <f>IF(OR(F2176="",G2176=""),"",F2176*G2176+IF(J2176="",0,J2176))</f>
        <v/>
      </c>
      <c r="I2176" s="5" t="n"/>
      <c r="J2176" s="5" t="n"/>
    </row>
    <row r="2177">
      <c r="A2177" s="5" t="n"/>
      <c r="B2177" s="5" t="n"/>
      <c r="C2177" s="5" t="n"/>
      <c r="D2177" s="5" t="n"/>
      <c r="E2177" s="4">
        <f>IF(C2177="","",COUNTIF($C$7:C2177,C2177))</f>
        <v/>
      </c>
      <c r="F2177" s="4">
        <f>IF(E2177="","",IF(E2177&lt;=3,6,IF(E2177&lt;=6,5,IF(E2177&lt;=9,4,IF(E2177&lt;=12,3,IF(E2177&lt;=15,2,0))))))</f>
        <v/>
      </c>
      <c r="G2177" s="5" t="n"/>
      <c r="H2177" s="4">
        <f>IF(OR(F2177="",G2177=""),"",F2177*G2177+IF(J2177="",0,J2177))</f>
        <v/>
      </c>
      <c r="I2177" s="5" t="n"/>
      <c r="J2177" s="5" t="n"/>
    </row>
    <row r="2178">
      <c r="A2178" s="5" t="n"/>
      <c r="B2178" s="5" t="n"/>
      <c r="C2178" s="5" t="n"/>
      <c r="D2178" s="5" t="n"/>
      <c r="E2178" s="4">
        <f>IF(C2178="","",COUNTIF($C$7:C2178,C2178))</f>
        <v/>
      </c>
      <c r="F2178" s="4">
        <f>IF(E2178="","",IF(E2178&lt;=3,6,IF(E2178&lt;=6,5,IF(E2178&lt;=9,4,IF(E2178&lt;=12,3,IF(E2178&lt;=15,2,0))))))</f>
        <v/>
      </c>
      <c r="G2178" s="5" t="n"/>
      <c r="H2178" s="4">
        <f>IF(OR(F2178="",G2178=""),"",F2178*G2178+IF(J2178="",0,J2178))</f>
        <v/>
      </c>
      <c r="I2178" s="5" t="n"/>
      <c r="J2178" s="5" t="n"/>
    </row>
    <row r="2179">
      <c r="A2179" s="5" t="n"/>
      <c r="B2179" s="5" t="n"/>
      <c r="C2179" s="5" t="n"/>
      <c r="D2179" s="5" t="n"/>
      <c r="E2179" s="4">
        <f>IF(C2179="","",COUNTIF($C$7:C2179,C2179))</f>
        <v/>
      </c>
      <c r="F2179" s="4">
        <f>IF(E2179="","",IF(E2179&lt;=3,6,IF(E2179&lt;=6,5,IF(E2179&lt;=9,4,IF(E2179&lt;=12,3,IF(E2179&lt;=15,2,0))))))</f>
        <v/>
      </c>
      <c r="G2179" s="5" t="n"/>
      <c r="H2179" s="4">
        <f>IF(OR(F2179="",G2179=""),"",F2179*G2179+IF(J2179="",0,J2179))</f>
        <v/>
      </c>
      <c r="I2179" s="5" t="n"/>
      <c r="J2179" s="5" t="n"/>
    </row>
    <row r="2180">
      <c r="A2180" s="5" t="n"/>
      <c r="B2180" s="5" t="n"/>
      <c r="C2180" s="5" t="n"/>
      <c r="D2180" s="5" t="n"/>
      <c r="E2180" s="4">
        <f>IF(C2180="","",COUNTIF($C$7:C2180,C2180))</f>
        <v/>
      </c>
      <c r="F2180" s="4">
        <f>IF(E2180="","",IF(E2180&lt;=3,6,IF(E2180&lt;=6,5,IF(E2180&lt;=9,4,IF(E2180&lt;=12,3,IF(E2180&lt;=15,2,0))))))</f>
        <v/>
      </c>
      <c r="G2180" s="5" t="n"/>
      <c r="H2180" s="4">
        <f>IF(OR(F2180="",G2180=""),"",F2180*G2180+IF(J2180="",0,J2180))</f>
        <v/>
      </c>
      <c r="I2180" s="5" t="n"/>
      <c r="J2180" s="5" t="n"/>
    </row>
    <row r="2181">
      <c r="A2181" s="5" t="n"/>
      <c r="B2181" s="5" t="n"/>
      <c r="C2181" s="5" t="n"/>
      <c r="D2181" s="5" t="n"/>
      <c r="E2181" s="4">
        <f>IF(C2181="","",COUNTIF($C$7:C2181,C2181))</f>
        <v/>
      </c>
      <c r="F2181" s="4">
        <f>IF(E2181="","",IF(E2181&lt;=3,6,IF(E2181&lt;=6,5,IF(E2181&lt;=9,4,IF(E2181&lt;=12,3,IF(E2181&lt;=15,2,0))))))</f>
        <v/>
      </c>
      <c r="G2181" s="5" t="n"/>
      <c r="H2181" s="4">
        <f>IF(OR(F2181="",G2181=""),"",F2181*G2181+IF(J2181="",0,J2181))</f>
        <v/>
      </c>
      <c r="I2181" s="5" t="n"/>
      <c r="J2181" s="5" t="n"/>
    </row>
    <row r="2182">
      <c r="A2182" s="5" t="n"/>
      <c r="B2182" s="5" t="n"/>
      <c r="C2182" s="5" t="n"/>
      <c r="D2182" s="5" t="n"/>
      <c r="E2182" s="4">
        <f>IF(C2182="","",COUNTIF($C$7:C2182,C2182))</f>
        <v/>
      </c>
      <c r="F2182" s="4">
        <f>IF(E2182="","",IF(E2182&lt;=3,6,IF(E2182&lt;=6,5,IF(E2182&lt;=9,4,IF(E2182&lt;=12,3,IF(E2182&lt;=15,2,0))))))</f>
        <v/>
      </c>
      <c r="G2182" s="5" t="n"/>
      <c r="H2182" s="4">
        <f>IF(OR(F2182="",G2182=""),"",F2182*G2182+IF(J2182="",0,J2182))</f>
        <v/>
      </c>
      <c r="I2182" s="5" t="n"/>
      <c r="J2182" s="5" t="n"/>
    </row>
    <row r="2183">
      <c r="A2183" s="5" t="n"/>
      <c r="B2183" s="5" t="n"/>
      <c r="C2183" s="5" t="n"/>
      <c r="D2183" s="5" t="n"/>
      <c r="E2183" s="4">
        <f>IF(C2183="","",COUNTIF($C$7:C2183,C2183))</f>
        <v/>
      </c>
      <c r="F2183" s="4">
        <f>IF(E2183="","",IF(E2183&lt;=3,6,IF(E2183&lt;=6,5,IF(E2183&lt;=9,4,IF(E2183&lt;=12,3,IF(E2183&lt;=15,2,0))))))</f>
        <v/>
      </c>
      <c r="G2183" s="5" t="n"/>
      <c r="H2183" s="4">
        <f>IF(OR(F2183="",G2183=""),"",F2183*G2183+IF(J2183="",0,J2183))</f>
        <v/>
      </c>
      <c r="I2183" s="5" t="n"/>
      <c r="J2183" s="5" t="n"/>
    </row>
    <row r="2184">
      <c r="A2184" s="5" t="n"/>
      <c r="B2184" s="5" t="n"/>
      <c r="C2184" s="5" t="n"/>
      <c r="D2184" s="5" t="n"/>
      <c r="E2184" s="4">
        <f>IF(C2184="","",COUNTIF($C$7:C2184,C2184))</f>
        <v/>
      </c>
      <c r="F2184" s="4">
        <f>IF(E2184="","",IF(E2184&lt;=3,6,IF(E2184&lt;=6,5,IF(E2184&lt;=9,4,IF(E2184&lt;=12,3,IF(E2184&lt;=15,2,0))))))</f>
        <v/>
      </c>
      <c r="G2184" s="5" t="n"/>
      <c r="H2184" s="4">
        <f>IF(OR(F2184="",G2184=""),"",F2184*G2184+IF(J2184="",0,J2184))</f>
        <v/>
      </c>
      <c r="I2184" s="5" t="n"/>
      <c r="J2184" s="5" t="n"/>
    </row>
    <row r="2185">
      <c r="A2185" s="5" t="n"/>
      <c r="B2185" s="5" t="n"/>
      <c r="C2185" s="5" t="n"/>
      <c r="D2185" s="5" t="n"/>
      <c r="E2185" s="4">
        <f>IF(C2185="","",COUNTIF($C$7:C2185,C2185))</f>
        <v/>
      </c>
      <c r="F2185" s="4">
        <f>IF(E2185="","",IF(E2185&lt;=3,6,IF(E2185&lt;=6,5,IF(E2185&lt;=9,4,IF(E2185&lt;=12,3,IF(E2185&lt;=15,2,0))))))</f>
        <v/>
      </c>
      <c r="G2185" s="5" t="n"/>
      <c r="H2185" s="4">
        <f>IF(OR(F2185="",G2185=""),"",F2185*G2185+IF(J2185="",0,J2185))</f>
        <v/>
      </c>
      <c r="I2185" s="5" t="n"/>
      <c r="J2185" s="5" t="n"/>
    </row>
    <row r="2186">
      <c r="A2186" s="5" t="n"/>
      <c r="B2186" s="5" t="n"/>
      <c r="C2186" s="5" t="n"/>
      <c r="D2186" s="5" t="n"/>
      <c r="E2186" s="4">
        <f>IF(C2186="","",COUNTIF($C$7:C2186,C2186))</f>
        <v/>
      </c>
      <c r="F2186" s="4">
        <f>IF(E2186="","",IF(E2186&lt;=3,6,IF(E2186&lt;=6,5,IF(E2186&lt;=9,4,IF(E2186&lt;=12,3,IF(E2186&lt;=15,2,0))))))</f>
        <v/>
      </c>
      <c r="G2186" s="5" t="n"/>
      <c r="H2186" s="4">
        <f>IF(OR(F2186="",G2186=""),"",F2186*G2186+IF(J2186="",0,J2186))</f>
        <v/>
      </c>
      <c r="I2186" s="5" t="n"/>
      <c r="J2186" s="5" t="n"/>
    </row>
    <row r="2187">
      <c r="A2187" s="5" t="n"/>
      <c r="B2187" s="5" t="n"/>
      <c r="C2187" s="5" t="n"/>
      <c r="D2187" s="5" t="n"/>
      <c r="E2187" s="4">
        <f>IF(C2187="","",COUNTIF($C$7:C2187,C2187))</f>
        <v/>
      </c>
      <c r="F2187" s="4">
        <f>IF(E2187="","",IF(E2187&lt;=3,6,IF(E2187&lt;=6,5,IF(E2187&lt;=9,4,IF(E2187&lt;=12,3,IF(E2187&lt;=15,2,0))))))</f>
        <v/>
      </c>
      <c r="G2187" s="5" t="n"/>
      <c r="H2187" s="4">
        <f>IF(OR(F2187="",G2187=""),"",F2187*G2187+IF(J2187="",0,J2187))</f>
        <v/>
      </c>
      <c r="I2187" s="5" t="n"/>
      <c r="J2187" s="5" t="n"/>
    </row>
    <row r="2188">
      <c r="A2188" s="5" t="n"/>
      <c r="B2188" s="5" t="n"/>
      <c r="C2188" s="5" t="n"/>
      <c r="D2188" s="5" t="n"/>
      <c r="E2188" s="4">
        <f>IF(C2188="","",COUNTIF($C$7:C2188,C2188))</f>
        <v/>
      </c>
      <c r="F2188" s="4">
        <f>IF(E2188="","",IF(E2188&lt;=3,6,IF(E2188&lt;=6,5,IF(E2188&lt;=9,4,IF(E2188&lt;=12,3,IF(E2188&lt;=15,2,0))))))</f>
        <v/>
      </c>
      <c r="G2188" s="5" t="n"/>
      <c r="H2188" s="4">
        <f>IF(OR(F2188="",G2188=""),"",F2188*G2188+IF(J2188="",0,J2188))</f>
        <v/>
      </c>
      <c r="I2188" s="5" t="n"/>
      <c r="J2188" s="5" t="n"/>
    </row>
    <row r="2189">
      <c r="A2189" s="5" t="n"/>
      <c r="B2189" s="5" t="n"/>
      <c r="C2189" s="5" t="n"/>
      <c r="D2189" s="5" t="n"/>
      <c r="E2189" s="4">
        <f>IF(C2189="","",COUNTIF($C$7:C2189,C2189))</f>
        <v/>
      </c>
      <c r="F2189" s="4">
        <f>IF(E2189="","",IF(E2189&lt;=3,6,IF(E2189&lt;=6,5,IF(E2189&lt;=9,4,IF(E2189&lt;=12,3,IF(E2189&lt;=15,2,0))))))</f>
        <v/>
      </c>
      <c r="G2189" s="5" t="n"/>
      <c r="H2189" s="4">
        <f>IF(OR(F2189="",G2189=""),"",F2189*G2189+IF(J2189="",0,J2189))</f>
        <v/>
      </c>
      <c r="I2189" s="5" t="n"/>
      <c r="J2189" s="5" t="n"/>
    </row>
    <row r="2190">
      <c r="A2190" s="5" t="n"/>
      <c r="B2190" s="5" t="n"/>
      <c r="C2190" s="5" t="n"/>
      <c r="D2190" s="5" t="n"/>
      <c r="E2190" s="4">
        <f>IF(C2190="","",COUNTIF($C$7:C2190,C2190))</f>
        <v/>
      </c>
      <c r="F2190" s="4">
        <f>IF(E2190="","",IF(E2190&lt;=3,6,IF(E2190&lt;=6,5,IF(E2190&lt;=9,4,IF(E2190&lt;=12,3,IF(E2190&lt;=15,2,0))))))</f>
        <v/>
      </c>
      <c r="G2190" s="5" t="n"/>
      <c r="H2190" s="4">
        <f>IF(OR(F2190="",G2190=""),"",F2190*G2190+IF(J2190="",0,J2190))</f>
        <v/>
      </c>
      <c r="I2190" s="5" t="n"/>
      <c r="J2190" s="5" t="n"/>
    </row>
    <row r="2191">
      <c r="A2191" s="5" t="n"/>
      <c r="B2191" s="5" t="n"/>
      <c r="C2191" s="5" t="n"/>
      <c r="D2191" s="5" t="n"/>
      <c r="E2191" s="4">
        <f>IF(C2191="","",COUNTIF($C$7:C2191,C2191))</f>
        <v/>
      </c>
      <c r="F2191" s="4">
        <f>IF(E2191="","",IF(E2191&lt;=3,6,IF(E2191&lt;=6,5,IF(E2191&lt;=9,4,IF(E2191&lt;=12,3,IF(E2191&lt;=15,2,0))))))</f>
        <v/>
      </c>
      <c r="G2191" s="5" t="n"/>
      <c r="H2191" s="4">
        <f>IF(OR(F2191="",G2191=""),"",F2191*G2191+IF(J2191="",0,J2191))</f>
        <v/>
      </c>
      <c r="I2191" s="5" t="n"/>
      <c r="J2191" s="5" t="n"/>
    </row>
    <row r="2192">
      <c r="A2192" s="5" t="n"/>
      <c r="B2192" s="5" t="n"/>
      <c r="C2192" s="5" t="n"/>
      <c r="D2192" s="5" t="n"/>
      <c r="E2192" s="4">
        <f>IF(C2192="","",COUNTIF($C$7:C2192,C2192))</f>
        <v/>
      </c>
      <c r="F2192" s="4">
        <f>IF(E2192="","",IF(E2192&lt;=3,6,IF(E2192&lt;=6,5,IF(E2192&lt;=9,4,IF(E2192&lt;=12,3,IF(E2192&lt;=15,2,0))))))</f>
        <v/>
      </c>
      <c r="G2192" s="5" t="n"/>
      <c r="H2192" s="4">
        <f>IF(OR(F2192="",G2192=""),"",F2192*G2192+IF(J2192="",0,J2192))</f>
        <v/>
      </c>
      <c r="I2192" s="5" t="n"/>
      <c r="J2192" s="5" t="n"/>
    </row>
    <row r="2193">
      <c r="A2193" s="5" t="n"/>
      <c r="B2193" s="5" t="n"/>
      <c r="C2193" s="5" t="n"/>
      <c r="D2193" s="5" t="n"/>
      <c r="E2193" s="4">
        <f>IF(C2193="","",COUNTIF($C$7:C2193,C2193))</f>
        <v/>
      </c>
      <c r="F2193" s="4">
        <f>IF(E2193="","",IF(E2193&lt;=3,6,IF(E2193&lt;=6,5,IF(E2193&lt;=9,4,IF(E2193&lt;=12,3,IF(E2193&lt;=15,2,0))))))</f>
        <v/>
      </c>
      <c r="G2193" s="5" t="n"/>
      <c r="H2193" s="4">
        <f>IF(OR(F2193="",G2193=""),"",F2193*G2193+IF(J2193="",0,J2193))</f>
        <v/>
      </c>
      <c r="I2193" s="5" t="n"/>
      <c r="J2193" s="5" t="n"/>
    </row>
    <row r="2194">
      <c r="A2194" s="5" t="n"/>
      <c r="B2194" s="5" t="n"/>
      <c r="C2194" s="5" t="n"/>
      <c r="D2194" s="5" t="n"/>
      <c r="E2194" s="4">
        <f>IF(C2194="","",COUNTIF($C$7:C2194,C2194))</f>
        <v/>
      </c>
      <c r="F2194" s="4">
        <f>IF(E2194="","",IF(E2194&lt;=3,6,IF(E2194&lt;=6,5,IF(E2194&lt;=9,4,IF(E2194&lt;=12,3,IF(E2194&lt;=15,2,0))))))</f>
        <v/>
      </c>
      <c r="G2194" s="5" t="n"/>
      <c r="H2194" s="4">
        <f>IF(OR(F2194="",G2194=""),"",F2194*G2194+IF(J2194="",0,J2194))</f>
        <v/>
      </c>
      <c r="I2194" s="5" t="n"/>
      <c r="J2194" s="5" t="n"/>
    </row>
    <row r="2195">
      <c r="A2195" s="5" t="n"/>
      <c r="B2195" s="5" t="n"/>
      <c r="C2195" s="5" t="n"/>
      <c r="D2195" s="5" t="n"/>
      <c r="E2195" s="4">
        <f>IF(C2195="","",COUNTIF($C$7:C2195,C2195))</f>
        <v/>
      </c>
      <c r="F2195" s="4">
        <f>IF(E2195="","",IF(E2195&lt;=3,6,IF(E2195&lt;=6,5,IF(E2195&lt;=9,4,IF(E2195&lt;=12,3,IF(E2195&lt;=15,2,0))))))</f>
        <v/>
      </c>
      <c r="G2195" s="5" t="n"/>
      <c r="H2195" s="4">
        <f>IF(OR(F2195="",G2195=""),"",F2195*G2195+IF(J2195="",0,J2195))</f>
        <v/>
      </c>
      <c r="I2195" s="5" t="n"/>
      <c r="J2195" s="5" t="n"/>
    </row>
    <row r="2196">
      <c r="A2196" s="5" t="n"/>
      <c r="B2196" s="5" t="n"/>
      <c r="C2196" s="5" t="n"/>
      <c r="D2196" s="5" t="n"/>
      <c r="E2196" s="4">
        <f>IF(C2196="","",COUNTIF($C$7:C2196,C2196))</f>
        <v/>
      </c>
      <c r="F2196" s="4">
        <f>IF(E2196="","",IF(E2196&lt;=3,6,IF(E2196&lt;=6,5,IF(E2196&lt;=9,4,IF(E2196&lt;=12,3,IF(E2196&lt;=15,2,0))))))</f>
        <v/>
      </c>
      <c r="G2196" s="5" t="n"/>
      <c r="H2196" s="4">
        <f>IF(OR(F2196="",G2196=""),"",F2196*G2196+IF(J2196="",0,J2196))</f>
        <v/>
      </c>
      <c r="I2196" s="5" t="n"/>
      <c r="J2196" s="5" t="n"/>
    </row>
    <row r="2197">
      <c r="A2197" s="5" t="n"/>
      <c r="B2197" s="5" t="n"/>
      <c r="C2197" s="5" t="n"/>
      <c r="D2197" s="5" t="n"/>
      <c r="E2197" s="4">
        <f>IF(C2197="","",COUNTIF($C$7:C2197,C2197))</f>
        <v/>
      </c>
      <c r="F2197" s="4">
        <f>IF(E2197="","",IF(E2197&lt;=3,6,IF(E2197&lt;=6,5,IF(E2197&lt;=9,4,IF(E2197&lt;=12,3,IF(E2197&lt;=15,2,0))))))</f>
        <v/>
      </c>
      <c r="G2197" s="5" t="n"/>
      <c r="H2197" s="4">
        <f>IF(OR(F2197="",G2197=""),"",F2197*G2197+IF(J2197="",0,J2197))</f>
        <v/>
      </c>
      <c r="I2197" s="5" t="n"/>
      <c r="J2197" s="5" t="n"/>
    </row>
    <row r="2198">
      <c r="A2198" s="5" t="n"/>
      <c r="B2198" s="5" t="n"/>
      <c r="C2198" s="5" t="n"/>
      <c r="D2198" s="5" t="n"/>
      <c r="E2198" s="4">
        <f>IF(C2198="","",COUNTIF($C$7:C2198,C2198))</f>
        <v/>
      </c>
      <c r="F2198" s="4">
        <f>IF(E2198="","",IF(E2198&lt;=3,6,IF(E2198&lt;=6,5,IF(E2198&lt;=9,4,IF(E2198&lt;=12,3,IF(E2198&lt;=15,2,0))))))</f>
        <v/>
      </c>
      <c r="G2198" s="5" t="n"/>
      <c r="H2198" s="4">
        <f>IF(OR(F2198="",G2198=""),"",F2198*G2198+IF(J2198="",0,J2198))</f>
        <v/>
      </c>
      <c r="I2198" s="5" t="n"/>
      <c r="J2198" s="5" t="n"/>
    </row>
    <row r="2199">
      <c r="A2199" s="5" t="n"/>
      <c r="B2199" s="5" t="n"/>
      <c r="C2199" s="5" t="n"/>
      <c r="D2199" s="5" t="n"/>
      <c r="E2199" s="4">
        <f>IF(C2199="","",COUNTIF($C$7:C2199,C2199))</f>
        <v/>
      </c>
      <c r="F2199" s="4">
        <f>IF(E2199="","",IF(E2199&lt;=3,6,IF(E2199&lt;=6,5,IF(E2199&lt;=9,4,IF(E2199&lt;=12,3,IF(E2199&lt;=15,2,0))))))</f>
        <v/>
      </c>
      <c r="G2199" s="5" t="n"/>
      <c r="H2199" s="4">
        <f>IF(OR(F2199="",G2199=""),"",F2199*G2199+IF(J2199="",0,J2199))</f>
        <v/>
      </c>
      <c r="I2199" s="5" t="n"/>
      <c r="J2199" s="5" t="n"/>
    </row>
    <row r="2200">
      <c r="A2200" s="5" t="n"/>
      <c r="B2200" s="5" t="n"/>
      <c r="C2200" s="5" t="n"/>
      <c r="D2200" s="5" t="n"/>
      <c r="E2200" s="4">
        <f>IF(C2200="","",COUNTIF($C$7:C2200,C2200))</f>
        <v/>
      </c>
      <c r="F2200" s="4">
        <f>IF(E2200="","",IF(E2200&lt;=3,6,IF(E2200&lt;=6,5,IF(E2200&lt;=9,4,IF(E2200&lt;=12,3,IF(E2200&lt;=15,2,0))))))</f>
        <v/>
      </c>
      <c r="G2200" s="5" t="n"/>
      <c r="H2200" s="4">
        <f>IF(OR(F2200="",G2200=""),"",F2200*G2200+IF(J2200="",0,J2200))</f>
        <v/>
      </c>
      <c r="I2200" s="5" t="n"/>
      <c r="J2200" s="5" t="n"/>
    </row>
    <row r="2201">
      <c r="A2201" s="5" t="n"/>
      <c r="B2201" s="5" t="n"/>
      <c r="C2201" s="5" t="n"/>
      <c r="D2201" s="5" t="n"/>
      <c r="E2201" s="4">
        <f>IF(C2201="","",COUNTIF($C$7:C2201,C2201))</f>
        <v/>
      </c>
      <c r="F2201" s="4">
        <f>IF(E2201="","",IF(E2201&lt;=3,6,IF(E2201&lt;=6,5,IF(E2201&lt;=9,4,IF(E2201&lt;=12,3,IF(E2201&lt;=15,2,0))))))</f>
        <v/>
      </c>
      <c r="G2201" s="5" t="n"/>
      <c r="H2201" s="4">
        <f>IF(OR(F2201="",G2201=""),"",F2201*G2201+IF(J2201="",0,J2201))</f>
        <v/>
      </c>
      <c r="I2201" s="5" t="n"/>
      <c r="J2201" s="5" t="n"/>
    </row>
    <row r="2202">
      <c r="A2202" s="5" t="n"/>
      <c r="B2202" s="5" t="n"/>
      <c r="C2202" s="5" t="n"/>
      <c r="D2202" s="5" t="n"/>
      <c r="E2202" s="4">
        <f>IF(C2202="","",COUNTIF($C$7:C2202,C2202))</f>
        <v/>
      </c>
      <c r="F2202" s="4">
        <f>IF(E2202="","",IF(E2202&lt;=3,6,IF(E2202&lt;=6,5,IF(E2202&lt;=9,4,IF(E2202&lt;=12,3,IF(E2202&lt;=15,2,0))))))</f>
        <v/>
      </c>
      <c r="G2202" s="5" t="n"/>
      <c r="H2202" s="4">
        <f>IF(OR(F2202="",G2202=""),"",F2202*G2202+IF(J2202="",0,J2202))</f>
        <v/>
      </c>
      <c r="I2202" s="5" t="n"/>
      <c r="J2202" s="5" t="n"/>
    </row>
    <row r="2203">
      <c r="A2203" s="5" t="n"/>
      <c r="B2203" s="5" t="n"/>
      <c r="C2203" s="5" t="n"/>
      <c r="D2203" s="5" t="n"/>
      <c r="E2203" s="4">
        <f>IF(C2203="","",COUNTIF($C$7:C2203,C2203))</f>
        <v/>
      </c>
      <c r="F2203" s="4">
        <f>IF(E2203="","",IF(E2203&lt;=3,6,IF(E2203&lt;=6,5,IF(E2203&lt;=9,4,IF(E2203&lt;=12,3,IF(E2203&lt;=15,2,0))))))</f>
        <v/>
      </c>
      <c r="G2203" s="5" t="n"/>
      <c r="H2203" s="4">
        <f>IF(OR(F2203="",G2203=""),"",F2203*G2203+IF(J2203="",0,J2203))</f>
        <v/>
      </c>
      <c r="I2203" s="5" t="n"/>
      <c r="J2203" s="5" t="n"/>
    </row>
    <row r="2204">
      <c r="A2204" s="5" t="n"/>
      <c r="B2204" s="5" t="n"/>
      <c r="C2204" s="5" t="n"/>
      <c r="D2204" s="5" t="n"/>
      <c r="E2204" s="4">
        <f>IF(C2204="","",COUNTIF($C$7:C2204,C2204))</f>
        <v/>
      </c>
      <c r="F2204" s="4">
        <f>IF(E2204="","",IF(E2204&lt;=3,6,IF(E2204&lt;=6,5,IF(E2204&lt;=9,4,IF(E2204&lt;=12,3,IF(E2204&lt;=15,2,0))))))</f>
        <v/>
      </c>
      <c r="G2204" s="5" t="n"/>
      <c r="H2204" s="4">
        <f>IF(OR(F2204="",G2204=""),"",F2204*G2204+IF(J2204="",0,J2204))</f>
        <v/>
      </c>
      <c r="I2204" s="5" t="n"/>
      <c r="J2204" s="5" t="n"/>
    </row>
    <row r="2205">
      <c r="A2205" s="5" t="n"/>
      <c r="B2205" s="5" t="n"/>
      <c r="C2205" s="5" t="n"/>
      <c r="D2205" s="5" t="n"/>
      <c r="E2205" s="4">
        <f>IF(C2205="","",COUNTIF($C$7:C2205,C2205))</f>
        <v/>
      </c>
      <c r="F2205" s="4">
        <f>IF(E2205="","",IF(E2205&lt;=3,6,IF(E2205&lt;=6,5,IF(E2205&lt;=9,4,IF(E2205&lt;=12,3,IF(E2205&lt;=15,2,0))))))</f>
        <v/>
      </c>
      <c r="G2205" s="5" t="n"/>
      <c r="H2205" s="4">
        <f>IF(OR(F2205="",G2205=""),"",F2205*G2205+IF(J2205="",0,J2205))</f>
        <v/>
      </c>
      <c r="I2205" s="5" t="n"/>
      <c r="J2205" s="5" t="n"/>
    </row>
    <row r="2206">
      <c r="A2206" s="5" t="n"/>
      <c r="B2206" s="5" t="n"/>
      <c r="C2206" s="5" t="n"/>
      <c r="D2206" s="5" t="n"/>
      <c r="E2206" s="4">
        <f>IF(C2206="","",COUNTIF($C$7:C2206,C2206))</f>
        <v/>
      </c>
      <c r="F2206" s="4">
        <f>IF(E2206="","",IF(E2206&lt;=3,6,IF(E2206&lt;=6,5,IF(E2206&lt;=9,4,IF(E2206&lt;=12,3,IF(E2206&lt;=15,2,0))))))</f>
        <v/>
      </c>
      <c r="G2206" s="5" t="n"/>
      <c r="H2206" s="4">
        <f>IF(OR(F2206="",G2206=""),"",F2206*G2206+IF(J2206="",0,J2206))</f>
        <v/>
      </c>
      <c r="I2206" s="5" t="n"/>
      <c r="J2206" s="5" t="n"/>
    </row>
    <row r="2207">
      <c r="A2207" s="5" t="n"/>
      <c r="B2207" s="5" t="n"/>
      <c r="C2207" s="5" t="n"/>
      <c r="D2207" s="5" t="n"/>
      <c r="E2207" s="4">
        <f>IF(C2207="","",COUNTIF($C$7:C2207,C2207))</f>
        <v/>
      </c>
      <c r="F2207" s="4">
        <f>IF(E2207="","",IF(E2207&lt;=3,6,IF(E2207&lt;=6,5,IF(E2207&lt;=9,4,IF(E2207&lt;=12,3,IF(E2207&lt;=15,2,0))))))</f>
        <v/>
      </c>
      <c r="G2207" s="5" t="n"/>
      <c r="H2207" s="4">
        <f>IF(OR(F2207="",G2207=""),"",F2207*G2207+IF(J2207="",0,J2207))</f>
        <v/>
      </c>
      <c r="I2207" s="5" t="n"/>
      <c r="J2207" s="5" t="n"/>
    </row>
    <row r="2208">
      <c r="A2208" s="5" t="n"/>
      <c r="B2208" s="5" t="n"/>
      <c r="C2208" s="5" t="n"/>
      <c r="D2208" s="5" t="n"/>
      <c r="E2208" s="4">
        <f>IF(C2208="","",COUNTIF($C$7:C2208,C2208))</f>
        <v/>
      </c>
      <c r="F2208" s="4">
        <f>IF(E2208="","",IF(E2208&lt;=3,6,IF(E2208&lt;=6,5,IF(E2208&lt;=9,4,IF(E2208&lt;=12,3,IF(E2208&lt;=15,2,0))))))</f>
        <v/>
      </c>
      <c r="G2208" s="5" t="n"/>
      <c r="H2208" s="4">
        <f>IF(OR(F2208="",G2208=""),"",F2208*G2208+IF(J2208="",0,J2208))</f>
        <v/>
      </c>
      <c r="I2208" s="5" t="n"/>
      <c r="J2208" s="5" t="n"/>
    </row>
    <row r="2209">
      <c r="A2209" s="5" t="n"/>
      <c r="B2209" s="5" t="n"/>
      <c r="C2209" s="5" t="n"/>
      <c r="D2209" s="5" t="n"/>
      <c r="E2209" s="4">
        <f>IF(C2209="","",COUNTIF($C$7:C2209,C2209))</f>
        <v/>
      </c>
      <c r="F2209" s="4">
        <f>IF(E2209="","",IF(E2209&lt;=3,6,IF(E2209&lt;=6,5,IF(E2209&lt;=9,4,IF(E2209&lt;=12,3,IF(E2209&lt;=15,2,0))))))</f>
        <v/>
      </c>
      <c r="G2209" s="5" t="n"/>
      <c r="H2209" s="4">
        <f>IF(OR(F2209="",G2209=""),"",F2209*G2209+IF(J2209="",0,J2209))</f>
        <v/>
      </c>
      <c r="I2209" s="5" t="n"/>
      <c r="J2209" s="5" t="n"/>
    </row>
    <row r="2210">
      <c r="A2210" s="5" t="n"/>
      <c r="B2210" s="5" t="n"/>
      <c r="C2210" s="5" t="n"/>
      <c r="D2210" s="5" t="n"/>
      <c r="E2210" s="4">
        <f>IF(C2210="","",COUNTIF($C$7:C2210,C2210))</f>
        <v/>
      </c>
      <c r="F2210" s="4">
        <f>IF(E2210="","",IF(E2210&lt;=3,6,IF(E2210&lt;=6,5,IF(E2210&lt;=9,4,IF(E2210&lt;=12,3,IF(E2210&lt;=15,2,0))))))</f>
        <v/>
      </c>
      <c r="G2210" s="5" t="n"/>
      <c r="H2210" s="4">
        <f>IF(OR(F2210="",G2210=""),"",F2210*G2210+IF(J2210="",0,J2210))</f>
        <v/>
      </c>
      <c r="I2210" s="5" t="n"/>
      <c r="J2210" s="5" t="n"/>
    </row>
    <row r="2211">
      <c r="A2211" s="5" t="n"/>
      <c r="B2211" s="5" t="n"/>
      <c r="C2211" s="5" t="n"/>
      <c r="D2211" s="5" t="n"/>
      <c r="E2211" s="4">
        <f>IF(C2211="","",COUNTIF($C$7:C2211,C2211))</f>
        <v/>
      </c>
      <c r="F2211" s="4">
        <f>IF(E2211="","",IF(E2211&lt;=3,6,IF(E2211&lt;=6,5,IF(E2211&lt;=9,4,IF(E2211&lt;=12,3,IF(E2211&lt;=15,2,0))))))</f>
        <v/>
      </c>
      <c r="G2211" s="5" t="n"/>
      <c r="H2211" s="4">
        <f>IF(OR(F2211="",G2211=""),"",F2211*G2211+IF(J2211="",0,J2211))</f>
        <v/>
      </c>
      <c r="I2211" s="5" t="n"/>
      <c r="J2211" s="5" t="n"/>
    </row>
    <row r="2212">
      <c r="A2212" s="5" t="n"/>
      <c r="B2212" s="5" t="n"/>
      <c r="C2212" s="5" t="n"/>
      <c r="D2212" s="5" t="n"/>
      <c r="E2212" s="4">
        <f>IF(C2212="","",COUNTIF($C$7:C2212,C2212))</f>
        <v/>
      </c>
      <c r="F2212" s="4">
        <f>IF(E2212="","",IF(E2212&lt;=3,6,IF(E2212&lt;=6,5,IF(E2212&lt;=9,4,IF(E2212&lt;=12,3,IF(E2212&lt;=15,2,0))))))</f>
        <v/>
      </c>
      <c r="G2212" s="5" t="n"/>
      <c r="H2212" s="4">
        <f>IF(OR(F2212="",G2212=""),"",F2212*G2212+IF(J2212="",0,J2212))</f>
        <v/>
      </c>
      <c r="I2212" s="5" t="n"/>
      <c r="J2212" s="5" t="n"/>
    </row>
    <row r="2213">
      <c r="A2213" s="5" t="n"/>
      <c r="B2213" s="5" t="n"/>
      <c r="C2213" s="5" t="n"/>
      <c r="D2213" s="5" t="n"/>
      <c r="E2213" s="4">
        <f>IF(C2213="","",COUNTIF($C$7:C2213,C2213))</f>
        <v/>
      </c>
      <c r="F2213" s="4">
        <f>IF(E2213="","",IF(E2213&lt;=3,6,IF(E2213&lt;=6,5,IF(E2213&lt;=9,4,IF(E2213&lt;=12,3,IF(E2213&lt;=15,2,0))))))</f>
        <v/>
      </c>
      <c r="G2213" s="5" t="n"/>
      <c r="H2213" s="4">
        <f>IF(OR(F2213="",G2213=""),"",F2213*G2213+IF(J2213="",0,J2213))</f>
        <v/>
      </c>
      <c r="I2213" s="5" t="n"/>
      <c r="J2213" s="5" t="n"/>
    </row>
    <row r="2214">
      <c r="A2214" s="5" t="n"/>
      <c r="B2214" s="5" t="n"/>
      <c r="C2214" s="5" t="n"/>
      <c r="D2214" s="5" t="n"/>
      <c r="E2214" s="4">
        <f>IF(C2214="","",COUNTIF($C$7:C2214,C2214))</f>
        <v/>
      </c>
      <c r="F2214" s="4">
        <f>IF(E2214="","",IF(E2214&lt;=3,6,IF(E2214&lt;=6,5,IF(E2214&lt;=9,4,IF(E2214&lt;=12,3,IF(E2214&lt;=15,2,0))))))</f>
        <v/>
      </c>
      <c r="G2214" s="5" t="n"/>
      <c r="H2214" s="4">
        <f>IF(OR(F2214="",G2214=""),"",F2214*G2214+IF(J2214="",0,J2214))</f>
        <v/>
      </c>
      <c r="I2214" s="5" t="n"/>
      <c r="J2214" s="5" t="n"/>
    </row>
    <row r="2215">
      <c r="A2215" s="5" t="n"/>
      <c r="B2215" s="5" t="n"/>
      <c r="C2215" s="5" t="n"/>
      <c r="D2215" s="5" t="n"/>
      <c r="E2215" s="4">
        <f>IF(C2215="","",COUNTIF($C$7:C2215,C2215))</f>
        <v/>
      </c>
      <c r="F2215" s="4">
        <f>IF(E2215="","",IF(E2215&lt;=3,6,IF(E2215&lt;=6,5,IF(E2215&lt;=9,4,IF(E2215&lt;=12,3,IF(E2215&lt;=15,2,0))))))</f>
        <v/>
      </c>
      <c r="G2215" s="5" t="n"/>
      <c r="H2215" s="4">
        <f>IF(OR(F2215="",G2215=""),"",F2215*G2215+IF(J2215="",0,J2215))</f>
        <v/>
      </c>
      <c r="I2215" s="5" t="n"/>
      <c r="J2215" s="5" t="n"/>
    </row>
    <row r="2216">
      <c r="A2216" s="5" t="n"/>
      <c r="B2216" s="5" t="n"/>
      <c r="C2216" s="5" t="n"/>
      <c r="D2216" s="5" t="n"/>
      <c r="E2216" s="4">
        <f>IF(C2216="","",COUNTIF($C$7:C2216,C2216))</f>
        <v/>
      </c>
      <c r="F2216" s="4">
        <f>IF(E2216="","",IF(E2216&lt;=3,6,IF(E2216&lt;=6,5,IF(E2216&lt;=9,4,IF(E2216&lt;=12,3,IF(E2216&lt;=15,2,0))))))</f>
        <v/>
      </c>
      <c r="G2216" s="5" t="n"/>
      <c r="H2216" s="4">
        <f>IF(OR(F2216="",G2216=""),"",F2216*G2216+IF(J2216="",0,J2216))</f>
        <v/>
      </c>
      <c r="I2216" s="5" t="n"/>
      <c r="J2216" s="5" t="n"/>
    </row>
    <row r="2217">
      <c r="A2217" s="5" t="n"/>
      <c r="B2217" s="5" t="n"/>
      <c r="C2217" s="5" t="n"/>
      <c r="D2217" s="5" t="n"/>
      <c r="E2217" s="4">
        <f>IF(C2217="","",COUNTIF($C$7:C2217,C2217))</f>
        <v/>
      </c>
      <c r="F2217" s="4">
        <f>IF(E2217="","",IF(E2217&lt;=3,6,IF(E2217&lt;=6,5,IF(E2217&lt;=9,4,IF(E2217&lt;=12,3,IF(E2217&lt;=15,2,0))))))</f>
        <v/>
      </c>
      <c r="G2217" s="5" t="n"/>
      <c r="H2217" s="4">
        <f>IF(OR(F2217="",G2217=""),"",F2217*G2217+IF(J2217="",0,J2217))</f>
        <v/>
      </c>
      <c r="I2217" s="5" t="n"/>
      <c r="J2217" s="5" t="n"/>
    </row>
    <row r="2218">
      <c r="A2218" s="5" t="n"/>
      <c r="B2218" s="5" t="n"/>
      <c r="C2218" s="5" t="n"/>
      <c r="D2218" s="5" t="n"/>
      <c r="E2218" s="4">
        <f>IF(C2218="","",COUNTIF($C$7:C2218,C2218))</f>
        <v/>
      </c>
      <c r="F2218" s="4">
        <f>IF(E2218="","",IF(E2218&lt;=3,6,IF(E2218&lt;=6,5,IF(E2218&lt;=9,4,IF(E2218&lt;=12,3,IF(E2218&lt;=15,2,0))))))</f>
        <v/>
      </c>
      <c r="G2218" s="5" t="n"/>
      <c r="H2218" s="4">
        <f>IF(OR(F2218="",G2218=""),"",F2218*G2218+IF(J2218="",0,J2218))</f>
        <v/>
      </c>
      <c r="I2218" s="5" t="n"/>
      <c r="J2218" s="5" t="n"/>
    </row>
    <row r="2219">
      <c r="A2219" s="5" t="n"/>
      <c r="B2219" s="5" t="n"/>
      <c r="C2219" s="5" t="n"/>
      <c r="D2219" s="5" t="n"/>
      <c r="E2219" s="4">
        <f>IF(C2219="","",COUNTIF($C$7:C2219,C2219))</f>
        <v/>
      </c>
      <c r="F2219" s="4">
        <f>IF(E2219="","",IF(E2219&lt;=3,6,IF(E2219&lt;=6,5,IF(E2219&lt;=9,4,IF(E2219&lt;=12,3,IF(E2219&lt;=15,2,0))))))</f>
        <v/>
      </c>
      <c r="G2219" s="5" t="n"/>
      <c r="H2219" s="4">
        <f>IF(OR(F2219="",G2219=""),"",F2219*G2219+IF(J2219="",0,J2219))</f>
        <v/>
      </c>
      <c r="I2219" s="5" t="n"/>
      <c r="J2219" s="5" t="n"/>
    </row>
    <row r="2220">
      <c r="A2220" s="5" t="n"/>
      <c r="B2220" s="5" t="n"/>
      <c r="C2220" s="5" t="n"/>
      <c r="D2220" s="5" t="n"/>
      <c r="E2220" s="4">
        <f>IF(C2220="","",COUNTIF($C$7:C2220,C2220))</f>
        <v/>
      </c>
      <c r="F2220" s="4">
        <f>IF(E2220="","",IF(E2220&lt;=3,6,IF(E2220&lt;=6,5,IF(E2220&lt;=9,4,IF(E2220&lt;=12,3,IF(E2220&lt;=15,2,0))))))</f>
        <v/>
      </c>
      <c r="G2220" s="5" t="n"/>
      <c r="H2220" s="4">
        <f>IF(OR(F2220="",G2220=""),"",F2220*G2220+IF(J2220="",0,J2220))</f>
        <v/>
      </c>
      <c r="I2220" s="5" t="n"/>
      <c r="J2220" s="5" t="n"/>
    </row>
    <row r="2221">
      <c r="A2221" s="5" t="n"/>
      <c r="B2221" s="5" t="n"/>
      <c r="C2221" s="5" t="n"/>
      <c r="D2221" s="5" t="n"/>
      <c r="E2221" s="4">
        <f>IF(C2221="","",COUNTIF($C$7:C2221,C2221))</f>
        <v/>
      </c>
      <c r="F2221" s="4">
        <f>IF(E2221="","",IF(E2221&lt;=3,6,IF(E2221&lt;=6,5,IF(E2221&lt;=9,4,IF(E2221&lt;=12,3,IF(E2221&lt;=15,2,0))))))</f>
        <v/>
      </c>
      <c r="G2221" s="5" t="n"/>
      <c r="H2221" s="4">
        <f>IF(OR(F2221="",G2221=""),"",F2221*G2221+IF(J2221="",0,J2221))</f>
        <v/>
      </c>
      <c r="I2221" s="5" t="n"/>
      <c r="J2221" s="5" t="n"/>
    </row>
    <row r="2222">
      <c r="A2222" s="5" t="n"/>
      <c r="B2222" s="5" t="n"/>
      <c r="C2222" s="5" t="n"/>
      <c r="D2222" s="5" t="n"/>
      <c r="E2222" s="4">
        <f>IF(C2222="","",COUNTIF($C$7:C2222,C2222))</f>
        <v/>
      </c>
      <c r="F2222" s="4">
        <f>IF(E2222="","",IF(E2222&lt;=3,6,IF(E2222&lt;=6,5,IF(E2222&lt;=9,4,IF(E2222&lt;=12,3,IF(E2222&lt;=15,2,0))))))</f>
        <v/>
      </c>
      <c r="G2222" s="5" t="n"/>
      <c r="H2222" s="4">
        <f>IF(OR(F2222="",G2222=""),"",F2222*G2222+IF(J2222="",0,J2222))</f>
        <v/>
      </c>
      <c r="I2222" s="5" t="n"/>
      <c r="J2222" s="5" t="n"/>
    </row>
    <row r="2223">
      <c r="A2223" s="5" t="n"/>
      <c r="B2223" s="5" t="n"/>
      <c r="C2223" s="5" t="n"/>
      <c r="D2223" s="5" t="n"/>
      <c r="E2223" s="4">
        <f>IF(C2223="","",COUNTIF($C$7:C2223,C2223))</f>
        <v/>
      </c>
      <c r="F2223" s="4">
        <f>IF(E2223="","",IF(E2223&lt;=3,6,IF(E2223&lt;=6,5,IF(E2223&lt;=9,4,IF(E2223&lt;=12,3,IF(E2223&lt;=15,2,0))))))</f>
        <v/>
      </c>
      <c r="G2223" s="5" t="n"/>
      <c r="H2223" s="4">
        <f>IF(OR(F2223="",G2223=""),"",F2223*G2223+IF(J2223="",0,J2223))</f>
        <v/>
      </c>
      <c r="I2223" s="5" t="n"/>
      <c r="J2223" s="5" t="n"/>
    </row>
    <row r="2224">
      <c r="A2224" s="5" t="n"/>
      <c r="B2224" s="5" t="n"/>
      <c r="C2224" s="5" t="n"/>
      <c r="D2224" s="5" t="n"/>
      <c r="E2224" s="4">
        <f>IF(C2224="","",COUNTIF($C$7:C2224,C2224))</f>
        <v/>
      </c>
      <c r="F2224" s="4">
        <f>IF(E2224="","",IF(E2224&lt;=3,6,IF(E2224&lt;=6,5,IF(E2224&lt;=9,4,IF(E2224&lt;=12,3,IF(E2224&lt;=15,2,0))))))</f>
        <v/>
      </c>
      <c r="G2224" s="5" t="n"/>
      <c r="H2224" s="4">
        <f>IF(OR(F2224="",G2224=""),"",F2224*G2224+IF(J2224="",0,J2224))</f>
        <v/>
      </c>
      <c r="I2224" s="5" t="n"/>
      <c r="J2224" s="5" t="n"/>
    </row>
    <row r="2225">
      <c r="A2225" s="5" t="n"/>
      <c r="B2225" s="5" t="n"/>
      <c r="C2225" s="5" t="n"/>
      <c r="D2225" s="5" t="n"/>
      <c r="E2225" s="4">
        <f>IF(C2225="","",COUNTIF($C$7:C2225,C2225))</f>
        <v/>
      </c>
      <c r="F2225" s="4">
        <f>IF(E2225="","",IF(E2225&lt;=3,6,IF(E2225&lt;=6,5,IF(E2225&lt;=9,4,IF(E2225&lt;=12,3,IF(E2225&lt;=15,2,0))))))</f>
        <v/>
      </c>
      <c r="G2225" s="5" t="n"/>
      <c r="H2225" s="4">
        <f>IF(OR(F2225="",G2225=""),"",F2225*G2225+IF(J2225="",0,J2225))</f>
        <v/>
      </c>
      <c r="I2225" s="5" t="n"/>
      <c r="J2225" s="5" t="n"/>
    </row>
    <row r="2226">
      <c r="A2226" s="5" t="n"/>
      <c r="B2226" s="5" t="n"/>
      <c r="C2226" s="5" t="n"/>
      <c r="D2226" s="5" t="n"/>
      <c r="E2226" s="4">
        <f>IF(C2226="","",COUNTIF($C$7:C2226,C2226))</f>
        <v/>
      </c>
      <c r="F2226" s="4">
        <f>IF(E2226="","",IF(E2226&lt;=3,6,IF(E2226&lt;=6,5,IF(E2226&lt;=9,4,IF(E2226&lt;=12,3,IF(E2226&lt;=15,2,0))))))</f>
        <v/>
      </c>
      <c r="G2226" s="5" t="n"/>
      <c r="H2226" s="4">
        <f>IF(OR(F2226="",G2226=""),"",F2226*G2226+IF(J2226="",0,J2226))</f>
        <v/>
      </c>
      <c r="I2226" s="5" t="n"/>
      <c r="J2226" s="5" t="n"/>
    </row>
    <row r="2227">
      <c r="A2227" s="5" t="n"/>
      <c r="B2227" s="5" t="n"/>
      <c r="C2227" s="5" t="n"/>
      <c r="D2227" s="5" t="n"/>
      <c r="E2227" s="4">
        <f>IF(C2227="","",COUNTIF($C$7:C2227,C2227))</f>
        <v/>
      </c>
      <c r="F2227" s="4">
        <f>IF(E2227="","",IF(E2227&lt;=3,6,IF(E2227&lt;=6,5,IF(E2227&lt;=9,4,IF(E2227&lt;=12,3,IF(E2227&lt;=15,2,0))))))</f>
        <v/>
      </c>
      <c r="G2227" s="5" t="n"/>
      <c r="H2227" s="4">
        <f>IF(OR(F2227="",G2227=""),"",F2227*G2227+IF(J2227="",0,J2227))</f>
        <v/>
      </c>
      <c r="I2227" s="5" t="n"/>
      <c r="J2227" s="5" t="n"/>
    </row>
    <row r="2228">
      <c r="A2228" s="5" t="n"/>
      <c r="B2228" s="5" t="n"/>
      <c r="C2228" s="5" t="n"/>
      <c r="D2228" s="5" t="n"/>
      <c r="E2228" s="4">
        <f>IF(C2228="","",COUNTIF($C$7:C2228,C2228))</f>
        <v/>
      </c>
      <c r="F2228" s="4">
        <f>IF(E2228="","",IF(E2228&lt;=3,6,IF(E2228&lt;=6,5,IF(E2228&lt;=9,4,IF(E2228&lt;=12,3,IF(E2228&lt;=15,2,0))))))</f>
        <v/>
      </c>
      <c r="G2228" s="5" t="n"/>
      <c r="H2228" s="4">
        <f>IF(OR(F2228="",G2228=""),"",F2228*G2228+IF(J2228="",0,J2228))</f>
        <v/>
      </c>
      <c r="I2228" s="5" t="n"/>
      <c r="J2228" s="5" t="n"/>
    </row>
    <row r="2229">
      <c r="A2229" s="5" t="n"/>
      <c r="B2229" s="5" t="n"/>
      <c r="C2229" s="5" t="n"/>
      <c r="D2229" s="5" t="n"/>
      <c r="E2229" s="4">
        <f>IF(C2229="","",COUNTIF($C$7:C2229,C2229))</f>
        <v/>
      </c>
      <c r="F2229" s="4">
        <f>IF(E2229="","",IF(E2229&lt;=3,6,IF(E2229&lt;=6,5,IF(E2229&lt;=9,4,IF(E2229&lt;=12,3,IF(E2229&lt;=15,2,0))))))</f>
        <v/>
      </c>
      <c r="G2229" s="5" t="n"/>
      <c r="H2229" s="4">
        <f>IF(OR(F2229="",G2229=""),"",F2229*G2229+IF(J2229="",0,J2229))</f>
        <v/>
      </c>
      <c r="I2229" s="5" t="n"/>
      <c r="J2229" s="5" t="n"/>
    </row>
    <row r="2230">
      <c r="A2230" s="5" t="n"/>
      <c r="B2230" s="5" t="n"/>
      <c r="C2230" s="5" t="n"/>
      <c r="D2230" s="5" t="n"/>
      <c r="E2230" s="4">
        <f>IF(C2230="","",COUNTIF($C$7:C2230,C2230))</f>
        <v/>
      </c>
      <c r="F2230" s="4">
        <f>IF(E2230="","",IF(E2230&lt;=3,6,IF(E2230&lt;=6,5,IF(E2230&lt;=9,4,IF(E2230&lt;=12,3,IF(E2230&lt;=15,2,0))))))</f>
        <v/>
      </c>
      <c r="G2230" s="5" t="n"/>
      <c r="H2230" s="4">
        <f>IF(OR(F2230="",G2230=""),"",F2230*G2230+IF(J2230="",0,J2230))</f>
        <v/>
      </c>
      <c r="I2230" s="5" t="n"/>
      <c r="J2230" s="5" t="n"/>
    </row>
    <row r="2231">
      <c r="A2231" s="5" t="n"/>
      <c r="B2231" s="5" t="n"/>
      <c r="C2231" s="5" t="n"/>
      <c r="D2231" s="5" t="n"/>
      <c r="E2231" s="4">
        <f>IF(C2231="","",COUNTIF($C$7:C2231,C2231))</f>
        <v/>
      </c>
      <c r="F2231" s="4">
        <f>IF(E2231="","",IF(E2231&lt;=3,6,IF(E2231&lt;=6,5,IF(E2231&lt;=9,4,IF(E2231&lt;=12,3,IF(E2231&lt;=15,2,0))))))</f>
        <v/>
      </c>
      <c r="G2231" s="5" t="n"/>
      <c r="H2231" s="4">
        <f>IF(OR(F2231="",G2231=""),"",F2231*G2231+IF(J2231="",0,J2231))</f>
        <v/>
      </c>
      <c r="I2231" s="5" t="n"/>
      <c r="J2231" s="5" t="n"/>
    </row>
    <row r="2232">
      <c r="A2232" s="5" t="n"/>
      <c r="B2232" s="5" t="n"/>
      <c r="C2232" s="5" t="n"/>
      <c r="D2232" s="5" t="n"/>
      <c r="E2232" s="4">
        <f>IF(C2232="","",COUNTIF($C$7:C2232,C2232))</f>
        <v/>
      </c>
      <c r="F2232" s="4">
        <f>IF(E2232="","",IF(E2232&lt;=3,6,IF(E2232&lt;=6,5,IF(E2232&lt;=9,4,IF(E2232&lt;=12,3,IF(E2232&lt;=15,2,0))))))</f>
        <v/>
      </c>
      <c r="G2232" s="5" t="n"/>
      <c r="H2232" s="4">
        <f>IF(OR(F2232="",G2232=""),"",F2232*G2232+IF(J2232="",0,J2232))</f>
        <v/>
      </c>
      <c r="I2232" s="5" t="n"/>
      <c r="J2232" s="5" t="n"/>
    </row>
    <row r="2233">
      <c r="A2233" s="5" t="n"/>
      <c r="B2233" s="5" t="n"/>
      <c r="C2233" s="5" t="n"/>
      <c r="D2233" s="5" t="n"/>
      <c r="E2233" s="4">
        <f>IF(C2233="","",COUNTIF($C$7:C2233,C2233))</f>
        <v/>
      </c>
      <c r="F2233" s="4">
        <f>IF(E2233="","",IF(E2233&lt;=3,6,IF(E2233&lt;=6,5,IF(E2233&lt;=9,4,IF(E2233&lt;=12,3,IF(E2233&lt;=15,2,0))))))</f>
        <v/>
      </c>
      <c r="G2233" s="5" t="n"/>
      <c r="H2233" s="4">
        <f>IF(OR(F2233="",G2233=""),"",F2233*G2233+IF(J2233="",0,J2233))</f>
        <v/>
      </c>
      <c r="I2233" s="5" t="n"/>
      <c r="J2233" s="5" t="n"/>
    </row>
    <row r="2234">
      <c r="A2234" s="5" t="n"/>
      <c r="B2234" s="5" t="n"/>
      <c r="C2234" s="5" t="n"/>
      <c r="D2234" s="5" t="n"/>
      <c r="E2234" s="4">
        <f>IF(C2234="","",COUNTIF($C$7:C2234,C2234))</f>
        <v/>
      </c>
      <c r="F2234" s="4">
        <f>IF(E2234="","",IF(E2234&lt;=3,6,IF(E2234&lt;=6,5,IF(E2234&lt;=9,4,IF(E2234&lt;=12,3,IF(E2234&lt;=15,2,0))))))</f>
        <v/>
      </c>
      <c r="G2234" s="5" t="n"/>
      <c r="H2234" s="4">
        <f>IF(OR(F2234="",G2234=""),"",F2234*G2234+IF(J2234="",0,J2234))</f>
        <v/>
      </c>
      <c r="I2234" s="5" t="n"/>
      <c r="J2234" s="5" t="n"/>
    </row>
    <row r="2235">
      <c r="A2235" s="5" t="n"/>
      <c r="B2235" s="5" t="n"/>
      <c r="C2235" s="5" t="n"/>
      <c r="D2235" s="5" t="n"/>
      <c r="E2235" s="4">
        <f>IF(C2235="","",COUNTIF($C$7:C2235,C2235))</f>
        <v/>
      </c>
      <c r="F2235" s="4">
        <f>IF(E2235="","",IF(E2235&lt;=3,6,IF(E2235&lt;=6,5,IF(E2235&lt;=9,4,IF(E2235&lt;=12,3,IF(E2235&lt;=15,2,0))))))</f>
        <v/>
      </c>
      <c r="G2235" s="5" t="n"/>
      <c r="H2235" s="4">
        <f>IF(OR(F2235="",G2235=""),"",F2235*G2235+IF(J2235="",0,J2235))</f>
        <v/>
      </c>
      <c r="I2235" s="5" t="n"/>
      <c r="J2235" s="5" t="n"/>
    </row>
    <row r="2236">
      <c r="A2236" s="5" t="n"/>
      <c r="B2236" s="5" t="n"/>
      <c r="C2236" s="5" t="n"/>
      <c r="D2236" s="5" t="n"/>
      <c r="E2236" s="4">
        <f>IF(C2236="","",COUNTIF($C$7:C2236,C2236))</f>
        <v/>
      </c>
      <c r="F2236" s="4">
        <f>IF(E2236="","",IF(E2236&lt;=3,6,IF(E2236&lt;=6,5,IF(E2236&lt;=9,4,IF(E2236&lt;=12,3,IF(E2236&lt;=15,2,0))))))</f>
        <v/>
      </c>
      <c r="G2236" s="5" t="n"/>
      <c r="H2236" s="4">
        <f>IF(OR(F2236="",G2236=""),"",F2236*G2236+IF(J2236="",0,J2236))</f>
        <v/>
      </c>
      <c r="I2236" s="5" t="n"/>
      <c r="J2236" s="5" t="n"/>
    </row>
    <row r="2237">
      <c r="A2237" s="5" t="n"/>
      <c r="B2237" s="5" t="n"/>
      <c r="C2237" s="5" t="n"/>
      <c r="D2237" s="5" t="n"/>
      <c r="E2237" s="4">
        <f>IF(C2237="","",COUNTIF($C$7:C2237,C2237))</f>
        <v/>
      </c>
      <c r="F2237" s="4">
        <f>IF(E2237="","",IF(E2237&lt;=3,6,IF(E2237&lt;=6,5,IF(E2237&lt;=9,4,IF(E2237&lt;=12,3,IF(E2237&lt;=15,2,0))))))</f>
        <v/>
      </c>
      <c r="G2237" s="5" t="n"/>
      <c r="H2237" s="4">
        <f>IF(OR(F2237="",G2237=""),"",F2237*G2237+IF(J2237="",0,J2237))</f>
        <v/>
      </c>
      <c r="I2237" s="5" t="n"/>
      <c r="J2237" s="5" t="n"/>
    </row>
    <row r="2238">
      <c r="A2238" s="5" t="n"/>
      <c r="B2238" s="5" t="n"/>
      <c r="C2238" s="5" t="n"/>
      <c r="D2238" s="5" t="n"/>
      <c r="E2238" s="4">
        <f>IF(C2238="","",COUNTIF($C$7:C2238,C2238))</f>
        <v/>
      </c>
      <c r="F2238" s="4">
        <f>IF(E2238="","",IF(E2238&lt;=3,6,IF(E2238&lt;=6,5,IF(E2238&lt;=9,4,IF(E2238&lt;=12,3,IF(E2238&lt;=15,2,0))))))</f>
        <v/>
      </c>
      <c r="G2238" s="5" t="n"/>
      <c r="H2238" s="4">
        <f>IF(OR(F2238="",G2238=""),"",F2238*G2238+IF(J2238="",0,J2238))</f>
        <v/>
      </c>
      <c r="I2238" s="5" t="n"/>
      <c r="J2238" s="5" t="n"/>
    </row>
    <row r="2239">
      <c r="A2239" s="5" t="n"/>
      <c r="B2239" s="5" t="n"/>
      <c r="C2239" s="5" t="n"/>
      <c r="D2239" s="5" t="n"/>
      <c r="E2239" s="4">
        <f>IF(C2239="","",COUNTIF($C$7:C2239,C2239))</f>
        <v/>
      </c>
      <c r="F2239" s="4">
        <f>IF(E2239="","",IF(E2239&lt;=3,6,IF(E2239&lt;=6,5,IF(E2239&lt;=9,4,IF(E2239&lt;=12,3,IF(E2239&lt;=15,2,0))))))</f>
        <v/>
      </c>
      <c r="G2239" s="5" t="n"/>
      <c r="H2239" s="4">
        <f>IF(OR(F2239="",G2239=""),"",F2239*G2239+IF(J2239="",0,J2239))</f>
        <v/>
      </c>
      <c r="I2239" s="5" t="n"/>
      <c r="J2239" s="5" t="n"/>
    </row>
    <row r="2240">
      <c r="A2240" s="5" t="n"/>
      <c r="B2240" s="5" t="n"/>
      <c r="C2240" s="5" t="n"/>
      <c r="D2240" s="5" t="n"/>
      <c r="E2240" s="4">
        <f>IF(C2240="","",COUNTIF($C$7:C2240,C2240))</f>
        <v/>
      </c>
      <c r="F2240" s="4">
        <f>IF(E2240="","",IF(E2240&lt;=3,6,IF(E2240&lt;=6,5,IF(E2240&lt;=9,4,IF(E2240&lt;=12,3,IF(E2240&lt;=15,2,0))))))</f>
        <v/>
      </c>
      <c r="G2240" s="5" t="n"/>
      <c r="H2240" s="4">
        <f>IF(OR(F2240="",G2240=""),"",F2240*G2240+IF(J2240="",0,J2240))</f>
        <v/>
      </c>
      <c r="I2240" s="5" t="n"/>
      <c r="J2240" s="5" t="n"/>
    </row>
    <row r="2241">
      <c r="A2241" s="5" t="n"/>
      <c r="B2241" s="5" t="n"/>
      <c r="C2241" s="5" t="n"/>
      <c r="D2241" s="5" t="n"/>
      <c r="E2241" s="4">
        <f>IF(C2241="","",COUNTIF($C$7:C2241,C2241))</f>
        <v/>
      </c>
      <c r="F2241" s="4">
        <f>IF(E2241="","",IF(E2241&lt;=3,6,IF(E2241&lt;=6,5,IF(E2241&lt;=9,4,IF(E2241&lt;=12,3,IF(E2241&lt;=15,2,0))))))</f>
        <v/>
      </c>
      <c r="G2241" s="5" t="n"/>
      <c r="H2241" s="4">
        <f>IF(OR(F2241="",G2241=""),"",F2241*G2241+IF(J2241="",0,J2241))</f>
        <v/>
      </c>
      <c r="I2241" s="5" t="n"/>
      <c r="J2241" s="5" t="n"/>
    </row>
    <row r="2242">
      <c r="A2242" s="5" t="n"/>
      <c r="B2242" s="5" t="n"/>
      <c r="C2242" s="5" t="n"/>
      <c r="D2242" s="5" t="n"/>
      <c r="E2242" s="4">
        <f>IF(C2242="","",COUNTIF($C$7:C2242,C2242))</f>
        <v/>
      </c>
      <c r="F2242" s="4">
        <f>IF(E2242="","",IF(E2242&lt;=3,6,IF(E2242&lt;=6,5,IF(E2242&lt;=9,4,IF(E2242&lt;=12,3,IF(E2242&lt;=15,2,0))))))</f>
        <v/>
      </c>
      <c r="G2242" s="5" t="n"/>
      <c r="H2242" s="4">
        <f>IF(OR(F2242="",G2242=""),"",F2242*G2242+IF(J2242="",0,J2242))</f>
        <v/>
      </c>
      <c r="I2242" s="5" t="n"/>
      <c r="J2242" s="5" t="n"/>
    </row>
    <row r="2243">
      <c r="A2243" s="5" t="n"/>
      <c r="B2243" s="5" t="n"/>
      <c r="C2243" s="5" t="n"/>
      <c r="D2243" s="5" t="n"/>
      <c r="E2243" s="4">
        <f>IF(C2243="","",COUNTIF($C$7:C2243,C2243))</f>
        <v/>
      </c>
      <c r="F2243" s="4">
        <f>IF(E2243="","",IF(E2243&lt;=3,6,IF(E2243&lt;=6,5,IF(E2243&lt;=9,4,IF(E2243&lt;=12,3,IF(E2243&lt;=15,2,0))))))</f>
        <v/>
      </c>
      <c r="G2243" s="5" t="n"/>
      <c r="H2243" s="4">
        <f>IF(OR(F2243="",G2243=""),"",F2243*G2243+IF(J2243="",0,J2243))</f>
        <v/>
      </c>
      <c r="I2243" s="5" t="n"/>
      <c r="J2243" s="5" t="n"/>
    </row>
    <row r="2244">
      <c r="A2244" s="5" t="n"/>
      <c r="B2244" s="5" t="n"/>
      <c r="C2244" s="5" t="n"/>
      <c r="D2244" s="5" t="n"/>
      <c r="E2244" s="4">
        <f>IF(C2244="","",COUNTIF($C$7:C2244,C2244))</f>
        <v/>
      </c>
      <c r="F2244" s="4">
        <f>IF(E2244="","",IF(E2244&lt;=3,6,IF(E2244&lt;=6,5,IF(E2244&lt;=9,4,IF(E2244&lt;=12,3,IF(E2244&lt;=15,2,0))))))</f>
        <v/>
      </c>
      <c r="G2244" s="5" t="n"/>
      <c r="H2244" s="4">
        <f>IF(OR(F2244="",G2244=""),"",F2244*G2244+IF(J2244="",0,J2244))</f>
        <v/>
      </c>
      <c r="I2244" s="5" t="n"/>
      <c r="J2244" s="5" t="n"/>
    </row>
    <row r="2245">
      <c r="A2245" s="5" t="n"/>
      <c r="B2245" s="5" t="n"/>
      <c r="C2245" s="5" t="n"/>
      <c r="D2245" s="5" t="n"/>
      <c r="E2245" s="4">
        <f>IF(C2245="","",COUNTIF($C$7:C2245,C2245))</f>
        <v/>
      </c>
      <c r="F2245" s="4">
        <f>IF(E2245="","",IF(E2245&lt;=3,6,IF(E2245&lt;=6,5,IF(E2245&lt;=9,4,IF(E2245&lt;=12,3,IF(E2245&lt;=15,2,0))))))</f>
        <v/>
      </c>
      <c r="G2245" s="5" t="n"/>
      <c r="H2245" s="4">
        <f>IF(OR(F2245="",G2245=""),"",F2245*G2245+IF(J2245="",0,J2245))</f>
        <v/>
      </c>
      <c r="I2245" s="5" t="n"/>
      <c r="J2245" s="5" t="n"/>
    </row>
    <row r="2246">
      <c r="A2246" s="5" t="n"/>
      <c r="B2246" s="5" t="n"/>
      <c r="C2246" s="5" t="n"/>
      <c r="D2246" s="5" t="n"/>
      <c r="E2246" s="4">
        <f>IF(C2246="","",COUNTIF($C$7:C2246,C2246))</f>
        <v/>
      </c>
      <c r="F2246" s="4">
        <f>IF(E2246="","",IF(E2246&lt;=3,6,IF(E2246&lt;=6,5,IF(E2246&lt;=9,4,IF(E2246&lt;=12,3,IF(E2246&lt;=15,2,0))))))</f>
        <v/>
      </c>
      <c r="G2246" s="5" t="n"/>
      <c r="H2246" s="4">
        <f>IF(OR(F2246="",G2246=""),"",F2246*G2246+IF(J2246="",0,J2246))</f>
        <v/>
      </c>
      <c r="I2246" s="5" t="n"/>
      <c r="J2246" s="5" t="n"/>
    </row>
    <row r="2247">
      <c r="A2247" s="5" t="n"/>
      <c r="B2247" s="5" t="n"/>
      <c r="C2247" s="5" t="n"/>
      <c r="D2247" s="5" t="n"/>
      <c r="E2247" s="4">
        <f>IF(C2247="","",COUNTIF($C$7:C2247,C2247))</f>
        <v/>
      </c>
      <c r="F2247" s="4">
        <f>IF(E2247="","",IF(E2247&lt;=3,6,IF(E2247&lt;=6,5,IF(E2247&lt;=9,4,IF(E2247&lt;=12,3,IF(E2247&lt;=15,2,0))))))</f>
        <v/>
      </c>
      <c r="G2247" s="5" t="n"/>
      <c r="H2247" s="4">
        <f>IF(OR(F2247="",G2247=""),"",F2247*G2247+IF(J2247="",0,J2247))</f>
        <v/>
      </c>
      <c r="I2247" s="5" t="n"/>
      <c r="J2247" s="5" t="n"/>
    </row>
    <row r="2248">
      <c r="A2248" s="5" t="n"/>
      <c r="B2248" s="5" t="n"/>
      <c r="C2248" s="5" t="n"/>
      <c r="D2248" s="5" t="n"/>
      <c r="E2248" s="4">
        <f>IF(C2248="","",COUNTIF($C$7:C2248,C2248))</f>
        <v/>
      </c>
      <c r="F2248" s="4">
        <f>IF(E2248="","",IF(E2248&lt;=3,6,IF(E2248&lt;=6,5,IF(E2248&lt;=9,4,IF(E2248&lt;=12,3,IF(E2248&lt;=15,2,0))))))</f>
        <v/>
      </c>
      <c r="G2248" s="5" t="n"/>
      <c r="H2248" s="4">
        <f>IF(OR(F2248="",G2248=""),"",F2248*G2248+IF(J2248="",0,J2248))</f>
        <v/>
      </c>
      <c r="I2248" s="5" t="n"/>
      <c r="J2248" s="5" t="n"/>
    </row>
    <row r="2249">
      <c r="A2249" s="5" t="n"/>
      <c r="B2249" s="5" t="n"/>
      <c r="C2249" s="5" t="n"/>
      <c r="D2249" s="5" t="n"/>
      <c r="E2249" s="4">
        <f>IF(C2249="","",COUNTIF($C$7:C2249,C2249))</f>
        <v/>
      </c>
      <c r="F2249" s="4">
        <f>IF(E2249="","",IF(E2249&lt;=3,6,IF(E2249&lt;=6,5,IF(E2249&lt;=9,4,IF(E2249&lt;=12,3,IF(E2249&lt;=15,2,0))))))</f>
        <v/>
      </c>
      <c r="G2249" s="5" t="n"/>
      <c r="H2249" s="4">
        <f>IF(OR(F2249="",G2249=""),"",F2249*G2249+IF(J2249="",0,J2249))</f>
        <v/>
      </c>
      <c r="I2249" s="5" t="n"/>
      <c r="J2249" s="5" t="n"/>
    </row>
    <row r="2250">
      <c r="A2250" s="5" t="n"/>
      <c r="B2250" s="5" t="n"/>
      <c r="C2250" s="5" t="n"/>
      <c r="D2250" s="5" t="n"/>
      <c r="E2250" s="4">
        <f>IF(C2250="","",COUNTIF($C$7:C2250,C2250))</f>
        <v/>
      </c>
      <c r="F2250" s="4">
        <f>IF(E2250="","",IF(E2250&lt;=3,6,IF(E2250&lt;=6,5,IF(E2250&lt;=9,4,IF(E2250&lt;=12,3,IF(E2250&lt;=15,2,0))))))</f>
        <v/>
      </c>
      <c r="G2250" s="5" t="n"/>
      <c r="H2250" s="4">
        <f>IF(OR(F2250="",G2250=""),"",F2250*G2250+IF(J2250="",0,J2250))</f>
        <v/>
      </c>
      <c r="I2250" s="5" t="n"/>
      <c r="J2250" s="5" t="n"/>
    </row>
    <row r="2251">
      <c r="A2251" s="5" t="n"/>
      <c r="B2251" s="5" t="n"/>
      <c r="C2251" s="5" t="n"/>
      <c r="D2251" s="5" t="n"/>
      <c r="E2251" s="4">
        <f>IF(C2251="","",COUNTIF($C$7:C2251,C2251))</f>
        <v/>
      </c>
      <c r="F2251" s="4">
        <f>IF(E2251="","",IF(E2251&lt;=3,6,IF(E2251&lt;=6,5,IF(E2251&lt;=9,4,IF(E2251&lt;=12,3,IF(E2251&lt;=15,2,0))))))</f>
        <v/>
      </c>
      <c r="G2251" s="5" t="n"/>
      <c r="H2251" s="4">
        <f>IF(OR(F2251="",G2251=""),"",F2251*G2251+IF(J2251="",0,J2251))</f>
        <v/>
      </c>
      <c r="I2251" s="5" t="n"/>
      <c r="J2251" s="5" t="n"/>
    </row>
    <row r="2252">
      <c r="A2252" s="5" t="n"/>
      <c r="B2252" s="5" t="n"/>
      <c r="C2252" s="5" t="n"/>
      <c r="D2252" s="5" t="n"/>
      <c r="E2252" s="4">
        <f>IF(C2252="","",COUNTIF($C$7:C2252,C2252))</f>
        <v/>
      </c>
      <c r="F2252" s="4">
        <f>IF(E2252="","",IF(E2252&lt;=3,6,IF(E2252&lt;=6,5,IF(E2252&lt;=9,4,IF(E2252&lt;=12,3,IF(E2252&lt;=15,2,0))))))</f>
        <v/>
      </c>
      <c r="G2252" s="5" t="n"/>
      <c r="H2252" s="4">
        <f>IF(OR(F2252="",G2252=""),"",F2252*G2252+IF(J2252="",0,J2252))</f>
        <v/>
      </c>
      <c r="I2252" s="5" t="n"/>
      <c r="J2252" s="5" t="n"/>
    </row>
    <row r="2253">
      <c r="A2253" s="5" t="n"/>
      <c r="B2253" s="5" t="n"/>
      <c r="C2253" s="5" t="n"/>
      <c r="D2253" s="5" t="n"/>
      <c r="E2253" s="4">
        <f>IF(C2253="","",COUNTIF($C$7:C2253,C2253))</f>
        <v/>
      </c>
      <c r="F2253" s="4">
        <f>IF(E2253="","",IF(E2253&lt;=3,6,IF(E2253&lt;=6,5,IF(E2253&lt;=9,4,IF(E2253&lt;=12,3,IF(E2253&lt;=15,2,0))))))</f>
        <v/>
      </c>
      <c r="G2253" s="5" t="n"/>
      <c r="H2253" s="4">
        <f>IF(OR(F2253="",G2253=""),"",F2253*G2253+IF(J2253="",0,J2253))</f>
        <v/>
      </c>
      <c r="I2253" s="5" t="n"/>
      <c r="J2253" s="5" t="n"/>
    </row>
    <row r="2254">
      <c r="A2254" s="5" t="n"/>
      <c r="B2254" s="5" t="n"/>
      <c r="C2254" s="5" t="n"/>
      <c r="D2254" s="5" t="n"/>
      <c r="E2254" s="4">
        <f>IF(C2254="","",COUNTIF($C$7:C2254,C2254))</f>
        <v/>
      </c>
      <c r="F2254" s="4">
        <f>IF(E2254="","",IF(E2254&lt;=3,6,IF(E2254&lt;=6,5,IF(E2254&lt;=9,4,IF(E2254&lt;=12,3,IF(E2254&lt;=15,2,0))))))</f>
        <v/>
      </c>
      <c r="G2254" s="5" t="n"/>
      <c r="H2254" s="4">
        <f>IF(OR(F2254="",G2254=""),"",F2254*G2254+IF(J2254="",0,J2254))</f>
        <v/>
      </c>
      <c r="I2254" s="5" t="n"/>
      <c r="J2254" s="5" t="n"/>
    </row>
    <row r="2255">
      <c r="A2255" s="5" t="n"/>
      <c r="B2255" s="5" t="n"/>
      <c r="C2255" s="5" t="n"/>
      <c r="D2255" s="5" t="n"/>
      <c r="E2255" s="4">
        <f>IF(C2255="","",COUNTIF($C$7:C2255,C2255))</f>
        <v/>
      </c>
      <c r="F2255" s="4">
        <f>IF(E2255="","",IF(E2255&lt;=3,6,IF(E2255&lt;=6,5,IF(E2255&lt;=9,4,IF(E2255&lt;=12,3,IF(E2255&lt;=15,2,0))))))</f>
        <v/>
      </c>
      <c r="G2255" s="5" t="n"/>
      <c r="H2255" s="4">
        <f>IF(OR(F2255="",G2255=""),"",F2255*G2255+IF(J2255="",0,J2255))</f>
        <v/>
      </c>
      <c r="I2255" s="5" t="n"/>
      <c r="J2255" s="5" t="n"/>
    </row>
    <row r="2256">
      <c r="A2256" s="5" t="n"/>
      <c r="B2256" s="5" t="n"/>
      <c r="C2256" s="5" t="n"/>
      <c r="D2256" s="5" t="n"/>
      <c r="E2256" s="4">
        <f>IF(C2256="","",COUNTIF($C$7:C2256,C2256))</f>
        <v/>
      </c>
      <c r="F2256" s="4">
        <f>IF(E2256="","",IF(E2256&lt;=3,6,IF(E2256&lt;=6,5,IF(E2256&lt;=9,4,IF(E2256&lt;=12,3,IF(E2256&lt;=15,2,0))))))</f>
        <v/>
      </c>
      <c r="G2256" s="5" t="n"/>
      <c r="H2256" s="4">
        <f>IF(OR(F2256="",G2256=""),"",F2256*G2256+IF(J2256="",0,J2256))</f>
        <v/>
      </c>
      <c r="I2256" s="5" t="n"/>
      <c r="J2256" s="5" t="n"/>
    </row>
    <row r="2257">
      <c r="A2257" s="5" t="n"/>
      <c r="B2257" s="5" t="n"/>
      <c r="C2257" s="5" t="n"/>
      <c r="D2257" s="5" t="n"/>
      <c r="E2257" s="4">
        <f>IF(C2257="","",COUNTIF($C$7:C2257,C2257))</f>
        <v/>
      </c>
      <c r="F2257" s="4">
        <f>IF(E2257="","",IF(E2257&lt;=3,6,IF(E2257&lt;=6,5,IF(E2257&lt;=9,4,IF(E2257&lt;=12,3,IF(E2257&lt;=15,2,0))))))</f>
        <v/>
      </c>
      <c r="G2257" s="5" t="n"/>
      <c r="H2257" s="4">
        <f>IF(OR(F2257="",G2257=""),"",F2257*G2257+IF(J2257="",0,J2257))</f>
        <v/>
      </c>
      <c r="I2257" s="5" t="n"/>
      <c r="J2257" s="5" t="n"/>
    </row>
    <row r="2258">
      <c r="A2258" s="5" t="n"/>
      <c r="B2258" s="5" t="n"/>
      <c r="C2258" s="5" t="n"/>
      <c r="D2258" s="5" t="n"/>
      <c r="E2258" s="4">
        <f>IF(C2258="","",COUNTIF($C$7:C2258,C2258))</f>
        <v/>
      </c>
      <c r="F2258" s="4">
        <f>IF(E2258="","",IF(E2258&lt;=3,6,IF(E2258&lt;=6,5,IF(E2258&lt;=9,4,IF(E2258&lt;=12,3,IF(E2258&lt;=15,2,0))))))</f>
        <v/>
      </c>
      <c r="G2258" s="5" t="n"/>
      <c r="H2258" s="4">
        <f>IF(OR(F2258="",G2258=""),"",F2258*G2258+IF(J2258="",0,J2258))</f>
        <v/>
      </c>
      <c r="I2258" s="5" t="n"/>
      <c r="J2258" s="5" t="n"/>
    </row>
    <row r="2259">
      <c r="A2259" s="5" t="n"/>
      <c r="B2259" s="5" t="n"/>
      <c r="C2259" s="5" t="n"/>
      <c r="D2259" s="5" t="n"/>
      <c r="E2259" s="4">
        <f>IF(C2259="","",COUNTIF($C$7:C2259,C2259))</f>
        <v/>
      </c>
      <c r="F2259" s="4">
        <f>IF(E2259="","",IF(E2259&lt;=3,6,IF(E2259&lt;=6,5,IF(E2259&lt;=9,4,IF(E2259&lt;=12,3,IF(E2259&lt;=15,2,0))))))</f>
        <v/>
      </c>
      <c r="G2259" s="5" t="n"/>
      <c r="H2259" s="4">
        <f>IF(OR(F2259="",G2259=""),"",F2259*G2259+IF(J2259="",0,J2259))</f>
        <v/>
      </c>
      <c r="I2259" s="5" t="n"/>
      <c r="J2259" s="5" t="n"/>
    </row>
    <row r="2260">
      <c r="A2260" s="5" t="n"/>
      <c r="B2260" s="5" t="n"/>
      <c r="C2260" s="5" t="n"/>
      <c r="D2260" s="5" t="n"/>
      <c r="E2260" s="4">
        <f>IF(C2260="","",COUNTIF($C$7:C2260,C2260))</f>
        <v/>
      </c>
      <c r="F2260" s="4">
        <f>IF(E2260="","",IF(E2260&lt;=3,6,IF(E2260&lt;=6,5,IF(E2260&lt;=9,4,IF(E2260&lt;=12,3,IF(E2260&lt;=15,2,0))))))</f>
        <v/>
      </c>
      <c r="G2260" s="5" t="n"/>
      <c r="H2260" s="4">
        <f>IF(OR(F2260="",G2260=""),"",F2260*G2260+IF(J2260="",0,J2260))</f>
        <v/>
      </c>
      <c r="I2260" s="5" t="n"/>
      <c r="J2260" s="5" t="n"/>
    </row>
    <row r="2261">
      <c r="A2261" s="5" t="n"/>
      <c r="B2261" s="5" t="n"/>
      <c r="C2261" s="5" t="n"/>
      <c r="D2261" s="5" t="n"/>
      <c r="E2261" s="4">
        <f>IF(C2261="","",COUNTIF($C$7:C2261,C2261))</f>
        <v/>
      </c>
      <c r="F2261" s="4">
        <f>IF(E2261="","",IF(E2261&lt;=3,6,IF(E2261&lt;=6,5,IF(E2261&lt;=9,4,IF(E2261&lt;=12,3,IF(E2261&lt;=15,2,0))))))</f>
        <v/>
      </c>
      <c r="G2261" s="5" t="n"/>
      <c r="H2261" s="4">
        <f>IF(OR(F2261="",G2261=""),"",F2261*G2261+IF(J2261="",0,J2261))</f>
        <v/>
      </c>
      <c r="I2261" s="5" t="n"/>
      <c r="J2261" s="5" t="n"/>
    </row>
    <row r="2262">
      <c r="A2262" s="5" t="n"/>
      <c r="B2262" s="5" t="n"/>
      <c r="C2262" s="5" t="n"/>
      <c r="D2262" s="5" t="n"/>
      <c r="E2262" s="4">
        <f>IF(C2262="","",COUNTIF($C$7:C2262,C2262))</f>
        <v/>
      </c>
      <c r="F2262" s="4">
        <f>IF(E2262="","",IF(E2262&lt;=3,6,IF(E2262&lt;=6,5,IF(E2262&lt;=9,4,IF(E2262&lt;=12,3,IF(E2262&lt;=15,2,0))))))</f>
        <v/>
      </c>
      <c r="G2262" s="5" t="n"/>
      <c r="H2262" s="4">
        <f>IF(OR(F2262="",G2262=""),"",F2262*G2262+IF(J2262="",0,J2262))</f>
        <v/>
      </c>
      <c r="I2262" s="5" t="n"/>
      <c r="J2262" s="5" t="n"/>
    </row>
    <row r="2263">
      <c r="A2263" s="5" t="n"/>
      <c r="B2263" s="5" t="n"/>
      <c r="C2263" s="5" t="n"/>
      <c r="D2263" s="5" t="n"/>
      <c r="E2263" s="4">
        <f>IF(C2263="","",COUNTIF($C$7:C2263,C2263))</f>
        <v/>
      </c>
      <c r="F2263" s="4">
        <f>IF(E2263="","",IF(E2263&lt;=3,6,IF(E2263&lt;=6,5,IF(E2263&lt;=9,4,IF(E2263&lt;=12,3,IF(E2263&lt;=15,2,0))))))</f>
        <v/>
      </c>
      <c r="G2263" s="5" t="n"/>
      <c r="H2263" s="4">
        <f>IF(OR(F2263="",G2263=""),"",F2263*G2263+IF(J2263="",0,J2263))</f>
        <v/>
      </c>
      <c r="I2263" s="5" t="n"/>
      <c r="J2263" s="5" t="n"/>
    </row>
    <row r="2264">
      <c r="A2264" s="5" t="n"/>
      <c r="B2264" s="5" t="n"/>
      <c r="C2264" s="5" t="n"/>
      <c r="D2264" s="5" t="n"/>
      <c r="E2264" s="4">
        <f>IF(C2264="","",COUNTIF($C$7:C2264,C2264))</f>
        <v/>
      </c>
      <c r="F2264" s="4">
        <f>IF(E2264="","",IF(E2264&lt;=3,6,IF(E2264&lt;=6,5,IF(E2264&lt;=9,4,IF(E2264&lt;=12,3,IF(E2264&lt;=15,2,0))))))</f>
        <v/>
      </c>
      <c r="G2264" s="5" t="n"/>
      <c r="H2264" s="4">
        <f>IF(OR(F2264="",G2264=""),"",F2264*G2264+IF(J2264="",0,J2264))</f>
        <v/>
      </c>
      <c r="I2264" s="5" t="n"/>
      <c r="J2264" s="5" t="n"/>
    </row>
    <row r="2265">
      <c r="A2265" s="5" t="n"/>
      <c r="B2265" s="5" t="n"/>
      <c r="C2265" s="5" t="n"/>
      <c r="D2265" s="5" t="n"/>
      <c r="E2265" s="4">
        <f>IF(C2265="","",COUNTIF($C$7:C2265,C2265))</f>
        <v/>
      </c>
      <c r="F2265" s="4">
        <f>IF(E2265="","",IF(E2265&lt;=3,6,IF(E2265&lt;=6,5,IF(E2265&lt;=9,4,IF(E2265&lt;=12,3,IF(E2265&lt;=15,2,0))))))</f>
        <v/>
      </c>
      <c r="G2265" s="5" t="n"/>
      <c r="H2265" s="4">
        <f>IF(OR(F2265="",G2265=""),"",F2265*G2265+IF(J2265="",0,J2265))</f>
        <v/>
      </c>
      <c r="I2265" s="5" t="n"/>
      <c r="J2265" s="5" t="n"/>
    </row>
    <row r="2266">
      <c r="A2266" s="5" t="n"/>
      <c r="B2266" s="5" t="n"/>
      <c r="C2266" s="5" t="n"/>
      <c r="D2266" s="5" t="n"/>
      <c r="E2266" s="4">
        <f>IF(C2266="","",COUNTIF($C$7:C2266,C2266))</f>
        <v/>
      </c>
      <c r="F2266" s="4">
        <f>IF(E2266="","",IF(E2266&lt;=3,6,IF(E2266&lt;=6,5,IF(E2266&lt;=9,4,IF(E2266&lt;=12,3,IF(E2266&lt;=15,2,0))))))</f>
        <v/>
      </c>
      <c r="G2266" s="5" t="n"/>
      <c r="H2266" s="4">
        <f>IF(OR(F2266="",G2266=""),"",F2266*G2266+IF(J2266="",0,J2266))</f>
        <v/>
      </c>
      <c r="I2266" s="5" t="n"/>
      <c r="J2266" s="5" t="n"/>
    </row>
    <row r="2267">
      <c r="A2267" s="5" t="n"/>
      <c r="B2267" s="5" t="n"/>
      <c r="C2267" s="5" t="n"/>
      <c r="D2267" s="5" t="n"/>
      <c r="E2267" s="4">
        <f>IF(C2267="","",COUNTIF($C$7:C2267,C2267))</f>
        <v/>
      </c>
      <c r="F2267" s="4">
        <f>IF(E2267="","",IF(E2267&lt;=3,6,IF(E2267&lt;=6,5,IF(E2267&lt;=9,4,IF(E2267&lt;=12,3,IF(E2267&lt;=15,2,0))))))</f>
        <v/>
      </c>
      <c r="G2267" s="5" t="n"/>
      <c r="H2267" s="4">
        <f>IF(OR(F2267="",G2267=""),"",F2267*G2267+IF(J2267="",0,J2267))</f>
        <v/>
      </c>
      <c r="I2267" s="5" t="n"/>
      <c r="J2267" s="5" t="n"/>
    </row>
    <row r="2268">
      <c r="A2268" s="5" t="n"/>
      <c r="B2268" s="5" t="n"/>
      <c r="C2268" s="5" t="n"/>
      <c r="D2268" s="5" t="n"/>
      <c r="E2268" s="4">
        <f>IF(C2268="","",COUNTIF($C$7:C2268,C2268))</f>
        <v/>
      </c>
      <c r="F2268" s="4">
        <f>IF(E2268="","",IF(E2268&lt;=3,6,IF(E2268&lt;=6,5,IF(E2268&lt;=9,4,IF(E2268&lt;=12,3,IF(E2268&lt;=15,2,0))))))</f>
        <v/>
      </c>
      <c r="G2268" s="5" t="n"/>
      <c r="H2268" s="4">
        <f>IF(OR(F2268="",G2268=""),"",F2268*G2268+IF(J2268="",0,J2268))</f>
        <v/>
      </c>
      <c r="I2268" s="5" t="n"/>
      <c r="J2268" s="5" t="n"/>
    </row>
    <row r="2269">
      <c r="A2269" s="5" t="n"/>
      <c r="B2269" s="5" t="n"/>
      <c r="C2269" s="5" t="n"/>
      <c r="D2269" s="5" t="n"/>
      <c r="E2269" s="4">
        <f>IF(C2269="","",COUNTIF($C$7:C2269,C2269))</f>
        <v/>
      </c>
      <c r="F2269" s="4">
        <f>IF(E2269="","",IF(E2269&lt;=3,6,IF(E2269&lt;=6,5,IF(E2269&lt;=9,4,IF(E2269&lt;=12,3,IF(E2269&lt;=15,2,0))))))</f>
        <v/>
      </c>
      <c r="G2269" s="5" t="n"/>
      <c r="H2269" s="4">
        <f>IF(OR(F2269="",G2269=""),"",F2269*G2269+IF(J2269="",0,J2269))</f>
        <v/>
      </c>
      <c r="I2269" s="5" t="n"/>
      <c r="J2269" s="5" t="n"/>
    </row>
    <row r="2270">
      <c r="A2270" s="5" t="n"/>
      <c r="B2270" s="5" t="n"/>
      <c r="C2270" s="5" t="n"/>
      <c r="D2270" s="5" t="n"/>
      <c r="E2270" s="4">
        <f>IF(C2270="","",COUNTIF($C$7:C2270,C2270))</f>
        <v/>
      </c>
      <c r="F2270" s="4">
        <f>IF(E2270="","",IF(E2270&lt;=3,6,IF(E2270&lt;=6,5,IF(E2270&lt;=9,4,IF(E2270&lt;=12,3,IF(E2270&lt;=15,2,0))))))</f>
        <v/>
      </c>
      <c r="G2270" s="5" t="n"/>
      <c r="H2270" s="4">
        <f>IF(OR(F2270="",G2270=""),"",F2270*G2270+IF(J2270="",0,J2270))</f>
        <v/>
      </c>
      <c r="I2270" s="5" t="n"/>
      <c r="J2270" s="5" t="n"/>
    </row>
    <row r="2271">
      <c r="A2271" s="5" t="n"/>
      <c r="B2271" s="5" t="n"/>
      <c r="C2271" s="5" t="n"/>
      <c r="D2271" s="5" t="n"/>
      <c r="E2271" s="4">
        <f>IF(C2271="","",COUNTIF($C$7:C2271,C2271))</f>
        <v/>
      </c>
      <c r="F2271" s="4">
        <f>IF(E2271="","",IF(E2271&lt;=3,6,IF(E2271&lt;=6,5,IF(E2271&lt;=9,4,IF(E2271&lt;=12,3,IF(E2271&lt;=15,2,0))))))</f>
        <v/>
      </c>
      <c r="G2271" s="5" t="n"/>
      <c r="H2271" s="4">
        <f>IF(OR(F2271="",G2271=""),"",F2271*G2271+IF(J2271="",0,J2271))</f>
        <v/>
      </c>
      <c r="I2271" s="5" t="n"/>
      <c r="J2271" s="5" t="n"/>
    </row>
    <row r="2272">
      <c r="A2272" s="5" t="n"/>
      <c r="B2272" s="5" t="n"/>
      <c r="C2272" s="5" t="n"/>
      <c r="D2272" s="5" t="n"/>
      <c r="E2272" s="4">
        <f>IF(C2272="","",COUNTIF($C$7:C2272,C2272))</f>
        <v/>
      </c>
      <c r="F2272" s="4">
        <f>IF(E2272="","",IF(E2272&lt;=3,6,IF(E2272&lt;=6,5,IF(E2272&lt;=9,4,IF(E2272&lt;=12,3,IF(E2272&lt;=15,2,0))))))</f>
        <v/>
      </c>
      <c r="G2272" s="5" t="n"/>
      <c r="H2272" s="4">
        <f>IF(OR(F2272="",G2272=""),"",F2272*G2272+IF(J2272="",0,J2272))</f>
        <v/>
      </c>
      <c r="I2272" s="5" t="n"/>
      <c r="J2272" s="5" t="n"/>
    </row>
    <row r="2273">
      <c r="A2273" s="5" t="n"/>
      <c r="B2273" s="5" t="n"/>
      <c r="C2273" s="5" t="n"/>
      <c r="D2273" s="5" t="n"/>
      <c r="E2273" s="4">
        <f>IF(C2273="","",COUNTIF($C$7:C2273,C2273))</f>
        <v/>
      </c>
      <c r="F2273" s="4">
        <f>IF(E2273="","",IF(E2273&lt;=3,6,IF(E2273&lt;=6,5,IF(E2273&lt;=9,4,IF(E2273&lt;=12,3,IF(E2273&lt;=15,2,0))))))</f>
        <v/>
      </c>
      <c r="G2273" s="5" t="n"/>
      <c r="H2273" s="4">
        <f>IF(OR(F2273="",G2273=""),"",F2273*G2273+IF(J2273="",0,J2273))</f>
        <v/>
      </c>
      <c r="I2273" s="5" t="n"/>
      <c r="J2273" s="5" t="n"/>
    </row>
    <row r="2274">
      <c r="A2274" s="5" t="n"/>
      <c r="B2274" s="5" t="n"/>
      <c r="C2274" s="5" t="n"/>
      <c r="D2274" s="5" t="n"/>
      <c r="E2274" s="4">
        <f>IF(C2274="","",COUNTIF($C$7:C2274,C2274))</f>
        <v/>
      </c>
      <c r="F2274" s="4">
        <f>IF(E2274="","",IF(E2274&lt;=3,6,IF(E2274&lt;=6,5,IF(E2274&lt;=9,4,IF(E2274&lt;=12,3,IF(E2274&lt;=15,2,0))))))</f>
        <v/>
      </c>
      <c r="G2274" s="5" t="n"/>
      <c r="H2274" s="4">
        <f>IF(OR(F2274="",G2274=""),"",F2274*G2274+IF(J2274="",0,J2274))</f>
        <v/>
      </c>
      <c r="I2274" s="5" t="n"/>
      <c r="J2274" s="5" t="n"/>
    </row>
    <row r="2275">
      <c r="A2275" s="5" t="n"/>
      <c r="B2275" s="5" t="n"/>
      <c r="C2275" s="5" t="n"/>
      <c r="D2275" s="5" t="n"/>
      <c r="E2275" s="4">
        <f>IF(C2275="","",COUNTIF($C$7:C2275,C2275))</f>
        <v/>
      </c>
      <c r="F2275" s="4">
        <f>IF(E2275="","",IF(E2275&lt;=3,6,IF(E2275&lt;=6,5,IF(E2275&lt;=9,4,IF(E2275&lt;=12,3,IF(E2275&lt;=15,2,0))))))</f>
        <v/>
      </c>
      <c r="G2275" s="5" t="n"/>
      <c r="H2275" s="4">
        <f>IF(OR(F2275="",G2275=""),"",F2275*G2275+IF(J2275="",0,J2275))</f>
        <v/>
      </c>
      <c r="I2275" s="5" t="n"/>
      <c r="J2275" s="5" t="n"/>
    </row>
    <row r="2276">
      <c r="A2276" s="5" t="n"/>
      <c r="B2276" s="5" t="n"/>
      <c r="C2276" s="5" t="n"/>
      <c r="D2276" s="5" t="n"/>
      <c r="E2276" s="4">
        <f>IF(C2276="","",COUNTIF($C$7:C2276,C2276))</f>
        <v/>
      </c>
      <c r="F2276" s="4">
        <f>IF(E2276="","",IF(E2276&lt;=3,6,IF(E2276&lt;=6,5,IF(E2276&lt;=9,4,IF(E2276&lt;=12,3,IF(E2276&lt;=15,2,0))))))</f>
        <v/>
      </c>
      <c r="G2276" s="5" t="n"/>
      <c r="H2276" s="4">
        <f>IF(OR(F2276="",G2276=""),"",F2276*G2276+IF(J2276="",0,J2276))</f>
        <v/>
      </c>
      <c r="I2276" s="5" t="n"/>
      <c r="J2276" s="5" t="n"/>
    </row>
    <row r="2277">
      <c r="A2277" s="5" t="n"/>
      <c r="B2277" s="5" t="n"/>
      <c r="C2277" s="5" t="n"/>
      <c r="D2277" s="5" t="n"/>
      <c r="E2277" s="4">
        <f>IF(C2277="","",COUNTIF($C$7:C2277,C2277))</f>
        <v/>
      </c>
      <c r="F2277" s="4">
        <f>IF(E2277="","",IF(E2277&lt;=3,6,IF(E2277&lt;=6,5,IF(E2277&lt;=9,4,IF(E2277&lt;=12,3,IF(E2277&lt;=15,2,0))))))</f>
        <v/>
      </c>
      <c r="G2277" s="5" t="n"/>
      <c r="H2277" s="4">
        <f>IF(OR(F2277="",G2277=""),"",F2277*G2277+IF(J2277="",0,J2277))</f>
        <v/>
      </c>
      <c r="I2277" s="5" t="n"/>
      <c r="J2277" s="5" t="n"/>
    </row>
    <row r="2278">
      <c r="A2278" s="5" t="n"/>
      <c r="B2278" s="5" t="n"/>
      <c r="C2278" s="5" t="n"/>
      <c r="D2278" s="5" t="n"/>
      <c r="E2278" s="4">
        <f>IF(C2278="","",COUNTIF($C$7:C2278,C2278))</f>
        <v/>
      </c>
      <c r="F2278" s="4">
        <f>IF(E2278="","",IF(E2278&lt;=3,6,IF(E2278&lt;=6,5,IF(E2278&lt;=9,4,IF(E2278&lt;=12,3,IF(E2278&lt;=15,2,0))))))</f>
        <v/>
      </c>
      <c r="G2278" s="5" t="n"/>
      <c r="H2278" s="4">
        <f>IF(OR(F2278="",G2278=""),"",F2278*G2278+IF(J2278="",0,J2278))</f>
        <v/>
      </c>
      <c r="I2278" s="5" t="n"/>
      <c r="J2278" s="5" t="n"/>
    </row>
    <row r="2279">
      <c r="A2279" s="5" t="n"/>
      <c r="B2279" s="5" t="n"/>
      <c r="C2279" s="5" t="n"/>
      <c r="D2279" s="5" t="n"/>
      <c r="E2279" s="4">
        <f>IF(C2279="","",COUNTIF($C$7:C2279,C2279))</f>
        <v/>
      </c>
      <c r="F2279" s="4">
        <f>IF(E2279="","",IF(E2279&lt;=3,6,IF(E2279&lt;=6,5,IF(E2279&lt;=9,4,IF(E2279&lt;=12,3,IF(E2279&lt;=15,2,0))))))</f>
        <v/>
      </c>
      <c r="G2279" s="5" t="n"/>
      <c r="H2279" s="4">
        <f>IF(OR(F2279="",G2279=""),"",F2279*G2279+IF(J2279="",0,J2279))</f>
        <v/>
      </c>
      <c r="I2279" s="5" t="n"/>
      <c r="J2279" s="5" t="n"/>
    </row>
    <row r="2280">
      <c r="A2280" s="5" t="n"/>
      <c r="B2280" s="5" t="n"/>
      <c r="C2280" s="5" t="n"/>
      <c r="D2280" s="5" t="n"/>
      <c r="E2280" s="4">
        <f>IF(C2280="","",COUNTIF($C$7:C2280,C2280))</f>
        <v/>
      </c>
      <c r="F2280" s="4">
        <f>IF(E2280="","",IF(E2280&lt;=3,6,IF(E2280&lt;=6,5,IF(E2280&lt;=9,4,IF(E2280&lt;=12,3,IF(E2280&lt;=15,2,0))))))</f>
        <v/>
      </c>
      <c r="G2280" s="5" t="n"/>
      <c r="H2280" s="4">
        <f>IF(OR(F2280="",G2280=""),"",F2280*G2280+IF(J2280="",0,J2280))</f>
        <v/>
      </c>
      <c r="I2280" s="5" t="n"/>
      <c r="J2280" s="5" t="n"/>
    </row>
    <row r="2281">
      <c r="A2281" s="5" t="n"/>
      <c r="B2281" s="5" t="n"/>
      <c r="C2281" s="5" t="n"/>
      <c r="D2281" s="5" t="n"/>
      <c r="E2281" s="4">
        <f>IF(C2281="","",COUNTIF($C$7:C2281,C2281))</f>
        <v/>
      </c>
      <c r="F2281" s="4">
        <f>IF(E2281="","",IF(E2281&lt;=3,6,IF(E2281&lt;=6,5,IF(E2281&lt;=9,4,IF(E2281&lt;=12,3,IF(E2281&lt;=15,2,0))))))</f>
        <v/>
      </c>
      <c r="G2281" s="5" t="n"/>
      <c r="H2281" s="4">
        <f>IF(OR(F2281="",G2281=""),"",F2281*G2281+IF(J2281="",0,J2281))</f>
        <v/>
      </c>
      <c r="I2281" s="5" t="n"/>
      <c r="J2281" s="5" t="n"/>
    </row>
    <row r="2282">
      <c r="A2282" s="5" t="n"/>
      <c r="B2282" s="5" t="n"/>
      <c r="C2282" s="5" t="n"/>
      <c r="D2282" s="5" t="n"/>
      <c r="E2282" s="4">
        <f>IF(C2282="","",COUNTIF($C$7:C2282,C2282))</f>
        <v/>
      </c>
      <c r="F2282" s="4">
        <f>IF(E2282="","",IF(E2282&lt;=3,6,IF(E2282&lt;=6,5,IF(E2282&lt;=9,4,IF(E2282&lt;=12,3,IF(E2282&lt;=15,2,0))))))</f>
        <v/>
      </c>
      <c r="G2282" s="5" t="n"/>
      <c r="H2282" s="4">
        <f>IF(OR(F2282="",G2282=""),"",F2282*G2282+IF(J2282="",0,J2282))</f>
        <v/>
      </c>
      <c r="I2282" s="5" t="n"/>
      <c r="J2282" s="5" t="n"/>
    </row>
    <row r="2283">
      <c r="A2283" s="5" t="n"/>
      <c r="B2283" s="5" t="n"/>
      <c r="C2283" s="5" t="n"/>
      <c r="D2283" s="5" t="n"/>
      <c r="E2283" s="4">
        <f>IF(C2283="","",COUNTIF($C$7:C2283,C2283))</f>
        <v/>
      </c>
      <c r="F2283" s="4">
        <f>IF(E2283="","",IF(E2283&lt;=3,6,IF(E2283&lt;=6,5,IF(E2283&lt;=9,4,IF(E2283&lt;=12,3,IF(E2283&lt;=15,2,0))))))</f>
        <v/>
      </c>
      <c r="G2283" s="5" t="n"/>
      <c r="H2283" s="4">
        <f>IF(OR(F2283="",G2283=""),"",F2283*G2283+IF(J2283="",0,J2283))</f>
        <v/>
      </c>
      <c r="I2283" s="5" t="n"/>
      <c r="J2283" s="5" t="n"/>
    </row>
    <row r="2284">
      <c r="A2284" s="5" t="n"/>
      <c r="B2284" s="5" t="n"/>
      <c r="C2284" s="5" t="n"/>
      <c r="D2284" s="5" t="n"/>
      <c r="E2284" s="4">
        <f>IF(C2284="","",COUNTIF($C$7:C2284,C2284))</f>
        <v/>
      </c>
      <c r="F2284" s="4">
        <f>IF(E2284="","",IF(E2284&lt;=3,6,IF(E2284&lt;=6,5,IF(E2284&lt;=9,4,IF(E2284&lt;=12,3,IF(E2284&lt;=15,2,0))))))</f>
        <v/>
      </c>
      <c r="G2284" s="5" t="n"/>
      <c r="H2284" s="4">
        <f>IF(OR(F2284="",G2284=""),"",F2284*G2284+IF(J2284="",0,J2284))</f>
        <v/>
      </c>
      <c r="I2284" s="5" t="n"/>
      <c r="J2284" s="5" t="n"/>
    </row>
    <row r="2285">
      <c r="A2285" s="5" t="n"/>
      <c r="B2285" s="5" t="n"/>
      <c r="C2285" s="5" t="n"/>
      <c r="D2285" s="5" t="n"/>
      <c r="E2285" s="4">
        <f>IF(C2285="","",COUNTIF($C$7:C2285,C2285))</f>
        <v/>
      </c>
      <c r="F2285" s="4">
        <f>IF(E2285="","",IF(E2285&lt;=3,6,IF(E2285&lt;=6,5,IF(E2285&lt;=9,4,IF(E2285&lt;=12,3,IF(E2285&lt;=15,2,0))))))</f>
        <v/>
      </c>
      <c r="G2285" s="5" t="n"/>
      <c r="H2285" s="4">
        <f>IF(OR(F2285="",G2285=""),"",F2285*G2285+IF(J2285="",0,J2285))</f>
        <v/>
      </c>
      <c r="I2285" s="5" t="n"/>
      <c r="J2285" s="5" t="n"/>
    </row>
    <row r="2286">
      <c r="A2286" s="5" t="n"/>
      <c r="B2286" s="5" t="n"/>
      <c r="C2286" s="5" t="n"/>
      <c r="D2286" s="5" t="n"/>
      <c r="E2286" s="4">
        <f>IF(C2286="","",COUNTIF($C$7:C2286,C2286))</f>
        <v/>
      </c>
      <c r="F2286" s="4">
        <f>IF(E2286="","",IF(E2286&lt;=3,6,IF(E2286&lt;=6,5,IF(E2286&lt;=9,4,IF(E2286&lt;=12,3,IF(E2286&lt;=15,2,0))))))</f>
        <v/>
      </c>
      <c r="G2286" s="5" t="n"/>
      <c r="H2286" s="4">
        <f>IF(OR(F2286="",G2286=""),"",F2286*G2286+IF(J2286="",0,J2286))</f>
        <v/>
      </c>
      <c r="I2286" s="5" t="n"/>
      <c r="J2286" s="5" t="n"/>
    </row>
    <row r="2287">
      <c r="A2287" s="5" t="n"/>
      <c r="B2287" s="5" t="n"/>
      <c r="C2287" s="5" t="n"/>
      <c r="D2287" s="5" t="n"/>
      <c r="E2287" s="4">
        <f>IF(C2287="","",COUNTIF($C$7:C2287,C2287))</f>
        <v/>
      </c>
      <c r="F2287" s="4">
        <f>IF(E2287="","",IF(E2287&lt;=3,6,IF(E2287&lt;=6,5,IF(E2287&lt;=9,4,IF(E2287&lt;=12,3,IF(E2287&lt;=15,2,0))))))</f>
        <v/>
      </c>
      <c r="G2287" s="5" t="n"/>
      <c r="H2287" s="4">
        <f>IF(OR(F2287="",G2287=""),"",F2287*G2287+IF(J2287="",0,J2287))</f>
        <v/>
      </c>
      <c r="I2287" s="5" t="n"/>
      <c r="J2287" s="5" t="n"/>
    </row>
    <row r="2288">
      <c r="A2288" s="5" t="n"/>
      <c r="B2288" s="5" t="n"/>
      <c r="C2288" s="5" t="n"/>
      <c r="D2288" s="5" t="n"/>
      <c r="E2288" s="4">
        <f>IF(C2288="","",COUNTIF($C$7:C2288,C2288))</f>
        <v/>
      </c>
      <c r="F2288" s="4">
        <f>IF(E2288="","",IF(E2288&lt;=3,6,IF(E2288&lt;=6,5,IF(E2288&lt;=9,4,IF(E2288&lt;=12,3,IF(E2288&lt;=15,2,0))))))</f>
        <v/>
      </c>
      <c r="G2288" s="5" t="n"/>
      <c r="H2288" s="4">
        <f>IF(OR(F2288="",G2288=""),"",F2288*G2288+IF(J2288="",0,J2288))</f>
        <v/>
      </c>
      <c r="I2288" s="5" t="n"/>
      <c r="J2288" s="5" t="n"/>
    </row>
    <row r="2289">
      <c r="A2289" s="5" t="n"/>
      <c r="B2289" s="5" t="n"/>
      <c r="C2289" s="5" t="n"/>
      <c r="D2289" s="5" t="n"/>
      <c r="E2289" s="4">
        <f>IF(C2289="","",COUNTIF($C$7:C2289,C2289))</f>
        <v/>
      </c>
      <c r="F2289" s="4">
        <f>IF(E2289="","",IF(E2289&lt;=3,6,IF(E2289&lt;=6,5,IF(E2289&lt;=9,4,IF(E2289&lt;=12,3,IF(E2289&lt;=15,2,0))))))</f>
        <v/>
      </c>
      <c r="G2289" s="5" t="n"/>
      <c r="H2289" s="4">
        <f>IF(OR(F2289="",G2289=""),"",F2289*G2289+IF(J2289="",0,J2289))</f>
        <v/>
      </c>
      <c r="I2289" s="5" t="n"/>
      <c r="J2289" s="5" t="n"/>
    </row>
    <row r="2290">
      <c r="A2290" s="5" t="n"/>
      <c r="B2290" s="5" t="n"/>
      <c r="C2290" s="5" t="n"/>
      <c r="D2290" s="5" t="n"/>
      <c r="E2290" s="4">
        <f>IF(C2290="","",COUNTIF($C$7:C2290,C2290))</f>
        <v/>
      </c>
      <c r="F2290" s="4">
        <f>IF(E2290="","",IF(E2290&lt;=3,6,IF(E2290&lt;=6,5,IF(E2290&lt;=9,4,IF(E2290&lt;=12,3,IF(E2290&lt;=15,2,0))))))</f>
        <v/>
      </c>
      <c r="G2290" s="5" t="n"/>
      <c r="H2290" s="4">
        <f>IF(OR(F2290="",G2290=""),"",F2290*G2290+IF(J2290="",0,J2290))</f>
        <v/>
      </c>
      <c r="I2290" s="5" t="n"/>
      <c r="J2290" s="5" t="n"/>
    </row>
    <row r="2291">
      <c r="A2291" s="5" t="n"/>
      <c r="B2291" s="5" t="n"/>
      <c r="C2291" s="5" t="n"/>
      <c r="D2291" s="5" t="n"/>
      <c r="E2291" s="4">
        <f>IF(C2291="","",COUNTIF($C$7:C2291,C2291))</f>
        <v/>
      </c>
      <c r="F2291" s="4">
        <f>IF(E2291="","",IF(E2291&lt;=3,6,IF(E2291&lt;=6,5,IF(E2291&lt;=9,4,IF(E2291&lt;=12,3,IF(E2291&lt;=15,2,0))))))</f>
        <v/>
      </c>
      <c r="G2291" s="5" t="n"/>
      <c r="H2291" s="4">
        <f>IF(OR(F2291="",G2291=""),"",F2291*G2291+IF(J2291="",0,J2291))</f>
        <v/>
      </c>
      <c r="I2291" s="5" t="n"/>
      <c r="J2291" s="5" t="n"/>
    </row>
    <row r="2292">
      <c r="A2292" s="5" t="n"/>
      <c r="B2292" s="5" t="n"/>
      <c r="C2292" s="5" t="n"/>
      <c r="D2292" s="5" t="n"/>
      <c r="E2292" s="4">
        <f>IF(C2292="","",COUNTIF($C$7:C2292,C2292))</f>
        <v/>
      </c>
      <c r="F2292" s="4">
        <f>IF(E2292="","",IF(E2292&lt;=3,6,IF(E2292&lt;=6,5,IF(E2292&lt;=9,4,IF(E2292&lt;=12,3,IF(E2292&lt;=15,2,0))))))</f>
        <v/>
      </c>
      <c r="G2292" s="5" t="n"/>
      <c r="H2292" s="4">
        <f>IF(OR(F2292="",G2292=""),"",F2292*G2292+IF(J2292="",0,J2292))</f>
        <v/>
      </c>
      <c r="I2292" s="5" t="n"/>
      <c r="J2292" s="5" t="n"/>
    </row>
    <row r="2293">
      <c r="A2293" s="5" t="n"/>
      <c r="B2293" s="5" t="n"/>
      <c r="C2293" s="5" t="n"/>
      <c r="D2293" s="5" t="n"/>
      <c r="E2293" s="4">
        <f>IF(C2293="","",COUNTIF($C$7:C2293,C2293))</f>
        <v/>
      </c>
      <c r="F2293" s="4">
        <f>IF(E2293="","",IF(E2293&lt;=3,6,IF(E2293&lt;=6,5,IF(E2293&lt;=9,4,IF(E2293&lt;=12,3,IF(E2293&lt;=15,2,0))))))</f>
        <v/>
      </c>
      <c r="G2293" s="5" t="n"/>
      <c r="H2293" s="4">
        <f>IF(OR(F2293="",G2293=""),"",F2293*G2293+IF(J2293="",0,J2293))</f>
        <v/>
      </c>
      <c r="I2293" s="5" t="n"/>
      <c r="J2293" s="5" t="n"/>
    </row>
    <row r="2294">
      <c r="A2294" s="5" t="n"/>
      <c r="B2294" s="5" t="n"/>
      <c r="C2294" s="5" t="n"/>
      <c r="D2294" s="5" t="n"/>
      <c r="E2294" s="4">
        <f>IF(C2294="","",COUNTIF($C$7:C2294,C2294))</f>
        <v/>
      </c>
      <c r="F2294" s="4">
        <f>IF(E2294="","",IF(E2294&lt;=3,6,IF(E2294&lt;=6,5,IF(E2294&lt;=9,4,IF(E2294&lt;=12,3,IF(E2294&lt;=15,2,0))))))</f>
        <v/>
      </c>
      <c r="G2294" s="5" t="n"/>
      <c r="H2294" s="4">
        <f>IF(OR(F2294="",G2294=""),"",F2294*G2294+IF(J2294="",0,J2294))</f>
        <v/>
      </c>
      <c r="I2294" s="5" t="n"/>
      <c r="J2294" s="5" t="n"/>
    </row>
    <row r="2295">
      <c r="A2295" s="5" t="n"/>
      <c r="B2295" s="5" t="n"/>
      <c r="C2295" s="5" t="n"/>
      <c r="D2295" s="5" t="n"/>
      <c r="E2295" s="4">
        <f>IF(C2295="","",COUNTIF($C$7:C2295,C2295))</f>
        <v/>
      </c>
      <c r="F2295" s="4">
        <f>IF(E2295="","",IF(E2295&lt;=3,6,IF(E2295&lt;=6,5,IF(E2295&lt;=9,4,IF(E2295&lt;=12,3,IF(E2295&lt;=15,2,0))))))</f>
        <v/>
      </c>
      <c r="G2295" s="5" t="n"/>
      <c r="H2295" s="4">
        <f>IF(OR(F2295="",G2295=""),"",F2295*G2295+IF(J2295="",0,J2295))</f>
        <v/>
      </c>
      <c r="I2295" s="5" t="n"/>
      <c r="J2295" s="5" t="n"/>
    </row>
    <row r="2296">
      <c r="A2296" s="5" t="n"/>
      <c r="B2296" s="5" t="n"/>
      <c r="C2296" s="5" t="n"/>
      <c r="D2296" s="5" t="n"/>
      <c r="E2296" s="4">
        <f>IF(C2296="","",COUNTIF($C$7:C2296,C2296))</f>
        <v/>
      </c>
      <c r="F2296" s="4">
        <f>IF(E2296="","",IF(E2296&lt;=3,6,IF(E2296&lt;=6,5,IF(E2296&lt;=9,4,IF(E2296&lt;=12,3,IF(E2296&lt;=15,2,0))))))</f>
        <v/>
      </c>
      <c r="G2296" s="5" t="n"/>
      <c r="H2296" s="4">
        <f>IF(OR(F2296="",G2296=""),"",F2296*G2296+IF(J2296="",0,J2296))</f>
        <v/>
      </c>
      <c r="I2296" s="5" t="n"/>
      <c r="J2296" s="5" t="n"/>
    </row>
    <row r="2297">
      <c r="A2297" s="5" t="n"/>
      <c r="B2297" s="5" t="n"/>
      <c r="C2297" s="5" t="n"/>
      <c r="D2297" s="5" t="n"/>
      <c r="E2297" s="4">
        <f>IF(C2297="","",COUNTIF($C$7:C2297,C2297))</f>
        <v/>
      </c>
      <c r="F2297" s="4">
        <f>IF(E2297="","",IF(E2297&lt;=3,6,IF(E2297&lt;=6,5,IF(E2297&lt;=9,4,IF(E2297&lt;=12,3,IF(E2297&lt;=15,2,0))))))</f>
        <v/>
      </c>
      <c r="G2297" s="5" t="n"/>
      <c r="H2297" s="4">
        <f>IF(OR(F2297="",G2297=""),"",F2297*G2297+IF(J2297="",0,J2297))</f>
        <v/>
      </c>
      <c r="I2297" s="5" t="n"/>
      <c r="J2297" s="5" t="n"/>
    </row>
    <row r="2298">
      <c r="A2298" s="5" t="n"/>
      <c r="B2298" s="5" t="n"/>
      <c r="C2298" s="5" t="n"/>
      <c r="D2298" s="5" t="n"/>
      <c r="E2298" s="4">
        <f>IF(C2298="","",COUNTIF($C$7:C2298,C2298))</f>
        <v/>
      </c>
      <c r="F2298" s="4">
        <f>IF(E2298="","",IF(E2298&lt;=3,6,IF(E2298&lt;=6,5,IF(E2298&lt;=9,4,IF(E2298&lt;=12,3,IF(E2298&lt;=15,2,0))))))</f>
        <v/>
      </c>
      <c r="G2298" s="5" t="n"/>
      <c r="H2298" s="4">
        <f>IF(OR(F2298="",G2298=""),"",F2298*G2298+IF(J2298="",0,J2298))</f>
        <v/>
      </c>
      <c r="I2298" s="5" t="n"/>
      <c r="J2298" s="5" t="n"/>
    </row>
    <row r="2299">
      <c r="A2299" s="5" t="n"/>
      <c r="B2299" s="5" t="n"/>
      <c r="C2299" s="5" t="n"/>
      <c r="D2299" s="5" t="n"/>
      <c r="E2299" s="4">
        <f>IF(C2299="","",COUNTIF($C$7:C2299,C2299))</f>
        <v/>
      </c>
      <c r="F2299" s="4">
        <f>IF(E2299="","",IF(E2299&lt;=3,6,IF(E2299&lt;=6,5,IF(E2299&lt;=9,4,IF(E2299&lt;=12,3,IF(E2299&lt;=15,2,0))))))</f>
        <v/>
      </c>
      <c r="G2299" s="5" t="n"/>
      <c r="H2299" s="4">
        <f>IF(OR(F2299="",G2299=""),"",F2299*G2299+IF(J2299="",0,J2299))</f>
        <v/>
      </c>
      <c r="I2299" s="5" t="n"/>
      <c r="J2299" s="5" t="n"/>
    </row>
    <row r="2300">
      <c r="A2300" s="5" t="n"/>
      <c r="B2300" s="5" t="n"/>
      <c r="C2300" s="5" t="n"/>
      <c r="D2300" s="5" t="n"/>
      <c r="E2300" s="4">
        <f>IF(C2300="","",COUNTIF($C$7:C2300,C2300))</f>
        <v/>
      </c>
      <c r="F2300" s="4">
        <f>IF(E2300="","",IF(E2300&lt;=3,6,IF(E2300&lt;=6,5,IF(E2300&lt;=9,4,IF(E2300&lt;=12,3,IF(E2300&lt;=15,2,0))))))</f>
        <v/>
      </c>
      <c r="G2300" s="5" t="n"/>
      <c r="H2300" s="4">
        <f>IF(OR(F2300="",G2300=""),"",F2300*G2300+IF(J2300="",0,J2300))</f>
        <v/>
      </c>
      <c r="I2300" s="5" t="n"/>
      <c r="J2300" s="5" t="n"/>
    </row>
    <row r="2301">
      <c r="A2301" s="5" t="n"/>
      <c r="B2301" s="5" t="n"/>
      <c r="C2301" s="5" t="n"/>
      <c r="D2301" s="5" t="n"/>
      <c r="E2301" s="4">
        <f>IF(C2301="","",COUNTIF($C$7:C2301,C2301))</f>
        <v/>
      </c>
      <c r="F2301" s="4">
        <f>IF(E2301="","",IF(E2301&lt;=3,6,IF(E2301&lt;=6,5,IF(E2301&lt;=9,4,IF(E2301&lt;=12,3,IF(E2301&lt;=15,2,0))))))</f>
        <v/>
      </c>
      <c r="G2301" s="5" t="n"/>
      <c r="H2301" s="4">
        <f>IF(OR(F2301="",G2301=""),"",F2301*G2301+IF(J2301="",0,J2301))</f>
        <v/>
      </c>
      <c r="I2301" s="5" t="n"/>
      <c r="J2301" s="5" t="n"/>
    </row>
    <row r="2302">
      <c r="A2302" s="5" t="n"/>
      <c r="B2302" s="5" t="n"/>
      <c r="C2302" s="5" t="n"/>
      <c r="D2302" s="5" t="n"/>
      <c r="E2302" s="4">
        <f>IF(C2302="","",COUNTIF($C$7:C2302,C2302))</f>
        <v/>
      </c>
      <c r="F2302" s="4">
        <f>IF(E2302="","",IF(E2302&lt;=3,6,IF(E2302&lt;=6,5,IF(E2302&lt;=9,4,IF(E2302&lt;=12,3,IF(E2302&lt;=15,2,0))))))</f>
        <v/>
      </c>
      <c r="G2302" s="5" t="n"/>
      <c r="H2302" s="4">
        <f>IF(OR(F2302="",G2302=""),"",F2302*G2302+IF(J2302="",0,J2302))</f>
        <v/>
      </c>
      <c r="I2302" s="5" t="n"/>
      <c r="J2302" s="5" t="n"/>
    </row>
    <row r="2303">
      <c r="A2303" s="5" t="n"/>
      <c r="B2303" s="5" t="n"/>
      <c r="C2303" s="5" t="n"/>
      <c r="D2303" s="5" t="n"/>
      <c r="E2303" s="4">
        <f>IF(C2303="","",COUNTIF($C$7:C2303,C2303))</f>
        <v/>
      </c>
      <c r="F2303" s="4">
        <f>IF(E2303="","",IF(E2303&lt;=3,6,IF(E2303&lt;=6,5,IF(E2303&lt;=9,4,IF(E2303&lt;=12,3,IF(E2303&lt;=15,2,0))))))</f>
        <v/>
      </c>
      <c r="G2303" s="5" t="n"/>
      <c r="H2303" s="4">
        <f>IF(OR(F2303="",G2303=""),"",F2303*G2303+IF(J2303="",0,J2303))</f>
        <v/>
      </c>
      <c r="I2303" s="5" t="n"/>
      <c r="J2303" s="5" t="n"/>
    </row>
    <row r="2304">
      <c r="A2304" s="5" t="n"/>
      <c r="B2304" s="5" t="n"/>
      <c r="C2304" s="5" t="n"/>
      <c r="D2304" s="5" t="n"/>
      <c r="E2304" s="4">
        <f>IF(C2304="","",COUNTIF($C$7:C2304,C2304))</f>
        <v/>
      </c>
      <c r="F2304" s="4">
        <f>IF(E2304="","",IF(E2304&lt;=3,6,IF(E2304&lt;=6,5,IF(E2304&lt;=9,4,IF(E2304&lt;=12,3,IF(E2304&lt;=15,2,0))))))</f>
        <v/>
      </c>
      <c r="G2304" s="5" t="n"/>
      <c r="H2304" s="4">
        <f>IF(OR(F2304="",G2304=""),"",F2304*G2304+IF(J2304="",0,J2304))</f>
        <v/>
      </c>
      <c r="I2304" s="5" t="n"/>
      <c r="J2304" s="5" t="n"/>
    </row>
    <row r="2305">
      <c r="A2305" s="5" t="n"/>
      <c r="B2305" s="5" t="n"/>
      <c r="C2305" s="5" t="n"/>
      <c r="D2305" s="5" t="n"/>
      <c r="E2305" s="4">
        <f>IF(C2305="","",COUNTIF($C$7:C2305,C2305))</f>
        <v/>
      </c>
      <c r="F2305" s="4">
        <f>IF(E2305="","",IF(E2305&lt;=3,6,IF(E2305&lt;=6,5,IF(E2305&lt;=9,4,IF(E2305&lt;=12,3,IF(E2305&lt;=15,2,0))))))</f>
        <v/>
      </c>
      <c r="G2305" s="5" t="n"/>
      <c r="H2305" s="4">
        <f>IF(OR(F2305="",G2305=""),"",F2305*G2305+IF(J2305="",0,J2305))</f>
        <v/>
      </c>
      <c r="I2305" s="5" t="n"/>
      <c r="J2305" s="5" t="n"/>
    </row>
    <row r="2306">
      <c r="A2306" s="5" t="n"/>
      <c r="B2306" s="5" t="n"/>
      <c r="C2306" s="5" t="n"/>
      <c r="D2306" s="5" t="n"/>
      <c r="E2306" s="4">
        <f>IF(C2306="","",COUNTIF($C$7:C2306,C2306))</f>
        <v/>
      </c>
      <c r="F2306" s="4">
        <f>IF(E2306="","",IF(E2306&lt;=3,6,IF(E2306&lt;=6,5,IF(E2306&lt;=9,4,IF(E2306&lt;=12,3,IF(E2306&lt;=15,2,0))))))</f>
        <v/>
      </c>
      <c r="G2306" s="5" t="n"/>
      <c r="H2306" s="4">
        <f>IF(OR(F2306="",G2306=""),"",F2306*G2306+IF(J2306="",0,J2306))</f>
        <v/>
      </c>
      <c r="I2306" s="5" t="n"/>
      <c r="J2306" s="5" t="n"/>
    </row>
    <row r="2307">
      <c r="A2307" s="5" t="n"/>
      <c r="B2307" s="5" t="n"/>
      <c r="C2307" s="5" t="n"/>
      <c r="D2307" s="5" t="n"/>
      <c r="E2307" s="4">
        <f>IF(C2307="","",COUNTIF($C$7:C2307,C2307))</f>
        <v/>
      </c>
      <c r="F2307" s="4">
        <f>IF(E2307="","",IF(E2307&lt;=3,6,IF(E2307&lt;=6,5,IF(E2307&lt;=9,4,IF(E2307&lt;=12,3,IF(E2307&lt;=15,2,0))))))</f>
        <v/>
      </c>
      <c r="G2307" s="5" t="n"/>
      <c r="H2307" s="4">
        <f>IF(OR(F2307="",G2307=""),"",F2307*G2307+IF(J2307="",0,J2307))</f>
        <v/>
      </c>
      <c r="I2307" s="5" t="n"/>
      <c r="J2307" s="5" t="n"/>
    </row>
    <row r="2308">
      <c r="A2308" s="5" t="n"/>
      <c r="B2308" s="5" t="n"/>
      <c r="C2308" s="5" t="n"/>
      <c r="D2308" s="5" t="n"/>
      <c r="E2308" s="4">
        <f>IF(C2308="","",COUNTIF($C$7:C2308,C2308))</f>
        <v/>
      </c>
      <c r="F2308" s="4">
        <f>IF(E2308="","",IF(E2308&lt;=3,6,IF(E2308&lt;=6,5,IF(E2308&lt;=9,4,IF(E2308&lt;=12,3,IF(E2308&lt;=15,2,0))))))</f>
        <v/>
      </c>
      <c r="G2308" s="5" t="n"/>
      <c r="H2308" s="4">
        <f>IF(OR(F2308="",G2308=""),"",F2308*G2308+IF(J2308="",0,J2308))</f>
        <v/>
      </c>
      <c r="I2308" s="5" t="n"/>
      <c r="J2308" s="5" t="n"/>
    </row>
    <row r="2309">
      <c r="A2309" s="5" t="n"/>
      <c r="B2309" s="5" t="n"/>
      <c r="C2309" s="5" t="n"/>
      <c r="D2309" s="5" t="n"/>
      <c r="E2309" s="4">
        <f>IF(C2309="","",COUNTIF($C$7:C2309,C2309))</f>
        <v/>
      </c>
      <c r="F2309" s="4">
        <f>IF(E2309="","",IF(E2309&lt;=3,6,IF(E2309&lt;=6,5,IF(E2309&lt;=9,4,IF(E2309&lt;=12,3,IF(E2309&lt;=15,2,0))))))</f>
        <v/>
      </c>
      <c r="G2309" s="5" t="n"/>
      <c r="H2309" s="4">
        <f>IF(OR(F2309="",G2309=""),"",F2309*G2309+IF(J2309="",0,J2309))</f>
        <v/>
      </c>
      <c r="I2309" s="5" t="n"/>
      <c r="J2309" s="5" t="n"/>
    </row>
    <row r="2310">
      <c r="A2310" s="5" t="n"/>
      <c r="B2310" s="5" t="n"/>
      <c r="C2310" s="5" t="n"/>
      <c r="D2310" s="5" t="n"/>
      <c r="E2310" s="4">
        <f>IF(C2310="","",COUNTIF($C$7:C2310,C2310))</f>
        <v/>
      </c>
      <c r="F2310" s="4">
        <f>IF(E2310="","",IF(E2310&lt;=3,6,IF(E2310&lt;=6,5,IF(E2310&lt;=9,4,IF(E2310&lt;=12,3,IF(E2310&lt;=15,2,0))))))</f>
        <v/>
      </c>
      <c r="G2310" s="5" t="n"/>
      <c r="H2310" s="4">
        <f>IF(OR(F2310="",G2310=""),"",F2310*G2310+IF(J2310="",0,J2310))</f>
        <v/>
      </c>
      <c r="I2310" s="5" t="n"/>
      <c r="J2310" s="5" t="n"/>
    </row>
    <row r="2311">
      <c r="A2311" s="5" t="n"/>
      <c r="B2311" s="5" t="n"/>
      <c r="C2311" s="5" t="n"/>
      <c r="D2311" s="5" t="n"/>
      <c r="E2311" s="4">
        <f>IF(C2311="","",COUNTIF($C$7:C2311,C2311))</f>
        <v/>
      </c>
      <c r="F2311" s="4">
        <f>IF(E2311="","",IF(E2311&lt;=3,6,IF(E2311&lt;=6,5,IF(E2311&lt;=9,4,IF(E2311&lt;=12,3,IF(E2311&lt;=15,2,0))))))</f>
        <v/>
      </c>
      <c r="G2311" s="5" t="n"/>
      <c r="H2311" s="4">
        <f>IF(OR(F2311="",G2311=""),"",F2311*G2311+IF(J2311="",0,J2311))</f>
        <v/>
      </c>
      <c r="I2311" s="5" t="n"/>
      <c r="J2311" s="5" t="n"/>
    </row>
    <row r="2312">
      <c r="A2312" s="5" t="n"/>
      <c r="B2312" s="5" t="n"/>
      <c r="C2312" s="5" t="n"/>
      <c r="D2312" s="5" t="n"/>
      <c r="E2312" s="4">
        <f>IF(C2312="","",COUNTIF($C$7:C2312,C2312))</f>
        <v/>
      </c>
      <c r="F2312" s="4">
        <f>IF(E2312="","",IF(E2312&lt;=3,6,IF(E2312&lt;=6,5,IF(E2312&lt;=9,4,IF(E2312&lt;=12,3,IF(E2312&lt;=15,2,0))))))</f>
        <v/>
      </c>
      <c r="G2312" s="5" t="n"/>
      <c r="H2312" s="4">
        <f>IF(OR(F2312="",G2312=""),"",F2312*G2312+IF(J2312="",0,J2312))</f>
        <v/>
      </c>
      <c r="I2312" s="5" t="n"/>
      <c r="J2312" s="5" t="n"/>
    </row>
    <row r="2313">
      <c r="A2313" s="5" t="n"/>
      <c r="B2313" s="5" t="n"/>
      <c r="C2313" s="5" t="n"/>
      <c r="D2313" s="5" t="n"/>
      <c r="E2313" s="4">
        <f>IF(C2313="","",COUNTIF($C$7:C2313,C2313))</f>
        <v/>
      </c>
      <c r="F2313" s="4">
        <f>IF(E2313="","",IF(E2313&lt;=3,6,IF(E2313&lt;=6,5,IF(E2313&lt;=9,4,IF(E2313&lt;=12,3,IF(E2313&lt;=15,2,0))))))</f>
        <v/>
      </c>
      <c r="G2313" s="5" t="n"/>
      <c r="H2313" s="4">
        <f>IF(OR(F2313="",G2313=""),"",F2313*G2313+IF(J2313="",0,J2313))</f>
        <v/>
      </c>
      <c r="I2313" s="5" t="n"/>
      <c r="J2313" s="5" t="n"/>
    </row>
    <row r="2314">
      <c r="A2314" s="5" t="n"/>
      <c r="B2314" s="5" t="n"/>
      <c r="C2314" s="5" t="n"/>
      <c r="D2314" s="5" t="n"/>
      <c r="E2314" s="4">
        <f>IF(C2314="","",COUNTIF($C$7:C2314,C2314))</f>
        <v/>
      </c>
      <c r="F2314" s="4">
        <f>IF(E2314="","",IF(E2314&lt;=3,6,IF(E2314&lt;=6,5,IF(E2314&lt;=9,4,IF(E2314&lt;=12,3,IF(E2314&lt;=15,2,0))))))</f>
        <v/>
      </c>
      <c r="G2314" s="5" t="n"/>
      <c r="H2314" s="4">
        <f>IF(OR(F2314="",G2314=""),"",F2314*G2314+IF(J2314="",0,J2314))</f>
        <v/>
      </c>
      <c r="I2314" s="5" t="n"/>
      <c r="J2314" s="5" t="n"/>
    </row>
    <row r="2315">
      <c r="A2315" s="5" t="n"/>
      <c r="B2315" s="5" t="n"/>
      <c r="C2315" s="5" t="n"/>
      <c r="D2315" s="5" t="n"/>
      <c r="E2315" s="4">
        <f>IF(C2315="","",COUNTIF($C$7:C2315,C2315))</f>
        <v/>
      </c>
      <c r="F2315" s="4">
        <f>IF(E2315="","",IF(E2315&lt;=3,6,IF(E2315&lt;=6,5,IF(E2315&lt;=9,4,IF(E2315&lt;=12,3,IF(E2315&lt;=15,2,0))))))</f>
        <v/>
      </c>
      <c r="G2315" s="5" t="n"/>
      <c r="H2315" s="4">
        <f>IF(OR(F2315="",G2315=""),"",F2315*G2315+IF(J2315="",0,J2315))</f>
        <v/>
      </c>
      <c r="I2315" s="5" t="n"/>
      <c r="J2315" s="5" t="n"/>
    </row>
    <row r="2316">
      <c r="A2316" s="5" t="n"/>
      <c r="B2316" s="5" t="n"/>
      <c r="C2316" s="5" t="n"/>
      <c r="D2316" s="5" t="n"/>
      <c r="E2316" s="4">
        <f>IF(C2316="","",COUNTIF($C$7:C2316,C2316))</f>
        <v/>
      </c>
      <c r="F2316" s="4">
        <f>IF(E2316="","",IF(E2316&lt;=3,6,IF(E2316&lt;=6,5,IF(E2316&lt;=9,4,IF(E2316&lt;=12,3,IF(E2316&lt;=15,2,0))))))</f>
        <v/>
      </c>
      <c r="G2316" s="5" t="n"/>
      <c r="H2316" s="4">
        <f>IF(OR(F2316="",G2316=""),"",F2316*G2316+IF(J2316="",0,J2316))</f>
        <v/>
      </c>
      <c r="I2316" s="5" t="n"/>
      <c r="J2316" s="5" t="n"/>
    </row>
    <row r="2317">
      <c r="A2317" s="5" t="n"/>
      <c r="B2317" s="5" t="n"/>
      <c r="C2317" s="5" t="n"/>
      <c r="D2317" s="5" t="n"/>
      <c r="E2317" s="4">
        <f>IF(C2317="","",COUNTIF($C$7:C2317,C2317))</f>
        <v/>
      </c>
      <c r="F2317" s="4">
        <f>IF(E2317="","",IF(E2317&lt;=3,6,IF(E2317&lt;=6,5,IF(E2317&lt;=9,4,IF(E2317&lt;=12,3,IF(E2317&lt;=15,2,0))))))</f>
        <v/>
      </c>
      <c r="G2317" s="5" t="n"/>
      <c r="H2317" s="4">
        <f>IF(OR(F2317="",G2317=""),"",F2317*G2317+IF(J2317="",0,J2317))</f>
        <v/>
      </c>
      <c r="I2317" s="5" t="n"/>
      <c r="J2317" s="5" t="n"/>
    </row>
    <row r="2318">
      <c r="A2318" s="5" t="n"/>
      <c r="B2318" s="5" t="n"/>
      <c r="C2318" s="5" t="n"/>
      <c r="D2318" s="5" t="n"/>
      <c r="E2318" s="4">
        <f>IF(C2318="","",COUNTIF($C$7:C2318,C2318))</f>
        <v/>
      </c>
      <c r="F2318" s="4">
        <f>IF(E2318="","",IF(E2318&lt;=3,6,IF(E2318&lt;=6,5,IF(E2318&lt;=9,4,IF(E2318&lt;=12,3,IF(E2318&lt;=15,2,0))))))</f>
        <v/>
      </c>
      <c r="G2318" s="5" t="n"/>
      <c r="H2318" s="4">
        <f>IF(OR(F2318="",G2318=""),"",F2318*G2318+IF(J2318="",0,J2318))</f>
        <v/>
      </c>
      <c r="I2318" s="5" t="n"/>
      <c r="J2318" s="5" t="n"/>
    </row>
    <row r="2319">
      <c r="A2319" s="5" t="n"/>
      <c r="B2319" s="5" t="n"/>
      <c r="C2319" s="5" t="n"/>
      <c r="D2319" s="5" t="n"/>
      <c r="E2319" s="4">
        <f>IF(C2319="","",COUNTIF($C$7:C2319,C2319))</f>
        <v/>
      </c>
      <c r="F2319" s="4">
        <f>IF(E2319="","",IF(E2319&lt;=3,6,IF(E2319&lt;=6,5,IF(E2319&lt;=9,4,IF(E2319&lt;=12,3,IF(E2319&lt;=15,2,0))))))</f>
        <v/>
      </c>
      <c r="G2319" s="5" t="n"/>
      <c r="H2319" s="4">
        <f>IF(OR(F2319="",G2319=""),"",F2319*G2319+IF(J2319="",0,J2319))</f>
        <v/>
      </c>
      <c r="I2319" s="5" t="n"/>
      <c r="J2319" s="5" t="n"/>
    </row>
    <row r="2320">
      <c r="A2320" s="5" t="n"/>
      <c r="B2320" s="5" t="n"/>
      <c r="C2320" s="5" t="n"/>
      <c r="D2320" s="5" t="n"/>
      <c r="E2320" s="4">
        <f>IF(C2320="","",COUNTIF($C$7:C2320,C2320))</f>
        <v/>
      </c>
      <c r="F2320" s="4">
        <f>IF(E2320="","",IF(E2320&lt;=3,6,IF(E2320&lt;=6,5,IF(E2320&lt;=9,4,IF(E2320&lt;=12,3,IF(E2320&lt;=15,2,0))))))</f>
        <v/>
      </c>
      <c r="G2320" s="5" t="n"/>
      <c r="H2320" s="4">
        <f>IF(OR(F2320="",G2320=""),"",F2320*G2320+IF(J2320="",0,J2320))</f>
        <v/>
      </c>
      <c r="I2320" s="5" t="n"/>
      <c r="J2320" s="5" t="n"/>
    </row>
    <row r="2321">
      <c r="A2321" s="5" t="n"/>
      <c r="B2321" s="5" t="n"/>
      <c r="C2321" s="5" t="n"/>
      <c r="D2321" s="5" t="n"/>
      <c r="E2321" s="4">
        <f>IF(C2321="","",COUNTIF($C$7:C2321,C2321))</f>
        <v/>
      </c>
      <c r="F2321" s="4">
        <f>IF(E2321="","",IF(E2321&lt;=3,6,IF(E2321&lt;=6,5,IF(E2321&lt;=9,4,IF(E2321&lt;=12,3,IF(E2321&lt;=15,2,0))))))</f>
        <v/>
      </c>
      <c r="G2321" s="5" t="n"/>
      <c r="H2321" s="4">
        <f>IF(OR(F2321="",G2321=""),"",F2321*G2321+IF(J2321="",0,J2321))</f>
        <v/>
      </c>
      <c r="I2321" s="5" t="n"/>
      <c r="J2321" s="5" t="n"/>
    </row>
    <row r="2322">
      <c r="A2322" s="5" t="n"/>
      <c r="B2322" s="5" t="n"/>
      <c r="C2322" s="5" t="n"/>
      <c r="D2322" s="5" t="n"/>
      <c r="E2322" s="4">
        <f>IF(C2322="","",COUNTIF($C$7:C2322,C2322))</f>
        <v/>
      </c>
      <c r="F2322" s="4">
        <f>IF(E2322="","",IF(E2322&lt;=3,6,IF(E2322&lt;=6,5,IF(E2322&lt;=9,4,IF(E2322&lt;=12,3,IF(E2322&lt;=15,2,0))))))</f>
        <v/>
      </c>
      <c r="G2322" s="5" t="n"/>
      <c r="H2322" s="4">
        <f>IF(OR(F2322="",G2322=""),"",F2322*G2322+IF(J2322="",0,J2322))</f>
        <v/>
      </c>
      <c r="I2322" s="5" t="n"/>
      <c r="J2322" s="5" t="n"/>
    </row>
    <row r="2323">
      <c r="A2323" s="5" t="n"/>
      <c r="B2323" s="5" t="n"/>
      <c r="C2323" s="5" t="n"/>
      <c r="D2323" s="5" t="n"/>
      <c r="E2323" s="4">
        <f>IF(C2323="","",COUNTIF($C$7:C2323,C2323))</f>
        <v/>
      </c>
      <c r="F2323" s="4">
        <f>IF(E2323="","",IF(E2323&lt;=3,6,IF(E2323&lt;=6,5,IF(E2323&lt;=9,4,IF(E2323&lt;=12,3,IF(E2323&lt;=15,2,0))))))</f>
        <v/>
      </c>
      <c r="G2323" s="5" t="n"/>
      <c r="H2323" s="4">
        <f>IF(OR(F2323="",G2323=""),"",F2323*G2323+IF(J2323="",0,J2323))</f>
        <v/>
      </c>
      <c r="I2323" s="5" t="n"/>
      <c r="J2323" s="5" t="n"/>
    </row>
    <row r="2324">
      <c r="A2324" s="5" t="n"/>
      <c r="B2324" s="5" t="n"/>
      <c r="C2324" s="5" t="n"/>
      <c r="D2324" s="5" t="n"/>
      <c r="E2324" s="4">
        <f>IF(C2324="","",COUNTIF($C$7:C2324,C2324))</f>
        <v/>
      </c>
      <c r="F2324" s="4">
        <f>IF(E2324="","",IF(E2324&lt;=3,6,IF(E2324&lt;=6,5,IF(E2324&lt;=9,4,IF(E2324&lt;=12,3,IF(E2324&lt;=15,2,0))))))</f>
        <v/>
      </c>
      <c r="G2324" s="5" t="n"/>
      <c r="H2324" s="4">
        <f>IF(OR(F2324="",G2324=""),"",F2324*G2324+IF(J2324="",0,J2324))</f>
        <v/>
      </c>
      <c r="I2324" s="5" t="n"/>
      <c r="J2324" s="5" t="n"/>
    </row>
    <row r="2325">
      <c r="A2325" s="5" t="n"/>
      <c r="B2325" s="5" t="n"/>
      <c r="C2325" s="5" t="n"/>
      <c r="D2325" s="5" t="n"/>
      <c r="E2325" s="4">
        <f>IF(C2325="","",COUNTIF($C$7:C2325,C2325))</f>
        <v/>
      </c>
      <c r="F2325" s="4">
        <f>IF(E2325="","",IF(E2325&lt;=3,6,IF(E2325&lt;=6,5,IF(E2325&lt;=9,4,IF(E2325&lt;=12,3,IF(E2325&lt;=15,2,0))))))</f>
        <v/>
      </c>
      <c r="G2325" s="5" t="n"/>
      <c r="H2325" s="4">
        <f>IF(OR(F2325="",G2325=""),"",F2325*G2325+IF(J2325="",0,J2325))</f>
        <v/>
      </c>
      <c r="I2325" s="5" t="n"/>
      <c r="J2325" s="5" t="n"/>
    </row>
    <row r="2326">
      <c r="A2326" s="5" t="n"/>
      <c r="B2326" s="5" t="n"/>
      <c r="C2326" s="5" t="n"/>
      <c r="D2326" s="5" t="n"/>
      <c r="E2326" s="4">
        <f>IF(C2326="","",COUNTIF($C$7:C2326,C2326))</f>
        <v/>
      </c>
      <c r="F2326" s="4">
        <f>IF(E2326="","",IF(E2326&lt;=3,6,IF(E2326&lt;=6,5,IF(E2326&lt;=9,4,IF(E2326&lt;=12,3,IF(E2326&lt;=15,2,0))))))</f>
        <v/>
      </c>
      <c r="G2326" s="5" t="n"/>
      <c r="H2326" s="4">
        <f>IF(OR(F2326="",G2326=""),"",F2326*G2326+IF(J2326="",0,J2326))</f>
        <v/>
      </c>
      <c r="I2326" s="5" t="n"/>
      <c r="J2326" s="5" t="n"/>
    </row>
    <row r="2327">
      <c r="A2327" s="5" t="n"/>
      <c r="B2327" s="5" t="n"/>
      <c r="C2327" s="5" t="n"/>
      <c r="D2327" s="5" t="n"/>
      <c r="E2327" s="4">
        <f>IF(C2327="","",COUNTIF($C$7:C2327,C2327))</f>
        <v/>
      </c>
      <c r="F2327" s="4">
        <f>IF(E2327="","",IF(E2327&lt;=3,6,IF(E2327&lt;=6,5,IF(E2327&lt;=9,4,IF(E2327&lt;=12,3,IF(E2327&lt;=15,2,0))))))</f>
        <v/>
      </c>
      <c r="G2327" s="5" t="n"/>
      <c r="H2327" s="4">
        <f>IF(OR(F2327="",G2327=""),"",F2327*G2327+IF(J2327="",0,J2327))</f>
        <v/>
      </c>
      <c r="I2327" s="5" t="n"/>
      <c r="J2327" s="5" t="n"/>
    </row>
    <row r="2328">
      <c r="A2328" s="5" t="n"/>
      <c r="B2328" s="5" t="n"/>
      <c r="C2328" s="5" t="n"/>
      <c r="D2328" s="5" t="n"/>
      <c r="E2328" s="4">
        <f>IF(C2328="","",COUNTIF($C$7:C2328,C2328))</f>
        <v/>
      </c>
      <c r="F2328" s="4">
        <f>IF(E2328="","",IF(E2328&lt;=3,6,IF(E2328&lt;=6,5,IF(E2328&lt;=9,4,IF(E2328&lt;=12,3,IF(E2328&lt;=15,2,0))))))</f>
        <v/>
      </c>
      <c r="G2328" s="5" t="n"/>
      <c r="H2328" s="4">
        <f>IF(OR(F2328="",G2328=""),"",F2328*G2328+IF(J2328="",0,J2328))</f>
        <v/>
      </c>
      <c r="I2328" s="5" t="n"/>
      <c r="J2328" s="5" t="n"/>
    </row>
    <row r="2329">
      <c r="A2329" s="5" t="n"/>
      <c r="B2329" s="5" t="n"/>
      <c r="C2329" s="5" t="n"/>
      <c r="D2329" s="5" t="n"/>
      <c r="E2329" s="4">
        <f>IF(C2329="","",COUNTIF($C$7:C2329,C2329))</f>
        <v/>
      </c>
      <c r="F2329" s="4">
        <f>IF(E2329="","",IF(E2329&lt;=3,6,IF(E2329&lt;=6,5,IF(E2329&lt;=9,4,IF(E2329&lt;=12,3,IF(E2329&lt;=15,2,0))))))</f>
        <v/>
      </c>
      <c r="G2329" s="5" t="n"/>
      <c r="H2329" s="4">
        <f>IF(OR(F2329="",G2329=""),"",F2329*G2329+IF(J2329="",0,J2329))</f>
        <v/>
      </c>
      <c r="I2329" s="5" t="n"/>
      <c r="J2329" s="5" t="n"/>
    </row>
    <row r="2330">
      <c r="A2330" s="5" t="n"/>
      <c r="B2330" s="5" t="n"/>
      <c r="C2330" s="5" t="n"/>
      <c r="D2330" s="5" t="n"/>
      <c r="E2330" s="4">
        <f>IF(C2330="","",COUNTIF($C$7:C2330,C2330))</f>
        <v/>
      </c>
      <c r="F2330" s="4">
        <f>IF(E2330="","",IF(E2330&lt;=3,6,IF(E2330&lt;=6,5,IF(E2330&lt;=9,4,IF(E2330&lt;=12,3,IF(E2330&lt;=15,2,0))))))</f>
        <v/>
      </c>
      <c r="G2330" s="5" t="n"/>
      <c r="H2330" s="4">
        <f>IF(OR(F2330="",G2330=""),"",F2330*G2330+IF(J2330="",0,J2330))</f>
        <v/>
      </c>
      <c r="I2330" s="5" t="n"/>
      <c r="J2330" s="5" t="n"/>
    </row>
    <row r="2331">
      <c r="A2331" s="5" t="n"/>
      <c r="B2331" s="5" t="n"/>
      <c r="C2331" s="5" t="n"/>
      <c r="D2331" s="5" t="n"/>
      <c r="E2331" s="4">
        <f>IF(C2331="","",COUNTIF($C$7:C2331,C2331))</f>
        <v/>
      </c>
      <c r="F2331" s="4">
        <f>IF(E2331="","",IF(E2331&lt;=3,6,IF(E2331&lt;=6,5,IF(E2331&lt;=9,4,IF(E2331&lt;=12,3,IF(E2331&lt;=15,2,0))))))</f>
        <v/>
      </c>
      <c r="G2331" s="5" t="n"/>
      <c r="H2331" s="4">
        <f>IF(OR(F2331="",G2331=""),"",F2331*G2331+IF(J2331="",0,J2331))</f>
        <v/>
      </c>
      <c r="I2331" s="5" t="n"/>
      <c r="J2331" s="5" t="n"/>
    </row>
    <row r="2332">
      <c r="A2332" s="5" t="n"/>
      <c r="B2332" s="5" t="n"/>
      <c r="C2332" s="5" t="n"/>
      <c r="D2332" s="5" t="n"/>
      <c r="E2332" s="4">
        <f>IF(C2332="","",COUNTIF($C$7:C2332,C2332))</f>
        <v/>
      </c>
      <c r="F2332" s="4">
        <f>IF(E2332="","",IF(E2332&lt;=3,6,IF(E2332&lt;=6,5,IF(E2332&lt;=9,4,IF(E2332&lt;=12,3,IF(E2332&lt;=15,2,0))))))</f>
        <v/>
      </c>
      <c r="G2332" s="5" t="n"/>
      <c r="H2332" s="4">
        <f>IF(OR(F2332="",G2332=""),"",F2332*G2332+IF(J2332="",0,J2332))</f>
        <v/>
      </c>
      <c r="I2332" s="5" t="n"/>
      <c r="J2332" s="5" t="n"/>
    </row>
    <row r="2333">
      <c r="A2333" s="5" t="n"/>
      <c r="B2333" s="5" t="n"/>
      <c r="C2333" s="5" t="n"/>
      <c r="D2333" s="5" t="n"/>
      <c r="E2333" s="4">
        <f>IF(C2333="","",COUNTIF($C$7:C2333,C2333))</f>
        <v/>
      </c>
      <c r="F2333" s="4">
        <f>IF(E2333="","",IF(E2333&lt;=3,6,IF(E2333&lt;=6,5,IF(E2333&lt;=9,4,IF(E2333&lt;=12,3,IF(E2333&lt;=15,2,0))))))</f>
        <v/>
      </c>
      <c r="G2333" s="5" t="n"/>
      <c r="H2333" s="4">
        <f>IF(OR(F2333="",G2333=""),"",F2333*G2333+IF(J2333="",0,J2333))</f>
        <v/>
      </c>
      <c r="I2333" s="5" t="n"/>
      <c r="J2333" s="5" t="n"/>
    </row>
    <row r="2334">
      <c r="A2334" s="5" t="n"/>
      <c r="B2334" s="5" t="n"/>
      <c r="C2334" s="5" t="n"/>
      <c r="D2334" s="5" t="n"/>
      <c r="E2334" s="4">
        <f>IF(C2334="","",COUNTIF($C$7:C2334,C2334))</f>
        <v/>
      </c>
      <c r="F2334" s="4">
        <f>IF(E2334="","",IF(E2334&lt;=3,6,IF(E2334&lt;=6,5,IF(E2334&lt;=9,4,IF(E2334&lt;=12,3,IF(E2334&lt;=15,2,0))))))</f>
        <v/>
      </c>
      <c r="G2334" s="5" t="n"/>
      <c r="H2334" s="4">
        <f>IF(OR(F2334="",G2334=""),"",F2334*G2334+IF(J2334="",0,J2334))</f>
        <v/>
      </c>
      <c r="I2334" s="5" t="n"/>
      <c r="J2334" s="5" t="n"/>
    </row>
    <row r="2335">
      <c r="A2335" s="5" t="n"/>
      <c r="B2335" s="5" t="n"/>
      <c r="C2335" s="5" t="n"/>
      <c r="D2335" s="5" t="n"/>
      <c r="E2335" s="4">
        <f>IF(C2335="","",COUNTIF($C$7:C2335,C2335))</f>
        <v/>
      </c>
      <c r="F2335" s="4">
        <f>IF(E2335="","",IF(E2335&lt;=3,6,IF(E2335&lt;=6,5,IF(E2335&lt;=9,4,IF(E2335&lt;=12,3,IF(E2335&lt;=15,2,0))))))</f>
        <v/>
      </c>
      <c r="G2335" s="5" t="n"/>
      <c r="H2335" s="4">
        <f>IF(OR(F2335="",G2335=""),"",F2335*G2335+IF(J2335="",0,J2335))</f>
        <v/>
      </c>
      <c r="I2335" s="5" t="n"/>
      <c r="J2335" s="5" t="n"/>
    </row>
    <row r="2336">
      <c r="A2336" s="5" t="n"/>
      <c r="B2336" s="5" t="n"/>
      <c r="C2336" s="5" t="n"/>
      <c r="D2336" s="5" t="n"/>
      <c r="E2336" s="4">
        <f>IF(C2336="","",COUNTIF($C$7:C2336,C2336))</f>
        <v/>
      </c>
      <c r="F2336" s="4">
        <f>IF(E2336="","",IF(E2336&lt;=3,6,IF(E2336&lt;=6,5,IF(E2336&lt;=9,4,IF(E2336&lt;=12,3,IF(E2336&lt;=15,2,0))))))</f>
        <v/>
      </c>
      <c r="G2336" s="5" t="n"/>
      <c r="H2336" s="4">
        <f>IF(OR(F2336="",G2336=""),"",F2336*G2336+IF(J2336="",0,J2336))</f>
        <v/>
      </c>
      <c r="I2336" s="5" t="n"/>
      <c r="J2336" s="5" t="n"/>
    </row>
    <row r="2337">
      <c r="A2337" s="5" t="n"/>
      <c r="B2337" s="5" t="n"/>
      <c r="C2337" s="5" t="n"/>
      <c r="D2337" s="5" t="n"/>
      <c r="E2337" s="4">
        <f>IF(C2337="","",COUNTIF($C$7:C2337,C2337))</f>
        <v/>
      </c>
      <c r="F2337" s="4">
        <f>IF(E2337="","",IF(E2337&lt;=3,6,IF(E2337&lt;=6,5,IF(E2337&lt;=9,4,IF(E2337&lt;=12,3,IF(E2337&lt;=15,2,0))))))</f>
        <v/>
      </c>
      <c r="G2337" s="5" t="n"/>
      <c r="H2337" s="4">
        <f>IF(OR(F2337="",G2337=""),"",F2337*G2337+IF(J2337="",0,J2337))</f>
        <v/>
      </c>
      <c r="I2337" s="5" t="n"/>
      <c r="J2337" s="5" t="n"/>
    </row>
    <row r="2338">
      <c r="A2338" s="5" t="n"/>
      <c r="B2338" s="5" t="n"/>
      <c r="C2338" s="5" t="n"/>
      <c r="D2338" s="5" t="n"/>
      <c r="E2338" s="4">
        <f>IF(C2338="","",COUNTIF($C$7:C2338,C2338))</f>
        <v/>
      </c>
      <c r="F2338" s="4">
        <f>IF(E2338="","",IF(E2338&lt;=3,6,IF(E2338&lt;=6,5,IF(E2338&lt;=9,4,IF(E2338&lt;=12,3,IF(E2338&lt;=15,2,0))))))</f>
        <v/>
      </c>
      <c r="G2338" s="5" t="n"/>
      <c r="H2338" s="4">
        <f>IF(OR(F2338="",G2338=""),"",F2338*G2338+IF(J2338="",0,J2338))</f>
        <v/>
      </c>
      <c r="I2338" s="5" t="n"/>
      <c r="J2338" s="5" t="n"/>
    </row>
    <row r="2339">
      <c r="A2339" s="5" t="n"/>
      <c r="B2339" s="5" t="n"/>
      <c r="C2339" s="5" t="n"/>
      <c r="D2339" s="5" t="n"/>
      <c r="E2339" s="4">
        <f>IF(C2339="","",COUNTIF($C$7:C2339,C2339))</f>
        <v/>
      </c>
      <c r="F2339" s="4">
        <f>IF(E2339="","",IF(E2339&lt;=3,6,IF(E2339&lt;=6,5,IF(E2339&lt;=9,4,IF(E2339&lt;=12,3,IF(E2339&lt;=15,2,0))))))</f>
        <v/>
      </c>
      <c r="G2339" s="5" t="n"/>
      <c r="H2339" s="4">
        <f>IF(OR(F2339="",G2339=""),"",F2339*G2339+IF(J2339="",0,J2339))</f>
        <v/>
      </c>
      <c r="I2339" s="5" t="n"/>
      <c r="J2339" s="5" t="n"/>
    </row>
    <row r="2340">
      <c r="A2340" s="5" t="n"/>
      <c r="B2340" s="5" t="n"/>
      <c r="C2340" s="5" t="n"/>
      <c r="D2340" s="5" t="n"/>
      <c r="E2340" s="4">
        <f>IF(C2340="","",COUNTIF($C$7:C2340,C2340))</f>
        <v/>
      </c>
      <c r="F2340" s="4">
        <f>IF(E2340="","",IF(E2340&lt;=3,6,IF(E2340&lt;=6,5,IF(E2340&lt;=9,4,IF(E2340&lt;=12,3,IF(E2340&lt;=15,2,0))))))</f>
        <v/>
      </c>
      <c r="G2340" s="5" t="n"/>
      <c r="H2340" s="4">
        <f>IF(OR(F2340="",G2340=""),"",F2340*G2340+IF(J2340="",0,J2340))</f>
        <v/>
      </c>
      <c r="I2340" s="5" t="n"/>
      <c r="J2340" s="5" t="n"/>
    </row>
    <row r="2341">
      <c r="A2341" s="5" t="n"/>
      <c r="B2341" s="5" t="n"/>
      <c r="C2341" s="5" t="n"/>
      <c r="D2341" s="5" t="n"/>
      <c r="E2341" s="4">
        <f>IF(C2341="","",COUNTIF($C$7:C2341,C2341))</f>
        <v/>
      </c>
      <c r="F2341" s="4">
        <f>IF(E2341="","",IF(E2341&lt;=3,6,IF(E2341&lt;=6,5,IF(E2341&lt;=9,4,IF(E2341&lt;=12,3,IF(E2341&lt;=15,2,0))))))</f>
        <v/>
      </c>
      <c r="G2341" s="5" t="n"/>
      <c r="H2341" s="4">
        <f>IF(OR(F2341="",G2341=""),"",F2341*G2341+IF(J2341="",0,J2341))</f>
        <v/>
      </c>
      <c r="I2341" s="5" t="n"/>
      <c r="J2341" s="5" t="n"/>
    </row>
    <row r="2342">
      <c r="A2342" s="5" t="n"/>
      <c r="B2342" s="5" t="n"/>
      <c r="C2342" s="5" t="n"/>
      <c r="D2342" s="5" t="n"/>
      <c r="E2342" s="4">
        <f>IF(C2342="","",COUNTIF($C$7:C2342,C2342))</f>
        <v/>
      </c>
      <c r="F2342" s="4">
        <f>IF(E2342="","",IF(E2342&lt;=3,6,IF(E2342&lt;=6,5,IF(E2342&lt;=9,4,IF(E2342&lt;=12,3,IF(E2342&lt;=15,2,0))))))</f>
        <v/>
      </c>
      <c r="G2342" s="5" t="n"/>
      <c r="H2342" s="4">
        <f>IF(OR(F2342="",G2342=""),"",F2342*G2342+IF(J2342="",0,J2342))</f>
        <v/>
      </c>
      <c r="I2342" s="5" t="n"/>
      <c r="J2342" s="5" t="n"/>
    </row>
    <row r="2343">
      <c r="A2343" s="5" t="n"/>
      <c r="B2343" s="5" t="n"/>
      <c r="C2343" s="5" t="n"/>
      <c r="D2343" s="5" t="n"/>
      <c r="E2343" s="4">
        <f>IF(C2343="","",COUNTIF($C$7:C2343,C2343))</f>
        <v/>
      </c>
      <c r="F2343" s="4">
        <f>IF(E2343="","",IF(E2343&lt;=3,6,IF(E2343&lt;=6,5,IF(E2343&lt;=9,4,IF(E2343&lt;=12,3,IF(E2343&lt;=15,2,0))))))</f>
        <v/>
      </c>
      <c r="G2343" s="5" t="n"/>
      <c r="H2343" s="4">
        <f>IF(OR(F2343="",G2343=""),"",F2343*G2343+IF(J2343="",0,J2343))</f>
        <v/>
      </c>
      <c r="I2343" s="5" t="n"/>
      <c r="J2343" s="5" t="n"/>
    </row>
    <row r="2344">
      <c r="A2344" s="5" t="n"/>
      <c r="B2344" s="5" t="n"/>
      <c r="C2344" s="5" t="n"/>
      <c r="D2344" s="5" t="n"/>
      <c r="E2344" s="4">
        <f>IF(C2344="","",COUNTIF($C$7:C2344,C2344))</f>
        <v/>
      </c>
      <c r="F2344" s="4">
        <f>IF(E2344="","",IF(E2344&lt;=3,6,IF(E2344&lt;=6,5,IF(E2344&lt;=9,4,IF(E2344&lt;=12,3,IF(E2344&lt;=15,2,0))))))</f>
        <v/>
      </c>
      <c r="G2344" s="5" t="n"/>
      <c r="H2344" s="4">
        <f>IF(OR(F2344="",G2344=""),"",F2344*G2344+IF(J2344="",0,J2344))</f>
        <v/>
      </c>
      <c r="I2344" s="5" t="n"/>
      <c r="J2344" s="5" t="n"/>
    </row>
    <row r="2345">
      <c r="A2345" s="5" t="n"/>
      <c r="B2345" s="5" t="n"/>
      <c r="C2345" s="5" t="n"/>
      <c r="D2345" s="5" t="n"/>
      <c r="E2345" s="4">
        <f>IF(C2345="","",COUNTIF($C$7:C2345,C2345))</f>
        <v/>
      </c>
      <c r="F2345" s="4">
        <f>IF(E2345="","",IF(E2345&lt;=3,6,IF(E2345&lt;=6,5,IF(E2345&lt;=9,4,IF(E2345&lt;=12,3,IF(E2345&lt;=15,2,0))))))</f>
        <v/>
      </c>
      <c r="G2345" s="5" t="n"/>
      <c r="H2345" s="4">
        <f>IF(OR(F2345="",G2345=""),"",F2345*G2345+IF(J2345="",0,J2345))</f>
        <v/>
      </c>
      <c r="I2345" s="5" t="n"/>
      <c r="J2345" s="5" t="n"/>
    </row>
    <row r="2346">
      <c r="A2346" s="5" t="n"/>
      <c r="B2346" s="5" t="n"/>
      <c r="C2346" s="5" t="n"/>
      <c r="D2346" s="5" t="n"/>
      <c r="E2346" s="4">
        <f>IF(C2346="","",COUNTIF($C$7:C2346,C2346))</f>
        <v/>
      </c>
      <c r="F2346" s="4">
        <f>IF(E2346="","",IF(E2346&lt;=3,6,IF(E2346&lt;=6,5,IF(E2346&lt;=9,4,IF(E2346&lt;=12,3,IF(E2346&lt;=15,2,0))))))</f>
        <v/>
      </c>
      <c r="G2346" s="5" t="n"/>
      <c r="H2346" s="4">
        <f>IF(OR(F2346="",G2346=""),"",F2346*G2346+IF(J2346="",0,J2346))</f>
        <v/>
      </c>
      <c r="I2346" s="5" t="n"/>
      <c r="J2346" s="5" t="n"/>
    </row>
    <row r="2347">
      <c r="A2347" s="5" t="n"/>
      <c r="B2347" s="5" t="n"/>
      <c r="C2347" s="5" t="n"/>
      <c r="D2347" s="5" t="n"/>
      <c r="E2347" s="4">
        <f>IF(C2347="","",COUNTIF($C$7:C2347,C2347))</f>
        <v/>
      </c>
      <c r="F2347" s="4">
        <f>IF(E2347="","",IF(E2347&lt;=3,6,IF(E2347&lt;=6,5,IF(E2347&lt;=9,4,IF(E2347&lt;=12,3,IF(E2347&lt;=15,2,0))))))</f>
        <v/>
      </c>
      <c r="G2347" s="5" t="n"/>
      <c r="H2347" s="4">
        <f>IF(OR(F2347="",G2347=""),"",F2347*G2347+IF(J2347="",0,J2347))</f>
        <v/>
      </c>
      <c r="I2347" s="5" t="n"/>
      <c r="J2347" s="5" t="n"/>
    </row>
    <row r="2348">
      <c r="A2348" s="5" t="n"/>
      <c r="B2348" s="5" t="n"/>
      <c r="C2348" s="5" t="n"/>
      <c r="D2348" s="5" t="n"/>
      <c r="E2348" s="4">
        <f>IF(C2348="","",COUNTIF($C$7:C2348,C2348))</f>
        <v/>
      </c>
      <c r="F2348" s="4">
        <f>IF(E2348="","",IF(E2348&lt;=3,6,IF(E2348&lt;=6,5,IF(E2348&lt;=9,4,IF(E2348&lt;=12,3,IF(E2348&lt;=15,2,0))))))</f>
        <v/>
      </c>
      <c r="G2348" s="5" t="n"/>
      <c r="H2348" s="4">
        <f>IF(OR(F2348="",G2348=""),"",F2348*G2348+IF(J2348="",0,J2348))</f>
        <v/>
      </c>
      <c r="I2348" s="5" t="n"/>
      <c r="J2348" s="5" t="n"/>
    </row>
    <row r="2349">
      <c r="A2349" s="5" t="n"/>
      <c r="B2349" s="5" t="n"/>
      <c r="C2349" s="5" t="n"/>
      <c r="D2349" s="5" t="n"/>
      <c r="E2349" s="4">
        <f>IF(C2349="","",COUNTIF($C$7:C2349,C2349))</f>
        <v/>
      </c>
      <c r="F2349" s="4">
        <f>IF(E2349="","",IF(E2349&lt;=3,6,IF(E2349&lt;=6,5,IF(E2349&lt;=9,4,IF(E2349&lt;=12,3,IF(E2349&lt;=15,2,0))))))</f>
        <v/>
      </c>
      <c r="G2349" s="5" t="n"/>
      <c r="H2349" s="4">
        <f>IF(OR(F2349="",G2349=""),"",F2349*G2349+IF(J2349="",0,J2349))</f>
        <v/>
      </c>
      <c r="I2349" s="5" t="n"/>
      <c r="J2349" s="5" t="n"/>
    </row>
    <row r="2350">
      <c r="A2350" s="5" t="n"/>
      <c r="B2350" s="5" t="n"/>
      <c r="C2350" s="5" t="n"/>
      <c r="D2350" s="5" t="n"/>
      <c r="E2350" s="4">
        <f>IF(C2350="","",COUNTIF($C$7:C2350,C2350))</f>
        <v/>
      </c>
      <c r="F2350" s="4">
        <f>IF(E2350="","",IF(E2350&lt;=3,6,IF(E2350&lt;=6,5,IF(E2350&lt;=9,4,IF(E2350&lt;=12,3,IF(E2350&lt;=15,2,0))))))</f>
        <v/>
      </c>
      <c r="G2350" s="5" t="n"/>
      <c r="H2350" s="4">
        <f>IF(OR(F2350="",G2350=""),"",F2350*G2350+IF(J2350="",0,J2350))</f>
        <v/>
      </c>
      <c r="I2350" s="5" t="n"/>
      <c r="J2350" s="5" t="n"/>
    </row>
    <row r="2351">
      <c r="A2351" s="5" t="n"/>
      <c r="B2351" s="5" t="n"/>
      <c r="C2351" s="5" t="n"/>
      <c r="D2351" s="5" t="n"/>
      <c r="E2351" s="4">
        <f>IF(C2351="","",COUNTIF($C$7:C2351,C2351))</f>
        <v/>
      </c>
      <c r="F2351" s="4">
        <f>IF(E2351="","",IF(E2351&lt;=3,6,IF(E2351&lt;=6,5,IF(E2351&lt;=9,4,IF(E2351&lt;=12,3,IF(E2351&lt;=15,2,0))))))</f>
        <v/>
      </c>
      <c r="G2351" s="5" t="n"/>
      <c r="H2351" s="4">
        <f>IF(OR(F2351="",G2351=""),"",F2351*G2351+IF(J2351="",0,J2351))</f>
        <v/>
      </c>
      <c r="I2351" s="5" t="n"/>
      <c r="J2351" s="5" t="n"/>
    </row>
    <row r="2352">
      <c r="A2352" s="5" t="n"/>
      <c r="B2352" s="5" t="n"/>
      <c r="C2352" s="5" t="n"/>
      <c r="D2352" s="5" t="n"/>
      <c r="E2352" s="4">
        <f>IF(C2352="","",COUNTIF($C$7:C2352,C2352))</f>
        <v/>
      </c>
      <c r="F2352" s="4">
        <f>IF(E2352="","",IF(E2352&lt;=3,6,IF(E2352&lt;=6,5,IF(E2352&lt;=9,4,IF(E2352&lt;=12,3,IF(E2352&lt;=15,2,0))))))</f>
        <v/>
      </c>
      <c r="G2352" s="5" t="n"/>
      <c r="H2352" s="4">
        <f>IF(OR(F2352="",G2352=""),"",F2352*G2352+IF(J2352="",0,J2352))</f>
        <v/>
      </c>
      <c r="I2352" s="5" t="n"/>
      <c r="J2352" s="5" t="n"/>
    </row>
    <row r="2353">
      <c r="A2353" s="5" t="n"/>
      <c r="B2353" s="5" t="n"/>
      <c r="C2353" s="5" t="n"/>
      <c r="D2353" s="5" t="n"/>
      <c r="E2353" s="4">
        <f>IF(C2353="","",COUNTIF($C$7:C2353,C2353))</f>
        <v/>
      </c>
      <c r="F2353" s="4">
        <f>IF(E2353="","",IF(E2353&lt;=3,6,IF(E2353&lt;=6,5,IF(E2353&lt;=9,4,IF(E2353&lt;=12,3,IF(E2353&lt;=15,2,0))))))</f>
        <v/>
      </c>
      <c r="G2353" s="5" t="n"/>
      <c r="H2353" s="4">
        <f>IF(OR(F2353="",G2353=""),"",F2353*G2353+IF(J2353="",0,J2353))</f>
        <v/>
      </c>
      <c r="I2353" s="5" t="n"/>
      <c r="J2353" s="5" t="n"/>
    </row>
    <row r="2354">
      <c r="A2354" s="5" t="n"/>
      <c r="B2354" s="5" t="n"/>
      <c r="C2354" s="5" t="n"/>
      <c r="D2354" s="5" t="n"/>
      <c r="E2354" s="4">
        <f>IF(C2354="","",COUNTIF($C$7:C2354,C2354))</f>
        <v/>
      </c>
      <c r="F2354" s="4">
        <f>IF(E2354="","",IF(E2354&lt;=3,6,IF(E2354&lt;=6,5,IF(E2354&lt;=9,4,IF(E2354&lt;=12,3,IF(E2354&lt;=15,2,0))))))</f>
        <v/>
      </c>
      <c r="G2354" s="5" t="n"/>
      <c r="H2354" s="4">
        <f>IF(OR(F2354="",G2354=""),"",F2354*G2354+IF(J2354="",0,J2354))</f>
        <v/>
      </c>
      <c r="I2354" s="5" t="n"/>
      <c r="J2354" s="5" t="n"/>
    </row>
    <row r="2355">
      <c r="A2355" s="5" t="n"/>
      <c r="B2355" s="5" t="n"/>
      <c r="C2355" s="5" t="n"/>
      <c r="D2355" s="5" t="n"/>
      <c r="E2355" s="4">
        <f>IF(C2355="","",COUNTIF($C$7:C2355,C2355))</f>
        <v/>
      </c>
      <c r="F2355" s="4">
        <f>IF(E2355="","",IF(E2355&lt;=3,6,IF(E2355&lt;=6,5,IF(E2355&lt;=9,4,IF(E2355&lt;=12,3,IF(E2355&lt;=15,2,0))))))</f>
        <v/>
      </c>
      <c r="G2355" s="5" t="n"/>
      <c r="H2355" s="4">
        <f>IF(OR(F2355="",G2355=""),"",F2355*G2355+IF(J2355="",0,J2355))</f>
        <v/>
      </c>
      <c r="I2355" s="5" t="n"/>
      <c r="J2355" s="5" t="n"/>
    </row>
    <row r="2356">
      <c r="A2356" s="5" t="n"/>
      <c r="B2356" s="5" t="n"/>
      <c r="C2356" s="5" t="n"/>
      <c r="D2356" s="5" t="n"/>
      <c r="E2356" s="4">
        <f>IF(C2356="","",COUNTIF($C$7:C2356,C2356))</f>
        <v/>
      </c>
      <c r="F2356" s="4">
        <f>IF(E2356="","",IF(E2356&lt;=3,6,IF(E2356&lt;=6,5,IF(E2356&lt;=9,4,IF(E2356&lt;=12,3,IF(E2356&lt;=15,2,0))))))</f>
        <v/>
      </c>
      <c r="G2356" s="5" t="n"/>
      <c r="H2356" s="4">
        <f>IF(OR(F2356="",G2356=""),"",F2356*G2356+IF(J2356="",0,J2356))</f>
        <v/>
      </c>
      <c r="I2356" s="5" t="n"/>
      <c r="J2356" s="5" t="n"/>
    </row>
    <row r="2357">
      <c r="A2357" s="5" t="n"/>
      <c r="B2357" s="5" t="n"/>
      <c r="C2357" s="5" t="n"/>
      <c r="D2357" s="5" t="n"/>
      <c r="E2357" s="4">
        <f>IF(C2357="","",COUNTIF($C$7:C2357,C2357))</f>
        <v/>
      </c>
      <c r="F2357" s="4">
        <f>IF(E2357="","",IF(E2357&lt;=3,6,IF(E2357&lt;=6,5,IF(E2357&lt;=9,4,IF(E2357&lt;=12,3,IF(E2357&lt;=15,2,0))))))</f>
        <v/>
      </c>
      <c r="G2357" s="5" t="n"/>
      <c r="H2357" s="4">
        <f>IF(OR(F2357="",G2357=""),"",F2357*G2357+IF(J2357="",0,J2357))</f>
        <v/>
      </c>
      <c r="I2357" s="5" t="n"/>
      <c r="J2357" s="5" t="n"/>
    </row>
    <row r="2358">
      <c r="A2358" s="5" t="n"/>
      <c r="B2358" s="5" t="n"/>
      <c r="C2358" s="5" t="n"/>
      <c r="D2358" s="5" t="n"/>
      <c r="E2358" s="4">
        <f>IF(C2358="","",COUNTIF($C$7:C2358,C2358))</f>
        <v/>
      </c>
      <c r="F2358" s="4">
        <f>IF(E2358="","",IF(E2358&lt;=3,6,IF(E2358&lt;=6,5,IF(E2358&lt;=9,4,IF(E2358&lt;=12,3,IF(E2358&lt;=15,2,0))))))</f>
        <v/>
      </c>
      <c r="G2358" s="5" t="n"/>
      <c r="H2358" s="4">
        <f>IF(OR(F2358="",G2358=""),"",F2358*G2358+IF(J2358="",0,J2358))</f>
        <v/>
      </c>
      <c r="I2358" s="5" t="n"/>
      <c r="J2358" s="5" t="n"/>
    </row>
    <row r="2359">
      <c r="A2359" s="5" t="n"/>
      <c r="B2359" s="5" t="n"/>
      <c r="C2359" s="5" t="n"/>
      <c r="D2359" s="5" t="n"/>
      <c r="E2359" s="4">
        <f>IF(C2359="","",COUNTIF($C$7:C2359,C2359))</f>
        <v/>
      </c>
      <c r="F2359" s="4">
        <f>IF(E2359="","",IF(E2359&lt;=3,6,IF(E2359&lt;=6,5,IF(E2359&lt;=9,4,IF(E2359&lt;=12,3,IF(E2359&lt;=15,2,0))))))</f>
        <v/>
      </c>
      <c r="G2359" s="5" t="n"/>
      <c r="H2359" s="4">
        <f>IF(OR(F2359="",G2359=""),"",F2359*G2359+IF(J2359="",0,J2359))</f>
        <v/>
      </c>
      <c r="I2359" s="5" t="n"/>
      <c r="J2359" s="5" t="n"/>
    </row>
    <row r="2360">
      <c r="A2360" s="5" t="n"/>
      <c r="B2360" s="5" t="n"/>
      <c r="C2360" s="5" t="n"/>
      <c r="D2360" s="5" t="n"/>
      <c r="E2360" s="4">
        <f>IF(C2360="","",COUNTIF($C$7:C2360,C2360))</f>
        <v/>
      </c>
      <c r="F2360" s="4">
        <f>IF(E2360="","",IF(E2360&lt;=3,6,IF(E2360&lt;=6,5,IF(E2360&lt;=9,4,IF(E2360&lt;=12,3,IF(E2360&lt;=15,2,0))))))</f>
        <v/>
      </c>
      <c r="G2360" s="5" t="n"/>
      <c r="H2360" s="4">
        <f>IF(OR(F2360="",G2360=""),"",F2360*G2360+IF(J2360="",0,J2360))</f>
        <v/>
      </c>
      <c r="I2360" s="5" t="n"/>
      <c r="J2360" s="5" t="n"/>
    </row>
    <row r="2361">
      <c r="A2361" s="5" t="n"/>
      <c r="B2361" s="5" t="n"/>
      <c r="C2361" s="5" t="n"/>
      <c r="D2361" s="5" t="n"/>
      <c r="E2361" s="4">
        <f>IF(C2361="","",COUNTIF($C$7:C2361,C2361))</f>
        <v/>
      </c>
      <c r="F2361" s="4">
        <f>IF(E2361="","",IF(E2361&lt;=3,6,IF(E2361&lt;=6,5,IF(E2361&lt;=9,4,IF(E2361&lt;=12,3,IF(E2361&lt;=15,2,0))))))</f>
        <v/>
      </c>
      <c r="G2361" s="5" t="n"/>
      <c r="H2361" s="4">
        <f>IF(OR(F2361="",G2361=""),"",F2361*G2361+IF(J2361="",0,J2361))</f>
        <v/>
      </c>
      <c r="I2361" s="5" t="n"/>
      <c r="J2361" s="5" t="n"/>
    </row>
    <row r="2362">
      <c r="A2362" s="5" t="n"/>
      <c r="B2362" s="5" t="n"/>
      <c r="C2362" s="5" t="n"/>
      <c r="D2362" s="5" t="n"/>
      <c r="E2362" s="4">
        <f>IF(C2362="","",COUNTIF($C$7:C2362,C2362))</f>
        <v/>
      </c>
      <c r="F2362" s="4">
        <f>IF(E2362="","",IF(E2362&lt;=3,6,IF(E2362&lt;=6,5,IF(E2362&lt;=9,4,IF(E2362&lt;=12,3,IF(E2362&lt;=15,2,0))))))</f>
        <v/>
      </c>
      <c r="G2362" s="5" t="n"/>
      <c r="H2362" s="4">
        <f>IF(OR(F2362="",G2362=""),"",F2362*G2362+IF(J2362="",0,J2362))</f>
        <v/>
      </c>
      <c r="I2362" s="5" t="n"/>
      <c r="J2362" s="5" t="n"/>
    </row>
    <row r="2363">
      <c r="A2363" s="5" t="n"/>
      <c r="B2363" s="5" t="n"/>
      <c r="C2363" s="5" t="n"/>
      <c r="D2363" s="5" t="n"/>
      <c r="E2363" s="4">
        <f>IF(C2363="","",COUNTIF($C$7:C2363,C2363))</f>
        <v/>
      </c>
      <c r="F2363" s="4">
        <f>IF(E2363="","",IF(E2363&lt;=3,6,IF(E2363&lt;=6,5,IF(E2363&lt;=9,4,IF(E2363&lt;=12,3,IF(E2363&lt;=15,2,0))))))</f>
        <v/>
      </c>
      <c r="G2363" s="5" t="n"/>
      <c r="H2363" s="4">
        <f>IF(OR(F2363="",G2363=""),"",F2363*G2363+IF(J2363="",0,J2363))</f>
        <v/>
      </c>
      <c r="I2363" s="5" t="n"/>
      <c r="J2363" s="5" t="n"/>
    </row>
    <row r="2364">
      <c r="A2364" s="5" t="n"/>
      <c r="B2364" s="5" t="n"/>
      <c r="C2364" s="5" t="n"/>
      <c r="D2364" s="5" t="n"/>
      <c r="E2364" s="4">
        <f>IF(C2364="","",COUNTIF($C$7:C2364,C2364))</f>
        <v/>
      </c>
      <c r="F2364" s="4">
        <f>IF(E2364="","",IF(E2364&lt;=3,6,IF(E2364&lt;=6,5,IF(E2364&lt;=9,4,IF(E2364&lt;=12,3,IF(E2364&lt;=15,2,0))))))</f>
        <v/>
      </c>
      <c r="G2364" s="5" t="n"/>
      <c r="H2364" s="4">
        <f>IF(OR(F2364="",G2364=""),"",F2364*G2364+IF(J2364="",0,J2364))</f>
        <v/>
      </c>
      <c r="I2364" s="5" t="n"/>
      <c r="J2364" s="5" t="n"/>
    </row>
    <row r="2365">
      <c r="A2365" s="5" t="n"/>
      <c r="B2365" s="5" t="n"/>
      <c r="C2365" s="5" t="n"/>
      <c r="D2365" s="5" t="n"/>
      <c r="E2365" s="4">
        <f>IF(C2365="","",COUNTIF($C$7:C2365,C2365))</f>
        <v/>
      </c>
      <c r="F2365" s="4">
        <f>IF(E2365="","",IF(E2365&lt;=3,6,IF(E2365&lt;=6,5,IF(E2365&lt;=9,4,IF(E2365&lt;=12,3,IF(E2365&lt;=15,2,0))))))</f>
        <v/>
      </c>
      <c r="G2365" s="5" t="n"/>
      <c r="H2365" s="4">
        <f>IF(OR(F2365="",G2365=""),"",F2365*G2365+IF(J2365="",0,J2365))</f>
        <v/>
      </c>
      <c r="I2365" s="5" t="n"/>
      <c r="J2365" s="5" t="n"/>
    </row>
    <row r="2366">
      <c r="A2366" s="5" t="n"/>
      <c r="B2366" s="5" t="n"/>
      <c r="C2366" s="5" t="n"/>
      <c r="D2366" s="5" t="n"/>
      <c r="E2366" s="4">
        <f>IF(C2366="","",COUNTIF($C$7:C2366,C2366))</f>
        <v/>
      </c>
      <c r="F2366" s="4">
        <f>IF(E2366="","",IF(E2366&lt;=3,6,IF(E2366&lt;=6,5,IF(E2366&lt;=9,4,IF(E2366&lt;=12,3,IF(E2366&lt;=15,2,0))))))</f>
        <v/>
      </c>
      <c r="G2366" s="5" t="n"/>
      <c r="H2366" s="4">
        <f>IF(OR(F2366="",G2366=""),"",F2366*G2366+IF(J2366="",0,J2366))</f>
        <v/>
      </c>
      <c r="I2366" s="5" t="n"/>
      <c r="J2366" s="5" t="n"/>
    </row>
    <row r="2367">
      <c r="A2367" s="5" t="n"/>
      <c r="B2367" s="5" t="n"/>
      <c r="C2367" s="5" t="n"/>
      <c r="D2367" s="5" t="n"/>
      <c r="E2367" s="4">
        <f>IF(C2367="","",COUNTIF($C$7:C2367,C2367))</f>
        <v/>
      </c>
      <c r="F2367" s="4">
        <f>IF(E2367="","",IF(E2367&lt;=3,6,IF(E2367&lt;=6,5,IF(E2367&lt;=9,4,IF(E2367&lt;=12,3,IF(E2367&lt;=15,2,0))))))</f>
        <v/>
      </c>
      <c r="G2367" s="5" t="n"/>
      <c r="H2367" s="4">
        <f>IF(OR(F2367="",G2367=""),"",F2367*G2367+IF(J2367="",0,J2367))</f>
        <v/>
      </c>
      <c r="I2367" s="5" t="n"/>
      <c r="J2367" s="5" t="n"/>
    </row>
    <row r="2368">
      <c r="A2368" s="5" t="n"/>
      <c r="B2368" s="5" t="n"/>
      <c r="C2368" s="5" t="n"/>
      <c r="D2368" s="5" t="n"/>
      <c r="E2368" s="4">
        <f>IF(C2368="","",COUNTIF($C$7:C2368,C2368))</f>
        <v/>
      </c>
      <c r="F2368" s="4">
        <f>IF(E2368="","",IF(E2368&lt;=3,6,IF(E2368&lt;=6,5,IF(E2368&lt;=9,4,IF(E2368&lt;=12,3,IF(E2368&lt;=15,2,0))))))</f>
        <v/>
      </c>
      <c r="G2368" s="5" t="n"/>
      <c r="H2368" s="4">
        <f>IF(OR(F2368="",G2368=""),"",F2368*G2368+IF(J2368="",0,J2368))</f>
        <v/>
      </c>
      <c r="I2368" s="5" t="n"/>
      <c r="J2368" s="5" t="n"/>
    </row>
    <row r="2369">
      <c r="A2369" s="5" t="n"/>
      <c r="B2369" s="5" t="n"/>
      <c r="C2369" s="5" t="n"/>
      <c r="D2369" s="5" t="n"/>
      <c r="E2369" s="4">
        <f>IF(C2369="","",COUNTIF($C$7:C2369,C2369))</f>
        <v/>
      </c>
      <c r="F2369" s="4">
        <f>IF(E2369="","",IF(E2369&lt;=3,6,IF(E2369&lt;=6,5,IF(E2369&lt;=9,4,IF(E2369&lt;=12,3,IF(E2369&lt;=15,2,0))))))</f>
        <v/>
      </c>
      <c r="G2369" s="5" t="n"/>
      <c r="H2369" s="4">
        <f>IF(OR(F2369="",G2369=""),"",F2369*G2369+IF(J2369="",0,J2369))</f>
        <v/>
      </c>
      <c r="I2369" s="5" t="n"/>
      <c r="J2369" s="5" t="n"/>
    </row>
    <row r="2370">
      <c r="A2370" s="5" t="n"/>
      <c r="B2370" s="5" t="n"/>
      <c r="C2370" s="5" t="n"/>
      <c r="D2370" s="5" t="n"/>
      <c r="E2370" s="4">
        <f>IF(C2370="","",COUNTIF($C$7:C2370,C2370))</f>
        <v/>
      </c>
      <c r="F2370" s="4">
        <f>IF(E2370="","",IF(E2370&lt;=3,6,IF(E2370&lt;=6,5,IF(E2370&lt;=9,4,IF(E2370&lt;=12,3,IF(E2370&lt;=15,2,0))))))</f>
        <v/>
      </c>
      <c r="G2370" s="5" t="n"/>
      <c r="H2370" s="4">
        <f>IF(OR(F2370="",G2370=""),"",F2370*G2370+IF(J2370="",0,J2370))</f>
        <v/>
      </c>
      <c r="I2370" s="5" t="n"/>
      <c r="J2370" s="5" t="n"/>
    </row>
    <row r="2371">
      <c r="A2371" s="5" t="n"/>
      <c r="B2371" s="5" t="n"/>
      <c r="C2371" s="5" t="n"/>
      <c r="D2371" s="5" t="n"/>
      <c r="E2371" s="4">
        <f>IF(C2371="","",COUNTIF($C$7:C2371,C2371))</f>
        <v/>
      </c>
      <c r="F2371" s="4">
        <f>IF(E2371="","",IF(E2371&lt;=3,6,IF(E2371&lt;=6,5,IF(E2371&lt;=9,4,IF(E2371&lt;=12,3,IF(E2371&lt;=15,2,0))))))</f>
        <v/>
      </c>
      <c r="G2371" s="5" t="n"/>
      <c r="H2371" s="4">
        <f>IF(OR(F2371="",G2371=""),"",F2371*G2371+IF(J2371="",0,J2371))</f>
        <v/>
      </c>
      <c r="I2371" s="5" t="n"/>
      <c r="J2371" s="5" t="n"/>
    </row>
    <row r="2372">
      <c r="A2372" s="5" t="n"/>
      <c r="B2372" s="5" t="n"/>
      <c r="C2372" s="5" t="n"/>
      <c r="D2372" s="5" t="n"/>
      <c r="E2372" s="4">
        <f>IF(C2372="","",COUNTIF($C$7:C2372,C2372))</f>
        <v/>
      </c>
      <c r="F2372" s="4">
        <f>IF(E2372="","",IF(E2372&lt;=3,6,IF(E2372&lt;=6,5,IF(E2372&lt;=9,4,IF(E2372&lt;=12,3,IF(E2372&lt;=15,2,0))))))</f>
        <v/>
      </c>
      <c r="G2372" s="5" t="n"/>
      <c r="H2372" s="4">
        <f>IF(OR(F2372="",G2372=""),"",F2372*G2372+IF(J2372="",0,J2372))</f>
        <v/>
      </c>
      <c r="I2372" s="5" t="n"/>
      <c r="J2372" s="5" t="n"/>
    </row>
    <row r="2373">
      <c r="A2373" s="5" t="n"/>
      <c r="B2373" s="5" t="n"/>
      <c r="C2373" s="5" t="n"/>
      <c r="D2373" s="5" t="n"/>
      <c r="E2373" s="4">
        <f>IF(C2373="","",COUNTIF($C$7:C2373,C2373))</f>
        <v/>
      </c>
      <c r="F2373" s="4">
        <f>IF(E2373="","",IF(E2373&lt;=3,6,IF(E2373&lt;=6,5,IF(E2373&lt;=9,4,IF(E2373&lt;=12,3,IF(E2373&lt;=15,2,0))))))</f>
        <v/>
      </c>
      <c r="G2373" s="5" t="n"/>
      <c r="H2373" s="4">
        <f>IF(OR(F2373="",G2373=""),"",F2373*G2373+IF(J2373="",0,J2373))</f>
        <v/>
      </c>
      <c r="I2373" s="5" t="n"/>
      <c r="J2373" s="5" t="n"/>
    </row>
    <row r="2374">
      <c r="A2374" s="5" t="n"/>
      <c r="B2374" s="5" t="n"/>
      <c r="C2374" s="5" t="n"/>
      <c r="D2374" s="5" t="n"/>
      <c r="E2374" s="4">
        <f>IF(C2374="","",COUNTIF($C$7:C2374,C2374))</f>
        <v/>
      </c>
      <c r="F2374" s="4">
        <f>IF(E2374="","",IF(E2374&lt;=3,6,IF(E2374&lt;=6,5,IF(E2374&lt;=9,4,IF(E2374&lt;=12,3,IF(E2374&lt;=15,2,0))))))</f>
        <v/>
      </c>
      <c r="G2374" s="5" t="n"/>
      <c r="H2374" s="4">
        <f>IF(OR(F2374="",G2374=""),"",F2374*G2374+IF(J2374="",0,J2374))</f>
        <v/>
      </c>
      <c r="I2374" s="5" t="n"/>
      <c r="J2374" s="5" t="n"/>
    </row>
    <row r="2375">
      <c r="A2375" s="5" t="n"/>
      <c r="B2375" s="5" t="n"/>
      <c r="C2375" s="5" t="n"/>
      <c r="D2375" s="5" t="n"/>
      <c r="E2375" s="4">
        <f>IF(C2375="","",COUNTIF($C$7:C2375,C2375))</f>
        <v/>
      </c>
      <c r="F2375" s="4">
        <f>IF(E2375="","",IF(E2375&lt;=3,6,IF(E2375&lt;=6,5,IF(E2375&lt;=9,4,IF(E2375&lt;=12,3,IF(E2375&lt;=15,2,0))))))</f>
        <v/>
      </c>
      <c r="G2375" s="5" t="n"/>
      <c r="H2375" s="4">
        <f>IF(OR(F2375="",G2375=""),"",F2375*G2375+IF(J2375="",0,J2375))</f>
        <v/>
      </c>
      <c r="I2375" s="5" t="n"/>
      <c r="J2375" s="5" t="n"/>
    </row>
    <row r="2376">
      <c r="A2376" s="5" t="n"/>
      <c r="B2376" s="5" t="n"/>
      <c r="C2376" s="5" t="n"/>
      <c r="D2376" s="5" t="n"/>
      <c r="E2376" s="4">
        <f>IF(C2376="","",COUNTIF($C$7:C2376,C2376))</f>
        <v/>
      </c>
      <c r="F2376" s="4">
        <f>IF(E2376="","",IF(E2376&lt;=3,6,IF(E2376&lt;=6,5,IF(E2376&lt;=9,4,IF(E2376&lt;=12,3,IF(E2376&lt;=15,2,0))))))</f>
        <v/>
      </c>
      <c r="G2376" s="5" t="n"/>
      <c r="H2376" s="4">
        <f>IF(OR(F2376="",G2376=""),"",F2376*G2376+IF(J2376="",0,J2376))</f>
        <v/>
      </c>
      <c r="I2376" s="5" t="n"/>
      <c r="J2376" s="5" t="n"/>
    </row>
    <row r="2377">
      <c r="A2377" s="5" t="n"/>
      <c r="B2377" s="5" t="n"/>
      <c r="C2377" s="5" t="n"/>
      <c r="D2377" s="5" t="n"/>
      <c r="E2377" s="4">
        <f>IF(C2377="","",COUNTIF($C$7:C2377,C2377))</f>
        <v/>
      </c>
      <c r="F2377" s="4">
        <f>IF(E2377="","",IF(E2377&lt;=3,6,IF(E2377&lt;=6,5,IF(E2377&lt;=9,4,IF(E2377&lt;=12,3,IF(E2377&lt;=15,2,0))))))</f>
        <v/>
      </c>
      <c r="G2377" s="5" t="n"/>
      <c r="H2377" s="4">
        <f>IF(OR(F2377="",G2377=""),"",F2377*G2377+IF(J2377="",0,J2377))</f>
        <v/>
      </c>
      <c r="I2377" s="5" t="n"/>
      <c r="J2377" s="5" t="n"/>
    </row>
    <row r="2378">
      <c r="A2378" s="5" t="n"/>
      <c r="B2378" s="5" t="n"/>
      <c r="C2378" s="5" t="n"/>
      <c r="D2378" s="5" t="n"/>
      <c r="E2378" s="4">
        <f>IF(C2378="","",COUNTIF($C$7:C2378,C2378))</f>
        <v/>
      </c>
      <c r="F2378" s="4">
        <f>IF(E2378="","",IF(E2378&lt;=3,6,IF(E2378&lt;=6,5,IF(E2378&lt;=9,4,IF(E2378&lt;=12,3,IF(E2378&lt;=15,2,0))))))</f>
        <v/>
      </c>
      <c r="G2378" s="5" t="n"/>
      <c r="H2378" s="4">
        <f>IF(OR(F2378="",G2378=""),"",F2378*G2378+IF(J2378="",0,J2378))</f>
        <v/>
      </c>
      <c r="I2378" s="5" t="n"/>
      <c r="J2378" s="5" t="n"/>
    </row>
    <row r="2379">
      <c r="A2379" s="5" t="n"/>
      <c r="B2379" s="5" t="n"/>
      <c r="C2379" s="5" t="n"/>
      <c r="D2379" s="5" t="n"/>
      <c r="E2379" s="4">
        <f>IF(C2379="","",COUNTIF($C$7:C2379,C2379))</f>
        <v/>
      </c>
      <c r="F2379" s="4">
        <f>IF(E2379="","",IF(E2379&lt;=3,6,IF(E2379&lt;=6,5,IF(E2379&lt;=9,4,IF(E2379&lt;=12,3,IF(E2379&lt;=15,2,0))))))</f>
        <v/>
      </c>
      <c r="G2379" s="5" t="n"/>
      <c r="H2379" s="4">
        <f>IF(OR(F2379="",G2379=""),"",F2379*G2379+IF(J2379="",0,J2379))</f>
        <v/>
      </c>
      <c r="I2379" s="5" t="n"/>
      <c r="J2379" s="5" t="n"/>
    </row>
    <row r="2380">
      <c r="A2380" s="5" t="n"/>
      <c r="B2380" s="5" t="n"/>
      <c r="C2380" s="5" t="n"/>
      <c r="D2380" s="5" t="n"/>
      <c r="E2380" s="4">
        <f>IF(C2380="","",COUNTIF($C$7:C2380,C2380))</f>
        <v/>
      </c>
      <c r="F2380" s="4">
        <f>IF(E2380="","",IF(E2380&lt;=3,6,IF(E2380&lt;=6,5,IF(E2380&lt;=9,4,IF(E2380&lt;=12,3,IF(E2380&lt;=15,2,0))))))</f>
        <v/>
      </c>
      <c r="G2380" s="5" t="n"/>
      <c r="H2380" s="4">
        <f>IF(OR(F2380="",G2380=""),"",F2380*G2380+IF(J2380="",0,J2380))</f>
        <v/>
      </c>
      <c r="I2380" s="5" t="n"/>
      <c r="J2380" s="5" t="n"/>
    </row>
    <row r="2381">
      <c r="A2381" s="5" t="n"/>
      <c r="B2381" s="5" t="n"/>
      <c r="C2381" s="5" t="n"/>
      <c r="D2381" s="5" t="n"/>
      <c r="E2381" s="4">
        <f>IF(C2381="","",COUNTIF($C$7:C2381,C2381))</f>
        <v/>
      </c>
      <c r="F2381" s="4">
        <f>IF(E2381="","",IF(E2381&lt;=3,6,IF(E2381&lt;=6,5,IF(E2381&lt;=9,4,IF(E2381&lt;=12,3,IF(E2381&lt;=15,2,0))))))</f>
        <v/>
      </c>
      <c r="G2381" s="5" t="n"/>
      <c r="H2381" s="4">
        <f>IF(OR(F2381="",G2381=""),"",F2381*G2381+IF(J2381="",0,J2381))</f>
        <v/>
      </c>
      <c r="I2381" s="5" t="n"/>
      <c r="J2381" s="5" t="n"/>
    </row>
    <row r="2382">
      <c r="A2382" s="5" t="n"/>
      <c r="B2382" s="5" t="n"/>
      <c r="C2382" s="5" t="n"/>
      <c r="D2382" s="5" t="n"/>
      <c r="E2382" s="4">
        <f>IF(C2382="","",COUNTIF($C$7:C2382,C2382))</f>
        <v/>
      </c>
      <c r="F2382" s="4">
        <f>IF(E2382="","",IF(E2382&lt;=3,6,IF(E2382&lt;=6,5,IF(E2382&lt;=9,4,IF(E2382&lt;=12,3,IF(E2382&lt;=15,2,0))))))</f>
        <v/>
      </c>
      <c r="G2382" s="5" t="n"/>
      <c r="H2382" s="4">
        <f>IF(OR(F2382="",G2382=""),"",F2382*G2382+IF(J2382="",0,J2382))</f>
        <v/>
      </c>
      <c r="I2382" s="5" t="n"/>
      <c r="J2382" s="5" t="n"/>
    </row>
    <row r="2383">
      <c r="A2383" s="5" t="n"/>
      <c r="B2383" s="5" t="n"/>
      <c r="C2383" s="5" t="n"/>
      <c r="D2383" s="5" t="n"/>
      <c r="E2383" s="4">
        <f>IF(C2383="","",COUNTIF($C$7:C2383,C2383))</f>
        <v/>
      </c>
      <c r="F2383" s="4">
        <f>IF(E2383="","",IF(E2383&lt;=3,6,IF(E2383&lt;=6,5,IF(E2383&lt;=9,4,IF(E2383&lt;=12,3,IF(E2383&lt;=15,2,0))))))</f>
        <v/>
      </c>
      <c r="G2383" s="5" t="n"/>
      <c r="H2383" s="4">
        <f>IF(OR(F2383="",G2383=""),"",F2383*G2383+IF(J2383="",0,J2383))</f>
        <v/>
      </c>
      <c r="I2383" s="5" t="n"/>
      <c r="J2383" s="5" t="n"/>
    </row>
    <row r="2384">
      <c r="A2384" s="5" t="n"/>
      <c r="B2384" s="5" t="n"/>
      <c r="C2384" s="5" t="n"/>
      <c r="D2384" s="5" t="n"/>
      <c r="E2384" s="4">
        <f>IF(C2384="","",COUNTIF($C$7:C2384,C2384))</f>
        <v/>
      </c>
      <c r="F2384" s="4">
        <f>IF(E2384="","",IF(E2384&lt;=3,6,IF(E2384&lt;=6,5,IF(E2384&lt;=9,4,IF(E2384&lt;=12,3,IF(E2384&lt;=15,2,0))))))</f>
        <v/>
      </c>
      <c r="G2384" s="5" t="n"/>
      <c r="H2384" s="4">
        <f>IF(OR(F2384="",G2384=""),"",F2384*G2384+IF(J2384="",0,J2384))</f>
        <v/>
      </c>
      <c r="I2384" s="5" t="n"/>
      <c r="J2384" s="5" t="n"/>
    </row>
    <row r="2385">
      <c r="A2385" s="5" t="n"/>
      <c r="B2385" s="5" t="n"/>
      <c r="C2385" s="5" t="n"/>
      <c r="D2385" s="5" t="n"/>
      <c r="E2385" s="4">
        <f>IF(C2385="","",COUNTIF($C$7:C2385,C2385))</f>
        <v/>
      </c>
      <c r="F2385" s="4">
        <f>IF(E2385="","",IF(E2385&lt;=3,6,IF(E2385&lt;=6,5,IF(E2385&lt;=9,4,IF(E2385&lt;=12,3,IF(E2385&lt;=15,2,0))))))</f>
        <v/>
      </c>
      <c r="G2385" s="5" t="n"/>
      <c r="H2385" s="4">
        <f>IF(OR(F2385="",G2385=""),"",F2385*G2385+IF(J2385="",0,J2385))</f>
        <v/>
      </c>
      <c r="I2385" s="5" t="n"/>
      <c r="J2385" s="5" t="n"/>
    </row>
    <row r="2386">
      <c r="A2386" s="5" t="n"/>
      <c r="B2386" s="5" t="n"/>
      <c r="C2386" s="5" t="n"/>
      <c r="D2386" s="5" t="n"/>
      <c r="E2386" s="4">
        <f>IF(C2386="","",COUNTIF($C$7:C2386,C2386))</f>
        <v/>
      </c>
      <c r="F2386" s="4">
        <f>IF(E2386="","",IF(E2386&lt;=3,6,IF(E2386&lt;=6,5,IF(E2386&lt;=9,4,IF(E2386&lt;=12,3,IF(E2386&lt;=15,2,0))))))</f>
        <v/>
      </c>
      <c r="G2386" s="5" t="n"/>
      <c r="H2386" s="4">
        <f>IF(OR(F2386="",G2386=""),"",F2386*G2386+IF(J2386="",0,J2386))</f>
        <v/>
      </c>
      <c r="I2386" s="5" t="n"/>
      <c r="J2386" s="5" t="n"/>
    </row>
    <row r="2387">
      <c r="A2387" s="5" t="n"/>
      <c r="B2387" s="5" t="n"/>
      <c r="C2387" s="5" t="n"/>
      <c r="D2387" s="5" t="n"/>
      <c r="E2387" s="4">
        <f>IF(C2387="","",COUNTIF($C$7:C2387,C2387))</f>
        <v/>
      </c>
      <c r="F2387" s="4">
        <f>IF(E2387="","",IF(E2387&lt;=3,6,IF(E2387&lt;=6,5,IF(E2387&lt;=9,4,IF(E2387&lt;=12,3,IF(E2387&lt;=15,2,0))))))</f>
        <v/>
      </c>
      <c r="G2387" s="5" t="n"/>
      <c r="H2387" s="4">
        <f>IF(OR(F2387="",G2387=""),"",F2387*G2387+IF(J2387="",0,J2387))</f>
        <v/>
      </c>
      <c r="I2387" s="5" t="n"/>
      <c r="J2387" s="5" t="n"/>
    </row>
    <row r="2388">
      <c r="A2388" s="5" t="n"/>
      <c r="B2388" s="5" t="n"/>
      <c r="C2388" s="5" t="n"/>
      <c r="D2388" s="5" t="n"/>
      <c r="E2388" s="4">
        <f>IF(C2388="","",COUNTIF($C$7:C2388,C2388))</f>
        <v/>
      </c>
      <c r="F2388" s="4">
        <f>IF(E2388="","",IF(E2388&lt;=3,6,IF(E2388&lt;=6,5,IF(E2388&lt;=9,4,IF(E2388&lt;=12,3,IF(E2388&lt;=15,2,0))))))</f>
        <v/>
      </c>
      <c r="G2388" s="5" t="n"/>
      <c r="H2388" s="4">
        <f>IF(OR(F2388="",G2388=""),"",F2388*G2388+IF(J2388="",0,J2388))</f>
        <v/>
      </c>
      <c r="I2388" s="5" t="n"/>
      <c r="J2388" s="5" t="n"/>
    </row>
    <row r="2389">
      <c r="A2389" s="5" t="n"/>
      <c r="B2389" s="5" t="n"/>
      <c r="C2389" s="5" t="n"/>
      <c r="D2389" s="5" t="n"/>
      <c r="E2389" s="4">
        <f>IF(C2389="","",COUNTIF($C$7:C2389,C2389))</f>
        <v/>
      </c>
      <c r="F2389" s="4">
        <f>IF(E2389="","",IF(E2389&lt;=3,6,IF(E2389&lt;=6,5,IF(E2389&lt;=9,4,IF(E2389&lt;=12,3,IF(E2389&lt;=15,2,0))))))</f>
        <v/>
      </c>
      <c r="G2389" s="5" t="n"/>
      <c r="H2389" s="4">
        <f>IF(OR(F2389="",G2389=""),"",F2389*G2389+IF(J2389="",0,J2389))</f>
        <v/>
      </c>
      <c r="I2389" s="5" t="n"/>
      <c r="J2389" s="5" t="n"/>
    </row>
    <row r="2390">
      <c r="A2390" s="5" t="n"/>
      <c r="B2390" s="5" t="n"/>
      <c r="C2390" s="5" t="n"/>
      <c r="D2390" s="5" t="n"/>
      <c r="E2390" s="4">
        <f>IF(C2390="","",COUNTIF($C$7:C2390,C2390))</f>
        <v/>
      </c>
      <c r="F2390" s="4">
        <f>IF(E2390="","",IF(E2390&lt;=3,6,IF(E2390&lt;=6,5,IF(E2390&lt;=9,4,IF(E2390&lt;=12,3,IF(E2390&lt;=15,2,0))))))</f>
        <v/>
      </c>
      <c r="G2390" s="5" t="n"/>
      <c r="H2390" s="4">
        <f>IF(OR(F2390="",G2390=""),"",F2390*G2390+IF(J2390="",0,J2390))</f>
        <v/>
      </c>
      <c r="I2390" s="5" t="n"/>
      <c r="J2390" s="5" t="n"/>
    </row>
    <row r="2391">
      <c r="A2391" s="5" t="n"/>
      <c r="B2391" s="5" t="n"/>
      <c r="C2391" s="5" t="n"/>
      <c r="D2391" s="5" t="n"/>
      <c r="E2391" s="4">
        <f>IF(C2391="","",COUNTIF($C$7:C2391,C2391))</f>
        <v/>
      </c>
      <c r="F2391" s="4">
        <f>IF(E2391="","",IF(E2391&lt;=3,6,IF(E2391&lt;=6,5,IF(E2391&lt;=9,4,IF(E2391&lt;=12,3,IF(E2391&lt;=15,2,0))))))</f>
        <v/>
      </c>
      <c r="G2391" s="5" t="n"/>
      <c r="H2391" s="4">
        <f>IF(OR(F2391="",G2391=""),"",F2391*G2391+IF(J2391="",0,J2391))</f>
        <v/>
      </c>
      <c r="I2391" s="5" t="n"/>
      <c r="J2391" s="5" t="n"/>
    </row>
    <row r="2392">
      <c r="A2392" s="5" t="n"/>
      <c r="B2392" s="5" t="n"/>
      <c r="C2392" s="5" t="n"/>
      <c r="D2392" s="5" t="n"/>
      <c r="E2392" s="4">
        <f>IF(C2392="","",COUNTIF($C$7:C2392,C2392))</f>
        <v/>
      </c>
      <c r="F2392" s="4">
        <f>IF(E2392="","",IF(E2392&lt;=3,6,IF(E2392&lt;=6,5,IF(E2392&lt;=9,4,IF(E2392&lt;=12,3,IF(E2392&lt;=15,2,0))))))</f>
        <v/>
      </c>
      <c r="G2392" s="5" t="n"/>
      <c r="H2392" s="4">
        <f>IF(OR(F2392="",G2392=""),"",F2392*G2392+IF(J2392="",0,J2392))</f>
        <v/>
      </c>
      <c r="I2392" s="5" t="n"/>
      <c r="J2392" s="5" t="n"/>
    </row>
    <row r="2393">
      <c r="A2393" s="5" t="n"/>
      <c r="B2393" s="5" t="n"/>
      <c r="C2393" s="5" t="n"/>
      <c r="D2393" s="5" t="n"/>
      <c r="E2393" s="4">
        <f>IF(C2393="","",COUNTIF($C$7:C2393,C2393))</f>
        <v/>
      </c>
      <c r="F2393" s="4">
        <f>IF(E2393="","",IF(E2393&lt;=3,6,IF(E2393&lt;=6,5,IF(E2393&lt;=9,4,IF(E2393&lt;=12,3,IF(E2393&lt;=15,2,0))))))</f>
        <v/>
      </c>
      <c r="G2393" s="5" t="n"/>
      <c r="H2393" s="4">
        <f>IF(OR(F2393="",G2393=""),"",F2393*G2393+IF(J2393="",0,J2393))</f>
        <v/>
      </c>
      <c r="I2393" s="5" t="n"/>
      <c r="J2393" s="5" t="n"/>
    </row>
    <row r="2394">
      <c r="A2394" s="5" t="n"/>
      <c r="B2394" s="5" t="n"/>
      <c r="C2394" s="5" t="n"/>
      <c r="D2394" s="5" t="n"/>
      <c r="E2394" s="4">
        <f>IF(C2394="","",COUNTIF($C$7:C2394,C2394))</f>
        <v/>
      </c>
      <c r="F2394" s="4">
        <f>IF(E2394="","",IF(E2394&lt;=3,6,IF(E2394&lt;=6,5,IF(E2394&lt;=9,4,IF(E2394&lt;=12,3,IF(E2394&lt;=15,2,0))))))</f>
        <v/>
      </c>
      <c r="G2394" s="5" t="n"/>
      <c r="H2394" s="4">
        <f>IF(OR(F2394="",G2394=""),"",F2394*G2394+IF(J2394="",0,J2394))</f>
        <v/>
      </c>
      <c r="I2394" s="5" t="n"/>
      <c r="J2394" s="5" t="n"/>
    </row>
    <row r="2395">
      <c r="A2395" s="5" t="n"/>
      <c r="B2395" s="5" t="n"/>
      <c r="C2395" s="5" t="n"/>
      <c r="D2395" s="5" t="n"/>
      <c r="E2395" s="4">
        <f>IF(C2395="","",COUNTIF($C$7:C2395,C2395))</f>
        <v/>
      </c>
      <c r="F2395" s="4">
        <f>IF(E2395="","",IF(E2395&lt;=3,6,IF(E2395&lt;=6,5,IF(E2395&lt;=9,4,IF(E2395&lt;=12,3,IF(E2395&lt;=15,2,0))))))</f>
        <v/>
      </c>
      <c r="G2395" s="5" t="n"/>
      <c r="H2395" s="4">
        <f>IF(OR(F2395="",G2395=""),"",F2395*G2395+IF(J2395="",0,J2395))</f>
        <v/>
      </c>
      <c r="I2395" s="5" t="n"/>
      <c r="J2395" s="5" t="n"/>
    </row>
    <row r="2396">
      <c r="A2396" s="5" t="n"/>
      <c r="B2396" s="5" t="n"/>
      <c r="C2396" s="5" t="n"/>
      <c r="D2396" s="5" t="n"/>
      <c r="E2396" s="4">
        <f>IF(C2396="","",COUNTIF($C$7:C2396,C2396))</f>
        <v/>
      </c>
      <c r="F2396" s="4">
        <f>IF(E2396="","",IF(E2396&lt;=3,6,IF(E2396&lt;=6,5,IF(E2396&lt;=9,4,IF(E2396&lt;=12,3,IF(E2396&lt;=15,2,0))))))</f>
        <v/>
      </c>
      <c r="G2396" s="5" t="n"/>
      <c r="H2396" s="4">
        <f>IF(OR(F2396="",G2396=""),"",F2396*G2396+IF(J2396="",0,J2396))</f>
        <v/>
      </c>
      <c r="I2396" s="5" t="n"/>
      <c r="J2396" s="5" t="n"/>
    </row>
    <row r="2397">
      <c r="A2397" s="5" t="n"/>
      <c r="B2397" s="5" t="n"/>
      <c r="C2397" s="5" t="n"/>
      <c r="D2397" s="5" t="n"/>
      <c r="E2397" s="4">
        <f>IF(C2397="","",COUNTIF($C$7:C2397,C2397))</f>
        <v/>
      </c>
      <c r="F2397" s="4">
        <f>IF(E2397="","",IF(E2397&lt;=3,6,IF(E2397&lt;=6,5,IF(E2397&lt;=9,4,IF(E2397&lt;=12,3,IF(E2397&lt;=15,2,0))))))</f>
        <v/>
      </c>
      <c r="G2397" s="5" t="n"/>
      <c r="H2397" s="4">
        <f>IF(OR(F2397="",G2397=""),"",F2397*G2397+IF(J2397="",0,J2397))</f>
        <v/>
      </c>
      <c r="I2397" s="5" t="n"/>
      <c r="J2397" s="5" t="n"/>
    </row>
    <row r="2398">
      <c r="A2398" s="5" t="n"/>
      <c r="B2398" s="5" t="n"/>
      <c r="C2398" s="5" t="n"/>
      <c r="D2398" s="5" t="n"/>
      <c r="E2398" s="4">
        <f>IF(C2398="","",COUNTIF($C$7:C2398,C2398))</f>
        <v/>
      </c>
      <c r="F2398" s="4">
        <f>IF(E2398="","",IF(E2398&lt;=3,6,IF(E2398&lt;=6,5,IF(E2398&lt;=9,4,IF(E2398&lt;=12,3,IF(E2398&lt;=15,2,0))))))</f>
        <v/>
      </c>
      <c r="G2398" s="5" t="n"/>
      <c r="H2398" s="4">
        <f>IF(OR(F2398="",G2398=""),"",F2398*G2398+IF(J2398="",0,J2398))</f>
        <v/>
      </c>
      <c r="I2398" s="5" t="n"/>
      <c r="J2398" s="5" t="n"/>
    </row>
    <row r="2399">
      <c r="A2399" s="5" t="n"/>
      <c r="B2399" s="5" t="n"/>
      <c r="C2399" s="5" t="n"/>
      <c r="D2399" s="5" t="n"/>
      <c r="E2399" s="4">
        <f>IF(C2399="","",COUNTIF($C$7:C2399,C2399))</f>
        <v/>
      </c>
      <c r="F2399" s="4">
        <f>IF(E2399="","",IF(E2399&lt;=3,6,IF(E2399&lt;=6,5,IF(E2399&lt;=9,4,IF(E2399&lt;=12,3,IF(E2399&lt;=15,2,0))))))</f>
        <v/>
      </c>
      <c r="G2399" s="5" t="n"/>
      <c r="H2399" s="4">
        <f>IF(OR(F2399="",G2399=""),"",F2399*G2399+IF(J2399="",0,J2399))</f>
        <v/>
      </c>
      <c r="I2399" s="5" t="n"/>
      <c r="J2399" s="5" t="n"/>
    </row>
    <row r="2400">
      <c r="A2400" s="5" t="n"/>
      <c r="B2400" s="5" t="n"/>
      <c r="C2400" s="5" t="n"/>
      <c r="D2400" s="5" t="n"/>
      <c r="E2400" s="4">
        <f>IF(C2400="","",COUNTIF($C$7:C2400,C2400))</f>
        <v/>
      </c>
      <c r="F2400" s="4">
        <f>IF(E2400="","",IF(E2400&lt;=3,6,IF(E2400&lt;=6,5,IF(E2400&lt;=9,4,IF(E2400&lt;=12,3,IF(E2400&lt;=15,2,0))))))</f>
        <v/>
      </c>
      <c r="G2400" s="5" t="n"/>
      <c r="H2400" s="4">
        <f>IF(OR(F2400="",G2400=""),"",F2400*G2400+IF(J2400="",0,J2400))</f>
        <v/>
      </c>
      <c r="I2400" s="5" t="n"/>
      <c r="J2400" s="5" t="n"/>
    </row>
    <row r="2401">
      <c r="A2401" s="5" t="n"/>
      <c r="B2401" s="5" t="n"/>
      <c r="C2401" s="5" t="n"/>
      <c r="D2401" s="5" t="n"/>
      <c r="E2401" s="4">
        <f>IF(C2401="","",COUNTIF($C$7:C2401,C2401))</f>
        <v/>
      </c>
      <c r="F2401" s="4">
        <f>IF(E2401="","",IF(E2401&lt;=3,6,IF(E2401&lt;=6,5,IF(E2401&lt;=9,4,IF(E2401&lt;=12,3,IF(E2401&lt;=15,2,0))))))</f>
        <v/>
      </c>
      <c r="G2401" s="5" t="n"/>
      <c r="H2401" s="4">
        <f>IF(OR(F2401="",G2401=""),"",F2401*G2401+IF(J2401="",0,J2401))</f>
        <v/>
      </c>
      <c r="I2401" s="5" t="n"/>
      <c r="J2401" s="5" t="n"/>
    </row>
    <row r="2402">
      <c r="A2402" s="5" t="n"/>
      <c r="B2402" s="5" t="n"/>
      <c r="C2402" s="5" t="n"/>
      <c r="D2402" s="5" t="n"/>
      <c r="E2402" s="4">
        <f>IF(C2402="","",COUNTIF($C$7:C2402,C2402))</f>
        <v/>
      </c>
      <c r="F2402" s="4">
        <f>IF(E2402="","",IF(E2402&lt;=3,6,IF(E2402&lt;=6,5,IF(E2402&lt;=9,4,IF(E2402&lt;=12,3,IF(E2402&lt;=15,2,0))))))</f>
        <v/>
      </c>
      <c r="G2402" s="5" t="n"/>
      <c r="H2402" s="4">
        <f>IF(OR(F2402="",G2402=""),"",F2402*G2402+IF(J2402="",0,J2402))</f>
        <v/>
      </c>
      <c r="I2402" s="5" t="n"/>
      <c r="J2402" s="5" t="n"/>
    </row>
    <row r="2403">
      <c r="A2403" s="5" t="n"/>
      <c r="B2403" s="5" t="n"/>
      <c r="C2403" s="5" t="n"/>
      <c r="D2403" s="5" t="n"/>
      <c r="E2403" s="4">
        <f>IF(C2403="","",COUNTIF($C$7:C2403,C2403))</f>
        <v/>
      </c>
      <c r="F2403" s="4">
        <f>IF(E2403="","",IF(E2403&lt;=3,6,IF(E2403&lt;=6,5,IF(E2403&lt;=9,4,IF(E2403&lt;=12,3,IF(E2403&lt;=15,2,0))))))</f>
        <v/>
      </c>
      <c r="G2403" s="5" t="n"/>
      <c r="H2403" s="4">
        <f>IF(OR(F2403="",G2403=""),"",F2403*G2403+IF(J2403="",0,J2403))</f>
        <v/>
      </c>
      <c r="I2403" s="5" t="n"/>
      <c r="J2403" s="5" t="n"/>
    </row>
    <row r="2404">
      <c r="A2404" s="5" t="n"/>
      <c r="B2404" s="5" t="n"/>
      <c r="C2404" s="5" t="n"/>
      <c r="D2404" s="5" t="n"/>
      <c r="E2404" s="4">
        <f>IF(C2404="","",COUNTIF($C$7:C2404,C2404))</f>
        <v/>
      </c>
      <c r="F2404" s="4">
        <f>IF(E2404="","",IF(E2404&lt;=3,6,IF(E2404&lt;=6,5,IF(E2404&lt;=9,4,IF(E2404&lt;=12,3,IF(E2404&lt;=15,2,0))))))</f>
        <v/>
      </c>
      <c r="G2404" s="5" t="n"/>
      <c r="H2404" s="4">
        <f>IF(OR(F2404="",G2404=""),"",F2404*G2404+IF(J2404="",0,J2404))</f>
        <v/>
      </c>
      <c r="I2404" s="5" t="n"/>
      <c r="J2404" s="5" t="n"/>
    </row>
    <row r="2405">
      <c r="A2405" s="5" t="n"/>
      <c r="B2405" s="5" t="n"/>
      <c r="C2405" s="5" t="n"/>
      <c r="D2405" s="5" t="n"/>
      <c r="E2405" s="4">
        <f>IF(C2405="","",COUNTIF($C$7:C2405,C2405))</f>
        <v/>
      </c>
      <c r="F2405" s="4">
        <f>IF(E2405="","",IF(E2405&lt;=3,6,IF(E2405&lt;=6,5,IF(E2405&lt;=9,4,IF(E2405&lt;=12,3,IF(E2405&lt;=15,2,0))))))</f>
        <v/>
      </c>
      <c r="G2405" s="5" t="n"/>
      <c r="H2405" s="4">
        <f>IF(OR(F2405="",G2405=""),"",F2405*G2405+IF(J2405="",0,J2405))</f>
        <v/>
      </c>
      <c r="I2405" s="5" t="n"/>
      <c r="J2405" s="5" t="n"/>
    </row>
    <row r="2406">
      <c r="A2406" s="5" t="n"/>
      <c r="B2406" s="5" t="n"/>
      <c r="C2406" s="5" t="n"/>
      <c r="D2406" s="5" t="n"/>
      <c r="E2406" s="4">
        <f>IF(C2406="","",COUNTIF($C$7:C2406,C2406))</f>
        <v/>
      </c>
      <c r="F2406" s="4">
        <f>IF(E2406="","",IF(E2406&lt;=3,6,IF(E2406&lt;=6,5,IF(E2406&lt;=9,4,IF(E2406&lt;=12,3,IF(E2406&lt;=15,2,0))))))</f>
        <v/>
      </c>
      <c r="G2406" s="5" t="n"/>
      <c r="H2406" s="4">
        <f>IF(OR(F2406="",G2406=""),"",F2406*G2406+IF(J2406="",0,J2406))</f>
        <v/>
      </c>
      <c r="I2406" s="5" t="n"/>
      <c r="J2406" s="5" t="n"/>
    </row>
    <row r="2407">
      <c r="A2407" s="5" t="n"/>
      <c r="B2407" s="5" t="n"/>
      <c r="C2407" s="5" t="n"/>
      <c r="D2407" s="5" t="n"/>
      <c r="E2407" s="4">
        <f>IF(C2407="","",COUNTIF($C$7:C2407,C2407))</f>
        <v/>
      </c>
      <c r="F2407" s="4">
        <f>IF(E2407="","",IF(E2407&lt;=3,6,IF(E2407&lt;=6,5,IF(E2407&lt;=9,4,IF(E2407&lt;=12,3,IF(E2407&lt;=15,2,0))))))</f>
        <v/>
      </c>
      <c r="G2407" s="5" t="n"/>
      <c r="H2407" s="4">
        <f>IF(OR(F2407="",G2407=""),"",F2407*G2407+IF(J2407="",0,J2407))</f>
        <v/>
      </c>
      <c r="I2407" s="5" t="n"/>
      <c r="J2407" s="5" t="n"/>
    </row>
    <row r="2408">
      <c r="A2408" s="5" t="n"/>
      <c r="B2408" s="5" t="n"/>
      <c r="C2408" s="5" t="n"/>
      <c r="D2408" s="5" t="n"/>
      <c r="E2408" s="4">
        <f>IF(C2408="","",COUNTIF($C$7:C2408,C2408))</f>
        <v/>
      </c>
      <c r="F2408" s="4">
        <f>IF(E2408="","",IF(E2408&lt;=3,6,IF(E2408&lt;=6,5,IF(E2408&lt;=9,4,IF(E2408&lt;=12,3,IF(E2408&lt;=15,2,0))))))</f>
        <v/>
      </c>
      <c r="G2408" s="5" t="n"/>
      <c r="H2408" s="4">
        <f>IF(OR(F2408="",G2408=""),"",F2408*G2408+IF(J2408="",0,J2408))</f>
        <v/>
      </c>
      <c r="I2408" s="5" t="n"/>
      <c r="J2408" s="5" t="n"/>
    </row>
    <row r="2409">
      <c r="A2409" s="5" t="n"/>
      <c r="B2409" s="5" t="n"/>
      <c r="C2409" s="5" t="n"/>
      <c r="D2409" s="5" t="n"/>
      <c r="E2409" s="4">
        <f>IF(C2409="","",COUNTIF($C$7:C2409,C2409))</f>
        <v/>
      </c>
      <c r="F2409" s="4">
        <f>IF(E2409="","",IF(E2409&lt;=3,6,IF(E2409&lt;=6,5,IF(E2409&lt;=9,4,IF(E2409&lt;=12,3,IF(E2409&lt;=15,2,0))))))</f>
        <v/>
      </c>
      <c r="G2409" s="5" t="n"/>
      <c r="H2409" s="4">
        <f>IF(OR(F2409="",G2409=""),"",F2409*G2409+IF(J2409="",0,J2409))</f>
        <v/>
      </c>
      <c r="I2409" s="5" t="n"/>
      <c r="J2409" s="5" t="n"/>
    </row>
    <row r="2410">
      <c r="A2410" s="5" t="n"/>
      <c r="B2410" s="5" t="n"/>
      <c r="C2410" s="5" t="n"/>
      <c r="D2410" s="5" t="n"/>
      <c r="E2410" s="4">
        <f>IF(C2410="","",COUNTIF($C$7:C2410,C2410))</f>
        <v/>
      </c>
      <c r="F2410" s="4">
        <f>IF(E2410="","",IF(E2410&lt;=3,6,IF(E2410&lt;=6,5,IF(E2410&lt;=9,4,IF(E2410&lt;=12,3,IF(E2410&lt;=15,2,0))))))</f>
        <v/>
      </c>
      <c r="G2410" s="5" t="n"/>
      <c r="H2410" s="4">
        <f>IF(OR(F2410="",G2410=""),"",F2410*G2410+IF(J2410="",0,J2410))</f>
        <v/>
      </c>
      <c r="I2410" s="5" t="n"/>
      <c r="J2410" s="5" t="n"/>
    </row>
    <row r="2411">
      <c r="A2411" s="5" t="n"/>
      <c r="B2411" s="5" t="n"/>
      <c r="C2411" s="5" t="n"/>
      <c r="D2411" s="5" t="n"/>
      <c r="E2411" s="4">
        <f>IF(C2411="","",COUNTIF($C$7:C2411,C2411))</f>
        <v/>
      </c>
      <c r="F2411" s="4">
        <f>IF(E2411="","",IF(E2411&lt;=3,6,IF(E2411&lt;=6,5,IF(E2411&lt;=9,4,IF(E2411&lt;=12,3,IF(E2411&lt;=15,2,0))))))</f>
        <v/>
      </c>
      <c r="G2411" s="5" t="n"/>
      <c r="H2411" s="4">
        <f>IF(OR(F2411="",G2411=""),"",F2411*G2411+IF(J2411="",0,J2411))</f>
        <v/>
      </c>
      <c r="I2411" s="5" t="n"/>
      <c r="J2411" s="5" t="n"/>
    </row>
    <row r="2412">
      <c r="A2412" s="5" t="n"/>
      <c r="B2412" s="5" t="n"/>
      <c r="C2412" s="5" t="n"/>
      <c r="D2412" s="5" t="n"/>
      <c r="E2412" s="4">
        <f>IF(C2412="","",COUNTIF($C$7:C2412,C2412))</f>
        <v/>
      </c>
      <c r="F2412" s="4">
        <f>IF(E2412="","",IF(E2412&lt;=3,6,IF(E2412&lt;=6,5,IF(E2412&lt;=9,4,IF(E2412&lt;=12,3,IF(E2412&lt;=15,2,0))))))</f>
        <v/>
      </c>
      <c r="G2412" s="5" t="n"/>
      <c r="H2412" s="4">
        <f>IF(OR(F2412="",G2412=""),"",F2412*G2412+IF(J2412="",0,J2412))</f>
        <v/>
      </c>
      <c r="I2412" s="5" t="n"/>
      <c r="J2412" s="5" t="n"/>
    </row>
    <row r="2413">
      <c r="A2413" s="5" t="n"/>
      <c r="B2413" s="5" t="n"/>
      <c r="C2413" s="5" t="n"/>
      <c r="D2413" s="5" t="n"/>
      <c r="E2413" s="4">
        <f>IF(C2413="","",COUNTIF($C$7:C2413,C2413))</f>
        <v/>
      </c>
      <c r="F2413" s="4">
        <f>IF(E2413="","",IF(E2413&lt;=3,6,IF(E2413&lt;=6,5,IF(E2413&lt;=9,4,IF(E2413&lt;=12,3,IF(E2413&lt;=15,2,0))))))</f>
        <v/>
      </c>
      <c r="G2413" s="5" t="n"/>
      <c r="H2413" s="4">
        <f>IF(OR(F2413="",G2413=""),"",F2413*G2413+IF(J2413="",0,J2413))</f>
        <v/>
      </c>
      <c r="I2413" s="5" t="n"/>
      <c r="J2413" s="5" t="n"/>
    </row>
    <row r="2414">
      <c r="A2414" s="5" t="n"/>
      <c r="B2414" s="5" t="n"/>
      <c r="C2414" s="5" t="n"/>
      <c r="D2414" s="5" t="n"/>
      <c r="E2414" s="4">
        <f>IF(C2414="","",COUNTIF($C$7:C2414,C2414))</f>
        <v/>
      </c>
      <c r="F2414" s="4">
        <f>IF(E2414="","",IF(E2414&lt;=3,6,IF(E2414&lt;=6,5,IF(E2414&lt;=9,4,IF(E2414&lt;=12,3,IF(E2414&lt;=15,2,0))))))</f>
        <v/>
      </c>
      <c r="G2414" s="5" t="n"/>
      <c r="H2414" s="4">
        <f>IF(OR(F2414="",G2414=""),"",F2414*G2414+IF(J2414="",0,J2414))</f>
        <v/>
      </c>
      <c r="I2414" s="5" t="n"/>
      <c r="J2414" s="5" t="n"/>
    </row>
    <row r="2415">
      <c r="A2415" s="5" t="n"/>
      <c r="B2415" s="5" t="n"/>
      <c r="C2415" s="5" t="n"/>
      <c r="D2415" s="5" t="n"/>
      <c r="E2415" s="4">
        <f>IF(C2415="","",COUNTIF($C$7:C2415,C2415))</f>
        <v/>
      </c>
      <c r="F2415" s="4">
        <f>IF(E2415="","",IF(E2415&lt;=3,6,IF(E2415&lt;=6,5,IF(E2415&lt;=9,4,IF(E2415&lt;=12,3,IF(E2415&lt;=15,2,0))))))</f>
        <v/>
      </c>
      <c r="G2415" s="5" t="n"/>
      <c r="H2415" s="4">
        <f>IF(OR(F2415="",G2415=""),"",F2415*G2415+IF(J2415="",0,J2415))</f>
        <v/>
      </c>
      <c r="I2415" s="5" t="n"/>
      <c r="J2415" s="5" t="n"/>
    </row>
    <row r="2416">
      <c r="A2416" s="5" t="n"/>
      <c r="B2416" s="5" t="n"/>
      <c r="C2416" s="5" t="n"/>
      <c r="D2416" s="5" t="n"/>
      <c r="E2416" s="4">
        <f>IF(C2416="","",COUNTIF($C$7:C2416,C2416))</f>
        <v/>
      </c>
      <c r="F2416" s="4">
        <f>IF(E2416="","",IF(E2416&lt;=3,6,IF(E2416&lt;=6,5,IF(E2416&lt;=9,4,IF(E2416&lt;=12,3,IF(E2416&lt;=15,2,0))))))</f>
        <v/>
      </c>
      <c r="G2416" s="5" t="n"/>
      <c r="H2416" s="4">
        <f>IF(OR(F2416="",G2416=""),"",F2416*G2416+IF(J2416="",0,J2416))</f>
        <v/>
      </c>
      <c r="I2416" s="5" t="n"/>
      <c r="J2416" s="5" t="n"/>
    </row>
    <row r="2417">
      <c r="A2417" s="5" t="n"/>
      <c r="B2417" s="5" t="n"/>
      <c r="C2417" s="5" t="n"/>
      <c r="D2417" s="5" t="n"/>
      <c r="E2417" s="4">
        <f>IF(C2417="","",COUNTIF($C$7:C2417,C2417))</f>
        <v/>
      </c>
      <c r="F2417" s="4">
        <f>IF(E2417="","",IF(E2417&lt;=3,6,IF(E2417&lt;=6,5,IF(E2417&lt;=9,4,IF(E2417&lt;=12,3,IF(E2417&lt;=15,2,0))))))</f>
        <v/>
      </c>
      <c r="G2417" s="5" t="n"/>
      <c r="H2417" s="4">
        <f>IF(OR(F2417="",G2417=""),"",F2417*G2417+IF(J2417="",0,J2417))</f>
        <v/>
      </c>
      <c r="I2417" s="5" t="n"/>
      <c r="J2417" s="5" t="n"/>
    </row>
    <row r="2418">
      <c r="A2418" s="5" t="n"/>
      <c r="B2418" s="5" t="n"/>
      <c r="C2418" s="5" t="n"/>
      <c r="D2418" s="5" t="n"/>
      <c r="E2418" s="4">
        <f>IF(C2418="","",COUNTIF($C$7:C2418,C2418))</f>
        <v/>
      </c>
      <c r="F2418" s="4">
        <f>IF(E2418="","",IF(E2418&lt;=3,6,IF(E2418&lt;=6,5,IF(E2418&lt;=9,4,IF(E2418&lt;=12,3,IF(E2418&lt;=15,2,0))))))</f>
        <v/>
      </c>
      <c r="G2418" s="5" t="n"/>
      <c r="H2418" s="4">
        <f>IF(OR(F2418="",G2418=""),"",F2418*G2418+IF(J2418="",0,J2418))</f>
        <v/>
      </c>
      <c r="I2418" s="5" t="n"/>
      <c r="J2418" s="5" t="n"/>
    </row>
    <row r="2419">
      <c r="A2419" s="5" t="n"/>
      <c r="B2419" s="5" t="n"/>
      <c r="C2419" s="5" t="n"/>
      <c r="D2419" s="5" t="n"/>
      <c r="E2419" s="4">
        <f>IF(C2419="","",COUNTIF($C$7:C2419,C2419))</f>
        <v/>
      </c>
      <c r="F2419" s="4">
        <f>IF(E2419="","",IF(E2419&lt;=3,6,IF(E2419&lt;=6,5,IF(E2419&lt;=9,4,IF(E2419&lt;=12,3,IF(E2419&lt;=15,2,0))))))</f>
        <v/>
      </c>
      <c r="G2419" s="5" t="n"/>
      <c r="H2419" s="4">
        <f>IF(OR(F2419="",G2419=""),"",F2419*G2419+IF(J2419="",0,J2419))</f>
        <v/>
      </c>
      <c r="I2419" s="5" t="n"/>
      <c r="J2419" s="5" t="n"/>
    </row>
    <row r="2420">
      <c r="A2420" s="5" t="n"/>
      <c r="B2420" s="5" t="n"/>
      <c r="C2420" s="5" t="n"/>
      <c r="D2420" s="5" t="n"/>
      <c r="E2420" s="4">
        <f>IF(C2420="","",COUNTIF($C$7:C2420,C2420))</f>
        <v/>
      </c>
      <c r="F2420" s="4">
        <f>IF(E2420="","",IF(E2420&lt;=3,6,IF(E2420&lt;=6,5,IF(E2420&lt;=9,4,IF(E2420&lt;=12,3,IF(E2420&lt;=15,2,0))))))</f>
        <v/>
      </c>
      <c r="G2420" s="5" t="n"/>
      <c r="H2420" s="4">
        <f>IF(OR(F2420="",G2420=""),"",F2420*G2420+IF(J2420="",0,J2420))</f>
        <v/>
      </c>
      <c r="I2420" s="5" t="n"/>
      <c r="J2420" s="5" t="n"/>
    </row>
    <row r="2421">
      <c r="A2421" s="5" t="n"/>
      <c r="B2421" s="5" t="n"/>
      <c r="C2421" s="5" t="n"/>
      <c r="D2421" s="5" t="n"/>
      <c r="E2421" s="4">
        <f>IF(C2421="","",COUNTIF($C$7:C2421,C2421))</f>
        <v/>
      </c>
      <c r="F2421" s="4">
        <f>IF(E2421="","",IF(E2421&lt;=3,6,IF(E2421&lt;=6,5,IF(E2421&lt;=9,4,IF(E2421&lt;=12,3,IF(E2421&lt;=15,2,0))))))</f>
        <v/>
      </c>
      <c r="G2421" s="5" t="n"/>
      <c r="H2421" s="4">
        <f>IF(OR(F2421="",G2421=""),"",F2421*G2421+IF(J2421="",0,J2421))</f>
        <v/>
      </c>
      <c r="I2421" s="5" t="n"/>
      <c r="J2421" s="5" t="n"/>
    </row>
    <row r="2422">
      <c r="A2422" s="5" t="n"/>
      <c r="B2422" s="5" t="n"/>
      <c r="C2422" s="5" t="n"/>
      <c r="D2422" s="5" t="n"/>
      <c r="E2422" s="4">
        <f>IF(C2422="","",COUNTIF($C$7:C2422,C2422))</f>
        <v/>
      </c>
      <c r="F2422" s="4">
        <f>IF(E2422="","",IF(E2422&lt;=3,6,IF(E2422&lt;=6,5,IF(E2422&lt;=9,4,IF(E2422&lt;=12,3,IF(E2422&lt;=15,2,0))))))</f>
        <v/>
      </c>
      <c r="G2422" s="5" t="n"/>
      <c r="H2422" s="4">
        <f>IF(OR(F2422="",G2422=""),"",F2422*G2422+IF(J2422="",0,J2422))</f>
        <v/>
      </c>
      <c r="I2422" s="5" t="n"/>
      <c r="J2422" s="5" t="n"/>
    </row>
    <row r="2423">
      <c r="A2423" s="5" t="n"/>
      <c r="B2423" s="5" t="n"/>
      <c r="C2423" s="5" t="n"/>
      <c r="D2423" s="5" t="n"/>
      <c r="E2423" s="4">
        <f>IF(C2423="","",COUNTIF($C$7:C2423,C2423))</f>
        <v/>
      </c>
      <c r="F2423" s="4">
        <f>IF(E2423="","",IF(E2423&lt;=3,6,IF(E2423&lt;=6,5,IF(E2423&lt;=9,4,IF(E2423&lt;=12,3,IF(E2423&lt;=15,2,0))))))</f>
        <v/>
      </c>
      <c r="G2423" s="5" t="n"/>
      <c r="H2423" s="4">
        <f>IF(OR(F2423="",G2423=""),"",F2423*G2423+IF(J2423="",0,J2423))</f>
        <v/>
      </c>
      <c r="I2423" s="5" t="n"/>
      <c r="J2423" s="5" t="n"/>
    </row>
    <row r="2424">
      <c r="A2424" s="5" t="n"/>
      <c r="B2424" s="5" t="n"/>
      <c r="C2424" s="5" t="n"/>
      <c r="D2424" s="5" t="n"/>
      <c r="E2424" s="4">
        <f>IF(C2424="","",COUNTIF($C$7:C2424,C2424))</f>
        <v/>
      </c>
      <c r="F2424" s="4">
        <f>IF(E2424="","",IF(E2424&lt;=3,6,IF(E2424&lt;=6,5,IF(E2424&lt;=9,4,IF(E2424&lt;=12,3,IF(E2424&lt;=15,2,0))))))</f>
        <v/>
      </c>
      <c r="G2424" s="5" t="n"/>
      <c r="H2424" s="4">
        <f>IF(OR(F2424="",G2424=""),"",F2424*G2424+IF(J2424="",0,J2424))</f>
        <v/>
      </c>
      <c r="I2424" s="5" t="n"/>
      <c r="J2424" s="5" t="n"/>
    </row>
    <row r="2425">
      <c r="A2425" s="5" t="n"/>
      <c r="B2425" s="5" t="n"/>
      <c r="C2425" s="5" t="n"/>
      <c r="D2425" s="5" t="n"/>
      <c r="E2425" s="4">
        <f>IF(C2425="","",COUNTIF($C$7:C2425,C2425))</f>
        <v/>
      </c>
      <c r="F2425" s="4">
        <f>IF(E2425="","",IF(E2425&lt;=3,6,IF(E2425&lt;=6,5,IF(E2425&lt;=9,4,IF(E2425&lt;=12,3,IF(E2425&lt;=15,2,0))))))</f>
        <v/>
      </c>
      <c r="G2425" s="5" t="n"/>
      <c r="H2425" s="4">
        <f>IF(OR(F2425="",G2425=""),"",F2425*G2425+IF(J2425="",0,J2425))</f>
        <v/>
      </c>
      <c r="I2425" s="5" t="n"/>
      <c r="J2425" s="5" t="n"/>
    </row>
    <row r="2426">
      <c r="A2426" s="5" t="n"/>
      <c r="B2426" s="5" t="n"/>
      <c r="C2426" s="5" t="n"/>
      <c r="D2426" s="5" t="n"/>
      <c r="E2426" s="4">
        <f>IF(C2426="","",COUNTIF($C$7:C2426,C2426))</f>
        <v/>
      </c>
      <c r="F2426" s="4">
        <f>IF(E2426="","",IF(E2426&lt;=3,6,IF(E2426&lt;=6,5,IF(E2426&lt;=9,4,IF(E2426&lt;=12,3,IF(E2426&lt;=15,2,0))))))</f>
        <v/>
      </c>
      <c r="G2426" s="5" t="n"/>
      <c r="H2426" s="4">
        <f>IF(OR(F2426="",G2426=""),"",F2426*G2426+IF(J2426="",0,J2426))</f>
        <v/>
      </c>
      <c r="I2426" s="5" t="n"/>
      <c r="J2426" s="5" t="n"/>
    </row>
    <row r="2427">
      <c r="A2427" s="5" t="n"/>
      <c r="B2427" s="5" t="n"/>
      <c r="C2427" s="5" t="n"/>
      <c r="D2427" s="5" t="n"/>
      <c r="E2427" s="4">
        <f>IF(C2427="","",COUNTIF($C$7:C2427,C2427))</f>
        <v/>
      </c>
      <c r="F2427" s="4">
        <f>IF(E2427="","",IF(E2427&lt;=3,6,IF(E2427&lt;=6,5,IF(E2427&lt;=9,4,IF(E2427&lt;=12,3,IF(E2427&lt;=15,2,0))))))</f>
        <v/>
      </c>
      <c r="G2427" s="5" t="n"/>
      <c r="H2427" s="4">
        <f>IF(OR(F2427="",G2427=""),"",F2427*G2427+IF(J2427="",0,J2427))</f>
        <v/>
      </c>
      <c r="I2427" s="5" t="n"/>
      <c r="J2427" s="5" t="n"/>
    </row>
    <row r="2428">
      <c r="A2428" s="5" t="n"/>
      <c r="B2428" s="5" t="n"/>
      <c r="C2428" s="5" t="n"/>
      <c r="D2428" s="5" t="n"/>
      <c r="E2428" s="4">
        <f>IF(C2428="","",COUNTIF($C$7:C2428,C2428))</f>
        <v/>
      </c>
      <c r="F2428" s="4">
        <f>IF(E2428="","",IF(E2428&lt;=3,6,IF(E2428&lt;=6,5,IF(E2428&lt;=9,4,IF(E2428&lt;=12,3,IF(E2428&lt;=15,2,0))))))</f>
        <v/>
      </c>
      <c r="G2428" s="5" t="n"/>
      <c r="H2428" s="4">
        <f>IF(OR(F2428="",G2428=""),"",F2428*G2428+IF(J2428="",0,J2428))</f>
        <v/>
      </c>
      <c r="I2428" s="5" t="n"/>
      <c r="J2428" s="5" t="n"/>
    </row>
    <row r="2429">
      <c r="A2429" s="5" t="n"/>
      <c r="B2429" s="5" t="n"/>
      <c r="C2429" s="5" t="n"/>
      <c r="D2429" s="5" t="n"/>
      <c r="E2429" s="4">
        <f>IF(C2429="","",COUNTIF($C$7:C2429,C2429))</f>
        <v/>
      </c>
      <c r="F2429" s="4">
        <f>IF(E2429="","",IF(E2429&lt;=3,6,IF(E2429&lt;=6,5,IF(E2429&lt;=9,4,IF(E2429&lt;=12,3,IF(E2429&lt;=15,2,0))))))</f>
        <v/>
      </c>
      <c r="G2429" s="5" t="n"/>
      <c r="H2429" s="4">
        <f>IF(OR(F2429="",G2429=""),"",F2429*G2429+IF(J2429="",0,J2429))</f>
        <v/>
      </c>
      <c r="I2429" s="5" t="n"/>
      <c r="J2429" s="5" t="n"/>
    </row>
    <row r="2430">
      <c r="A2430" s="5" t="n"/>
      <c r="B2430" s="5" t="n"/>
      <c r="C2430" s="5" t="n"/>
      <c r="D2430" s="5" t="n"/>
      <c r="E2430" s="4">
        <f>IF(C2430="","",COUNTIF($C$7:C2430,C2430))</f>
        <v/>
      </c>
      <c r="F2430" s="4">
        <f>IF(E2430="","",IF(E2430&lt;=3,6,IF(E2430&lt;=6,5,IF(E2430&lt;=9,4,IF(E2430&lt;=12,3,IF(E2430&lt;=15,2,0))))))</f>
        <v/>
      </c>
      <c r="G2430" s="5" t="n"/>
      <c r="H2430" s="4">
        <f>IF(OR(F2430="",G2430=""),"",F2430*G2430+IF(J2430="",0,J2430))</f>
        <v/>
      </c>
      <c r="I2430" s="5" t="n"/>
      <c r="J2430" s="5" t="n"/>
    </row>
    <row r="2431">
      <c r="A2431" s="5" t="n"/>
      <c r="B2431" s="5" t="n"/>
      <c r="C2431" s="5" t="n"/>
      <c r="D2431" s="5" t="n"/>
      <c r="E2431" s="4">
        <f>IF(C2431="","",COUNTIF($C$7:C2431,C2431))</f>
        <v/>
      </c>
      <c r="F2431" s="4">
        <f>IF(E2431="","",IF(E2431&lt;=3,6,IF(E2431&lt;=6,5,IF(E2431&lt;=9,4,IF(E2431&lt;=12,3,IF(E2431&lt;=15,2,0))))))</f>
        <v/>
      </c>
      <c r="G2431" s="5" t="n"/>
      <c r="H2431" s="4">
        <f>IF(OR(F2431="",G2431=""),"",F2431*G2431+IF(J2431="",0,J2431))</f>
        <v/>
      </c>
      <c r="I2431" s="5" t="n"/>
      <c r="J2431" s="5" t="n"/>
    </row>
    <row r="2432">
      <c r="A2432" s="5" t="n"/>
      <c r="B2432" s="5" t="n"/>
      <c r="C2432" s="5" t="n"/>
      <c r="D2432" s="5" t="n"/>
      <c r="E2432" s="4">
        <f>IF(C2432="","",COUNTIF($C$7:C2432,C2432))</f>
        <v/>
      </c>
      <c r="F2432" s="4">
        <f>IF(E2432="","",IF(E2432&lt;=3,6,IF(E2432&lt;=6,5,IF(E2432&lt;=9,4,IF(E2432&lt;=12,3,IF(E2432&lt;=15,2,0))))))</f>
        <v/>
      </c>
      <c r="G2432" s="5" t="n"/>
      <c r="H2432" s="4">
        <f>IF(OR(F2432="",G2432=""),"",F2432*G2432+IF(J2432="",0,J2432))</f>
        <v/>
      </c>
      <c r="I2432" s="5" t="n"/>
      <c r="J2432" s="5" t="n"/>
    </row>
    <row r="2433">
      <c r="A2433" s="5" t="n"/>
      <c r="B2433" s="5" t="n"/>
      <c r="C2433" s="5" t="n"/>
      <c r="D2433" s="5" t="n"/>
      <c r="E2433" s="4">
        <f>IF(C2433="","",COUNTIF($C$7:C2433,C2433))</f>
        <v/>
      </c>
      <c r="F2433" s="4">
        <f>IF(E2433="","",IF(E2433&lt;=3,6,IF(E2433&lt;=6,5,IF(E2433&lt;=9,4,IF(E2433&lt;=12,3,IF(E2433&lt;=15,2,0))))))</f>
        <v/>
      </c>
      <c r="G2433" s="5" t="n"/>
      <c r="H2433" s="4">
        <f>IF(OR(F2433="",G2433=""),"",F2433*G2433+IF(J2433="",0,J2433))</f>
        <v/>
      </c>
      <c r="I2433" s="5" t="n"/>
      <c r="J2433" s="5" t="n"/>
    </row>
    <row r="2434">
      <c r="A2434" s="5" t="n"/>
      <c r="B2434" s="5" t="n"/>
      <c r="C2434" s="5" t="n"/>
      <c r="D2434" s="5" t="n"/>
      <c r="E2434" s="4">
        <f>IF(C2434="","",COUNTIF($C$7:C2434,C2434))</f>
        <v/>
      </c>
      <c r="F2434" s="4">
        <f>IF(E2434="","",IF(E2434&lt;=3,6,IF(E2434&lt;=6,5,IF(E2434&lt;=9,4,IF(E2434&lt;=12,3,IF(E2434&lt;=15,2,0))))))</f>
        <v/>
      </c>
      <c r="G2434" s="5" t="n"/>
      <c r="H2434" s="4">
        <f>IF(OR(F2434="",G2434=""),"",F2434*G2434+IF(J2434="",0,J2434))</f>
        <v/>
      </c>
      <c r="I2434" s="5" t="n"/>
      <c r="J2434" s="5" t="n"/>
    </row>
    <row r="2435">
      <c r="A2435" s="5" t="n"/>
      <c r="B2435" s="5" t="n"/>
      <c r="C2435" s="5" t="n"/>
      <c r="D2435" s="5" t="n"/>
      <c r="E2435" s="4">
        <f>IF(C2435="","",COUNTIF($C$7:C2435,C2435))</f>
        <v/>
      </c>
      <c r="F2435" s="4">
        <f>IF(E2435="","",IF(E2435&lt;=3,6,IF(E2435&lt;=6,5,IF(E2435&lt;=9,4,IF(E2435&lt;=12,3,IF(E2435&lt;=15,2,0))))))</f>
        <v/>
      </c>
      <c r="G2435" s="5" t="n"/>
      <c r="H2435" s="4">
        <f>IF(OR(F2435="",G2435=""),"",F2435*G2435+IF(J2435="",0,J2435))</f>
        <v/>
      </c>
      <c r="I2435" s="5" t="n"/>
      <c r="J2435" s="5" t="n"/>
    </row>
    <row r="2436">
      <c r="A2436" s="5" t="n"/>
      <c r="B2436" s="5" t="n"/>
      <c r="C2436" s="5" t="n"/>
      <c r="D2436" s="5" t="n"/>
      <c r="E2436" s="4">
        <f>IF(C2436="","",COUNTIF($C$7:C2436,C2436))</f>
        <v/>
      </c>
      <c r="F2436" s="4">
        <f>IF(E2436="","",IF(E2436&lt;=3,6,IF(E2436&lt;=6,5,IF(E2436&lt;=9,4,IF(E2436&lt;=12,3,IF(E2436&lt;=15,2,0))))))</f>
        <v/>
      </c>
      <c r="G2436" s="5" t="n"/>
      <c r="H2436" s="4">
        <f>IF(OR(F2436="",G2436=""),"",F2436*G2436+IF(J2436="",0,J2436))</f>
        <v/>
      </c>
      <c r="I2436" s="5" t="n"/>
      <c r="J2436" s="5" t="n"/>
    </row>
    <row r="2437">
      <c r="A2437" s="5" t="n"/>
      <c r="B2437" s="5" t="n"/>
      <c r="C2437" s="5" t="n"/>
      <c r="D2437" s="5" t="n"/>
      <c r="E2437" s="4">
        <f>IF(C2437="","",COUNTIF($C$7:C2437,C2437))</f>
        <v/>
      </c>
      <c r="F2437" s="4">
        <f>IF(E2437="","",IF(E2437&lt;=3,6,IF(E2437&lt;=6,5,IF(E2437&lt;=9,4,IF(E2437&lt;=12,3,IF(E2437&lt;=15,2,0))))))</f>
        <v/>
      </c>
      <c r="G2437" s="5" t="n"/>
      <c r="H2437" s="4">
        <f>IF(OR(F2437="",G2437=""),"",F2437*G2437+IF(J2437="",0,J2437))</f>
        <v/>
      </c>
      <c r="I2437" s="5" t="n"/>
      <c r="J2437" s="5" t="n"/>
    </row>
    <row r="2438">
      <c r="A2438" s="5" t="n"/>
      <c r="B2438" s="5" t="n"/>
      <c r="C2438" s="5" t="n"/>
      <c r="D2438" s="5" t="n"/>
      <c r="E2438" s="4">
        <f>IF(C2438="","",COUNTIF($C$7:C2438,C2438))</f>
        <v/>
      </c>
      <c r="F2438" s="4">
        <f>IF(E2438="","",IF(E2438&lt;=3,6,IF(E2438&lt;=6,5,IF(E2438&lt;=9,4,IF(E2438&lt;=12,3,IF(E2438&lt;=15,2,0))))))</f>
        <v/>
      </c>
      <c r="G2438" s="5" t="n"/>
      <c r="H2438" s="4">
        <f>IF(OR(F2438="",G2438=""),"",F2438*G2438+IF(J2438="",0,J2438))</f>
        <v/>
      </c>
      <c r="I2438" s="5" t="n"/>
      <c r="J2438" s="5" t="n"/>
    </row>
    <row r="2439">
      <c r="A2439" s="5" t="n"/>
      <c r="B2439" s="5" t="n"/>
      <c r="C2439" s="5" t="n"/>
      <c r="D2439" s="5" t="n"/>
      <c r="E2439" s="4">
        <f>IF(C2439="","",COUNTIF($C$7:C2439,C2439))</f>
        <v/>
      </c>
      <c r="F2439" s="4">
        <f>IF(E2439="","",IF(E2439&lt;=3,6,IF(E2439&lt;=6,5,IF(E2439&lt;=9,4,IF(E2439&lt;=12,3,IF(E2439&lt;=15,2,0))))))</f>
        <v/>
      </c>
      <c r="G2439" s="5" t="n"/>
      <c r="H2439" s="4">
        <f>IF(OR(F2439="",G2439=""),"",F2439*G2439+IF(J2439="",0,J2439))</f>
        <v/>
      </c>
      <c r="I2439" s="5" t="n"/>
      <c r="J2439" s="5" t="n"/>
    </row>
    <row r="2440">
      <c r="A2440" s="5" t="n"/>
      <c r="B2440" s="5" t="n"/>
      <c r="C2440" s="5" t="n"/>
      <c r="D2440" s="5" t="n"/>
      <c r="E2440" s="4">
        <f>IF(C2440="","",COUNTIF($C$7:C2440,C2440))</f>
        <v/>
      </c>
      <c r="F2440" s="4">
        <f>IF(E2440="","",IF(E2440&lt;=3,6,IF(E2440&lt;=6,5,IF(E2440&lt;=9,4,IF(E2440&lt;=12,3,IF(E2440&lt;=15,2,0))))))</f>
        <v/>
      </c>
      <c r="G2440" s="5" t="n"/>
      <c r="H2440" s="4">
        <f>IF(OR(F2440="",G2440=""),"",F2440*G2440+IF(J2440="",0,J2440))</f>
        <v/>
      </c>
      <c r="I2440" s="5" t="n"/>
      <c r="J2440" s="5" t="n"/>
    </row>
    <row r="2441">
      <c r="A2441" s="5" t="n"/>
      <c r="B2441" s="5" t="n"/>
      <c r="C2441" s="5" t="n"/>
      <c r="D2441" s="5" t="n"/>
      <c r="E2441" s="4">
        <f>IF(C2441="","",COUNTIF($C$7:C2441,C2441))</f>
        <v/>
      </c>
      <c r="F2441" s="4">
        <f>IF(E2441="","",IF(E2441&lt;=3,6,IF(E2441&lt;=6,5,IF(E2441&lt;=9,4,IF(E2441&lt;=12,3,IF(E2441&lt;=15,2,0))))))</f>
        <v/>
      </c>
      <c r="G2441" s="5" t="n"/>
      <c r="H2441" s="4">
        <f>IF(OR(F2441="",G2441=""),"",F2441*G2441+IF(J2441="",0,J2441))</f>
        <v/>
      </c>
      <c r="I2441" s="5" t="n"/>
      <c r="J2441" s="5" t="n"/>
    </row>
    <row r="2442">
      <c r="A2442" s="5" t="n"/>
      <c r="B2442" s="5" t="n"/>
      <c r="C2442" s="5" t="n"/>
      <c r="D2442" s="5" t="n"/>
      <c r="E2442" s="4">
        <f>IF(C2442="","",COUNTIF($C$7:C2442,C2442))</f>
        <v/>
      </c>
      <c r="F2442" s="4">
        <f>IF(E2442="","",IF(E2442&lt;=3,6,IF(E2442&lt;=6,5,IF(E2442&lt;=9,4,IF(E2442&lt;=12,3,IF(E2442&lt;=15,2,0))))))</f>
        <v/>
      </c>
      <c r="G2442" s="5" t="n"/>
      <c r="H2442" s="4">
        <f>IF(OR(F2442="",G2442=""),"",F2442*G2442+IF(J2442="",0,J2442))</f>
        <v/>
      </c>
      <c r="I2442" s="5" t="n"/>
      <c r="J2442" s="5" t="n"/>
    </row>
    <row r="2443">
      <c r="A2443" s="5" t="n"/>
      <c r="B2443" s="5" t="n"/>
      <c r="C2443" s="5" t="n"/>
      <c r="D2443" s="5" t="n"/>
      <c r="E2443" s="4">
        <f>IF(C2443="","",COUNTIF($C$7:C2443,C2443))</f>
        <v/>
      </c>
      <c r="F2443" s="4">
        <f>IF(E2443="","",IF(E2443&lt;=3,6,IF(E2443&lt;=6,5,IF(E2443&lt;=9,4,IF(E2443&lt;=12,3,IF(E2443&lt;=15,2,0))))))</f>
        <v/>
      </c>
      <c r="G2443" s="5" t="n"/>
      <c r="H2443" s="4">
        <f>IF(OR(F2443="",G2443=""),"",F2443*G2443+IF(J2443="",0,J2443))</f>
        <v/>
      </c>
      <c r="I2443" s="5" t="n"/>
      <c r="J2443" s="5" t="n"/>
    </row>
    <row r="2444">
      <c r="A2444" s="5" t="n"/>
      <c r="B2444" s="5" t="n"/>
      <c r="C2444" s="5" t="n"/>
      <c r="D2444" s="5" t="n"/>
      <c r="E2444" s="4">
        <f>IF(C2444="","",COUNTIF($C$7:C2444,C2444))</f>
        <v/>
      </c>
      <c r="F2444" s="4">
        <f>IF(E2444="","",IF(E2444&lt;=3,6,IF(E2444&lt;=6,5,IF(E2444&lt;=9,4,IF(E2444&lt;=12,3,IF(E2444&lt;=15,2,0))))))</f>
        <v/>
      </c>
      <c r="G2444" s="5" t="n"/>
      <c r="H2444" s="4">
        <f>IF(OR(F2444="",G2444=""),"",F2444*G2444+IF(J2444="",0,J2444))</f>
        <v/>
      </c>
      <c r="I2444" s="5" t="n"/>
      <c r="J2444" s="5" t="n"/>
    </row>
    <row r="2445">
      <c r="A2445" s="5" t="n"/>
      <c r="B2445" s="5" t="n"/>
      <c r="C2445" s="5" t="n"/>
      <c r="D2445" s="5" t="n"/>
      <c r="E2445" s="4">
        <f>IF(C2445="","",COUNTIF($C$7:C2445,C2445))</f>
        <v/>
      </c>
      <c r="F2445" s="4">
        <f>IF(E2445="","",IF(E2445&lt;=3,6,IF(E2445&lt;=6,5,IF(E2445&lt;=9,4,IF(E2445&lt;=12,3,IF(E2445&lt;=15,2,0))))))</f>
        <v/>
      </c>
      <c r="G2445" s="5" t="n"/>
      <c r="H2445" s="4">
        <f>IF(OR(F2445="",G2445=""),"",F2445*G2445+IF(J2445="",0,J2445))</f>
        <v/>
      </c>
      <c r="I2445" s="5" t="n"/>
      <c r="J2445" s="5" t="n"/>
    </row>
    <row r="2446">
      <c r="A2446" s="5" t="n"/>
      <c r="B2446" s="5" t="n"/>
      <c r="C2446" s="5" t="n"/>
      <c r="D2446" s="5" t="n"/>
      <c r="E2446" s="4">
        <f>IF(C2446="","",COUNTIF($C$7:C2446,C2446))</f>
        <v/>
      </c>
      <c r="F2446" s="4">
        <f>IF(E2446="","",IF(E2446&lt;=3,6,IF(E2446&lt;=6,5,IF(E2446&lt;=9,4,IF(E2446&lt;=12,3,IF(E2446&lt;=15,2,0))))))</f>
        <v/>
      </c>
      <c r="G2446" s="5" t="n"/>
      <c r="H2446" s="4">
        <f>IF(OR(F2446="",G2446=""),"",F2446*G2446+IF(J2446="",0,J2446))</f>
        <v/>
      </c>
      <c r="I2446" s="5" t="n"/>
      <c r="J2446" s="5" t="n"/>
    </row>
    <row r="2447">
      <c r="A2447" s="5" t="n"/>
      <c r="B2447" s="5" t="n"/>
      <c r="C2447" s="5" t="n"/>
      <c r="D2447" s="5" t="n"/>
      <c r="E2447" s="4">
        <f>IF(C2447="","",COUNTIF($C$7:C2447,C2447))</f>
        <v/>
      </c>
      <c r="F2447" s="4">
        <f>IF(E2447="","",IF(E2447&lt;=3,6,IF(E2447&lt;=6,5,IF(E2447&lt;=9,4,IF(E2447&lt;=12,3,IF(E2447&lt;=15,2,0))))))</f>
        <v/>
      </c>
      <c r="G2447" s="5" t="n"/>
      <c r="H2447" s="4">
        <f>IF(OR(F2447="",G2447=""),"",F2447*G2447+IF(J2447="",0,J2447))</f>
        <v/>
      </c>
      <c r="I2447" s="5" t="n"/>
      <c r="J2447" s="5" t="n"/>
    </row>
    <row r="2448">
      <c r="A2448" s="5" t="n"/>
      <c r="B2448" s="5" t="n"/>
      <c r="C2448" s="5" t="n"/>
      <c r="D2448" s="5" t="n"/>
      <c r="E2448" s="4">
        <f>IF(C2448="","",COUNTIF($C$7:C2448,C2448))</f>
        <v/>
      </c>
      <c r="F2448" s="4">
        <f>IF(E2448="","",IF(E2448&lt;=3,6,IF(E2448&lt;=6,5,IF(E2448&lt;=9,4,IF(E2448&lt;=12,3,IF(E2448&lt;=15,2,0))))))</f>
        <v/>
      </c>
      <c r="G2448" s="5" t="n"/>
      <c r="H2448" s="4">
        <f>IF(OR(F2448="",G2448=""),"",F2448*G2448+IF(J2448="",0,J2448))</f>
        <v/>
      </c>
      <c r="I2448" s="5" t="n"/>
      <c r="J2448" s="5" t="n"/>
    </row>
    <row r="2449">
      <c r="A2449" s="5" t="n"/>
      <c r="B2449" s="5" t="n"/>
      <c r="C2449" s="5" t="n"/>
      <c r="D2449" s="5" t="n"/>
      <c r="E2449" s="4">
        <f>IF(C2449="","",COUNTIF($C$7:C2449,C2449))</f>
        <v/>
      </c>
      <c r="F2449" s="4">
        <f>IF(E2449="","",IF(E2449&lt;=3,6,IF(E2449&lt;=6,5,IF(E2449&lt;=9,4,IF(E2449&lt;=12,3,IF(E2449&lt;=15,2,0))))))</f>
        <v/>
      </c>
      <c r="G2449" s="5" t="n"/>
      <c r="H2449" s="4">
        <f>IF(OR(F2449="",G2449=""),"",F2449*G2449+IF(J2449="",0,J2449))</f>
        <v/>
      </c>
      <c r="I2449" s="5" t="n"/>
      <c r="J2449" s="5" t="n"/>
    </row>
    <row r="2450">
      <c r="A2450" s="5" t="n"/>
      <c r="B2450" s="5" t="n"/>
      <c r="C2450" s="5" t="n"/>
      <c r="D2450" s="5" t="n"/>
      <c r="E2450" s="4">
        <f>IF(C2450="","",COUNTIF($C$7:C2450,C2450))</f>
        <v/>
      </c>
      <c r="F2450" s="4">
        <f>IF(E2450="","",IF(E2450&lt;=3,6,IF(E2450&lt;=6,5,IF(E2450&lt;=9,4,IF(E2450&lt;=12,3,IF(E2450&lt;=15,2,0))))))</f>
        <v/>
      </c>
      <c r="G2450" s="5" t="n"/>
      <c r="H2450" s="4">
        <f>IF(OR(F2450="",G2450=""),"",F2450*G2450+IF(J2450="",0,J2450))</f>
        <v/>
      </c>
      <c r="I2450" s="5" t="n"/>
      <c r="J2450" s="5" t="n"/>
    </row>
    <row r="2451">
      <c r="A2451" s="5" t="n"/>
      <c r="B2451" s="5" t="n"/>
      <c r="C2451" s="5" t="n"/>
      <c r="D2451" s="5" t="n"/>
      <c r="E2451" s="4">
        <f>IF(C2451="","",COUNTIF($C$7:C2451,C2451))</f>
        <v/>
      </c>
      <c r="F2451" s="4">
        <f>IF(E2451="","",IF(E2451&lt;=3,6,IF(E2451&lt;=6,5,IF(E2451&lt;=9,4,IF(E2451&lt;=12,3,IF(E2451&lt;=15,2,0))))))</f>
        <v/>
      </c>
      <c r="G2451" s="5" t="n"/>
      <c r="H2451" s="4">
        <f>IF(OR(F2451="",G2451=""),"",F2451*G2451+IF(J2451="",0,J2451))</f>
        <v/>
      </c>
      <c r="I2451" s="5" t="n"/>
      <c r="J2451" s="5" t="n"/>
    </row>
    <row r="2452">
      <c r="A2452" s="5" t="n"/>
      <c r="B2452" s="5" t="n"/>
      <c r="C2452" s="5" t="n"/>
      <c r="D2452" s="5" t="n"/>
      <c r="E2452" s="4">
        <f>IF(C2452="","",COUNTIF($C$7:C2452,C2452))</f>
        <v/>
      </c>
      <c r="F2452" s="4">
        <f>IF(E2452="","",IF(E2452&lt;=3,6,IF(E2452&lt;=6,5,IF(E2452&lt;=9,4,IF(E2452&lt;=12,3,IF(E2452&lt;=15,2,0))))))</f>
        <v/>
      </c>
      <c r="G2452" s="5" t="n"/>
      <c r="H2452" s="4">
        <f>IF(OR(F2452="",G2452=""),"",F2452*G2452+IF(J2452="",0,J2452))</f>
        <v/>
      </c>
      <c r="I2452" s="5" t="n"/>
      <c r="J2452" s="5" t="n"/>
    </row>
    <row r="2453">
      <c r="A2453" s="5" t="n"/>
      <c r="B2453" s="5" t="n"/>
      <c r="C2453" s="5" t="n"/>
      <c r="D2453" s="5" t="n"/>
      <c r="E2453" s="4">
        <f>IF(C2453="","",COUNTIF($C$7:C2453,C2453))</f>
        <v/>
      </c>
      <c r="F2453" s="4">
        <f>IF(E2453="","",IF(E2453&lt;=3,6,IF(E2453&lt;=6,5,IF(E2453&lt;=9,4,IF(E2453&lt;=12,3,IF(E2453&lt;=15,2,0))))))</f>
        <v/>
      </c>
      <c r="G2453" s="5" t="n"/>
      <c r="H2453" s="4">
        <f>IF(OR(F2453="",G2453=""),"",F2453*G2453+IF(J2453="",0,J2453))</f>
        <v/>
      </c>
      <c r="I2453" s="5" t="n"/>
      <c r="J2453" s="5" t="n"/>
    </row>
    <row r="2454">
      <c r="A2454" s="5" t="n"/>
      <c r="B2454" s="5" t="n"/>
      <c r="C2454" s="5" t="n"/>
      <c r="D2454" s="5" t="n"/>
      <c r="E2454" s="4">
        <f>IF(C2454="","",COUNTIF($C$7:C2454,C2454))</f>
        <v/>
      </c>
      <c r="F2454" s="4">
        <f>IF(E2454="","",IF(E2454&lt;=3,6,IF(E2454&lt;=6,5,IF(E2454&lt;=9,4,IF(E2454&lt;=12,3,IF(E2454&lt;=15,2,0))))))</f>
        <v/>
      </c>
      <c r="G2454" s="5" t="n"/>
      <c r="H2454" s="4">
        <f>IF(OR(F2454="",G2454=""),"",F2454*G2454+IF(J2454="",0,J2454))</f>
        <v/>
      </c>
      <c r="I2454" s="5" t="n"/>
      <c r="J2454" s="5" t="n"/>
    </row>
    <row r="2455">
      <c r="A2455" s="5" t="n"/>
      <c r="B2455" s="5" t="n"/>
      <c r="C2455" s="5" t="n"/>
      <c r="D2455" s="5" t="n"/>
      <c r="E2455" s="4">
        <f>IF(C2455="","",COUNTIF($C$7:C2455,C2455))</f>
        <v/>
      </c>
      <c r="F2455" s="4">
        <f>IF(E2455="","",IF(E2455&lt;=3,6,IF(E2455&lt;=6,5,IF(E2455&lt;=9,4,IF(E2455&lt;=12,3,IF(E2455&lt;=15,2,0))))))</f>
        <v/>
      </c>
      <c r="G2455" s="5" t="n"/>
      <c r="H2455" s="4">
        <f>IF(OR(F2455="",G2455=""),"",F2455*G2455+IF(J2455="",0,J2455))</f>
        <v/>
      </c>
      <c r="I2455" s="5" t="n"/>
      <c r="J2455" s="5" t="n"/>
    </row>
    <row r="2456">
      <c r="A2456" s="5" t="n"/>
      <c r="B2456" s="5" t="n"/>
      <c r="C2456" s="5" t="n"/>
      <c r="D2456" s="5" t="n"/>
      <c r="E2456" s="4">
        <f>IF(C2456="","",COUNTIF($C$7:C2456,C2456))</f>
        <v/>
      </c>
      <c r="F2456" s="4">
        <f>IF(E2456="","",IF(E2456&lt;=3,6,IF(E2456&lt;=6,5,IF(E2456&lt;=9,4,IF(E2456&lt;=12,3,IF(E2456&lt;=15,2,0))))))</f>
        <v/>
      </c>
      <c r="G2456" s="5" t="n"/>
      <c r="H2456" s="4">
        <f>IF(OR(F2456="",G2456=""),"",F2456*G2456+IF(J2456="",0,J2456))</f>
        <v/>
      </c>
      <c r="I2456" s="5" t="n"/>
      <c r="J2456" s="5" t="n"/>
    </row>
    <row r="2457">
      <c r="A2457" s="5" t="n"/>
      <c r="B2457" s="5" t="n"/>
      <c r="C2457" s="5" t="n"/>
      <c r="D2457" s="5" t="n"/>
      <c r="E2457" s="4">
        <f>IF(C2457="","",COUNTIF($C$7:C2457,C2457))</f>
        <v/>
      </c>
      <c r="F2457" s="4">
        <f>IF(E2457="","",IF(E2457&lt;=3,6,IF(E2457&lt;=6,5,IF(E2457&lt;=9,4,IF(E2457&lt;=12,3,IF(E2457&lt;=15,2,0))))))</f>
        <v/>
      </c>
      <c r="G2457" s="5" t="n"/>
      <c r="H2457" s="4">
        <f>IF(OR(F2457="",G2457=""),"",F2457*G2457+IF(J2457="",0,J2457))</f>
        <v/>
      </c>
      <c r="I2457" s="5" t="n"/>
      <c r="J2457" s="5" t="n"/>
    </row>
    <row r="2458">
      <c r="A2458" s="5" t="n"/>
      <c r="B2458" s="5" t="n"/>
      <c r="C2458" s="5" t="n"/>
      <c r="D2458" s="5" t="n"/>
      <c r="E2458" s="4">
        <f>IF(C2458="","",COUNTIF($C$7:C2458,C2458))</f>
        <v/>
      </c>
      <c r="F2458" s="4">
        <f>IF(E2458="","",IF(E2458&lt;=3,6,IF(E2458&lt;=6,5,IF(E2458&lt;=9,4,IF(E2458&lt;=12,3,IF(E2458&lt;=15,2,0))))))</f>
        <v/>
      </c>
      <c r="G2458" s="5" t="n"/>
      <c r="H2458" s="4">
        <f>IF(OR(F2458="",G2458=""),"",F2458*G2458+IF(J2458="",0,J2458))</f>
        <v/>
      </c>
      <c r="I2458" s="5" t="n"/>
      <c r="J2458" s="5" t="n"/>
    </row>
    <row r="2459">
      <c r="A2459" s="5" t="n"/>
      <c r="B2459" s="5" t="n"/>
      <c r="C2459" s="5" t="n"/>
      <c r="D2459" s="5" t="n"/>
      <c r="E2459" s="4">
        <f>IF(C2459="","",COUNTIF($C$7:C2459,C2459))</f>
        <v/>
      </c>
      <c r="F2459" s="4">
        <f>IF(E2459="","",IF(E2459&lt;=3,6,IF(E2459&lt;=6,5,IF(E2459&lt;=9,4,IF(E2459&lt;=12,3,IF(E2459&lt;=15,2,0))))))</f>
        <v/>
      </c>
      <c r="G2459" s="5" t="n"/>
      <c r="H2459" s="4">
        <f>IF(OR(F2459="",G2459=""),"",F2459*G2459+IF(J2459="",0,J2459))</f>
        <v/>
      </c>
      <c r="I2459" s="5" t="n"/>
      <c r="J2459" s="5" t="n"/>
    </row>
    <row r="2460">
      <c r="A2460" s="5" t="n"/>
      <c r="B2460" s="5" t="n"/>
      <c r="C2460" s="5" t="n"/>
      <c r="D2460" s="5" t="n"/>
      <c r="E2460" s="4">
        <f>IF(C2460="","",COUNTIF($C$7:C2460,C2460))</f>
        <v/>
      </c>
      <c r="F2460" s="4">
        <f>IF(E2460="","",IF(E2460&lt;=3,6,IF(E2460&lt;=6,5,IF(E2460&lt;=9,4,IF(E2460&lt;=12,3,IF(E2460&lt;=15,2,0))))))</f>
        <v/>
      </c>
      <c r="G2460" s="5" t="n"/>
      <c r="H2460" s="4">
        <f>IF(OR(F2460="",G2460=""),"",F2460*G2460+IF(J2460="",0,J2460))</f>
        <v/>
      </c>
      <c r="I2460" s="5" t="n"/>
      <c r="J2460" s="5" t="n"/>
    </row>
    <row r="2461">
      <c r="A2461" s="5" t="n"/>
      <c r="B2461" s="5" t="n"/>
      <c r="C2461" s="5" t="n"/>
      <c r="D2461" s="5" t="n"/>
      <c r="E2461" s="4">
        <f>IF(C2461="","",COUNTIF($C$7:C2461,C2461))</f>
        <v/>
      </c>
      <c r="F2461" s="4">
        <f>IF(E2461="","",IF(E2461&lt;=3,6,IF(E2461&lt;=6,5,IF(E2461&lt;=9,4,IF(E2461&lt;=12,3,IF(E2461&lt;=15,2,0))))))</f>
        <v/>
      </c>
      <c r="G2461" s="5" t="n"/>
      <c r="H2461" s="4">
        <f>IF(OR(F2461="",G2461=""),"",F2461*G2461+IF(J2461="",0,J2461))</f>
        <v/>
      </c>
      <c r="I2461" s="5" t="n"/>
      <c r="J2461" s="5" t="n"/>
    </row>
    <row r="2462">
      <c r="A2462" s="5" t="n"/>
      <c r="B2462" s="5" t="n"/>
      <c r="C2462" s="5" t="n"/>
      <c r="D2462" s="5" t="n"/>
      <c r="E2462" s="4">
        <f>IF(C2462="","",COUNTIF($C$7:C2462,C2462))</f>
        <v/>
      </c>
      <c r="F2462" s="4">
        <f>IF(E2462="","",IF(E2462&lt;=3,6,IF(E2462&lt;=6,5,IF(E2462&lt;=9,4,IF(E2462&lt;=12,3,IF(E2462&lt;=15,2,0))))))</f>
        <v/>
      </c>
      <c r="G2462" s="5" t="n"/>
      <c r="H2462" s="4">
        <f>IF(OR(F2462="",G2462=""),"",F2462*G2462+IF(J2462="",0,J2462))</f>
        <v/>
      </c>
      <c r="I2462" s="5" t="n"/>
      <c r="J2462" s="5" t="n"/>
    </row>
    <row r="2463">
      <c r="A2463" s="5" t="n"/>
      <c r="B2463" s="5" t="n"/>
      <c r="C2463" s="5" t="n"/>
      <c r="D2463" s="5" t="n"/>
      <c r="E2463" s="4">
        <f>IF(C2463="","",COUNTIF($C$7:C2463,C2463))</f>
        <v/>
      </c>
      <c r="F2463" s="4">
        <f>IF(E2463="","",IF(E2463&lt;=3,6,IF(E2463&lt;=6,5,IF(E2463&lt;=9,4,IF(E2463&lt;=12,3,IF(E2463&lt;=15,2,0))))))</f>
        <v/>
      </c>
      <c r="G2463" s="5" t="n"/>
      <c r="H2463" s="4">
        <f>IF(OR(F2463="",G2463=""),"",F2463*G2463+IF(J2463="",0,J2463))</f>
        <v/>
      </c>
      <c r="I2463" s="5" t="n"/>
      <c r="J2463" s="5" t="n"/>
    </row>
    <row r="2464">
      <c r="A2464" s="5" t="n"/>
      <c r="B2464" s="5" t="n"/>
      <c r="C2464" s="5" t="n"/>
      <c r="D2464" s="5" t="n"/>
      <c r="E2464" s="4">
        <f>IF(C2464="","",COUNTIF($C$7:C2464,C2464))</f>
        <v/>
      </c>
      <c r="F2464" s="4">
        <f>IF(E2464="","",IF(E2464&lt;=3,6,IF(E2464&lt;=6,5,IF(E2464&lt;=9,4,IF(E2464&lt;=12,3,IF(E2464&lt;=15,2,0))))))</f>
        <v/>
      </c>
      <c r="G2464" s="5" t="n"/>
      <c r="H2464" s="4">
        <f>IF(OR(F2464="",G2464=""),"",F2464*G2464+IF(J2464="",0,J2464))</f>
        <v/>
      </c>
      <c r="I2464" s="5" t="n"/>
      <c r="J2464" s="5" t="n"/>
    </row>
    <row r="2465">
      <c r="A2465" s="5" t="n"/>
      <c r="B2465" s="5" t="n"/>
      <c r="C2465" s="5" t="n"/>
      <c r="D2465" s="5" t="n"/>
      <c r="E2465" s="4">
        <f>IF(C2465="","",COUNTIF($C$7:C2465,C2465))</f>
        <v/>
      </c>
      <c r="F2465" s="4">
        <f>IF(E2465="","",IF(E2465&lt;=3,6,IF(E2465&lt;=6,5,IF(E2465&lt;=9,4,IF(E2465&lt;=12,3,IF(E2465&lt;=15,2,0))))))</f>
        <v/>
      </c>
      <c r="G2465" s="5" t="n"/>
      <c r="H2465" s="4">
        <f>IF(OR(F2465="",G2465=""),"",F2465*G2465+IF(J2465="",0,J2465))</f>
        <v/>
      </c>
      <c r="I2465" s="5" t="n"/>
      <c r="J2465" s="5" t="n"/>
    </row>
    <row r="2466">
      <c r="A2466" s="5" t="n"/>
      <c r="B2466" s="5" t="n"/>
      <c r="C2466" s="5" t="n"/>
      <c r="D2466" s="5" t="n"/>
      <c r="E2466" s="4">
        <f>IF(C2466="","",COUNTIF($C$7:C2466,C2466))</f>
        <v/>
      </c>
      <c r="F2466" s="4">
        <f>IF(E2466="","",IF(E2466&lt;=3,6,IF(E2466&lt;=6,5,IF(E2466&lt;=9,4,IF(E2466&lt;=12,3,IF(E2466&lt;=15,2,0))))))</f>
        <v/>
      </c>
      <c r="G2466" s="5" t="n"/>
      <c r="H2466" s="4">
        <f>IF(OR(F2466="",G2466=""),"",F2466*G2466+IF(J2466="",0,J2466))</f>
        <v/>
      </c>
      <c r="I2466" s="5" t="n"/>
      <c r="J2466" s="5" t="n"/>
    </row>
    <row r="2467">
      <c r="A2467" s="5" t="n"/>
      <c r="B2467" s="5" t="n"/>
      <c r="C2467" s="5" t="n"/>
      <c r="D2467" s="5" t="n"/>
      <c r="E2467" s="4">
        <f>IF(C2467="","",COUNTIF($C$7:C2467,C2467))</f>
        <v/>
      </c>
      <c r="F2467" s="4">
        <f>IF(E2467="","",IF(E2467&lt;=3,6,IF(E2467&lt;=6,5,IF(E2467&lt;=9,4,IF(E2467&lt;=12,3,IF(E2467&lt;=15,2,0))))))</f>
        <v/>
      </c>
      <c r="G2467" s="5" t="n"/>
      <c r="H2467" s="4">
        <f>IF(OR(F2467="",G2467=""),"",F2467*G2467+IF(J2467="",0,J2467))</f>
        <v/>
      </c>
      <c r="I2467" s="5" t="n"/>
      <c r="J2467" s="5" t="n"/>
    </row>
    <row r="2468">
      <c r="A2468" s="5" t="n"/>
      <c r="B2468" s="5" t="n"/>
      <c r="C2468" s="5" t="n"/>
      <c r="D2468" s="5" t="n"/>
      <c r="E2468" s="4">
        <f>IF(C2468="","",COUNTIF($C$7:C2468,C2468))</f>
        <v/>
      </c>
      <c r="F2468" s="4">
        <f>IF(E2468="","",IF(E2468&lt;=3,6,IF(E2468&lt;=6,5,IF(E2468&lt;=9,4,IF(E2468&lt;=12,3,IF(E2468&lt;=15,2,0))))))</f>
        <v/>
      </c>
      <c r="G2468" s="5" t="n"/>
      <c r="H2468" s="4">
        <f>IF(OR(F2468="",G2468=""),"",F2468*G2468+IF(J2468="",0,J2468))</f>
        <v/>
      </c>
      <c r="I2468" s="5" t="n"/>
      <c r="J2468" s="5" t="n"/>
    </row>
    <row r="2469">
      <c r="A2469" s="5" t="n"/>
      <c r="B2469" s="5" t="n"/>
      <c r="C2469" s="5" t="n"/>
      <c r="D2469" s="5" t="n"/>
      <c r="E2469" s="4">
        <f>IF(C2469="","",COUNTIF($C$7:C2469,C2469))</f>
        <v/>
      </c>
      <c r="F2469" s="4">
        <f>IF(E2469="","",IF(E2469&lt;=3,6,IF(E2469&lt;=6,5,IF(E2469&lt;=9,4,IF(E2469&lt;=12,3,IF(E2469&lt;=15,2,0))))))</f>
        <v/>
      </c>
      <c r="G2469" s="5" t="n"/>
      <c r="H2469" s="4">
        <f>IF(OR(F2469="",G2469=""),"",F2469*G2469+IF(J2469="",0,J2469))</f>
        <v/>
      </c>
      <c r="I2469" s="5" t="n"/>
      <c r="J2469" s="5" t="n"/>
    </row>
    <row r="2470">
      <c r="A2470" s="5" t="n"/>
      <c r="B2470" s="5" t="n"/>
      <c r="C2470" s="5" t="n"/>
      <c r="D2470" s="5" t="n"/>
      <c r="E2470" s="4">
        <f>IF(C2470="","",COUNTIF($C$7:C2470,C2470))</f>
        <v/>
      </c>
      <c r="F2470" s="4">
        <f>IF(E2470="","",IF(E2470&lt;=3,6,IF(E2470&lt;=6,5,IF(E2470&lt;=9,4,IF(E2470&lt;=12,3,IF(E2470&lt;=15,2,0))))))</f>
        <v/>
      </c>
      <c r="G2470" s="5" t="n"/>
      <c r="H2470" s="4">
        <f>IF(OR(F2470="",G2470=""),"",F2470*G2470+IF(J2470="",0,J2470))</f>
        <v/>
      </c>
      <c r="I2470" s="5" t="n"/>
      <c r="J2470" s="5" t="n"/>
    </row>
    <row r="2471">
      <c r="A2471" s="5" t="n"/>
      <c r="B2471" s="5" t="n"/>
      <c r="C2471" s="5" t="n"/>
      <c r="D2471" s="5" t="n"/>
      <c r="E2471" s="4">
        <f>IF(C2471="","",COUNTIF($C$7:C2471,C2471))</f>
        <v/>
      </c>
      <c r="F2471" s="4">
        <f>IF(E2471="","",IF(E2471&lt;=3,6,IF(E2471&lt;=6,5,IF(E2471&lt;=9,4,IF(E2471&lt;=12,3,IF(E2471&lt;=15,2,0))))))</f>
        <v/>
      </c>
      <c r="G2471" s="5" t="n"/>
      <c r="H2471" s="4">
        <f>IF(OR(F2471="",G2471=""),"",F2471*G2471+IF(J2471="",0,J2471))</f>
        <v/>
      </c>
      <c r="I2471" s="5" t="n"/>
      <c r="J2471" s="5" t="n"/>
    </row>
    <row r="2472">
      <c r="A2472" s="5" t="n"/>
      <c r="B2472" s="5" t="n"/>
      <c r="C2472" s="5" t="n"/>
      <c r="D2472" s="5" t="n"/>
      <c r="E2472" s="4">
        <f>IF(C2472="","",COUNTIF($C$7:C2472,C2472))</f>
        <v/>
      </c>
      <c r="F2472" s="4">
        <f>IF(E2472="","",IF(E2472&lt;=3,6,IF(E2472&lt;=6,5,IF(E2472&lt;=9,4,IF(E2472&lt;=12,3,IF(E2472&lt;=15,2,0))))))</f>
        <v/>
      </c>
      <c r="G2472" s="5" t="n"/>
      <c r="H2472" s="4">
        <f>IF(OR(F2472="",G2472=""),"",F2472*G2472+IF(J2472="",0,J2472))</f>
        <v/>
      </c>
      <c r="I2472" s="5" t="n"/>
      <c r="J2472" s="5" t="n"/>
    </row>
    <row r="2473">
      <c r="A2473" s="5" t="n"/>
      <c r="B2473" s="5" t="n"/>
      <c r="C2473" s="5" t="n"/>
      <c r="D2473" s="5" t="n"/>
      <c r="E2473" s="4">
        <f>IF(C2473="","",COUNTIF($C$7:C2473,C2473))</f>
        <v/>
      </c>
      <c r="F2473" s="4">
        <f>IF(E2473="","",IF(E2473&lt;=3,6,IF(E2473&lt;=6,5,IF(E2473&lt;=9,4,IF(E2473&lt;=12,3,IF(E2473&lt;=15,2,0))))))</f>
        <v/>
      </c>
      <c r="G2473" s="5" t="n"/>
      <c r="H2473" s="4">
        <f>IF(OR(F2473="",G2473=""),"",F2473*G2473+IF(J2473="",0,J2473))</f>
        <v/>
      </c>
      <c r="I2473" s="5" t="n"/>
      <c r="J2473" s="5" t="n"/>
    </row>
    <row r="2474">
      <c r="A2474" s="5" t="n"/>
      <c r="B2474" s="5" t="n"/>
      <c r="C2474" s="5" t="n"/>
      <c r="D2474" s="5" t="n"/>
      <c r="E2474" s="4">
        <f>IF(C2474="","",COUNTIF($C$7:C2474,C2474))</f>
        <v/>
      </c>
      <c r="F2474" s="4">
        <f>IF(E2474="","",IF(E2474&lt;=3,6,IF(E2474&lt;=6,5,IF(E2474&lt;=9,4,IF(E2474&lt;=12,3,IF(E2474&lt;=15,2,0))))))</f>
        <v/>
      </c>
      <c r="G2474" s="5" t="n"/>
      <c r="H2474" s="4">
        <f>IF(OR(F2474="",G2474=""),"",F2474*G2474+IF(J2474="",0,J2474))</f>
        <v/>
      </c>
      <c r="I2474" s="5" t="n"/>
      <c r="J2474" s="5" t="n"/>
    </row>
    <row r="2475">
      <c r="A2475" s="5" t="n"/>
      <c r="B2475" s="5" t="n"/>
      <c r="C2475" s="5" t="n"/>
      <c r="D2475" s="5" t="n"/>
      <c r="E2475" s="4">
        <f>IF(C2475="","",COUNTIF($C$7:C2475,C2475))</f>
        <v/>
      </c>
      <c r="F2475" s="4">
        <f>IF(E2475="","",IF(E2475&lt;=3,6,IF(E2475&lt;=6,5,IF(E2475&lt;=9,4,IF(E2475&lt;=12,3,IF(E2475&lt;=15,2,0))))))</f>
        <v/>
      </c>
      <c r="G2475" s="5" t="n"/>
      <c r="H2475" s="4">
        <f>IF(OR(F2475="",G2475=""),"",F2475*G2475+IF(J2475="",0,J2475))</f>
        <v/>
      </c>
      <c r="I2475" s="5" t="n"/>
      <c r="J2475" s="5" t="n"/>
    </row>
    <row r="2476">
      <c r="A2476" s="5" t="n"/>
      <c r="B2476" s="5" t="n"/>
      <c r="C2476" s="5" t="n"/>
      <c r="D2476" s="5" t="n"/>
      <c r="E2476" s="4">
        <f>IF(C2476="","",COUNTIF($C$7:C2476,C2476))</f>
        <v/>
      </c>
      <c r="F2476" s="4">
        <f>IF(E2476="","",IF(E2476&lt;=3,6,IF(E2476&lt;=6,5,IF(E2476&lt;=9,4,IF(E2476&lt;=12,3,IF(E2476&lt;=15,2,0))))))</f>
        <v/>
      </c>
      <c r="G2476" s="5" t="n"/>
      <c r="H2476" s="4">
        <f>IF(OR(F2476="",G2476=""),"",F2476*G2476+IF(J2476="",0,J2476))</f>
        <v/>
      </c>
      <c r="I2476" s="5" t="n"/>
      <c r="J2476" s="5" t="n"/>
    </row>
    <row r="2477">
      <c r="A2477" s="5" t="n"/>
      <c r="B2477" s="5" t="n"/>
      <c r="C2477" s="5" t="n"/>
      <c r="D2477" s="5" t="n"/>
      <c r="E2477" s="4">
        <f>IF(C2477="","",COUNTIF($C$7:C2477,C2477))</f>
        <v/>
      </c>
      <c r="F2477" s="4">
        <f>IF(E2477="","",IF(E2477&lt;=3,6,IF(E2477&lt;=6,5,IF(E2477&lt;=9,4,IF(E2477&lt;=12,3,IF(E2477&lt;=15,2,0))))))</f>
        <v/>
      </c>
      <c r="G2477" s="5" t="n"/>
      <c r="H2477" s="4">
        <f>IF(OR(F2477="",G2477=""),"",F2477*G2477+IF(J2477="",0,J2477))</f>
        <v/>
      </c>
      <c r="I2477" s="5" t="n"/>
      <c r="J2477" s="5" t="n"/>
    </row>
    <row r="2478">
      <c r="A2478" s="5" t="n"/>
      <c r="B2478" s="5" t="n"/>
      <c r="C2478" s="5" t="n"/>
      <c r="D2478" s="5" t="n"/>
      <c r="E2478" s="4">
        <f>IF(C2478="","",COUNTIF($C$7:C2478,C2478))</f>
        <v/>
      </c>
      <c r="F2478" s="4">
        <f>IF(E2478="","",IF(E2478&lt;=3,6,IF(E2478&lt;=6,5,IF(E2478&lt;=9,4,IF(E2478&lt;=12,3,IF(E2478&lt;=15,2,0))))))</f>
        <v/>
      </c>
      <c r="G2478" s="5" t="n"/>
      <c r="H2478" s="4">
        <f>IF(OR(F2478="",G2478=""),"",F2478*G2478+IF(J2478="",0,J2478))</f>
        <v/>
      </c>
      <c r="I2478" s="5" t="n"/>
      <c r="J2478" s="5" t="n"/>
    </row>
    <row r="2479">
      <c r="A2479" s="5" t="n"/>
      <c r="B2479" s="5" t="n"/>
      <c r="C2479" s="5" t="n"/>
      <c r="D2479" s="5" t="n"/>
      <c r="E2479" s="4">
        <f>IF(C2479="","",COUNTIF($C$7:C2479,C2479))</f>
        <v/>
      </c>
      <c r="F2479" s="4">
        <f>IF(E2479="","",IF(E2479&lt;=3,6,IF(E2479&lt;=6,5,IF(E2479&lt;=9,4,IF(E2479&lt;=12,3,IF(E2479&lt;=15,2,0))))))</f>
        <v/>
      </c>
      <c r="G2479" s="5" t="n"/>
      <c r="H2479" s="4">
        <f>IF(OR(F2479="",G2479=""),"",F2479*G2479+IF(J2479="",0,J2479))</f>
        <v/>
      </c>
      <c r="I2479" s="5" t="n"/>
      <c r="J2479" s="5" t="n"/>
    </row>
    <row r="2480">
      <c r="A2480" s="5" t="n"/>
      <c r="B2480" s="5" t="n"/>
      <c r="C2480" s="5" t="n"/>
      <c r="D2480" s="5" t="n"/>
      <c r="E2480" s="4">
        <f>IF(C2480="","",COUNTIF($C$7:C2480,C2480))</f>
        <v/>
      </c>
      <c r="F2480" s="4">
        <f>IF(E2480="","",IF(E2480&lt;=3,6,IF(E2480&lt;=6,5,IF(E2480&lt;=9,4,IF(E2480&lt;=12,3,IF(E2480&lt;=15,2,0))))))</f>
        <v/>
      </c>
      <c r="G2480" s="5" t="n"/>
      <c r="H2480" s="4">
        <f>IF(OR(F2480="",G2480=""),"",F2480*G2480+IF(J2480="",0,J2480))</f>
        <v/>
      </c>
      <c r="I2480" s="5" t="n"/>
      <c r="J2480" s="5" t="n"/>
    </row>
    <row r="2481">
      <c r="A2481" s="5" t="n"/>
      <c r="B2481" s="5" t="n"/>
      <c r="C2481" s="5" t="n"/>
      <c r="D2481" s="5" t="n"/>
      <c r="E2481" s="4">
        <f>IF(C2481="","",COUNTIF($C$7:C2481,C2481))</f>
        <v/>
      </c>
      <c r="F2481" s="4">
        <f>IF(E2481="","",IF(E2481&lt;=3,6,IF(E2481&lt;=6,5,IF(E2481&lt;=9,4,IF(E2481&lt;=12,3,IF(E2481&lt;=15,2,0))))))</f>
        <v/>
      </c>
      <c r="G2481" s="5" t="n"/>
      <c r="H2481" s="4">
        <f>IF(OR(F2481="",G2481=""),"",F2481*G2481+IF(J2481="",0,J2481))</f>
        <v/>
      </c>
      <c r="I2481" s="5" t="n"/>
      <c r="J2481" s="5" t="n"/>
    </row>
    <row r="2482">
      <c r="A2482" s="5" t="n"/>
      <c r="B2482" s="5" t="n"/>
      <c r="C2482" s="5" t="n"/>
      <c r="D2482" s="5" t="n"/>
      <c r="E2482" s="4">
        <f>IF(C2482="","",COUNTIF($C$7:C2482,C2482))</f>
        <v/>
      </c>
      <c r="F2482" s="4">
        <f>IF(E2482="","",IF(E2482&lt;=3,6,IF(E2482&lt;=6,5,IF(E2482&lt;=9,4,IF(E2482&lt;=12,3,IF(E2482&lt;=15,2,0))))))</f>
        <v/>
      </c>
      <c r="G2482" s="5" t="n"/>
      <c r="H2482" s="4">
        <f>IF(OR(F2482="",G2482=""),"",F2482*G2482+IF(J2482="",0,J2482))</f>
        <v/>
      </c>
      <c r="I2482" s="5" t="n"/>
      <c r="J2482" s="5" t="n"/>
    </row>
    <row r="2483">
      <c r="A2483" s="5" t="n"/>
      <c r="B2483" s="5" t="n"/>
      <c r="C2483" s="5" t="n"/>
      <c r="D2483" s="5" t="n"/>
      <c r="E2483" s="4">
        <f>IF(C2483="","",COUNTIF($C$7:C2483,C2483))</f>
        <v/>
      </c>
      <c r="F2483" s="4">
        <f>IF(E2483="","",IF(E2483&lt;=3,6,IF(E2483&lt;=6,5,IF(E2483&lt;=9,4,IF(E2483&lt;=12,3,IF(E2483&lt;=15,2,0))))))</f>
        <v/>
      </c>
      <c r="G2483" s="5" t="n"/>
      <c r="H2483" s="4">
        <f>IF(OR(F2483="",G2483=""),"",F2483*G2483+IF(J2483="",0,J2483))</f>
        <v/>
      </c>
      <c r="I2483" s="5" t="n"/>
      <c r="J2483" s="5" t="n"/>
    </row>
    <row r="2484">
      <c r="A2484" s="5" t="n"/>
      <c r="B2484" s="5" t="n"/>
      <c r="C2484" s="5" t="n"/>
      <c r="D2484" s="5" t="n"/>
      <c r="E2484" s="4">
        <f>IF(C2484="","",COUNTIF($C$7:C2484,C2484))</f>
        <v/>
      </c>
      <c r="F2484" s="4">
        <f>IF(E2484="","",IF(E2484&lt;=3,6,IF(E2484&lt;=6,5,IF(E2484&lt;=9,4,IF(E2484&lt;=12,3,IF(E2484&lt;=15,2,0))))))</f>
        <v/>
      </c>
      <c r="G2484" s="5" t="n"/>
      <c r="H2484" s="4">
        <f>IF(OR(F2484="",G2484=""),"",F2484*G2484+IF(J2484="",0,J2484))</f>
        <v/>
      </c>
      <c r="I2484" s="5" t="n"/>
      <c r="J2484" s="5" t="n"/>
    </row>
    <row r="2485">
      <c r="A2485" s="5" t="n"/>
      <c r="B2485" s="5" t="n"/>
      <c r="C2485" s="5" t="n"/>
      <c r="D2485" s="5" t="n"/>
      <c r="E2485" s="4">
        <f>IF(C2485="","",COUNTIF($C$7:C2485,C2485))</f>
        <v/>
      </c>
      <c r="F2485" s="4">
        <f>IF(E2485="","",IF(E2485&lt;=3,6,IF(E2485&lt;=6,5,IF(E2485&lt;=9,4,IF(E2485&lt;=12,3,IF(E2485&lt;=15,2,0))))))</f>
        <v/>
      </c>
      <c r="G2485" s="5" t="n"/>
      <c r="H2485" s="4">
        <f>IF(OR(F2485="",G2485=""),"",F2485*G2485+IF(J2485="",0,J2485))</f>
        <v/>
      </c>
      <c r="I2485" s="5" t="n"/>
      <c r="J2485" s="5" t="n"/>
    </row>
    <row r="2486">
      <c r="A2486" s="5" t="n"/>
      <c r="B2486" s="5" t="n"/>
      <c r="C2486" s="5" t="n"/>
      <c r="D2486" s="5" t="n"/>
      <c r="E2486" s="4">
        <f>IF(C2486="","",COUNTIF($C$7:C2486,C2486))</f>
        <v/>
      </c>
      <c r="F2486" s="4">
        <f>IF(E2486="","",IF(E2486&lt;=3,6,IF(E2486&lt;=6,5,IF(E2486&lt;=9,4,IF(E2486&lt;=12,3,IF(E2486&lt;=15,2,0))))))</f>
        <v/>
      </c>
      <c r="G2486" s="5" t="n"/>
      <c r="H2486" s="4">
        <f>IF(OR(F2486="",G2486=""),"",F2486*G2486+IF(J2486="",0,J2486))</f>
        <v/>
      </c>
      <c r="I2486" s="5" t="n"/>
      <c r="J2486" s="5" t="n"/>
    </row>
    <row r="2487">
      <c r="A2487" s="5" t="n"/>
      <c r="B2487" s="5" t="n"/>
      <c r="C2487" s="5" t="n"/>
      <c r="D2487" s="5" t="n"/>
      <c r="E2487" s="4">
        <f>IF(C2487="","",COUNTIF($C$7:C2487,C2487))</f>
        <v/>
      </c>
      <c r="F2487" s="4">
        <f>IF(E2487="","",IF(E2487&lt;=3,6,IF(E2487&lt;=6,5,IF(E2487&lt;=9,4,IF(E2487&lt;=12,3,IF(E2487&lt;=15,2,0))))))</f>
        <v/>
      </c>
      <c r="G2487" s="5" t="n"/>
      <c r="H2487" s="4">
        <f>IF(OR(F2487="",G2487=""),"",F2487*G2487+IF(J2487="",0,J2487))</f>
        <v/>
      </c>
      <c r="I2487" s="5" t="n"/>
      <c r="J2487" s="5" t="n"/>
    </row>
    <row r="2488">
      <c r="A2488" s="5" t="n"/>
      <c r="B2488" s="5" t="n"/>
      <c r="C2488" s="5" t="n"/>
      <c r="D2488" s="5" t="n"/>
      <c r="E2488" s="4">
        <f>IF(C2488="","",COUNTIF($C$7:C2488,C2488))</f>
        <v/>
      </c>
      <c r="F2488" s="4">
        <f>IF(E2488="","",IF(E2488&lt;=3,6,IF(E2488&lt;=6,5,IF(E2488&lt;=9,4,IF(E2488&lt;=12,3,IF(E2488&lt;=15,2,0))))))</f>
        <v/>
      </c>
      <c r="G2488" s="5" t="n"/>
      <c r="H2488" s="4">
        <f>IF(OR(F2488="",G2488=""),"",F2488*G2488+IF(J2488="",0,J2488))</f>
        <v/>
      </c>
      <c r="I2488" s="5" t="n"/>
      <c r="J2488" s="5" t="n"/>
    </row>
    <row r="2489">
      <c r="A2489" s="5" t="n"/>
      <c r="B2489" s="5" t="n"/>
      <c r="C2489" s="5" t="n"/>
      <c r="D2489" s="5" t="n"/>
      <c r="E2489" s="4">
        <f>IF(C2489="","",COUNTIF($C$7:C2489,C2489))</f>
        <v/>
      </c>
      <c r="F2489" s="4">
        <f>IF(E2489="","",IF(E2489&lt;=3,6,IF(E2489&lt;=6,5,IF(E2489&lt;=9,4,IF(E2489&lt;=12,3,IF(E2489&lt;=15,2,0))))))</f>
        <v/>
      </c>
      <c r="G2489" s="5" t="n"/>
      <c r="H2489" s="4">
        <f>IF(OR(F2489="",G2489=""),"",F2489*G2489+IF(J2489="",0,J2489))</f>
        <v/>
      </c>
      <c r="I2489" s="5" t="n"/>
      <c r="J2489" s="5" t="n"/>
    </row>
    <row r="2490">
      <c r="A2490" s="5" t="n"/>
      <c r="B2490" s="5" t="n"/>
      <c r="C2490" s="5" t="n"/>
      <c r="D2490" s="5" t="n"/>
      <c r="E2490" s="4">
        <f>IF(C2490="","",COUNTIF($C$7:C2490,C2490))</f>
        <v/>
      </c>
      <c r="F2490" s="4">
        <f>IF(E2490="","",IF(E2490&lt;=3,6,IF(E2490&lt;=6,5,IF(E2490&lt;=9,4,IF(E2490&lt;=12,3,IF(E2490&lt;=15,2,0))))))</f>
        <v/>
      </c>
      <c r="G2490" s="5" t="n"/>
      <c r="H2490" s="4">
        <f>IF(OR(F2490="",G2490=""),"",F2490*G2490+IF(J2490="",0,J2490))</f>
        <v/>
      </c>
      <c r="I2490" s="5" t="n"/>
      <c r="J2490" s="5" t="n"/>
    </row>
    <row r="2491">
      <c r="A2491" s="5" t="n"/>
      <c r="B2491" s="5" t="n"/>
      <c r="C2491" s="5" t="n"/>
      <c r="D2491" s="5" t="n"/>
      <c r="E2491" s="4">
        <f>IF(C2491="","",COUNTIF($C$7:C2491,C2491))</f>
        <v/>
      </c>
      <c r="F2491" s="4">
        <f>IF(E2491="","",IF(E2491&lt;=3,6,IF(E2491&lt;=6,5,IF(E2491&lt;=9,4,IF(E2491&lt;=12,3,IF(E2491&lt;=15,2,0))))))</f>
        <v/>
      </c>
      <c r="G2491" s="5" t="n"/>
      <c r="H2491" s="4">
        <f>IF(OR(F2491="",G2491=""),"",F2491*G2491+IF(J2491="",0,J2491))</f>
        <v/>
      </c>
      <c r="I2491" s="5" t="n"/>
      <c r="J2491" s="5" t="n"/>
    </row>
    <row r="2492">
      <c r="A2492" s="5" t="n"/>
      <c r="B2492" s="5" t="n"/>
      <c r="C2492" s="5" t="n"/>
      <c r="D2492" s="5" t="n"/>
      <c r="E2492" s="4">
        <f>IF(C2492="","",COUNTIF($C$7:C2492,C2492))</f>
        <v/>
      </c>
      <c r="F2492" s="4">
        <f>IF(E2492="","",IF(E2492&lt;=3,6,IF(E2492&lt;=6,5,IF(E2492&lt;=9,4,IF(E2492&lt;=12,3,IF(E2492&lt;=15,2,0))))))</f>
        <v/>
      </c>
      <c r="G2492" s="5" t="n"/>
      <c r="H2492" s="4">
        <f>IF(OR(F2492="",G2492=""),"",F2492*G2492+IF(J2492="",0,J2492))</f>
        <v/>
      </c>
      <c r="I2492" s="5" t="n"/>
      <c r="J2492" s="5" t="n"/>
    </row>
    <row r="2493">
      <c r="A2493" s="5" t="n"/>
      <c r="B2493" s="5" t="n"/>
      <c r="C2493" s="5" t="n"/>
      <c r="D2493" s="5" t="n"/>
      <c r="E2493" s="4">
        <f>IF(C2493="","",COUNTIF($C$7:C2493,C2493))</f>
        <v/>
      </c>
      <c r="F2493" s="4">
        <f>IF(E2493="","",IF(E2493&lt;=3,6,IF(E2493&lt;=6,5,IF(E2493&lt;=9,4,IF(E2493&lt;=12,3,IF(E2493&lt;=15,2,0))))))</f>
        <v/>
      </c>
      <c r="G2493" s="5" t="n"/>
      <c r="H2493" s="4">
        <f>IF(OR(F2493="",G2493=""),"",F2493*G2493+IF(J2493="",0,J2493))</f>
        <v/>
      </c>
      <c r="I2493" s="5" t="n"/>
      <c r="J2493" s="5" t="n"/>
    </row>
    <row r="2494">
      <c r="A2494" s="5" t="n"/>
      <c r="B2494" s="5" t="n"/>
      <c r="C2494" s="5" t="n"/>
      <c r="D2494" s="5" t="n"/>
      <c r="E2494" s="4">
        <f>IF(C2494="","",COUNTIF($C$7:C2494,C2494))</f>
        <v/>
      </c>
      <c r="F2494" s="4">
        <f>IF(E2494="","",IF(E2494&lt;=3,6,IF(E2494&lt;=6,5,IF(E2494&lt;=9,4,IF(E2494&lt;=12,3,IF(E2494&lt;=15,2,0))))))</f>
        <v/>
      </c>
      <c r="G2494" s="5" t="n"/>
      <c r="H2494" s="4">
        <f>IF(OR(F2494="",G2494=""),"",F2494*G2494+IF(J2494="",0,J2494))</f>
        <v/>
      </c>
      <c r="I2494" s="5" t="n"/>
      <c r="J2494" s="5" t="n"/>
    </row>
    <row r="2495">
      <c r="A2495" s="5" t="n"/>
      <c r="B2495" s="5" t="n"/>
      <c r="C2495" s="5" t="n"/>
      <c r="D2495" s="5" t="n"/>
      <c r="E2495" s="4">
        <f>IF(C2495="","",COUNTIF($C$7:C2495,C2495))</f>
        <v/>
      </c>
      <c r="F2495" s="4">
        <f>IF(E2495="","",IF(E2495&lt;=3,6,IF(E2495&lt;=6,5,IF(E2495&lt;=9,4,IF(E2495&lt;=12,3,IF(E2495&lt;=15,2,0))))))</f>
        <v/>
      </c>
      <c r="G2495" s="5" t="n"/>
      <c r="H2495" s="4">
        <f>IF(OR(F2495="",G2495=""),"",F2495*G2495+IF(J2495="",0,J2495))</f>
        <v/>
      </c>
      <c r="I2495" s="5" t="n"/>
      <c r="J2495" s="5" t="n"/>
    </row>
    <row r="2496">
      <c r="A2496" s="5" t="n"/>
      <c r="B2496" s="5" t="n"/>
      <c r="C2496" s="5" t="n"/>
      <c r="D2496" s="5" t="n"/>
      <c r="E2496" s="4">
        <f>IF(C2496="","",COUNTIF($C$7:C2496,C2496))</f>
        <v/>
      </c>
      <c r="F2496" s="4">
        <f>IF(E2496="","",IF(E2496&lt;=3,6,IF(E2496&lt;=6,5,IF(E2496&lt;=9,4,IF(E2496&lt;=12,3,IF(E2496&lt;=15,2,0))))))</f>
        <v/>
      </c>
      <c r="G2496" s="5" t="n"/>
      <c r="H2496" s="4">
        <f>IF(OR(F2496="",G2496=""),"",F2496*G2496+IF(J2496="",0,J2496))</f>
        <v/>
      </c>
      <c r="I2496" s="5" t="n"/>
      <c r="J2496" s="5" t="n"/>
    </row>
    <row r="2497">
      <c r="A2497" s="5" t="n"/>
      <c r="B2497" s="5" t="n"/>
      <c r="C2497" s="5" t="n"/>
      <c r="D2497" s="5" t="n"/>
      <c r="E2497" s="4">
        <f>IF(C2497="","",COUNTIF($C$7:C2497,C2497))</f>
        <v/>
      </c>
      <c r="F2497" s="4">
        <f>IF(E2497="","",IF(E2497&lt;=3,6,IF(E2497&lt;=6,5,IF(E2497&lt;=9,4,IF(E2497&lt;=12,3,IF(E2497&lt;=15,2,0))))))</f>
        <v/>
      </c>
      <c r="G2497" s="5" t="n"/>
      <c r="H2497" s="4">
        <f>IF(OR(F2497="",G2497=""),"",F2497*G2497+IF(J2497="",0,J2497))</f>
        <v/>
      </c>
      <c r="I2497" s="5" t="n"/>
      <c r="J2497" s="5" t="n"/>
    </row>
    <row r="2498">
      <c r="A2498" s="5" t="n"/>
      <c r="B2498" s="5" t="n"/>
      <c r="C2498" s="5" t="n"/>
      <c r="D2498" s="5" t="n"/>
      <c r="E2498" s="4">
        <f>IF(C2498="","",COUNTIF($C$7:C2498,C2498))</f>
        <v/>
      </c>
      <c r="F2498" s="4">
        <f>IF(E2498="","",IF(E2498&lt;=3,6,IF(E2498&lt;=6,5,IF(E2498&lt;=9,4,IF(E2498&lt;=12,3,IF(E2498&lt;=15,2,0))))))</f>
        <v/>
      </c>
      <c r="G2498" s="5" t="n"/>
      <c r="H2498" s="4">
        <f>IF(OR(F2498="",G2498=""),"",F2498*G2498+IF(J2498="",0,J2498))</f>
        <v/>
      </c>
      <c r="I2498" s="5" t="n"/>
      <c r="J2498" s="5" t="n"/>
    </row>
    <row r="2499">
      <c r="A2499" s="5" t="n"/>
      <c r="B2499" s="5" t="n"/>
      <c r="C2499" s="5" t="n"/>
      <c r="D2499" s="5" t="n"/>
      <c r="E2499" s="4">
        <f>IF(C2499="","",COUNTIF($C$7:C2499,C2499))</f>
        <v/>
      </c>
      <c r="F2499" s="4">
        <f>IF(E2499="","",IF(E2499&lt;=3,6,IF(E2499&lt;=6,5,IF(E2499&lt;=9,4,IF(E2499&lt;=12,3,IF(E2499&lt;=15,2,0))))))</f>
        <v/>
      </c>
      <c r="G2499" s="5" t="n"/>
      <c r="H2499" s="4">
        <f>IF(OR(F2499="",G2499=""),"",F2499*G2499+IF(J2499="",0,J2499))</f>
        <v/>
      </c>
      <c r="I2499" s="5" t="n"/>
      <c r="J2499" s="5" t="n"/>
    </row>
    <row r="2500">
      <c r="A2500" s="5" t="n"/>
      <c r="B2500" s="5" t="n"/>
      <c r="C2500" s="5" t="n"/>
      <c r="D2500" s="5" t="n"/>
      <c r="E2500" s="4">
        <f>IF(C2500="","",COUNTIF($C$7:C2500,C2500))</f>
        <v/>
      </c>
      <c r="F2500" s="4">
        <f>IF(E2500="","",IF(E2500&lt;=3,6,IF(E2500&lt;=6,5,IF(E2500&lt;=9,4,IF(E2500&lt;=12,3,IF(E2500&lt;=15,2,0))))))</f>
        <v/>
      </c>
      <c r="G2500" s="5" t="n"/>
      <c r="H2500" s="4">
        <f>IF(OR(F2500="",G2500=""),"",F2500*G2500+IF(J2500="",0,J2500))</f>
        <v/>
      </c>
      <c r="I2500" s="5" t="n"/>
      <c r="J2500" s="5" t="n"/>
    </row>
    <row r="2501">
      <c r="A2501" s="5" t="n"/>
      <c r="B2501" s="5" t="n"/>
      <c r="C2501" s="5" t="n"/>
      <c r="D2501" s="5" t="n"/>
      <c r="E2501" s="4">
        <f>IF(C2501="","",COUNTIF($C$7:C2501,C2501))</f>
        <v/>
      </c>
      <c r="F2501" s="4">
        <f>IF(E2501="","",IF(E2501&lt;=3,6,IF(E2501&lt;=6,5,IF(E2501&lt;=9,4,IF(E2501&lt;=12,3,IF(E2501&lt;=15,2,0))))))</f>
        <v/>
      </c>
      <c r="G2501" s="5" t="n"/>
      <c r="H2501" s="4">
        <f>IF(OR(F2501="",G2501=""),"",F2501*G2501+IF(J2501="",0,J2501))</f>
        <v/>
      </c>
      <c r="I2501" s="5" t="n"/>
      <c r="J2501" s="5" t="n"/>
    </row>
    <row r="2502">
      <c r="A2502" s="5" t="n"/>
      <c r="B2502" s="5" t="n"/>
      <c r="C2502" s="5" t="n"/>
      <c r="D2502" s="5" t="n"/>
      <c r="E2502" s="4">
        <f>IF(C2502="","",COUNTIF($C$7:C2502,C2502))</f>
        <v/>
      </c>
      <c r="F2502" s="4">
        <f>IF(E2502="","",IF(E2502&lt;=3,6,IF(E2502&lt;=6,5,IF(E2502&lt;=9,4,IF(E2502&lt;=12,3,IF(E2502&lt;=15,2,0))))))</f>
        <v/>
      </c>
      <c r="G2502" s="5" t="n"/>
      <c r="H2502" s="4">
        <f>IF(OR(F2502="",G2502=""),"",F2502*G2502+IF(J2502="",0,J2502))</f>
        <v/>
      </c>
      <c r="I2502" s="5" t="n"/>
      <c r="J2502" s="5" t="n"/>
    </row>
    <row r="2503">
      <c r="A2503" s="5" t="n"/>
      <c r="B2503" s="5" t="n"/>
      <c r="C2503" s="5" t="n"/>
      <c r="D2503" s="5" t="n"/>
      <c r="E2503" s="4">
        <f>IF(C2503="","",COUNTIF($C$7:C2503,C2503))</f>
        <v/>
      </c>
      <c r="F2503" s="4">
        <f>IF(E2503="","",IF(E2503&lt;=3,6,IF(E2503&lt;=6,5,IF(E2503&lt;=9,4,IF(E2503&lt;=12,3,IF(E2503&lt;=15,2,0))))))</f>
        <v/>
      </c>
      <c r="G2503" s="5" t="n"/>
      <c r="H2503" s="4">
        <f>IF(OR(F2503="",G2503=""),"",F2503*G2503+IF(J2503="",0,J2503))</f>
        <v/>
      </c>
      <c r="I2503" s="5" t="n"/>
      <c r="J2503" s="5" t="n"/>
    </row>
    <row r="2504">
      <c r="A2504" s="5" t="n"/>
      <c r="B2504" s="5" t="n"/>
      <c r="C2504" s="5" t="n"/>
      <c r="D2504" s="5" t="n"/>
      <c r="E2504" s="4">
        <f>IF(C2504="","",COUNTIF($C$7:C2504,C2504))</f>
        <v/>
      </c>
      <c r="F2504" s="4">
        <f>IF(E2504="","",IF(E2504&lt;=3,6,IF(E2504&lt;=6,5,IF(E2504&lt;=9,4,IF(E2504&lt;=12,3,IF(E2504&lt;=15,2,0))))))</f>
        <v/>
      </c>
      <c r="G2504" s="5" t="n"/>
      <c r="H2504" s="4">
        <f>IF(OR(F2504="",G2504=""),"",F2504*G2504+IF(J2504="",0,J2504))</f>
        <v/>
      </c>
      <c r="I2504" s="5" t="n"/>
      <c r="J2504" s="5" t="n"/>
    </row>
    <row r="2505">
      <c r="A2505" s="5" t="n"/>
      <c r="B2505" s="5" t="n"/>
      <c r="C2505" s="5" t="n"/>
      <c r="D2505" s="5" t="n"/>
      <c r="E2505" s="4">
        <f>IF(C2505="","",COUNTIF($C$7:C2505,C2505))</f>
        <v/>
      </c>
      <c r="F2505" s="4">
        <f>IF(E2505="","",IF(E2505&lt;=3,6,IF(E2505&lt;=6,5,IF(E2505&lt;=9,4,IF(E2505&lt;=12,3,IF(E2505&lt;=15,2,0))))))</f>
        <v/>
      </c>
      <c r="G2505" s="5" t="n"/>
      <c r="H2505" s="4">
        <f>IF(OR(F2505="",G2505=""),"",F2505*G2505+IF(J2505="",0,J2505))</f>
        <v/>
      </c>
      <c r="I2505" s="5" t="n"/>
      <c r="J2505" s="5" t="n"/>
    </row>
    <row r="2506">
      <c r="A2506" s="5" t="n"/>
      <c r="B2506" s="5" t="n"/>
      <c r="C2506" s="5" t="n"/>
      <c r="D2506" s="5" t="n"/>
      <c r="E2506" s="4">
        <f>IF(C2506="","",COUNTIF($C$7:C2506,C2506))</f>
        <v/>
      </c>
      <c r="F2506" s="4">
        <f>IF(E2506="","",IF(E2506&lt;=3,6,IF(E2506&lt;=6,5,IF(E2506&lt;=9,4,IF(E2506&lt;=12,3,IF(E2506&lt;=15,2,0))))))</f>
        <v/>
      </c>
      <c r="G2506" s="5" t="n"/>
      <c r="H2506" s="4">
        <f>IF(OR(F2506="",G2506=""),"",F2506*G2506+IF(J2506="",0,J2506))</f>
        <v/>
      </c>
      <c r="I2506" s="5" t="n"/>
      <c r="J2506" s="5" t="n"/>
    </row>
    <row r="2507">
      <c r="A2507" s="5" t="n"/>
      <c r="B2507" s="5" t="n"/>
      <c r="C2507" s="5" t="n"/>
      <c r="D2507" s="5" t="n"/>
      <c r="E2507" s="4">
        <f>IF(C2507="","",COUNTIF($C$7:C2507,C2507))</f>
        <v/>
      </c>
      <c r="F2507" s="4">
        <f>IF(E2507="","",IF(E2507&lt;=3,6,IF(E2507&lt;=6,5,IF(E2507&lt;=9,4,IF(E2507&lt;=12,3,IF(E2507&lt;=15,2,0))))))</f>
        <v/>
      </c>
      <c r="G2507" s="5" t="n"/>
      <c r="H2507" s="4">
        <f>IF(OR(F2507="",G2507=""),"",F2507*G2507+IF(J2507="",0,J2507))</f>
        <v/>
      </c>
      <c r="I2507" s="5" t="n"/>
      <c r="J2507" s="5" t="n"/>
    </row>
    <row r="2508">
      <c r="A2508" s="5" t="n"/>
      <c r="B2508" s="5" t="n"/>
      <c r="C2508" s="5" t="n"/>
      <c r="D2508" s="5" t="n"/>
      <c r="E2508" s="4">
        <f>IF(C2508="","",COUNTIF($C$7:C2508,C2508))</f>
        <v/>
      </c>
      <c r="F2508" s="4">
        <f>IF(E2508="","",IF(E2508&lt;=3,6,IF(E2508&lt;=6,5,IF(E2508&lt;=9,4,IF(E2508&lt;=12,3,IF(E2508&lt;=15,2,0))))))</f>
        <v/>
      </c>
      <c r="G2508" s="5" t="n"/>
      <c r="H2508" s="4">
        <f>IF(OR(F2508="",G2508=""),"",F2508*G2508+IF(J2508="",0,J2508))</f>
        <v/>
      </c>
      <c r="I2508" s="5" t="n"/>
      <c r="J2508" s="5" t="n"/>
    </row>
    <row r="2509">
      <c r="A2509" s="5" t="n"/>
      <c r="B2509" s="5" t="n"/>
      <c r="C2509" s="5" t="n"/>
      <c r="D2509" s="5" t="n"/>
      <c r="E2509" s="4">
        <f>IF(C2509="","",COUNTIF($C$7:C2509,C2509))</f>
        <v/>
      </c>
      <c r="F2509" s="4">
        <f>IF(E2509="","",IF(E2509&lt;=3,6,IF(E2509&lt;=6,5,IF(E2509&lt;=9,4,IF(E2509&lt;=12,3,IF(E2509&lt;=15,2,0))))))</f>
        <v/>
      </c>
      <c r="G2509" s="5" t="n"/>
      <c r="H2509" s="4">
        <f>IF(OR(F2509="",G2509=""),"",F2509*G2509+IF(J2509="",0,J2509))</f>
        <v/>
      </c>
      <c r="I2509" s="5" t="n"/>
      <c r="J2509" s="5" t="n"/>
    </row>
    <row r="2510">
      <c r="A2510" s="5" t="n"/>
      <c r="B2510" s="5" t="n"/>
      <c r="C2510" s="5" t="n"/>
      <c r="D2510" s="5" t="n"/>
      <c r="E2510" s="4">
        <f>IF(C2510="","",COUNTIF($C$7:C2510,C2510))</f>
        <v/>
      </c>
      <c r="F2510" s="4">
        <f>IF(E2510="","",IF(E2510&lt;=3,6,IF(E2510&lt;=6,5,IF(E2510&lt;=9,4,IF(E2510&lt;=12,3,IF(E2510&lt;=15,2,0))))))</f>
        <v/>
      </c>
      <c r="G2510" s="5" t="n"/>
      <c r="H2510" s="4">
        <f>IF(OR(F2510="",G2510=""),"",F2510*G2510+IF(J2510="",0,J2510))</f>
        <v/>
      </c>
      <c r="I2510" s="5" t="n"/>
      <c r="J2510" s="5" t="n"/>
    </row>
    <row r="2511">
      <c r="A2511" s="5" t="n"/>
      <c r="B2511" s="5" t="n"/>
      <c r="C2511" s="5" t="n"/>
      <c r="D2511" s="5" t="n"/>
      <c r="E2511" s="4">
        <f>IF(C2511="","",COUNTIF($C$7:C2511,C2511))</f>
        <v/>
      </c>
      <c r="F2511" s="4">
        <f>IF(E2511="","",IF(E2511&lt;=3,6,IF(E2511&lt;=6,5,IF(E2511&lt;=9,4,IF(E2511&lt;=12,3,IF(E2511&lt;=15,2,0))))))</f>
        <v/>
      </c>
      <c r="G2511" s="5" t="n"/>
      <c r="H2511" s="4">
        <f>IF(OR(F2511="",G2511=""),"",F2511*G2511+IF(J2511="",0,J2511))</f>
        <v/>
      </c>
      <c r="I2511" s="5" t="n"/>
      <c r="J2511" s="5" t="n"/>
    </row>
    <row r="2512">
      <c r="A2512" s="5" t="n"/>
      <c r="B2512" s="5" t="n"/>
      <c r="C2512" s="5" t="n"/>
      <c r="D2512" s="5" t="n"/>
      <c r="E2512" s="4">
        <f>IF(C2512="","",COUNTIF($C$7:C2512,C2512))</f>
        <v/>
      </c>
      <c r="F2512" s="4">
        <f>IF(E2512="","",IF(E2512&lt;=3,6,IF(E2512&lt;=6,5,IF(E2512&lt;=9,4,IF(E2512&lt;=12,3,IF(E2512&lt;=15,2,0))))))</f>
        <v/>
      </c>
      <c r="G2512" s="5" t="n"/>
      <c r="H2512" s="4">
        <f>IF(OR(F2512="",G2512=""),"",F2512*G2512+IF(J2512="",0,J2512))</f>
        <v/>
      </c>
      <c r="I2512" s="5" t="n"/>
      <c r="J2512" s="5" t="n"/>
    </row>
    <row r="2513">
      <c r="A2513" s="5" t="n"/>
      <c r="B2513" s="5" t="n"/>
      <c r="C2513" s="5" t="n"/>
      <c r="D2513" s="5" t="n"/>
      <c r="E2513" s="4">
        <f>IF(C2513="","",COUNTIF($C$7:C2513,C2513))</f>
        <v/>
      </c>
      <c r="F2513" s="4">
        <f>IF(E2513="","",IF(E2513&lt;=3,6,IF(E2513&lt;=6,5,IF(E2513&lt;=9,4,IF(E2513&lt;=12,3,IF(E2513&lt;=15,2,0))))))</f>
        <v/>
      </c>
      <c r="G2513" s="5" t="n"/>
      <c r="H2513" s="4">
        <f>IF(OR(F2513="",G2513=""),"",F2513*G2513+IF(J2513="",0,J2513))</f>
        <v/>
      </c>
      <c r="I2513" s="5" t="n"/>
      <c r="J2513" s="5" t="n"/>
    </row>
    <row r="2514">
      <c r="A2514" s="5" t="n"/>
      <c r="B2514" s="5" t="n"/>
      <c r="C2514" s="5" t="n"/>
      <c r="D2514" s="5" t="n"/>
      <c r="E2514" s="4">
        <f>IF(C2514="","",COUNTIF($C$7:C2514,C2514))</f>
        <v/>
      </c>
      <c r="F2514" s="4">
        <f>IF(E2514="","",IF(E2514&lt;=3,6,IF(E2514&lt;=6,5,IF(E2514&lt;=9,4,IF(E2514&lt;=12,3,IF(E2514&lt;=15,2,0))))))</f>
        <v/>
      </c>
      <c r="G2514" s="5" t="n"/>
      <c r="H2514" s="4">
        <f>IF(OR(F2514="",G2514=""),"",F2514*G2514+IF(J2514="",0,J2514))</f>
        <v/>
      </c>
      <c r="I2514" s="5" t="n"/>
      <c r="J2514" s="5" t="n"/>
    </row>
    <row r="2515">
      <c r="A2515" s="5" t="n"/>
      <c r="B2515" s="5" t="n"/>
      <c r="C2515" s="5" t="n"/>
      <c r="D2515" s="5" t="n"/>
      <c r="E2515" s="4">
        <f>IF(C2515="","",COUNTIF($C$7:C2515,C2515))</f>
        <v/>
      </c>
      <c r="F2515" s="4">
        <f>IF(E2515="","",IF(E2515&lt;=3,6,IF(E2515&lt;=6,5,IF(E2515&lt;=9,4,IF(E2515&lt;=12,3,IF(E2515&lt;=15,2,0))))))</f>
        <v/>
      </c>
      <c r="G2515" s="5" t="n"/>
      <c r="H2515" s="4">
        <f>IF(OR(F2515="",G2515=""),"",F2515*G2515+IF(J2515="",0,J2515))</f>
        <v/>
      </c>
      <c r="I2515" s="5" t="n"/>
      <c r="J2515" s="5" t="n"/>
    </row>
    <row r="2516">
      <c r="A2516" s="5" t="n"/>
      <c r="B2516" s="5" t="n"/>
      <c r="C2516" s="5" t="n"/>
      <c r="D2516" s="5" t="n"/>
      <c r="E2516" s="4">
        <f>IF(C2516="","",COUNTIF($C$7:C2516,C2516))</f>
        <v/>
      </c>
      <c r="F2516" s="4">
        <f>IF(E2516="","",IF(E2516&lt;=3,6,IF(E2516&lt;=6,5,IF(E2516&lt;=9,4,IF(E2516&lt;=12,3,IF(E2516&lt;=15,2,0))))))</f>
        <v/>
      </c>
      <c r="G2516" s="5" t="n"/>
      <c r="H2516" s="4">
        <f>IF(OR(F2516="",G2516=""),"",F2516*G2516+IF(J2516="",0,J2516))</f>
        <v/>
      </c>
      <c r="I2516" s="5" t="n"/>
      <c r="J2516" s="5" t="n"/>
    </row>
    <row r="2517">
      <c r="A2517" s="5" t="n"/>
      <c r="B2517" s="5" t="n"/>
      <c r="C2517" s="5" t="n"/>
      <c r="D2517" s="5" t="n"/>
      <c r="E2517" s="4">
        <f>IF(C2517="","",COUNTIF($C$7:C2517,C2517))</f>
        <v/>
      </c>
      <c r="F2517" s="4">
        <f>IF(E2517="","",IF(E2517&lt;=3,6,IF(E2517&lt;=6,5,IF(E2517&lt;=9,4,IF(E2517&lt;=12,3,IF(E2517&lt;=15,2,0))))))</f>
        <v/>
      </c>
      <c r="G2517" s="5" t="n"/>
      <c r="H2517" s="4">
        <f>IF(OR(F2517="",G2517=""),"",F2517*G2517+IF(J2517="",0,J2517))</f>
        <v/>
      </c>
      <c r="I2517" s="5" t="n"/>
      <c r="J2517" s="5" t="n"/>
    </row>
    <row r="2518">
      <c r="A2518" s="5" t="n"/>
      <c r="B2518" s="5" t="n"/>
      <c r="C2518" s="5" t="n"/>
      <c r="D2518" s="5" t="n"/>
      <c r="E2518" s="4">
        <f>IF(C2518="","",COUNTIF($C$7:C2518,C2518))</f>
        <v/>
      </c>
      <c r="F2518" s="4">
        <f>IF(E2518="","",IF(E2518&lt;=3,6,IF(E2518&lt;=6,5,IF(E2518&lt;=9,4,IF(E2518&lt;=12,3,IF(E2518&lt;=15,2,0))))))</f>
        <v/>
      </c>
      <c r="G2518" s="5" t="n"/>
      <c r="H2518" s="4">
        <f>IF(OR(F2518="",G2518=""),"",F2518*G2518+IF(J2518="",0,J2518))</f>
        <v/>
      </c>
      <c r="I2518" s="5" t="n"/>
      <c r="J2518" s="5" t="n"/>
    </row>
    <row r="2519">
      <c r="A2519" s="5" t="n"/>
      <c r="B2519" s="5" t="n"/>
      <c r="C2519" s="5" t="n"/>
      <c r="D2519" s="5" t="n"/>
      <c r="E2519" s="4">
        <f>IF(C2519="","",COUNTIF($C$7:C2519,C2519))</f>
        <v/>
      </c>
      <c r="F2519" s="4">
        <f>IF(E2519="","",IF(E2519&lt;=3,6,IF(E2519&lt;=6,5,IF(E2519&lt;=9,4,IF(E2519&lt;=12,3,IF(E2519&lt;=15,2,0))))))</f>
        <v/>
      </c>
      <c r="G2519" s="5" t="n"/>
      <c r="H2519" s="4">
        <f>IF(OR(F2519="",G2519=""),"",F2519*G2519+IF(J2519="",0,J2519))</f>
        <v/>
      </c>
      <c r="I2519" s="5" t="n"/>
      <c r="J2519" s="5" t="n"/>
    </row>
    <row r="2520">
      <c r="A2520" s="5" t="n"/>
      <c r="B2520" s="5" t="n"/>
      <c r="C2520" s="5" t="n"/>
      <c r="D2520" s="5" t="n"/>
      <c r="E2520" s="4">
        <f>IF(C2520="","",COUNTIF($C$7:C2520,C2520))</f>
        <v/>
      </c>
      <c r="F2520" s="4">
        <f>IF(E2520="","",IF(E2520&lt;=3,6,IF(E2520&lt;=6,5,IF(E2520&lt;=9,4,IF(E2520&lt;=12,3,IF(E2520&lt;=15,2,0))))))</f>
        <v/>
      </c>
      <c r="G2520" s="5" t="n"/>
      <c r="H2520" s="4">
        <f>IF(OR(F2520="",G2520=""),"",F2520*G2520+IF(J2520="",0,J2520))</f>
        <v/>
      </c>
      <c r="I2520" s="5" t="n"/>
      <c r="J2520" s="5" t="n"/>
    </row>
    <row r="2521">
      <c r="A2521" s="5" t="n"/>
      <c r="B2521" s="5" t="n"/>
      <c r="C2521" s="5" t="n"/>
      <c r="D2521" s="5" t="n"/>
      <c r="E2521" s="4">
        <f>IF(C2521="","",COUNTIF($C$7:C2521,C2521))</f>
        <v/>
      </c>
      <c r="F2521" s="4">
        <f>IF(E2521="","",IF(E2521&lt;=3,6,IF(E2521&lt;=6,5,IF(E2521&lt;=9,4,IF(E2521&lt;=12,3,IF(E2521&lt;=15,2,0))))))</f>
        <v/>
      </c>
      <c r="G2521" s="5" t="n"/>
      <c r="H2521" s="4">
        <f>IF(OR(F2521="",G2521=""),"",F2521*G2521+IF(J2521="",0,J2521))</f>
        <v/>
      </c>
      <c r="I2521" s="5" t="n"/>
      <c r="J2521" s="5" t="n"/>
    </row>
    <row r="2522">
      <c r="A2522" s="5" t="n"/>
      <c r="B2522" s="5" t="n"/>
      <c r="C2522" s="5" t="n"/>
      <c r="D2522" s="5" t="n"/>
      <c r="E2522" s="4">
        <f>IF(C2522="","",COUNTIF($C$7:C2522,C2522))</f>
        <v/>
      </c>
      <c r="F2522" s="4">
        <f>IF(E2522="","",IF(E2522&lt;=3,6,IF(E2522&lt;=6,5,IF(E2522&lt;=9,4,IF(E2522&lt;=12,3,IF(E2522&lt;=15,2,0))))))</f>
        <v/>
      </c>
      <c r="G2522" s="5" t="n"/>
      <c r="H2522" s="4">
        <f>IF(OR(F2522="",G2522=""),"",F2522*G2522+IF(J2522="",0,J2522))</f>
        <v/>
      </c>
      <c r="I2522" s="5" t="n"/>
      <c r="J2522" s="5" t="n"/>
    </row>
    <row r="2523">
      <c r="A2523" s="5" t="n"/>
      <c r="B2523" s="5" t="n"/>
      <c r="C2523" s="5" t="n"/>
      <c r="D2523" s="5" t="n"/>
      <c r="E2523" s="4">
        <f>IF(C2523="","",COUNTIF($C$7:C2523,C2523))</f>
        <v/>
      </c>
      <c r="F2523" s="4">
        <f>IF(E2523="","",IF(E2523&lt;=3,6,IF(E2523&lt;=6,5,IF(E2523&lt;=9,4,IF(E2523&lt;=12,3,IF(E2523&lt;=15,2,0))))))</f>
        <v/>
      </c>
      <c r="G2523" s="5" t="n"/>
      <c r="H2523" s="4">
        <f>IF(OR(F2523="",G2523=""),"",F2523*G2523+IF(J2523="",0,J2523))</f>
        <v/>
      </c>
      <c r="I2523" s="5" t="n"/>
      <c r="J2523" s="5" t="n"/>
    </row>
    <row r="2524">
      <c r="A2524" s="5" t="n"/>
      <c r="B2524" s="5" t="n"/>
      <c r="C2524" s="5" t="n"/>
      <c r="D2524" s="5" t="n"/>
      <c r="E2524" s="4">
        <f>IF(C2524="","",COUNTIF($C$7:C2524,C2524))</f>
        <v/>
      </c>
      <c r="F2524" s="4">
        <f>IF(E2524="","",IF(E2524&lt;=3,6,IF(E2524&lt;=6,5,IF(E2524&lt;=9,4,IF(E2524&lt;=12,3,IF(E2524&lt;=15,2,0))))))</f>
        <v/>
      </c>
      <c r="G2524" s="5" t="n"/>
      <c r="H2524" s="4">
        <f>IF(OR(F2524="",G2524=""),"",F2524*G2524+IF(J2524="",0,J2524))</f>
        <v/>
      </c>
      <c r="I2524" s="5" t="n"/>
      <c r="J2524" s="5" t="n"/>
    </row>
    <row r="2525">
      <c r="A2525" s="5" t="n"/>
      <c r="B2525" s="5" t="n"/>
      <c r="C2525" s="5" t="n"/>
      <c r="D2525" s="5" t="n"/>
      <c r="E2525" s="4">
        <f>IF(C2525="","",COUNTIF($C$7:C2525,C2525))</f>
        <v/>
      </c>
      <c r="F2525" s="4">
        <f>IF(E2525="","",IF(E2525&lt;=3,6,IF(E2525&lt;=6,5,IF(E2525&lt;=9,4,IF(E2525&lt;=12,3,IF(E2525&lt;=15,2,0))))))</f>
        <v/>
      </c>
      <c r="G2525" s="5" t="n"/>
      <c r="H2525" s="4">
        <f>IF(OR(F2525="",G2525=""),"",F2525*G2525+IF(J2525="",0,J2525))</f>
        <v/>
      </c>
      <c r="I2525" s="5" t="n"/>
      <c r="J2525" s="5" t="n"/>
    </row>
    <row r="2526">
      <c r="A2526" s="5" t="n"/>
      <c r="B2526" s="5" t="n"/>
      <c r="C2526" s="5" t="n"/>
      <c r="D2526" s="5" t="n"/>
      <c r="E2526" s="4">
        <f>IF(C2526="","",COUNTIF($C$7:C2526,C2526))</f>
        <v/>
      </c>
      <c r="F2526" s="4">
        <f>IF(E2526="","",IF(E2526&lt;=3,6,IF(E2526&lt;=6,5,IF(E2526&lt;=9,4,IF(E2526&lt;=12,3,IF(E2526&lt;=15,2,0))))))</f>
        <v/>
      </c>
      <c r="G2526" s="5" t="n"/>
      <c r="H2526" s="4">
        <f>IF(OR(F2526="",G2526=""),"",F2526*G2526+IF(J2526="",0,J2526))</f>
        <v/>
      </c>
      <c r="I2526" s="5" t="n"/>
      <c r="J2526" s="5" t="n"/>
    </row>
    <row r="2527">
      <c r="A2527" s="5" t="n"/>
      <c r="B2527" s="5" t="n"/>
      <c r="C2527" s="5" t="n"/>
      <c r="D2527" s="5" t="n"/>
      <c r="E2527" s="4">
        <f>IF(C2527="","",COUNTIF($C$7:C2527,C2527))</f>
        <v/>
      </c>
      <c r="F2527" s="4">
        <f>IF(E2527="","",IF(E2527&lt;=3,6,IF(E2527&lt;=6,5,IF(E2527&lt;=9,4,IF(E2527&lt;=12,3,IF(E2527&lt;=15,2,0))))))</f>
        <v/>
      </c>
      <c r="G2527" s="5" t="n"/>
      <c r="H2527" s="4">
        <f>IF(OR(F2527="",G2527=""),"",F2527*G2527+IF(J2527="",0,J2527))</f>
        <v/>
      </c>
      <c r="I2527" s="5" t="n"/>
      <c r="J2527" s="5" t="n"/>
    </row>
    <row r="2528">
      <c r="A2528" s="5" t="n"/>
      <c r="B2528" s="5" t="n"/>
      <c r="C2528" s="5" t="n"/>
      <c r="D2528" s="5" t="n"/>
      <c r="E2528" s="4">
        <f>IF(C2528="","",COUNTIF($C$7:C2528,C2528))</f>
        <v/>
      </c>
      <c r="F2528" s="4">
        <f>IF(E2528="","",IF(E2528&lt;=3,6,IF(E2528&lt;=6,5,IF(E2528&lt;=9,4,IF(E2528&lt;=12,3,IF(E2528&lt;=15,2,0))))))</f>
        <v/>
      </c>
      <c r="G2528" s="5" t="n"/>
      <c r="H2528" s="4">
        <f>IF(OR(F2528="",G2528=""),"",F2528*G2528+IF(J2528="",0,J2528))</f>
        <v/>
      </c>
      <c r="I2528" s="5" t="n"/>
      <c r="J2528" s="5" t="n"/>
    </row>
    <row r="2529">
      <c r="A2529" s="5" t="n"/>
      <c r="B2529" s="5" t="n"/>
      <c r="C2529" s="5" t="n"/>
      <c r="D2529" s="5" t="n"/>
      <c r="E2529" s="4">
        <f>IF(C2529="","",COUNTIF($C$7:C2529,C2529))</f>
        <v/>
      </c>
      <c r="F2529" s="4">
        <f>IF(E2529="","",IF(E2529&lt;=3,6,IF(E2529&lt;=6,5,IF(E2529&lt;=9,4,IF(E2529&lt;=12,3,IF(E2529&lt;=15,2,0))))))</f>
        <v/>
      </c>
      <c r="G2529" s="5" t="n"/>
      <c r="H2529" s="4">
        <f>IF(OR(F2529="",G2529=""),"",F2529*G2529+IF(J2529="",0,J2529))</f>
        <v/>
      </c>
      <c r="I2529" s="5" t="n"/>
      <c r="J2529" s="5" t="n"/>
    </row>
    <row r="2530">
      <c r="A2530" s="5" t="n"/>
      <c r="B2530" s="5" t="n"/>
      <c r="C2530" s="5" t="n"/>
      <c r="D2530" s="5" t="n"/>
      <c r="E2530" s="4">
        <f>IF(C2530="","",COUNTIF($C$7:C2530,C2530))</f>
        <v/>
      </c>
      <c r="F2530" s="4">
        <f>IF(E2530="","",IF(E2530&lt;=3,6,IF(E2530&lt;=6,5,IF(E2530&lt;=9,4,IF(E2530&lt;=12,3,IF(E2530&lt;=15,2,0))))))</f>
        <v/>
      </c>
      <c r="G2530" s="5" t="n"/>
      <c r="H2530" s="4">
        <f>IF(OR(F2530="",G2530=""),"",F2530*G2530+IF(J2530="",0,J2530))</f>
        <v/>
      </c>
      <c r="I2530" s="5" t="n"/>
      <c r="J2530" s="5" t="n"/>
    </row>
    <row r="2531">
      <c r="A2531" s="5" t="n"/>
      <c r="B2531" s="5" t="n"/>
      <c r="C2531" s="5" t="n"/>
      <c r="D2531" s="5" t="n"/>
      <c r="E2531" s="4">
        <f>IF(C2531="","",COUNTIF($C$7:C2531,C2531))</f>
        <v/>
      </c>
      <c r="F2531" s="4">
        <f>IF(E2531="","",IF(E2531&lt;=3,6,IF(E2531&lt;=6,5,IF(E2531&lt;=9,4,IF(E2531&lt;=12,3,IF(E2531&lt;=15,2,0))))))</f>
        <v/>
      </c>
      <c r="G2531" s="5" t="n"/>
      <c r="H2531" s="4">
        <f>IF(OR(F2531="",G2531=""),"",F2531*G2531+IF(J2531="",0,J2531))</f>
        <v/>
      </c>
      <c r="I2531" s="5" t="n"/>
      <c r="J2531" s="5" t="n"/>
    </row>
    <row r="2532">
      <c r="A2532" s="5" t="n"/>
      <c r="B2532" s="5" t="n"/>
      <c r="C2532" s="5" t="n"/>
      <c r="D2532" s="5" t="n"/>
      <c r="E2532" s="4">
        <f>IF(C2532="","",COUNTIF($C$7:C2532,C2532))</f>
        <v/>
      </c>
      <c r="F2532" s="4">
        <f>IF(E2532="","",IF(E2532&lt;=3,6,IF(E2532&lt;=6,5,IF(E2532&lt;=9,4,IF(E2532&lt;=12,3,IF(E2532&lt;=15,2,0))))))</f>
        <v/>
      </c>
      <c r="G2532" s="5" t="n"/>
      <c r="H2532" s="4">
        <f>IF(OR(F2532="",G2532=""),"",F2532*G2532+IF(J2532="",0,J2532))</f>
        <v/>
      </c>
      <c r="I2532" s="5" t="n"/>
      <c r="J2532" s="5" t="n"/>
    </row>
    <row r="2533">
      <c r="A2533" s="5" t="n"/>
      <c r="B2533" s="5" t="n"/>
      <c r="C2533" s="5" t="n"/>
      <c r="D2533" s="5" t="n"/>
      <c r="E2533" s="4">
        <f>IF(C2533="","",COUNTIF($C$7:C2533,C2533))</f>
        <v/>
      </c>
      <c r="F2533" s="4">
        <f>IF(E2533="","",IF(E2533&lt;=3,6,IF(E2533&lt;=6,5,IF(E2533&lt;=9,4,IF(E2533&lt;=12,3,IF(E2533&lt;=15,2,0))))))</f>
        <v/>
      </c>
      <c r="G2533" s="5" t="n"/>
      <c r="H2533" s="4">
        <f>IF(OR(F2533="",G2533=""),"",F2533*G2533+IF(J2533="",0,J2533))</f>
        <v/>
      </c>
      <c r="I2533" s="5" t="n"/>
      <c r="J2533" s="5" t="n"/>
    </row>
    <row r="2534">
      <c r="A2534" s="5" t="n"/>
      <c r="B2534" s="5" t="n"/>
      <c r="C2534" s="5" t="n"/>
      <c r="D2534" s="5" t="n"/>
      <c r="E2534" s="4">
        <f>IF(C2534="","",COUNTIF($C$7:C2534,C2534))</f>
        <v/>
      </c>
      <c r="F2534" s="4">
        <f>IF(E2534="","",IF(E2534&lt;=3,6,IF(E2534&lt;=6,5,IF(E2534&lt;=9,4,IF(E2534&lt;=12,3,IF(E2534&lt;=15,2,0))))))</f>
        <v/>
      </c>
      <c r="G2534" s="5" t="n"/>
      <c r="H2534" s="4">
        <f>IF(OR(F2534="",G2534=""),"",F2534*G2534+IF(J2534="",0,J2534))</f>
        <v/>
      </c>
      <c r="I2534" s="5" t="n"/>
      <c r="J2534" s="5" t="n"/>
    </row>
    <row r="2535">
      <c r="A2535" s="5" t="n"/>
      <c r="B2535" s="5" t="n"/>
      <c r="C2535" s="5" t="n"/>
      <c r="D2535" s="5" t="n"/>
      <c r="E2535" s="4">
        <f>IF(C2535="","",COUNTIF($C$7:C2535,C2535))</f>
        <v/>
      </c>
      <c r="F2535" s="4">
        <f>IF(E2535="","",IF(E2535&lt;=3,6,IF(E2535&lt;=6,5,IF(E2535&lt;=9,4,IF(E2535&lt;=12,3,IF(E2535&lt;=15,2,0))))))</f>
        <v/>
      </c>
      <c r="G2535" s="5" t="n"/>
      <c r="H2535" s="4">
        <f>IF(OR(F2535="",G2535=""),"",F2535*G2535+IF(J2535="",0,J2535))</f>
        <v/>
      </c>
      <c r="I2535" s="5" t="n"/>
      <c r="J2535" s="5" t="n"/>
    </row>
    <row r="2536">
      <c r="A2536" s="5" t="n"/>
      <c r="B2536" s="5" t="n"/>
      <c r="C2536" s="5" t="n"/>
      <c r="D2536" s="5" t="n"/>
      <c r="E2536" s="4">
        <f>IF(C2536="","",COUNTIF($C$7:C2536,C2536))</f>
        <v/>
      </c>
      <c r="F2536" s="4">
        <f>IF(E2536="","",IF(E2536&lt;=3,6,IF(E2536&lt;=6,5,IF(E2536&lt;=9,4,IF(E2536&lt;=12,3,IF(E2536&lt;=15,2,0))))))</f>
        <v/>
      </c>
      <c r="G2536" s="5" t="n"/>
      <c r="H2536" s="4">
        <f>IF(OR(F2536="",G2536=""),"",F2536*G2536+IF(J2536="",0,J2536))</f>
        <v/>
      </c>
      <c r="I2536" s="5" t="n"/>
      <c r="J2536" s="5" t="n"/>
    </row>
    <row r="2537">
      <c r="A2537" s="5" t="n"/>
      <c r="B2537" s="5" t="n"/>
      <c r="C2537" s="5" t="n"/>
      <c r="D2537" s="5" t="n"/>
      <c r="E2537" s="4">
        <f>IF(C2537="","",COUNTIF($C$7:C2537,C2537))</f>
        <v/>
      </c>
      <c r="F2537" s="4">
        <f>IF(E2537="","",IF(E2537&lt;=3,6,IF(E2537&lt;=6,5,IF(E2537&lt;=9,4,IF(E2537&lt;=12,3,IF(E2537&lt;=15,2,0))))))</f>
        <v/>
      </c>
      <c r="G2537" s="5" t="n"/>
      <c r="H2537" s="4">
        <f>IF(OR(F2537="",G2537=""),"",F2537*G2537+IF(J2537="",0,J2537))</f>
        <v/>
      </c>
      <c r="I2537" s="5" t="n"/>
      <c r="J2537" s="5" t="n"/>
    </row>
    <row r="2538">
      <c r="A2538" s="5" t="n"/>
      <c r="B2538" s="5" t="n"/>
      <c r="C2538" s="5" t="n"/>
      <c r="D2538" s="5" t="n"/>
      <c r="E2538" s="4">
        <f>IF(C2538="","",COUNTIF($C$7:C2538,C2538))</f>
        <v/>
      </c>
      <c r="F2538" s="4">
        <f>IF(E2538="","",IF(E2538&lt;=3,6,IF(E2538&lt;=6,5,IF(E2538&lt;=9,4,IF(E2538&lt;=12,3,IF(E2538&lt;=15,2,0))))))</f>
        <v/>
      </c>
      <c r="G2538" s="5" t="n"/>
      <c r="H2538" s="4">
        <f>IF(OR(F2538="",G2538=""),"",F2538*G2538+IF(J2538="",0,J2538))</f>
        <v/>
      </c>
      <c r="I2538" s="5" t="n"/>
      <c r="J2538" s="5" t="n"/>
    </row>
    <row r="2539">
      <c r="A2539" s="5" t="n"/>
      <c r="B2539" s="5" t="n"/>
      <c r="C2539" s="5" t="n"/>
      <c r="D2539" s="5" t="n"/>
      <c r="E2539" s="4">
        <f>IF(C2539="","",COUNTIF($C$7:C2539,C2539))</f>
        <v/>
      </c>
      <c r="F2539" s="4">
        <f>IF(E2539="","",IF(E2539&lt;=3,6,IF(E2539&lt;=6,5,IF(E2539&lt;=9,4,IF(E2539&lt;=12,3,IF(E2539&lt;=15,2,0))))))</f>
        <v/>
      </c>
      <c r="G2539" s="5" t="n"/>
      <c r="H2539" s="4">
        <f>IF(OR(F2539="",G2539=""),"",F2539*G2539+IF(J2539="",0,J2539))</f>
        <v/>
      </c>
      <c r="I2539" s="5" t="n"/>
      <c r="J2539" s="5" t="n"/>
    </row>
    <row r="2540">
      <c r="A2540" s="5" t="n"/>
      <c r="B2540" s="5" t="n"/>
      <c r="C2540" s="5" t="n"/>
      <c r="D2540" s="5" t="n"/>
      <c r="E2540" s="4">
        <f>IF(C2540="","",COUNTIF($C$7:C2540,C2540))</f>
        <v/>
      </c>
      <c r="F2540" s="4">
        <f>IF(E2540="","",IF(E2540&lt;=3,6,IF(E2540&lt;=6,5,IF(E2540&lt;=9,4,IF(E2540&lt;=12,3,IF(E2540&lt;=15,2,0))))))</f>
        <v/>
      </c>
      <c r="G2540" s="5" t="n"/>
      <c r="H2540" s="4">
        <f>IF(OR(F2540="",G2540=""),"",F2540*G2540+IF(J2540="",0,J2540))</f>
        <v/>
      </c>
      <c r="I2540" s="5" t="n"/>
      <c r="J2540" s="5" t="n"/>
    </row>
    <row r="2541">
      <c r="A2541" s="5" t="n"/>
      <c r="B2541" s="5" t="n"/>
      <c r="C2541" s="5" t="n"/>
      <c r="D2541" s="5" t="n"/>
      <c r="E2541" s="4">
        <f>IF(C2541="","",COUNTIF($C$7:C2541,C2541))</f>
        <v/>
      </c>
      <c r="F2541" s="4">
        <f>IF(E2541="","",IF(E2541&lt;=3,6,IF(E2541&lt;=6,5,IF(E2541&lt;=9,4,IF(E2541&lt;=12,3,IF(E2541&lt;=15,2,0))))))</f>
        <v/>
      </c>
      <c r="G2541" s="5" t="n"/>
      <c r="H2541" s="4">
        <f>IF(OR(F2541="",G2541=""),"",F2541*G2541+IF(J2541="",0,J2541))</f>
        <v/>
      </c>
      <c r="I2541" s="5" t="n"/>
      <c r="J2541" s="5" t="n"/>
    </row>
    <row r="2542">
      <c r="A2542" s="5" t="n"/>
      <c r="B2542" s="5" t="n"/>
      <c r="C2542" s="5" t="n"/>
      <c r="D2542" s="5" t="n"/>
      <c r="E2542" s="4">
        <f>IF(C2542="","",COUNTIF($C$7:C2542,C2542))</f>
        <v/>
      </c>
      <c r="F2542" s="4">
        <f>IF(E2542="","",IF(E2542&lt;=3,6,IF(E2542&lt;=6,5,IF(E2542&lt;=9,4,IF(E2542&lt;=12,3,IF(E2542&lt;=15,2,0))))))</f>
        <v/>
      </c>
      <c r="G2542" s="5" t="n"/>
      <c r="H2542" s="4">
        <f>IF(OR(F2542="",G2542=""),"",F2542*G2542+IF(J2542="",0,J2542))</f>
        <v/>
      </c>
      <c r="I2542" s="5" t="n"/>
      <c r="J2542" s="5" t="n"/>
    </row>
    <row r="2543">
      <c r="A2543" s="5" t="n"/>
      <c r="B2543" s="5" t="n"/>
      <c r="C2543" s="5" t="n"/>
      <c r="D2543" s="5" t="n"/>
      <c r="E2543" s="4">
        <f>IF(C2543="","",COUNTIF($C$7:C2543,C2543))</f>
        <v/>
      </c>
      <c r="F2543" s="4">
        <f>IF(E2543="","",IF(E2543&lt;=3,6,IF(E2543&lt;=6,5,IF(E2543&lt;=9,4,IF(E2543&lt;=12,3,IF(E2543&lt;=15,2,0))))))</f>
        <v/>
      </c>
      <c r="G2543" s="5" t="n"/>
      <c r="H2543" s="4">
        <f>IF(OR(F2543="",G2543=""),"",F2543*G2543+IF(J2543="",0,J2543))</f>
        <v/>
      </c>
      <c r="I2543" s="5" t="n"/>
      <c r="J2543" s="5" t="n"/>
    </row>
    <row r="2544">
      <c r="A2544" s="5" t="n"/>
      <c r="B2544" s="5" t="n"/>
      <c r="C2544" s="5" t="n"/>
      <c r="D2544" s="5" t="n"/>
      <c r="E2544" s="4">
        <f>IF(C2544="","",COUNTIF($C$7:C2544,C2544))</f>
        <v/>
      </c>
      <c r="F2544" s="4">
        <f>IF(E2544="","",IF(E2544&lt;=3,6,IF(E2544&lt;=6,5,IF(E2544&lt;=9,4,IF(E2544&lt;=12,3,IF(E2544&lt;=15,2,0))))))</f>
        <v/>
      </c>
      <c r="G2544" s="5" t="n"/>
      <c r="H2544" s="4">
        <f>IF(OR(F2544="",G2544=""),"",F2544*G2544+IF(J2544="",0,J2544))</f>
        <v/>
      </c>
      <c r="I2544" s="5" t="n"/>
      <c r="J2544" s="5" t="n"/>
    </row>
    <row r="2545">
      <c r="A2545" s="5" t="n"/>
      <c r="B2545" s="5" t="n"/>
      <c r="C2545" s="5" t="n"/>
      <c r="D2545" s="5" t="n"/>
      <c r="E2545" s="4">
        <f>IF(C2545="","",COUNTIF($C$7:C2545,C2545))</f>
        <v/>
      </c>
      <c r="F2545" s="4">
        <f>IF(E2545="","",IF(E2545&lt;=3,6,IF(E2545&lt;=6,5,IF(E2545&lt;=9,4,IF(E2545&lt;=12,3,IF(E2545&lt;=15,2,0))))))</f>
        <v/>
      </c>
      <c r="G2545" s="5" t="n"/>
      <c r="H2545" s="4">
        <f>IF(OR(F2545="",G2545=""),"",F2545*G2545+IF(J2545="",0,J2545))</f>
        <v/>
      </c>
      <c r="I2545" s="5" t="n"/>
      <c r="J2545" s="5" t="n"/>
    </row>
    <row r="2546">
      <c r="A2546" s="5" t="n"/>
      <c r="B2546" s="5" t="n"/>
      <c r="C2546" s="5" t="n"/>
      <c r="D2546" s="5" t="n"/>
      <c r="E2546" s="4">
        <f>IF(C2546="","",COUNTIF($C$7:C2546,C2546))</f>
        <v/>
      </c>
      <c r="F2546" s="4">
        <f>IF(E2546="","",IF(E2546&lt;=3,6,IF(E2546&lt;=6,5,IF(E2546&lt;=9,4,IF(E2546&lt;=12,3,IF(E2546&lt;=15,2,0))))))</f>
        <v/>
      </c>
      <c r="G2546" s="5" t="n"/>
      <c r="H2546" s="4">
        <f>IF(OR(F2546="",G2546=""),"",F2546*G2546+IF(J2546="",0,J2546))</f>
        <v/>
      </c>
      <c r="I2546" s="5" t="n"/>
      <c r="J2546" s="5" t="n"/>
    </row>
    <row r="2547">
      <c r="A2547" s="5" t="n"/>
      <c r="B2547" s="5" t="n"/>
      <c r="C2547" s="5" t="n"/>
      <c r="D2547" s="5" t="n"/>
      <c r="E2547" s="4">
        <f>IF(C2547="","",COUNTIF($C$7:C2547,C2547))</f>
        <v/>
      </c>
      <c r="F2547" s="4">
        <f>IF(E2547="","",IF(E2547&lt;=3,6,IF(E2547&lt;=6,5,IF(E2547&lt;=9,4,IF(E2547&lt;=12,3,IF(E2547&lt;=15,2,0))))))</f>
        <v/>
      </c>
      <c r="G2547" s="5" t="n"/>
      <c r="H2547" s="4">
        <f>IF(OR(F2547="",G2547=""),"",F2547*G2547+IF(J2547="",0,J2547))</f>
        <v/>
      </c>
      <c r="I2547" s="5" t="n"/>
      <c r="J2547" s="5" t="n"/>
    </row>
    <row r="2548">
      <c r="A2548" s="5" t="n"/>
      <c r="B2548" s="5" t="n"/>
      <c r="C2548" s="5" t="n"/>
      <c r="D2548" s="5" t="n"/>
      <c r="E2548" s="4">
        <f>IF(C2548="","",COUNTIF($C$7:C2548,C2548))</f>
        <v/>
      </c>
      <c r="F2548" s="4">
        <f>IF(E2548="","",IF(E2548&lt;=3,6,IF(E2548&lt;=6,5,IF(E2548&lt;=9,4,IF(E2548&lt;=12,3,IF(E2548&lt;=15,2,0))))))</f>
        <v/>
      </c>
      <c r="G2548" s="5" t="n"/>
      <c r="H2548" s="4">
        <f>IF(OR(F2548="",G2548=""),"",F2548*G2548+IF(J2548="",0,J2548))</f>
        <v/>
      </c>
      <c r="I2548" s="5" t="n"/>
      <c r="J2548" s="5" t="n"/>
    </row>
    <row r="2549">
      <c r="A2549" s="5" t="n"/>
      <c r="B2549" s="5" t="n"/>
      <c r="C2549" s="5" t="n"/>
      <c r="D2549" s="5" t="n"/>
      <c r="E2549" s="4">
        <f>IF(C2549="","",COUNTIF($C$7:C2549,C2549))</f>
        <v/>
      </c>
      <c r="F2549" s="4">
        <f>IF(E2549="","",IF(E2549&lt;=3,6,IF(E2549&lt;=6,5,IF(E2549&lt;=9,4,IF(E2549&lt;=12,3,IF(E2549&lt;=15,2,0))))))</f>
        <v/>
      </c>
      <c r="G2549" s="5" t="n"/>
      <c r="H2549" s="4">
        <f>IF(OR(F2549="",G2549=""),"",F2549*G2549+IF(J2549="",0,J2549))</f>
        <v/>
      </c>
      <c r="I2549" s="5" t="n"/>
      <c r="J2549" s="5" t="n"/>
    </row>
    <row r="2550">
      <c r="A2550" s="5" t="n"/>
      <c r="B2550" s="5" t="n"/>
      <c r="C2550" s="5" t="n"/>
      <c r="D2550" s="5" t="n"/>
      <c r="E2550" s="4">
        <f>IF(C2550="","",COUNTIF($C$7:C2550,C2550))</f>
        <v/>
      </c>
      <c r="F2550" s="4">
        <f>IF(E2550="","",IF(E2550&lt;=3,6,IF(E2550&lt;=6,5,IF(E2550&lt;=9,4,IF(E2550&lt;=12,3,IF(E2550&lt;=15,2,0))))))</f>
        <v/>
      </c>
      <c r="G2550" s="5" t="n"/>
      <c r="H2550" s="4">
        <f>IF(OR(F2550="",G2550=""),"",F2550*G2550+IF(J2550="",0,J2550))</f>
        <v/>
      </c>
      <c r="I2550" s="5" t="n"/>
      <c r="J2550" s="5" t="n"/>
    </row>
    <row r="2551">
      <c r="A2551" s="5" t="n"/>
      <c r="B2551" s="5" t="n"/>
      <c r="C2551" s="5" t="n"/>
      <c r="D2551" s="5" t="n"/>
      <c r="E2551" s="4">
        <f>IF(C2551="","",COUNTIF($C$7:C2551,C2551))</f>
        <v/>
      </c>
      <c r="F2551" s="4">
        <f>IF(E2551="","",IF(E2551&lt;=3,6,IF(E2551&lt;=6,5,IF(E2551&lt;=9,4,IF(E2551&lt;=12,3,IF(E2551&lt;=15,2,0))))))</f>
        <v/>
      </c>
      <c r="G2551" s="5" t="n"/>
      <c r="H2551" s="4">
        <f>IF(OR(F2551="",G2551=""),"",F2551*G2551+IF(J2551="",0,J2551))</f>
        <v/>
      </c>
      <c r="I2551" s="5" t="n"/>
      <c r="J2551" s="5" t="n"/>
    </row>
    <row r="2552">
      <c r="A2552" s="5" t="n"/>
      <c r="B2552" s="5" t="n"/>
      <c r="C2552" s="5" t="n"/>
      <c r="D2552" s="5" t="n"/>
      <c r="E2552" s="4">
        <f>IF(C2552="","",COUNTIF($C$7:C2552,C2552))</f>
        <v/>
      </c>
      <c r="F2552" s="4">
        <f>IF(E2552="","",IF(E2552&lt;=3,6,IF(E2552&lt;=6,5,IF(E2552&lt;=9,4,IF(E2552&lt;=12,3,IF(E2552&lt;=15,2,0))))))</f>
        <v/>
      </c>
      <c r="G2552" s="5" t="n"/>
      <c r="H2552" s="4">
        <f>IF(OR(F2552="",G2552=""),"",F2552*G2552+IF(J2552="",0,J2552))</f>
        <v/>
      </c>
      <c r="I2552" s="5" t="n"/>
      <c r="J2552" s="5" t="n"/>
    </row>
    <row r="2553">
      <c r="A2553" s="5" t="n"/>
      <c r="B2553" s="5" t="n"/>
      <c r="C2553" s="5" t="n"/>
      <c r="D2553" s="5" t="n"/>
      <c r="E2553" s="4">
        <f>IF(C2553="","",COUNTIF($C$7:C2553,C2553))</f>
        <v/>
      </c>
      <c r="F2553" s="4">
        <f>IF(E2553="","",IF(E2553&lt;=3,6,IF(E2553&lt;=6,5,IF(E2553&lt;=9,4,IF(E2553&lt;=12,3,IF(E2553&lt;=15,2,0))))))</f>
        <v/>
      </c>
      <c r="G2553" s="5" t="n"/>
      <c r="H2553" s="4">
        <f>IF(OR(F2553="",G2553=""),"",F2553*G2553+IF(J2553="",0,J2553))</f>
        <v/>
      </c>
      <c r="I2553" s="5" t="n"/>
      <c r="J2553" s="5" t="n"/>
    </row>
    <row r="2554">
      <c r="A2554" s="5" t="n"/>
      <c r="B2554" s="5" t="n"/>
      <c r="C2554" s="5" t="n"/>
      <c r="D2554" s="5" t="n"/>
      <c r="E2554" s="4">
        <f>IF(C2554="","",COUNTIF($C$7:C2554,C2554))</f>
        <v/>
      </c>
      <c r="F2554" s="4">
        <f>IF(E2554="","",IF(E2554&lt;=3,6,IF(E2554&lt;=6,5,IF(E2554&lt;=9,4,IF(E2554&lt;=12,3,IF(E2554&lt;=15,2,0))))))</f>
        <v/>
      </c>
      <c r="G2554" s="5" t="n"/>
      <c r="H2554" s="4">
        <f>IF(OR(F2554="",G2554=""),"",F2554*G2554+IF(J2554="",0,J2554))</f>
        <v/>
      </c>
      <c r="I2554" s="5" t="n"/>
      <c r="J2554" s="5" t="n"/>
    </row>
    <row r="2555">
      <c r="A2555" s="5" t="n"/>
      <c r="B2555" s="5" t="n"/>
      <c r="C2555" s="5" t="n"/>
      <c r="D2555" s="5" t="n"/>
      <c r="E2555" s="4">
        <f>IF(C2555="","",COUNTIF($C$7:C2555,C2555))</f>
        <v/>
      </c>
      <c r="F2555" s="4">
        <f>IF(E2555="","",IF(E2555&lt;=3,6,IF(E2555&lt;=6,5,IF(E2555&lt;=9,4,IF(E2555&lt;=12,3,IF(E2555&lt;=15,2,0))))))</f>
        <v/>
      </c>
      <c r="G2555" s="5" t="n"/>
      <c r="H2555" s="4">
        <f>IF(OR(F2555="",G2555=""),"",F2555*G2555+IF(J2555="",0,J2555))</f>
        <v/>
      </c>
      <c r="I2555" s="5" t="n"/>
      <c r="J2555" s="5" t="n"/>
    </row>
    <row r="2556">
      <c r="A2556" s="5" t="n"/>
      <c r="B2556" s="5" t="n"/>
      <c r="C2556" s="5" t="n"/>
      <c r="D2556" s="5" t="n"/>
      <c r="E2556" s="4">
        <f>IF(C2556="","",COUNTIF($C$7:C2556,C2556))</f>
        <v/>
      </c>
      <c r="F2556" s="4">
        <f>IF(E2556="","",IF(E2556&lt;=3,6,IF(E2556&lt;=6,5,IF(E2556&lt;=9,4,IF(E2556&lt;=12,3,IF(E2556&lt;=15,2,0))))))</f>
        <v/>
      </c>
      <c r="G2556" s="5" t="n"/>
      <c r="H2556" s="4">
        <f>IF(OR(F2556="",G2556=""),"",F2556*G2556+IF(J2556="",0,J2556))</f>
        <v/>
      </c>
      <c r="I2556" s="5" t="n"/>
      <c r="J2556" s="5" t="n"/>
    </row>
    <row r="2557">
      <c r="A2557" s="5" t="n"/>
      <c r="B2557" s="5" t="n"/>
      <c r="C2557" s="5" t="n"/>
      <c r="D2557" s="5" t="n"/>
      <c r="E2557" s="4">
        <f>IF(C2557="","",COUNTIF($C$7:C2557,C2557))</f>
        <v/>
      </c>
      <c r="F2557" s="4">
        <f>IF(E2557="","",IF(E2557&lt;=3,6,IF(E2557&lt;=6,5,IF(E2557&lt;=9,4,IF(E2557&lt;=12,3,IF(E2557&lt;=15,2,0))))))</f>
        <v/>
      </c>
      <c r="G2557" s="5" t="n"/>
      <c r="H2557" s="4">
        <f>IF(OR(F2557="",G2557=""),"",F2557*G2557+IF(J2557="",0,J2557))</f>
        <v/>
      </c>
      <c r="I2557" s="5" t="n"/>
      <c r="J2557" s="5" t="n"/>
    </row>
    <row r="2558">
      <c r="A2558" s="5" t="n"/>
      <c r="B2558" s="5" t="n"/>
      <c r="C2558" s="5" t="n"/>
      <c r="D2558" s="5" t="n"/>
      <c r="E2558" s="4">
        <f>IF(C2558="","",COUNTIF($C$7:C2558,C2558))</f>
        <v/>
      </c>
      <c r="F2558" s="4">
        <f>IF(E2558="","",IF(E2558&lt;=3,6,IF(E2558&lt;=6,5,IF(E2558&lt;=9,4,IF(E2558&lt;=12,3,IF(E2558&lt;=15,2,0))))))</f>
        <v/>
      </c>
      <c r="G2558" s="5" t="n"/>
      <c r="H2558" s="4">
        <f>IF(OR(F2558="",G2558=""),"",F2558*G2558+IF(J2558="",0,J2558))</f>
        <v/>
      </c>
      <c r="I2558" s="5" t="n"/>
      <c r="J2558" s="5" t="n"/>
    </row>
    <row r="2559">
      <c r="A2559" s="5" t="n"/>
      <c r="B2559" s="5" t="n"/>
      <c r="C2559" s="5" t="n"/>
      <c r="D2559" s="5" t="n"/>
      <c r="E2559" s="4">
        <f>IF(C2559="","",COUNTIF($C$7:C2559,C2559))</f>
        <v/>
      </c>
      <c r="F2559" s="4">
        <f>IF(E2559="","",IF(E2559&lt;=3,6,IF(E2559&lt;=6,5,IF(E2559&lt;=9,4,IF(E2559&lt;=12,3,IF(E2559&lt;=15,2,0))))))</f>
        <v/>
      </c>
      <c r="G2559" s="5" t="n"/>
      <c r="H2559" s="4">
        <f>IF(OR(F2559="",G2559=""),"",F2559*G2559+IF(J2559="",0,J2559))</f>
        <v/>
      </c>
      <c r="I2559" s="5" t="n"/>
      <c r="J2559" s="5" t="n"/>
    </row>
    <row r="2560">
      <c r="A2560" s="5" t="n"/>
      <c r="B2560" s="5" t="n"/>
      <c r="C2560" s="5" t="n"/>
      <c r="D2560" s="5" t="n"/>
      <c r="E2560" s="4">
        <f>IF(C2560="","",COUNTIF($C$7:C2560,C2560))</f>
        <v/>
      </c>
      <c r="F2560" s="4">
        <f>IF(E2560="","",IF(E2560&lt;=3,6,IF(E2560&lt;=6,5,IF(E2560&lt;=9,4,IF(E2560&lt;=12,3,IF(E2560&lt;=15,2,0))))))</f>
        <v/>
      </c>
      <c r="G2560" s="5" t="n"/>
      <c r="H2560" s="4">
        <f>IF(OR(F2560="",G2560=""),"",F2560*G2560+IF(J2560="",0,J2560))</f>
        <v/>
      </c>
      <c r="I2560" s="5" t="n"/>
      <c r="J2560" s="5" t="n"/>
    </row>
    <row r="2561">
      <c r="A2561" s="5" t="n"/>
      <c r="B2561" s="5" t="n"/>
      <c r="C2561" s="5" t="n"/>
      <c r="D2561" s="5" t="n"/>
      <c r="E2561" s="4">
        <f>IF(C2561="","",COUNTIF($C$7:C2561,C2561))</f>
        <v/>
      </c>
      <c r="F2561" s="4">
        <f>IF(E2561="","",IF(E2561&lt;=3,6,IF(E2561&lt;=6,5,IF(E2561&lt;=9,4,IF(E2561&lt;=12,3,IF(E2561&lt;=15,2,0))))))</f>
        <v/>
      </c>
      <c r="G2561" s="5" t="n"/>
      <c r="H2561" s="4">
        <f>IF(OR(F2561="",G2561=""),"",F2561*G2561+IF(J2561="",0,J2561))</f>
        <v/>
      </c>
      <c r="I2561" s="5" t="n"/>
      <c r="J2561" s="5" t="n"/>
    </row>
    <row r="2562">
      <c r="A2562" s="5" t="n"/>
      <c r="B2562" s="5" t="n"/>
      <c r="C2562" s="5" t="n"/>
      <c r="D2562" s="5" t="n"/>
      <c r="E2562" s="4">
        <f>IF(C2562="","",COUNTIF($C$7:C2562,C2562))</f>
        <v/>
      </c>
      <c r="F2562" s="4">
        <f>IF(E2562="","",IF(E2562&lt;=3,6,IF(E2562&lt;=6,5,IF(E2562&lt;=9,4,IF(E2562&lt;=12,3,IF(E2562&lt;=15,2,0))))))</f>
        <v/>
      </c>
      <c r="G2562" s="5" t="n"/>
      <c r="H2562" s="4">
        <f>IF(OR(F2562="",G2562=""),"",F2562*G2562+IF(J2562="",0,J2562))</f>
        <v/>
      </c>
      <c r="I2562" s="5" t="n"/>
      <c r="J2562" s="5" t="n"/>
    </row>
    <row r="2563">
      <c r="A2563" s="5" t="n"/>
      <c r="B2563" s="5" t="n"/>
      <c r="C2563" s="5" t="n"/>
      <c r="D2563" s="5" t="n"/>
      <c r="E2563" s="4">
        <f>IF(C2563="","",COUNTIF($C$7:C2563,C2563))</f>
        <v/>
      </c>
      <c r="F2563" s="4">
        <f>IF(E2563="","",IF(E2563&lt;=3,6,IF(E2563&lt;=6,5,IF(E2563&lt;=9,4,IF(E2563&lt;=12,3,IF(E2563&lt;=15,2,0))))))</f>
        <v/>
      </c>
      <c r="G2563" s="5" t="n"/>
      <c r="H2563" s="4">
        <f>IF(OR(F2563="",G2563=""),"",F2563*G2563+IF(J2563="",0,J2563))</f>
        <v/>
      </c>
      <c r="I2563" s="5" t="n"/>
      <c r="J2563" s="5" t="n"/>
    </row>
    <row r="2564">
      <c r="A2564" s="5" t="n"/>
      <c r="B2564" s="5" t="n"/>
      <c r="C2564" s="5" t="n"/>
      <c r="D2564" s="5" t="n"/>
      <c r="E2564" s="4">
        <f>IF(C2564="","",COUNTIF($C$7:C2564,C2564))</f>
        <v/>
      </c>
      <c r="F2564" s="4">
        <f>IF(E2564="","",IF(E2564&lt;=3,6,IF(E2564&lt;=6,5,IF(E2564&lt;=9,4,IF(E2564&lt;=12,3,IF(E2564&lt;=15,2,0))))))</f>
        <v/>
      </c>
      <c r="G2564" s="5" t="n"/>
      <c r="H2564" s="4">
        <f>IF(OR(F2564="",G2564=""),"",F2564*G2564+IF(J2564="",0,J2564))</f>
        <v/>
      </c>
      <c r="I2564" s="5" t="n"/>
      <c r="J2564" s="5" t="n"/>
    </row>
    <row r="2565">
      <c r="A2565" s="5" t="n"/>
      <c r="B2565" s="5" t="n"/>
      <c r="C2565" s="5" t="n"/>
      <c r="D2565" s="5" t="n"/>
      <c r="E2565" s="4">
        <f>IF(C2565="","",COUNTIF($C$7:C2565,C2565))</f>
        <v/>
      </c>
      <c r="F2565" s="4">
        <f>IF(E2565="","",IF(E2565&lt;=3,6,IF(E2565&lt;=6,5,IF(E2565&lt;=9,4,IF(E2565&lt;=12,3,IF(E2565&lt;=15,2,0))))))</f>
        <v/>
      </c>
      <c r="G2565" s="5" t="n"/>
      <c r="H2565" s="4">
        <f>IF(OR(F2565="",G2565=""),"",F2565*G2565+IF(J2565="",0,J2565))</f>
        <v/>
      </c>
      <c r="I2565" s="5" t="n"/>
      <c r="J2565" s="5" t="n"/>
    </row>
    <row r="2566">
      <c r="A2566" s="5" t="n"/>
      <c r="B2566" s="5" t="n"/>
      <c r="C2566" s="5" t="n"/>
      <c r="D2566" s="5" t="n"/>
      <c r="E2566" s="4">
        <f>IF(C2566="","",COUNTIF($C$7:C2566,C2566))</f>
        <v/>
      </c>
      <c r="F2566" s="4">
        <f>IF(E2566="","",IF(E2566&lt;=3,6,IF(E2566&lt;=6,5,IF(E2566&lt;=9,4,IF(E2566&lt;=12,3,IF(E2566&lt;=15,2,0))))))</f>
        <v/>
      </c>
      <c r="G2566" s="5" t="n"/>
      <c r="H2566" s="4">
        <f>IF(OR(F2566="",G2566=""),"",F2566*G2566+IF(J2566="",0,J2566))</f>
        <v/>
      </c>
      <c r="I2566" s="5" t="n"/>
      <c r="J2566" s="5" t="n"/>
    </row>
    <row r="2567">
      <c r="A2567" s="5" t="n"/>
      <c r="B2567" s="5" t="n"/>
      <c r="C2567" s="5" t="n"/>
      <c r="D2567" s="5" t="n"/>
      <c r="E2567" s="4">
        <f>IF(C2567="","",COUNTIF($C$7:C2567,C2567))</f>
        <v/>
      </c>
      <c r="F2567" s="4">
        <f>IF(E2567="","",IF(E2567&lt;=3,6,IF(E2567&lt;=6,5,IF(E2567&lt;=9,4,IF(E2567&lt;=12,3,IF(E2567&lt;=15,2,0))))))</f>
        <v/>
      </c>
      <c r="G2567" s="5" t="n"/>
      <c r="H2567" s="4">
        <f>IF(OR(F2567="",G2567=""),"",F2567*G2567+IF(J2567="",0,J2567))</f>
        <v/>
      </c>
      <c r="I2567" s="5" t="n"/>
      <c r="J2567" s="5" t="n"/>
    </row>
    <row r="2568">
      <c r="A2568" s="5" t="n"/>
      <c r="B2568" s="5" t="n"/>
      <c r="C2568" s="5" t="n"/>
      <c r="D2568" s="5" t="n"/>
      <c r="E2568" s="4">
        <f>IF(C2568="","",COUNTIF($C$7:C2568,C2568))</f>
        <v/>
      </c>
      <c r="F2568" s="4">
        <f>IF(E2568="","",IF(E2568&lt;=3,6,IF(E2568&lt;=6,5,IF(E2568&lt;=9,4,IF(E2568&lt;=12,3,IF(E2568&lt;=15,2,0))))))</f>
        <v/>
      </c>
      <c r="G2568" s="5" t="n"/>
      <c r="H2568" s="4">
        <f>IF(OR(F2568="",G2568=""),"",F2568*G2568+IF(J2568="",0,J2568))</f>
        <v/>
      </c>
      <c r="I2568" s="5" t="n"/>
      <c r="J2568" s="5" t="n"/>
    </row>
    <row r="2569">
      <c r="A2569" s="5" t="n"/>
      <c r="B2569" s="5" t="n"/>
      <c r="C2569" s="5" t="n"/>
      <c r="D2569" s="5" t="n"/>
      <c r="E2569" s="4">
        <f>IF(C2569="","",COUNTIF($C$7:C2569,C2569))</f>
        <v/>
      </c>
      <c r="F2569" s="4">
        <f>IF(E2569="","",IF(E2569&lt;=3,6,IF(E2569&lt;=6,5,IF(E2569&lt;=9,4,IF(E2569&lt;=12,3,IF(E2569&lt;=15,2,0))))))</f>
        <v/>
      </c>
      <c r="G2569" s="5" t="n"/>
      <c r="H2569" s="4">
        <f>IF(OR(F2569="",G2569=""),"",F2569*G2569+IF(J2569="",0,J2569))</f>
        <v/>
      </c>
      <c r="I2569" s="5" t="n"/>
      <c r="J2569" s="5" t="n"/>
    </row>
    <row r="2570">
      <c r="A2570" s="5" t="n"/>
      <c r="B2570" s="5" t="n"/>
      <c r="C2570" s="5" t="n"/>
      <c r="D2570" s="5" t="n"/>
      <c r="E2570" s="4">
        <f>IF(C2570="","",COUNTIF($C$7:C2570,C2570))</f>
        <v/>
      </c>
      <c r="F2570" s="4">
        <f>IF(E2570="","",IF(E2570&lt;=3,6,IF(E2570&lt;=6,5,IF(E2570&lt;=9,4,IF(E2570&lt;=12,3,IF(E2570&lt;=15,2,0))))))</f>
        <v/>
      </c>
      <c r="G2570" s="5" t="n"/>
      <c r="H2570" s="4">
        <f>IF(OR(F2570="",G2570=""),"",F2570*G2570+IF(J2570="",0,J2570))</f>
        <v/>
      </c>
      <c r="I2570" s="5" t="n"/>
      <c r="J2570" s="5" t="n"/>
    </row>
    <row r="2571">
      <c r="A2571" s="5" t="n"/>
      <c r="B2571" s="5" t="n"/>
      <c r="C2571" s="5" t="n"/>
      <c r="D2571" s="5" t="n"/>
      <c r="E2571" s="4">
        <f>IF(C2571="","",COUNTIF($C$7:C2571,C2571))</f>
        <v/>
      </c>
      <c r="F2571" s="4">
        <f>IF(E2571="","",IF(E2571&lt;=3,6,IF(E2571&lt;=6,5,IF(E2571&lt;=9,4,IF(E2571&lt;=12,3,IF(E2571&lt;=15,2,0))))))</f>
        <v/>
      </c>
      <c r="G2571" s="5" t="n"/>
      <c r="H2571" s="4">
        <f>IF(OR(F2571="",G2571=""),"",F2571*G2571+IF(J2571="",0,J2571))</f>
        <v/>
      </c>
      <c r="I2571" s="5" t="n"/>
      <c r="J2571" s="5" t="n"/>
    </row>
    <row r="2572">
      <c r="A2572" s="5" t="n"/>
      <c r="B2572" s="5" t="n"/>
      <c r="C2572" s="5" t="n"/>
      <c r="D2572" s="5" t="n"/>
      <c r="E2572" s="4">
        <f>IF(C2572="","",COUNTIF($C$7:C2572,C2572))</f>
        <v/>
      </c>
      <c r="F2572" s="4">
        <f>IF(E2572="","",IF(E2572&lt;=3,6,IF(E2572&lt;=6,5,IF(E2572&lt;=9,4,IF(E2572&lt;=12,3,IF(E2572&lt;=15,2,0))))))</f>
        <v/>
      </c>
      <c r="G2572" s="5" t="n"/>
      <c r="H2572" s="4">
        <f>IF(OR(F2572="",G2572=""),"",F2572*G2572+IF(J2572="",0,J2572))</f>
        <v/>
      </c>
      <c r="I2572" s="5" t="n"/>
      <c r="J2572" s="5" t="n"/>
    </row>
    <row r="2573">
      <c r="A2573" s="5" t="n"/>
      <c r="B2573" s="5" t="n"/>
      <c r="C2573" s="5" t="n"/>
      <c r="D2573" s="5" t="n"/>
      <c r="E2573" s="4">
        <f>IF(C2573="","",COUNTIF($C$7:C2573,C2573))</f>
        <v/>
      </c>
      <c r="F2573" s="4">
        <f>IF(E2573="","",IF(E2573&lt;=3,6,IF(E2573&lt;=6,5,IF(E2573&lt;=9,4,IF(E2573&lt;=12,3,IF(E2573&lt;=15,2,0))))))</f>
        <v/>
      </c>
      <c r="G2573" s="5" t="n"/>
      <c r="H2573" s="4">
        <f>IF(OR(F2573="",G2573=""),"",F2573*G2573+IF(J2573="",0,J2573))</f>
        <v/>
      </c>
      <c r="I2573" s="5" t="n"/>
      <c r="J2573" s="5" t="n"/>
    </row>
    <row r="2574">
      <c r="A2574" s="5" t="n"/>
      <c r="B2574" s="5" t="n"/>
      <c r="C2574" s="5" t="n"/>
      <c r="D2574" s="5" t="n"/>
      <c r="E2574" s="4">
        <f>IF(C2574="","",COUNTIF($C$7:C2574,C2574))</f>
        <v/>
      </c>
      <c r="F2574" s="4">
        <f>IF(E2574="","",IF(E2574&lt;=3,6,IF(E2574&lt;=6,5,IF(E2574&lt;=9,4,IF(E2574&lt;=12,3,IF(E2574&lt;=15,2,0))))))</f>
        <v/>
      </c>
      <c r="G2574" s="5" t="n"/>
      <c r="H2574" s="4">
        <f>IF(OR(F2574="",G2574=""),"",F2574*G2574+IF(J2574="",0,J2574))</f>
        <v/>
      </c>
      <c r="I2574" s="5" t="n"/>
      <c r="J2574" s="5" t="n"/>
    </row>
    <row r="2575">
      <c r="A2575" s="5" t="n"/>
      <c r="B2575" s="5" t="n"/>
      <c r="C2575" s="5" t="n"/>
      <c r="D2575" s="5" t="n"/>
      <c r="E2575" s="4">
        <f>IF(C2575="","",COUNTIF($C$7:C2575,C2575))</f>
        <v/>
      </c>
      <c r="F2575" s="4">
        <f>IF(E2575="","",IF(E2575&lt;=3,6,IF(E2575&lt;=6,5,IF(E2575&lt;=9,4,IF(E2575&lt;=12,3,IF(E2575&lt;=15,2,0))))))</f>
        <v/>
      </c>
      <c r="G2575" s="5" t="n"/>
      <c r="H2575" s="4">
        <f>IF(OR(F2575="",G2575=""),"",F2575*G2575+IF(J2575="",0,J2575))</f>
        <v/>
      </c>
      <c r="I2575" s="5" t="n"/>
      <c r="J2575" s="5" t="n"/>
    </row>
    <row r="2576">
      <c r="A2576" s="5" t="n"/>
      <c r="B2576" s="5" t="n"/>
      <c r="C2576" s="5" t="n"/>
      <c r="D2576" s="5" t="n"/>
      <c r="E2576" s="4">
        <f>IF(C2576="","",COUNTIF($C$7:C2576,C2576))</f>
        <v/>
      </c>
      <c r="F2576" s="4">
        <f>IF(E2576="","",IF(E2576&lt;=3,6,IF(E2576&lt;=6,5,IF(E2576&lt;=9,4,IF(E2576&lt;=12,3,IF(E2576&lt;=15,2,0))))))</f>
        <v/>
      </c>
      <c r="G2576" s="5" t="n"/>
      <c r="H2576" s="4">
        <f>IF(OR(F2576="",G2576=""),"",F2576*G2576+IF(J2576="",0,J2576))</f>
        <v/>
      </c>
      <c r="I2576" s="5" t="n"/>
      <c r="J2576" s="5" t="n"/>
    </row>
    <row r="2577">
      <c r="A2577" s="5" t="n"/>
      <c r="B2577" s="5" t="n"/>
      <c r="C2577" s="5" t="n"/>
      <c r="D2577" s="5" t="n"/>
      <c r="E2577" s="4">
        <f>IF(C2577="","",COUNTIF($C$7:C2577,C2577))</f>
        <v/>
      </c>
      <c r="F2577" s="4">
        <f>IF(E2577="","",IF(E2577&lt;=3,6,IF(E2577&lt;=6,5,IF(E2577&lt;=9,4,IF(E2577&lt;=12,3,IF(E2577&lt;=15,2,0))))))</f>
        <v/>
      </c>
      <c r="G2577" s="5" t="n"/>
      <c r="H2577" s="4">
        <f>IF(OR(F2577="",G2577=""),"",F2577*G2577+IF(J2577="",0,J2577))</f>
        <v/>
      </c>
      <c r="I2577" s="5" t="n"/>
      <c r="J2577" s="5" t="n"/>
    </row>
    <row r="2578">
      <c r="A2578" s="5" t="n"/>
      <c r="B2578" s="5" t="n"/>
      <c r="C2578" s="5" t="n"/>
      <c r="D2578" s="5" t="n"/>
      <c r="E2578" s="4">
        <f>IF(C2578="","",COUNTIF($C$7:C2578,C2578))</f>
        <v/>
      </c>
      <c r="F2578" s="4">
        <f>IF(E2578="","",IF(E2578&lt;=3,6,IF(E2578&lt;=6,5,IF(E2578&lt;=9,4,IF(E2578&lt;=12,3,IF(E2578&lt;=15,2,0))))))</f>
        <v/>
      </c>
      <c r="G2578" s="5" t="n"/>
      <c r="H2578" s="4">
        <f>IF(OR(F2578="",G2578=""),"",F2578*G2578+IF(J2578="",0,J2578))</f>
        <v/>
      </c>
      <c r="I2578" s="5" t="n"/>
      <c r="J2578" s="5" t="n"/>
    </row>
    <row r="2579">
      <c r="A2579" s="5" t="n"/>
      <c r="B2579" s="5" t="n"/>
      <c r="C2579" s="5" t="n"/>
      <c r="D2579" s="5" t="n"/>
      <c r="E2579" s="4">
        <f>IF(C2579="","",COUNTIF($C$7:C2579,C2579))</f>
        <v/>
      </c>
      <c r="F2579" s="4">
        <f>IF(E2579="","",IF(E2579&lt;=3,6,IF(E2579&lt;=6,5,IF(E2579&lt;=9,4,IF(E2579&lt;=12,3,IF(E2579&lt;=15,2,0))))))</f>
        <v/>
      </c>
      <c r="G2579" s="5" t="n"/>
      <c r="H2579" s="4">
        <f>IF(OR(F2579="",G2579=""),"",F2579*G2579+IF(J2579="",0,J2579))</f>
        <v/>
      </c>
      <c r="I2579" s="5" t="n"/>
      <c r="J2579" s="5" t="n"/>
    </row>
    <row r="2580">
      <c r="A2580" s="5" t="n"/>
      <c r="B2580" s="5" t="n"/>
      <c r="C2580" s="5" t="n"/>
      <c r="D2580" s="5" t="n"/>
      <c r="E2580" s="4">
        <f>IF(C2580="","",COUNTIF($C$7:C2580,C2580))</f>
        <v/>
      </c>
      <c r="F2580" s="4">
        <f>IF(E2580="","",IF(E2580&lt;=3,6,IF(E2580&lt;=6,5,IF(E2580&lt;=9,4,IF(E2580&lt;=12,3,IF(E2580&lt;=15,2,0))))))</f>
        <v/>
      </c>
      <c r="G2580" s="5" t="n"/>
      <c r="H2580" s="4">
        <f>IF(OR(F2580="",G2580=""),"",F2580*G2580+IF(J2580="",0,J2580))</f>
        <v/>
      </c>
      <c r="I2580" s="5" t="n"/>
      <c r="J2580" s="5" t="n"/>
    </row>
    <row r="2581">
      <c r="A2581" s="5" t="n"/>
      <c r="B2581" s="5" t="n"/>
      <c r="C2581" s="5" t="n"/>
      <c r="D2581" s="5" t="n"/>
      <c r="E2581" s="4">
        <f>IF(C2581="","",COUNTIF($C$7:C2581,C2581))</f>
        <v/>
      </c>
      <c r="F2581" s="4">
        <f>IF(E2581="","",IF(E2581&lt;=3,6,IF(E2581&lt;=6,5,IF(E2581&lt;=9,4,IF(E2581&lt;=12,3,IF(E2581&lt;=15,2,0))))))</f>
        <v/>
      </c>
      <c r="G2581" s="5" t="n"/>
      <c r="H2581" s="4">
        <f>IF(OR(F2581="",G2581=""),"",F2581*G2581+IF(J2581="",0,J2581))</f>
        <v/>
      </c>
      <c r="I2581" s="5" t="n"/>
      <c r="J2581" s="5" t="n"/>
    </row>
    <row r="2582">
      <c r="A2582" s="5" t="n"/>
      <c r="B2582" s="5" t="n"/>
      <c r="C2582" s="5" t="n"/>
      <c r="D2582" s="5" t="n"/>
      <c r="E2582" s="4">
        <f>IF(C2582="","",COUNTIF($C$7:C2582,C2582))</f>
        <v/>
      </c>
      <c r="F2582" s="4">
        <f>IF(E2582="","",IF(E2582&lt;=3,6,IF(E2582&lt;=6,5,IF(E2582&lt;=9,4,IF(E2582&lt;=12,3,IF(E2582&lt;=15,2,0))))))</f>
        <v/>
      </c>
      <c r="G2582" s="5" t="n"/>
      <c r="H2582" s="4">
        <f>IF(OR(F2582="",G2582=""),"",F2582*G2582+IF(J2582="",0,J2582))</f>
        <v/>
      </c>
      <c r="I2582" s="5" t="n"/>
      <c r="J2582" s="5" t="n"/>
    </row>
    <row r="2583">
      <c r="A2583" s="5" t="n"/>
      <c r="B2583" s="5" t="n"/>
      <c r="C2583" s="5" t="n"/>
      <c r="D2583" s="5" t="n"/>
      <c r="E2583" s="4">
        <f>IF(C2583="","",COUNTIF($C$7:C2583,C2583))</f>
        <v/>
      </c>
      <c r="F2583" s="4">
        <f>IF(E2583="","",IF(E2583&lt;=3,6,IF(E2583&lt;=6,5,IF(E2583&lt;=9,4,IF(E2583&lt;=12,3,IF(E2583&lt;=15,2,0))))))</f>
        <v/>
      </c>
      <c r="G2583" s="5" t="n"/>
      <c r="H2583" s="4">
        <f>IF(OR(F2583="",G2583=""),"",F2583*G2583+IF(J2583="",0,J2583))</f>
        <v/>
      </c>
      <c r="I2583" s="5" t="n"/>
      <c r="J2583" s="5" t="n"/>
    </row>
    <row r="2584">
      <c r="A2584" s="5" t="n"/>
      <c r="B2584" s="5" t="n"/>
      <c r="C2584" s="5" t="n"/>
      <c r="D2584" s="5" t="n"/>
      <c r="E2584" s="4">
        <f>IF(C2584="","",COUNTIF($C$7:C2584,C2584))</f>
        <v/>
      </c>
      <c r="F2584" s="4">
        <f>IF(E2584="","",IF(E2584&lt;=3,6,IF(E2584&lt;=6,5,IF(E2584&lt;=9,4,IF(E2584&lt;=12,3,IF(E2584&lt;=15,2,0))))))</f>
        <v/>
      </c>
      <c r="G2584" s="5" t="n"/>
      <c r="H2584" s="4">
        <f>IF(OR(F2584="",G2584=""),"",F2584*G2584+IF(J2584="",0,J2584))</f>
        <v/>
      </c>
      <c r="I2584" s="5" t="n"/>
      <c r="J2584" s="5" t="n"/>
    </row>
    <row r="2585">
      <c r="A2585" s="5" t="n"/>
      <c r="B2585" s="5" t="n"/>
      <c r="C2585" s="5" t="n"/>
      <c r="D2585" s="5" t="n"/>
      <c r="E2585" s="4">
        <f>IF(C2585="","",COUNTIF($C$7:C2585,C2585))</f>
        <v/>
      </c>
      <c r="F2585" s="4">
        <f>IF(E2585="","",IF(E2585&lt;=3,6,IF(E2585&lt;=6,5,IF(E2585&lt;=9,4,IF(E2585&lt;=12,3,IF(E2585&lt;=15,2,0))))))</f>
        <v/>
      </c>
      <c r="G2585" s="5" t="n"/>
      <c r="H2585" s="4">
        <f>IF(OR(F2585="",G2585=""),"",F2585*G2585+IF(J2585="",0,J2585))</f>
        <v/>
      </c>
      <c r="I2585" s="5" t="n"/>
      <c r="J2585" s="5" t="n"/>
    </row>
    <row r="2586">
      <c r="A2586" s="5" t="n"/>
      <c r="B2586" s="5" t="n"/>
      <c r="C2586" s="5" t="n"/>
      <c r="D2586" s="5" t="n"/>
      <c r="E2586" s="4">
        <f>IF(C2586="","",COUNTIF($C$7:C2586,C2586))</f>
        <v/>
      </c>
      <c r="F2586" s="4">
        <f>IF(E2586="","",IF(E2586&lt;=3,6,IF(E2586&lt;=6,5,IF(E2586&lt;=9,4,IF(E2586&lt;=12,3,IF(E2586&lt;=15,2,0))))))</f>
        <v/>
      </c>
      <c r="G2586" s="5" t="n"/>
      <c r="H2586" s="4">
        <f>IF(OR(F2586="",G2586=""),"",F2586*G2586+IF(J2586="",0,J2586))</f>
        <v/>
      </c>
      <c r="I2586" s="5" t="n"/>
      <c r="J2586" s="5" t="n"/>
    </row>
    <row r="2587">
      <c r="A2587" s="5" t="n"/>
      <c r="B2587" s="5" t="n"/>
      <c r="C2587" s="5" t="n"/>
      <c r="D2587" s="5" t="n"/>
      <c r="E2587" s="4">
        <f>IF(C2587="","",COUNTIF($C$7:C2587,C2587))</f>
        <v/>
      </c>
      <c r="F2587" s="4">
        <f>IF(E2587="","",IF(E2587&lt;=3,6,IF(E2587&lt;=6,5,IF(E2587&lt;=9,4,IF(E2587&lt;=12,3,IF(E2587&lt;=15,2,0))))))</f>
        <v/>
      </c>
      <c r="G2587" s="5" t="n"/>
      <c r="H2587" s="4">
        <f>IF(OR(F2587="",G2587=""),"",F2587*G2587+IF(J2587="",0,J2587))</f>
        <v/>
      </c>
      <c r="I2587" s="5" t="n"/>
      <c r="J2587" s="5" t="n"/>
    </row>
    <row r="2588">
      <c r="A2588" s="5" t="n"/>
      <c r="B2588" s="5" t="n"/>
      <c r="C2588" s="5" t="n"/>
      <c r="D2588" s="5" t="n"/>
      <c r="E2588" s="4">
        <f>IF(C2588="","",COUNTIF($C$7:C2588,C2588))</f>
        <v/>
      </c>
      <c r="F2588" s="4">
        <f>IF(E2588="","",IF(E2588&lt;=3,6,IF(E2588&lt;=6,5,IF(E2588&lt;=9,4,IF(E2588&lt;=12,3,IF(E2588&lt;=15,2,0))))))</f>
        <v/>
      </c>
      <c r="G2588" s="5" t="n"/>
      <c r="H2588" s="4">
        <f>IF(OR(F2588="",G2588=""),"",F2588*G2588+IF(J2588="",0,J2588))</f>
        <v/>
      </c>
      <c r="I2588" s="5" t="n"/>
      <c r="J2588" s="5" t="n"/>
    </row>
    <row r="2589">
      <c r="A2589" s="5" t="n"/>
      <c r="B2589" s="5" t="n"/>
      <c r="C2589" s="5" t="n"/>
      <c r="D2589" s="5" t="n"/>
      <c r="E2589" s="4">
        <f>IF(C2589="","",COUNTIF($C$7:C2589,C2589))</f>
        <v/>
      </c>
      <c r="F2589" s="4">
        <f>IF(E2589="","",IF(E2589&lt;=3,6,IF(E2589&lt;=6,5,IF(E2589&lt;=9,4,IF(E2589&lt;=12,3,IF(E2589&lt;=15,2,0))))))</f>
        <v/>
      </c>
      <c r="G2589" s="5" t="n"/>
      <c r="H2589" s="4">
        <f>IF(OR(F2589="",G2589=""),"",F2589*G2589+IF(J2589="",0,J2589))</f>
        <v/>
      </c>
      <c r="I2589" s="5" t="n"/>
      <c r="J2589" s="5" t="n"/>
    </row>
    <row r="2590">
      <c r="A2590" s="5" t="n"/>
      <c r="B2590" s="5" t="n"/>
      <c r="C2590" s="5" t="n"/>
      <c r="D2590" s="5" t="n"/>
      <c r="E2590" s="4">
        <f>IF(C2590="","",COUNTIF($C$7:C2590,C2590))</f>
        <v/>
      </c>
      <c r="F2590" s="4">
        <f>IF(E2590="","",IF(E2590&lt;=3,6,IF(E2590&lt;=6,5,IF(E2590&lt;=9,4,IF(E2590&lt;=12,3,IF(E2590&lt;=15,2,0))))))</f>
        <v/>
      </c>
      <c r="G2590" s="5" t="n"/>
      <c r="H2590" s="4">
        <f>IF(OR(F2590="",G2590=""),"",F2590*G2590+IF(J2590="",0,J2590))</f>
        <v/>
      </c>
      <c r="I2590" s="5" t="n"/>
      <c r="J2590" s="5" t="n"/>
    </row>
    <row r="2591">
      <c r="A2591" s="5" t="n"/>
      <c r="B2591" s="5" t="n"/>
      <c r="C2591" s="5" t="n"/>
      <c r="D2591" s="5" t="n"/>
      <c r="E2591" s="4">
        <f>IF(C2591="","",COUNTIF($C$7:C2591,C2591))</f>
        <v/>
      </c>
      <c r="F2591" s="4">
        <f>IF(E2591="","",IF(E2591&lt;=3,6,IF(E2591&lt;=6,5,IF(E2591&lt;=9,4,IF(E2591&lt;=12,3,IF(E2591&lt;=15,2,0))))))</f>
        <v/>
      </c>
      <c r="G2591" s="5" t="n"/>
      <c r="H2591" s="4">
        <f>IF(OR(F2591="",G2591=""),"",F2591*G2591+IF(J2591="",0,J2591))</f>
        <v/>
      </c>
      <c r="I2591" s="5" t="n"/>
      <c r="J2591" s="5" t="n"/>
    </row>
    <row r="2592">
      <c r="A2592" s="5" t="n"/>
      <c r="B2592" s="5" t="n"/>
      <c r="C2592" s="5" t="n"/>
      <c r="D2592" s="5" t="n"/>
      <c r="E2592" s="4">
        <f>IF(C2592="","",COUNTIF($C$7:C2592,C2592))</f>
        <v/>
      </c>
      <c r="F2592" s="4">
        <f>IF(E2592="","",IF(E2592&lt;=3,6,IF(E2592&lt;=6,5,IF(E2592&lt;=9,4,IF(E2592&lt;=12,3,IF(E2592&lt;=15,2,0))))))</f>
        <v/>
      </c>
      <c r="G2592" s="5" t="n"/>
      <c r="H2592" s="4">
        <f>IF(OR(F2592="",G2592=""),"",F2592*G2592+IF(J2592="",0,J2592))</f>
        <v/>
      </c>
      <c r="I2592" s="5" t="n"/>
      <c r="J2592" s="5" t="n"/>
    </row>
    <row r="2593">
      <c r="A2593" s="5" t="n"/>
      <c r="B2593" s="5" t="n"/>
      <c r="C2593" s="5" t="n"/>
      <c r="D2593" s="5" t="n"/>
      <c r="E2593" s="4">
        <f>IF(C2593="","",COUNTIF($C$7:C2593,C2593))</f>
        <v/>
      </c>
      <c r="F2593" s="4">
        <f>IF(E2593="","",IF(E2593&lt;=3,6,IF(E2593&lt;=6,5,IF(E2593&lt;=9,4,IF(E2593&lt;=12,3,IF(E2593&lt;=15,2,0))))))</f>
        <v/>
      </c>
      <c r="G2593" s="5" t="n"/>
      <c r="H2593" s="4">
        <f>IF(OR(F2593="",G2593=""),"",F2593*G2593+IF(J2593="",0,J2593))</f>
        <v/>
      </c>
      <c r="I2593" s="5" t="n"/>
      <c r="J2593" s="5" t="n"/>
    </row>
    <row r="2594">
      <c r="A2594" s="5" t="n"/>
      <c r="B2594" s="5" t="n"/>
      <c r="C2594" s="5" t="n"/>
      <c r="D2594" s="5" t="n"/>
      <c r="E2594" s="4">
        <f>IF(C2594="","",COUNTIF($C$7:C2594,C2594))</f>
        <v/>
      </c>
      <c r="F2594" s="4">
        <f>IF(E2594="","",IF(E2594&lt;=3,6,IF(E2594&lt;=6,5,IF(E2594&lt;=9,4,IF(E2594&lt;=12,3,IF(E2594&lt;=15,2,0))))))</f>
        <v/>
      </c>
      <c r="G2594" s="5" t="n"/>
      <c r="H2594" s="4">
        <f>IF(OR(F2594="",G2594=""),"",F2594*G2594+IF(J2594="",0,J2594))</f>
        <v/>
      </c>
      <c r="I2594" s="5" t="n"/>
      <c r="J2594" s="5" t="n"/>
    </row>
    <row r="2595">
      <c r="A2595" s="5" t="n"/>
      <c r="B2595" s="5" t="n"/>
      <c r="C2595" s="5" t="n"/>
      <c r="D2595" s="5" t="n"/>
      <c r="E2595" s="4">
        <f>IF(C2595="","",COUNTIF($C$7:C2595,C2595))</f>
        <v/>
      </c>
      <c r="F2595" s="4">
        <f>IF(E2595="","",IF(E2595&lt;=3,6,IF(E2595&lt;=6,5,IF(E2595&lt;=9,4,IF(E2595&lt;=12,3,IF(E2595&lt;=15,2,0))))))</f>
        <v/>
      </c>
      <c r="G2595" s="5" t="n"/>
      <c r="H2595" s="4">
        <f>IF(OR(F2595="",G2595=""),"",F2595*G2595+IF(J2595="",0,J2595))</f>
        <v/>
      </c>
      <c r="I2595" s="5" t="n"/>
      <c r="J2595" s="5" t="n"/>
    </row>
    <row r="2596">
      <c r="A2596" s="5" t="n"/>
      <c r="B2596" s="5" t="n"/>
      <c r="C2596" s="5" t="n"/>
      <c r="D2596" s="5" t="n"/>
      <c r="E2596" s="4">
        <f>IF(C2596="","",COUNTIF($C$7:C2596,C2596))</f>
        <v/>
      </c>
      <c r="F2596" s="4">
        <f>IF(E2596="","",IF(E2596&lt;=3,6,IF(E2596&lt;=6,5,IF(E2596&lt;=9,4,IF(E2596&lt;=12,3,IF(E2596&lt;=15,2,0))))))</f>
        <v/>
      </c>
      <c r="G2596" s="5" t="n"/>
      <c r="H2596" s="4">
        <f>IF(OR(F2596="",G2596=""),"",F2596*G2596+IF(J2596="",0,J2596))</f>
        <v/>
      </c>
      <c r="I2596" s="5" t="n"/>
      <c r="J2596" s="5" t="n"/>
    </row>
    <row r="2597">
      <c r="A2597" s="5" t="n"/>
      <c r="B2597" s="5" t="n"/>
      <c r="C2597" s="5" t="n"/>
      <c r="D2597" s="5" t="n"/>
      <c r="E2597" s="4">
        <f>IF(C2597="","",COUNTIF($C$7:C2597,C2597))</f>
        <v/>
      </c>
      <c r="F2597" s="4">
        <f>IF(E2597="","",IF(E2597&lt;=3,6,IF(E2597&lt;=6,5,IF(E2597&lt;=9,4,IF(E2597&lt;=12,3,IF(E2597&lt;=15,2,0))))))</f>
        <v/>
      </c>
      <c r="G2597" s="5" t="n"/>
      <c r="H2597" s="4">
        <f>IF(OR(F2597="",G2597=""),"",F2597*G2597+IF(J2597="",0,J2597))</f>
        <v/>
      </c>
      <c r="I2597" s="5" t="n"/>
      <c r="J2597" s="5" t="n"/>
    </row>
    <row r="2598">
      <c r="A2598" s="5" t="n"/>
      <c r="B2598" s="5" t="n"/>
      <c r="C2598" s="5" t="n"/>
      <c r="D2598" s="5" t="n"/>
      <c r="E2598" s="4">
        <f>IF(C2598="","",COUNTIF($C$7:C2598,C2598))</f>
        <v/>
      </c>
      <c r="F2598" s="4">
        <f>IF(E2598="","",IF(E2598&lt;=3,6,IF(E2598&lt;=6,5,IF(E2598&lt;=9,4,IF(E2598&lt;=12,3,IF(E2598&lt;=15,2,0))))))</f>
        <v/>
      </c>
      <c r="G2598" s="5" t="n"/>
      <c r="H2598" s="4">
        <f>IF(OR(F2598="",G2598=""),"",F2598*G2598+IF(J2598="",0,J2598))</f>
        <v/>
      </c>
      <c r="I2598" s="5" t="n"/>
      <c r="J2598" s="5" t="n"/>
    </row>
    <row r="2599">
      <c r="A2599" s="5" t="n"/>
      <c r="B2599" s="5" t="n"/>
      <c r="C2599" s="5" t="n"/>
      <c r="D2599" s="5" t="n"/>
      <c r="E2599" s="4">
        <f>IF(C2599="","",COUNTIF($C$7:C2599,C2599))</f>
        <v/>
      </c>
      <c r="F2599" s="4">
        <f>IF(E2599="","",IF(E2599&lt;=3,6,IF(E2599&lt;=6,5,IF(E2599&lt;=9,4,IF(E2599&lt;=12,3,IF(E2599&lt;=15,2,0))))))</f>
        <v/>
      </c>
      <c r="G2599" s="5" t="n"/>
      <c r="H2599" s="4">
        <f>IF(OR(F2599="",G2599=""),"",F2599*G2599+IF(J2599="",0,J2599))</f>
        <v/>
      </c>
      <c r="I2599" s="5" t="n"/>
      <c r="J2599" s="5" t="n"/>
    </row>
    <row r="2600">
      <c r="A2600" s="5" t="n"/>
      <c r="B2600" s="5" t="n"/>
      <c r="C2600" s="5" t="n"/>
      <c r="D2600" s="5" t="n"/>
      <c r="E2600" s="4">
        <f>IF(C2600="","",COUNTIF($C$7:C2600,C2600))</f>
        <v/>
      </c>
      <c r="F2600" s="4">
        <f>IF(E2600="","",IF(E2600&lt;=3,6,IF(E2600&lt;=6,5,IF(E2600&lt;=9,4,IF(E2600&lt;=12,3,IF(E2600&lt;=15,2,0))))))</f>
        <v/>
      </c>
      <c r="G2600" s="5" t="n"/>
      <c r="H2600" s="4">
        <f>IF(OR(F2600="",G2600=""),"",F2600*G2600+IF(J2600="",0,J2600))</f>
        <v/>
      </c>
      <c r="I2600" s="5" t="n"/>
      <c r="J2600" s="5" t="n"/>
    </row>
    <row r="2601">
      <c r="A2601" s="5" t="n"/>
      <c r="B2601" s="5" t="n"/>
      <c r="C2601" s="5" t="n"/>
      <c r="D2601" s="5" t="n"/>
      <c r="E2601" s="4">
        <f>IF(C2601="","",COUNTIF($C$7:C2601,C2601))</f>
        <v/>
      </c>
      <c r="F2601" s="4">
        <f>IF(E2601="","",IF(E2601&lt;=3,6,IF(E2601&lt;=6,5,IF(E2601&lt;=9,4,IF(E2601&lt;=12,3,IF(E2601&lt;=15,2,0))))))</f>
        <v/>
      </c>
      <c r="G2601" s="5" t="n"/>
      <c r="H2601" s="4">
        <f>IF(OR(F2601="",G2601=""),"",F2601*G2601+IF(J2601="",0,J2601))</f>
        <v/>
      </c>
      <c r="I2601" s="5" t="n"/>
      <c r="J2601" s="5" t="n"/>
    </row>
    <row r="2602">
      <c r="A2602" s="5" t="n"/>
      <c r="B2602" s="5" t="n"/>
      <c r="C2602" s="5" t="n"/>
      <c r="D2602" s="5" t="n"/>
      <c r="E2602" s="4">
        <f>IF(C2602="","",COUNTIF($C$7:C2602,C2602))</f>
        <v/>
      </c>
      <c r="F2602" s="4">
        <f>IF(E2602="","",IF(E2602&lt;=3,6,IF(E2602&lt;=6,5,IF(E2602&lt;=9,4,IF(E2602&lt;=12,3,IF(E2602&lt;=15,2,0))))))</f>
        <v/>
      </c>
      <c r="G2602" s="5" t="n"/>
      <c r="H2602" s="4">
        <f>IF(OR(F2602="",G2602=""),"",F2602*G2602+IF(J2602="",0,J2602))</f>
        <v/>
      </c>
      <c r="I2602" s="5" t="n"/>
      <c r="J2602" s="5" t="n"/>
    </row>
    <row r="2603">
      <c r="A2603" s="5" t="n"/>
      <c r="B2603" s="5" t="n"/>
      <c r="C2603" s="5" t="n"/>
      <c r="D2603" s="5" t="n"/>
      <c r="E2603" s="4">
        <f>IF(C2603="","",COUNTIF($C$7:C2603,C2603))</f>
        <v/>
      </c>
      <c r="F2603" s="4">
        <f>IF(E2603="","",IF(E2603&lt;=3,6,IF(E2603&lt;=6,5,IF(E2603&lt;=9,4,IF(E2603&lt;=12,3,IF(E2603&lt;=15,2,0))))))</f>
        <v/>
      </c>
      <c r="G2603" s="5" t="n"/>
      <c r="H2603" s="4">
        <f>IF(OR(F2603="",G2603=""),"",F2603*G2603+IF(J2603="",0,J2603))</f>
        <v/>
      </c>
      <c r="I2603" s="5" t="n"/>
      <c r="J2603" s="5" t="n"/>
    </row>
    <row r="2604">
      <c r="A2604" s="5" t="n"/>
      <c r="B2604" s="5" t="n"/>
      <c r="C2604" s="5" t="n"/>
      <c r="D2604" s="5" t="n"/>
      <c r="E2604" s="4">
        <f>IF(C2604="","",COUNTIF($C$7:C2604,C2604))</f>
        <v/>
      </c>
      <c r="F2604" s="4">
        <f>IF(E2604="","",IF(E2604&lt;=3,6,IF(E2604&lt;=6,5,IF(E2604&lt;=9,4,IF(E2604&lt;=12,3,IF(E2604&lt;=15,2,0))))))</f>
        <v/>
      </c>
      <c r="G2604" s="5" t="n"/>
      <c r="H2604" s="4">
        <f>IF(OR(F2604="",G2604=""),"",F2604*G2604+IF(J2604="",0,J2604))</f>
        <v/>
      </c>
      <c r="I2604" s="5" t="n"/>
      <c r="J2604" s="5" t="n"/>
    </row>
    <row r="2605">
      <c r="A2605" s="5" t="n"/>
      <c r="B2605" s="5" t="n"/>
      <c r="C2605" s="5" t="n"/>
      <c r="D2605" s="5" t="n"/>
      <c r="E2605" s="4">
        <f>IF(C2605="","",COUNTIF($C$7:C2605,C2605))</f>
        <v/>
      </c>
      <c r="F2605" s="4">
        <f>IF(E2605="","",IF(E2605&lt;=3,6,IF(E2605&lt;=6,5,IF(E2605&lt;=9,4,IF(E2605&lt;=12,3,IF(E2605&lt;=15,2,0))))))</f>
        <v/>
      </c>
      <c r="G2605" s="5" t="n"/>
      <c r="H2605" s="4">
        <f>IF(OR(F2605="",G2605=""),"",F2605*G2605+IF(J2605="",0,J2605))</f>
        <v/>
      </c>
      <c r="I2605" s="5" t="n"/>
      <c r="J2605" s="5" t="n"/>
    </row>
    <row r="2606">
      <c r="A2606" s="5" t="n"/>
      <c r="B2606" s="5" t="n"/>
      <c r="C2606" s="5" t="n"/>
      <c r="D2606" s="5" t="n"/>
      <c r="E2606" s="4">
        <f>IF(C2606="","",COUNTIF($C$7:C2606,C2606))</f>
        <v/>
      </c>
      <c r="F2606" s="4">
        <f>IF(E2606="","",IF(E2606&lt;=3,6,IF(E2606&lt;=6,5,IF(E2606&lt;=9,4,IF(E2606&lt;=12,3,IF(E2606&lt;=15,2,0))))))</f>
        <v/>
      </c>
      <c r="G2606" s="5" t="n"/>
      <c r="H2606" s="4">
        <f>IF(OR(F2606="",G2606=""),"",F2606*G2606+IF(J2606="",0,J2606))</f>
        <v/>
      </c>
      <c r="I2606" s="5" t="n"/>
      <c r="J2606" s="5" t="n"/>
    </row>
    <row r="2607">
      <c r="A2607" s="5" t="n"/>
      <c r="B2607" s="5" t="n"/>
      <c r="C2607" s="5" t="n"/>
      <c r="D2607" s="5" t="n"/>
      <c r="E2607" s="4">
        <f>IF(C2607="","",COUNTIF($C$7:C2607,C2607))</f>
        <v/>
      </c>
      <c r="F2607" s="4">
        <f>IF(E2607="","",IF(E2607&lt;=3,6,IF(E2607&lt;=6,5,IF(E2607&lt;=9,4,IF(E2607&lt;=12,3,IF(E2607&lt;=15,2,0))))))</f>
        <v/>
      </c>
      <c r="G2607" s="5" t="n"/>
      <c r="H2607" s="4">
        <f>IF(OR(F2607="",G2607=""),"",F2607*G2607+IF(J2607="",0,J2607))</f>
        <v/>
      </c>
      <c r="I2607" s="5" t="n"/>
      <c r="J2607" s="5" t="n"/>
    </row>
    <row r="2608">
      <c r="A2608" s="5" t="n"/>
      <c r="B2608" s="5" t="n"/>
      <c r="C2608" s="5" t="n"/>
      <c r="D2608" s="5" t="n"/>
      <c r="E2608" s="4">
        <f>IF(C2608="","",COUNTIF($C$7:C2608,C2608))</f>
        <v/>
      </c>
      <c r="F2608" s="4">
        <f>IF(E2608="","",IF(E2608&lt;=3,6,IF(E2608&lt;=6,5,IF(E2608&lt;=9,4,IF(E2608&lt;=12,3,IF(E2608&lt;=15,2,0))))))</f>
        <v/>
      </c>
      <c r="G2608" s="5" t="n"/>
      <c r="H2608" s="4">
        <f>IF(OR(F2608="",G2608=""),"",F2608*G2608+IF(J2608="",0,J2608))</f>
        <v/>
      </c>
      <c r="I2608" s="5" t="n"/>
      <c r="J2608" s="5" t="n"/>
    </row>
    <row r="2609">
      <c r="A2609" s="5" t="n"/>
      <c r="B2609" s="5" t="n"/>
      <c r="C2609" s="5" t="n"/>
      <c r="D2609" s="5" t="n"/>
      <c r="E2609" s="4">
        <f>IF(C2609="","",COUNTIF($C$7:C2609,C2609))</f>
        <v/>
      </c>
      <c r="F2609" s="4">
        <f>IF(E2609="","",IF(E2609&lt;=3,6,IF(E2609&lt;=6,5,IF(E2609&lt;=9,4,IF(E2609&lt;=12,3,IF(E2609&lt;=15,2,0))))))</f>
        <v/>
      </c>
      <c r="G2609" s="5" t="n"/>
      <c r="H2609" s="4">
        <f>IF(OR(F2609="",G2609=""),"",F2609*G2609+IF(J2609="",0,J2609))</f>
        <v/>
      </c>
      <c r="I2609" s="5" t="n"/>
      <c r="J2609" s="5" t="n"/>
    </row>
    <row r="2610">
      <c r="A2610" s="5" t="n"/>
      <c r="B2610" s="5" t="n"/>
      <c r="C2610" s="5" t="n"/>
      <c r="D2610" s="5" t="n"/>
      <c r="E2610" s="4">
        <f>IF(C2610="","",COUNTIF($C$7:C2610,C2610))</f>
        <v/>
      </c>
      <c r="F2610" s="4">
        <f>IF(E2610="","",IF(E2610&lt;=3,6,IF(E2610&lt;=6,5,IF(E2610&lt;=9,4,IF(E2610&lt;=12,3,IF(E2610&lt;=15,2,0))))))</f>
        <v/>
      </c>
      <c r="G2610" s="5" t="n"/>
      <c r="H2610" s="4">
        <f>IF(OR(F2610="",G2610=""),"",F2610*G2610+IF(J2610="",0,J2610))</f>
        <v/>
      </c>
      <c r="I2610" s="5" t="n"/>
      <c r="J2610" s="5" t="n"/>
    </row>
    <row r="2611">
      <c r="A2611" s="5" t="n"/>
      <c r="B2611" s="5" t="n"/>
      <c r="C2611" s="5" t="n"/>
      <c r="D2611" s="5" t="n"/>
      <c r="E2611" s="4">
        <f>IF(C2611="","",COUNTIF($C$7:C2611,C2611))</f>
        <v/>
      </c>
      <c r="F2611" s="4">
        <f>IF(E2611="","",IF(E2611&lt;=3,6,IF(E2611&lt;=6,5,IF(E2611&lt;=9,4,IF(E2611&lt;=12,3,IF(E2611&lt;=15,2,0))))))</f>
        <v/>
      </c>
      <c r="G2611" s="5" t="n"/>
      <c r="H2611" s="4">
        <f>IF(OR(F2611="",G2611=""),"",F2611*G2611+IF(J2611="",0,J2611))</f>
        <v/>
      </c>
      <c r="I2611" s="5" t="n"/>
      <c r="J2611" s="5" t="n"/>
    </row>
    <row r="2612">
      <c r="A2612" s="5" t="n"/>
      <c r="B2612" s="5" t="n"/>
      <c r="C2612" s="5" t="n"/>
      <c r="D2612" s="5" t="n"/>
      <c r="E2612" s="4">
        <f>IF(C2612="","",COUNTIF($C$7:C2612,C2612))</f>
        <v/>
      </c>
      <c r="F2612" s="4">
        <f>IF(E2612="","",IF(E2612&lt;=3,6,IF(E2612&lt;=6,5,IF(E2612&lt;=9,4,IF(E2612&lt;=12,3,IF(E2612&lt;=15,2,0))))))</f>
        <v/>
      </c>
      <c r="G2612" s="5" t="n"/>
      <c r="H2612" s="4">
        <f>IF(OR(F2612="",G2612=""),"",F2612*G2612+IF(J2612="",0,J2612))</f>
        <v/>
      </c>
      <c r="I2612" s="5" t="n"/>
      <c r="J2612" s="5" t="n"/>
    </row>
    <row r="2613">
      <c r="A2613" s="5" t="n"/>
      <c r="B2613" s="5" t="n"/>
      <c r="C2613" s="5" t="n"/>
      <c r="D2613" s="5" t="n"/>
      <c r="E2613" s="4">
        <f>IF(C2613="","",COUNTIF($C$7:C2613,C2613))</f>
        <v/>
      </c>
      <c r="F2613" s="4">
        <f>IF(E2613="","",IF(E2613&lt;=3,6,IF(E2613&lt;=6,5,IF(E2613&lt;=9,4,IF(E2613&lt;=12,3,IF(E2613&lt;=15,2,0))))))</f>
        <v/>
      </c>
      <c r="G2613" s="5" t="n"/>
      <c r="H2613" s="4">
        <f>IF(OR(F2613="",G2613=""),"",F2613*G2613+IF(J2613="",0,J2613))</f>
        <v/>
      </c>
      <c r="I2613" s="5" t="n"/>
      <c r="J2613" s="5" t="n"/>
    </row>
    <row r="2614">
      <c r="A2614" s="5" t="n"/>
      <c r="B2614" s="5" t="n"/>
      <c r="C2614" s="5" t="n"/>
      <c r="D2614" s="5" t="n"/>
      <c r="E2614" s="4">
        <f>IF(C2614="","",COUNTIF($C$7:C2614,C2614))</f>
        <v/>
      </c>
      <c r="F2614" s="4">
        <f>IF(E2614="","",IF(E2614&lt;=3,6,IF(E2614&lt;=6,5,IF(E2614&lt;=9,4,IF(E2614&lt;=12,3,IF(E2614&lt;=15,2,0))))))</f>
        <v/>
      </c>
      <c r="G2614" s="5" t="n"/>
      <c r="H2614" s="4">
        <f>IF(OR(F2614="",G2614=""),"",F2614*G2614+IF(J2614="",0,J2614))</f>
        <v/>
      </c>
      <c r="I2614" s="5" t="n"/>
      <c r="J2614" s="5" t="n"/>
    </row>
    <row r="2615">
      <c r="A2615" s="5" t="n"/>
      <c r="B2615" s="5" t="n"/>
      <c r="C2615" s="5" t="n"/>
      <c r="D2615" s="5" t="n"/>
      <c r="E2615" s="4">
        <f>IF(C2615="","",COUNTIF($C$7:C2615,C2615))</f>
        <v/>
      </c>
      <c r="F2615" s="4">
        <f>IF(E2615="","",IF(E2615&lt;=3,6,IF(E2615&lt;=6,5,IF(E2615&lt;=9,4,IF(E2615&lt;=12,3,IF(E2615&lt;=15,2,0))))))</f>
        <v/>
      </c>
      <c r="G2615" s="5" t="n"/>
      <c r="H2615" s="4">
        <f>IF(OR(F2615="",G2615=""),"",F2615*G2615+IF(J2615="",0,J2615))</f>
        <v/>
      </c>
      <c r="I2615" s="5" t="n"/>
      <c r="J2615" s="5" t="n"/>
    </row>
    <row r="2616">
      <c r="A2616" s="5" t="n"/>
      <c r="B2616" s="5" t="n"/>
      <c r="C2616" s="5" t="n"/>
      <c r="D2616" s="5" t="n"/>
      <c r="E2616" s="4">
        <f>IF(C2616="","",COUNTIF($C$7:C2616,C2616))</f>
        <v/>
      </c>
      <c r="F2616" s="4">
        <f>IF(E2616="","",IF(E2616&lt;=3,6,IF(E2616&lt;=6,5,IF(E2616&lt;=9,4,IF(E2616&lt;=12,3,IF(E2616&lt;=15,2,0))))))</f>
        <v/>
      </c>
      <c r="G2616" s="5" t="n"/>
      <c r="H2616" s="4">
        <f>IF(OR(F2616="",G2616=""),"",F2616*G2616+IF(J2616="",0,J2616))</f>
        <v/>
      </c>
      <c r="I2616" s="5" t="n"/>
      <c r="J2616" s="5" t="n"/>
    </row>
    <row r="2617">
      <c r="A2617" s="5" t="n"/>
      <c r="B2617" s="5" t="n"/>
      <c r="C2617" s="5" t="n"/>
      <c r="D2617" s="5" t="n"/>
      <c r="E2617" s="4">
        <f>IF(C2617="","",COUNTIF($C$7:C2617,C2617))</f>
        <v/>
      </c>
      <c r="F2617" s="4">
        <f>IF(E2617="","",IF(E2617&lt;=3,6,IF(E2617&lt;=6,5,IF(E2617&lt;=9,4,IF(E2617&lt;=12,3,IF(E2617&lt;=15,2,0))))))</f>
        <v/>
      </c>
      <c r="G2617" s="5" t="n"/>
      <c r="H2617" s="4">
        <f>IF(OR(F2617="",G2617=""),"",F2617*G2617+IF(J2617="",0,J2617))</f>
        <v/>
      </c>
      <c r="I2617" s="5" t="n"/>
      <c r="J2617" s="5" t="n"/>
    </row>
    <row r="2618">
      <c r="A2618" s="5" t="n"/>
      <c r="B2618" s="5" t="n"/>
      <c r="C2618" s="5" t="n"/>
      <c r="D2618" s="5" t="n"/>
      <c r="E2618" s="4">
        <f>IF(C2618="","",COUNTIF($C$7:C2618,C2618))</f>
        <v/>
      </c>
      <c r="F2618" s="4">
        <f>IF(E2618="","",IF(E2618&lt;=3,6,IF(E2618&lt;=6,5,IF(E2618&lt;=9,4,IF(E2618&lt;=12,3,IF(E2618&lt;=15,2,0))))))</f>
        <v/>
      </c>
      <c r="G2618" s="5" t="n"/>
      <c r="H2618" s="4">
        <f>IF(OR(F2618="",G2618=""),"",F2618*G2618+IF(J2618="",0,J2618))</f>
        <v/>
      </c>
      <c r="I2618" s="5" t="n"/>
      <c r="J2618" s="5" t="n"/>
    </row>
    <row r="2619">
      <c r="A2619" s="5" t="n"/>
      <c r="B2619" s="5" t="n"/>
      <c r="C2619" s="5" t="n"/>
      <c r="D2619" s="5" t="n"/>
      <c r="E2619" s="4">
        <f>IF(C2619="","",COUNTIF($C$7:C2619,C2619))</f>
        <v/>
      </c>
      <c r="F2619" s="4">
        <f>IF(E2619="","",IF(E2619&lt;=3,6,IF(E2619&lt;=6,5,IF(E2619&lt;=9,4,IF(E2619&lt;=12,3,IF(E2619&lt;=15,2,0))))))</f>
        <v/>
      </c>
      <c r="G2619" s="5" t="n"/>
      <c r="H2619" s="4">
        <f>IF(OR(F2619="",G2619=""),"",F2619*G2619+IF(J2619="",0,J2619))</f>
        <v/>
      </c>
      <c r="I2619" s="5" t="n"/>
      <c r="J2619" s="5" t="n"/>
    </row>
    <row r="2620">
      <c r="A2620" s="5" t="n"/>
      <c r="B2620" s="5" t="n"/>
      <c r="C2620" s="5" t="n"/>
      <c r="D2620" s="5" t="n"/>
      <c r="E2620" s="4">
        <f>IF(C2620="","",COUNTIF($C$7:C2620,C2620))</f>
        <v/>
      </c>
      <c r="F2620" s="4">
        <f>IF(E2620="","",IF(E2620&lt;=3,6,IF(E2620&lt;=6,5,IF(E2620&lt;=9,4,IF(E2620&lt;=12,3,IF(E2620&lt;=15,2,0))))))</f>
        <v/>
      </c>
      <c r="G2620" s="5" t="n"/>
      <c r="H2620" s="4">
        <f>IF(OR(F2620="",G2620=""),"",F2620*G2620+IF(J2620="",0,J2620))</f>
        <v/>
      </c>
      <c r="I2620" s="5" t="n"/>
      <c r="J2620" s="5" t="n"/>
    </row>
    <row r="2621">
      <c r="A2621" s="5" t="n"/>
      <c r="B2621" s="5" t="n"/>
      <c r="C2621" s="5" t="n"/>
      <c r="D2621" s="5" t="n"/>
      <c r="E2621" s="4">
        <f>IF(C2621="","",COUNTIF($C$7:C2621,C2621))</f>
        <v/>
      </c>
      <c r="F2621" s="4">
        <f>IF(E2621="","",IF(E2621&lt;=3,6,IF(E2621&lt;=6,5,IF(E2621&lt;=9,4,IF(E2621&lt;=12,3,IF(E2621&lt;=15,2,0))))))</f>
        <v/>
      </c>
      <c r="G2621" s="5" t="n"/>
      <c r="H2621" s="4">
        <f>IF(OR(F2621="",G2621=""),"",F2621*G2621+IF(J2621="",0,J2621))</f>
        <v/>
      </c>
      <c r="I2621" s="5" t="n"/>
      <c r="J2621" s="5" t="n"/>
    </row>
    <row r="2622">
      <c r="A2622" s="5" t="n"/>
      <c r="B2622" s="5" t="n"/>
      <c r="C2622" s="5" t="n"/>
      <c r="D2622" s="5" t="n"/>
      <c r="E2622" s="4">
        <f>IF(C2622="","",COUNTIF($C$7:C2622,C2622))</f>
        <v/>
      </c>
      <c r="F2622" s="4">
        <f>IF(E2622="","",IF(E2622&lt;=3,6,IF(E2622&lt;=6,5,IF(E2622&lt;=9,4,IF(E2622&lt;=12,3,IF(E2622&lt;=15,2,0))))))</f>
        <v/>
      </c>
      <c r="G2622" s="5" t="n"/>
      <c r="H2622" s="4">
        <f>IF(OR(F2622="",G2622=""),"",F2622*G2622+IF(J2622="",0,J2622))</f>
        <v/>
      </c>
      <c r="I2622" s="5" t="n"/>
      <c r="J2622" s="5" t="n"/>
    </row>
    <row r="2623">
      <c r="A2623" s="5" t="n"/>
      <c r="B2623" s="5" t="n"/>
      <c r="C2623" s="5" t="n"/>
      <c r="D2623" s="5" t="n"/>
      <c r="E2623" s="4">
        <f>IF(C2623="","",COUNTIF($C$7:C2623,C2623))</f>
        <v/>
      </c>
      <c r="F2623" s="4">
        <f>IF(E2623="","",IF(E2623&lt;=3,6,IF(E2623&lt;=6,5,IF(E2623&lt;=9,4,IF(E2623&lt;=12,3,IF(E2623&lt;=15,2,0))))))</f>
        <v/>
      </c>
      <c r="G2623" s="5" t="n"/>
      <c r="H2623" s="4">
        <f>IF(OR(F2623="",G2623=""),"",F2623*G2623+IF(J2623="",0,J2623))</f>
        <v/>
      </c>
      <c r="I2623" s="5" t="n"/>
      <c r="J2623" s="5" t="n"/>
    </row>
    <row r="2624">
      <c r="A2624" s="5" t="n"/>
      <c r="B2624" s="5" t="n"/>
      <c r="C2624" s="5" t="n"/>
      <c r="D2624" s="5" t="n"/>
      <c r="E2624" s="4">
        <f>IF(C2624="","",COUNTIF($C$7:C2624,C2624))</f>
        <v/>
      </c>
      <c r="F2624" s="4">
        <f>IF(E2624="","",IF(E2624&lt;=3,6,IF(E2624&lt;=6,5,IF(E2624&lt;=9,4,IF(E2624&lt;=12,3,IF(E2624&lt;=15,2,0))))))</f>
        <v/>
      </c>
      <c r="G2624" s="5" t="n"/>
      <c r="H2624" s="4">
        <f>IF(OR(F2624="",G2624=""),"",F2624*G2624+IF(J2624="",0,J2624))</f>
        <v/>
      </c>
      <c r="I2624" s="5" t="n"/>
      <c r="J2624" s="5" t="n"/>
    </row>
    <row r="2625">
      <c r="A2625" s="5" t="n"/>
      <c r="B2625" s="5" t="n"/>
      <c r="C2625" s="5" t="n"/>
      <c r="D2625" s="5" t="n"/>
      <c r="E2625" s="4">
        <f>IF(C2625="","",COUNTIF($C$7:C2625,C2625))</f>
        <v/>
      </c>
      <c r="F2625" s="4">
        <f>IF(E2625="","",IF(E2625&lt;=3,6,IF(E2625&lt;=6,5,IF(E2625&lt;=9,4,IF(E2625&lt;=12,3,IF(E2625&lt;=15,2,0))))))</f>
        <v/>
      </c>
      <c r="G2625" s="5" t="n"/>
      <c r="H2625" s="4">
        <f>IF(OR(F2625="",G2625=""),"",F2625*G2625+IF(J2625="",0,J2625))</f>
        <v/>
      </c>
      <c r="I2625" s="5" t="n"/>
      <c r="J2625" s="5" t="n"/>
    </row>
    <row r="2626">
      <c r="A2626" s="5" t="n"/>
      <c r="B2626" s="5" t="n"/>
      <c r="C2626" s="5" t="n"/>
      <c r="D2626" s="5" t="n"/>
      <c r="E2626" s="4">
        <f>IF(C2626="","",COUNTIF($C$7:C2626,C2626))</f>
        <v/>
      </c>
      <c r="F2626" s="4">
        <f>IF(E2626="","",IF(E2626&lt;=3,6,IF(E2626&lt;=6,5,IF(E2626&lt;=9,4,IF(E2626&lt;=12,3,IF(E2626&lt;=15,2,0))))))</f>
        <v/>
      </c>
      <c r="G2626" s="5" t="n"/>
      <c r="H2626" s="4">
        <f>IF(OR(F2626="",G2626=""),"",F2626*G2626+IF(J2626="",0,J2626))</f>
        <v/>
      </c>
      <c r="I2626" s="5" t="n"/>
      <c r="J2626" s="5" t="n"/>
    </row>
    <row r="2627">
      <c r="A2627" s="5" t="n"/>
      <c r="B2627" s="5" t="n"/>
      <c r="C2627" s="5" t="n"/>
      <c r="D2627" s="5" t="n"/>
      <c r="E2627" s="4">
        <f>IF(C2627="","",COUNTIF($C$7:C2627,C2627))</f>
        <v/>
      </c>
      <c r="F2627" s="4">
        <f>IF(E2627="","",IF(E2627&lt;=3,6,IF(E2627&lt;=6,5,IF(E2627&lt;=9,4,IF(E2627&lt;=12,3,IF(E2627&lt;=15,2,0))))))</f>
        <v/>
      </c>
      <c r="G2627" s="5" t="n"/>
      <c r="H2627" s="4">
        <f>IF(OR(F2627="",G2627=""),"",F2627*G2627+IF(J2627="",0,J2627))</f>
        <v/>
      </c>
      <c r="I2627" s="5" t="n"/>
      <c r="J2627" s="5" t="n"/>
    </row>
    <row r="2628">
      <c r="A2628" s="5" t="n"/>
      <c r="B2628" s="5" t="n"/>
      <c r="C2628" s="5" t="n"/>
      <c r="D2628" s="5" t="n"/>
      <c r="E2628" s="4">
        <f>IF(C2628="","",COUNTIF($C$7:C2628,C2628))</f>
        <v/>
      </c>
      <c r="F2628" s="4">
        <f>IF(E2628="","",IF(E2628&lt;=3,6,IF(E2628&lt;=6,5,IF(E2628&lt;=9,4,IF(E2628&lt;=12,3,IF(E2628&lt;=15,2,0))))))</f>
        <v/>
      </c>
      <c r="G2628" s="5" t="n"/>
      <c r="H2628" s="4">
        <f>IF(OR(F2628="",G2628=""),"",F2628*G2628+IF(J2628="",0,J2628))</f>
        <v/>
      </c>
      <c r="I2628" s="5" t="n"/>
      <c r="J2628" s="5" t="n"/>
    </row>
    <row r="2629">
      <c r="A2629" s="5" t="n"/>
      <c r="B2629" s="5" t="n"/>
      <c r="C2629" s="5" t="n"/>
      <c r="D2629" s="5" t="n"/>
      <c r="E2629" s="4">
        <f>IF(C2629="","",COUNTIF($C$7:C2629,C2629))</f>
        <v/>
      </c>
      <c r="F2629" s="4">
        <f>IF(E2629="","",IF(E2629&lt;=3,6,IF(E2629&lt;=6,5,IF(E2629&lt;=9,4,IF(E2629&lt;=12,3,IF(E2629&lt;=15,2,0))))))</f>
        <v/>
      </c>
      <c r="G2629" s="5" t="n"/>
      <c r="H2629" s="4">
        <f>IF(OR(F2629="",G2629=""),"",F2629*G2629+IF(J2629="",0,J2629))</f>
        <v/>
      </c>
      <c r="I2629" s="5" t="n"/>
      <c r="J2629" s="5" t="n"/>
    </row>
    <row r="2630">
      <c r="A2630" s="5" t="n"/>
      <c r="B2630" s="5" t="n"/>
      <c r="C2630" s="5" t="n"/>
      <c r="D2630" s="5" t="n"/>
      <c r="E2630" s="4">
        <f>IF(C2630="","",COUNTIF($C$7:C2630,C2630))</f>
        <v/>
      </c>
      <c r="F2630" s="4">
        <f>IF(E2630="","",IF(E2630&lt;=3,6,IF(E2630&lt;=6,5,IF(E2630&lt;=9,4,IF(E2630&lt;=12,3,IF(E2630&lt;=15,2,0))))))</f>
        <v/>
      </c>
      <c r="G2630" s="5" t="n"/>
      <c r="H2630" s="4">
        <f>IF(OR(F2630="",G2630=""),"",F2630*G2630+IF(J2630="",0,J2630))</f>
        <v/>
      </c>
      <c r="I2630" s="5" t="n"/>
      <c r="J2630" s="5" t="n"/>
    </row>
    <row r="2631">
      <c r="A2631" s="5" t="n"/>
      <c r="B2631" s="5" t="n"/>
      <c r="C2631" s="5" t="n"/>
      <c r="D2631" s="5" t="n"/>
      <c r="E2631" s="4">
        <f>IF(C2631="","",COUNTIF($C$7:C2631,C2631))</f>
        <v/>
      </c>
      <c r="F2631" s="4">
        <f>IF(E2631="","",IF(E2631&lt;=3,6,IF(E2631&lt;=6,5,IF(E2631&lt;=9,4,IF(E2631&lt;=12,3,IF(E2631&lt;=15,2,0))))))</f>
        <v/>
      </c>
      <c r="G2631" s="5" t="n"/>
      <c r="H2631" s="4">
        <f>IF(OR(F2631="",G2631=""),"",F2631*G2631+IF(J2631="",0,J2631))</f>
        <v/>
      </c>
      <c r="I2631" s="5" t="n"/>
      <c r="J2631" s="5" t="n"/>
    </row>
    <row r="2632">
      <c r="A2632" s="5" t="n"/>
      <c r="B2632" s="5" t="n"/>
      <c r="C2632" s="5" t="n"/>
      <c r="D2632" s="5" t="n"/>
      <c r="E2632" s="4">
        <f>IF(C2632="","",COUNTIF($C$7:C2632,C2632))</f>
        <v/>
      </c>
      <c r="F2632" s="4">
        <f>IF(E2632="","",IF(E2632&lt;=3,6,IF(E2632&lt;=6,5,IF(E2632&lt;=9,4,IF(E2632&lt;=12,3,IF(E2632&lt;=15,2,0))))))</f>
        <v/>
      </c>
      <c r="G2632" s="5" t="n"/>
      <c r="H2632" s="4">
        <f>IF(OR(F2632="",G2632=""),"",F2632*G2632+IF(J2632="",0,J2632))</f>
        <v/>
      </c>
      <c r="I2632" s="5" t="n"/>
      <c r="J2632" s="5" t="n"/>
    </row>
    <row r="2633">
      <c r="A2633" s="5" t="n"/>
      <c r="B2633" s="5" t="n"/>
      <c r="C2633" s="5" t="n"/>
      <c r="D2633" s="5" t="n"/>
      <c r="E2633" s="4">
        <f>IF(C2633="","",COUNTIF($C$7:C2633,C2633))</f>
        <v/>
      </c>
      <c r="F2633" s="4">
        <f>IF(E2633="","",IF(E2633&lt;=3,6,IF(E2633&lt;=6,5,IF(E2633&lt;=9,4,IF(E2633&lt;=12,3,IF(E2633&lt;=15,2,0))))))</f>
        <v/>
      </c>
      <c r="G2633" s="5" t="n"/>
      <c r="H2633" s="4">
        <f>IF(OR(F2633="",G2633=""),"",F2633*G2633+IF(J2633="",0,J2633))</f>
        <v/>
      </c>
      <c r="I2633" s="5" t="n"/>
      <c r="J2633" s="5" t="n"/>
    </row>
    <row r="2634">
      <c r="A2634" s="5" t="n"/>
      <c r="B2634" s="5" t="n"/>
      <c r="C2634" s="5" t="n"/>
      <c r="D2634" s="5" t="n"/>
      <c r="E2634" s="4">
        <f>IF(C2634="","",COUNTIF($C$7:C2634,C2634))</f>
        <v/>
      </c>
      <c r="F2634" s="4">
        <f>IF(E2634="","",IF(E2634&lt;=3,6,IF(E2634&lt;=6,5,IF(E2634&lt;=9,4,IF(E2634&lt;=12,3,IF(E2634&lt;=15,2,0))))))</f>
        <v/>
      </c>
      <c r="G2634" s="5" t="n"/>
      <c r="H2634" s="4">
        <f>IF(OR(F2634="",G2634=""),"",F2634*G2634+IF(J2634="",0,J2634))</f>
        <v/>
      </c>
      <c r="I2634" s="5" t="n"/>
      <c r="J2634" s="5" t="n"/>
    </row>
    <row r="2635">
      <c r="A2635" s="5" t="n"/>
      <c r="B2635" s="5" t="n"/>
      <c r="C2635" s="5" t="n"/>
      <c r="D2635" s="5" t="n"/>
      <c r="E2635" s="4">
        <f>IF(C2635="","",COUNTIF($C$7:C2635,C2635))</f>
        <v/>
      </c>
      <c r="F2635" s="4">
        <f>IF(E2635="","",IF(E2635&lt;=3,6,IF(E2635&lt;=6,5,IF(E2635&lt;=9,4,IF(E2635&lt;=12,3,IF(E2635&lt;=15,2,0))))))</f>
        <v/>
      </c>
      <c r="G2635" s="5" t="n"/>
      <c r="H2635" s="4">
        <f>IF(OR(F2635="",G2635=""),"",F2635*G2635+IF(J2635="",0,J2635))</f>
        <v/>
      </c>
      <c r="I2635" s="5" t="n"/>
      <c r="J2635" s="5" t="n"/>
    </row>
    <row r="2636">
      <c r="A2636" s="5" t="n"/>
      <c r="B2636" s="5" t="n"/>
      <c r="C2636" s="5" t="n"/>
      <c r="D2636" s="5" t="n"/>
      <c r="E2636" s="4">
        <f>IF(C2636="","",COUNTIF($C$7:C2636,C2636))</f>
        <v/>
      </c>
      <c r="F2636" s="4">
        <f>IF(E2636="","",IF(E2636&lt;=3,6,IF(E2636&lt;=6,5,IF(E2636&lt;=9,4,IF(E2636&lt;=12,3,IF(E2636&lt;=15,2,0))))))</f>
        <v/>
      </c>
      <c r="G2636" s="5" t="n"/>
      <c r="H2636" s="4">
        <f>IF(OR(F2636="",G2636=""),"",F2636*G2636+IF(J2636="",0,J2636))</f>
        <v/>
      </c>
      <c r="I2636" s="5" t="n"/>
      <c r="J2636" s="5" t="n"/>
    </row>
    <row r="2637">
      <c r="A2637" s="5" t="n"/>
      <c r="B2637" s="5" t="n"/>
      <c r="C2637" s="5" t="n"/>
      <c r="D2637" s="5" t="n"/>
      <c r="E2637" s="4">
        <f>IF(C2637="","",COUNTIF($C$7:C2637,C2637))</f>
        <v/>
      </c>
      <c r="F2637" s="4">
        <f>IF(E2637="","",IF(E2637&lt;=3,6,IF(E2637&lt;=6,5,IF(E2637&lt;=9,4,IF(E2637&lt;=12,3,IF(E2637&lt;=15,2,0))))))</f>
        <v/>
      </c>
      <c r="G2637" s="5" t="n"/>
      <c r="H2637" s="4">
        <f>IF(OR(F2637="",G2637=""),"",F2637*G2637+IF(J2637="",0,J2637))</f>
        <v/>
      </c>
      <c r="I2637" s="5" t="n"/>
      <c r="J2637" s="5" t="n"/>
    </row>
    <row r="2638">
      <c r="A2638" s="5" t="n"/>
      <c r="B2638" s="5" t="n"/>
      <c r="C2638" s="5" t="n"/>
      <c r="D2638" s="5" t="n"/>
      <c r="E2638" s="4">
        <f>IF(C2638="","",COUNTIF($C$7:C2638,C2638))</f>
        <v/>
      </c>
      <c r="F2638" s="4">
        <f>IF(E2638="","",IF(E2638&lt;=3,6,IF(E2638&lt;=6,5,IF(E2638&lt;=9,4,IF(E2638&lt;=12,3,IF(E2638&lt;=15,2,0))))))</f>
        <v/>
      </c>
      <c r="G2638" s="5" t="n"/>
      <c r="H2638" s="4">
        <f>IF(OR(F2638="",G2638=""),"",F2638*G2638+IF(J2638="",0,J2638))</f>
        <v/>
      </c>
      <c r="I2638" s="5" t="n"/>
      <c r="J2638" s="5" t="n"/>
    </row>
    <row r="2639">
      <c r="A2639" s="5" t="n"/>
      <c r="B2639" s="5" t="n"/>
      <c r="C2639" s="5" t="n"/>
      <c r="D2639" s="5" t="n"/>
      <c r="E2639" s="4">
        <f>IF(C2639="","",COUNTIF($C$7:C2639,C2639))</f>
        <v/>
      </c>
      <c r="F2639" s="4">
        <f>IF(E2639="","",IF(E2639&lt;=3,6,IF(E2639&lt;=6,5,IF(E2639&lt;=9,4,IF(E2639&lt;=12,3,IF(E2639&lt;=15,2,0))))))</f>
        <v/>
      </c>
      <c r="G2639" s="5" t="n"/>
      <c r="H2639" s="4">
        <f>IF(OR(F2639="",G2639=""),"",F2639*G2639+IF(J2639="",0,J2639))</f>
        <v/>
      </c>
      <c r="I2639" s="5" t="n"/>
      <c r="J2639" s="5" t="n"/>
    </row>
    <row r="2640">
      <c r="A2640" s="5" t="n"/>
      <c r="B2640" s="5" t="n"/>
      <c r="C2640" s="5" t="n"/>
      <c r="D2640" s="5" t="n"/>
      <c r="E2640" s="4">
        <f>IF(C2640="","",COUNTIF($C$7:C2640,C2640))</f>
        <v/>
      </c>
      <c r="F2640" s="4">
        <f>IF(E2640="","",IF(E2640&lt;=3,6,IF(E2640&lt;=6,5,IF(E2640&lt;=9,4,IF(E2640&lt;=12,3,IF(E2640&lt;=15,2,0))))))</f>
        <v/>
      </c>
      <c r="G2640" s="5" t="n"/>
      <c r="H2640" s="4">
        <f>IF(OR(F2640="",G2640=""),"",F2640*G2640+IF(J2640="",0,J2640))</f>
        <v/>
      </c>
      <c r="I2640" s="5" t="n"/>
      <c r="J2640" s="5" t="n"/>
    </row>
    <row r="2641">
      <c r="A2641" s="5" t="n"/>
      <c r="B2641" s="5" t="n"/>
      <c r="C2641" s="5" t="n"/>
      <c r="D2641" s="5" t="n"/>
      <c r="E2641" s="4">
        <f>IF(C2641="","",COUNTIF($C$7:C2641,C2641))</f>
        <v/>
      </c>
      <c r="F2641" s="4">
        <f>IF(E2641="","",IF(E2641&lt;=3,6,IF(E2641&lt;=6,5,IF(E2641&lt;=9,4,IF(E2641&lt;=12,3,IF(E2641&lt;=15,2,0))))))</f>
        <v/>
      </c>
      <c r="G2641" s="5" t="n"/>
      <c r="H2641" s="4">
        <f>IF(OR(F2641="",G2641=""),"",F2641*G2641+IF(J2641="",0,J2641))</f>
        <v/>
      </c>
      <c r="I2641" s="5" t="n"/>
      <c r="J2641" s="5" t="n"/>
    </row>
    <row r="2642">
      <c r="A2642" s="5" t="n"/>
      <c r="B2642" s="5" t="n"/>
      <c r="C2642" s="5" t="n"/>
      <c r="D2642" s="5" t="n"/>
      <c r="E2642" s="4">
        <f>IF(C2642="","",COUNTIF($C$7:C2642,C2642))</f>
        <v/>
      </c>
      <c r="F2642" s="4">
        <f>IF(E2642="","",IF(E2642&lt;=3,6,IF(E2642&lt;=6,5,IF(E2642&lt;=9,4,IF(E2642&lt;=12,3,IF(E2642&lt;=15,2,0))))))</f>
        <v/>
      </c>
      <c r="G2642" s="5" t="n"/>
      <c r="H2642" s="4">
        <f>IF(OR(F2642="",G2642=""),"",F2642*G2642+IF(J2642="",0,J2642))</f>
        <v/>
      </c>
      <c r="I2642" s="5" t="n"/>
      <c r="J2642" s="5" t="n"/>
    </row>
    <row r="2643">
      <c r="A2643" s="5" t="n"/>
      <c r="B2643" s="5" t="n"/>
      <c r="C2643" s="5" t="n"/>
      <c r="D2643" s="5" t="n"/>
      <c r="E2643" s="4">
        <f>IF(C2643="","",COUNTIF($C$7:C2643,C2643))</f>
        <v/>
      </c>
      <c r="F2643" s="4">
        <f>IF(E2643="","",IF(E2643&lt;=3,6,IF(E2643&lt;=6,5,IF(E2643&lt;=9,4,IF(E2643&lt;=12,3,IF(E2643&lt;=15,2,0))))))</f>
        <v/>
      </c>
      <c r="G2643" s="5" t="n"/>
      <c r="H2643" s="4">
        <f>IF(OR(F2643="",G2643=""),"",F2643*G2643+IF(J2643="",0,J2643))</f>
        <v/>
      </c>
      <c r="I2643" s="5" t="n"/>
      <c r="J2643" s="5" t="n"/>
    </row>
    <row r="2644">
      <c r="A2644" s="5" t="n"/>
      <c r="B2644" s="5" t="n"/>
      <c r="C2644" s="5" t="n"/>
      <c r="D2644" s="5" t="n"/>
      <c r="E2644" s="4">
        <f>IF(C2644="","",COUNTIF($C$7:C2644,C2644))</f>
        <v/>
      </c>
      <c r="F2644" s="4">
        <f>IF(E2644="","",IF(E2644&lt;=3,6,IF(E2644&lt;=6,5,IF(E2644&lt;=9,4,IF(E2644&lt;=12,3,IF(E2644&lt;=15,2,0))))))</f>
        <v/>
      </c>
      <c r="G2644" s="5" t="n"/>
      <c r="H2644" s="4">
        <f>IF(OR(F2644="",G2644=""),"",F2644*G2644+IF(J2644="",0,J2644))</f>
        <v/>
      </c>
      <c r="I2644" s="5" t="n"/>
      <c r="J2644" s="5" t="n"/>
    </row>
    <row r="2645">
      <c r="A2645" s="5" t="n"/>
      <c r="B2645" s="5" t="n"/>
      <c r="C2645" s="5" t="n"/>
      <c r="D2645" s="5" t="n"/>
      <c r="E2645" s="4">
        <f>IF(C2645="","",COUNTIF($C$7:C2645,C2645))</f>
        <v/>
      </c>
      <c r="F2645" s="4">
        <f>IF(E2645="","",IF(E2645&lt;=3,6,IF(E2645&lt;=6,5,IF(E2645&lt;=9,4,IF(E2645&lt;=12,3,IF(E2645&lt;=15,2,0))))))</f>
        <v/>
      </c>
      <c r="G2645" s="5" t="n"/>
      <c r="H2645" s="4">
        <f>IF(OR(F2645="",G2645=""),"",F2645*G2645+IF(J2645="",0,J2645))</f>
        <v/>
      </c>
      <c r="I2645" s="5" t="n"/>
      <c r="J2645" s="5" t="n"/>
    </row>
    <row r="2646">
      <c r="A2646" s="5" t="n"/>
      <c r="B2646" s="5" t="n"/>
      <c r="C2646" s="5" t="n"/>
      <c r="D2646" s="5" t="n"/>
      <c r="E2646" s="4">
        <f>IF(C2646="","",COUNTIF($C$7:C2646,C2646))</f>
        <v/>
      </c>
      <c r="F2646" s="4">
        <f>IF(E2646="","",IF(E2646&lt;=3,6,IF(E2646&lt;=6,5,IF(E2646&lt;=9,4,IF(E2646&lt;=12,3,IF(E2646&lt;=15,2,0))))))</f>
        <v/>
      </c>
      <c r="G2646" s="5" t="n"/>
      <c r="H2646" s="4">
        <f>IF(OR(F2646="",G2646=""),"",F2646*G2646+IF(J2646="",0,J2646))</f>
        <v/>
      </c>
      <c r="I2646" s="5" t="n"/>
      <c r="J2646" s="5" t="n"/>
    </row>
    <row r="2647">
      <c r="A2647" s="5" t="n"/>
      <c r="B2647" s="5" t="n"/>
      <c r="C2647" s="5" t="n"/>
      <c r="D2647" s="5" t="n"/>
      <c r="E2647" s="4">
        <f>IF(C2647="","",COUNTIF($C$7:C2647,C2647))</f>
        <v/>
      </c>
      <c r="F2647" s="4">
        <f>IF(E2647="","",IF(E2647&lt;=3,6,IF(E2647&lt;=6,5,IF(E2647&lt;=9,4,IF(E2647&lt;=12,3,IF(E2647&lt;=15,2,0))))))</f>
        <v/>
      </c>
      <c r="G2647" s="5" t="n"/>
      <c r="H2647" s="4">
        <f>IF(OR(F2647="",G2647=""),"",F2647*G2647+IF(J2647="",0,J2647))</f>
        <v/>
      </c>
      <c r="I2647" s="5" t="n"/>
      <c r="J2647" s="5" t="n"/>
    </row>
    <row r="2648">
      <c r="A2648" s="5" t="n"/>
      <c r="B2648" s="5" t="n"/>
      <c r="C2648" s="5" t="n"/>
      <c r="D2648" s="5" t="n"/>
      <c r="E2648" s="4">
        <f>IF(C2648="","",COUNTIF($C$7:C2648,C2648))</f>
        <v/>
      </c>
      <c r="F2648" s="4">
        <f>IF(E2648="","",IF(E2648&lt;=3,6,IF(E2648&lt;=6,5,IF(E2648&lt;=9,4,IF(E2648&lt;=12,3,IF(E2648&lt;=15,2,0))))))</f>
        <v/>
      </c>
      <c r="G2648" s="5" t="n"/>
      <c r="H2648" s="4">
        <f>IF(OR(F2648="",G2648=""),"",F2648*G2648+IF(J2648="",0,J2648))</f>
        <v/>
      </c>
      <c r="I2648" s="5" t="n"/>
      <c r="J2648" s="5" t="n"/>
    </row>
    <row r="2649">
      <c r="A2649" s="5" t="n"/>
      <c r="B2649" s="5" t="n"/>
      <c r="C2649" s="5" t="n"/>
      <c r="D2649" s="5" t="n"/>
      <c r="E2649" s="4">
        <f>IF(C2649="","",COUNTIF($C$7:C2649,C2649))</f>
        <v/>
      </c>
      <c r="F2649" s="4">
        <f>IF(E2649="","",IF(E2649&lt;=3,6,IF(E2649&lt;=6,5,IF(E2649&lt;=9,4,IF(E2649&lt;=12,3,IF(E2649&lt;=15,2,0))))))</f>
        <v/>
      </c>
      <c r="G2649" s="5" t="n"/>
      <c r="H2649" s="4">
        <f>IF(OR(F2649="",G2649=""),"",F2649*G2649+IF(J2649="",0,J2649))</f>
        <v/>
      </c>
      <c r="I2649" s="5" t="n"/>
      <c r="J2649" s="5" t="n"/>
    </row>
    <row r="2650">
      <c r="A2650" s="5" t="n"/>
      <c r="B2650" s="5" t="n"/>
      <c r="C2650" s="5" t="n"/>
      <c r="D2650" s="5" t="n"/>
      <c r="E2650" s="4">
        <f>IF(C2650="","",COUNTIF($C$7:C2650,C2650))</f>
        <v/>
      </c>
      <c r="F2650" s="4">
        <f>IF(E2650="","",IF(E2650&lt;=3,6,IF(E2650&lt;=6,5,IF(E2650&lt;=9,4,IF(E2650&lt;=12,3,IF(E2650&lt;=15,2,0))))))</f>
        <v/>
      </c>
      <c r="G2650" s="5" t="n"/>
      <c r="H2650" s="4">
        <f>IF(OR(F2650="",G2650=""),"",F2650*G2650+IF(J2650="",0,J2650))</f>
        <v/>
      </c>
      <c r="I2650" s="5" t="n"/>
      <c r="J2650" s="5" t="n"/>
    </row>
    <row r="2651">
      <c r="A2651" s="5" t="n"/>
      <c r="B2651" s="5" t="n"/>
      <c r="C2651" s="5" t="n"/>
      <c r="D2651" s="5" t="n"/>
      <c r="E2651" s="4">
        <f>IF(C2651="","",COUNTIF($C$7:C2651,C2651))</f>
        <v/>
      </c>
      <c r="F2651" s="4">
        <f>IF(E2651="","",IF(E2651&lt;=3,6,IF(E2651&lt;=6,5,IF(E2651&lt;=9,4,IF(E2651&lt;=12,3,IF(E2651&lt;=15,2,0))))))</f>
        <v/>
      </c>
      <c r="G2651" s="5" t="n"/>
      <c r="H2651" s="4">
        <f>IF(OR(F2651="",G2651=""),"",F2651*G2651+IF(J2651="",0,J2651))</f>
        <v/>
      </c>
      <c r="I2651" s="5" t="n"/>
      <c r="J2651" s="5" t="n"/>
    </row>
    <row r="2652">
      <c r="A2652" s="5" t="n"/>
      <c r="B2652" s="5" t="n"/>
      <c r="C2652" s="5" t="n"/>
      <c r="D2652" s="5" t="n"/>
      <c r="E2652" s="4">
        <f>IF(C2652="","",COUNTIF($C$7:C2652,C2652))</f>
        <v/>
      </c>
      <c r="F2652" s="4">
        <f>IF(E2652="","",IF(E2652&lt;=3,6,IF(E2652&lt;=6,5,IF(E2652&lt;=9,4,IF(E2652&lt;=12,3,IF(E2652&lt;=15,2,0))))))</f>
        <v/>
      </c>
      <c r="G2652" s="5" t="n"/>
      <c r="H2652" s="4">
        <f>IF(OR(F2652="",G2652=""),"",F2652*G2652+IF(J2652="",0,J2652))</f>
        <v/>
      </c>
      <c r="I2652" s="5" t="n"/>
      <c r="J2652" s="5" t="n"/>
    </row>
    <row r="2653">
      <c r="A2653" s="5" t="n"/>
      <c r="B2653" s="5" t="n"/>
      <c r="C2653" s="5" t="n"/>
      <c r="D2653" s="5" t="n"/>
      <c r="E2653" s="4">
        <f>IF(C2653="","",COUNTIF($C$7:C2653,C2653))</f>
        <v/>
      </c>
      <c r="F2653" s="4">
        <f>IF(E2653="","",IF(E2653&lt;=3,6,IF(E2653&lt;=6,5,IF(E2653&lt;=9,4,IF(E2653&lt;=12,3,IF(E2653&lt;=15,2,0))))))</f>
        <v/>
      </c>
      <c r="G2653" s="5" t="n"/>
      <c r="H2653" s="4">
        <f>IF(OR(F2653="",G2653=""),"",F2653*G2653+IF(J2653="",0,J2653))</f>
        <v/>
      </c>
      <c r="I2653" s="5" t="n"/>
      <c r="J2653" s="5" t="n"/>
    </row>
    <row r="2654">
      <c r="A2654" s="5" t="n"/>
      <c r="B2654" s="5" t="n"/>
      <c r="C2654" s="5" t="n"/>
      <c r="D2654" s="5" t="n"/>
      <c r="E2654" s="4">
        <f>IF(C2654="","",COUNTIF($C$7:C2654,C2654))</f>
        <v/>
      </c>
      <c r="F2654" s="4">
        <f>IF(E2654="","",IF(E2654&lt;=3,6,IF(E2654&lt;=6,5,IF(E2654&lt;=9,4,IF(E2654&lt;=12,3,IF(E2654&lt;=15,2,0))))))</f>
        <v/>
      </c>
      <c r="G2654" s="5" t="n"/>
      <c r="H2654" s="4">
        <f>IF(OR(F2654="",G2654=""),"",F2654*G2654+IF(J2654="",0,J2654))</f>
        <v/>
      </c>
      <c r="I2654" s="5" t="n"/>
      <c r="J2654" s="5" t="n"/>
    </row>
    <row r="2655">
      <c r="A2655" s="5" t="n"/>
      <c r="B2655" s="5" t="n"/>
      <c r="C2655" s="5" t="n"/>
      <c r="D2655" s="5" t="n"/>
      <c r="E2655" s="4">
        <f>IF(C2655="","",COUNTIF($C$7:C2655,C2655))</f>
        <v/>
      </c>
      <c r="F2655" s="4">
        <f>IF(E2655="","",IF(E2655&lt;=3,6,IF(E2655&lt;=6,5,IF(E2655&lt;=9,4,IF(E2655&lt;=12,3,IF(E2655&lt;=15,2,0))))))</f>
        <v/>
      </c>
      <c r="G2655" s="5" t="n"/>
      <c r="H2655" s="4">
        <f>IF(OR(F2655="",G2655=""),"",F2655*G2655+IF(J2655="",0,J2655))</f>
        <v/>
      </c>
      <c r="I2655" s="5" t="n"/>
      <c r="J2655" s="5" t="n"/>
    </row>
    <row r="2656">
      <c r="A2656" s="5" t="n"/>
      <c r="B2656" s="5" t="n"/>
      <c r="C2656" s="5" t="n"/>
      <c r="D2656" s="5" t="n"/>
      <c r="E2656" s="4">
        <f>IF(C2656="","",COUNTIF($C$7:C2656,C2656))</f>
        <v/>
      </c>
      <c r="F2656" s="4">
        <f>IF(E2656="","",IF(E2656&lt;=3,6,IF(E2656&lt;=6,5,IF(E2656&lt;=9,4,IF(E2656&lt;=12,3,IF(E2656&lt;=15,2,0))))))</f>
        <v/>
      </c>
      <c r="G2656" s="5" t="n"/>
      <c r="H2656" s="4">
        <f>IF(OR(F2656="",G2656=""),"",F2656*G2656+IF(J2656="",0,J2656))</f>
        <v/>
      </c>
      <c r="I2656" s="5" t="n"/>
      <c r="J2656" s="5" t="n"/>
    </row>
    <row r="2657">
      <c r="A2657" s="5" t="n"/>
      <c r="B2657" s="5" t="n"/>
      <c r="C2657" s="5" t="n"/>
      <c r="D2657" s="5" t="n"/>
      <c r="E2657" s="4">
        <f>IF(C2657="","",COUNTIF($C$7:C2657,C2657))</f>
        <v/>
      </c>
      <c r="F2657" s="4">
        <f>IF(E2657="","",IF(E2657&lt;=3,6,IF(E2657&lt;=6,5,IF(E2657&lt;=9,4,IF(E2657&lt;=12,3,IF(E2657&lt;=15,2,0))))))</f>
        <v/>
      </c>
      <c r="G2657" s="5" t="n"/>
      <c r="H2657" s="4">
        <f>IF(OR(F2657="",G2657=""),"",F2657*G2657+IF(J2657="",0,J2657))</f>
        <v/>
      </c>
      <c r="I2657" s="5" t="n"/>
      <c r="J2657" s="5" t="n"/>
    </row>
    <row r="2658">
      <c r="A2658" s="5" t="n"/>
      <c r="B2658" s="5" t="n"/>
      <c r="C2658" s="5" t="n"/>
      <c r="D2658" s="5" t="n"/>
      <c r="E2658" s="4">
        <f>IF(C2658="","",COUNTIF($C$7:C2658,C2658))</f>
        <v/>
      </c>
      <c r="F2658" s="4">
        <f>IF(E2658="","",IF(E2658&lt;=3,6,IF(E2658&lt;=6,5,IF(E2658&lt;=9,4,IF(E2658&lt;=12,3,IF(E2658&lt;=15,2,0))))))</f>
        <v/>
      </c>
      <c r="G2658" s="5" t="n"/>
      <c r="H2658" s="4">
        <f>IF(OR(F2658="",G2658=""),"",F2658*G2658+IF(J2658="",0,J2658))</f>
        <v/>
      </c>
      <c r="I2658" s="5" t="n"/>
      <c r="J2658" s="5" t="n"/>
    </row>
    <row r="2659">
      <c r="A2659" s="5" t="n"/>
      <c r="B2659" s="5" t="n"/>
      <c r="C2659" s="5" t="n"/>
      <c r="D2659" s="5" t="n"/>
      <c r="E2659" s="4">
        <f>IF(C2659="","",COUNTIF($C$7:C2659,C2659))</f>
        <v/>
      </c>
      <c r="F2659" s="4">
        <f>IF(E2659="","",IF(E2659&lt;=3,6,IF(E2659&lt;=6,5,IF(E2659&lt;=9,4,IF(E2659&lt;=12,3,IF(E2659&lt;=15,2,0))))))</f>
        <v/>
      </c>
      <c r="G2659" s="5" t="n"/>
      <c r="H2659" s="4">
        <f>IF(OR(F2659="",G2659=""),"",F2659*G2659+IF(J2659="",0,J2659))</f>
        <v/>
      </c>
      <c r="I2659" s="5" t="n"/>
      <c r="J2659" s="5" t="n"/>
    </row>
    <row r="2660">
      <c r="A2660" s="5" t="n"/>
      <c r="B2660" s="5" t="n"/>
      <c r="C2660" s="5" t="n"/>
      <c r="D2660" s="5" t="n"/>
      <c r="E2660" s="4">
        <f>IF(C2660="","",COUNTIF($C$7:C2660,C2660))</f>
        <v/>
      </c>
      <c r="F2660" s="4">
        <f>IF(E2660="","",IF(E2660&lt;=3,6,IF(E2660&lt;=6,5,IF(E2660&lt;=9,4,IF(E2660&lt;=12,3,IF(E2660&lt;=15,2,0))))))</f>
        <v/>
      </c>
      <c r="G2660" s="5" t="n"/>
      <c r="H2660" s="4">
        <f>IF(OR(F2660="",G2660=""),"",F2660*G2660+IF(J2660="",0,J2660))</f>
        <v/>
      </c>
      <c r="I2660" s="5" t="n"/>
      <c r="J2660" s="5" t="n"/>
    </row>
    <row r="2661">
      <c r="A2661" s="5" t="n"/>
      <c r="B2661" s="5" t="n"/>
      <c r="C2661" s="5" t="n"/>
      <c r="D2661" s="5" t="n"/>
      <c r="E2661" s="4">
        <f>IF(C2661="","",COUNTIF($C$7:C2661,C2661))</f>
        <v/>
      </c>
      <c r="F2661" s="4">
        <f>IF(E2661="","",IF(E2661&lt;=3,6,IF(E2661&lt;=6,5,IF(E2661&lt;=9,4,IF(E2661&lt;=12,3,IF(E2661&lt;=15,2,0))))))</f>
        <v/>
      </c>
      <c r="G2661" s="5" t="n"/>
      <c r="H2661" s="4">
        <f>IF(OR(F2661="",G2661=""),"",F2661*G2661+IF(J2661="",0,J2661))</f>
        <v/>
      </c>
      <c r="I2661" s="5" t="n"/>
      <c r="J2661" s="5" t="n"/>
    </row>
    <row r="2662">
      <c r="A2662" s="5" t="n"/>
      <c r="B2662" s="5" t="n"/>
      <c r="C2662" s="5" t="n"/>
      <c r="D2662" s="5" t="n"/>
      <c r="E2662" s="4">
        <f>IF(C2662="","",COUNTIF($C$7:C2662,C2662))</f>
        <v/>
      </c>
      <c r="F2662" s="4">
        <f>IF(E2662="","",IF(E2662&lt;=3,6,IF(E2662&lt;=6,5,IF(E2662&lt;=9,4,IF(E2662&lt;=12,3,IF(E2662&lt;=15,2,0))))))</f>
        <v/>
      </c>
      <c r="G2662" s="5" t="n"/>
      <c r="H2662" s="4">
        <f>IF(OR(F2662="",G2662=""),"",F2662*G2662+IF(J2662="",0,J2662))</f>
        <v/>
      </c>
      <c r="I2662" s="5" t="n"/>
      <c r="J2662" s="5" t="n"/>
    </row>
    <row r="2663">
      <c r="A2663" s="5" t="n"/>
      <c r="B2663" s="5" t="n"/>
      <c r="C2663" s="5" t="n"/>
      <c r="D2663" s="5" t="n"/>
      <c r="E2663" s="4">
        <f>IF(C2663="","",COUNTIF($C$7:C2663,C2663))</f>
        <v/>
      </c>
      <c r="F2663" s="4">
        <f>IF(E2663="","",IF(E2663&lt;=3,6,IF(E2663&lt;=6,5,IF(E2663&lt;=9,4,IF(E2663&lt;=12,3,IF(E2663&lt;=15,2,0))))))</f>
        <v/>
      </c>
      <c r="G2663" s="5" t="n"/>
      <c r="H2663" s="4">
        <f>IF(OR(F2663="",G2663=""),"",F2663*G2663+IF(J2663="",0,J2663))</f>
        <v/>
      </c>
      <c r="I2663" s="5" t="n"/>
      <c r="J2663" s="5" t="n"/>
    </row>
    <row r="2664">
      <c r="A2664" s="5" t="n"/>
      <c r="B2664" s="5" t="n"/>
      <c r="C2664" s="5" t="n"/>
      <c r="D2664" s="5" t="n"/>
      <c r="E2664" s="4">
        <f>IF(C2664="","",COUNTIF($C$7:C2664,C2664))</f>
        <v/>
      </c>
      <c r="F2664" s="4">
        <f>IF(E2664="","",IF(E2664&lt;=3,6,IF(E2664&lt;=6,5,IF(E2664&lt;=9,4,IF(E2664&lt;=12,3,IF(E2664&lt;=15,2,0))))))</f>
        <v/>
      </c>
      <c r="G2664" s="5" t="n"/>
      <c r="H2664" s="4">
        <f>IF(OR(F2664="",G2664=""),"",F2664*G2664+IF(J2664="",0,J2664))</f>
        <v/>
      </c>
      <c r="I2664" s="5" t="n"/>
      <c r="J2664" s="5" t="n"/>
    </row>
    <row r="2665">
      <c r="A2665" s="5" t="n"/>
      <c r="B2665" s="5" t="n"/>
      <c r="C2665" s="5" t="n"/>
      <c r="D2665" s="5" t="n"/>
      <c r="E2665" s="4">
        <f>IF(C2665="","",COUNTIF($C$7:C2665,C2665))</f>
        <v/>
      </c>
      <c r="F2665" s="4">
        <f>IF(E2665="","",IF(E2665&lt;=3,6,IF(E2665&lt;=6,5,IF(E2665&lt;=9,4,IF(E2665&lt;=12,3,IF(E2665&lt;=15,2,0))))))</f>
        <v/>
      </c>
      <c r="G2665" s="5" t="n"/>
      <c r="H2665" s="4">
        <f>IF(OR(F2665="",G2665=""),"",F2665*G2665+IF(J2665="",0,J2665))</f>
        <v/>
      </c>
      <c r="I2665" s="5" t="n"/>
      <c r="J2665" s="5" t="n"/>
    </row>
    <row r="2666">
      <c r="A2666" s="5" t="n"/>
      <c r="B2666" s="5" t="n"/>
      <c r="C2666" s="5" t="n"/>
      <c r="D2666" s="5" t="n"/>
      <c r="E2666" s="4">
        <f>IF(C2666="","",COUNTIF($C$7:C2666,C2666))</f>
        <v/>
      </c>
      <c r="F2666" s="4">
        <f>IF(E2666="","",IF(E2666&lt;=3,6,IF(E2666&lt;=6,5,IF(E2666&lt;=9,4,IF(E2666&lt;=12,3,IF(E2666&lt;=15,2,0))))))</f>
        <v/>
      </c>
      <c r="G2666" s="5" t="n"/>
      <c r="H2666" s="4">
        <f>IF(OR(F2666="",G2666=""),"",F2666*G2666+IF(J2666="",0,J2666))</f>
        <v/>
      </c>
      <c r="I2666" s="5" t="n"/>
      <c r="J2666" s="5" t="n"/>
    </row>
    <row r="2667">
      <c r="A2667" s="5" t="n"/>
      <c r="B2667" s="5" t="n"/>
      <c r="C2667" s="5" t="n"/>
      <c r="D2667" s="5" t="n"/>
      <c r="E2667" s="4">
        <f>IF(C2667="","",COUNTIF($C$7:C2667,C2667))</f>
        <v/>
      </c>
      <c r="F2667" s="4">
        <f>IF(E2667="","",IF(E2667&lt;=3,6,IF(E2667&lt;=6,5,IF(E2667&lt;=9,4,IF(E2667&lt;=12,3,IF(E2667&lt;=15,2,0))))))</f>
        <v/>
      </c>
      <c r="G2667" s="5" t="n"/>
      <c r="H2667" s="4">
        <f>IF(OR(F2667="",G2667=""),"",F2667*G2667+IF(J2667="",0,J2667))</f>
        <v/>
      </c>
      <c r="I2667" s="5" t="n"/>
      <c r="J2667" s="5" t="n"/>
    </row>
    <row r="2668">
      <c r="A2668" s="5" t="n"/>
      <c r="B2668" s="5" t="n"/>
      <c r="C2668" s="5" t="n"/>
      <c r="D2668" s="5" t="n"/>
      <c r="E2668" s="4">
        <f>IF(C2668="","",COUNTIF($C$7:C2668,C2668))</f>
        <v/>
      </c>
      <c r="F2668" s="4">
        <f>IF(E2668="","",IF(E2668&lt;=3,6,IF(E2668&lt;=6,5,IF(E2668&lt;=9,4,IF(E2668&lt;=12,3,IF(E2668&lt;=15,2,0))))))</f>
        <v/>
      </c>
      <c r="G2668" s="5" t="n"/>
      <c r="H2668" s="4">
        <f>IF(OR(F2668="",G2668=""),"",F2668*G2668+IF(J2668="",0,J2668))</f>
        <v/>
      </c>
      <c r="I2668" s="5" t="n"/>
      <c r="J2668" s="5" t="n"/>
    </row>
    <row r="2669">
      <c r="A2669" s="5" t="n"/>
      <c r="B2669" s="5" t="n"/>
      <c r="C2669" s="5" t="n"/>
      <c r="D2669" s="5" t="n"/>
      <c r="E2669" s="4">
        <f>IF(C2669="","",COUNTIF($C$7:C2669,C2669))</f>
        <v/>
      </c>
      <c r="F2669" s="4">
        <f>IF(E2669="","",IF(E2669&lt;=3,6,IF(E2669&lt;=6,5,IF(E2669&lt;=9,4,IF(E2669&lt;=12,3,IF(E2669&lt;=15,2,0))))))</f>
        <v/>
      </c>
      <c r="G2669" s="5" t="n"/>
      <c r="H2669" s="4">
        <f>IF(OR(F2669="",G2669=""),"",F2669*G2669+IF(J2669="",0,J2669))</f>
        <v/>
      </c>
      <c r="I2669" s="5" t="n"/>
      <c r="J2669" s="5" t="n"/>
    </row>
    <row r="2670">
      <c r="A2670" s="5" t="n"/>
      <c r="B2670" s="5" t="n"/>
      <c r="C2670" s="5" t="n"/>
      <c r="D2670" s="5" t="n"/>
      <c r="E2670" s="4">
        <f>IF(C2670="","",COUNTIF($C$7:C2670,C2670))</f>
        <v/>
      </c>
      <c r="F2670" s="4">
        <f>IF(E2670="","",IF(E2670&lt;=3,6,IF(E2670&lt;=6,5,IF(E2670&lt;=9,4,IF(E2670&lt;=12,3,IF(E2670&lt;=15,2,0))))))</f>
        <v/>
      </c>
      <c r="G2670" s="5" t="n"/>
      <c r="H2670" s="4">
        <f>IF(OR(F2670="",G2670=""),"",F2670*G2670+IF(J2670="",0,J2670))</f>
        <v/>
      </c>
      <c r="I2670" s="5" t="n"/>
      <c r="J2670" s="5" t="n"/>
    </row>
    <row r="2671">
      <c r="A2671" s="5" t="n"/>
      <c r="B2671" s="5" t="n"/>
      <c r="C2671" s="5" t="n"/>
      <c r="D2671" s="5" t="n"/>
      <c r="E2671" s="4">
        <f>IF(C2671="","",COUNTIF($C$7:C2671,C2671))</f>
        <v/>
      </c>
      <c r="F2671" s="4">
        <f>IF(E2671="","",IF(E2671&lt;=3,6,IF(E2671&lt;=6,5,IF(E2671&lt;=9,4,IF(E2671&lt;=12,3,IF(E2671&lt;=15,2,0))))))</f>
        <v/>
      </c>
      <c r="G2671" s="5" t="n"/>
      <c r="H2671" s="4">
        <f>IF(OR(F2671="",G2671=""),"",F2671*G2671+IF(J2671="",0,J2671))</f>
        <v/>
      </c>
      <c r="I2671" s="5" t="n"/>
      <c r="J2671" s="5" t="n"/>
    </row>
    <row r="2672">
      <c r="A2672" s="5" t="n"/>
      <c r="B2672" s="5" t="n"/>
      <c r="C2672" s="5" t="n"/>
      <c r="D2672" s="5" t="n"/>
      <c r="E2672" s="4">
        <f>IF(C2672="","",COUNTIF($C$7:C2672,C2672))</f>
        <v/>
      </c>
      <c r="F2672" s="4">
        <f>IF(E2672="","",IF(E2672&lt;=3,6,IF(E2672&lt;=6,5,IF(E2672&lt;=9,4,IF(E2672&lt;=12,3,IF(E2672&lt;=15,2,0))))))</f>
        <v/>
      </c>
      <c r="G2672" s="5" t="n"/>
      <c r="H2672" s="4">
        <f>IF(OR(F2672="",G2672=""),"",F2672*G2672+IF(J2672="",0,J2672))</f>
        <v/>
      </c>
      <c r="I2672" s="5" t="n"/>
      <c r="J2672" s="5" t="n"/>
    </row>
    <row r="2673">
      <c r="A2673" s="5" t="n"/>
      <c r="B2673" s="5" t="n"/>
      <c r="C2673" s="5" t="n"/>
      <c r="D2673" s="5" t="n"/>
      <c r="E2673" s="4">
        <f>IF(C2673="","",COUNTIF($C$7:C2673,C2673))</f>
        <v/>
      </c>
      <c r="F2673" s="4">
        <f>IF(E2673="","",IF(E2673&lt;=3,6,IF(E2673&lt;=6,5,IF(E2673&lt;=9,4,IF(E2673&lt;=12,3,IF(E2673&lt;=15,2,0))))))</f>
        <v/>
      </c>
      <c r="G2673" s="5" t="n"/>
      <c r="H2673" s="4">
        <f>IF(OR(F2673="",G2673=""),"",F2673*G2673+IF(J2673="",0,J2673))</f>
        <v/>
      </c>
      <c r="I2673" s="5" t="n"/>
      <c r="J2673" s="5" t="n"/>
    </row>
    <row r="2674">
      <c r="A2674" s="5" t="n"/>
      <c r="B2674" s="5" t="n"/>
      <c r="C2674" s="5" t="n"/>
      <c r="D2674" s="5" t="n"/>
      <c r="E2674" s="4">
        <f>IF(C2674="","",COUNTIF($C$7:C2674,C2674))</f>
        <v/>
      </c>
      <c r="F2674" s="4">
        <f>IF(E2674="","",IF(E2674&lt;=3,6,IF(E2674&lt;=6,5,IF(E2674&lt;=9,4,IF(E2674&lt;=12,3,IF(E2674&lt;=15,2,0))))))</f>
        <v/>
      </c>
      <c r="G2674" s="5" t="n"/>
      <c r="H2674" s="4">
        <f>IF(OR(F2674="",G2674=""),"",F2674*G2674+IF(J2674="",0,J2674))</f>
        <v/>
      </c>
      <c r="I2674" s="5" t="n"/>
      <c r="J2674" s="5" t="n"/>
    </row>
    <row r="2675">
      <c r="A2675" s="5" t="n"/>
      <c r="B2675" s="5" t="n"/>
      <c r="C2675" s="5" t="n"/>
      <c r="D2675" s="5" t="n"/>
      <c r="E2675" s="4">
        <f>IF(C2675="","",COUNTIF($C$7:C2675,C2675))</f>
        <v/>
      </c>
      <c r="F2675" s="4">
        <f>IF(E2675="","",IF(E2675&lt;=3,6,IF(E2675&lt;=6,5,IF(E2675&lt;=9,4,IF(E2675&lt;=12,3,IF(E2675&lt;=15,2,0))))))</f>
        <v/>
      </c>
      <c r="G2675" s="5" t="n"/>
      <c r="H2675" s="4">
        <f>IF(OR(F2675="",G2675=""),"",F2675*G2675+IF(J2675="",0,J2675))</f>
        <v/>
      </c>
      <c r="I2675" s="5" t="n"/>
      <c r="J2675" s="5" t="n"/>
    </row>
    <row r="2676">
      <c r="A2676" s="5" t="n"/>
      <c r="B2676" s="5" t="n"/>
      <c r="C2676" s="5" t="n"/>
      <c r="D2676" s="5" t="n"/>
      <c r="E2676" s="4">
        <f>IF(C2676="","",COUNTIF($C$7:C2676,C2676))</f>
        <v/>
      </c>
      <c r="F2676" s="4">
        <f>IF(E2676="","",IF(E2676&lt;=3,6,IF(E2676&lt;=6,5,IF(E2676&lt;=9,4,IF(E2676&lt;=12,3,IF(E2676&lt;=15,2,0))))))</f>
        <v/>
      </c>
      <c r="G2676" s="5" t="n"/>
      <c r="H2676" s="4">
        <f>IF(OR(F2676="",G2676=""),"",F2676*G2676+IF(J2676="",0,J2676))</f>
        <v/>
      </c>
      <c r="I2676" s="5" t="n"/>
      <c r="J2676" s="5" t="n"/>
    </row>
    <row r="2677">
      <c r="A2677" s="5" t="n"/>
      <c r="B2677" s="5" t="n"/>
      <c r="C2677" s="5" t="n"/>
      <c r="D2677" s="5" t="n"/>
      <c r="E2677" s="4">
        <f>IF(C2677="","",COUNTIF($C$7:C2677,C2677))</f>
        <v/>
      </c>
      <c r="F2677" s="4">
        <f>IF(E2677="","",IF(E2677&lt;=3,6,IF(E2677&lt;=6,5,IF(E2677&lt;=9,4,IF(E2677&lt;=12,3,IF(E2677&lt;=15,2,0))))))</f>
        <v/>
      </c>
      <c r="G2677" s="5" t="n"/>
      <c r="H2677" s="4">
        <f>IF(OR(F2677="",G2677=""),"",F2677*G2677+IF(J2677="",0,J2677))</f>
        <v/>
      </c>
      <c r="I2677" s="5" t="n"/>
      <c r="J2677" s="5" t="n"/>
    </row>
    <row r="2678">
      <c r="A2678" s="5" t="n"/>
      <c r="B2678" s="5" t="n"/>
      <c r="C2678" s="5" t="n"/>
      <c r="D2678" s="5" t="n"/>
      <c r="E2678" s="4">
        <f>IF(C2678="","",COUNTIF($C$7:C2678,C2678))</f>
        <v/>
      </c>
      <c r="F2678" s="4">
        <f>IF(E2678="","",IF(E2678&lt;=3,6,IF(E2678&lt;=6,5,IF(E2678&lt;=9,4,IF(E2678&lt;=12,3,IF(E2678&lt;=15,2,0))))))</f>
        <v/>
      </c>
      <c r="G2678" s="5" t="n"/>
      <c r="H2678" s="4">
        <f>IF(OR(F2678="",G2678=""),"",F2678*G2678+IF(J2678="",0,J2678))</f>
        <v/>
      </c>
      <c r="I2678" s="5" t="n"/>
      <c r="J2678" s="5" t="n"/>
    </row>
    <row r="2679">
      <c r="A2679" s="5" t="n"/>
      <c r="B2679" s="5" t="n"/>
      <c r="C2679" s="5" t="n"/>
      <c r="D2679" s="5" t="n"/>
      <c r="E2679" s="4">
        <f>IF(C2679="","",COUNTIF($C$7:C2679,C2679))</f>
        <v/>
      </c>
      <c r="F2679" s="4">
        <f>IF(E2679="","",IF(E2679&lt;=3,6,IF(E2679&lt;=6,5,IF(E2679&lt;=9,4,IF(E2679&lt;=12,3,IF(E2679&lt;=15,2,0))))))</f>
        <v/>
      </c>
      <c r="G2679" s="5" t="n"/>
      <c r="H2679" s="4">
        <f>IF(OR(F2679="",G2679=""),"",F2679*G2679+IF(J2679="",0,J2679))</f>
        <v/>
      </c>
      <c r="I2679" s="5" t="n"/>
      <c r="J2679" s="5" t="n"/>
    </row>
    <row r="2680">
      <c r="A2680" s="5" t="n"/>
      <c r="B2680" s="5" t="n"/>
      <c r="C2680" s="5" t="n"/>
      <c r="D2680" s="5" t="n"/>
      <c r="E2680" s="4">
        <f>IF(C2680="","",COUNTIF($C$7:C2680,C2680))</f>
        <v/>
      </c>
      <c r="F2680" s="4">
        <f>IF(E2680="","",IF(E2680&lt;=3,6,IF(E2680&lt;=6,5,IF(E2680&lt;=9,4,IF(E2680&lt;=12,3,IF(E2680&lt;=15,2,0))))))</f>
        <v/>
      </c>
      <c r="G2680" s="5" t="n"/>
      <c r="H2680" s="4">
        <f>IF(OR(F2680="",G2680=""),"",F2680*G2680+IF(J2680="",0,J2680))</f>
        <v/>
      </c>
      <c r="I2680" s="5" t="n"/>
      <c r="J2680" s="5" t="n"/>
    </row>
    <row r="2681">
      <c r="A2681" s="5" t="n"/>
      <c r="B2681" s="5" t="n"/>
      <c r="C2681" s="5" t="n"/>
      <c r="D2681" s="5" t="n"/>
      <c r="E2681" s="4">
        <f>IF(C2681="","",COUNTIF($C$7:C2681,C2681))</f>
        <v/>
      </c>
      <c r="F2681" s="4">
        <f>IF(E2681="","",IF(E2681&lt;=3,6,IF(E2681&lt;=6,5,IF(E2681&lt;=9,4,IF(E2681&lt;=12,3,IF(E2681&lt;=15,2,0))))))</f>
        <v/>
      </c>
      <c r="G2681" s="5" t="n"/>
      <c r="H2681" s="4">
        <f>IF(OR(F2681="",G2681=""),"",F2681*G2681+IF(J2681="",0,J2681))</f>
        <v/>
      </c>
      <c r="I2681" s="5" t="n"/>
      <c r="J2681" s="5" t="n"/>
    </row>
    <row r="2682">
      <c r="A2682" s="5" t="n"/>
      <c r="B2682" s="5" t="n"/>
      <c r="C2682" s="5" t="n"/>
      <c r="D2682" s="5" t="n"/>
      <c r="E2682" s="4">
        <f>IF(C2682="","",COUNTIF($C$7:C2682,C2682))</f>
        <v/>
      </c>
      <c r="F2682" s="4">
        <f>IF(E2682="","",IF(E2682&lt;=3,6,IF(E2682&lt;=6,5,IF(E2682&lt;=9,4,IF(E2682&lt;=12,3,IF(E2682&lt;=15,2,0))))))</f>
        <v/>
      </c>
      <c r="G2682" s="5" t="n"/>
      <c r="H2682" s="4">
        <f>IF(OR(F2682="",G2682=""),"",F2682*G2682+IF(J2682="",0,J2682))</f>
        <v/>
      </c>
      <c r="I2682" s="5" t="n"/>
      <c r="J2682" s="5" t="n"/>
    </row>
    <row r="2683">
      <c r="A2683" s="5" t="n"/>
      <c r="B2683" s="5" t="n"/>
      <c r="C2683" s="5" t="n"/>
      <c r="D2683" s="5" t="n"/>
      <c r="E2683" s="4">
        <f>IF(C2683="","",COUNTIF($C$7:C2683,C2683))</f>
        <v/>
      </c>
      <c r="F2683" s="4">
        <f>IF(E2683="","",IF(E2683&lt;=3,6,IF(E2683&lt;=6,5,IF(E2683&lt;=9,4,IF(E2683&lt;=12,3,IF(E2683&lt;=15,2,0))))))</f>
        <v/>
      </c>
      <c r="G2683" s="5" t="n"/>
      <c r="H2683" s="4">
        <f>IF(OR(F2683="",G2683=""),"",F2683*G2683+IF(J2683="",0,J2683))</f>
        <v/>
      </c>
      <c r="I2683" s="5" t="n"/>
      <c r="J2683" s="5" t="n"/>
    </row>
    <row r="2684">
      <c r="A2684" s="5" t="n"/>
      <c r="B2684" s="5" t="n"/>
      <c r="C2684" s="5" t="n"/>
      <c r="D2684" s="5" t="n"/>
      <c r="E2684" s="4">
        <f>IF(C2684="","",COUNTIF($C$7:C2684,C2684))</f>
        <v/>
      </c>
      <c r="F2684" s="4">
        <f>IF(E2684="","",IF(E2684&lt;=3,6,IF(E2684&lt;=6,5,IF(E2684&lt;=9,4,IF(E2684&lt;=12,3,IF(E2684&lt;=15,2,0))))))</f>
        <v/>
      </c>
      <c r="G2684" s="5" t="n"/>
      <c r="H2684" s="4">
        <f>IF(OR(F2684="",G2684=""),"",F2684*G2684+IF(J2684="",0,J2684))</f>
        <v/>
      </c>
      <c r="I2684" s="5" t="n"/>
      <c r="J2684" s="5" t="n"/>
    </row>
    <row r="2685">
      <c r="A2685" s="5" t="n"/>
      <c r="B2685" s="5" t="n"/>
      <c r="C2685" s="5" t="n"/>
      <c r="D2685" s="5" t="n"/>
      <c r="E2685" s="4">
        <f>IF(C2685="","",COUNTIF($C$7:C2685,C2685))</f>
        <v/>
      </c>
      <c r="F2685" s="4">
        <f>IF(E2685="","",IF(E2685&lt;=3,6,IF(E2685&lt;=6,5,IF(E2685&lt;=9,4,IF(E2685&lt;=12,3,IF(E2685&lt;=15,2,0))))))</f>
        <v/>
      </c>
      <c r="G2685" s="5" t="n"/>
      <c r="H2685" s="4">
        <f>IF(OR(F2685="",G2685=""),"",F2685*G2685+IF(J2685="",0,J2685))</f>
        <v/>
      </c>
      <c r="I2685" s="5" t="n"/>
      <c r="J2685" s="5" t="n"/>
    </row>
    <row r="2686">
      <c r="A2686" s="5" t="n"/>
      <c r="B2686" s="5" t="n"/>
      <c r="C2686" s="5" t="n"/>
      <c r="D2686" s="5" t="n"/>
      <c r="E2686" s="4">
        <f>IF(C2686="","",COUNTIF($C$7:C2686,C2686))</f>
        <v/>
      </c>
      <c r="F2686" s="4">
        <f>IF(E2686="","",IF(E2686&lt;=3,6,IF(E2686&lt;=6,5,IF(E2686&lt;=9,4,IF(E2686&lt;=12,3,IF(E2686&lt;=15,2,0))))))</f>
        <v/>
      </c>
      <c r="G2686" s="5" t="n"/>
      <c r="H2686" s="4">
        <f>IF(OR(F2686="",G2686=""),"",F2686*G2686+IF(J2686="",0,J2686))</f>
        <v/>
      </c>
      <c r="I2686" s="5" t="n"/>
      <c r="J2686" s="5" t="n"/>
    </row>
    <row r="2687">
      <c r="A2687" s="5" t="n"/>
      <c r="B2687" s="5" t="n"/>
      <c r="C2687" s="5" t="n"/>
      <c r="D2687" s="5" t="n"/>
      <c r="E2687" s="4">
        <f>IF(C2687="","",COUNTIF($C$7:C2687,C2687))</f>
        <v/>
      </c>
      <c r="F2687" s="4">
        <f>IF(E2687="","",IF(E2687&lt;=3,6,IF(E2687&lt;=6,5,IF(E2687&lt;=9,4,IF(E2687&lt;=12,3,IF(E2687&lt;=15,2,0))))))</f>
        <v/>
      </c>
      <c r="G2687" s="5" t="n"/>
      <c r="H2687" s="4">
        <f>IF(OR(F2687="",G2687=""),"",F2687*G2687+IF(J2687="",0,J2687))</f>
        <v/>
      </c>
      <c r="I2687" s="5" t="n"/>
      <c r="J2687" s="5" t="n"/>
    </row>
    <row r="2688">
      <c r="A2688" s="5" t="n"/>
      <c r="B2688" s="5" t="n"/>
      <c r="C2688" s="5" t="n"/>
      <c r="D2688" s="5" t="n"/>
      <c r="E2688" s="4">
        <f>IF(C2688="","",COUNTIF($C$7:C2688,C2688))</f>
        <v/>
      </c>
      <c r="F2688" s="4">
        <f>IF(E2688="","",IF(E2688&lt;=3,6,IF(E2688&lt;=6,5,IF(E2688&lt;=9,4,IF(E2688&lt;=12,3,IF(E2688&lt;=15,2,0))))))</f>
        <v/>
      </c>
      <c r="G2688" s="5" t="n"/>
      <c r="H2688" s="4">
        <f>IF(OR(F2688="",G2688=""),"",F2688*G2688+IF(J2688="",0,J2688))</f>
        <v/>
      </c>
      <c r="I2688" s="5" t="n"/>
      <c r="J2688" s="5" t="n"/>
    </row>
    <row r="2689">
      <c r="A2689" s="5" t="n"/>
      <c r="B2689" s="5" t="n"/>
      <c r="C2689" s="5" t="n"/>
      <c r="D2689" s="5" t="n"/>
      <c r="E2689" s="4">
        <f>IF(C2689="","",COUNTIF($C$7:C2689,C2689))</f>
        <v/>
      </c>
      <c r="F2689" s="4">
        <f>IF(E2689="","",IF(E2689&lt;=3,6,IF(E2689&lt;=6,5,IF(E2689&lt;=9,4,IF(E2689&lt;=12,3,IF(E2689&lt;=15,2,0))))))</f>
        <v/>
      </c>
      <c r="G2689" s="5" t="n"/>
      <c r="H2689" s="4">
        <f>IF(OR(F2689="",G2689=""),"",F2689*G2689+IF(J2689="",0,J2689))</f>
        <v/>
      </c>
      <c r="I2689" s="5" t="n"/>
      <c r="J2689" s="5" t="n"/>
    </row>
    <row r="2690">
      <c r="A2690" s="5" t="n"/>
      <c r="B2690" s="5" t="n"/>
      <c r="C2690" s="5" t="n"/>
      <c r="D2690" s="5" t="n"/>
      <c r="E2690" s="4">
        <f>IF(C2690="","",COUNTIF($C$7:C2690,C2690))</f>
        <v/>
      </c>
      <c r="F2690" s="4">
        <f>IF(E2690="","",IF(E2690&lt;=3,6,IF(E2690&lt;=6,5,IF(E2690&lt;=9,4,IF(E2690&lt;=12,3,IF(E2690&lt;=15,2,0))))))</f>
        <v/>
      </c>
      <c r="G2690" s="5" t="n"/>
      <c r="H2690" s="4">
        <f>IF(OR(F2690="",G2690=""),"",F2690*G2690+IF(J2690="",0,J2690))</f>
        <v/>
      </c>
      <c r="I2690" s="5" t="n"/>
      <c r="J2690" s="5" t="n"/>
    </row>
    <row r="2691">
      <c r="A2691" s="5" t="n"/>
      <c r="B2691" s="5" t="n"/>
      <c r="C2691" s="5" t="n"/>
      <c r="D2691" s="5" t="n"/>
      <c r="E2691" s="4">
        <f>IF(C2691="","",COUNTIF($C$7:C2691,C2691))</f>
        <v/>
      </c>
      <c r="F2691" s="4">
        <f>IF(E2691="","",IF(E2691&lt;=3,6,IF(E2691&lt;=6,5,IF(E2691&lt;=9,4,IF(E2691&lt;=12,3,IF(E2691&lt;=15,2,0))))))</f>
        <v/>
      </c>
      <c r="G2691" s="5" t="n"/>
      <c r="H2691" s="4">
        <f>IF(OR(F2691="",G2691=""),"",F2691*G2691+IF(J2691="",0,J2691))</f>
        <v/>
      </c>
      <c r="I2691" s="5" t="n"/>
      <c r="J2691" s="5" t="n"/>
    </row>
    <row r="2692">
      <c r="A2692" s="5" t="n"/>
      <c r="B2692" s="5" t="n"/>
      <c r="C2692" s="5" t="n"/>
      <c r="D2692" s="5" t="n"/>
      <c r="E2692" s="4">
        <f>IF(C2692="","",COUNTIF($C$7:C2692,C2692))</f>
        <v/>
      </c>
      <c r="F2692" s="4">
        <f>IF(E2692="","",IF(E2692&lt;=3,6,IF(E2692&lt;=6,5,IF(E2692&lt;=9,4,IF(E2692&lt;=12,3,IF(E2692&lt;=15,2,0))))))</f>
        <v/>
      </c>
      <c r="G2692" s="5" t="n"/>
      <c r="H2692" s="4">
        <f>IF(OR(F2692="",G2692=""),"",F2692*G2692+IF(J2692="",0,J2692))</f>
        <v/>
      </c>
      <c r="I2692" s="5" t="n"/>
      <c r="J2692" s="5" t="n"/>
    </row>
    <row r="2693">
      <c r="A2693" s="5" t="n"/>
      <c r="B2693" s="5" t="n"/>
      <c r="C2693" s="5" t="n"/>
      <c r="D2693" s="5" t="n"/>
      <c r="E2693" s="4">
        <f>IF(C2693="","",COUNTIF($C$7:C2693,C2693))</f>
        <v/>
      </c>
      <c r="F2693" s="4">
        <f>IF(E2693="","",IF(E2693&lt;=3,6,IF(E2693&lt;=6,5,IF(E2693&lt;=9,4,IF(E2693&lt;=12,3,IF(E2693&lt;=15,2,0))))))</f>
        <v/>
      </c>
      <c r="G2693" s="5" t="n"/>
      <c r="H2693" s="4">
        <f>IF(OR(F2693="",G2693=""),"",F2693*G2693+IF(J2693="",0,J2693))</f>
        <v/>
      </c>
      <c r="I2693" s="5" t="n"/>
      <c r="J2693" s="5" t="n"/>
    </row>
    <row r="2694">
      <c r="A2694" s="5" t="n"/>
      <c r="B2694" s="5" t="n"/>
      <c r="C2694" s="5" t="n"/>
      <c r="D2694" s="5" t="n"/>
      <c r="E2694" s="4">
        <f>IF(C2694="","",COUNTIF($C$7:C2694,C2694))</f>
        <v/>
      </c>
      <c r="F2694" s="4">
        <f>IF(E2694="","",IF(E2694&lt;=3,6,IF(E2694&lt;=6,5,IF(E2694&lt;=9,4,IF(E2694&lt;=12,3,IF(E2694&lt;=15,2,0))))))</f>
        <v/>
      </c>
      <c r="G2694" s="5" t="n"/>
      <c r="H2694" s="4">
        <f>IF(OR(F2694="",G2694=""),"",F2694*G2694+IF(J2694="",0,J2694))</f>
        <v/>
      </c>
      <c r="I2694" s="5" t="n"/>
      <c r="J2694" s="5" t="n"/>
    </row>
    <row r="2695">
      <c r="A2695" s="5" t="n"/>
      <c r="B2695" s="5" t="n"/>
      <c r="C2695" s="5" t="n"/>
      <c r="D2695" s="5" t="n"/>
      <c r="E2695" s="4">
        <f>IF(C2695="","",COUNTIF($C$7:C2695,C2695))</f>
        <v/>
      </c>
      <c r="F2695" s="4">
        <f>IF(E2695="","",IF(E2695&lt;=3,6,IF(E2695&lt;=6,5,IF(E2695&lt;=9,4,IF(E2695&lt;=12,3,IF(E2695&lt;=15,2,0))))))</f>
        <v/>
      </c>
      <c r="G2695" s="5" t="n"/>
      <c r="H2695" s="4">
        <f>IF(OR(F2695="",G2695=""),"",F2695*G2695+IF(J2695="",0,J2695))</f>
        <v/>
      </c>
      <c r="I2695" s="5" t="n"/>
      <c r="J2695" s="5" t="n"/>
    </row>
    <row r="2696">
      <c r="A2696" s="5" t="n"/>
      <c r="B2696" s="5" t="n"/>
      <c r="C2696" s="5" t="n"/>
      <c r="D2696" s="5" t="n"/>
      <c r="E2696" s="4">
        <f>IF(C2696="","",COUNTIF($C$7:C2696,C2696))</f>
        <v/>
      </c>
      <c r="F2696" s="4">
        <f>IF(E2696="","",IF(E2696&lt;=3,6,IF(E2696&lt;=6,5,IF(E2696&lt;=9,4,IF(E2696&lt;=12,3,IF(E2696&lt;=15,2,0))))))</f>
        <v/>
      </c>
      <c r="G2696" s="5" t="n"/>
      <c r="H2696" s="4">
        <f>IF(OR(F2696="",G2696=""),"",F2696*G2696+IF(J2696="",0,J2696))</f>
        <v/>
      </c>
      <c r="I2696" s="5" t="n"/>
      <c r="J2696" s="5" t="n"/>
    </row>
    <row r="2697">
      <c r="A2697" s="5" t="n"/>
      <c r="B2697" s="5" t="n"/>
      <c r="C2697" s="5" t="n"/>
      <c r="D2697" s="5" t="n"/>
      <c r="E2697" s="4">
        <f>IF(C2697="","",COUNTIF($C$7:C2697,C2697))</f>
        <v/>
      </c>
      <c r="F2697" s="4">
        <f>IF(E2697="","",IF(E2697&lt;=3,6,IF(E2697&lt;=6,5,IF(E2697&lt;=9,4,IF(E2697&lt;=12,3,IF(E2697&lt;=15,2,0))))))</f>
        <v/>
      </c>
      <c r="G2697" s="5" t="n"/>
      <c r="H2697" s="4">
        <f>IF(OR(F2697="",G2697=""),"",F2697*G2697+IF(J2697="",0,J2697))</f>
        <v/>
      </c>
      <c r="I2697" s="5" t="n"/>
      <c r="J2697" s="5" t="n"/>
    </row>
    <row r="2698">
      <c r="A2698" s="5" t="n"/>
      <c r="B2698" s="5" t="n"/>
      <c r="C2698" s="5" t="n"/>
      <c r="D2698" s="5" t="n"/>
      <c r="E2698" s="4">
        <f>IF(C2698="","",COUNTIF($C$7:C2698,C2698))</f>
        <v/>
      </c>
      <c r="F2698" s="4">
        <f>IF(E2698="","",IF(E2698&lt;=3,6,IF(E2698&lt;=6,5,IF(E2698&lt;=9,4,IF(E2698&lt;=12,3,IF(E2698&lt;=15,2,0))))))</f>
        <v/>
      </c>
      <c r="G2698" s="5" t="n"/>
      <c r="H2698" s="4">
        <f>IF(OR(F2698="",G2698=""),"",F2698*G2698+IF(J2698="",0,J2698))</f>
        <v/>
      </c>
      <c r="I2698" s="5" t="n"/>
      <c r="J2698" s="5" t="n"/>
    </row>
    <row r="2699">
      <c r="A2699" s="5" t="n"/>
      <c r="B2699" s="5" t="n"/>
      <c r="C2699" s="5" t="n"/>
      <c r="D2699" s="5" t="n"/>
      <c r="E2699" s="4">
        <f>IF(C2699="","",COUNTIF($C$7:C2699,C2699))</f>
        <v/>
      </c>
      <c r="F2699" s="4">
        <f>IF(E2699="","",IF(E2699&lt;=3,6,IF(E2699&lt;=6,5,IF(E2699&lt;=9,4,IF(E2699&lt;=12,3,IF(E2699&lt;=15,2,0))))))</f>
        <v/>
      </c>
      <c r="G2699" s="5" t="n"/>
      <c r="H2699" s="4">
        <f>IF(OR(F2699="",G2699=""),"",F2699*G2699+IF(J2699="",0,J2699))</f>
        <v/>
      </c>
      <c r="I2699" s="5" t="n"/>
      <c r="J2699" s="5" t="n"/>
    </row>
    <row r="2700">
      <c r="A2700" s="5" t="n"/>
      <c r="B2700" s="5" t="n"/>
      <c r="C2700" s="5" t="n"/>
      <c r="D2700" s="5" t="n"/>
      <c r="E2700" s="4">
        <f>IF(C2700="","",COUNTIF($C$7:C2700,C2700))</f>
        <v/>
      </c>
      <c r="F2700" s="4">
        <f>IF(E2700="","",IF(E2700&lt;=3,6,IF(E2700&lt;=6,5,IF(E2700&lt;=9,4,IF(E2700&lt;=12,3,IF(E2700&lt;=15,2,0))))))</f>
        <v/>
      </c>
      <c r="G2700" s="5" t="n"/>
      <c r="H2700" s="4">
        <f>IF(OR(F2700="",G2700=""),"",F2700*G2700+IF(J2700="",0,J2700))</f>
        <v/>
      </c>
      <c r="I2700" s="5" t="n"/>
      <c r="J2700" s="5" t="n"/>
    </row>
    <row r="2701">
      <c r="A2701" s="5" t="n"/>
      <c r="B2701" s="5" t="n"/>
      <c r="C2701" s="5" t="n"/>
      <c r="D2701" s="5" t="n"/>
      <c r="E2701" s="4">
        <f>IF(C2701="","",COUNTIF($C$7:C2701,C2701))</f>
        <v/>
      </c>
      <c r="F2701" s="4">
        <f>IF(E2701="","",IF(E2701&lt;=3,6,IF(E2701&lt;=6,5,IF(E2701&lt;=9,4,IF(E2701&lt;=12,3,IF(E2701&lt;=15,2,0))))))</f>
        <v/>
      </c>
      <c r="G2701" s="5" t="n"/>
      <c r="H2701" s="4">
        <f>IF(OR(F2701="",G2701=""),"",F2701*G2701+IF(J2701="",0,J2701))</f>
        <v/>
      </c>
      <c r="I2701" s="5" t="n"/>
      <c r="J2701" s="5" t="n"/>
    </row>
    <row r="2702">
      <c r="A2702" s="5" t="n"/>
      <c r="B2702" s="5" t="n"/>
      <c r="C2702" s="5" t="n"/>
      <c r="D2702" s="5" t="n"/>
      <c r="E2702" s="4">
        <f>IF(C2702="","",COUNTIF($C$7:C2702,C2702))</f>
        <v/>
      </c>
      <c r="F2702" s="4">
        <f>IF(E2702="","",IF(E2702&lt;=3,6,IF(E2702&lt;=6,5,IF(E2702&lt;=9,4,IF(E2702&lt;=12,3,IF(E2702&lt;=15,2,0))))))</f>
        <v/>
      </c>
      <c r="G2702" s="5" t="n"/>
      <c r="H2702" s="4">
        <f>IF(OR(F2702="",G2702=""),"",F2702*G2702+IF(J2702="",0,J2702))</f>
        <v/>
      </c>
      <c r="I2702" s="5" t="n"/>
      <c r="J2702" s="5" t="n"/>
    </row>
    <row r="2703">
      <c r="A2703" s="5" t="n"/>
      <c r="B2703" s="5" t="n"/>
      <c r="C2703" s="5" t="n"/>
      <c r="D2703" s="5" t="n"/>
      <c r="E2703" s="4">
        <f>IF(C2703="","",COUNTIF($C$7:C2703,C2703))</f>
        <v/>
      </c>
      <c r="F2703" s="4">
        <f>IF(E2703="","",IF(E2703&lt;=3,6,IF(E2703&lt;=6,5,IF(E2703&lt;=9,4,IF(E2703&lt;=12,3,IF(E2703&lt;=15,2,0))))))</f>
        <v/>
      </c>
      <c r="G2703" s="5" t="n"/>
      <c r="H2703" s="4">
        <f>IF(OR(F2703="",G2703=""),"",F2703*G2703+IF(J2703="",0,J2703))</f>
        <v/>
      </c>
      <c r="I2703" s="5" t="n"/>
      <c r="J2703" s="5" t="n"/>
    </row>
    <row r="2704">
      <c r="A2704" s="5" t="n"/>
      <c r="B2704" s="5" t="n"/>
      <c r="C2704" s="5" t="n"/>
      <c r="D2704" s="5" t="n"/>
      <c r="E2704" s="4">
        <f>IF(C2704="","",COUNTIF($C$7:C2704,C2704))</f>
        <v/>
      </c>
      <c r="F2704" s="4">
        <f>IF(E2704="","",IF(E2704&lt;=3,6,IF(E2704&lt;=6,5,IF(E2704&lt;=9,4,IF(E2704&lt;=12,3,IF(E2704&lt;=15,2,0))))))</f>
        <v/>
      </c>
      <c r="G2704" s="5" t="n"/>
      <c r="H2704" s="4">
        <f>IF(OR(F2704="",G2704=""),"",F2704*G2704+IF(J2704="",0,J2704))</f>
        <v/>
      </c>
      <c r="I2704" s="5" t="n"/>
      <c r="J2704" s="5" t="n"/>
    </row>
    <row r="2705">
      <c r="A2705" s="5" t="n"/>
      <c r="B2705" s="5" t="n"/>
      <c r="C2705" s="5" t="n"/>
      <c r="D2705" s="5" t="n"/>
      <c r="E2705" s="4">
        <f>IF(C2705="","",COUNTIF($C$7:C2705,C2705))</f>
        <v/>
      </c>
      <c r="F2705" s="4">
        <f>IF(E2705="","",IF(E2705&lt;=3,6,IF(E2705&lt;=6,5,IF(E2705&lt;=9,4,IF(E2705&lt;=12,3,IF(E2705&lt;=15,2,0))))))</f>
        <v/>
      </c>
      <c r="G2705" s="5" t="n"/>
      <c r="H2705" s="4">
        <f>IF(OR(F2705="",G2705=""),"",F2705*G2705+IF(J2705="",0,J2705))</f>
        <v/>
      </c>
      <c r="I2705" s="5" t="n"/>
      <c r="J2705" s="5" t="n"/>
    </row>
    <row r="2706">
      <c r="A2706" s="5" t="n"/>
      <c r="B2706" s="5" t="n"/>
      <c r="C2706" s="5" t="n"/>
      <c r="D2706" s="5" t="n"/>
      <c r="E2706" s="4">
        <f>IF(C2706="","",COUNTIF($C$7:C2706,C2706))</f>
        <v/>
      </c>
      <c r="F2706" s="4">
        <f>IF(E2706="","",IF(E2706&lt;=3,6,IF(E2706&lt;=6,5,IF(E2706&lt;=9,4,IF(E2706&lt;=12,3,IF(E2706&lt;=15,2,0))))))</f>
        <v/>
      </c>
      <c r="G2706" s="5" t="n"/>
      <c r="H2706" s="4">
        <f>IF(OR(F2706="",G2706=""),"",F2706*G2706+IF(J2706="",0,J2706))</f>
        <v/>
      </c>
      <c r="I2706" s="5" t="n"/>
      <c r="J2706" s="5" t="n"/>
    </row>
    <row r="2707">
      <c r="A2707" s="5" t="n"/>
      <c r="B2707" s="5" t="n"/>
      <c r="C2707" s="5" t="n"/>
      <c r="D2707" s="5" t="n"/>
      <c r="E2707" s="4">
        <f>IF(C2707="","",COUNTIF($C$7:C2707,C2707))</f>
        <v/>
      </c>
      <c r="F2707" s="4">
        <f>IF(E2707="","",IF(E2707&lt;=3,6,IF(E2707&lt;=6,5,IF(E2707&lt;=9,4,IF(E2707&lt;=12,3,IF(E2707&lt;=15,2,0))))))</f>
        <v/>
      </c>
      <c r="G2707" s="5" t="n"/>
      <c r="H2707" s="4">
        <f>IF(OR(F2707="",G2707=""),"",F2707*G2707+IF(J2707="",0,J2707))</f>
        <v/>
      </c>
      <c r="I2707" s="5" t="n"/>
      <c r="J2707" s="5" t="n"/>
    </row>
    <row r="2708">
      <c r="A2708" s="5" t="n"/>
      <c r="B2708" s="5" t="n"/>
      <c r="C2708" s="5" t="n"/>
      <c r="D2708" s="5" t="n"/>
      <c r="E2708" s="4">
        <f>IF(C2708="","",COUNTIF($C$7:C2708,C2708))</f>
        <v/>
      </c>
      <c r="F2708" s="4">
        <f>IF(E2708="","",IF(E2708&lt;=3,6,IF(E2708&lt;=6,5,IF(E2708&lt;=9,4,IF(E2708&lt;=12,3,IF(E2708&lt;=15,2,0))))))</f>
        <v/>
      </c>
      <c r="G2708" s="5" t="n"/>
      <c r="H2708" s="4">
        <f>IF(OR(F2708="",G2708=""),"",F2708*G2708+IF(J2708="",0,J2708))</f>
        <v/>
      </c>
      <c r="I2708" s="5" t="n"/>
      <c r="J2708" s="5" t="n"/>
    </row>
    <row r="2709">
      <c r="A2709" s="5" t="n"/>
      <c r="B2709" s="5" t="n"/>
      <c r="C2709" s="5" t="n"/>
      <c r="D2709" s="5" t="n"/>
      <c r="E2709" s="4">
        <f>IF(C2709="","",COUNTIF($C$7:C2709,C2709))</f>
        <v/>
      </c>
      <c r="F2709" s="4">
        <f>IF(E2709="","",IF(E2709&lt;=3,6,IF(E2709&lt;=6,5,IF(E2709&lt;=9,4,IF(E2709&lt;=12,3,IF(E2709&lt;=15,2,0))))))</f>
        <v/>
      </c>
      <c r="G2709" s="5" t="n"/>
      <c r="H2709" s="4">
        <f>IF(OR(F2709="",G2709=""),"",F2709*G2709+IF(J2709="",0,J2709))</f>
        <v/>
      </c>
      <c r="I2709" s="5" t="n"/>
      <c r="J2709" s="5" t="n"/>
    </row>
    <row r="2710">
      <c r="A2710" s="5" t="n"/>
      <c r="B2710" s="5" t="n"/>
      <c r="C2710" s="5" t="n"/>
      <c r="D2710" s="5" t="n"/>
      <c r="E2710" s="4">
        <f>IF(C2710="","",COUNTIF($C$7:C2710,C2710))</f>
        <v/>
      </c>
      <c r="F2710" s="4">
        <f>IF(E2710="","",IF(E2710&lt;=3,6,IF(E2710&lt;=6,5,IF(E2710&lt;=9,4,IF(E2710&lt;=12,3,IF(E2710&lt;=15,2,0))))))</f>
        <v/>
      </c>
      <c r="G2710" s="5" t="n"/>
      <c r="H2710" s="4">
        <f>IF(OR(F2710="",G2710=""),"",F2710*G2710+IF(J2710="",0,J2710))</f>
        <v/>
      </c>
      <c r="I2710" s="5" t="n"/>
      <c r="J2710" s="5" t="n"/>
    </row>
    <row r="2711">
      <c r="A2711" s="5" t="n"/>
      <c r="B2711" s="5" t="n"/>
      <c r="C2711" s="5" t="n"/>
      <c r="D2711" s="5" t="n"/>
      <c r="E2711" s="4">
        <f>IF(C2711="","",COUNTIF($C$7:C2711,C2711))</f>
        <v/>
      </c>
      <c r="F2711" s="4">
        <f>IF(E2711="","",IF(E2711&lt;=3,6,IF(E2711&lt;=6,5,IF(E2711&lt;=9,4,IF(E2711&lt;=12,3,IF(E2711&lt;=15,2,0))))))</f>
        <v/>
      </c>
      <c r="G2711" s="5" t="n"/>
      <c r="H2711" s="4">
        <f>IF(OR(F2711="",G2711=""),"",F2711*G2711+IF(J2711="",0,J2711))</f>
        <v/>
      </c>
      <c r="I2711" s="5" t="n"/>
      <c r="J2711" s="5" t="n"/>
    </row>
    <row r="2712">
      <c r="A2712" s="5" t="n"/>
      <c r="B2712" s="5" t="n"/>
      <c r="C2712" s="5" t="n"/>
      <c r="D2712" s="5" t="n"/>
      <c r="E2712" s="4">
        <f>IF(C2712="","",COUNTIF($C$7:C2712,C2712))</f>
        <v/>
      </c>
      <c r="F2712" s="4">
        <f>IF(E2712="","",IF(E2712&lt;=3,6,IF(E2712&lt;=6,5,IF(E2712&lt;=9,4,IF(E2712&lt;=12,3,IF(E2712&lt;=15,2,0))))))</f>
        <v/>
      </c>
      <c r="G2712" s="5" t="n"/>
      <c r="H2712" s="4">
        <f>IF(OR(F2712="",G2712=""),"",F2712*G2712+IF(J2712="",0,J2712))</f>
        <v/>
      </c>
      <c r="I2712" s="5" t="n"/>
      <c r="J2712" s="5" t="n"/>
    </row>
    <row r="2713">
      <c r="A2713" s="5" t="n"/>
      <c r="B2713" s="5" t="n"/>
      <c r="C2713" s="5" t="n"/>
      <c r="D2713" s="5" t="n"/>
      <c r="E2713" s="4">
        <f>IF(C2713="","",COUNTIF($C$7:C2713,C2713))</f>
        <v/>
      </c>
      <c r="F2713" s="4">
        <f>IF(E2713="","",IF(E2713&lt;=3,6,IF(E2713&lt;=6,5,IF(E2713&lt;=9,4,IF(E2713&lt;=12,3,IF(E2713&lt;=15,2,0))))))</f>
        <v/>
      </c>
      <c r="G2713" s="5" t="n"/>
      <c r="H2713" s="4">
        <f>IF(OR(F2713="",G2713=""),"",F2713*G2713+IF(J2713="",0,J2713))</f>
        <v/>
      </c>
      <c r="I2713" s="5" t="n"/>
      <c r="J2713" s="5" t="n"/>
    </row>
    <row r="2714">
      <c r="A2714" s="5" t="n"/>
      <c r="B2714" s="5" t="n"/>
      <c r="C2714" s="5" t="n"/>
      <c r="D2714" s="5" t="n"/>
      <c r="E2714" s="4">
        <f>IF(C2714="","",COUNTIF($C$7:C2714,C2714))</f>
        <v/>
      </c>
      <c r="F2714" s="4">
        <f>IF(E2714="","",IF(E2714&lt;=3,6,IF(E2714&lt;=6,5,IF(E2714&lt;=9,4,IF(E2714&lt;=12,3,IF(E2714&lt;=15,2,0))))))</f>
        <v/>
      </c>
      <c r="G2714" s="5" t="n"/>
      <c r="H2714" s="4">
        <f>IF(OR(F2714="",G2714=""),"",F2714*G2714+IF(J2714="",0,J2714))</f>
        <v/>
      </c>
      <c r="I2714" s="5" t="n"/>
      <c r="J2714" s="5" t="n"/>
    </row>
    <row r="2715">
      <c r="A2715" s="5" t="n"/>
      <c r="B2715" s="5" t="n"/>
      <c r="C2715" s="5" t="n"/>
      <c r="D2715" s="5" t="n"/>
      <c r="E2715" s="4">
        <f>IF(C2715="","",COUNTIF($C$7:C2715,C2715))</f>
        <v/>
      </c>
      <c r="F2715" s="4">
        <f>IF(E2715="","",IF(E2715&lt;=3,6,IF(E2715&lt;=6,5,IF(E2715&lt;=9,4,IF(E2715&lt;=12,3,IF(E2715&lt;=15,2,0))))))</f>
        <v/>
      </c>
      <c r="G2715" s="5" t="n"/>
      <c r="H2715" s="4">
        <f>IF(OR(F2715="",G2715=""),"",F2715*G2715+IF(J2715="",0,J2715))</f>
        <v/>
      </c>
      <c r="I2715" s="5" t="n"/>
      <c r="J2715" s="5" t="n"/>
    </row>
    <row r="2716">
      <c r="A2716" s="5" t="n"/>
      <c r="B2716" s="5" t="n"/>
      <c r="C2716" s="5" t="n"/>
      <c r="D2716" s="5" t="n"/>
      <c r="E2716" s="4">
        <f>IF(C2716="","",COUNTIF($C$7:C2716,C2716))</f>
        <v/>
      </c>
      <c r="F2716" s="4">
        <f>IF(E2716="","",IF(E2716&lt;=3,6,IF(E2716&lt;=6,5,IF(E2716&lt;=9,4,IF(E2716&lt;=12,3,IF(E2716&lt;=15,2,0))))))</f>
        <v/>
      </c>
      <c r="G2716" s="5" t="n"/>
      <c r="H2716" s="4">
        <f>IF(OR(F2716="",G2716=""),"",F2716*G2716+IF(J2716="",0,J2716))</f>
        <v/>
      </c>
      <c r="I2716" s="5" t="n"/>
      <c r="J2716" s="5" t="n"/>
    </row>
    <row r="2717">
      <c r="A2717" s="5" t="n"/>
      <c r="B2717" s="5" t="n"/>
      <c r="C2717" s="5" t="n"/>
      <c r="D2717" s="5" t="n"/>
      <c r="E2717" s="4">
        <f>IF(C2717="","",COUNTIF($C$7:C2717,C2717))</f>
        <v/>
      </c>
      <c r="F2717" s="4">
        <f>IF(E2717="","",IF(E2717&lt;=3,6,IF(E2717&lt;=6,5,IF(E2717&lt;=9,4,IF(E2717&lt;=12,3,IF(E2717&lt;=15,2,0))))))</f>
        <v/>
      </c>
      <c r="G2717" s="5" t="n"/>
      <c r="H2717" s="4">
        <f>IF(OR(F2717="",G2717=""),"",F2717*G2717+IF(J2717="",0,J2717))</f>
        <v/>
      </c>
      <c r="I2717" s="5" t="n"/>
      <c r="J2717" s="5" t="n"/>
    </row>
    <row r="2718">
      <c r="A2718" s="5" t="n"/>
      <c r="B2718" s="5" t="n"/>
      <c r="C2718" s="5" t="n"/>
      <c r="D2718" s="5" t="n"/>
      <c r="E2718" s="4">
        <f>IF(C2718="","",COUNTIF($C$7:C2718,C2718))</f>
        <v/>
      </c>
      <c r="F2718" s="4">
        <f>IF(E2718="","",IF(E2718&lt;=3,6,IF(E2718&lt;=6,5,IF(E2718&lt;=9,4,IF(E2718&lt;=12,3,IF(E2718&lt;=15,2,0))))))</f>
        <v/>
      </c>
      <c r="G2718" s="5" t="n"/>
      <c r="H2718" s="4">
        <f>IF(OR(F2718="",G2718=""),"",F2718*G2718+IF(J2718="",0,J2718))</f>
        <v/>
      </c>
      <c r="I2718" s="5" t="n"/>
      <c r="J2718" s="5" t="n"/>
    </row>
    <row r="2719">
      <c r="A2719" s="5" t="n"/>
      <c r="B2719" s="5" t="n"/>
      <c r="C2719" s="5" t="n"/>
      <c r="D2719" s="5" t="n"/>
      <c r="E2719" s="4">
        <f>IF(C2719="","",COUNTIF($C$7:C2719,C2719))</f>
        <v/>
      </c>
      <c r="F2719" s="4">
        <f>IF(E2719="","",IF(E2719&lt;=3,6,IF(E2719&lt;=6,5,IF(E2719&lt;=9,4,IF(E2719&lt;=12,3,IF(E2719&lt;=15,2,0))))))</f>
        <v/>
      </c>
      <c r="G2719" s="5" t="n"/>
      <c r="H2719" s="4">
        <f>IF(OR(F2719="",G2719=""),"",F2719*G2719+IF(J2719="",0,J2719))</f>
        <v/>
      </c>
      <c r="I2719" s="5" t="n"/>
      <c r="J2719" s="5" t="n"/>
    </row>
    <row r="2720">
      <c r="A2720" s="5" t="n"/>
      <c r="B2720" s="5" t="n"/>
      <c r="C2720" s="5" t="n"/>
      <c r="D2720" s="5" t="n"/>
      <c r="E2720" s="4">
        <f>IF(C2720="","",COUNTIF($C$7:C2720,C2720))</f>
        <v/>
      </c>
      <c r="F2720" s="4">
        <f>IF(E2720="","",IF(E2720&lt;=3,6,IF(E2720&lt;=6,5,IF(E2720&lt;=9,4,IF(E2720&lt;=12,3,IF(E2720&lt;=15,2,0))))))</f>
        <v/>
      </c>
      <c r="G2720" s="5" t="n"/>
      <c r="H2720" s="4">
        <f>IF(OR(F2720="",G2720=""),"",F2720*G2720+IF(J2720="",0,J2720))</f>
        <v/>
      </c>
      <c r="I2720" s="5" t="n"/>
      <c r="J2720" s="5" t="n"/>
    </row>
    <row r="2721">
      <c r="A2721" s="5" t="n"/>
      <c r="B2721" s="5" t="n"/>
      <c r="C2721" s="5" t="n"/>
      <c r="D2721" s="5" t="n"/>
      <c r="E2721" s="4">
        <f>IF(C2721="","",COUNTIF($C$7:C2721,C2721))</f>
        <v/>
      </c>
      <c r="F2721" s="4">
        <f>IF(E2721="","",IF(E2721&lt;=3,6,IF(E2721&lt;=6,5,IF(E2721&lt;=9,4,IF(E2721&lt;=12,3,IF(E2721&lt;=15,2,0))))))</f>
        <v/>
      </c>
      <c r="G2721" s="5" t="n"/>
      <c r="H2721" s="4">
        <f>IF(OR(F2721="",G2721=""),"",F2721*G2721+IF(J2721="",0,J2721))</f>
        <v/>
      </c>
      <c r="I2721" s="5" t="n"/>
      <c r="J2721" s="5" t="n"/>
    </row>
    <row r="2722">
      <c r="A2722" s="5" t="n"/>
      <c r="B2722" s="5" t="n"/>
      <c r="C2722" s="5" t="n"/>
      <c r="D2722" s="5" t="n"/>
      <c r="E2722" s="4">
        <f>IF(C2722="","",COUNTIF($C$7:C2722,C2722))</f>
        <v/>
      </c>
      <c r="F2722" s="4">
        <f>IF(E2722="","",IF(E2722&lt;=3,6,IF(E2722&lt;=6,5,IF(E2722&lt;=9,4,IF(E2722&lt;=12,3,IF(E2722&lt;=15,2,0))))))</f>
        <v/>
      </c>
      <c r="G2722" s="5" t="n"/>
      <c r="H2722" s="4">
        <f>IF(OR(F2722="",G2722=""),"",F2722*G2722+IF(J2722="",0,J2722))</f>
        <v/>
      </c>
      <c r="I2722" s="5" t="n"/>
      <c r="J2722" s="5" t="n"/>
    </row>
    <row r="2723">
      <c r="A2723" s="5" t="n"/>
      <c r="B2723" s="5" t="n"/>
      <c r="C2723" s="5" t="n"/>
      <c r="D2723" s="5" t="n"/>
      <c r="E2723" s="4">
        <f>IF(C2723="","",COUNTIF($C$7:C2723,C2723))</f>
        <v/>
      </c>
      <c r="F2723" s="4">
        <f>IF(E2723="","",IF(E2723&lt;=3,6,IF(E2723&lt;=6,5,IF(E2723&lt;=9,4,IF(E2723&lt;=12,3,IF(E2723&lt;=15,2,0))))))</f>
        <v/>
      </c>
      <c r="G2723" s="5" t="n"/>
      <c r="H2723" s="4">
        <f>IF(OR(F2723="",G2723=""),"",F2723*G2723+IF(J2723="",0,J2723))</f>
        <v/>
      </c>
      <c r="I2723" s="5" t="n"/>
      <c r="J2723" s="5" t="n"/>
    </row>
    <row r="2724">
      <c r="A2724" s="5" t="n"/>
      <c r="B2724" s="5" t="n"/>
      <c r="C2724" s="5" t="n"/>
      <c r="D2724" s="5" t="n"/>
      <c r="E2724" s="4">
        <f>IF(C2724="","",COUNTIF($C$7:C2724,C2724))</f>
        <v/>
      </c>
      <c r="F2724" s="4">
        <f>IF(E2724="","",IF(E2724&lt;=3,6,IF(E2724&lt;=6,5,IF(E2724&lt;=9,4,IF(E2724&lt;=12,3,IF(E2724&lt;=15,2,0))))))</f>
        <v/>
      </c>
      <c r="G2724" s="5" t="n"/>
      <c r="H2724" s="4">
        <f>IF(OR(F2724="",G2724=""),"",F2724*G2724+IF(J2724="",0,J2724))</f>
        <v/>
      </c>
      <c r="I2724" s="5" t="n"/>
      <c r="J2724" s="5" t="n"/>
    </row>
    <row r="2725">
      <c r="A2725" s="5" t="n"/>
      <c r="B2725" s="5" t="n"/>
      <c r="C2725" s="5" t="n"/>
      <c r="D2725" s="5" t="n"/>
      <c r="E2725" s="4">
        <f>IF(C2725="","",COUNTIF($C$7:C2725,C2725))</f>
        <v/>
      </c>
      <c r="F2725" s="4">
        <f>IF(E2725="","",IF(E2725&lt;=3,6,IF(E2725&lt;=6,5,IF(E2725&lt;=9,4,IF(E2725&lt;=12,3,IF(E2725&lt;=15,2,0))))))</f>
        <v/>
      </c>
      <c r="G2725" s="5" t="n"/>
      <c r="H2725" s="4">
        <f>IF(OR(F2725="",G2725=""),"",F2725*G2725+IF(J2725="",0,J2725))</f>
        <v/>
      </c>
      <c r="I2725" s="5" t="n"/>
      <c r="J2725" s="5" t="n"/>
    </row>
    <row r="2726">
      <c r="A2726" s="5" t="n"/>
      <c r="B2726" s="5" t="n"/>
      <c r="C2726" s="5" t="n"/>
      <c r="D2726" s="5" t="n"/>
      <c r="E2726" s="4">
        <f>IF(C2726="","",COUNTIF($C$7:C2726,C2726))</f>
        <v/>
      </c>
      <c r="F2726" s="4">
        <f>IF(E2726="","",IF(E2726&lt;=3,6,IF(E2726&lt;=6,5,IF(E2726&lt;=9,4,IF(E2726&lt;=12,3,IF(E2726&lt;=15,2,0))))))</f>
        <v/>
      </c>
      <c r="G2726" s="5" t="n"/>
      <c r="H2726" s="4">
        <f>IF(OR(F2726="",G2726=""),"",F2726*G2726+IF(J2726="",0,J2726))</f>
        <v/>
      </c>
      <c r="I2726" s="5" t="n"/>
      <c r="J2726" s="5" t="n"/>
    </row>
    <row r="2727">
      <c r="A2727" s="5" t="n"/>
      <c r="B2727" s="5" t="n"/>
      <c r="C2727" s="5" t="n"/>
      <c r="D2727" s="5" t="n"/>
      <c r="E2727" s="4">
        <f>IF(C2727="","",COUNTIF($C$7:C2727,C2727))</f>
        <v/>
      </c>
      <c r="F2727" s="4">
        <f>IF(E2727="","",IF(E2727&lt;=3,6,IF(E2727&lt;=6,5,IF(E2727&lt;=9,4,IF(E2727&lt;=12,3,IF(E2727&lt;=15,2,0))))))</f>
        <v/>
      </c>
      <c r="G2727" s="5" t="n"/>
      <c r="H2727" s="4">
        <f>IF(OR(F2727="",G2727=""),"",F2727*G2727+IF(J2727="",0,J2727))</f>
        <v/>
      </c>
      <c r="I2727" s="5" t="n"/>
      <c r="J2727" s="5" t="n"/>
    </row>
    <row r="2728">
      <c r="A2728" s="5" t="n"/>
      <c r="B2728" s="5" t="n"/>
      <c r="C2728" s="5" t="n"/>
      <c r="D2728" s="5" t="n"/>
      <c r="E2728" s="4">
        <f>IF(C2728="","",COUNTIF($C$7:C2728,C2728))</f>
        <v/>
      </c>
      <c r="F2728" s="4">
        <f>IF(E2728="","",IF(E2728&lt;=3,6,IF(E2728&lt;=6,5,IF(E2728&lt;=9,4,IF(E2728&lt;=12,3,IF(E2728&lt;=15,2,0))))))</f>
        <v/>
      </c>
      <c r="G2728" s="5" t="n"/>
      <c r="H2728" s="4">
        <f>IF(OR(F2728="",G2728=""),"",F2728*G2728+IF(J2728="",0,J2728))</f>
        <v/>
      </c>
      <c r="I2728" s="5" t="n"/>
      <c r="J2728" s="5" t="n"/>
    </row>
    <row r="2729">
      <c r="A2729" s="5" t="n"/>
      <c r="B2729" s="5" t="n"/>
      <c r="C2729" s="5" t="n"/>
      <c r="D2729" s="5" t="n"/>
      <c r="E2729" s="4">
        <f>IF(C2729="","",COUNTIF($C$7:C2729,C2729))</f>
        <v/>
      </c>
      <c r="F2729" s="4">
        <f>IF(E2729="","",IF(E2729&lt;=3,6,IF(E2729&lt;=6,5,IF(E2729&lt;=9,4,IF(E2729&lt;=12,3,IF(E2729&lt;=15,2,0))))))</f>
        <v/>
      </c>
      <c r="G2729" s="5" t="n"/>
      <c r="H2729" s="4">
        <f>IF(OR(F2729="",G2729=""),"",F2729*G2729+IF(J2729="",0,J2729))</f>
        <v/>
      </c>
      <c r="I2729" s="5" t="n"/>
      <c r="J2729" s="5" t="n"/>
    </row>
    <row r="2730">
      <c r="A2730" s="5" t="n"/>
      <c r="B2730" s="5" t="n"/>
      <c r="C2730" s="5" t="n"/>
      <c r="D2730" s="5" t="n"/>
      <c r="E2730" s="4">
        <f>IF(C2730="","",COUNTIF($C$7:C2730,C2730))</f>
        <v/>
      </c>
      <c r="F2730" s="4">
        <f>IF(E2730="","",IF(E2730&lt;=3,6,IF(E2730&lt;=6,5,IF(E2730&lt;=9,4,IF(E2730&lt;=12,3,IF(E2730&lt;=15,2,0))))))</f>
        <v/>
      </c>
      <c r="G2730" s="5" t="n"/>
      <c r="H2730" s="4">
        <f>IF(OR(F2730="",G2730=""),"",F2730*G2730+IF(J2730="",0,J2730))</f>
        <v/>
      </c>
      <c r="I2730" s="5" t="n"/>
      <c r="J2730" s="5" t="n"/>
    </row>
    <row r="2731">
      <c r="A2731" s="5" t="n"/>
      <c r="B2731" s="5" t="n"/>
      <c r="C2731" s="5" t="n"/>
      <c r="D2731" s="5" t="n"/>
      <c r="E2731" s="4">
        <f>IF(C2731="","",COUNTIF($C$7:C2731,C2731))</f>
        <v/>
      </c>
      <c r="F2731" s="4">
        <f>IF(E2731="","",IF(E2731&lt;=3,6,IF(E2731&lt;=6,5,IF(E2731&lt;=9,4,IF(E2731&lt;=12,3,IF(E2731&lt;=15,2,0))))))</f>
        <v/>
      </c>
      <c r="G2731" s="5" t="n"/>
      <c r="H2731" s="4">
        <f>IF(OR(F2731="",G2731=""),"",F2731*G2731+IF(J2731="",0,J2731))</f>
        <v/>
      </c>
      <c r="I2731" s="5" t="n"/>
      <c r="J2731" s="5" t="n"/>
    </row>
    <row r="2732">
      <c r="A2732" s="5" t="n"/>
      <c r="B2732" s="5" t="n"/>
      <c r="C2732" s="5" t="n"/>
      <c r="D2732" s="5" t="n"/>
      <c r="E2732" s="4">
        <f>IF(C2732="","",COUNTIF($C$7:C2732,C2732))</f>
        <v/>
      </c>
      <c r="F2732" s="4">
        <f>IF(E2732="","",IF(E2732&lt;=3,6,IF(E2732&lt;=6,5,IF(E2732&lt;=9,4,IF(E2732&lt;=12,3,IF(E2732&lt;=15,2,0))))))</f>
        <v/>
      </c>
      <c r="G2732" s="5" t="n"/>
      <c r="H2732" s="4">
        <f>IF(OR(F2732="",G2732=""),"",F2732*G2732+IF(J2732="",0,J2732))</f>
        <v/>
      </c>
      <c r="I2732" s="5" t="n"/>
      <c r="J2732" s="5" t="n"/>
    </row>
    <row r="2733">
      <c r="A2733" s="5" t="n"/>
      <c r="B2733" s="5" t="n"/>
      <c r="C2733" s="5" t="n"/>
      <c r="D2733" s="5" t="n"/>
      <c r="E2733" s="4">
        <f>IF(C2733="","",COUNTIF($C$7:C2733,C2733))</f>
        <v/>
      </c>
      <c r="F2733" s="4">
        <f>IF(E2733="","",IF(E2733&lt;=3,6,IF(E2733&lt;=6,5,IF(E2733&lt;=9,4,IF(E2733&lt;=12,3,IF(E2733&lt;=15,2,0))))))</f>
        <v/>
      </c>
      <c r="G2733" s="5" t="n"/>
      <c r="H2733" s="4">
        <f>IF(OR(F2733="",G2733=""),"",F2733*G2733+IF(J2733="",0,J2733))</f>
        <v/>
      </c>
      <c r="I2733" s="5" t="n"/>
      <c r="J2733" s="5" t="n"/>
    </row>
    <row r="2734">
      <c r="A2734" s="5" t="n"/>
      <c r="B2734" s="5" t="n"/>
      <c r="C2734" s="5" t="n"/>
      <c r="D2734" s="5" t="n"/>
      <c r="E2734" s="4">
        <f>IF(C2734="","",COUNTIF($C$7:C2734,C2734))</f>
        <v/>
      </c>
      <c r="F2734" s="4">
        <f>IF(E2734="","",IF(E2734&lt;=3,6,IF(E2734&lt;=6,5,IF(E2734&lt;=9,4,IF(E2734&lt;=12,3,IF(E2734&lt;=15,2,0))))))</f>
        <v/>
      </c>
      <c r="G2734" s="5" t="n"/>
      <c r="H2734" s="4">
        <f>IF(OR(F2734="",G2734=""),"",F2734*G2734+IF(J2734="",0,J2734))</f>
        <v/>
      </c>
      <c r="I2734" s="5" t="n"/>
      <c r="J2734" s="5" t="n"/>
    </row>
    <row r="2735">
      <c r="A2735" s="5" t="n"/>
      <c r="B2735" s="5" t="n"/>
      <c r="C2735" s="5" t="n"/>
      <c r="D2735" s="5" t="n"/>
      <c r="E2735" s="4">
        <f>IF(C2735="","",COUNTIF($C$7:C2735,C2735))</f>
        <v/>
      </c>
      <c r="F2735" s="4">
        <f>IF(E2735="","",IF(E2735&lt;=3,6,IF(E2735&lt;=6,5,IF(E2735&lt;=9,4,IF(E2735&lt;=12,3,IF(E2735&lt;=15,2,0))))))</f>
        <v/>
      </c>
      <c r="G2735" s="5" t="n"/>
      <c r="H2735" s="4">
        <f>IF(OR(F2735="",G2735=""),"",F2735*G2735+IF(J2735="",0,J2735))</f>
        <v/>
      </c>
      <c r="I2735" s="5" t="n"/>
      <c r="J2735" s="5" t="n"/>
    </row>
    <row r="2736">
      <c r="A2736" s="5" t="n"/>
      <c r="B2736" s="5" t="n"/>
      <c r="C2736" s="5" t="n"/>
      <c r="D2736" s="5" t="n"/>
      <c r="E2736" s="4">
        <f>IF(C2736="","",COUNTIF($C$7:C2736,C2736))</f>
        <v/>
      </c>
      <c r="F2736" s="4">
        <f>IF(E2736="","",IF(E2736&lt;=3,6,IF(E2736&lt;=6,5,IF(E2736&lt;=9,4,IF(E2736&lt;=12,3,IF(E2736&lt;=15,2,0))))))</f>
        <v/>
      </c>
      <c r="G2736" s="5" t="n"/>
      <c r="H2736" s="4">
        <f>IF(OR(F2736="",G2736=""),"",F2736*G2736+IF(J2736="",0,J2736))</f>
        <v/>
      </c>
      <c r="I2736" s="5" t="n"/>
      <c r="J2736" s="5" t="n"/>
    </row>
    <row r="2737">
      <c r="A2737" s="5" t="n"/>
      <c r="B2737" s="5" t="n"/>
      <c r="C2737" s="5" t="n"/>
      <c r="D2737" s="5" t="n"/>
      <c r="E2737" s="4">
        <f>IF(C2737="","",COUNTIF($C$7:C2737,C2737))</f>
        <v/>
      </c>
      <c r="F2737" s="4">
        <f>IF(E2737="","",IF(E2737&lt;=3,6,IF(E2737&lt;=6,5,IF(E2737&lt;=9,4,IF(E2737&lt;=12,3,IF(E2737&lt;=15,2,0))))))</f>
        <v/>
      </c>
      <c r="G2737" s="5" t="n"/>
      <c r="H2737" s="4">
        <f>IF(OR(F2737="",G2737=""),"",F2737*G2737+IF(J2737="",0,J2737))</f>
        <v/>
      </c>
      <c r="I2737" s="5" t="n"/>
      <c r="J2737" s="5" t="n"/>
    </row>
    <row r="2738">
      <c r="A2738" s="5" t="n"/>
      <c r="B2738" s="5" t="n"/>
      <c r="C2738" s="5" t="n"/>
      <c r="D2738" s="5" t="n"/>
      <c r="E2738" s="4">
        <f>IF(C2738="","",COUNTIF($C$7:C2738,C2738))</f>
        <v/>
      </c>
      <c r="F2738" s="4">
        <f>IF(E2738="","",IF(E2738&lt;=3,6,IF(E2738&lt;=6,5,IF(E2738&lt;=9,4,IF(E2738&lt;=12,3,IF(E2738&lt;=15,2,0))))))</f>
        <v/>
      </c>
      <c r="G2738" s="5" t="n"/>
      <c r="H2738" s="4">
        <f>IF(OR(F2738="",G2738=""),"",F2738*G2738+IF(J2738="",0,J2738))</f>
        <v/>
      </c>
      <c r="I2738" s="5" t="n"/>
      <c r="J2738" s="5" t="n"/>
    </row>
    <row r="2739">
      <c r="A2739" s="5" t="n"/>
      <c r="B2739" s="5" t="n"/>
      <c r="C2739" s="5" t="n"/>
      <c r="D2739" s="5" t="n"/>
      <c r="E2739" s="4">
        <f>IF(C2739="","",COUNTIF($C$7:C2739,C2739))</f>
        <v/>
      </c>
      <c r="F2739" s="4">
        <f>IF(E2739="","",IF(E2739&lt;=3,6,IF(E2739&lt;=6,5,IF(E2739&lt;=9,4,IF(E2739&lt;=12,3,IF(E2739&lt;=15,2,0))))))</f>
        <v/>
      </c>
      <c r="G2739" s="5" t="n"/>
      <c r="H2739" s="4">
        <f>IF(OR(F2739="",G2739=""),"",F2739*G2739+IF(J2739="",0,J2739))</f>
        <v/>
      </c>
      <c r="I2739" s="5" t="n"/>
      <c r="J2739" s="5" t="n"/>
    </row>
    <row r="2740">
      <c r="A2740" s="5" t="n"/>
      <c r="B2740" s="5" t="n"/>
      <c r="C2740" s="5" t="n"/>
      <c r="D2740" s="5" t="n"/>
      <c r="E2740" s="4">
        <f>IF(C2740="","",COUNTIF($C$7:C2740,C2740))</f>
        <v/>
      </c>
      <c r="F2740" s="4">
        <f>IF(E2740="","",IF(E2740&lt;=3,6,IF(E2740&lt;=6,5,IF(E2740&lt;=9,4,IF(E2740&lt;=12,3,IF(E2740&lt;=15,2,0))))))</f>
        <v/>
      </c>
      <c r="G2740" s="5" t="n"/>
      <c r="H2740" s="4">
        <f>IF(OR(F2740="",G2740=""),"",F2740*G2740+IF(J2740="",0,J2740))</f>
        <v/>
      </c>
      <c r="I2740" s="5" t="n"/>
      <c r="J2740" s="5" t="n"/>
    </row>
    <row r="2741">
      <c r="A2741" s="5" t="n"/>
      <c r="B2741" s="5" t="n"/>
      <c r="C2741" s="5" t="n"/>
      <c r="D2741" s="5" t="n"/>
      <c r="E2741" s="4">
        <f>IF(C2741="","",COUNTIF($C$7:C2741,C2741))</f>
        <v/>
      </c>
      <c r="F2741" s="4">
        <f>IF(E2741="","",IF(E2741&lt;=3,6,IF(E2741&lt;=6,5,IF(E2741&lt;=9,4,IF(E2741&lt;=12,3,IF(E2741&lt;=15,2,0))))))</f>
        <v/>
      </c>
      <c r="G2741" s="5" t="n"/>
      <c r="H2741" s="4">
        <f>IF(OR(F2741="",G2741=""),"",F2741*G2741+IF(J2741="",0,J2741))</f>
        <v/>
      </c>
      <c r="I2741" s="5" t="n"/>
      <c r="J2741" s="5" t="n"/>
    </row>
    <row r="2742">
      <c r="A2742" s="5" t="n"/>
      <c r="B2742" s="5" t="n"/>
      <c r="C2742" s="5" t="n"/>
      <c r="D2742" s="5" t="n"/>
      <c r="E2742" s="4">
        <f>IF(C2742="","",COUNTIF($C$7:C2742,C2742))</f>
        <v/>
      </c>
      <c r="F2742" s="4">
        <f>IF(E2742="","",IF(E2742&lt;=3,6,IF(E2742&lt;=6,5,IF(E2742&lt;=9,4,IF(E2742&lt;=12,3,IF(E2742&lt;=15,2,0))))))</f>
        <v/>
      </c>
      <c r="G2742" s="5" t="n"/>
      <c r="H2742" s="4">
        <f>IF(OR(F2742="",G2742=""),"",F2742*G2742+IF(J2742="",0,J2742))</f>
        <v/>
      </c>
      <c r="I2742" s="5" t="n"/>
      <c r="J2742" s="5" t="n"/>
    </row>
    <row r="2743">
      <c r="A2743" s="5" t="n"/>
      <c r="B2743" s="5" t="n"/>
      <c r="C2743" s="5" t="n"/>
      <c r="D2743" s="5" t="n"/>
      <c r="E2743" s="4">
        <f>IF(C2743="","",COUNTIF($C$7:C2743,C2743))</f>
        <v/>
      </c>
      <c r="F2743" s="4">
        <f>IF(E2743="","",IF(E2743&lt;=3,6,IF(E2743&lt;=6,5,IF(E2743&lt;=9,4,IF(E2743&lt;=12,3,IF(E2743&lt;=15,2,0))))))</f>
        <v/>
      </c>
      <c r="G2743" s="5" t="n"/>
      <c r="H2743" s="4">
        <f>IF(OR(F2743="",G2743=""),"",F2743*G2743+IF(J2743="",0,J2743))</f>
        <v/>
      </c>
      <c r="I2743" s="5" t="n"/>
      <c r="J2743" s="5" t="n"/>
    </row>
    <row r="2744">
      <c r="A2744" s="5" t="n"/>
      <c r="B2744" s="5" t="n"/>
      <c r="C2744" s="5" t="n"/>
      <c r="D2744" s="5" t="n"/>
      <c r="E2744" s="4">
        <f>IF(C2744="","",COUNTIF($C$7:C2744,C2744))</f>
        <v/>
      </c>
      <c r="F2744" s="4">
        <f>IF(E2744="","",IF(E2744&lt;=3,6,IF(E2744&lt;=6,5,IF(E2744&lt;=9,4,IF(E2744&lt;=12,3,IF(E2744&lt;=15,2,0))))))</f>
        <v/>
      </c>
      <c r="G2744" s="5" t="n"/>
      <c r="H2744" s="4">
        <f>IF(OR(F2744="",G2744=""),"",F2744*G2744+IF(J2744="",0,J2744))</f>
        <v/>
      </c>
      <c r="I2744" s="5" t="n"/>
      <c r="J2744" s="5" t="n"/>
    </row>
    <row r="2745">
      <c r="A2745" s="5" t="n"/>
      <c r="B2745" s="5" t="n"/>
      <c r="C2745" s="5" t="n"/>
      <c r="D2745" s="5" t="n"/>
      <c r="E2745" s="4">
        <f>IF(C2745="","",COUNTIF($C$7:C2745,C2745))</f>
        <v/>
      </c>
      <c r="F2745" s="4">
        <f>IF(E2745="","",IF(E2745&lt;=3,6,IF(E2745&lt;=6,5,IF(E2745&lt;=9,4,IF(E2745&lt;=12,3,IF(E2745&lt;=15,2,0))))))</f>
        <v/>
      </c>
      <c r="G2745" s="5" t="n"/>
      <c r="H2745" s="4">
        <f>IF(OR(F2745="",G2745=""),"",F2745*G2745+IF(J2745="",0,J2745))</f>
        <v/>
      </c>
      <c r="I2745" s="5" t="n"/>
      <c r="J2745" s="5" t="n"/>
    </row>
    <row r="2746">
      <c r="A2746" s="5" t="n"/>
      <c r="B2746" s="5" t="n"/>
      <c r="C2746" s="5" t="n"/>
      <c r="D2746" s="5" t="n"/>
      <c r="E2746" s="4">
        <f>IF(C2746="","",COUNTIF($C$7:C2746,C2746))</f>
        <v/>
      </c>
      <c r="F2746" s="4">
        <f>IF(E2746="","",IF(E2746&lt;=3,6,IF(E2746&lt;=6,5,IF(E2746&lt;=9,4,IF(E2746&lt;=12,3,IF(E2746&lt;=15,2,0))))))</f>
        <v/>
      </c>
      <c r="G2746" s="5" t="n"/>
      <c r="H2746" s="4">
        <f>IF(OR(F2746="",G2746=""),"",F2746*G2746+IF(J2746="",0,J2746))</f>
        <v/>
      </c>
      <c r="I2746" s="5" t="n"/>
      <c r="J2746" s="5" t="n"/>
    </row>
    <row r="2747">
      <c r="A2747" s="5" t="n"/>
      <c r="B2747" s="5" t="n"/>
      <c r="C2747" s="5" t="n"/>
      <c r="D2747" s="5" t="n"/>
      <c r="E2747" s="4">
        <f>IF(C2747="","",COUNTIF($C$7:C2747,C2747))</f>
        <v/>
      </c>
      <c r="F2747" s="4">
        <f>IF(E2747="","",IF(E2747&lt;=3,6,IF(E2747&lt;=6,5,IF(E2747&lt;=9,4,IF(E2747&lt;=12,3,IF(E2747&lt;=15,2,0))))))</f>
        <v/>
      </c>
      <c r="G2747" s="5" t="n"/>
      <c r="H2747" s="4">
        <f>IF(OR(F2747="",G2747=""),"",F2747*G2747+IF(J2747="",0,J2747))</f>
        <v/>
      </c>
      <c r="I2747" s="5" t="n"/>
      <c r="J2747" s="5" t="n"/>
    </row>
    <row r="2748">
      <c r="A2748" s="5" t="n"/>
      <c r="B2748" s="5" t="n"/>
      <c r="C2748" s="5" t="n"/>
      <c r="D2748" s="5" t="n"/>
      <c r="E2748" s="4">
        <f>IF(C2748="","",COUNTIF($C$7:C2748,C2748))</f>
        <v/>
      </c>
      <c r="F2748" s="4">
        <f>IF(E2748="","",IF(E2748&lt;=3,6,IF(E2748&lt;=6,5,IF(E2748&lt;=9,4,IF(E2748&lt;=12,3,IF(E2748&lt;=15,2,0))))))</f>
        <v/>
      </c>
      <c r="G2748" s="5" t="n"/>
      <c r="H2748" s="4">
        <f>IF(OR(F2748="",G2748=""),"",F2748*G2748+IF(J2748="",0,J2748))</f>
        <v/>
      </c>
      <c r="I2748" s="5" t="n"/>
      <c r="J2748" s="5" t="n"/>
    </row>
    <row r="2749">
      <c r="A2749" s="5" t="n"/>
      <c r="B2749" s="5" t="n"/>
      <c r="C2749" s="5" t="n"/>
      <c r="D2749" s="5" t="n"/>
      <c r="E2749" s="4">
        <f>IF(C2749="","",COUNTIF($C$7:C2749,C2749))</f>
        <v/>
      </c>
      <c r="F2749" s="4">
        <f>IF(E2749="","",IF(E2749&lt;=3,6,IF(E2749&lt;=6,5,IF(E2749&lt;=9,4,IF(E2749&lt;=12,3,IF(E2749&lt;=15,2,0))))))</f>
        <v/>
      </c>
      <c r="G2749" s="5" t="n"/>
      <c r="H2749" s="4">
        <f>IF(OR(F2749="",G2749=""),"",F2749*G2749+IF(J2749="",0,J2749))</f>
        <v/>
      </c>
      <c r="I2749" s="5" t="n"/>
      <c r="J2749" s="5" t="n"/>
    </row>
    <row r="2750">
      <c r="A2750" s="5" t="n"/>
      <c r="B2750" s="5" t="n"/>
      <c r="C2750" s="5" t="n"/>
      <c r="D2750" s="5" t="n"/>
      <c r="E2750" s="4">
        <f>IF(C2750="","",COUNTIF($C$7:C2750,C2750))</f>
        <v/>
      </c>
      <c r="F2750" s="4">
        <f>IF(E2750="","",IF(E2750&lt;=3,6,IF(E2750&lt;=6,5,IF(E2750&lt;=9,4,IF(E2750&lt;=12,3,IF(E2750&lt;=15,2,0))))))</f>
        <v/>
      </c>
      <c r="G2750" s="5" t="n"/>
      <c r="H2750" s="4">
        <f>IF(OR(F2750="",G2750=""),"",F2750*G2750+IF(J2750="",0,J2750))</f>
        <v/>
      </c>
      <c r="I2750" s="5" t="n"/>
      <c r="J2750" s="5" t="n"/>
    </row>
    <row r="2751">
      <c r="A2751" s="5" t="n"/>
      <c r="B2751" s="5" t="n"/>
      <c r="C2751" s="5" t="n"/>
      <c r="D2751" s="5" t="n"/>
      <c r="E2751" s="4">
        <f>IF(C2751="","",COUNTIF($C$7:C2751,C2751))</f>
        <v/>
      </c>
      <c r="F2751" s="4">
        <f>IF(E2751="","",IF(E2751&lt;=3,6,IF(E2751&lt;=6,5,IF(E2751&lt;=9,4,IF(E2751&lt;=12,3,IF(E2751&lt;=15,2,0))))))</f>
        <v/>
      </c>
      <c r="G2751" s="5" t="n"/>
      <c r="H2751" s="4">
        <f>IF(OR(F2751="",G2751=""),"",F2751*G2751+IF(J2751="",0,J2751))</f>
        <v/>
      </c>
      <c r="I2751" s="5" t="n"/>
      <c r="J2751" s="5" t="n"/>
    </row>
    <row r="2752">
      <c r="A2752" s="5" t="n"/>
      <c r="B2752" s="5" t="n"/>
      <c r="C2752" s="5" t="n"/>
      <c r="D2752" s="5" t="n"/>
      <c r="E2752" s="4">
        <f>IF(C2752="","",COUNTIF($C$7:C2752,C2752))</f>
        <v/>
      </c>
      <c r="F2752" s="4">
        <f>IF(E2752="","",IF(E2752&lt;=3,6,IF(E2752&lt;=6,5,IF(E2752&lt;=9,4,IF(E2752&lt;=12,3,IF(E2752&lt;=15,2,0))))))</f>
        <v/>
      </c>
      <c r="G2752" s="5" t="n"/>
      <c r="H2752" s="4">
        <f>IF(OR(F2752="",G2752=""),"",F2752*G2752+IF(J2752="",0,J2752))</f>
        <v/>
      </c>
      <c r="I2752" s="5" t="n"/>
      <c r="J2752" s="5" t="n"/>
    </row>
    <row r="2753">
      <c r="A2753" s="5" t="n"/>
      <c r="B2753" s="5" t="n"/>
      <c r="C2753" s="5" t="n"/>
      <c r="D2753" s="5" t="n"/>
      <c r="E2753" s="4">
        <f>IF(C2753="","",COUNTIF($C$7:C2753,C2753))</f>
        <v/>
      </c>
      <c r="F2753" s="4">
        <f>IF(E2753="","",IF(E2753&lt;=3,6,IF(E2753&lt;=6,5,IF(E2753&lt;=9,4,IF(E2753&lt;=12,3,IF(E2753&lt;=15,2,0))))))</f>
        <v/>
      </c>
      <c r="G2753" s="5" t="n"/>
      <c r="H2753" s="4">
        <f>IF(OR(F2753="",G2753=""),"",F2753*G2753+IF(J2753="",0,J2753))</f>
        <v/>
      </c>
      <c r="I2753" s="5" t="n"/>
      <c r="J2753" s="5" t="n"/>
    </row>
    <row r="2754">
      <c r="A2754" s="5" t="n"/>
      <c r="B2754" s="5" t="n"/>
      <c r="C2754" s="5" t="n"/>
      <c r="D2754" s="5" t="n"/>
      <c r="E2754" s="4">
        <f>IF(C2754="","",COUNTIF($C$7:C2754,C2754))</f>
        <v/>
      </c>
      <c r="F2754" s="4">
        <f>IF(E2754="","",IF(E2754&lt;=3,6,IF(E2754&lt;=6,5,IF(E2754&lt;=9,4,IF(E2754&lt;=12,3,IF(E2754&lt;=15,2,0))))))</f>
        <v/>
      </c>
      <c r="G2754" s="5" t="n"/>
      <c r="H2754" s="4">
        <f>IF(OR(F2754="",G2754=""),"",F2754*G2754+IF(J2754="",0,J2754))</f>
        <v/>
      </c>
      <c r="I2754" s="5" t="n"/>
      <c r="J2754" s="5" t="n"/>
    </row>
    <row r="2755">
      <c r="A2755" s="5" t="n"/>
      <c r="B2755" s="5" t="n"/>
      <c r="C2755" s="5" t="n"/>
      <c r="D2755" s="5" t="n"/>
      <c r="E2755" s="4">
        <f>IF(C2755="","",COUNTIF($C$7:C2755,C2755))</f>
        <v/>
      </c>
      <c r="F2755" s="4">
        <f>IF(E2755="","",IF(E2755&lt;=3,6,IF(E2755&lt;=6,5,IF(E2755&lt;=9,4,IF(E2755&lt;=12,3,IF(E2755&lt;=15,2,0))))))</f>
        <v/>
      </c>
      <c r="G2755" s="5" t="n"/>
      <c r="H2755" s="4">
        <f>IF(OR(F2755="",G2755=""),"",F2755*G2755+IF(J2755="",0,J2755))</f>
        <v/>
      </c>
      <c r="I2755" s="5" t="n"/>
      <c r="J2755" s="5" t="n"/>
    </row>
    <row r="2756">
      <c r="A2756" s="5" t="n"/>
      <c r="B2756" s="5" t="n"/>
      <c r="C2756" s="5" t="n"/>
      <c r="D2756" s="5" t="n"/>
      <c r="E2756" s="4">
        <f>IF(C2756="","",COUNTIF($C$7:C2756,C2756))</f>
        <v/>
      </c>
      <c r="F2756" s="4">
        <f>IF(E2756="","",IF(E2756&lt;=3,6,IF(E2756&lt;=6,5,IF(E2756&lt;=9,4,IF(E2756&lt;=12,3,IF(E2756&lt;=15,2,0))))))</f>
        <v/>
      </c>
      <c r="G2756" s="5" t="n"/>
      <c r="H2756" s="4">
        <f>IF(OR(F2756="",G2756=""),"",F2756*G2756+IF(J2756="",0,J2756))</f>
        <v/>
      </c>
      <c r="I2756" s="5" t="n"/>
      <c r="J2756" s="5" t="n"/>
    </row>
    <row r="2757">
      <c r="A2757" s="5" t="n"/>
      <c r="B2757" s="5" t="n"/>
      <c r="C2757" s="5" t="n"/>
      <c r="D2757" s="5" t="n"/>
      <c r="E2757" s="4">
        <f>IF(C2757="","",COUNTIF($C$7:C2757,C2757))</f>
        <v/>
      </c>
      <c r="F2757" s="4">
        <f>IF(E2757="","",IF(E2757&lt;=3,6,IF(E2757&lt;=6,5,IF(E2757&lt;=9,4,IF(E2757&lt;=12,3,IF(E2757&lt;=15,2,0))))))</f>
        <v/>
      </c>
      <c r="G2757" s="5" t="n"/>
      <c r="H2757" s="4">
        <f>IF(OR(F2757="",G2757=""),"",F2757*G2757+IF(J2757="",0,J2757))</f>
        <v/>
      </c>
      <c r="I2757" s="5" t="n"/>
      <c r="J2757" s="5" t="n"/>
    </row>
    <row r="2758">
      <c r="A2758" s="5" t="n"/>
      <c r="B2758" s="5" t="n"/>
      <c r="C2758" s="5" t="n"/>
      <c r="D2758" s="5" t="n"/>
      <c r="E2758" s="4">
        <f>IF(C2758="","",COUNTIF($C$7:C2758,C2758))</f>
        <v/>
      </c>
      <c r="F2758" s="4">
        <f>IF(E2758="","",IF(E2758&lt;=3,6,IF(E2758&lt;=6,5,IF(E2758&lt;=9,4,IF(E2758&lt;=12,3,IF(E2758&lt;=15,2,0))))))</f>
        <v/>
      </c>
      <c r="G2758" s="5" t="n"/>
      <c r="H2758" s="4">
        <f>IF(OR(F2758="",G2758=""),"",F2758*G2758+IF(J2758="",0,J2758))</f>
        <v/>
      </c>
      <c r="I2758" s="5" t="n"/>
      <c r="J2758" s="5" t="n"/>
    </row>
    <row r="2759">
      <c r="A2759" s="5" t="n"/>
      <c r="B2759" s="5" t="n"/>
      <c r="C2759" s="5" t="n"/>
      <c r="D2759" s="5" t="n"/>
      <c r="E2759" s="4">
        <f>IF(C2759="","",COUNTIF($C$7:C2759,C2759))</f>
        <v/>
      </c>
      <c r="F2759" s="4">
        <f>IF(E2759="","",IF(E2759&lt;=3,6,IF(E2759&lt;=6,5,IF(E2759&lt;=9,4,IF(E2759&lt;=12,3,IF(E2759&lt;=15,2,0))))))</f>
        <v/>
      </c>
      <c r="G2759" s="5" t="n"/>
      <c r="H2759" s="4">
        <f>IF(OR(F2759="",G2759=""),"",F2759*G2759+IF(J2759="",0,J2759))</f>
        <v/>
      </c>
      <c r="I2759" s="5" t="n"/>
      <c r="J2759" s="5" t="n"/>
    </row>
    <row r="2760">
      <c r="A2760" s="5" t="n"/>
      <c r="B2760" s="5" t="n"/>
      <c r="C2760" s="5" t="n"/>
      <c r="D2760" s="5" t="n"/>
      <c r="E2760" s="4">
        <f>IF(C2760="","",COUNTIF($C$7:C2760,C2760))</f>
        <v/>
      </c>
      <c r="F2760" s="4">
        <f>IF(E2760="","",IF(E2760&lt;=3,6,IF(E2760&lt;=6,5,IF(E2760&lt;=9,4,IF(E2760&lt;=12,3,IF(E2760&lt;=15,2,0))))))</f>
        <v/>
      </c>
      <c r="G2760" s="5" t="n"/>
      <c r="H2760" s="4">
        <f>IF(OR(F2760="",G2760=""),"",F2760*G2760+IF(J2760="",0,J2760))</f>
        <v/>
      </c>
      <c r="I2760" s="5" t="n"/>
      <c r="J2760" s="5" t="n"/>
    </row>
    <row r="2761">
      <c r="A2761" s="5" t="n"/>
      <c r="B2761" s="5" t="n"/>
      <c r="C2761" s="5" t="n"/>
      <c r="D2761" s="5" t="n"/>
      <c r="E2761" s="4">
        <f>IF(C2761="","",COUNTIF($C$7:C2761,C2761))</f>
        <v/>
      </c>
      <c r="F2761" s="4">
        <f>IF(E2761="","",IF(E2761&lt;=3,6,IF(E2761&lt;=6,5,IF(E2761&lt;=9,4,IF(E2761&lt;=12,3,IF(E2761&lt;=15,2,0))))))</f>
        <v/>
      </c>
      <c r="G2761" s="5" t="n"/>
      <c r="H2761" s="4">
        <f>IF(OR(F2761="",G2761=""),"",F2761*G2761+IF(J2761="",0,J2761))</f>
        <v/>
      </c>
      <c r="I2761" s="5" t="n"/>
      <c r="J2761" s="5" t="n"/>
    </row>
    <row r="2762">
      <c r="A2762" s="5" t="n"/>
      <c r="B2762" s="5" t="n"/>
      <c r="C2762" s="5" t="n"/>
      <c r="D2762" s="5" t="n"/>
      <c r="E2762" s="4">
        <f>IF(C2762="","",COUNTIF($C$7:C2762,C2762))</f>
        <v/>
      </c>
      <c r="F2762" s="4">
        <f>IF(E2762="","",IF(E2762&lt;=3,6,IF(E2762&lt;=6,5,IF(E2762&lt;=9,4,IF(E2762&lt;=12,3,IF(E2762&lt;=15,2,0))))))</f>
        <v/>
      </c>
      <c r="G2762" s="5" t="n"/>
      <c r="H2762" s="4">
        <f>IF(OR(F2762="",G2762=""),"",F2762*G2762+IF(J2762="",0,J2762))</f>
        <v/>
      </c>
      <c r="I2762" s="5" t="n"/>
      <c r="J2762" s="5" t="n"/>
    </row>
    <row r="2763">
      <c r="A2763" s="5" t="n"/>
      <c r="B2763" s="5" t="n"/>
      <c r="C2763" s="5" t="n"/>
      <c r="D2763" s="5" t="n"/>
      <c r="E2763" s="4">
        <f>IF(C2763="","",COUNTIF($C$7:C2763,C2763))</f>
        <v/>
      </c>
      <c r="F2763" s="4">
        <f>IF(E2763="","",IF(E2763&lt;=3,6,IF(E2763&lt;=6,5,IF(E2763&lt;=9,4,IF(E2763&lt;=12,3,IF(E2763&lt;=15,2,0))))))</f>
        <v/>
      </c>
      <c r="G2763" s="5" t="n"/>
      <c r="H2763" s="4">
        <f>IF(OR(F2763="",G2763=""),"",F2763*G2763+IF(J2763="",0,J2763))</f>
        <v/>
      </c>
      <c r="I2763" s="5" t="n"/>
      <c r="J2763" s="5" t="n"/>
    </row>
    <row r="2764">
      <c r="A2764" s="5" t="n"/>
      <c r="B2764" s="5" t="n"/>
      <c r="C2764" s="5" t="n"/>
      <c r="D2764" s="5" t="n"/>
      <c r="E2764" s="4">
        <f>IF(C2764="","",COUNTIF($C$7:C2764,C2764))</f>
        <v/>
      </c>
      <c r="F2764" s="4">
        <f>IF(E2764="","",IF(E2764&lt;=3,6,IF(E2764&lt;=6,5,IF(E2764&lt;=9,4,IF(E2764&lt;=12,3,IF(E2764&lt;=15,2,0))))))</f>
        <v/>
      </c>
      <c r="G2764" s="5" t="n"/>
      <c r="H2764" s="4">
        <f>IF(OR(F2764="",G2764=""),"",F2764*G2764+IF(J2764="",0,J2764))</f>
        <v/>
      </c>
      <c r="I2764" s="5" t="n"/>
      <c r="J2764" s="5" t="n"/>
    </row>
    <row r="2765">
      <c r="A2765" s="5" t="n"/>
      <c r="B2765" s="5" t="n"/>
      <c r="C2765" s="5" t="n"/>
      <c r="D2765" s="5" t="n"/>
      <c r="E2765" s="4">
        <f>IF(C2765="","",COUNTIF($C$7:C2765,C2765))</f>
        <v/>
      </c>
      <c r="F2765" s="4">
        <f>IF(E2765="","",IF(E2765&lt;=3,6,IF(E2765&lt;=6,5,IF(E2765&lt;=9,4,IF(E2765&lt;=12,3,IF(E2765&lt;=15,2,0))))))</f>
        <v/>
      </c>
      <c r="G2765" s="5" t="n"/>
      <c r="H2765" s="4">
        <f>IF(OR(F2765="",G2765=""),"",F2765*G2765+IF(J2765="",0,J2765))</f>
        <v/>
      </c>
      <c r="I2765" s="5" t="n"/>
      <c r="J2765" s="5" t="n"/>
    </row>
    <row r="2766">
      <c r="A2766" s="5" t="n"/>
      <c r="B2766" s="5" t="n"/>
      <c r="C2766" s="5" t="n"/>
      <c r="D2766" s="5" t="n"/>
      <c r="E2766" s="4">
        <f>IF(C2766="","",COUNTIF($C$7:C2766,C2766))</f>
        <v/>
      </c>
      <c r="F2766" s="4">
        <f>IF(E2766="","",IF(E2766&lt;=3,6,IF(E2766&lt;=6,5,IF(E2766&lt;=9,4,IF(E2766&lt;=12,3,IF(E2766&lt;=15,2,0))))))</f>
        <v/>
      </c>
      <c r="G2766" s="5" t="n"/>
      <c r="H2766" s="4">
        <f>IF(OR(F2766="",G2766=""),"",F2766*G2766+IF(J2766="",0,J2766))</f>
        <v/>
      </c>
      <c r="I2766" s="5" t="n"/>
      <c r="J2766" s="5" t="n"/>
    </row>
    <row r="2767">
      <c r="A2767" s="5" t="n"/>
      <c r="B2767" s="5" t="n"/>
      <c r="C2767" s="5" t="n"/>
      <c r="D2767" s="5" t="n"/>
      <c r="E2767" s="4">
        <f>IF(C2767="","",COUNTIF($C$7:C2767,C2767))</f>
        <v/>
      </c>
      <c r="F2767" s="4">
        <f>IF(E2767="","",IF(E2767&lt;=3,6,IF(E2767&lt;=6,5,IF(E2767&lt;=9,4,IF(E2767&lt;=12,3,IF(E2767&lt;=15,2,0))))))</f>
        <v/>
      </c>
      <c r="G2767" s="5" t="n"/>
      <c r="H2767" s="4">
        <f>IF(OR(F2767="",G2767=""),"",F2767*G2767+IF(J2767="",0,J2767))</f>
        <v/>
      </c>
      <c r="I2767" s="5" t="n"/>
      <c r="J2767" s="5" t="n"/>
    </row>
    <row r="2768">
      <c r="A2768" s="5" t="n"/>
      <c r="B2768" s="5" t="n"/>
      <c r="C2768" s="5" t="n"/>
      <c r="D2768" s="5" t="n"/>
      <c r="E2768" s="4">
        <f>IF(C2768="","",COUNTIF($C$7:C2768,C2768))</f>
        <v/>
      </c>
      <c r="F2768" s="4">
        <f>IF(E2768="","",IF(E2768&lt;=3,6,IF(E2768&lt;=6,5,IF(E2768&lt;=9,4,IF(E2768&lt;=12,3,IF(E2768&lt;=15,2,0))))))</f>
        <v/>
      </c>
      <c r="G2768" s="5" t="n"/>
      <c r="H2768" s="4">
        <f>IF(OR(F2768="",G2768=""),"",F2768*G2768+IF(J2768="",0,J2768))</f>
        <v/>
      </c>
      <c r="I2768" s="5" t="n"/>
      <c r="J2768" s="5" t="n"/>
    </row>
    <row r="2769">
      <c r="A2769" s="5" t="n"/>
      <c r="B2769" s="5" t="n"/>
      <c r="C2769" s="5" t="n"/>
      <c r="D2769" s="5" t="n"/>
      <c r="E2769" s="4">
        <f>IF(C2769="","",COUNTIF($C$7:C2769,C2769))</f>
        <v/>
      </c>
      <c r="F2769" s="4">
        <f>IF(E2769="","",IF(E2769&lt;=3,6,IF(E2769&lt;=6,5,IF(E2769&lt;=9,4,IF(E2769&lt;=12,3,IF(E2769&lt;=15,2,0))))))</f>
        <v/>
      </c>
      <c r="G2769" s="5" t="n"/>
      <c r="H2769" s="4">
        <f>IF(OR(F2769="",G2769=""),"",F2769*G2769+IF(J2769="",0,J2769))</f>
        <v/>
      </c>
      <c r="I2769" s="5" t="n"/>
      <c r="J2769" s="5" t="n"/>
    </row>
    <row r="2770">
      <c r="A2770" s="5" t="n"/>
      <c r="B2770" s="5" t="n"/>
      <c r="C2770" s="5" t="n"/>
      <c r="D2770" s="5" t="n"/>
      <c r="E2770" s="4">
        <f>IF(C2770="","",COUNTIF($C$7:C2770,C2770))</f>
        <v/>
      </c>
      <c r="F2770" s="4">
        <f>IF(E2770="","",IF(E2770&lt;=3,6,IF(E2770&lt;=6,5,IF(E2770&lt;=9,4,IF(E2770&lt;=12,3,IF(E2770&lt;=15,2,0))))))</f>
        <v/>
      </c>
      <c r="G2770" s="5" t="n"/>
      <c r="H2770" s="4">
        <f>IF(OR(F2770="",G2770=""),"",F2770*G2770+IF(J2770="",0,J2770))</f>
        <v/>
      </c>
      <c r="I2770" s="5" t="n"/>
      <c r="J2770" s="5" t="n"/>
    </row>
    <row r="2771">
      <c r="A2771" s="5" t="n"/>
      <c r="B2771" s="5" t="n"/>
      <c r="C2771" s="5" t="n"/>
      <c r="D2771" s="5" t="n"/>
      <c r="E2771" s="4">
        <f>IF(C2771="","",COUNTIF($C$7:C2771,C2771))</f>
        <v/>
      </c>
      <c r="F2771" s="4">
        <f>IF(E2771="","",IF(E2771&lt;=3,6,IF(E2771&lt;=6,5,IF(E2771&lt;=9,4,IF(E2771&lt;=12,3,IF(E2771&lt;=15,2,0))))))</f>
        <v/>
      </c>
      <c r="G2771" s="5" t="n"/>
      <c r="H2771" s="4">
        <f>IF(OR(F2771="",G2771=""),"",F2771*G2771+IF(J2771="",0,J2771))</f>
        <v/>
      </c>
      <c r="I2771" s="5" t="n"/>
      <c r="J2771" s="5" t="n"/>
    </row>
    <row r="2772">
      <c r="A2772" s="5" t="n"/>
      <c r="B2772" s="5" t="n"/>
      <c r="C2772" s="5" t="n"/>
      <c r="D2772" s="5" t="n"/>
      <c r="E2772" s="4">
        <f>IF(C2772="","",COUNTIF($C$7:C2772,C2772))</f>
        <v/>
      </c>
      <c r="F2772" s="4">
        <f>IF(E2772="","",IF(E2772&lt;=3,6,IF(E2772&lt;=6,5,IF(E2772&lt;=9,4,IF(E2772&lt;=12,3,IF(E2772&lt;=15,2,0))))))</f>
        <v/>
      </c>
      <c r="G2772" s="5" t="n"/>
      <c r="H2772" s="4">
        <f>IF(OR(F2772="",G2772=""),"",F2772*G2772+IF(J2772="",0,J2772))</f>
        <v/>
      </c>
      <c r="I2772" s="5" t="n"/>
      <c r="J2772" s="5" t="n"/>
    </row>
    <row r="2773">
      <c r="A2773" s="5" t="n"/>
      <c r="B2773" s="5" t="n"/>
      <c r="C2773" s="5" t="n"/>
      <c r="D2773" s="5" t="n"/>
      <c r="E2773" s="4">
        <f>IF(C2773="","",COUNTIF($C$7:C2773,C2773))</f>
        <v/>
      </c>
      <c r="F2773" s="4">
        <f>IF(E2773="","",IF(E2773&lt;=3,6,IF(E2773&lt;=6,5,IF(E2773&lt;=9,4,IF(E2773&lt;=12,3,IF(E2773&lt;=15,2,0))))))</f>
        <v/>
      </c>
      <c r="G2773" s="5" t="n"/>
      <c r="H2773" s="4">
        <f>IF(OR(F2773="",G2773=""),"",F2773*G2773+IF(J2773="",0,J2773))</f>
        <v/>
      </c>
      <c r="I2773" s="5" t="n"/>
      <c r="J2773" s="5" t="n"/>
    </row>
    <row r="2774">
      <c r="A2774" s="5" t="n"/>
      <c r="B2774" s="5" t="n"/>
      <c r="C2774" s="5" t="n"/>
      <c r="D2774" s="5" t="n"/>
      <c r="E2774" s="4">
        <f>IF(C2774="","",COUNTIF($C$7:C2774,C2774))</f>
        <v/>
      </c>
      <c r="F2774" s="4">
        <f>IF(E2774="","",IF(E2774&lt;=3,6,IF(E2774&lt;=6,5,IF(E2774&lt;=9,4,IF(E2774&lt;=12,3,IF(E2774&lt;=15,2,0))))))</f>
        <v/>
      </c>
      <c r="G2774" s="5" t="n"/>
      <c r="H2774" s="4">
        <f>IF(OR(F2774="",G2774=""),"",F2774*G2774+IF(J2774="",0,J2774))</f>
        <v/>
      </c>
      <c r="I2774" s="5" t="n"/>
      <c r="J2774" s="5" t="n"/>
    </row>
    <row r="2775">
      <c r="A2775" s="5" t="n"/>
      <c r="B2775" s="5" t="n"/>
      <c r="C2775" s="5" t="n"/>
      <c r="D2775" s="5" t="n"/>
      <c r="E2775" s="4">
        <f>IF(C2775="","",COUNTIF($C$7:C2775,C2775))</f>
        <v/>
      </c>
      <c r="F2775" s="4">
        <f>IF(E2775="","",IF(E2775&lt;=3,6,IF(E2775&lt;=6,5,IF(E2775&lt;=9,4,IF(E2775&lt;=12,3,IF(E2775&lt;=15,2,0))))))</f>
        <v/>
      </c>
      <c r="G2775" s="5" t="n"/>
      <c r="H2775" s="4">
        <f>IF(OR(F2775="",G2775=""),"",F2775*G2775+IF(J2775="",0,J2775))</f>
        <v/>
      </c>
      <c r="I2775" s="5" t="n"/>
      <c r="J2775" s="5" t="n"/>
    </row>
    <row r="2776">
      <c r="A2776" s="5" t="n"/>
      <c r="B2776" s="5" t="n"/>
      <c r="C2776" s="5" t="n"/>
      <c r="D2776" s="5" t="n"/>
      <c r="E2776" s="4">
        <f>IF(C2776="","",COUNTIF($C$7:C2776,C2776))</f>
        <v/>
      </c>
      <c r="F2776" s="4">
        <f>IF(E2776="","",IF(E2776&lt;=3,6,IF(E2776&lt;=6,5,IF(E2776&lt;=9,4,IF(E2776&lt;=12,3,IF(E2776&lt;=15,2,0))))))</f>
        <v/>
      </c>
      <c r="G2776" s="5" t="n"/>
      <c r="H2776" s="4">
        <f>IF(OR(F2776="",G2776=""),"",F2776*G2776+IF(J2776="",0,J2776))</f>
        <v/>
      </c>
      <c r="I2776" s="5" t="n"/>
      <c r="J2776" s="5" t="n"/>
    </row>
    <row r="2777">
      <c r="A2777" s="5" t="n"/>
      <c r="B2777" s="5" t="n"/>
      <c r="C2777" s="5" t="n"/>
      <c r="D2777" s="5" t="n"/>
      <c r="E2777" s="4">
        <f>IF(C2777="","",COUNTIF($C$7:C2777,C2777))</f>
        <v/>
      </c>
      <c r="F2777" s="4">
        <f>IF(E2777="","",IF(E2777&lt;=3,6,IF(E2777&lt;=6,5,IF(E2777&lt;=9,4,IF(E2777&lt;=12,3,IF(E2777&lt;=15,2,0))))))</f>
        <v/>
      </c>
      <c r="G2777" s="5" t="n"/>
      <c r="H2777" s="4">
        <f>IF(OR(F2777="",G2777=""),"",F2777*G2777+IF(J2777="",0,J2777))</f>
        <v/>
      </c>
      <c r="I2777" s="5" t="n"/>
      <c r="J2777" s="5" t="n"/>
    </row>
    <row r="2778">
      <c r="A2778" s="5" t="n"/>
      <c r="B2778" s="5" t="n"/>
      <c r="C2778" s="5" t="n"/>
      <c r="D2778" s="5" t="n"/>
      <c r="E2778" s="4">
        <f>IF(C2778="","",COUNTIF($C$7:C2778,C2778))</f>
        <v/>
      </c>
      <c r="F2778" s="4">
        <f>IF(E2778="","",IF(E2778&lt;=3,6,IF(E2778&lt;=6,5,IF(E2778&lt;=9,4,IF(E2778&lt;=12,3,IF(E2778&lt;=15,2,0))))))</f>
        <v/>
      </c>
      <c r="G2778" s="5" t="n"/>
      <c r="H2778" s="4">
        <f>IF(OR(F2778="",G2778=""),"",F2778*G2778+IF(J2778="",0,J2778))</f>
        <v/>
      </c>
      <c r="I2778" s="5" t="n"/>
      <c r="J2778" s="5" t="n"/>
    </row>
    <row r="2779">
      <c r="A2779" s="5" t="n"/>
      <c r="B2779" s="5" t="n"/>
      <c r="C2779" s="5" t="n"/>
      <c r="D2779" s="5" t="n"/>
      <c r="E2779" s="4">
        <f>IF(C2779="","",COUNTIF($C$7:C2779,C2779))</f>
        <v/>
      </c>
      <c r="F2779" s="4">
        <f>IF(E2779="","",IF(E2779&lt;=3,6,IF(E2779&lt;=6,5,IF(E2779&lt;=9,4,IF(E2779&lt;=12,3,IF(E2779&lt;=15,2,0))))))</f>
        <v/>
      </c>
      <c r="G2779" s="5" t="n"/>
      <c r="H2779" s="4">
        <f>IF(OR(F2779="",G2779=""),"",F2779*G2779+IF(J2779="",0,J2779))</f>
        <v/>
      </c>
      <c r="I2779" s="5" t="n"/>
      <c r="J2779" s="5" t="n"/>
    </row>
    <row r="2780">
      <c r="A2780" s="5" t="n"/>
      <c r="B2780" s="5" t="n"/>
      <c r="C2780" s="5" t="n"/>
      <c r="D2780" s="5" t="n"/>
      <c r="E2780" s="4">
        <f>IF(C2780="","",COUNTIF($C$7:C2780,C2780))</f>
        <v/>
      </c>
      <c r="F2780" s="4">
        <f>IF(E2780="","",IF(E2780&lt;=3,6,IF(E2780&lt;=6,5,IF(E2780&lt;=9,4,IF(E2780&lt;=12,3,IF(E2780&lt;=15,2,0))))))</f>
        <v/>
      </c>
      <c r="G2780" s="5" t="n"/>
      <c r="H2780" s="4">
        <f>IF(OR(F2780="",G2780=""),"",F2780*G2780+IF(J2780="",0,J2780))</f>
        <v/>
      </c>
      <c r="I2780" s="5" t="n"/>
      <c r="J2780" s="5" t="n"/>
    </row>
    <row r="2781">
      <c r="A2781" s="5" t="n"/>
      <c r="B2781" s="5" t="n"/>
      <c r="C2781" s="5" t="n"/>
      <c r="D2781" s="5" t="n"/>
      <c r="E2781" s="4">
        <f>IF(C2781="","",COUNTIF($C$7:C2781,C2781))</f>
        <v/>
      </c>
      <c r="F2781" s="4">
        <f>IF(E2781="","",IF(E2781&lt;=3,6,IF(E2781&lt;=6,5,IF(E2781&lt;=9,4,IF(E2781&lt;=12,3,IF(E2781&lt;=15,2,0))))))</f>
        <v/>
      </c>
      <c r="G2781" s="5" t="n"/>
      <c r="H2781" s="4">
        <f>IF(OR(F2781="",G2781=""),"",F2781*G2781+IF(J2781="",0,J2781))</f>
        <v/>
      </c>
      <c r="I2781" s="5" t="n"/>
      <c r="J2781" s="5" t="n"/>
    </row>
    <row r="2782">
      <c r="A2782" s="5" t="n"/>
      <c r="B2782" s="5" t="n"/>
      <c r="C2782" s="5" t="n"/>
      <c r="D2782" s="5" t="n"/>
      <c r="E2782" s="4">
        <f>IF(C2782="","",COUNTIF($C$7:C2782,C2782))</f>
        <v/>
      </c>
      <c r="F2782" s="4">
        <f>IF(E2782="","",IF(E2782&lt;=3,6,IF(E2782&lt;=6,5,IF(E2782&lt;=9,4,IF(E2782&lt;=12,3,IF(E2782&lt;=15,2,0))))))</f>
        <v/>
      </c>
      <c r="G2782" s="5" t="n"/>
      <c r="H2782" s="4">
        <f>IF(OR(F2782="",G2782=""),"",F2782*G2782+IF(J2782="",0,J2782))</f>
        <v/>
      </c>
      <c r="I2782" s="5" t="n"/>
      <c r="J2782" s="5" t="n"/>
    </row>
    <row r="2783">
      <c r="A2783" s="5" t="n"/>
      <c r="B2783" s="5" t="n"/>
      <c r="C2783" s="5" t="n"/>
      <c r="D2783" s="5" t="n"/>
      <c r="E2783" s="4">
        <f>IF(C2783="","",COUNTIF($C$7:C2783,C2783))</f>
        <v/>
      </c>
      <c r="F2783" s="4">
        <f>IF(E2783="","",IF(E2783&lt;=3,6,IF(E2783&lt;=6,5,IF(E2783&lt;=9,4,IF(E2783&lt;=12,3,IF(E2783&lt;=15,2,0))))))</f>
        <v/>
      </c>
      <c r="G2783" s="5" t="n"/>
      <c r="H2783" s="4">
        <f>IF(OR(F2783="",G2783=""),"",F2783*G2783+IF(J2783="",0,J2783))</f>
        <v/>
      </c>
      <c r="I2783" s="5" t="n"/>
      <c r="J2783" s="5" t="n"/>
    </row>
    <row r="2784">
      <c r="A2784" s="5" t="n"/>
      <c r="B2784" s="5" t="n"/>
      <c r="C2784" s="5" t="n"/>
      <c r="D2784" s="5" t="n"/>
      <c r="E2784" s="4">
        <f>IF(C2784="","",COUNTIF($C$7:C2784,C2784))</f>
        <v/>
      </c>
      <c r="F2784" s="4">
        <f>IF(E2784="","",IF(E2784&lt;=3,6,IF(E2784&lt;=6,5,IF(E2784&lt;=9,4,IF(E2784&lt;=12,3,IF(E2784&lt;=15,2,0))))))</f>
        <v/>
      </c>
      <c r="G2784" s="5" t="n"/>
      <c r="H2784" s="4">
        <f>IF(OR(F2784="",G2784=""),"",F2784*G2784+IF(J2784="",0,J2784))</f>
        <v/>
      </c>
      <c r="I2784" s="5" t="n"/>
      <c r="J2784" s="5" t="n"/>
    </row>
    <row r="2785">
      <c r="A2785" s="5" t="n"/>
      <c r="B2785" s="5" t="n"/>
      <c r="C2785" s="5" t="n"/>
      <c r="D2785" s="5" t="n"/>
      <c r="E2785" s="4">
        <f>IF(C2785="","",COUNTIF($C$7:C2785,C2785))</f>
        <v/>
      </c>
      <c r="F2785" s="4">
        <f>IF(E2785="","",IF(E2785&lt;=3,6,IF(E2785&lt;=6,5,IF(E2785&lt;=9,4,IF(E2785&lt;=12,3,IF(E2785&lt;=15,2,0))))))</f>
        <v/>
      </c>
      <c r="G2785" s="5" t="n"/>
      <c r="H2785" s="4">
        <f>IF(OR(F2785="",G2785=""),"",F2785*G2785+IF(J2785="",0,J2785))</f>
        <v/>
      </c>
      <c r="I2785" s="5" t="n"/>
      <c r="J2785" s="5" t="n"/>
    </row>
    <row r="2786">
      <c r="A2786" s="5" t="n"/>
      <c r="B2786" s="5" t="n"/>
      <c r="C2786" s="5" t="n"/>
      <c r="D2786" s="5" t="n"/>
      <c r="E2786" s="4">
        <f>IF(C2786="","",COUNTIF($C$7:C2786,C2786))</f>
        <v/>
      </c>
      <c r="F2786" s="4">
        <f>IF(E2786="","",IF(E2786&lt;=3,6,IF(E2786&lt;=6,5,IF(E2786&lt;=9,4,IF(E2786&lt;=12,3,IF(E2786&lt;=15,2,0))))))</f>
        <v/>
      </c>
      <c r="G2786" s="5" t="n"/>
      <c r="H2786" s="4">
        <f>IF(OR(F2786="",G2786=""),"",F2786*G2786+IF(J2786="",0,J2786))</f>
        <v/>
      </c>
      <c r="I2786" s="5" t="n"/>
      <c r="J2786" s="5" t="n"/>
    </row>
    <row r="2787">
      <c r="A2787" s="5" t="n"/>
      <c r="B2787" s="5" t="n"/>
      <c r="C2787" s="5" t="n"/>
      <c r="D2787" s="5" t="n"/>
      <c r="E2787" s="4">
        <f>IF(C2787="","",COUNTIF($C$7:C2787,C2787))</f>
        <v/>
      </c>
      <c r="F2787" s="4">
        <f>IF(E2787="","",IF(E2787&lt;=3,6,IF(E2787&lt;=6,5,IF(E2787&lt;=9,4,IF(E2787&lt;=12,3,IF(E2787&lt;=15,2,0))))))</f>
        <v/>
      </c>
      <c r="G2787" s="5" t="n"/>
      <c r="H2787" s="4">
        <f>IF(OR(F2787="",G2787=""),"",F2787*G2787+IF(J2787="",0,J2787))</f>
        <v/>
      </c>
      <c r="I2787" s="5" t="n"/>
      <c r="J2787" s="5" t="n"/>
    </row>
    <row r="2788">
      <c r="A2788" s="5" t="n"/>
      <c r="B2788" s="5" t="n"/>
      <c r="C2788" s="5" t="n"/>
      <c r="D2788" s="5" t="n"/>
      <c r="E2788" s="4">
        <f>IF(C2788="","",COUNTIF($C$7:C2788,C2788))</f>
        <v/>
      </c>
      <c r="F2788" s="4">
        <f>IF(E2788="","",IF(E2788&lt;=3,6,IF(E2788&lt;=6,5,IF(E2788&lt;=9,4,IF(E2788&lt;=12,3,IF(E2788&lt;=15,2,0))))))</f>
        <v/>
      </c>
      <c r="G2788" s="5" t="n"/>
      <c r="H2788" s="4">
        <f>IF(OR(F2788="",G2788=""),"",F2788*G2788+IF(J2788="",0,J2788))</f>
        <v/>
      </c>
      <c r="I2788" s="5" t="n"/>
      <c r="J2788" s="5" t="n"/>
    </row>
    <row r="2789">
      <c r="A2789" s="5" t="n"/>
      <c r="B2789" s="5" t="n"/>
      <c r="C2789" s="5" t="n"/>
      <c r="D2789" s="5" t="n"/>
      <c r="E2789" s="4">
        <f>IF(C2789="","",COUNTIF($C$7:C2789,C2789))</f>
        <v/>
      </c>
      <c r="F2789" s="4">
        <f>IF(E2789="","",IF(E2789&lt;=3,6,IF(E2789&lt;=6,5,IF(E2789&lt;=9,4,IF(E2789&lt;=12,3,IF(E2789&lt;=15,2,0))))))</f>
        <v/>
      </c>
      <c r="G2789" s="5" t="n"/>
      <c r="H2789" s="4">
        <f>IF(OR(F2789="",G2789=""),"",F2789*G2789+IF(J2789="",0,J2789))</f>
        <v/>
      </c>
      <c r="I2789" s="5" t="n"/>
      <c r="J2789" s="5" t="n"/>
    </row>
    <row r="2790">
      <c r="A2790" s="5" t="n"/>
      <c r="B2790" s="5" t="n"/>
      <c r="C2790" s="5" t="n"/>
      <c r="D2790" s="5" t="n"/>
      <c r="E2790" s="4">
        <f>IF(C2790="","",COUNTIF($C$7:C2790,C2790))</f>
        <v/>
      </c>
      <c r="F2790" s="4">
        <f>IF(E2790="","",IF(E2790&lt;=3,6,IF(E2790&lt;=6,5,IF(E2790&lt;=9,4,IF(E2790&lt;=12,3,IF(E2790&lt;=15,2,0))))))</f>
        <v/>
      </c>
      <c r="G2790" s="5" t="n"/>
      <c r="H2790" s="4">
        <f>IF(OR(F2790="",G2790=""),"",F2790*G2790+IF(J2790="",0,J2790))</f>
        <v/>
      </c>
      <c r="I2790" s="5" t="n"/>
      <c r="J2790" s="5" t="n"/>
    </row>
    <row r="2791">
      <c r="A2791" s="5" t="n"/>
      <c r="B2791" s="5" t="n"/>
      <c r="C2791" s="5" t="n"/>
      <c r="D2791" s="5" t="n"/>
      <c r="E2791" s="4">
        <f>IF(C2791="","",COUNTIF($C$7:C2791,C2791))</f>
        <v/>
      </c>
      <c r="F2791" s="4">
        <f>IF(E2791="","",IF(E2791&lt;=3,6,IF(E2791&lt;=6,5,IF(E2791&lt;=9,4,IF(E2791&lt;=12,3,IF(E2791&lt;=15,2,0))))))</f>
        <v/>
      </c>
      <c r="G2791" s="5" t="n"/>
      <c r="H2791" s="4">
        <f>IF(OR(F2791="",G2791=""),"",F2791*G2791+IF(J2791="",0,J2791))</f>
        <v/>
      </c>
      <c r="I2791" s="5" t="n"/>
      <c r="J2791" s="5" t="n"/>
    </row>
    <row r="2792">
      <c r="A2792" s="5" t="n"/>
      <c r="B2792" s="5" t="n"/>
      <c r="C2792" s="5" t="n"/>
      <c r="D2792" s="5" t="n"/>
      <c r="E2792" s="4">
        <f>IF(C2792="","",COUNTIF($C$7:C2792,C2792))</f>
        <v/>
      </c>
      <c r="F2792" s="4">
        <f>IF(E2792="","",IF(E2792&lt;=3,6,IF(E2792&lt;=6,5,IF(E2792&lt;=9,4,IF(E2792&lt;=12,3,IF(E2792&lt;=15,2,0))))))</f>
        <v/>
      </c>
      <c r="G2792" s="5" t="n"/>
      <c r="H2792" s="4">
        <f>IF(OR(F2792="",G2792=""),"",F2792*G2792+IF(J2792="",0,J2792))</f>
        <v/>
      </c>
      <c r="I2792" s="5" t="n"/>
      <c r="J2792" s="5" t="n"/>
    </row>
    <row r="2793">
      <c r="A2793" s="5" t="n"/>
      <c r="B2793" s="5" t="n"/>
      <c r="C2793" s="5" t="n"/>
      <c r="D2793" s="5" t="n"/>
      <c r="E2793" s="4">
        <f>IF(C2793="","",COUNTIF($C$7:C2793,C2793))</f>
        <v/>
      </c>
      <c r="F2793" s="4">
        <f>IF(E2793="","",IF(E2793&lt;=3,6,IF(E2793&lt;=6,5,IF(E2793&lt;=9,4,IF(E2793&lt;=12,3,IF(E2793&lt;=15,2,0))))))</f>
        <v/>
      </c>
      <c r="G2793" s="5" t="n"/>
      <c r="H2793" s="4">
        <f>IF(OR(F2793="",G2793=""),"",F2793*G2793+IF(J2793="",0,J2793))</f>
        <v/>
      </c>
      <c r="I2793" s="5" t="n"/>
      <c r="J2793" s="5" t="n"/>
    </row>
    <row r="2794">
      <c r="A2794" s="5" t="n"/>
      <c r="B2794" s="5" t="n"/>
      <c r="C2794" s="5" t="n"/>
      <c r="D2794" s="5" t="n"/>
      <c r="E2794" s="4">
        <f>IF(C2794="","",COUNTIF($C$7:C2794,C2794))</f>
        <v/>
      </c>
      <c r="F2794" s="4">
        <f>IF(E2794="","",IF(E2794&lt;=3,6,IF(E2794&lt;=6,5,IF(E2794&lt;=9,4,IF(E2794&lt;=12,3,IF(E2794&lt;=15,2,0))))))</f>
        <v/>
      </c>
      <c r="G2794" s="5" t="n"/>
      <c r="H2794" s="4">
        <f>IF(OR(F2794="",G2794=""),"",F2794*G2794+IF(J2794="",0,J2794))</f>
        <v/>
      </c>
      <c r="I2794" s="5" t="n"/>
      <c r="J2794" s="5" t="n"/>
    </row>
    <row r="2795">
      <c r="A2795" s="5" t="n"/>
      <c r="B2795" s="5" t="n"/>
      <c r="C2795" s="5" t="n"/>
      <c r="D2795" s="5" t="n"/>
      <c r="E2795" s="4">
        <f>IF(C2795="","",COUNTIF($C$7:C2795,C2795))</f>
        <v/>
      </c>
      <c r="F2795" s="4">
        <f>IF(E2795="","",IF(E2795&lt;=3,6,IF(E2795&lt;=6,5,IF(E2795&lt;=9,4,IF(E2795&lt;=12,3,IF(E2795&lt;=15,2,0))))))</f>
        <v/>
      </c>
      <c r="G2795" s="5" t="n"/>
      <c r="H2795" s="4">
        <f>IF(OR(F2795="",G2795=""),"",F2795*G2795+IF(J2795="",0,J2795))</f>
        <v/>
      </c>
      <c r="I2795" s="5" t="n"/>
      <c r="J2795" s="5" t="n"/>
    </row>
    <row r="2796">
      <c r="A2796" s="5" t="n"/>
      <c r="B2796" s="5" t="n"/>
      <c r="C2796" s="5" t="n"/>
      <c r="D2796" s="5" t="n"/>
      <c r="E2796" s="4">
        <f>IF(C2796="","",COUNTIF($C$7:C2796,C2796))</f>
        <v/>
      </c>
      <c r="F2796" s="4">
        <f>IF(E2796="","",IF(E2796&lt;=3,6,IF(E2796&lt;=6,5,IF(E2796&lt;=9,4,IF(E2796&lt;=12,3,IF(E2796&lt;=15,2,0))))))</f>
        <v/>
      </c>
      <c r="G2796" s="5" t="n"/>
      <c r="H2796" s="4">
        <f>IF(OR(F2796="",G2796=""),"",F2796*G2796+IF(J2796="",0,J2796))</f>
        <v/>
      </c>
      <c r="I2796" s="5" t="n"/>
      <c r="J2796" s="5" t="n"/>
    </row>
    <row r="2797">
      <c r="A2797" s="5" t="n"/>
      <c r="B2797" s="5" t="n"/>
      <c r="C2797" s="5" t="n"/>
      <c r="D2797" s="5" t="n"/>
      <c r="E2797" s="4">
        <f>IF(C2797="","",COUNTIF($C$7:C2797,C2797))</f>
        <v/>
      </c>
      <c r="F2797" s="4">
        <f>IF(E2797="","",IF(E2797&lt;=3,6,IF(E2797&lt;=6,5,IF(E2797&lt;=9,4,IF(E2797&lt;=12,3,IF(E2797&lt;=15,2,0))))))</f>
        <v/>
      </c>
      <c r="G2797" s="5" t="n"/>
      <c r="H2797" s="4">
        <f>IF(OR(F2797="",G2797=""),"",F2797*G2797+IF(J2797="",0,J2797))</f>
        <v/>
      </c>
      <c r="I2797" s="5" t="n"/>
      <c r="J2797" s="5" t="n"/>
    </row>
    <row r="2798">
      <c r="A2798" s="5" t="n"/>
      <c r="B2798" s="5" t="n"/>
      <c r="C2798" s="5" t="n"/>
      <c r="D2798" s="5" t="n"/>
      <c r="E2798" s="4">
        <f>IF(C2798="","",COUNTIF($C$7:C2798,C2798))</f>
        <v/>
      </c>
      <c r="F2798" s="4">
        <f>IF(E2798="","",IF(E2798&lt;=3,6,IF(E2798&lt;=6,5,IF(E2798&lt;=9,4,IF(E2798&lt;=12,3,IF(E2798&lt;=15,2,0))))))</f>
        <v/>
      </c>
      <c r="G2798" s="5" t="n"/>
      <c r="H2798" s="4">
        <f>IF(OR(F2798="",G2798=""),"",F2798*G2798+IF(J2798="",0,J2798))</f>
        <v/>
      </c>
      <c r="I2798" s="5" t="n"/>
      <c r="J2798" s="5" t="n"/>
    </row>
    <row r="2799">
      <c r="A2799" s="5" t="n"/>
      <c r="B2799" s="5" t="n"/>
      <c r="C2799" s="5" t="n"/>
      <c r="D2799" s="5" t="n"/>
      <c r="E2799" s="4">
        <f>IF(C2799="","",COUNTIF($C$7:C2799,C2799))</f>
        <v/>
      </c>
      <c r="F2799" s="4">
        <f>IF(E2799="","",IF(E2799&lt;=3,6,IF(E2799&lt;=6,5,IF(E2799&lt;=9,4,IF(E2799&lt;=12,3,IF(E2799&lt;=15,2,0))))))</f>
        <v/>
      </c>
      <c r="G2799" s="5" t="n"/>
      <c r="H2799" s="4">
        <f>IF(OR(F2799="",G2799=""),"",F2799*G2799+IF(J2799="",0,J2799))</f>
        <v/>
      </c>
      <c r="I2799" s="5" t="n"/>
      <c r="J2799" s="5" t="n"/>
    </row>
    <row r="2800">
      <c r="A2800" s="5" t="n"/>
      <c r="B2800" s="5" t="n"/>
      <c r="C2800" s="5" t="n"/>
      <c r="D2800" s="5" t="n"/>
      <c r="E2800" s="4">
        <f>IF(C2800="","",COUNTIF($C$7:C2800,C2800))</f>
        <v/>
      </c>
      <c r="F2800" s="4">
        <f>IF(E2800="","",IF(E2800&lt;=3,6,IF(E2800&lt;=6,5,IF(E2800&lt;=9,4,IF(E2800&lt;=12,3,IF(E2800&lt;=15,2,0))))))</f>
        <v/>
      </c>
      <c r="G2800" s="5" t="n"/>
      <c r="H2800" s="4">
        <f>IF(OR(F2800="",G2800=""),"",F2800*G2800+IF(J2800="",0,J2800))</f>
        <v/>
      </c>
      <c r="I2800" s="5" t="n"/>
      <c r="J2800" s="5" t="n"/>
    </row>
    <row r="2801">
      <c r="A2801" s="5" t="n"/>
      <c r="B2801" s="5" t="n"/>
      <c r="C2801" s="5" t="n"/>
      <c r="D2801" s="5" t="n"/>
      <c r="E2801" s="4">
        <f>IF(C2801="","",COUNTIF($C$7:C2801,C2801))</f>
        <v/>
      </c>
      <c r="F2801" s="4">
        <f>IF(E2801="","",IF(E2801&lt;=3,6,IF(E2801&lt;=6,5,IF(E2801&lt;=9,4,IF(E2801&lt;=12,3,IF(E2801&lt;=15,2,0))))))</f>
        <v/>
      </c>
      <c r="G2801" s="5" t="n"/>
      <c r="H2801" s="4">
        <f>IF(OR(F2801="",G2801=""),"",F2801*G2801+IF(J2801="",0,J2801))</f>
        <v/>
      </c>
      <c r="I2801" s="5" t="n"/>
      <c r="J2801" s="5" t="n"/>
    </row>
    <row r="2802">
      <c r="A2802" s="5" t="n"/>
      <c r="B2802" s="5" t="n"/>
      <c r="C2802" s="5" t="n"/>
      <c r="D2802" s="5" t="n"/>
      <c r="E2802" s="4">
        <f>IF(C2802="","",COUNTIF($C$7:C2802,C2802))</f>
        <v/>
      </c>
      <c r="F2802" s="4">
        <f>IF(E2802="","",IF(E2802&lt;=3,6,IF(E2802&lt;=6,5,IF(E2802&lt;=9,4,IF(E2802&lt;=12,3,IF(E2802&lt;=15,2,0))))))</f>
        <v/>
      </c>
      <c r="G2802" s="5" t="n"/>
      <c r="H2802" s="4">
        <f>IF(OR(F2802="",G2802=""),"",F2802*G2802+IF(J2802="",0,J2802))</f>
        <v/>
      </c>
      <c r="I2802" s="5" t="n"/>
      <c r="J2802" s="5" t="n"/>
    </row>
    <row r="2803">
      <c r="A2803" s="5" t="n"/>
      <c r="B2803" s="5" t="n"/>
      <c r="C2803" s="5" t="n"/>
      <c r="D2803" s="5" t="n"/>
      <c r="E2803" s="4">
        <f>IF(C2803="","",COUNTIF($C$7:C2803,C2803))</f>
        <v/>
      </c>
      <c r="F2803" s="4">
        <f>IF(E2803="","",IF(E2803&lt;=3,6,IF(E2803&lt;=6,5,IF(E2803&lt;=9,4,IF(E2803&lt;=12,3,IF(E2803&lt;=15,2,0))))))</f>
        <v/>
      </c>
      <c r="G2803" s="5" t="n"/>
      <c r="H2803" s="4">
        <f>IF(OR(F2803="",G2803=""),"",F2803*G2803+IF(J2803="",0,J2803))</f>
        <v/>
      </c>
      <c r="I2803" s="5" t="n"/>
      <c r="J2803" s="5" t="n"/>
    </row>
    <row r="2804">
      <c r="A2804" s="5" t="n"/>
      <c r="B2804" s="5" t="n"/>
      <c r="C2804" s="5" t="n"/>
      <c r="D2804" s="5" t="n"/>
      <c r="E2804" s="4">
        <f>IF(C2804="","",COUNTIF($C$7:C2804,C2804))</f>
        <v/>
      </c>
      <c r="F2804" s="4">
        <f>IF(E2804="","",IF(E2804&lt;=3,6,IF(E2804&lt;=6,5,IF(E2804&lt;=9,4,IF(E2804&lt;=12,3,IF(E2804&lt;=15,2,0))))))</f>
        <v/>
      </c>
      <c r="G2804" s="5" t="n"/>
      <c r="H2804" s="4">
        <f>IF(OR(F2804="",G2804=""),"",F2804*G2804+IF(J2804="",0,J2804))</f>
        <v/>
      </c>
      <c r="I2804" s="5" t="n"/>
      <c r="J2804" s="5" t="n"/>
    </row>
    <row r="2805">
      <c r="A2805" s="5" t="n"/>
      <c r="B2805" s="5" t="n"/>
      <c r="C2805" s="5" t="n"/>
      <c r="D2805" s="5" t="n"/>
      <c r="E2805" s="4">
        <f>IF(C2805="","",COUNTIF($C$7:C2805,C2805))</f>
        <v/>
      </c>
      <c r="F2805" s="4">
        <f>IF(E2805="","",IF(E2805&lt;=3,6,IF(E2805&lt;=6,5,IF(E2805&lt;=9,4,IF(E2805&lt;=12,3,IF(E2805&lt;=15,2,0))))))</f>
        <v/>
      </c>
      <c r="G2805" s="5" t="n"/>
      <c r="H2805" s="4">
        <f>IF(OR(F2805="",G2805=""),"",F2805*G2805+IF(J2805="",0,J2805))</f>
        <v/>
      </c>
      <c r="I2805" s="5" t="n"/>
      <c r="J2805" s="5" t="n"/>
    </row>
    <row r="2806">
      <c r="A2806" s="5" t="n"/>
      <c r="B2806" s="5" t="n"/>
      <c r="C2806" s="5" t="n"/>
      <c r="D2806" s="5" t="n"/>
      <c r="E2806" s="4">
        <f>IF(C2806="","",COUNTIF($C$7:C2806,C2806))</f>
        <v/>
      </c>
      <c r="F2806" s="4">
        <f>IF(E2806="","",IF(E2806&lt;=3,6,IF(E2806&lt;=6,5,IF(E2806&lt;=9,4,IF(E2806&lt;=12,3,IF(E2806&lt;=15,2,0))))))</f>
        <v/>
      </c>
      <c r="G2806" s="5" t="n"/>
      <c r="H2806" s="4">
        <f>IF(OR(F2806="",G2806=""),"",F2806*G2806+IF(J2806="",0,J2806))</f>
        <v/>
      </c>
      <c r="I2806" s="5" t="n"/>
      <c r="J2806" s="5" t="n"/>
    </row>
    <row r="2807">
      <c r="A2807" s="5" t="n"/>
      <c r="B2807" s="5" t="n"/>
      <c r="C2807" s="5" t="n"/>
      <c r="D2807" s="5" t="n"/>
      <c r="E2807" s="4">
        <f>IF(C2807="","",COUNTIF($C$7:C2807,C2807))</f>
        <v/>
      </c>
      <c r="F2807" s="4">
        <f>IF(E2807="","",IF(E2807&lt;=3,6,IF(E2807&lt;=6,5,IF(E2807&lt;=9,4,IF(E2807&lt;=12,3,IF(E2807&lt;=15,2,0))))))</f>
        <v/>
      </c>
      <c r="G2807" s="5" t="n"/>
      <c r="H2807" s="4">
        <f>IF(OR(F2807="",G2807=""),"",F2807*G2807+IF(J2807="",0,J2807))</f>
        <v/>
      </c>
      <c r="I2807" s="5" t="n"/>
      <c r="J2807" s="5" t="n"/>
    </row>
    <row r="2808">
      <c r="A2808" s="5" t="n"/>
      <c r="B2808" s="5" t="n"/>
      <c r="C2808" s="5" t="n"/>
      <c r="D2808" s="5" t="n"/>
      <c r="E2808" s="4">
        <f>IF(C2808="","",COUNTIF($C$7:C2808,C2808))</f>
        <v/>
      </c>
      <c r="F2808" s="4">
        <f>IF(E2808="","",IF(E2808&lt;=3,6,IF(E2808&lt;=6,5,IF(E2808&lt;=9,4,IF(E2808&lt;=12,3,IF(E2808&lt;=15,2,0))))))</f>
        <v/>
      </c>
      <c r="G2808" s="5" t="n"/>
      <c r="H2808" s="4">
        <f>IF(OR(F2808="",G2808=""),"",F2808*G2808+IF(J2808="",0,J2808))</f>
        <v/>
      </c>
      <c r="I2808" s="5" t="n"/>
      <c r="J2808" s="5" t="n"/>
    </row>
    <row r="2809">
      <c r="A2809" s="5" t="n"/>
      <c r="B2809" s="5" t="n"/>
      <c r="C2809" s="5" t="n"/>
      <c r="D2809" s="5" t="n"/>
      <c r="E2809" s="4">
        <f>IF(C2809="","",COUNTIF($C$7:C2809,C2809))</f>
        <v/>
      </c>
      <c r="F2809" s="4">
        <f>IF(E2809="","",IF(E2809&lt;=3,6,IF(E2809&lt;=6,5,IF(E2809&lt;=9,4,IF(E2809&lt;=12,3,IF(E2809&lt;=15,2,0))))))</f>
        <v/>
      </c>
      <c r="G2809" s="5" t="n"/>
      <c r="H2809" s="4">
        <f>IF(OR(F2809="",G2809=""),"",F2809*G2809+IF(J2809="",0,J2809))</f>
        <v/>
      </c>
      <c r="I2809" s="5" t="n"/>
      <c r="J2809" s="5" t="n"/>
    </row>
    <row r="2810">
      <c r="A2810" s="5" t="n"/>
      <c r="B2810" s="5" t="n"/>
      <c r="C2810" s="5" t="n"/>
      <c r="D2810" s="5" t="n"/>
      <c r="E2810" s="4">
        <f>IF(C2810="","",COUNTIF($C$7:C2810,C2810))</f>
        <v/>
      </c>
      <c r="F2810" s="4">
        <f>IF(E2810="","",IF(E2810&lt;=3,6,IF(E2810&lt;=6,5,IF(E2810&lt;=9,4,IF(E2810&lt;=12,3,IF(E2810&lt;=15,2,0))))))</f>
        <v/>
      </c>
      <c r="G2810" s="5" t="n"/>
      <c r="H2810" s="4">
        <f>IF(OR(F2810="",G2810=""),"",F2810*G2810+IF(J2810="",0,J2810))</f>
        <v/>
      </c>
      <c r="I2810" s="5" t="n"/>
      <c r="J2810" s="5" t="n"/>
    </row>
    <row r="2811">
      <c r="A2811" s="5" t="n"/>
      <c r="B2811" s="5" t="n"/>
      <c r="C2811" s="5" t="n"/>
      <c r="D2811" s="5" t="n"/>
      <c r="E2811" s="4">
        <f>IF(C2811="","",COUNTIF($C$7:C2811,C2811))</f>
        <v/>
      </c>
      <c r="F2811" s="4">
        <f>IF(E2811="","",IF(E2811&lt;=3,6,IF(E2811&lt;=6,5,IF(E2811&lt;=9,4,IF(E2811&lt;=12,3,IF(E2811&lt;=15,2,0))))))</f>
        <v/>
      </c>
      <c r="G2811" s="5" t="n"/>
      <c r="H2811" s="4">
        <f>IF(OR(F2811="",G2811=""),"",F2811*G2811+IF(J2811="",0,J2811))</f>
        <v/>
      </c>
      <c r="I2811" s="5" t="n"/>
      <c r="J2811" s="5" t="n"/>
    </row>
    <row r="2812">
      <c r="A2812" s="5" t="n"/>
      <c r="B2812" s="5" t="n"/>
      <c r="C2812" s="5" t="n"/>
      <c r="D2812" s="5" t="n"/>
      <c r="E2812" s="4">
        <f>IF(C2812="","",COUNTIF($C$7:C2812,C2812))</f>
        <v/>
      </c>
      <c r="F2812" s="4">
        <f>IF(E2812="","",IF(E2812&lt;=3,6,IF(E2812&lt;=6,5,IF(E2812&lt;=9,4,IF(E2812&lt;=12,3,IF(E2812&lt;=15,2,0))))))</f>
        <v/>
      </c>
      <c r="G2812" s="5" t="n"/>
      <c r="H2812" s="4">
        <f>IF(OR(F2812="",G2812=""),"",F2812*G2812+IF(J2812="",0,J2812))</f>
        <v/>
      </c>
      <c r="I2812" s="5" t="n"/>
      <c r="J2812" s="5" t="n"/>
    </row>
    <row r="2813">
      <c r="A2813" s="5" t="n"/>
      <c r="B2813" s="5" t="n"/>
      <c r="C2813" s="5" t="n"/>
      <c r="D2813" s="5" t="n"/>
      <c r="E2813" s="4">
        <f>IF(C2813="","",COUNTIF($C$7:C2813,C2813))</f>
        <v/>
      </c>
      <c r="F2813" s="4">
        <f>IF(E2813="","",IF(E2813&lt;=3,6,IF(E2813&lt;=6,5,IF(E2813&lt;=9,4,IF(E2813&lt;=12,3,IF(E2813&lt;=15,2,0))))))</f>
        <v/>
      </c>
      <c r="G2813" s="5" t="n"/>
      <c r="H2813" s="4">
        <f>IF(OR(F2813="",G2813=""),"",F2813*G2813+IF(J2813="",0,J2813))</f>
        <v/>
      </c>
      <c r="I2813" s="5" t="n"/>
      <c r="J2813" s="5" t="n"/>
    </row>
    <row r="2814">
      <c r="A2814" s="5" t="n"/>
      <c r="B2814" s="5" t="n"/>
      <c r="C2814" s="5" t="n"/>
      <c r="D2814" s="5" t="n"/>
      <c r="E2814" s="4">
        <f>IF(C2814="","",COUNTIF($C$7:C2814,C2814))</f>
        <v/>
      </c>
      <c r="F2814" s="4">
        <f>IF(E2814="","",IF(E2814&lt;=3,6,IF(E2814&lt;=6,5,IF(E2814&lt;=9,4,IF(E2814&lt;=12,3,IF(E2814&lt;=15,2,0))))))</f>
        <v/>
      </c>
      <c r="G2814" s="5" t="n"/>
      <c r="H2814" s="4">
        <f>IF(OR(F2814="",G2814=""),"",F2814*G2814+IF(J2814="",0,J2814))</f>
        <v/>
      </c>
      <c r="I2814" s="5" t="n"/>
      <c r="J2814" s="5" t="n"/>
    </row>
    <row r="2815">
      <c r="A2815" s="5" t="n"/>
      <c r="B2815" s="5" t="n"/>
      <c r="C2815" s="5" t="n"/>
      <c r="D2815" s="5" t="n"/>
      <c r="E2815" s="4">
        <f>IF(C2815="","",COUNTIF($C$7:C2815,C2815))</f>
        <v/>
      </c>
      <c r="F2815" s="4">
        <f>IF(E2815="","",IF(E2815&lt;=3,6,IF(E2815&lt;=6,5,IF(E2815&lt;=9,4,IF(E2815&lt;=12,3,IF(E2815&lt;=15,2,0))))))</f>
        <v/>
      </c>
      <c r="G2815" s="5" t="n"/>
      <c r="H2815" s="4">
        <f>IF(OR(F2815="",G2815=""),"",F2815*G2815+IF(J2815="",0,J2815))</f>
        <v/>
      </c>
      <c r="I2815" s="5" t="n"/>
      <c r="J2815" s="5" t="n"/>
    </row>
    <row r="2816">
      <c r="A2816" s="5" t="n"/>
      <c r="B2816" s="5" t="n"/>
      <c r="C2816" s="5" t="n"/>
      <c r="D2816" s="5" t="n"/>
      <c r="E2816" s="4">
        <f>IF(C2816="","",COUNTIF($C$7:C2816,C2816))</f>
        <v/>
      </c>
      <c r="F2816" s="4">
        <f>IF(E2816="","",IF(E2816&lt;=3,6,IF(E2816&lt;=6,5,IF(E2816&lt;=9,4,IF(E2816&lt;=12,3,IF(E2816&lt;=15,2,0))))))</f>
        <v/>
      </c>
      <c r="G2816" s="5" t="n"/>
      <c r="H2816" s="4">
        <f>IF(OR(F2816="",G2816=""),"",F2816*G2816+IF(J2816="",0,J2816))</f>
        <v/>
      </c>
      <c r="I2816" s="5" t="n"/>
      <c r="J2816" s="5" t="n"/>
    </row>
    <row r="2817">
      <c r="A2817" s="5" t="n"/>
      <c r="B2817" s="5" t="n"/>
      <c r="C2817" s="5" t="n"/>
      <c r="D2817" s="5" t="n"/>
      <c r="E2817" s="4">
        <f>IF(C2817="","",COUNTIF($C$7:C2817,C2817))</f>
        <v/>
      </c>
      <c r="F2817" s="4">
        <f>IF(E2817="","",IF(E2817&lt;=3,6,IF(E2817&lt;=6,5,IF(E2817&lt;=9,4,IF(E2817&lt;=12,3,IF(E2817&lt;=15,2,0))))))</f>
        <v/>
      </c>
      <c r="G2817" s="5" t="n"/>
      <c r="H2817" s="4">
        <f>IF(OR(F2817="",G2817=""),"",F2817*G2817+IF(J2817="",0,J2817))</f>
        <v/>
      </c>
      <c r="I2817" s="5" t="n"/>
      <c r="J2817" s="5" t="n"/>
    </row>
    <row r="2818">
      <c r="A2818" s="5" t="n"/>
      <c r="B2818" s="5" t="n"/>
      <c r="C2818" s="5" t="n"/>
      <c r="D2818" s="5" t="n"/>
      <c r="E2818" s="4">
        <f>IF(C2818="","",COUNTIF($C$7:C2818,C2818))</f>
        <v/>
      </c>
      <c r="F2818" s="4">
        <f>IF(E2818="","",IF(E2818&lt;=3,6,IF(E2818&lt;=6,5,IF(E2818&lt;=9,4,IF(E2818&lt;=12,3,IF(E2818&lt;=15,2,0))))))</f>
        <v/>
      </c>
      <c r="G2818" s="5" t="n"/>
      <c r="H2818" s="4">
        <f>IF(OR(F2818="",G2818=""),"",F2818*G2818+IF(J2818="",0,J2818))</f>
        <v/>
      </c>
      <c r="I2818" s="5" t="n"/>
      <c r="J2818" s="5" t="n"/>
    </row>
    <row r="2819">
      <c r="A2819" s="5" t="n"/>
      <c r="B2819" s="5" t="n"/>
      <c r="C2819" s="5" t="n"/>
      <c r="D2819" s="5" t="n"/>
      <c r="E2819" s="4">
        <f>IF(C2819="","",COUNTIF($C$7:C2819,C2819))</f>
        <v/>
      </c>
      <c r="F2819" s="4">
        <f>IF(E2819="","",IF(E2819&lt;=3,6,IF(E2819&lt;=6,5,IF(E2819&lt;=9,4,IF(E2819&lt;=12,3,IF(E2819&lt;=15,2,0))))))</f>
        <v/>
      </c>
      <c r="G2819" s="5" t="n"/>
      <c r="H2819" s="4">
        <f>IF(OR(F2819="",G2819=""),"",F2819*G2819+IF(J2819="",0,J2819))</f>
        <v/>
      </c>
      <c r="I2819" s="5" t="n"/>
      <c r="J2819" s="5" t="n"/>
    </row>
    <row r="2820">
      <c r="A2820" s="5" t="n"/>
      <c r="B2820" s="5" t="n"/>
      <c r="C2820" s="5" t="n"/>
      <c r="D2820" s="5" t="n"/>
      <c r="E2820" s="4">
        <f>IF(C2820="","",COUNTIF($C$7:C2820,C2820))</f>
        <v/>
      </c>
      <c r="F2820" s="4">
        <f>IF(E2820="","",IF(E2820&lt;=3,6,IF(E2820&lt;=6,5,IF(E2820&lt;=9,4,IF(E2820&lt;=12,3,IF(E2820&lt;=15,2,0))))))</f>
        <v/>
      </c>
      <c r="G2820" s="5" t="n"/>
      <c r="H2820" s="4">
        <f>IF(OR(F2820="",G2820=""),"",F2820*G2820+IF(J2820="",0,J2820))</f>
        <v/>
      </c>
      <c r="I2820" s="5" t="n"/>
      <c r="J2820" s="5" t="n"/>
    </row>
    <row r="2821">
      <c r="A2821" s="5" t="n"/>
      <c r="B2821" s="5" t="n"/>
      <c r="C2821" s="5" t="n"/>
      <c r="D2821" s="5" t="n"/>
      <c r="E2821" s="4">
        <f>IF(C2821="","",COUNTIF($C$7:C2821,C2821))</f>
        <v/>
      </c>
      <c r="F2821" s="4">
        <f>IF(E2821="","",IF(E2821&lt;=3,6,IF(E2821&lt;=6,5,IF(E2821&lt;=9,4,IF(E2821&lt;=12,3,IF(E2821&lt;=15,2,0))))))</f>
        <v/>
      </c>
      <c r="G2821" s="5" t="n"/>
      <c r="H2821" s="4">
        <f>IF(OR(F2821="",G2821=""),"",F2821*G2821+IF(J2821="",0,J2821))</f>
        <v/>
      </c>
      <c r="I2821" s="5" t="n"/>
      <c r="J2821" s="5" t="n"/>
    </row>
    <row r="2822">
      <c r="A2822" s="5" t="n"/>
      <c r="B2822" s="5" t="n"/>
      <c r="C2822" s="5" t="n"/>
      <c r="D2822" s="5" t="n"/>
      <c r="E2822" s="4">
        <f>IF(C2822="","",COUNTIF($C$7:C2822,C2822))</f>
        <v/>
      </c>
      <c r="F2822" s="4">
        <f>IF(E2822="","",IF(E2822&lt;=3,6,IF(E2822&lt;=6,5,IF(E2822&lt;=9,4,IF(E2822&lt;=12,3,IF(E2822&lt;=15,2,0))))))</f>
        <v/>
      </c>
      <c r="G2822" s="5" t="n"/>
      <c r="H2822" s="4">
        <f>IF(OR(F2822="",G2822=""),"",F2822*G2822+IF(J2822="",0,J2822))</f>
        <v/>
      </c>
      <c r="I2822" s="5" t="n"/>
      <c r="J2822" s="5" t="n"/>
    </row>
    <row r="2823">
      <c r="A2823" s="5" t="n"/>
      <c r="B2823" s="5" t="n"/>
      <c r="C2823" s="5" t="n"/>
      <c r="D2823" s="5" t="n"/>
      <c r="E2823" s="4">
        <f>IF(C2823="","",COUNTIF($C$7:C2823,C2823))</f>
        <v/>
      </c>
      <c r="F2823" s="4">
        <f>IF(E2823="","",IF(E2823&lt;=3,6,IF(E2823&lt;=6,5,IF(E2823&lt;=9,4,IF(E2823&lt;=12,3,IF(E2823&lt;=15,2,0))))))</f>
        <v/>
      </c>
      <c r="G2823" s="5" t="n"/>
      <c r="H2823" s="4">
        <f>IF(OR(F2823="",G2823=""),"",F2823*G2823+IF(J2823="",0,J2823))</f>
        <v/>
      </c>
      <c r="I2823" s="5" t="n"/>
      <c r="J2823" s="5" t="n"/>
    </row>
    <row r="2824">
      <c r="A2824" s="5" t="n"/>
      <c r="B2824" s="5" t="n"/>
      <c r="C2824" s="5" t="n"/>
      <c r="D2824" s="5" t="n"/>
      <c r="E2824" s="4">
        <f>IF(C2824="","",COUNTIF($C$7:C2824,C2824))</f>
        <v/>
      </c>
      <c r="F2824" s="4">
        <f>IF(E2824="","",IF(E2824&lt;=3,6,IF(E2824&lt;=6,5,IF(E2824&lt;=9,4,IF(E2824&lt;=12,3,IF(E2824&lt;=15,2,0))))))</f>
        <v/>
      </c>
      <c r="G2824" s="5" t="n"/>
      <c r="H2824" s="4">
        <f>IF(OR(F2824="",G2824=""),"",F2824*G2824+IF(J2824="",0,J2824))</f>
        <v/>
      </c>
      <c r="I2824" s="5" t="n"/>
      <c r="J2824" s="5" t="n"/>
    </row>
    <row r="2825">
      <c r="A2825" s="5" t="n"/>
      <c r="B2825" s="5" t="n"/>
      <c r="C2825" s="5" t="n"/>
      <c r="D2825" s="5" t="n"/>
      <c r="E2825" s="4">
        <f>IF(C2825="","",COUNTIF($C$7:C2825,C2825))</f>
        <v/>
      </c>
      <c r="F2825" s="4">
        <f>IF(E2825="","",IF(E2825&lt;=3,6,IF(E2825&lt;=6,5,IF(E2825&lt;=9,4,IF(E2825&lt;=12,3,IF(E2825&lt;=15,2,0))))))</f>
        <v/>
      </c>
      <c r="G2825" s="5" t="n"/>
      <c r="H2825" s="4">
        <f>IF(OR(F2825="",G2825=""),"",F2825*G2825+IF(J2825="",0,J2825))</f>
        <v/>
      </c>
      <c r="I2825" s="5" t="n"/>
      <c r="J2825" s="5" t="n"/>
    </row>
    <row r="2826">
      <c r="A2826" s="5" t="n"/>
      <c r="B2826" s="5" t="n"/>
      <c r="C2826" s="5" t="n"/>
      <c r="D2826" s="5" t="n"/>
      <c r="E2826" s="4">
        <f>IF(C2826="","",COUNTIF($C$7:C2826,C2826))</f>
        <v/>
      </c>
      <c r="F2826" s="4">
        <f>IF(E2826="","",IF(E2826&lt;=3,6,IF(E2826&lt;=6,5,IF(E2826&lt;=9,4,IF(E2826&lt;=12,3,IF(E2826&lt;=15,2,0))))))</f>
        <v/>
      </c>
      <c r="G2826" s="5" t="n"/>
      <c r="H2826" s="4">
        <f>IF(OR(F2826="",G2826=""),"",F2826*G2826+IF(J2826="",0,J2826))</f>
        <v/>
      </c>
      <c r="I2826" s="5" t="n"/>
      <c r="J2826" s="5" t="n"/>
    </row>
    <row r="2827">
      <c r="A2827" s="5" t="n"/>
      <c r="B2827" s="5" t="n"/>
      <c r="C2827" s="5" t="n"/>
      <c r="D2827" s="5" t="n"/>
      <c r="E2827" s="4">
        <f>IF(C2827="","",COUNTIF($C$7:C2827,C2827))</f>
        <v/>
      </c>
      <c r="F2827" s="4">
        <f>IF(E2827="","",IF(E2827&lt;=3,6,IF(E2827&lt;=6,5,IF(E2827&lt;=9,4,IF(E2827&lt;=12,3,IF(E2827&lt;=15,2,0))))))</f>
        <v/>
      </c>
      <c r="G2827" s="5" t="n"/>
      <c r="H2827" s="4">
        <f>IF(OR(F2827="",G2827=""),"",F2827*G2827+IF(J2827="",0,J2827))</f>
        <v/>
      </c>
      <c r="I2827" s="5" t="n"/>
      <c r="J2827" s="5" t="n"/>
    </row>
    <row r="2828">
      <c r="A2828" s="5" t="n"/>
      <c r="B2828" s="5" t="n"/>
      <c r="C2828" s="5" t="n"/>
      <c r="D2828" s="5" t="n"/>
      <c r="E2828" s="4">
        <f>IF(C2828="","",COUNTIF($C$7:C2828,C2828))</f>
        <v/>
      </c>
      <c r="F2828" s="4">
        <f>IF(E2828="","",IF(E2828&lt;=3,6,IF(E2828&lt;=6,5,IF(E2828&lt;=9,4,IF(E2828&lt;=12,3,IF(E2828&lt;=15,2,0))))))</f>
        <v/>
      </c>
      <c r="G2828" s="5" t="n"/>
      <c r="H2828" s="4">
        <f>IF(OR(F2828="",G2828=""),"",F2828*G2828+IF(J2828="",0,J2828))</f>
        <v/>
      </c>
      <c r="I2828" s="5" t="n"/>
      <c r="J2828" s="5" t="n"/>
    </row>
    <row r="2829">
      <c r="A2829" s="5" t="n"/>
      <c r="B2829" s="5" t="n"/>
      <c r="C2829" s="5" t="n"/>
      <c r="D2829" s="5" t="n"/>
      <c r="E2829" s="4">
        <f>IF(C2829="","",COUNTIF($C$7:C2829,C2829))</f>
        <v/>
      </c>
      <c r="F2829" s="4">
        <f>IF(E2829="","",IF(E2829&lt;=3,6,IF(E2829&lt;=6,5,IF(E2829&lt;=9,4,IF(E2829&lt;=12,3,IF(E2829&lt;=15,2,0))))))</f>
        <v/>
      </c>
      <c r="G2829" s="5" t="n"/>
      <c r="H2829" s="4">
        <f>IF(OR(F2829="",G2829=""),"",F2829*G2829+IF(J2829="",0,J2829))</f>
        <v/>
      </c>
      <c r="I2829" s="5" t="n"/>
      <c r="J2829" s="5" t="n"/>
    </row>
    <row r="2830">
      <c r="A2830" s="5" t="n"/>
      <c r="B2830" s="5" t="n"/>
      <c r="C2830" s="5" t="n"/>
      <c r="D2830" s="5" t="n"/>
      <c r="E2830" s="4">
        <f>IF(C2830="","",COUNTIF($C$7:C2830,C2830))</f>
        <v/>
      </c>
      <c r="F2830" s="4">
        <f>IF(E2830="","",IF(E2830&lt;=3,6,IF(E2830&lt;=6,5,IF(E2830&lt;=9,4,IF(E2830&lt;=12,3,IF(E2830&lt;=15,2,0))))))</f>
        <v/>
      </c>
      <c r="G2830" s="5" t="n"/>
      <c r="H2830" s="4">
        <f>IF(OR(F2830="",G2830=""),"",F2830*G2830+IF(J2830="",0,J2830))</f>
        <v/>
      </c>
      <c r="I2830" s="5" t="n"/>
      <c r="J2830" s="5" t="n"/>
    </row>
    <row r="2831">
      <c r="A2831" s="5" t="n"/>
      <c r="B2831" s="5" t="n"/>
      <c r="C2831" s="5" t="n"/>
      <c r="D2831" s="5" t="n"/>
      <c r="E2831" s="4">
        <f>IF(C2831="","",COUNTIF($C$7:C2831,C2831))</f>
        <v/>
      </c>
      <c r="F2831" s="4">
        <f>IF(E2831="","",IF(E2831&lt;=3,6,IF(E2831&lt;=6,5,IF(E2831&lt;=9,4,IF(E2831&lt;=12,3,IF(E2831&lt;=15,2,0))))))</f>
        <v/>
      </c>
      <c r="G2831" s="5" t="n"/>
      <c r="H2831" s="4">
        <f>IF(OR(F2831="",G2831=""),"",F2831*G2831+IF(J2831="",0,J2831))</f>
        <v/>
      </c>
      <c r="I2831" s="5" t="n"/>
      <c r="J2831" s="5" t="n"/>
    </row>
    <row r="2832">
      <c r="A2832" s="5" t="n"/>
      <c r="B2832" s="5" t="n"/>
      <c r="C2832" s="5" t="n"/>
      <c r="D2832" s="5" t="n"/>
      <c r="E2832" s="4">
        <f>IF(C2832="","",COUNTIF($C$7:C2832,C2832))</f>
        <v/>
      </c>
      <c r="F2832" s="4">
        <f>IF(E2832="","",IF(E2832&lt;=3,6,IF(E2832&lt;=6,5,IF(E2832&lt;=9,4,IF(E2832&lt;=12,3,IF(E2832&lt;=15,2,0))))))</f>
        <v/>
      </c>
      <c r="G2832" s="5" t="n"/>
      <c r="H2832" s="4">
        <f>IF(OR(F2832="",G2832=""),"",F2832*G2832+IF(J2832="",0,J2832))</f>
        <v/>
      </c>
      <c r="I2832" s="5" t="n"/>
      <c r="J2832" s="5" t="n"/>
    </row>
    <row r="2833">
      <c r="A2833" s="5" t="n"/>
      <c r="B2833" s="5" t="n"/>
      <c r="C2833" s="5" t="n"/>
      <c r="D2833" s="5" t="n"/>
      <c r="E2833" s="4">
        <f>IF(C2833="","",COUNTIF($C$7:C2833,C2833))</f>
        <v/>
      </c>
      <c r="F2833" s="4">
        <f>IF(E2833="","",IF(E2833&lt;=3,6,IF(E2833&lt;=6,5,IF(E2833&lt;=9,4,IF(E2833&lt;=12,3,IF(E2833&lt;=15,2,0))))))</f>
        <v/>
      </c>
      <c r="G2833" s="5" t="n"/>
      <c r="H2833" s="4">
        <f>IF(OR(F2833="",G2833=""),"",F2833*G2833+IF(J2833="",0,J2833))</f>
        <v/>
      </c>
      <c r="I2833" s="5" t="n"/>
      <c r="J2833" s="5" t="n"/>
    </row>
    <row r="2834">
      <c r="A2834" s="5" t="n"/>
      <c r="B2834" s="5" t="n"/>
      <c r="C2834" s="5" t="n"/>
      <c r="D2834" s="5" t="n"/>
      <c r="E2834" s="4">
        <f>IF(C2834="","",COUNTIF($C$7:C2834,C2834))</f>
        <v/>
      </c>
      <c r="F2834" s="4">
        <f>IF(E2834="","",IF(E2834&lt;=3,6,IF(E2834&lt;=6,5,IF(E2834&lt;=9,4,IF(E2834&lt;=12,3,IF(E2834&lt;=15,2,0))))))</f>
        <v/>
      </c>
      <c r="G2834" s="5" t="n"/>
      <c r="H2834" s="4">
        <f>IF(OR(F2834="",G2834=""),"",F2834*G2834+IF(J2834="",0,J2834))</f>
        <v/>
      </c>
      <c r="I2834" s="5" t="n"/>
      <c r="J2834" s="5" t="n"/>
    </row>
    <row r="2835">
      <c r="A2835" s="5" t="n"/>
      <c r="B2835" s="5" t="n"/>
      <c r="C2835" s="5" t="n"/>
      <c r="D2835" s="5" t="n"/>
      <c r="E2835" s="4">
        <f>IF(C2835="","",COUNTIF($C$7:C2835,C2835))</f>
        <v/>
      </c>
      <c r="F2835" s="4">
        <f>IF(E2835="","",IF(E2835&lt;=3,6,IF(E2835&lt;=6,5,IF(E2835&lt;=9,4,IF(E2835&lt;=12,3,IF(E2835&lt;=15,2,0))))))</f>
        <v/>
      </c>
      <c r="G2835" s="5" t="n"/>
      <c r="H2835" s="4">
        <f>IF(OR(F2835="",G2835=""),"",F2835*G2835+IF(J2835="",0,J2835))</f>
        <v/>
      </c>
      <c r="I2835" s="5" t="n"/>
      <c r="J2835" s="5" t="n"/>
    </row>
    <row r="2836">
      <c r="A2836" s="5" t="n"/>
      <c r="B2836" s="5" t="n"/>
      <c r="C2836" s="5" t="n"/>
      <c r="D2836" s="5" t="n"/>
      <c r="E2836" s="4">
        <f>IF(C2836="","",COUNTIF($C$7:C2836,C2836))</f>
        <v/>
      </c>
      <c r="F2836" s="4">
        <f>IF(E2836="","",IF(E2836&lt;=3,6,IF(E2836&lt;=6,5,IF(E2836&lt;=9,4,IF(E2836&lt;=12,3,IF(E2836&lt;=15,2,0))))))</f>
        <v/>
      </c>
      <c r="G2836" s="5" t="n"/>
      <c r="H2836" s="4">
        <f>IF(OR(F2836="",G2836=""),"",F2836*G2836+IF(J2836="",0,J2836))</f>
        <v/>
      </c>
      <c r="I2836" s="5" t="n"/>
      <c r="J2836" s="5" t="n"/>
    </row>
    <row r="2837">
      <c r="A2837" s="5" t="n"/>
      <c r="B2837" s="5" t="n"/>
      <c r="C2837" s="5" t="n"/>
      <c r="D2837" s="5" t="n"/>
      <c r="E2837" s="4">
        <f>IF(C2837="","",COUNTIF($C$7:C2837,C2837))</f>
        <v/>
      </c>
      <c r="F2837" s="4">
        <f>IF(E2837="","",IF(E2837&lt;=3,6,IF(E2837&lt;=6,5,IF(E2837&lt;=9,4,IF(E2837&lt;=12,3,IF(E2837&lt;=15,2,0))))))</f>
        <v/>
      </c>
      <c r="G2837" s="5" t="n"/>
      <c r="H2837" s="4">
        <f>IF(OR(F2837="",G2837=""),"",F2837*G2837+IF(J2837="",0,J2837))</f>
        <v/>
      </c>
      <c r="I2837" s="5" t="n"/>
      <c r="J2837" s="5" t="n"/>
    </row>
    <row r="2838">
      <c r="A2838" s="5" t="n"/>
      <c r="B2838" s="5" t="n"/>
      <c r="C2838" s="5" t="n"/>
      <c r="D2838" s="5" t="n"/>
      <c r="E2838" s="4">
        <f>IF(C2838="","",COUNTIF($C$7:C2838,C2838))</f>
        <v/>
      </c>
      <c r="F2838" s="4">
        <f>IF(E2838="","",IF(E2838&lt;=3,6,IF(E2838&lt;=6,5,IF(E2838&lt;=9,4,IF(E2838&lt;=12,3,IF(E2838&lt;=15,2,0))))))</f>
        <v/>
      </c>
      <c r="G2838" s="5" t="n"/>
      <c r="H2838" s="4">
        <f>IF(OR(F2838="",G2838=""),"",F2838*G2838+IF(J2838="",0,J2838))</f>
        <v/>
      </c>
      <c r="I2838" s="5" t="n"/>
      <c r="J2838" s="5" t="n"/>
    </row>
    <row r="2839">
      <c r="A2839" s="5" t="n"/>
      <c r="B2839" s="5" t="n"/>
      <c r="C2839" s="5" t="n"/>
      <c r="D2839" s="5" t="n"/>
      <c r="E2839" s="4">
        <f>IF(C2839="","",COUNTIF($C$7:C2839,C2839))</f>
        <v/>
      </c>
      <c r="F2839" s="4">
        <f>IF(E2839="","",IF(E2839&lt;=3,6,IF(E2839&lt;=6,5,IF(E2839&lt;=9,4,IF(E2839&lt;=12,3,IF(E2839&lt;=15,2,0))))))</f>
        <v/>
      </c>
      <c r="G2839" s="5" t="n"/>
      <c r="H2839" s="4">
        <f>IF(OR(F2839="",G2839=""),"",F2839*G2839+IF(J2839="",0,J2839))</f>
        <v/>
      </c>
      <c r="I2839" s="5" t="n"/>
      <c r="J2839" s="5" t="n"/>
    </row>
    <row r="2840">
      <c r="A2840" s="5" t="n"/>
      <c r="B2840" s="5" t="n"/>
      <c r="C2840" s="5" t="n"/>
      <c r="D2840" s="5" t="n"/>
      <c r="E2840" s="4">
        <f>IF(C2840="","",COUNTIF($C$7:C2840,C2840))</f>
        <v/>
      </c>
      <c r="F2840" s="4">
        <f>IF(E2840="","",IF(E2840&lt;=3,6,IF(E2840&lt;=6,5,IF(E2840&lt;=9,4,IF(E2840&lt;=12,3,IF(E2840&lt;=15,2,0))))))</f>
        <v/>
      </c>
      <c r="G2840" s="5" t="n"/>
      <c r="H2840" s="4">
        <f>IF(OR(F2840="",G2840=""),"",F2840*G2840+IF(J2840="",0,J2840))</f>
        <v/>
      </c>
      <c r="I2840" s="5" t="n"/>
      <c r="J2840" s="5" t="n"/>
    </row>
    <row r="2841">
      <c r="A2841" s="5" t="n"/>
      <c r="B2841" s="5" t="n"/>
      <c r="C2841" s="5" t="n"/>
      <c r="D2841" s="5" t="n"/>
      <c r="E2841" s="4">
        <f>IF(C2841="","",COUNTIF($C$7:C2841,C2841))</f>
        <v/>
      </c>
      <c r="F2841" s="4">
        <f>IF(E2841="","",IF(E2841&lt;=3,6,IF(E2841&lt;=6,5,IF(E2841&lt;=9,4,IF(E2841&lt;=12,3,IF(E2841&lt;=15,2,0))))))</f>
        <v/>
      </c>
      <c r="G2841" s="5" t="n"/>
      <c r="H2841" s="4">
        <f>IF(OR(F2841="",G2841=""),"",F2841*G2841+IF(J2841="",0,J2841))</f>
        <v/>
      </c>
      <c r="I2841" s="5" t="n"/>
      <c r="J2841" s="5" t="n"/>
    </row>
    <row r="2842">
      <c r="A2842" s="5" t="n"/>
      <c r="B2842" s="5" t="n"/>
      <c r="C2842" s="5" t="n"/>
      <c r="D2842" s="5" t="n"/>
      <c r="E2842" s="4">
        <f>IF(C2842="","",COUNTIF($C$7:C2842,C2842))</f>
        <v/>
      </c>
      <c r="F2842" s="4">
        <f>IF(E2842="","",IF(E2842&lt;=3,6,IF(E2842&lt;=6,5,IF(E2842&lt;=9,4,IF(E2842&lt;=12,3,IF(E2842&lt;=15,2,0))))))</f>
        <v/>
      </c>
      <c r="G2842" s="5" t="n"/>
      <c r="H2842" s="4">
        <f>IF(OR(F2842="",G2842=""),"",F2842*G2842+IF(J2842="",0,J2842))</f>
        <v/>
      </c>
      <c r="I2842" s="5" t="n"/>
      <c r="J2842" s="5" t="n"/>
    </row>
    <row r="2843">
      <c r="A2843" s="5" t="n"/>
      <c r="B2843" s="5" t="n"/>
      <c r="C2843" s="5" t="n"/>
      <c r="D2843" s="5" t="n"/>
      <c r="E2843" s="4">
        <f>IF(C2843="","",COUNTIF($C$7:C2843,C2843))</f>
        <v/>
      </c>
      <c r="F2843" s="4">
        <f>IF(E2843="","",IF(E2843&lt;=3,6,IF(E2843&lt;=6,5,IF(E2843&lt;=9,4,IF(E2843&lt;=12,3,IF(E2843&lt;=15,2,0))))))</f>
        <v/>
      </c>
      <c r="G2843" s="5" t="n"/>
      <c r="H2843" s="4">
        <f>IF(OR(F2843="",G2843=""),"",F2843*G2843+IF(J2843="",0,J2843))</f>
        <v/>
      </c>
      <c r="I2843" s="5" t="n"/>
      <c r="J2843" s="5" t="n"/>
    </row>
    <row r="2844">
      <c r="A2844" s="5" t="n"/>
      <c r="B2844" s="5" t="n"/>
      <c r="C2844" s="5" t="n"/>
      <c r="D2844" s="5" t="n"/>
      <c r="E2844" s="4">
        <f>IF(C2844="","",COUNTIF($C$7:C2844,C2844))</f>
        <v/>
      </c>
      <c r="F2844" s="4">
        <f>IF(E2844="","",IF(E2844&lt;=3,6,IF(E2844&lt;=6,5,IF(E2844&lt;=9,4,IF(E2844&lt;=12,3,IF(E2844&lt;=15,2,0))))))</f>
        <v/>
      </c>
      <c r="G2844" s="5" t="n"/>
      <c r="H2844" s="4">
        <f>IF(OR(F2844="",G2844=""),"",F2844*G2844+IF(J2844="",0,J2844))</f>
        <v/>
      </c>
      <c r="I2844" s="5" t="n"/>
      <c r="J2844" s="5" t="n"/>
    </row>
    <row r="2845">
      <c r="A2845" s="5" t="n"/>
      <c r="B2845" s="5" t="n"/>
      <c r="C2845" s="5" t="n"/>
      <c r="D2845" s="5" t="n"/>
      <c r="E2845" s="4">
        <f>IF(C2845="","",COUNTIF($C$7:C2845,C2845))</f>
        <v/>
      </c>
      <c r="F2845" s="4">
        <f>IF(E2845="","",IF(E2845&lt;=3,6,IF(E2845&lt;=6,5,IF(E2845&lt;=9,4,IF(E2845&lt;=12,3,IF(E2845&lt;=15,2,0))))))</f>
        <v/>
      </c>
      <c r="G2845" s="5" t="n"/>
      <c r="H2845" s="4">
        <f>IF(OR(F2845="",G2845=""),"",F2845*G2845+IF(J2845="",0,J2845))</f>
        <v/>
      </c>
      <c r="I2845" s="5" t="n"/>
      <c r="J2845" s="5" t="n"/>
    </row>
    <row r="2846">
      <c r="A2846" s="5" t="n"/>
      <c r="B2846" s="5" t="n"/>
      <c r="C2846" s="5" t="n"/>
      <c r="D2846" s="5" t="n"/>
      <c r="E2846" s="4">
        <f>IF(C2846="","",COUNTIF($C$7:C2846,C2846))</f>
        <v/>
      </c>
      <c r="F2846" s="4">
        <f>IF(E2846="","",IF(E2846&lt;=3,6,IF(E2846&lt;=6,5,IF(E2846&lt;=9,4,IF(E2846&lt;=12,3,IF(E2846&lt;=15,2,0))))))</f>
        <v/>
      </c>
      <c r="G2846" s="5" t="n"/>
      <c r="H2846" s="4">
        <f>IF(OR(F2846="",G2846=""),"",F2846*G2846+IF(J2846="",0,J2846))</f>
        <v/>
      </c>
      <c r="I2846" s="5" t="n"/>
      <c r="J2846" s="5" t="n"/>
    </row>
    <row r="2847">
      <c r="A2847" s="5" t="n"/>
      <c r="B2847" s="5" t="n"/>
      <c r="C2847" s="5" t="n"/>
      <c r="D2847" s="5" t="n"/>
      <c r="E2847" s="4">
        <f>IF(C2847="","",COUNTIF($C$7:C2847,C2847))</f>
        <v/>
      </c>
      <c r="F2847" s="4">
        <f>IF(E2847="","",IF(E2847&lt;=3,6,IF(E2847&lt;=6,5,IF(E2847&lt;=9,4,IF(E2847&lt;=12,3,IF(E2847&lt;=15,2,0))))))</f>
        <v/>
      </c>
      <c r="G2847" s="5" t="n"/>
      <c r="H2847" s="4">
        <f>IF(OR(F2847="",G2847=""),"",F2847*G2847+IF(J2847="",0,J2847))</f>
        <v/>
      </c>
      <c r="I2847" s="5" t="n"/>
      <c r="J2847" s="5" t="n"/>
    </row>
    <row r="2848">
      <c r="A2848" s="5" t="n"/>
      <c r="B2848" s="5" t="n"/>
      <c r="C2848" s="5" t="n"/>
      <c r="D2848" s="5" t="n"/>
      <c r="E2848" s="4">
        <f>IF(C2848="","",COUNTIF($C$7:C2848,C2848))</f>
        <v/>
      </c>
      <c r="F2848" s="4">
        <f>IF(E2848="","",IF(E2848&lt;=3,6,IF(E2848&lt;=6,5,IF(E2848&lt;=9,4,IF(E2848&lt;=12,3,IF(E2848&lt;=15,2,0))))))</f>
        <v/>
      </c>
      <c r="G2848" s="5" t="n"/>
      <c r="H2848" s="4">
        <f>IF(OR(F2848="",G2848=""),"",F2848*G2848+IF(J2848="",0,J2848))</f>
        <v/>
      </c>
      <c r="I2848" s="5" t="n"/>
      <c r="J2848" s="5" t="n"/>
    </row>
    <row r="2849">
      <c r="A2849" s="5" t="n"/>
      <c r="B2849" s="5" t="n"/>
      <c r="C2849" s="5" t="n"/>
      <c r="D2849" s="5" t="n"/>
      <c r="E2849" s="4">
        <f>IF(C2849="","",COUNTIF($C$7:C2849,C2849))</f>
        <v/>
      </c>
      <c r="F2849" s="4">
        <f>IF(E2849="","",IF(E2849&lt;=3,6,IF(E2849&lt;=6,5,IF(E2849&lt;=9,4,IF(E2849&lt;=12,3,IF(E2849&lt;=15,2,0))))))</f>
        <v/>
      </c>
      <c r="G2849" s="5" t="n"/>
      <c r="H2849" s="4">
        <f>IF(OR(F2849="",G2849=""),"",F2849*G2849+IF(J2849="",0,J2849))</f>
        <v/>
      </c>
      <c r="I2849" s="5" t="n"/>
      <c r="J2849" s="5" t="n"/>
    </row>
    <row r="2850">
      <c r="A2850" s="5" t="n"/>
      <c r="B2850" s="5" t="n"/>
      <c r="C2850" s="5" t="n"/>
      <c r="D2850" s="5" t="n"/>
      <c r="E2850" s="4">
        <f>IF(C2850="","",COUNTIF($C$7:C2850,C2850))</f>
        <v/>
      </c>
      <c r="F2850" s="4">
        <f>IF(E2850="","",IF(E2850&lt;=3,6,IF(E2850&lt;=6,5,IF(E2850&lt;=9,4,IF(E2850&lt;=12,3,IF(E2850&lt;=15,2,0))))))</f>
        <v/>
      </c>
      <c r="G2850" s="5" t="n"/>
      <c r="H2850" s="4">
        <f>IF(OR(F2850="",G2850=""),"",F2850*G2850+IF(J2850="",0,J2850))</f>
        <v/>
      </c>
      <c r="I2850" s="5" t="n"/>
      <c r="J2850" s="5" t="n"/>
    </row>
    <row r="2851">
      <c r="A2851" s="5" t="n"/>
      <c r="B2851" s="5" t="n"/>
      <c r="C2851" s="5" t="n"/>
      <c r="D2851" s="5" t="n"/>
      <c r="E2851" s="4">
        <f>IF(C2851="","",COUNTIF($C$7:C2851,C2851))</f>
        <v/>
      </c>
      <c r="F2851" s="4">
        <f>IF(E2851="","",IF(E2851&lt;=3,6,IF(E2851&lt;=6,5,IF(E2851&lt;=9,4,IF(E2851&lt;=12,3,IF(E2851&lt;=15,2,0))))))</f>
        <v/>
      </c>
      <c r="G2851" s="5" t="n"/>
      <c r="H2851" s="4">
        <f>IF(OR(F2851="",G2851=""),"",F2851*G2851+IF(J2851="",0,J2851))</f>
        <v/>
      </c>
      <c r="I2851" s="5" t="n"/>
      <c r="J2851" s="5" t="n"/>
    </row>
    <row r="2852">
      <c r="A2852" s="5" t="n"/>
      <c r="B2852" s="5" t="n"/>
      <c r="C2852" s="5" t="n"/>
      <c r="D2852" s="5" t="n"/>
      <c r="E2852" s="4">
        <f>IF(C2852="","",COUNTIF($C$7:C2852,C2852))</f>
        <v/>
      </c>
      <c r="F2852" s="4">
        <f>IF(E2852="","",IF(E2852&lt;=3,6,IF(E2852&lt;=6,5,IF(E2852&lt;=9,4,IF(E2852&lt;=12,3,IF(E2852&lt;=15,2,0))))))</f>
        <v/>
      </c>
      <c r="G2852" s="5" t="n"/>
      <c r="H2852" s="4">
        <f>IF(OR(F2852="",G2852=""),"",F2852*G2852+IF(J2852="",0,J2852))</f>
        <v/>
      </c>
      <c r="I2852" s="5" t="n"/>
      <c r="J2852" s="5" t="n"/>
    </row>
    <row r="2853">
      <c r="A2853" s="5" t="n"/>
      <c r="B2853" s="5" t="n"/>
      <c r="C2853" s="5" t="n"/>
      <c r="D2853" s="5" t="n"/>
      <c r="E2853" s="4">
        <f>IF(C2853="","",COUNTIF($C$7:C2853,C2853))</f>
        <v/>
      </c>
      <c r="F2853" s="4">
        <f>IF(E2853="","",IF(E2853&lt;=3,6,IF(E2853&lt;=6,5,IF(E2853&lt;=9,4,IF(E2853&lt;=12,3,IF(E2853&lt;=15,2,0))))))</f>
        <v/>
      </c>
      <c r="G2853" s="5" t="n"/>
      <c r="H2853" s="4">
        <f>IF(OR(F2853="",G2853=""),"",F2853*G2853+IF(J2853="",0,J2853))</f>
        <v/>
      </c>
      <c r="I2853" s="5" t="n"/>
      <c r="J2853" s="5" t="n"/>
    </row>
    <row r="2854">
      <c r="A2854" s="5" t="n"/>
      <c r="B2854" s="5" t="n"/>
      <c r="C2854" s="5" t="n"/>
      <c r="D2854" s="5" t="n"/>
      <c r="E2854" s="4">
        <f>IF(C2854="","",COUNTIF($C$7:C2854,C2854))</f>
        <v/>
      </c>
      <c r="F2854" s="4">
        <f>IF(E2854="","",IF(E2854&lt;=3,6,IF(E2854&lt;=6,5,IF(E2854&lt;=9,4,IF(E2854&lt;=12,3,IF(E2854&lt;=15,2,0))))))</f>
        <v/>
      </c>
      <c r="G2854" s="5" t="n"/>
      <c r="H2854" s="4">
        <f>IF(OR(F2854="",G2854=""),"",F2854*G2854+IF(J2854="",0,J2854))</f>
        <v/>
      </c>
      <c r="I2854" s="5" t="n"/>
      <c r="J2854" s="5" t="n"/>
    </row>
    <row r="2855">
      <c r="A2855" s="5" t="n"/>
      <c r="B2855" s="5" t="n"/>
      <c r="C2855" s="5" t="n"/>
      <c r="D2855" s="5" t="n"/>
      <c r="E2855" s="4">
        <f>IF(C2855="","",COUNTIF($C$7:C2855,C2855))</f>
        <v/>
      </c>
      <c r="F2855" s="4">
        <f>IF(E2855="","",IF(E2855&lt;=3,6,IF(E2855&lt;=6,5,IF(E2855&lt;=9,4,IF(E2855&lt;=12,3,IF(E2855&lt;=15,2,0))))))</f>
        <v/>
      </c>
      <c r="G2855" s="5" t="n"/>
      <c r="H2855" s="4">
        <f>IF(OR(F2855="",G2855=""),"",F2855*G2855+IF(J2855="",0,J2855))</f>
        <v/>
      </c>
      <c r="I2855" s="5" t="n"/>
      <c r="J2855" s="5" t="n"/>
    </row>
    <row r="2856">
      <c r="A2856" s="5" t="n"/>
      <c r="B2856" s="5" t="n"/>
      <c r="C2856" s="5" t="n"/>
      <c r="D2856" s="5" t="n"/>
      <c r="E2856" s="4">
        <f>IF(C2856="","",COUNTIF($C$7:C2856,C2856))</f>
        <v/>
      </c>
      <c r="F2856" s="4">
        <f>IF(E2856="","",IF(E2856&lt;=3,6,IF(E2856&lt;=6,5,IF(E2856&lt;=9,4,IF(E2856&lt;=12,3,IF(E2856&lt;=15,2,0))))))</f>
        <v/>
      </c>
      <c r="G2856" s="5" t="n"/>
      <c r="H2856" s="4">
        <f>IF(OR(F2856="",G2856=""),"",F2856*G2856+IF(J2856="",0,J2856))</f>
        <v/>
      </c>
      <c r="I2856" s="5" t="n"/>
      <c r="J2856" s="5" t="n"/>
    </row>
    <row r="2857">
      <c r="A2857" s="5" t="n"/>
      <c r="B2857" s="5" t="n"/>
      <c r="C2857" s="5" t="n"/>
      <c r="D2857" s="5" t="n"/>
      <c r="E2857" s="4">
        <f>IF(C2857="","",COUNTIF($C$7:C2857,C2857))</f>
        <v/>
      </c>
      <c r="F2857" s="4">
        <f>IF(E2857="","",IF(E2857&lt;=3,6,IF(E2857&lt;=6,5,IF(E2857&lt;=9,4,IF(E2857&lt;=12,3,IF(E2857&lt;=15,2,0))))))</f>
        <v/>
      </c>
      <c r="G2857" s="5" t="n"/>
      <c r="H2857" s="4">
        <f>IF(OR(F2857="",G2857=""),"",F2857*G2857+IF(J2857="",0,J2857))</f>
        <v/>
      </c>
      <c r="I2857" s="5" t="n"/>
      <c r="J2857" s="5" t="n"/>
    </row>
    <row r="2858">
      <c r="A2858" s="5" t="n"/>
      <c r="B2858" s="5" t="n"/>
      <c r="C2858" s="5" t="n"/>
      <c r="D2858" s="5" t="n"/>
      <c r="E2858" s="4">
        <f>IF(C2858="","",COUNTIF($C$7:C2858,C2858))</f>
        <v/>
      </c>
      <c r="F2858" s="4">
        <f>IF(E2858="","",IF(E2858&lt;=3,6,IF(E2858&lt;=6,5,IF(E2858&lt;=9,4,IF(E2858&lt;=12,3,IF(E2858&lt;=15,2,0))))))</f>
        <v/>
      </c>
      <c r="G2858" s="5" t="n"/>
      <c r="H2858" s="4">
        <f>IF(OR(F2858="",G2858=""),"",F2858*G2858+IF(J2858="",0,J2858))</f>
        <v/>
      </c>
      <c r="I2858" s="5" t="n"/>
      <c r="J2858" s="5" t="n"/>
    </row>
    <row r="2859">
      <c r="A2859" s="5" t="n"/>
      <c r="B2859" s="5" t="n"/>
      <c r="C2859" s="5" t="n"/>
      <c r="D2859" s="5" t="n"/>
      <c r="E2859" s="4">
        <f>IF(C2859="","",COUNTIF($C$7:C2859,C2859))</f>
        <v/>
      </c>
      <c r="F2859" s="4">
        <f>IF(E2859="","",IF(E2859&lt;=3,6,IF(E2859&lt;=6,5,IF(E2859&lt;=9,4,IF(E2859&lt;=12,3,IF(E2859&lt;=15,2,0))))))</f>
        <v/>
      </c>
      <c r="G2859" s="5" t="n"/>
      <c r="H2859" s="4">
        <f>IF(OR(F2859="",G2859=""),"",F2859*G2859+IF(J2859="",0,J2859))</f>
        <v/>
      </c>
      <c r="I2859" s="5" t="n"/>
      <c r="J2859" s="5" t="n"/>
    </row>
    <row r="2860">
      <c r="A2860" s="5" t="n"/>
      <c r="B2860" s="5" t="n"/>
      <c r="C2860" s="5" t="n"/>
      <c r="D2860" s="5" t="n"/>
      <c r="E2860" s="4">
        <f>IF(C2860="","",COUNTIF($C$7:C2860,C2860))</f>
        <v/>
      </c>
      <c r="F2860" s="4">
        <f>IF(E2860="","",IF(E2860&lt;=3,6,IF(E2860&lt;=6,5,IF(E2860&lt;=9,4,IF(E2860&lt;=12,3,IF(E2860&lt;=15,2,0))))))</f>
        <v/>
      </c>
      <c r="G2860" s="5" t="n"/>
      <c r="H2860" s="4">
        <f>IF(OR(F2860="",G2860=""),"",F2860*G2860+IF(J2860="",0,J2860))</f>
        <v/>
      </c>
      <c r="I2860" s="5" t="n"/>
      <c r="J2860" s="5" t="n"/>
    </row>
    <row r="2861">
      <c r="A2861" s="5" t="n"/>
      <c r="B2861" s="5" t="n"/>
      <c r="C2861" s="5" t="n"/>
      <c r="D2861" s="5" t="n"/>
      <c r="E2861" s="4">
        <f>IF(C2861="","",COUNTIF($C$7:C2861,C2861))</f>
        <v/>
      </c>
      <c r="F2861" s="4">
        <f>IF(E2861="","",IF(E2861&lt;=3,6,IF(E2861&lt;=6,5,IF(E2861&lt;=9,4,IF(E2861&lt;=12,3,IF(E2861&lt;=15,2,0))))))</f>
        <v/>
      </c>
      <c r="G2861" s="5" t="n"/>
      <c r="H2861" s="4">
        <f>IF(OR(F2861="",G2861=""),"",F2861*G2861+IF(J2861="",0,J2861))</f>
        <v/>
      </c>
      <c r="I2861" s="5" t="n"/>
      <c r="J2861" s="5" t="n"/>
    </row>
    <row r="2862">
      <c r="A2862" s="5" t="n"/>
      <c r="B2862" s="5" t="n"/>
      <c r="C2862" s="5" t="n"/>
      <c r="D2862" s="5" t="n"/>
      <c r="E2862" s="4">
        <f>IF(C2862="","",COUNTIF($C$7:C2862,C2862))</f>
        <v/>
      </c>
      <c r="F2862" s="4">
        <f>IF(E2862="","",IF(E2862&lt;=3,6,IF(E2862&lt;=6,5,IF(E2862&lt;=9,4,IF(E2862&lt;=12,3,IF(E2862&lt;=15,2,0))))))</f>
        <v/>
      </c>
      <c r="G2862" s="5" t="n"/>
      <c r="H2862" s="4">
        <f>IF(OR(F2862="",G2862=""),"",F2862*G2862+IF(J2862="",0,J2862))</f>
        <v/>
      </c>
      <c r="I2862" s="5" t="n"/>
      <c r="J2862" s="5" t="n"/>
    </row>
    <row r="2863">
      <c r="A2863" s="5" t="n"/>
      <c r="B2863" s="5" t="n"/>
      <c r="C2863" s="5" t="n"/>
      <c r="D2863" s="5" t="n"/>
      <c r="E2863" s="4">
        <f>IF(C2863="","",COUNTIF($C$7:C2863,C2863))</f>
        <v/>
      </c>
      <c r="F2863" s="4">
        <f>IF(E2863="","",IF(E2863&lt;=3,6,IF(E2863&lt;=6,5,IF(E2863&lt;=9,4,IF(E2863&lt;=12,3,IF(E2863&lt;=15,2,0))))))</f>
        <v/>
      </c>
      <c r="G2863" s="5" t="n"/>
      <c r="H2863" s="4">
        <f>IF(OR(F2863="",G2863=""),"",F2863*G2863+IF(J2863="",0,J2863))</f>
        <v/>
      </c>
      <c r="I2863" s="5" t="n"/>
      <c r="J2863" s="5" t="n"/>
    </row>
    <row r="2864">
      <c r="A2864" s="5" t="n"/>
      <c r="B2864" s="5" t="n"/>
      <c r="C2864" s="5" t="n"/>
      <c r="D2864" s="5" t="n"/>
      <c r="E2864" s="4">
        <f>IF(C2864="","",COUNTIF($C$7:C2864,C2864))</f>
        <v/>
      </c>
      <c r="F2864" s="4">
        <f>IF(E2864="","",IF(E2864&lt;=3,6,IF(E2864&lt;=6,5,IF(E2864&lt;=9,4,IF(E2864&lt;=12,3,IF(E2864&lt;=15,2,0))))))</f>
        <v/>
      </c>
      <c r="G2864" s="5" t="n"/>
      <c r="H2864" s="4">
        <f>IF(OR(F2864="",G2864=""),"",F2864*G2864+IF(J2864="",0,J2864))</f>
        <v/>
      </c>
      <c r="I2864" s="5" t="n"/>
      <c r="J2864" s="5" t="n"/>
    </row>
    <row r="2865">
      <c r="A2865" s="5" t="n"/>
      <c r="B2865" s="5" t="n"/>
      <c r="C2865" s="5" t="n"/>
      <c r="D2865" s="5" t="n"/>
      <c r="E2865" s="4">
        <f>IF(C2865="","",COUNTIF($C$7:C2865,C2865))</f>
        <v/>
      </c>
      <c r="F2865" s="4">
        <f>IF(E2865="","",IF(E2865&lt;=3,6,IF(E2865&lt;=6,5,IF(E2865&lt;=9,4,IF(E2865&lt;=12,3,IF(E2865&lt;=15,2,0))))))</f>
        <v/>
      </c>
      <c r="G2865" s="5" t="n"/>
      <c r="H2865" s="4">
        <f>IF(OR(F2865="",G2865=""),"",F2865*G2865+IF(J2865="",0,J2865))</f>
        <v/>
      </c>
      <c r="I2865" s="5" t="n"/>
      <c r="J2865" s="5" t="n"/>
    </row>
    <row r="2866">
      <c r="A2866" s="5" t="n"/>
      <c r="B2866" s="5" t="n"/>
      <c r="C2866" s="5" t="n"/>
      <c r="D2866" s="5" t="n"/>
      <c r="E2866" s="4">
        <f>IF(C2866="","",COUNTIF($C$7:C2866,C2866))</f>
        <v/>
      </c>
      <c r="F2866" s="4">
        <f>IF(E2866="","",IF(E2866&lt;=3,6,IF(E2866&lt;=6,5,IF(E2866&lt;=9,4,IF(E2866&lt;=12,3,IF(E2866&lt;=15,2,0))))))</f>
        <v/>
      </c>
      <c r="G2866" s="5" t="n"/>
      <c r="H2866" s="4">
        <f>IF(OR(F2866="",G2866=""),"",F2866*G2866+IF(J2866="",0,J2866))</f>
        <v/>
      </c>
      <c r="I2866" s="5" t="n"/>
      <c r="J2866" s="5" t="n"/>
    </row>
    <row r="2867">
      <c r="A2867" s="5" t="n"/>
      <c r="B2867" s="5" t="n"/>
      <c r="C2867" s="5" t="n"/>
      <c r="D2867" s="5" t="n"/>
      <c r="E2867" s="4">
        <f>IF(C2867="","",COUNTIF($C$7:C2867,C2867))</f>
        <v/>
      </c>
      <c r="F2867" s="4">
        <f>IF(E2867="","",IF(E2867&lt;=3,6,IF(E2867&lt;=6,5,IF(E2867&lt;=9,4,IF(E2867&lt;=12,3,IF(E2867&lt;=15,2,0))))))</f>
        <v/>
      </c>
      <c r="G2867" s="5" t="n"/>
      <c r="H2867" s="4">
        <f>IF(OR(F2867="",G2867=""),"",F2867*G2867+IF(J2867="",0,J2867))</f>
        <v/>
      </c>
      <c r="I2867" s="5" t="n"/>
      <c r="J2867" s="5" t="n"/>
    </row>
    <row r="2868">
      <c r="A2868" s="5" t="n"/>
      <c r="B2868" s="5" t="n"/>
      <c r="C2868" s="5" t="n"/>
      <c r="D2868" s="5" t="n"/>
      <c r="E2868" s="4">
        <f>IF(C2868="","",COUNTIF($C$7:C2868,C2868))</f>
        <v/>
      </c>
      <c r="F2868" s="4">
        <f>IF(E2868="","",IF(E2868&lt;=3,6,IF(E2868&lt;=6,5,IF(E2868&lt;=9,4,IF(E2868&lt;=12,3,IF(E2868&lt;=15,2,0))))))</f>
        <v/>
      </c>
      <c r="G2868" s="5" t="n"/>
      <c r="H2868" s="4">
        <f>IF(OR(F2868="",G2868=""),"",F2868*G2868+IF(J2868="",0,J2868))</f>
        <v/>
      </c>
      <c r="I2868" s="5" t="n"/>
      <c r="J2868" s="5" t="n"/>
    </row>
    <row r="2869">
      <c r="A2869" s="5" t="n"/>
      <c r="B2869" s="5" t="n"/>
      <c r="C2869" s="5" t="n"/>
      <c r="D2869" s="5" t="n"/>
      <c r="E2869" s="4">
        <f>IF(C2869="","",COUNTIF($C$7:C2869,C2869))</f>
        <v/>
      </c>
      <c r="F2869" s="4">
        <f>IF(E2869="","",IF(E2869&lt;=3,6,IF(E2869&lt;=6,5,IF(E2869&lt;=9,4,IF(E2869&lt;=12,3,IF(E2869&lt;=15,2,0))))))</f>
        <v/>
      </c>
      <c r="G2869" s="5" t="n"/>
      <c r="H2869" s="4">
        <f>IF(OR(F2869="",G2869=""),"",F2869*G2869+IF(J2869="",0,J2869))</f>
        <v/>
      </c>
      <c r="I2869" s="5" t="n"/>
      <c r="J2869" s="5" t="n"/>
    </row>
    <row r="2870">
      <c r="A2870" s="5" t="n"/>
      <c r="B2870" s="5" t="n"/>
      <c r="C2870" s="5" t="n"/>
      <c r="D2870" s="5" t="n"/>
      <c r="E2870" s="4">
        <f>IF(C2870="","",COUNTIF($C$7:C2870,C2870))</f>
        <v/>
      </c>
      <c r="F2870" s="4">
        <f>IF(E2870="","",IF(E2870&lt;=3,6,IF(E2870&lt;=6,5,IF(E2870&lt;=9,4,IF(E2870&lt;=12,3,IF(E2870&lt;=15,2,0))))))</f>
        <v/>
      </c>
      <c r="G2870" s="5" t="n"/>
      <c r="H2870" s="4">
        <f>IF(OR(F2870="",G2870=""),"",F2870*G2870+IF(J2870="",0,J2870))</f>
        <v/>
      </c>
      <c r="I2870" s="5" t="n"/>
      <c r="J2870" s="5" t="n"/>
    </row>
    <row r="2871">
      <c r="A2871" s="5" t="n"/>
      <c r="B2871" s="5" t="n"/>
      <c r="C2871" s="5" t="n"/>
      <c r="D2871" s="5" t="n"/>
      <c r="E2871" s="4">
        <f>IF(C2871="","",COUNTIF($C$7:C2871,C2871))</f>
        <v/>
      </c>
      <c r="F2871" s="4">
        <f>IF(E2871="","",IF(E2871&lt;=3,6,IF(E2871&lt;=6,5,IF(E2871&lt;=9,4,IF(E2871&lt;=12,3,IF(E2871&lt;=15,2,0))))))</f>
        <v/>
      </c>
      <c r="G2871" s="5" t="n"/>
      <c r="H2871" s="4">
        <f>IF(OR(F2871="",G2871=""),"",F2871*G2871+IF(J2871="",0,J2871))</f>
        <v/>
      </c>
      <c r="I2871" s="5" t="n"/>
      <c r="J2871" s="5" t="n"/>
    </row>
    <row r="2872">
      <c r="A2872" s="5" t="n"/>
      <c r="B2872" s="5" t="n"/>
      <c r="C2872" s="5" t="n"/>
      <c r="D2872" s="5" t="n"/>
      <c r="E2872" s="4">
        <f>IF(C2872="","",COUNTIF($C$7:C2872,C2872))</f>
        <v/>
      </c>
      <c r="F2872" s="4">
        <f>IF(E2872="","",IF(E2872&lt;=3,6,IF(E2872&lt;=6,5,IF(E2872&lt;=9,4,IF(E2872&lt;=12,3,IF(E2872&lt;=15,2,0))))))</f>
        <v/>
      </c>
      <c r="G2872" s="5" t="n"/>
      <c r="H2872" s="4">
        <f>IF(OR(F2872="",G2872=""),"",F2872*G2872+IF(J2872="",0,J2872))</f>
        <v/>
      </c>
      <c r="I2872" s="5" t="n"/>
      <c r="J2872" s="5" t="n"/>
    </row>
    <row r="2873">
      <c r="A2873" s="5" t="n"/>
      <c r="B2873" s="5" t="n"/>
      <c r="C2873" s="5" t="n"/>
      <c r="D2873" s="5" t="n"/>
      <c r="E2873" s="4">
        <f>IF(C2873="","",COUNTIF($C$7:C2873,C2873))</f>
        <v/>
      </c>
      <c r="F2873" s="4">
        <f>IF(E2873="","",IF(E2873&lt;=3,6,IF(E2873&lt;=6,5,IF(E2873&lt;=9,4,IF(E2873&lt;=12,3,IF(E2873&lt;=15,2,0))))))</f>
        <v/>
      </c>
      <c r="G2873" s="5" t="n"/>
      <c r="H2873" s="4">
        <f>IF(OR(F2873="",G2873=""),"",F2873*G2873+IF(J2873="",0,J2873))</f>
        <v/>
      </c>
      <c r="I2873" s="5" t="n"/>
      <c r="J2873" s="5" t="n"/>
    </row>
    <row r="2874">
      <c r="A2874" s="5" t="n"/>
      <c r="B2874" s="5" t="n"/>
      <c r="C2874" s="5" t="n"/>
      <c r="D2874" s="5" t="n"/>
      <c r="E2874" s="4">
        <f>IF(C2874="","",COUNTIF($C$7:C2874,C2874))</f>
        <v/>
      </c>
      <c r="F2874" s="4">
        <f>IF(E2874="","",IF(E2874&lt;=3,6,IF(E2874&lt;=6,5,IF(E2874&lt;=9,4,IF(E2874&lt;=12,3,IF(E2874&lt;=15,2,0))))))</f>
        <v/>
      </c>
      <c r="G2874" s="5" t="n"/>
      <c r="H2874" s="4">
        <f>IF(OR(F2874="",G2874=""),"",F2874*G2874+IF(J2874="",0,J2874))</f>
        <v/>
      </c>
      <c r="I2874" s="5" t="n"/>
      <c r="J2874" s="5" t="n"/>
    </row>
    <row r="2875">
      <c r="A2875" s="5" t="n"/>
      <c r="B2875" s="5" t="n"/>
      <c r="C2875" s="5" t="n"/>
      <c r="D2875" s="5" t="n"/>
      <c r="E2875" s="4">
        <f>IF(C2875="","",COUNTIF($C$7:C2875,C2875))</f>
        <v/>
      </c>
      <c r="F2875" s="4">
        <f>IF(E2875="","",IF(E2875&lt;=3,6,IF(E2875&lt;=6,5,IF(E2875&lt;=9,4,IF(E2875&lt;=12,3,IF(E2875&lt;=15,2,0))))))</f>
        <v/>
      </c>
      <c r="G2875" s="5" t="n"/>
      <c r="H2875" s="4">
        <f>IF(OR(F2875="",G2875=""),"",F2875*G2875+IF(J2875="",0,J2875))</f>
        <v/>
      </c>
      <c r="I2875" s="5" t="n"/>
      <c r="J2875" s="5" t="n"/>
    </row>
    <row r="2876">
      <c r="A2876" s="5" t="n"/>
      <c r="B2876" s="5" t="n"/>
      <c r="C2876" s="5" t="n"/>
      <c r="D2876" s="5" t="n"/>
      <c r="E2876" s="4">
        <f>IF(C2876="","",COUNTIF($C$7:C2876,C2876))</f>
        <v/>
      </c>
      <c r="F2876" s="4">
        <f>IF(E2876="","",IF(E2876&lt;=3,6,IF(E2876&lt;=6,5,IF(E2876&lt;=9,4,IF(E2876&lt;=12,3,IF(E2876&lt;=15,2,0))))))</f>
        <v/>
      </c>
      <c r="G2876" s="5" t="n"/>
      <c r="H2876" s="4">
        <f>IF(OR(F2876="",G2876=""),"",F2876*G2876+IF(J2876="",0,J2876))</f>
        <v/>
      </c>
      <c r="I2876" s="5" t="n"/>
      <c r="J2876" s="5" t="n"/>
    </row>
    <row r="2877">
      <c r="A2877" s="5" t="n"/>
      <c r="B2877" s="5" t="n"/>
      <c r="C2877" s="5" t="n"/>
      <c r="D2877" s="5" t="n"/>
      <c r="E2877" s="4">
        <f>IF(C2877="","",COUNTIF($C$7:C2877,C2877))</f>
        <v/>
      </c>
      <c r="F2877" s="4">
        <f>IF(E2877="","",IF(E2877&lt;=3,6,IF(E2877&lt;=6,5,IF(E2877&lt;=9,4,IF(E2877&lt;=12,3,IF(E2877&lt;=15,2,0))))))</f>
        <v/>
      </c>
      <c r="G2877" s="5" t="n"/>
      <c r="H2877" s="4">
        <f>IF(OR(F2877="",G2877=""),"",F2877*G2877+IF(J2877="",0,J2877))</f>
        <v/>
      </c>
      <c r="I2877" s="5" t="n"/>
      <c r="J2877" s="5" t="n"/>
    </row>
    <row r="2878">
      <c r="A2878" s="5" t="n"/>
      <c r="B2878" s="5" t="n"/>
      <c r="C2878" s="5" t="n"/>
      <c r="D2878" s="5" t="n"/>
      <c r="E2878" s="4">
        <f>IF(C2878="","",COUNTIF($C$7:C2878,C2878))</f>
        <v/>
      </c>
      <c r="F2878" s="4">
        <f>IF(E2878="","",IF(E2878&lt;=3,6,IF(E2878&lt;=6,5,IF(E2878&lt;=9,4,IF(E2878&lt;=12,3,IF(E2878&lt;=15,2,0))))))</f>
        <v/>
      </c>
      <c r="G2878" s="5" t="n"/>
      <c r="H2878" s="4">
        <f>IF(OR(F2878="",G2878=""),"",F2878*G2878+IF(J2878="",0,J2878))</f>
        <v/>
      </c>
      <c r="I2878" s="5" t="n"/>
      <c r="J2878" s="5" t="n"/>
    </row>
    <row r="2879">
      <c r="A2879" s="5" t="n"/>
      <c r="B2879" s="5" t="n"/>
      <c r="C2879" s="5" t="n"/>
      <c r="D2879" s="5" t="n"/>
      <c r="E2879" s="4">
        <f>IF(C2879="","",COUNTIF($C$7:C2879,C2879))</f>
        <v/>
      </c>
      <c r="F2879" s="4">
        <f>IF(E2879="","",IF(E2879&lt;=3,6,IF(E2879&lt;=6,5,IF(E2879&lt;=9,4,IF(E2879&lt;=12,3,IF(E2879&lt;=15,2,0))))))</f>
        <v/>
      </c>
      <c r="G2879" s="5" t="n"/>
      <c r="H2879" s="4">
        <f>IF(OR(F2879="",G2879=""),"",F2879*G2879+IF(J2879="",0,J2879))</f>
        <v/>
      </c>
      <c r="I2879" s="5" t="n"/>
      <c r="J2879" s="5" t="n"/>
    </row>
    <row r="2880">
      <c r="A2880" s="5" t="n"/>
      <c r="B2880" s="5" t="n"/>
      <c r="C2880" s="5" t="n"/>
      <c r="D2880" s="5" t="n"/>
      <c r="E2880" s="4">
        <f>IF(C2880="","",COUNTIF($C$7:C2880,C2880))</f>
        <v/>
      </c>
      <c r="F2880" s="4">
        <f>IF(E2880="","",IF(E2880&lt;=3,6,IF(E2880&lt;=6,5,IF(E2880&lt;=9,4,IF(E2880&lt;=12,3,IF(E2880&lt;=15,2,0))))))</f>
        <v/>
      </c>
      <c r="G2880" s="5" t="n"/>
      <c r="H2880" s="4">
        <f>IF(OR(F2880="",G2880=""),"",F2880*G2880+IF(J2880="",0,J2880))</f>
        <v/>
      </c>
      <c r="I2880" s="5" t="n"/>
      <c r="J2880" s="5" t="n"/>
    </row>
    <row r="2881">
      <c r="A2881" s="5" t="n"/>
      <c r="B2881" s="5" t="n"/>
      <c r="C2881" s="5" t="n"/>
      <c r="D2881" s="5" t="n"/>
      <c r="E2881" s="4">
        <f>IF(C2881="","",COUNTIF($C$7:C2881,C2881))</f>
        <v/>
      </c>
      <c r="F2881" s="4">
        <f>IF(E2881="","",IF(E2881&lt;=3,6,IF(E2881&lt;=6,5,IF(E2881&lt;=9,4,IF(E2881&lt;=12,3,IF(E2881&lt;=15,2,0))))))</f>
        <v/>
      </c>
      <c r="G2881" s="5" t="n"/>
      <c r="H2881" s="4">
        <f>IF(OR(F2881="",G2881=""),"",F2881*G2881+IF(J2881="",0,J2881))</f>
        <v/>
      </c>
      <c r="I2881" s="5" t="n"/>
      <c r="J2881" s="5" t="n"/>
    </row>
    <row r="2882">
      <c r="A2882" s="5" t="n"/>
      <c r="B2882" s="5" t="n"/>
      <c r="C2882" s="5" t="n"/>
      <c r="D2882" s="5" t="n"/>
      <c r="E2882" s="4">
        <f>IF(C2882="","",COUNTIF($C$7:C2882,C2882))</f>
        <v/>
      </c>
      <c r="F2882" s="4">
        <f>IF(E2882="","",IF(E2882&lt;=3,6,IF(E2882&lt;=6,5,IF(E2882&lt;=9,4,IF(E2882&lt;=12,3,IF(E2882&lt;=15,2,0))))))</f>
        <v/>
      </c>
      <c r="G2882" s="5" t="n"/>
      <c r="H2882" s="4">
        <f>IF(OR(F2882="",G2882=""),"",F2882*G2882+IF(J2882="",0,J2882))</f>
        <v/>
      </c>
      <c r="I2882" s="5" t="n"/>
      <c r="J2882" s="5" t="n"/>
    </row>
    <row r="2883">
      <c r="A2883" s="5" t="n"/>
      <c r="B2883" s="5" t="n"/>
      <c r="C2883" s="5" t="n"/>
      <c r="D2883" s="5" t="n"/>
      <c r="E2883" s="4">
        <f>IF(C2883="","",COUNTIF($C$7:C2883,C2883))</f>
        <v/>
      </c>
      <c r="F2883" s="4">
        <f>IF(E2883="","",IF(E2883&lt;=3,6,IF(E2883&lt;=6,5,IF(E2883&lt;=9,4,IF(E2883&lt;=12,3,IF(E2883&lt;=15,2,0))))))</f>
        <v/>
      </c>
      <c r="G2883" s="5" t="n"/>
      <c r="H2883" s="4">
        <f>IF(OR(F2883="",G2883=""),"",F2883*G2883+IF(J2883="",0,J2883))</f>
        <v/>
      </c>
      <c r="I2883" s="5" t="n"/>
      <c r="J2883" s="5" t="n"/>
    </row>
    <row r="2884">
      <c r="A2884" s="5" t="n"/>
      <c r="B2884" s="5" t="n"/>
      <c r="C2884" s="5" t="n"/>
      <c r="D2884" s="5" t="n"/>
      <c r="E2884" s="4">
        <f>IF(C2884="","",COUNTIF($C$7:C2884,C2884))</f>
        <v/>
      </c>
      <c r="F2884" s="4">
        <f>IF(E2884="","",IF(E2884&lt;=3,6,IF(E2884&lt;=6,5,IF(E2884&lt;=9,4,IF(E2884&lt;=12,3,IF(E2884&lt;=15,2,0))))))</f>
        <v/>
      </c>
      <c r="G2884" s="5" t="n"/>
      <c r="H2884" s="4">
        <f>IF(OR(F2884="",G2884=""),"",F2884*G2884+IF(J2884="",0,J2884))</f>
        <v/>
      </c>
      <c r="I2884" s="5" t="n"/>
      <c r="J2884" s="5" t="n"/>
    </row>
    <row r="2885">
      <c r="A2885" s="5" t="n"/>
      <c r="B2885" s="5" t="n"/>
      <c r="C2885" s="5" t="n"/>
      <c r="D2885" s="5" t="n"/>
      <c r="E2885" s="4">
        <f>IF(C2885="","",COUNTIF($C$7:C2885,C2885))</f>
        <v/>
      </c>
      <c r="F2885" s="4">
        <f>IF(E2885="","",IF(E2885&lt;=3,6,IF(E2885&lt;=6,5,IF(E2885&lt;=9,4,IF(E2885&lt;=12,3,IF(E2885&lt;=15,2,0))))))</f>
        <v/>
      </c>
      <c r="G2885" s="5" t="n"/>
      <c r="H2885" s="4">
        <f>IF(OR(F2885="",G2885=""),"",F2885*G2885+IF(J2885="",0,J2885))</f>
        <v/>
      </c>
      <c r="I2885" s="5" t="n"/>
      <c r="J2885" s="5" t="n"/>
    </row>
    <row r="2886">
      <c r="A2886" s="5" t="n"/>
      <c r="B2886" s="5" t="n"/>
      <c r="C2886" s="5" t="n"/>
      <c r="D2886" s="5" t="n"/>
      <c r="E2886" s="4">
        <f>IF(C2886="","",COUNTIF($C$7:C2886,C2886))</f>
        <v/>
      </c>
      <c r="F2886" s="4">
        <f>IF(E2886="","",IF(E2886&lt;=3,6,IF(E2886&lt;=6,5,IF(E2886&lt;=9,4,IF(E2886&lt;=12,3,IF(E2886&lt;=15,2,0))))))</f>
        <v/>
      </c>
      <c r="G2886" s="5" t="n"/>
      <c r="H2886" s="4">
        <f>IF(OR(F2886="",G2886=""),"",F2886*G2886+IF(J2886="",0,J2886))</f>
        <v/>
      </c>
      <c r="I2886" s="5" t="n"/>
      <c r="J2886" s="5" t="n"/>
    </row>
    <row r="2887">
      <c r="A2887" s="5" t="n"/>
      <c r="B2887" s="5" t="n"/>
      <c r="C2887" s="5" t="n"/>
      <c r="D2887" s="5" t="n"/>
      <c r="E2887" s="4">
        <f>IF(C2887="","",COUNTIF($C$7:C2887,C2887))</f>
        <v/>
      </c>
      <c r="F2887" s="4">
        <f>IF(E2887="","",IF(E2887&lt;=3,6,IF(E2887&lt;=6,5,IF(E2887&lt;=9,4,IF(E2887&lt;=12,3,IF(E2887&lt;=15,2,0))))))</f>
        <v/>
      </c>
      <c r="G2887" s="5" t="n"/>
      <c r="H2887" s="4">
        <f>IF(OR(F2887="",G2887=""),"",F2887*G2887+IF(J2887="",0,J2887))</f>
        <v/>
      </c>
      <c r="I2887" s="5" t="n"/>
      <c r="J2887" s="5" t="n"/>
    </row>
    <row r="2888">
      <c r="A2888" s="5" t="n"/>
      <c r="B2888" s="5" t="n"/>
      <c r="C2888" s="5" t="n"/>
      <c r="D2888" s="5" t="n"/>
      <c r="E2888" s="4">
        <f>IF(C2888="","",COUNTIF($C$7:C2888,C2888))</f>
        <v/>
      </c>
      <c r="F2888" s="4">
        <f>IF(E2888="","",IF(E2888&lt;=3,6,IF(E2888&lt;=6,5,IF(E2888&lt;=9,4,IF(E2888&lt;=12,3,IF(E2888&lt;=15,2,0))))))</f>
        <v/>
      </c>
      <c r="G2888" s="5" t="n"/>
      <c r="H2888" s="4">
        <f>IF(OR(F2888="",G2888=""),"",F2888*G2888+IF(J2888="",0,J2888))</f>
        <v/>
      </c>
      <c r="I2888" s="5" t="n"/>
      <c r="J2888" s="5" t="n"/>
    </row>
    <row r="2889">
      <c r="A2889" s="5" t="n"/>
      <c r="B2889" s="5" t="n"/>
      <c r="C2889" s="5" t="n"/>
      <c r="D2889" s="5" t="n"/>
      <c r="E2889" s="4">
        <f>IF(C2889="","",COUNTIF($C$7:C2889,C2889))</f>
        <v/>
      </c>
      <c r="F2889" s="4">
        <f>IF(E2889="","",IF(E2889&lt;=3,6,IF(E2889&lt;=6,5,IF(E2889&lt;=9,4,IF(E2889&lt;=12,3,IF(E2889&lt;=15,2,0))))))</f>
        <v/>
      </c>
      <c r="G2889" s="5" t="n"/>
      <c r="H2889" s="4">
        <f>IF(OR(F2889="",G2889=""),"",F2889*G2889+IF(J2889="",0,J2889))</f>
        <v/>
      </c>
      <c r="I2889" s="5" t="n"/>
      <c r="J2889" s="5" t="n"/>
    </row>
    <row r="2890">
      <c r="A2890" s="5" t="n"/>
      <c r="B2890" s="5" t="n"/>
      <c r="C2890" s="5" t="n"/>
      <c r="D2890" s="5" t="n"/>
      <c r="E2890" s="4">
        <f>IF(C2890="","",COUNTIF($C$7:C2890,C2890))</f>
        <v/>
      </c>
      <c r="F2890" s="4">
        <f>IF(E2890="","",IF(E2890&lt;=3,6,IF(E2890&lt;=6,5,IF(E2890&lt;=9,4,IF(E2890&lt;=12,3,IF(E2890&lt;=15,2,0))))))</f>
        <v/>
      </c>
      <c r="G2890" s="5" t="n"/>
      <c r="H2890" s="4">
        <f>IF(OR(F2890="",G2890=""),"",F2890*G2890+IF(J2890="",0,J2890))</f>
        <v/>
      </c>
      <c r="I2890" s="5" t="n"/>
      <c r="J2890" s="5" t="n"/>
    </row>
    <row r="2891">
      <c r="A2891" s="5" t="n"/>
      <c r="B2891" s="5" t="n"/>
      <c r="C2891" s="5" t="n"/>
      <c r="D2891" s="5" t="n"/>
      <c r="E2891" s="4">
        <f>IF(C2891="","",COUNTIF($C$7:C2891,C2891))</f>
        <v/>
      </c>
      <c r="F2891" s="4">
        <f>IF(E2891="","",IF(E2891&lt;=3,6,IF(E2891&lt;=6,5,IF(E2891&lt;=9,4,IF(E2891&lt;=12,3,IF(E2891&lt;=15,2,0))))))</f>
        <v/>
      </c>
      <c r="G2891" s="5" t="n"/>
      <c r="H2891" s="4">
        <f>IF(OR(F2891="",G2891=""),"",F2891*G2891+IF(J2891="",0,J2891))</f>
        <v/>
      </c>
      <c r="I2891" s="5" t="n"/>
      <c r="J2891" s="5" t="n"/>
    </row>
    <row r="2892">
      <c r="A2892" s="5" t="n"/>
      <c r="B2892" s="5" t="n"/>
      <c r="C2892" s="5" t="n"/>
      <c r="D2892" s="5" t="n"/>
      <c r="E2892" s="4">
        <f>IF(C2892="","",COUNTIF($C$7:C2892,C2892))</f>
        <v/>
      </c>
      <c r="F2892" s="4">
        <f>IF(E2892="","",IF(E2892&lt;=3,6,IF(E2892&lt;=6,5,IF(E2892&lt;=9,4,IF(E2892&lt;=12,3,IF(E2892&lt;=15,2,0))))))</f>
        <v/>
      </c>
      <c r="G2892" s="5" t="n"/>
      <c r="H2892" s="4">
        <f>IF(OR(F2892="",G2892=""),"",F2892*G2892+IF(J2892="",0,J2892))</f>
        <v/>
      </c>
      <c r="I2892" s="5" t="n"/>
      <c r="J2892" s="5" t="n"/>
    </row>
    <row r="2893">
      <c r="A2893" s="5" t="n"/>
      <c r="B2893" s="5" t="n"/>
      <c r="C2893" s="5" t="n"/>
      <c r="D2893" s="5" t="n"/>
      <c r="E2893" s="4">
        <f>IF(C2893="","",COUNTIF($C$7:C2893,C2893))</f>
        <v/>
      </c>
      <c r="F2893" s="4">
        <f>IF(E2893="","",IF(E2893&lt;=3,6,IF(E2893&lt;=6,5,IF(E2893&lt;=9,4,IF(E2893&lt;=12,3,IF(E2893&lt;=15,2,0))))))</f>
        <v/>
      </c>
      <c r="G2893" s="5" t="n"/>
      <c r="H2893" s="4">
        <f>IF(OR(F2893="",G2893=""),"",F2893*G2893+IF(J2893="",0,J2893))</f>
        <v/>
      </c>
      <c r="I2893" s="5" t="n"/>
      <c r="J2893" s="5" t="n"/>
    </row>
    <row r="2894">
      <c r="A2894" s="5" t="n"/>
      <c r="B2894" s="5" t="n"/>
      <c r="C2894" s="5" t="n"/>
      <c r="D2894" s="5" t="n"/>
      <c r="E2894" s="4">
        <f>IF(C2894="","",COUNTIF($C$7:C2894,C2894))</f>
        <v/>
      </c>
      <c r="F2894" s="4">
        <f>IF(E2894="","",IF(E2894&lt;=3,6,IF(E2894&lt;=6,5,IF(E2894&lt;=9,4,IF(E2894&lt;=12,3,IF(E2894&lt;=15,2,0))))))</f>
        <v/>
      </c>
      <c r="G2894" s="5" t="n"/>
      <c r="H2894" s="4">
        <f>IF(OR(F2894="",G2894=""),"",F2894*G2894+IF(J2894="",0,J2894))</f>
        <v/>
      </c>
      <c r="I2894" s="5" t="n"/>
      <c r="J2894" s="5" t="n"/>
    </row>
    <row r="2895">
      <c r="A2895" s="5" t="n"/>
      <c r="B2895" s="5" t="n"/>
      <c r="C2895" s="5" t="n"/>
      <c r="D2895" s="5" t="n"/>
      <c r="E2895" s="4">
        <f>IF(C2895="","",COUNTIF($C$7:C2895,C2895))</f>
        <v/>
      </c>
      <c r="F2895" s="4">
        <f>IF(E2895="","",IF(E2895&lt;=3,6,IF(E2895&lt;=6,5,IF(E2895&lt;=9,4,IF(E2895&lt;=12,3,IF(E2895&lt;=15,2,0))))))</f>
        <v/>
      </c>
      <c r="G2895" s="5" t="n"/>
      <c r="H2895" s="4">
        <f>IF(OR(F2895="",G2895=""),"",F2895*G2895+IF(J2895="",0,J2895))</f>
        <v/>
      </c>
      <c r="I2895" s="5" t="n"/>
      <c r="J2895" s="5" t="n"/>
    </row>
    <row r="2896">
      <c r="A2896" s="5" t="n"/>
      <c r="B2896" s="5" t="n"/>
      <c r="C2896" s="5" t="n"/>
      <c r="D2896" s="5" t="n"/>
      <c r="E2896" s="4">
        <f>IF(C2896="","",COUNTIF($C$7:C2896,C2896))</f>
        <v/>
      </c>
      <c r="F2896" s="4">
        <f>IF(E2896="","",IF(E2896&lt;=3,6,IF(E2896&lt;=6,5,IF(E2896&lt;=9,4,IF(E2896&lt;=12,3,IF(E2896&lt;=15,2,0))))))</f>
        <v/>
      </c>
      <c r="G2896" s="5" t="n"/>
      <c r="H2896" s="4">
        <f>IF(OR(F2896="",G2896=""),"",F2896*G2896+IF(J2896="",0,J2896))</f>
        <v/>
      </c>
      <c r="I2896" s="5" t="n"/>
      <c r="J2896" s="5" t="n"/>
    </row>
    <row r="2897">
      <c r="A2897" s="5" t="n"/>
      <c r="B2897" s="5" t="n"/>
      <c r="C2897" s="5" t="n"/>
      <c r="D2897" s="5" t="n"/>
      <c r="E2897" s="4">
        <f>IF(C2897="","",COUNTIF($C$7:C2897,C2897))</f>
        <v/>
      </c>
      <c r="F2897" s="4">
        <f>IF(E2897="","",IF(E2897&lt;=3,6,IF(E2897&lt;=6,5,IF(E2897&lt;=9,4,IF(E2897&lt;=12,3,IF(E2897&lt;=15,2,0))))))</f>
        <v/>
      </c>
      <c r="G2897" s="5" t="n"/>
      <c r="H2897" s="4">
        <f>IF(OR(F2897="",G2897=""),"",F2897*G2897+IF(J2897="",0,J2897))</f>
        <v/>
      </c>
      <c r="I2897" s="5" t="n"/>
      <c r="J2897" s="5" t="n"/>
    </row>
    <row r="2898">
      <c r="A2898" s="5" t="n"/>
      <c r="B2898" s="5" t="n"/>
      <c r="C2898" s="5" t="n"/>
      <c r="D2898" s="5" t="n"/>
      <c r="E2898" s="4">
        <f>IF(C2898="","",COUNTIF($C$7:C2898,C2898))</f>
        <v/>
      </c>
      <c r="F2898" s="4">
        <f>IF(E2898="","",IF(E2898&lt;=3,6,IF(E2898&lt;=6,5,IF(E2898&lt;=9,4,IF(E2898&lt;=12,3,IF(E2898&lt;=15,2,0))))))</f>
        <v/>
      </c>
      <c r="G2898" s="5" t="n"/>
      <c r="H2898" s="4">
        <f>IF(OR(F2898="",G2898=""),"",F2898*G2898+IF(J2898="",0,J2898))</f>
        <v/>
      </c>
      <c r="I2898" s="5" t="n"/>
      <c r="J2898" s="5" t="n"/>
    </row>
    <row r="2899">
      <c r="A2899" s="5" t="n"/>
      <c r="B2899" s="5" t="n"/>
      <c r="C2899" s="5" t="n"/>
      <c r="D2899" s="5" t="n"/>
      <c r="E2899" s="4">
        <f>IF(C2899="","",COUNTIF($C$7:C2899,C2899))</f>
        <v/>
      </c>
      <c r="F2899" s="4">
        <f>IF(E2899="","",IF(E2899&lt;=3,6,IF(E2899&lt;=6,5,IF(E2899&lt;=9,4,IF(E2899&lt;=12,3,IF(E2899&lt;=15,2,0))))))</f>
        <v/>
      </c>
      <c r="G2899" s="5" t="n"/>
      <c r="H2899" s="4">
        <f>IF(OR(F2899="",G2899=""),"",F2899*G2899+IF(J2899="",0,J2899))</f>
        <v/>
      </c>
      <c r="I2899" s="5" t="n"/>
      <c r="J2899" s="5" t="n"/>
    </row>
    <row r="2900">
      <c r="A2900" s="5" t="n"/>
      <c r="B2900" s="5" t="n"/>
      <c r="C2900" s="5" t="n"/>
      <c r="D2900" s="5" t="n"/>
      <c r="E2900" s="4">
        <f>IF(C2900="","",COUNTIF($C$7:C2900,C2900))</f>
        <v/>
      </c>
      <c r="F2900" s="4">
        <f>IF(E2900="","",IF(E2900&lt;=3,6,IF(E2900&lt;=6,5,IF(E2900&lt;=9,4,IF(E2900&lt;=12,3,IF(E2900&lt;=15,2,0))))))</f>
        <v/>
      </c>
      <c r="G2900" s="5" t="n"/>
      <c r="H2900" s="4">
        <f>IF(OR(F2900="",G2900=""),"",F2900*G2900+IF(J2900="",0,J2900))</f>
        <v/>
      </c>
      <c r="I2900" s="5" t="n"/>
      <c r="J2900" s="5" t="n"/>
    </row>
    <row r="2901">
      <c r="A2901" s="5" t="n"/>
      <c r="B2901" s="5" t="n"/>
      <c r="C2901" s="5" t="n"/>
      <c r="D2901" s="5" t="n"/>
      <c r="E2901" s="4">
        <f>IF(C2901="","",COUNTIF($C$7:C2901,C2901))</f>
        <v/>
      </c>
      <c r="F2901" s="4">
        <f>IF(E2901="","",IF(E2901&lt;=3,6,IF(E2901&lt;=6,5,IF(E2901&lt;=9,4,IF(E2901&lt;=12,3,IF(E2901&lt;=15,2,0))))))</f>
        <v/>
      </c>
      <c r="G2901" s="5" t="n"/>
      <c r="H2901" s="4">
        <f>IF(OR(F2901="",G2901=""),"",F2901*G2901+IF(J2901="",0,J2901))</f>
        <v/>
      </c>
      <c r="I2901" s="5" t="n"/>
      <c r="J2901" s="5" t="n"/>
    </row>
    <row r="2902">
      <c r="A2902" s="5" t="n"/>
      <c r="B2902" s="5" t="n"/>
      <c r="C2902" s="5" t="n"/>
      <c r="D2902" s="5" t="n"/>
      <c r="E2902" s="4">
        <f>IF(C2902="","",COUNTIF($C$7:C2902,C2902))</f>
        <v/>
      </c>
      <c r="F2902" s="4">
        <f>IF(E2902="","",IF(E2902&lt;=3,6,IF(E2902&lt;=6,5,IF(E2902&lt;=9,4,IF(E2902&lt;=12,3,IF(E2902&lt;=15,2,0))))))</f>
        <v/>
      </c>
      <c r="G2902" s="5" t="n"/>
      <c r="H2902" s="4">
        <f>IF(OR(F2902="",G2902=""),"",F2902*G2902+IF(J2902="",0,J2902))</f>
        <v/>
      </c>
      <c r="I2902" s="5" t="n"/>
      <c r="J2902" s="5" t="n"/>
    </row>
    <row r="2903">
      <c r="A2903" s="5" t="n"/>
      <c r="B2903" s="5" t="n"/>
      <c r="C2903" s="5" t="n"/>
      <c r="D2903" s="5" t="n"/>
      <c r="E2903" s="4">
        <f>IF(C2903="","",COUNTIF($C$7:C2903,C2903))</f>
        <v/>
      </c>
      <c r="F2903" s="4">
        <f>IF(E2903="","",IF(E2903&lt;=3,6,IF(E2903&lt;=6,5,IF(E2903&lt;=9,4,IF(E2903&lt;=12,3,IF(E2903&lt;=15,2,0))))))</f>
        <v/>
      </c>
      <c r="G2903" s="5" t="n"/>
      <c r="H2903" s="4">
        <f>IF(OR(F2903="",G2903=""),"",F2903*G2903+IF(J2903="",0,J2903))</f>
        <v/>
      </c>
      <c r="I2903" s="5" t="n"/>
      <c r="J2903" s="5" t="n"/>
    </row>
    <row r="2904">
      <c r="A2904" s="5" t="n"/>
      <c r="B2904" s="5" t="n"/>
      <c r="C2904" s="5" t="n"/>
      <c r="D2904" s="5" t="n"/>
      <c r="E2904" s="4">
        <f>IF(C2904="","",COUNTIF($C$7:C2904,C2904))</f>
        <v/>
      </c>
      <c r="F2904" s="4">
        <f>IF(E2904="","",IF(E2904&lt;=3,6,IF(E2904&lt;=6,5,IF(E2904&lt;=9,4,IF(E2904&lt;=12,3,IF(E2904&lt;=15,2,0))))))</f>
        <v/>
      </c>
      <c r="G2904" s="5" t="n"/>
      <c r="H2904" s="4">
        <f>IF(OR(F2904="",G2904=""),"",F2904*G2904+IF(J2904="",0,J2904))</f>
        <v/>
      </c>
      <c r="I2904" s="5" t="n"/>
      <c r="J2904" s="5" t="n"/>
    </row>
    <row r="2905">
      <c r="A2905" s="5" t="n"/>
      <c r="B2905" s="5" t="n"/>
      <c r="C2905" s="5" t="n"/>
      <c r="D2905" s="5" t="n"/>
      <c r="E2905" s="4">
        <f>IF(C2905="","",COUNTIF($C$7:C2905,C2905))</f>
        <v/>
      </c>
      <c r="F2905" s="4">
        <f>IF(E2905="","",IF(E2905&lt;=3,6,IF(E2905&lt;=6,5,IF(E2905&lt;=9,4,IF(E2905&lt;=12,3,IF(E2905&lt;=15,2,0))))))</f>
        <v/>
      </c>
      <c r="G2905" s="5" t="n"/>
      <c r="H2905" s="4">
        <f>IF(OR(F2905="",G2905=""),"",F2905*G2905+IF(J2905="",0,J2905))</f>
        <v/>
      </c>
      <c r="I2905" s="5" t="n"/>
      <c r="J2905" s="5" t="n"/>
    </row>
    <row r="2906">
      <c r="A2906" s="5" t="n"/>
      <c r="B2906" s="5" t="n"/>
      <c r="C2906" s="5" t="n"/>
      <c r="D2906" s="5" t="n"/>
      <c r="E2906" s="4">
        <f>IF(C2906="","",COUNTIF($C$7:C2906,C2906))</f>
        <v/>
      </c>
      <c r="F2906" s="4">
        <f>IF(E2906="","",IF(E2906&lt;=3,6,IF(E2906&lt;=6,5,IF(E2906&lt;=9,4,IF(E2906&lt;=12,3,IF(E2906&lt;=15,2,0))))))</f>
        <v/>
      </c>
      <c r="G2906" s="5" t="n"/>
      <c r="H2906" s="4">
        <f>IF(OR(F2906="",G2906=""),"",F2906*G2906+IF(J2906="",0,J2906))</f>
        <v/>
      </c>
      <c r="I2906" s="5" t="n"/>
      <c r="J2906" s="5" t="n"/>
    </row>
    <row r="2907">
      <c r="A2907" s="5" t="n"/>
      <c r="B2907" s="5" t="n"/>
      <c r="C2907" s="5" t="n"/>
      <c r="D2907" s="5" t="n"/>
      <c r="E2907" s="4">
        <f>IF(C2907="","",COUNTIF($C$7:C2907,C2907))</f>
        <v/>
      </c>
      <c r="F2907" s="4">
        <f>IF(E2907="","",IF(E2907&lt;=3,6,IF(E2907&lt;=6,5,IF(E2907&lt;=9,4,IF(E2907&lt;=12,3,IF(E2907&lt;=15,2,0))))))</f>
        <v/>
      </c>
      <c r="G2907" s="5" t="n"/>
      <c r="H2907" s="4">
        <f>IF(OR(F2907="",G2907=""),"",F2907*G2907+IF(J2907="",0,J2907))</f>
        <v/>
      </c>
      <c r="I2907" s="5" t="n"/>
      <c r="J2907" s="5" t="n"/>
    </row>
    <row r="2908">
      <c r="A2908" s="5" t="n"/>
      <c r="B2908" s="5" t="n"/>
      <c r="C2908" s="5" t="n"/>
      <c r="D2908" s="5" t="n"/>
      <c r="E2908" s="4">
        <f>IF(C2908="","",COUNTIF($C$7:C2908,C2908))</f>
        <v/>
      </c>
      <c r="F2908" s="4">
        <f>IF(E2908="","",IF(E2908&lt;=3,6,IF(E2908&lt;=6,5,IF(E2908&lt;=9,4,IF(E2908&lt;=12,3,IF(E2908&lt;=15,2,0))))))</f>
        <v/>
      </c>
      <c r="G2908" s="5" t="n"/>
      <c r="H2908" s="4">
        <f>IF(OR(F2908="",G2908=""),"",F2908*G2908+IF(J2908="",0,J2908))</f>
        <v/>
      </c>
      <c r="I2908" s="5" t="n"/>
      <c r="J2908" s="5" t="n"/>
    </row>
    <row r="2909">
      <c r="A2909" s="5" t="n"/>
      <c r="B2909" s="5" t="n"/>
      <c r="C2909" s="5" t="n"/>
      <c r="D2909" s="5" t="n"/>
      <c r="E2909" s="4">
        <f>IF(C2909="","",COUNTIF($C$7:C2909,C2909))</f>
        <v/>
      </c>
      <c r="F2909" s="4">
        <f>IF(E2909="","",IF(E2909&lt;=3,6,IF(E2909&lt;=6,5,IF(E2909&lt;=9,4,IF(E2909&lt;=12,3,IF(E2909&lt;=15,2,0))))))</f>
        <v/>
      </c>
      <c r="G2909" s="5" t="n"/>
      <c r="H2909" s="4">
        <f>IF(OR(F2909="",G2909=""),"",F2909*G2909+IF(J2909="",0,J2909))</f>
        <v/>
      </c>
      <c r="I2909" s="5" t="n"/>
      <c r="J2909" s="5" t="n"/>
    </row>
    <row r="2910">
      <c r="A2910" s="5" t="n"/>
      <c r="B2910" s="5" t="n"/>
      <c r="C2910" s="5" t="n"/>
      <c r="D2910" s="5" t="n"/>
      <c r="E2910" s="4">
        <f>IF(C2910="","",COUNTIF($C$7:C2910,C2910))</f>
        <v/>
      </c>
      <c r="F2910" s="4">
        <f>IF(E2910="","",IF(E2910&lt;=3,6,IF(E2910&lt;=6,5,IF(E2910&lt;=9,4,IF(E2910&lt;=12,3,IF(E2910&lt;=15,2,0))))))</f>
        <v/>
      </c>
      <c r="G2910" s="5" t="n"/>
      <c r="H2910" s="4">
        <f>IF(OR(F2910="",G2910=""),"",F2910*G2910+IF(J2910="",0,J2910))</f>
        <v/>
      </c>
      <c r="I2910" s="5" t="n"/>
      <c r="J2910" s="5" t="n"/>
    </row>
    <row r="2911">
      <c r="A2911" s="5" t="n"/>
      <c r="B2911" s="5" t="n"/>
      <c r="C2911" s="5" t="n"/>
      <c r="D2911" s="5" t="n"/>
      <c r="E2911" s="4">
        <f>IF(C2911="","",COUNTIF($C$7:C2911,C2911))</f>
        <v/>
      </c>
      <c r="F2911" s="4">
        <f>IF(E2911="","",IF(E2911&lt;=3,6,IF(E2911&lt;=6,5,IF(E2911&lt;=9,4,IF(E2911&lt;=12,3,IF(E2911&lt;=15,2,0))))))</f>
        <v/>
      </c>
      <c r="G2911" s="5" t="n"/>
      <c r="H2911" s="4">
        <f>IF(OR(F2911="",G2911=""),"",F2911*G2911+IF(J2911="",0,J2911))</f>
        <v/>
      </c>
      <c r="I2911" s="5" t="n"/>
      <c r="J2911" s="5" t="n"/>
    </row>
    <row r="2912">
      <c r="A2912" s="5" t="n"/>
      <c r="B2912" s="5" t="n"/>
      <c r="C2912" s="5" t="n"/>
      <c r="D2912" s="5" t="n"/>
      <c r="E2912" s="4">
        <f>IF(C2912="","",COUNTIF($C$7:C2912,C2912))</f>
        <v/>
      </c>
      <c r="F2912" s="4">
        <f>IF(E2912="","",IF(E2912&lt;=3,6,IF(E2912&lt;=6,5,IF(E2912&lt;=9,4,IF(E2912&lt;=12,3,IF(E2912&lt;=15,2,0))))))</f>
        <v/>
      </c>
      <c r="G2912" s="5" t="n"/>
      <c r="H2912" s="4">
        <f>IF(OR(F2912="",G2912=""),"",F2912*G2912+IF(J2912="",0,J2912))</f>
        <v/>
      </c>
      <c r="I2912" s="5" t="n"/>
      <c r="J2912" s="5" t="n"/>
    </row>
    <row r="2913">
      <c r="A2913" s="5" t="n"/>
      <c r="B2913" s="5" t="n"/>
      <c r="C2913" s="5" t="n"/>
      <c r="D2913" s="5" t="n"/>
      <c r="E2913" s="4">
        <f>IF(C2913="","",COUNTIF($C$7:C2913,C2913))</f>
        <v/>
      </c>
      <c r="F2913" s="4">
        <f>IF(E2913="","",IF(E2913&lt;=3,6,IF(E2913&lt;=6,5,IF(E2913&lt;=9,4,IF(E2913&lt;=12,3,IF(E2913&lt;=15,2,0))))))</f>
        <v/>
      </c>
      <c r="G2913" s="5" t="n"/>
      <c r="H2913" s="4">
        <f>IF(OR(F2913="",G2913=""),"",F2913*G2913+IF(J2913="",0,J2913))</f>
        <v/>
      </c>
      <c r="I2913" s="5" t="n"/>
      <c r="J2913" s="5" t="n"/>
    </row>
    <row r="2914">
      <c r="A2914" s="5" t="n"/>
      <c r="B2914" s="5" t="n"/>
      <c r="C2914" s="5" t="n"/>
      <c r="D2914" s="5" t="n"/>
      <c r="E2914" s="4">
        <f>IF(C2914="","",COUNTIF($C$7:C2914,C2914))</f>
        <v/>
      </c>
      <c r="F2914" s="4">
        <f>IF(E2914="","",IF(E2914&lt;=3,6,IF(E2914&lt;=6,5,IF(E2914&lt;=9,4,IF(E2914&lt;=12,3,IF(E2914&lt;=15,2,0))))))</f>
        <v/>
      </c>
      <c r="G2914" s="5" t="n"/>
      <c r="H2914" s="4">
        <f>IF(OR(F2914="",G2914=""),"",F2914*G2914+IF(J2914="",0,J2914))</f>
        <v/>
      </c>
      <c r="I2914" s="5" t="n"/>
      <c r="J2914" s="5" t="n"/>
    </row>
    <row r="2915">
      <c r="A2915" s="5" t="n"/>
      <c r="B2915" s="5" t="n"/>
      <c r="C2915" s="5" t="n"/>
      <c r="D2915" s="5" t="n"/>
      <c r="E2915" s="4">
        <f>IF(C2915="","",COUNTIF($C$7:C2915,C2915))</f>
        <v/>
      </c>
      <c r="F2915" s="4">
        <f>IF(E2915="","",IF(E2915&lt;=3,6,IF(E2915&lt;=6,5,IF(E2915&lt;=9,4,IF(E2915&lt;=12,3,IF(E2915&lt;=15,2,0))))))</f>
        <v/>
      </c>
      <c r="G2915" s="5" t="n"/>
      <c r="H2915" s="4">
        <f>IF(OR(F2915="",G2915=""),"",F2915*G2915+IF(J2915="",0,J2915))</f>
        <v/>
      </c>
      <c r="I2915" s="5" t="n"/>
      <c r="J2915" s="5" t="n"/>
    </row>
    <row r="2916">
      <c r="A2916" s="5" t="n"/>
      <c r="B2916" s="5" t="n"/>
      <c r="C2916" s="5" t="n"/>
      <c r="D2916" s="5" t="n"/>
      <c r="E2916" s="4">
        <f>IF(C2916="","",COUNTIF($C$7:C2916,C2916))</f>
        <v/>
      </c>
      <c r="F2916" s="4">
        <f>IF(E2916="","",IF(E2916&lt;=3,6,IF(E2916&lt;=6,5,IF(E2916&lt;=9,4,IF(E2916&lt;=12,3,IF(E2916&lt;=15,2,0))))))</f>
        <v/>
      </c>
      <c r="G2916" s="5" t="n"/>
      <c r="H2916" s="4">
        <f>IF(OR(F2916="",G2916=""),"",F2916*G2916+IF(J2916="",0,J2916))</f>
        <v/>
      </c>
      <c r="I2916" s="5" t="n"/>
      <c r="J2916" s="5" t="n"/>
    </row>
    <row r="2917">
      <c r="A2917" s="5" t="n"/>
      <c r="B2917" s="5" t="n"/>
      <c r="C2917" s="5" t="n"/>
      <c r="D2917" s="5" t="n"/>
      <c r="E2917" s="4">
        <f>IF(C2917="","",COUNTIF($C$7:C2917,C2917))</f>
        <v/>
      </c>
      <c r="F2917" s="4">
        <f>IF(E2917="","",IF(E2917&lt;=3,6,IF(E2917&lt;=6,5,IF(E2917&lt;=9,4,IF(E2917&lt;=12,3,IF(E2917&lt;=15,2,0))))))</f>
        <v/>
      </c>
      <c r="G2917" s="5" t="n"/>
      <c r="H2917" s="4">
        <f>IF(OR(F2917="",G2917=""),"",F2917*G2917+IF(J2917="",0,J2917))</f>
        <v/>
      </c>
      <c r="I2917" s="5" t="n"/>
      <c r="J2917" s="5" t="n"/>
    </row>
    <row r="2918">
      <c r="A2918" s="5" t="n"/>
      <c r="B2918" s="5" t="n"/>
      <c r="C2918" s="5" t="n"/>
      <c r="D2918" s="5" t="n"/>
      <c r="E2918" s="4">
        <f>IF(C2918="","",COUNTIF($C$7:C2918,C2918))</f>
        <v/>
      </c>
      <c r="F2918" s="4">
        <f>IF(E2918="","",IF(E2918&lt;=3,6,IF(E2918&lt;=6,5,IF(E2918&lt;=9,4,IF(E2918&lt;=12,3,IF(E2918&lt;=15,2,0))))))</f>
        <v/>
      </c>
      <c r="G2918" s="5" t="n"/>
      <c r="H2918" s="4">
        <f>IF(OR(F2918="",G2918=""),"",F2918*G2918+IF(J2918="",0,J2918))</f>
        <v/>
      </c>
      <c r="I2918" s="5" t="n"/>
      <c r="J2918" s="5" t="n"/>
    </row>
    <row r="2919">
      <c r="A2919" s="5" t="n"/>
      <c r="B2919" s="5" t="n"/>
      <c r="C2919" s="5" t="n"/>
      <c r="D2919" s="5" t="n"/>
      <c r="E2919" s="4">
        <f>IF(C2919="","",COUNTIF($C$7:C2919,C2919))</f>
        <v/>
      </c>
      <c r="F2919" s="4">
        <f>IF(E2919="","",IF(E2919&lt;=3,6,IF(E2919&lt;=6,5,IF(E2919&lt;=9,4,IF(E2919&lt;=12,3,IF(E2919&lt;=15,2,0))))))</f>
        <v/>
      </c>
      <c r="G2919" s="5" t="n"/>
      <c r="H2919" s="4">
        <f>IF(OR(F2919="",G2919=""),"",F2919*G2919+IF(J2919="",0,J2919))</f>
        <v/>
      </c>
      <c r="I2919" s="5" t="n"/>
      <c r="J2919" s="5" t="n"/>
    </row>
    <row r="2920">
      <c r="A2920" s="5" t="n"/>
      <c r="B2920" s="5" t="n"/>
      <c r="C2920" s="5" t="n"/>
      <c r="D2920" s="5" t="n"/>
      <c r="E2920" s="4">
        <f>IF(C2920="","",COUNTIF($C$7:C2920,C2920))</f>
        <v/>
      </c>
      <c r="F2920" s="4">
        <f>IF(E2920="","",IF(E2920&lt;=3,6,IF(E2920&lt;=6,5,IF(E2920&lt;=9,4,IF(E2920&lt;=12,3,IF(E2920&lt;=15,2,0))))))</f>
        <v/>
      </c>
      <c r="G2920" s="5" t="n"/>
      <c r="H2920" s="4">
        <f>IF(OR(F2920="",G2920=""),"",F2920*G2920+IF(J2920="",0,J2920))</f>
        <v/>
      </c>
      <c r="I2920" s="5" t="n"/>
      <c r="J2920" s="5" t="n"/>
    </row>
    <row r="2921">
      <c r="A2921" s="5" t="n"/>
      <c r="B2921" s="5" t="n"/>
      <c r="C2921" s="5" t="n"/>
      <c r="D2921" s="5" t="n"/>
      <c r="E2921" s="4">
        <f>IF(C2921="","",COUNTIF($C$7:C2921,C2921))</f>
        <v/>
      </c>
      <c r="F2921" s="4">
        <f>IF(E2921="","",IF(E2921&lt;=3,6,IF(E2921&lt;=6,5,IF(E2921&lt;=9,4,IF(E2921&lt;=12,3,IF(E2921&lt;=15,2,0))))))</f>
        <v/>
      </c>
      <c r="G2921" s="5" t="n"/>
      <c r="H2921" s="4">
        <f>IF(OR(F2921="",G2921=""),"",F2921*G2921+IF(J2921="",0,J2921))</f>
        <v/>
      </c>
      <c r="I2921" s="5" t="n"/>
      <c r="J2921" s="5" t="n"/>
    </row>
    <row r="2922">
      <c r="A2922" s="5" t="n"/>
      <c r="B2922" s="5" t="n"/>
      <c r="C2922" s="5" t="n"/>
      <c r="D2922" s="5" t="n"/>
      <c r="E2922" s="4">
        <f>IF(C2922="","",COUNTIF($C$7:C2922,C2922))</f>
        <v/>
      </c>
      <c r="F2922" s="4">
        <f>IF(E2922="","",IF(E2922&lt;=3,6,IF(E2922&lt;=6,5,IF(E2922&lt;=9,4,IF(E2922&lt;=12,3,IF(E2922&lt;=15,2,0))))))</f>
        <v/>
      </c>
      <c r="G2922" s="5" t="n"/>
      <c r="H2922" s="4">
        <f>IF(OR(F2922="",G2922=""),"",F2922*G2922+IF(J2922="",0,J2922))</f>
        <v/>
      </c>
      <c r="I2922" s="5" t="n"/>
      <c r="J2922" s="5" t="n"/>
    </row>
    <row r="2923">
      <c r="A2923" s="5" t="n"/>
      <c r="B2923" s="5" t="n"/>
      <c r="C2923" s="5" t="n"/>
      <c r="D2923" s="5" t="n"/>
      <c r="E2923" s="4">
        <f>IF(C2923="","",COUNTIF($C$7:C2923,C2923))</f>
        <v/>
      </c>
      <c r="F2923" s="4">
        <f>IF(E2923="","",IF(E2923&lt;=3,6,IF(E2923&lt;=6,5,IF(E2923&lt;=9,4,IF(E2923&lt;=12,3,IF(E2923&lt;=15,2,0))))))</f>
        <v/>
      </c>
      <c r="G2923" s="5" t="n"/>
      <c r="H2923" s="4">
        <f>IF(OR(F2923="",G2923=""),"",F2923*G2923+IF(J2923="",0,J2923))</f>
        <v/>
      </c>
      <c r="I2923" s="5" t="n"/>
      <c r="J2923" s="5" t="n"/>
    </row>
    <row r="2924">
      <c r="A2924" s="5" t="n"/>
      <c r="B2924" s="5" t="n"/>
      <c r="C2924" s="5" t="n"/>
      <c r="D2924" s="5" t="n"/>
      <c r="E2924" s="4">
        <f>IF(C2924="","",COUNTIF($C$7:C2924,C2924))</f>
        <v/>
      </c>
      <c r="F2924" s="4">
        <f>IF(E2924="","",IF(E2924&lt;=3,6,IF(E2924&lt;=6,5,IF(E2924&lt;=9,4,IF(E2924&lt;=12,3,IF(E2924&lt;=15,2,0))))))</f>
        <v/>
      </c>
      <c r="G2924" s="5" t="n"/>
      <c r="H2924" s="4">
        <f>IF(OR(F2924="",G2924=""),"",F2924*G2924+IF(J2924="",0,J2924))</f>
        <v/>
      </c>
      <c r="I2924" s="5" t="n"/>
      <c r="J2924" s="5" t="n"/>
    </row>
    <row r="2925">
      <c r="A2925" s="5" t="n"/>
      <c r="B2925" s="5" t="n"/>
      <c r="C2925" s="5" t="n"/>
      <c r="D2925" s="5" t="n"/>
      <c r="E2925" s="4">
        <f>IF(C2925="","",COUNTIF($C$7:C2925,C2925))</f>
        <v/>
      </c>
      <c r="F2925" s="4">
        <f>IF(E2925="","",IF(E2925&lt;=3,6,IF(E2925&lt;=6,5,IF(E2925&lt;=9,4,IF(E2925&lt;=12,3,IF(E2925&lt;=15,2,0))))))</f>
        <v/>
      </c>
      <c r="G2925" s="5" t="n"/>
      <c r="H2925" s="4">
        <f>IF(OR(F2925="",G2925=""),"",F2925*G2925+IF(J2925="",0,J2925))</f>
        <v/>
      </c>
      <c r="I2925" s="5" t="n"/>
      <c r="J2925" s="5" t="n"/>
    </row>
    <row r="2926">
      <c r="A2926" s="5" t="n"/>
      <c r="B2926" s="5" t="n"/>
      <c r="C2926" s="5" t="n"/>
      <c r="D2926" s="5" t="n"/>
      <c r="E2926" s="4">
        <f>IF(C2926="","",COUNTIF($C$7:C2926,C2926))</f>
        <v/>
      </c>
      <c r="F2926" s="4">
        <f>IF(E2926="","",IF(E2926&lt;=3,6,IF(E2926&lt;=6,5,IF(E2926&lt;=9,4,IF(E2926&lt;=12,3,IF(E2926&lt;=15,2,0))))))</f>
        <v/>
      </c>
      <c r="G2926" s="5" t="n"/>
      <c r="H2926" s="4">
        <f>IF(OR(F2926="",G2926=""),"",F2926*G2926+IF(J2926="",0,J2926))</f>
        <v/>
      </c>
      <c r="I2926" s="5" t="n"/>
      <c r="J2926" s="5" t="n"/>
    </row>
    <row r="2927">
      <c r="A2927" s="5" t="n"/>
      <c r="B2927" s="5" t="n"/>
      <c r="C2927" s="5" t="n"/>
      <c r="D2927" s="5" t="n"/>
      <c r="E2927" s="4">
        <f>IF(C2927="","",COUNTIF($C$7:C2927,C2927))</f>
        <v/>
      </c>
      <c r="F2927" s="4">
        <f>IF(E2927="","",IF(E2927&lt;=3,6,IF(E2927&lt;=6,5,IF(E2927&lt;=9,4,IF(E2927&lt;=12,3,IF(E2927&lt;=15,2,0))))))</f>
        <v/>
      </c>
      <c r="G2927" s="5" t="n"/>
      <c r="H2927" s="4">
        <f>IF(OR(F2927="",G2927=""),"",F2927*G2927+IF(J2927="",0,J2927))</f>
        <v/>
      </c>
      <c r="I2927" s="5" t="n"/>
      <c r="J2927" s="5" t="n"/>
    </row>
    <row r="2928">
      <c r="A2928" s="5" t="n"/>
      <c r="B2928" s="5" t="n"/>
      <c r="C2928" s="5" t="n"/>
      <c r="D2928" s="5" t="n"/>
      <c r="E2928" s="4">
        <f>IF(C2928="","",COUNTIF($C$7:C2928,C2928))</f>
        <v/>
      </c>
      <c r="F2928" s="4">
        <f>IF(E2928="","",IF(E2928&lt;=3,6,IF(E2928&lt;=6,5,IF(E2928&lt;=9,4,IF(E2928&lt;=12,3,IF(E2928&lt;=15,2,0))))))</f>
        <v/>
      </c>
      <c r="G2928" s="5" t="n"/>
      <c r="H2928" s="4">
        <f>IF(OR(F2928="",G2928=""),"",F2928*G2928+IF(J2928="",0,J2928))</f>
        <v/>
      </c>
      <c r="I2928" s="5" t="n"/>
      <c r="J2928" s="5" t="n"/>
    </row>
    <row r="2929">
      <c r="A2929" s="5" t="n"/>
      <c r="B2929" s="5" t="n"/>
      <c r="C2929" s="5" t="n"/>
      <c r="D2929" s="5" t="n"/>
      <c r="E2929" s="4">
        <f>IF(C2929="","",COUNTIF($C$7:C2929,C2929))</f>
        <v/>
      </c>
      <c r="F2929" s="4">
        <f>IF(E2929="","",IF(E2929&lt;=3,6,IF(E2929&lt;=6,5,IF(E2929&lt;=9,4,IF(E2929&lt;=12,3,IF(E2929&lt;=15,2,0))))))</f>
        <v/>
      </c>
      <c r="G2929" s="5" t="n"/>
      <c r="H2929" s="4">
        <f>IF(OR(F2929="",G2929=""),"",F2929*G2929+IF(J2929="",0,J2929))</f>
        <v/>
      </c>
      <c r="I2929" s="5" t="n"/>
      <c r="J2929" s="5" t="n"/>
    </row>
    <row r="2930">
      <c r="A2930" s="5" t="n"/>
      <c r="B2930" s="5" t="n"/>
      <c r="C2930" s="5" t="n"/>
      <c r="D2930" s="5" t="n"/>
      <c r="E2930" s="4">
        <f>IF(C2930="","",COUNTIF($C$7:C2930,C2930))</f>
        <v/>
      </c>
      <c r="F2930" s="4">
        <f>IF(E2930="","",IF(E2930&lt;=3,6,IF(E2930&lt;=6,5,IF(E2930&lt;=9,4,IF(E2930&lt;=12,3,IF(E2930&lt;=15,2,0))))))</f>
        <v/>
      </c>
      <c r="G2930" s="5" t="n"/>
      <c r="H2930" s="4">
        <f>IF(OR(F2930="",G2930=""),"",F2930*G2930+IF(J2930="",0,J2930))</f>
        <v/>
      </c>
      <c r="I2930" s="5" t="n"/>
      <c r="J2930" s="5" t="n"/>
    </row>
    <row r="2931">
      <c r="A2931" s="5" t="n"/>
      <c r="B2931" s="5" t="n"/>
      <c r="C2931" s="5" t="n"/>
      <c r="D2931" s="5" t="n"/>
      <c r="E2931" s="4">
        <f>IF(C2931="","",COUNTIF($C$7:C2931,C2931))</f>
        <v/>
      </c>
      <c r="F2931" s="4">
        <f>IF(E2931="","",IF(E2931&lt;=3,6,IF(E2931&lt;=6,5,IF(E2931&lt;=9,4,IF(E2931&lt;=12,3,IF(E2931&lt;=15,2,0))))))</f>
        <v/>
      </c>
      <c r="G2931" s="5" t="n"/>
      <c r="H2931" s="4">
        <f>IF(OR(F2931="",G2931=""),"",F2931*G2931+IF(J2931="",0,J2931))</f>
        <v/>
      </c>
      <c r="I2931" s="5" t="n"/>
      <c r="J2931" s="5" t="n"/>
    </row>
    <row r="2932">
      <c r="A2932" s="5" t="n"/>
      <c r="B2932" s="5" t="n"/>
      <c r="C2932" s="5" t="n"/>
      <c r="D2932" s="5" t="n"/>
      <c r="E2932" s="4">
        <f>IF(C2932="","",COUNTIF($C$7:C2932,C2932))</f>
        <v/>
      </c>
      <c r="F2932" s="4">
        <f>IF(E2932="","",IF(E2932&lt;=3,6,IF(E2932&lt;=6,5,IF(E2932&lt;=9,4,IF(E2932&lt;=12,3,IF(E2932&lt;=15,2,0))))))</f>
        <v/>
      </c>
      <c r="G2932" s="5" t="n"/>
      <c r="H2932" s="4">
        <f>IF(OR(F2932="",G2932=""),"",F2932*G2932+IF(J2932="",0,J2932))</f>
        <v/>
      </c>
      <c r="I2932" s="5" t="n"/>
      <c r="J2932" s="5" t="n"/>
    </row>
    <row r="2933">
      <c r="A2933" s="5" t="n"/>
      <c r="B2933" s="5" t="n"/>
      <c r="C2933" s="5" t="n"/>
      <c r="D2933" s="5" t="n"/>
      <c r="E2933" s="4">
        <f>IF(C2933="","",COUNTIF($C$7:C2933,C2933))</f>
        <v/>
      </c>
      <c r="F2933" s="4">
        <f>IF(E2933="","",IF(E2933&lt;=3,6,IF(E2933&lt;=6,5,IF(E2933&lt;=9,4,IF(E2933&lt;=12,3,IF(E2933&lt;=15,2,0))))))</f>
        <v/>
      </c>
      <c r="G2933" s="5" t="n"/>
      <c r="H2933" s="4">
        <f>IF(OR(F2933="",G2933=""),"",F2933*G2933+IF(J2933="",0,J2933))</f>
        <v/>
      </c>
      <c r="I2933" s="5" t="n"/>
      <c r="J2933" s="5" t="n"/>
    </row>
    <row r="2934">
      <c r="A2934" s="5" t="n"/>
      <c r="B2934" s="5" t="n"/>
      <c r="C2934" s="5" t="n"/>
      <c r="D2934" s="5" t="n"/>
      <c r="E2934" s="4">
        <f>IF(C2934="","",COUNTIF($C$7:C2934,C2934))</f>
        <v/>
      </c>
      <c r="F2934" s="4">
        <f>IF(E2934="","",IF(E2934&lt;=3,6,IF(E2934&lt;=6,5,IF(E2934&lt;=9,4,IF(E2934&lt;=12,3,IF(E2934&lt;=15,2,0))))))</f>
        <v/>
      </c>
      <c r="G2934" s="5" t="n"/>
      <c r="H2934" s="4">
        <f>IF(OR(F2934="",G2934=""),"",F2934*G2934+IF(J2934="",0,J2934))</f>
        <v/>
      </c>
      <c r="I2934" s="5" t="n"/>
      <c r="J2934" s="5" t="n"/>
    </row>
    <row r="2935">
      <c r="A2935" s="5" t="n"/>
      <c r="B2935" s="5" t="n"/>
      <c r="C2935" s="5" t="n"/>
      <c r="D2935" s="5" t="n"/>
      <c r="E2935" s="4">
        <f>IF(C2935="","",COUNTIF($C$7:C2935,C2935))</f>
        <v/>
      </c>
      <c r="F2935" s="4">
        <f>IF(E2935="","",IF(E2935&lt;=3,6,IF(E2935&lt;=6,5,IF(E2935&lt;=9,4,IF(E2935&lt;=12,3,IF(E2935&lt;=15,2,0))))))</f>
        <v/>
      </c>
      <c r="G2935" s="5" t="n"/>
      <c r="H2935" s="4">
        <f>IF(OR(F2935="",G2935=""),"",F2935*G2935+IF(J2935="",0,J2935))</f>
        <v/>
      </c>
      <c r="I2935" s="5" t="n"/>
      <c r="J2935" s="5" t="n"/>
    </row>
    <row r="2936">
      <c r="A2936" s="5" t="n"/>
      <c r="B2936" s="5" t="n"/>
      <c r="C2936" s="5" t="n"/>
      <c r="D2936" s="5" t="n"/>
      <c r="E2936" s="4">
        <f>IF(C2936="","",COUNTIF($C$7:C2936,C2936))</f>
        <v/>
      </c>
      <c r="F2936" s="4">
        <f>IF(E2936="","",IF(E2936&lt;=3,6,IF(E2936&lt;=6,5,IF(E2936&lt;=9,4,IF(E2936&lt;=12,3,IF(E2936&lt;=15,2,0))))))</f>
        <v/>
      </c>
      <c r="G2936" s="5" t="n"/>
      <c r="H2936" s="4">
        <f>IF(OR(F2936="",G2936=""),"",F2936*G2936+IF(J2936="",0,J2936))</f>
        <v/>
      </c>
      <c r="I2936" s="5" t="n"/>
      <c r="J2936" s="5" t="n"/>
    </row>
    <row r="2937">
      <c r="A2937" s="5" t="n"/>
      <c r="B2937" s="5" t="n"/>
      <c r="C2937" s="5" t="n"/>
      <c r="D2937" s="5" t="n"/>
      <c r="E2937" s="4">
        <f>IF(C2937="","",COUNTIF($C$7:C2937,C2937))</f>
        <v/>
      </c>
      <c r="F2937" s="4">
        <f>IF(E2937="","",IF(E2937&lt;=3,6,IF(E2937&lt;=6,5,IF(E2937&lt;=9,4,IF(E2937&lt;=12,3,IF(E2937&lt;=15,2,0))))))</f>
        <v/>
      </c>
      <c r="G2937" s="5" t="n"/>
      <c r="H2937" s="4">
        <f>IF(OR(F2937="",G2937=""),"",F2937*G2937+IF(J2937="",0,J2937))</f>
        <v/>
      </c>
      <c r="I2937" s="5" t="n"/>
      <c r="J2937" s="5" t="n"/>
    </row>
    <row r="2938">
      <c r="A2938" s="5" t="n"/>
      <c r="B2938" s="5" t="n"/>
      <c r="C2938" s="5" t="n"/>
      <c r="D2938" s="5" t="n"/>
      <c r="E2938" s="4">
        <f>IF(C2938="","",COUNTIF($C$7:C2938,C2938))</f>
        <v/>
      </c>
      <c r="F2938" s="4">
        <f>IF(E2938="","",IF(E2938&lt;=3,6,IF(E2938&lt;=6,5,IF(E2938&lt;=9,4,IF(E2938&lt;=12,3,IF(E2938&lt;=15,2,0))))))</f>
        <v/>
      </c>
      <c r="G2938" s="5" t="n"/>
      <c r="H2938" s="4">
        <f>IF(OR(F2938="",G2938=""),"",F2938*G2938+IF(J2938="",0,J2938))</f>
        <v/>
      </c>
      <c r="I2938" s="5" t="n"/>
      <c r="J2938" s="5" t="n"/>
    </row>
    <row r="2939">
      <c r="A2939" s="5" t="n"/>
      <c r="B2939" s="5" t="n"/>
      <c r="C2939" s="5" t="n"/>
      <c r="D2939" s="5" t="n"/>
      <c r="E2939" s="4">
        <f>IF(C2939="","",COUNTIF($C$7:C2939,C2939))</f>
        <v/>
      </c>
      <c r="F2939" s="4">
        <f>IF(E2939="","",IF(E2939&lt;=3,6,IF(E2939&lt;=6,5,IF(E2939&lt;=9,4,IF(E2939&lt;=12,3,IF(E2939&lt;=15,2,0))))))</f>
        <v/>
      </c>
      <c r="G2939" s="5" t="n"/>
      <c r="H2939" s="4">
        <f>IF(OR(F2939="",G2939=""),"",F2939*G2939+IF(J2939="",0,J2939))</f>
        <v/>
      </c>
      <c r="I2939" s="5" t="n"/>
      <c r="J2939" s="5" t="n"/>
    </row>
    <row r="2940">
      <c r="A2940" s="5" t="n"/>
      <c r="B2940" s="5" t="n"/>
      <c r="C2940" s="5" t="n"/>
      <c r="D2940" s="5" t="n"/>
      <c r="E2940" s="4">
        <f>IF(C2940="","",COUNTIF($C$7:C2940,C2940))</f>
        <v/>
      </c>
      <c r="F2940" s="4">
        <f>IF(E2940="","",IF(E2940&lt;=3,6,IF(E2940&lt;=6,5,IF(E2940&lt;=9,4,IF(E2940&lt;=12,3,IF(E2940&lt;=15,2,0))))))</f>
        <v/>
      </c>
      <c r="G2940" s="5" t="n"/>
      <c r="H2940" s="4">
        <f>IF(OR(F2940="",G2940=""),"",F2940*G2940+IF(J2940="",0,J2940))</f>
        <v/>
      </c>
      <c r="I2940" s="5" t="n"/>
      <c r="J2940" s="5" t="n"/>
    </row>
    <row r="2941">
      <c r="A2941" s="5" t="n"/>
      <c r="B2941" s="5" t="n"/>
      <c r="C2941" s="5" t="n"/>
      <c r="D2941" s="5" t="n"/>
      <c r="E2941" s="4">
        <f>IF(C2941="","",COUNTIF($C$7:C2941,C2941))</f>
        <v/>
      </c>
      <c r="F2941" s="4">
        <f>IF(E2941="","",IF(E2941&lt;=3,6,IF(E2941&lt;=6,5,IF(E2941&lt;=9,4,IF(E2941&lt;=12,3,IF(E2941&lt;=15,2,0))))))</f>
        <v/>
      </c>
      <c r="G2941" s="5" t="n"/>
      <c r="H2941" s="4">
        <f>IF(OR(F2941="",G2941=""),"",F2941*G2941+IF(J2941="",0,J2941))</f>
        <v/>
      </c>
      <c r="I2941" s="5" t="n"/>
      <c r="J2941" s="5" t="n"/>
    </row>
    <row r="2942">
      <c r="A2942" s="5" t="n"/>
      <c r="B2942" s="5" t="n"/>
      <c r="C2942" s="5" t="n"/>
      <c r="D2942" s="5" t="n"/>
      <c r="E2942" s="4">
        <f>IF(C2942="","",COUNTIF($C$7:C2942,C2942))</f>
        <v/>
      </c>
      <c r="F2942" s="4">
        <f>IF(E2942="","",IF(E2942&lt;=3,6,IF(E2942&lt;=6,5,IF(E2942&lt;=9,4,IF(E2942&lt;=12,3,IF(E2942&lt;=15,2,0))))))</f>
        <v/>
      </c>
      <c r="G2942" s="5" t="n"/>
      <c r="H2942" s="4">
        <f>IF(OR(F2942="",G2942=""),"",F2942*G2942+IF(J2942="",0,J2942))</f>
        <v/>
      </c>
      <c r="I2942" s="5" t="n"/>
      <c r="J2942" s="5" t="n"/>
    </row>
    <row r="2943">
      <c r="A2943" s="5" t="n"/>
      <c r="B2943" s="5" t="n"/>
      <c r="C2943" s="5" t="n"/>
      <c r="D2943" s="5" t="n"/>
      <c r="E2943" s="4">
        <f>IF(C2943="","",COUNTIF($C$7:C2943,C2943))</f>
        <v/>
      </c>
      <c r="F2943" s="4">
        <f>IF(E2943="","",IF(E2943&lt;=3,6,IF(E2943&lt;=6,5,IF(E2943&lt;=9,4,IF(E2943&lt;=12,3,IF(E2943&lt;=15,2,0))))))</f>
        <v/>
      </c>
      <c r="G2943" s="5" t="n"/>
      <c r="H2943" s="4">
        <f>IF(OR(F2943="",G2943=""),"",F2943*G2943+IF(J2943="",0,J2943))</f>
        <v/>
      </c>
      <c r="I2943" s="5" t="n"/>
      <c r="J2943" s="5" t="n"/>
    </row>
    <row r="2944">
      <c r="A2944" s="5" t="n"/>
      <c r="B2944" s="5" t="n"/>
      <c r="C2944" s="5" t="n"/>
      <c r="D2944" s="5" t="n"/>
      <c r="E2944" s="4">
        <f>IF(C2944="","",COUNTIF($C$7:C2944,C2944))</f>
        <v/>
      </c>
      <c r="F2944" s="4">
        <f>IF(E2944="","",IF(E2944&lt;=3,6,IF(E2944&lt;=6,5,IF(E2944&lt;=9,4,IF(E2944&lt;=12,3,IF(E2944&lt;=15,2,0))))))</f>
        <v/>
      </c>
      <c r="G2944" s="5" t="n"/>
      <c r="H2944" s="4">
        <f>IF(OR(F2944="",G2944=""),"",F2944*G2944+IF(J2944="",0,J2944))</f>
        <v/>
      </c>
      <c r="I2944" s="5" t="n"/>
      <c r="J2944" s="5" t="n"/>
    </row>
    <row r="2945">
      <c r="A2945" s="5" t="n"/>
      <c r="B2945" s="5" t="n"/>
      <c r="C2945" s="5" t="n"/>
      <c r="D2945" s="5" t="n"/>
      <c r="E2945" s="4">
        <f>IF(C2945="","",COUNTIF($C$7:C2945,C2945))</f>
        <v/>
      </c>
      <c r="F2945" s="4">
        <f>IF(E2945="","",IF(E2945&lt;=3,6,IF(E2945&lt;=6,5,IF(E2945&lt;=9,4,IF(E2945&lt;=12,3,IF(E2945&lt;=15,2,0))))))</f>
        <v/>
      </c>
      <c r="G2945" s="5" t="n"/>
      <c r="H2945" s="4">
        <f>IF(OR(F2945="",G2945=""),"",F2945*G2945+IF(J2945="",0,J2945))</f>
        <v/>
      </c>
      <c r="I2945" s="5" t="n"/>
      <c r="J2945" s="5" t="n"/>
    </row>
    <row r="2946">
      <c r="A2946" s="5" t="n"/>
      <c r="B2946" s="5" t="n"/>
      <c r="C2946" s="5" t="n"/>
      <c r="D2946" s="5" t="n"/>
      <c r="E2946" s="4">
        <f>IF(C2946="","",COUNTIF($C$7:C2946,C2946))</f>
        <v/>
      </c>
      <c r="F2946" s="4">
        <f>IF(E2946="","",IF(E2946&lt;=3,6,IF(E2946&lt;=6,5,IF(E2946&lt;=9,4,IF(E2946&lt;=12,3,IF(E2946&lt;=15,2,0))))))</f>
        <v/>
      </c>
      <c r="G2946" s="5" t="n"/>
      <c r="H2946" s="4">
        <f>IF(OR(F2946="",G2946=""),"",F2946*G2946+IF(J2946="",0,J2946))</f>
        <v/>
      </c>
      <c r="I2946" s="5" t="n"/>
      <c r="J2946" s="5" t="n"/>
    </row>
    <row r="2947">
      <c r="A2947" s="5" t="n"/>
      <c r="B2947" s="5" t="n"/>
      <c r="C2947" s="5" t="n"/>
      <c r="D2947" s="5" t="n"/>
      <c r="E2947" s="4">
        <f>IF(C2947="","",COUNTIF($C$7:C2947,C2947))</f>
        <v/>
      </c>
      <c r="F2947" s="4">
        <f>IF(E2947="","",IF(E2947&lt;=3,6,IF(E2947&lt;=6,5,IF(E2947&lt;=9,4,IF(E2947&lt;=12,3,IF(E2947&lt;=15,2,0))))))</f>
        <v/>
      </c>
      <c r="G2947" s="5" t="n"/>
      <c r="H2947" s="4">
        <f>IF(OR(F2947="",G2947=""),"",F2947*G2947+IF(J2947="",0,J2947))</f>
        <v/>
      </c>
      <c r="I2947" s="5" t="n"/>
      <c r="J2947" s="5" t="n"/>
    </row>
    <row r="2948">
      <c r="A2948" s="5" t="n"/>
      <c r="B2948" s="5" t="n"/>
      <c r="C2948" s="5" t="n"/>
      <c r="D2948" s="5" t="n"/>
      <c r="E2948" s="4">
        <f>IF(C2948="","",COUNTIF($C$7:C2948,C2948))</f>
        <v/>
      </c>
      <c r="F2948" s="4">
        <f>IF(E2948="","",IF(E2948&lt;=3,6,IF(E2948&lt;=6,5,IF(E2948&lt;=9,4,IF(E2948&lt;=12,3,IF(E2948&lt;=15,2,0))))))</f>
        <v/>
      </c>
      <c r="G2948" s="5" t="n"/>
      <c r="H2948" s="4">
        <f>IF(OR(F2948="",G2948=""),"",F2948*G2948+IF(J2948="",0,J2948))</f>
        <v/>
      </c>
      <c r="I2948" s="5" t="n"/>
      <c r="J2948" s="5" t="n"/>
    </row>
    <row r="2949">
      <c r="A2949" s="5" t="n"/>
      <c r="B2949" s="5" t="n"/>
      <c r="C2949" s="5" t="n"/>
      <c r="D2949" s="5" t="n"/>
      <c r="E2949" s="4">
        <f>IF(C2949="","",COUNTIF($C$7:C2949,C2949))</f>
        <v/>
      </c>
      <c r="F2949" s="4">
        <f>IF(E2949="","",IF(E2949&lt;=3,6,IF(E2949&lt;=6,5,IF(E2949&lt;=9,4,IF(E2949&lt;=12,3,IF(E2949&lt;=15,2,0))))))</f>
        <v/>
      </c>
      <c r="G2949" s="5" t="n"/>
      <c r="H2949" s="4">
        <f>IF(OR(F2949="",G2949=""),"",F2949*G2949+IF(J2949="",0,J2949))</f>
        <v/>
      </c>
      <c r="I2949" s="5" t="n"/>
      <c r="J2949" s="5" t="n"/>
    </row>
    <row r="2950">
      <c r="A2950" s="5" t="n"/>
      <c r="B2950" s="5" t="n"/>
      <c r="C2950" s="5" t="n"/>
      <c r="D2950" s="5" t="n"/>
      <c r="E2950" s="4">
        <f>IF(C2950="","",COUNTIF($C$7:C2950,C2950))</f>
        <v/>
      </c>
      <c r="F2950" s="4">
        <f>IF(E2950="","",IF(E2950&lt;=3,6,IF(E2950&lt;=6,5,IF(E2950&lt;=9,4,IF(E2950&lt;=12,3,IF(E2950&lt;=15,2,0))))))</f>
        <v/>
      </c>
      <c r="G2950" s="5" t="n"/>
      <c r="H2950" s="4">
        <f>IF(OR(F2950="",G2950=""),"",F2950*G2950+IF(J2950="",0,J2950))</f>
        <v/>
      </c>
      <c r="I2950" s="5" t="n"/>
      <c r="J2950" s="5" t="n"/>
    </row>
    <row r="2951">
      <c r="A2951" s="5" t="n"/>
      <c r="B2951" s="5" t="n"/>
      <c r="C2951" s="5" t="n"/>
      <c r="D2951" s="5" t="n"/>
      <c r="E2951" s="4">
        <f>IF(C2951="","",COUNTIF($C$7:C2951,C2951))</f>
        <v/>
      </c>
      <c r="F2951" s="4">
        <f>IF(E2951="","",IF(E2951&lt;=3,6,IF(E2951&lt;=6,5,IF(E2951&lt;=9,4,IF(E2951&lt;=12,3,IF(E2951&lt;=15,2,0))))))</f>
        <v/>
      </c>
      <c r="G2951" s="5" t="n"/>
      <c r="H2951" s="4">
        <f>IF(OR(F2951="",G2951=""),"",F2951*G2951+IF(J2951="",0,J2951))</f>
        <v/>
      </c>
      <c r="I2951" s="5" t="n"/>
      <c r="J2951" s="5" t="n"/>
    </row>
    <row r="2952">
      <c r="A2952" s="5" t="n"/>
      <c r="B2952" s="5" t="n"/>
      <c r="C2952" s="5" t="n"/>
      <c r="D2952" s="5" t="n"/>
      <c r="E2952" s="4">
        <f>IF(C2952="","",COUNTIF($C$7:C2952,C2952))</f>
        <v/>
      </c>
      <c r="F2952" s="4">
        <f>IF(E2952="","",IF(E2952&lt;=3,6,IF(E2952&lt;=6,5,IF(E2952&lt;=9,4,IF(E2952&lt;=12,3,IF(E2952&lt;=15,2,0))))))</f>
        <v/>
      </c>
      <c r="G2952" s="5" t="n"/>
      <c r="H2952" s="4">
        <f>IF(OR(F2952="",G2952=""),"",F2952*G2952+IF(J2952="",0,J2952))</f>
        <v/>
      </c>
      <c r="I2952" s="5" t="n"/>
      <c r="J2952" s="5" t="n"/>
    </row>
    <row r="2953">
      <c r="A2953" s="5" t="n"/>
      <c r="B2953" s="5" t="n"/>
      <c r="C2953" s="5" t="n"/>
      <c r="D2953" s="5" t="n"/>
      <c r="E2953" s="4">
        <f>IF(C2953="","",COUNTIF($C$7:C2953,C2953))</f>
        <v/>
      </c>
      <c r="F2953" s="4">
        <f>IF(E2953="","",IF(E2953&lt;=3,6,IF(E2953&lt;=6,5,IF(E2953&lt;=9,4,IF(E2953&lt;=12,3,IF(E2953&lt;=15,2,0))))))</f>
        <v/>
      </c>
      <c r="G2953" s="5" t="n"/>
      <c r="H2953" s="4">
        <f>IF(OR(F2953="",G2953=""),"",F2953*G2953+IF(J2953="",0,J2953))</f>
        <v/>
      </c>
      <c r="I2953" s="5" t="n"/>
      <c r="J2953" s="5" t="n"/>
    </row>
    <row r="2954">
      <c r="A2954" s="5" t="n"/>
      <c r="B2954" s="5" t="n"/>
      <c r="C2954" s="5" t="n"/>
      <c r="D2954" s="5" t="n"/>
      <c r="E2954" s="4">
        <f>IF(C2954="","",COUNTIF($C$7:C2954,C2954))</f>
        <v/>
      </c>
      <c r="F2954" s="4">
        <f>IF(E2954="","",IF(E2954&lt;=3,6,IF(E2954&lt;=6,5,IF(E2954&lt;=9,4,IF(E2954&lt;=12,3,IF(E2954&lt;=15,2,0))))))</f>
        <v/>
      </c>
      <c r="G2954" s="5" t="n"/>
      <c r="H2954" s="4">
        <f>IF(OR(F2954="",G2954=""),"",F2954*G2954+IF(J2954="",0,J2954))</f>
        <v/>
      </c>
      <c r="I2954" s="5" t="n"/>
      <c r="J2954" s="5" t="n"/>
    </row>
    <row r="2955">
      <c r="A2955" s="5" t="n"/>
      <c r="B2955" s="5" t="n"/>
      <c r="C2955" s="5" t="n"/>
      <c r="D2955" s="5" t="n"/>
      <c r="E2955" s="4">
        <f>IF(C2955="","",COUNTIF($C$7:C2955,C2955))</f>
        <v/>
      </c>
      <c r="F2955" s="4">
        <f>IF(E2955="","",IF(E2955&lt;=3,6,IF(E2955&lt;=6,5,IF(E2955&lt;=9,4,IF(E2955&lt;=12,3,IF(E2955&lt;=15,2,0))))))</f>
        <v/>
      </c>
      <c r="G2955" s="5" t="n"/>
      <c r="H2955" s="4">
        <f>IF(OR(F2955="",G2955=""),"",F2955*G2955+IF(J2955="",0,J2955))</f>
        <v/>
      </c>
      <c r="I2955" s="5" t="n"/>
      <c r="J2955" s="5" t="n"/>
    </row>
    <row r="2956">
      <c r="A2956" s="5" t="n"/>
      <c r="B2956" s="5" t="n"/>
      <c r="C2956" s="5" t="n"/>
      <c r="D2956" s="5" t="n"/>
      <c r="E2956" s="4">
        <f>IF(C2956="","",COUNTIF($C$7:C2956,C2956))</f>
        <v/>
      </c>
      <c r="F2956" s="4">
        <f>IF(E2956="","",IF(E2956&lt;=3,6,IF(E2956&lt;=6,5,IF(E2956&lt;=9,4,IF(E2956&lt;=12,3,IF(E2956&lt;=15,2,0))))))</f>
        <v/>
      </c>
      <c r="G2956" s="5" t="n"/>
      <c r="H2956" s="4">
        <f>IF(OR(F2956="",G2956=""),"",F2956*G2956+IF(J2956="",0,J2956))</f>
        <v/>
      </c>
      <c r="I2956" s="5" t="n"/>
      <c r="J2956" s="5" t="n"/>
    </row>
    <row r="2957">
      <c r="A2957" s="5" t="n"/>
      <c r="B2957" s="5" t="n"/>
      <c r="C2957" s="5" t="n"/>
      <c r="D2957" s="5" t="n"/>
      <c r="E2957" s="4">
        <f>IF(C2957="","",COUNTIF($C$7:C2957,C2957))</f>
        <v/>
      </c>
      <c r="F2957" s="4">
        <f>IF(E2957="","",IF(E2957&lt;=3,6,IF(E2957&lt;=6,5,IF(E2957&lt;=9,4,IF(E2957&lt;=12,3,IF(E2957&lt;=15,2,0))))))</f>
        <v/>
      </c>
      <c r="G2957" s="5" t="n"/>
      <c r="H2957" s="4">
        <f>IF(OR(F2957="",G2957=""),"",F2957*G2957+IF(J2957="",0,J2957))</f>
        <v/>
      </c>
      <c r="I2957" s="5" t="n"/>
      <c r="J2957" s="5" t="n"/>
    </row>
    <row r="2958">
      <c r="A2958" s="5" t="n"/>
      <c r="B2958" s="5" t="n"/>
      <c r="C2958" s="5" t="n"/>
      <c r="D2958" s="5" t="n"/>
      <c r="E2958" s="4">
        <f>IF(C2958="","",COUNTIF($C$7:C2958,C2958))</f>
        <v/>
      </c>
      <c r="F2958" s="4">
        <f>IF(E2958="","",IF(E2958&lt;=3,6,IF(E2958&lt;=6,5,IF(E2958&lt;=9,4,IF(E2958&lt;=12,3,IF(E2958&lt;=15,2,0))))))</f>
        <v/>
      </c>
      <c r="G2958" s="5" t="n"/>
      <c r="H2958" s="4">
        <f>IF(OR(F2958="",G2958=""),"",F2958*G2958+IF(J2958="",0,J2958))</f>
        <v/>
      </c>
      <c r="I2958" s="5" t="n"/>
      <c r="J2958" s="5" t="n"/>
    </row>
    <row r="2959">
      <c r="A2959" s="5" t="n"/>
      <c r="B2959" s="5" t="n"/>
      <c r="C2959" s="5" t="n"/>
      <c r="D2959" s="5" t="n"/>
      <c r="E2959" s="4">
        <f>IF(C2959="","",COUNTIF($C$7:C2959,C2959))</f>
        <v/>
      </c>
      <c r="F2959" s="4">
        <f>IF(E2959="","",IF(E2959&lt;=3,6,IF(E2959&lt;=6,5,IF(E2959&lt;=9,4,IF(E2959&lt;=12,3,IF(E2959&lt;=15,2,0))))))</f>
        <v/>
      </c>
      <c r="G2959" s="5" t="n"/>
      <c r="H2959" s="4">
        <f>IF(OR(F2959="",G2959=""),"",F2959*G2959+IF(J2959="",0,J2959))</f>
        <v/>
      </c>
      <c r="I2959" s="5" t="n"/>
      <c r="J2959" s="5" t="n"/>
    </row>
    <row r="2960">
      <c r="A2960" s="5" t="n"/>
      <c r="B2960" s="5" t="n"/>
      <c r="C2960" s="5" t="n"/>
      <c r="D2960" s="5" t="n"/>
      <c r="E2960" s="4">
        <f>IF(C2960="","",COUNTIF($C$7:C2960,C2960))</f>
        <v/>
      </c>
      <c r="F2960" s="4">
        <f>IF(E2960="","",IF(E2960&lt;=3,6,IF(E2960&lt;=6,5,IF(E2960&lt;=9,4,IF(E2960&lt;=12,3,IF(E2960&lt;=15,2,0))))))</f>
        <v/>
      </c>
      <c r="G2960" s="5" t="n"/>
      <c r="H2960" s="4">
        <f>IF(OR(F2960="",G2960=""),"",F2960*G2960+IF(J2960="",0,J2960))</f>
        <v/>
      </c>
      <c r="I2960" s="5" t="n"/>
      <c r="J2960" s="5" t="n"/>
    </row>
    <row r="2961">
      <c r="A2961" s="5" t="n"/>
      <c r="B2961" s="5" t="n"/>
      <c r="C2961" s="5" t="n"/>
      <c r="D2961" s="5" t="n"/>
      <c r="E2961" s="4">
        <f>IF(C2961="","",COUNTIF($C$7:C2961,C2961))</f>
        <v/>
      </c>
      <c r="F2961" s="4">
        <f>IF(E2961="","",IF(E2961&lt;=3,6,IF(E2961&lt;=6,5,IF(E2961&lt;=9,4,IF(E2961&lt;=12,3,IF(E2961&lt;=15,2,0))))))</f>
        <v/>
      </c>
      <c r="G2961" s="5" t="n"/>
      <c r="H2961" s="4">
        <f>IF(OR(F2961="",G2961=""),"",F2961*G2961+IF(J2961="",0,J2961))</f>
        <v/>
      </c>
      <c r="I2961" s="5" t="n"/>
      <c r="J2961" s="5" t="n"/>
    </row>
    <row r="2962">
      <c r="A2962" s="5" t="n"/>
      <c r="B2962" s="5" t="n"/>
      <c r="C2962" s="5" t="n"/>
      <c r="D2962" s="5" t="n"/>
      <c r="E2962" s="4">
        <f>IF(C2962="","",COUNTIF($C$7:C2962,C2962))</f>
        <v/>
      </c>
      <c r="F2962" s="4">
        <f>IF(E2962="","",IF(E2962&lt;=3,6,IF(E2962&lt;=6,5,IF(E2962&lt;=9,4,IF(E2962&lt;=12,3,IF(E2962&lt;=15,2,0))))))</f>
        <v/>
      </c>
      <c r="G2962" s="5" t="n"/>
      <c r="H2962" s="4">
        <f>IF(OR(F2962="",G2962=""),"",F2962*G2962+IF(J2962="",0,J2962))</f>
        <v/>
      </c>
      <c r="I2962" s="5" t="n"/>
      <c r="J2962" s="5" t="n"/>
    </row>
    <row r="2963">
      <c r="A2963" s="5" t="n"/>
      <c r="B2963" s="5" t="n"/>
      <c r="C2963" s="5" t="n"/>
      <c r="D2963" s="5" t="n"/>
      <c r="E2963" s="4">
        <f>IF(C2963="","",COUNTIF($C$7:C2963,C2963))</f>
        <v/>
      </c>
      <c r="F2963" s="4">
        <f>IF(E2963="","",IF(E2963&lt;=3,6,IF(E2963&lt;=6,5,IF(E2963&lt;=9,4,IF(E2963&lt;=12,3,IF(E2963&lt;=15,2,0))))))</f>
        <v/>
      </c>
      <c r="G2963" s="5" t="n"/>
      <c r="H2963" s="4">
        <f>IF(OR(F2963="",G2963=""),"",F2963*G2963+IF(J2963="",0,J2963))</f>
        <v/>
      </c>
      <c r="I2963" s="5" t="n"/>
      <c r="J2963" s="5" t="n"/>
    </row>
    <row r="2964">
      <c r="A2964" s="5" t="n"/>
      <c r="B2964" s="5" t="n"/>
      <c r="C2964" s="5" t="n"/>
      <c r="D2964" s="5" t="n"/>
      <c r="E2964" s="4">
        <f>IF(C2964="","",COUNTIF($C$7:C2964,C2964))</f>
        <v/>
      </c>
      <c r="F2964" s="4">
        <f>IF(E2964="","",IF(E2964&lt;=3,6,IF(E2964&lt;=6,5,IF(E2964&lt;=9,4,IF(E2964&lt;=12,3,IF(E2964&lt;=15,2,0))))))</f>
        <v/>
      </c>
      <c r="G2964" s="5" t="n"/>
      <c r="H2964" s="4">
        <f>IF(OR(F2964="",G2964=""),"",F2964*G2964+IF(J2964="",0,J2964))</f>
        <v/>
      </c>
      <c r="I2964" s="5" t="n"/>
      <c r="J2964" s="5" t="n"/>
    </row>
    <row r="2965">
      <c r="A2965" s="5" t="n"/>
      <c r="B2965" s="5" t="n"/>
      <c r="C2965" s="5" t="n"/>
      <c r="D2965" s="5" t="n"/>
      <c r="E2965" s="4">
        <f>IF(C2965="","",COUNTIF($C$7:C2965,C2965))</f>
        <v/>
      </c>
      <c r="F2965" s="4">
        <f>IF(E2965="","",IF(E2965&lt;=3,6,IF(E2965&lt;=6,5,IF(E2965&lt;=9,4,IF(E2965&lt;=12,3,IF(E2965&lt;=15,2,0))))))</f>
        <v/>
      </c>
      <c r="G2965" s="5" t="n"/>
      <c r="H2965" s="4">
        <f>IF(OR(F2965="",G2965=""),"",F2965*G2965+IF(J2965="",0,J2965))</f>
        <v/>
      </c>
      <c r="I2965" s="5" t="n"/>
      <c r="J2965" s="5" t="n"/>
    </row>
    <row r="2966">
      <c r="A2966" s="5" t="n"/>
      <c r="B2966" s="5" t="n"/>
      <c r="C2966" s="5" t="n"/>
      <c r="D2966" s="5" t="n"/>
      <c r="E2966" s="4">
        <f>IF(C2966="","",COUNTIF($C$7:C2966,C2966))</f>
        <v/>
      </c>
      <c r="F2966" s="4">
        <f>IF(E2966="","",IF(E2966&lt;=3,6,IF(E2966&lt;=6,5,IF(E2966&lt;=9,4,IF(E2966&lt;=12,3,IF(E2966&lt;=15,2,0))))))</f>
        <v/>
      </c>
      <c r="G2966" s="5" t="n"/>
      <c r="H2966" s="4">
        <f>IF(OR(F2966="",G2966=""),"",F2966*G2966+IF(J2966="",0,J2966))</f>
        <v/>
      </c>
      <c r="I2966" s="5" t="n"/>
      <c r="J2966" s="5" t="n"/>
    </row>
    <row r="2967">
      <c r="A2967" s="5" t="n"/>
      <c r="B2967" s="5" t="n"/>
      <c r="C2967" s="5" t="n"/>
      <c r="D2967" s="5" t="n"/>
      <c r="E2967" s="4">
        <f>IF(C2967="","",COUNTIF($C$7:C2967,C2967))</f>
        <v/>
      </c>
      <c r="F2967" s="4">
        <f>IF(E2967="","",IF(E2967&lt;=3,6,IF(E2967&lt;=6,5,IF(E2967&lt;=9,4,IF(E2967&lt;=12,3,IF(E2967&lt;=15,2,0))))))</f>
        <v/>
      </c>
      <c r="G2967" s="5" t="n"/>
      <c r="H2967" s="4">
        <f>IF(OR(F2967="",G2967=""),"",F2967*G2967+IF(J2967="",0,J2967))</f>
        <v/>
      </c>
      <c r="I2967" s="5" t="n"/>
      <c r="J2967" s="5" t="n"/>
    </row>
    <row r="2968">
      <c r="A2968" s="5" t="n"/>
      <c r="B2968" s="5" t="n"/>
      <c r="C2968" s="5" t="n"/>
      <c r="D2968" s="5" t="n"/>
      <c r="E2968" s="4">
        <f>IF(C2968="","",COUNTIF($C$7:C2968,C2968))</f>
        <v/>
      </c>
      <c r="F2968" s="4">
        <f>IF(E2968="","",IF(E2968&lt;=3,6,IF(E2968&lt;=6,5,IF(E2968&lt;=9,4,IF(E2968&lt;=12,3,IF(E2968&lt;=15,2,0))))))</f>
        <v/>
      </c>
      <c r="G2968" s="5" t="n"/>
      <c r="H2968" s="4">
        <f>IF(OR(F2968="",G2968=""),"",F2968*G2968+IF(J2968="",0,J2968))</f>
        <v/>
      </c>
      <c r="I2968" s="5" t="n"/>
      <c r="J2968" s="5" t="n"/>
    </row>
    <row r="2969">
      <c r="A2969" s="5" t="n"/>
      <c r="B2969" s="5" t="n"/>
      <c r="C2969" s="5" t="n"/>
      <c r="D2969" s="5" t="n"/>
      <c r="E2969" s="4">
        <f>IF(C2969="","",COUNTIF($C$7:C2969,C2969))</f>
        <v/>
      </c>
      <c r="F2969" s="4">
        <f>IF(E2969="","",IF(E2969&lt;=3,6,IF(E2969&lt;=6,5,IF(E2969&lt;=9,4,IF(E2969&lt;=12,3,IF(E2969&lt;=15,2,0))))))</f>
        <v/>
      </c>
      <c r="G2969" s="5" t="n"/>
      <c r="H2969" s="4">
        <f>IF(OR(F2969="",G2969=""),"",F2969*G2969+IF(J2969="",0,J2969))</f>
        <v/>
      </c>
      <c r="I2969" s="5" t="n"/>
      <c r="J2969" s="5" t="n"/>
    </row>
    <row r="2970">
      <c r="A2970" s="5" t="n"/>
      <c r="B2970" s="5" t="n"/>
      <c r="C2970" s="5" t="n"/>
      <c r="D2970" s="5" t="n"/>
      <c r="E2970" s="4">
        <f>IF(C2970="","",COUNTIF($C$7:C2970,C2970))</f>
        <v/>
      </c>
      <c r="F2970" s="4">
        <f>IF(E2970="","",IF(E2970&lt;=3,6,IF(E2970&lt;=6,5,IF(E2970&lt;=9,4,IF(E2970&lt;=12,3,IF(E2970&lt;=15,2,0))))))</f>
        <v/>
      </c>
      <c r="G2970" s="5" t="n"/>
      <c r="H2970" s="4">
        <f>IF(OR(F2970="",G2970=""),"",F2970*G2970+IF(J2970="",0,J2970))</f>
        <v/>
      </c>
      <c r="I2970" s="5" t="n"/>
      <c r="J2970" s="5" t="n"/>
    </row>
    <row r="2971">
      <c r="A2971" s="5" t="n"/>
      <c r="B2971" s="5" t="n"/>
      <c r="C2971" s="5" t="n"/>
      <c r="D2971" s="5" t="n"/>
      <c r="E2971" s="4">
        <f>IF(C2971="","",COUNTIF($C$7:C2971,C2971))</f>
        <v/>
      </c>
      <c r="F2971" s="4">
        <f>IF(E2971="","",IF(E2971&lt;=3,6,IF(E2971&lt;=6,5,IF(E2971&lt;=9,4,IF(E2971&lt;=12,3,IF(E2971&lt;=15,2,0))))))</f>
        <v/>
      </c>
      <c r="G2971" s="5" t="n"/>
      <c r="H2971" s="4">
        <f>IF(OR(F2971="",G2971=""),"",F2971*G2971+IF(J2971="",0,J2971))</f>
        <v/>
      </c>
      <c r="I2971" s="5" t="n"/>
      <c r="J2971" s="5" t="n"/>
    </row>
    <row r="2972">
      <c r="A2972" s="5" t="n"/>
      <c r="B2972" s="5" t="n"/>
      <c r="C2972" s="5" t="n"/>
      <c r="D2972" s="5" t="n"/>
      <c r="E2972" s="4">
        <f>IF(C2972="","",COUNTIF($C$7:C2972,C2972))</f>
        <v/>
      </c>
      <c r="F2972" s="4">
        <f>IF(E2972="","",IF(E2972&lt;=3,6,IF(E2972&lt;=6,5,IF(E2972&lt;=9,4,IF(E2972&lt;=12,3,IF(E2972&lt;=15,2,0))))))</f>
        <v/>
      </c>
      <c r="G2972" s="5" t="n"/>
      <c r="H2972" s="4">
        <f>IF(OR(F2972="",G2972=""),"",F2972*G2972+IF(J2972="",0,J2972))</f>
        <v/>
      </c>
      <c r="I2972" s="5" t="n"/>
      <c r="J2972" s="5" t="n"/>
    </row>
    <row r="2973">
      <c r="A2973" s="5" t="n"/>
      <c r="B2973" s="5" t="n"/>
      <c r="C2973" s="5" t="n"/>
      <c r="D2973" s="5" t="n"/>
      <c r="E2973" s="4">
        <f>IF(C2973="","",COUNTIF($C$7:C2973,C2973))</f>
        <v/>
      </c>
      <c r="F2973" s="4">
        <f>IF(E2973="","",IF(E2973&lt;=3,6,IF(E2973&lt;=6,5,IF(E2973&lt;=9,4,IF(E2973&lt;=12,3,IF(E2973&lt;=15,2,0))))))</f>
        <v/>
      </c>
      <c r="G2973" s="5" t="n"/>
      <c r="H2973" s="4">
        <f>IF(OR(F2973="",G2973=""),"",F2973*G2973+IF(J2973="",0,J2973))</f>
        <v/>
      </c>
      <c r="I2973" s="5" t="n"/>
      <c r="J2973" s="5" t="n"/>
    </row>
    <row r="2974">
      <c r="A2974" s="5" t="n"/>
      <c r="B2974" s="5" t="n"/>
      <c r="C2974" s="5" t="n"/>
      <c r="D2974" s="5" t="n"/>
      <c r="E2974" s="4">
        <f>IF(C2974="","",COUNTIF($C$7:C2974,C2974))</f>
        <v/>
      </c>
      <c r="F2974" s="4">
        <f>IF(E2974="","",IF(E2974&lt;=3,6,IF(E2974&lt;=6,5,IF(E2974&lt;=9,4,IF(E2974&lt;=12,3,IF(E2974&lt;=15,2,0))))))</f>
        <v/>
      </c>
      <c r="G2974" s="5" t="n"/>
      <c r="H2974" s="4">
        <f>IF(OR(F2974="",G2974=""),"",F2974*G2974+IF(J2974="",0,J2974))</f>
        <v/>
      </c>
      <c r="I2974" s="5" t="n"/>
      <c r="J2974" s="5" t="n"/>
    </row>
    <row r="2975">
      <c r="A2975" s="5" t="n"/>
      <c r="B2975" s="5" t="n"/>
      <c r="C2975" s="5" t="n"/>
      <c r="D2975" s="5" t="n"/>
      <c r="E2975" s="4">
        <f>IF(C2975="","",COUNTIF($C$7:C2975,C2975))</f>
        <v/>
      </c>
      <c r="F2975" s="4">
        <f>IF(E2975="","",IF(E2975&lt;=3,6,IF(E2975&lt;=6,5,IF(E2975&lt;=9,4,IF(E2975&lt;=12,3,IF(E2975&lt;=15,2,0))))))</f>
        <v/>
      </c>
      <c r="G2975" s="5" t="n"/>
      <c r="H2975" s="4">
        <f>IF(OR(F2975="",G2975=""),"",F2975*G2975+IF(J2975="",0,J2975))</f>
        <v/>
      </c>
      <c r="I2975" s="5" t="n"/>
      <c r="J2975" s="5" t="n"/>
    </row>
    <row r="2976">
      <c r="A2976" s="5" t="n"/>
      <c r="B2976" s="5" t="n"/>
      <c r="C2976" s="5" t="n"/>
      <c r="D2976" s="5" t="n"/>
      <c r="E2976" s="4">
        <f>IF(C2976="","",COUNTIF($C$7:C2976,C2976))</f>
        <v/>
      </c>
      <c r="F2976" s="4">
        <f>IF(E2976="","",IF(E2976&lt;=3,6,IF(E2976&lt;=6,5,IF(E2976&lt;=9,4,IF(E2976&lt;=12,3,IF(E2976&lt;=15,2,0))))))</f>
        <v/>
      </c>
      <c r="G2976" s="5" t="n"/>
      <c r="H2976" s="4">
        <f>IF(OR(F2976="",G2976=""),"",F2976*G2976+IF(J2976="",0,J2976))</f>
        <v/>
      </c>
      <c r="I2976" s="5" t="n"/>
      <c r="J2976" s="5" t="n"/>
    </row>
    <row r="2977">
      <c r="A2977" s="5" t="n"/>
      <c r="B2977" s="5" t="n"/>
      <c r="C2977" s="5" t="n"/>
      <c r="D2977" s="5" t="n"/>
      <c r="E2977" s="4">
        <f>IF(C2977="","",COUNTIF($C$7:C2977,C2977))</f>
        <v/>
      </c>
      <c r="F2977" s="4">
        <f>IF(E2977="","",IF(E2977&lt;=3,6,IF(E2977&lt;=6,5,IF(E2977&lt;=9,4,IF(E2977&lt;=12,3,IF(E2977&lt;=15,2,0))))))</f>
        <v/>
      </c>
      <c r="G2977" s="5" t="n"/>
      <c r="H2977" s="4">
        <f>IF(OR(F2977="",G2977=""),"",F2977*G2977+IF(J2977="",0,J2977))</f>
        <v/>
      </c>
      <c r="I2977" s="5" t="n"/>
      <c r="J2977" s="5" t="n"/>
    </row>
    <row r="2978">
      <c r="A2978" s="5" t="n"/>
      <c r="B2978" s="5" t="n"/>
      <c r="C2978" s="5" t="n"/>
      <c r="D2978" s="5" t="n"/>
      <c r="E2978" s="4">
        <f>IF(C2978="","",COUNTIF($C$7:C2978,C2978))</f>
        <v/>
      </c>
      <c r="F2978" s="4">
        <f>IF(E2978="","",IF(E2978&lt;=3,6,IF(E2978&lt;=6,5,IF(E2978&lt;=9,4,IF(E2978&lt;=12,3,IF(E2978&lt;=15,2,0))))))</f>
        <v/>
      </c>
      <c r="G2978" s="5" t="n"/>
      <c r="H2978" s="4">
        <f>IF(OR(F2978="",G2978=""),"",F2978*G2978+IF(J2978="",0,J2978))</f>
        <v/>
      </c>
      <c r="I2978" s="5" t="n"/>
      <c r="J2978" s="5" t="n"/>
    </row>
    <row r="2979">
      <c r="A2979" s="5" t="n"/>
      <c r="B2979" s="5" t="n"/>
      <c r="C2979" s="5" t="n"/>
      <c r="D2979" s="5" t="n"/>
      <c r="E2979" s="4">
        <f>IF(C2979="","",COUNTIF($C$7:C2979,C2979))</f>
        <v/>
      </c>
      <c r="F2979" s="4">
        <f>IF(E2979="","",IF(E2979&lt;=3,6,IF(E2979&lt;=6,5,IF(E2979&lt;=9,4,IF(E2979&lt;=12,3,IF(E2979&lt;=15,2,0))))))</f>
        <v/>
      </c>
      <c r="G2979" s="5" t="n"/>
      <c r="H2979" s="4">
        <f>IF(OR(F2979="",G2979=""),"",F2979*G2979+IF(J2979="",0,J2979))</f>
        <v/>
      </c>
      <c r="I2979" s="5" t="n"/>
      <c r="J2979" s="5" t="n"/>
    </row>
    <row r="2980">
      <c r="A2980" s="5" t="n"/>
      <c r="B2980" s="5" t="n"/>
      <c r="C2980" s="5" t="n"/>
      <c r="D2980" s="5" t="n"/>
      <c r="E2980" s="4">
        <f>IF(C2980="","",COUNTIF($C$7:C2980,C2980))</f>
        <v/>
      </c>
      <c r="F2980" s="4">
        <f>IF(E2980="","",IF(E2980&lt;=3,6,IF(E2980&lt;=6,5,IF(E2980&lt;=9,4,IF(E2980&lt;=12,3,IF(E2980&lt;=15,2,0))))))</f>
        <v/>
      </c>
      <c r="G2980" s="5" t="n"/>
      <c r="H2980" s="4">
        <f>IF(OR(F2980="",G2980=""),"",F2980*G2980+IF(J2980="",0,J2980))</f>
        <v/>
      </c>
      <c r="I2980" s="5" t="n"/>
      <c r="J2980" s="5" t="n"/>
    </row>
    <row r="2981">
      <c r="A2981" s="5" t="n"/>
      <c r="B2981" s="5" t="n"/>
      <c r="C2981" s="5" t="n"/>
      <c r="D2981" s="5" t="n"/>
      <c r="E2981" s="4">
        <f>IF(C2981="","",COUNTIF($C$7:C2981,C2981))</f>
        <v/>
      </c>
      <c r="F2981" s="4">
        <f>IF(E2981="","",IF(E2981&lt;=3,6,IF(E2981&lt;=6,5,IF(E2981&lt;=9,4,IF(E2981&lt;=12,3,IF(E2981&lt;=15,2,0))))))</f>
        <v/>
      </c>
      <c r="G2981" s="5" t="n"/>
      <c r="H2981" s="4">
        <f>IF(OR(F2981="",G2981=""),"",F2981*G2981+IF(J2981="",0,J2981))</f>
        <v/>
      </c>
      <c r="I2981" s="5" t="n"/>
      <c r="J2981" s="5" t="n"/>
    </row>
    <row r="2982">
      <c r="A2982" s="5" t="n"/>
      <c r="B2982" s="5" t="n"/>
      <c r="C2982" s="5" t="n"/>
      <c r="D2982" s="5" t="n"/>
      <c r="E2982" s="4">
        <f>IF(C2982="","",COUNTIF($C$7:C2982,C2982))</f>
        <v/>
      </c>
      <c r="F2982" s="4">
        <f>IF(E2982="","",IF(E2982&lt;=3,6,IF(E2982&lt;=6,5,IF(E2982&lt;=9,4,IF(E2982&lt;=12,3,IF(E2982&lt;=15,2,0))))))</f>
        <v/>
      </c>
      <c r="G2982" s="5" t="n"/>
      <c r="H2982" s="4">
        <f>IF(OR(F2982="",G2982=""),"",F2982*G2982+IF(J2982="",0,J2982))</f>
        <v/>
      </c>
      <c r="I2982" s="5" t="n"/>
      <c r="J2982" s="5" t="n"/>
    </row>
    <row r="2983">
      <c r="A2983" s="5" t="n"/>
      <c r="B2983" s="5" t="n"/>
      <c r="C2983" s="5" t="n"/>
      <c r="D2983" s="5" t="n"/>
      <c r="E2983" s="4">
        <f>IF(C2983="","",COUNTIF($C$7:C2983,C2983))</f>
        <v/>
      </c>
      <c r="F2983" s="4">
        <f>IF(E2983="","",IF(E2983&lt;=3,6,IF(E2983&lt;=6,5,IF(E2983&lt;=9,4,IF(E2983&lt;=12,3,IF(E2983&lt;=15,2,0))))))</f>
        <v/>
      </c>
      <c r="G2983" s="5" t="n"/>
      <c r="H2983" s="4">
        <f>IF(OR(F2983="",G2983=""),"",F2983*G2983+IF(J2983="",0,J2983))</f>
        <v/>
      </c>
      <c r="I2983" s="5" t="n"/>
      <c r="J2983" s="5" t="n"/>
    </row>
    <row r="2984">
      <c r="A2984" s="5" t="n"/>
      <c r="B2984" s="5" t="n"/>
      <c r="C2984" s="5" t="n"/>
      <c r="D2984" s="5" t="n"/>
      <c r="E2984" s="4">
        <f>IF(C2984="","",COUNTIF($C$7:C2984,C2984))</f>
        <v/>
      </c>
      <c r="F2984" s="4">
        <f>IF(E2984="","",IF(E2984&lt;=3,6,IF(E2984&lt;=6,5,IF(E2984&lt;=9,4,IF(E2984&lt;=12,3,IF(E2984&lt;=15,2,0))))))</f>
        <v/>
      </c>
      <c r="G2984" s="5" t="n"/>
      <c r="H2984" s="4">
        <f>IF(OR(F2984="",G2984=""),"",F2984*G2984+IF(J2984="",0,J2984))</f>
        <v/>
      </c>
      <c r="I2984" s="5" t="n"/>
      <c r="J2984" s="5" t="n"/>
    </row>
    <row r="2985">
      <c r="A2985" s="5" t="n"/>
      <c r="B2985" s="5" t="n"/>
      <c r="C2985" s="5" t="n"/>
      <c r="D2985" s="5" t="n"/>
      <c r="E2985" s="4">
        <f>IF(C2985="","",COUNTIF($C$7:C2985,C2985))</f>
        <v/>
      </c>
      <c r="F2985" s="4">
        <f>IF(E2985="","",IF(E2985&lt;=3,6,IF(E2985&lt;=6,5,IF(E2985&lt;=9,4,IF(E2985&lt;=12,3,IF(E2985&lt;=15,2,0))))))</f>
        <v/>
      </c>
      <c r="G2985" s="5" t="n"/>
      <c r="H2985" s="4">
        <f>IF(OR(F2985="",G2985=""),"",F2985*G2985+IF(J2985="",0,J2985))</f>
        <v/>
      </c>
      <c r="I2985" s="5" t="n"/>
      <c r="J2985" s="5" t="n"/>
    </row>
    <row r="2986">
      <c r="A2986" s="5" t="n"/>
      <c r="B2986" s="5" t="n"/>
      <c r="C2986" s="5" t="n"/>
      <c r="D2986" s="5" t="n"/>
      <c r="E2986" s="4">
        <f>IF(C2986="","",COUNTIF($C$7:C2986,C2986))</f>
        <v/>
      </c>
      <c r="F2986" s="4">
        <f>IF(E2986="","",IF(E2986&lt;=3,6,IF(E2986&lt;=6,5,IF(E2986&lt;=9,4,IF(E2986&lt;=12,3,IF(E2986&lt;=15,2,0))))))</f>
        <v/>
      </c>
      <c r="G2986" s="5" t="n"/>
      <c r="H2986" s="4">
        <f>IF(OR(F2986="",G2986=""),"",F2986*G2986+IF(J2986="",0,J2986))</f>
        <v/>
      </c>
      <c r="I2986" s="5" t="n"/>
      <c r="J2986" s="5" t="n"/>
    </row>
    <row r="2987">
      <c r="A2987" s="5" t="n"/>
      <c r="B2987" s="5" t="n"/>
      <c r="C2987" s="5" t="n"/>
      <c r="D2987" s="5" t="n"/>
      <c r="E2987" s="4">
        <f>IF(C2987="","",COUNTIF($C$7:C2987,C2987))</f>
        <v/>
      </c>
      <c r="F2987" s="4">
        <f>IF(E2987="","",IF(E2987&lt;=3,6,IF(E2987&lt;=6,5,IF(E2987&lt;=9,4,IF(E2987&lt;=12,3,IF(E2987&lt;=15,2,0))))))</f>
        <v/>
      </c>
      <c r="G2987" s="5" t="n"/>
      <c r="H2987" s="4">
        <f>IF(OR(F2987="",G2987=""),"",F2987*G2987+IF(J2987="",0,J2987))</f>
        <v/>
      </c>
      <c r="I2987" s="5" t="n"/>
      <c r="J2987" s="5" t="n"/>
    </row>
    <row r="2988">
      <c r="A2988" s="5" t="n"/>
      <c r="B2988" s="5" t="n"/>
      <c r="C2988" s="5" t="n"/>
      <c r="D2988" s="5" t="n"/>
      <c r="E2988" s="4">
        <f>IF(C2988="","",COUNTIF($C$7:C2988,C2988))</f>
        <v/>
      </c>
      <c r="F2988" s="4">
        <f>IF(E2988="","",IF(E2988&lt;=3,6,IF(E2988&lt;=6,5,IF(E2988&lt;=9,4,IF(E2988&lt;=12,3,IF(E2988&lt;=15,2,0))))))</f>
        <v/>
      </c>
      <c r="G2988" s="5" t="n"/>
      <c r="H2988" s="4">
        <f>IF(OR(F2988="",G2988=""),"",F2988*G2988+IF(J2988="",0,J2988))</f>
        <v/>
      </c>
      <c r="I2988" s="5" t="n"/>
      <c r="J2988" s="5" t="n"/>
    </row>
    <row r="2989">
      <c r="A2989" s="5" t="n"/>
      <c r="B2989" s="5" t="n"/>
      <c r="C2989" s="5" t="n"/>
      <c r="D2989" s="5" t="n"/>
      <c r="E2989" s="4">
        <f>IF(C2989="","",COUNTIF($C$7:C2989,C2989))</f>
        <v/>
      </c>
      <c r="F2989" s="4">
        <f>IF(E2989="","",IF(E2989&lt;=3,6,IF(E2989&lt;=6,5,IF(E2989&lt;=9,4,IF(E2989&lt;=12,3,IF(E2989&lt;=15,2,0))))))</f>
        <v/>
      </c>
      <c r="G2989" s="5" t="n"/>
      <c r="H2989" s="4">
        <f>IF(OR(F2989="",G2989=""),"",F2989*G2989+IF(J2989="",0,J2989))</f>
        <v/>
      </c>
      <c r="I2989" s="5" t="n"/>
      <c r="J2989" s="5" t="n"/>
    </row>
    <row r="2990">
      <c r="A2990" s="5" t="n"/>
      <c r="B2990" s="5" t="n"/>
      <c r="C2990" s="5" t="n"/>
      <c r="D2990" s="5" t="n"/>
      <c r="E2990" s="4">
        <f>IF(C2990="","",COUNTIF($C$7:C2990,C2990))</f>
        <v/>
      </c>
      <c r="F2990" s="4">
        <f>IF(E2990="","",IF(E2990&lt;=3,6,IF(E2990&lt;=6,5,IF(E2990&lt;=9,4,IF(E2990&lt;=12,3,IF(E2990&lt;=15,2,0))))))</f>
        <v/>
      </c>
      <c r="G2990" s="5" t="n"/>
      <c r="H2990" s="4">
        <f>IF(OR(F2990="",G2990=""),"",F2990*G2990+IF(J2990="",0,J2990))</f>
        <v/>
      </c>
      <c r="I2990" s="5" t="n"/>
      <c r="J2990" s="5" t="n"/>
    </row>
    <row r="2991">
      <c r="A2991" s="5" t="n"/>
      <c r="B2991" s="5" t="n"/>
      <c r="C2991" s="5" t="n"/>
      <c r="D2991" s="5" t="n"/>
      <c r="E2991" s="4">
        <f>IF(C2991="","",COUNTIF($C$7:C2991,C2991))</f>
        <v/>
      </c>
      <c r="F2991" s="4">
        <f>IF(E2991="","",IF(E2991&lt;=3,6,IF(E2991&lt;=6,5,IF(E2991&lt;=9,4,IF(E2991&lt;=12,3,IF(E2991&lt;=15,2,0))))))</f>
        <v/>
      </c>
      <c r="G2991" s="5" t="n"/>
      <c r="H2991" s="4">
        <f>IF(OR(F2991="",G2991=""),"",F2991*G2991+IF(J2991="",0,J2991))</f>
        <v/>
      </c>
      <c r="I2991" s="5" t="n"/>
      <c r="J2991" s="5" t="n"/>
    </row>
    <row r="2992">
      <c r="A2992" s="5" t="n"/>
      <c r="B2992" s="5" t="n"/>
      <c r="C2992" s="5" t="n"/>
      <c r="D2992" s="5" t="n"/>
      <c r="E2992" s="4">
        <f>IF(C2992="","",COUNTIF($C$7:C2992,C2992))</f>
        <v/>
      </c>
      <c r="F2992" s="4">
        <f>IF(E2992="","",IF(E2992&lt;=3,6,IF(E2992&lt;=6,5,IF(E2992&lt;=9,4,IF(E2992&lt;=12,3,IF(E2992&lt;=15,2,0))))))</f>
        <v/>
      </c>
      <c r="G2992" s="5" t="n"/>
      <c r="H2992" s="4">
        <f>IF(OR(F2992="",G2992=""),"",F2992*G2992+IF(J2992="",0,J2992))</f>
        <v/>
      </c>
      <c r="I2992" s="5" t="n"/>
      <c r="J2992" s="5" t="n"/>
    </row>
    <row r="2993">
      <c r="A2993" s="5" t="n"/>
      <c r="B2993" s="5" t="n"/>
      <c r="C2993" s="5" t="n"/>
      <c r="D2993" s="5" t="n"/>
      <c r="E2993" s="4">
        <f>IF(C2993="","",COUNTIF($C$7:C2993,C2993))</f>
        <v/>
      </c>
      <c r="F2993" s="4">
        <f>IF(E2993="","",IF(E2993&lt;=3,6,IF(E2993&lt;=6,5,IF(E2993&lt;=9,4,IF(E2993&lt;=12,3,IF(E2993&lt;=15,2,0))))))</f>
        <v/>
      </c>
      <c r="G2993" s="5" t="n"/>
      <c r="H2993" s="4">
        <f>IF(OR(F2993="",G2993=""),"",F2993*G2993+IF(J2993="",0,J2993))</f>
        <v/>
      </c>
      <c r="I2993" s="5" t="n"/>
      <c r="J2993" s="5" t="n"/>
    </row>
    <row r="2994">
      <c r="A2994" s="5" t="n"/>
      <c r="B2994" s="5" t="n"/>
      <c r="C2994" s="5" t="n"/>
      <c r="D2994" s="5" t="n"/>
      <c r="E2994" s="4">
        <f>IF(C2994="","",COUNTIF($C$7:C2994,C2994))</f>
        <v/>
      </c>
      <c r="F2994" s="4">
        <f>IF(E2994="","",IF(E2994&lt;=3,6,IF(E2994&lt;=6,5,IF(E2994&lt;=9,4,IF(E2994&lt;=12,3,IF(E2994&lt;=15,2,0))))))</f>
        <v/>
      </c>
      <c r="G2994" s="5" t="n"/>
      <c r="H2994" s="4">
        <f>IF(OR(F2994="",G2994=""),"",F2994*G2994+IF(J2994="",0,J2994))</f>
        <v/>
      </c>
      <c r="I2994" s="5" t="n"/>
      <c r="J2994" s="5" t="n"/>
    </row>
    <row r="2995">
      <c r="A2995" s="5" t="n"/>
      <c r="B2995" s="5" t="n"/>
      <c r="C2995" s="5" t="n"/>
      <c r="D2995" s="5" t="n"/>
      <c r="E2995" s="4">
        <f>IF(C2995="","",COUNTIF($C$7:C2995,C2995))</f>
        <v/>
      </c>
      <c r="F2995" s="4">
        <f>IF(E2995="","",IF(E2995&lt;=3,6,IF(E2995&lt;=6,5,IF(E2995&lt;=9,4,IF(E2995&lt;=12,3,IF(E2995&lt;=15,2,0))))))</f>
        <v/>
      </c>
      <c r="G2995" s="5" t="n"/>
      <c r="H2995" s="4">
        <f>IF(OR(F2995="",G2995=""),"",F2995*G2995+IF(J2995="",0,J2995))</f>
        <v/>
      </c>
      <c r="I2995" s="5" t="n"/>
      <c r="J2995" s="5" t="n"/>
    </row>
    <row r="2996">
      <c r="A2996" s="5" t="n"/>
      <c r="B2996" s="5" t="n"/>
      <c r="C2996" s="5" t="n"/>
      <c r="D2996" s="5" t="n"/>
      <c r="E2996" s="4">
        <f>IF(C2996="","",COUNTIF($C$7:C2996,C2996))</f>
        <v/>
      </c>
      <c r="F2996" s="4">
        <f>IF(E2996="","",IF(E2996&lt;=3,6,IF(E2996&lt;=6,5,IF(E2996&lt;=9,4,IF(E2996&lt;=12,3,IF(E2996&lt;=15,2,0))))))</f>
        <v/>
      </c>
      <c r="G2996" s="5" t="n"/>
      <c r="H2996" s="4">
        <f>IF(OR(F2996="",G2996=""),"",F2996*G2996+IF(J2996="",0,J2996))</f>
        <v/>
      </c>
      <c r="I2996" s="5" t="n"/>
      <c r="J2996" s="5" t="n"/>
    </row>
    <row r="2997">
      <c r="A2997" s="5" t="n"/>
      <c r="B2997" s="5" t="n"/>
      <c r="C2997" s="5" t="n"/>
      <c r="D2997" s="5" t="n"/>
      <c r="E2997" s="4">
        <f>IF(C2997="","",COUNTIF($C$7:C2997,C2997))</f>
        <v/>
      </c>
      <c r="F2997" s="4">
        <f>IF(E2997="","",IF(E2997&lt;=3,6,IF(E2997&lt;=6,5,IF(E2997&lt;=9,4,IF(E2997&lt;=12,3,IF(E2997&lt;=15,2,0))))))</f>
        <v/>
      </c>
      <c r="G2997" s="5" t="n"/>
      <c r="H2997" s="4">
        <f>IF(OR(F2997="",G2997=""),"",F2997*G2997+IF(J2997="",0,J2997))</f>
        <v/>
      </c>
      <c r="I2997" s="5" t="n"/>
      <c r="J2997" s="5" t="n"/>
    </row>
    <row r="2998">
      <c r="A2998" s="5" t="n"/>
      <c r="B2998" s="5" t="n"/>
      <c r="C2998" s="5" t="n"/>
      <c r="D2998" s="5" t="n"/>
      <c r="E2998" s="4">
        <f>IF(C2998="","",COUNTIF($C$7:C2998,C2998))</f>
        <v/>
      </c>
      <c r="F2998" s="4">
        <f>IF(E2998="","",IF(E2998&lt;=3,6,IF(E2998&lt;=6,5,IF(E2998&lt;=9,4,IF(E2998&lt;=12,3,IF(E2998&lt;=15,2,0))))))</f>
        <v/>
      </c>
      <c r="G2998" s="5" t="n"/>
      <c r="H2998" s="4">
        <f>IF(OR(F2998="",G2998=""),"",F2998*G2998+IF(J2998="",0,J2998))</f>
        <v/>
      </c>
      <c r="I2998" s="5" t="n"/>
      <c r="J2998" s="5" t="n"/>
    </row>
    <row r="2999">
      <c r="A2999" s="5" t="n"/>
      <c r="B2999" s="5" t="n"/>
      <c r="C2999" s="5" t="n"/>
      <c r="D2999" s="5" t="n"/>
      <c r="E2999" s="4">
        <f>IF(C2999="","",COUNTIF($C$7:C2999,C2999))</f>
        <v/>
      </c>
      <c r="F2999" s="4">
        <f>IF(E2999="","",IF(E2999&lt;=3,6,IF(E2999&lt;=6,5,IF(E2999&lt;=9,4,IF(E2999&lt;=12,3,IF(E2999&lt;=15,2,0))))))</f>
        <v/>
      </c>
      <c r="G2999" s="5" t="n"/>
      <c r="H2999" s="4">
        <f>IF(OR(F2999="",G2999=""),"",F2999*G2999+IF(J2999="",0,J2999))</f>
        <v/>
      </c>
      <c r="I2999" s="5" t="n"/>
      <c r="J2999" s="5" t="n"/>
    </row>
    <row r="3000">
      <c r="A3000" s="5" t="n"/>
      <c r="B3000" s="5" t="n"/>
      <c r="C3000" s="5" t="n"/>
      <c r="D3000" s="5" t="n"/>
      <c r="E3000" s="4">
        <f>IF(C3000="","",COUNTIF($C$7:C3000,C3000))</f>
        <v/>
      </c>
      <c r="F3000" s="4">
        <f>IF(E3000="","",IF(E3000&lt;=3,6,IF(E3000&lt;=6,5,IF(E3000&lt;=9,4,IF(E3000&lt;=12,3,IF(E3000&lt;=15,2,0))))))</f>
        <v/>
      </c>
      <c r="G3000" s="5" t="n"/>
      <c r="H3000" s="4">
        <f>IF(OR(F3000="",G3000=""),"",F3000*G3000+IF(J3000="",0,J3000))</f>
        <v/>
      </c>
      <c r="I3000" s="5" t="n"/>
      <c r="J3000" s="5" t="n"/>
    </row>
    <row r="3001">
      <c r="A3001" s="5" t="n"/>
      <c r="B3001" s="5" t="n"/>
      <c r="C3001" s="5" t="n"/>
      <c r="D3001" s="5" t="n"/>
      <c r="E3001" s="4">
        <f>IF(C3001="","",COUNTIF($C$7:C3001,C3001))</f>
        <v/>
      </c>
      <c r="F3001" s="4">
        <f>IF(E3001="","",IF(E3001&lt;=3,6,IF(E3001&lt;=6,5,IF(E3001&lt;=9,4,IF(E3001&lt;=12,3,IF(E3001&lt;=15,2,0))))))</f>
        <v/>
      </c>
      <c r="G3001" s="5" t="n"/>
      <c r="H3001" s="4">
        <f>IF(OR(F3001="",G3001=""),"",F3001*G3001+IF(J3001="",0,J3001))</f>
        <v/>
      </c>
      <c r="I3001" s="5" t="n"/>
      <c r="J3001" s="5" t="n"/>
    </row>
    <row r="3002">
      <c r="A3002" s="5" t="n"/>
      <c r="B3002" s="5" t="n"/>
      <c r="C3002" s="5" t="n"/>
      <c r="D3002" s="5" t="n"/>
      <c r="E3002" s="4">
        <f>IF(C3002="","",COUNTIF($C$7:C3002,C3002))</f>
        <v/>
      </c>
      <c r="F3002" s="4">
        <f>IF(E3002="","",IF(E3002&lt;=3,6,IF(E3002&lt;=6,5,IF(E3002&lt;=9,4,IF(E3002&lt;=12,3,IF(E3002&lt;=15,2,0))))))</f>
        <v/>
      </c>
      <c r="G3002" s="5" t="n"/>
      <c r="H3002" s="4">
        <f>IF(OR(F3002="",G3002=""),"",F3002*G3002+IF(J3002="",0,J3002))</f>
        <v/>
      </c>
      <c r="I3002" s="5" t="n"/>
      <c r="J3002" s="5" t="n"/>
    </row>
    <row r="3003">
      <c r="A3003" s="5" t="n"/>
      <c r="B3003" s="5" t="n"/>
      <c r="C3003" s="5" t="n"/>
      <c r="D3003" s="5" t="n"/>
      <c r="E3003" s="4">
        <f>IF(C3003="","",COUNTIF($C$7:C3003,C3003))</f>
        <v/>
      </c>
      <c r="F3003" s="4">
        <f>IF(E3003="","",IF(E3003&lt;=3,6,IF(E3003&lt;=6,5,IF(E3003&lt;=9,4,IF(E3003&lt;=12,3,IF(E3003&lt;=15,2,0))))))</f>
        <v/>
      </c>
      <c r="G3003" s="5" t="n"/>
      <c r="H3003" s="4">
        <f>IF(OR(F3003="",G3003=""),"",F3003*G3003+IF(J3003="",0,J3003))</f>
        <v/>
      </c>
      <c r="I3003" s="5" t="n"/>
      <c r="J3003" s="5" t="n"/>
    </row>
    <row r="3004">
      <c r="A3004" s="5" t="n"/>
      <c r="B3004" s="5" t="n"/>
      <c r="C3004" s="5" t="n"/>
      <c r="D3004" s="5" t="n"/>
      <c r="E3004" s="4">
        <f>IF(C3004="","",COUNTIF($C$7:C3004,C3004))</f>
        <v/>
      </c>
      <c r="F3004" s="4">
        <f>IF(E3004="","",IF(E3004&lt;=3,6,IF(E3004&lt;=6,5,IF(E3004&lt;=9,4,IF(E3004&lt;=12,3,IF(E3004&lt;=15,2,0))))))</f>
        <v/>
      </c>
      <c r="G3004" s="5" t="n"/>
      <c r="H3004" s="4">
        <f>IF(OR(F3004="",G3004=""),"",F3004*G3004+IF(J3004="",0,J3004))</f>
        <v/>
      </c>
      <c r="I3004" s="5" t="n"/>
      <c r="J3004" s="5" t="n"/>
    </row>
    <row r="3005">
      <c r="A3005" s="5" t="n"/>
      <c r="B3005" s="5" t="n"/>
      <c r="C3005" s="5" t="n"/>
      <c r="D3005" s="5" t="n"/>
      <c r="E3005" s="4">
        <f>IF(C3005="","",COUNTIF($C$7:C3005,C3005))</f>
        <v/>
      </c>
      <c r="F3005" s="4">
        <f>IF(E3005="","",IF(E3005&lt;=3,6,IF(E3005&lt;=6,5,IF(E3005&lt;=9,4,IF(E3005&lt;=12,3,IF(E3005&lt;=15,2,0))))))</f>
        <v/>
      </c>
      <c r="G3005" s="5" t="n"/>
      <c r="H3005" s="4">
        <f>IF(OR(F3005="",G3005=""),"",F3005*G3005+IF(J3005="",0,J3005))</f>
        <v/>
      </c>
      <c r="I3005" s="5" t="n"/>
      <c r="J3005" s="5" t="n"/>
    </row>
    <row r="3006">
      <c r="A3006" s="5" t="n"/>
      <c r="B3006" s="5" t="n"/>
      <c r="C3006" s="5" t="n"/>
      <c r="D3006" s="5" t="n"/>
      <c r="E3006" s="4">
        <f>IF(C3006="","",COUNTIF($C$7:C3006,C3006))</f>
        <v/>
      </c>
      <c r="F3006" s="4">
        <f>IF(E3006="","",IF(E3006&lt;=3,6,IF(E3006&lt;=6,5,IF(E3006&lt;=9,4,IF(E3006&lt;=12,3,IF(E3006&lt;=15,2,0))))))</f>
        <v/>
      </c>
      <c r="G3006" s="5" t="n"/>
      <c r="H3006" s="4">
        <f>IF(OR(F3006="",G3006=""),"",F3006*G3006+IF(J3006="",0,J3006))</f>
        <v/>
      </c>
      <c r="I3006" s="5" t="n"/>
      <c r="J3006" s="5" t="n"/>
    </row>
  </sheetData>
  <mergeCells count="3">
    <mergeCell ref="A1:J1"/>
    <mergeCell ref="A4:J4"/>
    <mergeCell ref="A2:J2"/>
  </mergeCells>
  <dataValidations count="2">
    <dataValidation sqref="B3" showDropDown="0" showInputMessage="0" showErrorMessage="1" allowBlank="1" errorTitle="Недопустимое значение" error="Выберите практиканта 1, 2 или 3" type="list" errorStyle="stop">
      <formula1>"1,2,3"</formula1>
    </dataValidation>
    <dataValidation sqref="J3" showDropDown="0" showInputMessage="0" showErrorMessage="1" allowBlank="1" errorTitle="Недопустимое значение" error="Выберите Нет или Да" type="list" errorStyle="stop">
      <formula1>"Нет,Да"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020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>
      <c r="A1" s="1" t="inlineStr">
        <is>
          <t>Плюсы — Артём</t>
        </is>
      </c>
    </row>
    <row r="2" ht="30" customHeight="1">
      <c r="A2" s="2" t="inlineStr">
        <is>
          <t>В каждом блоке одна практика. В верхней таблице ставятся +; практик может заменить + на 1. В нижней таблице практик отмечает 1 или -.</t>
        </is>
      </c>
    </row>
    <row r="4">
      <c r="A4" s="17" t="inlineStr">
        <is>
          <t>Практика 1 — плюсы</t>
        </is>
      </c>
    </row>
    <row r="5" ht="28" customHeight="1">
      <c r="A5" s="9" t="inlineStr">
        <is>
          <t>Имя</t>
        </is>
      </c>
      <c r="B5" s="11" t="inlineStr">
        <is>
          <t>TG</t>
        </is>
      </c>
      <c r="C5" s="12" t="inlineStr">
        <is>
          <t>S</t>
        </is>
      </c>
      <c r="D5" s="10" t="inlineStr">
        <is>
          <t>Коэффициент</t>
        </is>
      </c>
      <c r="E5" s="18" t="inlineStr">
        <is>
          <t>D за практику</t>
        </is>
      </c>
      <c r="F5" s="13" t="inlineStr">
        <is>
          <t>1.0</t>
        </is>
      </c>
      <c r="G5" s="13" t="inlineStr">
        <is>
          <t>2.0</t>
        </is>
      </c>
      <c r="H5" s="13" t="inlineStr">
        <is>
          <t>3.0</t>
        </is>
      </c>
      <c r="I5" s="13" t="inlineStr">
        <is>
          <t>4.0</t>
        </is>
      </c>
      <c r="J5" s="13" t="inlineStr">
        <is>
          <t>5.0</t>
        </is>
      </c>
      <c r="K5" s="13" t="inlineStr">
        <is>
          <t>6</t>
        </is>
      </c>
      <c r="L5" s="13" t="inlineStr">
        <is>
          <t>7</t>
        </is>
      </c>
      <c r="M5" s="13" t="inlineStr">
        <is>
          <t>8</t>
        </is>
      </c>
      <c r="N5" s="13" t="inlineStr">
        <is>
          <t>9</t>
        </is>
      </c>
      <c r="O5" s="13" t="inlineStr">
        <is>
          <t>10</t>
        </is>
      </c>
      <c r="P5" s="13" t="inlineStr">
        <is>
          <t>11</t>
        </is>
      </c>
      <c r="Q5" s="13" t="inlineStr">
        <is>
          <t>12</t>
        </is>
      </c>
      <c r="R5" s="13" t="inlineStr">
        <is>
          <t>13</t>
        </is>
      </c>
      <c r="S5" s="13" t="inlineStr">
        <is>
          <t>14</t>
        </is>
      </c>
      <c r="T5" s="13" t="inlineStr">
        <is>
          <t>15</t>
        </is>
      </c>
      <c r="U5" s="13" t="inlineStr">
        <is>
          <t>16</t>
        </is>
      </c>
      <c r="V5" s="13" t="inlineStr">
        <is>
          <t>17</t>
        </is>
      </c>
      <c r="W5" s="13" t="inlineStr">
        <is>
          <t>18</t>
        </is>
      </c>
      <c r="X5" s="13" t="inlineStr">
        <is>
          <t>19</t>
        </is>
      </c>
      <c r="Y5" s="13" t="inlineStr">
        <is>
          <t>20</t>
        </is>
      </c>
      <c r="Z5" s="13" t="inlineStr">
        <is>
          <t>21</t>
        </is>
      </c>
      <c r="AA5" s="13" t="inlineStr">
        <is>
          <t>22</t>
        </is>
      </c>
      <c r="AB5" s="13" t="inlineStr">
        <is>
          <t>23</t>
        </is>
      </c>
      <c r="AC5" s="13" t="inlineStr">
        <is>
          <t>24</t>
        </is>
      </c>
      <c r="AD5" s="13" t="inlineStr">
        <is>
          <t>25</t>
        </is>
      </c>
      <c r="AE5" s="13" t="inlineStr">
        <is>
          <t>26</t>
        </is>
      </c>
      <c r="AF5" s="13" t="inlineStr">
        <is>
          <t>27</t>
        </is>
      </c>
      <c r="AG5" s="13" t="inlineStr">
        <is>
          <t>28</t>
        </is>
      </c>
      <c r="AH5" s="13" t="inlineStr">
        <is>
          <t>29</t>
        </is>
      </c>
      <c r="AI5" s="13" t="inlineStr">
        <is>
          <t>30</t>
        </is>
      </c>
    </row>
    <row r="6">
      <c r="A6" s="4" t="inlineStr">
        <is>
          <t>Студент1.1</t>
        </is>
      </c>
      <c r="B6" s="4" t="inlineStr"/>
      <c r="C6" s="4">
        <f>IF(A6="","",COUNTIF(F6:AI6,"+")+COUNTIF(F6:AI6,"1"))</f>
        <v/>
      </c>
      <c r="D6" s="4">
        <f>IF(A6="","",IF(C6&gt;2*COUNTA(F$5:AI$5)/3,'Общий'!$M$11,IF(C6&gt;=COUNTA(F$5:AI$5)/2,'Общий'!$M$12,'Общий'!$M$13)))</f>
        <v/>
      </c>
      <c r="E6" s="4">
        <f>IF(A6="","",SUMIFS('Логи'!$H$7:$H$3006,'Логи'!$A$7:$A$3006,1,'Логи'!$B$7:$B$3006,1,'Логи'!$C$7:$C$3006,A6))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>
      <c r="A7" s="4" t="inlineStr">
        <is>
          <t>Студент1.2</t>
        </is>
      </c>
      <c r="B7" s="4" t="inlineStr"/>
      <c r="C7" s="4">
        <f>IF(A7="","",COUNTIF(F7:AI7,"+")+COUNTIF(F7:AI7,"1"))</f>
        <v/>
      </c>
      <c r="D7" s="4">
        <f>IF(A7="","",IF(C7&gt;2*COUNTA(F$5:AI$5)/3,'Общий'!$M$11,IF(C7&gt;=COUNTA(F$5:AI$5)/2,'Общий'!$M$12,'Общий'!$M$13)))</f>
        <v/>
      </c>
      <c r="E7" s="4">
        <f>IF(A7="","",SUMIFS('Логи'!$H$7:$H$3006,'Логи'!$A$7:$A$3006,1,'Логи'!$B$7:$B$3006,1,'Логи'!$C$7:$C$3006,A7))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4" t="inlineStr">
        <is>
          <t>Студент1.3</t>
        </is>
      </c>
      <c r="B8" s="4" t="inlineStr"/>
      <c r="C8" s="4">
        <f>IF(A8="","",COUNTIF(F8:AI8,"+")+COUNTIF(F8:AI8,"1"))</f>
        <v/>
      </c>
      <c r="D8" s="4">
        <f>IF(A8="","",IF(C8&gt;2*COUNTA(F$5:AI$5)/3,'Общий'!$M$11,IF(C8&gt;=COUNTA(F$5:AI$5)/2,'Общий'!$M$12,'Общий'!$M$13)))</f>
        <v/>
      </c>
      <c r="E8" s="4">
        <f>IF(A8="","",SUMIFS('Логи'!$H$7:$H$3006,'Логи'!$A$7:$A$3006,1,'Логи'!$B$7:$B$3006,1,'Логи'!$C$7:$C$3006,A8))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</row>
    <row r="9">
      <c r="A9" s="4" t="inlineStr">
        <is>
          <t>Студент1.4</t>
        </is>
      </c>
      <c r="B9" s="4" t="inlineStr"/>
      <c r="C9" s="4">
        <f>IF(A9="","",COUNTIF(F9:AI9,"+")+COUNTIF(F9:AI9,"1"))</f>
        <v/>
      </c>
      <c r="D9" s="4">
        <f>IF(A9="","",IF(C9&gt;2*COUNTA(F$5:AI$5)/3,'Общий'!$M$11,IF(C9&gt;=COUNTA(F$5:AI$5)/2,'Общий'!$M$12,'Общий'!$M$13)))</f>
        <v/>
      </c>
      <c r="E9" s="4">
        <f>IF(A9="","",SUMIFS('Логи'!$H$7:$H$3006,'Логи'!$A$7:$A$3006,1,'Логи'!$B$7:$B$3006,1,'Логи'!$C$7:$C$3006,A9))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4" t="inlineStr">
        <is>
          <t>Студент1.5</t>
        </is>
      </c>
      <c r="B10" s="4" t="inlineStr"/>
      <c r="C10" s="4">
        <f>IF(A10="","",COUNTIF(F10:AI10,"+")+COUNTIF(F10:AI10,"1"))</f>
        <v/>
      </c>
      <c r="D10" s="4">
        <f>IF(A10="","",IF(C10&gt;2*COUNTA(F$5:AI$5)/3,'Общий'!$M$11,IF(C10&gt;=COUNTA(F$5:AI$5)/2,'Общий'!$M$12,'Общий'!$M$13)))</f>
        <v/>
      </c>
      <c r="E10" s="4">
        <f>IF(A10="","",SUMIFS('Логи'!$H$7:$H$3006,'Логи'!$A$7:$A$3006,1,'Логи'!$B$7:$B$3006,1,'Логи'!$C$7:$C$3006,A10))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</row>
    <row r="11">
      <c r="A11" s="4" t="inlineStr">
        <is>
          <t>Студент1.6</t>
        </is>
      </c>
      <c r="B11" s="4" t="inlineStr"/>
      <c r="C11" s="4">
        <f>IF(A11="","",COUNTIF(F11:AI11,"+")+COUNTIF(F11:AI11,"1"))</f>
        <v/>
      </c>
      <c r="D11" s="4">
        <f>IF(A11="","",IF(C11&gt;2*COUNTA(F$5:AI$5)/3,'Общий'!$M$11,IF(C11&gt;=COUNTA(F$5:AI$5)/2,'Общий'!$M$12,'Общий'!$M$13)))</f>
        <v/>
      </c>
      <c r="E11" s="4">
        <f>IF(A11="","",SUMIFS('Логи'!$H$7:$H$3006,'Логи'!$A$7:$A$3006,1,'Логи'!$B$7:$B$3006,1,'Логи'!$C$7:$C$3006,A11))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4" t="inlineStr">
        <is>
          <t>Студент1.7</t>
        </is>
      </c>
      <c r="B12" s="4" t="inlineStr"/>
      <c r="C12" s="4">
        <f>IF(A12="","",COUNTIF(F12:AI12,"+")+COUNTIF(F12:AI12,"1"))</f>
        <v/>
      </c>
      <c r="D12" s="4">
        <f>IF(A12="","",IF(C12&gt;2*COUNTA(F$5:AI$5)/3,'Общий'!$M$11,IF(C12&gt;=COUNTA(F$5:AI$5)/2,'Общий'!$M$12,'Общий'!$M$13)))</f>
        <v/>
      </c>
      <c r="E12" s="4">
        <f>IF(A12="","",SUMIFS('Логи'!$H$7:$H$3006,'Логи'!$A$7:$A$3006,1,'Логи'!$B$7:$B$3006,1,'Логи'!$C$7:$C$3006,A12))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</row>
    <row r="13">
      <c r="A13" s="4" t="inlineStr">
        <is>
          <t>Студент1.8</t>
        </is>
      </c>
      <c r="B13" s="4" t="inlineStr"/>
      <c r="C13" s="4">
        <f>IF(A13="","",COUNTIF(F13:AI13,"+")+COUNTIF(F13:AI13,"1"))</f>
        <v/>
      </c>
      <c r="D13" s="4">
        <f>IF(A13="","",IF(C13&gt;2*COUNTA(F$5:AI$5)/3,'Общий'!$M$11,IF(C13&gt;=COUNTA(F$5:AI$5)/2,'Общий'!$M$12,'Общий'!$M$13)))</f>
        <v/>
      </c>
      <c r="E13" s="4">
        <f>IF(A13="","",SUMIFS('Логи'!$H$7:$H$3006,'Логи'!$A$7:$A$3006,1,'Логи'!$B$7:$B$3006,1,'Логи'!$C$7:$C$3006,A13))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4" t="inlineStr">
        <is>
          <t>Студент1.9</t>
        </is>
      </c>
      <c r="B14" s="4" t="inlineStr"/>
      <c r="C14" s="4">
        <f>IF(A14="","",COUNTIF(F14:AI14,"+")+COUNTIF(F14:AI14,"1"))</f>
        <v/>
      </c>
      <c r="D14" s="4">
        <f>IF(A14="","",IF(C14&gt;2*COUNTA(F$5:AI$5)/3,'Общий'!$M$11,IF(C14&gt;=COUNTA(F$5:AI$5)/2,'Общий'!$M$12,'Общий'!$M$13)))</f>
        <v/>
      </c>
      <c r="E14" s="4">
        <f>IF(A14="","",SUMIFS('Логи'!$H$7:$H$3006,'Логи'!$A$7:$A$3006,1,'Логи'!$B$7:$B$3006,1,'Логи'!$C$7:$C$3006,A14))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</row>
    <row r="15">
      <c r="A15" s="4" t="inlineStr">
        <is>
          <t>Студент1.10</t>
        </is>
      </c>
      <c r="B15" s="4" t="inlineStr"/>
      <c r="C15" s="4">
        <f>IF(A15="","",COUNTIF(F15:AI15,"+")+COUNTIF(F15:AI15,"1"))</f>
        <v/>
      </c>
      <c r="D15" s="4">
        <f>IF(A15="","",IF(C15&gt;2*COUNTA(F$5:AI$5)/3,'Общий'!$M$11,IF(C15&gt;=COUNTA(F$5:AI$5)/2,'Общий'!$M$12,'Общий'!$M$13)))</f>
        <v/>
      </c>
      <c r="E15" s="4">
        <f>IF(A15="","",SUMIFS('Логи'!$H$7:$H$3006,'Логи'!$A$7:$A$3006,1,'Логи'!$B$7:$B$3006,1,'Логи'!$C$7:$C$3006,A15))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4" t="inlineStr">
        <is>
          <t>Студент1.11</t>
        </is>
      </c>
      <c r="B16" s="4" t="inlineStr"/>
      <c r="C16" s="4">
        <f>IF(A16="","",COUNTIF(F16:AI16,"+")+COUNTIF(F16:AI16,"1"))</f>
        <v/>
      </c>
      <c r="D16" s="4">
        <f>IF(A16="","",IF(C16&gt;2*COUNTA(F$5:AI$5)/3,'Общий'!$M$11,IF(C16&gt;=COUNTA(F$5:AI$5)/2,'Общий'!$M$12,'Общий'!$M$13)))</f>
        <v/>
      </c>
      <c r="E16" s="4">
        <f>IF(A16="","",SUMIFS('Логи'!$H$7:$H$3006,'Логи'!$A$7:$A$3006,1,'Логи'!$B$7:$B$3006,1,'Логи'!$C$7:$C$3006,A16))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</row>
    <row r="17">
      <c r="A17" s="4" t="inlineStr">
        <is>
          <t>Студент1.12</t>
        </is>
      </c>
      <c r="B17" s="4" t="inlineStr"/>
      <c r="C17" s="4">
        <f>IF(A17="","",COUNTIF(F17:AI17,"+")+COUNTIF(F17:AI17,"1"))</f>
        <v/>
      </c>
      <c r="D17" s="4">
        <f>IF(A17="","",IF(C17&gt;2*COUNTA(F$5:AI$5)/3,'Общий'!$M$11,IF(C17&gt;=COUNTA(F$5:AI$5)/2,'Общий'!$M$12,'Общий'!$M$13)))</f>
        <v/>
      </c>
      <c r="E17" s="4">
        <f>IF(A17="","",SUMIFS('Логи'!$H$7:$H$3006,'Логи'!$A$7:$A$3006,1,'Логи'!$B$7:$B$3006,1,'Логи'!$C$7:$C$3006,A17))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4" t="inlineStr">
        <is>
          <t>Студент1.13</t>
        </is>
      </c>
      <c r="B18" s="4" t="inlineStr"/>
      <c r="C18" s="4">
        <f>IF(A18="","",COUNTIF(F18:AI18,"+")+COUNTIF(F18:AI18,"1"))</f>
        <v/>
      </c>
      <c r="D18" s="4">
        <f>IF(A18="","",IF(C18&gt;2*COUNTA(F$5:AI$5)/3,'Общий'!$M$11,IF(C18&gt;=COUNTA(F$5:AI$5)/2,'Общий'!$M$12,'Общий'!$M$13)))</f>
        <v/>
      </c>
      <c r="E18" s="4">
        <f>IF(A18="","",SUMIFS('Логи'!$H$7:$H$3006,'Логи'!$A$7:$A$3006,1,'Логи'!$B$7:$B$3006,1,'Логи'!$C$7:$C$3006,A18))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</row>
    <row r="19">
      <c r="A19" s="4" t="inlineStr">
        <is>
          <t>Студент1.14</t>
        </is>
      </c>
      <c r="B19" s="4" t="inlineStr"/>
      <c r="C19" s="4">
        <f>IF(A19="","",COUNTIF(F19:AI19,"+")+COUNTIF(F19:AI19,"1"))</f>
        <v/>
      </c>
      <c r="D19" s="4">
        <f>IF(A19="","",IF(C19&gt;2*COUNTA(F$5:AI$5)/3,'Общий'!$M$11,IF(C19&gt;=COUNTA(F$5:AI$5)/2,'Общий'!$M$12,'Общий'!$M$13)))</f>
        <v/>
      </c>
      <c r="E19" s="4">
        <f>IF(A19="","",SUMIFS('Логи'!$H$7:$H$3006,'Логи'!$A$7:$A$3006,1,'Логи'!$B$7:$B$3006,1,'Логи'!$C$7:$C$3006,A19))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4" t="inlineStr">
        <is>
          <t>Студент1.15</t>
        </is>
      </c>
      <c r="B20" s="4" t="inlineStr"/>
      <c r="C20" s="4">
        <f>IF(A20="","",COUNTIF(F20:AI20,"+")+COUNTIF(F20:AI20,"1"))</f>
        <v/>
      </c>
      <c r="D20" s="4">
        <f>IF(A20="","",IF(C20&gt;2*COUNTA(F$5:AI$5)/3,'Общий'!$M$11,IF(C20&gt;=COUNTA(F$5:AI$5)/2,'Общий'!$M$12,'Общий'!$M$13)))</f>
        <v/>
      </c>
      <c r="E20" s="4">
        <f>IF(A20="","",SUMIFS('Логи'!$H$7:$H$3006,'Логи'!$A$7:$A$3006,1,'Логи'!$B$7:$B$3006,1,'Логи'!$C$7:$C$3006,A20))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</row>
    <row r="21">
      <c r="A21" s="4" t="inlineStr">
        <is>
          <t>Студент1.16</t>
        </is>
      </c>
      <c r="B21" s="4" t="inlineStr"/>
      <c r="C21" s="4">
        <f>IF(A21="","",COUNTIF(F21:AI21,"+")+COUNTIF(F21:AI21,"1"))</f>
        <v/>
      </c>
      <c r="D21" s="4">
        <f>IF(A21="","",IF(C21&gt;2*COUNTA(F$5:AI$5)/3,'Общий'!$M$11,IF(C21&gt;=COUNTA(F$5:AI$5)/2,'Общий'!$M$12,'Общий'!$M$13)))</f>
        <v/>
      </c>
      <c r="E21" s="4">
        <f>IF(A21="","",SUMIFS('Логи'!$H$7:$H$3006,'Логи'!$A$7:$A$3006,1,'Логи'!$B$7:$B$3006,1,'Логи'!$C$7:$C$3006,A21))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4" t="inlineStr">
        <is>
          <t>Студент1.17</t>
        </is>
      </c>
      <c r="B22" s="4" t="inlineStr"/>
      <c r="C22" s="4">
        <f>IF(A22="","",COUNTIF(F22:AI22,"+")+COUNTIF(F22:AI22,"1"))</f>
        <v/>
      </c>
      <c r="D22" s="4">
        <f>IF(A22="","",IF(C22&gt;2*COUNTA(F$5:AI$5)/3,'Общий'!$M$11,IF(C22&gt;=COUNTA(F$5:AI$5)/2,'Общий'!$M$12,'Общий'!$M$13)))</f>
        <v/>
      </c>
      <c r="E22" s="4">
        <f>IF(A22="","",SUMIFS('Логи'!$H$7:$H$3006,'Логи'!$A$7:$A$3006,1,'Логи'!$B$7:$B$3006,1,'Логи'!$C$7:$C$3006,A22))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</row>
    <row r="23">
      <c r="A23" s="4" t="inlineStr">
        <is>
          <t>Студент1.18</t>
        </is>
      </c>
      <c r="B23" s="4" t="inlineStr"/>
      <c r="C23" s="4">
        <f>IF(A23="","",COUNTIF(F23:AI23,"+")+COUNTIF(F23:AI23,"1"))</f>
        <v/>
      </c>
      <c r="D23" s="4">
        <f>IF(A23="","",IF(C23&gt;2*COUNTA(F$5:AI$5)/3,'Общий'!$M$11,IF(C23&gt;=COUNTA(F$5:AI$5)/2,'Общий'!$M$12,'Общий'!$M$13)))</f>
        <v/>
      </c>
      <c r="E23" s="4">
        <f>IF(A23="","",SUMIFS('Логи'!$H$7:$H$3006,'Логи'!$A$7:$A$3006,1,'Логи'!$B$7:$B$3006,1,'Логи'!$C$7:$C$3006,A23))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4" t="inlineStr">
        <is>
          <t>Студент1.19</t>
        </is>
      </c>
      <c r="B24" s="4" t="inlineStr"/>
      <c r="C24" s="4">
        <f>IF(A24="","",COUNTIF(F24:AI24,"+")+COUNTIF(F24:AI24,"1"))</f>
        <v/>
      </c>
      <c r="D24" s="4">
        <f>IF(A24="","",IF(C24&gt;2*COUNTA(F$5:AI$5)/3,'Общий'!$M$11,IF(C24&gt;=COUNTA(F$5:AI$5)/2,'Общий'!$M$12,'Общий'!$M$13)))</f>
        <v/>
      </c>
      <c r="E24" s="4">
        <f>IF(A24="","",SUMIFS('Логи'!$H$7:$H$3006,'Логи'!$A$7:$A$3006,1,'Логи'!$B$7:$B$3006,1,'Логи'!$C$7:$C$3006,A24))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</row>
    <row r="25">
      <c r="A25" s="4" t="inlineStr">
        <is>
          <t>Студент1.20</t>
        </is>
      </c>
      <c r="B25" s="4" t="inlineStr"/>
      <c r="C25" s="4">
        <f>IF(A25="","",COUNTIF(F25:AI25,"+")+COUNTIF(F25:AI25,"1"))</f>
        <v/>
      </c>
      <c r="D25" s="4">
        <f>IF(A25="","",IF(C25&gt;2*COUNTA(F$5:AI$5)/3,'Общий'!$M$11,IF(C25&gt;=COUNTA(F$5:AI$5)/2,'Общий'!$M$12,'Общий'!$M$13)))</f>
        <v/>
      </c>
      <c r="E25" s="4">
        <f>IF(A25="","",SUMIFS('Логи'!$H$7:$H$3006,'Логи'!$A$7:$A$3006,1,'Логи'!$B$7:$B$3006,1,'Логи'!$C$7:$C$3006,A25))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4" t="inlineStr">
        <is>
          <t>Студент1.21</t>
        </is>
      </c>
      <c r="B26" s="4" t="inlineStr"/>
      <c r="C26" s="4">
        <f>IF(A26="","",COUNTIF(F26:AI26,"+")+COUNTIF(F26:AI26,"1"))</f>
        <v/>
      </c>
      <c r="D26" s="4">
        <f>IF(A26="","",IF(C26&gt;2*COUNTA(F$5:AI$5)/3,'Общий'!$M$11,IF(C26&gt;=COUNTA(F$5:AI$5)/2,'Общий'!$M$12,'Общий'!$M$13)))</f>
        <v/>
      </c>
      <c r="E26" s="4">
        <f>IF(A26="","",SUMIFS('Логи'!$H$7:$H$3006,'Логи'!$A$7:$A$3006,1,'Логи'!$B$7:$B$3006,1,'Логи'!$C$7:$C$3006,A26))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</row>
    <row r="27">
      <c r="A27" s="4" t="inlineStr">
        <is>
          <t>Студент1.22</t>
        </is>
      </c>
      <c r="B27" s="4" t="inlineStr"/>
      <c r="C27" s="4">
        <f>IF(A27="","",COUNTIF(F27:AI27,"+")+COUNTIF(F27:AI27,"1"))</f>
        <v/>
      </c>
      <c r="D27" s="4">
        <f>IF(A27="","",IF(C27&gt;2*COUNTA(F$5:AI$5)/3,'Общий'!$M$11,IF(C27&gt;=COUNTA(F$5:AI$5)/2,'Общий'!$M$12,'Общий'!$M$13)))</f>
        <v/>
      </c>
      <c r="E27" s="4">
        <f>IF(A27="","",SUMIFS('Логи'!$H$7:$H$3006,'Логи'!$A$7:$A$3006,1,'Логи'!$B$7:$B$3006,1,'Логи'!$C$7:$C$3006,A27))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4" t="inlineStr">
        <is>
          <t>Студент1.23</t>
        </is>
      </c>
      <c r="B28" s="4" t="inlineStr"/>
      <c r="C28" s="4">
        <f>IF(A28="","",COUNTIF(F28:AI28,"+")+COUNTIF(F28:AI28,"1"))</f>
        <v/>
      </c>
      <c r="D28" s="4">
        <f>IF(A28="","",IF(C28&gt;2*COUNTA(F$5:AI$5)/3,'Общий'!$M$11,IF(C28&gt;=COUNTA(F$5:AI$5)/2,'Общий'!$M$12,'Общий'!$M$13)))</f>
        <v/>
      </c>
      <c r="E28" s="4">
        <f>IF(A28="","",SUMIFS('Логи'!$H$7:$H$3006,'Логи'!$A$7:$A$3006,1,'Логи'!$B$7:$B$3006,1,'Логи'!$C$7:$C$3006,A28))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</row>
    <row r="29">
      <c r="A29" s="4" t="inlineStr">
        <is>
          <t>Студент1.24</t>
        </is>
      </c>
      <c r="B29" s="4" t="inlineStr"/>
      <c r="C29" s="4">
        <f>IF(A29="","",COUNTIF(F29:AI29,"+")+COUNTIF(F29:AI29,"1"))</f>
        <v/>
      </c>
      <c r="D29" s="4">
        <f>IF(A29="","",IF(C29&gt;2*COUNTA(F$5:AI$5)/3,'Общий'!$M$11,IF(C29&gt;=COUNTA(F$5:AI$5)/2,'Общий'!$M$12,'Общий'!$M$13)))</f>
        <v/>
      </c>
      <c r="E29" s="4">
        <f>IF(A29="","",SUMIFS('Логи'!$H$7:$H$3006,'Логи'!$A$7:$A$3006,1,'Логи'!$B$7:$B$3006,1,'Логи'!$C$7:$C$3006,A29))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4" t="inlineStr">
        <is>
          <t>Студент1.25</t>
        </is>
      </c>
      <c r="B30" s="4" t="inlineStr"/>
      <c r="C30" s="4">
        <f>IF(A30="","",COUNTIF(F30:AI30,"+")+COUNTIF(F30:AI30,"1"))</f>
        <v/>
      </c>
      <c r="D30" s="4">
        <f>IF(A30="","",IF(C30&gt;2*COUNTA(F$5:AI$5)/3,'Общий'!$M$11,IF(C30&gt;=COUNTA(F$5:AI$5)/2,'Общий'!$M$12,'Общий'!$M$13)))</f>
        <v/>
      </c>
      <c r="E30" s="4">
        <f>IF(A30="","",SUMIFS('Логи'!$H$7:$H$3006,'Логи'!$A$7:$A$3006,1,'Логи'!$B$7:$B$3006,1,'Логи'!$C$7:$C$3006,A30))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</row>
    <row r="31">
      <c r="A31" s="4" t="inlineStr">
        <is>
          <t>Студент1.26</t>
        </is>
      </c>
      <c r="B31" s="4" t="inlineStr"/>
      <c r="C31" s="4">
        <f>IF(A31="","",COUNTIF(F31:AI31,"+")+COUNTIF(F31:AI31,"1"))</f>
        <v/>
      </c>
      <c r="D31" s="4">
        <f>IF(A31="","",IF(C31&gt;2*COUNTA(F$5:AI$5)/3,'Общий'!$M$11,IF(C31&gt;=COUNTA(F$5:AI$5)/2,'Общий'!$M$12,'Общий'!$M$13)))</f>
        <v/>
      </c>
      <c r="E31" s="4">
        <f>IF(A31="","",SUMIFS('Логи'!$H$7:$H$3006,'Логи'!$A$7:$A$3006,1,'Логи'!$B$7:$B$3006,1,'Логи'!$C$7:$C$3006,A31))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4" t="inlineStr">
        <is>
          <t>Студент1.27</t>
        </is>
      </c>
      <c r="B32" s="4" t="inlineStr"/>
      <c r="C32" s="4">
        <f>IF(A32="","",COUNTIF(F32:AI32,"+")+COUNTIF(F32:AI32,"1"))</f>
        <v/>
      </c>
      <c r="D32" s="4">
        <f>IF(A32="","",IF(C32&gt;2*COUNTA(F$5:AI$5)/3,'Общий'!$M$11,IF(C32&gt;=COUNTA(F$5:AI$5)/2,'Общий'!$M$12,'Общий'!$M$13)))</f>
        <v/>
      </c>
      <c r="E32" s="4">
        <f>IF(A32="","",SUMIFS('Логи'!$H$7:$H$3006,'Логи'!$A$7:$A$3006,1,'Логи'!$B$7:$B$3006,1,'Логи'!$C$7:$C$3006,A32))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>
      <c r="A33" s="4" t="inlineStr">
        <is>
          <t>Студент1.28</t>
        </is>
      </c>
      <c r="B33" s="4" t="inlineStr"/>
      <c r="C33" s="4">
        <f>IF(A33="","",COUNTIF(F33:AI33,"+")+COUNTIF(F33:AI33,"1"))</f>
        <v/>
      </c>
      <c r="D33" s="4">
        <f>IF(A33="","",IF(C33&gt;2*COUNTA(F$5:AI$5)/3,'Общий'!$M$11,IF(C33&gt;=COUNTA(F$5:AI$5)/2,'Общий'!$M$12,'Общий'!$M$13)))</f>
        <v/>
      </c>
      <c r="E33" s="4">
        <f>IF(A33="","",SUMIFS('Логи'!$H$7:$H$3006,'Логи'!$A$7:$A$3006,1,'Логи'!$B$7:$B$3006,1,'Логи'!$C$7:$C$3006,A33))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4" t="inlineStr">
        <is>
          <t>Студент1.29</t>
        </is>
      </c>
      <c r="B34" s="4" t="inlineStr"/>
      <c r="C34" s="4">
        <f>IF(A34="","",COUNTIF(F34:AI34,"+")+COUNTIF(F34:AI34,"1"))</f>
        <v/>
      </c>
      <c r="D34" s="4">
        <f>IF(A34="","",IF(C34&gt;2*COUNTA(F$5:AI$5)/3,'Общий'!$M$11,IF(C34&gt;=COUNTA(F$5:AI$5)/2,'Общий'!$M$12,'Общий'!$M$13)))</f>
        <v/>
      </c>
      <c r="E34" s="4">
        <f>IF(A34="","",SUMIFS('Логи'!$H$7:$H$3006,'Логи'!$A$7:$A$3006,1,'Логи'!$B$7:$B$3006,1,'Логи'!$C$7:$C$3006,A34))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</row>
    <row r="35">
      <c r="A35" s="4" t="inlineStr">
        <is>
          <t>Студент1.30</t>
        </is>
      </c>
      <c r="B35" s="4" t="inlineStr"/>
      <c r="C35" s="4">
        <f>IF(A35="","",COUNTIF(F35:AI35,"+")+COUNTIF(F35:AI35,"1"))</f>
        <v/>
      </c>
      <c r="D35" s="4">
        <f>IF(A35="","",IF(C35&gt;2*COUNTA(F$5:AI$5)/3,'Общий'!$M$11,IF(C35&gt;=COUNTA(F$5:AI$5)/2,'Общий'!$M$12,'Общий'!$M$13)))</f>
        <v/>
      </c>
      <c r="E35" s="4">
        <f>IF(A35="","",SUMIFS('Логи'!$H$7:$H$3006,'Логи'!$A$7:$A$3006,1,'Логи'!$B$7:$B$3006,1,'Логи'!$C$7:$C$3006,A35))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7">
      <c r="A37" s="19" t="inlineStr">
        <is>
          <t>Практика 1 — результаты рассказа</t>
        </is>
      </c>
    </row>
    <row r="38" ht="28" customHeight="1">
      <c r="A38" s="9" t="inlineStr">
        <is>
          <t>Имя</t>
        </is>
      </c>
      <c r="B38" s="11" t="inlineStr">
        <is>
          <t>TG</t>
        </is>
      </c>
      <c r="C38" s="12" t="inlineStr"/>
      <c r="D38" s="3" t="inlineStr"/>
      <c r="E38" s="3" t="inlineStr"/>
      <c r="F38" s="13" t="inlineStr">
        <is>
          <t>1.0</t>
        </is>
      </c>
      <c r="G38" s="13" t="inlineStr">
        <is>
          <t>2.0</t>
        </is>
      </c>
      <c r="H38" s="13" t="inlineStr">
        <is>
          <t>3.0</t>
        </is>
      </c>
      <c r="I38" s="13" t="inlineStr">
        <is>
          <t>4.0</t>
        </is>
      </c>
      <c r="J38" s="13" t="inlineStr">
        <is>
          <t>5.0</t>
        </is>
      </c>
      <c r="K38" s="13" t="inlineStr">
        <is>
          <t>6</t>
        </is>
      </c>
      <c r="L38" s="13" t="inlineStr">
        <is>
          <t>7</t>
        </is>
      </c>
      <c r="M38" s="13" t="inlineStr">
        <is>
          <t>8</t>
        </is>
      </c>
      <c r="N38" s="13" t="inlineStr">
        <is>
          <t>9</t>
        </is>
      </c>
      <c r="O38" s="13" t="inlineStr">
        <is>
          <t>10</t>
        </is>
      </c>
      <c r="P38" s="13" t="inlineStr">
        <is>
          <t>11</t>
        </is>
      </c>
      <c r="Q38" s="13" t="inlineStr">
        <is>
          <t>12</t>
        </is>
      </c>
      <c r="R38" s="13" t="inlineStr">
        <is>
          <t>13</t>
        </is>
      </c>
      <c r="S38" s="13" t="inlineStr">
        <is>
          <t>14</t>
        </is>
      </c>
      <c r="T38" s="13" t="inlineStr">
        <is>
          <t>15</t>
        </is>
      </c>
      <c r="U38" s="13" t="inlineStr">
        <is>
          <t>16</t>
        </is>
      </c>
      <c r="V38" s="13" t="inlineStr">
        <is>
          <t>17</t>
        </is>
      </c>
      <c r="W38" s="13" t="inlineStr">
        <is>
          <t>18</t>
        </is>
      </c>
      <c r="X38" s="13" t="inlineStr">
        <is>
          <t>19</t>
        </is>
      </c>
      <c r="Y38" s="13" t="inlineStr">
        <is>
          <t>20</t>
        </is>
      </c>
      <c r="Z38" s="13" t="inlineStr">
        <is>
          <t>21</t>
        </is>
      </c>
      <c r="AA38" s="13" t="inlineStr">
        <is>
          <t>22</t>
        </is>
      </c>
      <c r="AB38" s="13" t="inlineStr">
        <is>
          <t>23</t>
        </is>
      </c>
      <c r="AC38" s="13" t="inlineStr">
        <is>
          <t>24</t>
        </is>
      </c>
      <c r="AD38" s="13" t="inlineStr">
        <is>
          <t>25</t>
        </is>
      </c>
      <c r="AE38" s="13" t="inlineStr">
        <is>
          <t>26</t>
        </is>
      </c>
      <c r="AF38" s="13" t="inlineStr">
        <is>
          <t>27</t>
        </is>
      </c>
      <c r="AG38" s="13" t="inlineStr">
        <is>
          <t>28</t>
        </is>
      </c>
      <c r="AH38" s="13" t="inlineStr">
        <is>
          <t>29</t>
        </is>
      </c>
      <c r="AI38" s="13" t="inlineStr">
        <is>
          <t>30</t>
        </is>
      </c>
    </row>
    <row r="39">
      <c r="A39" s="4" t="inlineStr">
        <is>
          <t>Студент1.1</t>
        </is>
      </c>
      <c r="B39" s="4" t="inlineStr"/>
      <c r="C39" s="4" t="n"/>
      <c r="D39" s="4" t="n"/>
      <c r="E39" s="4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4" t="inlineStr">
        <is>
          <t>Студент1.2</t>
        </is>
      </c>
      <c r="B40" s="4" t="inlineStr"/>
      <c r="C40" s="4" t="n"/>
      <c r="D40" s="4" t="n"/>
      <c r="E40" s="4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</row>
    <row r="41">
      <c r="A41" s="4" t="inlineStr">
        <is>
          <t>Студент1.3</t>
        </is>
      </c>
      <c r="B41" s="4" t="inlineStr"/>
      <c r="C41" s="4" t="n"/>
      <c r="D41" s="4" t="n"/>
      <c r="E41" s="4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4" t="inlineStr">
        <is>
          <t>Студент1.4</t>
        </is>
      </c>
      <c r="B42" s="4" t="inlineStr"/>
      <c r="C42" s="4" t="n"/>
      <c r="D42" s="4" t="n"/>
      <c r="E42" s="4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4" t="inlineStr">
        <is>
          <t>Студент1.5</t>
        </is>
      </c>
      <c r="B43" s="4" t="inlineStr"/>
      <c r="C43" s="4" t="n"/>
      <c r="D43" s="4" t="n"/>
      <c r="E43" s="4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4" t="inlineStr">
        <is>
          <t>Студент1.6</t>
        </is>
      </c>
      <c r="B44" s="4" t="inlineStr"/>
      <c r="C44" s="4" t="n"/>
      <c r="D44" s="4" t="n"/>
      <c r="E44" s="4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</row>
    <row r="45">
      <c r="A45" s="4" t="inlineStr">
        <is>
          <t>Студент1.7</t>
        </is>
      </c>
      <c r="B45" s="4" t="inlineStr"/>
      <c r="C45" s="4" t="n"/>
      <c r="D45" s="4" t="n"/>
      <c r="E45" s="4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4" t="inlineStr">
        <is>
          <t>Студент1.8</t>
        </is>
      </c>
      <c r="B46" s="4" t="inlineStr"/>
      <c r="C46" s="4" t="n"/>
      <c r="D46" s="4" t="n"/>
      <c r="E46" s="4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</row>
    <row r="47">
      <c r="A47" s="4" t="inlineStr">
        <is>
          <t>Студент1.9</t>
        </is>
      </c>
      <c r="B47" s="4" t="inlineStr"/>
      <c r="C47" s="4" t="n"/>
      <c r="D47" s="4" t="n"/>
      <c r="E47" s="4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4" t="inlineStr">
        <is>
          <t>Студент1.10</t>
        </is>
      </c>
      <c r="B48" s="4" t="inlineStr"/>
      <c r="C48" s="4" t="n"/>
      <c r="D48" s="4" t="n"/>
      <c r="E48" s="4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</row>
    <row r="49">
      <c r="A49" s="4" t="inlineStr">
        <is>
          <t>Студент1.11</t>
        </is>
      </c>
      <c r="B49" s="4" t="inlineStr"/>
      <c r="C49" s="4" t="n"/>
      <c r="D49" s="4" t="n"/>
      <c r="E49" s="4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4" t="inlineStr">
        <is>
          <t>Студент1.12</t>
        </is>
      </c>
      <c r="B50" s="4" t="inlineStr"/>
      <c r="C50" s="4" t="n"/>
      <c r="D50" s="4" t="n"/>
      <c r="E50" s="4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</row>
    <row r="51">
      <c r="A51" s="4" t="inlineStr">
        <is>
          <t>Студент1.13</t>
        </is>
      </c>
      <c r="B51" s="4" t="inlineStr"/>
      <c r="C51" s="4" t="n"/>
      <c r="D51" s="4" t="n"/>
      <c r="E51" s="4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4" t="inlineStr">
        <is>
          <t>Студент1.14</t>
        </is>
      </c>
      <c r="B52" s="4" t="inlineStr"/>
      <c r="C52" s="4" t="n"/>
      <c r="D52" s="4" t="n"/>
      <c r="E52" s="4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</row>
    <row r="53">
      <c r="A53" s="4" t="inlineStr">
        <is>
          <t>Студент1.15</t>
        </is>
      </c>
      <c r="B53" s="4" t="inlineStr"/>
      <c r="C53" s="4" t="n"/>
      <c r="D53" s="4" t="n"/>
      <c r="E53" s="4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4" t="inlineStr">
        <is>
          <t>Студент1.16</t>
        </is>
      </c>
      <c r="B54" s="4" t="inlineStr"/>
      <c r="C54" s="4" t="n"/>
      <c r="D54" s="4" t="n"/>
      <c r="E54" s="4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</row>
    <row r="55">
      <c r="A55" s="4" t="inlineStr">
        <is>
          <t>Студент1.17</t>
        </is>
      </c>
      <c r="B55" s="4" t="inlineStr"/>
      <c r="C55" s="4" t="n"/>
      <c r="D55" s="4" t="n"/>
      <c r="E55" s="4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4" t="inlineStr">
        <is>
          <t>Студент1.18</t>
        </is>
      </c>
      <c r="B56" s="4" t="inlineStr"/>
      <c r="C56" s="4" t="n"/>
      <c r="D56" s="4" t="n"/>
      <c r="E56" s="4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</row>
    <row r="57">
      <c r="A57" s="4" t="inlineStr">
        <is>
          <t>Студент1.19</t>
        </is>
      </c>
      <c r="B57" s="4" t="inlineStr"/>
      <c r="C57" s="4" t="n"/>
      <c r="D57" s="4" t="n"/>
      <c r="E57" s="4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4" t="inlineStr">
        <is>
          <t>Студент1.20</t>
        </is>
      </c>
      <c r="B58" s="4" t="inlineStr"/>
      <c r="C58" s="4" t="n"/>
      <c r="D58" s="4" t="n"/>
      <c r="E58" s="4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>
      <c r="A59" s="4" t="inlineStr">
        <is>
          <t>Студент1.21</t>
        </is>
      </c>
      <c r="B59" s="4" t="inlineStr"/>
      <c r="C59" s="4" t="n"/>
      <c r="D59" s="4" t="n"/>
      <c r="E59" s="4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4" t="inlineStr">
        <is>
          <t>Студент1.22</t>
        </is>
      </c>
      <c r="B60" s="4" t="inlineStr"/>
      <c r="C60" s="4" t="n"/>
      <c r="D60" s="4" t="n"/>
      <c r="E60" s="4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4" t="inlineStr">
        <is>
          <t>Студент1.23</t>
        </is>
      </c>
      <c r="B61" s="4" t="inlineStr"/>
      <c r="C61" s="4" t="n"/>
      <c r="D61" s="4" t="n"/>
      <c r="E61" s="4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4" t="inlineStr">
        <is>
          <t>Студент1.24</t>
        </is>
      </c>
      <c r="B62" s="4" t="inlineStr"/>
      <c r="C62" s="4" t="n"/>
      <c r="D62" s="4" t="n"/>
      <c r="E62" s="4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4" t="inlineStr">
        <is>
          <t>Студент1.25</t>
        </is>
      </c>
      <c r="B63" s="4" t="inlineStr"/>
      <c r="C63" s="4" t="n"/>
      <c r="D63" s="4" t="n"/>
      <c r="E63" s="4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4" t="inlineStr">
        <is>
          <t>Студент1.26</t>
        </is>
      </c>
      <c r="B64" s="4" t="inlineStr"/>
      <c r="C64" s="4" t="n"/>
      <c r="D64" s="4" t="n"/>
      <c r="E64" s="4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4" t="inlineStr">
        <is>
          <t>Студент1.27</t>
        </is>
      </c>
      <c r="B65" s="4" t="inlineStr"/>
      <c r="C65" s="4" t="n"/>
      <c r="D65" s="4" t="n"/>
      <c r="E65" s="4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4" t="inlineStr">
        <is>
          <t>Студент1.28</t>
        </is>
      </c>
      <c r="B66" s="4" t="inlineStr"/>
      <c r="C66" s="4" t="n"/>
      <c r="D66" s="4" t="n"/>
      <c r="E66" s="4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4" t="inlineStr">
        <is>
          <t>Студент1.29</t>
        </is>
      </c>
      <c r="B67" s="4" t="inlineStr"/>
      <c r="C67" s="4" t="n"/>
      <c r="D67" s="4" t="n"/>
      <c r="E67" s="4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4" t="inlineStr">
        <is>
          <t>Студент1.30</t>
        </is>
      </c>
      <c r="B68" s="4" t="inlineStr"/>
      <c r="C68" s="4" t="n"/>
      <c r="D68" s="4" t="n"/>
      <c r="E68" s="4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72">
      <c r="A72" s="17" t="inlineStr">
        <is>
          <t>Практика 2 — плюсы</t>
        </is>
      </c>
    </row>
    <row r="73" ht="28" customHeight="1">
      <c r="A73" s="9" t="inlineStr">
        <is>
          <t>Имя</t>
        </is>
      </c>
      <c r="B73" s="11" t="inlineStr">
        <is>
          <t>TG</t>
        </is>
      </c>
      <c r="C73" s="12" t="inlineStr">
        <is>
          <t>S</t>
        </is>
      </c>
      <c r="D73" s="10" t="inlineStr">
        <is>
          <t>Коэффициент</t>
        </is>
      </c>
      <c r="E73" s="18" t="inlineStr">
        <is>
          <t>D за практику</t>
        </is>
      </c>
      <c r="F73" s="13" t="inlineStr">
        <is>
          <t>1.0</t>
        </is>
      </c>
      <c r="G73" s="13" t="inlineStr">
        <is>
          <t>2.0</t>
        </is>
      </c>
      <c r="H73" s="13" t="inlineStr">
        <is>
          <t>3.0</t>
        </is>
      </c>
      <c r="I73" s="13" t="inlineStr">
        <is>
          <t>4.0</t>
        </is>
      </c>
      <c r="J73" s="13" t="inlineStr">
        <is>
          <t>5.0</t>
        </is>
      </c>
      <c r="K73" s="13" t="inlineStr">
        <is>
          <t>6</t>
        </is>
      </c>
      <c r="L73" s="13" t="inlineStr">
        <is>
          <t>7</t>
        </is>
      </c>
      <c r="M73" s="13" t="inlineStr">
        <is>
          <t>8</t>
        </is>
      </c>
      <c r="N73" s="13" t="inlineStr">
        <is>
          <t>9</t>
        </is>
      </c>
      <c r="O73" s="13" t="inlineStr">
        <is>
          <t>10</t>
        </is>
      </c>
      <c r="P73" s="13" t="inlineStr">
        <is>
          <t>11</t>
        </is>
      </c>
      <c r="Q73" s="13" t="inlineStr">
        <is>
          <t>12</t>
        </is>
      </c>
      <c r="R73" s="13" t="inlineStr">
        <is>
          <t>13</t>
        </is>
      </c>
      <c r="S73" s="13" t="inlineStr">
        <is>
          <t>14</t>
        </is>
      </c>
      <c r="T73" s="13" t="inlineStr">
        <is>
          <t>15</t>
        </is>
      </c>
      <c r="U73" s="13" t="inlineStr">
        <is>
          <t>16</t>
        </is>
      </c>
      <c r="V73" s="13" t="inlineStr">
        <is>
          <t>17</t>
        </is>
      </c>
      <c r="W73" s="13" t="inlineStr">
        <is>
          <t>18</t>
        </is>
      </c>
      <c r="X73" s="13" t="inlineStr">
        <is>
          <t>19</t>
        </is>
      </c>
      <c r="Y73" s="13" t="inlineStr">
        <is>
          <t>20</t>
        </is>
      </c>
      <c r="Z73" s="13" t="inlineStr">
        <is>
          <t>21</t>
        </is>
      </c>
      <c r="AA73" s="13" t="inlineStr">
        <is>
          <t>22</t>
        </is>
      </c>
      <c r="AB73" s="13" t="inlineStr">
        <is>
          <t>23</t>
        </is>
      </c>
      <c r="AC73" s="13" t="inlineStr">
        <is>
          <t>24</t>
        </is>
      </c>
      <c r="AD73" s="13" t="inlineStr">
        <is>
          <t>25</t>
        </is>
      </c>
      <c r="AE73" s="13" t="inlineStr">
        <is>
          <t>26</t>
        </is>
      </c>
      <c r="AF73" s="13" t="inlineStr">
        <is>
          <t>27</t>
        </is>
      </c>
      <c r="AG73" s="13" t="inlineStr">
        <is>
          <t>28</t>
        </is>
      </c>
      <c r="AH73" s="13" t="inlineStr">
        <is>
          <t>29</t>
        </is>
      </c>
      <c r="AI73" s="13" t="inlineStr">
        <is>
          <t>30</t>
        </is>
      </c>
    </row>
    <row r="74">
      <c r="A74" s="4" t="inlineStr">
        <is>
          <t>Студент1.1</t>
        </is>
      </c>
      <c r="B74" s="4" t="inlineStr"/>
      <c r="C74" s="4">
        <f>IF(A74="","",COUNTIF(F74:AI74,"+")+COUNTIF(F74:AI74,"1"))</f>
        <v/>
      </c>
      <c r="D74" s="4">
        <f>IF(A74="","",IF(C74&gt;2*COUNTA(F$73:AI$73)/3,'Общий'!$M$11,IF(C74&gt;=COUNTA(F$73:AI$73)/2,'Общий'!$M$12,'Общий'!$M$13)))</f>
        <v/>
      </c>
      <c r="E74" s="4">
        <f>IF(A74="","",SUMIFS('Логи'!$H$7:$H$3006,'Логи'!$A$7:$A$3006,2,'Логи'!$B$7:$B$3006,1,'Логи'!$C$7:$C$3006,A74))</f>
        <v/>
      </c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4" t="inlineStr">
        <is>
          <t>Студент1.2</t>
        </is>
      </c>
      <c r="B75" s="4" t="inlineStr"/>
      <c r="C75" s="4">
        <f>IF(A75="","",COUNTIF(F75:AI75,"+")+COUNTIF(F75:AI75,"1"))</f>
        <v/>
      </c>
      <c r="D75" s="4">
        <f>IF(A75="","",IF(C75&gt;2*COUNTA(F$73:AI$73)/3,'Общий'!$M$11,IF(C75&gt;=COUNTA(F$73:AI$73)/2,'Общий'!$M$12,'Общий'!$M$13)))</f>
        <v/>
      </c>
      <c r="E75" s="4">
        <f>IF(A75="","",SUMIFS('Логи'!$H$7:$H$3006,'Логи'!$A$7:$A$3006,2,'Логи'!$B$7:$B$3006,1,'Логи'!$C$7:$C$3006,A75))</f>
        <v/>
      </c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4" t="inlineStr">
        <is>
          <t>Студент1.3</t>
        </is>
      </c>
      <c r="B76" s="4" t="inlineStr"/>
      <c r="C76" s="4">
        <f>IF(A76="","",COUNTIF(F76:AI76,"+")+COUNTIF(F76:AI76,"1"))</f>
        <v/>
      </c>
      <c r="D76" s="4">
        <f>IF(A76="","",IF(C76&gt;2*COUNTA(F$73:AI$73)/3,'Общий'!$M$11,IF(C76&gt;=COUNTA(F$73:AI$73)/2,'Общий'!$M$12,'Общий'!$M$13)))</f>
        <v/>
      </c>
      <c r="E76" s="4">
        <f>IF(A76="","",SUMIFS('Логи'!$H$7:$H$3006,'Логи'!$A$7:$A$3006,2,'Логи'!$B$7:$B$3006,1,'Логи'!$C$7:$C$3006,A76))</f>
        <v/>
      </c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4" t="inlineStr">
        <is>
          <t>Студент1.4</t>
        </is>
      </c>
      <c r="B77" s="4" t="inlineStr"/>
      <c r="C77" s="4">
        <f>IF(A77="","",COUNTIF(F77:AI77,"+")+COUNTIF(F77:AI77,"1"))</f>
        <v/>
      </c>
      <c r="D77" s="4">
        <f>IF(A77="","",IF(C77&gt;2*COUNTA(F$73:AI$73)/3,'Общий'!$M$11,IF(C77&gt;=COUNTA(F$73:AI$73)/2,'Общий'!$M$12,'Общий'!$M$13)))</f>
        <v/>
      </c>
      <c r="E77" s="4">
        <f>IF(A77="","",SUMIFS('Логи'!$H$7:$H$3006,'Логи'!$A$7:$A$3006,2,'Логи'!$B$7:$B$3006,1,'Логи'!$C$7:$C$3006,A77))</f>
        <v/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4" t="inlineStr">
        <is>
          <t>Студент1.5</t>
        </is>
      </c>
      <c r="B78" s="4" t="inlineStr"/>
      <c r="C78" s="4">
        <f>IF(A78="","",COUNTIF(F78:AI78,"+")+COUNTIF(F78:AI78,"1"))</f>
        <v/>
      </c>
      <c r="D78" s="4">
        <f>IF(A78="","",IF(C78&gt;2*COUNTA(F$73:AI$73)/3,'Общий'!$M$11,IF(C78&gt;=COUNTA(F$73:AI$73)/2,'Общий'!$M$12,'Общий'!$M$13)))</f>
        <v/>
      </c>
      <c r="E78" s="4">
        <f>IF(A78="","",SUMIFS('Логи'!$H$7:$H$3006,'Логи'!$A$7:$A$3006,2,'Логи'!$B$7:$B$3006,1,'Логи'!$C$7:$C$3006,A78))</f>
        <v/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4" t="inlineStr">
        <is>
          <t>Студент1.6</t>
        </is>
      </c>
      <c r="B79" s="4" t="inlineStr"/>
      <c r="C79" s="4">
        <f>IF(A79="","",COUNTIF(F79:AI79,"+")+COUNTIF(F79:AI79,"1"))</f>
        <v/>
      </c>
      <c r="D79" s="4">
        <f>IF(A79="","",IF(C79&gt;2*COUNTA(F$73:AI$73)/3,'Общий'!$M$11,IF(C79&gt;=COUNTA(F$73:AI$73)/2,'Общий'!$M$12,'Общий'!$M$13)))</f>
        <v/>
      </c>
      <c r="E79" s="4">
        <f>IF(A79="","",SUMIFS('Логи'!$H$7:$H$3006,'Логи'!$A$7:$A$3006,2,'Логи'!$B$7:$B$3006,1,'Логи'!$C$7:$C$3006,A79))</f>
        <v/>
      </c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4" t="inlineStr">
        <is>
          <t>Студент1.7</t>
        </is>
      </c>
      <c r="B80" s="4" t="inlineStr"/>
      <c r="C80" s="4">
        <f>IF(A80="","",COUNTIF(F80:AI80,"+")+COUNTIF(F80:AI80,"1"))</f>
        <v/>
      </c>
      <c r="D80" s="4">
        <f>IF(A80="","",IF(C80&gt;2*COUNTA(F$73:AI$73)/3,'Общий'!$M$11,IF(C80&gt;=COUNTA(F$73:AI$73)/2,'Общий'!$M$12,'Общий'!$M$13)))</f>
        <v/>
      </c>
      <c r="E80" s="4">
        <f>IF(A80="","",SUMIFS('Логи'!$H$7:$H$3006,'Логи'!$A$7:$A$3006,2,'Логи'!$B$7:$B$3006,1,'Логи'!$C$7:$C$3006,A80))</f>
        <v/>
      </c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4" t="inlineStr">
        <is>
          <t>Студент1.8</t>
        </is>
      </c>
      <c r="B81" s="4" t="inlineStr"/>
      <c r="C81" s="4">
        <f>IF(A81="","",COUNTIF(F81:AI81,"+")+COUNTIF(F81:AI81,"1"))</f>
        <v/>
      </c>
      <c r="D81" s="4">
        <f>IF(A81="","",IF(C81&gt;2*COUNTA(F$73:AI$73)/3,'Общий'!$M$11,IF(C81&gt;=COUNTA(F$73:AI$73)/2,'Общий'!$M$12,'Общий'!$M$13)))</f>
        <v/>
      </c>
      <c r="E81" s="4">
        <f>IF(A81="","",SUMIFS('Логи'!$H$7:$H$3006,'Логи'!$A$7:$A$3006,2,'Логи'!$B$7:$B$3006,1,'Логи'!$C$7:$C$3006,A81))</f>
        <v/>
      </c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4" t="inlineStr">
        <is>
          <t>Студент1.9</t>
        </is>
      </c>
      <c r="B82" s="4" t="inlineStr"/>
      <c r="C82" s="4">
        <f>IF(A82="","",COUNTIF(F82:AI82,"+")+COUNTIF(F82:AI82,"1"))</f>
        <v/>
      </c>
      <c r="D82" s="4">
        <f>IF(A82="","",IF(C82&gt;2*COUNTA(F$73:AI$73)/3,'Общий'!$M$11,IF(C82&gt;=COUNTA(F$73:AI$73)/2,'Общий'!$M$12,'Общий'!$M$13)))</f>
        <v/>
      </c>
      <c r="E82" s="4">
        <f>IF(A82="","",SUMIFS('Логи'!$H$7:$H$3006,'Логи'!$A$7:$A$3006,2,'Логи'!$B$7:$B$3006,1,'Логи'!$C$7:$C$3006,A82))</f>
        <v/>
      </c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4" t="inlineStr">
        <is>
          <t>Студент1.10</t>
        </is>
      </c>
      <c r="B83" s="4" t="inlineStr"/>
      <c r="C83" s="4">
        <f>IF(A83="","",COUNTIF(F83:AI83,"+")+COUNTIF(F83:AI83,"1"))</f>
        <v/>
      </c>
      <c r="D83" s="4">
        <f>IF(A83="","",IF(C83&gt;2*COUNTA(F$73:AI$73)/3,'Общий'!$M$11,IF(C83&gt;=COUNTA(F$73:AI$73)/2,'Общий'!$M$12,'Общий'!$M$13)))</f>
        <v/>
      </c>
      <c r="E83" s="4">
        <f>IF(A83="","",SUMIFS('Логи'!$H$7:$H$3006,'Логи'!$A$7:$A$3006,2,'Логи'!$B$7:$B$3006,1,'Логи'!$C$7:$C$3006,A83))</f>
        <v/>
      </c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4" t="inlineStr">
        <is>
          <t>Студент1.11</t>
        </is>
      </c>
      <c r="B84" s="4" t="inlineStr"/>
      <c r="C84" s="4">
        <f>IF(A84="","",COUNTIF(F84:AI84,"+")+COUNTIF(F84:AI84,"1"))</f>
        <v/>
      </c>
      <c r="D84" s="4">
        <f>IF(A84="","",IF(C84&gt;2*COUNTA(F$73:AI$73)/3,'Общий'!$M$11,IF(C84&gt;=COUNTA(F$73:AI$73)/2,'Общий'!$M$12,'Общий'!$M$13)))</f>
        <v/>
      </c>
      <c r="E84" s="4">
        <f>IF(A84="","",SUMIFS('Логи'!$H$7:$H$3006,'Логи'!$A$7:$A$3006,2,'Логи'!$B$7:$B$3006,1,'Логи'!$C$7:$C$3006,A84))</f>
        <v/>
      </c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4" t="inlineStr">
        <is>
          <t>Студент1.12</t>
        </is>
      </c>
      <c r="B85" s="4" t="inlineStr"/>
      <c r="C85" s="4">
        <f>IF(A85="","",COUNTIF(F85:AI85,"+")+COUNTIF(F85:AI85,"1"))</f>
        <v/>
      </c>
      <c r="D85" s="4">
        <f>IF(A85="","",IF(C85&gt;2*COUNTA(F$73:AI$73)/3,'Общий'!$M$11,IF(C85&gt;=COUNTA(F$73:AI$73)/2,'Общий'!$M$12,'Общий'!$M$13)))</f>
        <v/>
      </c>
      <c r="E85" s="4">
        <f>IF(A85="","",SUMIFS('Логи'!$H$7:$H$3006,'Логи'!$A$7:$A$3006,2,'Логи'!$B$7:$B$3006,1,'Логи'!$C$7:$C$3006,A85))</f>
        <v/>
      </c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4" t="inlineStr">
        <is>
          <t>Студент1.13</t>
        </is>
      </c>
      <c r="B86" s="4" t="inlineStr"/>
      <c r="C86" s="4">
        <f>IF(A86="","",COUNTIF(F86:AI86,"+")+COUNTIF(F86:AI86,"1"))</f>
        <v/>
      </c>
      <c r="D86" s="4">
        <f>IF(A86="","",IF(C86&gt;2*COUNTA(F$73:AI$73)/3,'Общий'!$M$11,IF(C86&gt;=COUNTA(F$73:AI$73)/2,'Общий'!$M$12,'Общий'!$M$13)))</f>
        <v/>
      </c>
      <c r="E86" s="4">
        <f>IF(A86="","",SUMIFS('Логи'!$H$7:$H$3006,'Логи'!$A$7:$A$3006,2,'Логи'!$B$7:$B$3006,1,'Логи'!$C$7:$C$3006,A86))</f>
        <v/>
      </c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4" t="inlineStr">
        <is>
          <t>Студент1.14</t>
        </is>
      </c>
      <c r="B87" s="4" t="inlineStr"/>
      <c r="C87" s="4">
        <f>IF(A87="","",COUNTIF(F87:AI87,"+")+COUNTIF(F87:AI87,"1"))</f>
        <v/>
      </c>
      <c r="D87" s="4">
        <f>IF(A87="","",IF(C87&gt;2*COUNTA(F$73:AI$73)/3,'Общий'!$M$11,IF(C87&gt;=COUNTA(F$73:AI$73)/2,'Общий'!$M$12,'Общий'!$M$13)))</f>
        <v/>
      </c>
      <c r="E87" s="4">
        <f>IF(A87="","",SUMIFS('Логи'!$H$7:$H$3006,'Логи'!$A$7:$A$3006,2,'Логи'!$B$7:$B$3006,1,'Логи'!$C$7:$C$3006,A87))</f>
        <v/>
      </c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4" t="inlineStr">
        <is>
          <t>Студент1.15</t>
        </is>
      </c>
      <c r="B88" s="4" t="inlineStr"/>
      <c r="C88" s="4">
        <f>IF(A88="","",COUNTIF(F88:AI88,"+")+COUNTIF(F88:AI88,"1"))</f>
        <v/>
      </c>
      <c r="D88" s="4">
        <f>IF(A88="","",IF(C88&gt;2*COUNTA(F$73:AI$73)/3,'Общий'!$M$11,IF(C88&gt;=COUNTA(F$73:AI$73)/2,'Общий'!$M$12,'Общий'!$M$13)))</f>
        <v/>
      </c>
      <c r="E88" s="4">
        <f>IF(A88="","",SUMIFS('Логи'!$H$7:$H$3006,'Логи'!$A$7:$A$3006,2,'Логи'!$B$7:$B$3006,1,'Логи'!$C$7:$C$3006,A88))</f>
        <v/>
      </c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4" t="inlineStr">
        <is>
          <t>Студент1.16</t>
        </is>
      </c>
      <c r="B89" s="4" t="inlineStr"/>
      <c r="C89" s="4">
        <f>IF(A89="","",COUNTIF(F89:AI89,"+")+COUNTIF(F89:AI89,"1"))</f>
        <v/>
      </c>
      <c r="D89" s="4">
        <f>IF(A89="","",IF(C89&gt;2*COUNTA(F$73:AI$73)/3,'Общий'!$M$11,IF(C89&gt;=COUNTA(F$73:AI$73)/2,'Общий'!$M$12,'Общий'!$M$13)))</f>
        <v/>
      </c>
      <c r="E89" s="4">
        <f>IF(A89="","",SUMIFS('Логи'!$H$7:$H$3006,'Логи'!$A$7:$A$3006,2,'Логи'!$B$7:$B$3006,1,'Логи'!$C$7:$C$3006,A89))</f>
        <v/>
      </c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4" t="inlineStr">
        <is>
          <t>Студент1.17</t>
        </is>
      </c>
      <c r="B90" s="4" t="inlineStr"/>
      <c r="C90" s="4">
        <f>IF(A90="","",COUNTIF(F90:AI90,"+")+COUNTIF(F90:AI90,"1"))</f>
        <v/>
      </c>
      <c r="D90" s="4">
        <f>IF(A90="","",IF(C90&gt;2*COUNTA(F$73:AI$73)/3,'Общий'!$M$11,IF(C90&gt;=COUNTA(F$73:AI$73)/2,'Общий'!$M$12,'Общий'!$M$13)))</f>
        <v/>
      </c>
      <c r="E90" s="4">
        <f>IF(A90="","",SUMIFS('Логи'!$H$7:$H$3006,'Логи'!$A$7:$A$3006,2,'Логи'!$B$7:$B$3006,1,'Логи'!$C$7:$C$3006,A90))</f>
        <v/>
      </c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4" t="inlineStr">
        <is>
          <t>Студент1.18</t>
        </is>
      </c>
      <c r="B91" s="4" t="inlineStr"/>
      <c r="C91" s="4">
        <f>IF(A91="","",COUNTIF(F91:AI91,"+")+COUNTIF(F91:AI91,"1"))</f>
        <v/>
      </c>
      <c r="D91" s="4">
        <f>IF(A91="","",IF(C91&gt;2*COUNTA(F$73:AI$73)/3,'Общий'!$M$11,IF(C91&gt;=COUNTA(F$73:AI$73)/2,'Общий'!$M$12,'Общий'!$M$13)))</f>
        <v/>
      </c>
      <c r="E91" s="4">
        <f>IF(A91="","",SUMIFS('Логи'!$H$7:$H$3006,'Логи'!$A$7:$A$3006,2,'Логи'!$B$7:$B$3006,1,'Логи'!$C$7:$C$3006,A91))</f>
        <v/>
      </c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4" t="inlineStr">
        <is>
          <t>Студент1.19</t>
        </is>
      </c>
      <c r="B92" s="4" t="inlineStr"/>
      <c r="C92" s="4">
        <f>IF(A92="","",COUNTIF(F92:AI92,"+")+COUNTIF(F92:AI92,"1"))</f>
        <v/>
      </c>
      <c r="D92" s="4">
        <f>IF(A92="","",IF(C92&gt;2*COUNTA(F$73:AI$73)/3,'Общий'!$M$11,IF(C92&gt;=COUNTA(F$73:AI$73)/2,'Общий'!$M$12,'Общий'!$M$13)))</f>
        <v/>
      </c>
      <c r="E92" s="4">
        <f>IF(A92="","",SUMIFS('Логи'!$H$7:$H$3006,'Логи'!$A$7:$A$3006,2,'Логи'!$B$7:$B$3006,1,'Логи'!$C$7:$C$3006,A92))</f>
        <v/>
      </c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4" t="inlineStr">
        <is>
          <t>Студент1.20</t>
        </is>
      </c>
      <c r="B93" s="4" t="inlineStr"/>
      <c r="C93" s="4">
        <f>IF(A93="","",COUNTIF(F93:AI93,"+")+COUNTIF(F93:AI93,"1"))</f>
        <v/>
      </c>
      <c r="D93" s="4">
        <f>IF(A93="","",IF(C93&gt;2*COUNTA(F$73:AI$73)/3,'Общий'!$M$11,IF(C93&gt;=COUNTA(F$73:AI$73)/2,'Общий'!$M$12,'Общий'!$M$13)))</f>
        <v/>
      </c>
      <c r="E93" s="4">
        <f>IF(A93="","",SUMIFS('Логи'!$H$7:$H$3006,'Логи'!$A$7:$A$3006,2,'Логи'!$B$7:$B$3006,1,'Логи'!$C$7:$C$3006,A93))</f>
        <v/>
      </c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4" t="inlineStr">
        <is>
          <t>Студент1.21</t>
        </is>
      </c>
      <c r="B94" s="4" t="inlineStr"/>
      <c r="C94" s="4">
        <f>IF(A94="","",COUNTIF(F94:AI94,"+")+COUNTIF(F94:AI94,"1"))</f>
        <v/>
      </c>
      <c r="D94" s="4">
        <f>IF(A94="","",IF(C94&gt;2*COUNTA(F$73:AI$73)/3,'Общий'!$M$11,IF(C94&gt;=COUNTA(F$73:AI$73)/2,'Общий'!$M$12,'Общий'!$M$13)))</f>
        <v/>
      </c>
      <c r="E94" s="4">
        <f>IF(A94="","",SUMIFS('Логи'!$H$7:$H$3006,'Логи'!$A$7:$A$3006,2,'Логи'!$B$7:$B$3006,1,'Логи'!$C$7:$C$3006,A94))</f>
        <v/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4" t="inlineStr">
        <is>
          <t>Студент1.22</t>
        </is>
      </c>
      <c r="B95" s="4" t="inlineStr"/>
      <c r="C95" s="4">
        <f>IF(A95="","",COUNTIF(F95:AI95,"+")+COUNTIF(F95:AI95,"1"))</f>
        <v/>
      </c>
      <c r="D95" s="4">
        <f>IF(A95="","",IF(C95&gt;2*COUNTA(F$73:AI$73)/3,'Общий'!$M$11,IF(C95&gt;=COUNTA(F$73:AI$73)/2,'Общий'!$M$12,'Общий'!$M$13)))</f>
        <v/>
      </c>
      <c r="E95" s="4">
        <f>IF(A95="","",SUMIFS('Логи'!$H$7:$H$3006,'Логи'!$A$7:$A$3006,2,'Логи'!$B$7:$B$3006,1,'Логи'!$C$7:$C$3006,A95))</f>
        <v/>
      </c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4" t="inlineStr">
        <is>
          <t>Студент1.23</t>
        </is>
      </c>
      <c r="B96" s="4" t="inlineStr"/>
      <c r="C96" s="4">
        <f>IF(A96="","",COUNTIF(F96:AI96,"+")+COUNTIF(F96:AI96,"1"))</f>
        <v/>
      </c>
      <c r="D96" s="4">
        <f>IF(A96="","",IF(C96&gt;2*COUNTA(F$73:AI$73)/3,'Общий'!$M$11,IF(C96&gt;=COUNTA(F$73:AI$73)/2,'Общий'!$M$12,'Общий'!$M$13)))</f>
        <v/>
      </c>
      <c r="E96" s="4">
        <f>IF(A96="","",SUMIFS('Логи'!$H$7:$H$3006,'Логи'!$A$7:$A$3006,2,'Логи'!$B$7:$B$3006,1,'Логи'!$C$7:$C$3006,A96))</f>
        <v/>
      </c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4" t="inlineStr">
        <is>
          <t>Студент1.24</t>
        </is>
      </c>
      <c r="B97" s="4" t="inlineStr"/>
      <c r="C97" s="4">
        <f>IF(A97="","",COUNTIF(F97:AI97,"+")+COUNTIF(F97:AI97,"1"))</f>
        <v/>
      </c>
      <c r="D97" s="4">
        <f>IF(A97="","",IF(C97&gt;2*COUNTA(F$73:AI$73)/3,'Общий'!$M$11,IF(C97&gt;=COUNTA(F$73:AI$73)/2,'Общий'!$M$12,'Общий'!$M$13)))</f>
        <v/>
      </c>
      <c r="E97" s="4">
        <f>IF(A97="","",SUMIFS('Логи'!$H$7:$H$3006,'Логи'!$A$7:$A$3006,2,'Логи'!$B$7:$B$3006,1,'Логи'!$C$7:$C$3006,A97))</f>
        <v/>
      </c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4" t="inlineStr">
        <is>
          <t>Студент1.25</t>
        </is>
      </c>
      <c r="B98" s="4" t="inlineStr"/>
      <c r="C98" s="4">
        <f>IF(A98="","",COUNTIF(F98:AI98,"+")+COUNTIF(F98:AI98,"1"))</f>
        <v/>
      </c>
      <c r="D98" s="4">
        <f>IF(A98="","",IF(C98&gt;2*COUNTA(F$73:AI$73)/3,'Общий'!$M$11,IF(C98&gt;=COUNTA(F$73:AI$73)/2,'Общий'!$M$12,'Общий'!$M$13)))</f>
        <v/>
      </c>
      <c r="E98" s="4">
        <f>IF(A98="","",SUMIFS('Логи'!$H$7:$H$3006,'Логи'!$A$7:$A$3006,2,'Логи'!$B$7:$B$3006,1,'Логи'!$C$7:$C$3006,A98))</f>
        <v/>
      </c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4" t="inlineStr">
        <is>
          <t>Студент1.26</t>
        </is>
      </c>
      <c r="B99" s="4" t="inlineStr"/>
      <c r="C99" s="4">
        <f>IF(A99="","",COUNTIF(F99:AI99,"+")+COUNTIF(F99:AI99,"1"))</f>
        <v/>
      </c>
      <c r="D99" s="4">
        <f>IF(A99="","",IF(C99&gt;2*COUNTA(F$73:AI$73)/3,'Общий'!$M$11,IF(C99&gt;=COUNTA(F$73:AI$73)/2,'Общий'!$M$12,'Общий'!$M$13)))</f>
        <v/>
      </c>
      <c r="E99" s="4">
        <f>IF(A99="","",SUMIFS('Логи'!$H$7:$H$3006,'Логи'!$A$7:$A$3006,2,'Логи'!$B$7:$B$3006,1,'Логи'!$C$7:$C$3006,A99))</f>
        <v/>
      </c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4" t="inlineStr">
        <is>
          <t>Студент1.27</t>
        </is>
      </c>
      <c r="B100" s="4" t="inlineStr"/>
      <c r="C100" s="4">
        <f>IF(A100="","",COUNTIF(F100:AI100,"+")+COUNTIF(F100:AI100,"1"))</f>
        <v/>
      </c>
      <c r="D100" s="4">
        <f>IF(A100="","",IF(C100&gt;2*COUNTA(F$73:AI$73)/3,'Общий'!$M$11,IF(C100&gt;=COUNTA(F$73:AI$73)/2,'Общий'!$M$12,'Общий'!$M$13)))</f>
        <v/>
      </c>
      <c r="E100" s="4">
        <f>IF(A100="","",SUMIFS('Логи'!$H$7:$H$3006,'Логи'!$A$7:$A$3006,2,'Логи'!$B$7:$B$3006,1,'Логи'!$C$7:$C$3006,A100))</f>
        <v/>
      </c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4" t="inlineStr">
        <is>
          <t>Студент1.28</t>
        </is>
      </c>
      <c r="B101" s="4" t="inlineStr"/>
      <c r="C101" s="4">
        <f>IF(A101="","",COUNTIF(F101:AI101,"+")+COUNTIF(F101:AI101,"1"))</f>
        <v/>
      </c>
      <c r="D101" s="4">
        <f>IF(A101="","",IF(C101&gt;2*COUNTA(F$73:AI$73)/3,'Общий'!$M$11,IF(C101&gt;=COUNTA(F$73:AI$73)/2,'Общий'!$M$12,'Общий'!$M$13)))</f>
        <v/>
      </c>
      <c r="E101" s="4">
        <f>IF(A101="","",SUMIFS('Логи'!$H$7:$H$3006,'Логи'!$A$7:$A$3006,2,'Логи'!$B$7:$B$3006,1,'Логи'!$C$7:$C$3006,A101))</f>
        <v/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4" t="inlineStr">
        <is>
          <t>Студент1.29</t>
        </is>
      </c>
      <c r="B102" s="4" t="inlineStr"/>
      <c r="C102" s="4">
        <f>IF(A102="","",COUNTIF(F102:AI102,"+")+COUNTIF(F102:AI102,"1"))</f>
        <v/>
      </c>
      <c r="D102" s="4">
        <f>IF(A102="","",IF(C102&gt;2*COUNTA(F$73:AI$73)/3,'Общий'!$M$11,IF(C102&gt;=COUNTA(F$73:AI$73)/2,'Общий'!$M$12,'Общий'!$M$13)))</f>
        <v/>
      </c>
      <c r="E102" s="4">
        <f>IF(A102="","",SUMIFS('Логи'!$H$7:$H$3006,'Логи'!$A$7:$A$3006,2,'Логи'!$B$7:$B$3006,1,'Логи'!$C$7:$C$3006,A102))</f>
        <v/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4" t="inlineStr">
        <is>
          <t>Студент1.30</t>
        </is>
      </c>
      <c r="B103" s="4" t="inlineStr"/>
      <c r="C103" s="4">
        <f>IF(A103="","",COUNTIF(F103:AI103,"+")+COUNTIF(F103:AI103,"1"))</f>
        <v/>
      </c>
      <c r="D103" s="4">
        <f>IF(A103="","",IF(C103&gt;2*COUNTA(F$73:AI$73)/3,'Общий'!$M$11,IF(C103&gt;=COUNTA(F$73:AI$73)/2,'Общий'!$M$12,'Общий'!$M$13)))</f>
        <v/>
      </c>
      <c r="E103" s="4">
        <f>IF(A103="","",SUMIFS('Логи'!$H$7:$H$3006,'Логи'!$A$7:$A$3006,2,'Логи'!$B$7:$B$3006,1,'Логи'!$C$7:$C$3006,A103))</f>
        <v/>
      </c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5">
      <c r="A105" s="19" t="inlineStr">
        <is>
          <t>Практика 2 — результаты рассказа</t>
        </is>
      </c>
    </row>
    <row r="106" ht="28" customHeight="1">
      <c r="A106" s="9" t="inlineStr">
        <is>
          <t>Имя</t>
        </is>
      </c>
      <c r="B106" s="11" t="inlineStr">
        <is>
          <t>TG</t>
        </is>
      </c>
      <c r="C106" s="12" t="inlineStr"/>
      <c r="D106" s="3" t="inlineStr"/>
      <c r="E106" s="3" t="inlineStr"/>
      <c r="F106" s="13" t="inlineStr">
        <is>
          <t>1.0</t>
        </is>
      </c>
      <c r="G106" s="13" t="inlineStr">
        <is>
          <t>2.0</t>
        </is>
      </c>
      <c r="H106" s="13" t="inlineStr">
        <is>
          <t>3.0</t>
        </is>
      </c>
      <c r="I106" s="13" t="inlineStr">
        <is>
          <t>4.0</t>
        </is>
      </c>
      <c r="J106" s="13" t="inlineStr">
        <is>
          <t>5.0</t>
        </is>
      </c>
      <c r="K106" s="13" t="inlineStr">
        <is>
          <t>6</t>
        </is>
      </c>
      <c r="L106" s="13" t="inlineStr">
        <is>
          <t>7</t>
        </is>
      </c>
      <c r="M106" s="13" t="inlineStr">
        <is>
          <t>8</t>
        </is>
      </c>
      <c r="N106" s="13" t="inlineStr">
        <is>
          <t>9</t>
        </is>
      </c>
      <c r="O106" s="13" t="inlineStr">
        <is>
          <t>10</t>
        </is>
      </c>
      <c r="P106" s="13" t="inlineStr">
        <is>
          <t>11</t>
        </is>
      </c>
      <c r="Q106" s="13" t="inlineStr">
        <is>
          <t>12</t>
        </is>
      </c>
      <c r="R106" s="13" t="inlineStr">
        <is>
          <t>13</t>
        </is>
      </c>
      <c r="S106" s="13" t="inlineStr">
        <is>
          <t>14</t>
        </is>
      </c>
      <c r="T106" s="13" t="inlineStr">
        <is>
          <t>15</t>
        </is>
      </c>
      <c r="U106" s="13" t="inlineStr">
        <is>
          <t>16</t>
        </is>
      </c>
      <c r="V106" s="13" t="inlineStr">
        <is>
          <t>17</t>
        </is>
      </c>
      <c r="W106" s="13" t="inlineStr">
        <is>
          <t>18</t>
        </is>
      </c>
      <c r="X106" s="13" t="inlineStr">
        <is>
          <t>19</t>
        </is>
      </c>
      <c r="Y106" s="13" t="inlineStr">
        <is>
          <t>20</t>
        </is>
      </c>
      <c r="Z106" s="13" t="inlineStr">
        <is>
          <t>21</t>
        </is>
      </c>
      <c r="AA106" s="13" t="inlineStr">
        <is>
          <t>22</t>
        </is>
      </c>
      <c r="AB106" s="13" t="inlineStr">
        <is>
          <t>23</t>
        </is>
      </c>
      <c r="AC106" s="13" t="inlineStr">
        <is>
          <t>24</t>
        </is>
      </c>
      <c r="AD106" s="13" t="inlineStr">
        <is>
          <t>25</t>
        </is>
      </c>
      <c r="AE106" s="13" t="inlineStr">
        <is>
          <t>26</t>
        </is>
      </c>
      <c r="AF106" s="13" t="inlineStr">
        <is>
          <t>27</t>
        </is>
      </c>
      <c r="AG106" s="13" t="inlineStr">
        <is>
          <t>28</t>
        </is>
      </c>
      <c r="AH106" s="13" t="inlineStr">
        <is>
          <t>29</t>
        </is>
      </c>
      <c r="AI106" s="13" t="inlineStr">
        <is>
          <t>30</t>
        </is>
      </c>
    </row>
    <row r="107">
      <c r="A107" s="4" t="inlineStr">
        <is>
          <t>Студент1.1</t>
        </is>
      </c>
      <c r="B107" s="4" t="inlineStr"/>
      <c r="C107" s="4" t="n"/>
      <c r="D107" s="4" t="n"/>
      <c r="E107" s="4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4" t="inlineStr">
        <is>
          <t>Студент1.2</t>
        </is>
      </c>
      <c r="B108" s="4" t="inlineStr"/>
      <c r="C108" s="4" t="n"/>
      <c r="D108" s="4" t="n"/>
      <c r="E108" s="4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4" t="inlineStr">
        <is>
          <t>Студент1.3</t>
        </is>
      </c>
      <c r="B109" s="4" t="inlineStr"/>
      <c r="C109" s="4" t="n"/>
      <c r="D109" s="4" t="n"/>
      <c r="E109" s="4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4" t="inlineStr">
        <is>
          <t>Студент1.4</t>
        </is>
      </c>
      <c r="B110" s="4" t="inlineStr"/>
      <c r="C110" s="4" t="n"/>
      <c r="D110" s="4" t="n"/>
      <c r="E110" s="4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4" t="inlineStr">
        <is>
          <t>Студент1.5</t>
        </is>
      </c>
      <c r="B111" s="4" t="inlineStr"/>
      <c r="C111" s="4" t="n"/>
      <c r="D111" s="4" t="n"/>
      <c r="E111" s="4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4" t="inlineStr">
        <is>
          <t>Студент1.6</t>
        </is>
      </c>
      <c r="B112" s="4" t="inlineStr"/>
      <c r="C112" s="4" t="n"/>
      <c r="D112" s="4" t="n"/>
      <c r="E112" s="4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4" t="inlineStr">
        <is>
          <t>Студент1.7</t>
        </is>
      </c>
      <c r="B113" s="4" t="inlineStr"/>
      <c r="C113" s="4" t="n"/>
      <c r="D113" s="4" t="n"/>
      <c r="E113" s="4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4" t="inlineStr">
        <is>
          <t>Студент1.8</t>
        </is>
      </c>
      <c r="B114" s="4" t="inlineStr"/>
      <c r="C114" s="4" t="n"/>
      <c r="D114" s="4" t="n"/>
      <c r="E114" s="4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4" t="inlineStr">
        <is>
          <t>Студент1.9</t>
        </is>
      </c>
      <c r="B115" s="4" t="inlineStr"/>
      <c r="C115" s="4" t="n"/>
      <c r="D115" s="4" t="n"/>
      <c r="E115" s="4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4" t="inlineStr">
        <is>
          <t>Студент1.10</t>
        </is>
      </c>
      <c r="B116" s="4" t="inlineStr"/>
      <c r="C116" s="4" t="n"/>
      <c r="D116" s="4" t="n"/>
      <c r="E116" s="4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4" t="inlineStr">
        <is>
          <t>Студент1.11</t>
        </is>
      </c>
      <c r="B117" s="4" t="inlineStr"/>
      <c r="C117" s="4" t="n"/>
      <c r="D117" s="4" t="n"/>
      <c r="E117" s="4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4" t="inlineStr">
        <is>
          <t>Студент1.12</t>
        </is>
      </c>
      <c r="B118" s="4" t="inlineStr"/>
      <c r="C118" s="4" t="n"/>
      <c r="D118" s="4" t="n"/>
      <c r="E118" s="4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4" t="inlineStr">
        <is>
          <t>Студент1.13</t>
        </is>
      </c>
      <c r="B119" s="4" t="inlineStr"/>
      <c r="C119" s="4" t="n"/>
      <c r="D119" s="4" t="n"/>
      <c r="E119" s="4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4" t="inlineStr">
        <is>
          <t>Студент1.14</t>
        </is>
      </c>
      <c r="B120" s="4" t="inlineStr"/>
      <c r="C120" s="4" t="n"/>
      <c r="D120" s="4" t="n"/>
      <c r="E120" s="4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4" t="inlineStr">
        <is>
          <t>Студент1.15</t>
        </is>
      </c>
      <c r="B121" s="4" t="inlineStr"/>
      <c r="C121" s="4" t="n"/>
      <c r="D121" s="4" t="n"/>
      <c r="E121" s="4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4" t="inlineStr">
        <is>
          <t>Студент1.16</t>
        </is>
      </c>
      <c r="B122" s="4" t="inlineStr"/>
      <c r="C122" s="4" t="n"/>
      <c r="D122" s="4" t="n"/>
      <c r="E122" s="4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4" t="inlineStr">
        <is>
          <t>Студент1.17</t>
        </is>
      </c>
      <c r="B123" s="4" t="inlineStr"/>
      <c r="C123" s="4" t="n"/>
      <c r="D123" s="4" t="n"/>
      <c r="E123" s="4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4" t="inlineStr">
        <is>
          <t>Студент1.18</t>
        </is>
      </c>
      <c r="B124" s="4" t="inlineStr"/>
      <c r="C124" s="4" t="n"/>
      <c r="D124" s="4" t="n"/>
      <c r="E124" s="4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4" t="inlineStr">
        <is>
          <t>Студент1.19</t>
        </is>
      </c>
      <c r="B125" s="4" t="inlineStr"/>
      <c r="C125" s="4" t="n"/>
      <c r="D125" s="4" t="n"/>
      <c r="E125" s="4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4" t="inlineStr">
        <is>
          <t>Студент1.20</t>
        </is>
      </c>
      <c r="B126" s="4" t="inlineStr"/>
      <c r="C126" s="4" t="n"/>
      <c r="D126" s="4" t="n"/>
      <c r="E126" s="4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4" t="inlineStr">
        <is>
          <t>Студент1.21</t>
        </is>
      </c>
      <c r="B127" s="4" t="inlineStr"/>
      <c r="C127" s="4" t="n"/>
      <c r="D127" s="4" t="n"/>
      <c r="E127" s="4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4" t="inlineStr">
        <is>
          <t>Студент1.22</t>
        </is>
      </c>
      <c r="B128" s="4" t="inlineStr"/>
      <c r="C128" s="4" t="n"/>
      <c r="D128" s="4" t="n"/>
      <c r="E128" s="4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4" t="inlineStr">
        <is>
          <t>Студент1.23</t>
        </is>
      </c>
      <c r="B129" s="4" t="inlineStr"/>
      <c r="C129" s="4" t="n"/>
      <c r="D129" s="4" t="n"/>
      <c r="E129" s="4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4" t="inlineStr">
        <is>
          <t>Студент1.24</t>
        </is>
      </c>
      <c r="B130" s="4" t="inlineStr"/>
      <c r="C130" s="4" t="n"/>
      <c r="D130" s="4" t="n"/>
      <c r="E130" s="4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4" t="inlineStr">
        <is>
          <t>Студент1.25</t>
        </is>
      </c>
      <c r="B131" s="4" t="inlineStr"/>
      <c r="C131" s="4" t="n"/>
      <c r="D131" s="4" t="n"/>
      <c r="E131" s="4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4" t="inlineStr">
        <is>
          <t>Студент1.26</t>
        </is>
      </c>
      <c r="B132" s="4" t="inlineStr"/>
      <c r="C132" s="4" t="n"/>
      <c r="D132" s="4" t="n"/>
      <c r="E132" s="4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4" t="inlineStr">
        <is>
          <t>Студент1.27</t>
        </is>
      </c>
      <c r="B133" s="4" t="inlineStr"/>
      <c r="C133" s="4" t="n"/>
      <c r="D133" s="4" t="n"/>
      <c r="E133" s="4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4" t="inlineStr">
        <is>
          <t>Студент1.28</t>
        </is>
      </c>
      <c r="B134" s="4" t="inlineStr"/>
      <c r="C134" s="4" t="n"/>
      <c r="D134" s="4" t="n"/>
      <c r="E134" s="4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4" t="inlineStr">
        <is>
          <t>Студент1.29</t>
        </is>
      </c>
      <c r="B135" s="4" t="inlineStr"/>
      <c r="C135" s="4" t="n"/>
      <c r="D135" s="4" t="n"/>
      <c r="E135" s="4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4" t="inlineStr">
        <is>
          <t>Студент1.30</t>
        </is>
      </c>
      <c r="B136" s="4" t="inlineStr"/>
      <c r="C136" s="4" t="n"/>
      <c r="D136" s="4" t="n"/>
      <c r="E136" s="4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40">
      <c r="A140" s="17" t="inlineStr">
        <is>
          <t>Практика 3 — плюсы</t>
        </is>
      </c>
    </row>
    <row r="141" ht="28" customHeight="1">
      <c r="A141" s="9" t="inlineStr">
        <is>
          <t>Имя</t>
        </is>
      </c>
      <c r="B141" s="11" t="inlineStr">
        <is>
          <t>TG</t>
        </is>
      </c>
      <c r="C141" s="12" t="inlineStr">
        <is>
          <t>S</t>
        </is>
      </c>
      <c r="D141" s="10" t="inlineStr">
        <is>
          <t>Коэффициент</t>
        </is>
      </c>
      <c r="E141" s="18" t="inlineStr">
        <is>
          <t>D за практику</t>
        </is>
      </c>
      <c r="F141" s="13" t="inlineStr">
        <is>
          <t>1.0</t>
        </is>
      </c>
      <c r="G141" s="13" t="inlineStr">
        <is>
          <t>2.0</t>
        </is>
      </c>
      <c r="H141" s="13" t="inlineStr">
        <is>
          <t>3.0</t>
        </is>
      </c>
      <c r="I141" s="13" t="inlineStr">
        <is>
          <t>4.0</t>
        </is>
      </c>
      <c r="J141" s="13" t="inlineStr">
        <is>
          <t>5.0</t>
        </is>
      </c>
      <c r="K141" s="13" t="inlineStr">
        <is>
          <t>6</t>
        </is>
      </c>
      <c r="L141" s="13" t="inlineStr">
        <is>
          <t>7</t>
        </is>
      </c>
      <c r="M141" s="13" t="inlineStr">
        <is>
          <t>8</t>
        </is>
      </c>
      <c r="N141" s="13" t="inlineStr">
        <is>
          <t>9</t>
        </is>
      </c>
      <c r="O141" s="13" t="inlineStr">
        <is>
          <t>10</t>
        </is>
      </c>
      <c r="P141" s="13" t="inlineStr">
        <is>
          <t>11</t>
        </is>
      </c>
      <c r="Q141" s="13" t="inlineStr">
        <is>
          <t>12</t>
        </is>
      </c>
      <c r="R141" s="13" t="inlineStr">
        <is>
          <t>13</t>
        </is>
      </c>
      <c r="S141" s="13" t="inlineStr">
        <is>
          <t>14</t>
        </is>
      </c>
      <c r="T141" s="13" t="inlineStr">
        <is>
          <t>15</t>
        </is>
      </c>
      <c r="U141" s="13" t="inlineStr">
        <is>
          <t>16</t>
        </is>
      </c>
      <c r="V141" s="13" t="inlineStr">
        <is>
          <t>17</t>
        </is>
      </c>
      <c r="W141" s="13" t="inlineStr">
        <is>
          <t>18</t>
        </is>
      </c>
      <c r="X141" s="13" t="inlineStr">
        <is>
          <t>19</t>
        </is>
      </c>
      <c r="Y141" s="13" t="inlineStr">
        <is>
          <t>20</t>
        </is>
      </c>
      <c r="Z141" s="13" t="inlineStr">
        <is>
          <t>21</t>
        </is>
      </c>
      <c r="AA141" s="13" t="inlineStr">
        <is>
          <t>22</t>
        </is>
      </c>
      <c r="AB141" s="13" t="inlineStr">
        <is>
          <t>23</t>
        </is>
      </c>
      <c r="AC141" s="13" t="inlineStr">
        <is>
          <t>24</t>
        </is>
      </c>
      <c r="AD141" s="13" t="inlineStr">
        <is>
          <t>25</t>
        </is>
      </c>
      <c r="AE141" s="13" t="inlineStr">
        <is>
          <t>26</t>
        </is>
      </c>
      <c r="AF141" s="13" t="inlineStr">
        <is>
          <t>27</t>
        </is>
      </c>
      <c r="AG141" s="13" t="inlineStr">
        <is>
          <t>28</t>
        </is>
      </c>
      <c r="AH141" s="13" t="inlineStr">
        <is>
          <t>29</t>
        </is>
      </c>
      <c r="AI141" s="13" t="inlineStr">
        <is>
          <t>30</t>
        </is>
      </c>
    </row>
    <row r="142">
      <c r="A142" s="4" t="inlineStr">
        <is>
          <t>Студент1.1</t>
        </is>
      </c>
      <c r="B142" s="4" t="inlineStr"/>
      <c r="C142" s="4">
        <f>IF(A142="","",COUNTIF(F142:AI142,"+")+COUNTIF(F142:AI142,"1"))</f>
        <v/>
      </c>
      <c r="D142" s="4">
        <f>IF(A142="","",IF(C142&gt;2*COUNTA(F$141:AI$141)/3,'Общий'!$M$11,IF(C142&gt;=COUNTA(F$141:AI$141)/2,'Общий'!$M$12,'Общий'!$M$13)))</f>
        <v/>
      </c>
      <c r="E142" s="4">
        <f>IF(A142="","",SUMIFS('Логи'!$H$7:$H$3006,'Логи'!$A$7:$A$3006,3,'Логи'!$B$7:$B$3006,1,'Логи'!$C$7:$C$3006,A142))</f>
        <v/>
      </c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4" t="inlineStr">
        <is>
          <t>Студент1.2</t>
        </is>
      </c>
      <c r="B143" s="4" t="inlineStr"/>
      <c r="C143" s="4">
        <f>IF(A143="","",COUNTIF(F143:AI143,"+")+COUNTIF(F143:AI143,"1"))</f>
        <v/>
      </c>
      <c r="D143" s="4">
        <f>IF(A143="","",IF(C143&gt;2*COUNTA(F$141:AI$141)/3,'Общий'!$M$11,IF(C143&gt;=COUNTA(F$141:AI$141)/2,'Общий'!$M$12,'Общий'!$M$13)))</f>
        <v/>
      </c>
      <c r="E143" s="4">
        <f>IF(A143="","",SUMIFS('Логи'!$H$7:$H$3006,'Логи'!$A$7:$A$3006,3,'Логи'!$B$7:$B$3006,1,'Логи'!$C$7:$C$3006,A143))</f>
        <v/>
      </c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4" t="inlineStr">
        <is>
          <t>Студент1.3</t>
        </is>
      </c>
      <c r="B144" s="4" t="inlineStr"/>
      <c r="C144" s="4">
        <f>IF(A144="","",COUNTIF(F144:AI144,"+")+COUNTIF(F144:AI144,"1"))</f>
        <v/>
      </c>
      <c r="D144" s="4">
        <f>IF(A144="","",IF(C144&gt;2*COUNTA(F$141:AI$141)/3,'Общий'!$M$11,IF(C144&gt;=COUNTA(F$141:AI$141)/2,'Общий'!$M$12,'Общий'!$M$13)))</f>
        <v/>
      </c>
      <c r="E144" s="4">
        <f>IF(A144="","",SUMIFS('Логи'!$H$7:$H$3006,'Логи'!$A$7:$A$3006,3,'Логи'!$B$7:$B$3006,1,'Логи'!$C$7:$C$3006,A144))</f>
        <v/>
      </c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4" t="inlineStr">
        <is>
          <t>Студент1.4</t>
        </is>
      </c>
      <c r="B145" s="4" t="inlineStr"/>
      <c r="C145" s="4">
        <f>IF(A145="","",COUNTIF(F145:AI145,"+")+COUNTIF(F145:AI145,"1"))</f>
        <v/>
      </c>
      <c r="D145" s="4">
        <f>IF(A145="","",IF(C145&gt;2*COUNTA(F$141:AI$141)/3,'Общий'!$M$11,IF(C145&gt;=COUNTA(F$141:AI$141)/2,'Общий'!$M$12,'Общий'!$M$13)))</f>
        <v/>
      </c>
      <c r="E145" s="4">
        <f>IF(A145="","",SUMIFS('Логи'!$H$7:$H$3006,'Логи'!$A$7:$A$3006,3,'Логи'!$B$7:$B$3006,1,'Логи'!$C$7:$C$3006,A145))</f>
        <v/>
      </c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4" t="inlineStr">
        <is>
          <t>Студент1.5</t>
        </is>
      </c>
      <c r="B146" s="4" t="inlineStr"/>
      <c r="C146" s="4">
        <f>IF(A146="","",COUNTIF(F146:AI146,"+")+COUNTIF(F146:AI146,"1"))</f>
        <v/>
      </c>
      <c r="D146" s="4">
        <f>IF(A146="","",IF(C146&gt;2*COUNTA(F$141:AI$141)/3,'Общий'!$M$11,IF(C146&gt;=COUNTA(F$141:AI$141)/2,'Общий'!$M$12,'Общий'!$M$13)))</f>
        <v/>
      </c>
      <c r="E146" s="4">
        <f>IF(A146="","",SUMIFS('Логи'!$H$7:$H$3006,'Логи'!$A$7:$A$3006,3,'Логи'!$B$7:$B$3006,1,'Логи'!$C$7:$C$3006,A146))</f>
        <v/>
      </c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4" t="inlineStr">
        <is>
          <t>Студент1.6</t>
        </is>
      </c>
      <c r="B147" s="4" t="inlineStr"/>
      <c r="C147" s="4">
        <f>IF(A147="","",COUNTIF(F147:AI147,"+")+COUNTIF(F147:AI147,"1"))</f>
        <v/>
      </c>
      <c r="D147" s="4">
        <f>IF(A147="","",IF(C147&gt;2*COUNTA(F$141:AI$141)/3,'Общий'!$M$11,IF(C147&gt;=COUNTA(F$141:AI$141)/2,'Общий'!$M$12,'Общий'!$M$13)))</f>
        <v/>
      </c>
      <c r="E147" s="4">
        <f>IF(A147="","",SUMIFS('Логи'!$H$7:$H$3006,'Логи'!$A$7:$A$3006,3,'Логи'!$B$7:$B$3006,1,'Логи'!$C$7:$C$3006,A147))</f>
        <v/>
      </c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4" t="inlineStr">
        <is>
          <t>Студент1.7</t>
        </is>
      </c>
      <c r="B148" s="4" t="inlineStr"/>
      <c r="C148" s="4">
        <f>IF(A148="","",COUNTIF(F148:AI148,"+")+COUNTIF(F148:AI148,"1"))</f>
        <v/>
      </c>
      <c r="D148" s="4">
        <f>IF(A148="","",IF(C148&gt;2*COUNTA(F$141:AI$141)/3,'Общий'!$M$11,IF(C148&gt;=COUNTA(F$141:AI$141)/2,'Общий'!$M$12,'Общий'!$M$13)))</f>
        <v/>
      </c>
      <c r="E148" s="4">
        <f>IF(A148="","",SUMIFS('Логи'!$H$7:$H$3006,'Логи'!$A$7:$A$3006,3,'Логи'!$B$7:$B$3006,1,'Логи'!$C$7:$C$3006,A148))</f>
        <v/>
      </c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4" t="inlineStr">
        <is>
          <t>Студент1.8</t>
        </is>
      </c>
      <c r="B149" s="4" t="inlineStr"/>
      <c r="C149" s="4">
        <f>IF(A149="","",COUNTIF(F149:AI149,"+")+COUNTIF(F149:AI149,"1"))</f>
        <v/>
      </c>
      <c r="D149" s="4">
        <f>IF(A149="","",IF(C149&gt;2*COUNTA(F$141:AI$141)/3,'Общий'!$M$11,IF(C149&gt;=COUNTA(F$141:AI$141)/2,'Общий'!$M$12,'Общий'!$M$13)))</f>
        <v/>
      </c>
      <c r="E149" s="4">
        <f>IF(A149="","",SUMIFS('Логи'!$H$7:$H$3006,'Логи'!$A$7:$A$3006,3,'Логи'!$B$7:$B$3006,1,'Логи'!$C$7:$C$3006,A149))</f>
        <v/>
      </c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4" t="inlineStr">
        <is>
          <t>Студент1.9</t>
        </is>
      </c>
      <c r="B150" s="4" t="inlineStr"/>
      <c r="C150" s="4">
        <f>IF(A150="","",COUNTIF(F150:AI150,"+")+COUNTIF(F150:AI150,"1"))</f>
        <v/>
      </c>
      <c r="D150" s="4">
        <f>IF(A150="","",IF(C150&gt;2*COUNTA(F$141:AI$141)/3,'Общий'!$M$11,IF(C150&gt;=COUNTA(F$141:AI$141)/2,'Общий'!$M$12,'Общий'!$M$13)))</f>
        <v/>
      </c>
      <c r="E150" s="4">
        <f>IF(A150="","",SUMIFS('Логи'!$H$7:$H$3006,'Логи'!$A$7:$A$3006,3,'Логи'!$B$7:$B$3006,1,'Логи'!$C$7:$C$3006,A150))</f>
        <v/>
      </c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4" t="inlineStr">
        <is>
          <t>Студент1.10</t>
        </is>
      </c>
      <c r="B151" s="4" t="inlineStr"/>
      <c r="C151" s="4">
        <f>IF(A151="","",COUNTIF(F151:AI151,"+")+COUNTIF(F151:AI151,"1"))</f>
        <v/>
      </c>
      <c r="D151" s="4">
        <f>IF(A151="","",IF(C151&gt;2*COUNTA(F$141:AI$141)/3,'Общий'!$M$11,IF(C151&gt;=COUNTA(F$141:AI$141)/2,'Общий'!$M$12,'Общий'!$M$13)))</f>
        <v/>
      </c>
      <c r="E151" s="4">
        <f>IF(A151="","",SUMIFS('Логи'!$H$7:$H$3006,'Логи'!$A$7:$A$3006,3,'Логи'!$B$7:$B$3006,1,'Логи'!$C$7:$C$3006,A151))</f>
        <v/>
      </c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4" t="inlineStr">
        <is>
          <t>Студент1.11</t>
        </is>
      </c>
      <c r="B152" s="4" t="inlineStr"/>
      <c r="C152" s="4">
        <f>IF(A152="","",COUNTIF(F152:AI152,"+")+COUNTIF(F152:AI152,"1"))</f>
        <v/>
      </c>
      <c r="D152" s="4">
        <f>IF(A152="","",IF(C152&gt;2*COUNTA(F$141:AI$141)/3,'Общий'!$M$11,IF(C152&gt;=COUNTA(F$141:AI$141)/2,'Общий'!$M$12,'Общий'!$M$13)))</f>
        <v/>
      </c>
      <c r="E152" s="4">
        <f>IF(A152="","",SUMIFS('Логи'!$H$7:$H$3006,'Логи'!$A$7:$A$3006,3,'Логи'!$B$7:$B$3006,1,'Логи'!$C$7:$C$3006,A152))</f>
        <v/>
      </c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4" t="inlineStr">
        <is>
          <t>Студент1.12</t>
        </is>
      </c>
      <c r="B153" s="4" t="inlineStr"/>
      <c r="C153" s="4">
        <f>IF(A153="","",COUNTIF(F153:AI153,"+")+COUNTIF(F153:AI153,"1"))</f>
        <v/>
      </c>
      <c r="D153" s="4">
        <f>IF(A153="","",IF(C153&gt;2*COUNTA(F$141:AI$141)/3,'Общий'!$M$11,IF(C153&gt;=COUNTA(F$141:AI$141)/2,'Общий'!$M$12,'Общий'!$M$13)))</f>
        <v/>
      </c>
      <c r="E153" s="4">
        <f>IF(A153="","",SUMIFS('Логи'!$H$7:$H$3006,'Логи'!$A$7:$A$3006,3,'Логи'!$B$7:$B$3006,1,'Логи'!$C$7:$C$3006,A153))</f>
        <v/>
      </c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4" t="inlineStr">
        <is>
          <t>Студент1.13</t>
        </is>
      </c>
      <c r="B154" s="4" t="inlineStr"/>
      <c r="C154" s="4">
        <f>IF(A154="","",COUNTIF(F154:AI154,"+")+COUNTIF(F154:AI154,"1"))</f>
        <v/>
      </c>
      <c r="D154" s="4">
        <f>IF(A154="","",IF(C154&gt;2*COUNTA(F$141:AI$141)/3,'Общий'!$M$11,IF(C154&gt;=COUNTA(F$141:AI$141)/2,'Общий'!$M$12,'Общий'!$M$13)))</f>
        <v/>
      </c>
      <c r="E154" s="4">
        <f>IF(A154="","",SUMIFS('Логи'!$H$7:$H$3006,'Логи'!$A$7:$A$3006,3,'Логи'!$B$7:$B$3006,1,'Логи'!$C$7:$C$3006,A154))</f>
        <v/>
      </c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4" t="inlineStr">
        <is>
          <t>Студент1.14</t>
        </is>
      </c>
      <c r="B155" s="4" t="inlineStr"/>
      <c r="C155" s="4">
        <f>IF(A155="","",COUNTIF(F155:AI155,"+")+COUNTIF(F155:AI155,"1"))</f>
        <v/>
      </c>
      <c r="D155" s="4">
        <f>IF(A155="","",IF(C155&gt;2*COUNTA(F$141:AI$141)/3,'Общий'!$M$11,IF(C155&gt;=COUNTA(F$141:AI$141)/2,'Общий'!$M$12,'Общий'!$M$13)))</f>
        <v/>
      </c>
      <c r="E155" s="4">
        <f>IF(A155="","",SUMIFS('Логи'!$H$7:$H$3006,'Логи'!$A$7:$A$3006,3,'Логи'!$B$7:$B$3006,1,'Логи'!$C$7:$C$3006,A155))</f>
        <v/>
      </c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4" t="inlineStr">
        <is>
          <t>Студент1.15</t>
        </is>
      </c>
      <c r="B156" s="4" t="inlineStr"/>
      <c r="C156" s="4">
        <f>IF(A156="","",COUNTIF(F156:AI156,"+")+COUNTIF(F156:AI156,"1"))</f>
        <v/>
      </c>
      <c r="D156" s="4">
        <f>IF(A156="","",IF(C156&gt;2*COUNTA(F$141:AI$141)/3,'Общий'!$M$11,IF(C156&gt;=COUNTA(F$141:AI$141)/2,'Общий'!$M$12,'Общий'!$M$13)))</f>
        <v/>
      </c>
      <c r="E156" s="4">
        <f>IF(A156="","",SUMIFS('Логи'!$H$7:$H$3006,'Логи'!$A$7:$A$3006,3,'Логи'!$B$7:$B$3006,1,'Логи'!$C$7:$C$3006,A156))</f>
        <v/>
      </c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4" t="inlineStr">
        <is>
          <t>Студент1.16</t>
        </is>
      </c>
      <c r="B157" s="4" t="inlineStr"/>
      <c r="C157" s="4">
        <f>IF(A157="","",COUNTIF(F157:AI157,"+")+COUNTIF(F157:AI157,"1"))</f>
        <v/>
      </c>
      <c r="D157" s="4">
        <f>IF(A157="","",IF(C157&gt;2*COUNTA(F$141:AI$141)/3,'Общий'!$M$11,IF(C157&gt;=COUNTA(F$141:AI$141)/2,'Общий'!$M$12,'Общий'!$M$13)))</f>
        <v/>
      </c>
      <c r="E157" s="4">
        <f>IF(A157="","",SUMIFS('Логи'!$H$7:$H$3006,'Логи'!$A$7:$A$3006,3,'Логи'!$B$7:$B$3006,1,'Логи'!$C$7:$C$3006,A157))</f>
        <v/>
      </c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4" t="inlineStr">
        <is>
          <t>Студент1.17</t>
        </is>
      </c>
      <c r="B158" s="4" t="inlineStr"/>
      <c r="C158" s="4">
        <f>IF(A158="","",COUNTIF(F158:AI158,"+")+COUNTIF(F158:AI158,"1"))</f>
        <v/>
      </c>
      <c r="D158" s="4">
        <f>IF(A158="","",IF(C158&gt;2*COUNTA(F$141:AI$141)/3,'Общий'!$M$11,IF(C158&gt;=COUNTA(F$141:AI$141)/2,'Общий'!$M$12,'Общий'!$M$13)))</f>
        <v/>
      </c>
      <c r="E158" s="4">
        <f>IF(A158="","",SUMIFS('Логи'!$H$7:$H$3006,'Логи'!$A$7:$A$3006,3,'Логи'!$B$7:$B$3006,1,'Логи'!$C$7:$C$3006,A158))</f>
        <v/>
      </c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4" t="inlineStr">
        <is>
          <t>Студент1.18</t>
        </is>
      </c>
      <c r="B159" s="4" t="inlineStr"/>
      <c r="C159" s="4">
        <f>IF(A159="","",COUNTIF(F159:AI159,"+")+COUNTIF(F159:AI159,"1"))</f>
        <v/>
      </c>
      <c r="D159" s="4">
        <f>IF(A159="","",IF(C159&gt;2*COUNTA(F$141:AI$141)/3,'Общий'!$M$11,IF(C159&gt;=COUNTA(F$141:AI$141)/2,'Общий'!$M$12,'Общий'!$M$13)))</f>
        <v/>
      </c>
      <c r="E159" s="4">
        <f>IF(A159="","",SUMIFS('Логи'!$H$7:$H$3006,'Логи'!$A$7:$A$3006,3,'Логи'!$B$7:$B$3006,1,'Логи'!$C$7:$C$3006,A159))</f>
        <v/>
      </c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4" t="inlineStr">
        <is>
          <t>Студент1.19</t>
        </is>
      </c>
      <c r="B160" s="4" t="inlineStr"/>
      <c r="C160" s="4">
        <f>IF(A160="","",COUNTIF(F160:AI160,"+")+COUNTIF(F160:AI160,"1"))</f>
        <v/>
      </c>
      <c r="D160" s="4">
        <f>IF(A160="","",IF(C160&gt;2*COUNTA(F$141:AI$141)/3,'Общий'!$M$11,IF(C160&gt;=COUNTA(F$141:AI$141)/2,'Общий'!$M$12,'Общий'!$M$13)))</f>
        <v/>
      </c>
      <c r="E160" s="4">
        <f>IF(A160="","",SUMIFS('Логи'!$H$7:$H$3006,'Логи'!$A$7:$A$3006,3,'Логи'!$B$7:$B$3006,1,'Логи'!$C$7:$C$3006,A160))</f>
        <v/>
      </c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4" t="inlineStr">
        <is>
          <t>Студент1.20</t>
        </is>
      </c>
      <c r="B161" s="4" t="inlineStr"/>
      <c r="C161" s="4">
        <f>IF(A161="","",COUNTIF(F161:AI161,"+")+COUNTIF(F161:AI161,"1"))</f>
        <v/>
      </c>
      <c r="D161" s="4">
        <f>IF(A161="","",IF(C161&gt;2*COUNTA(F$141:AI$141)/3,'Общий'!$M$11,IF(C161&gt;=COUNTA(F$141:AI$141)/2,'Общий'!$M$12,'Общий'!$M$13)))</f>
        <v/>
      </c>
      <c r="E161" s="4">
        <f>IF(A161="","",SUMIFS('Логи'!$H$7:$H$3006,'Логи'!$A$7:$A$3006,3,'Логи'!$B$7:$B$3006,1,'Логи'!$C$7:$C$3006,A161))</f>
        <v/>
      </c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4" t="inlineStr">
        <is>
          <t>Студент1.21</t>
        </is>
      </c>
      <c r="B162" s="4" t="inlineStr"/>
      <c r="C162" s="4">
        <f>IF(A162="","",COUNTIF(F162:AI162,"+")+COUNTIF(F162:AI162,"1"))</f>
        <v/>
      </c>
      <c r="D162" s="4">
        <f>IF(A162="","",IF(C162&gt;2*COUNTA(F$141:AI$141)/3,'Общий'!$M$11,IF(C162&gt;=COUNTA(F$141:AI$141)/2,'Общий'!$M$12,'Общий'!$M$13)))</f>
        <v/>
      </c>
      <c r="E162" s="4">
        <f>IF(A162="","",SUMIFS('Логи'!$H$7:$H$3006,'Логи'!$A$7:$A$3006,3,'Логи'!$B$7:$B$3006,1,'Логи'!$C$7:$C$3006,A162))</f>
        <v/>
      </c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4" t="inlineStr">
        <is>
          <t>Студент1.22</t>
        </is>
      </c>
      <c r="B163" s="4" t="inlineStr"/>
      <c r="C163" s="4">
        <f>IF(A163="","",COUNTIF(F163:AI163,"+")+COUNTIF(F163:AI163,"1"))</f>
        <v/>
      </c>
      <c r="D163" s="4">
        <f>IF(A163="","",IF(C163&gt;2*COUNTA(F$141:AI$141)/3,'Общий'!$M$11,IF(C163&gt;=COUNTA(F$141:AI$141)/2,'Общий'!$M$12,'Общий'!$M$13)))</f>
        <v/>
      </c>
      <c r="E163" s="4">
        <f>IF(A163="","",SUMIFS('Логи'!$H$7:$H$3006,'Логи'!$A$7:$A$3006,3,'Логи'!$B$7:$B$3006,1,'Логи'!$C$7:$C$3006,A163))</f>
        <v/>
      </c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4" t="inlineStr">
        <is>
          <t>Студент1.23</t>
        </is>
      </c>
      <c r="B164" s="4" t="inlineStr"/>
      <c r="C164" s="4">
        <f>IF(A164="","",COUNTIF(F164:AI164,"+")+COUNTIF(F164:AI164,"1"))</f>
        <v/>
      </c>
      <c r="D164" s="4">
        <f>IF(A164="","",IF(C164&gt;2*COUNTA(F$141:AI$141)/3,'Общий'!$M$11,IF(C164&gt;=COUNTA(F$141:AI$141)/2,'Общий'!$M$12,'Общий'!$M$13)))</f>
        <v/>
      </c>
      <c r="E164" s="4">
        <f>IF(A164="","",SUMIFS('Логи'!$H$7:$H$3006,'Логи'!$A$7:$A$3006,3,'Логи'!$B$7:$B$3006,1,'Логи'!$C$7:$C$3006,A164))</f>
        <v/>
      </c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4" t="inlineStr">
        <is>
          <t>Студент1.24</t>
        </is>
      </c>
      <c r="B165" s="4" t="inlineStr"/>
      <c r="C165" s="4">
        <f>IF(A165="","",COUNTIF(F165:AI165,"+")+COUNTIF(F165:AI165,"1"))</f>
        <v/>
      </c>
      <c r="D165" s="4">
        <f>IF(A165="","",IF(C165&gt;2*COUNTA(F$141:AI$141)/3,'Общий'!$M$11,IF(C165&gt;=COUNTA(F$141:AI$141)/2,'Общий'!$M$12,'Общий'!$M$13)))</f>
        <v/>
      </c>
      <c r="E165" s="4">
        <f>IF(A165="","",SUMIFS('Логи'!$H$7:$H$3006,'Логи'!$A$7:$A$3006,3,'Логи'!$B$7:$B$3006,1,'Логи'!$C$7:$C$3006,A165))</f>
        <v/>
      </c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4" t="inlineStr">
        <is>
          <t>Студент1.25</t>
        </is>
      </c>
      <c r="B166" s="4" t="inlineStr"/>
      <c r="C166" s="4">
        <f>IF(A166="","",COUNTIF(F166:AI166,"+")+COUNTIF(F166:AI166,"1"))</f>
        <v/>
      </c>
      <c r="D166" s="4">
        <f>IF(A166="","",IF(C166&gt;2*COUNTA(F$141:AI$141)/3,'Общий'!$M$11,IF(C166&gt;=COUNTA(F$141:AI$141)/2,'Общий'!$M$12,'Общий'!$M$13)))</f>
        <v/>
      </c>
      <c r="E166" s="4">
        <f>IF(A166="","",SUMIFS('Логи'!$H$7:$H$3006,'Логи'!$A$7:$A$3006,3,'Логи'!$B$7:$B$3006,1,'Логи'!$C$7:$C$3006,A166))</f>
        <v/>
      </c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4" t="inlineStr">
        <is>
          <t>Студент1.26</t>
        </is>
      </c>
      <c r="B167" s="4" t="inlineStr"/>
      <c r="C167" s="4">
        <f>IF(A167="","",COUNTIF(F167:AI167,"+")+COUNTIF(F167:AI167,"1"))</f>
        <v/>
      </c>
      <c r="D167" s="4">
        <f>IF(A167="","",IF(C167&gt;2*COUNTA(F$141:AI$141)/3,'Общий'!$M$11,IF(C167&gt;=COUNTA(F$141:AI$141)/2,'Общий'!$M$12,'Общий'!$M$13)))</f>
        <v/>
      </c>
      <c r="E167" s="4">
        <f>IF(A167="","",SUMIFS('Логи'!$H$7:$H$3006,'Логи'!$A$7:$A$3006,3,'Логи'!$B$7:$B$3006,1,'Логи'!$C$7:$C$3006,A167))</f>
        <v/>
      </c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4" t="inlineStr">
        <is>
          <t>Студент1.27</t>
        </is>
      </c>
      <c r="B168" s="4" t="inlineStr"/>
      <c r="C168" s="4">
        <f>IF(A168="","",COUNTIF(F168:AI168,"+")+COUNTIF(F168:AI168,"1"))</f>
        <v/>
      </c>
      <c r="D168" s="4">
        <f>IF(A168="","",IF(C168&gt;2*COUNTA(F$141:AI$141)/3,'Общий'!$M$11,IF(C168&gt;=COUNTA(F$141:AI$141)/2,'Общий'!$M$12,'Общий'!$M$13)))</f>
        <v/>
      </c>
      <c r="E168" s="4">
        <f>IF(A168="","",SUMIFS('Логи'!$H$7:$H$3006,'Логи'!$A$7:$A$3006,3,'Логи'!$B$7:$B$3006,1,'Логи'!$C$7:$C$3006,A168))</f>
        <v/>
      </c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4" t="inlineStr">
        <is>
          <t>Студент1.28</t>
        </is>
      </c>
      <c r="B169" s="4" t="inlineStr"/>
      <c r="C169" s="4">
        <f>IF(A169="","",COUNTIF(F169:AI169,"+")+COUNTIF(F169:AI169,"1"))</f>
        <v/>
      </c>
      <c r="D169" s="4">
        <f>IF(A169="","",IF(C169&gt;2*COUNTA(F$141:AI$141)/3,'Общий'!$M$11,IF(C169&gt;=COUNTA(F$141:AI$141)/2,'Общий'!$M$12,'Общий'!$M$13)))</f>
        <v/>
      </c>
      <c r="E169" s="4">
        <f>IF(A169="","",SUMIFS('Логи'!$H$7:$H$3006,'Логи'!$A$7:$A$3006,3,'Логи'!$B$7:$B$3006,1,'Логи'!$C$7:$C$3006,A169))</f>
        <v/>
      </c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4" t="inlineStr">
        <is>
          <t>Студент1.29</t>
        </is>
      </c>
      <c r="B170" s="4" t="inlineStr"/>
      <c r="C170" s="4">
        <f>IF(A170="","",COUNTIF(F170:AI170,"+")+COUNTIF(F170:AI170,"1"))</f>
        <v/>
      </c>
      <c r="D170" s="4">
        <f>IF(A170="","",IF(C170&gt;2*COUNTA(F$141:AI$141)/3,'Общий'!$M$11,IF(C170&gt;=COUNTA(F$141:AI$141)/2,'Общий'!$M$12,'Общий'!$M$13)))</f>
        <v/>
      </c>
      <c r="E170" s="4">
        <f>IF(A170="","",SUMIFS('Логи'!$H$7:$H$3006,'Логи'!$A$7:$A$3006,3,'Логи'!$B$7:$B$3006,1,'Логи'!$C$7:$C$3006,A170))</f>
        <v/>
      </c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4" t="inlineStr">
        <is>
          <t>Студент1.30</t>
        </is>
      </c>
      <c r="B171" s="4" t="inlineStr"/>
      <c r="C171" s="4">
        <f>IF(A171="","",COUNTIF(F171:AI171,"+")+COUNTIF(F171:AI171,"1"))</f>
        <v/>
      </c>
      <c r="D171" s="4">
        <f>IF(A171="","",IF(C171&gt;2*COUNTA(F$141:AI$141)/3,'Общий'!$M$11,IF(C171&gt;=COUNTA(F$141:AI$141)/2,'Общий'!$M$12,'Общий'!$M$13)))</f>
        <v/>
      </c>
      <c r="E171" s="4">
        <f>IF(A171="","",SUMIFS('Логи'!$H$7:$H$3006,'Логи'!$A$7:$A$3006,3,'Логи'!$B$7:$B$3006,1,'Логи'!$C$7:$C$3006,A171))</f>
        <v/>
      </c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3">
      <c r="A173" s="19" t="inlineStr">
        <is>
          <t>Практика 3 — результаты рассказа</t>
        </is>
      </c>
    </row>
    <row r="174" ht="28" customHeight="1">
      <c r="A174" s="9" t="inlineStr">
        <is>
          <t>Имя</t>
        </is>
      </c>
      <c r="B174" s="11" t="inlineStr">
        <is>
          <t>TG</t>
        </is>
      </c>
      <c r="C174" s="12" t="inlineStr"/>
      <c r="D174" s="3" t="inlineStr"/>
      <c r="E174" s="3" t="inlineStr"/>
      <c r="F174" s="13" t="inlineStr">
        <is>
          <t>1.0</t>
        </is>
      </c>
      <c r="G174" s="13" t="inlineStr">
        <is>
          <t>2.0</t>
        </is>
      </c>
      <c r="H174" s="13" t="inlineStr">
        <is>
          <t>3.0</t>
        </is>
      </c>
      <c r="I174" s="13" t="inlineStr">
        <is>
          <t>4.0</t>
        </is>
      </c>
      <c r="J174" s="13" t="inlineStr">
        <is>
          <t>5.0</t>
        </is>
      </c>
      <c r="K174" s="13" t="inlineStr">
        <is>
          <t>6</t>
        </is>
      </c>
      <c r="L174" s="13" t="inlineStr">
        <is>
          <t>7</t>
        </is>
      </c>
      <c r="M174" s="13" t="inlineStr">
        <is>
          <t>8</t>
        </is>
      </c>
      <c r="N174" s="13" t="inlineStr">
        <is>
          <t>9</t>
        </is>
      </c>
      <c r="O174" s="13" t="inlineStr">
        <is>
          <t>10</t>
        </is>
      </c>
      <c r="P174" s="13" t="inlineStr">
        <is>
          <t>11</t>
        </is>
      </c>
      <c r="Q174" s="13" t="inlineStr">
        <is>
          <t>12</t>
        </is>
      </c>
      <c r="R174" s="13" t="inlineStr">
        <is>
          <t>13</t>
        </is>
      </c>
      <c r="S174" s="13" t="inlineStr">
        <is>
          <t>14</t>
        </is>
      </c>
      <c r="T174" s="13" t="inlineStr">
        <is>
          <t>15</t>
        </is>
      </c>
      <c r="U174" s="13" t="inlineStr">
        <is>
          <t>16</t>
        </is>
      </c>
      <c r="V174" s="13" t="inlineStr">
        <is>
          <t>17</t>
        </is>
      </c>
      <c r="W174" s="13" t="inlineStr">
        <is>
          <t>18</t>
        </is>
      </c>
      <c r="X174" s="13" t="inlineStr">
        <is>
          <t>19</t>
        </is>
      </c>
      <c r="Y174" s="13" t="inlineStr">
        <is>
          <t>20</t>
        </is>
      </c>
      <c r="Z174" s="13" t="inlineStr">
        <is>
          <t>21</t>
        </is>
      </c>
      <c r="AA174" s="13" t="inlineStr">
        <is>
          <t>22</t>
        </is>
      </c>
      <c r="AB174" s="13" t="inlineStr">
        <is>
          <t>23</t>
        </is>
      </c>
      <c r="AC174" s="13" t="inlineStr">
        <is>
          <t>24</t>
        </is>
      </c>
      <c r="AD174" s="13" t="inlineStr">
        <is>
          <t>25</t>
        </is>
      </c>
      <c r="AE174" s="13" t="inlineStr">
        <is>
          <t>26</t>
        </is>
      </c>
      <c r="AF174" s="13" t="inlineStr">
        <is>
          <t>27</t>
        </is>
      </c>
      <c r="AG174" s="13" t="inlineStr">
        <is>
          <t>28</t>
        </is>
      </c>
      <c r="AH174" s="13" t="inlineStr">
        <is>
          <t>29</t>
        </is>
      </c>
      <c r="AI174" s="13" t="inlineStr">
        <is>
          <t>30</t>
        </is>
      </c>
    </row>
    <row r="175">
      <c r="A175" s="4" t="inlineStr">
        <is>
          <t>Студент1.1</t>
        </is>
      </c>
      <c r="B175" s="4" t="inlineStr"/>
      <c r="C175" s="4" t="n"/>
      <c r="D175" s="4" t="n"/>
      <c r="E175" s="4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4" t="inlineStr">
        <is>
          <t>Студент1.2</t>
        </is>
      </c>
      <c r="B176" s="4" t="inlineStr"/>
      <c r="C176" s="4" t="n"/>
      <c r="D176" s="4" t="n"/>
      <c r="E176" s="4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4" t="inlineStr">
        <is>
          <t>Студент1.3</t>
        </is>
      </c>
      <c r="B177" s="4" t="inlineStr"/>
      <c r="C177" s="4" t="n"/>
      <c r="D177" s="4" t="n"/>
      <c r="E177" s="4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4" t="inlineStr">
        <is>
          <t>Студент1.4</t>
        </is>
      </c>
      <c r="B178" s="4" t="inlineStr"/>
      <c r="C178" s="4" t="n"/>
      <c r="D178" s="4" t="n"/>
      <c r="E178" s="4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4" t="inlineStr">
        <is>
          <t>Студент1.5</t>
        </is>
      </c>
      <c r="B179" s="4" t="inlineStr"/>
      <c r="C179" s="4" t="n"/>
      <c r="D179" s="4" t="n"/>
      <c r="E179" s="4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4" t="inlineStr">
        <is>
          <t>Студент1.6</t>
        </is>
      </c>
      <c r="B180" s="4" t="inlineStr"/>
      <c r="C180" s="4" t="n"/>
      <c r="D180" s="4" t="n"/>
      <c r="E180" s="4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4" t="inlineStr">
        <is>
          <t>Студент1.7</t>
        </is>
      </c>
      <c r="B181" s="4" t="inlineStr"/>
      <c r="C181" s="4" t="n"/>
      <c r="D181" s="4" t="n"/>
      <c r="E181" s="4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4" t="inlineStr">
        <is>
          <t>Студент1.8</t>
        </is>
      </c>
      <c r="B182" s="4" t="inlineStr"/>
      <c r="C182" s="4" t="n"/>
      <c r="D182" s="4" t="n"/>
      <c r="E182" s="4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4" t="inlineStr">
        <is>
          <t>Студент1.9</t>
        </is>
      </c>
      <c r="B183" s="4" t="inlineStr"/>
      <c r="C183" s="4" t="n"/>
      <c r="D183" s="4" t="n"/>
      <c r="E183" s="4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4" t="inlineStr">
        <is>
          <t>Студент1.10</t>
        </is>
      </c>
      <c r="B184" s="4" t="inlineStr"/>
      <c r="C184" s="4" t="n"/>
      <c r="D184" s="4" t="n"/>
      <c r="E184" s="4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4" t="inlineStr">
        <is>
          <t>Студент1.11</t>
        </is>
      </c>
      <c r="B185" s="4" t="inlineStr"/>
      <c r="C185" s="4" t="n"/>
      <c r="D185" s="4" t="n"/>
      <c r="E185" s="4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4" t="inlineStr">
        <is>
          <t>Студент1.12</t>
        </is>
      </c>
      <c r="B186" s="4" t="inlineStr"/>
      <c r="C186" s="4" t="n"/>
      <c r="D186" s="4" t="n"/>
      <c r="E186" s="4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4" t="inlineStr">
        <is>
          <t>Студент1.13</t>
        </is>
      </c>
      <c r="B187" s="4" t="inlineStr"/>
      <c r="C187" s="4" t="n"/>
      <c r="D187" s="4" t="n"/>
      <c r="E187" s="4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4" t="inlineStr">
        <is>
          <t>Студент1.14</t>
        </is>
      </c>
      <c r="B188" s="4" t="inlineStr"/>
      <c r="C188" s="4" t="n"/>
      <c r="D188" s="4" t="n"/>
      <c r="E188" s="4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4" t="inlineStr">
        <is>
          <t>Студент1.15</t>
        </is>
      </c>
      <c r="B189" s="4" t="inlineStr"/>
      <c r="C189" s="4" t="n"/>
      <c r="D189" s="4" t="n"/>
      <c r="E189" s="4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4" t="inlineStr">
        <is>
          <t>Студент1.16</t>
        </is>
      </c>
      <c r="B190" s="4" t="inlineStr"/>
      <c r="C190" s="4" t="n"/>
      <c r="D190" s="4" t="n"/>
      <c r="E190" s="4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4" t="inlineStr">
        <is>
          <t>Студент1.17</t>
        </is>
      </c>
      <c r="B191" s="4" t="inlineStr"/>
      <c r="C191" s="4" t="n"/>
      <c r="D191" s="4" t="n"/>
      <c r="E191" s="4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4" t="inlineStr">
        <is>
          <t>Студент1.18</t>
        </is>
      </c>
      <c r="B192" s="4" t="inlineStr"/>
      <c r="C192" s="4" t="n"/>
      <c r="D192" s="4" t="n"/>
      <c r="E192" s="4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4" t="inlineStr">
        <is>
          <t>Студент1.19</t>
        </is>
      </c>
      <c r="B193" s="4" t="inlineStr"/>
      <c r="C193" s="4" t="n"/>
      <c r="D193" s="4" t="n"/>
      <c r="E193" s="4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4" t="inlineStr">
        <is>
          <t>Студент1.20</t>
        </is>
      </c>
      <c r="B194" s="4" t="inlineStr"/>
      <c r="C194" s="4" t="n"/>
      <c r="D194" s="4" t="n"/>
      <c r="E194" s="4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4" t="inlineStr">
        <is>
          <t>Студент1.21</t>
        </is>
      </c>
      <c r="B195" s="4" t="inlineStr"/>
      <c r="C195" s="4" t="n"/>
      <c r="D195" s="4" t="n"/>
      <c r="E195" s="4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4" t="inlineStr">
        <is>
          <t>Студент1.22</t>
        </is>
      </c>
      <c r="B196" s="4" t="inlineStr"/>
      <c r="C196" s="4" t="n"/>
      <c r="D196" s="4" t="n"/>
      <c r="E196" s="4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4" t="inlineStr">
        <is>
          <t>Студент1.23</t>
        </is>
      </c>
      <c r="B197" s="4" t="inlineStr"/>
      <c r="C197" s="4" t="n"/>
      <c r="D197" s="4" t="n"/>
      <c r="E197" s="4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4" t="inlineStr">
        <is>
          <t>Студент1.24</t>
        </is>
      </c>
      <c r="B198" s="4" t="inlineStr"/>
      <c r="C198" s="4" t="n"/>
      <c r="D198" s="4" t="n"/>
      <c r="E198" s="4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4" t="inlineStr">
        <is>
          <t>Студент1.25</t>
        </is>
      </c>
      <c r="B199" s="4" t="inlineStr"/>
      <c r="C199" s="4" t="n"/>
      <c r="D199" s="4" t="n"/>
      <c r="E199" s="4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4" t="inlineStr">
        <is>
          <t>Студент1.26</t>
        </is>
      </c>
      <c r="B200" s="4" t="inlineStr"/>
      <c r="C200" s="4" t="n"/>
      <c r="D200" s="4" t="n"/>
      <c r="E200" s="4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  <row r="201">
      <c r="A201" s="4" t="inlineStr">
        <is>
          <t>Студент1.27</t>
        </is>
      </c>
      <c r="B201" s="4" t="inlineStr"/>
      <c r="C201" s="4" t="n"/>
      <c r="D201" s="4" t="n"/>
      <c r="E201" s="4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4" t="inlineStr">
        <is>
          <t>Студент1.28</t>
        </is>
      </c>
      <c r="B202" s="4" t="inlineStr"/>
      <c r="C202" s="4" t="n"/>
      <c r="D202" s="4" t="n"/>
      <c r="E202" s="4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</row>
    <row r="203">
      <c r="A203" s="4" t="inlineStr">
        <is>
          <t>Студент1.29</t>
        </is>
      </c>
      <c r="B203" s="4" t="inlineStr"/>
      <c r="C203" s="4" t="n"/>
      <c r="D203" s="4" t="n"/>
      <c r="E203" s="4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4" t="inlineStr">
        <is>
          <t>Студент1.30</t>
        </is>
      </c>
      <c r="B204" s="4" t="inlineStr"/>
      <c r="C204" s="4" t="n"/>
      <c r="D204" s="4" t="n"/>
      <c r="E204" s="4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</row>
    <row r="208">
      <c r="A208" s="17" t="inlineStr">
        <is>
          <t>Практика 4 — плюсы</t>
        </is>
      </c>
    </row>
    <row r="209" ht="28" customHeight="1">
      <c r="A209" s="9" t="inlineStr">
        <is>
          <t>Имя</t>
        </is>
      </c>
      <c r="B209" s="11" t="inlineStr">
        <is>
          <t>TG</t>
        </is>
      </c>
      <c r="C209" s="12" t="inlineStr">
        <is>
          <t>S</t>
        </is>
      </c>
      <c r="D209" s="10" t="inlineStr">
        <is>
          <t>Коэффициент</t>
        </is>
      </c>
      <c r="E209" s="18" t="inlineStr">
        <is>
          <t>D за практику</t>
        </is>
      </c>
      <c r="F209" s="13" t="inlineStr">
        <is>
          <t>1.0</t>
        </is>
      </c>
      <c r="G209" s="13" t="inlineStr">
        <is>
          <t>2.0</t>
        </is>
      </c>
      <c r="H209" s="13" t="inlineStr">
        <is>
          <t>3.0</t>
        </is>
      </c>
      <c r="I209" s="13" t="inlineStr">
        <is>
          <t>4.0</t>
        </is>
      </c>
      <c r="J209" s="13" t="inlineStr">
        <is>
          <t>5.0</t>
        </is>
      </c>
      <c r="K209" s="13" t="inlineStr">
        <is>
          <t>6</t>
        </is>
      </c>
      <c r="L209" s="13" t="inlineStr">
        <is>
          <t>7</t>
        </is>
      </c>
      <c r="M209" s="13" t="inlineStr">
        <is>
          <t>8</t>
        </is>
      </c>
      <c r="N209" s="13" t="inlineStr">
        <is>
          <t>9</t>
        </is>
      </c>
      <c r="O209" s="13" t="inlineStr">
        <is>
          <t>10</t>
        </is>
      </c>
      <c r="P209" s="13" t="inlineStr">
        <is>
          <t>11</t>
        </is>
      </c>
      <c r="Q209" s="13" t="inlineStr">
        <is>
          <t>12</t>
        </is>
      </c>
      <c r="R209" s="13" t="inlineStr">
        <is>
          <t>13</t>
        </is>
      </c>
      <c r="S209" s="13" t="inlineStr">
        <is>
          <t>14</t>
        </is>
      </c>
      <c r="T209" s="13" t="inlineStr">
        <is>
          <t>15</t>
        </is>
      </c>
      <c r="U209" s="13" t="inlineStr">
        <is>
          <t>16</t>
        </is>
      </c>
      <c r="V209" s="13" t="inlineStr">
        <is>
          <t>17</t>
        </is>
      </c>
      <c r="W209" s="13" t="inlineStr">
        <is>
          <t>18</t>
        </is>
      </c>
      <c r="X209" s="13" t="inlineStr">
        <is>
          <t>19</t>
        </is>
      </c>
      <c r="Y209" s="13" t="inlineStr">
        <is>
          <t>20</t>
        </is>
      </c>
      <c r="Z209" s="13" t="inlineStr">
        <is>
          <t>21</t>
        </is>
      </c>
      <c r="AA209" s="13" t="inlineStr">
        <is>
          <t>22</t>
        </is>
      </c>
      <c r="AB209" s="13" t="inlineStr">
        <is>
          <t>23</t>
        </is>
      </c>
      <c r="AC209" s="13" t="inlineStr">
        <is>
          <t>24</t>
        </is>
      </c>
      <c r="AD209" s="13" t="inlineStr">
        <is>
          <t>25</t>
        </is>
      </c>
      <c r="AE209" s="13" t="inlineStr">
        <is>
          <t>26</t>
        </is>
      </c>
      <c r="AF209" s="13" t="inlineStr">
        <is>
          <t>27</t>
        </is>
      </c>
      <c r="AG209" s="13" t="inlineStr">
        <is>
          <t>28</t>
        </is>
      </c>
      <c r="AH209" s="13" t="inlineStr">
        <is>
          <t>29</t>
        </is>
      </c>
      <c r="AI209" s="13" t="inlineStr">
        <is>
          <t>30</t>
        </is>
      </c>
    </row>
    <row r="210">
      <c r="A210" s="4" t="inlineStr">
        <is>
          <t>Студент1.1</t>
        </is>
      </c>
      <c r="B210" s="4" t="inlineStr"/>
      <c r="C210" s="4">
        <f>IF(A210="","",COUNTIF(F210:AI210,"+")+COUNTIF(F210:AI210,"1"))</f>
        <v/>
      </c>
      <c r="D210" s="4">
        <f>IF(A210="","",IF(C210&gt;2*COUNTA(F$209:AI$209)/3,'Общий'!$M$11,IF(C210&gt;=COUNTA(F$209:AI$209)/2,'Общий'!$M$12,'Общий'!$M$13)))</f>
        <v/>
      </c>
      <c r="E210" s="4">
        <f>IF(A210="","",SUMIFS('Логи'!$H$7:$H$3006,'Логи'!$A$7:$A$3006,4,'Логи'!$B$7:$B$3006,1,'Логи'!$C$7:$C$3006,A210))</f>
        <v/>
      </c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</row>
    <row r="211">
      <c r="A211" s="4" t="inlineStr">
        <is>
          <t>Студент1.2</t>
        </is>
      </c>
      <c r="B211" s="4" t="inlineStr"/>
      <c r="C211" s="4">
        <f>IF(A211="","",COUNTIF(F211:AI211,"+")+COUNTIF(F211:AI211,"1"))</f>
        <v/>
      </c>
      <c r="D211" s="4">
        <f>IF(A211="","",IF(C211&gt;2*COUNTA(F$209:AI$209)/3,'Общий'!$M$11,IF(C211&gt;=COUNTA(F$209:AI$209)/2,'Общий'!$M$12,'Общий'!$M$13)))</f>
        <v/>
      </c>
      <c r="E211" s="4">
        <f>IF(A211="","",SUMIFS('Логи'!$H$7:$H$3006,'Логи'!$A$7:$A$3006,4,'Логи'!$B$7:$B$3006,1,'Логи'!$C$7:$C$3006,A211))</f>
        <v/>
      </c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4" t="inlineStr">
        <is>
          <t>Студент1.3</t>
        </is>
      </c>
      <c r="B212" s="4" t="inlineStr"/>
      <c r="C212" s="4">
        <f>IF(A212="","",COUNTIF(F212:AI212,"+")+COUNTIF(F212:AI212,"1"))</f>
        <v/>
      </c>
      <c r="D212" s="4">
        <f>IF(A212="","",IF(C212&gt;2*COUNTA(F$209:AI$209)/3,'Общий'!$M$11,IF(C212&gt;=COUNTA(F$209:AI$209)/2,'Общий'!$M$12,'Общий'!$M$13)))</f>
        <v/>
      </c>
      <c r="E212" s="4">
        <f>IF(A212="","",SUMIFS('Логи'!$H$7:$H$3006,'Логи'!$A$7:$A$3006,4,'Логи'!$B$7:$B$3006,1,'Логи'!$C$7:$C$3006,A212))</f>
        <v/>
      </c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</row>
    <row r="213">
      <c r="A213" s="4" t="inlineStr">
        <is>
          <t>Студент1.4</t>
        </is>
      </c>
      <c r="B213" s="4" t="inlineStr"/>
      <c r="C213" s="4">
        <f>IF(A213="","",COUNTIF(F213:AI213,"+")+COUNTIF(F213:AI213,"1"))</f>
        <v/>
      </c>
      <c r="D213" s="4">
        <f>IF(A213="","",IF(C213&gt;2*COUNTA(F$209:AI$209)/3,'Общий'!$M$11,IF(C213&gt;=COUNTA(F$209:AI$209)/2,'Общий'!$M$12,'Общий'!$M$13)))</f>
        <v/>
      </c>
      <c r="E213" s="4">
        <f>IF(A213="","",SUMIFS('Логи'!$H$7:$H$3006,'Логи'!$A$7:$A$3006,4,'Логи'!$B$7:$B$3006,1,'Логи'!$C$7:$C$3006,A213))</f>
        <v/>
      </c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4" t="inlineStr">
        <is>
          <t>Студент1.5</t>
        </is>
      </c>
      <c r="B214" s="4" t="inlineStr"/>
      <c r="C214" s="4">
        <f>IF(A214="","",COUNTIF(F214:AI214,"+")+COUNTIF(F214:AI214,"1"))</f>
        <v/>
      </c>
      <c r="D214" s="4">
        <f>IF(A214="","",IF(C214&gt;2*COUNTA(F$209:AI$209)/3,'Общий'!$M$11,IF(C214&gt;=COUNTA(F$209:AI$209)/2,'Общий'!$M$12,'Общий'!$M$13)))</f>
        <v/>
      </c>
      <c r="E214" s="4">
        <f>IF(A214="","",SUMIFS('Логи'!$H$7:$H$3006,'Логи'!$A$7:$A$3006,4,'Логи'!$B$7:$B$3006,1,'Логи'!$C$7:$C$3006,A214))</f>
        <v/>
      </c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</row>
    <row r="215">
      <c r="A215" s="4" t="inlineStr">
        <is>
          <t>Студент1.6</t>
        </is>
      </c>
      <c r="B215" s="4" t="inlineStr"/>
      <c r="C215" s="4">
        <f>IF(A215="","",COUNTIF(F215:AI215,"+")+COUNTIF(F215:AI215,"1"))</f>
        <v/>
      </c>
      <c r="D215" s="4">
        <f>IF(A215="","",IF(C215&gt;2*COUNTA(F$209:AI$209)/3,'Общий'!$M$11,IF(C215&gt;=COUNTA(F$209:AI$209)/2,'Общий'!$M$12,'Общий'!$M$13)))</f>
        <v/>
      </c>
      <c r="E215" s="4">
        <f>IF(A215="","",SUMIFS('Логи'!$H$7:$H$3006,'Логи'!$A$7:$A$3006,4,'Логи'!$B$7:$B$3006,1,'Логи'!$C$7:$C$3006,A215))</f>
        <v/>
      </c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4" t="inlineStr">
        <is>
          <t>Студент1.7</t>
        </is>
      </c>
      <c r="B216" s="4" t="inlineStr"/>
      <c r="C216" s="4">
        <f>IF(A216="","",COUNTIF(F216:AI216,"+")+COUNTIF(F216:AI216,"1"))</f>
        <v/>
      </c>
      <c r="D216" s="4">
        <f>IF(A216="","",IF(C216&gt;2*COUNTA(F$209:AI$209)/3,'Общий'!$M$11,IF(C216&gt;=COUNTA(F$209:AI$209)/2,'Общий'!$M$12,'Общий'!$M$13)))</f>
        <v/>
      </c>
      <c r="E216" s="4">
        <f>IF(A216="","",SUMIFS('Логи'!$H$7:$H$3006,'Логи'!$A$7:$A$3006,4,'Логи'!$B$7:$B$3006,1,'Логи'!$C$7:$C$3006,A216))</f>
        <v/>
      </c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</row>
    <row r="217">
      <c r="A217" s="4" t="inlineStr">
        <is>
          <t>Студент1.8</t>
        </is>
      </c>
      <c r="B217" s="4" t="inlineStr"/>
      <c r="C217" s="4">
        <f>IF(A217="","",COUNTIF(F217:AI217,"+")+COUNTIF(F217:AI217,"1"))</f>
        <v/>
      </c>
      <c r="D217" s="4">
        <f>IF(A217="","",IF(C217&gt;2*COUNTA(F$209:AI$209)/3,'Общий'!$M$11,IF(C217&gt;=COUNTA(F$209:AI$209)/2,'Общий'!$M$12,'Общий'!$M$13)))</f>
        <v/>
      </c>
      <c r="E217" s="4">
        <f>IF(A217="","",SUMIFS('Логи'!$H$7:$H$3006,'Логи'!$A$7:$A$3006,4,'Логи'!$B$7:$B$3006,1,'Логи'!$C$7:$C$3006,A217))</f>
        <v/>
      </c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4" t="inlineStr">
        <is>
          <t>Студент1.9</t>
        </is>
      </c>
      <c r="B218" s="4" t="inlineStr"/>
      <c r="C218" s="4">
        <f>IF(A218="","",COUNTIF(F218:AI218,"+")+COUNTIF(F218:AI218,"1"))</f>
        <v/>
      </c>
      <c r="D218" s="4">
        <f>IF(A218="","",IF(C218&gt;2*COUNTA(F$209:AI$209)/3,'Общий'!$M$11,IF(C218&gt;=COUNTA(F$209:AI$209)/2,'Общий'!$M$12,'Общий'!$M$13)))</f>
        <v/>
      </c>
      <c r="E218" s="4">
        <f>IF(A218="","",SUMIFS('Логи'!$H$7:$H$3006,'Логи'!$A$7:$A$3006,4,'Логи'!$B$7:$B$3006,1,'Логи'!$C$7:$C$3006,A218))</f>
        <v/>
      </c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</row>
    <row r="219">
      <c r="A219" s="4" t="inlineStr">
        <is>
          <t>Студент1.10</t>
        </is>
      </c>
      <c r="B219" s="4" t="inlineStr"/>
      <c r="C219" s="4">
        <f>IF(A219="","",COUNTIF(F219:AI219,"+")+COUNTIF(F219:AI219,"1"))</f>
        <v/>
      </c>
      <c r="D219" s="4">
        <f>IF(A219="","",IF(C219&gt;2*COUNTA(F$209:AI$209)/3,'Общий'!$M$11,IF(C219&gt;=COUNTA(F$209:AI$209)/2,'Общий'!$M$12,'Общий'!$M$13)))</f>
        <v/>
      </c>
      <c r="E219" s="4">
        <f>IF(A219="","",SUMIFS('Логи'!$H$7:$H$3006,'Логи'!$A$7:$A$3006,4,'Логи'!$B$7:$B$3006,1,'Логи'!$C$7:$C$3006,A219))</f>
        <v/>
      </c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4" t="inlineStr">
        <is>
          <t>Студент1.11</t>
        </is>
      </c>
      <c r="B220" s="4" t="inlineStr"/>
      <c r="C220" s="4">
        <f>IF(A220="","",COUNTIF(F220:AI220,"+")+COUNTIF(F220:AI220,"1"))</f>
        <v/>
      </c>
      <c r="D220" s="4">
        <f>IF(A220="","",IF(C220&gt;2*COUNTA(F$209:AI$209)/3,'Общий'!$M$11,IF(C220&gt;=COUNTA(F$209:AI$209)/2,'Общий'!$M$12,'Общий'!$M$13)))</f>
        <v/>
      </c>
      <c r="E220" s="4">
        <f>IF(A220="","",SUMIFS('Логи'!$H$7:$H$3006,'Логи'!$A$7:$A$3006,4,'Логи'!$B$7:$B$3006,1,'Логи'!$C$7:$C$3006,A220))</f>
        <v/>
      </c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</row>
    <row r="221">
      <c r="A221" s="4" t="inlineStr">
        <is>
          <t>Студент1.12</t>
        </is>
      </c>
      <c r="B221" s="4" t="inlineStr"/>
      <c r="C221" s="4">
        <f>IF(A221="","",COUNTIF(F221:AI221,"+")+COUNTIF(F221:AI221,"1"))</f>
        <v/>
      </c>
      <c r="D221" s="4">
        <f>IF(A221="","",IF(C221&gt;2*COUNTA(F$209:AI$209)/3,'Общий'!$M$11,IF(C221&gt;=COUNTA(F$209:AI$209)/2,'Общий'!$M$12,'Общий'!$M$13)))</f>
        <v/>
      </c>
      <c r="E221" s="4">
        <f>IF(A221="","",SUMIFS('Логи'!$H$7:$H$3006,'Логи'!$A$7:$A$3006,4,'Логи'!$B$7:$B$3006,1,'Логи'!$C$7:$C$3006,A221))</f>
        <v/>
      </c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4" t="inlineStr">
        <is>
          <t>Студент1.13</t>
        </is>
      </c>
      <c r="B222" s="4" t="inlineStr"/>
      <c r="C222" s="4">
        <f>IF(A222="","",COUNTIF(F222:AI222,"+")+COUNTIF(F222:AI222,"1"))</f>
        <v/>
      </c>
      <c r="D222" s="4">
        <f>IF(A222="","",IF(C222&gt;2*COUNTA(F$209:AI$209)/3,'Общий'!$M$11,IF(C222&gt;=COUNTA(F$209:AI$209)/2,'Общий'!$M$12,'Общий'!$M$13)))</f>
        <v/>
      </c>
      <c r="E222" s="4">
        <f>IF(A222="","",SUMIFS('Логи'!$H$7:$H$3006,'Логи'!$A$7:$A$3006,4,'Логи'!$B$7:$B$3006,1,'Логи'!$C$7:$C$3006,A222))</f>
        <v/>
      </c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</row>
    <row r="223">
      <c r="A223" s="4" t="inlineStr">
        <is>
          <t>Студент1.14</t>
        </is>
      </c>
      <c r="B223" s="4" t="inlineStr"/>
      <c r="C223" s="4">
        <f>IF(A223="","",COUNTIF(F223:AI223,"+")+COUNTIF(F223:AI223,"1"))</f>
        <v/>
      </c>
      <c r="D223" s="4">
        <f>IF(A223="","",IF(C223&gt;2*COUNTA(F$209:AI$209)/3,'Общий'!$M$11,IF(C223&gt;=COUNTA(F$209:AI$209)/2,'Общий'!$M$12,'Общий'!$M$13)))</f>
        <v/>
      </c>
      <c r="E223" s="4">
        <f>IF(A223="","",SUMIFS('Логи'!$H$7:$H$3006,'Логи'!$A$7:$A$3006,4,'Логи'!$B$7:$B$3006,1,'Логи'!$C$7:$C$3006,A223))</f>
        <v/>
      </c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4" t="inlineStr">
        <is>
          <t>Студент1.15</t>
        </is>
      </c>
      <c r="B224" s="4" t="inlineStr"/>
      <c r="C224" s="4">
        <f>IF(A224="","",COUNTIF(F224:AI224,"+")+COUNTIF(F224:AI224,"1"))</f>
        <v/>
      </c>
      <c r="D224" s="4">
        <f>IF(A224="","",IF(C224&gt;2*COUNTA(F$209:AI$209)/3,'Общий'!$M$11,IF(C224&gt;=COUNTA(F$209:AI$209)/2,'Общий'!$M$12,'Общий'!$M$13)))</f>
        <v/>
      </c>
      <c r="E224" s="4">
        <f>IF(A224="","",SUMIFS('Логи'!$H$7:$H$3006,'Логи'!$A$7:$A$3006,4,'Логи'!$B$7:$B$3006,1,'Логи'!$C$7:$C$3006,A224))</f>
        <v/>
      </c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</row>
    <row r="225">
      <c r="A225" s="4" t="inlineStr">
        <is>
          <t>Студент1.16</t>
        </is>
      </c>
      <c r="B225" s="4" t="inlineStr"/>
      <c r="C225" s="4">
        <f>IF(A225="","",COUNTIF(F225:AI225,"+")+COUNTIF(F225:AI225,"1"))</f>
        <v/>
      </c>
      <c r="D225" s="4">
        <f>IF(A225="","",IF(C225&gt;2*COUNTA(F$209:AI$209)/3,'Общий'!$M$11,IF(C225&gt;=COUNTA(F$209:AI$209)/2,'Общий'!$M$12,'Общий'!$M$13)))</f>
        <v/>
      </c>
      <c r="E225" s="4">
        <f>IF(A225="","",SUMIFS('Логи'!$H$7:$H$3006,'Логи'!$A$7:$A$3006,4,'Логи'!$B$7:$B$3006,1,'Логи'!$C$7:$C$3006,A225))</f>
        <v/>
      </c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4" t="inlineStr">
        <is>
          <t>Студент1.17</t>
        </is>
      </c>
      <c r="B226" s="4" t="inlineStr"/>
      <c r="C226" s="4">
        <f>IF(A226="","",COUNTIF(F226:AI226,"+")+COUNTIF(F226:AI226,"1"))</f>
        <v/>
      </c>
      <c r="D226" s="4">
        <f>IF(A226="","",IF(C226&gt;2*COUNTA(F$209:AI$209)/3,'Общий'!$M$11,IF(C226&gt;=COUNTA(F$209:AI$209)/2,'Общий'!$M$12,'Общий'!$M$13)))</f>
        <v/>
      </c>
      <c r="E226" s="4">
        <f>IF(A226="","",SUMIFS('Логи'!$H$7:$H$3006,'Логи'!$A$7:$A$3006,4,'Логи'!$B$7:$B$3006,1,'Логи'!$C$7:$C$3006,A226))</f>
        <v/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</row>
    <row r="227">
      <c r="A227" s="4" t="inlineStr">
        <is>
          <t>Студент1.18</t>
        </is>
      </c>
      <c r="B227" s="4" t="inlineStr"/>
      <c r="C227" s="4">
        <f>IF(A227="","",COUNTIF(F227:AI227,"+")+COUNTIF(F227:AI227,"1"))</f>
        <v/>
      </c>
      <c r="D227" s="4">
        <f>IF(A227="","",IF(C227&gt;2*COUNTA(F$209:AI$209)/3,'Общий'!$M$11,IF(C227&gt;=COUNTA(F$209:AI$209)/2,'Общий'!$M$12,'Общий'!$M$13)))</f>
        <v/>
      </c>
      <c r="E227" s="4">
        <f>IF(A227="","",SUMIFS('Логи'!$H$7:$H$3006,'Логи'!$A$7:$A$3006,4,'Логи'!$B$7:$B$3006,1,'Логи'!$C$7:$C$3006,A227))</f>
        <v/>
      </c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4" t="inlineStr">
        <is>
          <t>Студент1.19</t>
        </is>
      </c>
      <c r="B228" s="4" t="inlineStr"/>
      <c r="C228" s="4">
        <f>IF(A228="","",COUNTIF(F228:AI228,"+")+COUNTIF(F228:AI228,"1"))</f>
        <v/>
      </c>
      <c r="D228" s="4">
        <f>IF(A228="","",IF(C228&gt;2*COUNTA(F$209:AI$209)/3,'Общий'!$M$11,IF(C228&gt;=COUNTA(F$209:AI$209)/2,'Общий'!$M$12,'Общий'!$M$13)))</f>
        <v/>
      </c>
      <c r="E228" s="4">
        <f>IF(A228="","",SUMIFS('Логи'!$H$7:$H$3006,'Логи'!$A$7:$A$3006,4,'Логи'!$B$7:$B$3006,1,'Логи'!$C$7:$C$3006,A228))</f>
        <v/>
      </c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</row>
    <row r="229">
      <c r="A229" s="4" t="inlineStr">
        <is>
          <t>Студент1.20</t>
        </is>
      </c>
      <c r="B229" s="4" t="inlineStr"/>
      <c r="C229" s="4">
        <f>IF(A229="","",COUNTIF(F229:AI229,"+")+COUNTIF(F229:AI229,"1"))</f>
        <v/>
      </c>
      <c r="D229" s="4">
        <f>IF(A229="","",IF(C229&gt;2*COUNTA(F$209:AI$209)/3,'Общий'!$M$11,IF(C229&gt;=COUNTA(F$209:AI$209)/2,'Общий'!$M$12,'Общий'!$M$13)))</f>
        <v/>
      </c>
      <c r="E229" s="4">
        <f>IF(A229="","",SUMIFS('Логи'!$H$7:$H$3006,'Логи'!$A$7:$A$3006,4,'Логи'!$B$7:$B$3006,1,'Логи'!$C$7:$C$3006,A229))</f>
        <v/>
      </c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4" t="inlineStr">
        <is>
          <t>Студент1.21</t>
        </is>
      </c>
      <c r="B230" s="4" t="inlineStr"/>
      <c r="C230" s="4">
        <f>IF(A230="","",COUNTIF(F230:AI230,"+")+COUNTIF(F230:AI230,"1"))</f>
        <v/>
      </c>
      <c r="D230" s="4">
        <f>IF(A230="","",IF(C230&gt;2*COUNTA(F$209:AI$209)/3,'Общий'!$M$11,IF(C230&gt;=COUNTA(F$209:AI$209)/2,'Общий'!$M$12,'Общий'!$M$13)))</f>
        <v/>
      </c>
      <c r="E230" s="4">
        <f>IF(A230="","",SUMIFS('Логи'!$H$7:$H$3006,'Логи'!$A$7:$A$3006,4,'Логи'!$B$7:$B$3006,1,'Логи'!$C$7:$C$3006,A230))</f>
        <v/>
      </c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</row>
    <row r="231">
      <c r="A231" s="4" t="inlineStr">
        <is>
          <t>Студент1.22</t>
        </is>
      </c>
      <c r="B231" s="4" t="inlineStr"/>
      <c r="C231" s="4">
        <f>IF(A231="","",COUNTIF(F231:AI231,"+")+COUNTIF(F231:AI231,"1"))</f>
        <v/>
      </c>
      <c r="D231" s="4">
        <f>IF(A231="","",IF(C231&gt;2*COUNTA(F$209:AI$209)/3,'Общий'!$M$11,IF(C231&gt;=COUNTA(F$209:AI$209)/2,'Общий'!$M$12,'Общий'!$M$13)))</f>
        <v/>
      </c>
      <c r="E231" s="4">
        <f>IF(A231="","",SUMIFS('Логи'!$H$7:$H$3006,'Логи'!$A$7:$A$3006,4,'Логи'!$B$7:$B$3006,1,'Логи'!$C$7:$C$3006,A231))</f>
        <v/>
      </c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4" t="inlineStr">
        <is>
          <t>Студент1.23</t>
        </is>
      </c>
      <c r="B232" s="4" t="inlineStr"/>
      <c r="C232" s="4">
        <f>IF(A232="","",COUNTIF(F232:AI232,"+")+COUNTIF(F232:AI232,"1"))</f>
        <v/>
      </c>
      <c r="D232" s="4">
        <f>IF(A232="","",IF(C232&gt;2*COUNTA(F$209:AI$209)/3,'Общий'!$M$11,IF(C232&gt;=COUNTA(F$209:AI$209)/2,'Общий'!$M$12,'Общий'!$M$13)))</f>
        <v/>
      </c>
      <c r="E232" s="4">
        <f>IF(A232="","",SUMIFS('Логи'!$H$7:$H$3006,'Логи'!$A$7:$A$3006,4,'Логи'!$B$7:$B$3006,1,'Логи'!$C$7:$C$3006,A232))</f>
        <v/>
      </c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</row>
    <row r="233">
      <c r="A233" s="4" t="inlineStr">
        <is>
          <t>Студент1.24</t>
        </is>
      </c>
      <c r="B233" s="4" t="inlineStr"/>
      <c r="C233" s="4">
        <f>IF(A233="","",COUNTIF(F233:AI233,"+")+COUNTIF(F233:AI233,"1"))</f>
        <v/>
      </c>
      <c r="D233" s="4">
        <f>IF(A233="","",IF(C233&gt;2*COUNTA(F$209:AI$209)/3,'Общий'!$M$11,IF(C233&gt;=COUNTA(F$209:AI$209)/2,'Общий'!$M$12,'Общий'!$M$13)))</f>
        <v/>
      </c>
      <c r="E233" s="4">
        <f>IF(A233="","",SUMIFS('Логи'!$H$7:$H$3006,'Логи'!$A$7:$A$3006,4,'Логи'!$B$7:$B$3006,1,'Логи'!$C$7:$C$3006,A233))</f>
        <v/>
      </c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4" t="inlineStr">
        <is>
          <t>Студент1.25</t>
        </is>
      </c>
      <c r="B234" s="4" t="inlineStr"/>
      <c r="C234" s="4">
        <f>IF(A234="","",COUNTIF(F234:AI234,"+")+COUNTIF(F234:AI234,"1"))</f>
        <v/>
      </c>
      <c r="D234" s="4">
        <f>IF(A234="","",IF(C234&gt;2*COUNTA(F$209:AI$209)/3,'Общий'!$M$11,IF(C234&gt;=COUNTA(F$209:AI$209)/2,'Общий'!$M$12,'Общий'!$M$13)))</f>
        <v/>
      </c>
      <c r="E234" s="4">
        <f>IF(A234="","",SUMIFS('Логи'!$H$7:$H$3006,'Логи'!$A$7:$A$3006,4,'Логи'!$B$7:$B$3006,1,'Логи'!$C$7:$C$3006,A234))</f>
        <v/>
      </c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</row>
    <row r="235">
      <c r="A235" s="4" t="inlineStr">
        <is>
          <t>Студент1.26</t>
        </is>
      </c>
      <c r="B235" s="4" t="inlineStr"/>
      <c r="C235" s="4">
        <f>IF(A235="","",COUNTIF(F235:AI235,"+")+COUNTIF(F235:AI235,"1"))</f>
        <v/>
      </c>
      <c r="D235" s="4">
        <f>IF(A235="","",IF(C235&gt;2*COUNTA(F$209:AI$209)/3,'Общий'!$M$11,IF(C235&gt;=COUNTA(F$209:AI$209)/2,'Общий'!$M$12,'Общий'!$M$13)))</f>
        <v/>
      </c>
      <c r="E235" s="4">
        <f>IF(A235="","",SUMIFS('Логи'!$H$7:$H$3006,'Логи'!$A$7:$A$3006,4,'Логи'!$B$7:$B$3006,1,'Логи'!$C$7:$C$3006,A235))</f>
        <v/>
      </c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4" t="inlineStr">
        <is>
          <t>Студент1.27</t>
        </is>
      </c>
      <c r="B236" s="4" t="inlineStr"/>
      <c r="C236" s="4">
        <f>IF(A236="","",COUNTIF(F236:AI236,"+")+COUNTIF(F236:AI236,"1"))</f>
        <v/>
      </c>
      <c r="D236" s="4">
        <f>IF(A236="","",IF(C236&gt;2*COUNTA(F$209:AI$209)/3,'Общий'!$M$11,IF(C236&gt;=COUNTA(F$209:AI$209)/2,'Общий'!$M$12,'Общий'!$M$13)))</f>
        <v/>
      </c>
      <c r="E236" s="4">
        <f>IF(A236="","",SUMIFS('Логи'!$H$7:$H$3006,'Логи'!$A$7:$A$3006,4,'Логи'!$B$7:$B$3006,1,'Логи'!$C$7:$C$3006,A236))</f>
        <v/>
      </c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</row>
    <row r="237">
      <c r="A237" s="4" t="inlineStr">
        <is>
          <t>Студент1.28</t>
        </is>
      </c>
      <c r="B237" s="4" t="inlineStr"/>
      <c r="C237" s="4">
        <f>IF(A237="","",COUNTIF(F237:AI237,"+")+COUNTIF(F237:AI237,"1"))</f>
        <v/>
      </c>
      <c r="D237" s="4">
        <f>IF(A237="","",IF(C237&gt;2*COUNTA(F$209:AI$209)/3,'Общий'!$M$11,IF(C237&gt;=COUNTA(F$209:AI$209)/2,'Общий'!$M$12,'Общий'!$M$13)))</f>
        <v/>
      </c>
      <c r="E237" s="4">
        <f>IF(A237="","",SUMIFS('Логи'!$H$7:$H$3006,'Логи'!$A$7:$A$3006,4,'Логи'!$B$7:$B$3006,1,'Логи'!$C$7:$C$3006,A237))</f>
        <v/>
      </c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4" t="inlineStr">
        <is>
          <t>Студент1.29</t>
        </is>
      </c>
      <c r="B238" s="4" t="inlineStr"/>
      <c r="C238" s="4">
        <f>IF(A238="","",COUNTIF(F238:AI238,"+")+COUNTIF(F238:AI238,"1"))</f>
        <v/>
      </c>
      <c r="D238" s="4">
        <f>IF(A238="","",IF(C238&gt;2*COUNTA(F$209:AI$209)/3,'Общий'!$M$11,IF(C238&gt;=COUNTA(F$209:AI$209)/2,'Общий'!$M$12,'Общий'!$M$13)))</f>
        <v/>
      </c>
      <c r="E238" s="4">
        <f>IF(A238="","",SUMIFS('Логи'!$H$7:$H$3006,'Логи'!$A$7:$A$3006,4,'Логи'!$B$7:$B$3006,1,'Логи'!$C$7:$C$3006,A238))</f>
        <v/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</row>
    <row r="239">
      <c r="A239" s="4" t="inlineStr">
        <is>
          <t>Студент1.30</t>
        </is>
      </c>
      <c r="B239" s="4" t="inlineStr"/>
      <c r="C239" s="4">
        <f>IF(A239="","",COUNTIF(F239:AI239,"+")+COUNTIF(F239:AI239,"1"))</f>
        <v/>
      </c>
      <c r="D239" s="4">
        <f>IF(A239="","",IF(C239&gt;2*COUNTA(F$209:AI$209)/3,'Общий'!$M$11,IF(C239&gt;=COUNTA(F$209:AI$209)/2,'Общий'!$M$12,'Общий'!$M$13)))</f>
        <v/>
      </c>
      <c r="E239" s="4">
        <f>IF(A239="","",SUMIFS('Логи'!$H$7:$H$3006,'Логи'!$A$7:$A$3006,4,'Логи'!$B$7:$B$3006,1,'Логи'!$C$7:$C$3006,A239))</f>
        <v/>
      </c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1">
      <c r="A241" s="19" t="inlineStr">
        <is>
          <t>Практика 4 — результаты рассказа</t>
        </is>
      </c>
    </row>
    <row r="242" ht="28" customHeight="1">
      <c r="A242" s="9" t="inlineStr">
        <is>
          <t>Имя</t>
        </is>
      </c>
      <c r="B242" s="11" t="inlineStr">
        <is>
          <t>TG</t>
        </is>
      </c>
      <c r="C242" s="12" t="inlineStr"/>
      <c r="D242" s="3" t="inlineStr"/>
      <c r="E242" s="3" t="inlineStr"/>
      <c r="F242" s="13" t="inlineStr">
        <is>
          <t>1.0</t>
        </is>
      </c>
      <c r="G242" s="13" t="inlineStr">
        <is>
          <t>2.0</t>
        </is>
      </c>
      <c r="H242" s="13" t="inlineStr">
        <is>
          <t>3.0</t>
        </is>
      </c>
      <c r="I242" s="13" t="inlineStr">
        <is>
          <t>4.0</t>
        </is>
      </c>
      <c r="J242" s="13" t="inlineStr">
        <is>
          <t>5.0</t>
        </is>
      </c>
      <c r="K242" s="13" t="inlineStr">
        <is>
          <t>6</t>
        </is>
      </c>
      <c r="L242" s="13" t="inlineStr">
        <is>
          <t>7</t>
        </is>
      </c>
      <c r="M242" s="13" t="inlineStr">
        <is>
          <t>8</t>
        </is>
      </c>
      <c r="N242" s="13" t="inlineStr">
        <is>
          <t>9</t>
        </is>
      </c>
      <c r="O242" s="13" t="inlineStr">
        <is>
          <t>10</t>
        </is>
      </c>
      <c r="P242" s="13" t="inlineStr">
        <is>
          <t>11</t>
        </is>
      </c>
      <c r="Q242" s="13" t="inlineStr">
        <is>
          <t>12</t>
        </is>
      </c>
      <c r="R242" s="13" t="inlineStr">
        <is>
          <t>13</t>
        </is>
      </c>
      <c r="S242" s="13" t="inlineStr">
        <is>
          <t>14</t>
        </is>
      </c>
      <c r="T242" s="13" t="inlineStr">
        <is>
          <t>15</t>
        </is>
      </c>
      <c r="U242" s="13" t="inlineStr">
        <is>
          <t>16</t>
        </is>
      </c>
      <c r="V242" s="13" t="inlineStr">
        <is>
          <t>17</t>
        </is>
      </c>
      <c r="W242" s="13" t="inlineStr">
        <is>
          <t>18</t>
        </is>
      </c>
      <c r="X242" s="13" t="inlineStr">
        <is>
          <t>19</t>
        </is>
      </c>
      <c r="Y242" s="13" t="inlineStr">
        <is>
          <t>20</t>
        </is>
      </c>
      <c r="Z242" s="13" t="inlineStr">
        <is>
          <t>21</t>
        </is>
      </c>
      <c r="AA242" s="13" t="inlineStr">
        <is>
          <t>22</t>
        </is>
      </c>
      <c r="AB242" s="13" t="inlineStr">
        <is>
          <t>23</t>
        </is>
      </c>
      <c r="AC242" s="13" t="inlineStr">
        <is>
          <t>24</t>
        </is>
      </c>
      <c r="AD242" s="13" t="inlineStr">
        <is>
          <t>25</t>
        </is>
      </c>
      <c r="AE242" s="13" t="inlineStr">
        <is>
          <t>26</t>
        </is>
      </c>
      <c r="AF242" s="13" t="inlineStr">
        <is>
          <t>27</t>
        </is>
      </c>
      <c r="AG242" s="13" t="inlineStr">
        <is>
          <t>28</t>
        </is>
      </c>
      <c r="AH242" s="13" t="inlineStr">
        <is>
          <t>29</t>
        </is>
      </c>
      <c r="AI242" s="13" t="inlineStr">
        <is>
          <t>30</t>
        </is>
      </c>
    </row>
    <row r="243">
      <c r="A243" s="4" t="inlineStr">
        <is>
          <t>Студент1.1</t>
        </is>
      </c>
      <c r="B243" s="4" t="inlineStr"/>
      <c r="C243" s="4" t="n"/>
      <c r="D243" s="4" t="n"/>
      <c r="E243" s="4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4" t="inlineStr">
        <is>
          <t>Студент1.2</t>
        </is>
      </c>
      <c r="B244" s="4" t="inlineStr"/>
      <c r="C244" s="4" t="n"/>
      <c r="D244" s="4" t="n"/>
      <c r="E244" s="4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</row>
    <row r="245">
      <c r="A245" s="4" t="inlineStr">
        <is>
          <t>Студент1.3</t>
        </is>
      </c>
      <c r="B245" s="4" t="inlineStr"/>
      <c r="C245" s="4" t="n"/>
      <c r="D245" s="4" t="n"/>
      <c r="E245" s="4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4" t="inlineStr">
        <is>
          <t>Студент1.4</t>
        </is>
      </c>
      <c r="B246" s="4" t="inlineStr"/>
      <c r="C246" s="4" t="n"/>
      <c r="D246" s="4" t="n"/>
      <c r="E246" s="4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</row>
    <row r="247">
      <c r="A247" s="4" t="inlineStr">
        <is>
          <t>Студент1.5</t>
        </is>
      </c>
      <c r="B247" s="4" t="inlineStr"/>
      <c r="C247" s="4" t="n"/>
      <c r="D247" s="4" t="n"/>
      <c r="E247" s="4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4" t="inlineStr">
        <is>
          <t>Студент1.6</t>
        </is>
      </c>
      <c r="B248" s="4" t="inlineStr"/>
      <c r="C248" s="4" t="n"/>
      <c r="D248" s="4" t="n"/>
      <c r="E248" s="4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</row>
    <row r="249">
      <c r="A249" s="4" t="inlineStr">
        <is>
          <t>Студент1.7</t>
        </is>
      </c>
      <c r="B249" s="4" t="inlineStr"/>
      <c r="C249" s="4" t="n"/>
      <c r="D249" s="4" t="n"/>
      <c r="E249" s="4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4" t="inlineStr">
        <is>
          <t>Студент1.8</t>
        </is>
      </c>
      <c r="B250" s="4" t="inlineStr"/>
      <c r="C250" s="4" t="n"/>
      <c r="D250" s="4" t="n"/>
      <c r="E250" s="4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</row>
    <row r="251">
      <c r="A251" s="4" t="inlineStr">
        <is>
          <t>Студент1.9</t>
        </is>
      </c>
      <c r="B251" s="4" t="inlineStr"/>
      <c r="C251" s="4" t="n"/>
      <c r="D251" s="4" t="n"/>
      <c r="E251" s="4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4" t="inlineStr">
        <is>
          <t>Студент1.10</t>
        </is>
      </c>
      <c r="B252" s="4" t="inlineStr"/>
      <c r="C252" s="4" t="n"/>
      <c r="D252" s="4" t="n"/>
      <c r="E252" s="4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</row>
    <row r="253">
      <c r="A253" s="4" t="inlineStr">
        <is>
          <t>Студент1.11</t>
        </is>
      </c>
      <c r="B253" s="4" t="inlineStr"/>
      <c r="C253" s="4" t="n"/>
      <c r="D253" s="4" t="n"/>
      <c r="E253" s="4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4" t="inlineStr">
        <is>
          <t>Студент1.12</t>
        </is>
      </c>
      <c r="B254" s="4" t="inlineStr"/>
      <c r="C254" s="4" t="n"/>
      <c r="D254" s="4" t="n"/>
      <c r="E254" s="4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</row>
    <row r="255">
      <c r="A255" s="4" t="inlineStr">
        <is>
          <t>Студент1.13</t>
        </is>
      </c>
      <c r="B255" s="4" t="inlineStr"/>
      <c r="C255" s="4" t="n"/>
      <c r="D255" s="4" t="n"/>
      <c r="E255" s="4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4" t="inlineStr">
        <is>
          <t>Студент1.14</t>
        </is>
      </c>
      <c r="B256" s="4" t="inlineStr"/>
      <c r="C256" s="4" t="n"/>
      <c r="D256" s="4" t="n"/>
      <c r="E256" s="4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</row>
    <row r="257">
      <c r="A257" s="4" t="inlineStr">
        <is>
          <t>Студент1.15</t>
        </is>
      </c>
      <c r="B257" s="4" t="inlineStr"/>
      <c r="C257" s="4" t="n"/>
      <c r="D257" s="4" t="n"/>
      <c r="E257" s="4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4" t="inlineStr">
        <is>
          <t>Студент1.16</t>
        </is>
      </c>
      <c r="B258" s="4" t="inlineStr"/>
      <c r="C258" s="4" t="n"/>
      <c r="D258" s="4" t="n"/>
      <c r="E258" s="4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</row>
    <row r="259">
      <c r="A259" s="4" t="inlineStr">
        <is>
          <t>Студент1.17</t>
        </is>
      </c>
      <c r="B259" s="4" t="inlineStr"/>
      <c r="C259" s="4" t="n"/>
      <c r="D259" s="4" t="n"/>
      <c r="E259" s="4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4" t="inlineStr">
        <is>
          <t>Студент1.18</t>
        </is>
      </c>
      <c r="B260" s="4" t="inlineStr"/>
      <c r="C260" s="4" t="n"/>
      <c r="D260" s="4" t="n"/>
      <c r="E260" s="4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</row>
    <row r="261">
      <c r="A261" s="4" t="inlineStr">
        <is>
          <t>Студент1.19</t>
        </is>
      </c>
      <c r="B261" s="4" t="inlineStr"/>
      <c r="C261" s="4" t="n"/>
      <c r="D261" s="4" t="n"/>
      <c r="E261" s="4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4" t="inlineStr">
        <is>
          <t>Студент1.20</t>
        </is>
      </c>
      <c r="B262" s="4" t="inlineStr"/>
      <c r="C262" s="4" t="n"/>
      <c r="D262" s="4" t="n"/>
      <c r="E262" s="4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</row>
    <row r="263">
      <c r="A263" s="4" t="inlineStr">
        <is>
          <t>Студент1.21</t>
        </is>
      </c>
      <c r="B263" s="4" t="inlineStr"/>
      <c r="C263" s="4" t="n"/>
      <c r="D263" s="4" t="n"/>
      <c r="E263" s="4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4" t="inlineStr">
        <is>
          <t>Студент1.22</t>
        </is>
      </c>
      <c r="B264" s="4" t="inlineStr"/>
      <c r="C264" s="4" t="n"/>
      <c r="D264" s="4" t="n"/>
      <c r="E264" s="4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</row>
    <row r="265">
      <c r="A265" s="4" t="inlineStr">
        <is>
          <t>Студент1.23</t>
        </is>
      </c>
      <c r="B265" s="4" t="inlineStr"/>
      <c r="C265" s="4" t="n"/>
      <c r="D265" s="4" t="n"/>
      <c r="E265" s="4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4" t="inlineStr">
        <is>
          <t>Студент1.24</t>
        </is>
      </c>
      <c r="B266" s="4" t="inlineStr"/>
      <c r="C266" s="4" t="n"/>
      <c r="D266" s="4" t="n"/>
      <c r="E266" s="4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</row>
    <row r="267">
      <c r="A267" s="4" t="inlineStr">
        <is>
          <t>Студент1.25</t>
        </is>
      </c>
      <c r="B267" s="4" t="inlineStr"/>
      <c r="C267" s="4" t="n"/>
      <c r="D267" s="4" t="n"/>
      <c r="E267" s="4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4" t="inlineStr">
        <is>
          <t>Студент1.26</t>
        </is>
      </c>
      <c r="B268" s="4" t="inlineStr"/>
      <c r="C268" s="4" t="n"/>
      <c r="D268" s="4" t="n"/>
      <c r="E268" s="4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</row>
    <row r="269">
      <c r="A269" s="4" t="inlineStr">
        <is>
          <t>Студент1.27</t>
        </is>
      </c>
      <c r="B269" s="4" t="inlineStr"/>
      <c r="C269" s="4" t="n"/>
      <c r="D269" s="4" t="n"/>
      <c r="E269" s="4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4" t="inlineStr">
        <is>
          <t>Студент1.28</t>
        </is>
      </c>
      <c r="B270" s="4" t="inlineStr"/>
      <c r="C270" s="4" t="n"/>
      <c r="D270" s="4" t="n"/>
      <c r="E270" s="4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</row>
    <row r="271">
      <c r="A271" s="4" t="inlineStr">
        <is>
          <t>Студент1.29</t>
        </is>
      </c>
      <c r="B271" s="4" t="inlineStr"/>
      <c r="C271" s="4" t="n"/>
      <c r="D271" s="4" t="n"/>
      <c r="E271" s="4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4" t="inlineStr">
        <is>
          <t>Студент1.30</t>
        </is>
      </c>
      <c r="B272" s="4" t="inlineStr"/>
      <c r="C272" s="4" t="n"/>
      <c r="D272" s="4" t="n"/>
      <c r="E272" s="4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</row>
    <row r="276">
      <c r="A276" s="17" t="inlineStr">
        <is>
          <t>Практика 5 — плюсы</t>
        </is>
      </c>
    </row>
    <row r="277" ht="28" customHeight="1">
      <c r="A277" s="9" t="inlineStr">
        <is>
          <t>Имя</t>
        </is>
      </c>
      <c r="B277" s="11" t="inlineStr">
        <is>
          <t>TG</t>
        </is>
      </c>
      <c r="C277" s="12" t="inlineStr">
        <is>
          <t>S</t>
        </is>
      </c>
      <c r="D277" s="10" t="inlineStr">
        <is>
          <t>Коэффициент</t>
        </is>
      </c>
      <c r="E277" s="18" t="inlineStr">
        <is>
          <t>D за практику</t>
        </is>
      </c>
      <c r="F277" s="13" t="inlineStr">
        <is>
          <t>1.0</t>
        </is>
      </c>
      <c r="G277" s="13" t="inlineStr">
        <is>
          <t>2.0</t>
        </is>
      </c>
      <c r="H277" s="13" t="inlineStr">
        <is>
          <t>3.0</t>
        </is>
      </c>
      <c r="I277" s="13" t="inlineStr">
        <is>
          <t>4.0</t>
        </is>
      </c>
      <c r="J277" s="13" t="inlineStr">
        <is>
          <t>5.0</t>
        </is>
      </c>
      <c r="K277" s="13" t="inlineStr">
        <is>
          <t>6</t>
        </is>
      </c>
      <c r="L277" s="13" t="inlineStr">
        <is>
          <t>7</t>
        </is>
      </c>
      <c r="M277" s="13" t="inlineStr">
        <is>
          <t>8</t>
        </is>
      </c>
      <c r="N277" s="13" t="inlineStr">
        <is>
          <t>9</t>
        </is>
      </c>
      <c r="O277" s="13" t="inlineStr">
        <is>
          <t>10</t>
        </is>
      </c>
      <c r="P277" s="13" t="inlineStr">
        <is>
          <t>11</t>
        </is>
      </c>
      <c r="Q277" s="13" t="inlineStr">
        <is>
          <t>12</t>
        </is>
      </c>
      <c r="R277" s="13" t="inlineStr">
        <is>
          <t>13</t>
        </is>
      </c>
      <c r="S277" s="13" t="inlineStr">
        <is>
          <t>14</t>
        </is>
      </c>
      <c r="T277" s="13" t="inlineStr">
        <is>
          <t>15</t>
        </is>
      </c>
      <c r="U277" s="13" t="inlineStr">
        <is>
          <t>16</t>
        </is>
      </c>
      <c r="V277" s="13" t="inlineStr">
        <is>
          <t>17</t>
        </is>
      </c>
      <c r="W277" s="13" t="inlineStr">
        <is>
          <t>18</t>
        </is>
      </c>
      <c r="X277" s="13" t="inlineStr">
        <is>
          <t>19</t>
        </is>
      </c>
      <c r="Y277" s="13" t="inlineStr">
        <is>
          <t>20</t>
        </is>
      </c>
      <c r="Z277" s="13" t="inlineStr">
        <is>
          <t>21</t>
        </is>
      </c>
      <c r="AA277" s="13" t="inlineStr">
        <is>
          <t>22</t>
        </is>
      </c>
      <c r="AB277" s="13" t="inlineStr">
        <is>
          <t>23</t>
        </is>
      </c>
      <c r="AC277" s="13" t="inlineStr">
        <is>
          <t>24</t>
        </is>
      </c>
      <c r="AD277" s="13" t="inlineStr">
        <is>
          <t>25</t>
        </is>
      </c>
      <c r="AE277" s="13" t="inlineStr">
        <is>
          <t>26</t>
        </is>
      </c>
      <c r="AF277" s="13" t="inlineStr">
        <is>
          <t>27</t>
        </is>
      </c>
      <c r="AG277" s="13" t="inlineStr">
        <is>
          <t>28</t>
        </is>
      </c>
      <c r="AH277" s="13" t="inlineStr">
        <is>
          <t>29</t>
        </is>
      </c>
      <c r="AI277" s="13" t="inlineStr">
        <is>
          <t>30</t>
        </is>
      </c>
    </row>
    <row r="278">
      <c r="A278" s="4" t="inlineStr">
        <is>
          <t>Студент1.1</t>
        </is>
      </c>
      <c r="B278" s="4" t="inlineStr"/>
      <c r="C278" s="4">
        <f>IF(A278="","",COUNTIF(F278:AI278,"+")+COUNTIF(F278:AI278,"1"))</f>
        <v/>
      </c>
      <c r="D278" s="4">
        <f>IF(A278="","",IF(C278&gt;2*COUNTA(F$277:AI$277)/3,'Общий'!$M$11,IF(C278&gt;=COUNTA(F$277:AI$277)/2,'Общий'!$M$12,'Общий'!$M$13)))</f>
        <v/>
      </c>
      <c r="E278" s="4">
        <f>IF(A278="","",SUMIFS('Логи'!$H$7:$H$3006,'Логи'!$A$7:$A$3006,5,'Логи'!$B$7:$B$3006,1,'Логи'!$C$7:$C$3006,A278))</f>
        <v/>
      </c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</row>
    <row r="279">
      <c r="A279" s="4" t="inlineStr">
        <is>
          <t>Студент1.2</t>
        </is>
      </c>
      <c r="B279" s="4" t="inlineStr"/>
      <c r="C279" s="4">
        <f>IF(A279="","",COUNTIF(F279:AI279,"+")+COUNTIF(F279:AI279,"1"))</f>
        <v/>
      </c>
      <c r="D279" s="4">
        <f>IF(A279="","",IF(C279&gt;2*COUNTA(F$277:AI$277)/3,'Общий'!$M$11,IF(C279&gt;=COUNTA(F$277:AI$277)/2,'Общий'!$M$12,'Общий'!$M$13)))</f>
        <v/>
      </c>
      <c r="E279" s="4">
        <f>IF(A279="","",SUMIFS('Логи'!$H$7:$H$3006,'Логи'!$A$7:$A$3006,5,'Логи'!$B$7:$B$3006,1,'Логи'!$C$7:$C$3006,A279))</f>
        <v/>
      </c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4" t="inlineStr">
        <is>
          <t>Студент1.3</t>
        </is>
      </c>
      <c r="B280" s="4" t="inlineStr"/>
      <c r="C280" s="4">
        <f>IF(A280="","",COUNTIF(F280:AI280,"+")+COUNTIF(F280:AI280,"1"))</f>
        <v/>
      </c>
      <c r="D280" s="4">
        <f>IF(A280="","",IF(C280&gt;2*COUNTA(F$277:AI$277)/3,'Общий'!$M$11,IF(C280&gt;=COUNTA(F$277:AI$277)/2,'Общий'!$M$12,'Общий'!$M$13)))</f>
        <v/>
      </c>
      <c r="E280" s="4">
        <f>IF(A280="","",SUMIFS('Логи'!$H$7:$H$3006,'Логи'!$A$7:$A$3006,5,'Логи'!$B$7:$B$3006,1,'Логи'!$C$7:$C$3006,A280))</f>
        <v/>
      </c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</row>
    <row r="281">
      <c r="A281" s="4" t="inlineStr">
        <is>
          <t>Студент1.4</t>
        </is>
      </c>
      <c r="B281" s="4" t="inlineStr"/>
      <c r="C281" s="4">
        <f>IF(A281="","",COUNTIF(F281:AI281,"+")+COUNTIF(F281:AI281,"1"))</f>
        <v/>
      </c>
      <c r="D281" s="4">
        <f>IF(A281="","",IF(C281&gt;2*COUNTA(F$277:AI$277)/3,'Общий'!$M$11,IF(C281&gt;=COUNTA(F$277:AI$277)/2,'Общий'!$M$12,'Общий'!$M$13)))</f>
        <v/>
      </c>
      <c r="E281" s="4">
        <f>IF(A281="","",SUMIFS('Логи'!$H$7:$H$3006,'Логи'!$A$7:$A$3006,5,'Логи'!$B$7:$B$3006,1,'Логи'!$C$7:$C$3006,A281))</f>
        <v/>
      </c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4" t="inlineStr">
        <is>
          <t>Студент1.5</t>
        </is>
      </c>
      <c r="B282" s="4" t="inlineStr"/>
      <c r="C282" s="4">
        <f>IF(A282="","",COUNTIF(F282:AI282,"+")+COUNTIF(F282:AI282,"1"))</f>
        <v/>
      </c>
      <c r="D282" s="4">
        <f>IF(A282="","",IF(C282&gt;2*COUNTA(F$277:AI$277)/3,'Общий'!$M$11,IF(C282&gt;=COUNTA(F$277:AI$277)/2,'Общий'!$M$12,'Общий'!$M$13)))</f>
        <v/>
      </c>
      <c r="E282" s="4">
        <f>IF(A282="","",SUMIFS('Логи'!$H$7:$H$3006,'Логи'!$A$7:$A$3006,5,'Логи'!$B$7:$B$3006,1,'Логи'!$C$7:$C$3006,A282))</f>
        <v/>
      </c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</row>
    <row r="283">
      <c r="A283" s="4" t="inlineStr">
        <is>
          <t>Студент1.6</t>
        </is>
      </c>
      <c r="B283" s="4" t="inlineStr"/>
      <c r="C283" s="4">
        <f>IF(A283="","",COUNTIF(F283:AI283,"+")+COUNTIF(F283:AI283,"1"))</f>
        <v/>
      </c>
      <c r="D283" s="4">
        <f>IF(A283="","",IF(C283&gt;2*COUNTA(F$277:AI$277)/3,'Общий'!$M$11,IF(C283&gt;=COUNTA(F$277:AI$277)/2,'Общий'!$M$12,'Общий'!$M$13)))</f>
        <v/>
      </c>
      <c r="E283" s="4">
        <f>IF(A283="","",SUMIFS('Логи'!$H$7:$H$3006,'Логи'!$A$7:$A$3006,5,'Логи'!$B$7:$B$3006,1,'Логи'!$C$7:$C$3006,A283))</f>
        <v/>
      </c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4" t="inlineStr">
        <is>
          <t>Студент1.7</t>
        </is>
      </c>
      <c r="B284" s="4" t="inlineStr"/>
      <c r="C284" s="4">
        <f>IF(A284="","",COUNTIF(F284:AI284,"+")+COUNTIF(F284:AI284,"1"))</f>
        <v/>
      </c>
      <c r="D284" s="4">
        <f>IF(A284="","",IF(C284&gt;2*COUNTA(F$277:AI$277)/3,'Общий'!$M$11,IF(C284&gt;=COUNTA(F$277:AI$277)/2,'Общий'!$M$12,'Общий'!$M$13)))</f>
        <v/>
      </c>
      <c r="E284" s="4">
        <f>IF(A284="","",SUMIFS('Логи'!$H$7:$H$3006,'Логи'!$A$7:$A$3006,5,'Логи'!$B$7:$B$3006,1,'Логи'!$C$7:$C$3006,A284))</f>
        <v/>
      </c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</row>
    <row r="285">
      <c r="A285" s="4" t="inlineStr">
        <is>
          <t>Студент1.8</t>
        </is>
      </c>
      <c r="B285" s="4" t="inlineStr"/>
      <c r="C285" s="4">
        <f>IF(A285="","",COUNTIF(F285:AI285,"+")+COUNTIF(F285:AI285,"1"))</f>
        <v/>
      </c>
      <c r="D285" s="4">
        <f>IF(A285="","",IF(C285&gt;2*COUNTA(F$277:AI$277)/3,'Общий'!$M$11,IF(C285&gt;=COUNTA(F$277:AI$277)/2,'Общий'!$M$12,'Общий'!$M$13)))</f>
        <v/>
      </c>
      <c r="E285" s="4">
        <f>IF(A285="","",SUMIFS('Логи'!$H$7:$H$3006,'Логи'!$A$7:$A$3006,5,'Логи'!$B$7:$B$3006,1,'Логи'!$C$7:$C$3006,A285))</f>
        <v/>
      </c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4" t="inlineStr">
        <is>
          <t>Студент1.9</t>
        </is>
      </c>
      <c r="B286" s="4" t="inlineStr"/>
      <c r="C286" s="4">
        <f>IF(A286="","",COUNTIF(F286:AI286,"+")+COUNTIF(F286:AI286,"1"))</f>
        <v/>
      </c>
      <c r="D286" s="4">
        <f>IF(A286="","",IF(C286&gt;2*COUNTA(F$277:AI$277)/3,'Общий'!$M$11,IF(C286&gt;=COUNTA(F$277:AI$277)/2,'Общий'!$M$12,'Общий'!$M$13)))</f>
        <v/>
      </c>
      <c r="E286" s="4">
        <f>IF(A286="","",SUMIFS('Логи'!$H$7:$H$3006,'Логи'!$A$7:$A$3006,5,'Логи'!$B$7:$B$3006,1,'Логи'!$C$7:$C$3006,A286))</f>
        <v/>
      </c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</row>
    <row r="287">
      <c r="A287" s="4" t="inlineStr">
        <is>
          <t>Студент1.10</t>
        </is>
      </c>
      <c r="B287" s="4" t="inlineStr"/>
      <c r="C287" s="4">
        <f>IF(A287="","",COUNTIF(F287:AI287,"+")+COUNTIF(F287:AI287,"1"))</f>
        <v/>
      </c>
      <c r="D287" s="4">
        <f>IF(A287="","",IF(C287&gt;2*COUNTA(F$277:AI$277)/3,'Общий'!$M$11,IF(C287&gt;=COUNTA(F$277:AI$277)/2,'Общий'!$M$12,'Общий'!$M$13)))</f>
        <v/>
      </c>
      <c r="E287" s="4">
        <f>IF(A287="","",SUMIFS('Логи'!$H$7:$H$3006,'Логи'!$A$7:$A$3006,5,'Логи'!$B$7:$B$3006,1,'Логи'!$C$7:$C$3006,A287))</f>
        <v/>
      </c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4" t="inlineStr">
        <is>
          <t>Студент1.11</t>
        </is>
      </c>
      <c r="B288" s="4" t="inlineStr"/>
      <c r="C288" s="4">
        <f>IF(A288="","",COUNTIF(F288:AI288,"+")+COUNTIF(F288:AI288,"1"))</f>
        <v/>
      </c>
      <c r="D288" s="4">
        <f>IF(A288="","",IF(C288&gt;2*COUNTA(F$277:AI$277)/3,'Общий'!$M$11,IF(C288&gt;=COUNTA(F$277:AI$277)/2,'Общий'!$M$12,'Общий'!$M$13)))</f>
        <v/>
      </c>
      <c r="E288" s="4">
        <f>IF(A288="","",SUMIFS('Логи'!$H$7:$H$3006,'Логи'!$A$7:$A$3006,5,'Логи'!$B$7:$B$3006,1,'Логи'!$C$7:$C$3006,A288))</f>
        <v/>
      </c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</row>
    <row r="289">
      <c r="A289" s="4" t="inlineStr">
        <is>
          <t>Студент1.12</t>
        </is>
      </c>
      <c r="B289" s="4" t="inlineStr"/>
      <c r="C289" s="4">
        <f>IF(A289="","",COUNTIF(F289:AI289,"+")+COUNTIF(F289:AI289,"1"))</f>
        <v/>
      </c>
      <c r="D289" s="4">
        <f>IF(A289="","",IF(C289&gt;2*COUNTA(F$277:AI$277)/3,'Общий'!$M$11,IF(C289&gt;=COUNTA(F$277:AI$277)/2,'Общий'!$M$12,'Общий'!$M$13)))</f>
        <v/>
      </c>
      <c r="E289" s="4">
        <f>IF(A289="","",SUMIFS('Логи'!$H$7:$H$3006,'Логи'!$A$7:$A$3006,5,'Логи'!$B$7:$B$3006,1,'Логи'!$C$7:$C$3006,A289))</f>
        <v/>
      </c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4" t="inlineStr">
        <is>
          <t>Студент1.13</t>
        </is>
      </c>
      <c r="B290" s="4" t="inlineStr"/>
      <c r="C290" s="4">
        <f>IF(A290="","",COUNTIF(F290:AI290,"+")+COUNTIF(F290:AI290,"1"))</f>
        <v/>
      </c>
      <c r="D290" s="4">
        <f>IF(A290="","",IF(C290&gt;2*COUNTA(F$277:AI$277)/3,'Общий'!$M$11,IF(C290&gt;=COUNTA(F$277:AI$277)/2,'Общий'!$M$12,'Общий'!$M$13)))</f>
        <v/>
      </c>
      <c r="E290" s="4">
        <f>IF(A290="","",SUMIFS('Логи'!$H$7:$H$3006,'Логи'!$A$7:$A$3006,5,'Логи'!$B$7:$B$3006,1,'Логи'!$C$7:$C$3006,A290))</f>
        <v/>
      </c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</row>
    <row r="291">
      <c r="A291" s="4" t="inlineStr">
        <is>
          <t>Студент1.14</t>
        </is>
      </c>
      <c r="B291" s="4" t="inlineStr"/>
      <c r="C291" s="4">
        <f>IF(A291="","",COUNTIF(F291:AI291,"+")+COUNTIF(F291:AI291,"1"))</f>
        <v/>
      </c>
      <c r="D291" s="4">
        <f>IF(A291="","",IF(C291&gt;2*COUNTA(F$277:AI$277)/3,'Общий'!$M$11,IF(C291&gt;=COUNTA(F$277:AI$277)/2,'Общий'!$M$12,'Общий'!$M$13)))</f>
        <v/>
      </c>
      <c r="E291" s="4">
        <f>IF(A291="","",SUMIFS('Логи'!$H$7:$H$3006,'Логи'!$A$7:$A$3006,5,'Логи'!$B$7:$B$3006,1,'Логи'!$C$7:$C$3006,A291))</f>
        <v/>
      </c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4" t="inlineStr">
        <is>
          <t>Студент1.15</t>
        </is>
      </c>
      <c r="B292" s="4" t="inlineStr"/>
      <c r="C292" s="4">
        <f>IF(A292="","",COUNTIF(F292:AI292,"+")+COUNTIF(F292:AI292,"1"))</f>
        <v/>
      </c>
      <c r="D292" s="4">
        <f>IF(A292="","",IF(C292&gt;2*COUNTA(F$277:AI$277)/3,'Общий'!$M$11,IF(C292&gt;=COUNTA(F$277:AI$277)/2,'Общий'!$M$12,'Общий'!$M$13)))</f>
        <v/>
      </c>
      <c r="E292" s="4">
        <f>IF(A292="","",SUMIFS('Логи'!$H$7:$H$3006,'Логи'!$A$7:$A$3006,5,'Логи'!$B$7:$B$3006,1,'Логи'!$C$7:$C$3006,A292))</f>
        <v/>
      </c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</row>
    <row r="293">
      <c r="A293" s="4" t="inlineStr">
        <is>
          <t>Студент1.16</t>
        </is>
      </c>
      <c r="B293" s="4" t="inlineStr"/>
      <c r="C293" s="4">
        <f>IF(A293="","",COUNTIF(F293:AI293,"+")+COUNTIF(F293:AI293,"1"))</f>
        <v/>
      </c>
      <c r="D293" s="4">
        <f>IF(A293="","",IF(C293&gt;2*COUNTA(F$277:AI$277)/3,'Общий'!$M$11,IF(C293&gt;=COUNTA(F$277:AI$277)/2,'Общий'!$M$12,'Общий'!$M$13)))</f>
        <v/>
      </c>
      <c r="E293" s="4">
        <f>IF(A293="","",SUMIFS('Логи'!$H$7:$H$3006,'Логи'!$A$7:$A$3006,5,'Логи'!$B$7:$B$3006,1,'Логи'!$C$7:$C$3006,A293))</f>
        <v/>
      </c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4" t="inlineStr">
        <is>
          <t>Студент1.17</t>
        </is>
      </c>
      <c r="B294" s="4" t="inlineStr"/>
      <c r="C294" s="4">
        <f>IF(A294="","",COUNTIF(F294:AI294,"+")+COUNTIF(F294:AI294,"1"))</f>
        <v/>
      </c>
      <c r="D294" s="4">
        <f>IF(A294="","",IF(C294&gt;2*COUNTA(F$277:AI$277)/3,'Общий'!$M$11,IF(C294&gt;=COUNTA(F$277:AI$277)/2,'Общий'!$M$12,'Общий'!$M$13)))</f>
        <v/>
      </c>
      <c r="E294" s="4">
        <f>IF(A294="","",SUMIFS('Логи'!$H$7:$H$3006,'Логи'!$A$7:$A$3006,5,'Логи'!$B$7:$B$3006,1,'Логи'!$C$7:$C$3006,A294))</f>
        <v/>
      </c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</row>
    <row r="295">
      <c r="A295" s="4" t="inlineStr">
        <is>
          <t>Студент1.18</t>
        </is>
      </c>
      <c r="B295" s="4" t="inlineStr"/>
      <c r="C295" s="4">
        <f>IF(A295="","",COUNTIF(F295:AI295,"+")+COUNTIF(F295:AI295,"1"))</f>
        <v/>
      </c>
      <c r="D295" s="4">
        <f>IF(A295="","",IF(C295&gt;2*COUNTA(F$277:AI$277)/3,'Общий'!$M$11,IF(C295&gt;=COUNTA(F$277:AI$277)/2,'Общий'!$M$12,'Общий'!$M$13)))</f>
        <v/>
      </c>
      <c r="E295" s="4">
        <f>IF(A295="","",SUMIFS('Логи'!$H$7:$H$3006,'Логи'!$A$7:$A$3006,5,'Логи'!$B$7:$B$3006,1,'Логи'!$C$7:$C$3006,A295))</f>
        <v/>
      </c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4" t="inlineStr">
        <is>
          <t>Студент1.19</t>
        </is>
      </c>
      <c r="B296" s="4" t="inlineStr"/>
      <c r="C296" s="4">
        <f>IF(A296="","",COUNTIF(F296:AI296,"+")+COUNTIF(F296:AI296,"1"))</f>
        <v/>
      </c>
      <c r="D296" s="4">
        <f>IF(A296="","",IF(C296&gt;2*COUNTA(F$277:AI$277)/3,'Общий'!$M$11,IF(C296&gt;=COUNTA(F$277:AI$277)/2,'Общий'!$M$12,'Общий'!$M$13)))</f>
        <v/>
      </c>
      <c r="E296" s="4">
        <f>IF(A296="","",SUMIFS('Логи'!$H$7:$H$3006,'Логи'!$A$7:$A$3006,5,'Логи'!$B$7:$B$3006,1,'Логи'!$C$7:$C$3006,A296))</f>
        <v/>
      </c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</row>
    <row r="297">
      <c r="A297" s="4" t="inlineStr">
        <is>
          <t>Студент1.20</t>
        </is>
      </c>
      <c r="B297" s="4" t="inlineStr"/>
      <c r="C297" s="4">
        <f>IF(A297="","",COUNTIF(F297:AI297,"+")+COUNTIF(F297:AI297,"1"))</f>
        <v/>
      </c>
      <c r="D297" s="4">
        <f>IF(A297="","",IF(C297&gt;2*COUNTA(F$277:AI$277)/3,'Общий'!$M$11,IF(C297&gt;=COUNTA(F$277:AI$277)/2,'Общий'!$M$12,'Общий'!$M$13)))</f>
        <v/>
      </c>
      <c r="E297" s="4">
        <f>IF(A297="","",SUMIFS('Логи'!$H$7:$H$3006,'Логи'!$A$7:$A$3006,5,'Логи'!$B$7:$B$3006,1,'Логи'!$C$7:$C$3006,A297))</f>
        <v/>
      </c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4" t="inlineStr">
        <is>
          <t>Студент1.21</t>
        </is>
      </c>
      <c r="B298" s="4" t="inlineStr"/>
      <c r="C298" s="4">
        <f>IF(A298="","",COUNTIF(F298:AI298,"+")+COUNTIF(F298:AI298,"1"))</f>
        <v/>
      </c>
      <c r="D298" s="4">
        <f>IF(A298="","",IF(C298&gt;2*COUNTA(F$277:AI$277)/3,'Общий'!$M$11,IF(C298&gt;=COUNTA(F$277:AI$277)/2,'Общий'!$M$12,'Общий'!$M$13)))</f>
        <v/>
      </c>
      <c r="E298" s="4">
        <f>IF(A298="","",SUMIFS('Логи'!$H$7:$H$3006,'Логи'!$A$7:$A$3006,5,'Логи'!$B$7:$B$3006,1,'Логи'!$C$7:$C$3006,A298))</f>
        <v/>
      </c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</row>
    <row r="299">
      <c r="A299" s="4" t="inlineStr">
        <is>
          <t>Студент1.22</t>
        </is>
      </c>
      <c r="B299" s="4" t="inlineStr"/>
      <c r="C299" s="4">
        <f>IF(A299="","",COUNTIF(F299:AI299,"+")+COUNTIF(F299:AI299,"1"))</f>
        <v/>
      </c>
      <c r="D299" s="4">
        <f>IF(A299="","",IF(C299&gt;2*COUNTA(F$277:AI$277)/3,'Общий'!$M$11,IF(C299&gt;=COUNTA(F$277:AI$277)/2,'Общий'!$M$12,'Общий'!$M$13)))</f>
        <v/>
      </c>
      <c r="E299" s="4">
        <f>IF(A299="","",SUMIFS('Логи'!$H$7:$H$3006,'Логи'!$A$7:$A$3006,5,'Логи'!$B$7:$B$3006,1,'Логи'!$C$7:$C$3006,A299))</f>
        <v/>
      </c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4" t="inlineStr">
        <is>
          <t>Студент1.23</t>
        </is>
      </c>
      <c r="B300" s="4" t="inlineStr"/>
      <c r="C300" s="4">
        <f>IF(A300="","",COUNTIF(F300:AI300,"+")+COUNTIF(F300:AI300,"1"))</f>
        <v/>
      </c>
      <c r="D300" s="4">
        <f>IF(A300="","",IF(C300&gt;2*COUNTA(F$277:AI$277)/3,'Общий'!$M$11,IF(C300&gt;=COUNTA(F$277:AI$277)/2,'Общий'!$M$12,'Общий'!$M$13)))</f>
        <v/>
      </c>
      <c r="E300" s="4">
        <f>IF(A300="","",SUMIFS('Логи'!$H$7:$H$3006,'Логи'!$A$7:$A$3006,5,'Логи'!$B$7:$B$3006,1,'Логи'!$C$7:$C$3006,A300))</f>
        <v/>
      </c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</row>
    <row r="301">
      <c r="A301" s="4" t="inlineStr">
        <is>
          <t>Студент1.24</t>
        </is>
      </c>
      <c r="B301" s="4" t="inlineStr"/>
      <c r="C301" s="4">
        <f>IF(A301="","",COUNTIF(F301:AI301,"+")+COUNTIF(F301:AI301,"1"))</f>
        <v/>
      </c>
      <c r="D301" s="4">
        <f>IF(A301="","",IF(C301&gt;2*COUNTA(F$277:AI$277)/3,'Общий'!$M$11,IF(C301&gt;=COUNTA(F$277:AI$277)/2,'Общий'!$M$12,'Общий'!$M$13)))</f>
        <v/>
      </c>
      <c r="E301" s="4">
        <f>IF(A301="","",SUMIFS('Логи'!$H$7:$H$3006,'Логи'!$A$7:$A$3006,5,'Логи'!$B$7:$B$3006,1,'Логи'!$C$7:$C$3006,A301))</f>
        <v/>
      </c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4" t="inlineStr">
        <is>
          <t>Студент1.25</t>
        </is>
      </c>
      <c r="B302" s="4" t="inlineStr"/>
      <c r="C302" s="4">
        <f>IF(A302="","",COUNTIF(F302:AI302,"+")+COUNTIF(F302:AI302,"1"))</f>
        <v/>
      </c>
      <c r="D302" s="4">
        <f>IF(A302="","",IF(C302&gt;2*COUNTA(F$277:AI$277)/3,'Общий'!$M$11,IF(C302&gt;=COUNTA(F$277:AI$277)/2,'Общий'!$M$12,'Общий'!$M$13)))</f>
        <v/>
      </c>
      <c r="E302" s="4">
        <f>IF(A302="","",SUMIFS('Логи'!$H$7:$H$3006,'Логи'!$A$7:$A$3006,5,'Логи'!$B$7:$B$3006,1,'Логи'!$C$7:$C$3006,A302))</f>
        <v/>
      </c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</row>
    <row r="303">
      <c r="A303" s="4" t="inlineStr">
        <is>
          <t>Студент1.26</t>
        </is>
      </c>
      <c r="B303" s="4" t="inlineStr"/>
      <c r="C303" s="4">
        <f>IF(A303="","",COUNTIF(F303:AI303,"+")+COUNTIF(F303:AI303,"1"))</f>
        <v/>
      </c>
      <c r="D303" s="4">
        <f>IF(A303="","",IF(C303&gt;2*COUNTA(F$277:AI$277)/3,'Общий'!$M$11,IF(C303&gt;=COUNTA(F$277:AI$277)/2,'Общий'!$M$12,'Общий'!$M$13)))</f>
        <v/>
      </c>
      <c r="E303" s="4">
        <f>IF(A303="","",SUMIFS('Логи'!$H$7:$H$3006,'Логи'!$A$7:$A$3006,5,'Логи'!$B$7:$B$3006,1,'Логи'!$C$7:$C$3006,A303))</f>
        <v/>
      </c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4" t="inlineStr">
        <is>
          <t>Студент1.27</t>
        </is>
      </c>
      <c r="B304" s="4" t="inlineStr"/>
      <c r="C304" s="4">
        <f>IF(A304="","",COUNTIF(F304:AI304,"+")+COUNTIF(F304:AI304,"1"))</f>
        <v/>
      </c>
      <c r="D304" s="4">
        <f>IF(A304="","",IF(C304&gt;2*COUNTA(F$277:AI$277)/3,'Общий'!$M$11,IF(C304&gt;=COUNTA(F$277:AI$277)/2,'Общий'!$M$12,'Общий'!$M$13)))</f>
        <v/>
      </c>
      <c r="E304" s="4">
        <f>IF(A304="","",SUMIFS('Логи'!$H$7:$H$3006,'Логи'!$A$7:$A$3006,5,'Логи'!$B$7:$B$3006,1,'Логи'!$C$7:$C$3006,A304))</f>
        <v/>
      </c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  <c r="AI304" s="5" t="n"/>
    </row>
    <row r="305">
      <c r="A305" s="4" t="inlineStr">
        <is>
          <t>Студент1.28</t>
        </is>
      </c>
      <c r="B305" s="4" t="inlineStr"/>
      <c r="C305" s="4">
        <f>IF(A305="","",COUNTIF(F305:AI305,"+")+COUNTIF(F305:AI305,"1"))</f>
        <v/>
      </c>
      <c r="D305" s="4">
        <f>IF(A305="","",IF(C305&gt;2*COUNTA(F$277:AI$277)/3,'Общий'!$M$11,IF(C305&gt;=COUNTA(F$277:AI$277)/2,'Общий'!$M$12,'Общий'!$M$13)))</f>
        <v/>
      </c>
      <c r="E305" s="4">
        <f>IF(A305="","",SUMIFS('Логи'!$H$7:$H$3006,'Логи'!$A$7:$A$3006,5,'Логи'!$B$7:$B$3006,1,'Логи'!$C$7:$C$3006,A305))</f>
        <v/>
      </c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4" t="inlineStr">
        <is>
          <t>Студент1.29</t>
        </is>
      </c>
      <c r="B306" s="4" t="inlineStr"/>
      <c r="C306" s="4">
        <f>IF(A306="","",COUNTIF(F306:AI306,"+")+COUNTIF(F306:AI306,"1"))</f>
        <v/>
      </c>
      <c r="D306" s="4">
        <f>IF(A306="","",IF(C306&gt;2*COUNTA(F$277:AI$277)/3,'Общий'!$M$11,IF(C306&gt;=COUNTA(F$277:AI$277)/2,'Общий'!$M$12,'Общий'!$M$13)))</f>
        <v/>
      </c>
      <c r="E306" s="4">
        <f>IF(A306="","",SUMIFS('Логи'!$H$7:$H$3006,'Логи'!$A$7:$A$3006,5,'Логи'!$B$7:$B$3006,1,'Логи'!$C$7:$C$3006,A306))</f>
        <v/>
      </c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  <c r="AI306" s="5" t="n"/>
    </row>
    <row r="307">
      <c r="A307" s="4" t="inlineStr">
        <is>
          <t>Студент1.30</t>
        </is>
      </c>
      <c r="B307" s="4" t="inlineStr"/>
      <c r="C307" s="4">
        <f>IF(A307="","",COUNTIF(F307:AI307,"+")+COUNTIF(F307:AI307,"1"))</f>
        <v/>
      </c>
      <c r="D307" s="4">
        <f>IF(A307="","",IF(C307&gt;2*COUNTA(F$277:AI$277)/3,'Общий'!$M$11,IF(C307&gt;=COUNTA(F$277:AI$277)/2,'Общий'!$M$12,'Общий'!$M$13)))</f>
        <v/>
      </c>
      <c r="E307" s="4">
        <f>IF(A307="","",SUMIFS('Логи'!$H$7:$H$3006,'Логи'!$A$7:$A$3006,5,'Логи'!$B$7:$B$3006,1,'Логи'!$C$7:$C$3006,A307))</f>
        <v/>
      </c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9">
      <c r="A309" s="19" t="inlineStr">
        <is>
          <t>Практика 5 — результаты рассказа</t>
        </is>
      </c>
    </row>
    <row r="310" ht="28" customHeight="1">
      <c r="A310" s="9" t="inlineStr">
        <is>
          <t>Имя</t>
        </is>
      </c>
      <c r="B310" s="11" t="inlineStr">
        <is>
          <t>TG</t>
        </is>
      </c>
      <c r="C310" s="12" t="inlineStr"/>
      <c r="D310" s="3" t="inlineStr"/>
      <c r="E310" s="3" t="inlineStr"/>
      <c r="F310" s="13" t="inlineStr">
        <is>
          <t>1.0</t>
        </is>
      </c>
      <c r="G310" s="13" t="inlineStr">
        <is>
          <t>2.0</t>
        </is>
      </c>
      <c r="H310" s="13" t="inlineStr">
        <is>
          <t>3.0</t>
        </is>
      </c>
      <c r="I310" s="13" t="inlineStr">
        <is>
          <t>4.0</t>
        </is>
      </c>
      <c r="J310" s="13" t="inlineStr">
        <is>
          <t>5.0</t>
        </is>
      </c>
      <c r="K310" s="13" t="inlineStr">
        <is>
          <t>6</t>
        </is>
      </c>
      <c r="L310" s="13" t="inlineStr">
        <is>
          <t>7</t>
        </is>
      </c>
      <c r="M310" s="13" t="inlineStr">
        <is>
          <t>8</t>
        </is>
      </c>
      <c r="N310" s="13" t="inlineStr">
        <is>
          <t>9</t>
        </is>
      </c>
      <c r="O310" s="13" t="inlineStr">
        <is>
          <t>10</t>
        </is>
      </c>
      <c r="P310" s="13" t="inlineStr">
        <is>
          <t>11</t>
        </is>
      </c>
      <c r="Q310" s="13" t="inlineStr">
        <is>
          <t>12</t>
        </is>
      </c>
      <c r="R310" s="13" t="inlineStr">
        <is>
          <t>13</t>
        </is>
      </c>
      <c r="S310" s="13" t="inlineStr">
        <is>
          <t>14</t>
        </is>
      </c>
      <c r="T310" s="13" t="inlineStr">
        <is>
          <t>15</t>
        </is>
      </c>
      <c r="U310" s="13" t="inlineStr">
        <is>
          <t>16</t>
        </is>
      </c>
      <c r="V310" s="13" t="inlineStr">
        <is>
          <t>17</t>
        </is>
      </c>
      <c r="W310" s="13" t="inlineStr">
        <is>
          <t>18</t>
        </is>
      </c>
      <c r="X310" s="13" t="inlineStr">
        <is>
          <t>19</t>
        </is>
      </c>
      <c r="Y310" s="13" t="inlineStr">
        <is>
          <t>20</t>
        </is>
      </c>
      <c r="Z310" s="13" t="inlineStr">
        <is>
          <t>21</t>
        </is>
      </c>
      <c r="AA310" s="13" t="inlineStr">
        <is>
          <t>22</t>
        </is>
      </c>
      <c r="AB310" s="13" t="inlineStr">
        <is>
          <t>23</t>
        </is>
      </c>
      <c r="AC310" s="13" t="inlineStr">
        <is>
          <t>24</t>
        </is>
      </c>
      <c r="AD310" s="13" t="inlineStr">
        <is>
          <t>25</t>
        </is>
      </c>
      <c r="AE310" s="13" t="inlineStr">
        <is>
          <t>26</t>
        </is>
      </c>
      <c r="AF310" s="13" t="inlineStr">
        <is>
          <t>27</t>
        </is>
      </c>
      <c r="AG310" s="13" t="inlineStr">
        <is>
          <t>28</t>
        </is>
      </c>
      <c r="AH310" s="13" t="inlineStr">
        <is>
          <t>29</t>
        </is>
      </c>
      <c r="AI310" s="13" t="inlineStr">
        <is>
          <t>30</t>
        </is>
      </c>
    </row>
    <row r="311">
      <c r="A311" s="4" t="inlineStr">
        <is>
          <t>Студент1.1</t>
        </is>
      </c>
      <c r="B311" s="4" t="inlineStr"/>
      <c r="C311" s="4" t="n"/>
      <c r="D311" s="4" t="n"/>
      <c r="E311" s="4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4" t="inlineStr">
        <is>
          <t>Студент1.2</t>
        </is>
      </c>
      <c r="B312" s="4" t="inlineStr"/>
      <c r="C312" s="4" t="n"/>
      <c r="D312" s="4" t="n"/>
      <c r="E312" s="4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  <c r="AI312" s="5" t="n"/>
    </row>
    <row r="313">
      <c r="A313" s="4" t="inlineStr">
        <is>
          <t>Студент1.3</t>
        </is>
      </c>
      <c r="B313" s="4" t="inlineStr"/>
      <c r="C313" s="4" t="n"/>
      <c r="D313" s="4" t="n"/>
      <c r="E313" s="4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4" t="inlineStr">
        <is>
          <t>Студент1.4</t>
        </is>
      </c>
      <c r="B314" s="4" t="inlineStr"/>
      <c r="C314" s="4" t="n"/>
      <c r="D314" s="4" t="n"/>
      <c r="E314" s="4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  <c r="AI314" s="5" t="n"/>
    </row>
    <row r="315">
      <c r="A315" s="4" t="inlineStr">
        <is>
          <t>Студент1.5</t>
        </is>
      </c>
      <c r="B315" s="4" t="inlineStr"/>
      <c r="C315" s="4" t="n"/>
      <c r="D315" s="4" t="n"/>
      <c r="E315" s="4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4" t="inlineStr">
        <is>
          <t>Студент1.6</t>
        </is>
      </c>
      <c r="B316" s="4" t="inlineStr"/>
      <c r="C316" s="4" t="n"/>
      <c r="D316" s="4" t="n"/>
      <c r="E316" s="4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  <c r="AI316" s="5" t="n"/>
    </row>
    <row r="317">
      <c r="A317" s="4" t="inlineStr">
        <is>
          <t>Студент1.7</t>
        </is>
      </c>
      <c r="B317" s="4" t="inlineStr"/>
      <c r="C317" s="4" t="n"/>
      <c r="D317" s="4" t="n"/>
      <c r="E317" s="4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4" t="inlineStr">
        <is>
          <t>Студент1.8</t>
        </is>
      </c>
      <c r="B318" s="4" t="inlineStr"/>
      <c r="C318" s="4" t="n"/>
      <c r="D318" s="4" t="n"/>
      <c r="E318" s="4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  <c r="AI318" s="5" t="n"/>
    </row>
    <row r="319">
      <c r="A319" s="4" t="inlineStr">
        <is>
          <t>Студент1.9</t>
        </is>
      </c>
      <c r="B319" s="4" t="inlineStr"/>
      <c r="C319" s="4" t="n"/>
      <c r="D319" s="4" t="n"/>
      <c r="E319" s="4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4" t="inlineStr">
        <is>
          <t>Студент1.10</t>
        </is>
      </c>
      <c r="B320" s="4" t="inlineStr"/>
      <c r="C320" s="4" t="n"/>
      <c r="D320" s="4" t="n"/>
      <c r="E320" s="4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  <c r="AI320" s="5" t="n"/>
    </row>
    <row r="321">
      <c r="A321" s="4" t="inlineStr">
        <is>
          <t>Студент1.11</t>
        </is>
      </c>
      <c r="B321" s="4" t="inlineStr"/>
      <c r="C321" s="4" t="n"/>
      <c r="D321" s="4" t="n"/>
      <c r="E321" s="4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4" t="inlineStr">
        <is>
          <t>Студент1.12</t>
        </is>
      </c>
      <c r="B322" s="4" t="inlineStr"/>
      <c r="C322" s="4" t="n"/>
      <c r="D322" s="4" t="n"/>
      <c r="E322" s="4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  <c r="AI322" s="5" t="n"/>
    </row>
    <row r="323">
      <c r="A323" s="4" t="inlineStr">
        <is>
          <t>Студент1.13</t>
        </is>
      </c>
      <c r="B323" s="4" t="inlineStr"/>
      <c r="C323" s="4" t="n"/>
      <c r="D323" s="4" t="n"/>
      <c r="E323" s="4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4" t="inlineStr">
        <is>
          <t>Студент1.14</t>
        </is>
      </c>
      <c r="B324" s="4" t="inlineStr"/>
      <c r="C324" s="4" t="n"/>
      <c r="D324" s="4" t="n"/>
      <c r="E324" s="4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  <c r="AI324" s="5" t="n"/>
    </row>
    <row r="325">
      <c r="A325" s="4" t="inlineStr">
        <is>
          <t>Студент1.15</t>
        </is>
      </c>
      <c r="B325" s="4" t="inlineStr"/>
      <c r="C325" s="4" t="n"/>
      <c r="D325" s="4" t="n"/>
      <c r="E325" s="4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4" t="inlineStr">
        <is>
          <t>Студент1.16</t>
        </is>
      </c>
      <c r="B326" s="4" t="inlineStr"/>
      <c r="C326" s="4" t="n"/>
      <c r="D326" s="4" t="n"/>
      <c r="E326" s="4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  <c r="AI326" s="5" t="n"/>
    </row>
    <row r="327">
      <c r="A327" s="4" t="inlineStr">
        <is>
          <t>Студент1.17</t>
        </is>
      </c>
      <c r="B327" s="4" t="inlineStr"/>
      <c r="C327" s="4" t="n"/>
      <c r="D327" s="4" t="n"/>
      <c r="E327" s="4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4" t="inlineStr">
        <is>
          <t>Студент1.18</t>
        </is>
      </c>
      <c r="B328" s="4" t="inlineStr"/>
      <c r="C328" s="4" t="n"/>
      <c r="D328" s="4" t="n"/>
      <c r="E328" s="4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  <c r="AI328" s="5" t="n"/>
    </row>
    <row r="329">
      <c r="A329" s="4" t="inlineStr">
        <is>
          <t>Студент1.19</t>
        </is>
      </c>
      <c r="B329" s="4" t="inlineStr"/>
      <c r="C329" s="4" t="n"/>
      <c r="D329" s="4" t="n"/>
      <c r="E329" s="4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4" t="inlineStr">
        <is>
          <t>Студент1.20</t>
        </is>
      </c>
      <c r="B330" s="4" t="inlineStr"/>
      <c r="C330" s="4" t="n"/>
      <c r="D330" s="4" t="n"/>
      <c r="E330" s="4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  <c r="AI330" s="5" t="n"/>
    </row>
    <row r="331">
      <c r="A331" s="4" t="inlineStr">
        <is>
          <t>Студент1.21</t>
        </is>
      </c>
      <c r="B331" s="4" t="inlineStr"/>
      <c r="C331" s="4" t="n"/>
      <c r="D331" s="4" t="n"/>
      <c r="E331" s="4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4" t="inlineStr">
        <is>
          <t>Студент1.22</t>
        </is>
      </c>
      <c r="B332" s="4" t="inlineStr"/>
      <c r="C332" s="4" t="n"/>
      <c r="D332" s="4" t="n"/>
      <c r="E332" s="4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  <c r="AI332" s="5" t="n"/>
    </row>
    <row r="333">
      <c r="A333" s="4" t="inlineStr">
        <is>
          <t>Студент1.23</t>
        </is>
      </c>
      <c r="B333" s="4" t="inlineStr"/>
      <c r="C333" s="4" t="n"/>
      <c r="D333" s="4" t="n"/>
      <c r="E333" s="4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4" t="inlineStr">
        <is>
          <t>Студент1.24</t>
        </is>
      </c>
      <c r="B334" s="4" t="inlineStr"/>
      <c r="C334" s="4" t="n"/>
      <c r="D334" s="4" t="n"/>
      <c r="E334" s="4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  <c r="AI334" s="5" t="n"/>
    </row>
    <row r="335">
      <c r="A335" s="4" t="inlineStr">
        <is>
          <t>Студент1.25</t>
        </is>
      </c>
      <c r="B335" s="4" t="inlineStr"/>
      <c r="C335" s="4" t="n"/>
      <c r="D335" s="4" t="n"/>
      <c r="E335" s="4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4" t="inlineStr">
        <is>
          <t>Студент1.26</t>
        </is>
      </c>
      <c r="B336" s="4" t="inlineStr"/>
      <c r="C336" s="4" t="n"/>
      <c r="D336" s="4" t="n"/>
      <c r="E336" s="4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</row>
    <row r="337">
      <c r="A337" s="4" t="inlineStr">
        <is>
          <t>Студент1.27</t>
        </is>
      </c>
      <c r="B337" s="4" t="inlineStr"/>
      <c r="C337" s="4" t="n"/>
      <c r="D337" s="4" t="n"/>
      <c r="E337" s="4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4" t="inlineStr">
        <is>
          <t>Студент1.28</t>
        </is>
      </c>
      <c r="B338" s="4" t="inlineStr"/>
      <c r="C338" s="4" t="n"/>
      <c r="D338" s="4" t="n"/>
      <c r="E338" s="4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  <c r="AI338" s="5" t="n"/>
    </row>
    <row r="339">
      <c r="A339" s="4" t="inlineStr">
        <is>
          <t>Студент1.29</t>
        </is>
      </c>
      <c r="B339" s="4" t="inlineStr"/>
      <c r="C339" s="4" t="n"/>
      <c r="D339" s="4" t="n"/>
      <c r="E339" s="4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4" t="inlineStr">
        <is>
          <t>Студент1.30</t>
        </is>
      </c>
      <c r="B340" s="4" t="inlineStr"/>
      <c r="C340" s="4" t="n"/>
      <c r="D340" s="4" t="n"/>
      <c r="E340" s="4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  <c r="AI340" s="5" t="n"/>
    </row>
    <row r="344">
      <c r="A344" s="17" t="inlineStr">
        <is>
          <t>Практика 6 — плюсы</t>
        </is>
      </c>
    </row>
    <row r="345" ht="28" customHeight="1">
      <c r="A345" s="9" t="inlineStr">
        <is>
          <t>Имя</t>
        </is>
      </c>
      <c r="B345" s="11" t="inlineStr">
        <is>
          <t>TG</t>
        </is>
      </c>
      <c r="C345" s="12" t="inlineStr">
        <is>
          <t>S</t>
        </is>
      </c>
      <c r="D345" s="10" t="inlineStr">
        <is>
          <t>Коэффициент</t>
        </is>
      </c>
      <c r="E345" s="18" t="inlineStr">
        <is>
          <t>D за практику</t>
        </is>
      </c>
      <c r="F345" s="13" t="inlineStr">
        <is>
          <t>1.0</t>
        </is>
      </c>
      <c r="G345" s="13" t="inlineStr">
        <is>
          <t>2.0</t>
        </is>
      </c>
      <c r="H345" s="13" t="inlineStr">
        <is>
          <t>3.0</t>
        </is>
      </c>
      <c r="I345" s="13" t="inlineStr">
        <is>
          <t>4.0</t>
        </is>
      </c>
      <c r="J345" s="13" t="inlineStr">
        <is>
          <t>5.0</t>
        </is>
      </c>
      <c r="K345" s="13" t="inlineStr">
        <is>
          <t>6</t>
        </is>
      </c>
      <c r="L345" s="13" t="inlineStr">
        <is>
          <t>7</t>
        </is>
      </c>
      <c r="M345" s="13" t="inlineStr">
        <is>
          <t>8</t>
        </is>
      </c>
      <c r="N345" s="13" t="inlineStr">
        <is>
          <t>9</t>
        </is>
      </c>
      <c r="O345" s="13" t="inlineStr">
        <is>
          <t>10</t>
        </is>
      </c>
      <c r="P345" s="13" t="inlineStr">
        <is>
          <t>11</t>
        </is>
      </c>
      <c r="Q345" s="13" t="inlineStr">
        <is>
          <t>12</t>
        </is>
      </c>
      <c r="R345" s="13" t="inlineStr">
        <is>
          <t>13</t>
        </is>
      </c>
      <c r="S345" s="13" t="inlineStr">
        <is>
          <t>14</t>
        </is>
      </c>
      <c r="T345" s="13" t="inlineStr">
        <is>
          <t>15</t>
        </is>
      </c>
      <c r="U345" s="13" t="inlineStr">
        <is>
          <t>16</t>
        </is>
      </c>
      <c r="V345" s="13" t="inlineStr">
        <is>
          <t>17</t>
        </is>
      </c>
      <c r="W345" s="13" t="inlineStr">
        <is>
          <t>18</t>
        </is>
      </c>
      <c r="X345" s="13" t="inlineStr">
        <is>
          <t>19</t>
        </is>
      </c>
      <c r="Y345" s="13" t="inlineStr">
        <is>
          <t>20</t>
        </is>
      </c>
      <c r="Z345" s="13" t="inlineStr">
        <is>
          <t>21</t>
        </is>
      </c>
      <c r="AA345" s="13" t="inlineStr">
        <is>
          <t>22</t>
        </is>
      </c>
      <c r="AB345" s="13" t="inlineStr">
        <is>
          <t>23</t>
        </is>
      </c>
      <c r="AC345" s="13" t="inlineStr">
        <is>
          <t>24</t>
        </is>
      </c>
      <c r="AD345" s="13" t="inlineStr">
        <is>
          <t>25</t>
        </is>
      </c>
      <c r="AE345" s="13" t="inlineStr">
        <is>
          <t>26</t>
        </is>
      </c>
      <c r="AF345" s="13" t="inlineStr">
        <is>
          <t>27</t>
        </is>
      </c>
      <c r="AG345" s="13" t="inlineStr">
        <is>
          <t>28</t>
        </is>
      </c>
      <c r="AH345" s="13" t="inlineStr">
        <is>
          <t>29</t>
        </is>
      </c>
      <c r="AI345" s="13" t="inlineStr">
        <is>
          <t>30</t>
        </is>
      </c>
    </row>
    <row r="346">
      <c r="A346" s="4" t="inlineStr">
        <is>
          <t>Студент1.1</t>
        </is>
      </c>
      <c r="B346" s="4" t="inlineStr"/>
      <c r="C346" s="4">
        <f>IF(A346="","",COUNTIF(F346:AI346,"+")+COUNTIF(F346:AI346,"1"))</f>
        <v/>
      </c>
      <c r="D346" s="4">
        <f>IF(A346="","",IF(C346&gt;2*COUNTA(F$345:AI$345)/3,'Общий'!$M$11,IF(C346&gt;=COUNTA(F$345:AI$345)/2,'Общий'!$M$12,'Общий'!$M$13)))</f>
        <v/>
      </c>
      <c r="E346" s="4">
        <f>IF(A346="","",SUMIFS('Логи'!$H$7:$H$3006,'Логи'!$A$7:$A$3006,6,'Логи'!$B$7:$B$3006,1,'Логи'!$C$7:$C$3006,A346))</f>
        <v/>
      </c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  <c r="AI346" s="5" t="n"/>
    </row>
    <row r="347">
      <c r="A347" s="4" t="inlineStr">
        <is>
          <t>Студент1.2</t>
        </is>
      </c>
      <c r="B347" s="4" t="inlineStr"/>
      <c r="C347" s="4">
        <f>IF(A347="","",COUNTIF(F347:AI347,"+")+COUNTIF(F347:AI347,"1"))</f>
        <v/>
      </c>
      <c r="D347" s="4">
        <f>IF(A347="","",IF(C347&gt;2*COUNTA(F$345:AI$345)/3,'Общий'!$M$11,IF(C347&gt;=COUNTA(F$345:AI$345)/2,'Общий'!$M$12,'Общий'!$M$13)))</f>
        <v/>
      </c>
      <c r="E347" s="4">
        <f>IF(A347="","",SUMIFS('Логи'!$H$7:$H$3006,'Логи'!$A$7:$A$3006,6,'Логи'!$B$7:$B$3006,1,'Логи'!$C$7:$C$3006,A347))</f>
        <v/>
      </c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4" t="inlineStr">
        <is>
          <t>Студент1.3</t>
        </is>
      </c>
      <c r="B348" s="4" t="inlineStr"/>
      <c r="C348" s="4">
        <f>IF(A348="","",COUNTIF(F348:AI348,"+")+COUNTIF(F348:AI348,"1"))</f>
        <v/>
      </c>
      <c r="D348" s="4">
        <f>IF(A348="","",IF(C348&gt;2*COUNTA(F$345:AI$345)/3,'Общий'!$M$11,IF(C348&gt;=COUNTA(F$345:AI$345)/2,'Общий'!$M$12,'Общий'!$M$13)))</f>
        <v/>
      </c>
      <c r="E348" s="4">
        <f>IF(A348="","",SUMIFS('Логи'!$H$7:$H$3006,'Логи'!$A$7:$A$3006,6,'Логи'!$B$7:$B$3006,1,'Логи'!$C$7:$C$3006,A348))</f>
        <v/>
      </c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  <c r="AI348" s="5" t="n"/>
    </row>
    <row r="349">
      <c r="A349" s="4" t="inlineStr">
        <is>
          <t>Студент1.4</t>
        </is>
      </c>
      <c r="B349" s="4" t="inlineStr"/>
      <c r="C349" s="4">
        <f>IF(A349="","",COUNTIF(F349:AI349,"+")+COUNTIF(F349:AI349,"1"))</f>
        <v/>
      </c>
      <c r="D349" s="4">
        <f>IF(A349="","",IF(C349&gt;2*COUNTA(F$345:AI$345)/3,'Общий'!$M$11,IF(C349&gt;=COUNTA(F$345:AI$345)/2,'Общий'!$M$12,'Общий'!$M$13)))</f>
        <v/>
      </c>
      <c r="E349" s="4">
        <f>IF(A349="","",SUMIFS('Логи'!$H$7:$H$3006,'Логи'!$A$7:$A$3006,6,'Логи'!$B$7:$B$3006,1,'Логи'!$C$7:$C$3006,A349))</f>
        <v/>
      </c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4" t="inlineStr">
        <is>
          <t>Студент1.5</t>
        </is>
      </c>
      <c r="B350" s="4" t="inlineStr"/>
      <c r="C350" s="4">
        <f>IF(A350="","",COUNTIF(F350:AI350,"+")+COUNTIF(F350:AI350,"1"))</f>
        <v/>
      </c>
      <c r="D350" s="4">
        <f>IF(A350="","",IF(C350&gt;2*COUNTA(F$345:AI$345)/3,'Общий'!$M$11,IF(C350&gt;=COUNTA(F$345:AI$345)/2,'Общий'!$M$12,'Общий'!$M$13)))</f>
        <v/>
      </c>
      <c r="E350" s="4">
        <f>IF(A350="","",SUMIFS('Логи'!$H$7:$H$3006,'Логи'!$A$7:$A$3006,6,'Логи'!$B$7:$B$3006,1,'Логи'!$C$7:$C$3006,A350))</f>
        <v/>
      </c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  <c r="AI350" s="5" t="n"/>
    </row>
    <row r="351">
      <c r="A351" s="4" t="inlineStr">
        <is>
          <t>Студент1.6</t>
        </is>
      </c>
      <c r="B351" s="4" t="inlineStr"/>
      <c r="C351" s="4">
        <f>IF(A351="","",COUNTIF(F351:AI351,"+")+COUNTIF(F351:AI351,"1"))</f>
        <v/>
      </c>
      <c r="D351" s="4">
        <f>IF(A351="","",IF(C351&gt;2*COUNTA(F$345:AI$345)/3,'Общий'!$M$11,IF(C351&gt;=COUNTA(F$345:AI$345)/2,'Общий'!$M$12,'Общий'!$M$13)))</f>
        <v/>
      </c>
      <c r="E351" s="4">
        <f>IF(A351="","",SUMIFS('Логи'!$H$7:$H$3006,'Логи'!$A$7:$A$3006,6,'Логи'!$B$7:$B$3006,1,'Логи'!$C$7:$C$3006,A351))</f>
        <v/>
      </c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4" t="inlineStr">
        <is>
          <t>Студент1.7</t>
        </is>
      </c>
      <c r="B352" s="4" t="inlineStr"/>
      <c r="C352" s="4">
        <f>IF(A352="","",COUNTIF(F352:AI352,"+")+COUNTIF(F352:AI352,"1"))</f>
        <v/>
      </c>
      <c r="D352" s="4">
        <f>IF(A352="","",IF(C352&gt;2*COUNTA(F$345:AI$345)/3,'Общий'!$M$11,IF(C352&gt;=COUNTA(F$345:AI$345)/2,'Общий'!$M$12,'Общий'!$M$13)))</f>
        <v/>
      </c>
      <c r="E352" s="4">
        <f>IF(A352="","",SUMIFS('Логи'!$H$7:$H$3006,'Логи'!$A$7:$A$3006,6,'Логи'!$B$7:$B$3006,1,'Логи'!$C$7:$C$3006,A352))</f>
        <v/>
      </c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  <c r="AI352" s="5" t="n"/>
    </row>
    <row r="353">
      <c r="A353" s="4" t="inlineStr">
        <is>
          <t>Студент1.8</t>
        </is>
      </c>
      <c r="B353" s="4" t="inlineStr"/>
      <c r="C353" s="4">
        <f>IF(A353="","",COUNTIF(F353:AI353,"+")+COUNTIF(F353:AI353,"1"))</f>
        <v/>
      </c>
      <c r="D353" s="4">
        <f>IF(A353="","",IF(C353&gt;2*COUNTA(F$345:AI$345)/3,'Общий'!$M$11,IF(C353&gt;=COUNTA(F$345:AI$345)/2,'Общий'!$M$12,'Общий'!$M$13)))</f>
        <v/>
      </c>
      <c r="E353" s="4">
        <f>IF(A353="","",SUMIFS('Логи'!$H$7:$H$3006,'Логи'!$A$7:$A$3006,6,'Логи'!$B$7:$B$3006,1,'Логи'!$C$7:$C$3006,A353))</f>
        <v/>
      </c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4" t="inlineStr">
        <is>
          <t>Студент1.9</t>
        </is>
      </c>
      <c r="B354" s="4" t="inlineStr"/>
      <c r="C354" s="4">
        <f>IF(A354="","",COUNTIF(F354:AI354,"+")+COUNTIF(F354:AI354,"1"))</f>
        <v/>
      </c>
      <c r="D354" s="4">
        <f>IF(A354="","",IF(C354&gt;2*COUNTA(F$345:AI$345)/3,'Общий'!$M$11,IF(C354&gt;=COUNTA(F$345:AI$345)/2,'Общий'!$M$12,'Общий'!$M$13)))</f>
        <v/>
      </c>
      <c r="E354" s="4">
        <f>IF(A354="","",SUMIFS('Логи'!$H$7:$H$3006,'Логи'!$A$7:$A$3006,6,'Логи'!$B$7:$B$3006,1,'Логи'!$C$7:$C$3006,A354))</f>
        <v/>
      </c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  <c r="AI354" s="5" t="n"/>
    </row>
    <row r="355">
      <c r="A355" s="4" t="inlineStr">
        <is>
          <t>Студент1.10</t>
        </is>
      </c>
      <c r="B355" s="4" t="inlineStr"/>
      <c r="C355" s="4">
        <f>IF(A355="","",COUNTIF(F355:AI355,"+")+COUNTIF(F355:AI355,"1"))</f>
        <v/>
      </c>
      <c r="D355" s="4">
        <f>IF(A355="","",IF(C355&gt;2*COUNTA(F$345:AI$345)/3,'Общий'!$M$11,IF(C355&gt;=COUNTA(F$345:AI$345)/2,'Общий'!$M$12,'Общий'!$M$13)))</f>
        <v/>
      </c>
      <c r="E355" s="4">
        <f>IF(A355="","",SUMIFS('Логи'!$H$7:$H$3006,'Логи'!$A$7:$A$3006,6,'Логи'!$B$7:$B$3006,1,'Логи'!$C$7:$C$3006,A355))</f>
        <v/>
      </c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4" t="inlineStr">
        <is>
          <t>Студент1.11</t>
        </is>
      </c>
      <c r="B356" s="4" t="inlineStr"/>
      <c r="C356" s="4">
        <f>IF(A356="","",COUNTIF(F356:AI356,"+")+COUNTIF(F356:AI356,"1"))</f>
        <v/>
      </c>
      <c r="D356" s="4">
        <f>IF(A356="","",IF(C356&gt;2*COUNTA(F$345:AI$345)/3,'Общий'!$M$11,IF(C356&gt;=COUNTA(F$345:AI$345)/2,'Общий'!$M$12,'Общий'!$M$13)))</f>
        <v/>
      </c>
      <c r="E356" s="4">
        <f>IF(A356="","",SUMIFS('Логи'!$H$7:$H$3006,'Логи'!$A$7:$A$3006,6,'Логи'!$B$7:$B$3006,1,'Логи'!$C$7:$C$3006,A356))</f>
        <v/>
      </c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  <c r="AI356" s="5" t="n"/>
    </row>
    <row r="357">
      <c r="A357" s="4" t="inlineStr">
        <is>
          <t>Студент1.12</t>
        </is>
      </c>
      <c r="B357" s="4" t="inlineStr"/>
      <c r="C357" s="4">
        <f>IF(A357="","",COUNTIF(F357:AI357,"+")+COUNTIF(F357:AI357,"1"))</f>
        <v/>
      </c>
      <c r="D357" s="4">
        <f>IF(A357="","",IF(C357&gt;2*COUNTA(F$345:AI$345)/3,'Общий'!$M$11,IF(C357&gt;=COUNTA(F$345:AI$345)/2,'Общий'!$M$12,'Общий'!$M$13)))</f>
        <v/>
      </c>
      <c r="E357" s="4">
        <f>IF(A357="","",SUMIFS('Логи'!$H$7:$H$3006,'Логи'!$A$7:$A$3006,6,'Логи'!$B$7:$B$3006,1,'Логи'!$C$7:$C$3006,A357))</f>
        <v/>
      </c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4" t="inlineStr">
        <is>
          <t>Студент1.13</t>
        </is>
      </c>
      <c r="B358" s="4" t="inlineStr"/>
      <c r="C358" s="4">
        <f>IF(A358="","",COUNTIF(F358:AI358,"+")+COUNTIF(F358:AI358,"1"))</f>
        <v/>
      </c>
      <c r="D358" s="4">
        <f>IF(A358="","",IF(C358&gt;2*COUNTA(F$345:AI$345)/3,'Общий'!$M$11,IF(C358&gt;=COUNTA(F$345:AI$345)/2,'Общий'!$M$12,'Общий'!$M$13)))</f>
        <v/>
      </c>
      <c r="E358" s="4">
        <f>IF(A358="","",SUMIFS('Логи'!$H$7:$H$3006,'Логи'!$A$7:$A$3006,6,'Логи'!$B$7:$B$3006,1,'Логи'!$C$7:$C$3006,A358))</f>
        <v/>
      </c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  <c r="AI358" s="5" t="n"/>
    </row>
    <row r="359">
      <c r="A359" s="4" t="inlineStr">
        <is>
          <t>Студент1.14</t>
        </is>
      </c>
      <c r="B359" s="4" t="inlineStr"/>
      <c r="C359" s="4">
        <f>IF(A359="","",COUNTIF(F359:AI359,"+")+COUNTIF(F359:AI359,"1"))</f>
        <v/>
      </c>
      <c r="D359" s="4">
        <f>IF(A359="","",IF(C359&gt;2*COUNTA(F$345:AI$345)/3,'Общий'!$M$11,IF(C359&gt;=COUNTA(F$345:AI$345)/2,'Общий'!$M$12,'Общий'!$M$13)))</f>
        <v/>
      </c>
      <c r="E359" s="4">
        <f>IF(A359="","",SUMIFS('Логи'!$H$7:$H$3006,'Логи'!$A$7:$A$3006,6,'Логи'!$B$7:$B$3006,1,'Логи'!$C$7:$C$3006,A359))</f>
        <v/>
      </c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4" t="inlineStr">
        <is>
          <t>Студент1.15</t>
        </is>
      </c>
      <c r="B360" s="4" t="inlineStr"/>
      <c r="C360" s="4">
        <f>IF(A360="","",COUNTIF(F360:AI360,"+")+COUNTIF(F360:AI360,"1"))</f>
        <v/>
      </c>
      <c r="D360" s="4">
        <f>IF(A360="","",IF(C360&gt;2*COUNTA(F$345:AI$345)/3,'Общий'!$M$11,IF(C360&gt;=COUNTA(F$345:AI$345)/2,'Общий'!$M$12,'Общий'!$M$13)))</f>
        <v/>
      </c>
      <c r="E360" s="4">
        <f>IF(A360="","",SUMIFS('Логи'!$H$7:$H$3006,'Логи'!$A$7:$A$3006,6,'Логи'!$B$7:$B$3006,1,'Логи'!$C$7:$C$3006,A360))</f>
        <v/>
      </c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  <c r="AI360" s="5" t="n"/>
    </row>
    <row r="361">
      <c r="A361" s="4" t="inlineStr">
        <is>
          <t>Студент1.16</t>
        </is>
      </c>
      <c r="B361" s="4" t="inlineStr"/>
      <c r="C361" s="4">
        <f>IF(A361="","",COUNTIF(F361:AI361,"+")+COUNTIF(F361:AI361,"1"))</f>
        <v/>
      </c>
      <c r="D361" s="4">
        <f>IF(A361="","",IF(C361&gt;2*COUNTA(F$345:AI$345)/3,'Общий'!$M$11,IF(C361&gt;=COUNTA(F$345:AI$345)/2,'Общий'!$M$12,'Общий'!$M$13)))</f>
        <v/>
      </c>
      <c r="E361" s="4">
        <f>IF(A361="","",SUMIFS('Логи'!$H$7:$H$3006,'Логи'!$A$7:$A$3006,6,'Логи'!$B$7:$B$3006,1,'Логи'!$C$7:$C$3006,A361))</f>
        <v/>
      </c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4" t="inlineStr">
        <is>
          <t>Студент1.17</t>
        </is>
      </c>
      <c r="B362" s="4" t="inlineStr"/>
      <c r="C362" s="4">
        <f>IF(A362="","",COUNTIF(F362:AI362,"+")+COUNTIF(F362:AI362,"1"))</f>
        <v/>
      </c>
      <c r="D362" s="4">
        <f>IF(A362="","",IF(C362&gt;2*COUNTA(F$345:AI$345)/3,'Общий'!$M$11,IF(C362&gt;=COUNTA(F$345:AI$345)/2,'Общий'!$M$12,'Общий'!$M$13)))</f>
        <v/>
      </c>
      <c r="E362" s="4">
        <f>IF(A362="","",SUMIFS('Логи'!$H$7:$H$3006,'Логи'!$A$7:$A$3006,6,'Логи'!$B$7:$B$3006,1,'Логи'!$C$7:$C$3006,A362))</f>
        <v/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  <c r="AI362" s="5" t="n"/>
    </row>
    <row r="363">
      <c r="A363" s="4" t="inlineStr">
        <is>
          <t>Студент1.18</t>
        </is>
      </c>
      <c r="B363" s="4" t="inlineStr"/>
      <c r="C363" s="4">
        <f>IF(A363="","",COUNTIF(F363:AI363,"+")+COUNTIF(F363:AI363,"1"))</f>
        <v/>
      </c>
      <c r="D363" s="4">
        <f>IF(A363="","",IF(C363&gt;2*COUNTA(F$345:AI$345)/3,'Общий'!$M$11,IF(C363&gt;=COUNTA(F$345:AI$345)/2,'Общий'!$M$12,'Общий'!$M$13)))</f>
        <v/>
      </c>
      <c r="E363" s="4">
        <f>IF(A363="","",SUMIFS('Логи'!$H$7:$H$3006,'Логи'!$A$7:$A$3006,6,'Логи'!$B$7:$B$3006,1,'Логи'!$C$7:$C$3006,A363))</f>
        <v/>
      </c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4" t="inlineStr">
        <is>
          <t>Студент1.19</t>
        </is>
      </c>
      <c r="B364" s="4" t="inlineStr"/>
      <c r="C364" s="4">
        <f>IF(A364="","",COUNTIF(F364:AI364,"+")+COUNTIF(F364:AI364,"1"))</f>
        <v/>
      </c>
      <c r="D364" s="4">
        <f>IF(A364="","",IF(C364&gt;2*COUNTA(F$345:AI$345)/3,'Общий'!$M$11,IF(C364&gt;=COUNTA(F$345:AI$345)/2,'Общий'!$M$12,'Общий'!$M$13)))</f>
        <v/>
      </c>
      <c r="E364" s="4">
        <f>IF(A364="","",SUMIFS('Логи'!$H$7:$H$3006,'Логи'!$A$7:$A$3006,6,'Логи'!$B$7:$B$3006,1,'Логи'!$C$7:$C$3006,A364))</f>
        <v/>
      </c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  <c r="AI364" s="5" t="n"/>
    </row>
    <row r="365">
      <c r="A365" s="4" t="inlineStr">
        <is>
          <t>Студент1.20</t>
        </is>
      </c>
      <c r="B365" s="4" t="inlineStr"/>
      <c r="C365" s="4">
        <f>IF(A365="","",COUNTIF(F365:AI365,"+")+COUNTIF(F365:AI365,"1"))</f>
        <v/>
      </c>
      <c r="D365" s="4">
        <f>IF(A365="","",IF(C365&gt;2*COUNTA(F$345:AI$345)/3,'Общий'!$M$11,IF(C365&gt;=COUNTA(F$345:AI$345)/2,'Общий'!$M$12,'Общий'!$M$13)))</f>
        <v/>
      </c>
      <c r="E365" s="4">
        <f>IF(A365="","",SUMIFS('Логи'!$H$7:$H$3006,'Логи'!$A$7:$A$3006,6,'Логи'!$B$7:$B$3006,1,'Логи'!$C$7:$C$3006,A365))</f>
        <v/>
      </c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4" t="inlineStr">
        <is>
          <t>Студент1.21</t>
        </is>
      </c>
      <c r="B366" s="4" t="inlineStr"/>
      <c r="C366" s="4">
        <f>IF(A366="","",COUNTIF(F366:AI366,"+")+COUNTIF(F366:AI366,"1"))</f>
        <v/>
      </c>
      <c r="D366" s="4">
        <f>IF(A366="","",IF(C366&gt;2*COUNTA(F$345:AI$345)/3,'Общий'!$M$11,IF(C366&gt;=COUNTA(F$345:AI$345)/2,'Общий'!$M$12,'Общий'!$M$13)))</f>
        <v/>
      </c>
      <c r="E366" s="4">
        <f>IF(A366="","",SUMIFS('Логи'!$H$7:$H$3006,'Логи'!$A$7:$A$3006,6,'Логи'!$B$7:$B$3006,1,'Логи'!$C$7:$C$3006,A366))</f>
        <v/>
      </c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  <c r="AI366" s="5" t="n"/>
    </row>
    <row r="367">
      <c r="A367" s="4" t="inlineStr">
        <is>
          <t>Студент1.22</t>
        </is>
      </c>
      <c r="B367" s="4" t="inlineStr"/>
      <c r="C367" s="4">
        <f>IF(A367="","",COUNTIF(F367:AI367,"+")+COUNTIF(F367:AI367,"1"))</f>
        <v/>
      </c>
      <c r="D367" s="4">
        <f>IF(A367="","",IF(C367&gt;2*COUNTA(F$345:AI$345)/3,'Общий'!$M$11,IF(C367&gt;=COUNTA(F$345:AI$345)/2,'Общий'!$M$12,'Общий'!$M$13)))</f>
        <v/>
      </c>
      <c r="E367" s="4">
        <f>IF(A367="","",SUMIFS('Логи'!$H$7:$H$3006,'Логи'!$A$7:$A$3006,6,'Логи'!$B$7:$B$3006,1,'Логи'!$C$7:$C$3006,A367))</f>
        <v/>
      </c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4" t="inlineStr">
        <is>
          <t>Студент1.23</t>
        </is>
      </c>
      <c r="B368" s="4" t="inlineStr"/>
      <c r="C368" s="4">
        <f>IF(A368="","",COUNTIF(F368:AI368,"+")+COUNTIF(F368:AI368,"1"))</f>
        <v/>
      </c>
      <c r="D368" s="4">
        <f>IF(A368="","",IF(C368&gt;2*COUNTA(F$345:AI$345)/3,'Общий'!$M$11,IF(C368&gt;=COUNTA(F$345:AI$345)/2,'Общий'!$M$12,'Общий'!$M$13)))</f>
        <v/>
      </c>
      <c r="E368" s="4">
        <f>IF(A368="","",SUMIFS('Логи'!$H$7:$H$3006,'Логи'!$A$7:$A$3006,6,'Логи'!$B$7:$B$3006,1,'Логи'!$C$7:$C$3006,A368))</f>
        <v/>
      </c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  <c r="AI368" s="5" t="n"/>
    </row>
    <row r="369">
      <c r="A369" s="4" t="inlineStr">
        <is>
          <t>Студент1.24</t>
        </is>
      </c>
      <c r="B369" s="4" t="inlineStr"/>
      <c r="C369" s="4">
        <f>IF(A369="","",COUNTIF(F369:AI369,"+")+COUNTIF(F369:AI369,"1"))</f>
        <v/>
      </c>
      <c r="D369" s="4">
        <f>IF(A369="","",IF(C369&gt;2*COUNTA(F$345:AI$345)/3,'Общий'!$M$11,IF(C369&gt;=COUNTA(F$345:AI$345)/2,'Общий'!$M$12,'Общий'!$M$13)))</f>
        <v/>
      </c>
      <c r="E369" s="4">
        <f>IF(A369="","",SUMIFS('Логи'!$H$7:$H$3006,'Логи'!$A$7:$A$3006,6,'Логи'!$B$7:$B$3006,1,'Логи'!$C$7:$C$3006,A369))</f>
        <v/>
      </c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4" t="inlineStr">
        <is>
          <t>Студент1.25</t>
        </is>
      </c>
      <c r="B370" s="4" t="inlineStr"/>
      <c r="C370" s="4">
        <f>IF(A370="","",COUNTIF(F370:AI370,"+")+COUNTIF(F370:AI370,"1"))</f>
        <v/>
      </c>
      <c r="D370" s="4">
        <f>IF(A370="","",IF(C370&gt;2*COUNTA(F$345:AI$345)/3,'Общий'!$M$11,IF(C370&gt;=COUNTA(F$345:AI$345)/2,'Общий'!$M$12,'Общий'!$M$13)))</f>
        <v/>
      </c>
      <c r="E370" s="4">
        <f>IF(A370="","",SUMIFS('Логи'!$H$7:$H$3006,'Логи'!$A$7:$A$3006,6,'Логи'!$B$7:$B$3006,1,'Логи'!$C$7:$C$3006,A370))</f>
        <v/>
      </c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  <c r="AI370" s="5" t="n"/>
    </row>
    <row r="371">
      <c r="A371" s="4" t="inlineStr">
        <is>
          <t>Студент1.26</t>
        </is>
      </c>
      <c r="B371" s="4" t="inlineStr"/>
      <c r="C371" s="4">
        <f>IF(A371="","",COUNTIF(F371:AI371,"+")+COUNTIF(F371:AI371,"1"))</f>
        <v/>
      </c>
      <c r="D371" s="4">
        <f>IF(A371="","",IF(C371&gt;2*COUNTA(F$345:AI$345)/3,'Общий'!$M$11,IF(C371&gt;=COUNTA(F$345:AI$345)/2,'Общий'!$M$12,'Общий'!$M$13)))</f>
        <v/>
      </c>
      <c r="E371" s="4">
        <f>IF(A371="","",SUMIFS('Логи'!$H$7:$H$3006,'Логи'!$A$7:$A$3006,6,'Логи'!$B$7:$B$3006,1,'Логи'!$C$7:$C$3006,A371))</f>
        <v/>
      </c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4" t="inlineStr">
        <is>
          <t>Студент1.27</t>
        </is>
      </c>
      <c r="B372" s="4" t="inlineStr"/>
      <c r="C372" s="4">
        <f>IF(A372="","",COUNTIF(F372:AI372,"+")+COUNTIF(F372:AI372,"1"))</f>
        <v/>
      </c>
      <c r="D372" s="4">
        <f>IF(A372="","",IF(C372&gt;2*COUNTA(F$345:AI$345)/3,'Общий'!$M$11,IF(C372&gt;=COUNTA(F$345:AI$345)/2,'Общий'!$M$12,'Общий'!$M$13)))</f>
        <v/>
      </c>
      <c r="E372" s="4">
        <f>IF(A372="","",SUMIFS('Логи'!$H$7:$H$3006,'Логи'!$A$7:$A$3006,6,'Логи'!$B$7:$B$3006,1,'Логи'!$C$7:$C$3006,A372))</f>
        <v/>
      </c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  <c r="AI372" s="5" t="n"/>
    </row>
    <row r="373">
      <c r="A373" s="4" t="inlineStr">
        <is>
          <t>Студент1.28</t>
        </is>
      </c>
      <c r="B373" s="4" t="inlineStr"/>
      <c r="C373" s="4">
        <f>IF(A373="","",COUNTIF(F373:AI373,"+")+COUNTIF(F373:AI373,"1"))</f>
        <v/>
      </c>
      <c r="D373" s="4">
        <f>IF(A373="","",IF(C373&gt;2*COUNTA(F$345:AI$345)/3,'Общий'!$M$11,IF(C373&gt;=COUNTA(F$345:AI$345)/2,'Общий'!$M$12,'Общий'!$M$13)))</f>
        <v/>
      </c>
      <c r="E373" s="4">
        <f>IF(A373="","",SUMIFS('Логи'!$H$7:$H$3006,'Логи'!$A$7:$A$3006,6,'Логи'!$B$7:$B$3006,1,'Логи'!$C$7:$C$3006,A373))</f>
        <v/>
      </c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4" t="inlineStr">
        <is>
          <t>Студент1.29</t>
        </is>
      </c>
      <c r="B374" s="4" t="inlineStr"/>
      <c r="C374" s="4">
        <f>IF(A374="","",COUNTIF(F374:AI374,"+")+COUNTIF(F374:AI374,"1"))</f>
        <v/>
      </c>
      <c r="D374" s="4">
        <f>IF(A374="","",IF(C374&gt;2*COUNTA(F$345:AI$345)/3,'Общий'!$M$11,IF(C374&gt;=COUNTA(F$345:AI$345)/2,'Общий'!$M$12,'Общий'!$M$13)))</f>
        <v/>
      </c>
      <c r="E374" s="4">
        <f>IF(A374="","",SUMIFS('Логи'!$H$7:$H$3006,'Логи'!$A$7:$A$3006,6,'Логи'!$B$7:$B$3006,1,'Логи'!$C$7:$C$3006,A374))</f>
        <v/>
      </c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  <c r="AI374" s="5" t="n"/>
    </row>
    <row r="375">
      <c r="A375" s="4" t="inlineStr">
        <is>
          <t>Студент1.30</t>
        </is>
      </c>
      <c r="B375" s="4" t="inlineStr"/>
      <c r="C375" s="4">
        <f>IF(A375="","",COUNTIF(F375:AI375,"+")+COUNTIF(F375:AI375,"1"))</f>
        <v/>
      </c>
      <c r="D375" s="4">
        <f>IF(A375="","",IF(C375&gt;2*COUNTA(F$345:AI$345)/3,'Общий'!$M$11,IF(C375&gt;=COUNTA(F$345:AI$345)/2,'Общий'!$M$12,'Общий'!$M$13)))</f>
        <v/>
      </c>
      <c r="E375" s="4">
        <f>IF(A375="","",SUMIFS('Логи'!$H$7:$H$3006,'Логи'!$A$7:$A$3006,6,'Логи'!$B$7:$B$3006,1,'Логи'!$C$7:$C$3006,A375))</f>
        <v/>
      </c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7">
      <c r="A377" s="19" t="inlineStr">
        <is>
          <t>Практика 6 — результаты рассказа</t>
        </is>
      </c>
    </row>
    <row r="378" ht="28" customHeight="1">
      <c r="A378" s="9" t="inlineStr">
        <is>
          <t>Имя</t>
        </is>
      </c>
      <c r="B378" s="11" t="inlineStr">
        <is>
          <t>TG</t>
        </is>
      </c>
      <c r="C378" s="12" t="inlineStr"/>
      <c r="D378" s="3" t="inlineStr"/>
      <c r="E378" s="3" t="inlineStr"/>
      <c r="F378" s="13" t="inlineStr">
        <is>
          <t>1.0</t>
        </is>
      </c>
      <c r="G378" s="13" t="inlineStr">
        <is>
          <t>2.0</t>
        </is>
      </c>
      <c r="H378" s="13" t="inlineStr">
        <is>
          <t>3.0</t>
        </is>
      </c>
      <c r="I378" s="13" t="inlineStr">
        <is>
          <t>4.0</t>
        </is>
      </c>
      <c r="J378" s="13" t="inlineStr">
        <is>
          <t>5.0</t>
        </is>
      </c>
      <c r="K378" s="13" t="inlineStr">
        <is>
          <t>6</t>
        </is>
      </c>
      <c r="L378" s="13" t="inlineStr">
        <is>
          <t>7</t>
        </is>
      </c>
      <c r="M378" s="13" t="inlineStr">
        <is>
          <t>8</t>
        </is>
      </c>
      <c r="N378" s="13" t="inlineStr">
        <is>
          <t>9</t>
        </is>
      </c>
      <c r="O378" s="13" t="inlineStr">
        <is>
          <t>10</t>
        </is>
      </c>
      <c r="P378" s="13" t="inlineStr">
        <is>
          <t>11</t>
        </is>
      </c>
      <c r="Q378" s="13" t="inlineStr">
        <is>
          <t>12</t>
        </is>
      </c>
      <c r="R378" s="13" t="inlineStr">
        <is>
          <t>13</t>
        </is>
      </c>
      <c r="S378" s="13" t="inlineStr">
        <is>
          <t>14</t>
        </is>
      </c>
      <c r="T378" s="13" t="inlineStr">
        <is>
          <t>15</t>
        </is>
      </c>
      <c r="U378" s="13" t="inlineStr">
        <is>
          <t>16</t>
        </is>
      </c>
      <c r="V378" s="13" t="inlineStr">
        <is>
          <t>17</t>
        </is>
      </c>
      <c r="W378" s="13" t="inlineStr">
        <is>
          <t>18</t>
        </is>
      </c>
      <c r="X378" s="13" t="inlineStr">
        <is>
          <t>19</t>
        </is>
      </c>
      <c r="Y378" s="13" t="inlineStr">
        <is>
          <t>20</t>
        </is>
      </c>
      <c r="Z378" s="13" t="inlineStr">
        <is>
          <t>21</t>
        </is>
      </c>
      <c r="AA378" s="13" t="inlineStr">
        <is>
          <t>22</t>
        </is>
      </c>
      <c r="AB378" s="13" t="inlineStr">
        <is>
          <t>23</t>
        </is>
      </c>
      <c r="AC378" s="13" t="inlineStr">
        <is>
          <t>24</t>
        </is>
      </c>
      <c r="AD378" s="13" t="inlineStr">
        <is>
          <t>25</t>
        </is>
      </c>
      <c r="AE378" s="13" t="inlineStr">
        <is>
          <t>26</t>
        </is>
      </c>
      <c r="AF378" s="13" t="inlineStr">
        <is>
          <t>27</t>
        </is>
      </c>
      <c r="AG378" s="13" t="inlineStr">
        <is>
          <t>28</t>
        </is>
      </c>
      <c r="AH378" s="13" t="inlineStr">
        <is>
          <t>29</t>
        </is>
      </c>
      <c r="AI378" s="13" t="inlineStr">
        <is>
          <t>30</t>
        </is>
      </c>
    </row>
    <row r="379">
      <c r="A379" s="4" t="inlineStr">
        <is>
          <t>Студент1.1</t>
        </is>
      </c>
      <c r="B379" s="4" t="inlineStr"/>
      <c r="C379" s="4" t="n"/>
      <c r="D379" s="4" t="n"/>
      <c r="E379" s="4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4" t="inlineStr">
        <is>
          <t>Студент1.2</t>
        </is>
      </c>
      <c r="B380" s="4" t="inlineStr"/>
      <c r="C380" s="4" t="n"/>
      <c r="D380" s="4" t="n"/>
      <c r="E380" s="4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</row>
    <row r="381">
      <c r="A381" s="4" t="inlineStr">
        <is>
          <t>Студент1.3</t>
        </is>
      </c>
      <c r="B381" s="4" t="inlineStr"/>
      <c r="C381" s="4" t="n"/>
      <c r="D381" s="4" t="n"/>
      <c r="E381" s="4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4" t="inlineStr">
        <is>
          <t>Студент1.4</t>
        </is>
      </c>
      <c r="B382" s="4" t="inlineStr"/>
      <c r="C382" s="4" t="n"/>
      <c r="D382" s="4" t="n"/>
      <c r="E382" s="4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</row>
    <row r="383">
      <c r="A383" s="4" t="inlineStr">
        <is>
          <t>Студент1.5</t>
        </is>
      </c>
      <c r="B383" s="4" t="inlineStr"/>
      <c r="C383" s="4" t="n"/>
      <c r="D383" s="4" t="n"/>
      <c r="E383" s="4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4" t="inlineStr">
        <is>
          <t>Студент1.6</t>
        </is>
      </c>
      <c r="B384" s="4" t="inlineStr"/>
      <c r="C384" s="4" t="n"/>
      <c r="D384" s="4" t="n"/>
      <c r="E384" s="4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</row>
    <row r="385">
      <c r="A385" s="4" t="inlineStr">
        <is>
          <t>Студент1.7</t>
        </is>
      </c>
      <c r="B385" s="4" t="inlineStr"/>
      <c r="C385" s="4" t="n"/>
      <c r="D385" s="4" t="n"/>
      <c r="E385" s="4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4" t="inlineStr">
        <is>
          <t>Студент1.8</t>
        </is>
      </c>
      <c r="B386" s="4" t="inlineStr"/>
      <c r="C386" s="4" t="n"/>
      <c r="D386" s="4" t="n"/>
      <c r="E386" s="4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</row>
    <row r="387">
      <c r="A387" s="4" t="inlineStr">
        <is>
          <t>Студент1.9</t>
        </is>
      </c>
      <c r="B387" s="4" t="inlineStr"/>
      <c r="C387" s="4" t="n"/>
      <c r="D387" s="4" t="n"/>
      <c r="E387" s="4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4" t="inlineStr">
        <is>
          <t>Студент1.10</t>
        </is>
      </c>
      <c r="B388" s="4" t="inlineStr"/>
      <c r="C388" s="4" t="n"/>
      <c r="D388" s="4" t="n"/>
      <c r="E388" s="4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</row>
    <row r="389">
      <c r="A389" s="4" t="inlineStr">
        <is>
          <t>Студент1.11</t>
        </is>
      </c>
      <c r="B389" s="4" t="inlineStr"/>
      <c r="C389" s="4" t="n"/>
      <c r="D389" s="4" t="n"/>
      <c r="E389" s="4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4" t="inlineStr">
        <is>
          <t>Студент1.12</t>
        </is>
      </c>
      <c r="B390" s="4" t="inlineStr"/>
      <c r="C390" s="4" t="n"/>
      <c r="D390" s="4" t="n"/>
      <c r="E390" s="4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</row>
    <row r="391">
      <c r="A391" s="4" t="inlineStr">
        <is>
          <t>Студент1.13</t>
        </is>
      </c>
      <c r="B391" s="4" t="inlineStr"/>
      <c r="C391" s="4" t="n"/>
      <c r="D391" s="4" t="n"/>
      <c r="E391" s="4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4" t="inlineStr">
        <is>
          <t>Студент1.14</t>
        </is>
      </c>
      <c r="B392" s="4" t="inlineStr"/>
      <c r="C392" s="4" t="n"/>
      <c r="D392" s="4" t="n"/>
      <c r="E392" s="4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  <c r="AI392" s="5" t="n"/>
    </row>
    <row r="393">
      <c r="A393" s="4" t="inlineStr">
        <is>
          <t>Студент1.15</t>
        </is>
      </c>
      <c r="B393" s="4" t="inlineStr"/>
      <c r="C393" s="4" t="n"/>
      <c r="D393" s="4" t="n"/>
      <c r="E393" s="4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4" t="inlineStr">
        <is>
          <t>Студент1.16</t>
        </is>
      </c>
      <c r="B394" s="4" t="inlineStr"/>
      <c r="C394" s="4" t="n"/>
      <c r="D394" s="4" t="n"/>
      <c r="E394" s="4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  <c r="AI394" s="5" t="n"/>
    </row>
    <row r="395">
      <c r="A395" s="4" t="inlineStr">
        <is>
          <t>Студент1.17</t>
        </is>
      </c>
      <c r="B395" s="4" t="inlineStr"/>
      <c r="C395" s="4" t="n"/>
      <c r="D395" s="4" t="n"/>
      <c r="E395" s="4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4" t="inlineStr">
        <is>
          <t>Студент1.18</t>
        </is>
      </c>
      <c r="B396" s="4" t="inlineStr"/>
      <c r="C396" s="4" t="n"/>
      <c r="D396" s="4" t="n"/>
      <c r="E396" s="4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  <c r="AI396" s="5" t="n"/>
    </row>
    <row r="397">
      <c r="A397" s="4" t="inlineStr">
        <is>
          <t>Студент1.19</t>
        </is>
      </c>
      <c r="B397" s="4" t="inlineStr"/>
      <c r="C397" s="4" t="n"/>
      <c r="D397" s="4" t="n"/>
      <c r="E397" s="4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4" t="inlineStr">
        <is>
          <t>Студент1.20</t>
        </is>
      </c>
      <c r="B398" s="4" t="inlineStr"/>
      <c r="C398" s="4" t="n"/>
      <c r="D398" s="4" t="n"/>
      <c r="E398" s="4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  <c r="AI398" s="5" t="n"/>
    </row>
    <row r="399">
      <c r="A399" s="4" t="inlineStr">
        <is>
          <t>Студент1.21</t>
        </is>
      </c>
      <c r="B399" s="4" t="inlineStr"/>
      <c r="C399" s="4" t="n"/>
      <c r="D399" s="4" t="n"/>
      <c r="E399" s="4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4" t="inlineStr">
        <is>
          <t>Студент1.22</t>
        </is>
      </c>
      <c r="B400" s="4" t="inlineStr"/>
      <c r="C400" s="4" t="n"/>
      <c r="D400" s="4" t="n"/>
      <c r="E400" s="4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  <c r="AI400" s="5" t="n"/>
    </row>
    <row r="401">
      <c r="A401" s="4" t="inlineStr">
        <is>
          <t>Студент1.23</t>
        </is>
      </c>
      <c r="B401" s="4" t="inlineStr"/>
      <c r="C401" s="4" t="n"/>
      <c r="D401" s="4" t="n"/>
      <c r="E401" s="4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4" t="inlineStr">
        <is>
          <t>Студент1.24</t>
        </is>
      </c>
      <c r="B402" s="4" t="inlineStr"/>
      <c r="C402" s="4" t="n"/>
      <c r="D402" s="4" t="n"/>
      <c r="E402" s="4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  <c r="AI402" s="5" t="n"/>
    </row>
    <row r="403">
      <c r="A403" s="4" t="inlineStr">
        <is>
          <t>Студент1.25</t>
        </is>
      </c>
      <c r="B403" s="4" t="inlineStr"/>
      <c r="C403" s="4" t="n"/>
      <c r="D403" s="4" t="n"/>
      <c r="E403" s="4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4" t="inlineStr">
        <is>
          <t>Студент1.26</t>
        </is>
      </c>
      <c r="B404" s="4" t="inlineStr"/>
      <c r="C404" s="4" t="n"/>
      <c r="D404" s="4" t="n"/>
      <c r="E404" s="4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  <c r="AI404" s="5" t="n"/>
    </row>
    <row r="405">
      <c r="A405" s="4" t="inlineStr">
        <is>
          <t>Студент1.27</t>
        </is>
      </c>
      <c r="B405" s="4" t="inlineStr"/>
      <c r="C405" s="4" t="n"/>
      <c r="D405" s="4" t="n"/>
      <c r="E405" s="4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4" t="inlineStr">
        <is>
          <t>Студент1.28</t>
        </is>
      </c>
      <c r="B406" s="4" t="inlineStr"/>
      <c r="C406" s="4" t="n"/>
      <c r="D406" s="4" t="n"/>
      <c r="E406" s="4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  <c r="AI406" s="5" t="n"/>
    </row>
    <row r="407">
      <c r="A407" s="4" t="inlineStr">
        <is>
          <t>Студент1.29</t>
        </is>
      </c>
      <c r="B407" s="4" t="inlineStr"/>
      <c r="C407" s="4" t="n"/>
      <c r="D407" s="4" t="n"/>
      <c r="E407" s="4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4" t="inlineStr">
        <is>
          <t>Студент1.30</t>
        </is>
      </c>
      <c r="B408" s="4" t="inlineStr"/>
      <c r="C408" s="4" t="n"/>
      <c r="D408" s="4" t="n"/>
      <c r="E408" s="4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  <c r="AI408" s="5" t="n"/>
    </row>
    <row r="412">
      <c r="A412" s="17" t="inlineStr">
        <is>
          <t>Практика 7 — плюсы</t>
        </is>
      </c>
    </row>
    <row r="413" ht="28" customHeight="1">
      <c r="A413" s="9" t="inlineStr">
        <is>
          <t>Имя</t>
        </is>
      </c>
      <c r="B413" s="11" t="inlineStr">
        <is>
          <t>TG</t>
        </is>
      </c>
      <c r="C413" s="12" t="inlineStr">
        <is>
          <t>S</t>
        </is>
      </c>
      <c r="D413" s="10" t="inlineStr">
        <is>
          <t>Коэффициент</t>
        </is>
      </c>
      <c r="E413" s="18" t="inlineStr">
        <is>
          <t>D за практику</t>
        </is>
      </c>
      <c r="F413" s="13" t="inlineStr">
        <is>
          <t>1.0</t>
        </is>
      </c>
      <c r="G413" s="13" t="inlineStr">
        <is>
          <t>2.0</t>
        </is>
      </c>
      <c r="H413" s="13" t="inlineStr">
        <is>
          <t>3.0</t>
        </is>
      </c>
      <c r="I413" s="13" t="inlineStr">
        <is>
          <t>4.0</t>
        </is>
      </c>
      <c r="J413" s="13" t="inlineStr">
        <is>
          <t>5.0</t>
        </is>
      </c>
      <c r="K413" s="13" t="inlineStr">
        <is>
          <t>6</t>
        </is>
      </c>
      <c r="L413" s="13" t="inlineStr">
        <is>
          <t>7</t>
        </is>
      </c>
      <c r="M413" s="13" t="inlineStr">
        <is>
          <t>8</t>
        </is>
      </c>
      <c r="N413" s="13" t="inlineStr">
        <is>
          <t>9</t>
        </is>
      </c>
      <c r="O413" s="13" t="inlineStr">
        <is>
          <t>10</t>
        </is>
      </c>
      <c r="P413" s="13" t="inlineStr">
        <is>
          <t>11</t>
        </is>
      </c>
      <c r="Q413" s="13" t="inlineStr">
        <is>
          <t>12</t>
        </is>
      </c>
      <c r="R413" s="13" t="inlineStr">
        <is>
          <t>13</t>
        </is>
      </c>
      <c r="S413" s="13" t="inlineStr">
        <is>
          <t>14</t>
        </is>
      </c>
      <c r="T413" s="13" t="inlineStr">
        <is>
          <t>15</t>
        </is>
      </c>
      <c r="U413" s="13" t="inlineStr">
        <is>
          <t>16</t>
        </is>
      </c>
      <c r="V413" s="13" t="inlineStr">
        <is>
          <t>17</t>
        </is>
      </c>
      <c r="W413" s="13" t="inlineStr">
        <is>
          <t>18</t>
        </is>
      </c>
      <c r="X413" s="13" t="inlineStr">
        <is>
          <t>19</t>
        </is>
      </c>
      <c r="Y413" s="13" t="inlineStr">
        <is>
          <t>20</t>
        </is>
      </c>
      <c r="Z413" s="13" t="inlineStr">
        <is>
          <t>21</t>
        </is>
      </c>
      <c r="AA413" s="13" t="inlineStr">
        <is>
          <t>22</t>
        </is>
      </c>
      <c r="AB413" s="13" t="inlineStr">
        <is>
          <t>23</t>
        </is>
      </c>
      <c r="AC413" s="13" t="inlineStr">
        <is>
          <t>24</t>
        </is>
      </c>
      <c r="AD413" s="13" t="inlineStr">
        <is>
          <t>25</t>
        </is>
      </c>
      <c r="AE413" s="13" t="inlineStr">
        <is>
          <t>26</t>
        </is>
      </c>
      <c r="AF413" s="13" t="inlineStr">
        <is>
          <t>27</t>
        </is>
      </c>
      <c r="AG413" s="13" t="inlineStr">
        <is>
          <t>28</t>
        </is>
      </c>
      <c r="AH413" s="13" t="inlineStr">
        <is>
          <t>29</t>
        </is>
      </c>
      <c r="AI413" s="13" t="inlineStr">
        <is>
          <t>30</t>
        </is>
      </c>
    </row>
    <row r="414">
      <c r="A414" s="4" t="inlineStr">
        <is>
          <t>Студент1.1</t>
        </is>
      </c>
      <c r="B414" s="4" t="inlineStr"/>
      <c r="C414" s="4">
        <f>IF(A414="","",COUNTIF(F414:AI414,"+")+COUNTIF(F414:AI414,"1"))</f>
        <v/>
      </c>
      <c r="D414" s="4">
        <f>IF(A414="","",IF(C414&gt;2*COUNTA(F$413:AI$413)/3,'Общий'!$M$11,IF(C414&gt;=COUNTA(F$413:AI$413)/2,'Общий'!$M$12,'Общий'!$M$13)))</f>
        <v/>
      </c>
      <c r="E414" s="4">
        <f>IF(A414="","",SUMIFS('Логи'!$H$7:$H$3006,'Логи'!$A$7:$A$3006,7,'Логи'!$B$7:$B$3006,1,'Логи'!$C$7:$C$3006,A414))</f>
        <v/>
      </c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</row>
    <row r="415">
      <c r="A415" s="4" t="inlineStr">
        <is>
          <t>Студент1.2</t>
        </is>
      </c>
      <c r="B415" s="4" t="inlineStr"/>
      <c r="C415" s="4">
        <f>IF(A415="","",COUNTIF(F415:AI415,"+")+COUNTIF(F415:AI415,"1"))</f>
        <v/>
      </c>
      <c r="D415" s="4">
        <f>IF(A415="","",IF(C415&gt;2*COUNTA(F$413:AI$413)/3,'Общий'!$M$11,IF(C415&gt;=COUNTA(F$413:AI$413)/2,'Общий'!$M$12,'Общий'!$M$13)))</f>
        <v/>
      </c>
      <c r="E415" s="4">
        <f>IF(A415="","",SUMIFS('Логи'!$H$7:$H$3006,'Логи'!$A$7:$A$3006,7,'Логи'!$B$7:$B$3006,1,'Логи'!$C$7:$C$3006,A415))</f>
        <v/>
      </c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4" t="inlineStr">
        <is>
          <t>Студент1.3</t>
        </is>
      </c>
      <c r="B416" s="4" t="inlineStr"/>
      <c r="C416" s="4">
        <f>IF(A416="","",COUNTIF(F416:AI416,"+")+COUNTIF(F416:AI416,"1"))</f>
        <v/>
      </c>
      <c r="D416" s="4">
        <f>IF(A416="","",IF(C416&gt;2*COUNTA(F$413:AI$413)/3,'Общий'!$M$11,IF(C416&gt;=COUNTA(F$413:AI$413)/2,'Общий'!$M$12,'Общий'!$M$13)))</f>
        <v/>
      </c>
      <c r="E416" s="4">
        <f>IF(A416="","",SUMIFS('Логи'!$H$7:$H$3006,'Логи'!$A$7:$A$3006,7,'Логи'!$B$7:$B$3006,1,'Логи'!$C$7:$C$3006,A416))</f>
        <v/>
      </c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</row>
    <row r="417">
      <c r="A417" s="4" t="inlineStr">
        <is>
          <t>Студент1.4</t>
        </is>
      </c>
      <c r="B417" s="4" t="inlineStr"/>
      <c r="C417" s="4">
        <f>IF(A417="","",COUNTIF(F417:AI417,"+")+COUNTIF(F417:AI417,"1"))</f>
        <v/>
      </c>
      <c r="D417" s="4">
        <f>IF(A417="","",IF(C417&gt;2*COUNTA(F$413:AI$413)/3,'Общий'!$M$11,IF(C417&gt;=COUNTA(F$413:AI$413)/2,'Общий'!$M$12,'Общий'!$M$13)))</f>
        <v/>
      </c>
      <c r="E417" s="4">
        <f>IF(A417="","",SUMIFS('Логи'!$H$7:$H$3006,'Логи'!$A$7:$A$3006,7,'Логи'!$B$7:$B$3006,1,'Логи'!$C$7:$C$3006,A417))</f>
        <v/>
      </c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4" t="inlineStr">
        <is>
          <t>Студент1.5</t>
        </is>
      </c>
      <c r="B418" s="4" t="inlineStr"/>
      <c r="C418" s="4">
        <f>IF(A418="","",COUNTIF(F418:AI418,"+")+COUNTIF(F418:AI418,"1"))</f>
        <v/>
      </c>
      <c r="D418" s="4">
        <f>IF(A418="","",IF(C418&gt;2*COUNTA(F$413:AI$413)/3,'Общий'!$M$11,IF(C418&gt;=COUNTA(F$413:AI$413)/2,'Общий'!$M$12,'Общий'!$M$13)))</f>
        <v/>
      </c>
      <c r="E418" s="4">
        <f>IF(A418="","",SUMIFS('Логи'!$H$7:$H$3006,'Логи'!$A$7:$A$3006,7,'Логи'!$B$7:$B$3006,1,'Логи'!$C$7:$C$3006,A418))</f>
        <v/>
      </c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</row>
    <row r="419">
      <c r="A419" s="4" t="inlineStr">
        <is>
          <t>Студент1.6</t>
        </is>
      </c>
      <c r="B419" s="4" t="inlineStr"/>
      <c r="C419" s="4">
        <f>IF(A419="","",COUNTIF(F419:AI419,"+")+COUNTIF(F419:AI419,"1"))</f>
        <v/>
      </c>
      <c r="D419" s="4">
        <f>IF(A419="","",IF(C419&gt;2*COUNTA(F$413:AI$413)/3,'Общий'!$M$11,IF(C419&gt;=COUNTA(F$413:AI$413)/2,'Общий'!$M$12,'Общий'!$M$13)))</f>
        <v/>
      </c>
      <c r="E419" s="4">
        <f>IF(A419="","",SUMIFS('Логи'!$H$7:$H$3006,'Логи'!$A$7:$A$3006,7,'Логи'!$B$7:$B$3006,1,'Логи'!$C$7:$C$3006,A419))</f>
        <v/>
      </c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4" t="inlineStr">
        <is>
          <t>Студент1.7</t>
        </is>
      </c>
      <c r="B420" s="4" t="inlineStr"/>
      <c r="C420" s="4">
        <f>IF(A420="","",COUNTIF(F420:AI420,"+")+COUNTIF(F420:AI420,"1"))</f>
        <v/>
      </c>
      <c r="D420" s="4">
        <f>IF(A420="","",IF(C420&gt;2*COUNTA(F$413:AI$413)/3,'Общий'!$M$11,IF(C420&gt;=COUNTA(F$413:AI$413)/2,'Общий'!$M$12,'Общий'!$M$13)))</f>
        <v/>
      </c>
      <c r="E420" s="4">
        <f>IF(A420="","",SUMIFS('Логи'!$H$7:$H$3006,'Логи'!$A$7:$A$3006,7,'Логи'!$B$7:$B$3006,1,'Логи'!$C$7:$C$3006,A420))</f>
        <v/>
      </c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</row>
    <row r="421">
      <c r="A421" s="4" t="inlineStr">
        <is>
          <t>Студент1.8</t>
        </is>
      </c>
      <c r="B421" s="4" t="inlineStr"/>
      <c r="C421" s="4">
        <f>IF(A421="","",COUNTIF(F421:AI421,"+")+COUNTIF(F421:AI421,"1"))</f>
        <v/>
      </c>
      <c r="D421" s="4">
        <f>IF(A421="","",IF(C421&gt;2*COUNTA(F$413:AI$413)/3,'Общий'!$M$11,IF(C421&gt;=COUNTA(F$413:AI$413)/2,'Общий'!$M$12,'Общий'!$M$13)))</f>
        <v/>
      </c>
      <c r="E421" s="4">
        <f>IF(A421="","",SUMIFS('Логи'!$H$7:$H$3006,'Логи'!$A$7:$A$3006,7,'Логи'!$B$7:$B$3006,1,'Логи'!$C$7:$C$3006,A421))</f>
        <v/>
      </c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4" t="inlineStr">
        <is>
          <t>Студент1.9</t>
        </is>
      </c>
      <c r="B422" s="4" t="inlineStr"/>
      <c r="C422" s="4">
        <f>IF(A422="","",COUNTIF(F422:AI422,"+")+COUNTIF(F422:AI422,"1"))</f>
        <v/>
      </c>
      <c r="D422" s="4">
        <f>IF(A422="","",IF(C422&gt;2*COUNTA(F$413:AI$413)/3,'Общий'!$M$11,IF(C422&gt;=COUNTA(F$413:AI$413)/2,'Общий'!$M$12,'Общий'!$M$13)))</f>
        <v/>
      </c>
      <c r="E422" s="4">
        <f>IF(A422="","",SUMIFS('Логи'!$H$7:$H$3006,'Логи'!$A$7:$A$3006,7,'Логи'!$B$7:$B$3006,1,'Логи'!$C$7:$C$3006,A422))</f>
        <v/>
      </c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</row>
    <row r="423">
      <c r="A423" s="4" t="inlineStr">
        <is>
          <t>Студент1.10</t>
        </is>
      </c>
      <c r="B423" s="4" t="inlineStr"/>
      <c r="C423" s="4">
        <f>IF(A423="","",COUNTIF(F423:AI423,"+")+COUNTIF(F423:AI423,"1"))</f>
        <v/>
      </c>
      <c r="D423" s="4">
        <f>IF(A423="","",IF(C423&gt;2*COUNTA(F$413:AI$413)/3,'Общий'!$M$11,IF(C423&gt;=COUNTA(F$413:AI$413)/2,'Общий'!$M$12,'Общий'!$M$13)))</f>
        <v/>
      </c>
      <c r="E423" s="4">
        <f>IF(A423="","",SUMIFS('Логи'!$H$7:$H$3006,'Логи'!$A$7:$A$3006,7,'Логи'!$B$7:$B$3006,1,'Логи'!$C$7:$C$3006,A423))</f>
        <v/>
      </c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4" t="inlineStr">
        <is>
          <t>Студент1.11</t>
        </is>
      </c>
      <c r="B424" s="4" t="inlineStr"/>
      <c r="C424" s="4">
        <f>IF(A424="","",COUNTIF(F424:AI424,"+")+COUNTIF(F424:AI424,"1"))</f>
        <v/>
      </c>
      <c r="D424" s="4">
        <f>IF(A424="","",IF(C424&gt;2*COUNTA(F$413:AI$413)/3,'Общий'!$M$11,IF(C424&gt;=COUNTA(F$413:AI$413)/2,'Общий'!$M$12,'Общий'!$M$13)))</f>
        <v/>
      </c>
      <c r="E424" s="4">
        <f>IF(A424="","",SUMIFS('Логи'!$H$7:$H$3006,'Логи'!$A$7:$A$3006,7,'Логи'!$B$7:$B$3006,1,'Логи'!$C$7:$C$3006,A424))</f>
        <v/>
      </c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</row>
    <row r="425">
      <c r="A425" s="4" t="inlineStr">
        <is>
          <t>Студент1.12</t>
        </is>
      </c>
      <c r="B425" s="4" t="inlineStr"/>
      <c r="C425" s="4">
        <f>IF(A425="","",COUNTIF(F425:AI425,"+")+COUNTIF(F425:AI425,"1"))</f>
        <v/>
      </c>
      <c r="D425" s="4">
        <f>IF(A425="","",IF(C425&gt;2*COUNTA(F$413:AI$413)/3,'Общий'!$M$11,IF(C425&gt;=COUNTA(F$413:AI$413)/2,'Общий'!$M$12,'Общий'!$M$13)))</f>
        <v/>
      </c>
      <c r="E425" s="4">
        <f>IF(A425="","",SUMIFS('Логи'!$H$7:$H$3006,'Логи'!$A$7:$A$3006,7,'Логи'!$B$7:$B$3006,1,'Логи'!$C$7:$C$3006,A425))</f>
        <v/>
      </c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4" t="inlineStr">
        <is>
          <t>Студент1.13</t>
        </is>
      </c>
      <c r="B426" s="4" t="inlineStr"/>
      <c r="C426" s="4">
        <f>IF(A426="","",COUNTIF(F426:AI426,"+")+COUNTIF(F426:AI426,"1"))</f>
        <v/>
      </c>
      <c r="D426" s="4">
        <f>IF(A426="","",IF(C426&gt;2*COUNTA(F$413:AI$413)/3,'Общий'!$M$11,IF(C426&gt;=COUNTA(F$413:AI$413)/2,'Общий'!$M$12,'Общий'!$M$13)))</f>
        <v/>
      </c>
      <c r="E426" s="4">
        <f>IF(A426="","",SUMIFS('Логи'!$H$7:$H$3006,'Логи'!$A$7:$A$3006,7,'Логи'!$B$7:$B$3006,1,'Логи'!$C$7:$C$3006,A426))</f>
        <v/>
      </c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</row>
    <row r="427">
      <c r="A427" s="4" t="inlineStr">
        <is>
          <t>Студент1.14</t>
        </is>
      </c>
      <c r="B427" s="4" t="inlineStr"/>
      <c r="C427" s="4">
        <f>IF(A427="","",COUNTIF(F427:AI427,"+")+COUNTIF(F427:AI427,"1"))</f>
        <v/>
      </c>
      <c r="D427" s="4">
        <f>IF(A427="","",IF(C427&gt;2*COUNTA(F$413:AI$413)/3,'Общий'!$M$11,IF(C427&gt;=COUNTA(F$413:AI$413)/2,'Общий'!$M$12,'Общий'!$M$13)))</f>
        <v/>
      </c>
      <c r="E427" s="4">
        <f>IF(A427="","",SUMIFS('Логи'!$H$7:$H$3006,'Логи'!$A$7:$A$3006,7,'Логи'!$B$7:$B$3006,1,'Логи'!$C$7:$C$3006,A427))</f>
        <v/>
      </c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4" t="inlineStr">
        <is>
          <t>Студент1.15</t>
        </is>
      </c>
      <c r="B428" s="4" t="inlineStr"/>
      <c r="C428" s="4">
        <f>IF(A428="","",COUNTIF(F428:AI428,"+")+COUNTIF(F428:AI428,"1"))</f>
        <v/>
      </c>
      <c r="D428" s="4">
        <f>IF(A428="","",IF(C428&gt;2*COUNTA(F$413:AI$413)/3,'Общий'!$M$11,IF(C428&gt;=COUNTA(F$413:AI$413)/2,'Общий'!$M$12,'Общий'!$M$13)))</f>
        <v/>
      </c>
      <c r="E428" s="4">
        <f>IF(A428="","",SUMIFS('Логи'!$H$7:$H$3006,'Логи'!$A$7:$A$3006,7,'Логи'!$B$7:$B$3006,1,'Логи'!$C$7:$C$3006,A428))</f>
        <v/>
      </c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</row>
    <row r="429">
      <c r="A429" s="4" t="inlineStr">
        <is>
          <t>Студент1.16</t>
        </is>
      </c>
      <c r="B429" s="4" t="inlineStr"/>
      <c r="C429" s="4">
        <f>IF(A429="","",COUNTIF(F429:AI429,"+")+COUNTIF(F429:AI429,"1"))</f>
        <v/>
      </c>
      <c r="D429" s="4">
        <f>IF(A429="","",IF(C429&gt;2*COUNTA(F$413:AI$413)/3,'Общий'!$M$11,IF(C429&gt;=COUNTA(F$413:AI$413)/2,'Общий'!$M$12,'Общий'!$M$13)))</f>
        <v/>
      </c>
      <c r="E429" s="4">
        <f>IF(A429="","",SUMIFS('Логи'!$H$7:$H$3006,'Логи'!$A$7:$A$3006,7,'Логи'!$B$7:$B$3006,1,'Логи'!$C$7:$C$3006,A429))</f>
        <v/>
      </c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4" t="inlineStr">
        <is>
          <t>Студент1.17</t>
        </is>
      </c>
      <c r="B430" s="4" t="inlineStr"/>
      <c r="C430" s="4">
        <f>IF(A430="","",COUNTIF(F430:AI430,"+")+COUNTIF(F430:AI430,"1"))</f>
        <v/>
      </c>
      <c r="D430" s="4">
        <f>IF(A430="","",IF(C430&gt;2*COUNTA(F$413:AI$413)/3,'Общий'!$M$11,IF(C430&gt;=COUNTA(F$413:AI$413)/2,'Общий'!$M$12,'Общий'!$M$13)))</f>
        <v/>
      </c>
      <c r="E430" s="4">
        <f>IF(A430="","",SUMIFS('Логи'!$H$7:$H$3006,'Логи'!$A$7:$A$3006,7,'Логи'!$B$7:$B$3006,1,'Логи'!$C$7:$C$3006,A430))</f>
        <v/>
      </c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</row>
    <row r="431">
      <c r="A431" s="4" t="inlineStr">
        <is>
          <t>Студент1.18</t>
        </is>
      </c>
      <c r="B431" s="4" t="inlineStr"/>
      <c r="C431" s="4">
        <f>IF(A431="","",COUNTIF(F431:AI431,"+")+COUNTIF(F431:AI431,"1"))</f>
        <v/>
      </c>
      <c r="D431" s="4">
        <f>IF(A431="","",IF(C431&gt;2*COUNTA(F$413:AI$413)/3,'Общий'!$M$11,IF(C431&gt;=COUNTA(F$413:AI$413)/2,'Общий'!$M$12,'Общий'!$M$13)))</f>
        <v/>
      </c>
      <c r="E431" s="4">
        <f>IF(A431="","",SUMIFS('Логи'!$H$7:$H$3006,'Логи'!$A$7:$A$3006,7,'Логи'!$B$7:$B$3006,1,'Логи'!$C$7:$C$3006,A431))</f>
        <v/>
      </c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4" t="inlineStr">
        <is>
          <t>Студент1.19</t>
        </is>
      </c>
      <c r="B432" s="4" t="inlineStr"/>
      <c r="C432" s="4">
        <f>IF(A432="","",COUNTIF(F432:AI432,"+")+COUNTIF(F432:AI432,"1"))</f>
        <v/>
      </c>
      <c r="D432" s="4">
        <f>IF(A432="","",IF(C432&gt;2*COUNTA(F$413:AI$413)/3,'Общий'!$M$11,IF(C432&gt;=COUNTA(F$413:AI$413)/2,'Общий'!$M$12,'Общий'!$M$13)))</f>
        <v/>
      </c>
      <c r="E432" s="4">
        <f>IF(A432="","",SUMIFS('Логи'!$H$7:$H$3006,'Логи'!$A$7:$A$3006,7,'Логи'!$B$7:$B$3006,1,'Логи'!$C$7:$C$3006,A432))</f>
        <v/>
      </c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</row>
    <row r="433">
      <c r="A433" s="4" t="inlineStr">
        <is>
          <t>Студент1.20</t>
        </is>
      </c>
      <c r="B433" s="4" t="inlineStr"/>
      <c r="C433" s="4">
        <f>IF(A433="","",COUNTIF(F433:AI433,"+")+COUNTIF(F433:AI433,"1"))</f>
        <v/>
      </c>
      <c r="D433" s="4">
        <f>IF(A433="","",IF(C433&gt;2*COUNTA(F$413:AI$413)/3,'Общий'!$M$11,IF(C433&gt;=COUNTA(F$413:AI$413)/2,'Общий'!$M$12,'Общий'!$M$13)))</f>
        <v/>
      </c>
      <c r="E433" s="4">
        <f>IF(A433="","",SUMIFS('Логи'!$H$7:$H$3006,'Логи'!$A$7:$A$3006,7,'Логи'!$B$7:$B$3006,1,'Логи'!$C$7:$C$3006,A433))</f>
        <v/>
      </c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4" t="inlineStr">
        <is>
          <t>Студент1.21</t>
        </is>
      </c>
      <c r="B434" s="4" t="inlineStr"/>
      <c r="C434" s="4">
        <f>IF(A434="","",COUNTIF(F434:AI434,"+")+COUNTIF(F434:AI434,"1"))</f>
        <v/>
      </c>
      <c r="D434" s="4">
        <f>IF(A434="","",IF(C434&gt;2*COUNTA(F$413:AI$413)/3,'Общий'!$M$11,IF(C434&gt;=COUNTA(F$413:AI$413)/2,'Общий'!$M$12,'Общий'!$M$13)))</f>
        <v/>
      </c>
      <c r="E434" s="4">
        <f>IF(A434="","",SUMIFS('Логи'!$H$7:$H$3006,'Логи'!$A$7:$A$3006,7,'Логи'!$B$7:$B$3006,1,'Логи'!$C$7:$C$3006,A434))</f>
        <v/>
      </c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</row>
    <row r="435">
      <c r="A435" s="4" t="inlineStr">
        <is>
          <t>Студент1.22</t>
        </is>
      </c>
      <c r="B435" s="4" t="inlineStr"/>
      <c r="C435" s="4">
        <f>IF(A435="","",COUNTIF(F435:AI435,"+")+COUNTIF(F435:AI435,"1"))</f>
        <v/>
      </c>
      <c r="D435" s="4">
        <f>IF(A435="","",IF(C435&gt;2*COUNTA(F$413:AI$413)/3,'Общий'!$M$11,IF(C435&gt;=COUNTA(F$413:AI$413)/2,'Общий'!$M$12,'Общий'!$M$13)))</f>
        <v/>
      </c>
      <c r="E435" s="4">
        <f>IF(A435="","",SUMIFS('Логи'!$H$7:$H$3006,'Логи'!$A$7:$A$3006,7,'Логи'!$B$7:$B$3006,1,'Логи'!$C$7:$C$3006,A435))</f>
        <v/>
      </c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4" t="inlineStr">
        <is>
          <t>Студент1.23</t>
        </is>
      </c>
      <c r="B436" s="4" t="inlineStr"/>
      <c r="C436" s="4">
        <f>IF(A436="","",COUNTIF(F436:AI436,"+")+COUNTIF(F436:AI436,"1"))</f>
        <v/>
      </c>
      <c r="D436" s="4">
        <f>IF(A436="","",IF(C436&gt;2*COUNTA(F$413:AI$413)/3,'Общий'!$M$11,IF(C436&gt;=COUNTA(F$413:AI$413)/2,'Общий'!$M$12,'Общий'!$M$13)))</f>
        <v/>
      </c>
      <c r="E436" s="4">
        <f>IF(A436="","",SUMIFS('Логи'!$H$7:$H$3006,'Логи'!$A$7:$A$3006,7,'Логи'!$B$7:$B$3006,1,'Логи'!$C$7:$C$3006,A436))</f>
        <v/>
      </c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</row>
    <row r="437">
      <c r="A437" s="4" t="inlineStr">
        <is>
          <t>Студент1.24</t>
        </is>
      </c>
      <c r="B437" s="4" t="inlineStr"/>
      <c r="C437" s="4">
        <f>IF(A437="","",COUNTIF(F437:AI437,"+")+COUNTIF(F437:AI437,"1"))</f>
        <v/>
      </c>
      <c r="D437" s="4">
        <f>IF(A437="","",IF(C437&gt;2*COUNTA(F$413:AI$413)/3,'Общий'!$M$11,IF(C437&gt;=COUNTA(F$413:AI$413)/2,'Общий'!$M$12,'Общий'!$M$13)))</f>
        <v/>
      </c>
      <c r="E437" s="4">
        <f>IF(A437="","",SUMIFS('Логи'!$H$7:$H$3006,'Логи'!$A$7:$A$3006,7,'Логи'!$B$7:$B$3006,1,'Логи'!$C$7:$C$3006,A437))</f>
        <v/>
      </c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4" t="inlineStr">
        <is>
          <t>Студент1.25</t>
        </is>
      </c>
      <c r="B438" s="4" t="inlineStr"/>
      <c r="C438" s="4">
        <f>IF(A438="","",COUNTIF(F438:AI438,"+")+COUNTIF(F438:AI438,"1"))</f>
        <v/>
      </c>
      <c r="D438" s="4">
        <f>IF(A438="","",IF(C438&gt;2*COUNTA(F$413:AI$413)/3,'Общий'!$M$11,IF(C438&gt;=COUNTA(F$413:AI$413)/2,'Общий'!$M$12,'Общий'!$M$13)))</f>
        <v/>
      </c>
      <c r="E438" s="4">
        <f>IF(A438="","",SUMIFS('Логи'!$H$7:$H$3006,'Логи'!$A$7:$A$3006,7,'Логи'!$B$7:$B$3006,1,'Логи'!$C$7:$C$3006,A438))</f>
        <v/>
      </c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</row>
    <row r="439">
      <c r="A439" s="4" t="inlineStr">
        <is>
          <t>Студент1.26</t>
        </is>
      </c>
      <c r="B439" s="4" t="inlineStr"/>
      <c r="C439" s="4">
        <f>IF(A439="","",COUNTIF(F439:AI439,"+")+COUNTIF(F439:AI439,"1"))</f>
        <v/>
      </c>
      <c r="D439" s="4">
        <f>IF(A439="","",IF(C439&gt;2*COUNTA(F$413:AI$413)/3,'Общий'!$M$11,IF(C439&gt;=COUNTA(F$413:AI$413)/2,'Общий'!$M$12,'Общий'!$M$13)))</f>
        <v/>
      </c>
      <c r="E439" s="4">
        <f>IF(A439="","",SUMIFS('Логи'!$H$7:$H$3006,'Логи'!$A$7:$A$3006,7,'Логи'!$B$7:$B$3006,1,'Логи'!$C$7:$C$3006,A439))</f>
        <v/>
      </c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4" t="inlineStr">
        <is>
          <t>Студент1.27</t>
        </is>
      </c>
      <c r="B440" s="4" t="inlineStr"/>
      <c r="C440" s="4">
        <f>IF(A440="","",COUNTIF(F440:AI440,"+")+COUNTIF(F440:AI440,"1"))</f>
        <v/>
      </c>
      <c r="D440" s="4">
        <f>IF(A440="","",IF(C440&gt;2*COUNTA(F$413:AI$413)/3,'Общий'!$M$11,IF(C440&gt;=COUNTA(F$413:AI$413)/2,'Общий'!$M$12,'Общий'!$M$13)))</f>
        <v/>
      </c>
      <c r="E440" s="4">
        <f>IF(A440="","",SUMIFS('Логи'!$H$7:$H$3006,'Логи'!$A$7:$A$3006,7,'Логи'!$B$7:$B$3006,1,'Логи'!$C$7:$C$3006,A440))</f>
        <v/>
      </c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</row>
    <row r="441">
      <c r="A441" s="4" t="inlineStr">
        <is>
          <t>Студент1.28</t>
        </is>
      </c>
      <c r="B441" s="4" t="inlineStr"/>
      <c r="C441" s="4">
        <f>IF(A441="","",COUNTIF(F441:AI441,"+")+COUNTIF(F441:AI441,"1"))</f>
        <v/>
      </c>
      <c r="D441" s="4">
        <f>IF(A441="","",IF(C441&gt;2*COUNTA(F$413:AI$413)/3,'Общий'!$M$11,IF(C441&gt;=COUNTA(F$413:AI$413)/2,'Общий'!$M$12,'Общий'!$M$13)))</f>
        <v/>
      </c>
      <c r="E441" s="4">
        <f>IF(A441="","",SUMIFS('Логи'!$H$7:$H$3006,'Логи'!$A$7:$A$3006,7,'Логи'!$B$7:$B$3006,1,'Логи'!$C$7:$C$3006,A441))</f>
        <v/>
      </c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4" t="inlineStr">
        <is>
          <t>Студент1.29</t>
        </is>
      </c>
      <c r="B442" s="4" t="inlineStr"/>
      <c r="C442" s="4">
        <f>IF(A442="","",COUNTIF(F442:AI442,"+")+COUNTIF(F442:AI442,"1"))</f>
        <v/>
      </c>
      <c r="D442" s="4">
        <f>IF(A442="","",IF(C442&gt;2*COUNTA(F$413:AI$413)/3,'Общий'!$M$11,IF(C442&gt;=COUNTA(F$413:AI$413)/2,'Общий'!$M$12,'Общий'!$M$13)))</f>
        <v/>
      </c>
      <c r="E442" s="4">
        <f>IF(A442="","",SUMIFS('Логи'!$H$7:$H$3006,'Логи'!$A$7:$A$3006,7,'Логи'!$B$7:$B$3006,1,'Логи'!$C$7:$C$3006,A442))</f>
        <v/>
      </c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</row>
    <row r="443">
      <c r="A443" s="4" t="inlineStr">
        <is>
          <t>Студент1.30</t>
        </is>
      </c>
      <c r="B443" s="4" t="inlineStr"/>
      <c r="C443" s="4">
        <f>IF(A443="","",COUNTIF(F443:AI443,"+")+COUNTIF(F443:AI443,"1"))</f>
        <v/>
      </c>
      <c r="D443" s="4">
        <f>IF(A443="","",IF(C443&gt;2*COUNTA(F$413:AI$413)/3,'Общий'!$M$11,IF(C443&gt;=COUNTA(F$413:AI$413)/2,'Общий'!$M$12,'Общий'!$M$13)))</f>
        <v/>
      </c>
      <c r="E443" s="4">
        <f>IF(A443="","",SUMIFS('Логи'!$H$7:$H$3006,'Логи'!$A$7:$A$3006,7,'Логи'!$B$7:$B$3006,1,'Логи'!$C$7:$C$3006,A443))</f>
        <v/>
      </c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5">
      <c r="A445" s="19" t="inlineStr">
        <is>
          <t>Практика 7 — результаты рассказа</t>
        </is>
      </c>
    </row>
    <row r="446" ht="28" customHeight="1">
      <c r="A446" s="9" t="inlineStr">
        <is>
          <t>Имя</t>
        </is>
      </c>
      <c r="B446" s="11" t="inlineStr">
        <is>
          <t>TG</t>
        </is>
      </c>
      <c r="C446" s="12" t="inlineStr"/>
      <c r="D446" s="3" t="inlineStr"/>
      <c r="E446" s="3" t="inlineStr"/>
      <c r="F446" s="13" t="inlineStr">
        <is>
          <t>1.0</t>
        </is>
      </c>
      <c r="G446" s="13" t="inlineStr">
        <is>
          <t>2.0</t>
        </is>
      </c>
      <c r="H446" s="13" t="inlineStr">
        <is>
          <t>3.0</t>
        </is>
      </c>
      <c r="I446" s="13" t="inlineStr">
        <is>
          <t>4.0</t>
        </is>
      </c>
      <c r="J446" s="13" t="inlineStr">
        <is>
          <t>5.0</t>
        </is>
      </c>
      <c r="K446" s="13" t="inlineStr">
        <is>
          <t>6</t>
        </is>
      </c>
      <c r="L446" s="13" t="inlineStr">
        <is>
          <t>7</t>
        </is>
      </c>
      <c r="M446" s="13" t="inlineStr">
        <is>
          <t>8</t>
        </is>
      </c>
      <c r="N446" s="13" t="inlineStr">
        <is>
          <t>9</t>
        </is>
      </c>
      <c r="O446" s="13" t="inlineStr">
        <is>
          <t>10</t>
        </is>
      </c>
      <c r="P446" s="13" t="inlineStr">
        <is>
          <t>11</t>
        </is>
      </c>
      <c r="Q446" s="13" t="inlineStr">
        <is>
          <t>12</t>
        </is>
      </c>
      <c r="R446" s="13" t="inlineStr">
        <is>
          <t>13</t>
        </is>
      </c>
      <c r="S446" s="13" t="inlineStr">
        <is>
          <t>14</t>
        </is>
      </c>
      <c r="T446" s="13" t="inlineStr">
        <is>
          <t>15</t>
        </is>
      </c>
      <c r="U446" s="13" t="inlineStr">
        <is>
          <t>16</t>
        </is>
      </c>
      <c r="V446" s="13" t="inlineStr">
        <is>
          <t>17</t>
        </is>
      </c>
      <c r="W446" s="13" t="inlineStr">
        <is>
          <t>18</t>
        </is>
      </c>
      <c r="X446" s="13" t="inlineStr">
        <is>
          <t>19</t>
        </is>
      </c>
      <c r="Y446" s="13" t="inlineStr">
        <is>
          <t>20</t>
        </is>
      </c>
      <c r="Z446" s="13" t="inlineStr">
        <is>
          <t>21</t>
        </is>
      </c>
      <c r="AA446" s="13" t="inlineStr">
        <is>
          <t>22</t>
        </is>
      </c>
      <c r="AB446" s="13" t="inlineStr">
        <is>
          <t>23</t>
        </is>
      </c>
      <c r="AC446" s="13" t="inlineStr">
        <is>
          <t>24</t>
        </is>
      </c>
      <c r="AD446" s="13" t="inlineStr">
        <is>
          <t>25</t>
        </is>
      </c>
      <c r="AE446" s="13" t="inlineStr">
        <is>
          <t>26</t>
        </is>
      </c>
      <c r="AF446" s="13" t="inlineStr">
        <is>
          <t>27</t>
        </is>
      </c>
      <c r="AG446" s="13" t="inlineStr">
        <is>
          <t>28</t>
        </is>
      </c>
      <c r="AH446" s="13" t="inlineStr">
        <is>
          <t>29</t>
        </is>
      </c>
      <c r="AI446" s="13" t="inlineStr">
        <is>
          <t>30</t>
        </is>
      </c>
    </row>
    <row r="447">
      <c r="A447" s="4" t="inlineStr">
        <is>
          <t>Студент1.1</t>
        </is>
      </c>
      <c r="B447" s="4" t="inlineStr"/>
      <c r="C447" s="4" t="n"/>
      <c r="D447" s="4" t="n"/>
      <c r="E447" s="4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4" t="inlineStr">
        <is>
          <t>Студент1.2</t>
        </is>
      </c>
      <c r="B448" s="4" t="inlineStr"/>
      <c r="C448" s="4" t="n"/>
      <c r="D448" s="4" t="n"/>
      <c r="E448" s="4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</row>
    <row r="449">
      <c r="A449" s="4" t="inlineStr">
        <is>
          <t>Студент1.3</t>
        </is>
      </c>
      <c r="B449" s="4" t="inlineStr"/>
      <c r="C449" s="4" t="n"/>
      <c r="D449" s="4" t="n"/>
      <c r="E449" s="4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4" t="inlineStr">
        <is>
          <t>Студент1.4</t>
        </is>
      </c>
      <c r="B450" s="4" t="inlineStr"/>
      <c r="C450" s="4" t="n"/>
      <c r="D450" s="4" t="n"/>
      <c r="E450" s="4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</row>
    <row r="451">
      <c r="A451" s="4" t="inlineStr">
        <is>
          <t>Студент1.5</t>
        </is>
      </c>
      <c r="B451" s="4" t="inlineStr"/>
      <c r="C451" s="4" t="n"/>
      <c r="D451" s="4" t="n"/>
      <c r="E451" s="4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4" t="inlineStr">
        <is>
          <t>Студент1.6</t>
        </is>
      </c>
      <c r="B452" s="4" t="inlineStr"/>
      <c r="C452" s="4" t="n"/>
      <c r="D452" s="4" t="n"/>
      <c r="E452" s="4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</row>
    <row r="453">
      <c r="A453" s="4" t="inlineStr">
        <is>
          <t>Студент1.7</t>
        </is>
      </c>
      <c r="B453" s="4" t="inlineStr"/>
      <c r="C453" s="4" t="n"/>
      <c r="D453" s="4" t="n"/>
      <c r="E453" s="4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4" t="inlineStr">
        <is>
          <t>Студент1.8</t>
        </is>
      </c>
      <c r="B454" s="4" t="inlineStr"/>
      <c r="C454" s="4" t="n"/>
      <c r="D454" s="4" t="n"/>
      <c r="E454" s="4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</row>
    <row r="455">
      <c r="A455" s="4" t="inlineStr">
        <is>
          <t>Студент1.9</t>
        </is>
      </c>
      <c r="B455" s="4" t="inlineStr"/>
      <c r="C455" s="4" t="n"/>
      <c r="D455" s="4" t="n"/>
      <c r="E455" s="4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4" t="inlineStr">
        <is>
          <t>Студент1.10</t>
        </is>
      </c>
      <c r="B456" s="4" t="inlineStr"/>
      <c r="C456" s="4" t="n"/>
      <c r="D456" s="4" t="n"/>
      <c r="E456" s="4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</row>
    <row r="457">
      <c r="A457" s="4" t="inlineStr">
        <is>
          <t>Студент1.11</t>
        </is>
      </c>
      <c r="B457" s="4" t="inlineStr"/>
      <c r="C457" s="4" t="n"/>
      <c r="D457" s="4" t="n"/>
      <c r="E457" s="4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4" t="inlineStr">
        <is>
          <t>Студент1.12</t>
        </is>
      </c>
      <c r="B458" s="4" t="inlineStr"/>
      <c r="C458" s="4" t="n"/>
      <c r="D458" s="4" t="n"/>
      <c r="E458" s="4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</row>
    <row r="459">
      <c r="A459" s="4" t="inlineStr">
        <is>
          <t>Студент1.13</t>
        </is>
      </c>
      <c r="B459" s="4" t="inlineStr"/>
      <c r="C459" s="4" t="n"/>
      <c r="D459" s="4" t="n"/>
      <c r="E459" s="4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4" t="inlineStr">
        <is>
          <t>Студент1.14</t>
        </is>
      </c>
      <c r="B460" s="4" t="inlineStr"/>
      <c r="C460" s="4" t="n"/>
      <c r="D460" s="4" t="n"/>
      <c r="E460" s="4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</row>
    <row r="461">
      <c r="A461" s="4" t="inlineStr">
        <is>
          <t>Студент1.15</t>
        </is>
      </c>
      <c r="B461" s="4" t="inlineStr"/>
      <c r="C461" s="4" t="n"/>
      <c r="D461" s="4" t="n"/>
      <c r="E461" s="4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4" t="inlineStr">
        <is>
          <t>Студент1.16</t>
        </is>
      </c>
      <c r="B462" s="4" t="inlineStr"/>
      <c r="C462" s="4" t="n"/>
      <c r="D462" s="4" t="n"/>
      <c r="E462" s="4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</row>
    <row r="463">
      <c r="A463" s="4" t="inlineStr">
        <is>
          <t>Студент1.17</t>
        </is>
      </c>
      <c r="B463" s="4" t="inlineStr"/>
      <c r="C463" s="4" t="n"/>
      <c r="D463" s="4" t="n"/>
      <c r="E463" s="4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4" t="inlineStr">
        <is>
          <t>Студент1.18</t>
        </is>
      </c>
      <c r="B464" s="4" t="inlineStr"/>
      <c r="C464" s="4" t="n"/>
      <c r="D464" s="4" t="n"/>
      <c r="E464" s="4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</row>
    <row r="465">
      <c r="A465" s="4" t="inlineStr">
        <is>
          <t>Студент1.19</t>
        </is>
      </c>
      <c r="B465" s="4" t="inlineStr"/>
      <c r="C465" s="4" t="n"/>
      <c r="D465" s="4" t="n"/>
      <c r="E465" s="4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4" t="inlineStr">
        <is>
          <t>Студент1.20</t>
        </is>
      </c>
      <c r="B466" s="4" t="inlineStr"/>
      <c r="C466" s="4" t="n"/>
      <c r="D466" s="4" t="n"/>
      <c r="E466" s="4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</row>
    <row r="467">
      <c r="A467" s="4" t="inlineStr">
        <is>
          <t>Студент1.21</t>
        </is>
      </c>
      <c r="B467" s="4" t="inlineStr"/>
      <c r="C467" s="4" t="n"/>
      <c r="D467" s="4" t="n"/>
      <c r="E467" s="4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4" t="inlineStr">
        <is>
          <t>Студент1.22</t>
        </is>
      </c>
      <c r="B468" s="4" t="inlineStr"/>
      <c r="C468" s="4" t="n"/>
      <c r="D468" s="4" t="n"/>
      <c r="E468" s="4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</row>
    <row r="469">
      <c r="A469" s="4" t="inlineStr">
        <is>
          <t>Студент1.23</t>
        </is>
      </c>
      <c r="B469" s="4" t="inlineStr"/>
      <c r="C469" s="4" t="n"/>
      <c r="D469" s="4" t="n"/>
      <c r="E469" s="4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4" t="inlineStr">
        <is>
          <t>Студент1.24</t>
        </is>
      </c>
      <c r="B470" s="4" t="inlineStr"/>
      <c r="C470" s="4" t="n"/>
      <c r="D470" s="4" t="n"/>
      <c r="E470" s="4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</row>
    <row r="471">
      <c r="A471" s="4" t="inlineStr">
        <is>
          <t>Студент1.25</t>
        </is>
      </c>
      <c r="B471" s="4" t="inlineStr"/>
      <c r="C471" s="4" t="n"/>
      <c r="D471" s="4" t="n"/>
      <c r="E471" s="4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4" t="inlineStr">
        <is>
          <t>Студент1.26</t>
        </is>
      </c>
      <c r="B472" s="4" t="inlineStr"/>
      <c r="C472" s="4" t="n"/>
      <c r="D472" s="4" t="n"/>
      <c r="E472" s="4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</row>
    <row r="473">
      <c r="A473" s="4" t="inlineStr">
        <is>
          <t>Студент1.27</t>
        </is>
      </c>
      <c r="B473" s="4" t="inlineStr"/>
      <c r="C473" s="4" t="n"/>
      <c r="D473" s="4" t="n"/>
      <c r="E473" s="4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4" t="inlineStr">
        <is>
          <t>Студент1.28</t>
        </is>
      </c>
      <c r="B474" s="4" t="inlineStr"/>
      <c r="C474" s="4" t="n"/>
      <c r="D474" s="4" t="n"/>
      <c r="E474" s="4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</row>
    <row r="475">
      <c r="A475" s="4" t="inlineStr">
        <is>
          <t>Студент1.29</t>
        </is>
      </c>
      <c r="B475" s="4" t="inlineStr"/>
      <c r="C475" s="4" t="n"/>
      <c r="D475" s="4" t="n"/>
      <c r="E475" s="4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4" t="inlineStr">
        <is>
          <t>Студент1.30</t>
        </is>
      </c>
      <c r="B476" s="4" t="inlineStr"/>
      <c r="C476" s="4" t="n"/>
      <c r="D476" s="4" t="n"/>
      <c r="E476" s="4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</row>
    <row r="480">
      <c r="A480" s="17" t="inlineStr">
        <is>
          <t>Практика 8 — плюсы</t>
        </is>
      </c>
    </row>
    <row r="481" ht="28" customHeight="1">
      <c r="A481" s="9" t="inlineStr">
        <is>
          <t>Имя</t>
        </is>
      </c>
      <c r="B481" s="11" t="inlineStr">
        <is>
          <t>TG</t>
        </is>
      </c>
      <c r="C481" s="12" t="inlineStr">
        <is>
          <t>S</t>
        </is>
      </c>
      <c r="D481" s="10" t="inlineStr">
        <is>
          <t>Коэффициент</t>
        </is>
      </c>
      <c r="E481" s="18" t="inlineStr">
        <is>
          <t>D за практику</t>
        </is>
      </c>
      <c r="F481" s="13" t="inlineStr">
        <is>
          <t>1.0</t>
        </is>
      </c>
      <c r="G481" s="13" t="inlineStr">
        <is>
          <t>2.0</t>
        </is>
      </c>
      <c r="H481" s="13" t="inlineStr">
        <is>
          <t>3.0</t>
        </is>
      </c>
      <c r="I481" s="13" t="inlineStr">
        <is>
          <t>4.0</t>
        </is>
      </c>
      <c r="J481" s="13" t="inlineStr">
        <is>
          <t>5.0</t>
        </is>
      </c>
      <c r="K481" s="13" t="inlineStr">
        <is>
          <t>6</t>
        </is>
      </c>
      <c r="L481" s="13" t="inlineStr">
        <is>
          <t>7</t>
        </is>
      </c>
      <c r="M481" s="13" t="inlineStr">
        <is>
          <t>8</t>
        </is>
      </c>
      <c r="N481" s="13" t="inlineStr">
        <is>
          <t>9</t>
        </is>
      </c>
      <c r="O481" s="13" t="inlineStr">
        <is>
          <t>10</t>
        </is>
      </c>
      <c r="P481" s="13" t="inlineStr">
        <is>
          <t>11</t>
        </is>
      </c>
      <c r="Q481" s="13" t="inlineStr">
        <is>
          <t>12</t>
        </is>
      </c>
      <c r="R481" s="13" t="inlineStr">
        <is>
          <t>13</t>
        </is>
      </c>
      <c r="S481" s="13" t="inlineStr">
        <is>
          <t>14</t>
        </is>
      </c>
      <c r="T481" s="13" t="inlineStr">
        <is>
          <t>15</t>
        </is>
      </c>
      <c r="U481" s="13" t="inlineStr">
        <is>
          <t>16</t>
        </is>
      </c>
      <c r="V481" s="13" t="inlineStr">
        <is>
          <t>17</t>
        </is>
      </c>
      <c r="W481" s="13" t="inlineStr">
        <is>
          <t>18</t>
        </is>
      </c>
      <c r="X481" s="13" t="inlineStr">
        <is>
          <t>19</t>
        </is>
      </c>
      <c r="Y481" s="13" t="inlineStr">
        <is>
          <t>20</t>
        </is>
      </c>
      <c r="Z481" s="13" t="inlineStr">
        <is>
          <t>21</t>
        </is>
      </c>
      <c r="AA481" s="13" t="inlineStr">
        <is>
          <t>22</t>
        </is>
      </c>
      <c r="AB481" s="13" t="inlineStr">
        <is>
          <t>23</t>
        </is>
      </c>
      <c r="AC481" s="13" t="inlineStr">
        <is>
          <t>24</t>
        </is>
      </c>
      <c r="AD481" s="13" t="inlineStr">
        <is>
          <t>25</t>
        </is>
      </c>
      <c r="AE481" s="13" t="inlineStr">
        <is>
          <t>26</t>
        </is>
      </c>
      <c r="AF481" s="13" t="inlineStr">
        <is>
          <t>27</t>
        </is>
      </c>
      <c r="AG481" s="13" t="inlineStr">
        <is>
          <t>28</t>
        </is>
      </c>
      <c r="AH481" s="13" t="inlineStr">
        <is>
          <t>29</t>
        </is>
      </c>
      <c r="AI481" s="13" t="inlineStr">
        <is>
          <t>30</t>
        </is>
      </c>
    </row>
    <row r="482">
      <c r="A482" s="4" t="inlineStr">
        <is>
          <t>Студент1.1</t>
        </is>
      </c>
      <c r="B482" s="4" t="inlineStr"/>
      <c r="C482" s="4">
        <f>IF(A482="","",COUNTIF(F482:AI482,"+")+COUNTIF(F482:AI482,"1"))</f>
        <v/>
      </c>
      <c r="D482" s="4">
        <f>IF(A482="","",IF(C482&gt;2*COUNTA(F$481:AI$481)/3,'Общий'!$M$11,IF(C482&gt;=COUNTA(F$481:AI$481)/2,'Общий'!$M$12,'Общий'!$M$13)))</f>
        <v/>
      </c>
      <c r="E482" s="4">
        <f>IF(A482="","",SUMIFS('Логи'!$H$7:$H$3006,'Логи'!$A$7:$A$3006,8,'Логи'!$B$7:$B$3006,1,'Логи'!$C$7:$C$3006,A482))</f>
        <v/>
      </c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</row>
    <row r="483">
      <c r="A483" s="4" t="inlineStr">
        <is>
          <t>Студент1.2</t>
        </is>
      </c>
      <c r="B483" s="4" t="inlineStr"/>
      <c r="C483" s="4">
        <f>IF(A483="","",COUNTIF(F483:AI483,"+")+COUNTIF(F483:AI483,"1"))</f>
        <v/>
      </c>
      <c r="D483" s="4">
        <f>IF(A483="","",IF(C483&gt;2*COUNTA(F$481:AI$481)/3,'Общий'!$M$11,IF(C483&gt;=COUNTA(F$481:AI$481)/2,'Общий'!$M$12,'Общий'!$M$13)))</f>
        <v/>
      </c>
      <c r="E483" s="4">
        <f>IF(A483="","",SUMIFS('Логи'!$H$7:$H$3006,'Логи'!$A$7:$A$3006,8,'Логи'!$B$7:$B$3006,1,'Логи'!$C$7:$C$3006,A483))</f>
        <v/>
      </c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4" t="inlineStr">
        <is>
          <t>Студент1.3</t>
        </is>
      </c>
      <c r="B484" s="4" t="inlineStr"/>
      <c r="C484" s="4">
        <f>IF(A484="","",COUNTIF(F484:AI484,"+")+COUNTIF(F484:AI484,"1"))</f>
        <v/>
      </c>
      <c r="D484" s="4">
        <f>IF(A484="","",IF(C484&gt;2*COUNTA(F$481:AI$481)/3,'Общий'!$M$11,IF(C484&gt;=COUNTA(F$481:AI$481)/2,'Общий'!$M$12,'Общий'!$M$13)))</f>
        <v/>
      </c>
      <c r="E484" s="4">
        <f>IF(A484="","",SUMIFS('Логи'!$H$7:$H$3006,'Логи'!$A$7:$A$3006,8,'Логи'!$B$7:$B$3006,1,'Логи'!$C$7:$C$3006,A484))</f>
        <v/>
      </c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</row>
    <row r="485">
      <c r="A485" s="4" t="inlineStr">
        <is>
          <t>Студент1.4</t>
        </is>
      </c>
      <c r="B485" s="4" t="inlineStr"/>
      <c r="C485" s="4">
        <f>IF(A485="","",COUNTIF(F485:AI485,"+")+COUNTIF(F485:AI485,"1"))</f>
        <v/>
      </c>
      <c r="D485" s="4">
        <f>IF(A485="","",IF(C485&gt;2*COUNTA(F$481:AI$481)/3,'Общий'!$M$11,IF(C485&gt;=COUNTA(F$481:AI$481)/2,'Общий'!$M$12,'Общий'!$M$13)))</f>
        <v/>
      </c>
      <c r="E485" s="4">
        <f>IF(A485="","",SUMIFS('Логи'!$H$7:$H$3006,'Логи'!$A$7:$A$3006,8,'Логи'!$B$7:$B$3006,1,'Логи'!$C$7:$C$3006,A485))</f>
        <v/>
      </c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4" t="inlineStr">
        <is>
          <t>Студент1.5</t>
        </is>
      </c>
      <c r="B486" s="4" t="inlineStr"/>
      <c r="C486" s="4">
        <f>IF(A486="","",COUNTIF(F486:AI486,"+")+COUNTIF(F486:AI486,"1"))</f>
        <v/>
      </c>
      <c r="D486" s="4">
        <f>IF(A486="","",IF(C486&gt;2*COUNTA(F$481:AI$481)/3,'Общий'!$M$11,IF(C486&gt;=COUNTA(F$481:AI$481)/2,'Общий'!$M$12,'Общий'!$M$13)))</f>
        <v/>
      </c>
      <c r="E486" s="4">
        <f>IF(A486="","",SUMIFS('Логи'!$H$7:$H$3006,'Логи'!$A$7:$A$3006,8,'Логи'!$B$7:$B$3006,1,'Логи'!$C$7:$C$3006,A486))</f>
        <v/>
      </c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</row>
    <row r="487">
      <c r="A487" s="4" t="inlineStr">
        <is>
          <t>Студент1.6</t>
        </is>
      </c>
      <c r="B487" s="4" t="inlineStr"/>
      <c r="C487" s="4">
        <f>IF(A487="","",COUNTIF(F487:AI487,"+")+COUNTIF(F487:AI487,"1"))</f>
        <v/>
      </c>
      <c r="D487" s="4">
        <f>IF(A487="","",IF(C487&gt;2*COUNTA(F$481:AI$481)/3,'Общий'!$M$11,IF(C487&gt;=COUNTA(F$481:AI$481)/2,'Общий'!$M$12,'Общий'!$M$13)))</f>
        <v/>
      </c>
      <c r="E487" s="4">
        <f>IF(A487="","",SUMIFS('Логи'!$H$7:$H$3006,'Логи'!$A$7:$A$3006,8,'Логи'!$B$7:$B$3006,1,'Логи'!$C$7:$C$3006,A487))</f>
        <v/>
      </c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4" t="inlineStr">
        <is>
          <t>Студент1.7</t>
        </is>
      </c>
      <c r="B488" s="4" t="inlineStr"/>
      <c r="C488" s="4">
        <f>IF(A488="","",COUNTIF(F488:AI488,"+")+COUNTIF(F488:AI488,"1"))</f>
        <v/>
      </c>
      <c r="D488" s="4">
        <f>IF(A488="","",IF(C488&gt;2*COUNTA(F$481:AI$481)/3,'Общий'!$M$11,IF(C488&gt;=COUNTA(F$481:AI$481)/2,'Общий'!$M$12,'Общий'!$M$13)))</f>
        <v/>
      </c>
      <c r="E488" s="4">
        <f>IF(A488="","",SUMIFS('Логи'!$H$7:$H$3006,'Логи'!$A$7:$A$3006,8,'Логи'!$B$7:$B$3006,1,'Логи'!$C$7:$C$3006,A488))</f>
        <v/>
      </c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</row>
    <row r="489">
      <c r="A489" s="4" t="inlineStr">
        <is>
          <t>Студент1.8</t>
        </is>
      </c>
      <c r="B489" s="4" t="inlineStr"/>
      <c r="C489" s="4">
        <f>IF(A489="","",COUNTIF(F489:AI489,"+")+COUNTIF(F489:AI489,"1"))</f>
        <v/>
      </c>
      <c r="D489" s="4">
        <f>IF(A489="","",IF(C489&gt;2*COUNTA(F$481:AI$481)/3,'Общий'!$M$11,IF(C489&gt;=COUNTA(F$481:AI$481)/2,'Общий'!$M$12,'Общий'!$M$13)))</f>
        <v/>
      </c>
      <c r="E489" s="4">
        <f>IF(A489="","",SUMIFS('Логи'!$H$7:$H$3006,'Логи'!$A$7:$A$3006,8,'Логи'!$B$7:$B$3006,1,'Логи'!$C$7:$C$3006,A489))</f>
        <v/>
      </c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4" t="inlineStr">
        <is>
          <t>Студент1.9</t>
        </is>
      </c>
      <c r="B490" s="4" t="inlineStr"/>
      <c r="C490" s="4">
        <f>IF(A490="","",COUNTIF(F490:AI490,"+")+COUNTIF(F490:AI490,"1"))</f>
        <v/>
      </c>
      <c r="D490" s="4">
        <f>IF(A490="","",IF(C490&gt;2*COUNTA(F$481:AI$481)/3,'Общий'!$M$11,IF(C490&gt;=COUNTA(F$481:AI$481)/2,'Общий'!$M$12,'Общий'!$M$13)))</f>
        <v/>
      </c>
      <c r="E490" s="4">
        <f>IF(A490="","",SUMIFS('Логи'!$H$7:$H$3006,'Логи'!$A$7:$A$3006,8,'Логи'!$B$7:$B$3006,1,'Логи'!$C$7:$C$3006,A490))</f>
        <v/>
      </c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</row>
    <row r="491">
      <c r="A491" s="4" t="inlineStr">
        <is>
          <t>Студент1.10</t>
        </is>
      </c>
      <c r="B491" s="4" t="inlineStr"/>
      <c r="C491" s="4">
        <f>IF(A491="","",COUNTIF(F491:AI491,"+")+COUNTIF(F491:AI491,"1"))</f>
        <v/>
      </c>
      <c r="D491" s="4">
        <f>IF(A491="","",IF(C491&gt;2*COUNTA(F$481:AI$481)/3,'Общий'!$M$11,IF(C491&gt;=COUNTA(F$481:AI$481)/2,'Общий'!$M$12,'Общий'!$M$13)))</f>
        <v/>
      </c>
      <c r="E491" s="4">
        <f>IF(A491="","",SUMIFS('Логи'!$H$7:$H$3006,'Логи'!$A$7:$A$3006,8,'Логи'!$B$7:$B$3006,1,'Логи'!$C$7:$C$3006,A491))</f>
        <v/>
      </c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4" t="inlineStr">
        <is>
          <t>Студент1.11</t>
        </is>
      </c>
      <c r="B492" s="4" t="inlineStr"/>
      <c r="C492" s="4">
        <f>IF(A492="","",COUNTIF(F492:AI492,"+")+COUNTIF(F492:AI492,"1"))</f>
        <v/>
      </c>
      <c r="D492" s="4">
        <f>IF(A492="","",IF(C492&gt;2*COUNTA(F$481:AI$481)/3,'Общий'!$M$11,IF(C492&gt;=COUNTA(F$481:AI$481)/2,'Общий'!$M$12,'Общий'!$M$13)))</f>
        <v/>
      </c>
      <c r="E492" s="4">
        <f>IF(A492="","",SUMIFS('Логи'!$H$7:$H$3006,'Логи'!$A$7:$A$3006,8,'Логи'!$B$7:$B$3006,1,'Логи'!$C$7:$C$3006,A492))</f>
        <v/>
      </c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</row>
    <row r="493">
      <c r="A493" s="4" t="inlineStr">
        <is>
          <t>Студент1.12</t>
        </is>
      </c>
      <c r="B493" s="4" t="inlineStr"/>
      <c r="C493" s="4">
        <f>IF(A493="","",COUNTIF(F493:AI493,"+")+COUNTIF(F493:AI493,"1"))</f>
        <v/>
      </c>
      <c r="D493" s="4">
        <f>IF(A493="","",IF(C493&gt;2*COUNTA(F$481:AI$481)/3,'Общий'!$M$11,IF(C493&gt;=COUNTA(F$481:AI$481)/2,'Общий'!$M$12,'Общий'!$M$13)))</f>
        <v/>
      </c>
      <c r="E493" s="4">
        <f>IF(A493="","",SUMIFS('Логи'!$H$7:$H$3006,'Логи'!$A$7:$A$3006,8,'Логи'!$B$7:$B$3006,1,'Логи'!$C$7:$C$3006,A493))</f>
        <v/>
      </c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4" t="inlineStr">
        <is>
          <t>Студент1.13</t>
        </is>
      </c>
      <c r="B494" s="4" t="inlineStr"/>
      <c r="C494" s="4">
        <f>IF(A494="","",COUNTIF(F494:AI494,"+")+COUNTIF(F494:AI494,"1"))</f>
        <v/>
      </c>
      <c r="D494" s="4">
        <f>IF(A494="","",IF(C494&gt;2*COUNTA(F$481:AI$481)/3,'Общий'!$M$11,IF(C494&gt;=COUNTA(F$481:AI$481)/2,'Общий'!$M$12,'Общий'!$M$13)))</f>
        <v/>
      </c>
      <c r="E494" s="4">
        <f>IF(A494="","",SUMIFS('Логи'!$H$7:$H$3006,'Логи'!$A$7:$A$3006,8,'Логи'!$B$7:$B$3006,1,'Логи'!$C$7:$C$3006,A494))</f>
        <v/>
      </c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</row>
    <row r="495">
      <c r="A495" s="4" t="inlineStr">
        <is>
          <t>Студент1.14</t>
        </is>
      </c>
      <c r="B495" s="4" t="inlineStr"/>
      <c r="C495" s="4">
        <f>IF(A495="","",COUNTIF(F495:AI495,"+")+COUNTIF(F495:AI495,"1"))</f>
        <v/>
      </c>
      <c r="D495" s="4">
        <f>IF(A495="","",IF(C495&gt;2*COUNTA(F$481:AI$481)/3,'Общий'!$M$11,IF(C495&gt;=COUNTA(F$481:AI$481)/2,'Общий'!$M$12,'Общий'!$M$13)))</f>
        <v/>
      </c>
      <c r="E495" s="4">
        <f>IF(A495="","",SUMIFS('Логи'!$H$7:$H$3006,'Логи'!$A$7:$A$3006,8,'Логи'!$B$7:$B$3006,1,'Логи'!$C$7:$C$3006,A495))</f>
        <v/>
      </c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4" t="inlineStr">
        <is>
          <t>Студент1.15</t>
        </is>
      </c>
      <c r="B496" s="4" t="inlineStr"/>
      <c r="C496" s="4">
        <f>IF(A496="","",COUNTIF(F496:AI496,"+")+COUNTIF(F496:AI496,"1"))</f>
        <v/>
      </c>
      <c r="D496" s="4">
        <f>IF(A496="","",IF(C496&gt;2*COUNTA(F$481:AI$481)/3,'Общий'!$M$11,IF(C496&gt;=COUNTA(F$481:AI$481)/2,'Общий'!$M$12,'Общий'!$M$13)))</f>
        <v/>
      </c>
      <c r="E496" s="4">
        <f>IF(A496="","",SUMIFS('Логи'!$H$7:$H$3006,'Логи'!$A$7:$A$3006,8,'Логи'!$B$7:$B$3006,1,'Логи'!$C$7:$C$3006,A496))</f>
        <v/>
      </c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</row>
    <row r="497">
      <c r="A497" s="4" t="inlineStr">
        <is>
          <t>Студент1.16</t>
        </is>
      </c>
      <c r="B497" s="4" t="inlineStr"/>
      <c r="C497" s="4">
        <f>IF(A497="","",COUNTIF(F497:AI497,"+")+COUNTIF(F497:AI497,"1"))</f>
        <v/>
      </c>
      <c r="D497" s="4">
        <f>IF(A497="","",IF(C497&gt;2*COUNTA(F$481:AI$481)/3,'Общий'!$M$11,IF(C497&gt;=COUNTA(F$481:AI$481)/2,'Общий'!$M$12,'Общий'!$M$13)))</f>
        <v/>
      </c>
      <c r="E497" s="4">
        <f>IF(A497="","",SUMIFS('Логи'!$H$7:$H$3006,'Логи'!$A$7:$A$3006,8,'Логи'!$B$7:$B$3006,1,'Логи'!$C$7:$C$3006,A497))</f>
        <v/>
      </c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4" t="inlineStr">
        <is>
          <t>Студент1.17</t>
        </is>
      </c>
      <c r="B498" s="4" t="inlineStr"/>
      <c r="C498" s="4">
        <f>IF(A498="","",COUNTIF(F498:AI498,"+")+COUNTIF(F498:AI498,"1"))</f>
        <v/>
      </c>
      <c r="D498" s="4">
        <f>IF(A498="","",IF(C498&gt;2*COUNTA(F$481:AI$481)/3,'Общий'!$M$11,IF(C498&gt;=COUNTA(F$481:AI$481)/2,'Общий'!$M$12,'Общий'!$M$13)))</f>
        <v/>
      </c>
      <c r="E498" s="4">
        <f>IF(A498="","",SUMIFS('Логи'!$H$7:$H$3006,'Логи'!$A$7:$A$3006,8,'Логи'!$B$7:$B$3006,1,'Логи'!$C$7:$C$3006,A498))</f>
        <v/>
      </c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</row>
    <row r="499">
      <c r="A499" s="4" t="inlineStr">
        <is>
          <t>Студент1.18</t>
        </is>
      </c>
      <c r="B499" s="4" t="inlineStr"/>
      <c r="C499" s="4">
        <f>IF(A499="","",COUNTIF(F499:AI499,"+")+COUNTIF(F499:AI499,"1"))</f>
        <v/>
      </c>
      <c r="D499" s="4">
        <f>IF(A499="","",IF(C499&gt;2*COUNTA(F$481:AI$481)/3,'Общий'!$M$11,IF(C499&gt;=COUNTA(F$481:AI$481)/2,'Общий'!$M$12,'Общий'!$M$13)))</f>
        <v/>
      </c>
      <c r="E499" s="4">
        <f>IF(A499="","",SUMIFS('Логи'!$H$7:$H$3006,'Логи'!$A$7:$A$3006,8,'Логи'!$B$7:$B$3006,1,'Логи'!$C$7:$C$3006,A499))</f>
        <v/>
      </c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4" t="inlineStr">
        <is>
          <t>Студент1.19</t>
        </is>
      </c>
      <c r="B500" s="4" t="inlineStr"/>
      <c r="C500" s="4">
        <f>IF(A500="","",COUNTIF(F500:AI500,"+")+COUNTIF(F500:AI500,"1"))</f>
        <v/>
      </c>
      <c r="D500" s="4">
        <f>IF(A500="","",IF(C500&gt;2*COUNTA(F$481:AI$481)/3,'Общий'!$M$11,IF(C500&gt;=COUNTA(F$481:AI$481)/2,'Общий'!$M$12,'Общий'!$M$13)))</f>
        <v/>
      </c>
      <c r="E500" s="4">
        <f>IF(A500="","",SUMIFS('Логи'!$H$7:$H$3006,'Логи'!$A$7:$A$3006,8,'Логи'!$B$7:$B$3006,1,'Логи'!$C$7:$C$3006,A500))</f>
        <v/>
      </c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</row>
    <row r="501">
      <c r="A501" s="4" t="inlineStr">
        <is>
          <t>Студент1.20</t>
        </is>
      </c>
      <c r="B501" s="4" t="inlineStr"/>
      <c r="C501" s="4">
        <f>IF(A501="","",COUNTIF(F501:AI501,"+")+COUNTIF(F501:AI501,"1"))</f>
        <v/>
      </c>
      <c r="D501" s="4">
        <f>IF(A501="","",IF(C501&gt;2*COUNTA(F$481:AI$481)/3,'Общий'!$M$11,IF(C501&gt;=COUNTA(F$481:AI$481)/2,'Общий'!$M$12,'Общий'!$M$13)))</f>
        <v/>
      </c>
      <c r="E501" s="4">
        <f>IF(A501="","",SUMIFS('Логи'!$H$7:$H$3006,'Логи'!$A$7:$A$3006,8,'Логи'!$B$7:$B$3006,1,'Логи'!$C$7:$C$3006,A501))</f>
        <v/>
      </c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4" t="inlineStr">
        <is>
          <t>Студент1.21</t>
        </is>
      </c>
      <c r="B502" s="4" t="inlineStr"/>
      <c r="C502" s="4">
        <f>IF(A502="","",COUNTIF(F502:AI502,"+")+COUNTIF(F502:AI502,"1"))</f>
        <v/>
      </c>
      <c r="D502" s="4">
        <f>IF(A502="","",IF(C502&gt;2*COUNTA(F$481:AI$481)/3,'Общий'!$M$11,IF(C502&gt;=COUNTA(F$481:AI$481)/2,'Общий'!$M$12,'Общий'!$M$13)))</f>
        <v/>
      </c>
      <c r="E502" s="4">
        <f>IF(A502="","",SUMIFS('Логи'!$H$7:$H$3006,'Логи'!$A$7:$A$3006,8,'Логи'!$B$7:$B$3006,1,'Логи'!$C$7:$C$3006,A502))</f>
        <v/>
      </c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</row>
    <row r="503">
      <c r="A503" s="4" t="inlineStr">
        <is>
          <t>Студент1.22</t>
        </is>
      </c>
      <c r="B503" s="4" t="inlineStr"/>
      <c r="C503" s="4">
        <f>IF(A503="","",COUNTIF(F503:AI503,"+")+COUNTIF(F503:AI503,"1"))</f>
        <v/>
      </c>
      <c r="D503" s="4">
        <f>IF(A503="","",IF(C503&gt;2*COUNTA(F$481:AI$481)/3,'Общий'!$M$11,IF(C503&gt;=COUNTA(F$481:AI$481)/2,'Общий'!$M$12,'Общий'!$M$13)))</f>
        <v/>
      </c>
      <c r="E503" s="4">
        <f>IF(A503="","",SUMIFS('Логи'!$H$7:$H$3006,'Логи'!$A$7:$A$3006,8,'Логи'!$B$7:$B$3006,1,'Логи'!$C$7:$C$3006,A503))</f>
        <v/>
      </c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4" t="inlineStr">
        <is>
          <t>Студент1.23</t>
        </is>
      </c>
      <c r="B504" s="4" t="inlineStr"/>
      <c r="C504" s="4">
        <f>IF(A504="","",COUNTIF(F504:AI504,"+")+COUNTIF(F504:AI504,"1"))</f>
        <v/>
      </c>
      <c r="D504" s="4">
        <f>IF(A504="","",IF(C504&gt;2*COUNTA(F$481:AI$481)/3,'Общий'!$M$11,IF(C504&gt;=COUNTA(F$481:AI$481)/2,'Общий'!$M$12,'Общий'!$M$13)))</f>
        <v/>
      </c>
      <c r="E504" s="4">
        <f>IF(A504="","",SUMIFS('Логи'!$H$7:$H$3006,'Логи'!$A$7:$A$3006,8,'Логи'!$B$7:$B$3006,1,'Логи'!$C$7:$C$3006,A504))</f>
        <v/>
      </c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</row>
    <row r="505">
      <c r="A505" s="4" t="inlineStr">
        <is>
          <t>Студент1.24</t>
        </is>
      </c>
      <c r="B505" s="4" t="inlineStr"/>
      <c r="C505" s="4">
        <f>IF(A505="","",COUNTIF(F505:AI505,"+")+COUNTIF(F505:AI505,"1"))</f>
        <v/>
      </c>
      <c r="D505" s="4">
        <f>IF(A505="","",IF(C505&gt;2*COUNTA(F$481:AI$481)/3,'Общий'!$M$11,IF(C505&gt;=COUNTA(F$481:AI$481)/2,'Общий'!$M$12,'Общий'!$M$13)))</f>
        <v/>
      </c>
      <c r="E505" s="4">
        <f>IF(A505="","",SUMIFS('Логи'!$H$7:$H$3006,'Логи'!$A$7:$A$3006,8,'Логи'!$B$7:$B$3006,1,'Логи'!$C$7:$C$3006,A505))</f>
        <v/>
      </c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4" t="inlineStr">
        <is>
          <t>Студент1.25</t>
        </is>
      </c>
      <c r="B506" s="4" t="inlineStr"/>
      <c r="C506" s="4">
        <f>IF(A506="","",COUNTIF(F506:AI506,"+")+COUNTIF(F506:AI506,"1"))</f>
        <v/>
      </c>
      <c r="D506" s="4">
        <f>IF(A506="","",IF(C506&gt;2*COUNTA(F$481:AI$481)/3,'Общий'!$M$11,IF(C506&gt;=COUNTA(F$481:AI$481)/2,'Общий'!$M$12,'Общий'!$M$13)))</f>
        <v/>
      </c>
      <c r="E506" s="4">
        <f>IF(A506="","",SUMIFS('Логи'!$H$7:$H$3006,'Логи'!$A$7:$A$3006,8,'Логи'!$B$7:$B$3006,1,'Логи'!$C$7:$C$3006,A506))</f>
        <v/>
      </c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</row>
    <row r="507">
      <c r="A507" s="4" t="inlineStr">
        <is>
          <t>Студент1.26</t>
        </is>
      </c>
      <c r="B507" s="4" t="inlineStr"/>
      <c r="C507" s="4">
        <f>IF(A507="","",COUNTIF(F507:AI507,"+")+COUNTIF(F507:AI507,"1"))</f>
        <v/>
      </c>
      <c r="D507" s="4">
        <f>IF(A507="","",IF(C507&gt;2*COUNTA(F$481:AI$481)/3,'Общий'!$M$11,IF(C507&gt;=COUNTA(F$481:AI$481)/2,'Общий'!$M$12,'Общий'!$M$13)))</f>
        <v/>
      </c>
      <c r="E507" s="4">
        <f>IF(A507="","",SUMIFS('Логи'!$H$7:$H$3006,'Логи'!$A$7:$A$3006,8,'Логи'!$B$7:$B$3006,1,'Логи'!$C$7:$C$3006,A507))</f>
        <v/>
      </c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4" t="inlineStr">
        <is>
          <t>Студент1.27</t>
        </is>
      </c>
      <c r="B508" s="4" t="inlineStr"/>
      <c r="C508" s="4">
        <f>IF(A508="","",COUNTIF(F508:AI508,"+")+COUNTIF(F508:AI508,"1"))</f>
        <v/>
      </c>
      <c r="D508" s="4">
        <f>IF(A508="","",IF(C508&gt;2*COUNTA(F$481:AI$481)/3,'Общий'!$M$11,IF(C508&gt;=COUNTA(F$481:AI$481)/2,'Общий'!$M$12,'Общий'!$M$13)))</f>
        <v/>
      </c>
      <c r="E508" s="4">
        <f>IF(A508="","",SUMIFS('Логи'!$H$7:$H$3006,'Логи'!$A$7:$A$3006,8,'Логи'!$B$7:$B$3006,1,'Логи'!$C$7:$C$3006,A508))</f>
        <v/>
      </c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</row>
    <row r="509">
      <c r="A509" s="4" t="inlineStr">
        <is>
          <t>Студент1.28</t>
        </is>
      </c>
      <c r="B509" s="4" t="inlineStr"/>
      <c r="C509" s="4">
        <f>IF(A509="","",COUNTIF(F509:AI509,"+")+COUNTIF(F509:AI509,"1"))</f>
        <v/>
      </c>
      <c r="D509" s="4">
        <f>IF(A509="","",IF(C509&gt;2*COUNTA(F$481:AI$481)/3,'Общий'!$M$11,IF(C509&gt;=COUNTA(F$481:AI$481)/2,'Общий'!$M$12,'Общий'!$M$13)))</f>
        <v/>
      </c>
      <c r="E509" s="4">
        <f>IF(A509="","",SUMIFS('Логи'!$H$7:$H$3006,'Логи'!$A$7:$A$3006,8,'Логи'!$B$7:$B$3006,1,'Логи'!$C$7:$C$3006,A509))</f>
        <v/>
      </c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4" t="inlineStr">
        <is>
          <t>Студент1.29</t>
        </is>
      </c>
      <c r="B510" s="4" t="inlineStr"/>
      <c r="C510" s="4">
        <f>IF(A510="","",COUNTIF(F510:AI510,"+")+COUNTIF(F510:AI510,"1"))</f>
        <v/>
      </c>
      <c r="D510" s="4">
        <f>IF(A510="","",IF(C510&gt;2*COUNTA(F$481:AI$481)/3,'Общий'!$M$11,IF(C510&gt;=COUNTA(F$481:AI$481)/2,'Общий'!$M$12,'Общий'!$M$13)))</f>
        <v/>
      </c>
      <c r="E510" s="4">
        <f>IF(A510="","",SUMIFS('Логи'!$H$7:$H$3006,'Логи'!$A$7:$A$3006,8,'Логи'!$B$7:$B$3006,1,'Логи'!$C$7:$C$3006,A510))</f>
        <v/>
      </c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</row>
    <row r="511">
      <c r="A511" s="4" t="inlineStr">
        <is>
          <t>Студент1.30</t>
        </is>
      </c>
      <c r="B511" s="4" t="inlineStr"/>
      <c r="C511" s="4">
        <f>IF(A511="","",COUNTIF(F511:AI511,"+")+COUNTIF(F511:AI511,"1"))</f>
        <v/>
      </c>
      <c r="D511" s="4">
        <f>IF(A511="","",IF(C511&gt;2*COUNTA(F$481:AI$481)/3,'Общий'!$M$11,IF(C511&gt;=COUNTA(F$481:AI$481)/2,'Общий'!$M$12,'Общий'!$M$13)))</f>
        <v/>
      </c>
      <c r="E511" s="4">
        <f>IF(A511="","",SUMIFS('Логи'!$H$7:$H$3006,'Логи'!$A$7:$A$3006,8,'Логи'!$B$7:$B$3006,1,'Логи'!$C$7:$C$3006,A511))</f>
        <v/>
      </c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3">
      <c r="A513" s="19" t="inlineStr">
        <is>
          <t>Практика 8 — результаты рассказа</t>
        </is>
      </c>
    </row>
    <row r="514" ht="28" customHeight="1">
      <c r="A514" s="9" t="inlineStr">
        <is>
          <t>Имя</t>
        </is>
      </c>
      <c r="B514" s="11" t="inlineStr">
        <is>
          <t>TG</t>
        </is>
      </c>
      <c r="C514" s="12" t="inlineStr"/>
      <c r="D514" s="3" t="inlineStr"/>
      <c r="E514" s="3" t="inlineStr"/>
      <c r="F514" s="13" t="inlineStr">
        <is>
          <t>1.0</t>
        </is>
      </c>
      <c r="G514" s="13" t="inlineStr">
        <is>
          <t>2.0</t>
        </is>
      </c>
      <c r="H514" s="13" t="inlineStr">
        <is>
          <t>3.0</t>
        </is>
      </c>
      <c r="I514" s="13" t="inlineStr">
        <is>
          <t>4.0</t>
        </is>
      </c>
      <c r="J514" s="13" t="inlineStr">
        <is>
          <t>5.0</t>
        </is>
      </c>
      <c r="K514" s="13" t="inlineStr">
        <is>
          <t>6</t>
        </is>
      </c>
      <c r="L514" s="13" t="inlineStr">
        <is>
          <t>7</t>
        </is>
      </c>
      <c r="M514" s="13" t="inlineStr">
        <is>
          <t>8</t>
        </is>
      </c>
      <c r="N514" s="13" t="inlineStr">
        <is>
          <t>9</t>
        </is>
      </c>
      <c r="O514" s="13" t="inlineStr">
        <is>
          <t>10</t>
        </is>
      </c>
      <c r="P514" s="13" t="inlineStr">
        <is>
          <t>11</t>
        </is>
      </c>
      <c r="Q514" s="13" t="inlineStr">
        <is>
          <t>12</t>
        </is>
      </c>
      <c r="R514" s="13" t="inlineStr">
        <is>
          <t>13</t>
        </is>
      </c>
      <c r="S514" s="13" t="inlineStr">
        <is>
          <t>14</t>
        </is>
      </c>
      <c r="T514" s="13" t="inlineStr">
        <is>
          <t>15</t>
        </is>
      </c>
      <c r="U514" s="13" t="inlineStr">
        <is>
          <t>16</t>
        </is>
      </c>
      <c r="V514" s="13" t="inlineStr">
        <is>
          <t>17</t>
        </is>
      </c>
      <c r="W514" s="13" t="inlineStr">
        <is>
          <t>18</t>
        </is>
      </c>
      <c r="X514" s="13" t="inlineStr">
        <is>
          <t>19</t>
        </is>
      </c>
      <c r="Y514" s="13" t="inlineStr">
        <is>
          <t>20</t>
        </is>
      </c>
      <c r="Z514" s="13" t="inlineStr">
        <is>
          <t>21</t>
        </is>
      </c>
      <c r="AA514" s="13" t="inlineStr">
        <is>
          <t>22</t>
        </is>
      </c>
      <c r="AB514" s="13" t="inlineStr">
        <is>
          <t>23</t>
        </is>
      </c>
      <c r="AC514" s="13" t="inlineStr">
        <is>
          <t>24</t>
        </is>
      </c>
      <c r="AD514" s="13" t="inlineStr">
        <is>
          <t>25</t>
        </is>
      </c>
      <c r="AE514" s="13" t="inlineStr">
        <is>
          <t>26</t>
        </is>
      </c>
      <c r="AF514" s="13" t="inlineStr">
        <is>
          <t>27</t>
        </is>
      </c>
      <c r="AG514" s="13" t="inlineStr">
        <is>
          <t>28</t>
        </is>
      </c>
      <c r="AH514" s="13" t="inlineStr">
        <is>
          <t>29</t>
        </is>
      </c>
      <c r="AI514" s="13" t="inlineStr">
        <is>
          <t>30</t>
        </is>
      </c>
    </row>
    <row r="515">
      <c r="A515" s="4" t="inlineStr">
        <is>
          <t>Студент1.1</t>
        </is>
      </c>
      <c r="B515" s="4" t="inlineStr"/>
      <c r="C515" s="4" t="n"/>
      <c r="D515" s="4" t="n"/>
      <c r="E515" s="4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4" t="inlineStr">
        <is>
          <t>Студент1.2</t>
        </is>
      </c>
      <c r="B516" s="4" t="inlineStr"/>
      <c r="C516" s="4" t="n"/>
      <c r="D516" s="4" t="n"/>
      <c r="E516" s="4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</row>
    <row r="517">
      <c r="A517" s="4" t="inlineStr">
        <is>
          <t>Студент1.3</t>
        </is>
      </c>
      <c r="B517" s="4" t="inlineStr"/>
      <c r="C517" s="4" t="n"/>
      <c r="D517" s="4" t="n"/>
      <c r="E517" s="4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4" t="inlineStr">
        <is>
          <t>Студент1.4</t>
        </is>
      </c>
      <c r="B518" s="4" t="inlineStr"/>
      <c r="C518" s="4" t="n"/>
      <c r="D518" s="4" t="n"/>
      <c r="E518" s="4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</row>
    <row r="519">
      <c r="A519" s="4" t="inlineStr">
        <is>
          <t>Студент1.5</t>
        </is>
      </c>
      <c r="B519" s="4" t="inlineStr"/>
      <c r="C519" s="4" t="n"/>
      <c r="D519" s="4" t="n"/>
      <c r="E519" s="4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4" t="inlineStr">
        <is>
          <t>Студент1.6</t>
        </is>
      </c>
      <c r="B520" s="4" t="inlineStr"/>
      <c r="C520" s="4" t="n"/>
      <c r="D520" s="4" t="n"/>
      <c r="E520" s="4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</row>
    <row r="521">
      <c r="A521" s="4" t="inlineStr">
        <is>
          <t>Студент1.7</t>
        </is>
      </c>
      <c r="B521" s="4" t="inlineStr"/>
      <c r="C521" s="4" t="n"/>
      <c r="D521" s="4" t="n"/>
      <c r="E521" s="4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4" t="inlineStr">
        <is>
          <t>Студент1.8</t>
        </is>
      </c>
      <c r="B522" s="4" t="inlineStr"/>
      <c r="C522" s="4" t="n"/>
      <c r="D522" s="4" t="n"/>
      <c r="E522" s="4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</row>
    <row r="523">
      <c r="A523" s="4" t="inlineStr">
        <is>
          <t>Студент1.9</t>
        </is>
      </c>
      <c r="B523" s="4" t="inlineStr"/>
      <c r="C523" s="4" t="n"/>
      <c r="D523" s="4" t="n"/>
      <c r="E523" s="4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4" t="inlineStr">
        <is>
          <t>Студент1.10</t>
        </is>
      </c>
      <c r="B524" s="4" t="inlineStr"/>
      <c r="C524" s="4" t="n"/>
      <c r="D524" s="4" t="n"/>
      <c r="E524" s="4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</row>
    <row r="525">
      <c r="A525" s="4" t="inlineStr">
        <is>
          <t>Студент1.11</t>
        </is>
      </c>
      <c r="B525" s="4" t="inlineStr"/>
      <c r="C525" s="4" t="n"/>
      <c r="D525" s="4" t="n"/>
      <c r="E525" s="4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4" t="inlineStr">
        <is>
          <t>Студент1.12</t>
        </is>
      </c>
      <c r="B526" s="4" t="inlineStr"/>
      <c r="C526" s="4" t="n"/>
      <c r="D526" s="4" t="n"/>
      <c r="E526" s="4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</row>
    <row r="527">
      <c r="A527" s="4" t="inlineStr">
        <is>
          <t>Студент1.13</t>
        </is>
      </c>
      <c r="B527" s="4" t="inlineStr"/>
      <c r="C527" s="4" t="n"/>
      <c r="D527" s="4" t="n"/>
      <c r="E527" s="4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4" t="inlineStr">
        <is>
          <t>Студент1.14</t>
        </is>
      </c>
      <c r="B528" s="4" t="inlineStr"/>
      <c r="C528" s="4" t="n"/>
      <c r="D528" s="4" t="n"/>
      <c r="E528" s="4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</row>
    <row r="529">
      <c r="A529" s="4" t="inlineStr">
        <is>
          <t>Студент1.15</t>
        </is>
      </c>
      <c r="B529" s="4" t="inlineStr"/>
      <c r="C529" s="4" t="n"/>
      <c r="D529" s="4" t="n"/>
      <c r="E529" s="4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4" t="inlineStr">
        <is>
          <t>Студент1.16</t>
        </is>
      </c>
      <c r="B530" s="4" t="inlineStr"/>
      <c r="C530" s="4" t="n"/>
      <c r="D530" s="4" t="n"/>
      <c r="E530" s="4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</row>
    <row r="531">
      <c r="A531" s="4" t="inlineStr">
        <is>
          <t>Студент1.17</t>
        </is>
      </c>
      <c r="B531" s="4" t="inlineStr"/>
      <c r="C531" s="4" t="n"/>
      <c r="D531" s="4" t="n"/>
      <c r="E531" s="4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4" t="inlineStr">
        <is>
          <t>Студент1.18</t>
        </is>
      </c>
      <c r="B532" s="4" t="inlineStr"/>
      <c r="C532" s="4" t="n"/>
      <c r="D532" s="4" t="n"/>
      <c r="E532" s="4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</row>
    <row r="533">
      <c r="A533" s="4" t="inlineStr">
        <is>
          <t>Студент1.19</t>
        </is>
      </c>
      <c r="B533" s="4" t="inlineStr"/>
      <c r="C533" s="4" t="n"/>
      <c r="D533" s="4" t="n"/>
      <c r="E533" s="4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4" t="inlineStr">
        <is>
          <t>Студент1.20</t>
        </is>
      </c>
      <c r="B534" s="4" t="inlineStr"/>
      <c r="C534" s="4" t="n"/>
      <c r="D534" s="4" t="n"/>
      <c r="E534" s="4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</row>
    <row r="535">
      <c r="A535" s="4" t="inlineStr">
        <is>
          <t>Студент1.21</t>
        </is>
      </c>
      <c r="B535" s="4" t="inlineStr"/>
      <c r="C535" s="4" t="n"/>
      <c r="D535" s="4" t="n"/>
      <c r="E535" s="4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4" t="inlineStr">
        <is>
          <t>Студент1.22</t>
        </is>
      </c>
      <c r="B536" s="4" t="inlineStr"/>
      <c r="C536" s="4" t="n"/>
      <c r="D536" s="4" t="n"/>
      <c r="E536" s="4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</row>
    <row r="537">
      <c r="A537" s="4" t="inlineStr">
        <is>
          <t>Студент1.23</t>
        </is>
      </c>
      <c r="B537" s="4" t="inlineStr"/>
      <c r="C537" s="4" t="n"/>
      <c r="D537" s="4" t="n"/>
      <c r="E537" s="4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4" t="inlineStr">
        <is>
          <t>Студент1.24</t>
        </is>
      </c>
      <c r="B538" s="4" t="inlineStr"/>
      <c r="C538" s="4" t="n"/>
      <c r="D538" s="4" t="n"/>
      <c r="E538" s="4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</row>
    <row r="539">
      <c r="A539" s="4" t="inlineStr">
        <is>
          <t>Студент1.25</t>
        </is>
      </c>
      <c r="B539" s="4" t="inlineStr"/>
      <c r="C539" s="4" t="n"/>
      <c r="D539" s="4" t="n"/>
      <c r="E539" s="4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4" t="inlineStr">
        <is>
          <t>Студент1.26</t>
        </is>
      </c>
      <c r="B540" s="4" t="inlineStr"/>
      <c r="C540" s="4" t="n"/>
      <c r="D540" s="4" t="n"/>
      <c r="E540" s="4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</row>
    <row r="541">
      <c r="A541" s="4" t="inlineStr">
        <is>
          <t>Студент1.27</t>
        </is>
      </c>
      <c r="B541" s="4" t="inlineStr"/>
      <c r="C541" s="4" t="n"/>
      <c r="D541" s="4" t="n"/>
      <c r="E541" s="4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4" t="inlineStr">
        <is>
          <t>Студент1.28</t>
        </is>
      </c>
      <c r="B542" s="4" t="inlineStr"/>
      <c r="C542" s="4" t="n"/>
      <c r="D542" s="4" t="n"/>
      <c r="E542" s="4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</row>
    <row r="543">
      <c r="A543" s="4" t="inlineStr">
        <is>
          <t>Студент1.29</t>
        </is>
      </c>
      <c r="B543" s="4" t="inlineStr"/>
      <c r="C543" s="4" t="n"/>
      <c r="D543" s="4" t="n"/>
      <c r="E543" s="4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4" t="inlineStr">
        <is>
          <t>Студент1.30</t>
        </is>
      </c>
      <c r="B544" s="4" t="inlineStr"/>
      <c r="C544" s="4" t="n"/>
      <c r="D544" s="4" t="n"/>
      <c r="E544" s="4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</row>
    <row r="548">
      <c r="A548" s="17" t="inlineStr">
        <is>
          <t>Практика 9 — плюсы</t>
        </is>
      </c>
    </row>
    <row r="549" ht="28" customHeight="1">
      <c r="A549" s="9" t="inlineStr">
        <is>
          <t>Имя</t>
        </is>
      </c>
      <c r="B549" s="11" t="inlineStr">
        <is>
          <t>TG</t>
        </is>
      </c>
      <c r="C549" s="12" t="inlineStr">
        <is>
          <t>S</t>
        </is>
      </c>
      <c r="D549" s="10" t="inlineStr">
        <is>
          <t>Коэффициент</t>
        </is>
      </c>
      <c r="E549" s="18" t="inlineStr">
        <is>
          <t>D за практику</t>
        </is>
      </c>
      <c r="F549" s="13" t="inlineStr">
        <is>
          <t>1.0</t>
        </is>
      </c>
      <c r="G549" s="13" t="inlineStr">
        <is>
          <t>2.0</t>
        </is>
      </c>
      <c r="H549" s="13" t="inlineStr">
        <is>
          <t>3.0</t>
        </is>
      </c>
      <c r="I549" s="13" t="inlineStr">
        <is>
          <t>4.0</t>
        </is>
      </c>
      <c r="J549" s="13" t="inlineStr">
        <is>
          <t>5.0</t>
        </is>
      </c>
      <c r="K549" s="13" t="inlineStr">
        <is>
          <t>6</t>
        </is>
      </c>
      <c r="L549" s="13" t="inlineStr">
        <is>
          <t>7</t>
        </is>
      </c>
      <c r="M549" s="13" t="inlineStr">
        <is>
          <t>8</t>
        </is>
      </c>
      <c r="N549" s="13" t="inlineStr">
        <is>
          <t>9</t>
        </is>
      </c>
      <c r="O549" s="13" t="inlineStr">
        <is>
          <t>10</t>
        </is>
      </c>
      <c r="P549" s="13" t="inlineStr">
        <is>
          <t>11</t>
        </is>
      </c>
      <c r="Q549" s="13" t="inlineStr">
        <is>
          <t>12</t>
        </is>
      </c>
      <c r="R549" s="13" t="inlineStr">
        <is>
          <t>13</t>
        </is>
      </c>
      <c r="S549" s="13" t="inlineStr">
        <is>
          <t>14</t>
        </is>
      </c>
      <c r="T549" s="13" t="inlineStr">
        <is>
          <t>15</t>
        </is>
      </c>
      <c r="U549" s="13" t="inlineStr">
        <is>
          <t>16</t>
        </is>
      </c>
      <c r="V549" s="13" t="inlineStr">
        <is>
          <t>17</t>
        </is>
      </c>
      <c r="W549" s="13" t="inlineStr">
        <is>
          <t>18</t>
        </is>
      </c>
      <c r="X549" s="13" t="inlineStr">
        <is>
          <t>19</t>
        </is>
      </c>
      <c r="Y549" s="13" t="inlineStr">
        <is>
          <t>20</t>
        </is>
      </c>
      <c r="Z549" s="13" t="inlineStr">
        <is>
          <t>21</t>
        </is>
      </c>
      <c r="AA549" s="13" t="inlineStr">
        <is>
          <t>22</t>
        </is>
      </c>
      <c r="AB549" s="13" t="inlineStr">
        <is>
          <t>23</t>
        </is>
      </c>
      <c r="AC549" s="13" t="inlineStr">
        <is>
          <t>24</t>
        </is>
      </c>
      <c r="AD549" s="13" t="inlineStr">
        <is>
          <t>25</t>
        </is>
      </c>
      <c r="AE549" s="13" t="inlineStr">
        <is>
          <t>26</t>
        </is>
      </c>
      <c r="AF549" s="13" t="inlineStr">
        <is>
          <t>27</t>
        </is>
      </c>
      <c r="AG549" s="13" t="inlineStr">
        <is>
          <t>28</t>
        </is>
      </c>
      <c r="AH549" s="13" t="inlineStr">
        <is>
          <t>29</t>
        </is>
      </c>
      <c r="AI549" s="13" t="inlineStr">
        <is>
          <t>30</t>
        </is>
      </c>
    </row>
    <row r="550">
      <c r="A550" s="4" t="inlineStr">
        <is>
          <t>Студент1.1</t>
        </is>
      </c>
      <c r="B550" s="4" t="inlineStr"/>
      <c r="C550" s="4">
        <f>IF(A550="","",COUNTIF(F550:AI550,"+")+COUNTIF(F550:AI550,"1"))</f>
        <v/>
      </c>
      <c r="D550" s="4">
        <f>IF(A550="","",IF(C550&gt;2*COUNTA(F$549:AI$549)/3,'Общий'!$M$11,IF(C550&gt;=COUNTA(F$549:AI$549)/2,'Общий'!$M$12,'Общий'!$M$13)))</f>
        <v/>
      </c>
      <c r="E550" s="4">
        <f>IF(A550="","",SUMIFS('Логи'!$H$7:$H$3006,'Логи'!$A$7:$A$3006,9,'Логи'!$B$7:$B$3006,1,'Логи'!$C$7:$C$3006,A550))</f>
        <v/>
      </c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</row>
    <row r="551">
      <c r="A551" s="4" t="inlineStr">
        <is>
          <t>Студент1.2</t>
        </is>
      </c>
      <c r="B551" s="4" t="inlineStr"/>
      <c r="C551" s="4">
        <f>IF(A551="","",COUNTIF(F551:AI551,"+")+COUNTIF(F551:AI551,"1"))</f>
        <v/>
      </c>
      <c r="D551" s="4">
        <f>IF(A551="","",IF(C551&gt;2*COUNTA(F$549:AI$549)/3,'Общий'!$M$11,IF(C551&gt;=COUNTA(F$549:AI$549)/2,'Общий'!$M$12,'Общий'!$M$13)))</f>
        <v/>
      </c>
      <c r="E551" s="4">
        <f>IF(A551="","",SUMIFS('Логи'!$H$7:$H$3006,'Логи'!$A$7:$A$3006,9,'Логи'!$B$7:$B$3006,1,'Логи'!$C$7:$C$3006,A551))</f>
        <v/>
      </c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4" t="inlineStr">
        <is>
          <t>Студент1.3</t>
        </is>
      </c>
      <c r="B552" s="4" t="inlineStr"/>
      <c r="C552" s="4">
        <f>IF(A552="","",COUNTIF(F552:AI552,"+")+COUNTIF(F552:AI552,"1"))</f>
        <v/>
      </c>
      <c r="D552" s="4">
        <f>IF(A552="","",IF(C552&gt;2*COUNTA(F$549:AI$549)/3,'Общий'!$M$11,IF(C552&gt;=COUNTA(F$549:AI$549)/2,'Общий'!$M$12,'Общий'!$M$13)))</f>
        <v/>
      </c>
      <c r="E552" s="4">
        <f>IF(A552="","",SUMIFS('Логи'!$H$7:$H$3006,'Логи'!$A$7:$A$3006,9,'Логи'!$B$7:$B$3006,1,'Логи'!$C$7:$C$3006,A552))</f>
        <v/>
      </c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</row>
    <row r="553">
      <c r="A553" s="4" t="inlineStr">
        <is>
          <t>Студент1.4</t>
        </is>
      </c>
      <c r="B553" s="4" t="inlineStr"/>
      <c r="C553" s="4">
        <f>IF(A553="","",COUNTIF(F553:AI553,"+")+COUNTIF(F553:AI553,"1"))</f>
        <v/>
      </c>
      <c r="D553" s="4">
        <f>IF(A553="","",IF(C553&gt;2*COUNTA(F$549:AI$549)/3,'Общий'!$M$11,IF(C553&gt;=COUNTA(F$549:AI$549)/2,'Общий'!$M$12,'Общий'!$M$13)))</f>
        <v/>
      </c>
      <c r="E553" s="4">
        <f>IF(A553="","",SUMIFS('Логи'!$H$7:$H$3006,'Логи'!$A$7:$A$3006,9,'Логи'!$B$7:$B$3006,1,'Логи'!$C$7:$C$3006,A553))</f>
        <v/>
      </c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4" t="inlineStr">
        <is>
          <t>Студент1.5</t>
        </is>
      </c>
      <c r="B554" s="4" t="inlineStr"/>
      <c r="C554" s="4">
        <f>IF(A554="","",COUNTIF(F554:AI554,"+")+COUNTIF(F554:AI554,"1"))</f>
        <v/>
      </c>
      <c r="D554" s="4">
        <f>IF(A554="","",IF(C554&gt;2*COUNTA(F$549:AI$549)/3,'Общий'!$M$11,IF(C554&gt;=COUNTA(F$549:AI$549)/2,'Общий'!$M$12,'Общий'!$M$13)))</f>
        <v/>
      </c>
      <c r="E554" s="4">
        <f>IF(A554="","",SUMIFS('Логи'!$H$7:$H$3006,'Логи'!$A$7:$A$3006,9,'Логи'!$B$7:$B$3006,1,'Логи'!$C$7:$C$3006,A554))</f>
        <v/>
      </c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</row>
    <row r="555">
      <c r="A555" s="4" t="inlineStr">
        <is>
          <t>Студент1.6</t>
        </is>
      </c>
      <c r="B555" s="4" t="inlineStr"/>
      <c r="C555" s="4">
        <f>IF(A555="","",COUNTIF(F555:AI555,"+")+COUNTIF(F555:AI555,"1"))</f>
        <v/>
      </c>
      <c r="D555" s="4">
        <f>IF(A555="","",IF(C555&gt;2*COUNTA(F$549:AI$549)/3,'Общий'!$M$11,IF(C555&gt;=COUNTA(F$549:AI$549)/2,'Общий'!$M$12,'Общий'!$M$13)))</f>
        <v/>
      </c>
      <c r="E555" s="4">
        <f>IF(A555="","",SUMIFS('Логи'!$H$7:$H$3006,'Логи'!$A$7:$A$3006,9,'Логи'!$B$7:$B$3006,1,'Логи'!$C$7:$C$3006,A555))</f>
        <v/>
      </c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4" t="inlineStr">
        <is>
          <t>Студент1.7</t>
        </is>
      </c>
      <c r="B556" s="4" t="inlineStr"/>
      <c r="C556" s="4">
        <f>IF(A556="","",COUNTIF(F556:AI556,"+")+COUNTIF(F556:AI556,"1"))</f>
        <v/>
      </c>
      <c r="D556" s="4">
        <f>IF(A556="","",IF(C556&gt;2*COUNTA(F$549:AI$549)/3,'Общий'!$M$11,IF(C556&gt;=COUNTA(F$549:AI$549)/2,'Общий'!$M$12,'Общий'!$M$13)))</f>
        <v/>
      </c>
      <c r="E556" s="4">
        <f>IF(A556="","",SUMIFS('Логи'!$H$7:$H$3006,'Логи'!$A$7:$A$3006,9,'Логи'!$B$7:$B$3006,1,'Логи'!$C$7:$C$3006,A556))</f>
        <v/>
      </c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</row>
    <row r="557">
      <c r="A557" s="4" t="inlineStr">
        <is>
          <t>Студент1.8</t>
        </is>
      </c>
      <c r="B557" s="4" t="inlineStr"/>
      <c r="C557" s="4">
        <f>IF(A557="","",COUNTIF(F557:AI557,"+")+COUNTIF(F557:AI557,"1"))</f>
        <v/>
      </c>
      <c r="D557" s="4">
        <f>IF(A557="","",IF(C557&gt;2*COUNTA(F$549:AI$549)/3,'Общий'!$M$11,IF(C557&gt;=COUNTA(F$549:AI$549)/2,'Общий'!$M$12,'Общий'!$M$13)))</f>
        <v/>
      </c>
      <c r="E557" s="4">
        <f>IF(A557="","",SUMIFS('Логи'!$H$7:$H$3006,'Логи'!$A$7:$A$3006,9,'Логи'!$B$7:$B$3006,1,'Логи'!$C$7:$C$3006,A557))</f>
        <v/>
      </c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4" t="inlineStr">
        <is>
          <t>Студент1.9</t>
        </is>
      </c>
      <c r="B558" s="4" t="inlineStr"/>
      <c r="C558" s="4">
        <f>IF(A558="","",COUNTIF(F558:AI558,"+")+COUNTIF(F558:AI558,"1"))</f>
        <v/>
      </c>
      <c r="D558" s="4">
        <f>IF(A558="","",IF(C558&gt;2*COUNTA(F$549:AI$549)/3,'Общий'!$M$11,IF(C558&gt;=COUNTA(F$549:AI$549)/2,'Общий'!$M$12,'Общий'!$M$13)))</f>
        <v/>
      </c>
      <c r="E558" s="4">
        <f>IF(A558="","",SUMIFS('Логи'!$H$7:$H$3006,'Логи'!$A$7:$A$3006,9,'Логи'!$B$7:$B$3006,1,'Логи'!$C$7:$C$3006,A558))</f>
        <v/>
      </c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</row>
    <row r="559">
      <c r="A559" s="4" t="inlineStr">
        <is>
          <t>Студент1.10</t>
        </is>
      </c>
      <c r="B559" s="4" t="inlineStr"/>
      <c r="C559" s="4">
        <f>IF(A559="","",COUNTIF(F559:AI559,"+")+COUNTIF(F559:AI559,"1"))</f>
        <v/>
      </c>
      <c r="D559" s="4">
        <f>IF(A559="","",IF(C559&gt;2*COUNTA(F$549:AI$549)/3,'Общий'!$M$11,IF(C559&gt;=COUNTA(F$549:AI$549)/2,'Общий'!$M$12,'Общий'!$M$13)))</f>
        <v/>
      </c>
      <c r="E559" s="4">
        <f>IF(A559="","",SUMIFS('Логи'!$H$7:$H$3006,'Логи'!$A$7:$A$3006,9,'Логи'!$B$7:$B$3006,1,'Логи'!$C$7:$C$3006,A559))</f>
        <v/>
      </c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4" t="inlineStr">
        <is>
          <t>Студент1.11</t>
        </is>
      </c>
      <c r="B560" s="4" t="inlineStr"/>
      <c r="C560" s="4">
        <f>IF(A560="","",COUNTIF(F560:AI560,"+")+COUNTIF(F560:AI560,"1"))</f>
        <v/>
      </c>
      <c r="D560" s="4">
        <f>IF(A560="","",IF(C560&gt;2*COUNTA(F$549:AI$549)/3,'Общий'!$M$11,IF(C560&gt;=COUNTA(F$549:AI$549)/2,'Общий'!$M$12,'Общий'!$M$13)))</f>
        <v/>
      </c>
      <c r="E560" s="4">
        <f>IF(A560="","",SUMIFS('Логи'!$H$7:$H$3006,'Логи'!$A$7:$A$3006,9,'Логи'!$B$7:$B$3006,1,'Логи'!$C$7:$C$3006,A560))</f>
        <v/>
      </c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</row>
    <row r="561">
      <c r="A561" s="4" t="inlineStr">
        <is>
          <t>Студент1.12</t>
        </is>
      </c>
      <c r="B561" s="4" t="inlineStr"/>
      <c r="C561" s="4">
        <f>IF(A561="","",COUNTIF(F561:AI561,"+")+COUNTIF(F561:AI561,"1"))</f>
        <v/>
      </c>
      <c r="D561" s="4">
        <f>IF(A561="","",IF(C561&gt;2*COUNTA(F$549:AI$549)/3,'Общий'!$M$11,IF(C561&gt;=COUNTA(F$549:AI$549)/2,'Общий'!$M$12,'Общий'!$M$13)))</f>
        <v/>
      </c>
      <c r="E561" s="4">
        <f>IF(A561="","",SUMIFS('Логи'!$H$7:$H$3006,'Логи'!$A$7:$A$3006,9,'Логи'!$B$7:$B$3006,1,'Логи'!$C$7:$C$3006,A561))</f>
        <v/>
      </c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4" t="inlineStr">
        <is>
          <t>Студент1.13</t>
        </is>
      </c>
      <c r="B562" s="4" t="inlineStr"/>
      <c r="C562" s="4">
        <f>IF(A562="","",COUNTIF(F562:AI562,"+")+COUNTIF(F562:AI562,"1"))</f>
        <v/>
      </c>
      <c r="D562" s="4">
        <f>IF(A562="","",IF(C562&gt;2*COUNTA(F$549:AI$549)/3,'Общий'!$M$11,IF(C562&gt;=COUNTA(F$549:AI$549)/2,'Общий'!$M$12,'Общий'!$M$13)))</f>
        <v/>
      </c>
      <c r="E562" s="4">
        <f>IF(A562="","",SUMIFS('Логи'!$H$7:$H$3006,'Логи'!$A$7:$A$3006,9,'Логи'!$B$7:$B$3006,1,'Логи'!$C$7:$C$3006,A562))</f>
        <v/>
      </c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</row>
    <row r="563">
      <c r="A563" s="4" t="inlineStr">
        <is>
          <t>Студент1.14</t>
        </is>
      </c>
      <c r="B563" s="4" t="inlineStr"/>
      <c r="C563" s="4">
        <f>IF(A563="","",COUNTIF(F563:AI563,"+")+COUNTIF(F563:AI563,"1"))</f>
        <v/>
      </c>
      <c r="D563" s="4">
        <f>IF(A563="","",IF(C563&gt;2*COUNTA(F$549:AI$549)/3,'Общий'!$M$11,IF(C563&gt;=COUNTA(F$549:AI$549)/2,'Общий'!$M$12,'Общий'!$M$13)))</f>
        <v/>
      </c>
      <c r="E563" s="4">
        <f>IF(A563="","",SUMIFS('Логи'!$H$7:$H$3006,'Логи'!$A$7:$A$3006,9,'Логи'!$B$7:$B$3006,1,'Логи'!$C$7:$C$3006,A563))</f>
        <v/>
      </c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4" t="inlineStr">
        <is>
          <t>Студент1.15</t>
        </is>
      </c>
      <c r="B564" s="4" t="inlineStr"/>
      <c r="C564" s="4">
        <f>IF(A564="","",COUNTIF(F564:AI564,"+")+COUNTIF(F564:AI564,"1"))</f>
        <v/>
      </c>
      <c r="D564" s="4">
        <f>IF(A564="","",IF(C564&gt;2*COUNTA(F$549:AI$549)/3,'Общий'!$M$11,IF(C564&gt;=COUNTA(F$549:AI$549)/2,'Общий'!$M$12,'Общий'!$M$13)))</f>
        <v/>
      </c>
      <c r="E564" s="4">
        <f>IF(A564="","",SUMIFS('Логи'!$H$7:$H$3006,'Логи'!$A$7:$A$3006,9,'Логи'!$B$7:$B$3006,1,'Логи'!$C$7:$C$3006,A564))</f>
        <v/>
      </c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</row>
    <row r="565">
      <c r="A565" s="4" t="inlineStr">
        <is>
          <t>Студент1.16</t>
        </is>
      </c>
      <c r="B565" s="4" t="inlineStr"/>
      <c r="C565" s="4">
        <f>IF(A565="","",COUNTIF(F565:AI565,"+")+COUNTIF(F565:AI565,"1"))</f>
        <v/>
      </c>
      <c r="D565" s="4">
        <f>IF(A565="","",IF(C565&gt;2*COUNTA(F$549:AI$549)/3,'Общий'!$M$11,IF(C565&gt;=COUNTA(F$549:AI$549)/2,'Общий'!$M$12,'Общий'!$M$13)))</f>
        <v/>
      </c>
      <c r="E565" s="4">
        <f>IF(A565="","",SUMIFS('Логи'!$H$7:$H$3006,'Логи'!$A$7:$A$3006,9,'Логи'!$B$7:$B$3006,1,'Логи'!$C$7:$C$3006,A565))</f>
        <v/>
      </c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4" t="inlineStr">
        <is>
          <t>Студент1.17</t>
        </is>
      </c>
      <c r="B566" s="4" t="inlineStr"/>
      <c r="C566" s="4">
        <f>IF(A566="","",COUNTIF(F566:AI566,"+")+COUNTIF(F566:AI566,"1"))</f>
        <v/>
      </c>
      <c r="D566" s="4">
        <f>IF(A566="","",IF(C566&gt;2*COUNTA(F$549:AI$549)/3,'Общий'!$M$11,IF(C566&gt;=COUNTA(F$549:AI$549)/2,'Общий'!$M$12,'Общий'!$M$13)))</f>
        <v/>
      </c>
      <c r="E566" s="4">
        <f>IF(A566="","",SUMIFS('Логи'!$H$7:$H$3006,'Логи'!$A$7:$A$3006,9,'Логи'!$B$7:$B$3006,1,'Логи'!$C$7:$C$3006,A566))</f>
        <v/>
      </c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</row>
    <row r="567">
      <c r="A567" s="4" t="inlineStr">
        <is>
          <t>Студент1.18</t>
        </is>
      </c>
      <c r="B567" s="4" t="inlineStr"/>
      <c r="C567" s="4">
        <f>IF(A567="","",COUNTIF(F567:AI567,"+")+COUNTIF(F567:AI567,"1"))</f>
        <v/>
      </c>
      <c r="D567" s="4">
        <f>IF(A567="","",IF(C567&gt;2*COUNTA(F$549:AI$549)/3,'Общий'!$M$11,IF(C567&gt;=COUNTA(F$549:AI$549)/2,'Общий'!$M$12,'Общий'!$M$13)))</f>
        <v/>
      </c>
      <c r="E567" s="4">
        <f>IF(A567="","",SUMIFS('Логи'!$H$7:$H$3006,'Логи'!$A$7:$A$3006,9,'Логи'!$B$7:$B$3006,1,'Логи'!$C$7:$C$3006,A567))</f>
        <v/>
      </c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4" t="inlineStr">
        <is>
          <t>Студент1.19</t>
        </is>
      </c>
      <c r="B568" s="4" t="inlineStr"/>
      <c r="C568" s="4">
        <f>IF(A568="","",COUNTIF(F568:AI568,"+")+COUNTIF(F568:AI568,"1"))</f>
        <v/>
      </c>
      <c r="D568" s="4">
        <f>IF(A568="","",IF(C568&gt;2*COUNTA(F$549:AI$549)/3,'Общий'!$M$11,IF(C568&gt;=COUNTA(F$549:AI$549)/2,'Общий'!$M$12,'Общий'!$M$13)))</f>
        <v/>
      </c>
      <c r="E568" s="4">
        <f>IF(A568="","",SUMIFS('Логи'!$H$7:$H$3006,'Логи'!$A$7:$A$3006,9,'Логи'!$B$7:$B$3006,1,'Логи'!$C$7:$C$3006,A568))</f>
        <v/>
      </c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</row>
    <row r="569">
      <c r="A569" s="4" t="inlineStr">
        <is>
          <t>Студент1.20</t>
        </is>
      </c>
      <c r="B569" s="4" t="inlineStr"/>
      <c r="C569" s="4">
        <f>IF(A569="","",COUNTIF(F569:AI569,"+")+COUNTIF(F569:AI569,"1"))</f>
        <v/>
      </c>
      <c r="D569" s="4">
        <f>IF(A569="","",IF(C569&gt;2*COUNTA(F$549:AI$549)/3,'Общий'!$M$11,IF(C569&gt;=COUNTA(F$549:AI$549)/2,'Общий'!$M$12,'Общий'!$M$13)))</f>
        <v/>
      </c>
      <c r="E569" s="4">
        <f>IF(A569="","",SUMIFS('Логи'!$H$7:$H$3006,'Логи'!$A$7:$A$3006,9,'Логи'!$B$7:$B$3006,1,'Логи'!$C$7:$C$3006,A569))</f>
        <v/>
      </c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4" t="inlineStr">
        <is>
          <t>Студент1.21</t>
        </is>
      </c>
      <c r="B570" s="4" t="inlineStr"/>
      <c r="C570" s="4">
        <f>IF(A570="","",COUNTIF(F570:AI570,"+")+COUNTIF(F570:AI570,"1"))</f>
        <v/>
      </c>
      <c r="D570" s="4">
        <f>IF(A570="","",IF(C570&gt;2*COUNTA(F$549:AI$549)/3,'Общий'!$M$11,IF(C570&gt;=COUNTA(F$549:AI$549)/2,'Общий'!$M$12,'Общий'!$M$13)))</f>
        <v/>
      </c>
      <c r="E570" s="4">
        <f>IF(A570="","",SUMIFS('Логи'!$H$7:$H$3006,'Логи'!$A$7:$A$3006,9,'Логи'!$B$7:$B$3006,1,'Логи'!$C$7:$C$3006,A570))</f>
        <v/>
      </c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</row>
    <row r="571">
      <c r="A571" s="4" t="inlineStr">
        <is>
          <t>Студент1.22</t>
        </is>
      </c>
      <c r="B571" s="4" t="inlineStr"/>
      <c r="C571" s="4">
        <f>IF(A571="","",COUNTIF(F571:AI571,"+")+COUNTIF(F571:AI571,"1"))</f>
        <v/>
      </c>
      <c r="D571" s="4">
        <f>IF(A571="","",IF(C571&gt;2*COUNTA(F$549:AI$549)/3,'Общий'!$M$11,IF(C571&gt;=COUNTA(F$549:AI$549)/2,'Общий'!$M$12,'Общий'!$M$13)))</f>
        <v/>
      </c>
      <c r="E571" s="4">
        <f>IF(A571="","",SUMIFS('Логи'!$H$7:$H$3006,'Логи'!$A$7:$A$3006,9,'Логи'!$B$7:$B$3006,1,'Логи'!$C$7:$C$3006,A571))</f>
        <v/>
      </c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4" t="inlineStr">
        <is>
          <t>Студент1.23</t>
        </is>
      </c>
      <c r="B572" s="4" t="inlineStr"/>
      <c r="C572" s="4">
        <f>IF(A572="","",COUNTIF(F572:AI572,"+")+COUNTIF(F572:AI572,"1"))</f>
        <v/>
      </c>
      <c r="D572" s="4">
        <f>IF(A572="","",IF(C572&gt;2*COUNTA(F$549:AI$549)/3,'Общий'!$M$11,IF(C572&gt;=COUNTA(F$549:AI$549)/2,'Общий'!$M$12,'Общий'!$M$13)))</f>
        <v/>
      </c>
      <c r="E572" s="4">
        <f>IF(A572="","",SUMIFS('Логи'!$H$7:$H$3006,'Логи'!$A$7:$A$3006,9,'Логи'!$B$7:$B$3006,1,'Логи'!$C$7:$C$3006,A572))</f>
        <v/>
      </c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</row>
    <row r="573">
      <c r="A573" s="4" t="inlineStr">
        <is>
          <t>Студент1.24</t>
        </is>
      </c>
      <c r="B573" s="4" t="inlineStr"/>
      <c r="C573" s="4">
        <f>IF(A573="","",COUNTIF(F573:AI573,"+")+COUNTIF(F573:AI573,"1"))</f>
        <v/>
      </c>
      <c r="D573" s="4">
        <f>IF(A573="","",IF(C573&gt;2*COUNTA(F$549:AI$549)/3,'Общий'!$M$11,IF(C573&gt;=COUNTA(F$549:AI$549)/2,'Общий'!$M$12,'Общий'!$M$13)))</f>
        <v/>
      </c>
      <c r="E573" s="4">
        <f>IF(A573="","",SUMIFS('Логи'!$H$7:$H$3006,'Логи'!$A$7:$A$3006,9,'Логи'!$B$7:$B$3006,1,'Логи'!$C$7:$C$3006,A573))</f>
        <v/>
      </c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4" t="inlineStr">
        <is>
          <t>Студент1.25</t>
        </is>
      </c>
      <c r="B574" s="4" t="inlineStr"/>
      <c r="C574" s="4">
        <f>IF(A574="","",COUNTIF(F574:AI574,"+")+COUNTIF(F574:AI574,"1"))</f>
        <v/>
      </c>
      <c r="D574" s="4">
        <f>IF(A574="","",IF(C574&gt;2*COUNTA(F$549:AI$549)/3,'Общий'!$M$11,IF(C574&gt;=COUNTA(F$549:AI$549)/2,'Общий'!$M$12,'Общий'!$M$13)))</f>
        <v/>
      </c>
      <c r="E574" s="4">
        <f>IF(A574="","",SUMIFS('Логи'!$H$7:$H$3006,'Логи'!$A$7:$A$3006,9,'Логи'!$B$7:$B$3006,1,'Логи'!$C$7:$C$3006,A574))</f>
        <v/>
      </c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</row>
    <row r="575">
      <c r="A575" s="4" t="inlineStr">
        <is>
          <t>Студент1.26</t>
        </is>
      </c>
      <c r="B575" s="4" t="inlineStr"/>
      <c r="C575" s="4">
        <f>IF(A575="","",COUNTIF(F575:AI575,"+")+COUNTIF(F575:AI575,"1"))</f>
        <v/>
      </c>
      <c r="D575" s="4">
        <f>IF(A575="","",IF(C575&gt;2*COUNTA(F$549:AI$549)/3,'Общий'!$M$11,IF(C575&gt;=COUNTA(F$549:AI$549)/2,'Общий'!$M$12,'Общий'!$M$13)))</f>
        <v/>
      </c>
      <c r="E575" s="4">
        <f>IF(A575="","",SUMIFS('Логи'!$H$7:$H$3006,'Логи'!$A$7:$A$3006,9,'Логи'!$B$7:$B$3006,1,'Логи'!$C$7:$C$3006,A575))</f>
        <v/>
      </c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4" t="inlineStr">
        <is>
          <t>Студент1.27</t>
        </is>
      </c>
      <c r="B576" s="4" t="inlineStr"/>
      <c r="C576" s="4">
        <f>IF(A576="","",COUNTIF(F576:AI576,"+")+COUNTIF(F576:AI576,"1"))</f>
        <v/>
      </c>
      <c r="D576" s="4">
        <f>IF(A576="","",IF(C576&gt;2*COUNTA(F$549:AI$549)/3,'Общий'!$M$11,IF(C576&gt;=COUNTA(F$549:AI$549)/2,'Общий'!$M$12,'Общий'!$M$13)))</f>
        <v/>
      </c>
      <c r="E576" s="4">
        <f>IF(A576="","",SUMIFS('Логи'!$H$7:$H$3006,'Логи'!$A$7:$A$3006,9,'Логи'!$B$7:$B$3006,1,'Логи'!$C$7:$C$3006,A576))</f>
        <v/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</row>
    <row r="577">
      <c r="A577" s="4" t="inlineStr">
        <is>
          <t>Студент1.28</t>
        </is>
      </c>
      <c r="B577" s="4" t="inlineStr"/>
      <c r="C577" s="4">
        <f>IF(A577="","",COUNTIF(F577:AI577,"+")+COUNTIF(F577:AI577,"1"))</f>
        <v/>
      </c>
      <c r="D577" s="4">
        <f>IF(A577="","",IF(C577&gt;2*COUNTA(F$549:AI$549)/3,'Общий'!$M$11,IF(C577&gt;=COUNTA(F$549:AI$549)/2,'Общий'!$M$12,'Общий'!$M$13)))</f>
        <v/>
      </c>
      <c r="E577" s="4">
        <f>IF(A577="","",SUMIFS('Логи'!$H$7:$H$3006,'Логи'!$A$7:$A$3006,9,'Логи'!$B$7:$B$3006,1,'Логи'!$C$7:$C$3006,A577))</f>
        <v/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4" t="inlineStr">
        <is>
          <t>Студент1.29</t>
        </is>
      </c>
      <c r="B578" s="4" t="inlineStr"/>
      <c r="C578" s="4">
        <f>IF(A578="","",COUNTIF(F578:AI578,"+")+COUNTIF(F578:AI578,"1"))</f>
        <v/>
      </c>
      <c r="D578" s="4">
        <f>IF(A578="","",IF(C578&gt;2*COUNTA(F$549:AI$549)/3,'Общий'!$M$11,IF(C578&gt;=COUNTA(F$549:AI$549)/2,'Общий'!$M$12,'Общий'!$M$13)))</f>
        <v/>
      </c>
      <c r="E578" s="4">
        <f>IF(A578="","",SUMIFS('Логи'!$H$7:$H$3006,'Логи'!$A$7:$A$3006,9,'Логи'!$B$7:$B$3006,1,'Логи'!$C$7:$C$3006,A578))</f>
        <v/>
      </c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</row>
    <row r="579">
      <c r="A579" s="4" t="inlineStr">
        <is>
          <t>Студент1.30</t>
        </is>
      </c>
      <c r="B579" s="4" t="inlineStr"/>
      <c r="C579" s="4">
        <f>IF(A579="","",COUNTIF(F579:AI579,"+")+COUNTIF(F579:AI579,"1"))</f>
        <v/>
      </c>
      <c r="D579" s="4">
        <f>IF(A579="","",IF(C579&gt;2*COUNTA(F$549:AI$549)/3,'Общий'!$M$11,IF(C579&gt;=COUNTA(F$549:AI$549)/2,'Общий'!$M$12,'Общий'!$M$13)))</f>
        <v/>
      </c>
      <c r="E579" s="4">
        <f>IF(A579="","",SUMIFS('Логи'!$H$7:$H$3006,'Логи'!$A$7:$A$3006,9,'Логи'!$B$7:$B$3006,1,'Логи'!$C$7:$C$3006,A579))</f>
        <v/>
      </c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1">
      <c r="A581" s="19" t="inlineStr">
        <is>
          <t>Практика 9 — результаты рассказа</t>
        </is>
      </c>
    </row>
    <row r="582" ht="28" customHeight="1">
      <c r="A582" s="9" t="inlineStr">
        <is>
          <t>Имя</t>
        </is>
      </c>
      <c r="B582" s="11" t="inlineStr">
        <is>
          <t>TG</t>
        </is>
      </c>
      <c r="C582" s="12" t="inlineStr"/>
      <c r="D582" s="3" t="inlineStr"/>
      <c r="E582" s="3" t="inlineStr"/>
      <c r="F582" s="13" t="inlineStr">
        <is>
          <t>1.0</t>
        </is>
      </c>
      <c r="G582" s="13" t="inlineStr">
        <is>
          <t>2.0</t>
        </is>
      </c>
      <c r="H582" s="13" t="inlineStr">
        <is>
          <t>3.0</t>
        </is>
      </c>
      <c r="I582" s="13" t="inlineStr">
        <is>
          <t>4.0</t>
        </is>
      </c>
      <c r="J582" s="13" t="inlineStr">
        <is>
          <t>5.0</t>
        </is>
      </c>
      <c r="K582" s="13" t="inlineStr">
        <is>
          <t>6</t>
        </is>
      </c>
      <c r="L582" s="13" t="inlineStr">
        <is>
          <t>7</t>
        </is>
      </c>
      <c r="M582" s="13" t="inlineStr">
        <is>
          <t>8</t>
        </is>
      </c>
      <c r="N582" s="13" t="inlineStr">
        <is>
          <t>9</t>
        </is>
      </c>
      <c r="O582" s="13" t="inlineStr">
        <is>
          <t>10</t>
        </is>
      </c>
      <c r="P582" s="13" t="inlineStr">
        <is>
          <t>11</t>
        </is>
      </c>
      <c r="Q582" s="13" t="inlineStr">
        <is>
          <t>12</t>
        </is>
      </c>
      <c r="R582" s="13" t="inlineStr">
        <is>
          <t>13</t>
        </is>
      </c>
      <c r="S582" s="13" t="inlineStr">
        <is>
          <t>14</t>
        </is>
      </c>
      <c r="T582" s="13" t="inlineStr">
        <is>
          <t>15</t>
        </is>
      </c>
      <c r="U582" s="13" t="inlineStr">
        <is>
          <t>16</t>
        </is>
      </c>
      <c r="V582" s="13" t="inlineStr">
        <is>
          <t>17</t>
        </is>
      </c>
      <c r="W582" s="13" t="inlineStr">
        <is>
          <t>18</t>
        </is>
      </c>
      <c r="X582" s="13" t="inlineStr">
        <is>
          <t>19</t>
        </is>
      </c>
      <c r="Y582" s="13" t="inlineStr">
        <is>
          <t>20</t>
        </is>
      </c>
      <c r="Z582" s="13" t="inlineStr">
        <is>
          <t>21</t>
        </is>
      </c>
      <c r="AA582" s="13" t="inlineStr">
        <is>
          <t>22</t>
        </is>
      </c>
      <c r="AB582" s="13" t="inlineStr">
        <is>
          <t>23</t>
        </is>
      </c>
      <c r="AC582" s="13" t="inlineStr">
        <is>
          <t>24</t>
        </is>
      </c>
      <c r="AD582" s="13" t="inlineStr">
        <is>
          <t>25</t>
        </is>
      </c>
      <c r="AE582" s="13" t="inlineStr">
        <is>
          <t>26</t>
        </is>
      </c>
      <c r="AF582" s="13" t="inlineStr">
        <is>
          <t>27</t>
        </is>
      </c>
      <c r="AG582" s="13" t="inlineStr">
        <is>
          <t>28</t>
        </is>
      </c>
      <c r="AH582" s="13" t="inlineStr">
        <is>
          <t>29</t>
        </is>
      </c>
      <c r="AI582" s="13" t="inlineStr">
        <is>
          <t>30</t>
        </is>
      </c>
    </row>
    <row r="583">
      <c r="A583" s="4" t="inlineStr">
        <is>
          <t>Студент1.1</t>
        </is>
      </c>
      <c r="B583" s="4" t="inlineStr"/>
      <c r="C583" s="4" t="n"/>
      <c r="D583" s="4" t="n"/>
      <c r="E583" s="4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4" t="inlineStr">
        <is>
          <t>Студент1.2</t>
        </is>
      </c>
      <c r="B584" s="4" t="inlineStr"/>
      <c r="C584" s="4" t="n"/>
      <c r="D584" s="4" t="n"/>
      <c r="E584" s="4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</row>
    <row r="585">
      <c r="A585" s="4" t="inlineStr">
        <is>
          <t>Студент1.3</t>
        </is>
      </c>
      <c r="B585" s="4" t="inlineStr"/>
      <c r="C585" s="4" t="n"/>
      <c r="D585" s="4" t="n"/>
      <c r="E585" s="4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4" t="inlineStr">
        <is>
          <t>Студент1.4</t>
        </is>
      </c>
      <c r="B586" s="4" t="inlineStr"/>
      <c r="C586" s="4" t="n"/>
      <c r="D586" s="4" t="n"/>
      <c r="E586" s="4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</row>
    <row r="587">
      <c r="A587" s="4" t="inlineStr">
        <is>
          <t>Студент1.5</t>
        </is>
      </c>
      <c r="B587" s="4" t="inlineStr"/>
      <c r="C587" s="4" t="n"/>
      <c r="D587" s="4" t="n"/>
      <c r="E587" s="4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4" t="inlineStr">
        <is>
          <t>Студент1.6</t>
        </is>
      </c>
      <c r="B588" s="4" t="inlineStr"/>
      <c r="C588" s="4" t="n"/>
      <c r="D588" s="4" t="n"/>
      <c r="E588" s="4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</row>
    <row r="589">
      <c r="A589" s="4" t="inlineStr">
        <is>
          <t>Студент1.7</t>
        </is>
      </c>
      <c r="B589" s="4" t="inlineStr"/>
      <c r="C589" s="4" t="n"/>
      <c r="D589" s="4" t="n"/>
      <c r="E589" s="4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4" t="inlineStr">
        <is>
          <t>Студент1.8</t>
        </is>
      </c>
      <c r="B590" s="4" t="inlineStr"/>
      <c r="C590" s="4" t="n"/>
      <c r="D590" s="4" t="n"/>
      <c r="E590" s="4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</row>
    <row r="591">
      <c r="A591" s="4" t="inlineStr">
        <is>
          <t>Студент1.9</t>
        </is>
      </c>
      <c r="B591" s="4" t="inlineStr"/>
      <c r="C591" s="4" t="n"/>
      <c r="D591" s="4" t="n"/>
      <c r="E591" s="4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4" t="inlineStr">
        <is>
          <t>Студент1.10</t>
        </is>
      </c>
      <c r="B592" s="4" t="inlineStr"/>
      <c r="C592" s="4" t="n"/>
      <c r="D592" s="4" t="n"/>
      <c r="E592" s="4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</row>
    <row r="593">
      <c r="A593" s="4" t="inlineStr">
        <is>
          <t>Студент1.11</t>
        </is>
      </c>
      <c r="B593" s="4" t="inlineStr"/>
      <c r="C593" s="4" t="n"/>
      <c r="D593" s="4" t="n"/>
      <c r="E593" s="4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4" t="inlineStr">
        <is>
          <t>Студент1.12</t>
        </is>
      </c>
      <c r="B594" s="4" t="inlineStr"/>
      <c r="C594" s="4" t="n"/>
      <c r="D594" s="4" t="n"/>
      <c r="E594" s="4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</row>
    <row r="595">
      <c r="A595" s="4" t="inlineStr">
        <is>
          <t>Студент1.13</t>
        </is>
      </c>
      <c r="B595" s="4" t="inlineStr"/>
      <c r="C595" s="4" t="n"/>
      <c r="D595" s="4" t="n"/>
      <c r="E595" s="4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4" t="inlineStr">
        <is>
          <t>Студент1.14</t>
        </is>
      </c>
      <c r="B596" s="4" t="inlineStr"/>
      <c r="C596" s="4" t="n"/>
      <c r="D596" s="4" t="n"/>
      <c r="E596" s="4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</row>
    <row r="597">
      <c r="A597" s="4" t="inlineStr">
        <is>
          <t>Студент1.15</t>
        </is>
      </c>
      <c r="B597" s="4" t="inlineStr"/>
      <c r="C597" s="4" t="n"/>
      <c r="D597" s="4" t="n"/>
      <c r="E597" s="4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4" t="inlineStr">
        <is>
          <t>Студент1.16</t>
        </is>
      </c>
      <c r="B598" s="4" t="inlineStr"/>
      <c r="C598" s="4" t="n"/>
      <c r="D598" s="4" t="n"/>
      <c r="E598" s="4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</row>
    <row r="599">
      <c r="A599" s="4" t="inlineStr">
        <is>
          <t>Студент1.17</t>
        </is>
      </c>
      <c r="B599" s="4" t="inlineStr"/>
      <c r="C599" s="4" t="n"/>
      <c r="D599" s="4" t="n"/>
      <c r="E599" s="4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4" t="inlineStr">
        <is>
          <t>Студент1.18</t>
        </is>
      </c>
      <c r="B600" s="4" t="inlineStr"/>
      <c r="C600" s="4" t="n"/>
      <c r="D600" s="4" t="n"/>
      <c r="E600" s="4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</row>
    <row r="601">
      <c r="A601" s="4" t="inlineStr">
        <is>
          <t>Студент1.19</t>
        </is>
      </c>
      <c r="B601" s="4" t="inlineStr"/>
      <c r="C601" s="4" t="n"/>
      <c r="D601" s="4" t="n"/>
      <c r="E601" s="4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4" t="inlineStr">
        <is>
          <t>Студент1.20</t>
        </is>
      </c>
      <c r="B602" s="4" t="inlineStr"/>
      <c r="C602" s="4" t="n"/>
      <c r="D602" s="4" t="n"/>
      <c r="E602" s="4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</row>
    <row r="603">
      <c r="A603" s="4" t="inlineStr">
        <is>
          <t>Студент1.21</t>
        </is>
      </c>
      <c r="B603" s="4" t="inlineStr"/>
      <c r="C603" s="4" t="n"/>
      <c r="D603" s="4" t="n"/>
      <c r="E603" s="4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4" t="inlineStr">
        <is>
          <t>Студент1.22</t>
        </is>
      </c>
      <c r="B604" s="4" t="inlineStr"/>
      <c r="C604" s="4" t="n"/>
      <c r="D604" s="4" t="n"/>
      <c r="E604" s="4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</row>
    <row r="605">
      <c r="A605" s="4" t="inlineStr">
        <is>
          <t>Студент1.23</t>
        </is>
      </c>
      <c r="B605" s="4" t="inlineStr"/>
      <c r="C605" s="4" t="n"/>
      <c r="D605" s="4" t="n"/>
      <c r="E605" s="4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4" t="inlineStr">
        <is>
          <t>Студент1.24</t>
        </is>
      </c>
      <c r="B606" s="4" t="inlineStr"/>
      <c r="C606" s="4" t="n"/>
      <c r="D606" s="4" t="n"/>
      <c r="E606" s="4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</row>
    <row r="607">
      <c r="A607" s="4" t="inlineStr">
        <is>
          <t>Студент1.25</t>
        </is>
      </c>
      <c r="B607" s="4" t="inlineStr"/>
      <c r="C607" s="4" t="n"/>
      <c r="D607" s="4" t="n"/>
      <c r="E607" s="4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4" t="inlineStr">
        <is>
          <t>Студент1.26</t>
        </is>
      </c>
      <c r="B608" s="4" t="inlineStr"/>
      <c r="C608" s="4" t="n"/>
      <c r="D608" s="4" t="n"/>
      <c r="E608" s="4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</row>
    <row r="609">
      <c r="A609" s="4" t="inlineStr">
        <is>
          <t>Студент1.27</t>
        </is>
      </c>
      <c r="B609" s="4" t="inlineStr"/>
      <c r="C609" s="4" t="n"/>
      <c r="D609" s="4" t="n"/>
      <c r="E609" s="4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4" t="inlineStr">
        <is>
          <t>Студент1.28</t>
        </is>
      </c>
      <c r="B610" s="4" t="inlineStr"/>
      <c r="C610" s="4" t="n"/>
      <c r="D610" s="4" t="n"/>
      <c r="E610" s="4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</row>
    <row r="611">
      <c r="A611" s="4" t="inlineStr">
        <is>
          <t>Студент1.29</t>
        </is>
      </c>
      <c r="B611" s="4" t="inlineStr"/>
      <c r="C611" s="4" t="n"/>
      <c r="D611" s="4" t="n"/>
      <c r="E611" s="4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4" t="inlineStr">
        <is>
          <t>Студент1.30</t>
        </is>
      </c>
      <c r="B612" s="4" t="inlineStr"/>
      <c r="C612" s="4" t="n"/>
      <c r="D612" s="4" t="n"/>
      <c r="E612" s="4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</row>
    <row r="616">
      <c r="A616" s="17" t="inlineStr">
        <is>
          <t>Практика 10 — плюсы</t>
        </is>
      </c>
    </row>
    <row r="617" ht="28" customHeight="1">
      <c r="A617" s="9" t="inlineStr">
        <is>
          <t>Имя</t>
        </is>
      </c>
      <c r="B617" s="11" t="inlineStr">
        <is>
          <t>TG</t>
        </is>
      </c>
      <c r="C617" s="12" t="inlineStr">
        <is>
          <t>S</t>
        </is>
      </c>
      <c r="D617" s="10" t="inlineStr">
        <is>
          <t>Коэффициент</t>
        </is>
      </c>
      <c r="E617" s="18" t="inlineStr">
        <is>
          <t>D за практику</t>
        </is>
      </c>
      <c r="F617" s="13" t="inlineStr">
        <is>
          <t>1.0</t>
        </is>
      </c>
      <c r="G617" s="13" t="inlineStr">
        <is>
          <t>2.0</t>
        </is>
      </c>
      <c r="H617" s="13" t="inlineStr">
        <is>
          <t>3.0</t>
        </is>
      </c>
      <c r="I617" s="13" t="inlineStr">
        <is>
          <t>4.0</t>
        </is>
      </c>
      <c r="J617" s="13" t="inlineStr">
        <is>
          <t>5.0</t>
        </is>
      </c>
      <c r="K617" s="13" t="inlineStr">
        <is>
          <t>6</t>
        </is>
      </c>
      <c r="L617" s="13" t="inlineStr">
        <is>
          <t>7</t>
        </is>
      </c>
      <c r="M617" s="13" t="inlineStr">
        <is>
          <t>8</t>
        </is>
      </c>
      <c r="N617" s="13" t="inlineStr">
        <is>
          <t>9</t>
        </is>
      </c>
      <c r="O617" s="13" t="inlineStr">
        <is>
          <t>10</t>
        </is>
      </c>
      <c r="P617" s="13" t="inlineStr">
        <is>
          <t>11</t>
        </is>
      </c>
      <c r="Q617" s="13" t="inlineStr">
        <is>
          <t>12</t>
        </is>
      </c>
      <c r="R617" s="13" t="inlineStr">
        <is>
          <t>13</t>
        </is>
      </c>
      <c r="S617" s="13" t="inlineStr">
        <is>
          <t>14</t>
        </is>
      </c>
      <c r="T617" s="13" t="inlineStr">
        <is>
          <t>15</t>
        </is>
      </c>
      <c r="U617" s="13" t="inlineStr">
        <is>
          <t>16</t>
        </is>
      </c>
      <c r="V617" s="13" t="inlineStr">
        <is>
          <t>17</t>
        </is>
      </c>
      <c r="W617" s="13" t="inlineStr">
        <is>
          <t>18</t>
        </is>
      </c>
      <c r="X617" s="13" t="inlineStr">
        <is>
          <t>19</t>
        </is>
      </c>
      <c r="Y617" s="13" t="inlineStr">
        <is>
          <t>20</t>
        </is>
      </c>
      <c r="Z617" s="13" t="inlineStr">
        <is>
          <t>21</t>
        </is>
      </c>
      <c r="AA617" s="13" t="inlineStr">
        <is>
          <t>22</t>
        </is>
      </c>
      <c r="AB617" s="13" t="inlineStr">
        <is>
          <t>23</t>
        </is>
      </c>
      <c r="AC617" s="13" t="inlineStr">
        <is>
          <t>24</t>
        </is>
      </c>
      <c r="AD617" s="13" t="inlineStr">
        <is>
          <t>25</t>
        </is>
      </c>
      <c r="AE617" s="13" t="inlineStr">
        <is>
          <t>26</t>
        </is>
      </c>
      <c r="AF617" s="13" t="inlineStr">
        <is>
          <t>27</t>
        </is>
      </c>
      <c r="AG617" s="13" t="inlineStr">
        <is>
          <t>28</t>
        </is>
      </c>
      <c r="AH617" s="13" t="inlineStr">
        <is>
          <t>29</t>
        </is>
      </c>
      <c r="AI617" s="13" t="inlineStr">
        <is>
          <t>30</t>
        </is>
      </c>
    </row>
    <row r="618">
      <c r="A618" s="4" t="inlineStr">
        <is>
          <t>Студент1.1</t>
        </is>
      </c>
      <c r="B618" s="4" t="inlineStr"/>
      <c r="C618" s="4">
        <f>IF(A618="","",COUNTIF(F618:AI618,"+")+COUNTIF(F618:AI618,"1"))</f>
        <v/>
      </c>
      <c r="D618" s="4">
        <f>IF(A618="","",IF(C618&gt;2*COUNTA(F$617:AI$617)/3,'Общий'!$M$11,IF(C618&gt;=COUNTA(F$617:AI$617)/2,'Общий'!$M$12,'Общий'!$M$13)))</f>
        <v/>
      </c>
      <c r="E618" s="4">
        <f>IF(A618="","",SUMIFS('Логи'!$H$7:$H$3006,'Логи'!$A$7:$A$3006,10,'Логи'!$B$7:$B$3006,1,'Логи'!$C$7:$C$3006,A618))</f>
        <v/>
      </c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</row>
    <row r="619">
      <c r="A619" s="4" t="inlineStr">
        <is>
          <t>Студент1.2</t>
        </is>
      </c>
      <c r="B619" s="4" t="inlineStr"/>
      <c r="C619" s="4">
        <f>IF(A619="","",COUNTIF(F619:AI619,"+")+COUNTIF(F619:AI619,"1"))</f>
        <v/>
      </c>
      <c r="D619" s="4">
        <f>IF(A619="","",IF(C619&gt;2*COUNTA(F$617:AI$617)/3,'Общий'!$M$11,IF(C619&gt;=COUNTA(F$617:AI$617)/2,'Общий'!$M$12,'Общий'!$M$13)))</f>
        <v/>
      </c>
      <c r="E619" s="4">
        <f>IF(A619="","",SUMIFS('Логи'!$H$7:$H$3006,'Логи'!$A$7:$A$3006,10,'Логи'!$B$7:$B$3006,1,'Логи'!$C$7:$C$3006,A619))</f>
        <v/>
      </c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4" t="inlineStr">
        <is>
          <t>Студент1.3</t>
        </is>
      </c>
      <c r="B620" s="4" t="inlineStr"/>
      <c r="C620" s="4">
        <f>IF(A620="","",COUNTIF(F620:AI620,"+")+COUNTIF(F620:AI620,"1"))</f>
        <v/>
      </c>
      <c r="D620" s="4">
        <f>IF(A620="","",IF(C620&gt;2*COUNTA(F$617:AI$617)/3,'Общий'!$M$11,IF(C620&gt;=COUNTA(F$617:AI$617)/2,'Общий'!$M$12,'Общий'!$M$13)))</f>
        <v/>
      </c>
      <c r="E620" s="4">
        <f>IF(A620="","",SUMIFS('Логи'!$H$7:$H$3006,'Логи'!$A$7:$A$3006,10,'Логи'!$B$7:$B$3006,1,'Логи'!$C$7:$C$3006,A620))</f>
        <v/>
      </c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</row>
    <row r="621">
      <c r="A621" s="4" t="inlineStr">
        <is>
          <t>Студент1.4</t>
        </is>
      </c>
      <c r="B621" s="4" t="inlineStr"/>
      <c r="C621" s="4">
        <f>IF(A621="","",COUNTIF(F621:AI621,"+")+COUNTIF(F621:AI621,"1"))</f>
        <v/>
      </c>
      <c r="D621" s="4">
        <f>IF(A621="","",IF(C621&gt;2*COUNTA(F$617:AI$617)/3,'Общий'!$M$11,IF(C621&gt;=COUNTA(F$617:AI$617)/2,'Общий'!$M$12,'Общий'!$M$13)))</f>
        <v/>
      </c>
      <c r="E621" s="4">
        <f>IF(A621="","",SUMIFS('Логи'!$H$7:$H$3006,'Логи'!$A$7:$A$3006,10,'Логи'!$B$7:$B$3006,1,'Логи'!$C$7:$C$3006,A621))</f>
        <v/>
      </c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4" t="inlineStr">
        <is>
          <t>Студент1.5</t>
        </is>
      </c>
      <c r="B622" s="4" t="inlineStr"/>
      <c r="C622" s="4">
        <f>IF(A622="","",COUNTIF(F622:AI622,"+")+COUNTIF(F622:AI622,"1"))</f>
        <v/>
      </c>
      <c r="D622" s="4">
        <f>IF(A622="","",IF(C622&gt;2*COUNTA(F$617:AI$617)/3,'Общий'!$M$11,IF(C622&gt;=COUNTA(F$617:AI$617)/2,'Общий'!$M$12,'Общий'!$M$13)))</f>
        <v/>
      </c>
      <c r="E622" s="4">
        <f>IF(A622="","",SUMIFS('Логи'!$H$7:$H$3006,'Логи'!$A$7:$A$3006,10,'Логи'!$B$7:$B$3006,1,'Логи'!$C$7:$C$3006,A622))</f>
        <v/>
      </c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</row>
    <row r="623">
      <c r="A623" s="4" t="inlineStr">
        <is>
          <t>Студент1.6</t>
        </is>
      </c>
      <c r="B623" s="4" t="inlineStr"/>
      <c r="C623" s="4">
        <f>IF(A623="","",COUNTIF(F623:AI623,"+")+COUNTIF(F623:AI623,"1"))</f>
        <v/>
      </c>
      <c r="D623" s="4">
        <f>IF(A623="","",IF(C623&gt;2*COUNTA(F$617:AI$617)/3,'Общий'!$M$11,IF(C623&gt;=COUNTA(F$617:AI$617)/2,'Общий'!$M$12,'Общий'!$M$13)))</f>
        <v/>
      </c>
      <c r="E623" s="4">
        <f>IF(A623="","",SUMIFS('Логи'!$H$7:$H$3006,'Логи'!$A$7:$A$3006,10,'Логи'!$B$7:$B$3006,1,'Логи'!$C$7:$C$3006,A623))</f>
        <v/>
      </c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4" t="inlineStr">
        <is>
          <t>Студент1.7</t>
        </is>
      </c>
      <c r="B624" s="4" t="inlineStr"/>
      <c r="C624" s="4">
        <f>IF(A624="","",COUNTIF(F624:AI624,"+")+COUNTIF(F624:AI624,"1"))</f>
        <v/>
      </c>
      <c r="D624" s="4">
        <f>IF(A624="","",IF(C624&gt;2*COUNTA(F$617:AI$617)/3,'Общий'!$M$11,IF(C624&gt;=COUNTA(F$617:AI$617)/2,'Общий'!$M$12,'Общий'!$M$13)))</f>
        <v/>
      </c>
      <c r="E624" s="4">
        <f>IF(A624="","",SUMIFS('Логи'!$H$7:$H$3006,'Логи'!$A$7:$A$3006,10,'Логи'!$B$7:$B$3006,1,'Логи'!$C$7:$C$3006,A624))</f>
        <v/>
      </c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</row>
    <row r="625">
      <c r="A625" s="4" t="inlineStr">
        <is>
          <t>Студент1.8</t>
        </is>
      </c>
      <c r="B625" s="4" t="inlineStr"/>
      <c r="C625" s="4">
        <f>IF(A625="","",COUNTIF(F625:AI625,"+")+COUNTIF(F625:AI625,"1"))</f>
        <v/>
      </c>
      <c r="D625" s="4">
        <f>IF(A625="","",IF(C625&gt;2*COUNTA(F$617:AI$617)/3,'Общий'!$M$11,IF(C625&gt;=COUNTA(F$617:AI$617)/2,'Общий'!$M$12,'Общий'!$M$13)))</f>
        <v/>
      </c>
      <c r="E625" s="4">
        <f>IF(A625="","",SUMIFS('Логи'!$H$7:$H$3006,'Логи'!$A$7:$A$3006,10,'Логи'!$B$7:$B$3006,1,'Логи'!$C$7:$C$3006,A625))</f>
        <v/>
      </c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4" t="inlineStr">
        <is>
          <t>Студент1.9</t>
        </is>
      </c>
      <c r="B626" s="4" t="inlineStr"/>
      <c r="C626" s="4">
        <f>IF(A626="","",COUNTIF(F626:AI626,"+")+COUNTIF(F626:AI626,"1"))</f>
        <v/>
      </c>
      <c r="D626" s="4">
        <f>IF(A626="","",IF(C626&gt;2*COUNTA(F$617:AI$617)/3,'Общий'!$M$11,IF(C626&gt;=COUNTA(F$617:AI$617)/2,'Общий'!$M$12,'Общий'!$M$13)))</f>
        <v/>
      </c>
      <c r="E626" s="4">
        <f>IF(A626="","",SUMIFS('Логи'!$H$7:$H$3006,'Логи'!$A$7:$A$3006,10,'Логи'!$B$7:$B$3006,1,'Логи'!$C$7:$C$3006,A626))</f>
        <v/>
      </c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</row>
    <row r="627">
      <c r="A627" s="4" t="inlineStr">
        <is>
          <t>Студент1.10</t>
        </is>
      </c>
      <c r="B627" s="4" t="inlineStr"/>
      <c r="C627" s="4">
        <f>IF(A627="","",COUNTIF(F627:AI627,"+")+COUNTIF(F627:AI627,"1"))</f>
        <v/>
      </c>
      <c r="D627" s="4">
        <f>IF(A627="","",IF(C627&gt;2*COUNTA(F$617:AI$617)/3,'Общий'!$M$11,IF(C627&gt;=COUNTA(F$617:AI$617)/2,'Общий'!$M$12,'Общий'!$M$13)))</f>
        <v/>
      </c>
      <c r="E627" s="4">
        <f>IF(A627="","",SUMIFS('Логи'!$H$7:$H$3006,'Логи'!$A$7:$A$3006,10,'Логи'!$B$7:$B$3006,1,'Логи'!$C$7:$C$3006,A627))</f>
        <v/>
      </c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4" t="inlineStr">
        <is>
          <t>Студент1.11</t>
        </is>
      </c>
      <c r="B628" s="4" t="inlineStr"/>
      <c r="C628" s="4">
        <f>IF(A628="","",COUNTIF(F628:AI628,"+")+COUNTIF(F628:AI628,"1"))</f>
        <v/>
      </c>
      <c r="D628" s="4">
        <f>IF(A628="","",IF(C628&gt;2*COUNTA(F$617:AI$617)/3,'Общий'!$M$11,IF(C628&gt;=COUNTA(F$617:AI$617)/2,'Общий'!$M$12,'Общий'!$M$13)))</f>
        <v/>
      </c>
      <c r="E628" s="4">
        <f>IF(A628="","",SUMIFS('Логи'!$H$7:$H$3006,'Логи'!$A$7:$A$3006,10,'Логи'!$B$7:$B$3006,1,'Логи'!$C$7:$C$3006,A628))</f>
        <v/>
      </c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</row>
    <row r="629">
      <c r="A629" s="4" t="inlineStr">
        <is>
          <t>Студент1.12</t>
        </is>
      </c>
      <c r="B629" s="4" t="inlineStr"/>
      <c r="C629" s="4">
        <f>IF(A629="","",COUNTIF(F629:AI629,"+")+COUNTIF(F629:AI629,"1"))</f>
        <v/>
      </c>
      <c r="D629" s="4">
        <f>IF(A629="","",IF(C629&gt;2*COUNTA(F$617:AI$617)/3,'Общий'!$M$11,IF(C629&gt;=COUNTA(F$617:AI$617)/2,'Общий'!$M$12,'Общий'!$M$13)))</f>
        <v/>
      </c>
      <c r="E629" s="4">
        <f>IF(A629="","",SUMIFS('Логи'!$H$7:$H$3006,'Логи'!$A$7:$A$3006,10,'Логи'!$B$7:$B$3006,1,'Логи'!$C$7:$C$3006,A629))</f>
        <v/>
      </c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4" t="inlineStr">
        <is>
          <t>Студент1.13</t>
        </is>
      </c>
      <c r="B630" s="4" t="inlineStr"/>
      <c r="C630" s="4">
        <f>IF(A630="","",COUNTIF(F630:AI630,"+")+COUNTIF(F630:AI630,"1"))</f>
        <v/>
      </c>
      <c r="D630" s="4">
        <f>IF(A630="","",IF(C630&gt;2*COUNTA(F$617:AI$617)/3,'Общий'!$M$11,IF(C630&gt;=COUNTA(F$617:AI$617)/2,'Общий'!$M$12,'Общий'!$M$13)))</f>
        <v/>
      </c>
      <c r="E630" s="4">
        <f>IF(A630="","",SUMIFS('Логи'!$H$7:$H$3006,'Логи'!$A$7:$A$3006,10,'Логи'!$B$7:$B$3006,1,'Логи'!$C$7:$C$3006,A630))</f>
        <v/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</row>
    <row r="631">
      <c r="A631" s="4" t="inlineStr">
        <is>
          <t>Студент1.14</t>
        </is>
      </c>
      <c r="B631" s="4" t="inlineStr"/>
      <c r="C631" s="4">
        <f>IF(A631="","",COUNTIF(F631:AI631,"+")+COUNTIF(F631:AI631,"1"))</f>
        <v/>
      </c>
      <c r="D631" s="4">
        <f>IF(A631="","",IF(C631&gt;2*COUNTA(F$617:AI$617)/3,'Общий'!$M$11,IF(C631&gt;=COUNTA(F$617:AI$617)/2,'Общий'!$M$12,'Общий'!$M$13)))</f>
        <v/>
      </c>
      <c r="E631" s="4">
        <f>IF(A631="","",SUMIFS('Логи'!$H$7:$H$3006,'Логи'!$A$7:$A$3006,10,'Логи'!$B$7:$B$3006,1,'Логи'!$C$7:$C$3006,A631))</f>
        <v/>
      </c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4" t="inlineStr">
        <is>
          <t>Студент1.15</t>
        </is>
      </c>
      <c r="B632" s="4" t="inlineStr"/>
      <c r="C632" s="4">
        <f>IF(A632="","",COUNTIF(F632:AI632,"+")+COUNTIF(F632:AI632,"1"))</f>
        <v/>
      </c>
      <c r="D632" s="4">
        <f>IF(A632="","",IF(C632&gt;2*COUNTA(F$617:AI$617)/3,'Общий'!$M$11,IF(C632&gt;=COUNTA(F$617:AI$617)/2,'Общий'!$M$12,'Общий'!$M$13)))</f>
        <v/>
      </c>
      <c r="E632" s="4">
        <f>IF(A632="","",SUMIFS('Логи'!$H$7:$H$3006,'Логи'!$A$7:$A$3006,10,'Логи'!$B$7:$B$3006,1,'Логи'!$C$7:$C$3006,A632))</f>
        <v/>
      </c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</row>
    <row r="633">
      <c r="A633" s="4" t="inlineStr">
        <is>
          <t>Студент1.16</t>
        </is>
      </c>
      <c r="B633" s="4" t="inlineStr"/>
      <c r="C633" s="4">
        <f>IF(A633="","",COUNTIF(F633:AI633,"+")+COUNTIF(F633:AI633,"1"))</f>
        <v/>
      </c>
      <c r="D633" s="4">
        <f>IF(A633="","",IF(C633&gt;2*COUNTA(F$617:AI$617)/3,'Общий'!$M$11,IF(C633&gt;=COUNTA(F$617:AI$617)/2,'Общий'!$M$12,'Общий'!$M$13)))</f>
        <v/>
      </c>
      <c r="E633" s="4">
        <f>IF(A633="","",SUMIFS('Логи'!$H$7:$H$3006,'Логи'!$A$7:$A$3006,10,'Логи'!$B$7:$B$3006,1,'Логи'!$C$7:$C$3006,A633))</f>
        <v/>
      </c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4" t="inlineStr">
        <is>
          <t>Студент1.17</t>
        </is>
      </c>
      <c r="B634" s="4" t="inlineStr"/>
      <c r="C634" s="4">
        <f>IF(A634="","",COUNTIF(F634:AI634,"+")+COUNTIF(F634:AI634,"1"))</f>
        <v/>
      </c>
      <c r="D634" s="4">
        <f>IF(A634="","",IF(C634&gt;2*COUNTA(F$617:AI$617)/3,'Общий'!$M$11,IF(C634&gt;=COUNTA(F$617:AI$617)/2,'Общий'!$M$12,'Общий'!$M$13)))</f>
        <v/>
      </c>
      <c r="E634" s="4">
        <f>IF(A634="","",SUMIFS('Логи'!$H$7:$H$3006,'Логи'!$A$7:$A$3006,10,'Логи'!$B$7:$B$3006,1,'Логи'!$C$7:$C$3006,A634))</f>
        <v/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</row>
    <row r="635">
      <c r="A635" s="4" t="inlineStr">
        <is>
          <t>Студент1.18</t>
        </is>
      </c>
      <c r="B635" s="4" t="inlineStr"/>
      <c r="C635" s="4">
        <f>IF(A635="","",COUNTIF(F635:AI635,"+")+COUNTIF(F635:AI635,"1"))</f>
        <v/>
      </c>
      <c r="D635" s="4">
        <f>IF(A635="","",IF(C635&gt;2*COUNTA(F$617:AI$617)/3,'Общий'!$M$11,IF(C635&gt;=COUNTA(F$617:AI$617)/2,'Общий'!$M$12,'Общий'!$M$13)))</f>
        <v/>
      </c>
      <c r="E635" s="4">
        <f>IF(A635="","",SUMIFS('Логи'!$H$7:$H$3006,'Логи'!$A$7:$A$3006,10,'Логи'!$B$7:$B$3006,1,'Логи'!$C$7:$C$3006,A635))</f>
        <v/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4" t="inlineStr">
        <is>
          <t>Студент1.19</t>
        </is>
      </c>
      <c r="B636" s="4" t="inlineStr"/>
      <c r="C636" s="4">
        <f>IF(A636="","",COUNTIF(F636:AI636,"+")+COUNTIF(F636:AI636,"1"))</f>
        <v/>
      </c>
      <c r="D636" s="4">
        <f>IF(A636="","",IF(C636&gt;2*COUNTA(F$617:AI$617)/3,'Общий'!$M$11,IF(C636&gt;=COUNTA(F$617:AI$617)/2,'Общий'!$M$12,'Общий'!$M$13)))</f>
        <v/>
      </c>
      <c r="E636" s="4">
        <f>IF(A636="","",SUMIFS('Логи'!$H$7:$H$3006,'Логи'!$A$7:$A$3006,10,'Логи'!$B$7:$B$3006,1,'Логи'!$C$7:$C$3006,A636))</f>
        <v/>
      </c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</row>
    <row r="637">
      <c r="A637" s="4" t="inlineStr">
        <is>
          <t>Студент1.20</t>
        </is>
      </c>
      <c r="B637" s="4" t="inlineStr"/>
      <c r="C637" s="4">
        <f>IF(A637="","",COUNTIF(F637:AI637,"+")+COUNTIF(F637:AI637,"1"))</f>
        <v/>
      </c>
      <c r="D637" s="4">
        <f>IF(A637="","",IF(C637&gt;2*COUNTA(F$617:AI$617)/3,'Общий'!$M$11,IF(C637&gt;=COUNTA(F$617:AI$617)/2,'Общий'!$M$12,'Общий'!$M$13)))</f>
        <v/>
      </c>
      <c r="E637" s="4">
        <f>IF(A637="","",SUMIFS('Логи'!$H$7:$H$3006,'Логи'!$A$7:$A$3006,10,'Логи'!$B$7:$B$3006,1,'Логи'!$C$7:$C$3006,A637))</f>
        <v/>
      </c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4" t="inlineStr">
        <is>
          <t>Студент1.21</t>
        </is>
      </c>
      <c r="B638" s="4" t="inlineStr"/>
      <c r="C638" s="4">
        <f>IF(A638="","",COUNTIF(F638:AI638,"+")+COUNTIF(F638:AI638,"1"))</f>
        <v/>
      </c>
      <c r="D638" s="4">
        <f>IF(A638="","",IF(C638&gt;2*COUNTA(F$617:AI$617)/3,'Общий'!$M$11,IF(C638&gt;=COUNTA(F$617:AI$617)/2,'Общий'!$M$12,'Общий'!$M$13)))</f>
        <v/>
      </c>
      <c r="E638" s="4">
        <f>IF(A638="","",SUMIFS('Логи'!$H$7:$H$3006,'Логи'!$A$7:$A$3006,10,'Логи'!$B$7:$B$3006,1,'Логи'!$C$7:$C$3006,A638))</f>
        <v/>
      </c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</row>
    <row r="639">
      <c r="A639" s="4" t="inlineStr">
        <is>
          <t>Студент1.22</t>
        </is>
      </c>
      <c r="B639" s="4" t="inlineStr"/>
      <c r="C639" s="4">
        <f>IF(A639="","",COUNTIF(F639:AI639,"+")+COUNTIF(F639:AI639,"1"))</f>
        <v/>
      </c>
      <c r="D639" s="4">
        <f>IF(A639="","",IF(C639&gt;2*COUNTA(F$617:AI$617)/3,'Общий'!$M$11,IF(C639&gt;=COUNTA(F$617:AI$617)/2,'Общий'!$M$12,'Общий'!$M$13)))</f>
        <v/>
      </c>
      <c r="E639" s="4">
        <f>IF(A639="","",SUMIFS('Логи'!$H$7:$H$3006,'Логи'!$A$7:$A$3006,10,'Логи'!$B$7:$B$3006,1,'Логи'!$C$7:$C$3006,A639))</f>
        <v/>
      </c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4" t="inlineStr">
        <is>
          <t>Студент1.23</t>
        </is>
      </c>
      <c r="B640" s="4" t="inlineStr"/>
      <c r="C640" s="4">
        <f>IF(A640="","",COUNTIF(F640:AI640,"+")+COUNTIF(F640:AI640,"1"))</f>
        <v/>
      </c>
      <c r="D640" s="4">
        <f>IF(A640="","",IF(C640&gt;2*COUNTA(F$617:AI$617)/3,'Общий'!$M$11,IF(C640&gt;=COUNTA(F$617:AI$617)/2,'Общий'!$M$12,'Общий'!$M$13)))</f>
        <v/>
      </c>
      <c r="E640" s="4">
        <f>IF(A640="","",SUMIFS('Логи'!$H$7:$H$3006,'Логи'!$A$7:$A$3006,10,'Логи'!$B$7:$B$3006,1,'Логи'!$C$7:$C$3006,A640))</f>
        <v/>
      </c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</row>
    <row r="641">
      <c r="A641" s="4" t="inlineStr">
        <is>
          <t>Студент1.24</t>
        </is>
      </c>
      <c r="B641" s="4" t="inlineStr"/>
      <c r="C641" s="4">
        <f>IF(A641="","",COUNTIF(F641:AI641,"+")+COUNTIF(F641:AI641,"1"))</f>
        <v/>
      </c>
      <c r="D641" s="4">
        <f>IF(A641="","",IF(C641&gt;2*COUNTA(F$617:AI$617)/3,'Общий'!$M$11,IF(C641&gt;=COUNTA(F$617:AI$617)/2,'Общий'!$M$12,'Общий'!$M$13)))</f>
        <v/>
      </c>
      <c r="E641" s="4">
        <f>IF(A641="","",SUMIFS('Логи'!$H$7:$H$3006,'Логи'!$A$7:$A$3006,10,'Логи'!$B$7:$B$3006,1,'Логи'!$C$7:$C$3006,A641))</f>
        <v/>
      </c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4" t="inlineStr">
        <is>
          <t>Студент1.25</t>
        </is>
      </c>
      <c r="B642" s="4" t="inlineStr"/>
      <c r="C642" s="4">
        <f>IF(A642="","",COUNTIF(F642:AI642,"+")+COUNTIF(F642:AI642,"1"))</f>
        <v/>
      </c>
      <c r="D642" s="4">
        <f>IF(A642="","",IF(C642&gt;2*COUNTA(F$617:AI$617)/3,'Общий'!$M$11,IF(C642&gt;=COUNTA(F$617:AI$617)/2,'Общий'!$M$12,'Общий'!$M$13)))</f>
        <v/>
      </c>
      <c r="E642" s="4">
        <f>IF(A642="","",SUMIFS('Логи'!$H$7:$H$3006,'Логи'!$A$7:$A$3006,10,'Логи'!$B$7:$B$3006,1,'Логи'!$C$7:$C$3006,A642))</f>
        <v/>
      </c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</row>
    <row r="643">
      <c r="A643" s="4" t="inlineStr">
        <is>
          <t>Студент1.26</t>
        </is>
      </c>
      <c r="B643" s="4" t="inlineStr"/>
      <c r="C643" s="4">
        <f>IF(A643="","",COUNTIF(F643:AI643,"+")+COUNTIF(F643:AI643,"1"))</f>
        <v/>
      </c>
      <c r="D643" s="4">
        <f>IF(A643="","",IF(C643&gt;2*COUNTA(F$617:AI$617)/3,'Общий'!$M$11,IF(C643&gt;=COUNTA(F$617:AI$617)/2,'Общий'!$M$12,'Общий'!$M$13)))</f>
        <v/>
      </c>
      <c r="E643" s="4">
        <f>IF(A643="","",SUMIFS('Логи'!$H$7:$H$3006,'Логи'!$A$7:$A$3006,10,'Логи'!$B$7:$B$3006,1,'Логи'!$C$7:$C$3006,A643))</f>
        <v/>
      </c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4" t="inlineStr">
        <is>
          <t>Студент1.27</t>
        </is>
      </c>
      <c r="B644" s="4" t="inlineStr"/>
      <c r="C644" s="4">
        <f>IF(A644="","",COUNTIF(F644:AI644,"+")+COUNTIF(F644:AI644,"1"))</f>
        <v/>
      </c>
      <c r="D644" s="4">
        <f>IF(A644="","",IF(C644&gt;2*COUNTA(F$617:AI$617)/3,'Общий'!$M$11,IF(C644&gt;=COUNTA(F$617:AI$617)/2,'Общий'!$M$12,'Общий'!$M$13)))</f>
        <v/>
      </c>
      <c r="E644" s="4">
        <f>IF(A644="","",SUMIFS('Логи'!$H$7:$H$3006,'Логи'!$A$7:$A$3006,10,'Логи'!$B$7:$B$3006,1,'Логи'!$C$7:$C$3006,A644))</f>
        <v/>
      </c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</row>
    <row r="645">
      <c r="A645" s="4" t="inlineStr">
        <is>
          <t>Студент1.28</t>
        </is>
      </c>
      <c r="B645" s="4" t="inlineStr"/>
      <c r="C645" s="4">
        <f>IF(A645="","",COUNTIF(F645:AI645,"+")+COUNTIF(F645:AI645,"1"))</f>
        <v/>
      </c>
      <c r="D645" s="4">
        <f>IF(A645="","",IF(C645&gt;2*COUNTA(F$617:AI$617)/3,'Общий'!$M$11,IF(C645&gt;=COUNTA(F$617:AI$617)/2,'Общий'!$M$12,'Общий'!$M$13)))</f>
        <v/>
      </c>
      <c r="E645" s="4">
        <f>IF(A645="","",SUMIFS('Логи'!$H$7:$H$3006,'Логи'!$A$7:$A$3006,10,'Логи'!$B$7:$B$3006,1,'Логи'!$C$7:$C$3006,A645))</f>
        <v/>
      </c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4" t="inlineStr">
        <is>
          <t>Студент1.29</t>
        </is>
      </c>
      <c r="B646" s="4" t="inlineStr"/>
      <c r="C646" s="4">
        <f>IF(A646="","",COUNTIF(F646:AI646,"+")+COUNTIF(F646:AI646,"1"))</f>
        <v/>
      </c>
      <c r="D646" s="4">
        <f>IF(A646="","",IF(C646&gt;2*COUNTA(F$617:AI$617)/3,'Общий'!$M$11,IF(C646&gt;=COUNTA(F$617:AI$617)/2,'Общий'!$M$12,'Общий'!$M$13)))</f>
        <v/>
      </c>
      <c r="E646" s="4">
        <f>IF(A646="","",SUMIFS('Логи'!$H$7:$H$3006,'Логи'!$A$7:$A$3006,10,'Логи'!$B$7:$B$3006,1,'Логи'!$C$7:$C$3006,A646))</f>
        <v/>
      </c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</row>
    <row r="647">
      <c r="A647" s="4" t="inlineStr">
        <is>
          <t>Студент1.30</t>
        </is>
      </c>
      <c r="B647" s="4" t="inlineStr"/>
      <c r="C647" s="4">
        <f>IF(A647="","",COUNTIF(F647:AI647,"+")+COUNTIF(F647:AI647,"1"))</f>
        <v/>
      </c>
      <c r="D647" s="4">
        <f>IF(A647="","",IF(C647&gt;2*COUNTA(F$617:AI$617)/3,'Общий'!$M$11,IF(C647&gt;=COUNTA(F$617:AI$617)/2,'Общий'!$M$12,'Общий'!$M$13)))</f>
        <v/>
      </c>
      <c r="E647" s="4">
        <f>IF(A647="","",SUMIFS('Логи'!$H$7:$H$3006,'Логи'!$A$7:$A$3006,10,'Логи'!$B$7:$B$3006,1,'Логи'!$C$7:$C$3006,A647))</f>
        <v/>
      </c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9">
      <c r="A649" s="19" t="inlineStr">
        <is>
          <t>Практика 10 — результаты рассказа</t>
        </is>
      </c>
    </row>
    <row r="650" ht="28" customHeight="1">
      <c r="A650" s="9" t="inlineStr">
        <is>
          <t>Имя</t>
        </is>
      </c>
      <c r="B650" s="11" t="inlineStr">
        <is>
          <t>TG</t>
        </is>
      </c>
      <c r="C650" s="12" t="inlineStr"/>
      <c r="D650" s="3" t="inlineStr"/>
      <c r="E650" s="3" t="inlineStr"/>
      <c r="F650" s="13" t="inlineStr">
        <is>
          <t>1.0</t>
        </is>
      </c>
      <c r="G650" s="13" t="inlineStr">
        <is>
          <t>2.0</t>
        </is>
      </c>
      <c r="H650" s="13" t="inlineStr">
        <is>
          <t>3.0</t>
        </is>
      </c>
      <c r="I650" s="13" t="inlineStr">
        <is>
          <t>4.0</t>
        </is>
      </c>
      <c r="J650" s="13" t="inlineStr">
        <is>
          <t>5.0</t>
        </is>
      </c>
      <c r="K650" s="13" t="inlineStr">
        <is>
          <t>6</t>
        </is>
      </c>
      <c r="L650" s="13" t="inlineStr">
        <is>
          <t>7</t>
        </is>
      </c>
      <c r="M650" s="13" t="inlineStr">
        <is>
          <t>8</t>
        </is>
      </c>
      <c r="N650" s="13" t="inlineStr">
        <is>
          <t>9</t>
        </is>
      </c>
      <c r="O650" s="13" t="inlineStr">
        <is>
          <t>10</t>
        </is>
      </c>
      <c r="P650" s="13" t="inlineStr">
        <is>
          <t>11</t>
        </is>
      </c>
      <c r="Q650" s="13" t="inlineStr">
        <is>
          <t>12</t>
        </is>
      </c>
      <c r="R650" s="13" t="inlineStr">
        <is>
          <t>13</t>
        </is>
      </c>
      <c r="S650" s="13" t="inlineStr">
        <is>
          <t>14</t>
        </is>
      </c>
      <c r="T650" s="13" t="inlineStr">
        <is>
          <t>15</t>
        </is>
      </c>
      <c r="U650" s="13" t="inlineStr">
        <is>
          <t>16</t>
        </is>
      </c>
      <c r="V650" s="13" t="inlineStr">
        <is>
          <t>17</t>
        </is>
      </c>
      <c r="W650" s="13" t="inlineStr">
        <is>
          <t>18</t>
        </is>
      </c>
      <c r="X650" s="13" t="inlineStr">
        <is>
          <t>19</t>
        </is>
      </c>
      <c r="Y650" s="13" t="inlineStr">
        <is>
          <t>20</t>
        </is>
      </c>
      <c r="Z650" s="13" t="inlineStr">
        <is>
          <t>21</t>
        </is>
      </c>
      <c r="AA650" s="13" t="inlineStr">
        <is>
          <t>22</t>
        </is>
      </c>
      <c r="AB650" s="13" t="inlineStr">
        <is>
          <t>23</t>
        </is>
      </c>
      <c r="AC650" s="13" t="inlineStr">
        <is>
          <t>24</t>
        </is>
      </c>
      <c r="AD650" s="13" t="inlineStr">
        <is>
          <t>25</t>
        </is>
      </c>
      <c r="AE650" s="13" t="inlineStr">
        <is>
          <t>26</t>
        </is>
      </c>
      <c r="AF650" s="13" t="inlineStr">
        <is>
          <t>27</t>
        </is>
      </c>
      <c r="AG650" s="13" t="inlineStr">
        <is>
          <t>28</t>
        </is>
      </c>
      <c r="AH650" s="13" t="inlineStr">
        <is>
          <t>29</t>
        </is>
      </c>
      <c r="AI650" s="13" t="inlineStr">
        <is>
          <t>30</t>
        </is>
      </c>
    </row>
    <row r="651">
      <c r="A651" s="4" t="inlineStr">
        <is>
          <t>Студент1.1</t>
        </is>
      </c>
      <c r="B651" s="4" t="inlineStr"/>
      <c r="C651" s="4" t="n"/>
      <c r="D651" s="4" t="n"/>
      <c r="E651" s="4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4" t="inlineStr">
        <is>
          <t>Студент1.2</t>
        </is>
      </c>
      <c r="B652" s="4" t="inlineStr"/>
      <c r="C652" s="4" t="n"/>
      <c r="D652" s="4" t="n"/>
      <c r="E652" s="4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</row>
    <row r="653">
      <c r="A653" s="4" t="inlineStr">
        <is>
          <t>Студент1.3</t>
        </is>
      </c>
      <c r="B653" s="4" t="inlineStr"/>
      <c r="C653" s="4" t="n"/>
      <c r="D653" s="4" t="n"/>
      <c r="E653" s="4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4" t="inlineStr">
        <is>
          <t>Студент1.4</t>
        </is>
      </c>
      <c r="B654" s="4" t="inlineStr"/>
      <c r="C654" s="4" t="n"/>
      <c r="D654" s="4" t="n"/>
      <c r="E654" s="4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</row>
    <row r="655">
      <c r="A655" s="4" t="inlineStr">
        <is>
          <t>Студент1.5</t>
        </is>
      </c>
      <c r="B655" s="4" t="inlineStr"/>
      <c r="C655" s="4" t="n"/>
      <c r="D655" s="4" t="n"/>
      <c r="E655" s="4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4" t="inlineStr">
        <is>
          <t>Студент1.6</t>
        </is>
      </c>
      <c r="B656" s="4" t="inlineStr"/>
      <c r="C656" s="4" t="n"/>
      <c r="D656" s="4" t="n"/>
      <c r="E656" s="4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</row>
    <row r="657">
      <c r="A657" s="4" t="inlineStr">
        <is>
          <t>Студент1.7</t>
        </is>
      </c>
      <c r="B657" s="4" t="inlineStr"/>
      <c r="C657" s="4" t="n"/>
      <c r="D657" s="4" t="n"/>
      <c r="E657" s="4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4" t="inlineStr">
        <is>
          <t>Студент1.8</t>
        </is>
      </c>
      <c r="B658" s="4" t="inlineStr"/>
      <c r="C658" s="4" t="n"/>
      <c r="D658" s="4" t="n"/>
      <c r="E658" s="4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</row>
    <row r="659">
      <c r="A659" s="4" t="inlineStr">
        <is>
          <t>Студент1.9</t>
        </is>
      </c>
      <c r="B659" s="4" t="inlineStr"/>
      <c r="C659" s="4" t="n"/>
      <c r="D659" s="4" t="n"/>
      <c r="E659" s="4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4" t="inlineStr">
        <is>
          <t>Студент1.10</t>
        </is>
      </c>
      <c r="B660" s="4" t="inlineStr"/>
      <c r="C660" s="4" t="n"/>
      <c r="D660" s="4" t="n"/>
      <c r="E660" s="4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</row>
    <row r="661">
      <c r="A661" s="4" t="inlineStr">
        <is>
          <t>Студент1.11</t>
        </is>
      </c>
      <c r="B661" s="4" t="inlineStr"/>
      <c r="C661" s="4" t="n"/>
      <c r="D661" s="4" t="n"/>
      <c r="E661" s="4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4" t="inlineStr">
        <is>
          <t>Студент1.12</t>
        </is>
      </c>
      <c r="B662" s="4" t="inlineStr"/>
      <c r="C662" s="4" t="n"/>
      <c r="D662" s="4" t="n"/>
      <c r="E662" s="4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</row>
    <row r="663">
      <c r="A663" s="4" t="inlineStr">
        <is>
          <t>Студент1.13</t>
        </is>
      </c>
      <c r="B663" s="4" t="inlineStr"/>
      <c r="C663" s="4" t="n"/>
      <c r="D663" s="4" t="n"/>
      <c r="E663" s="4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4" t="inlineStr">
        <is>
          <t>Студент1.14</t>
        </is>
      </c>
      <c r="B664" s="4" t="inlineStr"/>
      <c r="C664" s="4" t="n"/>
      <c r="D664" s="4" t="n"/>
      <c r="E664" s="4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</row>
    <row r="665">
      <c r="A665" s="4" t="inlineStr">
        <is>
          <t>Студент1.15</t>
        </is>
      </c>
      <c r="B665" s="4" t="inlineStr"/>
      <c r="C665" s="4" t="n"/>
      <c r="D665" s="4" t="n"/>
      <c r="E665" s="4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4" t="inlineStr">
        <is>
          <t>Студент1.16</t>
        </is>
      </c>
      <c r="B666" s="4" t="inlineStr"/>
      <c r="C666" s="4" t="n"/>
      <c r="D666" s="4" t="n"/>
      <c r="E666" s="4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</row>
    <row r="667">
      <c r="A667" s="4" t="inlineStr">
        <is>
          <t>Студент1.17</t>
        </is>
      </c>
      <c r="B667" s="4" t="inlineStr"/>
      <c r="C667" s="4" t="n"/>
      <c r="D667" s="4" t="n"/>
      <c r="E667" s="4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4" t="inlineStr">
        <is>
          <t>Студент1.18</t>
        </is>
      </c>
      <c r="B668" s="4" t="inlineStr"/>
      <c r="C668" s="4" t="n"/>
      <c r="D668" s="4" t="n"/>
      <c r="E668" s="4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</row>
    <row r="669">
      <c r="A669" s="4" t="inlineStr">
        <is>
          <t>Студент1.19</t>
        </is>
      </c>
      <c r="B669" s="4" t="inlineStr"/>
      <c r="C669" s="4" t="n"/>
      <c r="D669" s="4" t="n"/>
      <c r="E669" s="4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4" t="inlineStr">
        <is>
          <t>Студент1.20</t>
        </is>
      </c>
      <c r="B670" s="4" t="inlineStr"/>
      <c r="C670" s="4" t="n"/>
      <c r="D670" s="4" t="n"/>
      <c r="E670" s="4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</row>
    <row r="671">
      <c r="A671" s="4" t="inlineStr">
        <is>
          <t>Студент1.21</t>
        </is>
      </c>
      <c r="B671" s="4" t="inlineStr"/>
      <c r="C671" s="4" t="n"/>
      <c r="D671" s="4" t="n"/>
      <c r="E671" s="4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4" t="inlineStr">
        <is>
          <t>Студент1.22</t>
        </is>
      </c>
      <c r="B672" s="4" t="inlineStr"/>
      <c r="C672" s="4" t="n"/>
      <c r="D672" s="4" t="n"/>
      <c r="E672" s="4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</row>
    <row r="673">
      <c r="A673" s="4" t="inlineStr">
        <is>
          <t>Студент1.23</t>
        </is>
      </c>
      <c r="B673" s="4" t="inlineStr"/>
      <c r="C673" s="4" t="n"/>
      <c r="D673" s="4" t="n"/>
      <c r="E673" s="4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4" t="inlineStr">
        <is>
          <t>Студент1.24</t>
        </is>
      </c>
      <c r="B674" s="4" t="inlineStr"/>
      <c r="C674" s="4" t="n"/>
      <c r="D674" s="4" t="n"/>
      <c r="E674" s="4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</row>
    <row r="675">
      <c r="A675" s="4" t="inlineStr">
        <is>
          <t>Студент1.25</t>
        </is>
      </c>
      <c r="B675" s="4" t="inlineStr"/>
      <c r="C675" s="4" t="n"/>
      <c r="D675" s="4" t="n"/>
      <c r="E675" s="4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4" t="inlineStr">
        <is>
          <t>Студент1.26</t>
        </is>
      </c>
      <c r="B676" s="4" t="inlineStr"/>
      <c r="C676" s="4" t="n"/>
      <c r="D676" s="4" t="n"/>
      <c r="E676" s="4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</row>
    <row r="677">
      <c r="A677" s="4" t="inlineStr">
        <is>
          <t>Студент1.27</t>
        </is>
      </c>
      <c r="B677" s="4" t="inlineStr"/>
      <c r="C677" s="4" t="n"/>
      <c r="D677" s="4" t="n"/>
      <c r="E677" s="4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4" t="inlineStr">
        <is>
          <t>Студент1.28</t>
        </is>
      </c>
      <c r="B678" s="4" t="inlineStr"/>
      <c r="C678" s="4" t="n"/>
      <c r="D678" s="4" t="n"/>
      <c r="E678" s="4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</row>
    <row r="679">
      <c r="A679" s="4" t="inlineStr">
        <is>
          <t>Студент1.29</t>
        </is>
      </c>
      <c r="B679" s="4" t="inlineStr"/>
      <c r="C679" s="4" t="n"/>
      <c r="D679" s="4" t="n"/>
      <c r="E679" s="4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4" t="inlineStr">
        <is>
          <t>Студент1.30</t>
        </is>
      </c>
      <c r="B680" s="4" t="inlineStr"/>
      <c r="C680" s="4" t="n"/>
      <c r="D680" s="4" t="n"/>
      <c r="E680" s="4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</row>
    <row r="684">
      <c r="A684" s="17" t="inlineStr">
        <is>
          <t>Практика 11 — плюсы</t>
        </is>
      </c>
    </row>
    <row r="685" ht="28" customHeight="1">
      <c r="A685" s="9" t="inlineStr">
        <is>
          <t>Имя</t>
        </is>
      </c>
      <c r="B685" s="11" t="inlineStr">
        <is>
          <t>TG</t>
        </is>
      </c>
      <c r="C685" s="12" t="inlineStr">
        <is>
          <t>S</t>
        </is>
      </c>
      <c r="D685" s="10" t="inlineStr">
        <is>
          <t>Коэффициент</t>
        </is>
      </c>
      <c r="E685" s="18" t="inlineStr">
        <is>
          <t>D за практику</t>
        </is>
      </c>
      <c r="F685" s="13" t="inlineStr">
        <is>
          <t>1.0</t>
        </is>
      </c>
      <c r="G685" s="13" t="inlineStr">
        <is>
          <t>2.0</t>
        </is>
      </c>
      <c r="H685" s="13" t="inlineStr">
        <is>
          <t>3.0</t>
        </is>
      </c>
      <c r="I685" s="13" t="inlineStr">
        <is>
          <t>4.0</t>
        </is>
      </c>
      <c r="J685" s="13" t="inlineStr">
        <is>
          <t>5.0</t>
        </is>
      </c>
      <c r="K685" s="13" t="inlineStr">
        <is>
          <t>6</t>
        </is>
      </c>
      <c r="L685" s="13" t="inlineStr">
        <is>
          <t>7</t>
        </is>
      </c>
      <c r="M685" s="13" t="inlineStr">
        <is>
          <t>8</t>
        </is>
      </c>
      <c r="N685" s="13" t="inlineStr">
        <is>
          <t>9</t>
        </is>
      </c>
      <c r="O685" s="13" t="inlineStr">
        <is>
          <t>10</t>
        </is>
      </c>
      <c r="P685" s="13" t="inlineStr">
        <is>
          <t>11</t>
        </is>
      </c>
      <c r="Q685" s="13" t="inlineStr">
        <is>
          <t>12</t>
        </is>
      </c>
      <c r="R685" s="13" t="inlineStr">
        <is>
          <t>13</t>
        </is>
      </c>
      <c r="S685" s="13" t="inlineStr">
        <is>
          <t>14</t>
        </is>
      </c>
      <c r="T685" s="13" t="inlineStr">
        <is>
          <t>15</t>
        </is>
      </c>
      <c r="U685" s="13" t="inlineStr">
        <is>
          <t>16</t>
        </is>
      </c>
      <c r="V685" s="13" t="inlineStr">
        <is>
          <t>17</t>
        </is>
      </c>
      <c r="W685" s="13" t="inlineStr">
        <is>
          <t>18</t>
        </is>
      </c>
      <c r="X685" s="13" t="inlineStr">
        <is>
          <t>19</t>
        </is>
      </c>
      <c r="Y685" s="13" t="inlineStr">
        <is>
          <t>20</t>
        </is>
      </c>
      <c r="Z685" s="13" t="inlineStr">
        <is>
          <t>21</t>
        </is>
      </c>
      <c r="AA685" s="13" t="inlineStr">
        <is>
          <t>22</t>
        </is>
      </c>
      <c r="AB685" s="13" t="inlineStr">
        <is>
          <t>23</t>
        </is>
      </c>
      <c r="AC685" s="13" t="inlineStr">
        <is>
          <t>24</t>
        </is>
      </c>
      <c r="AD685" s="13" t="inlineStr">
        <is>
          <t>25</t>
        </is>
      </c>
      <c r="AE685" s="13" t="inlineStr">
        <is>
          <t>26</t>
        </is>
      </c>
      <c r="AF685" s="13" t="inlineStr">
        <is>
          <t>27</t>
        </is>
      </c>
      <c r="AG685" s="13" t="inlineStr">
        <is>
          <t>28</t>
        </is>
      </c>
      <c r="AH685" s="13" t="inlineStr">
        <is>
          <t>29</t>
        </is>
      </c>
      <c r="AI685" s="13" t="inlineStr">
        <is>
          <t>30</t>
        </is>
      </c>
    </row>
    <row r="686">
      <c r="A686" s="4" t="inlineStr">
        <is>
          <t>Студент1.1</t>
        </is>
      </c>
      <c r="B686" s="4" t="inlineStr"/>
      <c r="C686" s="4">
        <f>IF(A686="","",COUNTIF(F686:AI686,"+")+COUNTIF(F686:AI686,"1"))</f>
        <v/>
      </c>
      <c r="D686" s="4">
        <f>IF(A686="","",IF(C686&gt;2*COUNTA(F$685:AI$685)/3,'Общий'!$M$11,IF(C686&gt;=COUNTA(F$685:AI$685)/2,'Общий'!$M$12,'Общий'!$M$13)))</f>
        <v/>
      </c>
      <c r="E686" s="4">
        <f>IF(A686="","",SUMIFS('Логи'!$H$7:$H$3006,'Логи'!$A$7:$A$3006,11,'Логи'!$B$7:$B$3006,1,'Логи'!$C$7:$C$3006,A686))</f>
        <v/>
      </c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</row>
    <row r="687">
      <c r="A687" s="4" t="inlineStr">
        <is>
          <t>Студент1.2</t>
        </is>
      </c>
      <c r="B687" s="4" t="inlineStr"/>
      <c r="C687" s="4">
        <f>IF(A687="","",COUNTIF(F687:AI687,"+")+COUNTIF(F687:AI687,"1"))</f>
        <v/>
      </c>
      <c r="D687" s="4">
        <f>IF(A687="","",IF(C687&gt;2*COUNTA(F$685:AI$685)/3,'Общий'!$M$11,IF(C687&gt;=COUNTA(F$685:AI$685)/2,'Общий'!$M$12,'Общий'!$M$13)))</f>
        <v/>
      </c>
      <c r="E687" s="4">
        <f>IF(A687="","",SUMIFS('Логи'!$H$7:$H$3006,'Логи'!$A$7:$A$3006,11,'Логи'!$B$7:$B$3006,1,'Логи'!$C$7:$C$3006,A687))</f>
        <v/>
      </c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4" t="inlineStr">
        <is>
          <t>Студент1.3</t>
        </is>
      </c>
      <c r="B688" s="4" t="inlineStr"/>
      <c r="C688" s="4">
        <f>IF(A688="","",COUNTIF(F688:AI688,"+")+COUNTIF(F688:AI688,"1"))</f>
        <v/>
      </c>
      <c r="D688" s="4">
        <f>IF(A688="","",IF(C688&gt;2*COUNTA(F$685:AI$685)/3,'Общий'!$M$11,IF(C688&gt;=COUNTA(F$685:AI$685)/2,'Общий'!$M$12,'Общий'!$M$13)))</f>
        <v/>
      </c>
      <c r="E688" s="4">
        <f>IF(A688="","",SUMIFS('Логи'!$H$7:$H$3006,'Логи'!$A$7:$A$3006,11,'Логи'!$B$7:$B$3006,1,'Логи'!$C$7:$C$3006,A688))</f>
        <v/>
      </c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</row>
    <row r="689">
      <c r="A689" s="4" t="inlineStr">
        <is>
          <t>Студент1.4</t>
        </is>
      </c>
      <c r="B689" s="4" t="inlineStr"/>
      <c r="C689" s="4">
        <f>IF(A689="","",COUNTIF(F689:AI689,"+")+COUNTIF(F689:AI689,"1"))</f>
        <v/>
      </c>
      <c r="D689" s="4">
        <f>IF(A689="","",IF(C689&gt;2*COUNTA(F$685:AI$685)/3,'Общий'!$M$11,IF(C689&gt;=COUNTA(F$685:AI$685)/2,'Общий'!$M$12,'Общий'!$M$13)))</f>
        <v/>
      </c>
      <c r="E689" s="4">
        <f>IF(A689="","",SUMIFS('Логи'!$H$7:$H$3006,'Логи'!$A$7:$A$3006,11,'Логи'!$B$7:$B$3006,1,'Логи'!$C$7:$C$3006,A689))</f>
        <v/>
      </c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4" t="inlineStr">
        <is>
          <t>Студент1.5</t>
        </is>
      </c>
      <c r="B690" s="4" t="inlineStr"/>
      <c r="C690" s="4">
        <f>IF(A690="","",COUNTIF(F690:AI690,"+")+COUNTIF(F690:AI690,"1"))</f>
        <v/>
      </c>
      <c r="D690" s="4">
        <f>IF(A690="","",IF(C690&gt;2*COUNTA(F$685:AI$685)/3,'Общий'!$M$11,IF(C690&gt;=COUNTA(F$685:AI$685)/2,'Общий'!$M$12,'Общий'!$M$13)))</f>
        <v/>
      </c>
      <c r="E690" s="4">
        <f>IF(A690="","",SUMIFS('Логи'!$H$7:$H$3006,'Логи'!$A$7:$A$3006,11,'Логи'!$B$7:$B$3006,1,'Логи'!$C$7:$C$3006,A690))</f>
        <v/>
      </c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</row>
    <row r="691">
      <c r="A691" s="4" t="inlineStr">
        <is>
          <t>Студент1.6</t>
        </is>
      </c>
      <c r="B691" s="4" t="inlineStr"/>
      <c r="C691" s="4">
        <f>IF(A691="","",COUNTIF(F691:AI691,"+")+COUNTIF(F691:AI691,"1"))</f>
        <v/>
      </c>
      <c r="D691" s="4">
        <f>IF(A691="","",IF(C691&gt;2*COUNTA(F$685:AI$685)/3,'Общий'!$M$11,IF(C691&gt;=COUNTA(F$685:AI$685)/2,'Общий'!$M$12,'Общий'!$M$13)))</f>
        <v/>
      </c>
      <c r="E691" s="4">
        <f>IF(A691="","",SUMIFS('Логи'!$H$7:$H$3006,'Логи'!$A$7:$A$3006,11,'Логи'!$B$7:$B$3006,1,'Логи'!$C$7:$C$3006,A691))</f>
        <v/>
      </c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4" t="inlineStr">
        <is>
          <t>Студент1.7</t>
        </is>
      </c>
      <c r="B692" s="4" t="inlineStr"/>
      <c r="C692" s="4">
        <f>IF(A692="","",COUNTIF(F692:AI692,"+")+COUNTIF(F692:AI692,"1"))</f>
        <v/>
      </c>
      <c r="D692" s="4">
        <f>IF(A692="","",IF(C692&gt;2*COUNTA(F$685:AI$685)/3,'Общий'!$M$11,IF(C692&gt;=COUNTA(F$685:AI$685)/2,'Общий'!$M$12,'Общий'!$M$13)))</f>
        <v/>
      </c>
      <c r="E692" s="4">
        <f>IF(A692="","",SUMIFS('Логи'!$H$7:$H$3006,'Логи'!$A$7:$A$3006,11,'Логи'!$B$7:$B$3006,1,'Логи'!$C$7:$C$3006,A692))</f>
        <v/>
      </c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</row>
    <row r="693">
      <c r="A693" s="4" t="inlineStr">
        <is>
          <t>Студент1.8</t>
        </is>
      </c>
      <c r="B693" s="4" t="inlineStr"/>
      <c r="C693" s="4">
        <f>IF(A693="","",COUNTIF(F693:AI693,"+")+COUNTIF(F693:AI693,"1"))</f>
        <v/>
      </c>
      <c r="D693" s="4">
        <f>IF(A693="","",IF(C693&gt;2*COUNTA(F$685:AI$685)/3,'Общий'!$M$11,IF(C693&gt;=COUNTA(F$685:AI$685)/2,'Общий'!$M$12,'Общий'!$M$13)))</f>
        <v/>
      </c>
      <c r="E693" s="4">
        <f>IF(A693="","",SUMIFS('Логи'!$H$7:$H$3006,'Логи'!$A$7:$A$3006,11,'Логи'!$B$7:$B$3006,1,'Логи'!$C$7:$C$3006,A693))</f>
        <v/>
      </c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4" t="inlineStr">
        <is>
          <t>Студент1.9</t>
        </is>
      </c>
      <c r="B694" s="4" t="inlineStr"/>
      <c r="C694" s="4">
        <f>IF(A694="","",COUNTIF(F694:AI694,"+")+COUNTIF(F694:AI694,"1"))</f>
        <v/>
      </c>
      <c r="D694" s="4">
        <f>IF(A694="","",IF(C694&gt;2*COUNTA(F$685:AI$685)/3,'Общий'!$M$11,IF(C694&gt;=COUNTA(F$685:AI$685)/2,'Общий'!$M$12,'Общий'!$M$13)))</f>
        <v/>
      </c>
      <c r="E694" s="4">
        <f>IF(A694="","",SUMIFS('Логи'!$H$7:$H$3006,'Логи'!$A$7:$A$3006,11,'Логи'!$B$7:$B$3006,1,'Логи'!$C$7:$C$3006,A694))</f>
        <v/>
      </c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</row>
    <row r="695">
      <c r="A695" s="4" t="inlineStr">
        <is>
          <t>Студент1.10</t>
        </is>
      </c>
      <c r="B695" s="4" t="inlineStr"/>
      <c r="C695" s="4">
        <f>IF(A695="","",COUNTIF(F695:AI695,"+")+COUNTIF(F695:AI695,"1"))</f>
        <v/>
      </c>
      <c r="D695" s="4">
        <f>IF(A695="","",IF(C695&gt;2*COUNTA(F$685:AI$685)/3,'Общий'!$M$11,IF(C695&gt;=COUNTA(F$685:AI$685)/2,'Общий'!$M$12,'Общий'!$M$13)))</f>
        <v/>
      </c>
      <c r="E695" s="4">
        <f>IF(A695="","",SUMIFS('Логи'!$H$7:$H$3006,'Логи'!$A$7:$A$3006,11,'Логи'!$B$7:$B$3006,1,'Логи'!$C$7:$C$3006,A695))</f>
        <v/>
      </c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4" t="inlineStr">
        <is>
          <t>Студент1.11</t>
        </is>
      </c>
      <c r="B696" s="4" t="inlineStr"/>
      <c r="C696" s="4">
        <f>IF(A696="","",COUNTIF(F696:AI696,"+")+COUNTIF(F696:AI696,"1"))</f>
        <v/>
      </c>
      <c r="D696" s="4">
        <f>IF(A696="","",IF(C696&gt;2*COUNTA(F$685:AI$685)/3,'Общий'!$M$11,IF(C696&gt;=COUNTA(F$685:AI$685)/2,'Общий'!$M$12,'Общий'!$M$13)))</f>
        <v/>
      </c>
      <c r="E696" s="4">
        <f>IF(A696="","",SUMIFS('Логи'!$H$7:$H$3006,'Логи'!$A$7:$A$3006,11,'Логи'!$B$7:$B$3006,1,'Логи'!$C$7:$C$3006,A696))</f>
        <v/>
      </c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</row>
    <row r="697">
      <c r="A697" s="4" t="inlineStr">
        <is>
          <t>Студент1.12</t>
        </is>
      </c>
      <c r="B697" s="4" t="inlineStr"/>
      <c r="C697" s="4">
        <f>IF(A697="","",COUNTIF(F697:AI697,"+")+COUNTIF(F697:AI697,"1"))</f>
        <v/>
      </c>
      <c r="D697" s="4">
        <f>IF(A697="","",IF(C697&gt;2*COUNTA(F$685:AI$685)/3,'Общий'!$M$11,IF(C697&gt;=COUNTA(F$685:AI$685)/2,'Общий'!$M$12,'Общий'!$M$13)))</f>
        <v/>
      </c>
      <c r="E697" s="4">
        <f>IF(A697="","",SUMIFS('Логи'!$H$7:$H$3006,'Логи'!$A$7:$A$3006,11,'Логи'!$B$7:$B$3006,1,'Логи'!$C$7:$C$3006,A697))</f>
        <v/>
      </c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4" t="inlineStr">
        <is>
          <t>Студент1.13</t>
        </is>
      </c>
      <c r="B698" s="4" t="inlineStr"/>
      <c r="C698" s="4">
        <f>IF(A698="","",COUNTIF(F698:AI698,"+")+COUNTIF(F698:AI698,"1"))</f>
        <v/>
      </c>
      <c r="D698" s="4">
        <f>IF(A698="","",IF(C698&gt;2*COUNTA(F$685:AI$685)/3,'Общий'!$M$11,IF(C698&gt;=COUNTA(F$685:AI$685)/2,'Общий'!$M$12,'Общий'!$M$13)))</f>
        <v/>
      </c>
      <c r="E698" s="4">
        <f>IF(A698="","",SUMIFS('Логи'!$H$7:$H$3006,'Логи'!$A$7:$A$3006,11,'Логи'!$B$7:$B$3006,1,'Логи'!$C$7:$C$3006,A698))</f>
        <v/>
      </c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</row>
    <row r="699">
      <c r="A699" s="4" t="inlineStr">
        <is>
          <t>Студент1.14</t>
        </is>
      </c>
      <c r="B699" s="4" t="inlineStr"/>
      <c r="C699" s="4">
        <f>IF(A699="","",COUNTIF(F699:AI699,"+")+COUNTIF(F699:AI699,"1"))</f>
        <v/>
      </c>
      <c r="D699" s="4">
        <f>IF(A699="","",IF(C699&gt;2*COUNTA(F$685:AI$685)/3,'Общий'!$M$11,IF(C699&gt;=COUNTA(F$685:AI$685)/2,'Общий'!$M$12,'Общий'!$M$13)))</f>
        <v/>
      </c>
      <c r="E699" s="4">
        <f>IF(A699="","",SUMIFS('Логи'!$H$7:$H$3006,'Логи'!$A$7:$A$3006,11,'Логи'!$B$7:$B$3006,1,'Логи'!$C$7:$C$3006,A699))</f>
        <v/>
      </c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4" t="inlineStr">
        <is>
          <t>Студент1.15</t>
        </is>
      </c>
      <c r="B700" s="4" t="inlineStr"/>
      <c r="C700" s="4">
        <f>IF(A700="","",COUNTIF(F700:AI700,"+")+COUNTIF(F700:AI700,"1"))</f>
        <v/>
      </c>
      <c r="D700" s="4">
        <f>IF(A700="","",IF(C700&gt;2*COUNTA(F$685:AI$685)/3,'Общий'!$M$11,IF(C700&gt;=COUNTA(F$685:AI$685)/2,'Общий'!$M$12,'Общий'!$M$13)))</f>
        <v/>
      </c>
      <c r="E700" s="4">
        <f>IF(A700="","",SUMIFS('Логи'!$H$7:$H$3006,'Логи'!$A$7:$A$3006,11,'Логи'!$B$7:$B$3006,1,'Логи'!$C$7:$C$3006,A700))</f>
        <v/>
      </c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</row>
    <row r="701">
      <c r="A701" s="4" t="inlineStr">
        <is>
          <t>Студент1.16</t>
        </is>
      </c>
      <c r="B701" s="4" t="inlineStr"/>
      <c r="C701" s="4">
        <f>IF(A701="","",COUNTIF(F701:AI701,"+")+COUNTIF(F701:AI701,"1"))</f>
        <v/>
      </c>
      <c r="D701" s="4">
        <f>IF(A701="","",IF(C701&gt;2*COUNTA(F$685:AI$685)/3,'Общий'!$M$11,IF(C701&gt;=COUNTA(F$685:AI$685)/2,'Общий'!$M$12,'Общий'!$M$13)))</f>
        <v/>
      </c>
      <c r="E701" s="4">
        <f>IF(A701="","",SUMIFS('Логи'!$H$7:$H$3006,'Логи'!$A$7:$A$3006,11,'Логи'!$B$7:$B$3006,1,'Логи'!$C$7:$C$3006,A701))</f>
        <v/>
      </c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4" t="inlineStr">
        <is>
          <t>Студент1.17</t>
        </is>
      </c>
      <c r="B702" s="4" t="inlineStr"/>
      <c r="C702" s="4">
        <f>IF(A702="","",COUNTIF(F702:AI702,"+")+COUNTIF(F702:AI702,"1"))</f>
        <v/>
      </c>
      <c r="D702" s="4">
        <f>IF(A702="","",IF(C702&gt;2*COUNTA(F$685:AI$685)/3,'Общий'!$M$11,IF(C702&gt;=COUNTA(F$685:AI$685)/2,'Общий'!$M$12,'Общий'!$M$13)))</f>
        <v/>
      </c>
      <c r="E702" s="4">
        <f>IF(A702="","",SUMIFS('Логи'!$H$7:$H$3006,'Логи'!$A$7:$A$3006,11,'Логи'!$B$7:$B$3006,1,'Логи'!$C$7:$C$3006,A702))</f>
        <v/>
      </c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</row>
    <row r="703">
      <c r="A703" s="4" t="inlineStr">
        <is>
          <t>Студент1.18</t>
        </is>
      </c>
      <c r="B703" s="4" t="inlineStr"/>
      <c r="C703" s="4">
        <f>IF(A703="","",COUNTIF(F703:AI703,"+")+COUNTIF(F703:AI703,"1"))</f>
        <v/>
      </c>
      <c r="D703" s="4">
        <f>IF(A703="","",IF(C703&gt;2*COUNTA(F$685:AI$685)/3,'Общий'!$M$11,IF(C703&gt;=COUNTA(F$685:AI$685)/2,'Общий'!$M$12,'Общий'!$M$13)))</f>
        <v/>
      </c>
      <c r="E703" s="4">
        <f>IF(A703="","",SUMIFS('Логи'!$H$7:$H$3006,'Логи'!$A$7:$A$3006,11,'Логи'!$B$7:$B$3006,1,'Логи'!$C$7:$C$3006,A703))</f>
        <v/>
      </c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4" t="inlineStr">
        <is>
          <t>Студент1.19</t>
        </is>
      </c>
      <c r="B704" s="4" t="inlineStr"/>
      <c r="C704" s="4">
        <f>IF(A704="","",COUNTIF(F704:AI704,"+")+COUNTIF(F704:AI704,"1"))</f>
        <v/>
      </c>
      <c r="D704" s="4">
        <f>IF(A704="","",IF(C704&gt;2*COUNTA(F$685:AI$685)/3,'Общий'!$M$11,IF(C704&gt;=COUNTA(F$685:AI$685)/2,'Общий'!$M$12,'Общий'!$M$13)))</f>
        <v/>
      </c>
      <c r="E704" s="4">
        <f>IF(A704="","",SUMIFS('Логи'!$H$7:$H$3006,'Логи'!$A$7:$A$3006,11,'Логи'!$B$7:$B$3006,1,'Логи'!$C$7:$C$3006,A704))</f>
        <v/>
      </c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</row>
    <row r="705">
      <c r="A705" s="4" t="inlineStr">
        <is>
          <t>Студент1.20</t>
        </is>
      </c>
      <c r="B705" s="4" t="inlineStr"/>
      <c r="C705" s="4">
        <f>IF(A705="","",COUNTIF(F705:AI705,"+")+COUNTIF(F705:AI705,"1"))</f>
        <v/>
      </c>
      <c r="D705" s="4">
        <f>IF(A705="","",IF(C705&gt;2*COUNTA(F$685:AI$685)/3,'Общий'!$M$11,IF(C705&gt;=COUNTA(F$685:AI$685)/2,'Общий'!$M$12,'Общий'!$M$13)))</f>
        <v/>
      </c>
      <c r="E705" s="4">
        <f>IF(A705="","",SUMIFS('Логи'!$H$7:$H$3006,'Логи'!$A$7:$A$3006,11,'Логи'!$B$7:$B$3006,1,'Логи'!$C$7:$C$3006,A705))</f>
        <v/>
      </c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4" t="inlineStr">
        <is>
          <t>Студент1.21</t>
        </is>
      </c>
      <c r="B706" s="4" t="inlineStr"/>
      <c r="C706" s="4">
        <f>IF(A706="","",COUNTIF(F706:AI706,"+")+COUNTIF(F706:AI706,"1"))</f>
        <v/>
      </c>
      <c r="D706" s="4">
        <f>IF(A706="","",IF(C706&gt;2*COUNTA(F$685:AI$685)/3,'Общий'!$M$11,IF(C706&gt;=COUNTA(F$685:AI$685)/2,'Общий'!$M$12,'Общий'!$M$13)))</f>
        <v/>
      </c>
      <c r="E706" s="4">
        <f>IF(A706="","",SUMIFS('Логи'!$H$7:$H$3006,'Логи'!$A$7:$A$3006,11,'Логи'!$B$7:$B$3006,1,'Логи'!$C$7:$C$3006,A706))</f>
        <v/>
      </c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</row>
    <row r="707">
      <c r="A707" s="4" t="inlineStr">
        <is>
          <t>Студент1.22</t>
        </is>
      </c>
      <c r="B707" s="4" t="inlineStr"/>
      <c r="C707" s="4">
        <f>IF(A707="","",COUNTIF(F707:AI707,"+")+COUNTIF(F707:AI707,"1"))</f>
        <v/>
      </c>
      <c r="D707" s="4">
        <f>IF(A707="","",IF(C707&gt;2*COUNTA(F$685:AI$685)/3,'Общий'!$M$11,IF(C707&gt;=COUNTA(F$685:AI$685)/2,'Общий'!$M$12,'Общий'!$M$13)))</f>
        <v/>
      </c>
      <c r="E707" s="4">
        <f>IF(A707="","",SUMIFS('Логи'!$H$7:$H$3006,'Логи'!$A$7:$A$3006,11,'Логи'!$B$7:$B$3006,1,'Логи'!$C$7:$C$3006,A707))</f>
        <v/>
      </c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4" t="inlineStr">
        <is>
          <t>Студент1.23</t>
        </is>
      </c>
      <c r="B708" s="4" t="inlineStr"/>
      <c r="C708" s="4">
        <f>IF(A708="","",COUNTIF(F708:AI708,"+")+COUNTIF(F708:AI708,"1"))</f>
        <v/>
      </c>
      <c r="D708" s="4">
        <f>IF(A708="","",IF(C708&gt;2*COUNTA(F$685:AI$685)/3,'Общий'!$M$11,IF(C708&gt;=COUNTA(F$685:AI$685)/2,'Общий'!$M$12,'Общий'!$M$13)))</f>
        <v/>
      </c>
      <c r="E708" s="4">
        <f>IF(A708="","",SUMIFS('Логи'!$H$7:$H$3006,'Логи'!$A$7:$A$3006,11,'Логи'!$B$7:$B$3006,1,'Логи'!$C$7:$C$3006,A708))</f>
        <v/>
      </c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</row>
    <row r="709">
      <c r="A709" s="4" t="inlineStr">
        <is>
          <t>Студент1.24</t>
        </is>
      </c>
      <c r="B709" s="4" t="inlineStr"/>
      <c r="C709" s="4">
        <f>IF(A709="","",COUNTIF(F709:AI709,"+")+COUNTIF(F709:AI709,"1"))</f>
        <v/>
      </c>
      <c r="D709" s="4">
        <f>IF(A709="","",IF(C709&gt;2*COUNTA(F$685:AI$685)/3,'Общий'!$M$11,IF(C709&gt;=COUNTA(F$685:AI$685)/2,'Общий'!$M$12,'Общий'!$M$13)))</f>
        <v/>
      </c>
      <c r="E709" s="4">
        <f>IF(A709="","",SUMIFS('Логи'!$H$7:$H$3006,'Логи'!$A$7:$A$3006,11,'Логи'!$B$7:$B$3006,1,'Логи'!$C$7:$C$3006,A709))</f>
        <v/>
      </c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4" t="inlineStr">
        <is>
          <t>Студент1.25</t>
        </is>
      </c>
      <c r="B710" s="4" t="inlineStr"/>
      <c r="C710" s="4">
        <f>IF(A710="","",COUNTIF(F710:AI710,"+")+COUNTIF(F710:AI710,"1"))</f>
        <v/>
      </c>
      <c r="D710" s="4">
        <f>IF(A710="","",IF(C710&gt;2*COUNTA(F$685:AI$685)/3,'Общий'!$M$11,IF(C710&gt;=COUNTA(F$685:AI$685)/2,'Общий'!$M$12,'Общий'!$M$13)))</f>
        <v/>
      </c>
      <c r="E710" s="4">
        <f>IF(A710="","",SUMIFS('Логи'!$H$7:$H$3006,'Логи'!$A$7:$A$3006,11,'Логи'!$B$7:$B$3006,1,'Логи'!$C$7:$C$3006,A710))</f>
        <v/>
      </c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</row>
    <row r="711">
      <c r="A711" s="4" t="inlineStr">
        <is>
          <t>Студент1.26</t>
        </is>
      </c>
      <c r="B711" s="4" t="inlineStr"/>
      <c r="C711" s="4">
        <f>IF(A711="","",COUNTIF(F711:AI711,"+")+COUNTIF(F711:AI711,"1"))</f>
        <v/>
      </c>
      <c r="D711" s="4">
        <f>IF(A711="","",IF(C711&gt;2*COUNTA(F$685:AI$685)/3,'Общий'!$M$11,IF(C711&gt;=COUNTA(F$685:AI$685)/2,'Общий'!$M$12,'Общий'!$M$13)))</f>
        <v/>
      </c>
      <c r="E711" s="4">
        <f>IF(A711="","",SUMIFS('Логи'!$H$7:$H$3006,'Логи'!$A$7:$A$3006,11,'Логи'!$B$7:$B$3006,1,'Логи'!$C$7:$C$3006,A711))</f>
        <v/>
      </c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4" t="inlineStr">
        <is>
          <t>Студент1.27</t>
        </is>
      </c>
      <c r="B712" s="4" t="inlineStr"/>
      <c r="C712" s="4">
        <f>IF(A712="","",COUNTIF(F712:AI712,"+")+COUNTIF(F712:AI712,"1"))</f>
        <v/>
      </c>
      <c r="D712" s="4">
        <f>IF(A712="","",IF(C712&gt;2*COUNTA(F$685:AI$685)/3,'Общий'!$M$11,IF(C712&gt;=COUNTA(F$685:AI$685)/2,'Общий'!$M$12,'Общий'!$M$13)))</f>
        <v/>
      </c>
      <c r="E712" s="4">
        <f>IF(A712="","",SUMIFS('Логи'!$H$7:$H$3006,'Логи'!$A$7:$A$3006,11,'Логи'!$B$7:$B$3006,1,'Логи'!$C$7:$C$3006,A712))</f>
        <v/>
      </c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</row>
    <row r="713">
      <c r="A713" s="4" t="inlineStr">
        <is>
          <t>Студент1.28</t>
        </is>
      </c>
      <c r="B713" s="4" t="inlineStr"/>
      <c r="C713" s="4">
        <f>IF(A713="","",COUNTIF(F713:AI713,"+")+COUNTIF(F713:AI713,"1"))</f>
        <v/>
      </c>
      <c r="D713" s="4">
        <f>IF(A713="","",IF(C713&gt;2*COUNTA(F$685:AI$685)/3,'Общий'!$M$11,IF(C713&gt;=COUNTA(F$685:AI$685)/2,'Общий'!$M$12,'Общий'!$M$13)))</f>
        <v/>
      </c>
      <c r="E713" s="4">
        <f>IF(A713="","",SUMIFS('Логи'!$H$7:$H$3006,'Логи'!$A$7:$A$3006,11,'Логи'!$B$7:$B$3006,1,'Логи'!$C$7:$C$3006,A713))</f>
        <v/>
      </c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4" t="inlineStr">
        <is>
          <t>Студент1.29</t>
        </is>
      </c>
      <c r="B714" s="4" t="inlineStr"/>
      <c r="C714" s="4">
        <f>IF(A714="","",COUNTIF(F714:AI714,"+")+COUNTIF(F714:AI714,"1"))</f>
        <v/>
      </c>
      <c r="D714" s="4">
        <f>IF(A714="","",IF(C714&gt;2*COUNTA(F$685:AI$685)/3,'Общий'!$M$11,IF(C714&gt;=COUNTA(F$685:AI$685)/2,'Общий'!$M$12,'Общий'!$M$13)))</f>
        <v/>
      </c>
      <c r="E714" s="4">
        <f>IF(A714="","",SUMIFS('Логи'!$H$7:$H$3006,'Логи'!$A$7:$A$3006,11,'Логи'!$B$7:$B$3006,1,'Логи'!$C$7:$C$3006,A714))</f>
        <v/>
      </c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</row>
    <row r="715">
      <c r="A715" s="4" t="inlineStr">
        <is>
          <t>Студент1.30</t>
        </is>
      </c>
      <c r="B715" s="4" t="inlineStr"/>
      <c r="C715" s="4">
        <f>IF(A715="","",COUNTIF(F715:AI715,"+")+COUNTIF(F715:AI715,"1"))</f>
        <v/>
      </c>
      <c r="D715" s="4">
        <f>IF(A715="","",IF(C715&gt;2*COUNTA(F$685:AI$685)/3,'Общий'!$M$11,IF(C715&gt;=COUNTA(F$685:AI$685)/2,'Общий'!$M$12,'Общий'!$M$13)))</f>
        <v/>
      </c>
      <c r="E715" s="4">
        <f>IF(A715="","",SUMIFS('Логи'!$H$7:$H$3006,'Логи'!$A$7:$A$3006,11,'Логи'!$B$7:$B$3006,1,'Логи'!$C$7:$C$3006,A715))</f>
        <v/>
      </c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7">
      <c r="A717" s="19" t="inlineStr">
        <is>
          <t>Практика 11 — результаты рассказа</t>
        </is>
      </c>
    </row>
    <row r="718" ht="28" customHeight="1">
      <c r="A718" s="9" t="inlineStr">
        <is>
          <t>Имя</t>
        </is>
      </c>
      <c r="B718" s="11" t="inlineStr">
        <is>
          <t>TG</t>
        </is>
      </c>
      <c r="C718" s="12" t="inlineStr"/>
      <c r="D718" s="3" t="inlineStr"/>
      <c r="E718" s="3" t="inlineStr"/>
      <c r="F718" s="13" t="inlineStr">
        <is>
          <t>1.0</t>
        </is>
      </c>
      <c r="G718" s="13" t="inlineStr">
        <is>
          <t>2.0</t>
        </is>
      </c>
      <c r="H718" s="13" t="inlineStr">
        <is>
          <t>3.0</t>
        </is>
      </c>
      <c r="I718" s="13" t="inlineStr">
        <is>
          <t>4.0</t>
        </is>
      </c>
      <c r="J718" s="13" t="inlineStr">
        <is>
          <t>5.0</t>
        </is>
      </c>
      <c r="K718" s="13" t="inlineStr">
        <is>
          <t>6</t>
        </is>
      </c>
      <c r="L718" s="13" t="inlineStr">
        <is>
          <t>7</t>
        </is>
      </c>
      <c r="M718" s="13" t="inlineStr">
        <is>
          <t>8</t>
        </is>
      </c>
      <c r="N718" s="13" t="inlineStr">
        <is>
          <t>9</t>
        </is>
      </c>
      <c r="O718" s="13" t="inlineStr">
        <is>
          <t>10</t>
        </is>
      </c>
      <c r="P718" s="13" t="inlineStr">
        <is>
          <t>11</t>
        </is>
      </c>
      <c r="Q718" s="13" t="inlineStr">
        <is>
          <t>12</t>
        </is>
      </c>
      <c r="R718" s="13" t="inlineStr">
        <is>
          <t>13</t>
        </is>
      </c>
      <c r="S718" s="13" t="inlineStr">
        <is>
          <t>14</t>
        </is>
      </c>
      <c r="T718" s="13" t="inlineStr">
        <is>
          <t>15</t>
        </is>
      </c>
      <c r="U718" s="13" t="inlineStr">
        <is>
          <t>16</t>
        </is>
      </c>
      <c r="V718" s="13" t="inlineStr">
        <is>
          <t>17</t>
        </is>
      </c>
      <c r="W718" s="13" t="inlineStr">
        <is>
          <t>18</t>
        </is>
      </c>
      <c r="X718" s="13" t="inlineStr">
        <is>
          <t>19</t>
        </is>
      </c>
      <c r="Y718" s="13" t="inlineStr">
        <is>
          <t>20</t>
        </is>
      </c>
      <c r="Z718" s="13" t="inlineStr">
        <is>
          <t>21</t>
        </is>
      </c>
      <c r="AA718" s="13" t="inlineStr">
        <is>
          <t>22</t>
        </is>
      </c>
      <c r="AB718" s="13" t="inlineStr">
        <is>
          <t>23</t>
        </is>
      </c>
      <c r="AC718" s="13" t="inlineStr">
        <is>
          <t>24</t>
        </is>
      </c>
      <c r="AD718" s="13" t="inlineStr">
        <is>
          <t>25</t>
        </is>
      </c>
      <c r="AE718" s="13" t="inlineStr">
        <is>
          <t>26</t>
        </is>
      </c>
      <c r="AF718" s="13" t="inlineStr">
        <is>
          <t>27</t>
        </is>
      </c>
      <c r="AG718" s="13" t="inlineStr">
        <is>
          <t>28</t>
        </is>
      </c>
      <c r="AH718" s="13" t="inlineStr">
        <is>
          <t>29</t>
        </is>
      </c>
      <c r="AI718" s="13" t="inlineStr">
        <is>
          <t>30</t>
        </is>
      </c>
    </row>
    <row r="719">
      <c r="A719" s="4" t="inlineStr">
        <is>
          <t>Студент1.1</t>
        </is>
      </c>
      <c r="B719" s="4" t="inlineStr"/>
      <c r="C719" s="4" t="n"/>
      <c r="D719" s="4" t="n"/>
      <c r="E719" s="4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4" t="inlineStr">
        <is>
          <t>Студент1.2</t>
        </is>
      </c>
      <c r="B720" s="4" t="inlineStr"/>
      <c r="C720" s="4" t="n"/>
      <c r="D720" s="4" t="n"/>
      <c r="E720" s="4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</row>
    <row r="721">
      <c r="A721" s="4" t="inlineStr">
        <is>
          <t>Студент1.3</t>
        </is>
      </c>
      <c r="B721" s="4" t="inlineStr"/>
      <c r="C721" s="4" t="n"/>
      <c r="D721" s="4" t="n"/>
      <c r="E721" s="4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4" t="inlineStr">
        <is>
          <t>Студент1.4</t>
        </is>
      </c>
      <c r="B722" s="4" t="inlineStr"/>
      <c r="C722" s="4" t="n"/>
      <c r="D722" s="4" t="n"/>
      <c r="E722" s="4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</row>
    <row r="723">
      <c r="A723" s="4" t="inlineStr">
        <is>
          <t>Студент1.5</t>
        </is>
      </c>
      <c r="B723" s="4" t="inlineStr"/>
      <c r="C723" s="4" t="n"/>
      <c r="D723" s="4" t="n"/>
      <c r="E723" s="4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4" t="inlineStr">
        <is>
          <t>Студент1.6</t>
        </is>
      </c>
      <c r="B724" s="4" t="inlineStr"/>
      <c r="C724" s="4" t="n"/>
      <c r="D724" s="4" t="n"/>
      <c r="E724" s="4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</row>
    <row r="725">
      <c r="A725" s="4" t="inlineStr">
        <is>
          <t>Студент1.7</t>
        </is>
      </c>
      <c r="B725" s="4" t="inlineStr"/>
      <c r="C725" s="4" t="n"/>
      <c r="D725" s="4" t="n"/>
      <c r="E725" s="4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4" t="inlineStr">
        <is>
          <t>Студент1.8</t>
        </is>
      </c>
      <c r="B726" s="4" t="inlineStr"/>
      <c r="C726" s="4" t="n"/>
      <c r="D726" s="4" t="n"/>
      <c r="E726" s="4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</row>
    <row r="727">
      <c r="A727" s="4" t="inlineStr">
        <is>
          <t>Студент1.9</t>
        </is>
      </c>
      <c r="B727" s="4" t="inlineStr"/>
      <c r="C727" s="4" t="n"/>
      <c r="D727" s="4" t="n"/>
      <c r="E727" s="4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4" t="inlineStr">
        <is>
          <t>Студент1.10</t>
        </is>
      </c>
      <c r="B728" s="4" t="inlineStr"/>
      <c r="C728" s="4" t="n"/>
      <c r="D728" s="4" t="n"/>
      <c r="E728" s="4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</row>
    <row r="729">
      <c r="A729" s="4" t="inlineStr">
        <is>
          <t>Студент1.11</t>
        </is>
      </c>
      <c r="B729" s="4" t="inlineStr"/>
      <c r="C729" s="4" t="n"/>
      <c r="D729" s="4" t="n"/>
      <c r="E729" s="4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4" t="inlineStr">
        <is>
          <t>Студент1.12</t>
        </is>
      </c>
      <c r="B730" s="4" t="inlineStr"/>
      <c r="C730" s="4" t="n"/>
      <c r="D730" s="4" t="n"/>
      <c r="E730" s="4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</row>
    <row r="731">
      <c r="A731" s="4" t="inlineStr">
        <is>
          <t>Студент1.13</t>
        </is>
      </c>
      <c r="B731" s="4" t="inlineStr"/>
      <c r="C731" s="4" t="n"/>
      <c r="D731" s="4" t="n"/>
      <c r="E731" s="4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4" t="inlineStr">
        <is>
          <t>Студент1.14</t>
        </is>
      </c>
      <c r="B732" s="4" t="inlineStr"/>
      <c r="C732" s="4" t="n"/>
      <c r="D732" s="4" t="n"/>
      <c r="E732" s="4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</row>
    <row r="733">
      <c r="A733" s="4" t="inlineStr">
        <is>
          <t>Студент1.15</t>
        </is>
      </c>
      <c r="B733" s="4" t="inlineStr"/>
      <c r="C733" s="4" t="n"/>
      <c r="D733" s="4" t="n"/>
      <c r="E733" s="4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4" t="inlineStr">
        <is>
          <t>Студент1.16</t>
        </is>
      </c>
      <c r="B734" s="4" t="inlineStr"/>
      <c r="C734" s="4" t="n"/>
      <c r="D734" s="4" t="n"/>
      <c r="E734" s="4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</row>
    <row r="735">
      <c r="A735" s="4" t="inlineStr">
        <is>
          <t>Студент1.17</t>
        </is>
      </c>
      <c r="B735" s="4" t="inlineStr"/>
      <c r="C735" s="4" t="n"/>
      <c r="D735" s="4" t="n"/>
      <c r="E735" s="4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4" t="inlineStr">
        <is>
          <t>Студент1.18</t>
        </is>
      </c>
      <c r="B736" s="4" t="inlineStr"/>
      <c r="C736" s="4" t="n"/>
      <c r="D736" s="4" t="n"/>
      <c r="E736" s="4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</row>
    <row r="737">
      <c r="A737" s="4" t="inlineStr">
        <is>
          <t>Студент1.19</t>
        </is>
      </c>
      <c r="B737" s="4" t="inlineStr"/>
      <c r="C737" s="4" t="n"/>
      <c r="D737" s="4" t="n"/>
      <c r="E737" s="4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4" t="inlineStr">
        <is>
          <t>Студент1.20</t>
        </is>
      </c>
      <c r="B738" s="4" t="inlineStr"/>
      <c r="C738" s="4" t="n"/>
      <c r="D738" s="4" t="n"/>
      <c r="E738" s="4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</row>
    <row r="739">
      <c r="A739" s="4" t="inlineStr">
        <is>
          <t>Студент1.21</t>
        </is>
      </c>
      <c r="B739" s="4" t="inlineStr"/>
      <c r="C739" s="4" t="n"/>
      <c r="D739" s="4" t="n"/>
      <c r="E739" s="4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4" t="inlineStr">
        <is>
          <t>Студент1.22</t>
        </is>
      </c>
      <c r="B740" s="4" t="inlineStr"/>
      <c r="C740" s="4" t="n"/>
      <c r="D740" s="4" t="n"/>
      <c r="E740" s="4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</row>
    <row r="741">
      <c r="A741" s="4" t="inlineStr">
        <is>
          <t>Студент1.23</t>
        </is>
      </c>
      <c r="B741" s="4" t="inlineStr"/>
      <c r="C741" s="4" t="n"/>
      <c r="D741" s="4" t="n"/>
      <c r="E741" s="4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4" t="inlineStr">
        <is>
          <t>Студент1.24</t>
        </is>
      </c>
      <c r="B742" s="4" t="inlineStr"/>
      <c r="C742" s="4" t="n"/>
      <c r="D742" s="4" t="n"/>
      <c r="E742" s="4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</row>
    <row r="743">
      <c r="A743" s="4" t="inlineStr">
        <is>
          <t>Студент1.25</t>
        </is>
      </c>
      <c r="B743" s="4" t="inlineStr"/>
      <c r="C743" s="4" t="n"/>
      <c r="D743" s="4" t="n"/>
      <c r="E743" s="4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4" t="inlineStr">
        <is>
          <t>Студент1.26</t>
        </is>
      </c>
      <c r="B744" s="4" t="inlineStr"/>
      <c r="C744" s="4" t="n"/>
      <c r="D744" s="4" t="n"/>
      <c r="E744" s="4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</row>
    <row r="745">
      <c r="A745" s="4" t="inlineStr">
        <is>
          <t>Студент1.27</t>
        </is>
      </c>
      <c r="B745" s="4" t="inlineStr"/>
      <c r="C745" s="4" t="n"/>
      <c r="D745" s="4" t="n"/>
      <c r="E745" s="4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4" t="inlineStr">
        <is>
          <t>Студент1.28</t>
        </is>
      </c>
      <c r="B746" s="4" t="inlineStr"/>
      <c r="C746" s="4" t="n"/>
      <c r="D746" s="4" t="n"/>
      <c r="E746" s="4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</row>
    <row r="747">
      <c r="A747" s="4" t="inlineStr">
        <is>
          <t>Студент1.29</t>
        </is>
      </c>
      <c r="B747" s="4" t="inlineStr"/>
      <c r="C747" s="4" t="n"/>
      <c r="D747" s="4" t="n"/>
      <c r="E747" s="4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4" t="inlineStr">
        <is>
          <t>Студент1.30</t>
        </is>
      </c>
      <c r="B748" s="4" t="inlineStr"/>
      <c r="C748" s="4" t="n"/>
      <c r="D748" s="4" t="n"/>
      <c r="E748" s="4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</row>
    <row r="752">
      <c r="A752" s="17" t="inlineStr">
        <is>
          <t>Практика 12 — плюсы</t>
        </is>
      </c>
    </row>
    <row r="753" ht="28" customHeight="1">
      <c r="A753" s="9" t="inlineStr">
        <is>
          <t>Имя</t>
        </is>
      </c>
      <c r="B753" s="11" t="inlineStr">
        <is>
          <t>TG</t>
        </is>
      </c>
      <c r="C753" s="12" t="inlineStr">
        <is>
          <t>S</t>
        </is>
      </c>
      <c r="D753" s="10" t="inlineStr">
        <is>
          <t>Коэффициент</t>
        </is>
      </c>
      <c r="E753" s="18" t="inlineStr">
        <is>
          <t>D за практику</t>
        </is>
      </c>
      <c r="F753" s="13" t="inlineStr">
        <is>
          <t>1.0</t>
        </is>
      </c>
      <c r="G753" s="13" t="inlineStr">
        <is>
          <t>2.0</t>
        </is>
      </c>
      <c r="H753" s="13" t="inlineStr">
        <is>
          <t>3.0</t>
        </is>
      </c>
      <c r="I753" s="13" t="inlineStr">
        <is>
          <t>4.0</t>
        </is>
      </c>
      <c r="J753" s="13" t="inlineStr">
        <is>
          <t>5.0</t>
        </is>
      </c>
      <c r="K753" s="13" t="inlineStr">
        <is>
          <t>6</t>
        </is>
      </c>
      <c r="L753" s="13" t="inlineStr">
        <is>
          <t>7</t>
        </is>
      </c>
      <c r="M753" s="13" t="inlineStr">
        <is>
          <t>8</t>
        </is>
      </c>
      <c r="N753" s="13" t="inlineStr">
        <is>
          <t>9</t>
        </is>
      </c>
      <c r="O753" s="13" t="inlineStr">
        <is>
          <t>10</t>
        </is>
      </c>
      <c r="P753" s="13" t="inlineStr">
        <is>
          <t>11</t>
        </is>
      </c>
      <c r="Q753" s="13" t="inlineStr">
        <is>
          <t>12</t>
        </is>
      </c>
      <c r="R753" s="13" t="inlineStr">
        <is>
          <t>13</t>
        </is>
      </c>
      <c r="S753" s="13" t="inlineStr">
        <is>
          <t>14</t>
        </is>
      </c>
      <c r="T753" s="13" t="inlineStr">
        <is>
          <t>15</t>
        </is>
      </c>
      <c r="U753" s="13" t="inlineStr">
        <is>
          <t>16</t>
        </is>
      </c>
      <c r="V753" s="13" t="inlineStr">
        <is>
          <t>17</t>
        </is>
      </c>
      <c r="W753" s="13" t="inlineStr">
        <is>
          <t>18</t>
        </is>
      </c>
      <c r="X753" s="13" t="inlineStr">
        <is>
          <t>19</t>
        </is>
      </c>
      <c r="Y753" s="13" t="inlineStr">
        <is>
          <t>20</t>
        </is>
      </c>
      <c r="Z753" s="13" t="inlineStr">
        <is>
          <t>21</t>
        </is>
      </c>
      <c r="AA753" s="13" t="inlineStr">
        <is>
          <t>22</t>
        </is>
      </c>
      <c r="AB753" s="13" t="inlineStr">
        <is>
          <t>23</t>
        </is>
      </c>
      <c r="AC753" s="13" t="inlineStr">
        <is>
          <t>24</t>
        </is>
      </c>
      <c r="AD753" s="13" t="inlineStr">
        <is>
          <t>25</t>
        </is>
      </c>
      <c r="AE753" s="13" t="inlineStr">
        <is>
          <t>26</t>
        </is>
      </c>
      <c r="AF753" s="13" t="inlineStr">
        <is>
          <t>27</t>
        </is>
      </c>
      <c r="AG753" s="13" t="inlineStr">
        <is>
          <t>28</t>
        </is>
      </c>
      <c r="AH753" s="13" t="inlineStr">
        <is>
          <t>29</t>
        </is>
      </c>
      <c r="AI753" s="13" t="inlineStr">
        <is>
          <t>30</t>
        </is>
      </c>
    </row>
    <row r="754">
      <c r="A754" s="4" t="inlineStr">
        <is>
          <t>Студент1.1</t>
        </is>
      </c>
      <c r="B754" s="4" t="inlineStr"/>
      <c r="C754" s="4">
        <f>IF(A754="","",COUNTIF(F754:AI754,"+")+COUNTIF(F754:AI754,"1"))</f>
        <v/>
      </c>
      <c r="D754" s="4">
        <f>IF(A754="","",IF(C754&gt;2*COUNTA(F$753:AI$753)/3,'Общий'!$M$11,IF(C754&gt;=COUNTA(F$753:AI$753)/2,'Общий'!$M$12,'Общий'!$M$13)))</f>
        <v/>
      </c>
      <c r="E754" s="4">
        <f>IF(A754="","",SUMIFS('Логи'!$H$7:$H$3006,'Логи'!$A$7:$A$3006,12,'Логи'!$B$7:$B$3006,1,'Логи'!$C$7:$C$3006,A754))</f>
        <v/>
      </c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</row>
    <row r="755">
      <c r="A755" s="4" t="inlineStr">
        <is>
          <t>Студент1.2</t>
        </is>
      </c>
      <c r="B755" s="4" t="inlineStr"/>
      <c r="C755" s="4">
        <f>IF(A755="","",COUNTIF(F755:AI755,"+")+COUNTIF(F755:AI755,"1"))</f>
        <v/>
      </c>
      <c r="D755" s="4">
        <f>IF(A755="","",IF(C755&gt;2*COUNTA(F$753:AI$753)/3,'Общий'!$M$11,IF(C755&gt;=COUNTA(F$753:AI$753)/2,'Общий'!$M$12,'Общий'!$M$13)))</f>
        <v/>
      </c>
      <c r="E755" s="4">
        <f>IF(A755="","",SUMIFS('Логи'!$H$7:$H$3006,'Логи'!$A$7:$A$3006,12,'Логи'!$B$7:$B$3006,1,'Логи'!$C$7:$C$3006,A755))</f>
        <v/>
      </c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4" t="inlineStr">
        <is>
          <t>Студент1.3</t>
        </is>
      </c>
      <c r="B756" s="4" t="inlineStr"/>
      <c r="C756" s="4">
        <f>IF(A756="","",COUNTIF(F756:AI756,"+")+COUNTIF(F756:AI756,"1"))</f>
        <v/>
      </c>
      <c r="D756" s="4">
        <f>IF(A756="","",IF(C756&gt;2*COUNTA(F$753:AI$753)/3,'Общий'!$M$11,IF(C756&gt;=COUNTA(F$753:AI$753)/2,'Общий'!$M$12,'Общий'!$M$13)))</f>
        <v/>
      </c>
      <c r="E756" s="4">
        <f>IF(A756="","",SUMIFS('Логи'!$H$7:$H$3006,'Логи'!$A$7:$A$3006,12,'Логи'!$B$7:$B$3006,1,'Логи'!$C$7:$C$3006,A756))</f>
        <v/>
      </c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</row>
    <row r="757">
      <c r="A757" s="4" t="inlineStr">
        <is>
          <t>Студент1.4</t>
        </is>
      </c>
      <c r="B757" s="4" t="inlineStr"/>
      <c r="C757" s="4">
        <f>IF(A757="","",COUNTIF(F757:AI757,"+")+COUNTIF(F757:AI757,"1"))</f>
        <v/>
      </c>
      <c r="D757" s="4">
        <f>IF(A757="","",IF(C757&gt;2*COUNTA(F$753:AI$753)/3,'Общий'!$M$11,IF(C757&gt;=COUNTA(F$753:AI$753)/2,'Общий'!$M$12,'Общий'!$M$13)))</f>
        <v/>
      </c>
      <c r="E757" s="4">
        <f>IF(A757="","",SUMIFS('Логи'!$H$7:$H$3006,'Логи'!$A$7:$A$3006,12,'Логи'!$B$7:$B$3006,1,'Логи'!$C$7:$C$3006,A757))</f>
        <v/>
      </c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4" t="inlineStr">
        <is>
          <t>Студент1.5</t>
        </is>
      </c>
      <c r="B758" s="4" t="inlineStr"/>
      <c r="C758" s="4">
        <f>IF(A758="","",COUNTIF(F758:AI758,"+")+COUNTIF(F758:AI758,"1"))</f>
        <v/>
      </c>
      <c r="D758" s="4">
        <f>IF(A758="","",IF(C758&gt;2*COUNTA(F$753:AI$753)/3,'Общий'!$M$11,IF(C758&gt;=COUNTA(F$753:AI$753)/2,'Общий'!$M$12,'Общий'!$M$13)))</f>
        <v/>
      </c>
      <c r="E758" s="4">
        <f>IF(A758="","",SUMIFS('Логи'!$H$7:$H$3006,'Логи'!$A$7:$A$3006,12,'Логи'!$B$7:$B$3006,1,'Логи'!$C$7:$C$3006,A758))</f>
        <v/>
      </c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</row>
    <row r="759">
      <c r="A759" s="4" t="inlineStr">
        <is>
          <t>Студент1.6</t>
        </is>
      </c>
      <c r="B759" s="4" t="inlineStr"/>
      <c r="C759" s="4">
        <f>IF(A759="","",COUNTIF(F759:AI759,"+")+COUNTIF(F759:AI759,"1"))</f>
        <v/>
      </c>
      <c r="D759" s="4">
        <f>IF(A759="","",IF(C759&gt;2*COUNTA(F$753:AI$753)/3,'Общий'!$M$11,IF(C759&gt;=COUNTA(F$753:AI$753)/2,'Общий'!$M$12,'Общий'!$M$13)))</f>
        <v/>
      </c>
      <c r="E759" s="4">
        <f>IF(A759="","",SUMIFS('Логи'!$H$7:$H$3006,'Логи'!$A$7:$A$3006,12,'Логи'!$B$7:$B$3006,1,'Логи'!$C$7:$C$3006,A759))</f>
        <v/>
      </c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4" t="inlineStr">
        <is>
          <t>Студент1.7</t>
        </is>
      </c>
      <c r="B760" s="4" t="inlineStr"/>
      <c r="C760" s="4">
        <f>IF(A760="","",COUNTIF(F760:AI760,"+")+COUNTIF(F760:AI760,"1"))</f>
        <v/>
      </c>
      <c r="D760" s="4">
        <f>IF(A760="","",IF(C760&gt;2*COUNTA(F$753:AI$753)/3,'Общий'!$M$11,IF(C760&gt;=COUNTA(F$753:AI$753)/2,'Общий'!$M$12,'Общий'!$M$13)))</f>
        <v/>
      </c>
      <c r="E760" s="4">
        <f>IF(A760="","",SUMIFS('Логи'!$H$7:$H$3006,'Логи'!$A$7:$A$3006,12,'Логи'!$B$7:$B$3006,1,'Логи'!$C$7:$C$3006,A760))</f>
        <v/>
      </c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</row>
    <row r="761">
      <c r="A761" s="4" t="inlineStr">
        <is>
          <t>Студент1.8</t>
        </is>
      </c>
      <c r="B761" s="4" t="inlineStr"/>
      <c r="C761" s="4">
        <f>IF(A761="","",COUNTIF(F761:AI761,"+")+COUNTIF(F761:AI761,"1"))</f>
        <v/>
      </c>
      <c r="D761" s="4">
        <f>IF(A761="","",IF(C761&gt;2*COUNTA(F$753:AI$753)/3,'Общий'!$M$11,IF(C761&gt;=COUNTA(F$753:AI$753)/2,'Общий'!$M$12,'Общий'!$M$13)))</f>
        <v/>
      </c>
      <c r="E761" s="4">
        <f>IF(A761="","",SUMIFS('Логи'!$H$7:$H$3006,'Логи'!$A$7:$A$3006,12,'Логи'!$B$7:$B$3006,1,'Логи'!$C$7:$C$3006,A761))</f>
        <v/>
      </c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4" t="inlineStr">
        <is>
          <t>Студент1.9</t>
        </is>
      </c>
      <c r="B762" s="4" t="inlineStr"/>
      <c r="C762" s="4">
        <f>IF(A762="","",COUNTIF(F762:AI762,"+")+COUNTIF(F762:AI762,"1"))</f>
        <v/>
      </c>
      <c r="D762" s="4">
        <f>IF(A762="","",IF(C762&gt;2*COUNTA(F$753:AI$753)/3,'Общий'!$M$11,IF(C762&gt;=COUNTA(F$753:AI$753)/2,'Общий'!$M$12,'Общий'!$M$13)))</f>
        <v/>
      </c>
      <c r="E762" s="4">
        <f>IF(A762="","",SUMIFS('Логи'!$H$7:$H$3006,'Логи'!$A$7:$A$3006,12,'Логи'!$B$7:$B$3006,1,'Логи'!$C$7:$C$3006,A762))</f>
        <v/>
      </c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</row>
    <row r="763">
      <c r="A763" s="4" t="inlineStr">
        <is>
          <t>Студент1.10</t>
        </is>
      </c>
      <c r="B763" s="4" t="inlineStr"/>
      <c r="C763" s="4">
        <f>IF(A763="","",COUNTIF(F763:AI763,"+")+COUNTIF(F763:AI763,"1"))</f>
        <v/>
      </c>
      <c r="D763" s="4">
        <f>IF(A763="","",IF(C763&gt;2*COUNTA(F$753:AI$753)/3,'Общий'!$M$11,IF(C763&gt;=COUNTA(F$753:AI$753)/2,'Общий'!$M$12,'Общий'!$M$13)))</f>
        <v/>
      </c>
      <c r="E763" s="4">
        <f>IF(A763="","",SUMIFS('Логи'!$H$7:$H$3006,'Логи'!$A$7:$A$3006,12,'Логи'!$B$7:$B$3006,1,'Логи'!$C$7:$C$3006,A763))</f>
        <v/>
      </c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4" t="inlineStr">
        <is>
          <t>Студент1.11</t>
        </is>
      </c>
      <c r="B764" s="4" t="inlineStr"/>
      <c r="C764" s="4">
        <f>IF(A764="","",COUNTIF(F764:AI764,"+")+COUNTIF(F764:AI764,"1"))</f>
        <v/>
      </c>
      <c r="D764" s="4">
        <f>IF(A764="","",IF(C764&gt;2*COUNTA(F$753:AI$753)/3,'Общий'!$M$11,IF(C764&gt;=COUNTA(F$753:AI$753)/2,'Общий'!$M$12,'Общий'!$M$13)))</f>
        <v/>
      </c>
      <c r="E764" s="4">
        <f>IF(A764="","",SUMIFS('Логи'!$H$7:$H$3006,'Логи'!$A$7:$A$3006,12,'Логи'!$B$7:$B$3006,1,'Логи'!$C$7:$C$3006,A764))</f>
        <v/>
      </c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</row>
    <row r="765">
      <c r="A765" s="4" t="inlineStr">
        <is>
          <t>Студент1.12</t>
        </is>
      </c>
      <c r="B765" s="4" t="inlineStr"/>
      <c r="C765" s="4">
        <f>IF(A765="","",COUNTIF(F765:AI765,"+")+COUNTIF(F765:AI765,"1"))</f>
        <v/>
      </c>
      <c r="D765" s="4">
        <f>IF(A765="","",IF(C765&gt;2*COUNTA(F$753:AI$753)/3,'Общий'!$M$11,IF(C765&gt;=COUNTA(F$753:AI$753)/2,'Общий'!$M$12,'Общий'!$M$13)))</f>
        <v/>
      </c>
      <c r="E765" s="4">
        <f>IF(A765="","",SUMIFS('Логи'!$H$7:$H$3006,'Логи'!$A$7:$A$3006,12,'Логи'!$B$7:$B$3006,1,'Логи'!$C$7:$C$3006,A765))</f>
        <v/>
      </c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4" t="inlineStr">
        <is>
          <t>Студент1.13</t>
        </is>
      </c>
      <c r="B766" s="4" t="inlineStr"/>
      <c r="C766" s="4">
        <f>IF(A766="","",COUNTIF(F766:AI766,"+")+COUNTIF(F766:AI766,"1"))</f>
        <v/>
      </c>
      <c r="D766" s="4">
        <f>IF(A766="","",IF(C766&gt;2*COUNTA(F$753:AI$753)/3,'Общий'!$M$11,IF(C766&gt;=COUNTA(F$753:AI$753)/2,'Общий'!$M$12,'Общий'!$M$13)))</f>
        <v/>
      </c>
      <c r="E766" s="4">
        <f>IF(A766="","",SUMIFS('Логи'!$H$7:$H$3006,'Логи'!$A$7:$A$3006,12,'Логи'!$B$7:$B$3006,1,'Логи'!$C$7:$C$3006,A766))</f>
        <v/>
      </c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</row>
    <row r="767">
      <c r="A767" s="4" t="inlineStr">
        <is>
          <t>Студент1.14</t>
        </is>
      </c>
      <c r="B767" s="4" t="inlineStr"/>
      <c r="C767" s="4">
        <f>IF(A767="","",COUNTIF(F767:AI767,"+")+COUNTIF(F767:AI767,"1"))</f>
        <v/>
      </c>
      <c r="D767" s="4">
        <f>IF(A767="","",IF(C767&gt;2*COUNTA(F$753:AI$753)/3,'Общий'!$M$11,IF(C767&gt;=COUNTA(F$753:AI$753)/2,'Общий'!$M$12,'Общий'!$M$13)))</f>
        <v/>
      </c>
      <c r="E767" s="4">
        <f>IF(A767="","",SUMIFS('Логи'!$H$7:$H$3006,'Логи'!$A$7:$A$3006,12,'Логи'!$B$7:$B$3006,1,'Логи'!$C$7:$C$3006,A767))</f>
        <v/>
      </c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4" t="inlineStr">
        <is>
          <t>Студент1.15</t>
        </is>
      </c>
      <c r="B768" s="4" t="inlineStr"/>
      <c r="C768" s="4">
        <f>IF(A768="","",COUNTIF(F768:AI768,"+")+COUNTIF(F768:AI768,"1"))</f>
        <v/>
      </c>
      <c r="D768" s="4">
        <f>IF(A768="","",IF(C768&gt;2*COUNTA(F$753:AI$753)/3,'Общий'!$M$11,IF(C768&gt;=COUNTA(F$753:AI$753)/2,'Общий'!$M$12,'Общий'!$M$13)))</f>
        <v/>
      </c>
      <c r="E768" s="4">
        <f>IF(A768="","",SUMIFS('Логи'!$H$7:$H$3006,'Логи'!$A$7:$A$3006,12,'Логи'!$B$7:$B$3006,1,'Логи'!$C$7:$C$3006,A768))</f>
        <v/>
      </c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</row>
    <row r="769">
      <c r="A769" s="4" t="inlineStr">
        <is>
          <t>Студент1.16</t>
        </is>
      </c>
      <c r="B769" s="4" t="inlineStr"/>
      <c r="C769" s="4">
        <f>IF(A769="","",COUNTIF(F769:AI769,"+")+COUNTIF(F769:AI769,"1"))</f>
        <v/>
      </c>
      <c r="D769" s="4">
        <f>IF(A769="","",IF(C769&gt;2*COUNTA(F$753:AI$753)/3,'Общий'!$M$11,IF(C769&gt;=COUNTA(F$753:AI$753)/2,'Общий'!$M$12,'Общий'!$M$13)))</f>
        <v/>
      </c>
      <c r="E769" s="4">
        <f>IF(A769="","",SUMIFS('Логи'!$H$7:$H$3006,'Логи'!$A$7:$A$3006,12,'Логи'!$B$7:$B$3006,1,'Логи'!$C$7:$C$3006,A769))</f>
        <v/>
      </c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4" t="inlineStr">
        <is>
          <t>Студент1.17</t>
        </is>
      </c>
      <c r="B770" s="4" t="inlineStr"/>
      <c r="C770" s="4">
        <f>IF(A770="","",COUNTIF(F770:AI770,"+")+COUNTIF(F770:AI770,"1"))</f>
        <v/>
      </c>
      <c r="D770" s="4">
        <f>IF(A770="","",IF(C770&gt;2*COUNTA(F$753:AI$753)/3,'Общий'!$M$11,IF(C770&gt;=COUNTA(F$753:AI$753)/2,'Общий'!$M$12,'Общий'!$M$13)))</f>
        <v/>
      </c>
      <c r="E770" s="4">
        <f>IF(A770="","",SUMIFS('Логи'!$H$7:$H$3006,'Логи'!$A$7:$A$3006,12,'Логи'!$B$7:$B$3006,1,'Логи'!$C$7:$C$3006,A770))</f>
        <v/>
      </c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</row>
    <row r="771">
      <c r="A771" s="4" t="inlineStr">
        <is>
          <t>Студент1.18</t>
        </is>
      </c>
      <c r="B771" s="4" t="inlineStr"/>
      <c r="C771" s="4">
        <f>IF(A771="","",COUNTIF(F771:AI771,"+")+COUNTIF(F771:AI771,"1"))</f>
        <v/>
      </c>
      <c r="D771" s="4">
        <f>IF(A771="","",IF(C771&gt;2*COUNTA(F$753:AI$753)/3,'Общий'!$M$11,IF(C771&gt;=COUNTA(F$753:AI$753)/2,'Общий'!$M$12,'Общий'!$M$13)))</f>
        <v/>
      </c>
      <c r="E771" s="4">
        <f>IF(A771="","",SUMIFS('Логи'!$H$7:$H$3006,'Логи'!$A$7:$A$3006,12,'Логи'!$B$7:$B$3006,1,'Логи'!$C$7:$C$3006,A771))</f>
        <v/>
      </c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4" t="inlineStr">
        <is>
          <t>Студент1.19</t>
        </is>
      </c>
      <c r="B772" s="4" t="inlineStr"/>
      <c r="C772" s="4">
        <f>IF(A772="","",COUNTIF(F772:AI772,"+")+COUNTIF(F772:AI772,"1"))</f>
        <v/>
      </c>
      <c r="D772" s="4">
        <f>IF(A772="","",IF(C772&gt;2*COUNTA(F$753:AI$753)/3,'Общий'!$M$11,IF(C772&gt;=COUNTA(F$753:AI$753)/2,'Общий'!$M$12,'Общий'!$M$13)))</f>
        <v/>
      </c>
      <c r="E772" s="4">
        <f>IF(A772="","",SUMIFS('Логи'!$H$7:$H$3006,'Логи'!$A$7:$A$3006,12,'Логи'!$B$7:$B$3006,1,'Логи'!$C$7:$C$3006,A772))</f>
        <v/>
      </c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</row>
    <row r="773">
      <c r="A773" s="4" t="inlineStr">
        <is>
          <t>Студент1.20</t>
        </is>
      </c>
      <c r="B773" s="4" t="inlineStr"/>
      <c r="C773" s="4">
        <f>IF(A773="","",COUNTIF(F773:AI773,"+")+COUNTIF(F773:AI773,"1"))</f>
        <v/>
      </c>
      <c r="D773" s="4">
        <f>IF(A773="","",IF(C773&gt;2*COUNTA(F$753:AI$753)/3,'Общий'!$M$11,IF(C773&gt;=COUNTA(F$753:AI$753)/2,'Общий'!$M$12,'Общий'!$M$13)))</f>
        <v/>
      </c>
      <c r="E773" s="4">
        <f>IF(A773="","",SUMIFS('Логи'!$H$7:$H$3006,'Логи'!$A$7:$A$3006,12,'Логи'!$B$7:$B$3006,1,'Логи'!$C$7:$C$3006,A773))</f>
        <v/>
      </c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4" t="inlineStr">
        <is>
          <t>Студент1.21</t>
        </is>
      </c>
      <c r="B774" s="4" t="inlineStr"/>
      <c r="C774" s="4">
        <f>IF(A774="","",COUNTIF(F774:AI774,"+")+COUNTIF(F774:AI774,"1"))</f>
        <v/>
      </c>
      <c r="D774" s="4">
        <f>IF(A774="","",IF(C774&gt;2*COUNTA(F$753:AI$753)/3,'Общий'!$M$11,IF(C774&gt;=COUNTA(F$753:AI$753)/2,'Общий'!$M$12,'Общий'!$M$13)))</f>
        <v/>
      </c>
      <c r="E774" s="4">
        <f>IF(A774="","",SUMIFS('Логи'!$H$7:$H$3006,'Логи'!$A$7:$A$3006,12,'Логи'!$B$7:$B$3006,1,'Логи'!$C$7:$C$3006,A774))</f>
        <v/>
      </c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</row>
    <row r="775">
      <c r="A775" s="4" t="inlineStr">
        <is>
          <t>Студент1.22</t>
        </is>
      </c>
      <c r="B775" s="4" t="inlineStr"/>
      <c r="C775" s="4">
        <f>IF(A775="","",COUNTIF(F775:AI775,"+")+COUNTIF(F775:AI775,"1"))</f>
        <v/>
      </c>
      <c r="D775" s="4">
        <f>IF(A775="","",IF(C775&gt;2*COUNTA(F$753:AI$753)/3,'Общий'!$M$11,IF(C775&gt;=COUNTA(F$753:AI$753)/2,'Общий'!$M$12,'Общий'!$M$13)))</f>
        <v/>
      </c>
      <c r="E775" s="4">
        <f>IF(A775="","",SUMIFS('Логи'!$H$7:$H$3006,'Логи'!$A$7:$A$3006,12,'Логи'!$B$7:$B$3006,1,'Логи'!$C$7:$C$3006,A775))</f>
        <v/>
      </c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4" t="inlineStr">
        <is>
          <t>Студент1.23</t>
        </is>
      </c>
      <c r="B776" s="4" t="inlineStr"/>
      <c r="C776" s="4">
        <f>IF(A776="","",COUNTIF(F776:AI776,"+")+COUNTIF(F776:AI776,"1"))</f>
        <v/>
      </c>
      <c r="D776" s="4">
        <f>IF(A776="","",IF(C776&gt;2*COUNTA(F$753:AI$753)/3,'Общий'!$M$11,IF(C776&gt;=COUNTA(F$753:AI$753)/2,'Общий'!$M$12,'Общий'!$M$13)))</f>
        <v/>
      </c>
      <c r="E776" s="4">
        <f>IF(A776="","",SUMIFS('Логи'!$H$7:$H$3006,'Логи'!$A$7:$A$3006,12,'Логи'!$B$7:$B$3006,1,'Логи'!$C$7:$C$3006,A776))</f>
        <v/>
      </c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</row>
    <row r="777">
      <c r="A777" s="4" t="inlineStr">
        <is>
          <t>Студент1.24</t>
        </is>
      </c>
      <c r="B777" s="4" t="inlineStr"/>
      <c r="C777" s="4">
        <f>IF(A777="","",COUNTIF(F777:AI777,"+")+COUNTIF(F777:AI777,"1"))</f>
        <v/>
      </c>
      <c r="D777" s="4">
        <f>IF(A777="","",IF(C777&gt;2*COUNTA(F$753:AI$753)/3,'Общий'!$M$11,IF(C777&gt;=COUNTA(F$753:AI$753)/2,'Общий'!$M$12,'Общий'!$M$13)))</f>
        <v/>
      </c>
      <c r="E777" s="4">
        <f>IF(A777="","",SUMIFS('Логи'!$H$7:$H$3006,'Логи'!$A$7:$A$3006,12,'Логи'!$B$7:$B$3006,1,'Логи'!$C$7:$C$3006,A777))</f>
        <v/>
      </c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4" t="inlineStr">
        <is>
          <t>Студент1.25</t>
        </is>
      </c>
      <c r="B778" s="4" t="inlineStr"/>
      <c r="C778" s="4">
        <f>IF(A778="","",COUNTIF(F778:AI778,"+")+COUNTIF(F778:AI778,"1"))</f>
        <v/>
      </c>
      <c r="D778" s="4">
        <f>IF(A778="","",IF(C778&gt;2*COUNTA(F$753:AI$753)/3,'Общий'!$M$11,IF(C778&gt;=COUNTA(F$753:AI$753)/2,'Общий'!$M$12,'Общий'!$M$13)))</f>
        <v/>
      </c>
      <c r="E778" s="4">
        <f>IF(A778="","",SUMIFS('Логи'!$H$7:$H$3006,'Логи'!$A$7:$A$3006,12,'Логи'!$B$7:$B$3006,1,'Логи'!$C$7:$C$3006,A778))</f>
        <v/>
      </c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</row>
    <row r="779">
      <c r="A779" s="4" t="inlineStr">
        <is>
          <t>Студент1.26</t>
        </is>
      </c>
      <c r="B779" s="4" t="inlineStr"/>
      <c r="C779" s="4">
        <f>IF(A779="","",COUNTIF(F779:AI779,"+")+COUNTIF(F779:AI779,"1"))</f>
        <v/>
      </c>
      <c r="D779" s="4">
        <f>IF(A779="","",IF(C779&gt;2*COUNTA(F$753:AI$753)/3,'Общий'!$M$11,IF(C779&gt;=COUNTA(F$753:AI$753)/2,'Общий'!$M$12,'Общий'!$M$13)))</f>
        <v/>
      </c>
      <c r="E779" s="4">
        <f>IF(A779="","",SUMIFS('Логи'!$H$7:$H$3006,'Логи'!$A$7:$A$3006,12,'Логи'!$B$7:$B$3006,1,'Логи'!$C$7:$C$3006,A779))</f>
        <v/>
      </c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4" t="inlineStr">
        <is>
          <t>Студент1.27</t>
        </is>
      </c>
      <c r="B780" s="4" t="inlineStr"/>
      <c r="C780" s="4">
        <f>IF(A780="","",COUNTIF(F780:AI780,"+")+COUNTIF(F780:AI780,"1"))</f>
        <v/>
      </c>
      <c r="D780" s="4">
        <f>IF(A780="","",IF(C780&gt;2*COUNTA(F$753:AI$753)/3,'Общий'!$M$11,IF(C780&gt;=COUNTA(F$753:AI$753)/2,'Общий'!$M$12,'Общий'!$M$13)))</f>
        <v/>
      </c>
      <c r="E780" s="4">
        <f>IF(A780="","",SUMIFS('Логи'!$H$7:$H$3006,'Логи'!$A$7:$A$3006,12,'Логи'!$B$7:$B$3006,1,'Логи'!$C$7:$C$3006,A780))</f>
        <v/>
      </c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</row>
    <row r="781">
      <c r="A781" s="4" t="inlineStr">
        <is>
          <t>Студент1.28</t>
        </is>
      </c>
      <c r="B781" s="4" t="inlineStr"/>
      <c r="C781" s="4">
        <f>IF(A781="","",COUNTIF(F781:AI781,"+")+COUNTIF(F781:AI781,"1"))</f>
        <v/>
      </c>
      <c r="D781" s="4">
        <f>IF(A781="","",IF(C781&gt;2*COUNTA(F$753:AI$753)/3,'Общий'!$M$11,IF(C781&gt;=COUNTA(F$753:AI$753)/2,'Общий'!$M$12,'Общий'!$M$13)))</f>
        <v/>
      </c>
      <c r="E781" s="4">
        <f>IF(A781="","",SUMIFS('Логи'!$H$7:$H$3006,'Логи'!$A$7:$A$3006,12,'Логи'!$B$7:$B$3006,1,'Логи'!$C$7:$C$3006,A781))</f>
        <v/>
      </c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4" t="inlineStr">
        <is>
          <t>Студент1.29</t>
        </is>
      </c>
      <c r="B782" s="4" t="inlineStr"/>
      <c r="C782" s="4">
        <f>IF(A782="","",COUNTIF(F782:AI782,"+")+COUNTIF(F782:AI782,"1"))</f>
        <v/>
      </c>
      <c r="D782" s="4">
        <f>IF(A782="","",IF(C782&gt;2*COUNTA(F$753:AI$753)/3,'Общий'!$M$11,IF(C782&gt;=COUNTA(F$753:AI$753)/2,'Общий'!$M$12,'Общий'!$M$13)))</f>
        <v/>
      </c>
      <c r="E782" s="4">
        <f>IF(A782="","",SUMIFS('Логи'!$H$7:$H$3006,'Логи'!$A$7:$A$3006,12,'Логи'!$B$7:$B$3006,1,'Логи'!$C$7:$C$3006,A782))</f>
        <v/>
      </c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</row>
    <row r="783">
      <c r="A783" s="4" t="inlineStr">
        <is>
          <t>Студент1.30</t>
        </is>
      </c>
      <c r="B783" s="4" t="inlineStr"/>
      <c r="C783" s="4">
        <f>IF(A783="","",COUNTIF(F783:AI783,"+")+COUNTIF(F783:AI783,"1"))</f>
        <v/>
      </c>
      <c r="D783" s="4">
        <f>IF(A783="","",IF(C783&gt;2*COUNTA(F$753:AI$753)/3,'Общий'!$M$11,IF(C783&gt;=COUNTA(F$753:AI$753)/2,'Общий'!$M$12,'Общий'!$M$13)))</f>
        <v/>
      </c>
      <c r="E783" s="4">
        <f>IF(A783="","",SUMIFS('Логи'!$H$7:$H$3006,'Логи'!$A$7:$A$3006,12,'Логи'!$B$7:$B$3006,1,'Логи'!$C$7:$C$3006,A783))</f>
        <v/>
      </c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5">
      <c r="A785" s="19" t="inlineStr">
        <is>
          <t>Практика 12 — результаты рассказа</t>
        </is>
      </c>
    </row>
    <row r="786" ht="28" customHeight="1">
      <c r="A786" s="9" t="inlineStr">
        <is>
          <t>Имя</t>
        </is>
      </c>
      <c r="B786" s="11" t="inlineStr">
        <is>
          <t>TG</t>
        </is>
      </c>
      <c r="C786" s="12" t="inlineStr"/>
      <c r="D786" s="3" t="inlineStr"/>
      <c r="E786" s="3" t="inlineStr"/>
      <c r="F786" s="13" t="inlineStr">
        <is>
          <t>1.0</t>
        </is>
      </c>
      <c r="G786" s="13" t="inlineStr">
        <is>
          <t>2.0</t>
        </is>
      </c>
      <c r="H786" s="13" t="inlineStr">
        <is>
          <t>3.0</t>
        </is>
      </c>
      <c r="I786" s="13" t="inlineStr">
        <is>
          <t>4.0</t>
        </is>
      </c>
      <c r="J786" s="13" t="inlineStr">
        <is>
          <t>5.0</t>
        </is>
      </c>
      <c r="K786" s="13" t="inlineStr">
        <is>
          <t>6</t>
        </is>
      </c>
      <c r="L786" s="13" t="inlineStr">
        <is>
          <t>7</t>
        </is>
      </c>
      <c r="M786" s="13" t="inlineStr">
        <is>
          <t>8</t>
        </is>
      </c>
      <c r="N786" s="13" t="inlineStr">
        <is>
          <t>9</t>
        </is>
      </c>
      <c r="O786" s="13" t="inlineStr">
        <is>
          <t>10</t>
        </is>
      </c>
      <c r="P786" s="13" t="inlineStr">
        <is>
          <t>11</t>
        </is>
      </c>
      <c r="Q786" s="13" t="inlineStr">
        <is>
          <t>12</t>
        </is>
      </c>
      <c r="R786" s="13" t="inlineStr">
        <is>
          <t>13</t>
        </is>
      </c>
      <c r="S786" s="13" t="inlineStr">
        <is>
          <t>14</t>
        </is>
      </c>
      <c r="T786" s="13" t="inlineStr">
        <is>
          <t>15</t>
        </is>
      </c>
      <c r="U786" s="13" t="inlineStr">
        <is>
          <t>16</t>
        </is>
      </c>
      <c r="V786" s="13" t="inlineStr">
        <is>
          <t>17</t>
        </is>
      </c>
      <c r="W786" s="13" t="inlineStr">
        <is>
          <t>18</t>
        </is>
      </c>
      <c r="X786" s="13" t="inlineStr">
        <is>
          <t>19</t>
        </is>
      </c>
      <c r="Y786" s="13" t="inlineStr">
        <is>
          <t>20</t>
        </is>
      </c>
      <c r="Z786" s="13" t="inlineStr">
        <is>
          <t>21</t>
        </is>
      </c>
      <c r="AA786" s="13" t="inlineStr">
        <is>
          <t>22</t>
        </is>
      </c>
      <c r="AB786" s="13" t="inlineStr">
        <is>
          <t>23</t>
        </is>
      </c>
      <c r="AC786" s="13" t="inlineStr">
        <is>
          <t>24</t>
        </is>
      </c>
      <c r="AD786" s="13" t="inlineStr">
        <is>
          <t>25</t>
        </is>
      </c>
      <c r="AE786" s="13" t="inlineStr">
        <is>
          <t>26</t>
        </is>
      </c>
      <c r="AF786" s="13" t="inlineStr">
        <is>
          <t>27</t>
        </is>
      </c>
      <c r="AG786" s="13" t="inlineStr">
        <is>
          <t>28</t>
        </is>
      </c>
      <c r="AH786" s="13" t="inlineStr">
        <is>
          <t>29</t>
        </is>
      </c>
      <c r="AI786" s="13" t="inlineStr">
        <is>
          <t>30</t>
        </is>
      </c>
    </row>
    <row r="787">
      <c r="A787" s="4" t="inlineStr">
        <is>
          <t>Студент1.1</t>
        </is>
      </c>
      <c r="B787" s="4" t="inlineStr"/>
      <c r="C787" s="4" t="n"/>
      <c r="D787" s="4" t="n"/>
      <c r="E787" s="4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4" t="inlineStr">
        <is>
          <t>Студент1.2</t>
        </is>
      </c>
      <c r="B788" s="4" t="inlineStr"/>
      <c r="C788" s="4" t="n"/>
      <c r="D788" s="4" t="n"/>
      <c r="E788" s="4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</row>
    <row r="789">
      <c r="A789" s="4" t="inlineStr">
        <is>
          <t>Студент1.3</t>
        </is>
      </c>
      <c r="B789" s="4" t="inlineStr"/>
      <c r="C789" s="4" t="n"/>
      <c r="D789" s="4" t="n"/>
      <c r="E789" s="4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4" t="inlineStr">
        <is>
          <t>Студент1.4</t>
        </is>
      </c>
      <c r="B790" s="4" t="inlineStr"/>
      <c r="C790" s="4" t="n"/>
      <c r="D790" s="4" t="n"/>
      <c r="E790" s="4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</row>
    <row r="791">
      <c r="A791" s="4" t="inlineStr">
        <is>
          <t>Студент1.5</t>
        </is>
      </c>
      <c r="B791" s="4" t="inlineStr"/>
      <c r="C791" s="4" t="n"/>
      <c r="D791" s="4" t="n"/>
      <c r="E791" s="4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4" t="inlineStr">
        <is>
          <t>Студент1.6</t>
        </is>
      </c>
      <c r="B792" s="4" t="inlineStr"/>
      <c r="C792" s="4" t="n"/>
      <c r="D792" s="4" t="n"/>
      <c r="E792" s="4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</row>
    <row r="793">
      <c r="A793" s="4" t="inlineStr">
        <is>
          <t>Студент1.7</t>
        </is>
      </c>
      <c r="B793" s="4" t="inlineStr"/>
      <c r="C793" s="4" t="n"/>
      <c r="D793" s="4" t="n"/>
      <c r="E793" s="4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4" t="inlineStr">
        <is>
          <t>Студент1.8</t>
        </is>
      </c>
      <c r="B794" s="4" t="inlineStr"/>
      <c r="C794" s="4" t="n"/>
      <c r="D794" s="4" t="n"/>
      <c r="E794" s="4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</row>
    <row r="795">
      <c r="A795" s="4" t="inlineStr">
        <is>
          <t>Студент1.9</t>
        </is>
      </c>
      <c r="B795" s="4" t="inlineStr"/>
      <c r="C795" s="4" t="n"/>
      <c r="D795" s="4" t="n"/>
      <c r="E795" s="4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4" t="inlineStr">
        <is>
          <t>Студент1.10</t>
        </is>
      </c>
      <c r="B796" s="4" t="inlineStr"/>
      <c r="C796" s="4" t="n"/>
      <c r="D796" s="4" t="n"/>
      <c r="E796" s="4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</row>
    <row r="797">
      <c r="A797" s="4" t="inlineStr">
        <is>
          <t>Студент1.11</t>
        </is>
      </c>
      <c r="B797" s="4" t="inlineStr"/>
      <c r="C797" s="4" t="n"/>
      <c r="D797" s="4" t="n"/>
      <c r="E797" s="4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4" t="inlineStr">
        <is>
          <t>Студент1.12</t>
        </is>
      </c>
      <c r="B798" s="4" t="inlineStr"/>
      <c r="C798" s="4" t="n"/>
      <c r="D798" s="4" t="n"/>
      <c r="E798" s="4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</row>
    <row r="799">
      <c r="A799" s="4" t="inlineStr">
        <is>
          <t>Студент1.13</t>
        </is>
      </c>
      <c r="B799" s="4" t="inlineStr"/>
      <c r="C799" s="4" t="n"/>
      <c r="D799" s="4" t="n"/>
      <c r="E799" s="4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4" t="inlineStr">
        <is>
          <t>Студент1.14</t>
        </is>
      </c>
      <c r="B800" s="4" t="inlineStr"/>
      <c r="C800" s="4" t="n"/>
      <c r="D800" s="4" t="n"/>
      <c r="E800" s="4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</row>
    <row r="801">
      <c r="A801" s="4" t="inlineStr">
        <is>
          <t>Студент1.15</t>
        </is>
      </c>
      <c r="B801" s="4" t="inlineStr"/>
      <c r="C801" s="4" t="n"/>
      <c r="D801" s="4" t="n"/>
      <c r="E801" s="4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4" t="inlineStr">
        <is>
          <t>Студент1.16</t>
        </is>
      </c>
      <c r="B802" s="4" t="inlineStr"/>
      <c r="C802" s="4" t="n"/>
      <c r="D802" s="4" t="n"/>
      <c r="E802" s="4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</row>
    <row r="803">
      <c r="A803" s="4" t="inlineStr">
        <is>
          <t>Студент1.17</t>
        </is>
      </c>
      <c r="B803" s="4" t="inlineStr"/>
      <c r="C803" s="4" t="n"/>
      <c r="D803" s="4" t="n"/>
      <c r="E803" s="4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4" t="inlineStr">
        <is>
          <t>Студент1.18</t>
        </is>
      </c>
      <c r="B804" s="4" t="inlineStr"/>
      <c r="C804" s="4" t="n"/>
      <c r="D804" s="4" t="n"/>
      <c r="E804" s="4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</row>
    <row r="805">
      <c r="A805" s="4" t="inlineStr">
        <is>
          <t>Студент1.19</t>
        </is>
      </c>
      <c r="B805" s="4" t="inlineStr"/>
      <c r="C805" s="4" t="n"/>
      <c r="D805" s="4" t="n"/>
      <c r="E805" s="4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4" t="inlineStr">
        <is>
          <t>Студент1.20</t>
        </is>
      </c>
      <c r="B806" s="4" t="inlineStr"/>
      <c r="C806" s="4" t="n"/>
      <c r="D806" s="4" t="n"/>
      <c r="E806" s="4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</row>
    <row r="807">
      <c r="A807" s="4" t="inlineStr">
        <is>
          <t>Студент1.21</t>
        </is>
      </c>
      <c r="B807" s="4" t="inlineStr"/>
      <c r="C807" s="4" t="n"/>
      <c r="D807" s="4" t="n"/>
      <c r="E807" s="4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4" t="inlineStr">
        <is>
          <t>Студент1.22</t>
        </is>
      </c>
      <c r="B808" s="4" t="inlineStr"/>
      <c r="C808" s="4" t="n"/>
      <c r="D808" s="4" t="n"/>
      <c r="E808" s="4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</row>
    <row r="809">
      <c r="A809" s="4" t="inlineStr">
        <is>
          <t>Студент1.23</t>
        </is>
      </c>
      <c r="B809" s="4" t="inlineStr"/>
      <c r="C809" s="4" t="n"/>
      <c r="D809" s="4" t="n"/>
      <c r="E809" s="4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4" t="inlineStr">
        <is>
          <t>Студент1.24</t>
        </is>
      </c>
      <c r="B810" s="4" t="inlineStr"/>
      <c r="C810" s="4" t="n"/>
      <c r="D810" s="4" t="n"/>
      <c r="E810" s="4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</row>
    <row r="811">
      <c r="A811" s="4" t="inlineStr">
        <is>
          <t>Студент1.25</t>
        </is>
      </c>
      <c r="B811" s="4" t="inlineStr"/>
      <c r="C811" s="4" t="n"/>
      <c r="D811" s="4" t="n"/>
      <c r="E811" s="4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4" t="inlineStr">
        <is>
          <t>Студент1.26</t>
        </is>
      </c>
      <c r="B812" s="4" t="inlineStr"/>
      <c r="C812" s="4" t="n"/>
      <c r="D812" s="4" t="n"/>
      <c r="E812" s="4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</row>
    <row r="813">
      <c r="A813" s="4" t="inlineStr">
        <is>
          <t>Студент1.27</t>
        </is>
      </c>
      <c r="B813" s="4" t="inlineStr"/>
      <c r="C813" s="4" t="n"/>
      <c r="D813" s="4" t="n"/>
      <c r="E813" s="4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4" t="inlineStr">
        <is>
          <t>Студент1.28</t>
        </is>
      </c>
      <c r="B814" s="4" t="inlineStr"/>
      <c r="C814" s="4" t="n"/>
      <c r="D814" s="4" t="n"/>
      <c r="E814" s="4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</row>
    <row r="815">
      <c r="A815" s="4" t="inlineStr">
        <is>
          <t>Студент1.29</t>
        </is>
      </c>
      <c r="B815" s="4" t="inlineStr"/>
      <c r="C815" s="4" t="n"/>
      <c r="D815" s="4" t="n"/>
      <c r="E815" s="4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4" t="inlineStr">
        <is>
          <t>Студент1.30</t>
        </is>
      </c>
      <c r="B816" s="4" t="inlineStr"/>
      <c r="C816" s="4" t="n"/>
      <c r="D816" s="4" t="n"/>
      <c r="E816" s="4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</row>
    <row r="820">
      <c r="A820" s="17" t="inlineStr">
        <is>
          <t>Практика 13 — плюсы</t>
        </is>
      </c>
    </row>
    <row r="821" ht="28" customHeight="1">
      <c r="A821" s="9" t="inlineStr">
        <is>
          <t>Имя</t>
        </is>
      </c>
      <c r="B821" s="11" t="inlineStr">
        <is>
          <t>TG</t>
        </is>
      </c>
      <c r="C821" s="12" t="inlineStr">
        <is>
          <t>S</t>
        </is>
      </c>
      <c r="D821" s="10" t="inlineStr">
        <is>
          <t>Коэффициент</t>
        </is>
      </c>
      <c r="E821" s="18" t="inlineStr">
        <is>
          <t>D за практику</t>
        </is>
      </c>
      <c r="F821" s="13" t="inlineStr">
        <is>
          <t>1.0</t>
        </is>
      </c>
      <c r="G821" s="13" t="inlineStr">
        <is>
          <t>2.0</t>
        </is>
      </c>
      <c r="H821" s="13" t="inlineStr">
        <is>
          <t>3.0</t>
        </is>
      </c>
      <c r="I821" s="13" t="inlineStr">
        <is>
          <t>4.0</t>
        </is>
      </c>
      <c r="J821" s="13" t="inlineStr">
        <is>
          <t>5.0</t>
        </is>
      </c>
      <c r="K821" s="13" t="inlineStr">
        <is>
          <t>6</t>
        </is>
      </c>
      <c r="L821" s="13" t="inlineStr">
        <is>
          <t>7</t>
        </is>
      </c>
      <c r="M821" s="13" t="inlineStr">
        <is>
          <t>8</t>
        </is>
      </c>
      <c r="N821" s="13" t="inlineStr">
        <is>
          <t>9</t>
        </is>
      </c>
      <c r="O821" s="13" t="inlineStr">
        <is>
          <t>10</t>
        </is>
      </c>
      <c r="P821" s="13" t="inlineStr">
        <is>
          <t>11</t>
        </is>
      </c>
      <c r="Q821" s="13" t="inlineStr">
        <is>
          <t>12</t>
        </is>
      </c>
      <c r="R821" s="13" t="inlineStr">
        <is>
          <t>13</t>
        </is>
      </c>
      <c r="S821" s="13" t="inlineStr">
        <is>
          <t>14</t>
        </is>
      </c>
      <c r="T821" s="13" t="inlineStr">
        <is>
          <t>15</t>
        </is>
      </c>
      <c r="U821" s="13" t="inlineStr">
        <is>
          <t>16</t>
        </is>
      </c>
      <c r="V821" s="13" t="inlineStr">
        <is>
          <t>17</t>
        </is>
      </c>
      <c r="W821" s="13" t="inlineStr">
        <is>
          <t>18</t>
        </is>
      </c>
      <c r="X821" s="13" t="inlineStr">
        <is>
          <t>19</t>
        </is>
      </c>
      <c r="Y821" s="13" t="inlineStr">
        <is>
          <t>20</t>
        </is>
      </c>
      <c r="Z821" s="13" t="inlineStr">
        <is>
          <t>21</t>
        </is>
      </c>
      <c r="AA821" s="13" t="inlineStr">
        <is>
          <t>22</t>
        </is>
      </c>
      <c r="AB821" s="13" t="inlineStr">
        <is>
          <t>23</t>
        </is>
      </c>
      <c r="AC821" s="13" t="inlineStr">
        <is>
          <t>24</t>
        </is>
      </c>
      <c r="AD821" s="13" t="inlineStr">
        <is>
          <t>25</t>
        </is>
      </c>
      <c r="AE821" s="13" t="inlineStr">
        <is>
          <t>26</t>
        </is>
      </c>
      <c r="AF821" s="13" t="inlineStr">
        <is>
          <t>27</t>
        </is>
      </c>
      <c r="AG821" s="13" t="inlineStr">
        <is>
          <t>28</t>
        </is>
      </c>
      <c r="AH821" s="13" t="inlineStr">
        <is>
          <t>29</t>
        </is>
      </c>
      <c r="AI821" s="13" t="inlineStr">
        <is>
          <t>30</t>
        </is>
      </c>
    </row>
    <row r="822">
      <c r="A822" s="4" t="inlineStr">
        <is>
          <t>Студент1.1</t>
        </is>
      </c>
      <c r="B822" s="4" t="inlineStr"/>
      <c r="C822" s="4">
        <f>IF(A822="","",COUNTIF(F822:AI822,"+")+COUNTIF(F822:AI822,"1"))</f>
        <v/>
      </c>
      <c r="D822" s="4">
        <f>IF(A822="","",IF(C822&gt;2*COUNTA(F$821:AI$821)/3,'Общий'!$M$11,IF(C822&gt;=COUNTA(F$821:AI$821)/2,'Общий'!$M$12,'Общий'!$M$13)))</f>
        <v/>
      </c>
      <c r="E822" s="4">
        <f>IF(A822="","",SUMIFS('Логи'!$H$7:$H$3006,'Логи'!$A$7:$A$3006,13,'Логи'!$B$7:$B$3006,1,'Логи'!$C$7:$C$3006,A822))</f>
        <v/>
      </c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</row>
    <row r="823">
      <c r="A823" s="4" t="inlineStr">
        <is>
          <t>Студент1.2</t>
        </is>
      </c>
      <c r="B823" s="4" t="inlineStr"/>
      <c r="C823" s="4">
        <f>IF(A823="","",COUNTIF(F823:AI823,"+")+COUNTIF(F823:AI823,"1"))</f>
        <v/>
      </c>
      <c r="D823" s="4">
        <f>IF(A823="","",IF(C823&gt;2*COUNTA(F$821:AI$821)/3,'Общий'!$M$11,IF(C823&gt;=COUNTA(F$821:AI$821)/2,'Общий'!$M$12,'Общий'!$M$13)))</f>
        <v/>
      </c>
      <c r="E823" s="4">
        <f>IF(A823="","",SUMIFS('Логи'!$H$7:$H$3006,'Логи'!$A$7:$A$3006,13,'Логи'!$B$7:$B$3006,1,'Логи'!$C$7:$C$3006,A823))</f>
        <v/>
      </c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4" t="inlineStr">
        <is>
          <t>Студент1.3</t>
        </is>
      </c>
      <c r="B824" s="4" t="inlineStr"/>
      <c r="C824" s="4">
        <f>IF(A824="","",COUNTIF(F824:AI824,"+")+COUNTIF(F824:AI824,"1"))</f>
        <v/>
      </c>
      <c r="D824" s="4">
        <f>IF(A824="","",IF(C824&gt;2*COUNTA(F$821:AI$821)/3,'Общий'!$M$11,IF(C824&gt;=COUNTA(F$821:AI$821)/2,'Общий'!$M$12,'Общий'!$M$13)))</f>
        <v/>
      </c>
      <c r="E824" s="4">
        <f>IF(A824="","",SUMIFS('Логи'!$H$7:$H$3006,'Логи'!$A$7:$A$3006,13,'Логи'!$B$7:$B$3006,1,'Логи'!$C$7:$C$3006,A824))</f>
        <v/>
      </c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</row>
    <row r="825">
      <c r="A825" s="4" t="inlineStr">
        <is>
          <t>Студент1.4</t>
        </is>
      </c>
      <c r="B825" s="4" t="inlineStr"/>
      <c r="C825" s="4">
        <f>IF(A825="","",COUNTIF(F825:AI825,"+")+COUNTIF(F825:AI825,"1"))</f>
        <v/>
      </c>
      <c r="D825" s="4">
        <f>IF(A825="","",IF(C825&gt;2*COUNTA(F$821:AI$821)/3,'Общий'!$M$11,IF(C825&gt;=COUNTA(F$821:AI$821)/2,'Общий'!$M$12,'Общий'!$M$13)))</f>
        <v/>
      </c>
      <c r="E825" s="4">
        <f>IF(A825="","",SUMIFS('Логи'!$H$7:$H$3006,'Логи'!$A$7:$A$3006,13,'Логи'!$B$7:$B$3006,1,'Логи'!$C$7:$C$3006,A825))</f>
        <v/>
      </c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4" t="inlineStr">
        <is>
          <t>Студент1.5</t>
        </is>
      </c>
      <c r="B826" s="4" t="inlineStr"/>
      <c r="C826" s="4">
        <f>IF(A826="","",COUNTIF(F826:AI826,"+")+COUNTIF(F826:AI826,"1"))</f>
        <v/>
      </c>
      <c r="D826" s="4">
        <f>IF(A826="","",IF(C826&gt;2*COUNTA(F$821:AI$821)/3,'Общий'!$M$11,IF(C826&gt;=COUNTA(F$821:AI$821)/2,'Общий'!$M$12,'Общий'!$M$13)))</f>
        <v/>
      </c>
      <c r="E826" s="4">
        <f>IF(A826="","",SUMIFS('Логи'!$H$7:$H$3006,'Логи'!$A$7:$A$3006,13,'Логи'!$B$7:$B$3006,1,'Логи'!$C$7:$C$3006,A826))</f>
        <v/>
      </c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</row>
    <row r="827">
      <c r="A827" s="4" t="inlineStr">
        <is>
          <t>Студент1.6</t>
        </is>
      </c>
      <c r="B827" s="4" t="inlineStr"/>
      <c r="C827" s="4">
        <f>IF(A827="","",COUNTIF(F827:AI827,"+")+COUNTIF(F827:AI827,"1"))</f>
        <v/>
      </c>
      <c r="D827" s="4">
        <f>IF(A827="","",IF(C827&gt;2*COUNTA(F$821:AI$821)/3,'Общий'!$M$11,IF(C827&gt;=COUNTA(F$821:AI$821)/2,'Общий'!$M$12,'Общий'!$M$13)))</f>
        <v/>
      </c>
      <c r="E827" s="4">
        <f>IF(A827="","",SUMIFS('Логи'!$H$7:$H$3006,'Логи'!$A$7:$A$3006,13,'Логи'!$B$7:$B$3006,1,'Логи'!$C$7:$C$3006,A827))</f>
        <v/>
      </c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4" t="inlineStr">
        <is>
          <t>Студент1.7</t>
        </is>
      </c>
      <c r="B828" s="4" t="inlineStr"/>
      <c r="C828" s="4">
        <f>IF(A828="","",COUNTIF(F828:AI828,"+")+COUNTIF(F828:AI828,"1"))</f>
        <v/>
      </c>
      <c r="D828" s="4">
        <f>IF(A828="","",IF(C828&gt;2*COUNTA(F$821:AI$821)/3,'Общий'!$M$11,IF(C828&gt;=COUNTA(F$821:AI$821)/2,'Общий'!$M$12,'Общий'!$M$13)))</f>
        <v/>
      </c>
      <c r="E828" s="4">
        <f>IF(A828="","",SUMIFS('Логи'!$H$7:$H$3006,'Логи'!$A$7:$A$3006,13,'Логи'!$B$7:$B$3006,1,'Логи'!$C$7:$C$3006,A828))</f>
        <v/>
      </c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</row>
    <row r="829">
      <c r="A829" s="4" t="inlineStr">
        <is>
          <t>Студент1.8</t>
        </is>
      </c>
      <c r="B829" s="4" t="inlineStr"/>
      <c r="C829" s="4">
        <f>IF(A829="","",COUNTIF(F829:AI829,"+")+COUNTIF(F829:AI829,"1"))</f>
        <v/>
      </c>
      <c r="D829" s="4">
        <f>IF(A829="","",IF(C829&gt;2*COUNTA(F$821:AI$821)/3,'Общий'!$M$11,IF(C829&gt;=COUNTA(F$821:AI$821)/2,'Общий'!$M$12,'Общий'!$M$13)))</f>
        <v/>
      </c>
      <c r="E829" s="4">
        <f>IF(A829="","",SUMIFS('Логи'!$H$7:$H$3006,'Логи'!$A$7:$A$3006,13,'Логи'!$B$7:$B$3006,1,'Логи'!$C$7:$C$3006,A829))</f>
        <v/>
      </c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4" t="inlineStr">
        <is>
          <t>Студент1.9</t>
        </is>
      </c>
      <c r="B830" s="4" t="inlineStr"/>
      <c r="C830" s="4">
        <f>IF(A830="","",COUNTIF(F830:AI830,"+")+COUNTIF(F830:AI830,"1"))</f>
        <v/>
      </c>
      <c r="D830" s="4">
        <f>IF(A830="","",IF(C830&gt;2*COUNTA(F$821:AI$821)/3,'Общий'!$M$11,IF(C830&gt;=COUNTA(F$821:AI$821)/2,'Общий'!$M$12,'Общий'!$M$13)))</f>
        <v/>
      </c>
      <c r="E830" s="4">
        <f>IF(A830="","",SUMIFS('Логи'!$H$7:$H$3006,'Логи'!$A$7:$A$3006,13,'Логи'!$B$7:$B$3006,1,'Логи'!$C$7:$C$3006,A830))</f>
        <v/>
      </c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</row>
    <row r="831">
      <c r="A831" s="4" t="inlineStr">
        <is>
          <t>Студент1.10</t>
        </is>
      </c>
      <c r="B831" s="4" t="inlineStr"/>
      <c r="C831" s="4">
        <f>IF(A831="","",COUNTIF(F831:AI831,"+")+COUNTIF(F831:AI831,"1"))</f>
        <v/>
      </c>
      <c r="D831" s="4">
        <f>IF(A831="","",IF(C831&gt;2*COUNTA(F$821:AI$821)/3,'Общий'!$M$11,IF(C831&gt;=COUNTA(F$821:AI$821)/2,'Общий'!$M$12,'Общий'!$M$13)))</f>
        <v/>
      </c>
      <c r="E831" s="4">
        <f>IF(A831="","",SUMIFS('Логи'!$H$7:$H$3006,'Логи'!$A$7:$A$3006,13,'Логи'!$B$7:$B$3006,1,'Логи'!$C$7:$C$3006,A831))</f>
        <v/>
      </c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4" t="inlineStr">
        <is>
          <t>Студент1.11</t>
        </is>
      </c>
      <c r="B832" s="4" t="inlineStr"/>
      <c r="C832" s="4">
        <f>IF(A832="","",COUNTIF(F832:AI832,"+")+COUNTIF(F832:AI832,"1"))</f>
        <v/>
      </c>
      <c r="D832" s="4">
        <f>IF(A832="","",IF(C832&gt;2*COUNTA(F$821:AI$821)/3,'Общий'!$M$11,IF(C832&gt;=COUNTA(F$821:AI$821)/2,'Общий'!$M$12,'Общий'!$M$13)))</f>
        <v/>
      </c>
      <c r="E832" s="4">
        <f>IF(A832="","",SUMIFS('Логи'!$H$7:$H$3006,'Логи'!$A$7:$A$3006,13,'Логи'!$B$7:$B$3006,1,'Логи'!$C$7:$C$3006,A832))</f>
        <v/>
      </c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</row>
    <row r="833">
      <c r="A833" s="4" t="inlineStr">
        <is>
          <t>Студент1.12</t>
        </is>
      </c>
      <c r="B833" s="4" t="inlineStr"/>
      <c r="C833" s="4">
        <f>IF(A833="","",COUNTIF(F833:AI833,"+")+COUNTIF(F833:AI833,"1"))</f>
        <v/>
      </c>
      <c r="D833" s="4">
        <f>IF(A833="","",IF(C833&gt;2*COUNTA(F$821:AI$821)/3,'Общий'!$M$11,IF(C833&gt;=COUNTA(F$821:AI$821)/2,'Общий'!$M$12,'Общий'!$M$13)))</f>
        <v/>
      </c>
      <c r="E833" s="4">
        <f>IF(A833="","",SUMIFS('Логи'!$H$7:$H$3006,'Логи'!$A$7:$A$3006,13,'Логи'!$B$7:$B$3006,1,'Логи'!$C$7:$C$3006,A833))</f>
        <v/>
      </c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4" t="inlineStr">
        <is>
          <t>Студент1.13</t>
        </is>
      </c>
      <c r="B834" s="4" t="inlineStr"/>
      <c r="C834" s="4">
        <f>IF(A834="","",COUNTIF(F834:AI834,"+")+COUNTIF(F834:AI834,"1"))</f>
        <v/>
      </c>
      <c r="D834" s="4">
        <f>IF(A834="","",IF(C834&gt;2*COUNTA(F$821:AI$821)/3,'Общий'!$M$11,IF(C834&gt;=COUNTA(F$821:AI$821)/2,'Общий'!$M$12,'Общий'!$M$13)))</f>
        <v/>
      </c>
      <c r="E834" s="4">
        <f>IF(A834="","",SUMIFS('Логи'!$H$7:$H$3006,'Логи'!$A$7:$A$3006,13,'Логи'!$B$7:$B$3006,1,'Логи'!$C$7:$C$3006,A834))</f>
        <v/>
      </c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</row>
    <row r="835">
      <c r="A835" s="4" t="inlineStr">
        <is>
          <t>Студент1.14</t>
        </is>
      </c>
      <c r="B835" s="4" t="inlineStr"/>
      <c r="C835" s="4">
        <f>IF(A835="","",COUNTIF(F835:AI835,"+")+COUNTIF(F835:AI835,"1"))</f>
        <v/>
      </c>
      <c r="D835" s="4">
        <f>IF(A835="","",IF(C835&gt;2*COUNTA(F$821:AI$821)/3,'Общий'!$M$11,IF(C835&gt;=COUNTA(F$821:AI$821)/2,'Общий'!$M$12,'Общий'!$M$13)))</f>
        <v/>
      </c>
      <c r="E835" s="4">
        <f>IF(A835="","",SUMIFS('Логи'!$H$7:$H$3006,'Логи'!$A$7:$A$3006,13,'Логи'!$B$7:$B$3006,1,'Логи'!$C$7:$C$3006,A835))</f>
        <v/>
      </c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4" t="inlineStr">
        <is>
          <t>Студент1.15</t>
        </is>
      </c>
      <c r="B836" s="4" t="inlineStr"/>
      <c r="C836" s="4">
        <f>IF(A836="","",COUNTIF(F836:AI836,"+")+COUNTIF(F836:AI836,"1"))</f>
        <v/>
      </c>
      <c r="D836" s="4">
        <f>IF(A836="","",IF(C836&gt;2*COUNTA(F$821:AI$821)/3,'Общий'!$M$11,IF(C836&gt;=COUNTA(F$821:AI$821)/2,'Общий'!$M$12,'Общий'!$M$13)))</f>
        <v/>
      </c>
      <c r="E836" s="4">
        <f>IF(A836="","",SUMIFS('Логи'!$H$7:$H$3006,'Логи'!$A$7:$A$3006,13,'Логи'!$B$7:$B$3006,1,'Логи'!$C$7:$C$3006,A836))</f>
        <v/>
      </c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</row>
    <row r="837">
      <c r="A837" s="4" t="inlineStr">
        <is>
          <t>Студент1.16</t>
        </is>
      </c>
      <c r="B837" s="4" t="inlineStr"/>
      <c r="C837" s="4">
        <f>IF(A837="","",COUNTIF(F837:AI837,"+")+COUNTIF(F837:AI837,"1"))</f>
        <v/>
      </c>
      <c r="D837" s="4">
        <f>IF(A837="","",IF(C837&gt;2*COUNTA(F$821:AI$821)/3,'Общий'!$M$11,IF(C837&gt;=COUNTA(F$821:AI$821)/2,'Общий'!$M$12,'Общий'!$M$13)))</f>
        <v/>
      </c>
      <c r="E837" s="4">
        <f>IF(A837="","",SUMIFS('Логи'!$H$7:$H$3006,'Логи'!$A$7:$A$3006,13,'Логи'!$B$7:$B$3006,1,'Логи'!$C$7:$C$3006,A837))</f>
        <v/>
      </c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4" t="inlineStr">
        <is>
          <t>Студент1.17</t>
        </is>
      </c>
      <c r="B838" s="4" t="inlineStr"/>
      <c r="C838" s="4">
        <f>IF(A838="","",COUNTIF(F838:AI838,"+")+COUNTIF(F838:AI838,"1"))</f>
        <v/>
      </c>
      <c r="D838" s="4">
        <f>IF(A838="","",IF(C838&gt;2*COUNTA(F$821:AI$821)/3,'Общий'!$M$11,IF(C838&gt;=COUNTA(F$821:AI$821)/2,'Общий'!$M$12,'Общий'!$M$13)))</f>
        <v/>
      </c>
      <c r="E838" s="4">
        <f>IF(A838="","",SUMIFS('Логи'!$H$7:$H$3006,'Логи'!$A$7:$A$3006,13,'Логи'!$B$7:$B$3006,1,'Логи'!$C$7:$C$3006,A838))</f>
        <v/>
      </c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</row>
    <row r="839">
      <c r="A839" s="4" t="inlineStr">
        <is>
          <t>Студент1.18</t>
        </is>
      </c>
      <c r="B839" s="4" t="inlineStr"/>
      <c r="C839" s="4">
        <f>IF(A839="","",COUNTIF(F839:AI839,"+")+COUNTIF(F839:AI839,"1"))</f>
        <v/>
      </c>
      <c r="D839" s="4">
        <f>IF(A839="","",IF(C839&gt;2*COUNTA(F$821:AI$821)/3,'Общий'!$M$11,IF(C839&gt;=COUNTA(F$821:AI$821)/2,'Общий'!$M$12,'Общий'!$M$13)))</f>
        <v/>
      </c>
      <c r="E839" s="4">
        <f>IF(A839="","",SUMIFS('Логи'!$H$7:$H$3006,'Логи'!$A$7:$A$3006,13,'Логи'!$B$7:$B$3006,1,'Логи'!$C$7:$C$3006,A839))</f>
        <v/>
      </c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4" t="inlineStr">
        <is>
          <t>Студент1.19</t>
        </is>
      </c>
      <c r="B840" s="4" t="inlineStr"/>
      <c r="C840" s="4">
        <f>IF(A840="","",COUNTIF(F840:AI840,"+")+COUNTIF(F840:AI840,"1"))</f>
        <v/>
      </c>
      <c r="D840" s="4">
        <f>IF(A840="","",IF(C840&gt;2*COUNTA(F$821:AI$821)/3,'Общий'!$M$11,IF(C840&gt;=COUNTA(F$821:AI$821)/2,'Общий'!$M$12,'Общий'!$M$13)))</f>
        <v/>
      </c>
      <c r="E840" s="4">
        <f>IF(A840="","",SUMIFS('Логи'!$H$7:$H$3006,'Логи'!$A$7:$A$3006,13,'Логи'!$B$7:$B$3006,1,'Логи'!$C$7:$C$3006,A840))</f>
        <v/>
      </c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</row>
    <row r="841">
      <c r="A841" s="4" t="inlineStr">
        <is>
          <t>Студент1.20</t>
        </is>
      </c>
      <c r="B841" s="4" t="inlineStr"/>
      <c r="C841" s="4">
        <f>IF(A841="","",COUNTIF(F841:AI841,"+")+COUNTIF(F841:AI841,"1"))</f>
        <v/>
      </c>
      <c r="D841" s="4">
        <f>IF(A841="","",IF(C841&gt;2*COUNTA(F$821:AI$821)/3,'Общий'!$M$11,IF(C841&gt;=COUNTA(F$821:AI$821)/2,'Общий'!$M$12,'Общий'!$M$13)))</f>
        <v/>
      </c>
      <c r="E841" s="4">
        <f>IF(A841="","",SUMIFS('Логи'!$H$7:$H$3006,'Логи'!$A$7:$A$3006,13,'Логи'!$B$7:$B$3006,1,'Логи'!$C$7:$C$3006,A841))</f>
        <v/>
      </c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4" t="inlineStr">
        <is>
          <t>Студент1.21</t>
        </is>
      </c>
      <c r="B842" s="4" t="inlineStr"/>
      <c r="C842" s="4">
        <f>IF(A842="","",COUNTIF(F842:AI842,"+")+COUNTIF(F842:AI842,"1"))</f>
        <v/>
      </c>
      <c r="D842" s="4">
        <f>IF(A842="","",IF(C842&gt;2*COUNTA(F$821:AI$821)/3,'Общий'!$M$11,IF(C842&gt;=COUNTA(F$821:AI$821)/2,'Общий'!$M$12,'Общий'!$M$13)))</f>
        <v/>
      </c>
      <c r="E842" s="4">
        <f>IF(A842="","",SUMIFS('Логи'!$H$7:$H$3006,'Логи'!$A$7:$A$3006,13,'Логи'!$B$7:$B$3006,1,'Логи'!$C$7:$C$3006,A842))</f>
        <v/>
      </c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</row>
    <row r="843">
      <c r="A843" s="4" t="inlineStr">
        <is>
          <t>Студент1.22</t>
        </is>
      </c>
      <c r="B843" s="4" t="inlineStr"/>
      <c r="C843" s="4">
        <f>IF(A843="","",COUNTIF(F843:AI843,"+")+COUNTIF(F843:AI843,"1"))</f>
        <v/>
      </c>
      <c r="D843" s="4">
        <f>IF(A843="","",IF(C843&gt;2*COUNTA(F$821:AI$821)/3,'Общий'!$M$11,IF(C843&gt;=COUNTA(F$821:AI$821)/2,'Общий'!$M$12,'Общий'!$M$13)))</f>
        <v/>
      </c>
      <c r="E843" s="4">
        <f>IF(A843="","",SUMIFS('Логи'!$H$7:$H$3006,'Логи'!$A$7:$A$3006,13,'Логи'!$B$7:$B$3006,1,'Логи'!$C$7:$C$3006,A843))</f>
        <v/>
      </c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4" t="inlineStr">
        <is>
          <t>Студент1.23</t>
        </is>
      </c>
      <c r="B844" s="4" t="inlineStr"/>
      <c r="C844" s="4">
        <f>IF(A844="","",COUNTIF(F844:AI844,"+")+COUNTIF(F844:AI844,"1"))</f>
        <v/>
      </c>
      <c r="D844" s="4">
        <f>IF(A844="","",IF(C844&gt;2*COUNTA(F$821:AI$821)/3,'Общий'!$M$11,IF(C844&gt;=COUNTA(F$821:AI$821)/2,'Общий'!$M$12,'Общий'!$M$13)))</f>
        <v/>
      </c>
      <c r="E844" s="4">
        <f>IF(A844="","",SUMIFS('Логи'!$H$7:$H$3006,'Логи'!$A$7:$A$3006,13,'Логи'!$B$7:$B$3006,1,'Логи'!$C$7:$C$3006,A844))</f>
        <v/>
      </c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</row>
    <row r="845">
      <c r="A845" s="4" t="inlineStr">
        <is>
          <t>Студент1.24</t>
        </is>
      </c>
      <c r="B845" s="4" t="inlineStr"/>
      <c r="C845" s="4">
        <f>IF(A845="","",COUNTIF(F845:AI845,"+")+COUNTIF(F845:AI845,"1"))</f>
        <v/>
      </c>
      <c r="D845" s="4">
        <f>IF(A845="","",IF(C845&gt;2*COUNTA(F$821:AI$821)/3,'Общий'!$M$11,IF(C845&gt;=COUNTA(F$821:AI$821)/2,'Общий'!$M$12,'Общий'!$M$13)))</f>
        <v/>
      </c>
      <c r="E845" s="4">
        <f>IF(A845="","",SUMIFS('Логи'!$H$7:$H$3006,'Логи'!$A$7:$A$3006,13,'Логи'!$B$7:$B$3006,1,'Логи'!$C$7:$C$3006,A845))</f>
        <v/>
      </c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4" t="inlineStr">
        <is>
          <t>Студент1.25</t>
        </is>
      </c>
      <c r="B846" s="4" t="inlineStr"/>
      <c r="C846" s="4">
        <f>IF(A846="","",COUNTIF(F846:AI846,"+")+COUNTIF(F846:AI846,"1"))</f>
        <v/>
      </c>
      <c r="D846" s="4">
        <f>IF(A846="","",IF(C846&gt;2*COUNTA(F$821:AI$821)/3,'Общий'!$M$11,IF(C846&gt;=COUNTA(F$821:AI$821)/2,'Общий'!$M$12,'Общий'!$M$13)))</f>
        <v/>
      </c>
      <c r="E846" s="4">
        <f>IF(A846="","",SUMIFS('Логи'!$H$7:$H$3006,'Логи'!$A$7:$A$3006,13,'Логи'!$B$7:$B$3006,1,'Логи'!$C$7:$C$3006,A846))</f>
        <v/>
      </c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</row>
    <row r="847">
      <c r="A847" s="4" t="inlineStr">
        <is>
          <t>Студент1.26</t>
        </is>
      </c>
      <c r="B847" s="4" t="inlineStr"/>
      <c r="C847" s="4">
        <f>IF(A847="","",COUNTIF(F847:AI847,"+")+COUNTIF(F847:AI847,"1"))</f>
        <v/>
      </c>
      <c r="D847" s="4">
        <f>IF(A847="","",IF(C847&gt;2*COUNTA(F$821:AI$821)/3,'Общий'!$M$11,IF(C847&gt;=COUNTA(F$821:AI$821)/2,'Общий'!$M$12,'Общий'!$M$13)))</f>
        <v/>
      </c>
      <c r="E847" s="4">
        <f>IF(A847="","",SUMIFS('Логи'!$H$7:$H$3006,'Логи'!$A$7:$A$3006,13,'Логи'!$B$7:$B$3006,1,'Логи'!$C$7:$C$3006,A847))</f>
        <v/>
      </c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4" t="inlineStr">
        <is>
          <t>Студент1.27</t>
        </is>
      </c>
      <c r="B848" s="4" t="inlineStr"/>
      <c r="C848" s="4">
        <f>IF(A848="","",COUNTIF(F848:AI848,"+")+COUNTIF(F848:AI848,"1"))</f>
        <v/>
      </c>
      <c r="D848" s="4">
        <f>IF(A848="","",IF(C848&gt;2*COUNTA(F$821:AI$821)/3,'Общий'!$M$11,IF(C848&gt;=COUNTA(F$821:AI$821)/2,'Общий'!$M$12,'Общий'!$M$13)))</f>
        <v/>
      </c>
      <c r="E848" s="4">
        <f>IF(A848="","",SUMIFS('Логи'!$H$7:$H$3006,'Логи'!$A$7:$A$3006,13,'Логи'!$B$7:$B$3006,1,'Логи'!$C$7:$C$3006,A848))</f>
        <v/>
      </c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</row>
    <row r="849">
      <c r="A849" s="4" t="inlineStr">
        <is>
          <t>Студент1.28</t>
        </is>
      </c>
      <c r="B849" s="4" t="inlineStr"/>
      <c r="C849" s="4">
        <f>IF(A849="","",COUNTIF(F849:AI849,"+")+COUNTIF(F849:AI849,"1"))</f>
        <v/>
      </c>
      <c r="D849" s="4">
        <f>IF(A849="","",IF(C849&gt;2*COUNTA(F$821:AI$821)/3,'Общий'!$M$11,IF(C849&gt;=COUNTA(F$821:AI$821)/2,'Общий'!$M$12,'Общий'!$M$13)))</f>
        <v/>
      </c>
      <c r="E849" s="4">
        <f>IF(A849="","",SUMIFS('Логи'!$H$7:$H$3006,'Логи'!$A$7:$A$3006,13,'Логи'!$B$7:$B$3006,1,'Логи'!$C$7:$C$3006,A849))</f>
        <v/>
      </c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4" t="inlineStr">
        <is>
          <t>Студент1.29</t>
        </is>
      </c>
      <c r="B850" s="4" t="inlineStr"/>
      <c r="C850" s="4">
        <f>IF(A850="","",COUNTIF(F850:AI850,"+")+COUNTIF(F850:AI850,"1"))</f>
        <v/>
      </c>
      <c r="D850" s="4">
        <f>IF(A850="","",IF(C850&gt;2*COUNTA(F$821:AI$821)/3,'Общий'!$M$11,IF(C850&gt;=COUNTA(F$821:AI$821)/2,'Общий'!$M$12,'Общий'!$M$13)))</f>
        <v/>
      </c>
      <c r="E850" s="4">
        <f>IF(A850="","",SUMIFS('Логи'!$H$7:$H$3006,'Логи'!$A$7:$A$3006,13,'Логи'!$B$7:$B$3006,1,'Логи'!$C$7:$C$3006,A850))</f>
        <v/>
      </c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</row>
    <row r="851">
      <c r="A851" s="4" t="inlineStr">
        <is>
          <t>Студент1.30</t>
        </is>
      </c>
      <c r="B851" s="4" t="inlineStr"/>
      <c r="C851" s="4">
        <f>IF(A851="","",COUNTIF(F851:AI851,"+")+COUNTIF(F851:AI851,"1"))</f>
        <v/>
      </c>
      <c r="D851" s="4">
        <f>IF(A851="","",IF(C851&gt;2*COUNTA(F$821:AI$821)/3,'Общий'!$M$11,IF(C851&gt;=COUNTA(F$821:AI$821)/2,'Общий'!$M$12,'Общий'!$M$13)))</f>
        <v/>
      </c>
      <c r="E851" s="4">
        <f>IF(A851="","",SUMIFS('Логи'!$H$7:$H$3006,'Логи'!$A$7:$A$3006,13,'Логи'!$B$7:$B$3006,1,'Логи'!$C$7:$C$3006,A851))</f>
        <v/>
      </c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3">
      <c r="A853" s="19" t="inlineStr">
        <is>
          <t>Практика 13 — результаты рассказа</t>
        </is>
      </c>
    </row>
    <row r="854" ht="28" customHeight="1">
      <c r="A854" s="9" t="inlineStr">
        <is>
          <t>Имя</t>
        </is>
      </c>
      <c r="B854" s="11" t="inlineStr">
        <is>
          <t>TG</t>
        </is>
      </c>
      <c r="C854" s="12" t="inlineStr"/>
      <c r="D854" s="3" t="inlineStr"/>
      <c r="E854" s="3" t="inlineStr"/>
      <c r="F854" s="13" t="inlineStr">
        <is>
          <t>1.0</t>
        </is>
      </c>
      <c r="G854" s="13" t="inlineStr">
        <is>
          <t>2.0</t>
        </is>
      </c>
      <c r="H854" s="13" t="inlineStr">
        <is>
          <t>3.0</t>
        </is>
      </c>
      <c r="I854" s="13" t="inlineStr">
        <is>
          <t>4.0</t>
        </is>
      </c>
      <c r="J854" s="13" t="inlineStr">
        <is>
          <t>5.0</t>
        </is>
      </c>
      <c r="K854" s="13" t="inlineStr">
        <is>
          <t>6</t>
        </is>
      </c>
      <c r="L854" s="13" t="inlineStr">
        <is>
          <t>7</t>
        </is>
      </c>
      <c r="M854" s="13" t="inlineStr">
        <is>
          <t>8</t>
        </is>
      </c>
      <c r="N854" s="13" t="inlineStr">
        <is>
          <t>9</t>
        </is>
      </c>
      <c r="O854" s="13" t="inlineStr">
        <is>
          <t>10</t>
        </is>
      </c>
      <c r="P854" s="13" t="inlineStr">
        <is>
          <t>11</t>
        </is>
      </c>
      <c r="Q854" s="13" t="inlineStr">
        <is>
          <t>12</t>
        </is>
      </c>
      <c r="R854" s="13" t="inlineStr">
        <is>
          <t>13</t>
        </is>
      </c>
      <c r="S854" s="13" t="inlineStr">
        <is>
          <t>14</t>
        </is>
      </c>
      <c r="T854" s="13" t="inlineStr">
        <is>
          <t>15</t>
        </is>
      </c>
      <c r="U854" s="13" t="inlineStr">
        <is>
          <t>16</t>
        </is>
      </c>
      <c r="V854" s="13" t="inlineStr">
        <is>
          <t>17</t>
        </is>
      </c>
      <c r="W854" s="13" t="inlineStr">
        <is>
          <t>18</t>
        </is>
      </c>
      <c r="X854" s="13" t="inlineStr">
        <is>
          <t>19</t>
        </is>
      </c>
      <c r="Y854" s="13" t="inlineStr">
        <is>
          <t>20</t>
        </is>
      </c>
      <c r="Z854" s="13" t="inlineStr">
        <is>
          <t>21</t>
        </is>
      </c>
      <c r="AA854" s="13" t="inlineStr">
        <is>
          <t>22</t>
        </is>
      </c>
      <c r="AB854" s="13" t="inlineStr">
        <is>
          <t>23</t>
        </is>
      </c>
      <c r="AC854" s="13" t="inlineStr">
        <is>
          <t>24</t>
        </is>
      </c>
      <c r="AD854" s="13" t="inlineStr">
        <is>
          <t>25</t>
        </is>
      </c>
      <c r="AE854" s="13" t="inlineStr">
        <is>
          <t>26</t>
        </is>
      </c>
      <c r="AF854" s="13" t="inlineStr">
        <is>
          <t>27</t>
        </is>
      </c>
      <c r="AG854" s="13" t="inlineStr">
        <is>
          <t>28</t>
        </is>
      </c>
      <c r="AH854" s="13" t="inlineStr">
        <is>
          <t>29</t>
        </is>
      </c>
      <c r="AI854" s="13" t="inlineStr">
        <is>
          <t>30</t>
        </is>
      </c>
    </row>
    <row r="855">
      <c r="A855" s="4" t="inlineStr">
        <is>
          <t>Студент1.1</t>
        </is>
      </c>
      <c r="B855" s="4" t="inlineStr"/>
      <c r="C855" s="4" t="n"/>
      <c r="D855" s="4" t="n"/>
      <c r="E855" s="4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4" t="inlineStr">
        <is>
          <t>Студент1.2</t>
        </is>
      </c>
      <c r="B856" s="4" t="inlineStr"/>
      <c r="C856" s="4" t="n"/>
      <c r="D856" s="4" t="n"/>
      <c r="E856" s="4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</row>
    <row r="857">
      <c r="A857" s="4" t="inlineStr">
        <is>
          <t>Студент1.3</t>
        </is>
      </c>
      <c r="B857" s="4" t="inlineStr"/>
      <c r="C857" s="4" t="n"/>
      <c r="D857" s="4" t="n"/>
      <c r="E857" s="4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4" t="inlineStr">
        <is>
          <t>Студент1.4</t>
        </is>
      </c>
      <c r="B858" s="4" t="inlineStr"/>
      <c r="C858" s="4" t="n"/>
      <c r="D858" s="4" t="n"/>
      <c r="E858" s="4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</row>
    <row r="859">
      <c r="A859" s="4" t="inlineStr">
        <is>
          <t>Студент1.5</t>
        </is>
      </c>
      <c r="B859" s="4" t="inlineStr"/>
      <c r="C859" s="4" t="n"/>
      <c r="D859" s="4" t="n"/>
      <c r="E859" s="4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4" t="inlineStr">
        <is>
          <t>Студент1.6</t>
        </is>
      </c>
      <c r="B860" s="4" t="inlineStr"/>
      <c r="C860" s="4" t="n"/>
      <c r="D860" s="4" t="n"/>
      <c r="E860" s="4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</row>
    <row r="861">
      <c r="A861" s="4" t="inlineStr">
        <is>
          <t>Студент1.7</t>
        </is>
      </c>
      <c r="B861" s="4" t="inlineStr"/>
      <c r="C861" s="4" t="n"/>
      <c r="D861" s="4" t="n"/>
      <c r="E861" s="4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4" t="inlineStr">
        <is>
          <t>Студент1.8</t>
        </is>
      </c>
      <c r="B862" s="4" t="inlineStr"/>
      <c r="C862" s="4" t="n"/>
      <c r="D862" s="4" t="n"/>
      <c r="E862" s="4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</row>
    <row r="863">
      <c r="A863" s="4" t="inlineStr">
        <is>
          <t>Студент1.9</t>
        </is>
      </c>
      <c r="B863" s="4" t="inlineStr"/>
      <c r="C863" s="4" t="n"/>
      <c r="D863" s="4" t="n"/>
      <c r="E863" s="4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4" t="inlineStr">
        <is>
          <t>Студент1.10</t>
        </is>
      </c>
      <c r="B864" s="4" t="inlineStr"/>
      <c r="C864" s="4" t="n"/>
      <c r="D864" s="4" t="n"/>
      <c r="E864" s="4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</row>
    <row r="865">
      <c r="A865" s="4" t="inlineStr">
        <is>
          <t>Студент1.11</t>
        </is>
      </c>
      <c r="B865" s="4" t="inlineStr"/>
      <c r="C865" s="4" t="n"/>
      <c r="D865" s="4" t="n"/>
      <c r="E865" s="4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4" t="inlineStr">
        <is>
          <t>Студент1.12</t>
        </is>
      </c>
      <c r="B866" s="4" t="inlineStr"/>
      <c r="C866" s="4" t="n"/>
      <c r="D866" s="4" t="n"/>
      <c r="E866" s="4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</row>
    <row r="867">
      <c r="A867" s="4" t="inlineStr">
        <is>
          <t>Студент1.13</t>
        </is>
      </c>
      <c r="B867" s="4" t="inlineStr"/>
      <c r="C867" s="4" t="n"/>
      <c r="D867" s="4" t="n"/>
      <c r="E867" s="4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4" t="inlineStr">
        <is>
          <t>Студент1.14</t>
        </is>
      </c>
      <c r="B868" s="4" t="inlineStr"/>
      <c r="C868" s="4" t="n"/>
      <c r="D868" s="4" t="n"/>
      <c r="E868" s="4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</row>
    <row r="869">
      <c r="A869" s="4" t="inlineStr">
        <is>
          <t>Студент1.15</t>
        </is>
      </c>
      <c r="B869" s="4" t="inlineStr"/>
      <c r="C869" s="4" t="n"/>
      <c r="D869" s="4" t="n"/>
      <c r="E869" s="4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4" t="inlineStr">
        <is>
          <t>Студент1.16</t>
        </is>
      </c>
      <c r="B870" s="4" t="inlineStr"/>
      <c r="C870" s="4" t="n"/>
      <c r="D870" s="4" t="n"/>
      <c r="E870" s="4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</row>
    <row r="871">
      <c r="A871" s="4" t="inlineStr">
        <is>
          <t>Студент1.17</t>
        </is>
      </c>
      <c r="B871" s="4" t="inlineStr"/>
      <c r="C871" s="4" t="n"/>
      <c r="D871" s="4" t="n"/>
      <c r="E871" s="4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4" t="inlineStr">
        <is>
          <t>Студент1.18</t>
        </is>
      </c>
      <c r="B872" s="4" t="inlineStr"/>
      <c r="C872" s="4" t="n"/>
      <c r="D872" s="4" t="n"/>
      <c r="E872" s="4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</row>
    <row r="873">
      <c r="A873" s="4" t="inlineStr">
        <is>
          <t>Студент1.19</t>
        </is>
      </c>
      <c r="B873" s="4" t="inlineStr"/>
      <c r="C873" s="4" t="n"/>
      <c r="D873" s="4" t="n"/>
      <c r="E873" s="4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4" t="inlineStr">
        <is>
          <t>Студент1.20</t>
        </is>
      </c>
      <c r="B874" s="4" t="inlineStr"/>
      <c r="C874" s="4" t="n"/>
      <c r="D874" s="4" t="n"/>
      <c r="E874" s="4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</row>
    <row r="875">
      <c r="A875" s="4" t="inlineStr">
        <is>
          <t>Студент1.21</t>
        </is>
      </c>
      <c r="B875" s="4" t="inlineStr"/>
      <c r="C875" s="4" t="n"/>
      <c r="D875" s="4" t="n"/>
      <c r="E875" s="4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4" t="inlineStr">
        <is>
          <t>Студент1.22</t>
        </is>
      </c>
      <c r="B876" s="4" t="inlineStr"/>
      <c r="C876" s="4" t="n"/>
      <c r="D876" s="4" t="n"/>
      <c r="E876" s="4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</row>
    <row r="877">
      <c r="A877" s="4" t="inlineStr">
        <is>
          <t>Студент1.23</t>
        </is>
      </c>
      <c r="B877" s="4" t="inlineStr"/>
      <c r="C877" s="4" t="n"/>
      <c r="D877" s="4" t="n"/>
      <c r="E877" s="4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4" t="inlineStr">
        <is>
          <t>Студент1.24</t>
        </is>
      </c>
      <c r="B878" s="4" t="inlineStr"/>
      <c r="C878" s="4" t="n"/>
      <c r="D878" s="4" t="n"/>
      <c r="E878" s="4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</row>
    <row r="879">
      <c r="A879" s="4" t="inlineStr">
        <is>
          <t>Студент1.25</t>
        </is>
      </c>
      <c r="B879" s="4" t="inlineStr"/>
      <c r="C879" s="4" t="n"/>
      <c r="D879" s="4" t="n"/>
      <c r="E879" s="4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4" t="inlineStr">
        <is>
          <t>Студент1.26</t>
        </is>
      </c>
      <c r="B880" s="4" t="inlineStr"/>
      <c r="C880" s="4" t="n"/>
      <c r="D880" s="4" t="n"/>
      <c r="E880" s="4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</row>
    <row r="881">
      <c r="A881" s="4" t="inlineStr">
        <is>
          <t>Студент1.27</t>
        </is>
      </c>
      <c r="B881" s="4" t="inlineStr"/>
      <c r="C881" s="4" t="n"/>
      <c r="D881" s="4" t="n"/>
      <c r="E881" s="4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4" t="inlineStr">
        <is>
          <t>Студент1.28</t>
        </is>
      </c>
      <c r="B882" s="4" t="inlineStr"/>
      <c r="C882" s="4" t="n"/>
      <c r="D882" s="4" t="n"/>
      <c r="E882" s="4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</row>
    <row r="883">
      <c r="A883" s="4" t="inlineStr">
        <is>
          <t>Студент1.29</t>
        </is>
      </c>
      <c r="B883" s="4" t="inlineStr"/>
      <c r="C883" s="4" t="n"/>
      <c r="D883" s="4" t="n"/>
      <c r="E883" s="4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4" t="inlineStr">
        <is>
          <t>Студент1.30</t>
        </is>
      </c>
      <c r="B884" s="4" t="inlineStr"/>
      <c r="C884" s="4" t="n"/>
      <c r="D884" s="4" t="n"/>
      <c r="E884" s="4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</row>
    <row r="888">
      <c r="A888" s="17" t="inlineStr">
        <is>
          <t>Практика 14 — плюсы</t>
        </is>
      </c>
    </row>
    <row r="889" ht="28" customHeight="1">
      <c r="A889" s="9" t="inlineStr">
        <is>
          <t>Имя</t>
        </is>
      </c>
      <c r="B889" s="11" t="inlineStr">
        <is>
          <t>TG</t>
        </is>
      </c>
      <c r="C889" s="12" t="inlineStr">
        <is>
          <t>S</t>
        </is>
      </c>
      <c r="D889" s="10" t="inlineStr">
        <is>
          <t>Коэффициент</t>
        </is>
      </c>
      <c r="E889" s="18" t="inlineStr">
        <is>
          <t>D за практику</t>
        </is>
      </c>
      <c r="F889" s="13" t="inlineStr">
        <is>
          <t>1.0</t>
        </is>
      </c>
      <c r="G889" s="13" t="inlineStr">
        <is>
          <t>2.0</t>
        </is>
      </c>
      <c r="H889" s="13" t="inlineStr">
        <is>
          <t>3.0</t>
        </is>
      </c>
      <c r="I889" s="13" t="inlineStr">
        <is>
          <t>4.0</t>
        </is>
      </c>
      <c r="J889" s="13" t="inlineStr">
        <is>
          <t>5.0</t>
        </is>
      </c>
      <c r="K889" s="13" t="inlineStr">
        <is>
          <t>6</t>
        </is>
      </c>
      <c r="L889" s="13" t="inlineStr">
        <is>
          <t>7</t>
        </is>
      </c>
      <c r="M889" s="13" t="inlineStr">
        <is>
          <t>8</t>
        </is>
      </c>
      <c r="N889" s="13" t="inlineStr">
        <is>
          <t>9</t>
        </is>
      </c>
      <c r="O889" s="13" t="inlineStr">
        <is>
          <t>10</t>
        </is>
      </c>
      <c r="P889" s="13" t="inlineStr">
        <is>
          <t>11</t>
        </is>
      </c>
      <c r="Q889" s="13" t="inlineStr">
        <is>
          <t>12</t>
        </is>
      </c>
      <c r="R889" s="13" t="inlineStr">
        <is>
          <t>13</t>
        </is>
      </c>
      <c r="S889" s="13" t="inlineStr">
        <is>
          <t>14</t>
        </is>
      </c>
      <c r="T889" s="13" t="inlineStr">
        <is>
          <t>15</t>
        </is>
      </c>
      <c r="U889" s="13" t="inlineStr">
        <is>
          <t>16</t>
        </is>
      </c>
      <c r="V889" s="13" t="inlineStr">
        <is>
          <t>17</t>
        </is>
      </c>
      <c r="W889" s="13" t="inlineStr">
        <is>
          <t>18</t>
        </is>
      </c>
      <c r="X889" s="13" t="inlineStr">
        <is>
          <t>19</t>
        </is>
      </c>
      <c r="Y889" s="13" t="inlineStr">
        <is>
          <t>20</t>
        </is>
      </c>
      <c r="Z889" s="13" t="inlineStr">
        <is>
          <t>21</t>
        </is>
      </c>
      <c r="AA889" s="13" t="inlineStr">
        <is>
          <t>22</t>
        </is>
      </c>
      <c r="AB889" s="13" t="inlineStr">
        <is>
          <t>23</t>
        </is>
      </c>
      <c r="AC889" s="13" t="inlineStr">
        <is>
          <t>24</t>
        </is>
      </c>
      <c r="AD889" s="13" t="inlineStr">
        <is>
          <t>25</t>
        </is>
      </c>
      <c r="AE889" s="13" t="inlineStr">
        <is>
          <t>26</t>
        </is>
      </c>
      <c r="AF889" s="13" t="inlineStr">
        <is>
          <t>27</t>
        </is>
      </c>
      <c r="AG889" s="13" t="inlineStr">
        <is>
          <t>28</t>
        </is>
      </c>
      <c r="AH889" s="13" t="inlineStr">
        <is>
          <t>29</t>
        </is>
      </c>
      <c r="AI889" s="13" t="inlineStr">
        <is>
          <t>30</t>
        </is>
      </c>
    </row>
    <row r="890">
      <c r="A890" s="4" t="inlineStr">
        <is>
          <t>Студент1.1</t>
        </is>
      </c>
      <c r="B890" s="4" t="inlineStr"/>
      <c r="C890" s="4">
        <f>IF(A890="","",COUNTIF(F890:AI890,"+")+COUNTIF(F890:AI890,"1"))</f>
        <v/>
      </c>
      <c r="D890" s="4">
        <f>IF(A890="","",IF(C890&gt;2*COUNTA(F$889:AI$889)/3,'Общий'!$M$11,IF(C890&gt;=COUNTA(F$889:AI$889)/2,'Общий'!$M$12,'Общий'!$M$13)))</f>
        <v/>
      </c>
      <c r="E890" s="4">
        <f>IF(A890="","",SUMIFS('Логи'!$H$7:$H$3006,'Логи'!$A$7:$A$3006,14,'Логи'!$B$7:$B$3006,1,'Логи'!$C$7:$C$3006,A890))</f>
        <v/>
      </c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</row>
    <row r="891">
      <c r="A891" s="4" t="inlineStr">
        <is>
          <t>Студент1.2</t>
        </is>
      </c>
      <c r="B891" s="4" t="inlineStr"/>
      <c r="C891" s="4">
        <f>IF(A891="","",COUNTIF(F891:AI891,"+")+COUNTIF(F891:AI891,"1"))</f>
        <v/>
      </c>
      <c r="D891" s="4">
        <f>IF(A891="","",IF(C891&gt;2*COUNTA(F$889:AI$889)/3,'Общий'!$M$11,IF(C891&gt;=COUNTA(F$889:AI$889)/2,'Общий'!$M$12,'Общий'!$M$13)))</f>
        <v/>
      </c>
      <c r="E891" s="4">
        <f>IF(A891="","",SUMIFS('Логи'!$H$7:$H$3006,'Логи'!$A$7:$A$3006,14,'Логи'!$B$7:$B$3006,1,'Логи'!$C$7:$C$3006,A891))</f>
        <v/>
      </c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4" t="inlineStr">
        <is>
          <t>Студент1.3</t>
        </is>
      </c>
      <c r="B892" s="4" t="inlineStr"/>
      <c r="C892" s="4">
        <f>IF(A892="","",COUNTIF(F892:AI892,"+")+COUNTIF(F892:AI892,"1"))</f>
        <v/>
      </c>
      <c r="D892" s="4">
        <f>IF(A892="","",IF(C892&gt;2*COUNTA(F$889:AI$889)/3,'Общий'!$M$11,IF(C892&gt;=COUNTA(F$889:AI$889)/2,'Общий'!$M$12,'Общий'!$M$13)))</f>
        <v/>
      </c>
      <c r="E892" s="4">
        <f>IF(A892="","",SUMIFS('Логи'!$H$7:$H$3006,'Логи'!$A$7:$A$3006,14,'Логи'!$B$7:$B$3006,1,'Логи'!$C$7:$C$3006,A892))</f>
        <v/>
      </c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</row>
    <row r="893">
      <c r="A893" s="4" t="inlineStr">
        <is>
          <t>Студент1.4</t>
        </is>
      </c>
      <c r="B893" s="4" t="inlineStr"/>
      <c r="C893" s="4">
        <f>IF(A893="","",COUNTIF(F893:AI893,"+")+COUNTIF(F893:AI893,"1"))</f>
        <v/>
      </c>
      <c r="D893" s="4">
        <f>IF(A893="","",IF(C893&gt;2*COUNTA(F$889:AI$889)/3,'Общий'!$M$11,IF(C893&gt;=COUNTA(F$889:AI$889)/2,'Общий'!$M$12,'Общий'!$M$13)))</f>
        <v/>
      </c>
      <c r="E893" s="4">
        <f>IF(A893="","",SUMIFS('Логи'!$H$7:$H$3006,'Логи'!$A$7:$A$3006,14,'Логи'!$B$7:$B$3006,1,'Логи'!$C$7:$C$3006,A893))</f>
        <v/>
      </c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4" t="inlineStr">
        <is>
          <t>Студент1.5</t>
        </is>
      </c>
      <c r="B894" s="4" t="inlineStr"/>
      <c r="C894" s="4">
        <f>IF(A894="","",COUNTIF(F894:AI894,"+")+COUNTIF(F894:AI894,"1"))</f>
        <v/>
      </c>
      <c r="D894" s="4">
        <f>IF(A894="","",IF(C894&gt;2*COUNTA(F$889:AI$889)/3,'Общий'!$M$11,IF(C894&gt;=COUNTA(F$889:AI$889)/2,'Общий'!$M$12,'Общий'!$M$13)))</f>
        <v/>
      </c>
      <c r="E894" s="4">
        <f>IF(A894="","",SUMIFS('Логи'!$H$7:$H$3006,'Логи'!$A$7:$A$3006,14,'Логи'!$B$7:$B$3006,1,'Логи'!$C$7:$C$3006,A894))</f>
        <v/>
      </c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</row>
    <row r="895">
      <c r="A895" s="4" t="inlineStr">
        <is>
          <t>Студент1.6</t>
        </is>
      </c>
      <c r="B895" s="4" t="inlineStr"/>
      <c r="C895" s="4">
        <f>IF(A895="","",COUNTIF(F895:AI895,"+")+COUNTIF(F895:AI895,"1"))</f>
        <v/>
      </c>
      <c r="D895" s="4">
        <f>IF(A895="","",IF(C895&gt;2*COUNTA(F$889:AI$889)/3,'Общий'!$M$11,IF(C895&gt;=COUNTA(F$889:AI$889)/2,'Общий'!$M$12,'Общий'!$M$13)))</f>
        <v/>
      </c>
      <c r="E895" s="4">
        <f>IF(A895="","",SUMIFS('Логи'!$H$7:$H$3006,'Логи'!$A$7:$A$3006,14,'Логи'!$B$7:$B$3006,1,'Логи'!$C$7:$C$3006,A895))</f>
        <v/>
      </c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4" t="inlineStr">
        <is>
          <t>Студент1.7</t>
        </is>
      </c>
      <c r="B896" s="4" t="inlineStr"/>
      <c r="C896" s="4">
        <f>IF(A896="","",COUNTIF(F896:AI896,"+")+COUNTIF(F896:AI896,"1"))</f>
        <v/>
      </c>
      <c r="D896" s="4">
        <f>IF(A896="","",IF(C896&gt;2*COUNTA(F$889:AI$889)/3,'Общий'!$M$11,IF(C896&gt;=COUNTA(F$889:AI$889)/2,'Общий'!$M$12,'Общий'!$M$13)))</f>
        <v/>
      </c>
      <c r="E896" s="4">
        <f>IF(A896="","",SUMIFS('Логи'!$H$7:$H$3006,'Логи'!$A$7:$A$3006,14,'Логи'!$B$7:$B$3006,1,'Логи'!$C$7:$C$3006,A896))</f>
        <v/>
      </c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</row>
    <row r="897">
      <c r="A897" s="4" t="inlineStr">
        <is>
          <t>Студент1.8</t>
        </is>
      </c>
      <c r="B897" s="4" t="inlineStr"/>
      <c r="C897" s="4">
        <f>IF(A897="","",COUNTIF(F897:AI897,"+")+COUNTIF(F897:AI897,"1"))</f>
        <v/>
      </c>
      <c r="D897" s="4">
        <f>IF(A897="","",IF(C897&gt;2*COUNTA(F$889:AI$889)/3,'Общий'!$M$11,IF(C897&gt;=COUNTA(F$889:AI$889)/2,'Общий'!$M$12,'Общий'!$M$13)))</f>
        <v/>
      </c>
      <c r="E897" s="4">
        <f>IF(A897="","",SUMIFS('Логи'!$H$7:$H$3006,'Логи'!$A$7:$A$3006,14,'Логи'!$B$7:$B$3006,1,'Логи'!$C$7:$C$3006,A897))</f>
        <v/>
      </c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4" t="inlineStr">
        <is>
          <t>Студент1.9</t>
        </is>
      </c>
      <c r="B898" s="4" t="inlineStr"/>
      <c r="C898" s="4">
        <f>IF(A898="","",COUNTIF(F898:AI898,"+")+COUNTIF(F898:AI898,"1"))</f>
        <v/>
      </c>
      <c r="D898" s="4">
        <f>IF(A898="","",IF(C898&gt;2*COUNTA(F$889:AI$889)/3,'Общий'!$M$11,IF(C898&gt;=COUNTA(F$889:AI$889)/2,'Общий'!$M$12,'Общий'!$M$13)))</f>
        <v/>
      </c>
      <c r="E898" s="4">
        <f>IF(A898="","",SUMIFS('Логи'!$H$7:$H$3006,'Логи'!$A$7:$A$3006,14,'Логи'!$B$7:$B$3006,1,'Логи'!$C$7:$C$3006,A898))</f>
        <v/>
      </c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</row>
    <row r="899">
      <c r="A899" s="4" t="inlineStr">
        <is>
          <t>Студент1.10</t>
        </is>
      </c>
      <c r="B899" s="4" t="inlineStr"/>
      <c r="C899" s="4">
        <f>IF(A899="","",COUNTIF(F899:AI899,"+")+COUNTIF(F899:AI899,"1"))</f>
        <v/>
      </c>
      <c r="D899" s="4">
        <f>IF(A899="","",IF(C899&gt;2*COUNTA(F$889:AI$889)/3,'Общий'!$M$11,IF(C899&gt;=COUNTA(F$889:AI$889)/2,'Общий'!$M$12,'Общий'!$M$13)))</f>
        <v/>
      </c>
      <c r="E899" s="4">
        <f>IF(A899="","",SUMIFS('Логи'!$H$7:$H$3006,'Логи'!$A$7:$A$3006,14,'Логи'!$B$7:$B$3006,1,'Логи'!$C$7:$C$3006,A899))</f>
        <v/>
      </c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4" t="inlineStr">
        <is>
          <t>Студент1.11</t>
        </is>
      </c>
      <c r="B900" s="4" t="inlineStr"/>
      <c r="C900" s="4">
        <f>IF(A900="","",COUNTIF(F900:AI900,"+")+COUNTIF(F900:AI900,"1"))</f>
        <v/>
      </c>
      <c r="D900" s="4">
        <f>IF(A900="","",IF(C900&gt;2*COUNTA(F$889:AI$889)/3,'Общий'!$M$11,IF(C900&gt;=COUNTA(F$889:AI$889)/2,'Общий'!$M$12,'Общий'!$M$13)))</f>
        <v/>
      </c>
      <c r="E900" s="4">
        <f>IF(A900="","",SUMIFS('Логи'!$H$7:$H$3006,'Логи'!$A$7:$A$3006,14,'Логи'!$B$7:$B$3006,1,'Логи'!$C$7:$C$3006,A900))</f>
        <v/>
      </c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</row>
    <row r="901">
      <c r="A901" s="4" t="inlineStr">
        <is>
          <t>Студент1.12</t>
        </is>
      </c>
      <c r="B901" s="4" t="inlineStr"/>
      <c r="C901" s="4">
        <f>IF(A901="","",COUNTIF(F901:AI901,"+")+COUNTIF(F901:AI901,"1"))</f>
        <v/>
      </c>
      <c r="D901" s="4">
        <f>IF(A901="","",IF(C901&gt;2*COUNTA(F$889:AI$889)/3,'Общий'!$M$11,IF(C901&gt;=COUNTA(F$889:AI$889)/2,'Общий'!$M$12,'Общий'!$M$13)))</f>
        <v/>
      </c>
      <c r="E901" s="4">
        <f>IF(A901="","",SUMIFS('Логи'!$H$7:$H$3006,'Логи'!$A$7:$A$3006,14,'Логи'!$B$7:$B$3006,1,'Логи'!$C$7:$C$3006,A901))</f>
        <v/>
      </c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4" t="inlineStr">
        <is>
          <t>Студент1.13</t>
        </is>
      </c>
      <c r="B902" s="4" t="inlineStr"/>
      <c r="C902" s="4">
        <f>IF(A902="","",COUNTIF(F902:AI902,"+")+COUNTIF(F902:AI902,"1"))</f>
        <v/>
      </c>
      <c r="D902" s="4">
        <f>IF(A902="","",IF(C902&gt;2*COUNTA(F$889:AI$889)/3,'Общий'!$M$11,IF(C902&gt;=COUNTA(F$889:AI$889)/2,'Общий'!$M$12,'Общий'!$M$13)))</f>
        <v/>
      </c>
      <c r="E902" s="4">
        <f>IF(A902="","",SUMIFS('Логи'!$H$7:$H$3006,'Логи'!$A$7:$A$3006,14,'Логи'!$B$7:$B$3006,1,'Логи'!$C$7:$C$3006,A902))</f>
        <v/>
      </c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</row>
    <row r="903">
      <c r="A903" s="4" t="inlineStr">
        <is>
          <t>Студент1.14</t>
        </is>
      </c>
      <c r="B903" s="4" t="inlineStr"/>
      <c r="C903" s="4">
        <f>IF(A903="","",COUNTIF(F903:AI903,"+")+COUNTIF(F903:AI903,"1"))</f>
        <v/>
      </c>
      <c r="D903" s="4">
        <f>IF(A903="","",IF(C903&gt;2*COUNTA(F$889:AI$889)/3,'Общий'!$M$11,IF(C903&gt;=COUNTA(F$889:AI$889)/2,'Общий'!$M$12,'Общий'!$M$13)))</f>
        <v/>
      </c>
      <c r="E903" s="4">
        <f>IF(A903="","",SUMIFS('Логи'!$H$7:$H$3006,'Логи'!$A$7:$A$3006,14,'Логи'!$B$7:$B$3006,1,'Логи'!$C$7:$C$3006,A903))</f>
        <v/>
      </c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4" t="inlineStr">
        <is>
          <t>Студент1.15</t>
        </is>
      </c>
      <c r="B904" s="4" t="inlineStr"/>
      <c r="C904" s="4">
        <f>IF(A904="","",COUNTIF(F904:AI904,"+")+COUNTIF(F904:AI904,"1"))</f>
        <v/>
      </c>
      <c r="D904" s="4">
        <f>IF(A904="","",IF(C904&gt;2*COUNTA(F$889:AI$889)/3,'Общий'!$M$11,IF(C904&gt;=COUNTA(F$889:AI$889)/2,'Общий'!$M$12,'Общий'!$M$13)))</f>
        <v/>
      </c>
      <c r="E904" s="4">
        <f>IF(A904="","",SUMIFS('Логи'!$H$7:$H$3006,'Логи'!$A$7:$A$3006,14,'Логи'!$B$7:$B$3006,1,'Логи'!$C$7:$C$3006,A904))</f>
        <v/>
      </c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</row>
    <row r="905">
      <c r="A905" s="4" t="inlineStr">
        <is>
          <t>Студент1.16</t>
        </is>
      </c>
      <c r="B905" s="4" t="inlineStr"/>
      <c r="C905" s="4">
        <f>IF(A905="","",COUNTIF(F905:AI905,"+")+COUNTIF(F905:AI905,"1"))</f>
        <v/>
      </c>
      <c r="D905" s="4">
        <f>IF(A905="","",IF(C905&gt;2*COUNTA(F$889:AI$889)/3,'Общий'!$M$11,IF(C905&gt;=COUNTA(F$889:AI$889)/2,'Общий'!$M$12,'Общий'!$M$13)))</f>
        <v/>
      </c>
      <c r="E905" s="4">
        <f>IF(A905="","",SUMIFS('Логи'!$H$7:$H$3006,'Логи'!$A$7:$A$3006,14,'Логи'!$B$7:$B$3006,1,'Логи'!$C$7:$C$3006,A905))</f>
        <v/>
      </c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4" t="inlineStr">
        <is>
          <t>Студент1.17</t>
        </is>
      </c>
      <c r="B906" s="4" t="inlineStr"/>
      <c r="C906" s="4">
        <f>IF(A906="","",COUNTIF(F906:AI906,"+")+COUNTIF(F906:AI906,"1"))</f>
        <v/>
      </c>
      <c r="D906" s="4">
        <f>IF(A906="","",IF(C906&gt;2*COUNTA(F$889:AI$889)/3,'Общий'!$M$11,IF(C906&gt;=COUNTA(F$889:AI$889)/2,'Общий'!$M$12,'Общий'!$M$13)))</f>
        <v/>
      </c>
      <c r="E906" s="4">
        <f>IF(A906="","",SUMIFS('Логи'!$H$7:$H$3006,'Логи'!$A$7:$A$3006,14,'Логи'!$B$7:$B$3006,1,'Логи'!$C$7:$C$3006,A906))</f>
        <v/>
      </c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</row>
    <row r="907">
      <c r="A907" s="4" t="inlineStr">
        <is>
          <t>Студент1.18</t>
        </is>
      </c>
      <c r="B907" s="4" t="inlineStr"/>
      <c r="C907" s="4">
        <f>IF(A907="","",COUNTIF(F907:AI907,"+")+COUNTIF(F907:AI907,"1"))</f>
        <v/>
      </c>
      <c r="D907" s="4">
        <f>IF(A907="","",IF(C907&gt;2*COUNTA(F$889:AI$889)/3,'Общий'!$M$11,IF(C907&gt;=COUNTA(F$889:AI$889)/2,'Общий'!$M$12,'Общий'!$M$13)))</f>
        <v/>
      </c>
      <c r="E907" s="4">
        <f>IF(A907="","",SUMIFS('Логи'!$H$7:$H$3006,'Логи'!$A$7:$A$3006,14,'Логи'!$B$7:$B$3006,1,'Логи'!$C$7:$C$3006,A907))</f>
        <v/>
      </c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4" t="inlineStr">
        <is>
          <t>Студент1.19</t>
        </is>
      </c>
      <c r="B908" s="4" t="inlineStr"/>
      <c r="C908" s="4">
        <f>IF(A908="","",COUNTIF(F908:AI908,"+")+COUNTIF(F908:AI908,"1"))</f>
        <v/>
      </c>
      <c r="D908" s="4">
        <f>IF(A908="","",IF(C908&gt;2*COUNTA(F$889:AI$889)/3,'Общий'!$M$11,IF(C908&gt;=COUNTA(F$889:AI$889)/2,'Общий'!$M$12,'Общий'!$M$13)))</f>
        <v/>
      </c>
      <c r="E908" s="4">
        <f>IF(A908="","",SUMIFS('Логи'!$H$7:$H$3006,'Логи'!$A$7:$A$3006,14,'Логи'!$B$7:$B$3006,1,'Логи'!$C$7:$C$3006,A908))</f>
        <v/>
      </c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</row>
    <row r="909">
      <c r="A909" s="4" t="inlineStr">
        <is>
          <t>Студент1.20</t>
        </is>
      </c>
      <c r="B909" s="4" t="inlineStr"/>
      <c r="C909" s="4">
        <f>IF(A909="","",COUNTIF(F909:AI909,"+")+COUNTIF(F909:AI909,"1"))</f>
        <v/>
      </c>
      <c r="D909" s="4">
        <f>IF(A909="","",IF(C909&gt;2*COUNTA(F$889:AI$889)/3,'Общий'!$M$11,IF(C909&gt;=COUNTA(F$889:AI$889)/2,'Общий'!$M$12,'Общий'!$M$13)))</f>
        <v/>
      </c>
      <c r="E909" s="4">
        <f>IF(A909="","",SUMIFS('Логи'!$H$7:$H$3006,'Логи'!$A$7:$A$3006,14,'Логи'!$B$7:$B$3006,1,'Логи'!$C$7:$C$3006,A909))</f>
        <v/>
      </c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4" t="inlineStr">
        <is>
          <t>Студент1.21</t>
        </is>
      </c>
      <c r="B910" s="4" t="inlineStr"/>
      <c r="C910" s="4">
        <f>IF(A910="","",COUNTIF(F910:AI910,"+")+COUNTIF(F910:AI910,"1"))</f>
        <v/>
      </c>
      <c r="D910" s="4">
        <f>IF(A910="","",IF(C910&gt;2*COUNTA(F$889:AI$889)/3,'Общий'!$M$11,IF(C910&gt;=COUNTA(F$889:AI$889)/2,'Общий'!$M$12,'Общий'!$M$13)))</f>
        <v/>
      </c>
      <c r="E910" s="4">
        <f>IF(A910="","",SUMIFS('Логи'!$H$7:$H$3006,'Логи'!$A$7:$A$3006,14,'Логи'!$B$7:$B$3006,1,'Логи'!$C$7:$C$3006,A910))</f>
        <v/>
      </c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</row>
    <row r="911">
      <c r="A911" s="4" t="inlineStr">
        <is>
          <t>Студент1.22</t>
        </is>
      </c>
      <c r="B911" s="4" t="inlineStr"/>
      <c r="C911" s="4">
        <f>IF(A911="","",COUNTIF(F911:AI911,"+")+COUNTIF(F911:AI911,"1"))</f>
        <v/>
      </c>
      <c r="D911" s="4">
        <f>IF(A911="","",IF(C911&gt;2*COUNTA(F$889:AI$889)/3,'Общий'!$M$11,IF(C911&gt;=COUNTA(F$889:AI$889)/2,'Общий'!$M$12,'Общий'!$M$13)))</f>
        <v/>
      </c>
      <c r="E911" s="4">
        <f>IF(A911="","",SUMIFS('Логи'!$H$7:$H$3006,'Логи'!$A$7:$A$3006,14,'Логи'!$B$7:$B$3006,1,'Логи'!$C$7:$C$3006,A911))</f>
        <v/>
      </c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4" t="inlineStr">
        <is>
          <t>Студент1.23</t>
        </is>
      </c>
      <c r="B912" s="4" t="inlineStr"/>
      <c r="C912" s="4">
        <f>IF(A912="","",COUNTIF(F912:AI912,"+")+COUNTIF(F912:AI912,"1"))</f>
        <v/>
      </c>
      <c r="D912" s="4">
        <f>IF(A912="","",IF(C912&gt;2*COUNTA(F$889:AI$889)/3,'Общий'!$M$11,IF(C912&gt;=COUNTA(F$889:AI$889)/2,'Общий'!$M$12,'Общий'!$M$13)))</f>
        <v/>
      </c>
      <c r="E912" s="4">
        <f>IF(A912="","",SUMIFS('Логи'!$H$7:$H$3006,'Логи'!$A$7:$A$3006,14,'Логи'!$B$7:$B$3006,1,'Логи'!$C$7:$C$3006,A912))</f>
        <v/>
      </c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</row>
    <row r="913">
      <c r="A913" s="4" t="inlineStr">
        <is>
          <t>Студент1.24</t>
        </is>
      </c>
      <c r="B913" s="4" t="inlineStr"/>
      <c r="C913" s="4">
        <f>IF(A913="","",COUNTIF(F913:AI913,"+")+COUNTIF(F913:AI913,"1"))</f>
        <v/>
      </c>
      <c r="D913" s="4">
        <f>IF(A913="","",IF(C913&gt;2*COUNTA(F$889:AI$889)/3,'Общий'!$M$11,IF(C913&gt;=COUNTA(F$889:AI$889)/2,'Общий'!$M$12,'Общий'!$M$13)))</f>
        <v/>
      </c>
      <c r="E913" s="4">
        <f>IF(A913="","",SUMIFS('Логи'!$H$7:$H$3006,'Логи'!$A$7:$A$3006,14,'Логи'!$B$7:$B$3006,1,'Логи'!$C$7:$C$3006,A913))</f>
        <v/>
      </c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4" t="inlineStr">
        <is>
          <t>Студент1.25</t>
        </is>
      </c>
      <c r="B914" s="4" t="inlineStr"/>
      <c r="C914" s="4">
        <f>IF(A914="","",COUNTIF(F914:AI914,"+")+COUNTIF(F914:AI914,"1"))</f>
        <v/>
      </c>
      <c r="D914" s="4">
        <f>IF(A914="","",IF(C914&gt;2*COUNTA(F$889:AI$889)/3,'Общий'!$M$11,IF(C914&gt;=COUNTA(F$889:AI$889)/2,'Общий'!$M$12,'Общий'!$M$13)))</f>
        <v/>
      </c>
      <c r="E914" s="4">
        <f>IF(A914="","",SUMIFS('Логи'!$H$7:$H$3006,'Логи'!$A$7:$A$3006,14,'Логи'!$B$7:$B$3006,1,'Логи'!$C$7:$C$3006,A914))</f>
        <v/>
      </c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</row>
    <row r="915">
      <c r="A915" s="4" t="inlineStr">
        <is>
          <t>Студент1.26</t>
        </is>
      </c>
      <c r="B915" s="4" t="inlineStr"/>
      <c r="C915" s="4">
        <f>IF(A915="","",COUNTIF(F915:AI915,"+")+COUNTIF(F915:AI915,"1"))</f>
        <v/>
      </c>
      <c r="D915" s="4">
        <f>IF(A915="","",IF(C915&gt;2*COUNTA(F$889:AI$889)/3,'Общий'!$M$11,IF(C915&gt;=COUNTA(F$889:AI$889)/2,'Общий'!$M$12,'Общий'!$M$13)))</f>
        <v/>
      </c>
      <c r="E915" s="4">
        <f>IF(A915="","",SUMIFS('Логи'!$H$7:$H$3006,'Логи'!$A$7:$A$3006,14,'Логи'!$B$7:$B$3006,1,'Логи'!$C$7:$C$3006,A915))</f>
        <v/>
      </c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4" t="inlineStr">
        <is>
          <t>Студент1.27</t>
        </is>
      </c>
      <c r="B916" s="4" t="inlineStr"/>
      <c r="C916" s="4">
        <f>IF(A916="","",COUNTIF(F916:AI916,"+")+COUNTIF(F916:AI916,"1"))</f>
        <v/>
      </c>
      <c r="D916" s="4">
        <f>IF(A916="","",IF(C916&gt;2*COUNTA(F$889:AI$889)/3,'Общий'!$M$11,IF(C916&gt;=COUNTA(F$889:AI$889)/2,'Общий'!$M$12,'Общий'!$M$13)))</f>
        <v/>
      </c>
      <c r="E916" s="4">
        <f>IF(A916="","",SUMIFS('Логи'!$H$7:$H$3006,'Логи'!$A$7:$A$3006,14,'Логи'!$B$7:$B$3006,1,'Логи'!$C$7:$C$3006,A916))</f>
        <v/>
      </c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</row>
    <row r="917">
      <c r="A917" s="4" t="inlineStr">
        <is>
          <t>Студент1.28</t>
        </is>
      </c>
      <c r="B917" s="4" t="inlineStr"/>
      <c r="C917" s="4">
        <f>IF(A917="","",COUNTIF(F917:AI917,"+")+COUNTIF(F917:AI917,"1"))</f>
        <v/>
      </c>
      <c r="D917" s="4">
        <f>IF(A917="","",IF(C917&gt;2*COUNTA(F$889:AI$889)/3,'Общий'!$M$11,IF(C917&gt;=COUNTA(F$889:AI$889)/2,'Общий'!$M$12,'Общий'!$M$13)))</f>
        <v/>
      </c>
      <c r="E917" s="4">
        <f>IF(A917="","",SUMIFS('Логи'!$H$7:$H$3006,'Логи'!$A$7:$A$3006,14,'Логи'!$B$7:$B$3006,1,'Логи'!$C$7:$C$3006,A917))</f>
        <v/>
      </c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4" t="inlineStr">
        <is>
          <t>Студент1.29</t>
        </is>
      </c>
      <c r="B918" s="4" t="inlineStr"/>
      <c r="C918" s="4">
        <f>IF(A918="","",COUNTIF(F918:AI918,"+")+COUNTIF(F918:AI918,"1"))</f>
        <v/>
      </c>
      <c r="D918" s="4">
        <f>IF(A918="","",IF(C918&gt;2*COUNTA(F$889:AI$889)/3,'Общий'!$M$11,IF(C918&gt;=COUNTA(F$889:AI$889)/2,'Общий'!$M$12,'Общий'!$M$13)))</f>
        <v/>
      </c>
      <c r="E918" s="4">
        <f>IF(A918="","",SUMIFS('Логи'!$H$7:$H$3006,'Логи'!$A$7:$A$3006,14,'Логи'!$B$7:$B$3006,1,'Логи'!$C$7:$C$3006,A918))</f>
        <v/>
      </c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</row>
    <row r="919">
      <c r="A919" s="4" t="inlineStr">
        <is>
          <t>Студент1.30</t>
        </is>
      </c>
      <c r="B919" s="4" t="inlineStr"/>
      <c r="C919" s="4">
        <f>IF(A919="","",COUNTIF(F919:AI919,"+")+COUNTIF(F919:AI919,"1"))</f>
        <v/>
      </c>
      <c r="D919" s="4">
        <f>IF(A919="","",IF(C919&gt;2*COUNTA(F$889:AI$889)/3,'Общий'!$M$11,IF(C919&gt;=COUNTA(F$889:AI$889)/2,'Общий'!$M$12,'Общий'!$M$13)))</f>
        <v/>
      </c>
      <c r="E919" s="4">
        <f>IF(A919="","",SUMIFS('Логи'!$H$7:$H$3006,'Логи'!$A$7:$A$3006,14,'Логи'!$B$7:$B$3006,1,'Логи'!$C$7:$C$3006,A919))</f>
        <v/>
      </c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1">
      <c r="A921" s="19" t="inlineStr">
        <is>
          <t>Практика 14 — результаты рассказа</t>
        </is>
      </c>
    </row>
    <row r="922" ht="28" customHeight="1">
      <c r="A922" s="9" t="inlineStr">
        <is>
          <t>Имя</t>
        </is>
      </c>
      <c r="B922" s="11" t="inlineStr">
        <is>
          <t>TG</t>
        </is>
      </c>
      <c r="C922" s="12" t="inlineStr"/>
      <c r="D922" s="3" t="inlineStr"/>
      <c r="E922" s="3" t="inlineStr"/>
      <c r="F922" s="13" t="inlineStr">
        <is>
          <t>1.0</t>
        </is>
      </c>
      <c r="G922" s="13" t="inlineStr">
        <is>
          <t>2.0</t>
        </is>
      </c>
      <c r="H922" s="13" t="inlineStr">
        <is>
          <t>3.0</t>
        </is>
      </c>
      <c r="I922" s="13" t="inlineStr">
        <is>
          <t>4.0</t>
        </is>
      </c>
      <c r="J922" s="13" t="inlineStr">
        <is>
          <t>5.0</t>
        </is>
      </c>
      <c r="K922" s="13" t="inlineStr">
        <is>
          <t>6</t>
        </is>
      </c>
      <c r="L922" s="13" t="inlineStr">
        <is>
          <t>7</t>
        </is>
      </c>
      <c r="M922" s="13" t="inlineStr">
        <is>
          <t>8</t>
        </is>
      </c>
      <c r="N922" s="13" t="inlineStr">
        <is>
          <t>9</t>
        </is>
      </c>
      <c r="O922" s="13" t="inlineStr">
        <is>
          <t>10</t>
        </is>
      </c>
      <c r="P922" s="13" t="inlineStr">
        <is>
          <t>11</t>
        </is>
      </c>
      <c r="Q922" s="13" t="inlineStr">
        <is>
          <t>12</t>
        </is>
      </c>
      <c r="R922" s="13" t="inlineStr">
        <is>
          <t>13</t>
        </is>
      </c>
      <c r="S922" s="13" t="inlineStr">
        <is>
          <t>14</t>
        </is>
      </c>
      <c r="T922" s="13" t="inlineStr">
        <is>
          <t>15</t>
        </is>
      </c>
      <c r="U922" s="13" t="inlineStr">
        <is>
          <t>16</t>
        </is>
      </c>
      <c r="V922" s="13" t="inlineStr">
        <is>
          <t>17</t>
        </is>
      </c>
      <c r="W922" s="13" t="inlineStr">
        <is>
          <t>18</t>
        </is>
      </c>
      <c r="X922" s="13" t="inlineStr">
        <is>
          <t>19</t>
        </is>
      </c>
      <c r="Y922" s="13" t="inlineStr">
        <is>
          <t>20</t>
        </is>
      </c>
      <c r="Z922" s="13" t="inlineStr">
        <is>
          <t>21</t>
        </is>
      </c>
      <c r="AA922" s="13" t="inlineStr">
        <is>
          <t>22</t>
        </is>
      </c>
      <c r="AB922" s="13" t="inlineStr">
        <is>
          <t>23</t>
        </is>
      </c>
      <c r="AC922" s="13" t="inlineStr">
        <is>
          <t>24</t>
        </is>
      </c>
      <c r="AD922" s="13" t="inlineStr">
        <is>
          <t>25</t>
        </is>
      </c>
      <c r="AE922" s="13" t="inlineStr">
        <is>
          <t>26</t>
        </is>
      </c>
      <c r="AF922" s="13" t="inlineStr">
        <is>
          <t>27</t>
        </is>
      </c>
      <c r="AG922" s="13" t="inlineStr">
        <is>
          <t>28</t>
        </is>
      </c>
      <c r="AH922" s="13" t="inlineStr">
        <is>
          <t>29</t>
        </is>
      </c>
      <c r="AI922" s="13" t="inlineStr">
        <is>
          <t>30</t>
        </is>
      </c>
    </row>
    <row r="923">
      <c r="A923" s="4" t="inlineStr">
        <is>
          <t>Студент1.1</t>
        </is>
      </c>
      <c r="B923" s="4" t="inlineStr"/>
      <c r="C923" s="4" t="n"/>
      <c r="D923" s="4" t="n"/>
      <c r="E923" s="4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4" t="inlineStr">
        <is>
          <t>Студент1.2</t>
        </is>
      </c>
      <c r="B924" s="4" t="inlineStr"/>
      <c r="C924" s="4" t="n"/>
      <c r="D924" s="4" t="n"/>
      <c r="E924" s="4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</row>
    <row r="925">
      <c r="A925" s="4" t="inlineStr">
        <is>
          <t>Студент1.3</t>
        </is>
      </c>
      <c r="B925" s="4" t="inlineStr"/>
      <c r="C925" s="4" t="n"/>
      <c r="D925" s="4" t="n"/>
      <c r="E925" s="4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4" t="inlineStr">
        <is>
          <t>Студент1.4</t>
        </is>
      </c>
      <c r="B926" s="4" t="inlineStr"/>
      <c r="C926" s="4" t="n"/>
      <c r="D926" s="4" t="n"/>
      <c r="E926" s="4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</row>
    <row r="927">
      <c r="A927" s="4" t="inlineStr">
        <is>
          <t>Студент1.5</t>
        </is>
      </c>
      <c r="B927" s="4" t="inlineStr"/>
      <c r="C927" s="4" t="n"/>
      <c r="D927" s="4" t="n"/>
      <c r="E927" s="4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4" t="inlineStr">
        <is>
          <t>Студент1.6</t>
        </is>
      </c>
      <c r="B928" s="4" t="inlineStr"/>
      <c r="C928" s="4" t="n"/>
      <c r="D928" s="4" t="n"/>
      <c r="E928" s="4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</row>
    <row r="929">
      <c r="A929" s="4" t="inlineStr">
        <is>
          <t>Студент1.7</t>
        </is>
      </c>
      <c r="B929" s="4" t="inlineStr"/>
      <c r="C929" s="4" t="n"/>
      <c r="D929" s="4" t="n"/>
      <c r="E929" s="4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4" t="inlineStr">
        <is>
          <t>Студент1.8</t>
        </is>
      </c>
      <c r="B930" s="4" t="inlineStr"/>
      <c r="C930" s="4" t="n"/>
      <c r="D930" s="4" t="n"/>
      <c r="E930" s="4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</row>
    <row r="931">
      <c r="A931" s="4" t="inlineStr">
        <is>
          <t>Студент1.9</t>
        </is>
      </c>
      <c r="B931" s="4" t="inlineStr"/>
      <c r="C931" s="4" t="n"/>
      <c r="D931" s="4" t="n"/>
      <c r="E931" s="4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4" t="inlineStr">
        <is>
          <t>Студент1.10</t>
        </is>
      </c>
      <c r="B932" s="4" t="inlineStr"/>
      <c r="C932" s="4" t="n"/>
      <c r="D932" s="4" t="n"/>
      <c r="E932" s="4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</row>
    <row r="933">
      <c r="A933" s="4" t="inlineStr">
        <is>
          <t>Студент1.11</t>
        </is>
      </c>
      <c r="B933" s="4" t="inlineStr"/>
      <c r="C933" s="4" t="n"/>
      <c r="D933" s="4" t="n"/>
      <c r="E933" s="4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4" t="inlineStr">
        <is>
          <t>Студент1.12</t>
        </is>
      </c>
      <c r="B934" s="4" t="inlineStr"/>
      <c r="C934" s="4" t="n"/>
      <c r="D934" s="4" t="n"/>
      <c r="E934" s="4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</row>
    <row r="935">
      <c r="A935" s="4" t="inlineStr">
        <is>
          <t>Студент1.13</t>
        </is>
      </c>
      <c r="B935" s="4" t="inlineStr"/>
      <c r="C935" s="4" t="n"/>
      <c r="D935" s="4" t="n"/>
      <c r="E935" s="4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4" t="inlineStr">
        <is>
          <t>Студент1.14</t>
        </is>
      </c>
      <c r="B936" s="4" t="inlineStr"/>
      <c r="C936" s="4" t="n"/>
      <c r="D936" s="4" t="n"/>
      <c r="E936" s="4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</row>
    <row r="937">
      <c r="A937" s="4" t="inlineStr">
        <is>
          <t>Студент1.15</t>
        </is>
      </c>
      <c r="B937" s="4" t="inlineStr"/>
      <c r="C937" s="4" t="n"/>
      <c r="D937" s="4" t="n"/>
      <c r="E937" s="4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4" t="inlineStr">
        <is>
          <t>Студент1.16</t>
        </is>
      </c>
      <c r="B938" s="4" t="inlineStr"/>
      <c r="C938" s="4" t="n"/>
      <c r="D938" s="4" t="n"/>
      <c r="E938" s="4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</row>
    <row r="939">
      <c r="A939" s="4" t="inlineStr">
        <is>
          <t>Студент1.17</t>
        </is>
      </c>
      <c r="B939" s="4" t="inlineStr"/>
      <c r="C939" s="4" t="n"/>
      <c r="D939" s="4" t="n"/>
      <c r="E939" s="4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4" t="inlineStr">
        <is>
          <t>Студент1.18</t>
        </is>
      </c>
      <c r="B940" s="4" t="inlineStr"/>
      <c r="C940" s="4" t="n"/>
      <c r="D940" s="4" t="n"/>
      <c r="E940" s="4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</row>
    <row r="941">
      <c r="A941" s="4" t="inlineStr">
        <is>
          <t>Студент1.19</t>
        </is>
      </c>
      <c r="B941" s="4" t="inlineStr"/>
      <c r="C941" s="4" t="n"/>
      <c r="D941" s="4" t="n"/>
      <c r="E941" s="4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4" t="inlineStr">
        <is>
          <t>Студент1.20</t>
        </is>
      </c>
      <c r="B942" s="4" t="inlineStr"/>
      <c r="C942" s="4" t="n"/>
      <c r="D942" s="4" t="n"/>
      <c r="E942" s="4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</row>
    <row r="943">
      <c r="A943" s="4" t="inlineStr">
        <is>
          <t>Студент1.21</t>
        </is>
      </c>
      <c r="B943" s="4" t="inlineStr"/>
      <c r="C943" s="4" t="n"/>
      <c r="D943" s="4" t="n"/>
      <c r="E943" s="4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4" t="inlineStr">
        <is>
          <t>Студент1.22</t>
        </is>
      </c>
      <c r="B944" s="4" t="inlineStr"/>
      <c r="C944" s="4" t="n"/>
      <c r="D944" s="4" t="n"/>
      <c r="E944" s="4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</row>
    <row r="945">
      <c r="A945" s="4" t="inlineStr">
        <is>
          <t>Студент1.23</t>
        </is>
      </c>
      <c r="B945" s="4" t="inlineStr"/>
      <c r="C945" s="4" t="n"/>
      <c r="D945" s="4" t="n"/>
      <c r="E945" s="4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4" t="inlineStr">
        <is>
          <t>Студент1.24</t>
        </is>
      </c>
      <c r="B946" s="4" t="inlineStr"/>
      <c r="C946" s="4" t="n"/>
      <c r="D946" s="4" t="n"/>
      <c r="E946" s="4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</row>
    <row r="947">
      <c r="A947" s="4" t="inlineStr">
        <is>
          <t>Студент1.25</t>
        </is>
      </c>
      <c r="B947" s="4" t="inlineStr"/>
      <c r="C947" s="4" t="n"/>
      <c r="D947" s="4" t="n"/>
      <c r="E947" s="4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4" t="inlineStr">
        <is>
          <t>Студент1.26</t>
        </is>
      </c>
      <c r="B948" s="4" t="inlineStr"/>
      <c r="C948" s="4" t="n"/>
      <c r="D948" s="4" t="n"/>
      <c r="E948" s="4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</row>
    <row r="949">
      <c r="A949" s="4" t="inlineStr">
        <is>
          <t>Студент1.27</t>
        </is>
      </c>
      <c r="B949" s="4" t="inlineStr"/>
      <c r="C949" s="4" t="n"/>
      <c r="D949" s="4" t="n"/>
      <c r="E949" s="4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4" t="inlineStr">
        <is>
          <t>Студент1.28</t>
        </is>
      </c>
      <c r="B950" s="4" t="inlineStr"/>
      <c r="C950" s="4" t="n"/>
      <c r="D950" s="4" t="n"/>
      <c r="E950" s="4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</row>
    <row r="951">
      <c r="A951" s="4" t="inlineStr">
        <is>
          <t>Студент1.29</t>
        </is>
      </c>
      <c r="B951" s="4" t="inlineStr"/>
      <c r="C951" s="4" t="n"/>
      <c r="D951" s="4" t="n"/>
      <c r="E951" s="4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4" t="inlineStr">
        <is>
          <t>Студент1.30</t>
        </is>
      </c>
      <c r="B952" s="4" t="inlineStr"/>
      <c r="C952" s="4" t="n"/>
      <c r="D952" s="4" t="n"/>
      <c r="E952" s="4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</row>
    <row r="956">
      <c r="A956" s="17" t="inlineStr">
        <is>
          <t>Практика 15 — плюсы</t>
        </is>
      </c>
    </row>
    <row r="957" ht="28" customHeight="1">
      <c r="A957" s="9" t="inlineStr">
        <is>
          <t>Имя</t>
        </is>
      </c>
      <c r="B957" s="11" t="inlineStr">
        <is>
          <t>TG</t>
        </is>
      </c>
      <c r="C957" s="12" t="inlineStr">
        <is>
          <t>S</t>
        </is>
      </c>
      <c r="D957" s="10" t="inlineStr">
        <is>
          <t>Коэффициент</t>
        </is>
      </c>
      <c r="E957" s="18" t="inlineStr">
        <is>
          <t>D за практику</t>
        </is>
      </c>
      <c r="F957" s="13" t="inlineStr">
        <is>
          <t>1.0</t>
        </is>
      </c>
      <c r="G957" s="13" t="inlineStr">
        <is>
          <t>2.0</t>
        </is>
      </c>
      <c r="H957" s="13" t="inlineStr">
        <is>
          <t>3.0</t>
        </is>
      </c>
      <c r="I957" s="13" t="inlineStr">
        <is>
          <t>4.0</t>
        </is>
      </c>
      <c r="J957" s="13" t="inlineStr">
        <is>
          <t>5.0</t>
        </is>
      </c>
      <c r="K957" s="13" t="inlineStr">
        <is>
          <t>6</t>
        </is>
      </c>
      <c r="L957" s="13" t="inlineStr">
        <is>
          <t>7</t>
        </is>
      </c>
      <c r="M957" s="13" t="inlineStr">
        <is>
          <t>8</t>
        </is>
      </c>
      <c r="N957" s="13" t="inlineStr">
        <is>
          <t>9</t>
        </is>
      </c>
      <c r="O957" s="13" t="inlineStr">
        <is>
          <t>10</t>
        </is>
      </c>
      <c r="P957" s="13" t="inlineStr">
        <is>
          <t>11</t>
        </is>
      </c>
      <c r="Q957" s="13" t="inlineStr">
        <is>
          <t>12</t>
        </is>
      </c>
      <c r="R957" s="13" t="inlineStr">
        <is>
          <t>13</t>
        </is>
      </c>
      <c r="S957" s="13" t="inlineStr">
        <is>
          <t>14</t>
        </is>
      </c>
      <c r="T957" s="13" t="inlineStr">
        <is>
          <t>15</t>
        </is>
      </c>
      <c r="U957" s="13" t="inlineStr">
        <is>
          <t>16</t>
        </is>
      </c>
      <c r="V957" s="13" t="inlineStr">
        <is>
          <t>17</t>
        </is>
      </c>
      <c r="W957" s="13" t="inlineStr">
        <is>
          <t>18</t>
        </is>
      </c>
      <c r="X957" s="13" t="inlineStr">
        <is>
          <t>19</t>
        </is>
      </c>
      <c r="Y957" s="13" t="inlineStr">
        <is>
          <t>20</t>
        </is>
      </c>
      <c r="Z957" s="13" t="inlineStr">
        <is>
          <t>21</t>
        </is>
      </c>
      <c r="AA957" s="13" t="inlineStr">
        <is>
          <t>22</t>
        </is>
      </c>
      <c r="AB957" s="13" t="inlineStr">
        <is>
          <t>23</t>
        </is>
      </c>
      <c r="AC957" s="13" t="inlineStr">
        <is>
          <t>24</t>
        </is>
      </c>
      <c r="AD957" s="13" t="inlineStr">
        <is>
          <t>25</t>
        </is>
      </c>
      <c r="AE957" s="13" t="inlineStr">
        <is>
          <t>26</t>
        </is>
      </c>
      <c r="AF957" s="13" t="inlineStr">
        <is>
          <t>27</t>
        </is>
      </c>
      <c r="AG957" s="13" t="inlineStr">
        <is>
          <t>28</t>
        </is>
      </c>
      <c r="AH957" s="13" t="inlineStr">
        <is>
          <t>29</t>
        </is>
      </c>
      <c r="AI957" s="13" t="inlineStr">
        <is>
          <t>30</t>
        </is>
      </c>
    </row>
    <row r="958">
      <c r="A958" s="4" t="inlineStr">
        <is>
          <t>Студент1.1</t>
        </is>
      </c>
      <c r="B958" s="4" t="inlineStr"/>
      <c r="C958" s="4">
        <f>IF(A958="","",COUNTIF(F958:AI958,"+")+COUNTIF(F958:AI958,"1"))</f>
        <v/>
      </c>
      <c r="D958" s="4">
        <f>IF(A958="","",IF(C958&gt;2*COUNTA(F$957:AI$957)/3,'Общий'!$M$11,IF(C958&gt;=COUNTA(F$957:AI$957)/2,'Общий'!$M$12,'Общий'!$M$13)))</f>
        <v/>
      </c>
      <c r="E958" s="4">
        <f>IF(A958="","",SUMIFS('Логи'!$H$7:$H$3006,'Логи'!$A$7:$A$3006,15,'Логи'!$B$7:$B$3006,1,'Логи'!$C$7:$C$3006,A958))</f>
        <v/>
      </c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</row>
    <row r="959">
      <c r="A959" s="4" t="inlineStr">
        <is>
          <t>Студент1.2</t>
        </is>
      </c>
      <c r="B959" s="4" t="inlineStr"/>
      <c r="C959" s="4">
        <f>IF(A959="","",COUNTIF(F959:AI959,"+")+COUNTIF(F959:AI959,"1"))</f>
        <v/>
      </c>
      <c r="D959" s="4">
        <f>IF(A959="","",IF(C959&gt;2*COUNTA(F$957:AI$957)/3,'Общий'!$M$11,IF(C959&gt;=COUNTA(F$957:AI$957)/2,'Общий'!$M$12,'Общий'!$M$13)))</f>
        <v/>
      </c>
      <c r="E959" s="4">
        <f>IF(A959="","",SUMIFS('Логи'!$H$7:$H$3006,'Логи'!$A$7:$A$3006,15,'Логи'!$B$7:$B$3006,1,'Логи'!$C$7:$C$3006,A959))</f>
        <v/>
      </c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4" t="inlineStr">
        <is>
          <t>Студент1.3</t>
        </is>
      </c>
      <c r="B960" s="4" t="inlineStr"/>
      <c r="C960" s="4">
        <f>IF(A960="","",COUNTIF(F960:AI960,"+")+COUNTIF(F960:AI960,"1"))</f>
        <v/>
      </c>
      <c r="D960" s="4">
        <f>IF(A960="","",IF(C960&gt;2*COUNTA(F$957:AI$957)/3,'Общий'!$M$11,IF(C960&gt;=COUNTA(F$957:AI$957)/2,'Общий'!$M$12,'Общий'!$M$13)))</f>
        <v/>
      </c>
      <c r="E960" s="4">
        <f>IF(A960="","",SUMIFS('Логи'!$H$7:$H$3006,'Логи'!$A$7:$A$3006,15,'Логи'!$B$7:$B$3006,1,'Логи'!$C$7:$C$3006,A960))</f>
        <v/>
      </c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</row>
    <row r="961">
      <c r="A961" s="4" t="inlineStr">
        <is>
          <t>Студент1.4</t>
        </is>
      </c>
      <c r="B961" s="4" t="inlineStr"/>
      <c r="C961" s="4">
        <f>IF(A961="","",COUNTIF(F961:AI961,"+")+COUNTIF(F961:AI961,"1"))</f>
        <v/>
      </c>
      <c r="D961" s="4">
        <f>IF(A961="","",IF(C961&gt;2*COUNTA(F$957:AI$957)/3,'Общий'!$M$11,IF(C961&gt;=COUNTA(F$957:AI$957)/2,'Общий'!$M$12,'Общий'!$M$13)))</f>
        <v/>
      </c>
      <c r="E961" s="4">
        <f>IF(A961="","",SUMIFS('Логи'!$H$7:$H$3006,'Логи'!$A$7:$A$3006,15,'Логи'!$B$7:$B$3006,1,'Логи'!$C$7:$C$3006,A961))</f>
        <v/>
      </c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4" t="inlineStr">
        <is>
          <t>Студент1.5</t>
        </is>
      </c>
      <c r="B962" s="4" t="inlineStr"/>
      <c r="C962" s="4">
        <f>IF(A962="","",COUNTIF(F962:AI962,"+")+COUNTIF(F962:AI962,"1"))</f>
        <v/>
      </c>
      <c r="D962" s="4">
        <f>IF(A962="","",IF(C962&gt;2*COUNTA(F$957:AI$957)/3,'Общий'!$M$11,IF(C962&gt;=COUNTA(F$957:AI$957)/2,'Общий'!$M$12,'Общий'!$M$13)))</f>
        <v/>
      </c>
      <c r="E962" s="4">
        <f>IF(A962="","",SUMIFS('Логи'!$H$7:$H$3006,'Логи'!$A$7:$A$3006,15,'Логи'!$B$7:$B$3006,1,'Логи'!$C$7:$C$3006,A962))</f>
        <v/>
      </c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</row>
    <row r="963">
      <c r="A963" s="4" t="inlineStr">
        <is>
          <t>Студент1.6</t>
        </is>
      </c>
      <c r="B963" s="4" t="inlineStr"/>
      <c r="C963" s="4">
        <f>IF(A963="","",COUNTIF(F963:AI963,"+")+COUNTIF(F963:AI963,"1"))</f>
        <v/>
      </c>
      <c r="D963" s="4">
        <f>IF(A963="","",IF(C963&gt;2*COUNTA(F$957:AI$957)/3,'Общий'!$M$11,IF(C963&gt;=COUNTA(F$957:AI$957)/2,'Общий'!$M$12,'Общий'!$M$13)))</f>
        <v/>
      </c>
      <c r="E963" s="4">
        <f>IF(A963="","",SUMIFS('Логи'!$H$7:$H$3006,'Логи'!$A$7:$A$3006,15,'Логи'!$B$7:$B$3006,1,'Логи'!$C$7:$C$3006,A963))</f>
        <v/>
      </c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4" t="inlineStr">
        <is>
          <t>Студент1.7</t>
        </is>
      </c>
      <c r="B964" s="4" t="inlineStr"/>
      <c r="C964" s="4">
        <f>IF(A964="","",COUNTIF(F964:AI964,"+")+COUNTIF(F964:AI964,"1"))</f>
        <v/>
      </c>
      <c r="D964" s="4">
        <f>IF(A964="","",IF(C964&gt;2*COUNTA(F$957:AI$957)/3,'Общий'!$M$11,IF(C964&gt;=COUNTA(F$957:AI$957)/2,'Общий'!$M$12,'Общий'!$M$13)))</f>
        <v/>
      </c>
      <c r="E964" s="4">
        <f>IF(A964="","",SUMIFS('Логи'!$H$7:$H$3006,'Логи'!$A$7:$A$3006,15,'Логи'!$B$7:$B$3006,1,'Логи'!$C$7:$C$3006,A964))</f>
        <v/>
      </c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</row>
    <row r="965">
      <c r="A965" s="4" t="inlineStr">
        <is>
          <t>Студент1.8</t>
        </is>
      </c>
      <c r="B965" s="4" t="inlineStr"/>
      <c r="C965" s="4">
        <f>IF(A965="","",COUNTIF(F965:AI965,"+")+COUNTIF(F965:AI965,"1"))</f>
        <v/>
      </c>
      <c r="D965" s="4">
        <f>IF(A965="","",IF(C965&gt;2*COUNTA(F$957:AI$957)/3,'Общий'!$M$11,IF(C965&gt;=COUNTA(F$957:AI$957)/2,'Общий'!$M$12,'Общий'!$M$13)))</f>
        <v/>
      </c>
      <c r="E965" s="4">
        <f>IF(A965="","",SUMIFS('Логи'!$H$7:$H$3006,'Логи'!$A$7:$A$3006,15,'Логи'!$B$7:$B$3006,1,'Логи'!$C$7:$C$3006,A965))</f>
        <v/>
      </c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4" t="inlineStr">
        <is>
          <t>Студент1.9</t>
        </is>
      </c>
      <c r="B966" s="4" t="inlineStr"/>
      <c r="C966" s="4">
        <f>IF(A966="","",COUNTIF(F966:AI966,"+")+COUNTIF(F966:AI966,"1"))</f>
        <v/>
      </c>
      <c r="D966" s="4">
        <f>IF(A966="","",IF(C966&gt;2*COUNTA(F$957:AI$957)/3,'Общий'!$M$11,IF(C966&gt;=COUNTA(F$957:AI$957)/2,'Общий'!$M$12,'Общий'!$M$13)))</f>
        <v/>
      </c>
      <c r="E966" s="4">
        <f>IF(A966="","",SUMIFS('Логи'!$H$7:$H$3006,'Логи'!$A$7:$A$3006,15,'Логи'!$B$7:$B$3006,1,'Логи'!$C$7:$C$3006,A966))</f>
        <v/>
      </c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</row>
    <row r="967">
      <c r="A967" s="4" t="inlineStr">
        <is>
          <t>Студент1.10</t>
        </is>
      </c>
      <c r="B967" s="4" t="inlineStr"/>
      <c r="C967" s="4">
        <f>IF(A967="","",COUNTIF(F967:AI967,"+")+COUNTIF(F967:AI967,"1"))</f>
        <v/>
      </c>
      <c r="D967" s="4">
        <f>IF(A967="","",IF(C967&gt;2*COUNTA(F$957:AI$957)/3,'Общий'!$M$11,IF(C967&gt;=COUNTA(F$957:AI$957)/2,'Общий'!$M$12,'Общий'!$M$13)))</f>
        <v/>
      </c>
      <c r="E967" s="4">
        <f>IF(A967="","",SUMIFS('Логи'!$H$7:$H$3006,'Логи'!$A$7:$A$3006,15,'Логи'!$B$7:$B$3006,1,'Логи'!$C$7:$C$3006,A967))</f>
        <v/>
      </c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4" t="inlineStr">
        <is>
          <t>Студент1.11</t>
        </is>
      </c>
      <c r="B968" s="4" t="inlineStr"/>
      <c r="C968" s="4">
        <f>IF(A968="","",COUNTIF(F968:AI968,"+")+COUNTIF(F968:AI968,"1"))</f>
        <v/>
      </c>
      <c r="D968" s="4">
        <f>IF(A968="","",IF(C968&gt;2*COUNTA(F$957:AI$957)/3,'Общий'!$M$11,IF(C968&gt;=COUNTA(F$957:AI$957)/2,'Общий'!$M$12,'Общий'!$M$13)))</f>
        <v/>
      </c>
      <c r="E968" s="4">
        <f>IF(A968="","",SUMIFS('Логи'!$H$7:$H$3006,'Логи'!$A$7:$A$3006,15,'Логи'!$B$7:$B$3006,1,'Логи'!$C$7:$C$3006,A968))</f>
        <v/>
      </c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</row>
    <row r="969">
      <c r="A969" s="4" t="inlineStr">
        <is>
          <t>Студент1.12</t>
        </is>
      </c>
      <c r="B969" s="4" t="inlineStr"/>
      <c r="C969" s="4">
        <f>IF(A969="","",COUNTIF(F969:AI969,"+")+COUNTIF(F969:AI969,"1"))</f>
        <v/>
      </c>
      <c r="D969" s="4">
        <f>IF(A969="","",IF(C969&gt;2*COUNTA(F$957:AI$957)/3,'Общий'!$M$11,IF(C969&gt;=COUNTA(F$957:AI$957)/2,'Общий'!$M$12,'Общий'!$M$13)))</f>
        <v/>
      </c>
      <c r="E969" s="4">
        <f>IF(A969="","",SUMIFS('Логи'!$H$7:$H$3006,'Логи'!$A$7:$A$3006,15,'Логи'!$B$7:$B$3006,1,'Логи'!$C$7:$C$3006,A969))</f>
        <v/>
      </c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4" t="inlineStr">
        <is>
          <t>Студент1.13</t>
        </is>
      </c>
      <c r="B970" s="4" t="inlineStr"/>
      <c r="C970" s="4">
        <f>IF(A970="","",COUNTIF(F970:AI970,"+")+COUNTIF(F970:AI970,"1"))</f>
        <v/>
      </c>
      <c r="D970" s="4">
        <f>IF(A970="","",IF(C970&gt;2*COUNTA(F$957:AI$957)/3,'Общий'!$M$11,IF(C970&gt;=COUNTA(F$957:AI$957)/2,'Общий'!$M$12,'Общий'!$M$13)))</f>
        <v/>
      </c>
      <c r="E970" s="4">
        <f>IF(A970="","",SUMIFS('Логи'!$H$7:$H$3006,'Логи'!$A$7:$A$3006,15,'Логи'!$B$7:$B$3006,1,'Логи'!$C$7:$C$3006,A970))</f>
        <v/>
      </c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</row>
    <row r="971">
      <c r="A971" s="4" t="inlineStr">
        <is>
          <t>Студент1.14</t>
        </is>
      </c>
      <c r="B971" s="4" t="inlineStr"/>
      <c r="C971" s="4">
        <f>IF(A971="","",COUNTIF(F971:AI971,"+")+COUNTIF(F971:AI971,"1"))</f>
        <v/>
      </c>
      <c r="D971" s="4">
        <f>IF(A971="","",IF(C971&gt;2*COUNTA(F$957:AI$957)/3,'Общий'!$M$11,IF(C971&gt;=COUNTA(F$957:AI$957)/2,'Общий'!$M$12,'Общий'!$M$13)))</f>
        <v/>
      </c>
      <c r="E971" s="4">
        <f>IF(A971="","",SUMIFS('Логи'!$H$7:$H$3006,'Логи'!$A$7:$A$3006,15,'Логи'!$B$7:$B$3006,1,'Логи'!$C$7:$C$3006,A971))</f>
        <v/>
      </c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4" t="inlineStr">
        <is>
          <t>Студент1.15</t>
        </is>
      </c>
      <c r="B972" s="4" t="inlineStr"/>
      <c r="C972" s="4">
        <f>IF(A972="","",COUNTIF(F972:AI972,"+")+COUNTIF(F972:AI972,"1"))</f>
        <v/>
      </c>
      <c r="D972" s="4">
        <f>IF(A972="","",IF(C972&gt;2*COUNTA(F$957:AI$957)/3,'Общий'!$M$11,IF(C972&gt;=COUNTA(F$957:AI$957)/2,'Общий'!$M$12,'Общий'!$M$13)))</f>
        <v/>
      </c>
      <c r="E972" s="4">
        <f>IF(A972="","",SUMIFS('Логи'!$H$7:$H$3006,'Логи'!$A$7:$A$3006,15,'Логи'!$B$7:$B$3006,1,'Логи'!$C$7:$C$3006,A972))</f>
        <v/>
      </c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</row>
    <row r="973">
      <c r="A973" s="4" t="inlineStr">
        <is>
          <t>Студент1.16</t>
        </is>
      </c>
      <c r="B973" s="4" t="inlineStr"/>
      <c r="C973" s="4">
        <f>IF(A973="","",COUNTIF(F973:AI973,"+")+COUNTIF(F973:AI973,"1"))</f>
        <v/>
      </c>
      <c r="D973" s="4">
        <f>IF(A973="","",IF(C973&gt;2*COUNTA(F$957:AI$957)/3,'Общий'!$M$11,IF(C973&gt;=COUNTA(F$957:AI$957)/2,'Общий'!$M$12,'Общий'!$M$13)))</f>
        <v/>
      </c>
      <c r="E973" s="4">
        <f>IF(A973="","",SUMIFS('Логи'!$H$7:$H$3006,'Логи'!$A$7:$A$3006,15,'Логи'!$B$7:$B$3006,1,'Логи'!$C$7:$C$3006,A973))</f>
        <v/>
      </c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4" t="inlineStr">
        <is>
          <t>Студент1.17</t>
        </is>
      </c>
      <c r="B974" s="4" t="inlineStr"/>
      <c r="C974" s="4">
        <f>IF(A974="","",COUNTIF(F974:AI974,"+")+COUNTIF(F974:AI974,"1"))</f>
        <v/>
      </c>
      <c r="D974" s="4">
        <f>IF(A974="","",IF(C974&gt;2*COUNTA(F$957:AI$957)/3,'Общий'!$M$11,IF(C974&gt;=COUNTA(F$957:AI$957)/2,'Общий'!$M$12,'Общий'!$M$13)))</f>
        <v/>
      </c>
      <c r="E974" s="4">
        <f>IF(A974="","",SUMIFS('Логи'!$H$7:$H$3006,'Логи'!$A$7:$A$3006,15,'Логи'!$B$7:$B$3006,1,'Логи'!$C$7:$C$3006,A974))</f>
        <v/>
      </c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</row>
    <row r="975">
      <c r="A975" s="4" t="inlineStr">
        <is>
          <t>Студент1.18</t>
        </is>
      </c>
      <c r="B975" s="4" t="inlineStr"/>
      <c r="C975" s="4">
        <f>IF(A975="","",COUNTIF(F975:AI975,"+")+COUNTIF(F975:AI975,"1"))</f>
        <v/>
      </c>
      <c r="D975" s="4">
        <f>IF(A975="","",IF(C975&gt;2*COUNTA(F$957:AI$957)/3,'Общий'!$M$11,IF(C975&gt;=COUNTA(F$957:AI$957)/2,'Общий'!$M$12,'Общий'!$M$13)))</f>
        <v/>
      </c>
      <c r="E975" s="4">
        <f>IF(A975="","",SUMIFS('Логи'!$H$7:$H$3006,'Логи'!$A$7:$A$3006,15,'Логи'!$B$7:$B$3006,1,'Логи'!$C$7:$C$3006,A975))</f>
        <v/>
      </c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4" t="inlineStr">
        <is>
          <t>Студент1.19</t>
        </is>
      </c>
      <c r="B976" s="4" t="inlineStr"/>
      <c r="C976" s="4">
        <f>IF(A976="","",COUNTIF(F976:AI976,"+")+COUNTIF(F976:AI976,"1"))</f>
        <v/>
      </c>
      <c r="D976" s="4">
        <f>IF(A976="","",IF(C976&gt;2*COUNTA(F$957:AI$957)/3,'Общий'!$M$11,IF(C976&gt;=COUNTA(F$957:AI$957)/2,'Общий'!$M$12,'Общий'!$M$13)))</f>
        <v/>
      </c>
      <c r="E976" s="4">
        <f>IF(A976="","",SUMIFS('Логи'!$H$7:$H$3006,'Логи'!$A$7:$A$3006,15,'Логи'!$B$7:$B$3006,1,'Логи'!$C$7:$C$3006,A976))</f>
        <v/>
      </c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</row>
    <row r="977">
      <c r="A977" s="4" t="inlineStr">
        <is>
          <t>Студент1.20</t>
        </is>
      </c>
      <c r="B977" s="4" t="inlineStr"/>
      <c r="C977" s="4">
        <f>IF(A977="","",COUNTIF(F977:AI977,"+")+COUNTIF(F977:AI977,"1"))</f>
        <v/>
      </c>
      <c r="D977" s="4">
        <f>IF(A977="","",IF(C977&gt;2*COUNTA(F$957:AI$957)/3,'Общий'!$M$11,IF(C977&gt;=COUNTA(F$957:AI$957)/2,'Общий'!$M$12,'Общий'!$M$13)))</f>
        <v/>
      </c>
      <c r="E977" s="4">
        <f>IF(A977="","",SUMIFS('Логи'!$H$7:$H$3006,'Логи'!$A$7:$A$3006,15,'Логи'!$B$7:$B$3006,1,'Логи'!$C$7:$C$3006,A977))</f>
        <v/>
      </c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4" t="inlineStr">
        <is>
          <t>Студент1.21</t>
        </is>
      </c>
      <c r="B978" s="4" t="inlineStr"/>
      <c r="C978" s="4">
        <f>IF(A978="","",COUNTIF(F978:AI978,"+")+COUNTIF(F978:AI978,"1"))</f>
        <v/>
      </c>
      <c r="D978" s="4">
        <f>IF(A978="","",IF(C978&gt;2*COUNTA(F$957:AI$957)/3,'Общий'!$M$11,IF(C978&gt;=COUNTA(F$957:AI$957)/2,'Общий'!$M$12,'Общий'!$M$13)))</f>
        <v/>
      </c>
      <c r="E978" s="4">
        <f>IF(A978="","",SUMIFS('Логи'!$H$7:$H$3006,'Логи'!$A$7:$A$3006,15,'Логи'!$B$7:$B$3006,1,'Логи'!$C$7:$C$3006,A978))</f>
        <v/>
      </c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</row>
    <row r="979">
      <c r="A979" s="4" t="inlineStr">
        <is>
          <t>Студент1.22</t>
        </is>
      </c>
      <c r="B979" s="4" t="inlineStr"/>
      <c r="C979" s="4">
        <f>IF(A979="","",COUNTIF(F979:AI979,"+")+COUNTIF(F979:AI979,"1"))</f>
        <v/>
      </c>
      <c r="D979" s="4">
        <f>IF(A979="","",IF(C979&gt;2*COUNTA(F$957:AI$957)/3,'Общий'!$M$11,IF(C979&gt;=COUNTA(F$957:AI$957)/2,'Общий'!$M$12,'Общий'!$M$13)))</f>
        <v/>
      </c>
      <c r="E979" s="4">
        <f>IF(A979="","",SUMIFS('Логи'!$H$7:$H$3006,'Логи'!$A$7:$A$3006,15,'Логи'!$B$7:$B$3006,1,'Логи'!$C$7:$C$3006,A979))</f>
        <v/>
      </c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4" t="inlineStr">
        <is>
          <t>Студент1.23</t>
        </is>
      </c>
      <c r="B980" s="4" t="inlineStr"/>
      <c r="C980" s="4">
        <f>IF(A980="","",COUNTIF(F980:AI980,"+")+COUNTIF(F980:AI980,"1"))</f>
        <v/>
      </c>
      <c r="D980" s="4">
        <f>IF(A980="","",IF(C980&gt;2*COUNTA(F$957:AI$957)/3,'Общий'!$M$11,IF(C980&gt;=COUNTA(F$957:AI$957)/2,'Общий'!$M$12,'Общий'!$M$13)))</f>
        <v/>
      </c>
      <c r="E980" s="4">
        <f>IF(A980="","",SUMIFS('Логи'!$H$7:$H$3006,'Логи'!$A$7:$A$3006,15,'Логи'!$B$7:$B$3006,1,'Логи'!$C$7:$C$3006,A980))</f>
        <v/>
      </c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</row>
    <row r="981">
      <c r="A981" s="4" t="inlineStr">
        <is>
          <t>Студент1.24</t>
        </is>
      </c>
      <c r="B981" s="4" t="inlineStr"/>
      <c r="C981" s="4">
        <f>IF(A981="","",COUNTIF(F981:AI981,"+")+COUNTIF(F981:AI981,"1"))</f>
        <v/>
      </c>
      <c r="D981" s="4">
        <f>IF(A981="","",IF(C981&gt;2*COUNTA(F$957:AI$957)/3,'Общий'!$M$11,IF(C981&gt;=COUNTA(F$957:AI$957)/2,'Общий'!$M$12,'Общий'!$M$13)))</f>
        <v/>
      </c>
      <c r="E981" s="4">
        <f>IF(A981="","",SUMIFS('Логи'!$H$7:$H$3006,'Логи'!$A$7:$A$3006,15,'Логи'!$B$7:$B$3006,1,'Логи'!$C$7:$C$3006,A981))</f>
        <v/>
      </c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4" t="inlineStr">
        <is>
          <t>Студент1.25</t>
        </is>
      </c>
      <c r="B982" s="4" t="inlineStr"/>
      <c r="C982" s="4">
        <f>IF(A982="","",COUNTIF(F982:AI982,"+")+COUNTIF(F982:AI982,"1"))</f>
        <v/>
      </c>
      <c r="D982" s="4">
        <f>IF(A982="","",IF(C982&gt;2*COUNTA(F$957:AI$957)/3,'Общий'!$M$11,IF(C982&gt;=COUNTA(F$957:AI$957)/2,'Общий'!$M$12,'Общий'!$M$13)))</f>
        <v/>
      </c>
      <c r="E982" s="4">
        <f>IF(A982="","",SUMIFS('Логи'!$H$7:$H$3006,'Логи'!$A$7:$A$3006,15,'Логи'!$B$7:$B$3006,1,'Логи'!$C$7:$C$3006,A982))</f>
        <v/>
      </c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</row>
    <row r="983">
      <c r="A983" s="4" t="inlineStr">
        <is>
          <t>Студент1.26</t>
        </is>
      </c>
      <c r="B983" s="4" t="inlineStr"/>
      <c r="C983" s="4">
        <f>IF(A983="","",COUNTIF(F983:AI983,"+")+COUNTIF(F983:AI983,"1"))</f>
        <v/>
      </c>
      <c r="D983" s="4">
        <f>IF(A983="","",IF(C983&gt;2*COUNTA(F$957:AI$957)/3,'Общий'!$M$11,IF(C983&gt;=COUNTA(F$957:AI$957)/2,'Общий'!$M$12,'Общий'!$M$13)))</f>
        <v/>
      </c>
      <c r="E983" s="4">
        <f>IF(A983="","",SUMIFS('Логи'!$H$7:$H$3006,'Логи'!$A$7:$A$3006,15,'Логи'!$B$7:$B$3006,1,'Логи'!$C$7:$C$3006,A983))</f>
        <v/>
      </c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4" t="inlineStr">
        <is>
          <t>Студент1.27</t>
        </is>
      </c>
      <c r="B984" s="4" t="inlineStr"/>
      <c r="C984" s="4">
        <f>IF(A984="","",COUNTIF(F984:AI984,"+")+COUNTIF(F984:AI984,"1"))</f>
        <v/>
      </c>
      <c r="D984" s="4">
        <f>IF(A984="","",IF(C984&gt;2*COUNTA(F$957:AI$957)/3,'Общий'!$M$11,IF(C984&gt;=COUNTA(F$957:AI$957)/2,'Общий'!$M$12,'Общий'!$M$13)))</f>
        <v/>
      </c>
      <c r="E984" s="4">
        <f>IF(A984="","",SUMIFS('Логи'!$H$7:$H$3006,'Логи'!$A$7:$A$3006,15,'Логи'!$B$7:$B$3006,1,'Логи'!$C$7:$C$3006,A984))</f>
        <v/>
      </c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</row>
    <row r="985">
      <c r="A985" s="4" t="inlineStr">
        <is>
          <t>Студент1.28</t>
        </is>
      </c>
      <c r="B985" s="4" t="inlineStr"/>
      <c r="C985" s="4">
        <f>IF(A985="","",COUNTIF(F985:AI985,"+")+COUNTIF(F985:AI985,"1"))</f>
        <v/>
      </c>
      <c r="D985" s="4">
        <f>IF(A985="","",IF(C985&gt;2*COUNTA(F$957:AI$957)/3,'Общий'!$M$11,IF(C985&gt;=COUNTA(F$957:AI$957)/2,'Общий'!$M$12,'Общий'!$M$13)))</f>
        <v/>
      </c>
      <c r="E985" s="4">
        <f>IF(A985="","",SUMIFS('Логи'!$H$7:$H$3006,'Логи'!$A$7:$A$3006,15,'Логи'!$B$7:$B$3006,1,'Логи'!$C$7:$C$3006,A985))</f>
        <v/>
      </c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4" t="inlineStr">
        <is>
          <t>Студент1.29</t>
        </is>
      </c>
      <c r="B986" s="4" t="inlineStr"/>
      <c r="C986" s="4">
        <f>IF(A986="","",COUNTIF(F986:AI986,"+")+COUNTIF(F986:AI986,"1"))</f>
        <v/>
      </c>
      <c r="D986" s="4">
        <f>IF(A986="","",IF(C986&gt;2*COUNTA(F$957:AI$957)/3,'Общий'!$M$11,IF(C986&gt;=COUNTA(F$957:AI$957)/2,'Общий'!$M$12,'Общий'!$M$13)))</f>
        <v/>
      </c>
      <c r="E986" s="4">
        <f>IF(A986="","",SUMIFS('Логи'!$H$7:$H$3006,'Логи'!$A$7:$A$3006,15,'Логи'!$B$7:$B$3006,1,'Логи'!$C$7:$C$3006,A986))</f>
        <v/>
      </c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</row>
    <row r="987">
      <c r="A987" s="4" t="inlineStr">
        <is>
          <t>Студент1.30</t>
        </is>
      </c>
      <c r="B987" s="4" t="inlineStr"/>
      <c r="C987" s="4">
        <f>IF(A987="","",COUNTIF(F987:AI987,"+")+COUNTIF(F987:AI987,"1"))</f>
        <v/>
      </c>
      <c r="D987" s="4">
        <f>IF(A987="","",IF(C987&gt;2*COUNTA(F$957:AI$957)/3,'Общий'!$M$11,IF(C987&gt;=COUNTA(F$957:AI$957)/2,'Общий'!$M$12,'Общий'!$M$13)))</f>
        <v/>
      </c>
      <c r="E987" s="4">
        <f>IF(A987="","",SUMIFS('Логи'!$H$7:$H$3006,'Логи'!$A$7:$A$3006,15,'Логи'!$B$7:$B$3006,1,'Логи'!$C$7:$C$3006,A987))</f>
        <v/>
      </c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9">
      <c r="A989" s="19" t="inlineStr">
        <is>
          <t>Практика 15 — результаты рассказа</t>
        </is>
      </c>
    </row>
    <row r="990" ht="28" customHeight="1">
      <c r="A990" s="9" t="inlineStr">
        <is>
          <t>Имя</t>
        </is>
      </c>
      <c r="B990" s="11" t="inlineStr">
        <is>
          <t>TG</t>
        </is>
      </c>
      <c r="C990" s="12" t="inlineStr"/>
      <c r="D990" s="3" t="inlineStr"/>
      <c r="E990" s="3" t="inlineStr"/>
      <c r="F990" s="13" t="inlineStr">
        <is>
          <t>1.0</t>
        </is>
      </c>
      <c r="G990" s="13" t="inlineStr">
        <is>
          <t>2.0</t>
        </is>
      </c>
      <c r="H990" s="13" t="inlineStr">
        <is>
          <t>3.0</t>
        </is>
      </c>
      <c r="I990" s="13" t="inlineStr">
        <is>
          <t>4.0</t>
        </is>
      </c>
      <c r="J990" s="13" t="inlineStr">
        <is>
          <t>5.0</t>
        </is>
      </c>
      <c r="K990" s="13" t="inlineStr">
        <is>
          <t>6</t>
        </is>
      </c>
      <c r="L990" s="13" t="inlineStr">
        <is>
          <t>7</t>
        </is>
      </c>
      <c r="M990" s="13" t="inlineStr">
        <is>
          <t>8</t>
        </is>
      </c>
      <c r="N990" s="13" t="inlineStr">
        <is>
          <t>9</t>
        </is>
      </c>
      <c r="O990" s="13" t="inlineStr">
        <is>
          <t>10</t>
        </is>
      </c>
      <c r="P990" s="13" t="inlineStr">
        <is>
          <t>11</t>
        </is>
      </c>
      <c r="Q990" s="13" t="inlineStr">
        <is>
          <t>12</t>
        </is>
      </c>
      <c r="R990" s="13" t="inlineStr">
        <is>
          <t>13</t>
        </is>
      </c>
      <c r="S990" s="13" t="inlineStr">
        <is>
          <t>14</t>
        </is>
      </c>
      <c r="T990" s="13" t="inlineStr">
        <is>
          <t>15</t>
        </is>
      </c>
      <c r="U990" s="13" t="inlineStr">
        <is>
          <t>16</t>
        </is>
      </c>
      <c r="V990" s="13" t="inlineStr">
        <is>
          <t>17</t>
        </is>
      </c>
      <c r="W990" s="13" t="inlineStr">
        <is>
          <t>18</t>
        </is>
      </c>
      <c r="X990" s="13" t="inlineStr">
        <is>
          <t>19</t>
        </is>
      </c>
      <c r="Y990" s="13" t="inlineStr">
        <is>
          <t>20</t>
        </is>
      </c>
      <c r="Z990" s="13" t="inlineStr">
        <is>
          <t>21</t>
        </is>
      </c>
      <c r="AA990" s="13" t="inlineStr">
        <is>
          <t>22</t>
        </is>
      </c>
      <c r="AB990" s="13" t="inlineStr">
        <is>
          <t>23</t>
        </is>
      </c>
      <c r="AC990" s="13" t="inlineStr">
        <is>
          <t>24</t>
        </is>
      </c>
      <c r="AD990" s="13" t="inlineStr">
        <is>
          <t>25</t>
        </is>
      </c>
      <c r="AE990" s="13" t="inlineStr">
        <is>
          <t>26</t>
        </is>
      </c>
      <c r="AF990" s="13" t="inlineStr">
        <is>
          <t>27</t>
        </is>
      </c>
      <c r="AG990" s="13" t="inlineStr">
        <is>
          <t>28</t>
        </is>
      </c>
      <c r="AH990" s="13" t="inlineStr">
        <is>
          <t>29</t>
        </is>
      </c>
      <c r="AI990" s="13" t="inlineStr">
        <is>
          <t>30</t>
        </is>
      </c>
    </row>
    <row r="991">
      <c r="A991" s="4" t="inlineStr">
        <is>
          <t>Студент1.1</t>
        </is>
      </c>
      <c r="B991" s="4" t="inlineStr"/>
      <c r="C991" s="4" t="n"/>
      <c r="D991" s="4" t="n"/>
      <c r="E991" s="4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4" t="inlineStr">
        <is>
          <t>Студент1.2</t>
        </is>
      </c>
      <c r="B992" s="4" t="inlineStr"/>
      <c r="C992" s="4" t="n"/>
      <c r="D992" s="4" t="n"/>
      <c r="E992" s="4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</row>
    <row r="993">
      <c r="A993" s="4" t="inlineStr">
        <is>
          <t>Студент1.3</t>
        </is>
      </c>
      <c r="B993" s="4" t="inlineStr"/>
      <c r="C993" s="4" t="n"/>
      <c r="D993" s="4" t="n"/>
      <c r="E993" s="4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4" t="inlineStr">
        <is>
          <t>Студент1.4</t>
        </is>
      </c>
      <c r="B994" s="4" t="inlineStr"/>
      <c r="C994" s="4" t="n"/>
      <c r="D994" s="4" t="n"/>
      <c r="E994" s="4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</row>
    <row r="995">
      <c r="A995" s="4" t="inlineStr">
        <is>
          <t>Студент1.5</t>
        </is>
      </c>
      <c r="B995" s="4" t="inlineStr"/>
      <c r="C995" s="4" t="n"/>
      <c r="D995" s="4" t="n"/>
      <c r="E995" s="4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4" t="inlineStr">
        <is>
          <t>Студент1.6</t>
        </is>
      </c>
      <c r="B996" s="4" t="inlineStr"/>
      <c r="C996" s="4" t="n"/>
      <c r="D996" s="4" t="n"/>
      <c r="E996" s="4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</row>
    <row r="997">
      <c r="A997" s="4" t="inlineStr">
        <is>
          <t>Студент1.7</t>
        </is>
      </c>
      <c r="B997" s="4" t="inlineStr"/>
      <c r="C997" s="4" t="n"/>
      <c r="D997" s="4" t="n"/>
      <c r="E997" s="4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4" t="inlineStr">
        <is>
          <t>Студент1.8</t>
        </is>
      </c>
      <c r="B998" s="4" t="inlineStr"/>
      <c r="C998" s="4" t="n"/>
      <c r="D998" s="4" t="n"/>
      <c r="E998" s="4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</row>
    <row r="999">
      <c r="A999" s="4" t="inlineStr">
        <is>
          <t>Студент1.9</t>
        </is>
      </c>
      <c r="B999" s="4" t="inlineStr"/>
      <c r="C999" s="4" t="n"/>
      <c r="D999" s="4" t="n"/>
      <c r="E999" s="4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4" t="inlineStr">
        <is>
          <t>Студент1.10</t>
        </is>
      </c>
      <c r="B1000" s="4" t="inlineStr"/>
      <c r="C1000" s="4" t="n"/>
      <c r="D1000" s="4" t="n"/>
      <c r="E1000" s="4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5" t="n"/>
      <c r="AE1000" s="5" t="n"/>
      <c r="AF1000" s="5" t="n"/>
      <c r="AG1000" s="5" t="n"/>
      <c r="AH1000" s="5" t="n"/>
      <c r="AI1000" s="5" t="n"/>
    </row>
    <row r="1001">
      <c r="A1001" s="4" t="inlineStr">
        <is>
          <t>Студент1.11</t>
        </is>
      </c>
      <c r="B1001" s="4" t="inlineStr"/>
      <c r="C1001" s="4" t="n"/>
      <c r="D1001" s="4" t="n"/>
      <c r="E1001" s="4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  <row r="1002">
      <c r="A1002" s="4" t="inlineStr">
        <is>
          <t>Студент1.12</t>
        </is>
      </c>
      <c r="B1002" s="4" t="inlineStr"/>
      <c r="C1002" s="4" t="n"/>
      <c r="D1002" s="4" t="n"/>
      <c r="E1002" s="4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5" t="n"/>
      <c r="AE1002" s="5" t="n"/>
      <c r="AF1002" s="5" t="n"/>
      <c r="AG1002" s="5" t="n"/>
      <c r="AH1002" s="5" t="n"/>
      <c r="AI1002" s="5" t="n"/>
    </row>
    <row r="1003">
      <c r="A1003" s="4" t="inlineStr">
        <is>
          <t>Студент1.13</t>
        </is>
      </c>
      <c r="B1003" s="4" t="inlineStr"/>
      <c r="C1003" s="4" t="n"/>
      <c r="D1003" s="4" t="n"/>
      <c r="E1003" s="4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5" t="n"/>
      <c r="AE1003" s="5" t="n"/>
      <c r="AF1003" s="5" t="n"/>
      <c r="AG1003" s="5" t="n"/>
      <c r="AH1003" s="5" t="n"/>
      <c r="AI1003" s="5" t="n"/>
    </row>
    <row r="1004">
      <c r="A1004" s="4" t="inlineStr">
        <is>
          <t>Студент1.14</t>
        </is>
      </c>
      <c r="B1004" s="4" t="inlineStr"/>
      <c r="C1004" s="4" t="n"/>
      <c r="D1004" s="4" t="n"/>
      <c r="E1004" s="4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5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5" t="n"/>
      <c r="AE1004" s="5" t="n"/>
      <c r="AF1004" s="5" t="n"/>
      <c r="AG1004" s="5" t="n"/>
      <c r="AH1004" s="5" t="n"/>
      <c r="AI1004" s="5" t="n"/>
    </row>
    <row r="1005">
      <c r="A1005" s="4" t="inlineStr">
        <is>
          <t>Студент1.15</t>
        </is>
      </c>
      <c r="B1005" s="4" t="inlineStr"/>
      <c r="C1005" s="4" t="n"/>
      <c r="D1005" s="4" t="n"/>
      <c r="E1005" s="4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5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5" t="n"/>
      <c r="AE1005" s="5" t="n"/>
      <c r="AF1005" s="5" t="n"/>
      <c r="AG1005" s="5" t="n"/>
      <c r="AH1005" s="5" t="n"/>
      <c r="AI1005" s="5" t="n"/>
    </row>
    <row r="1006">
      <c r="A1006" s="4" t="inlineStr">
        <is>
          <t>Студент1.16</t>
        </is>
      </c>
      <c r="B1006" s="4" t="inlineStr"/>
      <c r="C1006" s="4" t="n"/>
      <c r="D1006" s="4" t="n"/>
      <c r="E1006" s="4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5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5" t="n"/>
      <c r="AE1006" s="5" t="n"/>
      <c r="AF1006" s="5" t="n"/>
      <c r="AG1006" s="5" t="n"/>
      <c r="AH1006" s="5" t="n"/>
      <c r="AI1006" s="5" t="n"/>
    </row>
    <row r="1007">
      <c r="A1007" s="4" t="inlineStr">
        <is>
          <t>Студент1.17</t>
        </is>
      </c>
      <c r="B1007" s="4" t="inlineStr"/>
      <c r="C1007" s="4" t="n"/>
      <c r="D1007" s="4" t="n"/>
      <c r="E1007" s="4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5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5" t="n"/>
      <c r="AE1007" s="5" t="n"/>
      <c r="AF1007" s="5" t="n"/>
      <c r="AG1007" s="5" t="n"/>
      <c r="AH1007" s="5" t="n"/>
      <c r="AI1007" s="5" t="n"/>
    </row>
    <row r="1008">
      <c r="A1008" s="4" t="inlineStr">
        <is>
          <t>Студент1.18</t>
        </is>
      </c>
      <c r="B1008" s="4" t="inlineStr"/>
      <c r="C1008" s="4" t="n"/>
      <c r="D1008" s="4" t="n"/>
      <c r="E1008" s="4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5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5" t="n"/>
      <c r="AE1008" s="5" t="n"/>
      <c r="AF1008" s="5" t="n"/>
      <c r="AG1008" s="5" t="n"/>
      <c r="AH1008" s="5" t="n"/>
      <c r="AI1008" s="5" t="n"/>
    </row>
    <row r="1009">
      <c r="A1009" s="4" t="inlineStr">
        <is>
          <t>Студент1.19</t>
        </is>
      </c>
      <c r="B1009" s="4" t="inlineStr"/>
      <c r="C1009" s="4" t="n"/>
      <c r="D1009" s="4" t="n"/>
      <c r="E1009" s="4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5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5" t="n"/>
      <c r="AE1009" s="5" t="n"/>
      <c r="AF1009" s="5" t="n"/>
      <c r="AG1009" s="5" t="n"/>
      <c r="AH1009" s="5" t="n"/>
      <c r="AI1009" s="5" t="n"/>
    </row>
    <row r="1010">
      <c r="A1010" s="4" t="inlineStr">
        <is>
          <t>Студент1.20</t>
        </is>
      </c>
      <c r="B1010" s="4" t="inlineStr"/>
      <c r="C1010" s="4" t="n"/>
      <c r="D1010" s="4" t="n"/>
      <c r="E1010" s="4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5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5" t="n"/>
      <c r="AE1010" s="5" t="n"/>
      <c r="AF1010" s="5" t="n"/>
      <c r="AG1010" s="5" t="n"/>
      <c r="AH1010" s="5" t="n"/>
      <c r="AI1010" s="5" t="n"/>
    </row>
    <row r="1011">
      <c r="A1011" s="4" t="inlineStr">
        <is>
          <t>Студент1.21</t>
        </is>
      </c>
      <c r="B1011" s="4" t="inlineStr"/>
      <c r="C1011" s="4" t="n"/>
      <c r="D1011" s="4" t="n"/>
      <c r="E1011" s="4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5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5" t="n"/>
      <c r="AE1011" s="5" t="n"/>
      <c r="AF1011" s="5" t="n"/>
      <c r="AG1011" s="5" t="n"/>
      <c r="AH1011" s="5" t="n"/>
      <c r="AI1011" s="5" t="n"/>
    </row>
    <row r="1012">
      <c r="A1012" s="4" t="inlineStr">
        <is>
          <t>Студент1.22</t>
        </is>
      </c>
      <c r="B1012" s="4" t="inlineStr"/>
      <c r="C1012" s="4" t="n"/>
      <c r="D1012" s="4" t="n"/>
      <c r="E1012" s="4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5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5" t="n"/>
      <c r="AE1012" s="5" t="n"/>
      <c r="AF1012" s="5" t="n"/>
      <c r="AG1012" s="5" t="n"/>
      <c r="AH1012" s="5" t="n"/>
      <c r="AI1012" s="5" t="n"/>
    </row>
    <row r="1013">
      <c r="A1013" s="4" t="inlineStr">
        <is>
          <t>Студент1.23</t>
        </is>
      </c>
      <c r="B1013" s="4" t="inlineStr"/>
      <c r="C1013" s="4" t="n"/>
      <c r="D1013" s="4" t="n"/>
      <c r="E1013" s="4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5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5" t="n"/>
      <c r="AE1013" s="5" t="n"/>
      <c r="AF1013" s="5" t="n"/>
      <c r="AG1013" s="5" t="n"/>
      <c r="AH1013" s="5" t="n"/>
      <c r="AI1013" s="5" t="n"/>
    </row>
    <row r="1014">
      <c r="A1014" s="4" t="inlineStr">
        <is>
          <t>Студент1.24</t>
        </is>
      </c>
      <c r="B1014" s="4" t="inlineStr"/>
      <c r="C1014" s="4" t="n"/>
      <c r="D1014" s="4" t="n"/>
      <c r="E1014" s="4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5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5" t="n"/>
      <c r="AE1014" s="5" t="n"/>
      <c r="AF1014" s="5" t="n"/>
      <c r="AG1014" s="5" t="n"/>
      <c r="AH1014" s="5" t="n"/>
      <c r="AI1014" s="5" t="n"/>
    </row>
    <row r="1015">
      <c r="A1015" s="4" t="inlineStr">
        <is>
          <t>Студент1.25</t>
        </is>
      </c>
      <c r="B1015" s="4" t="inlineStr"/>
      <c r="C1015" s="4" t="n"/>
      <c r="D1015" s="4" t="n"/>
      <c r="E1015" s="4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5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5" t="n"/>
      <c r="AE1015" s="5" t="n"/>
      <c r="AF1015" s="5" t="n"/>
      <c r="AG1015" s="5" t="n"/>
      <c r="AH1015" s="5" t="n"/>
      <c r="AI1015" s="5" t="n"/>
    </row>
    <row r="1016">
      <c r="A1016" s="4" t="inlineStr">
        <is>
          <t>Студент1.26</t>
        </is>
      </c>
      <c r="B1016" s="4" t="inlineStr"/>
      <c r="C1016" s="4" t="n"/>
      <c r="D1016" s="4" t="n"/>
      <c r="E1016" s="4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5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5" t="n"/>
      <c r="AE1016" s="5" t="n"/>
      <c r="AF1016" s="5" t="n"/>
      <c r="AG1016" s="5" t="n"/>
      <c r="AH1016" s="5" t="n"/>
      <c r="AI1016" s="5" t="n"/>
    </row>
    <row r="1017">
      <c r="A1017" s="4" t="inlineStr">
        <is>
          <t>Студент1.27</t>
        </is>
      </c>
      <c r="B1017" s="4" t="inlineStr"/>
      <c r="C1017" s="4" t="n"/>
      <c r="D1017" s="4" t="n"/>
      <c r="E1017" s="4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5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5" t="n"/>
      <c r="AE1017" s="5" t="n"/>
      <c r="AF1017" s="5" t="n"/>
      <c r="AG1017" s="5" t="n"/>
      <c r="AH1017" s="5" t="n"/>
      <c r="AI1017" s="5" t="n"/>
    </row>
    <row r="1018">
      <c r="A1018" s="4" t="inlineStr">
        <is>
          <t>Студент1.28</t>
        </is>
      </c>
      <c r="B1018" s="4" t="inlineStr"/>
      <c r="C1018" s="4" t="n"/>
      <c r="D1018" s="4" t="n"/>
      <c r="E1018" s="4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5" t="n"/>
      <c r="AE1018" s="5" t="n"/>
      <c r="AF1018" s="5" t="n"/>
      <c r="AG1018" s="5" t="n"/>
      <c r="AH1018" s="5" t="n"/>
      <c r="AI1018" s="5" t="n"/>
    </row>
    <row r="1019">
      <c r="A1019" s="4" t="inlineStr">
        <is>
          <t>Студент1.29</t>
        </is>
      </c>
      <c r="B1019" s="4" t="inlineStr"/>
      <c r="C1019" s="4" t="n"/>
      <c r="D1019" s="4" t="n"/>
      <c r="E1019" s="4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5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5" t="n"/>
      <c r="AE1019" s="5" t="n"/>
      <c r="AF1019" s="5" t="n"/>
      <c r="AG1019" s="5" t="n"/>
      <c r="AH1019" s="5" t="n"/>
      <c r="AI1019" s="5" t="n"/>
    </row>
    <row r="1020">
      <c r="A1020" s="4" t="inlineStr">
        <is>
          <t>Студент1.30</t>
        </is>
      </c>
      <c r="B1020" s="4" t="inlineStr"/>
      <c r="C1020" s="4" t="n"/>
      <c r="D1020" s="4" t="n"/>
      <c r="E1020" s="4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5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5" t="n"/>
      <c r="AE1020" s="5" t="n"/>
      <c r="AF1020" s="5" t="n"/>
      <c r="AG1020" s="5" t="n"/>
      <c r="AH1020" s="5" t="n"/>
      <c r="AI1020" s="5" t="n"/>
    </row>
  </sheetData>
  <mergeCells count="32">
    <mergeCell ref="A173:AI173"/>
    <mergeCell ref="A344:AI344"/>
    <mergeCell ref="A820:AI820"/>
    <mergeCell ref="A480:AI480"/>
    <mergeCell ref="A785:AI785"/>
    <mergeCell ref="A412:AI412"/>
    <mergeCell ref="A276:AI276"/>
    <mergeCell ref="A956:AI956"/>
    <mergeCell ref="A888:AI888"/>
    <mergeCell ref="A1:AI1"/>
    <mergeCell ref="A921:AI921"/>
    <mergeCell ref="A241:AI241"/>
    <mergeCell ref="A548:AI548"/>
    <mergeCell ref="A649:AI649"/>
    <mergeCell ref="A581:AI581"/>
    <mergeCell ref="A37:AI37"/>
    <mergeCell ref="A208:AI208"/>
    <mergeCell ref="A752:AI752"/>
    <mergeCell ref="A717:AI717"/>
    <mergeCell ref="A105:AI105"/>
    <mergeCell ref="A2:AI2"/>
    <mergeCell ref="A309:AI309"/>
    <mergeCell ref="A616:AI616"/>
    <mergeCell ref="A989:AI989"/>
    <mergeCell ref="A377:AI377"/>
    <mergeCell ref="A513:AI513"/>
    <mergeCell ref="A4:AI4"/>
    <mergeCell ref="A684:AI684"/>
    <mergeCell ref="A140:AI140"/>
    <mergeCell ref="A72:AI72"/>
    <mergeCell ref="A853:AI853"/>
    <mergeCell ref="A445:AI445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0">
      <formula>F6="+"</formula>
    </cfRule>
    <cfRule type="expression" priority="5" dxfId="0">
      <formula>F6="1"</formula>
    </cfRule>
    <cfRule type="expression" priority="6" dxfId="3">
      <formula>F6="-"</formula>
    </cfRule>
  </conditionalFormatting>
  <conditionalFormatting sqref="F39:AI68">
    <cfRule type="expression" priority="7" dxfId="0">
      <formula>F39="+"</formula>
    </cfRule>
    <cfRule type="expression" priority="8" dxfId="0">
      <formula>F39="1"</formula>
    </cfRule>
    <cfRule type="expression" priority="9" dxfId="3">
      <formula>F39="-"</formula>
    </cfRule>
  </conditionalFormatting>
  <conditionalFormatting sqref="C74:C103">
    <cfRule type="cellIs" priority="10" operator="greaterThanOrEqual" dxfId="0">
      <formula>21</formula>
    </cfRule>
    <cfRule type="cellIs" priority="11" operator="between" dxfId="1">
      <formula>15</formula>
      <formula>20</formula>
    </cfRule>
    <cfRule type="cellIs" priority="12" operator="lessThan" dxfId="2">
      <formula>15</formula>
    </cfRule>
  </conditionalFormatting>
  <conditionalFormatting sqref="F74:AI103">
    <cfRule type="expression" priority="13" dxfId="0">
      <formula>F74="+"</formula>
    </cfRule>
    <cfRule type="expression" priority="14" dxfId="0">
      <formula>F74="1"</formula>
    </cfRule>
    <cfRule type="expression" priority="15" dxfId="3">
      <formula>F74="-"</formula>
    </cfRule>
  </conditionalFormatting>
  <conditionalFormatting sqref="F107:AI136">
    <cfRule type="expression" priority="16" dxfId="0">
      <formula>F107="+"</formula>
    </cfRule>
    <cfRule type="expression" priority="17" dxfId="0">
      <formula>F107="1"</formula>
    </cfRule>
    <cfRule type="expression" priority="18" dxfId="3">
      <formula>F107="-"</formula>
    </cfRule>
  </conditionalFormatting>
  <conditionalFormatting sqref="C142:C171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42:AI171">
    <cfRule type="expression" priority="22" dxfId="0">
      <formula>F142="+"</formula>
    </cfRule>
    <cfRule type="expression" priority="23" dxfId="0">
      <formula>F142="1"</formula>
    </cfRule>
    <cfRule type="expression" priority="24" dxfId="3">
      <formula>F142="-"</formula>
    </cfRule>
  </conditionalFormatting>
  <conditionalFormatting sqref="F175:AI204">
    <cfRule type="expression" priority="25" dxfId="0">
      <formula>F175="+"</formula>
    </cfRule>
    <cfRule type="expression" priority="26" dxfId="0">
      <formula>F175="1"</formula>
    </cfRule>
    <cfRule type="expression" priority="27" dxfId="3">
      <formula>F175="-"</formula>
    </cfRule>
  </conditionalFormatting>
  <conditionalFormatting sqref="C210:C239">
    <cfRule type="cellIs" priority="28" operator="greaterThanOrEqual" dxfId="0">
      <formula>21</formula>
    </cfRule>
    <cfRule type="cellIs" priority="29" operator="between" dxfId="1">
      <formula>15</formula>
      <formula>20</formula>
    </cfRule>
    <cfRule type="cellIs" priority="30" operator="lessThan" dxfId="2">
      <formula>15</formula>
    </cfRule>
  </conditionalFormatting>
  <conditionalFormatting sqref="F210:AI239">
    <cfRule type="expression" priority="31" dxfId="0">
      <formula>F210="+"</formula>
    </cfRule>
    <cfRule type="expression" priority="32" dxfId="0">
      <formula>F210="1"</formula>
    </cfRule>
    <cfRule type="expression" priority="33" dxfId="3">
      <formula>F210="-"</formula>
    </cfRule>
  </conditionalFormatting>
  <conditionalFormatting sqref="F243:AI272">
    <cfRule type="expression" priority="34" dxfId="0">
      <formula>F243="+"</formula>
    </cfRule>
    <cfRule type="expression" priority="35" dxfId="0">
      <formula>F243="1"</formula>
    </cfRule>
    <cfRule type="expression" priority="36" dxfId="3">
      <formula>F243="-"</formula>
    </cfRule>
  </conditionalFormatting>
  <conditionalFormatting sqref="C278:C307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78:AI307">
    <cfRule type="expression" priority="40" dxfId="0">
      <formula>F278="+"</formula>
    </cfRule>
    <cfRule type="expression" priority="41" dxfId="0">
      <formula>F278="1"</formula>
    </cfRule>
    <cfRule type="expression" priority="42" dxfId="3">
      <formula>F278="-"</formula>
    </cfRule>
  </conditionalFormatting>
  <conditionalFormatting sqref="F311:AI340">
    <cfRule type="expression" priority="43" dxfId="0">
      <formula>F311="+"</formula>
    </cfRule>
    <cfRule type="expression" priority="44" dxfId="0">
      <formula>F311="1"</formula>
    </cfRule>
    <cfRule type="expression" priority="45" dxfId="3">
      <formula>F311="-"</formula>
    </cfRule>
  </conditionalFormatting>
  <conditionalFormatting sqref="C346:C375">
    <cfRule type="cellIs" priority="46" operator="greaterThanOrEqual" dxfId="0">
      <formula>21</formula>
    </cfRule>
    <cfRule type="cellIs" priority="47" operator="between" dxfId="1">
      <formula>15</formula>
      <formula>20</formula>
    </cfRule>
    <cfRule type="cellIs" priority="48" operator="lessThan" dxfId="2">
      <formula>15</formula>
    </cfRule>
  </conditionalFormatting>
  <conditionalFormatting sqref="F346:AI375">
    <cfRule type="expression" priority="49" dxfId="0">
      <formula>F346="+"</formula>
    </cfRule>
    <cfRule type="expression" priority="50" dxfId="0">
      <formula>F346="1"</formula>
    </cfRule>
    <cfRule type="expression" priority="51" dxfId="3">
      <formula>F346="-"</formula>
    </cfRule>
  </conditionalFormatting>
  <conditionalFormatting sqref="F379:AI408">
    <cfRule type="expression" priority="52" dxfId="0">
      <formula>F379="+"</formula>
    </cfRule>
    <cfRule type="expression" priority="53" dxfId="0">
      <formula>F379="1"</formula>
    </cfRule>
    <cfRule type="expression" priority="54" dxfId="3">
      <formula>F379="-"</formula>
    </cfRule>
  </conditionalFormatting>
  <conditionalFormatting sqref="C414:C443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414:AI443">
    <cfRule type="expression" priority="58" dxfId="0">
      <formula>F414="+"</formula>
    </cfRule>
    <cfRule type="expression" priority="59" dxfId="0">
      <formula>F414="1"</formula>
    </cfRule>
    <cfRule type="expression" priority="60" dxfId="3">
      <formula>F414="-"</formula>
    </cfRule>
  </conditionalFormatting>
  <conditionalFormatting sqref="F447:AI476">
    <cfRule type="expression" priority="61" dxfId="0">
      <formula>F447="+"</formula>
    </cfRule>
    <cfRule type="expression" priority="62" dxfId="0">
      <formula>F447="1"</formula>
    </cfRule>
    <cfRule type="expression" priority="63" dxfId="3">
      <formula>F447="-"</formula>
    </cfRule>
  </conditionalFormatting>
  <conditionalFormatting sqref="C482:C511">
    <cfRule type="cellIs" priority="64" operator="greaterThanOrEqual" dxfId="0">
      <formula>21</formula>
    </cfRule>
    <cfRule type="cellIs" priority="65" operator="between" dxfId="1">
      <formula>15</formula>
      <formula>20</formula>
    </cfRule>
    <cfRule type="cellIs" priority="66" operator="lessThan" dxfId="2">
      <formula>15</formula>
    </cfRule>
  </conditionalFormatting>
  <conditionalFormatting sqref="F482:AI511">
    <cfRule type="expression" priority="67" dxfId="0">
      <formula>F482="+"</formula>
    </cfRule>
    <cfRule type="expression" priority="68" dxfId="0">
      <formula>F482="1"</formula>
    </cfRule>
    <cfRule type="expression" priority="69" dxfId="3">
      <formula>F482="-"</formula>
    </cfRule>
  </conditionalFormatting>
  <conditionalFormatting sqref="F515:AI544">
    <cfRule type="expression" priority="70" dxfId="0">
      <formula>F515="+"</formula>
    </cfRule>
    <cfRule type="expression" priority="71" dxfId="0">
      <formula>F515="1"</formula>
    </cfRule>
    <cfRule type="expression" priority="72" dxfId="3">
      <formula>F515="-"</formula>
    </cfRule>
  </conditionalFormatting>
  <conditionalFormatting sqref="C550:C579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550:AI579">
    <cfRule type="expression" priority="76" dxfId="0">
      <formula>F550="+"</formula>
    </cfRule>
    <cfRule type="expression" priority="77" dxfId="0">
      <formula>F550="1"</formula>
    </cfRule>
    <cfRule type="expression" priority="78" dxfId="3">
      <formula>F550="-"</formula>
    </cfRule>
  </conditionalFormatting>
  <conditionalFormatting sqref="F583:AI612">
    <cfRule type="expression" priority="79" dxfId="0">
      <formula>F583="+"</formula>
    </cfRule>
    <cfRule type="expression" priority="80" dxfId="0">
      <formula>F583="1"</formula>
    </cfRule>
    <cfRule type="expression" priority="81" dxfId="3">
      <formula>F583="-"</formula>
    </cfRule>
  </conditionalFormatting>
  <conditionalFormatting sqref="C618:C647">
    <cfRule type="cellIs" priority="82" operator="greaterThanOrEqual" dxfId="0">
      <formula>21</formula>
    </cfRule>
    <cfRule type="cellIs" priority="83" operator="between" dxfId="1">
      <formula>15</formula>
      <formula>20</formula>
    </cfRule>
    <cfRule type="cellIs" priority="84" operator="lessThan" dxfId="2">
      <formula>15</formula>
    </cfRule>
  </conditionalFormatting>
  <conditionalFormatting sqref="F618:AI647">
    <cfRule type="expression" priority="85" dxfId="0">
      <formula>F618="+"</formula>
    </cfRule>
    <cfRule type="expression" priority="86" dxfId="0">
      <formula>F618="1"</formula>
    </cfRule>
    <cfRule type="expression" priority="87" dxfId="3">
      <formula>F618="-"</formula>
    </cfRule>
  </conditionalFormatting>
  <conditionalFormatting sqref="F651:AI680">
    <cfRule type="expression" priority="88" dxfId="0">
      <formula>F651="+"</formula>
    </cfRule>
    <cfRule type="expression" priority="89" dxfId="0">
      <formula>F651="1"</formula>
    </cfRule>
    <cfRule type="expression" priority="90" dxfId="3">
      <formula>F651="-"</formula>
    </cfRule>
  </conditionalFormatting>
  <conditionalFormatting sqref="C686:C715">
    <cfRule type="cellIs" priority="91" operator="greaterThanOrEqual" dxfId="0">
      <formula>21</formula>
    </cfRule>
    <cfRule type="cellIs" priority="92" operator="between" dxfId="1">
      <formula>15</formula>
      <formula>20</formula>
    </cfRule>
    <cfRule type="cellIs" priority="93" operator="lessThan" dxfId="2">
      <formula>15</formula>
    </cfRule>
  </conditionalFormatting>
  <conditionalFormatting sqref="F686:AI715">
    <cfRule type="expression" priority="94" dxfId="0">
      <formula>F686="+"</formula>
    </cfRule>
    <cfRule type="expression" priority="95" dxfId="0">
      <formula>F686="1"</formula>
    </cfRule>
    <cfRule type="expression" priority="96" dxfId="3">
      <formula>F686="-"</formula>
    </cfRule>
  </conditionalFormatting>
  <conditionalFormatting sqref="F719:AI748">
    <cfRule type="expression" priority="97" dxfId="0">
      <formula>F719="+"</formula>
    </cfRule>
    <cfRule type="expression" priority="98" dxfId="0">
      <formula>F719="1"</formula>
    </cfRule>
    <cfRule type="expression" priority="99" dxfId="3">
      <formula>F719="-"</formula>
    </cfRule>
  </conditionalFormatting>
  <conditionalFormatting sqref="C754:C783">
    <cfRule type="cellIs" priority="100" operator="greaterThanOrEqual" dxfId="0">
      <formula>21</formula>
    </cfRule>
    <cfRule type="cellIs" priority="101" operator="between" dxfId="1">
      <formula>15</formula>
      <formula>20</formula>
    </cfRule>
    <cfRule type="cellIs" priority="102" operator="lessThan" dxfId="2">
      <formula>15</formula>
    </cfRule>
  </conditionalFormatting>
  <conditionalFormatting sqref="F754:AI783">
    <cfRule type="expression" priority="103" dxfId="0">
      <formula>F754="+"</formula>
    </cfRule>
    <cfRule type="expression" priority="104" dxfId="0">
      <formula>F754="1"</formula>
    </cfRule>
    <cfRule type="expression" priority="105" dxfId="3">
      <formula>F754="-"</formula>
    </cfRule>
  </conditionalFormatting>
  <conditionalFormatting sqref="F787:AI816">
    <cfRule type="expression" priority="106" dxfId="0">
      <formula>F787="+"</formula>
    </cfRule>
    <cfRule type="expression" priority="107" dxfId="0">
      <formula>F787="1"</formula>
    </cfRule>
    <cfRule type="expression" priority="108" dxfId="3">
      <formula>F787="-"</formula>
    </cfRule>
  </conditionalFormatting>
  <conditionalFormatting sqref="C822:C851">
    <cfRule type="cellIs" priority="109" operator="greaterThanOrEqual" dxfId="0">
      <formula>21</formula>
    </cfRule>
    <cfRule type="cellIs" priority="110" operator="between" dxfId="1">
      <formula>15</formula>
      <formula>20</formula>
    </cfRule>
    <cfRule type="cellIs" priority="111" operator="lessThan" dxfId="2">
      <formula>15</formula>
    </cfRule>
  </conditionalFormatting>
  <conditionalFormatting sqref="F822:AI851">
    <cfRule type="expression" priority="112" dxfId="0">
      <formula>F822="+"</formula>
    </cfRule>
    <cfRule type="expression" priority="113" dxfId="0">
      <formula>F822="1"</formula>
    </cfRule>
    <cfRule type="expression" priority="114" dxfId="3">
      <formula>F822="-"</formula>
    </cfRule>
  </conditionalFormatting>
  <conditionalFormatting sqref="F855:AI884">
    <cfRule type="expression" priority="115" dxfId="0">
      <formula>F855="+"</formula>
    </cfRule>
    <cfRule type="expression" priority="116" dxfId="0">
      <formula>F855="1"</formula>
    </cfRule>
    <cfRule type="expression" priority="117" dxfId="3">
      <formula>F855="-"</formula>
    </cfRule>
  </conditionalFormatting>
  <conditionalFormatting sqref="C890:C919">
    <cfRule type="cellIs" priority="118" operator="greaterThanOrEqual" dxfId="0">
      <formula>21</formula>
    </cfRule>
    <cfRule type="cellIs" priority="119" operator="between" dxfId="1">
      <formula>15</formula>
      <formula>20</formula>
    </cfRule>
    <cfRule type="cellIs" priority="120" operator="lessThan" dxfId="2">
      <formula>15</formula>
    </cfRule>
  </conditionalFormatting>
  <conditionalFormatting sqref="F890:AI919">
    <cfRule type="expression" priority="121" dxfId="0">
      <formula>F890="+"</formula>
    </cfRule>
    <cfRule type="expression" priority="122" dxfId="0">
      <formula>F890="1"</formula>
    </cfRule>
    <cfRule type="expression" priority="123" dxfId="3">
      <formula>F890="-"</formula>
    </cfRule>
  </conditionalFormatting>
  <conditionalFormatting sqref="F923:AI952">
    <cfRule type="expression" priority="124" dxfId="0">
      <formula>F923="+"</formula>
    </cfRule>
    <cfRule type="expression" priority="125" dxfId="0">
      <formula>F923="1"</formula>
    </cfRule>
    <cfRule type="expression" priority="126" dxfId="3">
      <formula>F923="-"</formula>
    </cfRule>
  </conditionalFormatting>
  <conditionalFormatting sqref="C958:C987">
    <cfRule type="cellIs" priority="127" operator="greaterThanOrEqual" dxfId="0">
      <formula>21</formula>
    </cfRule>
    <cfRule type="cellIs" priority="128" operator="between" dxfId="1">
      <formula>15</formula>
      <formula>20</formula>
    </cfRule>
    <cfRule type="cellIs" priority="129" operator="lessThan" dxfId="2">
      <formula>15</formula>
    </cfRule>
  </conditionalFormatting>
  <conditionalFormatting sqref="F958:AI987">
    <cfRule type="expression" priority="130" dxfId="0">
      <formula>F958="+"</formula>
    </cfRule>
    <cfRule type="expression" priority="131" dxfId="0">
      <formula>F958="1"</formula>
    </cfRule>
    <cfRule type="expression" priority="132" dxfId="3">
      <formula>F958="-"</formula>
    </cfRule>
  </conditionalFormatting>
  <conditionalFormatting sqref="F991:AI1020">
    <cfRule type="expression" priority="133" dxfId="0">
      <formula>F991="+"</formula>
    </cfRule>
    <cfRule type="expression" priority="134" dxfId="0">
      <formula>F991="1"</formula>
    </cfRule>
    <cfRule type="expression" priority="135" dxfId="3">
      <formula>F991="-"</formula>
    </cfRule>
  </conditionalFormatting>
  <dataValidations count="30">
    <dataValidation sqref="F6:AI3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9:AI6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74:AI10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107:AI13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142:AI17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175:AI20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210:AI23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243:AI27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278:AI30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11:AI34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346:AI37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79:AI40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414:AI44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447:AI47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482:AI51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515:AI54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550:AI57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583:AI61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618:AI64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651:AI68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686:AI71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719:AI74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754:AI78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787:AI81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822:AI85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855:AI88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890:AI91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923:AI95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958:AI98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991:AI102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020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>
      <c r="A1" s="1" t="inlineStr">
        <is>
          <t>Плюсы — Рами</t>
        </is>
      </c>
    </row>
    <row r="2" ht="30" customHeight="1">
      <c r="A2" s="2" t="inlineStr">
        <is>
          <t>В каждом блоке одна практика. В верхней таблице ставятся +; практик может заменить + на 1. В нижней таблице практик отмечает 1 или -.</t>
        </is>
      </c>
    </row>
    <row r="4">
      <c r="A4" s="17" t="inlineStr">
        <is>
          <t>Практика 1 — плюсы</t>
        </is>
      </c>
    </row>
    <row r="5" ht="28" customHeight="1">
      <c r="A5" s="9" t="inlineStr">
        <is>
          <t>Имя</t>
        </is>
      </c>
      <c r="B5" s="11" t="inlineStr">
        <is>
          <t>TG</t>
        </is>
      </c>
      <c r="C5" s="12" t="inlineStr">
        <is>
          <t>S</t>
        </is>
      </c>
      <c r="D5" s="10" t="inlineStr">
        <is>
          <t>Коэффициент</t>
        </is>
      </c>
      <c r="E5" s="18" t="inlineStr">
        <is>
          <t>D за практику</t>
        </is>
      </c>
      <c r="F5" s="13" t="inlineStr">
        <is>
          <t>1.0</t>
        </is>
      </c>
      <c r="G5" s="13" t="inlineStr">
        <is>
          <t>2.0</t>
        </is>
      </c>
      <c r="H5" s="13" t="inlineStr">
        <is>
          <t>3.0</t>
        </is>
      </c>
      <c r="I5" s="13" t="inlineStr">
        <is>
          <t>4.0</t>
        </is>
      </c>
      <c r="J5" s="13" t="inlineStr">
        <is>
          <t>5.0</t>
        </is>
      </c>
      <c r="K5" s="13" t="inlineStr">
        <is>
          <t>6</t>
        </is>
      </c>
      <c r="L5" s="13" t="inlineStr">
        <is>
          <t>7</t>
        </is>
      </c>
      <c r="M5" s="13" t="inlineStr">
        <is>
          <t>8</t>
        </is>
      </c>
      <c r="N5" s="13" t="inlineStr">
        <is>
          <t>9</t>
        </is>
      </c>
      <c r="O5" s="13" t="inlineStr">
        <is>
          <t>10</t>
        </is>
      </c>
      <c r="P5" s="13" t="inlineStr">
        <is>
          <t>11</t>
        </is>
      </c>
      <c r="Q5" s="13" t="inlineStr">
        <is>
          <t>12</t>
        </is>
      </c>
      <c r="R5" s="13" t="inlineStr">
        <is>
          <t>13</t>
        </is>
      </c>
      <c r="S5" s="13" t="inlineStr">
        <is>
          <t>14</t>
        </is>
      </c>
      <c r="T5" s="13" t="inlineStr">
        <is>
          <t>15</t>
        </is>
      </c>
      <c r="U5" s="13" t="inlineStr">
        <is>
          <t>16</t>
        </is>
      </c>
      <c r="V5" s="13" t="inlineStr">
        <is>
          <t>17</t>
        </is>
      </c>
      <c r="W5" s="13" t="inlineStr">
        <is>
          <t>18</t>
        </is>
      </c>
      <c r="X5" s="13" t="inlineStr">
        <is>
          <t>19</t>
        </is>
      </c>
      <c r="Y5" s="13" t="inlineStr">
        <is>
          <t>20</t>
        </is>
      </c>
      <c r="Z5" s="13" t="inlineStr">
        <is>
          <t>21</t>
        </is>
      </c>
      <c r="AA5" s="13" t="inlineStr">
        <is>
          <t>22</t>
        </is>
      </c>
      <c r="AB5" s="13" t="inlineStr">
        <is>
          <t>23</t>
        </is>
      </c>
      <c r="AC5" s="13" t="inlineStr">
        <is>
          <t>24</t>
        </is>
      </c>
      <c r="AD5" s="13" t="inlineStr">
        <is>
          <t>25</t>
        </is>
      </c>
      <c r="AE5" s="13" t="inlineStr">
        <is>
          <t>26</t>
        </is>
      </c>
      <c r="AF5" s="13" t="inlineStr">
        <is>
          <t>27</t>
        </is>
      </c>
      <c r="AG5" s="13" t="inlineStr">
        <is>
          <t>28</t>
        </is>
      </c>
      <c r="AH5" s="13" t="inlineStr">
        <is>
          <t>29</t>
        </is>
      </c>
      <c r="AI5" s="13" t="inlineStr">
        <is>
          <t>30</t>
        </is>
      </c>
    </row>
    <row r="6">
      <c r="A6" s="4" t="inlineStr">
        <is>
          <t>Студент2.1</t>
        </is>
      </c>
      <c r="B6" s="4" t="inlineStr"/>
      <c r="C6" s="4">
        <f>IF(A6="","",COUNTIF(F6:AI6,"+")+COUNTIF(F6:AI6,"1"))</f>
        <v/>
      </c>
      <c r="D6" s="4">
        <f>IF(A6="","",IF(C6&gt;2*COUNTA(F$5:AI$5)/3,'Общий'!$M$11,IF(C6&gt;=COUNTA(F$5:AI$5)/2,'Общий'!$M$12,'Общий'!$M$13)))</f>
        <v/>
      </c>
      <c r="E6" s="4">
        <f>IF(A6="","",SUMIFS('Логи'!$H$7:$H$3006,'Логи'!$A$7:$A$3006,1,'Логи'!$B$7:$B$3006,2,'Логи'!$C$7:$C$3006,A6))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>
      <c r="A7" s="4" t="inlineStr">
        <is>
          <t>Студент2.2</t>
        </is>
      </c>
      <c r="B7" s="4" t="inlineStr"/>
      <c r="C7" s="4">
        <f>IF(A7="","",COUNTIF(F7:AI7,"+")+COUNTIF(F7:AI7,"1"))</f>
        <v/>
      </c>
      <c r="D7" s="4">
        <f>IF(A7="","",IF(C7&gt;2*COUNTA(F$5:AI$5)/3,'Общий'!$M$11,IF(C7&gt;=COUNTA(F$5:AI$5)/2,'Общий'!$M$12,'Общий'!$M$13)))</f>
        <v/>
      </c>
      <c r="E7" s="4">
        <f>IF(A7="","",SUMIFS('Логи'!$H$7:$H$3006,'Логи'!$A$7:$A$3006,1,'Логи'!$B$7:$B$3006,2,'Логи'!$C$7:$C$3006,A7))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4" t="inlineStr">
        <is>
          <t>Студент2.3</t>
        </is>
      </c>
      <c r="B8" s="4" t="inlineStr"/>
      <c r="C8" s="4">
        <f>IF(A8="","",COUNTIF(F8:AI8,"+")+COUNTIF(F8:AI8,"1"))</f>
        <v/>
      </c>
      <c r="D8" s="4">
        <f>IF(A8="","",IF(C8&gt;2*COUNTA(F$5:AI$5)/3,'Общий'!$M$11,IF(C8&gt;=COUNTA(F$5:AI$5)/2,'Общий'!$M$12,'Общий'!$M$13)))</f>
        <v/>
      </c>
      <c r="E8" s="4">
        <f>IF(A8="","",SUMIFS('Логи'!$H$7:$H$3006,'Логи'!$A$7:$A$3006,1,'Логи'!$B$7:$B$3006,2,'Логи'!$C$7:$C$3006,A8))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</row>
    <row r="9">
      <c r="A9" s="4" t="inlineStr">
        <is>
          <t>Студент2.4</t>
        </is>
      </c>
      <c r="B9" s="4" t="inlineStr"/>
      <c r="C9" s="4">
        <f>IF(A9="","",COUNTIF(F9:AI9,"+")+COUNTIF(F9:AI9,"1"))</f>
        <v/>
      </c>
      <c r="D9" s="4">
        <f>IF(A9="","",IF(C9&gt;2*COUNTA(F$5:AI$5)/3,'Общий'!$M$11,IF(C9&gt;=COUNTA(F$5:AI$5)/2,'Общий'!$M$12,'Общий'!$M$13)))</f>
        <v/>
      </c>
      <c r="E9" s="4">
        <f>IF(A9="","",SUMIFS('Логи'!$H$7:$H$3006,'Логи'!$A$7:$A$3006,1,'Логи'!$B$7:$B$3006,2,'Логи'!$C$7:$C$3006,A9))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4" t="inlineStr">
        <is>
          <t>Студент2.5</t>
        </is>
      </c>
      <c r="B10" s="4" t="inlineStr"/>
      <c r="C10" s="4">
        <f>IF(A10="","",COUNTIF(F10:AI10,"+")+COUNTIF(F10:AI10,"1"))</f>
        <v/>
      </c>
      <c r="D10" s="4">
        <f>IF(A10="","",IF(C10&gt;2*COUNTA(F$5:AI$5)/3,'Общий'!$M$11,IF(C10&gt;=COUNTA(F$5:AI$5)/2,'Общий'!$M$12,'Общий'!$M$13)))</f>
        <v/>
      </c>
      <c r="E10" s="4">
        <f>IF(A10="","",SUMIFS('Логи'!$H$7:$H$3006,'Логи'!$A$7:$A$3006,1,'Логи'!$B$7:$B$3006,2,'Логи'!$C$7:$C$3006,A10))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</row>
    <row r="11">
      <c r="A11" s="4" t="inlineStr">
        <is>
          <t>Студент2.6</t>
        </is>
      </c>
      <c r="B11" s="4" t="inlineStr"/>
      <c r="C11" s="4">
        <f>IF(A11="","",COUNTIF(F11:AI11,"+")+COUNTIF(F11:AI11,"1"))</f>
        <v/>
      </c>
      <c r="D11" s="4">
        <f>IF(A11="","",IF(C11&gt;2*COUNTA(F$5:AI$5)/3,'Общий'!$M$11,IF(C11&gt;=COUNTA(F$5:AI$5)/2,'Общий'!$M$12,'Общий'!$M$13)))</f>
        <v/>
      </c>
      <c r="E11" s="4">
        <f>IF(A11="","",SUMIFS('Логи'!$H$7:$H$3006,'Логи'!$A$7:$A$3006,1,'Логи'!$B$7:$B$3006,2,'Логи'!$C$7:$C$3006,A11))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4" t="inlineStr">
        <is>
          <t>Студент2.7</t>
        </is>
      </c>
      <c r="B12" s="4" t="inlineStr"/>
      <c r="C12" s="4">
        <f>IF(A12="","",COUNTIF(F12:AI12,"+")+COUNTIF(F12:AI12,"1"))</f>
        <v/>
      </c>
      <c r="D12" s="4">
        <f>IF(A12="","",IF(C12&gt;2*COUNTA(F$5:AI$5)/3,'Общий'!$M$11,IF(C12&gt;=COUNTA(F$5:AI$5)/2,'Общий'!$M$12,'Общий'!$M$13)))</f>
        <v/>
      </c>
      <c r="E12" s="4">
        <f>IF(A12="","",SUMIFS('Логи'!$H$7:$H$3006,'Логи'!$A$7:$A$3006,1,'Логи'!$B$7:$B$3006,2,'Логи'!$C$7:$C$3006,A12))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</row>
    <row r="13">
      <c r="A13" s="4" t="inlineStr">
        <is>
          <t>Студент2.8</t>
        </is>
      </c>
      <c r="B13" s="4" t="inlineStr"/>
      <c r="C13" s="4">
        <f>IF(A13="","",COUNTIF(F13:AI13,"+")+COUNTIF(F13:AI13,"1"))</f>
        <v/>
      </c>
      <c r="D13" s="4">
        <f>IF(A13="","",IF(C13&gt;2*COUNTA(F$5:AI$5)/3,'Общий'!$M$11,IF(C13&gt;=COUNTA(F$5:AI$5)/2,'Общий'!$M$12,'Общий'!$M$13)))</f>
        <v/>
      </c>
      <c r="E13" s="4">
        <f>IF(A13="","",SUMIFS('Логи'!$H$7:$H$3006,'Логи'!$A$7:$A$3006,1,'Логи'!$B$7:$B$3006,2,'Логи'!$C$7:$C$3006,A13))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4" t="inlineStr">
        <is>
          <t>Студент2.9</t>
        </is>
      </c>
      <c r="B14" s="4" t="inlineStr"/>
      <c r="C14" s="4">
        <f>IF(A14="","",COUNTIF(F14:AI14,"+")+COUNTIF(F14:AI14,"1"))</f>
        <v/>
      </c>
      <c r="D14" s="4">
        <f>IF(A14="","",IF(C14&gt;2*COUNTA(F$5:AI$5)/3,'Общий'!$M$11,IF(C14&gt;=COUNTA(F$5:AI$5)/2,'Общий'!$M$12,'Общий'!$M$13)))</f>
        <v/>
      </c>
      <c r="E14" s="4">
        <f>IF(A14="","",SUMIFS('Логи'!$H$7:$H$3006,'Логи'!$A$7:$A$3006,1,'Логи'!$B$7:$B$3006,2,'Логи'!$C$7:$C$3006,A14))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</row>
    <row r="15">
      <c r="A15" s="4" t="inlineStr">
        <is>
          <t>Студент2.10</t>
        </is>
      </c>
      <c r="B15" s="4" t="inlineStr"/>
      <c r="C15" s="4">
        <f>IF(A15="","",COUNTIF(F15:AI15,"+")+COUNTIF(F15:AI15,"1"))</f>
        <v/>
      </c>
      <c r="D15" s="4">
        <f>IF(A15="","",IF(C15&gt;2*COUNTA(F$5:AI$5)/3,'Общий'!$M$11,IF(C15&gt;=COUNTA(F$5:AI$5)/2,'Общий'!$M$12,'Общий'!$M$13)))</f>
        <v/>
      </c>
      <c r="E15" s="4">
        <f>IF(A15="","",SUMIFS('Логи'!$H$7:$H$3006,'Логи'!$A$7:$A$3006,1,'Логи'!$B$7:$B$3006,2,'Логи'!$C$7:$C$3006,A15))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4" t="inlineStr">
        <is>
          <t>Студент2.11</t>
        </is>
      </c>
      <c r="B16" s="4" t="inlineStr"/>
      <c r="C16" s="4">
        <f>IF(A16="","",COUNTIF(F16:AI16,"+")+COUNTIF(F16:AI16,"1"))</f>
        <v/>
      </c>
      <c r="D16" s="4">
        <f>IF(A16="","",IF(C16&gt;2*COUNTA(F$5:AI$5)/3,'Общий'!$M$11,IF(C16&gt;=COUNTA(F$5:AI$5)/2,'Общий'!$M$12,'Общий'!$M$13)))</f>
        <v/>
      </c>
      <c r="E16" s="4">
        <f>IF(A16="","",SUMIFS('Логи'!$H$7:$H$3006,'Логи'!$A$7:$A$3006,1,'Логи'!$B$7:$B$3006,2,'Логи'!$C$7:$C$3006,A16))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</row>
    <row r="17">
      <c r="A17" s="4" t="inlineStr">
        <is>
          <t>Студент2.12</t>
        </is>
      </c>
      <c r="B17" s="4" t="inlineStr"/>
      <c r="C17" s="4">
        <f>IF(A17="","",COUNTIF(F17:AI17,"+")+COUNTIF(F17:AI17,"1"))</f>
        <v/>
      </c>
      <c r="D17" s="4">
        <f>IF(A17="","",IF(C17&gt;2*COUNTA(F$5:AI$5)/3,'Общий'!$M$11,IF(C17&gt;=COUNTA(F$5:AI$5)/2,'Общий'!$M$12,'Общий'!$M$13)))</f>
        <v/>
      </c>
      <c r="E17" s="4">
        <f>IF(A17="","",SUMIFS('Логи'!$H$7:$H$3006,'Логи'!$A$7:$A$3006,1,'Логи'!$B$7:$B$3006,2,'Логи'!$C$7:$C$3006,A17))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4" t="inlineStr">
        <is>
          <t>Студент2.13</t>
        </is>
      </c>
      <c r="B18" s="4" t="inlineStr"/>
      <c r="C18" s="4">
        <f>IF(A18="","",COUNTIF(F18:AI18,"+")+COUNTIF(F18:AI18,"1"))</f>
        <v/>
      </c>
      <c r="D18" s="4">
        <f>IF(A18="","",IF(C18&gt;2*COUNTA(F$5:AI$5)/3,'Общий'!$M$11,IF(C18&gt;=COUNTA(F$5:AI$5)/2,'Общий'!$M$12,'Общий'!$M$13)))</f>
        <v/>
      </c>
      <c r="E18" s="4">
        <f>IF(A18="","",SUMIFS('Логи'!$H$7:$H$3006,'Логи'!$A$7:$A$3006,1,'Логи'!$B$7:$B$3006,2,'Логи'!$C$7:$C$3006,A18))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</row>
    <row r="19">
      <c r="A19" s="4" t="inlineStr">
        <is>
          <t>Студент2.14</t>
        </is>
      </c>
      <c r="B19" s="4" t="inlineStr"/>
      <c r="C19" s="4">
        <f>IF(A19="","",COUNTIF(F19:AI19,"+")+COUNTIF(F19:AI19,"1"))</f>
        <v/>
      </c>
      <c r="D19" s="4">
        <f>IF(A19="","",IF(C19&gt;2*COUNTA(F$5:AI$5)/3,'Общий'!$M$11,IF(C19&gt;=COUNTA(F$5:AI$5)/2,'Общий'!$M$12,'Общий'!$M$13)))</f>
        <v/>
      </c>
      <c r="E19" s="4">
        <f>IF(A19="","",SUMIFS('Логи'!$H$7:$H$3006,'Логи'!$A$7:$A$3006,1,'Логи'!$B$7:$B$3006,2,'Логи'!$C$7:$C$3006,A19))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4" t="inlineStr">
        <is>
          <t>Студент2.15</t>
        </is>
      </c>
      <c r="B20" s="4" t="inlineStr"/>
      <c r="C20" s="4">
        <f>IF(A20="","",COUNTIF(F20:AI20,"+")+COUNTIF(F20:AI20,"1"))</f>
        <v/>
      </c>
      <c r="D20" s="4">
        <f>IF(A20="","",IF(C20&gt;2*COUNTA(F$5:AI$5)/3,'Общий'!$M$11,IF(C20&gt;=COUNTA(F$5:AI$5)/2,'Общий'!$M$12,'Общий'!$M$13)))</f>
        <v/>
      </c>
      <c r="E20" s="4">
        <f>IF(A20="","",SUMIFS('Логи'!$H$7:$H$3006,'Логи'!$A$7:$A$3006,1,'Логи'!$B$7:$B$3006,2,'Логи'!$C$7:$C$3006,A20))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</row>
    <row r="21">
      <c r="A21" s="4" t="inlineStr">
        <is>
          <t>Студент2.16</t>
        </is>
      </c>
      <c r="B21" s="4" t="inlineStr"/>
      <c r="C21" s="4">
        <f>IF(A21="","",COUNTIF(F21:AI21,"+")+COUNTIF(F21:AI21,"1"))</f>
        <v/>
      </c>
      <c r="D21" s="4">
        <f>IF(A21="","",IF(C21&gt;2*COUNTA(F$5:AI$5)/3,'Общий'!$M$11,IF(C21&gt;=COUNTA(F$5:AI$5)/2,'Общий'!$M$12,'Общий'!$M$13)))</f>
        <v/>
      </c>
      <c r="E21" s="4">
        <f>IF(A21="","",SUMIFS('Логи'!$H$7:$H$3006,'Логи'!$A$7:$A$3006,1,'Логи'!$B$7:$B$3006,2,'Логи'!$C$7:$C$3006,A21))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4" t="inlineStr">
        <is>
          <t>Студент2.17</t>
        </is>
      </c>
      <c r="B22" s="4" t="inlineStr"/>
      <c r="C22" s="4">
        <f>IF(A22="","",COUNTIF(F22:AI22,"+")+COUNTIF(F22:AI22,"1"))</f>
        <v/>
      </c>
      <c r="D22" s="4">
        <f>IF(A22="","",IF(C22&gt;2*COUNTA(F$5:AI$5)/3,'Общий'!$M$11,IF(C22&gt;=COUNTA(F$5:AI$5)/2,'Общий'!$M$12,'Общий'!$M$13)))</f>
        <v/>
      </c>
      <c r="E22" s="4">
        <f>IF(A22="","",SUMIFS('Логи'!$H$7:$H$3006,'Логи'!$A$7:$A$3006,1,'Логи'!$B$7:$B$3006,2,'Логи'!$C$7:$C$3006,A22))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</row>
    <row r="23">
      <c r="A23" s="4" t="inlineStr">
        <is>
          <t>Студент2.18</t>
        </is>
      </c>
      <c r="B23" s="4" t="inlineStr"/>
      <c r="C23" s="4">
        <f>IF(A23="","",COUNTIF(F23:AI23,"+")+COUNTIF(F23:AI23,"1"))</f>
        <v/>
      </c>
      <c r="D23" s="4">
        <f>IF(A23="","",IF(C23&gt;2*COUNTA(F$5:AI$5)/3,'Общий'!$M$11,IF(C23&gt;=COUNTA(F$5:AI$5)/2,'Общий'!$M$12,'Общий'!$M$13)))</f>
        <v/>
      </c>
      <c r="E23" s="4">
        <f>IF(A23="","",SUMIFS('Логи'!$H$7:$H$3006,'Логи'!$A$7:$A$3006,1,'Логи'!$B$7:$B$3006,2,'Логи'!$C$7:$C$3006,A23))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4" t="inlineStr">
        <is>
          <t>Студент2.19</t>
        </is>
      </c>
      <c r="B24" s="4" t="inlineStr"/>
      <c r="C24" s="4">
        <f>IF(A24="","",COUNTIF(F24:AI24,"+")+COUNTIF(F24:AI24,"1"))</f>
        <v/>
      </c>
      <c r="D24" s="4">
        <f>IF(A24="","",IF(C24&gt;2*COUNTA(F$5:AI$5)/3,'Общий'!$M$11,IF(C24&gt;=COUNTA(F$5:AI$5)/2,'Общий'!$M$12,'Общий'!$M$13)))</f>
        <v/>
      </c>
      <c r="E24" s="4">
        <f>IF(A24="","",SUMIFS('Логи'!$H$7:$H$3006,'Логи'!$A$7:$A$3006,1,'Логи'!$B$7:$B$3006,2,'Логи'!$C$7:$C$3006,A24))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</row>
    <row r="25">
      <c r="A25" s="4" t="inlineStr">
        <is>
          <t>Студент2.20</t>
        </is>
      </c>
      <c r="B25" s="4" t="inlineStr"/>
      <c r="C25" s="4">
        <f>IF(A25="","",COUNTIF(F25:AI25,"+")+COUNTIF(F25:AI25,"1"))</f>
        <v/>
      </c>
      <c r="D25" s="4">
        <f>IF(A25="","",IF(C25&gt;2*COUNTA(F$5:AI$5)/3,'Общий'!$M$11,IF(C25&gt;=COUNTA(F$5:AI$5)/2,'Общий'!$M$12,'Общий'!$M$13)))</f>
        <v/>
      </c>
      <c r="E25" s="4">
        <f>IF(A25="","",SUMIFS('Логи'!$H$7:$H$3006,'Логи'!$A$7:$A$3006,1,'Логи'!$B$7:$B$3006,2,'Логи'!$C$7:$C$3006,A25))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4" t="inlineStr">
        <is>
          <t>Студент2.21</t>
        </is>
      </c>
      <c r="B26" s="4" t="inlineStr"/>
      <c r="C26" s="4">
        <f>IF(A26="","",COUNTIF(F26:AI26,"+")+COUNTIF(F26:AI26,"1"))</f>
        <v/>
      </c>
      <c r="D26" s="4">
        <f>IF(A26="","",IF(C26&gt;2*COUNTA(F$5:AI$5)/3,'Общий'!$M$11,IF(C26&gt;=COUNTA(F$5:AI$5)/2,'Общий'!$M$12,'Общий'!$M$13)))</f>
        <v/>
      </c>
      <c r="E26" s="4">
        <f>IF(A26="","",SUMIFS('Логи'!$H$7:$H$3006,'Логи'!$A$7:$A$3006,1,'Логи'!$B$7:$B$3006,2,'Логи'!$C$7:$C$3006,A26))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</row>
    <row r="27">
      <c r="A27" s="4" t="inlineStr">
        <is>
          <t>Студент2.22</t>
        </is>
      </c>
      <c r="B27" s="4" t="inlineStr"/>
      <c r="C27" s="4">
        <f>IF(A27="","",COUNTIF(F27:AI27,"+")+COUNTIF(F27:AI27,"1"))</f>
        <v/>
      </c>
      <c r="D27" s="4">
        <f>IF(A27="","",IF(C27&gt;2*COUNTA(F$5:AI$5)/3,'Общий'!$M$11,IF(C27&gt;=COUNTA(F$5:AI$5)/2,'Общий'!$M$12,'Общий'!$M$13)))</f>
        <v/>
      </c>
      <c r="E27" s="4">
        <f>IF(A27="","",SUMIFS('Логи'!$H$7:$H$3006,'Логи'!$A$7:$A$3006,1,'Логи'!$B$7:$B$3006,2,'Логи'!$C$7:$C$3006,A27))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4" t="inlineStr">
        <is>
          <t>Студент2.23</t>
        </is>
      </c>
      <c r="B28" s="4" t="inlineStr"/>
      <c r="C28" s="4">
        <f>IF(A28="","",COUNTIF(F28:AI28,"+")+COUNTIF(F28:AI28,"1"))</f>
        <v/>
      </c>
      <c r="D28" s="4">
        <f>IF(A28="","",IF(C28&gt;2*COUNTA(F$5:AI$5)/3,'Общий'!$M$11,IF(C28&gt;=COUNTA(F$5:AI$5)/2,'Общий'!$M$12,'Общий'!$M$13)))</f>
        <v/>
      </c>
      <c r="E28" s="4">
        <f>IF(A28="","",SUMIFS('Логи'!$H$7:$H$3006,'Логи'!$A$7:$A$3006,1,'Логи'!$B$7:$B$3006,2,'Логи'!$C$7:$C$3006,A28))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</row>
    <row r="29">
      <c r="A29" s="4" t="inlineStr">
        <is>
          <t>Студент2.24</t>
        </is>
      </c>
      <c r="B29" s="4" t="inlineStr"/>
      <c r="C29" s="4">
        <f>IF(A29="","",COUNTIF(F29:AI29,"+")+COUNTIF(F29:AI29,"1"))</f>
        <v/>
      </c>
      <c r="D29" s="4">
        <f>IF(A29="","",IF(C29&gt;2*COUNTA(F$5:AI$5)/3,'Общий'!$M$11,IF(C29&gt;=COUNTA(F$5:AI$5)/2,'Общий'!$M$12,'Общий'!$M$13)))</f>
        <v/>
      </c>
      <c r="E29" s="4">
        <f>IF(A29="","",SUMIFS('Логи'!$H$7:$H$3006,'Логи'!$A$7:$A$3006,1,'Логи'!$B$7:$B$3006,2,'Логи'!$C$7:$C$3006,A29))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4" t="inlineStr">
        <is>
          <t>Студент2.25</t>
        </is>
      </c>
      <c r="B30" s="4" t="inlineStr"/>
      <c r="C30" s="4">
        <f>IF(A30="","",COUNTIF(F30:AI30,"+")+COUNTIF(F30:AI30,"1"))</f>
        <v/>
      </c>
      <c r="D30" s="4">
        <f>IF(A30="","",IF(C30&gt;2*COUNTA(F$5:AI$5)/3,'Общий'!$M$11,IF(C30&gt;=COUNTA(F$5:AI$5)/2,'Общий'!$M$12,'Общий'!$M$13)))</f>
        <v/>
      </c>
      <c r="E30" s="4">
        <f>IF(A30="","",SUMIFS('Логи'!$H$7:$H$3006,'Логи'!$A$7:$A$3006,1,'Логи'!$B$7:$B$3006,2,'Логи'!$C$7:$C$3006,A30))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</row>
    <row r="31">
      <c r="A31" s="4" t="inlineStr">
        <is>
          <t>Студент2.26</t>
        </is>
      </c>
      <c r="B31" s="4" t="inlineStr"/>
      <c r="C31" s="4">
        <f>IF(A31="","",COUNTIF(F31:AI31,"+")+COUNTIF(F31:AI31,"1"))</f>
        <v/>
      </c>
      <c r="D31" s="4">
        <f>IF(A31="","",IF(C31&gt;2*COUNTA(F$5:AI$5)/3,'Общий'!$M$11,IF(C31&gt;=COUNTA(F$5:AI$5)/2,'Общий'!$M$12,'Общий'!$M$13)))</f>
        <v/>
      </c>
      <c r="E31" s="4">
        <f>IF(A31="","",SUMIFS('Логи'!$H$7:$H$3006,'Логи'!$A$7:$A$3006,1,'Логи'!$B$7:$B$3006,2,'Логи'!$C$7:$C$3006,A31))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4" t="inlineStr">
        <is>
          <t>Студент2.27</t>
        </is>
      </c>
      <c r="B32" s="4" t="inlineStr"/>
      <c r="C32" s="4">
        <f>IF(A32="","",COUNTIF(F32:AI32,"+")+COUNTIF(F32:AI32,"1"))</f>
        <v/>
      </c>
      <c r="D32" s="4">
        <f>IF(A32="","",IF(C32&gt;2*COUNTA(F$5:AI$5)/3,'Общий'!$M$11,IF(C32&gt;=COUNTA(F$5:AI$5)/2,'Общий'!$M$12,'Общий'!$M$13)))</f>
        <v/>
      </c>
      <c r="E32" s="4">
        <f>IF(A32="","",SUMIFS('Логи'!$H$7:$H$3006,'Логи'!$A$7:$A$3006,1,'Логи'!$B$7:$B$3006,2,'Логи'!$C$7:$C$3006,A32))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>
      <c r="A33" s="4" t="inlineStr">
        <is>
          <t>Студент2.28</t>
        </is>
      </c>
      <c r="B33" s="4" t="inlineStr"/>
      <c r="C33" s="4">
        <f>IF(A33="","",COUNTIF(F33:AI33,"+")+COUNTIF(F33:AI33,"1"))</f>
        <v/>
      </c>
      <c r="D33" s="4">
        <f>IF(A33="","",IF(C33&gt;2*COUNTA(F$5:AI$5)/3,'Общий'!$M$11,IF(C33&gt;=COUNTA(F$5:AI$5)/2,'Общий'!$M$12,'Общий'!$M$13)))</f>
        <v/>
      </c>
      <c r="E33" s="4">
        <f>IF(A33="","",SUMIFS('Логи'!$H$7:$H$3006,'Логи'!$A$7:$A$3006,1,'Логи'!$B$7:$B$3006,2,'Логи'!$C$7:$C$3006,A33))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4" t="inlineStr">
        <is>
          <t>Студент2.29</t>
        </is>
      </c>
      <c r="B34" s="4" t="inlineStr"/>
      <c r="C34" s="4">
        <f>IF(A34="","",COUNTIF(F34:AI34,"+")+COUNTIF(F34:AI34,"1"))</f>
        <v/>
      </c>
      <c r="D34" s="4">
        <f>IF(A34="","",IF(C34&gt;2*COUNTA(F$5:AI$5)/3,'Общий'!$M$11,IF(C34&gt;=COUNTA(F$5:AI$5)/2,'Общий'!$M$12,'Общий'!$M$13)))</f>
        <v/>
      </c>
      <c r="E34" s="4">
        <f>IF(A34="","",SUMIFS('Логи'!$H$7:$H$3006,'Логи'!$A$7:$A$3006,1,'Логи'!$B$7:$B$3006,2,'Логи'!$C$7:$C$3006,A34))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</row>
    <row r="35">
      <c r="A35" s="4" t="inlineStr">
        <is>
          <t>Студент2.30</t>
        </is>
      </c>
      <c r="B35" s="4" t="inlineStr"/>
      <c r="C35" s="4">
        <f>IF(A35="","",COUNTIF(F35:AI35,"+")+COUNTIF(F35:AI35,"1"))</f>
        <v/>
      </c>
      <c r="D35" s="4">
        <f>IF(A35="","",IF(C35&gt;2*COUNTA(F$5:AI$5)/3,'Общий'!$M$11,IF(C35&gt;=COUNTA(F$5:AI$5)/2,'Общий'!$M$12,'Общий'!$M$13)))</f>
        <v/>
      </c>
      <c r="E35" s="4">
        <f>IF(A35="","",SUMIFS('Логи'!$H$7:$H$3006,'Логи'!$A$7:$A$3006,1,'Логи'!$B$7:$B$3006,2,'Логи'!$C$7:$C$3006,A35))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7">
      <c r="A37" s="19" t="inlineStr">
        <is>
          <t>Практика 1 — результаты рассказа</t>
        </is>
      </c>
    </row>
    <row r="38" ht="28" customHeight="1">
      <c r="A38" s="9" t="inlineStr">
        <is>
          <t>Имя</t>
        </is>
      </c>
      <c r="B38" s="11" t="inlineStr">
        <is>
          <t>TG</t>
        </is>
      </c>
      <c r="C38" s="12" t="inlineStr"/>
      <c r="D38" s="3" t="inlineStr"/>
      <c r="E38" s="3" t="inlineStr"/>
      <c r="F38" s="13" t="inlineStr">
        <is>
          <t>1.0</t>
        </is>
      </c>
      <c r="G38" s="13" t="inlineStr">
        <is>
          <t>2.0</t>
        </is>
      </c>
      <c r="H38" s="13" t="inlineStr">
        <is>
          <t>3.0</t>
        </is>
      </c>
      <c r="I38" s="13" t="inlineStr">
        <is>
          <t>4.0</t>
        </is>
      </c>
      <c r="J38" s="13" t="inlineStr">
        <is>
          <t>5.0</t>
        </is>
      </c>
      <c r="K38" s="13" t="inlineStr">
        <is>
          <t>6</t>
        </is>
      </c>
      <c r="L38" s="13" t="inlineStr">
        <is>
          <t>7</t>
        </is>
      </c>
      <c r="M38" s="13" t="inlineStr">
        <is>
          <t>8</t>
        </is>
      </c>
      <c r="N38" s="13" t="inlineStr">
        <is>
          <t>9</t>
        </is>
      </c>
      <c r="O38" s="13" t="inlineStr">
        <is>
          <t>10</t>
        </is>
      </c>
      <c r="P38" s="13" t="inlineStr">
        <is>
          <t>11</t>
        </is>
      </c>
      <c r="Q38" s="13" t="inlineStr">
        <is>
          <t>12</t>
        </is>
      </c>
      <c r="R38" s="13" t="inlineStr">
        <is>
          <t>13</t>
        </is>
      </c>
      <c r="S38" s="13" t="inlineStr">
        <is>
          <t>14</t>
        </is>
      </c>
      <c r="T38" s="13" t="inlineStr">
        <is>
          <t>15</t>
        </is>
      </c>
      <c r="U38" s="13" t="inlineStr">
        <is>
          <t>16</t>
        </is>
      </c>
      <c r="V38" s="13" t="inlineStr">
        <is>
          <t>17</t>
        </is>
      </c>
      <c r="W38" s="13" t="inlineStr">
        <is>
          <t>18</t>
        </is>
      </c>
      <c r="X38" s="13" t="inlineStr">
        <is>
          <t>19</t>
        </is>
      </c>
      <c r="Y38" s="13" t="inlineStr">
        <is>
          <t>20</t>
        </is>
      </c>
      <c r="Z38" s="13" t="inlineStr">
        <is>
          <t>21</t>
        </is>
      </c>
      <c r="AA38" s="13" t="inlineStr">
        <is>
          <t>22</t>
        </is>
      </c>
      <c r="AB38" s="13" t="inlineStr">
        <is>
          <t>23</t>
        </is>
      </c>
      <c r="AC38" s="13" t="inlineStr">
        <is>
          <t>24</t>
        </is>
      </c>
      <c r="AD38" s="13" t="inlineStr">
        <is>
          <t>25</t>
        </is>
      </c>
      <c r="AE38" s="13" t="inlineStr">
        <is>
          <t>26</t>
        </is>
      </c>
      <c r="AF38" s="13" t="inlineStr">
        <is>
          <t>27</t>
        </is>
      </c>
      <c r="AG38" s="13" t="inlineStr">
        <is>
          <t>28</t>
        </is>
      </c>
      <c r="AH38" s="13" t="inlineStr">
        <is>
          <t>29</t>
        </is>
      </c>
      <c r="AI38" s="13" t="inlineStr">
        <is>
          <t>30</t>
        </is>
      </c>
    </row>
    <row r="39">
      <c r="A39" s="4" t="inlineStr">
        <is>
          <t>Студент2.1</t>
        </is>
      </c>
      <c r="B39" s="4" t="inlineStr"/>
      <c r="C39" s="4" t="n"/>
      <c r="D39" s="4" t="n"/>
      <c r="E39" s="4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4" t="inlineStr">
        <is>
          <t>Студент2.2</t>
        </is>
      </c>
      <c r="B40" s="4" t="inlineStr"/>
      <c r="C40" s="4" t="n"/>
      <c r="D40" s="4" t="n"/>
      <c r="E40" s="4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</row>
    <row r="41">
      <c r="A41" s="4" t="inlineStr">
        <is>
          <t>Студент2.3</t>
        </is>
      </c>
      <c r="B41" s="4" t="inlineStr"/>
      <c r="C41" s="4" t="n"/>
      <c r="D41" s="4" t="n"/>
      <c r="E41" s="4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4" t="inlineStr">
        <is>
          <t>Студент2.4</t>
        </is>
      </c>
      <c r="B42" s="4" t="inlineStr"/>
      <c r="C42" s="4" t="n"/>
      <c r="D42" s="4" t="n"/>
      <c r="E42" s="4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4" t="inlineStr">
        <is>
          <t>Студент2.5</t>
        </is>
      </c>
      <c r="B43" s="4" t="inlineStr"/>
      <c r="C43" s="4" t="n"/>
      <c r="D43" s="4" t="n"/>
      <c r="E43" s="4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4" t="inlineStr">
        <is>
          <t>Студент2.6</t>
        </is>
      </c>
      <c r="B44" s="4" t="inlineStr"/>
      <c r="C44" s="4" t="n"/>
      <c r="D44" s="4" t="n"/>
      <c r="E44" s="4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</row>
    <row r="45">
      <c r="A45" s="4" t="inlineStr">
        <is>
          <t>Студент2.7</t>
        </is>
      </c>
      <c r="B45" s="4" t="inlineStr"/>
      <c r="C45" s="4" t="n"/>
      <c r="D45" s="4" t="n"/>
      <c r="E45" s="4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4" t="inlineStr">
        <is>
          <t>Студент2.8</t>
        </is>
      </c>
      <c r="B46" s="4" t="inlineStr"/>
      <c r="C46" s="4" t="n"/>
      <c r="D46" s="4" t="n"/>
      <c r="E46" s="4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</row>
    <row r="47">
      <c r="A47" s="4" t="inlineStr">
        <is>
          <t>Студент2.9</t>
        </is>
      </c>
      <c r="B47" s="4" t="inlineStr"/>
      <c r="C47" s="4" t="n"/>
      <c r="D47" s="4" t="n"/>
      <c r="E47" s="4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4" t="inlineStr">
        <is>
          <t>Студент2.10</t>
        </is>
      </c>
      <c r="B48" s="4" t="inlineStr"/>
      <c r="C48" s="4" t="n"/>
      <c r="D48" s="4" t="n"/>
      <c r="E48" s="4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</row>
    <row r="49">
      <c r="A49" s="4" t="inlineStr">
        <is>
          <t>Студент2.11</t>
        </is>
      </c>
      <c r="B49" s="4" t="inlineStr"/>
      <c r="C49" s="4" t="n"/>
      <c r="D49" s="4" t="n"/>
      <c r="E49" s="4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4" t="inlineStr">
        <is>
          <t>Студент2.12</t>
        </is>
      </c>
      <c r="B50" s="4" t="inlineStr"/>
      <c r="C50" s="4" t="n"/>
      <c r="D50" s="4" t="n"/>
      <c r="E50" s="4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</row>
    <row r="51">
      <c r="A51" s="4" t="inlineStr">
        <is>
          <t>Студент2.13</t>
        </is>
      </c>
      <c r="B51" s="4" t="inlineStr"/>
      <c r="C51" s="4" t="n"/>
      <c r="D51" s="4" t="n"/>
      <c r="E51" s="4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4" t="inlineStr">
        <is>
          <t>Студент2.14</t>
        </is>
      </c>
      <c r="B52" s="4" t="inlineStr"/>
      <c r="C52" s="4" t="n"/>
      <c r="D52" s="4" t="n"/>
      <c r="E52" s="4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</row>
    <row r="53">
      <c r="A53" s="4" t="inlineStr">
        <is>
          <t>Студент2.15</t>
        </is>
      </c>
      <c r="B53" s="4" t="inlineStr"/>
      <c r="C53" s="4" t="n"/>
      <c r="D53" s="4" t="n"/>
      <c r="E53" s="4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4" t="inlineStr">
        <is>
          <t>Студент2.16</t>
        </is>
      </c>
      <c r="B54" s="4" t="inlineStr"/>
      <c r="C54" s="4" t="n"/>
      <c r="D54" s="4" t="n"/>
      <c r="E54" s="4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</row>
    <row r="55">
      <c r="A55" s="4" t="inlineStr">
        <is>
          <t>Студент2.17</t>
        </is>
      </c>
      <c r="B55" s="4" t="inlineStr"/>
      <c r="C55" s="4" t="n"/>
      <c r="D55" s="4" t="n"/>
      <c r="E55" s="4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4" t="inlineStr">
        <is>
          <t>Студент2.18</t>
        </is>
      </c>
      <c r="B56" s="4" t="inlineStr"/>
      <c r="C56" s="4" t="n"/>
      <c r="D56" s="4" t="n"/>
      <c r="E56" s="4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</row>
    <row r="57">
      <c r="A57" s="4" t="inlineStr">
        <is>
          <t>Студент2.19</t>
        </is>
      </c>
      <c r="B57" s="4" t="inlineStr"/>
      <c r="C57" s="4" t="n"/>
      <c r="D57" s="4" t="n"/>
      <c r="E57" s="4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4" t="inlineStr">
        <is>
          <t>Студент2.20</t>
        </is>
      </c>
      <c r="B58" s="4" t="inlineStr"/>
      <c r="C58" s="4" t="n"/>
      <c r="D58" s="4" t="n"/>
      <c r="E58" s="4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>
      <c r="A59" s="4" t="inlineStr">
        <is>
          <t>Студент2.21</t>
        </is>
      </c>
      <c r="B59" s="4" t="inlineStr"/>
      <c r="C59" s="4" t="n"/>
      <c r="D59" s="4" t="n"/>
      <c r="E59" s="4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4" t="inlineStr">
        <is>
          <t>Студент2.22</t>
        </is>
      </c>
      <c r="B60" s="4" t="inlineStr"/>
      <c r="C60" s="4" t="n"/>
      <c r="D60" s="4" t="n"/>
      <c r="E60" s="4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4" t="inlineStr">
        <is>
          <t>Студент2.23</t>
        </is>
      </c>
      <c r="B61" s="4" t="inlineStr"/>
      <c r="C61" s="4" t="n"/>
      <c r="D61" s="4" t="n"/>
      <c r="E61" s="4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4" t="inlineStr">
        <is>
          <t>Студент2.24</t>
        </is>
      </c>
      <c r="B62" s="4" t="inlineStr"/>
      <c r="C62" s="4" t="n"/>
      <c r="D62" s="4" t="n"/>
      <c r="E62" s="4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4" t="inlineStr">
        <is>
          <t>Студент2.25</t>
        </is>
      </c>
      <c r="B63" s="4" t="inlineStr"/>
      <c r="C63" s="4" t="n"/>
      <c r="D63" s="4" t="n"/>
      <c r="E63" s="4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4" t="inlineStr">
        <is>
          <t>Студент2.26</t>
        </is>
      </c>
      <c r="B64" s="4" t="inlineStr"/>
      <c r="C64" s="4" t="n"/>
      <c r="D64" s="4" t="n"/>
      <c r="E64" s="4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4" t="inlineStr">
        <is>
          <t>Студент2.27</t>
        </is>
      </c>
      <c r="B65" s="4" t="inlineStr"/>
      <c r="C65" s="4" t="n"/>
      <c r="D65" s="4" t="n"/>
      <c r="E65" s="4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4" t="inlineStr">
        <is>
          <t>Студент2.28</t>
        </is>
      </c>
      <c r="B66" s="4" t="inlineStr"/>
      <c r="C66" s="4" t="n"/>
      <c r="D66" s="4" t="n"/>
      <c r="E66" s="4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4" t="inlineStr">
        <is>
          <t>Студент2.29</t>
        </is>
      </c>
      <c r="B67" s="4" t="inlineStr"/>
      <c r="C67" s="4" t="n"/>
      <c r="D67" s="4" t="n"/>
      <c r="E67" s="4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4" t="inlineStr">
        <is>
          <t>Студент2.30</t>
        </is>
      </c>
      <c r="B68" s="4" t="inlineStr"/>
      <c r="C68" s="4" t="n"/>
      <c r="D68" s="4" t="n"/>
      <c r="E68" s="4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72">
      <c r="A72" s="17" t="inlineStr">
        <is>
          <t>Практика 2 — плюсы</t>
        </is>
      </c>
    </row>
    <row r="73" ht="28" customHeight="1">
      <c r="A73" s="9" t="inlineStr">
        <is>
          <t>Имя</t>
        </is>
      </c>
      <c r="B73" s="11" t="inlineStr">
        <is>
          <t>TG</t>
        </is>
      </c>
      <c r="C73" s="12" t="inlineStr">
        <is>
          <t>S</t>
        </is>
      </c>
      <c r="D73" s="10" t="inlineStr">
        <is>
          <t>Коэффициент</t>
        </is>
      </c>
      <c r="E73" s="18" t="inlineStr">
        <is>
          <t>D за практику</t>
        </is>
      </c>
      <c r="F73" s="13" t="inlineStr">
        <is>
          <t>1.0</t>
        </is>
      </c>
      <c r="G73" s="13" t="inlineStr">
        <is>
          <t>2.0</t>
        </is>
      </c>
      <c r="H73" s="13" t="inlineStr">
        <is>
          <t>3.0</t>
        </is>
      </c>
      <c r="I73" s="13" t="inlineStr">
        <is>
          <t>4.0</t>
        </is>
      </c>
      <c r="J73" s="13" t="inlineStr">
        <is>
          <t>5.0</t>
        </is>
      </c>
      <c r="K73" s="13" t="inlineStr">
        <is>
          <t>6</t>
        </is>
      </c>
      <c r="L73" s="13" t="inlineStr">
        <is>
          <t>7</t>
        </is>
      </c>
      <c r="M73" s="13" t="inlineStr">
        <is>
          <t>8</t>
        </is>
      </c>
      <c r="N73" s="13" t="inlineStr">
        <is>
          <t>9</t>
        </is>
      </c>
      <c r="O73" s="13" t="inlineStr">
        <is>
          <t>10</t>
        </is>
      </c>
      <c r="P73" s="13" t="inlineStr">
        <is>
          <t>11</t>
        </is>
      </c>
      <c r="Q73" s="13" t="inlineStr">
        <is>
          <t>12</t>
        </is>
      </c>
      <c r="R73" s="13" t="inlineStr">
        <is>
          <t>13</t>
        </is>
      </c>
      <c r="S73" s="13" t="inlineStr">
        <is>
          <t>14</t>
        </is>
      </c>
      <c r="T73" s="13" t="inlineStr">
        <is>
          <t>15</t>
        </is>
      </c>
      <c r="U73" s="13" t="inlineStr">
        <is>
          <t>16</t>
        </is>
      </c>
      <c r="V73" s="13" t="inlineStr">
        <is>
          <t>17</t>
        </is>
      </c>
      <c r="W73" s="13" t="inlineStr">
        <is>
          <t>18</t>
        </is>
      </c>
      <c r="X73" s="13" t="inlineStr">
        <is>
          <t>19</t>
        </is>
      </c>
      <c r="Y73" s="13" t="inlineStr">
        <is>
          <t>20</t>
        </is>
      </c>
      <c r="Z73" s="13" t="inlineStr">
        <is>
          <t>21</t>
        </is>
      </c>
      <c r="AA73" s="13" t="inlineStr">
        <is>
          <t>22</t>
        </is>
      </c>
      <c r="AB73" s="13" t="inlineStr">
        <is>
          <t>23</t>
        </is>
      </c>
      <c r="AC73" s="13" t="inlineStr">
        <is>
          <t>24</t>
        </is>
      </c>
      <c r="AD73" s="13" t="inlineStr">
        <is>
          <t>25</t>
        </is>
      </c>
      <c r="AE73" s="13" t="inlineStr">
        <is>
          <t>26</t>
        </is>
      </c>
      <c r="AF73" s="13" t="inlineStr">
        <is>
          <t>27</t>
        </is>
      </c>
      <c r="AG73" s="13" t="inlineStr">
        <is>
          <t>28</t>
        </is>
      </c>
      <c r="AH73" s="13" t="inlineStr">
        <is>
          <t>29</t>
        </is>
      </c>
      <c r="AI73" s="13" t="inlineStr">
        <is>
          <t>30</t>
        </is>
      </c>
    </row>
    <row r="74">
      <c r="A74" s="4" t="inlineStr">
        <is>
          <t>Студент2.1</t>
        </is>
      </c>
      <c r="B74" s="4" t="inlineStr"/>
      <c r="C74" s="4">
        <f>IF(A74="","",COUNTIF(F74:AI74,"+")+COUNTIF(F74:AI74,"1"))</f>
        <v/>
      </c>
      <c r="D74" s="4">
        <f>IF(A74="","",IF(C74&gt;2*COUNTA(F$73:AI$73)/3,'Общий'!$M$11,IF(C74&gt;=COUNTA(F$73:AI$73)/2,'Общий'!$M$12,'Общий'!$M$13)))</f>
        <v/>
      </c>
      <c r="E74" s="4">
        <f>IF(A74="","",SUMIFS('Логи'!$H$7:$H$3006,'Логи'!$A$7:$A$3006,2,'Логи'!$B$7:$B$3006,2,'Логи'!$C$7:$C$3006,A74))</f>
        <v/>
      </c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4" t="inlineStr">
        <is>
          <t>Студент2.2</t>
        </is>
      </c>
      <c r="B75" s="4" t="inlineStr"/>
      <c r="C75" s="4">
        <f>IF(A75="","",COUNTIF(F75:AI75,"+")+COUNTIF(F75:AI75,"1"))</f>
        <v/>
      </c>
      <c r="D75" s="4">
        <f>IF(A75="","",IF(C75&gt;2*COUNTA(F$73:AI$73)/3,'Общий'!$M$11,IF(C75&gt;=COUNTA(F$73:AI$73)/2,'Общий'!$M$12,'Общий'!$M$13)))</f>
        <v/>
      </c>
      <c r="E75" s="4">
        <f>IF(A75="","",SUMIFS('Логи'!$H$7:$H$3006,'Логи'!$A$7:$A$3006,2,'Логи'!$B$7:$B$3006,2,'Логи'!$C$7:$C$3006,A75))</f>
        <v/>
      </c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4" t="inlineStr">
        <is>
          <t>Студент2.3</t>
        </is>
      </c>
      <c r="B76" s="4" t="inlineStr"/>
      <c r="C76" s="4">
        <f>IF(A76="","",COUNTIF(F76:AI76,"+")+COUNTIF(F76:AI76,"1"))</f>
        <v/>
      </c>
      <c r="D76" s="4">
        <f>IF(A76="","",IF(C76&gt;2*COUNTA(F$73:AI$73)/3,'Общий'!$M$11,IF(C76&gt;=COUNTA(F$73:AI$73)/2,'Общий'!$M$12,'Общий'!$M$13)))</f>
        <v/>
      </c>
      <c r="E76" s="4">
        <f>IF(A76="","",SUMIFS('Логи'!$H$7:$H$3006,'Логи'!$A$7:$A$3006,2,'Логи'!$B$7:$B$3006,2,'Логи'!$C$7:$C$3006,A76))</f>
        <v/>
      </c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4" t="inlineStr">
        <is>
          <t>Студент2.4</t>
        </is>
      </c>
      <c r="B77" s="4" t="inlineStr"/>
      <c r="C77" s="4">
        <f>IF(A77="","",COUNTIF(F77:AI77,"+")+COUNTIF(F77:AI77,"1"))</f>
        <v/>
      </c>
      <c r="D77" s="4">
        <f>IF(A77="","",IF(C77&gt;2*COUNTA(F$73:AI$73)/3,'Общий'!$M$11,IF(C77&gt;=COUNTA(F$73:AI$73)/2,'Общий'!$M$12,'Общий'!$M$13)))</f>
        <v/>
      </c>
      <c r="E77" s="4">
        <f>IF(A77="","",SUMIFS('Логи'!$H$7:$H$3006,'Логи'!$A$7:$A$3006,2,'Логи'!$B$7:$B$3006,2,'Логи'!$C$7:$C$3006,A77))</f>
        <v/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4" t="inlineStr">
        <is>
          <t>Студент2.5</t>
        </is>
      </c>
      <c r="B78" s="4" t="inlineStr"/>
      <c r="C78" s="4">
        <f>IF(A78="","",COUNTIF(F78:AI78,"+")+COUNTIF(F78:AI78,"1"))</f>
        <v/>
      </c>
      <c r="D78" s="4">
        <f>IF(A78="","",IF(C78&gt;2*COUNTA(F$73:AI$73)/3,'Общий'!$M$11,IF(C78&gt;=COUNTA(F$73:AI$73)/2,'Общий'!$M$12,'Общий'!$M$13)))</f>
        <v/>
      </c>
      <c r="E78" s="4">
        <f>IF(A78="","",SUMIFS('Логи'!$H$7:$H$3006,'Логи'!$A$7:$A$3006,2,'Логи'!$B$7:$B$3006,2,'Логи'!$C$7:$C$3006,A78))</f>
        <v/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4" t="inlineStr">
        <is>
          <t>Студент2.6</t>
        </is>
      </c>
      <c r="B79" s="4" t="inlineStr"/>
      <c r="C79" s="4">
        <f>IF(A79="","",COUNTIF(F79:AI79,"+")+COUNTIF(F79:AI79,"1"))</f>
        <v/>
      </c>
      <c r="D79" s="4">
        <f>IF(A79="","",IF(C79&gt;2*COUNTA(F$73:AI$73)/3,'Общий'!$M$11,IF(C79&gt;=COUNTA(F$73:AI$73)/2,'Общий'!$M$12,'Общий'!$M$13)))</f>
        <v/>
      </c>
      <c r="E79" s="4">
        <f>IF(A79="","",SUMIFS('Логи'!$H$7:$H$3006,'Логи'!$A$7:$A$3006,2,'Логи'!$B$7:$B$3006,2,'Логи'!$C$7:$C$3006,A79))</f>
        <v/>
      </c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4" t="inlineStr">
        <is>
          <t>Студент2.7</t>
        </is>
      </c>
      <c r="B80" s="4" t="inlineStr"/>
      <c r="C80" s="4">
        <f>IF(A80="","",COUNTIF(F80:AI80,"+")+COUNTIF(F80:AI80,"1"))</f>
        <v/>
      </c>
      <c r="D80" s="4">
        <f>IF(A80="","",IF(C80&gt;2*COUNTA(F$73:AI$73)/3,'Общий'!$M$11,IF(C80&gt;=COUNTA(F$73:AI$73)/2,'Общий'!$M$12,'Общий'!$M$13)))</f>
        <v/>
      </c>
      <c r="E80" s="4">
        <f>IF(A80="","",SUMIFS('Логи'!$H$7:$H$3006,'Логи'!$A$7:$A$3006,2,'Логи'!$B$7:$B$3006,2,'Логи'!$C$7:$C$3006,A80))</f>
        <v/>
      </c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4" t="inlineStr">
        <is>
          <t>Студент2.8</t>
        </is>
      </c>
      <c r="B81" s="4" t="inlineStr"/>
      <c r="C81" s="4">
        <f>IF(A81="","",COUNTIF(F81:AI81,"+")+COUNTIF(F81:AI81,"1"))</f>
        <v/>
      </c>
      <c r="D81" s="4">
        <f>IF(A81="","",IF(C81&gt;2*COUNTA(F$73:AI$73)/3,'Общий'!$M$11,IF(C81&gt;=COUNTA(F$73:AI$73)/2,'Общий'!$M$12,'Общий'!$M$13)))</f>
        <v/>
      </c>
      <c r="E81" s="4">
        <f>IF(A81="","",SUMIFS('Логи'!$H$7:$H$3006,'Логи'!$A$7:$A$3006,2,'Логи'!$B$7:$B$3006,2,'Логи'!$C$7:$C$3006,A81))</f>
        <v/>
      </c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4" t="inlineStr">
        <is>
          <t>Студент2.9</t>
        </is>
      </c>
      <c r="B82" s="4" t="inlineStr"/>
      <c r="C82" s="4">
        <f>IF(A82="","",COUNTIF(F82:AI82,"+")+COUNTIF(F82:AI82,"1"))</f>
        <v/>
      </c>
      <c r="D82" s="4">
        <f>IF(A82="","",IF(C82&gt;2*COUNTA(F$73:AI$73)/3,'Общий'!$M$11,IF(C82&gt;=COUNTA(F$73:AI$73)/2,'Общий'!$M$12,'Общий'!$M$13)))</f>
        <v/>
      </c>
      <c r="E82" s="4">
        <f>IF(A82="","",SUMIFS('Логи'!$H$7:$H$3006,'Логи'!$A$7:$A$3006,2,'Логи'!$B$7:$B$3006,2,'Логи'!$C$7:$C$3006,A82))</f>
        <v/>
      </c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4" t="inlineStr">
        <is>
          <t>Студент2.10</t>
        </is>
      </c>
      <c r="B83" s="4" t="inlineStr"/>
      <c r="C83" s="4">
        <f>IF(A83="","",COUNTIF(F83:AI83,"+")+COUNTIF(F83:AI83,"1"))</f>
        <v/>
      </c>
      <c r="D83" s="4">
        <f>IF(A83="","",IF(C83&gt;2*COUNTA(F$73:AI$73)/3,'Общий'!$M$11,IF(C83&gt;=COUNTA(F$73:AI$73)/2,'Общий'!$M$12,'Общий'!$M$13)))</f>
        <v/>
      </c>
      <c r="E83" s="4">
        <f>IF(A83="","",SUMIFS('Логи'!$H$7:$H$3006,'Логи'!$A$7:$A$3006,2,'Логи'!$B$7:$B$3006,2,'Логи'!$C$7:$C$3006,A83))</f>
        <v/>
      </c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4" t="inlineStr">
        <is>
          <t>Студент2.11</t>
        </is>
      </c>
      <c r="B84" s="4" t="inlineStr"/>
      <c r="C84" s="4">
        <f>IF(A84="","",COUNTIF(F84:AI84,"+")+COUNTIF(F84:AI84,"1"))</f>
        <v/>
      </c>
      <c r="D84" s="4">
        <f>IF(A84="","",IF(C84&gt;2*COUNTA(F$73:AI$73)/3,'Общий'!$M$11,IF(C84&gt;=COUNTA(F$73:AI$73)/2,'Общий'!$M$12,'Общий'!$M$13)))</f>
        <v/>
      </c>
      <c r="E84" s="4">
        <f>IF(A84="","",SUMIFS('Логи'!$H$7:$H$3006,'Логи'!$A$7:$A$3006,2,'Логи'!$B$7:$B$3006,2,'Логи'!$C$7:$C$3006,A84))</f>
        <v/>
      </c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4" t="inlineStr">
        <is>
          <t>Студент2.12</t>
        </is>
      </c>
      <c r="B85" s="4" t="inlineStr"/>
      <c r="C85" s="4">
        <f>IF(A85="","",COUNTIF(F85:AI85,"+")+COUNTIF(F85:AI85,"1"))</f>
        <v/>
      </c>
      <c r="D85" s="4">
        <f>IF(A85="","",IF(C85&gt;2*COUNTA(F$73:AI$73)/3,'Общий'!$M$11,IF(C85&gt;=COUNTA(F$73:AI$73)/2,'Общий'!$M$12,'Общий'!$M$13)))</f>
        <v/>
      </c>
      <c r="E85" s="4">
        <f>IF(A85="","",SUMIFS('Логи'!$H$7:$H$3006,'Логи'!$A$7:$A$3006,2,'Логи'!$B$7:$B$3006,2,'Логи'!$C$7:$C$3006,A85))</f>
        <v/>
      </c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4" t="inlineStr">
        <is>
          <t>Студент2.13</t>
        </is>
      </c>
      <c r="B86" s="4" t="inlineStr"/>
      <c r="C86" s="4">
        <f>IF(A86="","",COUNTIF(F86:AI86,"+")+COUNTIF(F86:AI86,"1"))</f>
        <v/>
      </c>
      <c r="D86" s="4">
        <f>IF(A86="","",IF(C86&gt;2*COUNTA(F$73:AI$73)/3,'Общий'!$M$11,IF(C86&gt;=COUNTA(F$73:AI$73)/2,'Общий'!$M$12,'Общий'!$M$13)))</f>
        <v/>
      </c>
      <c r="E86" s="4">
        <f>IF(A86="","",SUMIFS('Логи'!$H$7:$H$3006,'Логи'!$A$7:$A$3006,2,'Логи'!$B$7:$B$3006,2,'Логи'!$C$7:$C$3006,A86))</f>
        <v/>
      </c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4" t="inlineStr">
        <is>
          <t>Студент2.14</t>
        </is>
      </c>
      <c r="B87" s="4" t="inlineStr"/>
      <c r="C87" s="4">
        <f>IF(A87="","",COUNTIF(F87:AI87,"+")+COUNTIF(F87:AI87,"1"))</f>
        <v/>
      </c>
      <c r="D87" s="4">
        <f>IF(A87="","",IF(C87&gt;2*COUNTA(F$73:AI$73)/3,'Общий'!$M$11,IF(C87&gt;=COUNTA(F$73:AI$73)/2,'Общий'!$M$12,'Общий'!$M$13)))</f>
        <v/>
      </c>
      <c r="E87" s="4">
        <f>IF(A87="","",SUMIFS('Логи'!$H$7:$H$3006,'Логи'!$A$7:$A$3006,2,'Логи'!$B$7:$B$3006,2,'Логи'!$C$7:$C$3006,A87))</f>
        <v/>
      </c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4" t="inlineStr">
        <is>
          <t>Студент2.15</t>
        </is>
      </c>
      <c r="B88" s="4" t="inlineStr"/>
      <c r="C88" s="4">
        <f>IF(A88="","",COUNTIF(F88:AI88,"+")+COUNTIF(F88:AI88,"1"))</f>
        <v/>
      </c>
      <c r="D88" s="4">
        <f>IF(A88="","",IF(C88&gt;2*COUNTA(F$73:AI$73)/3,'Общий'!$M$11,IF(C88&gt;=COUNTA(F$73:AI$73)/2,'Общий'!$M$12,'Общий'!$M$13)))</f>
        <v/>
      </c>
      <c r="E88" s="4">
        <f>IF(A88="","",SUMIFS('Логи'!$H$7:$H$3006,'Логи'!$A$7:$A$3006,2,'Логи'!$B$7:$B$3006,2,'Логи'!$C$7:$C$3006,A88))</f>
        <v/>
      </c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4" t="inlineStr">
        <is>
          <t>Студент2.16</t>
        </is>
      </c>
      <c r="B89" s="4" t="inlineStr"/>
      <c r="C89" s="4">
        <f>IF(A89="","",COUNTIF(F89:AI89,"+")+COUNTIF(F89:AI89,"1"))</f>
        <v/>
      </c>
      <c r="D89" s="4">
        <f>IF(A89="","",IF(C89&gt;2*COUNTA(F$73:AI$73)/3,'Общий'!$M$11,IF(C89&gt;=COUNTA(F$73:AI$73)/2,'Общий'!$M$12,'Общий'!$M$13)))</f>
        <v/>
      </c>
      <c r="E89" s="4">
        <f>IF(A89="","",SUMIFS('Логи'!$H$7:$H$3006,'Логи'!$A$7:$A$3006,2,'Логи'!$B$7:$B$3006,2,'Логи'!$C$7:$C$3006,A89))</f>
        <v/>
      </c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4" t="inlineStr">
        <is>
          <t>Студент2.17</t>
        </is>
      </c>
      <c r="B90" s="4" t="inlineStr"/>
      <c r="C90" s="4">
        <f>IF(A90="","",COUNTIF(F90:AI90,"+")+COUNTIF(F90:AI90,"1"))</f>
        <v/>
      </c>
      <c r="D90" s="4">
        <f>IF(A90="","",IF(C90&gt;2*COUNTA(F$73:AI$73)/3,'Общий'!$M$11,IF(C90&gt;=COUNTA(F$73:AI$73)/2,'Общий'!$M$12,'Общий'!$M$13)))</f>
        <v/>
      </c>
      <c r="E90" s="4">
        <f>IF(A90="","",SUMIFS('Логи'!$H$7:$H$3006,'Логи'!$A$7:$A$3006,2,'Логи'!$B$7:$B$3006,2,'Логи'!$C$7:$C$3006,A90))</f>
        <v/>
      </c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4" t="inlineStr">
        <is>
          <t>Студент2.18</t>
        </is>
      </c>
      <c r="B91" s="4" t="inlineStr"/>
      <c r="C91" s="4">
        <f>IF(A91="","",COUNTIF(F91:AI91,"+")+COUNTIF(F91:AI91,"1"))</f>
        <v/>
      </c>
      <c r="D91" s="4">
        <f>IF(A91="","",IF(C91&gt;2*COUNTA(F$73:AI$73)/3,'Общий'!$M$11,IF(C91&gt;=COUNTA(F$73:AI$73)/2,'Общий'!$M$12,'Общий'!$M$13)))</f>
        <v/>
      </c>
      <c r="E91" s="4">
        <f>IF(A91="","",SUMIFS('Логи'!$H$7:$H$3006,'Логи'!$A$7:$A$3006,2,'Логи'!$B$7:$B$3006,2,'Логи'!$C$7:$C$3006,A91))</f>
        <v/>
      </c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4" t="inlineStr">
        <is>
          <t>Студент2.19</t>
        </is>
      </c>
      <c r="B92" s="4" t="inlineStr"/>
      <c r="C92" s="4">
        <f>IF(A92="","",COUNTIF(F92:AI92,"+")+COUNTIF(F92:AI92,"1"))</f>
        <v/>
      </c>
      <c r="D92" s="4">
        <f>IF(A92="","",IF(C92&gt;2*COUNTA(F$73:AI$73)/3,'Общий'!$M$11,IF(C92&gt;=COUNTA(F$73:AI$73)/2,'Общий'!$M$12,'Общий'!$M$13)))</f>
        <v/>
      </c>
      <c r="E92" s="4">
        <f>IF(A92="","",SUMIFS('Логи'!$H$7:$H$3006,'Логи'!$A$7:$A$3006,2,'Логи'!$B$7:$B$3006,2,'Логи'!$C$7:$C$3006,A92))</f>
        <v/>
      </c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4" t="inlineStr">
        <is>
          <t>Студент2.20</t>
        </is>
      </c>
      <c r="B93" s="4" t="inlineStr"/>
      <c r="C93" s="4">
        <f>IF(A93="","",COUNTIF(F93:AI93,"+")+COUNTIF(F93:AI93,"1"))</f>
        <v/>
      </c>
      <c r="D93" s="4">
        <f>IF(A93="","",IF(C93&gt;2*COUNTA(F$73:AI$73)/3,'Общий'!$M$11,IF(C93&gt;=COUNTA(F$73:AI$73)/2,'Общий'!$M$12,'Общий'!$M$13)))</f>
        <v/>
      </c>
      <c r="E93" s="4">
        <f>IF(A93="","",SUMIFS('Логи'!$H$7:$H$3006,'Логи'!$A$7:$A$3006,2,'Логи'!$B$7:$B$3006,2,'Логи'!$C$7:$C$3006,A93))</f>
        <v/>
      </c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4" t="inlineStr">
        <is>
          <t>Студент2.21</t>
        </is>
      </c>
      <c r="B94" s="4" t="inlineStr"/>
      <c r="C94" s="4">
        <f>IF(A94="","",COUNTIF(F94:AI94,"+")+COUNTIF(F94:AI94,"1"))</f>
        <v/>
      </c>
      <c r="D94" s="4">
        <f>IF(A94="","",IF(C94&gt;2*COUNTA(F$73:AI$73)/3,'Общий'!$M$11,IF(C94&gt;=COUNTA(F$73:AI$73)/2,'Общий'!$M$12,'Общий'!$M$13)))</f>
        <v/>
      </c>
      <c r="E94" s="4">
        <f>IF(A94="","",SUMIFS('Логи'!$H$7:$H$3006,'Логи'!$A$7:$A$3006,2,'Логи'!$B$7:$B$3006,2,'Логи'!$C$7:$C$3006,A94))</f>
        <v/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4" t="inlineStr">
        <is>
          <t>Студент2.22</t>
        </is>
      </c>
      <c r="B95" s="4" t="inlineStr"/>
      <c r="C95" s="4">
        <f>IF(A95="","",COUNTIF(F95:AI95,"+")+COUNTIF(F95:AI95,"1"))</f>
        <v/>
      </c>
      <c r="D95" s="4">
        <f>IF(A95="","",IF(C95&gt;2*COUNTA(F$73:AI$73)/3,'Общий'!$M$11,IF(C95&gt;=COUNTA(F$73:AI$73)/2,'Общий'!$M$12,'Общий'!$M$13)))</f>
        <v/>
      </c>
      <c r="E95" s="4">
        <f>IF(A95="","",SUMIFS('Логи'!$H$7:$H$3006,'Логи'!$A$7:$A$3006,2,'Логи'!$B$7:$B$3006,2,'Логи'!$C$7:$C$3006,A95))</f>
        <v/>
      </c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4" t="inlineStr">
        <is>
          <t>Студент2.23</t>
        </is>
      </c>
      <c r="B96" s="4" t="inlineStr"/>
      <c r="C96" s="4">
        <f>IF(A96="","",COUNTIF(F96:AI96,"+")+COUNTIF(F96:AI96,"1"))</f>
        <v/>
      </c>
      <c r="D96" s="4">
        <f>IF(A96="","",IF(C96&gt;2*COUNTA(F$73:AI$73)/3,'Общий'!$M$11,IF(C96&gt;=COUNTA(F$73:AI$73)/2,'Общий'!$M$12,'Общий'!$M$13)))</f>
        <v/>
      </c>
      <c r="E96" s="4">
        <f>IF(A96="","",SUMIFS('Логи'!$H$7:$H$3006,'Логи'!$A$7:$A$3006,2,'Логи'!$B$7:$B$3006,2,'Логи'!$C$7:$C$3006,A96))</f>
        <v/>
      </c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4" t="inlineStr">
        <is>
          <t>Студент2.24</t>
        </is>
      </c>
      <c r="B97" s="4" t="inlineStr"/>
      <c r="C97" s="4">
        <f>IF(A97="","",COUNTIF(F97:AI97,"+")+COUNTIF(F97:AI97,"1"))</f>
        <v/>
      </c>
      <c r="D97" s="4">
        <f>IF(A97="","",IF(C97&gt;2*COUNTA(F$73:AI$73)/3,'Общий'!$M$11,IF(C97&gt;=COUNTA(F$73:AI$73)/2,'Общий'!$M$12,'Общий'!$M$13)))</f>
        <v/>
      </c>
      <c r="E97" s="4">
        <f>IF(A97="","",SUMIFS('Логи'!$H$7:$H$3006,'Логи'!$A$7:$A$3006,2,'Логи'!$B$7:$B$3006,2,'Логи'!$C$7:$C$3006,A97))</f>
        <v/>
      </c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4" t="inlineStr">
        <is>
          <t>Студент2.25</t>
        </is>
      </c>
      <c r="B98" s="4" t="inlineStr"/>
      <c r="C98" s="4">
        <f>IF(A98="","",COUNTIF(F98:AI98,"+")+COUNTIF(F98:AI98,"1"))</f>
        <v/>
      </c>
      <c r="D98" s="4">
        <f>IF(A98="","",IF(C98&gt;2*COUNTA(F$73:AI$73)/3,'Общий'!$M$11,IF(C98&gt;=COUNTA(F$73:AI$73)/2,'Общий'!$M$12,'Общий'!$M$13)))</f>
        <v/>
      </c>
      <c r="E98" s="4">
        <f>IF(A98="","",SUMIFS('Логи'!$H$7:$H$3006,'Логи'!$A$7:$A$3006,2,'Логи'!$B$7:$B$3006,2,'Логи'!$C$7:$C$3006,A98))</f>
        <v/>
      </c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4" t="inlineStr">
        <is>
          <t>Студент2.26</t>
        </is>
      </c>
      <c r="B99" s="4" t="inlineStr"/>
      <c r="C99" s="4">
        <f>IF(A99="","",COUNTIF(F99:AI99,"+")+COUNTIF(F99:AI99,"1"))</f>
        <v/>
      </c>
      <c r="D99" s="4">
        <f>IF(A99="","",IF(C99&gt;2*COUNTA(F$73:AI$73)/3,'Общий'!$M$11,IF(C99&gt;=COUNTA(F$73:AI$73)/2,'Общий'!$M$12,'Общий'!$M$13)))</f>
        <v/>
      </c>
      <c r="E99" s="4">
        <f>IF(A99="","",SUMIFS('Логи'!$H$7:$H$3006,'Логи'!$A$7:$A$3006,2,'Логи'!$B$7:$B$3006,2,'Логи'!$C$7:$C$3006,A99))</f>
        <v/>
      </c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4" t="inlineStr">
        <is>
          <t>Студент2.27</t>
        </is>
      </c>
      <c r="B100" s="4" t="inlineStr"/>
      <c r="C100" s="4">
        <f>IF(A100="","",COUNTIF(F100:AI100,"+")+COUNTIF(F100:AI100,"1"))</f>
        <v/>
      </c>
      <c r="D100" s="4">
        <f>IF(A100="","",IF(C100&gt;2*COUNTA(F$73:AI$73)/3,'Общий'!$M$11,IF(C100&gt;=COUNTA(F$73:AI$73)/2,'Общий'!$M$12,'Общий'!$M$13)))</f>
        <v/>
      </c>
      <c r="E100" s="4">
        <f>IF(A100="","",SUMIFS('Логи'!$H$7:$H$3006,'Логи'!$A$7:$A$3006,2,'Логи'!$B$7:$B$3006,2,'Логи'!$C$7:$C$3006,A100))</f>
        <v/>
      </c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4" t="inlineStr">
        <is>
          <t>Студент2.28</t>
        </is>
      </c>
      <c r="B101" s="4" t="inlineStr"/>
      <c r="C101" s="4">
        <f>IF(A101="","",COUNTIF(F101:AI101,"+")+COUNTIF(F101:AI101,"1"))</f>
        <v/>
      </c>
      <c r="D101" s="4">
        <f>IF(A101="","",IF(C101&gt;2*COUNTA(F$73:AI$73)/3,'Общий'!$M$11,IF(C101&gt;=COUNTA(F$73:AI$73)/2,'Общий'!$M$12,'Общий'!$M$13)))</f>
        <v/>
      </c>
      <c r="E101" s="4">
        <f>IF(A101="","",SUMIFS('Логи'!$H$7:$H$3006,'Логи'!$A$7:$A$3006,2,'Логи'!$B$7:$B$3006,2,'Логи'!$C$7:$C$3006,A101))</f>
        <v/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4" t="inlineStr">
        <is>
          <t>Студент2.29</t>
        </is>
      </c>
      <c r="B102" s="4" t="inlineStr"/>
      <c r="C102" s="4">
        <f>IF(A102="","",COUNTIF(F102:AI102,"+")+COUNTIF(F102:AI102,"1"))</f>
        <v/>
      </c>
      <c r="D102" s="4">
        <f>IF(A102="","",IF(C102&gt;2*COUNTA(F$73:AI$73)/3,'Общий'!$M$11,IF(C102&gt;=COUNTA(F$73:AI$73)/2,'Общий'!$M$12,'Общий'!$M$13)))</f>
        <v/>
      </c>
      <c r="E102" s="4">
        <f>IF(A102="","",SUMIFS('Логи'!$H$7:$H$3006,'Логи'!$A$7:$A$3006,2,'Логи'!$B$7:$B$3006,2,'Логи'!$C$7:$C$3006,A102))</f>
        <v/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4" t="inlineStr">
        <is>
          <t>Студент2.30</t>
        </is>
      </c>
      <c r="B103" s="4" t="inlineStr"/>
      <c r="C103" s="4">
        <f>IF(A103="","",COUNTIF(F103:AI103,"+")+COUNTIF(F103:AI103,"1"))</f>
        <v/>
      </c>
      <c r="D103" s="4">
        <f>IF(A103="","",IF(C103&gt;2*COUNTA(F$73:AI$73)/3,'Общий'!$M$11,IF(C103&gt;=COUNTA(F$73:AI$73)/2,'Общий'!$M$12,'Общий'!$M$13)))</f>
        <v/>
      </c>
      <c r="E103" s="4">
        <f>IF(A103="","",SUMIFS('Логи'!$H$7:$H$3006,'Логи'!$A$7:$A$3006,2,'Логи'!$B$7:$B$3006,2,'Логи'!$C$7:$C$3006,A103))</f>
        <v/>
      </c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5">
      <c r="A105" s="19" t="inlineStr">
        <is>
          <t>Практика 2 — результаты рассказа</t>
        </is>
      </c>
    </row>
    <row r="106" ht="28" customHeight="1">
      <c r="A106" s="9" t="inlineStr">
        <is>
          <t>Имя</t>
        </is>
      </c>
      <c r="B106" s="11" t="inlineStr">
        <is>
          <t>TG</t>
        </is>
      </c>
      <c r="C106" s="12" t="inlineStr"/>
      <c r="D106" s="3" t="inlineStr"/>
      <c r="E106" s="3" t="inlineStr"/>
      <c r="F106" s="13" t="inlineStr">
        <is>
          <t>1.0</t>
        </is>
      </c>
      <c r="G106" s="13" t="inlineStr">
        <is>
          <t>2.0</t>
        </is>
      </c>
      <c r="H106" s="13" t="inlineStr">
        <is>
          <t>3.0</t>
        </is>
      </c>
      <c r="I106" s="13" t="inlineStr">
        <is>
          <t>4.0</t>
        </is>
      </c>
      <c r="J106" s="13" t="inlineStr">
        <is>
          <t>5.0</t>
        </is>
      </c>
      <c r="K106" s="13" t="inlineStr">
        <is>
          <t>6</t>
        </is>
      </c>
      <c r="L106" s="13" t="inlineStr">
        <is>
          <t>7</t>
        </is>
      </c>
      <c r="M106" s="13" t="inlineStr">
        <is>
          <t>8</t>
        </is>
      </c>
      <c r="N106" s="13" t="inlineStr">
        <is>
          <t>9</t>
        </is>
      </c>
      <c r="O106" s="13" t="inlineStr">
        <is>
          <t>10</t>
        </is>
      </c>
      <c r="P106" s="13" t="inlineStr">
        <is>
          <t>11</t>
        </is>
      </c>
      <c r="Q106" s="13" t="inlineStr">
        <is>
          <t>12</t>
        </is>
      </c>
      <c r="R106" s="13" t="inlineStr">
        <is>
          <t>13</t>
        </is>
      </c>
      <c r="S106" s="13" t="inlineStr">
        <is>
          <t>14</t>
        </is>
      </c>
      <c r="T106" s="13" t="inlineStr">
        <is>
          <t>15</t>
        </is>
      </c>
      <c r="U106" s="13" t="inlineStr">
        <is>
          <t>16</t>
        </is>
      </c>
      <c r="V106" s="13" t="inlineStr">
        <is>
          <t>17</t>
        </is>
      </c>
      <c r="W106" s="13" t="inlineStr">
        <is>
          <t>18</t>
        </is>
      </c>
      <c r="X106" s="13" t="inlineStr">
        <is>
          <t>19</t>
        </is>
      </c>
      <c r="Y106" s="13" t="inlineStr">
        <is>
          <t>20</t>
        </is>
      </c>
      <c r="Z106" s="13" t="inlineStr">
        <is>
          <t>21</t>
        </is>
      </c>
      <c r="AA106" s="13" t="inlineStr">
        <is>
          <t>22</t>
        </is>
      </c>
      <c r="AB106" s="13" t="inlineStr">
        <is>
          <t>23</t>
        </is>
      </c>
      <c r="AC106" s="13" t="inlineStr">
        <is>
          <t>24</t>
        </is>
      </c>
      <c r="AD106" s="13" t="inlineStr">
        <is>
          <t>25</t>
        </is>
      </c>
      <c r="AE106" s="13" t="inlineStr">
        <is>
          <t>26</t>
        </is>
      </c>
      <c r="AF106" s="13" t="inlineStr">
        <is>
          <t>27</t>
        </is>
      </c>
      <c r="AG106" s="13" t="inlineStr">
        <is>
          <t>28</t>
        </is>
      </c>
      <c r="AH106" s="13" t="inlineStr">
        <is>
          <t>29</t>
        </is>
      </c>
      <c r="AI106" s="13" t="inlineStr">
        <is>
          <t>30</t>
        </is>
      </c>
    </row>
    <row r="107">
      <c r="A107" s="4" t="inlineStr">
        <is>
          <t>Студент2.1</t>
        </is>
      </c>
      <c r="B107" s="4" t="inlineStr"/>
      <c r="C107" s="4" t="n"/>
      <c r="D107" s="4" t="n"/>
      <c r="E107" s="4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4" t="inlineStr">
        <is>
          <t>Студент2.2</t>
        </is>
      </c>
      <c r="B108" s="4" t="inlineStr"/>
      <c r="C108" s="4" t="n"/>
      <c r="D108" s="4" t="n"/>
      <c r="E108" s="4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4" t="inlineStr">
        <is>
          <t>Студент2.3</t>
        </is>
      </c>
      <c r="B109" s="4" t="inlineStr"/>
      <c r="C109" s="4" t="n"/>
      <c r="D109" s="4" t="n"/>
      <c r="E109" s="4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4" t="inlineStr">
        <is>
          <t>Студент2.4</t>
        </is>
      </c>
      <c r="B110" s="4" t="inlineStr"/>
      <c r="C110" s="4" t="n"/>
      <c r="D110" s="4" t="n"/>
      <c r="E110" s="4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4" t="inlineStr">
        <is>
          <t>Студент2.5</t>
        </is>
      </c>
      <c r="B111" s="4" t="inlineStr"/>
      <c r="C111" s="4" t="n"/>
      <c r="D111" s="4" t="n"/>
      <c r="E111" s="4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4" t="inlineStr">
        <is>
          <t>Студент2.6</t>
        </is>
      </c>
      <c r="B112" s="4" t="inlineStr"/>
      <c r="C112" s="4" t="n"/>
      <c r="D112" s="4" t="n"/>
      <c r="E112" s="4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4" t="inlineStr">
        <is>
          <t>Студент2.7</t>
        </is>
      </c>
      <c r="B113" s="4" t="inlineStr"/>
      <c r="C113" s="4" t="n"/>
      <c r="D113" s="4" t="n"/>
      <c r="E113" s="4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4" t="inlineStr">
        <is>
          <t>Студент2.8</t>
        </is>
      </c>
      <c r="B114" s="4" t="inlineStr"/>
      <c r="C114" s="4" t="n"/>
      <c r="D114" s="4" t="n"/>
      <c r="E114" s="4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4" t="inlineStr">
        <is>
          <t>Студент2.9</t>
        </is>
      </c>
      <c r="B115" s="4" t="inlineStr"/>
      <c r="C115" s="4" t="n"/>
      <c r="D115" s="4" t="n"/>
      <c r="E115" s="4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4" t="inlineStr">
        <is>
          <t>Студент2.10</t>
        </is>
      </c>
      <c r="B116" s="4" t="inlineStr"/>
      <c r="C116" s="4" t="n"/>
      <c r="D116" s="4" t="n"/>
      <c r="E116" s="4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4" t="inlineStr">
        <is>
          <t>Студент2.11</t>
        </is>
      </c>
      <c r="B117" s="4" t="inlineStr"/>
      <c r="C117" s="4" t="n"/>
      <c r="D117" s="4" t="n"/>
      <c r="E117" s="4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4" t="inlineStr">
        <is>
          <t>Студент2.12</t>
        </is>
      </c>
      <c r="B118" s="4" t="inlineStr"/>
      <c r="C118" s="4" t="n"/>
      <c r="D118" s="4" t="n"/>
      <c r="E118" s="4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4" t="inlineStr">
        <is>
          <t>Студент2.13</t>
        </is>
      </c>
      <c r="B119" s="4" t="inlineStr"/>
      <c r="C119" s="4" t="n"/>
      <c r="D119" s="4" t="n"/>
      <c r="E119" s="4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4" t="inlineStr">
        <is>
          <t>Студент2.14</t>
        </is>
      </c>
      <c r="B120" s="4" t="inlineStr"/>
      <c r="C120" s="4" t="n"/>
      <c r="D120" s="4" t="n"/>
      <c r="E120" s="4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4" t="inlineStr">
        <is>
          <t>Студент2.15</t>
        </is>
      </c>
      <c r="B121" s="4" t="inlineStr"/>
      <c r="C121" s="4" t="n"/>
      <c r="D121" s="4" t="n"/>
      <c r="E121" s="4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4" t="inlineStr">
        <is>
          <t>Студент2.16</t>
        </is>
      </c>
      <c r="B122" s="4" t="inlineStr"/>
      <c r="C122" s="4" t="n"/>
      <c r="D122" s="4" t="n"/>
      <c r="E122" s="4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4" t="inlineStr">
        <is>
          <t>Студент2.17</t>
        </is>
      </c>
      <c r="B123" s="4" t="inlineStr"/>
      <c r="C123" s="4" t="n"/>
      <c r="D123" s="4" t="n"/>
      <c r="E123" s="4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4" t="inlineStr">
        <is>
          <t>Студент2.18</t>
        </is>
      </c>
      <c r="B124" s="4" t="inlineStr"/>
      <c r="C124" s="4" t="n"/>
      <c r="D124" s="4" t="n"/>
      <c r="E124" s="4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4" t="inlineStr">
        <is>
          <t>Студент2.19</t>
        </is>
      </c>
      <c r="B125" s="4" t="inlineStr"/>
      <c r="C125" s="4" t="n"/>
      <c r="D125" s="4" t="n"/>
      <c r="E125" s="4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4" t="inlineStr">
        <is>
          <t>Студент2.20</t>
        </is>
      </c>
      <c r="B126" s="4" t="inlineStr"/>
      <c r="C126" s="4" t="n"/>
      <c r="D126" s="4" t="n"/>
      <c r="E126" s="4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4" t="inlineStr">
        <is>
          <t>Студент2.21</t>
        </is>
      </c>
      <c r="B127" s="4" t="inlineStr"/>
      <c r="C127" s="4" t="n"/>
      <c r="D127" s="4" t="n"/>
      <c r="E127" s="4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4" t="inlineStr">
        <is>
          <t>Студент2.22</t>
        </is>
      </c>
      <c r="B128" s="4" t="inlineStr"/>
      <c r="C128" s="4" t="n"/>
      <c r="D128" s="4" t="n"/>
      <c r="E128" s="4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4" t="inlineStr">
        <is>
          <t>Студент2.23</t>
        </is>
      </c>
      <c r="B129" s="4" t="inlineStr"/>
      <c r="C129" s="4" t="n"/>
      <c r="D129" s="4" t="n"/>
      <c r="E129" s="4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4" t="inlineStr">
        <is>
          <t>Студент2.24</t>
        </is>
      </c>
      <c r="B130" s="4" t="inlineStr"/>
      <c r="C130" s="4" t="n"/>
      <c r="D130" s="4" t="n"/>
      <c r="E130" s="4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4" t="inlineStr">
        <is>
          <t>Студент2.25</t>
        </is>
      </c>
      <c r="B131" s="4" t="inlineStr"/>
      <c r="C131" s="4" t="n"/>
      <c r="D131" s="4" t="n"/>
      <c r="E131" s="4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4" t="inlineStr">
        <is>
          <t>Студент2.26</t>
        </is>
      </c>
      <c r="B132" s="4" t="inlineStr"/>
      <c r="C132" s="4" t="n"/>
      <c r="D132" s="4" t="n"/>
      <c r="E132" s="4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4" t="inlineStr">
        <is>
          <t>Студент2.27</t>
        </is>
      </c>
      <c r="B133" s="4" t="inlineStr"/>
      <c r="C133" s="4" t="n"/>
      <c r="D133" s="4" t="n"/>
      <c r="E133" s="4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4" t="inlineStr">
        <is>
          <t>Студент2.28</t>
        </is>
      </c>
      <c r="B134" s="4" t="inlineStr"/>
      <c r="C134" s="4" t="n"/>
      <c r="D134" s="4" t="n"/>
      <c r="E134" s="4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4" t="inlineStr">
        <is>
          <t>Студент2.29</t>
        </is>
      </c>
      <c r="B135" s="4" t="inlineStr"/>
      <c r="C135" s="4" t="n"/>
      <c r="D135" s="4" t="n"/>
      <c r="E135" s="4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4" t="inlineStr">
        <is>
          <t>Студент2.30</t>
        </is>
      </c>
      <c r="B136" s="4" t="inlineStr"/>
      <c r="C136" s="4" t="n"/>
      <c r="D136" s="4" t="n"/>
      <c r="E136" s="4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40">
      <c r="A140" s="17" t="inlineStr">
        <is>
          <t>Практика 3 — плюсы</t>
        </is>
      </c>
    </row>
    <row r="141" ht="28" customHeight="1">
      <c r="A141" s="9" t="inlineStr">
        <is>
          <t>Имя</t>
        </is>
      </c>
      <c r="B141" s="11" t="inlineStr">
        <is>
          <t>TG</t>
        </is>
      </c>
      <c r="C141" s="12" t="inlineStr">
        <is>
          <t>S</t>
        </is>
      </c>
      <c r="D141" s="10" t="inlineStr">
        <is>
          <t>Коэффициент</t>
        </is>
      </c>
      <c r="E141" s="18" t="inlineStr">
        <is>
          <t>D за практику</t>
        </is>
      </c>
      <c r="F141" s="13" t="inlineStr">
        <is>
          <t>1.0</t>
        </is>
      </c>
      <c r="G141" s="13" t="inlineStr">
        <is>
          <t>2.0</t>
        </is>
      </c>
      <c r="H141" s="13" t="inlineStr">
        <is>
          <t>3.0</t>
        </is>
      </c>
      <c r="I141" s="13" t="inlineStr">
        <is>
          <t>4.0</t>
        </is>
      </c>
      <c r="J141" s="13" t="inlineStr">
        <is>
          <t>5.0</t>
        </is>
      </c>
      <c r="K141" s="13" t="inlineStr">
        <is>
          <t>6</t>
        </is>
      </c>
      <c r="L141" s="13" t="inlineStr">
        <is>
          <t>7</t>
        </is>
      </c>
      <c r="M141" s="13" t="inlineStr">
        <is>
          <t>8</t>
        </is>
      </c>
      <c r="N141" s="13" t="inlineStr">
        <is>
          <t>9</t>
        </is>
      </c>
      <c r="O141" s="13" t="inlineStr">
        <is>
          <t>10</t>
        </is>
      </c>
      <c r="P141" s="13" t="inlineStr">
        <is>
          <t>11</t>
        </is>
      </c>
      <c r="Q141" s="13" t="inlineStr">
        <is>
          <t>12</t>
        </is>
      </c>
      <c r="R141" s="13" t="inlineStr">
        <is>
          <t>13</t>
        </is>
      </c>
      <c r="S141" s="13" t="inlineStr">
        <is>
          <t>14</t>
        </is>
      </c>
      <c r="T141" s="13" t="inlineStr">
        <is>
          <t>15</t>
        </is>
      </c>
      <c r="U141" s="13" t="inlineStr">
        <is>
          <t>16</t>
        </is>
      </c>
      <c r="V141" s="13" t="inlineStr">
        <is>
          <t>17</t>
        </is>
      </c>
      <c r="W141" s="13" t="inlineStr">
        <is>
          <t>18</t>
        </is>
      </c>
      <c r="X141" s="13" t="inlineStr">
        <is>
          <t>19</t>
        </is>
      </c>
      <c r="Y141" s="13" t="inlineStr">
        <is>
          <t>20</t>
        </is>
      </c>
      <c r="Z141" s="13" t="inlineStr">
        <is>
          <t>21</t>
        </is>
      </c>
      <c r="AA141" s="13" t="inlineStr">
        <is>
          <t>22</t>
        </is>
      </c>
      <c r="AB141" s="13" t="inlineStr">
        <is>
          <t>23</t>
        </is>
      </c>
      <c r="AC141" s="13" t="inlineStr">
        <is>
          <t>24</t>
        </is>
      </c>
      <c r="AD141" s="13" t="inlineStr">
        <is>
          <t>25</t>
        </is>
      </c>
      <c r="AE141" s="13" t="inlineStr">
        <is>
          <t>26</t>
        </is>
      </c>
      <c r="AF141" s="13" t="inlineStr">
        <is>
          <t>27</t>
        </is>
      </c>
      <c r="AG141" s="13" t="inlineStr">
        <is>
          <t>28</t>
        </is>
      </c>
      <c r="AH141" s="13" t="inlineStr">
        <is>
          <t>29</t>
        </is>
      </c>
      <c r="AI141" s="13" t="inlineStr">
        <is>
          <t>30</t>
        </is>
      </c>
    </row>
    <row r="142">
      <c r="A142" s="4" t="inlineStr">
        <is>
          <t>Студент2.1</t>
        </is>
      </c>
      <c r="B142" s="4" t="inlineStr"/>
      <c r="C142" s="4">
        <f>IF(A142="","",COUNTIF(F142:AI142,"+")+COUNTIF(F142:AI142,"1"))</f>
        <v/>
      </c>
      <c r="D142" s="4">
        <f>IF(A142="","",IF(C142&gt;2*COUNTA(F$141:AI$141)/3,'Общий'!$M$11,IF(C142&gt;=COUNTA(F$141:AI$141)/2,'Общий'!$M$12,'Общий'!$M$13)))</f>
        <v/>
      </c>
      <c r="E142" s="4">
        <f>IF(A142="","",SUMIFS('Логи'!$H$7:$H$3006,'Логи'!$A$7:$A$3006,3,'Логи'!$B$7:$B$3006,2,'Логи'!$C$7:$C$3006,A142))</f>
        <v/>
      </c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4" t="inlineStr">
        <is>
          <t>Студент2.2</t>
        </is>
      </c>
      <c r="B143" s="4" t="inlineStr"/>
      <c r="C143" s="4">
        <f>IF(A143="","",COUNTIF(F143:AI143,"+")+COUNTIF(F143:AI143,"1"))</f>
        <v/>
      </c>
      <c r="D143" s="4">
        <f>IF(A143="","",IF(C143&gt;2*COUNTA(F$141:AI$141)/3,'Общий'!$M$11,IF(C143&gt;=COUNTA(F$141:AI$141)/2,'Общий'!$M$12,'Общий'!$M$13)))</f>
        <v/>
      </c>
      <c r="E143" s="4">
        <f>IF(A143="","",SUMIFS('Логи'!$H$7:$H$3006,'Логи'!$A$7:$A$3006,3,'Логи'!$B$7:$B$3006,2,'Логи'!$C$7:$C$3006,A143))</f>
        <v/>
      </c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4" t="inlineStr">
        <is>
          <t>Студент2.3</t>
        </is>
      </c>
      <c r="B144" s="4" t="inlineStr"/>
      <c r="C144" s="4">
        <f>IF(A144="","",COUNTIF(F144:AI144,"+")+COUNTIF(F144:AI144,"1"))</f>
        <v/>
      </c>
      <c r="D144" s="4">
        <f>IF(A144="","",IF(C144&gt;2*COUNTA(F$141:AI$141)/3,'Общий'!$M$11,IF(C144&gt;=COUNTA(F$141:AI$141)/2,'Общий'!$M$12,'Общий'!$M$13)))</f>
        <v/>
      </c>
      <c r="E144" s="4">
        <f>IF(A144="","",SUMIFS('Логи'!$H$7:$H$3006,'Логи'!$A$7:$A$3006,3,'Логи'!$B$7:$B$3006,2,'Логи'!$C$7:$C$3006,A144))</f>
        <v/>
      </c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4" t="inlineStr">
        <is>
          <t>Студент2.4</t>
        </is>
      </c>
      <c r="B145" s="4" t="inlineStr"/>
      <c r="C145" s="4">
        <f>IF(A145="","",COUNTIF(F145:AI145,"+")+COUNTIF(F145:AI145,"1"))</f>
        <v/>
      </c>
      <c r="D145" s="4">
        <f>IF(A145="","",IF(C145&gt;2*COUNTA(F$141:AI$141)/3,'Общий'!$M$11,IF(C145&gt;=COUNTA(F$141:AI$141)/2,'Общий'!$M$12,'Общий'!$M$13)))</f>
        <v/>
      </c>
      <c r="E145" s="4">
        <f>IF(A145="","",SUMIFS('Логи'!$H$7:$H$3006,'Логи'!$A$7:$A$3006,3,'Логи'!$B$7:$B$3006,2,'Логи'!$C$7:$C$3006,A145))</f>
        <v/>
      </c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4" t="inlineStr">
        <is>
          <t>Студент2.5</t>
        </is>
      </c>
      <c r="B146" s="4" t="inlineStr"/>
      <c r="C146" s="4">
        <f>IF(A146="","",COUNTIF(F146:AI146,"+")+COUNTIF(F146:AI146,"1"))</f>
        <v/>
      </c>
      <c r="D146" s="4">
        <f>IF(A146="","",IF(C146&gt;2*COUNTA(F$141:AI$141)/3,'Общий'!$M$11,IF(C146&gt;=COUNTA(F$141:AI$141)/2,'Общий'!$M$12,'Общий'!$M$13)))</f>
        <v/>
      </c>
      <c r="E146" s="4">
        <f>IF(A146="","",SUMIFS('Логи'!$H$7:$H$3006,'Логи'!$A$7:$A$3006,3,'Логи'!$B$7:$B$3006,2,'Логи'!$C$7:$C$3006,A146))</f>
        <v/>
      </c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4" t="inlineStr">
        <is>
          <t>Студент2.6</t>
        </is>
      </c>
      <c r="B147" s="4" t="inlineStr"/>
      <c r="C147" s="4">
        <f>IF(A147="","",COUNTIF(F147:AI147,"+")+COUNTIF(F147:AI147,"1"))</f>
        <v/>
      </c>
      <c r="D147" s="4">
        <f>IF(A147="","",IF(C147&gt;2*COUNTA(F$141:AI$141)/3,'Общий'!$M$11,IF(C147&gt;=COUNTA(F$141:AI$141)/2,'Общий'!$M$12,'Общий'!$M$13)))</f>
        <v/>
      </c>
      <c r="E147" s="4">
        <f>IF(A147="","",SUMIFS('Логи'!$H$7:$H$3006,'Логи'!$A$7:$A$3006,3,'Логи'!$B$7:$B$3006,2,'Логи'!$C$7:$C$3006,A147))</f>
        <v/>
      </c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4" t="inlineStr">
        <is>
          <t>Студент2.7</t>
        </is>
      </c>
      <c r="B148" s="4" t="inlineStr"/>
      <c r="C148" s="4">
        <f>IF(A148="","",COUNTIF(F148:AI148,"+")+COUNTIF(F148:AI148,"1"))</f>
        <v/>
      </c>
      <c r="D148" s="4">
        <f>IF(A148="","",IF(C148&gt;2*COUNTA(F$141:AI$141)/3,'Общий'!$M$11,IF(C148&gt;=COUNTA(F$141:AI$141)/2,'Общий'!$M$12,'Общий'!$M$13)))</f>
        <v/>
      </c>
      <c r="E148" s="4">
        <f>IF(A148="","",SUMIFS('Логи'!$H$7:$H$3006,'Логи'!$A$7:$A$3006,3,'Логи'!$B$7:$B$3006,2,'Логи'!$C$7:$C$3006,A148))</f>
        <v/>
      </c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4" t="inlineStr">
        <is>
          <t>Студент2.8</t>
        </is>
      </c>
      <c r="B149" s="4" t="inlineStr"/>
      <c r="C149" s="4">
        <f>IF(A149="","",COUNTIF(F149:AI149,"+")+COUNTIF(F149:AI149,"1"))</f>
        <v/>
      </c>
      <c r="D149" s="4">
        <f>IF(A149="","",IF(C149&gt;2*COUNTA(F$141:AI$141)/3,'Общий'!$M$11,IF(C149&gt;=COUNTA(F$141:AI$141)/2,'Общий'!$M$12,'Общий'!$M$13)))</f>
        <v/>
      </c>
      <c r="E149" s="4">
        <f>IF(A149="","",SUMIFS('Логи'!$H$7:$H$3006,'Логи'!$A$7:$A$3006,3,'Логи'!$B$7:$B$3006,2,'Логи'!$C$7:$C$3006,A149))</f>
        <v/>
      </c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4" t="inlineStr">
        <is>
          <t>Студент2.9</t>
        </is>
      </c>
      <c r="B150" s="4" t="inlineStr"/>
      <c r="C150" s="4">
        <f>IF(A150="","",COUNTIF(F150:AI150,"+")+COUNTIF(F150:AI150,"1"))</f>
        <v/>
      </c>
      <c r="D150" s="4">
        <f>IF(A150="","",IF(C150&gt;2*COUNTA(F$141:AI$141)/3,'Общий'!$M$11,IF(C150&gt;=COUNTA(F$141:AI$141)/2,'Общий'!$M$12,'Общий'!$M$13)))</f>
        <v/>
      </c>
      <c r="E150" s="4">
        <f>IF(A150="","",SUMIFS('Логи'!$H$7:$H$3006,'Логи'!$A$7:$A$3006,3,'Логи'!$B$7:$B$3006,2,'Логи'!$C$7:$C$3006,A150))</f>
        <v/>
      </c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4" t="inlineStr">
        <is>
          <t>Студент2.10</t>
        </is>
      </c>
      <c r="B151" s="4" t="inlineStr"/>
      <c r="C151" s="4">
        <f>IF(A151="","",COUNTIF(F151:AI151,"+")+COUNTIF(F151:AI151,"1"))</f>
        <v/>
      </c>
      <c r="D151" s="4">
        <f>IF(A151="","",IF(C151&gt;2*COUNTA(F$141:AI$141)/3,'Общий'!$M$11,IF(C151&gt;=COUNTA(F$141:AI$141)/2,'Общий'!$M$12,'Общий'!$M$13)))</f>
        <v/>
      </c>
      <c r="E151" s="4">
        <f>IF(A151="","",SUMIFS('Логи'!$H$7:$H$3006,'Логи'!$A$7:$A$3006,3,'Логи'!$B$7:$B$3006,2,'Логи'!$C$7:$C$3006,A151))</f>
        <v/>
      </c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4" t="inlineStr">
        <is>
          <t>Студент2.11</t>
        </is>
      </c>
      <c r="B152" s="4" t="inlineStr"/>
      <c r="C152" s="4">
        <f>IF(A152="","",COUNTIF(F152:AI152,"+")+COUNTIF(F152:AI152,"1"))</f>
        <v/>
      </c>
      <c r="D152" s="4">
        <f>IF(A152="","",IF(C152&gt;2*COUNTA(F$141:AI$141)/3,'Общий'!$M$11,IF(C152&gt;=COUNTA(F$141:AI$141)/2,'Общий'!$M$12,'Общий'!$M$13)))</f>
        <v/>
      </c>
      <c r="E152" s="4">
        <f>IF(A152="","",SUMIFS('Логи'!$H$7:$H$3006,'Логи'!$A$7:$A$3006,3,'Логи'!$B$7:$B$3006,2,'Логи'!$C$7:$C$3006,A152))</f>
        <v/>
      </c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4" t="inlineStr">
        <is>
          <t>Студент2.12</t>
        </is>
      </c>
      <c r="B153" s="4" t="inlineStr"/>
      <c r="C153" s="4">
        <f>IF(A153="","",COUNTIF(F153:AI153,"+")+COUNTIF(F153:AI153,"1"))</f>
        <v/>
      </c>
      <c r="D153" s="4">
        <f>IF(A153="","",IF(C153&gt;2*COUNTA(F$141:AI$141)/3,'Общий'!$M$11,IF(C153&gt;=COUNTA(F$141:AI$141)/2,'Общий'!$M$12,'Общий'!$M$13)))</f>
        <v/>
      </c>
      <c r="E153" s="4">
        <f>IF(A153="","",SUMIFS('Логи'!$H$7:$H$3006,'Логи'!$A$7:$A$3006,3,'Логи'!$B$7:$B$3006,2,'Логи'!$C$7:$C$3006,A153))</f>
        <v/>
      </c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4" t="inlineStr">
        <is>
          <t>Студент2.13</t>
        </is>
      </c>
      <c r="B154" s="4" t="inlineStr"/>
      <c r="C154" s="4">
        <f>IF(A154="","",COUNTIF(F154:AI154,"+")+COUNTIF(F154:AI154,"1"))</f>
        <v/>
      </c>
      <c r="D154" s="4">
        <f>IF(A154="","",IF(C154&gt;2*COUNTA(F$141:AI$141)/3,'Общий'!$M$11,IF(C154&gt;=COUNTA(F$141:AI$141)/2,'Общий'!$M$12,'Общий'!$M$13)))</f>
        <v/>
      </c>
      <c r="E154" s="4">
        <f>IF(A154="","",SUMIFS('Логи'!$H$7:$H$3006,'Логи'!$A$7:$A$3006,3,'Логи'!$B$7:$B$3006,2,'Логи'!$C$7:$C$3006,A154))</f>
        <v/>
      </c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4" t="inlineStr">
        <is>
          <t>Студент2.14</t>
        </is>
      </c>
      <c r="B155" s="4" t="inlineStr"/>
      <c r="C155" s="4">
        <f>IF(A155="","",COUNTIF(F155:AI155,"+")+COUNTIF(F155:AI155,"1"))</f>
        <v/>
      </c>
      <c r="D155" s="4">
        <f>IF(A155="","",IF(C155&gt;2*COUNTA(F$141:AI$141)/3,'Общий'!$M$11,IF(C155&gt;=COUNTA(F$141:AI$141)/2,'Общий'!$M$12,'Общий'!$M$13)))</f>
        <v/>
      </c>
      <c r="E155" s="4">
        <f>IF(A155="","",SUMIFS('Логи'!$H$7:$H$3006,'Логи'!$A$7:$A$3006,3,'Логи'!$B$7:$B$3006,2,'Логи'!$C$7:$C$3006,A155))</f>
        <v/>
      </c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4" t="inlineStr">
        <is>
          <t>Студент2.15</t>
        </is>
      </c>
      <c r="B156" s="4" t="inlineStr"/>
      <c r="C156" s="4">
        <f>IF(A156="","",COUNTIF(F156:AI156,"+")+COUNTIF(F156:AI156,"1"))</f>
        <v/>
      </c>
      <c r="D156" s="4">
        <f>IF(A156="","",IF(C156&gt;2*COUNTA(F$141:AI$141)/3,'Общий'!$M$11,IF(C156&gt;=COUNTA(F$141:AI$141)/2,'Общий'!$M$12,'Общий'!$M$13)))</f>
        <v/>
      </c>
      <c r="E156" s="4">
        <f>IF(A156="","",SUMIFS('Логи'!$H$7:$H$3006,'Логи'!$A$7:$A$3006,3,'Логи'!$B$7:$B$3006,2,'Логи'!$C$7:$C$3006,A156))</f>
        <v/>
      </c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4" t="inlineStr">
        <is>
          <t>Студент2.16</t>
        </is>
      </c>
      <c r="B157" s="4" t="inlineStr"/>
      <c r="C157" s="4">
        <f>IF(A157="","",COUNTIF(F157:AI157,"+")+COUNTIF(F157:AI157,"1"))</f>
        <v/>
      </c>
      <c r="D157" s="4">
        <f>IF(A157="","",IF(C157&gt;2*COUNTA(F$141:AI$141)/3,'Общий'!$M$11,IF(C157&gt;=COUNTA(F$141:AI$141)/2,'Общий'!$M$12,'Общий'!$M$13)))</f>
        <v/>
      </c>
      <c r="E157" s="4">
        <f>IF(A157="","",SUMIFS('Логи'!$H$7:$H$3006,'Логи'!$A$7:$A$3006,3,'Логи'!$B$7:$B$3006,2,'Логи'!$C$7:$C$3006,A157))</f>
        <v/>
      </c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4" t="inlineStr">
        <is>
          <t>Студент2.17</t>
        </is>
      </c>
      <c r="B158" s="4" t="inlineStr"/>
      <c r="C158" s="4">
        <f>IF(A158="","",COUNTIF(F158:AI158,"+")+COUNTIF(F158:AI158,"1"))</f>
        <v/>
      </c>
      <c r="D158" s="4">
        <f>IF(A158="","",IF(C158&gt;2*COUNTA(F$141:AI$141)/3,'Общий'!$M$11,IF(C158&gt;=COUNTA(F$141:AI$141)/2,'Общий'!$M$12,'Общий'!$M$13)))</f>
        <v/>
      </c>
      <c r="E158" s="4">
        <f>IF(A158="","",SUMIFS('Логи'!$H$7:$H$3006,'Логи'!$A$7:$A$3006,3,'Логи'!$B$7:$B$3006,2,'Логи'!$C$7:$C$3006,A158))</f>
        <v/>
      </c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4" t="inlineStr">
        <is>
          <t>Студент2.18</t>
        </is>
      </c>
      <c r="B159" s="4" t="inlineStr"/>
      <c r="C159" s="4">
        <f>IF(A159="","",COUNTIF(F159:AI159,"+")+COUNTIF(F159:AI159,"1"))</f>
        <v/>
      </c>
      <c r="D159" s="4">
        <f>IF(A159="","",IF(C159&gt;2*COUNTA(F$141:AI$141)/3,'Общий'!$M$11,IF(C159&gt;=COUNTA(F$141:AI$141)/2,'Общий'!$M$12,'Общий'!$M$13)))</f>
        <v/>
      </c>
      <c r="E159" s="4">
        <f>IF(A159="","",SUMIFS('Логи'!$H$7:$H$3006,'Логи'!$A$7:$A$3006,3,'Логи'!$B$7:$B$3006,2,'Логи'!$C$7:$C$3006,A159))</f>
        <v/>
      </c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4" t="inlineStr">
        <is>
          <t>Студент2.19</t>
        </is>
      </c>
      <c r="B160" s="4" t="inlineStr"/>
      <c r="C160" s="4">
        <f>IF(A160="","",COUNTIF(F160:AI160,"+")+COUNTIF(F160:AI160,"1"))</f>
        <v/>
      </c>
      <c r="D160" s="4">
        <f>IF(A160="","",IF(C160&gt;2*COUNTA(F$141:AI$141)/3,'Общий'!$M$11,IF(C160&gt;=COUNTA(F$141:AI$141)/2,'Общий'!$M$12,'Общий'!$M$13)))</f>
        <v/>
      </c>
      <c r="E160" s="4">
        <f>IF(A160="","",SUMIFS('Логи'!$H$7:$H$3006,'Логи'!$A$7:$A$3006,3,'Логи'!$B$7:$B$3006,2,'Логи'!$C$7:$C$3006,A160))</f>
        <v/>
      </c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4" t="inlineStr">
        <is>
          <t>Студент2.20</t>
        </is>
      </c>
      <c r="B161" s="4" t="inlineStr"/>
      <c r="C161" s="4">
        <f>IF(A161="","",COUNTIF(F161:AI161,"+")+COUNTIF(F161:AI161,"1"))</f>
        <v/>
      </c>
      <c r="D161" s="4">
        <f>IF(A161="","",IF(C161&gt;2*COUNTA(F$141:AI$141)/3,'Общий'!$M$11,IF(C161&gt;=COUNTA(F$141:AI$141)/2,'Общий'!$M$12,'Общий'!$M$13)))</f>
        <v/>
      </c>
      <c r="E161" s="4">
        <f>IF(A161="","",SUMIFS('Логи'!$H$7:$H$3006,'Логи'!$A$7:$A$3006,3,'Логи'!$B$7:$B$3006,2,'Логи'!$C$7:$C$3006,A161))</f>
        <v/>
      </c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4" t="inlineStr">
        <is>
          <t>Студент2.21</t>
        </is>
      </c>
      <c r="B162" s="4" t="inlineStr"/>
      <c r="C162" s="4">
        <f>IF(A162="","",COUNTIF(F162:AI162,"+")+COUNTIF(F162:AI162,"1"))</f>
        <v/>
      </c>
      <c r="D162" s="4">
        <f>IF(A162="","",IF(C162&gt;2*COUNTA(F$141:AI$141)/3,'Общий'!$M$11,IF(C162&gt;=COUNTA(F$141:AI$141)/2,'Общий'!$M$12,'Общий'!$M$13)))</f>
        <v/>
      </c>
      <c r="E162" s="4">
        <f>IF(A162="","",SUMIFS('Логи'!$H$7:$H$3006,'Логи'!$A$7:$A$3006,3,'Логи'!$B$7:$B$3006,2,'Логи'!$C$7:$C$3006,A162))</f>
        <v/>
      </c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4" t="inlineStr">
        <is>
          <t>Студент2.22</t>
        </is>
      </c>
      <c r="B163" s="4" t="inlineStr"/>
      <c r="C163" s="4">
        <f>IF(A163="","",COUNTIF(F163:AI163,"+")+COUNTIF(F163:AI163,"1"))</f>
        <v/>
      </c>
      <c r="D163" s="4">
        <f>IF(A163="","",IF(C163&gt;2*COUNTA(F$141:AI$141)/3,'Общий'!$M$11,IF(C163&gt;=COUNTA(F$141:AI$141)/2,'Общий'!$M$12,'Общий'!$M$13)))</f>
        <v/>
      </c>
      <c r="E163" s="4">
        <f>IF(A163="","",SUMIFS('Логи'!$H$7:$H$3006,'Логи'!$A$7:$A$3006,3,'Логи'!$B$7:$B$3006,2,'Логи'!$C$7:$C$3006,A163))</f>
        <v/>
      </c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4" t="inlineStr">
        <is>
          <t>Студент2.23</t>
        </is>
      </c>
      <c r="B164" s="4" t="inlineStr"/>
      <c r="C164" s="4">
        <f>IF(A164="","",COUNTIF(F164:AI164,"+")+COUNTIF(F164:AI164,"1"))</f>
        <v/>
      </c>
      <c r="D164" s="4">
        <f>IF(A164="","",IF(C164&gt;2*COUNTA(F$141:AI$141)/3,'Общий'!$M$11,IF(C164&gt;=COUNTA(F$141:AI$141)/2,'Общий'!$M$12,'Общий'!$M$13)))</f>
        <v/>
      </c>
      <c r="E164" s="4">
        <f>IF(A164="","",SUMIFS('Логи'!$H$7:$H$3006,'Логи'!$A$7:$A$3006,3,'Логи'!$B$7:$B$3006,2,'Логи'!$C$7:$C$3006,A164))</f>
        <v/>
      </c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4" t="inlineStr">
        <is>
          <t>Студент2.24</t>
        </is>
      </c>
      <c r="B165" s="4" t="inlineStr"/>
      <c r="C165" s="4">
        <f>IF(A165="","",COUNTIF(F165:AI165,"+")+COUNTIF(F165:AI165,"1"))</f>
        <v/>
      </c>
      <c r="D165" s="4">
        <f>IF(A165="","",IF(C165&gt;2*COUNTA(F$141:AI$141)/3,'Общий'!$M$11,IF(C165&gt;=COUNTA(F$141:AI$141)/2,'Общий'!$M$12,'Общий'!$M$13)))</f>
        <v/>
      </c>
      <c r="E165" s="4">
        <f>IF(A165="","",SUMIFS('Логи'!$H$7:$H$3006,'Логи'!$A$7:$A$3006,3,'Логи'!$B$7:$B$3006,2,'Логи'!$C$7:$C$3006,A165))</f>
        <v/>
      </c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4" t="inlineStr">
        <is>
          <t>Студент2.25</t>
        </is>
      </c>
      <c r="B166" s="4" t="inlineStr"/>
      <c r="C166" s="4">
        <f>IF(A166="","",COUNTIF(F166:AI166,"+")+COUNTIF(F166:AI166,"1"))</f>
        <v/>
      </c>
      <c r="D166" s="4">
        <f>IF(A166="","",IF(C166&gt;2*COUNTA(F$141:AI$141)/3,'Общий'!$M$11,IF(C166&gt;=COUNTA(F$141:AI$141)/2,'Общий'!$M$12,'Общий'!$M$13)))</f>
        <v/>
      </c>
      <c r="E166" s="4">
        <f>IF(A166="","",SUMIFS('Логи'!$H$7:$H$3006,'Логи'!$A$7:$A$3006,3,'Логи'!$B$7:$B$3006,2,'Логи'!$C$7:$C$3006,A166))</f>
        <v/>
      </c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4" t="inlineStr">
        <is>
          <t>Студент2.26</t>
        </is>
      </c>
      <c r="B167" s="4" t="inlineStr"/>
      <c r="C167" s="4">
        <f>IF(A167="","",COUNTIF(F167:AI167,"+")+COUNTIF(F167:AI167,"1"))</f>
        <v/>
      </c>
      <c r="D167" s="4">
        <f>IF(A167="","",IF(C167&gt;2*COUNTA(F$141:AI$141)/3,'Общий'!$M$11,IF(C167&gt;=COUNTA(F$141:AI$141)/2,'Общий'!$M$12,'Общий'!$M$13)))</f>
        <v/>
      </c>
      <c r="E167" s="4">
        <f>IF(A167="","",SUMIFS('Логи'!$H$7:$H$3006,'Логи'!$A$7:$A$3006,3,'Логи'!$B$7:$B$3006,2,'Логи'!$C$7:$C$3006,A167))</f>
        <v/>
      </c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4" t="inlineStr">
        <is>
          <t>Студент2.27</t>
        </is>
      </c>
      <c r="B168" s="4" t="inlineStr"/>
      <c r="C168" s="4">
        <f>IF(A168="","",COUNTIF(F168:AI168,"+")+COUNTIF(F168:AI168,"1"))</f>
        <v/>
      </c>
      <c r="D168" s="4">
        <f>IF(A168="","",IF(C168&gt;2*COUNTA(F$141:AI$141)/3,'Общий'!$M$11,IF(C168&gt;=COUNTA(F$141:AI$141)/2,'Общий'!$M$12,'Общий'!$M$13)))</f>
        <v/>
      </c>
      <c r="E168" s="4">
        <f>IF(A168="","",SUMIFS('Логи'!$H$7:$H$3006,'Логи'!$A$7:$A$3006,3,'Логи'!$B$7:$B$3006,2,'Логи'!$C$7:$C$3006,A168))</f>
        <v/>
      </c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4" t="inlineStr">
        <is>
          <t>Студент2.28</t>
        </is>
      </c>
      <c r="B169" s="4" t="inlineStr"/>
      <c r="C169" s="4">
        <f>IF(A169="","",COUNTIF(F169:AI169,"+")+COUNTIF(F169:AI169,"1"))</f>
        <v/>
      </c>
      <c r="D169" s="4">
        <f>IF(A169="","",IF(C169&gt;2*COUNTA(F$141:AI$141)/3,'Общий'!$M$11,IF(C169&gt;=COUNTA(F$141:AI$141)/2,'Общий'!$M$12,'Общий'!$M$13)))</f>
        <v/>
      </c>
      <c r="E169" s="4">
        <f>IF(A169="","",SUMIFS('Логи'!$H$7:$H$3006,'Логи'!$A$7:$A$3006,3,'Логи'!$B$7:$B$3006,2,'Логи'!$C$7:$C$3006,A169))</f>
        <v/>
      </c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4" t="inlineStr">
        <is>
          <t>Студент2.29</t>
        </is>
      </c>
      <c r="B170" s="4" t="inlineStr"/>
      <c r="C170" s="4">
        <f>IF(A170="","",COUNTIF(F170:AI170,"+")+COUNTIF(F170:AI170,"1"))</f>
        <v/>
      </c>
      <c r="D170" s="4">
        <f>IF(A170="","",IF(C170&gt;2*COUNTA(F$141:AI$141)/3,'Общий'!$M$11,IF(C170&gt;=COUNTA(F$141:AI$141)/2,'Общий'!$M$12,'Общий'!$M$13)))</f>
        <v/>
      </c>
      <c r="E170" s="4">
        <f>IF(A170="","",SUMIFS('Логи'!$H$7:$H$3006,'Логи'!$A$7:$A$3006,3,'Логи'!$B$7:$B$3006,2,'Логи'!$C$7:$C$3006,A170))</f>
        <v/>
      </c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4" t="inlineStr">
        <is>
          <t>Студент2.30</t>
        </is>
      </c>
      <c r="B171" s="4" t="inlineStr"/>
      <c r="C171" s="4">
        <f>IF(A171="","",COUNTIF(F171:AI171,"+")+COUNTIF(F171:AI171,"1"))</f>
        <v/>
      </c>
      <c r="D171" s="4">
        <f>IF(A171="","",IF(C171&gt;2*COUNTA(F$141:AI$141)/3,'Общий'!$M$11,IF(C171&gt;=COUNTA(F$141:AI$141)/2,'Общий'!$M$12,'Общий'!$M$13)))</f>
        <v/>
      </c>
      <c r="E171" s="4">
        <f>IF(A171="","",SUMIFS('Логи'!$H$7:$H$3006,'Логи'!$A$7:$A$3006,3,'Логи'!$B$7:$B$3006,2,'Логи'!$C$7:$C$3006,A171))</f>
        <v/>
      </c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3">
      <c r="A173" s="19" t="inlineStr">
        <is>
          <t>Практика 3 — результаты рассказа</t>
        </is>
      </c>
    </row>
    <row r="174" ht="28" customHeight="1">
      <c r="A174" s="9" t="inlineStr">
        <is>
          <t>Имя</t>
        </is>
      </c>
      <c r="B174" s="11" t="inlineStr">
        <is>
          <t>TG</t>
        </is>
      </c>
      <c r="C174" s="12" t="inlineStr"/>
      <c r="D174" s="3" t="inlineStr"/>
      <c r="E174" s="3" t="inlineStr"/>
      <c r="F174" s="13" t="inlineStr">
        <is>
          <t>1.0</t>
        </is>
      </c>
      <c r="G174" s="13" t="inlineStr">
        <is>
          <t>2.0</t>
        </is>
      </c>
      <c r="H174" s="13" t="inlineStr">
        <is>
          <t>3.0</t>
        </is>
      </c>
      <c r="I174" s="13" t="inlineStr">
        <is>
          <t>4.0</t>
        </is>
      </c>
      <c r="J174" s="13" t="inlineStr">
        <is>
          <t>5.0</t>
        </is>
      </c>
      <c r="K174" s="13" t="inlineStr">
        <is>
          <t>6</t>
        </is>
      </c>
      <c r="L174" s="13" t="inlineStr">
        <is>
          <t>7</t>
        </is>
      </c>
      <c r="M174" s="13" t="inlineStr">
        <is>
          <t>8</t>
        </is>
      </c>
      <c r="N174" s="13" t="inlineStr">
        <is>
          <t>9</t>
        </is>
      </c>
      <c r="O174" s="13" t="inlineStr">
        <is>
          <t>10</t>
        </is>
      </c>
      <c r="P174" s="13" t="inlineStr">
        <is>
          <t>11</t>
        </is>
      </c>
      <c r="Q174" s="13" t="inlineStr">
        <is>
          <t>12</t>
        </is>
      </c>
      <c r="R174" s="13" t="inlineStr">
        <is>
          <t>13</t>
        </is>
      </c>
      <c r="S174" s="13" t="inlineStr">
        <is>
          <t>14</t>
        </is>
      </c>
      <c r="T174" s="13" t="inlineStr">
        <is>
          <t>15</t>
        </is>
      </c>
      <c r="U174" s="13" t="inlineStr">
        <is>
          <t>16</t>
        </is>
      </c>
      <c r="V174" s="13" t="inlineStr">
        <is>
          <t>17</t>
        </is>
      </c>
      <c r="W174" s="13" t="inlineStr">
        <is>
          <t>18</t>
        </is>
      </c>
      <c r="X174" s="13" t="inlineStr">
        <is>
          <t>19</t>
        </is>
      </c>
      <c r="Y174" s="13" t="inlineStr">
        <is>
          <t>20</t>
        </is>
      </c>
      <c r="Z174" s="13" t="inlineStr">
        <is>
          <t>21</t>
        </is>
      </c>
      <c r="AA174" s="13" t="inlineStr">
        <is>
          <t>22</t>
        </is>
      </c>
      <c r="AB174" s="13" t="inlineStr">
        <is>
          <t>23</t>
        </is>
      </c>
      <c r="AC174" s="13" t="inlineStr">
        <is>
          <t>24</t>
        </is>
      </c>
      <c r="AD174" s="13" t="inlineStr">
        <is>
          <t>25</t>
        </is>
      </c>
      <c r="AE174" s="13" t="inlineStr">
        <is>
          <t>26</t>
        </is>
      </c>
      <c r="AF174" s="13" t="inlineStr">
        <is>
          <t>27</t>
        </is>
      </c>
      <c r="AG174" s="13" t="inlineStr">
        <is>
          <t>28</t>
        </is>
      </c>
      <c r="AH174" s="13" t="inlineStr">
        <is>
          <t>29</t>
        </is>
      </c>
      <c r="AI174" s="13" t="inlineStr">
        <is>
          <t>30</t>
        </is>
      </c>
    </row>
    <row r="175">
      <c r="A175" s="4" t="inlineStr">
        <is>
          <t>Студент2.1</t>
        </is>
      </c>
      <c r="B175" s="4" t="inlineStr"/>
      <c r="C175" s="4" t="n"/>
      <c r="D175" s="4" t="n"/>
      <c r="E175" s="4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4" t="inlineStr">
        <is>
          <t>Студент2.2</t>
        </is>
      </c>
      <c r="B176" s="4" t="inlineStr"/>
      <c r="C176" s="4" t="n"/>
      <c r="D176" s="4" t="n"/>
      <c r="E176" s="4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4" t="inlineStr">
        <is>
          <t>Студент2.3</t>
        </is>
      </c>
      <c r="B177" s="4" t="inlineStr"/>
      <c r="C177" s="4" t="n"/>
      <c r="D177" s="4" t="n"/>
      <c r="E177" s="4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4" t="inlineStr">
        <is>
          <t>Студент2.4</t>
        </is>
      </c>
      <c r="B178" s="4" t="inlineStr"/>
      <c r="C178" s="4" t="n"/>
      <c r="D178" s="4" t="n"/>
      <c r="E178" s="4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4" t="inlineStr">
        <is>
          <t>Студент2.5</t>
        </is>
      </c>
      <c r="B179" s="4" t="inlineStr"/>
      <c r="C179" s="4" t="n"/>
      <c r="D179" s="4" t="n"/>
      <c r="E179" s="4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4" t="inlineStr">
        <is>
          <t>Студент2.6</t>
        </is>
      </c>
      <c r="B180" s="4" t="inlineStr"/>
      <c r="C180" s="4" t="n"/>
      <c r="D180" s="4" t="n"/>
      <c r="E180" s="4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4" t="inlineStr">
        <is>
          <t>Студент2.7</t>
        </is>
      </c>
      <c r="B181" s="4" t="inlineStr"/>
      <c r="C181" s="4" t="n"/>
      <c r="D181" s="4" t="n"/>
      <c r="E181" s="4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4" t="inlineStr">
        <is>
          <t>Студент2.8</t>
        </is>
      </c>
      <c r="B182" s="4" t="inlineStr"/>
      <c r="C182" s="4" t="n"/>
      <c r="D182" s="4" t="n"/>
      <c r="E182" s="4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4" t="inlineStr">
        <is>
          <t>Студент2.9</t>
        </is>
      </c>
      <c r="B183" s="4" t="inlineStr"/>
      <c r="C183" s="4" t="n"/>
      <c r="D183" s="4" t="n"/>
      <c r="E183" s="4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4" t="inlineStr">
        <is>
          <t>Студент2.10</t>
        </is>
      </c>
      <c r="B184" s="4" t="inlineStr"/>
      <c r="C184" s="4" t="n"/>
      <c r="D184" s="4" t="n"/>
      <c r="E184" s="4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4" t="inlineStr">
        <is>
          <t>Студент2.11</t>
        </is>
      </c>
      <c r="B185" s="4" t="inlineStr"/>
      <c r="C185" s="4" t="n"/>
      <c r="D185" s="4" t="n"/>
      <c r="E185" s="4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4" t="inlineStr">
        <is>
          <t>Студент2.12</t>
        </is>
      </c>
      <c r="B186" s="4" t="inlineStr"/>
      <c r="C186" s="4" t="n"/>
      <c r="D186" s="4" t="n"/>
      <c r="E186" s="4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4" t="inlineStr">
        <is>
          <t>Студент2.13</t>
        </is>
      </c>
      <c r="B187" s="4" t="inlineStr"/>
      <c r="C187" s="4" t="n"/>
      <c r="D187" s="4" t="n"/>
      <c r="E187" s="4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4" t="inlineStr">
        <is>
          <t>Студент2.14</t>
        </is>
      </c>
      <c r="B188" s="4" t="inlineStr"/>
      <c r="C188" s="4" t="n"/>
      <c r="D188" s="4" t="n"/>
      <c r="E188" s="4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4" t="inlineStr">
        <is>
          <t>Студент2.15</t>
        </is>
      </c>
      <c r="B189" s="4" t="inlineStr"/>
      <c r="C189" s="4" t="n"/>
      <c r="D189" s="4" t="n"/>
      <c r="E189" s="4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4" t="inlineStr">
        <is>
          <t>Студент2.16</t>
        </is>
      </c>
      <c r="B190" s="4" t="inlineStr"/>
      <c r="C190" s="4" t="n"/>
      <c r="D190" s="4" t="n"/>
      <c r="E190" s="4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4" t="inlineStr">
        <is>
          <t>Студент2.17</t>
        </is>
      </c>
      <c r="B191" s="4" t="inlineStr"/>
      <c r="C191" s="4" t="n"/>
      <c r="D191" s="4" t="n"/>
      <c r="E191" s="4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4" t="inlineStr">
        <is>
          <t>Студент2.18</t>
        </is>
      </c>
      <c r="B192" s="4" t="inlineStr"/>
      <c r="C192" s="4" t="n"/>
      <c r="D192" s="4" t="n"/>
      <c r="E192" s="4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4" t="inlineStr">
        <is>
          <t>Студент2.19</t>
        </is>
      </c>
      <c r="B193" s="4" t="inlineStr"/>
      <c r="C193" s="4" t="n"/>
      <c r="D193" s="4" t="n"/>
      <c r="E193" s="4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4" t="inlineStr">
        <is>
          <t>Студент2.20</t>
        </is>
      </c>
      <c r="B194" s="4" t="inlineStr"/>
      <c r="C194" s="4" t="n"/>
      <c r="D194" s="4" t="n"/>
      <c r="E194" s="4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4" t="inlineStr">
        <is>
          <t>Студент2.21</t>
        </is>
      </c>
      <c r="B195" s="4" t="inlineStr"/>
      <c r="C195" s="4" t="n"/>
      <c r="D195" s="4" t="n"/>
      <c r="E195" s="4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4" t="inlineStr">
        <is>
          <t>Студент2.22</t>
        </is>
      </c>
      <c r="B196" s="4" t="inlineStr"/>
      <c r="C196" s="4" t="n"/>
      <c r="D196" s="4" t="n"/>
      <c r="E196" s="4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4" t="inlineStr">
        <is>
          <t>Студент2.23</t>
        </is>
      </c>
      <c r="B197" s="4" t="inlineStr"/>
      <c r="C197" s="4" t="n"/>
      <c r="D197" s="4" t="n"/>
      <c r="E197" s="4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4" t="inlineStr">
        <is>
          <t>Студент2.24</t>
        </is>
      </c>
      <c r="B198" s="4" t="inlineStr"/>
      <c r="C198" s="4" t="n"/>
      <c r="D198" s="4" t="n"/>
      <c r="E198" s="4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4" t="inlineStr">
        <is>
          <t>Студент2.25</t>
        </is>
      </c>
      <c r="B199" s="4" t="inlineStr"/>
      <c r="C199" s="4" t="n"/>
      <c r="D199" s="4" t="n"/>
      <c r="E199" s="4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4" t="inlineStr">
        <is>
          <t>Студент2.26</t>
        </is>
      </c>
      <c r="B200" s="4" t="inlineStr"/>
      <c r="C200" s="4" t="n"/>
      <c r="D200" s="4" t="n"/>
      <c r="E200" s="4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  <row r="201">
      <c r="A201" s="4" t="inlineStr">
        <is>
          <t>Студент2.27</t>
        </is>
      </c>
      <c r="B201" s="4" t="inlineStr"/>
      <c r="C201" s="4" t="n"/>
      <c r="D201" s="4" t="n"/>
      <c r="E201" s="4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4" t="inlineStr">
        <is>
          <t>Студент2.28</t>
        </is>
      </c>
      <c r="B202" s="4" t="inlineStr"/>
      <c r="C202" s="4" t="n"/>
      <c r="D202" s="4" t="n"/>
      <c r="E202" s="4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</row>
    <row r="203">
      <c r="A203" s="4" t="inlineStr">
        <is>
          <t>Студент2.29</t>
        </is>
      </c>
      <c r="B203" s="4" t="inlineStr"/>
      <c r="C203" s="4" t="n"/>
      <c r="D203" s="4" t="n"/>
      <c r="E203" s="4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4" t="inlineStr">
        <is>
          <t>Студент2.30</t>
        </is>
      </c>
      <c r="B204" s="4" t="inlineStr"/>
      <c r="C204" s="4" t="n"/>
      <c r="D204" s="4" t="n"/>
      <c r="E204" s="4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</row>
    <row r="208">
      <c r="A208" s="17" t="inlineStr">
        <is>
          <t>Практика 4 — плюсы</t>
        </is>
      </c>
    </row>
    <row r="209" ht="28" customHeight="1">
      <c r="A209" s="9" t="inlineStr">
        <is>
          <t>Имя</t>
        </is>
      </c>
      <c r="B209" s="11" t="inlineStr">
        <is>
          <t>TG</t>
        </is>
      </c>
      <c r="C209" s="12" t="inlineStr">
        <is>
          <t>S</t>
        </is>
      </c>
      <c r="D209" s="10" t="inlineStr">
        <is>
          <t>Коэффициент</t>
        </is>
      </c>
      <c r="E209" s="18" t="inlineStr">
        <is>
          <t>D за практику</t>
        </is>
      </c>
      <c r="F209" s="13" t="inlineStr">
        <is>
          <t>1.0</t>
        </is>
      </c>
      <c r="G209" s="13" t="inlineStr">
        <is>
          <t>2.0</t>
        </is>
      </c>
      <c r="H209" s="13" t="inlineStr">
        <is>
          <t>3.0</t>
        </is>
      </c>
      <c r="I209" s="13" t="inlineStr">
        <is>
          <t>4.0</t>
        </is>
      </c>
      <c r="J209" s="13" t="inlineStr">
        <is>
          <t>5.0</t>
        </is>
      </c>
      <c r="K209" s="13" t="inlineStr">
        <is>
          <t>6</t>
        </is>
      </c>
      <c r="L209" s="13" t="inlineStr">
        <is>
          <t>7</t>
        </is>
      </c>
      <c r="M209" s="13" t="inlineStr">
        <is>
          <t>8</t>
        </is>
      </c>
      <c r="N209" s="13" t="inlineStr">
        <is>
          <t>9</t>
        </is>
      </c>
      <c r="O209" s="13" t="inlineStr">
        <is>
          <t>10</t>
        </is>
      </c>
      <c r="P209" s="13" t="inlineStr">
        <is>
          <t>11</t>
        </is>
      </c>
      <c r="Q209" s="13" t="inlineStr">
        <is>
          <t>12</t>
        </is>
      </c>
      <c r="R209" s="13" t="inlineStr">
        <is>
          <t>13</t>
        </is>
      </c>
      <c r="S209" s="13" t="inlineStr">
        <is>
          <t>14</t>
        </is>
      </c>
      <c r="T209" s="13" t="inlineStr">
        <is>
          <t>15</t>
        </is>
      </c>
      <c r="U209" s="13" t="inlineStr">
        <is>
          <t>16</t>
        </is>
      </c>
      <c r="V209" s="13" t="inlineStr">
        <is>
          <t>17</t>
        </is>
      </c>
      <c r="W209" s="13" t="inlineStr">
        <is>
          <t>18</t>
        </is>
      </c>
      <c r="X209" s="13" t="inlineStr">
        <is>
          <t>19</t>
        </is>
      </c>
      <c r="Y209" s="13" t="inlineStr">
        <is>
          <t>20</t>
        </is>
      </c>
      <c r="Z209" s="13" t="inlineStr">
        <is>
          <t>21</t>
        </is>
      </c>
      <c r="AA209" s="13" t="inlineStr">
        <is>
          <t>22</t>
        </is>
      </c>
      <c r="AB209" s="13" t="inlineStr">
        <is>
          <t>23</t>
        </is>
      </c>
      <c r="AC209" s="13" t="inlineStr">
        <is>
          <t>24</t>
        </is>
      </c>
      <c r="AD209" s="13" t="inlineStr">
        <is>
          <t>25</t>
        </is>
      </c>
      <c r="AE209" s="13" t="inlineStr">
        <is>
          <t>26</t>
        </is>
      </c>
      <c r="AF209" s="13" t="inlineStr">
        <is>
          <t>27</t>
        </is>
      </c>
      <c r="AG209" s="13" t="inlineStr">
        <is>
          <t>28</t>
        </is>
      </c>
      <c r="AH209" s="13" t="inlineStr">
        <is>
          <t>29</t>
        </is>
      </c>
      <c r="AI209" s="13" t="inlineStr">
        <is>
          <t>30</t>
        </is>
      </c>
    </row>
    <row r="210">
      <c r="A210" s="4" t="inlineStr">
        <is>
          <t>Студент2.1</t>
        </is>
      </c>
      <c r="B210" s="4" t="inlineStr"/>
      <c r="C210" s="4">
        <f>IF(A210="","",COUNTIF(F210:AI210,"+")+COUNTIF(F210:AI210,"1"))</f>
        <v/>
      </c>
      <c r="D210" s="4">
        <f>IF(A210="","",IF(C210&gt;2*COUNTA(F$209:AI$209)/3,'Общий'!$M$11,IF(C210&gt;=COUNTA(F$209:AI$209)/2,'Общий'!$M$12,'Общий'!$M$13)))</f>
        <v/>
      </c>
      <c r="E210" s="4">
        <f>IF(A210="","",SUMIFS('Логи'!$H$7:$H$3006,'Логи'!$A$7:$A$3006,4,'Логи'!$B$7:$B$3006,2,'Логи'!$C$7:$C$3006,A210))</f>
        <v/>
      </c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</row>
    <row r="211">
      <c r="A211" s="4" t="inlineStr">
        <is>
          <t>Студент2.2</t>
        </is>
      </c>
      <c r="B211" s="4" t="inlineStr"/>
      <c r="C211" s="4">
        <f>IF(A211="","",COUNTIF(F211:AI211,"+")+COUNTIF(F211:AI211,"1"))</f>
        <v/>
      </c>
      <c r="D211" s="4">
        <f>IF(A211="","",IF(C211&gt;2*COUNTA(F$209:AI$209)/3,'Общий'!$M$11,IF(C211&gt;=COUNTA(F$209:AI$209)/2,'Общий'!$M$12,'Общий'!$M$13)))</f>
        <v/>
      </c>
      <c r="E211" s="4">
        <f>IF(A211="","",SUMIFS('Логи'!$H$7:$H$3006,'Логи'!$A$7:$A$3006,4,'Логи'!$B$7:$B$3006,2,'Логи'!$C$7:$C$3006,A211))</f>
        <v/>
      </c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4" t="inlineStr">
        <is>
          <t>Студент2.3</t>
        </is>
      </c>
      <c r="B212" s="4" t="inlineStr"/>
      <c r="C212" s="4">
        <f>IF(A212="","",COUNTIF(F212:AI212,"+")+COUNTIF(F212:AI212,"1"))</f>
        <v/>
      </c>
      <c r="D212" s="4">
        <f>IF(A212="","",IF(C212&gt;2*COUNTA(F$209:AI$209)/3,'Общий'!$M$11,IF(C212&gt;=COUNTA(F$209:AI$209)/2,'Общий'!$M$12,'Общий'!$M$13)))</f>
        <v/>
      </c>
      <c r="E212" s="4">
        <f>IF(A212="","",SUMIFS('Логи'!$H$7:$H$3006,'Логи'!$A$7:$A$3006,4,'Логи'!$B$7:$B$3006,2,'Логи'!$C$7:$C$3006,A212))</f>
        <v/>
      </c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</row>
    <row r="213">
      <c r="A213" s="4" t="inlineStr">
        <is>
          <t>Студент2.4</t>
        </is>
      </c>
      <c r="B213" s="4" t="inlineStr"/>
      <c r="C213" s="4">
        <f>IF(A213="","",COUNTIF(F213:AI213,"+")+COUNTIF(F213:AI213,"1"))</f>
        <v/>
      </c>
      <c r="D213" s="4">
        <f>IF(A213="","",IF(C213&gt;2*COUNTA(F$209:AI$209)/3,'Общий'!$M$11,IF(C213&gt;=COUNTA(F$209:AI$209)/2,'Общий'!$M$12,'Общий'!$M$13)))</f>
        <v/>
      </c>
      <c r="E213" s="4">
        <f>IF(A213="","",SUMIFS('Логи'!$H$7:$H$3006,'Логи'!$A$7:$A$3006,4,'Логи'!$B$7:$B$3006,2,'Логи'!$C$7:$C$3006,A213))</f>
        <v/>
      </c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4" t="inlineStr">
        <is>
          <t>Студент2.5</t>
        </is>
      </c>
      <c r="B214" s="4" t="inlineStr"/>
      <c r="C214" s="4">
        <f>IF(A214="","",COUNTIF(F214:AI214,"+")+COUNTIF(F214:AI214,"1"))</f>
        <v/>
      </c>
      <c r="D214" s="4">
        <f>IF(A214="","",IF(C214&gt;2*COUNTA(F$209:AI$209)/3,'Общий'!$M$11,IF(C214&gt;=COUNTA(F$209:AI$209)/2,'Общий'!$M$12,'Общий'!$M$13)))</f>
        <v/>
      </c>
      <c r="E214" s="4">
        <f>IF(A214="","",SUMIFS('Логи'!$H$7:$H$3006,'Логи'!$A$7:$A$3006,4,'Логи'!$B$7:$B$3006,2,'Логи'!$C$7:$C$3006,A214))</f>
        <v/>
      </c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</row>
    <row r="215">
      <c r="A215" s="4" t="inlineStr">
        <is>
          <t>Студент2.6</t>
        </is>
      </c>
      <c r="B215" s="4" t="inlineStr"/>
      <c r="C215" s="4">
        <f>IF(A215="","",COUNTIF(F215:AI215,"+")+COUNTIF(F215:AI215,"1"))</f>
        <v/>
      </c>
      <c r="D215" s="4">
        <f>IF(A215="","",IF(C215&gt;2*COUNTA(F$209:AI$209)/3,'Общий'!$M$11,IF(C215&gt;=COUNTA(F$209:AI$209)/2,'Общий'!$M$12,'Общий'!$M$13)))</f>
        <v/>
      </c>
      <c r="E215" s="4">
        <f>IF(A215="","",SUMIFS('Логи'!$H$7:$H$3006,'Логи'!$A$7:$A$3006,4,'Логи'!$B$7:$B$3006,2,'Логи'!$C$7:$C$3006,A215))</f>
        <v/>
      </c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4" t="inlineStr">
        <is>
          <t>Студент2.7</t>
        </is>
      </c>
      <c r="B216" s="4" t="inlineStr"/>
      <c r="C216" s="4">
        <f>IF(A216="","",COUNTIF(F216:AI216,"+")+COUNTIF(F216:AI216,"1"))</f>
        <v/>
      </c>
      <c r="D216" s="4">
        <f>IF(A216="","",IF(C216&gt;2*COUNTA(F$209:AI$209)/3,'Общий'!$M$11,IF(C216&gt;=COUNTA(F$209:AI$209)/2,'Общий'!$M$12,'Общий'!$M$13)))</f>
        <v/>
      </c>
      <c r="E216" s="4">
        <f>IF(A216="","",SUMIFS('Логи'!$H$7:$H$3006,'Логи'!$A$7:$A$3006,4,'Логи'!$B$7:$B$3006,2,'Логи'!$C$7:$C$3006,A216))</f>
        <v/>
      </c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</row>
    <row r="217">
      <c r="A217" s="4" t="inlineStr">
        <is>
          <t>Студент2.8</t>
        </is>
      </c>
      <c r="B217" s="4" t="inlineStr"/>
      <c r="C217" s="4">
        <f>IF(A217="","",COUNTIF(F217:AI217,"+")+COUNTIF(F217:AI217,"1"))</f>
        <v/>
      </c>
      <c r="D217" s="4">
        <f>IF(A217="","",IF(C217&gt;2*COUNTA(F$209:AI$209)/3,'Общий'!$M$11,IF(C217&gt;=COUNTA(F$209:AI$209)/2,'Общий'!$M$12,'Общий'!$M$13)))</f>
        <v/>
      </c>
      <c r="E217" s="4">
        <f>IF(A217="","",SUMIFS('Логи'!$H$7:$H$3006,'Логи'!$A$7:$A$3006,4,'Логи'!$B$7:$B$3006,2,'Логи'!$C$7:$C$3006,A217))</f>
        <v/>
      </c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4" t="inlineStr">
        <is>
          <t>Студент2.9</t>
        </is>
      </c>
      <c r="B218" s="4" t="inlineStr"/>
      <c r="C218" s="4">
        <f>IF(A218="","",COUNTIF(F218:AI218,"+")+COUNTIF(F218:AI218,"1"))</f>
        <v/>
      </c>
      <c r="D218" s="4">
        <f>IF(A218="","",IF(C218&gt;2*COUNTA(F$209:AI$209)/3,'Общий'!$M$11,IF(C218&gt;=COUNTA(F$209:AI$209)/2,'Общий'!$M$12,'Общий'!$M$13)))</f>
        <v/>
      </c>
      <c r="E218" s="4">
        <f>IF(A218="","",SUMIFS('Логи'!$H$7:$H$3006,'Логи'!$A$7:$A$3006,4,'Логи'!$B$7:$B$3006,2,'Логи'!$C$7:$C$3006,A218))</f>
        <v/>
      </c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</row>
    <row r="219">
      <c r="A219" s="4" t="inlineStr">
        <is>
          <t>Студент2.10</t>
        </is>
      </c>
      <c r="B219" s="4" t="inlineStr"/>
      <c r="C219" s="4">
        <f>IF(A219="","",COUNTIF(F219:AI219,"+")+COUNTIF(F219:AI219,"1"))</f>
        <v/>
      </c>
      <c r="D219" s="4">
        <f>IF(A219="","",IF(C219&gt;2*COUNTA(F$209:AI$209)/3,'Общий'!$M$11,IF(C219&gt;=COUNTA(F$209:AI$209)/2,'Общий'!$M$12,'Общий'!$M$13)))</f>
        <v/>
      </c>
      <c r="E219" s="4">
        <f>IF(A219="","",SUMIFS('Логи'!$H$7:$H$3006,'Логи'!$A$7:$A$3006,4,'Логи'!$B$7:$B$3006,2,'Логи'!$C$7:$C$3006,A219))</f>
        <v/>
      </c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4" t="inlineStr">
        <is>
          <t>Студент2.11</t>
        </is>
      </c>
      <c r="B220" s="4" t="inlineStr"/>
      <c r="C220" s="4">
        <f>IF(A220="","",COUNTIF(F220:AI220,"+")+COUNTIF(F220:AI220,"1"))</f>
        <v/>
      </c>
      <c r="D220" s="4">
        <f>IF(A220="","",IF(C220&gt;2*COUNTA(F$209:AI$209)/3,'Общий'!$M$11,IF(C220&gt;=COUNTA(F$209:AI$209)/2,'Общий'!$M$12,'Общий'!$M$13)))</f>
        <v/>
      </c>
      <c r="E220" s="4">
        <f>IF(A220="","",SUMIFS('Логи'!$H$7:$H$3006,'Логи'!$A$7:$A$3006,4,'Логи'!$B$7:$B$3006,2,'Логи'!$C$7:$C$3006,A220))</f>
        <v/>
      </c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</row>
    <row r="221">
      <c r="A221" s="4" t="inlineStr">
        <is>
          <t>Студент2.12</t>
        </is>
      </c>
      <c r="B221" s="4" t="inlineStr"/>
      <c r="C221" s="4">
        <f>IF(A221="","",COUNTIF(F221:AI221,"+")+COUNTIF(F221:AI221,"1"))</f>
        <v/>
      </c>
      <c r="D221" s="4">
        <f>IF(A221="","",IF(C221&gt;2*COUNTA(F$209:AI$209)/3,'Общий'!$M$11,IF(C221&gt;=COUNTA(F$209:AI$209)/2,'Общий'!$M$12,'Общий'!$M$13)))</f>
        <v/>
      </c>
      <c r="E221" s="4">
        <f>IF(A221="","",SUMIFS('Логи'!$H$7:$H$3006,'Логи'!$A$7:$A$3006,4,'Логи'!$B$7:$B$3006,2,'Логи'!$C$7:$C$3006,A221))</f>
        <v/>
      </c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4" t="inlineStr">
        <is>
          <t>Студент2.13</t>
        </is>
      </c>
      <c r="B222" s="4" t="inlineStr"/>
      <c r="C222" s="4">
        <f>IF(A222="","",COUNTIF(F222:AI222,"+")+COUNTIF(F222:AI222,"1"))</f>
        <v/>
      </c>
      <c r="D222" s="4">
        <f>IF(A222="","",IF(C222&gt;2*COUNTA(F$209:AI$209)/3,'Общий'!$M$11,IF(C222&gt;=COUNTA(F$209:AI$209)/2,'Общий'!$M$12,'Общий'!$M$13)))</f>
        <v/>
      </c>
      <c r="E222" s="4">
        <f>IF(A222="","",SUMIFS('Логи'!$H$7:$H$3006,'Логи'!$A$7:$A$3006,4,'Логи'!$B$7:$B$3006,2,'Логи'!$C$7:$C$3006,A222))</f>
        <v/>
      </c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</row>
    <row r="223">
      <c r="A223" s="4" t="inlineStr">
        <is>
          <t>Студент2.14</t>
        </is>
      </c>
      <c r="B223" s="4" t="inlineStr"/>
      <c r="C223" s="4">
        <f>IF(A223="","",COUNTIF(F223:AI223,"+")+COUNTIF(F223:AI223,"1"))</f>
        <v/>
      </c>
      <c r="D223" s="4">
        <f>IF(A223="","",IF(C223&gt;2*COUNTA(F$209:AI$209)/3,'Общий'!$M$11,IF(C223&gt;=COUNTA(F$209:AI$209)/2,'Общий'!$M$12,'Общий'!$M$13)))</f>
        <v/>
      </c>
      <c r="E223" s="4">
        <f>IF(A223="","",SUMIFS('Логи'!$H$7:$H$3006,'Логи'!$A$7:$A$3006,4,'Логи'!$B$7:$B$3006,2,'Логи'!$C$7:$C$3006,A223))</f>
        <v/>
      </c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4" t="inlineStr">
        <is>
          <t>Студент2.15</t>
        </is>
      </c>
      <c r="B224" s="4" t="inlineStr"/>
      <c r="C224" s="4">
        <f>IF(A224="","",COUNTIF(F224:AI224,"+")+COUNTIF(F224:AI224,"1"))</f>
        <v/>
      </c>
      <c r="D224" s="4">
        <f>IF(A224="","",IF(C224&gt;2*COUNTA(F$209:AI$209)/3,'Общий'!$M$11,IF(C224&gt;=COUNTA(F$209:AI$209)/2,'Общий'!$M$12,'Общий'!$M$13)))</f>
        <v/>
      </c>
      <c r="E224" s="4">
        <f>IF(A224="","",SUMIFS('Логи'!$H$7:$H$3006,'Логи'!$A$7:$A$3006,4,'Логи'!$B$7:$B$3006,2,'Логи'!$C$7:$C$3006,A224))</f>
        <v/>
      </c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</row>
    <row r="225">
      <c r="A225" s="4" t="inlineStr">
        <is>
          <t>Студент2.16</t>
        </is>
      </c>
      <c r="B225" s="4" t="inlineStr"/>
      <c r="C225" s="4">
        <f>IF(A225="","",COUNTIF(F225:AI225,"+")+COUNTIF(F225:AI225,"1"))</f>
        <v/>
      </c>
      <c r="D225" s="4">
        <f>IF(A225="","",IF(C225&gt;2*COUNTA(F$209:AI$209)/3,'Общий'!$M$11,IF(C225&gt;=COUNTA(F$209:AI$209)/2,'Общий'!$M$12,'Общий'!$M$13)))</f>
        <v/>
      </c>
      <c r="E225" s="4">
        <f>IF(A225="","",SUMIFS('Логи'!$H$7:$H$3006,'Логи'!$A$7:$A$3006,4,'Логи'!$B$7:$B$3006,2,'Логи'!$C$7:$C$3006,A225))</f>
        <v/>
      </c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4" t="inlineStr">
        <is>
          <t>Студент2.17</t>
        </is>
      </c>
      <c r="B226" s="4" t="inlineStr"/>
      <c r="C226" s="4">
        <f>IF(A226="","",COUNTIF(F226:AI226,"+")+COUNTIF(F226:AI226,"1"))</f>
        <v/>
      </c>
      <c r="D226" s="4">
        <f>IF(A226="","",IF(C226&gt;2*COUNTA(F$209:AI$209)/3,'Общий'!$M$11,IF(C226&gt;=COUNTA(F$209:AI$209)/2,'Общий'!$M$12,'Общий'!$M$13)))</f>
        <v/>
      </c>
      <c r="E226" s="4">
        <f>IF(A226="","",SUMIFS('Логи'!$H$7:$H$3006,'Логи'!$A$7:$A$3006,4,'Логи'!$B$7:$B$3006,2,'Логи'!$C$7:$C$3006,A226))</f>
        <v/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</row>
    <row r="227">
      <c r="A227" s="4" t="inlineStr">
        <is>
          <t>Студент2.18</t>
        </is>
      </c>
      <c r="B227" s="4" t="inlineStr"/>
      <c r="C227" s="4">
        <f>IF(A227="","",COUNTIF(F227:AI227,"+")+COUNTIF(F227:AI227,"1"))</f>
        <v/>
      </c>
      <c r="D227" s="4">
        <f>IF(A227="","",IF(C227&gt;2*COUNTA(F$209:AI$209)/3,'Общий'!$M$11,IF(C227&gt;=COUNTA(F$209:AI$209)/2,'Общий'!$M$12,'Общий'!$M$13)))</f>
        <v/>
      </c>
      <c r="E227" s="4">
        <f>IF(A227="","",SUMIFS('Логи'!$H$7:$H$3006,'Логи'!$A$7:$A$3006,4,'Логи'!$B$7:$B$3006,2,'Логи'!$C$7:$C$3006,A227))</f>
        <v/>
      </c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4" t="inlineStr">
        <is>
          <t>Студент2.19</t>
        </is>
      </c>
      <c r="B228" s="4" t="inlineStr"/>
      <c r="C228" s="4">
        <f>IF(A228="","",COUNTIF(F228:AI228,"+")+COUNTIF(F228:AI228,"1"))</f>
        <v/>
      </c>
      <c r="D228" s="4">
        <f>IF(A228="","",IF(C228&gt;2*COUNTA(F$209:AI$209)/3,'Общий'!$M$11,IF(C228&gt;=COUNTA(F$209:AI$209)/2,'Общий'!$M$12,'Общий'!$M$13)))</f>
        <v/>
      </c>
      <c r="E228" s="4">
        <f>IF(A228="","",SUMIFS('Логи'!$H$7:$H$3006,'Логи'!$A$7:$A$3006,4,'Логи'!$B$7:$B$3006,2,'Логи'!$C$7:$C$3006,A228))</f>
        <v/>
      </c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</row>
    <row r="229">
      <c r="A229" s="4" t="inlineStr">
        <is>
          <t>Студент2.20</t>
        </is>
      </c>
      <c r="B229" s="4" t="inlineStr"/>
      <c r="C229" s="4">
        <f>IF(A229="","",COUNTIF(F229:AI229,"+")+COUNTIF(F229:AI229,"1"))</f>
        <v/>
      </c>
      <c r="D229" s="4">
        <f>IF(A229="","",IF(C229&gt;2*COUNTA(F$209:AI$209)/3,'Общий'!$M$11,IF(C229&gt;=COUNTA(F$209:AI$209)/2,'Общий'!$M$12,'Общий'!$M$13)))</f>
        <v/>
      </c>
      <c r="E229" s="4">
        <f>IF(A229="","",SUMIFS('Логи'!$H$7:$H$3006,'Логи'!$A$7:$A$3006,4,'Логи'!$B$7:$B$3006,2,'Логи'!$C$7:$C$3006,A229))</f>
        <v/>
      </c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4" t="inlineStr">
        <is>
          <t>Студент2.21</t>
        </is>
      </c>
      <c r="B230" s="4" t="inlineStr"/>
      <c r="C230" s="4">
        <f>IF(A230="","",COUNTIF(F230:AI230,"+")+COUNTIF(F230:AI230,"1"))</f>
        <v/>
      </c>
      <c r="D230" s="4">
        <f>IF(A230="","",IF(C230&gt;2*COUNTA(F$209:AI$209)/3,'Общий'!$M$11,IF(C230&gt;=COUNTA(F$209:AI$209)/2,'Общий'!$M$12,'Общий'!$M$13)))</f>
        <v/>
      </c>
      <c r="E230" s="4">
        <f>IF(A230="","",SUMIFS('Логи'!$H$7:$H$3006,'Логи'!$A$7:$A$3006,4,'Логи'!$B$7:$B$3006,2,'Логи'!$C$7:$C$3006,A230))</f>
        <v/>
      </c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</row>
    <row r="231">
      <c r="A231" s="4" t="inlineStr">
        <is>
          <t>Студент2.22</t>
        </is>
      </c>
      <c r="B231" s="4" t="inlineStr"/>
      <c r="C231" s="4">
        <f>IF(A231="","",COUNTIF(F231:AI231,"+")+COUNTIF(F231:AI231,"1"))</f>
        <v/>
      </c>
      <c r="D231" s="4">
        <f>IF(A231="","",IF(C231&gt;2*COUNTA(F$209:AI$209)/3,'Общий'!$M$11,IF(C231&gt;=COUNTA(F$209:AI$209)/2,'Общий'!$M$12,'Общий'!$M$13)))</f>
        <v/>
      </c>
      <c r="E231" s="4">
        <f>IF(A231="","",SUMIFS('Логи'!$H$7:$H$3006,'Логи'!$A$7:$A$3006,4,'Логи'!$B$7:$B$3006,2,'Логи'!$C$7:$C$3006,A231))</f>
        <v/>
      </c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4" t="inlineStr">
        <is>
          <t>Студент2.23</t>
        </is>
      </c>
      <c r="B232" s="4" t="inlineStr"/>
      <c r="C232" s="4">
        <f>IF(A232="","",COUNTIF(F232:AI232,"+")+COUNTIF(F232:AI232,"1"))</f>
        <v/>
      </c>
      <c r="D232" s="4">
        <f>IF(A232="","",IF(C232&gt;2*COUNTA(F$209:AI$209)/3,'Общий'!$M$11,IF(C232&gt;=COUNTA(F$209:AI$209)/2,'Общий'!$M$12,'Общий'!$M$13)))</f>
        <v/>
      </c>
      <c r="E232" s="4">
        <f>IF(A232="","",SUMIFS('Логи'!$H$7:$H$3006,'Логи'!$A$7:$A$3006,4,'Логи'!$B$7:$B$3006,2,'Логи'!$C$7:$C$3006,A232))</f>
        <v/>
      </c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</row>
    <row r="233">
      <c r="A233" s="4" t="inlineStr">
        <is>
          <t>Студент2.24</t>
        </is>
      </c>
      <c r="B233" s="4" t="inlineStr"/>
      <c r="C233" s="4">
        <f>IF(A233="","",COUNTIF(F233:AI233,"+")+COUNTIF(F233:AI233,"1"))</f>
        <v/>
      </c>
      <c r="D233" s="4">
        <f>IF(A233="","",IF(C233&gt;2*COUNTA(F$209:AI$209)/3,'Общий'!$M$11,IF(C233&gt;=COUNTA(F$209:AI$209)/2,'Общий'!$M$12,'Общий'!$M$13)))</f>
        <v/>
      </c>
      <c r="E233" s="4">
        <f>IF(A233="","",SUMIFS('Логи'!$H$7:$H$3006,'Логи'!$A$7:$A$3006,4,'Логи'!$B$7:$B$3006,2,'Логи'!$C$7:$C$3006,A233))</f>
        <v/>
      </c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4" t="inlineStr">
        <is>
          <t>Студент2.25</t>
        </is>
      </c>
      <c r="B234" s="4" t="inlineStr"/>
      <c r="C234" s="4">
        <f>IF(A234="","",COUNTIF(F234:AI234,"+")+COUNTIF(F234:AI234,"1"))</f>
        <v/>
      </c>
      <c r="D234" s="4">
        <f>IF(A234="","",IF(C234&gt;2*COUNTA(F$209:AI$209)/3,'Общий'!$M$11,IF(C234&gt;=COUNTA(F$209:AI$209)/2,'Общий'!$M$12,'Общий'!$M$13)))</f>
        <v/>
      </c>
      <c r="E234" s="4">
        <f>IF(A234="","",SUMIFS('Логи'!$H$7:$H$3006,'Логи'!$A$7:$A$3006,4,'Логи'!$B$7:$B$3006,2,'Логи'!$C$7:$C$3006,A234))</f>
        <v/>
      </c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</row>
    <row r="235">
      <c r="A235" s="4" t="inlineStr">
        <is>
          <t>Студент2.26</t>
        </is>
      </c>
      <c r="B235" s="4" t="inlineStr"/>
      <c r="C235" s="4">
        <f>IF(A235="","",COUNTIF(F235:AI235,"+")+COUNTIF(F235:AI235,"1"))</f>
        <v/>
      </c>
      <c r="D235" s="4">
        <f>IF(A235="","",IF(C235&gt;2*COUNTA(F$209:AI$209)/3,'Общий'!$M$11,IF(C235&gt;=COUNTA(F$209:AI$209)/2,'Общий'!$M$12,'Общий'!$M$13)))</f>
        <v/>
      </c>
      <c r="E235" s="4">
        <f>IF(A235="","",SUMIFS('Логи'!$H$7:$H$3006,'Логи'!$A$7:$A$3006,4,'Логи'!$B$7:$B$3006,2,'Логи'!$C$7:$C$3006,A235))</f>
        <v/>
      </c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4" t="inlineStr">
        <is>
          <t>Студент2.27</t>
        </is>
      </c>
      <c r="B236" s="4" t="inlineStr"/>
      <c r="C236" s="4">
        <f>IF(A236="","",COUNTIF(F236:AI236,"+")+COUNTIF(F236:AI236,"1"))</f>
        <v/>
      </c>
      <c r="D236" s="4">
        <f>IF(A236="","",IF(C236&gt;2*COUNTA(F$209:AI$209)/3,'Общий'!$M$11,IF(C236&gt;=COUNTA(F$209:AI$209)/2,'Общий'!$M$12,'Общий'!$M$13)))</f>
        <v/>
      </c>
      <c r="E236" s="4">
        <f>IF(A236="","",SUMIFS('Логи'!$H$7:$H$3006,'Логи'!$A$7:$A$3006,4,'Логи'!$B$7:$B$3006,2,'Логи'!$C$7:$C$3006,A236))</f>
        <v/>
      </c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</row>
    <row r="237">
      <c r="A237" s="4" t="inlineStr">
        <is>
          <t>Студент2.28</t>
        </is>
      </c>
      <c r="B237" s="4" t="inlineStr"/>
      <c r="C237" s="4">
        <f>IF(A237="","",COUNTIF(F237:AI237,"+")+COUNTIF(F237:AI237,"1"))</f>
        <v/>
      </c>
      <c r="D237" s="4">
        <f>IF(A237="","",IF(C237&gt;2*COUNTA(F$209:AI$209)/3,'Общий'!$M$11,IF(C237&gt;=COUNTA(F$209:AI$209)/2,'Общий'!$M$12,'Общий'!$M$13)))</f>
        <v/>
      </c>
      <c r="E237" s="4">
        <f>IF(A237="","",SUMIFS('Логи'!$H$7:$H$3006,'Логи'!$A$7:$A$3006,4,'Логи'!$B$7:$B$3006,2,'Логи'!$C$7:$C$3006,A237))</f>
        <v/>
      </c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4" t="inlineStr">
        <is>
          <t>Студент2.29</t>
        </is>
      </c>
      <c r="B238" s="4" t="inlineStr"/>
      <c r="C238" s="4">
        <f>IF(A238="","",COUNTIF(F238:AI238,"+")+COUNTIF(F238:AI238,"1"))</f>
        <v/>
      </c>
      <c r="D238" s="4">
        <f>IF(A238="","",IF(C238&gt;2*COUNTA(F$209:AI$209)/3,'Общий'!$M$11,IF(C238&gt;=COUNTA(F$209:AI$209)/2,'Общий'!$M$12,'Общий'!$M$13)))</f>
        <v/>
      </c>
      <c r="E238" s="4">
        <f>IF(A238="","",SUMIFS('Логи'!$H$7:$H$3006,'Логи'!$A$7:$A$3006,4,'Логи'!$B$7:$B$3006,2,'Логи'!$C$7:$C$3006,A238))</f>
        <v/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</row>
    <row r="239">
      <c r="A239" s="4" t="inlineStr">
        <is>
          <t>Студент2.30</t>
        </is>
      </c>
      <c r="B239" s="4" t="inlineStr"/>
      <c r="C239" s="4">
        <f>IF(A239="","",COUNTIF(F239:AI239,"+")+COUNTIF(F239:AI239,"1"))</f>
        <v/>
      </c>
      <c r="D239" s="4">
        <f>IF(A239="","",IF(C239&gt;2*COUNTA(F$209:AI$209)/3,'Общий'!$M$11,IF(C239&gt;=COUNTA(F$209:AI$209)/2,'Общий'!$M$12,'Общий'!$M$13)))</f>
        <v/>
      </c>
      <c r="E239" s="4">
        <f>IF(A239="","",SUMIFS('Логи'!$H$7:$H$3006,'Логи'!$A$7:$A$3006,4,'Логи'!$B$7:$B$3006,2,'Логи'!$C$7:$C$3006,A239))</f>
        <v/>
      </c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1">
      <c r="A241" s="19" t="inlineStr">
        <is>
          <t>Практика 4 — результаты рассказа</t>
        </is>
      </c>
    </row>
    <row r="242" ht="28" customHeight="1">
      <c r="A242" s="9" t="inlineStr">
        <is>
          <t>Имя</t>
        </is>
      </c>
      <c r="B242" s="11" t="inlineStr">
        <is>
          <t>TG</t>
        </is>
      </c>
      <c r="C242" s="12" t="inlineStr"/>
      <c r="D242" s="3" t="inlineStr"/>
      <c r="E242" s="3" t="inlineStr"/>
      <c r="F242" s="13" t="inlineStr">
        <is>
          <t>1.0</t>
        </is>
      </c>
      <c r="G242" s="13" t="inlineStr">
        <is>
          <t>2.0</t>
        </is>
      </c>
      <c r="H242" s="13" t="inlineStr">
        <is>
          <t>3.0</t>
        </is>
      </c>
      <c r="I242" s="13" t="inlineStr">
        <is>
          <t>4.0</t>
        </is>
      </c>
      <c r="J242" s="13" t="inlineStr">
        <is>
          <t>5.0</t>
        </is>
      </c>
      <c r="K242" s="13" t="inlineStr">
        <is>
          <t>6</t>
        </is>
      </c>
      <c r="L242" s="13" t="inlineStr">
        <is>
          <t>7</t>
        </is>
      </c>
      <c r="M242" s="13" t="inlineStr">
        <is>
          <t>8</t>
        </is>
      </c>
      <c r="N242" s="13" t="inlineStr">
        <is>
          <t>9</t>
        </is>
      </c>
      <c r="O242" s="13" t="inlineStr">
        <is>
          <t>10</t>
        </is>
      </c>
      <c r="P242" s="13" t="inlineStr">
        <is>
          <t>11</t>
        </is>
      </c>
      <c r="Q242" s="13" t="inlineStr">
        <is>
          <t>12</t>
        </is>
      </c>
      <c r="R242" s="13" t="inlineStr">
        <is>
          <t>13</t>
        </is>
      </c>
      <c r="S242" s="13" t="inlineStr">
        <is>
          <t>14</t>
        </is>
      </c>
      <c r="T242" s="13" t="inlineStr">
        <is>
          <t>15</t>
        </is>
      </c>
      <c r="U242" s="13" t="inlineStr">
        <is>
          <t>16</t>
        </is>
      </c>
      <c r="V242" s="13" t="inlineStr">
        <is>
          <t>17</t>
        </is>
      </c>
      <c r="W242" s="13" t="inlineStr">
        <is>
          <t>18</t>
        </is>
      </c>
      <c r="X242" s="13" t="inlineStr">
        <is>
          <t>19</t>
        </is>
      </c>
      <c r="Y242" s="13" t="inlineStr">
        <is>
          <t>20</t>
        </is>
      </c>
      <c r="Z242" s="13" t="inlineStr">
        <is>
          <t>21</t>
        </is>
      </c>
      <c r="AA242" s="13" t="inlineStr">
        <is>
          <t>22</t>
        </is>
      </c>
      <c r="AB242" s="13" t="inlineStr">
        <is>
          <t>23</t>
        </is>
      </c>
      <c r="AC242" s="13" t="inlineStr">
        <is>
          <t>24</t>
        </is>
      </c>
      <c r="AD242" s="13" t="inlineStr">
        <is>
          <t>25</t>
        </is>
      </c>
      <c r="AE242" s="13" t="inlineStr">
        <is>
          <t>26</t>
        </is>
      </c>
      <c r="AF242" s="13" t="inlineStr">
        <is>
          <t>27</t>
        </is>
      </c>
      <c r="AG242" s="13" t="inlineStr">
        <is>
          <t>28</t>
        </is>
      </c>
      <c r="AH242" s="13" t="inlineStr">
        <is>
          <t>29</t>
        </is>
      </c>
      <c r="AI242" s="13" t="inlineStr">
        <is>
          <t>30</t>
        </is>
      </c>
    </row>
    <row r="243">
      <c r="A243" s="4" t="inlineStr">
        <is>
          <t>Студент2.1</t>
        </is>
      </c>
      <c r="B243" s="4" t="inlineStr"/>
      <c r="C243" s="4" t="n"/>
      <c r="D243" s="4" t="n"/>
      <c r="E243" s="4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4" t="inlineStr">
        <is>
          <t>Студент2.2</t>
        </is>
      </c>
      <c r="B244" s="4" t="inlineStr"/>
      <c r="C244" s="4" t="n"/>
      <c r="D244" s="4" t="n"/>
      <c r="E244" s="4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</row>
    <row r="245">
      <c r="A245" s="4" t="inlineStr">
        <is>
          <t>Студент2.3</t>
        </is>
      </c>
      <c r="B245" s="4" t="inlineStr"/>
      <c r="C245" s="4" t="n"/>
      <c r="D245" s="4" t="n"/>
      <c r="E245" s="4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4" t="inlineStr">
        <is>
          <t>Студент2.4</t>
        </is>
      </c>
      <c r="B246" s="4" t="inlineStr"/>
      <c r="C246" s="4" t="n"/>
      <c r="D246" s="4" t="n"/>
      <c r="E246" s="4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</row>
    <row r="247">
      <c r="A247" s="4" t="inlineStr">
        <is>
          <t>Студент2.5</t>
        </is>
      </c>
      <c r="B247" s="4" t="inlineStr"/>
      <c r="C247" s="4" t="n"/>
      <c r="D247" s="4" t="n"/>
      <c r="E247" s="4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4" t="inlineStr">
        <is>
          <t>Студент2.6</t>
        </is>
      </c>
      <c r="B248" s="4" t="inlineStr"/>
      <c r="C248" s="4" t="n"/>
      <c r="D248" s="4" t="n"/>
      <c r="E248" s="4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</row>
    <row r="249">
      <c r="A249" s="4" t="inlineStr">
        <is>
          <t>Студент2.7</t>
        </is>
      </c>
      <c r="B249" s="4" t="inlineStr"/>
      <c r="C249" s="4" t="n"/>
      <c r="D249" s="4" t="n"/>
      <c r="E249" s="4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4" t="inlineStr">
        <is>
          <t>Студент2.8</t>
        </is>
      </c>
      <c r="B250" s="4" t="inlineStr"/>
      <c r="C250" s="4" t="n"/>
      <c r="D250" s="4" t="n"/>
      <c r="E250" s="4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</row>
    <row r="251">
      <c r="A251" s="4" t="inlineStr">
        <is>
          <t>Студент2.9</t>
        </is>
      </c>
      <c r="B251" s="4" t="inlineStr"/>
      <c r="C251" s="4" t="n"/>
      <c r="D251" s="4" t="n"/>
      <c r="E251" s="4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4" t="inlineStr">
        <is>
          <t>Студент2.10</t>
        </is>
      </c>
      <c r="B252" s="4" t="inlineStr"/>
      <c r="C252" s="4" t="n"/>
      <c r="D252" s="4" t="n"/>
      <c r="E252" s="4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</row>
    <row r="253">
      <c r="A253" s="4" t="inlineStr">
        <is>
          <t>Студент2.11</t>
        </is>
      </c>
      <c r="B253" s="4" t="inlineStr"/>
      <c r="C253" s="4" t="n"/>
      <c r="D253" s="4" t="n"/>
      <c r="E253" s="4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4" t="inlineStr">
        <is>
          <t>Студент2.12</t>
        </is>
      </c>
      <c r="B254" s="4" t="inlineStr"/>
      <c r="C254" s="4" t="n"/>
      <c r="D254" s="4" t="n"/>
      <c r="E254" s="4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</row>
    <row r="255">
      <c r="A255" s="4" t="inlineStr">
        <is>
          <t>Студент2.13</t>
        </is>
      </c>
      <c r="B255" s="4" t="inlineStr"/>
      <c r="C255" s="4" t="n"/>
      <c r="D255" s="4" t="n"/>
      <c r="E255" s="4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4" t="inlineStr">
        <is>
          <t>Студент2.14</t>
        </is>
      </c>
      <c r="B256" s="4" t="inlineStr"/>
      <c r="C256" s="4" t="n"/>
      <c r="D256" s="4" t="n"/>
      <c r="E256" s="4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</row>
    <row r="257">
      <c r="A257" s="4" t="inlineStr">
        <is>
          <t>Студент2.15</t>
        </is>
      </c>
      <c r="B257" s="4" t="inlineStr"/>
      <c r="C257" s="4" t="n"/>
      <c r="D257" s="4" t="n"/>
      <c r="E257" s="4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4" t="inlineStr">
        <is>
          <t>Студент2.16</t>
        </is>
      </c>
      <c r="B258" s="4" t="inlineStr"/>
      <c r="C258" s="4" t="n"/>
      <c r="D258" s="4" t="n"/>
      <c r="E258" s="4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</row>
    <row r="259">
      <c r="A259" s="4" t="inlineStr">
        <is>
          <t>Студент2.17</t>
        </is>
      </c>
      <c r="B259" s="4" t="inlineStr"/>
      <c r="C259" s="4" t="n"/>
      <c r="D259" s="4" t="n"/>
      <c r="E259" s="4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4" t="inlineStr">
        <is>
          <t>Студент2.18</t>
        </is>
      </c>
      <c r="B260" s="4" t="inlineStr"/>
      <c r="C260" s="4" t="n"/>
      <c r="D260" s="4" t="n"/>
      <c r="E260" s="4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</row>
    <row r="261">
      <c r="A261" s="4" t="inlineStr">
        <is>
          <t>Студент2.19</t>
        </is>
      </c>
      <c r="B261" s="4" t="inlineStr"/>
      <c r="C261" s="4" t="n"/>
      <c r="D261" s="4" t="n"/>
      <c r="E261" s="4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4" t="inlineStr">
        <is>
          <t>Студент2.20</t>
        </is>
      </c>
      <c r="B262" s="4" t="inlineStr"/>
      <c r="C262" s="4" t="n"/>
      <c r="D262" s="4" t="n"/>
      <c r="E262" s="4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</row>
    <row r="263">
      <c r="A263" s="4" t="inlineStr">
        <is>
          <t>Студент2.21</t>
        </is>
      </c>
      <c r="B263" s="4" t="inlineStr"/>
      <c r="C263" s="4" t="n"/>
      <c r="D263" s="4" t="n"/>
      <c r="E263" s="4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4" t="inlineStr">
        <is>
          <t>Студент2.22</t>
        </is>
      </c>
      <c r="B264" s="4" t="inlineStr"/>
      <c r="C264" s="4" t="n"/>
      <c r="D264" s="4" t="n"/>
      <c r="E264" s="4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</row>
    <row r="265">
      <c r="A265" s="4" t="inlineStr">
        <is>
          <t>Студент2.23</t>
        </is>
      </c>
      <c r="B265" s="4" t="inlineStr"/>
      <c r="C265" s="4" t="n"/>
      <c r="D265" s="4" t="n"/>
      <c r="E265" s="4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4" t="inlineStr">
        <is>
          <t>Студент2.24</t>
        </is>
      </c>
      <c r="B266" s="4" t="inlineStr"/>
      <c r="C266" s="4" t="n"/>
      <c r="D266" s="4" t="n"/>
      <c r="E266" s="4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</row>
    <row r="267">
      <c r="A267" s="4" t="inlineStr">
        <is>
          <t>Студент2.25</t>
        </is>
      </c>
      <c r="B267" s="4" t="inlineStr"/>
      <c r="C267" s="4" t="n"/>
      <c r="D267" s="4" t="n"/>
      <c r="E267" s="4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4" t="inlineStr">
        <is>
          <t>Студент2.26</t>
        </is>
      </c>
      <c r="B268" s="4" t="inlineStr"/>
      <c r="C268" s="4" t="n"/>
      <c r="D268" s="4" t="n"/>
      <c r="E268" s="4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</row>
    <row r="269">
      <c r="A269" s="4" t="inlineStr">
        <is>
          <t>Студент2.27</t>
        </is>
      </c>
      <c r="B269" s="4" t="inlineStr"/>
      <c r="C269" s="4" t="n"/>
      <c r="D269" s="4" t="n"/>
      <c r="E269" s="4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4" t="inlineStr">
        <is>
          <t>Студент2.28</t>
        </is>
      </c>
      <c r="B270" s="4" t="inlineStr"/>
      <c r="C270" s="4" t="n"/>
      <c r="D270" s="4" t="n"/>
      <c r="E270" s="4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</row>
    <row r="271">
      <c r="A271" s="4" t="inlineStr">
        <is>
          <t>Студент2.29</t>
        </is>
      </c>
      <c r="B271" s="4" t="inlineStr"/>
      <c r="C271" s="4" t="n"/>
      <c r="D271" s="4" t="n"/>
      <c r="E271" s="4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4" t="inlineStr">
        <is>
          <t>Студент2.30</t>
        </is>
      </c>
      <c r="B272" s="4" t="inlineStr"/>
      <c r="C272" s="4" t="n"/>
      <c r="D272" s="4" t="n"/>
      <c r="E272" s="4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</row>
    <row r="276">
      <c r="A276" s="17" t="inlineStr">
        <is>
          <t>Практика 5 — плюсы</t>
        </is>
      </c>
    </row>
    <row r="277" ht="28" customHeight="1">
      <c r="A277" s="9" t="inlineStr">
        <is>
          <t>Имя</t>
        </is>
      </c>
      <c r="B277" s="11" t="inlineStr">
        <is>
          <t>TG</t>
        </is>
      </c>
      <c r="C277" s="12" t="inlineStr">
        <is>
          <t>S</t>
        </is>
      </c>
      <c r="D277" s="10" t="inlineStr">
        <is>
          <t>Коэффициент</t>
        </is>
      </c>
      <c r="E277" s="18" t="inlineStr">
        <is>
          <t>D за практику</t>
        </is>
      </c>
      <c r="F277" s="13" t="inlineStr">
        <is>
          <t>1.0</t>
        </is>
      </c>
      <c r="G277" s="13" t="inlineStr">
        <is>
          <t>2.0</t>
        </is>
      </c>
      <c r="H277" s="13" t="inlineStr">
        <is>
          <t>3.0</t>
        </is>
      </c>
      <c r="I277" s="13" t="inlineStr">
        <is>
          <t>4.0</t>
        </is>
      </c>
      <c r="J277" s="13" t="inlineStr">
        <is>
          <t>5.0</t>
        </is>
      </c>
      <c r="K277" s="13" t="inlineStr">
        <is>
          <t>6</t>
        </is>
      </c>
      <c r="L277" s="13" t="inlineStr">
        <is>
          <t>7</t>
        </is>
      </c>
      <c r="M277" s="13" t="inlineStr">
        <is>
          <t>8</t>
        </is>
      </c>
      <c r="N277" s="13" t="inlineStr">
        <is>
          <t>9</t>
        </is>
      </c>
      <c r="O277" s="13" t="inlineStr">
        <is>
          <t>10</t>
        </is>
      </c>
      <c r="P277" s="13" t="inlineStr">
        <is>
          <t>11</t>
        </is>
      </c>
      <c r="Q277" s="13" t="inlineStr">
        <is>
          <t>12</t>
        </is>
      </c>
      <c r="R277" s="13" t="inlineStr">
        <is>
          <t>13</t>
        </is>
      </c>
      <c r="S277" s="13" t="inlineStr">
        <is>
          <t>14</t>
        </is>
      </c>
      <c r="T277" s="13" t="inlineStr">
        <is>
          <t>15</t>
        </is>
      </c>
      <c r="U277" s="13" t="inlineStr">
        <is>
          <t>16</t>
        </is>
      </c>
      <c r="V277" s="13" t="inlineStr">
        <is>
          <t>17</t>
        </is>
      </c>
      <c r="W277" s="13" t="inlineStr">
        <is>
          <t>18</t>
        </is>
      </c>
      <c r="X277" s="13" t="inlineStr">
        <is>
          <t>19</t>
        </is>
      </c>
      <c r="Y277" s="13" t="inlineStr">
        <is>
          <t>20</t>
        </is>
      </c>
      <c r="Z277" s="13" t="inlineStr">
        <is>
          <t>21</t>
        </is>
      </c>
      <c r="AA277" s="13" t="inlineStr">
        <is>
          <t>22</t>
        </is>
      </c>
      <c r="AB277" s="13" t="inlineStr">
        <is>
          <t>23</t>
        </is>
      </c>
      <c r="AC277" s="13" t="inlineStr">
        <is>
          <t>24</t>
        </is>
      </c>
      <c r="AD277" s="13" t="inlineStr">
        <is>
          <t>25</t>
        </is>
      </c>
      <c r="AE277" s="13" t="inlineStr">
        <is>
          <t>26</t>
        </is>
      </c>
      <c r="AF277" s="13" t="inlineStr">
        <is>
          <t>27</t>
        </is>
      </c>
      <c r="AG277" s="13" t="inlineStr">
        <is>
          <t>28</t>
        </is>
      </c>
      <c r="AH277" s="13" t="inlineStr">
        <is>
          <t>29</t>
        </is>
      </c>
      <c r="AI277" s="13" t="inlineStr">
        <is>
          <t>30</t>
        </is>
      </c>
    </row>
    <row r="278">
      <c r="A278" s="4" t="inlineStr">
        <is>
          <t>Студент2.1</t>
        </is>
      </c>
      <c r="B278" s="4" t="inlineStr"/>
      <c r="C278" s="4">
        <f>IF(A278="","",COUNTIF(F278:AI278,"+")+COUNTIF(F278:AI278,"1"))</f>
        <v/>
      </c>
      <c r="D278" s="4">
        <f>IF(A278="","",IF(C278&gt;2*COUNTA(F$277:AI$277)/3,'Общий'!$M$11,IF(C278&gt;=COUNTA(F$277:AI$277)/2,'Общий'!$M$12,'Общий'!$M$13)))</f>
        <v/>
      </c>
      <c r="E278" s="4">
        <f>IF(A278="","",SUMIFS('Логи'!$H$7:$H$3006,'Логи'!$A$7:$A$3006,5,'Логи'!$B$7:$B$3006,2,'Логи'!$C$7:$C$3006,A278))</f>
        <v/>
      </c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</row>
    <row r="279">
      <c r="A279" s="4" t="inlineStr">
        <is>
          <t>Студент2.2</t>
        </is>
      </c>
      <c r="B279" s="4" t="inlineStr"/>
      <c r="C279" s="4">
        <f>IF(A279="","",COUNTIF(F279:AI279,"+")+COUNTIF(F279:AI279,"1"))</f>
        <v/>
      </c>
      <c r="D279" s="4">
        <f>IF(A279="","",IF(C279&gt;2*COUNTA(F$277:AI$277)/3,'Общий'!$M$11,IF(C279&gt;=COUNTA(F$277:AI$277)/2,'Общий'!$M$12,'Общий'!$M$13)))</f>
        <v/>
      </c>
      <c r="E279" s="4">
        <f>IF(A279="","",SUMIFS('Логи'!$H$7:$H$3006,'Логи'!$A$7:$A$3006,5,'Логи'!$B$7:$B$3006,2,'Логи'!$C$7:$C$3006,A279))</f>
        <v/>
      </c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4" t="inlineStr">
        <is>
          <t>Студент2.3</t>
        </is>
      </c>
      <c r="B280" s="4" t="inlineStr"/>
      <c r="C280" s="4">
        <f>IF(A280="","",COUNTIF(F280:AI280,"+")+COUNTIF(F280:AI280,"1"))</f>
        <v/>
      </c>
      <c r="D280" s="4">
        <f>IF(A280="","",IF(C280&gt;2*COUNTA(F$277:AI$277)/3,'Общий'!$M$11,IF(C280&gt;=COUNTA(F$277:AI$277)/2,'Общий'!$M$12,'Общий'!$M$13)))</f>
        <v/>
      </c>
      <c r="E280" s="4">
        <f>IF(A280="","",SUMIFS('Логи'!$H$7:$H$3006,'Логи'!$A$7:$A$3006,5,'Логи'!$B$7:$B$3006,2,'Логи'!$C$7:$C$3006,A280))</f>
        <v/>
      </c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</row>
    <row r="281">
      <c r="A281" s="4" t="inlineStr">
        <is>
          <t>Студент2.4</t>
        </is>
      </c>
      <c r="B281" s="4" t="inlineStr"/>
      <c r="C281" s="4">
        <f>IF(A281="","",COUNTIF(F281:AI281,"+")+COUNTIF(F281:AI281,"1"))</f>
        <v/>
      </c>
      <c r="D281" s="4">
        <f>IF(A281="","",IF(C281&gt;2*COUNTA(F$277:AI$277)/3,'Общий'!$M$11,IF(C281&gt;=COUNTA(F$277:AI$277)/2,'Общий'!$M$12,'Общий'!$M$13)))</f>
        <v/>
      </c>
      <c r="E281" s="4">
        <f>IF(A281="","",SUMIFS('Логи'!$H$7:$H$3006,'Логи'!$A$7:$A$3006,5,'Логи'!$B$7:$B$3006,2,'Логи'!$C$7:$C$3006,A281))</f>
        <v/>
      </c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4" t="inlineStr">
        <is>
          <t>Студент2.5</t>
        </is>
      </c>
      <c r="B282" s="4" t="inlineStr"/>
      <c r="C282" s="4">
        <f>IF(A282="","",COUNTIF(F282:AI282,"+")+COUNTIF(F282:AI282,"1"))</f>
        <v/>
      </c>
      <c r="D282" s="4">
        <f>IF(A282="","",IF(C282&gt;2*COUNTA(F$277:AI$277)/3,'Общий'!$M$11,IF(C282&gt;=COUNTA(F$277:AI$277)/2,'Общий'!$M$12,'Общий'!$M$13)))</f>
        <v/>
      </c>
      <c r="E282" s="4">
        <f>IF(A282="","",SUMIFS('Логи'!$H$7:$H$3006,'Логи'!$A$7:$A$3006,5,'Логи'!$B$7:$B$3006,2,'Логи'!$C$7:$C$3006,A282))</f>
        <v/>
      </c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</row>
    <row r="283">
      <c r="A283" s="4" t="inlineStr">
        <is>
          <t>Студент2.6</t>
        </is>
      </c>
      <c r="B283" s="4" t="inlineStr"/>
      <c r="C283" s="4">
        <f>IF(A283="","",COUNTIF(F283:AI283,"+")+COUNTIF(F283:AI283,"1"))</f>
        <v/>
      </c>
      <c r="D283" s="4">
        <f>IF(A283="","",IF(C283&gt;2*COUNTA(F$277:AI$277)/3,'Общий'!$M$11,IF(C283&gt;=COUNTA(F$277:AI$277)/2,'Общий'!$M$12,'Общий'!$M$13)))</f>
        <v/>
      </c>
      <c r="E283" s="4">
        <f>IF(A283="","",SUMIFS('Логи'!$H$7:$H$3006,'Логи'!$A$7:$A$3006,5,'Логи'!$B$7:$B$3006,2,'Логи'!$C$7:$C$3006,A283))</f>
        <v/>
      </c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4" t="inlineStr">
        <is>
          <t>Студент2.7</t>
        </is>
      </c>
      <c r="B284" s="4" t="inlineStr"/>
      <c r="C284" s="4">
        <f>IF(A284="","",COUNTIF(F284:AI284,"+")+COUNTIF(F284:AI284,"1"))</f>
        <v/>
      </c>
      <c r="D284" s="4">
        <f>IF(A284="","",IF(C284&gt;2*COUNTA(F$277:AI$277)/3,'Общий'!$M$11,IF(C284&gt;=COUNTA(F$277:AI$277)/2,'Общий'!$M$12,'Общий'!$M$13)))</f>
        <v/>
      </c>
      <c r="E284" s="4">
        <f>IF(A284="","",SUMIFS('Логи'!$H$7:$H$3006,'Логи'!$A$7:$A$3006,5,'Логи'!$B$7:$B$3006,2,'Логи'!$C$7:$C$3006,A284))</f>
        <v/>
      </c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</row>
    <row r="285">
      <c r="A285" s="4" t="inlineStr">
        <is>
          <t>Студент2.8</t>
        </is>
      </c>
      <c r="B285" s="4" t="inlineStr"/>
      <c r="C285" s="4">
        <f>IF(A285="","",COUNTIF(F285:AI285,"+")+COUNTIF(F285:AI285,"1"))</f>
        <v/>
      </c>
      <c r="D285" s="4">
        <f>IF(A285="","",IF(C285&gt;2*COUNTA(F$277:AI$277)/3,'Общий'!$M$11,IF(C285&gt;=COUNTA(F$277:AI$277)/2,'Общий'!$M$12,'Общий'!$M$13)))</f>
        <v/>
      </c>
      <c r="E285" s="4">
        <f>IF(A285="","",SUMIFS('Логи'!$H$7:$H$3006,'Логи'!$A$7:$A$3006,5,'Логи'!$B$7:$B$3006,2,'Логи'!$C$7:$C$3006,A285))</f>
        <v/>
      </c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4" t="inlineStr">
        <is>
          <t>Студент2.9</t>
        </is>
      </c>
      <c r="B286" s="4" t="inlineStr"/>
      <c r="C286" s="4">
        <f>IF(A286="","",COUNTIF(F286:AI286,"+")+COUNTIF(F286:AI286,"1"))</f>
        <v/>
      </c>
      <c r="D286" s="4">
        <f>IF(A286="","",IF(C286&gt;2*COUNTA(F$277:AI$277)/3,'Общий'!$M$11,IF(C286&gt;=COUNTA(F$277:AI$277)/2,'Общий'!$M$12,'Общий'!$M$13)))</f>
        <v/>
      </c>
      <c r="E286" s="4">
        <f>IF(A286="","",SUMIFS('Логи'!$H$7:$H$3006,'Логи'!$A$7:$A$3006,5,'Логи'!$B$7:$B$3006,2,'Логи'!$C$7:$C$3006,A286))</f>
        <v/>
      </c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</row>
    <row r="287">
      <c r="A287" s="4" t="inlineStr">
        <is>
          <t>Студент2.10</t>
        </is>
      </c>
      <c r="B287" s="4" t="inlineStr"/>
      <c r="C287" s="4">
        <f>IF(A287="","",COUNTIF(F287:AI287,"+")+COUNTIF(F287:AI287,"1"))</f>
        <v/>
      </c>
      <c r="D287" s="4">
        <f>IF(A287="","",IF(C287&gt;2*COUNTA(F$277:AI$277)/3,'Общий'!$M$11,IF(C287&gt;=COUNTA(F$277:AI$277)/2,'Общий'!$M$12,'Общий'!$M$13)))</f>
        <v/>
      </c>
      <c r="E287" s="4">
        <f>IF(A287="","",SUMIFS('Логи'!$H$7:$H$3006,'Логи'!$A$7:$A$3006,5,'Логи'!$B$7:$B$3006,2,'Логи'!$C$7:$C$3006,A287))</f>
        <v/>
      </c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4" t="inlineStr">
        <is>
          <t>Студент2.11</t>
        </is>
      </c>
      <c r="B288" s="4" t="inlineStr"/>
      <c r="C288" s="4">
        <f>IF(A288="","",COUNTIF(F288:AI288,"+")+COUNTIF(F288:AI288,"1"))</f>
        <v/>
      </c>
      <c r="D288" s="4">
        <f>IF(A288="","",IF(C288&gt;2*COUNTA(F$277:AI$277)/3,'Общий'!$M$11,IF(C288&gt;=COUNTA(F$277:AI$277)/2,'Общий'!$M$12,'Общий'!$M$13)))</f>
        <v/>
      </c>
      <c r="E288" s="4">
        <f>IF(A288="","",SUMIFS('Логи'!$H$7:$H$3006,'Логи'!$A$7:$A$3006,5,'Логи'!$B$7:$B$3006,2,'Логи'!$C$7:$C$3006,A288))</f>
        <v/>
      </c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</row>
    <row r="289">
      <c r="A289" s="4" t="inlineStr">
        <is>
          <t>Студент2.12</t>
        </is>
      </c>
      <c r="B289" s="4" t="inlineStr"/>
      <c r="C289" s="4">
        <f>IF(A289="","",COUNTIF(F289:AI289,"+")+COUNTIF(F289:AI289,"1"))</f>
        <v/>
      </c>
      <c r="D289" s="4">
        <f>IF(A289="","",IF(C289&gt;2*COUNTA(F$277:AI$277)/3,'Общий'!$M$11,IF(C289&gt;=COUNTA(F$277:AI$277)/2,'Общий'!$M$12,'Общий'!$M$13)))</f>
        <v/>
      </c>
      <c r="E289" s="4">
        <f>IF(A289="","",SUMIFS('Логи'!$H$7:$H$3006,'Логи'!$A$7:$A$3006,5,'Логи'!$B$7:$B$3006,2,'Логи'!$C$7:$C$3006,A289))</f>
        <v/>
      </c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4" t="inlineStr">
        <is>
          <t>Студент2.13</t>
        </is>
      </c>
      <c r="B290" s="4" t="inlineStr"/>
      <c r="C290" s="4">
        <f>IF(A290="","",COUNTIF(F290:AI290,"+")+COUNTIF(F290:AI290,"1"))</f>
        <v/>
      </c>
      <c r="D290" s="4">
        <f>IF(A290="","",IF(C290&gt;2*COUNTA(F$277:AI$277)/3,'Общий'!$M$11,IF(C290&gt;=COUNTA(F$277:AI$277)/2,'Общий'!$M$12,'Общий'!$M$13)))</f>
        <v/>
      </c>
      <c r="E290" s="4">
        <f>IF(A290="","",SUMIFS('Логи'!$H$7:$H$3006,'Логи'!$A$7:$A$3006,5,'Логи'!$B$7:$B$3006,2,'Логи'!$C$7:$C$3006,A290))</f>
        <v/>
      </c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</row>
    <row r="291">
      <c r="A291" s="4" t="inlineStr">
        <is>
          <t>Студент2.14</t>
        </is>
      </c>
      <c r="B291" s="4" t="inlineStr"/>
      <c r="C291" s="4">
        <f>IF(A291="","",COUNTIF(F291:AI291,"+")+COUNTIF(F291:AI291,"1"))</f>
        <v/>
      </c>
      <c r="D291" s="4">
        <f>IF(A291="","",IF(C291&gt;2*COUNTA(F$277:AI$277)/3,'Общий'!$M$11,IF(C291&gt;=COUNTA(F$277:AI$277)/2,'Общий'!$M$12,'Общий'!$M$13)))</f>
        <v/>
      </c>
      <c r="E291" s="4">
        <f>IF(A291="","",SUMIFS('Логи'!$H$7:$H$3006,'Логи'!$A$7:$A$3006,5,'Логи'!$B$7:$B$3006,2,'Логи'!$C$7:$C$3006,A291))</f>
        <v/>
      </c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4" t="inlineStr">
        <is>
          <t>Студент2.15</t>
        </is>
      </c>
      <c r="B292" s="4" t="inlineStr"/>
      <c r="C292" s="4">
        <f>IF(A292="","",COUNTIF(F292:AI292,"+")+COUNTIF(F292:AI292,"1"))</f>
        <v/>
      </c>
      <c r="D292" s="4">
        <f>IF(A292="","",IF(C292&gt;2*COUNTA(F$277:AI$277)/3,'Общий'!$M$11,IF(C292&gt;=COUNTA(F$277:AI$277)/2,'Общий'!$M$12,'Общий'!$M$13)))</f>
        <v/>
      </c>
      <c r="E292" s="4">
        <f>IF(A292="","",SUMIFS('Логи'!$H$7:$H$3006,'Логи'!$A$7:$A$3006,5,'Логи'!$B$7:$B$3006,2,'Логи'!$C$7:$C$3006,A292))</f>
        <v/>
      </c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</row>
    <row r="293">
      <c r="A293" s="4" t="inlineStr">
        <is>
          <t>Студент2.16</t>
        </is>
      </c>
      <c r="B293" s="4" t="inlineStr"/>
      <c r="C293" s="4">
        <f>IF(A293="","",COUNTIF(F293:AI293,"+")+COUNTIF(F293:AI293,"1"))</f>
        <v/>
      </c>
      <c r="D293" s="4">
        <f>IF(A293="","",IF(C293&gt;2*COUNTA(F$277:AI$277)/3,'Общий'!$M$11,IF(C293&gt;=COUNTA(F$277:AI$277)/2,'Общий'!$M$12,'Общий'!$M$13)))</f>
        <v/>
      </c>
      <c r="E293" s="4">
        <f>IF(A293="","",SUMIFS('Логи'!$H$7:$H$3006,'Логи'!$A$7:$A$3006,5,'Логи'!$B$7:$B$3006,2,'Логи'!$C$7:$C$3006,A293))</f>
        <v/>
      </c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4" t="inlineStr">
        <is>
          <t>Студент2.17</t>
        </is>
      </c>
      <c r="B294" s="4" t="inlineStr"/>
      <c r="C294" s="4">
        <f>IF(A294="","",COUNTIF(F294:AI294,"+")+COUNTIF(F294:AI294,"1"))</f>
        <v/>
      </c>
      <c r="D294" s="4">
        <f>IF(A294="","",IF(C294&gt;2*COUNTA(F$277:AI$277)/3,'Общий'!$M$11,IF(C294&gt;=COUNTA(F$277:AI$277)/2,'Общий'!$M$12,'Общий'!$M$13)))</f>
        <v/>
      </c>
      <c r="E294" s="4">
        <f>IF(A294="","",SUMIFS('Логи'!$H$7:$H$3006,'Логи'!$A$7:$A$3006,5,'Логи'!$B$7:$B$3006,2,'Логи'!$C$7:$C$3006,A294))</f>
        <v/>
      </c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</row>
    <row r="295">
      <c r="A295" s="4" t="inlineStr">
        <is>
          <t>Студент2.18</t>
        </is>
      </c>
      <c r="B295" s="4" t="inlineStr"/>
      <c r="C295" s="4">
        <f>IF(A295="","",COUNTIF(F295:AI295,"+")+COUNTIF(F295:AI295,"1"))</f>
        <v/>
      </c>
      <c r="D295" s="4">
        <f>IF(A295="","",IF(C295&gt;2*COUNTA(F$277:AI$277)/3,'Общий'!$M$11,IF(C295&gt;=COUNTA(F$277:AI$277)/2,'Общий'!$M$12,'Общий'!$M$13)))</f>
        <v/>
      </c>
      <c r="E295" s="4">
        <f>IF(A295="","",SUMIFS('Логи'!$H$7:$H$3006,'Логи'!$A$7:$A$3006,5,'Логи'!$B$7:$B$3006,2,'Логи'!$C$7:$C$3006,A295))</f>
        <v/>
      </c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4" t="inlineStr">
        <is>
          <t>Студент2.19</t>
        </is>
      </c>
      <c r="B296" s="4" t="inlineStr"/>
      <c r="C296" s="4">
        <f>IF(A296="","",COUNTIF(F296:AI296,"+")+COUNTIF(F296:AI296,"1"))</f>
        <v/>
      </c>
      <c r="D296" s="4">
        <f>IF(A296="","",IF(C296&gt;2*COUNTA(F$277:AI$277)/3,'Общий'!$M$11,IF(C296&gt;=COUNTA(F$277:AI$277)/2,'Общий'!$M$12,'Общий'!$M$13)))</f>
        <v/>
      </c>
      <c r="E296" s="4">
        <f>IF(A296="","",SUMIFS('Логи'!$H$7:$H$3006,'Логи'!$A$7:$A$3006,5,'Логи'!$B$7:$B$3006,2,'Логи'!$C$7:$C$3006,A296))</f>
        <v/>
      </c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</row>
    <row r="297">
      <c r="A297" s="4" t="inlineStr">
        <is>
          <t>Студент2.20</t>
        </is>
      </c>
      <c r="B297" s="4" t="inlineStr"/>
      <c r="C297" s="4">
        <f>IF(A297="","",COUNTIF(F297:AI297,"+")+COUNTIF(F297:AI297,"1"))</f>
        <v/>
      </c>
      <c r="D297" s="4">
        <f>IF(A297="","",IF(C297&gt;2*COUNTA(F$277:AI$277)/3,'Общий'!$M$11,IF(C297&gt;=COUNTA(F$277:AI$277)/2,'Общий'!$M$12,'Общий'!$M$13)))</f>
        <v/>
      </c>
      <c r="E297" s="4">
        <f>IF(A297="","",SUMIFS('Логи'!$H$7:$H$3006,'Логи'!$A$7:$A$3006,5,'Логи'!$B$7:$B$3006,2,'Логи'!$C$7:$C$3006,A297))</f>
        <v/>
      </c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4" t="inlineStr">
        <is>
          <t>Студент2.21</t>
        </is>
      </c>
      <c r="B298" s="4" t="inlineStr"/>
      <c r="C298" s="4">
        <f>IF(A298="","",COUNTIF(F298:AI298,"+")+COUNTIF(F298:AI298,"1"))</f>
        <v/>
      </c>
      <c r="D298" s="4">
        <f>IF(A298="","",IF(C298&gt;2*COUNTA(F$277:AI$277)/3,'Общий'!$M$11,IF(C298&gt;=COUNTA(F$277:AI$277)/2,'Общий'!$M$12,'Общий'!$M$13)))</f>
        <v/>
      </c>
      <c r="E298" s="4">
        <f>IF(A298="","",SUMIFS('Логи'!$H$7:$H$3006,'Логи'!$A$7:$A$3006,5,'Логи'!$B$7:$B$3006,2,'Логи'!$C$7:$C$3006,A298))</f>
        <v/>
      </c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</row>
    <row r="299">
      <c r="A299" s="4" t="inlineStr">
        <is>
          <t>Студент2.22</t>
        </is>
      </c>
      <c r="B299" s="4" t="inlineStr"/>
      <c r="C299" s="4">
        <f>IF(A299="","",COUNTIF(F299:AI299,"+")+COUNTIF(F299:AI299,"1"))</f>
        <v/>
      </c>
      <c r="D299" s="4">
        <f>IF(A299="","",IF(C299&gt;2*COUNTA(F$277:AI$277)/3,'Общий'!$M$11,IF(C299&gt;=COUNTA(F$277:AI$277)/2,'Общий'!$M$12,'Общий'!$M$13)))</f>
        <v/>
      </c>
      <c r="E299" s="4">
        <f>IF(A299="","",SUMIFS('Логи'!$H$7:$H$3006,'Логи'!$A$7:$A$3006,5,'Логи'!$B$7:$B$3006,2,'Логи'!$C$7:$C$3006,A299))</f>
        <v/>
      </c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4" t="inlineStr">
        <is>
          <t>Студент2.23</t>
        </is>
      </c>
      <c r="B300" s="4" t="inlineStr"/>
      <c r="C300" s="4">
        <f>IF(A300="","",COUNTIF(F300:AI300,"+")+COUNTIF(F300:AI300,"1"))</f>
        <v/>
      </c>
      <c r="D300" s="4">
        <f>IF(A300="","",IF(C300&gt;2*COUNTA(F$277:AI$277)/3,'Общий'!$M$11,IF(C300&gt;=COUNTA(F$277:AI$277)/2,'Общий'!$M$12,'Общий'!$M$13)))</f>
        <v/>
      </c>
      <c r="E300" s="4">
        <f>IF(A300="","",SUMIFS('Логи'!$H$7:$H$3006,'Логи'!$A$7:$A$3006,5,'Логи'!$B$7:$B$3006,2,'Логи'!$C$7:$C$3006,A300))</f>
        <v/>
      </c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</row>
    <row r="301">
      <c r="A301" s="4" t="inlineStr">
        <is>
          <t>Студент2.24</t>
        </is>
      </c>
      <c r="B301" s="4" t="inlineStr"/>
      <c r="C301" s="4">
        <f>IF(A301="","",COUNTIF(F301:AI301,"+")+COUNTIF(F301:AI301,"1"))</f>
        <v/>
      </c>
      <c r="D301" s="4">
        <f>IF(A301="","",IF(C301&gt;2*COUNTA(F$277:AI$277)/3,'Общий'!$M$11,IF(C301&gt;=COUNTA(F$277:AI$277)/2,'Общий'!$M$12,'Общий'!$M$13)))</f>
        <v/>
      </c>
      <c r="E301" s="4">
        <f>IF(A301="","",SUMIFS('Логи'!$H$7:$H$3006,'Логи'!$A$7:$A$3006,5,'Логи'!$B$7:$B$3006,2,'Логи'!$C$7:$C$3006,A301))</f>
        <v/>
      </c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4" t="inlineStr">
        <is>
          <t>Студент2.25</t>
        </is>
      </c>
      <c r="B302" s="4" t="inlineStr"/>
      <c r="C302" s="4">
        <f>IF(A302="","",COUNTIF(F302:AI302,"+")+COUNTIF(F302:AI302,"1"))</f>
        <v/>
      </c>
      <c r="D302" s="4">
        <f>IF(A302="","",IF(C302&gt;2*COUNTA(F$277:AI$277)/3,'Общий'!$M$11,IF(C302&gt;=COUNTA(F$277:AI$277)/2,'Общий'!$M$12,'Общий'!$M$13)))</f>
        <v/>
      </c>
      <c r="E302" s="4">
        <f>IF(A302="","",SUMIFS('Логи'!$H$7:$H$3006,'Логи'!$A$7:$A$3006,5,'Логи'!$B$7:$B$3006,2,'Логи'!$C$7:$C$3006,A302))</f>
        <v/>
      </c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</row>
    <row r="303">
      <c r="A303" s="4" t="inlineStr">
        <is>
          <t>Студент2.26</t>
        </is>
      </c>
      <c r="B303" s="4" t="inlineStr"/>
      <c r="C303" s="4">
        <f>IF(A303="","",COUNTIF(F303:AI303,"+")+COUNTIF(F303:AI303,"1"))</f>
        <v/>
      </c>
      <c r="D303" s="4">
        <f>IF(A303="","",IF(C303&gt;2*COUNTA(F$277:AI$277)/3,'Общий'!$M$11,IF(C303&gt;=COUNTA(F$277:AI$277)/2,'Общий'!$M$12,'Общий'!$M$13)))</f>
        <v/>
      </c>
      <c r="E303" s="4">
        <f>IF(A303="","",SUMIFS('Логи'!$H$7:$H$3006,'Логи'!$A$7:$A$3006,5,'Логи'!$B$7:$B$3006,2,'Логи'!$C$7:$C$3006,A303))</f>
        <v/>
      </c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4" t="inlineStr">
        <is>
          <t>Студент2.27</t>
        </is>
      </c>
      <c r="B304" s="4" t="inlineStr"/>
      <c r="C304" s="4">
        <f>IF(A304="","",COUNTIF(F304:AI304,"+")+COUNTIF(F304:AI304,"1"))</f>
        <v/>
      </c>
      <c r="D304" s="4">
        <f>IF(A304="","",IF(C304&gt;2*COUNTA(F$277:AI$277)/3,'Общий'!$M$11,IF(C304&gt;=COUNTA(F$277:AI$277)/2,'Общий'!$M$12,'Общий'!$M$13)))</f>
        <v/>
      </c>
      <c r="E304" s="4">
        <f>IF(A304="","",SUMIFS('Логи'!$H$7:$H$3006,'Логи'!$A$7:$A$3006,5,'Логи'!$B$7:$B$3006,2,'Логи'!$C$7:$C$3006,A304))</f>
        <v/>
      </c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  <c r="AI304" s="5" t="n"/>
    </row>
    <row r="305">
      <c r="A305" s="4" t="inlineStr">
        <is>
          <t>Студент2.28</t>
        </is>
      </c>
      <c r="B305" s="4" t="inlineStr"/>
      <c r="C305" s="4">
        <f>IF(A305="","",COUNTIF(F305:AI305,"+")+COUNTIF(F305:AI305,"1"))</f>
        <v/>
      </c>
      <c r="D305" s="4">
        <f>IF(A305="","",IF(C305&gt;2*COUNTA(F$277:AI$277)/3,'Общий'!$M$11,IF(C305&gt;=COUNTA(F$277:AI$277)/2,'Общий'!$M$12,'Общий'!$M$13)))</f>
        <v/>
      </c>
      <c r="E305" s="4">
        <f>IF(A305="","",SUMIFS('Логи'!$H$7:$H$3006,'Логи'!$A$7:$A$3006,5,'Логи'!$B$7:$B$3006,2,'Логи'!$C$7:$C$3006,A305))</f>
        <v/>
      </c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4" t="inlineStr">
        <is>
          <t>Студент2.29</t>
        </is>
      </c>
      <c r="B306" s="4" t="inlineStr"/>
      <c r="C306" s="4">
        <f>IF(A306="","",COUNTIF(F306:AI306,"+")+COUNTIF(F306:AI306,"1"))</f>
        <v/>
      </c>
      <c r="D306" s="4">
        <f>IF(A306="","",IF(C306&gt;2*COUNTA(F$277:AI$277)/3,'Общий'!$M$11,IF(C306&gt;=COUNTA(F$277:AI$277)/2,'Общий'!$M$12,'Общий'!$M$13)))</f>
        <v/>
      </c>
      <c r="E306" s="4">
        <f>IF(A306="","",SUMIFS('Логи'!$H$7:$H$3006,'Логи'!$A$7:$A$3006,5,'Логи'!$B$7:$B$3006,2,'Логи'!$C$7:$C$3006,A306))</f>
        <v/>
      </c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  <c r="AI306" s="5" t="n"/>
    </row>
    <row r="307">
      <c r="A307" s="4" t="inlineStr">
        <is>
          <t>Студент2.30</t>
        </is>
      </c>
      <c r="B307" s="4" t="inlineStr"/>
      <c r="C307" s="4">
        <f>IF(A307="","",COUNTIF(F307:AI307,"+")+COUNTIF(F307:AI307,"1"))</f>
        <v/>
      </c>
      <c r="D307" s="4">
        <f>IF(A307="","",IF(C307&gt;2*COUNTA(F$277:AI$277)/3,'Общий'!$M$11,IF(C307&gt;=COUNTA(F$277:AI$277)/2,'Общий'!$M$12,'Общий'!$M$13)))</f>
        <v/>
      </c>
      <c r="E307" s="4">
        <f>IF(A307="","",SUMIFS('Логи'!$H$7:$H$3006,'Логи'!$A$7:$A$3006,5,'Логи'!$B$7:$B$3006,2,'Логи'!$C$7:$C$3006,A307))</f>
        <v/>
      </c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9">
      <c r="A309" s="19" t="inlineStr">
        <is>
          <t>Практика 5 — результаты рассказа</t>
        </is>
      </c>
    </row>
    <row r="310" ht="28" customHeight="1">
      <c r="A310" s="9" t="inlineStr">
        <is>
          <t>Имя</t>
        </is>
      </c>
      <c r="B310" s="11" t="inlineStr">
        <is>
          <t>TG</t>
        </is>
      </c>
      <c r="C310" s="12" t="inlineStr"/>
      <c r="D310" s="3" t="inlineStr"/>
      <c r="E310" s="3" t="inlineStr"/>
      <c r="F310" s="13" t="inlineStr">
        <is>
          <t>1.0</t>
        </is>
      </c>
      <c r="G310" s="13" t="inlineStr">
        <is>
          <t>2.0</t>
        </is>
      </c>
      <c r="H310" s="13" t="inlineStr">
        <is>
          <t>3.0</t>
        </is>
      </c>
      <c r="I310" s="13" t="inlineStr">
        <is>
          <t>4.0</t>
        </is>
      </c>
      <c r="J310" s="13" t="inlineStr">
        <is>
          <t>5.0</t>
        </is>
      </c>
      <c r="K310" s="13" t="inlineStr">
        <is>
          <t>6</t>
        </is>
      </c>
      <c r="L310" s="13" t="inlineStr">
        <is>
          <t>7</t>
        </is>
      </c>
      <c r="M310" s="13" t="inlineStr">
        <is>
          <t>8</t>
        </is>
      </c>
      <c r="N310" s="13" t="inlineStr">
        <is>
          <t>9</t>
        </is>
      </c>
      <c r="O310" s="13" t="inlineStr">
        <is>
          <t>10</t>
        </is>
      </c>
      <c r="P310" s="13" t="inlineStr">
        <is>
          <t>11</t>
        </is>
      </c>
      <c r="Q310" s="13" t="inlineStr">
        <is>
          <t>12</t>
        </is>
      </c>
      <c r="R310" s="13" t="inlineStr">
        <is>
          <t>13</t>
        </is>
      </c>
      <c r="S310" s="13" t="inlineStr">
        <is>
          <t>14</t>
        </is>
      </c>
      <c r="T310" s="13" t="inlineStr">
        <is>
          <t>15</t>
        </is>
      </c>
      <c r="U310" s="13" t="inlineStr">
        <is>
          <t>16</t>
        </is>
      </c>
      <c r="V310" s="13" t="inlineStr">
        <is>
          <t>17</t>
        </is>
      </c>
      <c r="W310" s="13" t="inlineStr">
        <is>
          <t>18</t>
        </is>
      </c>
      <c r="X310" s="13" t="inlineStr">
        <is>
          <t>19</t>
        </is>
      </c>
      <c r="Y310" s="13" t="inlineStr">
        <is>
          <t>20</t>
        </is>
      </c>
      <c r="Z310" s="13" t="inlineStr">
        <is>
          <t>21</t>
        </is>
      </c>
      <c r="AA310" s="13" t="inlineStr">
        <is>
          <t>22</t>
        </is>
      </c>
      <c r="AB310" s="13" t="inlineStr">
        <is>
          <t>23</t>
        </is>
      </c>
      <c r="AC310" s="13" t="inlineStr">
        <is>
          <t>24</t>
        </is>
      </c>
      <c r="AD310" s="13" t="inlineStr">
        <is>
          <t>25</t>
        </is>
      </c>
      <c r="AE310" s="13" t="inlineStr">
        <is>
          <t>26</t>
        </is>
      </c>
      <c r="AF310" s="13" t="inlineStr">
        <is>
          <t>27</t>
        </is>
      </c>
      <c r="AG310" s="13" t="inlineStr">
        <is>
          <t>28</t>
        </is>
      </c>
      <c r="AH310" s="13" t="inlineStr">
        <is>
          <t>29</t>
        </is>
      </c>
      <c r="AI310" s="13" t="inlineStr">
        <is>
          <t>30</t>
        </is>
      </c>
    </row>
    <row r="311">
      <c r="A311" s="4" t="inlineStr">
        <is>
          <t>Студент2.1</t>
        </is>
      </c>
      <c r="B311" s="4" t="inlineStr"/>
      <c r="C311" s="4" t="n"/>
      <c r="D311" s="4" t="n"/>
      <c r="E311" s="4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4" t="inlineStr">
        <is>
          <t>Студент2.2</t>
        </is>
      </c>
      <c r="B312" s="4" t="inlineStr"/>
      <c r="C312" s="4" t="n"/>
      <c r="D312" s="4" t="n"/>
      <c r="E312" s="4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  <c r="AI312" s="5" t="n"/>
    </row>
    <row r="313">
      <c r="A313" s="4" t="inlineStr">
        <is>
          <t>Студент2.3</t>
        </is>
      </c>
      <c r="B313" s="4" t="inlineStr"/>
      <c r="C313" s="4" t="n"/>
      <c r="D313" s="4" t="n"/>
      <c r="E313" s="4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4" t="inlineStr">
        <is>
          <t>Студент2.4</t>
        </is>
      </c>
      <c r="B314" s="4" t="inlineStr"/>
      <c r="C314" s="4" t="n"/>
      <c r="D314" s="4" t="n"/>
      <c r="E314" s="4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  <c r="AI314" s="5" t="n"/>
    </row>
    <row r="315">
      <c r="A315" s="4" t="inlineStr">
        <is>
          <t>Студент2.5</t>
        </is>
      </c>
      <c r="B315" s="4" t="inlineStr"/>
      <c r="C315" s="4" t="n"/>
      <c r="D315" s="4" t="n"/>
      <c r="E315" s="4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4" t="inlineStr">
        <is>
          <t>Студент2.6</t>
        </is>
      </c>
      <c r="B316" s="4" t="inlineStr"/>
      <c r="C316" s="4" t="n"/>
      <c r="D316" s="4" t="n"/>
      <c r="E316" s="4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  <c r="AI316" s="5" t="n"/>
    </row>
    <row r="317">
      <c r="A317" s="4" t="inlineStr">
        <is>
          <t>Студент2.7</t>
        </is>
      </c>
      <c r="B317" s="4" t="inlineStr"/>
      <c r="C317" s="4" t="n"/>
      <c r="D317" s="4" t="n"/>
      <c r="E317" s="4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4" t="inlineStr">
        <is>
          <t>Студент2.8</t>
        </is>
      </c>
      <c r="B318" s="4" t="inlineStr"/>
      <c r="C318" s="4" t="n"/>
      <c r="D318" s="4" t="n"/>
      <c r="E318" s="4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  <c r="AI318" s="5" t="n"/>
    </row>
    <row r="319">
      <c r="A319" s="4" t="inlineStr">
        <is>
          <t>Студент2.9</t>
        </is>
      </c>
      <c r="B319" s="4" t="inlineStr"/>
      <c r="C319" s="4" t="n"/>
      <c r="D319" s="4" t="n"/>
      <c r="E319" s="4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4" t="inlineStr">
        <is>
          <t>Студент2.10</t>
        </is>
      </c>
      <c r="B320" s="4" t="inlineStr"/>
      <c r="C320" s="4" t="n"/>
      <c r="D320" s="4" t="n"/>
      <c r="E320" s="4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  <c r="AI320" s="5" t="n"/>
    </row>
    <row r="321">
      <c r="A321" s="4" t="inlineStr">
        <is>
          <t>Студент2.11</t>
        </is>
      </c>
      <c r="B321" s="4" t="inlineStr"/>
      <c r="C321" s="4" t="n"/>
      <c r="D321" s="4" t="n"/>
      <c r="E321" s="4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4" t="inlineStr">
        <is>
          <t>Студент2.12</t>
        </is>
      </c>
      <c r="B322" s="4" t="inlineStr"/>
      <c r="C322" s="4" t="n"/>
      <c r="D322" s="4" t="n"/>
      <c r="E322" s="4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  <c r="AI322" s="5" t="n"/>
    </row>
    <row r="323">
      <c r="A323" s="4" t="inlineStr">
        <is>
          <t>Студент2.13</t>
        </is>
      </c>
      <c r="B323" s="4" t="inlineStr"/>
      <c r="C323" s="4" t="n"/>
      <c r="D323" s="4" t="n"/>
      <c r="E323" s="4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4" t="inlineStr">
        <is>
          <t>Студент2.14</t>
        </is>
      </c>
      <c r="B324" s="4" t="inlineStr"/>
      <c r="C324" s="4" t="n"/>
      <c r="D324" s="4" t="n"/>
      <c r="E324" s="4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  <c r="AI324" s="5" t="n"/>
    </row>
    <row r="325">
      <c r="A325" s="4" t="inlineStr">
        <is>
          <t>Студент2.15</t>
        </is>
      </c>
      <c r="B325" s="4" t="inlineStr"/>
      <c r="C325" s="4" t="n"/>
      <c r="D325" s="4" t="n"/>
      <c r="E325" s="4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4" t="inlineStr">
        <is>
          <t>Студент2.16</t>
        </is>
      </c>
      <c r="B326" s="4" t="inlineStr"/>
      <c r="C326" s="4" t="n"/>
      <c r="D326" s="4" t="n"/>
      <c r="E326" s="4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  <c r="AI326" s="5" t="n"/>
    </row>
    <row r="327">
      <c r="A327" s="4" t="inlineStr">
        <is>
          <t>Студент2.17</t>
        </is>
      </c>
      <c r="B327" s="4" t="inlineStr"/>
      <c r="C327" s="4" t="n"/>
      <c r="D327" s="4" t="n"/>
      <c r="E327" s="4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4" t="inlineStr">
        <is>
          <t>Студент2.18</t>
        </is>
      </c>
      <c r="B328" s="4" t="inlineStr"/>
      <c r="C328" s="4" t="n"/>
      <c r="D328" s="4" t="n"/>
      <c r="E328" s="4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  <c r="AI328" s="5" t="n"/>
    </row>
    <row r="329">
      <c r="A329" s="4" t="inlineStr">
        <is>
          <t>Студент2.19</t>
        </is>
      </c>
      <c r="B329" s="4" t="inlineStr"/>
      <c r="C329" s="4" t="n"/>
      <c r="D329" s="4" t="n"/>
      <c r="E329" s="4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4" t="inlineStr">
        <is>
          <t>Студент2.20</t>
        </is>
      </c>
      <c r="B330" s="4" t="inlineStr"/>
      <c r="C330" s="4" t="n"/>
      <c r="D330" s="4" t="n"/>
      <c r="E330" s="4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  <c r="AI330" s="5" t="n"/>
    </row>
    <row r="331">
      <c r="A331" s="4" t="inlineStr">
        <is>
          <t>Студент2.21</t>
        </is>
      </c>
      <c r="B331" s="4" t="inlineStr"/>
      <c r="C331" s="4" t="n"/>
      <c r="D331" s="4" t="n"/>
      <c r="E331" s="4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4" t="inlineStr">
        <is>
          <t>Студент2.22</t>
        </is>
      </c>
      <c r="B332" s="4" t="inlineStr"/>
      <c r="C332" s="4" t="n"/>
      <c r="D332" s="4" t="n"/>
      <c r="E332" s="4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  <c r="AI332" s="5" t="n"/>
    </row>
    <row r="333">
      <c r="A333" s="4" t="inlineStr">
        <is>
          <t>Студент2.23</t>
        </is>
      </c>
      <c r="B333" s="4" t="inlineStr"/>
      <c r="C333" s="4" t="n"/>
      <c r="D333" s="4" t="n"/>
      <c r="E333" s="4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4" t="inlineStr">
        <is>
          <t>Студент2.24</t>
        </is>
      </c>
      <c r="B334" s="4" t="inlineStr"/>
      <c r="C334" s="4" t="n"/>
      <c r="D334" s="4" t="n"/>
      <c r="E334" s="4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  <c r="AI334" s="5" t="n"/>
    </row>
    <row r="335">
      <c r="A335" s="4" t="inlineStr">
        <is>
          <t>Студент2.25</t>
        </is>
      </c>
      <c r="B335" s="4" t="inlineStr"/>
      <c r="C335" s="4" t="n"/>
      <c r="D335" s="4" t="n"/>
      <c r="E335" s="4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4" t="inlineStr">
        <is>
          <t>Студент2.26</t>
        </is>
      </c>
      <c r="B336" s="4" t="inlineStr"/>
      <c r="C336" s="4" t="n"/>
      <c r="D336" s="4" t="n"/>
      <c r="E336" s="4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</row>
    <row r="337">
      <c r="A337" s="4" t="inlineStr">
        <is>
          <t>Студент2.27</t>
        </is>
      </c>
      <c r="B337" s="4" t="inlineStr"/>
      <c r="C337" s="4" t="n"/>
      <c r="D337" s="4" t="n"/>
      <c r="E337" s="4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4" t="inlineStr">
        <is>
          <t>Студент2.28</t>
        </is>
      </c>
      <c r="B338" s="4" t="inlineStr"/>
      <c r="C338" s="4" t="n"/>
      <c r="D338" s="4" t="n"/>
      <c r="E338" s="4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  <c r="AI338" s="5" t="n"/>
    </row>
    <row r="339">
      <c r="A339" s="4" t="inlineStr">
        <is>
          <t>Студент2.29</t>
        </is>
      </c>
      <c r="B339" s="4" t="inlineStr"/>
      <c r="C339" s="4" t="n"/>
      <c r="D339" s="4" t="n"/>
      <c r="E339" s="4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4" t="inlineStr">
        <is>
          <t>Студент2.30</t>
        </is>
      </c>
      <c r="B340" s="4" t="inlineStr"/>
      <c r="C340" s="4" t="n"/>
      <c r="D340" s="4" t="n"/>
      <c r="E340" s="4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  <c r="AI340" s="5" t="n"/>
    </row>
    <row r="344">
      <c r="A344" s="17" t="inlineStr">
        <is>
          <t>Практика 6 — плюсы</t>
        </is>
      </c>
    </row>
    <row r="345" ht="28" customHeight="1">
      <c r="A345" s="9" t="inlineStr">
        <is>
          <t>Имя</t>
        </is>
      </c>
      <c r="B345" s="11" t="inlineStr">
        <is>
          <t>TG</t>
        </is>
      </c>
      <c r="C345" s="12" t="inlineStr">
        <is>
          <t>S</t>
        </is>
      </c>
      <c r="D345" s="10" t="inlineStr">
        <is>
          <t>Коэффициент</t>
        </is>
      </c>
      <c r="E345" s="18" t="inlineStr">
        <is>
          <t>D за практику</t>
        </is>
      </c>
      <c r="F345" s="13" t="inlineStr">
        <is>
          <t>1.0</t>
        </is>
      </c>
      <c r="G345" s="13" t="inlineStr">
        <is>
          <t>2.0</t>
        </is>
      </c>
      <c r="H345" s="13" t="inlineStr">
        <is>
          <t>3.0</t>
        </is>
      </c>
      <c r="I345" s="13" t="inlineStr">
        <is>
          <t>4.0</t>
        </is>
      </c>
      <c r="J345" s="13" t="inlineStr">
        <is>
          <t>5.0</t>
        </is>
      </c>
      <c r="K345" s="13" t="inlineStr">
        <is>
          <t>6</t>
        </is>
      </c>
      <c r="L345" s="13" t="inlineStr">
        <is>
          <t>7</t>
        </is>
      </c>
      <c r="M345" s="13" t="inlineStr">
        <is>
          <t>8</t>
        </is>
      </c>
      <c r="N345" s="13" t="inlineStr">
        <is>
          <t>9</t>
        </is>
      </c>
      <c r="O345" s="13" t="inlineStr">
        <is>
          <t>10</t>
        </is>
      </c>
      <c r="P345" s="13" t="inlineStr">
        <is>
          <t>11</t>
        </is>
      </c>
      <c r="Q345" s="13" t="inlineStr">
        <is>
          <t>12</t>
        </is>
      </c>
      <c r="R345" s="13" t="inlineStr">
        <is>
          <t>13</t>
        </is>
      </c>
      <c r="S345" s="13" t="inlineStr">
        <is>
          <t>14</t>
        </is>
      </c>
      <c r="T345" s="13" t="inlineStr">
        <is>
          <t>15</t>
        </is>
      </c>
      <c r="U345" s="13" t="inlineStr">
        <is>
          <t>16</t>
        </is>
      </c>
      <c r="V345" s="13" t="inlineStr">
        <is>
          <t>17</t>
        </is>
      </c>
      <c r="W345" s="13" t="inlineStr">
        <is>
          <t>18</t>
        </is>
      </c>
      <c r="X345" s="13" t="inlineStr">
        <is>
          <t>19</t>
        </is>
      </c>
      <c r="Y345" s="13" t="inlineStr">
        <is>
          <t>20</t>
        </is>
      </c>
      <c r="Z345" s="13" t="inlineStr">
        <is>
          <t>21</t>
        </is>
      </c>
      <c r="AA345" s="13" t="inlineStr">
        <is>
          <t>22</t>
        </is>
      </c>
      <c r="AB345" s="13" t="inlineStr">
        <is>
          <t>23</t>
        </is>
      </c>
      <c r="AC345" s="13" t="inlineStr">
        <is>
          <t>24</t>
        </is>
      </c>
      <c r="AD345" s="13" t="inlineStr">
        <is>
          <t>25</t>
        </is>
      </c>
      <c r="AE345" s="13" t="inlineStr">
        <is>
          <t>26</t>
        </is>
      </c>
      <c r="AF345" s="13" t="inlineStr">
        <is>
          <t>27</t>
        </is>
      </c>
      <c r="AG345" s="13" t="inlineStr">
        <is>
          <t>28</t>
        </is>
      </c>
      <c r="AH345" s="13" t="inlineStr">
        <is>
          <t>29</t>
        </is>
      </c>
      <c r="AI345" s="13" t="inlineStr">
        <is>
          <t>30</t>
        </is>
      </c>
    </row>
    <row r="346">
      <c r="A346" s="4" t="inlineStr">
        <is>
          <t>Студент2.1</t>
        </is>
      </c>
      <c r="B346" s="4" t="inlineStr"/>
      <c r="C346" s="4">
        <f>IF(A346="","",COUNTIF(F346:AI346,"+")+COUNTIF(F346:AI346,"1"))</f>
        <v/>
      </c>
      <c r="D346" s="4">
        <f>IF(A346="","",IF(C346&gt;2*COUNTA(F$345:AI$345)/3,'Общий'!$M$11,IF(C346&gt;=COUNTA(F$345:AI$345)/2,'Общий'!$M$12,'Общий'!$M$13)))</f>
        <v/>
      </c>
      <c r="E346" s="4">
        <f>IF(A346="","",SUMIFS('Логи'!$H$7:$H$3006,'Логи'!$A$7:$A$3006,6,'Логи'!$B$7:$B$3006,2,'Логи'!$C$7:$C$3006,A346))</f>
        <v/>
      </c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  <c r="AI346" s="5" t="n"/>
    </row>
    <row r="347">
      <c r="A347" s="4" t="inlineStr">
        <is>
          <t>Студент2.2</t>
        </is>
      </c>
      <c r="B347" s="4" t="inlineStr"/>
      <c r="C347" s="4">
        <f>IF(A347="","",COUNTIF(F347:AI347,"+")+COUNTIF(F347:AI347,"1"))</f>
        <v/>
      </c>
      <c r="D347" s="4">
        <f>IF(A347="","",IF(C347&gt;2*COUNTA(F$345:AI$345)/3,'Общий'!$M$11,IF(C347&gt;=COUNTA(F$345:AI$345)/2,'Общий'!$M$12,'Общий'!$M$13)))</f>
        <v/>
      </c>
      <c r="E347" s="4">
        <f>IF(A347="","",SUMIFS('Логи'!$H$7:$H$3006,'Логи'!$A$7:$A$3006,6,'Логи'!$B$7:$B$3006,2,'Логи'!$C$7:$C$3006,A347))</f>
        <v/>
      </c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4" t="inlineStr">
        <is>
          <t>Студент2.3</t>
        </is>
      </c>
      <c r="B348" s="4" t="inlineStr"/>
      <c r="C348" s="4">
        <f>IF(A348="","",COUNTIF(F348:AI348,"+")+COUNTIF(F348:AI348,"1"))</f>
        <v/>
      </c>
      <c r="D348" s="4">
        <f>IF(A348="","",IF(C348&gt;2*COUNTA(F$345:AI$345)/3,'Общий'!$M$11,IF(C348&gt;=COUNTA(F$345:AI$345)/2,'Общий'!$M$12,'Общий'!$M$13)))</f>
        <v/>
      </c>
      <c r="E348" s="4">
        <f>IF(A348="","",SUMIFS('Логи'!$H$7:$H$3006,'Логи'!$A$7:$A$3006,6,'Логи'!$B$7:$B$3006,2,'Логи'!$C$7:$C$3006,A348))</f>
        <v/>
      </c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  <c r="AI348" s="5" t="n"/>
    </row>
    <row r="349">
      <c r="A349" s="4" t="inlineStr">
        <is>
          <t>Студент2.4</t>
        </is>
      </c>
      <c r="B349" s="4" t="inlineStr"/>
      <c r="C349" s="4">
        <f>IF(A349="","",COUNTIF(F349:AI349,"+")+COUNTIF(F349:AI349,"1"))</f>
        <v/>
      </c>
      <c r="D349" s="4">
        <f>IF(A349="","",IF(C349&gt;2*COUNTA(F$345:AI$345)/3,'Общий'!$M$11,IF(C349&gt;=COUNTA(F$345:AI$345)/2,'Общий'!$M$12,'Общий'!$M$13)))</f>
        <v/>
      </c>
      <c r="E349" s="4">
        <f>IF(A349="","",SUMIFS('Логи'!$H$7:$H$3006,'Логи'!$A$7:$A$3006,6,'Логи'!$B$7:$B$3006,2,'Логи'!$C$7:$C$3006,A349))</f>
        <v/>
      </c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4" t="inlineStr">
        <is>
          <t>Студент2.5</t>
        </is>
      </c>
      <c r="B350" s="4" t="inlineStr"/>
      <c r="C350" s="4">
        <f>IF(A350="","",COUNTIF(F350:AI350,"+")+COUNTIF(F350:AI350,"1"))</f>
        <v/>
      </c>
      <c r="D350" s="4">
        <f>IF(A350="","",IF(C350&gt;2*COUNTA(F$345:AI$345)/3,'Общий'!$M$11,IF(C350&gt;=COUNTA(F$345:AI$345)/2,'Общий'!$M$12,'Общий'!$M$13)))</f>
        <v/>
      </c>
      <c r="E350" s="4">
        <f>IF(A350="","",SUMIFS('Логи'!$H$7:$H$3006,'Логи'!$A$7:$A$3006,6,'Логи'!$B$7:$B$3006,2,'Логи'!$C$7:$C$3006,A350))</f>
        <v/>
      </c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  <c r="AI350" s="5" t="n"/>
    </row>
    <row r="351">
      <c r="A351" s="4" t="inlineStr">
        <is>
          <t>Студент2.6</t>
        </is>
      </c>
      <c r="B351" s="4" t="inlineStr"/>
      <c r="C351" s="4">
        <f>IF(A351="","",COUNTIF(F351:AI351,"+")+COUNTIF(F351:AI351,"1"))</f>
        <v/>
      </c>
      <c r="D351" s="4">
        <f>IF(A351="","",IF(C351&gt;2*COUNTA(F$345:AI$345)/3,'Общий'!$M$11,IF(C351&gt;=COUNTA(F$345:AI$345)/2,'Общий'!$M$12,'Общий'!$M$13)))</f>
        <v/>
      </c>
      <c r="E351" s="4">
        <f>IF(A351="","",SUMIFS('Логи'!$H$7:$H$3006,'Логи'!$A$7:$A$3006,6,'Логи'!$B$7:$B$3006,2,'Логи'!$C$7:$C$3006,A351))</f>
        <v/>
      </c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4" t="inlineStr">
        <is>
          <t>Студент2.7</t>
        </is>
      </c>
      <c r="B352" s="4" t="inlineStr"/>
      <c r="C352" s="4">
        <f>IF(A352="","",COUNTIF(F352:AI352,"+")+COUNTIF(F352:AI352,"1"))</f>
        <v/>
      </c>
      <c r="D352" s="4">
        <f>IF(A352="","",IF(C352&gt;2*COUNTA(F$345:AI$345)/3,'Общий'!$M$11,IF(C352&gt;=COUNTA(F$345:AI$345)/2,'Общий'!$M$12,'Общий'!$M$13)))</f>
        <v/>
      </c>
      <c r="E352" s="4">
        <f>IF(A352="","",SUMIFS('Логи'!$H$7:$H$3006,'Логи'!$A$7:$A$3006,6,'Логи'!$B$7:$B$3006,2,'Логи'!$C$7:$C$3006,A352))</f>
        <v/>
      </c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  <c r="AI352" s="5" t="n"/>
    </row>
    <row r="353">
      <c r="A353" s="4" t="inlineStr">
        <is>
          <t>Студент2.8</t>
        </is>
      </c>
      <c r="B353" s="4" t="inlineStr"/>
      <c r="C353" s="4">
        <f>IF(A353="","",COUNTIF(F353:AI353,"+")+COUNTIF(F353:AI353,"1"))</f>
        <v/>
      </c>
      <c r="D353" s="4">
        <f>IF(A353="","",IF(C353&gt;2*COUNTA(F$345:AI$345)/3,'Общий'!$M$11,IF(C353&gt;=COUNTA(F$345:AI$345)/2,'Общий'!$M$12,'Общий'!$M$13)))</f>
        <v/>
      </c>
      <c r="E353" s="4">
        <f>IF(A353="","",SUMIFS('Логи'!$H$7:$H$3006,'Логи'!$A$7:$A$3006,6,'Логи'!$B$7:$B$3006,2,'Логи'!$C$7:$C$3006,A353))</f>
        <v/>
      </c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4" t="inlineStr">
        <is>
          <t>Студент2.9</t>
        </is>
      </c>
      <c r="B354" s="4" t="inlineStr"/>
      <c r="C354" s="4">
        <f>IF(A354="","",COUNTIF(F354:AI354,"+")+COUNTIF(F354:AI354,"1"))</f>
        <v/>
      </c>
      <c r="D354" s="4">
        <f>IF(A354="","",IF(C354&gt;2*COUNTA(F$345:AI$345)/3,'Общий'!$M$11,IF(C354&gt;=COUNTA(F$345:AI$345)/2,'Общий'!$M$12,'Общий'!$M$13)))</f>
        <v/>
      </c>
      <c r="E354" s="4">
        <f>IF(A354="","",SUMIFS('Логи'!$H$7:$H$3006,'Логи'!$A$7:$A$3006,6,'Логи'!$B$7:$B$3006,2,'Логи'!$C$7:$C$3006,A354))</f>
        <v/>
      </c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  <c r="AI354" s="5" t="n"/>
    </row>
    <row r="355">
      <c r="A355" s="4" t="inlineStr">
        <is>
          <t>Студент2.10</t>
        </is>
      </c>
      <c r="B355" s="4" t="inlineStr"/>
      <c r="C355" s="4">
        <f>IF(A355="","",COUNTIF(F355:AI355,"+")+COUNTIF(F355:AI355,"1"))</f>
        <v/>
      </c>
      <c r="D355" s="4">
        <f>IF(A355="","",IF(C355&gt;2*COUNTA(F$345:AI$345)/3,'Общий'!$M$11,IF(C355&gt;=COUNTA(F$345:AI$345)/2,'Общий'!$M$12,'Общий'!$M$13)))</f>
        <v/>
      </c>
      <c r="E355" s="4">
        <f>IF(A355="","",SUMIFS('Логи'!$H$7:$H$3006,'Логи'!$A$7:$A$3006,6,'Логи'!$B$7:$B$3006,2,'Логи'!$C$7:$C$3006,A355))</f>
        <v/>
      </c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4" t="inlineStr">
        <is>
          <t>Студент2.11</t>
        </is>
      </c>
      <c r="B356" s="4" t="inlineStr"/>
      <c r="C356" s="4">
        <f>IF(A356="","",COUNTIF(F356:AI356,"+")+COUNTIF(F356:AI356,"1"))</f>
        <v/>
      </c>
      <c r="D356" s="4">
        <f>IF(A356="","",IF(C356&gt;2*COUNTA(F$345:AI$345)/3,'Общий'!$M$11,IF(C356&gt;=COUNTA(F$345:AI$345)/2,'Общий'!$M$12,'Общий'!$M$13)))</f>
        <v/>
      </c>
      <c r="E356" s="4">
        <f>IF(A356="","",SUMIFS('Логи'!$H$7:$H$3006,'Логи'!$A$7:$A$3006,6,'Логи'!$B$7:$B$3006,2,'Логи'!$C$7:$C$3006,A356))</f>
        <v/>
      </c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  <c r="AI356" s="5" t="n"/>
    </row>
    <row r="357">
      <c r="A357" s="4" t="inlineStr">
        <is>
          <t>Студент2.12</t>
        </is>
      </c>
      <c r="B357" s="4" t="inlineStr"/>
      <c r="C357" s="4">
        <f>IF(A357="","",COUNTIF(F357:AI357,"+")+COUNTIF(F357:AI357,"1"))</f>
        <v/>
      </c>
      <c r="D357" s="4">
        <f>IF(A357="","",IF(C357&gt;2*COUNTA(F$345:AI$345)/3,'Общий'!$M$11,IF(C357&gt;=COUNTA(F$345:AI$345)/2,'Общий'!$M$12,'Общий'!$M$13)))</f>
        <v/>
      </c>
      <c r="E357" s="4">
        <f>IF(A357="","",SUMIFS('Логи'!$H$7:$H$3006,'Логи'!$A$7:$A$3006,6,'Логи'!$B$7:$B$3006,2,'Логи'!$C$7:$C$3006,A357))</f>
        <v/>
      </c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4" t="inlineStr">
        <is>
          <t>Студент2.13</t>
        </is>
      </c>
      <c r="B358" s="4" t="inlineStr"/>
      <c r="C358" s="4">
        <f>IF(A358="","",COUNTIF(F358:AI358,"+")+COUNTIF(F358:AI358,"1"))</f>
        <v/>
      </c>
      <c r="D358" s="4">
        <f>IF(A358="","",IF(C358&gt;2*COUNTA(F$345:AI$345)/3,'Общий'!$M$11,IF(C358&gt;=COUNTA(F$345:AI$345)/2,'Общий'!$M$12,'Общий'!$M$13)))</f>
        <v/>
      </c>
      <c r="E358" s="4">
        <f>IF(A358="","",SUMIFS('Логи'!$H$7:$H$3006,'Логи'!$A$7:$A$3006,6,'Логи'!$B$7:$B$3006,2,'Логи'!$C$7:$C$3006,A358))</f>
        <v/>
      </c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  <c r="AI358" s="5" t="n"/>
    </row>
    <row r="359">
      <c r="A359" s="4" t="inlineStr">
        <is>
          <t>Студент2.14</t>
        </is>
      </c>
      <c r="B359" s="4" t="inlineStr"/>
      <c r="C359" s="4">
        <f>IF(A359="","",COUNTIF(F359:AI359,"+")+COUNTIF(F359:AI359,"1"))</f>
        <v/>
      </c>
      <c r="D359" s="4">
        <f>IF(A359="","",IF(C359&gt;2*COUNTA(F$345:AI$345)/3,'Общий'!$M$11,IF(C359&gt;=COUNTA(F$345:AI$345)/2,'Общий'!$M$12,'Общий'!$M$13)))</f>
        <v/>
      </c>
      <c r="E359" s="4">
        <f>IF(A359="","",SUMIFS('Логи'!$H$7:$H$3006,'Логи'!$A$7:$A$3006,6,'Логи'!$B$7:$B$3006,2,'Логи'!$C$7:$C$3006,A359))</f>
        <v/>
      </c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4" t="inlineStr">
        <is>
          <t>Студент2.15</t>
        </is>
      </c>
      <c r="B360" s="4" t="inlineStr"/>
      <c r="C360" s="4">
        <f>IF(A360="","",COUNTIF(F360:AI360,"+")+COUNTIF(F360:AI360,"1"))</f>
        <v/>
      </c>
      <c r="D360" s="4">
        <f>IF(A360="","",IF(C360&gt;2*COUNTA(F$345:AI$345)/3,'Общий'!$M$11,IF(C360&gt;=COUNTA(F$345:AI$345)/2,'Общий'!$M$12,'Общий'!$M$13)))</f>
        <v/>
      </c>
      <c r="E360" s="4">
        <f>IF(A360="","",SUMIFS('Логи'!$H$7:$H$3006,'Логи'!$A$7:$A$3006,6,'Логи'!$B$7:$B$3006,2,'Логи'!$C$7:$C$3006,A360))</f>
        <v/>
      </c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  <c r="AI360" s="5" t="n"/>
    </row>
    <row r="361">
      <c r="A361" s="4" t="inlineStr">
        <is>
          <t>Студент2.16</t>
        </is>
      </c>
      <c r="B361" s="4" t="inlineStr"/>
      <c r="C361" s="4">
        <f>IF(A361="","",COUNTIF(F361:AI361,"+")+COUNTIF(F361:AI361,"1"))</f>
        <v/>
      </c>
      <c r="D361" s="4">
        <f>IF(A361="","",IF(C361&gt;2*COUNTA(F$345:AI$345)/3,'Общий'!$M$11,IF(C361&gt;=COUNTA(F$345:AI$345)/2,'Общий'!$M$12,'Общий'!$M$13)))</f>
        <v/>
      </c>
      <c r="E361" s="4">
        <f>IF(A361="","",SUMIFS('Логи'!$H$7:$H$3006,'Логи'!$A$7:$A$3006,6,'Логи'!$B$7:$B$3006,2,'Логи'!$C$7:$C$3006,A361))</f>
        <v/>
      </c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4" t="inlineStr">
        <is>
          <t>Студент2.17</t>
        </is>
      </c>
      <c r="B362" s="4" t="inlineStr"/>
      <c r="C362" s="4">
        <f>IF(A362="","",COUNTIF(F362:AI362,"+")+COUNTIF(F362:AI362,"1"))</f>
        <v/>
      </c>
      <c r="D362" s="4">
        <f>IF(A362="","",IF(C362&gt;2*COUNTA(F$345:AI$345)/3,'Общий'!$M$11,IF(C362&gt;=COUNTA(F$345:AI$345)/2,'Общий'!$M$12,'Общий'!$M$13)))</f>
        <v/>
      </c>
      <c r="E362" s="4">
        <f>IF(A362="","",SUMIFS('Логи'!$H$7:$H$3006,'Логи'!$A$7:$A$3006,6,'Логи'!$B$7:$B$3006,2,'Логи'!$C$7:$C$3006,A362))</f>
        <v/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  <c r="AI362" s="5" t="n"/>
    </row>
    <row r="363">
      <c r="A363" s="4" t="inlineStr">
        <is>
          <t>Студент2.18</t>
        </is>
      </c>
      <c r="B363" s="4" t="inlineStr"/>
      <c r="C363" s="4">
        <f>IF(A363="","",COUNTIF(F363:AI363,"+")+COUNTIF(F363:AI363,"1"))</f>
        <v/>
      </c>
      <c r="D363" s="4">
        <f>IF(A363="","",IF(C363&gt;2*COUNTA(F$345:AI$345)/3,'Общий'!$M$11,IF(C363&gt;=COUNTA(F$345:AI$345)/2,'Общий'!$M$12,'Общий'!$M$13)))</f>
        <v/>
      </c>
      <c r="E363" s="4">
        <f>IF(A363="","",SUMIFS('Логи'!$H$7:$H$3006,'Логи'!$A$7:$A$3006,6,'Логи'!$B$7:$B$3006,2,'Логи'!$C$7:$C$3006,A363))</f>
        <v/>
      </c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4" t="inlineStr">
        <is>
          <t>Студент2.19</t>
        </is>
      </c>
      <c r="B364" s="4" t="inlineStr"/>
      <c r="C364" s="4">
        <f>IF(A364="","",COUNTIF(F364:AI364,"+")+COUNTIF(F364:AI364,"1"))</f>
        <v/>
      </c>
      <c r="D364" s="4">
        <f>IF(A364="","",IF(C364&gt;2*COUNTA(F$345:AI$345)/3,'Общий'!$M$11,IF(C364&gt;=COUNTA(F$345:AI$345)/2,'Общий'!$M$12,'Общий'!$M$13)))</f>
        <v/>
      </c>
      <c r="E364" s="4">
        <f>IF(A364="","",SUMIFS('Логи'!$H$7:$H$3006,'Логи'!$A$7:$A$3006,6,'Логи'!$B$7:$B$3006,2,'Логи'!$C$7:$C$3006,A364))</f>
        <v/>
      </c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  <c r="AI364" s="5" t="n"/>
    </row>
    <row r="365">
      <c r="A365" s="4" t="inlineStr">
        <is>
          <t>Студент2.20</t>
        </is>
      </c>
      <c r="B365" s="4" t="inlineStr"/>
      <c r="C365" s="4">
        <f>IF(A365="","",COUNTIF(F365:AI365,"+")+COUNTIF(F365:AI365,"1"))</f>
        <v/>
      </c>
      <c r="D365" s="4">
        <f>IF(A365="","",IF(C365&gt;2*COUNTA(F$345:AI$345)/3,'Общий'!$M$11,IF(C365&gt;=COUNTA(F$345:AI$345)/2,'Общий'!$M$12,'Общий'!$M$13)))</f>
        <v/>
      </c>
      <c r="E365" s="4">
        <f>IF(A365="","",SUMIFS('Логи'!$H$7:$H$3006,'Логи'!$A$7:$A$3006,6,'Логи'!$B$7:$B$3006,2,'Логи'!$C$7:$C$3006,A365))</f>
        <v/>
      </c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4" t="inlineStr">
        <is>
          <t>Студент2.21</t>
        </is>
      </c>
      <c r="B366" s="4" t="inlineStr"/>
      <c r="C366" s="4">
        <f>IF(A366="","",COUNTIF(F366:AI366,"+")+COUNTIF(F366:AI366,"1"))</f>
        <v/>
      </c>
      <c r="D366" s="4">
        <f>IF(A366="","",IF(C366&gt;2*COUNTA(F$345:AI$345)/3,'Общий'!$M$11,IF(C366&gt;=COUNTA(F$345:AI$345)/2,'Общий'!$M$12,'Общий'!$M$13)))</f>
        <v/>
      </c>
      <c r="E366" s="4">
        <f>IF(A366="","",SUMIFS('Логи'!$H$7:$H$3006,'Логи'!$A$7:$A$3006,6,'Логи'!$B$7:$B$3006,2,'Логи'!$C$7:$C$3006,A366))</f>
        <v/>
      </c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  <c r="AI366" s="5" t="n"/>
    </row>
    <row r="367">
      <c r="A367" s="4" t="inlineStr">
        <is>
          <t>Студент2.22</t>
        </is>
      </c>
      <c r="B367" s="4" t="inlineStr"/>
      <c r="C367" s="4">
        <f>IF(A367="","",COUNTIF(F367:AI367,"+")+COUNTIF(F367:AI367,"1"))</f>
        <v/>
      </c>
      <c r="D367" s="4">
        <f>IF(A367="","",IF(C367&gt;2*COUNTA(F$345:AI$345)/3,'Общий'!$M$11,IF(C367&gt;=COUNTA(F$345:AI$345)/2,'Общий'!$M$12,'Общий'!$M$13)))</f>
        <v/>
      </c>
      <c r="E367" s="4">
        <f>IF(A367="","",SUMIFS('Логи'!$H$7:$H$3006,'Логи'!$A$7:$A$3006,6,'Логи'!$B$7:$B$3006,2,'Логи'!$C$7:$C$3006,A367))</f>
        <v/>
      </c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4" t="inlineStr">
        <is>
          <t>Студент2.23</t>
        </is>
      </c>
      <c r="B368" s="4" t="inlineStr"/>
      <c r="C368" s="4">
        <f>IF(A368="","",COUNTIF(F368:AI368,"+")+COUNTIF(F368:AI368,"1"))</f>
        <v/>
      </c>
      <c r="D368" s="4">
        <f>IF(A368="","",IF(C368&gt;2*COUNTA(F$345:AI$345)/3,'Общий'!$M$11,IF(C368&gt;=COUNTA(F$345:AI$345)/2,'Общий'!$M$12,'Общий'!$M$13)))</f>
        <v/>
      </c>
      <c r="E368" s="4">
        <f>IF(A368="","",SUMIFS('Логи'!$H$7:$H$3006,'Логи'!$A$7:$A$3006,6,'Логи'!$B$7:$B$3006,2,'Логи'!$C$7:$C$3006,A368))</f>
        <v/>
      </c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  <c r="AI368" s="5" t="n"/>
    </row>
    <row r="369">
      <c r="A369" s="4" t="inlineStr">
        <is>
          <t>Студент2.24</t>
        </is>
      </c>
      <c r="B369" s="4" t="inlineStr"/>
      <c r="C369" s="4">
        <f>IF(A369="","",COUNTIF(F369:AI369,"+")+COUNTIF(F369:AI369,"1"))</f>
        <v/>
      </c>
      <c r="D369" s="4">
        <f>IF(A369="","",IF(C369&gt;2*COUNTA(F$345:AI$345)/3,'Общий'!$M$11,IF(C369&gt;=COUNTA(F$345:AI$345)/2,'Общий'!$M$12,'Общий'!$M$13)))</f>
        <v/>
      </c>
      <c r="E369" s="4">
        <f>IF(A369="","",SUMIFS('Логи'!$H$7:$H$3006,'Логи'!$A$7:$A$3006,6,'Логи'!$B$7:$B$3006,2,'Логи'!$C$7:$C$3006,A369))</f>
        <v/>
      </c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4" t="inlineStr">
        <is>
          <t>Студент2.25</t>
        </is>
      </c>
      <c r="B370" s="4" t="inlineStr"/>
      <c r="C370" s="4">
        <f>IF(A370="","",COUNTIF(F370:AI370,"+")+COUNTIF(F370:AI370,"1"))</f>
        <v/>
      </c>
      <c r="D370" s="4">
        <f>IF(A370="","",IF(C370&gt;2*COUNTA(F$345:AI$345)/3,'Общий'!$M$11,IF(C370&gt;=COUNTA(F$345:AI$345)/2,'Общий'!$M$12,'Общий'!$M$13)))</f>
        <v/>
      </c>
      <c r="E370" s="4">
        <f>IF(A370="","",SUMIFS('Логи'!$H$7:$H$3006,'Логи'!$A$7:$A$3006,6,'Логи'!$B$7:$B$3006,2,'Логи'!$C$7:$C$3006,A370))</f>
        <v/>
      </c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  <c r="AI370" s="5" t="n"/>
    </row>
    <row r="371">
      <c r="A371" s="4" t="inlineStr">
        <is>
          <t>Студент2.26</t>
        </is>
      </c>
      <c r="B371" s="4" t="inlineStr"/>
      <c r="C371" s="4">
        <f>IF(A371="","",COUNTIF(F371:AI371,"+")+COUNTIF(F371:AI371,"1"))</f>
        <v/>
      </c>
      <c r="D371" s="4">
        <f>IF(A371="","",IF(C371&gt;2*COUNTA(F$345:AI$345)/3,'Общий'!$M$11,IF(C371&gt;=COUNTA(F$345:AI$345)/2,'Общий'!$M$12,'Общий'!$M$13)))</f>
        <v/>
      </c>
      <c r="E371" s="4">
        <f>IF(A371="","",SUMIFS('Логи'!$H$7:$H$3006,'Логи'!$A$7:$A$3006,6,'Логи'!$B$7:$B$3006,2,'Логи'!$C$7:$C$3006,A371))</f>
        <v/>
      </c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4" t="inlineStr">
        <is>
          <t>Студент2.27</t>
        </is>
      </c>
      <c r="B372" s="4" t="inlineStr"/>
      <c r="C372" s="4">
        <f>IF(A372="","",COUNTIF(F372:AI372,"+")+COUNTIF(F372:AI372,"1"))</f>
        <v/>
      </c>
      <c r="D372" s="4">
        <f>IF(A372="","",IF(C372&gt;2*COUNTA(F$345:AI$345)/3,'Общий'!$M$11,IF(C372&gt;=COUNTA(F$345:AI$345)/2,'Общий'!$M$12,'Общий'!$M$13)))</f>
        <v/>
      </c>
      <c r="E372" s="4">
        <f>IF(A372="","",SUMIFS('Логи'!$H$7:$H$3006,'Логи'!$A$7:$A$3006,6,'Логи'!$B$7:$B$3006,2,'Логи'!$C$7:$C$3006,A372))</f>
        <v/>
      </c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  <c r="AI372" s="5" t="n"/>
    </row>
    <row r="373">
      <c r="A373" s="4" t="inlineStr">
        <is>
          <t>Студент2.28</t>
        </is>
      </c>
      <c r="B373" s="4" t="inlineStr"/>
      <c r="C373" s="4">
        <f>IF(A373="","",COUNTIF(F373:AI373,"+")+COUNTIF(F373:AI373,"1"))</f>
        <v/>
      </c>
      <c r="D373" s="4">
        <f>IF(A373="","",IF(C373&gt;2*COUNTA(F$345:AI$345)/3,'Общий'!$M$11,IF(C373&gt;=COUNTA(F$345:AI$345)/2,'Общий'!$M$12,'Общий'!$M$13)))</f>
        <v/>
      </c>
      <c r="E373" s="4">
        <f>IF(A373="","",SUMIFS('Логи'!$H$7:$H$3006,'Логи'!$A$7:$A$3006,6,'Логи'!$B$7:$B$3006,2,'Логи'!$C$7:$C$3006,A373))</f>
        <v/>
      </c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4" t="inlineStr">
        <is>
          <t>Студент2.29</t>
        </is>
      </c>
      <c r="B374" s="4" t="inlineStr"/>
      <c r="C374" s="4">
        <f>IF(A374="","",COUNTIF(F374:AI374,"+")+COUNTIF(F374:AI374,"1"))</f>
        <v/>
      </c>
      <c r="D374" s="4">
        <f>IF(A374="","",IF(C374&gt;2*COUNTA(F$345:AI$345)/3,'Общий'!$M$11,IF(C374&gt;=COUNTA(F$345:AI$345)/2,'Общий'!$M$12,'Общий'!$M$13)))</f>
        <v/>
      </c>
      <c r="E374" s="4">
        <f>IF(A374="","",SUMIFS('Логи'!$H$7:$H$3006,'Логи'!$A$7:$A$3006,6,'Логи'!$B$7:$B$3006,2,'Логи'!$C$7:$C$3006,A374))</f>
        <v/>
      </c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  <c r="AI374" s="5" t="n"/>
    </row>
    <row r="375">
      <c r="A375" s="4" t="inlineStr">
        <is>
          <t>Студент2.30</t>
        </is>
      </c>
      <c r="B375" s="4" t="inlineStr"/>
      <c r="C375" s="4">
        <f>IF(A375="","",COUNTIF(F375:AI375,"+")+COUNTIF(F375:AI375,"1"))</f>
        <v/>
      </c>
      <c r="D375" s="4">
        <f>IF(A375="","",IF(C375&gt;2*COUNTA(F$345:AI$345)/3,'Общий'!$M$11,IF(C375&gt;=COUNTA(F$345:AI$345)/2,'Общий'!$M$12,'Общий'!$M$13)))</f>
        <v/>
      </c>
      <c r="E375" s="4">
        <f>IF(A375="","",SUMIFS('Логи'!$H$7:$H$3006,'Логи'!$A$7:$A$3006,6,'Логи'!$B$7:$B$3006,2,'Логи'!$C$7:$C$3006,A375))</f>
        <v/>
      </c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7">
      <c r="A377" s="19" t="inlineStr">
        <is>
          <t>Практика 6 — результаты рассказа</t>
        </is>
      </c>
    </row>
    <row r="378" ht="28" customHeight="1">
      <c r="A378" s="9" t="inlineStr">
        <is>
          <t>Имя</t>
        </is>
      </c>
      <c r="B378" s="11" t="inlineStr">
        <is>
          <t>TG</t>
        </is>
      </c>
      <c r="C378" s="12" t="inlineStr"/>
      <c r="D378" s="3" t="inlineStr"/>
      <c r="E378" s="3" t="inlineStr"/>
      <c r="F378" s="13" t="inlineStr">
        <is>
          <t>1.0</t>
        </is>
      </c>
      <c r="G378" s="13" t="inlineStr">
        <is>
          <t>2.0</t>
        </is>
      </c>
      <c r="H378" s="13" t="inlineStr">
        <is>
          <t>3.0</t>
        </is>
      </c>
      <c r="I378" s="13" t="inlineStr">
        <is>
          <t>4.0</t>
        </is>
      </c>
      <c r="J378" s="13" t="inlineStr">
        <is>
          <t>5.0</t>
        </is>
      </c>
      <c r="K378" s="13" t="inlineStr">
        <is>
          <t>6</t>
        </is>
      </c>
      <c r="L378" s="13" t="inlineStr">
        <is>
          <t>7</t>
        </is>
      </c>
      <c r="M378" s="13" t="inlineStr">
        <is>
          <t>8</t>
        </is>
      </c>
      <c r="N378" s="13" t="inlineStr">
        <is>
          <t>9</t>
        </is>
      </c>
      <c r="O378" s="13" t="inlineStr">
        <is>
          <t>10</t>
        </is>
      </c>
      <c r="P378" s="13" t="inlineStr">
        <is>
          <t>11</t>
        </is>
      </c>
      <c r="Q378" s="13" t="inlineStr">
        <is>
          <t>12</t>
        </is>
      </c>
      <c r="R378" s="13" t="inlineStr">
        <is>
          <t>13</t>
        </is>
      </c>
      <c r="S378" s="13" t="inlineStr">
        <is>
          <t>14</t>
        </is>
      </c>
      <c r="T378" s="13" t="inlineStr">
        <is>
          <t>15</t>
        </is>
      </c>
      <c r="U378" s="13" t="inlineStr">
        <is>
          <t>16</t>
        </is>
      </c>
      <c r="V378" s="13" t="inlineStr">
        <is>
          <t>17</t>
        </is>
      </c>
      <c r="W378" s="13" t="inlineStr">
        <is>
          <t>18</t>
        </is>
      </c>
      <c r="X378" s="13" t="inlineStr">
        <is>
          <t>19</t>
        </is>
      </c>
      <c r="Y378" s="13" t="inlineStr">
        <is>
          <t>20</t>
        </is>
      </c>
      <c r="Z378" s="13" t="inlineStr">
        <is>
          <t>21</t>
        </is>
      </c>
      <c r="AA378" s="13" t="inlineStr">
        <is>
          <t>22</t>
        </is>
      </c>
      <c r="AB378" s="13" t="inlineStr">
        <is>
          <t>23</t>
        </is>
      </c>
      <c r="AC378" s="13" t="inlineStr">
        <is>
          <t>24</t>
        </is>
      </c>
      <c r="AD378" s="13" t="inlineStr">
        <is>
          <t>25</t>
        </is>
      </c>
      <c r="AE378" s="13" t="inlineStr">
        <is>
          <t>26</t>
        </is>
      </c>
      <c r="AF378" s="13" t="inlineStr">
        <is>
          <t>27</t>
        </is>
      </c>
      <c r="AG378" s="13" t="inlineStr">
        <is>
          <t>28</t>
        </is>
      </c>
      <c r="AH378" s="13" t="inlineStr">
        <is>
          <t>29</t>
        </is>
      </c>
      <c r="AI378" s="13" t="inlineStr">
        <is>
          <t>30</t>
        </is>
      </c>
    </row>
    <row r="379">
      <c r="A379" s="4" t="inlineStr">
        <is>
          <t>Студент2.1</t>
        </is>
      </c>
      <c r="B379" s="4" t="inlineStr"/>
      <c r="C379" s="4" t="n"/>
      <c r="D379" s="4" t="n"/>
      <c r="E379" s="4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4" t="inlineStr">
        <is>
          <t>Студент2.2</t>
        </is>
      </c>
      <c r="B380" s="4" t="inlineStr"/>
      <c r="C380" s="4" t="n"/>
      <c r="D380" s="4" t="n"/>
      <c r="E380" s="4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</row>
    <row r="381">
      <c r="A381" s="4" t="inlineStr">
        <is>
          <t>Студент2.3</t>
        </is>
      </c>
      <c r="B381" s="4" t="inlineStr"/>
      <c r="C381" s="4" t="n"/>
      <c r="D381" s="4" t="n"/>
      <c r="E381" s="4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4" t="inlineStr">
        <is>
          <t>Студент2.4</t>
        </is>
      </c>
      <c r="B382" s="4" t="inlineStr"/>
      <c r="C382" s="4" t="n"/>
      <c r="D382" s="4" t="n"/>
      <c r="E382" s="4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</row>
    <row r="383">
      <c r="A383" s="4" t="inlineStr">
        <is>
          <t>Студент2.5</t>
        </is>
      </c>
      <c r="B383" s="4" t="inlineStr"/>
      <c r="C383" s="4" t="n"/>
      <c r="D383" s="4" t="n"/>
      <c r="E383" s="4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4" t="inlineStr">
        <is>
          <t>Студент2.6</t>
        </is>
      </c>
      <c r="B384" s="4" t="inlineStr"/>
      <c r="C384" s="4" t="n"/>
      <c r="D384" s="4" t="n"/>
      <c r="E384" s="4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</row>
    <row r="385">
      <c r="A385" s="4" t="inlineStr">
        <is>
          <t>Студент2.7</t>
        </is>
      </c>
      <c r="B385" s="4" t="inlineStr"/>
      <c r="C385" s="4" t="n"/>
      <c r="D385" s="4" t="n"/>
      <c r="E385" s="4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4" t="inlineStr">
        <is>
          <t>Студент2.8</t>
        </is>
      </c>
      <c r="B386" s="4" t="inlineStr"/>
      <c r="C386" s="4" t="n"/>
      <c r="D386" s="4" t="n"/>
      <c r="E386" s="4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</row>
    <row r="387">
      <c r="A387" s="4" t="inlineStr">
        <is>
          <t>Студент2.9</t>
        </is>
      </c>
      <c r="B387" s="4" t="inlineStr"/>
      <c r="C387" s="4" t="n"/>
      <c r="D387" s="4" t="n"/>
      <c r="E387" s="4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4" t="inlineStr">
        <is>
          <t>Студент2.10</t>
        </is>
      </c>
      <c r="B388" s="4" t="inlineStr"/>
      <c r="C388" s="4" t="n"/>
      <c r="D388" s="4" t="n"/>
      <c r="E388" s="4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</row>
    <row r="389">
      <c r="A389" s="4" t="inlineStr">
        <is>
          <t>Студент2.11</t>
        </is>
      </c>
      <c r="B389" s="4" t="inlineStr"/>
      <c r="C389" s="4" t="n"/>
      <c r="D389" s="4" t="n"/>
      <c r="E389" s="4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4" t="inlineStr">
        <is>
          <t>Студент2.12</t>
        </is>
      </c>
      <c r="B390" s="4" t="inlineStr"/>
      <c r="C390" s="4" t="n"/>
      <c r="D390" s="4" t="n"/>
      <c r="E390" s="4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</row>
    <row r="391">
      <c r="A391" s="4" t="inlineStr">
        <is>
          <t>Студент2.13</t>
        </is>
      </c>
      <c r="B391" s="4" t="inlineStr"/>
      <c r="C391" s="4" t="n"/>
      <c r="D391" s="4" t="n"/>
      <c r="E391" s="4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4" t="inlineStr">
        <is>
          <t>Студент2.14</t>
        </is>
      </c>
      <c r="B392" s="4" t="inlineStr"/>
      <c r="C392" s="4" t="n"/>
      <c r="D392" s="4" t="n"/>
      <c r="E392" s="4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  <c r="AI392" s="5" t="n"/>
    </row>
    <row r="393">
      <c r="A393" s="4" t="inlineStr">
        <is>
          <t>Студент2.15</t>
        </is>
      </c>
      <c r="B393" s="4" t="inlineStr"/>
      <c r="C393" s="4" t="n"/>
      <c r="D393" s="4" t="n"/>
      <c r="E393" s="4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4" t="inlineStr">
        <is>
          <t>Студент2.16</t>
        </is>
      </c>
      <c r="B394" s="4" t="inlineStr"/>
      <c r="C394" s="4" t="n"/>
      <c r="D394" s="4" t="n"/>
      <c r="E394" s="4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  <c r="AI394" s="5" t="n"/>
    </row>
    <row r="395">
      <c r="A395" s="4" t="inlineStr">
        <is>
          <t>Студент2.17</t>
        </is>
      </c>
      <c r="B395" s="4" t="inlineStr"/>
      <c r="C395" s="4" t="n"/>
      <c r="D395" s="4" t="n"/>
      <c r="E395" s="4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4" t="inlineStr">
        <is>
          <t>Студент2.18</t>
        </is>
      </c>
      <c r="B396" s="4" t="inlineStr"/>
      <c r="C396" s="4" t="n"/>
      <c r="D396" s="4" t="n"/>
      <c r="E396" s="4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  <c r="AI396" s="5" t="n"/>
    </row>
    <row r="397">
      <c r="A397" s="4" t="inlineStr">
        <is>
          <t>Студент2.19</t>
        </is>
      </c>
      <c r="B397" s="4" t="inlineStr"/>
      <c r="C397" s="4" t="n"/>
      <c r="D397" s="4" t="n"/>
      <c r="E397" s="4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4" t="inlineStr">
        <is>
          <t>Студент2.20</t>
        </is>
      </c>
      <c r="B398" s="4" t="inlineStr"/>
      <c r="C398" s="4" t="n"/>
      <c r="D398" s="4" t="n"/>
      <c r="E398" s="4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  <c r="AI398" s="5" t="n"/>
    </row>
    <row r="399">
      <c r="A399" s="4" t="inlineStr">
        <is>
          <t>Студент2.21</t>
        </is>
      </c>
      <c r="B399" s="4" t="inlineStr"/>
      <c r="C399" s="4" t="n"/>
      <c r="D399" s="4" t="n"/>
      <c r="E399" s="4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4" t="inlineStr">
        <is>
          <t>Студент2.22</t>
        </is>
      </c>
      <c r="B400" s="4" t="inlineStr"/>
      <c r="C400" s="4" t="n"/>
      <c r="D400" s="4" t="n"/>
      <c r="E400" s="4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  <c r="AI400" s="5" t="n"/>
    </row>
    <row r="401">
      <c r="A401" s="4" t="inlineStr">
        <is>
          <t>Студент2.23</t>
        </is>
      </c>
      <c r="B401" s="4" t="inlineStr"/>
      <c r="C401" s="4" t="n"/>
      <c r="D401" s="4" t="n"/>
      <c r="E401" s="4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4" t="inlineStr">
        <is>
          <t>Студент2.24</t>
        </is>
      </c>
      <c r="B402" s="4" t="inlineStr"/>
      <c r="C402" s="4" t="n"/>
      <c r="D402" s="4" t="n"/>
      <c r="E402" s="4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  <c r="AI402" s="5" t="n"/>
    </row>
    <row r="403">
      <c r="A403" s="4" t="inlineStr">
        <is>
          <t>Студент2.25</t>
        </is>
      </c>
      <c r="B403" s="4" t="inlineStr"/>
      <c r="C403" s="4" t="n"/>
      <c r="D403" s="4" t="n"/>
      <c r="E403" s="4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4" t="inlineStr">
        <is>
          <t>Студент2.26</t>
        </is>
      </c>
      <c r="B404" s="4" t="inlineStr"/>
      <c r="C404" s="4" t="n"/>
      <c r="D404" s="4" t="n"/>
      <c r="E404" s="4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  <c r="AI404" s="5" t="n"/>
    </row>
    <row r="405">
      <c r="A405" s="4" t="inlineStr">
        <is>
          <t>Студент2.27</t>
        </is>
      </c>
      <c r="B405" s="4" t="inlineStr"/>
      <c r="C405" s="4" t="n"/>
      <c r="D405" s="4" t="n"/>
      <c r="E405" s="4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4" t="inlineStr">
        <is>
          <t>Студент2.28</t>
        </is>
      </c>
      <c r="B406" s="4" t="inlineStr"/>
      <c r="C406" s="4" t="n"/>
      <c r="D406" s="4" t="n"/>
      <c r="E406" s="4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  <c r="AI406" s="5" t="n"/>
    </row>
    <row r="407">
      <c r="A407" s="4" t="inlineStr">
        <is>
          <t>Студент2.29</t>
        </is>
      </c>
      <c r="B407" s="4" t="inlineStr"/>
      <c r="C407" s="4" t="n"/>
      <c r="D407" s="4" t="n"/>
      <c r="E407" s="4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4" t="inlineStr">
        <is>
          <t>Студент2.30</t>
        </is>
      </c>
      <c r="B408" s="4" t="inlineStr"/>
      <c r="C408" s="4" t="n"/>
      <c r="D408" s="4" t="n"/>
      <c r="E408" s="4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  <c r="AI408" s="5" t="n"/>
    </row>
    <row r="412">
      <c r="A412" s="17" t="inlineStr">
        <is>
          <t>Практика 7 — плюсы</t>
        </is>
      </c>
    </row>
    <row r="413" ht="28" customHeight="1">
      <c r="A413" s="9" t="inlineStr">
        <is>
          <t>Имя</t>
        </is>
      </c>
      <c r="B413" s="11" t="inlineStr">
        <is>
          <t>TG</t>
        </is>
      </c>
      <c r="C413" s="12" t="inlineStr">
        <is>
          <t>S</t>
        </is>
      </c>
      <c r="D413" s="10" t="inlineStr">
        <is>
          <t>Коэффициент</t>
        </is>
      </c>
      <c r="E413" s="18" t="inlineStr">
        <is>
          <t>D за практику</t>
        </is>
      </c>
      <c r="F413" s="13" t="inlineStr">
        <is>
          <t>1.0</t>
        </is>
      </c>
      <c r="G413" s="13" t="inlineStr">
        <is>
          <t>2.0</t>
        </is>
      </c>
      <c r="H413" s="13" t="inlineStr">
        <is>
          <t>3.0</t>
        </is>
      </c>
      <c r="I413" s="13" t="inlineStr">
        <is>
          <t>4.0</t>
        </is>
      </c>
      <c r="J413" s="13" t="inlineStr">
        <is>
          <t>5.0</t>
        </is>
      </c>
      <c r="K413" s="13" t="inlineStr">
        <is>
          <t>6</t>
        </is>
      </c>
      <c r="L413" s="13" t="inlineStr">
        <is>
          <t>7</t>
        </is>
      </c>
      <c r="M413" s="13" t="inlineStr">
        <is>
          <t>8</t>
        </is>
      </c>
      <c r="N413" s="13" t="inlineStr">
        <is>
          <t>9</t>
        </is>
      </c>
      <c r="O413" s="13" t="inlineStr">
        <is>
          <t>10</t>
        </is>
      </c>
      <c r="P413" s="13" t="inlineStr">
        <is>
          <t>11</t>
        </is>
      </c>
      <c r="Q413" s="13" t="inlineStr">
        <is>
          <t>12</t>
        </is>
      </c>
      <c r="R413" s="13" t="inlineStr">
        <is>
          <t>13</t>
        </is>
      </c>
      <c r="S413" s="13" t="inlineStr">
        <is>
          <t>14</t>
        </is>
      </c>
      <c r="T413" s="13" t="inlineStr">
        <is>
          <t>15</t>
        </is>
      </c>
      <c r="U413" s="13" t="inlineStr">
        <is>
          <t>16</t>
        </is>
      </c>
      <c r="V413" s="13" t="inlineStr">
        <is>
          <t>17</t>
        </is>
      </c>
      <c r="W413" s="13" t="inlineStr">
        <is>
          <t>18</t>
        </is>
      </c>
      <c r="X413" s="13" t="inlineStr">
        <is>
          <t>19</t>
        </is>
      </c>
      <c r="Y413" s="13" t="inlineStr">
        <is>
          <t>20</t>
        </is>
      </c>
      <c r="Z413" s="13" t="inlineStr">
        <is>
          <t>21</t>
        </is>
      </c>
      <c r="AA413" s="13" t="inlineStr">
        <is>
          <t>22</t>
        </is>
      </c>
      <c r="AB413" s="13" t="inlineStr">
        <is>
          <t>23</t>
        </is>
      </c>
      <c r="AC413" s="13" t="inlineStr">
        <is>
          <t>24</t>
        </is>
      </c>
      <c r="AD413" s="13" t="inlineStr">
        <is>
          <t>25</t>
        </is>
      </c>
      <c r="AE413" s="13" t="inlineStr">
        <is>
          <t>26</t>
        </is>
      </c>
      <c r="AF413" s="13" t="inlineStr">
        <is>
          <t>27</t>
        </is>
      </c>
      <c r="AG413" s="13" t="inlineStr">
        <is>
          <t>28</t>
        </is>
      </c>
      <c r="AH413" s="13" t="inlineStr">
        <is>
          <t>29</t>
        </is>
      </c>
      <c r="AI413" s="13" t="inlineStr">
        <is>
          <t>30</t>
        </is>
      </c>
    </row>
    <row r="414">
      <c r="A414" s="4" t="inlineStr">
        <is>
          <t>Студент2.1</t>
        </is>
      </c>
      <c r="B414" s="4" t="inlineStr"/>
      <c r="C414" s="4">
        <f>IF(A414="","",COUNTIF(F414:AI414,"+")+COUNTIF(F414:AI414,"1"))</f>
        <v/>
      </c>
      <c r="D414" s="4">
        <f>IF(A414="","",IF(C414&gt;2*COUNTA(F$413:AI$413)/3,'Общий'!$M$11,IF(C414&gt;=COUNTA(F$413:AI$413)/2,'Общий'!$M$12,'Общий'!$M$13)))</f>
        <v/>
      </c>
      <c r="E414" s="4">
        <f>IF(A414="","",SUMIFS('Логи'!$H$7:$H$3006,'Логи'!$A$7:$A$3006,7,'Логи'!$B$7:$B$3006,2,'Логи'!$C$7:$C$3006,A414))</f>
        <v/>
      </c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</row>
    <row r="415">
      <c r="A415" s="4" t="inlineStr">
        <is>
          <t>Студент2.2</t>
        </is>
      </c>
      <c r="B415" s="4" t="inlineStr"/>
      <c r="C415" s="4">
        <f>IF(A415="","",COUNTIF(F415:AI415,"+")+COUNTIF(F415:AI415,"1"))</f>
        <v/>
      </c>
      <c r="D415" s="4">
        <f>IF(A415="","",IF(C415&gt;2*COUNTA(F$413:AI$413)/3,'Общий'!$M$11,IF(C415&gt;=COUNTA(F$413:AI$413)/2,'Общий'!$M$12,'Общий'!$M$13)))</f>
        <v/>
      </c>
      <c r="E415" s="4">
        <f>IF(A415="","",SUMIFS('Логи'!$H$7:$H$3006,'Логи'!$A$7:$A$3006,7,'Логи'!$B$7:$B$3006,2,'Логи'!$C$7:$C$3006,A415))</f>
        <v/>
      </c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4" t="inlineStr">
        <is>
          <t>Студент2.3</t>
        </is>
      </c>
      <c r="B416" s="4" t="inlineStr"/>
      <c r="C416" s="4">
        <f>IF(A416="","",COUNTIF(F416:AI416,"+")+COUNTIF(F416:AI416,"1"))</f>
        <v/>
      </c>
      <c r="D416" s="4">
        <f>IF(A416="","",IF(C416&gt;2*COUNTA(F$413:AI$413)/3,'Общий'!$M$11,IF(C416&gt;=COUNTA(F$413:AI$413)/2,'Общий'!$M$12,'Общий'!$M$13)))</f>
        <v/>
      </c>
      <c r="E416" s="4">
        <f>IF(A416="","",SUMIFS('Логи'!$H$7:$H$3006,'Логи'!$A$7:$A$3006,7,'Логи'!$B$7:$B$3006,2,'Логи'!$C$7:$C$3006,A416))</f>
        <v/>
      </c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</row>
    <row r="417">
      <c r="A417" s="4" t="inlineStr">
        <is>
          <t>Студент2.4</t>
        </is>
      </c>
      <c r="B417" s="4" t="inlineStr"/>
      <c r="C417" s="4">
        <f>IF(A417="","",COUNTIF(F417:AI417,"+")+COUNTIF(F417:AI417,"1"))</f>
        <v/>
      </c>
      <c r="D417" s="4">
        <f>IF(A417="","",IF(C417&gt;2*COUNTA(F$413:AI$413)/3,'Общий'!$M$11,IF(C417&gt;=COUNTA(F$413:AI$413)/2,'Общий'!$M$12,'Общий'!$M$13)))</f>
        <v/>
      </c>
      <c r="E417" s="4">
        <f>IF(A417="","",SUMIFS('Логи'!$H$7:$H$3006,'Логи'!$A$7:$A$3006,7,'Логи'!$B$7:$B$3006,2,'Логи'!$C$7:$C$3006,A417))</f>
        <v/>
      </c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4" t="inlineStr">
        <is>
          <t>Студент2.5</t>
        </is>
      </c>
      <c r="B418" s="4" t="inlineStr"/>
      <c r="C418" s="4">
        <f>IF(A418="","",COUNTIF(F418:AI418,"+")+COUNTIF(F418:AI418,"1"))</f>
        <v/>
      </c>
      <c r="D418" s="4">
        <f>IF(A418="","",IF(C418&gt;2*COUNTA(F$413:AI$413)/3,'Общий'!$M$11,IF(C418&gt;=COUNTA(F$413:AI$413)/2,'Общий'!$M$12,'Общий'!$M$13)))</f>
        <v/>
      </c>
      <c r="E418" s="4">
        <f>IF(A418="","",SUMIFS('Логи'!$H$7:$H$3006,'Логи'!$A$7:$A$3006,7,'Логи'!$B$7:$B$3006,2,'Логи'!$C$7:$C$3006,A418))</f>
        <v/>
      </c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</row>
    <row r="419">
      <c r="A419" s="4" t="inlineStr">
        <is>
          <t>Студент2.6</t>
        </is>
      </c>
      <c r="B419" s="4" t="inlineStr"/>
      <c r="C419" s="4">
        <f>IF(A419="","",COUNTIF(F419:AI419,"+")+COUNTIF(F419:AI419,"1"))</f>
        <v/>
      </c>
      <c r="D419" s="4">
        <f>IF(A419="","",IF(C419&gt;2*COUNTA(F$413:AI$413)/3,'Общий'!$M$11,IF(C419&gt;=COUNTA(F$413:AI$413)/2,'Общий'!$M$12,'Общий'!$M$13)))</f>
        <v/>
      </c>
      <c r="E419" s="4">
        <f>IF(A419="","",SUMIFS('Логи'!$H$7:$H$3006,'Логи'!$A$7:$A$3006,7,'Логи'!$B$7:$B$3006,2,'Логи'!$C$7:$C$3006,A419))</f>
        <v/>
      </c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4" t="inlineStr">
        <is>
          <t>Студент2.7</t>
        </is>
      </c>
      <c r="B420" s="4" t="inlineStr"/>
      <c r="C420" s="4">
        <f>IF(A420="","",COUNTIF(F420:AI420,"+")+COUNTIF(F420:AI420,"1"))</f>
        <v/>
      </c>
      <c r="D420" s="4">
        <f>IF(A420="","",IF(C420&gt;2*COUNTA(F$413:AI$413)/3,'Общий'!$M$11,IF(C420&gt;=COUNTA(F$413:AI$413)/2,'Общий'!$M$12,'Общий'!$M$13)))</f>
        <v/>
      </c>
      <c r="E420" s="4">
        <f>IF(A420="","",SUMIFS('Логи'!$H$7:$H$3006,'Логи'!$A$7:$A$3006,7,'Логи'!$B$7:$B$3006,2,'Логи'!$C$7:$C$3006,A420))</f>
        <v/>
      </c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</row>
    <row r="421">
      <c r="A421" s="4" t="inlineStr">
        <is>
          <t>Студент2.8</t>
        </is>
      </c>
      <c r="B421" s="4" t="inlineStr"/>
      <c r="C421" s="4">
        <f>IF(A421="","",COUNTIF(F421:AI421,"+")+COUNTIF(F421:AI421,"1"))</f>
        <v/>
      </c>
      <c r="D421" s="4">
        <f>IF(A421="","",IF(C421&gt;2*COUNTA(F$413:AI$413)/3,'Общий'!$M$11,IF(C421&gt;=COUNTA(F$413:AI$413)/2,'Общий'!$M$12,'Общий'!$M$13)))</f>
        <v/>
      </c>
      <c r="E421" s="4">
        <f>IF(A421="","",SUMIFS('Логи'!$H$7:$H$3006,'Логи'!$A$7:$A$3006,7,'Логи'!$B$7:$B$3006,2,'Логи'!$C$7:$C$3006,A421))</f>
        <v/>
      </c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4" t="inlineStr">
        <is>
          <t>Студент2.9</t>
        </is>
      </c>
      <c r="B422" s="4" t="inlineStr"/>
      <c r="C422" s="4">
        <f>IF(A422="","",COUNTIF(F422:AI422,"+")+COUNTIF(F422:AI422,"1"))</f>
        <v/>
      </c>
      <c r="D422" s="4">
        <f>IF(A422="","",IF(C422&gt;2*COUNTA(F$413:AI$413)/3,'Общий'!$M$11,IF(C422&gt;=COUNTA(F$413:AI$413)/2,'Общий'!$M$12,'Общий'!$M$13)))</f>
        <v/>
      </c>
      <c r="E422" s="4">
        <f>IF(A422="","",SUMIFS('Логи'!$H$7:$H$3006,'Логи'!$A$7:$A$3006,7,'Логи'!$B$7:$B$3006,2,'Логи'!$C$7:$C$3006,A422))</f>
        <v/>
      </c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</row>
    <row r="423">
      <c r="A423" s="4" t="inlineStr">
        <is>
          <t>Студент2.10</t>
        </is>
      </c>
      <c r="B423" s="4" t="inlineStr"/>
      <c r="C423" s="4">
        <f>IF(A423="","",COUNTIF(F423:AI423,"+")+COUNTIF(F423:AI423,"1"))</f>
        <v/>
      </c>
      <c r="D423" s="4">
        <f>IF(A423="","",IF(C423&gt;2*COUNTA(F$413:AI$413)/3,'Общий'!$M$11,IF(C423&gt;=COUNTA(F$413:AI$413)/2,'Общий'!$M$12,'Общий'!$M$13)))</f>
        <v/>
      </c>
      <c r="E423" s="4">
        <f>IF(A423="","",SUMIFS('Логи'!$H$7:$H$3006,'Логи'!$A$7:$A$3006,7,'Логи'!$B$7:$B$3006,2,'Логи'!$C$7:$C$3006,A423))</f>
        <v/>
      </c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4" t="inlineStr">
        <is>
          <t>Студент2.11</t>
        </is>
      </c>
      <c r="B424" s="4" t="inlineStr"/>
      <c r="C424" s="4">
        <f>IF(A424="","",COUNTIF(F424:AI424,"+")+COUNTIF(F424:AI424,"1"))</f>
        <v/>
      </c>
      <c r="D424" s="4">
        <f>IF(A424="","",IF(C424&gt;2*COUNTA(F$413:AI$413)/3,'Общий'!$M$11,IF(C424&gt;=COUNTA(F$413:AI$413)/2,'Общий'!$M$12,'Общий'!$M$13)))</f>
        <v/>
      </c>
      <c r="E424" s="4">
        <f>IF(A424="","",SUMIFS('Логи'!$H$7:$H$3006,'Логи'!$A$7:$A$3006,7,'Логи'!$B$7:$B$3006,2,'Логи'!$C$7:$C$3006,A424))</f>
        <v/>
      </c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</row>
    <row r="425">
      <c r="A425" s="4" t="inlineStr">
        <is>
          <t>Студент2.12</t>
        </is>
      </c>
      <c r="B425" s="4" t="inlineStr"/>
      <c r="C425" s="4">
        <f>IF(A425="","",COUNTIF(F425:AI425,"+")+COUNTIF(F425:AI425,"1"))</f>
        <v/>
      </c>
      <c r="D425" s="4">
        <f>IF(A425="","",IF(C425&gt;2*COUNTA(F$413:AI$413)/3,'Общий'!$M$11,IF(C425&gt;=COUNTA(F$413:AI$413)/2,'Общий'!$M$12,'Общий'!$M$13)))</f>
        <v/>
      </c>
      <c r="E425" s="4">
        <f>IF(A425="","",SUMIFS('Логи'!$H$7:$H$3006,'Логи'!$A$7:$A$3006,7,'Логи'!$B$7:$B$3006,2,'Логи'!$C$7:$C$3006,A425))</f>
        <v/>
      </c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4" t="inlineStr">
        <is>
          <t>Студент2.13</t>
        </is>
      </c>
      <c r="B426" s="4" t="inlineStr"/>
      <c r="C426" s="4">
        <f>IF(A426="","",COUNTIF(F426:AI426,"+")+COUNTIF(F426:AI426,"1"))</f>
        <v/>
      </c>
      <c r="D426" s="4">
        <f>IF(A426="","",IF(C426&gt;2*COUNTA(F$413:AI$413)/3,'Общий'!$M$11,IF(C426&gt;=COUNTA(F$413:AI$413)/2,'Общий'!$M$12,'Общий'!$M$13)))</f>
        <v/>
      </c>
      <c r="E426" s="4">
        <f>IF(A426="","",SUMIFS('Логи'!$H$7:$H$3006,'Логи'!$A$7:$A$3006,7,'Логи'!$B$7:$B$3006,2,'Логи'!$C$7:$C$3006,A426))</f>
        <v/>
      </c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</row>
    <row r="427">
      <c r="A427" s="4" t="inlineStr">
        <is>
          <t>Студент2.14</t>
        </is>
      </c>
      <c r="B427" s="4" t="inlineStr"/>
      <c r="C427" s="4">
        <f>IF(A427="","",COUNTIF(F427:AI427,"+")+COUNTIF(F427:AI427,"1"))</f>
        <v/>
      </c>
      <c r="D427" s="4">
        <f>IF(A427="","",IF(C427&gt;2*COUNTA(F$413:AI$413)/3,'Общий'!$M$11,IF(C427&gt;=COUNTA(F$413:AI$413)/2,'Общий'!$M$12,'Общий'!$M$13)))</f>
        <v/>
      </c>
      <c r="E427" s="4">
        <f>IF(A427="","",SUMIFS('Логи'!$H$7:$H$3006,'Логи'!$A$7:$A$3006,7,'Логи'!$B$7:$B$3006,2,'Логи'!$C$7:$C$3006,A427))</f>
        <v/>
      </c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4" t="inlineStr">
        <is>
          <t>Студент2.15</t>
        </is>
      </c>
      <c r="B428" s="4" t="inlineStr"/>
      <c r="C428" s="4">
        <f>IF(A428="","",COUNTIF(F428:AI428,"+")+COUNTIF(F428:AI428,"1"))</f>
        <v/>
      </c>
      <c r="D428" s="4">
        <f>IF(A428="","",IF(C428&gt;2*COUNTA(F$413:AI$413)/3,'Общий'!$M$11,IF(C428&gt;=COUNTA(F$413:AI$413)/2,'Общий'!$M$12,'Общий'!$M$13)))</f>
        <v/>
      </c>
      <c r="E428" s="4">
        <f>IF(A428="","",SUMIFS('Логи'!$H$7:$H$3006,'Логи'!$A$7:$A$3006,7,'Логи'!$B$7:$B$3006,2,'Логи'!$C$7:$C$3006,A428))</f>
        <v/>
      </c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</row>
    <row r="429">
      <c r="A429" s="4" t="inlineStr">
        <is>
          <t>Студент2.16</t>
        </is>
      </c>
      <c r="B429" s="4" t="inlineStr"/>
      <c r="C429" s="4">
        <f>IF(A429="","",COUNTIF(F429:AI429,"+")+COUNTIF(F429:AI429,"1"))</f>
        <v/>
      </c>
      <c r="D429" s="4">
        <f>IF(A429="","",IF(C429&gt;2*COUNTA(F$413:AI$413)/3,'Общий'!$M$11,IF(C429&gt;=COUNTA(F$413:AI$413)/2,'Общий'!$M$12,'Общий'!$M$13)))</f>
        <v/>
      </c>
      <c r="E429" s="4">
        <f>IF(A429="","",SUMIFS('Логи'!$H$7:$H$3006,'Логи'!$A$7:$A$3006,7,'Логи'!$B$7:$B$3006,2,'Логи'!$C$7:$C$3006,A429))</f>
        <v/>
      </c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4" t="inlineStr">
        <is>
          <t>Студент2.17</t>
        </is>
      </c>
      <c r="B430" s="4" t="inlineStr"/>
      <c r="C430" s="4">
        <f>IF(A430="","",COUNTIF(F430:AI430,"+")+COUNTIF(F430:AI430,"1"))</f>
        <v/>
      </c>
      <c r="D430" s="4">
        <f>IF(A430="","",IF(C430&gt;2*COUNTA(F$413:AI$413)/3,'Общий'!$M$11,IF(C430&gt;=COUNTA(F$413:AI$413)/2,'Общий'!$M$12,'Общий'!$M$13)))</f>
        <v/>
      </c>
      <c r="E430" s="4">
        <f>IF(A430="","",SUMIFS('Логи'!$H$7:$H$3006,'Логи'!$A$7:$A$3006,7,'Логи'!$B$7:$B$3006,2,'Логи'!$C$7:$C$3006,A430))</f>
        <v/>
      </c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</row>
    <row r="431">
      <c r="A431" s="4" t="inlineStr">
        <is>
          <t>Студент2.18</t>
        </is>
      </c>
      <c r="B431" s="4" t="inlineStr"/>
      <c r="C431" s="4">
        <f>IF(A431="","",COUNTIF(F431:AI431,"+")+COUNTIF(F431:AI431,"1"))</f>
        <v/>
      </c>
      <c r="D431" s="4">
        <f>IF(A431="","",IF(C431&gt;2*COUNTA(F$413:AI$413)/3,'Общий'!$M$11,IF(C431&gt;=COUNTA(F$413:AI$413)/2,'Общий'!$M$12,'Общий'!$M$13)))</f>
        <v/>
      </c>
      <c r="E431" s="4">
        <f>IF(A431="","",SUMIFS('Логи'!$H$7:$H$3006,'Логи'!$A$7:$A$3006,7,'Логи'!$B$7:$B$3006,2,'Логи'!$C$7:$C$3006,A431))</f>
        <v/>
      </c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4" t="inlineStr">
        <is>
          <t>Студент2.19</t>
        </is>
      </c>
      <c r="B432" s="4" t="inlineStr"/>
      <c r="C432" s="4">
        <f>IF(A432="","",COUNTIF(F432:AI432,"+")+COUNTIF(F432:AI432,"1"))</f>
        <v/>
      </c>
      <c r="D432" s="4">
        <f>IF(A432="","",IF(C432&gt;2*COUNTA(F$413:AI$413)/3,'Общий'!$M$11,IF(C432&gt;=COUNTA(F$413:AI$413)/2,'Общий'!$M$12,'Общий'!$M$13)))</f>
        <v/>
      </c>
      <c r="E432" s="4">
        <f>IF(A432="","",SUMIFS('Логи'!$H$7:$H$3006,'Логи'!$A$7:$A$3006,7,'Логи'!$B$7:$B$3006,2,'Логи'!$C$7:$C$3006,A432))</f>
        <v/>
      </c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</row>
    <row r="433">
      <c r="A433" s="4" t="inlineStr">
        <is>
          <t>Студент2.20</t>
        </is>
      </c>
      <c r="B433" s="4" t="inlineStr"/>
      <c r="C433" s="4">
        <f>IF(A433="","",COUNTIF(F433:AI433,"+")+COUNTIF(F433:AI433,"1"))</f>
        <v/>
      </c>
      <c r="D433" s="4">
        <f>IF(A433="","",IF(C433&gt;2*COUNTA(F$413:AI$413)/3,'Общий'!$M$11,IF(C433&gt;=COUNTA(F$413:AI$413)/2,'Общий'!$M$12,'Общий'!$M$13)))</f>
        <v/>
      </c>
      <c r="E433" s="4">
        <f>IF(A433="","",SUMIFS('Логи'!$H$7:$H$3006,'Логи'!$A$7:$A$3006,7,'Логи'!$B$7:$B$3006,2,'Логи'!$C$7:$C$3006,A433))</f>
        <v/>
      </c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4" t="inlineStr">
        <is>
          <t>Студент2.21</t>
        </is>
      </c>
      <c r="B434" s="4" t="inlineStr"/>
      <c r="C434" s="4">
        <f>IF(A434="","",COUNTIF(F434:AI434,"+")+COUNTIF(F434:AI434,"1"))</f>
        <v/>
      </c>
      <c r="D434" s="4">
        <f>IF(A434="","",IF(C434&gt;2*COUNTA(F$413:AI$413)/3,'Общий'!$M$11,IF(C434&gt;=COUNTA(F$413:AI$413)/2,'Общий'!$M$12,'Общий'!$M$13)))</f>
        <v/>
      </c>
      <c r="E434" s="4">
        <f>IF(A434="","",SUMIFS('Логи'!$H$7:$H$3006,'Логи'!$A$7:$A$3006,7,'Логи'!$B$7:$B$3006,2,'Логи'!$C$7:$C$3006,A434))</f>
        <v/>
      </c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</row>
    <row r="435">
      <c r="A435" s="4" t="inlineStr">
        <is>
          <t>Студент2.22</t>
        </is>
      </c>
      <c r="B435" s="4" t="inlineStr"/>
      <c r="C435" s="4">
        <f>IF(A435="","",COUNTIF(F435:AI435,"+")+COUNTIF(F435:AI435,"1"))</f>
        <v/>
      </c>
      <c r="D435" s="4">
        <f>IF(A435="","",IF(C435&gt;2*COUNTA(F$413:AI$413)/3,'Общий'!$M$11,IF(C435&gt;=COUNTA(F$413:AI$413)/2,'Общий'!$M$12,'Общий'!$M$13)))</f>
        <v/>
      </c>
      <c r="E435" s="4">
        <f>IF(A435="","",SUMIFS('Логи'!$H$7:$H$3006,'Логи'!$A$7:$A$3006,7,'Логи'!$B$7:$B$3006,2,'Логи'!$C$7:$C$3006,A435))</f>
        <v/>
      </c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4" t="inlineStr">
        <is>
          <t>Студент2.23</t>
        </is>
      </c>
      <c r="B436" s="4" t="inlineStr"/>
      <c r="C436" s="4">
        <f>IF(A436="","",COUNTIF(F436:AI436,"+")+COUNTIF(F436:AI436,"1"))</f>
        <v/>
      </c>
      <c r="D436" s="4">
        <f>IF(A436="","",IF(C436&gt;2*COUNTA(F$413:AI$413)/3,'Общий'!$M$11,IF(C436&gt;=COUNTA(F$413:AI$413)/2,'Общий'!$M$12,'Общий'!$M$13)))</f>
        <v/>
      </c>
      <c r="E436" s="4">
        <f>IF(A436="","",SUMIFS('Логи'!$H$7:$H$3006,'Логи'!$A$7:$A$3006,7,'Логи'!$B$7:$B$3006,2,'Логи'!$C$7:$C$3006,A436))</f>
        <v/>
      </c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</row>
    <row r="437">
      <c r="A437" s="4" t="inlineStr">
        <is>
          <t>Студент2.24</t>
        </is>
      </c>
      <c r="B437" s="4" t="inlineStr"/>
      <c r="C437" s="4">
        <f>IF(A437="","",COUNTIF(F437:AI437,"+")+COUNTIF(F437:AI437,"1"))</f>
        <v/>
      </c>
      <c r="D437" s="4">
        <f>IF(A437="","",IF(C437&gt;2*COUNTA(F$413:AI$413)/3,'Общий'!$M$11,IF(C437&gt;=COUNTA(F$413:AI$413)/2,'Общий'!$M$12,'Общий'!$M$13)))</f>
        <v/>
      </c>
      <c r="E437" s="4">
        <f>IF(A437="","",SUMIFS('Логи'!$H$7:$H$3006,'Логи'!$A$7:$A$3006,7,'Логи'!$B$7:$B$3006,2,'Логи'!$C$7:$C$3006,A437))</f>
        <v/>
      </c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4" t="inlineStr">
        <is>
          <t>Студент2.25</t>
        </is>
      </c>
      <c r="B438" s="4" t="inlineStr"/>
      <c r="C438" s="4">
        <f>IF(A438="","",COUNTIF(F438:AI438,"+")+COUNTIF(F438:AI438,"1"))</f>
        <v/>
      </c>
      <c r="D438" s="4">
        <f>IF(A438="","",IF(C438&gt;2*COUNTA(F$413:AI$413)/3,'Общий'!$M$11,IF(C438&gt;=COUNTA(F$413:AI$413)/2,'Общий'!$M$12,'Общий'!$M$13)))</f>
        <v/>
      </c>
      <c r="E438" s="4">
        <f>IF(A438="","",SUMIFS('Логи'!$H$7:$H$3006,'Логи'!$A$7:$A$3006,7,'Логи'!$B$7:$B$3006,2,'Логи'!$C$7:$C$3006,A438))</f>
        <v/>
      </c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</row>
    <row r="439">
      <c r="A439" s="4" t="inlineStr">
        <is>
          <t>Студент2.26</t>
        </is>
      </c>
      <c r="B439" s="4" t="inlineStr"/>
      <c r="C439" s="4">
        <f>IF(A439="","",COUNTIF(F439:AI439,"+")+COUNTIF(F439:AI439,"1"))</f>
        <v/>
      </c>
      <c r="D439" s="4">
        <f>IF(A439="","",IF(C439&gt;2*COUNTA(F$413:AI$413)/3,'Общий'!$M$11,IF(C439&gt;=COUNTA(F$413:AI$413)/2,'Общий'!$M$12,'Общий'!$M$13)))</f>
        <v/>
      </c>
      <c r="E439" s="4">
        <f>IF(A439="","",SUMIFS('Логи'!$H$7:$H$3006,'Логи'!$A$7:$A$3006,7,'Логи'!$B$7:$B$3006,2,'Логи'!$C$7:$C$3006,A439))</f>
        <v/>
      </c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4" t="inlineStr">
        <is>
          <t>Студент2.27</t>
        </is>
      </c>
      <c r="B440" s="4" t="inlineStr"/>
      <c r="C440" s="4">
        <f>IF(A440="","",COUNTIF(F440:AI440,"+")+COUNTIF(F440:AI440,"1"))</f>
        <v/>
      </c>
      <c r="D440" s="4">
        <f>IF(A440="","",IF(C440&gt;2*COUNTA(F$413:AI$413)/3,'Общий'!$M$11,IF(C440&gt;=COUNTA(F$413:AI$413)/2,'Общий'!$M$12,'Общий'!$M$13)))</f>
        <v/>
      </c>
      <c r="E440" s="4">
        <f>IF(A440="","",SUMIFS('Логи'!$H$7:$H$3006,'Логи'!$A$7:$A$3006,7,'Логи'!$B$7:$B$3006,2,'Логи'!$C$7:$C$3006,A440))</f>
        <v/>
      </c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</row>
    <row r="441">
      <c r="A441" s="4" t="inlineStr">
        <is>
          <t>Студент2.28</t>
        </is>
      </c>
      <c r="B441" s="4" t="inlineStr"/>
      <c r="C441" s="4">
        <f>IF(A441="","",COUNTIF(F441:AI441,"+")+COUNTIF(F441:AI441,"1"))</f>
        <v/>
      </c>
      <c r="D441" s="4">
        <f>IF(A441="","",IF(C441&gt;2*COUNTA(F$413:AI$413)/3,'Общий'!$M$11,IF(C441&gt;=COUNTA(F$413:AI$413)/2,'Общий'!$M$12,'Общий'!$M$13)))</f>
        <v/>
      </c>
      <c r="E441" s="4">
        <f>IF(A441="","",SUMIFS('Логи'!$H$7:$H$3006,'Логи'!$A$7:$A$3006,7,'Логи'!$B$7:$B$3006,2,'Логи'!$C$7:$C$3006,A441))</f>
        <v/>
      </c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4" t="inlineStr">
        <is>
          <t>Студент2.29</t>
        </is>
      </c>
      <c r="B442" s="4" t="inlineStr"/>
      <c r="C442" s="4">
        <f>IF(A442="","",COUNTIF(F442:AI442,"+")+COUNTIF(F442:AI442,"1"))</f>
        <v/>
      </c>
      <c r="D442" s="4">
        <f>IF(A442="","",IF(C442&gt;2*COUNTA(F$413:AI$413)/3,'Общий'!$M$11,IF(C442&gt;=COUNTA(F$413:AI$413)/2,'Общий'!$M$12,'Общий'!$M$13)))</f>
        <v/>
      </c>
      <c r="E442" s="4">
        <f>IF(A442="","",SUMIFS('Логи'!$H$7:$H$3006,'Логи'!$A$7:$A$3006,7,'Логи'!$B$7:$B$3006,2,'Логи'!$C$7:$C$3006,A442))</f>
        <v/>
      </c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</row>
    <row r="443">
      <c r="A443" s="4" t="inlineStr">
        <is>
          <t>Студент2.30</t>
        </is>
      </c>
      <c r="B443" s="4" t="inlineStr"/>
      <c r="C443" s="4">
        <f>IF(A443="","",COUNTIF(F443:AI443,"+")+COUNTIF(F443:AI443,"1"))</f>
        <v/>
      </c>
      <c r="D443" s="4">
        <f>IF(A443="","",IF(C443&gt;2*COUNTA(F$413:AI$413)/3,'Общий'!$M$11,IF(C443&gt;=COUNTA(F$413:AI$413)/2,'Общий'!$M$12,'Общий'!$M$13)))</f>
        <v/>
      </c>
      <c r="E443" s="4">
        <f>IF(A443="","",SUMIFS('Логи'!$H$7:$H$3006,'Логи'!$A$7:$A$3006,7,'Логи'!$B$7:$B$3006,2,'Логи'!$C$7:$C$3006,A443))</f>
        <v/>
      </c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5">
      <c r="A445" s="19" t="inlineStr">
        <is>
          <t>Практика 7 — результаты рассказа</t>
        </is>
      </c>
    </row>
    <row r="446" ht="28" customHeight="1">
      <c r="A446" s="9" t="inlineStr">
        <is>
          <t>Имя</t>
        </is>
      </c>
      <c r="B446" s="11" t="inlineStr">
        <is>
          <t>TG</t>
        </is>
      </c>
      <c r="C446" s="12" t="inlineStr"/>
      <c r="D446" s="3" t="inlineStr"/>
      <c r="E446" s="3" t="inlineStr"/>
      <c r="F446" s="13" t="inlineStr">
        <is>
          <t>1.0</t>
        </is>
      </c>
      <c r="G446" s="13" t="inlineStr">
        <is>
          <t>2.0</t>
        </is>
      </c>
      <c r="H446" s="13" t="inlineStr">
        <is>
          <t>3.0</t>
        </is>
      </c>
      <c r="I446" s="13" t="inlineStr">
        <is>
          <t>4.0</t>
        </is>
      </c>
      <c r="J446" s="13" t="inlineStr">
        <is>
          <t>5.0</t>
        </is>
      </c>
      <c r="K446" s="13" t="inlineStr">
        <is>
          <t>6</t>
        </is>
      </c>
      <c r="L446" s="13" t="inlineStr">
        <is>
          <t>7</t>
        </is>
      </c>
      <c r="M446" s="13" t="inlineStr">
        <is>
          <t>8</t>
        </is>
      </c>
      <c r="N446" s="13" t="inlineStr">
        <is>
          <t>9</t>
        </is>
      </c>
      <c r="O446" s="13" t="inlineStr">
        <is>
          <t>10</t>
        </is>
      </c>
      <c r="P446" s="13" t="inlineStr">
        <is>
          <t>11</t>
        </is>
      </c>
      <c r="Q446" s="13" t="inlineStr">
        <is>
          <t>12</t>
        </is>
      </c>
      <c r="R446" s="13" t="inlineStr">
        <is>
          <t>13</t>
        </is>
      </c>
      <c r="S446" s="13" t="inlineStr">
        <is>
          <t>14</t>
        </is>
      </c>
      <c r="T446" s="13" t="inlineStr">
        <is>
          <t>15</t>
        </is>
      </c>
      <c r="U446" s="13" t="inlineStr">
        <is>
          <t>16</t>
        </is>
      </c>
      <c r="V446" s="13" t="inlineStr">
        <is>
          <t>17</t>
        </is>
      </c>
      <c r="W446" s="13" t="inlineStr">
        <is>
          <t>18</t>
        </is>
      </c>
      <c r="X446" s="13" t="inlineStr">
        <is>
          <t>19</t>
        </is>
      </c>
      <c r="Y446" s="13" t="inlineStr">
        <is>
          <t>20</t>
        </is>
      </c>
      <c r="Z446" s="13" t="inlineStr">
        <is>
          <t>21</t>
        </is>
      </c>
      <c r="AA446" s="13" t="inlineStr">
        <is>
          <t>22</t>
        </is>
      </c>
      <c r="AB446" s="13" t="inlineStr">
        <is>
          <t>23</t>
        </is>
      </c>
      <c r="AC446" s="13" t="inlineStr">
        <is>
          <t>24</t>
        </is>
      </c>
      <c r="AD446" s="13" t="inlineStr">
        <is>
          <t>25</t>
        </is>
      </c>
      <c r="AE446" s="13" t="inlineStr">
        <is>
          <t>26</t>
        </is>
      </c>
      <c r="AF446" s="13" t="inlineStr">
        <is>
          <t>27</t>
        </is>
      </c>
      <c r="AG446" s="13" t="inlineStr">
        <is>
          <t>28</t>
        </is>
      </c>
      <c r="AH446" s="13" t="inlineStr">
        <is>
          <t>29</t>
        </is>
      </c>
      <c r="AI446" s="13" t="inlineStr">
        <is>
          <t>30</t>
        </is>
      </c>
    </row>
    <row r="447">
      <c r="A447" s="4" t="inlineStr">
        <is>
          <t>Студент2.1</t>
        </is>
      </c>
      <c r="B447" s="4" t="inlineStr"/>
      <c r="C447" s="4" t="n"/>
      <c r="D447" s="4" t="n"/>
      <c r="E447" s="4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4" t="inlineStr">
        <is>
          <t>Студент2.2</t>
        </is>
      </c>
      <c r="B448" s="4" t="inlineStr"/>
      <c r="C448" s="4" t="n"/>
      <c r="D448" s="4" t="n"/>
      <c r="E448" s="4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</row>
    <row r="449">
      <c r="A449" s="4" t="inlineStr">
        <is>
          <t>Студент2.3</t>
        </is>
      </c>
      <c r="B449" s="4" t="inlineStr"/>
      <c r="C449" s="4" t="n"/>
      <c r="D449" s="4" t="n"/>
      <c r="E449" s="4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4" t="inlineStr">
        <is>
          <t>Студент2.4</t>
        </is>
      </c>
      <c r="B450" s="4" t="inlineStr"/>
      <c r="C450" s="4" t="n"/>
      <c r="D450" s="4" t="n"/>
      <c r="E450" s="4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</row>
    <row r="451">
      <c r="A451" s="4" t="inlineStr">
        <is>
          <t>Студент2.5</t>
        </is>
      </c>
      <c r="B451" s="4" t="inlineStr"/>
      <c r="C451" s="4" t="n"/>
      <c r="D451" s="4" t="n"/>
      <c r="E451" s="4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4" t="inlineStr">
        <is>
          <t>Студент2.6</t>
        </is>
      </c>
      <c r="B452" s="4" t="inlineStr"/>
      <c r="C452" s="4" t="n"/>
      <c r="D452" s="4" t="n"/>
      <c r="E452" s="4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</row>
    <row r="453">
      <c r="A453" s="4" t="inlineStr">
        <is>
          <t>Студент2.7</t>
        </is>
      </c>
      <c r="B453" s="4" t="inlineStr"/>
      <c r="C453" s="4" t="n"/>
      <c r="D453" s="4" t="n"/>
      <c r="E453" s="4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4" t="inlineStr">
        <is>
          <t>Студент2.8</t>
        </is>
      </c>
      <c r="B454" s="4" t="inlineStr"/>
      <c r="C454" s="4" t="n"/>
      <c r="D454" s="4" t="n"/>
      <c r="E454" s="4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</row>
    <row r="455">
      <c r="A455" s="4" t="inlineStr">
        <is>
          <t>Студент2.9</t>
        </is>
      </c>
      <c r="B455" s="4" t="inlineStr"/>
      <c r="C455" s="4" t="n"/>
      <c r="D455" s="4" t="n"/>
      <c r="E455" s="4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4" t="inlineStr">
        <is>
          <t>Студент2.10</t>
        </is>
      </c>
      <c r="B456" s="4" t="inlineStr"/>
      <c r="C456" s="4" t="n"/>
      <c r="D456" s="4" t="n"/>
      <c r="E456" s="4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</row>
    <row r="457">
      <c r="A457" s="4" t="inlineStr">
        <is>
          <t>Студент2.11</t>
        </is>
      </c>
      <c r="B457" s="4" t="inlineStr"/>
      <c r="C457" s="4" t="n"/>
      <c r="D457" s="4" t="n"/>
      <c r="E457" s="4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4" t="inlineStr">
        <is>
          <t>Студент2.12</t>
        </is>
      </c>
      <c r="B458" s="4" t="inlineStr"/>
      <c r="C458" s="4" t="n"/>
      <c r="D458" s="4" t="n"/>
      <c r="E458" s="4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</row>
    <row r="459">
      <c r="A459" s="4" t="inlineStr">
        <is>
          <t>Студент2.13</t>
        </is>
      </c>
      <c r="B459" s="4" t="inlineStr"/>
      <c r="C459" s="4" t="n"/>
      <c r="D459" s="4" t="n"/>
      <c r="E459" s="4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4" t="inlineStr">
        <is>
          <t>Студент2.14</t>
        </is>
      </c>
      <c r="B460" s="4" t="inlineStr"/>
      <c r="C460" s="4" t="n"/>
      <c r="D460" s="4" t="n"/>
      <c r="E460" s="4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</row>
    <row r="461">
      <c r="A461" s="4" t="inlineStr">
        <is>
          <t>Студент2.15</t>
        </is>
      </c>
      <c r="B461" s="4" t="inlineStr"/>
      <c r="C461" s="4" t="n"/>
      <c r="D461" s="4" t="n"/>
      <c r="E461" s="4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4" t="inlineStr">
        <is>
          <t>Студент2.16</t>
        </is>
      </c>
      <c r="B462" s="4" t="inlineStr"/>
      <c r="C462" s="4" t="n"/>
      <c r="D462" s="4" t="n"/>
      <c r="E462" s="4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</row>
    <row r="463">
      <c r="A463" s="4" t="inlineStr">
        <is>
          <t>Студент2.17</t>
        </is>
      </c>
      <c r="B463" s="4" t="inlineStr"/>
      <c r="C463" s="4" t="n"/>
      <c r="D463" s="4" t="n"/>
      <c r="E463" s="4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4" t="inlineStr">
        <is>
          <t>Студент2.18</t>
        </is>
      </c>
      <c r="B464" s="4" t="inlineStr"/>
      <c r="C464" s="4" t="n"/>
      <c r="D464" s="4" t="n"/>
      <c r="E464" s="4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</row>
    <row r="465">
      <c r="A465" s="4" t="inlineStr">
        <is>
          <t>Студент2.19</t>
        </is>
      </c>
      <c r="B465" s="4" t="inlineStr"/>
      <c r="C465" s="4" t="n"/>
      <c r="D465" s="4" t="n"/>
      <c r="E465" s="4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4" t="inlineStr">
        <is>
          <t>Студент2.20</t>
        </is>
      </c>
      <c r="B466" s="4" t="inlineStr"/>
      <c r="C466" s="4" t="n"/>
      <c r="D466" s="4" t="n"/>
      <c r="E466" s="4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</row>
    <row r="467">
      <c r="A467" s="4" t="inlineStr">
        <is>
          <t>Студент2.21</t>
        </is>
      </c>
      <c r="B467" s="4" t="inlineStr"/>
      <c r="C467" s="4" t="n"/>
      <c r="D467" s="4" t="n"/>
      <c r="E467" s="4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4" t="inlineStr">
        <is>
          <t>Студент2.22</t>
        </is>
      </c>
      <c r="B468" s="4" t="inlineStr"/>
      <c r="C468" s="4" t="n"/>
      <c r="D468" s="4" t="n"/>
      <c r="E468" s="4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</row>
    <row r="469">
      <c r="A469" s="4" t="inlineStr">
        <is>
          <t>Студент2.23</t>
        </is>
      </c>
      <c r="B469" s="4" t="inlineStr"/>
      <c r="C469" s="4" t="n"/>
      <c r="D469" s="4" t="n"/>
      <c r="E469" s="4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4" t="inlineStr">
        <is>
          <t>Студент2.24</t>
        </is>
      </c>
      <c r="B470" s="4" t="inlineStr"/>
      <c r="C470" s="4" t="n"/>
      <c r="D470" s="4" t="n"/>
      <c r="E470" s="4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</row>
    <row r="471">
      <c r="A471" s="4" t="inlineStr">
        <is>
          <t>Студент2.25</t>
        </is>
      </c>
      <c r="B471" s="4" t="inlineStr"/>
      <c r="C471" s="4" t="n"/>
      <c r="D471" s="4" t="n"/>
      <c r="E471" s="4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4" t="inlineStr">
        <is>
          <t>Студент2.26</t>
        </is>
      </c>
      <c r="B472" s="4" t="inlineStr"/>
      <c r="C472" s="4" t="n"/>
      <c r="D472" s="4" t="n"/>
      <c r="E472" s="4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</row>
    <row r="473">
      <c r="A473" s="4" t="inlineStr">
        <is>
          <t>Студент2.27</t>
        </is>
      </c>
      <c r="B473" s="4" t="inlineStr"/>
      <c r="C473" s="4" t="n"/>
      <c r="D473" s="4" t="n"/>
      <c r="E473" s="4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4" t="inlineStr">
        <is>
          <t>Студент2.28</t>
        </is>
      </c>
      <c r="B474" s="4" t="inlineStr"/>
      <c r="C474" s="4" t="n"/>
      <c r="D474" s="4" t="n"/>
      <c r="E474" s="4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</row>
    <row r="475">
      <c r="A475" s="4" t="inlineStr">
        <is>
          <t>Студент2.29</t>
        </is>
      </c>
      <c r="B475" s="4" t="inlineStr"/>
      <c r="C475" s="4" t="n"/>
      <c r="D475" s="4" t="n"/>
      <c r="E475" s="4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4" t="inlineStr">
        <is>
          <t>Студент2.30</t>
        </is>
      </c>
      <c r="B476" s="4" t="inlineStr"/>
      <c r="C476" s="4" t="n"/>
      <c r="D476" s="4" t="n"/>
      <c r="E476" s="4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</row>
    <row r="480">
      <c r="A480" s="17" t="inlineStr">
        <is>
          <t>Практика 8 — плюсы</t>
        </is>
      </c>
    </row>
    <row r="481" ht="28" customHeight="1">
      <c r="A481" s="9" t="inlineStr">
        <is>
          <t>Имя</t>
        </is>
      </c>
      <c r="B481" s="11" t="inlineStr">
        <is>
          <t>TG</t>
        </is>
      </c>
      <c r="C481" s="12" t="inlineStr">
        <is>
          <t>S</t>
        </is>
      </c>
      <c r="D481" s="10" t="inlineStr">
        <is>
          <t>Коэффициент</t>
        </is>
      </c>
      <c r="E481" s="18" t="inlineStr">
        <is>
          <t>D за практику</t>
        </is>
      </c>
      <c r="F481" s="13" t="inlineStr">
        <is>
          <t>1.0</t>
        </is>
      </c>
      <c r="G481" s="13" t="inlineStr">
        <is>
          <t>2.0</t>
        </is>
      </c>
      <c r="H481" s="13" t="inlineStr">
        <is>
          <t>3.0</t>
        </is>
      </c>
      <c r="I481" s="13" t="inlineStr">
        <is>
          <t>4.0</t>
        </is>
      </c>
      <c r="J481" s="13" t="inlineStr">
        <is>
          <t>5.0</t>
        </is>
      </c>
      <c r="K481" s="13" t="inlineStr">
        <is>
          <t>6</t>
        </is>
      </c>
      <c r="L481" s="13" t="inlineStr">
        <is>
          <t>7</t>
        </is>
      </c>
      <c r="M481" s="13" t="inlineStr">
        <is>
          <t>8</t>
        </is>
      </c>
      <c r="N481" s="13" t="inlineStr">
        <is>
          <t>9</t>
        </is>
      </c>
      <c r="O481" s="13" t="inlineStr">
        <is>
          <t>10</t>
        </is>
      </c>
      <c r="P481" s="13" t="inlineStr">
        <is>
          <t>11</t>
        </is>
      </c>
      <c r="Q481" s="13" t="inlineStr">
        <is>
          <t>12</t>
        </is>
      </c>
      <c r="R481" s="13" t="inlineStr">
        <is>
          <t>13</t>
        </is>
      </c>
      <c r="S481" s="13" t="inlineStr">
        <is>
          <t>14</t>
        </is>
      </c>
      <c r="T481" s="13" t="inlineStr">
        <is>
          <t>15</t>
        </is>
      </c>
      <c r="U481" s="13" t="inlineStr">
        <is>
          <t>16</t>
        </is>
      </c>
      <c r="V481" s="13" t="inlineStr">
        <is>
          <t>17</t>
        </is>
      </c>
      <c r="W481" s="13" t="inlineStr">
        <is>
          <t>18</t>
        </is>
      </c>
      <c r="X481" s="13" t="inlineStr">
        <is>
          <t>19</t>
        </is>
      </c>
      <c r="Y481" s="13" t="inlineStr">
        <is>
          <t>20</t>
        </is>
      </c>
      <c r="Z481" s="13" t="inlineStr">
        <is>
          <t>21</t>
        </is>
      </c>
      <c r="AA481" s="13" t="inlineStr">
        <is>
          <t>22</t>
        </is>
      </c>
      <c r="AB481" s="13" t="inlineStr">
        <is>
          <t>23</t>
        </is>
      </c>
      <c r="AC481" s="13" t="inlineStr">
        <is>
          <t>24</t>
        </is>
      </c>
      <c r="AD481" s="13" t="inlineStr">
        <is>
          <t>25</t>
        </is>
      </c>
      <c r="AE481" s="13" t="inlineStr">
        <is>
          <t>26</t>
        </is>
      </c>
      <c r="AF481" s="13" t="inlineStr">
        <is>
          <t>27</t>
        </is>
      </c>
      <c r="AG481" s="13" t="inlineStr">
        <is>
          <t>28</t>
        </is>
      </c>
      <c r="AH481" s="13" t="inlineStr">
        <is>
          <t>29</t>
        </is>
      </c>
      <c r="AI481" s="13" t="inlineStr">
        <is>
          <t>30</t>
        </is>
      </c>
    </row>
    <row r="482">
      <c r="A482" s="4" t="inlineStr">
        <is>
          <t>Студент2.1</t>
        </is>
      </c>
      <c r="B482" s="4" t="inlineStr"/>
      <c r="C482" s="4">
        <f>IF(A482="","",COUNTIF(F482:AI482,"+")+COUNTIF(F482:AI482,"1"))</f>
        <v/>
      </c>
      <c r="D482" s="4">
        <f>IF(A482="","",IF(C482&gt;2*COUNTA(F$481:AI$481)/3,'Общий'!$M$11,IF(C482&gt;=COUNTA(F$481:AI$481)/2,'Общий'!$M$12,'Общий'!$M$13)))</f>
        <v/>
      </c>
      <c r="E482" s="4">
        <f>IF(A482="","",SUMIFS('Логи'!$H$7:$H$3006,'Логи'!$A$7:$A$3006,8,'Логи'!$B$7:$B$3006,2,'Логи'!$C$7:$C$3006,A482))</f>
        <v/>
      </c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</row>
    <row r="483">
      <c r="A483" s="4" t="inlineStr">
        <is>
          <t>Студент2.2</t>
        </is>
      </c>
      <c r="B483" s="4" t="inlineStr"/>
      <c r="C483" s="4">
        <f>IF(A483="","",COUNTIF(F483:AI483,"+")+COUNTIF(F483:AI483,"1"))</f>
        <v/>
      </c>
      <c r="D483" s="4">
        <f>IF(A483="","",IF(C483&gt;2*COUNTA(F$481:AI$481)/3,'Общий'!$M$11,IF(C483&gt;=COUNTA(F$481:AI$481)/2,'Общий'!$M$12,'Общий'!$M$13)))</f>
        <v/>
      </c>
      <c r="E483" s="4">
        <f>IF(A483="","",SUMIFS('Логи'!$H$7:$H$3006,'Логи'!$A$7:$A$3006,8,'Логи'!$B$7:$B$3006,2,'Логи'!$C$7:$C$3006,A483))</f>
        <v/>
      </c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4" t="inlineStr">
        <is>
          <t>Студент2.3</t>
        </is>
      </c>
      <c r="B484" s="4" t="inlineStr"/>
      <c r="C484" s="4">
        <f>IF(A484="","",COUNTIF(F484:AI484,"+")+COUNTIF(F484:AI484,"1"))</f>
        <v/>
      </c>
      <c r="D484" s="4">
        <f>IF(A484="","",IF(C484&gt;2*COUNTA(F$481:AI$481)/3,'Общий'!$M$11,IF(C484&gt;=COUNTA(F$481:AI$481)/2,'Общий'!$M$12,'Общий'!$M$13)))</f>
        <v/>
      </c>
      <c r="E484" s="4">
        <f>IF(A484="","",SUMIFS('Логи'!$H$7:$H$3006,'Логи'!$A$7:$A$3006,8,'Логи'!$B$7:$B$3006,2,'Логи'!$C$7:$C$3006,A484))</f>
        <v/>
      </c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</row>
    <row r="485">
      <c r="A485" s="4" t="inlineStr">
        <is>
          <t>Студент2.4</t>
        </is>
      </c>
      <c r="B485" s="4" t="inlineStr"/>
      <c r="C485" s="4">
        <f>IF(A485="","",COUNTIF(F485:AI485,"+")+COUNTIF(F485:AI485,"1"))</f>
        <v/>
      </c>
      <c r="D485" s="4">
        <f>IF(A485="","",IF(C485&gt;2*COUNTA(F$481:AI$481)/3,'Общий'!$M$11,IF(C485&gt;=COUNTA(F$481:AI$481)/2,'Общий'!$M$12,'Общий'!$M$13)))</f>
        <v/>
      </c>
      <c r="E485" s="4">
        <f>IF(A485="","",SUMIFS('Логи'!$H$7:$H$3006,'Логи'!$A$7:$A$3006,8,'Логи'!$B$7:$B$3006,2,'Логи'!$C$7:$C$3006,A485))</f>
        <v/>
      </c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4" t="inlineStr">
        <is>
          <t>Студент2.5</t>
        </is>
      </c>
      <c r="B486" s="4" t="inlineStr"/>
      <c r="C486" s="4">
        <f>IF(A486="","",COUNTIF(F486:AI486,"+")+COUNTIF(F486:AI486,"1"))</f>
        <v/>
      </c>
      <c r="D486" s="4">
        <f>IF(A486="","",IF(C486&gt;2*COUNTA(F$481:AI$481)/3,'Общий'!$M$11,IF(C486&gt;=COUNTA(F$481:AI$481)/2,'Общий'!$M$12,'Общий'!$M$13)))</f>
        <v/>
      </c>
      <c r="E486" s="4">
        <f>IF(A486="","",SUMIFS('Логи'!$H$7:$H$3006,'Логи'!$A$7:$A$3006,8,'Логи'!$B$7:$B$3006,2,'Логи'!$C$7:$C$3006,A486))</f>
        <v/>
      </c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</row>
    <row r="487">
      <c r="A487" s="4" t="inlineStr">
        <is>
          <t>Студент2.6</t>
        </is>
      </c>
      <c r="B487" s="4" t="inlineStr"/>
      <c r="C487" s="4">
        <f>IF(A487="","",COUNTIF(F487:AI487,"+")+COUNTIF(F487:AI487,"1"))</f>
        <v/>
      </c>
      <c r="D487" s="4">
        <f>IF(A487="","",IF(C487&gt;2*COUNTA(F$481:AI$481)/3,'Общий'!$M$11,IF(C487&gt;=COUNTA(F$481:AI$481)/2,'Общий'!$M$12,'Общий'!$M$13)))</f>
        <v/>
      </c>
      <c r="E487" s="4">
        <f>IF(A487="","",SUMIFS('Логи'!$H$7:$H$3006,'Логи'!$A$7:$A$3006,8,'Логи'!$B$7:$B$3006,2,'Логи'!$C$7:$C$3006,A487))</f>
        <v/>
      </c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4" t="inlineStr">
        <is>
          <t>Студент2.7</t>
        </is>
      </c>
      <c r="B488" s="4" t="inlineStr"/>
      <c r="C488" s="4">
        <f>IF(A488="","",COUNTIF(F488:AI488,"+")+COUNTIF(F488:AI488,"1"))</f>
        <v/>
      </c>
      <c r="D488" s="4">
        <f>IF(A488="","",IF(C488&gt;2*COUNTA(F$481:AI$481)/3,'Общий'!$M$11,IF(C488&gt;=COUNTA(F$481:AI$481)/2,'Общий'!$M$12,'Общий'!$M$13)))</f>
        <v/>
      </c>
      <c r="E488" s="4">
        <f>IF(A488="","",SUMIFS('Логи'!$H$7:$H$3006,'Логи'!$A$7:$A$3006,8,'Логи'!$B$7:$B$3006,2,'Логи'!$C$7:$C$3006,A488))</f>
        <v/>
      </c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</row>
    <row r="489">
      <c r="A489" s="4" t="inlineStr">
        <is>
          <t>Студент2.8</t>
        </is>
      </c>
      <c r="B489" s="4" t="inlineStr"/>
      <c r="C489" s="4">
        <f>IF(A489="","",COUNTIF(F489:AI489,"+")+COUNTIF(F489:AI489,"1"))</f>
        <v/>
      </c>
      <c r="D489" s="4">
        <f>IF(A489="","",IF(C489&gt;2*COUNTA(F$481:AI$481)/3,'Общий'!$M$11,IF(C489&gt;=COUNTA(F$481:AI$481)/2,'Общий'!$M$12,'Общий'!$M$13)))</f>
        <v/>
      </c>
      <c r="E489" s="4">
        <f>IF(A489="","",SUMIFS('Логи'!$H$7:$H$3006,'Логи'!$A$7:$A$3006,8,'Логи'!$B$7:$B$3006,2,'Логи'!$C$7:$C$3006,A489))</f>
        <v/>
      </c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4" t="inlineStr">
        <is>
          <t>Студент2.9</t>
        </is>
      </c>
      <c r="B490" s="4" t="inlineStr"/>
      <c r="C490" s="4">
        <f>IF(A490="","",COUNTIF(F490:AI490,"+")+COUNTIF(F490:AI490,"1"))</f>
        <v/>
      </c>
      <c r="D490" s="4">
        <f>IF(A490="","",IF(C490&gt;2*COUNTA(F$481:AI$481)/3,'Общий'!$M$11,IF(C490&gt;=COUNTA(F$481:AI$481)/2,'Общий'!$M$12,'Общий'!$M$13)))</f>
        <v/>
      </c>
      <c r="E490" s="4">
        <f>IF(A490="","",SUMIFS('Логи'!$H$7:$H$3006,'Логи'!$A$7:$A$3006,8,'Логи'!$B$7:$B$3006,2,'Логи'!$C$7:$C$3006,A490))</f>
        <v/>
      </c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</row>
    <row r="491">
      <c r="A491" s="4" t="inlineStr">
        <is>
          <t>Студент2.10</t>
        </is>
      </c>
      <c r="B491" s="4" t="inlineStr"/>
      <c r="C491" s="4">
        <f>IF(A491="","",COUNTIF(F491:AI491,"+")+COUNTIF(F491:AI491,"1"))</f>
        <v/>
      </c>
      <c r="D491" s="4">
        <f>IF(A491="","",IF(C491&gt;2*COUNTA(F$481:AI$481)/3,'Общий'!$M$11,IF(C491&gt;=COUNTA(F$481:AI$481)/2,'Общий'!$M$12,'Общий'!$M$13)))</f>
        <v/>
      </c>
      <c r="E491" s="4">
        <f>IF(A491="","",SUMIFS('Логи'!$H$7:$H$3006,'Логи'!$A$7:$A$3006,8,'Логи'!$B$7:$B$3006,2,'Логи'!$C$7:$C$3006,A491))</f>
        <v/>
      </c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4" t="inlineStr">
        <is>
          <t>Студент2.11</t>
        </is>
      </c>
      <c r="B492" s="4" t="inlineStr"/>
      <c r="C492" s="4">
        <f>IF(A492="","",COUNTIF(F492:AI492,"+")+COUNTIF(F492:AI492,"1"))</f>
        <v/>
      </c>
      <c r="D492" s="4">
        <f>IF(A492="","",IF(C492&gt;2*COUNTA(F$481:AI$481)/3,'Общий'!$M$11,IF(C492&gt;=COUNTA(F$481:AI$481)/2,'Общий'!$M$12,'Общий'!$M$13)))</f>
        <v/>
      </c>
      <c r="E492" s="4">
        <f>IF(A492="","",SUMIFS('Логи'!$H$7:$H$3006,'Логи'!$A$7:$A$3006,8,'Логи'!$B$7:$B$3006,2,'Логи'!$C$7:$C$3006,A492))</f>
        <v/>
      </c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</row>
    <row r="493">
      <c r="A493" s="4" t="inlineStr">
        <is>
          <t>Студент2.12</t>
        </is>
      </c>
      <c r="B493" s="4" t="inlineStr"/>
      <c r="C493" s="4">
        <f>IF(A493="","",COUNTIF(F493:AI493,"+")+COUNTIF(F493:AI493,"1"))</f>
        <v/>
      </c>
      <c r="D493" s="4">
        <f>IF(A493="","",IF(C493&gt;2*COUNTA(F$481:AI$481)/3,'Общий'!$M$11,IF(C493&gt;=COUNTA(F$481:AI$481)/2,'Общий'!$M$12,'Общий'!$M$13)))</f>
        <v/>
      </c>
      <c r="E493" s="4">
        <f>IF(A493="","",SUMIFS('Логи'!$H$7:$H$3006,'Логи'!$A$7:$A$3006,8,'Логи'!$B$7:$B$3006,2,'Логи'!$C$7:$C$3006,A493))</f>
        <v/>
      </c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4" t="inlineStr">
        <is>
          <t>Студент2.13</t>
        </is>
      </c>
      <c r="B494" s="4" t="inlineStr"/>
      <c r="C494" s="4">
        <f>IF(A494="","",COUNTIF(F494:AI494,"+")+COUNTIF(F494:AI494,"1"))</f>
        <v/>
      </c>
      <c r="D494" s="4">
        <f>IF(A494="","",IF(C494&gt;2*COUNTA(F$481:AI$481)/3,'Общий'!$M$11,IF(C494&gt;=COUNTA(F$481:AI$481)/2,'Общий'!$M$12,'Общий'!$M$13)))</f>
        <v/>
      </c>
      <c r="E494" s="4">
        <f>IF(A494="","",SUMIFS('Логи'!$H$7:$H$3006,'Логи'!$A$7:$A$3006,8,'Логи'!$B$7:$B$3006,2,'Логи'!$C$7:$C$3006,A494))</f>
        <v/>
      </c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</row>
    <row r="495">
      <c r="A495" s="4" t="inlineStr">
        <is>
          <t>Студент2.14</t>
        </is>
      </c>
      <c r="B495" s="4" t="inlineStr"/>
      <c r="C495" s="4">
        <f>IF(A495="","",COUNTIF(F495:AI495,"+")+COUNTIF(F495:AI495,"1"))</f>
        <v/>
      </c>
      <c r="D495" s="4">
        <f>IF(A495="","",IF(C495&gt;2*COUNTA(F$481:AI$481)/3,'Общий'!$M$11,IF(C495&gt;=COUNTA(F$481:AI$481)/2,'Общий'!$M$12,'Общий'!$M$13)))</f>
        <v/>
      </c>
      <c r="E495" s="4">
        <f>IF(A495="","",SUMIFS('Логи'!$H$7:$H$3006,'Логи'!$A$7:$A$3006,8,'Логи'!$B$7:$B$3006,2,'Логи'!$C$7:$C$3006,A495))</f>
        <v/>
      </c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4" t="inlineStr">
        <is>
          <t>Студент2.15</t>
        </is>
      </c>
      <c r="B496" s="4" t="inlineStr"/>
      <c r="C496" s="4">
        <f>IF(A496="","",COUNTIF(F496:AI496,"+")+COUNTIF(F496:AI496,"1"))</f>
        <v/>
      </c>
      <c r="D496" s="4">
        <f>IF(A496="","",IF(C496&gt;2*COUNTA(F$481:AI$481)/3,'Общий'!$M$11,IF(C496&gt;=COUNTA(F$481:AI$481)/2,'Общий'!$M$12,'Общий'!$M$13)))</f>
        <v/>
      </c>
      <c r="E496" s="4">
        <f>IF(A496="","",SUMIFS('Логи'!$H$7:$H$3006,'Логи'!$A$7:$A$3006,8,'Логи'!$B$7:$B$3006,2,'Логи'!$C$7:$C$3006,A496))</f>
        <v/>
      </c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</row>
    <row r="497">
      <c r="A497" s="4" t="inlineStr">
        <is>
          <t>Студент2.16</t>
        </is>
      </c>
      <c r="B497" s="4" t="inlineStr"/>
      <c r="C497" s="4">
        <f>IF(A497="","",COUNTIF(F497:AI497,"+")+COUNTIF(F497:AI497,"1"))</f>
        <v/>
      </c>
      <c r="D497" s="4">
        <f>IF(A497="","",IF(C497&gt;2*COUNTA(F$481:AI$481)/3,'Общий'!$M$11,IF(C497&gt;=COUNTA(F$481:AI$481)/2,'Общий'!$M$12,'Общий'!$M$13)))</f>
        <v/>
      </c>
      <c r="E497" s="4">
        <f>IF(A497="","",SUMIFS('Логи'!$H$7:$H$3006,'Логи'!$A$7:$A$3006,8,'Логи'!$B$7:$B$3006,2,'Логи'!$C$7:$C$3006,A497))</f>
        <v/>
      </c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4" t="inlineStr">
        <is>
          <t>Студент2.17</t>
        </is>
      </c>
      <c r="B498" s="4" t="inlineStr"/>
      <c r="C498" s="4">
        <f>IF(A498="","",COUNTIF(F498:AI498,"+")+COUNTIF(F498:AI498,"1"))</f>
        <v/>
      </c>
      <c r="D498" s="4">
        <f>IF(A498="","",IF(C498&gt;2*COUNTA(F$481:AI$481)/3,'Общий'!$M$11,IF(C498&gt;=COUNTA(F$481:AI$481)/2,'Общий'!$M$12,'Общий'!$M$13)))</f>
        <v/>
      </c>
      <c r="E498" s="4">
        <f>IF(A498="","",SUMIFS('Логи'!$H$7:$H$3006,'Логи'!$A$7:$A$3006,8,'Логи'!$B$7:$B$3006,2,'Логи'!$C$7:$C$3006,A498))</f>
        <v/>
      </c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</row>
    <row r="499">
      <c r="A499" s="4" t="inlineStr">
        <is>
          <t>Студент2.18</t>
        </is>
      </c>
      <c r="B499" s="4" t="inlineStr"/>
      <c r="C499" s="4">
        <f>IF(A499="","",COUNTIF(F499:AI499,"+")+COUNTIF(F499:AI499,"1"))</f>
        <v/>
      </c>
      <c r="D499" s="4">
        <f>IF(A499="","",IF(C499&gt;2*COUNTA(F$481:AI$481)/3,'Общий'!$M$11,IF(C499&gt;=COUNTA(F$481:AI$481)/2,'Общий'!$M$12,'Общий'!$M$13)))</f>
        <v/>
      </c>
      <c r="E499" s="4">
        <f>IF(A499="","",SUMIFS('Логи'!$H$7:$H$3006,'Логи'!$A$7:$A$3006,8,'Логи'!$B$7:$B$3006,2,'Логи'!$C$7:$C$3006,A499))</f>
        <v/>
      </c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4" t="inlineStr">
        <is>
          <t>Студент2.19</t>
        </is>
      </c>
      <c r="B500" s="4" t="inlineStr"/>
      <c r="C500" s="4">
        <f>IF(A500="","",COUNTIF(F500:AI500,"+")+COUNTIF(F500:AI500,"1"))</f>
        <v/>
      </c>
      <c r="D500" s="4">
        <f>IF(A500="","",IF(C500&gt;2*COUNTA(F$481:AI$481)/3,'Общий'!$M$11,IF(C500&gt;=COUNTA(F$481:AI$481)/2,'Общий'!$M$12,'Общий'!$M$13)))</f>
        <v/>
      </c>
      <c r="E500" s="4">
        <f>IF(A500="","",SUMIFS('Логи'!$H$7:$H$3006,'Логи'!$A$7:$A$3006,8,'Логи'!$B$7:$B$3006,2,'Логи'!$C$7:$C$3006,A500))</f>
        <v/>
      </c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</row>
    <row r="501">
      <c r="A501" s="4" t="inlineStr">
        <is>
          <t>Студент2.20</t>
        </is>
      </c>
      <c r="B501" s="4" t="inlineStr"/>
      <c r="C501" s="4">
        <f>IF(A501="","",COUNTIF(F501:AI501,"+")+COUNTIF(F501:AI501,"1"))</f>
        <v/>
      </c>
      <c r="D501" s="4">
        <f>IF(A501="","",IF(C501&gt;2*COUNTA(F$481:AI$481)/3,'Общий'!$M$11,IF(C501&gt;=COUNTA(F$481:AI$481)/2,'Общий'!$M$12,'Общий'!$M$13)))</f>
        <v/>
      </c>
      <c r="E501" s="4">
        <f>IF(A501="","",SUMIFS('Логи'!$H$7:$H$3006,'Логи'!$A$7:$A$3006,8,'Логи'!$B$7:$B$3006,2,'Логи'!$C$7:$C$3006,A501))</f>
        <v/>
      </c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4" t="inlineStr">
        <is>
          <t>Студент2.21</t>
        </is>
      </c>
      <c r="B502" s="4" t="inlineStr"/>
      <c r="C502" s="4">
        <f>IF(A502="","",COUNTIF(F502:AI502,"+")+COUNTIF(F502:AI502,"1"))</f>
        <v/>
      </c>
      <c r="D502" s="4">
        <f>IF(A502="","",IF(C502&gt;2*COUNTA(F$481:AI$481)/3,'Общий'!$M$11,IF(C502&gt;=COUNTA(F$481:AI$481)/2,'Общий'!$M$12,'Общий'!$M$13)))</f>
        <v/>
      </c>
      <c r="E502" s="4">
        <f>IF(A502="","",SUMIFS('Логи'!$H$7:$H$3006,'Логи'!$A$7:$A$3006,8,'Логи'!$B$7:$B$3006,2,'Логи'!$C$7:$C$3006,A502))</f>
        <v/>
      </c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</row>
    <row r="503">
      <c r="A503" s="4" t="inlineStr">
        <is>
          <t>Студент2.22</t>
        </is>
      </c>
      <c r="B503" s="4" t="inlineStr"/>
      <c r="C503" s="4">
        <f>IF(A503="","",COUNTIF(F503:AI503,"+")+COUNTIF(F503:AI503,"1"))</f>
        <v/>
      </c>
      <c r="D503" s="4">
        <f>IF(A503="","",IF(C503&gt;2*COUNTA(F$481:AI$481)/3,'Общий'!$M$11,IF(C503&gt;=COUNTA(F$481:AI$481)/2,'Общий'!$M$12,'Общий'!$M$13)))</f>
        <v/>
      </c>
      <c r="E503" s="4">
        <f>IF(A503="","",SUMIFS('Логи'!$H$7:$H$3006,'Логи'!$A$7:$A$3006,8,'Логи'!$B$7:$B$3006,2,'Логи'!$C$7:$C$3006,A503))</f>
        <v/>
      </c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4" t="inlineStr">
        <is>
          <t>Студент2.23</t>
        </is>
      </c>
      <c r="B504" s="4" t="inlineStr"/>
      <c r="C504" s="4">
        <f>IF(A504="","",COUNTIF(F504:AI504,"+")+COUNTIF(F504:AI504,"1"))</f>
        <v/>
      </c>
      <c r="D504" s="4">
        <f>IF(A504="","",IF(C504&gt;2*COUNTA(F$481:AI$481)/3,'Общий'!$M$11,IF(C504&gt;=COUNTA(F$481:AI$481)/2,'Общий'!$M$12,'Общий'!$M$13)))</f>
        <v/>
      </c>
      <c r="E504" s="4">
        <f>IF(A504="","",SUMIFS('Логи'!$H$7:$H$3006,'Логи'!$A$7:$A$3006,8,'Логи'!$B$7:$B$3006,2,'Логи'!$C$7:$C$3006,A504))</f>
        <v/>
      </c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</row>
    <row r="505">
      <c r="A505" s="4" t="inlineStr">
        <is>
          <t>Студент2.24</t>
        </is>
      </c>
      <c r="B505" s="4" t="inlineStr"/>
      <c r="C505" s="4">
        <f>IF(A505="","",COUNTIF(F505:AI505,"+")+COUNTIF(F505:AI505,"1"))</f>
        <v/>
      </c>
      <c r="D505" s="4">
        <f>IF(A505="","",IF(C505&gt;2*COUNTA(F$481:AI$481)/3,'Общий'!$M$11,IF(C505&gt;=COUNTA(F$481:AI$481)/2,'Общий'!$M$12,'Общий'!$M$13)))</f>
        <v/>
      </c>
      <c r="E505" s="4">
        <f>IF(A505="","",SUMIFS('Логи'!$H$7:$H$3006,'Логи'!$A$7:$A$3006,8,'Логи'!$B$7:$B$3006,2,'Логи'!$C$7:$C$3006,A505))</f>
        <v/>
      </c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4" t="inlineStr">
        <is>
          <t>Студент2.25</t>
        </is>
      </c>
      <c r="B506" s="4" t="inlineStr"/>
      <c r="C506" s="4">
        <f>IF(A506="","",COUNTIF(F506:AI506,"+")+COUNTIF(F506:AI506,"1"))</f>
        <v/>
      </c>
      <c r="D506" s="4">
        <f>IF(A506="","",IF(C506&gt;2*COUNTA(F$481:AI$481)/3,'Общий'!$M$11,IF(C506&gt;=COUNTA(F$481:AI$481)/2,'Общий'!$M$12,'Общий'!$M$13)))</f>
        <v/>
      </c>
      <c r="E506" s="4">
        <f>IF(A506="","",SUMIFS('Логи'!$H$7:$H$3006,'Логи'!$A$7:$A$3006,8,'Логи'!$B$7:$B$3006,2,'Логи'!$C$7:$C$3006,A506))</f>
        <v/>
      </c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</row>
    <row r="507">
      <c r="A507" s="4" t="inlineStr">
        <is>
          <t>Студент2.26</t>
        </is>
      </c>
      <c r="B507" s="4" t="inlineStr"/>
      <c r="C507" s="4">
        <f>IF(A507="","",COUNTIF(F507:AI507,"+")+COUNTIF(F507:AI507,"1"))</f>
        <v/>
      </c>
      <c r="D507" s="4">
        <f>IF(A507="","",IF(C507&gt;2*COUNTA(F$481:AI$481)/3,'Общий'!$M$11,IF(C507&gt;=COUNTA(F$481:AI$481)/2,'Общий'!$M$12,'Общий'!$M$13)))</f>
        <v/>
      </c>
      <c r="E507" s="4">
        <f>IF(A507="","",SUMIFS('Логи'!$H$7:$H$3006,'Логи'!$A$7:$A$3006,8,'Логи'!$B$7:$B$3006,2,'Логи'!$C$7:$C$3006,A507))</f>
        <v/>
      </c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4" t="inlineStr">
        <is>
          <t>Студент2.27</t>
        </is>
      </c>
      <c r="B508" s="4" t="inlineStr"/>
      <c r="C508" s="4">
        <f>IF(A508="","",COUNTIF(F508:AI508,"+")+COUNTIF(F508:AI508,"1"))</f>
        <v/>
      </c>
      <c r="D508" s="4">
        <f>IF(A508="","",IF(C508&gt;2*COUNTA(F$481:AI$481)/3,'Общий'!$M$11,IF(C508&gt;=COUNTA(F$481:AI$481)/2,'Общий'!$M$12,'Общий'!$M$13)))</f>
        <v/>
      </c>
      <c r="E508" s="4">
        <f>IF(A508="","",SUMIFS('Логи'!$H$7:$H$3006,'Логи'!$A$7:$A$3006,8,'Логи'!$B$7:$B$3006,2,'Логи'!$C$7:$C$3006,A508))</f>
        <v/>
      </c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</row>
    <row r="509">
      <c r="A509" s="4" t="inlineStr">
        <is>
          <t>Студент2.28</t>
        </is>
      </c>
      <c r="B509" s="4" t="inlineStr"/>
      <c r="C509" s="4">
        <f>IF(A509="","",COUNTIF(F509:AI509,"+")+COUNTIF(F509:AI509,"1"))</f>
        <v/>
      </c>
      <c r="D509" s="4">
        <f>IF(A509="","",IF(C509&gt;2*COUNTA(F$481:AI$481)/3,'Общий'!$M$11,IF(C509&gt;=COUNTA(F$481:AI$481)/2,'Общий'!$M$12,'Общий'!$M$13)))</f>
        <v/>
      </c>
      <c r="E509" s="4">
        <f>IF(A509="","",SUMIFS('Логи'!$H$7:$H$3006,'Логи'!$A$7:$A$3006,8,'Логи'!$B$7:$B$3006,2,'Логи'!$C$7:$C$3006,A509))</f>
        <v/>
      </c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4" t="inlineStr">
        <is>
          <t>Студент2.29</t>
        </is>
      </c>
      <c r="B510" s="4" t="inlineStr"/>
      <c r="C510" s="4">
        <f>IF(A510="","",COUNTIF(F510:AI510,"+")+COUNTIF(F510:AI510,"1"))</f>
        <v/>
      </c>
      <c r="D510" s="4">
        <f>IF(A510="","",IF(C510&gt;2*COUNTA(F$481:AI$481)/3,'Общий'!$M$11,IF(C510&gt;=COUNTA(F$481:AI$481)/2,'Общий'!$M$12,'Общий'!$M$13)))</f>
        <v/>
      </c>
      <c r="E510" s="4">
        <f>IF(A510="","",SUMIFS('Логи'!$H$7:$H$3006,'Логи'!$A$7:$A$3006,8,'Логи'!$B$7:$B$3006,2,'Логи'!$C$7:$C$3006,A510))</f>
        <v/>
      </c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</row>
    <row r="511">
      <c r="A511" s="4" t="inlineStr">
        <is>
          <t>Студент2.30</t>
        </is>
      </c>
      <c r="B511" s="4" t="inlineStr"/>
      <c r="C511" s="4">
        <f>IF(A511="","",COUNTIF(F511:AI511,"+")+COUNTIF(F511:AI511,"1"))</f>
        <v/>
      </c>
      <c r="D511" s="4">
        <f>IF(A511="","",IF(C511&gt;2*COUNTA(F$481:AI$481)/3,'Общий'!$M$11,IF(C511&gt;=COUNTA(F$481:AI$481)/2,'Общий'!$M$12,'Общий'!$M$13)))</f>
        <v/>
      </c>
      <c r="E511" s="4">
        <f>IF(A511="","",SUMIFS('Логи'!$H$7:$H$3006,'Логи'!$A$7:$A$3006,8,'Логи'!$B$7:$B$3006,2,'Логи'!$C$7:$C$3006,A511))</f>
        <v/>
      </c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3">
      <c r="A513" s="19" t="inlineStr">
        <is>
          <t>Практика 8 — результаты рассказа</t>
        </is>
      </c>
    </row>
    <row r="514" ht="28" customHeight="1">
      <c r="A514" s="9" t="inlineStr">
        <is>
          <t>Имя</t>
        </is>
      </c>
      <c r="B514" s="11" t="inlineStr">
        <is>
          <t>TG</t>
        </is>
      </c>
      <c r="C514" s="12" t="inlineStr"/>
      <c r="D514" s="3" t="inlineStr"/>
      <c r="E514" s="3" t="inlineStr"/>
      <c r="F514" s="13" t="inlineStr">
        <is>
          <t>1.0</t>
        </is>
      </c>
      <c r="G514" s="13" t="inlineStr">
        <is>
          <t>2.0</t>
        </is>
      </c>
      <c r="H514" s="13" t="inlineStr">
        <is>
          <t>3.0</t>
        </is>
      </c>
      <c r="I514" s="13" t="inlineStr">
        <is>
          <t>4.0</t>
        </is>
      </c>
      <c r="J514" s="13" t="inlineStr">
        <is>
          <t>5.0</t>
        </is>
      </c>
      <c r="K514" s="13" t="inlineStr">
        <is>
          <t>6</t>
        </is>
      </c>
      <c r="L514" s="13" t="inlineStr">
        <is>
          <t>7</t>
        </is>
      </c>
      <c r="M514" s="13" t="inlineStr">
        <is>
          <t>8</t>
        </is>
      </c>
      <c r="N514" s="13" t="inlineStr">
        <is>
          <t>9</t>
        </is>
      </c>
      <c r="O514" s="13" t="inlineStr">
        <is>
          <t>10</t>
        </is>
      </c>
      <c r="P514" s="13" t="inlineStr">
        <is>
          <t>11</t>
        </is>
      </c>
      <c r="Q514" s="13" t="inlineStr">
        <is>
          <t>12</t>
        </is>
      </c>
      <c r="R514" s="13" t="inlineStr">
        <is>
          <t>13</t>
        </is>
      </c>
      <c r="S514" s="13" t="inlineStr">
        <is>
          <t>14</t>
        </is>
      </c>
      <c r="T514" s="13" t="inlineStr">
        <is>
          <t>15</t>
        </is>
      </c>
      <c r="U514" s="13" t="inlineStr">
        <is>
          <t>16</t>
        </is>
      </c>
      <c r="V514" s="13" t="inlineStr">
        <is>
          <t>17</t>
        </is>
      </c>
      <c r="W514" s="13" t="inlineStr">
        <is>
          <t>18</t>
        </is>
      </c>
      <c r="X514" s="13" t="inlineStr">
        <is>
          <t>19</t>
        </is>
      </c>
      <c r="Y514" s="13" t="inlineStr">
        <is>
          <t>20</t>
        </is>
      </c>
      <c r="Z514" s="13" t="inlineStr">
        <is>
          <t>21</t>
        </is>
      </c>
      <c r="AA514" s="13" t="inlineStr">
        <is>
          <t>22</t>
        </is>
      </c>
      <c r="AB514" s="13" t="inlineStr">
        <is>
          <t>23</t>
        </is>
      </c>
      <c r="AC514" s="13" t="inlineStr">
        <is>
          <t>24</t>
        </is>
      </c>
      <c r="AD514" s="13" t="inlineStr">
        <is>
          <t>25</t>
        </is>
      </c>
      <c r="AE514" s="13" t="inlineStr">
        <is>
          <t>26</t>
        </is>
      </c>
      <c r="AF514" s="13" t="inlineStr">
        <is>
          <t>27</t>
        </is>
      </c>
      <c r="AG514" s="13" t="inlineStr">
        <is>
          <t>28</t>
        </is>
      </c>
      <c r="AH514" s="13" t="inlineStr">
        <is>
          <t>29</t>
        </is>
      </c>
      <c r="AI514" s="13" t="inlineStr">
        <is>
          <t>30</t>
        </is>
      </c>
    </row>
    <row r="515">
      <c r="A515" s="4" t="inlineStr">
        <is>
          <t>Студент2.1</t>
        </is>
      </c>
      <c r="B515" s="4" t="inlineStr"/>
      <c r="C515" s="4" t="n"/>
      <c r="D515" s="4" t="n"/>
      <c r="E515" s="4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4" t="inlineStr">
        <is>
          <t>Студент2.2</t>
        </is>
      </c>
      <c r="B516" s="4" t="inlineStr"/>
      <c r="C516" s="4" t="n"/>
      <c r="D516" s="4" t="n"/>
      <c r="E516" s="4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</row>
    <row r="517">
      <c r="A517" s="4" t="inlineStr">
        <is>
          <t>Студент2.3</t>
        </is>
      </c>
      <c r="B517" s="4" t="inlineStr"/>
      <c r="C517" s="4" t="n"/>
      <c r="D517" s="4" t="n"/>
      <c r="E517" s="4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4" t="inlineStr">
        <is>
          <t>Студент2.4</t>
        </is>
      </c>
      <c r="B518" s="4" t="inlineStr"/>
      <c r="C518" s="4" t="n"/>
      <c r="D518" s="4" t="n"/>
      <c r="E518" s="4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</row>
    <row r="519">
      <c r="A519" s="4" t="inlineStr">
        <is>
          <t>Студент2.5</t>
        </is>
      </c>
      <c r="B519" s="4" t="inlineStr"/>
      <c r="C519" s="4" t="n"/>
      <c r="D519" s="4" t="n"/>
      <c r="E519" s="4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4" t="inlineStr">
        <is>
          <t>Студент2.6</t>
        </is>
      </c>
      <c r="B520" s="4" t="inlineStr"/>
      <c r="C520" s="4" t="n"/>
      <c r="D520" s="4" t="n"/>
      <c r="E520" s="4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</row>
    <row r="521">
      <c r="A521" s="4" t="inlineStr">
        <is>
          <t>Студент2.7</t>
        </is>
      </c>
      <c r="B521" s="4" t="inlineStr"/>
      <c r="C521" s="4" t="n"/>
      <c r="D521" s="4" t="n"/>
      <c r="E521" s="4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4" t="inlineStr">
        <is>
          <t>Студент2.8</t>
        </is>
      </c>
      <c r="B522" s="4" t="inlineStr"/>
      <c r="C522" s="4" t="n"/>
      <c r="D522" s="4" t="n"/>
      <c r="E522" s="4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</row>
    <row r="523">
      <c r="A523" s="4" t="inlineStr">
        <is>
          <t>Студент2.9</t>
        </is>
      </c>
      <c r="B523" s="4" t="inlineStr"/>
      <c r="C523" s="4" t="n"/>
      <c r="D523" s="4" t="n"/>
      <c r="E523" s="4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4" t="inlineStr">
        <is>
          <t>Студент2.10</t>
        </is>
      </c>
      <c r="B524" s="4" t="inlineStr"/>
      <c r="C524" s="4" t="n"/>
      <c r="D524" s="4" t="n"/>
      <c r="E524" s="4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</row>
    <row r="525">
      <c r="A525" s="4" t="inlineStr">
        <is>
          <t>Студент2.11</t>
        </is>
      </c>
      <c r="B525" s="4" t="inlineStr"/>
      <c r="C525" s="4" t="n"/>
      <c r="D525" s="4" t="n"/>
      <c r="E525" s="4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4" t="inlineStr">
        <is>
          <t>Студент2.12</t>
        </is>
      </c>
      <c r="B526" s="4" t="inlineStr"/>
      <c r="C526" s="4" t="n"/>
      <c r="D526" s="4" t="n"/>
      <c r="E526" s="4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</row>
    <row r="527">
      <c r="A527" s="4" t="inlineStr">
        <is>
          <t>Студент2.13</t>
        </is>
      </c>
      <c r="B527" s="4" t="inlineStr"/>
      <c r="C527" s="4" t="n"/>
      <c r="D527" s="4" t="n"/>
      <c r="E527" s="4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4" t="inlineStr">
        <is>
          <t>Студент2.14</t>
        </is>
      </c>
      <c r="B528" s="4" t="inlineStr"/>
      <c r="C528" s="4" t="n"/>
      <c r="D528" s="4" t="n"/>
      <c r="E528" s="4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</row>
    <row r="529">
      <c r="A529" s="4" t="inlineStr">
        <is>
          <t>Студент2.15</t>
        </is>
      </c>
      <c r="B529" s="4" t="inlineStr"/>
      <c r="C529" s="4" t="n"/>
      <c r="D529" s="4" t="n"/>
      <c r="E529" s="4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4" t="inlineStr">
        <is>
          <t>Студент2.16</t>
        </is>
      </c>
      <c r="B530" s="4" t="inlineStr"/>
      <c r="C530" s="4" t="n"/>
      <c r="D530" s="4" t="n"/>
      <c r="E530" s="4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</row>
    <row r="531">
      <c r="A531" s="4" t="inlineStr">
        <is>
          <t>Студент2.17</t>
        </is>
      </c>
      <c r="B531" s="4" t="inlineStr"/>
      <c r="C531" s="4" t="n"/>
      <c r="D531" s="4" t="n"/>
      <c r="E531" s="4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4" t="inlineStr">
        <is>
          <t>Студент2.18</t>
        </is>
      </c>
      <c r="B532" s="4" t="inlineStr"/>
      <c r="C532" s="4" t="n"/>
      <c r="D532" s="4" t="n"/>
      <c r="E532" s="4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</row>
    <row r="533">
      <c r="A533" s="4" t="inlineStr">
        <is>
          <t>Студент2.19</t>
        </is>
      </c>
      <c r="B533" s="4" t="inlineStr"/>
      <c r="C533" s="4" t="n"/>
      <c r="D533" s="4" t="n"/>
      <c r="E533" s="4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4" t="inlineStr">
        <is>
          <t>Студент2.20</t>
        </is>
      </c>
      <c r="B534" s="4" t="inlineStr"/>
      <c r="C534" s="4" t="n"/>
      <c r="D534" s="4" t="n"/>
      <c r="E534" s="4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</row>
    <row r="535">
      <c r="A535" s="4" t="inlineStr">
        <is>
          <t>Студент2.21</t>
        </is>
      </c>
      <c r="B535" s="4" t="inlineStr"/>
      <c r="C535" s="4" t="n"/>
      <c r="D535" s="4" t="n"/>
      <c r="E535" s="4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4" t="inlineStr">
        <is>
          <t>Студент2.22</t>
        </is>
      </c>
      <c r="B536" s="4" t="inlineStr"/>
      <c r="C536" s="4" t="n"/>
      <c r="D536" s="4" t="n"/>
      <c r="E536" s="4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</row>
    <row r="537">
      <c r="A537" s="4" t="inlineStr">
        <is>
          <t>Студент2.23</t>
        </is>
      </c>
      <c r="B537" s="4" t="inlineStr"/>
      <c r="C537" s="4" t="n"/>
      <c r="D537" s="4" t="n"/>
      <c r="E537" s="4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4" t="inlineStr">
        <is>
          <t>Студент2.24</t>
        </is>
      </c>
      <c r="B538" s="4" t="inlineStr"/>
      <c r="C538" s="4" t="n"/>
      <c r="D538" s="4" t="n"/>
      <c r="E538" s="4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</row>
    <row r="539">
      <c r="A539" s="4" t="inlineStr">
        <is>
          <t>Студент2.25</t>
        </is>
      </c>
      <c r="B539" s="4" t="inlineStr"/>
      <c r="C539" s="4" t="n"/>
      <c r="D539" s="4" t="n"/>
      <c r="E539" s="4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4" t="inlineStr">
        <is>
          <t>Студент2.26</t>
        </is>
      </c>
      <c r="B540" s="4" t="inlineStr"/>
      <c r="C540" s="4" t="n"/>
      <c r="D540" s="4" t="n"/>
      <c r="E540" s="4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</row>
    <row r="541">
      <c r="A541" s="4" t="inlineStr">
        <is>
          <t>Студент2.27</t>
        </is>
      </c>
      <c r="B541" s="4" t="inlineStr"/>
      <c r="C541" s="4" t="n"/>
      <c r="D541" s="4" t="n"/>
      <c r="E541" s="4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4" t="inlineStr">
        <is>
          <t>Студент2.28</t>
        </is>
      </c>
      <c r="B542" s="4" t="inlineStr"/>
      <c r="C542" s="4" t="n"/>
      <c r="D542" s="4" t="n"/>
      <c r="E542" s="4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</row>
    <row r="543">
      <c r="A543" s="4" t="inlineStr">
        <is>
          <t>Студент2.29</t>
        </is>
      </c>
      <c r="B543" s="4" t="inlineStr"/>
      <c r="C543" s="4" t="n"/>
      <c r="D543" s="4" t="n"/>
      <c r="E543" s="4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4" t="inlineStr">
        <is>
          <t>Студент2.30</t>
        </is>
      </c>
      <c r="B544" s="4" t="inlineStr"/>
      <c r="C544" s="4" t="n"/>
      <c r="D544" s="4" t="n"/>
      <c r="E544" s="4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</row>
    <row r="548">
      <c r="A548" s="17" t="inlineStr">
        <is>
          <t>Практика 9 — плюсы</t>
        </is>
      </c>
    </row>
    <row r="549" ht="28" customHeight="1">
      <c r="A549" s="9" t="inlineStr">
        <is>
          <t>Имя</t>
        </is>
      </c>
      <c r="B549" s="11" t="inlineStr">
        <is>
          <t>TG</t>
        </is>
      </c>
      <c r="C549" s="12" t="inlineStr">
        <is>
          <t>S</t>
        </is>
      </c>
      <c r="D549" s="10" t="inlineStr">
        <is>
          <t>Коэффициент</t>
        </is>
      </c>
      <c r="E549" s="18" t="inlineStr">
        <is>
          <t>D за практику</t>
        </is>
      </c>
      <c r="F549" s="13" t="inlineStr">
        <is>
          <t>1.0</t>
        </is>
      </c>
      <c r="G549" s="13" t="inlineStr">
        <is>
          <t>2.0</t>
        </is>
      </c>
      <c r="H549" s="13" t="inlineStr">
        <is>
          <t>3.0</t>
        </is>
      </c>
      <c r="I549" s="13" t="inlineStr">
        <is>
          <t>4.0</t>
        </is>
      </c>
      <c r="J549" s="13" t="inlineStr">
        <is>
          <t>5.0</t>
        </is>
      </c>
      <c r="K549" s="13" t="inlineStr">
        <is>
          <t>6</t>
        </is>
      </c>
      <c r="L549" s="13" t="inlineStr">
        <is>
          <t>7</t>
        </is>
      </c>
      <c r="M549" s="13" t="inlineStr">
        <is>
          <t>8</t>
        </is>
      </c>
      <c r="N549" s="13" t="inlineStr">
        <is>
          <t>9</t>
        </is>
      </c>
      <c r="O549" s="13" t="inlineStr">
        <is>
          <t>10</t>
        </is>
      </c>
      <c r="P549" s="13" t="inlineStr">
        <is>
          <t>11</t>
        </is>
      </c>
      <c r="Q549" s="13" t="inlineStr">
        <is>
          <t>12</t>
        </is>
      </c>
      <c r="R549" s="13" t="inlineStr">
        <is>
          <t>13</t>
        </is>
      </c>
      <c r="S549" s="13" t="inlineStr">
        <is>
          <t>14</t>
        </is>
      </c>
      <c r="T549" s="13" t="inlineStr">
        <is>
          <t>15</t>
        </is>
      </c>
      <c r="U549" s="13" t="inlineStr">
        <is>
          <t>16</t>
        </is>
      </c>
      <c r="V549" s="13" t="inlineStr">
        <is>
          <t>17</t>
        </is>
      </c>
      <c r="W549" s="13" t="inlineStr">
        <is>
          <t>18</t>
        </is>
      </c>
      <c r="X549" s="13" t="inlineStr">
        <is>
          <t>19</t>
        </is>
      </c>
      <c r="Y549" s="13" t="inlineStr">
        <is>
          <t>20</t>
        </is>
      </c>
      <c r="Z549" s="13" t="inlineStr">
        <is>
          <t>21</t>
        </is>
      </c>
      <c r="AA549" s="13" t="inlineStr">
        <is>
          <t>22</t>
        </is>
      </c>
      <c r="AB549" s="13" t="inlineStr">
        <is>
          <t>23</t>
        </is>
      </c>
      <c r="AC549" s="13" t="inlineStr">
        <is>
          <t>24</t>
        </is>
      </c>
      <c r="AD549" s="13" t="inlineStr">
        <is>
          <t>25</t>
        </is>
      </c>
      <c r="AE549" s="13" t="inlineStr">
        <is>
          <t>26</t>
        </is>
      </c>
      <c r="AF549" s="13" t="inlineStr">
        <is>
          <t>27</t>
        </is>
      </c>
      <c r="AG549" s="13" t="inlineStr">
        <is>
          <t>28</t>
        </is>
      </c>
      <c r="AH549" s="13" t="inlineStr">
        <is>
          <t>29</t>
        </is>
      </c>
      <c r="AI549" s="13" t="inlineStr">
        <is>
          <t>30</t>
        </is>
      </c>
    </row>
    <row r="550">
      <c r="A550" s="4" t="inlineStr">
        <is>
          <t>Студент2.1</t>
        </is>
      </c>
      <c r="B550" s="4" t="inlineStr"/>
      <c r="C550" s="4">
        <f>IF(A550="","",COUNTIF(F550:AI550,"+")+COUNTIF(F550:AI550,"1"))</f>
        <v/>
      </c>
      <c r="D550" s="4">
        <f>IF(A550="","",IF(C550&gt;2*COUNTA(F$549:AI$549)/3,'Общий'!$M$11,IF(C550&gt;=COUNTA(F$549:AI$549)/2,'Общий'!$M$12,'Общий'!$M$13)))</f>
        <v/>
      </c>
      <c r="E550" s="4">
        <f>IF(A550="","",SUMIFS('Логи'!$H$7:$H$3006,'Логи'!$A$7:$A$3006,9,'Логи'!$B$7:$B$3006,2,'Логи'!$C$7:$C$3006,A550))</f>
        <v/>
      </c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</row>
    <row r="551">
      <c r="A551" s="4" t="inlineStr">
        <is>
          <t>Студент2.2</t>
        </is>
      </c>
      <c r="B551" s="4" t="inlineStr"/>
      <c r="C551" s="4">
        <f>IF(A551="","",COUNTIF(F551:AI551,"+")+COUNTIF(F551:AI551,"1"))</f>
        <v/>
      </c>
      <c r="D551" s="4">
        <f>IF(A551="","",IF(C551&gt;2*COUNTA(F$549:AI$549)/3,'Общий'!$M$11,IF(C551&gt;=COUNTA(F$549:AI$549)/2,'Общий'!$M$12,'Общий'!$M$13)))</f>
        <v/>
      </c>
      <c r="E551" s="4">
        <f>IF(A551="","",SUMIFS('Логи'!$H$7:$H$3006,'Логи'!$A$7:$A$3006,9,'Логи'!$B$7:$B$3006,2,'Логи'!$C$7:$C$3006,A551))</f>
        <v/>
      </c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4" t="inlineStr">
        <is>
          <t>Студент2.3</t>
        </is>
      </c>
      <c r="B552" s="4" t="inlineStr"/>
      <c r="C552" s="4">
        <f>IF(A552="","",COUNTIF(F552:AI552,"+")+COUNTIF(F552:AI552,"1"))</f>
        <v/>
      </c>
      <c r="D552" s="4">
        <f>IF(A552="","",IF(C552&gt;2*COUNTA(F$549:AI$549)/3,'Общий'!$M$11,IF(C552&gt;=COUNTA(F$549:AI$549)/2,'Общий'!$M$12,'Общий'!$M$13)))</f>
        <v/>
      </c>
      <c r="E552" s="4">
        <f>IF(A552="","",SUMIFS('Логи'!$H$7:$H$3006,'Логи'!$A$7:$A$3006,9,'Логи'!$B$7:$B$3006,2,'Логи'!$C$7:$C$3006,A552))</f>
        <v/>
      </c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</row>
    <row r="553">
      <c r="A553" s="4" t="inlineStr">
        <is>
          <t>Студент2.4</t>
        </is>
      </c>
      <c r="B553" s="4" t="inlineStr"/>
      <c r="C553" s="4">
        <f>IF(A553="","",COUNTIF(F553:AI553,"+")+COUNTIF(F553:AI553,"1"))</f>
        <v/>
      </c>
      <c r="D553" s="4">
        <f>IF(A553="","",IF(C553&gt;2*COUNTA(F$549:AI$549)/3,'Общий'!$M$11,IF(C553&gt;=COUNTA(F$549:AI$549)/2,'Общий'!$M$12,'Общий'!$M$13)))</f>
        <v/>
      </c>
      <c r="E553" s="4">
        <f>IF(A553="","",SUMIFS('Логи'!$H$7:$H$3006,'Логи'!$A$7:$A$3006,9,'Логи'!$B$7:$B$3006,2,'Логи'!$C$7:$C$3006,A553))</f>
        <v/>
      </c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4" t="inlineStr">
        <is>
          <t>Студент2.5</t>
        </is>
      </c>
      <c r="B554" s="4" t="inlineStr"/>
      <c r="C554" s="4">
        <f>IF(A554="","",COUNTIF(F554:AI554,"+")+COUNTIF(F554:AI554,"1"))</f>
        <v/>
      </c>
      <c r="D554" s="4">
        <f>IF(A554="","",IF(C554&gt;2*COUNTA(F$549:AI$549)/3,'Общий'!$M$11,IF(C554&gt;=COUNTA(F$549:AI$549)/2,'Общий'!$M$12,'Общий'!$M$13)))</f>
        <v/>
      </c>
      <c r="E554" s="4">
        <f>IF(A554="","",SUMIFS('Логи'!$H$7:$H$3006,'Логи'!$A$7:$A$3006,9,'Логи'!$B$7:$B$3006,2,'Логи'!$C$7:$C$3006,A554))</f>
        <v/>
      </c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</row>
    <row r="555">
      <c r="A555" s="4" t="inlineStr">
        <is>
          <t>Студент2.6</t>
        </is>
      </c>
      <c r="B555" s="4" t="inlineStr"/>
      <c r="C555" s="4">
        <f>IF(A555="","",COUNTIF(F555:AI555,"+")+COUNTIF(F555:AI555,"1"))</f>
        <v/>
      </c>
      <c r="D555" s="4">
        <f>IF(A555="","",IF(C555&gt;2*COUNTA(F$549:AI$549)/3,'Общий'!$M$11,IF(C555&gt;=COUNTA(F$549:AI$549)/2,'Общий'!$M$12,'Общий'!$M$13)))</f>
        <v/>
      </c>
      <c r="E555" s="4">
        <f>IF(A555="","",SUMIFS('Логи'!$H$7:$H$3006,'Логи'!$A$7:$A$3006,9,'Логи'!$B$7:$B$3006,2,'Логи'!$C$7:$C$3006,A555))</f>
        <v/>
      </c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4" t="inlineStr">
        <is>
          <t>Студент2.7</t>
        </is>
      </c>
      <c r="B556" s="4" t="inlineStr"/>
      <c r="C556" s="4">
        <f>IF(A556="","",COUNTIF(F556:AI556,"+")+COUNTIF(F556:AI556,"1"))</f>
        <v/>
      </c>
      <c r="D556" s="4">
        <f>IF(A556="","",IF(C556&gt;2*COUNTA(F$549:AI$549)/3,'Общий'!$M$11,IF(C556&gt;=COUNTA(F$549:AI$549)/2,'Общий'!$M$12,'Общий'!$M$13)))</f>
        <v/>
      </c>
      <c r="E556" s="4">
        <f>IF(A556="","",SUMIFS('Логи'!$H$7:$H$3006,'Логи'!$A$7:$A$3006,9,'Логи'!$B$7:$B$3006,2,'Логи'!$C$7:$C$3006,A556))</f>
        <v/>
      </c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</row>
    <row r="557">
      <c r="A557" s="4" t="inlineStr">
        <is>
          <t>Студент2.8</t>
        </is>
      </c>
      <c r="B557" s="4" t="inlineStr"/>
      <c r="C557" s="4">
        <f>IF(A557="","",COUNTIF(F557:AI557,"+")+COUNTIF(F557:AI557,"1"))</f>
        <v/>
      </c>
      <c r="D557" s="4">
        <f>IF(A557="","",IF(C557&gt;2*COUNTA(F$549:AI$549)/3,'Общий'!$M$11,IF(C557&gt;=COUNTA(F$549:AI$549)/2,'Общий'!$M$12,'Общий'!$M$13)))</f>
        <v/>
      </c>
      <c r="E557" s="4">
        <f>IF(A557="","",SUMIFS('Логи'!$H$7:$H$3006,'Логи'!$A$7:$A$3006,9,'Логи'!$B$7:$B$3006,2,'Логи'!$C$7:$C$3006,A557))</f>
        <v/>
      </c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4" t="inlineStr">
        <is>
          <t>Студент2.9</t>
        </is>
      </c>
      <c r="B558" s="4" t="inlineStr"/>
      <c r="C558" s="4">
        <f>IF(A558="","",COUNTIF(F558:AI558,"+")+COUNTIF(F558:AI558,"1"))</f>
        <v/>
      </c>
      <c r="D558" s="4">
        <f>IF(A558="","",IF(C558&gt;2*COUNTA(F$549:AI$549)/3,'Общий'!$M$11,IF(C558&gt;=COUNTA(F$549:AI$549)/2,'Общий'!$M$12,'Общий'!$M$13)))</f>
        <v/>
      </c>
      <c r="E558" s="4">
        <f>IF(A558="","",SUMIFS('Логи'!$H$7:$H$3006,'Логи'!$A$7:$A$3006,9,'Логи'!$B$7:$B$3006,2,'Логи'!$C$7:$C$3006,A558))</f>
        <v/>
      </c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</row>
    <row r="559">
      <c r="A559" s="4" t="inlineStr">
        <is>
          <t>Студент2.10</t>
        </is>
      </c>
      <c r="B559" s="4" t="inlineStr"/>
      <c r="C559" s="4">
        <f>IF(A559="","",COUNTIF(F559:AI559,"+")+COUNTIF(F559:AI559,"1"))</f>
        <v/>
      </c>
      <c r="D559" s="4">
        <f>IF(A559="","",IF(C559&gt;2*COUNTA(F$549:AI$549)/3,'Общий'!$M$11,IF(C559&gt;=COUNTA(F$549:AI$549)/2,'Общий'!$M$12,'Общий'!$M$13)))</f>
        <v/>
      </c>
      <c r="E559" s="4">
        <f>IF(A559="","",SUMIFS('Логи'!$H$7:$H$3006,'Логи'!$A$7:$A$3006,9,'Логи'!$B$7:$B$3006,2,'Логи'!$C$7:$C$3006,A559))</f>
        <v/>
      </c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4" t="inlineStr">
        <is>
          <t>Студент2.11</t>
        </is>
      </c>
      <c r="B560" s="4" t="inlineStr"/>
      <c r="C560" s="4">
        <f>IF(A560="","",COUNTIF(F560:AI560,"+")+COUNTIF(F560:AI560,"1"))</f>
        <v/>
      </c>
      <c r="D560" s="4">
        <f>IF(A560="","",IF(C560&gt;2*COUNTA(F$549:AI$549)/3,'Общий'!$M$11,IF(C560&gt;=COUNTA(F$549:AI$549)/2,'Общий'!$M$12,'Общий'!$M$13)))</f>
        <v/>
      </c>
      <c r="E560" s="4">
        <f>IF(A560="","",SUMIFS('Логи'!$H$7:$H$3006,'Логи'!$A$7:$A$3006,9,'Логи'!$B$7:$B$3006,2,'Логи'!$C$7:$C$3006,A560))</f>
        <v/>
      </c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</row>
    <row r="561">
      <c r="A561" s="4" t="inlineStr">
        <is>
          <t>Студент2.12</t>
        </is>
      </c>
      <c r="B561" s="4" t="inlineStr"/>
      <c r="C561" s="4">
        <f>IF(A561="","",COUNTIF(F561:AI561,"+")+COUNTIF(F561:AI561,"1"))</f>
        <v/>
      </c>
      <c r="D561" s="4">
        <f>IF(A561="","",IF(C561&gt;2*COUNTA(F$549:AI$549)/3,'Общий'!$M$11,IF(C561&gt;=COUNTA(F$549:AI$549)/2,'Общий'!$M$12,'Общий'!$M$13)))</f>
        <v/>
      </c>
      <c r="E561" s="4">
        <f>IF(A561="","",SUMIFS('Логи'!$H$7:$H$3006,'Логи'!$A$7:$A$3006,9,'Логи'!$B$7:$B$3006,2,'Логи'!$C$7:$C$3006,A561))</f>
        <v/>
      </c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4" t="inlineStr">
        <is>
          <t>Студент2.13</t>
        </is>
      </c>
      <c r="B562" s="4" t="inlineStr"/>
      <c r="C562" s="4">
        <f>IF(A562="","",COUNTIF(F562:AI562,"+")+COUNTIF(F562:AI562,"1"))</f>
        <v/>
      </c>
      <c r="D562" s="4">
        <f>IF(A562="","",IF(C562&gt;2*COUNTA(F$549:AI$549)/3,'Общий'!$M$11,IF(C562&gt;=COUNTA(F$549:AI$549)/2,'Общий'!$M$12,'Общий'!$M$13)))</f>
        <v/>
      </c>
      <c r="E562" s="4">
        <f>IF(A562="","",SUMIFS('Логи'!$H$7:$H$3006,'Логи'!$A$7:$A$3006,9,'Логи'!$B$7:$B$3006,2,'Логи'!$C$7:$C$3006,A562))</f>
        <v/>
      </c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</row>
    <row r="563">
      <c r="A563" s="4" t="inlineStr">
        <is>
          <t>Студент2.14</t>
        </is>
      </c>
      <c r="B563" s="4" t="inlineStr"/>
      <c r="C563" s="4">
        <f>IF(A563="","",COUNTIF(F563:AI563,"+")+COUNTIF(F563:AI563,"1"))</f>
        <v/>
      </c>
      <c r="D563" s="4">
        <f>IF(A563="","",IF(C563&gt;2*COUNTA(F$549:AI$549)/3,'Общий'!$M$11,IF(C563&gt;=COUNTA(F$549:AI$549)/2,'Общий'!$M$12,'Общий'!$M$13)))</f>
        <v/>
      </c>
      <c r="E563" s="4">
        <f>IF(A563="","",SUMIFS('Логи'!$H$7:$H$3006,'Логи'!$A$7:$A$3006,9,'Логи'!$B$7:$B$3006,2,'Логи'!$C$7:$C$3006,A563))</f>
        <v/>
      </c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4" t="inlineStr">
        <is>
          <t>Студент2.15</t>
        </is>
      </c>
      <c r="B564" s="4" t="inlineStr"/>
      <c r="C564" s="4">
        <f>IF(A564="","",COUNTIF(F564:AI564,"+")+COUNTIF(F564:AI564,"1"))</f>
        <v/>
      </c>
      <c r="D564" s="4">
        <f>IF(A564="","",IF(C564&gt;2*COUNTA(F$549:AI$549)/3,'Общий'!$M$11,IF(C564&gt;=COUNTA(F$549:AI$549)/2,'Общий'!$M$12,'Общий'!$M$13)))</f>
        <v/>
      </c>
      <c r="E564" s="4">
        <f>IF(A564="","",SUMIFS('Логи'!$H$7:$H$3006,'Логи'!$A$7:$A$3006,9,'Логи'!$B$7:$B$3006,2,'Логи'!$C$7:$C$3006,A564))</f>
        <v/>
      </c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</row>
    <row r="565">
      <c r="A565" s="4" t="inlineStr">
        <is>
          <t>Студент2.16</t>
        </is>
      </c>
      <c r="B565" s="4" t="inlineStr"/>
      <c r="C565" s="4">
        <f>IF(A565="","",COUNTIF(F565:AI565,"+")+COUNTIF(F565:AI565,"1"))</f>
        <v/>
      </c>
      <c r="D565" s="4">
        <f>IF(A565="","",IF(C565&gt;2*COUNTA(F$549:AI$549)/3,'Общий'!$M$11,IF(C565&gt;=COUNTA(F$549:AI$549)/2,'Общий'!$M$12,'Общий'!$M$13)))</f>
        <v/>
      </c>
      <c r="E565" s="4">
        <f>IF(A565="","",SUMIFS('Логи'!$H$7:$H$3006,'Логи'!$A$7:$A$3006,9,'Логи'!$B$7:$B$3006,2,'Логи'!$C$7:$C$3006,A565))</f>
        <v/>
      </c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4" t="inlineStr">
        <is>
          <t>Студент2.17</t>
        </is>
      </c>
      <c r="B566" s="4" t="inlineStr"/>
      <c r="C566" s="4">
        <f>IF(A566="","",COUNTIF(F566:AI566,"+")+COUNTIF(F566:AI566,"1"))</f>
        <v/>
      </c>
      <c r="D566" s="4">
        <f>IF(A566="","",IF(C566&gt;2*COUNTA(F$549:AI$549)/3,'Общий'!$M$11,IF(C566&gt;=COUNTA(F$549:AI$549)/2,'Общий'!$M$12,'Общий'!$M$13)))</f>
        <v/>
      </c>
      <c r="E566" s="4">
        <f>IF(A566="","",SUMIFS('Логи'!$H$7:$H$3006,'Логи'!$A$7:$A$3006,9,'Логи'!$B$7:$B$3006,2,'Логи'!$C$7:$C$3006,A566))</f>
        <v/>
      </c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</row>
    <row r="567">
      <c r="A567" s="4" t="inlineStr">
        <is>
          <t>Студент2.18</t>
        </is>
      </c>
      <c r="B567" s="4" t="inlineStr"/>
      <c r="C567" s="4">
        <f>IF(A567="","",COUNTIF(F567:AI567,"+")+COUNTIF(F567:AI567,"1"))</f>
        <v/>
      </c>
      <c r="D567" s="4">
        <f>IF(A567="","",IF(C567&gt;2*COUNTA(F$549:AI$549)/3,'Общий'!$M$11,IF(C567&gt;=COUNTA(F$549:AI$549)/2,'Общий'!$M$12,'Общий'!$M$13)))</f>
        <v/>
      </c>
      <c r="E567" s="4">
        <f>IF(A567="","",SUMIFS('Логи'!$H$7:$H$3006,'Логи'!$A$7:$A$3006,9,'Логи'!$B$7:$B$3006,2,'Логи'!$C$7:$C$3006,A567))</f>
        <v/>
      </c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4" t="inlineStr">
        <is>
          <t>Студент2.19</t>
        </is>
      </c>
      <c r="B568" s="4" t="inlineStr"/>
      <c r="C568" s="4">
        <f>IF(A568="","",COUNTIF(F568:AI568,"+")+COUNTIF(F568:AI568,"1"))</f>
        <v/>
      </c>
      <c r="D568" s="4">
        <f>IF(A568="","",IF(C568&gt;2*COUNTA(F$549:AI$549)/3,'Общий'!$M$11,IF(C568&gt;=COUNTA(F$549:AI$549)/2,'Общий'!$M$12,'Общий'!$M$13)))</f>
        <v/>
      </c>
      <c r="E568" s="4">
        <f>IF(A568="","",SUMIFS('Логи'!$H$7:$H$3006,'Логи'!$A$7:$A$3006,9,'Логи'!$B$7:$B$3006,2,'Логи'!$C$7:$C$3006,A568))</f>
        <v/>
      </c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</row>
    <row r="569">
      <c r="A569" s="4" t="inlineStr">
        <is>
          <t>Студент2.20</t>
        </is>
      </c>
      <c r="B569" s="4" t="inlineStr"/>
      <c r="C569" s="4">
        <f>IF(A569="","",COUNTIF(F569:AI569,"+")+COUNTIF(F569:AI569,"1"))</f>
        <v/>
      </c>
      <c r="D569" s="4">
        <f>IF(A569="","",IF(C569&gt;2*COUNTA(F$549:AI$549)/3,'Общий'!$M$11,IF(C569&gt;=COUNTA(F$549:AI$549)/2,'Общий'!$M$12,'Общий'!$M$13)))</f>
        <v/>
      </c>
      <c r="E569" s="4">
        <f>IF(A569="","",SUMIFS('Логи'!$H$7:$H$3006,'Логи'!$A$7:$A$3006,9,'Логи'!$B$7:$B$3006,2,'Логи'!$C$7:$C$3006,A569))</f>
        <v/>
      </c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4" t="inlineStr">
        <is>
          <t>Студент2.21</t>
        </is>
      </c>
      <c r="B570" s="4" t="inlineStr"/>
      <c r="C570" s="4">
        <f>IF(A570="","",COUNTIF(F570:AI570,"+")+COUNTIF(F570:AI570,"1"))</f>
        <v/>
      </c>
      <c r="D570" s="4">
        <f>IF(A570="","",IF(C570&gt;2*COUNTA(F$549:AI$549)/3,'Общий'!$M$11,IF(C570&gt;=COUNTA(F$549:AI$549)/2,'Общий'!$M$12,'Общий'!$M$13)))</f>
        <v/>
      </c>
      <c r="E570" s="4">
        <f>IF(A570="","",SUMIFS('Логи'!$H$7:$H$3006,'Логи'!$A$7:$A$3006,9,'Логи'!$B$7:$B$3006,2,'Логи'!$C$7:$C$3006,A570))</f>
        <v/>
      </c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</row>
    <row r="571">
      <c r="A571" s="4" t="inlineStr">
        <is>
          <t>Студент2.22</t>
        </is>
      </c>
      <c r="B571" s="4" t="inlineStr"/>
      <c r="C571" s="4">
        <f>IF(A571="","",COUNTIF(F571:AI571,"+")+COUNTIF(F571:AI571,"1"))</f>
        <v/>
      </c>
      <c r="D571" s="4">
        <f>IF(A571="","",IF(C571&gt;2*COUNTA(F$549:AI$549)/3,'Общий'!$M$11,IF(C571&gt;=COUNTA(F$549:AI$549)/2,'Общий'!$M$12,'Общий'!$M$13)))</f>
        <v/>
      </c>
      <c r="E571" s="4">
        <f>IF(A571="","",SUMIFS('Логи'!$H$7:$H$3006,'Логи'!$A$7:$A$3006,9,'Логи'!$B$7:$B$3006,2,'Логи'!$C$7:$C$3006,A571))</f>
        <v/>
      </c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4" t="inlineStr">
        <is>
          <t>Студент2.23</t>
        </is>
      </c>
      <c r="B572" s="4" t="inlineStr"/>
      <c r="C572" s="4">
        <f>IF(A572="","",COUNTIF(F572:AI572,"+")+COUNTIF(F572:AI572,"1"))</f>
        <v/>
      </c>
      <c r="D572" s="4">
        <f>IF(A572="","",IF(C572&gt;2*COUNTA(F$549:AI$549)/3,'Общий'!$M$11,IF(C572&gt;=COUNTA(F$549:AI$549)/2,'Общий'!$M$12,'Общий'!$M$13)))</f>
        <v/>
      </c>
      <c r="E572" s="4">
        <f>IF(A572="","",SUMIFS('Логи'!$H$7:$H$3006,'Логи'!$A$7:$A$3006,9,'Логи'!$B$7:$B$3006,2,'Логи'!$C$7:$C$3006,A572))</f>
        <v/>
      </c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</row>
    <row r="573">
      <c r="A573" s="4" t="inlineStr">
        <is>
          <t>Студент2.24</t>
        </is>
      </c>
      <c r="B573" s="4" t="inlineStr"/>
      <c r="C573" s="4">
        <f>IF(A573="","",COUNTIF(F573:AI573,"+")+COUNTIF(F573:AI573,"1"))</f>
        <v/>
      </c>
      <c r="D573" s="4">
        <f>IF(A573="","",IF(C573&gt;2*COUNTA(F$549:AI$549)/3,'Общий'!$M$11,IF(C573&gt;=COUNTA(F$549:AI$549)/2,'Общий'!$M$12,'Общий'!$M$13)))</f>
        <v/>
      </c>
      <c r="E573" s="4">
        <f>IF(A573="","",SUMIFS('Логи'!$H$7:$H$3006,'Логи'!$A$7:$A$3006,9,'Логи'!$B$7:$B$3006,2,'Логи'!$C$7:$C$3006,A573))</f>
        <v/>
      </c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4" t="inlineStr">
        <is>
          <t>Студент2.25</t>
        </is>
      </c>
      <c r="B574" s="4" t="inlineStr"/>
      <c r="C574" s="4">
        <f>IF(A574="","",COUNTIF(F574:AI574,"+")+COUNTIF(F574:AI574,"1"))</f>
        <v/>
      </c>
      <c r="D574" s="4">
        <f>IF(A574="","",IF(C574&gt;2*COUNTA(F$549:AI$549)/3,'Общий'!$M$11,IF(C574&gt;=COUNTA(F$549:AI$549)/2,'Общий'!$M$12,'Общий'!$M$13)))</f>
        <v/>
      </c>
      <c r="E574" s="4">
        <f>IF(A574="","",SUMIFS('Логи'!$H$7:$H$3006,'Логи'!$A$7:$A$3006,9,'Логи'!$B$7:$B$3006,2,'Логи'!$C$7:$C$3006,A574))</f>
        <v/>
      </c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</row>
    <row r="575">
      <c r="A575" s="4" t="inlineStr">
        <is>
          <t>Студент2.26</t>
        </is>
      </c>
      <c r="B575" s="4" t="inlineStr"/>
      <c r="C575" s="4">
        <f>IF(A575="","",COUNTIF(F575:AI575,"+")+COUNTIF(F575:AI575,"1"))</f>
        <v/>
      </c>
      <c r="D575" s="4">
        <f>IF(A575="","",IF(C575&gt;2*COUNTA(F$549:AI$549)/3,'Общий'!$M$11,IF(C575&gt;=COUNTA(F$549:AI$549)/2,'Общий'!$M$12,'Общий'!$M$13)))</f>
        <v/>
      </c>
      <c r="E575" s="4">
        <f>IF(A575="","",SUMIFS('Логи'!$H$7:$H$3006,'Логи'!$A$7:$A$3006,9,'Логи'!$B$7:$B$3006,2,'Логи'!$C$7:$C$3006,A575))</f>
        <v/>
      </c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4" t="inlineStr">
        <is>
          <t>Студент2.27</t>
        </is>
      </c>
      <c r="B576" s="4" t="inlineStr"/>
      <c r="C576" s="4">
        <f>IF(A576="","",COUNTIF(F576:AI576,"+")+COUNTIF(F576:AI576,"1"))</f>
        <v/>
      </c>
      <c r="D576" s="4">
        <f>IF(A576="","",IF(C576&gt;2*COUNTA(F$549:AI$549)/3,'Общий'!$M$11,IF(C576&gt;=COUNTA(F$549:AI$549)/2,'Общий'!$M$12,'Общий'!$M$13)))</f>
        <v/>
      </c>
      <c r="E576" s="4">
        <f>IF(A576="","",SUMIFS('Логи'!$H$7:$H$3006,'Логи'!$A$7:$A$3006,9,'Логи'!$B$7:$B$3006,2,'Логи'!$C$7:$C$3006,A576))</f>
        <v/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</row>
    <row r="577">
      <c r="A577" s="4" t="inlineStr">
        <is>
          <t>Студент2.28</t>
        </is>
      </c>
      <c r="B577" s="4" t="inlineStr"/>
      <c r="C577" s="4">
        <f>IF(A577="","",COUNTIF(F577:AI577,"+")+COUNTIF(F577:AI577,"1"))</f>
        <v/>
      </c>
      <c r="D577" s="4">
        <f>IF(A577="","",IF(C577&gt;2*COUNTA(F$549:AI$549)/3,'Общий'!$M$11,IF(C577&gt;=COUNTA(F$549:AI$549)/2,'Общий'!$M$12,'Общий'!$M$13)))</f>
        <v/>
      </c>
      <c r="E577" s="4">
        <f>IF(A577="","",SUMIFS('Логи'!$H$7:$H$3006,'Логи'!$A$7:$A$3006,9,'Логи'!$B$7:$B$3006,2,'Логи'!$C$7:$C$3006,A577))</f>
        <v/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4" t="inlineStr">
        <is>
          <t>Студент2.29</t>
        </is>
      </c>
      <c r="B578" s="4" t="inlineStr"/>
      <c r="C578" s="4">
        <f>IF(A578="","",COUNTIF(F578:AI578,"+")+COUNTIF(F578:AI578,"1"))</f>
        <v/>
      </c>
      <c r="D578" s="4">
        <f>IF(A578="","",IF(C578&gt;2*COUNTA(F$549:AI$549)/3,'Общий'!$M$11,IF(C578&gt;=COUNTA(F$549:AI$549)/2,'Общий'!$M$12,'Общий'!$M$13)))</f>
        <v/>
      </c>
      <c r="E578" s="4">
        <f>IF(A578="","",SUMIFS('Логи'!$H$7:$H$3006,'Логи'!$A$7:$A$3006,9,'Логи'!$B$7:$B$3006,2,'Логи'!$C$7:$C$3006,A578))</f>
        <v/>
      </c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</row>
    <row r="579">
      <c r="A579" s="4" t="inlineStr">
        <is>
          <t>Студент2.30</t>
        </is>
      </c>
      <c r="B579" s="4" t="inlineStr"/>
      <c r="C579" s="4">
        <f>IF(A579="","",COUNTIF(F579:AI579,"+")+COUNTIF(F579:AI579,"1"))</f>
        <v/>
      </c>
      <c r="D579" s="4">
        <f>IF(A579="","",IF(C579&gt;2*COUNTA(F$549:AI$549)/3,'Общий'!$M$11,IF(C579&gt;=COUNTA(F$549:AI$549)/2,'Общий'!$M$12,'Общий'!$M$13)))</f>
        <v/>
      </c>
      <c r="E579" s="4">
        <f>IF(A579="","",SUMIFS('Логи'!$H$7:$H$3006,'Логи'!$A$7:$A$3006,9,'Логи'!$B$7:$B$3006,2,'Логи'!$C$7:$C$3006,A579))</f>
        <v/>
      </c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1">
      <c r="A581" s="19" t="inlineStr">
        <is>
          <t>Практика 9 — результаты рассказа</t>
        </is>
      </c>
    </row>
    <row r="582" ht="28" customHeight="1">
      <c r="A582" s="9" t="inlineStr">
        <is>
          <t>Имя</t>
        </is>
      </c>
      <c r="B582" s="11" t="inlineStr">
        <is>
          <t>TG</t>
        </is>
      </c>
      <c r="C582" s="12" t="inlineStr"/>
      <c r="D582" s="3" t="inlineStr"/>
      <c r="E582" s="3" t="inlineStr"/>
      <c r="F582" s="13" t="inlineStr">
        <is>
          <t>1.0</t>
        </is>
      </c>
      <c r="G582" s="13" t="inlineStr">
        <is>
          <t>2.0</t>
        </is>
      </c>
      <c r="H582" s="13" t="inlineStr">
        <is>
          <t>3.0</t>
        </is>
      </c>
      <c r="I582" s="13" t="inlineStr">
        <is>
          <t>4.0</t>
        </is>
      </c>
      <c r="J582" s="13" t="inlineStr">
        <is>
          <t>5.0</t>
        </is>
      </c>
      <c r="K582" s="13" t="inlineStr">
        <is>
          <t>6</t>
        </is>
      </c>
      <c r="L582" s="13" t="inlineStr">
        <is>
          <t>7</t>
        </is>
      </c>
      <c r="M582" s="13" t="inlineStr">
        <is>
          <t>8</t>
        </is>
      </c>
      <c r="N582" s="13" t="inlineStr">
        <is>
          <t>9</t>
        </is>
      </c>
      <c r="O582" s="13" t="inlineStr">
        <is>
          <t>10</t>
        </is>
      </c>
      <c r="P582" s="13" t="inlineStr">
        <is>
          <t>11</t>
        </is>
      </c>
      <c r="Q582" s="13" t="inlineStr">
        <is>
          <t>12</t>
        </is>
      </c>
      <c r="R582" s="13" t="inlineStr">
        <is>
          <t>13</t>
        </is>
      </c>
      <c r="S582" s="13" t="inlineStr">
        <is>
          <t>14</t>
        </is>
      </c>
      <c r="T582" s="13" t="inlineStr">
        <is>
          <t>15</t>
        </is>
      </c>
      <c r="U582" s="13" t="inlineStr">
        <is>
          <t>16</t>
        </is>
      </c>
      <c r="V582" s="13" t="inlineStr">
        <is>
          <t>17</t>
        </is>
      </c>
      <c r="W582" s="13" t="inlineStr">
        <is>
          <t>18</t>
        </is>
      </c>
      <c r="X582" s="13" t="inlineStr">
        <is>
          <t>19</t>
        </is>
      </c>
      <c r="Y582" s="13" t="inlineStr">
        <is>
          <t>20</t>
        </is>
      </c>
      <c r="Z582" s="13" t="inlineStr">
        <is>
          <t>21</t>
        </is>
      </c>
      <c r="AA582" s="13" t="inlineStr">
        <is>
          <t>22</t>
        </is>
      </c>
      <c r="AB582" s="13" t="inlineStr">
        <is>
          <t>23</t>
        </is>
      </c>
      <c r="AC582" s="13" t="inlineStr">
        <is>
          <t>24</t>
        </is>
      </c>
      <c r="AD582" s="13" t="inlineStr">
        <is>
          <t>25</t>
        </is>
      </c>
      <c r="AE582" s="13" t="inlineStr">
        <is>
          <t>26</t>
        </is>
      </c>
      <c r="AF582" s="13" t="inlineStr">
        <is>
          <t>27</t>
        </is>
      </c>
      <c r="AG582" s="13" t="inlineStr">
        <is>
          <t>28</t>
        </is>
      </c>
      <c r="AH582" s="13" t="inlineStr">
        <is>
          <t>29</t>
        </is>
      </c>
      <c r="AI582" s="13" t="inlineStr">
        <is>
          <t>30</t>
        </is>
      </c>
    </row>
    <row r="583">
      <c r="A583" s="4" t="inlineStr">
        <is>
          <t>Студент2.1</t>
        </is>
      </c>
      <c r="B583" s="4" t="inlineStr"/>
      <c r="C583" s="4" t="n"/>
      <c r="D583" s="4" t="n"/>
      <c r="E583" s="4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4" t="inlineStr">
        <is>
          <t>Студент2.2</t>
        </is>
      </c>
      <c r="B584" s="4" t="inlineStr"/>
      <c r="C584" s="4" t="n"/>
      <c r="D584" s="4" t="n"/>
      <c r="E584" s="4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</row>
    <row r="585">
      <c r="A585" s="4" t="inlineStr">
        <is>
          <t>Студент2.3</t>
        </is>
      </c>
      <c r="B585" s="4" t="inlineStr"/>
      <c r="C585" s="4" t="n"/>
      <c r="D585" s="4" t="n"/>
      <c r="E585" s="4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4" t="inlineStr">
        <is>
          <t>Студент2.4</t>
        </is>
      </c>
      <c r="B586" s="4" t="inlineStr"/>
      <c r="C586" s="4" t="n"/>
      <c r="D586" s="4" t="n"/>
      <c r="E586" s="4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</row>
    <row r="587">
      <c r="A587" s="4" t="inlineStr">
        <is>
          <t>Студент2.5</t>
        </is>
      </c>
      <c r="B587" s="4" t="inlineStr"/>
      <c r="C587" s="4" t="n"/>
      <c r="D587" s="4" t="n"/>
      <c r="E587" s="4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4" t="inlineStr">
        <is>
          <t>Студент2.6</t>
        </is>
      </c>
      <c r="B588" s="4" t="inlineStr"/>
      <c r="C588" s="4" t="n"/>
      <c r="D588" s="4" t="n"/>
      <c r="E588" s="4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</row>
    <row r="589">
      <c r="A589" s="4" t="inlineStr">
        <is>
          <t>Студент2.7</t>
        </is>
      </c>
      <c r="B589" s="4" t="inlineStr"/>
      <c r="C589" s="4" t="n"/>
      <c r="D589" s="4" t="n"/>
      <c r="E589" s="4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4" t="inlineStr">
        <is>
          <t>Студент2.8</t>
        </is>
      </c>
      <c r="B590" s="4" t="inlineStr"/>
      <c r="C590" s="4" t="n"/>
      <c r="D590" s="4" t="n"/>
      <c r="E590" s="4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</row>
    <row r="591">
      <c r="A591" s="4" t="inlineStr">
        <is>
          <t>Студент2.9</t>
        </is>
      </c>
      <c r="B591" s="4" t="inlineStr"/>
      <c r="C591" s="4" t="n"/>
      <c r="D591" s="4" t="n"/>
      <c r="E591" s="4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4" t="inlineStr">
        <is>
          <t>Студент2.10</t>
        </is>
      </c>
      <c r="B592" s="4" t="inlineStr"/>
      <c r="C592" s="4" t="n"/>
      <c r="D592" s="4" t="n"/>
      <c r="E592" s="4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</row>
    <row r="593">
      <c r="A593" s="4" t="inlineStr">
        <is>
          <t>Студент2.11</t>
        </is>
      </c>
      <c r="B593" s="4" t="inlineStr"/>
      <c r="C593" s="4" t="n"/>
      <c r="D593" s="4" t="n"/>
      <c r="E593" s="4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4" t="inlineStr">
        <is>
          <t>Студент2.12</t>
        </is>
      </c>
      <c r="B594" s="4" t="inlineStr"/>
      <c r="C594" s="4" t="n"/>
      <c r="D594" s="4" t="n"/>
      <c r="E594" s="4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</row>
    <row r="595">
      <c r="A595" s="4" t="inlineStr">
        <is>
          <t>Студент2.13</t>
        </is>
      </c>
      <c r="B595" s="4" t="inlineStr"/>
      <c r="C595" s="4" t="n"/>
      <c r="D595" s="4" t="n"/>
      <c r="E595" s="4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4" t="inlineStr">
        <is>
          <t>Студент2.14</t>
        </is>
      </c>
      <c r="B596" s="4" t="inlineStr"/>
      <c r="C596" s="4" t="n"/>
      <c r="D596" s="4" t="n"/>
      <c r="E596" s="4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</row>
    <row r="597">
      <c r="A597" s="4" t="inlineStr">
        <is>
          <t>Студент2.15</t>
        </is>
      </c>
      <c r="B597" s="4" t="inlineStr"/>
      <c r="C597" s="4" t="n"/>
      <c r="D597" s="4" t="n"/>
      <c r="E597" s="4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4" t="inlineStr">
        <is>
          <t>Студент2.16</t>
        </is>
      </c>
      <c r="B598" s="4" t="inlineStr"/>
      <c r="C598" s="4" t="n"/>
      <c r="D598" s="4" t="n"/>
      <c r="E598" s="4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</row>
    <row r="599">
      <c r="A599" s="4" t="inlineStr">
        <is>
          <t>Студент2.17</t>
        </is>
      </c>
      <c r="B599" s="4" t="inlineStr"/>
      <c r="C599" s="4" t="n"/>
      <c r="D599" s="4" t="n"/>
      <c r="E599" s="4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4" t="inlineStr">
        <is>
          <t>Студент2.18</t>
        </is>
      </c>
      <c r="B600" s="4" t="inlineStr"/>
      <c r="C600" s="4" t="n"/>
      <c r="D600" s="4" t="n"/>
      <c r="E600" s="4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</row>
    <row r="601">
      <c r="A601" s="4" t="inlineStr">
        <is>
          <t>Студент2.19</t>
        </is>
      </c>
      <c r="B601" s="4" t="inlineStr"/>
      <c r="C601" s="4" t="n"/>
      <c r="D601" s="4" t="n"/>
      <c r="E601" s="4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4" t="inlineStr">
        <is>
          <t>Студент2.20</t>
        </is>
      </c>
      <c r="B602" s="4" t="inlineStr"/>
      <c r="C602" s="4" t="n"/>
      <c r="D602" s="4" t="n"/>
      <c r="E602" s="4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</row>
    <row r="603">
      <c r="A603" s="4" t="inlineStr">
        <is>
          <t>Студент2.21</t>
        </is>
      </c>
      <c r="B603" s="4" t="inlineStr"/>
      <c r="C603" s="4" t="n"/>
      <c r="D603" s="4" t="n"/>
      <c r="E603" s="4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4" t="inlineStr">
        <is>
          <t>Студент2.22</t>
        </is>
      </c>
      <c r="B604" s="4" t="inlineStr"/>
      <c r="C604" s="4" t="n"/>
      <c r="D604" s="4" t="n"/>
      <c r="E604" s="4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</row>
    <row r="605">
      <c r="A605" s="4" t="inlineStr">
        <is>
          <t>Студент2.23</t>
        </is>
      </c>
      <c r="B605" s="4" t="inlineStr"/>
      <c r="C605" s="4" t="n"/>
      <c r="D605" s="4" t="n"/>
      <c r="E605" s="4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4" t="inlineStr">
        <is>
          <t>Студент2.24</t>
        </is>
      </c>
      <c r="B606" s="4" t="inlineStr"/>
      <c r="C606" s="4" t="n"/>
      <c r="D606" s="4" t="n"/>
      <c r="E606" s="4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</row>
    <row r="607">
      <c r="A607" s="4" t="inlineStr">
        <is>
          <t>Студент2.25</t>
        </is>
      </c>
      <c r="B607" s="4" t="inlineStr"/>
      <c r="C607" s="4" t="n"/>
      <c r="D607" s="4" t="n"/>
      <c r="E607" s="4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4" t="inlineStr">
        <is>
          <t>Студент2.26</t>
        </is>
      </c>
      <c r="B608" s="4" t="inlineStr"/>
      <c r="C608" s="4" t="n"/>
      <c r="D608" s="4" t="n"/>
      <c r="E608" s="4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</row>
    <row r="609">
      <c r="A609" s="4" t="inlineStr">
        <is>
          <t>Студент2.27</t>
        </is>
      </c>
      <c r="B609" s="4" t="inlineStr"/>
      <c r="C609" s="4" t="n"/>
      <c r="D609" s="4" t="n"/>
      <c r="E609" s="4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4" t="inlineStr">
        <is>
          <t>Студент2.28</t>
        </is>
      </c>
      <c r="B610" s="4" t="inlineStr"/>
      <c r="C610" s="4" t="n"/>
      <c r="D610" s="4" t="n"/>
      <c r="E610" s="4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</row>
    <row r="611">
      <c r="A611" s="4" t="inlineStr">
        <is>
          <t>Студент2.29</t>
        </is>
      </c>
      <c r="B611" s="4" t="inlineStr"/>
      <c r="C611" s="4" t="n"/>
      <c r="D611" s="4" t="n"/>
      <c r="E611" s="4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4" t="inlineStr">
        <is>
          <t>Студент2.30</t>
        </is>
      </c>
      <c r="B612" s="4" t="inlineStr"/>
      <c r="C612" s="4" t="n"/>
      <c r="D612" s="4" t="n"/>
      <c r="E612" s="4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</row>
    <row r="616">
      <c r="A616" s="17" t="inlineStr">
        <is>
          <t>Практика 10 — плюсы</t>
        </is>
      </c>
    </row>
    <row r="617" ht="28" customHeight="1">
      <c r="A617" s="9" t="inlineStr">
        <is>
          <t>Имя</t>
        </is>
      </c>
      <c r="B617" s="11" t="inlineStr">
        <is>
          <t>TG</t>
        </is>
      </c>
      <c r="C617" s="12" t="inlineStr">
        <is>
          <t>S</t>
        </is>
      </c>
      <c r="D617" s="10" t="inlineStr">
        <is>
          <t>Коэффициент</t>
        </is>
      </c>
      <c r="E617" s="18" t="inlineStr">
        <is>
          <t>D за практику</t>
        </is>
      </c>
      <c r="F617" s="13" t="inlineStr">
        <is>
          <t>1.0</t>
        </is>
      </c>
      <c r="G617" s="13" t="inlineStr">
        <is>
          <t>2.0</t>
        </is>
      </c>
      <c r="H617" s="13" t="inlineStr">
        <is>
          <t>3.0</t>
        </is>
      </c>
      <c r="I617" s="13" t="inlineStr">
        <is>
          <t>4.0</t>
        </is>
      </c>
      <c r="J617" s="13" t="inlineStr">
        <is>
          <t>5.0</t>
        </is>
      </c>
      <c r="K617" s="13" t="inlineStr">
        <is>
          <t>6</t>
        </is>
      </c>
      <c r="L617" s="13" t="inlineStr">
        <is>
          <t>7</t>
        </is>
      </c>
      <c r="M617" s="13" t="inlineStr">
        <is>
          <t>8</t>
        </is>
      </c>
      <c r="N617" s="13" t="inlineStr">
        <is>
          <t>9</t>
        </is>
      </c>
      <c r="O617" s="13" t="inlineStr">
        <is>
          <t>10</t>
        </is>
      </c>
      <c r="P617" s="13" t="inlineStr">
        <is>
          <t>11</t>
        </is>
      </c>
      <c r="Q617" s="13" t="inlineStr">
        <is>
          <t>12</t>
        </is>
      </c>
      <c r="R617" s="13" t="inlineStr">
        <is>
          <t>13</t>
        </is>
      </c>
      <c r="S617" s="13" t="inlineStr">
        <is>
          <t>14</t>
        </is>
      </c>
      <c r="T617" s="13" t="inlineStr">
        <is>
          <t>15</t>
        </is>
      </c>
      <c r="U617" s="13" t="inlineStr">
        <is>
          <t>16</t>
        </is>
      </c>
      <c r="V617" s="13" t="inlineStr">
        <is>
          <t>17</t>
        </is>
      </c>
      <c r="W617" s="13" t="inlineStr">
        <is>
          <t>18</t>
        </is>
      </c>
      <c r="X617" s="13" t="inlineStr">
        <is>
          <t>19</t>
        </is>
      </c>
      <c r="Y617" s="13" t="inlineStr">
        <is>
          <t>20</t>
        </is>
      </c>
      <c r="Z617" s="13" t="inlineStr">
        <is>
          <t>21</t>
        </is>
      </c>
      <c r="AA617" s="13" t="inlineStr">
        <is>
          <t>22</t>
        </is>
      </c>
      <c r="AB617" s="13" t="inlineStr">
        <is>
          <t>23</t>
        </is>
      </c>
      <c r="AC617" s="13" t="inlineStr">
        <is>
          <t>24</t>
        </is>
      </c>
      <c r="AD617" s="13" t="inlineStr">
        <is>
          <t>25</t>
        </is>
      </c>
      <c r="AE617" s="13" t="inlineStr">
        <is>
          <t>26</t>
        </is>
      </c>
      <c r="AF617" s="13" t="inlineStr">
        <is>
          <t>27</t>
        </is>
      </c>
      <c r="AG617" s="13" t="inlineStr">
        <is>
          <t>28</t>
        </is>
      </c>
      <c r="AH617" s="13" t="inlineStr">
        <is>
          <t>29</t>
        </is>
      </c>
      <c r="AI617" s="13" t="inlineStr">
        <is>
          <t>30</t>
        </is>
      </c>
    </row>
    <row r="618">
      <c r="A618" s="4" t="inlineStr">
        <is>
          <t>Студент2.1</t>
        </is>
      </c>
      <c r="B618" s="4" t="inlineStr"/>
      <c r="C618" s="4">
        <f>IF(A618="","",COUNTIF(F618:AI618,"+")+COUNTIF(F618:AI618,"1"))</f>
        <v/>
      </c>
      <c r="D618" s="4">
        <f>IF(A618="","",IF(C618&gt;2*COUNTA(F$617:AI$617)/3,'Общий'!$M$11,IF(C618&gt;=COUNTA(F$617:AI$617)/2,'Общий'!$M$12,'Общий'!$M$13)))</f>
        <v/>
      </c>
      <c r="E618" s="4">
        <f>IF(A618="","",SUMIFS('Логи'!$H$7:$H$3006,'Логи'!$A$7:$A$3006,10,'Логи'!$B$7:$B$3006,2,'Логи'!$C$7:$C$3006,A618))</f>
        <v/>
      </c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</row>
    <row r="619">
      <c r="A619" s="4" t="inlineStr">
        <is>
          <t>Студент2.2</t>
        </is>
      </c>
      <c r="B619" s="4" t="inlineStr"/>
      <c r="C619" s="4">
        <f>IF(A619="","",COUNTIF(F619:AI619,"+")+COUNTIF(F619:AI619,"1"))</f>
        <v/>
      </c>
      <c r="D619" s="4">
        <f>IF(A619="","",IF(C619&gt;2*COUNTA(F$617:AI$617)/3,'Общий'!$M$11,IF(C619&gt;=COUNTA(F$617:AI$617)/2,'Общий'!$M$12,'Общий'!$M$13)))</f>
        <v/>
      </c>
      <c r="E619" s="4">
        <f>IF(A619="","",SUMIFS('Логи'!$H$7:$H$3006,'Логи'!$A$7:$A$3006,10,'Логи'!$B$7:$B$3006,2,'Логи'!$C$7:$C$3006,A619))</f>
        <v/>
      </c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4" t="inlineStr">
        <is>
          <t>Студент2.3</t>
        </is>
      </c>
      <c r="B620" s="4" t="inlineStr"/>
      <c r="C620" s="4">
        <f>IF(A620="","",COUNTIF(F620:AI620,"+")+COUNTIF(F620:AI620,"1"))</f>
        <v/>
      </c>
      <c r="D620" s="4">
        <f>IF(A620="","",IF(C620&gt;2*COUNTA(F$617:AI$617)/3,'Общий'!$M$11,IF(C620&gt;=COUNTA(F$617:AI$617)/2,'Общий'!$M$12,'Общий'!$M$13)))</f>
        <v/>
      </c>
      <c r="E620" s="4">
        <f>IF(A620="","",SUMIFS('Логи'!$H$7:$H$3006,'Логи'!$A$7:$A$3006,10,'Логи'!$B$7:$B$3006,2,'Логи'!$C$7:$C$3006,A620))</f>
        <v/>
      </c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</row>
    <row r="621">
      <c r="A621" s="4" t="inlineStr">
        <is>
          <t>Студент2.4</t>
        </is>
      </c>
      <c r="B621" s="4" t="inlineStr"/>
      <c r="C621" s="4">
        <f>IF(A621="","",COUNTIF(F621:AI621,"+")+COUNTIF(F621:AI621,"1"))</f>
        <v/>
      </c>
      <c r="D621" s="4">
        <f>IF(A621="","",IF(C621&gt;2*COUNTA(F$617:AI$617)/3,'Общий'!$M$11,IF(C621&gt;=COUNTA(F$617:AI$617)/2,'Общий'!$M$12,'Общий'!$M$13)))</f>
        <v/>
      </c>
      <c r="E621" s="4">
        <f>IF(A621="","",SUMIFS('Логи'!$H$7:$H$3006,'Логи'!$A$7:$A$3006,10,'Логи'!$B$7:$B$3006,2,'Логи'!$C$7:$C$3006,A621))</f>
        <v/>
      </c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4" t="inlineStr">
        <is>
          <t>Студент2.5</t>
        </is>
      </c>
      <c r="B622" s="4" t="inlineStr"/>
      <c r="C622" s="4">
        <f>IF(A622="","",COUNTIF(F622:AI622,"+")+COUNTIF(F622:AI622,"1"))</f>
        <v/>
      </c>
      <c r="D622" s="4">
        <f>IF(A622="","",IF(C622&gt;2*COUNTA(F$617:AI$617)/3,'Общий'!$M$11,IF(C622&gt;=COUNTA(F$617:AI$617)/2,'Общий'!$M$12,'Общий'!$M$13)))</f>
        <v/>
      </c>
      <c r="E622" s="4">
        <f>IF(A622="","",SUMIFS('Логи'!$H$7:$H$3006,'Логи'!$A$7:$A$3006,10,'Логи'!$B$7:$B$3006,2,'Логи'!$C$7:$C$3006,A622))</f>
        <v/>
      </c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</row>
    <row r="623">
      <c r="A623" s="4" t="inlineStr">
        <is>
          <t>Студент2.6</t>
        </is>
      </c>
      <c r="B623" s="4" t="inlineStr"/>
      <c r="C623" s="4">
        <f>IF(A623="","",COUNTIF(F623:AI623,"+")+COUNTIF(F623:AI623,"1"))</f>
        <v/>
      </c>
      <c r="D623" s="4">
        <f>IF(A623="","",IF(C623&gt;2*COUNTA(F$617:AI$617)/3,'Общий'!$M$11,IF(C623&gt;=COUNTA(F$617:AI$617)/2,'Общий'!$M$12,'Общий'!$M$13)))</f>
        <v/>
      </c>
      <c r="E623" s="4">
        <f>IF(A623="","",SUMIFS('Логи'!$H$7:$H$3006,'Логи'!$A$7:$A$3006,10,'Логи'!$B$7:$B$3006,2,'Логи'!$C$7:$C$3006,A623))</f>
        <v/>
      </c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4" t="inlineStr">
        <is>
          <t>Студент2.7</t>
        </is>
      </c>
      <c r="B624" s="4" t="inlineStr"/>
      <c r="C624" s="4">
        <f>IF(A624="","",COUNTIF(F624:AI624,"+")+COUNTIF(F624:AI624,"1"))</f>
        <v/>
      </c>
      <c r="D624" s="4">
        <f>IF(A624="","",IF(C624&gt;2*COUNTA(F$617:AI$617)/3,'Общий'!$M$11,IF(C624&gt;=COUNTA(F$617:AI$617)/2,'Общий'!$M$12,'Общий'!$M$13)))</f>
        <v/>
      </c>
      <c r="E624" s="4">
        <f>IF(A624="","",SUMIFS('Логи'!$H$7:$H$3006,'Логи'!$A$7:$A$3006,10,'Логи'!$B$7:$B$3006,2,'Логи'!$C$7:$C$3006,A624))</f>
        <v/>
      </c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</row>
    <row r="625">
      <c r="A625" s="4" t="inlineStr">
        <is>
          <t>Студент2.8</t>
        </is>
      </c>
      <c r="B625" s="4" t="inlineStr"/>
      <c r="C625" s="4">
        <f>IF(A625="","",COUNTIF(F625:AI625,"+")+COUNTIF(F625:AI625,"1"))</f>
        <v/>
      </c>
      <c r="D625" s="4">
        <f>IF(A625="","",IF(C625&gt;2*COUNTA(F$617:AI$617)/3,'Общий'!$M$11,IF(C625&gt;=COUNTA(F$617:AI$617)/2,'Общий'!$M$12,'Общий'!$M$13)))</f>
        <v/>
      </c>
      <c r="E625" s="4">
        <f>IF(A625="","",SUMIFS('Логи'!$H$7:$H$3006,'Логи'!$A$7:$A$3006,10,'Логи'!$B$7:$B$3006,2,'Логи'!$C$7:$C$3006,A625))</f>
        <v/>
      </c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4" t="inlineStr">
        <is>
          <t>Студент2.9</t>
        </is>
      </c>
      <c r="B626" s="4" t="inlineStr"/>
      <c r="C626" s="4">
        <f>IF(A626="","",COUNTIF(F626:AI626,"+")+COUNTIF(F626:AI626,"1"))</f>
        <v/>
      </c>
      <c r="D626" s="4">
        <f>IF(A626="","",IF(C626&gt;2*COUNTA(F$617:AI$617)/3,'Общий'!$M$11,IF(C626&gt;=COUNTA(F$617:AI$617)/2,'Общий'!$M$12,'Общий'!$M$13)))</f>
        <v/>
      </c>
      <c r="E626" s="4">
        <f>IF(A626="","",SUMIFS('Логи'!$H$7:$H$3006,'Логи'!$A$7:$A$3006,10,'Логи'!$B$7:$B$3006,2,'Логи'!$C$7:$C$3006,A626))</f>
        <v/>
      </c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</row>
    <row r="627">
      <c r="A627" s="4" t="inlineStr">
        <is>
          <t>Студент2.10</t>
        </is>
      </c>
      <c r="B627" s="4" t="inlineStr"/>
      <c r="C627" s="4">
        <f>IF(A627="","",COUNTIF(F627:AI627,"+")+COUNTIF(F627:AI627,"1"))</f>
        <v/>
      </c>
      <c r="D627" s="4">
        <f>IF(A627="","",IF(C627&gt;2*COUNTA(F$617:AI$617)/3,'Общий'!$M$11,IF(C627&gt;=COUNTA(F$617:AI$617)/2,'Общий'!$M$12,'Общий'!$M$13)))</f>
        <v/>
      </c>
      <c r="E627" s="4">
        <f>IF(A627="","",SUMIFS('Логи'!$H$7:$H$3006,'Логи'!$A$7:$A$3006,10,'Логи'!$B$7:$B$3006,2,'Логи'!$C$7:$C$3006,A627))</f>
        <v/>
      </c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4" t="inlineStr">
        <is>
          <t>Студент2.11</t>
        </is>
      </c>
      <c r="B628" s="4" t="inlineStr"/>
      <c r="C628" s="4">
        <f>IF(A628="","",COUNTIF(F628:AI628,"+")+COUNTIF(F628:AI628,"1"))</f>
        <v/>
      </c>
      <c r="D628" s="4">
        <f>IF(A628="","",IF(C628&gt;2*COUNTA(F$617:AI$617)/3,'Общий'!$M$11,IF(C628&gt;=COUNTA(F$617:AI$617)/2,'Общий'!$M$12,'Общий'!$M$13)))</f>
        <v/>
      </c>
      <c r="E628" s="4">
        <f>IF(A628="","",SUMIFS('Логи'!$H$7:$H$3006,'Логи'!$A$7:$A$3006,10,'Логи'!$B$7:$B$3006,2,'Логи'!$C$7:$C$3006,A628))</f>
        <v/>
      </c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</row>
    <row r="629">
      <c r="A629" s="4" t="inlineStr">
        <is>
          <t>Студент2.12</t>
        </is>
      </c>
      <c r="B629" s="4" t="inlineStr"/>
      <c r="C629" s="4">
        <f>IF(A629="","",COUNTIF(F629:AI629,"+")+COUNTIF(F629:AI629,"1"))</f>
        <v/>
      </c>
      <c r="D629" s="4">
        <f>IF(A629="","",IF(C629&gt;2*COUNTA(F$617:AI$617)/3,'Общий'!$M$11,IF(C629&gt;=COUNTA(F$617:AI$617)/2,'Общий'!$M$12,'Общий'!$M$13)))</f>
        <v/>
      </c>
      <c r="E629" s="4">
        <f>IF(A629="","",SUMIFS('Логи'!$H$7:$H$3006,'Логи'!$A$7:$A$3006,10,'Логи'!$B$7:$B$3006,2,'Логи'!$C$7:$C$3006,A629))</f>
        <v/>
      </c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4" t="inlineStr">
        <is>
          <t>Студент2.13</t>
        </is>
      </c>
      <c r="B630" s="4" t="inlineStr"/>
      <c r="C630" s="4">
        <f>IF(A630="","",COUNTIF(F630:AI630,"+")+COUNTIF(F630:AI630,"1"))</f>
        <v/>
      </c>
      <c r="D630" s="4">
        <f>IF(A630="","",IF(C630&gt;2*COUNTA(F$617:AI$617)/3,'Общий'!$M$11,IF(C630&gt;=COUNTA(F$617:AI$617)/2,'Общий'!$M$12,'Общий'!$M$13)))</f>
        <v/>
      </c>
      <c r="E630" s="4">
        <f>IF(A630="","",SUMIFS('Логи'!$H$7:$H$3006,'Логи'!$A$7:$A$3006,10,'Логи'!$B$7:$B$3006,2,'Логи'!$C$7:$C$3006,A630))</f>
        <v/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</row>
    <row r="631">
      <c r="A631" s="4" t="inlineStr">
        <is>
          <t>Студент2.14</t>
        </is>
      </c>
      <c r="B631" s="4" t="inlineStr"/>
      <c r="C631" s="4">
        <f>IF(A631="","",COUNTIF(F631:AI631,"+")+COUNTIF(F631:AI631,"1"))</f>
        <v/>
      </c>
      <c r="D631" s="4">
        <f>IF(A631="","",IF(C631&gt;2*COUNTA(F$617:AI$617)/3,'Общий'!$M$11,IF(C631&gt;=COUNTA(F$617:AI$617)/2,'Общий'!$M$12,'Общий'!$M$13)))</f>
        <v/>
      </c>
      <c r="E631" s="4">
        <f>IF(A631="","",SUMIFS('Логи'!$H$7:$H$3006,'Логи'!$A$7:$A$3006,10,'Логи'!$B$7:$B$3006,2,'Логи'!$C$7:$C$3006,A631))</f>
        <v/>
      </c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4" t="inlineStr">
        <is>
          <t>Студент2.15</t>
        </is>
      </c>
      <c r="B632" s="4" t="inlineStr"/>
      <c r="C632" s="4">
        <f>IF(A632="","",COUNTIF(F632:AI632,"+")+COUNTIF(F632:AI632,"1"))</f>
        <v/>
      </c>
      <c r="D632" s="4">
        <f>IF(A632="","",IF(C632&gt;2*COUNTA(F$617:AI$617)/3,'Общий'!$M$11,IF(C632&gt;=COUNTA(F$617:AI$617)/2,'Общий'!$M$12,'Общий'!$M$13)))</f>
        <v/>
      </c>
      <c r="E632" s="4">
        <f>IF(A632="","",SUMIFS('Логи'!$H$7:$H$3006,'Логи'!$A$7:$A$3006,10,'Логи'!$B$7:$B$3006,2,'Логи'!$C$7:$C$3006,A632))</f>
        <v/>
      </c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</row>
    <row r="633">
      <c r="A633" s="4" t="inlineStr">
        <is>
          <t>Студент2.16</t>
        </is>
      </c>
      <c r="B633" s="4" t="inlineStr"/>
      <c r="C633" s="4">
        <f>IF(A633="","",COUNTIF(F633:AI633,"+")+COUNTIF(F633:AI633,"1"))</f>
        <v/>
      </c>
      <c r="D633" s="4">
        <f>IF(A633="","",IF(C633&gt;2*COUNTA(F$617:AI$617)/3,'Общий'!$M$11,IF(C633&gt;=COUNTA(F$617:AI$617)/2,'Общий'!$M$12,'Общий'!$M$13)))</f>
        <v/>
      </c>
      <c r="E633" s="4">
        <f>IF(A633="","",SUMIFS('Логи'!$H$7:$H$3006,'Логи'!$A$7:$A$3006,10,'Логи'!$B$7:$B$3006,2,'Логи'!$C$7:$C$3006,A633))</f>
        <v/>
      </c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4" t="inlineStr">
        <is>
          <t>Студент2.17</t>
        </is>
      </c>
      <c r="B634" s="4" t="inlineStr"/>
      <c r="C634" s="4">
        <f>IF(A634="","",COUNTIF(F634:AI634,"+")+COUNTIF(F634:AI634,"1"))</f>
        <v/>
      </c>
      <c r="D634" s="4">
        <f>IF(A634="","",IF(C634&gt;2*COUNTA(F$617:AI$617)/3,'Общий'!$M$11,IF(C634&gt;=COUNTA(F$617:AI$617)/2,'Общий'!$M$12,'Общий'!$M$13)))</f>
        <v/>
      </c>
      <c r="E634" s="4">
        <f>IF(A634="","",SUMIFS('Логи'!$H$7:$H$3006,'Логи'!$A$7:$A$3006,10,'Логи'!$B$7:$B$3006,2,'Логи'!$C$7:$C$3006,A634))</f>
        <v/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</row>
    <row r="635">
      <c r="A635" s="4" t="inlineStr">
        <is>
          <t>Студент2.18</t>
        </is>
      </c>
      <c r="B635" s="4" t="inlineStr"/>
      <c r="C635" s="4">
        <f>IF(A635="","",COUNTIF(F635:AI635,"+")+COUNTIF(F635:AI635,"1"))</f>
        <v/>
      </c>
      <c r="D635" s="4">
        <f>IF(A635="","",IF(C635&gt;2*COUNTA(F$617:AI$617)/3,'Общий'!$M$11,IF(C635&gt;=COUNTA(F$617:AI$617)/2,'Общий'!$M$12,'Общий'!$M$13)))</f>
        <v/>
      </c>
      <c r="E635" s="4">
        <f>IF(A635="","",SUMIFS('Логи'!$H$7:$H$3006,'Логи'!$A$7:$A$3006,10,'Логи'!$B$7:$B$3006,2,'Логи'!$C$7:$C$3006,A635))</f>
        <v/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4" t="inlineStr">
        <is>
          <t>Студент2.19</t>
        </is>
      </c>
      <c r="B636" s="4" t="inlineStr"/>
      <c r="C636" s="4">
        <f>IF(A636="","",COUNTIF(F636:AI636,"+")+COUNTIF(F636:AI636,"1"))</f>
        <v/>
      </c>
      <c r="D636" s="4">
        <f>IF(A636="","",IF(C636&gt;2*COUNTA(F$617:AI$617)/3,'Общий'!$M$11,IF(C636&gt;=COUNTA(F$617:AI$617)/2,'Общий'!$M$12,'Общий'!$M$13)))</f>
        <v/>
      </c>
      <c r="E636" s="4">
        <f>IF(A636="","",SUMIFS('Логи'!$H$7:$H$3006,'Логи'!$A$7:$A$3006,10,'Логи'!$B$7:$B$3006,2,'Логи'!$C$7:$C$3006,A636))</f>
        <v/>
      </c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</row>
    <row r="637">
      <c r="A637" s="4" t="inlineStr">
        <is>
          <t>Студент2.20</t>
        </is>
      </c>
      <c r="B637" s="4" t="inlineStr"/>
      <c r="C637" s="4">
        <f>IF(A637="","",COUNTIF(F637:AI637,"+")+COUNTIF(F637:AI637,"1"))</f>
        <v/>
      </c>
      <c r="D637" s="4">
        <f>IF(A637="","",IF(C637&gt;2*COUNTA(F$617:AI$617)/3,'Общий'!$M$11,IF(C637&gt;=COUNTA(F$617:AI$617)/2,'Общий'!$M$12,'Общий'!$M$13)))</f>
        <v/>
      </c>
      <c r="E637" s="4">
        <f>IF(A637="","",SUMIFS('Логи'!$H$7:$H$3006,'Логи'!$A$7:$A$3006,10,'Логи'!$B$7:$B$3006,2,'Логи'!$C$7:$C$3006,A637))</f>
        <v/>
      </c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4" t="inlineStr">
        <is>
          <t>Студент2.21</t>
        </is>
      </c>
      <c r="B638" s="4" t="inlineStr"/>
      <c r="C638" s="4">
        <f>IF(A638="","",COUNTIF(F638:AI638,"+")+COUNTIF(F638:AI638,"1"))</f>
        <v/>
      </c>
      <c r="D638" s="4">
        <f>IF(A638="","",IF(C638&gt;2*COUNTA(F$617:AI$617)/3,'Общий'!$M$11,IF(C638&gt;=COUNTA(F$617:AI$617)/2,'Общий'!$M$12,'Общий'!$M$13)))</f>
        <v/>
      </c>
      <c r="E638" s="4">
        <f>IF(A638="","",SUMIFS('Логи'!$H$7:$H$3006,'Логи'!$A$7:$A$3006,10,'Логи'!$B$7:$B$3006,2,'Логи'!$C$7:$C$3006,A638))</f>
        <v/>
      </c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</row>
    <row r="639">
      <c r="A639" s="4" t="inlineStr">
        <is>
          <t>Студент2.22</t>
        </is>
      </c>
      <c r="B639" s="4" t="inlineStr"/>
      <c r="C639" s="4">
        <f>IF(A639="","",COUNTIF(F639:AI639,"+")+COUNTIF(F639:AI639,"1"))</f>
        <v/>
      </c>
      <c r="D639" s="4">
        <f>IF(A639="","",IF(C639&gt;2*COUNTA(F$617:AI$617)/3,'Общий'!$M$11,IF(C639&gt;=COUNTA(F$617:AI$617)/2,'Общий'!$M$12,'Общий'!$M$13)))</f>
        <v/>
      </c>
      <c r="E639" s="4">
        <f>IF(A639="","",SUMIFS('Логи'!$H$7:$H$3006,'Логи'!$A$7:$A$3006,10,'Логи'!$B$7:$B$3006,2,'Логи'!$C$7:$C$3006,A639))</f>
        <v/>
      </c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4" t="inlineStr">
        <is>
          <t>Студент2.23</t>
        </is>
      </c>
      <c r="B640" s="4" t="inlineStr"/>
      <c r="C640" s="4">
        <f>IF(A640="","",COUNTIF(F640:AI640,"+")+COUNTIF(F640:AI640,"1"))</f>
        <v/>
      </c>
      <c r="D640" s="4">
        <f>IF(A640="","",IF(C640&gt;2*COUNTA(F$617:AI$617)/3,'Общий'!$M$11,IF(C640&gt;=COUNTA(F$617:AI$617)/2,'Общий'!$M$12,'Общий'!$M$13)))</f>
        <v/>
      </c>
      <c r="E640" s="4">
        <f>IF(A640="","",SUMIFS('Логи'!$H$7:$H$3006,'Логи'!$A$7:$A$3006,10,'Логи'!$B$7:$B$3006,2,'Логи'!$C$7:$C$3006,A640))</f>
        <v/>
      </c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</row>
    <row r="641">
      <c r="A641" s="4" t="inlineStr">
        <is>
          <t>Студент2.24</t>
        </is>
      </c>
      <c r="B641" s="4" t="inlineStr"/>
      <c r="C641" s="4">
        <f>IF(A641="","",COUNTIF(F641:AI641,"+")+COUNTIF(F641:AI641,"1"))</f>
        <v/>
      </c>
      <c r="D641" s="4">
        <f>IF(A641="","",IF(C641&gt;2*COUNTA(F$617:AI$617)/3,'Общий'!$M$11,IF(C641&gt;=COUNTA(F$617:AI$617)/2,'Общий'!$M$12,'Общий'!$M$13)))</f>
        <v/>
      </c>
      <c r="E641" s="4">
        <f>IF(A641="","",SUMIFS('Логи'!$H$7:$H$3006,'Логи'!$A$7:$A$3006,10,'Логи'!$B$7:$B$3006,2,'Логи'!$C$7:$C$3006,A641))</f>
        <v/>
      </c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4" t="inlineStr">
        <is>
          <t>Студент2.25</t>
        </is>
      </c>
      <c r="B642" s="4" t="inlineStr"/>
      <c r="C642" s="4">
        <f>IF(A642="","",COUNTIF(F642:AI642,"+")+COUNTIF(F642:AI642,"1"))</f>
        <v/>
      </c>
      <c r="D642" s="4">
        <f>IF(A642="","",IF(C642&gt;2*COUNTA(F$617:AI$617)/3,'Общий'!$M$11,IF(C642&gt;=COUNTA(F$617:AI$617)/2,'Общий'!$M$12,'Общий'!$M$13)))</f>
        <v/>
      </c>
      <c r="E642" s="4">
        <f>IF(A642="","",SUMIFS('Логи'!$H$7:$H$3006,'Логи'!$A$7:$A$3006,10,'Логи'!$B$7:$B$3006,2,'Логи'!$C$7:$C$3006,A642))</f>
        <v/>
      </c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</row>
    <row r="643">
      <c r="A643" s="4" t="inlineStr">
        <is>
          <t>Студент2.26</t>
        </is>
      </c>
      <c r="B643" s="4" t="inlineStr"/>
      <c r="C643" s="4">
        <f>IF(A643="","",COUNTIF(F643:AI643,"+")+COUNTIF(F643:AI643,"1"))</f>
        <v/>
      </c>
      <c r="D643" s="4">
        <f>IF(A643="","",IF(C643&gt;2*COUNTA(F$617:AI$617)/3,'Общий'!$M$11,IF(C643&gt;=COUNTA(F$617:AI$617)/2,'Общий'!$M$12,'Общий'!$M$13)))</f>
        <v/>
      </c>
      <c r="E643" s="4">
        <f>IF(A643="","",SUMIFS('Логи'!$H$7:$H$3006,'Логи'!$A$7:$A$3006,10,'Логи'!$B$7:$B$3006,2,'Логи'!$C$7:$C$3006,A643))</f>
        <v/>
      </c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4" t="inlineStr">
        <is>
          <t>Студент2.27</t>
        </is>
      </c>
      <c r="B644" s="4" t="inlineStr"/>
      <c r="C644" s="4">
        <f>IF(A644="","",COUNTIF(F644:AI644,"+")+COUNTIF(F644:AI644,"1"))</f>
        <v/>
      </c>
      <c r="D644" s="4">
        <f>IF(A644="","",IF(C644&gt;2*COUNTA(F$617:AI$617)/3,'Общий'!$M$11,IF(C644&gt;=COUNTA(F$617:AI$617)/2,'Общий'!$M$12,'Общий'!$M$13)))</f>
        <v/>
      </c>
      <c r="E644" s="4">
        <f>IF(A644="","",SUMIFS('Логи'!$H$7:$H$3006,'Логи'!$A$7:$A$3006,10,'Логи'!$B$7:$B$3006,2,'Логи'!$C$7:$C$3006,A644))</f>
        <v/>
      </c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</row>
    <row r="645">
      <c r="A645" s="4" t="inlineStr">
        <is>
          <t>Студент2.28</t>
        </is>
      </c>
      <c r="B645" s="4" t="inlineStr"/>
      <c r="C645" s="4">
        <f>IF(A645="","",COUNTIF(F645:AI645,"+")+COUNTIF(F645:AI645,"1"))</f>
        <v/>
      </c>
      <c r="D645" s="4">
        <f>IF(A645="","",IF(C645&gt;2*COUNTA(F$617:AI$617)/3,'Общий'!$M$11,IF(C645&gt;=COUNTA(F$617:AI$617)/2,'Общий'!$M$12,'Общий'!$M$13)))</f>
        <v/>
      </c>
      <c r="E645" s="4">
        <f>IF(A645="","",SUMIFS('Логи'!$H$7:$H$3006,'Логи'!$A$7:$A$3006,10,'Логи'!$B$7:$B$3006,2,'Логи'!$C$7:$C$3006,A645))</f>
        <v/>
      </c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4" t="inlineStr">
        <is>
          <t>Студент2.29</t>
        </is>
      </c>
      <c r="B646" s="4" t="inlineStr"/>
      <c r="C646" s="4">
        <f>IF(A646="","",COUNTIF(F646:AI646,"+")+COUNTIF(F646:AI646,"1"))</f>
        <v/>
      </c>
      <c r="D646" s="4">
        <f>IF(A646="","",IF(C646&gt;2*COUNTA(F$617:AI$617)/3,'Общий'!$M$11,IF(C646&gt;=COUNTA(F$617:AI$617)/2,'Общий'!$M$12,'Общий'!$M$13)))</f>
        <v/>
      </c>
      <c r="E646" s="4">
        <f>IF(A646="","",SUMIFS('Логи'!$H$7:$H$3006,'Логи'!$A$7:$A$3006,10,'Логи'!$B$7:$B$3006,2,'Логи'!$C$7:$C$3006,A646))</f>
        <v/>
      </c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</row>
    <row r="647">
      <c r="A647" s="4" t="inlineStr">
        <is>
          <t>Студент2.30</t>
        </is>
      </c>
      <c r="B647" s="4" t="inlineStr"/>
      <c r="C647" s="4">
        <f>IF(A647="","",COUNTIF(F647:AI647,"+")+COUNTIF(F647:AI647,"1"))</f>
        <v/>
      </c>
      <c r="D647" s="4">
        <f>IF(A647="","",IF(C647&gt;2*COUNTA(F$617:AI$617)/3,'Общий'!$M$11,IF(C647&gt;=COUNTA(F$617:AI$617)/2,'Общий'!$M$12,'Общий'!$M$13)))</f>
        <v/>
      </c>
      <c r="E647" s="4">
        <f>IF(A647="","",SUMIFS('Логи'!$H$7:$H$3006,'Логи'!$A$7:$A$3006,10,'Логи'!$B$7:$B$3006,2,'Логи'!$C$7:$C$3006,A647))</f>
        <v/>
      </c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9">
      <c r="A649" s="19" t="inlineStr">
        <is>
          <t>Практика 10 — результаты рассказа</t>
        </is>
      </c>
    </row>
    <row r="650" ht="28" customHeight="1">
      <c r="A650" s="9" t="inlineStr">
        <is>
          <t>Имя</t>
        </is>
      </c>
      <c r="B650" s="11" t="inlineStr">
        <is>
          <t>TG</t>
        </is>
      </c>
      <c r="C650" s="12" t="inlineStr"/>
      <c r="D650" s="3" t="inlineStr"/>
      <c r="E650" s="3" t="inlineStr"/>
      <c r="F650" s="13" t="inlineStr">
        <is>
          <t>1.0</t>
        </is>
      </c>
      <c r="G650" s="13" t="inlineStr">
        <is>
          <t>2.0</t>
        </is>
      </c>
      <c r="H650" s="13" t="inlineStr">
        <is>
          <t>3.0</t>
        </is>
      </c>
      <c r="I650" s="13" t="inlineStr">
        <is>
          <t>4.0</t>
        </is>
      </c>
      <c r="J650" s="13" t="inlineStr">
        <is>
          <t>5.0</t>
        </is>
      </c>
      <c r="K650" s="13" t="inlineStr">
        <is>
          <t>6</t>
        </is>
      </c>
      <c r="L650" s="13" t="inlineStr">
        <is>
          <t>7</t>
        </is>
      </c>
      <c r="M650" s="13" t="inlineStr">
        <is>
          <t>8</t>
        </is>
      </c>
      <c r="N650" s="13" t="inlineStr">
        <is>
          <t>9</t>
        </is>
      </c>
      <c r="O650" s="13" t="inlineStr">
        <is>
          <t>10</t>
        </is>
      </c>
      <c r="P650" s="13" t="inlineStr">
        <is>
          <t>11</t>
        </is>
      </c>
      <c r="Q650" s="13" t="inlineStr">
        <is>
          <t>12</t>
        </is>
      </c>
      <c r="R650" s="13" t="inlineStr">
        <is>
          <t>13</t>
        </is>
      </c>
      <c r="S650" s="13" t="inlineStr">
        <is>
          <t>14</t>
        </is>
      </c>
      <c r="T650" s="13" t="inlineStr">
        <is>
          <t>15</t>
        </is>
      </c>
      <c r="U650" s="13" t="inlineStr">
        <is>
          <t>16</t>
        </is>
      </c>
      <c r="V650" s="13" t="inlineStr">
        <is>
          <t>17</t>
        </is>
      </c>
      <c r="W650" s="13" t="inlineStr">
        <is>
          <t>18</t>
        </is>
      </c>
      <c r="X650" s="13" t="inlineStr">
        <is>
          <t>19</t>
        </is>
      </c>
      <c r="Y650" s="13" t="inlineStr">
        <is>
          <t>20</t>
        </is>
      </c>
      <c r="Z650" s="13" t="inlineStr">
        <is>
          <t>21</t>
        </is>
      </c>
      <c r="AA650" s="13" t="inlineStr">
        <is>
          <t>22</t>
        </is>
      </c>
      <c r="AB650" s="13" t="inlineStr">
        <is>
          <t>23</t>
        </is>
      </c>
      <c r="AC650" s="13" t="inlineStr">
        <is>
          <t>24</t>
        </is>
      </c>
      <c r="AD650" s="13" t="inlineStr">
        <is>
          <t>25</t>
        </is>
      </c>
      <c r="AE650" s="13" t="inlineStr">
        <is>
          <t>26</t>
        </is>
      </c>
      <c r="AF650" s="13" t="inlineStr">
        <is>
          <t>27</t>
        </is>
      </c>
      <c r="AG650" s="13" t="inlineStr">
        <is>
          <t>28</t>
        </is>
      </c>
      <c r="AH650" s="13" t="inlineStr">
        <is>
          <t>29</t>
        </is>
      </c>
      <c r="AI650" s="13" t="inlineStr">
        <is>
          <t>30</t>
        </is>
      </c>
    </row>
    <row r="651">
      <c r="A651" s="4" t="inlineStr">
        <is>
          <t>Студент2.1</t>
        </is>
      </c>
      <c r="B651" s="4" t="inlineStr"/>
      <c r="C651" s="4" t="n"/>
      <c r="D651" s="4" t="n"/>
      <c r="E651" s="4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4" t="inlineStr">
        <is>
          <t>Студент2.2</t>
        </is>
      </c>
      <c r="B652" s="4" t="inlineStr"/>
      <c r="C652" s="4" t="n"/>
      <c r="D652" s="4" t="n"/>
      <c r="E652" s="4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</row>
    <row r="653">
      <c r="A653" s="4" t="inlineStr">
        <is>
          <t>Студент2.3</t>
        </is>
      </c>
      <c r="B653" s="4" t="inlineStr"/>
      <c r="C653" s="4" t="n"/>
      <c r="D653" s="4" t="n"/>
      <c r="E653" s="4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4" t="inlineStr">
        <is>
          <t>Студент2.4</t>
        </is>
      </c>
      <c r="B654" s="4" t="inlineStr"/>
      <c r="C654" s="4" t="n"/>
      <c r="D654" s="4" t="n"/>
      <c r="E654" s="4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</row>
    <row r="655">
      <c r="A655" s="4" t="inlineStr">
        <is>
          <t>Студент2.5</t>
        </is>
      </c>
      <c r="B655" s="4" t="inlineStr"/>
      <c r="C655" s="4" t="n"/>
      <c r="D655" s="4" t="n"/>
      <c r="E655" s="4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4" t="inlineStr">
        <is>
          <t>Студент2.6</t>
        </is>
      </c>
      <c r="B656" s="4" t="inlineStr"/>
      <c r="C656" s="4" t="n"/>
      <c r="D656" s="4" t="n"/>
      <c r="E656" s="4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</row>
    <row r="657">
      <c r="A657" s="4" t="inlineStr">
        <is>
          <t>Студент2.7</t>
        </is>
      </c>
      <c r="B657" s="4" t="inlineStr"/>
      <c r="C657" s="4" t="n"/>
      <c r="D657" s="4" t="n"/>
      <c r="E657" s="4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4" t="inlineStr">
        <is>
          <t>Студент2.8</t>
        </is>
      </c>
      <c r="B658" s="4" t="inlineStr"/>
      <c r="C658" s="4" t="n"/>
      <c r="D658" s="4" t="n"/>
      <c r="E658" s="4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</row>
    <row r="659">
      <c r="A659" s="4" t="inlineStr">
        <is>
          <t>Студент2.9</t>
        </is>
      </c>
      <c r="B659" s="4" t="inlineStr"/>
      <c r="C659" s="4" t="n"/>
      <c r="D659" s="4" t="n"/>
      <c r="E659" s="4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4" t="inlineStr">
        <is>
          <t>Студент2.10</t>
        </is>
      </c>
      <c r="B660" s="4" t="inlineStr"/>
      <c r="C660" s="4" t="n"/>
      <c r="D660" s="4" t="n"/>
      <c r="E660" s="4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</row>
    <row r="661">
      <c r="A661" s="4" t="inlineStr">
        <is>
          <t>Студент2.11</t>
        </is>
      </c>
      <c r="B661" s="4" t="inlineStr"/>
      <c r="C661" s="4" t="n"/>
      <c r="D661" s="4" t="n"/>
      <c r="E661" s="4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4" t="inlineStr">
        <is>
          <t>Студент2.12</t>
        </is>
      </c>
      <c r="B662" s="4" t="inlineStr"/>
      <c r="C662" s="4" t="n"/>
      <c r="D662" s="4" t="n"/>
      <c r="E662" s="4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</row>
    <row r="663">
      <c r="A663" s="4" t="inlineStr">
        <is>
          <t>Студент2.13</t>
        </is>
      </c>
      <c r="B663" s="4" t="inlineStr"/>
      <c r="C663" s="4" t="n"/>
      <c r="D663" s="4" t="n"/>
      <c r="E663" s="4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4" t="inlineStr">
        <is>
          <t>Студент2.14</t>
        </is>
      </c>
      <c r="B664" s="4" t="inlineStr"/>
      <c r="C664" s="4" t="n"/>
      <c r="D664" s="4" t="n"/>
      <c r="E664" s="4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</row>
    <row r="665">
      <c r="A665" s="4" t="inlineStr">
        <is>
          <t>Студент2.15</t>
        </is>
      </c>
      <c r="B665" s="4" t="inlineStr"/>
      <c r="C665" s="4" t="n"/>
      <c r="D665" s="4" t="n"/>
      <c r="E665" s="4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4" t="inlineStr">
        <is>
          <t>Студент2.16</t>
        </is>
      </c>
      <c r="B666" s="4" t="inlineStr"/>
      <c r="C666" s="4" t="n"/>
      <c r="D666" s="4" t="n"/>
      <c r="E666" s="4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</row>
    <row r="667">
      <c r="A667" s="4" t="inlineStr">
        <is>
          <t>Студент2.17</t>
        </is>
      </c>
      <c r="B667" s="4" t="inlineStr"/>
      <c r="C667" s="4" t="n"/>
      <c r="D667" s="4" t="n"/>
      <c r="E667" s="4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4" t="inlineStr">
        <is>
          <t>Студент2.18</t>
        </is>
      </c>
      <c r="B668" s="4" t="inlineStr"/>
      <c r="C668" s="4" t="n"/>
      <c r="D668" s="4" t="n"/>
      <c r="E668" s="4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</row>
    <row r="669">
      <c r="A669" s="4" t="inlineStr">
        <is>
          <t>Студент2.19</t>
        </is>
      </c>
      <c r="B669" s="4" t="inlineStr"/>
      <c r="C669" s="4" t="n"/>
      <c r="D669" s="4" t="n"/>
      <c r="E669" s="4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4" t="inlineStr">
        <is>
          <t>Студент2.20</t>
        </is>
      </c>
      <c r="B670" s="4" t="inlineStr"/>
      <c r="C670" s="4" t="n"/>
      <c r="D670" s="4" t="n"/>
      <c r="E670" s="4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</row>
    <row r="671">
      <c r="A671" s="4" t="inlineStr">
        <is>
          <t>Студент2.21</t>
        </is>
      </c>
      <c r="B671" s="4" t="inlineStr"/>
      <c r="C671" s="4" t="n"/>
      <c r="D671" s="4" t="n"/>
      <c r="E671" s="4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4" t="inlineStr">
        <is>
          <t>Студент2.22</t>
        </is>
      </c>
      <c r="B672" s="4" t="inlineStr"/>
      <c r="C672" s="4" t="n"/>
      <c r="D672" s="4" t="n"/>
      <c r="E672" s="4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</row>
    <row r="673">
      <c r="A673" s="4" t="inlineStr">
        <is>
          <t>Студент2.23</t>
        </is>
      </c>
      <c r="B673" s="4" t="inlineStr"/>
      <c r="C673" s="4" t="n"/>
      <c r="D673" s="4" t="n"/>
      <c r="E673" s="4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4" t="inlineStr">
        <is>
          <t>Студент2.24</t>
        </is>
      </c>
      <c r="B674" s="4" t="inlineStr"/>
      <c r="C674" s="4" t="n"/>
      <c r="D674" s="4" t="n"/>
      <c r="E674" s="4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</row>
    <row r="675">
      <c r="A675" s="4" t="inlineStr">
        <is>
          <t>Студент2.25</t>
        </is>
      </c>
      <c r="B675" s="4" t="inlineStr"/>
      <c r="C675" s="4" t="n"/>
      <c r="D675" s="4" t="n"/>
      <c r="E675" s="4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4" t="inlineStr">
        <is>
          <t>Студент2.26</t>
        </is>
      </c>
      <c r="B676" s="4" t="inlineStr"/>
      <c r="C676" s="4" t="n"/>
      <c r="D676" s="4" t="n"/>
      <c r="E676" s="4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</row>
    <row r="677">
      <c r="A677" s="4" t="inlineStr">
        <is>
          <t>Студент2.27</t>
        </is>
      </c>
      <c r="B677" s="4" t="inlineStr"/>
      <c r="C677" s="4" t="n"/>
      <c r="D677" s="4" t="n"/>
      <c r="E677" s="4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4" t="inlineStr">
        <is>
          <t>Студент2.28</t>
        </is>
      </c>
      <c r="B678" s="4" t="inlineStr"/>
      <c r="C678" s="4" t="n"/>
      <c r="D678" s="4" t="n"/>
      <c r="E678" s="4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</row>
    <row r="679">
      <c r="A679" s="4" t="inlineStr">
        <is>
          <t>Студент2.29</t>
        </is>
      </c>
      <c r="B679" s="4" t="inlineStr"/>
      <c r="C679" s="4" t="n"/>
      <c r="D679" s="4" t="n"/>
      <c r="E679" s="4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4" t="inlineStr">
        <is>
          <t>Студент2.30</t>
        </is>
      </c>
      <c r="B680" s="4" t="inlineStr"/>
      <c r="C680" s="4" t="n"/>
      <c r="D680" s="4" t="n"/>
      <c r="E680" s="4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</row>
    <row r="684">
      <c r="A684" s="17" t="inlineStr">
        <is>
          <t>Практика 11 — плюсы</t>
        </is>
      </c>
    </row>
    <row r="685" ht="28" customHeight="1">
      <c r="A685" s="9" t="inlineStr">
        <is>
          <t>Имя</t>
        </is>
      </c>
      <c r="B685" s="11" t="inlineStr">
        <is>
          <t>TG</t>
        </is>
      </c>
      <c r="C685" s="12" t="inlineStr">
        <is>
          <t>S</t>
        </is>
      </c>
      <c r="D685" s="10" t="inlineStr">
        <is>
          <t>Коэффициент</t>
        </is>
      </c>
      <c r="E685" s="18" t="inlineStr">
        <is>
          <t>D за практику</t>
        </is>
      </c>
      <c r="F685" s="13" t="inlineStr">
        <is>
          <t>1.0</t>
        </is>
      </c>
      <c r="G685" s="13" t="inlineStr">
        <is>
          <t>2.0</t>
        </is>
      </c>
      <c r="H685" s="13" t="inlineStr">
        <is>
          <t>3.0</t>
        </is>
      </c>
      <c r="I685" s="13" t="inlineStr">
        <is>
          <t>4.0</t>
        </is>
      </c>
      <c r="J685" s="13" t="inlineStr">
        <is>
          <t>5.0</t>
        </is>
      </c>
      <c r="K685" s="13" t="inlineStr">
        <is>
          <t>6</t>
        </is>
      </c>
      <c r="L685" s="13" t="inlineStr">
        <is>
          <t>7</t>
        </is>
      </c>
      <c r="M685" s="13" t="inlineStr">
        <is>
          <t>8</t>
        </is>
      </c>
      <c r="N685" s="13" t="inlineStr">
        <is>
          <t>9</t>
        </is>
      </c>
      <c r="O685" s="13" t="inlineStr">
        <is>
          <t>10</t>
        </is>
      </c>
      <c r="P685" s="13" t="inlineStr">
        <is>
          <t>11</t>
        </is>
      </c>
      <c r="Q685" s="13" t="inlineStr">
        <is>
          <t>12</t>
        </is>
      </c>
      <c r="R685" s="13" t="inlineStr">
        <is>
          <t>13</t>
        </is>
      </c>
      <c r="S685" s="13" t="inlineStr">
        <is>
          <t>14</t>
        </is>
      </c>
      <c r="T685" s="13" t="inlineStr">
        <is>
          <t>15</t>
        </is>
      </c>
      <c r="U685" s="13" t="inlineStr">
        <is>
          <t>16</t>
        </is>
      </c>
      <c r="V685" s="13" t="inlineStr">
        <is>
          <t>17</t>
        </is>
      </c>
      <c r="W685" s="13" t="inlineStr">
        <is>
          <t>18</t>
        </is>
      </c>
      <c r="X685" s="13" t="inlineStr">
        <is>
          <t>19</t>
        </is>
      </c>
      <c r="Y685" s="13" t="inlineStr">
        <is>
          <t>20</t>
        </is>
      </c>
      <c r="Z685" s="13" t="inlineStr">
        <is>
          <t>21</t>
        </is>
      </c>
      <c r="AA685" s="13" t="inlineStr">
        <is>
          <t>22</t>
        </is>
      </c>
      <c r="AB685" s="13" t="inlineStr">
        <is>
          <t>23</t>
        </is>
      </c>
      <c r="AC685" s="13" t="inlineStr">
        <is>
          <t>24</t>
        </is>
      </c>
      <c r="AD685" s="13" t="inlineStr">
        <is>
          <t>25</t>
        </is>
      </c>
      <c r="AE685" s="13" t="inlineStr">
        <is>
          <t>26</t>
        </is>
      </c>
      <c r="AF685" s="13" t="inlineStr">
        <is>
          <t>27</t>
        </is>
      </c>
      <c r="AG685" s="13" t="inlineStr">
        <is>
          <t>28</t>
        </is>
      </c>
      <c r="AH685" s="13" t="inlineStr">
        <is>
          <t>29</t>
        </is>
      </c>
      <c r="AI685" s="13" t="inlineStr">
        <is>
          <t>30</t>
        </is>
      </c>
    </row>
    <row r="686">
      <c r="A686" s="4" t="inlineStr">
        <is>
          <t>Студент2.1</t>
        </is>
      </c>
      <c r="B686" s="4" t="inlineStr"/>
      <c r="C686" s="4">
        <f>IF(A686="","",COUNTIF(F686:AI686,"+")+COUNTIF(F686:AI686,"1"))</f>
        <v/>
      </c>
      <c r="D686" s="4">
        <f>IF(A686="","",IF(C686&gt;2*COUNTA(F$685:AI$685)/3,'Общий'!$M$11,IF(C686&gt;=COUNTA(F$685:AI$685)/2,'Общий'!$M$12,'Общий'!$M$13)))</f>
        <v/>
      </c>
      <c r="E686" s="4">
        <f>IF(A686="","",SUMIFS('Логи'!$H$7:$H$3006,'Логи'!$A$7:$A$3006,11,'Логи'!$B$7:$B$3006,2,'Логи'!$C$7:$C$3006,A686))</f>
        <v/>
      </c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</row>
    <row r="687">
      <c r="A687" s="4" t="inlineStr">
        <is>
          <t>Студент2.2</t>
        </is>
      </c>
      <c r="B687" s="4" t="inlineStr"/>
      <c r="C687" s="4">
        <f>IF(A687="","",COUNTIF(F687:AI687,"+")+COUNTIF(F687:AI687,"1"))</f>
        <v/>
      </c>
      <c r="D687" s="4">
        <f>IF(A687="","",IF(C687&gt;2*COUNTA(F$685:AI$685)/3,'Общий'!$M$11,IF(C687&gt;=COUNTA(F$685:AI$685)/2,'Общий'!$M$12,'Общий'!$M$13)))</f>
        <v/>
      </c>
      <c r="E687" s="4">
        <f>IF(A687="","",SUMIFS('Логи'!$H$7:$H$3006,'Логи'!$A$7:$A$3006,11,'Логи'!$B$7:$B$3006,2,'Логи'!$C$7:$C$3006,A687))</f>
        <v/>
      </c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4" t="inlineStr">
        <is>
          <t>Студент2.3</t>
        </is>
      </c>
      <c r="B688" s="4" t="inlineStr"/>
      <c r="C688" s="4">
        <f>IF(A688="","",COUNTIF(F688:AI688,"+")+COUNTIF(F688:AI688,"1"))</f>
        <v/>
      </c>
      <c r="D688" s="4">
        <f>IF(A688="","",IF(C688&gt;2*COUNTA(F$685:AI$685)/3,'Общий'!$M$11,IF(C688&gt;=COUNTA(F$685:AI$685)/2,'Общий'!$M$12,'Общий'!$M$13)))</f>
        <v/>
      </c>
      <c r="E688" s="4">
        <f>IF(A688="","",SUMIFS('Логи'!$H$7:$H$3006,'Логи'!$A$7:$A$3006,11,'Логи'!$B$7:$B$3006,2,'Логи'!$C$7:$C$3006,A688))</f>
        <v/>
      </c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</row>
    <row r="689">
      <c r="A689" s="4" t="inlineStr">
        <is>
          <t>Студент2.4</t>
        </is>
      </c>
      <c r="B689" s="4" t="inlineStr"/>
      <c r="C689" s="4">
        <f>IF(A689="","",COUNTIF(F689:AI689,"+")+COUNTIF(F689:AI689,"1"))</f>
        <v/>
      </c>
      <c r="D689" s="4">
        <f>IF(A689="","",IF(C689&gt;2*COUNTA(F$685:AI$685)/3,'Общий'!$M$11,IF(C689&gt;=COUNTA(F$685:AI$685)/2,'Общий'!$M$12,'Общий'!$M$13)))</f>
        <v/>
      </c>
      <c r="E689" s="4">
        <f>IF(A689="","",SUMIFS('Логи'!$H$7:$H$3006,'Логи'!$A$7:$A$3006,11,'Логи'!$B$7:$B$3006,2,'Логи'!$C$7:$C$3006,A689))</f>
        <v/>
      </c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4" t="inlineStr">
        <is>
          <t>Студент2.5</t>
        </is>
      </c>
      <c r="B690" s="4" t="inlineStr"/>
      <c r="C690" s="4">
        <f>IF(A690="","",COUNTIF(F690:AI690,"+")+COUNTIF(F690:AI690,"1"))</f>
        <v/>
      </c>
      <c r="D690" s="4">
        <f>IF(A690="","",IF(C690&gt;2*COUNTA(F$685:AI$685)/3,'Общий'!$M$11,IF(C690&gt;=COUNTA(F$685:AI$685)/2,'Общий'!$M$12,'Общий'!$M$13)))</f>
        <v/>
      </c>
      <c r="E690" s="4">
        <f>IF(A690="","",SUMIFS('Логи'!$H$7:$H$3006,'Логи'!$A$7:$A$3006,11,'Логи'!$B$7:$B$3006,2,'Логи'!$C$7:$C$3006,A690))</f>
        <v/>
      </c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</row>
    <row r="691">
      <c r="A691" s="4" t="inlineStr">
        <is>
          <t>Студент2.6</t>
        </is>
      </c>
      <c r="B691" s="4" t="inlineStr"/>
      <c r="C691" s="4">
        <f>IF(A691="","",COUNTIF(F691:AI691,"+")+COUNTIF(F691:AI691,"1"))</f>
        <v/>
      </c>
      <c r="D691" s="4">
        <f>IF(A691="","",IF(C691&gt;2*COUNTA(F$685:AI$685)/3,'Общий'!$M$11,IF(C691&gt;=COUNTA(F$685:AI$685)/2,'Общий'!$M$12,'Общий'!$M$13)))</f>
        <v/>
      </c>
      <c r="E691" s="4">
        <f>IF(A691="","",SUMIFS('Логи'!$H$7:$H$3006,'Логи'!$A$7:$A$3006,11,'Логи'!$B$7:$B$3006,2,'Логи'!$C$7:$C$3006,A691))</f>
        <v/>
      </c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4" t="inlineStr">
        <is>
          <t>Студент2.7</t>
        </is>
      </c>
      <c r="B692" s="4" t="inlineStr"/>
      <c r="C692" s="4">
        <f>IF(A692="","",COUNTIF(F692:AI692,"+")+COUNTIF(F692:AI692,"1"))</f>
        <v/>
      </c>
      <c r="D692" s="4">
        <f>IF(A692="","",IF(C692&gt;2*COUNTA(F$685:AI$685)/3,'Общий'!$M$11,IF(C692&gt;=COUNTA(F$685:AI$685)/2,'Общий'!$M$12,'Общий'!$M$13)))</f>
        <v/>
      </c>
      <c r="E692" s="4">
        <f>IF(A692="","",SUMIFS('Логи'!$H$7:$H$3006,'Логи'!$A$7:$A$3006,11,'Логи'!$B$7:$B$3006,2,'Логи'!$C$7:$C$3006,A692))</f>
        <v/>
      </c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</row>
    <row r="693">
      <c r="A693" s="4" t="inlineStr">
        <is>
          <t>Студент2.8</t>
        </is>
      </c>
      <c r="B693" s="4" t="inlineStr"/>
      <c r="C693" s="4">
        <f>IF(A693="","",COUNTIF(F693:AI693,"+")+COUNTIF(F693:AI693,"1"))</f>
        <v/>
      </c>
      <c r="D693" s="4">
        <f>IF(A693="","",IF(C693&gt;2*COUNTA(F$685:AI$685)/3,'Общий'!$M$11,IF(C693&gt;=COUNTA(F$685:AI$685)/2,'Общий'!$M$12,'Общий'!$M$13)))</f>
        <v/>
      </c>
      <c r="E693" s="4">
        <f>IF(A693="","",SUMIFS('Логи'!$H$7:$H$3006,'Логи'!$A$7:$A$3006,11,'Логи'!$B$7:$B$3006,2,'Логи'!$C$7:$C$3006,A693))</f>
        <v/>
      </c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4" t="inlineStr">
        <is>
          <t>Студент2.9</t>
        </is>
      </c>
      <c r="B694" s="4" t="inlineStr"/>
      <c r="C694" s="4">
        <f>IF(A694="","",COUNTIF(F694:AI694,"+")+COUNTIF(F694:AI694,"1"))</f>
        <v/>
      </c>
      <c r="D694" s="4">
        <f>IF(A694="","",IF(C694&gt;2*COUNTA(F$685:AI$685)/3,'Общий'!$M$11,IF(C694&gt;=COUNTA(F$685:AI$685)/2,'Общий'!$M$12,'Общий'!$M$13)))</f>
        <v/>
      </c>
      <c r="E694" s="4">
        <f>IF(A694="","",SUMIFS('Логи'!$H$7:$H$3006,'Логи'!$A$7:$A$3006,11,'Логи'!$B$7:$B$3006,2,'Логи'!$C$7:$C$3006,A694))</f>
        <v/>
      </c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</row>
    <row r="695">
      <c r="A695" s="4" t="inlineStr">
        <is>
          <t>Студент2.10</t>
        </is>
      </c>
      <c r="B695" s="4" t="inlineStr"/>
      <c r="C695" s="4">
        <f>IF(A695="","",COUNTIF(F695:AI695,"+")+COUNTIF(F695:AI695,"1"))</f>
        <v/>
      </c>
      <c r="D695" s="4">
        <f>IF(A695="","",IF(C695&gt;2*COUNTA(F$685:AI$685)/3,'Общий'!$M$11,IF(C695&gt;=COUNTA(F$685:AI$685)/2,'Общий'!$M$12,'Общий'!$M$13)))</f>
        <v/>
      </c>
      <c r="E695" s="4">
        <f>IF(A695="","",SUMIFS('Логи'!$H$7:$H$3006,'Логи'!$A$7:$A$3006,11,'Логи'!$B$7:$B$3006,2,'Логи'!$C$7:$C$3006,A695))</f>
        <v/>
      </c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4" t="inlineStr">
        <is>
          <t>Студент2.11</t>
        </is>
      </c>
      <c r="B696" s="4" t="inlineStr"/>
      <c r="C696" s="4">
        <f>IF(A696="","",COUNTIF(F696:AI696,"+")+COUNTIF(F696:AI696,"1"))</f>
        <v/>
      </c>
      <c r="D696" s="4">
        <f>IF(A696="","",IF(C696&gt;2*COUNTA(F$685:AI$685)/3,'Общий'!$M$11,IF(C696&gt;=COUNTA(F$685:AI$685)/2,'Общий'!$M$12,'Общий'!$M$13)))</f>
        <v/>
      </c>
      <c r="E696" s="4">
        <f>IF(A696="","",SUMIFS('Логи'!$H$7:$H$3006,'Логи'!$A$7:$A$3006,11,'Логи'!$B$7:$B$3006,2,'Логи'!$C$7:$C$3006,A696))</f>
        <v/>
      </c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</row>
    <row r="697">
      <c r="A697" s="4" t="inlineStr">
        <is>
          <t>Студент2.12</t>
        </is>
      </c>
      <c r="B697" s="4" t="inlineStr"/>
      <c r="C697" s="4">
        <f>IF(A697="","",COUNTIF(F697:AI697,"+")+COUNTIF(F697:AI697,"1"))</f>
        <v/>
      </c>
      <c r="D697" s="4">
        <f>IF(A697="","",IF(C697&gt;2*COUNTA(F$685:AI$685)/3,'Общий'!$M$11,IF(C697&gt;=COUNTA(F$685:AI$685)/2,'Общий'!$M$12,'Общий'!$M$13)))</f>
        <v/>
      </c>
      <c r="E697" s="4">
        <f>IF(A697="","",SUMIFS('Логи'!$H$7:$H$3006,'Логи'!$A$7:$A$3006,11,'Логи'!$B$7:$B$3006,2,'Логи'!$C$7:$C$3006,A697))</f>
        <v/>
      </c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4" t="inlineStr">
        <is>
          <t>Студент2.13</t>
        </is>
      </c>
      <c r="B698" s="4" t="inlineStr"/>
      <c r="C698" s="4">
        <f>IF(A698="","",COUNTIF(F698:AI698,"+")+COUNTIF(F698:AI698,"1"))</f>
        <v/>
      </c>
      <c r="D698" s="4">
        <f>IF(A698="","",IF(C698&gt;2*COUNTA(F$685:AI$685)/3,'Общий'!$M$11,IF(C698&gt;=COUNTA(F$685:AI$685)/2,'Общий'!$M$12,'Общий'!$M$13)))</f>
        <v/>
      </c>
      <c r="E698" s="4">
        <f>IF(A698="","",SUMIFS('Логи'!$H$7:$H$3006,'Логи'!$A$7:$A$3006,11,'Логи'!$B$7:$B$3006,2,'Логи'!$C$7:$C$3006,A698))</f>
        <v/>
      </c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</row>
    <row r="699">
      <c r="A699" s="4" t="inlineStr">
        <is>
          <t>Студент2.14</t>
        </is>
      </c>
      <c r="B699" s="4" t="inlineStr"/>
      <c r="C699" s="4">
        <f>IF(A699="","",COUNTIF(F699:AI699,"+")+COUNTIF(F699:AI699,"1"))</f>
        <v/>
      </c>
      <c r="D699" s="4">
        <f>IF(A699="","",IF(C699&gt;2*COUNTA(F$685:AI$685)/3,'Общий'!$M$11,IF(C699&gt;=COUNTA(F$685:AI$685)/2,'Общий'!$M$12,'Общий'!$M$13)))</f>
        <v/>
      </c>
      <c r="E699" s="4">
        <f>IF(A699="","",SUMIFS('Логи'!$H$7:$H$3006,'Логи'!$A$7:$A$3006,11,'Логи'!$B$7:$B$3006,2,'Логи'!$C$7:$C$3006,A699))</f>
        <v/>
      </c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4" t="inlineStr">
        <is>
          <t>Студент2.15</t>
        </is>
      </c>
      <c r="B700" s="4" t="inlineStr"/>
      <c r="C700" s="4">
        <f>IF(A700="","",COUNTIF(F700:AI700,"+")+COUNTIF(F700:AI700,"1"))</f>
        <v/>
      </c>
      <c r="D700" s="4">
        <f>IF(A700="","",IF(C700&gt;2*COUNTA(F$685:AI$685)/3,'Общий'!$M$11,IF(C700&gt;=COUNTA(F$685:AI$685)/2,'Общий'!$M$12,'Общий'!$M$13)))</f>
        <v/>
      </c>
      <c r="E700" s="4">
        <f>IF(A700="","",SUMIFS('Логи'!$H$7:$H$3006,'Логи'!$A$7:$A$3006,11,'Логи'!$B$7:$B$3006,2,'Логи'!$C$7:$C$3006,A700))</f>
        <v/>
      </c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</row>
    <row r="701">
      <c r="A701" s="4" t="inlineStr">
        <is>
          <t>Студент2.16</t>
        </is>
      </c>
      <c r="B701" s="4" t="inlineStr"/>
      <c r="C701" s="4">
        <f>IF(A701="","",COUNTIF(F701:AI701,"+")+COUNTIF(F701:AI701,"1"))</f>
        <v/>
      </c>
      <c r="D701" s="4">
        <f>IF(A701="","",IF(C701&gt;2*COUNTA(F$685:AI$685)/3,'Общий'!$M$11,IF(C701&gt;=COUNTA(F$685:AI$685)/2,'Общий'!$M$12,'Общий'!$M$13)))</f>
        <v/>
      </c>
      <c r="E701" s="4">
        <f>IF(A701="","",SUMIFS('Логи'!$H$7:$H$3006,'Логи'!$A$7:$A$3006,11,'Логи'!$B$7:$B$3006,2,'Логи'!$C$7:$C$3006,A701))</f>
        <v/>
      </c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4" t="inlineStr">
        <is>
          <t>Студент2.17</t>
        </is>
      </c>
      <c r="B702" s="4" t="inlineStr"/>
      <c r="C702" s="4">
        <f>IF(A702="","",COUNTIF(F702:AI702,"+")+COUNTIF(F702:AI702,"1"))</f>
        <v/>
      </c>
      <c r="D702" s="4">
        <f>IF(A702="","",IF(C702&gt;2*COUNTA(F$685:AI$685)/3,'Общий'!$M$11,IF(C702&gt;=COUNTA(F$685:AI$685)/2,'Общий'!$M$12,'Общий'!$M$13)))</f>
        <v/>
      </c>
      <c r="E702" s="4">
        <f>IF(A702="","",SUMIFS('Логи'!$H$7:$H$3006,'Логи'!$A$7:$A$3006,11,'Логи'!$B$7:$B$3006,2,'Логи'!$C$7:$C$3006,A702))</f>
        <v/>
      </c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</row>
    <row r="703">
      <c r="A703" s="4" t="inlineStr">
        <is>
          <t>Студент2.18</t>
        </is>
      </c>
      <c r="B703" s="4" t="inlineStr"/>
      <c r="C703" s="4">
        <f>IF(A703="","",COUNTIF(F703:AI703,"+")+COUNTIF(F703:AI703,"1"))</f>
        <v/>
      </c>
      <c r="D703" s="4">
        <f>IF(A703="","",IF(C703&gt;2*COUNTA(F$685:AI$685)/3,'Общий'!$M$11,IF(C703&gt;=COUNTA(F$685:AI$685)/2,'Общий'!$M$12,'Общий'!$M$13)))</f>
        <v/>
      </c>
      <c r="E703" s="4">
        <f>IF(A703="","",SUMIFS('Логи'!$H$7:$H$3006,'Логи'!$A$7:$A$3006,11,'Логи'!$B$7:$B$3006,2,'Логи'!$C$7:$C$3006,A703))</f>
        <v/>
      </c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4" t="inlineStr">
        <is>
          <t>Студент2.19</t>
        </is>
      </c>
      <c r="B704" s="4" t="inlineStr"/>
      <c r="C704" s="4">
        <f>IF(A704="","",COUNTIF(F704:AI704,"+")+COUNTIF(F704:AI704,"1"))</f>
        <v/>
      </c>
      <c r="D704" s="4">
        <f>IF(A704="","",IF(C704&gt;2*COUNTA(F$685:AI$685)/3,'Общий'!$M$11,IF(C704&gt;=COUNTA(F$685:AI$685)/2,'Общий'!$M$12,'Общий'!$M$13)))</f>
        <v/>
      </c>
      <c r="E704" s="4">
        <f>IF(A704="","",SUMIFS('Логи'!$H$7:$H$3006,'Логи'!$A$7:$A$3006,11,'Логи'!$B$7:$B$3006,2,'Логи'!$C$7:$C$3006,A704))</f>
        <v/>
      </c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</row>
    <row r="705">
      <c r="A705" s="4" t="inlineStr">
        <is>
          <t>Студент2.20</t>
        </is>
      </c>
      <c r="B705" s="4" t="inlineStr"/>
      <c r="C705" s="4">
        <f>IF(A705="","",COUNTIF(F705:AI705,"+")+COUNTIF(F705:AI705,"1"))</f>
        <v/>
      </c>
      <c r="D705" s="4">
        <f>IF(A705="","",IF(C705&gt;2*COUNTA(F$685:AI$685)/3,'Общий'!$M$11,IF(C705&gt;=COUNTA(F$685:AI$685)/2,'Общий'!$M$12,'Общий'!$M$13)))</f>
        <v/>
      </c>
      <c r="E705" s="4">
        <f>IF(A705="","",SUMIFS('Логи'!$H$7:$H$3006,'Логи'!$A$7:$A$3006,11,'Логи'!$B$7:$B$3006,2,'Логи'!$C$7:$C$3006,A705))</f>
        <v/>
      </c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4" t="inlineStr">
        <is>
          <t>Студент2.21</t>
        </is>
      </c>
      <c r="B706" s="4" t="inlineStr"/>
      <c r="C706" s="4">
        <f>IF(A706="","",COUNTIF(F706:AI706,"+")+COUNTIF(F706:AI706,"1"))</f>
        <v/>
      </c>
      <c r="D706" s="4">
        <f>IF(A706="","",IF(C706&gt;2*COUNTA(F$685:AI$685)/3,'Общий'!$M$11,IF(C706&gt;=COUNTA(F$685:AI$685)/2,'Общий'!$M$12,'Общий'!$M$13)))</f>
        <v/>
      </c>
      <c r="E706" s="4">
        <f>IF(A706="","",SUMIFS('Логи'!$H$7:$H$3006,'Логи'!$A$7:$A$3006,11,'Логи'!$B$7:$B$3006,2,'Логи'!$C$7:$C$3006,A706))</f>
        <v/>
      </c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</row>
    <row r="707">
      <c r="A707" s="4" t="inlineStr">
        <is>
          <t>Студент2.22</t>
        </is>
      </c>
      <c r="B707" s="4" t="inlineStr"/>
      <c r="C707" s="4">
        <f>IF(A707="","",COUNTIF(F707:AI707,"+")+COUNTIF(F707:AI707,"1"))</f>
        <v/>
      </c>
      <c r="D707" s="4">
        <f>IF(A707="","",IF(C707&gt;2*COUNTA(F$685:AI$685)/3,'Общий'!$M$11,IF(C707&gt;=COUNTA(F$685:AI$685)/2,'Общий'!$M$12,'Общий'!$M$13)))</f>
        <v/>
      </c>
      <c r="E707" s="4">
        <f>IF(A707="","",SUMIFS('Логи'!$H$7:$H$3006,'Логи'!$A$7:$A$3006,11,'Логи'!$B$7:$B$3006,2,'Логи'!$C$7:$C$3006,A707))</f>
        <v/>
      </c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4" t="inlineStr">
        <is>
          <t>Студент2.23</t>
        </is>
      </c>
      <c r="B708" s="4" t="inlineStr"/>
      <c r="C708" s="4">
        <f>IF(A708="","",COUNTIF(F708:AI708,"+")+COUNTIF(F708:AI708,"1"))</f>
        <v/>
      </c>
      <c r="D708" s="4">
        <f>IF(A708="","",IF(C708&gt;2*COUNTA(F$685:AI$685)/3,'Общий'!$M$11,IF(C708&gt;=COUNTA(F$685:AI$685)/2,'Общий'!$M$12,'Общий'!$M$13)))</f>
        <v/>
      </c>
      <c r="E708" s="4">
        <f>IF(A708="","",SUMIFS('Логи'!$H$7:$H$3006,'Логи'!$A$7:$A$3006,11,'Логи'!$B$7:$B$3006,2,'Логи'!$C$7:$C$3006,A708))</f>
        <v/>
      </c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</row>
    <row r="709">
      <c r="A709" s="4" t="inlineStr">
        <is>
          <t>Студент2.24</t>
        </is>
      </c>
      <c r="B709" s="4" t="inlineStr"/>
      <c r="C709" s="4">
        <f>IF(A709="","",COUNTIF(F709:AI709,"+")+COUNTIF(F709:AI709,"1"))</f>
        <v/>
      </c>
      <c r="D709" s="4">
        <f>IF(A709="","",IF(C709&gt;2*COUNTA(F$685:AI$685)/3,'Общий'!$M$11,IF(C709&gt;=COUNTA(F$685:AI$685)/2,'Общий'!$M$12,'Общий'!$M$13)))</f>
        <v/>
      </c>
      <c r="E709" s="4">
        <f>IF(A709="","",SUMIFS('Логи'!$H$7:$H$3006,'Логи'!$A$7:$A$3006,11,'Логи'!$B$7:$B$3006,2,'Логи'!$C$7:$C$3006,A709))</f>
        <v/>
      </c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4" t="inlineStr">
        <is>
          <t>Студент2.25</t>
        </is>
      </c>
      <c r="B710" s="4" t="inlineStr"/>
      <c r="C710" s="4">
        <f>IF(A710="","",COUNTIF(F710:AI710,"+")+COUNTIF(F710:AI710,"1"))</f>
        <v/>
      </c>
      <c r="D710" s="4">
        <f>IF(A710="","",IF(C710&gt;2*COUNTA(F$685:AI$685)/3,'Общий'!$M$11,IF(C710&gt;=COUNTA(F$685:AI$685)/2,'Общий'!$M$12,'Общий'!$M$13)))</f>
        <v/>
      </c>
      <c r="E710" s="4">
        <f>IF(A710="","",SUMIFS('Логи'!$H$7:$H$3006,'Логи'!$A$7:$A$3006,11,'Логи'!$B$7:$B$3006,2,'Логи'!$C$7:$C$3006,A710))</f>
        <v/>
      </c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</row>
    <row r="711">
      <c r="A711" s="4" t="inlineStr">
        <is>
          <t>Студент2.26</t>
        </is>
      </c>
      <c r="B711" s="4" t="inlineStr"/>
      <c r="C711" s="4">
        <f>IF(A711="","",COUNTIF(F711:AI711,"+")+COUNTIF(F711:AI711,"1"))</f>
        <v/>
      </c>
      <c r="D711" s="4">
        <f>IF(A711="","",IF(C711&gt;2*COUNTA(F$685:AI$685)/3,'Общий'!$M$11,IF(C711&gt;=COUNTA(F$685:AI$685)/2,'Общий'!$M$12,'Общий'!$M$13)))</f>
        <v/>
      </c>
      <c r="E711" s="4">
        <f>IF(A711="","",SUMIFS('Логи'!$H$7:$H$3006,'Логи'!$A$7:$A$3006,11,'Логи'!$B$7:$B$3006,2,'Логи'!$C$7:$C$3006,A711))</f>
        <v/>
      </c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4" t="inlineStr">
        <is>
          <t>Студент2.27</t>
        </is>
      </c>
      <c r="B712" s="4" t="inlineStr"/>
      <c r="C712" s="4">
        <f>IF(A712="","",COUNTIF(F712:AI712,"+")+COUNTIF(F712:AI712,"1"))</f>
        <v/>
      </c>
      <c r="D712" s="4">
        <f>IF(A712="","",IF(C712&gt;2*COUNTA(F$685:AI$685)/3,'Общий'!$M$11,IF(C712&gt;=COUNTA(F$685:AI$685)/2,'Общий'!$M$12,'Общий'!$M$13)))</f>
        <v/>
      </c>
      <c r="E712" s="4">
        <f>IF(A712="","",SUMIFS('Логи'!$H$7:$H$3006,'Логи'!$A$7:$A$3006,11,'Логи'!$B$7:$B$3006,2,'Логи'!$C$7:$C$3006,A712))</f>
        <v/>
      </c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</row>
    <row r="713">
      <c r="A713" s="4" t="inlineStr">
        <is>
          <t>Студент2.28</t>
        </is>
      </c>
      <c r="B713" s="4" t="inlineStr"/>
      <c r="C713" s="4">
        <f>IF(A713="","",COUNTIF(F713:AI713,"+")+COUNTIF(F713:AI713,"1"))</f>
        <v/>
      </c>
      <c r="D713" s="4">
        <f>IF(A713="","",IF(C713&gt;2*COUNTA(F$685:AI$685)/3,'Общий'!$M$11,IF(C713&gt;=COUNTA(F$685:AI$685)/2,'Общий'!$M$12,'Общий'!$M$13)))</f>
        <v/>
      </c>
      <c r="E713" s="4">
        <f>IF(A713="","",SUMIFS('Логи'!$H$7:$H$3006,'Логи'!$A$7:$A$3006,11,'Логи'!$B$7:$B$3006,2,'Логи'!$C$7:$C$3006,A713))</f>
        <v/>
      </c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4" t="inlineStr">
        <is>
          <t>Студент2.29</t>
        </is>
      </c>
      <c r="B714" s="4" t="inlineStr"/>
      <c r="C714" s="4">
        <f>IF(A714="","",COUNTIF(F714:AI714,"+")+COUNTIF(F714:AI714,"1"))</f>
        <v/>
      </c>
      <c r="D714" s="4">
        <f>IF(A714="","",IF(C714&gt;2*COUNTA(F$685:AI$685)/3,'Общий'!$M$11,IF(C714&gt;=COUNTA(F$685:AI$685)/2,'Общий'!$M$12,'Общий'!$M$13)))</f>
        <v/>
      </c>
      <c r="E714" s="4">
        <f>IF(A714="","",SUMIFS('Логи'!$H$7:$H$3006,'Логи'!$A$7:$A$3006,11,'Логи'!$B$7:$B$3006,2,'Логи'!$C$7:$C$3006,A714))</f>
        <v/>
      </c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</row>
    <row r="715">
      <c r="A715" s="4" t="inlineStr">
        <is>
          <t>Студент2.30</t>
        </is>
      </c>
      <c r="B715" s="4" t="inlineStr"/>
      <c r="C715" s="4">
        <f>IF(A715="","",COUNTIF(F715:AI715,"+")+COUNTIF(F715:AI715,"1"))</f>
        <v/>
      </c>
      <c r="D715" s="4">
        <f>IF(A715="","",IF(C715&gt;2*COUNTA(F$685:AI$685)/3,'Общий'!$M$11,IF(C715&gt;=COUNTA(F$685:AI$685)/2,'Общий'!$M$12,'Общий'!$M$13)))</f>
        <v/>
      </c>
      <c r="E715" s="4">
        <f>IF(A715="","",SUMIFS('Логи'!$H$7:$H$3006,'Логи'!$A$7:$A$3006,11,'Логи'!$B$7:$B$3006,2,'Логи'!$C$7:$C$3006,A715))</f>
        <v/>
      </c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7">
      <c r="A717" s="19" t="inlineStr">
        <is>
          <t>Практика 11 — результаты рассказа</t>
        </is>
      </c>
    </row>
    <row r="718" ht="28" customHeight="1">
      <c r="A718" s="9" t="inlineStr">
        <is>
          <t>Имя</t>
        </is>
      </c>
      <c r="B718" s="11" t="inlineStr">
        <is>
          <t>TG</t>
        </is>
      </c>
      <c r="C718" s="12" t="inlineStr"/>
      <c r="D718" s="3" t="inlineStr"/>
      <c r="E718" s="3" t="inlineStr"/>
      <c r="F718" s="13" t="inlineStr">
        <is>
          <t>1.0</t>
        </is>
      </c>
      <c r="G718" s="13" t="inlineStr">
        <is>
          <t>2.0</t>
        </is>
      </c>
      <c r="H718" s="13" t="inlineStr">
        <is>
          <t>3.0</t>
        </is>
      </c>
      <c r="I718" s="13" t="inlineStr">
        <is>
          <t>4.0</t>
        </is>
      </c>
      <c r="J718" s="13" t="inlineStr">
        <is>
          <t>5.0</t>
        </is>
      </c>
      <c r="K718" s="13" t="inlineStr">
        <is>
          <t>6</t>
        </is>
      </c>
      <c r="L718" s="13" t="inlineStr">
        <is>
          <t>7</t>
        </is>
      </c>
      <c r="M718" s="13" t="inlineStr">
        <is>
          <t>8</t>
        </is>
      </c>
      <c r="N718" s="13" t="inlineStr">
        <is>
          <t>9</t>
        </is>
      </c>
      <c r="O718" s="13" t="inlineStr">
        <is>
          <t>10</t>
        </is>
      </c>
      <c r="P718" s="13" t="inlineStr">
        <is>
          <t>11</t>
        </is>
      </c>
      <c r="Q718" s="13" t="inlineStr">
        <is>
          <t>12</t>
        </is>
      </c>
      <c r="R718" s="13" t="inlineStr">
        <is>
          <t>13</t>
        </is>
      </c>
      <c r="S718" s="13" t="inlineStr">
        <is>
          <t>14</t>
        </is>
      </c>
      <c r="T718" s="13" t="inlineStr">
        <is>
          <t>15</t>
        </is>
      </c>
      <c r="U718" s="13" t="inlineStr">
        <is>
          <t>16</t>
        </is>
      </c>
      <c r="V718" s="13" t="inlineStr">
        <is>
          <t>17</t>
        </is>
      </c>
      <c r="W718" s="13" t="inlineStr">
        <is>
          <t>18</t>
        </is>
      </c>
      <c r="X718" s="13" t="inlineStr">
        <is>
          <t>19</t>
        </is>
      </c>
      <c r="Y718" s="13" t="inlineStr">
        <is>
          <t>20</t>
        </is>
      </c>
      <c r="Z718" s="13" t="inlineStr">
        <is>
          <t>21</t>
        </is>
      </c>
      <c r="AA718" s="13" t="inlineStr">
        <is>
          <t>22</t>
        </is>
      </c>
      <c r="AB718" s="13" t="inlineStr">
        <is>
          <t>23</t>
        </is>
      </c>
      <c r="AC718" s="13" t="inlineStr">
        <is>
          <t>24</t>
        </is>
      </c>
      <c r="AD718" s="13" t="inlineStr">
        <is>
          <t>25</t>
        </is>
      </c>
      <c r="AE718" s="13" t="inlineStr">
        <is>
          <t>26</t>
        </is>
      </c>
      <c r="AF718" s="13" t="inlineStr">
        <is>
          <t>27</t>
        </is>
      </c>
      <c r="AG718" s="13" t="inlineStr">
        <is>
          <t>28</t>
        </is>
      </c>
      <c r="AH718" s="13" t="inlineStr">
        <is>
          <t>29</t>
        </is>
      </c>
      <c r="AI718" s="13" t="inlineStr">
        <is>
          <t>30</t>
        </is>
      </c>
    </row>
    <row r="719">
      <c r="A719" s="4" t="inlineStr">
        <is>
          <t>Студент2.1</t>
        </is>
      </c>
      <c r="B719" s="4" t="inlineStr"/>
      <c r="C719" s="4" t="n"/>
      <c r="D719" s="4" t="n"/>
      <c r="E719" s="4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4" t="inlineStr">
        <is>
          <t>Студент2.2</t>
        </is>
      </c>
      <c r="B720" s="4" t="inlineStr"/>
      <c r="C720" s="4" t="n"/>
      <c r="D720" s="4" t="n"/>
      <c r="E720" s="4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</row>
    <row r="721">
      <c r="A721" s="4" t="inlineStr">
        <is>
          <t>Студент2.3</t>
        </is>
      </c>
      <c r="B721" s="4" t="inlineStr"/>
      <c r="C721" s="4" t="n"/>
      <c r="D721" s="4" t="n"/>
      <c r="E721" s="4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4" t="inlineStr">
        <is>
          <t>Студент2.4</t>
        </is>
      </c>
      <c r="B722" s="4" t="inlineStr"/>
      <c r="C722" s="4" t="n"/>
      <c r="D722" s="4" t="n"/>
      <c r="E722" s="4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</row>
    <row r="723">
      <c r="A723" s="4" t="inlineStr">
        <is>
          <t>Студент2.5</t>
        </is>
      </c>
      <c r="B723" s="4" t="inlineStr"/>
      <c r="C723" s="4" t="n"/>
      <c r="D723" s="4" t="n"/>
      <c r="E723" s="4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4" t="inlineStr">
        <is>
          <t>Студент2.6</t>
        </is>
      </c>
      <c r="B724" s="4" t="inlineStr"/>
      <c r="C724" s="4" t="n"/>
      <c r="D724" s="4" t="n"/>
      <c r="E724" s="4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</row>
    <row r="725">
      <c r="A725" s="4" t="inlineStr">
        <is>
          <t>Студент2.7</t>
        </is>
      </c>
      <c r="B725" s="4" t="inlineStr"/>
      <c r="C725" s="4" t="n"/>
      <c r="D725" s="4" t="n"/>
      <c r="E725" s="4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4" t="inlineStr">
        <is>
          <t>Студент2.8</t>
        </is>
      </c>
      <c r="B726" s="4" t="inlineStr"/>
      <c r="C726" s="4" t="n"/>
      <c r="D726" s="4" t="n"/>
      <c r="E726" s="4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</row>
    <row r="727">
      <c r="A727" s="4" t="inlineStr">
        <is>
          <t>Студент2.9</t>
        </is>
      </c>
      <c r="B727" s="4" t="inlineStr"/>
      <c r="C727" s="4" t="n"/>
      <c r="D727" s="4" t="n"/>
      <c r="E727" s="4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4" t="inlineStr">
        <is>
          <t>Студент2.10</t>
        </is>
      </c>
      <c r="B728" s="4" t="inlineStr"/>
      <c r="C728" s="4" t="n"/>
      <c r="D728" s="4" t="n"/>
      <c r="E728" s="4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</row>
    <row r="729">
      <c r="A729" s="4" t="inlineStr">
        <is>
          <t>Студент2.11</t>
        </is>
      </c>
      <c r="B729" s="4" t="inlineStr"/>
      <c r="C729" s="4" t="n"/>
      <c r="D729" s="4" t="n"/>
      <c r="E729" s="4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4" t="inlineStr">
        <is>
          <t>Студент2.12</t>
        </is>
      </c>
      <c r="B730" s="4" t="inlineStr"/>
      <c r="C730" s="4" t="n"/>
      <c r="D730" s="4" t="n"/>
      <c r="E730" s="4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</row>
    <row r="731">
      <c r="A731" s="4" t="inlineStr">
        <is>
          <t>Студент2.13</t>
        </is>
      </c>
      <c r="B731" s="4" t="inlineStr"/>
      <c r="C731" s="4" t="n"/>
      <c r="D731" s="4" t="n"/>
      <c r="E731" s="4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4" t="inlineStr">
        <is>
          <t>Студент2.14</t>
        </is>
      </c>
      <c r="B732" s="4" t="inlineStr"/>
      <c r="C732" s="4" t="n"/>
      <c r="D732" s="4" t="n"/>
      <c r="E732" s="4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</row>
    <row r="733">
      <c r="A733" s="4" t="inlineStr">
        <is>
          <t>Студент2.15</t>
        </is>
      </c>
      <c r="B733" s="4" t="inlineStr"/>
      <c r="C733" s="4" t="n"/>
      <c r="D733" s="4" t="n"/>
      <c r="E733" s="4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4" t="inlineStr">
        <is>
          <t>Студент2.16</t>
        </is>
      </c>
      <c r="B734" s="4" t="inlineStr"/>
      <c r="C734" s="4" t="n"/>
      <c r="D734" s="4" t="n"/>
      <c r="E734" s="4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</row>
    <row r="735">
      <c r="A735" s="4" t="inlineStr">
        <is>
          <t>Студент2.17</t>
        </is>
      </c>
      <c r="B735" s="4" t="inlineStr"/>
      <c r="C735" s="4" t="n"/>
      <c r="D735" s="4" t="n"/>
      <c r="E735" s="4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4" t="inlineStr">
        <is>
          <t>Студент2.18</t>
        </is>
      </c>
      <c r="B736" s="4" t="inlineStr"/>
      <c r="C736" s="4" t="n"/>
      <c r="D736" s="4" t="n"/>
      <c r="E736" s="4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</row>
    <row r="737">
      <c r="A737" s="4" t="inlineStr">
        <is>
          <t>Студент2.19</t>
        </is>
      </c>
      <c r="B737" s="4" t="inlineStr"/>
      <c r="C737" s="4" t="n"/>
      <c r="D737" s="4" t="n"/>
      <c r="E737" s="4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4" t="inlineStr">
        <is>
          <t>Студент2.20</t>
        </is>
      </c>
      <c r="B738" s="4" t="inlineStr"/>
      <c r="C738" s="4" t="n"/>
      <c r="D738" s="4" t="n"/>
      <c r="E738" s="4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</row>
    <row r="739">
      <c r="A739" s="4" t="inlineStr">
        <is>
          <t>Студент2.21</t>
        </is>
      </c>
      <c r="B739" s="4" t="inlineStr"/>
      <c r="C739" s="4" t="n"/>
      <c r="D739" s="4" t="n"/>
      <c r="E739" s="4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4" t="inlineStr">
        <is>
          <t>Студент2.22</t>
        </is>
      </c>
      <c r="B740" s="4" t="inlineStr"/>
      <c r="C740" s="4" t="n"/>
      <c r="D740" s="4" t="n"/>
      <c r="E740" s="4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</row>
    <row r="741">
      <c r="A741" s="4" t="inlineStr">
        <is>
          <t>Студент2.23</t>
        </is>
      </c>
      <c r="B741" s="4" t="inlineStr"/>
      <c r="C741" s="4" t="n"/>
      <c r="D741" s="4" t="n"/>
      <c r="E741" s="4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4" t="inlineStr">
        <is>
          <t>Студент2.24</t>
        </is>
      </c>
      <c r="B742" s="4" t="inlineStr"/>
      <c r="C742" s="4" t="n"/>
      <c r="D742" s="4" t="n"/>
      <c r="E742" s="4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</row>
    <row r="743">
      <c r="A743" s="4" t="inlineStr">
        <is>
          <t>Студент2.25</t>
        </is>
      </c>
      <c r="B743" s="4" t="inlineStr"/>
      <c r="C743" s="4" t="n"/>
      <c r="D743" s="4" t="n"/>
      <c r="E743" s="4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4" t="inlineStr">
        <is>
          <t>Студент2.26</t>
        </is>
      </c>
      <c r="B744" s="4" t="inlineStr"/>
      <c r="C744" s="4" t="n"/>
      <c r="D744" s="4" t="n"/>
      <c r="E744" s="4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</row>
    <row r="745">
      <c r="A745" s="4" t="inlineStr">
        <is>
          <t>Студент2.27</t>
        </is>
      </c>
      <c r="B745" s="4" t="inlineStr"/>
      <c r="C745" s="4" t="n"/>
      <c r="D745" s="4" t="n"/>
      <c r="E745" s="4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4" t="inlineStr">
        <is>
          <t>Студент2.28</t>
        </is>
      </c>
      <c r="B746" s="4" t="inlineStr"/>
      <c r="C746" s="4" t="n"/>
      <c r="D746" s="4" t="n"/>
      <c r="E746" s="4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</row>
    <row r="747">
      <c r="A747" s="4" t="inlineStr">
        <is>
          <t>Студент2.29</t>
        </is>
      </c>
      <c r="B747" s="4" t="inlineStr"/>
      <c r="C747" s="4" t="n"/>
      <c r="D747" s="4" t="n"/>
      <c r="E747" s="4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4" t="inlineStr">
        <is>
          <t>Студент2.30</t>
        </is>
      </c>
      <c r="B748" s="4" t="inlineStr"/>
      <c r="C748" s="4" t="n"/>
      <c r="D748" s="4" t="n"/>
      <c r="E748" s="4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</row>
    <row r="752">
      <c r="A752" s="17" t="inlineStr">
        <is>
          <t>Практика 12 — плюсы</t>
        </is>
      </c>
    </row>
    <row r="753" ht="28" customHeight="1">
      <c r="A753" s="9" t="inlineStr">
        <is>
          <t>Имя</t>
        </is>
      </c>
      <c r="B753" s="11" t="inlineStr">
        <is>
          <t>TG</t>
        </is>
      </c>
      <c r="C753" s="12" t="inlineStr">
        <is>
          <t>S</t>
        </is>
      </c>
      <c r="D753" s="10" t="inlineStr">
        <is>
          <t>Коэффициент</t>
        </is>
      </c>
      <c r="E753" s="18" t="inlineStr">
        <is>
          <t>D за практику</t>
        </is>
      </c>
      <c r="F753" s="13" t="inlineStr">
        <is>
          <t>1.0</t>
        </is>
      </c>
      <c r="G753" s="13" t="inlineStr">
        <is>
          <t>2.0</t>
        </is>
      </c>
      <c r="H753" s="13" t="inlineStr">
        <is>
          <t>3.0</t>
        </is>
      </c>
      <c r="I753" s="13" t="inlineStr">
        <is>
          <t>4.0</t>
        </is>
      </c>
      <c r="J753" s="13" t="inlineStr">
        <is>
          <t>5.0</t>
        </is>
      </c>
      <c r="K753" s="13" t="inlineStr">
        <is>
          <t>6</t>
        </is>
      </c>
      <c r="L753" s="13" t="inlineStr">
        <is>
          <t>7</t>
        </is>
      </c>
      <c r="M753" s="13" t="inlineStr">
        <is>
          <t>8</t>
        </is>
      </c>
      <c r="N753" s="13" t="inlineStr">
        <is>
          <t>9</t>
        </is>
      </c>
      <c r="O753" s="13" t="inlineStr">
        <is>
          <t>10</t>
        </is>
      </c>
      <c r="P753" s="13" t="inlineStr">
        <is>
          <t>11</t>
        </is>
      </c>
      <c r="Q753" s="13" t="inlineStr">
        <is>
          <t>12</t>
        </is>
      </c>
      <c r="R753" s="13" t="inlineStr">
        <is>
          <t>13</t>
        </is>
      </c>
      <c r="S753" s="13" t="inlineStr">
        <is>
          <t>14</t>
        </is>
      </c>
      <c r="T753" s="13" t="inlineStr">
        <is>
          <t>15</t>
        </is>
      </c>
      <c r="U753" s="13" t="inlineStr">
        <is>
          <t>16</t>
        </is>
      </c>
      <c r="V753" s="13" t="inlineStr">
        <is>
          <t>17</t>
        </is>
      </c>
      <c r="W753" s="13" t="inlineStr">
        <is>
          <t>18</t>
        </is>
      </c>
      <c r="X753" s="13" t="inlineStr">
        <is>
          <t>19</t>
        </is>
      </c>
      <c r="Y753" s="13" t="inlineStr">
        <is>
          <t>20</t>
        </is>
      </c>
      <c r="Z753" s="13" t="inlineStr">
        <is>
          <t>21</t>
        </is>
      </c>
      <c r="AA753" s="13" t="inlineStr">
        <is>
          <t>22</t>
        </is>
      </c>
      <c r="AB753" s="13" t="inlineStr">
        <is>
          <t>23</t>
        </is>
      </c>
      <c r="AC753" s="13" t="inlineStr">
        <is>
          <t>24</t>
        </is>
      </c>
      <c r="AD753" s="13" t="inlineStr">
        <is>
          <t>25</t>
        </is>
      </c>
      <c r="AE753" s="13" t="inlineStr">
        <is>
          <t>26</t>
        </is>
      </c>
      <c r="AF753" s="13" t="inlineStr">
        <is>
          <t>27</t>
        </is>
      </c>
      <c r="AG753" s="13" t="inlineStr">
        <is>
          <t>28</t>
        </is>
      </c>
      <c r="AH753" s="13" t="inlineStr">
        <is>
          <t>29</t>
        </is>
      </c>
      <c r="AI753" s="13" t="inlineStr">
        <is>
          <t>30</t>
        </is>
      </c>
    </row>
    <row r="754">
      <c r="A754" s="4" t="inlineStr">
        <is>
          <t>Студент2.1</t>
        </is>
      </c>
      <c r="B754" s="4" t="inlineStr"/>
      <c r="C754" s="4">
        <f>IF(A754="","",COUNTIF(F754:AI754,"+")+COUNTIF(F754:AI754,"1"))</f>
        <v/>
      </c>
      <c r="D754" s="4">
        <f>IF(A754="","",IF(C754&gt;2*COUNTA(F$753:AI$753)/3,'Общий'!$M$11,IF(C754&gt;=COUNTA(F$753:AI$753)/2,'Общий'!$M$12,'Общий'!$M$13)))</f>
        <v/>
      </c>
      <c r="E754" s="4">
        <f>IF(A754="","",SUMIFS('Логи'!$H$7:$H$3006,'Логи'!$A$7:$A$3006,12,'Логи'!$B$7:$B$3006,2,'Логи'!$C$7:$C$3006,A754))</f>
        <v/>
      </c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</row>
    <row r="755">
      <c r="A755" s="4" t="inlineStr">
        <is>
          <t>Студент2.2</t>
        </is>
      </c>
      <c r="B755" s="4" t="inlineStr"/>
      <c r="C755" s="4">
        <f>IF(A755="","",COUNTIF(F755:AI755,"+")+COUNTIF(F755:AI755,"1"))</f>
        <v/>
      </c>
      <c r="D755" s="4">
        <f>IF(A755="","",IF(C755&gt;2*COUNTA(F$753:AI$753)/3,'Общий'!$M$11,IF(C755&gt;=COUNTA(F$753:AI$753)/2,'Общий'!$M$12,'Общий'!$M$13)))</f>
        <v/>
      </c>
      <c r="E755" s="4">
        <f>IF(A755="","",SUMIFS('Логи'!$H$7:$H$3006,'Логи'!$A$7:$A$3006,12,'Логи'!$B$7:$B$3006,2,'Логи'!$C$7:$C$3006,A755))</f>
        <v/>
      </c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4" t="inlineStr">
        <is>
          <t>Студент2.3</t>
        </is>
      </c>
      <c r="B756" s="4" t="inlineStr"/>
      <c r="C756" s="4">
        <f>IF(A756="","",COUNTIF(F756:AI756,"+")+COUNTIF(F756:AI756,"1"))</f>
        <v/>
      </c>
      <c r="D756" s="4">
        <f>IF(A756="","",IF(C756&gt;2*COUNTA(F$753:AI$753)/3,'Общий'!$M$11,IF(C756&gt;=COUNTA(F$753:AI$753)/2,'Общий'!$M$12,'Общий'!$M$13)))</f>
        <v/>
      </c>
      <c r="E756" s="4">
        <f>IF(A756="","",SUMIFS('Логи'!$H$7:$H$3006,'Логи'!$A$7:$A$3006,12,'Логи'!$B$7:$B$3006,2,'Логи'!$C$7:$C$3006,A756))</f>
        <v/>
      </c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</row>
    <row r="757">
      <c r="A757" s="4" t="inlineStr">
        <is>
          <t>Студент2.4</t>
        </is>
      </c>
      <c r="B757" s="4" t="inlineStr"/>
      <c r="C757" s="4">
        <f>IF(A757="","",COUNTIF(F757:AI757,"+")+COUNTIF(F757:AI757,"1"))</f>
        <v/>
      </c>
      <c r="D757" s="4">
        <f>IF(A757="","",IF(C757&gt;2*COUNTA(F$753:AI$753)/3,'Общий'!$M$11,IF(C757&gt;=COUNTA(F$753:AI$753)/2,'Общий'!$M$12,'Общий'!$M$13)))</f>
        <v/>
      </c>
      <c r="E757" s="4">
        <f>IF(A757="","",SUMIFS('Логи'!$H$7:$H$3006,'Логи'!$A$7:$A$3006,12,'Логи'!$B$7:$B$3006,2,'Логи'!$C$7:$C$3006,A757))</f>
        <v/>
      </c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4" t="inlineStr">
        <is>
          <t>Студент2.5</t>
        </is>
      </c>
      <c r="B758" s="4" t="inlineStr"/>
      <c r="C758" s="4">
        <f>IF(A758="","",COUNTIF(F758:AI758,"+")+COUNTIF(F758:AI758,"1"))</f>
        <v/>
      </c>
      <c r="D758" s="4">
        <f>IF(A758="","",IF(C758&gt;2*COUNTA(F$753:AI$753)/3,'Общий'!$M$11,IF(C758&gt;=COUNTA(F$753:AI$753)/2,'Общий'!$M$12,'Общий'!$M$13)))</f>
        <v/>
      </c>
      <c r="E758" s="4">
        <f>IF(A758="","",SUMIFS('Логи'!$H$7:$H$3006,'Логи'!$A$7:$A$3006,12,'Логи'!$B$7:$B$3006,2,'Логи'!$C$7:$C$3006,A758))</f>
        <v/>
      </c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</row>
    <row r="759">
      <c r="A759" s="4" t="inlineStr">
        <is>
          <t>Студент2.6</t>
        </is>
      </c>
      <c r="B759" s="4" t="inlineStr"/>
      <c r="C759" s="4">
        <f>IF(A759="","",COUNTIF(F759:AI759,"+")+COUNTIF(F759:AI759,"1"))</f>
        <v/>
      </c>
      <c r="D759" s="4">
        <f>IF(A759="","",IF(C759&gt;2*COUNTA(F$753:AI$753)/3,'Общий'!$M$11,IF(C759&gt;=COUNTA(F$753:AI$753)/2,'Общий'!$M$12,'Общий'!$M$13)))</f>
        <v/>
      </c>
      <c r="E759" s="4">
        <f>IF(A759="","",SUMIFS('Логи'!$H$7:$H$3006,'Логи'!$A$7:$A$3006,12,'Логи'!$B$7:$B$3006,2,'Логи'!$C$7:$C$3006,A759))</f>
        <v/>
      </c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4" t="inlineStr">
        <is>
          <t>Студент2.7</t>
        </is>
      </c>
      <c r="B760" s="4" t="inlineStr"/>
      <c r="C760" s="4">
        <f>IF(A760="","",COUNTIF(F760:AI760,"+")+COUNTIF(F760:AI760,"1"))</f>
        <v/>
      </c>
      <c r="D760" s="4">
        <f>IF(A760="","",IF(C760&gt;2*COUNTA(F$753:AI$753)/3,'Общий'!$M$11,IF(C760&gt;=COUNTA(F$753:AI$753)/2,'Общий'!$M$12,'Общий'!$M$13)))</f>
        <v/>
      </c>
      <c r="E760" s="4">
        <f>IF(A760="","",SUMIFS('Логи'!$H$7:$H$3006,'Логи'!$A$7:$A$3006,12,'Логи'!$B$7:$B$3006,2,'Логи'!$C$7:$C$3006,A760))</f>
        <v/>
      </c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</row>
    <row r="761">
      <c r="A761" s="4" t="inlineStr">
        <is>
          <t>Студент2.8</t>
        </is>
      </c>
      <c r="B761" s="4" t="inlineStr"/>
      <c r="C761" s="4">
        <f>IF(A761="","",COUNTIF(F761:AI761,"+")+COUNTIF(F761:AI761,"1"))</f>
        <v/>
      </c>
      <c r="D761" s="4">
        <f>IF(A761="","",IF(C761&gt;2*COUNTA(F$753:AI$753)/3,'Общий'!$M$11,IF(C761&gt;=COUNTA(F$753:AI$753)/2,'Общий'!$M$12,'Общий'!$M$13)))</f>
        <v/>
      </c>
      <c r="E761" s="4">
        <f>IF(A761="","",SUMIFS('Логи'!$H$7:$H$3006,'Логи'!$A$7:$A$3006,12,'Логи'!$B$7:$B$3006,2,'Логи'!$C$7:$C$3006,A761))</f>
        <v/>
      </c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4" t="inlineStr">
        <is>
          <t>Студент2.9</t>
        </is>
      </c>
      <c r="B762" s="4" t="inlineStr"/>
      <c r="C762" s="4">
        <f>IF(A762="","",COUNTIF(F762:AI762,"+")+COUNTIF(F762:AI762,"1"))</f>
        <v/>
      </c>
      <c r="D762" s="4">
        <f>IF(A762="","",IF(C762&gt;2*COUNTA(F$753:AI$753)/3,'Общий'!$M$11,IF(C762&gt;=COUNTA(F$753:AI$753)/2,'Общий'!$M$12,'Общий'!$M$13)))</f>
        <v/>
      </c>
      <c r="E762" s="4">
        <f>IF(A762="","",SUMIFS('Логи'!$H$7:$H$3006,'Логи'!$A$7:$A$3006,12,'Логи'!$B$7:$B$3006,2,'Логи'!$C$7:$C$3006,A762))</f>
        <v/>
      </c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</row>
    <row r="763">
      <c r="A763" s="4" t="inlineStr">
        <is>
          <t>Студент2.10</t>
        </is>
      </c>
      <c r="B763" s="4" t="inlineStr"/>
      <c r="C763" s="4">
        <f>IF(A763="","",COUNTIF(F763:AI763,"+")+COUNTIF(F763:AI763,"1"))</f>
        <v/>
      </c>
      <c r="D763" s="4">
        <f>IF(A763="","",IF(C763&gt;2*COUNTA(F$753:AI$753)/3,'Общий'!$M$11,IF(C763&gt;=COUNTA(F$753:AI$753)/2,'Общий'!$M$12,'Общий'!$M$13)))</f>
        <v/>
      </c>
      <c r="E763" s="4">
        <f>IF(A763="","",SUMIFS('Логи'!$H$7:$H$3006,'Логи'!$A$7:$A$3006,12,'Логи'!$B$7:$B$3006,2,'Логи'!$C$7:$C$3006,A763))</f>
        <v/>
      </c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4" t="inlineStr">
        <is>
          <t>Студент2.11</t>
        </is>
      </c>
      <c r="B764" s="4" t="inlineStr"/>
      <c r="C764" s="4">
        <f>IF(A764="","",COUNTIF(F764:AI764,"+")+COUNTIF(F764:AI764,"1"))</f>
        <v/>
      </c>
      <c r="D764" s="4">
        <f>IF(A764="","",IF(C764&gt;2*COUNTA(F$753:AI$753)/3,'Общий'!$M$11,IF(C764&gt;=COUNTA(F$753:AI$753)/2,'Общий'!$M$12,'Общий'!$M$13)))</f>
        <v/>
      </c>
      <c r="E764" s="4">
        <f>IF(A764="","",SUMIFS('Логи'!$H$7:$H$3006,'Логи'!$A$7:$A$3006,12,'Логи'!$B$7:$B$3006,2,'Логи'!$C$7:$C$3006,A764))</f>
        <v/>
      </c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</row>
    <row r="765">
      <c r="A765" s="4" t="inlineStr">
        <is>
          <t>Студент2.12</t>
        </is>
      </c>
      <c r="B765" s="4" t="inlineStr"/>
      <c r="C765" s="4">
        <f>IF(A765="","",COUNTIF(F765:AI765,"+")+COUNTIF(F765:AI765,"1"))</f>
        <v/>
      </c>
      <c r="D765" s="4">
        <f>IF(A765="","",IF(C765&gt;2*COUNTA(F$753:AI$753)/3,'Общий'!$M$11,IF(C765&gt;=COUNTA(F$753:AI$753)/2,'Общий'!$M$12,'Общий'!$M$13)))</f>
        <v/>
      </c>
      <c r="E765" s="4">
        <f>IF(A765="","",SUMIFS('Логи'!$H$7:$H$3006,'Логи'!$A$7:$A$3006,12,'Логи'!$B$7:$B$3006,2,'Логи'!$C$7:$C$3006,A765))</f>
        <v/>
      </c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4" t="inlineStr">
        <is>
          <t>Студент2.13</t>
        </is>
      </c>
      <c r="B766" s="4" t="inlineStr"/>
      <c r="C766" s="4">
        <f>IF(A766="","",COUNTIF(F766:AI766,"+")+COUNTIF(F766:AI766,"1"))</f>
        <v/>
      </c>
      <c r="D766" s="4">
        <f>IF(A766="","",IF(C766&gt;2*COUNTA(F$753:AI$753)/3,'Общий'!$M$11,IF(C766&gt;=COUNTA(F$753:AI$753)/2,'Общий'!$M$12,'Общий'!$M$13)))</f>
        <v/>
      </c>
      <c r="E766" s="4">
        <f>IF(A766="","",SUMIFS('Логи'!$H$7:$H$3006,'Логи'!$A$7:$A$3006,12,'Логи'!$B$7:$B$3006,2,'Логи'!$C$7:$C$3006,A766))</f>
        <v/>
      </c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</row>
    <row r="767">
      <c r="A767" s="4" t="inlineStr">
        <is>
          <t>Студент2.14</t>
        </is>
      </c>
      <c r="B767" s="4" t="inlineStr"/>
      <c r="C767" s="4">
        <f>IF(A767="","",COUNTIF(F767:AI767,"+")+COUNTIF(F767:AI767,"1"))</f>
        <v/>
      </c>
      <c r="D767" s="4">
        <f>IF(A767="","",IF(C767&gt;2*COUNTA(F$753:AI$753)/3,'Общий'!$M$11,IF(C767&gt;=COUNTA(F$753:AI$753)/2,'Общий'!$M$12,'Общий'!$M$13)))</f>
        <v/>
      </c>
      <c r="E767" s="4">
        <f>IF(A767="","",SUMIFS('Логи'!$H$7:$H$3006,'Логи'!$A$7:$A$3006,12,'Логи'!$B$7:$B$3006,2,'Логи'!$C$7:$C$3006,A767))</f>
        <v/>
      </c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4" t="inlineStr">
        <is>
          <t>Студент2.15</t>
        </is>
      </c>
      <c r="B768" s="4" t="inlineStr"/>
      <c r="C768" s="4">
        <f>IF(A768="","",COUNTIF(F768:AI768,"+")+COUNTIF(F768:AI768,"1"))</f>
        <v/>
      </c>
      <c r="D768" s="4">
        <f>IF(A768="","",IF(C768&gt;2*COUNTA(F$753:AI$753)/3,'Общий'!$M$11,IF(C768&gt;=COUNTA(F$753:AI$753)/2,'Общий'!$M$12,'Общий'!$M$13)))</f>
        <v/>
      </c>
      <c r="E768" s="4">
        <f>IF(A768="","",SUMIFS('Логи'!$H$7:$H$3006,'Логи'!$A$7:$A$3006,12,'Логи'!$B$7:$B$3006,2,'Логи'!$C$7:$C$3006,A768))</f>
        <v/>
      </c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</row>
    <row r="769">
      <c r="A769" s="4" t="inlineStr">
        <is>
          <t>Студент2.16</t>
        </is>
      </c>
      <c r="B769" s="4" t="inlineStr"/>
      <c r="C769" s="4">
        <f>IF(A769="","",COUNTIF(F769:AI769,"+")+COUNTIF(F769:AI769,"1"))</f>
        <v/>
      </c>
      <c r="D769" s="4">
        <f>IF(A769="","",IF(C769&gt;2*COUNTA(F$753:AI$753)/3,'Общий'!$M$11,IF(C769&gt;=COUNTA(F$753:AI$753)/2,'Общий'!$M$12,'Общий'!$M$13)))</f>
        <v/>
      </c>
      <c r="E769" s="4">
        <f>IF(A769="","",SUMIFS('Логи'!$H$7:$H$3006,'Логи'!$A$7:$A$3006,12,'Логи'!$B$7:$B$3006,2,'Логи'!$C$7:$C$3006,A769))</f>
        <v/>
      </c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4" t="inlineStr">
        <is>
          <t>Студент2.17</t>
        </is>
      </c>
      <c r="B770" s="4" t="inlineStr"/>
      <c r="C770" s="4">
        <f>IF(A770="","",COUNTIF(F770:AI770,"+")+COUNTIF(F770:AI770,"1"))</f>
        <v/>
      </c>
      <c r="D770" s="4">
        <f>IF(A770="","",IF(C770&gt;2*COUNTA(F$753:AI$753)/3,'Общий'!$M$11,IF(C770&gt;=COUNTA(F$753:AI$753)/2,'Общий'!$M$12,'Общий'!$M$13)))</f>
        <v/>
      </c>
      <c r="E770" s="4">
        <f>IF(A770="","",SUMIFS('Логи'!$H$7:$H$3006,'Логи'!$A$7:$A$3006,12,'Логи'!$B$7:$B$3006,2,'Логи'!$C$7:$C$3006,A770))</f>
        <v/>
      </c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</row>
    <row r="771">
      <c r="A771" s="4" t="inlineStr">
        <is>
          <t>Студент2.18</t>
        </is>
      </c>
      <c r="B771" s="4" t="inlineStr"/>
      <c r="C771" s="4">
        <f>IF(A771="","",COUNTIF(F771:AI771,"+")+COUNTIF(F771:AI771,"1"))</f>
        <v/>
      </c>
      <c r="D771" s="4">
        <f>IF(A771="","",IF(C771&gt;2*COUNTA(F$753:AI$753)/3,'Общий'!$M$11,IF(C771&gt;=COUNTA(F$753:AI$753)/2,'Общий'!$M$12,'Общий'!$M$13)))</f>
        <v/>
      </c>
      <c r="E771" s="4">
        <f>IF(A771="","",SUMIFS('Логи'!$H$7:$H$3006,'Логи'!$A$7:$A$3006,12,'Логи'!$B$7:$B$3006,2,'Логи'!$C$7:$C$3006,A771))</f>
        <v/>
      </c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4" t="inlineStr">
        <is>
          <t>Студент2.19</t>
        </is>
      </c>
      <c r="B772" s="4" t="inlineStr"/>
      <c r="C772" s="4">
        <f>IF(A772="","",COUNTIF(F772:AI772,"+")+COUNTIF(F772:AI772,"1"))</f>
        <v/>
      </c>
      <c r="D772" s="4">
        <f>IF(A772="","",IF(C772&gt;2*COUNTA(F$753:AI$753)/3,'Общий'!$M$11,IF(C772&gt;=COUNTA(F$753:AI$753)/2,'Общий'!$M$12,'Общий'!$M$13)))</f>
        <v/>
      </c>
      <c r="E772" s="4">
        <f>IF(A772="","",SUMIFS('Логи'!$H$7:$H$3006,'Логи'!$A$7:$A$3006,12,'Логи'!$B$7:$B$3006,2,'Логи'!$C$7:$C$3006,A772))</f>
        <v/>
      </c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</row>
    <row r="773">
      <c r="A773" s="4" t="inlineStr">
        <is>
          <t>Студент2.20</t>
        </is>
      </c>
      <c r="B773" s="4" t="inlineStr"/>
      <c r="C773" s="4">
        <f>IF(A773="","",COUNTIF(F773:AI773,"+")+COUNTIF(F773:AI773,"1"))</f>
        <v/>
      </c>
      <c r="D773" s="4">
        <f>IF(A773="","",IF(C773&gt;2*COUNTA(F$753:AI$753)/3,'Общий'!$M$11,IF(C773&gt;=COUNTA(F$753:AI$753)/2,'Общий'!$M$12,'Общий'!$M$13)))</f>
        <v/>
      </c>
      <c r="E773" s="4">
        <f>IF(A773="","",SUMIFS('Логи'!$H$7:$H$3006,'Логи'!$A$7:$A$3006,12,'Логи'!$B$7:$B$3006,2,'Логи'!$C$7:$C$3006,A773))</f>
        <v/>
      </c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4" t="inlineStr">
        <is>
          <t>Студент2.21</t>
        </is>
      </c>
      <c r="B774" s="4" t="inlineStr"/>
      <c r="C774" s="4">
        <f>IF(A774="","",COUNTIF(F774:AI774,"+")+COUNTIF(F774:AI774,"1"))</f>
        <v/>
      </c>
      <c r="D774" s="4">
        <f>IF(A774="","",IF(C774&gt;2*COUNTA(F$753:AI$753)/3,'Общий'!$M$11,IF(C774&gt;=COUNTA(F$753:AI$753)/2,'Общий'!$M$12,'Общий'!$M$13)))</f>
        <v/>
      </c>
      <c r="E774" s="4">
        <f>IF(A774="","",SUMIFS('Логи'!$H$7:$H$3006,'Логи'!$A$7:$A$3006,12,'Логи'!$B$7:$B$3006,2,'Логи'!$C$7:$C$3006,A774))</f>
        <v/>
      </c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</row>
    <row r="775">
      <c r="A775" s="4" t="inlineStr">
        <is>
          <t>Студент2.22</t>
        </is>
      </c>
      <c r="B775" s="4" t="inlineStr"/>
      <c r="C775" s="4">
        <f>IF(A775="","",COUNTIF(F775:AI775,"+")+COUNTIF(F775:AI775,"1"))</f>
        <v/>
      </c>
      <c r="D775" s="4">
        <f>IF(A775="","",IF(C775&gt;2*COUNTA(F$753:AI$753)/3,'Общий'!$M$11,IF(C775&gt;=COUNTA(F$753:AI$753)/2,'Общий'!$M$12,'Общий'!$M$13)))</f>
        <v/>
      </c>
      <c r="E775" s="4">
        <f>IF(A775="","",SUMIFS('Логи'!$H$7:$H$3006,'Логи'!$A$7:$A$3006,12,'Логи'!$B$7:$B$3006,2,'Логи'!$C$7:$C$3006,A775))</f>
        <v/>
      </c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4" t="inlineStr">
        <is>
          <t>Студент2.23</t>
        </is>
      </c>
      <c r="B776" s="4" t="inlineStr"/>
      <c r="C776" s="4">
        <f>IF(A776="","",COUNTIF(F776:AI776,"+")+COUNTIF(F776:AI776,"1"))</f>
        <v/>
      </c>
      <c r="D776" s="4">
        <f>IF(A776="","",IF(C776&gt;2*COUNTA(F$753:AI$753)/3,'Общий'!$M$11,IF(C776&gt;=COUNTA(F$753:AI$753)/2,'Общий'!$M$12,'Общий'!$M$13)))</f>
        <v/>
      </c>
      <c r="E776" s="4">
        <f>IF(A776="","",SUMIFS('Логи'!$H$7:$H$3006,'Логи'!$A$7:$A$3006,12,'Логи'!$B$7:$B$3006,2,'Логи'!$C$7:$C$3006,A776))</f>
        <v/>
      </c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</row>
    <row r="777">
      <c r="A777" s="4" t="inlineStr">
        <is>
          <t>Студент2.24</t>
        </is>
      </c>
      <c r="B777" s="4" t="inlineStr"/>
      <c r="C777" s="4">
        <f>IF(A777="","",COUNTIF(F777:AI777,"+")+COUNTIF(F777:AI777,"1"))</f>
        <v/>
      </c>
      <c r="D777" s="4">
        <f>IF(A777="","",IF(C777&gt;2*COUNTA(F$753:AI$753)/3,'Общий'!$M$11,IF(C777&gt;=COUNTA(F$753:AI$753)/2,'Общий'!$M$12,'Общий'!$M$13)))</f>
        <v/>
      </c>
      <c r="E777" s="4">
        <f>IF(A777="","",SUMIFS('Логи'!$H$7:$H$3006,'Логи'!$A$7:$A$3006,12,'Логи'!$B$7:$B$3006,2,'Логи'!$C$7:$C$3006,A777))</f>
        <v/>
      </c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4" t="inlineStr">
        <is>
          <t>Студент2.25</t>
        </is>
      </c>
      <c r="B778" s="4" t="inlineStr"/>
      <c r="C778" s="4">
        <f>IF(A778="","",COUNTIF(F778:AI778,"+")+COUNTIF(F778:AI778,"1"))</f>
        <v/>
      </c>
      <c r="D778" s="4">
        <f>IF(A778="","",IF(C778&gt;2*COUNTA(F$753:AI$753)/3,'Общий'!$M$11,IF(C778&gt;=COUNTA(F$753:AI$753)/2,'Общий'!$M$12,'Общий'!$M$13)))</f>
        <v/>
      </c>
      <c r="E778" s="4">
        <f>IF(A778="","",SUMIFS('Логи'!$H$7:$H$3006,'Логи'!$A$7:$A$3006,12,'Логи'!$B$7:$B$3006,2,'Логи'!$C$7:$C$3006,A778))</f>
        <v/>
      </c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</row>
    <row r="779">
      <c r="A779" s="4" t="inlineStr">
        <is>
          <t>Студент2.26</t>
        </is>
      </c>
      <c r="B779" s="4" t="inlineStr"/>
      <c r="C779" s="4">
        <f>IF(A779="","",COUNTIF(F779:AI779,"+")+COUNTIF(F779:AI779,"1"))</f>
        <v/>
      </c>
      <c r="D779" s="4">
        <f>IF(A779="","",IF(C779&gt;2*COUNTA(F$753:AI$753)/3,'Общий'!$M$11,IF(C779&gt;=COUNTA(F$753:AI$753)/2,'Общий'!$M$12,'Общий'!$M$13)))</f>
        <v/>
      </c>
      <c r="E779" s="4">
        <f>IF(A779="","",SUMIFS('Логи'!$H$7:$H$3006,'Логи'!$A$7:$A$3006,12,'Логи'!$B$7:$B$3006,2,'Логи'!$C$7:$C$3006,A779))</f>
        <v/>
      </c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4" t="inlineStr">
        <is>
          <t>Студент2.27</t>
        </is>
      </c>
      <c r="B780" s="4" t="inlineStr"/>
      <c r="C780" s="4">
        <f>IF(A780="","",COUNTIF(F780:AI780,"+")+COUNTIF(F780:AI780,"1"))</f>
        <v/>
      </c>
      <c r="D780" s="4">
        <f>IF(A780="","",IF(C780&gt;2*COUNTA(F$753:AI$753)/3,'Общий'!$M$11,IF(C780&gt;=COUNTA(F$753:AI$753)/2,'Общий'!$M$12,'Общий'!$M$13)))</f>
        <v/>
      </c>
      <c r="E780" s="4">
        <f>IF(A780="","",SUMIFS('Логи'!$H$7:$H$3006,'Логи'!$A$7:$A$3006,12,'Логи'!$B$7:$B$3006,2,'Логи'!$C$7:$C$3006,A780))</f>
        <v/>
      </c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</row>
    <row r="781">
      <c r="A781" s="4" t="inlineStr">
        <is>
          <t>Студент2.28</t>
        </is>
      </c>
      <c r="B781" s="4" t="inlineStr"/>
      <c r="C781" s="4">
        <f>IF(A781="","",COUNTIF(F781:AI781,"+")+COUNTIF(F781:AI781,"1"))</f>
        <v/>
      </c>
      <c r="D781" s="4">
        <f>IF(A781="","",IF(C781&gt;2*COUNTA(F$753:AI$753)/3,'Общий'!$M$11,IF(C781&gt;=COUNTA(F$753:AI$753)/2,'Общий'!$M$12,'Общий'!$M$13)))</f>
        <v/>
      </c>
      <c r="E781" s="4">
        <f>IF(A781="","",SUMIFS('Логи'!$H$7:$H$3006,'Логи'!$A$7:$A$3006,12,'Логи'!$B$7:$B$3006,2,'Логи'!$C$7:$C$3006,A781))</f>
        <v/>
      </c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4" t="inlineStr">
        <is>
          <t>Студент2.29</t>
        </is>
      </c>
      <c r="B782" s="4" t="inlineStr"/>
      <c r="C782" s="4">
        <f>IF(A782="","",COUNTIF(F782:AI782,"+")+COUNTIF(F782:AI782,"1"))</f>
        <v/>
      </c>
      <c r="D782" s="4">
        <f>IF(A782="","",IF(C782&gt;2*COUNTA(F$753:AI$753)/3,'Общий'!$M$11,IF(C782&gt;=COUNTA(F$753:AI$753)/2,'Общий'!$M$12,'Общий'!$M$13)))</f>
        <v/>
      </c>
      <c r="E782" s="4">
        <f>IF(A782="","",SUMIFS('Логи'!$H$7:$H$3006,'Логи'!$A$7:$A$3006,12,'Логи'!$B$7:$B$3006,2,'Логи'!$C$7:$C$3006,A782))</f>
        <v/>
      </c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</row>
    <row r="783">
      <c r="A783" s="4" t="inlineStr">
        <is>
          <t>Студент2.30</t>
        </is>
      </c>
      <c r="B783" s="4" t="inlineStr"/>
      <c r="C783" s="4">
        <f>IF(A783="","",COUNTIF(F783:AI783,"+")+COUNTIF(F783:AI783,"1"))</f>
        <v/>
      </c>
      <c r="D783" s="4">
        <f>IF(A783="","",IF(C783&gt;2*COUNTA(F$753:AI$753)/3,'Общий'!$M$11,IF(C783&gt;=COUNTA(F$753:AI$753)/2,'Общий'!$M$12,'Общий'!$M$13)))</f>
        <v/>
      </c>
      <c r="E783" s="4">
        <f>IF(A783="","",SUMIFS('Логи'!$H$7:$H$3006,'Логи'!$A$7:$A$3006,12,'Логи'!$B$7:$B$3006,2,'Логи'!$C$7:$C$3006,A783))</f>
        <v/>
      </c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5">
      <c r="A785" s="19" t="inlineStr">
        <is>
          <t>Практика 12 — результаты рассказа</t>
        </is>
      </c>
    </row>
    <row r="786" ht="28" customHeight="1">
      <c r="A786" s="9" t="inlineStr">
        <is>
          <t>Имя</t>
        </is>
      </c>
      <c r="B786" s="11" t="inlineStr">
        <is>
          <t>TG</t>
        </is>
      </c>
      <c r="C786" s="12" t="inlineStr"/>
      <c r="D786" s="3" t="inlineStr"/>
      <c r="E786" s="3" t="inlineStr"/>
      <c r="F786" s="13" t="inlineStr">
        <is>
          <t>1.0</t>
        </is>
      </c>
      <c r="G786" s="13" t="inlineStr">
        <is>
          <t>2.0</t>
        </is>
      </c>
      <c r="H786" s="13" t="inlineStr">
        <is>
          <t>3.0</t>
        </is>
      </c>
      <c r="I786" s="13" t="inlineStr">
        <is>
          <t>4.0</t>
        </is>
      </c>
      <c r="J786" s="13" t="inlineStr">
        <is>
          <t>5.0</t>
        </is>
      </c>
      <c r="K786" s="13" t="inlineStr">
        <is>
          <t>6</t>
        </is>
      </c>
      <c r="L786" s="13" t="inlineStr">
        <is>
          <t>7</t>
        </is>
      </c>
      <c r="M786" s="13" t="inlineStr">
        <is>
          <t>8</t>
        </is>
      </c>
      <c r="N786" s="13" t="inlineStr">
        <is>
          <t>9</t>
        </is>
      </c>
      <c r="O786" s="13" t="inlineStr">
        <is>
          <t>10</t>
        </is>
      </c>
      <c r="P786" s="13" t="inlineStr">
        <is>
          <t>11</t>
        </is>
      </c>
      <c r="Q786" s="13" t="inlineStr">
        <is>
          <t>12</t>
        </is>
      </c>
      <c r="R786" s="13" t="inlineStr">
        <is>
          <t>13</t>
        </is>
      </c>
      <c r="S786" s="13" t="inlineStr">
        <is>
          <t>14</t>
        </is>
      </c>
      <c r="T786" s="13" t="inlineStr">
        <is>
          <t>15</t>
        </is>
      </c>
      <c r="U786" s="13" t="inlineStr">
        <is>
          <t>16</t>
        </is>
      </c>
      <c r="V786" s="13" t="inlineStr">
        <is>
          <t>17</t>
        </is>
      </c>
      <c r="W786" s="13" t="inlineStr">
        <is>
          <t>18</t>
        </is>
      </c>
      <c r="X786" s="13" t="inlineStr">
        <is>
          <t>19</t>
        </is>
      </c>
      <c r="Y786" s="13" t="inlineStr">
        <is>
          <t>20</t>
        </is>
      </c>
      <c r="Z786" s="13" t="inlineStr">
        <is>
          <t>21</t>
        </is>
      </c>
      <c r="AA786" s="13" t="inlineStr">
        <is>
          <t>22</t>
        </is>
      </c>
      <c r="AB786" s="13" t="inlineStr">
        <is>
          <t>23</t>
        </is>
      </c>
      <c r="AC786" s="13" t="inlineStr">
        <is>
          <t>24</t>
        </is>
      </c>
      <c r="AD786" s="13" t="inlineStr">
        <is>
          <t>25</t>
        </is>
      </c>
      <c r="AE786" s="13" t="inlineStr">
        <is>
          <t>26</t>
        </is>
      </c>
      <c r="AF786" s="13" t="inlineStr">
        <is>
          <t>27</t>
        </is>
      </c>
      <c r="AG786" s="13" t="inlineStr">
        <is>
          <t>28</t>
        </is>
      </c>
      <c r="AH786" s="13" t="inlineStr">
        <is>
          <t>29</t>
        </is>
      </c>
      <c r="AI786" s="13" t="inlineStr">
        <is>
          <t>30</t>
        </is>
      </c>
    </row>
    <row r="787">
      <c r="A787" s="4" t="inlineStr">
        <is>
          <t>Студент2.1</t>
        </is>
      </c>
      <c r="B787" s="4" t="inlineStr"/>
      <c r="C787" s="4" t="n"/>
      <c r="D787" s="4" t="n"/>
      <c r="E787" s="4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4" t="inlineStr">
        <is>
          <t>Студент2.2</t>
        </is>
      </c>
      <c r="B788" s="4" t="inlineStr"/>
      <c r="C788" s="4" t="n"/>
      <c r="D788" s="4" t="n"/>
      <c r="E788" s="4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</row>
    <row r="789">
      <c r="A789" s="4" t="inlineStr">
        <is>
          <t>Студент2.3</t>
        </is>
      </c>
      <c r="B789" s="4" t="inlineStr"/>
      <c r="C789" s="4" t="n"/>
      <c r="D789" s="4" t="n"/>
      <c r="E789" s="4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4" t="inlineStr">
        <is>
          <t>Студент2.4</t>
        </is>
      </c>
      <c r="B790" s="4" t="inlineStr"/>
      <c r="C790" s="4" t="n"/>
      <c r="D790" s="4" t="n"/>
      <c r="E790" s="4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</row>
    <row r="791">
      <c r="A791" s="4" t="inlineStr">
        <is>
          <t>Студент2.5</t>
        </is>
      </c>
      <c r="B791" s="4" t="inlineStr"/>
      <c r="C791" s="4" t="n"/>
      <c r="D791" s="4" t="n"/>
      <c r="E791" s="4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4" t="inlineStr">
        <is>
          <t>Студент2.6</t>
        </is>
      </c>
      <c r="B792" s="4" t="inlineStr"/>
      <c r="C792" s="4" t="n"/>
      <c r="D792" s="4" t="n"/>
      <c r="E792" s="4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</row>
    <row r="793">
      <c r="A793" s="4" t="inlineStr">
        <is>
          <t>Студент2.7</t>
        </is>
      </c>
      <c r="B793" s="4" t="inlineStr"/>
      <c r="C793" s="4" t="n"/>
      <c r="D793" s="4" t="n"/>
      <c r="E793" s="4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4" t="inlineStr">
        <is>
          <t>Студент2.8</t>
        </is>
      </c>
      <c r="B794" s="4" t="inlineStr"/>
      <c r="C794" s="4" t="n"/>
      <c r="D794" s="4" t="n"/>
      <c r="E794" s="4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</row>
    <row r="795">
      <c r="A795" s="4" t="inlineStr">
        <is>
          <t>Студент2.9</t>
        </is>
      </c>
      <c r="B795" s="4" t="inlineStr"/>
      <c r="C795" s="4" t="n"/>
      <c r="D795" s="4" t="n"/>
      <c r="E795" s="4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4" t="inlineStr">
        <is>
          <t>Студент2.10</t>
        </is>
      </c>
      <c r="B796" s="4" t="inlineStr"/>
      <c r="C796" s="4" t="n"/>
      <c r="D796" s="4" t="n"/>
      <c r="E796" s="4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</row>
    <row r="797">
      <c r="A797" s="4" t="inlineStr">
        <is>
          <t>Студент2.11</t>
        </is>
      </c>
      <c r="B797" s="4" t="inlineStr"/>
      <c r="C797" s="4" t="n"/>
      <c r="D797" s="4" t="n"/>
      <c r="E797" s="4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4" t="inlineStr">
        <is>
          <t>Студент2.12</t>
        </is>
      </c>
      <c r="B798" s="4" t="inlineStr"/>
      <c r="C798" s="4" t="n"/>
      <c r="D798" s="4" t="n"/>
      <c r="E798" s="4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</row>
    <row r="799">
      <c r="A799" s="4" t="inlineStr">
        <is>
          <t>Студент2.13</t>
        </is>
      </c>
      <c r="B799" s="4" t="inlineStr"/>
      <c r="C799" s="4" t="n"/>
      <c r="D799" s="4" t="n"/>
      <c r="E799" s="4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4" t="inlineStr">
        <is>
          <t>Студент2.14</t>
        </is>
      </c>
      <c r="B800" s="4" t="inlineStr"/>
      <c r="C800" s="4" t="n"/>
      <c r="D800" s="4" t="n"/>
      <c r="E800" s="4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</row>
    <row r="801">
      <c r="A801" s="4" t="inlineStr">
        <is>
          <t>Студент2.15</t>
        </is>
      </c>
      <c r="B801" s="4" t="inlineStr"/>
      <c r="C801" s="4" t="n"/>
      <c r="D801" s="4" t="n"/>
      <c r="E801" s="4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4" t="inlineStr">
        <is>
          <t>Студент2.16</t>
        </is>
      </c>
      <c r="B802" s="4" t="inlineStr"/>
      <c r="C802" s="4" t="n"/>
      <c r="D802" s="4" t="n"/>
      <c r="E802" s="4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</row>
    <row r="803">
      <c r="A803" s="4" t="inlineStr">
        <is>
          <t>Студент2.17</t>
        </is>
      </c>
      <c r="B803" s="4" t="inlineStr"/>
      <c r="C803" s="4" t="n"/>
      <c r="D803" s="4" t="n"/>
      <c r="E803" s="4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4" t="inlineStr">
        <is>
          <t>Студент2.18</t>
        </is>
      </c>
      <c r="B804" s="4" t="inlineStr"/>
      <c r="C804" s="4" t="n"/>
      <c r="D804" s="4" t="n"/>
      <c r="E804" s="4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</row>
    <row r="805">
      <c r="A805" s="4" t="inlineStr">
        <is>
          <t>Студент2.19</t>
        </is>
      </c>
      <c r="B805" s="4" t="inlineStr"/>
      <c r="C805" s="4" t="n"/>
      <c r="D805" s="4" t="n"/>
      <c r="E805" s="4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4" t="inlineStr">
        <is>
          <t>Студент2.20</t>
        </is>
      </c>
      <c r="B806" s="4" t="inlineStr"/>
      <c r="C806" s="4" t="n"/>
      <c r="D806" s="4" t="n"/>
      <c r="E806" s="4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</row>
    <row r="807">
      <c r="A807" s="4" t="inlineStr">
        <is>
          <t>Студент2.21</t>
        </is>
      </c>
      <c r="B807" s="4" t="inlineStr"/>
      <c r="C807" s="4" t="n"/>
      <c r="D807" s="4" t="n"/>
      <c r="E807" s="4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4" t="inlineStr">
        <is>
          <t>Студент2.22</t>
        </is>
      </c>
      <c r="B808" s="4" t="inlineStr"/>
      <c r="C808" s="4" t="n"/>
      <c r="D808" s="4" t="n"/>
      <c r="E808" s="4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</row>
    <row r="809">
      <c r="A809" s="4" t="inlineStr">
        <is>
          <t>Студент2.23</t>
        </is>
      </c>
      <c r="B809" s="4" t="inlineStr"/>
      <c r="C809" s="4" t="n"/>
      <c r="D809" s="4" t="n"/>
      <c r="E809" s="4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4" t="inlineStr">
        <is>
          <t>Студент2.24</t>
        </is>
      </c>
      <c r="B810" s="4" t="inlineStr"/>
      <c r="C810" s="4" t="n"/>
      <c r="D810" s="4" t="n"/>
      <c r="E810" s="4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</row>
    <row r="811">
      <c r="A811" s="4" t="inlineStr">
        <is>
          <t>Студент2.25</t>
        </is>
      </c>
      <c r="B811" s="4" t="inlineStr"/>
      <c r="C811" s="4" t="n"/>
      <c r="D811" s="4" t="n"/>
      <c r="E811" s="4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4" t="inlineStr">
        <is>
          <t>Студент2.26</t>
        </is>
      </c>
      <c r="B812" s="4" t="inlineStr"/>
      <c r="C812" s="4" t="n"/>
      <c r="D812" s="4" t="n"/>
      <c r="E812" s="4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</row>
    <row r="813">
      <c r="A813" s="4" t="inlineStr">
        <is>
          <t>Студент2.27</t>
        </is>
      </c>
      <c r="B813" s="4" t="inlineStr"/>
      <c r="C813" s="4" t="n"/>
      <c r="D813" s="4" t="n"/>
      <c r="E813" s="4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4" t="inlineStr">
        <is>
          <t>Студент2.28</t>
        </is>
      </c>
      <c r="B814" s="4" t="inlineStr"/>
      <c r="C814" s="4" t="n"/>
      <c r="D814" s="4" t="n"/>
      <c r="E814" s="4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</row>
    <row r="815">
      <c r="A815" s="4" t="inlineStr">
        <is>
          <t>Студент2.29</t>
        </is>
      </c>
      <c r="B815" s="4" t="inlineStr"/>
      <c r="C815" s="4" t="n"/>
      <c r="D815" s="4" t="n"/>
      <c r="E815" s="4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4" t="inlineStr">
        <is>
          <t>Студент2.30</t>
        </is>
      </c>
      <c r="B816" s="4" t="inlineStr"/>
      <c r="C816" s="4" t="n"/>
      <c r="D816" s="4" t="n"/>
      <c r="E816" s="4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</row>
    <row r="820">
      <c r="A820" s="17" t="inlineStr">
        <is>
          <t>Практика 13 — плюсы</t>
        </is>
      </c>
    </row>
    <row r="821" ht="28" customHeight="1">
      <c r="A821" s="9" t="inlineStr">
        <is>
          <t>Имя</t>
        </is>
      </c>
      <c r="B821" s="11" t="inlineStr">
        <is>
          <t>TG</t>
        </is>
      </c>
      <c r="C821" s="12" t="inlineStr">
        <is>
          <t>S</t>
        </is>
      </c>
      <c r="D821" s="10" t="inlineStr">
        <is>
          <t>Коэффициент</t>
        </is>
      </c>
      <c r="E821" s="18" t="inlineStr">
        <is>
          <t>D за практику</t>
        </is>
      </c>
      <c r="F821" s="13" t="inlineStr">
        <is>
          <t>1.0</t>
        </is>
      </c>
      <c r="G821" s="13" t="inlineStr">
        <is>
          <t>2.0</t>
        </is>
      </c>
      <c r="H821" s="13" t="inlineStr">
        <is>
          <t>3.0</t>
        </is>
      </c>
      <c r="I821" s="13" t="inlineStr">
        <is>
          <t>4.0</t>
        </is>
      </c>
      <c r="J821" s="13" t="inlineStr">
        <is>
          <t>5.0</t>
        </is>
      </c>
      <c r="K821" s="13" t="inlineStr">
        <is>
          <t>6</t>
        </is>
      </c>
      <c r="L821" s="13" t="inlineStr">
        <is>
          <t>7</t>
        </is>
      </c>
      <c r="M821" s="13" t="inlineStr">
        <is>
          <t>8</t>
        </is>
      </c>
      <c r="N821" s="13" t="inlineStr">
        <is>
          <t>9</t>
        </is>
      </c>
      <c r="O821" s="13" t="inlineStr">
        <is>
          <t>10</t>
        </is>
      </c>
      <c r="P821" s="13" t="inlineStr">
        <is>
          <t>11</t>
        </is>
      </c>
      <c r="Q821" s="13" t="inlineStr">
        <is>
          <t>12</t>
        </is>
      </c>
      <c r="R821" s="13" t="inlineStr">
        <is>
          <t>13</t>
        </is>
      </c>
      <c r="S821" s="13" t="inlineStr">
        <is>
          <t>14</t>
        </is>
      </c>
      <c r="T821" s="13" t="inlineStr">
        <is>
          <t>15</t>
        </is>
      </c>
      <c r="U821" s="13" t="inlineStr">
        <is>
          <t>16</t>
        </is>
      </c>
      <c r="V821" s="13" t="inlineStr">
        <is>
          <t>17</t>
        </is>
      </c>
      <c r="W821" s="13" t="inlineStr">
        <is>
          <t>18</t>
        </is>
      </c>
      <c r="X821" s="13" t="inlineStr">
        <is>
          <t>19</t>
        </is>
      </c>
      <c r="Y821" s="13" t="inlineStr">
        <is>
          <t>20</t>
        </is>
      </c>
      <c r="Z821" s="13" t="inlineStr">
        <is>
          <t>21</t>
        </is>
      </c>
      <c r="AA821" s="13" t="inlineStr">
        <is>
          <t>22</t>
        </is>
      </c>
      <c r="AB821" s="13" t="inlineStr">
        <is>
          <t>23</t>
        </is>
      </c>
      <c r="AC821" s="13" t="inlineStr">
        <is>
          <t>24</t>
        </is>
      </c>
      <c r="AD821" s="13" t="inlineStr">
        <is>
          <t>25</t>
        </is>
      </c>
      <c r="AE821" s="13" t="inlineStr">
        <is>
          <t>26</t>
        </is>
      </c>
      <c r="AF821" s="13" t="inlineStr">
        <is>
          <t>27</t>
        </is>
      </c>
      <c r="AG821" s="13" t="inlineStr">
        <is>
          <t>28</t>
        </is>
      </c>
      <c r="AH821" s="13" t="inlineStr">
        <is>
          <t>29</t>
        </is>
      </c>
      <c r="AI821" s="13" t="inlineStr">
        <is>
          <t>30</t>
        </is>
      </c>
    </row>
    <row r="822">
      <c r="A822" s="4" t="inlineStr">
        <is>
          <t>Студент2.1</t>
        </is>
      </c>
      <c r="B822" s="4" t="inlineStr"/>
      <c r="C822" s="4">
        <f>IF(A822="","",COUNTIF(F822:AI822,"+")+COUNTIF(F822:AI822,"1"))</f>
        <v/>
      </c>
      <c r="D822" s="4">
        <f>IF(A822="","",IF(C822&gt;2*COUNTA(F$821:AI$821)/3,'Общий'!$M$11,IF(C822&gt;=COUNTA(F$821:AI$821)/2,'Общий'!$M$12,'Общий'!$M$13)))</f>
        <v/>
      </c>
      <c r="E822" s="4">
        <f>IF(A822="","",SUMIFS('Логи'!$H$7:$H$3006,'Логи'!$A$7:$A$3006,13,'Логи'!$B$7:$B$3006,2,'Логи'!$C$7:$C$3006,A822))</f>
        <v/>
      </c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</row>
    <row r="823">
      <c r="A823" s="4" t="inlineStr">
        <is>
          <t>Студент2.2</t>
        </is>
      </c>
      <c r="B823" s="4" t="inlineStr"/>
      <c r="C823" s="4">
        <f>IF(A823="","",COUNTIF(F823:AI823,"+")+COUNTIF(F823:AI823,"1"))</f>
        <v/>
      </c>
      <c r="D823" s="4">
        <f>IF(A823="","",IF(C823&gt;2*COUNTA(F$821:AI$821)/3,'Общий'!$M$11,IF(C823&gt;=COUNTA(F$821:AI$821)/2,'Общий'!$M$12,'Общий'!$M$13)))</f>
        <v/>
      </c>
      <c r="E823" s="4">
        <f>IF(A823="","",SUMIFS('Логи'!$H$7:$H$3006,'Логи'!$A$7:$A$3006,13,'Логи'!$B$7:$B$3006,2,'Логи'!$C$7:$C$3006,A823))</f>
        <v/>
      </c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4" t="inlineStr">
        <is>
          <t>Студент2.3</t>
        </is>
      </c>
      <c r="B824" s="4" t="inlineStr"/>
      <c r="C824" s="4">
        <f>IF(A824="","",COUNTIF(F824:AI824,"+")+COUNTIF(F824:AI824,"1"))</f>
        <v/>
      </c>
      <c r="D824" s="4">
        <f>IF(A824="","",IF(C824&gt;2*COUNTA(F$821:AI$821)/3,'Общий'!$M$11,IF(C824&gt;=COUNTA(F$821:AI$821)/2,'Общий'!$M$12,'Общий'!$M$13)))</f>
        <v/>
      </c>
      <c r="E824" s="4">
        <f>IF(A824="","",SUMIFS('Логи'!$H$7:$H$3006,'Логи'!$A$7:$A$3006,13,'Логи'!$B$7:$B$3006,2,'Логи'!$C$7:$C$3006,A824))</f>
        <v/>
      </c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</row>
    <row r="825">
      <c r="A825" s="4" t="inlineStr">
        <is>
          <t>Студент2.4</t>
        </is>
      </c>
      <c r="B825" s="4" t="inlineStr"/>
      <c r="C825" s="4">
        <f>IF(A825="","",COUNTIF(F825:AI825,"+")+COUNTIF(F825:AI825,"1"))</f>
        <v/>
      </c>
      <c r="D825" s="4">
        <f>IF(A825="","",IF(C825&gt;2*COUNTA(F$821:AI$821)/3,'Общий'!$M$11,IF(C825&gt;=COUNTA(F$821:AI$821)/2,'Общий'!$M$12,'Общий'!$M$13)))</f>
        <v/>
      </c>
      <c r="E825" s="4">
        <f>IF(A825="","",SUMIFS('Логи'!$H$7:$H$3006,'Логи'!$A$7:$A$3006,13,'Логи'!$B$7:$B$3006,2,'Логи'!$C$7:$C$3006,A825))</f>
        <v/>
      </c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4" t="inlineStr">
        <is>
          <t>Студент2.5</t>
        </is>
      </c>
      <c r="B826" s="4" t="inlineStr"/>
      <c r="C826" s="4">
        <f>IF(A826="","",COUNTIF(F826:AI826,"+")+COUNTIF(F826:AI826,"1"))</f>
        <v/>
      </c>
      <c r="D826" s="4">
        <f>IF(A826="","",IF(C826&gt;2*COUNTA(F$821:AI$821)/3,'Общий'!$M$11,IF(C826&gt;=COUNTA(F$821:AI$821)/2,'Общий'!$M$12,'Общий'!$M$13)))</f>
        <v/>
      </c>
      <c r="E826" s="4">
        <f>IF(A826="","",SUMIFS('Логи'!$H$7:$H$3006,'Логи'!$A$7:$A$3006,13,'Логи'!$B$7:$B$3006,2,'Логи'!$C$7:$C$3006,A826))</f>
        <v/>
      </c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</row>
    <row r="827">
      <c r="A827" s="4" t="inlineStr">
        <is>
          <t>Студент2.6</t>
        </is>
      </c>
      <c r="B827" s="4" t="inlineStr"/>
      <c r="C827" s="4">
        <f>IF(A827="","",COUNTIF(F827:AI827,"+")+COUNTIF(F827:AI827,"1"))</f>
        <v/>
      </c>
      <c r="D827" s="4">
        <f>IF(A827="","",IF(C827&gt;2*COUNTA(F$821:AI$821)/3,'Общий'!$M$11,IF(C827&gt;=COUNTA(F$821:AI$821)/2,'Общий'!$M$12,'Общий'!$M$13)))</f>
        <v/>
      </c>
      <c r="E827" s="4">
        <f>IF(A827="","",SUMIFS('Логи'!$H$7:$H$3006,'Логи'!$A$7:$A$3006,13,'Логи'!$B$7:$B$3006,2,'Логи'!$C$7:$C$3006,A827))</f>
        <v/>
      </c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4" t="inlineStr">
        <is>
          <t>Студент2.7</t>
        </is>
      </c>
      <c r="B828" s="4" t="inlineStr"/>
      <c r="C828" s="4">
        <f>IF(A828="","",COUNTIF(F828:AI828,"+")+COUNTIF(F828:AI828,"1"))</f>
        <v/>
      </c>
      <c r="D828" s="4">
        <f>IF(A828="","",IF(C828&gt;2*COUNTA(F$821:AI$821)/3,'Общий'!$M$11,IF(C828&gt;=COUNTA(F$821:AI$821)/2,'Общий'!$M$12,'Общий'!$M$13)))</f>
        <v/>
      </c>
      <c r="E828" s="4">
        <f>IF(A828="","",SUMIFS('Логи'!$H$7:$H$3006,'Логи'!$A$7:$A$3006,13,'Логи'!$B$7:$B$3006,2,'Логи'!$C$7:$C$3006,A828))</f>
        <v/>
      </c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</row>
    <row r="829">
      <c r="A829" s="4" t="inlineStr">
        <is>
          <t>Студент2.8</t>
        </is>
      </c>
      <c r="B829" s="4" t="inlineStr"/>
      <c r="C829" s="4">
        <f>IF(A829="","",COUNTIF(F829:AI829,"+")+COUNTIF(F829:AI829,"1"))</f>
        <v/>
      </c>
      <c r="D829" s="4">
        <f>IF(A829="","",IF(C829&gt;2*COUNTA(F$821:AI$821)/3,'Общий'!$M$11,IF(C829&gt;=COUNTA(F$821:AI$821)/2,'Общий'!$M$12,'Общий'!$M$13)))</f>
        <v/>
      </c>
      <c r="E829" s="4">
        <f>IF(A829="","",SUMIFS('Логи'!$H$7:$H$3006,'Логи'!$A$7:$A$3006,13,'Логи'!$B$7:$B$3006,2,'Логи'!$C$7:$C$3006,A829))</f>
        <v/>
      </c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4" t="inlineStr">
        <is>
          <t>Студент2.9</t>
        </is>
      </c>
      <c r="B830" s="4" t="inlineStr"/>
      <c r="C830" s="4">
        <f>IF(A830="","",COUNTIF(F830:AI830,"+")+COUNTIF(F830:AI830,"1"))</f>
        <v/>
      </c>
      <c r="D830" s="4">
        <f>IF(A830="","",IF(C830&gt;2*COUNTA(F$821:AI$821)/3,'Общий'!$M$11,IF(C830&gt;=COUNTA(F$821:AI$821)/2,'Общий'!$M$12,'Общий'!$M$13)))</f>
        <v/>
      </c>
      <c r="E830" s="4">
        <f>IF(A830="","",SUMIFS('Логи'!$H$7:$H$3006,'Логи'!$A$7:$A$3006,13,'Логи'!$B$7:$B$3006,2,'Логи'!$C$7:$C$3006,A830))</f>
        <v/>
      </c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</row>
    <row r="831">
      <c r="A831" s="4" t="inlineStr">
        <is>
          <t>Студент2.10</t>
        </is>
      </c>
      <c r="B831" s="4" t="inlineStr"/>
      <c r="C831" s="4">
        <f>IF(A831="","",COUNTIF(F831:AI831,"+")+COUNTIF(F831:AI831,"1"))</f>
        <v/>
      </c>
      <c r="D831" s="4">
        <f>IF(A831="","",IF(C831&gt;2*COUNTA(F$821:AI$821)/3,'Общий'!$M$11,IF(C831&gt;=COUNTA(F$821:AI$821)/2,'Общий'!$M$12,'Общий'!$M$13)))</f>
        <v/>
      </c>
      <c r="E831" s="4">
        <f>IF(A831="","",SUMIFS('Логи'!$H$7:$H$3006,'Логи'!$A$7:$A$3006,13,'Логи'!$B$7:$B$3006,2,'Логи'!$C$7:$C$3006,A831))</f>
        <v/>
      </c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4" t="inlineStr">
        <is>
          <t>Студент2.11</t>
        </is>
      </c>
      <c r="B832" s="4" t="inlineStr"/>
      <c r="C832" s="4">
        <f>IF(A832="","",COUNTIF(F832:AI832,"+")+COUNTIF(F832:AI832,"1"))</f>
        <v/>
      </c>
      <c r="D832" s="4">
        <f>IF(A832="","",IF(C832&gt;2*COUNTA(F$821:AI$821)/3,'Общий'!$M$11,IF(C832&gt;=COUNTA(F$821:AI$821)/2,'Общий'!$M$12,'Общий'!$M$13)))</f>
        <v/>
      </c>
      <c r="E832" s="4">
        <f>IF(A832="","",SUMIFS('Логи'!$H$7:$H$3006,'Логи'!$A$7:$A$3006,13,'Логи'!$B$7:$B$3006,2,'Логи'!$C$7:$C$3006,A832))</f>
        <v/>
      </c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</row>
    <row r="833">
      <c r="A833" s="4" t="inlineStr">
        <is>
          <t>Студент2.12</t>
        </is>
      </c>
      <c r="B833" s="4" t="inlineStr"/>
      <c r="C833" s="4">
        <f>IF(A833="","",COUNTIF(F833:AI833,"+")+COUNTIF(F833:AI833,"1"))</f>
        <v/>
      </c>
      <c r="D833" s="4">
        <f>IF(A833="","",IF(C833&gt;2*COUNTA(F$821:AI$821)/3,'Общий'!$M$11,IF(C833&gt;=COUNTA(F$821:AI$821)/2,'Общий'!$M$12,'Общий'!$M$13)))</f>
        <v/>
      </c>
      <c r="E833" s="4">
        <f>IF(A833="","",SUMIFS('Логи'!$H$7:$H$3006,'Логи'!$A$7:$A$3006,13,'Логи'!$B$7:$B$3006,2,'Логи'!$C$7:$C$3006,A833))</f>
        <v/>
      </c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4" t="inlineStr">
        <is>
          <t>Студент2.13</t>
        </is>
      </c>
      <c r="B834" s="4" t="inlineStr"/>
      <c r="C834" s="4">
        <f>IF(A834="","",COUNTIF(F834:AI834,"+")+COUNTIF(F834:AI834,"1"))</f>
        <v/>
      </c>
      <c r="D834" s="4">
        <f>IF(A834="","",IF(C834&gt;2*COUNTA(F$821:AI$821)/3,'Общий'!$M$11,IF(C834&gt;=COUNTA(F$821:AI$821)/2,'Общий'!$M$12,'Общий'!$M$13)))</f>
        <v/>
      </c>
      <c r="E834" s="4">
        <f>IF(A834="","",SUMIFS('Логи'!$H$7:$H$3006,'Логи'!$A$7:$A$3006,13,'Логи'!$B$7:$B$3006,2,'Логи'!$C$7:$C$3006,A834))</f>
        <v/>
      </c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</row>
    <row r="835">
      <c r="A835" s="4" t="inlineStr">
        <is>
          <t>Студент2.14</t>
        </is>
      </c>
      <c r="B835" s="4" t="inlineStr"/>
      <c r="C835" s="4">
        <f>IF(A835="","",COUNTIF(F835:AI835,"+")+COUNTIF(F835:AI835,"1"))</f>
        <v/>
      </c>
      <c r="D835" s="4">
        <f>IF(A835="","",IF(C835&gt;2*COUNTA(F$821:AI$821)/3,'Общий'!$M$11,IF(C835&gt;=COUNTA(F$821:AI$821)/2,'Общий'!$M$12,'Общий'!$M$13)))</f>
        <v/>
      </c>
      <c r="E835" s="4">
        <f>IF(A835="","",SUMIFS('Логи'!$H$7:$H$3006,'Логи'!$A$7:$A$3006,13,'Логи'!$B$7:$B$3006,2,'Логи'!$C$7:$C$3006,A835))</f>
        <v/>
      </c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4" t="inlineStr">
        <is>
          <t>Студент2.15</t>
        </is>
      </c>
      <c r="B836" s="4" t="inlineStr"/>
      <c r="C836" s="4">
        <f>IF(A836="","",COUNTIF(F836:AI836,"+")+COUNTIF(F836:AI836,"1"))</f>
        <v/>
      </c>
      <c r="D836" s="4">
        <f>IF(A836="","",IF(C836&gt;2*COUNTA(F$821:AI$821)/3,'Общий'!$M$11,IF(C836&gt;=COUNTA(F$821:AI$821)/2,'Общий'!$M$12,'Общий'!$M$13)))</f>
        <v/>
      </c>
      <c r="E836" s="4">
        <f>IF(A836="","",SUMIFS('Логи'!$H$7:$H$3006,'Логи'!$A$7:$A$3006,13,'Логи'!$B$7:$B$3006,2,'Логи'!$C$7:$C$3006,A836))</f>
        <v/>
      </c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</row>
    <row r="837">
      <c r="A837" s="4" t="inlineStr">
        <is>
          <t>Студент2.16</t>
        </is>
      </c>
      <c r="B837" s="4" t="inlineStr"/>
      <c r="C837" s="4">
        <f>IF(A837="","",COUNTIF(F837:AI837,"+")+COUNTIF(F837:AI837,"1"))</f>
        <v/>
      </c>
      <c r="D837" s="4">
        <f>IF(A837="","",IF(C837&gt;2*COUNTA(F$821:AI$821)/3,'Общий'!$M$11,IF(C837&gt;=COUNTA(F$821:AI$821)/2,'Общий'!$M$12,'Общий'!$M$13)))</f>
        <v/>
      </c>
      <c r="E837" s="4">
        <f>IF(A837="","",SUMIFS('Логи'!$H$7:$H$3006,'Логи'!$A$7:$A$3006,13,'Логи'!$B$7:$B$3006,2,'Логи'!$C$7:$C$3006,A837))</f>
        <v/>
      </c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4" t="inlineStr">
        <is>
          <t>Студент2.17</t>
        </is>
      </c>
      <c r="B838" s="4" t="inlineStr"/>
      <c r="C838" s="4">
        <f>IF(A838="","",COUNTIF(F838:AI838,"+")+COUNTIF(F838:AI838,"1"))</f>
        <v/>
      </c>
      <c r="D838" s="4">
        <f>IF(A838="","",IF(C838&gt;2*COUNTA(F$821:AI$821)/3,'Общий'!$M$11,IF(C838&gt;=COUNTA(F$821:AI$821)/2,'Общий'!$M$12,'Общий'!$M$13)))</f>
        <v/>
      </c>
      <c r="E838" s="4">
        <f>IF(A838="","",SUMIFS('Логи'!$H$7:$H$3006,'Логи'!$A$7:$A$3006,13,'Логи'!$B$7:$B$3006,2,'Логи'!$C$7:$C$3006,A838))</f>
        <v/>
      </c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</row>
    <row r="839">
      <c r="A839" s="4" t="inlineStr">
        <is>
          <t>Студент2.18</t>
        </is>
      </c>
      <c r="B839" s="4" t="inlineStr"/>
      <c r="C839" s="4">
        <f>IF(A839="","",COUNTIF(F839:AI839,"+")+COUNTIF(F839:AI839,"1"))</f>
        <v/>
      </c>
      <c r="D839" s="4">
        <f>IF(A839="","",IF(C839&gt;2*COUNTA(F$821:AI$821)/3,'Общий'!$M$11,IF(C839&gt;=COUNTA(F$821:AI$821)/2,'Общий'!$M$12,'Общий'!$M$13)))</f>
        <v/>
      </c>
      <c r="E839" s="4">
        <f>IF(A839="","",SUMIFS('Логи'!$H$7:$H$3006,'Логи'!$A$7:$A$3006,13,'Логи'!$B$7:$B$3006,2,'Логи'!$C$7:$C$3006,A839))</f>
        <v/>
      </c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4" t="inlineStr">
        <is>
          <t>Студент2.19</t>
        </is>
      </c>
      <c r="B840" s="4" t="inlineStr"/>
      <c r="C840" s="4">
        <f>IF(A840="","",COUNTIF(F840:AI840,"+")+COUNTIF(F840:AI840,"1"))</f>
        <v/>
      </c>
      <c r="D840" s="4">
        <f>IF(A840="","",IF(C840&gt;2*COUNTA(F$821:AI$821)/3,'Общий'!$M$11,IF(C840&gt;=COUNTA(F$821:AI$821)/2,'Общий'!$M$12,'Общий'!$M$13)))</f>
        <v/>
      </c>
      <c r="E840" s="4">
        <f>IF(A840="","",SUMIFS('Логи'!$H$7:$H$3006,'Логи'!$A$7:$A$3006,13,'Логи'!$B$7:$B$3006,2,'Логи'!$C$7:$C$3006,A840))</f>
        <v/>
      </c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</row>
    <row r="841">
      <c r="A841" s="4" t="inlineStr">
        <is>
          <t>Студент2.20</t>
        </is>
      </c>
      <c r="B841" s="4" t="inlineStr"/>
      <c r="C841" s="4">
        <f>IF(A841="","",COUNTIF(F841:AI841,"+")+COUNTIF(F841:AI841,"1"))</f>
        <v/>
      </c>
      <c r="D841" s="4">
        <f>IF(A841="","",IF(C841&gt;2*COUNTA(F$821:AI$821)/3,'Общий'!$M$11,IF(C841&gt;=COUNTA(F$821:AI$821)/2,'Общий'!$M$12,'Общий'!$M$13)))</f>
        <v/>
      </c>
      <c r="E841" s="4">
        <f>IF(A841="","",SUMIFS('Логи'!$H$7:$H$3006,'Логи'!$A$7:$A$3006,13,'Логи'!$B$7:$B$3006,2,'Логи'!$C$7:$C$3006,A841))</f>
        <v/>
      </c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4" t="inlineStr">
        <is>
          <t>Студент2.21</t>
        </is>
      </c>
      <c r="B842" s="4" t="inlineStr"/>
      <c r="C842" s="4">
        <f>IF(A842="","",COUNTIF(F842:AI842,"+")+COUNTIF(F842:AI842,"1"))</f>
        <v/>
      </c>
      <c r="D842" s="4">
        <f>IF(A842="","",IF(C842&gt;2*COUNTA(F$821:AI$821)/3,'Общий'!$M$11,IF(C842&gt;=COUNTA(F$821:AI$821)/2,'Общий'!$M$12,'Общий'!$M$13)))</f>
        <v/>
      </c>
      <c r="E842" s="4">
        <f>IF(A842="","",SUMIFS('Логи'!$H$7:$H$3006,'Логи'!$A$7:$A$3006,13,'Логи'!$B$7:$B$3006,2,'Логи'!$C$7:$C$3006,A842))</f>
        <v/>
      </c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</row>
    <row r="843">
      <c r="A843" s="4" t="inlineStr">
        <is>
          <t>Студент2.22</t>
        </is>
      </c>
      <c r="B843" s="4" t="inlineStr"/>
      <c r="C843" s="4">
        <f>IF(A843="","",COUNTIF(F843:AI843,"+")+COUNTIF(F843:AI843,"1"))</f>
        <v/>
      </c>
      <c r="D843" s="4">
        <f>IF(A843="","",IF(C843&gt;2*COUNTA(F$821:AI$821)/3,'Общий'!$M$11,IF(C843&gt;=COUNTA(F$821:AI$821)/2,'Общий'!$M$12,'Общий'!$M$13)))</f>
        <v/>
      </c>
      <c r="E843" s="4">
        <f>IF(A843="","",SUMIFS('Логи'!$H$7:$H$3006,'Логи'!$A$7:$A$3006,13,'Логи'!$B$7:$B$3006,2,'Логи'!$C$7:$C$3006,A843))</f>
        <v/>
      </c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4" t="inlineStr">
        <is>
          <t>Студент2.23</t>
        </is>
      </c>
      <c r="B844" s="4" t="inlineStr"/>
      <c r="C844" s="4">
        <f>IF(A844="","",COUNTIF(F844:AI844,"+")+COUNTIF(F844:AI844,"1"))</f>
        <v/>
      </c>
      <c r="D844" s="4">
        <f>IF(A844="","",IF(C844&gt;2*COUNTA(F$821:AI$821)/3,'Общий'!$M$11,IF(C844&gt;=COUNTA(F$821:AI$821)/2,'Общий'!$M$12,'Общий'!$M$13)))</f>
        <v/>
      </c>
      <c r="E844" s="4">
        <f>IF(A844="","",SUMIFS('Логи'!$H$7:$H$3006,'Логи'!$A$7:$A$3006,13,'Логи'!$B$7:$B$3006,2,'Логи'!$C$7:$C$3006,A844))</f>
        <v/>
      </c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</row>
    <row r="845">
      <c r="A845" s="4" t="inlineStr">
        <is>
          <t>Студент2.24</t>
        </is>
      </c>
      <c r="B845" s="4" t="inlineStr"/>
      <c r="C845" s="4">
        <f>IF(A845="","",COUNTIF(F845:AI845,"+")+COUNTIF(F845:AI845,"1"))</f>
        <v/>
      </c>
      <c r="D845" s="4">
        <f>IF(A845="","",IF(C845&gt;2*COUNTA(F$821:AI$821)/3,'Общий'!$M$11,IF(C845&gt;=COUNTA(F$821:AI$821)/2,'Общий'!$M$12,'Общий'!$M$13)))</f>
        <v/>
      </c>
      <c r="E845" s="4">
        <f>IF(A845="","",SUMIFS('Логи'!$H$7:$H$3006,'Логи'!$A$7:$A$3006,13,'Логи'!$B$7:$B$3006,2,'Логи'!$C$7:$C$3006,A845))</f>
        <v/>
      </c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4" t="inlineStr">
        <is>
          <t>Студент2.25</t>
        </is>
      </c>
      <c r="B846" s="4" t="inlineStr"/>
      <c r="C846" s="4">
        <f>IF(A846="","",COUNTIF(F846:AI846,"+")+COUNTIF(F846:AI846,"1"))</f>
        <v/>
      </c>
      <c r="D846" s="4">
        <f>IF(A846="","",IF(C846&gt;2*COUNTA(F$821:AI$821)/3,'Общий'!$M$11,IF(C846&gt;=COUNTA(F$821:AI$821)/2,'Общий'!$M$12,'Общий'!$M$13)))</f>
        <v/>
      </c>
      <c r="E846" s="4">
        <f>IF(A846="","",SUMIFS('Логи'!$H$7:$H$3006,'Логи'!$A$7:$A$3006,13,'Логи'!$B$7:$B$3006,2,'Логи'!$C$7:$C$3006,A846))</f>
        <v/>
      </c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</row>
    <row r="847">
      <c r="A847" s="4" t="inlineStr">
        <is>
          <t>Студент2.26</t>
        </is>
      </c>
      <c r="B847" s="4" t="inlineStr"/>
      <c r="C847" s="4">
        <f>IF(A847="","",COUNTIF(F847:AI847,"+")+COUNTIF(F847:AI847,"1"))</f>
        <v/>
      </c>
      <c r="D847" s="4">
        <f>IF(A847="","",IF(C847&gt;2*COUNTA(F$821:AI$821)/3,'Общий'!$M$11,IF(C847&gt;=COUNTA(F$821:AI$821)/2,'Общий'!$M$12,'Общий'!$M$13)))</f>
        <v/>
      </c>
      <c r="E847" s="4">
        <f>IF(A847="","",SUMIFS('Логи'!$H$7:$H$3006,'Логи'!$A$7:$A$3006,13,'Логи'!$B$7:$B$3006,2,'Логи'!$C$7:$C$3006,A847))</f>
        <v/>
      </c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4" t="inlineStr">
        <is>
          <t>Студент2.27</t>
        </is>
      </c>
      <c r="B848" s="4" t="inlineStr"/>
      <c r="C848" s="4">
        <f>IF(A848="","",COUNTIF(F848:AI848,"+")+COUNTIF(F848:AI848,"1"))</f>
        <v/>
      </c>
      <c r="D848" s="4">
        <f>IF(A848="","",IF(C848&gt;2*COUNTA(F$821:AI$821)/3,'Общий'!$M$11,IF(C848&gt;=COUNTA(F$821:AI$821)/2,'Общий'!$M$12,'Общий'!$M$13)))</f>
        <v/>
      </c>
      <c r="E848" s="4">
        <f>IF(A848="","",SUMIFS('Логи'!$H$7:$H$3006,'Логи'!$A$7:$A$3006,13,'Логи'!$B$7:$B$3006,2,'Логи'!$C$7:$C$3006,A848))</f>
        <v/>
      </c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</row>
    <row r="849">
      <c r="A849" s="4" t="inlineStr">
        <is>
          <t>Студент2.28</t>
        </is>
      </c>
      <c r="B849" s="4" t="inlineStr"/>
      <c r="C849" s="4">
        <f>IF(A849="","",COUNTIF(F849:AI849,"+")+COUNTIF(F849:AI849,"1"))</f>
        <v/>
      </c>
      <c r="D849" s="4">
        <f>IF(A849="","",IF(C849&gt;2*COUNTA(F$821:AI$821)/3,'Общий'!$M$11,IF(C849&gt;=COUNTA(F$821:AI$821)/2,'Общий'!$M$12,'Общий'!$M$13)))</f>
        <v/>
      </c>
      <c r="E849" s="4">
        <f>IF(A849="","",SUMIFS('Логи'!$H$7:$H$3006,'Логи'!$A$7:$A$3006,13,'Логи'!$B$7:$B$3006,2,'Логи'!$C$7:$C$3006,A849))</f>
        <v/>
      </c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4" t="inlineStr">
        <is>
          <t>Студент2.29</t>
        </is>
      </c>
      <c r="B850" s="4" t="inlineStr"/>
      <c r="C850" s="4">
        <f>IF(A850="","",COUNTIF(F850:AI850,"+")+COUNTIF(F850:AI850,"1"))</f>
        <v/>
      </c>
      <c r="D850" s="4">
        <f>IF(A850="","",IF(C850&gt;2*COUNTA(F$821:AI$821)/3,'Общий'!$M$11,IF(C850&gt;=COUNTA(F$821:AI$821)/2,'Общий'!$M$12,'Общий'!$M$13)))</f>
        <v/>
      </c>
      <c r="E850" s="4">
        <f>IF(A850="","",SUMIFS('Логи'!$H$7:$H$3006,'Логи'!$A$7:$A$3006,13,'Логи'!$B$7:$B$3006,2,'Логи'!$C$7:$C$3006,A850))</f>
        <v/>
      </c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</row>
    <row r="851">
      <c r="A851" s="4" t="inlineStr">
        <is>
          <t>Студент2.30</t>
        </is>
      </c>
      <c r="B851" s="4" t="inlineStr"/>
      <c r="C851" s="4">
        <f>IF(A851="","",COUNTIF(F851:AI851,"+")+COUNTIF(F851:AI851,"1"))</f>
        <v/>
      </c>
      <c r="D851" s="4">
        <f>IF(A851="","",IF(C851&gt;2*COUNTA(F$821:AI$821)/3,'Общий'!$M$11,IF(C851&gt;=COUNTA(F$821:AI$821)/2,'Общий'!$M$12,'Общий'!$M$13)))</f>
        <v/>
      </c>
      <c r="E851" s="4">
        <f>IF(A851="","",SUMIFS('Логи'!$H$7:$H$3006,'Логи'!$A$7:$A$3006,13,'Логи'!$B$7:$B$3006,2,'Логи'!$C$7:$C$3006,A851))</f>
        <v/>
      </c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3">
      <c r="A853" s="19" t="inlineStr">
        <is>
          <t>Практика 13 — результаты рассказа</t>
        </is>
      </c>
    </row>
    <row r="854" ht="28" customHeight="1">
      <c r="A854" s="9" t="inlineStr">
        <is>
          <t>Имя</t>
        </is>
      </c>
      <c r="B854" s="11" t="inlineStr">
        <is>
          <t>TG</t>
        </is>
      </c>
      <c r="C854" s="12" t="inlineStr"/>
      <c r="D854" s="3" t="inlineStr"/>
      <c r="E854" s="3" t="inlineStr"/>
      <c r="F854" s="13" t="inlineStr">
        <is>
          <t>1.0</t>
        </is>
      </c>
      <c r="G854" s="13" t="inlineStr">
        <is>
          <t>2.0</t>
        </is>
      </c>
      <c r="H854" s="13" t="inlineStr">
        <is>
          <t>3.0</t>
        </is>
      </c>
      <c r="I854" s="13" t="inlineStr">
        <is>
          <t>4.0</t>
        </is>
      </c>
      <c r="J854" s="13" t="inlineStr">
        <is>
          <t>5.0</t>
        </is>
      </c>
      <c r="K854" s="13" t="inlineStr">
        <is>
          <t>6</t>
        </is>
      </c>
      <c r="L854" s="13" t="inlineStr">
        <is>
          <t>7</t>
        </is>
      </c>
      <c r="M854" s="13" t="inlineStr">
        <is>
          <t>8</t>
        </is>
      </c>
      <c r="N854" s="13" t="inlineStr">
        <is>
          <t>9</t>
        </is>
      </c>
      <c r="O854" s="13" t="inlineStr">
        <is>
          <t>10</t>
        </is>
      </c>
      <c r="P854" s="13" t="inlineStr">
        <is>
          <t>11</t>
        </is>
      </c>
      <c r="Q854" s="13" t="inlineStr">
        <is>
          <t>12</t>
        </is>
      </c>
      <c r="R854" s="13" t="inlineStr">
        <is>
          <t>13</t>
        </is>
      </c>
      <c r="S854" s="13" t="inlineStr">
        <is>
          <t>14</t>
        </is>
      </c>
      <c r="T854" s="13" t="inlineStr">
        <is>
          <t>15</t>
        </is>
      </c>
      <c r="U854" s="13" t="inlineStr">
        <is>
          <t>16</t>
        </is>
      </c>
      <c r="V854" s="13" t="inlineStr">
        <is>
          <t>17</t>
        </is>
      </c>
      <c r="W854" s="13" t="inlineStr">
        <is>
          <t>18</t>
        </is>
      </c>
      <c r="X854" s="13" t="inlineStr">
        <is>
          <t>19</t>
        </is>
      </c>
      <c r="Y854" s="13" t="inlineStr">
        <is>
          <t>20</t>
        </is>
      </c>
      <c r="Z854" s="13" t="inlineStr">
        <is>
          <t>21</t>
        </is>
      </c>
      <c r="AA854" s="13" t="inlineStr">
        <is>
          <t>22</t>
        </is>
      </c>
      <c r="AB854" s="13" t="inlineStr">
        <is>
          <t>23</t>
        </is>
      </c>
      <c r="AC854" s="13" t="inlineStr">
        <is>
          <t>24</t>
        </is>
      </c>
      <c r="AD854" s="13" t="inlineStr">
        <is>
          <t>25</t>
        </is>
      </c>
      <c r="AE854" s="13" t="inlineStr">
        <is>
          <t>26</t>
        </is>
      </c>
      <c r="AF854" s="13" t="inlineStr">
        <is>
          <t>27</t>
        </is>
      </c>
      <c r="AG854" s="13" t="inlineStr">
        <is>
          <t>28</t>
        </is>
      </c>
      <c r="AH854" s="13" t="inlineStr">
        <is>
          <t>29</t>
        </is>
      </c>
      <c r="AI854" s="13" t="inlineStr">
        <is>
          <t>30</t>
        </is>
      </c>
    </row>
    <row r="855">
      <c r="A855" s="4" t="inlineStr">
        <is>
          <t>Студент2.1</t>
        </is>
      </c>
      <c r="B855" s="4" t="inlineStr"/>
      <c r="C855" s="4" t="n"/>
      <c r="D855" s="4" t="n"/>
      <c r="E855" s="4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4" t="inlineStr">
        <is>
          <t>Студент2.2</t>
        </is>
      </c>
      <c r="B856" s="4" t="inlineStr"/>
      <c r="C856" s="4" t="n"/>
      <c r="D856" s="4" t="n"/>
      <c r="E856" s="4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</row>
    <row r="857">
      <c r="A857" s="4" t="inlineStr">
        <is>
          <t>Студент2.3</t>
        </is>
      </c>
      <c r="B857" s="4" t="inlineStr"/>
      <c r="C857" s="4" t="n"/>
      <c r="D857" s="4" t="n"/>
      <c r="E857" s="4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4" t="inlineStr">
        <is>
          <t>Студент2.4</t>
        </is>
      </c>
      <c r="B858" s="4" t="inlineStr"/>
      <c r="C858" s="4" t="n"/>
      <c r="D858" s="4" t="n"/>
      <c r="E858" s="4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</row>
    <row r="859">
      <c r="A859" s="4" t="inlineStr">
        <is>
          <t>Студент2.5</t>
        </is>
      </c>
      <c r="B859" s="4" t="inlineStr"/>
      <c r="C859" s="4" t="n"/>
      <c r="D859" s="4" t="n"/>
      <c r="E859" s="4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4" t="inlineStr">
        <is>
          <t>Студент2.6</t>
        </is>
      </c>
      <c r="B860" s="4" t="inlineStr"/>
      <c r="C860" s="4" t="n"/>
      <c r="D860" s="4" t="n"/>
      <c r="E860" s="4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</row>
    <row r="861">
      <c r="A861" s="4" t="inlineStr">
        <is>
          <t>Студент2.7</t>
        </is>
      </c>
      <c r="B861" s="4" t="inlineStr"/>
      <c r="C861" s="4" t="n"/>
      <c r="D861" s="4" t="n"/>
      <c r="E861" s="4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4" t="inlineStr">
        <is>
          <t>Студент2.8</t>
        </is>
      </c>
      <c r="B862" s="4" t="inlineStr"/>
      <c r="C862" s="4" t="n"/>
      <c r="D862" s="4" t="n"/>
      <c r="E862" s="4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</row>
    <row r="863">
      <c r="A863" s="4" t="inlineStr">
        <is>
          <t>Студент2.9</t>
        </is>
      </c>
      <c r="B863" s="4" t="inlineStr"/>
      <c r="C863" s="4" t="n"/>
      <c r="D863" s="4" t="n"/>
      <c r="E863" s="4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4" t="inlineStr">
        <is>
          <t>Студент2.10</t>
        </is>
      </c>
      <c r="B864" s="4" t="inlineStr"/>
      <c r="C864" s="4" t="n"/>
      <c r="D864" s="4" t="n"/>
      <c r="E864" s="4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</row>
    <row r="865">
      <c r="A865" s="4" t="inlineStr">
        <is>
          <t>Студент2.11</t>
        </is>
      </c>
      <c r="B865" s="4" t="inlineStr"/>
      <c r="C865" s="4" t="n"/>
      <c r="D865" s="4" t="n"/>
      <c r="E865" s="4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4" t="inlineStr">
        <is>
          <t>Студент2.12</t>
        </is>
      </c>
      <c r="B866" s="4" t="inlineStr"/>
      <c r="C866" s="4" t="n"/>
      <c r="D866" s="4" t="n"/>
      <c r="E866" s="4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</row>
    <row r="867">
      <c r="A867" s="4" t="inlineStr">
        <is>
          <t>Студент2.13</t>
        </is>
      </c>
      <c r="B867" s="4" t="inlineStr"/>
      <c r="C867" s="4" t="n"/>
      <c r="D867" s="4" t="n"/>
      <c r="E867" s="4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4" t="inlineStr">
        <is>
          <t>Студент2.14</t>
        </is>
      </c>
      <c r="B868" s="4" t="inlineStr"/>
      <c r="C868" s="4" t="n"/>
      <c r="D868" s="4" t="n"/>
      <c r="E868" s="4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</row>
    <row r="869">
      <c r="A869" s="4" t="inlineStr">
        <is>
          <t>Студент2.15</t>
        </is>
      </c>
      <c r="B869" s="4" t="inlineStr"/>
      <c r="C869" s="4" t="n"/>
      <c r="D869" s="4" t="n"/>
      <c r="E869" s="4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4" t="inlineStr">
        <is>
          <t>Студент2.16</t>
        </is>
      </c>
      <c r="B870" s="4" t="inlineStr"/>
      <c r="C870" s="4" t="n"/>
      <c r="D870" s="4" t="n"/>
      <c r="E870" s="4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</row>
    <row r="871">
      <c r="A871" s="4" t="inlineStr">
        <is>
          <t>Студент2.17</t>
        </is>
      </c>
      <c r="B871" s="4" t="inlineStr"/>
      <c r="C871" s="4" t="n"/>
      <c r="D871" s="4" t="n"/>
      <c r="E871" s="4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4" t="inlineStr">
        <is>
          <t>Студент2.18</t>
        </is>
      </c>
      <c r="B872" s="4" t="inlineStr"/>
      <c r="C872" s="4" t="n"/>
      <c r="D872" s="4" t="n"/>
      <c r="E872" s="4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</row>
    <row r="873">
      <c r="A873" s="4" t="inlineStr">
        <is>
          <t>Студент2.19</t>
        </is>
      </c>
      <c r="B873" s="4" t="inlineStr"/>
      <c r="C873" s="4" t="n"/>
      <c r="D873" s="4" t="n"/>
      <c r="E873" s="4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4" t="inlineStr">
        <is>
          <t>Студент2.20</t>
        </is>
      </c>
      <c r="B874" s="4" t="inlineStr"/>
      <c r="C874" s="4" t="n"/>
      <c r="D874" s="4" t="n"/>
      <c r="E874" s="4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</row>
    <row r="875">
      <c r="A875" s="4" t="inlineStr">
        <is>
          <t>Студент2.21</t>
        </is>
      </c>
      <c r="B875" s="4" t="inlineStr"/>
      <c r="C875" s="4" t="n"/>
      <c r="D875" s="4" t="n"/>
      <c r="E875" s="4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4" t="inlineStr">
        <is>
          <t>Студент2.22</t>
        </is>
      </c>
      <c r="B876" s="4" t="inlineStr"/>
      <c r="C876" s="4" t="n"/>
      <c r="D876" s="4" t="n"/>
      <c r="E876" s="4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</row>
    <row r="877">
      <c r="A877" s="4" t="inlineStr">
        <is>
          <t>Студент2.23</t>
        </is>
      </c>
      <c r="B877" s="4" t="inlineStr"/>
      <c r="C877" s="4" t="n"/>
      <c r="D877" s="4" t="n"/>
      <c r="E877" s="4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4" t="inlineStr">
        <is>
          <t>Студент2.24</t>
        </is>
      </c>
      <c r="B878" s="4" t="inlineStr"/>
      <c r="C878" s="4" t="n"/>
      <c r="D878" s="4" t="n"/>
      <c r="E878" s="4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</row>
    <row r="879">
      <c r="A879" s="4" t="inlineStr">
        <is>
          <t>Студент2.25</t>
        </is>
      </c>
      <c r="B879" s="4" t="inlineStr"/>
      <c r="C879" s="4" t="n"/>
      <c r="D879" s="4" t="n"/>
      <c r="E879" s="4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4" t="inlineStr">
        <is>
          <t>Студент2.26</t>
        </is>
      </c>
      <c r="B880" s="4" t="inlineStr"/>
      <c r="C880" s="4" t="n"/>
      <c r="D880" s="4" t="n"/>
      <c r="E880" s="4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</row>
    <row r="881">
      <c r="A881" s="4" t="inlineStr">
        <is>
          <t>Студент2.27</t>
        </is>
      </c>
      <c r="B881" s="4" t="inlineStr"/>
      <c r="C881" s="4" t="n"/>
      <c r="D881" s="4" t="n"/>
      <c r="E881" s="4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4" t="inlineStr">
        <is>
          <t>Студент2.28</t>
        </is>
      </c>
      <c r="B882" s="4" t="inlineStr"/>
      <c r="C882" s="4" t="n"/>
      <c r="D882" s="4" t="n"/>
      <c r="E882" s="4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</row>
    <row r="883">
      <c r="A883" s="4" t="inlineStr">
        <is>
          <t>Студент2.29</t>
        </is>
      </c>
      <c r="B883" s="4" t="inlineStr"/>
      <c r="C883" s="4" t="n"/>
      <c r="D883" s="4" t="n"/>
      <c r="E883" s="4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4" t="inlineStr">
        <is>
          <t>Студент2.30</t>
        </is>
      </c>
      <c r="B884" s="4" t="inlineStr"/>
      <c r="C884" s="4" t="n"/>
      <c r="D884" s="4" t="n"/>
      <c r="E884" s="4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</row>
    <row r="888">
      <c r="A888" s="17" t="inlineStr">
        <is>
          <t>Практика 14 — плюсы</t>
        </is>
      </c>
    </row>
    <row r="889" ht="28" customHeight="1">
      <c r="A889" s="9" t="inlineStr">
        <is>
          <t>Имя</t>
        </is>
      </c>
      <c r="B889" s="11" t="inlineStr">
        <is>
          <t>TG</t>
        </is>
      </c>
      <c r="C889" s="12" t="inlineStr">
        <is>
          <t>S</t>
        </is>
      </c>
      <c r="D889" s="10" t="inlineStr">
        <is>
          <t>Коэффициент</t>
        </is>
      </c>
      <c r="E889" s="18" t="inlineStr">
        <is>
          <t>D за практику</t>
        </is>
      </c>
      <c r="F889" s="13" t="inlineStr">
        <is>
          <t>1.0</t>
        </is>
      </c>
      <c r="G889" s="13" t="inlineStr">
        <is>
          <t>2.0</t>
        </is>
      </c>
      <c r="H889" s="13" t="inlineStr">
        <is>
          <t>3.0</t>
        </is>
      </c>
      <c r="I889" s="13" t="inlineStr">
        <is>
          <t>4.0</t>
        </is>
      </c>
      <c r="J889" s="13" t="inlineStr">
        <is>
          <t>5.0</t>
        </is>
      </c>
      <c r="K889" s="13" t="inlineStr">
        <is>
          <t>6</t>
        </is>
      </c>
      <c r="L889" s="13" t="inlineStr">
        <is>
          <t>7</t>
        </is>
      </c>
      <c r="M889" s="13" t="inlineStr">
        <is>
          <t>8</t>
        </is>
      </c>
      <c r="N889" s="13" t="inlineStr">
        <is>
          <t>9</t>
        </is>
      </c>
      <c r="O889" s="13" t="inlineStr">
        <is>
          <t>10</t>
        </is>
      </c>
      <c r="P889" s="13" t="inlineStr">
        <is>
          <t>11</t>
        </is>
      </c>
      <c r="Q889" s="13" t="inlineStr">
        <is>
          <t>12</t>
        </is>
      </c>
      <c r="R889" s="13" t="inlineStr">
        <is>
          <t>13</t>
        </is>
      </c>
      <c r="S889" s="13" t="inlineStr">
        <is>
          <t>14</t>
        </is>
      </c>
      <c r="T889" s="13" t="inlineStr">
        <is>
          <t>15</t>
        </is>
      </c>
      <c r="U889" s="13" t="inlineStr">
        <is>
          <t>16</t>
        </is>
      </c>
      <c r="V889" s="13" t="inlineStr">
        <is>
          <t>17</t>
        </is>
      </c>
      <c r="W889" s="13" t="inlineStr">
        <is>
          <t>18</t>
        </is>
      </c>
      <c r="X889" s="13" t="inlineStr">
        <is>
          <t>19</t>
        </is>
      </c>
      <c r="Y889" s="13" t="inlineStr">
        <is>
          <t>20</t>
        </is>
      </c>
      <c r="Z889" s="13" t="inlineStr">
        <is>
          <t>21</t>
        </is>
      </c>
      <c r="AA889" s="13" t="inlineStr">
        <is>
          <t>22</t>
        </is>
      </c>
      <c r="AB889" s="13" t="inlineStr">
        <is>
          <t>23</t>
        </is>
      </c>
      <c r="AC889" s="13" t="inlineStr">
        <is>
          <t>24</t>
        </is>
      </c>
      <c r="AD889" s="13" t="inlineStr">
        <is>
          <t>25</t>
        </is>
      </c>
      <c r="AE889" s="13" t="inlineStr">
        <is>
          <t>26</t>
        </is>
      </c>
      <c r="AF889" s="13" t="inlineStr">
        <is>
          <t>27</t>
        </is>
      </c>
      <c r="AG889" s="13" t="inlineStr">
        <is>
          <t>28</t>
        </is>
      </c>
      <c r="AH889" s="13" t="inlineStr">
        <is>
          <t>29</t>
        </is>
      </c>
      <c r="AI889" s="13" t="inlineStr">
        <is>
          <t>30</t>
        </is>
      </c>
    </row>
    <row r="890">
      <c r="A890" s="4" t="inlineStr">
        <is>
          <t>Студент2.1</t>
        </is>
      </c>
      <c r="B890" s="4" t="inlineStr"/>
      <c r="C890" s="4">
        <f>IF(A890="","",COUNTIF(F890:AI890,"+")+COUNTIF(F890:AI890,"1"))</f>
        <v/>
      </c>
      <c r="D890" s="4">
        <f>IF(A890="","",IF(C890&gt;2*COUNTA(F$889:AI$889)/3,'Общий'!$M$11,IF(C890&gt;=COUNTA(F$889:AI$889)/2,'Общий'!$M$12,'Общий'!$M$13)))</f>
        <v/>
      </c>
      <c r="E890" s="4">
        <f>IF(A890="","",SUMIFS('Логи'!$H$7:$H$3006,'Логи'!$A$7:$A$3006,14,'Логи'!$B$7:$B$3006,2,'Логи'!$C$7:$C$3006,A890))</f>
        <v/>
      </c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</row>
    <row r="891">
      <c r="A891" s="4" t="inlineStr">
        <is>
          <t>Студент2.2</t>
        </is>
      </c>
      <c r="B891" s="4" t="inlineStr"/>
      <c r="C891" s="4">
        <f>IF(A891="","",COUNTIF(F891:AI891,"+")+COUNTIF(F891:AI891,"1"))</f>
        <v/>
      </c>
      <c r="D891" s="4">
        <f>IF(A891="","",IF(C891&gt;2*COUNTA(F$889:AI$889)/3,'Общий'!$M$11,IF(C891&gt;=COUNTA(F$889:AI$889)/2,'Общий'!$M$12,'Общий'!$M$13)))</f>
        <v/>
      </c>
      <c r="E891" s="4">
        <f>IF(A891="","",SUMIFS('Логи'!$H$7:$H$3006,'Логи'!$A$7:$A$3006,14,'Логи'!$B$7:$B$3006,2,'Логи'!$C$7:$C$3006,A891))</f>
        <v/>
      </c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4" t="inlineStr">
        <is>
          <t>Студент2.3</t>
        </is>
      </c>
      <c r="B892" s="4" t="inlineStr"/>
      <c r="C892" s="4">
        <f>IF(A892="","",COUNTIF(F892:AI892,"+")+COUNTIF(F892:AI892,"1"))</f>
        <v/>
      </c>
      <c r="D892" s="4">
        <f>IF(A892="","",IF(C892&gt;2*COUNTA(F$889:AI$889)/3,'Общий'!$M$11,IF(C892&gt;=COUNTA(F$889:AI$889)/2,'Общий'!$M$12,'Общий'!$M$13)))</f>
        <v/>
      </c>
      <c r="E892" s="4">
        <f>IF(A892="","",SUMIFS('Логи'!$H$7:$H$3006,'Логи'!$A$7:$A$3006,14,'Логи'!$B$7:$B$3006,2,'Логи'!$C$7:$C$3006,A892))</f>
        <v/>
      </c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</row>
    <row r="893">
      <c r="A893" s="4" t="inlineStr">
        <is>
          <t>Студент2.4</t>
        </is>
      </c>
      <c r="B893" s="4" t="inlineStr"/>
      <c r="C893" s="4">
        <f>IF(A893="","",COUNTIF(F893:AI893,"+")+COUNTIF(F893:AI893,"1"))</f>
        <v/>
      </c>
      <c r="D893" s="4">
        <f>IF(A893="","",IF(C893&gt;2*COUNTA(F$889:AI$889)/3,'Общий'!$M$11,IF(C893&gt;=COUNTA(F$889:AI$889)/2,'Общий'!$M$12,'Общий'!$M$13)))</f>
        <v/>
      </c>
      <c r="E893" s="4">
        <f>IF(A893="","",SUMIFS('Логи'!$H$7:$H$3006,'Логи'!$A$7:$A$3006,14,'Логи'!$B$7:$B$3006,2,'Логи'!$C$7:$C$3006,A893))</f>
        <v/>
      </c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4" t="inlineStr">
        <is>
          <t>Студент2.5</t>
        </is>
      </c>
      <c r="B894" s="4" t="inlineStr"/>
      <c r="C894" s="4">
        <f>IF(A894="","",COUNTIF(F894:AI894,"+")+COUNTIF(F894:AI894,"1"))</f>
        <v/>
      </c>
      <c r="D894" s="4">
        <f>IF(A894="","",IF(C894&gt;2*COUNTA(F$889:AI$889)/3,'Общий'!$M$11,IF(C894&gt;=COUNTA(F$889:AI$889)/2,'Общий'!$M$12,'Общий'!$M$13)))</f>
        <v/>
      </c>
      <c r="E894" s="4">
        <f>IF(A894="","",SUMIFS('Логи'!$H$7:$H$3006,'Логи'!$A$7:$A$3006,14,'Логи'!$B$7:$B$3006,2,'Логи'!$C$7:$C$3006,A894))</f>
        <v/>
      </c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</row>
    <row r="895">
      <c r="A895" s="4" t="inlineStr">
        <is>
          <t>Студент2.6</t>
        </is>
      </c>
      <c r="B895" s="4" t="inlineStr"/>
      <c r="C895" s="4">
        <f>IF(A895="","",COUNTIF(F895:AI895,"+")+COUNTIF(F895:AI895,"1"))</f>
        <v/>
      </c>
      <c r="D895" s="4">
        <f>IF(A895="","",IF(C895&gt;2*COUNTA(F$889:AI$889)/3,'Общий'!$M$11,IF(C895&gt;=COUNTA(F$889:AI$889)/2,'Общий'!$M$12,'Общий'!$M$13)))</f>
        <v/>
      </c>
      <c r="E895" s="4">
        <f>IF(A895="","",SUMIFS('Логи'!$H$7:$H$3006,'Логи'!$A$7:$A$3006,14,'Логи'!$B$7:$B$3006,2,'Логи'!$C$7:$C$3006,A895))</f>
        <v/>
      </c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4" t="inlineStr">
        <is>
          <t>Студент2.7</t>
        </is>
      </c>
      <c r="B896" s="4" t="inlineStr"/>
      <c r="C896" s="4">
        <f>IF(A896="","",COUNTIF(F896:AI896,"+")+COUNTIF(F896:AI896,"1"))</f>
        <v/>
      </c>
      <c r="D896" s="4">
        <f>IF(A896="","",IF(C896&gt;2*COUNTA(F$889:AI$889)/3,'Общий'!$M$11,IF(C896&gt;=COUNTA(F$889:AI$889)/2,'Общий'!$M$12,'Общий'!$M$13)))</f>
        <v/>
      </c>
      <c r="E896" s="4">
        <f>IF(A896="","",SUMIFS('Логи'!$H$7:$H$3006,'Логи'!$A$7:$A$3006,14,'Логи'!$B$7:$B$3006,2,'Логи'!$C$7:$C$3006,A896))</f>
        <v/>
      </c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</row>
    <row r="897">
      <c r="A897" s="4" t="inlineStr">
        <is>
          <t>Студент2.8</t>
        </is>
      </c>
      <c r="B897" s="4" t="inlineStr"/>
      <c r="C897" s="4">
        <f>IF(A897="","",COUNTIF(F897:AI897,"+")+COUNTIF(F897:AI897,"1"))</f>
        <v/>
      </c>
      <c r="D897" s="4">
        <f>IF(A897="","",IF(C897&gt;2*COUNTA(F$889:AI$889)/3,'Общий'!$M$11,IF(C897&gt;=COUNTA(F$889:AI$889)/2,'Общий'!$M$12,'Общий'!$M$13)))</f>
        <v/>
      </c>
      <c r="E897" s="4">
        <f>IF(A897="","",SUMIFS('Логи'!$H$7:$H$3006,'Логи'!$A$7:$A$3006,14,'Логи'!$B$7:$B$3006,2,'Логи'!$C$7:$C$3006,A897))</f>
        <v/>
      </c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4" t="inlineStr">
        <is>
          <t>Студент2.9</t>
        </is>
      </c>
      <c r="B898" s="4" t="inlineStr"/>
      <c r="C898" s="4">
        <f>IF(A898="","",COUNTIF(F898:AI898,"+")+COUNTIF(F898:AI898,"1"))</f>
        <v/>
      </c>
      <c r="D898" s="4">
        <f>IF(A898="","",IF(C898&gt;2*COUNTA(F$889:AI$889)/3,'Общий'!$M$11,IF(C898&gt;=COUNTA(F$889:AI$889)/2,'Общий'!$M$12,'Общий'!$M$13)))</f>
        <v/>
      </c>
      <c r="E898" s="4">
        <f>IF(A898="","",SUMIFS('Логи'!$H$7:$H$3006,'Логи'!$A$7:$A$3006,14,'Логи'!$B$7:$B$3006,2,'Логи'!$C$7:$C$3006,A898))</f>
        <v/>
      </c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</row>
    <row r="899">
      <c r="A899" s="4" t="inlineStr">
        <is>
          <t>Студент2.10</t>
        </is>
      </c>
      <c r="B899" s="4" t="inlineStr"/>
      <c r="C899" s="4">
        <f>IF(A899="","",COUNTIF(F899:AI899,"+")+COUNTIF(F899:AI899,"1"))</f>
        <v/>
      </c>
      <c r="D899" s="4">
        <f>IF(A899="","",IF(C899&gt;2*COUNTA(F$889:AI$889)/3,'Общий'!$M$11,IF(C899&gt;=COUNTA(F$889:AI$889)/2,'Общий'!$M$12,'Общий'!$M$13)))</f>
        <v/>
      </c>
      <c r="E899" s="4">
        <f>IF(A899="","",SUMIFS('Логи'!$H$7:$H$3006,'Логи'!$A$7:$A$3006,14,'Логи'!$B$7:$B$3006,2,'Логи'!$C$7:$C$3006,A899))</f>
        <v/>
      </c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4" t="inlineStr">
        <is>
          <t>Студент2.11</t>
        </is>
      </c>
      <c r="B900" s="4" t="inlineStr"/>
      <c r="C900" s="4">
        <f>IF(A900="","",COUNTIF(F900:AI900,"+")+COUNTIF(F900:AI900,"1"))</f>
        <v/>
      </c>
      <c r="D900" s="4">
        <f>IF(A900="","",IF(C900&gt;2*COUNTA(F$889:AI$889)/3,'Общий'!$M$11,IF(C900&gt;=COUNTA(F$889:AI$889)/2,'Общий'!$M$12,'Общий'!$M$13)))</f>
        <v/>
      </c>
      <c r="E900" s="4">
        <f>IF(A900="","",SUMIFS('Логи'!$H$7:$H$3006,'Логи'!$A$7:$A$3006,14,'Логи'!$B$7:$B$3006,2,'Логи'!$C$7:$C$3006,A900))</f>
        <v/>
      </c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</row>
    <row r="901">
      <c r="A901" s="4" t="inlineStr">
        <is>
          <t>Студент2.12</t>
        </is>
      </c>
      <c r="B901" s="4" t="inlineStr"/>
      <c r="C901" s="4">
        <f>IF(A901="","",COUNTIF(F901:AI901,"+")+COUNTIF(F901:AI901,"1"))</f>
        <v/>
      </c>
      <c r="D901" s="4">
        <f>IF(A901="","",IF(C901&gt;2*COUNTA(F$889:AI$889)/3,'Общий'!$M$11,IF(C901&gt;=COUNTA(F$889:AI$889)/2,'Общий'!$M$12,'Общий'!$M$13)))</f>
        <v/>
      </c>
      <c r="E901" s="4">
        <f>IF(A901="","",SUMIFS('Логи'!$H$7:$H$3006,'Логи'!$A$7:$A$3006,14,'Логи'!$B$7:$B$3006,2,'Логи'!$C$7:$C$3006,A901))</f>
        <v/>
      </c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4" t="inlineStr">
        <is>
          <t>Студент2.13</t>
        </is>
      </c>
      <c r="B902" s="4" t="inlineStr"/>
      <c r="C902" s="4">
        <f>IF(A902="","",COUNTIF(F902:AI902,"+")+COUNTIF(F902:AI902,"1"))</f>
        <v/>
      </c>
      <c r="D902" s="4">
        <f>IF(A902="","",IF(C902&gt;2*COUNTA(F$889:AI$889)/3,'Общий'!$M$11,IF(C902&gt;=COUNTA(F$889:AI$889)/2,'Общий'!$M$12,'Общий'!$M$13)))</f>
        <v/>
      </c>
      <c r="E902" s="4">
        <f>IF(A902="","",SUMIFS('Логи'!$H$7:$H$3006,'Логи'!$A$7:$A$3006,14,'Логи'!$B$7:$B$3006,2,'Логи'!$C$7:$C$3006,A902))</f>
        <v/>
      </c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</row>
    <row r="903">
      <c r="A903" s="4" t="inlineStr">
        <is>
          <t>Студент2.14</t>
        </is>
      </c>
      <c r="B903" s="4" t="inlineStr"/>
      <c r="C903" s="4">
        <f>IF(A903="","",COUNTIF(F903:AI903,"+")+COUNTIF(F903:AI903,"1"))</f>
        <v/>
      </c>
      <c r="D903" s="4">
        <f>IF(A903="","",IF(C903&gt;2*COUNTA(F$889:AI$889)/3,'Общий'!$M$11,IF(C903&gt;=COUNTA(F$889:AI$889)/2,'Общий'!$M$12,'Общий'!$M$13)))</f>
        <v/>
      </c>
      <c r="E903" s="4">
        <f>IF(A903="","",SUMIFS('Логи'!$H$7:$H$3006,'Логи'!$A$7:$A$3006,14,'Логи'!$B$7:$B$3006,2,'Логи'!$C$7:$C$3006,A903))</f>
        <v/>
      </c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4" t="inlineStr">
        <is>
          <t>Студент2.15</t>
        </is>
      </c>
      <c r="B904" s="4" t="inlineStr"/>
      <c r="C904" s="4">
        <f>IF(A904="","",COUNTIF(F904:AI904,"+")+COUNTIF(F904:AI904,"1"))</f>
        <v/>
      </c>
      <c r="D904" s="4">
        <f>IF(A904="","",IF(C904&gt;2*COUNTA(F$889:AI$889)/3,'Общий'!$M$11,IF(C904&gt;=COUNTA(F$889:AI$889)/2,'Общий'!$M$12,'Общий'!$M$13)))</f>
        <v/>
      </c>
      <c r="E904" s="4">
        <f>IF(A904="","",SUMIFS('Логи'!$H$7:$H$3006,'Логи'!$A$7:$A$3006,14,'Логи'!$B$7:$B$3006,2,'Логи'!$C$7:$C$3006,A904))</f>
        <v/>
      </c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</row>
    <row r="905">
      <c r="A905" s="4" t="inlineStr">
        <is>
          <t>Студент2.16</t>
        </is>
      </c>
      <c r="B905" s="4" t="inlineStr"/>
      <c r="C905" s="4">
        <f>IF(A905="","",COUNTIF(F905:AI905,"+")+COUNTIF(F905:AI905,"1"))</f>
        <v/>
      </c>
      <c r="D905" s="4">
        <f>IF(A905="","",IF(C905&gt;2*COUNTA(F$889:AI$889)/3,'Общий'!$M$11,IF(C905&gt;=COUNTA(F$889:AI$889)/2,'Общий'!$M$12,'Общий'!$M$13)))</f>
        <v/>
      </c>
      <c r="E905" s="4">
        <f>IF(A905="","",SUMIFS('Логи'!$H$7:$H$3006,'Логи'!$A$7:$A$3006,14,'Логи'!$B$7:$B$3006,2,'Логи'!$C$7:$C$3006,A905))</f>
        <v/>
      </c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4" t="inlineStr">
        <is>
          <t>Студент2.17</t>
        </is>
      </c>
      <c r="B906" s="4" t="inlineStr"/>
      <c r="C906" s="4">
        <f>IF(A906="","",COUNTIF(F906:AI906,"+")+COUNTIF(F906:AI906,"1"))</f>
        <v/>
      </c>
      <c r="D906" s="4">
        <f>IF(A906="","",IF(C906&gt;2*COUNTA(F$889:AI$889)/3,'Общий'!$M$11,IF(C906&gt;=COUNTA(F$889:AI$889)/2,'Общий'!$M$12,'Общий'!$M$13)))</f>
        <v/>
      </c>
      <c r="E906" s="4">
        <f>IF(A906="","",SUMIFS('Логи'!$H$7:$H$3006,'Логи'!$A$7:$A$3006,14,'Логи'!$B$7:$B$3006,2,'Логи'!$C$7:$C$3006,A906))</f>
        <v/>
      </c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</row>
    <row r="907">
      <c r="A907" s="4" t="inlineStr">
        <is>
          <t>Студент2.18</t>
        </is>
      </c>
      <c r="B907" s="4" t="inlineStr"/>
      <c r="C907" s="4">
        <f>IF(A907="","",COUNTIF(F907:AI907,"+")+COUNTIF(F907:AI907,"1"))</f>
        <v/>
      </c>
      <c r="D907" s="4">
        <f>IF(A907="","",IF(C907&gt;2*COUNTA(F$889:AI$889)/3,'Общий'!$M$11,IF(C907&gt;=COUNTA(F$889:AI$889)/2,'Общий'!$M$12,'Общий'!$M$13)))</f>
        <v/>
      </c>
      <c r="E907" s="4">
        <f>IF(A907="","",SUMIFS('Логи'!$H$7:$H$3006,'Логи'!$A$7:$A$3006,14,'Логи'!$B$7:$B$3006,2,'Логи'!$C$7:$C$3006,A907))</f>
        <v/>
      </c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4" t="inlineStr">
        <is>
          <t>Студент2.19</t>
        </is>
      </c>
      <c r="B908" s="4" t="inlineStr"/>
      <c r="C908" s="4">
        <f>IF(A908="","",COUNTIF(F908:AI908,"+")+COUNTIF(F908:AI908,"1"))</f>
        <v/>
      </c>
      <c r="D908" s="4">
        <f>IF(A908="","",IF(C908&gt;2*COUNTA(F$889:AI$889)/3,'Общий'!$M$11,IF(C908&gt;=COUNTA(F$889:AI$889)/2,'Общий'!$M$12,'Общий'!$M$13)))</f>
        <v/>
      </c>
      <c r="E908" s="4">
        <f>IF(A908="","",SUMIFS('Логи'!$H$7:$H$3006,'Логи'!$A$7:$A$3006,14,'Логи'!$B$7:$B$3006,2,'Логи'!$C$7:$C$3006,A908))</f>
        <v/>
      </c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</row>
    <row r="909">
      <c r="A909" s="4" t="inlineStr">
        <is>
          <t>Студент2.20</t>
        </is>
      </c>
      <c r="B909" s="4" t="inlineStr"/>
      <c r="C909" s="4">
        <f>IF(A909="","",COUNTIF(F909:AI909,"+")+COUNTIF(F909:AI909,"1"))</f>
        <v/>
      </c>
      <c r="D909" s="4">
        <f>IF(A909="","",IF(C909&gt;2*COUNTA(F$889:AI$889)/3,'Общий'!$M$11,IF(C909&gt;=COUNTA(F$889:AI$889)/2,'Общий'!$M$12,'Общий'!$M$13)))</f>
        <v/>
      </c>
      <c r="E909" s="4">
        <f>IF(A909="","",SUMIFS('Логи'!$H$7:$H$3006,'Логи'!$A$7:$A$3006,14,'Логи'!$B$7:$B$3006,2,'Логи'!$C$7:$C$3006,A909))</f>
        <v/>
      </c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4" t="inlineStr">
        <is>
          <t>Студент2.21</t>
        </is>
      </c>
      <c r="B910" s="4" t="inlineStr"/>
      <c r="C910" s="4">
        <f>IF(A910="","",COUNTIF(F910:AI910,"+")+COUNTIF(F910:AI910,"1"))</f>
        <v/>
      </c>
      <c r="D910" s="4">
        <f>IF(A910="","",IF(C910&gt;2*COUNTA(F$889:AI$889)/3,'Общий'!$M$11,IF(C910&gt;=COUNTA(F$889:AI$889)/2,'Общий'!$M$12,'Общий'!$M$13)))</f>
        <v/>
      </c>
      <c r="E910" s="4">
        <f>IF(A910="","",SUMIFS('Логи'!$H$7:$H$3006,'Логи'!$A$7:$A$3006,14,'Логи'!$B$7:$B$3006,2,'Логи'!$C$7:$C$3006,A910))</f>
        <v/>
      </c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</row>
    <row r="911">
      <c r="A911" s="4" t="inlineStr">
        <is>
          <t>Студент2.22</t>
        </is>
      </c>
      <c r="B911" s="4" t="inlineStr"/>
      <c r="C911" s="4">
        <f>IF(A911="","",COUNTIF(F911:AI911,"+")+COUNTIF(F911:AI911,"1"))</f>
        <v/>
      </c>
      <c r="D911" s="4">
        <f>IF(A911="","",IF(C911&gt;2*COUNTA(F$889:AI$889)/3,'Общий'!$M$11,IF(C911&gt;=COUNTA(F$889:AI$889)/2,'Общий'!$M$12,'Общий'!$M$13)))</f>
        <v/>
      </c>
      <c r="E911" s="4">
        <f>IF(A911="","",SUMIFS('Логи'!$H$7:$H$3006,'Логи'!$A$7:$A$3006,14,'Логи'!$B$7:$B$3006,2,'Логи'!$C$7:$C$3006,A911))</f>
        <v/>
      </c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4" t="inlineStr">
        <is>
          <t>Студент2.23</t>
        </is>
      </c>
      <c r="B912" s="4" t="inlineStr"/>
      <c r="C912" s="4">
        <f>IF(A912="","",COUNTIF(F912:AI912,"+")+COUNTIF(F912:AI912,"1"))</f>
        <v/>
      </c>
      <c r="D912" s="4">
        <f>IF(A912="","",IF(C912&gt;2*COUNTA(F$889:AI$889)/3,'Общий'!$M$11,IF(C912&gt;=COUNTA(F$889:AI$889)/2,'Общий'!$M$12,'Общий'!$M$13)))</f>
        <v/>
      </c>
      <c r="E912" s="4">
        <f>IF(A912="","",SUMIFS('Логи'!$H$7:$H$3006,'Логи'!$A$7:$A$3006,14,'Логи'!$B$7:$B$3006,2,'Логи'!$C$7:$C$3006,A912))</f>
        <v/>
      </c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</row>
    <row r="913">
      <c r="A913" s="4" t="inlineStr">
        <is>
          <t>Студент2.24</t>
        </is>
      </c>
      <c r="B913" s="4" t="inlineStr"/>
      <c r="C913" s="4">
        <f>IF(A913="","",COUNTIF(F913:AI913,"+")+COUNTIF(F913:AI913,"1"))</f>
        <v/>
      </c>
      <c r="D913" s="4">
        <f>IF(A913="","",IF(C913&gt;2*COUNTA(F$889:AI$889)/3,'Общий'!$M$11,IF(C913&gt;=COUNTA(F$889:AI$889)/2,'Общий'!$M$12,'Общий'!$M$13)))</f>
        <v/>
      </c>
      <c r="E913" s="4">
        <f>IF(A913="","",SUMIFS('Логи'!$H$7:$H$3006,'Логи'!$A$7:$A$3006,14,'Логи'!$B$7:$B$3006,2,'Логи'!$C$7:$C$3006,A913))</f>
        <v/>
      </c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4" t="inlineStr">
        <is>
          <t>Студент2.25</t>
        </is>
      </c>
      <c r="B914" s="4" t="inlineStr"/>
      <c r="C914" s="4">
        <f>IF(A914="","",COUNTIF(F914:AI914,"+")+COUNTIF(F914:AI914,"1"))</f>
        <v/>
      </c>
      <c r="D914" s="4">
        <f>IF(A914="","",IF(C914&gt;2*COUNTA(F$889:AI$889)/3,'Общий'!$M$11,IF(C914&gt;=COUNTA(F$889:AI$889)/2,'Общий'!$M$12,'Общий'!$M$13)))</f>
        <v/>
      </c>
      <c r="E914" s="4">
        <f>IF(A914="","",SUMIFS('Логи'!$H$7:$H$3006,'Логи'!$A$7:$A$3006,14,'Логи'!$B$7:$B$3006,2,'Логи'!$C$7:$C$3006,A914))</f>
        <v/>
      </c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</row>
    <row r="915">
      <c r="A915" s="4" t="inlineStr">
        <is>
          <t>Студент2.26</t>
        </is>
      </c>
      <c r="B915" s="4" t="inlineStr"/>
      <c r="C915" s="4">
        <f>IF(A915="","",COUNTIF(F915:AI915,"+")+COUNTIF(F915:AI915,"1"))</f>
        <v/>
      </c>
      <c r="D915" s="4">
        <f>IF(A915="","",IF(C915&gt;2*COUNTA(F$889:AI$889)/3,'Общий'!$M$11,IF(C915&gt;=COUNTA(F$889:AI$889)/2,'Общий'!$M$12,'Общий'!$M$13)))</f>
        <v/>
      </c>
      <c r="E915" s="4">
        <f>IF(A915="","",SUMIFS('Логи'!$H$7:$H$3006,'Логи'!$A$7:$A$3006,14,'Логи'!$B$7:$B$3006,2,'Логи'!$C$7:$C$3006,A915))</f>
        <v/>
      </c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4" t="inlineStr">
        <is>
          <t>Студент2.27</t>
        </is>
      </c>
      <c r="B916" s="4" t="inlineStr"/>
      <c r="C916" s="4">
        <f>IF(A916="","",COUNTIF(F916:AI916,"+")+COUNTIF(F916:AI916,"1"))</f>
        <v/>
      </c>
      <c r="D916" s="4">
        <f>IF(A916="","",IF(C916&gt;2*COUNTA(F$889:AI$889)/3,'Общий'!$M$11,IF(C916&gt;=COUNTA(F$889:AI$889)/2,'Общий'!$M$12,'Общий'!$M$13)))</f>
        <v/>
      </c>
      <c r="E916" s="4">
        <f>IF(A916="","",SUMIFS('Логи'!$H$7:$H$3006,'Логи'!$A$7:$A$3006,14,'Логи'!$B$7:$B$3006,2,'Логи'!$C$7:$C$3006,A916))</f>
        <v/>
      </c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</row>
    <row r="917">
      <c r="A917" s="4" t="inlineStr">
        <is>
          <t>Студент2.28</t>
        </is>
      </c>
      <c r="B917" s="4" t="inlineStr"/>
      <c r="C917" s="4">
        <f>IF(A917="","",COUNTIF(F917:AI917,"+")+COUNTIF(F917:AI917,"1"))</f>
        <v/>
      </c>
      <c r="D917" s="4">
        <f>IF(A917="","",IF(C917&gt;2*COUNTA(F$889:AI$889)/3,'Общий'!$M$11,IF(C917&gt;=COUNTA(F$889:AI$889)/2,'Общий'!$M$12,'Общий'!$M$13)))</f>
        <v/>
      </c>
      <c r="E917" s="4">
        <f>IF(A917="","",SUMIFS('Логи'!$H$7:$H$3006,'Логи'!$A$7:$A$3006,14,'Логи'!$B$7:$B$3006,2,'Логи'!$C$7:$C$3006,A917))</f>
        <v/>
      </c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4" t="inlineStr">
        <is>
          <t>Студент2.29</t>
        </is>
      </c>
      <c r="B918" s="4" t="inlineStr"/>
      <c r="C918" s="4">
        <f>IF(A918="","",COUNTIF(F918:AI918,"+")+COUNTIF(F918:AI918,"1"))</f>
        <v/>
      </c>
      <c r="D918" s="4">
        <f>IF(A918="","",IF(C918&gt;2*COUNTA(F$889:AI$889)/3,'Общий'!$M$11,IF(C918&gt;=COUNTA(F$889:AI$889)/2,'Общий'!$M$12,'Общий'!$M$13)))</f>
        <v/>
      </c>
      <c r="E918" s="4">
        <f>IF(A918="","",SUMIFS('Логи'!$H$7:$H$3006,'Логи'!$A$7:$A$3006,14,'Логи'!$B$7:$B$3006,2,'Логи'!$C$7:$C$3006,A918))</f>
        <v/>
      </c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</row>
    <row r="919">
      <c r="A919" s="4" t="inlineStr">
        <is>
          <t>Студент2.30</t>
        </is>
      </c>
      <c r="B919" s="4" t="inlineStr"/>
      <c r="C919" s="4">
        <f>IF(A919="","",COUNTIF(F919:AI919,"+")+COUNTIF(F919:AI919,"1"))</f>
        <v/>
      </c>
      <c r="D919" s="4">
        <f>IF(A919="","",IF(C919&gt;2*COUNTA(F$889:AI$889)/3,'Общий'!$M$11,IF(C919&gt;=COUNTA(F$889:AI$889)/2,'Общий'!$M$12,'Общий'!$M$13)))</f>
        <v/>
      </c>
      <c r="E919" s="4">
        <f>IF(A919="","",SUMIFS('Логи'!$H$7:$H$3006,'Логи'!$A$7:$A$3006,14,'Логи'!$B$7:$B$3006,2,'Логи'!$C$7:$C$3006,A919))</f>
        <v/>
      </c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1">
      <c r="A921" s="19" t="inlineStr">
        <is>
          <t>Практика 14 — результаты рассказа</t>
        </is>
      </c>
    </row>
    <row r="922" ht="28" customHeight="1">
      <c r="A922" s="9" t="inlineStr">
        <is>
          <t>Имя</t>
        </is>
      </c>
      <c r="B922" s="11" t="inlineStr">
        <is>
          <t>TG</t>
        </is>
      </c>
      <c r="C922" s="12" t="inlineStr"/>
      <c r="D922" s="3" t="inlineStr"/>
      <c r="E922" s="3" t="inlineStr"/>
      <c r="F922" s="13" t="inlineStr">
        <is>
          <t>1.0</t>
        </is>
      </c>
      <c r="G922" s="13" t="inlineStr">
        <is>
          <t>2.0</t>
        </is>
      </c>
      <c r="H922" s="13" t="inlineStr">
        <is>
          <t>3.0</t>
        </is>
      </c>
      <c r="I922" s="13" t="inlineStr">
        <is>
          <t>4.0</t>
        </is>
      </c>
      <c r="J922" s="13" t="inlineStr">
        <is>
          <t>5.0</t>
        </is>
      </c>
      <c r="K922" s="13" t="inlineStr">
        <is>
          <t>6</t>
        </is>
      </c>
      <c r="L922" s="13" t="inlineStr">
        <is>
          <t>7</t>
        </is>
      </c>
      <c r="M922" s="13" t="inlineStr">
        <is>
          <t>8</t>
        </is>
      </c>
      <c r="N922" s="13" t="inlineStr">
        <is>
          <t>9</t>
        </is>
      </c>
      <c r="O922" s="13" t="inlineStr">
        <is>
          <t>10</t>
        </is>
      </c>
      <c r="P922" s="13" t="inlineStr">
        <is>
          <t>11</t>
        </is>
      </c>
      <c r="Q922" s="13" t="inlineStr">
        <is>
          <t>12</t>
        </is>
      </c>
      <c r="R922" s="13" t="inlineStr">
        <is>
          <t>13</t>
        </is>
      </c>
      <c r="S922" s="13" t="inlineStr">
        <is>
          <t>14</t>
        </is>
      </c>
      <c r="T922" s="13" t="inlineStr">
        <is>
          <t>15</t>
        </is>
      </c>
      <c r="U922" s="13" t="inlineStr">
        <is>
          <t>16</t>
        </is>
      </c>
      <c r="V922" s="13" t="inlineStr">
        <is>
          <t>17</t>
        </is>
      </c>
      <c r="W922" s="13" t="inlineStr">
        <is>
          <t>18</t>
        </is>
      </c>
      <c r="X922" s="13" t="inlineStr">
        <is>
          <t>19</t>
        </is>
      </c>
      <c r="Y922" s="13" t="inlineStr">
        <is>
          <t>20</t>
        </is>
      </c>
      <c r="Z922" s="13" t="inlineStr">
        <is>
          <t>21</t>
        </is>
      </c>
      <c r="AA922" s="13" t="inlineStr">
        <is>
          <t>22</t>
        </is>
      </c>
      <c r="AB922" s="13" t="inlineStr">
        <is>
          <t>23</t>
        </is>
      </c>
      <c r="AC922" s="13" t="inlineStr">
        <is>
          <t>24</t>
        </is>
      </c>
      <c r="AD922" s="13" t="inlineStr">
        <is>
          <t>25</t>
        </is>
      </c>
      <c r="AE922" s="13" t="inlineStr">
        <is>
          <t>26</t>
        </is>
      </c>
      <c r="AF922" s="13" t="inlineStr">
        <is>
          <t>27</t>
        </is>
      </c>
      <c r="AG922" s="13" t="inlineStr">
        <is>
          <t>28</t>
        </is>
      </c>
      <c r="AH922" s="13" t="inlineStr">
        <is>
          <t>29</t>
        </is>
      </c>
      <c r="AI922" s="13" t="inlineStr">
        <is>
          <t>30</t>
        </is>
      </c>
    </row>
    <row r="923">
      <c r="A923" s="4" t="inlineStr">
        <is>
          <t>Студент2.1</t>
        </is>
      </c>
      <c r="B923" s="4" t="inlineStr"/>
      <c r="C923" s="4" t="n"/>
      <c r="D923" s="4" t="n"/>
      <c r="E923" s="4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4" t="inlineStr">
        <is>
          <t>Студент2.2</t>
        </is>
      </c>
      <c r="B924" s="4" t="inlineStr"/>
      <c r="C924" s="4" t="n"/>
      <c r="D924" s="4" t="n"/>
      <c r="E924" s="4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</row>
    <row r="925">
      <c r="A925" s="4" t="inlineStr">
        <is>
          <t>Студент2.3</t>
        </is>
      </c>
      <c r="B925" s="4" t="inlineStr"/>
      <c r="C925" s="4" t="n"/>
      <c r="D925" s="4" t="n"/>
      <c r="E925" s="4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4" t="inlineStr">
        <is>
          <t>Студент2.4</t>
        </is>
      </c>
      <c r="B926" s="4" t="inlineStr"/>
      <c r="C926" s="4" t="n"/>
      <c r="D926" s="4" t="n"/>
      <c r="E926" s="4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</row>
    <row r="927">
      <c r="A927" s="4" t="inlineStr">
        <is>
          <t>Студент2.5</t>
        </is>
      </c>
      <c r="B927" s="4" t="inlineStr"/>
      <c r="C927" s="4" t="n"/>
      <c r="D927" s="4" t="n"/>
      <c r="E927" s="4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4" t="inlineStr">
        <is>
          <t>Студент2.6</t>
        </is>
      </c>
      <c r="B928" s="4" t="inlineStr"/>
      <c r="C928" s="4" t="n"/>
      <c r="D928" s="4" t="n"/>
      <c r="E928" s="4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</row>
    <row r="929">
      <c r="A929" s="4" t="inlineStr">
        <is>
          <t>Студент2.7</t>
        </is>
      </c>
      <c r="B929" s="4" t="inlineStr"/>
      <c r="C929" s="4" t="n"/>
      <c r="D929" s="4" t="n"/>
      <c r="E929" s="4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4" t="inlineStr">
        <is>
          <t>Студент2.8</t>
        </is>
      </c>
      <c r="B930" s="4" t="inlineStr"/>
      <c r="C930" s="4" t="n"/>
      <c r="D930" s="4" t="n"/>
      <c r="E930" s="4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</row>
    <row r="931">
      <c r="A931" s="4" t="inlineStr">
        <is>
          <t>Студент2.9</t>
        </is>
      </c>
      <c r="B931" s="4" t="inlineStr"/>
      <c r="C931" s="4" t="n"/>
      <c r="D931" s="4" t="n"/>
      <c r="E931" s="4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4" t="inlineStr">
        <is>
          <t>Студент2.10</t>
        </is>
      </c>
      <c r="B932" s="4" t="inlineStr"/>
      <c r="C932" s="4" t="n"/>
      <c r="D932" s="4" t="n"/>
      <c r="E932" s="4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</row>
    <row r="933">
      <c r="A933" s="4" t="inlineStr">
        <is>
          <t>Студент2.11</t>
        </is>
      </c>
      <c r="B933" s="4" t="inlineStr"/>
      <c r="C933" s="4" t="n"/>
      <c r="D933" s="4" t="n"/>
      <c r="E933" s="4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4" t="inlineStr">
        <is>
          <t>Студент2.12</t>
        </is>
      </c>
      <c r="B934" s="4" t="inlineStr"/>
      <c r="C934" s="4" t="n"/>
      <c r="D934" s="4" t="n"/>
      <c r="E934" s="4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</row>
    <row r="935">
      <c r="A935" s="4" t="inlineStr">
        <is>
          <t>Студент2.13</t>
        </is>
      </c>
      <c r="B935" s="4" t="inlineStr"/>
      <c r="C935" s="4" t="n"/>
      <c r="D935" s="4" t="n"/>
      <c r="E935" s="4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4" t="inlineStr">
        <is>
          <t>Студент2.14</t>
        </is>
      </c>
      <c r="B936" s="4" t="inlineStr"/>
      <c r="C936" s="4" t="n"/>
      <c r="D936" s="4" t="n"/>
      <c r="E936" s="4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</row>
    <row r="937">
      <c r="A937" s="4" t="inlineStr">
        <is>
          <t>Студент2.15</t>
        </is>
      </c>
      <c r="B937" s="4" t="inlineStr"/>
      <c r="C937" s="4" t="n"/>
      <c r="D937" s="4" t="n"/>
      <c r="E937" s="4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4" t="inlineStr">
        <is>
          <t>Студент2.16</t>
        </is>
      </c>
      <c r="B938" s="4" t="inlineStr"/>
      <c r="C938" s="4" t="n"/>
      <c r="D938" s="4" t="n"/>
      <c r="E938" s="4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</row>
    <row r="939">
      <c r="A939" s="4" t="inlineStr">
        <is>
          <t>Студент2.17</t>
        </is>
      </c>
      <c r="B939" s="4" t="inlineStr"/>
      <c r="C939" s="4" t="n"/>
      <c r="D939" s="4" t="n"/>
      <c r="E939" s="4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4" t="inlineStr">
        <is>
          <t>Студент2.18</t>
        </is>
      </c>
      <c r="B940" s="4" t="inlineStr"/>
      <c r="C940" s="4" t="n"/>
      <c r="D940" s="4" t="n"/>
      <c r="E940" s="4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</row>
    <row r="941">
      <c r="A941" s="4" t="inlineStr">
        <is>
          <t>Студент2.19</t>
        </is>
      </c>
      <c r="B941" s="4" t="inlineStr"/>
      <c r="C941" s="4" t="n"/>
      <c r="D941" s="4" t="n"/>
      <c r="E941" s="4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4" t="inlineStr">
        <is>
          <t>Студент2.20</t>
        </is>
      </c>
      <c r="B942" s="4" t="inlineStr"/>
      <c r="C942" s="4" t="n"/>
      <c r="D942" s="4" t="n"/>
      <c r="E942" s="4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</row>
    <row r="943">
      <c r="A943" s="4" t="inlineStr">
        <is>
          <t>Студент2.21</t>
        </is>
      </c>
      <c r="B943" s="4" t="inlineStr"/>
      <c r="C943" s="4" t="n"/>
      <c r="D943" s="4" t="n"/>
      <c r="E943" s="4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4" t="inlineStr">
        <is>
          <t>Студент2.22</t>
        </is>
      </c>
      <c r="B944" s="4" t="inlineStr"/>
      <c r="C944" s="4" t="n"/>
      <c r="D944" s="4" t="n"/>
      <c r="E944" s="4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</row>
    <row r="945">
      <c r="A945" s="4" t="inlineStr">
        <is>
          <t>Студент2.23</t>
        </is>
      </c>
      <c r="B945" s="4" t="inlineStr"/>
      <c r="C945" s="4" t="n"/>
      <c r="D945" s="4" t="n"/>
      <c r="E945" s="4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4" t="inlineStr">
        <is>
          <t>Студент2.24</t>
        </is>
      </c>
      <c r="B946" s="4" t="inlineStr"/>
      <c r="C946" s="4" t="n"/>
      <c r="D946" s="4" t="n"/>
      <c r="E946" s="4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</row>
    <row r="947">
      <c r="A947" s="4" t="inlineStr">
        <is>
          <t>Студент2.25</t>
        </is>
      </c>
      <c r="B947" s="4" t="inlineStr"/>
      <c r="C947" s="4" t="n"/>
      <c r="D947" s="4" t="n"/>
      <c r="E947" s="4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4" t="inlineStr">
        <is>
          <t>Студент2.26</t>
        </is>
      </c>
      <c r="B948" s="4" t="inlineStr"/>
      <c r="C948" s="4" t="n"/>
      <c r="D948" s="4" t="n"/>
      <c r="E948" s="4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</row>
    <row r="949">
      <c r="A949" s="4" t="inlineStr">
        <is>
          <t>Студент2.27</t>
        </is>
      </c>
      <c r="B949" s="4" t="inlineStr"/>
      <c r="C949" s="4" t="n"/>
      <c r="D949" s="4" t="n"/>
      <c r="E949" s="4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4" t="inlineStr">
        <is>
          <t>Студент2.28</t>
        </is>
      </c>
      <c r="B950" s="4" t="inlineStr"/>
      <c r="C950" s="4" t="n"/>
      <c r="D950" s="4" t="n"/>
      <c r="E950" s="4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</row>
    <row r="951">
      <c r="A951" s="4" t="inlineStr">
        <is>
          <t>Студент2.29</t>
        </is>
      </c>
      <c r="B951" s="4" t="inlineStr"/>
      <c r="C951" s="4" t="n"/>
      <c r="D951" s="4" t="n"/>
      <c r="E951" s="4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4" t="inlineStr">
        <is>
          <t>Студент2.30</t>
        </is>
      </c>
      <c r="B952" s="4" t="inlineStr"/>
      <c r="C952" s="4" t="n"/>
      <c r="D952" s="4" t="n"/>
      <c r="E952" s="4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</row>
    <row r="956">
      <c r="A956" s="17" t="inlineStr">
        <is>
          <t>Практика 15 — плюсы</t>
        </is>
      </c>
    </row>
    <row r="957" ht="28" customHeight="1">
      <c r="A957" s="9" t="inlineStr">
        <is>
          <t>Имя</t>
        </is>
      </c>
      <c r="B957" s="11" t="inlineStr">
        <is>
          <t>TG</t>
        </is>
      </c>
      <c r="C957" s="12" t="inlineStr">
        <is>
          <t>S</t>
        </is>
      </c>
      <c r="D957" s="10" t="inlineStr">
        <is>
          <t>Коэффициент</t>
        </is>
      </c>
      <c r="E957" s="18" t="inlineStr">
        <is>
          <t>D за практику</t>
        </is>
      </c>
      <c r="F957" s="13" t="inlineStr">
        <is>
          <t>1.0</t>
        </is>
      </c>
      <c r="G957" s="13" t="inlineStr">
        <is>
          <t>2.0</t>
        </is>
      </c>
      <c r="H957" s="13" t="inlineStr">
        <is>
          <t>3.0</t>
        </is>
      </c>
      <c r="I957" s="13" t="inlineStr">
        <is>
          <t>4.0</t>
        </is>
      </c>
      <c r="J957" s="13" t="inlineStr">
        <is>
          <t>5.0</t>
        </is>
      </c>
      <c r="K957" s="13" t="inlineStr">
        <is>
          <t>6</t>
        </is>
      </c>
      <c r="L957" s="13" t="inlineStr">
        <is>
          <t>7</t>
        </is>
      </c>
      <c r="M957" s="13" t="inlineStr">
        <is>
          <t>8</t>
        </is>
      </c>
      <c r="N957" s="13" t="inlineStr">
        <is>
          <t>9</t>
        </is>
      </c>
      <c r="O957" s="13" t="inlineStr">
        <is>
          <t>10</t>
        </is>
      </c>
      <c r="P957" s="13" t="inlineStr">
        <is>
          <t>11</t>
        </is>
      </c>
      <c r="Q957" s="13" t="inlineStr">
        <is>
          <t>12</t>
        </is>
      </c>
      <c r="R957" s="13" t="inlineStr">
        <is>
          <t>13</t>
        </is>
      </c>
      <c r="S957" s="13" t="inlineStr">
        <is>
          <t>14</t>
        </is>
      </c>
      <c r="T957" s="13" t="inlineStr">
        <is>
          <t>15</t>
        </is>
      </c>
      <c r="U957" s="13" t="inlineStr">
        <is>
          <t>16</t>
        </is>
      </c>
      <c r="V957" s="13" t="inlineStr">
        <is>
          <t>17</t>
        </is>
      </c>
      <c r="W957" s="13" t="inlineStr">
        <is>
          <t>18</t>
        </is>
      </c>
      <c r="X957" s="13" t="inlineStr">
        <is>
          <t>19</t>
        </is>
      </c>
      <c r="Y957" s="13" t="inlineStr">
        <is>
          <t>20</t>
        </is>
      </c>
      <c r="Z957" s="13" t="inlineStr">
        <is>
          <t>21</t>
        </is>
      </c>
      <c r="AA957" s="13" t="inlineStr">
        <is>
          <t>22</t>
        </is>
      </c>
      <c r="AB957" s="13" t="inlineStr">
        <is>
          <t>23</t>
        </is>
      </c>
      <c r="AC957" s="13" t="inlineStr">
        <is>
          <t>24</t>
        </is>
      </c>
      <c r="AD957" s="13" t="inlineStr">
        <is>
          <t>25</t>
        </is>
      </c>
      <c r="AE957" s="13" t="inlineStr">
        <is>
          <t>26</t>
        </is>
      </c>
      <c r="AF957" s="13" t="inlineStr">
        <is>
          <t>27</t>
        </is>
      </c>
      <c r="AG957" s="13" t="inlineStr">
        <is>
          <t>28</t>
        </is>
      </c>
      <c r="AH957" s="13" t="inlineStr">
        <is>
          <t>29</t>
        </is>
      </c>
      <c r="AI957" s="13" t="inlineStr">
        <is>
          <t>30</t>
        </is>
      </c>
    </row>
    <row r="958">
      <c r="A958" s="4" t="inlineStr">
        <is>
          <t>Студент2.1</t>
        </is>
      </c>
      <c r="B958" s="4" t="inlineStr"/>
      <c r="C958" s="4">
        <f>IF(A958="","",COUNTIF(F958:AI958,"+")+COUNTIF(F958:AI958,"1"))</f>
        <v/>
      </c>
      <c r="D958" s="4">
        <f>IF(A958="","",IF(C958&gt;2*COUNTA(F$957:AI$957)/3,'Общий'!$M$11,IF(C958&gt;=COUNTA(F$957:AI$957)/2,'Общий'!$M$12,'Общий'!$M$13)))</f>
        <v/>
      </c>
      <c r="E958" s="4">
        <f>IF(A958="","",SUMIFS('Логи'!$H$7:$H$3006,'Логи'!$A$7:$A$3006,15,'Логи'!$B$7:$B$3006,2,'Логи'!$C$7:$C$3006,A958))</f>
        <v/>
      </c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</row>
    <row r="959">
      <c r="A959" s="4" t="inlineStr">
        <is>
          <t>Студент2.2</t>
        </is>
      </c>
      <c r="B959" s="4" t="inlineStr"/>
      <c r="C959" s="4">
        <f>IF(A959="","",COUNTIF(F959:AI959,"+")+COUNTIF(F959:AI959,"1"))</f>
        <v/>
      </c>
      <c r="D959" s="4">
        <f>IF(A959="","",IF(C959&gt;2*COUNTA(F$957:AI$957)/3,'Общий'!$M$11,IF(C959&gt;=COUNTA(F$957:AI$957)/2,'Общий'!$M$12,'Общий'!$M$13)))</f>
        <v/>
      </c>
      <c r="E959" s="4">
        <f>IF(A959="","",SUMIFS('Логи'!$H$7:$H$3006,'Логи'!$A$7:$A$3006,15,'Логи'!$B$7:$B$3006,2,'Логи'!$C$7:$C$3006,A959))</f>
        <v/>
      </c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4" t="inlineStr">
        <is>
          <t>Студент2.3</t>
        </is>
      </c>
      <c r="B960" s="4" t="inlineStr"/>
      <c r="C960" s="4">
        <f>IF(A960="","",COUNTIF(F960:AI960,"+")+COUNTIF(F960:AI960,"1"))</f>
        <v/>
      </c>
      <c r="D960" s="4">
        <f>IF(A960="","",IF(C960&gt;2*COUNTA(F$957:AI$957)/3,'Общий'!$M$11,IF(C960&gt;=COUNTA(F$957:AI$957)/2,'Общий'!$M$12,'Общий'!$M$13)))</f>
        <v/>
      </c>
      <c r="E960" s="4">
        <f>IF(A960="","",SUMIFS('Логи'!$H$7:$H$3006,'Логи'!$A$7:$A$3006,15,'Логи'!$B$7:$B$3006,2,'Логи'!$C$7:$C$3006,A960))</f>
        <v/>
      </c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</row>
    <row r="961">
      <c r="A961" s="4" t="inlineStr">
        <is>
          <t>Студент2.4</t>
        </is>
      </c>
      <c r="B961" s="4" t="inlineStr"/>
      <c r="C961" s="4">
        <f>IF(A961="","",COUNTIF(F961:AI961,"+")+COUNTIF(F961:AI961,"1"))</f>
        <v/>
      </c>
      <c r="D961" s="4">
        <f>IF(A961="","",IF(C961&gt;2*COUNTA(F$957:AI$957)/3,'Общий'!$M$11,IF(C961&gt;=COUNTA(F$957:AI$957)/2,'Общий'!$M$12,'Общий'!$M$13)))</f>
        <v/>
      </c>
      <c r="E961" s="4">
        <f>IF(A961="","",SUMIFS('Логи'!$H$7:$H$3006,'Логи'!$A$7:$A$3006,15,'Логи'!$B$7:$B$3006,2,'Логи'!$C$7:$C$3006,A961))</f>
        <v/>
      </c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4" t="inlineStr">
        <is>
          <t>Студент2.5</t>
        </is>
      </c>
      <c r="B962" s="4" t="inlineStr"/>
      <c r="C962" s="4">
        <f>IF(A962="","",COUNTIF(F962:AI962,"+")+COUNTIF(F962:AI962,"1"))</f>
        <v/>
      </c>
      <c r="D962" s="4">
        <f>IF(A962="","",IF(C962&gt;2*COUNTA(F$957:AI$957)/3,'Общий'!$M$11,IF(C962&gt;=COUNTA(F$957:AI$957)/2,'Общий'!$M$12,'Общий'!$M$13)))</f>
        <v/>
      </c>
      <c r="E962" s="4">
        <f>IF(A962="","",SUMIFS('Логи'!$H$7:$H$3006,'Логи'!$A$7:$A$3006,15,'Логи'!$B$7:$B$3006,2,'Логи'!$C$7:$C$3006,A962))</f>
        <v/>
      </c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</row>
    <row r="963">
      <c r="A963" s="4" t="inlineStr">
        <is>
          <t>Студент2.6</t>
        </is>
      </c>
      <c r="B963" s="4" t="inlineStr"/>
      <c r="C963" s="4">
        <f>IF(A963="","",COUNTIF(F963:AI963,"+")+COUNTIF(F963:AI963,"1"))</f>
        <v/>
      </c>
      <c r="D963" s="4">
        <f>IF(A963="","",IF(C963&gt;2*COUNTA(F$957:AI$957)/3,'Общий'!$M$11,IF(C963&gt;=COUNTA(F$957:AI$957)/2,'Общий'!$M$12,'Общий'!$M$13)))</f>
        <v/>
      </c>
      <c r="E963" s="4">
        <f>IF(A963="","",SUMIFS('Логи'!$H$7:$H$3006,'Логи'!$A$7:$A$3006,15,'Логи'!$B$7:$B$3006,2,'Логи'!$C$7:$C$3006,A963))</f>
        <v/>
      </c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4" t="inlineStr">
        <is>
          <t>Студент2.7</t>
        </is>
      </c>
      <c r="B964" s="4" t="inlineStr"/>
      <c r="C964" s="4">
        <f>IF(A964="","",COUNTIF(F964:AI964,"+")+COUNTIF(F964:AI964,"1"))</f>
        <v/>
      </c>
      <c r="D964" s="4">
        <f>IF(A964="","",IF(C964&gt;2*COUNTA(F$957:AI$957)/3,'Общий'!$M$11,IF(C964&gt;=COUNTA(F$957:AI$957)/2,'Общий'!$M$12,'Общий'!$M$13)))</f>
        <v/>
      </c>
      <c r="E964" s="4">
        <f>IF(A964="","",SUMIFS('Логи'!$H$7:$H$3006,'Логи'!$A$7:$A$3006,15,'Логи'!$B$7:$B$3006,2,'Логи'!$C$7:$C$3006,A964))</f>
        <v/>
      </c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</row>
    <row r="965">
      <c r="A965" s="4" t="inlineStr">
        <is>
          <t>Студент2.8</t>
        </is>
      </c>
      <c r="B965" s="4" t="inlineStr"/>
      <c r="C965" s="4">
        <f>IF(A965="","",COUNTIF(F965:AI965,"+")+COUNTIF(F965:AI965,"1"))</f>
        <v/>
      </c>
      <c r="D965" s="4">
        <f>IF(A965="","",IF(C965&gt;2*COUNTA(F$957:AI$957)/3,'Общий'!$M$11,IF(C965&gt;=COUNTA(F$957:AI$957)/2,'Общий'!$M$12,'Общий'!$M$13)))</f>
        <v/>
      </c>
      <c r="E965" s="4">
        <f>IF(A965="","",SUMIFS('Логи'!$H$7:$H$3006,'Логи'!$A$7:$A$3006,15,'Логи'!$B$7:$B$3006,2,'Логи'!$C$7:$C$3006,A965))</f>
        <v/>
      </c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4" t="inlineStr">
        <is>
          <t>Студент2.9</t>
        </is>
      </c>
      <c r="B966" s="4" t="inlineStr"/>
      <c r="C966" s="4">
        <f>IF(A966="","",COUNTIF(F966:AI966,"+")+COUNTIF(F966:AI966,"1"))</f>
        <v/>
      </c>
      <c r="D966" s="4">
        <f>IF(A966="","",IF(C966&gt;2*COUNTA(F$957:AI$957)/3,'Общий'!$M$11,IF(C966&gt;=COUNTA(F$957:AI$957)/2,'Общий'!$M$12,'Общий'!$M$13)))</f>
        <v/>
      </c>
      <c r="E966" s="4">
        <f>IF(A966="","",SUMIFS('Логи'!$H$7:$H$3006,'Логи'!$A$7:$A$3006,15,'Логи'!$B$7:$B$3006,2,'Логи'!$C$7:$C$3006,A966))</f>
        <v/>
      </c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</row>
    <row r="967">
      <c r="A967" s="4" t="inlineStr">
        <is>
          <t>Студент2.10</t>
        </is>
      </c>
      <c r="B967" s="4" t="inlineStr"/>
      <c r="C967" s="4">
        <f>IF(A967="","",COUNTIF(F967:AI967,"+")+COUNTIF(F967:AI967,"1"))</f>
        <v/>
      </c>
      <c r="D967" s="4">
        <f>IF(A967="","",IF(C967&gt;2*COUNTA(F$957:AI$957)/3,'Общий'!$M$11,IF(C967&gt;=COUNTA(F$957:AI$957)/2,'Общий'!$M$12,'Общий'!$M$13)))</f>
        <v/>
      </c>
      <c r="E967" s="4">
        <f>IF(A967="","",SUMIFS('Логи'!$H$7:$H$3006,'Логи'!$A$7:$A$3006,15,'Логи'!$B$7:$B$3006,2,'Логи'!$C$7:$C$3006,A967))</f>
        <v/>
      </c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4" t="inlineStr">
        <is>
          <t>Студент2.11</t>
        </is>
      </c>
      <c r="B968" s="4" t="inlineStr"/>
      <c r="C968" s="4">
        <f>IF(A968="","",COUNTIF(F968:AI968,"+")+COUNTIF(F968:AI968,"1"))</f>
        <v/>
      </c>
      <c r="D968" s="4">
        <f>IF(A968="","",IF(C968&gt;2*COUNTA(F$957:AI$957)/3,'Общий'!$M$11,IF(C968&gt;=COUNTA(F$957:AI$957)/2,'Общий'!$M$12,'Общий'!$M$13)))</f>
        <v/>
      </c>
      <c r="E968" s="4">
        <f>IF(A968="","",SUMIFS('Логи'!$H$7:$H$3006,'Логи'!$A$7:$A$3006,15,'Логи'!$B$7:$B$3006,2,'Логи'!$C$7:$C$3006,A968))</f>
        <v/>
      </c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</row>
    <row r="969">
      <c r="A969" s="4" t="inlineStr">
        <is>
          <t>Студент2.12</t>
        </is>
      </c>
      <c r="B969" s="4" t="inlineStr"/>
      <c r="C969" s="4">
        <f>IF(A969="","",COUNTIF(F969:AI969,"+")+COUNTIF(F969:AI969,"1"))</f>
        <v/>
      </c>
      <c r="D969" s="4">
        <f>IF(A969="","",IF(C969&gt;2*COUNTA(F$957:AI$957)/3,'Общий'!$M$11,IF(C969&gt;=COUNTA(F$957:AI$957)/2,'Общий'!$M$12,'Общий'!$M$13)))</f>
        <v/>
      </c>
      <c r="E969" s="4">
        <f>IF(A969="","",SUMIFS('Логи'!$H$7:$H$3006,'Логи'!$A$7:$A$3006,15,'Логи'!$B$7:$B$3006,2,'Логи'!$C$7:$C$3006,A969))</f>
        <v/>
      </c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4" t="inlineStr">
        <is>
          <t>Студент2.13</t>
        </is>
      </c>
      <c r="B970" s="4" t="inlineStr"/>
      <c r="C970" s="4">
        <f>IF(A970="","",COUNTIF(F970:AI970,"+")+COUNTIF(F970:AI970,"1"))</f>
        <v/>
      </c>
      <c r="D970" s="4">
        <f>IF(A970="","",IF(C970&gt;2*COUNTA(F$957:AI$957)/3,'Общий'!$M$11,IF(C970&gt;=COUNTA(F$957:AI$957)/2,'Общий'!$M$12,'Общий'!$M$13)))</f>
        <v/>
      </c>
      <c r="E970" s="4">
        <f>IF(A970="","",SUMIFS('Логи'!$H$7:$H$3006,'Логи'!$A$7:$A$3006,15,'Логи'!$B$7:$B$3006,2,'Логи'!$C$7:$C$3006,A970))</f>
        <v/>
      </c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</row>
    <row r="971">
      <c r="A971" s="4" t="inlineStr">
        <is>
          <t>Студент2.14</t>
        </is>
      </c>
      <c r="B971" s="4" t="inlineStr"/>
      <c r="C971" s="4">
        <f>IF(A971="","",COUNTIF(F971:AI971,"+")+COUNTIF(F971:AI971,"1"))</f>
        <v/>
      </c>
      <c r="D971" s="4">
        <f>IF(A971="","",IF(C971&gt;2*COUNTA(F$957:AI$957)/3,'Общий'!$M$11,IF(C971&gt;=COUNTA(F$957:AI$957)/2,'Общий'!$M$12,'Общий'!$M$13)))</f>
        <v/>
      </c>
      <c r="E971" s="4">
        <f>IF(A971="","",SUMIFS('Логи'!$H$7:$H$3006,'Логи'!$A$7:$A$3006,15,'Логи'!$B$7:$B$3006,2,'Логи'!$C$7:$C$3006,A971))</f>
        <v/>
      </c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4" t="inlineStr">
        <is>
          <t>Студент2.15</t>
        </is>
      </c>
      <c r="B972" s="4" t="inlineStr"/>
      <c r="C972" s="4">
        <f>IF(A972="","",COUNTIF(F972:AI972,"+")+COUNTIF(F972:AI972,"1"))</f>
        <v/>
      </c>
      <c r="D972" s="4">
        <f>IF(A972="","",IF(C972&gt;2*COUNTA(F$957:AI$957)/3,'Общий'!$M$11,IF(C972&gt;=COUNTA(F$957:AI$957)/2,'Общий'!$M$12,'Общий'!$M$13)))</f>
        <v/>
      </c>
      <c r="E972" s="4">
        <f>IF(A972="","",SUMIFS('Логи'!$H$7:$H$3006,'Логи'!$A$7:$A$3006,15,'Логи'!$B$7:$B$3006,2,'Логи'!$C$7:$C$3006,A972))</f>
        <v/>
      </c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</row>
    <row r="973">
      <c r="A973" s="4" t="inlineStr">
        <is>
          <t>Студент2.16</t>
        </is>
      </c>
      <c r="B973" s="4" t="inlineStr"/>
      <c r="C973" s="4">
        <f>IF(A973="","",COUNTIF(F973:AI973,"+")+COUNTIF(F973:AI973,"1"))</f>
        <v/>
      </c>
      <c r="D973" s="4">
        <f>IF(A973="","",IF(C973&gt;2*COUNTA(F$957:AI$957)/3,'Общий'!$M$11,IF(C973&gt;=COUNTA(F$957:AI$957)/2,'Общий'!$M$12,'Общий'!$M$13)))</f>
        <v/>
      </c>
      <c r="E973" s="4">
        <f>IF(A973="","",SUMIFS('Логи'!$H$7:$H$3006,'Логи'!$A$7:$A$3006,15,'Логи'!$B$7:$B$3006,2,'Логи'!$C$7:$C$3006,A973))</f>
        <v/>
      </c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4" t="inlineStr">
        <is>
          <t>Студент2.17</t>
        </is>
      </c>
      <c r="B974" s="4" t="inlineStr"/>
      <c r="C974" s="4">
        <f>IF(A974="","",COUNTIF(F974:AI974,"+")+COUNTIF(F974:AI974,"1"))</f>
        <v/>
      </c>
      <c r="D974" s="4">
        <f>IF(A974="","",IF(C974&gt;2*COUNTA(F$957:AI$957)/3,'Общий'!$M$11,IF(C974&gt;=COUNTA(F$957:AI$957)/2,'Общий'!$M$12,'Общий'!$M$13)))</f>
        <v/>
      </c>
      <c r="E974" s="4">
        <f>IF(A974="","",SUMIFS('Логи'!$H$7:$H$3006,'Логи'!$A$7:$A$3006,15,'Логи'!$B$7:$B$3006,2,'Логи'!$C$7:$C$3006,A974))</f>
        <v/>
      </c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</row>
    <row r="975">
      <c r="A975" s="4" t="inlineStr">
        <is>
          <t>Студент2.18</t>
        </is>
      </c>
      <c r="B975" s="4" t="inlineStr"/>
      <c r="C975" s="4">
        <f>IF(A975="","",COUNTIF(F975:AI975,"+")+COUNTIF(F975:AI975,"1"))</f>
        <v/>
      </c>
      <c r="D975" s="4">
        <f>IF(A975="","",IF(C975&gt;2*COUNTA(F$957:AI$957)/3,'Общий'!$M$11,IF(C975&gt;=COUNTA(F$957:AI$957)/2,'Общий'!$M$12,'Общий'!$M$13)))</f>
        <v/>
      </c>
      <c r="E975" s="4">
        <f>IF(A975="","",SUMIFS('Логи'!$H$7:$H$3006,'Логи'!$A$7:$A$3006,15,'Логи'!$B$7:$B$3006,2,'Логи'!$C$7:$C$3006,A975))</f>
        <v/>
      </c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4" t="inlineStr">
        <is>
          <t>Студент2.19</t>
        </is>
      </c>
      <c r="B976" s="4" t="inlineStr"/>
      <c r="C976" s="4">
        <f>IF(A976="","",COUNTIF(F976:AI976,"+")+COUNTIF(F976:AI976,"1"))</f>
        <v/>
      </c>
      <c r="D976" s="4">
        <f>IF(A976="","",IF(C976&gt;2*COUNTA(F$957:AI$957)/3,'Общий'!$M$11,IF(C976&gt;=COUNTA(F$957:AI$957)/2,'Общий'!$M$12,'Общий'!$M$13)))</f>
        <v/>
      </c>
      <c r="E976" s="4">
        <f>IF(A976="","",SUMIFS('Логи'!$H$7:$H$3006,'Логи'!$A$7:$A$3006,15,'Логи'!$B$7:$B$3006,2,'Логи'!$C$7:$C$3006,A976))</f>
        <v/>
      </c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</row>
    <row r="977">
      <c r="A977" s="4" t="inlineStr">
        <is>
          <t>Студент2.20</t>
        </is>
      </c>
      <c r="B977" s="4" t="inlineStr"/>
      <c r="C977" s="4">
        <f>IF(A977="","",COUNTIF(F977:AI977,"+")+COUNTIF(F977:AI977,"1"))</f>
        <v/>
      </c>
      <c r="D977" s="4">
        <f>IF(A977="","",IF(C977&gt;2*COUNTA(F$957:AI$957)/3,'Общий'!$M$11,IF(C977&gt;=COUNTA(F$957:AI$957)/2,'Общий'!$M$12,'Общий'!$M$13)))</f>
        <v/>
      </c>
      <c r="E977" s="4">
        <f>IF(A977="","",SUMIFS('Логи'!$H$7:$H$3006,'Логи'!$A$7:$A$3006,15,'Логи'!$B$7:$B$3006,2,'Логи'!$C$7:$C$3006,A977))</f>
        <v/>
      </c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4" t="inlineStr">
        <is>
          <t>Студент2.21</t>
        </is>
      </c>
      <c r="B978" s="4" t="inlineStr"/>
      <c r="C978" s="4">
        <f>IF(A978="","",COUNTIF(F978:AI978,"+")+COUNTIF(F978:AI978,"1"))</f>
        <v/>
      </c>
      <c r="D978" s="4">
        <f>IF(A978="","",IF(C978&gt;2*COUNTA(F$957:AI$957)/3,'Общий'!$M$11,IF(C978&gt;=COUNTA(F$957:AI$957)/2,'Общий'!$M$12,'Общий'!$M$13)))</f>
        <v/>
      </c>
      <c r="E978" s="4">
        <f>IF(A978="","",SUMIFS('Логи'!$H$7:$H$3006,'Логи'!$A$7:$A$3006,15,'Логи'!$B$7:$B$3006,2,'Логи'!$C$7:$C$3006,A978))</f>
        <v/>
      </c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</row>
    <row r="979">
      <c r="A979" s="4" t="inlineStr">
        <is>
          <t>Студент2.22</t>
        </is>
      </c>
      <c r="B979" s="4" t="inlineStr"/>
      <c r="C979" s="4">
        <f>IF(A979="","",COUNTIF(F979:AI979,"+")+COUNTIF(F979:AI979,"1"))</f>
        <v/>
      </c>
      <c r="D979" s="4">
        <f>IF(A979="","",IF(C979&gt;2*COUNTA(F$957:AI$957)/3,'Общий'!$M$11,IF(C979&gt;=COUNTA(F$957:AI$957)/2,'Общий'!$M$12,'Общий'!$M$13)))</f>
        <v/>
      </c>
      <c r="E979" s="4">
        <f>IF(A979="","",SUMIFS('Логи'!$H$7:$H$3006,'Логи'!$A$7:$A$3006,15,'Логи'!$B$7:$B$3006,2,'Логи'!$C$7:$C$3006,A979))</f>
        <v/>
      </c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4" t="inlineStr">
        <is>
          <t>Студент2.23</t>
        </is>
      </c>
      <c r="B980" s="4" t="inlineStr"/>
      <c r="C980" s="4">
        <f>IF(A980="","",COUNTIF(F980:AI980,"+")+COUNTIF(F980:AI980,"1"))</f>
        <v/>
      </c>
      <c r="D980" s="4">
        <f>IF(A980="","",IF(C980&gt;2*COUNTA(F$957:AI$957)/3,'Общий'!$M$11,IF(C980&gt;=COUNTA(F$957:AI$957)/2,'Общий'!$M$12,'Общий'!$M$13)))</f>
        <v/>
      </c>
      <c r="E980" s="4">
        <f>IF(A980="","",SUMIFS('Логи'!$H$7:$H$3006,'Логи'!$A$7:$A$3006,15,'Логи'!$B$7:$B$3006,2,'Логи'!$C$7:$C$3006,A980))</f>
        <v/>
      </c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</row>
    <row r="981">
      <c r="A981" s="4" t="inlineStr">
        <is>
          <t>Студент2.24</t>
        </is>
      </c>
      <c r="B981" s="4" t="inlineStr"/>
      <c r="C981" s="4">
        <f>IF(A981="","",COUNTIF(F981:AI981,"+")+COUNTIF(F981:AI981,"1"))</f>
        <v/>
      </c>
      <c r="D981" s="4">
        <f>IF(A981="","",IF(C981&gt;2*COUNTA(F$957:AI$957)/3,'Общий'!$M$11,IF(C981&gt;=COUNTA(F$957:AI$957)/2,'Общий'!$M$12,'Общий'!$M$13)))</f>
        <v/>
      </c>
      <c r="E981" s="4">
        <f>IF(A981="","",SUMIFS('Логи'!$H$7:$H$3006,'Логи'!$A$7:$A$3006,15,'Логи'!$B$7:$B$3006,2,'Логи'!$C$7:$C$3006,A981))</f>
        <v/>
      </c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4" t="inlineStr">
        <is>
          <t>Студент2.25</t>
        </is>
      </c>
      <c r="B982" s="4" t="inlineStr"/>
      <c r="C982" s="4">
        <f>IF(A982="","",COUNTIF(F982:AI982,"+")+COUNTIF(F982:AI982,"1"))</f>
        <v/>
      </c>
      <c r="D982" s="4">
        <f>IF(A982="","",IF(C982&gt;2*COUNTA(F$957:AI$957)/3,'Общий'!$M$11,IF(C982&gt;=COUNTA(F$957:AI$957)/2,'Общий'!$M$12,'Общий'!$M$13)))</f>
        <v/>
      </c>
      <c r="E982" s="4">
        <f>IF(A982="","",SUMIFS('Логи'!$H$7:$H$3006,'Логи'!$A$7:$A$3006,15,'Логи'!$B$7:$B$3006,2,'Логи'!$C$7:$C$3006,A982))</f>
        <v/>
      </c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</row>
    <row r="983">
      <c r="A983" s="4" t="inlineStr">
        <is>
          <t>Студент2.26</t>
        </is>
      </c>
      <c r="B983" s="4" t="inlineStr"/>
      <c r="C983" s="4">
        <f>IF(A983="","",COUNTIF(F983:AI983,"+")+COUNTIF(F983:AI983,"1"))</f>
        <v/>
      </c>
      <c r="D983" s="4">
        <f>IF(A983="","",IF(C983&gt;2*COUNTA(F$957:AI$957)/3,'Общий'!$M$11,IF(C983&gt;=COUNTA(F$957:AI$957)/2,'Общий'!$M$12,'Общий'!$M$13)))</f>
        <v/>
      </c>
      <c r="E983" s="4">
        <f>IF(A983="","",SUMIFS('Логи'!$H$7:$H$3006,'Логи'!$A$7:$A$3006,15,'Логи'!$B$7:$B$3006,2,'Логи'!$C$7:$C$3006,A983))</f>
        <v/>
      </c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4" t="inlineStr">
        <is>
          <t>Студент2.27</t>
        </is>
      </c>
      <c r="B984" s="4" t="inlineStr"/>
      <c r="C984" s="4">
        <f>IF(A984="","",COUNTIF(F984:AI984,"+")+COUNTIF(F984:AI984,"1"))</f>
        <v/>
      </c>
      <c r="D984" s="4">
        <f>IF(A984="","",IF(C984&gt;2*COUNTA(F$957:AI$957)/3,'Общий'!$M$11,IF(C984&gt;=COUNTA(F$957:AI$957)/2,'Общий'!$M$12,'Общий'!$M$13)))</f>
        <v/>
      </c>
      <c r="E984" s="4">
        <f>IF(A984="","",SUMIFS('Логи'!$H$7:$H$3006,'Логи'!$A$7:$A$3006,15,'Логи'!$B$7:$B$3006,2,'Логи'!$C$7:$C$3006,A984))</f>
        <v/>
      </c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</row>
    <row r="985">
      <c r="A985" s="4" t="inlineStr">
        <is>
          <t>Студент2.28</t>
        </is>
      </c>
      <c r="B985" s="4" t="inlineStr"/>
      <c r="C985" s="4">
        <f>IF(A985="","",COUNTIF(F985:AI985,"+")+COUNTIF(F985:AI985,"1"))</f>
        <v/>
      </c>
      <c r="D985" s="4">
        <f>IF(A985="","",IF(C985&gt;2*COUNTA(F$957:AI$957)/3,'Общий'!$M$11,IF(C985&gt;=COUNTA(F$957:AI$957)/2,'Общий'!$M$12,'Общий'!$M$13)))</f>
        <v/>
      </c>
      <c r="E985" s="4">
        <f>IF(A985="","",SUMIFS('Логи'!$H$7:$H$3006,'Логи'!$A$7:$A$3006,15,'Логи'!$B$7:$B$3006,2,'Логи'!$C$7:$C$3006,A985))</f>
        <v/>
      </c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4" t="inlineStr">
        <is>
          <t>Студент2.29</t>
        </is>
      </c>
      <c r="B986" s="4" t="inlineStr"/>
      <c r="C986" s="4">
        <f>IF(A986="","",COUNTIF(F986:AI986,"+")+COUNTIF(F986:AI986,"1"))</f>
        <v/>
      </c>
      <c r="D986" s="4">
        <f>IF(A986="","",IF(C986&gt;2*COUNTA(F$957:AI$957)/3,'Общий'!$M$11,IF(C986&gt;=COUNTA(F$957:AI$957)/2,'Общий'!$M$12,'Общий'!$M$13)))</f>
        <v/>
      </c>
      <c r="E986" s="4">
        <f>IF(A986="","",SUMIFS('Логи'!$H$7:$H$3006,'Логи'!$A$7:$A$3006,15,'Логи'!$B$7:$B$3006,2,'Логи'!$C$7:$C$3006,A986))</f>
        <v/>
      </c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</row>
    <row r="987">
      <c r="A987" s="4" t="inlineStr">
        <is>
          <t>Студент2.30</t>
        </is>
      </c>
      <c r="B987" s="4" t="inlineStr"/>
      <c r="C987" s="4">
        <f>IF(A987="","",COUNTIF(F987:AI987,"+")+COUNTIF(F987:AI987,"1"))</f>
        <v/>
      </c>
      <c r="D987" s="4">
        <f>IF(A987="","",IF(C987&gt;2*COUNTA(F$957:AI$957)/3,'Общий'!$M$11,IF(C987&gt;=COUNTA(F$957:AI$957)/2,'Общий'!$M$12,'Общий'!$M$13)))</f>
        <v/>
      </c>
      <c r="E987" s="4">
        <f>IF(A987="","",SUMIFS('Логи'!$H$7:$H$3006,'Логи'!$A$7:$A$3006,15,'Логи'!$B$7:$B$3006,2,'Логи'!$C$7:$C$3006,A987))</f>
        <v/>
      </c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9">
      <c r="A989" s="19" t="inlineStr">
        <is>
          <t>Практика 15 — результаты рассказа</t>
        </is>
      </c>
    </row>
    <row r="990" ht="28" customHeight="1">
      <c r="A990" s="9" t="inlineStr">
        <is>
          <t>Имя</t>
        </is>
      </c>
      <c r="B990" s="11" t="inlineStr">
        <is>
          <t>TG</t>
        </is>
      </c>
      <c r="C990" s="12" t="inlineStr"/>
      <c r="D990" s="3" t="inlineStr"/>
      <c r="E990" s="3" t="inlineStr"/>
      <c r="F990" s="13" t="inlineStr">
        <is>
          <t>1.0</t>
        </is>
      </c>
      <c r="G990" s="13" t="inlineStr">
        <is>
          <t>2.0</t>
        </is>
      </c>
      <c r="H990" s="13" t="inlineStr">
        <is>
          <t>3.0</t>
        </is>
      </c>
      <c r="I990" s="13" t="inlineStr">
        <is>
          <t>4.0</t>
        </is>
      </c>
      <c r="J990" s="13" t="inlineStr">
        <is>
          <t>5.0</t>
        </is>
      </c>
      <c r="K990" s="13" t="inlineStr">
        <is>
          <t>6</t>
        </is>
      </c>
      <c r="L990" s="13" t="inlineStr">
        <is>
          <t>7</t>
        </is>
      </c>
      <c r="M990" s="13" t="inlineStr">
        <is>
          <t>8</t>
        </is>
      </c>
      <c r="N990" s="13" t="inlineStr">
        <is>
          <t>9</t>
        </is>
      </c>
      <c r="O990" s="13" t="inlineStr">
        <is>
          <t>10</t>
        </is>
      </c>
      <c r="P990" s="13" t="inlineStr">
        <is>
          <t>11</t>
        </is>
      </c>
      <c r="Q990" s="13" t="inlineStr">
        <is>
          <t>12</t>
        </is>
      </c>
      <c r="R990" s="13" t="inlineStr">
        <is>
          <t>13</t>
        </is>
      </c>
      <c r="S990" s="13" t="inlineStr">
        <is>
          <t>14</t>
        </is>
      </c>
      <c r="T990" s="13" t="inlineStr">
        <is>
          <t>15</t>
        </is>
      </c>
      <c r="U990" s="13" t="inlineStr">
        <is>
          <t>16</t>
        </is>
      </c>
      <c r="V990" s="13" t="inlineStr">
        <is>
          <t>17</t>
        </is>
      </c>
      <c r="W990" s="13" t="inlineStr">
        <is>
          <t>18</t>
        </is>
      </c>
      <c r="X990" s="13" t="inlineStr">
        <is>
          <t>19</t>
        </is>
      </c>
      <c r="Y990" s="13" t="inlineStr">
        <is>
          <t>20</t>
        </is>
      </c>
      <c r="Z990" s="13" t="inlineStr">
        <is>
          <t>21</t>
        </is>
      </c>
      <c r="AA990" s="13" t="inlineStr">
        <is>
          <t>22</t>
        </is>
      </c>
      <c r="AB990" s="13" t="inlineStr">
        <is>
          <t>23</t>
        </is>
      </c>
      <c r="AC990" s="13" t="inlineStr">
        <is>
          <t>24</t>
        </is>
      </c>
      <c r="AD990" s="13" t="inlineStr">
        <is>
          <t>25</t>
        </is>
      </c>
      <c r="AE990" s="13" t="inlineStr">
        <is>
          <t>26</t>
        </is>
      </c>
      <c r="AF990" s="13" t="inlineStr">
        <is>
          <t>27</t>
        </is>
      </c>
      <c r="AG990" s="13" t="inlineStr">
        <is>
          <t>28</t>
        </is>
      </c>
      <c r="AH990" s="13" t="inlineStr">
        <is>
          <t>29</t>
        </is>
      </c>
      <c r="AI990" s="13" t="inlineStr">
        <is>
          <t>30</t>
        </is>
      </c>
    </row>
    <row r="991">
      <c r="A991" s="4" t="inlineStr">
        <is>
          <t>Студент2.1</t>
        </is>
      </c>
      <c r="B991" s="4" t="inlineStr"/>
      <c r="C991" s="4" t="n"/>
      <c r="D991" s="4" t="n"/>
      <c r="E991" s="4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4" t="inlineStr">
        <is>
          <t>Студент2.2</t>
        </is>
      </c>
      <c r="B992" s="4" t="inlineStr"/>
      <c r="C992" s="4" t="n"/>
      <c r="D992" s="4" t="n"/>
      <c r="E992" s="4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</row>
    <row r="993">
      <c r="A993" s="4" t="inlineStr">
        <is>
          <t>Студент2.3</t>
        </is>
      </c>
      <c r="B993" s="4" t="inlineStr"/>
      <c r="C993" s="4" t="n"/>
      <c r="D993" s="4" t="n"/>
      <c r="E993" s="4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4" t="inlineStr">
        <is>
          <t>Студент2.4</t>
        </is>
      </c>
      <c r="B994" s="4" t="inlineStr"/>
      <c r="C994" s="4" t="n"/>
      <c r="D994" s="4" t="n"/>
      <c r="E994" s="4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</row>
    <row r="995">
      <c r="A995" s="4" t="inlineStr">
        <is>
          <t>Студент2.5</t>
        </is>
      </c>
      <c r="B995" s="4" t="inlineStr"/>
      <c r="C995" s="4" t="n"/>
      <c r="D995" s="4" t="n"/>
      <c r="E995" s="4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4" t="inlineStr">
        <is>
          <t>Студент2.6</t>
        </is>
      </c>
      <c r="B996" s="4" t="inlineStr"/>
      <c r="C996" s="4" t="n"/>
      <c r="D996" s="4" t="n"/>
      <c r="E996" s="4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</row>
    <row r="997">
      <c r="A997" s="4" t="inlineStr">
        <is>
          <t>Студент2.7</t>
        </is>
      </c>
      <c r="B997" s="4" t="inlineStr"/>
      <c r="C997" s="4" t="n"/>
      <c r="D997" s="4" t="n"/>
      <c r="E997" s="4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4" t="inlineStr">
        <is>
          <t>Студент2.8</t>
        </is>
      </c>
      <c r="B998" s="4" t="inlineStr"/>
      <c r="C998" s="4" t="n"/>
      <c r="D998" s="4" t="n"/>
      <c r="E998" s="4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</row>
    <row r="999">
      <c r="A999" s="4" t="inlineStr">
        <is>
          <t>Студент2.9</t>
        </is>
      </c>
      <c r="B999" s="4" t="inlineStr"/>
      <c r="C999" s="4" t="n"/>
      <c r="D999" s="4" t="n"/>
      <c r="E999" s="4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4" t="inlineStr">
        <is>
          <t>Студент2.10</t>
        </is>
      </c>
      <c r="B1000" s="4" t="inlineStr"/>
      <c r="C1000" s="4" t="n"/>
      <c r="D1000" s="4" t="n"/>
      <c r="E1000" s="4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5" t="n"/>
      <c r="AE1000" s="5" t="n"/>
      <c r="AF1000" s="5" t="n"/>
      <c r="AG1000" s="5" t="n"/>
      <c r="AH1000" s="5" t="n"/>
      <c r="AI1000" s="5" t="n"/>
    </row>
    <row r="1001">
      <c r="A1001" s="4" t="inlineStr">
        <is>
          <t>Студент2.11</t>
        </is>
      </c>
      <c r="B1001" s="4" t="inlineStr"/>
      <c r="C1001" s="4" t="n"/>
      <c r="D1001" s="4" t="n"/>
      <c r="E1001" s="4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  <row r="1002">
      <c r="A1002" s="4" t="inlineStr">
        <is>
          <t>Студент2.12</t>
        </is>
      </c>
      <c r="B1002" s="4" t="inlineStr"/>
      <c r="C1002" s="4" t="n"/>
      <c r="D1002" s="4" t="n"/>
      <c r="E1002" s="4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5" t="n"/>
      <c r="AE1002" s="5" t="n"/>
      <c r="AF1002" s="5" t="n"/>
      <c r="AG1002" s="5" t="n"/>
      <c r="AH1002" s="5" t="n"/>
      <c r="AI1002" s="5" t="n"/>
    </row>
    <row r="1003">
      <c r="A1003" s="4" t="inlineStr">
        <is>
          <t>Студент2.13</t>
        </is>
      </c>
      <c r="B1003" s="4" t="inlineStr"/>
      <c r="C1003" s="4" t="n"/>
      <c r="D1003" s="4" t="n"/>
      <c r="E1003" s="4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5" t="n"/>
      <c r="AE1003" s="5" t="n"/>
      <c r="AF1003" s="5" t="n"/>
      <c r="AG1003" s="5" t="n"/>
      <c r="AH1003" s="5" t="n"/>
      <c r="AI1003" s="5" t="n"/>
    </row>
    <row r="1004">
      <c r="A1004" s="4" t="inlineStr">
        <is>
          <t>Студент2.14</t>
        </is>
      </c>
      <c r="B1004" s="4" t="inlineStr"/>
      <c r="C1004" s="4" t="n"/>
      <c r="D1004" s="4" t="n"/>
      <c r="E1004" s="4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5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5" t="n"/>
      <c r="AE1004" s="5" t="n"/>
      <c r="AF1004" s="5" t="n"/>
      <c r="AG1004" s="5" t="n"/>
      <c r="AH1004" s="5" t="n"/>
      <c r="AI1004" s="5" t="n"/>
    </row>
    <row r="1005">
      <c r="A1005" s="4" t="inlineStr">
        <is>
          <t>Студент2.15</t>
        </is>
      </c>
      <c r="B1005" s="4" t="inlineStr"/>
      <c r="C1005" s="4" t="n"/>
      <c r="D1005" s="4" t="n"/>
      <c r="E1005" s="4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5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5" t="n"/>
      <c r="AE1005" s="5" t="n"/>
      <c r="AF1005" s="5" t="n"/>
      <c r="AG1005" s="5" t="n"/>
      <c r="AH1005" s="5" t="n"/>
      <c r="AI1005" s="5" t="n"/>
    </row>
    <row r="1006">
      <c r="A1006" s="4" t="inlineStr">
        <is>
          <t>Студент2.16</t>
        </is>
      </c>
      <c r="B1006" s="4" t="inlineStr"/>
      <c r="C1006" s="4" t="n"/>
      <c r="D1006" s="4" t="n"/>
      <c r="E1006" s="4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5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5" t="n"/>
      <c r="AE1006" s="5" t="n"/>
      <c r="AF1006" s="5" t="n"/>
      <c r="AG1006" s="5" t="n"/>
      <c r="AH1006" s="5" t="n"/>
      <c r="AI1006" s="5" t="n"/>
    </row>
    <row r="1007">
      <c r="A1007" s="4" t="inlineStr">
        <is>
          <t>Студент2.17</t>
        </is>
      </c>
      <c r="B1007" s="4" t="inlineStr"/>
      <c r="C1007" s="4" t="n"/>
      <c r="D1007" s="4" t="n"/>
      <c r="E1007" s="4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5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5" t="n"/>
      <c r="AE1007" s="5" t="n"/>
      <c r="AF1007" s="5" t="n"/>
      <c r="AG1007" s="5" t="n"/>
      <c r="AH1007" s="5" t="n"/>
      <c r="AI1007" s="5" t="n"/>
    </row>
    <row r="1008">
      <c r="A1008" s="4" t="inlineStr">
        <is>
          <t>Студент2.18</t>
        </is>
      </c>
      <c r="B1008" s="4" t="inlineStr"/>
      <c r="C1008" s="4" t="n"/>
      <c r="D1008" s="4" t="n"/>
      <c r="E1008" s="4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5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5" t="n"/>
      <c r="AE1008" s="5" t="n"/>
      <c r="AF1008" s="5" t="n"/>
      <c r="AG1008" s="5" t="n"/>
      <c r="AH1008" s="5" t="n"/>
      <c r="AI1008" s="5" t="n"/>
    </row>
    <row r="1009">
      <c r="A1009" s="4" t="inlineStr">
        <is>
          <t>Студент2.19</t>
        </is>
      </c>
      <c r="B1009" s="4" t="inlineStr"/>
      <c r="C1009" s="4" t="n"/>
      <c r="D1009" s="4" t="n"/>
      <c r="E1009" s="4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5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5" t="n"/>
      <c r="AE1009" s="5" t="n"/>
      <c r="AF1009" s="5" t="n"/>
      <c r="AG1009" s="5" t="n"/>
      <c r="AH1009" s="5" t="n"/>
      <c r="AI1009" s="5" t="n"/>
    </row>
    <row r="1010">
      <c r="A1010" s="4" t="inlineStr">
        <is>
          <t>Студент2.20</t>
        </is>
      </c>
      <c r="B1010" s="4" t="inlineStr"/>
      <c r="C1010" s="4" t="n"/>
      <c r="D1010" s="4" t="n"/>
      <c r="E1010" s="4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5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5" t="n"/>
      <c r="AE1010" s="5" t="n"/>
      <c r="AF1010" s="5" t="n"/>
      <c r="AG1010" s="5" t="n"/>
      <c r="AH1010" s="5" t="n"/>
      <c r="AI1010" s="5" t="n"/>
    </row>
    <row r="1011">
      <c r="A1011" s="4" t="inlineStr">
        <is>
          <t>Студент2.21</t>
        </is>
      </c>
      <c r="B1011" s="4" t="inlineStr"/>
      <c r="C1011" s="4" t="n"/>
      <c r="D1011" s="4" t="n"/>
      <c r="E1011" s="4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5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5" t="n"/>
      <c r="AE1011" s="5" t="n"/>
      <c r="AF1011" s="5" t="n"/>
      <c r="AG1011" s="5" t="n"/>
      <c r="AH1011" s="5" t="n"/>
      <c r="AI1011" s="5" t="n"/>
    </row>
    <row r="1012">
      <c r="A1012" s="4" t="inlineStr">
        <is>
          <t>Студент2.22</t>
        </is>
      </c>
      <c r="B1012" s="4" t="inlineStr"/>
      <c r="C1012" s="4" t="n"/>
      <c r="D1012" s="4" t="n"/>
      <c r="E1012" s="4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5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5" t="n"/>
      <c r="AE1012" s="5" t="n"/>
      <c r="AF1012" s="5" t="n"/>
      <c r="AG1012" s="5" t="n"/>
      <c r="AH1012" s="5" t="n"/>
      <c r="AI1012" s="5" t="n"/>
    </row>
    <row r="1013">
      <c r="A1013" s="4" t="inlineStr">
        <is>
          <t>Студент2.23</t>
        </is>
      </c>
      <c r="B1013" s="4" t="inlineStr"/>
      <c r="C1013" s="4" t="n"/>
      <c r="D1013" s="4" t="n"/>
      <c r="E1013" s="4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5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5" t="n"/>
      <c r="AE1013" s="5" t="n"/>
      <c r="AF1013" s="5" t="n"/>
      <c r="AG1013" s="5" t="n"/>
      <c r="AH1013" s="5" t="n"/>
      <c r="AI1013" s="5" t="n"/>
    </row>
    <row r="1014">
      <c r="A1014" s="4" t="inlineStr">
        <is>
          <t>Студент2.24</t>
        </is>
      </c>
      <c r="B1014" s="4" t="inlineStr"/>
      <c r="C1014" s="4" t="n"/>
      <c r="D1014" s="4" t="n"/>
      <c r="E1014" s="4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5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5" t="n"/>
      <c r="AE1014" s="5" t="n"/>
      <c r="AF1014" s="5" t="n"/>
      <c r="AG1014" s="5" t="n"/>
      <c r="AH1014" s="5" t="n"/>
      <c r="AI1014" s="5" t="n"/>
    </row>
    <row r="1015">
      <c r="A1015" s="4" t="inlineStr">
        <is>
          <t>Студент2.25</t>
        </is>
      </c>
      <c r="B1015" s="4" t="inlineStr"/>
      <c r="C1015" s="4" t="n"/>
      <c r="D1015" s="4" t="n"/>
      <c r="E1015" s="4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5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5" t="n"/>
      <c r="AE1015" s="5" t="n"/>
      <c r="AF1015" s="5" t="n"/>
      <c r="AG1015" s="5" t="n"/>
      <c r="AH1015" s="5" t="n"/>
      <c r="AI1015" s="5" t="n"/>
    </row>
    <row r="1016">
      <c r="A1016" s="4" t="inlineStr">
        <is>
          <t>Студент2.26</t>
        </is>
      </c>
      <c r="B1016" s="4" t="inlineStr"/>
      <c r="C1016" s="4" t="n"/>
      <c r="D1016" s="4" t="n"/>
      <c r="E1016" s="4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5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5" t="n"/>
      <c r="AE1016" s="5" t="n"/>
      <c r="AF1016" s="5" t="n"/>
      <c r="AG1016" s="5" t="n"/>
      <c r="AH1016" s="5" t="n"/>
      <c r="AI1016" s="5" t="n"/>
    </row>
    <row r="1017">
      <c r="A1017" s="4" t="inlineStr">
        <is>
          <t>Студент2.27</t>
        </is>
      </c>
      <c r="B1017" s="4" t="inlineStr"/>
      <c r="C1017" s="4" t="n"/>
      <c r="D1017" s="4" t="n"/>
      <c r="E1017" s="4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5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5" t="n"/>
      <c r="AE1017" s="5" t="n"/>
      <c r="AF1017" s="5" t="n"/>
      <c r="AG1017" s="5" t="n"/>
      <c r="AH1017" s="5" t="n"/>
      <c r="AI1017" s="5" t="n"/>
    </row>
    <row r="1018">
      <c r="A1018" s="4" t="inlineStr">
        <is>
          <t>Студент2.28</t>
        </is>
      </c>
      <c r="B1018" s="4" t="inlineStr"/>
      <c r="C1018" s="4" t="n"/>
      <c r="D1018" s="4" t="n"/>
      <c r="E1018" s="4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5" t="n"/>
      <c r="AE1018" s="5" t="n"/>
      <c r="AF1018" s="5" t="n"/>
      <c r="AG1018" s="5" t="n"/>
      <c r="AH1018" s="5" t="n"/>
      <c r="AI1018" s="5" t="n"/>
    </row>
    <row r="1019">
      <c r="A1019" s="4" t="inlineStr">
        <is>
          <t>Студент2.29</t>
        </is>
      </c>
      <c r="B1019" s="4" t="inlineStr"/>
      <c r="C1019" s="4" t="n"/>
      <c r="D1019" s="4" t="n"/>
      <c r="E1019" s="4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5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5" t="n"/>
      <c r="AE1019" s="5" t="n"/>
      <c r="AF1019" s="5" t="n"/>
      <c r="AG1019" s="5" t="n"/>
      <c r="AH1019" s="5" t="n"/>
      <c r="AI1019" s="5" t="n"/>
    </row>
    <row r="1020">
      <c r="A1020" s="4" t="inlineStr">
        <is>
          <t>Студент2.30</t>
        </is>
      </c>
      <c r="B1020" s="4" t="inlineStr"/>
      <c r="C1020" s="4" t="n"/>
      <c r="D1020" s="4" t="n"/>
      <c r="E1020" s="4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5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5" t="n"/>
      <c r="AE1020" s="5" t="n"/>
      <c r="AF1020" s="5" t="n"/>
      <c r="AG1020" s="5" t="n"/>
      <c r="AH1020" s="5" t="n"/>
      <c r="AI1020" s="5" t="n"/>
    </row>
  </sheetData>
  <mergeCells count="32">
    <mergeCell ref="A173:AI173"/>
    <mergeCell ref="A344:AI344"/>
    <mergeCell ref="A820:AI820"/>
    <mergeCell ref="A480:AI480"/>
    <mergeCell ref="A785:AI785"/>
    <mergeCell ref="A412:AI412"/>
    <mergeCell ref="A276:AI276"/>
    <mergeCell ref="A956:AI956"/>
    <mergeCell ref="A888:AI888"/>
    <mergeCell ref="A1:AI1"/>
    <mergeCell ref="A921:AI921"/>
    <mergeCell ref="A241:AI241"/>
    <mergeCell ref="A548:AI548"/>
    <mergeCell ref="A649:AI649"/>
    <mergeCell ref="A581:AI581"/>
    <mergeCell ref="A37:AI37"/>
    <mergeCell ref="A208:AI208"/>
    <mergeCell ref="A752:AI752"/>
    <mergeCell ref="A717:AI717"/>
    <mergeCell ref="A105:AI105"/>
    <mergeCell ref="A2:AI2"/>
    <mergeCell ref="A309:AI309"/>
    <mergeCell ref="A616:AI616"/>
    <mergeCell ref="A989:AI989"/>
    <mergeCell ref="A377:AI377"/>
    <mergeCell ref="A513:AI513"/>
    <mergeCell ref="A4:AI4"/>
    <mergeCell ref="A684:AI684"/>
    <mergeCell ref="A140:AI140"/>
    <mergeCell ref="A72:AI72"/>
    <mergeCell ref="A853:AI853"/>
    <mergeCell ref="A445:AI445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0">
      <formula>F6="+"</formula>
    </cfRule>
    <cfRule type="expression" priority="5" dxfId="0">
      <formula>F6="1"</formula>
    </cfRule>
    <cfRule type="expression" priority="6" dxfId="3">
      <formula>F6="-"</formula>
    </cfRule>
  </conditionalFormatting>
  <conditionalFormatting sqref="F39:AI68">
    <cfRule type="expression" priority="7" dxfId="0">
      <formula>F39="+"</formula>
    </cfRule>
    <cfRule type="expression" priority="8" dxfId="0">
      <formula>F39="1"</formula>
    </cfRule>
    <cfRule type="expression" priority="9" dxfId="3">
      <formula>F39="-"</formula>
    </cfRule>
  </conditionalFormatting>
  <conditionalFormatting sqref="C74:C103">
    <cfRule type="cellIs" priority="10" operator="greaterThanOrEqual" dxfId="0">
      <formula>21</formula>
    </cfRule>
    <cfRule type="cellIs" priority="11" operator="between" dxfId="1">
      <formula>15</formula>
      <formula>20</formula>
    </cfRule>
    <cfRule type="cellIs" priority="12" operator="lessThan" dxfId="2">
      <formula>15</formula>
    </cfRule>
  </conditionalFormatting>
  <conditionalFormatting sqref="F74:AI103">
    <cfRule type="expression" priority="13" dxfId="0">
      <formula>F74="+"</formula>
    </cfRule>
    <cfRule type="expression" priority="14" dxfId="0">
      <formula>F74="1"</formula>
    </cfRule>
    <cfRule type="expression" priority="15" dxfId="3">
      <formula>F74="-"</formula>
    </cfRule>
  </conditionalFormatting>
  <conditionalFormatting sqref="F107:AI136">
    <cfRule type="expression" priority="16" dxfId="0">
      <formula>F107="+"</formula>
    </cfRule>
    <cfRule type="expression" priority="17" dxfId="0">
      <formula>F107="1"</formula>
    </cfRule>
    <cfRule type="expression" priority="18" dxfId="3">
      <formula>F107="-"</formula>
    </cfRule>
  </conditionalFormatting>
  <conditionalFormatting sqref="C142:C171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42:AI171">
    <cfRule type="expression" priority="22" dxfId="0">
      <formula>F142="+"</formula>
    </cfRule>
    <cfRule type="expression" priority="23" dxfId="0">
      <formula>F142="1"</formula>
    </cfRule>
    <cfRule type="expression" priority="24" dxfId="3">
      <formula>F142="-"</formula>
    </cfRule>
  </conditionalFormatting>
  <conditionalFormatting sqref="F175:AI204">
    <cfRule type="expression" priority="25" dxfId="0">
      <formula>F175="+"</formula>
    </cfRule>
    <cfRule type="expression" priority="26" dxfId="0">
      <formula>F175="1"</formula>
    </cfRule>
    <cfRule type="expression" priority="27" dxfId="3">
      <formula>F175="-"</formula>
    </cfRule>
  </conditionalFormatting>
  <conditionalFormatting sqref="C210:C239">
    <cfRule type="cellIs" priority="28" operator="greaterThanOrEqual" dxfId="0">
      <formula>21</formula>
    </cfRule>
    <cfRule type="cellIs" priority="29" operator="between" dxfId="1">
      <formula>15</formula>
      <formula>20</formula>
    </cfRule>
    <cfRule type="cellIs" priority="30" operator="lessThan" dxfId="2">
      <formula>15</formula>
    </cfRule>
  </conditionalFormatting>
  <conditionalFormatting sqref="F210:AI239">
    <cfRule type="expression" priority="31" dxfId="0">
      <formula>F210="+"</formula>
    </cfRule>
    <cfRule type="expression" priority="32" dxfId="0">
      <formula>F210="1"</formula>
    </cfRule>
    <cfRule type="expression" priority="33" dxfId="3">
      <formula>F210="-"</formula>
    </cfRule>
  </conditionalFormatting>
  <conditionalFormatting sqref="F243:AI272">
    <cfRule type="expression" priority="34" dxfId="0">
      <formula>F243="+"</formula>
    </cfRule>
    <cfRule type="expression" priority="35" dxfId="0">
      <formula>F243="1"</formula>
    </cfRule>
    <cfRule type="expression" priority="36" dxfId="3">
      <formula>F243="-"</formula>
    </cfRule>
  </conditionalFormatting>
  <conditionalFormatting sqref="C278:C307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78:AI307">
    <cfRule type="expression" priority="40" dxfId="0">
      <formula>F278="+"</formula>
    </cfRule>
    <cfRule type="expression" priority="41" dxfId="0">
      <formula>F278="1"</formula>
    </cfRule>
    <cfRule type="expression" priority="42" dxfId="3">
      <formula>F278="-"</formula>
    </cfRule>
  </conditionalFormatting>
  <conditionalFormatting sqref="F311:AI340">
    <cfRule type="expression" priority="43" dxfId="0">
      <formula>F311="+"</formula>
    </cfRule>
    <cfRule type="expression" priority="44" dxfId="0">
      <formula>F311="1"</formula>
    </cfRule>
    <cfRule type="expression" priority="45" dxfId="3">
      <formula>F311="-"</formula>
    </cfRule>
  </conditionalFormatting>
  <conditionalFormatting sqref="C346:C375">
    <cfRule type="cellIs" priority="46" operator="greaterThanOrEqual" dxfId="0">
      <formula>21</formula>
    </cfRule>
    <cfRule type="cellIs" priority="47" operator="between" dxfId="1">
      <formula>15</formula>
      <formula>20</formula>
    </cfRule>
    <cfRule type="cellIs" priority="48" operator="lessThan" dxfId="2">
      <formula>15</formula>
    </cfRule>
  </conditionalFormatting>
  <conditionalFormatting sqref="F346:AI375">
    <cfRule type="expression" priority="49" dxfId="0">
      <formula>F346="+"</formula>
    </cfRule>
    <cfRule type="expression" priority="50" dxfId="0">
      <formula>F346="1"</formula>
    </cfRule>
    <cfRule type="expression" priority="51" dxfId="3">
      <formula>F346="-"</formula>
    </cfRule>
  </conditionalFormatting>
  <conditionalFormatting sqref="F379:AI408">
    <cfRule type="expression" priority="52" dxfId="0">
      <formula>F379="+"</formula>
    </cfRule>
    <cfRule type="expression" priority="53" dxfId="0">
      <formula>F379="1"</formula>
    </cfRule>
    <cfRule type="expression" priority="54" dxfId="3">
      <formula>F379="-"</formula>
    </cfRule>
  </conditionalFormatting>
  <conditionalFormatting sqref="C414:C443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414:AI443">
    <cfRule type="expression" priority="58" dxfId="0">
      <formula>F414="+"</formula>
    </cfRule>
    <cfRule type="expression" priority="59" dxfId="0">
      <formula>F414="1"</formula>
    </cfRule>
    <cfRule type="expression" priority="60" dxfId="3">
      <formula>F414="-"</formula>
    </cfRule>
  </conditionalFormatting>
  <conditionalFormatting sqref="F447:AI476">
    <cfRule type="expression" priority="61" dxfId="0">
      <formula>F447="+"</formula>
    </cfRule>
    <cfRule type="expression" priority="62" dxfId="0">
      <formula>F447="1"</formula>
    </cfRule>
    <cfRule type="expression" priority="63" dxfId="3">
      <formula>F447="-"</formula>
    </cfRule>
  </conditionalFormatting>
  <conditionalFormatting sqref="C482:C511">
    <cfRule type="cellIs" priority="64" operator="greaterThanOrEqual" dxfId="0">
      <formula>21</formula>
    </cfRule>
    <cfRule type="cellIs" priority="65" operator="between" dxfId="1">
      <formula>15</formula>
      <formula>20</formula>
    </cfRule>
    <cfRule type="cellIs" priority="66" operator="lessThan" dxfId="2">
      <formula>15</formula>
    </cfRule>
  </conditionalFormatting>
  <conditionalFormatting sqref="F482:AI511">
    <cfRule type="expression" priority="67" dxfId="0">
      <formula>F482="+"</formula>
    </cfRule>
    <cfRule type="expression" priority="68" dxfId="0">
      <formula>F482="1"</formula>
    </cfRule>
    <cfRule type="expression" priority="69" dxfId="3">
      <formula>F482="-"</formula>
    </cfRule>
  </conditionalFormatting>
  <conditionalFormatting sqref="F515:AI544">
    <cfRule type="expression" priority="70" dxfId="0">
      <formula>F515="+"</formula>
    </cfRule>
    <cfRule type="expression" priority="71" dxfId="0">
      <formula>F515="1"</formula>
    </cfRule>
    <cfRule type="expression" priority="72" dxfId="3">
      <formula>F515="-"</formula>
    </cfRule>
  </conditionalFormatting>
  <conditionalFormatting sqref="C550:C579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550:AI579">
    <cfRule type="expression" priority="76" dxfId="0">
      <formula>F550="+"</formula>
    </cfRule>
    <cfRule type="expression" priority="77" dxfId="0">
      <formula>F550="1"</formula>
    </cfRule>
    <cfRule type="expression" priority="78" dxfId="3">
      <formula>F550="-"</formula>
    </cfRule>
  </conditionalFormatting>
  <conditionalFormatting sqref="F583:AI612">
    <cfRule type="expression" priority="79" dxfId="0">
      <formula>F583="+"</formula>
    </cfRule>
    <cfRule type="expression" priority="80" dxfId="0">
      <formula>F583="1"</formula>
    </cfRule>
    <cfRule type="expression" priority="81" dxfId="3">
      <formula>F583="-"</formula>
    </cfRule>
  </conditionalFormatting>
  <conditionalFormatting sqref="C618:C647">
    <cfRule type="cellIs" priority="82" operator="greaterThanOrEqual" dxfId="0">
      <formula>21</formula>
    </cfRule>
    <cfRule type="cellIs" priority="83" operator="between" dxfId="1">
      <formula>15</formula>
      <formula>20</formula>
    </cfRule>
    <cfRule type="cellIs" priority="84" operator="lessThan" dxfId="2">
      <formula>15</formula>
    </cfRule>
  </conditionalFormatting>
  <conditionalFormatting sqref="F618:AI647">
    <cfRule type="expression" priority="85" dxfId="0">
      <formula>F618="+"</formula>
    </cfRule>
    <cfRule type="expression" priority="86" dxfId="0">
      <formula>F618="1"</formula>
    </cfRule>
    <cfRule type="expression" priority="87" dxfId="3">
      <formula>F618="-"</formula>
    </cfRule>
  </conditionalFormatting>
  <conditionalFormatting sqref="F651:AI680">
    <cfRule type="expression" priority="88" dxfId="0">
      <formula>F651="+"</formula>
    </cfRule>
    <cfRule type="expression" priority="89" dxfId="0">
      <formula>F651="1"</formula>
    </cfRule>
    <cfRule type="expression" priority="90" dxfId="3">
      <formula>F651="-"</formula>
    </cfRule>
  </conditionalFormatting>
  <conditionalFormatting sqref="C686:C715">
    <cfRule type="cellIs" priority="91" operator="greaterThanOrEqual" dxfId="0">
      <formula>21</formula>
    </cfRule>
    <cfRule type="cellIs" priority="92" operator="between" dxfId="1">
      <formula>15</formula>
      <formula>20</formula>
    </cfRule>
    <cfRule type="cellIs" priority="93" operator="lessThan" dxfId="2">
      <formula>15</formula>
    </cfRule>
  </conditionalFormatting>
  <conditionalFormatting sqref="F686:AI715">
    <cfRule type="expression" priority="94" dxfId="0">
      <formula>F686="+"</formula>
    </cfRule>
    <cfRule type="expression" priority="95" dxfId="0">
      <formula>F686="1"</formula>
    </cfRule>
    <cfRule type="expression" priority="96" dxfId="3">
      <formula>F686="-"</formula>
    </cfRule>
  </conditionalFormatting>
  <conditionalFormatting sqref="F719:AI748">
    <cfRule type="expression" priority="97" dxfId="0">
      <formula>F719="+"</formula>
    </cfRule>
    <cfRule type="expression" priority="98" dxfId="0">
      <formula>F719="1"</formula>
    </cfRule>
    <cfRule type="expression" priority="99" dxfId="3">
      <formula>F719="-"</formula>
    </cfRule>
  </conditionalFormatting>
  <conditionalFormatting sqref="C754:C783">
    <cfRule type="cellIs" priority="100" operator="greaterThanOrEqual" dxfId="0">
      <formula>21</formula>
    </cfRule>
    <cfRule type="cellIs" priority="101" operator="between" dxfId="1">
      <formula>15</formula>
      <formula>20</formula>
    </cfRule>
    <cfRule type="cellIs" priority="102" operator="lessThan" dxfId="2">
      <formula>15</formula>
    </cfRule>
  </conditionalFormatting>
  <conditionalFormatting sqref="F754:AI783">
    <cfRule type="expression" priority="103" dxfId="0">
      <formula>F754="+"</formula>
    </cfRule>
    <cfRule type="expression" priority="104" dxfId="0">
      <formula>F754="1"</formula>
    </cfRule>
    <cfRule type="expression" priority="105" dxfId="3">
      <formula>F754="-"</formula>
    </cfRule>
  </conditionalFormatting>
  <conditionalFormatting sqref="F787:AI816">
    <cfRule type="expression" priority="106" dxfId="0">
      <formula>F787="+"</formula>
    </cfRule>
    <cfRule type="expression" priority="107" dxfId="0">
      <formula>F787="1"</formula>
    </cfRule>
    <cfRule type="expression" priority="108" dxfId="3">
      <formula>F787="-"</formula>
    </cfRule>
  </conditionalFormatting>
  <conditionalFormatting sqref="C822:C851">
    <cfRule type="cellIs" priority="109" operator="greaterThanOrEqual" dxfId="0">
      <formula>21</formula>
    </cfRule>
    <cfRule type="cellIs" priority="110" operator="between" dxfId="1">
      <formula>15</formula>
      <formula>20</formula>
    </cfRule>
    <cfRule type="cellIs" priority="111" operator="lessThan" dxfId="2">
      <formula>15</formula>
    </cfRule>
  </conditionalFormatting>
  <conditionalFormatting sqref="F822:AI851">
    <cfRule type="expression" priority="112" dxfId="0">
      <formula>F822="+"</formula>
    </cfRule>
    <cfRule type="expression" priority="113" dxfId="0">
      <formula>F822="1"</formula>
    </cfRule>
    <cfRule type="expression" priority="114" dxfId="3">
      <formula>F822="-"</formula>
    </cfRule>
  </conditionalFormatting>
  <conditionalFormatting sqref="F855:AI884">
    <cfRule type="expression" priority="115" dxfId="0">
      <formula>F855="+"</formula>
    </cfRule>
    <cfRule type="expression" priority="116" dxfId="0">
      <formula>F855="1"</formula>
    </cfRule>
    <cfRule type="expression" priority="117" dxfId="3">
      <formula>F855="-"</formula>
    </cfRule>
  </conditionalFormatting>
  <conditionalFormatting sqref="C890:C919">
    <cfRule type="cellIs" priority="118" operator="greaterThanOrEqual" dxfId="0">
      <formula>21</formula>
    </cfRule>
    <cfRule type="cellIs" priority="119" operator="between" dxfId="1">
      <formula>15</formula>
      <formula>20</formula>
    </cfRule>
    <cfRule type="cellIs" priority="120" operator="lessThan" dxfId="2">
      <formula>15</formula>
    </cfRule>
  </conditionalFormatting>
  <conditionalFormatting sqref="F890:AI919">
    <cfRule type="expression" priority="121" dxfId="0">
      <formula>F890="+"</formula>
    </cfRule>
    <cfRule type="expression" priority="122" dxfId="0">
      <formula>F890="1"</formula>
    </cfRule>
    <cfRule type="expression" priority="123" dxfId="3">
      <formula>F890="-"</formula>
    </cfRule>
  </conditionalFormatting>
  <conditionalFormatting sqref="F923:AI952">
    <cfRule type="expression" priority="124" dxfId="0">
      <formula>F923="+"</formula>
    </cfRule>
    <cfRule type="expression" priority="125" dxfId="0">
      <formula>F923="1"</formula>
    </cfRule>
    <cfRule type="expression" priority="126" dxfId="3">
      <formula>F923="-"</formula>
    </cfRule>
  </conditionalFormatting>
  <conditionalFormatting sqref="C958:C987">
    <cfRule type="cellIs" priority="127" operator="greaterThanOrEqual" dxfId="0">
      <formula>21</formula>
    </cfRule>
    <cfRule type="cellIs" priority="128" operator="between" dxfId="1">
      <formula>15</formula>
      <formula>20</formula>
    </cfRule>
    <cfRule type="cellIs" priority="129" operator="lessThan" dxfId="2">
      <formula>15</formula>
    </cfRule>
  </conditionalFormatting>
  <conditionalFormatting sqref="F958:AI987">
    <cfRule type="expression" priority="130" dxfId="0">
      <formula>F958="+"</formula>
    </cfRule>
    <cfRule type="expression" priority="131" dxfId="0">
      <formula>F958="1"</formula>
    </cfRule>
    <cfRule type="expression" priority="132" dxfId="3">
      <formula>F958="-"</formula>
    </cfRule>
  </conditionalFormatting>
  <conditionalFormatting sqref="F991:AI1020">
    <cfRule type="expression" priority="133" dxfId="0">
      <formula>F991="+"</formula>
    </cfRule>
    <cfRule type="expression" priority="134" dxfId="0">
      <formula>F991="1"</formula>
    </cfRule>
    <cfRule type="expression" priority="135" dxfId="3">
      <formula>F991="-"</formula>
    </cfRule>
  </conditionalFormatting>
  <dataValidations count="30">
    <dataValidation sqref="F6:AI3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9:AI6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74:AI10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107:AI13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142:AI17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175:AI20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210:AI23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243:AI27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278:AI30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11:AI34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346:AI37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79:AI40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414:AI44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447:AI47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482:AI51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515:AI54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550:AI57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583:AI61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618:AI64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651:AI68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686:AI71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719:AI74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754:AI78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787:AI81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822:AI85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855:AI88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890:AI91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923:AI95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958:AI98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991:AI102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020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>
      <c r="A1" s="1" t="inlineStr">
        <is>
          <t>Плюсы — Немат</t>
        </is>
      </c>
    </row>
    <row r="2" ht="30" customHeight="1">
      <c r="A2" s="2" t="inlineStr">
        <is>
          <t>В каждом блоке одна практика. В верхней таблице ставятся +; практик может заменить + на 1. В нижней таблице практик отмечает 1 или -.</t>
        </is>
      </c>
    </row>
    <row r="4">
      <c r="A4" s="17" t="inlineStr">
        <is>
          <t>Практика 1 — плюсы</t>
        </is>
      </c>
    </row>
    <row r="5" ht="28" customHeight="1">
      <c r="A5" s="9" t="inlineStr">
        <is>
          <t>Имя</t>
        </is>
      </c>
      <c r="B5" s="11" t="inlineStr">
        <is>
          <t>TG</t>
        </is>
      </c>
      <c r="C5" s="12" t="inlineStr">
        <is>
          <t>S</t>
        </is>
      </c>
      <c r="D5" s="10" t="inlineStr">
        <is>
          <t>Коэффициент</t>
        </is>
      </c>
      <c r="E5" s="18" t="inlineStr">
        <is>
          <t>D за практику</t>
        </is>
      </c>
      <c r="F5" s="13" t="inlineStr">
        <is>
          <t>1.0</t>
        </is>
      </c>
      <c r="G5" s="13" t="inlineStr">
        <is>
          <t>2.0</t>
        </is>
      </c>
      <c r="H5" s="13" t="inlineStr">
        <is>
          <t>3.0</t>
        </is>
      </c>
      <c r="I5" s="13" t="inlineStr">
        <is>
          <t>4.0</t>
        </is>
      </c>
      <c r="J5" s="13" t="inlineStr">
        <is>
          <t>5.0</t>
        </is>
      </c>
      <c r="K5" s="13" t="inlineStr">
        <is>
          <t>6</t>
        </is>
      </c>
      <c r="L5" s="13" t="inlineStr">
        <is>
          <t>7</t>
        </is>
      </c>
      <c r="M5" s="13" t="inlineStr">
        <is>
          <t>8</t>
        </is>
      </c>
      <c r="N5" s="13" t="inlineStr">
        <is>
          <t>9</t>
        </is>
      </c>
      <c r="O5" s="13" t="inlineStr">
        <is>
          <t>10</t>
        </is>
      </c>
      <c r="P5" s="13" t="inlineStr">
        <is>
          <t>11</t>
        </is>
      </c>
      <c r="Q5" s="13" t="inlineStr">
        <is>
          <t>12</t>
        </is>
      </c>
      <c r="R5" s="13" t="inlineStr">
        <is>
          <t>13</t>
        </is>
      </c>
      <c r="S5" s="13" t="inlineStr">
        <is>
          <t>14</t>
        </is>
      </c>
      <c r="T5" s="13" t="inlineStr">
        <is>
          <t>15</t>
        </is>
      </c>
      <c r="U5" s="13" t="inlineStr">
        <is>
          <t>16</t>
        </is>
      </c>
      <c r="V5" s="13" t="inlineStr">
        <is>
          <t>17</t>
        </is>
      </c>
      <c r="W5" s="13" t="inlineStr">
        <is>
          <t>18</t>
        </is>
      </c>
      <c r="X5" s="13" t="inlineStr">
        <is>
          <t>19</t>
        </is>
      </c>
      <c r="Y5" s="13" t="inlineStr">
        <is>
          <t>20</t>
        </is>
      </c>
      <c r="Z5" s="13" t="inlineStr">
        <is>
          <t>21</t>
        </is>
      </c>
      <c r="AA5" s="13" t="inlineStr">
        <is>
          <t>22</t>
        </is>
      </c>
      <c r="AB5" s="13" t="inlineStr">
        <is>
          <t>23</t>
        </is>
      </c>
      <c r="AC5" s="13" t="inlineStr">
        <is>
          <t>24</t>
        </is>
      </c>
      <c r="AD5" s="13" t="inlineStr">
        <is>
          <t>25</t>
        </is>
      </c>
      <c r="AE5" s="13" t="inlineStr">
        <is>
          <t>26</t>
        </is>
      </c>
      <c r="AF5" s="13" t="inlineStr">
        <is>
          <t>27</t>
        </is>
      </c>
      <c r="AG5" s="13" t="inlineStr">
        <is>
          <t>28</t>
        </is>
      </c>
      <c r="AH5" s="13" t="inlineStr">
        <is>
          <t>29</t>
        </is>
      </c>
      <c r="AI5" s="13" t="inlineStr">
        <is>
          <t>30</t>
        </is>
      </c>
    </row>
    <row r="6">
      <c r="A6" s="4" t="inlineStr">
        <is>
          <t>Студент3.1</t>
        </is>
      </c>
      <c r="B6" s="4" t="inlineStr"/>
      <c r="C6" s="4">
        <f>IF(A6="","",COUNTIF(F6:AI6,"+")+COUNTIF(F6:AI6,"1"))</f>
        <v/>
      </c>
      <c r="D6" s="4">
        <f>IF(A6="","",IF(C6&gt;2*COUNTA(F$5:AI$5)/3,'Общий'!$M$11,IF(C6&gt;=COUNTA(F$5:AI$5)/2,'Общий'!$M$12,'Общий'!$M$13)))</f>
        <v/>
      </c>
      <c r="E6" s="4">
        <f>IF(A6="","",SUMIFS('Логи'!$H$7:$H$3006,'Логи'!$A$7:$A$3006,1,'Логи'!$B$7:$B$3006,3,'Логи'!$C$7:$C$3006,A6))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>
      <c r="A7" s="4" t="inlineStr">
        <is>
          <t>Студент3.2</t>
        </is>
      </c>
      <c r="B7" s="4" t="inlineStr"/>
      <c r="C7" s="4">
        <f>IF(A7="","",COUNTIF(F7:AI7,"+")+COUNTIF(F7:AI7,"1"))</f>
        <v/>
      </c>
      <c r="D7" s="4">
        <f>IF(A7="","",IF(C7&gt;2*COUNTA(F$5:AI$5)/3,'Общий'!$M$11,IF(C7&gt;=COUNTA(F$5:AI$5)/2,'Общий'!$M$12,'Общий'!$M$13)))</f>
        <v/>
      </c>
      <c r="E7" s="4">
        <f>IF(A7="","",SUMIFS('Логи'!$H$7:$H$3006,'Логи'!$A$7:$A$3006,1,'Логи'!$B$7:$B$3006,3,'Логи'!$C$7:$C$3006,A7))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4" t="inlineStr">
        <is>
          <t>Студент3.3</t>
        </is>
      </c>
      <c r="B8" s="4" t="inlineStr"/>
      <c r="C8" s="4">
        <f>IF(A8="","",COUNTIF(F8:AI8,"+")+COUNTIF(F8:AI8,"1"))</f>
        <v/>
      </c>
      <c r="D8" s="4">
        <f>IF(A8="","",IF(C8&gt;2*COUNTA(F$5:AI$5)/3,'Общий'!$M$11,IF(C8&gt;=COUNTA(F$5:AI$5)/2,'Общий'!$M$12,'Общий'!$M$13)))</f>
        <v/>
      </c>
      <c r="E8" s="4">
        <f>IF(A8="","",SUMIFS('Логи'!$H$7:$H$3006,'Логи'!$A$7:$A$3006,1,'Логи'!$B$7:$B$3006,3,'Логи'!$C$7:$C$3006,A8))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</row>
    <row r="9">
      <c r="A9" s="4" t="inlineStr">
        <is>
          <t>Студент3.4</t>
        </is>
      </c>
      <c r="B9" s="4" t="inlineStr"/>
      <c r="C9" s="4">
        <f>IF(A9="","",COUNTIF(F9:AI9,"+")+COUNTIF(F9:AI9,"1"))</f>
        <v/>
      </c>
      <c r="D9" s="4">
        <f>IF(A9="","",IF(C9&gt;2*COUNTA(F$5:AI$5)/3,'Общий'!$M$11,IF(C9&gt;=COUNTA(F$5:AI$5)/2,'Общий'!$M$12,'Общий'!$M$13)))</f>
        <v/>
      </c>
      <c r="E9" s="4">
        <f>IF(A9="","",SUMIFS('Логи'!$H$7:$H$3006,'Логи'!$A$7:$A$3006,1,'Логи'!$B$7:$B$3006,3,'Логи'!$C$7:$C$3006,A9))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4" t="inlineStr">
        <is>
          <t>Студент3.5</t>
        </is>
      </c>
      <c r="B10" s="4" t="inlineStr"/>
      <c r="C10" s="4">
        <f>IF(A10="","",COUNTIF(F10:AI10,"+")+COUNTIF(F10:AI10,"1"))</f>
        <v/>
      </c>
      <c r="D10" s="4">
        <f>IF(A10="","",IF(C10&gt;2*COUNTA(F$5:AI$5)/3,'Общий'!$M$11,IF(C10&gt;=COUNTA(F$5:AI$5)/2,'Общий'!$M$12,'Общий'!$M$13)))</f>
        <v/>
      </c>
      <c r="E10" s="4">
        <f>IF(A10="","",SUMIFS('Логи'!$H$7:$H$3006,'Логи'!$A$7:$A$3006,1,'Логи'!$B$7:$B$3006,3,'Логи'!$C$7:$C$3006,A10))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</row>
    <row r="11">
      <c r="A11" s="4" t="inlineStr">
        <is>
          <t>Студент3.6</t>
        </is>
      </c>
      <c r="B11" s="4" t="inlineStr"/>
      <c r="C11" s="4">
        <f>IF(A11="","",COUNTIF(F11:AI11,"+")+COUNTIF(F11:AI11,"1"))</f>
        <v/>
      </c>
      <c r="D11" s="4">
        <f>IF(A11="","",IF(C11&gt;2*COUNTA(F$5:AI$5)/3,'Общий'!$M$11,IF(C11&gt;=COUNTA(F$5:AI$5)/2,'Общий'!$M$12,'Общий'!$M$13)))</f>
        <v/>
      </c>
      <c r="E11" s="4">
        <f>IF(A11="","",SUMIFS('Логи'!$H$7:$H$3006,'Логи'!$A$7:$A$3006,1,'Логи'!$B$7:$B$3006,3,'Логи'!$C$7:$C$3006,A11))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4" t="inlineStr">
        <is>
          <t>Студент3.7</t>
        </is>
      </c>
      <c r="B12" s="4" t="inlineStr"/>
      <c r="C12" s="4">
        <f>IF(A12="","",COUNTIF(F12:AI12,"+")+COUNTIF(F12:AI12,"1"))</f>
        <v/>
      </c>
      <c r="D12" s="4">
        <f>IF(A12="","",IF(C12&gt;2*COUNTA(F$5:AI$5)/3,'Общий'!$M$11,IF(C12&gt;=COUNTA(F$5:AI$5)/2,'Общий'!$M$12,'Общий'!$M$13)))</f>
        <v/>
      </c>
      <c r="E12" s="4">
        <f>IF(A12="","",SUMIFS('Логи'!$H$7:$H$3006,'Логи'!$A$7:$A$3006,1,'Логи'!$B$7:$B$3006,3,'Логи'!$C$7:$C$3006,A12))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</row>
    <row r="13">
      <c r="A13" s="4" t="inlineStr">
        <is>
          <t>Студент3.8</t>
        </is>
      </c>
      <c r="B13" s="4" t="inlineStr"/>
      <c r="C13" s="4">
        <f>IF(A13="","",COUNTIF(F13:AI13,"+")+COUNTIF(F13:AI13,"1"))</f>
        <v/>
      </c>
      <c r="D13" s="4">
        <f>IF(A13="","",IF(C13&gt;2*COUNTA(F$5:AI$5)/3,'Общий'!$M$11,IF(C13&gt;=COUNTA(F$5:AI$5)/2,'Общий'!$M$12,'Общий'!$M$13)))</f>
        <v/>
      </c>
      <c r="E13" s="4">
        <f>IF(A13="","",SUMIFS('Логи'!$H$7:$H$3006,'Логи'!$A$7:$A$3006,1,'Логи'!$B$7:$B$3006,3,'Логи'!$C$7:$C$3006,A13))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4" t="inlineStr">
        <is>
          <t>Студент3.9</t>
        </is>
      </c>
      <c r="B14" s="4" t="inlineStr"/>
      <c r="C14" s="4">
        <f>IF(A14="","",COUNTIF(F14:AI14,"+")+COUNTIF(F14:AI14,"1"))</f>
        <v/>
      </c>
      <c r="D14" s="4">
        <f>IF(A14="","",IF(C14&gt;2*COUNTA(F$5:AI$5)/3,'Общий'!$M$11,IF(C14&gt;=COUNTA(F$5:AI$5)/2,'Общий'!$M$12,'Общий'!$M$13)))</f>
        <v/>
      </c>
      <c r="E14" s="4">
        <f>IF(A14="","",SUMIFS('Логи'!$H$7:$H$3006,'Логи'!$A$7:$A$3006,1,'Логи'!$B$7:$B$3006,3,'Логи'!$C$7:$C$3006,A14))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</row>
    <row r="15">
      <c r="A15" s="4" t="inlineStr">
        <is>
          <t>Студент3.10</t>
        </is>
      </c>
      <c r="B15" s="4" t="inlineStr"/>
      <c r="C15" s="4">
        <f>IF(A15="","",COUNTIF(F15:AI15,"+")+COUNTIF(F15:AI15,"1"))</f>
        <v/>
      </c>
      <c r="D15" s="4">
        <f>IF(A15="","",IF(C15&gt;2*COUNTA(F$5:AI$5)/3,'Общий'!$M$11,IF(C15&gt;=COUNTA(F$5:AI$5)/2,'Общий'!$M$12,'Общий'!$M$13)))</f>
        <v/>
      </c>
      <c r="E15" s="4">
        <f>IF(A15="","",SUMIFS('Логи'!$H$7:$H$3006,'Логи'!$A$7:$A$3006,1,'Логи'!$B$7:$B$3006,3,'Логи'!$C$7:$C$3006,A15))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4" t="inlineStr">
        <is>
          <t>Студент3.11</t>
        </is>
      </c>
      <c r="B16" s="4" t="inlineStr"/>
      <c r="C16" s="4">
        <f>IF(A16="","",COUNTIF(F16:AI16,"+")+COUNTIF(F16:AI16,"1"))</f>
        <v/>
      </c>
      <c r="D16" s="4">
        <f>IF(A16="","",IF(C16&gt;2*COUNTA(F$5:AI$5)/3,'Общий'!$M$11,IF(C16&gt;=COUNTA(F$5:AI$5)/2,'Общий'!$M$12,'Общий'!$M$13)))</f>
        <v/>
      </c>
      <c r="E16" s="4">
        <f>IF(A16="","",SUMIFS('Логи'!$H$7:$H$3006,'Логи'!$A$7:$A$3006,1,'Логи'!$B$7:$B$3006,3,'Логи'!$C$7:$C$3006,A16))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</row>
    <row r="17">
      <c r="A17" s="4" t="inlineStr">
        <is>
          <t>Студент3.12</t>
        </is>
      </c>
      <c r="B17" s="4" t="inlineStr"/>
      <c r="C17" s="4">
        <f>IF(A17="","",COUNTIF(F17:AI17,"+")+COUNTIF(F17:AI17,"1"))</f>
        <v/>
      </c>
      <c r="D17" s="4">
        <f>IF(A17="","",IF(C17&gt;2*COUNTA(F$5:AI$5)/3,'Общий'!$M$11,IF(C17&gt;=COUNTA(F$5:AI$5)/2,'Общий'!$M$12,'Общий'!$M$13)))</f>
        <v/>
      </c>
      <c r="E17" s="4">
        <f>IF(A17="","",SUMIFS('Логи'!$H$7:$H$3006,'Логи'!$A$7:$A$3006,1,'Логи'!$B$7:$B$3006,3,'Логи'!$C$7:$C$3006,A17))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4" t="inlineStr">
        <is>
          <t>Студент3.13</t>
        </is>
      </c>
      <c r="B18" s="4" t="inlineStr"/>
      <c r="C18" s="4">
        <f>IF(A18="","",COUNTIF(F18:AI18,"+")+COUNTIF(F18:AI18,"1"))</f>
        <v/>
      </c>
      <c r="D18" s="4">
        <f>IF(A18="","",IF(C18&gt;2*COUNTA(F$5:AI$5)/3,'Общий'!$M$11,IF(C18&gt;=COUNTA(F$5:AI$5)/2,'Общий'!$M$12,'Общий'!$M$13)))</f>
        <v/>
      </c>
      <c r="E18" s="4">
        <f>IF(A18="","",SUMIFS('Логи'!$H$7:$H$3006,'Логи'!$A$7:$A$3006,1,'Логи'!$B$7:$B$3006,3,'Логи'!$C$7:$C$3006,A18))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</row>
    <row r="19">
      <c r="A19" s="4" t="inlineStr">
        <is>
          <t>Студент3.14</t>
        </is>
      </c>
      <c r="B19" s="4" t="inlineStr"/>
      <c r="C19" s="4">
        <f>IF(A19="","",COUNTIF(F19:AI19,"+")+COUNTIF(F19:AI19,"1"))</f>
        <v/>
      </c>
      <c r="D19" s="4">
        <f>IF(A19="","",IF(C19&gt;2*COUNTA(F$5:AI$5)/3,'Общий'!$M$11,IF(C19&gt;=COUNTA(F$5:AI$5)/2,'Общий'!$M$12,'Общий'!$M$13)))</f>
        <v/>
      </c>
      <c r="E19" s="4">
        <f>IF(A19="","",SUMIFS('Логи'!$H$7:$H$3006,'Логи'!$A$7:$A$3006,1,'Логи'!$B$7:$B$3006,3,'Логи'!$C$7:$C$3006,A19))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4" t="inlineStr">
        <is>
          <t>Студент3.15</t>
        </is>
      </c>
      <c r="B20" s="4" t="inlineStr"/>
      <c r="C20" s="4">
        <f>IF(A20="","",COUNTIF(F20:AI20,"+")+COUNTIF(F20:AI20,"1"))</f>
        <v/>
      </c>
      <c r="D20" s="4">
        <f>IF(A20="","",IF(C20&gt;2*COUNTA(F$5:AI$5)/3,'Общий'!$M$11,IF(C20&gt;=COUNTA(F$5:AI$5)/2,'Общий'!$M$12,'Общий'!$M$13)))</f>
        <v/>
      </c>
      <c r="E20" s="4">
        <f>IF(A20="","",SUMIFS('Логи'!$H$7:$H$3006,'Логи'!$A$7:$A$3006,1,'Логи'!$B$7:$B$3006,3,'Логи'!$C$7:$C$3006,A20))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</row>
    <row r="21">
      <c r="A21" s="4" t="inlineStr">
        <is>
          <t>Студент3.16</t>
        </is>
      </c>
      <c r="B21" s="4" t="inlineStr"/>
      <c r="C21" s="4">
        <f>IF(A21="","",COUNTIF(F21:AI21,"+")+COUNTIF(F21:AI21,"1"))</f>
        <v/>
      </c>
      <c r="D21" s="4">
        <f>IF(A21="","",IF(C21&gt;2*COUNTA(F$5:AI$5)/3,'Общий'!$M$11,IF(C21&gt;=COUNTA(F$5:AI$5)/2,'Общий'!$M$12,'Общий'!$M$13)))</f>
        <v/>
      </c>
      <c r="E21" s="4">
        <f>IF(A21="","",SUMIFS('Логи'!$H$7:$H$3006,'Логи'!$A$7:$A$3006,1,'Логи'!$B$7:$B$3006,3,'Логи'!$C$7:$C$3006,A21))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4" t="inlineStr">
        <is>
          <t>Студент3.17</t>
        </is>
      </c>
      <c r="B22" s="4" t="inlineStr"/>
      <c r="C22" s="4">
        <f>IF(A22="","",COUNTIF(F22:AI22,"+")+COUNTIF(F22:AI22,"1"))</f>
        <v/>
      </c>
      <c r="D22" s="4">
        <f>IF(A22="","",IF(C22&gt;2*COUNTA(F$5:AI$5)/3,'Общий'!$M$11,IF(C22&gt;=COUNTA(F$5:AI$5)/2,'Общий'!$M$12,'Общий'!$M$13)))</f>
        <v/>
      </c>
      <c r="E22" s="4">
        <f>IF(A22="","",SUMIFS('Логи'!$H$7:$H$3006,'Логи'!$A$7:$A$3006,1,'Логи'!$B$7:$B$3006,3,'Логи'!$C$7:$C$3006,A22))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</row>
    <row r="23">
      <c r="A23" s="4" t="inlineStr">
        <is>
          <t>Студент3.18</t>
        </is>
      </c>
      <c r="B23" s="4" t="inlineStr"/>
      <c r="C23" s="4">
        <f>IF(A23="","",COUNTIF(F23:AI23,"+")+COUNTIF(F23:AI23,"1"))</f>
        <v/>
      </c>
      <c r="D23" s="4">
        <f>IF(A23="","",IF(C23&gt;2*COUNTA(F$5:AI$5)/3,'Общий'!$M$11,IF(C23&gt;=COUNTA(F$5:AI$5)/2,'Общий'!$M$12,'Общий'!$M$13)))</f>
        <v/>
      </c>
      <c r="E23" s="4">
        <f>IF(A23="","",SUMIFS('Логи'!$H$7:$H$3006,'Логи'!$A$7:$A$3006,1,'Логи'!$B$7:$B$3006,3,'Логи'!$C$7:$C$3006,A23))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4" t="inlineStr">
        <is>
          <t>Студент3.19</t>
        </is>
      </c>
      <c r="B24" s="4" t="inlineStr"/>
      <c r="C24" s="4">
        <f>IF(A24="","",COUNTIF(F24:AI24,"+")+COUNTIF(F24:AI24,"1"))</f>
        <v/>
      </c>
      <c r="D24" s="4">
        <f>IF(A24="","",IF(C24&gt;2*COUNTA(F$5:AI$5)/3,'Общий'!$M$11,IF(C24&gt;=COUNTA(F$5:AI$5)/2,'Общий'!$M$12,'Общий'!$M$13)))</f>
        <v/>
      </c>
      <c r="E24" s="4">
        <f>IF(A24="","",SUMIFS('Логи'!$H$7:$H$3006,'Логи'!$A$7:$A$3006,1,'Логи'!$B$7:$B$3006,3,'Логи'!$C$7:$C$3006,A24))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</row>
    <row r="25">
      <c r="A25" s="4" t="inlineStr">
        <is>
          <t>Студент3.20</t>
        </is>
      </c>
      <c r="B25" s="4" t="inlineStr"/>
      <c r="C25" s="4">
        <f>IF(A25="","",COUNTIF(F25:AI25,"+")+COUNTIF(F25:AI25,"1"))</f>
        <v/>
      </c>
      <c r="D25" s="4">
        <f>IF(A25="","",IF(C25&gt;2*COUNTA(F$5:AI$5)/3,'Общий'!$M$11,IF(C25&gt;=COUNTA(F$5:AI$5)/2,'Общий'!$M$12,'Общий'!$M$13)))</f>
        <v/>
      </c>
      <c r="E25" s="4">
        <f>IF(A25="","",SUMIFS('Логи'!$H$7:$H$3006,'Логи'!$A$7:$A$3006,1,'Логи'!$B$7:$B$3006,3,'Логи'!$C$7:$C$3006,A25))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4" t="inlineStr">
        <is>
          <t>Студент3.21</t>
        </is>
      </c>
      <c r="B26" s="4" t="inlineStr"/>
      <c r="C26" s="4">
        <f>IF(A26="","",COUNTIF(F26:AI26,"+")+COUNTIF(F26:AI26,"1"))</f>
        <v/>
      </c>
      <c r="D26" s="4">
        <f>IF(A26="","",IF(C26&gt;2*COUNTA(F$5:AI$5)/3,'Общий'!$M$11,IF(C26&gt;=COUNTA(F$5:AI$5)/2,'Общий'!$M$12,'Общий'!$M$13)))</f>
        <v/>
      </c>
      <c r="E26" s="4">
        <f>IF(A26="","",SUMIFS('Логи'!$H$7:$H$3006,'Логи'!$A$7:$A$3006,1,'Логи'!$B$7:$B$3006,3,'Логи'!$C$7:$C$3006,A26))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</row>
    <row r="27">
      <c r="A27" s="4" t="inlineStr">
        <is>
          <t>Студент3.22</t>
        </is>
      </c>
      <c r="B27" s="4" t="inlineStr"/>
      <c r="C27" s="4">
        <f>IF(A27="","",COUNTIF(F27:AI27,"+")+COUNTIF(F27:AI27,"1"))</f>
        <v/>
      </c>
      <c r="D27" s="4">
        <f>IF(A27="","",IF(C27&gt;2*COUNTA(F$5:AI$5)/3,'Общий'!$M$11,IF(C27&gt;=COUNTA(F$5:AI$5)/2,'Общий'!$M$12,'Общий'!$M$13)))</f>
        <v/>
      </c>
      <c r="E27" s="4">
        <f>IF(A27="","",SUMIFS('Логи'!$H$7:$H$3006,'Логи'!$A$7:$A$3006,1,'Логи'!$B$7:$B$3006,3,'Логи'!$C$7:$C$3006,A27))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4" t="inlineStr">
        <is>
          <t>Студент3.23</t>
        </is>
      </c>
      <c r="B28" s="4" t="inlineStr"/>
      <c r="C28" s="4">
        <f>IF(A28="","",COUNTIF(F28:AI28,"+")+COUNTIF(F28:AI28,"1"))</f>
        <v/>
      </c>
      <c r="D28" s="4">
        <f>IF(A28="","",IF(C28&gt;2*COUNTA(F$5:AI$5)/3,'Общий'!$M$11,IF(C28&gt;=COUNTA(F$5:AI$5)/2,'Общий'!$M$12,'Общий'!$M$13)))</f>
        <v/>
      </c>
      <c r="E28" s="4">
        <f>IF(A28="","",SUMIFS('Логи'!$H$7:$H$3006,'Логи'!$A$7:$A$3006,1,'Логи'!$B$7:$B$3006,3,'Логи'!$C$7:$C$3006,A28))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</row>
    <row r="29">
      <c r="A29" s="4" t="inlineStr">
        <is>
          <t>Студент3.24</t>
        </is>
      </c>
      <c r="B29" s="4" t="inlineStr"/>
      <c r="C29" s="4">
        <f>IF(A29="","",COUNTIF(F29:AI29,"+")+COUNTIF(F29:AI29,"1"))</f>
        <v/>
      </c>
      <c r="D29" s="4">
        <f>IF(A29="","",IF(C29&gt;2*COUNTA(F$5:AI$5)/3,'Общий'!$M$11,IF(C29&gt;=COUNTA(F$5:AI$5)/2,'Общий'!$M$12,'Общий'!$M$13)))</f>
        <v/>
      </c>
      <c r="E29" s="4">
        <f>IF(A29="","",SUMIFS('Логи'!$H$7:$H$3006,'Логи'!$A$7:$A$3006,1,'Логи'!$B$7:$B$3006,3,'Логи'!$C$7:$C$3006,A29))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4" t="inlineStr">
        <is>
          <t>Студент3.25</t>
        </is>
      </c>
      <c r="B30" s="4" t="inlineStr"/>
      <c r="C30" s="4">
        <f>IF(A30="","",COUNTIF(F30:AI30,"+")+COUNTIF(F30:AI30,"1"))</f>
        <v/>
      </c>
      <c r="D30" s="4">
        <f>IF(A30="","",IF(C30&gt;2*COUNTA(F$5:AI$5)/3,'Общий'!$M$11,IF(C30&gt;=COUNTA(F$5:AI$5)/2,'Общий'!$M$12,'Общий'!$M$13)))</f>
        <v/>
      </c>
      <c r="E30" s="4">
        <f>IF(A30="","",SUMIFS('Логи'!$H$7:$H$3006,'Логи'!$A$7:$A$3006,1,'Логи'!$B$7:$B$3006,3,'Логи'!$C$7:$C$3006,A30))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</row>
    <row r="31">
      <c r="A31" s="4" t="inlineStr">
        <is>
          <t>Студент3.26</t>
        </is>
      </c>
      <c r="B31" s="4" t="inlineStr"/>
      <c r="C31" s="4">
        <f>IF(A31="","",COUNTIF(F31:AI31,"+")+COUNTIF(F31:AI31,"1"))</f>
        <v/>
      </c>
      <c r="D31" s="4">
        <f>IF(A31="","",IF(C31&gt;2*COUNTA(F$5:AI$5)/3,'Общий'!$M$11,IF(C31&gt;=COUNTA(F$5:AI$5)/2,'Общий'!$M$12,'Общий'!$M$13)))</f>
        <v/>
      </c>
      <c r="E31" s="4">
        <f>IF(A31="","",SUMIFS('Логи'!$H$7:$H$3006,'Логи'!$A$7:$A$3006,1,'Логи'!$B$7:$B$3006,3,'Логи'!$C$7:$C$3006,A31))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4" t="inlineStr">
        <is>
          <t>Студент3.27</t>
        </is>
      </c>
      <c r="B32" s="4" t="inlineStr"/>
      <c r="C32" s="4">
        <f>IF(A32="","",COUNTIF(F32:AI32,"+")+COUNTIF(F32:AI32,"1"))</f>
        <v/>
      </c>
      <c r="D32" s="4">
        <f>IF(A32="","",IF(C32&gt;2*COUNTA(F$5:AI$5)/3,'Общий'!$M$11,IF(C32&gt;=COUNTA(F$5:AI$5)/2,'Общий'!$M$12,'Общий'!$M$13)))</f>
        <v/>
      </c>
      <c r="E32" s="4">
        <f>IF(A32="","",SUMIFS('Логи'!$H$7:$H$3006,'Логи'!$A$7:$A$3006,1,'Логи'!$B$7:$B$3006,3,'Логи'!$C$7:$C$3006,A32))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>
      <c r="A33" s="4" t="inlineStr">
        <is>
          <t>Студент3.28</t>
        </is>
      </c>
      <c r="B33" s="4" t="inlineStr"/>
      <c r="C33" s="4">
        <f>IF(A33="","",COUNTIF(F33:AI33,"+")+COUNTIF(F33:AI33,"1"))</f>
        <v/>
      </c>
      <c r="D33" s="4">
        <f>IF(A33="","",IF(C33&gt;2*COUNTA(F$5:AI$5)/3,'Общий'!$M$11,IF(C33&gt;=COUNTA(F$5:AI$5)/2,'Общий'!$M$12,'Общий'!$M$13)))</f>
        <v/>
      </c>
      <c r="E33" s="4">
        <f>IF(A33="","",SUMIFS('Логи'!$H$7:$H$3006,'Логи'!$A$7:$A$3006,1,'Логи'!$B$7:$B$3006,3,'Логи'!$C$7:$C$3006,A33))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4" t="inlineStr">
        <is>
          <t>Студент3.29</t>
        </is>
      </c>
      <c r="B34" s="4" t="inlineStr"/>
      <c r="C34" s="4">
        <f>IF(A34="","",COUNTIF(F34:AI34,"+")+COUNTIF(F34:AI34,"1"))</f>
        <v/>
      </c>
      <c r="D34" s="4">
        <f>IF(A34="","",IF(C34&gt;2*COUNTA(F$5:AI$5)/3,'Общий'!$M$11,IF(C34&gt;=COUNTA(F$5:AI$5)/2,'Общий'!$M$12,'Общий'!$M$13)))</f>
        <v/>
      </c>
      <c r="E34" s="4">
        <f>IF(A34="","",SUMIFS('Логи'!$H$7:$H$3006,'Логи'!$A$7:$A$3006,1,'Логи'!$B$7:$B$3006,3,'Логи'!$C$7:$C$3006,A34))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</row>
    <row r="35">
      <c r="A35" s="4" t="inlineStr">
        <is>
          <t>Студент3.30</t>
        </is>
      </c>
      <c r="B35" s="4" t="inlineStr"/>
      <c r="C35" s="4">
        <f>IF(A35="","",COUNTIF(F35:AI35,"+")+COUNTIF(F35:AI35,"1"))</f>
        <v/>
      </c>
      <c r="D35" s="4">
        <f>IF(A35="","",IF(C35&gt;2*COUNTA(F$5:AI$5)/3,'Общий'!$M$11,IF(C35&gt;=COUNTA(F$5:AI$5)/2,'Общий'!$M$12,'Общий'!$M$13)))</f>
        <v/>
      </c>
      <c r="E35" s="4">
        <f>IF(A35="","",SUMIFS('Логи'!$H$7:$H$3006,'Логи'!$A$7:$A$3006,1,'Логи'!$B$7:$B$3006,3,'Логи'!$C$7:$C$3006,A35))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7">
      <c r="A37" s="19" t="inlineStr">
        <is>
          <t>Практика 1 — результаты рассказа</t>
        </is>
      </c>
    </row>
    <row r="38" ht="28" customHeight="1">
      <c r="A38" s="9" t="inlineStr">
        <is>
          <t>Имя</t>
        </is>
      </c>
      <c r="B38" s="11" t="inlineStr">
        <is>
          <t>TG</t>
        </is>
      </c>
      <c r="C38" s="12" t="inlineStr"/>
      <c r="D38" s="3" t="inlineStr"/>
      <c r="E38" s="3" t="inlineStr"/>
      <c r="F38" s="13" t="inlineStr">
        <is>
          <t>1.0</t>
        </is>
      </c>
      <c r="G38" s="13" t="inlineStr">
        <is>
          <t>2.0</t>
        </is>
      </c>
      <c r="H38" s="13" t="inlineStr">
        <is>
          <t>3.0</t>
        </is>
      </c>
      <c r="I38" s="13" t="inlineStr">
        <is>
          <t>4.0</t>
        </is>
      </c>
      <c r="J38" s="13" t="inlineStr">
        <is>
          <t>5.0</t>
        </is>
      </c>
      <c r="K38" s="13" t="inlineStr">
        <is>
          <t>6</t>
        </is>
      </c>
      <c r="L38" s="13" t="inlineStr">
        <is>
          <t>7</t>
        </is>
      </c>
      <c r="M38" s="13" t="inlineStr">
        <is>
          <t>8</t>
        </is>
      </c>
      <c r="N38" s="13" t="inlineStr">
        <is>
          <t>9</t>
        </is>
      </c>
      <c r="O38" s="13" t="inlineStr">
        <is>
          <t>10</t>
        </is>
      </c>
      <c r="P38" s="13" t="inlineStr">
        <is>
          <t>11</t>
        </is>
      </c>
      <c r="Q38" s="13" t="inlineStr">
        <is>
          <t>12</t>
        </is>
      </c>
      <c r="R38" s="13" t="inlineStr">
        <is>
          <t>13</t>
        </is>
      </c>
      <c r="S38" s="13" t="inlineStr">
        <is>
          <t>14</t>
        </is>
      </c>
      <c r="T38" s="13" t="inlineStr">
        <is>
          <t>15</t>
        </is>
      </c>
      <c r="U38" s="13" t="inlineStr">
        <is>
          <t>16</t>
        </is>
      </c>
      <c r="V38" s="13" t="inlineStr">
        <is>
          <t>17</t>
        </is>
      </c>
      <c r="W38" s="13" t="inlineStr">
        <is>
          <t>18</t>
        </is>
      </c>
      <c r="X38" s="13" t="inlineStr">
        <is>
          <t>19</t>
        </is>
      </c>
      <c r="Y38" s="13" t="inlineStr">
        <is>
          <t>20</t>
        </is>
      </c>
      <c r="Z38" s="13" t="inlineStr">
        <is>
          <t>21</t>
        </is>
      </c>
      <c r="AA38" s="13" t="inlineStr">
        <is>
          <t>22</t>
        </is>
      </c>
      <c r="AB38" s="13" t="inlineStr">
        <is>
          <t>23</t>
        </is>
      </c>
      <c r="AC38" s="13" t="inlineStr">
        <is>
          <t>24</t>
        </is>
      </c>
      <c r="AD38" s="13" t="inlineStr">
        <is>
          <t>25</t>
        </is>
      </c>
      <c r="AE38" s="13" t="inlineStr">
        <is>
          <t>26</t>
        </is>
      </c>
      <c r="AF38" s="13" t="inlineStr">
        <is>
          <t>27</t>
        </is>
      </c>
      <c r="AG38" s="13" t="inlineStr">
        <is>
          <t>28</t>
        </is>
      </c>
      <c r="AH38" s="13" t="inlineStr">
        <is>
          <t>29</t>
        </is>
      </c>
      <c r="AI38" s="13" t="inlineStr">
        <is>
          <t>30</t>
        </is>
      </c>
    </row>
    <row r="39">
      <c r="A39" s="4" t="inlineStr">
        <is>
          <t>Студент3.1</t>
        </is>
      </c>
      <c r="B39" s="4" t="inlineStr"/>
      <c r="C39" s="4" t="n"/>
      <c r="D39" s="4" t="n"/>
      <c r="E39" s="4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4" t="inlineStr">
        <is>
          <t>Студент3.2</t>
        </is>
      </c>
      <c r="B40" s="4" t="inlineStr"/>
      <c r="C40" s="4" t="n"/>
      <c r="D40" s="4" t="n"/>
      <c r="E40" s="4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</row>
    <row r="41">
      <c r="A41" s="4" t="inlineStr">
        <is>
          <t>Студент3.3</t>
        </is>
      </c>
      <c r="B41" s="4" t="inlineStr"/>
      <c r="C41" s="4" t="n"/>
      <c r="D41" s="4" t="n"/>
      <c r="E41" s="4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4" t="inlineStr">
        <is>
          <t>Студент3.4</t>
        </is>
      </c>
      <c r="B42" s="4" t="inlineStr"/>
      <c r="C42" s="4" t="n"/>
      <c r="D42" s="4" t="n"/>
      <c r="E42" s="4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4" t="inlineStr">
        <is>
          <t>Студент3.5</t>
        </is>
      </c>
      <c r="B43" s="4" t="inlineStr"/>
      <c r="C43" s="4" t="n"/>
      <c r="D43" s="4" t="n"/>
      <c r="E43" s="4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4" t="inlineStr">
        <is>
          <t>Студент3.6</t>
        </is>
      </c>
      <c r="B44" s="4" t="inlineStr"/>
      <c r="C44" s="4" t="n"/>
      <c r="D44" s="4" t="n"/>
      <c r="E44" s="4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</row>
    <row r="45">
      <c r="A45" s="4" t="inlineStr">
        <is>
          <t>Студент3.7</t>
        </is>
      </c>
      <c r="B45" s="4" t="inlineStr"/>
      <c r="C45" s="4" t="n"/>
      <c r="D45" s="4" t="n"/>
      <c r="E45" s="4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4" t="inlineStr">
        <is>
          <t>Студент3.8</t>
        </is>
      </c>
      <c r="B46" s="4" t="inlineStr"/>
      <c r="C46" s="4" t="n"/>
      <c r="D46" s="4" t="n"/>
      <c r="E46" s="4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</row>
    <row r="47">
      <c r="A47" s="4" t="inlineStr">
        <is>
          <t>Студент3.9</t>
        </is>
      </c>
      <c r="B47" s="4" t="inlineStr"/>
      <c r="C47" s="4" t="n"/>
      <c r="D47" s="4" t="n"/>
      <c r="E47" s="4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4" t="inlineStr">
        <is>
          <t>Студент3.10</t>
        </is>
      </c>
      <c r="B48" s="4" t="inlineStr"/>
      <c r="C48" s="4" t="n"/>
      <c r="D48" s="4" t="n"/>
      <c r="E48" s="4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</row>
    <row r="49">
      <c r="A49" s="4" t="inlineStr">
        <is>
          <t>Студент3.11</t>
        </is>
      </c>
      <c r="B49" s="4" t="inlineStr"/>
      <c r="C49" s="4" t="n"/>
      <c r="D49" s="4" t="n"/>
      <c r="E49" s="4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4" t="inlineStr">
        <is>
          <t>Студент3.12</t>
        </is>
      </c>
      <c r="B50" s="4" t="inlineStr"/>
      <c r="C50" s="4" t="n"/>
      <c r="D50" s="4" t="n"/>
      <c r="E50" s="4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</row>
    <row r="51">
      <c r="A51" s="4" t="inlineStr">
        <is>
          <t>Студент3.13</t>
        </is>
      </c>
      <c r="B51" s="4" t="inlineStr"/>
      <c r="C51" s="4" t="n"/>
      <c r="D51" s="4" t="n"/>
      <c r="E51" s="4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4" t="inlineStr">
        <is>
          <t>Студент3.14</t>
        </is>
      </c>
      <c r="B52" s="4" t="inlineStr"/>
      <c r="C52" s="4" t="n"/>
      <c r="D52" s="4" t="n"/>
      <c r="E52" s="4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</row>
    <row r="53">
      <c r="A53" s="4" t="inlineStr">
        <is>
          <t>Студент3.15</t>
        </is>
      </c>
      <c r="B53" s="4" t="inlineStr"/>
      <c r="C53" s="4" t="n"/>
      <c r="D53" s="4" t="n"/>
      <c r="E53" s="4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4" t="inlineStr">
        <is>
          <t>Студент3.16</t>
        </is>
      </c>
      <c r="B54" s="4" t="inlineStr"/>
      <c r="C54" s="4" t="n"/>
      <c r="D54" s="4" t="n"/>
      <c r="E54" s="4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</row>
    <row r="55">
      <c r="A55" s="4" t="inlineStr">
        <is>
          <t>Студент3.17</t>
        </is>
      </c>
      <c r="B55" s="4" t="inlineStr"/>
      <c r="C55" s="4" t="n"/>
      <c r="D55" s="4" t="n"/>
      <c r="E55" s="4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4" t="inlineStr">
        <is>
          <t>Студент3.18</t>
        </is>
      </c>
      <c r="B56" s="4" t="inlineStr"/>
      <c r="C56" s="4" t="n"/>
      <c r="D56" s="4" t="n"/>
      <c r="E56" s="4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</row>
    <row r="57">
      <c r="A57" s="4" t="inlineStr">
        <is>
          <t>Студент3.19</t>
        </is>
      </c>
      <c r="B57" s="4" t="inlineStr"/>
      <c r="C57" s="4" t="n"/>
      <c r="D57" s="4" t="n"/>
      <c r="E57" s="4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4" t="inlineStr">
        <is>
          <t>Студент3.20</t>
        </is>
      </c>
      <c r="B58" s="4" t="inlineStr"/>
      <c r="C58" s="4" t="n"/>
      <c r="D58" s="4" t="n"/>
      <c r="E58" s="4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>
      <c r="A59" s="4" t="inlineStr">
        <is>
          <t>Студент3.21</t>
        </is>
      </c>
      <c r="B59" s="4" t="inlineStr"/>
      <c r="C59" s="4" t="n"/>
      <c r="D59" s="4" t="n"/>
      <c r="E59" s="4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4" t="inlineStr">
        <is>
          <t>Студент3.22</t>
        </is>
      </c>
      <c r="B60" s="4" t="inlineStr"/>
      <c r="C60" s="4" t="n"/>
      <c r="D60" s="4" t="n"/>
      <c r="E60" s="4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4" t="inlineStr">
        <is>
          <t>Студент3.23</t>
        </is>
      </c>
      <c r="B61" s="4" t="inlineStr"/>
      <c r="C61" s="4" t="n"/>
      <c r="D61" s="4" t="n"/>
      <c r="E61" s="4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4" t="inlineStr">
        <is>
          <t>Студент3.24</t>
        </is>
      </c>
      <c r="B62" s="4" t="inlineStr"/>
      <c r="C62" s="4" t="n"/>
      <c r="D62" s="4" t="n"/>
      <c r="E62" s="4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4" t="inlineStr">
        <is>
          <t>Студент3.25</t>
        </is>
      </c>
      <c r="B63" s="4" t="inlineStr"/>
      <c r="C63" s="4" t="n"/>
      <c r="D63" s="4" t="n"/>
      <c r="E63" s="4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4" t="inlineStr">
        <is>
          <t>Студент3.26</t>
        </is>
      </c>
      <c r="B64" s="4" t="inlineStr"/>
      <c r="C64" s="4" t="n"/>
      <c r="D64" s="4" t="n"/>
      <c r="E64" s="4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4" t="inlineStr">
        <is>
          <t>Студент3.27</t>
        </is>
      </c>
      <c r="B65" s="4" t="inlineStr"/>
      <c r="C65" s="4" t="n"/>
      <c r="D65" s="4" t="n"/>
      <c r="E65" s="4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4" t="inlineStr">
        <is>
          <t>Студент3.28</t>
        </is>
      </c>
      <c r="B66" s="4" t="inlineStr"/>
      <c r="C66" s="4" t="n"/>
      <c r="D66" s="4" t="n"/>
      <c r="E66" s="4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4" t="inlineStr">
        <is>
          <t>Студент3.29</t>
        </is>
      </c>
      <c r="B67" s="4" t="inlineStr"/>
      <c r="C67" s="4" t="n"/>
      <c r="D67" s="4" t="n"/>
      <c r="E67" s="4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4" t="inlineStr">
        <is>
          <t>Студент3.30</t>
        </is>
      </c>
      <c r="B68" s="4" t="inlineStr"/>
      <c r="C68" s="4" t="n"/>
      <c r="D68" s="4" t="n"/>
      <c r="E68" s="4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72">
      <c r="A72" s="17" t="inlineStr">
        <is>
          <t>Практика 2 — плюсы</t>
        </is>
      </c>
    </row>
    <row r="73" ht="28" customHeight="1">
      <c r="A73" s="9" t="inlineStr">
        <is>
          <t>Имя</t>
        </is>
      </c>
      <c r="B73" s="11" t="inlineStr">
        <is>
          <t>TG</t>
        </is>
      </c>
      <c r="C73" s="12" t="inlineStr">
        <is>
          <t>S</t>
        </is>
      </c>
      <c r="D73" s="10" t="inlineStr">
        <is>
          <t>Коэффициент</t>
        </is>
      </c>
      <c r="E73" s="18" t="inlineStr">
        <is>
          <t>D за практику</t>
        </is>
      </c>
      <c r="F73" s="13" t="inlineStr">
        <is>
          <t>1.0</t>
        </is>
      </c>
      <c r="G73" s="13" t="inlineStr">
        <is>
          <t>2.0</t>
        </is>
      </c>
      <c r="H73" s="13" t="inlineStr">
        <is>
          <t>3.0</t>
        </is>
      </c>
      <c r="I73" s="13" t="inlineStr">
        <is>
          <t>4.0</t>
        </is>
      </c>
      <c r="J73" s="13" t="inlineStr">
        <is>
          <t>5.0</t>
        </is>
      </c>
      <c r="K73" s="13" t="inlineStr">
        <is>
          <t>6</t>
        </is>
      </c>
      <c r="L73" s="13" t="inlineStr">
        <is>
          <t>7</t>
        </is>
      </c>
      <c r="M73" s="13" t="inlineStr">
        <is>
          <t>8</t>
        </is>
      </c>
      <c r="N73" s="13" t="inlineStr">
        <is>
          <t>9</t>
        </is>
      </c>
      <c r="O73" s="13" t="inlineStr">
        <is>
          <t>10</t>
        </is>
      </c>
      <c r="P73" s="13" t="inlineStr">
        <is>
          <t>11</t>
        </is>
      </c>
      <c r="Q73" s="13" t="inlineStr">
        <is>
          <t>12</t>
        </is>
      </c>
      <c r="R73" s="13" t="inlineStr">
        <is>
          <t>13</t>
        </is>
      </c>
      <c r="S73" s="13" t="inlineStr">
        <is>
          <t>14</t>
        </is>
      </c>
      <c r="T73" s="13" t="inlineStr">
        <is>
          <t>15</t>
        </is>
      </c>
      <c r="U73" s="13" t="inlineStr">
        <is>
          <t>16</t>
        </is>
      </c>
      <c r="V73" s="13" t="inlineStr">
        <is>
          <t>17</t>
        </is>
      </c>
      <c r="W73" s="13" t="inlineStr">
        <is>
          <t>18</t>
        </is>
      </c>
      <c r="X73" s="13" t="inlineStr">
        <is>
          <t>19</t>
        </is>
      </c>
      <c r="Y73" s="13" t="inlineStr">
        <is>
          <t>20</t>
        </is>
      </c>
      <c r="Z73" s="13" t="inlineStr">
        <is>
          <t>21</t>
        </is>
      </c>
      <c r="AA73" s="13" t="inlineStr">
        <is>
          <t>22</t>
        </is>
      </c>
      <c r="AB73" s="13" t="inlineStr">
        <is>
          <t>23</t>
        </is>
      </c>
      <c r="AC73" s="13" t="inlineStr">
        <is>
          <t>24</t>
        </is>
      </c>
      <c r="AD73" s="13" t="inlineStr">
        <is>
          <t>25</t>
        </is>
      </c>
      <c r="AE73" s="13" t="inlineStr">
        <is>
          <t>26</t>
        </is>
      </c>
      <c r="AF73" s="13" t="inlineStr">
        <is>
          <t>27</t>
        </is>
      </c>
      <c r="AG73" s="13" t="inlineStr">
        <is>
          <t>28</t>
        </is>
      </c>
      <c r="AH73" s="13" t="inlineStr">
        <is>
          <t>29</t>
        </is>
      </c>
      <c r="AI73" s="13" t="inlineStr">
        <is>
          <t>30</t>
        </is>
      </c>
    </row>
    <row r="74">
      <c r="A74" s="4" t="inlineStr">
        <is>
          <t>Студент3.1</t>
        </is>
      </c>
      <c r="B74" s="4" t="inlineStr"/>
      <c r="C74" s="4">
        <f>IF(A74="","",COUNTIF(F74:AI74,"+")+COUNTIF(F74:AI74,"1"))</f>
        <v/>
      </c>
      <c r="D74" s="4">
        <f>IF(A74="","",IF(C74&gt;2*COUNTA(F$73:AI$73)/3,'Общий'!$M$11,IF(C74&gt;=COUNTA(F$73:AI$73)/2,'Общий'!$M$12,'Общий'!$M$13)))</f>
        <v/>
      </c>
      <c r="E74" s="4">
        <f>IF(A74="","",SUMIFS('Логи'!$H$7:$H$3006,'Логи'!$A$7:$A$3006,2,'Логи'!$B$7:$B$3006,3,'Логи'!$C$7:$C$3006,A74))</f>
        <v/>
      </c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4" t="inlineStr">
        <is>
          <t>Студент3.2</t>
        </is>
      </c>
      <c r="B75" s="4" t="inlineStr"/>
      <c r="C75" s="4">
        <f>IF(A75="","",COUNTIF(F75:AI75,"+")+COUNTIF(F75:AI75,"1"))</f>
        <v/>
      </c>
      <c r="D75" s="4">
        <f>IF(A75="","",IF(C75&gt;2*COUNTA(F$73:AI$73)/3,'Общий'!$M$11,IF(C75&gt;=COUNTA(F$73:AI$73)/2,'Общий'!$M$12,'Общий'!$M$13)))</f>
        <v/>
      </c>
      <c r="E75" s="4">
        <f>IF(A75="","",SUMIFS('Логи'!$H$7:$H$3006,'Логи'!$A$7:$A$3006,2,'Логи'!$B$7:$B$3006,3,'Логи'!$C$7:$C$3006,A75))</f>
        <v/>
      </c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4" t="inlineStr">
        <is>
          <t>Студент3.3</t>
        </is>
      </c>
      <c r="B76" s="4" t="inlineStr"/>
      <c r="C76" s="4">
        <f>IF(A76="","",COUNTIF(F76:AI76,"+")+COUNTIF(F76:AI76,"1"))</f>
        <v/>
      </c>
      <c r="D76" s="4">
        <f>IF(A76="","",IF(C76&gt;2*COUNTA(F$73:AI$73)/3,'Общий'!$M$11,IF(C76&gt;=COUNTA(F$73:AI$73)/2,'Общий'!$M$12,'Общий'!$M$13)))</f>
        <v/>
      </c>
      <c r="E76" s="4">
        <f>IF(A76="","",SUMIFS('Логи'!$H$7:$H$3006,'Логи'!$A$7:$A$3006,2,'Логи'!$B$7:$B$3006,3,'Логи'!$C$7:$C$3006,A76))</f>
        <v/>
      </c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4" t="inlineStr">
        <is>
          <t>Студент3.4</t>
        </is>
      </c>
      <c r="B77" s="4" t="inlineStr"/>
      <c r="C77" s="4">
        <f>IF(A77="","",COUNTIF(F77:AI77,"+")+COUNTIF(F77:AI77,"1"))</f>
        <v/>
      </c>
      <c r="D77" s="4">
        <f>IF(A77="","",IF(C77&gt;2*COUNTA(F$73:AI$73)/3,'Общий'!$M$11,IF(C77&gt;=COUNTA(F$73:AI$73)/2,'Общий'!$M$12,'Общий'!$M$13)))</f>
        <v/>
      </c>
      <c r="E77" s="4">
        <f>IF(A77="","",SUMIFS('Логи'!$H$7:$H$3006,'Логи'!$A$7:$A$3006,2,'Логи'!$B$7:$B$3006,3,'Логи'!$C$7:$C$3006,A77))</f>
        <v/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4" t="inlineStr">
        <is>
          <t>Студент3.5</t>
        </is>
      </c>
      <c r="B78" s="4" t="inlineStr"/>
      <c r="C78" s="4">
        <f>IF(A78="","",COUNTIF(F78:AI78,"+")+COUNTIF(F78:AI78,"1"))</f>
        <v/>
      </c>
      <c r="D78" s="4">
        <f>IF(A78="","",IF(C78&gt;2*COUNTA(F$73:AI$73)/3,'Общий'!$M$11,IF(C78&gt;=COUNTA(F$73:AI$73)/2,'Общий'!$M$12,'Общий'!$M$13)))</f>
        <v/>
      </c>
      <c r="E78" s="4">
        <f>IF(A78="","",SUMIFS('Логи'!$H$7:$H$3006,'Логи'!$A$7:$A$3006,2,'Логи'!$B$7:$B$3006,3,'Логи'!$C$7:$C$3006,A78))</f>
        <v/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4" t="inlineStr">
        <is>
          <t>Студент3.6</t>
        </is>
      </c>
      <c r="B79" s="4" t="inlineStr"/>
      <c r="C79" s="4">
        <f>IF(A79="","",COUNTIF(F79:AI79,"+")+COUNTIF(F79:AI79,"1"))</f>
        <v/>
      </c>
      <c r="D79" s="4">
        <f>IF(A79="","",IF(C79&gt;2*COUNTA(F$73:AI$73)/3,'Общий'!$M$11,IF(C79&gt;=COUNTA(F$73:AI$73)/2,'Общий'!$M$12,'Общий'!$M$13)))</f>
        <v/>
      </c>
      <c r="E79" s="4">
        <f>IF(A79="","",SUMIFS('Логи'!$H$7:$H$3006,'Логи'!$A$7:$A$3006,2,'Логи'!$B$7:$B$3006,3,'Логи'!$C$7:$C$3006,A79))</f>
        <v/>
      </c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4" t="inlineStr">
        <is>
          <t>Студент3.7</t>
        </is>
      </c>
      <c r="B80" s="4" t="inlineStr"/>
      <c r="C80" s="4">
        <f>IF(A80="","",COUNTIF(F80:AI80,"+")+COUNTIF(F80:AI80,"1"))</f>
        <v/>
      </c>
      <c r="D80" s="4">
        <f>IF(A80="","",IF(C80&gt;2*COUNTA(F$73:AI$73)/3,'Общий'!$M$11,IF(C80&gt;=COUNTA(F$73:AI$73)/2,'Общий'!$M$12,'Общий'!$M$13)))</f>
        <v/>
      </c>
      <c r="E80" s="4">
        <f>IF(A80="","",SUMIFS('Логи'!$H$7:$H$3006,'Логи'!$A$7:$A$3006,2,'Логи'!$B$7:$B$3006,3,'Логи'!$C$7:$C$3006,A80))</f>
        <v/>
      </c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4" t="inlineStr">
        <is>
          <t>Студент3.8</t>
        </is>
      </c>
      <c r="B81" s="4" t="inlineStr"/>
      <c r="C81" s="4">
        <f>IF(A81="","",COUNTIF(F81:AI81,"+")+COUNTIF(F81:AI81,"1"))</f>
        <v/>
      </c>
      <c r="D81" s="4">
        <f>IF(A81="","",IF(C81&gt;2*COUNTA(F$73:AI$73)/3,'Общий'!$M$11,IF(C81&gt;=COUNTA(F$73:AI$73)/2,'Общий'!$M$12,'Общий'!$M$13)))</f>
        <v/>
      </c>
      <c r="E81" s="4">
        <f>IF(A81="","",SUMIFS('Логи'!$H$7:$H$3006,'Логи'!$A$7:$A$3006,2,'Логи'!$B$7:$B$3006,3,'Логи'!$C$7:$C$3006,A81))</f>
        <v/>
      </c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4" t="inlineStr">
        <is>
          <t>Студент3.9</t>
        </is>
      </c>
      <c r="B82" s="4" t="inlineStr"/>
      <c r="C82" s="4">
        <f>IF(A82="","",COUNTIF(F82:AI82,"+")+COUNTIF(F82:AI82,"1"))</f>
        <v/>
      </c>
      <c r="D82" s="4">
        <f>IF(A82="","",IF(C82&gt;2*COUNTA(F$73:AI$73)/3,'Общий'!$M$11,IF(C82&gt;=COUNTA(F$73:AI$73)/2,'Общий'!$M$12,'Общий'!$M$13)))</f>
        <v/>
      </c>
      <c r="E82" s="4">
        <f>IF(A82="","",SUMIFS('Логи'!$H$7:$H$3006,'Логи'!$A$7:$A$3006,2,'Логи'!$B$7:$B$3006,3,'Логи'!$C$7:$C$3006,A82))</f>
        <v/>
      </c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4" t="inlineStr">
        <is>
          <t>Студент3.10</t>
        </is>
      </c>
      <c r="B83" s="4" t="inlineStr"/>
      <c r="C83" s="4">
        <f>IF(A83="","",COUNTIF(F83:AI83,"+")+COUNTIF(F83:AI83,"1"))</f>
        <v/>
      </c>
      <c r="D83" s="4">
        <f>IF(A83="","",IF(C83&gt;2*COUNTA(F$73:AI$73)/3,'Общий'!$M$11,IF(C83&gt;=COUNTA(F$73:AI$73)/2,'Общий'!$M$12,'Общий'!$M$13)))</f>
        <v/>
      </c>
      <c r="E83" s="4">
        <f>IF(A83="","",SUMIFS('Логи'!$H$7:$H$3006,'Логи'!$A$7:$A$3006,2,'Логи'!$B$7:$B$3006,3,'Логи'!$C$7:$C$3006,A83))</f>
        <v/>
      </c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4" t="inlineStr">
        <is>
          <t>Студент3.11</t>
        </is>
      </c>
      <c r="B84" s="4" t="inlineStr"/>
      <c r="C84" s="4">
        <f>IF(A84="","",COUNTIF(F84:AI84,"+")+COUNTIF(F84:AI84,"1"))</f>
        <v/>
      </c>
      <c r="D84" s="4">
        <f>IF(A84="","",IF(C84&gt;2*COUNTA(F$73:AI$73)/3,'Общий'!$M$11,IF(C84&gt;=COUNTA(F$73:AI$73)/2,'Общий'!$M$12,'Общий'!$M$13)))</f>
        <v/>
      </c>
      <c r="E84" s="4">
        <f>IF(A84="","",SUMIFS('Логи'!$H$7:$H$3006,'Логи'!$A$7:$A$3006,2,'Логи'!$B$7:$B$3006,3,'Логи'!$C$7:$C$3006,A84))</f>
        <v/>
      </c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4" t="inlineStr">
        <is>
          <t>Студент3.12</t>
        </is>
      </c>
      <c r="B85" s="4" t="inlineStr"/>
      <c r="C85" s="4">
        <f>IF(A85="","",COUNTIF(F85:AI85,"+")+COUNTIF(F85:AI85,"1"))</f>
        <v/>
      </c>
      <c r="D85" s="4">
        <f>IF(A85="","",IF(C85&gt;2*COUNTA(F$73:AI$73)/3,'Общий'!$M$11,IF(C85&gt;=COUNTA(F$73:AI$73)/2,'Общий'!$M$12,'Общий'!$M$13)))</f>
        <v/>
      </c>
      <c r="E85" s="4">
        <f>IF(A85="","",SUMIFS('Логи'!$H$7:$H$3006,'Логи'!$A$7:$A$3006,2,'Логи'!$B$7:$B$3006,3,'Логи'!$C$7:$C$3006,A85))</f>
        <v/>
      </c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4" t="inlineStr">
        <is>
          <t>Студент3.13</t>
        </is>
      </c>
      <c r="B86" s="4" t="inlineStr"/>
      <c r="C86" s="4">
        <f>IF(A86="","",COUNTIF(F86:AI86,"+")+COUNTIF(F86:AI86,"1"))</f>
        <v/>
      </c>
      <c r="D86" s="4">
        <f>IF(A86="","",IF(C86&gt;2*COUNTA(F$73:AI$73)/3,'Общий'!$M$11,IF(C86&gt;=COUNTA(F$73:AI$73)/2,'Общий'!$M$12,'Общий'!$M$13)))</f>
        <v/>
      </c>
      <c r="E86" s="4">
        <f>IF(A86="","",SUMIFS('Логи'!$H$7:$H$3006,'Логи'!$A$7:$A$3006,2,'Логи'!$B$7:$B$3006,3,'Логи'!$C$7:$C$3006,A86))</f>
        <v/>
      </c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4" t="inlineStr">
        <is>
          <t>Студент3.14</t>
        </is>
      </c>
      <c r="B87" s="4" t="inlineStr"/>
      <c r="C87" s="4">
        <f>IF(A87="","",COUNTIF(F87:AI87,"+")+COUNTIF(F87:AI87,"1"))</f>
        <v/>
      </c>
      <c r="D87" s="4">
        <f>IF(A87="","",IF(C87&gt;2*COUNTA(F$73:AI$73)/3,'Общий'!$M$11,IF(C87&gt;=COUNTA(F$73:AI$73)/2,'Общий'!$M$12,'Общий'!$M$13)))</f>
        <v/>
      </c>
      <c r="E87" s="4">
        <f>IF(A87="","",SUMIFS('Логи'!$H$7:$H$3006,'Логи'!$A$7:$A$3006,2,'Логи'!$B$7:$B$3006,3,'Логи'!$C$7:$C$3006,A87))</f>
        <v/>
      </c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4" t="inlineStr">
        <is>
          <t>Студент3.15</t>
        </is>
      </c>
      <c r="B88" s="4" t="inlineStr"/>
      <c r="C88" s="4">
        <f>IF(A88="","",COUNTIF(F88:AI88,"+")+COUNTIF(F88:AI88,"1"))</f>
        <v/>
      </c>
      <c r="D88" s="4">
        <f>IF(A88="","",IF(C88&gt;2*COUNTA(F$73:AI$73)/3,'Общий'!$M$11,IF(C88&gt;=COUNTA(F$73:AI$73)/2,'Общий'!$M$12,'Общий'!$M$13)))</f>
        <v/>
      </c>
      <c r="E88" s="4">
        <f>IF(A88="","",SUMIFS('Логи'!$H$7:$H$3006,'Логи'!$A$7:$A$3006,2,'Логи'!$B$7:$B$3006,3,'Логи'!$C$7:$C$3006,A88))</f>
        <v/>
      </c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4" t="inlineStr">
        <is>
          <t>Студент3.16</t>
        </is>
      </c>
      <c r="B89" s="4" t="inlineStr"/>
      <c r="C89" s="4">
        <f>IF(A89="","",COUNTIF(F89:AI89,"+")+COUNTIF(F89:AI89,"1"))</f>
        <v/>
      </c>
      <c r="D89" s="4">
        <f>IF(A89="","",IF(C89&gt;2*COUNTA(F$73:AI$73)/3,'Общий'!$M$11,IF(C89&gt;=COUNTA(F$73:AI$73)/2,'Общий'!$M$12,'Общий'!$M$13)))</f>
        <v/>
      </c>
      <c r="E89" s="4">
        <f>IF(A89="","",SUMIFS('Логи'!$H$7:$H$3006,'Логи'!$A$7:$A$3006,2,'Логи'!$B$7:$B$3006,3,'Логи'!$C$7:$C$3006,A89))</f>
        <v/>
      </c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4" t="inlineStr">
        <is>
          <t>Студент3.17</t>
        </is>
      </c>
      <c r="B90" s="4" t="inlineStr"/>
      <c r="C90" s="4">
        <f>IF(A90="","",COUNTIF(F90:AI90,"+")+COUNTIF(F90:AI90,"1"))</f>
        <v/>
      </c>
      <c r="D90" s="4">
        <f>IF(A90="","",IF(C90&gt;2*COUNTA(F$73:AI$73)/3,'Общий'!$M$11,IF(C90&gt;=COUNTA(F$73:AI$73)/2,'Общий'!$M$12,'Общий'!$M$13)))</f>
        <v/>
      </c>
      <c r="E90" s="4">
        <f>IF(A90="","",SUMIFS('Логи'!$H$7:$H$3006,'Логи'!$A$7:$A$3006,2,'Логи'!$B$7:$B$3006,3,'Логи'!$C$7:$C$3006,A90))</f>
        <v/>
      </c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4" t="inlineStr">
        <is>
          <t>Студент3.18</t>
        </is>
      </c>
      <c r="B91" s="4" t="inlineStr"/>
      <c r="C91" s="4">
        <f>IF(A91="","",COUNTIF(F91:AI91,"+")+COUNTIF(F91:AI91,"1"))</f>
        <v/>
      </c>
      <c r="D91" s="4">
        <f>IF(A91="","",IF(C91&gt;2*COUNTA(F$73:AI$73)/3,'Общий'!$M$11,IF(C91&gt;=COUNTA(F$73:AI$73)/2,'Общий'!$M$12,'Общий'!$M$13)))</f>
        <v/>
      </c>
      <c r="E91" s="4">
        <f>IF(A91="","",SUMIFS('Логи'!$H$7:$H$3006,'Логи'!$A$7:$A$3006,2,'Логи'!$B$7:$B$3006,3,'Логи'!$C$7:$C$3006,A91))</f>
        <v/>
      </c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4" t="inlineStr">
        <is>
          <t>Студент3.19</t>
        </is>
      </c>
      <c r="B92" s="4" t="inlineStr"/>
      <c r="C92" s="4">
        <f>IF(A92="","",COUNTIF(F92:AI92,"+")+COUNTIF(F92:AI92,"1"))</f>
        <v/>
      </c>
      <c r="D92" s="4">
        <f>IF(A92="","",IF(C92&gt;2*COUNTA(F$73:AI$73)/3,'Общий'!$M$11,IF(C92&gt;=COUNTA(F$73:AI$73)/2,'Общий'!$M$12,'Общий'!$M$13)))</f>
        <v/>
      </c>
      <c r="E92" s="4">
        <f>IF(A92="","",SUMIFS('Логи'!$H$7:$H$3006,'Логи'!$A$7:$A$3006,2,'Логи'!$B$7:$B$3006,3,'Логи'!$C$7:$C$3006,A92))</f>
        <v/>
      </c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4" t="inlineStr">
        <is>
          <t>Студент3.20</t>
        </is>
      </c>
      <c r="B93" s="4" t="inlineStr"/>
      <c r="C93" s="4">
        <f>IF(A93="","",COUNTIF(F93:AI93,"+")+COUNTIF(F93:AI93,"1"))</f>
        <v/>
      </c>
      <c r="D93" s="4">
        <f>IF(A93="","",IF(C93&gt;2*COUNTA(F$73:AI$73)/3,'Общий'!$M$11,IF(C93&gt;=COUNTA(F$73:AI$73)/2,'Общий'!$M$12,'Общий'!$M$13)))</f>
        <v/>
      </c>
      <c r="E93" s="4">
        <f>IF(A93="","",SUMIFS('Логи'!$H$7:$H$3006,'Логи'!$A$7:$A$3006,2,'Логи'!$B$7:$B$3006,3,'Логи'!$C$7:$C$3006,A93))</f>
        <v/>
      </c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4" t="inlineStr">
        <is>
          <t>Студент3.21</t>
        </is>
      </c>
      <c r="B94" s="4" t="inlineStr"/>
      <c r="C94" s="4">
        <f>IF(A94="","",COUNTIF(F94:AI94,"+")+COUNTIF(F94:AI94,"1"))</f>
        <v/>
      </c>
      <c r="D94" s="4">
        <f>IF(A94="","",IF(C94&gt;2*COUNTA(F$73:AI$73)/3,'Общий'!$M$11,IF(C94&gt;=COUNTA(F$73:AI$73)/2,'Общий'!$M$12,'Общий'!$M$13)))</f>
        <v/>
      </c>
      <c r="E94" s="4">
        <f>IF(A94="","",SUMIFS('Логи'!$H$7:$H$3006,'Логи'!$A$7:$A$3006,2,'Логи'!$B$7:$B$3006,3,'Логи'!$C$7:$C$3006,A94))</f>
        <v/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4" t="inlineStr">
        <is>
          <t>Студент3.22</t>
        </is>
      </c>
      <c r="B95" s="4" t="inlineStr"/>
      <c r="C95" s="4">
        <f>IF(A95="","",COUNTIF(F95:AI95,"+")+COUNTIF(F95:AI95,"1"))</f>
        <v/>
      </c>
      <c r="D95" s="4">
        <f>IF(A95="","",IF(C95&gt;2*COUNTA(F$73:AI$73)/3,'Общий'!$M$11,IF(C95&gt;=COUNTA(F$73:AI$73)/2,'Общий'!$M$12,'Общий'!$M$13)))</f>
        <v/>
      </c>
      <c r="E95" s="4">
        <f>IF(A95="","",SUMIFS('Логи'!$H$7:$H$3006,'Логи'!$A$7:$A$3006,2,'Логи'!$B$7:$B$3006,3,'Логи'!$C$7:$C$3006,A95))</f>
        <v/>
      </c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4" t="inlineStr">
        <is>
          <t>Студент3.23</t>
        </is>
      </c>
      <c r="B96" s="4" t="inlineStr"/>
      <c r="C96" s="4">
        <f>IF(A96="","",COUNTIF(F96:AI96,"+")+COUNTIF(F96:AI96,"1"))</f>
        <v/>
      </c>
      <c r="D96" s="4">
        <f>IF(A96="","",IF(C96&gt;2*COUNTA(F$73:AI$73)/3,'Общий'!$M$11,IF(C96&gt;=COUNTA(F$73:AI$73)/2,'Общий'!$M$12,'Общий'!$M$13)))</f>
        <v/>
      </c>
      <c r="E96" s="4">
        <f>IF(A96="","",SUMIFS('Логи'!$H$7:$H$3006,'Логи'!$A$7:$A$3006,2,'Логи'!$B$7:$B$3006,3,'Логи'!$C$7:$C$3006,A96))</f>
        <v/>
      </c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4" t="inlineStr">
        <is>
          <t>Студент3.24</t>
        </is>
      </c>
      <c r="B97" s="4" t="inlineStr"/>
      <c r="C97" s="4">
        <f>IF(A97="","",COUNTIF(F97:AI97,"+")+COUNTIF(F97:AI97,"1"))</f>
        <v/>
      </c>
      <c r="D97" s="4">
        <f>IF(A97="","",IF(C97&gt;2*COUNTA(F$73:AI$73)/3,'Общий'!$M$11,IF(C97&gt;=COUNTA(F$73:AI$73)/2,'Общий'!$M$12,'Общий'!$M$13)))</f>
        <v/>
      </c>
      <c r="E97" s="4">
        <f>IF(A97="","",SUMIFS('Логи'!$H$7:$H$3006,'Логи'!$A$7:$A$3006,2,'Логи'!$B$7:$B$3006,3,'Логи'!$C$7:$C$3006,A97))</f>
        <v/>
      </c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4" t="inlineStr">
        <is>
          <t>Студент3.25</t>
        </is>
      </c>
      <c r="B98" s="4" t="inlineStr"/>
      <c r="C98" s="4">
        <f>IF(A98="","",COUNTIF(F98:AI98,"+")+COUNTIF(F98:AI98,"1"))</f>
        <v/>
      </c>
      <c r="D98" s="4">
        <f>IF(A98="","",IF(C98&gt;2*COUNTA(F$73:AI$73)/3,'Общий'!$M$11,IF(C98&gt;=COUNTA(F$73:AI$73)/2,'Общий'!$M$12,'Общий'!$M$13)))</f>
        <v/>
      </c>
      <c r="E98" s="4">
        <f>IF(A98="","",SUMIFS('Логи'!$H$7:$H$3006,'Логи'!$A$7:$A$3006,2,'Логи'!$B$7:$B$3006,3,'Логи'!$C$7:$C$3006,A98))</f>
        <v/>
      </c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4" t="inlineStr">
        <is>
          <t>Студент3.26</t>
        </is>
      </c>
      <c r="B99" s="4" t="inlineStr"/>
      <c r="C99" s="4">
        <f>IF(A99="","",COUNTIF(F99:AI99,"+")+COUNTIF(F99:AI99,"1"))</f>
        <v/>
      </c>
      <c r="D99" s="4">
        <f>IF(A99="","",IF(C99&gt;2*COUNTA(F$73:AI$73)/3,'Общий'!$M$11,IF(C99&gt;=COUNTA(F$73:AI$73)/2,'Общий'!$M$12,'Общий'!$M$13)))</f>
        <v/>
      </c>
      <c r="E99" s="4">
        <f>IF(A99="","",SUMIFS('Логи'!$H$7:$H$3006,'Логи'!$A$7:$A$3006,2,'Логи'!$B$7:$B$3006,3,'Логи'!$C$7:$C$3006,A99))</f>
        <v/>
      </c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4" t="inlineStr">
        <is>
          <t>Студент3.27</t>
        </is>
      </c>
      <c r="B100" s="4" t="inlineStr"/>
      <c r="C100" s="4">
        <f>IF(A100="","",COUNTIF(F100:AI100,"+")+COUNTIF(F100:AI100,"1"))</f>
        <v/>
      </c>
      <c r="D100" s="4">
        <f>IF(A100="","",IF(C100&gt;2*COUNTA(F$73:AI$73)/3,'Общий'!$M$11,IF(C100&gt;=COUNTA(F$73:AI$73)/2,'Общий'!$M$12,'Общий'!$M$13)))</f>
        <v/>
      </c>
      <c r="E100" s="4">
        <f>IF(A100="","",SUMIFS('Логи'!$H$7:$H$3006,'Логи'!$A$7:$A$3006,2,'Логи'!$B$7:$B$3006,3,'Логи'!$C$7:$C$3006,A100))</f>
        <v/>
      </c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4" t="inlineStr">
        <is>
          <t>Студент3.28</t>
        </is>
      </c>
      <c r="B101" s="4" t="inlineStr"/>
      <c r="C101" s="4">
        <f>IF(A101="","",COUNTIF(F101:AI101,"+")+COUNTIF(F101:AI101,"1"))</f>
        <v/>
      </c>
      <c r="D101" s="4">
        <f>IF(A101="","",IF(C101&gt;2*COUNTA(F$73:AI$73)/3,'Общий'!$M$11,IF(C101&gt;=COUNTA(F$73:AI$73)/2,'Общий'!$M$12,'Общий'!$M$13)))</f>
        <v/>
      </c>
      <c r="E101" s="4">
        <f>IF(A101="","",SUMIFS('Логи'!$H$7:$H$3006,'Логи'!$A$7:$A$3006,2,'Логи'!$B$7:$B$3006,3,'Логи'!$C$7:$C$3006,A101))</f>
        <v/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4" t="inlineStr">
        <is>
          <t>Студент3.29</t>
        </is>
      </c>
      <c r="B102" s="4" t="inlineStr"/>
      <c r="C102" s="4">
        <f>IF(A102="","",COUNTIF(F102:AI102,"+")+COUNTIF(F102:AI102,"1"))</f>
        <v/>
      </c>
      <c r="D102" s="4">
        <f>IF(A102="","",IF(C102&gt;2*COUNTA(F$73:AI$73)/3,'Общий'!$M$11,IF(C102&gt;=COUNTA(F$73:AI$73)/2,'Общий'!$M$12,'Общий'!$M$13)))</f>
        <v/>
      </c>
      <c r="E102" s="4">
        <f>IF(A102="","",SUMIFS('Логи'!$H$7:$H$3006,'Логи'!$A$7:$A$3006,2,'Логи'!$B$7:$B$3006,3,'Логи'!$C$7:$C$3006,A102))</f>
        <v/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4" t="inlineStr">
        <is>
          <t>Студент3.30</t>
        </is>
      </c>
      <c r="B103" s="4" t="inlineStr"/>
      <c r="C103" s="4">
        <f>IF(A103="","",COUNTIF(F103:AI103,"+")+COUNTIF(F103:AI103,"1"))</f>
        <v/>
      </c>
      <c r="D103" s="4">
        <f>IF(A103="","",IF(C103&gt;2*COUNTA(F$73:AI$73)/3,'Общий'!$M$11,IF(C103&gt;=COUNTA(F$73:AI$73)/2,'Общий'!$M$12,'Общий'!$M$13)))</f>
        <v/>
      </c>
      <c r="E103" s="4">
        <f>IF(A103="","",SUMIFS('Логи'!$H$7:$H$3006,'Логи'!$A$7:$A$3006,2,'Логи'!$B$7:$B$3006,3,'Логи'!$C$7:$C$3006,A103))</f>
        <v/>
      </c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5">
      <c r="A105" s="19" t="inlineStr">
        <is>
          <t>Практика 2 — результаты рассказа</t>
        </is>
      </c>
    </row>
    <row r="106" ht="28" customHeight="1">
      <c r="A106" s="9" t="inlineStr">
        <is>
          <t>Имя</t>
        </is>
      </c>
      <c r="B106" s="11" t="inlineStr">
        <is>
          <t>TG</t>
        </is>
      </c>
      <c r="C106" s="12" t="inlineStr"/>
      <c r="D106" s="3" t="inlineStr"/>
      <c r="E106" s="3" t="inlineStr"/>
      <c r="F106" s="13" t="inlineStr">
        <is>
          <t>1.0</t>
        </is>
      </c>
      <c r="G106" s="13" t="inlineStr">
        <is>
          <t>2.0</t>
        </is>
      </c>
      <c r="H106" s="13" t="inlineStr">
        <is>
          <t>3.0</t>
        </is>
      </c>
      <c r="I106" s="13" t="inlineStr">
        <is>
          <t>4.0</t>
        </is>
      </c>
      <c r="J106" s="13" t="inlineStr">
        <is>
          <t>5.0</t>
        </is>
      </c>
      <c r="K106" s="13" t="inlineStr">
        <is>
          <t>6</t>
        </is>
      </c>
      <c r="L106" s="13" t="inlineStr">
        <is>
          <t>7</t>
        </is>
      </c>
      <c r="M106" s="13" t="inlineStr">
        <is>
          <t>8</t>
        </is>
      </c>
      <c r="N106" s="13" t="inlineStr">
        <is>
          <t>9</t>
        </is>
      </c>
      <c r="O106" s="13" t="inlineStr">
        <is>
          <t>10</t>
        </is>
      </c>
      <c r="P106" s="13" t="inlineStr">
        <is>
          <t>11</t>
        </is>
      </c>
      <c r="Q106" s="13" t="inlineStr">
        <is>
          <t>12</t>
        </is>
      </c>
      <c r="R106" s="13" t="inlineStr">
        <is>
          <t>13</t>
        </is>
      </c>
      <c r="S106" s="13" t="inlineStr">
        <is>
          <t>14</t>
        </is>
      </c>
      <c r="T106" s="13" t="inlineStr">
        <is>
          <t>15</t>
        </is>
      </c>
      <c r="U106" s="13" t="inlineStr">
        <is>
          <t>16</t>
        </is>
      </c>
      <c r="V106" s="13" t="inlineStr">
        <is>
          <t>17</t>
        </is>
      </c>
      <c r="W106" s="13" t="inlineStr">
        <is>
          <t>18</t>
        </is>
      </c>
      <c r="X106" s="13" t="inlineStr">
        <is>
          <t>19</t>
        </is>
      </c>
      <c r="Y106" s="13" t="inlineStr">
        <is>
          <t>20</t>
        </is>
      </c>
      <c r="Z106" s="13" t="inlineStr">
        <is>
          <t>21</t>
        </is>
      </c>
      <c r="AA106" s="13" t="inlineStr">
        <is>
          <t>22</t>
        </is>
      </c>
      <c r="AB106" s="13" t="inlineStr">
        <is>
          <t>23</t>
        </is>
      </c>
      <c r="AC106" s="13" t="inlineStr">
        <is>
          <t>24</t>
        </is>
      </c>
      <c r="AD106" s="13" t="inlineStr">
        <is>
          <t>25</t>
        </is>
      </c>
      <c r="AE106" s="13" t="inlineStr">
        <is>
          <t>26</t>
        </is>
      </c>
      <c r="AF106" s="13" t="inlineStr">
        <is>
          <t>27</t>
        </is>
      </c>
      <c r="AG106" s="13" t="inlineStr">
        <is>
          <t>28</t>
        </is>
      </c>
      <c r="AH106" s="13" t="inlineStr">
        <is>
          <t>29</t>
        </is>
      </c>
      <c r="AI106" s="13" t="inlineStr">
        <is>
          <t>30</t>
        </is>
      </c>
    </row>
    <row r="107">
      <c r="A107" s="4" t="inlineStr">
        <is>
          <t>Студент3.1</t>
        </is>
      </c>
      <c r="B107" s="4" t="inlineStr"/>
      <c r="C107" s="4" t="n"/>
      <c r="D107" s="4" t="n"/>
      <c r="E107" s="4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4" t="inlineStr">
        <is>
          <t>Студент3.2</t>
        </is>
      </c>
      <c r="B108" s="4" t="inlineStr"/>
      <c r="C108" s="4" t="n"/>
      <c r="D108" s="4" t="n"/>
      <c r="E108" s="4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4" t="inlineStr">
        <is>
          <t>Студент3.3</t>
        </is>
      </c>
      <c r="B109" s="4" t="inlineStr"/>
      <c r="C109" s="4" t="n"/>
      <c r="D109" s="4" t="n"/>
      <c r="E109" s="4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4" t="inlineStr">
        <is>
          <t>Студент3.4</t>
        </is>
      </c>
      <c r="B110" s="4" t="inlineStr"/>
      <c r="C110" s="4" t="n"/>
      <c r="D110" s="4" t="n"/>
      <c r="E110" s="4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4" t="inlineStr">
        <is>
          <t>Студент3.5</t>
        </is>
      </c>
      <c r="B111" s="4" t="inlineStr"/>
      <c r="C111" s="4" t="n"/>
      <c r="D111" s="4" t="n"/>
      <c r="E111" s="4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4" t="inlineStr">
        <is>
          <t>Студент3.6</t>
        </is>
      </c>
      <c r="B112" s="4" t="inlineStr"/>
      <c r="C112" s="4" t="n"/>
      <c r="D112" s="4" t="n"/>
      <c r="E112" s="4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4" t="inlineStr">
        <is>
          <t>Студент3.7</t>
        </is>
      </c>
      <c r="B113" s="4" t="inlineStr"/>
      <c r="C113" s="4" t="n"/>
      <c r="D113" s="4" t="n"/>
      <c r="E113" s="4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4" t="inlineStr">
        <is>
          <t>Студент3.8</t>
        </is>
      </c>
      <c r="B114" s="4" t="inlineStr"/>
      <c r="C114" s="4" t="n"/>
      <c r="D114" s="4" t="n"/>
      <c r="E114" s="4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4" t="inlineStr">
        <is>
          <t>Студент3.9</t>
        </is>
      </c>
      <c r="B115" s="4" t="inlineStr"/>
      <c r="C115" s="4" t="n"/>
      <c r="D115" s="4" t="n"/>
      <c r="E115" s="4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4" t="inlineStr">
        <is>
          <t>Студент3.10</t>
        </is>
      </c>
      <c r="B116" s="4" t="inlineStr"/>
      <c r="C116" s="4" t="n"/>
      <c r="D116" s="4" t="n"/>
      <c r="E116" s="4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4" t="inlineStr">
        <is>
          <t>Студент3.11</t>
        </is>
      </c>
      <c r="B117" s="4" t="inlineStr"/>
      <c r="C117" s="4" t="n"/>
      <c r="D117" s="4" t="n"/>
      <c r="E117" s="4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4" t="inlineStr">
        <is>
          <t>Студент3.12</t>
        </is>
      </c>
      <c r="B118" s="4" t="inlineStr"/>
      <c r="C118" s="4" t="n"/>
      <c r="D118" s="4" t="n"/>
      <c r="E118" s="4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4" t="inlineStr">
        <is>
          <t>Студент3.13</t>
        </is>
      </c>
      <c r="B119" s="4" t="inlineStr"/>
      <c r="C119" s="4" t="n"/>
      <c r="D119" s="4" t="n"/>
      <c r="E119" s="4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4" t="inlineStr">
        <is>
          <t>Студент3.14</t>
        </is>
      </c>
      <c r="B120" s="4" t="inlineStr"/>
      <c r="C120" s="4" t="n"/>
      <c r="D120" s="4" t="n"/>
      <c r="E120" s="4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4" t="inlineStr">
        <is>
          <t>Студент3.15</t>
        </is>
      </c>
      <c r="B121" s="4" t="inlineStr"/>
      <c r="C121" s="4" t="n"/>
      <c r="D121" s="4" t="n"/>
      <c r="E121" s="4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4" t="inlineStr">
        <is>
          <t>Студент3.16</t>
        </is>
      </c>
      <c r="B122" s="4" t="inlineStr"/>
      <c r="C122" s="4" t="n"/>
      <c r="D122" s="4" t="n"/>
      <c r="E122" s="4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4" t="inlineStr">
        <is>
          <t>Студент3.17</t>
        </is>
      </c>
      <c r="B123" s="4" t="inlineStr"/>
      <c r="C123" s="4" t="n"/>
      <c r="D123" s="4" t="n"/>
      <c r="E123" s="4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4" t="inlineStr">
        <is>
          <t>Студент3.18</t>
        </is>
      </c>
      <c r="B124" s="4" t="inlineStr"/>
      <c r="C124" s="4" t="n"/>
      <c r="D124" s="4" t="n"/>
      <c r="E124" s="4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4" t="inlineStr">
        <is>
          <t>Студент3.19</t>
        </is>
      </c>
      <c r="B125" s="4" t="inlineStr"/>
      <c r="C125" s="4" t="n"/>
      <c r="D125" s="4" t="n"/>
      <c r="E125" s="4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4" t="inlineStr">
        <is>
          <t>Студент3.20</t>
        </is>
      </c>
      <c r="B126" s="4" t="inlineStr"/>
      <c r="C126" s="4" t="n"/>
      <c r="D126" s="4" t="n"/>
      <c r="E126" s="4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4" t="inlineStr">
        <is>
          <t>Студент3.21</t>
        </is>
      </c>
      <c r="B127" s="4" t="inlineStr"/>
      <c r="C127" s="4" t="n"/>
      <c r="D127" s="4" t="n"/>
      <c r="E127" s="4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4" t="inlineStr">
        <is>
          <t>Студент3.22</t>
        </is>
      </c>
      <c r="B128" s="4" t="inlineStr"/>
      <c r="C128" s="4" t="n"/>
      <c r="D128" s="4" t="n"/>
      <c r="E128" s="4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4" t="inlineStr">
        <is>
          <t>Студент3.23</t>
        </is>
      </c>
      <c r="B129" s="4" t="inlineStr"/>
      <c r="C129" s="4" t="n"/>
      <c r="D129" s="4" t="n"/>
      <c r="E129" s="4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4" t="inlineStr">
        <is>
          <t>Студент3.24</t>
        </is>
      </c>
      <c r="B130" s="4" t="inlineStr"/>
      <c r="C130" s="4" t="n"/>
      <c r="D130" s="4" t="n"/>
      <c r="E130" s="4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4" t="inlineStr">
        <is>
          <t>Студент3.25</t>
        </is>
      </c>
      <c r="B131" s="4" t="inlineStr"/>
      <c r="C131" s="4" t="n"/>
      <c r="D131" s="4" t="n"/>
      <c r="E131" s="4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4" t="inlineStr">
        <is>
          <t>Студент3.26</t>
        </is>
      </c>
      <c r="B132" s="4" t="inlineStr"/>
      <c r="C132" s="4" t="n"/>
      <c r="D132" s="4" t="n"/>
      <c r="E132" s="4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4" t="inlineStr">
        <is>
          <t>Студент3.27</t>
        </is>
      </c>
      <c r="B133" s="4" t="inlineStr"/>
      <c r="C133" s="4" t="n"/>
      <c r="D133" s="4" t="n"/>
      <c r="E133" s="4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4" t="inlineStr">
        <is>
          <t>Студент3.28</t>
        </is>
      </c>
      <c r="B134" s="4" t="inlineStr"/>
      <c r="C134" s="4" t="n"/>
      <c r="D134" s="4" t="n"/>
      <c r="E134" s="4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4" t="inlineStr">
        <is>
          <t>Студент3.29</t>
        </is>
      </c>
      <c r="B135" s="4" t="inlineStr"/>
      <c r="C135" s="4" t="n"/>
      <c r="D135" s="4" t="n"/>
      <c r="E135" s="4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4" t="inlineStr">
        <is>
          <t>Студент3.30</t>
        </is>
      </c>
      <c r="B136" s="4" t="inlineStr"/>
      <c r="C136" s="4" t="n"/>
      <c r="D136" s="4" t="n"/>
      <c r="E136" s="4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40">
      <c r="A140" s="17" t="inlineStr">
        <is>
          <t>Практика 3 — плюсы</t>
        </is>
      </c>
    </row>
    <row r="141" ht="28" customHeight="1">
      <c r="A141" s="9" t="inlineStr">
        <is>
          <t>Имя</t>
        </is>
      </c>
      <c r="B141" s="11" t="inlineStr">
        <is>
          <t>TG</t>
        </is>
      </c>
      <c r="C141" s="12" t="inlineStr">
        <is>
          <t>S</t>
        </is>
      </c>
      <c r="D141" s="10" t="inlineStr">
        <is>
          <t>Коэффициент</t>
        </is>
      </c>
      <c r="E141" s="18" t="inlineStr">
        <is>
          <t>D за практику</t>
        </is>
      </c>
      <c r="F141" s="13" t="inlineStr">
        <is>
          <t>1.0</t>
        </is>
      </c>
      <c r="G141" s="13" t="inlineStr">
        <is>
          <t>2.0</t>
        </is>
      </c>
      <c r="H141" s="13" t="inlineStr">
        <is>
          <t>3.0</t>
        </is>
      </c>
      <c r="I141" s="13" t="inlineStr">
        <is>
          <t>4.0</t>
        </is>
      </c>
      <c r="J141" s="13" t="inlineStr">
        <is>
          <t>5.0</t>
        </is>
      </c>
      <c r="K141" s="13" t="inlineStr">
        <is>
          <t>6</t>
        </is>
      </c>
      <c r="L141" s="13" t="inlineStr">
        <is>
          <t>7</t>
        </is>
      </c>
      <c r="M141" s="13" t="inlineStr">
        <is>
          <t>8</t>
        </is>
      </c>
      <c r="N141" s="13" t="inlineStr">
        <is>
          <t>9</t>
        </is>
      </c>
      <c r="O141" s="13" t="inlineStr">
        <is>
          <t>10</t>
        </is>
      </c>
      <c r="P141" s="13" t="inlineStr">
        <is>
          <t>11</t>
        </is>
      </c>
      <c r="Q141" s="13" t="inlineStr">
        <is>
          <t>12</t>
        </is>
      </c>
      <c r="R141" s="13" t="inlineStr">
        <is>
          <t>13</t>
        </is>
      </c>
      <c r="S141" s="13" t="inlineStr">
        <is>
          <t>14</t>
        </is>
      </c>
      <c r="T141" s="13" t="inlineStr">
        <is>
          <t>15</t>
        </is>
      </c>
      <c r="U141" s="13" t="inlineStr">
        <is>
          <t>16</t>
        </is>
      </c>
      <c r="V141" s="13" t="inlineStr">
        <is>
          <t>17</t>
        </is>
      </c>
      <c r="W141" s="13" t="inlineStr">
        <is>
          <t>18</t>
        </is>
      </c>
      <c r="X141" s="13" t="inlineStr">
        <is>
          <t>19</t>
        </is>
      </c>
      <c r="Y141" s="13" t="inlineStr">
        <is>
          <t>20</t>
        </is>
      </c>
      <c r="Z141" s="13" t="inlineStr">
        <is>
          <t>21</t>
        </is>
      </c>
      <c r="AA141" s="13" t="inlineStr">
        <is>
          <t>22</t>
        </is>
      </c>
      <c r="AB141" s="13" t="inlineStr">
        <is>
          <t>23</t>
        </is>
      </c>
      <c r="AC141" s="13" t="inlineStr">
        <is>
          <t>24</t>
        </is>
      </c>
      <c r="AD141" s="13" t="inlineStr">
        <is>
          <t>25</t>
        </is>
      </c>
      <c r="AE141" s="13" t="inlineStr">
        <is>
          <t>26</t>
        </is>
      </c>
      <c r="AF141" s="13" t="inlineStr">
        <is>
          <t>27</t>
        </is>
      </c>
      <c r="AG141" s="13" t="inlineStr">
        <is>
          <t>28</t>
        </is>
      </c>
      <c r="AH141" s="13" t="inlineStr">
        <is>
          <t>29</t>
        </is>
      </c>
      <c r="AI141" s="13" t="inlineStr">
        <is>
          <t>30</t>
        </is>
      </c>
    </row>
    <row r="142">
      <c r="A142" s="4" t="inlineStr">
        <is>
          <t>Студент3.1</t>
        </is>
      </c>
      <c r="B142" s="4" t="inlineStr"/>
      <c r="C142" s="4">
        <f>IF(A142="","",COUNTIF(F142:AI142,"+")+COUNTIF(F142:AI142,"1"))</f>
        <v/>
      </c>
      <c r="D142" s="4">
        <f>IF(A142="","",IF(C142&gt;2*COUNTA(F$141:AI$141)/3,'Общий'!$M$11,IF(C142&gt;=COUNTA(F$141:AI$141)/2,'Общий'!$M$12,'Общий'!$M$13)))</f>
        <v/>
      </c>
      <c r="E142" s="4">
        <f>IF(A142="","",SUMIFS('Логи'!$H$7:$H$3006,'Логи'!$A$7:$A$3006,3,'Логи'!$B$7:$B$3006,3,'Логи'!$C$7:$C$3006,A142))</f>
        <v/>
      </c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4" t="inlineStr">
        <is>
          <t>Студент3.2</t>
        </is>
      </c>
      <c r="B143" s="4" t="inlineStr"/>
      <c r="C143" s="4">
        <f>IF(A143="","",COUNTIF(F143:AI143,"+")+COUNTIF(F143:AI143,"1"))</f>
        <v/>
      </c>
      <c r="D143" s="4">
        <f>IF(A143="","",IF(C143&gt;2*COUNTA(F$141:AI$141)/3,'Общий'!$M$11,IF(C143&gt;=COUNTA(F$141:AI$141)/2,'Общий'!$M$12,'Общий'!$M$13)))</f>
        <v/>
      </c>
      <c r="E143" s="4">
        <f>IF(A143="","",SUMIFS('Логи'!$H$7:$H$3006,'Логи'!$A$7:$A$3006,3,'Логи'!$B$7:$B$3006,3,'Логи'!$C$7:$C$3006,A143))</f>
        <v/>
      </c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4" t="inlineStr">
        <is>
          <t>Студент3.3</t>
        </is>
      </c>
      <c r="B144" s="4" t="inlineStr"/>
      <c r="C144" s="4">
        <f>IF(A144="","",COUNTIF(F144:AI144,"+")+COUNTIF(F144:AI144,"1"))</f>
        <v/>
      </c>
      <c r="D144" s="4">
        <f>IF(A144="","",IF(C144&gt;2*COUNTA(F$141:AI$141)/3,'Общий'!$M$11,IF(C144&gt;=COUNTA(F$141:AI$141)/2,'Общий'!$M$12,'Общий'!$M$13)))</f>
        <v/>
      </c>
      <c r="E144" s="4">
        <f>IF(A144="","",SUMIFS('Логи'!$H$7:$H$3006,'Логи'!$A$7:$A$3006,3,'Логи'!$B$7:$B$3006,3,'Логи'!$C$7:$C$3006,A144))</f>
        <v/>
      </c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4" t="inlineStr">
        <is>
          <t>Студент3.4</t>
        </is>
      </c>
      <c r="B145" s="4" t="inlineStr"/>
      <c r="C145" s="4">
        <f>IF(A145="","",COUNTIF(F145:AI145,"+")+COUNTIF(F145:AI145,"1"))</f>
        <v/>
      </c>
      <c r="D145" s="4">
        <f>IF(A145="","",IF(C145&gt;2*COUNTA(F$141:AI$141)/3,'Общий'!$M$11,IF(C145&gt;=COUNTA(F$141:AI$141)/2,'Общий'!$M$12,'Общий'!$M$13)))</f>
        <v/>
      </c>
      <c r="E145" s="4">
        <f>IF(A145="","",SUMIFS('Логи'!$H$7:$H$3006,'Логи'!$A$7:$A$3006,3,'Логи'!$B$7:$B$3006,3,'Логи'!$C$7:$C$3006,A145))</f>
        <v/>
      </c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4" t="inlineStr">
        <is>
          <t>Студент3.5</t>
        </is>
      </c>
      <c r="B146" s="4" t="inlineStr"/>
      <c r="C146" s="4">
        <f>IF(A146="","",COUNTIF(F146:AI146,"+")+COUNTIF(F146:AI146,"1"))</f>
        <v/>
      </c>
      <c r="D146" s="4">
        <f>IF(A146="","",IF(C146&gt;2*COUNTA(F$141:AI$141)/3,'Общий'!$M$11,IF(C146&gt;=COUNTA(F$141:AI$141)/2,'Общий'!$M$12,'Общий'!$M$13)))</f>
        <v/>
      </c>
      <c r="E146" s="4">
        <f>IF(A146="","",SUMIFS('Логи'!$H$7:$H$3006,'Логи'!$A$7:$A$3006,3,'Логи'!$B$7:$B$3006,3,'Логи'!$C$7:$C$3006,A146))</f>
        <v/>
      </c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4" t="inlineStr">
        <is>
          <t>Студент3.6</t>
        </is>
      </c>
      <c r="B147" s="4" t="inlineStr"/>
      <c r="C147" s="4">
        <f>IF(A147="","",COUNTIF(F147:AI147,"+")+COUNTIF(F147:AI147,"1"))</f>
        <v/>
      </c>
      <c r="D147" s="4">
        <f>IF(A147="","",IF(C147&gt;2*COUNTA(F$141:AI$141)/3,'Общий'!$M$11,IF(C147&gt;=COUNTA(F$141:AI$141)/2,'Общий'!$M$12,'Общий'!$M$13)))</f>
        <v/>
      </c>
      <c r="E147" s="4">
        <f>IF(A147="","",SUMIFS('Логи'!$H$7:$H$3006,'Логи'!$A$7:$A$3006,3,'Логи'!$B$7:$B$3006,3,'Логи'!$C$7:$C$3006,A147))</f>
        <v/>
      </c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4" t="inlineStr">
        <is>
          <t>Студент3.7</t>
        </is>
      </c>
      <c r="B148" s="4" t="inlineStr"/>
      <c r="C148" s="4">
        <f>IF(A148="","",COUNTIF(F148:AI148,"+")+COUNTIF(F148:AI148,"1"))</f>
        <v/>
      </c>
      <c r="D148" s="4">
        <f>IF(A148="","",IF(C148&gt;2*COUNTA(F$141:AI$141)/3,'Общий'!$M$11,IF(C148&gt;=COUNTA(F$141:AI$141)/2,'Общий'!$M$12,'Общий'!$M$13)))</f>
        <v/>
      </c>
      <c r="E148" s="4">
        <f>IF(A148="","",SUMIFS('Логи'!$H$7:$H$3006,'Логи'!$A$7:$A$3006,3,'Логи'!$B$7:$B$3006,3,'Логи'!$C$7:$C$3006,A148))</f>
        <v/>
      </c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4" t="inlineStr">
        <is>
          <t>Студент3.8</t>
        </is>
      </c>
      <c r="B149" s="4" t="inlineStr"/>
      <c r="C149" s="4">
        <f>IF(A149="","",COUNTIF(F149:AI149,"+")+COUNTIF(F149:AI149,"1"))</f>
        <v/>
      </c>
      <c r="D149" s="4">
        <f>IF(A149="","",IF(C149&gt;2*COUNTA(F$141:AI$141)/3,'Общий'!$M$11,IF(C149&gt;=COUNTA(F$141:AI$141)/2,'Общий'!$M$12,'Общий'!$M$13)))</f>
        <v/>
      </c>
      <c r="E149" s="4">
        <f>IF(A149="","",SUMIFS('Логи'!$H$7:$H$3006,'Логи'!$A$7:$A$3006,3,'Логи'!$B$7:$B$3006,3,'Логи'!$C$7:$C$3006,A149))</f>
        <v/>
      </c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4" t="inlineStr">
        <is>
          <t>Студент3.9</t>
        </is>
      </c>
      <c r="B150" s="4" t="inlineStr"/>
      <c r="C150" s="4">
        <f>IF(A150="","",COUNTIF(F150:AI150,"+")+COUNTIF(F150:AI150,"1"))</f>
        <v/>
      </c>
      <c r="D150" s="4">
        <f>IF(A150="","",IF(C150&gt;2*COUNTA(F$141:AI$141)/3,'Общий'!$M$11,IF(C150&gt;=COUNTA(F$141:AI$141)/2,'Общий'!$M$12,'Общий'!$M$13)))</f>
        <v/>
      </c>
      <c r="E150" s="4">
        <f>IF(A150="","",SUMIFS('Логи'!$H$7:$H$3006,'Логи'!$A$7:$A$3006,3,'Логи'!$B$7:$B$3006,3,'Логи'!$C$7:$C$3006,A150))</f>
        <v/>
      </c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4" t="inlineStr">
        <is>
          <t>Студент3.10</t>
        </is>
      </c>
      <c r="B151" s="4" t="inlineStr"/>
      <c r="C151" s="4">
        <f>IF(A151="","",COUNTIF(F151:AI151,"+")+COUNTIF(F151:AI151,"1"))</f>
        <v/>
      </c>
      <c r="D151" s="4">
        <f>IF(A151="","",IF(C151&gt;2*COUNTA(F$141:AI$141)/3,'Общий'!$M$11,IF(C151&gt;=COUNTA(F$141:AI$141)/2,'Общий'!$M$12,'Общий'!$M$13)))</f>
        <v/>
      </c>
      <c r="E151" s="4">
        <f>IF(A151="","",SUMIFS('Логи'!$H$7:$H$3006,'Логи'!$A$7:$A$3006,3,'Логи'!$B$7:$B$3006,3,'Логи'!$C$7:$C$3006,A151))</f>
        <v/>
      </c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4" t="inlineStr">
        <is>
          <t>Студент3.11</t>
        </is>
      </c>
      <c r="B152" s="4" t="inlineStr"/>
      <c r="C152" s="4">
        <f>IF(A152="","",COUNTIF(F152:AI152,"+")+COUNTIF(F152:AI152,"1"))</f>
        <v/>
      </c>
      <c r="D152" s="4">
        <f>IF(A152="","",IF(C152&gt;2*COUNTA(F$141:AI$141)/3,'Общий'!$M$11,IF(C152&gt;=COUNTA(F$141:AI$141)/2,'Общий'!$M$12,'Общий'!$M$13)))</f>
        <v/>
      </c>
      <c r="E152" s="4">
        <f>IF(A152="","",SUMIFS('Логи'!$H$7:$H$3006,'Логи'!$A$7:$A$3006,3,'Логи'!$B$7:$B$3006,3,'Логи'!$C$7:$C$3006,A152))</f>
        <v/>
      </c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4" t="inlineStr">
        <is>
          <t>Студент3.12</t>
        </is>
      </c>
      <c r="B153" s="4" t="inlineStr"/>
      <c r="C153" s="4">
        <f>IF(A153="","",COUNTIF(F153:AI153,"+")+COUNTIF(F153:AI153,"1"))</f>
        <v/>
      </c>
      <c r="D153" s="4">
        <f>IF(A153="","",IF(C153&gt;2*COUNTA(F$141:AI$141)/3,'Общий'!$M$11,IF(C153&gt;=COUNTA(F$141:AI$141)/2,'Общий'!$M$12,'Общий'!$M$13)))</f>
        <v/>
      </c>
      <c r="E153" s="4">
        <f>IF(A153="","",SUMIFS('Логи'!$H$7:$H$3006,'Логи'!$A$7:$A$3006,3,'Логи'!$B$7:$B$3006,3,'Логи'!$C$7:$C$3006,A153))</f>
        <v/>
      </c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4" t="inlineStr">
        <is>
          <t>Студент3.13</t>
        </is>
      </c>
      <c r="B154" s="4" t="inlineStr"/>
      <c r="C154" s="4">
        <f>IF(A154="","",COUNTIF(F154:AI154,"+")+COUNTIF(F154:AI154,"1"))</f>
        <v/>
      </c>
      <c r="D154" s="4">
        <f>IF(A154="","",IF(C154&gt;2*COUNTA(F$141:AI$141)/3,'Общий'!$M$11,IF(C154&gt;=COUNTA(F$141:AI$141)/2,'Общий'!$M$12,'Общий'!$M$13)))</f>
        <v/>
      </c>
      <c r="E154" s="4">
        <f>IF(A154="","",SUMIFS('Логи'!$H$7:$H$3006,'Логи'!$A$7:$A$3006,3,'Логи'!$B$7:$B$3006,3,'Логи'!$C$7:$C$3006,A154))</f>
        <v/>
      </c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4" t="inlineStr">
        <is>
          <t>Студент3.14</t>
        </is>
      </c>
      <c r="B155" s="4" t="inlineStr"/>
      <c r="C155" s="4">
        <f>IF(A155="","",COUNTIF(F155:AI155,"+")+COUNTIF(F155:AI155,"1"))</f>
        <v/>
      </c>
      <c r="D155" s="4">
        <f>IF(A155="","",IF(C155&gt;2*COUNTA(F$141:AI$141)/3,'Общий'!$M$11,IF(C155&gt;=COUNTA(F$141:AI$141)/2,'Общий'!$M$12,'Общий'!$M$13)))</f>
        <v/>
      </c>
      <c r="E155" s="4">
        <f>IF(A155="","",SUMIFS('Логи'!$H$7:$H$3006,'Логи'!$A$7:$A$3006,3,'Логи'!$B$7:$B$3006,3,'Логи'!$C$7:$C$3006,A155))</f>
        <v/>
      </c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4" t="inlineStr">
        <is>
          <t>Студент3.15</t>
        </is>
      </c>
      <c r="B156" s="4" t="inlineStr"/>
      <c r="C156" s="4">
        <f>IF(A156="","",COUNTIF(F156:AI156,"+")+COUNTIF(F156:AI156,"1"))</f>
        <v/>
      </c>
      <c r="D156" s="4">
        <f>IF(A156="","",IF(C156&gt;2*COUNTA(F$141:AI$141)/3,'Общий'!$M$11,IF(C156&gt;=COUNTA(F$141:AI$141)/2,'Общий'!$M$12,'Общий'!$M$13)))</f>
        <v/>
      </c>
      <c r="E156" s="4">
        <f>IF(A156="","",SUMIFS('Логи'!$H$7:$H$3006,'Логи'!$A$7:$A$3006,3,'Логи'!$B$7:$B$3006,3,'Логи'!$C$7:$C$3006,A156))</f>
        <v/>
      </c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4" t="inlineStr">
        <is>
          <t>Студент3.16</t>
        </is>
      </c>
      <c r="B157" s="4" t="inlineStr"/>
      <c r="C157" s="4">
        <f>IF(A157="","",COUNTIF(F157:AI157,"+")+COUNTIF(F157:AI157,"1"))</f>
        <v/>
      </c>
      <c r="D157" s="4">
        <f>IF(A157="","",IF(C157&gt;2*COUNTA(F$141:AI$141)/3,'Общий'!$M$11,IF(C157&gt;=COUNTA(F$141:AI$141)/2,'Общий'!$M$12,'Общий'!$M$13)))</f>
        <v/>
      </c>
      <c r="E157" s="4">
        <f>IF(A157="","",SUMIFS('Логи'!$H$7:$H$3006,'Логи'!$A$7:$A$3006,3,'Логи'!$B$7:$B$3006,3,'Логи'!$C$7:$C$3006,A157))</f>
        <v/>
      </c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4" t="inlineStr">
        <is>
          <t>Студент3.17</t>
        </is>
      </c>
      <c r="B158" s="4" t="inlineStr"/>
      <c r="C158" s="4">
        <f>IF(A158="","",COUNTIF(F158:AI158,"+")+COUNTIF(F158:AI158,"1"))</f>
        <v/>
      </c>
      <c r="D158" s="4">
        <f>IF(A158="","",IF(C158&gt;2*COUNTA(F$141:AI$141)/3,'Общий'!$M$11,IF(C158&gt;=COUNTA(F$141:AI$141)/2,'Общий'!$M$12,'Общий'!$M$13)))</f>
        <v/>
      </c>
      <c r="E158" s="4">
        <f>IF(A158="","",SUMIFS('Логи'!$H$7:$H$3006,'Логи'!$A$7:$A$3006,3,'Логи'!$B$7:$B$3006,3,'Логи'!$C$7:$C$3006,A158))</f>
        <v/>
      </c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4" t="inlineStr">
        <is>
          <t>Студент3.18</t>
        </is>
      </c>
      <c r="B159" s="4" t="inlineStr"/>
      <c r="C159" s="4">
        <f>IF(A159="","",COUNTIF(F159:AI159,"+")+COUNTIF(F159:AI159,"1"))</f>
        <v/>
      </c>
      <c r="D159" s="4">
        <f>IF(A159="","",IF(C159&gt;2*COUNTA(F$141:AI$141)/3,'Общий'!$M$11,IF(C159&gt;=COUNTA(F$141:AI$141)/2,'Общий'!$M$12,'Общий'!$M$13)))</f>
        <v/>
      </c>
      <c r="E159" s="4">
        <f>IF(A159="","",SUMIFS('Логи'!$H$7:$H$3006,'Логи'!$A$7:$A$3006,3,'Логи'!$B$7:$B$3006,3,'Логи'!$C$7:$C$3006,A159))</f>
        <v/>
      </c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4" t="inlineStr">
        <is>
          <t>Студент3.19</t>
        </is>
      </c>
      <c r="B160" s="4" t="inlineStr"/>
      <c r="C160" s="4">
        <f>IF(A160="","",COUNTIF(F160:AI160,"+")+COUNTIF(F160:AI160,"1"))</f>
        <v/>
      </c>
      <c r="D160" s="4">
        <f>IF(A160="","",IF(C160&gt;2*COUNTA(F$141:AI$141)/3,'Общий'!$M$11,IF(C160&gt;=COUNTA(F$141:AI$141)/2,'Общий'!$M$12,'Общий'!$M$13)))</f>
        <v/>
      </c>
      <c r="E160" s="4">
        <f>IF(A160="","",SUMIFS('Логи'!$H$7:$H$3006,'Логи'!$A$7:$A$3006,3,'Логи'!$B$7:$B$3006,3,'Логи'!$C$7:$C$3006,A160))</f>
        <v/>
      </c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4" t="inlineStr">
        <is>
          <t>Студент3.20</t>
        </is>
      </c>
      <c r="B161" s="4" t="inlineStr"/>
      <c r="C161" s="4">
        <f>IF(A161="","",COUNTIF(F161:AI161,"+")+COUNTIF(F161:AI161,"1"))</f>
        <v/>
      </c>
      <c r="D161" s="4">
        <f>IF(A161="","",IF(C161&gt;2*COUNTA(F$141:AI$141)/3,'Общий'!$M$11,IF(C161&gt;=COUNTA(F$141:AI$141)/2,'Общий'!$M$12,'Общий'!$M$13)))</f>
        <v/>
      </c>
      <c r="E161" s="4">
        <f>IF(A161="","",SUMIFS('Логи'!$H$7:$H$3006,'Логи'!$A$7:$A$3006,3,'Логи'!$B$7:$B$3006,3,'Логи'!$C$7:$C$3006,A161))</f>
        <v/>
      </c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4" t="inlineStr">
        <is>
          <t>Студент3.21</t>
        </is>
      </c>
      <c r="B162" s="4" t="inlineStr"/>
      <c r="C162" s="4">
        <f>IF(A162="","",COUNTIF(F162:AI162,"+")+COUNTIF(F162:AI162,"1"))</f>
        <v/>
      </c>
      <c r="D162" s="4">
        <f>IF(A162="","",IF(C162&gt;2*COUNTA(F$141:AI$141)/3,'Общий'!$M$11,IF(C162&gt;=COUNTA(F$141:AI$141)/2,'Общий'!$M$12,'Общий'!$M$13)))</f>
        <v/>
      </c>
      <c r="E162" s="4">
        <f>IF(A162="","",SUMIFS('Логи'!$H$7:$H$3006,'Логи'!$A$7:$A$3006,3,'Логи'!$B$7:$B$3006,3,'Логи'!$C$7:$C$3006,A162))</f>
        <v/>
      </c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4" t="inlineStr">
        <is>
          <t>Студент3.22</t>
        </is>
      </c>
      <c r="B163" s="4" t="inlineStr"/>
      <c r="C163" s="4">
        <f>IF(A163="","",COUNTIF(F163:AI163,"+")+COUNTIF(F163:AI163,"1"))</f>
        <v/>
      </c>
      <c r="D163" s="4">
        <f>IF(A163="","",IF(C163&gt;2*COUNTA(F$141:AI$141)/3,'Общий'!$M$11,IF(C163&gt;=COUNTA(F$141:AI$141)/2,'Общий'!$M$12,'Общий'!$M$13)))</f>
        <v/>
      </c>
      <c r="E163" s="4">
        <f>IF(A163="","",SUMIFS('Логи'!$H$7:$H$3006,'Логи'!$A$7:$A$3006,3,'Логи'!$B$7:$B$3006,3,'Логи'!$C$7:$C$3006,A163))</f>
        <v/>
      </c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4" t="inlineStr">
        <is>
          <t>Студент3.23</t>
        </is>
      </c>
      <c r="B164" s="4" t="inlineStr"/>
      <c r="C164" s="4">
        <f>IF(A164="","",COUNTIF(F164:AI164,"+")+COUNTIF(F164:AI164,"1"))</f>
        <v/>
      </c>
      <c r="D164" s="4">
        <f>IF(A164="","",IF(C164&gt;2*COUNTA(F$141:AI$141)/3,'Общий'!$M$11,IF(C164&gt;=COUNTA(F$141:AI$141)/2,'Общий'!$M$12,'Общий'!$M$13)))</f>
        <v/>
      </c>
      <c r="E164" s="4">
        <f>IF(A164="","",SUMIFS('Логи'!$H$7:$H$3006,'Логи'!$A$7:$A$3006,3,'Логи'!$B$7:$B$3006,3,'Логи'!$C$7:$C$3006,A164))</f>
        <v/>
      </c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4" t="inlineStr">
        <is>
          <t>Студент3.24</t>
        </is>
      </c>
      <c r="B165" s="4" t="inlineStr"/>
      <c r="C165" s="4">
        <f>IF(A165="","",COUNTIF(F165:AI165,"+")+COUNTIF(F165:AI165,"1"))</f>
        <v/>
      </c>
      <c r="D165" s="4">
        <f>IF(A165="","",IF(C165&gt;2*COUNTA(F$141:AI$141)/3,'Общий'!$M$11,IF(C165&gt;=COUNTA(F$141:AI$141)/2,'Общий'!$M$12,'Общий'!$M$13)))</f>
        <v/>
      </c>
      <c r="E165" s="4">
        <f>IF(A165="","",SUMIFS('Логи'!$H$7:$H$3006,'Логи'!$A$7:$A$3006,3,'Логи'!$B$7:$B$3006,3,'Логи'!$C$7:$C$3006,A165))</f>
        <v/>
      </c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4" t="inlineStr">
        <is>
          <t>Студент3.25</t>
        </is>
      </c>
      <c r="B166" s="4" t="inlineStr"/>
      <c r="C166" s="4">
        <f>IF(A166="","",COUNTIF(F166:AI166,"+")+COUNTIF(F166:AI166,"1"))</f>
        <v/>
      </c>
      <c r="D166" s="4">
        <f>IF(A166="","",IF(C166&gt;2*COUNTA(F$141:AI$141)/3,'Общий'!$M$11,IF(C166&gt;=COUNTA(F$141:AI$141)/2,'Общий'!$M$12,'Общий'!$M$13)))</f>
        <v/>
      </c>
      <c r="E166" s="4">
        <f>IF(A166="","",SUMIFS('Логи'!$H$7:$H$3006,'Логи'!$A$7:$A$3006,3,'Логи'!$B$7:$B$3006,3,'Логи'!$C$7:$C$3006,A166))</f>
        <v/>
      </c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4" t="inlineStr">
        <is>
          <t>Студент3.26</t>
        </is>
      </c>
      <c r="B167" s="4" t="inlineStr"/>
      <c r="C167" s="4">
        <f>IF(A167="","",COUNTIF(F167:AI167,"+")+COUNTIF(F167:AI167,"1"))</f>
        <v/>
      </c>
      <c r="D167" s="4">
        <f>IF(A167="","",IF(C167&gt;2*COUNTA(F$141:AI$141)/3,'Общий'!$M$11,IF(C167&gt;=COUNTA(F$141:AI$141)/2,'Общий'!$M$12,'Общий'!$M$13)))</f>
        <v/>
      </c>
      <c r="E167" s="4">
        <f>IF(A167="","",SUMIFS('Логи'!$H$7:$H$3006,'Логи'!$A$7:$A$3006,3,'Логи'!$B$7:$B$3006,3,'Логи'!$C$7:$C$3006,A167))</f>
        <v/>
      </c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4" t="inlineStr">
        <is>
          <t>Студент3.27</t>
        </is>
      </c>
      <c r="B168" s="4" t="inlineStr"/>
      <c r="C168" s="4">
        <f>IF(A168="","",COUNTIF(F168:AI168,"+")+COUNTIF(F168:AI168,"1"))</f>
        <v/>
      </c>
      <c r="D168" s="4">
        <f>IF(A168="","",IF(C168&gt;2*COUNTA(F$141:AI$141)/3,'Общий'!$M$11,IF(C168&gt;=COUNTA(F$141:AI$141)/2,'Общий'!$M$12,'Общий'!$M$13)))</f>
        <v/>
      </c>
      <c r="E168" s="4">
        <f>IF(A168="","",SUMIFS('Логи'!$H$7:$H$3006,'Логи'!$A$7:$A$3006,3,'Логи'!$B$7:$B$3006,3,'Логи'!$C$7:$C$3006,A168))</f>
        <v/>
      </c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4" t="inlineStr">
        <is>
          <t>Студент3.28</t>
        </is>
      </c>
      <c r="B169" s="4" t="inlineStr"/>
      <c r="C169" s="4">
        <f>IF(A169="","",COUNTIF(F169:AI169,"+")+COUNTIF(F169:AI169,"1"))</f>
        <v/>
      </c>
      <c r="D169" s="4">
        <f>IF(A169="","",IF(C169&gt;2*COUNTA(F$141:AI$141)/3,'Общий'!$M$11,IF(C169&gt;=COUNTA(F$141:AI$141)/2,'Общий'!$M$12,'Общий'!$M$13)))</f>
        <v/>
      </c>
      <c r="E169" s="4">
        <f>IF(A169="","",SUMIFS('Логи'!$H$7:$H$3006,'Логи'!$A$7:$A$3006,3,'Логи'!$B$7:$B$3006,3,'Логи'!$C$7:$C$3006,A169))</f>
        <v/>
      </c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4" t="inlineStr">
        <is>
          <t>Студент3.29</t>
        </is>
      </c>
      <c r="B170" s="4" t="inlineStr"/>
      <c r="C170" s="4">
        <f>IF(A170="","",COUNTIF(F170:AI170,"+")+COUNTIF(F170:AI170,"1"))</f>
        <v/>
      </c>
      <c r="D170" s="4">
        <f>IF(A170="","",IF(C170&gt;2*COUNTA(F$141:AI$141)/3,'Общий'!$M$11,IF(C170&gt;=COUNTA(F$141:AI$141)/2,'Общий'!$M$12,'Общий'!$M$13)))</f>
        <v/>
      </c>
      <c r="E170" s="4">
        <f>IF(A170="","",SUMIFS('Логи'!$H$7:$H$3006,'Логи'!$A$7:$A$3006,3,'Логи'!$B$7:$B$3006,3,'Логи'!$C$7:$C$3006,A170))</f>
        <v/>
      </c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4" t="inlineStr">
        <is>
          <t>Студент3.30</t>
        </is>
      </c>
      <c r="B171" s="4" t="inlineStr"/>
      <c r="C171" s="4">
        <f>IF(A171="","",COUNTIF(F171:AI171,"+")+COUNTIF(F171:AI171,"1"))</f>
        <v/>
      </c>
      <c r="D171" s="4">
        <f>IF(A171="","",IF(C171&gt;2*COUNTA(F$141:AI$141)/3,'Общий'!$M$11,IF(C171&gt;=COUNTA(F$141:AI$141)/2,'Общий'!$M$12,'Общий'!$M$13)))</f>
        <v/>
      </c>
      <c r="E171" s="4">
        <f>IF(A171="","",SUMIFS('Логи'!$H$7:$H$3006,'Логи'!$A$7:$A$3006,3,'Логи'!$B$7:$B$3006,3,'Логи'!$C$7:$C$3006,A171))</f>
        <v/>
      </c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3">
      <c r="A173" s="19" t="inlineStr">
        <is>
          <t>Практика 3 — результаты рассказа</t>
        </is>
      </c>
    </row>
    <row r="174" ht="28" customHeight="1">
      <c r="A174" s="9" t="inlineStr">
        <is>
          <t>Имя</t>
        </is>
      </c>
      <c r="B174" s="11" t="inlineStr">
        <is>
          <t>TG</t>
        </is>
      </c>
      <c r="C174" s="12" t="inlineStr"/>
      <c r="D174" s="3" t="inlineStr"/>
      <c r="E174" s="3" t="inlineStr"/>
      <c r="F174" s="13" t="inlineStr">
        <is>
          <t>1.0</t>
        </is>
      </c>
      <c r="G174" s="13" t="inlineStr">
        <is>
          <t>2.0</t>
        </is>
      </c>
      <c r="H174" s="13" t="inlineStr">
        <is>
          <t>3.0</t>
        </is>
      </c>
      <c r="I174" s="13" t="inlineStr">
        <is>
          <t>4.0</t>
        </is>
      </c>
      <c r="J174" s="13" t="inlineStr">
        <is>
          <t>5.0</t>
        </is>
      </c>
      <c r="K174" s="13" t="inlineStr">
        <is>
          <t>6</t>
        </is>
      </c>
      <c r="L174" s="13" t="inlineStr">
        <is>
          <t>7</t>
        </is>
      </c>
      <c r="M174" s="13" t="inlineStr">
        <is>
          <t>8</t>
        </is>
      </c>
      <c r="N174" s="13" t="inlineStr">
        <is>
          <t>9</t>
        </is>
      </c>
      <c r="O174" s="13" t="inlineStr">
        <is>
          <t>10</t>
        </is>
      </c>
      <c r="P174" s="13" t="inlineStr">
        <is>
          <t>11</t>
        </is>
      </c>
      <c r="Q174" s="13" t="inlineStr">
        <is>
          <t>12</t>
        </is>
      </c>
      <c r="R174" s="13" t="inlineStr">
        <is>
          <t>13</t>
        </is>
      </c>
      <c r="S174" s="13" t="inlineStr">
        <is>
          <t>14</t>
        </is>
      </c>
      <c r="T174" s="13" t="inlineStr">
        <is>
          <t>15</t>
        </is>
      </c>
      <c r="U174" s="13" t="inlineStr">
        <is>
          <t>16</t>
        </is>
      </c>
      <c r="V174" s="13" t="inlineStr">
        <is>
          <t>17</t>
        </is>
      </c>
      <c r="W174" s="13" t="inlineStr">
        <is>
          <t>18</t>
        </is>
      </c>
      <c r="X174" s="13" t="inlineStr">
        <is>
          <t>19</t>
        </is>
      </c>
      <c r="Y174" s="13" t="inlineStr">
        <is>
          <t>20</t>
        </is>
      </c>
      <c r="Z174" s="13" t="inlineStr">
        <is>
          <t>21</t>
        </is>
      </c>
      <c r="AA174" s="13" t="inlineStr">
        <is>
          <t>22</t>
        </is>
      </c>
      <c r="AB174" s="13" t="inlineStr">
        <is>
          <t>23</t>
        </is>
      </c>
      <c r="AC174" s="13" t="inlineStr">
        <is>
          <t>24</t>
        </is>
      </c>
      <c r="AD174" s="13" t="inlineStr">
        <is>
          <t>25</t>
        </is>
      </c>
      <c r="AE174" s="13" t="inlineStr">
        <is>
          <t>26</t>
        </is>
      </c>
      <c r="AF174" s="13" t="inlineStr">
        <is>
          <t>27</t>
        </is>
      </c>
      <c r="AG174" s="13" t="inlineStr">
        <is>
          <t>28</t>
        </is>
      </c>
      <c r="AH174" s="13" t="inlineStr">
        <is>
          <t>29</t>
        </is>
      </c>
      <c r="AI174" s="13" t="inlineStr">
        <is>
          <t>30</t>
        </is>
      </c>
    </row>
    <row r="175">
      <c r="A175" s="4" t="inlineStr">
        <is>
          <t>Студент3.1</t>
        </is>
      </c>
      <c r="B175" s="4" t="inlineStr"/>
      <c r="C175" s="4" t="n"/>
      <c r="D175" s="4" t="n"/>
      <c r="E175" s="4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4" t="inlineStr">
        <is>
          <t>Студент3.2</t>
        </is>
      </c>
      <c r="B176" s="4" t="inlineStr"/>
      <c r="C176" s="4" t="n"/>
      <c r="D176" s="4" t="n"/>
      <c r="E176" s="4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4" t="inlineStr">
        <is>
          <t>Студент3.3</t>
        </is>
      </c>
      <c r="B177" s="4" t="inlineStr"/>
      <c r="C177" s="4" t="n"/>
      <c r="D177" s="4" t="n"/>
      <c r="E177" s="4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4" t="inlineStr">
        <is>
          <t>Студент3.4</t>
        </is>
      </c>
      <c r="B178" s="4" t="inlineStr"/>
      <c r="C178" s="4" t="n"/>
      <c r="D178" s="4" t="n"/>
      <c r="E178" s="4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4" t="inlineStr">
        <is>
          <t>Студент3.5</t>
        </is>
      </c>
      <c r="B179" s="4" t="inlineStr"/>
      <c r="C179" s="4" t="n"/>
      <c r="D179" s="4" t="n"/>
      <c r="E179" s="4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4" t="inlineStr">
        <is>
          <t>Студент3.6</t>
        </is>
      </c>
      <c r="B180" s="4" t="inlineStr"/>
      <c r="C180" s="4" t="n"/>
      <c r="D180" s="4" t="n"/>
      <c r="E180" s="4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4" t="inlineStr">
        <is>
          <t>Студент3.7</t>
        </is>
      </c>
      <c r="B181" s="4" t="inlineStr"/>
      <c r="C181" s="4" t="n"/>
      <c r="D181" s="4" t="n"/>
      <c r="E181" s="4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4" t="inlineStr">
        <is>
          <t>Студент3.8</t>
        </is>
      </c>
      <c r="B182" s="4" t="inlineStr"/>
      <c r="C182" s="4" t="n"/>
      <c r="D182" s="4" t="n"/>
      <c r="E182" s="4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4" t="inlineStr">
        <is>
          <t>Студент3.9</t>
        </is>
      </c>
      <c r="B183" s="4" t="inlineStr"/>
      <c r="C183" s="4" t="n"/>
      <c r="D183" s="4" t="n"/>
      <c r="E183" s="4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4" t="inlineStr">
        <is>
          <t>Студент3.10</t>
        </is>
      </c>
      <c r="B184" s="4" t="inlineStr"/>
      <c r="C184" s="4" t="n"/>
      <c r="D184" s="4" t="n"/>
      <c r="E184" s="4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4" t="inlineStr">
        <is>
          <t>Студент3.11</t>
        </is>
      </c>
      <c r="B185" s="4" t="inlineStr"/>
      <c r="C185" s="4" t="n"/>
      <c r="D185" s="4" t="n"/>
      <c r="E185" s="4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4" t="inlineStr">
        <is>
          <t>Студент3.12</t>
        </is>
      </c>
      <c r="B186" s="4" t="inlineStr"/>
      <c r="C186" s="4" t="n"/>
      <c r="D186" s="4" t="n"/>
      <c r="E186" s="4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4" t="inlineStr">
        <is>
          <t>Студент3.13</t>
        </is>
      </c>
      <c r="B187" s="4" t="inlineStr"/>
      <c r="C187" s="4" t="n"/>
      <c r="D187" s="4" t="n"/>
      <c r="E187" s="4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4" t="inlineStr">
        <is>
          <t>Студент3.14</t>
        </is>
      </c>
      <c r="B188" s="4" t="inlineStr"/>
      <c r="C188" s="4" t="n"/>
      <c r="D188" s="4" t="n"/>
      <c r="E188" s="4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4" t="inlineStr">
        <is>
          <t>Студент3.15</t>
        </is>
      </c>
      <c r="B189" s="4" t="inlineStr"/>
      <c r="C189" s="4" t="n"/>
      <c r="D189" s="4" t="n"/>
      <c r="E189" s="4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4" t="inlineStr">
        <is>
          <t>Студент3.16</t>
        </is>
      </c>
      <c r="B190" s="4" t="inlineStr"/>
      <c r="C190" s="4" t="n"/>
      <c r="D190" s="4" t="n"/>
      <c r="E190" s="4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4" t="inlineStr">
        <is>
          <t>Студент3.17</t>
        </is>
      </c>
      <c r="B191" s="4" t="inlineStr"/>
      <c r="C191" s="4" t="n"/>
      <c r="D191" s="4" t="n"/>
      <c r="E191" s="4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4" t="inlineStr">
        <is>
          <t>Студент3.18</t>
        </is>
      </c>
      <c r="B192" s="4" t="inlineStr"/>
      <c r="C192" s="4" t="n"/>
      <c r="D192" s="4" t="n"/>
      <c r="E192" s="4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4" t="inlineStr">
        <is>
          <t>Студент3.19</t>
        </is>
      </c>
      <c r="B193" s="4" t="inlineStr"/>
      <c r="C193" s="4" t="n"/>
      <c r="D193" s="4" t="n"/>
      <c r="E193" s="4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4" t="inlineStr">
        <is>
          <t>Студент3.20</t>
        </is>
      </c>
      <c r="B194" s="4" t="inlineStr"/>
      <c r="C194" s="4" t="n"/>
      <c r="D194" s="4" t="n"/>
      <c r="E194" s="4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4" t="inlineStr">
        <is>
          <t>Студент3.21</t>
        </is>
      </c>
      <c r="B195" s="4" t="inlineStr"/>
      <c r="C195" s="4" t="n"/>
      <c r="D195" s="4" t="n"/>
      <c r="E195" s="4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4" t="inlineStr">
        <is>
          <t>Студент3.22</t>
        </is>
      </c>
      <c r="B196" s="4" t="inlineStr"/>
      <c r="C196" s="4" t="n"/>
      <c r="D196" s="4" t="n"/>
      <c r="E196" s="4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4" t="inlineStr">
        <is>
          <t>Студент3.23</t>
        </is>
      </c>
      <c r="B197" s="4" t="inlineStr"/>
      <c r="C197" s="4" t="n"/>
      <c r="D197" s="4" t="n"/>
      <c r="E197" s="4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4" t="inlineStr">
        <is>
          <t>Студент3.24</t>
        </is>
      </c>
      <c r="B198" s="4" t="inlineStr"/>
      <c r="C198" s="4" t="n"/>
      <c r="D198" s="4" t="n"/>
      <c r="E198" s="4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4" t="inlineStr">
        <is>
          <t>Студент3.25</t>
        </is>
      </c>
      <c r="B199" s="4" t="inlineStr"/>
      <c r="C199" s="4" t="n"/>
      <c r="D199" s="4" t="n"/>
      <c r="E199" s="4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4" t="inlineStr">
        <is>
          <t>Студент3.26</t>
        </is>
      </c>
      <c r="B200" s="4" t="inlineStr"/>
      <c r="C200" s="4" t="n"/>
      <c r="D200" s="4" t="n"/>
      <c r="E200" s="4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  <row r="201">
      <c r="A201" s="4" t="inlineStr">
        <is>
          <t>Студент3.27</t>
        </is>
      </c>
      <c r="B201" s="4" t="inlineStr"/>
      <c r="C201" s="4" t="n"/>
      <c r="D201" s="4" t="n"/>
      <c r="E201" s="4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4" t="inlineStr">
        <is>
          <t>Студент3.28</t>
        </is>
      </c>
      <c r="B202" s="4" t="inlineStr"/>
      <c r="C202" s="4" t="n"/>
      <c r="D202" s="4" t="n"/>
      <c r="E202" s="4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</row>
    <row r="203">
      <c r="A203" s="4" t="inlineStr">
        <is>
          <t>Студент3.29</t>
        </is>
      </c>
      <c r="B203" s="4" t="inlineStr"/>
      <c r="C203" s="4" t="n"/>
      <c r="D203" s="4" t="n"/>
      <c r="E203" s="4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4" t="inlineStr">
        <is>
          <t>Студент3.30</t>
        </is>
      </c>
      <c r="B204" s="4" t="inlineStr"/>
      <c r="C204" s="4" t="n"/>
      <c r="D204" s="4" t="n"/>
      <c r="E204" s="4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</row>
    <row r="208">
      <c r="A208" s="17" t="inlineStr">
        <is>
          <t>Практика 4 — плюсы</t>
        </is>
      </c>
    </row>
    <row r="209" ht="28" customHeight="1">
      <c r="A209" s="9" t="inlineStr">
        <is>
          <t>Имя</t>
        </is>
      </c>
      <c r="B209" s="11" t="inlineStr">
        <is>
          <t>TG</t>
        </is>
      </c>
      <c r="C209" s="12" t="inlineStr">
        <is>
          <t>S</t>
        </is>
      </c>
      <c r="D209" s="10" t="inlineStr">
        <is>
          <t>Коэффициент</t>
        </is>
      </c>
      <c r="E209" s="18" t="inlineStr">
        <is>
          <t>D за практику</t>
        </is>
      </c>
      <c r="F209" s="13" t="inlineStr">
        <is>
          <t>1.0</t>
        </is>
      </c>
      <c r="G209" s="13" t="inlineStr">
        <is>
          <t>2.0</t>
        </is>
      </c>
      <c r="H209" s="13" t="inlineStr">
        <is>
          <t>3.0</t>
        </is>
      </c>
      <c r="I209" s="13" t="inlineStr">
        <is>
          <t>4.0</t>
        </is>
      </c>
      <c r="J209" s="13" t="inlineStr">
        <is>
          <t>5.0</t>
        </is>
      </c>
      <c r="K209" s="13" t="inlineStr">
        <is>
          <t>6</t>
        </is>
      </c>
      <c r="L209" s="13" t="inlineStr">
        <is>
          <t>7</t>
        </is>
      </c>
      <c r="M209" s="13" t="inlineStr">
        <is>
          <t>8</t>
        </is>
      </c>
      <c r="N209" s="13" t="inlineStr">
        <is>
          <t>9</t>
        </is>
      </c>
      <c r="O209" s="13" t="inlineStr">
        <is>
          <t>10</t>
        </is>
      </c>
      <c r="P209" s="13" t="inlineStr">
        <is>
          <t>11</t>
        </is>
      </c>
      <c r="Q209" s="13" t="inlineStr">
        <is>
          <t>12</t>
        </is>
      </c>
      <c r="R209" s="13" t="inlineStr">
        <is>
          <t>13</t>
        </is>
      </c>
      <c r="S209" s="13" t="inlineStr">
        <is>
          <t>14</t>
        </is>
      </c>
      <c r="T209" s="13" t="inlineStr">
        <is>
          <t>15</t>
        </is>
      </c>
      <c r="U209" s="13" t="inlineStr">
        <is>
          <t>16</t>
        </is>
      </c>
      <c r="V209" s="13" t="inlineStr">
        <is>
          <t>17</t>
        </is>
      </c>
      <c r="W209" s="13" t="inlineStr">
        <is>
          <t>18</t>
        </is>
      </c>
      <c r="X209" s="13" t="inlineStr">
        <is>
          <t>19</t>
        </is>
      </c>
      <c r="Y209" s="13" t="inlineStr">
        <is>
          <t>20</t>
        </is>
      </c>
      <c r="Z209" s="13" t="inlineStr">
        <is>
          <t>21</t>
        </is>
      </c>
      <c r="AA209" s="13" t="inlineStr">
        <is>
          <t>22</t>
        </is>
      </c>
      <c r="AB209" s="13" t="inlineStr">
        <is>
          <t>23</t>
        </is>
      </c>
      <c r="AC209" s="13" t="inlineStr">
        <is>
          <t>24</t>
        </is>
      </c>
      <c r="AD209" s="13" t="inlineStr">
        <is>
          <t>25</t>
        </is>
      </c>
      <c r="AE209" s="13" t="inlineStr">
        <is>
          <t>26</t>
        </is>
      </c>
      <c r="AF209" s="13" t="inlineStr">
        <is>
          <t>27</t>
        </is>
      </c>
      <c r="AG209" s="13" t="inlineStr">
        <is>
          <t>28</t>
        </is>
      </c>
      <c r="AH209" s="13" t="inlineStr">
        <is>
          <t>29</t>
        </is>
      </c>
      <c r="AI209" s="13" t="inlineStr">
        <is>
          <t>30</t>
        </is>
      </c>
    </row>
    <row r="210">
      <c r="A210" s="4" t="inlineStr">
        <is>
          <t>Студент3.1</t>
        </is>
      </c>
      <c r="B210" s="4" t="inlineStr"/>
      <c r="C210" s="4">
        <f>IF(A210="","",COUNTIF(F210:AI210,"+")+COUNTIF(F210:AI210,"1"))</f>
        <v/>
      </c>
      <c r="D210" s="4">
        <f>IF(A210="","",IF(C210&gt;2*COUNTA(F$209:AI$209)/3,'Общий'!$M$11,IF(C210&gt;=COUNTA(F$209:AI$209)/2,'Общий'!$M$12,'Общий'!$M$13)))</f>
        <v/>
      </c>
      <c r="E210" s="4">
        <f>IF(A210="","",SUMIFS('Логи'!$H$7:$H$3006,'Логи'!$A$7:$A$3006,4,'Логи'!$B$7:$B$3006,3,'Логи'!$C$7:$C$3006,A210))</f>
        <v/>
      </c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</row>
    <row r="211">
      <c r="A211" s="4" t="inlineStr">
        <is>
          <t>Студент3.2</t>
        </is>
      </c>
      <c r="B211" s="4" t="inlineStr"/>
      <c r="C211" s="4">
        <f>IF(A211="","",COUNTIF(F211:AI211,"+")+COUNTIF(F211:AI211,"1"))</f>
        <v/>
      </c>
      <c r="D211" s="4">
        <f>IF(A211="","",IF(C211&gt;2*COUNTA(F$209:AI$209)/3,'Общий'!$M$11,IF(C211&gt;=COUNTA(F$209:AI$209)/2,'Общий'!$M$12,'Общий'!$M$13)))</f>
        <v/>
      </c>
      <c r="E211" s="4">
        <f>IF(A211="","",SUMIFS('Логи'!$H$7:$H$3006,'Логи'!$A$7:$A$3006,4,'Логи'!$B$7:$B$3006,3,'Логи'!$C$7:$C$3006,A211))</f>
        <v/>
      </c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4" t="inlineStr">
        <is>
          <t>Студент3.3</t>
        </is>
      </c>
      <c r="B212" s="4" t="inlineStr"/>
      <c r="C212" s="4">
        <f>IF(A212="","",COUNTIF(F212:AI212,"+")+COUNTIF(F212:AI212,"1"))</f>
        <v/>
      </c>
      <c r="D212" s="4">
        <f>IF(A212="","",IF(C212&gt;2*COUNTA(F$209:AI$209)/3,'Общий'!$M$11,IF(C212&gt;=COUNTA(F$209:AI$209)/2,'Общий'!$M$12,'Общий'!$M$13)))</f>
        <v/>
      </c>
      <c r="E212" s="4">
        <f>IF(A212="","",SUMIFS('Логи'!$H$7:$H$3006,'Логи'!$A$7:$A$3006,4,'Логи'!$B$7:$B$3006,3,'Логи'!$C$7:$C$3006,A212))</f>
        <v/>
      </c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</row>
    <row r="213">
      <c r="A213" s="4" t="inlineStr">
        <is>
          <t>Студент3.4</t>
        </is>
      </c>
      <c r="B213" s="4" t="inlineStr"/>
      <c r="C213" s="4">
        <f>IF(A213="","",COUNTIF(F213:AI213,"+")+COUNTIF(F213:AI213,"1"))</f>
        <v/>
      </c>
      <c r="D213" s="4">
        <f>IF(A213="","",IF(C213&gt;2*COUNTA(F$209:AI$209)/3,'Общий'!$M$11,IF(C213&gt;=COUNTA(F$209:AI$209)/2,'Общий'!$M$12,'Общий'!$M$13)))</f>
        <v/>
      </c>
      <c r="E213" s="4">
        <f>IF(A213="","",SUMIFS('Логи'!$H$7:$H$3006,'Логи'!$A$7:$A$3006,4,'Логи'!$B$7:$B$3006,3,'Логи'!$C$7:$C$3006,A213))</f>
        <v/>
      </c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4" t="inlineStr">
        <is>
          <t>Студент3.5</t>
        </is>
      </c>
      <c r="B214" s="4" t="inlineStr"/>
      <c r="C214" s="4">
        <f>IF(A214="","",COUNTIF(F214:AI214,"+")+COUNTIF(F214:AI214,"1"))</f>
        <v/>
      </c>
      <c r="D214" s="4">
        <f>IF(A214="","",IF(C214&gt;2*COUNTA(F$209:AI$209)/3,'Общий'!$M$11,IF(C214&gt;=COUNTA(F$209:AI$209)/2,'Общий'!$M$12,'Общий'!$M$13)))</f>
        <v/>
      </c>
      <c r="E214" s="4">
        <f>IF(A214="","",SUMIFS('Логи'!$H$7:$H$3006,'Логи'!$A$7:$A$3006,4,'Логи'!$B$7:$B$3006,3,'Логи'!$C$7:$C$3006,A214))</f>
        <v/>
      </c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</row>
    <row r="215">
      <c r="A215" s="4" t="inlineStr">
        <is>
          <t>Студент3.6</t>
        </is>
      </c>
      <c r="B215" s="4" t="inlineStr"/>
      <c r="C215" s="4">
        <f>IF(A215="","",COUNTIF(F215:AI215,"+")+COUNTIF(F215:AI215,"1"))</f>
        <v/>
      </c>
      <c r="D215" s="4">
        <f>IF(A215="","",IF(C215&gt;2*COUNTA(F$209:AI$209)/3,'Общий'!$M$11,IF(C215&gt;=COUNTA(F$209:AI$209)/2,'Общий'!$M$12,'Общий'!$M$13)))</f>
        <v/>
      </c>
      <c r="E215" s="4">
        <f>IF(A215="","",SUMIFS('Логи'!$H$7:$H$3006,'Логи'!$A$7:$A$3006,4,'Логи'!$B$7:$B$3006,3,'Логи'!$C$7:$C$3006,A215))</f>
        <v/>
      </c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4" t="inlineStr">
        <is>
          <t>Студент3.7</t>
        </is>
      </c>
      <c r="B216" s="4" t="inlineStr"/>
      <c r="C216" s="4">
        <f>IF(A216="","",COUNTIF(F216:AI216,"+")+COUNTIF(F216:AI216,"1"))</f>
        <v/>
      </c>
      <c r="D216" s="4">
        <f>IF(A216="","",IF(C216&gt;2*COUNTA(F$209:AI$209)/3,'Общий'!$M$11,IF(C216&gt;=COUNTA(F$209:AI$209)/2,'Общий'!$M$12,'Общий'!$M$13)))</f>
        <v/>
      </c>
      <c r="E216" s="4">
        <f>IF(A216="","",SUMIFS('Логи'!$H$7:$H$3006,'Логи'!$A$7:$A$3006,4,'Логи'!$B$7:$B$3006,3,'Логи'!$C$7:$C$3006,A216))</f>
        <v/>
      </c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</row>
    <row r="217">
      <c r="A217" s="4" t="inlineStr">
        <is>
          <t>Студент3.8</t>
        </is>
      </c>
      <c r="B217" s="4" t="inlineStr"/>
      <c r="C217" s="4">
        <f>IF(A217="","",COUNTIF(F217:AI217,"+")+COUNTIF(F217:AI217,"1"))</f>
        <v/>
      </c>
      <c r="D217" s="4">
        <f>IF(A217="","",IF(C217&gt;2*COUNTA(F$209:AI$209)/3,'Общий'!$M$11,IF(C217&gt;=COUNTA(F$209:AI$209)/2,'Общий'!$M$12,'Общий'!$M$13)))</f>
        <v/>
      </c>
      <c r="E217" s="4">
        <f>IF(A217="","",SUMIFS('Логи'!$H$7:$H$3006,'Логи'!$A$7:$A$3006,4,'Логи'!$B$7:$B$3006,3,'Логи'!$C$7:$C$3006,A217))</f>
        <v/>
      </c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4" t="inlineStr">
        <is>
          <t>Студент3.9</t>
        </is>
      </c>
      <c r="B218" s="4" t="inlineStr"/>
      <c r="C218" s="4">
        <f>IF(A218="","",COUNTIF(F218:AI218,"+")+COUNTIF(F218:AI218,"1"))</f>
        <v/>
      </c>
      <c r="D218" s="4">
        <f>IF(A218="","",IF(C218&gt;2*COUNTA(F$209:AI$209)/3,'Общий'!$M$11,IF(C218&gt;=COUNTA(F$209:AI$209)/2,'Общий'!$M$12,'Общий'!$M$13)))</f>
        <v/>
      </c>
      <c r="E218" s="4">
        <f>IF(A218="","",SUMIFS('Логи'!$H$7:$H$3006,'Логи'!$A$7:$A$3006,4,'Логи'!$B$7:$B$3006,3,'Логи'!$C$7:$C$3006,A218))</f>
        <v/>
      </c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</row>
    <row r="219">
      <c r="A219" s="4" t="inlineStr">
        <is>
          <t>Студент3.10</t>
        </is>
      </c>
      <c r="B219" s="4" t="inlineStr"/>
      <c r="C219" s="4">
        <f>IF(A219="","",COUNTIF(F219:AI219,"+")+COUNTIF(F219:AI219,"1"))</f>
        <v/>
      </c>
      <c r="D219" s="4">
        <f>IF(A219="","",IF(C219&gt;2*COUNTA(F$209:AI$209)/3,'Общий'!$M$11,IF(C219&gt;=COUNTA(F$209:AI$209)/2,'Общий'!$M$12,'Общий'!$M$13)))</f>
        <v/>
      </c>
      <c r="E219" s="4">
        <f>IF(A219="","",SUMIFS('Логи'!$H$7:$H$3006,'Логи'!$A$7:$A$3006,4,'Логи'!$B$7:$B$3006,3,'Логи'!$C$7:$C$3006,A219))</f>
        <v/>
      </c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4" t="inlineStr">
        <is>
          <t>Студент3.11</t>
        </is>
      </c>
      <c r="B220" s="4" t="inlineStr"/>
      <c r="C220" s="4">
        <f>IF(A220="","",COUNTIF(F220:AI220,"+")+COUNTIF(F220:AI220,"1"))</f>
        <v/>
      </c>
      <c r="D220" s="4">
        <f>IF(A220="","",IF(C220&gt;2*COUNTA(F$209:AI$209)/3,'Общий'!$M$11,IF(C220&gt;=COUNTA(F$209:AI$209)/2,'Общий'!$M$12,'Общий'!$M$13)))</f>
        <v/>
      </c>
      <c r="E220" s="4">
        <f>IF(A220="","",SUMIFS('Логи'!$H$7:$H$3006,'Логи'!$A$7:$A$3006,4,'Логи'!$B$7:$B$3006,3,'Логи'!$C$7:$C$3006,A220))</f>
        <v/>
      </c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</row>
    <row r="221">
      <c r="A221" s="4" t="inlineStr">
        <is>
          <t>Студент3.12</t>
        </is>
      </c>
      <c r="B221" s="4" t="inlineStr"/>
      <c r="C221" s="4">
        <f>IF(A221="","",COUNTIF(F221:AI221,"+")+COUNTIF(F221:AI221,"1"))</f>
        <v/>
      </c>
      <c r="D221" s="4">
        <f>IF(A221="","",IF(C221&gt;2*COUNTA(F$209:AI$209)/3,'Общий'!$M$11,IF(C221&gt;=COUNTA(F$209:AI$209)/2,'Общий'!$M$12,'Общий'!$M$13)))</f>
        <v/>
      </c>
      <c r="E221" s="4">
        <f>IF(A221="","",SUMIFS('Логи'!$H$7:$H$3006,'Логи'!$A$7:$A$3006,4,'Логи'!$B$7:$B$3006,3,'Логи'!$C$7:$C$3006,A221))</f>
        <v/>
      </c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4" t="inlineStr">
        <is>
          <t>Студент3.13</t>
        </is>
      </c>
      <c r="B222" s="4" t="inlineStr"/>
      <c r="C222" s="4">
        <f>IF(A222="","",COUNTIF(F222:AI222,"+")+COUNTIF(F222:AI222,"1"))</f>
        <v/>
      </c>
      <c r="D222" s="4">
        <f>IF(A222="","",IF(C222&gt;2*COUNTA(F$209:AI$209)/3,'Общий'!$M$11,IF(C222&gt;=COUNTA(F$209:AI$209)/2,'Общий'!$M$12,'Общий'!$M$13)))</f>
        <v/>
      </c>
      <c r="E222" s="4">
        <f>IF(A222="","",SUMIFS('Логи'!$H$7:$H$3006,'Логи'!$A$7:$A$3006,4,'Логи'!$B$7:$B$3006,3,'Логи'!$C$7:$C$3006,A222))</f>
        <v/>
      </c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</row>
    <row r="223">
      <c r="A223" s="4" t="inlineStr">
        <is>
          <t>Студент3.14</t>
        </is>
      </c>
      <c r="B223" s="4" t="inlineStr"/>
      <c r="C223" s="4">
        <f>IF(A223="","",COUNTIF(F223:AI223,"+")+COUNTIF(F223:AI223,"1"))</f>
        <v/>
      </c>
      <c r="D223" s="4">
        <f>IF(A223="","",IF(C223&gt;2*COUNTA(F$209:AI$209)/3,'Общий'!$M$11,IF(C223&gt;=COUNTA(F$209:AI$209)/2,'Общий'!$M$12,'Общий'!$M$13)))</f>
        <v/>
      </c>
      <c r="E223" s="4">
        <f>IF(A223="","",SUMIFS('Логи'!$H$7:$H$3006,'Логи'!$A$7:$A$3006,4,'Логи'!$B$7:$B$3006,3,'Логи'!$C$7:$C$3006,A223))</f>
        <v/>
      </c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4" t="inlineStr">
        <is>
          <t>Студент3.15</t>
        </is>
      </c>
      <c r="B224" s="4" t="inlineStr"/>
      <c r="C224" s="4">
        <f>IF(A224="","",COUNTIF(F224:AI224,"+")+COUNTIF(F224:AI224,"1"))</f>
        <v/>
      </c>
      <c r="D224" s="4">
        <f>IF(A224="","",IF(C224&gt;2*COUNTA(F$209:AI$209)/3,'Общий'!$M$11,IF(C224&gt;=COUNTA(F$209:AI$209)/2,'Общий'!$M$12,'Общий'!$M$13)))</f>
        <v/>
      </c>
      <c r="E224" s="4">
        <f>IF(A224="","",SUMIFS('Логи'!$H$7:$H$3006,'Логи'!$A$7:$A$3006,4,'Логи'!$B$7:$B$3006,3,'Логи'!$C$7:$C$3006,A224))</f>
        <v/>
      </c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</row>
    <row r="225">
      <c r="A225" s="4" t="inlineStr">
        <is>
          <t>Студент3.16</t>
        </is>
      </c>
      <c r="B225" s="4" t="inlineStr"/>
      <c r="C225" s="4">
        <f>IF(A225="","",COUNTIF(F225:AI225,"+")+COUNTIF(F225:AI225,"1"))</f>
        <v/>
      </c>
      <c r="D225" s="4">
        <f>IF(A225="","",IF(C225&gt;2*COUNTA(F$209:AI$209)/3,'Общий'!$M$11,IF(C225&gt;=COUNTA(F$209:AI$209)/2,'Общий'!$M$12,'Общий'!$M$13)))</f>
        <v/>
      </c>
      <c r="E225" s="4">
        <f>IF(A225="","",SUMIFS('Логи'!$H$7:$H$3006,'Логи'!$A$7:$A$3006,4,'Логи'!$B$7:$B$3006,3,'Логи'!$C$7:$C$3006,A225))</f>
        <v/>
      </c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4" t="inlineStr">
        <is>
          <t>Студент3.17</t>
        </is>
      </c>
      <c r="B226" s="4" t="inlineStr"/>
      <c r="C226" s="4">
        <f>IF(A226="","",COUNTIF(F226:AI226,"+")+COUNTIF(F226:AI226,"1"))</f>
        <v/>
      </c>
      <c r="D226" s="4">
        <f>IF(A226="","",IF(C226&gt;2*COUNTA(F$209:AI$209)/3,'Общий'!$M$11,IF(C226&gt;=COUNTA(F$209:AI$209)/2,'Общий'!$M$12,'Общий'!$M$13)))</f>
        <v/>
      </c>
      <c r="E226" s="4">
        <f>IF(A226="","",SUMIFS('Логи'!$H$7:$H$3006,'Логи'!$A$7:$A$3006,4,'Логи'!$B$7:$B$3006,3,'Логи'!$C$7:$C$3006,A226))</f>
        <v/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</row>
    <row r="227">
      <c r="A227" s="4" t="inlineStr">
        <is>
          <t>Студент3.18</t>
        </is>
      </c>
      <c r="B227" s="4" t="inlineStr"/>
      <c r="C227" s="4">
        <f>IF(A227="","",COUNTIF(F227:AI227,"+")+COUNTIF(F227:AI227,"1"))</f>
        <v/>
      </c>
      <c r="D227" s="4">
        <f>IF(A227="","",IF(C227&gt;2*COUNTA(F$209:AI$209)/3,'Общий'!$M$11,IF(C227&gt;=COUNTA(F$209:AI$209)/2,'Общий'!$M$12,'Общий'!$M$13)))</f>
        <v/>
      </c>
      <c r="E227" s="4">
        <f>IF(A227="","",SUMIFS('Логи'!$H$7:$H$3006,'Логи'!$A$7:$A$3006,4,'Логи'!$B$7:$B$3006,3,'Логи'!$C$7:$C$3006,A227))</f>
        <v/>
      </c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4" t="inlineStr">
        <is>
          <t>Студент3.19</t>
        </is>
      </c>
      <c r="B228" s="4" t="inlineStr"/>
      <c r="C228" s="4">
        <f>IF(A228="","",COUNTIF(F228:AI228,"+")+COUNTIF(F228:AI228,"1"))</f>
        <v/>
      </c>
      <c r="D228" s="4">
        <f>IF(A228="","",IF(C228&gt;2*COUNTA(F$209:AI$209)/3,'Общий'!$M$11,IF(C228&gt;=COUNTA(F$209:AI$209)/2,'Общий'!$M$12,'Общий'!$M$13)))</f>
        <v/>
      </c>
      <c r="E228" s="4">
        <f>IF(A228="","",SUMIFS('Логи'!$H$7:$H$3006,'Логи'!$A$7:$A$3006,4,'Логи'!$B$7:$B$3006,3,'Логи'!$C$7:$C$3006,A228))</f>
        <v/>
      </c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</row>
    <row r="229">
      <c r="A229" s="4" t="inlineStr">
        <is>
          <t>Студент3.20</t>
        </is>
      </c>
      <c r="B229" s="4" t="inlineStr"/>
      <c r="C229" s="4">
        <f>IF(A229="","",COUNTIF(F229:AI229,"+")+COUNTIF(F229:AI229,"1"))</f>
        <v/>
      </c>
      <c r="D229" s="4">
        <f>IF(A229="","",IF(C229&gt;2*COUNTA(F$209:AI$209)/3,'Общий'!$M$11,IF(C229&gt;=COUNTA(F$209:AI$209)/2,'Общий'!$M$12,'Общий'!$M$13)))</f>
        <v/>
      </c>
      <c r="E229" s="4">
        <f>IF(A229="","",SUMIFS('Логи'!$H$7:$H$3006,'Логи'!$A$7:$A$3006,4,'Логи'!$B$7:$B$3006,3,'Логи'!$C$7:$C$3006,A229))</f>
        <v/>
      </c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4" t="inlineStr">
        <is>
          <t>Студент3.21</t>
        </is>
      </c>
      <c r="B230" s="4" t="inlineStr"/>
      <c r="C230" s="4">
        <f>IF(A230="","",COUNTIF(F230:AI230,"+")+COUNTIF(F230:AI230,"1"))</f>
        <v/>
      </c>
      <c r="D230" s="4">
        <f>IF(A230="","",IF(C230&gt;2*COUNTA(F$209:AI$209)/3,'Общий'!$M$11,IF(C230&gt;=COUNTA(F$209:AI$209)/2,'Общий'!$M$12,'Общий'!$M$13)))</f>
        <v/>
      </c>
      <c r="E230" s="4">
        <f>IF(A230="","",SUMIFS('Логи'!$H$7:$H$3006,'Логи'!$A$7:$A$3006,4,'Логи'!$B$7:$B$3006,3,'Логи'!$C$7:$C$3006,A230))</f>
        <v/>
      </c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</row>
    <row r="231">
      <c r="A231" s="4" t="inlineStr">
        <is>
          <t>Студент3.22</t>
        </is>
      </c>
      <c r="B231" s="4" t="inlineStr"/>
      <c r="C231" s="4">
        <f>IF(A231="","",COUNTIF(F231:AI231,"+")+COUNTIF(F231:AI231,"1"))</f>
        <v/>
      </c>
      <c r="D231" s="4">
        <f>IF(A231="","",IF(C231&gt;2*COUNTA(F$209:AI$209)/3,'Общий'!$M$11,IF(C231&gt;=COUNTA(F$209:AI$209)/2,'Общий'!$M$12,'Общий'!$M$13)))</f>
        <v/>
      </c>
      <c r="E231" s="4">
        <f>IF(A231="","",SUMIFS('Логи'!$H$7:$H$3006,'Логи'!$A$7:$A$3006,4,'Логи'!$B$7:$B$3006,3,'Логи'!$C$7:$C$3006,A231))</f>
        <v/>
      </c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4" t="inlineStr">
        <is>
          <t>Студент3.23</t>
        </is>
      </c>
      <c r="B232" s="4" t="inlineStr"/>
      <c r="C232" s="4">
        <f>IF(A232="","",COUNTIF(F232:AI232,"+")+COUNTIF(F232:AI232,"1"))</f>
        <v/>
      </c>
      <c r="D232" s="4">
        <f>IF(A232="","",IF(C232&gt;2*COUNTA(F$209:AI$209)/3,'Общий'!$M$11,IF(C232&gt;=COUNTA(F$209:AI$209)/2,'Общий'!$M$12,'Общий'!$M$13)))</f>
        <v/>
      </c>
      <c r="E232" s="4">
        <f>IF(A232="","",SUMIFS('Логи'!$H$7:$H$3006,'Логи'!$A$7:$A$3006,4,'Логи'!$B$7:$B$3006,3,'Логи'!$C$7:$C$3006,A232))</f>
        <v/>
      </c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</row>
    <row r="233">
      <c r="A233" s="4" t="inlineStr">
        <is>
          <t>Студент3.24</t>
        </is>
      </c>
      <c r="B233" s="4" t="inlineStr"/>
      <c r="C233" s="4">
        <f>IF(A233="","",COUNTIF(F233:AI233,"+")+COUNTIF(F233:AI233,"1"))</f>
        <v/>
      </c>
      <c r="D233" s="4">
        <f>IF(A233="","",IF(C233&gt;2*COUNTA(F$209:AI$209)/3,'Общий'!$M$11,IF(C233&gt;=COUNTA(F$209:AI$209)/2,'Общий'!$M$12,'Общий'!$M$13)))</f>
        <v/>
      </c>
      <c r="E233" s="4">
        <f>IF(A233="","",SUMIFS('Логи'!$H$7:$H$3006,'Логи'!$A$7:$A$3006,4,'Логи'!$B$7:$B$3006,3,'Логи'!$C$7:$C$3006,A233))</f>
        <v/>
      </c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4" t="inlineStr">
        <is>
          <t>Студент3.25</t>
        </is>
      </c>
      <c r="B234" s="4" t="inlineStr"/>
      <c r="C234" s="4">
        <f>IF(A234="","",COUNTIF(F234:AI234,"+")+COUNTIF(F234:AI234,"1"))</f>
        <v/>
      </c>
      <c r="D234" s="4">
        <f>IF(A234="","",IF(C234&gt;2*COUNTA(F$209:AI$209)/3,'Общий'!$M$11,IF(C234&gt;=COUNTA(F$209:AI$209)/2,'Общий'!$M$12,'Общий'!$M$13)))</f>
        <v/>
      </c>
      <c r="E234" s="4">
        <f>IF(A234="","",SUMIFS('Логи'!$H$7:$H$3006,'Логи'!$A$7:$A$3006,4,'Логи'!$B$7:$B$3006,3,'Логи'!$C$7:$C$3006,A234))</f>
        <v/>
      </c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</row>
    <row r="235">
      <c r="A235" s="4" t="inlineStr">
        <is>
          <t>Студент3.26</t>
        </is>
      </c>
      <c r="B235" s="4" t="inlineStr"/>
      <c r="C235" s="4">
        <f>IF(A235="","",COUNTIF(F235:AI235,"+")+COUNTIF(F235:AI235,"1"))</f>
        <v/>
      </c>
      <c r="D235" s="4">
        <f>IF(A235="","",IF(C235&gt;2*COUNTA(F$209:AI$209)/3,'Общий'!$M$11,IF(C235&gt;=COUNTA(F$209:AI$209)/2,'Общий'!$M$12,'Общий'!$M$13)))</f>
        <v/>
      </c>
      <c r="E235" s="4">
        <f>IF(A235="","",SUMIFS('Логи'!$H$7:$H$3006,'Логи'!$A$7:$A$3006,4,'Логи'!$B$7:$B$3006,3,'Логи'!$C$7:$C$3006,A235))</f>
        <v/>
      </c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4" t="inlineStr">
        <is>
          <t>Студент3.27</t>
        </is>
      </c>
      <c r="B236" s="4" t="inlineStr"/>
      <c r="C236" s="4">
        <f>IF(A236="","",COUNTIF(F236:AI236,"+")+COUNTIF(F236:AI236,"1"))</f>
        <v/>
      </c>
      <c r="D236" s="4">
        <f>IF(A236="","",IF(C236&gt;2*COUNTA(F$209:AI$209)/3,'Общий'!$M$11,IF(C236&gt;=COUNTA(F$209:AI$209)/2,'Общий'!$M$12,'Общий'!$M$13)))</f>
        <v/>
      </c>
      <c r="E236" s="4">
        <f>IF(A236="","",SUMIFS('Логи'!$H$7:$H$3006,'Логи'!$A$7:$A$3006,4,'Логи'!$B$7:$B$3006,3,'Логи'!$C$7:$C$3006,A236))</f>
        <v/>
      </c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</row>
    <row r="237">
      <c r="A237" s="4" t="inlineStr">
        <is>
          <t>Студент3.28</t>
        </is>
      </c>
      <c r="B237" s="4" t="inlineStr"/>
      <c r="C237" s="4">
        <f>IF(A237="","",COUNTIF(F237:AI237,"+")+COUNTIF(F237:AI237,"1"))</f>
        <v/>
      </c>
      <c r="D237" s="4">
        <f>IF(A237="","",IF(C237&gt;2*COUNTA(F$209:AI$209)/3,'Общий'!$M$11,IF(C237&gt;=COUNTA(F$209:AI$209)/2,'Общий'!$M$12,'Общий'!$M$13)))</f>
        <v/>
      </c>
      <c r="E237" s="4">
        <f>IF(A237="","",SUMIFS('Логи'!$H$7:$H$3006,'Логи'!$A$7:$A$3006,4,'Логи'!$B$7:$B$3006,3,'Логи'!$C$7:$C$3006,A237))</f>
        <v/>
      </c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4" t="inlineStr">
        <is>
          <t>Студент3.29</t>
        </is>
      </c>
      <c r="B238" s="4" t="inlineStr"/>
      <c r="C238" s="4">
        <f>IF(A238="","",COUNTIF(F238:AI238,"+")+COUNTIF(F238:AI238,"1"))</f>
        <v/>
      </c>
      <c r="D238" s="4">
        <f>IF(A238="","",IF(C238&gt;2*COUNTA(F$209:AI$209)/3,'Общий'!$M$11,IF(C238&gt;=COUNTA(F$209:AI$209)/2,'Общий'!$M$12,'Общий'!$M$13)))</f>
        <v/>
      </c>
      <c r="E238" s="4">
        <f>IF(A238="","",SUMIFS('Логи'!$H$7:$H$3006,'Логи'!$A$7:$A$3006,4,'Логи'!$B$7:$B$3006,3,'Логи'!$C$7:$C$3006,A238))</f>
        <v/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</row>
    <row r="239">
      <c r="A239" s="4" t="inlineStr">
        <is>
          <t>Студент3.30</t>
        </is>
      </c>
      <c r="B239" s="4" t="inlineStr"/>
      <c r="C239" s="4">
        <f>IF(A239="","",COUNTIF(F239:AI239,"+")+COUNTIF(F239:AI239,"1"))</f>
        <v/>
      </c>
      <c r="D239" s="4">
        <f>IF(A239="","",IF(C239&gt;2*COUNTA(F$209:AI$209)/3,'Общий'!$M$11,IF(C239&gt;=COUNTA(F$209:AI$209)/2,'Общий'!$M$12,'Общий'!$M$13)))</f>
        <v/>
      </c>
      <c r="E239" s="4">
        <f>IF(A239="","",SUMIFS('Логи'!$H$7:$H$3006,'Логи'!$A$7:$A$3006,4,'Логи'!$B$7:$B$3006,3,'Логи'!$C$7:$C$3006,A239))</f>
        <v/>
      </c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1">
      <c r="A241" s="19" t="inlineStr">
        <is>
          <t>Практика 4 — результаты рассказа</t>
        </is>
      </c>
    </row>
    <row r="242" ht="28" customHeight="1">
      <c r="A242" s="9" t="inlineStr">
        <is>
          <t>Имя</t>
        </is>
      </c>
      <c r="B242" s="11" t="inlineStr">
        <is>
          <t>TG</t>
        </is>
      </c>
      <c r="C242" s="12" t="inlineStr"/>
      <c r="D242" s="3" t="inlineStr"/>
      <c r="E242" s="3" t="inlineStr"/>
      <c r="F242" s="13" t="inlineStr">
        <is>
          <t>1.0</t>
        </is>
      </c>
      <c r="G242" s="13" t="inlineStr">
        <is>
          <t>2.0</t>
        </is>
      </c>
      <c r="H242" s="13" t="inlineStr">
        <is>
          <t>3.0</t>
        </is>
      </c>
      <c r="I242" s="13" t="inlineStr">
        <is>
          <t>4.0</t>
        </is>
      </c>
      <c r="J242" s="13" t="inlineStr">
        <is>
          <t>5.0</t>
        </is>
      </c>
      <c r="K242" s="13" t="inlineStr">
        <is>
          <t>6</t>
        </is>
      </c>
      <c r="L242" s="13" t="inlineStr">
        <is>
          <t>7</t>
        </is>
      </c>
      <c r="M242" s="13" t="inlineStr">
        <is>
          <t>8</t>
        </is>
      </c>
      <c r="N242" s="13" t="inlineStr">
        <is>
          <t>9</t>
        </is>
      </c>
      <c r="O242" s="13" t="inlineStr">
        <is>
          <t>10</t>
        </is>
      </c>
      <c r="P242" s="13" t="inlineStr">
        <is>
          <t>11</t>
        </is>
      </c>
      <c r="Q242" s="13" t="inlineStr">
        <is>
          <t>12</t>
        </is>
      </c>
      <c r="R242" s="13" t="inlineStr">
        <is>
          <t>13</t>
        </is>
      </c>
      <c r="S242" s="13" t="inlineStr">
        <is>
          <t>14</t>
        </is>
      </c>
      <c r="T242" s="13" t="inlineStr">
        <is>
          <t>15</t>
        </is>
      </c>
      <c r="U242" s="13" t="inlineStr">
        <is>
          <t>16</t>
        </is>
      </c>
      <c r="V242" s="13" t="inlineStr">
        <is>
          <t>17</t>
        </is>
      </c>
      <c r="W242" s="13" t="inlineStr">
        <is>
          <t>18</t>
        </is>
      </c>
      <c r="X242" s="13" t="inlineStr">
        <is>
          <t>19</t>
        </is>
      </c>
      <c r="Y242" s="13" t="inlineStr">
        <is>
          <t>20</t>
        </is>
      </c>
      <c r="Z242" s="13" t="inlineStr">
        <is>
          <t>21</t>
        </is>
      </c>
      <c r="AA242" s="13" t="inlineStr">
        <is>
          <t>22</t>
        </is>
      </c>
      <c r="AB242" s="13" t="inlineStr">
        <is>
          <t>23</t>
        </is>
      </c>
      <c r="AC242" s="13" t="inlineStr">
        <is>
          <t>24</t>
        </is>
      </c>
      <c r="AD242" s="13" t="inlineStr">
        <is>
          <t>25</t>
        </is>
      </c>
      <c r="AE242" s="13" t="inlineStr">
        <is>
          <t>26</t>
        </is>
      </c>
      <c r="AF242" s="13" t="inlineStr">
        <is>
          <t>27</t>
        </is>
      </c>
      <c r="AG242" s="13" t="inlineStr">
        <is>
          <t>28</t>
        </is>
      </c>
      <c r="AH242" s="13" t="inlineStr">
        <is>
          <t>29</t>
        </is>
      </c>
      <c r="AI242" s="13" t="inlineStr">
        <is>
          <t>30</t>
        </is>
      </c>
    </row>
    <row r="243">
      <c r="A243" s="4" t="inlineStr">
        <is>
          <t>Студент3.1</t>
        </is>
      </c>
      <c r="B243" s="4" t="inlineStr"/>
      <c r="C243" s="4" t="n"/>
      <c r="D243" s="4" t="n"/>
      <c r="E243" s="4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4" t="inlineStr">
        <is>
          <t>Студент3.2</t>
        </is>
      </c>
      <c r="B244" s="4" t="inlineStr"/>
      <c r="C244" s="4" t="n"/>
      <c r="D244" s="4" t="n"/>
      <c r="E244" s="4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</row>
    <row r="245">
      <c r="A245" s="4" t="inlineStr">
        <is>
          <t>Студент3.3</t>
        </is>
      </c>
      <c r="B245" s="4" t="inlineStr"/>
      <c r="C245" s="4" t="n"/>
      <c r="D245" s="4" t="n"/>
      <c r="E245" s="4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4" t="inlineStr">
        <is>
          <t>Студент3.4</t>
        </is>
      </c>
      <c r="B246" s="4" t="inlineStr"/>
      <c r="C246" s="4" t="n"/>
      <c r="D246" s="4" t="n"/>
      <c r="E246" s="4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</row>
    <row r="247">
      <c r="A247" s="4" t="inlineStr">
        <is>
          <t>Студент3.5</t>
        </is>
      </c>
      <c r="B247" s="4" t="inlineStr"/>
      <c r="C247" s="4" t="n"/>
      <c r="D247" s="4" t="n"/>
      <c r="E247" s="4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4" t="inlineStr">
        <is>
          <t>Студент3.6</t>
        </is>
      </c>
      <c r="B248" s="4" t="inlineStr"/>
      <c r="C248" s="4" t="n"/>
      <c r="D248" s="4" t="n"/>
      <c r="E248" s="4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</row>
    <row r="249">
      <c r="A249" s="4" t="inlineStr">
        <is>
          <t>Студент3.7</t>
        </is>
      </c>
      <c r="B249" s="4" t="inlineStr"/>
      <c r="C249" s="4" t="n"/>
      <c r="D249" s="4" t="n"/>
      <c r="E249" s="4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4" t="inlineStr">
        <is>
          <t>Студент3.8</t>
        </is>
      </c>
      <c r="B250" s="4" t="inlineStr"/>
      <c r="C250" s="4" t="n"/>
      <c r="D250" s="4" t="n"/>
      <c r="E250" s="4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</row>
    <row r="251">
      <c r="A251" s="4" t="inlineStr">
        <is>
          <t>Студент3.9</t>
        </is>
      </c>
      <c r="B251" s="4" t="inlineStr"/>
      <c r="C251" s="4" t="n"/>
      <c r="D251" s="4" t="n"/>
      <c r="E251" s="4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4" t="inlineStr">
        <is>
          <t>Студент3.10</t>
        </is>
      </c>
      <c r="B252" s="4" t="inlineStr"/>
      <c r="C252" s="4" t="n"/>
      <c r="D252" s="4" t="n"/>
      <c r="E252" s="4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</row>
    <row r="253">
      <c r="A253" s="4" t="inlineStr">
        <is>
          <t>Студент3.11</t>
        </is>
      </c>
      <c r="B253" s="4" t="inlineStr"/>
      <c r="C253" s="4" t="n"/>
      <c r="D253" s="4" t="n"/>
      <c r="E253" s="4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4" t="inlineStr">
        <is>
          <t>Студент3.12</t>
        </is>
      </c>
      <c r="B254" s="4" t="inlineStr"/>
      <c r="C254" s="4" t="n"/>
      <c r="D254" s="4" t="n"/>
      <c r="E254" s="4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</row>
    <row r="255">
      <c r="A255" s="4" t="inlineStr">
        <is>
          <t>Студент3.13</t>
        </is>
      </c>
      <c r="B255" s="4" t="inlineStr"/>
      <c r="C255" s="4" t="n"/>
      <c r="D255" s="4" t="n"/>
      <c r="E255" s="4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4" t="inlineStr">
        <is>
          <t>Студент3.14</t>
        </is>
      </c>
      <c r="B256" s="4" t="inlineStr"/>
      <c r="C256" s="4" t="n"/>
      <c r="D256" s="4" t="n"/>
      <c r="E256" s="4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</row>
    <row r="257">
      <c r="A257" s="4" t="inlineStr">
        <is>
          <t>Студент3.15</t>
        </is>
      </c>
      <c r="B257" s="4" t="inlineStr"/>
      <c r="C257" s="4" t="n"/>
      <c r="D257" s="4" t="n"/>
      <c r="E257" s="4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4" t="inlineStr">
        <is>
          <t>Студент3.16</t>
        </is>
      </c>
      <c r="B258" s="4" t="inlineStr"/>
      <c r="C258" s="4" t="n"/>
      <c r="D258" s="4" t="n"/>
      <c r="E258" s="4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</row>
    <row r="259">
      <c r="A259" s="4" t="inlineStr">
        <is>
          <t>Студент3.17</t>
        </is>
      </c>
      <c r="B259" s="4" t="inlineStr"/>
      <c r="C259" s="4" t="n"/>
      <c r="D259" s="4" t="n"/>
      <c r="E259" s="4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4" t="inlineStr">
        <is>
          <t>Студент3.18</t>
        </is>
      </c>
      <c r="B260" s="4" t="inlineStr"/>
      <c r="C260" s="4" t="n"/>
      <c r="D260" s="4" t="n"/>
      <c r="E260" s="4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</row>
    <row r="261">
      <c r="A261" s="4" t="inlineStr">
        <is>
          <t>Студент3.19</t>
        </is>
      </c>
      <c r="B261" s="4" t="inlineStr"/>
      <c r="C261" s="4" t="n"/>
      <c r="D261" s="4" t="n"/>
      <c r="E261" s="4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4" t="inlineStr">
        <is>
          <t>Студент3.20</t>
        </is>
      </c>
      <c r="B262" s="4" t="inlineStr"/>
      <c r="C262" s="4" t="n"/>
      <c r="D262" s="4" t="n"/>
      <c r="E262" s="4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</row>
    <row r="263">
      <c r="A263" s="4" t="inlineStr">
        <is>
          <t>Студент3.21</t>
        </is>
      </c>
      <c r="B263" s="4" t="inlineStr"/>
      <c r="C263" s="4" t="n"/>
      <c r="D263" s="4" t="n"/>
      <c r="E263" s="4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4" t="inlineStr">
        <is>
          <t>Студент3.22</t>
        </is>
      </c>
      <c r="B264" s="4" t="inlineStr"/>
      <c r="C264" s="4" t="n"/>
      <c r="D264" s="4" t="n"/>
      <c r="E264" s="4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</row>
    <row r="265">
      <c r="A265" s="4" t="inlineStr">
        <is>
          <t>Студент3.23</t>
        </is>
      </c>
      <c r="B265" s="4" t="inlineStr"/>
      <c r="C265" s="4" t="n"/>
      <c r="D265" s="4" t="n"/>
      <c r="E265" s="4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4" t="inlineStr">
        <is>
          <t>Студент3.24</t>
        </is>
      </c>
      <c r="B266" s="4" t="inlineStr"/>
      <c r="C266" s="4" t="n"/>
      <c r="D266" s="4" t="n"/>
      <c r="E266" s="4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</row>
    <row r="267">
      <c r="A267" s="4" t="inlineStr">
        <is>
          <t>Студент3.25</t>
        </is>
      </c>
      <c r="B267" s="4" t="inlineStr"/>
      <c r="C267" s="4" t="n"/>
      <c r="D267" s="4" t="n"/>
      <c r="E267" s="4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4" t="inlineStr">
        <is>
          <t>Студент3.26</t>
        </is>
      </c>
      <c r="B268" s="4" t="inlineStr"/>
      <c r="C268" s="4" t="n"/>
      <c r="D268" s="4" t="n"/>
      <c r="E268" s="4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</row>
    <row r="269">
      <c r="A269" s="4" t="inlineStr">
        <is>
          <t>Студент3.27</t>
        </is>
      </c>
      <c r="B269" s="4" t="inlineStr"/>
      <c r="C269" s="4" t="n"/>
      <c r="D269" s="4" t="n"/>
      <c r="E269" s="4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4" t="inlineStr">
        <is>
          <t>Студент3.28</t>
        </is>
      </c>
      <c r="B270" s="4" t="inlineStr"/>
      <c r="C270" s="4" t="n"/>
      <c r="D270" s="4" t="n"/>
      <c r="E270" s="4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</row>
    <row r="271">
      <c r="A271" s="4" t="inlineStr">
        <is>
          <t>Студент3.29</t>
        </is>
      </c>
      <c r="B271" s="4" t="inlineStr"/>
      <c r="C271" s="4" t="n"/>
      <c r="D271" s="4" t="n"/>
      <c r="E271" s="4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4" t="inlineStr">
        <is>
          <t>Студент3.30</t>
        </is>
      </c>
      <c r="B272" s="4" t="inlineStr"/>
      <c r="C272" s="4" t="n"/>
      <c r="D272" s="4" t="n"/>
      <c r="E272" s="4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</row>
    <row r="276">
      <c r="A276" s="17" t="inlineStr">
        <is>
          <t>Практика 5 — плюсы</t>
        </is>
      </c>
    </row>
    <row r="277" ht="28" customHeight="1">
      <c r="A277" s="9" t="inlineStr">
        <is>
          <t>Имя</t>
        </is>
      </c>
      <c r="B277" s="11" t="inlineStr">
        <is>
          <t>TG</t>
        </is>
      </c>
      <c r="C277" s="12" t="inlineStr">
        <is>
          <t>S</t>
        </is>
      </c>
      <c r="D277" s="10" t="inlineStr">
        <is>
          <t>Коэффициент</t>
        </is>
      </c>
      <c r="E277" s="18" t="inlineStr">
        <is>
          <t>D за практику</t>
        </is>
      </c>
      <c r="F277" s="13" t="inlineStr">
        <is>
          <t>1.0</t>
        </is>
      </c>
      <c r="G277" s="13" t="inlineStr">
        <is>
          <t>2.0</t>
        </is>
      </c>
      <c r="H277" s="13" t="inlineStr">
        <is>
          <t>3.0</t>
        </is>
      </c>
      <c r="I277" s="13" t="inlineStr">
        <is>
          <t>4.0</t>
        </is>
      </c>
      <c r="J277" s="13" t="inlineStr">
        <is>
          <t>5.0</t>
        </is>
      </c>
      <c r="K277" s="13" t="inlineStr">
        <is>
          <t>6</t>
        </is>
      </c>
      <c r="L277" s="13" t="inlineStr">
        <is>
          <t>7</t>
        </is>
      </c>
      <c r="M277" s="13" t="inlineStr">
        <is>
          <t>8</t>
        </is>
      </c>
      <c r="N277" s="13" t="inlineStr">
        <is>
          <t>9</t>
        </is>
      </c>
      <c r="O277" s="13" t="inlineStr">
        <is>
          <t>10</t>
        </is>
      </c>
      <c r="P277" s="13" t="inlineStr">
        <is>
          <t>11</t>
        </is>
      </c>
      <c r="Q277" s="13" t="inlineStr">
        <is>
          <t>12</t>
        </is>
      </c>
      <c r="R277" s="13" t="inlineStr">
        <is>
          <t>13</t>
        </is>
      </c>
      <c r="S277" s="13" t="inlineStr">
        <is>
          <t>14</t>
        </is>
      </c>
      <c r="T277" s="13" t="inlineStr">
        <is>
          <t>15</t>
        </is>
      </c>
      <c r="U277" s="13" t="inlineStr">
        <is>
          <t>16</t>
        </is>
      </c>
      <c r="V277" s="13" t="inlineStr">
        <is>
          <t>17</t>
        </is>
      </c>
      <c r="W277" s="13" t="inlineStr">
        <is>
          <t>18</t>
        </is>
      </c>
      <c r="X277" s="13" t="inlineStr">
        <is>
          <t>19</t>
        </is>
      </c>
      <c r="Y277" s="13" t="inlineStr">
        <is>
          <t>20</t>
        </is>
      </c>
      <c r="Z277" s="13" t="inlineStr">
        <is>
          <t>21</t>
        </is>
      </c>
      <c r="AA277" s="13" t="inlineStr">
        <is>
          <t>22</t>
        </is>
      </c>
      <c r="AB277" s="13" t="inlineStr">
        <is>
          <t>23</t>
        </is>
      </c>
      <c r="AC277" s="13" t="inlineStr">
        <is>
          <t>24</t>
        </is>
      </c>
      <c r="AD277" s="13" t="inlineStr">
        <is>
          <t>25</t>
        </is>
      </c>
      <c r="AE277" s="13" t="inlineStr">
        <is>
          <t>26</t>
        </is>
      </c>
      <c r="AF277" s="13" t="inlineStr">
        <is>
          <t>27</t>
        </is>
      </c>
      <c r="AG277" s="13" t="inlineStr">
        <is>
          <t>28</t>
        </is>
      </c>
      <c r="AH277" s="13" t="inlineStr">
        <is>
          <t>29</t>
        </is>
      </c>
      <c r="AI277" s="13" t="inlineStr">
        <is>
          <t>30</t>
        </is>
      </c>
    </row>
    <row r="278">
      <c r="A278" s="4" t="inlineStr">
        <is>
          <t>Студент3.1</t>
        </is>
      </c>
      <c r="B278" s="4" t="inlineStr"/>
      <c r="C278" s="4">
        <f>IF(A278="","",COUNTIF(F278:AI278,"+")+COUNTIF(F278:AI278,"1"))</f>
        <v/>
      </c>
      <c r="D278" s="4">
        <f>IF(A278="","",IF(C278&gt;2*COUNTA(F$277:AI$277)/3,'Общий'!$M$11,IF(C278&gt;=COUNTA(F$277:AI$277)/2,'Общий'!$M$12,'Общий'!$M$13)))</f>
        <v/>
      </c>
      <c r="E278" s="4">
        <f>IF(A278="","",SUMIFS('Логи'!$H$7:$H$3006,'Логи'!$A$7:$A$3006,5,'Логи'!$B$7:$B$3006,3,'Логи'!$C$7:$C$3006,A278))</f>
        <v/>
      </c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</row>
    <row r="279">
      <c r="A279" s="4" t="inlineStr">
        <is>
          <t>Студент3.2</t>
        </is>
      </c>
      <c r="B279" s="4" t="inlineStr"/>
      <c r="C279" s="4">
        <f>IF(A279="","",COUNTIF(F279:AI279,"+")+COUNTIF(F279:AI279,"1"))</f>
        <v/>
      </c>
      <c r="D279" s="4">
        <f>IF(A279="","",IF(C279&gt;2*COUNTA(F$277:AI$277)/3,'Общий'!$M$11,IF(C279&gt;=COUNTA(F$277:AI$277)/2,'Общий'!$M$12,'Общий'!$M$13)))</f>
        <v/>
      </c>
      <c r="E279" s="4">
        <f>IF(A279="","",SUMIFS('Логи'!$H$7:$H$3006,'Логи'!$A$7:$A$3006,5,'Логи'!$B$7:$B$3006,3,'Логи'!$C$7:$C$3006,A279))</f>
        <v/>
      </c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4" t="inlineStr">
        <is>
          <t>Студент3.3</t>
        </is>
      </c>
      <c r="B280" s="4" t="inlineStr"/>
      <c r="C280" s="4">
        <f>IF(A280="","",COUNTIF(F280:AI280,"+")+COUNTIF(F280:AI280,"1"))</f>
        <v/>
      </c>
      <c r="D280" s="4">
        <f>IF(A280="","",IF(C280&gt;2*COUNTA(F$277:AI$277)/3,'Общий'!$M$11,IF(C280&gt;=COUNTA(F$277:AI$277)/2,'Общий'!$M$12,'Общий'!$M$13)))</f>
        <v/>
      </c>
      <c r="E280" s="4">
        <f>IF(A280="","",SUMIFS('Логи'!$H$7:$H$3006,'Логи'!$A$7:$A$3006,5,'Логи'!$B$7:$B$3006,3,'Логи'!$C$7:$C$3006,A280))</f>
        <v/>
      </c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</row>
    <row r="281">
      <c r="A281" s="4" t="inlineStr">
        <is>
          <t>Студент3.4</t>
        </is>
      </c>
      <c r="B281" s="4" t="inlineStr"/>
      <c r="C281" s="4">
        <f>IF(A281="","",COUNTIF(F281:AI281,"+")+COUNTIF(F281:AI281,"1"))</f>
        <v/>
      </c>
      <c r="D281" s="4">
        <f>IF(A281="","",IF(C281&gt;2*COUNTA(F$277:AI$277)/3,'Общий'!$M$11,IF(C281&gt;=COUNTA(F$277:AI$277)/2,'Общий'!$M$12,'Общий'!$M$13)))</f>
        <v/>
      </c>
      <c r="E281" s="4">
        <f>IF(A281="","",SUMIFS('Логи'!$H$7:$H$3006,'Логи'!$A$7:$A$3006,5,'Логи'!$B$7:$B$3006,3,'Логи'!$C$7:$C$3006,A281))</f>
        <v/>
      </c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4" t="inlineStr">
        <is>
          <t>Студент3.5</t>
        </is>
      </c>
      <c r="B282" s="4" t="inlineStr"/>
      <c r="C282" s="4">
        <f>IF(A282="","",COUNTIF(F282:AI282,"+")+COUNTIF(F282:AI282,"1"))</f>
        <v/>
      </c>
      <c r="D282" s="4">
        <f>IF(A282="","",IF(C282&gt;2*COUNTA(F$277:AI$277)/3,'Общий'!$M$11,IF(C282&gt;=COUNTA(F$277:AI$277)/2,'Общий'!$M$12,'Общий'!$M$13)))</f>
        <v/>
      </c>
      <c r="E282" s="4">
        <f>IF(A282="","",SUMIFS('Логи'!$H$7:$H$3006,'Логи'!$A$7:$A$3006,5,'Логи'!$B$7:$B$3006,3,'Логи'!$C$7:$C$3006,A282))</f>
        <v/>
      </c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</row>
    <row r="283">
      <c r="A283" s="4" t="inlineStr">
        <is>
          <t>Студент3.6</t>
        </is>
      </c>
      <c r="B283" s="4" t="inlineStr"/>
      <c r="C283" s="4">
        <f>IF(A283="","",COUNTIF(F283:AI283,"+")+COUNTIF(F283:AI283,"1"))</f>
        <v/>
      </c>
      <c r="D283" s="4">
        <f>IF(A283="","",IF(C283&gt;2*COUNTA(F$277:AI$277)/3,'Общий'!$M$11,IF(C283&gt;=COUNTA(F$277:AI$277)/2,'Общий'!$M$12,'Общий'!$M$13)))</f>
        <v/>
      </c>
      <c r="E283" s="4">
        <f>IF(A283="","",SUMIFS('Логи'!$H$7:$H$3006,'Логи'!$A$7:$A$3006,5,'Логи'!$B$7:$B$3006,3,'Логи'!$C$7:$C$3006,A283))</f>
        <v/>
      </c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4" t="inlineStr">
        <is>
          <t>Студент3.7</t>
        </is>
      </c>
      <c r="B284" s="4" t="inlineStr"/>
      <c r="C284" s="4">
        <f>IF(A284="","",COUNTIF(F284:AI284,"+")+COUNTIF(F284:AI284,"1"))</f>
        <v/>
      </c>
      <c r="D284" s="4">
        <f>IF(A284="","",IF(C284&gt;2*COUNTA(F$277:AI$277)/3,'Общий'!$M$11,IF(C284&gt;=COUNTA(F$277:AI$277)/2,'Общий'!$M$12,'Общий'!$M$13)))</f>
        <v/>
      </c>
      <c r="E284" s="4">
        <f>IF(A284="","",SUMIFS('Логи'!$H$7:$H$3006,'Логи'!$A$7:$A$3006,5,'Логи'!$B$7:$B$3006,3,'Логи'!$C$7:$C$3006,A284))</f>
        <v/>
      </c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</row>
    <row r="285">
      <c r="A285" s="4" t="inlineStr">
        <is>
          <t>Студент3.8</t>
        </is>
      </c>
      <c r="B285" s="4" t="inlineStr"/>
      <c r="C285" s="4">
        <f>IF(A285="","",COUNTIF(F285:AI285,"+")+COUNTIF(F285:AI285,"1"))</f>
        <v/>
      </c>
      <c r="D285" s="4">
        <f>IF(A285="","",IF(C285&gt;2*COUNTA(F$277:AI$277)/3,'Общий'!$M$11,IF(C285&gt;=COUNTA(F$277:AI$277)/2,'Общий'!$M$12,'Общий'!$M$13)))</f>
        <v/>
      </c>
      <c r="E285" s="4">
        <f>IF(A285="","",SUMIFS('Логи'!$H$7:$H$3006,'Логи'!$A$7:$A$3006,5,'Логи'!$B$7:$B$3006,3,'Логи'!$C$7:$C$3006,A285))</f>
        <v/>
      </c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4" t="inlineStr">
        <is>
          <t>Студент3.9</t>
        </is>
      </c>
      <c r="B286" s="4" t="inlineStr"/>
      <c r="C286" s="4">
        <f>IF(A286="","",COUNTIF(F286:AI286,"+")+COUNTIF(F286:AI286,"1"))</f>
        <v/>
      </c>
      <c r="D286" s="4">
        <f>IF(A286="","",IF(C286&gt;2*COUNTA(F$277:AI$277)/3,'Общий'!$M$11,IF(C286&gt;=COUNTA(F$277:AI$277)/2,'Общий'!$M$12,'Общий'!$M$13)))</f>
        <v/>
      </c>
      <c r="E286" s="4">
        <f>IF(A286="","",SUMIFS('Логи'!$H$7:$H$3006,'Логи'!$A$7:$A$3006,5,'Логи'!$B$7:$B$3006,3,'Логи'!$C$7:$C$3006,A286))</f>
        <v/>
      </c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</row>
    <row r="287">
      <c r="A287" s="4" t="inlineStr">
        <is>
          <t>Студент3.10</t>
        </is>
      </c>
      <c r="B287" s="4" t="inlineStr"/>
      <c r="C287" s="4">
        <f>IF(A287="","",COUNTIF(F287:AI287,"+")+COUNTIF(F287:AI287,"1"))</f>
        <v/>
      </c>
      <c r="D287" s="4">
        <f>IF(A287="","",IF(C287&gt;2*COUNTA(F$277:AI$277)/3,'Общий'!$M$11,IF(C287&gt;=COUNTA(F$277:AI$277)/2,'Общий'!$M$12,'Общий'!$M$13)))</f>
        <v/>
      </c>
      <c r="E287" s="4">
        <f>IF(A287="","",SUMIFS('Логи'!$H$7:$H$3006,'Логи'!$A$7:$A$3006,5,'Логи'!$B$7:$B$3006,3,'Логи'!$C$7:$C$3006,A287))</f>
        <v/>
      </c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4" t="inlineStr">
        <is>
          <t>Студент3.11</t>
        </is>
      </c>
      <c r="B288" s="4" t="inlineStr"/>
      <c r="C288" s="4">
        <f>IF(A288="","",COUNTIF(F288:AI288,"+")+COUNTIF(F288:AI288,"1"))</f>
        <v/>
      </c>
      <c r="D288" s="4">
        <f>IF(A288="","",IF(C288&gt;2*COUNTA(F$277:AI$277)/3,'Общий'!$M$11,IF(C288&gt;=COUNTA(F$277:AI$277)/2,'Общий'!$M$12,'Общий'!$M$13)))</f>
        <v/>
      </c>
      <c r="E288" s="4">
        <f>IF(A288="","",SUMIFS('Логи'!$H$7:$H$3006,'Логи'!$A$7:$A$3006,5,'Логи'!$B$7:$B$3006,3,'Логи'!$C$7:$C$3006,A288))</f>
        <v/>
      </c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</row>
    <row r="289">
      <c r="A289" s="4" t="inlineStr">
        <is>
          <t>Студент3.12</t>
        </is>
      </c>
      <c r="B289" s="4" t="inlineStr"/>
      <c r="C289" s="4">
        <f>IF(A289="","",COUNTIF(F289:AI289,"+")+COUNTIF(F289:AI289,"1"))</f>
        <v/>
      </c>
      <c r="D289" s="4">
        <f>IF(A289="","",IF(C289&gt;2*COUNTA(F$277:AI$277)/3,'Общий'!$M$11,IF(C289&gt;=COUNTA(F$277:AI$277)/2,'Общий'!$M$12,'Общий'!$M$13)))</f>
        <v/>
      </c>
      <c r="E289" s="4">
        <f>IF(A289="","",SUMIFS('Логи'!$H$7:$H$3006,'Логи'!$A$7:$A$3006,5,'Логи'!$B$7:$B$3006,3,'Логи'!$C$7:$C$3006,A289))</f>
        <v/>
      </c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4" t="inlineStr">
        <is>
          <t>Студент3.13</t>
        </is>
      </c>
      <c r="B290" s="4" t="inlineStr"/>
      <c r="C290" s="4">
        <f>IF(A290="","",COUNTIF(F290:AI290,"+")+COUNTIF(F290:AI290,"1"))</f>
        <v/>
      </c>
      <c r="D290" s="4">
        <f>IF(A290="","",IF(C290&gt;2*COUNTA(F$277:AI$277)/3,'Общий'!$M$11,IF(C290&gt;=COUNTA(F$277:AI$277)/2,'Общий'!$M$12,'Общий'!$M$13)))</f>
        <v/>
      </c>
      <c r="E290" s="4">
        <f>IF(A290="","",SUMIFS('Логи'!$H$7:$H$3006,'Логи'!$A$7:$A$3006,5,'Логи'!$B$7:$B$3006,3,'Логи'!$C$7:$C$3006,A290))</f>
        <v/>
      </c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</row>
    <row r="291">
      <c r="A291" s="4" t="inlineStr">
        <is>
          <t>Студент3.14</t>
        </is>
      </c>
      <c r="B291" s="4" t="inlineStr"/>
      <c r="C291" s="4">
        <f>IF(A291="","",COUNTIF(F291:AI291,"+")+COUNTIF(F291:AI291,"1"))</f>
        <v/>
      </c>
      <c r="D291" s="4">
        <f>IF(A291="","",IF(C291&gt;2*COUNTA(F$277:AI$277)/3,'Общий'!$M$11,IF(C291&gt;=COUNTA(F$277:AI$277)/2,'Общий'!$M$12,'Общий'!$M$13)))</f>
        <v/>
      </c>
      <c r="E291" s="4">
        <f>IF(A291="","",SUMIFS('Логи'!$H$7:$H$3006,'Логи'!$A$7:$A$3006,5,'Логи'!$B$7:$B$3006,3,'Логи'!$C$7:$C$3006,A291))</f>
        <v/>
      </c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4" t="inlineStr">
        <is>
          <t>Студент3.15</t>
        </is>
      </c>
      <c r="B292" s="4" t="inlineStr"/>
      <c r="C292" s="4">
        <f>IF(A292="","",COUNTIF(F292:AI292,"+")+COUNTIF(F292:AI292,"1"))</f>
        <v/>
      </c>
      <c r="D292" s="4">
        <f>IF(A292="","",IF(C292&gt;2*COUNTA(F$277:AI$277)/3,'Общий'!$M$11,IF(C292&gt;=COUNTA(F$277:AI$277)/2,'Общий'!$M$12,'Общий'!$M$13)))</f>
        <v/>
      </c>
      <c r="E292" s="4">
        <f>IF(A292="","",SUMIFS('Логи'!$H$7:$H$3006,'Логи'!$A$7:$A$3006,5,'Логи'!$B$7:$B$3006,3,'Логи'!$C$7:$C$3006,A292))</f>
        <v/>
      </c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</row>
    <row r="293">
      <c r="A293" s="4" t="inlineStr">
        <is>
          <t>Студент3.16</t>
        </is>
      </c>
      <c r="B293" s="4" t="inlineStr"/>
      <c r="C293" s="4">
        <f>IF(A293="","",COUNTIF(F293:AI293,"+")+COUNTIF(F293:AI293,"1"))</f>
        <v/>
      </c>
      <c r="D293" s="4">
        <f>IF(A293="","",IF(C293&gt;2*COUNTA(F$277:AI$277)/3,'Общий'!$M$11,IF(C293&gt;=COUNTA(F$277:AI$277)/2,'Общий'!$M$12,'Общий'!$M$13)))</f>
        <v/>
      </c>
      <c r="E293" s="4">
        <f>IF(A293="","",SUMIFS('Логи'!$H$7:$H$3006,'Логи'!$A$7:$A$3006,5,'Логи'!$B$7:$B$3006,3,'Логи'!$C$7:$C$3006,A293))</f>
        <v/>
      </c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4" t="inlineStr">
        <is>
          <t>Студент3.17</t>
        </is>
      </c>
      <c r="B294" s="4" t="inlineStr"/>
      <c r="C294" s="4">
        <f>IF(A294="","",COUNTIF(F294:AI294,"+")+COUNTIF(F294:AI294,"1"))</f>
        <v/>
      </c>
      <c r="D294" s="4">
        <f>IF(A294="","",IF(C294&gt;2*COUNTA(F$277:AI$277)/3,'Общий'!$M$11,IF(C294&gt;=COUNTA(F$277:AI$277)/2,'Общий'!$M$12,'Общий'!$M$13)))</f>
        <v/>
      </c>
      <c r="E294" s="4">
        <f>IF(A294="","",SUMIFS('Логи'!$H$7:$H$3006,'Логи'!$A$7:$A$3006,5,'Логи'!$B$7:$B$3006,3,'Логи'!$C$7:$C$3006,A294))</f>
        <v/>
      </c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</row>
    <row r="295">
      <c r="A295" s="4" t="inlineStr">
        <is>
          <t>Студент3.18</t>
        </is>
      </c>
      <c r="B295" s="4" t="inlineStr"/>
      <c r="C295" s="4">
        <f>IF(A295="","",COUNTIF(F295:AI295,"+")+COUNTIF(F295:AI295,"1"))</f>
        <v/>
      </c>
      <c r="D295" s="4">
        <f>IF(A295="","",IF(C295&gt;2*COUNTA(F$277:AI$277)/3,'Общий'!$M$11,IF(C295&gt;=COUNTA(F$277:AI$277)/2,'Общий'!$M$12,'Общий'!$M$13)))</f>
        <v/>
      </c>
      <c r="E295" s="4">
        <f>IF(A295="","",SUMIFS('Логи'!$H$7:$H$3006,'Логи'!$A$7:$A$3006,5,'Логи'!$B$7:$B$3006,3,'Логи'!$C$7:$C$3006,A295))</f>
        <v/>
      </c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4" t="inlineStr">
        <is>
          <t>Студент3.19</t>
        </is>
      </c>
      <c r="B296" s="4" t="inlineStr"/>
      <c r="C296" s="4">
        <f>IF(A296="","",COUNTIF(F296:AI296,"+")+COUNTIF(F296:AI296,"1"))</f>
        <v/>
      </c>
      <c r="D296" s="4">
        <f>IF(A296="","",IF(C296&gt;2*COUNTA(F$277:AI$277)/3,'Общий'!$M$11,IF(C296&gt;=COUNTA(F$277:AI$277)/2,'Общий'!$M$12,'Общий'!$M$13)))</f>
        <v/>
      </c>
      <c r="E296" s="4">
        <f>IF(A296="","",SUMIFS('Логи'!$H$7:$H$3006,'Логи'!$A$7:$A$3006,5,'Логи'!$B$7:$B$3006,3,'Логи'!$C$7:$C$3006,A296))</f>
        <v/>
      </c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</row>
    <row r="297">
      <c r="A297" s="4" t="inlineStr">
        <is>
          <t>Студент3.20</t>
        </is>
      </c>
      <c r="B297" s="4" t="inlineStr"/>
      <c r="C297" s="4">
        <f>IF(A297="","",COUNTIF(F297:AI297,"+")+COUNTIF(F297:AI297,"1"))</f>
        <v/>
      </c>
      <c r="D297" s="4">
        <f>IF(A297="","",IF(C297&gt;2*COUNTA(F$277:AI$277)/3,'Общий'!$M$11,IF(C297&gt;=COUNTA(F$277:AI$277)/2,'Общий'!$M$12,'Общий'!$M$13)))</f>
        <v/>
      </c>
      <c r="E297" s="4">
        <f>IF(A297="","",SUMIFS('Логи'!$H$7:$H$3006,'Логи'!$A$7:$A$3006,5,'Логи'!$B$7:$B$3006,3,'Логи'!$C$7:$C$3006,A297))</f>
        <v/>
      </c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4" t="inlineStr">
        <is>
          <t>Студент3.21</t>
        </is>
      </c>
      <c r="B298" s="4" t="inlineStr"/>
      <c r="C298" s="4">
        <f>IF(A298="","",COUNTIF(F298:AI298,"+")+COUNTIF(F298:AI298,"1"))</f>
        <v/>
      </c>
      <c r="D298" s="4">
        <f>IF(A298="","",IF(C298&gt;2*COUNTA(F$277:AI$277)/3,'Общий'!$M$11,IF(C298&gt;=COUNTA(F$277:AI$277)/2,'Общий'!$M$12,'Общий'!$M$13)))</f>
        <v/>
      </c>
      <c r="E298" s="4">
        <f>IF(A298="","",SUMIFS('Логи'!$H$7:$H$3006,'Логи'!$A$7:$A$3006,5,'Логи'!$B$7:$B$3006,3,'Логи'!$C$7:$C$3006,A298))</f>
        <v/>
      </c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</row>
    <row r="299">
      <c r="A299" s="4" t="inlineStr">
        <is>
          <t>Студент3.22</t>
        </is>
      </c>
      <c r="B299" s="4" t="inlineStr"/>
      <c r="C299" s="4">
        <f>IF(A299="","",COUNTIF(F299:AI299,"+")+COUNTIF(F299:AI299,"1"))</f>
        <v/>
      </c>
      <c r="D299" s="4">
        <f>IF(A299="","",IF(C299&gt;2*COUNTA(F$277:AI$277)/3,'Общий'!$M$11,IF(C299&gt;=COUNTA(F$277:AI$277)/2,'Общий'!$M$12,'Общий'!$M$13)))</f>
        <v/>
      </c>
      <c r="E299" s="4">
        <f>IF(A299="","",SUMIFS('Логи'!$H$7:$H$3006,'Логи'!$A$7:$A$3006,5,'Логи'!$B$7:$B$3006,3,'Логи'!$C$7:$C$3006,A299))</f>
        <v/>
      </c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4" t="inlineStr">
        <is>
          <t>Студент3.23</t>
        </is>
      </c>
      <c r="B300" s="4" t="inlineStr"/>
      <c r="C300" s="4">
        <f>IF(A300="","",COUNTIF(F300:AI300,"+")+COUNTIF(F300:AI300,"1"))</f>
        <v/>
      </c>
      <c r="D300" s="4">
        <f>IF(A300="","",IF(C300&gt;2*COUNTA(F$277:AI$277)/3,'Общий'!$M$11,IF(C300&gt;=COUNTA(F$277:AI$277)/2,'Общий'!$M$12,'Общий'!$M$13)))</f>
        <v/>
      </c>
      <c r="E300" s="4">
        <f>IF(A300="","",SUMIFS('Логи'!$H$7:$H$3006,'Логи'!$A$7:$A$3006,5,'Логи'!$B$7:$B$3006,3,'Логи'!$C$7:$C$3006,A300))</f>
        <v/>
      </c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</row>
    <row r="301">
      <c r="A301" s="4" t="inlineStr">
        <is>
          <t>Студент3.24</t>
        </is>
      </c>
      <c r="B301" s="4" t="inlineStr"/>
      <c r="C301" s="4">
        <f>IF(A301="","",COUNTIF(F301:AI301,"+")+COUNTIF(F301:AI301,"1"))</f>
        <v/>
      </c>
      <c r="D301" s="4">
        <f>IF(A301="","",IF(C301&gt;2*COUNTA(F$277:AI$277)/3,'Общий'!$M$11,IF(C301&gt;=COUNTA(F$277:AI$277)/2,'Общий'!$M$12,'Общий'!$M$13)))</f>
        <v/>
      </c>
      <c r="E301" s="4">
        <f>IF(A301="","",SUMIFS('Логи'!$H$7:$H$3006,'Логи'!$A$7:$A$3006,5,'Логи'!$B$7:$B$3006,3,'Логи'!$C$7:$C$3006,A301))</f>
        <v/>
      </c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4" t="inlineStr">
        <is>
          <t>Студент3.25</t>
        </is>
      </c>
      <c r="B302" s="4" t="inlineStr"/>
      <c r="C302" s="4">
        <f>IF(A302="","",COUNTIF(F302:AI302,"+")+COUNTIF(F302:AI302,"1"))</f>
        <v/>
      </c>
      <c r="D302" s="4">
        <f>IF(A302="","",IF(C302&gt;2*COUNTA(F$277:AI$277)/3,'Общий'!$M$11,IF(C302&gt;=COUNTA(F$277:AI$277)/2,'Общий'!$M$12,'Общий'!$M$13)))</f>
        <v/>
      </c>
      <c r="E302" s="4">
        <f>IF(A302="","",SUMIFS('Логи'!$H$7:$H$3006,'Логи'!$A$7:$A$3006,5,'Логи'!$B$7:$B$3006,3,'Логи'!$C$7:$C$3006,A302))</f>
        <v/>
      </c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</row>
    <row r="303">
      <c r="A303" s="4" t="inlineStr">
        <is>
          <t>Студент3.26</t>
        </is>
      </c>
      <c r="B303" s="4" t="inlineStr"/>
      <c r="C303" s="4">
        <f>IF(A303="","",COUNTIF(F303:AI303,"+")+COUNTIF(F303:AI303,"1"))</f>
        <v/>
      </c>
      <c r="D303" s="4">
        <f>IF(A303="","",IF(C303&gt;2*COUNTA(F$277:AI$277)/3,'Общий'!$M$11,IF(C303&gt;=COUNTA(F$277:AI$277)/2,'Общий'!$M$12,'Общий'!$M$13)))</f>
        <v/>
      </c>
      <c r="E303" s="4">
        <f>IF(A303="","",SUMIFS('Логи'!$H$7:$H$3006,'Логи'!$A$7:$A$3006,5,'Логи'!$B$7:$B$3006,3,'Логи'!$C$7:$C$3006,A303))</f>
        <v/>
      </c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4" t="inlineStr">
        <is>
          <t>Студент3.27</t>
        </is>
      </c>
      <c r="B304" s="4" t="inlineStr"/>
      <c r="C304" s="4">
        <f>IF(A304="","",COUNTIF(F304:AI304,"+")+COUNTIF(F304:AI304,"1"))</f>
        <v/>
      </c>
      <c r="D304" s="4">
        <f>IF(A304="","",IF(C304&gt;2*COUNTA(F$277:AI$277)/3,'Общий'!$M$11,IF(C304&gt;=COUNTA(F$277:AI$277)/2,'Общий'!$M$12,'Общий'!$M$13)))</f>
        <v/>
      </c>
      <c r="E304" s="4">
        <f>IF(A304="","",SUMIFS('Логи'!$H$7:$H$3006,'Логи'!$A$7:$A$3006,5,'Логи'!$B$7:$B$3006,3,'Логи'!$C$7:$C$3006,A304))</f>
        <v/>
      </c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  <c r="AI304" s="5" t="n"/>
    </row>
    <row r="305">
      <c r="A305" s="4" t="inlineStr">
        <is>
          <t>Студент3.28</t>
        </is>
      </c>
      <c r="B305" s="4" t="inlineStr"/>
      <c r="C305" s="4">
        <f>IF(A305="","",COUNTIF(F305:AI305,"+")+COUNTIF(F305:AI305,"1"))</f>
        <v/>
      </c>
      <c r="D305" s="4">
        <f>IF(A305="","",IF(C305&gt;2*COUNTA(F$277:AI$277)/3,'Общий'!$M$11,IF(C305&gt;=COUNTA(F$277:AI$277)/2,'Общий'!$M$12,'Общий'!$M$13)))</f>
        <v/>
      </c>
      <c r="E305" s="4">
        <f>IF(A305="","",SUMIFS('Логи'!$H$7:$H$3006,'Логи'!$A$7:$A$3006,5,'Логи'!$B$7:$B$3006,3,'Логи'!$C$7:$C$3006,A305))</f>
        <v/>
      </c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4" t="inlineStr">
        <is>
          <t>Студент3.29</t>
        </is>
      </c>
      <c r="B306" s="4" t="inlineStr"/>
      <c r="C306" s="4">
        <f>IF(A306="","",COUNTIF(F306:AI306,"+")+COUNTIF(F306:AI306,"1"))</f>
        <v/>
      </c>
      <c r="D306" s="4">
        <f>IF(A306="","",IF(C306&gt;2*COUNTA(F$277:AI$277)/3,'Общий'!$M$11,IF(C306&gt;=COUNTA(F$277:AI$277)/2,'Общий'!$M$12,'Общий'!$M$13)))</f>
        <v/>
      </c>
      <c r="E306" s="4">
        <f>IF(A306="","",SUMIFS('Логи'!$H$7:$H$3006,'Логи'!$A$7:$A$3006,5,'Логи'!$B$7:$B$3006,3,'Логи'!$C$7:$C$3006,A306))</f>
        <v/>
      </c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  <c r="AI306" s="5" t="n"/>
    </row>
    <row r="307">
      <c r="A307" s="4" t="inlineStr">
        <is>
          <t>Студент3.30</t>
        </is>
      </c>
      <c r="B307" s="4" t="inlineStr"/>
      <c r="C307" s="4">
        <f>IF(A307="","",COUNTIF(F307:AI307,"+")+COUNTIF(F307:AI307,"1"))</f>
        <v/>
      </c>
      <c r="D307" s="4">
        <f>IF(A307="","",IF(C307&gt;2*COUNTA(F$277:AI$277)/3,'Общий'!$M$11,IF(C307&gt;=COUNTA(F$277:AI$277)/2,'Общий'!$M$12,'Общий'!$M$13)))</f>
        <v/>
      </c>
      <c r="E307" s="4">
        <f>IF(A307="","",SUMIFS('Логи'!$H$7:$H$3006,'Логи'!$A$7:$A$3006,5,'Логи'!$B$7:$B$3006,3,'Логи'!$C$7:$C$3006,A307))</f>
        <v/>
      </c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9">
      <c r="A309" s="19" t="inlineStr">
        <is>
          <t>Практика 5 — результаты рассказа</t>
        </is>
      </c>
    </row>
    <row r="310" ht="28" customHeight="1">
      <c r="A310" s="9" t="inlineStr">
        <is>
          <t>Имя</t>
        </is>
      </c>
      <c r="B310" s="11" t="inlineStr">
        <is>
          <t>TG</t>
        </is>
      </c>
      <c r="C310" s="12" t="inlineStr"/>
      <c r="D310" s="3" t="inlineStr"/>
      <c r="E310" s="3" t="inlineStr"/>
      <c r="F310" s="13" t="inlineStr">
        <is>
          <t>1.0</t>
        </is>
      </c>
      <c r="G310" s="13" t="inlineStr">
        <is>
          <t>2.0</t>
        </is>
      </c>
      <c r="H310" s="13" t="inlineStr">
        <is>
          <t>3.0</t>
        </is>
      </c>
      <c r="I310" s="13" t="inlineStr">
        <is>
          <t>4.0</t>
        </is>
      </c>
      <c r="J310" s="13" t="inlineStr">
        <is>
          <t>5.0</t>
        </is>
      </c>
      <c r="K310" s="13" t="inlineStr">
        <is>
          <t>6</t>
        </is>
      </c>
      <c r="L310" s="13" t="inlineStr">
        <is>
          <t>7</t>
        </is>
      </c>
      <c r="M310" s="13" t="inlineStr">
        <is>
          <t>8</t>
        </is>
      </c>
      <c r="N310" s="13" t="inlineStr">
        <is>
          <t>9</t>
        </is>
      </c>
      <c r="O310" s="13" t="inlineStr">
        <is>
          <t>10</t>
        </is>
      </c>
      <c r="P310" s="13" t="inlineStr">
        <is>
          <t>11</t>
        </is>
      </c>
      <c r="Q310" s="13" t="inlineStr">
        <is>
          <t>12</t>
        </is>
      </c>
      <c r="R310" s="13" t="inlineStr">
        <is>
          <t>13</t>
        </is>
      </c>
      <c r="S310" s="13" t="inlineStr">
        <is>
          <t>14</t>
        </is>
      </c>
      <c r="T310" s="13" t="inlineStr">
        <is>
          <t>15</t>
        </is>
      </c>
      <c r="U310" s="13" t="inlineStr">
        <is>
          <t>16</t>
        </is>
      </c>
      <c r="V310" s="13" t="inlineStr">
        <is>
          <t>17</t>
        </is>
      </c>
      <c r="W310" s="13" t="inlineStr">
        <is>
          <t>18</t>
        </is>
      </c>
      <c r="X310" s="13" t="inlineStr">
        <is>
          <t>19</t>
        </is>
      </c>
      <c r="Y310" s="13" t="inlineStr">
        <is>
          <t>20</t>
        </is>
      </c>
      <c r="Z310" s="13" t="inlineStr">
        <is>
          <t>21</t>
        </is>
      </c>
      <c r="AA310" s="13" t="inlineStr">
        <is>
          <t>22</t>
        </is>
      </c>
      <c r="AB310" s="13" t="inlineStr">
        <is>
          <t>23</t>
        </is>
      </c>
      <c r="AC310" s="13" t="inlineStr">
        <is>
          <t>24</t>
        </is>
      </c>
      <c r="AD310" s="13" t="inlineStr">
        <is>
          <t>25</t>
        </is>
      </c>
      <c r="AE310" s="13" t="inlineStr">
        <is>
          <t>26</t>
        </is>
      </c>
      <c r="AF310" s="13" t="inlineStr">
        <is>
          <t>27</t>
        </is>
      </c>
      <c r="AG310" s="13" t="inlineStr">
        <is>
          <t>28</t>
        </is>
      </c>
      <c r="AH310" s="13" t="inlineStr">
        <is>
          <t>29</t>
        </is>
      </c>
      <c r="AI310" s="13" t="inlineStr">
        <is>
          <t>30</t>
        </is>
      </c>
    </row>
    <row r="311">
      <c r="A311" s="4" t="inlineStr">
        <is>
          <t>Студент3.1</t>
        </is>
      </c>
      <c r="B311" s="4" t="inlineStr"/>
      <c r="C311" s="4" t="n"/>
      <c r="D311" s="4" t="n"/>
      <c r="E311" s="4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4" t="inlineStr">
        <is>
          <t>Студент3.2</t>
        </is>
      </c>
      <c r="B312" s="4" t="inlineStr"/>
      <c r="C312" s="4" t="n"/>
      <c r="D312" s="4" t="n"/>
      <c r="E312" s="4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  <c r="AI312" s="5" t="n"/>
    </row>
    <row r="313">
      <c r="A313" s="4" t="inlineStr">
        <is>
          <t>Студент3.3</t>
        </is>
      </c>
      <c r="B313" s="4" t="inlineStr"/>
      <c r="C313" s="4" t="n"/>
      <c r="D313" s="4" t="n"/>
      <c r="E313" s="4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4" t="inlineStr">
        <is>
          <t>Студент3.4</t>
        </is>
      </c>
      <c r="B314" s="4" t="inlineStr"/>
      <c r="C314" s="4" t="n"/>
      <c r="D314" s="4" t="n"/>
      <c r="E314" s="4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  <c r="AI314" s="5" t="n"/>
    </row>
    <row r="315">
      <c r="A315" s="4" t="inlineStr">
        <is>
          <t>Студент3.5</t>
        </is>
      </c>
      <c r="B315" s="4" t="inlineStr"/>
      <c r="C315" s="4" t="n"/>
      <c r="D315" s="4" t="n"/>
      <c r="E315" s="4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4" t="inlineStr">
        <is>
          <t>Студент3.6</t>
        </is>
      </c>
      <c r="B316" s="4" t="inlineStr"/>
      <c r="C316" s="4" t="n"/>
      <c r="D316" s="4" t="n"/>
      <c r="E316" s="4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  <c r="AI316" s="5" t="n"/>
    </row>
    <row r="317">
      <c r="A317" s="4" t="inlineStr">
        <is>
          <t>Студент3.7</t>
        </is>
      </c>
      <c r="B317" s="4" t="inlineStr"/>
      <c r="C317" s="4" t="n"/>
      <c r="D317" s="4" t="n"/>
      <c r="E317" s="4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4" t="inlineStr">
        <is>
          <t>Студент3.8</t>
        </is>
      </c>
      <c r="B318" s="4" t="inlineStr"/>
      <c r="C318" s="4" t="n"/>
      <c r="D318" s="4" t="n"/>
      <c r="E318" s="4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  <c r="AI318" s="5" t="n"/>
    </row>
    <row r="319">
      <c r="A319" s="4" t="inlineStr">
        <is>
          <t>Студент3.9</t>
        </is>
      </c>
      <c r="B319" s="4" t="inlineStr"/>
      <c r="C319" s="4" t="n"/>
      <c r="D319" s="4" t="n"/>
      <c r="E319" s="4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4" t="inlineStr">
        <is>
          <t>Студент3.10</t>
        </is>
      </c>
      <c r="B320" s="4" t="inlineStr"/>
      <c r="C320" s="4" t="n"/>
      <c r="D320" s="4" t="n"/>
      <c r="E320" s="4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  <c r="AI320" s="5" t="n"/>
    </row>
    <row r="321">
      <c r="A321" s="4" t="inlineStr">
        <is>
          <t>Студент3.11</t>
        </is>
      </c>
      <c r="B321" s="4" t="inlineStr"/>
      <c r="C321" s="4" t="n"/>
      <c r="D321" s="4" t="n"/>
      <c r="E321" s="4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4" t="inlineStr">
        <is>
          <t>Студент3.12</t>
        </is>
      </c>
      <c r="B322" s="4" t="inlineStr"/>
      <c r="C322" s="4" t="n"/>
      <c r="D322" s="4" t="n"/>
      <c r="E322" s="4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  <c r="AI322" s="5" t="n"/>
    </row>
    <row r="323">
      <c r="A323" s="4" t="inlineStr">
        <is>
          <t>Студент3.13</t>
        </is>
      </c>
      <c r="B323" s="4" t="inlineStr"/>
      <c r="C323" s="4" t="n"/>
      <c r="D323" s="4" t="n"/>
      <c r="E323" s="4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4" t="inlineStr">
        <is>
          <t>Студент3.14</t>
        </is>
      </c>
      <c r="B324" s="4" t="inlineStr"/>
      <c r="C324" s="4" t="n"/>
      <c r="D324" s="4" t="n"/>
      <c r="E324" s="4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  <c r="AI324" s="5" t="n"/>
    </row>
    <row r="325">
      <c r="A325" s="4" t="inlineStr">
        <is>
          <t>Студент3.15</t>
        </is>
      </c>
      <c r="B325" s="4" t="inlineStr"/>
      <c r="C325" s="4" t="n"/>
      <c r="D325" s="4" t="n"/>
      <c r="E325" s="4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4" t="inlineStr">
        <is>
          <t>Студент3.16</t>
        </is>
      </c>
      <c r="B326" s="4" t="inlineStr"/>
      <c r="C326" s="4" t="n"/>
      <c r="D326" s="4" t="n"/>
      <c r="E326" s="4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  <c r="AI326" s="5" t="n"/>
    </row>
    <row r="327">
      <c r="A327" s="4" t="inlineStr">
        <is>
          <t>Студент3.17</t>
        </is>
      </c>
      <c r="B327" s="4" t="inlineStr"/>
      <c r="C327" s="4" t="n"/>
      <c r="D327" s="4" t="n"/>
      <c r="E327" s="4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4" t="inlineStr">
        <is>
          <t>Студент3.18</t>
        </is>
      </c>
      <c r="B328" s="4" t="inlineStr"/>
      <c r="C328" s="4" t="n"/>
      <c r="D328" s="4" t="n"/>
      <c r="E328" s="4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  <c r="AI328" s="5" t="n"/>
    </row>
    <row r="329">
      <c r="A329" s="4" t="inlineStr">
        <is>
          <t>Студент3.19</t>
        </is>
      </c>
      <c r="B329" s="4" t="inlineStr"/>
      <c r="C329" s="4" t="n"/>
      <c r="D329" s="4" t="n"/>
      <c r="E329" s="4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4" t="inlineStr">
        <is>
          <t>Студент3.20</t>
        </is>
      </c>
      <c r="B330" s="4" t="inlineStr"/>
      <c r="C330" s="4" t="n"/>
      <c r="D330" s="4" t="n"/>
      <c r="E330" s="4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  <c r="AI330" s="5" t="n"/>
    </row>
    <row r="331">
      <c r="A331" s="4" t="inlineStr">
        <is>
          <t>Студент3.21</t>
        </is>
      </c>
      <c r="B331" s="4" t="inlineStr"/>
      <c r="C331" s="4" t="n"/>
      <c r="D331" s="4" t="n"/>
      <c r="E331" s="4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4" t="inlineStr">
        <is>
          <t>Студент3.22</t>
        </is>
      </c>
      <c r="B332" s="4" t="inlineStr"/>
      <c r="C332" s="4" t="n"/>
      <c r="D332" s="4" t="n"/>
      <c r="E332" s="4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  <c r="AI332" s="5" t="n"/>
    </row>
    <row r="333">
      <c r="A333" s="4" t="inlineStr">
        <is>
          <t>Студент3.23</t>
        </is>
      </c>
      <c r="B333" s="4" t="inlineStr"/>
      <c r="C333" s="4" t="n"/>
      <c r="D333" s="4" t="n"/>
      <c r="E333" s="4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4" t="inlineStr">
        <is>
          <t>Студент3.24</t>
        </is>
      </c>
      <c r="B334" s="4" t="inlineStr"/>
      <c r="C334" s="4" t="n"/>
      <c r="D334" s="4" t="n"/>
      <c r="E334" s="4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  <c r="AI334" s="5" t="n"/>
    </row>
    <row r="335">
      <c r="A335" s="4" t="inlineStr">
        <is>
          <t>Студент3.25</t>
        </is>
      </c>
      <c r="B335" s="4" t="inlineStr"/>
      <c r="C335" s="4" t="n"/>
      <c r="D335" s="4" t="n"/>
      <c r="E335" s="4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4" t="inlineStr">
        <is>
          <t>Студент3.26</t>
        </is>
      </c>
      <c r="B336" s="4" t="inlineStr"/>
      <c r="C336" s="4" t="n"/>
      <c r="D336" s="4" t="n"/>
      <c r="E336" s="4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</row>
    <row r="337">
      <c r="A337" s="4" t="inlineStr">
        <is>
          <t>Студент3.27</t>
        </is>
      </c>
      <c r="B337" s="4" t="inlineStr"/>
      <c r="C337" s="4" t="n"/>
      <c r="D337" s="4" t="n"/>
      <c r="E337" s="4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4" t="inlineStr">
        <is>
          <t>Студент3.28</t>
        </is>
      </c>
      <c r="B338" s="4" t="inlineStr"/>
      <c r="C338" s="4" t="n"/>
      <c r="D338" s="4" t="n"/>
      <c r="E338" s="4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  <c r="AI338" s="5" t="n"/>
    </row>
    <row r="339">
      <c r="A339" s="4" t="inlineStr">
        <is>
          <t>Студент3.29</t>
        </is>
      </c>
      <c r="B339" s="4" t="inlineStr"/>
      <c r="C339" s="4" t="n"/>
      <c r="D339" s="4" t="n"/>
      <c r="E339" s="4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4" t="inlineStr">
        <is>
          <t>Студент3.30</t>
        </is>
      </c>
      <c r="B340" s="4" t="inlineStr"/>
      <c r="C340" s="4" t="n"/>
      <c r="D340" s="4" t="n"/>
      <c r="E340" s="4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  <c r="AI340" s="5" t="n"/>
    </row>
    <row r="344">
      <c r="A344" s="17" t="inlineStr">
        <is>
          <t>Практика 6 — плюсы</t>
        </is>
      </c>
    </row>
    <row r="345" ht="28" customHeight="1">
      <c r="A345" s="9" t="inlineStr">
        <is>
          <t>Имя</t>
        </is>
      </c>
      <c r="B345" s="11" t="inlineStr">
        <is>
          <t>TG</t>
        </is>
      </c>
      <c r="C345" s="12" t="inlineStr">
        <is>
          <t>S</t>
        </is>
      </c>
      <c r="D345" s="10" t="inlineStr">
        <is>
          <t>Коэффициент</t>
        </is>
      </c>
      <c r="E345" s="18" t="inlineStr">
        <is>
          <t>D за практику</t>
        </is>
      </c>
      <c r="F345" s="13" t="inlineStr">
        <is>
          <t>1.0</t>
        </is>
      </c>
      <c r="G345" s="13" t="inlineStr">
        <is>
          <t>2.0</t>
        </is>
      </c>
      <c r="H345" s="13" t="inlineStr">
        <is>
          <t>3.0</t>
        </is>
      </c>
      <c r="I345" s="13" t="inlineStr">
        <is>
          <t>4.0</t>
        </is>
      </c>
      <c r="J345" s="13" t="inlineStr">
        <is>
          <t>5.0</t>
        </is>
      </c>
      <c r="K345" s="13" t="inlineStr">
        <is>
          <t>6</t>
        </is>
      </c>
      <c r="L345" s="13" t="inlineStr">
        <is>
          <t>7</t>
        </is>
      </c>
      <c r="M345" s="13" t="inlineStr">
        <is>
          <t>8</t>
        </is>
      </c>
      <c r="N345" s="13" t="inlineStr">
        <is>
          <t>9</t>
        </is>
      </c>
      <c r="O345" s="13" t="inlineStr">
        <is>
          <t>10</t>
        </is>
      </c>
      <c r="P345" s="13" t="inlineStr">
        <is>
          <t>11</t>
        </is>
      </c>
      <c r="Q345" s="13" t="inlineStr">
        <is>
          <t>12</t>
        </is>
      </c>
      <c r="R345" s="13" t="inlineStr">
        <is>
          <t>13</t>
        </is>
      </c>
      <c r="S345" s="13" t="inlineStr">
        <is>
          <t>14</t>
        </is>
      </c>
      <c r="T345" s="13" t="inlineStr">
        <is>
          <t>15</t>
        </is>
      </c>
      <c r="U345" s="13" t="inlineStr">
        <is>
          <t>16</t>
        </is>
      </c>
      <c r="V345" s="13" t="inlineStr">
        <is>
          <t>17</t>
        </is>
      </c>
      <c r="W345" s="13" t="inlineStr">
        <is>
          <t>18</t>
        </is>
      </c>
      <c r="X345" s="13" t="inlineStr">
        <is>
          <t>19</t>
        </is>
      </c>
      <c r="Y345" s="13" t="inlineStr">
        <is>
          <t>20</t>
        </is>
      </c>
      <c r="Z345" s="13" t="inlineStr">
        <is>
          <t>21</t>
        </is>
      </c>
      <c r="AA345" s="13" t="inlineStr">
        <is>
          <t>22</t>
        </is>
      </c>
      <c r="AB345" s="13" t="inlineStr">
        <is>
          <t>23</t>
        </is>
      </c>
      <c r="AC345" s="13" t="inlineStr">
        <is>
          <t>24</t>
        </is>
      </c>
      <c r="AD345" s="13" t="inlineStr">
        <is>
          <t>25</t>
        </is>
      </c>
      <c r="AE345" s="13" t="inlineStr">
        <is>
          <t>26</t>
        </is>
      </c>
      <c r="AF345" s="13" t="inlineStr">
        <is>
          <t>27</t>
        </is>
      </c>
      <c r="AG345" s="13" t="inlineStr">
        <is>
          <t>28</t>
        </is>
      </c>
      <c r="AH345" s="13" t="inlineStr">
        <is>
          <t>29</t>
        </is>
      </c>
      <c r="AI345" s="13" t="inlineStr">
        <is>
          <t>30</t>
        </is>
      </c>
    </row>
    <row r="346">
      <c r="A346" s="4" t="inlineStr">
        <is>
          <t>Студент3.1</t>
        </is>
      </c>
      <c r="B346" s="4" t="inlineStr"/>
      <c r="C346" s="4">
        <f>IF(A346="","",COUNTIF(F346:AI346,"+")+COUNTIF(F346:AI346,"1"))</f>
        <v/>
      </c>
      <c r="D346" s="4">
        <f>IF(A346="","",IF(C346&gt;2*COUNTA(F$345:AI$345)/3,'Общий'!$M$11,IF(C346&gt;=COUNTA(F$345:AI$345)/2,'Общий'!$M$12,'Общий'!$M$13)))</f>
        <v/>
      </c>
      <c r="E346" s="4">
        <f>IF(A346="","",SUMIFS('Логи'!$H$7:$H$3006,'Логи'!$A$7:$A$3006,6,'Логи'!$B$7:$B$3006,3,'Логи'!$C$7:$C$3006,A346))</f>
        <v/>
      </c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  <c r="AI346" s="5" t="n"/>
    </row>
    <row r="347">
      <c r="A347" s="4" t="inlineStr">
        <is>
          <t>Студент3.2</t>
        </is>
      </c>
      <c r="B347" s="4" t="inlineStr"/>
      <c r="C347" s="4">
        <f>IF(A347="","",COUNTIF(F347:AI347,"+")+COUNTIF(F347:AI347,"1"))</f>
        <v/>
      </c>
      <c r="D347" s="4">
        <f>IF(A347="","",IF(C347&gt;2*COUNTA(F$345:AI$345)/3,'Общий'!$M$11,IF(C347&gt;=COUNTA(F$345:AI$345)/2,'Общий'!$M$12,'Общий'!$M$13)))</f>
        <v/>
      </c>
      <c r="E347" s="4">
        <f>IF(A347="","",SUMIFS('Логи'!$H$7:$H$3006,'Логи'!$A$7:$A$3006,6,'Логи'!$B$7:$B$3006,3,'Логи'!$C$7:$C$3006,A347))</f>
        <v/>
      </c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4" t="inlineStr">
        <is>
          <t>Студент3.3</t>
        </is>
      </c>
      <c r="B348" s="4" t="inlineStr"/>
      <c r="C348" s="4">
        <f>IF(A348="","",COUNTIF(F348:AI348,"+")+COUNTIF(F348:AI348,"1"))</f>
        <v/>
      </c>
      <c r="D348" s="4">
        <f>IF(A348="","",IF(C348&gt;2*COUNTA(F$345:AI$345)/3,'Общий'!$M$11,IF(C348&gt;=COUNTA(F$345:AI$345)/2,'Общий'!$M$12,'Общий'!$M$13)))</f>
        <v/>
      </c>
      <c r="E348" s="4">
        <f>IF(A348="","",SUMIFS('Логи'!$H$7:$H$3006,'Логи'!$A$7:$A$3006,6,'Логи'!$B$7:$B$3006,3,'Логи'!$C$7:$C$3006,A348))</f>
        <v/>
      </c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  <c r="AI348" s="5" t="n"/>
    </row>
    <row r="349">
      <c r="A349" s="4" t="inlineStr">
        <is>
          <t>Студент3.4</t>
        </is>
      </c>
      <c r="B349" s="4" t="inlineStr"/>
      <c r="C349" s="4">
        <f>IF(A349="","",COUNTIF(F349:AI349,"+")+COUNTIF(F349:AI349,"1"))</f>
        <v/>
      </c>
      <c r="D349" s="4">
        <f>IF(A349="","",IF(C349&gt;2*COUNTA(F$345:AI$345)/3,'Общий'!$M$11,IF(C349&gt;=COUNTA(F$345:AI$345)/2,'Общий'!$M$12,'Общий'!$M$13)))</f>
        <v/>
      </c>
      <c r="E349" s="4">
        <f>IF(A349="","",SUMIFS('Логи'!$H$7:$H$3006,'Логи'!$A$7:$A$3006,6,'Логи'!$B$7:$B$3006,3,'Логи'!$C$7:$C$3006,A349))</f>
        <v/>
      </c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4" t="inlineStr">
        <is>
          <t>Студент3.5</t>
        </is>
      </c>
      <c r="B350" s="4" t="inlineStr"/>
      <c r="C350" s="4">
        <f>IF(A350="","",COUNTIF(F350:AI350,"+")+COUNTIF(F350:AI350,"1"))</f>
        <v/>
      </c>
      <c r="D350" s="4">
        <f>IF(A350="","",IF(C350&gt;2*COUNTA(F$345:AI$345)/3,'Общий'!$M$11,IF(C350&gt;=COUNTA(F$345:AI$345)/2,'Общий'!$M$12,'Общий'!$M$13)))</f>
        <v/>
      </c>
      <c r="E350" s="4">
        <f>IF(A350="","",SUMIFS('Логи'!$H$7:$H$3006,'Логи'!$A$7:$A$3006,6,'Логи'!$B$7:$B$3006,3,'Логи'!$C$7:$C$3006,A350))</f>
        <v/>
      </c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  <c r="AI350" s="5" t="n"/>
    </row>
    <row r="351">
      <c r="A351" s="4" t="inlineStr">
        <is>
          <t>Студент3.6</t>
        </is>
      </c>
      <c r="B351" s="4" t="inlineStr"/>
      <c r="C351" s="4">
        <f>IF(A351="","",COUNTIF(F351:AI351,"+")+COUNTIF(F351:AI351,"1"))</f>
        <v/>
      </c>
      <c r="D351" s="4">
        <f>IF(A351="","",IF(C351&gt;2*COUNTA(F$345:AI$345)/3,'Общий'!$M$11,IF(C351&gt;=COUNTA(F$345:AI$345)/2,'Общий'!$M$12,'Общий'!$M$13)))</f>
        <v/>
      </c>
      <c r="E351" s="4">
        <f>IF(A351="","",SUMIFS('Логи'!$H$7:$H$3006,'Логи'!$A$7:$A$3006,6,'Логи'!$B$7:$B$3006,3,'Логи'!$C$7:$C$3006,A351))</f>
        <v/>
      </c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4" t="inlineStr">
        <is>
          <t>Студент3.7</t>
        </is>
      </c>
      <c r="B352" s="4" t="inlineStr"/>
      <c r="C352" s="4">
        <f>IF(A352="","",COUNTIF(F352:AI352,"+")+COUNTIF(F352:AI352,"1"))</f>
        <v/>
      </c>
      <c r="D352" s="4">
        <f>IF(A352="","",IF(C352&gt;2*COUNTA(F$345:AI$345)/3,'Общий'!$M$11,IF(C352&gt;=COUNTA(F$345:AI$345)/2,'Общий'!$M$12,'Общий'!$M$13)))</f>
        <v/>
      </c>
      <c r="E352" s="4">
        <f>IF(A352="","",SUMIFS('Логи'!$H$7:$H$3006,'Логи'!$A$7:$A$3006,6,'Логи'!$B$7:$B$3006,3,'Логи'!$C$7:$C$3006,A352))</f>
        <v/>
      </c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  <c r="AI352" s="5" t="n"/>
    </row>
    <row r="353">
      <c r="A353" s="4" t="inlineStr">
        <is>
          <t>Студент3.8</t>
        </is>
      </c>
      <c r="B353" s="4" t="inlineStr"/>
      <c r="C353" s="4">
        <f>IF(A353="","",COUNTIF(F353:AI353,"+")+COUNTIF(F353:AI353,"1"))</f>
        <v/>
      </c>
      <c r="D353" s="4">
        <f>IF(A353="","",IF(C353&gt;2*COUNTA(F$345:AI$345)/3,'Общий'!$M$11,IF(C353&gt;=COUNTA(F$345:AI$345)/2,'Общий'!$M$12,'Общий'!$M$13)))</f>
        <v/>
      </c>
      <c r="E353" s="4">
        <f>IF(A353="","",SUMIFS('Логи'!$H$7:$H$3006,'Логи'!$A$7:$A$3006,6,'Логи'!$B$7:$B$3006,3,'Логи'!$C$7:$C$3006,A353))</f>
        <v/>
      </c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4" t="inlineStr">
        <is>
          <t>Студент3.9</t>
        </is>
      </c>
      <c r="B354" s="4" t="inlineStr"/>
      <c r="C354" s="4">
        <f>IF(A354="","",COUNTIF(F354:AI354,"+")+COUNTIF(F354:AI354,"1"))</f>
        <v/>
      </c>
      <c r="D354" s="4">
        <f>IF(A354="","",IF(C354&gt;2*COUNTA(F$345:AI$345)/3,'Общий'!$M$11,IF(C354&gt;=COUNTA(F$345:AI$345)/2,'Общий'!$M$12,'Общий'!$M$13)))</f>
        <v/>
      </c>
      <c r="E354" s="4">
        <f>IF(A354="","",SUMIFS('Логи'!$H$7:$H$3006,'Логи'!$A$7:$A$3006,6,'Логи'!$B$7:$B$3006,3,'Логи'!$C$7:$C$3006,A354))</f>
        <v/>
      </c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  <c r="AI354" s="5" t="n"/>
    </row>
    <row r="355">
      <c r="A355" s="4" t="inlineStr">
        <is>
          <t>Студент3.10</t>
        </is>
      </c>
      <c r="B355" s="4" t="inlineStr"/>
      <c r="C355" s="4">
        <f>IF(A355="","",COUNTIF(F355:AI355,"+")+COUNTIF(F355:AI355,"1"))</f>
        <v/>
      </c>
      <c r="D355" s="4">
        <f>IF(A355="","",IF(C355&gt;2*COUNTA(F$345:AI$345)/3,'Общий'!$M$11,IF(C355&gt;=COUNTA(F$345:AI$345)/2,'Общий'!$M$12,'Общий'!$M$13)))</f>
        <v/>
      </c>
      <c r="E355" s="4">
        <f>IF(A355="","",SUMIFS('Логи'!$H$7:$H$3006,'Логи'!$A$7:$A$3006,6,'Логи'!$B$7:$B$3006,3,'Логи'!$C$7:$C$3006,A355))</f>
        <v/>
      </c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4" t="inlineStr">
        <is>
          <t>Студент3.11</t>
        </is>
      </c>
      <c r="B356" s="4" t="inlineStr"/>
      <c r="C356" s="4">
        <f>IF(A356="","",COUNTIF(F356:AI356,"+")+COUNTIF(F356:AI356,"1"))</f>
        <v/>
      </c>
      <c r="D356" s="4">
        <f>IF(A356="","",IF(C356&gt;2*COUNTA(F$345:AI$345)/3,'Общий'!$M$11,IF(C356&gt;=COUNTA(F$345:AI$345)/2,'Общий'!$M$12,'Общий'!$M$13)))</f>
        <v/>
      </c>
      <c r="E356" s="4">
        <f>IF(A356="","",SUMIFS('Логи'!$H$7:$H$3006,'Логи'!$A$7:$A$3006,6,'Логи'!$B$7:$B$3006,3,'Логи'!$C$7:$C$3006,A356))</f>
        <v/>
      </c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  <c r="AI356" s="5" t="n"/>
    </row>
    <row r="357">
      <c r="A357" s="4" t="inlineStr">
        <is>
          <t>Студент3.12</t>
        </is>
      </c>
      <c r="B357" s="4" t="inlineStr"/>
      <c r="C357" s="4">
        <f>IF(A357="","",COUNTIF(F357:AI357,"+")+COUNTIF(F357:AI357,"1"))</f>
        <v/>
      </c>
      <c r="D357" s="4">
        <f>IF(A357="","",IF(C357&gt;2*COUNTA(F$345:AI$345)/3,'Общий'!$M$11,IF(C357&gt;=COUNTA(F$345:AI$345)/2,'Общий'!$M$12,'Общий'!$M$13)))</f>
        <v/>
      </c>
      <c r="E357" s="4">
        <f>IF(A357="","",SUMIFS('Логи'!$H$7:$H$3006,'Логи'!$A$7:$A$3006,6,'Логи'!$B$7:$B$3006,3,'Логи'!$C$7:$C$3006,A357))</f>
        <v/>
      </c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4" t="inlineStr">
        <is>
          <t>Студент3.13</t>
        </is>
      </c>
      <c r="B358" s="4" t="inlineStr"/>
      <c r="C358" s="4">
        <f>IF(A358="","",COUNTIF(F358:AI358,"+")+COUNTIF(F358:AI358,"1"))</f>
        <v/>
      </c>
      <c r="D358" s="4">
        <f>IF(A358="","",IF(C358&gt;2*COUNTA(F$345:AI$345)/3,'Общий'!$M$11,IF(C358&gt;=COUNTA(F$345:AI$345)/2,'Общий'!$M$12,'Общий'!$M$13)))</f>
        <v/>
      </c>
      <c r="E358" s="4">
        <f>IF(A358="","",SUMIFS('Логи'!$H$7:$H$3006,'Логи'!$A$7:$A$3006,6,'Логи'!$B$7:$B$3006,3,'Логи'!$C$7:$C$3006,A358))</f>
        <v/>
      </c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  <c r="AI358" s="5" t="n"/>
    </row>
    <row r="359">
      <c r="A359" s="4" t="inlineStr">
        <is>
          <t>Студент3.14</t>
        </is>
      </c>
      <c r="B359" s="4" t="inlineStr"/>
      <c r="C359" s="4">
        <f>IF(A359="","",COUNTIF(F359:AI359,"+")+COUNTIF(F359:AI359,"1"))</f>
        <v/>
      </c>
      <c r="D359" s="4">
        <f>IF(A359="","",IF(C359&gt;2*COUNTA(F$345:AI$345)/3,'Общий'!$M$11,IF(C359&gt;=COUNTA(F$345:AI$345)/2,'Общий'!$M$12,'Общий'!$M$13)))</f>
        <v/>
      </c>
      <c r="E359" s="4">
        <f>IF(A359="","",SUMIFS('Логи'!$H$7:$H$3006,'Логи'!$A$7:$A$3006,6,'Логи'!$B$7:$B$3006,3,'Логи'!$C$7:$C$3006,A359))</f>
        <v/>
      </c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4" t="inlineStr">
        <is>
          <t>Студент3.15</t>
        </is>
      </c>
      <c r="B360" s="4" t="inlineStr"/>
      <c r="C360" s="4">
        <f>IF(A360="","",COUNTIF(F360:AI360,"+")+COUNTIF(F360:AI360,"1"))</f>
        <v/>
      </c>
      <c r="D360" s="4">
        <f>IF(A360="","",IF(C360&gt;2*COUNTA(F$345:AI$345)/3,'Общий'!$M$11,IF(C360&gt;=COUNTA(F$345:AI$345)/2,'Общий'!$M$12,'Общий'!$M$13)))</f>
        <v/>
      </c>
      <c r="E360" s="4">
        <f>IF(A360="","",SUMIFS('Логи'!$H$7:$H$3006,'Логи'!$A$7:$A$3006,6,'Логи'!$B$7:$B$3006,3,'Логи'!$C$7:$C$3006,A360))</f>
        <v/>
      </c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  <c r="AI360" s="5" t="n"/>
    </row>
    <row r="361">
      <c r="A361" s="4" t="inlineStr">
        <is>
          <t>Студент3.16</t>
        </is>
      </c>
      <c r="B361" s="4" t="inlineStr"/>
      <c r="C361" s="4">
        <f>IF(A361="","",COUNTIF(F361:AI361,"+")+COUNTIF(F361:AI361,"1"))</f>
        <v/>
      </c>
      <c r="D361" s="4">
        <f>IF(A361="","",IF(C361&gt;2*COUNTA(F$345:AI$345)/3,'Общий'!$M$11,IF(C361&gt;=COUNTA(F$345:AI$345)/2,'Общий'!$M$12,'Общий'!$M$13)))</f>
        <v/>
      </c>
      <c r="E361" s="4">
        <f>IF(A361="","",SUMIFS('Логи'!$H$7:$H$3006,'Логи'!$A$7:$A$3006,6,'Логи'!$B$7:$B$3006,3,'Логи'!$C$7:$C$3006,A361))</f>
        <v/>
      </c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4" t="inlineStr">
        <is>
          <t>Студент3.17</t>
        </is>
      </c>
      <c r="B362" s="4" t="inlineStr"/>
      <c r="C362" s="4">
        <f>IF(A362="","",COUNTIF(F362:AI362,"+")+COUNTIF(F362:AI362,"1"))</f>
        <v/>
      </c>
      <c r="D362" s="4">
        <f>IF(A362="","",IF(C362&gt;2*COUNTA(F$345:AI$345)/3,'Общий'!$M$11,IF(C362&gt;=COUNTA(F$345:AI$345)/2,'Общий'!$M$12,'Общий'!$M$13)))</f>
        <v/>
      </c>
      <c r="E362" s="4">
        <f>IF(A362="","",SUMIFS('Логи'!$H$7:$H$3006,'Логи'!$A$7:$A$3006,6,'Логи'!$B$7:$B$3006,3,'Логи'!$C$7:$C$3006,A362))</f>
        <v/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  <c r="AI362" s="5" t="n"/>
    </row>
    <row r="363">
      <c r="A363" s="4" t="inlineStr">
        <is>
          <t>Студент3.18</t>
        </is>
      </c>
      <c r="B363" s="4" t="inlineStr"/>
      <c r="C363" s="4">
        <f>IF(A363="","",COUNTIF(F363:AI363,"+")+COUNTIF(F363:AI363,"1"))</f>
        <v/>
      </c>
      <c r="D363" s="4">
        <f>IF(A363="","",IF(C363&gt;2*COUNTA(F$345:AI$345)/3,'Общий'!$M$11,IF(C363&gt;=COUNTA(F$345:AI$345)/2,'Общий'!$M$12,'Общий'!$M$13)))</f>
        <v/>
      </c>
      <c r="E363" s="4">
        <f>IF(A363="","",SUMIFS('Логи'!$H$7:$H$3006,'Логи'!$A$7:$A$3006,6,'Логи'!$B$7:$B$3006,3,'Логи'!$C$7:$C$3006,A363))</f>
        <v/>
      </c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4" t="inlineStr">
        <is>
          <t>Студент3.19</t>
        </is>
      </c>
      <c r="B364" s="4" t="inlineStr"/>
      <c r="C364" s="4">
        <f>IF(A364="","",COUNTIF(F364:AI364,"+")+COUNTIF(F364:AI364,"1"))</f>
        <v/>
      </c>
      <c r="D364" s="4">
        <f>IF(A364="","",IF(C364&gt;2*COUNTA(F$345:AI$345)/3,'Общий'!$M$11,IF(C364&gt;=COUNTA(F$345:AI$345)/2,'Общий'!$M$12,'Общий'!$M$13)))</f>
        <v/>
      </c>
      <c r="E364" s="4">
        <f>IF(A364="","",SUMIFS('Логи'!$H$7:$H$3006,'Логи'!$A$7:$A$3006,6,'Логи'!$B$7:$B$3006,3,'Логи'!$C$7:$C$3006,A364))</f>
        <v/>
      </c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  <c r="AI364" s="5" t="n"/>
    </row>
    <row r="365">
      <c r="A365" s="4" t="inlineStr">
        <is>
          <t>Студент3.20</t>
        </is>
      </c>
      <c r="B365" s="4" t="inlineStr"/>
      <c r="C365" s="4">
        <f>IF(A365="","",COUNTIF(F365:AI365,"+")+COUNTIF(F365:AI365,"1"))</f>
        <v/>
      </c>
      <c r="D365" s="4">
        <f>IF(A365="","",IF(C365&gt;2*COUNTA(F$345:AI$345)/3,'Общий'!$M$11,IF(C365&gt;=COUNTA(F$345:AI$345)/2,'Общий'!$M$12,'Общий'!$M$13)))</f>
        <v/>
      </c>
      <c r="E365" s="4">
        <f>IF(A365="","",SUMIFS('Логи'!$H$7:$H$3006,'Логи'!$A$7:$A$3006,6,'Логи'!$B$7:$B$3006,3,'Логи'!$C$7:$C$3006,A365))</f>
        <v/>
      </c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4" t="inlineStr">
        <is>
          <t>Студент3.21</t>
        </is>
      </c>
      <c r="B366" s="4" t="inlineStr"/>
      <c r="C366" s="4">
        <f>IF(A366="","",COUNTIF(F366:AI366,"+")+COUNTIF(F366:AI366,"1"))</f>
        <v/>
      </c>
      <c r="D366" s="4">
        <f>IF(A366="","",IF(C366&gt;2*COUNTA(F$345:AI$345)/3,'Общий'!$M$11,IF(C366&gt;=COUNTA(F$345:AI$345)/2,'Общий'!$M$12,'Общий'!$M$13)))</f>
        <v/>
      </c>
      <c r="E366" s="4">
        <f>IF(A366="","",SUMIFS('Логи'!$H$7:$H$3006,'Логи'!$A$7:$A$3006,6,'Логи'!$B$7:$B$3006,3,'Логи'!$C$7:$C$3006,A366))</f>
        <v/>
      </c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  <c r="AI366" s="5" t="n"/>
    </row>
    <row r="367">
      <c r="A367" s="4" t="inlineStr">
        <is>
          <t>Студент3.22</t>
        </is>
      </c>
      <c r="B367" s="4" t="inlineStr"/>
      <c r="C367" s="4">
        <f>IF(A367="","",COUNTIF(F367:AI367,"+")+COUNTIF(F367:AI367,"1"))</f>
        <v/>
      </c>
      <c r="D367" s="4">
        <f>IF(A367="","",IF(C367&gt;2*COUNTA(F$345:AI$345)/3,'Общий'!$M$11,IF(C367&gt;=COUNTA(F$345:AI$345)/2,'Общий'!$M$12,'Общий'!$M$13)))</f>
        <v/>
      </c>
      <c r="E367" s="4">
        <f>IF(A367="","",SUMIFS('Логи'!$H$7:$H$3006,'Логи'!$A$7:$A$3006,6,'Логи'!$B$7:$B$3006,3,'Логи'!$C$7:$C$3006,A367))</f>
        <v/>
      </c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4" t="inlineStr">
        <is>
          <t>Студент3.23</t>
        </is>
      </c>
      <c r="B368" s="4" t="inlineStr"/>
      <c r="C368" s="4">
        <f>IF(A368="","",COUNTIF(F368:AI368,"+")+COUNTIF(F368:AI368,"1"))</f>
        <v/>
      </c>
      <c r="D368" s="4">
        <f>IF(A368="","",IF(C368&gt;2*COUNTA(F$345:AI$345)/3,'Общий'!$M$11,IF(C368&gt;=COUNTA(F$345:AI$345)/2,'Общий'!$M$12,'Общий'!$M$13)))</f>
        <v/>
      </c>
      <c r="E368" s="4">
        <f>IF(A368="","",SUMIFS('Логи'!$H$7:$H$3006,'Логи'!$A$7:$A$3006,6,'Логи'!$B$7:$B$3006,3,'Логи'!$C$7:$C$3006,A368))</f>
        <v/>
      </c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  <c r="AI368" s="5" t="n"/>
    </row>
    <row r="369">
      <c r="A369" s="4" t="inlineStr">
        <is>
          <t>Студент3.24</t>
        </is>
      </c>
      <c r="B369" s="4" t="inlineStr"/>
      <c r="C369" s="4">
        <f>IF(A369="","",COUNTIF(F369:AI369,"+")+COUNTIF(F369:AI369,"1"))</f>
        <v/>
      </c>
      <c r="D369" s="4">
        <f>IF(A369="","",IF(C369&gt;2*COUNTA(F$345:AI$345)/3,'Общий'!$M$11,IF(C369&gt;=COUNTA(F$345:AI$345)/2,'Общий'!$M$12,'Общий'!$M$13)))</f>
        <v/>
      </c>
      <c r="E369" s="4">
        <f>IF(A369="","",SUMIFS('Логи'!$H$7:$H$3006,'Логи'!$A$7:$A$3006,6,'Логи'!$B$7:$B$3006,3,'Логи'!$C$7:$C$3006,A369))</f>
        <v/>
      </c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4" t="inlineStr">
        <is>
          <t>Студент3.25</t>
        </is>
      </c>
      <c r="B370" s="4" t="inlineStr"/>
      <c r="C370" s="4">
        <f>IF(A370="","",COUNTIF(F370:AI370,"+")+COUNTIF(F370:AI370,"1"))</f>
        <v/>
      </c>
      <c r="D370" s="4">
        <f>IF(A370="","",IF(C370&gt;2*COUNTA(F$345:AI$345)/3,'Общий'!$M$11,IF(C370&gt;=COUNTA(F$345:AI$345)/2,'Общий'!$M$12,'Общий'!$M$13)))</f>
        <v/>
      </c>
      <c r="E370" s="4">
        <f>IF(A370="","",SUMIFS('Логи'!$H$7:$H$3006,'Логи'!$A$7:$A$3006,6,'Логи'!$B$7:$B$3006,3,'Логи'!$C$7:$C$3006,A370))</f>
        <v/>
      </c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  <c r="AI370" s="5" t="n"/>
    </row>
    <row r="371">
      <c r="A371" s="4" t="inlineStr">
        <is>
          <t>Студент3.26</t>
        </is>
      </c>
      <c r="B371" s="4" t="inlineStr"/>
      <c r="C371" s="4">
        <f>IF(A371="","",COUNTIF(F371:AI371,"+")+COUNTIF(F371:AI371,"1"))</f>
        <v/>
      </c>
      <c r="D371" s="4">
        <f>IF(A371="","",IF(C371&gt;2*COUNTA(F$345:AI$345)/3,'Общий'!$M$11,IF(C371&gt;=COUNTA(F$345:AI$345)/2,'Общий'!$M$12,'Общий'!$M$13)))</f>
        <v/>
      </c>
      <c r="E371" s="4">
        <f>IF(A371="","",SUMIFS('Логи'!$H$7:$H$3006,'Логи'!$A$7:$A$3006,6,'Логи'!$B$7:$B$3006,3,'Логи'!$C$7:$C$3006,A371))</f>
        <v/>
      </c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4" t="inlineStr">
        <is>
          <t>Студент3.27</t>
        </is>
      </c>
      <c r="B372" s="4" t="inlineStr"/>
      <c r="C372" s="4">
        <f>IF(A372="","",COUNTIF(F372:AI372,"+")+COUNTIF(F372:AI372,"1"))</f>
        <v/>
      </c>
      <c r="D372" s="4">
        <f>IF(A372="","",IF(C372&gt;2*COUNTA(F$345:AI$345)/3,'Общий'!$M$11,IF(C372&gt;=COUNTA(F$345:AI$345)/2,'Общий'!$M$12,'Общий'!$M$13)))</f>
        <v/>
      </c>
      <c r="E372" s="4">
        <f>IF(A372="","",SUMIFS('Логи'!$H$7:$H$3006,'Логи'!$A$7:$A$3006,6,'Логи'!$B$7:$B$3006,3,'Логи'!$C$7:$C$3006,A372))</f>
        <v/>
      </c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  <c r="AI372" s="5" t="n"/>
    </row>
    <row r="373">
      <c r="A373" s="4" t="inlineStr">
        <is>
          <t>Студент3.28</t>
        </is>
      </c>
      <c r="B373" s="4" t="inlineStr"/>
      <c r="C373" s="4">
        <f>IF(A373="","",COUNTIF(F373:AI373,"+")+COUNTIF(F373:AI373,"1"))</f>
        <v/>
      </c>
      <c r="D373" s="4">
        <f>IF(A373="","",IF(C373&gt;2*COUNTA(F$345:AI$345)/3,'Общий'!$M$11,IF(C373&gt;=COUNTA(F$345:AI$345)/2,'Общий'!$M$12,'Общий'!$M$13)))</f>
        <v/>
      </c>
      <c r="E373" s="4">
        <f>IF(A373="","",SUMIFS('Логи'!$H$7:$H$3006,'Логи'!$A$7:$A$3006,6,'Логи'!$B$7:$B$3006,3,'Логи'!$C$7:$C$3006,A373))</f>
        <v/>
      </c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4" t="inlineStr">
        <is>
          <t>Студент3.29</t>
        </is>
      </c>
      <c r="B374" s="4" t="inlineStr"/>
      <c r="C374" s="4">
        <f>IF(A374="","",COUNTIF(F374:AI374,"+")+COUNTIF(F374:AI374,"1"))</f>
        <v/>
      </c>
      <c r="D374" s="4">
        <f>IF(A374="","",IF(C374&gt;2*COUNTA(F$345:AI$345)/3,'Общий'!$M$11,IF(C374&gt;=COUNTA(F$345:AI$345)/2,'Общий'!$M$12,'Общий'!$M$13)))</f>
        <v/>
      </c>
      <c r="E374" s="4">
        <f>IF(A374="","",SUMIFS('Логи'!$H$7:$H$3006,'Логи'!$A$7:$A$3006,6,'Логи'!$B$7:$B$3006,3,'Логи'!$C$7:$C$3006,A374))</f>
        <v/>
      </c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  <c r="AI374" s="5" t="n"/>
    </row>
    <row r="375">
      <c r="A375" s="4" t="inlineStr">
        <is>
          <t>Студент3.30</t>
        </is>
      </c>
      <c r="B375" s="4" t="inlineStr"/>
      <c r="C375" s="4">
        <f>IF(A375="","",COUNTIF(F375:AI375,"+")+COUNTIF(F375:AI375,"1"))</f>
        <v/>
      </c>
      <c r="D375" s="4">
        <f>IF(A375="","",IF(C375&gt;2*COUNTA(F$345:AI$345)/3,'Общий'!$M$11,IF(C375&gt;=COUNTA(F$345:AI$345)/2,'Общий'!$M$12,'Общий'!$M$13)))</f>
        <v/>
      </c>
      <c r="E375" s="4">
        <f>IF(A375="","",SUMIFS('Логи'!$H$7:$H$3006,'Логи'!$A$7:$A$3006,6,'Логи'!$B$7:$B$3006,3,'Логи'!$C$7:$C$3006,A375))</f>
        <v/>
      </c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7">
      <c r="A377" s="19" t="inlineStr">
        <is>
          <t>Практика 6 — результаты рассказа</t>
        </is>
      </c>
    </row>
    <row r="378" ht="28" customHeight="1">
      <c r="A378" s="9" t="inlineStr">
        <is>
          <t>Имя</t>
        </is>
      </c>
      <c r="B378" s="11" t="inlineStr">
        <is>
          <t>TG</t>
        </is>
      </c>
      <c r="C378" s="12" t="inlineStr"/>
      <c r="D378" s="3" t="inlineStr"/>
      <c r="E378" s="3" t="inlineStr"/>
      <c r="F378" s="13" t="inlineStr">
        <is>
          <t>1.0</t>
        </is>
      </c>
      <c r="G378" s="13" t="inlineStr">
        <is>
          <t>2.0</t>
        </is>
      </c>
      <c r="H378" s="13" t="inlineStr">
        <is>
          <t>3.0</t>
        </is>
      </c>
      <c r="I378" s="13" t="inlineStr">
        <is>
          <t>4.0</t>
        </is>
      </c>
      <c r="J378" s="13" t="inlineStr">
        <is>
          <t>5.0</t>
        </is>
      </c>
      <c r="K378" s="13" t="inlineStr">
        <is>
          <t>6</t>
        </is>
      </c>
      <c r="L378" s="13" t="inlineStr">
        <is>
          <t>7</t>
        </is>
      </c>
      <c r="M378" s="13" t="inlineStr">
        <is>
          <t>8</t>
        </is>
      </c>
      <c r="N378" s="13" t="inlineStr">
        <is>
          <t>9</t>
        </is>
      </c>
      <c r="O378" s="13" t="inlineStr">
        <is>
          <t>10</t>
        </is>
      </c>
      <c r="P378" s="13" t="inlineStr">
        <is>
          <t>11</t>
        </is>
      </c>
      <c r="Q378" s="13" t="inlineStr">
        <is>
          <t>12</t>
        </is>
      </c>
      <c r="R378" s="13" t="inlineStr">
        <is>
          <t>13</t>
        </is>
      </c>
      <c r="S378" s="13" t="inlineStr">
        <is>
          <t>14</t>
        </is>
      </c>
      <c r="T378" s="13" t="inlineStr">
        <is>
          <t>15</t>
        </is>
      </c>
      <c r="U378" s="13" t="inlineStr">
        <is>
          <t>16</t>
        </is>
      </c>
      <c r="V378" s="13" t="inlineStr">
        <is>
          <t>17</t>
        </is>
      </c>
      <c r="W378" s="13" t="inlineStr">
        <is>
          <t>18</t>
        </is>
      </c>
      <c r="X378" s="13" t="inlineStr">
        <is>
          <t>19</t>
        </is>
      </c>
      <c r="Y378" s="13" t="inlineStr">
        <is>
          <t>20</t>
        </is>
      </c>
      <c r="Z378" s="13" t="inlineStr">
        <is>
          <t>21</t>
        </is>
      </c>
      <c r="AA378" s="13" t="inlineStr">
        <is>
          <t>22</t>
        </is>
      </c>
      <c r="AB378" s="13" t="inlineStr">
        <is>
          <t>23</t>
        </is>
      </c>
      <c r="AC378" s="13" t="inlineStr">
        <is>
          <t>24</t>
        </is>
      </c>
      <c r="AD378" s="13" t="inlineStr">
        <is>
          <t>25</t>
        </is>
      </c>
      <c r="AE378" s="13" t="inlineStr">
        <is>
          <t>26</t>
        </is>
      </c>
      <c r="AF378" s="13" t="inlineStr">
        <is>
          <t>27</t>
        </is>
      </c>
      <c r="AG378" s="13" t="inlineStr">
        <is>
          <t>28</t>
        </is>
      </c>
      <c r="AH378" s="13" t="inlineStr">
        <is>
          <t>29</t>
        </is>
      </c>
      <c r="AI378" s="13" t="inlineStr">
        <is>
          <t>30</t>
        </is>
      </c>
    </row>
    <row r="379">
      <c r="A379" s="4" t="inlineStr">
        <is>
          <t>Студент3.1</t>
        </is>
      </c>
      <c r="B379" s="4" t="inlineStr"/>
      <c r="C379" s="4" t="n"/>
      <c r="D379" s="4" t="n"/>
      <c r="E379" s="4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4" t="inlineStr">
        <is>
          <t>Студент3.2</t>
        </is>
      </c>
      <c r="B380" s="4" t="inlineStr"/>
      <c r="C380" s="4" t="n"/>
      <c r="D380" s="4" t="n"/>
      <c r="E380" s="4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</row>
    <row r="381">
      <c r="A381" s="4" t="inlineStr">
        <is>
          <t>Студент3.3</t>
        </is>
      </c>
      <c r="B381" s="4" t="inlineStr"/>
      <c r="C381" s="4" t="n"/>
      <c r="D381" s="4" t="n"/>
      <c r="E381" s="4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4" t="inlineStr">
        <is>
          <t>Студент3.4</t>
        </is>
      </c>
      <c r="B382" s="4" t="inlineStr"/>
      <c r="C382" s="4" t="n"/>
      <c r="D382" s="4" t="n"/>
      <c r="E382" s="4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</row>
    <row r="383">
      <c r="A383" s="4" t="inlineStr">
        <is>
          <t>Студент3.5</t>
        </is>
      </c>
      <c r="B383" s="4" t="inlineStr"/>
      <c r="C383" s="4" t="n"/>
      <c r="D383" s="4" t="n"/>
      <c r="E383" s="4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4" t="inlineStr">
        <is>
          <t>Студент3.6</t>
        </is>
      </c>
      <c r="B384" s="4" t="inlineStr"/>
      <c r="C384" s="4" t="n"/>
      <c r="D384" s="4" t="n"/>
      <c r="E384" s="4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</row>
    <row r="385">
      <c r="A385" s="4" t="inlineStr">
        <is>
          <t>Студент3.7</t>
        </is>
      </c>
      <c r="B385" s="4" t="inlineStr"/>
      <c r="C385" s="4" t="n"/>
      <c r="D385" s="4" t="n"/>
      <c r="E385" s="4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4" t="inlineStr">
        <is>
          <t>Студент3.8</t>
        </is>
      </c>
      <c r="B386" s="4" t="inlineStr"/>
      <c r="C386" s="4" t="n"/>
      <c r="D386" s="4" t="n"/>
      <c r="E386" s="4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</row>
    <row r="387">
      <c r="A387" s="4" t="inlineStr">
        <is>
          <t>Студент3.9</t>
        </is>
      </c>
      <c r="B387" s="4" t="inlineStr"/>
      <c r="C387" s="4" t="n"/>
      <c r="D387" s="4" t="n"/>
      <c r="E387" s="4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4" t="inlineStr">
        <is>
          <t>Студент3.10</t>
        </is>
      </c>
      <c r="B388" s="4" t="inlineStr"/>
      <c r="C388" s="4" t="n"/>
      <c r="D388" s="4" t="n"/>
      <c r="E388" s="4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</row>
    <row r="389">
      <c r="A389" s="4" t="inlineStr">
        <is>
          <t>Студент3.11</t>
        </is>
      </c>
      <c r="B389" s="4" t="inlineStr"/>
      <c r="C389" s="4" t="n"/>
      <c r="D389" s="4" t="n"/>
      <c r="E389" s="4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4" t="inlineStr">
        <is>
          <t>Студент3.12</t>
        </is>
      </c>
      <c r="B390" s="4" t="inlineStr"/>
      <c r="C390" s="4" t="n"/>
      <c r="D390" s="4" t="n"/>
      <c r="E390" s="4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</row>
    <row r="391">
      <c r="A391" s="4" t="inlineStr">
        <is>
          <t>Студент3.13</t>
        </is>
      </c>
      <c r="B391" s="4" t="inlineStr"/>
      <c r="C391" s="4" t="n"/>
      <c r="D391" s="4" t="n"/>
      <c r="E391" s="4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4" t="inlineStr">
        <is>
          <t>Студент3.14</t>
        </is>
      </c>
      <c r="B392" s="4" t="inlineStr"/>
      <c r="C392" s="4" t="n"/>
      <c r="D392" s="4" t="n"/>
      <c r="E392" s="4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  <c r="AI392" s="5" t="n"/>
    </row>
    <row r="393">
      <c r="A393" s="4" t="inlineStr">
        <is>
          <t>Студент3.15</t>
        </is>
      </c>
      <c r="B393" s="4" t="inlineStr"/>
      <c r="C393" s="4" t="n"/>
      <c r="D393" s="4" t="n"/>
      <c r="E393" s="4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4" t="inlineStr">
        <is>
          <t>Студент3.16</t>
        </is>
      </c>
      <c r="B394" s="4" t="inlineStr"/>
      <c r="C394" s="4" t="n"/>
      <c r="D394" s="4" t="n"/>
      <c r="E394" s="4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  <c r="AI394" s="5" t="n"/>
    </row>
    <row r="395">
      <c r="A395" s="4" t="inlineStr">
        <is>
          <t>Студент3.17</t>
        </is>
      </c>
      <c r="B395" s="4" t="inlineStr"/>
      <c r="C395" s="4" t="n"/>
      <c r="D395" s="4" t="n"/>
      <c r="E395" s="4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4" t="inlineStr">
        <is>
          <t>Студент3.18</t>
        </is>
      </c>
      <c r="B396" s="4" t="inlineStr"/>
      <c r="C396" s="4" t="n"/>
      <c r="D396" s="4" t="n"/>
      <c r="E396" s="4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  <c r="AI396" s="5" t="n"/>
    </row>
    <row r="397">
      <c r="A397" s="4" t="inlineStr">
        <is>
          <t>Студент3.19</t>
        </is>
      </c>
      <c r="B397" s="4" t="inlineStr"/>
      <c r="C397" s="4" t="n"/>
      <c r="D397" s="4" t="n"/>
      <c r="E397" s="4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4" t="inlineStr">
        <is>
          <t>Студент3.20</t>
        </is>
      </c>
      <c r="B398" s="4" t="inlineStr"/>
      <c r="C398" s="4" t="n"/>
      <c r="D398" s="4" t="n"/>
      <c r="E398" s="4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  <c r="AI398" s="5" t="n"/>
    </row>
    <row r="399">
      <c r="A399" s="4" t="inlineStr">
        <is>
          <t>Студент3.21</t>
        </is>
      </c>
      <c r="B399" s="4" t="inlineStr"/>
      <c r="C399" s="4" t="n"/>
      <c r="D399" s="4" t="n"/>
      <c r="E399" s="4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4" t="inlineStr">
        <is>
          <t>Студент3.22</t>
        </is>
      </c>
      <c r="B400" s="4" t="inlineStr"/>
      <c r="C400" s="4" t="n"/>
      <c r="D400" s="4" t="n"/>
      <c r="E400" s="4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  <c r="AI400" s="5" t="n"/>
    </row>
    <row r="401">
      <c r="A401" s="4" t="inlineStr">
        <is>
          <t>Студент3.23</t>
        </is>
      </c>
      <c r="B401" s="4" t="inlineStr"/>
      <c r="C401" s="4" t="n"/>
      <c r="D401" s="4" t="n"/>
      <c r="E401" s="4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4" t="inlineStr">
        <is>
          <t>Студент3.24</t>
        </is>
      </c>
      <c r="B402" s="4" t="inlineStr"/>
      <c r="C402" s="4" t="n"/>
      <c r="D402" s="4" t="n"/>
      <c r="E402" s="4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  <c r="AI402" s="5" t="n"/>
    </row>
    <row r="403">
      <c r="A403" s="4" t="inlineStr">
        <is>
          <t>Студент3.25</t>
        </is>
      </c>
      <c r="B403" s="4" t="inlineStr"/>
      <c r="C403" s="4" t="n"/>
      <c r="D403" s="4" t="n"/>
      <c r="E403" s="4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4" t="inlineStr">
        <is>
          <t>Студент3.26</t>
        </is>
      </c>
      <c r="B404" s="4" t="inlineStr"/>
      <c r="C404" s="4" t="n"/>
      <c r="D404" s="4" t="n"/>
      <c r="E404" s="4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  <c r="AI404" s="5" t="n"/>
    </row>
    <row r="405">
      <c r="A405" s="4" t="inlineStr">
        <is>
          <t>Студент3.27</t>
        </is>
      </c>
      <c r="B405" s="4" t="inlineStr"/>
      <c r="C405" s="4" t="n"/>
      <c r="D405" s="4" t="n"/>
      <c r="E405" s="4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4" t="inlineStr">
        <is>
          <t>Студент3.28</t>
        </is>
      </c>
      <c r="B406" s="4" t="inlineStr"/>
      <c r="C406" s="4" t="n"/>
      <c r="D406" s="4" t="n"/>
      <c r="E406" s="4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  <c r="AI406" s="5" t="n"/>
    </row>
    <row r="407">
      <c r="A407" s="4" t="inlineStr">
        <is>
          <t>Студент3.29</t>
        </is>
      </c>
      <c r="B407" s="4" t="inlineStr"/>
      <c r="C407" s="4" t="n"/>
      <c r="D407" s="4" t="n"/>
      <c r="E407" s="4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4" t="inlineStr">
        <is>
          <t>Студент3.30</t>
        </is>
      </c>
      <c r="B408" s="4" t="inlineStr"/>
      <c r="C408" s="4" t="n"/>
      <c r="D408" s="4" t="n"/>
      <c r="E408" s="4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  <c r="AI408" s="5" t="n"/>
    </row>
    <row r="412">
      <c r="A412" s="17" t="inlineStr">
        <is>
          <t>Практика 7 — плюсы</t>
        </is>
      </c>
    </row>
    <row r="413" ht="28" customHeight="1">
      <c r="A413" s="9" t="inlineStr">
        <is>
          <t>Имя</t>
        </is>
      </c>
      <c r="B413" s="11" t="inlineStr">
        <is>
          <t>TG</t>
        </is>
      </c>
      <c r="C413" s="12" t="inlineStr">
        <is>
          <t>S</t>
        </is>
      </c>
      <c r="D413" s="10" t="inlineStr">
        <is>
          <t>Коэффициент</t>
        </is>
      </c>
      <c r="E413" s="18" t="inlineStr">
        <is>
          <t>D за практику</t>
        </is>
      </c>
      <c r="F413" s="13" t="inlineStr">
        <is>
          <t>1.0</t>
        </is>
      </c>
      <c r="G413" s="13" t="inlineStr">
        <is>
          <t>2.0</t>
        </is>
      </c>
      <c r="H413" s="13" t="inlineStr">
        <is>
          <t>3.0</t>
        </is>
      </c>
      <c r="I413" s="13" t="inlineStr">
        <is>
          <t>4.0</t>
        </is>
      </c>
      <c r="J413" s="13" t="inlineStr">
        <is>
          <t>5.0</t>
        </is>
      </c>
      <c r="K413" s="13" t="inlineStr">
        <is>
          <t>6</t>
        </is>
      </c>
      <c r="L413" s="13" t="inlineStr">
        <is>
          <t>7</t>
        </is>
      </c>
      <c r="M413" s="13" t="inlineStr">
        <is>
          <t>8</t>
        </is>
      </c>
      <c r="N413" s="13" t="inlineStr">
        <is>
          <t>9</t>
        </is>
      </c>
      <c r="O413" s="13" t="inlineStr">
        <is>
          <t>10</t>
        </is>
      </c>
      <c r="P413" s="13" t="inlineStr">
        <is>
          <t>11</t>
        </is>
      </c>
      <c r="Q413" s="13" t="inlineStr">
        <is>
          <t>12</t>
        </is>
      </c>
      <c r="R413" s="13" t="inlineStr">
        <is>
          <t>13</t>
        </is>
      </c>
      <c r="S413" s="13" t="inlineStr">
        <is>
          <t>14</t>
        </is>
      </c>
      <c r="T413" s="13" t="inlineStr">
        <is>
          <t>15</t>
        </is>
      </c>
      <c r="U413" s="13" t="inlineStr">
        <is>
          <t>16</t>
        </is>
      </c>
      <c r="V413" s="13" t="inlineStr">
        <is>
          <t>17</t>
        </is>
      </c>
      <c r="W413" s="13" t="inlineStr">
        <is>
          <t>18</t>
        </is>
      </c>
      <c r="X413" s="13" t="inlineStr">
        <is>
          <t>19</t>
        </is>
      </c>
      <c r="Y413" s="13" t="inlineStr">
        <is>
          <t>20</t>
        </is>
      </c>
      <c r="Z413" s="13" t="inlineStr">
        <is>
          <t>21</t>
        </is>
      </c>
      <c r="AA413" s="13" t="inlineStr">
        <is>
          <t>22</t>
        </is>
      </c>
      <c r="AB413" s="13" t="inlineStr">
        <is>
          <t>23</t>
        </is>
      </c>
      <c r="AC413" s="13" t="inlineStr">
        <is>
          <t>24</t>
        </is>
      </c>
      <c r="AD413" s="13" t="inlineStr">
        <is>
          <t>25</t>
        </is>
      </c>
      <c r="AE413" s="13" t="inlineStr">
        <is>
          <t>26</t>
        </is>
      </c>
      <c r="AF413" s="13" t="inlineStr">
        <is>
          <t>27</t>
        </is>
      </c>
      <c r="AG413" s="13" t="inlineStr">
        <is>
          <t>28</t>
        </is>
      </c>
      <c r="AH413" s="13" t="inlineStr">
        <is>
          <t>29</t>
        </is>
      </c>
      <c r="AI413" s="13" t="inlineStr">
        <is>
          <t>30</t>
        </is>
      </c>
    </row>
    <row r="414">
      <c r="A414" s="4" t="inlineStr">
        <is>
          <t>Студент3.1</t>
        </is>
      </c>
      <c r="B414" s="4" t="inlineStr"/>
      <c r="C414" s="4">
        <f>IF(A414="","",COUNTIF(F414:AI414,"+")+COUNTIF(F414:AI414,"1"))</f>
        <v/>
      </c>
      <c r="D414" s="4">
        <f>IF(A414="","",IF(C414&gt;2*COUNTA(F$413:AI$413)/3,'Общий'!$M$11,IF(C414&gt;=COUNTA(F$413:AI$413)/2,'Общий'!$M$12,'Общий'!$M$13)))</f>
        <v/>
      </c>
      <c r="E414" s="4">
        <f>IF(A414="","",SUMIFS('Логи'!$H$7:$H$3006,'Логи'!$A$7:$A$3006,7,'Логи'!$B$7:$B$3006,3,'Логи'!$C$7:$C$3006,A414))</f>
        <v/>
      </c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</row>
    <row r="415">
      <c r="A415" s="4" t="inlineStr">
        <is>
          <t>Студент3.2</t>
        </is>
      </c>
      <c r="B415" s="4" t="inlineStr"/>
      <c r="C415" s="4">
        <f>IF(A415="","",COUNTIF(F415:AI415,"+")+COUNTIF(F415:AI415,"1"))</f>
        <v/>
      </c>
      <c r="D415" s="4">
        <f>IF(A415="","",IF(C415&gt;2*COUNTA(F$413:AI$413)/3,'Общий'!$M$11,IF(C415&gt;=COUNTA(F$413:AI$413)/2,'Общий'!$M$12,'Общий'!$M$13)))</f>
        <v/>
      </c>
      <c r="E415" s="4">
        <f>IF(A415="","",SUMIFS('Логи'!$H$7:$H$3006,'Логи'!$A$7:$A$3006,7,'Логи'!$B$7:$B$3006,3,'Логи'!$C$7:$C$3006,A415))</f>
        <v/>
      </c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4" t="inlineStr">
        <is>
          <t>Студент3.3</t>
        </is>
      </c>
      <c r="B416" s="4" t="inlineStr"/>
      <c r="C416" s="4">
        <f>IF(A416="","",COUNTIF(F416:AI416,"+")+COUNTIF(F416:AI416,"1"))</f>
        <v/>
      </c>
      <c r="D416" s="4">
        <f>IF(A416="","",IF(C416&gt;2*COUNTA(F$413:AI$413)/3,'Общий'!$M$11,IF(C416&gt;=COUNTA(F$413:AI$413)/2,'Общий'!$M$12,'Общий'!$M$13)))</f>
        <v/>
      </c>
      <c r="E416" s="4">
        <f>IF(A416="","",SUMIFS('Логи'!$H$7:$H$3006,'Логи'!$A$7:$A$3006,7,'Логи'!$B$7:$B$3006,3,'Логи'!$C$7:$C$3006,A416))</f>
        <v/>
      </c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</row>
    <row r="417">
      <c r="A417" s="4" t="inlineStr">
        <is>
          <t>Студент3.4</t>
        </is>
      </c>
      <c r="B417" s="4" t="inlineStr"/>
      <c r="C417" s="4">
        <f>IF(A417="","",COUNTIF(F417:AI417,"+")+COUNTIF(F417:AI417,"1"))</f>
        <v/>
      </c>
      <c r="D417" s="4">
        <f>IF(A417="","",IF(C417&gt;2*COUNTA(F$413:AI$413)/3,'Общий'!$M$11,IF(C417&gt;=COUNTA(F$413:AI$413)/2,'Общий'!$M$12,'Общий'!$M$13)))</f>
        <v/>
      </c>
      <c r="E417" s="4">
        <f>IF(A417="","",SUMIFS('Логи'!$H$7:$H$3006,'Логи'!$A$7:$A$3006,7,'Логи'!$B$7:$B$3006,3,'Логи'!$C$7:$C$3006,A417))</f>
        <v/>
      </c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4" t="inlineStr">
        <is>
          <t>Студент3.5</t>
        </is>
      </c>
      <c r="B418" s="4" t="inlineStr"/>
      <c r="C418" s="4">
        <f>IF(A418="","",COUNTIF(F418:AI418,"+")+COUNTIF(F418:AI418,"1"))</f>
        <v/>
      </c>
      <c r="D418" s="4">
        <f>IF(A418="","",IF(C418&gt;2*COUNTA(F$413:AI$413)/3,'Общий'!$M$11,IF(C418&gt;=COUNTA(F$413:AI$413)/2,'Общий'!$M$12,'Общий'!$M$13)))</f>
        <v/>
      </c>
      <c r="E418" s="4">
        <f>IF(A418="","",SUMIFS('Логи'!$H$7:$H$3006,'Логи'!$A$7:$A$3006,7,'Логи'!$B$7:$B$3006,3,'Логи'!$C$7:$C$3006,A418))</f>
        <v/>
      </c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</row>
    <row r="419">
      <c r="A419" s="4" t="inlineStr">
        <is>
          <t>Студент3.6</t>
        </is>
      </c>
      <c r="B419" s="4" t="inlineStr"/>
      <c r="C419" s="4">
        <f>IF(A419="","",COUNTIF(F419:AI419,"+")+COUNTIF(F419:AI419,"1"))</f>
        <v/>
      </c>
      <c r="D419" s="4">
        <f>IF(A419="","",IF(C419&gt;2*COUNTA(F$413:AI$413)/3,'Общий'!$M$11,IF(C419&gt;=COUNTA(F$413:AI$413)/2,'Общий'!$M$12,'Общий'!$M$13)))</f>
        <v/>
      </c>
      <c r="E419" s="4">
        <f>IF(A419="","",SUMIFS('Логи'!$H$7:$H$3006,'Логи'!$A$7:$A$3006,7,'Логи'!$B$7:$B$3006,3,'Логи'!$C$7:$C$3006,A419))</f>
        <v/>
      </c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4" t="inlineStr">
        <is>
          <t>Студент3.7</t>
        </is>
      </c>
      <c r="B420" s="4" t="inlineStr"/>
      <c r="C420" s="4">
        <f>IF(A420="","",COUNTIF(F420:AI420,"+")+COUNTIF(F420:AI420,"1"))</f>
        <v/>
      </c>
      <c r="D420" s="4">
        <f>IF(A420="","",IF(C420&gt;2*COUNTA(F$413:AI$413)/3,'Общий'!$M$11,IF(C420&gt;=COUNTA(F$413:AI$413)/2,'Общий'!$M$12,'Общий'!$M$13)))</f>
        <v/>
      </c>
      <c r="E420" s="4">
        <f>IF(A420="","",SUMIFS('Логи'!$H$7:$H$3006,'Логи'!$A$7:$A$3006,7,'Логи'!$B$7:$B$3006,3,'Логи'!$C$7:$C$3006,A420))</f>
        <v/>
      </c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</row>
    <row r="421">
      <c r="A421" s="4" t="inlineStr">
        <is>
          <t>Студент3.8</t>
        </is>
      </c>
      <c r="B421" s="4" t="inlineStr"/>
      <c r="C421" s="4">
        <f>IF(A421="","",COUNTIF(F421:AI421,"+")+COUNTIF(F421:AI421,"1"))</f>
        <v/>
      </c>
      <c r="D421" s="4">
        <f>IF(A421="","",IF(C421&gt;2*COUNTA(F$413:AI$413)/3,'Общий'!$M$11,IF(C421&gt;=COUNTA(F$413:AI$413)/2,'Общий'!$M$12,'Общий'!$M$13)))</f>
        <v/>
      </c>
      <c r="E421" s="4">
        <f>IF(A421="","",SUMIFS('Логи'!$H$7:$H$3006,'Логи'!$A$7:$A$3006,7,'Логи'!$B$7:$B$3006,3,'Логи'!$C$7:$C$3006,A421))</f>
        <v/>
      </c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4" t="inlineStr">
        <is>
          <t>Студент3.9</t>
        </is>
      </c>
      <c r="B422" s="4" t="inlineStr"/>
      <c r="C422" s="4">
        <f>IF(A422="","",COUNTIF(F422:AI422,"+")+COUNTIF(F422:AI422,"1"))</f>
        <v/>
      </c>
      <c r="D422" s="4">
        <f>IF(A422="","",IF(C422&gt;2*COUNTA(F$413:AI$413)/3,'Общий'!$M$11,IF(C422&gt;=COUNTA(F$413:AI$413)/2,'Общий'!$M$12,'Общий'!$M$13)))</f>
        <v/>
      </c>
      <c r="E422" s="4">
        <f>IF(A422="","",SUMIFS('Логи'!$H$7:$H$3006,'Логи'!$A$7:$A$3006,7,'Логи'!$B$7:$B$3006,3,'Логи'!$C$7:$C$3006,A422))</f>
        <v/>
      </c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</row>
    <row r="423">
      <c r="A423" s="4" t="inlineStr">
        <is>
          <t>Студент3.10</t>
        </is>
      </c>
      <c r="B423" s="4" t="inlineStr"/>
      <c r="C423" s="4">
        <f>IF(A423="","",COUNTIF(F423:AI423,"+")+COUNTIF(F423:AI423,"1"))</f>
        <v/>
      </c>
      <c r="D423" s="4">
        <f>IF(A423="","",IF(C423&gt;2*COUNTA(F$413:AI$413)/3,'Общий'!$M$11,IF(C423&gt;=COUNTA(F$413:AI$413)/2,'Общий'!$M$12,'Общий'!$M$13)))</f>
        <v/>
      </c>
      <c r="E423" s="4">
        <f>IF(A423="","",SUMIFS('Логи'!$H$7:$H$3006,'Логи'!$A$7:$A$3006,7,'Логи'!$B$7:$B$3006,3,'Логи'!$C$7:$C$3006,A423))</f>
        <v/>
      </c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4" t="inlineStr">
        <is>
          <t>Студент3.11</t>
        </is>
      </c>
      <c r="B424" s="4" t="inlineStr"/>
      <c r="C424" s="4">
        <f>IF(A424="","",COUNTIF(F424:AI424,"+")+COUNTIF(F424:AI424,"1"))</f>
        <v/>
      </c>
      <c r="D424" s="4">
        <f>IF(A424="","",IF(C424&gt;2*COUNTA(F$413:AI$413)/3,'Общий'!$M$11,IF(C424&gt;=COUNTA(F$413:AI$413)/2,'Общий'!$M$12,'Общий'!$M$13)))</f>
        <v/>
      </c>
      <c r="E424" s="4">
        <f>IF(A424="","",SUMIFS('Логи'!$H$7:$H$3006,'Логи'!$A$7:$A$3006,7,'Логи'!$B$7:$B$3006,3,'Логи'!$C$7:$C$3006,A424))</f>
        <v/>
      </c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</row>
    <row r="425">
      <c r="A425" s="4" t="inlineStr">
        <is>
          <t>Студент3.12</t>
        </is>
      </c>
      <c r="B425" s="4" t="inlineStr"/>
      <c r="C425" s="4">
        <f>IF(A425="","",COUNTIF(F425:AI425,"+")+COUNTIF(F425:AI425,"1"))</f>
        <v/>
      </c>
      <c r="D425" s="4">
        <f>IF(A425="","",IF(C425&gt;2*COUNTA(F$413:AI$413)/3,'Общий'!$M$11,IF(C425&gt;=COUNTA(F$413:AI$413)/2,'Общий'!$M$12,'Общий'!$M$13)))</f>
        <v/>
      </c>
      <c r="E425" s="4">
        <f>IF(A425="","",SUMIFS('Логи'!$H$7:$H$3006,'Логи'!$A$7:$A$3006,7,'Логи'!$B$7:$B$3006,3,'Логи'!$C$7:$C$3006,A425))</f>
        <v/>
      </c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4" t="inlineStr">
        <is>
          <t>Студент3.13</t>
        </is>
      </c>
      <c r="B426" s="4" t="inlineStr"/>
      <c r="C426" s="4">
        <f>IF(A426="","",COUNTIF(F426:AI426,"+")+COUNTIF(F426:AI426,"1"))</f>
        <v/>
      </c>
      <c r="D426" s="4">
        <f>IF(A426="","",IF(C426&gt;2*COUNTA(F$413:AI$413)/3,'Общий'!$M$11,IF(C426&gt;=COUNTA(F$413:AI$413)/2,'Общий'!$M$12,'Общий'!$M$13)))</f>
        <v/>
      </c>
      <c r="E426" s="4">
        <f>IF(A426="","",SUMIFS('Логи'!$H$7:$H$3006,'Логи'!$A$7:$A$3006,7,'Логи'!$B$7:$B$3006,3,'Логи'!$C$7:$C$3006,A426))</f>
        <v/>
      </c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</row>
    <row r="427">
      <c r="A427" s="4" t="inlineStr">
        <is>
          <t>Студент3.14</t>
        </is>
      </c>
      <c r="B427" s="4" t="inlineStr"/>
      <c r="C427" s="4">
        <f>IF(A427="","",COUNTIF(F427:AI427,"+")+COUNTIF(F427:AI427,"1"))</f>
        <v/>
      </c>
      <c r="D427" s="4">
        <f>IF(A427="","",IF(C427&gt;2*COUNTA(F$413:AI$413)/3,'Общий'!$M$11,IF(C427&gt;=COUNTA(F$413:AI$413)/2,'Общий'!$M$12,'Общий'!$M$13)))</f>
        <v/>
      </c>
      <c r="E427" s="4">
        <f>IF(A427="","",SUMIFS('Логи'!$H$7:$H$3006,'Логи'!$A$7:$A$3006,7,'Логи'!$B$7:$B$3006,3,'Логи'!$C$7:$C$3006,A427))</f>
        <v/>
      </c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4" t="inlineStr">
        <is>
          <t>Студент3.15</t>
        </is>
      </c>
      <c r="B428" s="4" t="inlineStr"/>
      <c r="C428" s="4">
        <f>IF(A428="","",COUNTIF(F428:AI428,"+")+COUNTIF(F428:AI428,"1"))</f>
        <v/>
      </c>
      <c r="D428" s="4">
        <f>IF(A428="","",IF(C428&gt;2*COUNTA(F$413:AI$413)/3,'Общий'!$M$11,IF(C428&gt;=COUNTA(F$413:AI$413)/2,'Общий'!$M$12,'Общий'!$M$13)))</f>
        <v/>
      </c>
      <c r="E428" s="4">
        <f>IF(A428="","",SUMIFS('Логи'!$H$7:$H$3006,'Логи'!$A$7:$A$3006,7,'Логи'!$B$7:$B$3006,3,'Логи'!$C$7:$C$3006,A428))</f>
        <v/>
      </c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</row>
    <row r="429">
      <c r="A429" s="4" t="inlineStr">
        <is>
          <t>Студент3.16</t>
        </is>
      </c>
      <c r="B429" s="4" t="inlineStr"/>
      <c r="C429" s="4">
        <f>IF(A429="","",COUNTIF(F429:AI429,"+")+COUNTIF(F429:AI429,"1"))</f>
        <v/>
      </c>
      <c r="D429" s="4">
        <f>IF(A429="","",IF(C429&gt;2*COUNTA(F$413:AI$413)/3,'Общий'!$M$11,IF(C429&gt;=COUNTA(F$413:AI$413)/2,'Общий'!$M$12,'Общий'!$M$13)))</f>
        <v/>
      </c>
      <c r="E429" s="4">
        <f>IF(A429="","",SUMIFS('Логи'!$H$7:$H$3006,'Логи'!$A$7:$A$3006,7,'Логи'!$B$7:$B$3006,3,'Логи'!$C$7:$C$3006,A429))</f>
        <v/>
      </c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4" t="inlineStr">
        <is>
          <t>Студент3.17</t>
        </is>
      </c>
      <c r="B430" s="4" t="inlineStr"/>
      <c r="C430" s="4">
        <f>IF(A430="","",COUNTIF(F430:AI430,"+")+COUNTIF(F430:AI430,"1"))</f>
        <v/>
      </c>
      <c r="D430" s="4">
        <f>IF(A430="","",IF(C430&gt;2*COUNTA(F$413:AI$413)/3,'Общий'!$M$11,IF(C430&gt;=COUNTA(F$413:AI$413)/2,'Общий'!$M$12,'Общий'!$M$13)))</f>
        <v/>
      </c>
      <c r="E430" s="4">
        <f>IF(A430="","",SUMIFS('Логи'!$H$7:$H$3006,'Логи'!$A$7:$A$3006,7,'Логи'!$B$7:$B$3006,3,'Логи'!$C$7:$C$3006,A430))</f>
        <v/>
      </c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</row>
    <row r="431">
      <c r="A431" s="4" t="inlineStr">
        <is>
          <t>Студент3.18</t>
        </is>
      </c>
      <c r="B431" s="4" t="inlineStr"/>
      <c r="C431" s="4">
        <f>IF(A431="","",COUNTIF(F431:AI431,"+")+COUNTIF(F431:AI431,"1"))</f>
        <v/>
      </c>
      <c r="D431" s="4">
        <f>IF(A431="","",IF(C431&gt;2*COUNTA(F$413:AI$413)/3,'Общий'!$M$11,IF(C431&gt;=COUNTA(F$413:AI$413)/2,'Общий'!$M$12,'Общий'!$M$13)))</f>
        <v/>
      </c>
      <c r="E431" s="4">
        <f>IF(A431="","",SUMIFS('Логи'!$H$7:$H$3006,'Логи'!$A$7:$A$3006,7,'Логи'!$B$7:$B$3006,3,'Логи'!$C$7:$C$3006,A431))</f>
        <v/>
      </c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4" t="inlineStr">
        <is>
          <t>Студент3.19</t>
        </is>
      </c>
      <c r="B432" s="4" t="inlineStr"/>
      <c r="C432" s="4">
        <f>IF(A432="","",COUNTIF(F432:AI432,"+")+COUNTIF(F432:AI432,"1"))</f>
        <v/>
      </c>
      <c r="D432" s="4">
        <f>IF(A432="","",IF(C432&gt;2*COUNTA(F$413:AI$413)/3,'Общий'!$M$11,IF(C432&gt;=COUNTA(F$413:AI$413)/2,'Общий'!$M$12,'Общий'!$M$13)))</f>
        <v/>
      </c>
      <c r="E432" s="4">
        <f>IF(A432="","",SUMIFS('Логи'!$H$7:$H$3006,'Логи'!$A$7:$A$3006,7,'Логи'!$B$7:$B$3006,3,'Логи'!$C$7:$C$3006,A432))</f>
        <v/>
      </c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</row>
    <row r="433">
      <c r="A433" s="4" t="inlineStr">
        <is>
          <t>Студент3.20</t>
        </is>
      </c>
      <c r="B433" s="4" t="inlineStr"/>
      <c r="C433" s="4">
        <f>IF(A433="","",COUNTIF(F433:AI433,"+")+COUNTIF(F433:AI433,"1"))</f>
        <v/>
      </c>
      <c r="D433" s="4">
        <f>IF(A433="","",IF(C433&gt;2*COUNTA(F$413:AI$413)/3,'Общий'!$M$11,IF(C433&gt;=COUNTA(F$413:AI$413)/2,'Общий'!$M$12,'Общий'!$M$13)))</f>
        <v/>
      </c>
      <c r="E433" s="4">
        <f>IF(A433="","",SUMIFS('Логи'!$H$7:$H$3006,'Логи'!$A$7:$A$3006,7,'Логи'!$B$7:$B$3006,3,'Логи'!$C$7:$C$3006,A433))</f>
        <v/>
      </c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4" t="inlineStr">
        <is>
          <t>Студент3.21</t>
        </is>
      </c>
      <c r="B434" s="4" t="inlineStr"/>
      <c r="C434" s="4">
        <f>IF(A434="","",COUNTIF(F434:AI434,"+")+COUNTIF(F434:AI434,"1"))</f>
        <v/>
      </c>
      <c r="D434" s="4">
        <f>IF(A434="","",IF(C434&gt;2*COUNTA(F$413:AI$413)/3,'Общий'!$M$11,IF(C434&gt;=COUNTA(F$413:AI$413)/2,'Общий'!$M$12,'Общий'!$M$13)))</f>
        <v/>
      </c>
      <c r="E434" s="4">
        <f>IF(A434="","",SUMIFS('Логи'!$H$7:$H$3006,'Логи'!$A$7:$A$3006,7,'Логи'!$B$7:$B$3006,3,'Логи'!$C$7:$C$3006,A434))</f>
        <v/>
      </c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</row>
    <row r="435">
      <c r="A435" s="4" t="inlineStr">
        <is>
          <t>Студент3.22</t>
        </is>
      </c>
      <c r="B435" s="4" t="inlineStr"/>
      <c r="C435" s="4">
        <f>IF(A435="","",COUNTIF(F435:AI435,"+")+COUNTIF(F435:AI435,"1"))</f>
        <v/>
      </c>
      <c r="D435" s="4">
        <f>IF(A435="","",IF(C435&gt;2*COUNTA(F$413:AI$413)/3,'Общий'!$M$11,IF(C435&gt;=COUNTA(F$413:AI$413)/2,'Общий'!$M$12,'Общий'!$M$13)))</f>
        <v/>
      </c>
      <c r="E435" s="4">
        <f>IF(A435="","",SUMIFS('Логи'!$H$7:$H$3006,'Логи'!$A$7:$A$3006,7,'Логи'!$B$7:$B$3006,3,'Логи'!$C$7:$C$3006,A435))</f>
        <v/>
      </c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4" t="inlineStr">
        <is>
          <t>Студент3.23</t>
        </is>
      </c>
      <c r="B436" s="4" t="inlineStr"/>
      <c r="C436" s="4">
        <f>IF(A436="","",COUNTIF(F436:AI436,"+")+COUNTIF(F436:AI436,"1"))</f>
        <v/>
      </c>
      <c r="D436" s="4">
        <f>IF(A436="","",IF(C436&gt;2*COUNTA(F$413:AI$413)/3,'Общий'!$M$11,IF(C436&gt;=COUNTA(F$413:AI$413)/2,'Общий'!$M$12,'Общий'!$M$13)))</f>
        <v/>
      </c>
      <c r="E436" s="4">
        <f>IF(A436="","",SUMIFS('Логи'!$H$7:$H$3006,'Логи'!$A$7:$A$3006,7,'Логи'!$B$7:$B$3006,3,'Логи'!$C$7:$C$3006,A436))</f>
        <v/>
      </c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</row>
    <row r="437">
      <c r="A437" s="4" t="inlineStr">
        <is>
          <t>Студент3.24</t>
        </is>
      </c>
      <c r="B437" s="4" t="inlineStr"/>
      <c r="C437" s="4">
        <f>IF(A437="","",COUNTIF(F437:AI437,"+")+COUNTIF(F437:AI437,"1"))</f>
        <v/>
      </c>
      <c r="D437" s="4">
        <f>IF(A437="","",IF(C437&gt;2*COUNTA(F$413:AI$413)/3,'Общий'!$M$11,IF(C437&gt;=COUNTA(F$413:AI$413)/2,'Общий'!$M$12,'Общий'!$M$13)))</f>
        <v/>
      </c>
      <c r="E437" s="4">
        <f>IF(A437="","",SUMIFS('Логи'!$H$7:$H$3006,'Логи'!$A$7:$A$3006,7,'Логи'!$B$7:$B$3006,3,'Логи'!$C$7:$C$3006,A437))</f>
        <v/>
      </c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4" t="inlineStr">
        <is>
          <t>Студент3.25</t>
        </is>
      </c>
      <c r="B438" s="4" t="inlineStr"/>
      <c r="C438" s="4">
        <f>IF(A438="","",COUNTIF(F438:AI438,"+")+COUNTIF(F438:AI438,"1"))</f>
        <v/>
      </c>
      <c r="D438" s="4">
        <f>IF(A438="","",IF(C438&gt;2*COUNTA(F$413:AI$413)/3,'Общий'!$M$11,IF(C438&gt;=COUNTA(F$413:AI$413)/2,'Общий'!$M$12,'Общий'!$M$13)))</f>
        <v/>
      </c>
      <c r="E438" s="4">
        <f>IF(A438="","",SUMIFS('Логи'!$H$7:$H$3006,'Логи'!$A$7:$A$3006,7,'Логи'!$B$7:$B$3006,3,'Логи'!$C$7:$C$3006,A438))</f>
        <v/>
      </c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</row>
    <row r="439">
      <c r="A439" s="4" t="inlineStr">
        <is>
          <t>Студент3.26</t>
        </is>
      </c>
      <c r="B439" s="4" t="inlineStr"/>
      <c r="C439" s="4">
        <f>IF(A439="","",COUNTIF(F439:AI439,"+")+COUNTIF(F439:AI439,"1"))</f>
        <v/>
      </c>
      <c r="D439" s="4">
        <f>IF(A439="","",IF(C439&gt;2*COUNTA(F$413:AI$413)/3,'Общий'!$M$11,IF(C439&gt;=COUNTA(F$413:AI$413)/2,'Общий'!$M$12,'Общий'!$M$13)))</f>
        <v/>
      </c>
      <c r="E439" s="4">
        <f>IF(A439="","",SUMIFS('Логи'!$H$7:$H$3006,'Логи'!$A$7:$A$3006,7,'Логи'!$B$7:$B$3006,3,'Логи'!$C$7:$C$3006,A439))</f>
        <v/>
      </c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4" t="inlineStr">
        <is>
          <t>Студент3.27</t>
        </is>
      </c>
      <c r="B440" s="4" t="inlineStr"/>
      <c r="C440" s="4">
        <f>IF(A440="","",COUNTIF(F440:AI440,"+")+COUNTIF(F440:AI440,"1"))</f>
        <v/>
      </c>
      <c r="D440" s="4">
        <f>IF(A440="","",IF(C440&gt;2*COUNTA(F$413:AI$413)/3,'Общий'!$M$11,IF(C440&gt;=COUNTA(F$413:AI$413)/2,'Общий'!$M$12,'Общий'!$M$13)))</f>
        <v/>
      </c>
      <c r="E440" s="4">
        <f>IF(A440="","",SUMIFS('Логи'!$H$7:$H$3006,'Логи'!$A$7:$A$3006,7,'Логи'!$B$7:$B$3006,3,'Логи'!$C$7:$C$3006,A440))</f>
        <v/>
      </c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</row>
    <row r="441">
      <c r="A441" s="4" t="inlineStr">
        <is>
          <t>Студент3.28</t>
        </is>
      </c>
      <c r="B441" s="4" t="inlineStr"/>
      <c r="C441" s="4">
        <f>IF(A441="","",COUNTIF(F441:AI441,"+")+COUNTIF(F441:AI441,"1"))</f>
        <v/>
      </c>
      <c r="D441" s="4">
        <f>IF(A441="","",IF(C441&gt;2*COUNTA(F$413:AI$413)/3,'Общий'!$M$11,IF(C441&gt;=COUNTA(F$413:AI$413)/2,'Общий'!$M$12,'Общий'!$M$13)))</f>
        <v/>
      </c>
      <c r="E441" s="4">
        <f>IF(A441="","",SUMIFS('Логи'!$H$7:$H$3006,'Логи'!$A$7:$A$3006,7,'Логи'!$B$7:$B$3006,3,'Логи'!$C$7:$C$3006,A441))</f>
        <v/>
      </c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4" t="inlineStr">
        <is>
          <t>Студент3.29</t>
        </is>
      </c>
      <c r="B442" s="4" t="inlineStr"/>
      <c r="C442" s="4">
        <f>IF(A442="","",COUNTIF(F442:AI442,"+")+COUNTIF(F442:AI442,"1"))</f>
        <v/>
      </c>
      <c r="D442" s="4">
        <f>IF(A442="","",IF(C442&gt;2*COUNTA(F$413:AI$413)/3,'Общий'!$M$11,IF(C442&gt;=COUNTA(F$413:AI$413)/2,'Общий'!$M$12,'Общий'!$M$13)))</f>
        <v/>
      </c>
      <c r="E442" s="4">
        <f>IF(A442="","",SUMIFS('Логи'!$H$7:$H$3006,'Логи'!$A$7:$A$3006,7,'Логи'!$B$7:$B$3006,3,'Логи'!$C$7:$C$3006,A442))</f>
        <v/>
      </c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</row>
    <row r="443">
      <c r="A443" s="4" t="inlineStr">
        <is>
          <t>Студент3.30</t>
        </is>
      </c>
      <c r="B443" s="4" t="inlineStr"/>
      <c r="C443" s="4">
        <f>IF(A443="","",COUNTIF(F443:AI443,"+")+COUNTIF(F443:AI443,"1"))</f>
        <v/>
      </c>
      <c r="D443" s="4">
        <f>IF(A443="","",IF(C443&gt;2*COUNTA(F$413:AI$413)/3,'Общий'!$M$11,IF(C443&gt;=COUNTA(F$413:AI$413)/2,'Общий'!$M$12,'Общий'!$M$13)))</f>
        <v/>
      </c>
      <c r="E443" s="4">
        <f>IF(A443="","",SUMIFS('Логи'!$H$7:$H$3006,'Логи'!$A$7:$A$3006,7,'Логи'!$B$7:$B$3006,3,'Логи'!$C$7:$C$3006,A443))</f>
        <v/>
      </c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5">
      <c r="A445" s="19" t="inlineStr">
        <is>
          <t>Практика 7 — результаты рассказа</t>
        </is>
      </c>
    </row>
    <row r="446" ht="28" customHeight="1">
      <c r="A446" s="9" t="inlineStr">
        <is>
          <t>Имя</t>
        </is>
      </c>
      <c r="B446" s="11" t="inlineStr">
        <is>
          <t>TG</t>
        </is>
      </c>
      <c r="C446" s="12" t="inlineStr"/>
      <c r="D446" s="3" t="inlineStr"/>
      <c r="E446" s="3" t="inlineStr"/>
      <c r="F446" s="13" t="inlineStr">
        <is>
          <t>1.0</t>
        </is>
      </c>
      <c r="G446" s="13" t="inlineStr">
        <is>
          <t>2.0</t>
        </is>
      </c>
      <c r="H446" s="13" t="inlineStr">
        <is>
          <t>3.0</t>
        </is>
      </c>
      <c r="I446" s="13" t="inlineStr">
        <is>
          <t>4.0</t>
        </is>
      </c>
      <c r="J446" s="13" t="inlineStr">
        <is>
          <t>5.0</t>
        </is>
      </c>
      <c r="K446" s="13" t="inlineStr">
        <is>
          <t>6</t>
        </is>
      </c>
      <c r="L446" s="13" t="inlineStr">
        <is>
          <t>7</t>
        </is>
      </c>
      <c r="M446" s="13" t="inlineStr">
        <is>
          <t>8</t>
        </is>
      </c>
      <c r="N446" s="13" t="inlineStr">
        <is>
          <t>9</t>
        </is>
      </c>
      <c r="O446" s="13" t="inlineStr">
        <is>
          <t>10</t>
        </is>
      </c>
      <c r="P446" s="13" t="inlineStr">
        <is>
          <t>11</t>
        </is>
      </c>
      <c r="Q446" s="13" t="inlineStr">
        <is>
          <t>12</t>
        </is>
      </c>
      <c r="R446" s="13" t="inlineStr">
        <is>
          <t>13</t>
        </is>
      </c>
      <c r="S446" s="13" t="inlineStr">
        <is>
          <t>14</t>
        </is>
      </c>
      <c r="T446" s="13" t="inlineStr">
        <is>
          <t>15</t>
        </is>
      </c>
      <c r="U446" s="13" t="inlineStr">
        <is>
          <t>16</t>
        </is>
      </c>
      <c r="V446" s="13" t="inlineStr">
        <is>
          <t>17</t>
        </is>
      </c>
      <c r="W446" s="13" t="inlineStr">
        <is>
          <t>18</t>
        </is>
      </c>
      <c r="X446" s="13" t="inlineStr">
        <is>
          <t>19</t>
        </is>
      </c>
      <c r="Y446" s="13" t="inlineStr">
        <is>
          <t>20</t>
        </is>
      </c>
      <c r="Z446" s="13" t="inlineStr">
        <is>
          <t>21</t>
        </is>
      </c>
      <c r="AA446" s="13" t="inlineStr">
        <is>
          <t>22</t>
        </is>
      </c>
      <c r="AB446" s="13" t="inlineStr">
        <is>
          <t>23</t>
        </is>
      </c>
      <c r="AC446" s="13" t="inlineStr">
        <is>
          <t>24</t>
        </is>
      </c>
      <c r="AD446" s="13" t="inlineStr">
        <is>
          <t>25</t>
        </is>
      </c>
      <c r="AE446" s="13" t="inlineStr">
        <is>
          <t>26</t>
        </is>
      </c>
      <c r="AF446" s="13" t="inlineStr">
        <is>
          <t>27</t>
        </is>
      </c>
      <c r="AG446" s="13" t="inlineStr">
        <is>
          <t>28</t>
        </is>
      </c>
      <c r="AH446" s="13" t="inlineStr">
        <is>
          <t>29</t>
        </is>
      </c>
      <c r="AI446" s="13" t="inlineStr">
        <is>
          <t>30</t>
        </is>
      </c>
    </row>
    <row r="447">
      <c r="A447" s="4" t="inlineStr">
        <is>
          <t>Студент3.1</t>
        </is>
      </c>
      <c r="B447" s="4" t="inlineStr"/>
      <c r="C447" s="4" t="n"/>
      <c r="D447" s="4" t="n"/>
      <c r="E447" s="4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4" t="inlineStr">
        <is>
          <t>Студент3.2</t>
        </is>
      </c>
      <c r="B448" s="4" t="inlineStr"/>
      <c r="C448" s="4" t="n"/>
      <c r="D448" s="4" t="n"/>
      <c r="E448" s="4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</row>
    <row r="449">
      <c r="A449" s="4" t="inlineStr">
        <is>
          <t>Студент3.3</t>
        </is>
      </c>
      <c r="B449" s="4" t="inlineStr"/>
      <c r="C449" s="4" t="n"/>
      <c r="D449" s="4" t="n"/>
      <c r="E449" s="4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4" t="inlineStr">
        <is>
          <t>Студент3.4</t>
        </is>
      </c>
      <c r="B450" s="4" t="inlineStr"/>
      <c r="C450" s="4" t="n"/>
      <c r="D450" s="4" t="n"/>
      <c r="E450" s="4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</row>
    <row r="451">
      <c r="A451" s="4" t="inlineStr">
        <is>
          <t>Студент3.5</t>
        </is>
      </c>
      <c r="B451" s="4" t="inlineStr"/>
      <c r="C451" s="4" t="n"/>
      <c r="D451" s="4" t="n"/>
      <c r="E451" s="4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4" t="inlineStr">
        <is>
          <t>Студент3.6</t>
        </is>
      </c>
      <c r="B452" s="4" t="inlineStr"/>
      <c r="C452" s="4" t="n"/>
      <c r="D452" s="4" t="n"/>
      <c r="E452" s="4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</row>
    <row r="453">
      <c r="A453" s="4" t="inlineStr">
        <is>
          <t>Студент3.7</t>
        </is>
      </c>
      <c r="B453" s="4" t="inlineStr"/>
      <c r="C453" s="4" t="n"/>
      <c r="D453" s="4" t="n"/>
      <c r="E453" s="4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4" t="inlineStr">
        <is>
          <t>Студент3.8</t>
        </is>
      </c>
      <c r="B454" s="4" t="inlineStr"/>
      <c r="C454" s="4" t="n"/>
      <c r="D454" s="4" t="n"/>
      <c r="E454" s="4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</row>
    <row r="455">
      <c r="A455" s="4" t="inlineStr">
        <is>
          <t>Студент3.9</t>
        </is>
      </c>
      <c r="B455" s="4" t="inlineStr"/>
      <c r="C455" s="4" t="n"/>
      <c r="D455" s="4" t="n"/>
      <c r="E455" s="4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4" t="inlineStr">
        <is>
          <t>Студент3.10</t>
        </is>
      </c>
      <c r="B456" s="4" t="inlineStr"/>
      <c r="C456" s="4" t="n"/>
      <c r="D456" s="4" t="n"/>
      <c r="E456" s="4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</row>
    <row r="457">
      <c r="A457" s="4" t="inlineStr">
        <is>
          <t>Студент3.11</t>
        </is>
      </c>
      <c r="B457" s="4" t="inlineStr"/>
      <c r="C457" s="4" t="n"/>
      <c r="D457" s="4" t="n"/>
      <c r="E457" s="4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4" t="inlineStr">
        <is>
          <t>Студент3.12</t>
        </is>
      </c>
      <c r="B458" s="4" t="inlineStr"/>
      <c r="C458" s="4" t="n"/>
      <c r="D458" s="4" t="n"/>
      <c r="E458" s="4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</row>
    <row r="459">
      <c r="A459" s="4" t="inlineStr">
        <is>
          <t>Студент3.13</t>
        </is>
      </c>
      <c r="B459" s="4" t="inlineStr"/>
      <c r="C459" s="4" t="n"/>
      <c r="D459" s="4" t="n"/>
      <c r="E459" s="4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4" t="inlineStr">
        <is>
          <t>Студент3.14</t>
        </is>
      </c>
      <c r="B460" s="4" t="inlineStr"/>
      <c r="C460" s="4" t="n"/>
      <c r="D460" s="4" t="n"/>
      <c r="E460" s="4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</row>
    <row r="461">
      <c r="A461" s="4" t="inlineStr">
        <is>
          <t>Студент3.15</t>
        </is>
      </c>
      <c r="B461" s="4" t="inlineStr"/>
      <c r="C461" s="4" t="n"/>
      <c r="D461" s="4" t="n"/>
      <c r="E461" s="4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4" t="inlineStr">
        <is>
          <t>Студент3.16</t>
        </is>
      </c>
      <c r="B462" s="4" t="inlineStr"/>
      <c r="C462" s="4" t="n"/>
      <c r="D462" s="4" t="n"/>
      <c r="E462" s="4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</row>
    <row r="463">
      <c r="A463" s="4" t="inlineStr">
        <is>
          <t>Студент3.17</t>
        </is>
      </c>
      <c r="B463" s="4" t="inlineStr"/>
      <c r="C463" s="4" t="n"/>
      <c r="D463" s="4" t="n"/>
      <c r="E463" s="4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4" t="inlineStr">
        <is>
          <t>Студент3.18</t>
        </is>
      </c>
      <c r="B464" s="4" t="inlineStr"/>
      <c r="C464" s="4" t="n"/>
      <c r="D464" s="4" t="n"/>
      <c r="E464" s="4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</row>
    <row r="465">
      <c r="A465" s="4" t="inlineStr">
        <is>
          <t>Студент3.19</t>
        </is>
      </c>
      <c r="B465" s="4" t="inlineStr"/>
      <c r="C465" s="4" t="n"/>
      <c r="D465" s="4" t="n"/>
      <c r="E465" s="4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4" t="inlineStr">
        <is>
          <t>Студент3.20</t>
        </is>
      </c>
      <c r="B466" s="4" t="inlineStr"/>
      <c r="C466" s="4" t="n"/>
      <c r="D466" s="4" t="n"/>
      <c r="E466" s="4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</row>
    <row r="467">
      <c r="A467" s="4" t="inlineStr">
        <is>
          <t>Студент3.21</t>
        </is>
      </c>
      <c r="B467" s="4" t="inlineStr"/>
      <c r="C467" s="4" t="n"/>
      <c r="D467" s="4" t="n"/>
      <c r="E467" s="4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4" t="inlineStr">
        <is>
          <t>Студент3.22</t>
        </is>
      </c>
      <c r="B468" s="4" t="inlineStr"/>
      <c r="C468" s="4" t="n"/>
      <c r="D468" s="4" t="n"/>
      <c r="E468" s="4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</row>
    <row r="469">
      <c r="A469" s="4" t="inlineStr">
        <is>
          <t>Студент3.23</t>
        </is>
      </c>
      <c r="B469" s="4" t="inlineStr"/>
      <c r="C469" s="4" t="n"/>
      <c r="D469" s="4" t="n"/>
      <c r="E469" s="4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4" t="inlineStr">
        <is>
          <t>Студент3.24</t>
        </is>
      </c>
      <c r="B470" s="4" t="inlineStr"/>
      <c r="C470" s="4" t="n"/>
      <c r="D470" s="4" t="n"/>
      <c r="E470" s="4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</row>
    <row r="471">
      <c r="A471" s="4" t="inlineStr">
        <is>
          <t>Студент3.25</t>
        </is>
      </c>
      <c r="B471" s="4" t="inlineStr"/>
      <c r="C471" s="4" t="n"/>
      <c r="D471" s="4" t="n"/>
      <c r="E471" s="4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4" t="inlineStr">
        <is>
          <t>Студент3.26</t>
        </is>
      </c>
      <c r="B472" s="4" t="inlineStr"/>
      <c r="C472" s="4" t="n"/>
      <c r="D472" s="4" t="n"/>
      <c r="E472" s="4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</row>
    <row r="473">
      <c r="A473" s="4" t="inlineStr">
        <is>
          <t>Студент3.27</t>
        </is>
      </c>
      <c r="B473" s="4" t="inlineStr"/>
      <c r="C473" s="4" t="n"/>
      <c r="D473" s="4" t="n"/>
      <c r="E473" s="4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4" t="inlineStr">
        <is>
          <t>Студент3.28</t>
        </is>
      </c>
      <c r="B474" s="4" t="inlineStr"/>
      <c r="C474" s="4" t="n"/>
      <c r="D474" s="4" t="n"/>
      <c r="E474" s="4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</row>
    <row r="475">
      <c r="A475" s="4" t="inlineStr">
        <is>
          <t>Студент3.29</t>
        </is>
      </c>
      <c r="B475" s="4" t="inlineStr"/>
      <c r="C475" s="4" t="n"/>
      <c r="D475" s="4" t="n"/>
      <c r="E475" s="4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4" t="inlineStr">
        <is>
          <t>Студент3.30</t>
        </is>
      </c>
      <c r="B476" s="4" t="inlineStr"/>
      <c r="C476" s="4" t="n"/>
      <c r="D476" s="4" t="n"/>
      <c r="E476" s="4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</row>
    <row r="480">
      <c r="A480" s="17" t="inlineStr">
        <is>
          <t>Практика 8 — плюсы</t>
        </is>
      </c>
    </row>
    <row r="481" ht="28" customHeight="1">
      <c r="A481" s="9" t="inlineStr">
        <is>
          <t>Имя</t>
        </is>
      </c>
      <c r="B481" s="11" t="inlineStr">
        <is>
          <t>TG</t>
        </is>
      </c>
      <c r="C481" s="12" t="inlineStr">
        <is>
          <t>S</t>
        </is>
      </c>
      <c r="D481" s="10" t="inlineStr">
        <is>
          <t>Коэффициент</t>
        </is>
      </c>
      <c r="E481" s="18" t="inlineStr">
        <is>
          <t>D за практику</t>
        </is>
      </c>
      <c r="F481" s="13" t="inlineStr">
        <is>
          <t>1.0</t>
        </is>
      </c>
      <c r="G481" s="13" t="inlineStr">
        <is>
          <t>2.0</t>
        </is>
      </c>
      <c r="H481" s="13" t="inlineStr">
        <is>
          <t>3.0</t>
        </is>
      </c>
      <c r="I481" s="13" t="inlineStr">
        <is>
          <t>4.0</t>
        </is>
      </c>
      <c r="J481" s="13" t="inlineStr">
        <is>
          <t>5.0</t>
        </is>
      </c>
      <c r="K481" s="13" t="inlineStr">
        <is>
          <t>6</t>
        </is>
      </c>
      <c r="L481" s="13" t="inlineStr">
        <is>
          <t>7</t>
        </is>
      </c>
      <c r="M481" s="13" t="inlineStr">
        <is>
          <t>8</t>
        </is>
      </c>
      <c r="N481" s="13" t="inlineStr">
        <is>
          <t>9</t>
        </is>
      </c>
      <c r="O481" s="13" t="inlineStr">
        <is>
          <t>10</t>
        </is>
      </c>
      <c r="P481" s="13" t="inlineStr">
        <is>
          <t>11</t>
        </is>
      </c>
      <c r="Q481" s="13" t="inlineStr">
        <is>
          <t>12</t>
        </is>
      </c>
      <c r="R481" s="13" t="inlineStr">
        <is>
          <t>13</t>
        </is>
      </c>
      <c r="S481" s="13" t="inlineStr">
        <is>
          <t>14</t>
        </is>
      </c>
      <c r="T481" s="13" t="inlineStr">
        <is>
          <t>15</t>
        </is>
      </c>
      <c r="U481" s="13" t="inlineStr">
        <is>
          <t>16</t>
        </is>
      </c>
      <c r="V481" s="13" t="inlineStr">
        <is>
          <t>17</t>
        </is>
      </c>
      <c r="W481" s="13" t="inlineStr">
        <is>
          <t>18</t>
        </is>
      </c>
      <c r="X481" s="13" t="inlineStr">
        <is>
          <t>19</t>
        </is>
      </c>
      <c r="Y481" s="13" t="inlineStr">
        <is>
          <t>20</t>
        </is>
      </c>
      <c r="Z481" s="13" t="inlineStr">
        <is>
          <t>21</t>
        </is>
      </c>
      <c r="AA481" s="13" t="inlineStr">
        <is>
          <t>22</t>
        </is>
      </c>
      <c r="AB481" s="13" t="inlineStr">
        <is>
          <t>23</t>
        </is>
      </c>
      <c r="AC481" s="13" t="inlineStr">
        <is>
          <t>24</t>
        </is>
      </c>
      <c r="AD481" s="13" t="inlineStr">
        <is>
          <t>25</t>
        </is>
      </c>
      <c r="AE481" s="13" t="inlineStr">
        <is>
          <t>26</t>
        </is>
      </c>
      <c r="AF481" s="13" t="inlineStr">
        <is>
          <t>27</t>
        </is>
      </c>
      <c r="AG481" s="13" t="inlineStr">
        <is>
          <t>28</t>
        </is>
      </c>
      <c r="AH481" s="13" t="inlineStr">
        <is>
          <t>29</t>
        </is>
      </c>
      <c r="AI481" s="13" t="inlineStr">
        <is>
          <t>30</t>
        </is>
      </c>
    </row>
    <row r="482">
      <c r="A482" s="4" t="inlineStr">
        <is>
          <t>Студент3.1</t>
        </is>
      </c>
      <c r="B482" s="4" t="inlineStr"/>
      <c r="C482" s="4">
        <f>IF(A482="","",COUNTIF(F482:AI482,"+")+COUNTIF(F482:AI482,"1"))</f>
        <v/>
      </c>
      <c r="D482" s="4">
        <f>IF(A482="","",IF(C482&gt;2*COUNTA(F$481:AI$481)/3,'Общий'!$M$11,IF(C482&gt;=COUNTA(F$481:AI$481)/2,'Общий'!$M$12,'Общий'!$M$13)))</f>
        <v/>
      </c>
      <c r="E482" s="4">
        <f>IF(A482="","",SUMIFS('Логи'!$H$7:$H$3006,'Логи'!$A$7:$A$3006,8,'Логи'!$B$7:$B$3006,3,'Логи'!$C$7:$C$3006,A482))</f>
        <v/>
      </c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</row>
    <row r="483">
      <c r="A483" s="4" t="inlineStr">
        <is>
          <t>Студент3.2</t>
        </is>
      </c>
      <c r="B483" s="4" t="inlineStr"/>
      <c r="C483" s="4">
        <f>IF(A483="","",COUNTIF(F483:AI483,"+")+COUNTIF(F483:AI483,"1"))</f>
        <v/>
      </c>
      <c r="D483" s="4">
        <f>IF(A483="","",IF(C483&gt;2*COUNTA(F$481:AI$481)/3,'Общий'!$M$11,IF(C483&gt;=COUNTA(F$481:AI$481)/2,'Общий'!$M$12,'Общий'!$M$13)))</f>
        <v/>
      </c>
      <c r="E483" s="4">
        <f>IF(A483="","",SUMIFS('Логи'!$H$7:$H$3006,'Логи'!$A$7:$A$3006,8,'Логи'!$B$7:$B$3006,3,'Логи'!$C$7:$C$3006,A483))</f>
        <v/>
      </c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4" t="inlineStr">
        <is>
          <t>Студент3.3</t>
        </is>
      </c>
      <c r="B484" s="4" t="inlineStr"/>
      <c r="C484" s="4">
        <f>IF(A484="","",COUNTIF(F484:AI484,"+")+COUNTIF(F484:AI484,"1"))</f>
        <v/>
      </c>
      <c r="D484" s="4">
        <f>IF(A484="","",IF(C484&gt;2*COUNTA(F$481:AI$481)/3,'Общий'!$M$11,IF(C484&gt;=COUNTA(F$481:AI$481)/2,'Общий'!$M$12,'Общий'!$M$13)))</f>
        <v/>
      </c>
      <c r="E484" s="4">
        <f>IF(A484="","",SUMIFS('Логи'!$H$7:$H$3006,'Логи'!$A$7:$A$3006,8,'Логи'!$B$7:$B$3006,3,'Логи'!$C$7:$C$3006,A484))</f>
        <v/>
      </c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</row>
    <row r="485">
      <c r="A485" s="4" t="inlineStr">
        <is>
          <t>Студент3.4</t>
        </is>
      </c>
      <c r="B485" s="4" t="inlineStr"/>
      <c r="C485" s="4">
        <f>IF(A485="","",COUNTIF(F485:AI485,"+")+COUNTIF(F485:AI485,"1"))</f>
        <v/>
      </c>
      <c r="D485" s="4">
        <f>IF(A485="","",IF(C485&gt;2*COUNTA(F$481:AI$481)/3,'Общий'!$M$11,IF(C485&gt;=COUNTA(F$481:AI$481)/2,'Общий'!$M$12,'Общий'!$M$13)))</f>
        <v/>
      </c>
      <c r="E485" s="4">
        <f>IF(A485="","",SUMIFS('Логи'!$H$7:$H$3006,'Логи'!$A$7:$A$3006,8,'Логи'!$B$7:$B$3006,3,'Логи'!$C$7:$C$3006,A485))</f>
        <v/>
      </c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4" t="inlineStr">
        <is>
          <t>Студент3.5</t>
        </is>
      </c>
      <c r="B486" s="4" t="inlineStr"/>
      <c r="C486" s="4">
        <f>IF(A486="","",COUNTIF(F486:AI486,"+")+COUNTIF(F486:AI486,"1"))</f>
        <v/>
      </c>
      <c r="D486" s="4">
        <f>IF(A486="","",IF(C486&gt;2*COUNTA(F$481:AI$481)/3,'Общий'!$M$11,IF(C486&gt;=COUNTA(F$481:AI$481)/2,'Общий'!$M$12,'Общий'!$M$13)))</f>
        <v/>
      </c>
      <c r="E486" s="4">
        <f>IF(A486="","",SUMIFS('Логи'!$H$7:$H$3006,'Логи'!$A$7:$A$3006,8,'Логи'!$B$7:$B$3006,3,'Логи'!$C$7:$C$3006,A486))</f>
        <v/>
      </c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</row>
    <row r="487">
      <c r="A487" s="4" t="inlineStr">
        <is>
          <t>Студент3.6</t>
        </is>
      </c>
      <c r="B487" s="4" t="inlineStr"/>
      <c r="C487" s="4">
        <f>IF(A487="","",COUNTIF(F487:AI487,"+")+COUNTIF(F487:AI487,"1"))</f>
        <v/>
      </c>
      <c r="D487" s="4">
        <f>IF(A487="","",IF(C487&gt;2*COUNTA(F$481:AI$481)/3,'Общий'!$M$11,IF(C487&gt;=COUNTA(F$481:AI$481)/2,'Общий'!$M$12,'Общий'!$M$13)))</f>
        <v/>
      </c>
      <c r="E487" s="4">
        <f>IF(A487="","",SUMIFS('Логи'!$H$7:$H$3006,'Логи'!$A$7:$A$3006,8,'Логи'!$B$7:$B$3006,3,'Логи'!$C$7:$C$3006,A487))</f>
        <v/>
      </c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4" t="inlineStr">
        <is>
          <t>Студент3.7</t>
        </is>
      </c>
      <c r="B488" s="4" t="inlineStr"/>
      <c r="C488" s="4">
        <f>IF(A488="","",COUNTIF(F488:AI488,"+")+COUNTIF(F488:AI488,"1"))</f>
        <v/>
      </c>
      <c r="D488" s="4">
        <f>IF(A488="","",IF(C488&gt;2*COUNTA(F$481:AI$481)/3,'Общий'!$M$11,IF(C488&gt;=COUNTA(F$481:AI$481)/2,'Общий'!$M$12,'Общий'!$M$13)))</f>
        <v/>
      </c>
      <c r="E488" s="4">
        <f>IF(A488="","",SUMIFS('Логи'!$H$7:$H$3006,'Логи'!$A$7:$A$3006,8,'Логи'!$B$7:$B$3006,3,'Логи'!$C$7:$C$3006,A488))</f>
        <v/>
      </c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</row>
    <row r="489">
      <c r="A489" s="4" t="inlineStr">
        <is>
          <t>Студент3.8</t>
        </is>
      </c>
      <c r="B489" s="4" t="inlineStr"/>
      <c r="C489" s="4">
        <f>IF(A489="","",COUNTIF(F489:AI489,"+")+COUNTIF(F489:AI489,"1"))</f>
        <v/>
      </c>
      <c r="D489" s="4">
        <f>IF(A489="","",IF(C489&gt;2*COUNTA(F$481:AI$481)/3,'Общий'!$M$11,IF(C489&gt;=COUNTA(F$481:AI$481)/2,'Общий'!$M$12,'Общий'!$M$13)))</f>
        <v/>
      </c>
      <c r="E489" s="4">
        <f>IF(A489="","",SUMIFS('Логи'!$H$7:$H$3006,'Логи'!$A$7:$A$3006,8,'Логи'!$B$7:$B$3006,3,'Логи'!$C$7:$C$3006,A489))</f>
        <v/>
      </c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4" t="inlineStr">
        <is>
          <t>Студент3.9</t>
        </is>
      </c>
      <c r="B490" s="4" t="inlineStr"/>
      <c r="C490" s="4">
        <f>IF(A490="","",COUNTIF(F490:AI490,"+")+COUNTIF(F490:AI490,"1"))</f>
        <v/>
      </c>
      <c r="D490" s="4">
        <f>IF(A490="","",IF(C490&gt;2*COUNTA(F$481:AI$481)/3,'Общий'!$M$11,IF(C490&gt;=COUNTA(F$481:AI$481)/2,'Общий'!$M$12,'Общий'!$M$13)))</f>
        <v/>
      </c>
      <c r="E490" s="4">
        <f>IF(A490="","",SUMIFS('Логи'!$H$7:$H$3006,'Логи'!$A$7:$A$3006,8,'Логи'!$B$7:$B$3006,3,'Логи'!$C$7:$C$3006,A490))</f>
        <v/>
      </c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</row>
    <row r="491">
      <c r="A491" s="4" t="inlineStr">
        <is>
          <t>Студент3.10</t>
        </is>
      </c>
      <c r="B491" s="4" t="inlineStr"/>
      <c r="C491" s="4">
        <f>IF(A491="","",COUNTIF(F491:AI491,"+")+COUNTIF(F491:AI491,"1"))</f>
        <v/>
      </c>
      <c r="D491" s="4">
        <f>IF(A491="","",IF(C491&gt;2*COUNTA(F$481:AI$481)/3,'Общий'!$M$11,IF(C491&gt;=COUNTA(F$481:AI$481)/2,'Общий'!$M$12,'Общий'!$M$13)))</f>
        <v/>
      </c>
      <c r="E491" s="4">
        <f>IF(A491="","",SUMIFS('Логи'!$H$7:$H$3006,'Логи'!$A$7:$A$3006,8,'Логи'!$B$7:$B$3006,3,'Логи'!$C$7:$C$3006,A491))</f>
        <v/>
      </c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4" t="inlineStr">
        <is>
          <t>Студент3.11</t>
        </is>
      </c>
      <c r="B492" s="4" t="inlineStr"/>
      <c r="C492" s="4">
        <f>IF(A492="","",COUNTIF(F492:AI492,"+")+COUNTIF(F492:AI492,"1"))</f>
        <v/>
      </c>
      <c r="D492" s="4">
        <f>IF(A492="","",IF(C492&gt;2*COUNTA(F$481:AI$481)/3,'Общий'!$M$11,IF(C492&gt;=COUNTA(F$481:AI$481)/2,'Общий'!$M$12,'Общий'!$M$13)))</f>
        <v/>
      </c>
      <c r="E492" s="4">
        <f>IF(A492="","",SUMIFS('Логи'!$H$7:$H$3006,'Логи'!$A$7:$A$3006,8,'Логи'!$B$7:$B$3006,3,'Логи'!$C$7:$C$3006,A492))</f>
        <v/>
      </c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</row>
    <row r="493">
      <c r="A493" s="4" t="inlineStr">
        <is>
          <t>Студент3.12</t>
        </is>
      </c>
      <c r="B493" s="4" t="inlineStr"/>
      <c r="C493" s="4">
        <f>IF(A493="","",COUNTIF(F493:AI493,"+")+COUNTIF(F493:AI493,"1"))</f>
        <v/>
      </c>
      <c r="D493" s="4">
        <f>IF(A493="","",IF(C493&gt;2*COUNTA(F$481:AI$481)/3,'Общий'!$M$11,IF(C493&gt;=COUNTA(F$481:AI$481)/2,'Общий'!$M$12,'Общий'!$M$13)))</f>
        <v/>
      </c>
      <c r="E493" s="4">
        <f>IF(A493="","",SUMIFS('Логи'!$H$7:$H$3006,'Логи'!$A$7:$A$3006,8,'Логи'!$B$7:$B$3006,3,'Логи'!$C$7:$C$3006,A493))</f>
        <v/>
      </c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4" t="inlineStr">
        <is>
          <t>Студент3.13</t>
        </is>
      </c>
      <c r="B494" s="4" t="inlineStr"/>
      <c r="C494" s="4">
        <f>IF(A494="","",COUNTIF(F494:AI494,"+")+COUNTIF(F494:AI494,"1"))</f>
        <v/>
      </c>
      <c r="D494" s="4">
        <f>IF(A494="","",IF(C494&gt;2*COUNTA(F$481:AI$481)/3,'Общий'!$M$11,IF(C494&gt;=COUNTA(F$481:AI$481)/2,'Общий'!$M$12,'Общий'!$M$13)))</f>
        <v/>
      </c>
      <c r="E494" s="4">
        <f>IF(A494="","",SUMIFS('Логи'!$H$7:$H$3006,'Логи'!$A$7:$A$3006,8,'Логи'!$B$7:$B$3006,3,'Логи'!$C$7:$C$3006,A494))</f>
        <v/>
      </c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</row>
    <row r="495">
      <c r="A495" s="4" t="inlineStr">
        <is>
          <t>Студент3.14</t>
        </is>
      </c>
      <c r="B495" s="4" t="inlineStr"/>
      <c r="C495" s="4">
        <f>IF(A495="","",COUNTIF(F495:AI495,"+")+COUNTIF(F495:AI495,"1"))</f>
        <v/>
      </c>
      <c r="D495" s="4">
        <f>IF(A495="","",IF(C495&gt;2*COUNTA(F$481:AI$481)/3,'Общий'!$M$11,IF(C495&gt;=COUNTA(F$481:AI$481)/2,'Общий'!$M$12,'Общий'!$M$13)))</f>
        <v/>
      </c>
      <c r="E495" s="4">
        <f>IF(A495="","",SUMIFS('Логи'!$H$7:$H$3006,'Логи'!$A$7:$A$3006,8,'Логи'!$B$7:$B$3006,3,'Логи'!$C$7:$C$3006,A495))</f>
        <v/>
      </c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4" t="inlineStr">
        <is>
          <t>Студент3.15</t>
        </is>
      </c>
      <c r="B496" s="4" t="inlineStr"/>
      <c r="C496" s="4">
        <f>IF(A496="","",COUNTIF(F496:AI496,"+")+COUNTIF(F496:AI496,"1"))</f>
        <v/>
      </c>
      <c r="D496" s="4">
        <f>IF(A496="","",IF(C496&gt;2*COUNTA(F$481:AI$481)/3,'Общий'!$M$11,IF(C496&gt;=COUNTA(F$481:AI$481)/2,'Общий'!$M$12,'Общий'!$M$13)))</f>
        <v/>
      </c>
      <c r="E496" s="4">
        <f>IF(A496="","",SUMIFS('Логи'!$H$7:$H$3006,'Логи'!$A$7:$A$3006,8,'Логи'!$B$7:$B$3006,3,'Логи'!$C$7:$C$3006,A496))</f>
        <v/>
      </c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</row>
    <row r="497">
      <c r="A497" s="4" t="inlineStr">
        <is>
          <t>Студент3.16</t>
        </is>
      </c>
      <c r="B497" s="4" t="inlineStr"/>
      <c r="C497" s="4">
        <f>IF(A497="","",COUNTIF(F497:AI497,"+")+COUNTIF(F497:AI497,"1"))</f>
        <v/>
      </c>
      <c r="D497" s="4">
        <f>IF(A497="","",IF(C497&gt;2*COUNTA(F$481:AI$481)/3,'Общий'!$M$11,IF(C497&gt;=COUNTA(F$481:AI$481)/2,'Общий'!$M$12,'Общий'!$M$13)))</f>
        <v/>
      </c>
      <c r="E497" s="4">
        <f>IF(A497="","",SUMIFS('Логи'!$H$7:$H$3006,'Логи'!$A$7:$A$3006,8,'Логи'!$B$7:$B$3006,3,'Логи'!$C$7:$C$3006,A497))</f>
        <v/>
      </c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4" t="inlineStr">
        <is>
          <t>Студент3.17</t>
        </is>
      </c>
      <c r="B498" s="4" t="inlineStr"/>
      <c r="C498" s="4">
        <f>IF(A498="","",COUNTIF(F498:AI498,"+")+COUNTIF(F498:AI498,"1"))</f>
        <v/>
      </c>
      <c r="D498" s="4">
        <f>IF(A498="","",IF(C498&gt;2*COUNTA(F$481:AI$481)/3,'Общий'!$M$11,IF(C498&gt;=COUNTA(F$481:AI$481)/2,'Общий'!$M$12,'Общий'!$M$13)))</f>
        <v/>
      </c>
      <c r="E498" s="4">
        <f>IF(A498="","",SUMIFS('Логи'!$H$7:$H$3006,'Логи'!$A$7:$A$3006,8,'Логи'!$B$7:$B$3006,3,'Логи'!$C$7:$C$3006,A498))</f>
        <v/>
      </c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</row>
    <row r="499">
      <c r="A499" s="4" t="inlineStr">
        <is>
          <t>Студент3.18</t>
        </is>
      </c>
      <c r="B499" s="4" t="inlineStr"/>
      <c r="C499" s="4">
        <f>IF(A499="","",COUNTIF(F499:AI499,"+")+COUNTIF(F499:AI499,"1"))</f>
        <v/>
      </c>
      <c r="D499" s="4">
        <f>IF(A499="","",IF(C499&gt;2*COUNTA(F$481:AI$481)/3,'Общий'!$M$11,IF(C499&gt;=COUNTA(F$481:AI$481)/2,'Общий'!$M$12,'Общий'!$M$13)))</f>
        <v/>
      </c>
      <c r="E499" s="4">
        <f>IF(A499="","",SUMIFS('Логи'!$H$7:$H$3006,'Логи'!$A$7:$A$3006,8,'Логи'!$B$7:$B$3006,3,'Логи'!$C$7:$C$3006,A499))</f>
        <v/>
      </c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4" t="inlineStr">
        <is>
          <t>Студент3.19</t>
        </is>
      </c>
      <c r="B500" s="4" t="inlineStr"/>
      <c r="C500" s="4">
        <f>IF(A500="","",COUNTIF(F500:AI500,"+")+COUNTIF(F500:AI500,"1"))</f>
        <v/>
      </c>
      <c r="D500" s="4">
        <f>IF(A500="","",IF(C500&gt;2*COUNTA(F$481:AI$481)/3,'Общий'!$M$11,IF(C500&gt;=COUNTA(F$481:AI$481)/2,'Общий'!$M$12,'Общий'!$M$13)))</f>
        <v/>
      </c>
      <c r="E500" s="4">
        <f>IF(A500="","",SUMIFS('Логи'!$H$7:$H$3006,'Логи'!$A$7:$A$3006,8,'Логи'!$B$7:$B$3006,3,'Логи'!$C$7:$C$3006,A500))</f>
        <v/>
      </c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</row>
    <row r="501">
      <c r="A501" s="4" t="inlineStr">
        <is>
          <t>Студент3.20</t>
        </is>
      </c>
      <c r="B501" s="4" t="inlineStr"/>
      <c r="C501" s="4">
        <f>IF(A501="","",COUNTIF(F501:AI501,"+")+COUNTIF(F501:AI501,"1"))</f>
        <v/>
      </c>
      <c r="D501" s="4">
        <f>IF(A501="","",IF(C501&gt;2*COUNTA(F$481:AI$481)/3,'Общий'!$M$11,IF(C501&gt;=COUNTA(F$481:AI$481)/2,'Общий'!$M$12,'Общий'!$M$13)))</f>
        <v/>
      </c>
      <c r="E501" s="4">
        <f>IF(A501="","",SUMIFS('Логи'!$H$7:$H$3006,'Логи'!$A$7:$A$3006,8,'Логи'!$B$7:$B$3006,3,'Логи'!$C$7:$C$3006,A501))</f>
        <v/>
      </c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4" t="inlineStr">
        <is>
          <t>Студент3.21</t>
        </is>
      </c>
      <c r="B502" s="4" t="inlineStr"/>
      <c r="C502" s="4">
        <f>IF(A502="","",COUNTIF(F502:AI502,"+")+COUNTIF(F502:AI502,"1"))</f>
        <v/>
      </c>
      <c r="D502" s="4">
        <f>IF(A502="","",IF(C502&gt;2*COUNTA(F$481:AI$481)/3,'Общий'!$M$11,IF(C502&gt;=COUNTA(F$481:AI$481)/2,'Общий'!$M$12,'Общий'!$M$13)))</f>
        <v/>
      </c>
      <c r="E502" s="4">
        <f>IF(A502="","",SUMIFS('Логи'!$H$7:$H$3006,'Логи'!$A$7:$A$3006,8,'Логи'!$B$7:$B$3006,3,'Логи'!$C$7:$C$3006,A502))</f>
        <v/>
      </c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</row>
    <row r="503">
      <c r="A503" s="4" t="inlineStr">
        <is>
          <t>Студент3.22</t>
        </is>
      </c>
      <c r="B503" s="4" t="inlineStr"/>
      <c r="C503" s="4">
        <f>IF(A503="","",COUNTIF(F503:AI503,"+")+COUNTIF(F503:AI503,"1"))</f>
        <v/>
      </c>
      <c r="D503" s="4">
        <f>IF(A503="","",IF(C503&gt;2*COUNTA(F$481:AI$481)/3,'Общий'!$M$11,IF(C503&gt;=COUNTA(F$481:AI$481)/2,'Общий'!$M$12,'Общий'!$M$13)))</f>
        <v/>
      </c>
      <c r="E503" s="4">
        <f>IF(A503="","",SUMIFS('Логи'!$H$7:$H$3006,'Логи'!$A$7:$A$3006,8,'Логи'!$B$7:$B$3006,3,'Логи'!$C$7:$C$3006,A503))</f>
        <v/>
      </c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4" t="inlineStr">
        <is>
          <t>Студент3.23</t>
        </is>
      </c>
      <c r="B504" s="4" t="inlineStr"/>
      <c r="C504" s="4">
        <f>IF(A504="","",COUNTIF(F504:AI504,"+")+COUNTIF(F504:AI504,"1"))</f>
        <v/>
      </c>
      <c r="D504" s="4">
        <f>IF(A504="","",IF(C504&gt;2*COUNTA(F$481:AI$481)/3,'Общий'!$M$11,IF(C504&gt;=COUNTA(F$481:AI$481)/2,'Общий'!$M$12,'Общий'!$M$13)))</f>
        <v/>
      </c>
      <c r="E504" s="4">
        <f>IF(A504="","",SUMIFS('Логи'!$H$7:$H$3006,'Логи'!$A$7:$A$3006,8,'Логи'!$B$7:$B$3006,3,'Логи'!$C$7:$C$3006,A504))</f>
        <v/>
      </c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</row>
    <row r="505">
      <c r="A505" s="4" t="inlineStr">
        <is>
          <t>Студент3.24</t>
        </is>
      </c>
      <c r="B505" s="4" t="inlineStr"/>
      <c r="C505" s="4">
        <f>IF(A505="","",COUNTIF(F505:AI505,"+")+COUNTIF(F505:AI505,"1"))</f>
        <v/>
      </c>
      <c r="D505" s="4">
        <f>IF(A505="","",IF(C505&gt;2*COUNTA(F$481:AI$481)/3,'Общий'!$M$11,IF(C505&gt;=COUNTA(F$481:AI$481)/2,'Общий'!$M$12,'Общий'!$M$13)))</f>
        <v/>
      </c>
      <c r="E505" s="4">
        <f>IF(A505="","",SUMIFS('Логи'!$H$7:$H$3006,'Логи'!$A$7:$A$3006,8,'Логи'!$B$7:$B$3006,3,'Логи'!$C$7:$C$3006,A505))</f>
        <v/>
      </c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4" t="inlineStr">
        <is>
          <t>Студент3.25</t>
        </is>
      </c>
      <c r="B506" s="4" t="inlineStr"/>
      <c r="C506" s="4">
        <f>IF(A506="","",COUNTIF(F506:AI506,"+")+COUNTIF(F506:AI506,"1"))</f>
        <v/>
      </c>
      <c r="D506" s="4">
        <f>IF(A506="","",IF(C506&gt;2*COUNTA(F$481:AI$481)/3,'Общий'!$M$11,IF(C506&gt;=COUNTA(F$481:AI$481)/2,'Общий'!$M$12,'Общий'!$M$13)))</f>
        <v/>
      </c>
      <c r="E506" s="4">
        <f>IF(A506="","",SUMIFS('Логи'!$H$7:$H$3006,'Логи'!$A$7:$A$3006,8,'Логи'!$B$7:$B$3006,3,'Логи'!$C$7:$C$3006,A506))</f>
        <v/>
      </c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</row>
    <row r="507">
      <c r="A507" s="4" t="inlineStr">
        <is>
          <t>Студент3.26</t>
        </is>
      </c>
      <c r="B507" s="4" t="inlineStr"/>
      <c r="C507" s="4">
        <f>IF(A507="","",COUNTIF(F507:AI507,"+")+COUNTIF(F507:AI507,"1"))</f>
        <v/>
      </c>
      <c r="D507" s="4">
        <f>IF(A507="","",IF(C507&gt;2*COUNTA(F$481:AI$481)/3,'Общий'!$M$11,IF(C507&gt;=COUNTA(F$481:AI$481)/2,'Общий'!$M$12,'Общий'!$M$13)))</f>
        <v/>
      </c>
      <c r="E507" s="4">
        <f>IF(A507="","",SUMIFS('Логи'!$H$7:$H$3006,'Логи'!$A$7:$A$3006,8,'Логи'!$B$7:$B$3006,3,'Логи'!$C$7:$C$3006,A507))</f>
        <v/>
      </c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4" t="inlineStr">
        <is>
          <t>Студент3.27</t>
        </is>
      </c>
      <c r="B508" s="4" t="inlineStr"/>
      <c r="C508" s="4">
        <f>IF(A508="","",COUNTIF(F508:AI508,"+")+COUNTIF(F508:AI508,"1"))</f>
        <v/>
      </c>
      <c r="D508" s="4">
        <f>IF(A508="","",IF(C508&gt;2*COUNTA(F$481:AI$481)/3,'Общий'!$M$11,IF(C508&gt;=COUNTA(F$481:AI$481)/2,'Общий'!$M$12,'Общий'!$M$13)))</f>
        <v/>
      </c>
      <c r="E508" s="4">
        <f>IF(A508="","",SUMIFS('Логи'!$H$7:$H$3006,'Логи'!$A$7:$A$3006,8,'Логи'!$B$7:$B$3006,3,'Логи'!$C$7:$C$3006,A508))</f>
        <v/>
      </c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</row>
    <row r="509">
      <c r="A509" s="4" t="inlineStr">
        <is>
          <t>Студент3.28</t>
        </is>
      </c>
      <c r="B509" s="4" t="inlineStr"/>
      <c r="C509" s="4">
        <f>IF(A509="","",COUNTIF(F509:AI509,"+")+COUNTIF(F509:AI509,"1"))</f>
        <v/>
      </c>
      <c r="D509" s="4">
        <f>IF(A509="","",IF(C509&gt;2*COUNTA(F$481:AI$481)/3,'Общий'!$M$11,IF(C509&gt;=COUNTA(F$481:AI$481)/2,'Общий'!$M$12,'Общий'!$M$13)))</f>
        <v/>
      </c>
      <c r="E509" s="4">
        <f>IF(A509="","",SUMIFS('Логи'!$H$7:$H$3006,'Логи'!$A$7:$A$3006,8,'Логи'!$B$7:$B$3006,3,'Логи'!$C$7:$C$3006,A509))</f>
        <v/>
      </c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4" t="inlineStr">
        <is>
          <t>Студент3.29</t>
        </is>
      </c>
      <c r="B510" s="4" t="inlineStr"/>
      <c r="C510" s="4">
        <f>IF(A510="","",COUNTIF(F510:AI510,"+")+COUNTIF(F510:AI510,"1"))</f>
        <v/>
      </c>
      <c r="D510" s="4">
        <f>IF(A510="","",IF(C510&gt;2*COUNTA(F$481:AI$481)/3,'Общий'!$M$11,IF(C510&gt;=COUNTA(F$481:AI$481)/2,'Общий'!$M$12,'Общий'!$M$13)))</f>
        <v/>
      </c>
      <c r="E510" s="4">
        <f>IF(A510="","",SUMIFS('Логи'!$H$7:$H$3006,'Логи'!$A$7:$A$3006,8,'Логи'!$B$7:$B$3006,3,'Логи'!$C$7:$C$3006,A510))</f>
        <v/>
      </c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</row>
    <row r="511">
      <c r="A511" s="4" t="inlineStr">
        <is>
          <t>Студент3.30</t>
        </is>
      </c>
      <c r="B511" s="4" t="inlineStr"/>
      <c r="C511" s="4">
        <f>IF(A511="","",COUNTIF(F511:AI511,"+")+COUNTIF(F511:AI511,"1"))</f>
        <v/>
      </c>
      <c r="D511" s="4">
        <f>IF(A511="","",IF(C511&gt;2*COUNTA(F$481:AI$481)/3,'Общий'!$M$11,IF(C511&gt;=COUNTA(F$481:AI$481)/2,'Общий'!$M$12,'Общий'!$M$13)))</f>
        <v/>
      </c>
      <c r="E511" s="4">
        <f>IF(A511="","",SUMIFS('Логи'!$H$7:$H$3006,'Логи'!$A$7:$A$3006,8,'Логи'!$B$7:$B$3006,3,'Логи'!$C$7:$C$3006,A511))</f>
        <v/>
      </c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3">
      <c r="A513" s="19" t="inlineStr">
        <is>
          <t>Практика 8 — результаты рассказа</t>
        </is>
      </c>
    </row>
    <row r="514" ht="28" customHeight="1">
      <c r="A514" s="9" t="inlineStr">
        <is>
          <t>Имя</t>
        </is>
      </c>
      <c r="B514" s="11" t="inlineStr">
        <is>
          <t>TG</t>
        </is>
      </c>
      <c r="C514" s="12" t="inlineStr"/>
      <c r="D514" s="3" t="inlineStr"/>
      <c r="E514" s="3" t="inlineStr"/>
      <c r="F514" s="13" t="inlineStr">
        <is>
          <t>1.0</t>
        </is>
      </c>
      <c r="G514" s="13" t="inlineStr">
        <is>
          <t>2.0</t>
        </is>
      </c>
      <c r="H514" s="13" t="inlineStr">
        <is>
          <t>3.0</t>
        </is>
      </c>
      <c r="I514" s="13" t="inlineStr">
        <is>
          <t>4.0</t>
        </is>
      </c>
      <c r="J514" s="13" t="inlineStr">
        <is>
          <t>5.0</t>
        </is>
      </c>
      <c r="K514" s="13" t="inlineStr">
        <is>
          <t>6</t>
        </is>
      </c>
      <c r="L514" s="13" t="inlineStr">
        <is>
          <t>7</t>
        </is>
      </c>
      <c r="M514" s="13" t="inlineStr">
        <is>
          <t>8</t>
        </is>
      </c>
      <c r="N514" s="13" t="inlineStr">
        <is>
          <t>9</t>
        </is>
      </c>
      <c r="O514" s="13" t="inlineStr">
        <is>
          <t>10</t>
        </is>
      </c>
      <c r="P514" s="13" t="inlineStr">
        <is>
          <t>11</t>
        </is>
      </c>
      <c r="Q514" s="13" t="inlineStr">
        <is>
          <t>12</t>
        </is>
      </c>
      <c r="R514" s="13" t="inlineStr">
        <is>
          <t>13</t>
        </is>
      </c>
      <c r="S514" s="13" t="inlineStr">
        <is>
          <t>14</t>
        </is>
      </c>
      <c r="T514" s="13" t="inlineStr">
        <is>
          <t>15</t>
        </is>
      </c>
      <c r="U514" s="13" t="inlineStr">
        <is>
          <t>16</t>
        </is>
      </c>
      <c r="V514" s="13" t="inlineStr">
        <is>
          <t>17</t>
        </is>
      </c>
      <c r="W514" s="13" t="inlineStr">
        <is>
          <t>18</t>
        </is>
      </c>
      <c r="X514" s="13" t="inlineStr">
        <is>
          <t>19</t>
        </is>
      </c>
      <c r="Y514" s="13" t="inlineStr">
        <is>
          <t>20</t>
        </is>
      </c>
      <c r="Z514" s="13" t="inlineStr">
        <is>
          <t>21</t>
        </is>
      </c>
      <c r="AA514" s="13" t="inlineStr">
        <is>
          <t>22</t>
        </is>
      </c>
      <c r="AB514" s="13" t="inlineStr">
        <is>
          <t>23</t>
        </is>
      </c>
      <c r="AC514" s="13" t="inlineStr">
        <is>
          <t>24</t>
        </is>
      </c>
      <c r="AD514" s="13" t="inlineStr">
        <is>
          <t>25</t>
        </is>
      </c>
      <c r="AE514" s="13" t="inlineStr">
        <is>
          <t>26</t>
        </is>
      </c>
      <c r="AF514" s="13" t="inlineStr">
        <is>
          <t>27</t>
        </is>
      </c>
      <c r="AG514" s="13" t="inlineStr">
        <is>
          <t>28</t>
        </is>
      </c>
      <c r="AH514" s="13" t="inlineStr">
        <is>
          <t>29</t>
        </is>
      </c>
      <c r="AI514" s="13" t="inlineStr">
        <is>
          <t>30</t>
        </is>
      </c>
    </row>
    <row r="515">
      <c r="A515" s="4" t="inlineStr">
        <is>
          <t>Студент3.1</t>
        </is>
      </c>
      <c r="B515" s="4" t="inlineStr"/>
      <c r="C515" s="4" t="n"/>
      <c r="D515" s="4" t="n"/>
      <c r="E515" s="4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4" t="inlineStr">
        <is>
          <t>Студент3.2</t>
        </is>
      </c>
      <c r="B516" s="4" t="inlineStr"/>
      <c r="C516" s="4" t="n"/>
      <c r="D516" s="4" t="n"/>
      <c r="E516" s="4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</row>
    <row r="517">
      <c r="A517" s="4" t="inlineStr">
        <is>
          <t>Студент3.3</t>
        </is>
      </c>
      <c r="B517" s="4" t="inlineStr"/>
      <c r="C517" s="4" t="n"/>
      <c r="D517" s="4" t="n"/>
      <c r="E517" s="4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4" t="inlineStr">
        <is>
          <t>Студент3.4</t>
        </is>
      </c>
      <c r="B518" s="4" t="inlineStr"/>
      <c r="C518" s="4" t="n"/>
      <c r="D518" s="4" t="n"/>
      <c r="E518" s="4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</row>
    <row r="519">
      <c r="A519" s="4" t="inlineStr">
        <is>
          <t>Студент3.5</t>
        </is>
      </c>
      <c r="B519" s="4" t="inlineStr"/>
      <c r="C519" s="4" t="n"/>
      <c r="D519" s="4" t="n"/>
      <c r="E519" s="4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4" t="inlineStr">
        <is>
          <t>Студент3.6</t>
        </is>
      </c>
      <c r="B520" s="4" t="inlineStr"/>
      <c r="C520" s="4" t="n"/>
      <c r="D520" s="4" t="n"/>
      <c r="E520" s="4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</row>
    <row r="521">
      <c r="A521" s="4" t="inlineStr">
        <is>
          <t>Студент3.7</t>
        </is>
      </c>
      <c r="B521" s="4" t="inlineStr"/>
      <c r="C521" s="4" t="n"/>
      <c r="D521" s="4" t="n"/>
      <c r="E521" s="4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4" t="inlineStr">
        <is>
          <t>Студент3.8</t>
        </is>
      </c>
      <c r="B522" s="4" t="inlineStr"/>
      <c r="C522" s="4" t="n"/>
      <c r="D522" s="4" t="n"/>
      <c r="E522" s="4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</row>
    <row r="523">
      <c r="A523" s="4" t="inlineStr">
        <is>
          <t>Студент3.9</t>
        </is>
      </c>
      <c r="B523" s="4" t="inlineStr"/>
      <c r="C523" s="4" t="n"/>
      <c r="D523" s="4" t="n"/>
      <c r="E523" s="4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4" t="inlineStr">
        <is>
          <t>Студент3.10</t>
        </is>
      </c>
      <c r="B524" s="4" t="inlineStr"/>
      <c r="C524" s="4" t="n"/>
      <c r="D524" s="4" t="n"/>
      <c r="E524" s="4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</row>
    <row r="525">
      <c r="A525" s="4" t="inlineStr">
        <is>
          <t>Студент3.11</t>
        </is>
      </c>
      <c r="B525" s="4" t="inlineStr"/>
      <c r="C525" s="4" t="n"/>
      <c r="D525" s="4" t="n"/>
      <c r="E525" s="4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4" t="inlineStr">
        <is>
          <t>Студент3.12</t>
        </is>
      </c>
      <c r="B526" s="4" t="inlineStr"/>
      <c r="C526" s="4" t="n"/>
      <c r="D526" s="4" t="n"/>
      <c r="E526" s="4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</row>
    <row r="527">
      <c r="A527" s="4" t="inlineStr">
        <is>
          <t>Студент3.13</t>
        </is>
      </c>
      <c r="B527" s="4" t="inlineStr"/>
      <c r="C527" s="4" t="n"/>
      <c r="D527" s="4" t="n"/>
      <c r="E527" s="4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4" t="inlineStr">
        <is>
          <t>Студент3.14</t>
        </is>
      </c>
      <c r="B528" s="4" t="inlineStr"/>
      <c r="C528" s="4" t="n"/>
      <c r="D528" s="4" t="n"/>
      <c r="E528" s="4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</row>
    <row r="529">
      <c r="A529" s="4" t="inlineStr">
        <is>
          <t>Студент3.15</t>
        </is>
      </c>
      <c r="B529" s="4" t="inlineStr"/>
      <c r="C529" s="4" t="n"/>
      <c r="D529" s="4" t="n"/>
      <c r="E529" s="4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4" t="inlineStr">
        <is>
          <t>Студент3.16</t>
        </is>
      </c>
      <c r="B530" s="4" t="inlineStr"/>
      <c r="C530" s="4" t="n"/>
      <c r="D530" s="4" t="n"/>
      <c r="E530" s="4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</row>
    <row r="531">
      <c r="A531" s="4" t="inlineStr">
        <is>
          <t>Студент3.17</t>
        </is>
      </c>
      <c r="B531" s="4" t="inlineStr"/>
      <c r="C531" s="4" t="n"/>
      <c r="D531" s="4" t="n"/>
      <c r="E531" s="4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4" t="inlineStr">
        <is>
          <t>Студент3.18</t>
        </is>
      </c>
      <c r="B532" s="4" t="inlineStr"/>
      <c r="C532" s="4" t="n"/>
      <c r="D532" s="4" t="n"/>
      <c r="E532" s="4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</row>
    <row r="533">
      <c r="A533" s="4" t="inlineStr">
        <is>
          <t>Студент3.19</t>
        </is>
      </c>
      <c r="B533" s="4" t="inlineStr"/>
      <c r="C533" s="4" t="n"/>
      <c r="D533" s="4" t="n"/>
      <c r="E533" s="4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4" t="inlineStr">
        <is>
          <t>Студент3.20</t>
        </is>
      </c>
      <c r="B534" s="4" t="inlineStr"/>
      <c r="C534" s="4" t="n"/>
      <c r="D534" s="4" t="n"/>
      <c r="E534" s="4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</row>
    <row r="535">
      <c r="A535" s="4" t="inlineStr">
        <is>
          <t>Студент3.21</t>
        </is>
      </c>
      <c r="B535" s="4" t="inlineStr"/>
      <c r="C535" s="4" t="n"/>
      <c r="D535" s="4" t="n"/>
      <c r="E535" s="4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4" t="inlineStr">
        <is>
          <t>Студент3.22</t>
        </is>
      </c>
      <c r="B536" s="4" t="inlineStr"/>
      <c r="C536" s="4" t="n"/>
      <c r="D536" s="4" t="n"/>
      <c r="E536" s="4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</row>
    <row r="537">
      <c r="A537" s="4" t="inlineStr">
        <is>
          <t>Студент3.23</t>
        </is>
      </c>
      <c r="B537" s="4" t="inlineStr"/>
      <c r="C537" s="4" t="n"/>
      <c r="D537" s="4" t="n"/>
      <c r="E537" s="4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4" t="inlineStr">
        <is>
          <t>Студент3.24</t>
        </is>
      </c>
      <c r="B538" s="4" t="inlineStr"/>
      <c r="C538" s="4" t="n"/>
      <c r="D538" s="4" t="n"/>
      <c r="E538" s="4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</row>
    <row r="539">
      <c r="A539" s="4" t="inlineStr">
        <is>
          <t>Студент3.25</t>
        </is>
      </c>
      <c r="B539" s="4" t="inlineStr"/>
      <c r="C539" s="4" t="n"/>
      <c r="D539" s="4" t="n"/>
      <c r="E539" s="4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4" t="inlineStr">
        <is>
          <t>Студент3.26</t>
        </is>
      </c>
      <c r="B540" s="4" t="inlineStr"/>
      <c r="C540" s="4" t="n"/>
      <c r="D540" s="4" t="n"/>
      <c r="E540" s="4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</row>
    <row r="541">
      <c r="A541" s="4" t="inlineStr">
        <is>
          <t>Студент3.27</t>
        </is>
      </c>
      <c r="B541" s="4" t="inlineStr"/>
      <c r="C541" s="4" t="n"/>
      <c r="D541" s="4" t="n"/>
      <c r="E541" s="4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4" t="inlineStr">
        <is>
          <t>Студент3.28</t>
        </is>
      </c>
      <c r="B542" s="4" t="inlineStr"/>
      <c r="C542" s="4" t="n"/>
      <c r="D542" s="4" t="n"/>
      <c r="E542" s="4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</row>
    <row r="543">
      <c r="A543" s="4" t="inlineStr">
        <is>
          <t>Студент3.29</t>
        </is>
      </c>
      <c r="B543" s="4" t="inlineStr"/>
      <c r="C543" s="4" t="n"/>
      <c r="D543" s="4" t="n"/>
      <c r="E543" s="4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4" t="inlineStr">
        <is>
          <t>Студент3.30</t>
        </is>
      </c>
      <c r="B544" s="4" t="inlineStr"/>
      <c r="C544" s="4" t="n"/>
      <c r="D544" s="4" t="n"/>
      <c r="E544" s="4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</row>
    <row r="548">
      <c r="A548" s="17" t="inlineStr">
        <is>
          <t>Практика 9 — плюсы</t>
        </is>
      </c>
    </row>
    <row r="549" ht="28" customHeight="1">
      <c r="A549" s="9" t="inlineStr">
        <is>
          <t>Имя</t>
        </is>
      </c>
      <c r="B549" s="11" t="inlineStr">
        <is>
          <t>TG</t>
        </is>
      </c>
      <c r="C549" s="12" t="inlineStr">
        <is>
          <t>S</t>
        </is>
      </c>
      <c r="D549" s="10" t="inlineStr">
        <is>
          <t>Коэффициент</t>
        </is>
      </c>
      <c r="E549" s="18" t="inlineStr">
        <is>
          <t>D за практику</t>
        </is>
      </c>
      <c r="F549" s="13" t="inlineStr">
        <is>
          <t>1.0</t>
        </is>
      </c>
      <c r="G549" s="13" t="inlineStr">
        <is>
          <t>2.0</t>
        </is>
      </c>
      <c r="H549" s="13" t="inlineStr">
        <is>
          <t>3.0</t>
        </is>
      </c>
      <c r="I549" s="13" t="inlineStr">
        <is>
          <t>4.0</t>
        </is>
      </c>
      <c r="J549" s="13" t="inlineStr">
        <is>
          <t>5.0</t>
        </is>
      </c>
      <c r="K549" s="13" t="inlineStr">
        <is>
          <t>6</t>
        </is>
      </c>
      <c r="L549" s="13" t="inlineStr">
        <is>
          <t>7</t>
        </is>
      </c>
      <c r="M549" s="13" t="inlineStr">
        <is>
          <t>8</t>
        </is>
      </c>
      <c r="N549" s="13" t="inlineStr">
        <is>
          <t>9</t>
        </is>
      </c>
      <c r="O549" s="13" t="inlineStr">
        <is>
          <t>10</t>
        </is>
      </c>
      <c r="P549" s="13" t="inlineStr">
        <is>
          <t>11</t>
        </is>
      </c>
      <c r="Q549" s="13" t="inlineStr">
        <is>
          <t>12</t>
        </is>
      </c>
      <c r="R549" s="13" t="inlineStr">
        <is>
          <t>13</t>
        </is>
      </c>
      <c r="S549" s="13" t="inlineStr">
        <is>
          <t>14</t>
        </is>
      </c>
      <c r="T549" s="13" t="inlineStr">
        <is>
          <t>15</t>
        </is>
      </c>
      <c r="U549" s="13" t="inlineStr">
        <is>
          <t>16</t>
        </is>
      </c>
      <c r="V549" s="13" t="inlineStr">
        <is>
          <t>17</t>
        </is>
      </c>
      <c r="W549" s="13" t="inlineStr">
        <is>
          <t>18</t>
        </is>
      </c>
      <c r="X549" s="13" t="inlineStr">
        <is>
          <t>19</t>
        </is>
      </c>
      <c r="Y549" s="13" t="inlineStr">
        <is>
          <t>20</t>
        </is>
      </c>
      <c r="Z549" s="13" t="inlineStr">
        <is>
          <t>21</t>
        </is>
      </c>
      <c r="AA549" s="13" t="inlineStr">
        <is>
          <t>22</t>
        </is>
      </c>
      <c r="AB549" s="13" t="inlineStr">
        <is>
          <t>23</t>
        </is>
      </c>
      <c r="AC549" s="13" t="inlineStr">
        <is>
          <t>24</t>
        </is>
      </c>
      <c r="AD549" s="13" t="inlineStr">
        <is>
          <t>25</t>
        </is>
      </c>
      <c r="AE549" s="13" t="inlineStr">
        <is>
          <t>26</t>
        </is>
      </c>
      <c r="AF549" s="13" t="inlineStr">
        <is>
          <t>27</t>
        </is>
      </c>
      <c r="AG549" s="13" t="inlineStr">
        <is>
          <t>28</t>
        </is>
      </c>
      <c r="AH549" s="13" t="inlineStr">
        <is>
          <t>29</t>
        </is>
      </c>
      <c r="AI549" s="13" t="inlineStr">
        <is>
          <t>30</t>
        </is>
      </c>
    </row>
    <row r="550">
      <c r="A550" s="4" t="inlineStr">
        <is>
          <t>Студент3.1</t>
        </is>
      </c>
      <c r="B550" s="4" t="inlineStr"/>
      <c r="C550" s="4">
        <f>IF(A550="","",COUNTIF(F550:AI550,"+")+COUNTIF(F550:AI550,"1"))</f>
        <v/>
      </c>
      <c r="D550" s="4">
        <f>IF(A550="","",IF(C550&gt;2*COUNTA(F$549:AI$549)/3,'Общий'!$M$11,IF(C550&gt;=COUNTA(F$549:AI$549)/2,'Общий'!$M$12,'Общий'!$M$13)))</f>
        <v/>
      </c>
      <c r="E550" s="4">
        <f>IF(A550="","",SUMIFS('Логи'!$H$7:$H$3006,'Логи'!$A$7:$A$3006,9,'Логи'!$B$7:$B$3006,3,'Логи'!$C$7:$C$3006,A550))</f>
        <v/>
      </c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</row>
    <row r="551">
      <c r="A551" s="4" t="inlineStr">
        <is>
          <t>Студент3.2</t>
        </is>
      </c>
      <c r="B551" s="4" t="inlineStr"/>
      <c r="C551" s="4">
        <f>IF(A551="","",COUNTIF(F551:AI551,"+")+COUNTIF(F551:AI551,"1"))</f>
        <v/>
      </c>
      <c r="D551" s="4">
        <f>IF(A551="","",IF(C551&gt;2*COUNTA(F$549:AI$549)/3,'Общий'!$M$11,IF(C551&gt;=COUNTA(F$549:AI$549)/2,'Общий'!$M$12,'Общий'!$M$13)))</f>
        <v/>
      </c>
      <c r="E551" s="4">
        <f>IF(A551="","",SUMIFS('Логи'!$H$7:$H$3006,'Логи'!$A$7:$A$3006,9,'Логи'!$B$7:$B$3006,3,'Логи'!$C$7:$C$3006,A551))</f>
        <v/>
      </c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4" t="inlineStr">
        <is>
          <t>Студент3.3</t>
        </is>
      </c>
      <c r="B552" s="4" t="inlineStr"/>
      <c r="C552" s="4">
        <f>IF(A552="","",COUNTIF(F552:AI552,"+")+COUNTIF(F552:AI552,"1"))</f>
        <v/>
      </c>
      <c r="D552" s="4">
        <f>IF(A552="","",IF(C552&gt;2*COUNTA(F$549:AI$549)/3,'Общий'!$M$11,IF(C552&gt;=COUNTA(F$549:AI$549)/2,'Общий'!$M$12,'Общий'!$M$13)))</f>
        <v/>
      </c>
      <c r="E552" s="4">
        <f>IF(A552="","",SUMIFS('Логи'!$H$7:$H$3006,'Логи'!$A$7:$A$3006,9,'Логи'!$B$7:$B$3006,3,'Логи'!$C$7:$C$3006,A552))</f>
        <v/>
      </c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</row>
    <row r="553">
      <c r="A553" s="4" t="inlineStr">
        <is>
          <t>Студент3.4</t>
        </is>
      </c>
      <c r="B553" s="4" t="inlineStr"/>
      <c r="C553" s="4">
        <f>IF(A553="","",COUNTIF(F553:AI553,"+")+COUNTIF(F553:AI553,"1"))</f>
        <v/>
      </c>
      <c r="D553" s="4">
        <f>IF(A553="","",IF(C553&gt;2*COUNTA(F$549:AI$549)/3,'Общий'!$M$11,IF(C553&gt;=COUNTA(F$549:AI$549)/2,'Общий'!$M$12,'Общий'!$M$13)))</f>
        <v/>
      </c>
      <c r="E553" s="4">
        <f>IF(A553="","",SUMIFS('Логи'!$H$7:$H$3006,'Логи'!$A$7:$A$3006,9,'Логи'!$B$7:$B$3006,3,'Логи'!$C$7:$C$3006,A553))</f>
        <v/>
      </c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4" t="inlineStr">
        <is>
          <t>Студент3.5</t>
        </is>
      </c>
      <c r="B554" s="4" t="inlineStr"/>
      <c r="C554" s="4">
        <f>IF(A554="","",COUNTIF(F554:AI554,"+")+COUNTIF(F554:AI554,"1"))</f>
        <v/>
      </c>
      <c r="D554" s="4">
        <f>IF(A554="","",IF(C554&gt;2*COUNTA(F$549:AI$549)/3,'Общий'!$M$11,IF(C554&gt;=COUNTA(F$549:AI$549)/2,'Общий'!$M$12,'Общий'!$M$13)))</f>
        <v/>
      </c>
      <c r="E554" s="4">
        <f>IF(A554="","",SUMIFS('Логи'!$H$7:$H$3006,'Логи'!$A$7:$A$3006,9,'Логи'!$B$7:$B$3006,3,'Логи'!$C$7:$C$3006,A554))</f>
        <v/>
      </c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</row>
    <row r="555">
      <c r="A555" s="4" t="inlineStr">
        <is>
          <t>Студент3.6</t>
        </is>
      </c>
      <c r="B555" s="4" t="inlineStr"/>
      <c r="C555" s="4">
        <f>IF(A555="","",COUNTIF(F555:AI555,"+")+COUNTIF(F555:AI555,"1"))</f>
        <v/>
      </c>
      <c r="D555" s="4">
        <f>IF(A555="","",IF(C555&gt;2*COUNTA(F$549:AI$549)/3,'Общий'!$M$11,IF(C555&gt;=COUNTA(F$549:AI$549)/2,'Общий'!$M$12,'Общий'!$M$13)))</f>
        <v/>
      </c>
      <c r="E555" s="4">
        <f>IF(A555="","",SUMIFS('Логи'!$H$7:$H$3006,'Логи'!$A$7:$A$3006,9,'Логи'!$B$7:$B$3006,3,'Логи'!$C$7:$C$3006,A555))</f>
        <v/>
      </c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4" t="inlineStr">
        <is>
          <t>Студент3.7</t>
        </is>
      </c>
      <c r="B556" s="4" t="inlineStr"/>
      <c r="C556" s="4">
        <f>IF(A556="","",COUNTIF(F556:AI556,"+")+COUNTIF(F556:AI556,"1"))</f>
        <v/>
      </c>
      <c r="D556" s="4">
        <f>IF(A556="","",IF(C556&gt;2*COUNTA(F$549:AI$549)/3,'Общий'!$M$11,IF(C556&gt;=COUNTA(F$549:AI$549)/2,'Общий'!$M$12,'Общий'!$M$13)))</f>
        <v/>
      </c>
      <c r="E556" s="4">
        <f>IF(A556="","",SUMIFS('Логи'!$H$7:$H$3006,'Логи'!$A$7:$A$3006,9,'Логи'!$B$7:$B$3006,3,'Логи'!$C$7:$C$3006,A556))</f>
        <v/>
      </c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</row>
    <row r="557">
      <c r="A557" s="4" t="inlineStr">
        <is>
          <t>Студент3.8</t>
        </is>
      </c>
      <c r="B557" s="4" t="inlineStr"/>
      <c r="C557" s="4">
        <f>IF(A557="","",COUNTIF(F557:AI557,"+")+COUNTIF(F557:AI557,"1"))</f>
        <v/>
      </c>
      <c r="D557" s="4">
        <f>IF(A557="","",IF(C557&gt;2*COUNTA(F$549:AI$549)/3,'Общий'!$M$11,IF(C557&gt;=COUNTA(F$549:AI$549)/2,'Общий'!$M$12,'Общий'!$M$13)))</f>
        <v/>
      </c>
      <c r="E557" s="4">
        <f>IF(A557="","",SUMIFS('Логи'!$H$7:$H$3006,'Логи'!$A$7:$A$3006,9,'Логи'!$B$7:$B$3006,3,'Логи'!$C$7:$C$3006,A557))</f>
        <v/>
      </c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4" t="inlineStr">
        <is>
          <t>Студент3.9</t>
        </is>
      </c>
      <c r="B558" s="4" t="inlineStr"/>
      <c r="C558" s="4">
        <f>IF(A558="","",COUNTIF(F558:AI558,"+")+COUNTIF(F558:AI558,"1"))</f>
        <v/>
      </c>
      <c r="D558" s="4">
        <f>IF(A558="","",IF(C558&gt;2*COUNTA(F$549:AI$549)/3,'Общий'!$M$11,IF(C558&gt;=COUNTA(F$549:AI$549)/2,'Общий'!$M$12,'Общий'!$M$13)))</f>
        <v/>
      </c>
      <c r="E558" s="4">
        <f>IF(A558="","",SUMIFS('Логи'!$H$7:$H$3006,'Логи'!$A$7:$A$3006,9,'Логи'!$B$7:$B$3006,3,'Логи'!$C$7:$C$3006,A558))</f>
        <v/>
      </c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</row>
    <row r="559">
      <c r="A559" s="4" t="inlineStr">
        <is>
          <t>Студент3.10</t>
        </is>
      </c>
      <c r="B559" s="4" t="inlineStr"/>
      <c r="C559" s="4">
        <f>IF(A559="","",COUNTIF(F559:AI559,"+")+COUNTIF(F559:AI559,"1"))</f>
        <v/>
      </c>
      <c r="D559" s="4">
        <f>IF(A559="","",IF(C559&gt;2*COUNTA(F$549:AI$549)/3,'Общий'!$M$11,IF(C559&gt;=COUNTA(F$549:AI$549)/2,'Общий'!$M$12,'Общий'!$M$13)))</f>
        <v/>
      </c>
      <c r="E559" s="4">
        <f>IF(A559="","",SUMIFS('Логи'!$H$7:$H$3006,'Логи'!$A$7:$A$3006,9,'Логи'!$B$7:$B$3006,3,'Логи'!$C$7:$C$3006,A559))</f>
        <v/>
      </c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4" t="inlineStr">
        <is>
          <t>Студент3.11</t>
        </is>
      </c>
      <c r="B560" s="4" t="inlineStr"/>
      <c r="C560" s="4">
        <f>IF(A560="","",COUNTIF(F560:AI560,"+")+COUNTIF(F560:AI560,"1"))</f>
        <v/>
      </c>
      <c r="D560" s="4">
        <f>IF(A560="","",IF(C560&gt;2*COUNTA(F$549:AI$549)/3,'Общий'!$M$11,IF(C560&gt;=COUNTA(F$549:AI$549)/2,'Общий'!$M$12,'Общий'!$M$13)))</f>
        <v/>
      </c>
      <c r="E560" s="4">
        <f>IF(A560="","",SUMIFS('Логи'!$H$7:$H$3006,'Логи'!$A$7:$A$3006,9,'Логи'!$B$7:$B$3006,3,'Логи'!$C$7:$C$3006,A560))</f>
        <v/>
      </c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</row>
    <row r="561">
      <c r="A561" s="4" t="inlineStr">
        <is>
          <t>Студент3.12</t>
        </is>
      </c>
      <c r="B561" s="4" t="inlineStr"/>
      <c r="C561" s="4">
        <f>IF(A561="","",COUNTIF(F561:AI561,"+")+COUNTIF(F561:AI561,"1"))</f>
        <v/>
      </c>
      <c r="D561" s="4">
        <f>IF(A561="","",IF(C561&gt;2*COUNTA(F$549:AI$549)/3,'Общий'!$M$11,IF(C561&gt;=COUNTA(F$549:AI$549)/2,'Общий'!$M$12,'Общий'!$M$13)))</f>
        <v/>
      </c>
      <c r="E561" s="4">
        <f>IF(A561="","",SUMIFS('Логи'!$H$7:$H$3006,'Логи'!$A$7:$A$3006,9,'Логи'!$B$7:$B$3006,3,'Логи'!$C$7:$C$3006,A561))</f>
        <v/>
      </c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4" t="inlineStr">
        <is>
          <t>Студент3.13</t>
        </is>
      </c>
      <c r="B562" s="4" t="inlineStr"/>
      <c r="C562" s="4">
        <f>IF(A562="","",COUNTIF(F562:AI562,"+")+COUNTIF(F562:AI562,"1"))</f>
        <v/>
      </c>
      <c r="D562" s="4">
        <f>IF(A562="","",IF(C562&gt;2*COUNTA(F$549:AI$549)/3,'Общий'!$M$11,IF(C562&gt;=COUNTA(F$549:AI$549)/2,'Общий'!$M$12,'Общий'!$M$13)))</f>
        <v/>
      </c>
      <c r="E562" s="4">
        <f>IF(A562="","",SUMIFS('Логи'!$H$7:$H$3006,'Логи'!$A$7:$A$3006,9,'Логи'!$B$7:$B$3006,3,'Логи'!$C$7:$C$3006,A562))</f>
        <v/>
      </c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</row>
    <row r="563">
      <c r="A563" s="4" t="inlineStr">
        <is>
          <t>Студент3.14</t>
        </is>
      </c>
      <c r="B563" s="4" t="inlineStr"/>
      <c r="C563" s="4">
        <f>IF(A563="","",COUNTIF(F563:AI563,"+")+COUNTIF(F563:AI563,"1"))</f>
        <v/>
      </c>
      <c r="D563" s="4">
        <f>IF(A563="","",IF(C563&gt;2*COUNTA(F$549:AI$549)/3,'Общий'!$M$11,IF(C563&gt;=COUNTA(F$549:AI$549)/2,'Общий'!$M$12,'Общий'!$M$13)))</f>
        <v/>
      </c>
      <c r="E563" s="4">
        <f>IF(A563="","",SUMIFS('Логи'!$H$7:$H$3006,'Логи'!$A$7:$A$3006,9,'Логи'!$B$7:$B$3006,3,'Логи'!$C$7:$C$3006,A563))</f>
        <v/>
      </c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4" t="inlineStr">
        <is>
          <t>Студент3.15</t>
        </is>
      </c>
      <c r="B564" s="4" t="inlineStr"/>
      <c r="C564" s="4">
        <f>IF(A564="","",COUNTIF(F564:AI564,"+")+COUNTIF(F564:AI564,"1"))</f>
        <v/>
      </c>
      <c r="D564" s="4">
        <f>IF(A564="","",IF(C564&gt;2*COUNTA(F$549:AI$549)/3,'Общий'!$M$11,IF(C564&gt;=COUNTA(F$549:AI$549)/2,'Общий'!$M$12,'Общий'!$M$13)))</f>
        <v/>
      </c>
      <c r="E564" s="4">
        <f>IF(A564="","",SUMIFS('Логи'!$H$7:$H$3006,'Логи'!$A$7:$A$3006,9,'Логи'!$B$7:$B$3006,3,'Логи'!$C$7:$C$3006,A564))</f>
        <v/>
      </c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</row>
    <row r="565">
      <c r="A565" s="4" t="inlineStr">
        <is>
          <t>Студент3.16</t>
        </is>
      </c>
      <c r="B565" s="4" t="inlineStr"/>
      <c r="C565" s="4">
        <f>IF(A565="","",COUNTIF(F565:AI565,"+")+COUNTIF(F565:AI565,"1"))</f>
        <v/>
      </c>
      <c r="D565" s="4">
        <f>IF(A565="","",IF(C565&gt;2*COUNTA(F$549:AI$549)/3,'Общий'!$M$11,IF(C565&gt;=COUNTA(F$549:AI$549)/2,'Общий'!$M$12,'Общий'!$M$13)))</f>
        <v/>
      </c>
      <c r="E565" s="4">
        <f>IF(A565="","",SUMIFS('Логи'!$H$7:$H$3006,'Логи'!$A$7:$A$3006,9,'Логи'!$B$7:$B$3006,3,'Логи'!$C$7:$C$3006,A565))</f>
        <v/>
      </c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4" t="inlineStr">
        <is>
          <t>Студент3.17</t>
        </is>
      </c>
      <c r="B566" s="4" t="inlineStr"/>
      <c r="C566" s="4">
        <f>IF(A566="","",COUNTIF(F566:AI566,"+")+COUNTIF(F566:AI566,"1"))</f>
        <v/>
      </c>
      <c r="D566" s="4">
        <f>IF(A566="","",IF(C566&gt;2*COUNTA(F$549:AI$549)/3,'Общий'!$M$11,IF(C566&gt;=COUNTA(F$549:AI$549)/2,'Общий'!$M$12,'Общий'!$M$13)))</f>
        <v/>
      </c>
      <c r="E566" s="4">
        <f>IF(A566="","",SUMIFS('Логи'!$H$7:$H$3006,'Логи'!$A$7:$A$3006,9,'Логи'!$B$7:$B$3006,3,'Логи'!$C$7:$C$3006,A566))</f>
        <v/>
      </c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</row>
    <row r="567">
      <c r="A567" s="4" t="inlineStr">
        <is>
          <t>Студент3.18</t>
        </is>
      </c>
      <c r="B567" s="4" t="inlineStr"/>
      <c r="C567" s="4">
        <f>IF(A567="","",COUNTIF(F567:AI567,"+")+COUNTIF(F567:AI567,"1"))</f>
        <v/>
      </c>
      <c r="D567" s="4">
        <f>IF(A567="","",IF(C567&gt;2*COUNTA(F$549:AI$549)/3,'Общий'!$M$11,IF(C567&gt;=COUNTA(F$549:AI$549)/2,'Общий'!$M$12,'Общий'!$M$13)))</f>
        <v/>
      </c>
      <c r="E567" s="4">
        <f>IF(A567="","",SUMIFS('Логи'!$H$7:$H$3006,'Логи'!$A$7:$A$3006,9,'Логи'!$B$7:$B$3006,3,'Логи'!$C$7:$C$3006,A567))</f>
        <v/>
      </c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4" t="inlineStr">
        <is>
          <t>Студент3.19</t>
        </is>
      </c>
      <c r="B568" s="4" t="inlineStr"/>
      <c r="C568" s="4">
        <f>IF(A568="","",COUNTIF(F568:AI568,"+")+COUNTIF(F568:AI568,"1"))</f>
        <v/>
      </c>
      <c r="D568" s="4">
        <f>IF(A568="","",IF(C568&gt;2*COUNTA(F$549:AI$549)/3,'Общий'!$M$11,IF(C568&gt;=COUNTA(F$549:AI$549)/2,'Общий'!$M$12,'Общий'!$M$13)))</f>
        <v/>
      </c>
      <c r="E568" s="4">
        <f>IF(A568="","",SUMIFS('Логи'!$H$7:$H$3006,'Логи'!$A$7:$A$3006,9,'Логи'!$B$7:$B$3006,3,'Логи'!$C$7:$C$3006,A568))</f>
        <v/>
      </c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</row>
    <row r="569">
      <c r="A569" s="4" t="inlineStr">
        <is>
          <t>Студент3.20</t>
        </is>
      </c>
      <c r="B569" s="4" t="inlineStr"/>
      <c r="C569" s="4">
        <f>IF(A569="","",COUNTIF(F569:AI569,"+")+COUNTIF(F569:AI569,"1"))</f>
        <v/>
      </c>
      <c r="D569" s="4">
        <f>IF(A569="","",IF(C569&gt;2*COUNTA(F$549:AI$549)/3,'Общий'!$M$11,IF(C569&gt;=COUNTA(F$549:AI$549)/2,'Общий'!$M$12,'Общий'!$M$13)))</f>
        <v/>
      </c>
      <c r="E569" s="4">
        <f>IF(A569="","",SUMIFS('Логи'!$H$7:$H$3006,'Логи'!$A$7:$A$3006,9,'Логи'!$B$7:$B$3006,3,'Логи'!$C$7:$C$3006,A569))</f>
        <v/>
      </c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4" t="inlineStr">
        <is>
          <t>Студент3.21</t>
        </is>
      </c>
      <c r="B570" s="4" t="inlineStr"/>
      <c r="C570" s="4">
        <f>IF(A570="","",COUNTIF(F570:AI570,"+")+COUNTIF(F570:AI570,"1"))</f>
        <v/>
      </c>
      <c r="D570" s="4">
        <f>IF(A570="","",IF(C570&gt;2*COUNTA(F$549:AI$549)/3,'Общий'!$M$11,IF(C570&gt;=COUNTA(F$549:AI$549)/2,'Общий'!$M$12,'Общий'!$M$13)))</f>
        <v/>
      </c>
      <c r="E570" s="4">
        <f>IF(A570="","",SUMIFS('Логи'!$H$7:$H$3006,'Логи'!$A$7:$A$3006,9,'Логи'!$B$7:$B$3006,3,'Логи'!$C$7:$C$3006,A570))</f>
        <v/>
      </c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</row>
    <row r="571">
      <c r="A571" s="4" t="inlineStr">
        <is>
          <t>Студент3.22</t>
        </is>
      </c>
      <c r="B571" s="4" t="inlineStr"/>
      <c r="C571" s="4">
        <f>IF(A571="","",COUNTIF(F571:AI571,"+")+COUNTIF(F571:AI571,"1"))</f>
        <v/>
      </c>
      <c r="D571" s="4">
        <f>IF(A571="","",IF(C571&gt;2*COUNTA(F$549:AI$549)/3,'Общий'!$M$11,IF(C571&gt;=COUNTA(F$549:AI$549)/2,'Общий'!$M$12,'Общий'!$M$13)))</f>
        <v/>
      </c>
      <c r="E571" s="4">
        <f>IF(A571="","",SUMIFS('Логи'!$H$7:$H$3006,'Логи'!$A$7:$A$3006,9,'Логи'!$B$7:$B$3006,3,'Логи'!$C$7:$C$3006,A571))</f>
        <v/>
      </c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4" t="inlineStr">
        <is>
          <t>Студент3.23</t>
        </is>
      </c>
      <c r="B572" s="4" t="inlineStr"/>
      <c r="C572" s="4">
        <f>IF(A572="","",COUNTIF(F572:AI572,"+")+COUNTIF(F572:AI572,"1"))</f>
        <v/>
      </c>
      <c r="D572" s="4">
        <f>IF(A572="","",IF(C572&gt;2*COUNTA(F$549:AI$549)/3,'Общий'!$M$11,IF(C572&gt;=COUNTA(F$549:AI$549)/2,'Общий'!$M$12,'Общий'!$M$13)))</f>
        <v/>
      </c>
      <c r="E572" s="4">
        <f>IF(A572="","",SUMIFS('Логи'!$H$7:$H$3006,'Логи'!$A$7:$A$3006,9,'Логи'!$B$7:$B$3006,3,'Логи'!$C$7:$C$3006,A572))</f>
        <v/>
      </c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</row>
    <row r="573">
      <c r="A573" s="4" t="inlineStr">
        <is>
          <t>Студент3.24</t>
        </is>
      </c>
      <c r="B573" s="4" t="inlineStr"/>
      <c r="C573" s="4">
        <f>IF(A573="","",COUNTIF(F573:AI573,"+")+COUNTIF(F573:AI573,"1"))</f>
        <v/>
      </c>
      <c r="D573" s="4">
        <f>IF(A573="","",IF(C573&gt;2*COUNTA(F$549:AI$549)/3,'Общий'!$M$11,IF(C573&gt;=COUNTA(F$549:AI$549)/2,'Общий'!$M$12,'Общий'!$M$13)))</f>
        <v/>
      </c>
      <c r="E573" s="4">
        <f>IF(A573="","",SUMIFS('Логи'!$H$7:$H$3006,'Логи'!$A$7:$A$3006,9,'Логи'!$B$7:$B$3006,3,'Логи'!$C$7:$C$3006,A573))</f>
        <v/>
      </c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4" t="inlineStr">
        <is>
          <t>Студент3.25</t>
        </is>
      </c>
      <c r="B574" s="4" t="inlineStr"/>
      <c r="C574" s="4">
        <f>IF(A574="","",COUNTIF(F574:AI574,"+")+COUNTIF(F574:AI574,"1"))</f>
        <v/>
      </c>
      <c r="D574" s="4">
        <f>IF(A574="","",IF(C574&gt;2*COUNTA(F$549:AI$549)/3,'Общий'!$M$11,IF(C574&gt;=COUNTA(F$549:AI$549)/2,'Общий'!$M$12,'Общий'!$M$13)))</f>
        <v/>
      </c>
      <c r="E574" s="4">
        <f>IF(A574="","",SUMIFS('Логи'!$H$7:$H$3006,'Логи'!$A$7:$A$3006,9,'Логи'!$B$7:$B$3006,3,'Логи'!$C$7:$C$3006,A574))</f>
        <v/>
      </c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</row>
    <row r="575">
      <c r="A575" s="4" t="inlineStr">
        <is>
          <t>Студент3.26</t>
        </is>
      </c>
      <c r="B575" s="4" t="inlineStr"/>
      <c r="C575" s="4">
        <f>IF(A575="","",COUNTIF(F575:AI575,"+")+COUNTIF(F575:AI575,"1"))</f>
        <v/>
      </c>
      <c r="D575" s="4">
        <f>IF(A575="","",IF(C575&gt;2*COUNTA(F$549:AI$549)/3,'Общий'!$M$11,IF(C575&gt;=COUNTA(F$549:AI$549)/2,'Общий'!$M$12,'Общий'!$M$13)))</f>
        <v/>
      </c>
      <c r="E575" s="4">
        <f>IF(A575="","",SUMIFS('Логи'!$H$7:$H$3006,'Логи'!$A$7:$A$3006,9,'Логи'!$B$7:$B$3006,3,'Логи'!$C$7:$C$3006,A575))</f>
        <v/>
      </c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4" t="inlineStr">
        <is>
          <t>Студент3.27</t>
        </is>
      </c>
      <c r="B576" s="4" t="inlineStr"/>
      <c r="C576" s="4">
        <f>IF(A576="","",COUNTIF(F576:AI576,"+")+COUNTIF(F576:AI576,"1"))</f>
        <v/>
      </c>
      <c r="D576" s="4">
        <f>IF(A576="","",IF(C576&gt;2*COUNTA(F$549:AI$549)/3,'Общий'!$M$11,IF(C576&gt;=COUNTA(F$549:AI$549)/2,'Общий'!$M$12,'Общий'!$M$13)))</f>
        <v/>
      </c>
      <c r="E576" s="4">
        <f>IF(A576="","",SUMIFS('Логи'!$H$7:$H$3006,'Логи'!$A$7:$A$3006,9,'Логи'!$B$7:$B$3006,3,'Логи'!$C$7:$C$3006,A576))</f>
        <v/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</row>
    <row r="577">
      <c r="A577" s="4" t="inlineStr">
        <is>
          <t>Студент3.28</t>
        </is>
      </c>
      <c r="B577" s="4" t="inlineStr"/>
      <c r="C577" s="4">
        <f>IF(A577="","",COUNTIF(F577:AI577,"+")+COUNTIF(F577:AI577,"1"))</f>
        <v/>
      </c>
      <c r="D577" s="4">
        <f>IF(A577="","",IF(C577&gt;2*COUNTA(F$549:AI$549)/3,'Общий'!$M$11,IF(C577&gt;=COUNTA(F$549:AI$549)/2,'Общий'!$M$12,'Общий'!$M$13)))</f>
        <v/>
      </c>
      <c r="E577" s="4">
        <f>IF(A577="","",SUMIFS('Логи'!$H$7:$H$3006,'Логи'!$A$7:$A$3006,9,'Логи'!$B$7:$B$3006,3,'Логи'!$C$7:$C$3006,A577))</f>
        <v/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4" t="inlineStr">
        <is>
          <t>Студент3.29</t>
        </is>
      </c>
      <c r="B578" s="4" t="inlineStr"/>
      <c r="C578" s="4">
        <f>IF(A578="","",COUNTIF(F578:AI578,"+")+COUNTIF(F578:AI578,"1"))</f>
        <v/>
      </c>
      <c r="D578" s="4">
        <f>IF(A578="","",IF(C578&gt;2*COUNTA(F$549:AI$549)/3,'Общий'!$M$11,IF(C578&gt;=COUNTA(F$549:AI$549)/2,'Общий'!$M$12,'Общий'!$M$13)))</f>
        <v/>
      </c>
      <c r="E578" s="4">
        <f>IF(A578="","",SUMIFS('Логи'!$H$7:$H$3006,'Логи'!$A$7:$A$3006,9,'Логи'!$B$7:$B$3006,3,'Логи'!$C$7:$C$3006,A578))</f>
        <v/>
      </c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</row>
    <row r="579">
      <c r="A579" s="4" t="inlineStr">
        <is>
          <t>Студент3.30</t>
        </is>
      </c>
      <c r="B579" s="4" t="inlineStr"/>
      <c r="C579" s="4">
        <f>IF(A579="","",COUNTIF(F579:AI579,"+")+COUNTIF(F579:AI579,"1"))</f>
        <v/>
      </c>
      <c r="D579" s="4">
        <f>IF(A579="","",IF(C579&gt;2*COUNTA(F$549:AI$549)/3,'Общий'!$M$11,IF(C579&gt;=COUNTA(F$549:AI$549)/2,'Общий'!$M$12,'Общий'!$M$13)))</f>
        <v/>
      </c>
      <c r="E579" s="4">
        <f>IF(A579="","",SUMIFS('Логи'!$H$7:$H$3006,'Логи'!$A$7:$A$3006,9,'Логи'!$B$7:$B$3006,3,'Логи'!$C$7:$C$3006,A579))</f>
        <v/>
      </c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1">
      <c r="A581" s="19" t="inlineStr">
        <is>
          <t>Практика 9 — результаты рассказа</t>
        </is>
      </c>
    </row>
    <row r="582" ht="28" customHeight="1">
      <c r="A582" s="9" t="inlineStr">
        <is>
          <t>Имя</t>
        </is>
      </c>
      <c r="B582" s="11" t="inlineStr">
        <is>
          <t>TG</t>
        </is>
      </c>
      <c r="C582" s="12" t="inlineStr"/>
      <c r="D582" s="3" t="inlineStr"/>
      <c r="E582" s="3" t="inlineStr"/>
      <c r="F582" s="13" t="inlineStr">
        <is>
          <t>1.0</t>
        </is>
      </c>
      <c r="G582" s="13" t="inlineStr">
        <is>
          <t>2.0</t>
        </is>
      </c>
      <c r="H582" s="13" t="inlineStr">
        <is>
          <t>3.0</t>
        </is>
      </c>
      <c r="I582" s="13" t="inlineStr">
        <is>
          <t>4.0</t>
        </is>
      </c>
      <c r="J582" s="13" t="inlineStr">
        <is>
          <t>5.0</t>
        </is>
      </c>
      <c r="K582" s="13" t="inlineStr">
        <is>
          <t>6</t>
        </is>
      </c>
      <c r="L582" s="13" t="inlineStr">
        <is>
          <t>7</t>
        </is>
      </c>
      <c r="M582" s="13" t="inlineStr">
        <is>
          <t>8</t>
        </is>
      </c>
      <c r="N582" s="13" t="inlineStr">
        <is>
          <t>9</t>
        </is>
      </c>
      <c r="O582" s="13" t="inlineStr">
        <is>
          <t>10</t>
        </is>
      </c>
      <c r="P582" s="13" t="inlineStr">
        <is>
          <t>11</t>
        </is>
      </c>
      <c r="Q582" s="13" t="inlineStr">
        <is>
          <t>12</t>
        </is>
      </c>
      <c r="R582" s="13" t="inlineStr">
        <is>
          <t>13</t>
        </is>
      </c>
      <c r="S582" s="13" t="inlineStr">
        <is>
          <t>14</t>
        </is>
      </c>
      <c r="T582" s="13" t="inlineStr">
        <is>
          <t>15</t>
        </is>
      </c>
      <c r="U582" s="13" t="inlineStr">
        <is>
          <t>16</t>
        </is>
      </c>
      <c r="V582" s="13" t="inlineStr">
        <is>
          <t>17</t>
        </is>
      </c>
      <c r="W582" s="13" t="inlineStr">
        <is>
          <t>18</t>
        </is>
      </c>
      <c r="X582" s="13" t="inlineStr">
        <is>
          <t>19</t>
        </is>
      </c>
      <c r="Y582" s="13" t="inlineStr">
        <is>
          <t>20</t>
        </is>
      </c>
      <c r="Z582" s="13" t="inlineStr">
        <is>
          <t>21</t>
        </is>
      </c>
      <c r="AA582" s="13" t="inlineStr">
        <is>
          <t>22</t>
        </is>
      </c>
      <c r="AB582" s="13" t="inlineStr">
        <is>
          <t>23</t>
        </is>
      </c>
      <c r="AC582" s="13" t="inlineStr">
        <is>
          <t>24</t>
        </is>
      </c>
      <c r="AD582" s="13" t="inlineStr">
        <is>
          <t>25</t>
        </is>
      </c>
      <c r="AE582" s="13" t="inlineStr">
        <is>
          <t>26</t>
        </is>
      </c>
      <c r="AF582" s="13" t="inlineStr">
        <is>
          <t>27</t>
        </is>
      </c>
      <c r="AG582" s="13" t="inlineStr">
        <is>
          <t>28</t>
        </is>
      </c>
      <c r="AH582" s="13" t="inlineStr">
        <is>
          <t>29</t>
        </is>
      </c>
      <c r="AI582" s="13" t="inlineStr">
        <is>
          <t>30</t>
        </is>
      </c>
    </row>
    <row r="583">
      <c r="A583" s="4" t="inlineStr">
        <is>
          <t>Студент3.1</t>
        </is>
      </c>
      <c r="B583" s="4" t="inlineStr"/>
      <c r="C583" s="4" t="n"/>
      <c r="D583" s="4" t="n"/>
      <c r="E583" s="4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4" t="inlineStr">
        <is>
          <t>Студент3.2</t>
        </is>
      </c>
      <c r="B584" s="4" t="inlineStr"/>
      <c r="C584" s="4" t="n"/>
      <c r="D584" s="4" t="n"/>
      <c r="E584" s="4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</row>
    <row r="585">
      <c r="A585" s="4" t="inlineStr">
        <is>
          <t>Студент3.3</t>
        </is>
      </c>
      <c r="B585" s="4" t="inlineStr"/>
      <c r="C585" s="4" t="n"/>
      <c r="D585" s="4" t="n"/>
      <c r="E585" s="4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4" t="inlineStr">
        <is>
          <t>Студент3.4</t>
        </is>
      </c>
      <c r="B586" s="4" t="inlineStr"/>
      <c r="C586" s="4" t="n"/>
      <c r="D586" s="4" t="n"/>
      <c r="E586" s="4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</row>
    <row r="587">
      <c r="A587" s="4" t="inlineStr">
        <is>
          <t>Студент3.5</t>
        </is>
      </c>
      <c r="B587" s="4" t="inlineStr"/>
      <c r="C587" s="4" t="n"/>
      <c r="D587" s="4" t="n"/>
      <c r="E587" s="4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4" t="inlineStr">
        <is>
          <t>Студент3.6</t>
        </is>
      </c>
      <c r="B588" s="4" t="inlineStr"/>
      <c r="C588" s="4" t="n"/>
      <c r="D588" s="4" t="n"/>
      <c r="E588" s="4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</row>
    <row r="589">
      <c r="A589" s="4" t="inlineStr">
        <is>
          <t>Студент3.7</t>
        </is>
      </c>
      <c r="B589" s="4" t="inlineStr"/>
      <c r="C589" s="4" t="n"/>
      <c r="D589" s="4" t="n"/>
      <c r="E589" s="4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4" t="inlineStr">
        <is>
          <t>Студент3.8</t>
        </is>
      </c>
      <c r="B590" s="4" t="inlineStr"/>
      <c r="C590" s="4" t="n"/>
      <c r="D590" s="4" t="n"/>
      <c r="E590" s="4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</row>
    <row r="591">
      <c r="A591" s="4" t="inlineStr">
        <is>
          <t>Студент3.9</t>
        </is>
      </c>
      <c r="B591" s="4" t="inlineStr"/>
      <c r="C591" s="4" t="n"/>
      <c r="D591" s="4" t="n"/>
      <c r="E591" s="4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4" t="inlineStr">
        <is>
          <t>Студент3.10</t>
        </is>
      </c>
      <c r="B592" s="4" t="inlineStr"/>
      <c r="C592" s="4" t="n"/>
      <c r="D592" s="4" t="n"/>
      <c r="E592" s="4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</row>
    <row r="593">
      <c r="A593" s="4" t="inlineStr">
        <is>
          <t>Студент3.11</t>
        </is>
      </c>
      <c r="B593" s="4" t="inlineStr"/>
      <c r="C593" s="4" t="n"/>
      <c r="D593" s="4" t="n"/>
      <c r="E593" s="4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4" t="inlineStr">
        <is>
          <t>Студент3.12</t>
        </is>
      </c>
      <c r="B594" s="4" t="inlineStr"/>
      <c r="C594" s="4" t="n"/>
      <c r="D594" s="4" t="n"/>
      <c r="E594" s="4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</row>
    <row r="595">
      <c r="A595" s="4" t="inlineStr">
        <is>
          <t>Студент3.13</t>
        </is>
      </c>
      <c r="B595" s="4" t="inlineStr"/>
      <c r="C595" s="4" t="n"/>
      <c r="D595" s="4" t="n"/>
      <c r="E595" s="4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4" t="inlineStr">
        <is>
          <t>Студент3.14</t>
        </is>
      </c>
      <c r="B596" s="4" t="inlineStr"/>
      <c r="C596" s="4" t="n"/>
      <c r="D596" s="4" t="n"/>
      <c r="E596" s="4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</row>
    <row r="597">
      <c r="A597" s="4" t="inlineStr">
        <is>
          <t>Студент3.15</t>
        </is>
      </c>
      <c r="B597" s="4" t="inlineStr"/>
      <c r="C597" s="4" t="n"/>
      <c r="D597" s="4" t="n"/>
      <c r="E597" s="4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4" t="inlineStr">
        <is>
          <t>Студент3.16</t>
        </is>
      </c>
      <c r="B598" s="4" t="inlineStr"/>
      <c r="C598" s="4" t="n"/>
      <c r="D598" s="4" t="n"/>
      <c r="E598" s="4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</row>
    <row r="599">
      <c r="A599" s="4" t="inlineStr">
        <is>
          <t>Студент3.17</t>
        </is>
      </c>
      <c r="B599" s="4" t="inlineStr"/>
      <c r="C599" s="4" t="n"/>
      <c r="D599" s="4" t="n"/>
      <c r="E599" s="4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4" t="inlineStr">
        <is>
          <t>Студент3.18</t>
        </is>
      </c>
      <c r="B600" s="4" t="inlineStr"/>
      <c r="C600" s="4" t="n"/>
      <c r="D600" s="4" t="n"/>
      <c r="E600" s="4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</row>
    <row r="601">
      <c r="A601" s="4" t="inlineStr">
        <is>
          <t>Студент3.19</t>
        </is>
      </c>
      <c r="B601" s="4" t="inlineStr"/>
      <c r="C601" s="4" t="n"/>
      <c r="D601" s="4" t="n"/>
      <c r="E601" s="4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4" t="inlineStr">
        <is>
          <t>Студент3.20</t>
        </is>
      </c>
      <c r="B602" s="4" t="inlineStr"/>
      <c r="C602" s="4" t="n"/>
      <c r="D602" s="4" t="n"/>
      <c r="E602" s="4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</row>
    <row r="603">
      <c r="A603" s="4" t="inlineStr">
        <is>
          <t>Студент3.21</t>
        </is>
      </c>
      <c r="B603" s="4" t="inlineStr"/>
      <c r="C603" s="4" t="n"/>
      <c r="D603" s="4" t="n"/>
      <c r="E603" s="4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4" t="inlineStr">
        <is>
          <t>Студент3.22</t>
        </is>
      </c>
      <c r="B604" s="4" t="inlineStr"/>
      <c r="C604" s="4" t="n"/>
      <c r="D604" s="4" t="n"/>
      <c r="E604" s="4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</row>
    <row r="605">
      <c r="A605" s="4" t="inlineStr">
        <is>
          <t>Студент3.23</t>
        </is>
      </c>
      <c r="B605" s="4" t="inlineStr"/>
      <c r="C605" s="4" t="n"/>
      <c r="D605" s="4" t="n"/>
      <c r="E605" s="4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4" t="inlineStr">
        <is>
          <t>Студент3.24</t>
        </is>
      </c>
      <c r="B606" s="4" t="inlineStr"/>
      <c r="C606" s="4" t="n"/>
      <c r="D606" s="4" t="n"/>
      <c r="E606" s="4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</row>
    <row r="607">
      <c r="A607" s="4" t="inlineStr">
        <is>
          <t>Студент3.25</t>
        </is>
      </c>
      <c r="B607" s="4" t="inlineStr"/>
      <c r="C607" s="4" t="n"/>
      <c r="D607" s="4" t="n"/>
      <c r="E607" s="4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4" t="inlineStr">
        <is>
          <t>Студент3.26</t>
        </is>
      </c>
      <c r="B608" s="4" t="inlineStr"/>
      <c r="C608" s="4" t="n"/>
      <c r="D608" s="4" t="n"/>
      <c r="E608" s="4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</row>
    <row r="609">
      <c r="A609" s="4" t="inlineStr">
        <is>
          <t>Студент3.27</t>
        </is>
      </c>
      <c r="B609" s="4" t="inlineStr"/>
      <c r="C609" s="4" t="n"/>
      <c r="D609" s="4" t="n"/>
      <c r="E609" s="4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4" t="inlineStr">
        <is>
          <t>Студент3.28</t>
        </is>
      </c>
      <c r="B610" s="4" t="inlineStr"/>
      <c r="C610" s="4" t="n"/>
      <c r="D610" s="4" t="n"/>
      <c r="E610" s="4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</row>
    <row r="611">
      <c r="A611" s="4" t="inlineStr">
        <is>
          <t>Студент3.29</t>
        </is>
      </c>
      <c r="B611" s="4" t="inlineStr"/>
      <c r="C611" s="4" t="n"/>
      <c r="D611" s="4" t="n"/>
      <c r="E611" s="4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4" t="inlineStr">
        <is>
          <t>Студент3.30</t>
        </is>
      </c>
      <c r="B612" s="4" t="inlineStr"/>
      <c r="C612" s="4" t="n"/>
      <c r="D612" s="4" t="n"/>
      <c r="E612" s="4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</row>
    <row r="616">
      <c r="A616" s="17" t="inlineStr">
        <is>
          <t>Практика 10 — плюсы</t>
        </is>
      </c>
    </row>
    <row r="617" ht="28" customHeight="1">
      <c r="A617" s="9" t="inlineStr">
        <is>
          <t>Имя</t>
        </is>
      </c>
      <c r="B617" s="11" t="inlineStr">
        <is>
          <t>TG</t>
        </is>
      </c>
      <c r="C617" s="12" t="inlineStr">
        <is>
          <t>S</t>
        </is>
      </c>
      <c r="D617" s="10" t="inlineStr">
        <is>
          <t>Коэффициент</t>
        </is>
      </c>
      <c r="E617" s="18" t="inlineStr">
        <is>
          <t>D за практику</t>
        </is>
      </c>
      <c r="F617" s="13" t="inlineStr">
        <is>
          <t>1.0</t>
        </is>
      </c>
      <c r="G617" s="13" t="inlineStr">
        <is>
          <t>2.0</t>
        </is>
      </c>
      <c r="H617" s="13" t="inlineStr">
        <is>
          <t>3.0</t>
        </is>
      </c>
      <c r="I617" s="13" t="inlineStr">
        <is>
          <t>4.0</t>
        </is>
      </c>
      <c r="J617" s="13" t="inlineStr">
        <is>
          <t>5.0</t>
        </is>
      </c>
      <c r="K617" s="13" t="inlineStr">
        <is>
          <t>6</t>
        </is>
      </c>
      <c r="L617" s="13" t="inlineStr">
        <is>
          <t>7</t>
        </is>
      </c>
      <c r="M617" s="13" t="inlineStr">
        <is>
          <t>8</t>
        </is>
      </c>
      <c r="N617" s="13" t="inlineStr">
        <is>
          <t>9</t>
        </is>
      </c>
      <c r="O617" s="13" t="inlineStr">
        <is>
          <t>10</t>
        </is>
      </c>
      <c r="P617" s="13" t="inlineStr">
        <is>
          <t>11</t>
        </is>
      </c>
      <c r="Q617" s="13" t="inlineStr">
        <is>
          <t>12</t>
        </is>
      </c>
      <c r="R617" s="13" t="inlineStr">
        <is>
          <t>13</t>
        </is>
      </c>
      <c r="S617" s="13" t="inlineStr">
        <is>
          <t>14</t>
        </is>
      </c>
      <c r="T617" s="13" t="inlineStr">
        <is>
          <t>15</t>
        </is>
      </c>
      <c r="U617" s="13" t="inlineStr">
        <is>
          <t>16</t>
        </is>
      </c>
      <c r="V617" s="13" t="inlineStr">
        <is>
          <t>17</t>
        </is>
      </c>
      <c r="W617" s="13" t="inlineStr">
        <is>
          <t>18</t>
        </is>
      </c>
      <c r="X617" s="13" t="inlineStr">
        <is>
          <t>19</t>
        </is>
      </c>
      <c r="Y617" s="13" t="inlineStr">
        <is>
          <t>20</t>
        </is>
      </c>
      <c r="Z617" s="13" t="inlineStr">
        <is>
          <t>21</t>
        </is>
      </c>
      <c r="AA617" s="13" t="inlineStr">
        <is>
          <t>22</t>
        </is>
      </c>
      <c r="AB617" s="13" t="inlineStr">
        <is>
          <t>23</t>
        </is>
      </c>
      <c r="AC617" s="13" t="inlineStr">
        <is>
          <t>24</t>
        </is>
      </c>
      <c r="AD617" s="13" t="inlineStr">
        <is>
          <t>25</t>
        </is>
      </c>
      <c r="AE617" s="13" t="inlineStr">
        <is>
          <t>26</t>
        </is>
      </c>
      <c r="AF617" s="13" t="inlineStr">
        <is>
          <t>27</t>
        </is>
      </c>
      <c r="AG617" s="13" t="inlineStr">
        <is>
          <t>28</t>
        </is>
      </c>
      <c r="AH617" s="13" t="inlineStr">
        <is>
          <t>29</t>
        </is>
      </c>
      <c r="AI617" s="13" t="inlineStr">
        <is>
          <t>30</t>
        </is>
      </c>
    </row>
    <row r="618">
      <c r="A618" s="4" t="inlineStr">
        <is>
          <t>Студент3.1</t>
        </is>
      </c>
      <c r="B618" s="4" t="inlineStr"/>
      <c r="C618" s="4">
        <f>IF(A618="","",COUNTIF(F618:AI618,"+")+COUNTIF(F618:AI618,"1"))</f>
        <v/>
      </c>
      <c r="D618" s="4">
        <f>IF(A618="","",IF(C618&gt;2*COUNTA(F$617:AI$617)/3,'Общий'!$M$11,IF(C618&gt;=COUNTA(F$617:AI$617)/2,'Общий'!$M$12,'Общий'!$M$13)))</f>
        <v/>
      </c>
      <c r="E618" s="4">
        <f>IF(A618="","",SUMIFS('Логи'!$H$7:$H$3006,'Логи'!$A$7:$A$3006,10,'Логи'!$B$7:$B$3006,3,'Логи'!$C$7:$C$3006,A618))</f>
        <v/>
      </c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</row>
    <row r="619">
      <c r="A619" s="4" t="inlineStr">
        <is>
          <t>Студент3.2</t>
        </is>
      </c>
      <c r="B619" s="4" t="inlineStr"/>
      <c r="C619" s="4">
        <f>IF(A619="","",COUNTIF(F619:AI619,"+")+COUNTIF(F619:AI619,"1"))</f>
        <v/>
      </c>
      <c r="D619" s="4">
        <f>IF(A619="","",IF(C619&gt;2*COUNTA(F$617:AI$617)/3,'Общий'!$M$11,IF(C619&gt;=COUNTA(F$617:AI$617)/2,'Общий'!$M$12,'Общий'!$M$13)))</f>
        <v/>
      </c>
      <c r="E619" s="4">
        <f>IF(A619="","",SUMIFS('Логи'!$H$7:$H$3006,'Логи'!$A$7:$A$3006,10,'Логи'!$B$7:$B$3006,3,'Логи'!$C$7:$C$3006,A619))</f>
        <v/>
      </c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4" t="inlineStr">
        <is>
          <t>Студент3.3</t>
        </is>
      </c>
      <c r="B620" s="4" t="inlineStr"/>
      <c r="C620" s="4">
        <f>IF(A620="","",COUNTIF(F620:AI620,"+")+COUNTIF(F620:AI620,"1"))</f>
        <v/>
      </c>
      <c r="D620" s="4">
        <f>IF(A620="","",IF(C620&gt;2*COUNTA(F$617:AI$617)/3,'Общий'!$M$11,IF(C620&gt;=COUNTA(F$617:AI$617)/2,'Общий'!$M$12,'Общий'!$M$13)))</f>
        <v/>
      </c>
      <c r="E620" s="4">
        <f>IF(A620="","",SUMIFS('Логи'!$H$7:$H$3006,'Логи'!$A$7:$A$3006,10,'Логи'!$B$7:$B$3006,3,'Логи'!$C$7:$C$3006,A620))</f>
        <v/>
      </c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</row>
    <row r="621">
      <c r="A621" s="4" t="inlineStr">
        <is>
          <t>Студент3.4</t>
        </is>
      </c>
      <c r="B621" s="4" t="inlineStr"/>
      <c r="C621" s="4">
        <f>IF(A621="","",COUNTIF(F621:AI621,"+")+COUNTIF(F621:AI621,"1"))</f>
        <v/>
      </c>
      <c r="D621" s="4">
        <f>IF(A621="","",IF(C621&gt;2*COUNTA(F$617:AI$617)/3,'Общий'!$M$11,IF(C621&gt;=COUNTA(F$617:AI$617)/2,'Общий'!$M$12,'Общий'!$M$13)))</f>
        <v/>
      </c>
      <c r="E621" s="4">
        <f>IF(A621="","",SUMIFS('Логи'!$H$7:$H$3006,'Логи'!$A$7:$A$3006,10,'Логи'!$B$7:$B$3006,3,'Логи'!$C$7:$C$3006,A621))</f>
        <v/>
      </c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4" t="inlineStr">
        <is>
          <t>Студент3.5</t>
        </is>
      </c>
      <c r="B622" s="4" t="inlineStr"/>
      <c r="C622" s="4">
        <f>IF(A622="","",COUNTIF(F622:AI622,"+")+COUNTIF(F622:AI622,"1"))</f>
        <v/>
      </c>
      <c r="D622" s="4">
        <f>IF(A622="","",IF(C622&gt;2*COUNTA(F$617:AI$617)/3,'Общий'!$M$11,IF(C622&gt;=COUNTA(F$617:AI$617)/2,'Общий'!$M$12,'Общий'!$M$13)))</f>
        <v/>
      </c>
      <c r="E622" s="4">
        <f>IF(A622="","",SUMIFS('Логи'!$H$7:$H$3006,'Логи'!$A$7:$A$3006,10,'Логи'!$B$7:$B$3006,3,'Логи'!$C$7:$C$3006,A622))</f>
        <v/>
      </c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</row>
    <row r="623">
      <c r="A623" s="4" t="inlineStr">
        <is>
          <t>Студент3.6</t>
        </is>
      </c>
      <c r="B623" s="4" t="inlineStr"/>
      <c r="C623" s="4">
        <f>IF(A623="","",COUNTIF(F623:AI623,"+")+COUNTIF(F623:AI623,"1"))</f>
        <v/>
      </c>
      <c r="D623" s="4">
        <f>IF(A623="","",IF(C623&gt;2*COUNTA(F$617:AI$617)/3,'Общий'!$M$11,IF(C623&gt;=COUNTA(F$617:AI$617)/2,'Общий'!$M$12,'Общий'!$M$13)))</f>
        <v/>
      </c>
      <c r="E623" s="4">
        <f>IF(A623="","",SUMIFS('Логи'!$H$7:$H$3006,'Логи'!$A$7:$A$3006,10,'Логи'!$B$7:$B$3006,3,'Логи'!$C$7:$C$3006,A623))</f>
        <v/>
      </c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4" t="inlineStr">
        <is>
          <t>Студент3.7</t>
        </is>
      </c>
      <c r="B624" s="4" t="inlineStr"/>
      <c r="C624" s="4">
        <f>IF(A624="","",COUNTIF(F624:AI624,"+")+COUNTIF(F624:AI624,"1"))</f>
        <v/>
      </c>
      <c r="D624" s="4">
        <f>IF(A624="","",IF(C624&gt;2*COUNTA(F$617:AI$617)/3,'Общий'!$M$11,IF(C624&gt;=COUNTA(F$617:AI$617)/2,'Общий'!$M$12,'Общий'!$M$13)))</f>
        <v/>
      </c>
      <c r="E624" s="4">
        <f>IF(A624="","",SUMIFS('Логи'!$H$7:$H$3006,'Логи'!$A$7:$A$3006,10,'Логи'!$B$7:$B$3006,3,'Логи'!$C$7:$C$3006,A624))</f>
        <v/>
      </c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</row>
    <row r="625">
      <c r="A625" s="4" t="inlineStr">
        <is>
          <t>Студент3.8</t>
        </is>
      </c>
      <c r="B625" s="4" t="inlineStr"/>
      <c r="C625" s="4">
        <f>IF(A625="","",COUNTIF(F625:AI625,"+")+COUNTIF(F625:AI625,"1"))</f>
        <v/>
      </c>
      <c r="D625" s="4">
        <f>IF(A625="","",IF(C625&gt;2*COUNTA(F$617:AI$617)/3,'Общий'!$M$11,IF(C625&gt;=COUNTA(F$617:AI$617)/2,'Общий'!$M$12,'Общий'!$M$13)))</f>
        <v/>
      </c>
      <c r="E625" s="4">
        <f>IF(A625="","",SUMIFS('Логи'!$H$7:$H$3006,'Логи'!$A$7:$A$3006,10,'Логи'!$B$7:$B$3006,3,'Логи'!$C$7:$C$3006,A625))</f>
        <v/>
      </c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4" t="inlineStr">
        <is>
          <t>Студент3.9</t>
        </is>
      </c>
      <c r="B626" s="4" t="inlineStr"/>
      <c r="C626" s="4">
        <f>IF(A626="","",COUNTIF(F626:AI626,"+")+COUNTIF(F626:AI626,"1"))</f>
        <v/>
      </c>
      <c r="D626" s="4">
        <f>IF(A626="","",IF(C626&gt;2*COUNTA(F$617:AI$617)/3,'Общий'!$M$11,IF(C626&gt;=COUNTA(F$617:AI$617)/2,'Общий'!$M$12,'Общий'!$M$13)))</f>
        <v/>
      </c>
      <c r="E626" s="4">
        <f>IF(A626="","",SUMIFS('Логи'!$H$7:$H$3006,'Логи'!$A$7:$A$3006,10,'Логи'!$B$7:$B$3006,3,'Логи'!$C$7:$C$3006,A626))</f>
        <v/>
      </c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</row>
    <row r="627">
      <c r="A627" s="4" t="inlineStr">
        <is>
          <t>Студент3.10</t>
        </is>
      </c>
      <c r="B627" s="4" t="inlineStr"/>
      <c r="C627" s="4">
        <f>IF(A627="","",COUNTIF(F627:AI627,"+")+COUNTIF(F627:AI627,"1"))</f>
        <v/>
      </c>
      <c r="D627" s="4">
        <f>IF(A627="","",IF(C627&gt;2*COUNTA(F$617:AI$617)/3,'Общий'!$M$11,IF(C627&gt;=COUNTA(F$617:AI$617)/2,'Общий'!$M$12,'Общий'!$M$13)))</f>
        <v/>
      </c>
      <c r="E627" s="4">
        <f>IF(A627="","",SUMIFS('Логи'!$H$7:$H$3006,'Логи'!$A$7:$A$3006,10,'Логи'!$B$7:$B$3006,3,'Логи'!$C$7:$C$3006,A627))</f>
        <v/>
      </c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4" t="inlineStr">
        <is>
          <t>Студент3.11</t>
        </is>
      </c>
      <c r="B628" s="4" t="inlineStr"/>
      <c r="C628" s="4">
        <f>IF(A628="","",COUNTIF(F628:AI628,"+")+COUNTIF(F628:AI628,"1"))</f>
        <v/>
      </c>
      <c r="D628" s="4">
        <f>IF(A628="","",IF(C628&gt;2*COUNTA(F$617:AI$617)/3,'Общий'!$M$11,IF(C628&gt;=COUNTA(F$617:AI$617)/2,'Общий'!$M$12,'Общий'!$M$13)))</f>
        <v/>
      </c>
      <c r="E628" s="4">
        <f>IF(A628="","",SUMIFS('Логи'!$H$7:$H$3006,'Логи'!$A$7:$A$3006,10,'Логи'!$B$7:$B$3006,3,'Логи'!$C$7:$C$3006,A628))</f>
        <v/>
      </c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</row>
    <row r="629">
      <c r="A629" s="4" t="inlineStr">
        <is>
          <t>Студент3.12</t>
        </is>
      </c>
      <c r="B629" s="4" t="inlineStr"/>
      <c r="C629" s="4">
        <f>IF(A629="","",COUNTIF(F629:AI629,"+")+COUNTIF(F629:AI629,"1"))</f>
        <v/>
      </c>
      <c r="D629" s="4">
        <f>IF(A629="","",IF(C629&gt;2*COUNTA(F$617:AI$617)/3,'Общий'!$M$11,IF(C629&gt;=COUNTA(F$617:AI$617)/2,'Общий'!$M$12,'Общий'!$M$13)))</f>
        <v/>
      </c>
      <c r="E629" s="4">
        <f>IF(A629="","",SUMIFS('Логи'!$H$7:$H$3006,'Логи'!$A$7:$A$3006,10,'Логи'!$B$7:$B$3006,3,'Логи'!$C$7:$C$3006,A629))</f>
        <v/>
      </c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4" t="inlineStr">
        <is>
          <t>Студент3.13</t>
        </is>
      </c>
      <c r="B630" s="4" t="inlineStr"/>
      <c r="C630" s="4">
        <f>IF(A630="","",COUNTIF(F630:AI630,"+")+COUNTIF(F630:AI630,"1"))</f>
        <v/>
      </c>
      <c r="D630" s="4">
        <f>IF(A630="","",IF(C630&gt;2*COUNTA(F$617:AI$617)/3,'Общий'!$M$11,IF(C630&gt;=COUNTA(F$617:AI$617)/2,'Общий'!$M$12,'Общий'!$M$13)))</f>
        <v/>
      </c>
      <c r="E630" s="4">
        <f>IF(A630="","",SUMIFS('Логи'!$H$7:$H$3006,'Логи'!$A$7:$A$3006,10,'Логи'!$B$7:$B$3006,3,'Логи'!$C$7:$C$3006,A630))</f>
        <v/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</row>
    <row r="631">
      <c r="A631" s="4" t="inlineStr">
        <is>
          <t>Студент3.14</t>
        </is>
      </c>
      <c r="B631" s="4" t="inlineStr"/>
      <c r="C631" s="4">
        <f>IF(A631="","",COUNTIF(F631:AI631,"+")+COUNTIF(F631:AI631,"1"))</f>
        <v/>
      </c>
      <c r="D631" s="4">
        <f>IF(A631="","",IF(C631&gt;2*COUNTA(F$617:AI$617)/3,'Общий'!$M$11,IF(C631&gt;=COUNTA(F$617:AI$617)/2,'Общий'!$M$12,'Общий'!$M$13)))</f>
        <v/>
      </c>
      <c r="E631" s="4">
        <f>IF(A631="","",SUMIFS('Логи'!$H$7:$H$3006,'Логи'!$A$7:$A$3006,10,'Логи'!$B$7:$B$3006,3,'Логи'!$C$7:$C$3006,A631))</f>
        <v/>
      </c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4" t="inlineStr">
        <is>
          <t>Студент3.15</t>
        </is>
      </c>
      <c r="B632" s="4" t="inlineStr"/>
      <c r="C632" s="4">
        <f>IF(A632="","",COUNTIF(F632:AI632,"+")+COUNTIF(F632:AI632,"1"))</f>
        <v/>
      </c>
      <c r="D632" s="4">
        <f>IF(A632="","",IF(C632&gt;2*COUNTA(F$617:AI$617)/3,'Общий'!$M$11,IF(C632&gt;=COUNTA(F$617:AI$617)/2,'Общий'!$M$12,'Общий'!$M$13)))</f>
        <v/>
      </c>
      <c r="E632" s="4">
        <f>IF(A632="","",SUMIFS('Логи'!$H$7:$H$3006,'Логи'!$A$7:$A$3006,10,'Логи'!$B$7:$B$3006,3,'Логи'!$C$7:$C$3006,A632))</f>
        <v/>
      </c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</row>
    <row r="633">
      <c r="A633" s="4" t="inlineStr">
        <is>
          <t>Студент3.16</t>
        </is>
      </c>
      <c r="B633" s="4" t="inlineStr"/>
      <c r="C633" s="4">
        <f>IF(A633="","",COUNTIF(F633:AI633,"+")+COUNTIF(F633:AI633,"1"))</f>
        <v/>
      </c>
      <c r="D633" s="4">
        <f>IF(A633="","",IF(C633&gt;2*COUNTA(F$617:AI$617)/3,'Общий'!$M$11,IF(C633&gt;=COUNTA(F$617:AI$617)/2,'Общий'!$M$12,'Общий'!$M$13)))</f>
        <v/>
      </c>
      <c r="E633" s="4">
        <f>IF(A633="","",SUMIFS('Логи'!$H$7:$H$3006,'Логи'!$A$7:$A$3006,10,'Логи'!$B$7:$B$3006,3,'Логи'!$C$7:$C$3006,A633))</f>
        <v/>
      </c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4" t="inlineStr">
        <is>
          <t>Студент3.17</t>
        </is>
      </c>
      <c r="B634" s="4" t="inlineStr"/>
      <c r="C634" s="4">
        <f>IF(A634="","",COUNTIF(F634:AI634,"+")+COUNTIF(F634:AI634,"1"))</f>
        <v/>
      </c>
      <c r="D634" s="4">
        <f>IF(A634="","",IF(C634&gt;2*COUNTA(F$617:AI$617)/3,'Общий'!$M$11,IF(C634&gt;=COUNTA(F$617:AI$617)/2,'Общий'!$M$12,'Общий'!$M$13)))</f>
        <v/>
      </c>
      <c r="E634" s="4">
        <f>IF(A634="","",SUMIFS('Логи'!$H$7:$H$3006,'Логи'!$A$7:$A$3006,10,'Логи'!$B$7:$B$3006,3,'Логи'!$C$7:$C$3006,A634))</f>
        <v/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</row>
    <row r="635">
      <c r="A635" s="4" t="inlineStr">
        <is>
          <t>Студент3.18</t>
        </is>
      </c>
      <c r="B635" s="4" t="inlineStr"/>
      <c r="C635" s="4">
        <f>IF(A635="","",COUNTIF(F635:AI635,"+")+COUNTIF(F635:AI635,"1"))</f>
        <v/>
      </c>
      <c r="D635" s="4">
        <f>IF(A635="","",IF(C635&gt;2*COUNTA(F$617:AI$617)/3,'Общий'!$M$11,IF(C635&gt;=COUNTA(F$617:AI$617)/2,'Общий'!$M$12,'Общий'!$M$13)))</f>
        <v/>
      </c>
      <c r="E635" s="4">
        <f>IF(A635="","",SUMIFS('Логи'!$H$7:$H$3006,'Логи'!$A$7:$A$3006,10,'Логи'!$B$7:$B$3006,3,'Логи'!$C$7:$C$3006,A635))</f>
        <v/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4" t="inlineStr">
        <is>
          <t>Студент3.19</t>
        </is>
      </c>
      <c r="B636" s="4" t="inlineStr"/>
      <c r="C636" s="4">
        <f>IF(A636="","",COUNTIF(F636:AI636,"+")+COUNTIF(F636:AI636,"1"))</f>
        <v/>
      </c>
      <c r="D636" s="4">
        <f>IF(A636="","",IF(C636&gt;2*COUNTA(F$617:AI$617)/3,'Общий'!$M$11,IF(C636&gt;=COUNTA(F$617:AI$617)/2,'Общий'!$M$12,'Общий'!$M$13)))</f>
        <v/>
      </c>
      <c r="E636" s="4">
        <f>IF(A636="","",SUMIFS('Логи'!$H$7:$H$3006,'Логи'!$A$7:$A$3006,10,'Логи'!$B$7:$B$3006,3,'Логи'!$C$7:$C$3006,A636))</f>
        <v/>
      </c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</row>
    <row r="637">
      <c r="A637" s="4" t="inlineStr">
        <is>
          <t>Студент3.20</t>
        </is>
      </c>
      <c r="B637" s="4" t="inlineStr"/>
      <c r="C637" s="4">
        <f>IF(A637="","",COUNTIF(F637:AI637,"+")+COUNTIF(F637:AI637,"1"))</f>
        <v/>
      </c>
      <c r="D637" s="4">
        <f>IF(A637="","",IF(C637&gt;2*COUNTA(F$617:AI$617)/3,'Общий'!$M$11,IF(C637&gt;=COUNTA(F$617:AI$617)/2,'Общий'!$M$12,'Общий'!$M$13)))</f>
        <v/>
      </c>
      <c r="E637" s="4">
        <f>IF(A637="","",SUMIFS('Логи'!$H$7:$H$3006,'Логи'!$A$7:$A$3006,10,'Логи'!$B$7:$B$3006,3,'Логи'!$C$7:$C$3006,A637))</f>
        <v/>
      </c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4" t="inlineStr">
        <is>
          <t>Студент3.21</t>
        </is>
      </c>
      <c r="B638" s="4" t="inlineStr"/>
      <c r="C638" s="4">
        <f>IF(A638="","",COUNTIF(F638:AI638,"+")+COUNTIF(F638:AI638,"1"))</f>
        <v/>
      </c>
      <c r="D638" s="4">
        <f>IF(A638="","",IF(C638&gt;2*COUNTA(F$617:AI$617)/3,'Общий'!$M$11,IF(C638&gt;=COUNTA(F$617:AI$617)/2,'Общий'!$M$12,'Общий'!$M$13)))</f>
        <v/>
      </c>
      <c r="E638" s="4">
        <f>IF(A638="","",SUMIFS('Логи'!$H$7:$H$3006,'Логи'!$A$7:$A$3006,10,'Логи'!$B$7:$B$3006,3,'Логи'!$C$7:$C$3006,A638))</f>
        <v/>
      </c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</row>
    <row r="639">
      <c r="A639" s="4" t="inlineStr">
        <is>
          <t>Студент3.22</t>
        </is>
      </c>
      <c r="B639" s="4" t="inlineStr"/>
      <c r="C639" s="4">
        <f>IF(A639="","",COUNTIF(F639:AI639,"+")+COUNTIF(F639:AI639,"1"))</f>
        <v/>
      </c>
      <c r="D639" s="4">
        <f>IF(A639="","",IF(C639&gt;2*COUNTA(F$617:AI$617)/3,'Общий'!$M$11,IF(C639&gt;=COUNTA(F$617:AI$617)/2,'Общий'!$M$12,'Общий'!$M$13)))</f>
        <v/>
      </c>
      <c r="E639" s="4">
        <f>IF(A639="","",SUMIFS('Логи'!$H$7:$H$3006,'Логи'!$A$7:$A$3006,10,'Логи'!$B$7:$B$3006,3,'Логи'!$C$7:$C$3006,A639))</f>
        <v/>
      </c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4" t="inlineStr">
        <is>
          <t>Студент3.23</t>
        </is>
      </c>
      <c r="B640" s="4" t="inlineStr"/>
      <c r="C640" s="4">
        <f>IF(A640="","",COUNTIF(F640:AI640,"+")+COUNTIF(F640:AI640,"1"))</f>
        <v/>
      </c>
      <c r="D640" s="4">
        <f>IF(A640="","",IF(C640&gt;2*COUNTA(F$617:AI$617)/3,'Общий'!$M$11,IF(C640&gt;=COUNTA(F$617:AI$617)/2,'Общий'!$M$12,'Общий'!$M$13)))</f>
        <v/>
      </c>
      <c r="E640" s="4">
        <f>IF(A640="","",SUMIFS('Логи'!$H$7:$H$3006,'Логи'!$A$7:$A$3006,10,'Логи'!$B$7:$B$3006,3,'Логи'!$C$7:$C$3006,A640))</f>
        <v/>
      </c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</row>
    <row r="641">
      <c r="A641" s="4" t="inlineStr">
        <is>
          <t>Студент3.24</t>
        </is>
      </c>
      <c r="B641" s="4" t="inlineStr"/>
      <c r="C641" s="4">
        <f>IF(A641="","",COUNTIF(F641:AI641,"+")+COUNTIF(F641:AI641,"1"))</f>
        <v/>
      </c>
      <c r="D641" s="4">
        <f>IF(A641="","",IF(C641&gt;2*COUNTA(F$617:AI$617)/3,'Общий'!$M$11,IF(C641&gt;=COUNTA(F$617:AI$617)/2,'Общий'!$M$12,'Общий'!$M$13)))</f>
        <v/>
      </c>
      <c r="E641" s="4">
        <f>IF(A641="","",SUMIFS('Логи'!$H$7:$H$3006,'Логи'!$A$7:$A$3006,10,'Логи'!$B$7:$B$3006,3,'Логи'!$C$7:$C$3006,A641))</f>
        <v/>
      </c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4" t="inlineStr">
        <is>
          <t>Студент3.25</t>
        </is>
      </c>
      <c r="B642" s="4" t="inlineStr"/>
      <c r="C642" s="4">
        <f>IF(A642="","",COUNTIF(F642:AI642,"+")+COUNTIF(F642:AI642,"1"))</f>
        <v/>
      </c>
      <c r="D642" s="4">
        <f>IF(A642="","",IF(C642&gt;2*COUNTA(F$617:AI$617)/3,'Общий'!$M$11,IF(C642&gt;=COUNTA(F$617:AI$617)/2,'Общий'!$M$12,'Общий'!$M$13)))</f>
        <v/>
      </c>
      <c r="E642" s="4">
        <f>IF(A642="","",SUMIFS('Логи'!$H$7:$H$3006,'Логи'!$A$7:$A$3006,10,'Логи'!$B$7:$B$3006,3,'Логи'!$C$7:$C$3006,A642))</f>
        <v/>
      </c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</row>
    <row r="643">
      <c r="A643" s="4" t="inlineStr">
        <is>
          <t>Студент3.26</t>
        </is>
      </c>
      <c r="B643" s="4" t="inlineStr"/>
      <c r="C643" s="4">
        <f>IF(A643="","",COUNTIF(F643:AI643,"+")+COUNTIF(F643:AI643,"1"))</f>
        <v/>
      </c>
      <c r="D643" s="4">
        <f>IF(A643="","",IF(C643&gt;2*COUNTA(F$617:AI$617)/3,'Общий'!$M$11,IF(C643&gt;=COUNTA(F$617:AI$617)/2,'Общий'!$M$12,'Общий'!$M$13)))</f>
        <v/>
      </c>
      <c r="E643" s="4">
        <f>IF(A643="","",SUMIFS('Логи'!$H$7:$H$3006,'Логи'!$A$7:$A$3006,10,'Логи'!$B$7:$B$3006,3,'Логи'!$C$7:$C$3006,A643))</f>
        <v/>
      </c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4" t="inlineStr">
        <is>
          <t>Студент3.27</t>
        </is>
      </c>
      <c r="B644" s="4" t="inlineStr"/>
      <c r="C644" s="4">
        <f>IF(A644="","",COUNTIF(F644:AI644,"+")+COUNTIF(F644:AI644,"1"))</f>
        <v/>
      </c>
      <c r="D644" s="4">
        <f>IF(A644="","",IF(C644&gt;2*COUNTA(F$617:AI$617)/3,'Общий'!$M$11,IF(C644&gt;=COUNTA(F$617:AI$617)/2,'Общий'!$M$12,'Общий'!$M$13)))</f>
        <v/>
      </c>
      <c r="E644" s="4">
        <f>IF(A644="","",SUMIFS('Логи'!$H$7:$H$3006,'Логи'!$A$7:$A$3006,10,'Логи'!$B$7:$B$3006,3,'Логи'!$C$7:$C$3006,A644))</f>
        <v/>
      </c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</row>
    <row r="645">
      <c r="A645" s="4" t="inlineStr">
        <is>
          <t>Студент3.28</t>
        </is>
      </c>
      <c r="B645" s="4" t="inlineStr"/>
      <c r="C645" s="4">
        <f>IF(A645="","",COUNTIF(F645:AI645,"+")+COUNTIF(F645:AI645,"1"))</f>
        <v/>
      </c>
      <c r="D645" s="4">
        <f>IF(A645="","",IF(C645&gt;2*COUNTA(F$617:AI$617)/3,'Общий'!$M$11,IF(C645&gt;=COUNTA(F$617:AI$617)/2,'Общий'!$M$12,'Общий'!$M$13)))</f>
        <v/>
      </c>
      <c r="E645" s="4">
        <f>IF(A645="","",SUMIFS('Логи'!$H$7:$H$3006,'Логи'!$A$7:$A$3006,10,'Логи'!$B$7:$B$3006,3,'Логи'!$C$7:$C$3006,A645))</f>
        <v/>
      </c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4" t="inlineStr">
        <is>
          <t>Студент3.29</t>
        </is>
      </c>
      <c r="B646" s="4" t="inlineStr"/>
      <c r="C646" s="4">
        <f>IF(A646="","",COUNTIF(F646:AI646,"+")+COUNTIF(F646:AI646,"1"))</f>
        <v/>
      </c>
      <c r="D646" s="4">
        <f>IF(A646="","",IF(C646&gt;2*COUNTA(F$617:AI$617)/3,'Общий'!$M$11,IF(C646&gt;=COUNTA(F$617:AI$617)/2,'Общий'!$M$12,'Общий'!$M$13)))</f>
        <v/>
      </c>
      <c r="E646" s="4">
        <f>IF(A646="","",SUMIFS('Логи'!$H$7:$H$3006,'Логи'!$A$7:$A$3006,10,'Логи'!$B$7:$B$3006,3,'Логи'!$C$7:$C$3006,A646))</f>
        <v/>
      </c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</row>
    <row r="647">
      <c r="A647" s="4" t="inlineStr">
        <is>
          <t>Студент3.30</t>
        </is>
      </c>
      <c r="B647" s="4" t="inlineStr"/>
      <c r="C647" s="4">
        <f>IF(A647="","",COUNTIF(F647:AI647,"+")+COUNTIF(F647:AI647,"1"))</f>
        <v/>
      </c>
      <c r="D647" s="4">
        <f>IF(A647="","",IF(C647&gt;2*COUNTA(F$617:AI$617)/3,'Общий'!$M$11,IF(C647&gt;=COUNTA(F$617:AI$617)/2,'Общий'!$M$12,'Общий'!$M$13)))</f>
        <v/>
      </c>
      <c r="E647" s="4">
        <f>IF(A647="","",SUMIFS('Логи'!$H$7:$H$3006,'Логи'!$A$7:$A$3006,10,'Логи'!$B$7:$B$3006,3,'Логи'!$C$7:$C$3006,A647))</f>
        <v/>
      </c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9">
      <c r="A649" s="19" t="inlineStr">
        <is>
          <t>Практика 10 — результаты рассказа</t>
        </is>
      </c>
    </row>
    <row r="650" ht="28" customHeight="1">
      <c r="A650" s="9" t="inlineStr">
        <is>
          <t>Имя</t>
        </is>
      </c>
      <c r="B650" s="11" t="inlineStr">
        <is>
          <t>TG</t>
        </is>
      </c>
      <c r="C650" s="12" t="inlineStr"/>
      <c r="D650" s="3" t="inlineStr"/>
      <c r="E650" s="3" t="inlineStr"/>
      <c r="F650" s="13" t="inlineStr">
        <is>
          <t>1.0</t>
        </is>
      </c>
      <c r="G650" s="13" t="inlineStr">
        <is>
          <t>2.0</t>
        </is>
      </c>
      <c r="H650" s="13" t="inlineStr">
        <is>
          <t>3.0</t>
        </is>
      </c>
      <c r="I650" s="13" t="inlineStr">
        <is>
          <t>4.0</t>
        </is>
      </c>
      <c r="J650" s="13" t="inlineStr">
        <is>
          <t>5.0</t>
        </is>
      </c>
      <c r="K650" s="13" t="inlineStr">
        <is>
          <t>6</t>
        </is>
      </c>
      <c r="L650" s="13" t="inlineStr">
        <is>
          <t>7</t>
        </is>
      </c>
      <c r="M650" s="13" t="inlineStr">
        <is>
          <t>8</t>
        </is>
      </c>
      <c r="N650" s="13" t="inlineStr">
        <is>
          <t>9</t>
        </is>
      </c>
      <c r="O650" s="13" t="inlineStr">
        <is>
          <t>10</t>
        </is>
      </c>
      <c r="P650" s="13" t="inlineStr">
        <is>
          <t>11</t>
        </is>
      </c>
      <c r="Q650" s="13" t="inlineStr">
        <is>
          <t>12</t>
        </is>
      </c>
      <c r="R650" s="13" t="inlineStr">
        <is>
          <t>13</t>
        </is>
      </c>
      <c r="S650" s="13" t="inlineStr">
        <is>
          <t>14</t>
        </is>
      </c>
      <c r="T650" s="13" t="inlineStr">
        <is>
          <t>15</t>
        </is>
      </c>
      <c r="U650" s="13" t="inlineStr">
        <is>
          <t>16</t>
        </is>
      </c>
      <c r="V650" s="13" t="inlineStr">
        <is>
          <t>17</t>
        </is>
      </c>
      <c r="W650" s="13" t="inlineStr">
        <is>
          <t>18</t>
        </is>
      </c>
      <c r="X650" s="13" t="inlineStr">
        <is>
          <t>19</t>
        </is>
      </c>
      <c r="Y650" s="13" t="inlineStr">
        <is>
          <t>20</t>
        </is>
      </c>
      <c r="Z650" s="13" t="inlineStr">
        <is>
          <t>21</t>
        </is>
      </c>
      <c r="AA650" s="13" t="inlineStr">
        <is>
          <t>22</t>
        </is>
      </c>
      <c r="AB650" s="13" t="inlineStr">
        <is>
          <t>23</t>
        </is>
      </c>
      <c r="AC650" s="13" t="inlineStr">
        <is>
          <t>24</t>
        </is>
      </c>
      <c r="AD650" s="13" t="inlineStr">
        <is>
          <t>25</t>
        </is>
      </c>
      <c r="AE650" s="13" t="inlineStr">
        <is>
          <t>26</t>
        </is>
      </c>
      <c r="AF650" s="13" t="inlineStr">
        <is>
          <t>27</t>
        </is>
      </c>
      <c r="AG650" s="13" t="inlineStr">
        <is>
          <t>28</t>
        </is>
      </c>
      <c r="AH650" s="13" t="inlineStr">
        <is>
          <t>29</t>
        </is>
      </c>
      <c r="AI650" s="13" t="inlineStr">
        <is>
          <t>30</t>
        </is>
      </c>
    </row>
    <row r="651">
      <c r="A651" s="4" t="inlineStr">
        <is>
          <t>Студент3.1</t>
        </is>
      </c>
      <c r="B651" s="4" t="inlineStr"/>
      <c r="C651" s="4" t="n"/>
      <c r="D651" s="4" t="n"/>
      <c r="E651" s="4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4" t="inlineStr">
        <is>
          <t>Студент3.2</t>
        </is>
      </c>
      <c r="B652" s="4" t="inlineStr"/>
      <c r="C652" s="4" t="n"/>
      <c r="D652" s="4" t="n"/>
      <c r="E652" s="4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</row>
    <row r="653">
      <c r="A653" s="4" t="inlineStr">
        <is>
          <t>Студент3.3</t>
        </is>
      </c>
      <c r="B653" s="4" t="inlineStr"/>
      <c r="C653" s="4" t="n"/>
      <c r="D653" s="4" t="n"/>
      <c r="E653" s="4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4" t="inlineStr">
        <is>
          <t>Студент3.4</t>
        </is>
      </c>
      <c r="B654" s="4" t="inlineStr"/>
      <c r="C654" s="4" t="n"/>
      <c r="D654" s="4" t="n"/>
      <c r="E654" s="4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</row>
    <row r="655">
      <c r="A655" s="4" t="inlineStr">
        <is>
          <t>Студент3.5</t>
        </is>
      </c>
      <c r="B655" s="4" t="inlineStr"/>
      <c r="C655" s="4" t="n"/>
      <c r="D655" s="4" t="n"/>
      <c r="E655" s="4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4" t="inlineStr">
        <is>
          <t>Студент3.6</t>
        </is>
      </c>
      <c r="B656" s="4" t="inlineStr"/>
      <c r="C656" s="4" t="n"/>
      <c r="D656" s="4" t="n"/>
      <c r="E656" s="4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</row>
    <row r="657">
      <c r="A657" s="4" t="inlineStr">
        <is>
          <t>Студент3.7</t>
        </is>
      </c>
      <c r="B657" s="4" t="inlineStr"/>
      <c r="C657" s="4" t="n"/>
      <c r="D657" s="4" t="n"/>
      <c r="E657" s="4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4" t="inlineStr">
        <is>
          <t>Студент3.8</t>
        </is>
      </c>
      <c r="B658" s="4" t="inlineStr"/>
      <c r="C658" s="4" t="n"/>
      <c r="D658" s="4" t="n"/>
      <c r="E658" s="4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</row>
    <row r="659">
      <c r="A659" s="4" t="inlineStr">
        <is>
          <t>Студент3.9</t>
        </is>
      </c>
      <c r="B659" s="4" t="inlineStr"/>
      <c r="C659" s="4" t="n"/>
      <c r="D659" s="4" t="n"/>
      <c r="E659" s="4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4" t="inlineStr">
        <is>
          <t>Студент3.10</t>
        </is>
      </c>
      <c r="B660" s="4" t="inlineStr"/>
      <c r="C660" s="4" t="n"/>
      <c r="D660" s="4" t="n"/>
      <c r="E660" s="4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</row>
    <row r="661">
      <c r="A661" s="4" t="inlineStr">
        <is>
          <t>Студент3.11</t>
        </is>
      </c>
      <c r="B661" s="4" t="inlineStr"/>
      <c r="C661" s="4" t="n"/>
      <c r="D661" s="4" t="n"/>
      <c r="E661" s="4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4" t="inlineStr">
        <is>
          <t>Студент3.12</t>
        </is>
      </c>
      <c r="B662" s="4" t="inlineStr"/>
      <c r="C662" s="4" t="n"/>
      <c r="D662" s="4" t="n"/>
      <c r="E662" s="4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</row>
    <row r="663">
      <c r="A663" s="4" t="inlineStr">
        <is>
          <t>Студент3.13</t>
        </is>
      </c>
      <c r="B663" s="4" t="inlineStr"/>
      <c r="C663" s="4" t="n"/>
      <c r="D663" s="4" t="n"/>
      <c r="E663" s="4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4" t="inlineStr">
        <is>
          <t>Студент3.14</t>
        </is>
      </c>
      <c r="B664" s="4" t="inlineStr"/>
      <c r="C664" s="4" t="n"/>
      <c r="D664" s="4" t="n"/>
      <c r="E664" s="4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</row>
    <row r="665">
      <c r="A665" s="4" t="inlineStr">
        <is>
          <t>Студент3.15</t>
        </is>
      </c>
      <c r="B665" s="4" t="inlineStr"/>
      <c r="C665" s="4" t="n"/>
      <c r="D665" s="4" t="n"/>
      <c r="E665" s="4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4" t="inlineStr">
        <is>
          <t>Студент3.16</t>
        </is>
      </c>
      <c r="B666" s="4" t="inlineStr"/>
      <c r="C666" s="4" t="n"/>
      <c r="D666" s="4" t="n"/>
      <c r="E666" s="4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</row>
    <row r="667">
      <c r="A667" s="4" t="inlineStr">
        <is>
          <t>Студент3.17</t>
        </is>
      </c>
      <c r="B667" s="4" t="inlineStr"/>
      <c r="C667" s="4" t="n"/>
      <c r="D667" s="4" t="n"/>
      <c r="E667" s="4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4" t="inlineStr">
        <is>
          <t>Студент3.18</t>
        </is>
      </c>
      <c r="B668" s="4" t="inlineStr"/>
      <c r="C668" s="4" t="n"/>
      <c r="D668" s="4" t="n"/>
      <c r="E668" s="4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</row>
    <row r="669">
      <c r="A669" s="4" t="inlineStr">
        <is>
          <t>Студент3.19</t>
        </is>
      </c>
      <c r="B669" s="4" t="inlineStr"/>
      <c r="C669" s="4" t="n"/>
      <c r="D669" s="4" t="n"/>
      <c r="E669" s="4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4" t="inlineStr">
        <is>
          <t>Студент3.20</t>
        </is>
      </c>
      <c r="B670" s="4" t="inlineStr"/>
      <c r="C670" s="4" t="n"/>
      <c r="D670" s="4" t="n"/>
      <c r="E670" s="4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</row>
    <row r="671">
      <c r="A671" s="4" t="inlineStr">
        <is>
          <t>Студент3.21</t>
        </is>
      </c>
      <c r="B671" s="4" t="inlineStr"/>
      <c r="C671" s="4" t="n"/>
      <c r="D671" s="4" t="n"/>
      <c r="E671" s="4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4" t="inlineStr">
        <is>
          <t>Студент3.22</t>
        </is>
      </c>
      <c r="B672" s="4" t="inlineStr"/>
      <c r="C672" s="4" t="n"/>
      <c r="D672" s="4" t="n"/>
      <c r="E672" s="4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</row>
    <row r="673">
      <c r="A673" s="4" t="inlineStr">
        <is>
          <t>Студент3.23</t>
        </is>
      </c>
      <c r="B673" s="4" t="inlineStr"/>
      <c r="C673" s="4" t="n"/>
      <c r="D673" s="4" t="n"/>
      <c r="E673" s="4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4" t="inlineStr">
        <is>
          <t>Студент3.24</t>
        </is>
      </c>
      <c r="B674" s="4" t="inlineStr"/>
      <c r="C674" s="4" t="n"/>
      <c r="D674" s="4" t="n"/>
      <c r="E674" s="4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</row>
    <row r="675">
      <c r="A675" s="4" t="inlineStr">
        <is>
          <t>Студент3.25</t>
        </is>
      </c>
      <c r="B675" s="4" t="inlineStr"/>
      <c r="C675" s="4" t="n"/>
      <c r="D675" s="4" t="n"/>
      <c r="E675" s="4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4" t="inlineStr">
        <is>
          <t>Студент3.26</t>
        </is>
      </c>
      <c r="B676" s="4" t="inlineStr"/>
      <c r="C676" s="4" t="n"/>
      <c r="D676" s="4" t="n"/>
      <c r="E676" s="4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</row>
    <row r="677">
      <c r="A677" s="4" t="inlineStr">
        <is>
          <t>Студент3.27</t>
        </is>
      </c>
      <c r="B677" s="4" t="inlineStr"/>
      <c r="C677" s="4" t="n"/>
      <c r="D677" s="4" t="n"/>
      <c r="E677" s="4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4" t="inlineStr">
        <is>
          <t>Студент3.28</t>
        </is>
      </c>
      <c r="B678" s="4" t="inlineStr"/>
      <c r="C678" s="4" t="n"/>
      <c r="D678" s="4" t="n"/>
      <c r="E678" s="4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</row>
    <row r="679">
      <c r="A679" s="4" t="inlineStr">
        <is>
          <t>Студент3.29</t>
        </is>
      </c>
      <c r="B679" s="4" t="inlineStr"/>
      <c r="C679" s="4" t="n"/>
      <c r="D679" s="4" t="n"/>
      <c r="E679" s="4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4" t="inlineStr">
        <is>
          <t>Студент3.30</t>
        </is>
      </c>
      <c r="B680" s="4" t="inlineStr"/>
      <c r="C680" s="4" t="n"/>
      <c r="D680" s="4" t="n"/>
      <c r="E680" s="4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</row>
    <row r="684">
      <c r="A684" s="17" t="inlineStr">
        <is>
          <t>Практика 11 — плюсы</t>
        </is>
      </c>
    </row>
    <row r="685" ht="28" customHeight="1">
      <c r="A685" s="9" t="inlineStr">
        <is>
          <t>Имя</t>
        </is>
      </c>
      <c r="B685" s="11" t="inlineStr">
        <is>
          <t>TG</t>
        </is>
      </c>
      <c r="C685" s="12" t="inlineStr">
        <is>
          <t>S</t>
        </is>
      </c>
      <c r="D685" s="10" t="inlineStr">
        <is>
          <t>Коэффициент</t>
        </is>
      </c>
      <c r="E685" s="18" t="inlineStr">
        <is>
          <t>D за практику</t>
        </is>
      </c>
      <c r="F685" s="13" t="inlineStr">
        <is>
          <t>1.0</t>
        </is>
      </c>
      <c r="G685" s="13" t="inlineStr">
        <is>
          <t>2.0</t>
        </is>
      </c>
      <c r="H685" s="13" t="inlineStr">
        <is>
          <t>3.0</t>
        </is>
      </c>
      <c r="I685" s="13" t="inlineStr">
        <is>
          <t>4.0</t>
        </is>
      </c>
      <c r="J685" s="13" t="inlineStr">
        <is>
          <t>5.0</t>
        </is>
      </c>
      <c r="K685" s="13" t="inlineStr">
        <is>
          <t>6</t>
        </is>
      </c>
      <c r="L685" s="13" t="inlineStr">
        <is>
          <t>7</t>
        </is>
      </c>
      <c r="M685" s="13" t="inlineStr">
        <is>
          <t>8</t>
        </is>
      </c>
      <c r="N685" s="13" t="inlineStr">
        <is>
          <t>9</t>
        </is>
      </c>
      <c r="O685" s="13" t="inlineStr">
        <is>
          <t>10</t>
        </is>
      </c>
      <c r="P685" s="13" t="inlineStr">
        <is>
          <t>11</t>
        </is>
      </c>
      <c r="Q685" s="13" t="inlineStr">
        <is>
          <t>12</t>
        </is>
      </c>
      <c r="R685" s="13" t="inlineStr">
        <is>
          <t>13</t>
        </is>
      </c>
      <c r="S685" s="13" t="inlineStr">
        <is>
          <t>14</t>
        </is>
      </c>
      <c r="T685" s="13" t="inlineStr">
        <is>
          <t>15</t>
        </is>
      </c>
      <c r="U685" s="13" t="inlineStr">
        <is>
          <t>16</t>
        </is>
      </c>
      <c r="V685" s="13" t="inlineStr">
        <is>
          <t>17</t>
        </is>
      </c>
      <c r="W685" s="13" t="inlineStr">
        <is>
          <t>18</t>
        </is>
      </c>
      <c r="X685" s="13" t="inlineStr">
        <is>
          <t>19</t>
        </is>
      </c>
      <c r="Y685" s="13" t="inlineStr">
        <is>
          <t>20</t>
        </is>
      </c>
      <c r="Z685" s="13" t="inlineStr">
        <is>
          <t>21</t>
        </is>
      </c>
      <c r="AA685" s="13" t="inlineStr">
        <is>
          <t>22</t>
        </is>
      </c>
      <c r="AB685" s="13" t="inlineStr">
        <is>
          <t>23</t>
        </is>
      </c>
      <c r="AC685" s="13" t="inlineStr">
        <is>
          <t>24</t>
        </is>
      </c>
      <c r="AD685" s="13" t="inlineStr">
        <is>
          <t>25</t>
        </is>
      </c>
      <c r="AE685" s="13" t="inlineStr">
        <is>
          <t>26</t>
        </is>
      </c>
      <c r="AF685" s="13" t="inlineStr">
        <is>
          <t>27</t>
        </is>
      </c>
      <c r="AG685" s="13" t="inlineStr">
        <is>
          <t>28</t>
        </is>
      </c>
      <c r="AH685" s="13" t="inlineStr">
        <is>
          <t>29</t>
        </is>
      </c>
      <c r="AI685" s="13" t="inlineStr">
        <is>
          <t>30</t>
        </is>
      </c>
    </row>
    <row r="686">
      <c r="A686" s="4" t="inlineStr">
        <is>
          <t>Студент3.1</t>
        </is>
      </c>
      <c r="B686" s="4" t="inlineStr"/>
      <c r="C686" s="4">
        <f>IF(A686="","",COUNTIF(F686:AI686,"+")+COUNTIF(F686:AI686,"1"))</f>
        <v/>
      </c>
      <c r="D686" s="4">
        <f>IF(A686="","",IF(C686&gt;2*COUNTA(F$685:AI$685)/3,'Общий'!$M$11,IF(C686&gt;=COUNTA(F$685:AI$685)/2,'Общий'!$M$12,'Общий'!$M$13)))</f>
        <v/>
      </c>
      <c r="E686" s="4">
        <f>IF(A686="","",SUMIFS('Логи'!$H$7:$H$3006,'Логи'!$A$7:$A$3006,11,'Логи'!$B$7:$B$3006,3,'Логи'!$C$7:$C$3006,A686))</f>
        <v/>
      </c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</row>
    <row r="687">
      <c r="A687" s="4" t="inlineStr">
        <is>
          <t>Студент3.2</t>
        </is>
      </c>
      <c r="B687" s="4" t="inlineStr"/>
      <c r="C687" s="4">
        <f>IF(A687="","",COUNTIF(F687:AI687,"+")+COUNTIF(F687:AI687,"1"))</f>
        <v/>
      </c>
      <c r="D687" s="4">
        <f>IF(A687="","",IF(C687&gt;2*COUNTA(F$685:AI$685)/3,'Общий'!$M$11,IF(C687&gt;=COUNTA(F$685:AI$685)/2,'Общий'!$M$12,'Общий'!$M$13)))</f>
        <v/>
      </c>
      <c r="E687" s="4">
        <f>IF(A687="","",SUMIFS('Логи'!$H$7:$H$3006,'Логи'!$A$7:$A$3006,11,'Логи'!$B$7:$B$3006,3,'Логи'!$C$7:$C$3006,A687))</f>
        <v/>
      </c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4" t="inlineStr">
        <is>
          <t>Студент3.3</t>
        </is>
      </c>
      <c r="B688" s="4" t="inlineStr"/>
      <c r="C688" s="4">
        <f>IF(A688="","",COUNTIF(F688:AI688,"+")+COUNTIF(F688:AI688,"1"))</f>
        <v/>
      </c>
      <c r="D688" s="4">
        <f>IF(A688="","",IF(C688&gt;2*COUNTA(F$685:AI$685)/3,'Общий'!$M$11,IF(C688&gt;=COUNTA(F$685:AI$685)/2,'Общий'!$M$12,'Общий'!$M$13)))</f>
        <v/>
      </c>
      <c r="E688" s="4">
        <f>IF(A688="","",SUMIFS('Логи'!$H$7:$H$3006,'Логи'!$A$7:$A$3006,11,'Логи'!$B$7:$B$3006,3,'Логи'!$C$7:$C$3006,A688))</f>
        <v/>
      </c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</row>
    <row r="689">
      <c r="A689" s="4" t="inlineStr">
        <is>
          <t>Студент3.4</t>
        </is>
      </c>
      <c r="B689" s="4" t="inlineStr"/>
      <c r="C689" s="4">
        <f>IF(A689="","",COUNTIF(F689:AI689,"+")+COUNTIF(F689:AI689,"1"))</f>
        <v/>
      </c>
      <c r="D689" s="4">
        <f>IF(A689="","",IF(C689&gt;2*COUNTA(F$685:AI$685)/3,'Общий'!$M$11,IF(C689&gt;=COUNTA(F$685:AI$685)/2,'Общий'!$M$12,'Общий'!$M$13)))</f>
        <v/>
      </c>
      <c r="E689" s="4">
        <f>IF(A689="","",SUMIFS('Логи'!$H$7:$H$3006,'Логи'!$A$7:$A$3006,11,'Логи'!$B$7:$B$3006,3,'Логи'!$C$7:$C$3006,A689))</f>
        <v/>
      </c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4" t="inlineStr">
        <is>
          <t>Студент3.5</t>
        </is>
      </c>
      <c r="B690" s="4" t="inlineStr"/>
      <c r="C690" s="4">
        <f>IF(A690="","",COUNTIF(F690:AI690,"+")+COUNTIF(F690:AI690,"1"))</f>
        <v/>
      </c>
      <c r="D690" s="4">
        <f>IF(A690="","",IF(C690&gt;2*COUNTA(F$685:AI$685)/3,'Общий'!$M$11,IF(C690&gt;=COUNTA(F$685:AI$685)/2,'Общий'!$M$12,'Общий'!$M$13)))</f>
        <v/>
      </c>
      <c r="E690" s="4">
        <f>IF(A690="","",SUMIFS('Логи'!$H$7:$H$3006,'Логи'!$A$7:$A$3006,11,'Логи'!$B$7:$B$3006,3,'Логи'!$C$7:$C$3006,A690))</f>
        <v/>
      </c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</row>
    <row r="691">
      <c r="A691" s="4" t="inlineStr">
        <is>
          <t>Студент3.6</t>
        </is>
      </c>
      <c r="B691" s="4" t="inlineStr"/>
      <c r="C691" s="4">
        <f>IF(A691="","",COUNTIF(F691:AI691,"+")+COUNTIF(F691:AI691,"1"))</f>
        <v/>
      </c>
      <c r="D691" s="4">
        <f>IF(A691="","",IF(C691&gt;2*COUNTA(F$685:AI$685)/3,'Общий'!$M$11,IF(C691&gt;=COUNTA(F$685:AI$685)/2,'Общий'!$M$12,'Общий'!$M$13)))</f>
        <v/>
      </c>
      <c r="E691" s="4">
        <f>IF(A691="","",SUMIFS('Логи'!$H$7:$H$3006,'Логи'!$A$7:$A$3006,11,'Логи'!$B$7:$B$3006,3,'Логи'!$C$7:$C$3006,A691))</f>
        <v/>
      </c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4" t="inlineStr">
        <is>
          <t>Студент3.7</t>
        </is>
      </c>
      <c r="B692" s="4" t="inlineStr"/>
      <c r="C692" s="4">
        <f>IF(A692="","",COUNTIF(F692:AI692,"+")+COUNTIF(F692:AI692,"1"))</f>
        <v/>
      </c>
      <c r="D692" s="4">
        <f>IF(A692="","",IF(C692&gt;2*COUNTA(F$685:AI$685)/3,'Общий'!$M$11,IF(C692&gt;=COUNTA(F$685:AI$685)/2,'Общий'!$M$12,'Общий'!$M$13)))</f>
        <v/>
      </c>
      <c r="E692" s="4">
        <f>IF(A692="","",SUMIFS('Логи'!$H$7:$H$3006,'Логи'!$A$7:$A$3006,11,'Логи'!$B$7:$B$3006,3,'Логи'!$C$7:$C$3006,A692))</f>
        <v/>
      </c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</row>
    <row r="693">
      <c r="A693" s="4" t="inlineStr">
        <is>
          <t>Студент3.8</t>
        </is>
      </c>
      <c r="B693" s="4" t="inlineStr"/>
      <c r="C693" s="4">
        <f>IF(A693="","",COUNTIF(F693:AI693,"+")+COUNTIF(F693:AI693,"1"))</f>
        <v/>
      </c>
      <c r="D693" s="4">
        <f>IF(A693="","",IF(C693&gt;2*COUNTA(F$685:AI$685)/3,'Общий'!$M$11,IF(C693&gt;=COUNTA(F$685:AI$685)/2,'Общий'!$M$12,'Общий'!$M$13)))</f>
        <v/>
      </c>
      <c r="E693" s="4">
        <f>IF(A693="","",SUMIFS('Логи'!$H$7:$H$3006,'Логи'!$A$7:$A$3006,11,'Логи'!$B$7:$B$3006,3,'Логи'!$C$7:$C$3006,A693))</f>
        <v/>
      </c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4" t="inlineStr">
        <is>
          <t>Студент3.9</t>
        </is>
      </c>
      <c r="B694" s="4" t="inlineStr"/>
      <c r="C694" s="4">
        <f>IF(A694="","",COUNTIF(F694:AI694,"+")+COUNTIF(F694:AI694,"1"))</f>
        <v/>
      </c>
      <c r="D694" s="4">
        <f>IF(A694="","",IF(C694&gt;2*COUNTA(F$685:AI$685)/3,'Общий'!$M$11,IF(C694&gt;=COUNTA(F$685:AI$685)/2,'Общий'!$M$12,'Общий'!$M$13)))</f>
        <v/>
      </c>
      <c r="E694" s="4">
        <f>IF(A694="","",SUMIFS('Логи'!$H$7:$H$3006,'Логи'!$A$7:$A$3006,11,'Логи'!$B$7:$B$3006,3,'Логи'!$C$7:$C$3006,A694))</f>
        <v/>
      </c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</row>
    <row r="695">
      <c r="A695" s="4" t="inlineStr">
        <is>
          <t>Студент3.10</t>
        </is>
      </c>
      <c r="B695" s="4" t="inlineStr"/>
      <c r="C695" s="4">
        <f>IF(A695="","",COUNTIF(F695:AI695,"+")+COUNTIF(F695:AI695,"1"))</f>
        <v/>
      </c>
      <c r="D695" s="4">
        <f>IF(A695="","",IF(C695&gt;2*COUNTA(F$685:AI$685)/3,'Общий'!$M$11,IF(C695&gt;=COUNTA(F$685:AI$685)/2,'Общий'!$M$12,'Общий'!$M$13)))</f>
        <v/>
      </c>
      <c r="E695" s="4">
        <f>IF(A695="","",SUMIFS('Логи'!$H$7:$H$3006,'Логи'!$A$7:$A$3006,11,'Логи'!$B$7:$B$3006,3,'Логи'!$C$7:$C$3006,A695))</f>
        <v/>
      </c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4" t="inlineStr">
        <is>
          <t>Студент3.11</t>
        </is>
      </c>
      <c r="B696" s="4" t="inlineStr"/>
      <c r="C696" s="4">
        <f>IF(A696="","",COUNTIF(F696:AI696,"+")+COUNTIF(F696:AI696,"1"))</f>
        <v/>
      </c>
      <c r="D696" s="4">
        <f>IF(A696="","",IF(C696&gt;2*COUNTA(F$685:AI$685)/3,'Общий'!$M$11,IF(C696&gt;=COUNTA(F$685:AI$685)/2,'Общий'!$M$12,'Общий'!$M$13)))</f>
        <v/>
      </c>
      <c r="E696" s="4">
        <f>IF(A696="","",SUMIFS('Логи'!$H$7:$H$3006,'Логи'!$A$7:$A$3006,11,'Логи'!$B$7:$B$3006,3,'Логи'!$C$7:$C$3006,A696))</f>
        <v/>
      </c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</row>
    <row r="697">
      <c r="A697" s="4" t="inlineStr">
        <is>
          <t>Студент3.12</t>
        </is>
      </c>
      <c r="B697" s="4" t="inlineStr"/>
      <c r="C697" s="4">
        <f>IF(A697="","",COUNTIF(F697:AI697,"+")+COUNTIF(F697:AI697,"1"))</f>
        <v/>
      </c>
      <c r="D697" s="4">
        <f>IF(A697="","",IF(C697&gt;2*COUNTA(F$685:AI$685)/3,'Общий'!$M$11,IF(C697&gt;=COUNTA(F$685:AI$685)/2,'Общий'!$M$12,'Общий'!$M$13)))</f>
        <v/>
      </c>
      <c r="E697" s="4">
        <f>IF(A697="","",SUMIFS('Логи'!$H$7:$H$3006,'Логи'!$A$7:$A$3006,11,'Логи'!$B$7:$B$3006,3,'Логи'!$C$7:$C$3006,A697))</f>
        <v/>
      </c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4" t="inlineStr">
        <is>
          <t>Студент3.13</t>
        </is>
      </c>
      <c r="B698" s="4" t="inlineStr"/>
      <c r="C698" s="4">
        <f>IF(A698="","",COUNTIF(F698:AI698,"+")+COUNTIF(F698:AI698,"1"))</f>
        <v/>
      </c>
      <c r="D698" s="4">
        <f>IF(A698="","",IF(C698&gt;2*COUNTA(F$685:AI$685)/3,'Общий'!$M$11,IF(C698&gt;=COUNTA(F$685:AI$685)/2,'Общий'!$M$12,'Общий'!$M$13)))</f>
        <v/>
      </c>
      <c r="E698" s="4">
        <f>IF(A698="","",SUMIFS('Логи'!$H$7:$H$3006,'Логи'!$A$7:$A$3006,11,'Логи'!$B$7:$B$3006,3,'Логи'!$C$7:$C$3006,A698))</f>
        <v/>
      </c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</row>
    <row r="699">
      <c r="A699" s="4" t="inlineStr">
        <is>
          <t>Студент3.14</t>
        </is>
      </c>
      <c r="B699" s="4" t="inlineStr"/>
      <c r="C699" s="4">
        <f>IF(A699="","",COUNTIF(F699:AI699,"+")+COUNTIF(F699:AI699,"1"))</f>
        <v/>
      </c>
      <c r="D699" s="4">
        <f>IF(A699="","",IF(C699&gt;2*COUNTA(F$685:AI$685)/3,'Общий'!$M$11,IF(C699&gt;=COUNTA(F$685:AI$685)/2,'Общий'!$M$12,'Общий'!$M$13)))</f>
        <v/>
      </c>
      <c r="E699" s="4">
        <f>IF(A699="","",SUMIFS('Логи'!$H$7:$H$3006,'Логи'!$A$7:$A$3006,11,'Логи'!$B$7:$B$3006,3,'Логи'!$C$7:$C$3006,A699))</f>
        <v/>
      </c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4" t="inlineStr">
        <is>
          <t>Студент3.15</t>
        </is>
      </c>
      <c r="B700" s="4" t="inlineStr"/>
      <c r="C700" s="4">
        <f>IF(A700="","",COUNTIF(F700:AI700,"+")+COUNTIF(F700:AI700,"1"))</f>
        <v/>
      </c>
      <c r="D700" s="4">
        <f>IF(A700="","",IF(C700&gt;2*COUNTA(F$685:AI$685)/3,'Общий'!$M$11,IF(C700&gt;=COUNTA(F$685:AI$685)/2,'Общий'!$M$12,'Общий'!$M$13)))</f>
        <v/>
      </c>
      <c r="E700" s="4">
        <f>IF(A700="","",SUMIFS('Логи'!$H$7:$H$3006,'Логи'!$A$7:$A$3006,11,'Логи'!$B$7:$B$3006,3,'Логи'!$C$7:$C$3006,A700))</f>
        <v/>
      </c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</row>
    <row r="701">
      <c r="A701" s="4" t="inlineStr">
        <is>
          <t>Студент3.16</t>
        </is>
      </c>
      <c r="B701" s="4" t="inlineStr"/>
      <c r="C701" s="4">
        <f>IF(A701="","",COUNTIF(F701:AI701,"+")+COUNTIF(F701:AI701,"1"))</f>
        <v/>
      </c>
      <c r="D701" s="4">
        <f>IF(A701="","",IF(C701&gt;2*COUNTA(F$685:AI$685)/3,'Общий'!$M$11,IF(C701&gt;=COUNTA(F$685:AI$685)/2,'Общий'!$M$12,'Общий'!$M$13)))</f>
        <v/>
      </c>
      <c r="E701" s="4">
        <f>IF(A701="","",SUMIFS('Логи'!$H$7:$H$3006,'Логи'!$A$7:$A$3006,11,'Логи'!$B$7:$B$3006,3,'Логи'!$C$7:$C$3006,A701))</f>
        <v/>
      </c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4" t="inlineStr">
        <is>
          <t>Студент3.17</t>
        </is>
      </c>
      <c r="B702" s="4" t="inlineStr"/>
      <c r="C702" s="4">
        <f>IF(A702="","",COUNTIF(F702:AI702,"+")+COUNTIF(F702:AI702,"1"))</f>
        <v/>
      </c>
      <c r="D702" s="4">
        <f>IF(A702="","",IF(C702&gt;2*COUNTA(F$685:AI$685)/3,'Общий'!$M$11,IF(C702&gt;=COUNTA(F$685:AI$685)/2,'Общий'!$M$12,'Общий'!$M$13)))</f>
        <v/>
      </c>
      <c r="E702" s="4">
        <f>IF(A702="","",SUMIFS('Логи'!$H$7:$H$3006,'Логи'!$A$7:$A$3006,11,'Логи'!$B$7:$B$3006,3,'Логи'!$C$7:$C$3006,A702))</f>
        <v/>
      </c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</row>
    <row r="703">
      <c r="A703" s="4" t="inlineStr">
        <is>
          <t>Студент3.18</t>
        </is>
      </c>
      <c r="B703" s="4" t="inlineStr"/>
      <c r="C703" s="4">
        <f>IF(A703="","",COUNTIF(F703:AI703,"+")+COUNTIF(F703:AI703,"1"))</f>
        <v/>
      </c>
      <c r="D703" s="4">
        <f>IF(A703="","",IF(C703&gt;2*COUNTA(F$685:AI$685)/3,'Общий'!$M$11,IF(C703&gt;=COUNTA(F$685:AI$685)/2,'Общий'!$M$12,'Общий'!$M$13)))</f>
        <v/>
      </c>
      <c r="E703" s="4">
        <f>IF(A703="","",SUMIFS('Логи'!$H$7:$H$3006,'Логи'!$A$7:$A$3006,11,'Логи'!$B$7:$B$3006,3,'Логи'!$C$7:$C$3006,A703))</f>
        <v/>
      </c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4" t="inlineStr">
        <is>
          <t>Студент3.19</t>
        </is>
      </c>
      <c r="B704" s="4" t="inlineStr"/>
      <c r="C704" s="4">
        <f>IF(A704="","",COUNTIF(F704:AI704,"+")+COUNTIF(F704:AI704,"1"))</f>
        <v/>
      </c>
      <c r="D704" s="4">
        <f>IF(A704="","",IF(C704&gt;2*COUNTA(F$685:AI$685)/3,'Общий'!$M$11,IF(C704&gt;=COUNTA(F$685:AI$685)/2,'Общий'!$M$12,'Общий'!$M$13)))</f>
        <v/>
      </c>
      <c r="E704" s="4">
        <f>IF(A704="","",SUMIFS('Логи'!$H$7:$H$3006,'Логи'!$A$7:$A$3006,11,'Логи'!$B$7:$B$3006,3,'Логи'!$C$7:$C$3006,A704))</f>
        <v/>
      </c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</row>
    <row r="705">
      <c r="A705" s="4" t="inlineStr">
        <is>
          <t>Студент3.20</t>
        </is>
      </c>
      <c r="B705" s="4" t="inlineStr"/>
      <c r="C705" s="4">
        <f>IF(A705="","",COUNTIF(F705:AI705,"+")+COUNTIF(F705:AI705,"1"))</f>
        <v/>
      </c>
      <c r="D705" s="4">
        <f>IF(A705="","",IF(C705&gt;2*COUNTA(F$685:AI$685)/3,'Общий'!$M$11,IF(C705&gt;=COUNTA(F$685:AI$685)/2,'Общий'!$M$12,'Общий'!$M$13)))</f>
        <v/>
      </c>
      <c r="E705" s="4">
        <f>IF(A705="","",SUMIFS('Логи'!$H$7:$H$3006,'Логи'!$A$7:$A$3006,11,'Логи'!$B$7:$B$3006,3,'Логи'!$C$7:$C$3006,A705))</f>
        <v/>
      </c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4" t="inlineStr">
        <is>
          <t>Студент3.21</t>
        </is>
      </c>
      <c r="B706" s="4" t="inlineStr"/>
      <c r="C706" s="4">
        <f>IF(A706="","",COUNTIF(F706:AI706,"+")+COUNTIF(F706:AI706,"1"))</f>
        <v/>
      </c>
      <c r="D706" s="4">
        <f>IF(A706="","",IF(C706&gt;2*COUNTA(F$685:AI$685)/3,'Общий'!$M$11,IF(C706&gt;=COUNTA(F$685:AI$685)/2,'Общий'!$M$12,'Общий'!$M$13)))</f>
        <v/>
      </c>
      <c r="E706" s="4">
        <f>IF(A706="","",SUMIFS('Логи'!$H$7:$H$3006,'Логи'!$A$7:$A$3006,11,'Логи'!$B$7:$B$3006,3,'Логи'!$C$7:$C$3006,A706))</f>
        <v/>
      </c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</row>
    <row r="707">
      <c r="A707" s="4" t="inlineStr">
        <is>
          <t>Студент3.22</t>
        </is>
      </c>
      <c r="B707" s="4" t="inlineStr"/>
      <c r="C707" s="4">
        <f>IF(A707="","",COUNTIF(F707:AI707,"+")+COUNTIF(F707:AI707,"1"))</f>
        <v/>
      </c>
      <c r="D707" s="4">
        <f>IF(A707="","",IF(C707&gt;2*COUNTA(F$685:AI$685)/3,'Общий'!$M$11,IF(C707&gt;=COUNTA(F$685:AI$685)/2,'Общий'!$M$12,'Общий'!$M$13)))</f>
        <v/>
      </c>
      <c r="E707" s="4">
        <f>IF(A707="","",SUMIFS('Логи'!$H$7:$H$3006,'Логи'!$A$7:$A$3006,11,'Логи'!$B$7:$B$3006,3,'Логи'!$C$7:$C$3006,A707))</f>
        <v/>
      </c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4" t="inlineStr">
        <is>
          <t>Студент3.23</t>
        </is>
      </c>
      <c r="B708" s="4" t="inlineStr"/>
      <c r="C708" s="4">
        <f>IF(A708="","",COUNTIF(F708:AI708,"+")+COUNTIF(F708:AI708,"1"))</f>
        <v/>
      </c>
      <c r="D708" s="4">
        <f>IF(A708="","",IF(C708&gt;2*COUNTA(F$685:AI$685)/3,'Общий'!$M$11,IF(C708&gt;=COUNTA(F$685:AI$685)/2,'Общий'!$M$12,'Общий'!$M$13)))</f>
        <v/>
      </c>
      <c r="E708" s="4">
        <f>IF(A708="","",SUMIFS('Логи'!$H$7:$H$3006,'Логи'!$A$7:$A$3006,11,'Логи'!$B$7:$B$3006,3,'Логи'!$C$7:$C$3006,A708))</f>
        <v/>
      </c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</row>
    <row r="709">
      <c r="A709" s="4" t="inlineStr">
        <is>
          <t>Студент3.24</t>
        </is>
      </c>
      <c r="B709" s="4" t="inlineStr"/>
      <c r="C709" s="4">
        <f>IF(A709="","",COUNTIF(F709:AI709,"+")+COUNTIF(F709:AI709,"1"))</f>
        <v/>
      </c>
      <c r="D709" s="4">
        <f>IF(A709="","",IF(C709&gt;2*COUNTA(F$685:AI$685)/3,'Общий'!$M$11,IF(C709&gt;=COUNTA(F$685:AI$685)/2,'Общий'!$M$12,'Общий'!$M$13)))</f>
        <v/>
      </c>
      <c r="E709" s="4">
        <f>IF(A709="","",SUMIFS('Логи'!$H$7:$H$3006,'Логи'!$A$7:$A$3006,11,'Логи'!$B$7:$B$3006,3,'Логи'!$C$7:$C$3006,A709))</f>
        <v/>
      </c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4" t="inlineStr">
        <is>
          <t>Студент3.25</t>
        </is>
      </c>
      <c r="B710" s="4" t="inlineStr"/>
      <c r="C710" s="4">
        <f>IF(A710="","",COUNTIF(F710:AI710,"+")+COUNTIF(F710:AI710,"1"))</f>
        <v/>
      </c>
      <c r="D710" s="4">
        <f>IF(A710="","",IF(C710&gt;2*COUNTA(F$685:AI$685)/3,'Общий'!$M$11,IF(C710&gt;=COUNTA(F$685:AI$685)/2,'Общий'!$M$12,'Общий'!$M$13)))</f>
        <v/>
      </c>
      <c r="E710" s="4">
        <f>IF(A710="","",SUMIFS('Логи'!$H$7:$H$3006,'Логи'!$A$7:$A$3006,11,'Логи'!$B$7:$B$3006,3,'Логи'!$C$7:$C$3006,A710))</f>
        <v/>
      </c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</row>
    <row r="711">
      <c r="A711" s="4" t="inlineStr">
        <is>
          <t>Студент3.26</t>
        </is>
      </c>
      <c r="B711" s="4" t="inlineStr"/>
      <c r="C711" s="4">
        <f>IF(A711="","",COUNTIF(F711:AI711,"+")+COUNTIF(F711:AI711,"1"))</f>
        <v/>
      </c>
      <c r="D711" s="4">
        <f>IF(A711="","",IF(C711&gt;2*COUNTA(F$685:AI$685)/3,'Общий'!$M$11,IF(C711&gt;=COUNTA(F$685:AI$685)/2,'Общий'!$M$12,'Общий'!$M$13)))</f>
        <v/>
      </c>
      <c r="E711" s="4">
        <f>IF(A711="","",SUMIFS('Логи'!$H$7:$H$3006,'Логи'!$A$7:$A$3006,11,'Логи'!$B$7:$B$3006,3,'Логи'!$C$7:$C$3006,A711))</f>
        <v/>
      </c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4" t="inlineStr">
        <is>
          <t>Студент3.27</t>
        </is>
      </c>
      <c r="B712" s="4" t="inlineStr"/>
      <c r="C712" s="4">
        <f>IF(A712="","",COUNTIF(F712:AI712,"+")+COUNTIF(F712:AI712,"1"))</f>
        <v/>
      </c>
      <c r="D712" s="4">
        <f>IF(A712="","",IF(C712&gt;2*COUNTA(F$685:AI$685)/3,'Общий'!$M$11,IF(C712&gt;=COUNTA(F$685:AI$685)/2,'Общий'!$M$12,'Общий'!$M$13)))</f>
        <v/>
      </c>
      <c r="E712" s="4">
        <f>IF(A712="","",SUMIFS('Логи'!$H$7:$H$3006,'Логи'!$A$7:$A$3006,11,'Логи'!$B$7:$B$3006,3,'Логи'!$C$7:$C$3006,A712))</f>
        <v/>
      </c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</row>
    <row r="713">
      <c r="A713" s="4" t="inlineStr">
        <is>
          <t>Студент3.28</t>
        </is>
      </c>
      <c r="B713" s="4" t="inlineStr"/>
      <c r="C713" s="4">
        <f>IF(A713="","",COUNTIF(F713:AI713,"+")+COUNTIF(F713:AI713,"1"))</f>
        <v/>
      </c>
      <c r="D713" s="4">
        <f>IF(A713="","",IF(C713&gt;2*COUNTA(F$685:AI$685)/3,'Общий'!$M$11,IF(C713&gt;=COUNTA(F$685:AI$685)/2,'Общий'!$M$12,'Общий'!$M$13)))</f>
        <v/>
      </c>
      <c r="E713" s="4">
        <f>IF(A713="","",SUMIFS('Логи'!$H$7:$H$3006,'Логи'!$A$7:$A$3006,11,'Логи'!$B$7:$B$3006,3,'Логи'!$C$7:$C$3006,A713))</f>
        <v/>
      </c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4" t="inlineStr">
        <is>
          <t>Студент3.29</t>
        </is>
      </c>
      <c r="B714" s="4" t="inlineStr"/>
      <c r="C714" s="4">
        <f>IF(A714="","",COUNTIF(F714:AI714,"+")+COUNTIF(F714:AI714,"1"))</f>
        <v/>
      </c>
      <c r="D714" s="4">
        <f>IF(A714="","",IF(C714&gt;2*COUNTA(F$685:AI$685)/3,'Общий'!$M$11,IF(C714&gt;=COUNTA(F$685:AI$685)/2,'Общий'!$M$12,'Общий'!$M$13)))</f>
        <v/>
      </c>
      <c r="E714" s="4">
        <f>IF(A714="","",SUMIFS('Логи'!$H$7:$H$3006,'Логи'!$A$7:$A$3006,11,'Логи'!$B$7:$B$3006,3,'Логи'!$C$7:$C$3006,A714))</f>
        <v/>
      </c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</row>
    <row r="715">
      <c r="A715" s="4" t="inlineStr">
        <is>
          <t>Студент3.30</t>
        </is>
      </c>
      <c r="B715" s="4" t="inlineStr"/>
      <c r="C715" s="4">
        <f>IF(A715="","",COUNTIF(F715:AI715,"+")+COUNTIF(F715:AI715,"1"))</f>
        <v/>
      </c>
      <c r="D715" s="4">
        <f>IF(A715="","",IF(C715&gt;2*COUNTA(F$685:AI$685)/3,'Общий'!$M$11,IF(C715&gt;=COUNTA(F$685:AI$685)/2,'Общий'!$M$12,'Общий'!$M$13)))</f>
        <v/>
      </c>
      <c r="E715" s="4">
        <f>IF(A715="","",SUMIFS('Логи'!$H$7:$H$3006,'Логи'!$A$7:$A$3006,11,'Логи'!$B$7:$B$3006,3,'Логи'!$C$7:$C$3006,A715))</f>
        <v/>
      </c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7">
      <c r="A717" s="19" t="inlineStr">
        <is>
          <t>Практика 11 — результаты рассказа</t>
        </is>
      </c>
    </row>
    <row r="718" ht="28" customHeight="1">
      <c r="A718" s="9" t="inlineStr">
        <is>
          <t>Имя</t>
        </is>
      </c>
      <c r="B718" s="11" t="inlineStr">
        <is>
          <t>TG</t>
        </is>
      </c>
      <c r="C718" s="12" t="inlineStr"/>
      <c r="D718" s="3" t="inlineStr"/>
      <c r="E718" s="3" t="inlineStr"/>
      <c r="F718" s="13" t="inlineStr">
        <is>
          <t>1.0</t>
        </is>
      </c>
      <c r="G718" s="13" t="inlineStr">
        <is>
          <t>2.0</t>
        </is>
      </c>
      <c r="H718" s="13" t="inlineStr">
        <is>
          <t>3.0</t>
        </is>
      </c>
      <c r="I718" s="13" t="inlineStr">
        <is>
          <t>4.0</t>
        </is>
      </c>
      <c r="J718" s="13" t="inlineStr">
        <is>
          <t>5.0</t>
        </is>
      </c>
      <c r="K718" s="13" t="inlineStr">
        <is>
          <t>6</t>
        </is>
      </c>
      <c r="L718" s="13" t="inlineStr">
        <is>
          <t>7</t>
        </is>
      </c>
      <c r="M718" s="13" t="inlineStr">
        <is>
          <t>8</t>
        </is>
      </c>
      <c r="N718" s="13" t="inlineStr">
        <is>
          <t>9</t>
        </is>
      </c>
      <c r="O718" s="13" t="inlineStr">
        <is>
          <t>10</t>
        </is>
      </c>
      <c r="P718" s="13" t="inlineStr">
        <is>
          <t>11</t>
        </is>
      </c>
      <c r="Q718" s="13" t="inlineStr">
        <is>
          <t>12</t>
        </is>
      </c>
      <c r="R718" s="13" t="inlineStr">
        <is>
          <t>13</t>
        </is>
      </c>
      <c r="S718" s="13" t="inlineStr">
        <is>
          <t>14</t>
        </is>
      </c>
      <c r="T718" s="13" t="inlineStr">
        <is>
          <t>15</t>
        </is>
      </c>
      <c r="U718" s="13" t="inlineStr">
        <is>
          <t>16</t>
        </is>
      </c>
      <c r="V718" s="13" t="inlineStr">
        <is>
          <t>17</t>
        </is>
      </c>
      <c r="W718" s="13" t="inlineStr">
        <is>
          <t>18</t>
        </is>
      </c>
      <c r="X718" s="13" t="inlineStr">
        <is>
          <t>19</t>
        </is>
      </c>
      <c r="Y718" s="13" t="inlineStr">
        <is>
          <t>20</t>
        </is>
      </c>
      <c r="Z718" s="13" t="inlineStr">
        <is>
          <t>21</t>
        </is>
      </c>
      <c r="AA718" s="13" t="inlineStr">
        <is>
          <t>22</t>
        </is>
      </c>
      <c r="AB718" s="13" t="inlineStr">
        <is>
          <t>23</t>
        </is>
      </c>
      <c r="AC718" s="13" t="inlineStr">
        <is>
          <t>24</t>
        </is>
      </c>
      <c r="AD718" s="13" t="inlineStr">
        <is>
          <t>25</t>
        </is>
      </c>
      <c r="AE718" s="13" t="inlineStr">
        <is>
          <t>26</t>
        </is>
      </c>
      <c r="AF718" s="13" t="inlineStr">
        <is>
          <t>27</t>
        </is>
      </c>
      <c r="AG718" s="13" t="inlineStr">
        <is>
          <t>28</t>
        </is>
      </c>
      <c r="AH718" s="13" t="inlineStr">
        <is>
          <t>29</t>
        </is>
      </c>
      <c r="AI718" s="13" t="inlineStr">
        <is>
          <t>30</t>
        </is>
      </c>
    </row>
    <row r="719">
      <c r="A719" s="4" t="inlineStr">
        <is>
          <t>Студент3.1</t>
        </is>
      </c>
      <c r="B719" s="4" t="inlineStr"/>
      <c r="C719" s="4" t="n"/>
      <c r="D719" s="4" t="n"/>
      <c r="E719" s="4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4" t="inlineStr">
        <is>
          <t>Студент3.2</t>
        </is>
      </c>
      <c r="B720" s="4" t="inlineStr"/>
      <c r="C720" s="4" t="n"/>
      <c r="D720" s="4" t="n"/>
      <c r="E720" s="4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</row>
    <row r="721">
      <c r="A721" s="4" t="inlineStr">
        <is>
          <t>Студент3.3</t>
        </is>
      </c>
      <c r="B721" s="4" t="inlineStr"/>
      <c r="C721" s="4" t="n"/>
      <c r="D721" s="4" t="n"/>
      <c r="E721" s="4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4" t="inlineStr">
        <is>
          <t>Студент3.4</t>
        </is>
      </c>
      <c r="B722" s="4" t="inlineStr"/>
      <c r="C722" s="4" t="n"/>
      <c r="D722" s="4" t="n"/>
      <c r="E722" s="4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</row>
    <row r="723">
      <c r="A723" s="4" t="inlineStr">
        <is>
          <t>Студент3.5</t>
        </is>
      </c>
      <c r="B723" s="4" t="inlineStr"/>
      <c r="C723" s="4" t="n"/>
      <c r="D723" s="4" t="n"/>
      <c r="E723" s="4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4" t="inlineStr">
        <is>
          <t>Студент3.6</t>
        </is>
      </c>
      <c r="B724" s="4" t="inlineStr"/>
      <c r="C724" s="4" t="n"/>
      <c r="D724" s="4" t="n"/>
      <c r="E724" s="4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</row>
    <row r="725">
      <c r="A725" s="4" t="inlineStr">
        <is>
          <t>Студент3.7</t>
        </is>
      </c>
      <c r="B725" s="4" t="inlineStr"/>
      <c r="C725" s="4" t="n"/>
      <c r="D725" s="4" t="n"/>
      <c r="E725" s="4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4" t="inlineStr">
        <is>
          <t>Студент3.8</t>
        </is>
      </c>
      <c r="B726" s="4" t="inlineStr"/>
      <c r="C726" s="4" t="n"/>
      <c r="D726" s="4" t="n"/>
      <c r="E726" s="4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</row>
    <row r="727">
      <c r="A727" s="4" t="inlineStr">
        <is>
          <t>Студент3.9</t>
        </is>
      </c>
      <c r="B727" s="4" t="inlineStr"/>
      <c r="C727" s="4" t="n"/>
      <c r="D727" s="4" t="n"/>
      <c r="E727" s="4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4" t="inlineStr">
        <is>
          <t>Студент3.10</t>
        </is>
      </c>
      <c r="B728" s="4" t="inlineStr"/>
      <c r="C728" s="4" t="n"/>
      <c r="D728" s="4" t="n"/>
      <c r="E728" s="4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</row>
    <row r="729">
      <c r="A729" s="4" t="inlineStr">
        <is>
          <t>Студент3.11</t>
        </is>
      </c>
      <c r="B729" s="4" t="inlineStr"/>
      <c r="C729" s="4" t="n"/>
      <c r="D729" s="4" t="n"/>
      <c r="E729" s="4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4" t="inlineStr">
        <is>
          <t>Студент3.12</t>
        </is>
      </c>
      <c r="B730" s="4" t="inlineStr"/>
      <c r="C730" s="4" t="n"/>
      <c r="D730" s="4" t="n"/>
      <c r="E730" s="4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</row>
    <row r="731">
      <c r="A731" s="4" t="inlineStr">
        <is>
          <t>Студент3.13</t>
        </is>
      </c>
      <c r="B731" s="4" t="inlineStr"/>
      <c r="C731" s="4" t="n"/>
      <c r="D731" s="4" t="n"/>
      <c r="E731" s="4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4" t="inlineStr">
        <is>
          <t>Студент3.14</t>
        </is>
      </c>
      <c r="B732" s="4" t="inlineStr"/>
      <c r="C732" s="4" t="n"/>
      <c r="D732" s="4" t="n"/>
      <c r="E732" s="4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</row>
    <row r="733">
      <c r="A733" s="4" t="inlineStr">
        <is>
          <t>Студент3.15</t>
        </is>
      </c>
      <c r="B733" s="4" t="inlineStr"/>
      <c r="C733" s="4" t="n"/>
      <c r="D733" s="4" t="n"/>
      <c r="E733" s="4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4" t="inlineStr">
        <is>
          <t>Студент3.16</t>
        </is>
      </c>
      <c r="B734" s="4" t="inlineStr"/>
      <c r="C734" s="4" t="n"/>
      <c r="D734" s="4" t="n"/>
      <c r="E734" s="4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</row>
    <row r="735">
      <c r="A735" s="4" t="inlineStr">
        <is>
          <t>Студент3.17</t>
        </is>
      </c>
      <c r="B735" s="4" t="inlineStr"/>
      <c r="C735" s="4" t="n"/>
      <c r="D735" s="4" t="n"/>
      <c r="E735" s="4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4" t="inlineStr">
        <is>
          <t>Студент3.18</t>
        </is>
      </c>
      <c r="B736" s="4" t="inlineStr"/>
      <c r="C736" s="4" t="n"/>
      <c r="D736" s="4" t="n"/>
      <c r="E736" s="4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</row>
    <row r="737">
      <c r="A737" s="4" t="inlineStr">
        <is>
          <t>Студент3.19</t>
        </is>
      </c>
      <c r="B737" s="4" t="inlineStr"/>
      <c r="C737" s="4" t="n"/>
      <c r="D737" s="4" t="n"/>
      <c r="E737" s="4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4" t="inlineStr">
        <is>
          <t>Студент3.20</t>
        </is>
      </c>
      <c r="B738" s="4" t="inlineStr"/>
      <c r="C738" s="4" t="n"/>
      <c r="D738" s="4" t="n"/>
      <c r="E738" s="4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</row>
    <row r="739">
      <c r="A739" s="4" t="inlineStr">
        <is>
          <t>Студент3.21</t>
        </is>
      </c>
      <c r="B739" s="4" t="inlineStr"/>
      <c r="C739" s="4" t="n"/>
      <c r="D739" s="4" t="n"/>
      <c r="E739" s="4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4" t="inlineStr">
        <is>
          <t>Студент3.22</t>
        </is>
      </c>
      <c r="B740" s="4" t="inlineStr"/>
      <c r="C740" s="4" t="n"/>
      <c r="D740" s="4" t="n"/>
      <c r="E740" s="4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</row>
    <row r="741">
      <c r="A741" s="4" t="inlineStr">
        <is>
          <t>Студент3.23</t>
        </is>
      </c>
      <c r="B741" s="4" t="inlineStr"/>
      <c r="C741" s="4" t="n"/>
      <c r="D741" s="4" t="n"/>
      <c r="E741" s="4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4" t="inlineStr">
        <is>
          <t>Студент3.24</t>
        </is>
      </c>
      <c r="B742" s="4" t="inlineStr"/>
      <c r="C742" s="4" t="n"/>
      <c r="D742" s="4" t="n"/>
      <c r="E742" s="4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</row>
    <row r="743">
      <c r="A743" s="4" t="inlineStr">
        <is>
          <t>Студент3.25</t>
        </is>
      </c>
      <c r="B743" s="4" t="inlineStr"/>
      <c r="C743" s="4" t="n"/>
      <c r="D743" s="4" t="n"/>
      <c r="E743" s="4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4" t="inlineStr">
        <is>
          <t>Студент3.26</t>
        </is>
      </c>
      <c r="B744" s="4" t="inlineStr"/>
      <c r="C744" s="4" t="n"/>
      <c r="D744" s="4" t="n"/>
      <c r="E744" s="4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</row>
    <row r="745">
      <c r="A745" s="4" t="inlineStr">
        <is>
          <t>Студент3.27</t>
        </is>
      </c>
      <c r="B745" s="4" t="inlineStr"/>
      <c r="C745" s="4" t="n"/>
      <c r="D745" s="4" t="n"/>
      <c r="E745" s="4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4" t="inlineStr">
        <is>
          <t>Студент3.28</t>
        </is>
      </c>
      <c r="B746" s="4" t="inlineStr"/>
      <c r="C746" s="4" t="n"/>
      <c r="D746" s="4" t="n"/>
      <c r="E746" s="4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</row>
    <row r="747">
      <c r="A747" s="4" t="inlineStr">
        <is>
          <t>Студент3.29</t>
        </is>
      </c>
      <c r="B747" s="4" t="inlineStr"/>
      <c r="C747" s="4" t="n"/>
      <c r="D747" s="4" t="n"/>
      <c r="E747" s="4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4" t="inlineStr">
        <is>
          <t>Студент3.30</t>
        </is>
      </c>
      <c r="B748" s="4" t="inlineStr"/>
      <c r="C748" s="4" t="n"/>
      <c r="D748" s="4" t="n"/>
      <c r="E748" s="4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</row>
    <row r="752">
      <c r="A752" s="17" t="inlineStr">
        <is>
          <t>Практика 12 — плюсы</t>
        </is>
      </c>
    </row>
    <row r="753" ht="28" customHeight="1">
      <c r="A753" s="9" t="inlineStr">
        <is>
          <t>Имя</t>
        </is>
      </c>
      <c r="B753" s="11" t="inlineStr">
        <is>
          <t>TG</t>
        </is>
      </c>
      <c r="C753" s="12" t="inlineStr">
        <is>
          <t>S</t>
        </is>
      </c>
      <c r="D753" s="10" t="inlineStr">
        <is>
          <t>Коэффициент</t>
        </is>
      </c>
      <c r="E753" s="18" t="inlineStr">
        <is>
          <t>D за практику</t>
        </is>
      </c>
      <c r="F753" s="13" t="inlineStr">
        <is>
          <t>1.0</t>
        </is>
      </c>
      <c r="G753" s="13" t="inlineStr">
        <is>
          <t>2.0</t>
        </is>
      </c>
      <c r="H753" s="13" t="inlineStr">
        <is>
          <t>3.0</t>
        </is>
      </c>
      <c r="I753" s="13" t="inlineStr">
        <is>
          <t>4.0</t>
        </is>
      </c>
      <c r="J753" s="13" t="inlineStr">
        <is>
          <t>5.0</t>
        </is>
      </c>
      <c r="K753" s="13" t="inlineStr">
        <is>
          <t>6</t>
        </is>
      </c>
      <c r="L753" s="13" t="inlineStr">
        <is>
          <t>7</t>
        </is>
      </c>
      <c r="M753" s="13" t="inlineStr">
        <is>
          <t>8</t>
        </is>
      </c>
      <c r="N753" s="13" t="inlineStr">
        <is>
          <t>9</t>
        </is>
      </c>
      <c r="O753" s="13" t="inlineStr">
        <is>
          <t>10</t>
        </is>
      </c>
      <c r="P753" s="13" t="inlineStr">
        <is>
          <t>11</t>
        </is>
      </c>
      <c r="Q753" s="13" t="inlineStr">
        <is>
          <t>12</t>
        </is>
      </c>
      <c r="R753" s="13" t="inlineStr">
        <is>
          <t>13</t>
        </is>
      </c>
      <c r="S753" s="13" t="inlineStr">
        <is>
          <t>14</t>
        </is>
      </c>
      <c r="T753" s="13" t="inlineStr">
        <is>
          <t>15</t>
        </is>
      </c>
      <c r="U753" s="13" t="inlineStr">
        <is>
          <t>16</t>
        </is>
      </c>
      <c r="V753" s="13" t="inlineStr">
        <is>
          <t>17</t>
        </is>
      </c>
      <c r="W753" s="13" t="inlineStr">
        <is>
          <t>18</t>
        </is>
      </c>
      <c r="X753" s="13" t="inlineStr">
        <is>
          <t>19</t>
        </is>
      </c>
      <c r="Y753" s="13" t="inlineStr">
        <is>
          <t>20</t>
        </is>
      </c>
      <c r="Z753" s="13" t="inlineStr">
        <is>
          <t>21</t>
        </is>
      </c>
      <c r="AA753" s="13" t="inlineStr">
        <is>
          <t>22</t>
        </is>
      </c>
      <c r="AB753" s="13" t="inlineStr">
        <is>
          <t>23</t>
        </is>
      </c>
      <c r="AC753" s="13" t="inlineStr">
        <is>
          <t>24</t>
        </is>
      </c>
      <c r="AD753" s="13" t="inlineStr">
        <is>
          <t>25</t>
        </is>
      </c>
      <c r="AE753" s="13" t="inlineStr">
        <is>
          <t>26</t>
        </is>
      </c>
      <c r="AF753" s="13" t="inlineStr">
        <is>
          <t>27</t>
        </is>
      </c>
      <c r="AG753" s="13" t="inlineStr">
        <is>
          <t>28</t>
        </is>
      </c>
      <c r="AH753" s="13" t="inlineStr">
        <is>
          <t>29</t>
        </is>
      </c>
      <c r="AI753" s="13" t="inlineStr">
        <is>
          <t>30</t>
        </is>
      </c>
    </row>
    <row r="754">
      <c r="A754" s="4" t="inlineStr">
        <is>
          <t>Студент3.1</t>
        </is>
      </c>
      <c r="B754" s="4" t="inlineStr"/>
      <c r="C754" s="4">
        <f>IF(A754="","",COUNTIF(F754:AI754,"+")+COUNTIF(F754:AI754,"1"))</f>
        <v/>
      </c>
      <c r="D754" s="4">
        <f>IF(A754="","",IF(C754&gt;2*COUNTA(F$753:AI$753)/3,'Общий'!$M$11,IF(C754&gt;=COUNTA(F$753:AI$753)/2,'Общий'!$M$12,'Общий'!$M$13)))</f>
        <v/>
      </c>
      <c r="E754" s="4">
        <f>IF(A754="","",SUMIFS('Логи'!$H$7:$H$3006,'Логи'!$A$7:$A$3006,12,'Логи'!$B$7:$B$3006,3,'Логи'!$C$7:$C$3006,A754))</f>
        <v/>
      </c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</row>
    <row r="755">
      <c r="A755" s="4" t="inlineStr">
        <is>
          <t>Студент3.2</t>
        </is>
      </c>
      <c r="B755" s="4" t="inlineStr"/>
      <c r="C755" s="4">
        <f>IF(A755="","",COUNTIF(F755:AI755,"+")+COUNTIF(F755:AI755,"1"))</f>
        <v/>
      </c>
      <c r="D755" s="4">
        <f>IF(A755="","",IF(C755&gt;2*COUNTA(F$753:AI$753)/3,'Общий'!$M$11,IF(C755&gt;=COUNTA(F$753:AI$753)/2,'Общий'!$M$12,'Общий'!$M$13)))</f>
        <v/>
      </c>
      <c r="E755" s="4">
        <f>IF(A755="","",SUMIFS('Логи'!$H$7:$H$3006,'Логи'!$A$7:$A$3006,12,'Логи'!$B$7:$B$3006,3,'Логи'!$C$7:$C$3006,A755))</f>
        <v/>
      </c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4" t="inlineStr">
        <is>
          <t>Студент3.3</t>
        </is>
      </c>
      <c r="B756" s="4" t="inlineStr"/>
      <c r="C756" s="4">
        <f>IF(A756="","",COUNTIF(F756:AI756,"+")+COUNTIF(F756:AI756,"1"))</f>
        <v/>
      </c>
      <c r="D756" s="4">
        <f>IF(A756="","",IF(C756&gt;2*COUNTA(F$753:AI$753)/3,'Общий'!$M$11,IF(C756&gt;=COUNTA(F$753:AI$753)/2,'Общий'!$M$12,'Общий'!$M$13)))</f>
        <v/>
      </c>
      <c r="E756" s="4">
        <f>IF(A756="","",SUMIFS('Логи'!$H$7:$H$3006,'Логи'!$A$7:$A$3006,12,'Логи'!$B$7:$B$3006,3,'Логи'!$C$7:$C$3006,A756))</f>
        <v/>
      </c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</row>
    <row r="757">
      <c r="A757" s="4" t="inlineStr">
        <is>
          <t>Студент3.4</t>
        </is>
      </c>
      <c r="B757" s="4" t="inlineStr"/>
      <c r="C757" s="4">
        <f>IF(A757="","",COUNTIF(F757:AI757,"+")+COUNTIF(F757:AI757,"1"))</f>
        <v/>
      </c>
      <c r="D757" s="4">
        <f>IF(A757="","",IF(C757&gt;2*COUNTA(F$753:AI$753)/3,'Общий'!$M$11,IF(C757&gt;=COUNTA(F$753:AI$753)/2,'Общий'!$M$12,'Общий'!$M$13)))</f>
        <v/>
      </c>
      <c r="E757" s="4">
        <f>IF(A757="","",SUMIFS('Логи'!$H$7:$H$3006,'Логи'!$A$7:$A$3006,12,'Логи'!$B$7:$B$3006,3,'Логи'!$C$7:$C$3006,A757))</f>
        <v/>
      </c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4" t="inlineStr">
        <is>
          <t>Студент3.5</t>
        </is>
      </c>
      <c r="B758" s="4" t="inlineStr"/>
      <c r="C758" s="4">
        <f>IF(A758="","",COUNTIF(F758:AI758,"+")+COUNTIF(F758:AI758,"1"))</f>
        <v/>
      </c>
      <c r="D758" s="4">
        <f>IF(A758="","",IF(C758&gt;2*COUNTA(F$753:AI$753)/3,'Общий'!$M$11,IF(C758&gt;=COUNTA(F$753:AI$753)/2,'Общий'!$M$12,'Общий'!$M$13)))</f>
        <v/>
      </c>
      <c r="E758" s="4">
        <f>IF(A758="","",SUMIFS('Логи'!$H$7:$H$3006,'Логи'!$A$7:$A$3006,12,'Логи'!$B$7:$B$3006,3,'Логи'!$C$7:$C$3006,A758))</f>
        <v/>
      </c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</row>
    <row r="759">
      <c r="A759" s="4" t="inlineStr">
        <is>
          <t>Студент3.6</t>
        </is>
      </c>
      <c r="B759" s="4" t="inlineStr"/>
      <c r="C759" s="4">
        <f>IF(A759="","",COUNTIF(F759:AI759,"+")+COUNTIF(F759:AI759,"1"))</f>
        <v/>
      </c>
      <c r="D759" s="4">
        <f>IF(A759="","",IF(C759&gt;2*COUNTA(F$753:AI$753)/3,'Общий'!$M$11,IF(C759&gt;=COUNTA(F$753:AI$753)/2,'Общий'!$M$12,'Общий'!$M$13)))</f>
        <v/>
      </c>
      <c r="E759" s="4">
        <f>IF(A759="","",SUMIFS('Логи'!$H$7:$H$3006,'Логи'!$A$7:$A$3006,12,'Логи'!$B$7:$B$3006,3,'Логи'!$C$7:$C$3006,A759))</f>
        <v/>
      </c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4" t="inlineStr">
        <is>
          <t>Студент3.7</t>
        </is>
      </c>
      <c r="B760" s="4" t="inlineStr"/>
      <c r="C760" s="4">
        <f>IF(A760="","",COUNTIF(F760:AI760,"+")+COUNTIF(F760:AI760,"1"))</f>
        <v/>
      </c>
      <c r="D760" s="4">
        <f>IF(A760="","",IF(C760&gt;2*COUNTA(F$753:AI$753)/3,'Общий'!$M$11,IF(C760&gt;=COUNTA(F$753:AI$753)/2,'Общий'!$M$12,'Общий'!$M$13)))</f>
        <v/>
      </c>
      <c r="E760" s="4">
        <f>IF(A760="","",SUMIFS('Логи'!$H$7:$H$3006,'Логи'!$A$7:$A$3006,12,'Логи'!$B$7:$B$3006,3,'Логи'!$C$7:$C$3006,A760))</f>
        <v/>
      </c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</row>
    <row r="761">
      <c r="A761" s="4" t="inlineStr">
        <is>
          <t>Студент3.8</t>
        </is>
      </c>
      <c r="B761" s="4" t="inlineStr"/>
      <c r="C761" s="4">
        <f>IF(A761="","",COUNTIF(F761:AI761,"+")+COUNTIF(F761:AI761,"1"))</f>
        <v/>
      </c>
      <c r="D761" s="4">
        <f>IF(A761="","",IF(C761&gt;2*COUNTA(F$753:AI$753)/3,'Общий'!$M$11,IF(C761&gt;=COUNTA(F$753:AI$753)/2,'Общий'!$M$12,'Общий'!$M$13)))</f>
        <v/>
      </c>
      <c r="E761" s="4">
        <f>IF(A761="","",SUMIFS('Логи'!$H$7:$H$3006,'Логи'!$A$7:$A$3006,12,'Логи'!$B$7:$B$3006,3,'Логи'!$C$7:$C$3006,A761))</f>
        <v/>
      </c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4" t="inlineStr">
        <is>
          <t>Студент3.9</t>
        </is>
      </c>
      <c r="B762" s="4" t="inlineStr"/>
      <c r="C762" s="4">
        <f>IF(A762="","",COUNTIF(F762:AI762,"+")+COUNTIF(F762:AI762,"1"))</f>
        <v/>
      </c>
      <c r="D762" s="4">
        <f>IF(A762="","",IF(C762&gt;2*COUNTA(F$753:AI$753)/3,'Общий'!$M$11,IF(C762&gt;=COUNTA(F$753:AI$753)/2,'Общий'!$M$12,'Общий'!$M$13)))</f>
        <v/>
      </c>
      <c r="E762" s="4">
        <f>IF(A762="","",SUMIFS('Логи'!$H$7:$H$3006,'Логи'!$A$7:$A$3006,12,'Логи'!$B$7:$B$3006,3,'Логи'!$C$7:$C$3006,A762))</f>
        <v/>
      </c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</row>
    <row r="763">
      <c r="A763" s="4" t="inlineStr">
        <is>
          <t>Студент3.10</t>
        </is>
      </c>
      <c r="B763" s="4" t="inlineStr"/>
      <c r="C763" s="4">
        <f>IF(A763="","",COUNTIF(F763:AI763,"+")+COUNTIF(F763:AI763,"1"))</f>
        <v/>
      </c>
      <c r="D763" s="4">
        <f>IF(A763="","",IF(C763&gt;2*COUNTA(F$753:AI$753)/3,'Общий'!$M$11,IF(C763&gt;=COUNTA(F$753:AI$753)/2,'Общий'!$M$12,'Общий'!$M$13)))</f>
        <v/>
      </c>
      <c r="E763" s="4">
        <f>IF(A763="","",SUMIFS('Логи'!$H$7:$H$3006,'Логи'!$A$7:$A$3006,12,'Логи'!$B$7:$B$3006,3,'Логи'!$C$7:$C$3006,A763))</f>
        <v/>
      </c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4" t="inlineStr">
        <is>
          <t>Студент3.11</t>
        </is>
      </c>
      <c r="B764" s="4" t="inlineStr"/>
      <c r="C764" s="4">
        <f>IF(A764="","",COUNTIF(F764:AI764,"+")+COUNTIF(F764:AI764,"1"))</f>
        <v/>
      </c>
      <c r="D764" s="4">
        <f>IF(A764="","",IF(C764&gt;2*COUNTA(F$753:AI$753)/3,'Общий'!$M$11,IF(C764&gt;=COUNTA(F$753:AI$753)/2,'Общий'!$M$12,'Общий'!$M$13)))</f>
        <v/>
      </c>
      <c r="E764" s="4">
        <f>IF(A764="","",SUMIFS('Логи'!$H$7:$H$3006,'Логи'!$A$7:$A$3006,12,'Логи'!$B$7:$B$3006,3,'Логи'!$C$7:$C$3006,A764))</f>
        <v/>
      </c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</row>
    <row r="765">
      <c r="A765" s="4" t="inlineStr">
        <is>
          <t>Студент3.12</t>
        </is>
      </c>
      <c r="B765" s="4" t="inlineStr"/>
      <c r="C765" s="4">
        <f>IF(A765="","",COUNTIF(F765:AI765,"+")+COUNTIF(F765:AI765,"1"))</f>
        <v/>
      </c>
      <c r="D765" s="4">
        <f>IF(A765="","",IF(C765&gt;2*COUNTA(F$753:AI$753)/3,'Общий'!$M$11,IF(C765&gt;=COUNTA(F$753:AI$753)/2,'Общий'!$M$12,'Общий'!$M$13)))</f>
        <v/>
      </c>
      <c r="E765" s="4">
        <f>IF(A765="","",SUMIFS('Логи'!$H$7:$H$3006,'Логи'!$A$7:$A$3006,12,'Логи'!$B$7:$B$3006,3,'Логи'!$C$7:$C$3006,A765))</f>
        <v/>
      </c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4" t="inlineStr">
        <is>
          <t>Студент3.13</t>
        </is>
      </c>
      <c r="B766" s="4" t="inlineStr"/>
      <c r="C766" s="4">
        <f>IF(A766="","",COUNTIF(F766:AI766,"+")+COUNTIF(F766:AI766,"1"))</f>
        <v/>
      </c>
      <c r="D766" s="4">
        <f>IF(A766="","",IF(C766&gt;2*COUNTA(F$753:AI$753)/3,'Общий'!$M$11,IF(C766&gt;=COUNTA(F$753:AI$753)/2,'Общий'!$M$12,'Общий'!$M$13)))</f>
        <v/>
      </c>
      <c r="E766" s="4">
        <f>IF(A766="","",SUMIFS('Логи'!$H$7:$H$3006,'Логи'!$A$7:$A$3006,12,'Логи'!$B$7:$B$3006,3,'Логи'!$C$7:$C$3006,A766))</f>
        <v/>
      </c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</row>
    <row r="767">
      <c r="A767" s="4" t="inlineStr">
        <is>
          <t>Студент3.14</t>
        </is>
      </c>
      <c r="B767" s="4" t="inlineStr"/>
      <c r="C767" s="4">
        <f>IF(A767="","",COUNTIF(F767:AI767,"+")+COUNTIF(F767:AI767,"1"))</f>
        <v/>
      </c>
      <c r="D767" s="4">
        <f>IF(A767="","",IF(C767&gt;2*COUNTA(F$753:AI$753)/3,'Общий'!$M$11,IF(C767&gt;=COUNTA(F$753:AI$753)/2,'Общий'!$M$12,'Общий'!$M$13)))</f>
        <v/>
      </c>
      <c r="E767" s="4">
        <f>IF(A767="","",SUMIFS('Логи'!$H$7:$H$3006,'Логи'!$A$7:$A$3006,12,'Логи'!$B$7:$B$3006,3,'Логи'!$C$7:$C$3006,A767))</f>
        <v/>
      </c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4" t="inlineStr">
        <is>
          <t>Студент3.15</t>
        </is>
      </c>
      <c r="B768" s="4" t="inlineStr"/>
      <c r="C768" s="4">
        <f>IF(A768="","",COUNTIF(F768:AI768,"+")+COUNTIF(F768:AI768,"1"))</f>
        <v/>
      </c>
      <c r="D768" s="4">
        <f>IF(A768="","",IF(C768&gt;2*COUNTA(F$753:AI$753)/3,'Общий'!$M$11,IF(C768&gt;=COUNTA(F$753:AI$753)/2,'Общий'!$M$12,'Общий'!$M$13)))</f>
        <v/>
      </c>
      <c r="E768" s="4">
        <f>IF(A768="","",SUMIFS('Логи'!$H$7:$H$3006,'Логи'!$A$7:$A$3006,12,'Логи'!$B$7:$B$3006,3,'Логи'!$C$7:$C$3006,A768))</f>
        <v/>
      </c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</row>
    <row r="769">
      <c r="A769" s="4" t="inlineStr">
        <is>
          <t>Студент3.16</t>
        </is>
      </c>
      <c r="B769" s="4" t="inlineStr"/>
      <c r="C769" s="4">
        <f>IF(A769="","",COUNTIF(F769:AI769,"+")+COUNTIF(F769:AI769,"1"))</f>
        <v/>
      </c>
      <c r="D769" s="4">
        <f>IF(A769="","",IF(C769&gt;2*COUNTA(F$753:AI$753)/3,'Общий'!$M$11,IF(C769&gt;=COUNTA(F$753:AI$753)/2,'Общий'!$M$12,'Общий'!$M$13)))</f>
        <v/>
      </c>
      <c r="E769" s="4">
        <f>IF(A769="","",SUMIFS('Логи'!$H$7:$H$3006,'Логи'!$A$7:$A$3006,12,'Логи'!$B$7:$B$3006,3,'Логи'!$C$7:$C$3006,A769))</f>
        <v/>
      </c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4" t="inlineStr">
        <is>
          <t>Студент3.17</t>
        </is>
      </c>
      <c r="B770" s="4" t="inlineStr"/>
      <c r="C770" s="4">
        <f>IF(A770="","",COUNTIF(F770:AI770,"+")+COUNTIF(F770:AI770,"1"))</f>
        <v/>
      </c>
      <c r="D770" s="4">
        <f>IF(A770="","",IF(C770&gt;2*COUNTA(F$753:AI$753)/3,'Общий'!$M$11,IF(C770&gt;=COUNTA(F$753:AI$753)/2,'Общий'!$M$12,'Общий'!$M$13)))</f>
        <v/>
      </c>
      <c r="E770" s="4">
        <f>IF(A770="","",SUMIFS('Логи'!$H$7:$H$3006,'Логи'!$A$7:$A$3006,12,'Логи'!$B$7:$B$3006,3,'Логи'!$C$7:$C$3006,A770))</f>
        <v/>
      </c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</row>
    <row r="771">
      <c r="A771" s="4" t="inlineStr">
        <is>
          <t>Студент3.18</t>
        </is>
      </c>
      <c r="B771" s="4" t="inlineStr"/>
      <c r="C771" s="4">
        <f>IF(A771="","",COUNTIF(F771:AI771,"+")+COUNTIF(F771:AI771,"1"))</f>
        <v/>
      </c>
      <c r="D771" s="4">
        <f>IF(A771="","",IF(C771&gt;2*COUNTA(F$753:AI$753)/3,'Общий'!$M$11,IF(C771&gt;=COUNTA(F$753:AI$753)/2,'Общий'!$M$12,'Общий'!$M$13)))</f>
        <v/>
      </c>
      <c r="E771" s="4">
        <f>IF(A771="","",SUMIFS('Логи'!$H$7:$H$3006,'Логи'!$A$7:$A$3006,12,'Логи'!$B$7:$B$3006,3,'Логи'!$C$7:$C$3006,A771))</f>
        <v/>
      </c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4" t="inlineStr">
        <is>
          <t>Студент3.19</t>
        </is>
      </c>
      <c r="B772" s="4" t="inlineStr"/>
      <c r="C772" s="4">
        <f>IF(A772="","",COUNTIF(F772:AI772,"+")+COUNTIF(F772:AI772,"1"))</f>
        <v/>
      </c>
      <c r="D772" s="4">
        <f>IF(A772="","",IF(C772&gt;2*COUNTA(F$753:AI$753)/3,'Общий'!$M$11,IF(C772&gt;=COUNTA(F$753:AI$753)/2,'Общий'!$M$12,'Общий'!$M$13)))</f>
        <v/>
      </c>
      <c r="E772" s="4">
        <f>IF(A772="","",SUMIFS('Логи'!$H$7:$H$3006,'Логи'!$A$7:$A$3006,12,'Логи'!$B$7:$B$3006,3,'Логи'!$C$7:$C$3006,A772))</f>
        <v/>
      </c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</row>
    <row r="773">
      <c r="A773" s="4" t="inlineStr">
        <is>
          <t>Студент3.20</t>
        </is>
      </c>
      <c r="B773" s="4" t="inlineStr"/>
      <c r="C773" s="4">
        <f>IF(A773="","",COUNTIF(F773:AI773,"+")+COUNTIF(F773:AI773,"1"))</f>
        <v/>
      </c>
      <c r="D773" s="4">
        <f>IF(A773="","",IF(C773&gt;2*COUNTA(F$753:AI$753)/3,'Общий'!$M$11,IF(C773&gt;=COUNTA(F$753:AI$753)/2,'Общий'!$M$12,'Общий'!$M$13)))</f>
        <v/>
      </c>
      <c r="E773" s="4">
        <f>IF(A773="","",SUMIFS('Логи'!$H$7:$H$3006,'Логи'!$A$7:$A$3006,12,'Логи'!$B$7:$B$3006,3,'Логи'!$C$7:$C$3006,A773))</f>
        <v/>
      </c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4" t="inlineStr">
        <is>
          <t>Студент3.21</t>
        </is>
      </c>
      <c r="B774" s="4" t="inlineStr"/>
      <c r="C774" s="4">
        <f>IF(A774="","",COUNTIF(F774:AI774,"+")+COUNTIF(F774:AI774,"1"))</f>
        <v/>
      </c>
      <c r="D774" s="4">
        <f>IF(A774="","",IF(C774&gt;2*COUNTA(F$753:AI$753)/3,'Общий'!$M$11,IF(C774&gt;=COUNTA(F$753:AI$753)/2,'Общий'!$M$12,'Общий'!$M$13)))</f>
        <v/>
      </c>
      <c r="E774" s="4">
        <f>IF(A774="","",SUMIFS('Логи'!$H$7:$H$3006,'Логи'!$A$7:$A$3006,12,'Логи'!$B$7:$B$3006,3,'Логи'!$C$7:$C$3006,A774))</f>
        <v/>
      </c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</row>
    <row r="775">
      <c r="A775" s="4" t="inlineStr">
        <is>
          <t>Студент3.22</t>
        </is>
      </c>
      <c r="B775" s="4" t="inlineStr"/>
      <c r="C775" s="4">
        <f>IF(A775="","",COUNTIF(F775:AI775,"+")+COUNTIF(F775:AI775,"1"))</f>
        <v/>
      </c>
      <c r="D775" s="4">
        <f>IF(A775="","",IF(C775&gt;2*COUNTA(F$753:AI$753)/3,'Общий'!$M$11,IF(C775&gt;=COUNTA(F$753:AI$753)/2,'Общий'!$M$12,'Общий'!$M$13)))</f>
        <v/>
      </c>
      <c r="E775" s="4">
        <f>IF(A775="","",SUMIFS('Логи'!$H$7:$H$3006,'Логи'!$A$7:$A$3006,12,'Логи'!$B$7:$B$3006,3,'Логи'!$C$7:$C$3006,A775))</f>
        <v/>
      </c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4" t="inlineStr">
        <is>
          <t>Студент3.23</t>
        </is>
      </c>
      <c r="B776" s="4" t="inlineStr"/>
      <c r="C776" s="4">
        <f>IF(A776="","",COUNTIF(F776:AI776,"+")+COUNTIF(F776:AI776,"1"))</f>
        <v/>
      </c>
      <c r="D776" s="4">
        <f>IF(A776="","",IF(C776&gt;2*COUNTA(F$753:AI$753)/3,'Общий'!$M$11,IF(C776&gt;=COUNTA(F$753:AI$753)/2,'Общий'!$M$12,'Общий'!$M$13)))</f>
        <v/>
      </c>
      <c r="E776" s="4">
        <f>IF(A776="","",SUMIFS('Логи'!$H$7:$H$3006,'Логи'!$A$7:$A$3006,12,'Логи'!$B$7:$B$3006,3,'Логи'!$C$7:$C$3006,A776))</f>
        <v/>
      </c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</row>
    <row r="777">
      <c r="A777" s="4" t="inlineStr">
        <is>
          <t>Студент3.24</t>
        </is>
      </c>
      <c r="B777" s="4" t="inlineStr"/>
      <c r="C777" s="4">
        <f>IF(A777="","",COUNTIF(F777:AI777,"+")+COUNTIF(F777:AI777,"1"))</f>
        <v/>
      </c>
      <c r="D777" s="4">
        <f>IF(A777="","",IF(C777&gt;2*COUNTA(F$753:AI$753)/3,'Общий'!$M$11,IF(C777&gt;=COUNTA(F$753:AI$753)/2,'Общий'!$M$12,'Общий'!$M$13)))</f>
        <v/>
      </c>
      <c r="E777" s="4">
        <f>IF(A777="","",SUMIFS('Логи'!$H$7:$H$3006,'Логи'!$A$7:$A$3006,12,'Логи'!$B$7:$B$3006,3,'Логи'!$C$7:$C$3006,A777))</f>
        <v/>
      </c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4" t="inlineStr">
        <is>
          <t>Студент3.25</t>
        </is>
      </c>
      <c r="B778" s="4" t="inlineStr"/>
      <c r="C778" s="4">
        <f>IF(A778="","",COUNTIF(F778:AI778,"+")+COUNTIF(F778:AI778,"1"))</f>
        <v/>
      </c>
      <c r="D778" s="4">
        <f>IF(A778="","",IF(C778&gt;2*COUNTA(F$753:AI$753)/3,'Общий'!$M$11,IF(C778&gt;=COUNTA(F$753:AI$753)/2,'Общий'!$M$12,'Общий'!$M$13)))</f>
        <v/>
      </c>
      <c r="E778" s="4">
        <f>IF(A778="","",SUMIFS('Логи'!$H$7:$H$3006,'Логи'!$A$7:$A$3006,12,'Логи'!$B$7:$B$3006,3,'Логи'!$C$7:$C$3006,A778))</f>
        <v/>
      </c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</row>
    <row r="779">
      <c r="A779" s="4" t="inlineStr">
        <is>
          <t>Студент3.26</t>
        </is>
      </c>
      <c r="B779" s="4" t="inlineStr"/>
      <c r="C779" s="4">
        <f>IF(A779="","",COUNTIF(F779:AI779,"+")+COUNTIF(F779:AI779,"1"))</f>
        <v/>
      </c>
      <c r="D779" s="4">
        <f>IF(A779="","",IF(C779&gt;2*COUNTA(F$753:AI$753)/3,'Общий'!$M$11,IF(C779&gt;=COUNTA(F$753:AI$753)/2,'Общий'!$M$12,'Общий'!$M$13)))</f>
        <v/>
      </c>
      <c r="E779" s="4">
        <f>IF(A779="","",SUMIFS('Логи'!$H$7:$H$3006,'Логи'!$A$7:$A$3006,12,'Логи'!$B$7:$B$3006,3,'Логи'!$C$7:$C$3006,A779))</f>
        <v/>
      </c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4" t="inlineStr">
        <is>
          <t>Студент3.27</t>
        </is>
      </c>
      <c r="B780" s="4" t="inlineStr"/>
      <c r="C780" s="4">
        <f>IF(A780="","",COUNTIF(F780:AI780,"+")+COUNTIF(F780:AI780,"1"))</f>
        <v/>
      </c>
      <c r="D780" s="4">
        <f>IF(A780="","",IF(C780&gt;2*COUNTA(F$753:AI$753)/3,'Общий'!$M$11,IF(C780&gt;=COUNTA(F$753:AI$753)/2,'Общий'!$M$12,'Общий'!$M$13)))</f>
        <v/>
      </c>
      <c r="E780" s="4">
        <f>IF(A780="","",SUMIFS('Логи'!$H$7:$H$3006,'Логи'!$A$7:$A$3006,12,'Логи'!$B$7:$B$3006,3,'Логи'!$C$7:$C$3006,A780))</f>
        <v/>
      </c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</row>
    <row r="781">
      <c r="A781" s="4" t="inlineStr">
        <is>
          <t>Студент3.28</t>
        </is>
      </c>
      <c r="B781" s="4" t="inlineStr"/>
      <c r="C781" s="4">
        <f>IF(A781="","",COUNTIF(F781:AI781,"+")+COUNTIF(F781:AI781,"1"))</f>
        <v/>
      </c>
      <c r="D781" s="4">
        <f>IF(A781="","",IF(C781&gt;2*COUNTA(F$753:AI$753)/3,'Общий'!$M$11,IF(C781&gt;=COUNTA(F$753:AI$753)/2,'Общий'!$M$12,'Общий'!$M$13)))</f>
        <v/>
      </c>
      <c r="E781" s="4">
        <f>IF(A781="","",SUMIFS('Логи'!$H$7:$H$3006,'Логи'!$A$7:$A$3006,12,'Логи'!$B$7:$B$3006,3,'Логи'!$C$7:$C$3006,A781))</f>
        <v/>
      </c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4" t="inlineStr">
        <is>
          <t>Студент3.29</t>
        </is>
      </c>
      <c r="B782" s="4" t="inlineStr"/>
      <c r="C782" s="4">
        <f>IF(A782="","",COUNTIF(F782:AI782,"+")+COUNTIF(F782:AI782,"1"))</f>
        <v/>
      </c>
      <c r="D782" s="4">
        <f>IF(A782="","",IF(C782&gt;2*COUNTA(F$753:AI$753)/3,'Общий'!$M$11,IF(C782&gt;=COUNTA(F$753:AI$753)/2,'Общий'!$M$12,'Общий'!$M$13)))</f>
        <v/>
      </c>
      <c r="E782" s="4">
        <f>IF(A782="","",SUMIFS('Логи'!$H$7:$H$3006,'Логи'!$A$7:$A$3006,12,'Логи'!$B$7:$B$3006,3,'Логи'!$C$7:$C$3006,A782))</f>
        <v/>
      </c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</row>
    <row r="783">
      <c r="A783" s="4" t="inlineStr">
        <is>
          <t>Студент3.30</t>
        </is>
      </c>
      <c r="B783" s="4" t="inlineStr"/>
      <c r="C783" s="4">
        <f>IF(A783="","",COUNTIF(F783:AI783,"+")+COUNTIF(F783:AI783,"1"))</f>
        <v/>
      </c>
      <c r="D783" s="4">
        <f>IF(A783="","",IF(C783&gt;2*COUNTA(F$753:AI$753)/3,'Общий'!$M$11,IF(C783&gt;=COUNTA(F$753:AI$753)/2,'Общий'!$M$12,'Общий'!$M$13)))</f>
        <v/>
      </c>
      <c r="E783" s="4">
        <f>IF(A783="","",SUMIFS('Логи'!$H$7:$H$3006,'Логи'!$A$7:$A$3006,12,'Логи'!$B$7:$B$3006,3,'Логи'!$C$7:$C$3006,A783))</f>
        <v/>
      </c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5">
      <c r="A785" s="19" t="inlineStr">
        <is>
          <t>Практика 12 — результаты рассказа</t>
        </is>
      </c>
    </row>
    <row r="786" ht="28" customHeight="1">
      <c r="A786" s="9" t="inlineStr">
        <is>
          <t>Имя</t>
        </is>
      </c>
      <c r="B786" s="11" t="inlineStr">
        <is>
          <t>TG</t>
        </is>
      </c>
      <c r="C786" s="12" t="inlineStr"/>
      <c r="D786" s="3" t="inlineStr"/>
      <c r="E786" s="3" t="inlineStr"/>
      <c r="F786" s="13" t="inlineStr">
        <is>
          <t>1.0</t>
        </is>
      </c>
      <c r="G786" s="13" t="inlineStr">
        <is>
          <t>2.0</t>
        </is>
      </c>
      <c r="H786" s="13" t="inlineStr">
        <is>
          <t>3.0</t>
        </is>
      </c>
      <c r="I786" s="13" t="inlineStr">
        <is>
          <t>4.0</t>
        </is>
      </c>
      <c r="J786" s="13" t="inlineStr">
        <is>
          <t>5.0</t>
        </is>
      </c>
      <c r="K786" s="13" t="inlineStr">
        <is>
          <t>6</t>
        </is>
      </c>
      <c r="L786" s="13" t="inlineStr">
        <is>
          <t>7</t>
        </is>
      </c>
      <c r="M786" s="13" t="inlineStr">
        <is>
          <t>8</t>
        </is>
      </c>
      <c r="N786" s="13" t="inlineStr">
        <is>
          <t>9</t>
        </is>
      </c>
      <c r="O786" s="13" t="inlineStr">
        <is>
          <t>10</t>
        </is>
      </c>
      <c r="P786" s="13" t="inlineStr">
        <is>
          <t>11</t>
        </is>
      </c>
      <c r="Q786" s="13" t="inlineStr">
        <is>
          <t>12</t>
        </is>
      </c>
      <c r="R786" s="13" t="inlineStr">
        <is>
          <t>13</t>
        </is>
      </c>
      <c r="S786" s="13" t="inlineStr">
        <is>
          <t>14</t>
        </is>
      </c>
      <c r="T786" s="13" t="inlineStr">
        <is>
          <t>15</t>
        </is>
      </c>
      <c r="U786" s="13" t="inlineStr">
        <is>
          <t>16</t>
        </is>
      </c>
      <c r="V786" s="13" t="inlineStr">
        <is>
          <t>17</t>
        </is>
      </c>
      <c r="W786" s="13" t="inlineStr">
        <is>
          <t>18</t>
        </is>
      </c>
      <c r="X786" s="13" t="inlineStr">
        <is>
          <t>19</t>
        </is>
      </c>
      <c r="Y786" s="13" t="inlineStr">
        <is>
          <t>20</t>
        </is>
      </c>
      <c r="Z786" s="13" t="inlineStr">
        <is>
          <t>21</t>
        </is>
      </c>
      <c r="AA786" s="13" t="inlineStr">
        <is>
          <t>22</t>
        </is>
      </c>
      <c r="AB786" s="13" t="inlineStr">
        <is>
          <t>23</t>
        </is>
      </c>
      <c r="AC786" s="13" t="inlineStr">
        <is>
          <t>24</t>
        </is>
      </c>
      <c r="AD786" s="13" t="inlineStr">
        <is>
          <t>25</t>
        </is>
      </c>
      <c r="AE786" s="13" t="inlineStr">
        <is>
          <t>26</t>
        </is>
      </c>
      <c r="AF786" s="13" t="inlineStr">
        <is>
          <t>27</t>
        </is>
      </c>
      <c r="AG786" s="13" t="inlineStr">
        <is>
          <t>28</t>
        </is>
      </c>
      <c r="AH786" s="13" t="inlineStr">
        <is>
          <t>29</t>
        </is>
      </c>
      <c r="AI786" s="13" t="inlineStr">
        <is>
          <t>30</t>
        </is>
      </c>
    </row>
    <row r="787">
      <c r="A787" s="4" t="inlineStr">
        <is>
          <t>Студент3.1</t>
        </is>
      </c>
      <c r="B787" s="4" t="inlineStr"/>
      <c r="C787" s="4" t="n"/>
      <c r="D787" s="4" t="n"/>
      <c r="E787" s="4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4" t="inlineStr">
        <is>
          <t>Студент3.2</t>
        </is>
      </c>
      <c r="B788" s="4" t="inlineStr"/>
      <c r="C788" s="4" t="n"/>
      <c r="D788" s="4" t="n"/>
      <c r="E788" s="4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</row>
    <row r="789">
      <c r="A789" s="4" t="inlineStr">
        <is>
          <t>Студент3.3</t>
        </is>
      </c>
      <c r="B789" s="4" t="inlineStr"/>
      <c r="C789" s="4" t="n"/>
      <c r="D789" s="4" t="n"/>
      <c r="E789" s="4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4" t="inlineStr">
        <is>
          <t>Студент3.4</t>
        </is>
      </c>
      <c r="B790" s="4" t="inlineStr"/>
      <c r="C790" s="4" t="n"/>
      <c r="D790" s="4" t="n"/>
      <c r="E790" s="4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</row>
    <row r="791">
      <c r="A791" s="4" t="inlineStr">
        <is>
          <t>Студент3.5</t>
        </is>
      </c>
      <c r="B791" s="4" t="inlineStr"/>
      <c r="C791" s="4" t="n"/>
      <c r="D791" s="4" t="n"/>
      <c r="E791" s="4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4" t="inlineStr">
        <is>
          <t>Студент3.6</t>
        </is>
      </c>
      <c r="B792" s="4" t="inlineStr"/>
      <c r="C792" s="4" t="n"/>
      <c r="D792" s="4" t="n"/>
      <c r="E792" s="4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</row>
    <row r="793">
      <c r="A793" s="4" t="inlineStr">
        <is>
          <t>Студент3.7</t>
        </is>
      </c>
      <c r="B793" s="4" t="inlineStr"/>
      <c r="C793" s="4" t="n"/>
      <c r="D793" s="4" t="n"/>
      <c r="E793" s="4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4" t="inlineStr">
        <is>
          <t>Студент3.8</t>
        </is>
      </c>
      <c r="B794" s="4" t="inlineStr"/>
      <c r="C794" s="4" t="n"/>
      <c r="D794" s="4" t="n"/>
      <c r="E794" s="4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</row>
    <row r="795">
      <c r="A795" s="4" t="inlineStr">
        <is>
          <t>Студент3.9</t>
        </is>
      </c>
      <c r="B795" s="4" t="inlineStr"/>
      <c r="C795" s="4" t="n"/>
      <c r="D795" s="4" t="n"/>
      <c r="E795" s="4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4" t="inlineStr">
        <is>
          <t>Студент3.10</t>
        </is>
      </c>
      <c r="B796" s="4" t="inlineStr"/>
      <c r="C796" s="4" t="n"/>
      <c r="D796" s="4" t="n"/>
      <c r="E796" s="4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</row>
    <row r="797">
      <c r="A797" s="4" t="inlineStr">
        <is>
          <t>Студент3.11</t>
        </is>
      </c>
      <c r="B797" s="4" t="inlineStr"/>
      <c r="C797" s="4" t="n"/>
      <c r="D797" s="4" t="n"/>
      <c r="E797" s="4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4" t="inlineStr">
        <is>
          <t>Студент3.12</t>
        </is>
      </c>
      <c r="B798" s="4" t="inlineStr"/>
      <c r="C798" s="4" t="n"/>
      <c r="D798" s="4" t="n"/>
      <c r="E798" s="4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</row>
    <row r="799">
      <c r="A799" s="4" t="inlineStr">
        <is>
          <t>Студент3.13</t>
        </is>
      </c>
      <c r="B799" s="4" t="inlineStr"/>
      <c r="C799" s="4" t="n"/>
      <c r="D799" s="4" t="n"/>
      <c r="E799" s="4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4" t="inlineStr">
        <is>
          <t>Студент3.14</t>
        </is>
      </c>
      <c r="B800" s="4" t="inlineStr"/>
      <c r="C800" s="4" t="n"/>
      <c r="D800" s="4" t="n"/>
      <c r="E800" s="4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</row>
    <row r="801">
      <c r="A801" s="4" t="inlineStr">
        <is>
          <t>Студент3.15</t>
        </is>
      </c>
      <c r="B801" s="4" t="inlineStr"/>
      <c r="C801" s="4" t="n"/>
      <c r="D801" s="4" t="n"/>
      <c r="E801" s="4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4" t="inlineStr">
        <is>
          <t>Студент3.16</t>
        </is>
      </c>
      <c r="B802" s="4" t="inlineStr"/>
      <c r="C802" s="4" t="n"/>
      <c r="D802" s="4" t="n"/>
      <c r="E802" s="4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</row>
    <row r="803">
      <c r="A803" s="4" t="inlineStr">
        <is>
          <t>Студент3.17</t>
        </is>
      </c>
      <c r="B803" s="4" t="inlineStr"/>
      <c r="C803" s="4" t="n"/>
      <c r="D803" s="4" t="n"/>
      <c r="E803" s="4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4" t="inlineStr">
        <is>
          <t>Студент3.18</t>
        </is>
      </c>
      <c r="B804" s="4" t="inlineStr"/>
      <c r="C804" s="4" t="n"/>
      <c r="D804" s="4" t="n"/>
      <c r="E804" s="4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</row>
    <row r="805">
      <c r="A805" s="4" t="inlineStr">
        <is>
          <t>Студент3.19</t>
        </is>
      </c>
      <c r="B805" s="4" t="inlineStr"/>
      <c r="C805" s="4" t="n"/>
      <c r="D805" s="4" t="n"/>
      <c r="E805" s="4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4" t="inlineStr">
        <is>
          <t>Студент3.20</t>
        </is>
      </c>
      <c r="B806" s="4" t="inlineStr"/>
      <c r="C806" s="4" t="n"/>
      <c r="D806" s="4" t="n"/>
      <c r="E806" s="4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</row>
    <row r="807">
      <c r="A807" s="4" t="inlineStr">
        <is>
          <t>Студент3.21</t>
        </is>
      </c>
      <c r="B807" s="4" t="inlineStr"/>
      <c r="C807" s="4" t="n"/>
      <c r="D807" s="4" t="n"/>
      <c r="E807" s="4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4" t="inlineStr">
        <is>
          <t>Студент3.22</t>
        </is>
      </c>
      <c r="B808" s="4" t="inlineStr"/>
      <c r="C808" s="4" t="n"/>
      <c r="D808" s="4" t="n"/>
      <c r="E808" s="4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</row>
    <row r="809">
      <c r="A809" s="4" t="inlineStr">
        <is>
          <t>Студент3.23</t>
        </is>
      </c>
      <c r="B809" s="4" t="inlineStr"/>
      <c r="C809" s="4" t="n"/>
      <c r="D809" s="4" t="n"/>
      <c r="E809" s="4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4" t="inlineStr">
        <is>
          <t>Студент3.24</t>
        </is>
      </c>
      <c r="B810" s="4" t="inlineStr"/>
      <c r="C810" s="4" t="n"/>
      <c r="D810" s="4" t="n"/>
      <c r="E810" s="4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</row>
    <row r="811">
      <c r="A811" s="4" t="inlineStr">
        <is>
          <t>Студент3.25</t>
        </is>
      </c>
      <c r="B811" s="4" t="inlineStr"/>
      <c r="C811" s="4" t="n"/>
      <c r="D811" s="4" t="n"/>
      <c r="E811" s="4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4" t="inlineStr">
        <is>
          <t>Студент3.26</t>
        </is>
      </c>
      <c r="B812" s="4" t="inlineStr"/>
      <c r="C812" s="4" t="n"/>
      <c r="D812" s="4" t="n"/>
      <c r="E812" s="4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</row>
    <row r="813">
      <c r="A813" s="4" t="inlineStr">
        <is>
          <t>Студент3.27</t>
        </is>
      </c>
      <c r="B813" s="4" t="inlineStr"/>
      <c r="C813" s="4" t="n"/>
      <c r="D813" s="4" t="n"/>
      <c r="E813" s="4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4" t="inlineStr">
        <is>
          <t>Студент3.28</t>
        </is>
      </c>
      <c r="B814" s="4" t="inlineStr"/>
      <c r="C814" s="4" t="n"/>
      <c r="D814" s="4" t="n"/>
      <c r="E814" s="4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</row>
    <row r="815">
      <c r="A815" s="4" t="inlineStr">
        <is>
          <t>Студент3.29</t>
        </is>
      </c>
      <c r="B815" s="4" t="inlineStr"/>
      <c r="C815" s="4" t="n"/>
      <c r="D815" s="4" t="n"/>
      <c r="E815" s="4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4" t="inlineStr">
        <is>
          <t>Студент3.30</t>
        </is>
      </c>
      <c r="B816" s="4" t="inlineStr"/>
      <c r="C816" s="4" t="n"/>
      <c r="D816" s="4" t="n"/>
      <c r="E816" s="4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</row>
    <row r="820">
      <c r="A820" s="17" t="inlineStr">
        <is>
          <t>Практика 13 — плюсы</t>
        </is>
      </c>
    </row>
    <row r="821" ht="28" customHeight="1">
      <c r="A821" s="9" t="inlineStr">
        <is>
          <t>Имя</t>
        </is>
      </c>
      <c r="B821" s="11" t="inlineStr">
        <is>
          <t>TG</t>
        </is>
      </c>
      <c r="C821" s="12" t="inlineStr">
        <is>
          <t>S</t>
        </is>
      </c>
      <c r="D821" s="10" t="inlineStr">
        <is>
          <t>Коэффициент</t>
        </is>
      </c>
      <c r="E821" s="18" t="inlineStr">
        <is>
          <t>D за практику</t>
        </is>
      </c>
      <c r="F821" s="13" t="inlineStr">
        <is>
          <t>1.0</t>
        </is>
      </c>
      <c r="G821" s="13" t="inlineStr">
        <is>
          <t>2.0</t>
        </is>
      </c>
      <c r="H821" s="13" t="inlineStr">
        <is>
          <t>3.0</t>
        </is>
      </c>
      <c r="I821" s="13" t="inlineStr">
        <is>
          <t>4.0</t>
        </is>
      </c>
      <c r="J821" s="13" t="inlineStr">
        <is>
          <t>5.0</t>
        </is>
      </c>
      <c r="K821" s="13" t="inlineStr">
        <is>
          <t>6</t>
        </is>
      </c>
      <c r="L821" s="13" t="inlineStr">
        <is>
          <t>7</t>
        </is>
      </c>
      <c r="M821" s="13" t="inlineStr">
        <is>
          <t>8</t>
        </is>
      </c>
      <c r="N821" s="13" t="inlineStr">
        <is>
          <t>9</t>
        </is>
      </c>
      <c r="O821" s="13" t="inlineStr">
        <is>
          <t>10</t>
        </is>
      </c>
      <c r="P821" s="13" t="inlineStr">
        <is>
          <t>11</t>
        </is>
      </c>
      <c r="Q821" s="13" t="inlineStr">
        <is>
          <t>12</t>
        </is>
      </c>
      <c r="R821" s="13" t="inlineStr">
        <is>
          <t>13</t>
        </is>
      </c>
      <c r="S821" s="13" t="inlineStr">
        <is>
          <t>14</t>
        </is>
      </c>
      <c r="T821" s="13" t="inlineStr">
        <is>
          <t>15</t>
        </is>
      </c>
      <c r="U821" s="13" t="inlineStr">
        <is>
          <t>16</t>
        </is>
      </c>
      <c r="V821" s="13" t="inlineStr">
        <is>
          <t>17</t>
        </is>
      </c>
      <c r="W821" s="13" t="inlineStr">
        <is>
          <t>18</t>
        </is>
      </c>
      <c r="X821" s="13" t="inlineStr">
        <is>
          <t>19</t>
        </is>
      </c>
      <c r="Y821" s="13" t="inlineStr">
        <is>
          <t>20</t>
        </is>
      </c>
      <c r="Z821" s="13" t="inlineStr">
        <is>
          <t>21</t>
        </is>
      </c>
      <c r="AA821" s="13" t="inlineStr">
        <is>
          <t>22</t>
        </is>
      </c>
      <c r="AB821" s="13" t="inlineStr">
        <is>
          <t>23</t>
        </is>
      </c>
      <c r="AC821" s="13" t="inlineStr">
        <is>
          <t>24</t>
        </is>
      </c>
      <c r="AD821" s="13" t="inlineStr">
        <is>
          <t>25</t>
        </is>
      </c>
      <c r="AE821" s="13" t="inlineStr">
        <is>
          <t>26</t>
        </is>
      </c>
      <c r="AF821" s="13" t="inlineStr">
        <is>
          <t>27</t>
        </is>
      </c>
      <c r="AG821" s="13" t="inlineStr">
        <is>
          <t>28</t>
        </is>
      </c>
      <c r="AH821" s="13" t="inlineStr">
        <is>
          <t>29</t>
        </is>
      </c>
      <c r="AI821" s="13" t="inlineStr">
        <is>
          <t>30</t>
        </is>
      </c>
    </row>
    <row r="822">
      <c r="A822" s="4" t="inlineStr">
        <is>
          <t>Студент3.1</t>
        </is>
      </c>
      <c r="B822" s="4" t="inlineStr"/>
      <c r="C822" s="4">
        <f>IF(A822="","",COUNTIF(F822:AI822,"+")+COUNTIF(F822:AI822,"1"))</f>
        <v/>
      </c>
      <c r="D822" s="4">
        <f>IF(A822="","",IF(C822&gt;2*COUNTA(F$821:AI$821)/3,'Общий'!$M$11,IF(C822&gt;=COUNTA(F$821:AI$821)/2,'Общий'!$M$12,'Общий'!$M$13)))</f>
        <v/>
      </c>
      <c r="E822" s="4">
        <f>IF(A822="","",SUMIFS('Логи'!$H$7:$H$3006,'Логи'!$A$7:$A$3006,13,'Логи'!$B$7:$B$3006,3,'Логи'!$C$7:$C$3006,A822))</f>
        <v/>
      </c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</row>
    <row r="823">
      <c r="A823" s="4" t="inlineStr">
        <is>
          <t>Студент3.2</t>
        </is>
      </c>
      <c r="B823" s="4" t="inlineStr"/>
      <c r="C823" s="4">
        <f>IF(A823="","",COUNTIF(F823:AI823,"+")+COUNTIF(F823:AI823,"1"))</f>
        <v/>
      </c>
      <c r="D823" s="4">
        <f>IF(A823="","",IF(C823&gt;2*COUNTA(F$821:AI$821)/3,'Общий'!$M$11,IF(C823&gt;=COUNTA(F$821:AI$821)/2,'Общий'!$M$12,'Общий'!$M$13)))</f>
        <v/>
      </c>
      <c r="E823" s="4">
        <f>IF(A823="","",SUMIFS('Логи'!$H$7:$H$3006,'Логи'!$A$7:$A$3006,13,'Логи'!$B$7:$B$3006,3,'Логи'!$C$7:$C$3006,A823))</f>
        <v/>
      </c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4" t="inlineStr">
        <is>
          <t>Студент3.3</t>
        </is>
      </c>
      <c r="B824" s="4" t="inlineStr"/>
      <c r="C824" s="4">
        <f>IF(A824="","",COUNTIF(F824:AI824,"+")+COUNTIF(F824:AI824,"1"))</f>
        <v/>
      </c>
      <c r="D824" s="4">
        <f>IF(A824="","",IF(C824&gt;2*COUNTA(F$821:AI$821)/3,'Общий'!$M$11,IF(C824&gt;=COUNTA(F$821:AI$821)/2,'Общий'!$M$12,'Общий'!$M$13)))</f>
        <v/>
      </c>
      <c r="E824" s="4">
        <f>IF(A824="","",SUMIFS('Логи'!$H$7:$H$3006,'Логи'!$A$7:$A$3006,13,'Логи'!$B$7:$B$3006,3,'Логи'!$C$7:$C$3006,A824))</f>
        <v/>
      </c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</row>
    <row r="825">
      <c r="A825" s="4" t="inlineStr">
        <is>
          <t>Студент3.4</t>
        </is>
      </c>
      <c r="B825" s="4" t="inlineStr"/>
      <c r="C825" s="4">
        <f>IF(A825="","",COUNTIF(F825:AI825,"+")+COUNTIF(F825:AI825,"1"))</f>
        <v/>
      </c>
      <c r="D825" s="4">
        <f>IF(A825="","",IF(C825&gt;2*COUNTA(F$821:AI$821)/3,'Общий'!$M$11,IF(C825&gt;=COUNTA(F$821:AI$821)/2,'Общий'!$M$12,'Общий'!$M$13)))</f>
        <v/>
      </c>
      <c r="E825" s="4">
        <f>IF(A825="","",SUMIFS('Логи'!$H$7:$H$3006,'Логи'!$A$7:$A$3006,13,'Логи'!$B$7:$B$3006,3,'Логи'!$C$7:$C$3006,A825))</f>
        <v/>
      </c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4" t="inlineStr">
        <is>
          <t>Студент3.5</t>
        </is>
      </c>
      <c r="B826" s="4" t="inlineStr"/>
      <c r="C826" s="4">
        <f>IF(A826="","",COUNTIF(F826:AI826,"+")+COUNTIF(F826:AI826,"1"))</f>
        <v/>
      </c>
      <c r="D826" s="4">
        <f>IF(A826="","",IF(C826&gt;2*COUNTA(F$821:AI$821)/3,'Общий'!$M$11,IF(C826&gt;=COUNTA(F$821:AI$821)/2,'Общий'!$M$12,'Общий'!$M$13)))</f>
        <v/>
      </c>
      <c r="E826" s="4">
        <f>IF(A826="","",SUMIFS('Логи'!$H$7:$H$3006,'Логи'!$A$7:$A$3006,13,'Логи'!$B$7:$B$3006,3,'Логи'!$C$7:$C$3006,A826))</f>
        <v/>
      </c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</row>
    <row r="827">
      <c r="A827" s="4" t="inlineStr">
        <is>
          <t>Студент3.6</t>
        </is>
      </c>
      <c r="B827" s="4" t="inlineStr"/>
      <c r="C827" s="4">
        <f>IF(A827="","",COUNTIF(F827:AI827,"+")+COUNTIF(F827:AI827,"1"))</f>
        <v/>
      </c>
      <c r="D827" s="4">
        <f>IF(A827="","",IF(C827&gt;2*COUNTA(F$821:AI$821)/3,'Общий'!$M$11,IF(C827&gt;=COUNTA(F$821:AI$821)/2,'Общий'!$M$12,'Общий'!$M$13)))</f>
        <v/>
      </c>
      <c r="E827" s="4">
        <f>IF(A827="","",SUMIFS('Логи'!$H$7:$H$3006,'Логи'!$A$7:$A$3006,13,'Логи'!$B$7:$B$3006,3,'Логи'!$C$7:$C$3006,A827))</f>
        <v/>
      </c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4" t="inlineStr">
        <is>
          <t>Студент3.7</t>
        </is>
      </c>
      <c r="B828" s="4" t="inlineStr"/>
      <c r="C828" s="4">
        <f>IF(A828="","",COUNTIF(F828:AI828,"+")+COUNTIF(F828:AI828,"1"))</f>
        <v/>
      </c>
      <c r="D828" s="4">
        <f>IF(A828="","",IF(C828&gt;2*COUNTA(F$821:AI$821)/3,'Общий'!$M$11,IF(C828&gt;=COUNTA(F$821:AI$821)/2,'Общий'!$M$12,'Общий'!$M$13)))</f>
        <v/>
      </c>
      <c r="E828" s="4">
        <f>IF(A828="","",SUMIFS('Логи'!$H$7:$H$3006,'Логи'!$A$7:$A$3006,13,'Логи'!$B$7:$B$3006,3,'Логи'!$C$7:$C$3006,A828))</f>
        <v/>
      </c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</row>
    <row r="829">
      <c r="A829" s="4" t="inlineStr">
        <is>
          <t>Студент3.8</t>
        </is>
      </c>
      <c r="B829" s="4" t="inlineStr"/>
      <c r="C829" s="4">
        <f>IF(A829="","",COUNTIF(F829:AI829,"+")+COUNTIF(F829:AI829,"1"))</f>
        <v/>
      </c>
      <c r="D829" s="4">
        <f>IF(A829="","",IF(C829&gt;2*COUNTA(F$821:AI$821)/3,'Общий'!$M$11,IF(C829&gt;=COUNTA(F$821:AI$821)/2,'Общий'!$M$12,'Общий'!$M$13)))</f>
        <v/>
      </c>
      <c r="E829" s="4">
        <f>IF(A829="","",SUMIFS('Логи'!$H$7:$H$3006,'Логи'!$A$7:$A$3006,13,'Логи'!$B$7:$B$3006,3,'Логи'!$C$7:$C$3006,A829))</f>
        <v/>
      </c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4" t="inlineStr">
        <is>
          <t>Студент3.9</t>
        </is>
      </c>
      <c r="B830" s="4" t="inlineStr"/>
      <c r="C830" s="4">
        <f>IF(A830="","",COUNTIF(F830:AI830,"+")+COUNTIF(F830:AI830,"1"))</f>
        <v/>
      </c>
      <c r="D830" s="4">
        <f>IF(A830="","",IF(C830&gt;2*COUNTA(F$821:AI$821)/3,'Общий'!$M$11,IF(C830&gt;=COUNTA(F$821:AI$821)/2,'Общий'!$M$12,'Общий'!$M$13)))</f>
        <v/>
      </c>
      <c r="E830" s="4">
        <f>IF(A830="","",SUMIFS('Логи'!$H$7:$H$3006,'Логи'!$A$7:$A$3006,13,'Логи'!$B$7:$B$3006,3,'Логи'!$C$7:$C$3006,A830))</f>
        <v/>
      </c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</row>
    <row r="831">
      <c r="A831" s="4" t="inlineStr">
        <is>
          <t>Студент3.10</t>
        </is>
      </c>
      <c r="B831" s="4" t="inlineStr"/>
      <c r="C831" s="4">
        <f>IF(A831="","",COUNTIF(F831:AI831,"+")+COUNTIF(F831:AI831,"1"))</f>
        <v/>
      </c>
      <c r="D831" s="4">
        <f>IF(A831="","",IF(C831&gt;2*COUNTA(F$821:AI$821)/3,'Общий'!$M$11,IF(C831&gt;=COUNTA(F$821:AI$821)/2,'Общий'!$M$12,'Общий'!$M$13)))</f>
        <v/>
      </c>
      <c r="E831" s="4">
        <f>IF(A831="","",SUMIFS('Логи'!$H$7:$H$3006,'Логи'!$A$7:$A$3006,13,'Логи'!$B$7:$B$3006,3,'Логи'!$C$7:$C$3006,A831))</f>
        <v/>
      </c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4" t="inlineStr">
        <is>
          <t>Студент3.11</t>
        </is>
      </c>
      <c r="B832" s="4" t="inlineStr"/>
      <c r="C832" s="4">
        <f>IF(A832="","",COUNTIF(F832:AI832,"+")+COUNTIF(F832:AI832,"1"))</f>
        <v/>
      </c>
      <c r="D832" s="4">
        <f>IF(A832="","",IF(C832&gt;2*COUNTA(F$821:AI$821)/3,'Общий'!$M$11,IF(C832&gt;=COUNTA(F$821:AI$821)/2,'Общий'!$M$12,'Общий'!$M$13)))</f>
        <v/>
      </c>
      <c r="E832" s="4">
        <f>IF(A832="","",SUMIFS('Логи'!$H$7:$H$3006,'Логи'!$A$7:$A$3006,13,'Логи'!$B$7:$B$3006,3,'Логи'!$C$7:$C$3006,A832))</f>
        <v/>
      </c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</row>
    <row r="833">
      <c r="A833" s="4" t="inlineStr">
        <is>
          <t>Студент3.12</t>
        </is>
      </c>
      <c r="B833" s="4" t="inlineStr"/>
      <c r="C833" s="4">
        <f>IF(A833="","",COUNTIF(F833:AI833,"+")+COUNTIF(F833:AI833,"1"))</f>
        <v/>
      </c>
      <c r="D833" s="4">
        <f>IF(A833="","",IF(C833&gt;2*COUNTA(F$821:AI$821)/3,'Общий'!$M$11,IF(C833&gt;=COUNTA(F$821:AI$821)/2,'Общий'!$M$12,'Общий'!$M$13)))</f>
        <v/>
      </c>
      <c r="E833" s="4">
        <f>IF(A833="","",SUMIFS('Логи'!$H$7:$H$3006,'Логи'!$A$7:$A$3006,13,'Логи'!$B$7:$B$3006,3,'Логи'!$C$7:$C$3006,A833))</f>
        <v/>
      </c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4" t="inlineStr">
        <is>
          <t>Студент3.13</t>
        </is>
      </c>
      <c r="B834" s="4" t="inlineStr"/>
      <c r="C834" s="4">
        <f>IF(A834="","",COUNTIF(F834:AI834,"+")+COUNTIF(F834:AI834,"1"))</f>
        <v/>
      </c>
      <c r="D834" s="4">
        <f>IF(A834="","",IF(C834&gt;2*COUNTA(F$821:AI$821)/3,'Общий'!$M$11,IF(C834&gt;=COUNTA(F$821:AI$821)/2,'Общий'!$M$12,'Общий'!$M$13)))</f>
        <v/>
      </c>
      <c r="E834" s="4">
        <f>IF(A834="","",SUMIFS('Логи'!$H$7:$H$3006,'Логи'!$A$7:$A$3006,13,'Логи'!$B$7:$B$3006,3,'Логи'!$C$7:$C$3006,A834))</f>
        <v/>
      </c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</row>
    <row r="835">
      <c r="A835" s="4" t="inlineStr">
        <is>
          <t>Студент3.14</t>
        </is>
      </c>
      <c r="B835" s="4" t="inlineStr"/>
      <c r="C835" s="4">
        <f>IF(A835="","",COUNTIF(F835:AI835,"+")+COUNTIF(F835:AI835,"1"))</f>
        <v/>
      </c>
      <c r="D835" s="4">
        <f>IF(A835="","",IF(C835&gt;2*COUNTA(F$821:AI$821)/3,'Общий'!$M$11,IF(C835&gt;=COUNTA(F$821:AI$821)/2,'Общий'!$M$12,'Общий'!$M$13)))</f>
        <v/>
      </c>
      <c r="E835" s="4">
        <f>IF(A835="","",SUMIFS('Логи'!$H$7:$H$3006,'Логи'!$A$7:$A$3006,13,'Логи'!$B$7:$B$3006,3,'Логи'!$C$7:$C$3006,A835))</f>
        <v/>
      </c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4" t="inlineStr">
        <is>
          <t>Студент3.15</t>
        </is>
      </c>
      <c r="B836" s="4" t="inlineStr"/>
      <c r="C836" s="4">
        <f>IF(A836="","",COUNTIF(F836:AI836,"+")+COUNTIF(F836:AI836,"1"))</f>
        <v/>
      </c>
      <c r="D836" s="4">
        <f>IF(A836="","",IF(C836&gt;2*COUNTA(F$821:AI$821)/3,'Общий'!$M$11,IF(C836&gt;=COUNTA(F$821:AI$821)/2,'Общий'!$M$12,'Общий'!$M$13)))</f>
        <v/>
      </c>
      <c r="E836" s="4">
        <f>IF(A836="","",SUMIFS('Логи'!$H$7:$H$3006,'Логи'!$A$7:$A$3006,13,'Логи'!$B$7:$B$3006,3,'Логи'!$C$7:$C$3006,A836))</f>
        <v/>
      </c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</row>
    <row r="837">
      <c r="A837" s="4" t="inlineStr">
        <is>
          <t>Студент3.16</t>
        </is>
      </c>
      <c r="B837" s="4" t="inlineStr"/>
      <c r="C837" s="4">
        <f>IF(A837="","",COUNTIF(F837:AI837,"+")+COUNTIF(F837:AI837,"1"))</f>
        <v/>
      </c>
      <c r="D837" s="4">
        <f>IF(A837="","",IF(C837&gt;2*COUNTA(F$821:AI$821)/3,'Общий'!$M$11,IF(C837&gt;=COUNTA(F$821:AI$821)/2,'Общий'!$M$12,'Общий'!$M$13)))</f>
        <v/>
      </c>
      <c r="E837" s="4">
        <f>IF(A837="","",SUMIFS('Логи'!$H$7:$H$3006,'Логи'!$A$7:$A$3006,13,'Логи'!$B$7:$B$3006,3,'Логи'!$C$7:$C$3006,A837))</f>
        <v/>
      </c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4" t="inlineStr">
        <is>
          <t>Студент3.17</t>
        </is>
      </c>
      <c r="B838" s="4" t="inlineStr"/>
      <c r="C838" s="4">
        <f>IF(A838="","",COUNTIF(F838:AI838,"+")+COUNTIF(F838:AI838,"1"))</f>
        <v/>
      </c>
      <c r="D838" s="4">
        <f>IF(A838="","",IF(C838&gt;2*COUNTA(F$821:AI$821)/3,'Общий'!$M$11,IF(C838&gt;=COUNTA(F$821:AI$821)/2,'Общий'!$M$12,'Общий'!$M$13)))</f>
        <v/>
      </c>
      <c r="E838" s="4">
        <f>IF(A838="","",SUMIFS('Логи'!$H$7:$H$3006,'Логи'!$A$7:$A$3006,13,'Логи'!$B$7:$B$3006,3,'Логи'!$C$7:$C$3006,A838))</f>
        <v/>
      </c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</row>
    <row r="839">
      <c r="A839" s="4" t="inlineStr">
        <is>
          <t>Студент3.18</t>
        </is>
      </c>
      <c r="B839" s="4" t="inlineStr"/>
      <c r="C839" s="4">
        <f>IF(A839="","",COUNTIF(F839:AI839,"+")+COUNTIF(F839:AI839,"1"))</f>
        <v/>
      </c>
      <c r="D839" s="4">
        <f>IF(A839="","",IF(C839&gt;2*COUNTA(F$821:AI$821)/3,'Общий'!$M$11,IF(C839&gt;=COUNTA(F$821:AI$821)/2,'Общий'!$M$12,'Общий'!$M$13)))</f>
        <v/>
      </c>
      <c r="E839" s="4">
        <f>IF(A839="","",SUMIFS('Логи'!$H$7:$H$3006,'Логи'!$A$7:$A$3006,13,'Логи'!$B$7:$B$3006,3,'Логи'!$C$7:$C$3006,A839))</f>
        <v/>
      </c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4" t="inlineStr">
        <is>
          <t>Студент3.19</t>
        </is>
      </c>
      <c r="B840" s="4" t="inlineStr"/>
      <c r="C840" s="4">
        <f>IF(A840="","",COUNTIF(F840:AI840,"+")+COUNTIF(F840:AI840,"1"))</f>
        <v/>
      </c>
      <c r="D840" s="4">
        <f>IF(A840="","",IF(C840&gt;2*COUNTA(F$821:AI$821)/3,'Общий'!$M$11,IF(C840&gt;=COUNTA(F$821:AI$821)/2,'Общий'!$M$12,'Общий'!$M$13)))</f>
        <v/>
      </c>
      <c r="E840" s="4">
        <f>IF(A840="","",SUMIFS('Логи'!$H$7:$H$3006,'Логи'!$A$7:$A$3006,13,'Логи'!$B$7:$B$3006,3,'Логи'!$C$7:$C$3006,A840))</f>
        <v/>
      </c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</row>
    <row r="841">
      <c r="A841" s="4" t="inlineStr">
        <is>
          <t>Студент3.20</t>
        </is>
      </c>
      <c r="B841" s="4" t="inlineStr"/>
      <c r="C841" s="4">
        <f>IF(A841="","",COUNTIF(F841:AI841,"+")+COUNTIF(F841:AI841,"1"))</f>
        <v/>
      </c>
      <c r="D841" s="4">
        <f>IF(A841="","",IF(C841&gt;2*COUNTA(F$821:AI$821)/3,'Общий'!$M$11,IF(C841&gt;=COUNTA(F$821:AI$821)/2,'Общий'!$M$12,'Общий'!$M$13)))</f>
        <v/>
      </c>
      <c r="E841" s="4">
        <f>IF(A841="","",SUMIFS('Логи'!$H$7:$H$3006,'Логи'!$A$7:$A$3006,13,'Логи'!$B$7:$B$3006,3,'Логи'!$C$7:$C$3006,A841))</f>
        <v/>
      </c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4" t="inlineStr">
        <is>
          <t>Студент3.21</t>
        </is>
      </c>
      <c r="B842" s="4" t="inlineStr"/>
      <c r="C842" s="4">
        <f>IF(A842="","",COUNTIF(F842:AI842,"+")+COUNTIF(F842:AI842,"1"))</f>
        <v/>
      </c>
      <c r="D842" s="4">
        <f>IF(A842="","",IF(C842&gt;2*COUNTA(F$821:AI$821)/3,'Общий'!$M$11,IF(C842&gt;=COUNTA(F$821:AI$821)/2,'Общий'!$M$12,'Общий'!$M$13)))</f>
        <v/>
      </c>
      <c r="E842" s="4">
        <f>IF(A842="","",SUMIFS('Логи'!$H$7:$H$3006,'Логи'!$A$7:$A$3006,13,'Логи'!$B$7:$B$3006,3,'Логи'!$C$7:$C$3006,A842))</f>
        <v/>
      </c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</row>
    <row r="843">
      <c r="A843" s="4" t="inlineStr">
        <is>
          <t>Студент3.22</t>
        </is>
      </c>
      <c r="B843" s="4" t="inlineStr"/>
      <c r="C843" s="4">
        <f>IF(A843="","",COUNTIF(F843:AI843,"+")+COUNTIF(F843:AI843,"1"))</f>
        <v/>
      </c>
      <c r="D843" s="4">
        <f>IF(A843="","",IF(C843&gt;2*COUNTA(F$821:AI$821)/3,'Общий'!$M$11,IF(C843&gt;=COUNTA(F$821:AI$821)/2,'Общий'!$M$12,'Общий'!$M$13)))</f>
        <v/>
      </c>
      <c r="E843" s="4">
        <f>IF(A843="","",SUMIFS('Логи'!$H$7:$H$3006,'Логи'!$A$7:$A$3006,13,'Логи'!$B$7:$B$3006,3,'Логи'!$C$7:$C$3006,A843))</f>
        <v/>
      </c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4" t="inlineStr">
        <is>
          <t>Студент3.23</t>
        </is>
      </c>
      <c r="B844" s="4" t="inlineStr"/>
      <c r="C844" s="4">
        <f>IF(A844="","",COUNTIF(F844:AI844,"+")+COUNTIF(F844:AI844,"1"))</f>
        <v/>
      </c>
      <c r="D844" s="4">
        <f>IF(A844="","",IF(C844&gt;2*COUNTA(F$821:AI$821)/3,'Общий'!$M$11,IF(C844&gt;=COUNTA(F$821:AI$821)/2,'Общий'!$M$12,'Общий'!$M$13)))</f>
        <v/>
      </c>
      <c r="E844" s="4">
        <f>IF(A844="","",SUMIFS('Логи'!$H$7:$H$3006,'Логи'!$A$7:$A$3006,13,'Логи'!$B$7:$B$3006,3,'Логи'!$C$7:$C$3006,A844))</f>
        <v/>
      </c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</row>
    <row r="845">
      <c r="A845" s="4" t="inlineStr">
        <is>
          <t>Студент3.24</t>
        </is>
      </c>
      <c r="B845" s="4" t="inlineStr"/>
      <c r="C845" s="4">
        <f>IF(A845="","",COUNTIF(F845:AI845,"+")+COUNTIF(F845:AI845,"1"))</f>
        <v/>
      </c>
      <c r="D845" s="4">
        <f>IF(A845="","",IF(C845&gt;2*COUNTA(F$821:AI$821)/3,'Общий'!$M$11,IF(C845&gt;=COUNTA(F$821:AI$821)/2,'Общий'!$M$12,'Общий'!$M$13)))</f>
        <v/>
      </c>
      <c r="E845" s="4">
        <f>IF(A845="","",SUMIFS('Логи'!$H$7:$H$3006,'Логи'!$A$7:$A$3006,13,'Логи'!$B$7:$B$3006,3,'Логи'!$C$7:$C$3006,A845))</f>
        <v/>
      </c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4" t="inlineStr">
        <is>
          <t>Студент3.25</t>
        </is>
      </c>
      <c r="B846" s="4" t="inlineStr"/>
      <c r="C846" s="4">
        <f>IF(A846="","",COUNTIF(F846:AI846,"+")+COUNTIF(F846:AI846,"1"))</f>
        <v/>
      </c>
      <c r="D846" s="4">
        <f>IF(A846="","",IF(C846&gt;2*COUNTA(F$821:AI$821)/3,'Общий'!$M$11,IF(C846&gt;=COUNTA(F$821:AI$821)/2,'Общий'!$M$12,'Общий'!$M$13)))</f>
        <v/>
      </c>
      <c r="E846" s="4">
        <f>IF(A846="","",SUMIFS('Логи'!$H$7:$H$3006,'Логи'!$A$7:$A$3006,13,'Логи'!$B$7:$B$3006,3,'Логи'!$C$7:$C$3006,A846))</f>
        <v/>
      </c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</row>
    <row r="847">
      <c r="A847" s="4" t="inlineStr">
        <is>
          <t>Студент3.26</t>
        </is>
      </c>
      <c r="B847" s="4" t="inlineStr"/>
      <c r="C847" s="4">
        <f>IF(A847="","",COUNTIF(F847:AI847,"+")+COUNTIF(F847:AI847,"1"))</f>
        <v/>
      </c>
      <c r="D847" s="4">
        <f>IF(A847="","",IF(C847&gt;2*COUNTA(F$821:AI$821)/3,'Общий'!$M$11,IF(C847&gt;=COUNTA(F$821:AI$821)/2,'Общий'!$M$12,'Общий'!$M$13)))</f>
        <v/>
      </c>
      <c r="E847" s="4">
        <f>IF(A847="","",SUMIFS('Логи'!$H$7:$H$3006,'Логи'!$A$7:$A$3006,13,'Логи'!$B$7:$B$3006,3,'Логи'!$C$7:$C$3006,A847))</f>
        <v/>
      </c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4" t="inlineStr">
        <is>
          <t>Студент3.27</t>
        </is>
      </c>
      <c r="B848" s="4" t="inlineStr"/>
      <c r="C848" s="4">
        <f>IF(A848="","",COUNTIF(F848:AI848,"+")+COUNTIF(F848:AI848,"1"))</f>
        <v/>
      </c>
      <c r="D848" s="4">
        <f>IF(A848="","",IF(C848&gt;2*COUNTA(F$821:AI$821)/3,'Общий'!$M$11,IF(C848&gt;=COUNTA(F$821:AI$821)/2,'Общий'!$M$12,'Общий'!$M$13)))</f>
        <v/>
      </c>
      <c r="E848" s="4">
        <f>IF(A848="","",SUMIFS('Логи'!$H$7:$H$3006,'Логи'!$A$7:$A$3006,13,'Логи'!$B$7:$B$3006,3,'Логи'!$C$7:$C$3006,A848))</f>
        <v/>
      </c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</row>
    <row r="849">
      <c r="A849" s="4" t="inlineStr">
        <is>
          <t>Студент3.28</t>
        </is>
      </c>
      <c r="B849" s="4" t="inlineStr"/>
      <c r="C849" s="4">
        <f>IF(A849="","",COUNTIF(F849:AI849,"+")+COUNTIF(F849:AI849,"1"))</f>
        <v/>
      </c>
      <c r="D849" s="4">
        <f>IF(A849="","",IF(C849&gt;2*COUNTA(F$821:AI$821)/3,'Общий'!$M$11,IF(C849&gt;=COUNTA(F$821:AI$821)/2,'Общий'!$M$12,'Общий'!$M$13)))</f>
        <v/>
      </c>
      <c r="E849" s="4">
        <f>IF(A849="","",SUMIFS('Логи'!$H$7:$H$3006,'Логи'!$A$7:$A$3006,13,'Логи'!$B$7:$B$3006,3,'Логи'!$C$7:$C$3006,A849))</f>
        <v/>
      </c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4" t="inlineStr">
        <is>
          <t>Студент3.29</t>
        </is>
      </c>
      <c r="B850" s="4" t="inlineStr"/>
      <c r="C850" s="4">
        <f>IF(A850="","",COUNTIF(F850:AI850,"+")+COUNTIF(F850:AI850,"1"))</f>
        <v/>
      </c>
      <c r="D850" s="4">
        <f>IF(A850="","",IF(C850&gt;2*COUNTA(F$821:AI$821)/3,'Общий'!$M$11,IF(C850&gt;=COUNTA(F$821:AI$821)/2,'Общий'!$M$12,'Общий'!$M$13)))</f>
        <v/>
      </c>
      <c r="E850" s="4">
        <f>IF(A850="","",SUMIFS('Логи'!$H$7:$H$3006,'Логи'!$A$7:$A$3006,13,'Логи'!$B$7:$B$3006,3,'Логи'!$C$7:$C$3006,A850))</f>
        <v/>
      </c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</row>
    <row r="851">
      <c r="A851" s="4" t="inlineStr">
        <is>
          <t>Студент3.30</t>
        </is>
      </c>
      <c r="B851" s="4" t="inlineStr"/>
      <c r="C851" s="4">
        <f>IF(A851="","",COUNTIF(F851:AI851,"+")+COUNTIF(F851:AI851,"1"))</f>
        <v/>
      </c>
      <c r="D851" s="4">
        <f>IF(A851="","",IF(C851&gt;2*COUNTA(F$821:AI$821)/3,'Общий'!$M$11,IF(C851&gt;=COUNTA(F$821:AI$821)/2,'Общий'!$M$12,'Общий'!$M$13)))</f>
        <v/>
      </c>
      <c r="E851" s="4">
        <f>IF(A851="","",SUMIFS('Логи'!$H$7:$H$3006,'Логи'!$A$7:$A$3006,13,'Логи'!$B$7:$B$3006,3,'Логи'!$C$7:$C$3006,A851))</f>
        <v/>
      </c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3">
      <c r="A853" s="19" t="inlineStr">
        <is>
          <t>Практика 13 — результаты рассказа</t>
        </is>
      </c>
    </row>
    <row r="854" ht="28" customHeight="1">
      <c r="A854" s="9" t="inlineStr">
        <is>
          <t>Имя</t>
        </is>
      </c>
      <c r="B854" s="11" t="inlineStr">
        <is>
          <t>TG</t>
        </is>
      </c>
      <c r="C854" s="12" t="inlineStr"/>
      <c r="D854" s="3" t="inlineStr"/>
      <c r="E854" s="3" t="inlineStr"/>
      <c r="F854" s="13" t="inlineStr">
        <is>
          <t>1.0</t>
        </is>
      </c>
      <c r="G854" s="13" t="inlineStr">
        <is>
          <t>2.0</t>
        </is>
      </c>
      <c r="H854" s="13" t="inlineStr">
        <is>
          <t>3.0</t>
        </is>
      </c>
      <c r="I854" s="13" t="inlineStr">
        <is>
          <t>4.0</t>
        </is>
      </c>
      <c r="J854" s="13" t="inlineStr">
        <is>
          <t>5.0</t>
        </is>
      </c>
      <c r="K854" s="13" t="inlineStr">
        <is>
          <t>6</t>
        </is>
      </c>
      <c r="L854" s="13" t="inlineStr">
        <is>
          <t>7</t>
        </is>
      </c>
      <c r="M854" s="13" t="inlineStr">
        <is>
          <t>8</t>
        </is>
      </c>
      <c r="N854" s="13" t="inlineStr">
        <is>
          <t>9</t>
        </is>
      </c>
      <c r="O854" s="13" t="inlineStr">
        <is>
          <t>10</t>
        </is>
      </c>
      <c r="P854" s="13" t="inlineStr">
        <is>
          <t>11</t>
        </is>
      </c>
      <c r="Q854" s="13" t="inlineStr">
        <is>
          <t>12</t>
        </is>
      </c>
      <c r="R854" s="13" t="inlineStr">
        <is>
          <t>13</t>
        </is>
      </c>
      <c r="S854" s="13" t="inlineStr">
        <is>
          <t>14</t>
        </is>
      </c>
      <c r="T854" s="13" t="inlineStr">
        <is>
          <t>15</t>
        </is>
      </c>
      <c r="U854" s="13" t="inlineStr">
        <is>
          <t>16</t>
        </is>
      </c>
      <c r="V854" s="13" t="inlineStr">
        <is>
          <t>17</t>
        </is>
      </c>
      <c r="W854" s="13" t="inlineStr">
        <is>
          <t>18</t>
        </is>
      </c>
      <c r="X854" s="13" t="inlineStr">
        <is>
          <t>19</t>
        </is>
      </c>
      <c r="Y854" s="13" t="inlineStr">
        <is>
          <t>20</t>
        </is>
      </c>
      <c r="Z854" s="13" t="inlineStr">
        <is>
          <t>21</t>
        </is>
      </c>
      <c r="AA854" s="13" t="inlineStr">
        <is>
          <t>22</t>
        </is>
      </c>
      <c r="AB854" s="13" t="inlineStr">
        <is>
          <t>23</t>
        </is>
      </c>
      <c r="AC854" s="13" t="inlineStr">
        <is>
          <t>24</t>
        </is>
      </c>
      <c r="AD854" s="13" t="inlineStr">
        <is>
          <t>25</t>
        </is>
      </c>
      <c r="AE854" s="13" t="inlineStr">
        <is>
          <t>26</t>
        </is>
      </c>
      <c r="AF854" s="13" t="inlineStr">
        <is>
          <t>27</t>
        </is>
      </c>
      <c r="AG854" s="13" t="inlineStr">
        <is>
          <t>28</t>
        </is>
      </c>
      <c r="AH854" s="13" t="inlineStr">
        <is>
          <t>29</t>
        </is>
      </c>
      <c r="AI854" s="13" t="inlineStr">
        <is>
          <t>30</t>
        </is>
      </c>
    </row>
    <row r="855">
      <c r="A855" s="4" t="inlineStr">
        <is>
          <t>Студент3.1</t>
        </is>
      </c>
      <c r="B855" s="4" t="inlineStr"/>
      <c r="C855" s="4" t="n"/>
      <c r="D855" s="4" t="n"/>
      <c r="E855" s="4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4" t="inlineStr">
        <is>
          <t>Студент3.2</t>
        </is>
      </c>
      <c r="B856" s="4" t="inlineStr"/>
      <c r="C856" s="4" t="n"/>
      <c r="D856" s="4" t="n"/>
      <c r="E856" s="4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</row>
    <row r="857">
      <c r="A857" s="4" t="inlineStr">
        <is>
          <t>Студент3.3</t>
        </is>
      </c>
      <c r="B857" s="4" t="inlineStr"/>
      <c r="C857" s="4" t="n"/>
      <c r="D857" s="4" t="n"/>
      <c r="E857" s="4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4" t="inlineStr">
        <is>
          <t>Студент3.4</t>
        </is>
      </c>
      <c r="B858" s="4" t="inlineStr"/>
      <c r="C858" s="4" t="n"/>
      <c r="D858" s="4" t="n"/>
      <c r="E858" s="4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</row>
    <row r="859">
      <c r="A859" s="4" t="inlineStr">
        <is>
          <t>Студент3.5</t>
        </is>
      </c>
      <c r="B859" s="4" t="inlineStr"/>
      <c r="C859" s="4" t="n"/>
      <c r="D859" s="4" t="n"/>
      <c r="E859" s="4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4" t="inlineStr">
        <is>
          <t>Студент3.6</t>
        </is>
      </c>
      <c r="B860" s="4" t="inlineStr"/>
      <c r="C860" s="4" t="n"/>
      <c r="D860" s="4" t="n"/>
      <c r="E860" s="4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</row>
    <row r="861">
      <c r="A861" s="4" t="inlineStr">
        <is>
          <t>Студент3.7</t>
        </is>
      </c>
      <c r="B861" s="4" t="inlineStr"/>
      <c r="C861" s="4" t="n"/>
      <c r="D861" s="4" t="n"/>
      <c r="E861" s="4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4" t="inlineStr">
        <is>
          <t>Студент3.8</t>
        </is>
      </c>
      <c r="B862" s="4" t="inlineStr"/>
      <c r="C862" s="4" t="n"/>
      <c r="D862" s="4" t="n"/>
      <c r="E862" s="4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</row>
    <row r="863">
      <c r="A863" s="4" t="inlineStr">
        <is>
          <t>Студент3.9</t>
        </is>
      </c>
      <c r="B863" s="4" t="inlineStr"/>
      <c r="C863" s="4" t="n"/>
      <c r="D863" s="4" t="n"/>
      <c r="E863" s="4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4" t="inlineStr">
        <is>
          <t>Студент3.10</t>
        </is>
      </c>
      <c r="B864" s="4" t="inlineStr"/>
      <c r="C864" s="4" t="n"/>
      <c r="D864" s="4" t="n"/>
      <c r="E864" s="4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</row>
    <row r="865">
      <c r="A865" s="4" t="inlineStr">
        <is>
          <t>Студент3.11</t>
        </is>
      </c>
      <c r="B865" s="4" t="inlineStr"/>
      <c r="C865" s="4" t="n"/>
      <c r="D865" s="4" t="n"/>
      <c r="E865" s="4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4" t="inlineStr">
        <is>
          <t>Студент3.12</t>
        </is>
      </c>
      <c r="B866" s="4" t="inlineStr"/>
      <c r="C866" s="4" t="n"/>
      <c r="D866" s="4" t="n"/>
      <c r="E866" s="4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</row>
    <row r="867">
      <c r="A867" s="4" t="inlineStr">
        <is>
          <t>Студент3.13</t>
        </is>
      </c>
      <c r="B867" s="4" t="inlineStr"/>
      <c r="C867" s="4" t="n"/>
      <c r="D867" s="4" t="n"/>
      <c r="E867" s="4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4" t="inlineStr">
        <is>
          <t>Студент3.14</t>
        </is>
      </c>
      <c r="B868" s="4" t="inlineStr"/>
      <c r="C868" s="4" t="n"/>
      <c r="D868" s="4" t="n"/>
      <c r="E868" s="4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</row>
    <row r="869">
      <c r="A869" s="4" t="inlineStr">
        <is>
          <t>Студент3.15</t>
        </is>
      </c>
      <c r="B869" s="4" t="inlineStr"/>
      <c r="C869" s="4" t="n"/>
      <c r="D869" s="4" t="n"/>
      <c r="E869" s="4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4" t="inlineStr">
        <is>
          <t>Студент3.16</t>
        </is>
      </c>
      <c r="B870" s="4" t="inlineStr"/>
      <c r="C870" s="4" t="n"/>
      <c r="D870" s="4" t="n"/>
      <c r="E870" s="4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</row>
    <row r="871">
      <c r="A871" s="4" t="inlineStr">
        <is>
          <t>Студент3.17</t>
        </is>
      </c>
      <c r="B871" s="4" t="inlineStr"/>
      <c r="C871" s="4" t="n"/>
      <c r="D871" s="4" t="n"/>
      <c r="E871" s="4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4" t="inlineStr">
        <is>
          <t>Студент3.18</t>
        </is>
      </c>
      <c r="B872" s="4" t="inlineStr"/>
      <c r="C872" s="4" t="n"/>
      <c r="D872" s="4" t="n"/>
      <c r="E872" s="4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</row>
    <row r="873">
      <c r="A873" s="4" t="inlineStr">
        <is>
          <t>Студент3.19</t>
        </is>
      </c>
      <c r="B873" s="4" t="inlineStr"/>
      <c r="C873" s="4" t="n"/>
      <c r="D873" s="4" t="n"/>
      <c r="E873" s="4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4" t="inlineStr">
        <is>
          <t>Студент3.20</t>
        </is>
      </c>
      <c r="B874" s="4" t="inlineStr"/>
      <c r="C874" s="4" t="n"/>
      <c r="D874" s="4" t="n"/>
      <c r="E874" s="4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</row>
    <row r="875">
      <c r="A875" s="4" t="inlineStr">
        <is>
          <t>Студент3.21</t>
        </is>
      </c>
      <c r="B875" s="4" t="inlineStr"/>
      <c r="C875" s="4" t="n"/>
      <c r="D875" s="4" t="n"/>
      <c r="E875" s="4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4" t="inlineStr">
        <is>
          <t>Студент3.22</t>
        </is>
      </c>
      <c r="B876" s="4" t="inlineStr"/>
      <c r="C876" s="4" t="n"/>
      <c r="D876" s="4" t="n"/>
      <c r="E876" s="4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</row>
    <row r="877">
      <c r="A877" s="4" t="inlineStr">
        <is>
          <t>Студент3.23</t>
        </is>
      </c>
      <c r="B877" s="4" t="inlineStr"/>
      <c r="C877" s="4" t="n"/>
      <c r="D877" s="4" t="n"/>
      <c r="E877" s="4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4" t="inlineStr">
        <is>
          <t>Студент3.24</t>
        </is>
      </c>
      <c r="B878" s="4" t="inlineStr"/>
      <c r="C878" s="4" t="n"/>
      <c r="D878" s="4" t="n"/>
      <c r="E878" s="4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</row>
    <row r="879">
      <c r="A879" s="4" t="inlineStr">
        <is>
          <t>Студент3.25</t>
        </is>
      </c>
      <c r="B879" s="4" t="inlineStr"/>
      <c r="C879" s="4" t="n"/>
      <c r="D879" s="4" t="n"/>
      <c r="E879" s="4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4" t="inlineStr">
        <is>
          <t>Студент3.26</t>
        </is>
      </c>
      <c r="B880" s="4" t="inlineStr"/>
      <c r="C880" s="4" t="n"/>
      <c r="D880" s="4" t="n"/>
      <c r="E880" s="4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</row>
    <row r="881">
      <c r="A881" s="4" t="inlineStr">
        <is>
          <t>Студент3.27</t>
        </is>
      </c>
      <c r="B881" s="4" t="inlineStr"/>
      <c r="C881" s="4" t="n"/>
      <c r="D881" s="4" t="n"/>
      <c r="E881" s="4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4" t="inlineStr">
        <is>
          <t>Студент3.28</t>
        </is>
      </c>
      <c r="B882" s="4" t="inlineStr"/>
      <c r="C882" s="4" t="n"/>
      <c r="D882" s="4" t="n"/>
      <c r="E882" s="4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</row>
    <row r="883">
      <c r="A883" s="4" t="inlineStr">
        <is>
          <t>Студент3.29</t>
        </is>
      </c>
      <c r="B883" s="4" t="inlineStr"/>
      <c r="C883" s="4" t="n"/>
      <c r="D883" s="4" t="n"/>
      <c r="E883" s="4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4" t="inlineStr">
        <is>
          <t>Студент3.30</t>
        </is>
      </c>
      <c r="B884" s="4" t="inlineStr"/>
      <c r="C884" s="4" t="n"/>
      <c r="D884" s="4" t="n"/>
      <c r="E884" s="4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</row>
    <row r="888">
      <c r="A888" s="17" t="inlineStr">
        <is>
          <t>Практика 14 — плюсы</t>
        </is>
      </c>
    </row>
    <row r="889" ht="28" customHeight="1">
      <c r="A889" s="9" t="inlineStr">
        <is>
          <t>Имя</t>
        </is>
      </c>
      <c r="B889" s="11" t="inlineStr">
        <is>
          <t>TG</t>
        </is>
      </c>
      <c r="C889" s="12" t="inlineStr">
        <is>
          <t>S</t>
        </is>
      </c>
      <c r="D889" s="10" t="inlineStr">
        <is>
          <t>Коэффициент</t>
        </is>
      </c>
      <c r="E889" s="18" t="inlineStr">
        <is>
          <t>D за практику</t>
        </is>
      </c>
      <c r="F889" s="13" t="inlineStr">
        <is>
          <t>1.0</t>
        </is>
      </c>
      <c r="G889" s="13" t="inlineStr">
        <is>
          <t>2.0</t>
        </is>
      </c>
      <c r="H889" s="13" t="inlineStr">
        <is>
          <t>3.0</t>
        </is>
      </c>
      <c r="I889" s="13" t="inlineStr">
        <is>
          <t>4.0</t>
        </is>
      </c>
      <c r="J889" s="13" t="inlineStr">
        <is>
          <t>5.0</t>
        </is>
      </c>
      <c r="K889" s="13" t="inlineStr">
        <is>
          <t>6</t>
        </is>
      </c>
      <c r="L889" s="13" t="inlineStr">
        <is>
          <t>7</t>
        </is>
      </c>
      <c r="M889" s="13" t="inlineStr">
        <is>
          <t>8</t>
        </is>
      </c>
      <c r="N889" s="13" t="inlineStr">
        <is>
          <t>9</t>
        </is>
      </c>
      <c r="O889" s="13" t="inlineStr">
        <is>
          <t>10</t>
        </is>
      </c>
      <c r="P889" s="13" t="inlineStr">
        <is>
          <t>11</t>
        </is>
      </c>
      <c r="Q889" s="13" t="inlineStr">
        <is>
          <t>12</t>
        </is>
      </c>
      <c r="R889" s="13" t="inlineStr">
        <is>
          <t>13</t>
        </is>
      </c>
      <c r="S889" s="13" t="inlineStr">
        <is>
          <t>14</t>
        </is>
      </c>
      <c r="T889" s="13" t="inlineStr">
        <is>
          <t>15</t>
        </is>
      </c>
      <c r="U889" s="13" t="inlineStr">
        <is>
          <t>16</t>
        </is>
      </c>
      <c r="V889" s="13" t="inlineStr">
        <is>
          <t>17</t>
        </is>
      </c>
      <c r="W889" s="13" t="inlineStr">
        <is>
          <t>18</t>
        </is>
      </c>
      <c r="X889" s="13" t="inlineStr">
        <is>
          <t>19</t>
        </is>
      </c>
      <c r="Y889" s="13" t="inlineStr">
        <is>
          <t>20</t>
        </is>
      </c>
      <c r="Z889" s="13" t="inlineStr">
        <is>
          <t>21</t>
        </is>
      </c>
      <c r="AA889" s="13" t="inlineStr">
        <is>
          <t>22</t>
        </is>
      </c>
      <c r="AB889" s="13" t="inlineStr">
        <is>
          <t>23</t>
        </is>
      </c>
      <c r="AC889" s="13" t="inlineStr">
        <is>
          <t>24</t>
        </is>
      </c>
      <c r="AD889" s="13" t="inlineStr">
        <is>
          <t>25</t>
        </is>
      </c>
      <c r="AE889" s="13" t="inlineStr">
        <is>
          <t>26</t>
        </is>
      </c>
      <c r="AF889" s="13" t="inlineStr">
        <is>
          <t>27</t>
        </is>
      </c>
      <c r="AG889" s="13" t="inlineStr">
        <is>
          <t>28</t>
        </is>
      </c>
      <c r="AH889" s="13" t="inlineStr">
        <is>
          <t>29</t>
        </is>
      </c>
      <c r="AI889" s="13" t="inlineStr">
        <is>
          <t>30</t>
        </is>
      </c>
    </row>
    <row r="890">
      <c r="A890" s="4" t="inlineStr">
        <is>
          <t>Студент3.1</t>
        </is>
      </c>
      <c r="B890" s="4" t="inlineStr"/>
      <c r="C890" s="4">
        <f>IF(A890="","",COUNTIF(F890:AI890,"+")+COUNTIF(F890:AI890,"1"))</f>
        <v/>
      </c>
      <c r="D890" s="4">
        <f>IF(A890="","",IF(C890&gt;2*COUNTA(F$889:AI$889)/3,'Общий'!$M$11,IF(C890&gt;=COUNTA(F$889:AI$889)/2,'Общий'!$M$12,'Общий'!$M$13)))</f>
        <v/>
      </c>
      <c r="E890" s="4">
        <f>IF(A890="","",SUMIFS('Логи'!$H$7:$H$3006,'Логи'!$A$7:$A$3006,14,'Логи'!$B$7:$B$3006,3,'Логи'!$C$7:$C$3006,A890))</f>
        <v/>
      </c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</row>
    <row r="891">
      <c r="A891" s="4" t="inlineStr">
        <is>
          <t>Студент3.2</t>
        </is>
      </c>
      <c r="B891" s="4" t="inlineStr"/>
      <c r="C891" s="4">
        <f>IF(A891="","",COUNTIF(F891:AI891,"+")+COUNTIF(F891:AI891,"1"))</f>
        <v/>
      </c>
      <c r="D891" s="4">
        <f>IF(A891="","",IF(C891&gt;2*COUNTA(F$889:AI$889)/3,'Общий'!$M$11,IF(C891&gt;=COUNTA(F$889:AI$889)/2,'Общий'!$M$12,'Общий'!$M$13)))</f>
        <v/>
      </c>
      <c r="E891" s="4">
        <f>IF(A891="","",SUMIFS('Логи'!$H$7:$H$3006,'Логи'!$A$7:$A$3006,14,'Логи'!$B$7:$B$3006,3,'Логи'!$C$7:$C$3006,A891))</f>
        <v/>
      </c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4" t="inlineStr">
        <is>
          <t>Студент3.3</t>
        </is>
      </c>
      <c r="B892" s="4" t="inlineStr"/>
      <c r="C892" s="4">
        <f>IF(A892="","",COUNTIF(F892:AI892,"+")+COUNTIF(F892:AI892,"1"))</f>
        <v/>
      </c>
      <c r="D892" s="4">
        <f>IF(A892="","",IF(C892&gt;2*COUNTA(F$889:AI$889)/3,'Общий'!$M$11,IF(C892&gt;=COUNTA(F$889:AI$889)/2,'Общий'!$M$12,'Общий'!$M$13)))</f>
        <v/>
      </c>
      <c r="E892" s="4">
        <f>IF(A892="","",SUMIFS('Логи'!$H$7:$H$3006,'Логи'!$A$7:$A$3006,14,'Логи'!$B$7:$B$3006,3,'Логи'!$C$7:$C$3006,A892))</f>
        <v/>
      </c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</row>
    <row r="893">
      <c r="A893" s="4" t="inlineStr">
        <is>
          <t>Студент3.4</t>
        </is>
      </c>
      <c r="B893" s="4" t="inlineStr"/>
      <c r="C893" s="4">
        <f>IF(A893="","",COUNTIF(F893:AI893,"+")+COUNTIF(F893:AI893,"1"))</f>
        <v/>
      </c>
      <c r="D893" s="4">
        <f>IF(A893="","",IF(C893&gt;2*COUNTA(F$889:AI$889)/3,'Общий'!$M$11,IF(C893&gt;=COUNTA(F$889:AI$889)/2,'Общий'!$M$12,'Общий'!$M$13)))</f>
        <v/>
      </c>
      <c r="E893" s="4">
        <f>IF(A893="","",SUMIFS('Логи'!$H$7:$H$3006,'Логи'!$A$7:$A$3006,14,'Логи'!$B$7:$B$3006,3,'Логи'!$C$7:$C$3006,A893))</f>
        <v/>
      </c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4" t="inlineStr">
        <is>
          <t>Студент3.5</t>
        </is>
      </c>
      <c r="B894" s="4" t="inlineStr"/>
      <c r="C894" s="4">
        <f>IF(A894="","",COUNTIF(F894:AI894,"+")+COUNTIF(F894:AI894,"1"))</f>
        <v/>
      </c>
      <c r="D894" s="4">
        <f>IF(A894="","",IF(C894&gt;2*COUNTA(F$889:AI$889)/3,'Общий'!$M$11,IF(C894&gt;=COUNTA(F$889:AI$889)/2,'Общий'!$M$12,'Общий'!$M$13)))</f>
        <v/>
      </c>
      <c r="E894" s="4">
        <f>IF(A894="","",SUMIFS('Логи'!$H$7:$H$3006,'Логи'!$A$7:$A$3006,14,'Логи'!$B$7:$B$3006,3,'Логи'!$C$7:$C$3006,A894))</f>
        <v/>
      </c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</row>
    <row r="895">
      <c r="A895" s="4" t="inlineStr">
        <is>
          <t>Студент3.6</t>
        </is>
      </c>
      <c r="B895" s="4" t="inlineStr"/>
      <c r="C895" s="4">
        <f>IF(A895="","",COUNTIF(F895:AI895,"+")+COUNTIF(F895:AI895,"1"))</f>
        <v/>
      </c>
      <c r="D895" s="4">
        <f>IF(A895="","",IF(C895&gt;2*COUNTA(F$889:AI$889)/3,'Общий'!$M$11,IF(C895&gt;=COUNTA(F$889:AI$889)/2,'Общий'!$M$12,'Общий'!$M$13)))</f>
        <v/>
      </c>
      <c r="E895" s="4">
        <f>IF(A895="","",SUMIFS('Логи'!$H$7:$H$3006,'Логи'!$A$7:$A$3006,14,'Логи'!$B$7:$B$3006,3,'Логи'!$C$7:$C$3006,A895))</f>
        <v/>
      </c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4" t="inlineStr">
        <is>
          <t>Студент3.7</t>
        </is>
      </c>
      <c r="B896" s="4" t="inlineStr"/>
      <c r="C896" s="4">
        <f>IF(A896="","",COUNTIF(F896:AI896,"+")+COUNTIF(F896:AI896,"1"))</f>
        <v/>
      </c>
      <c r="D896" s="4">
        <f>IF(A896="","",IF(C896&gt;2*COUNTA(F$889:AI$889)/3,'Общий'!$M$11,IF(C896&gt;=COUNTA(F$889:AI$889)/2,'Общий'!$M$12,'Общий'!$M$13)))</f>
        <v/>
      </c>
      <c r="E896" s="4">
        <f>IF(A896="","",SUMIFS('Логи'!$H$7:$H$3006,'Логи'!$A$7:$A$3006,14,'Логи'!$B$7:$B$3006,3,'Логи'!$C$7:$C$3006,A896))</f>
        <v/>
      </c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</row>
    <row r="897">
      <c r="A897" s="4" t="inlineStr">
        <is>
          <t>Студент3.8</t>
        </is>
      </c>
      <c r="B897" s="4" t="inlineStr"/>
      <c r="C897" s="4">
        <f>IF(A897="","",COUNTIF(F897:AI897,"+")+COUNTIF(F897:AI897,"1"))</f>
        <v/>
      </c>
      <c r="D897" s="4">
        <f>IF(A897="","",IF(C897&gt;2*COUNTA(F$889:AI$889)/3,'Общий'!$M$11,IF(C897&gt;=COUNTA(F$889:AI$889)/2,'Общий'!$M$12,'Общий'!$M$13)))</f>
        <v/>
      </c>
      <c r="E897" s="4">
        <f>IF(A897="","",SUMIFS('Логи'!$H$7:$H$3006,'Логи'!$A$7:$A$3006,14,'Логи'!$B$7:$B$3006,3,'Логи'!$C$7:$C$3006,A897))</f>
        <v/>
      </c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4" t="inlineStr">
        <is>
          <t>Студент3.9</t>
        </is>
      </c>
      <c r="B898" s="4" t="inlineStr"/>
      <c r="C898" s="4">
        <f>IF(A898="","",COUNTIF(F898:AI898,"+")+COUNTIF(F898:AI898,"1"))</f>
        <v/>
      </c>
      <c r="D898" s="4">
        <f>IF(A898="","",IF(C898&gt;2*COUNTA(F$889:AI$889)/3,'Общий'!$M$11,IF(C898&gt;=COUNTA(F$889:AI$889)/2,'Общий'!$M$12,'Общий'!$M$13)))</f>
        <v/>
      </c>
      <c r="E898" s="4">
        <f>IF(A898="","",SUMIFS('Логи'!$H$7:$H$3006,'Логи'!$A$7:$A$3006,14,'Логи'!$B$7:$B$3006,3,'Логи'!$C$7:$C$3006,A898))</f>
        <v/>
      </c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</row>
    <row r="899">
      <c r="A899" s="4" t="inlineStr">
        <is>
          <t>Студент3.10</t>
        </is>
      </c>
      <c r="B899" s="4" t="inlineStr"/>
      <c r="C899" s="4">
        <f>IF(A899="","",COUNTIF(F899:AI899,"+")+COUNTIF(F899:AI899,"1"))</f>
        <v/>
      </c>
      <c r="D899" s="4">
        <f>IF(A899="","",IF(C899&gt;2*COUNTA(F$889:AI$889)/3,'Общий'!$M$11,IF(C899&gt;=COUNTA(F$889:AI$889)/2,'Общий'!$M$12,'Общий'!$M$13)))</f>
        <v/>
      </c>
      <c r="E899" s="4">
        <f>IF(A899="","",SUMIFS('Логи'!$H$7:$H$3006,'Логи'!$A$7:$A$3006,14,'Логи'!$B$7:$B$3006,3,'Логи'!$C$7:$C$3006,A899))</f>
        <v/>
      </c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4" t="inlineStr">
        <is>
          <t>Студент3.11</t>
        </is>
      </c>
      <c r="B900" s="4" t="inlineStr"/>
      <c r="C900" s="4">
        <f>IF(A900="","",COUNTIF(F900:AI900,"+")+COUNTIF(F900:AI900,"1"))</f>
        <v/>
      </c>
      <c r="D900" s="4">
        <f>IF(A900="","",IF(C900&gt;2*COUNTA(F$889:AI$889)/3,'Общий'!$M$11,IF(C900&gt;=COUNTA(F$889:AI$889)/2,'Общий'!$M$12,'Общий'!$M$13)))</f>
        <v/>
      </c>
      <c r="E900" s="4">
        <f>IF(A900="","",SUMIFS('Логи'!$H$7:$H$3006,'Логи'!$A$7:$A$3006,14,'Логи'!$B$7:$B$3006,3,'Логи'!$C$7:$C$3006,A900))</f>
        <v/>
      </c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</row>
    <row r="901">
      <c r="A901" s="4" t="inlineStr">
        <is>
          <t>Студент3.12</t>
        </is>
      </c>
      <c r="B901" s="4" t="inlineStr"/>
      <c r="C901" s="4">
        <f>IF(A901="","",COUNTIF(F901:AI901,"+")+COUNTIF(F901:AI901,"1"))</f>
        <v/>
      </c>
      <c r="D901" s="4">
        <f>IF(A901="","",IF(C901&gt;2*COUNTA(F$889:AI$889)/3,'Общий'!$M$11,IF(C901&gt;=COUNTA(F$889:AI$889)/2,'Общий'!$M$12,'Общий'!$M$13)))</f>
        <v/>
      </c>
      <c r="E901" s="4">
        <f>IF(A901="","",SUMIFS('Логи'!$H$7:$H$3006,'Логи'!$A$7:$A$3006,14,'Логи'!$B$7:$B$3006,3,'Логи'!$C$7:$C$3006,A901))</f>
        <v/>
      </c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4" t="inlineStr">
        <is>
          <t>Студент3.13</t>
        </is>
      </c>
      <c r="B902" s="4" t="inlineStr"/>
      <c r="C902" s="4">
        <f>IF(A902="","",COUNTIF(F902:AI902,"+")+COUNTIF(F902:AI902,"1"))</f>
        <v/>
      </c>
      <c r="D902" s="4">
        <f>IF(A902="","",IF(C902&gt;2*COUNTA(F$889:AI$889)/3,'Общий'!$M$11,IF(C902&gt;=COUNTA(F$889:AI$889)/2,'Общий'!$M$12,'Общий'!$M$13)))</f>
        <v/>
      </c>
      <c r="E902" s="4">
        <f>IF(A902="","",SUMIFS('Логи'!$H$7:$H$3006,'Логи'!$A$7:$A$3006,14,'Логи'!$B$7:$B$3006,3,'Логи'!$C$7:$C$3006,A902))</f>
        <v/>
      </c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</row>
    <row r="903">
      <c r="A903" s="4" t="inlineStr">
        <is>
          <t>Студент3.14</t>
        </is>
      </c>
      <c r="B903" s="4" t="inlineStr"/>
      <c r="C903" s="4">
        <f>IF(A903="","",COUNTIF(F903:AI903,"+")+COUNTIF(F903:AI903,"1"))</f>
        <v/>
      </c>
      <c r="D903" s="4">
        <f>IF(A903="","",IF(C903&gt;2*COUNTA(F$889:AI$889)/3,'Общий'!$M$11,IF(C903&gt;=COUNTA(F$889:AI$889)/2,'Общий'!$M$12,'Общий'!$M$13)))</f>
        <v/>
      </c>
      <c r="E903" s="4">
        <f>IF(A903="","",SUMIFS('Логи'!$H$7:$H$3006,'Логи'!$A$7:$A$3006,14,'Логи'!$B$7:$B$3006,3,'Логи'!$C$7:$C$3006,A903))</f>
        <v/>
      </c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4" t="inlineStr">
        <is>
          <t>Студент3.15</t>
        </is>
      </c>
      <c r="B904" s="4" t="inlineStr"/>
      <c r="C904" s="4">
        <f>IF(A904="","",COUNTIF(F904:AI904,"+")+COUNTIF(F904:AI904,"1"))</f>
        <v/>
      </c>
      <c r="D904" s="4">
        <f>IF(A904="","",IF(C904&gt;2*COUNTA(F$889:AI$889)/3,'Общий'!$M$11,IF(C904&gt;=COUNTA(F$889:AI$889)/2,'Общий'!$M$12,'Общий'!$M$13)))</f>
        <v/>
      </c>
      <c r="E904" s="4">
        <f>IF(A904="","",SUMIFS('Логи'!$H$7:$H$3006,'Логи'!$A$7:$A$3006,14,'Логи'!$B$7:$B$3006,3,'Логи'!$C$7:$C$3006,A904))</f>
        <v/>
      </c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</row>
    <row r="905">
      <c r="A905" s="4" t="inlineStr">
        <is>
          <t>Студент3.16</t>
        </is>
      </c>
      <c r="B905" s="4" t="inlineStr"/>
      <c r="C905" s="4">
        <f>IF(A905="","",COUNTIF(F905:AI905,"+")+COUNTIF(F905:AI905,"1"))</f>
        <v/>
      </c>
      <c r="D905" s="4">
        <f>IF(A905="","",IF(C905&gt;2*COUNTA(F$889:AI$889)/3,'Общий'!$M$11,IF(C905&gt;=COUNTA(F$889:AI$889)/2,'Общий'!$M$12,'Общий'!$M$13)))</f>
        <v/>
      </c>
      <c r="E905" s="4">
        <f>IF(A905="","",SUMIFS('Логи'!$H$7:$H$3006,'Логи'!$A$7:$A$3006,14,'Логи'!$B$7:$B$3006,3,'Логи'!$C$7:$C$3006,A905))</f>
        <v/>
      </c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4" t="inlineStr">
        <is>
          <t>Студент3.17</t>
        </is>
      </c>
      <c r="B906" s="4" t="inlineStr"/>
      <c r="C906" s="4">
        <f>IF(A906="","",COUNTIF(F906:AI906,"+")+COUNTIF(F906:AI906,"1"))</f>
        <v/>
      </c>
      <c r="D906" s="4">
        <f>IF(A906="","",IF(C906&gt;2*COUNTA(F$889:AI$889)/3,'Общий'!$M$11,IF(C906&gt;=COUNTA(F$889:AI$889)/2,'Общий'!$M$12,'Общий'!$M$13)))</f>
        <v/>
      </c>
      <c r="E906" s="4">
        <f>IF(A906="","",SUMIFS('Логи'!$H$7:$H$3006,'Логи'!$A$7:$A$3006,14,'Логи'!$B$7:$B$3006,3,'Логи'!$C$7:$C$3006,A906))</f>
        <v/>
      </c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</row>
    <row r="907">
      <c r="A907" s="4" t="inlineStr">
        <is>
          <t>Студент3.18</t>
        </is>
      </c>
      <c r="B907" s="4" t="inlineStr"/>
      <c r="C907" s="4">
        <f>IF(A907="","",COUNTIF(F907:AI907,"+")+COUNTIF(F907:AI907,"1"))</f>
        <v/>
      </c>
      <c r="D907" s="4">
        <f>IF(A907="","",IF(C907&gt;2*COUNTA(F$889:AI$889)/3,'Общий'!$M$11,IF(C907&gt;=COUNTA(F$889:AI$889)/2,'Общий'!$M$12,'Общий'!$M$13)))</f>
        <v/>
      </c>
      <c r="E907" s="4">
        <f>IF(A907="","",SUMIFS('Логи'!$H$7:$H$3006,'Логи'!$A$7:$A$3006,14,'Логи'!$B$7:$B$3006,3,'Логи'!$C$7:$C$3006,A907))</f>
        <v/>
      </c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4" t="inlineStr">
        <is>
          <t>Студент3.19</t>
        </is>
      </c>
      <c r="B908" s="4" t="inlineStr"/>
      <c r="C908" s="4">
        <f>IF(A908="","",COUNTIF(F908:AI908,"+")+COUNTIF(F908:AI908,"1"))</f>
        <v/>
      </c>
      <c r="D908" s="4">
        <f>IF(A908="","",IF(C908&gt;2*COUNTA(F$889:AI$889)/3,'Общий'!$M$11,IF(C908&gt;=COUNTA(F$889:AI$889)/2,'Общий'!$M$12,'Общий'!$M$13)))</f>
        <v/>
      </c>
      <c r="E908" s="4">
        <f>IF(A908="","",SUMIFS('Логи'!$H$7:$H$3006,'Логи'!$A$7:$A$3006,14,'Логи'!$B$7:$B$3006,3,'Логи'!$C$7:$C$3006,A908))</f>
        <v/>
      </c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</row>
    <row r="909">
      <c r="A909" s="4" t="inlineStr">
        <is>
          <t>Студент3.20</t>
        </is>
      </c>
      <c r="B909" s="4" t="inlineStr"/>
      <c r="C909" s="4">
        <f>IF(A909="","",COUNTIF(F909:AI909,"+")+COUNTIF(F909:AI909,"1"))</f>
        <v/>
      </c>
      <c r="D909" s="4">
        <f>IF(A909="","",IF(C909&gt;2*COUNTA(F$889:AI$889)/3,'Общий'!$M$11,IF(C909&gt;=COUNTA(F$889:AI$889)/2,'Общий'!$M$12,'Общий'!$M$13)))</f>
        <v/>
      </c>
      <c r="E909" s="4">
        <f>IF(A909="","",SUMIFS('Логи'!$H$7:$H$3006,'Логи'!$A$7:$A$3006,14,'Логи'!$B$7:$B$3006,3,'Логи'!$C$7:$C$3006,A909))</f>
        <v/>
      </c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4" t="inlineStr">
        <is>
          <t>Студент3.21</t>
        </is>
      </c>
      <c r="B910" s="4" t="inlineStr"/>
      <c r="C910" s="4">
        <f>IF(A910="","",COUNTIF(F910:AI910,"+")+COUNTIF(F910:AI910,"1"))</f>
        <v/>
      </c>
      <c r="D910" s="4">
        <f>IF(A910="","",IF(C910&gt;2*COUNTA(F$889:AI$889)/3,'Общий'!$M$11,IF(C910&gt;=COUNTA(F$889:AI$889)/2,'Общий'!$M$12,'Общий'!$M$13)))</f>
        <v/>
      </c>
      <c r="E910" s="4">
        <f>IF(A910="","",SUMIFS('Логи'!$H$7:$H$3006,'Логи'!$A$7:$A$3006,14,'Логи'!$B$7:$B$3006,3,'Логи'!$C$7:$C$3006,A910))</f>
        <v/>
      </c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</row>
    <row r="911">
      <c r="A911" s="4" t="inlineStr">
        <is>
          <t>Студент3.22</t>
        </is>
      </c>
      <c r="B911" s="4" t="inlineStr"/>
      <c r="C911" s="4">
        <f>IF(A911="","",COUNTIF(F911:AI911,"+")+COUNTIF(F911:AI911,"1"))</f>
        <v/>
      </c>
      <c r="D911" s="4">
        <f>IF(A911="","",IF(C911&gt;2*COUNTA(F$889:AI$889)/3,'Общий'!$M$11,IF(C911&gt;=COUNTA(F$889:AI$889)/2,'Общий'!$M$12,'Общий'!$M$13)))</f>
        <v/>
      </c>
      <c r="E911" s="4">
        <f>IF(A911="","",SUMIFS('Логи'!$H$7:$H$3006,'Логи'!$A$7:$A$3006,14,'Логи'!$B$7:$B$3006,3,'Логи'!$C$7:$C$3006,A911))</f>
        <v/>
      </c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4" t="inlineStr">
        <is>
          <t>Студент3.23</t>
        </is>
      </c>
      <c r="B912" s="4" t="inlineStr"/>
      <c r="C912" s="4">
        <f>IF(A912="","",COUNTIF(F912:AI912,"+")+COUNTIF(F912:AI912,"1"))</f>
        <v/>
      </c>
      <c r="D912" s="4">
        <f>IF(A912="","",IF(C912&gt;2*COUNTA(F$889:AI$889)/3,'Общий'!$M$11,IF(C912&gt;=COUNTA(F$889:AI$889)/2,'Общий'!$M$12,'Общий'!$M$13)))</f>
        <v/>
      </c>
      <c r="E912" s="4">
        <f>IF(A912="","",SUMIFS('Логи'!$H$7:$H$3006,'Логи'!$A$7:$A$3006,14,'Логи'!$B$7:$B$3006,3,'Логи'!$C$7:$C$3006,A912))</f>
        <v/>
      </c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</row>
    <row r="913">
      <c r="A913" s="4" t="inlineStr">
        <is>
          <t>Студент3.24</t>
        </is>
      </c>
      <c r="B913" s="4" t="inlineStr"/>
      <c r="C913" s="4">
        <f>IF(A913="","",COUNTIF(F913:AI913,"+")+COUNTIF(F913:AI913,"1"))</f>
        <v/>
      </c>
      <c r="D913" s="4">
        <f>IF(A913="","",IF(C913&gt;2*COUNTA(F$889:AI$889)/3,'Общий'!$M$11,IF(C913&gt;=COUNTA(F$889:AI$889)/2,'Общий'!$M$12,'Общий'!$M$13)))</f>
        <v/>
      </c>
      <c r="E913" s="4">
        <f>IF(A913="","",SUMIFS('Логи'!$H$7:$H$3006,'Логи'!$A$7:$A$3006,14,'Логи'!$B$7:$B$3006,3,'Логи'!$C$7:$C$3006,A913))</f>
        <v/>
      </c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4" t="inlineStr">
        <is>
          <t>Студент3.25</t>
        </is>
      </c>
      <c r="B914" s="4" t="inlineStr"/>
      <c r="C914" s="4">
        <f>IF(A914="","",COUNTIF(F914:AI914,"+")+COUNTIF(F914:AI914,"1"))</f>
        <v/>
      </c>
      <c r="D914" s="4">
        <f>IF(A914="","",IF(C914&gt;2*COUNTA(F$889:AI$889)/3,'Общий'!$M$11,IF(C914&gt;=COUNTA(F$889:AI$889)/2,'Общий'!$M$12,'Общий'!$M$13)))</f>
        <v/>
      </c>
      <c r="E914" s="4">
        <f>IF(A914="","",SUMIFS('Логи'!$H$7:$H$3006,'Логи'!$A$7:$A$3006,14,'Логи'!$B$7:$B$3006,3,'Логи'!$C$7:$C$3006,A914))</f>
        <v/>
      </c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</row>
    <row r="915">
      <c r="A915" s="4" t="inlineStr">
        <is>
          <t>Студент3.26</t>
        </is>
      </c>
      <c r="B915" s="4" t="inlineStr"/>
      <c r="C915" s="4">
        <f>IF(A915="","",COUNTIF(F915:AI915,"+")+COUNTIF(F915:AI915,"1"))</f>
        <v/>
      </c>
      <c r="D915" s="4">
        <f>IF(A915="","",IF(C915&gt;2*COUNTA(F$889:AI$889)/3,'Общий'!$M$11,IF(C915&gt;=COUNTA(F$889:AI$889)/2,'Общий'!$M$12,'Общий'!$M$13)))</f>
        <v/>
      </c>
      <c r="E915" s="4">
        <f>IF(A915="","",SUMIFS('Логи'!$H$7:$H$3006,'Логи'!$A$7:$A$3006,14,'Логи'!$B$7:$B$3006,3,'Логи'!$C$7:$C$3006,A915))</f>
        <v/>
      </c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4" t="inlineStr">
        <is>
          <t>Студент3.27</t>
        </is>
      </c>
      <c r="B916" s="4" t="inlineStr"/>
      <c r="C916" s="4">
        <f>IF(A916="","",COUNTIF(F916:AI916,"+")+COUNTIF(F916:AI916,"1"))</f>
        <v/>
      </c>
      <c r="D916" s="4">
        <f>IF(A916="","",IF(C916&gt;2*COUNTA(F$889:AI$889)/3,'Общий'!$M$11,IF(C916&gt;=COUNTA(F$889:AI$889)/2,'Общий'!$M$12,'Общий'!$M$13)))</f>
        <v/>
      </c>
      <c r="E916" s="4">
        <f>IF(A916="","",SUMIFS('Логи'!$H$7:$H$3006,'Логи'!$A$7:$A$3006,14,'Логи'!$B$7:$B$3006,3,'Логи'!$C$7:$C$3006,A916))</f>
        <v/>
      </c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</row>
    <row r="917">
      <c r="A917" s="4" t="inlineStr">
        <is>
          <t>Студент3.28</t>
        </is>
      </c>
      <c r="B917" s="4" t="inlineStr"/>
      <c r="C917" s="4">
        <f>IF(A917="","",COUNTIF(F917:AI917,"+")+COUNTIF(F917:AI917,"1"))</f>
        <v/>
      </c>
      <c r="D917" s="4">
        <f>IF(A917="","",IF(C917&gt;2*COUNTA(F$889:AI$889)/3,'Общий'!$M$11,IF(C917&gt;=COUNTA(F$889:AI$889)/2,'Общий'!$M$12,'Общий'!$M$13)))</f>
        <v/>
      </c>
      <c r="E917" s="4">
        <f>IF(A917="","",SUMIFS('Логи'!$H$7:$H$3006,'Логи'!$A$7:$A$3006,14,'Логи'!$B$7:$B$3006,3,'Логи'!$C$7:$C$3006,A917))</f>
        <v/>
      </c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4" t="inlineStr">
        <is>
          <t>Студент3.29</t>
        </is>
      </c>
      <c r="B918" s="4" t="inlineStr"/>
      <c r="C918" s="4">
        <f>IF(A918="","",COUNTIF(F918:AI918,"+")+COUNTIF(F918:AI918,"1"))</f>
        <v/>
      </c>
      <c r="D918" s="4">
        <f>IF(A918="","",IF(C918&gt;2*COUNTA(F$889:AI$889)/3,'Общий'!$M$11,IF(C918&gt;=COUNTA(F$889:AI$889)/2,'Общий'!$M$12,'Общий'!$M$13)))</f>
        <v/>
      </c>
      <c r="E918" s="4">
        <f>IF(A918="","",SUMIFS('Логи'!$H$7:$H$3006,'Логи'!$A$7:$A$3006,14,'Логи'!$B$7:$B$3006,3,'Логи'!$C$7:$C$3006,A918))</f>
        <v/>
      </c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</row>
    <row r="919">
      <c r="A919" s="4" t="inlineStr">
        <is>
          <t>Студент3.30</t>
        </is>
      </c>
      <c r="B919" s="4" t="inlineStr"/>
      <c r="C919" s="4">
        <f>IF(A919="","",COUNTIF(F919:AI919,"+")+COUNTIF(F919:AI919,"1"))</f>
        <v/>
      </c>
      <c r="D919" s="4">
        <f>IF(A919="","",IF(C919&gt;2*COUNTA(F$889:AI$889)/3,'Общий'!$M$11,IF(C919&gt;=COUNTA(F$889:AI$889)/2,'Общий'!$M$12,'Общий'!$M$13)))</f>
        <v/>
      </c>
      <c r="E919" s="4">
        <f>IF(A919="","",SUMIFS('Логи'!$H$7:$H$3006,'Логи'!$A$7:$A$3006,14,'Логи'!$B$7:$B$3006,3,'Логи'!$C$7:$C$3006,A919))</f>
        <v/>
      </c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1">
      <c r="A921" s="19" t="inlineStr">
        <is>
          <t>Практика 14 — результаты рассказа</t>
        </is>
      </c>
    </row>
    <row r="922" ht="28" customHeight="1">
      <c r="A922" s="9" t="inlineStr">
        <is>
          <t>Имя</t>
        </is>
      </c>
      <c r="B922" s="11" t="inlineStr">
        <is>
          <t>TG</t>
        </is>
      </c>
      <c r="C922" s="12" t="inlineStr"/>
      <c r="D922" s="3" t="inlineStr"/>
      <c r="E922" s="3" t="inlineStr"/>
      <c r="F922" s="13" t="inlineStr">
        <is>
          <t>1.0</t>
        </is>
      </c>
      <c r="G922" s="13" t="inlineStr">
        <is>
          <t>2.0</t>
        </is>
      </c>
      <c r="H922" s="13" t="inlineStr">
        <is>
          <t>3.0</t>
        </is>
      </c>
      <c r="I922" s="13" t="inlineStr">
        <is>
          <t>4.0</t>
        </is>
      </c>
      <c r="J922" s="13" t="inlineStr">
        <is>
          <t>5.0</t>
        </is>
      </c>
      <c r="K922" s="13" t="inlineStr">
        <is>
          <t>6</t>
        </is>
      </c>
      <c r="L922" s="13" t="inlineStr">
        <is>
          <t>7</t>
        </is>
      </c>
      <c r="M922" s="13" t="inlineStr">
        <is>
          <t>8</t>
        </is>
      </c>
      <c r="N922" s="13" t="inlineStr">
        <is>
          <t>9</t>
        </is>
      </c>
      <c r="O922" s="13" t="inlineStr">
        <is>
          <t>10</t>
        </is>
      </c>
      <c r="P922" s="13" t="inlineStr">
        <is>
          <t>11</t>
        </is>
      </c>
      <c r="Q922" s="13" t="inlineStr">
        <is>
          <t>12</t>
        </is>
      </c>
      <c r="R922" s="13" t="inlineStr">
        <is>
          <t>13</t>
        </is>
      </c>
      <c r="S922" s="13" t="inlineStr">
        <is>
          <t>14</t>
        </is>
      </c>
      <c r="T922" s="13" t="inlineStr">
        <is>
          <t>15</t>
        </is>
      </c>
      <c r="U922" s="13" t="inlineStr">
        <is>
          <t>16</t>
        </is>
      </c>
      <c r="V922" s="13" t="inlineStr">
        <is>
          <t>17</t>
        </is>
      </c>
      <c r="W922" s="13" t="inlineStr">
        <is>
          <t>18</t>
        </is>
      </c>
      <c r="X922" s="13" t="inlineStr">
        <is>
          <t>19</t>
        </is>
      </c>
      <c r="Y922" s="13" t="inlineStr">
        <is>
          <t>20</t>
        </is>
      </c>
      <c r="Z922" s="13" t="inlineStr">
        <is>
          <t>21</t>
        </is>
      </c>
      <c r="AA922" s="13" t="inlineStr">
        <is>
          <t>22</t>
        </is>
      </c>
      <c r="AB922" s="13" t="inlineStr">
        <is>
          <t>23</t>
        </is>
      </c>
      <c r="AC922" s="13" t="inlineStr">
        <is>
          <t>24</t>
        </is>
      </c>
      <c r="AD922" s="13" t="inlineStr">
        <is>
          <t>25</t>
        </is>
      </c>
      <c r="AE922" s="13" t="inlineStr">
        <is>
          <t>26</t>
        </is>
      </c>
      <c r="AF922" s="13" t="inlineStr">
        <is>
          <t>27</t>
        </is>
      </c>
      <c r="AG922" s="13" t="inlineStr">
        <is>
          <t>28</t>
        </is>
      </c>
      <c r="AH922" s="13" t="inlineStr">
        <is>
          <t>29</t>
        </is>
      </c>
      <c r="AI922" s="13" t="inlineStr">
        <is>
          <t>30</t>
        </is>
      </c>
    </row>
    <row r="923">
      <c r="A923" s="4" t="inlineStr">
        <is>
          <t>Студент3.1</t>
        </is>
      </c>
      <c r="B923" s="4" t="inlineStr"/>
      <c r="C923" s="4" t="n"/>
      <c r="D923" s="4" t="n"/>
      <c r="E923" s="4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4" t="inlineStr">
        <is>
          <t>Студент3.2</t>
        </is>
      </c>
      <c r="B924" s="4" t="inlineStr"/>
      <c r="C924" s="4" t="n"/>
      <c r="D924" s="4" t="n"/>
      <c r="E924" s="4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</row>
    <row r="925">
      <c r="A925" s="4" t="inlineStr">
        <is>
          <t>Студент3.3</t>
        </is>
      </c>
      <c r="B925" s="4" t="inlineStr"/>
      <c r="C925" s="4" t="n"/>
      <c r="D925" s="4" t="n"/>
      <c r="E925" s="4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4" t="inlineStr">
        <is>
          <t>Студент3.4</t>
        </is>
      </c>
      <c r="B926" s="4" t="inlineStr"/>
      <c r="C926" s="4" t="n"/>
      <c r="D926" s="4" t="n"/>
      <c r="E926" s="4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</row>
    <row r="927">
      <c r="A927" s="4" t="inlineStr">
        <is>
          <t>Студент3.5</t>
        </is>
      </c>
      <c r="B927" s="4" t="inlineStr"/>
      <c r="C927" s="4" t="n"/>
      <c r="D927" s="4" t="n"/>
      <c r="E927" s="4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4" t="inlineStr">
        <is>
          <t>Студент3.6</t>
        </is>
      </c>
      <c r="B928" s="4" t="inlineStr"/>
      <c r="C928" s="4" t="n"/>
      <c r="D928" s="4" t="n"/>
      <c r="E928" s="4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</row>
    <row r="929">
      <c r="A929" s="4" t="inlineStr">
        <is>
          <t>Студент3.7</t>
        </is>
      </c>
      <c r="B929" s="4" t="inlineStr"/>
      <c r="C929" s="4" t="n"/>
      <c r="D929" s="4" t="n"/>
      <c r="E929" s="4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4" t="inlineStr">
        <is>
          <t>Студент3.8</t>
        </is>
      </c>
      <c r="B930" s="4" t="inlineStr"/>
      <c r="C930" s="4" t="n"/>
      <c r="D930" s="4" t="n"/>
      <c r="E930" s="4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</row>
    <row r="931">
      <c r="A931" s="4" t="inlineStr">
        <is>
          <t>Студент3.9</t>
        </is>
      </c>
      <c r="B931" s="4" t="inlineStr"/>
      <c r="C931" s="4" t="n"/>
      <c r="D931" s="4" t="n"/>
      <c r="E931" s="4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4" t="inlineStr">
        <is>
          <t>Студент3.10</t>
        </is>
      </c>
      <c r="B932" s="4" t="inlineStr"/>
      <c r="C932" s="4" t="n"/>
      <c r="D932" s="4" t="n"/>
      <c r="E932" s="4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</row>
    <row r="933">
      <c r="A933" s="4" t="inlineStr">
        <is>
          <t>Студент3.11</t>
        </is>
      </c>
      <c r="B933" s="4" t="inlineStr"/>
      <c r="C933" s="4" t="n"/>
      <c r="D933" s="4" t="n"/>
      <c r="E933" s="4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4" t="inlineStr">
        <is>
          <t>Студент3.12</t>
        </is>
      </c>
      <c r="B934" s="4" t="inlineStr"/>
      <c r="C934" s="4" t="n"/>
      <c r="D934" s="4" t="n"/>
      <c r="E934" s="4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</row>
    <row r="935">
      <c r="A935" s="4" t="inlineStr">
        <is>
          <t>Студент3.13</t>
        </is>
      </c>
      <c r="B935" s="4" t="inlineStr"/>
      <c r="C935" s="4" t="n"/>
      <c r="D935" s="4" t="n"/>
      <c r="E935" s="4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4" t="inlineStr">
        <is>
          <t>Студент3.14</t>
        </is>
      </c>
      <c r="B936" s="4" t="inlineStr"/>
      <c r="C936" s="4" t="n"/>
      <c r="D936" s="4" t="n"/>
      <c r="E936" s="4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</row>
    <row r="937">
      <c r="A937" s="4" t="inlineStr">
        <is>
          <t>Студент3.15</t>
        </is>
      </c>
      <c r="B937" s="4" t="inlineStr"/>
      <c r="C937" s="4" t="n"/>
      <c r="D937" s="4" t="n"/>
      <c r="E937" s="4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4" t="inlineStr">
        <is>
          <t>Студент3.16</t>
        </is>
      </c>
      <c r="B938" s="4" t="inlineStr"/>
      <c r="C938" s="4" t="n"/>
      <c r="D938" s="4" t="n"/>
      <c r="E938" s="4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</row>
    <row r="939">
      <c r="A939" s="4" t="inlineStr">
        <is>
          <t>Студент3.17</t>
        </is>
      </c>
      <c r="B939" s="4" t="inlineStr"/>
      <c r="C939" s="4" t="n"/>
      <c r="D939" s="4" t="n"/>
      <c r="E939" s="4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4" t="inlineStr">
        <is>
          <t>Студент3.18</t>
        </is>
      </c>
      <c r="B940" s="4" t="inlineStr"/>
      <c r="C940" s="4" t="n"/>
      <c r="D940" s="4" t="n"/>
      <c r="E940" s="4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</row>
    <row r="941">
      <c r="A941" s="4" t="inlineStr">
        <is>
          <t>Студент3.19</t>
        </is>
      </c>
      <c r="B941" s="4" t="inlineStr"/>
      <c r="C941" s="4" t="n"/>
      <c r="D941" s="4" t="n"/>
      <c r="E941" s="4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4" t="inlineStr">
        <is>
          <t>Студент3.20</t>
        </is>
      </c>
      <c r="B942" s="4" t="inlineStr"/>
      <c r="C942" s="4" t="n"/>
      <c r="D942" s="4" t="n"/>
      <c r="E942" s="4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</row>
    <row r="943">
      <c r="A943" s="4" t="inlineStr">
        <is>
          <t>Студент3.21</t>
        </is>
      </c>
      <c r="B943" s="4" t="inlineStr"/>
      <c r="C943" s="4" t="n"/>
      <c r="D943" s="4" t="n"/>
      <c r="E943" s="4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4" t="inlineStr">
        <is>
          <t>Студент3.22</t>
        </is>
      </c>
      <c r="B944" s="4" t="inlineStr"/>
      <c r="C944" s="4" t="n"/>
      <c r="D944" s="4" t="n"/>
      <c r="E944" s="4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</row>
    <row r="945">
      <c r="A945" s="4" t="inlineStr">
        <is>
          <t>Студент3.23</t>
        </is>
      </c>
      <c r="B945" s="4" t="inlineStr"/>
      <c r="C945" s="4" t="n"/>
      <c r="D945" s="4" t="n"/>
      <c r="E945" s="4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4" t="inlineStr">
        <is>
          <t>Студент3.24</t>
        </is>
      </c>
      <c r="B946" s="4" t="inlineStr"/>
      <c r="C946" s="4" t="n"/>
      <c r="D946" s="4" t="n"/>
      <c r="E946" s="4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</row>
    <row r="947">
      <c r="A947" s="4" t="inlineStr">
        <is>
          <t>Студент3.25</t>
        </is>
      </c>
      <c r="B947" s="4" t="inlineStr"/>
      <c r="C947" s="4" t="n"/>
      <c r="D947" s="4" t="n"/>
      <c r="E947" s="4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4" t="inlineStr">
        <is>
          <t>Студент3.26</t>
        </is>
      </c>
      <c r="B948" s="4" t="inlineStr"/>
      <c r="C948" s="4" t="n"/>
      <c r="D948" s="4" t="n"/>
      <c r="E948" s="4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</row>
    <row r="949">
      <c r="A949" s="4" t="inlineStr">
        <is>
          <t>Студент3.27</t>
        </is>
      </c>
      <c r="B949" s="4" t="inlineStr"/>
      <c r="C949" s="4" t="n"/>
      <c r="D949" s="4" t="n"/>
      <c r="E949" s="4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4" t="inlineStr">
        <is>
          <t>Студент3.28</t>
        </is>
      </c>
      <c r="B950" s="4" t="inlineStr"/>
      <c r="C950" s="4" t="n"/>
      <c r="D950" s="4" t="n"/>
      <c r="E950" s="4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</row>
    <row r="951">
      <c r="A951" s="4" t="inlineStr">
        <is>
          <t>Студент3.29</t>
        </is>
      </c>
      <c r="B951" s="4" t="inlineStr"/>
      <c r="C951" s="4" t="n"/>
      <c r="D951" s="4" t="n"/>
      <c r="E951" s="4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4" t="inlineStr">
        <is>
          <t>Студент3.30</t>
        </is>
      </c>
      <c r="B952" s="4" t="inlineStr"/>
      <c r="C952" s="4" t="n"/>
      <c r="D952" s="4" t="n"/>
      <c r="E952" s="4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</row>
    <row r="956">
      <c r="A956" s="17" t="inlineStr">
        <is>
          <t>Практика 15 — плюсы</t>
        </is>
      </c>
    </row>
    <row r="957" ht="28" customHeight="1">
      <c r="A957" s="9" t="inlineStr">
        <is>
          <t>Имя</t>
        </is>
      </c>
      <c r="B957" s="11" t="inlineStr">
        <is>
          <t>TG</t>
        </is>
      </c>
      <c r="C957" s="12" t="inlineStr">
        <is>
          <t>S</t>
        </is>
      </c>
      <c r="D957" s="10" t="inlineStr">
        <is>
          <t>Коэффициент</t>
        </is>
      </c>
      <c r="E957" s="18" t="inlineStr">
        <is>
          <t>D за практику</t>
        </is>
      </c>
      <c r="F957" s="13" t="inlineStr">
        <is>
          <t>1.0</t>
        </is>
      </c>
      <c r="G957" s="13" t="inlineStr">
        <is>
          <t>2.0</t>
        </is>
      </c>
      <c r="H957" s="13" t="inlineStr">
        <is>
          <t>3.0</t>
        </is>
      </c>
      <c r="I957" s="13" t="inlineStr">
        <is>
          <t>4.0</t>
        </is>
      </c>
      <c r="J957" s="13" t="inlineStr">
        <is>
          <t>5.0</t>
        </is>
      </c>
      <c r="K957" s="13" t="inlineStr">
        <is>
          <t>6</t>
        </is>
      </c>
      <c r="L957" s="13" t="inlineStr">
        <is>
          <t>7</t>
        </is>
      </c>
      <c r="M957" s="13" t="inlineStr">
        <is>
          <t>8</t>
        </is>
      </c>
      <c r="N957" s="13" t="inlineStr">
        <is>
          <t>9</t>
        </is>
      </c>
      <c r="O957" s="13" t="inlineStr">
        <is>
          <t>10</t>
        </is>
      </c>
      <c r="P957" s="13" t="inlineStr">
        <is>
          <t>11</t>
        </is>
      </c>
      <c r="Q957" s="13" t="inlineStr">
        <is>
          <t>12</t>
        </is>
      </c>
      <c r="R957" s="13" t="inlineStr">
        <is>
          <t>13</t>
        </is>
      </c>
      <c r="S957" s="13" t="inlineStr">
        <is>
          <t>14</t>
        </is>
      </c>
      <c r="T957" s="13" t="inlineStr">
        <is>
          <t>15</t>
        </is>
      </c>
      <c r="U957" s="13" t="inlineStr">
        <is>
          <t>16</t>
        </is>
      </c>
      <c r="V957" s="13" t="inlineStr">
        <is>
          <t>17</t>
        </is>
      </c>
      <c r="W957" s="13" t="inlineStr">
        <is>
          <t>18</t>
        </is>
      </c>
      <c r="X957" s="13" t="inlineStr">
        <is>
          <t>19</t>
        </is>
      </c>
      <c r="Y957" s="13" t="inlineStr">
        <is>
          <t>20</t>
        </is>
      </c>
      <c r="Z957" s="13" t="inlineStr">
        <is>
          <t>21</t>
        </is>
      </c>
      <c r="AA957" s="13" t="inlineStr">
        <is>
          <t>22</t>
        </is>
      </c>
      <c r="AB957" s="13" t="inlineStr">
        <is>
          <t>23</t>
        </is>
      </c>
      <c r="AC957" s="13" t="inlineStr">
        <is>
          <t>24</t>
        </is>
      </c>
      <c r="AD957" s="13" t="inlineStr">
        <is>
          <t>25</t>
        </is>
      </c>
      <c r="AE957" s="13" t="inlineStr">
        <is>
          <t>26</t>
        </is>
      </c>
      <c r="AF957" s="13" t="inlineStr">
        <is>
          <t>27</t>
        </is>
      </c>
      <c r="AG957" s="13" t="inlineStr">
        <is>
          <t>28</t>
        </is>
      </c>
      <c r="AH957" s="13" t="inlineStr">
        <is>
          <t>29</t>
        </is>
      </c>
      <c r="AI957" s="13" t="inlineStr">
        <is>
          <t>30</t>
        </is>
      </c>
    </row>
    <row r="958">
      <c r="A958" s="4" t="inlineStr">
        <is>
          <t>Студент3.1</t>
        </is>
      </c>
      <c r="B958" s="4" t="inlineStr"/>
      <c r="C958" s="4">
        <f>IF(A958="","",COUNTIF(F958:AI958,"+")+COUNTIF(F958:AI958,"1"))</f>
        <v/>
      </c>
      <c r="D958" s="4">
        <f>IF(A958="","",IF(C958&gt;2*COUNTA(F$957:AI$957)/3,'Общий'!$M$11,IF(C958&gt;=COUNTA(F$957:AI$957)/2,'Общий'!$M$12,'Общий'!$M$13)))</f>
        <v/>
      </c>
      <c r="E958" s="4">
        <f>IF(A958="","",SUMIFS('Логи'!$H$7:$H$3006,'Логи'!$A$7:$A$3006,15,'Логи'!$B$7:$B$3006,3,'Логи'!$C$7:$C$3006,A958))</f>
        <v/>
      </c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</row>
    <row r="959">
      <c r="A959" s="4" t="inlineStr">
        <is>
          <t>Студент3.2</t>
        </is>
      </c>
      <c r="B959" s="4" t="inlineStr"/>
      <c r="C959" s="4">
        <f>IF(A959="","",COUNTIF(F959:AI959,"+")+COUNTIF(F959:AI959,"1"))</f>
        <v/>
      </c>
      <c r="D959" s="4">
        <f>IF(A959="","",IF(C959&gt;2*COUNTA(F$957:AI$957)/3,'Общий'!$M$11,IF(C959&gt;=COUNTA(F$957:AI$957)/2,'Общий'!$M$12,'Общий'!$M$13)))</f>
        <v/>
      </c>
      <c r="E959" s="4">
        <f>IF(A959="","",SUMIFS('Логи'!$H$7:$H$3006,'Логи'!$A$7:$A$3006,15,'Логи'!$B$7:$B$3006,3,'Логи'!$C$7:$C$3006,A959))</f>
        <v/>
      </c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4" t="inlineStr">
        <is>
          <t>Студент3.3</t>
        </is>
      </c>
      <c r="B960" s="4" t="inlineStr"/>
      <c r="C960" s="4">
        <f>IF(A960="","",COUNTIF(F960:AI960,"+")+COUNTIF(F960:AI960,"1"))</f>
        <v/>
      </c>
      <c r="D960" s="4">
        <f>IF(A960="","",IF(C960&gt;2*COUNTA(F$957:AI$957)/3,'Общий'!$M$11,IF(C960&gt;=COUNTA(F$957:AI$957)/2,'Общий'!$M$12,'Общий'!$M$13)))</f>
        <v/>
      </c>
      <c r="E960" s="4">
        <f>IF(A960="","",SUMIFS('Логи'!$H$7:$H$3006,'Логи'!$A$7:$A$3006,15,'Логи'!$B$7:$B$3006,3,'Логи'!$C$7:$C$3006,A960))</f>
        <v/>
      </c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</row>
    <row r="961">
      <c r="A961" s="4" t="inlineStr">
        <is>
          <t>Студент3.4</t>
        </is>
      </c>
      <c r="B961" s="4" t="inlineStr"/>
      <c r="C961" s="4">
        <f>IF(A961="","",COUNTIF(F961:AI961,"+")+COUNTIF(F961:AI961,"1"))</f>
        <v/>
      </c>
      <c r="D961" s="4">
        <f>IF(A961="","",IF(C961&gt;2*COUNTA(F$957:AI$957)/3,'Общий'!$M$11,IF(C961&gt;=COUNTA(F$957:AI$957)/2,'Общий'!$M$12,'Общий'!$M$13)))</f>
        <v/>
      </c>
      <c r="E961" s="4">
        <f>IF(A961="","",SUMIFS('Логи'!$H$7:$H$3006,'Логи'!$A$7:$A$3006,15,'Логи'!$B$7:$B$3006,3,'Логи'!$C$7:$C$3006,A961))</f>
        <v/>
      </c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4" t="inlineStr">
        <is>
          <t>Студент3.5</t>
        </is>
      </c>
      <c r="B962" s="4" t="inlineStr"/>
      <c r="C962" s="4">
        <f>IF(A962="","",COUNTIF(F962:AI962,"+")+COUNTIF(F962:AI962,"1"))</f>
        <v/>
      </c>
      <c r="D962" s="4">
        <f>IF(A962="","",IF(C962&gt;2*COUNTA(F$957:AI$957)/3,'Общий'!$M$11,IF(C962&gt;=COUNTA(F$957:AI$957)/2,'Общий'!$M$12,'Общий'!$M$13)))</f>
        <v/>
      </c>
      <c r="E962" s="4">
        <f>IF(A962="","",SUMIFS('Логи'!$H$7:$H$3006,'Логи'!$A$7:$A$3006,15,'Логи'!$B$7:$B$3006,3,'Логи'!$C$7:$C$3006,A962))</f>
        <v/>
      </c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</row>
    <row r="963">
      <c r="A963" s="4" t="inlineStr">
        <is>
          <t>Студент3.6</t>
        </is>
      </c>
      <c r="B963" s="4" t="inlineStr"/>
      <c r="C963" s="4">
        <f>IF(A963="","",COUNTIF(F963:AI963,"+")+COUNTIF(F963:AI963,"1"))</f>
        <v/>
      </c>
      <c r="D963" s="4">
        <f>IF(A963="","",IF(C963&gt;2*COUNTA(F$957:AI$957)/3,'Общий'!$M$11,IF(C963&gt;=COUNTA(F$957:AI$957)/2,'Общий'!$M$12,'Общий'!$M$13)))</f>
        <v/>
      </c>
      <c r="E963" s="4">
        <f>IF(A963="","",SUMIFS('Логи'!$H$7:$H$3006,'Логи'!$A$7:$A$3006,15,'Логи'!$B$7:$B$3006,3,'Логи'!$C$7:$C$3006,A963))</f>
        <v/>
      </c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4" t="inlineStr">
        <is>
          <t>Студент3.7</t>
        </is>
      </c>
      <c r="B964" s="4" t="inlineStr"/>
      <c r="C964" s="4">
        <f>IF(A964="","",COUNTIF(F964:AI964,"+")+COUNTIF(F964:AI964,"1"))</f>
        <v/>
      </c>
      <c r="D964" s="4">
        <f>IF(A964="","",IF(C964&gt;2*COUNTA(F$957:AI$957)/3,'Общий'!$M$11,IF(C964&gt;=COUNTA(F$957:AI$957)/2,'Общий'!$M$12,'Общий'!$M$13)))</f>
        <v/>
      </c>
      <c r="E964" s="4">
        <f>IF(A964="","",SUMIFS('Логи'!$H$7:$H$3006,'Логи'!$A$7:$A$3006,15,'Логи'!$B$7:$B$3006,3,'Логи'!$C$7:$C$3006,A964))</f>
        <v/>
      </c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</row>
    <row r="965">
      <c r="A965" s="4" t="inlineStr">
        <is>
          <t>Студент3.8</t>
        </is>
      </c>
      <c r="B965" s="4" t="inlineStr"/>
      <c r="C965" s="4">
        <f>IF(A965="","",COUNTIF(F965:AI965,"+")+COUNTIF(F965:AI965,"1"))</f>
        <v/>
      </c>
      <c r="D965" s="4">
        <f>IF(A965="","",IF(C965&gt;2*COUNTA(F$957:AI$957)/3,'Общий'!$M$11,IF(C965&gt;=COUNTA(F$957:AI$957)/2,'Общий'!$M$12,'Общий'!$M$13)))</f>
        <v/>
      </c>
      <c r="E965" s="4">
        <f>IF(A965="","",SUMIFS('Логи'!$H$7:$H$3006,'Логи'!$A$7:$A$3006,15,'Логи'!$B$7:$B$3006,3,'Логи'!$C$7:$C$3006,A965))</f>
        <v/>
      </c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4" t="inlineStr">
        <is>
          <t>Студент3.9</t>
        </is>
      </c>
      <c r="B966" s="4" t="inlineStr"/>
      <c r="C966" s="4">
        <f>IF(A966="","",COUNTIF(F966:AI966,"+")+COUNTIF(F966:AI966,"1"))</f>
        <v/>
      </c>
      <c r="D966" s="4">
        <f>IF(A966="","",IF(C966&gt;2*COUNTA(F$957:AI$957)/3,'Общий'!$M$11,IF(C966&gt;=COUNTA(F$957:AI$957)/2,'Общий'!$M$12,'Общий'!$M$13)))</f>
        <v/>
      </c>
      <c r="E966" s="4">
        <f>IF(A966="","",SUMIFS('Логи'!$H$7:$H$3006,'Логи'!$A$7:$A$3006,15,'Логи'!$B$7:$B$3006,3,'Логи'!$C$7:$C$3006,A966))</f>
        <v/>
      </c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</row>
    <row r="967">
      <c r="A967" s="4" t="inlineStr">
        <is>
          <t>Студент3.10</t>
        </is>
      </c>
      <c r="B967" s="4" t="inlineStr"/>
      <c r="C967" s="4">
        <f>IF(A967="","",COUNTIF(F967:AI967,"+")+COUNTIF(F967:AI967,"1"))</f>
        <v/>
      </c>
      <c r="D967" s="4">
        <f>IF(A967="","",IF(C967&gt;2*COUNTA(F$957:AI$957)/3,'Общий'!$M$11,IF(C967&gt;=COUNTA(F$957:AI$957)/2,'Общий'!$M$12,'Общий'!$M$13)))</f>
        <v/>
      </c>
      <c r="E967" s="4">
        <f>IF(A967="","",SUMIFS('Логи'!$H$7:$H$3006,'Логи'!$A$7:$A$3006,15,'Логи'!$B$7:$B$3006,3,'Логи'!$C$7:$C$3006,A967))</f>
        <v/>
      </c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4" t="inlineStr">
        <is>
          <t>Студент3.11</t>
        </is>
      </c>
      <c r="B968" s="4" t="inlineStr"/>
      <c r="C968" s="4">
        <f>IF(A968="","",COUNTIF(F968:AI968,"+")+COUNTIF(F968:AI968,"1"))</f>
        <v/>
      </c>
      <c r="D968" s="4">
        <f>IF(A968="","",IF(C968&gt;2*COUNTA(F$957:AI$957)/3,'Общий'!$M$11,IF(C968&gt;=COUNTA(F$957:AI$957)/2,'Общий'!$M$12,'Общий'!$M$13)))</f>
        <v/>
      </c>
      <c r="E968" s="4">
        <f>IF(A968="","",SUMIFS('Логи'!$H$7:$H$3006,'Логи'!$A$7:$A$3006,15,'Логи'!$B$7:$B$3006,3,'Логи'!$C$7:$C$3006,A968))</f>
        <v/>
      </c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</row>
    <row r="969">
      <c r="A969" s="4" t="inlineStr">
        <is>
          <t>Студент3.12</t>
        </is>
      </c>
      <c r="B969" s="4" t="inlineStr"/>
      <c r="C969" s="4">
        <f>IF(A969="","",COUNTIF(F969:AI969,"+")+COUNTIF(F969:AI969,"1"))</f>
        <v/>
      </c>
      <c r="D969" s="4">
        <f>IF(A969="","",IF(C969&gt;2*COUNTA(F$957:AI$957)/3,'Общий'!$M$11,IF(C969&gt;=COUNTA(F$957:AI$957)/2,'Общий'!$M$12,'Общий'!$M$13)))</f>
        <v/>
      </c>
      <c r="E969" s="4">
        <f>IF(A969="","",SUMIFS('Логи'!$H$7:$H$3006,'Логи'!$A$7:$A$3006,15,'Логи'!$B$7:$B$3006,3,'Логи'!$C$7:$C$3006,A969))</f>
        <v/>
      </c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4" t="inlineStr">
        <is>
          <t>Студент3.13</t>
        </is>
      </c>
      <c r="B970" s="4" t="inlineStr"/>
      <c r="C970" s="4">
        <f>IF(A970="","",COUNTIF(F970:AI970,"+")+COUNTIF(F970:AI970,"1"))</f>
        <v/>
      </c>
      <c r="D970" s="4">
        <f>IF(A970="","",IF(C970&gt;2*COUNTA(F$957:AI$957)/3,'Общий'!$M$11,IF(C970&gt;=COUNTA(F$957:AI$957)/2,'Общий'!$M$12,'Общий'!$M$13)))</f>
        <v/>
      </c>
      <c r="E970" s="4">
        <f>IF(A970="","",SUMIFS('Логи'!$H$7:$H$3006,'Логи'!$A$7:$A$3006,15,'Логи'!$B$7:$B$3006,3,'Логи'!$C$7:$C$3006,A970))</f>
        <v/>
      </c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</row>
    <row r="971">
      <c r="A971" s="4" t="inlineStr">
        <is>
          <t>Студент3.14</t>
        </is>
      </c>
      <c r="B971" s="4" t="inlineStr"/>
      <c r="C971" s="4">
        <f>IF(A971="","",COUNTIF(F971:AI971,"+")+COUNTIF(F971:AI971,"1"))</f>
        <v/>
      </c>
      <c r="D971" s="4">
        <f>IF(A971="","",IF(C971&gt;2*COUNTA(F$957:AI$957)/3,'Общий'!$M$11,IF(C971&gt;=COUNTA(F$957:AI$957)/2,'Общий'!$M$12,'Общий'!$M$13)))</f>
        <v/>
      </c>
      <c r="E971" s="4">
        <f>IF(A971="","",SUMIFS('Логи'!$H$7:$H$3006,'Логи'!$A$7:$A$3006,15,'Логи'!$B$7:$B$3006,3,'Логи'!$C$7:$C$3006,A971))</f>
        <v/>
      </c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4" t="inlineStr">
        <is>
          <t>Студент3.15</t>
        </is>
      </c>
      <c r="B972" s="4" t="inlineStr"/>
      <c r="C972" s="4">
        <f>IF(A972="","",COUNTIF(F972:AI972,"+")+COUNTIF(F972:AI972,"1"))</f>
        <v/>
      </c>
      <c r="D972" s="4">
        <f>IF(A972="","",IF(C972&gt;2*COUNTA(F$957:AI$957)/3,'Общий'!$M$11,IF(C972&gt;=COUNTA(F$957:AI$957)/2,'Общий'!$M$12,'Общий'!$M$13)))</f>
        <v/>
      </c>
      <c r="E972" s="4">
        <f>IF(A972="","",SUMIFS('Логи'!$H$7:$H$3006,'Логи'!$A$7:$A$3006,15,'Логи'!$B$7:$B$3006,3,'Логи'!$C$7:$C$3006,A972))</f>
        <v/>
      </c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</row>
    <row r="973">
      <c r="A973" s="4" t="inlineStr">
        <is>
          <t>Студент3.16</t>
        </is>
      </c>
      <c r="B973" s="4" t="inlineStr"/>
      <c r="C973" s="4">
        <f>IF(A973="","",COUNTIF(F973:AI973,"+")+COUNTIF(F973:AI973,"1"))</f>
        <v/>
      </c>
      <c r="D973" s="4">
        <f>IF(A973="","",IF(C973&gt;2*COUNTA(F$957:AI$957)/3,'Общий'!$M$11,IF(C973&gt;=COUNTA(F$957:AI$957)/2,'Общий'!$M$12,'Общий'!$M$13)))</f>
        <v/>
      </c>
      <c r="E973" s="4">
        <f>IF(A973="","",SUMIFS('Логи'!$H$7:$H$3006,'Логи'!$A$7:$A$3006,15,'Логи'!$B$7:$B$3006,3,'Логи'!$C$7:$C$3006,A973))</f>
        <v/>
      </c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4" t="inlineStr">
        <is>
          <t>Студент3.17</t>
        </is>
      </c>
      <c r="B974" s="4" t="inlineStr"/>
      <c r="C974" s="4">
        <f>IF(A974="","",COUNTIF(F974:AI974,"+")+COUNTIF(F974:AI974,"1"))</f>
        <v/>
      </c>
      <c r="D974" s="4">
        <f>IF(A974="","",IF(C974&gt;2*COUNTA(F$957:AI$957)/3,'Общий'!$M$11,IF(C974&gt;=COUNTA(F$957:AI$957)/2,'Общий'!$M$12,'Общий'!$M$13)))</f>
        <v/>
      </c>
      <c r="E974" s="4">
        <f>IF(A974="","",SUMIFS('Логи'!$H$7:$H$3006,'Логи'!$A$7:$A$3006,15,'Логи'!$B$7:$B$3006,3,'Логи'!$C$7:$C$3006,A974))</f>
        <v/>
      </c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</row>
    <row r="975">
      <c r="A975" s="4" t="inlineStr">
        <is>
          <t>Студент3.18</t>
        </is>
      </c>
      <c r="B975" s="4" t="inlineStr"/>
      <c r="C975" s="4">
        <f>IF(A975="","",COUNTIF(F975:AI975,"+")+COUNTIF(F975:AI975,"1"))</f>
        <v/>
      </c>
      <c r="D975" s="4">
        <f>IF(A975="","",IF(C975&gt;2*COUNTA(F$957:AI$957)/3,'Общий'!$M$11,IF(C975&gt;=COUNTA(F$957:AI$957)/2,'Общий'!$M$12,'Общий'!$M$13)))</f>
        <v/>
      </c>
      <c r="E975" s="4">
        <f>IF(A975="","",SUMIFS('Логи'!$H$7:$H$3006,'Логи'!$A$7:$A$3006,15,'Логи'!$B$7:$B$3006,3,'Логи'!$C$7:$C$3006,A975))</f>
        <v/>
      </c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4" t="inlineStr">
        <is>
          <t>Студент3.19</t>
        </is>
      </c>
      <c r="B976" s="4" t="inlineStr"/>
      <c r="C976" s="4">
        <f>IF(A976="","",COUNTIF(F976:AI976,"+")+COUNTIF(F976:AI976,"1"))</f>
        <v/>
      </c>
      <c r="D976" s="4">
        <f>IF(A976="","",IF(C976&gt;2*COUNTA(F$957:AI$957)/3,'Общий'!$M$11,IF(C976&gt;=COUNTA(F$957:AI$957)/2,'Общий'!$M$12,'Общий'!$M$13)))</f>
        <v/>
      </c>
      <c r="E976" s="4">
        <f>IF(A976="","",SUMIFS('Логи'!$H$7:$H$3006,'Логи'!$A$7:$A$3006,15,'Логи'!$B$7:$B$3006,3,'Логи'!$C$7:$C$3006,A976))</f>
        <v/>
      </c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</row>
    <row r="977">
      <c r="A977" s="4" t="inlineStr">
        <is>
          <t>Студент3.20</t>
        </is>
      </c>
      <c r="B977" s="4" t="inlineStr"/>
      <c r="C977" s="4">
        <f>IF(A977="","",COUNTIF(F977:AI977,"+")+COUNTIF(F977:AI977,"1"))</f>
        <v/>
      </c>
      <c r="D977" s="4">
        <f>IF(A977="","",IF(C977&gt;2*COUNTA(F$957:AI$957)/3,'Общий'!$M$11,IF(C977&gt;=COUNTA(F$957:AI$957)/2,'Общий'!$M$12,'Общий'!$M$13)))</f>
        <v/>
      </c>
      <c r="E977" s="4">
        <f>IF(A977="","",SUMIFS('Логи'!$H$7:$H$3006,'Логи'!$A$7:$A$3006,15,'Логи'!$B$7:$B$3006,3,'Логи'!$C$7:$C$3006,A977))</f>
        <v/>
      </c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4" t="inlineStr">
        <is>
          <t>Студент3.21</t>
        </is>
      </c>
      <c r="B978" s="4" t="inlineStr"/>
      <c r="C978" s="4">
        <f>IF(A978="","",COUNTIF(F978:AI978,"+")+COUNTIF(F978:AI978,"1"))</f>
        <v/>
      </c>
      <c r="D978" s="4">
        <f>IF(A978="","",IF(C978&gt;2*COUNTA(F$957:AI$957)/3,'Общий'!$M$11,IF(C978&gt;=COUNTA(F$957:AI$957)/2,'Общий'!$M$12,'Общий'!$M$13)))</f>
        <v/>
      </c>
      <c r="E978" s="4">
        <f>IF(A978="","",SUMIFS('Логи'!$H$7:$H$3006,'Логи'!$A$7:$A$3006,15,'Логи'!$B$7:$B$3006,3,'Логи'!$C$7:$C$3006,A978))</f>
        <v/>
      </c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</row>
    <row r="979">
      <c r="A979" s="4" t="inlineStr">
        <is>
          <t>Студент3.22</t>
        </is>
      </c>
      <c r="B979" s="4" t="inlineStr"/>
      <c r="C979" s="4">
        <f>IF(A979="","",COUNTIF(F979:AI979,"+")+COUNTIF(F979:AI979,"1"))</f>
        <v/>
      </c>
      <c r="D979" s="4">
        <f>IF(A979="","",IF(C979&gt;2*COUNTA(F$957:AI$957)/3,'Общий'!$M$11,IF(C979&gt;=COUNTA(F$957:AI$957)/2,'Общий'!$M$12,'Общий'!$M$13)))</f>
        <v/>
      </c>
      <c r="E979" s="4">
        <f>IF(A979="","",SUMIFS('Логи'!$H$7:$H$3006,'Логи'!$A$7:$A$3006,15,'Логи'!$B$7:$B$3006,3,'Логи'!$C$7:$C$3006,A979))</f>
        <v/>
      </c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4" t="inlineStr">
        <is>
          <t>Студент3.23</t>
        </is>
      </c>
      <c r="B980" s="4" t="inlineStr"/>
      <c r="C980" s="4">
        <f>IF(A980="","",COUNTIF(F980:AI980,"+")+COUNTIF(F980:AI980,"1"))</f>
        <v/>
      </c>
      <c r="D980" s="4">
        <f>IF(A980="","",IF(C980&gt;2*COUNTA(F$957:AI$957)/3,'Общий'!$M$11,IF(C980&gt;=COUNTA(F$957:AI$957)/2,'Общий'!$M$12,'Общий'!$M$13)))</f>
        <v/>
      </c>
      <c r="E980" s="4">
        <f>IF(A980="","",SUMIFS('Логи'!$H$7:$H$3006,'Логи'!$A$7:$A$3006,15,'Логи'!$B$7:$B$3006,3,'Логи'!$C$7:$C$3006,A980))</f>
        <v/>
      </c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</row>
    <row r="981">
      <c r="A981" s="4" t="inlineStr">
        <is>
          <t>Студент3.24</t>
        </is>
      </c>
      <c r="B981" s="4" t="inlineStr"/>
      <c r="C981" s="4">
        <f>IF(A981="","",COUNTIF(F981:AI981,"+")+COUNTIF(F981:AI981,"1"))</f>
        <v/>
      </c>
      <c r="D981" s="4">
        <f>IF(A981="","",IF(C981&gt;2*COUNTA(F$957:AI$957)/3,'Общий'!$M$11,IF(C981&gt;=COUNTA(F$957:AI$957)/2,'Общий'!$M$12,'Общий'!$M$13)))</f>
        <v/>
      </c>
      <c r="E981" s="4">
        <f>IF(A981="","",SUMIFS('Логи'!$H$7:$H$3006,'Логи'!$A$7:$A$3006,15,'Логи'!$B$7:$B$3006,3,'Логи'!$C$7:$C$3006,A981))</f>
        <v/>
      </c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4" t="inlineStr">
        <is>
          <t>Студент3.25</t>
        </is>
      </c>
      <c r="B982" s="4" t="inlineStr"/>
      <c r="C982" s="4">
        <f>IF(A982="","",COUNTIF(F982:AI982,"+")+COUNTIF(F982:AI982,"1"))</f>
        <v/>
      </c>
      <c r="D982" s="4">
        <f>IF(A982="","",IF(C982&gt;2*COUNTA(F$957:AI$957)/3,'Общий'!$M$11,IF(C982&gt;=COUNTA(F$957:AI$957)/2,'Общий'!$M$12,'Общий'!$M$13)))</f>
        <v/>
      </c>
      <c r="E982" s="4">
        <f>IF(A982="","",SUMIFS('Логи'!$H$7:$H$3006,'Логи'!$A$7:$A$3006,15,'Логи'!$B$7:$B$3006,3,'Логи'!$C$7:$C$3006,A982))</f>
        <v/>
      </c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</row>
    <row r="983">
      <c r="A983" s="4" t="inlineStr">
        <is>
          <t>Студент3.26</t>
        </is>
      </c>
      <c r="B983" s="4" t="inlineStr"/>
      <c r="C983" s="4">
        <f>IF(A983="","",COUNTIF(F983:AI983,"+")+COUNTIF(F983:AI983,"1"))</f>
        <v/>
      </c>
      <c r="D983" s="4">
        <f>IF(A983="","",IF(C983&gt;2*COUNTA(F$957:AI$957)/3,'Общий'!$M$11,IF(C983&gt;=COUNTA(F$957:AI$957)/2,'Общий'!$M$12,'Общий'!$M$13)))</f>
        <v/>
      </c>
      <c r="E983" s="4">
        <f>IF(A983="","",SUMIFS('Логи'!$H$7:$H$3006,'Логи'!$A$7:$A$3006,15,'Логи'!$B$7:$B$3006,3,'Логи'!$C$7:$C$3006,A983))</f>
        <v/>
      </c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4" t="inlineStr">
        <is>
          <t>Студент3.27</t>
        </is>
      </c>
      <c r="B984" s="4" t="inlineStr"/>
      <c r="C984" s="4">
        <f>IF(A984="","",COUNTIF(F984:AI984,"+")+COUNTIF(F984:AI984,"1"))</f>
        <v/>
      </c>
      <c r="D984" s="4">
        <f>IF(A984="","",IF(C984&gt;2*COUNTA(F$957:AI$957)/3,'Общий'!$M$11,IF(C984&gt;=COUNTA(F$957:AI$957)/2,'Общий'!$M$12,'Общий'!$M$13)))</f>
        <v/>
      </c>
      <c r="E984" s="4">
        <f>IF(A984="","",SUMIFS('Логи'!$H$7:$H$3006,'Логи'!$A$7:$A$3006,15,'Логи'!$B$7:$B$3006,3,'Логи'!$C$7:$C$3006,A984))</f>
        <v/>
      </c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</row>
    <row r="985">
      <c r="A985" s="4" t="inlineStr">
        <is>
          <t>Студент3.28</t>
        </is>
      </c>
      <c r="B985" s="4" t="inlineStr"/>
      <c r="C985" s="4">
        <f>IF(A985="","",COUNTIF(F985:AI985,"+")+COUNTIF(F985:AI985,"1"))</f>
        <v/>
      </c>
      <c r="D985" s="4">
        <f>IF(A985="","",IF(C985&gt;2*COUNTA(F$957:AI$957)/3,'Общий'!$M$11,IF(C985&gt;=COUNTA(F$957:AI$957)/2,'Общий'!$M$12,'Общий'!$M$13)))</f>
        <v/>
      </c>
      <c r="E985" s="4">
        <f>IF(A985="","",SUMIFS('Логи'!$H$7:$H$3006,'Логи'!$A$7:$A$3006,15,'Логи'!$B$7:$B$3006,3,'Логи'!$C$7:$C$3006,A985))</f>
        <v/>
      </c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4" t="inlineStr">
        <is>
          <t>Студент3.29</t>
        </is>
      </c>
      <c r="B986" s="4" t="inlineStr"/>
      <c r="C986" s="4">
        <f>IF(A986="","",COUNTIF(F986:AI986,"+")+COUNTIF(F986:AI986,"1"))</f>
        <v/>
      </c>
      <c r="D986" s="4">
        <f>IF(A986="","",IF(C986&gt;2*COUNTA(F$957:AI$957)/3,'Общий'!$M$11,IF(C986&gt;=COUNTA(F$957:AI$957)/2,'Общий'!$M$12,'Общий'!$M$13)))</f>
        <v/>
      </c>
      <c r="E986" s="4">
        <f>IF(A986="","",SUMIFS('Логи'!$H$7:$H$3006,'Логи'!$A$7:$A$3006,15,'Логи'!$B$7:$B$3006,3,'Логи'!$C$7:$C$3006,A986))</f>
        <v/>
      </c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</row>
    <row r="987">
      <c r="A987" s="4" t="inlineStr">
        <is>
          <t>Студент3.30</t>
        </is>
      </c>
      <c r="B987" s="4" t="inlineStr"/>
      <c r="C987" s="4">
        <f>IF(A987="","",COUNTIF(F987:AI987,"+")+COUNTIF(F987:AI987,"1"))</f>
        <v/>
      </c>
      <c r="D987" s="4">
        <f>IF(A987="","",IF(C987&gt;2*COUNTA(F$957:AI$957)/3,'Общий'!$M$11,IF(C987&gt;=COUNTA(F$957:AI$957)/2,'Общий'!$M$12,'Общий'!$M$13)))</f>
        <v/>
      </c>
      <c r="E987" s="4">
        <f>IF(A987="","",SUMIFS('Логи'!$H$7:$H$3006,'Логи'!$A$7:$A$3006,15,'Логи'!$B$7:$B$3006,3,'Логи'!$C$7:$C$3006,A987))</f>
        <v/>
      </c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9">
      <c r="A989" s="19" t="inlineStr">
        <is>
          <t>Практика 15 — результаты рассказа</t>
        </is>
      </c>
    </row>
    <row r="990" ht="28" customHeight="1">
      <c r="A990" s="9" t="inlineStr">
        <is>
          <t>Имя</t>
        </is>
      </c>
      <c r="B990" s="11" t="inlineStr">
        <is>
          <t>TG</t>
        </is>
      </c>
      <c r="C990" s="12" t="inlineStr"/>
      <c r="D990" s="3" t="inlineStr"/>
      <c r="E990" s="3" t="inlineStr"/>
      <c r="F990" s="13" t="inlineStr">
        <is>
          <t>1.0</t>
        </is>
      </c>
      <c r="G990" s="13" t="inlineStr">
        <is>
          <t>2.0</t>
        </is>
      </c>
      <c r="H990" s="13" t="inlineStr">
        <is>
          <t>3.0</t>
        </is>
      </c>
      <c r="I990" s="13" t="inlineStr">
        <is>
          <t>4.0</t>
        </is>
      </c>
      <c r="J990" s="13" t="inlineStr">
        <is>
          <t>5.0</t>
        </is>
      </c>
      <c r="K990" s="13" t="inlineStr">
        <is>
          <t>6</t>
        </is>
      </c>
      <c r="L990" s="13" t="inlineStr">
        <is>
          <t>7</t>
        </is>
      </c>
      <c r="M990" s="13" t="inlineStr">
        <is>
          <t>8</t>
        </is>
      </c>
      <c r="N990" s="13" t="inlineStr">
        <is>
          <t>9</t>
        </is>
      </c>
      <c r="O990" s="13" t="inlineStr">
        <is>
          <t>10</t>
        </is>
      </c>
      <c r="P990" s="13" t="inlineStr">
        <is>
          <t>11</t>
        </is>
      </c>
      <c r="Q990" s="13" t="inlineStr">
        <is>
          <t>12</t>
        </is>
      </c>
      <c r="R990" s="13" t="inlineStr">
        <is>
          <t>13</t>
        </is>
      </c>
      <c r="S990" s="13" t="inlineStr">
        <is>
          <t>14</t>
        </is>
      </c>
      <c r="T990" s="13" t="inlineStr">
        <is>
          <t>15</t>
        </is>
      </c>
      <c r="U990" s="13" t="inlineStr">
        <is>
          <t>16</t>
        </is>
      </c>
      <c r="V990" s="13" t="inlineStr">
        <is>
          <t>17</t>
        </is>
      </c>
      <c r="W990" s="13" t="inlineStr">
        <is>
          <t>18</t>
        </is>
      </c>
      <c r="X990" s="13" t="inlineStr">
        <is>
          <t>19</t>
        </is>
      </c>
      <c r="Y990" s="13" t="inlineStr">
        <is>
          <t>20</t>
        </is>
      </c>
      <c r="Z990" s="13" t="inlineStr">
        <is>
          <t>21</t>
        </is>
      </c>
      <c r="AA990" s="13" t="inlineStr">
        <is>
          <t>22</t>
        </is>
      </c>
      <c r="AB990" s="13" t="inlineStr">
        <is>
          <t>23</t>
        </is>
      </c>
      <c r="AC990" s="13" t="inlineStr">
        <is>
          <t>24</t>
        </is>
      </c>
      <c r="AD990" s="13" t="inlineStr">
        <is>
          <t>25</t>
        </is>
      </c>
      <c r="AE990" s="13" t="inlineStr">
        <is>
          <t>26</t>
        </is>
      </c>
      <c r="AF990" s="13" t="inlineStr">
        <is>
          <t>27</t>
        </is>
      </c>
      <c r="AG990" s="13" t="inlineStr">
        <is>
          <t>28</t>
        </is>
      </c>
      <c r="AH990" s="13" t="inlineStr">
        <is>
          <t>29</t>
        </is>
      </c>
      <c r="AI990" s="13" t="inlineStr">
        <is>
          <t>30</t>
        </is>
      </c>
    </row>
    <row r="991">
      <c r="A991" s="4" t="inlineStr">
        <is>
          <t>Студент3.1</t>
        </is>
      </c>
      <c r="B991" s="4" t="inlineStr"/>
      <c r="C991" s="4" t="n"/>
      <c r="D991" s="4" t="n"/>
      <c r="E991" s="4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4" t="inlineStr">
        <is>
          <t>Студент3.2</t>
        </is>
      </c>
      <c r="B992" s="4" t="inlineStr"/>
      <c r="C992" s="4" t="n"/>
      <c r="D992" s="4" t="n"/>
      <c r="E992" s="4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</row>
    <row r="993">
      <c r="A993" s="4" t="inlineStr">
        <is>
          <t>Студент3.3</t>
        </is>
      </c>
      <c r="B993" s="4" t="inlineStr"/>
      <c r="C993" s="4" t="n"/>
      <c r="D993" s="4" t="n"/>
      <c r="E993" s="4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4" t="inlineStr">
        <is>
          <t>Студент3.4</t>
        </is>
      </c>
      <c r="B994" s="4" t="inlineStr"/>
      <c r="C994" s="4" t="n"/>
      <c r="D994" s="4" t="n"/>
      <c r="E994" s="4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</row>
    <row r="995">
      <c r="A995" s="4" t="inlineStr">
        <is>
          <t>Студент3.5</t>
        </is>
      </c>
      <c r="B995" s="4" t="inlineStr"/>
      <c r="C995" s="4" t="n"/>
      <c r="D995" s="4" t="n"/>
      <c r="E995" s="4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4" t="inlineStr">
        <is>
          <t>Студент3.6</t>
        </is>
      </c>
      <c r="B996" s="4" t="inlineStr"/>
      <c r="C996" s="4" t="n"/>
      <c r="D996" s="4" t="n"/>
      <c r="E996" s="4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</row>
    <row r="997">
      <c r="A997" s="4" t="inlineStr">
        <is>
          <t>Студент3.7</t>
        </is>
      </c>
      <c r="B997" s="4" t="inlineStr"/>
      <c r="C997" s="4" t="n"/>
      <c r="D997" s="4" t="n"/>
      <c r="E997" s="4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4" t="inlineStr">
        <is>
          <t>Студент3.8</t>
        </is>
      </c>
      <c r="B998" s="4" t="inlineStr"/>
      <c r="C998" s="4" t="n"/>
      <c r="D998" s="4" t="n"/>
      <c r="E998" s="4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</row>
    <row r="999">
      <c r="A999" s="4" t="inlineStr">
        <is>
          <t>Студент3.9</t>
        </is>
      </c>
      <c r="B999" s="4" t="inlineStr"/>
      <c r="C999" s="4" t="n"/>
      <c r="D999" s="4" t="n"/>
      <c r="E999" s="4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4" t="inlineStr">
        <is>
          <t>Студент3.10</t>
        </is>
      </c>
      <c r="B1000" s="4" t="inlineStr"/>
      <c r="C1000" s="4" t="n"/>
      <c r="D1000" s="4" t="n"/>
      <c r="E1000" s="4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5" t="n"/>
      <c r="AE1000" s="5" t="n"/>
      <c r="AF1000" s="5" t="n"/>
      <c r="AG1000" s="5" t="n"/>
      <c r="AH1000" s="5" t="n"/>
      <c r="AI1000" s="5" t="n"/>
    </row>
    <row r="1001">
      <c r="A1001" s="4" t="inlineStr">
        <is>
          <t>Студент3.11</t>
        </is>
      </c>
      <c r="B1001" s="4" t="inlineStr"/>
      <c r="C1001" s="4" t="n"/>
      <c r="D1001" s="4" t="n"/>
      <c r="E1001" s="4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  <row r="1002">
      <c r="A1002" s="4" t="inlineStr">
        <is>
          <t>Студент3.12</t>
        </is>
      </c>
      <c r="B1002" s="4" t="inlineStr"/>
      <c r="C1002" s="4" t="n"/>
      <c r="D1002" s="4" t="n"/>
      <c r="E1002" s="4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5" t="n"/>
      <c r="AE1002" s="5" t="n"/>
      <c r="AF1002" s="5" t="n"/>
      <c r="AG1002" s="5" t="n"/>
      <c r="AH1002" s="5" t="n"/>
      <c r="AI1002" s="5" t="n"/>
    </row>
    <row r="1003">
      <c r="A1003" s="4" t="inlineStr">
        <is>
          <t>Студент3.13</t>
        </is>
      </c>
      <c r="B1003" s="4" t="inlineStr"/>
      <c r="C1003" s="4" t="n"/>
      <c r="D1003" s="4" t="n"/>
      <c r="E1003" s="4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5" t="n"/>
      <c r="AE1003" s="5" t="n"/>
      <c r="AF1003" s="5" t="n"/>
      <c r="AG1003" s="5" t="n"/>
      <c r="AH1003" s="5" t="n"/>
      <c r="AI1003" s="5" t="n"/>
    </row>
    <row r="1004">
      <c r="A1004" s="4" t="inlineStr">
        <is>
          <t>Студент3.14</t>
        </is>
      </c>
      <c r="B1004" s="4" t="inlineStr"/>
      <c r="C1004" s="4" t="n"/>
      <c r="D1004" s="4" t="n"/>
      <c r="E1004" s="4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5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5" t="n"/>
      <c r="AE1004" s="5" t="n"/>
      <c r="AF1004" s="5" t="n"/>
      <c r="AG1004" s="5" t="n"/>
      <c r="AH1004" s="5" t="n"/>
      <c r="AI1004" s="5" t="n"/>
    </row>
    <row r="1005">
      <c r="A1005" s="4" t="inlineStr">
        <is>
          <t>Студент3.15</t>
        </is>
      </c>
      <c r="B1005" s="4" t="inlineStr"/>
      <c r="C1005" s="4" t="n"/>
      <c r="D1005" s="4" t="n"/>
      <c r="E1005" s="4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5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5" t="n"/>
      <c r="AE1005" s="5" t="n"/>
      <c r="AF1005" s="5" t="n"/>
      <c r="AG1005" s="5" t="n"/>
      <c r="AH1005" s="5" t="n"/>
      <c r="AI1005" s="5" t="n"/>
    </row>
    <row r="1006">
      <c r="A1006" s="4" t="inlineStr">
        <is>
          <t>Студент3.16</t>
        </is>
      </c>
      <c r="B1006" s="4" t="inlineStr"/>
      <c r="C1006" s="4" t="n"/>
      <c r="D1006" s="4" t="n"/>
      <c r="E1006" s="4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5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5" t="n"/>
      <c r="AE1006" s="5" t="n"/>
      <c r="AF1006" s="5" t="n"/>
      <c r="AG1006" s="5" t="n"/>
      <c r="AH1006" s="5" t="n"/>
      <c r="AI1006" s="5" t="n"/>
    </row>
    <row r="1007">
      <c r="A1007" s="4" t="inlineStr">
        <is>
          <t>Студент3.17</t>
        </is>
      </c>
      <c r="B1007" s="4" t="inlineStr"/>
      <c r="C1007" s="4" t="n"/>
      <c r="D1007" s="4" t="n"/>
      <c r="E1007" s="4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5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5" t="n"/>
      <c r="AE1007" s="5" t="n"/>
      <c r="AF1007" s="5" t="n"/>
      <c r="AG1007" s="5" t="n"/>
      <c r="AH1007" s="5" t="n"/>
      <c r="AI1007" s="5" t="n"/>
    </row>
    <row r="1008">
      <c r="A1008" s="4" t="inlineStr">
        <is>
          <t>Студент3.18</t>
        </is>
      </c>
      <c r="B1008" s="4" t="inlineStr"/>
      <c r="C1008" s="4" t="n"/>
      <c r="D1008" s="4" t="n"/>
      <c r="E1008" s="4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5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5" t="n"/>
      <c r="AE1008" s="5" t="n"/>
      <c r="AF1008" s="5" t="n"/>
      <c r="AG1008" s="5" t="n"/>
      <c r="AH1008" s="5" t="n"/>
      <c r="AI1008" s="5" t="n"/>
    </row>
    <row r="1009">
      <c r="A1009" s="4" t="inlineStr">
        <is>
          <t>Студент3.19</t>
        </is>
      </c>
      <c r="B1009" s="4" t="inlineStr"/>
      <c r="C1009" s="4" t="n"/>
      <c r="D1009" s="4" t="n"/>
      <c r="E1009" s="4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5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5" t="n"/>
      <c r="AE1009" s="5" t="n"/>
      <c r="AF1009" s="5" t="n"/>
      <c r="AG1009" s="5" t="n"/>
      <c r="AH1009" s="5" t="n"/>
      <c r="AI1009" s="5" t="n"/>
    </row>
    <row r="1010">
      <c r="A1010" s="4" t="inlineStr">
        <is>
          <t>Студент3.20</t>
        </is>
      </c>
      <c r="B1010" s="4" t="inlineStr"/>
      <c r="C1010" s="4" t="n"/>
      <c r="D1010" s="4" t="n"/>
      <c r="E1010" s="4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5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5" t="n"/>
      <c r="AE1010" s="5" t="n"/>
      <c r="AF1010" s="5" t="n"/>
      <c r="AG1010" s="5" t="n"/>
      <c r="AH1010" s="5" t="n"/>
      <c r="AI1010" s="5" t="n"/>
    </row>
    <row r="1011">
      <c r="A1011" s="4" t="inlineStr">
        <is>
          <t>Студент3.21</t>
        </is>
      </c>
      <c r="B1011" s="4" t="inlineStr"/>
      <c r="C1011" s="4" t="n"/>
      <c r="D1011" s="4" t="n"/>
      <c r="E1011" s="4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5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5" t="n"/>
      <c r="AE1011" s="5" t="n"/>
      <c r="AF1011" s="5" t="n"/>
      <c r="AG1011" s="5" t="n"/>
      <c r="AH1011" s="5" t="n"/>
      <c r="AI1011" s="5" t="n"/>
    </row>
    <row r="1012">
      <c r="A1012" s="4" t="inlineStr">
        <is>
          <t>Студент3.22</t>
        </is>
      </c>
      <c r="B1012" s="4" t="inlineStr"/>
      <c r="C1012" s="4" t="n"/>
      <c r="D1012" s="4" t="n"/>
      <c r="E1012" s="4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5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5" t="n"/>
      <c r="AE1012" s="5" t="n"/>
      <c r="AF1012" s="5" t="n"/>
      <c r="AG1012" s="5" t="n"/>
      <c r="AH1012" s="5" t="n"/>
      <c r="AI1012" s="5" t="n"/>
    </row>
    <row r="1013">
      <c r="A1013" s="4" t="inlineStr">
        <is>
          <t>Студент3.23</t>
        </is>
      </c>
      <c r="B1013" s="4" t="inlineStr"/>
      <c r="C1013" s="4" t="n"/>
      <c r="D1013" s="4" t="n"/>
      <c r="E1013" s="4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5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5" t="n"/>
      <c r="AE1013" s="5" t="n"/>
      <c r="AF1013" s="5" t="n"/>
      <c r="AG1013" s="5" t="n"/>
      <c r="AH1013" s="5" t="n"/>
      <c r="AI1013" s="5" t="n"/>
    </row>
    <row r="1014">
      <c r="A1014" s="4" t="inlineStr">
        <is>
          <t>Студент3.24</t>
        </is>
      </c>
      <c r="B1014" s="4" t="inlineStr"/>
      <c r="C1014" s="4" t="n"/>
      <c r="D1014" s="4" t="n"/>
      <c r="E1014" s="4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5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5" t="n"/>
      <c r="AE1014" s="5" t="n"/>
      <c r="AF1014" s="5" t="n"/>
      <c r="AG1014" s="5" t="n"/>
      <c r="AH1014" s="5" t="n"/>
      <c r="AI1014" s="5" t="n"/>
    </row>
    <row r="1015">
      <c r="A1015" s="4" t="inlineStr">
        <is>
          <t>Студент3.25</t>
        </is>
      </c>
      <c r="B1015" s="4" t="inlineStr"/>
      <c r="C1015" s="4" t="n"/>
      <c r="D1015" s="4" t="n"/>
      <c r="E1015" s="4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5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5" t="n"/>
      <c r="AE1015" s="5" t="n"/>
      <c r="AF1015" s="5" t="n"/>
      <c r="AG1015" s="5" t="n"/>
      <c r="AH1015" s="5" t="n"/>
      <c r="AI1015" s="5" t="n"/>
    </row>
    <row r="1016">
      <c r="A1016" s="4" t="inlineStr">
        <is>
          <t>Студент3.26</t>
        </is>
      </c>
      <c r="B1016" s="4" t="inlineStr"/>
      <c r="C1016" s="4" t="n"/>
      <c r="D1016" s="4" t="n"/>
      <c r="E1016" s="4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5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5" t="n"/>
      <c r="AE1016" s="5" t="n"/>
      <c r="AF1016" s="5" t="n"/>
      <c r="AG1016" s="5" t="n"/>
      <c r="AH1016" s="5" t="n"/>
      <c r="AI1016" s="5" t="n"/>
    </row>
    <row r="1017">
      <c r="A1017" s="4" t="inlineStr">
        <is>
          <t>Студент3.27</t>
        </is>
      </c>
      <c r="B1017" s="4" t="inlineStr"/>
      <c r="C1017" s="4" t="n"/>
      <c r="D1017" s="4" t="n"/>
      <c r="E1017" s="4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5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5" t="n"/>
      <c r="AE1017" s="5" t="n"/>
      <c r="AF1017" s="5" t="n"/>
      <c r="AG1017" s="5" t="n"/>
      <c r="AH1017" s="5" t="n"/>
      <c r="AI1017" s="5" t="n"/>
    </row>
    <row r="1018">
      <c r="A1018" s="4" t="inlineStr">
        <is>
          <t>Студент3.28</t>
        </is>
      </c>
      <c r="B1018" s="4" t="inlineStr"/>
      <c r="C1018" s="4" t="n"/>
      <c r="D1018" s="4" t="n"/>
      <c r="E1018" s="4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5" t="n"/>
      <c r="AE1018" s="5" t="n"/>
      <c r="AF1018" s="5" t="n"/>
      <c r="AG1018" s="5" t="n"/>
      <c r="AH1018" s="5" t="n"/>
      <c r="AI1018" s="5" t="n"/>
    </row>
    <row r="1019">
      <c r="A1019" s="4" t="inlineStr">
        <is>
          <t>Студент3.29</t>
        </is>
      </c>
      <c r="B1019" s="4" t="inlineStr"/>
      <c r="C1019" s="4" t="n"/>
      <c r="D1019" s="4" t="n"/>
      <c r="E1019" s="4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5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5" t="n"/>
      <c r="AE1019" s="5" t="n"/>
      <c r="AF1019" s="5" t="n"/>
      <c r="AG1019" s="5" t="n"/>
      <c r="AH1019" s="5" t="n"/>
      <c r="AI1019" s="5" t="n"/>
    </row>
    <row r="1020">
      <c r="A1020" s="4" t="inlineStr">
        <is>
          <t>Студент3.30</t>
        </is>
      </c>
      <c r="B1020" s="4" t="inlineStr"/>
      <c r="C1020" s="4" t="n"/>
      <c r="D1020" s="4" t="n"/>
      <c r="E1020" s="4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5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5" t="n"/>
      <c r="AE1020" s="5" t="n"/>
      <c r="AF1020" s="5" t="n"/>
      <c r="AG1020" s="5" t="n"/>
      <c r="AH1020" s="5" t="n"/>
      <c r="AI1020" s="5" t="n"/>
    </row>
  </sheetData>
  <mergeCells count="32">
    <mergeCell ref="A173:AI173"/>
    <mergeCell ref="A344:AI344"/>
    <mergeCell ref="A820:AI820"/>
    <mergeCell ref="A480:AI480"/>
    <mergeCell ref="A785:AI785"/>
    <mergeCell ref="A412:AI412"/>
    <mergeCell ref="A276:AI276"/>
    <mergeCell ref="A956:AI956"/>
    <mergeCell ref="A888:AI888"/>
    <mergeCell ref="A1:AI1"/>
    <mergeCell ref="A921:AI921"/>
    <mergeCell ref="A241:AI241"/>
    <mergeCell ref="A548:AI548"/>
    <mergeCell ref="A649:AI649"/>
    <mergeCell ref="A581:AI581"/>
    <mergeCell ref="A37:AI37"/>
    <mergeCell ref="A208:AI208"/>
    <mergeCell ref="A752:AI752"/>
    <mergeCell ref="A717:AI717"/>
    <mergeCell ref="A105:AI105"/>
    <mergeCell ref="A2:AI2"/>
    <mergeCell ref="A309:AI309"/>
    <mergeCell ref="A616:AI616"/>
    <mergeCell ref="A989:AI989"/>
    <mergeCell ref="A377:AI377"/>
    <mergeCell ref="A513:AI513"/>
    <mergeCell ref="A4:AI4"/>
    <mergeCell ref="A684:AI684"/>
    <mergeCell ref="A140:AI140"/>
    <mergeCell ref="A72:AI72"/>
    <mergeCell ref="A853:AI853"/>
    <mergeCell ref="A445:AI445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0">
      <formula>F6="+"</formula>
    </cfRule>
    <cfRule type="expression" priority="5" dxfId="0">
      <formula>F6="1"</formula>
    </cfRule>
    <cfRule type="expression" priority="6" dxfId="3">
      <formula>F6="-"</formula>
    </cfRule>
  </conditionalFormatting>
  <conditionalFormatting sqref="F39:AI68">
    <cfRule type="expression" priority="7" dxfId="0">
      <formula>F39="+"</formula>
    </cfRule>
    <cfRule type="expression" priority="8" dxfId="0">
      <formula>F39="1"</formula>
    </cfRule>
    <cfRule type="expression" priority="9" dxfId="3">
      <formula>F39="-"</formula>
    </cfRule>
  </conditionalFormatting>
  <conditionalFormatting sqref="C74:C103">
    <cfRule type="cellIs" priority="10" operator="greaterThanOrEqual" dxfId="0">
      <formula>21</formula>
    </cfRule>
    <cfRule type="cellIs" priority="11" operator="between" dxfId="1">
      <formula>15</formula>
      <formula>20</formula>
    </cfRule>
    <cfRule type="cellIs" priority="12" operator="lessThan" dxfId="2">
      <formula>15</formula>
    </cfRule>
  </conditionalFormatting>
  <conditionalFormatting sqref="F74:AI103">
    <cfRule type="expression" priority="13" dxfId="0">
      <formula>F74="+"</formula>
    </cfRule>
    <cfRule type="expression" priority="14" dxfId="0">
      <formula>F74="1"</formula>
    </cfRule>
    <cfRule type="expression" priority="15" dxfId="3">
      <formula>F74="-"</formula>
    </cfRule>
  </conditionalFormatting>
  <conditionalFormatting sqref="F107:AI136">
    <cfRule type="expression" priority="16" dxfId="0">
      <formula>F107="+"</formula>
    </cfRule>
    <cfRule type="expression" priority="17" dxfId="0">
      <formula>F107="1"</formula>
    </cfRule>
    <cfRule type="expression" priority="18" dxfId="3">
      <formula>F107="-"</formula>
    </cfRule>
  </conditionalFormatting>
  <conditionalFormatting sqref="C142:C171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42:AI171">
    <cfRule type="expression" priority="22" dxfId="0">
      <formula>F142="+"</formula>
    </cfRule>
    <cfRule type="expression" priority="23" dxfId="0">
      <formula>F142="1"</formula>
    </cfRule>
    <cfRule type="expression" priority="24" dxfId="3">
      <formula>F142="-"</formula>
    </cfRule>
  </conditionalFormatting>
  <conditionalFormatting sqref="F175:AI204">
    <cfRule type="expression" priority="25" dxfId="0">
      <formula>F175="+"</formula>
    </cfRule>
    <cfRule type="expression" priority="26" dxfId="0">
      <formula>F175="1"</formula>
    </cfRule>
    <cfRule type="expression" priority="27" dxfId="3">
      <formula>F175="-"</formula>
    </cfRule>
  </conditionalFormatting>
  <conditionalFormatting sqref="C210:C239">
    <cfRule type="cellIs" priority="28" operator="greaterThanOrEqual" dxfId="0">
      <formula>21</formula>
    </cfRule>
    <cfRule type="cellIs" priority="29" operator="between" dxfId="1">
      <formula>15</formula>
      <formula>20</formula>
    </cfRule>
    <cfRule type="cellIs" priority="30" operator="lessThan" dxfId="2">
      <formula>15</formula>
    </cfRule>
  </conditionalFormatting>
  <conditionalFormatting sqref="F210:AI239">
    <cfRule type="expression" priority="31" dxfId="0">
      <formula>F210="+"</formula>
    </cfRule>
    <cfRule type="expression" priority="32" dxfId="0">
      <formula>F210="1"</formula>
    </cfRule>
    <cfRule type="expression" priority="33" dxfId="3">
      <formula>F210="-"</formula>
    </cfRule>
  </conditionalFormatting>
  <conditionalFormatting sqref="F243:AI272">
    <cfRule type="expression" priority="34" dxfId="0">
      <formula>F243="+"</formula>
    </cfRule>
    <cfRule type="expression" priority="35" dxfId="0">
      <formula>F243="1"</formula>
    </cfRule>
    <cfRule type="expression" priority="36" dxfId="3">
      <formula>F243="-"</formula>
    </cfRule>
  </conditionalFormatting>
  <conditionalFormatting sqref="C278:C307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78:AI307">
    <cfRule type="expression" priority="40" dxfId="0">
      <formula>F278="+"</formula>
    </cfRule>
    <cfRule type="expression" priority="41" dxfId="0">
      <formula>F278="1"</formula>
    </cfRule>
    <cfRule type="expression" priority="42" dxfId="3">
      <formula>F278="-"</formula>
    </cfRule>
  </conditionalFormatting>
  <conditionalFormatting sqref="F311:AI340">
    <cfRule type="expression" priority="43" dxfId="0">
      <formula>F311="+"</formula>
    </cfRule>
    <cfRule type="expression" priority="44" dxfId="0">
      <formula>F311="1"</formula>
    </cfRule>
    <cfRule type="expression" priority="45" dxfId="3">
      <formula>F311="-"</formula>
    </cfRule>
  </conditionalFormatting>
  <conditionalFormatting sqref="C346:C375">
    <cfRule type="cellIs" priority="46" operator="greaterThanOrEqual" dxfId="0">
      <formula>21</formula>
    </cfRule>
    <cfRule type="cellIs" priority="47" operator="between" dxfId="1">
      <formula>15</formula>
      <formula>20</formula>
    </cfRule>
    <cfRule type="cellIs" priority="48" operator="lessThan" dxfId="2">
      <formula>15</formula>
    </cfRule>
  </conditionalFormatting>
  <conditionalFormatting sqref="F346:AI375">
    <cfRule type="expression" priority="49" dxfId="0">
      <formula>F346="+"</formula>
    </cfRule>
    <cfRule type="expression" priority="50" dxfId="0">
      <formula>F346="1"</formula>
    </cfRule>
    <cfRule type="expression" priority="51" dxfId="3">
      <formula>F346="-"</formula>
    </cfRule>
  </conditionalFormatting>
  <conditionalFormatting sqref="F379:AI408">
    <cfRule type="expression" priority="52" dxfId="0">
      <formula>F379="+"</formula>
    </cfRule>
    <cfRule type="expression" priority="53" dxfId="0">
      <formula>F379="1"</formula>
    </cfRule>
    <cfRule type="expression" priority="54" dxfId="3">
      <formula>F379="-"</formula>
    </cfRule>
  </conditionalFormatting>
  <conditionalFormatting sqref="C414:C443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414:AI443">
    <cfRule type="expression" priority="58" dxfId="0">
      <formula>F414="+"</formula>
    </cfRule>
    <cfRule type="expression" priority="59" dxfId="0">
      <formula>F414="1"</formula>
    </cfRule>
    <cfRule type="expression" priority="60" dxfId="3">
      <formula>F414="-"</formula>
    </cfRule>
  </conditionalFormatting>
  <conditionalFormatting sqref="F447:AI476">
    <cfRule type="expression" priority="61" dxfId="0">
      <formula>F447="+"</formula>
    </cfRule>
    <cfRule type="expression" priority="62" dxfId="0">
      <formula>F447="1"</formula>
    </cfRule>
    <cfRule type="expression" priority="63" dxfId="3">
      <formula>F447="-"</formula>
    </cfRule>
  </conditionalFormatting>
  <conditionalFormatting sqref="C482:C511">
    <cfRule type="cellIs" priority="64" operator="greaterThanOrEqual" dxfId="0">
      <formula>21</formula>
    </cfRule>
    <cfRule type="cellIs" priority="65" operator="between" dxfId="1">
      <formula>15</formula>
      <formula>20</formula>
    </cfRule>
    <cfRule type="cellIs" priority="66" operator="lessThan" dxfId="2">
      <formula>15</formula>
    </cfRule>
  </conditionalFormatting>
  <conditionalFormatting sqref="F482:AI511">
    <cfRule type="expression" priority="67" dxfId="0">
      <formula>F482="+"</formula>
    </cfRule>
    <cfRule type="expression" priority="68" dxfId="0">
      <formula>F482="1"</formula>
    </cfRule>
    <cfRule type="expression" priority="69" dxfId="3">
      <formula>F482="-"</formula>
    </cfRule>
  </conditionalFormatting>
  <conditionalFormatting sqref="F515:AI544">
    <cfRule type="expression" priority="70" dxfId="0">
      <formula>F515="+"</formula>
    </cfRule>
    <cfRule type="expression" priority="71" dxfId="0">
      <formula>F515="1"</formula>
    </cfRule>
    <cfRule type="expression" priority="72" dxfId="3">
      <formula>F515="-"</formula>
    </cfRule>
  </conditionalFormatting>
  <conditionalFormatting sqref="C550:C579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550:AI579">
    <cfRule type="expression" priority="76" dxfId="0">
      <formula>F550="+"</formula>
    </cfRule>
    <cfRule type="expression" priority="77" dxfId="0">
      <formula>F550="1"</formula>
    </cfRule>
    <cfRule type="expression" priority="78" dxfId="3">
      <formula>F550="-"</formula>
    </cfRule>
  </conditionalFormatting>
  <conditionalFormatting sqref="F583:AI612">
    <cfRule type="expression" priority="79" dxfId="0">
      <formula>F583="+"</formula>
    </cfRule>
    <cfRule type="expression" priority="80" dxfId="0">
      <formula>F583="1"</formula>
    </cfRule>
    <cfRule type="expression" priority="81" dxfId="3">
      <formula>F583="-"</formula>
    </cfRule>
  </conditionalFormatting>
  <conditionalFormatting sqref="C618:C647">
    <cfRule type="cellIs" priority="82" operator="greaterThanOrEqual" dxfId="0">
      <formula>21</formula>
    </cfRule>
    <cfRule type="cellIs" priority="83" operator="between" dxfId="1">
      <formula>15</formula>
      <formula>20</formula>
    </cfRule>
    <cfRule type="cellIs" priority="84" operator="lessThan" dxfId="2">
      <formula>15</formula>
    </cfRule>
  </conditionalFormatting>
  <conditionalFormatting sqref="F618:AI647">
    <cfRule type="expression" priority="85" dxfId="0">
      <formula>F618="+"</formula>
    </cfRule>
    <cfRule type="expression" priority="86" dxfId="0">
      <formula>F618="1"</formula>
    </cfRule>
    <cfRule type="expression" priority="87" dxfId="3">
      <formula>F618="-"</formula>
    </cfRule>
  </conditionalFormatting>
  <conditionalFormatting sqref="F651:AI680">
    <cfRule type="expression" priority="88" dxfId="0">
      <formula>F651="+"</formula>
    </cfRule>
    <cfRule type="expression" priority="89" dxfId="0">
      <formula>F651="1"</formula>
    </cfRule>
    <cfRule type="expression" priority="90" dxfId="3">
      <formula>F651="-"</formula>
    </cfRule>
  </conditionalFormatting>
  <conditionalFormatting sqref="C686:C715">
    <cfRule type="cellIs" priority="91" operator="greaterThanOrEqual" dxfId="0">
      <formula>21</formula>
    </cfRule>
    <cfRule type="cellIs" priority="92" operator="between" dxfId="1">
      <formula>15</formula>
      <formula>20</formula>
    </cfRule>
    <cfRule type="cellIs" priority="93" operator="lessThan" dxfId="2">
      <formula>15</formula>
    </cfRule>
  </conditionalFormatting>
  <conditionalFormatting sqref="F686:AI715">
    <cfRule type="expression" priority="94" dxfId="0">
      <formula>F686="+"</formula>
    </cfRule>
    <cfRule type="expression" priority="95" dxfId="0">
      <formula>F686="1"</formula>
    </cfRule>
    <cfRule type="expression" priority="96" dxfId="3">
      <formula>F686="-"</formula>
    </cfRule>
  </conditionalFormatting>
  <conditionalFormatting sqref="F719:AI748">
    <cfRule type="expression" priority="97" dxfId="0">
      <formula>F719="+"</formula>
    </cfRule>
    <cfRule type="expression" priority="98" dxfId="0">
      <formula>F719="1"</formula>
    </cfRule>
    <cfRule type="expression" priority="99" dxfId="3">
      <formula>F719="-"</formula>
    </cfRule>
  </conditionalFormatting>
  <conditionalFormatting sqref="C754:C783">
    <cfRule type="cellIs" priority="100" operator="greaterThanOrEqual" dxfId="0">
      <formula>21</formula>
    </cfRule>
    <cfRule type="cellIs" priority="101" operator="between" dxfId="1">
      <formula>15</formula>
      <formula>20</formula>
    </cfRule>
    <cfRule type="cellIs" priority="102" operator="lessThan" dxfId="2">
      <formula>15</formula>
    </cfRule>
  </conditionalFormatting>
  <conditionalFormatting sqref="F754:AI783">
    <cfRule type="expression" priority="103" dxfId="0">
      <formula>F754="+"</formula>
    </cfRule>
    <cfRule type="expression" priority="104" dxfId="0">
      <formula>F754="1"</formula>
    </cfRule>
    <cfRule type="expression" priority="105" dxfId="3">
      <formula>F754="-"</formula>
    </cfRule>
  </conditionalFormatting>
  <conditionalFormatting sqref="F787:AI816">
    <cfRule type="expression" priority="106" dxfId="0">
      <formula>F787="+"</formula>
    </cfRule>
    <cfRule type="expression" priority="107" dxfId="0">
      <formula>F787="1"</formula>
    </cfRule>
    <cfRule type="expression" priority="108" dxfId="3">
      <formula>F787="-"</formula>
    </cfRule>
  </conditionalFormatting>
  <conditionalFormatting sqref="C822:C851">
    <cfRule type="cellIs" priority="109" operator="greaterThanOrEqual" dxfId="0">
      <formula>21</formula>
    </cfRule>
    <cfRule type="cellIs" priority="110" operator="between" dxfId="1">
      <formula>15</formula>
      <formula>20</formula>
    </cfRule>
    <cfRule type="cellIs" priority="111" operator="lessThan" dxfId="2">
      <formula>15</formula>
    </cfRule>
  </conditionalFormatting>
  <conditionalFormatting sqref="F822:AI851">
    <cfRule type="expression" priority="112" dxfId="0">
      <formula>F822="+"</formula>
    </cfRule>
    <cfRule type="expression" priority="113" dxfId="0">
      <formula>F822="1"</formula>
    </cfRule>
    <cfRule type="expression" priority="114" dxfId="3">
      <formula>F822="-"</formula>
    </cfRule>
  </conditionalFormatting>
  <conditionalFormatting sqref="F855:AI884">
    <cfRule type="expression" priority="115" dxfId="0">
      <formula>F855="+"</formula>
    </cfRule>
    <cfRule type="expression" priority="116" dxfId="0">
      <formula>F855="1"</formula>
    </cfRule>
    <cfRule type="expression" priority="117" dxfId="3">
      <formula>F855="-"</formula>
    </cfRule>
  </conditionalFormatting>
  <conditionalFormatting sqref="C890:C919">
    <cfRule type="cellIs" priority="118" operator="greaterThanOrEqual" dxfId="0">
      <formula>21</formula>
    </cfRule>
    <cfRule type="cellIs" priority="119" operator="between" dxfId="1">
      <formula>15</formula>
      <formula>20</formula>
    </cfRule>
    <cfRule type="cellIs" priority="120" operator="lessThan" dxfId="2">
      <formula>15</formula>
    </cfRule>
  </conditionalFormatting>
  <conditionalFormatting sqref="F890:AI919">
    <cfRule type="expression" priority="121" dxfId="0">
      <formula>F890="+"</formula>
    </cfRule>
    <cfRule type="expression" priority="122" dxfId="0">
      <formula>F890="1"</formula>
    </cfRule>
    <cfRule type="expression" priority="123" dxfId="3">
      <formula>F890="-"</formula>
    </cfRule>
  </conditionalFormatting>
  <conditionalFormatting sqref="F923:AI952">
    <cfRule type="expression" priority="124" dxfId="0">
      <formula>F923="+"</formula>
    </cfRule>
    <cfRule type="expression" priority="125" dxfId="0">
      <formula>F923="1"</formula>
    </cfRule>
    <cfRule type="expression" priority="126" dxfId="3">
      <formula>F923="-"</formula>
    </cfRule>
  </conditionalFormatting>
  <conditionalFormatting sqref="C958:C987">
    <cfRule type="cellIs" priority="127" operator="greaterThanOrEqual" dxfId="0">
      <formula>21</formula>
    </cfRule>
    <cfRule type="cellIs" priority="128" operator="between" dxfId="1">
      <formula>15</formula>
      <formula>20</formula>
    </cfRule>
    <cfRule type="cellIs" priority="129" operator="lessThan" dxfId="2">
      <formula>15</formula>
    </cfRule>
  </conditionalFormatting>
  <conditionalFormatting sqref="F958:AI987">
    <cfRule type="expression" priority="130" dxfId="0">
      <formula>F958="+"</formula>
    </cfRule>
    <cfRule type="expression" priority="131" dxfId="0">
      <formula>F958="1"</formula>
    </cfRule>
    <cfRule type="expression" priority="132" dxfId="3">
      <formula>F958="-"</formula>
    </cfRule>
  </conditionalFormatting>
  <conditionalFormatting sqref="F991:AI1020">
    <cfRule type="expression" priority="133" dxfId="0">
      <formula>F991="+"</formula>
    </cfRule>
    <cfRule type="expression" priority="134" dxfId="0">
      <formula>F991="1"</formula>
    </cfRule>
    <cfRule type="expression" priority="135" dxfId="3">
      <formula>F991="-"</formula>
    </cfRule>
  </conditionalFormatting>
  <dataValidations count="30">
    <dataValidation sqref="F6:AI3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9:AI6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74:AI10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107:AI13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142:AI17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175:AI20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210:AI23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243:AI27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278:AI30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11:AI34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346:AI37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379:AI40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414:AI44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447:AI47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482:AI51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515:AI54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550:AI57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583:AI61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618:AI64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651:AI68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686:AI715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719:AI748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754:AI783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787:AI816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822:AI851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855:AI884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890:AI919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923:AI952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  <dataValidation sqref="F958:AI987" showDropDown="0" showInputMessage="0" showErrorMessage="1" allowBlank="1" errorTitle="Недопустимое значение" error="Студент ставит +; практик может поставить 1" type="list" errorStyle="stop">
      <formula1>"+,1"</formula1>
    </dataValidation>
    <dataValidation sqref="F991:AI1020" showDropDown="0" showInputMessage="0" showErrorMessage="1" allowBlank="1" errorTitle="Недопустимое значение" error="Практик может ввести только 1, - или оставить пусто" type="list" errorStyle="stop">
      <formula1>"1,-"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2026-08-22T02:19:28Z</dcterms:created>
  <dcterms:modified xsi:type="dcterms:W3CDTF">2026-08-22T02:19:44Z</dcterms:modified>
</cp:coreProperties>
</file>