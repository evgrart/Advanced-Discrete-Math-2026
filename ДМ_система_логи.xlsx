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щий" sheetId="1" state="visible" r:id="rId1"/>
    <sheet name="CW" sheetId="2" state="visible" r:id="rId2"/>
    <sheet name="Рейтинг" sheetId="3" state="visible" r:id="rId3"/>
    <sheet name="Логи" sheetId="4" state="visible" r:id="rId4"/>
    <sheet name="Плюсы_Артём" sheetId="5" state="visible" r:id="rId5"/>
    <sheet name="Плюсы_Рами" sheetId="6" state="visible" r:id="rId6"/>
    <sheet name="Плюсы_Немат" sheetId="7" state="visible" r:id="rId7"/>
  </sheets>
  <definedNames>
    <definedName name="_xlnm._FilterDatabase" localSheetId="0" hidden="1">'Общий'!$A$3:$I$93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365D"/>
      <sz val="18"/>
    </font>
    <font>
      <b val="1"/>
      <color rgb="00FFFFFF"/>
    </font>
    <font>
      <b val="1"/>
      <color rgb="0017365D"/>
    </font>
    <font>
      <b val="1"/>
      <color rgb="0017365D"/>
      <sz val="14"/>
    </font>
    <font>
      <b val="1"/>
      <color rgb="00000000"/>
    </font>
    <font>
      <b val="1"/>
      <color rgb="0017365D"/>
      <sz val="12"/>
    </font>
  </fonts>
  <fills count="12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A9D18E"/>
      </patternFill>
    </fill>
    <fill>
      <patternFill patternType="solid">
        <fgColor rgb="00FFF2CC"/>
      </patternFill>
    </fill>
    <fill>
      <patternFill patternType="solid">
        <fgColor rgb="009DC3E6"/>
      </patternFill>
    </fill>
    <fill>
      <patternFill patternType="solid">
        <fgColor rgb="00F4B183"/>
      </patternFill>
    </fill>
    <fill>
      <patternFill patternType="solid">
        <fgColor rgb="0038761D"/>
      </patternFill>
    </fill>
    <fill>
      <patternFill patternType="solid">
        <fgColor rgb="00D9EAD3"/>
      </patternFill>
    </fill>
    <fill>
      <patternFill patternType="solid">
        <fgColor rgb="00C00000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thin">
        <color rgb="00D9E1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3" borderId="2" applyAlignment="1" applyProtection="1" pivotButton="0" quotePrefix="0" xfId="0">
      <alignment vertical="center" wrapText="1"/>
      <protection locked="0" hidden="0"/>
    </xf>
    <xf numFmtId="0" fontId="0" fillId="0" borderId="2" applyAlignment="1" pivotButton="0" quotePrefix="0" xfId="0">
      <alignment vertical="center" wrapText="1"/>
    </xf>
    <xf numFmtId="0" fontId="4" fillId="4" borderId="0" applyAlignment="1" pivotButton="0" quotePrefix="0" xfId="0">
      <alignment horizontal="center"/>
    </xf>
    <xf numFmtId="0" fontId="3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1" fontId="0" fillId="6" borderId="2" applyAlignment="1" applyProtection="1" pivotButton="0" quotePrefix="0" xfId="0">
      <alignment vertical="center" wrapText="1"/>
      <protection locked="0" hidden="0"/>
    </xf>
    <xf numFmtId="0" fontId="4" fillId="4" borderId="0" pivotButton="0" quotePrefix="0" xfId="0"/>
    <xf numFmtId="0" fontId="5" fillId="10" borderId="1" applyAlignment="1" pivotButton="0" quotePrefix="0" xfId="0">
      <alignment horizontal="center" vertical="center" wrapText="1"/>
    </xf>
    <xf numFmtId="49" fontId="0" fillId="3" borderId="2" applyAlignment="1" applyProtection="1" pivotButton="0" quotePrefix="0" xfId="0">
      <alignment vertical="center" wrapText="1"/>
      <protection locked="0" hidden="0"/>
    </xf>
    <xf numFmtId="0" fontId="6" fillId="1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70AD47"/>
        </patternFill>
      </fill>
    </dxf>
    <dxf>
      <fill>
        <patternFill patternType="solid">
          <fgColor rgb="00A9D18E"/>
        </patternFill>
      </fill>
    </dxf>
    <dxf>
      <fill>
        <patternFill patternType="solid">
          <fgColor rgb="00E2F0D9"/>
        </patternFill>
      </fill>
    </dxf>
    <dxf>
      <font>
        <color rgb="00000000"/>
      </font>
      <fill>
        <patternFill patternType="solid">
          <fgColor rgb="00C6E0B4"/>
        </patternFill>
      </fill>
    </dxf>
    <dxf>
      <font>
        <color rgb="00FFFFFF"/>
      </font>
      <fill>
        <patternFill patternType="solid">
          <fgColor rgb="00548235"/>
        </patternFill>
      </fill>
    </dxf>
    <dxf>
      <font>
        <color rgb="00FFFFFF"/>
      </font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7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22" customWidth="1" min="8" max="8"/>
    <col width="30" customWidth="1" min="9" max="9"/>
  </cols>
  <sheetData>
    <row r="1">
      <c r="A1" s="1" t="inlineStr">
        <is>
          <t>Дискретная математика — общий лист</t>
        </is>
      </c>
    </row>
    <row r="2" ht="8" customHeight="1"/>
    <row r="3" ht="28" customHeight="1">
      <c r="A3" s="2" t="inlineStr">
        <is>
          <t>Практик</t>
        </is>
      </c>
      <c r="B3" s="2" t="inlineStr">
        <is>
          <t>ФИО</t>
        </is>
      </c>
      <c r="C3" s="2" t="inlineStr">
        <is>
          <t>TG</t>
        </is>
      </c>
      <c r="D3" s="2" t="inlineStr">
        <is>
          <t>Прод</t>
        </is>
      </c>
      <c r="E3" s="2" t="inlineStr">
        <is>
          <t>D</t>
        </is>
      </c>
      <c r="F3" s="2" t="inlineStr">
        <is>
          <t>CW</t>
        </is>
      </c>
      <c r="G3" s="2" t="inlineStr">
        <is>
          <t>Тир</t>
        </is>
      </c>
      <c r="H3" s="2" t="inlineStr">
        <is>
          <t>Экзамен</t>
        </is>
      </c>
      <c r="I3" s="2" t="inlineStr">
        <is>
          <t>Комментарий</t>
        </is>
      </c>
    </row>
    <row r="4">
      <c r="A4" s="3" t="inlineStr">
        <is>
          <t>Артём</t>
        </is>
      </c>
      <c r="B4" s="4" t="inlineStr">
        <is>
          <t>Студент1.1</t>
        </is>
      </c>
      <c r="C4" s="4" t="inlineStr"/>
      <c r="D4" s="3" t="inlineStr">
        <is>
          <t>Да</t>
        </is>
      </c>
      <c r="E4" s="3">
        <f>IF(B4="","",SUMIF('Логи'!$A$4:$A$3006,B4,'Логи'!$H$4:$H$3006))</f>
        <v/>
      </c>
      <c r="F4" s="3">
        <f>IF(B4="","",SUMIF('CW'!$A:$A,B4,'CW'!$D:$D))</f>
        <v/>
      </c>
      <c r="G4" s="4">
        <f>IF(B4="","",IF(AND(E4&gt;=55,F4&gt;=24),"S",IF(AND(E4&gt;=35,F4&gt;=14),"A",IF(E4&gt;=17,"B","Допса"))))</f>
        <v/>
      </c>
      <c r="H4" s="3" t="n"/>
      <c r="I4" s="3" t="n"/>
    </row>
    <row r="5">
      <c r="A5" s="3" t="inlineStr">
        <is>
          <t>Артём</t>
        </is>
      </c>
      <c r="B5" s="4" t="inlineStr">
        <is>
          <t>Студент1.2</t>
        </is>
      </c>
      <c r="C5" s="4" t="inlineStr"/>
      <c r="D5" s="3" t="inlineStr">
        <is>
          <t>Да</t>
        </is>
      </c>
      <c r="E5" s="3">
        <f>IF(B5="","",SUMIF('Логи'!$A$4:$A$3006,B5,'Логи'!$H$4:$H$3006))</f>
        <v/>
      </c>
      <c r="F5" s="3">
        <f>IF(B5="","",SUMIF('CW'!$A:$A,B5,'CW'!$D:$D))</f>
        <v/>
      </c>
      <c r="G5" s="4">
        <f>IF(B5="","",IF(AND(E5&gt;=55,F5&gt;=24),"S",IF(AND(E5&gt;=35,F5&gt;=14),"A",IF(E5&gt;=17,"B","Допса"))))</f>
        <v/>
      </c>
      <c r="H5" s="3" t="n"/>
      <c r="I5" s="3" t="n"/>
    </row>
    <row r="6">
      <c r="A6" s="3" t="inlineStr">
        <is>
          <t>Артём</t>
        </is>
      </c>
      <c r="B6" s="4" t="inlineStr">
        <is>
          <t>Студент1.3</t>
        </is>
      </c>
      <c r="C6" s="4" t="inlineStr"/>
      <c r="D6" s="3" t="inlineStr">
        <is>
          <t>Да</t>
        </is>
      </c>
      <c r="E6" s="3">
        <f>IF(B6="","",SUMIF('Логи'!$A$4:$A$3006,B6,'Логи'!$H$4:$H$3006))</f>
        <v/>
      </c>
      <c r="F6" s="3">
        <f>IF(B6="","",SUMIF('CW'!$A:$A,B6,'CW'!$D:$D))</f>
        <v/>
      </c>
      <c r="G6" s="4">
        <f>IF(B6="","",IF(AND(E6&gt;=55,F6&gt;=24),"S",IF(AND(E6&gt;=35,F6&gt;=14),"A",IF(E6&gt;=17,"B","Допса"))))</f>
        <v/>
      </c>
      <c r="H6" s="3" t="n"/>
      <c r="I6" s="3" t="n"/>
    </row>
    <row r="7">
      <c r="A7" s="3" t="inlineStr">
        <is>
          <t>Артём</t>
        </is>
      </c>
      <c r="B7" s="4" t="inlineStr">
        <is>
          <t>Студент1.4</t>
        </is>
      </c>
      <c r="C7" s="4" t="inlineStr"/>
      <c r="D7" s="3" t="inlineStr">
        <is>
          <t>Да</t>
        </is>
      </c>
      <c r="E7" s="3">
        <f>IF(B7="","",SUMIF('Логи'!$A$4:$A$3006,B7,'Логи'!$H$4:$H$3006))</f>
        <v/>
      </c>
      <c r="F7" s="3">
        <f>IF(B7="","",SUMIF('CW'!$A:$A,B7,'CW'!$D:$D))</f>
        <v/>
      </c>
      <c r="G7" s="4">
        <f>IF(B7="","",IF(AND(E7&gt;=55,F7&gt;=24),"S",IF(AND(E7&gt;=35,F7&gt;=14),"A",IF(E7&gt;=17,"B","Допса"))))</f>
        <v/>
      </c>
      <c r="H7" s="3" t="n"/>
      <c r="I7" s="3" t="n"/>
    </row>
    <row r="8">
      <c r="A8" s="3" t="inlineStr">
        <is>
          <t>Артём</t>
        </is>
      </c>
      <c r="B8" s="4" t="inlineStr">
        <is>
          <t>Студент1.5</t>
        </is>
      </c>
      <c r="C8" s="4" t="inlineStr"/>
      <c r="D8" s="3" t="inlineStr">
        <is>
          <t>Да</t>
        </is>
      </c>
      <c r="E8" s="3">
        <f>IF(B8="","",SUMIF('Логи'!$A$4:$A$3006,B8,'Логи'!$H$4:$H$3006))</f>
        <v/>
      </c>
      <c r="F8" s="3">
        <f>IF(B8="","",SUMIF('CW'!$A:$A,B8,'CW'!$D:$D))</f>
        <v/>
      </c>
      <c r="G8" s="4">
        <f>IF(B8="","",IF(AND(E8&gt;=55,F8&gt;=24),"S",IF(AND(E8&gt;=35,F8&gt;=14),"A",IF(E8&gt;=17,"B","Допса"))))</f>
        <v/>
      </c>
      <c r="H8" s="3" t="n"/>
      <c r="I8" s="3" t="n"/>
    </row>
    <row r="9">
      <c r="A9" s="3" t="inlineStr">
        <is>
          <t>Артём</t>
        </is>
      </c>
      <c r="B9" s="4" t="inlineStr">
        <is>
          <t>Студент1.6</t>
        </is>
      </c>
      <c r="C9" s="4" t="inlineStr"/>
      <c r="D9" s="3" t="inlineStr">
        <is>
          <t>Да</t>
        </is>
      </c>
      <c r="E9" s="3">
        <f>IF(B9="","",SUMIF('Логи'!$A$4:$A$3006,B9,'Логи'!$H$4:$H$3006))</f>
        <v/>
      </c>
      <c r="F9" s="3">
        <f>IF(B9="","",SUMIF('CW'!$A:$A,B9,'CW'!$D:$D))</f>
        <v/>
      </c>
      <c r="G9" s="4">
        <f>IF(B9="","",IF(AND(E9&gt;=55,F9&gt;=24),"S",IF(AND(E9&gt;=35,F9&gt;=14),"A",IF(E9&gt;=17,"B","Допса"))))</f>
        <v/>
      </c>
      <c r="H9" s="3" t="n"/>
      <c r="I9" s="3" t="n"/>
    </row>
    <row r="10">
      <c r="A10" s="3" t="inlineStr">
        <is>
          <t>Артём</t>
        </is>
      </c>
      <c r="B10" s="4" t="inlineStr">
        <is>
          <t>Студент1.7</t>
        </is>
      </c>
      <c r="C10" s="4" t="inlineStr"/>
      <c r="D10" s="3" t="inlineStr">
        <is>
          <t>Да</t>
        </is>
      </c>
      <c r="E10" s="3">
        <f>IF(B10="","",SUMIF('Логи'!$A$4:$A$3006,B10,'Логи'!$H$4:$H$3006))</f>
        <v/>
      </c>
      <c r="F10" s="3">
        <f>IF(B10="","",SUMIF('CW'!$A:$A,B10,'CW'!$D:$D))</f>
        <v/>
      </c>
      <c r="G10" s="4">
        <f>IF(B10="","",IF(AND(E10&gt;=55,F10&gt;=24),"S",IF(AND(E10&gt;=35,F10&gt;=14),"A",IF(E10&gt;=17,"B","Допса"))))</f>
        <v/>
      </c>
      <c r="H10" s="3" t="n"/>
      <c r="I10" s="3" t="n"/>
    </row>
    <row r="11">
      <c r="A11" s="3" t="inlineStr">
        <is>
          <t>Артём</t>
        </is>
      </c>
      <c r="B11" s="4" t="inlineStr">
        <is>
          <t>Студент1.8</t>
        </is>
      </c>
      <c r="C11" s="4" t="inlineStr"/>
      <c r="D11" s="3" t="inlineStr">
        <is>
          <t>Да</t>
        </is>
      </c>
      <c r="E11" s="3">
        <f>IF(B11="","",SUMIF('Логи'!$A$4:$A$3006,B11,'Логи'!$H$4:$H$3006))</f>
        <v/>
      </c>
      <c r="F11" s="3">
        <f>IF(B11="","",SUMIF('CW'!$A:$A,B11,'CW'!$D:$D))</f>
        <v/>
      </c>
      <c r="G11" s="4">
        <f>IF(B11="","",IF(AND(E11&gt;=55,F11&gt;=24),"S",IF(AND(E11&gt;=35,F11&gt;=14),"A",IF(E11&gt;=17,"B","Допса"))))</f>
        <v/>
      </c>
      <c r="H11" s="3" t="n"/>
      <c r="I11" s="3" t="n"/>
    </row>
    <row r="12">
      <c r="A12" s="3" t="inlineStr">
        <is>
          <t>Артём</t>
        </is>
      </c>
      <c r="B12" s="4" t="inlineStr">
        <is>
          <t>Студент1.9</t>
        </is>
      </c>
      <c r="C12" s="4" t="inlineStr"/>
      <c r="D12" s="3" t="inlineStr">
        <is>
          <t>Да</t>
        </is>
      </c>
      <c r="E12" s="3">
        <f>IF(B12="","",SUMIF('Логи'!$A$4:$A$3006,B12,'Логи'!$H$4:$H$3006))</f>
        <v/>
      </c>
      <c r="F12" s="3">
        <f>IF(B12="","",SUMIF('CW'!$A:$A,B12,'CW'!$D:$D))</f>
        <v/>
      </c>
      <c r="G12" s="4">
        <f>IF(B12="","",IF(AND(E12&gt;=55,F12&gt;=24),"S",IF(AND(E12&gt;=35,F12&gt;=14),"A",IF(E12&gt;=17,"B","Допса"))))</f>
        <v/>
      </c>
      <c r="H12" s="3" t="n"/>
      <c r="I12" s="3" t="n"/>
    </row>
    <row r="13">
      <c r="A13" s="3" t="inlineStr">
        <is>
          <t>Артём</t>
        </is>
      </c>
      <c r="B13" s="4" t="inlineStr">
        <is>
          <t>Студент1.10</t>
        </is>
      </c>
      <c r="C13" s="4" t="inlineStr"/>
      <c r="D13" s="3" t="inlineStr">
        <is>
          <t>Да</t>
        </is>
      </c>
      <c r="E13" s="3">
        <f>IF(B13="","",SUMIF('Логи'!$A$4:$A$3006,B13,'Логи'!$H$4:$H$3006))</f>
        <v/>
      </c>
      <c r="F13" s="3">
        <f>IF(B13="","",SUMIF('CW'!$A:$A,B13,'CW'!$D:$D))</f>
        <v/>
      </c>
      <c r="G13" s="4">
        <f>IF(B13="","",IF(AND(E13&gt;=55,F13&gt;=24),"S",IF(AND(E13&gt;=35,F13&gt;=14),"A",IF(E13&gt;=17,"B","Допса"))))</f>
        <v/>
      </c>
      <c r="H13" s="3" t="n"/>
      <c r="I13" s="3" t="n"/>
    </row>
    <row r="14">
      <c r="A14" s="3" t="inlineStr">
        <is>
          <t>Артём</t>
        </is>
      </c>
      <c r="B14" s="4" t="inlineStr">
        <is>
          <t>Студент1.11</t>
        </is>
      </c>
      <c r="C14" s="4" t="inlineStr"/>
      <c r="D14" s="3" t="inlineStr">
        <is>
          <t>Да</t>
        </is>
      </c>
      <c r="E14" s="3">
        <f>IF(B14="","",SUMIF('Логи'!$A$4:$A$3006,B14,'Логи'!$H$4:$H$3006))</f>
        <v/>
      </c>
      <c r="F14" s="3">
        <f>IF(B14="","",SUMIF('CW'!$A:$A,B14,'CW'!$D:$D))</f>
        <v/>
      </c>
      <c r="G14" s="4">
        <f>IF(B14="","",IF(AND(E14&gt;=55,F14&gt;=24),"S",IF(AND(E14&gt;=35,F14&gt;=14),"A",IF(E14&gt;=17,"B","Допса"))))</f>
        <v/>
      </c>
      <c r="H14" s="3" t="n"/>
      <c r="I14" s="3" t="n"/>
    </row>
    <row r="15">
      <c r="A15" s="3" t="inlineStr">
        <is>
          <t>Артём</t>
        </is>
      </c>
      <c r="B15" s="4" t="inlineStr">
        <is>
          <t>Студент1.12</t>
        </is>
      </c>
      <c r="C15" s="4" t="inlineStr"/>
      <c r="D15" s="3" t="inlineStr">
        <is>
          <t>Да</t>
        </is>
      </c>
      <c r="E15" s="3">
        <f>IF(B15="","",SUMIF('Логи'!$A$4:$A$3006,B15,'Логи'!$H$4:$H$3006))</f>
        <v/>
      </c>
      <c r="F15" s="3">
        <f>IF(B15="","",SUMIF('CW'!$A:$A,B15,'CW'!$D:$D))</f>
        <v/>
      </c>
      <c r="G15" s="4">
        <f>IF(B15="","",IF(AND(E15&gt;=55,F15&gt;=24),"S",IF(AND(E15&gt;=35,F15&gt;=14),"A",IF(E15&gt;=17,"B","Допса"))))</f>
        <v/>
      </c>
      <c r="H15" s="3" t="n"/>
      <c r="I15" s="3" t="n"/>
    </row>
    <row r="16">
      <c r="A16" s="3" t="inlineStr">
        <is>
          <t>Артём</t>
        </is>
      </c>
      <c r="B16" s="4" t="inlineStr">
        <is>
          <t>Студент1.13</t>
        </is>
      </c>
      <c r="C16" s="4" t="inlineStr"/>
      <c r="D16" s="3" t="inlineStr">
        <is>
          <t>Да</t>
        </is>
      </c>
      <c r="E16" s="3">
        <f>IF(B16="","",SUMIF('Логи'!$A$4:$A$3006,B16,'Логи'!$H$4:$H$3006))</f>
        <v/>
      </c>
      <c r="F16" s="3">
        <f>IF(B16="","",SUMIF('CW'!$A:$A,B16,'CW'!$D:$D))</f>
        <v/>
      </c>
      <c r="G16" s="4">
        <f>IF(B16="","",IF(AND(E16&gt;=55,F16&gt;=24),"S",IF(AND(E16&gt;=35,F16&gt;=14),"A",IF(E16&gt;=17,"B","Допса"))))</f>
        <v/>
      </c>
      <c r="H16" s="3" t="n"/>
      <c r="I16" s="3" t="n"/>
    </row>
    <row r="17">
      <c r="A17" s="3" t="inlineStr">
        <is>
          <t>Артём</t>
        </is>
      </c>
      <c r="B17" s="4" t="inlineStr">
        <is>
          <t>Студент1.14</t>
        </is>
      </c>
      <c r="C17" s="4" t="inlineStr"/>
      <c r="D17" s="3" t="inlineStr">
        <is>
          <t>Да</t>
        </is>
      </c>
      <c r="E17" s="3">
        <f>IF(B17="","",SUMIF('Логи'!$A$4:$A$3006,B17,'Логи'!$H$4:$H$3006))</f>
        <v/>
      </c>
      <c r="F17" s="3">
        <f>IF(B17="","",SUMIF('CW'!$A:$A,B17,'CW'!$D:$D))</f>
        <v/>
      </c>
      <c r="G17" s="4">
        <f>IF(B17="","",IF(AND(E17&gt;=55,F17&gt;=24),"S",IF(AND(E17&gt;=35,F17&gt;=14),"A",IF(E17&gt;=17,"B","Допса"))))</f>
        <v/>
      </c>
      <c r="H17" s="3" t="n"/>
      <c r="I17" s="3" t="n"/>
    </row>
    <row r="18">
      <c r="A18" s="3" t="inlineStr">
        <is>
          <t>Артём</t>
        </is>
      </c>
      <c r="B18" s="4" t="inlineStr">
        <is>
          <t>Студент1.15</t>
        </is>
      </c>
      <c r="C18" s="4" t="inlineStr"/>
      <c r="D18" s="3" t="inlineStr">
        <is>
          <t>Да</t>
        </is>
      </c>
      <c r="E18" s="3">
        <f>IF(B18="","",SUMIF('Логи'!$A$4:$A$3006,B18,'Логи'!$H$4:$H$3006))</f>
        <v/>
      </c>
      <c r="F18" s="3">
        <f>IF(B18="","",SUMIF('CW'!$A:$A,B18,'CW'!$D:$D))</f>
        <v/>
      </c>
      <c r="G18" s="4">
        <f>IF(B18="","",IF(AND(E18&gt;=55,F18&gt;=24),"S",IF(AND(E18&gt;=35,F18&gt;=14),"A",IF(E18&gt;=17,"B","Допса"))))</f>
        <v/>
      </c>
      <c r="H18" s="3" t="n"/>
      <c r="I18" s="3" t="n"/>
    </row>
    <row r="19">
      <c r="A19" s="3" t="inlineStr">
        <is>
          <t>Артём</t>
        </is>
      </c>
      <c r="B19" s="4" t="inlineStr">
        <is>
          <t>Студент1.16</t>
        </is>
      </c>
      <c r="C19" s="4" t="inlineStr"/>
      <c r="D19" s="3" t="inlineStr">
        <is>
          <t>Да</t>
        </is>
      </c>
      <c r="E19" s="3">
        <f>IF(B19="","",SUMIF('Логи'!$A$4:$A$3006,B19,'Логи'!$H$4:$H$3006))</f>
        <v/>
      </c>
      <c r="F19" s="3">
        <f>IF(B19="","",SUMIF('CW'!$A:$A,B19,'CW'!$D:$D))</f>
        <v/>
      </c>
      <c r="G19" s="4">
        <f>IF(B19="","",IF(AND(E19&gt;=55,F19&gt;=24),"S",IF(AND(E19&gt;=35,F19&gt;=14),"A",IF(E19&gt;=17,"B","Допса"))))</f>
        <v/>
      </c>
      <c r="H19" s="3" t="n"/>
      <c r="I19" s="3" t="n"/>
    </row>
    <row r="20">
      <c r="A20" s="3" t="inlineStr">
        <is>
          <t>Артём</t>
        </is>
      </c>
      <c r="B20" s="4" t="inlineStr">
        <is>
          <t>Студент1.17</t>
        </is>
      </c>
      <c r="C20" s="4" t="inlineStr"/>
      <c r="D20" s="3" t="inlineStr">
        <is>
          <t>Да</t>
        </is>
      </c>
      <c r="E20" s="3">
        <f>IF(B20="","",SUMIF('Логи'!$A$4:$A$3006,B20,'Логи'!$H$4:$H$3006))</f>
        <v/>
      </c>
      <c r="F20" s="3">
        <f>IF(B20="","",SUMIF('CW'!$A:$A,B20,'CW'!$D:$D))</f>
        <v/>
      </c>
      <c r="G20" s="4">
        <f>IF(B20="","",IF(AND(E20&gt;=55,F20&gt;=24),"S",IF(AND(E20&gt;=35,F20&gt;=14),"A",IF(E20&gt;=17,"B","Допса"))))</f>
        <v/>
      </c>
      <c r="H20" s="3" t="n"/>
      <c r="I20" s="3" t="n"/>
    </row>
    <row r="21">
      <c r="A21" s="3" t="inlineStr">
        <is>
          <t>Артём</t>
        </is>
      </c>
      <c r="B21" s="4" t="inlineStr">
        <is>
          <t>Студент1.18</t>
        </is>
      </c>
      <c r="C21" s="4" t="inlineStr"/>
      <c r="D21" s="3" t="inlineStr">
        <is>
          <t>Да</t>
        </is>
      </c>
      <c r="E21" s="3">
        <f>IF(B21="","",SUMIF('Логи'!$A$4:$A$3006,B21,'Логи'!$H$4:$H$3006))</f>
        <v/>
      </c>
      <c r="F21" s="3">
        <f>IF(B21="","",SUMIF('CW'!$A:$A,B21,'CW'!$D:$D))</f>
        <v/>
      </c>
      <c r="G21" s="4">
        <f>IF(B21="","",IF(AND(E21&gt;=55,F21&gt;=24),"S",IF(AND(E21&gt;=35,F21&gt;=14),"A",IF(E21&gt;=17,"B","Допса"))))</f>
        <v/>
      </c>
      <c r="H21" s="3" t="n"/>
      <c r="I21" s="3" t="n"/>
    </row>
    <row r="22">
      <c r="A22" s="3" t="inlineStr">
        <is>
          <t>Артём</t>
        </is>
      </c>
      <c r="B22" s="4" t="inlineStr">
        <is>
          <t>Студент1.19</t>
        </is>
      </c>
      <c r="C22" s="4" t="inlineStr"/>
      <c r="D22" s="3" t="inlineStr">
        <is>
          <t>Да</t>
        </is>
      </c>
      <c r="E22" s="3">
        <f>IF(B22="","",SUMIF('Логи'!$A$4:$A$3006,B22,'Логи'!$H$4:$H$3006))</f>
        <v/>
      </c>
      <c r="F22" s="3">
        <f>IF(B22="","",SUMIF('CW'!$A:$A,B22,'CW'!$D:$D))</f>
        <v/>
      </c>
      <c r="G22" s="4">
        <f>IF(B22="","",IF(AND(E22&gt;=55,F22&gt;=24),"S",IF(AND(E22&gt;=35,F22&gt;=14),"A",IF(E22&gt;=17,"B","Допса"))))</f>
        <v/>
      </c>
      <c r="H22" s="3" t="n"/>
      <c r="I22" s="3" t="n"/>
    </row>
    <row r="23">
      <c r="A23" s="3" t="inlineStr">
        <is>
          <t>Артём</t>
        </is>
      </c>
      <c r="B23" s="4" t="inlineStr">
        <is>
          <t>Студент1.20</t>
        </is>
      </c>
      <c r="C23" s="4" t="inlineStr"/>
      <c r="D23" s="3" t="inlineStr">
        <is>
          <t>Да</t>
        </is>
      </c>
      <c r="E23" s="3">
        <f>IF(B23="","",SUMIF('Логи'!$A$4:$A$3006,B23,'Логи'!$H$4:$H$3006))</f>
        <v/>
      </c>
      <c r="F23" s="3">
        <f>IF(B23="","",SUMIF('CW'!$A:$A,B23,'CW'!$D:$D))</f>
        <v/>
      </c>
      <c r="G23" s="4">
        <f>IF(B23="","",IF(AND(E23&gt;=55,F23&gt;=24),"S",IF(AND(E23&gt;=35,F23&gt;=14),"A",IF(E23&gt;=17,"B","Допса"))))</f>
        <v/>
      </c>
      <c r="H23" s="3" t="n"/>
      <c r="I23" s="3" t="n"/>
    </row>
    <row r="24">
      <c r="A24" s="3" t="inlineStr">
        <is>
          <t>Артём</t>
        </is>
      </c>
      <c r="B24" s="4" t="inlineStr">
        <is>
          <t>Студент1.21</t>
        </is>
      </c>
      <c r="C24" s="4" t="inlineStr"/>
      <c r="D24" s="3" t="inlineStr">
        <is>
          <t>Да</t>
        </is>
      </c>
      <c r="E24" s="3">
        <f>IF(B24="","",SUMIF('Логи'!$A$4:$A$3006,B24,'Логи'!$H$4:$H$3006))</f>
        <v/>
      </c>
      <c r="F24" s="3">
        <f>IF(B24="","",SUMIF('CW'!$A:$A,B24,'CW'!$D:$D))</f>
        <v/>
      </c>
      <c r="G24" s="4">
        <f>IF(B24="","",IF(AND(E24&gt;=55,F24&gt;=24),"S",IF(AND(E24&gt;=35,F24&gt;=14),"A",IF(E24&gt;=17,"B","Допса"))))</f>
        <v/>
      </c>
      <c r="H24" s="3" t="n"/>
      <c r="I24" s="3" t="n"/>
    </row>
    <row r="25">
      <c r="A25" s="3" t="inlineStr">
        <is>
          <t>Артём</t>
        </is>
      </c>
      <c r="B25" s="4" t="inlineStr">
        <is>
          <t>Студент1.22</t>
        </is>
      </c>
      <c r="C25" s="4" t="inlineStr"/>
      <c r="D25" s="3" t="inlineStr">
        <is>
          <t>Да</t>
        </is>
      </c>
      <c r="E25" s="3">
        <f>IF(B25="","",SUMIF('Логи'!$A$4:$A$3006,B25,'Логи'!$H$4:$H$3006))</f>
        <v/>
      </c>
      <c r="F25" s="3">
        <f>IF(B25="","",SUMIF('CW'!$A:$A,B25,'CW'!$D:$D))</f>
        <v/>
      </c>
      <c r="G25" s="4">
        <f>IF(B25="","",IF(AND(E25&gt;=55,F25&gt;=24),"S",IF(AND(E25&gt;=35,F25&gt;=14),"A",IF(E25&gt;=17,"B","Допса"))))</f>
        <v/>
      </c>
      <c r="H25" s="3" t="n"/>
      <c r="I25" s="3" t="n"/>
    </row>
    <row r="26">
      <c r="A26" s="3" t="inlineStr">
        <is>
          <t>Артём</t>
        </is>
      </c>
      <c r="B26" s="4" t="inlineStr">
        <is>
          <t>Студент1.23</t>
        </is>
      </c>
      <c r="C26" s="4" t="inlineStr"/>
      <c r="D26" s="3" t="inlineStr">
        <is>
          <t>Да</t>
        </is>
      </c>
      <c r="E26" s="3">
        <f>IF(B26="","",SUMIF('Логи'!$A$4:$A$3006,B26,'Логи'!$H$4:$H$3006))</f>
        <v/>
      </c>
      <c r="F26" s="3">
        <f>IF(B26="","",SUMIF('CW'!$A:$A,B26,'CW'!$D:$D))</f>
        <v/>
      </c>
      <c r="G26" s="4">
        <f>IF(B26="","",IF(AND(E26&gt;=55,F26&gt;=24),"S",IF(AND(E26&gt;=35,F26&gt;=14),"A",IF(E26&gt;=17,"B","Допса"))))</f>
        <v/>
      </c>
      <c r="H26" s="3" t="n"/>
      <c r="I26" s="3" t="n"/>
    </row>
    <row r="27">
      <c r="A27" s="3" t="inlineStr">
        <is>
          <t>Артём</t>
        </is>
      </c>
      <c r="B27" s="4" t="inlineStr">
        <is>
          <t>Студент1.24</t>
        </is>
      </c>
      <c r="C27" s="4" t="inlineStr"/>
      <c r="D27" s="3" t="inlineStr">
        <is>
          <t>Да</t>
        </is>
      </c>
      <c r="E27" s="3">
        <f>IF(B27="","",SUMIF('Логи'!$A$4:$A$3006,B27,'Логи'!$H$4:$H$3006))</f>
        <v/>
      </c>
      <c r="F27" s="3">
        <f>IF(B27="","",SUMIF('CW'!$A:$A,B27,'CW'!$D:$D))</f>
        <v/>
      </c>
      <c r="G27" s="4">
        <f>IF(B27="","",IF(AND(E27&gt;=55,F27&gt;=24),"S",IF(AND(E27&gt;=35,F27&gt;=14),"A",IF(E27&gt;=17,"B","Допса"))))</f>
        <v/>
      </c>
      <c r="H27" s="3" t="n"/>
      <c r="I27" s="3" t="n"/>
    </row>
    <row r="28">
      <c r="A28" s="3" t="inlineStr">
        <is>
          <t>Артём</t>
        </is>
      </c>
      <c r="B28" s="4" t="inlineStr">
        <is>
          <t>Студент1.25</t>
        </is>
      </c>
      <c r="C28" s="4" t="inlineStr"/>
      <c r="D28" s="3" t="inlineStr">
        <is>
          <t>Да</t>
        </is>
      </c>
      <c r="E28" s="3">
        <f>IF(B28="","",SUMIF('Логи'!$A$4:$A$3006,B28,'Логи'!$H$4:$H$3006))</f>
        <v/>
      </c>
      <c r="F28" s="3">
        <f>IF(B28="","",SUMIF('CW'!$A:$A,B28,'CW'!$D:$D))</f>
        <v/>
      </c>
      <c r="G28" s="4">
        <f>IF(B28="","",IF(AND(E28&gt;=55,F28&gt;=24),"S",IF(AND(E28&gt;=35,F28&gt;=14),"A",IF(E28&gt;=17,"B","Допса"))))</f>
        <v/>
      </c>
      <c r="H28" s="3" t="n"/>
      <c r="I28" s="3" t="n"/>
    </row>
    <row r="29">
      <c r="A29" s="3" t="inlineStr">
        <is>
          <t>Артём</t>
        </is>
      </c>
      <c r="B29" s="4" t="inlineStr">
        <is>
          <t>Студент1.26</t>
        </is>
      </c>
      <c r="C29" s="4" t="inlineStr"/>
      <c r="D29" s="3" t="inlineStr">
        <is>
          <t>Да</t>
        </is>
      </c>
      <c r="E29" s="3">
        <f>IF(B29="","",SUMIF('Логи'!$A$4:$A$3006,B29,'Логи'!$H$4:$H$3006))</f>
        <v/>
      </c>
      <c r="F29" s="3">
        <f>IF(B29="","",SUMIF('CW'!$A:$A,B29,'CW'!$D:$D))</f>
        <v/>
      </c>
      <c r="G29" s="4">
        <f>IF(B29="","",IF(AND(E29&gt;=55,F29&gt;=24),"S",IF(AND(E29&gt;=35,F29&gt;=14),"A",IF(E29&gt;=17,"B","Допса"))))</f>
        <v/>
      </c>
      <c r="H29" s="3" t="n"/>
      <c r="I29" s="3" t="n"/>
    </row>
    <row r="30">
      <c r="A30" s="3" t="inlineStr">
        <is>
          <t>Артём</t>
        </is>
      </c>
      <c r="B30" s="4" t="inlineStr">
        <is>
          <t>Студент1.27</t>
        </is>
      </c>
      <c r="C30" s="4" t="inlineStr"/>
      <c r="D30" s="3" t="inlineStr">
        <is>
          <t>Да</t>
        </is>
      </c>
      <c r="E30" s="3">
        <f>IF(B30="","",SUMIF('Логи'!$A$4:$A$3006,B30,'Логи'!$H$4:$H$3006))</f>
        <v/>
      </c>
      <c r="F30" s="3">
        <f>IF(B30="","",SUMIF('CW'!$A:$A,B30,'CW'!$D:$D))</f>
        <v/>
      </c>
      <c r="G30" s="4">
        <f>IF(B30="","",IF(AND(E30&gt;=55,F30&gt;=24),"S",IF(AND(E30&gt;=35,F30&gt;=14),"A",IF(E30&gt;=17,"B","Допса"))))</f>
        <v/>
      </c>
      <c r="H30" s="3" t="n"/>
      <c r="I30" s="3" t="n"/>
    </row>
    <row r="31">
      <c r="A31" s="3" t="inlineStr">
        <is>
          <t>Артём</t>
        </is>
      </c>
      <c r="B31" s="4" t="inlineStr">
        <is>
          <t>Студент1.28</t>
        </is>
      </c>
      <c r="C31" s="4" t="inlineStr"/>
      <c r="D31" s="3" t="inlineStr">
        <is>
          <t>Да</t>
        </is>
      </c>
      <c r="E31" s="3">
        <f>IF(B31="","",SUMIF('Логи'!$A$4:$A$3006,B31,'Логи'!$H$4:$H$3006))</f>
        <v/>
      </c>
      <c r="F31" s="3">
        <f>IF(B31="","",SUMIF('CW'!$A:$A,B31,'CW'!$D:$D))</f>
        <v/>
      </c>
      <c r="G31" s="4">
        <f>IF(B31="","",IF(AND(E31&gt;=55,F31&gt;=24),"S",IF(AND(E31&gt;=35,F31&gt;=14),"A",IF(E31&gt;=17,"B","Допса"))))</f>
        <v/>
      </c>
      <c r="H31" s="3" t="n"/>
      <c r="I31" s="3" t="n"/>
    </row>
    <row r="32">
      <c r="A32" s="3" t="inlineStr">
        <is>
          <t>Артём</t>
        </is>
      </c>
      <c r="B32" s="4" t="inlineStr">
        <is>
          <t>Студент1.29</t>
        </is>
      </c>
      <c r="C32" s="4" t="inlineStr"/>
      <c r="D32" s="3" t="inlineStr">
        <is>
          <t>Да</t>
        </is>
      </c>
      <c r="E32" s="3">
        <f>IF(B32="","",SUMIF('Логи'!$A$4:$A$3006,B32,'Логи'!$H$4:$H$3006))</f>
        <v/>
      </c>
      <c r="F32" s="3">
        <f>IF(B32="","",SUMIF('CW'!$A:$A,B32,'CW'!$D:$D))</f>
        <v/>
      </c>
      <c r="G32" s="4">
        <f>IF(B32="","",IF(AND(E32&gt;=55,F32&gt;=24),"S",IF(AND(E32&gt;=35,F32&gt;=14),"A",IF(E32&gt;=17,"B","Допса"))))</f>
        <v/>
      </c>
      <c r="H32" s="3" t="n"/>
      <c r="I32" s="3" t="n"/>
    </row>
    <row r="33">
      <c r="A33" s="3" t="inlineStr">
        <is>
          <t>Артём</t>
        </is>
      </c>
      <c r="B33" s="4" t="inlineStr">
        <is>
          <t>Студент1.30</t>
        </is>
      </c>
      <c r="C33" s="4" t="inlineStr"/>
      <c r="D33" s="3" t="inlineStr">
        <is>
          <t>Да</t>
        </is>
      </c>
      <c r="E33" s="3">
        <f>IF(B33="","",SUMIF('Логи'!$A$4:$A$3006,B33,'Логи'!$H$4:$H$3006))</f>
        <v/>
      </c>
      <c r="F33" s="3">
        <f>IF(B33="","",SUMIF('CW'!$A:$A,B33,'CW'!$D:$D))</f>
        <v/>
      </c>
      <c r="G33" s="4">
        <f>IF(B33="","",IF(AND(E33&gt;=55,F33&gt;=24),"S",IF(AND(E33&gt;=35,F33&gt;=14),"A",IF(E33&gt;=17,"B","Допса"))))</f>
        <v/>
      </c>
      <c r="H33" s="3" t="n"/>
      <c r="I33" s="3" t="n"/>
    </row>
    <row r="34">
      <c r="A34" s="3" t="inlineStr">
        <is>
          <t>Рами</t>
        </is>
      </c>
      <c r="B34" s="4" t="inlineStr">
        <is>
          <t>Студент2.1</t>
        </is>
      </c>
      <c r="C34" s="4" t="inlineStr"/>
      <c r="D34" s="3" t="inlineStr">
        <is>
          <t>Да</t>
        </is>
      </c>
      <c r="E34" s="3">
        <f>IF(B34="","",SUMIF('Логи'!$A$4:$A$3006,B34,'Логи'!$H$4:$H$3006))</f>
        <v/>
      </c>
      <c r="F34" s="3">
        <f>IF(B34="","",SUMIF('CW'!$A:$A,B34,'CW'!$D:$D))</f>
        <v/>
      </c>
      <c r="G34" s="4">
        <f>IF(B34="","",IF(AND(E34&gt;=55,F34&gt;=24),"S",IF(AND(E34&gt;=35,F34&gt;=14),"A",IF(E34&gt;=17,"B","Допса"))))</f>
        <v/>
      </c>
      <c r="H34" s="3" t="n"/>
      <c r="I34" s="3" t="n"/>
    </row>
    <row r="35">
      <c r="A35" s="3" t="inlineStr">
        <is>
          <t>Рами</t>
        </is>
      </c>
      <c r="B35" s="4" t="inlineStr">
        <is>
          <t>Студент2.2</t>
        </is>
      </c>
      <c r="C35" s="4" t="inlineStr"/>
      <c r="D35" s="3" t="inlineStr">
        <is>
          <t>Да</t>
        </is>
      </c>
      <c r="E35" s="3">
        <f>IF(B35="","",SUMIF('Логи'!$A$4:$A$3006,B35,'Логи'!$H$4:$H$3006))</f>
        <v/>
      </c>
      <c r="F35" s="3">
        <f>IF(B35="","",SUMIF('CW'!$A:$A,B35,'CW'!$D:$D))</f>
        <v/>
      </c>
      <c r="G35" s="4">
        <f>IF(B35="","",IF(AND(E35&gt;=55,F35&gt;=24),"S",IF(AND(E35&gt;=35,F35&gt;=14),"A",IF(E35&gt;=17,"B","Допса"))))</f>
        <v/>
      </c>
      <c r="H35" s="3" t="n"/>
      <c r="I35" s="3" t="n"/>
    </row>
    <row r="36">
      <c r="A36" s="3" t="inlineStr">
        <is>
          <t>Рами</t>
        </is>
      </c>
      <c r="B36" s="4" t="inlineStr">
        <is>
          <t>Студент2.3</t>
        </is>
      </c>
      <c r="C36" s="4" t="inlineStr"/>
      <c r="D36" s="3" t="inlineStr">
        <is>
          <t>Да</t>
        </is>
      </c>
      <c r="E36" s="3">
        <f>IF(B36="","",SUMIF('Логи'!$A$4:$A$3006,B36,'Логи'!$H$4:$H$3006))</f>
        <v/>
      </c>
      <c r="F36" s="3">
        <f>IF(B36="","",SUMIF('CW'!$A:$A,B36,'CW'!$D:$D))</f>
        <v/>
      </c>
      <c r="G36" s="4">
        <f>IF(B36="","",IF(AND(E36&gt;=55,F36&gt;=24),"S",IF(AND(E36&gt;=35,F36&gt;=14),"A",IF(E36&gt;=17,"B","Допса"))))</f>
        <v/>
      </c>
      <c r="H36" s="3" t="n"/>
      <c r="I36" s="3" t="n"/>
    </row>
    <row r="37">
      <c r="A37" s="3" t="inlineStr">
        <is>
          <t>Рами</t>
        </is>
      </c>
      <c r="B37" s="4" t="inlineStr">
        <is>
          <t>Студент2.4</t>
        </is>
      </c>
      <c r="C37" s="4" t="inlineStr"/>
      <c r="D37" s="3" t="inlineStr">
        <is>
          <t>Да</t>
        </is>
      </c>
      <c r="E37" s="3">
        <f>IF(B37="","",SUMIF('Логи'!$A$4:$A$3006,B37,'Логи'!$H$4:$H$3006))</f>
        <v/>
      </c>
      <c r="F37" s="3">
        <f>IF(B37="","",SUMIF('CW'!$A:$A,B37,'CW'!$D:$D))</f>
        <v/>
      </c>
      <c r="G37" s="4">
        <f>IF(B37="","",IF(AND(E37&gt;=55,F37&gt;=24),"S",IF(AND(E37&gt;=35,F37&gt;=14),"A",IF(E37&gt;=17,"B","Допса"))))</f>
        <v/>
      </c>
      <c r="H37" s="3" t="n"/>
      <c r="I37" s="3" t="n"/>
    </row>
    <row r="38">
      <c r="A38" s="3" t="inlineStr">
        <is>
          <t>Рами</t>
        </is>
      </c>
      <c r="B38" s="4" t="inlineStr">
        <is>
          <t>Студент2.5</t>
        </is>
      </c>
      <c r="C38" s="4" t="inlineStr"/>
      <c r="D38" s="3" t="inlineStr">
        <is>
          <t>Да</t>
        </is>
      </c>
      <c r="E38" s="3">
        <f>IF(B38="","",SUMIF('Логи'!$A$4:$A$3006,B38,'Логи'!$H$4:$H$3006))</f>
        <v/>
      </c>
      <c r="F38" s="3">
        <f>IF(B38="","",SUMIF('CW'!$A:$A,B38,'CW'!$D:$D))</f>
        <v/>
      </c>
      <c r="G38" s="4">
        <f>IF(B38="","",IF(AND(E38&gt;=55,F38&gt;=24),"S",IF(AND(E38&gt;=35,F38&gt;=14),"A",IF(E38&gt;=17,"B","Допса"))))</f>
        <v/>
      </c>
      <c r="H38" s="3" t="n"/>
      <c r="I38" s="3" t="n"/>
    </row>
    <row r="39">
      <c r="A39" s="3" t="inlineStr">
        <is>
          <t>Рами</t>
        </is>
      </c>
      <c r="B39" s="4" t="inlineStr">
        <is>
          <t>Студент2.6</t>
        </is>
      </c>
      <c r="C39" s="4" t="inlineStr"/>
      <c r="D39" s="3" t="inlineStr">
        <is>
          <t>Да</t>
        </is>
      </c>
      <c r="E39" s="3">
        <f>IF(B39="","",SUMIF('Логи'!$A$4:$A$3006,B39,'Логи'!$H$4:$H$3006))</f>
        <v/>
      </c>
      <c r="F39" s="3">
        <f>IF(B39="","",SUMIF('CW'!$A:$A,B39,'CW'!$D:$D))</f>
        <v/>
      </c>
      <c r="G39" s="4">
        <f>IF(B39="","",IF(AND(E39&gt;=55,F39&gt;=24),"S",IF(AND(E39&gt;=35,F39&gt;=14),"A",IF(E39&gt;=17,"B","Допса"))))</f>
        <v/>
      </c>
      <c r="H39" s="3" t="n"/>
      <c r="I39" s="3" t="n"/>
    </row>
    <row r="40">
      <c r="A40" s="3" t="inlineStr">
        <is>
          <t>Рами</t>
        </is>
      </c>
      <c r="B40" s="4" t="inlineStr">
        <is>
          <t>Студент2.7</t>
        </is>
      </c>
      <c r="C40" s="4" t="inlineStr"/>
      <c r="D40" s="3" t="inlineStr">
        <is>
          <t>Да</t>
        </is>
      </c>
      <c r="E40" s="3">
        <f>IF(B40="","",SUMIF('Логи'!$A$4:$A$3006,B40,'Логи'!$H$4:$H$3006))</f>
        <v/>
      </c>
      <c r="F40" s="3">
        <f>IF(B40="","",SUMIF('CW'!$A:$A,B40,'CW'!$D:$D))</f>
        <v/>
      </c>
      <c r="G40" s="4">
        <f>IF(B40="","",IF(AND(E40&gt;=55,F40&gt;=24),"S",IF(AND(E40&gt;=35,F40&gt;=14),"A",IF(E40&gt;=17,"B","Допса"))))</f>
        <v/>
      </c>
      <c r="H40" s="3" t="n"/>
      <c r="I40" s="3" t="n"/>
    </row>
    <row r="41">
      <c r="A41" s="3" t="inlineStr">
        <is>
          <t>Рами</t>
        </is>
      </c>
      <c r="B41" s="4" t="inlineStr">
        <is>
          <t>Студент2.8</t>
        </is>
      </c>
      <c r="C41" s="4" t="inlineStr"/>
      <c r="D41" s="3" t="inlineStr">
        <is>
          <t>Да</t>
        </is>
      </c>
      <c r="E41" s="3">
        <f>IF(B41="","",SUMIF('Логи'!$A$4:$A$3006,B41,'Логи'!$H$4:$H$3006))</f>
        <v/>
      </c>
      <c r="F41" s="3">
        <f>IF(B41="","",SUMIF('CW'!$A:$A,B41,'CW'!$D:$D))</f>
        <v/>
      </c>
      <c r="G41" s="4">
        <f>IF(B41="","",IF(AND(E41&gt;=55,F41&gt;=24),"S",IF(AND(E41&gt;=35,F41&gt;=14),"A",IF(E41&gt;=17,"B","Допса"))))</f>
        <v/>
      </c>
      <c r="H41" s="3" t="n"/>
      <c r="I41" s="3" t="n"/>
    </row>
    <row r="42">
      <c r="A42" s="3" t="inlineStr">
        <is>
          <t>Рами</t>
        </is>
      </c>
      <c r="B42" s="4" t="inlineStr">
        <is>
          <t>Студент2.9</t>
        </is>
      </c>
      <c r="C42" s="4" t="inlineStr"/>
      <c r="D42" s="3" t="inlineStr">
        <is>
          <t>Да</t>
        </is>
      </c>
      <c r="E42" s="3">
        <f>IF(B42="","",SUMIF('Логи'!$A$4:$A$3006,B42,'Логи'!$H$4:$H$3006))</f>
        <v/>
      </c>
      <c r="F42" s="3">
        <f>IF(B42="","",SUMIF('CW'!$A:$A,B42,'CW'!$D:$D))</f>
        <v/>
      </c>
      <c r="G42" s="4">
        <f>IF(B42="","",IF(AND(E42&gt;=55,F42&gt;=24),"S",IF(AND(E42&gt;=35,F42&gt;=14),"A",IF(E42&gt;=17,"B","Допса"))))</f>
        <v/>
      </c>
      <c r="H42" s="3" t="n"/>
      <c r="I42" s="3" t="n"/>
    </row>
    <row r="43">
      <c r="A43" s="3" t="inlineStr">
        <is>
          <t>Рами</t>
        </is>
      </c>
      <c r="B43" s="4" t="inlineStr">
        <is>
          <t>Студент2.10</t>
        </is>
      </c>
      <c r="C43" s="4" t="inlineStr"/>
      <c r="D43" s="3" t="inlineStr">
        <is>
          <t>Да</t>
        </is>
      </c>
      <c r="E43" s="3">
        <f>IF(B43="","",SUMIF('Логи'!$A$4:$A$3006,B43,'Логи'!$H$4:$H$3006))</f>
        <v/>
      </c>
      <c r="F43" s="3">
        <f>IF(B43="","",SUMIF('CW'!$A:$A,B43,'CW'!$D:$D))</f>
        <v/>
      </c>
      <c r="G43" s="4">
        <f>IF(B43="","",IF(AND(E43&gt;=55,F43&gt;=24),"S",IF(AND(E43&gt;=35,F43&gt;=14),"A",IF(E43&gt;=17,"B","Допса"))))</f>
        <v/>
      </c>
      <c r="H43" s="3" t="n"/>
      <c r="I43" s="3" t="n"/>
    </row>
    <row r="44">
      <c r="A44" s="3" t="inlineStr">
        <is>
          <t>Рами</t>
        </is>
      </c>
      <c r="B44" s="4" t="inlineStr">
        <is>
          <t>Студент2.11</t>
        </is>
      </c>
      <c r="C44" s="4" t="inlineStr"/>
      <c r="D44" s="3" t="inlineStr">
        <is>
          <t>Да</t>
        </is>
      </c>
      <c r="E44" s="3">
        <f>IF(B44="","",SUMIF('Логи'!$A$4:$A$3006,B44,'Логи'!$H$4:$H$3006))</f>
        <v/>
      </c>
      <c r="F44" s="3">
        <f>IF(B44="","",SUMIF('CW'!$A:$A,B44,'CW'!$D:$D))</f>
        <v/>
      </c>
      <c r="G44" s="4">
        <f>IF(B44="","",IF(AND(E44&gt;=55,F44&gt;=24),"S",IF(AND(E44&gt;=35,F44&gt;=14),"A",IF(E44&gt;=17,"B","Допса"))))</f>
        <v/>
      </c>
      <c r="H44" s="3" t="n"/>
      <c r="I44" s="3" t="n"/>
    </row>
    <row r="45">
      <c r="A45" s="3" t="inlineStr">
        <is>
          <t>Рами</t>
        </is>
      </c>
      <c r="B45" s="4" t="inlineStr">
        <is>
          <t>Студент2.12</t>
        </is>
      </c>
      <c r="C45" s="4" t="inlineStr"/>
      <c r="D45" s="3" t="inlineStr">
        <is>
          <t>Да</t>
        </is>
      </c>
      <c r="E45" s="3">
        <f>IF(B45="","",SUMIF('Логи'!$A$4:$A$3006,B45,'Логи'!$H$4:$H$3006))</f>
        <v/>
      </c>
      <c r="F45" s="3">
        <f>IF(B45="","",SUMIF('CW'!$A:$A,B45,'CW'!$D:$D))</f>
        <v/>
      </c>
      <c r="G45" s="4">
        <f>IF(B45="","",IF(AND(E45&gt;=55,F45&gt;=24),"S",IF(AND(E45&gt;=35,F45&gt;=14),"A",IF(E45&gt;=17,"B","Допса"))))</f>
        <v/>
      </c>
      <c r="H45" s="3" t="n"/>
      <c r="I45" s="3" t="n"/>
    </row>
    <row r="46">
      <c r="A46" s="3" t="inlineStr">
        <is>
          <t>Рами</t>
        </is>
      </c>
      <c r="B46" s="4" t="inlineStr">
        <is>
          <t>Студент2.13</t>
        </is>
      </c>
      <c r="C46" s="4" t="inlineStr"/>
      <c r="D46" s="3" t="inlineStr">
        <is>
          <t>Да</t>
        </is>
      </c>
      <c r="E46" s="3">
        <f>IF(B46="","",SUMIF('Логи'!$A$4:$A$3006,B46,'Логи'!$H$4:$H$3006))</f>
        <v/>
      </c>
      <c r="F46" s="3">
        <f>IF(B46="","",SUMIF('CW'!$A:$A,B46,'CW'!$D:$D))</f>
        <v/>
      </c>
      <c r="G46" s="4">
        <f>IF(B46="","",IF(AND(E46&gt;=55,F46&gt;=24),"S",IF(AND(E46&gt;=35,F46&gt;=14),"A",IF(E46&gt;=17,"B","Допса"))))</f>
        <v/>
      </c>
      <c r="H46" s="3" t="n"/>
      <c r="I46" s="3" t="n"/>
    </row>
    <row r="47">
      <c r="A47" s="3" t="inlineStr">
        <is>
          <t>Рами</t>
        </is>
      </c>
      <c r="B47" s="4" t="inlineStr">
        <is>
          <t>Студент2.14</t>
        </is>
      </c>
      <c r="C47" s="4" t="inlineStr"/>
      <c r="D47" s="3" t="inlineStr">
        <is>
          <t>Да</t>
        </is>
      </c>
      <c r="E47" s="3">
        <f>IF(B47="","",SUMIF('Логи'!$A$4:$A$3006,B47,'Логи'!$H$4:$H$3006))</f>
        <v/>
      </c>
      <c r="F47" s="3">
        <f>IF(B47="","",SUMIF('CW'!$A:$A,B47,'CW'!$D:$D))</f>
        <v/>
      </c>
      <c r="G47" s="4">
        <f>IF(B47="","",IF(AND(E47&gt;=55,F47&gt;=24),"S",IF(AND(E47&gt;=35,F47&gt;=14),"A",IF(E47&gt;=17,"B","Допса"))))</f>
        <v/>
      </c>
      <c r="H47" s="3" t="n"/>
      <c r="I47" s="3" t="n"/>
    </row>
    <row r="48">
      <c r="A48" s="3" t="inlineStr">
        <is>
          <t>Рами</t>
        </is>
      </c>
      <c r="B48" s="4" t="inlineStr">
        <is>
          <t>Студент2.15</t>
        </is>
      </c>
      <c r="C48" s="4" t="inlineStr"/>
      <c r="D48" s="3" t="inlineStr">
        <is>
          <t>Да</t>
        </is>
      </c>
      <c r="E48" s="3">
        <f>IF(B48="","",SUMIF('Логи'!$A$4:$A$3006,B48,'Логи'!$H$4:$H$3006))</f>
        <v/>
      </c>
      <c r="F48" s="3">
        <f>IF(B48="","",SUMIF('CW'!$A:$A,B48,'CW'!$D:$D))</f>
        <v/>
      </c>
      <c r="G48" s="4">
        <f>IF(B48="","",IF(AND(E48&gt;=55,F48&gt;=24),"S",IF(AND(E48&gt;=35,F48&gt;=14),"A",IF(E48&gt;=17,"B","Допса"))))</f>
        <v/>
      </c>
      <c r="H48" s="3" t="n"/>
      <c r="I48" s="3" t="n"/>
    </row>
    <row r="49">
      <c r="A49" s="3" t="inlineStr">
        <is>
          <t>Рами</t>
        </is>
      </c>
      <c r="B49" s="4" t="inlineStr">
        <is>
          <t>Студент2.16</t>
        </is>
      </c>
      <c r="C49" s="4" t="inlineStr"/>
      <c r="D49" s="3" t="inlineStr">
        <is>
          <t>Да</t>
        </is>
      </c>
      <c r="E49" s="3">
        <f>IF(B49="","",SUMIF('Логи'!$A$4:$A$3006,B49,'Логи'!$H$4:$H$3006))</f>
        <v/>
      </c>
      <c r="F49" s="3">
        <f>IF(B49="","",SUMIF('CW'!$A:$A,B49,'CW'!$D:$D))</f>
        <v/>
      </c>
      <c r="G49" s="4">
        <f>IF(B49="","",IF(AND(E49&gt;=55,F49&gt;=24),"S",IF(AND(E49&gt;=35,F49&gt;=14),"A",IF(E49&gt;=17,"B","Допса"))))</f>
        <v/>
      </c>
      <c r="H49" s="3" t="n"/>
      <c r="I49" s="3" t="n"/>
    </row>
    <row r="50">
      <c r="A50" s="3" t="inlineStr">
        <is>
          <t>Рами</t>
        </is>
      </c>
      <c r="B50" s="4" t="inlineStr">
        <is>
          <t>Студент2.17</t>
        </is>
      </c>
      <c r="C50" s="4" t="inlineStr"/>
      <c r="D50" s="3" t="inlineStr">
        <is>
          <t>Да</t>
        </is>
      </c>
      <c r="E50" s="3">
        <f>IF(B50="","",SUMIF('Логи'!$A$4:$A$3006,B50,'Логи'!$H$4:$H$3006))</f>
        <v/>
      </c>
      <c r="F50" s="3">
        <f>IF(B50="","",SUMIF('CW'!$A:$A,B50,'CW'!$D:$D))</f>
        <v/>
      </c>
      <c r="G50" s="4">
        <f>IF(B50="","",IF(AND(E50&gt;=55,F50&gt;=24),"S",IF(AND(E50&gt;=35,F50&gt;=14),"A",IF(E50&gt;=17,"B","Допса"))))</f>
        <v/>
      </c>
      <c r="H50" s="3" t="n"/>
      <c r="I50" s="3" t="n"/>
    </row>
    <row r="51">
      <c r="A51" s="3" t="inlineStr">
        <is>
          <t>Рами</t>
        </is>
      </c>
      <c r="B51" s="4" t="inlineStr">
        <is>
          <t>Студент2.18</t>
        </is>
      </c>
      <c r="C51" s="4" t="inlineStr"/>
      <c r="D51" s="3" t="inlineStr">
        <is>
          <t>Да</t>
        </is>
      </c>
      <c r="E51" s="3">
        <f>IF(B51="","",SUMIF('Логи'!$A$4:$A$3006,B51,'Логи'!$H$4:$H$3006))</f>
        <v/>
      </c>
      <c r="F51" s="3">
        <f>IF(B51="","",SUMIF('CW'!$A:$A,B51,'CW'!$D:$D))</f>
        <v/>
      </c>
      <c r="G51" s="4">
        <f>IF(B51="","",IF(AND(E51&gt;=55,F51&gt;=24),"S",IF(AND(E51&gt;=35,F51&gt;=14),"A",IF(E51&gt;=17,"B","Допса"))))</f>
        <v/>
      </c>
      <c r="H51" s="3" t="n"/>
      <c r="I51" s="3" t="n"/>
    </row>
    <row r="52">
      <c r="A52" s="3" t="inlineStr">
        <is>
          <t>Рами</t>
        </is>
      </c>
      <c r="B52" s="4" t="inlineStr">
        <is>
          <t>Студент2.19</t>
        </is>
      </c>
      <c r="C52" s="4" t="inlineStr"/>
      <c r="D52" s="3" t="inlineStr">
        <is>
          <t>Да</t>
        </is>
      </c>
      <c r="E52" s="3">
        <f>IF(B52="","",SUMIF('Логи'!$A$4:$A$3006,B52,'Логи'!$H$4:$H$3006))</f>
        <v/>
      </c>
      <c r="F52" s="3">
        <f>IF(B52="","",SUMIF('CW'!$A:$A,B52,'CW'!$D:$D))</f>
        <v/>
      </c>
      <c r="G52" s="4">
        <f>IF(B52="","",IF(AND(E52&gt;=55,F52&gt;=24),"S",IF(AND(E52&gt;=35,F52&gt;=14),"A",IF(E52&gt;=17,"B","Допса"))))</f>
        <v/>
      </c>
      <c r="H52" s="3" t="n"/>
      <c r="I52" s="3" t="n"/>
    </row>
    <row r="53">
      <c r="A53" s="3" t="inlineStr">
        <is>
          <t>Рами</t>
        </is>
      </c>
      <c r="B53" s="4" t="inlineStr">
        <is>
          <t>Студент2.20</t>
        </is>
      </c>
      <c r="C53" s="4" t="inlineStr"/>
      <c r="D53" s="3" t="inlineStr">
        <is>
          <t>Да</t>
        </is>
      </c>
      <c r="E53" s="3">
        <f>IF(B53="","",SUMIF('Логи'!$A$4:$A$3006,B53,'Логи'!$H$4:$H$3006))</f>
        <v/>
      </c>
      <c r="F53" s="3">
        <f>IF(B53="","",SUMIF('CW'!$A:$A,B53,'CW'!$D:$D))</f>
        <v/>
      </c>
      <c r="G53" s="4">
        <f>IF(B53="","",IF(AND(E53&gt;=55,F53&gt;=24),"S",IF(AND(E53&gt;=35,F53&gt;=14),"A",IF(E53&gt;=17,"B","Допса"))))</f>
        <v/>
      </c>
      <c r="H53" s="3" t="n"/>
      <c r="I53" s="3" t="n"/>
    </row>
    <row r="54">
      <c r="A54" s="3" t="inlineStr">
        <is>
          <t>Рами</t>
        </is>
      </c>
      <c r="B54" s="4" t="inlineStr">
        <is>
          <t>Студент2.21</t>
        </is>
      </c>
      <c r="C54" s="4" t="inlineStr"/>
      <c r="D54" s="3" t="inlineStr">
        <is>
          <t>Да</t>
        </is>
      </c>
      <c r="E54" s="3">
        <f>IF(B54="","",SUMIF('Логи'!$A$4:$A$3006,B54,'Логи'!$H$4:$H$3006))</f>
        <v/>
      </c>
      <c r="F54" s="3">
        <f>IF(B54="","",SUMIF('CW'!$A:$A,B54,'CW'!$D:$D))</f>
        <v/>
      </c>
      <c r="G54" s="4">
        <f>IF(B54="","",IF(AND(E54&gt;=55,F54&gt;=24),"S",IF(AND(E54&gt;=35,F54&gt;=14),"A",IF(E54&gt;=17,"B","Допса"))))</f>
        <v/>
      </c>
      <c r="H54" s="3" t="n"/>
      <c r="I54" s="3" t="n"/>
    </row>
    <row r="55">
      <c r="A55" s="3" t="inlineStr">
        <is>
          <t>Рами</t>
        </is>
      </c>
      <c r="B55" s="4" t="inlineStr">
        <is>
          <t>Студент2.22</t>
        </is>
      </c>
      <c r="C55" s="4" t="inlineStr"/>
      <c r="D55" s="3" t="inlineStr">
        <is>
          <t>Да</t>
        </is>
      </c>
      <c r="E55" s="3">
        <f>IF(B55="","",SUMIF('Логи'!$A$4:$A$3006,B55,'Логи'!$H$4:$H$3006))</f>
        <v/>
      </c>
      <c r="F55" s="3">
        <f>IF(B55="","",SUMIF('CW'!$A:$A,B55,'CW'!$D:$D))</f>
        <v/>
      </c>
      <c r="G55" s="4">
        <f>IF(B55="","",IF(AND(E55&gt;=55,F55&gt;=24),"S",IF(AND(E55&gt;=35,F55&gt;=14),"A",IF(E55&gt;=17,"B","Допса"))))</f>
        <v/>
      </c>
      <c r="H55" s="3" t="n"/>
      <c r="I55" s="3" t="n"/>
    </row>
    <row r="56">
      <c r="A56" s="3" t="inlineStr">
        <is>
          <t>Рами</t>
        </is>
      </c>
      <c r="B56" s="4" t="inlineStr">
        <is>
          <t>Студент2.23</t>
        </is>
      </c>
      <c r="C56" s="4" t="inlineStr"/>
      <c r="D56" s="3" t="inlineStr">
        <is>
          <t>Да</t>
        </is>
      </c>
      <c r="E56" s="3">
        <f>IF(B56="","",SUMIF('Логи'!$A$4:$A$3006,B56,'Логи'!$H$4:$H$3006))</f>
        <v/>
      </c>
      <c r="F56" s="3">
        <f>IF(B56="","",SUMIF('CW'!$A:$A,B56,'CW'!$D:$D))</f>
        <v/>
      </c>
      <c r="G56" s="4">
        <f>IF(B56="","",IF(AND(E56&gt;=55,F56&gt;=24),"S",IF(AND(E56&gt;=35,F56&gt;=14),"A",IF(E56&gt;=17,"B","Допса"))))</f>
        <v/>
      </c>
      <c r="H56" s="3" t="n"/>
      <c r="I56" s="3" t="n"/>
    </row>
    <row r="57">
      <c r="A57" s="3" t="inlineStr">
        <is>
          <t>Рами</t>
        </is>
      </c>
      <c r="B57" s="4" t="inlineStr">
        <is>
          <t>Студент2.24</t>
        </is>
      </c>
      <c r="C57" s="4" t="inlineStr"/>
      <c r="D57" s="3" t="inlineStr">
        <is>
          <t>Да</t>
        </is>
      </c>
      <c r="E57" s="3">
        <f>IF(B57="","",SUMIF('Логи'!$A$4:$A$3006,B57,'Логи'!$H$4:$H$3006))</f>
        <v/>
      </c>
      <c r="F57" s="3">
        <f>IF(B57="","",SUMIF('CW'!$A:$A,B57,'CW'!$D:$D))</f>
        <v/>
      </c>
      <c r="G57" s="4">
        <f>IF(B57="","",IF(AND(E57&gt;=55,F57&gt;=24),"S",IF(AND(E57&gt;=35,F57&gt;=14),"A",IF(E57&gt;=17,"B","Допса"))))</f>
        <v/>
      </c>
      <c r="H57" s="3" t="n"/>
      <c r="I57" s="3" t="n"/>
    </row>
    <row r="58">
      <c r="A58" s="3" t="inlineStr">
        <is>
          <t>Рами</t>
        </is>
      </c>
      <c r="B58" s="4" t="inlineStr">
        <is>
          <t>Студент2.25</t>
        </is>
      </c>
      <c r="C58" s="4" t="inlineStr"/>
      <c r="D58" s="3" t="inlineStr">
        <is>
          <t>Да</t>
        </is>
      </c>
      <c r="E58" s="3">
        <f>IF(B58="","",SUMIF('Логи'!$A$4:$A$3006,B58,'Логи'!$H$4:$H$3006))</f>
        <v/>
      </c>
      <c r="F58" s="3">
        <f>IF(B58="","",SUMIF('CW'!$A:$A,B58,'CW'!$D:$D))</f>
        <v/>
      </c>
      <c r="G58" s="4">
        <f>IF(B58="","",IF(AND(E58&gt;=55,F58&gt;=24),"S",IF(AND(E58&gt;=35,F58&gt;=14),"A",IF(E58&gt;=17,"B","Допса"))))</f>
        <v/>
      </c>
      <c r="H58" s="3" t="n"/>
      <c r="I58" s="3" t="n"/>
    </row>
    <row r="59">
      <c r="A59" s="3" t="inlineStr">
        <is>
          <t>Рами</t>
        </is>
      </c>
      <c r="B59" s="4" t="inlineStr">
        <is>
          <t>Студент2.26</t>
        </is>
      </c>
      <c r="C59" s="4" t="inlineStr"/>
      <c r="D59" s="3" t="inlineStr">
        <is>
          <t>Да</t>
        </is>
      </c>
      <c r="E59" s="3">
        <f>IF(B59="","",SUMIF('Логи'!$A$4:$A$3006,B59,'Логи'!$H$4:$H$3006))</f>
        <v/>
      </c>
      <c r="F59" s="3">
        <f>IF(B59="","",SUMIF('CW'!$A:$A,B59,'CW'!$D:$D))</f>
        <v/>
      </c>
      <c r="G59" s="4">
        <f>IF(B59="","",IF(AND(E59&gt;=55,F59&gt;=24),"S",IF(AND(E59&gt;=35,F59&gt;=14),"A",IF(E59&gt;=17,"B","Допса"))))</f>
        <v/>
      </c>
      <c r="H59" s="3" t="n"/>
      <c r="I59" s="3" t="n"/>
    </row>
    <row r="60">
      <c r="A60" s="3" t="inlineStr">
        <is>
          <t>Рами</t>
        </is>
      </c>
      <c r="B60" s="4" t="inlineStr">
        <is>
          <t>Студент2.27</t>
        </is>
      </c>
      <c r="C60" s="4" t="inlineStr"/>
      <c r="D60" s="3" t="inlineStr">
        <is>
          <t>Да</t>
        </is>
      </c>
      <c r="E60" s="3">
        <f>IF(B60="","",SUMIF('Логи'!$A$4:$A$3006,B60,'Логи'!$H$4:$H$3006))</f>
        <v/>
      </c>
      <c r="F60" s="3">
        <f>IF(B60="","",SUMIF('CW'!$A:$A,B60,'CW'!$D:$D))</f>
        <v/>
      </c>
      <c r="G60" s="4">
        <f>IF(B60="","",IF(AND(E60&gt;=55,F60&gt;=24),"S",IF(AND(E60&gt;=35,F60&gt;=14),"A",IF(E60&gt;=17,"B","Допса"))))</f>
        <v/>
      </c>
      <c r="H60" s="3" t="n"/>
      <c r="I60" s="3" t="n"/>
    </row>
    <row r="61">
      <c r="A61" s="3" t="inlineStr">
        <is>
          <t>Рами</t>
        </is>
      </c>
      <c r="B61" s="4" t="inlineStr">
        <is>
          <t>Студент2.28</t>
        </is>
      </c>
      <c r="C61" s="4" t="inlineStr"/>
      <c r="D61" s="3" t="inlineStr">
        <is>
          <t>Да</t>
        </is>
      </c>
      <c r="E61" s="3">
        <f>IF(B61="","",SUMIF('Логи'!$A$4:$A$3006,B61,'Логи'!$H$4:$H$3006))</f>
        <v/>
      </c>
      <c r="F61" s="3">
        <f>IF(B61="","",SUMIF('CW'!$A:$A,B61,'CW'!$D:$D))</f>
        <v/>
      </c>
      <c r="G61" s="4">
        <f>IF(B61="","",IF(AND(E61&gt;=55,F61&gt;=24),"S",IF(AND(E61&gt;=35,F61&gt;=14),"A",IF(E61&gt;=17,"B","Допса"))))</f>
        <v/>
      </c>
      <c r="H61" s="3" t="n"/>
      <c r="I61" s="3" t="n"/>
    </row>
    <row r="62">
      <c r="A62" s="3" t="inlineStr">
        <is>
          <t>Рами</t>
        </is>
      </c>
      <c r="B62" s="4" t="inlineStr">
        <is>
          <t>Студент2.29</t>
        </is>
      </c>
      <c r="C62" s="4" t="inlineStr"/>
      <c r="D62" s="3" t="inlineStr">
        <is>
          <t>Да</t>
        </is>
      </c>
      <c r="E62" s="3">
        <f>IF(B62="","",SUMIF('Логи'!$A$4:$A$3006,B62,'Логи'!$H$4:$H$3006))</f>
        <v/>
      </c>
      <c r="F62" s="3">
        <f>IF(B62="","",SUMIF('CW'!$A:$A,B62,'CW'!$D:$D))</f>
        <v/>
      </c>
      <c r="G62" s="4">
        <f>IF(B62="","",IF(AND(E62&gt;=55,F62&gt;=24),"S",IF(AND(E62&gt;=35,F62&gt;=14),"A",IF(E62&gt;=17,"B","Допса"))))</f>
        <v/>
      </c>
      <c r="H62" s="3" t="n"/>
      <c r="I62" s="3" t="n"/>
    </row>
    <row r="63">
      <c r="A63" s="3" t="inlineStr">
        <is>
          <t>Рами</t>
        </is>
      </c>
      <c r="B63" s="4" t="inlineStr">
        <is>
          <t>Студент2.30</t>
        </is>
      </c>
      <c r="C63" s="4" t="inlineStr"/>
      <c r="D63" s="3" t="inlineStr">
        <is>
          <t>Да</t>
        </is>
      </c>
      <c r="E63" s="3">
        <f>IF(B63="","",SUMIF('Логи'!$A$4:$A$3006,B63,'Логи'!$H$4:$H$3006))</f>
        <v/>
      </c>
      <c r="F63" s="3">
        <f>IF(B63="","",SUMIF('CW'!$A:$A,B63,'CW'!$D:$D))</f>
        <v/>
      </c>
      <c r="G63" s="4">
        <f>IF(B63="","",IF(AND(E63&gt;=55,F63&gt;=24),"S",IF(AND(E63&gt;=35,F63&gt;=14),"A",IF(E63&gt;=17,"B","Допса"))))</f>
        <v/>
      </c>
      <c r="H63" s="3" t="n"/>
      <c r="I63" s="3" t="n"/>
    </row>
    <row r="64">
      <c r="A64" s="3" t="inlineStr">
        <is>
          <t>Немат</t>
        </is>
      </c>
      <c r="B64" s="4" t="inlineStr">
        <is>
          <t>Студент3.1</t>
        </is>
      </c>
      <c r="C64" s="4" t="inlineStr"/>
      <c r="D64" s="3" t="inlineStr">
        <is>
          <t>Да</t>
        </is>
      </c>
      <c r="E64" s="3">
        <f>IF(B64="","",SUMIF('Логи'!$A$4:$A$3006,B64,'Логи'!$H$4:$H$3006))</f>
        <v/>
      </c>
      <c r="F64" s="3">
        <f>IF(B64="","",SUMIF('CW'!$A:$A,B64,'CW'!$D:$D))</f>
        <v/>
      </c>
      <c r="G64" s="4">
        <f>IF(B64="","",IF(AND(E64&gt;=55,F64&gt;=24),"S",IF(AND(E64&gt;=35,F64&gt;=14),"A",IF(E64&gt;=17,"B","Допса"))))</f>
        <v/>
      </c>
      <c r="H64" s="3" t="n"/>
      <c r="I64" s="3" t="n"/>
    </row>
    <row r="65">
      <c r="A65" s="3" t="inlineStr">
        <is>
          <t>Немат</t>
        </is>
      </c>
      <c r="B65" s="4" t="inlineStr">
        <is>
          <t>Студент3.2</t>
        </is>
      </c>
      <c r="C65" s="4" t="inlineStr"/>
      <c r="D65" s="3" t="inlineStr">
        <is>
          <t>Да</t>
        </is>
      </c>
      <c r="E65" s="3">
        <f>IF(B65="","",SUMIF('Логи'!$A$4:$A$3006,B65,'Логи'!$H$4:$H$3006))</f>
        <v/>
      </c>
      <c r="F65" s="3">
        <f>IF(B65="","",SUMIF('CW'!$A:$A,B65,'CW'!$D:$D))</f>
        <v/>
      </c>
      <c r="G65" s="4">
        <f>IF(B65="","",IF(AND(E65&gt;=55,F65&gt;=24),"S",IF(AND(E65&gt;=35,F65&gt;=14),"A",IF(E65&gt;=17,"B","Допса"))))</f>
        <v/>
      </c>
      <c r="H65" s="3" t="n"/>
      <c r="I65" s="3" t="n"/>
    </row>
    <row r="66">
      <c r="A66" s="3" t="inlineStr">
        <is>
          <t>Немат</t>
        </is>
      </c>
      <c r="B66" s="4" t="inlineStr">
        <is>
          <t>Студент3.3</t>
        </is>
      </c>
      <c r="C66" s="4" t="inlineStr"/>
      <c r="D66" s="3" t="inlineStr">
        <is>
          <t>Да</t>
        </is>
      </c>
      <c r="E66" s="3">
        <f>IF(B66="","",SUMIF('Логи'!$A$4:$A$3006,B66,'Логи'!$H$4:$H$3006))</f>
        <v/>
      </c>
      <c r="F66" s="3">
        <f>IF(B66="","",SUMIF('CW'!$A:$A,B66,'CW'!$D:$D))</f>
        <v/>
      </c>
      <c r="G66" s="4">
        <f>IF(B66="","",IF(AND(E66&gt;=55,F66&gt;=24),"S",IF(AND(E66&gt;=35,F66&gt;=14),"A",IF(E66&gt;=17,"B","Допса"))))</f>
        <v/>
      </c>
      <c r="H66" s="3" t="n"/>
      <c r="I66" s="3" t="n"/>
    </row>
    <row r="67">
      <c r="A67" s="3" t="inlineStr">
        <is>
          <t>Немат</t>
        </is>
      </c>
      <c r="B67" s="4" t="inlineStr">
        <is>
          <t>Студент3.4</t>
        </is>
      </c>
      <c r="C67" s="4" t="inlineStr"/>
      <c r="D67" s="3" t="inlineStr">
        <is>
          <t>Да</t>
        </is>
      </c>
      <c r="E67" s="3">
        <f>IF(B67="","",SUMIF('Логи'!$A$4:$A$3006,B67,'Логи'!$H$4:$H$3006))</f>
        <v/>
      </c>
      <c r="F67" s="3">
        <f>IF(B67="","",SUMIF('CW'!$A:$A,B67,'CW'!$D:$D))</f>
        <v/>
      </c>
      <c r="G67" s="4">
        <f>IF(B67="","",IF(AND(E67&gt;=55,F67&gt;=24),"S",IF(AND(E67&gt;=35,F67&gt;=14),"A",IF(E67&gt;=17,"B","Допса"))))</f>
        <v/>
      </c>
      <c r="H67" s="3" t="n"/>
      <c r="I67" s="3" t="n"/>
    </row>
    <row r="68">
      <c r="A68" s="3" t="inlineStr">
        <is>
          <t>Немат</t>
        </is>
      </c>
      <c r="B68" s="4" t="inlineStr">
        <is>
          <t>Студент3.5</t>
        </is>
      </c>
      <c r="C68" s="4" t="inlineStr"/>
      <c r="D68" s="3" t="inlineStr">
        <is>
          <t>Да</t>
        </is>
      </c>
      <c r="E68" s="3">
        <f>IF(B68="","",SUMIF('Логи'!$A$4:$A$3006,B68,'Логи'!$H$4:$H$3006))</f>
        <v/>
      </c>
      <c r="F68" s="3">
        <f>IF(B68="","",SUMIF('CW'!$A:$A,B68,'CW'!$D:$D))</f>
        <v/>
      </c>
      <c r="G68" s="4">
        <f>IF(B68="","",IF(AND(E68&gt;=55,F68&gt;=24),"S",IF(AND(E68&gt;=35,F68&gt;=14),"A",IF(E68&gt;=17,"B","Допса"))))</f>
        <v/>
      </c>
      <c r="H68" s="3" t="n"/>
      <c r="I68" s="3" t="n"/>
    </row>
    <row r="69">
      <c r="A69" s="3" t="inlineStr">
        <is>
          <t>Немат</t>
        </is>
      </c>
      <c r="B69" s="4" t="inlineStr">
        <is>
          <t>Студент3.6</t>
        </is>
      </c>
      <c r="C69" s="4" t="inlineStr"/>
      <c r="D69" s="3" t="inlineStr">
        <is>
          <t>Да</t>
        </is>
      </c>
      <c r="E69" s="3">
        <f>IF(B69="","",SUMIF('Логи'!$A$4:$A$3006,B69,'Логи'!$H$4:$H$3006))</f>
        <v/>
      </c>
      <c r="F69" s="3">
        <f>IF(B69="","",SUMIF('CW'!$A:$A,B69,'CW'!$D:$D))</f>
        <v/>
      </c>
      <c r="G69" s="4">
        <f>IF(B69="","",IF(AND(E69&gt;=55,F69&gt;=24),"S",IF(AND(E69&gt;=35,F69&gt;=14),"A",IF(E69&gt;=17,"B","Допса"))))</f>
        <v/>
      </c>
      <c r="H69" s="3" t="n"/>
      <c r="I69" s="3" t="n"/>
    </row>
    <row r="70">
      <c r="A70" s="3" t="inlineStr">
        <is>
          <t>Немат</t>
        </is>
      </c>
      <c r="B70" s="4" t="inlineStr">
        <is>
          <t>Студент3.7</t>
        </is>
      </c>
      <c r="C70" s="4" t="inlineStr"/>
      <c r="D70" s="3" t="inlineStr">
        <is>
          <t>Да</t>
        </is>
      </c>
      <c r="E70" s="3">
        <f>IF(B70="","",SUMIF('Логи'!$A$4:$A$3006,B70,'Логи'!$H$4:$H$3006))</f>
        <v/>
      </c>
      <c r="F70" s="3">
        <f>IF(B70="","",SUMIF('CW'!$A:$A,B70,'CW'!$D:$D))</f>
        <v/>
      </c>
      <c r="G70" s="4">
        <f>IF(B70="","",IF(AND(E70&gt;=55,F70&gt;=24),"S",IF(AND(E70&gt;=35,F70&gt;=14),"A",IF(E70&gt;=17,"B","Допса"))))</f>
        <v/>
      </c>
      <c r="H70" s="3" t="n"/>
      <c r="I70" s="3" t="n"/>
    </row>
    <row r="71">
      <c r="A71" s="3" t="inlineStr">
        <is>
          <t>Немат</t>
        </is>
      </c>
      <c r="B71" s="4" t="inlineStr">
        <is>
          <t>Студент3.8</t>
        </is>
      </c>
      <c r="C71" s="4" t="inlineStr"/>
      <c r="D71" s="3" t="inlineStr">
        <is>
          <t>Да</t>
        </is>
      </c>
      <c r="E71" s="3">
        <f>IF(B71="","",SUMIF('Логи'!$A$4:$A$3006,B71,'Логи'!$H$4:$H$3006))</f>
        <v/>
      </c>
      <c r="F71" s="3">
        <f>IF(B71="","",SUMIF('CW'!$A:$A,B71,'CW'!$D:$D))</f>
        <v/>
      </c>
      <c r="G71" s="4">
        <f>IF(B71="","",IF(AND(E71&gt;=55,F71&gt;=24),"S",IF(AND(E71&gt;=35,F71&gt;=14),"A",IF(E71&gt;=17,"B","Допса"))))</f>
        <v/>
      </c>
      <c r="H71" s="3" t="n"/>
      <c r="I71" s="3" t="n"/>
    </row>
    <row r="72">
      <c r="A72" s="3" t="inlineStr">
        <is>
          <t>Немат</t>
        </is>
      </c>
      <c r="B72" s="4" t="inlineStr">
        <is>
          <t>Студент3.9</t>
        </is>
      </c>
      <c r="C72" s="4" t="inlineStr"/>
      <c r="D72" s="3" t="inlineStr">
        <is>
          <t>Да</t>
        </is>
      </c>
      <c r="E72" s="3">
        <f>IF(B72="","",SUMIF('Логи'!$A$4:$A$3006,B72,'Логи'!$H$4:$H$3006))</f>
        <v/>
      </c>
      <c r="F72" s="3">
        <f>IF(B72="","",SUMIF('CW'!$A:$A,B72,'CW'!$D:$D))</f>
        <v/>
      </c>
      <c r="G72" s="4">
        <f>IF(B72="","",IF(AND(E72&gt;=55,F72&gt;=24),"S",IF(AND(E72&gt;=35,F72&gt;=14),"A",IF(E72&gt;=17,"B","Допса"))))</f>
        <v/>
      </c>
      <c r="H72" s="3" t="n"/>
      <c r="I72" s="3" t="n"/>
    </row>
    <row r="73">
      <c r="A73" s="3" t="inlineStr">
        <is>
          <t>Немат</t>
        </is>
      </c>
      <c r="B73" s="4" t="inlineStr">
        <is>
          <t>Студент3.10</t>
        </is>
      </c>
      <c r="C73" s="4" t="inlineStr"/>
      <c r="D73" s="3" t="inlineStr">
        <is>
          <t>Да</t>
        </is>
      </c>
      <c r="E73" s="3">
        <f>IF(B73="","",SUMIF('Логи'!$A$4:$A$3006,B73,'Логи'!$H$4:$H$3006))</f>
        <v/>
      </c>
      <c r="F73" s="3">
        <f>IF(B73="","",SUMIF('CW'!$A:$A,B73,'CW'!$D:$D))</f>
        <v/>
      </c>
      <c r="G73" s="4">
        <f>IF(B73="","",IF(AND(E73&gt;=55,F73&gt;=24),"S",IF(AND(E73&gt;=35,F73&gt;=14),"A",IF(E73&gt;=17,"B","Допса"))))</f>
        <v/>
      </c>
      <c r="H73" s="3" t="n"/>
      <c r="I73" s="3" t="n"/>
    </row>
    <row r="74">
      <c r="A74" s="3" t="inlineStr">
        <is>
          <t>Немат</t>
        </is>
      </c>
      <c r="B74" s="4" t="inlineStr">
        <is>
          <t>Студент3.11</t>
        </is>
      </c>
      <c r="C74" s="4" t="inlineStr"/>
      <c r="D74" s="3" t="inlineStr">
        <is>
          <t>Да</t>
        </is>
      </c>
      <c r="E74" s="3">
        <f>IF(B74="","",SUMIF('Логи'!$A$4:$A$3006,B74,'Логи'!$H$4:$H$3006))</f>
        <v/>
      </c>
      <c r="F74" s="3">
        <f>IF(B74="","",SUMIF('CW'!$A:$A,B74,'CW'!$D:$D))</f>
        <v/>
      </c>
      <c r="G74" s="4">
        <f>IF(B74="","",IF(AND(E74&gt;=55,F74&gt;=24),"S",IF(AND(E74&gt;=35,F74&gt;=14),"A",IF(E74&gt;=17,"B","Допса"))))</f>
        <v/>
      </c>
      <c r="H74" s="3" t="n"/>
      <c r="I74" s="3" t="n"/>
    </row>
    <row r="75">
      <c r="A75" s="3" t="inlineStr">
        <is>
          <t>Немат</t>
        </is>
      </c>
      <c r="B75" s="4" t="inlineStr">
        <is>
          <t>Студент3.12</t>
        </is>
      </c>
      <c r="C75" s="4" t="inlineStr"/>
      <c r="D75" s="3" t="inlineStr">
        <is>
          <t>Да</t>
        </is>
      </c>
      <c r="E75" s="3">
        <f>IF(B75="","",SUMIF('Логи'!$A$4:$A$3006,B75,'Логи'!$H$4:$H$3006))</f>
        <v/>
      </c>
      <c r="F75" s="3">
        <f>IF(B75="","",SUMIF('CW'!$A:$A,B75,'CW'!$D:$D))</f>
        <v/>
      </c>
      <c r="G75" s="4">
        <f>IF(B75="","",IF(AND(E75&gt;=55,F75&gt;=24),"S",IF(AND(E75&gt;=35,F75&gt;=14),"A",IF(E75&gt;=17,"B","Допса"))))</f>
        <v/>
      </c>
      <c r="H75" s="3" t="n"/>
      <c r="I75" s="3" t="n"/>
    </row>
    <row r="76">
      <c r="A76" s="3" t="inlineStr">
        <is>
          <t>Немат</t>
        </is>
      </c>
      <c r="B76" s="4" t="inlineStr">
        <is>
          <t>Студент3.13</t>
        </is>
      </c>
      <c r="C76" s="4" t="inlineStr"/>
      <c r="D76" s="3" t="inlineStr">
        <is>
          <t>Да</t>
        </is>
      </c>
      <c r="E76" s="3">
        <f>IF(B76="","",SUMIF('Логи'!$A$4:$A$3006,B76,'Логи'!$H$4:$H$3006))</f>
        <v/>
      </c>
      <c r="F76" s="3">
        <f>IF(B76="","",SUMIF('CW'!$A:$A,B76,'CW'!$D:$D))</f>
        <v/>
      </c>
      <c r="G76" s="4">
        <f>IF(B76="","",IF(AND(E76&gt;=55,F76&gt;=24),"S",IF(AND(E76&gt;=35,F76&gt;=14),"A",IF(E76&gt;=17,"B","Допса"))))</f>
        <v/>
      </c>
      <c r="H76" s="3" t="n"/>
      <c r="I76" s="3" t="n"/>
    </row>
    <row r="77">
      <c r="A77" s="3" t="inlineStr">
        <is>
          <t>Немат</t>
        </is>
      </c>
      <c r="B77" s="4" t="inlineStr">
        <is>
          <t>Студент3.14</t>
        </is>
      </c>
      <c r="C77" s="4" t="inlineStr"/>
      <c r="D77" s="3" t="inlineStr">
        <is>
          <t>Да</t>
        </is>
      </c>
      <c r="E77" s="3">
        <f>IF(B77="","",SUMIF('Логи'!$A$4:$A$3006,B77,'Логи'!$H$4:$H$3006))</f>
        <v/>
      </c>
      <c r="F77" s="3">
        <f>IF(B77="","",SUMIF('CW'!$A:$A,B77,'CW'!$D:$D))</f>
        <v/>
      </c>
      <c r="G77" s="4">
        <f>IF(B77="","",IF(AND(E77&gt;=55,F77&gt;=24),"S",IF(AND(E77&gt;=35,F77&gt;=14),"A",IF(E77&gt;=17,"B","Допса"))))</f>
        <v/>
      </c>
      <c r="H77" s="3" t="n"/>
      <c r="I77" s="3" t="n"/>
    </row>
    <row r="78">
      <c r="A78" s="3" t="inlineStr">
        <is>
          <t>Немат</t>
        </is>
      </c>
      <c r="B78" s="4" t="inlineStr">
        <is>
          <t>Студент3.15</t>
        </is>
      </c>
      <c r="C78" s="4" t="inlineStr"/>
      <c r="D78" s="3" t="inlineStr">
        <is>
          <t>Да</t>
        </is>
      </c>
      <c r="E78" s="3">
        <f>IF(B78="","",SUMIF('Логи'!$A$4:$A$3006,B78,'Логи'!$H$4:$H$3006))</f>
        <v/>
      </c>
      <c r="F78" s="3">
        <f>IF(B78="","",SUMIF('CW'!$A:$A,B78,'CW'!$D:$D))</f>
        <v/>
      </c>
      <c r="G78" s="4">
        <f>IF(B78="","",IF(AND(E78&gt;=55,F78&gt;=24),"S",IF(AND(E78&gt;=35,F78&gt;=14),"A",IF(E78&gt;=17,"B","Допса"))))</f>
        <v/>
      </c>
      <c r="H78" s="3" t="n"/>
      <c r="I78" s="3" t="n"/>
    </row>
    <row r="79">
      <c r="A79" s="3" t="inlineStr">
        <is>
          <t>Немат</t>
        </is>
      </c>
      <c r="B79" s="4" t="inlineStr">
        <is>
          <t>Студент3.16</t>
        </is>
      </c>
      <c r="C79" s="4" t="inlineStr"/>
      <c r="D79" s="3" t="inlineStr">
        <is>
          <t>Да</t>
        </is>
      </c>
      <c r="E79" s="3">
        <f>IF(B79="","",SUMIF('Логи'!$A$4:$A$3006,B79,'Логи'!$H$4:$H$3006))</f>
        <v/>
      </c>
      <c r="F79" s="3">
        <f>IF(B79="","",SUMIF('CW'!$A:$A,B79,'CW'!$D:$D))</f>
        <v/>
      </c>
      <c r="G79" s="4">
        <f>IF(B79="","",IF(AND(E79&gt;=55,F79&gt;=24),"S",IF(AND(E79&gt;=35,F79&gt;=14),"A",IF(E79&gt;=17,"B","Допса"))))</f>
        <v/>
      </c>
      <c r="H79" s="3" t="n"/>
      <c r="I79" s="3" t="n"/>
    </row>
    <row r="80">
      <c r="A80" s="3" t="inlineStr">
        <is>
          <t>Немат</t>
        </is>
      </c>
      <c r="B80" s="4" t="inlineStr">
        <is>
          <t>Студент3.17</t>
        </is>
      </c>
      <c r="C80" s="4" t="inlineStr"/>
      <c r="D80" s="3" t="inlineStr">
        <is>
          <t>Да</t>
        </is>
      </c>
      <c r="E80" s="3">
        <f>IF(B80="","",SUMIF('Логи'!$A$4:$A$3006,B80,'Логи'!$H$4:$H$3006))</f>
        <v/>
      </c>
      <c r="F80" s="3">
        <f>IF(B80="","",SUMIF('CW'!$A:$A,B80,'CW'!$D:$D))</f>
        <v/>
      </c>
      <c r="G80" s="4">
        <f>IF(B80="","",IF(AND(E80&gt;=55,F80&gt;=24),"S",IF(AND(E80&gt;=35,F80&gt;=14),"A",IF(E80&gt;=17,"B","Допса"))))</f>
        <v/>
      </c>
      <c r="H80" s="3" t="n"/>
      <c r="I80" s="3" t="n"/>
    </row>
    <row r="81">
      <c r="A81" s="3" t="inlineStr">
        <is>
          <t>Немат</t>
        </is>
      </c>
      <c r="B81" s="4" t="inlineStr">
        <is>
          <t>Студент3.18</t>
        </is>
      </c>
      <c r="C81" s="4" t="inlineStr"/>
      <c r="D81" s="3" t="inlineStr">
        <is>
          <t>Да</t>
        </is>
      </c>
      <c r="E81" s="3">
        <f>IF(B81="","",SUMIF('Логи'!$A$4:$A$3006,B81,'Логи'!$H$4:$H$3006))</f>
        <v/>
      </c>
      <c r="F81" s="3">
        <f>IF(B81="","",SUMIF('CW'!$A:$A,B81,'CW'!$D:$D))</f>
        <v/>
      </c>
      <c r="G81" s="4">
        <f>IF(B81="","",IF(AND(E81&gt;=55,F81&gt;=24),"S",IF(AND(E81&gt;=35,F81&gt;=14),"A",IF(E81&gt;=17,"B","Допса"))))</f>
        <v/>
      </c>
      <c r="H81" s="3" t="n"/>
      <c r="I81" s="3" t="n"/>
    </row>
    <row r="82">
      <c r="A82" s="3" t="inlineStr">
        <is>
          <t>Немат</t>
        </is>
      </c>
      <c r="B82" s="4" t="inlineStr">
        <is>
          <t>Студент3.19</t>
        </is>
      </c>
      <c r="C82" s="4" t="inlineStr"/>
      <c r="D82" s="3" t="inlineStr">
        <is>
          <t>Да</t>
        </is>
      </c>
      <c r="E82" s="3">
        <f>IF(B82="","",SUMIF('Логи'!$A$4:$A$3006,B82,'Логи'!$H$4:$H$3006))</f>
        <v/>
      </c>
      <c r="F82" s="3">
        <f>IF(B82="","",SUMIF('CW'!$A:$A,B82,'CW'!$D:$D))</f>
        <v/>
      </c>
      <c r="G82" s="4">
        <f>IF(B82="","",IF(AND(E82&gt;=55,F82&gt;=24),"S",IF(AND(E82&gt;=35,F82&gt;=14),"A",IF(E82&gt;=17,"B","Допса"))))</f>
        <v/>
      </c>
      <c r="H82" s="3" t="n"/>
      <c r="I82" s="3" t="n"/>
    </row>
    <row r="83">
      <c r="A83" s="3" t="inlineStr">
        <is>
          <t>Немат</t>
        </is>
      </c>
      <c r="B83" s="4" t="inlineStr">
        <is>
          <t>Студент3.20</t>
        </is>
      </c>
      <c r="C83" s="4" t="inlineStr"/>
      <c r="D83" s="3" t="inlineStr">
        <is>
          <t>Да</t>
        </is>
      </c>
      <c r="E83" s="3">
        <f>IF(B83="","",SUMIF('Логи'!$A$4:$A$3006,B83,'Логи'!$H$4:$H$3006))</f>
        <v/>
      </c>
      <c r="F83" s="3">
        <f>IF(B83="","",SUMIF('CW'!$A:$A,B83,'CW'!$D:$D))</f>
        <v/>
      </c>
      <c r="G83" s="4">
        <f>IF(B83="","",IF(AND(E83&gt;=55,F83&gt;=24),"S",IF(AND(E83&gt;=35,F83&gt;=14),"A",IF(E83&gt;=17,"B","Допса"))))</f>
        <v/>
      </c>
      <c r="H83" s="3" t="n"/>
      <c r="I83" s="3" t="n"/>
    </row>
    <row r="84">
      <c r="A84" s="3" t="inlineStr">
        <is>
          <t>Немат</t>
        </is>
      </c>
      <c r="B84" s="4" t="inlineStr">
        <is>
          <t>Студент3.21</t>
        </is>
      </c>
      <c r="C84" s="4" t="inlineStr"/>
      <c r="D84" s="3" t="inlineStr">
        <is>
          <t>Да</t>
        </is>
      </c>
      <c r="E84" s="3">
        <f>IF(B84="","",SUMIF('Логи'!$A$4:$A$3006,B84,'Логи'!$H$4:$H$3006))</f>
        <v/>
      </c>
      <c r="F84" s="3">
        <f>IF(B84="","",SUMIF('CW'!$A:$A,B84,'CW'!$D:$D))</f>
        <v/>
      </c>
      <c r="G84" s="4">
        <f>IF(B84="","",IF(AND(E84&gt;=55,F84&gt;=24),"S",IF(AND(E84&gt;=35,F84&gt;=14),"A",IF(E84&gt;=17,"B","Допса"))))</f>
        <v/>
      </c>
      <c r="H84" s="3" t="n"/>
      <c r="I84" s="3" t="n"/>
    </row>
    <row r="85">
      <c r="A85" s="3" t="inlineStr">
        <is>
          <t>Немат</t>
        </is>
      </c>
      <c r="B85" s="4" t="inlineStr">
        <is>
          <t>Студент3.22</t>
        </is>
      </c>
      <c r="C85" s="4" t="inlineStr"/>
      <c r="D85" s="3" t="inlineStr">
        <is>
          <t>Да</t>
        </is>
      </c>
      <c r="E85" s="3">
        <f>IF(B85="","",SUMIF('Логи'!$A$4:$A$3006,B85,'Логи'!$H$4:$H$3006))</f>
        <v/>
      </c>
      <c r="F85" s="3">
        <f>IF(B85="","",SUMIF('CW'!$A:$A,B85,'CW'!$D:$D))</f>
        <v/>
      </c>
      <c r="G85" s="4">
        <f>IF(B85="","",IF(AND(E85&gt;=55,F85&gt;=24),"S",IF(AND(E85&gt;=35,F85&gt;=14),"A",IF(E85&gt;=17,"B","Допса"))))</f>
        <v/>
      </c>
      <c r="H85" s="3" t="n"/>
      <c r="I85" s="3" t="n"/>
    </row>
    <row r="86">
      <c r="A86" s="3" t="inlineStr">
        <is>
          <t>Немат</t>
        </is>
      </c>
      <c r="B86" s="4" t="inlineStr">
        <is>
          <t>Студент3.23</t>
        </is>
      </c>
      <c r="C86" s="4" t="inlineStr"/>
      <c r="D86" s="3" t="inlineStr">
        <is>
          <t>Да</t>
        </is>
      </c>
      <c r="E86" s="3">
        <f>IF(B86="","",SUMIF('Логи'!$A$4:$A$3006,B86,'Логи'!$H$4:$H$3006))</f>
        <v/>
      </c>
      <c r="F86" s="3">
        <f>IF(B86="","",SUMIF('CW'!$A:$A,B86,'CW'!$D:$D))</f>
        <v/>
      </c>
      <c r="G86" s="4">
        <f>IF(B86="","",IF(AND(E86&gt;=55,F86&gt;=24),"S",IF(AND(E86&gt;=35,F86&gt;=14),"A",IF(E86&gt;=17,"B","Допса"))))</f>
        <v/>
      </c>
      <c r="H86" s="3" t="n"/>
      <c r="I86" s="3" t="n"/>
    </row>
    <row r="87">
      <c r="A87" s="3" t="inlineStr">
        <is>
          <t>Немат</t>
        </is>
      </c>
      <c r="B87" s="4" t="inlineStr">
        <is>
          <t>Студент3.24</t>
        </is>
      </c>
      <c r="C87" s="4" t="inlineStr"/>
      <c r="D87" s="3" t="inlineStr">
        <is>
          <t>Да</t>
        </is>
      </c>
      <c r="E87" s="3">
        <f>IF(B87="","",SUMIF('Логи'!$A$4:$A$3006,B87,'Логи'!$H$4:$H$3006))</f>
        <v/>
      </c>
      <c r="F87" s="3">
        <f>IF(B87="","",SUMIF('CW'!$A:$A,B87,'CW'!$D:$D))</f>
        <v/>
      </c>
      <c r="G87" s="4">
        <f>IF(B87="","",IF(AND(E87&gt;=55,F87&gt;=24),"S",IF(AND(E87&gt;=35,F87&gt;=14),"A",IF(E87&gt;=17,"B","Допса"))))</f>
        <v/>
      </c>
      <c r="H87" s="3" t="n"/>
      <c r="I87" s="3" t="n"/>
    </row>
    <row r="88">
      <c r="A88" s="3" t="inlineStr">
        <is>
          <t>Немат</t>
        </is>
      </c>
      <c r="B88" s="4" t="inlineStr">
        <is>
          <t>Студент3.25</t>
        </is>
      </c>
      <c r="C88" s="4" t="inlineStr"/>
      <c r="D88" s="3" t="inlineStr">
        <is>
          <t>Да</t>
        </is>
      </c>
      <c r="E88" s="3">
        <f>IF(B88="","",SUMIF('Логи'!$A$4:$A$3006,B88,'Логи'!$H$4:$H$3006))</f>
        <v/>
      </c>
      <c r="F88" s="3">
        <f>IF(B88="","",SUMIF('CW'!$A:$A,B88,'CW'!$D:$D))</f>
        <v/>
      </c>
      <c r="G88" s="4">
        <f>IF(B88="","",IF(AND(E88&gt;=55,F88&gt;=24),"S",IF(AND(E88&gt;=35,F88&gt;=14),"A",IF(E88&gt;=17,"B","Допса"))))</f>
        <v/>
      </c>
      <c r="H88" s="3" t="n"/>
      <c r="I88" s="3" t="n"/>
    </row>
    <row r="89">
      <c r="A89" s="3" t="inlineStr">
        <is>
          <t>Немат</t>
        </is>
      </c>
      <c r="B89" s="4" t="inlineStr">
        <is>
          <t>Студент3.26</t>
        </is>
      </c>
      <c r="C89" s="4" t="inlineStr"/>
      <c r="D89" s="3" t="inlineStr">
        <is>
          <t>Да</t>
        </is>
      </c>
      <c r="E89" s="3">
        <f>IF(B89="","",SUMIF('Логи'!$A$4:$A$3006,B89,'Логи'!$H$4:$H$3006))</f>
        <v/>
      </c>
      <c r="F89" s="3">
        <f>IF(B89="","",SUMIF('CW'!$A:$A,B89,'CW'!$D:$D))</f>
        <v/>
      </c>
      <c r="G89" s="4">
        <f>IF(B89="","",IF(AND(E89&gt;=55,F89&gt;=24),"S",IF(AND(E89&gt;=35,F89&gt;=14),"A",IF(E89&gt;=17,"B","Допса"))))</f>
        <v/>
      </c>
      <c r="H89" s="3" t="n"/>
      <c r="I89" s="3" t="n"/>
    </row>
    <row r="90">
      <c r="A90" s="3" t="inlineStr">
        <is>
          <t>Немат</t>
        </is>
      </c>
      <c r="B90" s="4" t="inlineStr">
        <is>
          <t>Студент3.27</t>
        </is>
      </c>
      <c r="C90" s="4" t="inlineStr"/>
      <c r="D90" s="3" t="inlineStr">
        <is>
          <t>Да</t>
        </is>
      </c>
      <c r="E90" s="3">
        <f>IF(B90="","",SUMIF('Логи'!$A$4:$A$3006,B90,'Логи'!$H$4:$H$3006))</f>
        <v/>
      </c>
      <c r="F90" s="3">
        <f>IF(B90="","",SUMIF('CW'!$A:$A,B90,'CW'!$D:$D))</f>
        <v/>
      </c>
      <c r="G90" s="4">
        <f>IF(B90="","",IF(AND(E90&gt;=55,F90&gt;=24),"S",IF(AND(E90&gt;=35,F90&gt;=14),"A",IF(E90&gt;=17,"B","Допса"))))</f>
        <v/>
      </c>
      <c r="H90" s="3" t="n"/>
      <c r="I90" s="3" t="n"/>
    </row>
    <row r="91">
      <c r="A91" s="3" t="inlineStr">
        <is>
          <t>Немат</t>
        </is>
      </c>
      <c r="B91" s="4" t="inlineStr">
        <is>
          <t>Студент3.28</t>
        </is>
      </c>
      <c r="C91" s="4" t="inlineStr"/>
      <c r="D91" s="3" t="inlineStr">
        <is>
          <t>Да</t>
        </is>
      </c>
      <c r="E91" s="3">
        <f>IF(B91="","",SUMIF('Логи'!$A$4:$A$3006,B91,'Логи'!$H$4:$H$3006))</f>
        <v/>
      </c>
      <c r="F91" s="3">
        <f>IF(B91="","",SUMIF('CW'!$A:$A,B91,'CW'!$D:$D))</f>
        <v/>
      </c>
      <c r="G91" s="4">
        <f>IF(B91="","",IF(AND(E91&gt;=55,F91&gt;=24),"S",IF(AND(E91&gt;=35,F91&gt;=14),"A",IF(E91&gt;=17,"B","Допса"))))</f>
        <v/>
      </c>
      <c r="H91" s="3" t="n"/>
      <c r="I91" s="3" t="n"/>
    </row>
    <row r="92">
      <c r="A92" s="3" t="inlineStr">
        <is>
          <t>Немат</t>
        </is>
      </c>
      <c r="B92" s="4" t="inlineStr">
        <is>
          <t>Студент3.29</t>
        </is>
      </c>
      <c r="C92" s="4" t="inlineStr"/>
      <c r="D92" s="3" t="inlineStr">
        <is>
          <t>Да</t>
        </is>
      </c>
      <c r="E92" s="3">
        <f>IF(B92="","",SUMIF('Логи'!$A$4:$A$3006,B92,'Логи'!$H$4:$H$3006))</f>
        <v/>
      </c>
      <c r="F92" s="3">
        <f>IF(B92="","",SUMIF('CW'!$A:$A,B92,'CW'!$D:$D))</f>
        <v/>
      </c>
      <c r="G92" s="4">
        <f>IF(B92="","",IF(AND(E92&gt;=55,F92&gt;=24),"S",IF(AND(E92&gt;=35,F92&gt;=14),"A",IF(E92&gt;=17,"B","Допса"))))</f>
        <v/>
      </c>
      <c r="H92" s="3" t="n"/>
      <c r="I92" s="3" t="n"/>
    </row>
    <row r="93">
      <c r="A93" s="3" t="inlineStr">
        <is>
          <t>Немат</t>
        </is>
      </c>
      <c r="B93" s="4" t="inlineStr">
        <is>
          <t>Студент3.30</t>
        </is>
      </c>
      <c r="C93" s="4" t="inlineStr"/>
      <c r="D93" s="3" t="inlineStr">
        <is>
          <t>Да</t>
        </is>
      </c>
      <c r="E93" s="3">
        <f>IF(B93="","",SUMIF('Логи'!$A$4:$A$3006,B93,'Логи'!$H$4:$H$3006))</f>
        <v/>
      </c>
      <c r="F93" s="3">
        <f>IF(B93="","",SUMIF('CW'!$A:$A,B93,'CW'!$D:$D))</f>
        <v/>
      </c>
      <c r="G93" s="4">
        <f>IF(B93="","",IF(AND(E93&gt;=55,F93&gt;=24),"S",IF(AND(E93&gt;=35,F93&gt;=14),"A",IF(E93&gt;=17,"B","Допса"))))</f>
        <v/>
      </c>
      <c r="H93" s="3" t="n"/>
      <c r="I93" s="3" t="n"/>
    </row>
  </sheetData>
  <autoFilter ref="A3:I93"/>
  <mergeCells count="2">
    <mergeCell ref="A1:I1"/>
    <mergeCell ref="A2:I2"/>
  </mergeCells>
  <dataValidations count="3">
    <dataValidation sqref="A4:A93" showDropDown="0" showInputMessage="0" showErrorMessage="1" allowBlank="1" errorTitle="Недопустимое значение" error="Выберите практика" type="list" errorStyle="stop">
      <formula1>"Артём,Рами,Немат"</formula1>
    </dataValidation>
    <dataValidation sqref="D4:D93" showDropDown="0" showInputMessage="0" showErrorMessage="1" allowBlank="1" errorTitle="Недопустимое значение" error="Выберите статус студента: Да или Нет" type="list" errorStyle="stop">
      <formula1>"Да,Нет"</formula1>
    </dataValidation>
    <dataValidation sqref="H4:H93" showDropDown="0" showInputMessage="0" showErrorMessage="1" allowBlank="1" errorTitle="Недопустимое значение" error="Выберите категорию экзамена" type="list" errorStyle="stop">
      <formula1>"неуд,уд,хорошо,очень хорошо"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7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2" customWidth="1" min="2" max="2"/>
    <col width="22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  <col width="22" customWidth="1" min="11" max="11"/>
  </cols>
  <sheetData>
    <row r="1">
      <c r="A1" s="5" t="inlineStr">
        <is>
          <t>КР-1</t>
        </is>
      </c>
      <c r="K1" s="6" t="inlineStr">
        <is>
          <t>CW</t>
        </is>
      </c>
    </row>
    <row r="2">
      <c r="D2" t="inlineStr">
        <is>
          <t>W</t>
        </is>
      </c>
      <c r="E2" t="n">
        <v>0.5</v>
      </c>
      <c r="F2" t="n">
        <v>0.5</v>
      </c>
      <c r="G2" t="n">
        <v>1</v>
      </c>
      <c r="H2" t="n">
        <v>1</v>
      </c>
      <c r="I2" t="n">
        <v>2</v>
      </c>
    </row>
    <row r="3" ht="28" customHeight="1">
      <c r="A3" s="7" t="inlineStr">
        <is>
          <t>Имя</t>
        </is>
      </c>
      <c r="B3" s="8" t="inlineStr">
        <is>
          <t>Попытка</t>
        </is>
      </c>
      <c r="C3" s="9" t="inlineStr">
        <is>
          <t>TG</t>
        </is>
      </c>
      <c r="D3" s="10" t="inlineStr">
        <is>
          <t>S</t>
        </is>
      </c>
      <c r="E3" s="11" t="n">
        <v>1</v>
      </c>
      <c r="F3" s="11" t="n">
        <v>2</v>
      </c>
      <c r="G3" s="11" t="n">
        <v>3</v>
      </c>
      <c r="H3" s="11" t="n">
        <v>4</v>
      </c>
      <c r="I3" s="11" t="n">
        <v>5</v>
      </c>
      <c r="J3" s="2" t="n"/>
      <c r="K3" s="2" t="n"/>
    </row>
    <row r="4">
      <c r="A4" s="4" t="inlineStr">
        <is>
          <t>Студент1.1</t>
        </is>
      </c>
      <c r="B4" s="12" t="n"/>
      <c r="C4" s="4" t="inlineStr"/>
      <c r="D4" s="4">
        <f>IF(A4="","",SUMPRODUCT(E4:I4,E$2:I$2))</f>
        <v/>
      </c>
      <c r="E4" s="3" t="n"/>
      <c r="F4" s="3" t="n"/>
      <c r="G4" s="3" t="n"/>
      <c r="H4" s="3" t="n"/>
      <c r="I4" s="3" t="n"/>
      <c r="J4" s="4" t="n"/>
      <c r="K4" s="4" t="n"/>
    </row>
    <row r="5">
      <c r="A5" s="4" t="inlineStr">
        <is>
          <t>Студент1.2</t>
        </is>
      </c>
      <c r="B5" s="12" t="n"/>
      <c r="C5" s="4" t="inlineStr"/>
      <c r="D5" s="4">
        <f>IF(A5="","",SUMPRODUCT(E5:I5,E$2:I$2))</f>
        <v/>
      </c>
      <c r="E5" s="3" t="n"/>
      <c r="F5" s="3" t="n"/>
      <c r="G5" s="3" t="n"/>
      <c r="H5" s="3" t="n"/>
      <c r="I5" s="3" t="n"/>
      <c r="J5" s="4" t="n"/>
      <c r="K5" s="4" t="n"/>
    </row>
    <row r="6">
      <c r="A6" s="4" t="inlineStr">
        <is>
          <t>Студент1.3</t>
        </is>
      </c>
      <c r="B6" s="12" t="n"/>
      <c r="C6" s="4" t="inlineStr"/>
      <c r="D6" s="4">
        <f>IF(A6="","",SUMPRODUCT(E6:I6,E$2:I$2))</f>
        <v/>
      </c>
      <c r="E6" s="3" t="n"/>
      <c r="F6" s="3" t="n"/>
      <c r="G6" s="3" t="n"/>
      <c r="H6" s="3" t="n"/>
      <c r="I6" s="3" t="n"/>
      <c r="J6" s="4" t="n"/>
      <c r="K6" s="4" t="n"/>
    </row>
    <row r="7">
      <c r="A7" s="4" t="inlineStr">
        <is>
          <t>Студент1.4</t>
        </is>
      </c>
      <c r="B7" s="12" t="n"/>
      <c r="C7" s="4" t="inlineStr"/>
      <c r="D7" s="4">
        <f>IF(A7="","",SUMPRODUCT(E7:I7,E$2:I$2))</f>
        <v/>
      </c>
      <c r="E7" s="3" t="n"/>
      <c r="F7" s="3" t="n"/>
      <c r="G7" s="3" t="n"/>
      <c r="H7" s="3" t="n"/>
      <c r="I7" s="3" t="n"/>
      <c r="J7" s="4" t="n"/>
      <c r="K7" s="4" t="n"/>
    </row>
    <row r="8">
      <c r="A8" s="4" t="inlineStr">
        <is>
          <t>Студент1.5</t>
        </is>
      </c>
      <c r="B8" s="12" t="n"/>
      <c r="C8" s="4" t="inlineStr"/>
      <c r="D8" s="4">
        <f>IF(A8="","",SUMPRODUCT(E8:I8,E$2:I$2))</f>
        <v/>
      </c>
      <c r="E8" s="3" t="n"/>
      <c r="F8" s="3" t="n"/>
      <c r="G8" s="3" t="n"/>
      <c r="H8" s="3" t="n"/>
      <c r="I8" s="3" t="n"/>
      <c r="J8" s="4" t="n"/>
      <c r="K8" s="4" t="n"/>
    </row>
    <row r="9">
      <c r="A9" s="4" t="inlineStr">
        <is>
          <t>Студент1.6</t>
        </is>
      </c>
      <c r="B9" s="12" t="n"/>
      <c r="C9" s="4" t="inlineStr"/>
      <c r="D9" s="4">
        <f>IF(A9="","",SUMPRODUCT(E9:I9,E$2:I$2))</f>
        <v/>
      </c>
      <c r="E9" s="3" t="n"/>
      <c r="F9" s="3" t="n"/>
      <c r="G9" s="3" t="n"/>
      <c r="H9" s="3" t="n"/>
      <c r="I9" s="3" t="n"/>
      <c r="J9" s="4" t="n"/>
      <c r="K9" s="4" t="n"/>
    </row>
    <row r="10">
      <c r="A10" s="4" t="inlineStr">
        <is>
          <t>Студент1.7</t>
        </is>
      </c>
      <c r="B10" s="12" t="n"/>
      <c r="C10" s="4" t="inlineStr"/>
      <c r="D10" s="4">
        <f>IF(A10="","",SUMPRODUCT(E10:I10,E$2:I$2))</f>
        <v/>
      </c>
      <c r="E10" s="3" t="n"/>
      <c r="F10" s="3" t="n"/>
      <c r="G10" s="3" t="n"/>
      <c r="H10" s="3" t="n"/>
      <c r="I10" s="3" t="n"/>
      <c r="J10" s="4" t="n"/>
      <c r="K10" s="4" t="n"/>
    </row>
    <row r="11">
      <c r="A11" s="4" t="inlineStr">
        <is>
          <t>Студент1.8</t>
        </is>
      </c>
      <c r="B11" s="12" t="n"/>
      <c r="C11" s="4" t="inlineStr"/>
      <c r="D11" s="4">
        <f>IF(A11="","",SUMPRODUCT(E11:I11,E$2:I$2))</f>
        <v/>
      </c>
      <c r="E11" s="3" t="n"/>
      <c r="F11" s="3" t="n"/>
      <c r="G11" s="3" t="n"/>
      <c r="H11" s="3" t="n"/>
      <c r="I11" s="3" t="n"/>
      <c r="J11" s="4" t="n"/>
      <c r="K11" s="4" t="n"/>
    </row>
    <row r="12">
      <c r="A12" s="4" t="inlineStr">
        <is>
          <t>Студент1.9</t>
        </is>
      </c>
      <c r="B12" s="12" t="n"/>
      <c r="C12" s="4" t="inlineStr"/>
      <c r="D12" s="4">
        <f>IF(A12="","",SUMPRODUCT(E12:I12,E$2:I$2))</f>
        <v/>
      </c>
      <c r="E12" s="3" t="n"/>
      <c r="F12" s="3" t="n"/>
      <c r="G12" s="3" t="n"/>
      <c r="H12" s="3" t="n"/>
      <c r="I12" s="3" t="n"/>
      <c r="J12" s="4" t="n"/>
      <c r="K12" s="4" t="n"/>
    </row>
    <row r="13">
      <c r="A13" s="4" t="inlineStr">
        <is>
          <t>Студент1.10</t>
        </is>
      </c>
      <c r="B13" s="12" t="n"/>
      <c r="C13" s="4" t="inlineStr"/>
      <c r="D13" s="4">
        <f>IF(A13="","",SUMPRODUCT(E13:I13,E$2:I$2))</f>
        <v/>
      </c>
      <c r="E13" s="3" t="n"/>
      <c r="F13" s="3" t="n"/>
      <c r="G13" s="3" t="n"/>
      <c r="H13" s="3" t="n"/>
      <c r="I13" s="3" t="n"/>
      <c r="J13" s="4" t="n"/>
      <c r="K13" s="4" t="n"/>
    </row>
    <row r="14">
      <c r="A14" s="4" t="inlineStr">
        <is>
          <t>Студент1.11</t>
        </is>
      </c>
      <c r="B14" s="12" t="n"/>
      <c r="C14" s="4" t="inlineStr"/>
      <c r="D14" s="4">
        <f>IF(A14="","",SUMPRODUCT(E14:I14,E$2:I$2))</f>
        <v/>
      </c>
      <c r="E14" s="3" t="n"/>
      <c r="F14" s="3" t="n"/>
      <c r="G14" s="3" t="n"/>
      <c r="H14" s="3" t="n"/>
      <c r="I14" s="3" t="n"/>
      <c r="J14" s="4" t="n"/>
      <c r="K14" s="4" t="n"/>
    </row>
    <row r="15">
      <c r="A15" s="4" t="inlineStr">
        <is>
          <t>Студент1.12</t>
        </is>
      </c>
      <c r="B15" s="12" t="n"/>
      <c r="C15" s="4" t="inlineStr"/>
      <c r="D15" s="4">
        <f>IF(A15="","",SUMPRODUCT(E15:I15,E$2:I$2))</f>
        <v/>
      </c>
      <c r="E15" s="3" t="n"/>
      <c r="F15" s="3" t="n"/>
      <c r="G15" s="3" t="n"/>
      <c r="H15" s="3" t="n"/>
      <c r="I15" s="3" t="n"/>
      <c r="J15" s="4" t="n"/>
      <c r="K15" s="4" t="n"/>
    </row>
    <row r="16">
      <c r="A16" s="4" t="inlineStr">
        <is>
          <t>Студент1.13</t>
        </is>
      </c>
      <c r="B16" s="12" t="n"/>
      <c r="C16" s="4" t="inlineStr"/>
      <c r="D16" s="4">
        <f>IF(A16="","",SUMPRODUCT(E16:I16,E$2:I$2))</f>
        <v/>
      </c>
      <c r="E16" s="3" t="n"/>
      <c r="F16" s="3" t="n"/>
      <c r="G16" s="3" t="n"/>
      <c r="H16" s="3" t="n"/>
      <c r="I16" s="3" t="n"/>
      <c r="J16" s="4" t="n"/>
      <c r="K16" s="4" t="n"/>
    </row>
    <row r="17">
      <c r="A17" s="4" t="inlineStr">
        <is>
          <t>Студент1.14</t>
        </is>
      </c>
      <c r="B17" s="12" t="n"/>
      <c r="C17" s="4" t="inlineStr"/>
      <c r="D17" s="4">
        <f>IF(A17="","",SUMPRODUCT(E17:I17,E$2:I$2))</f>
        <v/>
      </c>
      <c r="E17" s="3" t="n"/>
      <c r="F17" s="3" t="n"/>
      <c r="G17" s="3" t="n"/>
      <c r="H17" s="3" t="n"/>
      <c r="I17" s="3" t="n"/>
      <c r="J17" s="4" t="n"/>
      <c r="K17" s="4" t="n"/>
    </row>
    <row r="18">
      <c r="A18" s="4" t="inlineStr">
        <is>
          <t>Студент1.15</t>
        </is>
      </c>
      <c r="B18" s="12" t="n"/>
      <c r="C18" s="4" t="inlineStr"/>
      <c r="D18" s="4">
        <f>IF(A18="","",SUMPRODUCT(E18:I18,E$2:I$2))</f>
        <v/>
      </c>
      <c r="E18" s="3" t="n"/>
      <c r="F18" s="3" t="n"/>
      <c r="G18" s="3" t="n"/>
      <c r="H18" s="3" t="n"/>
      <c r="I18" s="3" t="n"/>
      <c r="J18" s="4" t="n"/>
      <c r="K18" s="4" t="n"/>
    </row>
    <row r="19">
      <c r="A19" s="4" t="inlineStr">
        <is>
          <t>Студент1.16</t>
        </is>
      </c>
      <c r="B19" s="12" t="n"/>
      <c r="C19" s="4" t="inlineStr"/>
      <c r="D19" s="4">
        <f>IF(A19="","",SUMPRODUCT(E19:I19,E$2:I$2))</f>
        <v/>
      </c>
      <c r="E19" s="3" t="n"/>
      <c r="F19" s="3" t="n"/>
      <c r="G19" s="3" t="n"/>
      <c r="H19" s="3" t="n"/>
      <c r="I19" s="3" t="n"/>
      <c r="J19" s="4" t="n"/>
      <c r="K19" s="4" t="n"/>
    </row>
    <row r="20">
      <c r="A20" s="4" t="inlineStr">
        <is>
          <t>Студент1.17</t>
        </is>
      </c>
      <c r="B20" s="12" t="n"/>
      <c r="C20" s="4" t="inlineStr"/>
      <c r="D20" s="4">
        <f>IF(A20="","",SUMPRODUCT(E20:I20,E$2:I$2))</f>
        <v/>
      </c>
      <c r="E20" s="3" t="n"/>
      <c r="F20" s="3" t="n"/>
      <c r="G20" s="3" t="n"/>
      <c r="H20" s="3" t="n"/>
      <c r="I20" s="3" t="n"/>
      <c r="J20" s="4" t="n"/>
      <c r="K20" s="4" t="n"/>
    </row>
    <row r="21">
      <c r="A21" s="4" t="inlineStr">
        <is>
          <t>Студент1.18</t>
        </is>
      </c>
      <c r="B21" s="12" t="n"/>
      <c r="C21" s="4" t="inlineStr"/>
      <c r="D21" s="4">
        <f>IF(A21="","",SUMPRODUCT(E21:I21,E$2:I$2))</f>
        <v/>
      </c>
      <c r="E21" s="3" t="n"/>
      <c r="F21" s="3" t="n"/>
      <c r="G21" s="3" t="n"/>
      <c r="H21" s="3" t="n"/>
      <c r="I21" s="3" t="n"/>
      <c r="J21" s="4" t="n"/>
      <c r="K21" s="4" t="n"/>
    </row>
    <row r="22">
      <c r="A22" s="4" t="inlineStr">
        <is>
          <t>Студент1.19</t>
        </is>
      </c>
      <c r="B22" s="12" t="n"/>
      <c r="C22" s="4" t="inlineStr"/>
      <c r="D22" s="4">
        <f>IF(A22="","",SUMPRODUCT(E22:I22,E$2:I$2))</f>
        <v/>
      </c>
      <c r="E22" s="3" t="n"/>
      <c r="F22" s="3" t="n"/>
      <c r="G22" s="3" t="n"/>
      <c r="H22" s="3" t="n"/>
      <c r="I22" s="3" t="n"/>
      <c r="J22" s="4" t="n"/>
      <c r="K22" s="4" t="n"/>
    </row>
    <row r="23">
      <c r="A23" s="4" t="inlineStr">
        <is>
          <t>Студент1.20</t>
        </is>
      </c>
      <c r="B23" s="12" t="n"/>
      <c r="C23" s="4" t="inlineStr"/>
      <c r="D23" s="4">
        <f>IF(A23="","",SUMPRODUCT(E23:I23,E$2:I$2))</f>
        <v/>
      </c>
      <c r="E23" s="3" t="n"/>
      <c r="F23" s="3" t="n"/>
      <c r="G23" s="3" t="n"/>
      <c r="H23" s="3" t="n"/>
      <c r="I23" s="3" t="n"/>
      <c r="J23" s="4" t="n"/>
      <c r="K23" s="4" t="n"/>
    </row>
    <row r="24">
      <c r="A24" s="4" t="inlineStr">
        <is>
          <t>Студент1.21</t>
        </is>
      </c>
      <c r="B24" s="12" t="n"/>
      <c r="C24" s="4" t="inlineStr"/>
      <c r="D24" s="4">
        <f>IF(A24="","",SUMPRODUCT(E24:I24,E$2:I$2))</f>
        <v/>
      </c>
      <c r="E24" s="3" t="n"/>
      <c r="F24" s="3" t="n"/>
      <c r="G24" s="3" t="n"/>
      <c r="H24" s="3" t="n"/>
      <c r="I24" s="3" t="n"/>
      <c r="J24" s="4" t="n"/>
      <c r="K24" s="4" t="n"/>
    </row>
    <row r="25">
      <c r="A25" s="4" t="inlineStr">
        <is>
          <t>Студент1.22</t>
        </is>
      </c>
      <c r="B25" s="12" t="n"/>
      <c r="C25" s="4" t="inlineStr"/>
      <c r="D25" s="4">
        <f>IF(A25="","",SUMPRODUCT(E25:I25,E$2:I$2))</f>
        <v/>
      </c>
      <c r="E25" s="3" t="n"/>
      <c r="F25" s="3" t="n"/>
      <c r="G25" s="3" t="n"/>
      <c r="H25" s="3" t="n"/>
      <c r="I25" s="3" t="n"/>
      <c r="J25" s="4" t="n"/>
      <c r="K25" s="4" t="n"/>
    </row>
    <row r="26">
      <c r="A26" s="4" t="inlineStr">
        <is>
          <t>Студент1.23</t>
        </is>
      </c>
      <c r="B26" s="12" t="n"/>
      <c r="C26" s="4" t="inlineStr"/>
      <c r="D26" s="4">
        <f>IF(A26="","",SUMPRODUCT(E26:I26,E$2:I$2))</f>
        <v/>
      </c>
      <c r="E26" s="3" t="n"/>
      <c r="F26" s="3" t="n"/>
      <c r="G26" s="3" t="n"/>
      <c r="H26" s="3" t="n"/>
      <c r="I26" s="3" t="n"/>
      <c r="J26" s="4" t="n"/>
      <c r="K26" s="4" t="n"/>
    </row>
    <row r="27">
      <c r="A27" s="4" t="inlineStr">
        <is>
          <t>Студент1.24</t>
        </is>
      </c>
      <c r="B27" s="12" t="n"/>
      <c r="C27" s="4" t="inlineStr"/>
      <c r="D27" s="4">
        <f>IF(A27="","",SUMPRODUCT(E27:I27,E$2:I$2))</f>
        <v/>
      </c>
      <c r="E27" s="3" t="n"/>
      <c r="F27" s="3" t="n"/>
      <c r="G27" s="3" t="n"/>
      <c r="H27" s="3" t="n"/>
      <c r="I27" s="3" t="n"/>
      <c r="J27" s="4" t="n"/>
      <c r="K27" s="4" t="n"/>
    </row>
    <row r="28">
      <c r="A28" s="4" t="inlineStr">
        <is>
          <t>Студент1.25</t>
        </is>
      </c>
      <c r="B28" s="12" t="n"/>
      <c r="C28" s="4" t="inlineStr"/>
      <c r="D28" s="4">
        <f>IF(A28="","",SUMPRODUCT(E28:I28,E$2:I$2))</f>
        <v/>
      </c>
      <c r="E28" s="3" t="n"/>
      <c r="F28" s="3" t="n"/>
      <c r="G28" s="3" t="n"/>
      <c r="H28" s="3" t="n"/>
      <c r="I28" s="3" t="n"/>
      <c r="J28" s="4" t="n"/>
      <c r="K28" s="4" t="n"/>
    </row>
    <row r="29">
      <c r="A29" s="4" t="inlineStr">
        <is>
          <t>Студент1.26</t>
        </is>
      </c>
      <c r="B29" s="12" t="n"/>
      <c r="C29" s="4" t="inlineStr"/>
      <c r="D29" s="4">
        <f>IF(A29="","",SUMPRODUCT(E29:I29,E$2:I$2))</f>
        <v/>
      </c>
      <c r="E29" s="3" t="n"/>
      <c r="F29" s="3" t="n"/>
      <c r="G29" s="3" t="n"/>
      <c r="H29" s="3" t="n"/>
      <c r="I29" s="3" t="n"/>
      <c r="J29" s="4" t="n"/>
      <c r="K29" s="4" t="n"/>
    </row>
    <row r="30">
      <c r="A30" s="4" t="inlineStr">
        <is>
          <t>Студент1.27</t>
        </is>
      </c>
      <c r="B30" s="12" t="n"/>
      <c r="C30" s="4" t="inlineStr"/>
      <c r="D30" s="4">
        <f>IF(A30="","",SUMPRODUCT(E30:I30,E$2:I$2))</f>
        <v/>
      </c>
      <c r="E30" s="3" t="n"/>
      <c r="F30" s="3" t="n"/>
      <c r="G30" s="3" t="n"/>
      <c r="H30" s="3" t="n"/>
      <c r="I30" s="3" t="n"/>
      <c r="J30" s="4" t="n"/>
      <c r="K30" s="4" t="n"/>
    </row>
    <row r="31">
      <c r="A31" s="4" t="inlineStr">
        <is>
          <t>Студент1.28</t>
        </is>
      </c>
      <c r="B31" s="12" t="n"/>
      <c r="C31" s="4" t="inlineStr"/>
      <c r="D31" s="4">
        <f>IF(A31="","",SUMPRODUCT(E31:I31,E$2:I$2))</f>
        <v/>
      </c>
      <c r="E31" s="3" t="n"/>
      <c r="F31" s="3" t="n"/>
      <c r="G31" s="3" t="n"/>
      <c r="H31" s="3" t="n"/>
      <c r="I31" s="3" t="n"/>
      <c r="J31" s="4" t="n"/>
      <c r="K31" s="4" t="n"/>
    </row>
    <row r="32">
      <c r="A32" s="4" t="inlineStr">
        <is>
          <t>Студент1.29</t>
        </is>
      </c>
      <c r="B32" s="12" t="n"/>
      <c r="C32" s="4" t="inlineStr"/>
      <c r="D32" s="4">
        <f>IF(A32="","",SUMPRODUCT(E32:I32,E$2:I$2))</f>
        <v/>
      </c>
      <c r="E32" s="3" t="n"/>
      <c r="F32" s="3" t="n"/>
      <c r="G32" s="3" t="n"/>
      <c r="H32" s="3" t="n"/>
      <c r="I32" s="3" t="n"/>
      <c r="J32" s="4" t="n"/>
      <c r="K32" s="4" t="n"/>
    </row>
    <row r="33">
      <c r="A33" s="4" t="inlineStr">
        <is>
          <t>Студент1.30</t>
        </is>
      </c>
      <c r="B33" s="12" t="n"/>
      <c r="C33" s="4" t="inlineStr"/>
      <c r="D33" s="4">
        <f>IF(A33="","",SUMPRODUCT(E33:I33,E$2:I$2))</f>
        <v/>
      </c>
      <c r="E33" s="3" t="n"/>
      <c r="F33" s="3" t="n"/>
      <c r="G33" s="3" t="n"/>
      <c r="H33" s="3" t="n"/>
      <c r="I33" s="3" t="n"/>
      <c r="J33" s="4" t="n"/>
      <c r="K33" s="4" t="n"/>
    </row>
    <row r="34">
      <c r="A34" s="4" t="inlineStr">
        <is>
          <t>Студент2.1</t>
        </is>
      </c>
      <c r="B34" s="12" t="n"/>
      <c r="C34" s="4" t="inlineStr"/>
      <c r="D34" s="4">
        <f>IF(A34="","",SUMPRODUCT(E34:I34,E$2:I$2))</f>
        <v/>
      </c>
      <c r="E34" s="3" t="n"/>
      <c r="F34" s="3" t="n"/>
      <c r="G34" s="3" t="n"/>
      <c r="H34" s="3" t="n"/>
      <c r="I34" s="3" t="n"/>
      <c r="J34" s="4" t="n"/>
      <c r="K34" s="4" t="n"/>
    </row>
    <row r="35">
      <c r="A35" s="4" t="inlineStr">
        <is>
          <t>Студент2.2</t>
        </is>
      </c>
      <c r="B35" s="12" t="n"/>
      <c r="C35" s="4" t="inlineStr"/>
      <c r="D35" s="4">
        <f>IF(A35="","",SUMPRODUCT(E35:I35,E$2:I$2))</f>
        <v/>
      </c>
      <c r="E35" s="3" t="n"/>
      <c r="F35" s="3" t="n"/>
      <c r="G35" s="3" t="n"/>
      <c r="H35" s="3" t="n"/>
      <c r="I35" s="3" t="n"/>
      <c r="J35" s="4" t="n"/>
      <c r="K35" s="4" t="n"/>
    </row>
    <row r="36">
      <c r="A36" s="4" t="inlineStr">
        <is>
          <t>Студент2.3</t>
        </is>
      </c>
      <c r="B36" s="12" t="n"/>
      <c r="C36" s="4" t="inlineStr"/>
      <c r="D36" s="4">
        <f>IF(A36="","",SUMPRODUCT(E36:I36,E$2:I$2))</f>
        <v/>
      </c>
      <c r="E36" s="3" t="n"/>
      <c r="F36" s="3" t="n"/>
      <c r="G36" s="3" t="n"/>
      <c r="H36" s="3" t="n"/>
      <c r="I36" s="3" t="n"/>
      <c r="J36" s="4" t="n"/>
      <c r="K36" s="4" t="n"/>
    </row>
    <row r="37">
      <c r="A37" s="4" t="inlineStr">
        <is>
          <t>Студент2.4</t>
        </is>
      </c>
      <c r="B37" s="12" t="n"/>
      <c r="C37" s="4" t="inlineStr"/>
      <c r="D37" s="4">
        <f>IF(A37="","",SUMPRODUCT(E37:I37,E$2:I$2))</f>
        <v/>
      </c>
      <c r="E37" s="3" t="n"/>
      <c r="F37" s="3" t="n"/>
      <c r="G37" s="3" t="n"/>
      <c r="H37" s="3" t="n"/>
      <c r="I37" s="3" t="n"/>
      <c r="J37" s="4" t="n"/>
      <c r="K37" s="4" t="n"/>
    </row>
    <row r="38">
      <c r="A38" s="4" t="inlineStr">
        <is>
          <t>Студент2.5</t>
        </is>
      </c>
      <c r="B38" s="12" t="n"/>
      <c r="C38" s="4" t="inlineStr"/>
      <c r="D38" s="4">
        <f>IF(A38="","",SUMPRODUCT(E38:I38,E$2:I$2))</f>
        <v/>
      </c>
      <c r="E38" s="3" t="n"/>
      <c r="F38" s="3" t="n"/>
      <c r="G38" s="3" t="n"/>
      <c r="H38" s="3" t="n"/>
      <c r="I38" s="3" t="n"/>
      <c r="J38" s="4" t="n"/>
      <c r="K38" s="4" t="n"/>
    </row>
    <row r="39">
      <c r="A39" s="4" t="inlineStr">
        <is>
          <t>Студент2.6</t>
        </is>
      </c>
      <c r="B39" s="12" t="n"/>
      <c r="C39" s="4" t="inlineStr"/>
      <c r="D39" s="4">
        <f>IF(A39="","",SUMPRODUCT(E39:I39,E$2:I$2))</f>
        <v/>
      </c>
      <c r="E39" s="3" t="n"/>
      <c r="F39" s="3" t="n"/>
      <c r="G39" s="3" t="n"/>
      <c r="H39" s="3" t="n"/>
      <c r="I39" s="3" t="n"/>
      <c r="J39" s="4" t="n"/>
      <c r="K39" s="4" t="n"/>
    </row>
    <row r="40">
      <c r="A40" s="4" t="inlineStr">
        <is>
          <t>Студент2.7</t>
        </is>
      </c>
      <c r="B40" s="12" t="n"/>
      <c r="C40" s="4" t="inlineStr"/>
      <c r="D40" s="4">
        <f>IF(A40="","",SUMPRODUCT(E40:I40,E$2:I$2))</f>
        <v/>
      </c>
      <c r="E40" s="3" t="n"/>
      <c r="F40" s="3" t="n"/>
      <c r="G40" s="3" t="n"/>
      <c r="H40" s="3" t="n"/>
      <c r="I40" s="3" t="n"/>
      <c r="J40" s="4" t="n"/>
      <c r="K40" s="4" t="n"/>
    </row>
    <row r="41">
      <c r="A41" s="4" t="inlineStr">
        <is>
          <t>Студент2.8</t>
        </is>
      </c>
      <c r="B41" s="12" t="n"/>
      <c r="C41" s="4" t="inlineStr"/>
      <c r="D41" s="4">
        <f>IF(A41="","",SUMPRODUCT(E41:I41,E$2:I$2))</f>
        <v/>
      </c>
      <c r="E41" s="3" t="n"/>
      <c r="F41" s="3" t="n"/>
      <c r="G41" s="3" t="n"/>
      <c r="H41" s="3" t="n"/>
      <c r="I41" s="3" t="n"/>
      <c r="J41" s="4" t="n"/>
      <c r="K41" s="4" t="n"/>
    </row>
    <row r="42">
      <c r="A42" s="4" t="inlineStr">
        <is>
          <t>Студент2.9</t>
        </is>
      </c>
      <c r="B42" s="12" t="n"/>
      <c r="C42" s="4" t="inlineStr"/>
      <c r="D42" s="4">
        <f>IF(A42="","",SUMPRODUCT(E42:I42,E$2:I$2))</f>
        <v/>
      </c>
      <c r="E42" s="3" t="n"/>
      <c r="F42" s="3" t="n"/>
      <c r="G42" s="3" t="n"/>
      <c r="H42" s="3" t="n"/>
      <c r="I42" s="3" t="n"/>
      <c r="J42" s="4" t="n"/>
      <c r="K42" s="4" t="n"/>
    </row>
    <row r="43">
      <c r="A43" s="4" t="inlineStr">
        <is>
          <t>Студент2.10</t>
        </is>
      </c>
      <c r="B43" s="12" t="n"/>
      <c r="C43" s="4" t="inlineStr"/>
      <c r="D43" s="4">
        <f>IF(A43="","",SUMPRODUCT(E43:I43,E$2:I$2))</f>
        <v/>
      </c>
      <c r="E43" s="3" t="n"/>
      <c r="F43" s="3" t="n"/>
      <c r="G43" s="3" t="n"/>
      <c r="H43" s="3" t="n"/>
      <c r="I43" s="3" t="n"/>
      <c r="J43" s="4" t="n"/>
      <c r="K43" s="4" t="n"/>
    </row>
    <row r="44">
      <c r="A44" s="4" t="inlineStr">
        <is>
          <t>Студент2.11</t>
        </is>
      </c>
      <c r="B44" s="12" t="n"/>
      <c r="C44" s="4" t="inlineStr"/>
      <c r="D44" s="4">
        <f>IF(A44="","",SUMPRODUCT(E44:I44,E$2:I$2))</f>
        <v/>
      </c>
      <c r="E44" s="3" t="n"/>
      <c r="F44" s="3" t="n"/>
      <c r="G44" s="3" t="n"/>
      <c r="H44" s="3" t="n"/>
      <c r="I44" s="3" t="n"/>
      <c r="J44" s="4" t="n"/>
      <c r="K44" s="4" t="n"/>
    </row>
    <row r="45">
      <c r="A45" s="4" t="inlineStr">
        <is>
          <t>Студент2.12</t>
        </is>
      </c>
      <c r="B45" s="12" t="n"/>
      <c r="C45" s="4" t="inlineStr"/>
      <c r="D45" s="4">
        <f>IF(A45="","",SUMPRODUCT(E45:I45,E$2:I$2))</f>
        <v/>
      </c>
      <c r="E45" s="3" t="n"/>
      <c r="F45" s="3" t="n"/>
      <c r="G45" s="3" t="n"/>
      <c r="H45" s="3" t="n"/>
      <c r="I45" s="3" t="n"/>
      <c r="J45" s="4" t="n"/>
      <c r="K45" s="4" t="n"/>
    </row>
    <row r="46">
      <c r="A46" s="4" t="inlineStr">
        <is>
          <t>Студент2.13</t>
        </is>
      </c>
      <c r="B46" s="12" t="n"/>
      <c r="C46" s="4" t="inlineStr"/>
      <c r="D46" s="4">
        <f>IF(A46="","",SUMPRODUCT(E46:I46,E$2:I$2))</f>
        <v/>
      </c>
      <c r="E46" s="3" t="n"/>
      <c r="F46" s="3" t="n"/>
      <c r="G46" s="3" t="n"/>
      <c r="H46" s="3" t="n"/>
      <c r="I46" s="3" t="n"/>
      <c r="J46" s="4" t="n"/>
      <c r="K46" s="4" t="n"/>
    </row>
    <row r="47">
      <c r="A47" s="4" t="inlineStr">
        <is>
          <t>Студент2.14</t>
        </is>
      </c>
      <c r="B47" s="12" t="n"/>
      <c r="C47" s="4" t="inlineStr"/>
      <c r="D47" s="4">
        <f>IF(A47="","",SUMPRODUCT(E47:I47,E$2:I$2))</f>
        <v/>
      </c>
      <c r="E47" s="3" t="n"/>
      <c r="F47" s="3" t="n"/>
      <c r="G47" s="3" t="n"/>
      <c r="H47" s="3" t="n"/>
      <c r="I47" s="3" t="n"/>
      <c r="J47" s="4" t="n"/>
      <c r="K47" s="4" t="n"/>
    </row>
    <row r="48">
      <c r="A48" s="4" t="inlineStr">
        <is>
          <t>Студент2.15</t>
        </is>
      </c>
      <c r="B48" s="12" t="n"/>
      <c r="C48" s="4" t="inlineStr"/>
      <c r="D48" s="4">
        <f>IF(A48="","",SUMPRODUCT(E48:I48,E$2:I$2))</f>
        <v/>
      </c>
      <c r="E48" s="3" t="n"/>
      <c r="F48" s="3" t="n"/>
      <c r="G48" s="3" t="n"/>
      <c r="H48" s="3" t="n"/>
      <c r="I48" s="3" t="n"/>
      <c r="J48" s="4" t="n"/>
      <c r="K48" s="4" t="n"/>
    </row>
    <row r="49">
      <c r="A49" s="4" t="inlineStr">
        <is>
          <t>Студент2.16</t>
        </is>
      </c>
      <c r="B49" s="12" t="n"/>
      <c r="C49" s="4" t="inlineStr"/>
      <c r="D49" s="4">
        <f>IF(A49="","",SUMPRODUCT(E49:I49,E$2:I$2))</f>
        <v/>
      </c>
      <c r="E49" s="3" t="n"/>
      <c r="F49" s="3" t="n"/>
      <c r="G49" s="3" t="n"/>
      <c r="H49" s="3" t="n"/>
      <c r="I49" s="3" t="n"/>
      <c r="J49" s="4" t="n"/>
      <c r="K49" s="4" t="n"/>
    </row>
    <row r="50">
      <c r="A50" s="4" t="inlineStr">
        <is>
          <t>Студент2.17</t>
        </is>
      </c>
      <c r="B50" s="12" t="n"/>
      <c r="C50" s="4" t="inlineStr"/>
      <c r="D50" s="4">
        <f>IF(A50="","",SUMPRODUCT(E50:I50,E$2:I$2))</f>
        <v/>
      </c>
      <c r="E50" s="3" t="n"/>
      <c r="F50" s="3" t="n"/>
      <c r="G50" s="3" t="n"/>
      <c r="H50" s="3" t="n"/>
      <c r="I50" s="3" t="n"/>
      <c r="J50" s="4" t="n"/>
      <c r="K50" s="4" t="n"/>
    </row>
    <row r="51">
      <c r="A51" s="4" t="inlineStr">
        <is>
          <t>Студент2.18</t>
        </is>
      </c>
      <c r="B51" s="12" t="n"/>
      <c r="C51" s="4" t="inlineStr"/>
      <c r="D51" s="4">
        <f>IF(A51="","",SUMPRODUCT(E51:I51,E$2:I$2))</f>
        <v/>
      </c>
      <c r="E51" s="3" t="n"/>
      <c r="F51" s="3" t="n"/>
      <c r="G51" s="3" t="n"/>
      <c r="H51" s="3" t="n"/>
      <c r="I51" s="3" t="n"/>
      <c r="J51" s="4" t="n"/>
      <c r="K51" s="4" t="n"/>
    </row>
    <row r="52">
      <c r="A52" s="4" t="inlineStr">
        <is>
          <t>Студент2.19</t>
        </is>
      </c>
      <c r="B52" s="12" t="n"/>
      <c r="C52" s="4" t="inlineStr"/>
      <c r="D52" s="4">
        <f>IF(A52="","",SUMPRODUCT(E52:I52,E$2:I$2))</f>
        <v/>
      </c>
      <c r="E52" s="3" t="n"/>
      <c r="F52" s="3" t="n"/>
      <c r="G52" s="3" t="n"/>
      <c r="H52" s="3" t="n"/>
      <c r="I52" s="3" t="n"/>
      <c r="J52" s="4" t="n"/>
      <c r="K52" s="4" t="n"/>
    </row>
    <row r="53">
      <c r="A53" s="4" t="inlineStr">
        <is>
          <t>Студент2.20</t>
        </is>
      </c>
      <c r="B53" s="12" t="n"/>
      <c r="C53" s="4" t="inlineStr"/>
      <c r="D53" s="4">
        <f>IF(A53="","",SUMPRODUCT(E53:I53,E$2:I$2))</f>
        <v/>
      </c>
      <c r="E53" s="3" t="n"/>
      <c r="F53" s="3" t="n"/>
      <c r="G53" s="3" t="n"/>
      <c r="H53" s="3" t="n"/>
      <c r="I53" s="3" t="n"/>
      <c r="J53" s="4" t="n"/>
      <c r="K53" s="4" t="n"/>
    </row>
    <row r="54">
      <c r="A54" s="4" t="inlineStr">
        <is>
          <t>Студент2.21</t>
        </is>
      </c>
      <c r="B54" s="12" t="n"/>
      <c r="C54" s="4" t="inlineStr"/>
      <c r="D54" s="4">
        <f>IF(A54="","",SUMPRODUCT(E54:I54,E$2:I$2))</f>
        <v/>
      </c>
      <c r="E54" s="3" t="n"/>
      <c r="F54" s="3" t="n"/>
      <c r="G54" s="3" t="n"/>
      <c r="H54" s="3" t="n"/>
      <c r="I54" s="3" t="n"/>
      <c r="J54" s="4" t="n"/>
      <c r="K54" s="4" t="n"/>
    </row>
    <row r="55">
      <c r="A55" s="4" t="inlineStr">
        <is>
          <t>Студент2.22</t>
        </is>
      </c>
      <c r="B55" s="12" t="n"/>
      <c r="C55" s="4" t="inlineStr"/>
      <c r="D55" s="4">
        <f>IF(A55="","",SUMPRODUCT(E55:I55,E$2:I$2))</f>
        <v/>
      </c>
      <c r="E55" s="3" t="n"/>
      <c r="F55" s="3" t="n"/>
      <c r="G55" s="3" t="n"/>
      <c r="H55" s="3" t="n"/>
      <c r="I55" s="3" t="n"/>
      <c r="J55" s="4" t="n"/>
      <c r="K55" s="4" t="n"/>
    </row>
    <row r="56">
      <c r="A56" s="4" t="inlineStr">
        <is>
          <t>Студент2.23</t>
        </is>
      </c>
      <c r="B56" s="12" t="n"/>
      <c r="C56" s="4" t="inlineStr"/>
      <c r="D56" s="4">
        <f>IF(A56="","",SUMPRODUCT(E56:I56,E$2:I$2))</f>
        <v/>
      </c>
      <c r="E56" s="3" t="n"/>
      <c r="F56" s="3" t="n"/>
      <c r="G56" s="3" t="n"/>
      <c r="H56" s="3" t="n"/>
      <c r="I56" s="3" t="n"/>
      <c r="J56" s="4" t="n"/>
      <c r="K56" s="4" t="n"/>
    </row>
    <row r="57">
      <c r="A57" s="4" t="inlineStr">
        <is>
          <t>Студент2.24</t>
        </is>
      </c>
      <c r="B57" s="12" t="n"/>
      <c r="C57" s="4" t="inlineStr"/>
      <c r="D57" s="4">
        <f>IF(A57="","",SUMPRODUCT(E57:I57,E$2:I$2))</f>
        <v/>
      </c>
      <c r="E57" s="3" t="n"/>
      <c r="F57" s="3" t="n"/>
      <c r="G57" s="3" t="n"/>
      <c r="H57" s="3" t="n"/>
      <c r="I57" s="3" t="n"/>
      <c r="J57" s="4" t="n"/>
      <c r="K57" s="4" t="n"/>
    </row>
    <row r="58">
      <c r="A58" s="4" t="inlineStr">
        <is>
          <t>Студент2.25</t>
        </is>
      </c>
      <c r="B58" s="12" t="n"/>
      <c r="C58" s="4" t="inlineStr"/>
      <c r="D58" s="4">
        <f>IF(A58="","",SUMPRODUCT(E58:I58,E$2:I$2))</f>
        <v/>
      </c>
      <c r="E58" s="3" t="n"/>
      <c r="F58" s="3" t="n"/>
      <c r="G58" s="3" t="n"/>
      <c r="H58" s="3" t="n"/>
      <c r="I58" s="3" t="n"/>
      <c r="J58" s="4" t="n"/>
      <c r="K58" s="4" t="n"/>
    </row>
    <row r="59">
      <c r="A59" s="4" t="inlineStr">
        <is>
          <t>Студент2.26</t>
        </is>
      </c>
      <c r="B59" s="12" t="n"/>
      <c r="C59" s="4" t="inlineStr"/>
      <c r="D59" s="4">
        <f>IF(A59="","",SUMPRODUCT(E59:I59,E$2:I$2))</f>
        <v/>
      </c>
      <c r="E59" s="3" t="n"/>
      <c r="F59" s="3" t="n"/>
      <c r="G59" s="3" t="n"/>
      <c r="H59" s="3" t="n"/>
      <c r="I59" s="3" t="n"/>
      <c r="J59" s="4" t="n"/>
      <c r="K59" s="4" t="n"/>
    </row>
    <row r="60">
      <c r="A60" s="4" t="inlineStr">
        <is>
          <t>Студент2.27</t>
        </is>
      </c>
      <c r="B60" s="12" t="n"/>
      <c r="C60" s="4" t="inlineStr"/>
      <c r="D60" s="4">
        <f>IF(A60="","",SUMPRODUCT(E60:I60,E$2:I$2))</f>
        <v/>
      </c>
      <c r="E60" s="3" t="n"/>
      <c r="F60" s="3" t="n"/>
      <c r="G60" s="3" t="n"/>
      <c r="H60" s="3" t="n"/>
      <c r="I60" s="3" t="n"/>
      <c r="J60" s="4" t="n"/>
      <c r="K60" s="4" t="n"/>
    </row>
    <row r="61">
      <c r="A61" s="4" t="inlineStr">
        <is>
          <t>Студент2.28</t>
        </is>
      </c>
      <c r="B61" s="12" t="n"/>
      <c r="C61" s="4" t="inlineStr"/>
      <c r="D61" s="4">
        <f>IF(A61="","",SUMPRODUCT(E61:I61,E$2:I$2))</f>
        <v/>
      </c>
      <c r="E61" s="3" t="n"/>
      <c r="F61" s="3" t="n"/>
      <c r="G61" s="3" t="n"/>
      <c r="H61" s="3" t="n"/>
      <c r="I61" s="3" t="n"/>
      <c r="J61" s="4" t="n"/>
      <c r="K61" s="4" t="n"/>
    </row>
    <row r="62">
      <c r="A62" s="4" t="inlineStr">
        <is>
          <t>Студент2.29</t>
        </is>
      </c>
      <c r="B62" s="12" t="n"/>
      <c r="C62" s="4" t="inlineStr"/>
      <c r="D62" s="4">
        <f>IF(A62="","",SUMPRODUCT(E62:I62,E$2:I$2))</f>
        <v/>
      </c>
      <c r="E62" s="3" t="n"/>
      <c r="F62" s="3" t="n"/>
      <c r="G62" s="3" t="n"/>
      <c r="H62" s="3" t="n"/>
      <c r="I62" s="3" t="n"/>
      <c r="J62" s="4" t="n"/>
      <c r="K62" s="4" t="n"/>
    </row>
    <row r="63">
      <c r="A63" s="4" t="inlineStr">
        <is>
          <t>Студент2.30</t>
        </is>
      </c>
      <c r="B63" s="12" t="n"/>
      <c r="C63" s="4" t="inlineStr"/>
      <c r="D63" s="4">
        <f>IF(A63="","",SUMPRODUCT(E63:I63,E$2:I$2))</f>
        <v/>
      </c>
      <c r="E63" s="3" t="n"/>
      <c r="F63" s="3" t="n"/>
      <c r="G63" s="3" t="n"/>
      <c r="H63" s="3" t="n"/>
      <c r="I63" s="3" t="n"/>
      <c r="J63" s="4" t="n"/>
      <c r="K63" s="4" t="n"/>
    </row>
    <row r="64">
      <c r="A64" s="4" t="inlineStr">
        <is>
          <t>Студент3.1</t>
        </is>
      </c>
      <c r="B64" s="12" t="n"/>
      <c r="C64" s="4" t="inlineStr"/>
      <c r="D64" s="4">
        <f>IF(A64="","",SUMPRODUCT(E64:I64,E$2:I$2))</f>
        <v/>
      </c>
      <c r="E64" s="3" t="n"/>
      <c r="F64" s="3" t="n"/>
      <c r="G64" s="3" t="n"/>
      <c r="H64" s="3" t="n"/>
      <c r="I64" s="3" t="n"/>
      <c r="J64" s="4" t="n"/>
      <c r="K64" s="4" t="n"/>
    </row>
    <row r="65">
      <c r="A65" s="4" t="inlineStr">
        <is>
          <t>Студент3.2</t>
        </is>
      </c>
      <c r="B65" s="12" t="n"/>
      <c r="C65" s="4" t="inlineStr"/>
      <c r="D65" s="4">
        <f>IF(A65="","",SUMPRODUCT(E65:I65,E$2:I$2))</f>
        <v/>
      </c>
      <c r="E65" s="3" t="n"/>
      <c r="F65" s="3" t="n"/>
      <c r="G65" s="3" t="n"/>
      <c r="H65" s="3" t="n"/>
      <c r="I65" s="3" t="n"/>
      <c r="J65" s="4" t="n"/>
      <c r="K65" s="4" t="n"/>
    </row>
    <row r="66">
      <c r="A66" s="4" t="inlineStr">
        <is>
          <t>Студент3.3</t>
        </is>
      </c>
      <c r="B66" s="12" t="n"/>
      <c r="C66" s="4" t="inlineStr"/>
      <c r="D66" s="4">
        <f>IF(A66="","",SUMPRODUCT(E66:I66,E$2:I$2))</f>
        <v/>
      </c>
      <c r="E66" s="3" t="n"/>
      <c r="F66" s="3" t="n"/>
      <c r="G66" s="3" t="n"/>
      <c r="H66" s="3" t="n"/>
      <c r="I66" s="3" t="n"/>
      <c r="J66" s="4" t="n"/>
      <c r="K66" s="4" t="n"/>
    </row>
    <row r="67">
      <c r="A67" s="4" t="inlineStr">
        <is>
          <t>Студент3.4</t>
        </is>
      </c>
      <c r="B67" s="12" t="n"/>
      <c r="C67" s="4" t="inlineStr"/>
      <c r="D67" s="4">
        <f>IF(A67="","",SUMPRODUCT(E67:I67,E$2:I$2))</f>
        <v/>
      </c>
      <c r="E67" s="3" t="n"/>
      <c r="F67" s="3" t="n"/>
      <c r="G67" s="3" t="n"/>
      <c r="H67" s="3" t="n"/>
      <c r="I67" s="3" t="n"/>
      <c r="J67" s="4" t="n"/>
      <c r="K67" s="4" t="n"/>
    </row>
    <row r="68">
      <c r="A68" s="4" t="inlineStr">
        <is>
          <t>Студент3.5</t>
        </is>
      </c>
      <c r="B68" s="12" t="n"/>
      <c r="C68" s="4" t="inlineStr"/>
      <c r="D68" s="4">
        <f>IF(A68="","",SUMPRODUCT(E68:I68,E$2:I$2))</f>
        <v/>
      </c>
      <c r="E68" s="3" t="n"/>
      <c r="F68" s="3" t="n"/>
      <c r="G68" s="3" t="n"/>
      <c r="H68" s="3" t="n"/>
      <c r="I68" s="3" t="n"/>
      <c r="J68" s="4" t="n"/>
      <c r="K68" s="4" t="n"/>
    </row>
    <row r="69">
      <c r="A69" s="4" t="inlineStr">
        <is>
          <t>Студент3.6</t>
        </is>
      </c>
      <c r="B69" s="12" t="n"/>
      <c r="C69" s="4" t="inlineStr"/>
      <c r="D69" s="4">
        <f>IF(A69="","",SUMPRODUCT(E69:I69,E$2:I$2))</f>
        <v/>
      </c>
      <c r="E69" s="3" t="n"/>
      <c r="F69" s="3" t="n"/>
      <c r="G69" s="3" t="n"/>
      <c r="H69" s="3" t="n"/>
      <c r="I69" s="3" t="n"/>
      <c r="J69" s="4" t="n"/>
      <c r="K69" s="4" t="n"/>
    </row>
    <row r="70">
      <c r="A70" s="4" t="inlineStr">
        <is>
          <t>Студент3.7</t>
        </is>
      </c>
      <c r="B70" s="12" t="n"/>
      <c r="C70" s="4" t="inlineStr"/>
      <c r="D70" s="4">
        <f>IF(A70="","",SUMPRODUCT(E70:I70,E$2:I$2))</f>
        <v/>
      </c>
      <c r="E70" s="3" t="n"/>
      <c r="F70" s="3" t="n"/>
      <c r="G70" s="3" t="n"/>
      <c r="H70" s="3" t="n"/>
      <c r="I70" s="3" t="n"/>
      <c r="J70" s="4" t="n"/>
      <c r="K70" s="4" t="n"/>
    </row>
    <row r="71">
      <c r="A71" s="4" t="inlineStr">
        <is>
          <t>Студент3.8</t>
        </is>
      </c>
      <c r="B71" s="12" t="n"/>
      <c r="C71" s="4" t="inlineStr"/>
      <c r="D71" s="4">
        <f>IF(A71="","",SUMPRODUCT(E71:I71,E$2:I$2))</f>
        <v/>
      </c>
      <c r="E71" s="3" t="n"/>
      <c r="F71" s="3" t="n"/>
      <c r="G71" s="3" t="n"/>
      <c r="H71" s="3" t="n"/>
      <c r="I71" s="3" t="n"/>
      <c r="J71" s="4" t="n"/>
      <c r="K71" s="4" t="n"/>
    </row>
    <row r="72">
      <c r="A72" s="4" t="inlineStr">
        <is>
          <t>Студент3.9</t>
        </is>
      </c>
      <c r="B72" s="12" t="n"/>
      <c r="C72" s="4" t="inlineStr"/>
      <c r="D72" s="4">
        <f>IF(A72="","",SUMPRODUCT(E72:I72,E$2:I$2))</f>
        <v/>
      </c>
      <c r="E72" s="3" t="n"/>
      <c r="F72" s="3" t="n"/>
      <c r="G72" s="3" t="n"/>
      <c r="H72" s="3" t="n"/>
      <c r="I72" s="3" t="n"/>
      <c r="J72" s="4" t="n"/>
      <c r="K72" s="4" t="n"/>
    </row>
    <row r="73">
      <c r="A73" s="4" t="inlineStr">
        <is>
          <t>Студент3.10</t>
        </is>
      </c>
      <c r="B73" s="12" t="n"/>
      <c r="C73" s="4" t="inlineStr"/>
      <c r="D73" s="4">
        <f>IF(A73="","",SUMPRODUCT(E73:I73,E$2:I$2))</f>
        <v/>
      </c>
      <c r="E73" s="3" t="n"/>
      <c r="F73" s="3" t="n"/>
      <c r="G73" s="3" t="n"/>
      <c r="H73" s="3" t="n"/>
      <c r="I73" s="3" t="n"/>
      <c r="J73" s="4" t="n"/>
      <c r="K73" s="4" t="n"/>
    </row>
    <row r="74">
      <c r="A74" s="4" t="inlineStr">
        <is>
          <t>Студент3.11</t>
        </is>
      </c>
      <c r="B74" s="12" t="n"/>
      <c r="C74" s="4" t="inlineStr"/>
      <c r="D74" s="4">
        <f>IF(A74="","",SUMPRODUCT(E74:I74,E$2:I$2))</f>
        <v/>
      </c>
      <c r="E74" s="3" t="n"/>
      <c r="F74" s="3" t="n"/>
      <c r="G74" s="3" t="n"/>
      <c r="H74" s="3" t="n"/>
      <c r="I74" s="3" t="n"/>
      <c r="J74" s="4" t="n"/>
      <c r="K74" s="4" t="n"/>
    </row>
    <row r="75">
      <c r="A75" s="4" t="inlineStr">
        <is>
          <t>Студент3.12</t>
        </is>
      </c>
      <c r="B75" s="12" t="n"/>
      <c r="C75" s="4" t="inlineStr"/>
      <c r="D75" s="4">
        <f>IF(A75="","",SUMPRODUCT(E75:I75,E$2:I$2))</f>
        <v/>
      </c>
      <c r="E75" s="3" t="n"/>
      <c r="F75" s="3" t="n"/>
      <c r="G75" s="3" t="n"/>
      <c r="H75" s="3" t="n"/>
      <c r="I75" s="3" t="n"/>
      <c r="J75" s="4" t="n"/>
      <c r="K75" s="4" t="n"/>
    </row>
    <row r="76">
      <c r="A76" s="4" t="inlineStr">
        <is>
          <t>Студент3.13</t>
        </is>
      </c>
      <c r="B76" s="12" t="n"/>
      <c r="C76" s="4" t="inlineStr"/>
      <c r="D76" s="4">
        <f>IF(A76="","",SUMPRODUCT(E76:I76,E$2:I$2))</f>
        <v/>
      </c>
      <c r="E76" s="3" t="n"/>
      <c r="F76" s="3" t="n"/>
      <c r="G76" s="3" t="n"/>
      <c r="H76" s="3" t="n"/>
      <c r="I76" s="3" t="n"/>
      <c r="J76" s="4" t="n"/>
      <c r="K76" s="4" t="n"/>
    </row>
    <row r="77">
      <c r="A77" s="4" t="inlineStr">
        <is>
          <t>Студент3.14</t>
        </is>
      </c>
      <c r="B77" s="12" t="n"/>
      <c r="C77" s="4" t="inlineStr"/>
      <c r="D77" s="4">
        <f>IF(A77="","",SUMPRODUCT(E77:I77,E$2:I$2))</f>
        <v/>
      </c>
      <c r="E77" s="3" t="n"/>
      <c r="F77" s="3" t="n"/>
      <c r="G77" s="3" t="n"/>
      <c r="H77" s="3" t="n"/>
      <c r="I77" s="3" t="n"/>
      <c r="J77" s="4" t="n"/>
      <c r="K77" s="4" t="n"/>
    </row>
    <row r="78">
      <c r="A78" s="4" t="inlineStr">
        <is>
          <t>Студент3.15</t>
        </is>
      </c>
      <c r="B78" s="12" t="n"/>
      <c r="C78" s="4" t="inlineStr"/>
      <c r="D78" s="4">
        <f>IF(A78="","",SUMPRODUCT(E78:I78,E$2:I$2))</f>
        <v/>
      </c>
      <c r="E78" s="3" t="n"/>
      <c r="F78" s="3" t="n"/>
      <c r="G78" s="3" t="n"/>
      <c r="H78" s="3" t="n"/>
      <c r="I78" s="3" t="n"/>
      <c r="J78" s="4" t="n"/>
      <c r="K78" s="4" t="n"/>
    </row>
    <row r="79">
      <c r="A79" s="4" t="inlineStr">
        <is>
          <t>Студент3.16</t>
        </is>
      </c>
      <c r="B79" s="12" t="n"/>
      <c r="C79" s="4" t="inlineStr"/>
      <c r="D79" s="4">
        <f>IF(A79="","",SUMPRODUCT(E79:I79,E$2:I$2))</f>
        <v/>
      </c>
      <c r="E79" s="3" t="n"/>
      <c r="F79" s="3" t="n"/>
      <c r="G79" s="3" t="n"/>
      <c r="H79" s="3" t="n"/>
      <c r="I79" s="3" t="n"/>
      <c r="J79" s="4" t="n"/>
      <c r="K79" s="4" t="n"/>
    </row>
    <row r="80">
      <c r="A80" s="4" t="inlineStr">
        <is>
          <t>Студент3.17</t>
        </is>
      </c>
      <c r="B80" s="12" t="n"/>
      <c r="C80" s="4" t="inlineStr"/>
      <c r="D80" s="4">
        <f>IF(A80="","",SUMPRODUCT(E80:I80,E$2:I$2))</f>
        <v/>
      </c>
      <c r="E80" s="3" t="n"/>
      <c r="F80" s="3" t="n"/>
      <c r="G80" s="3" t="n"/>
      <c r="H80" s="3" t="n"/>
      <c r="I80" s="3" t="n"/>
      <c r="J80" s="4" t="n"/>
      <c r="K80" s="4" t="n"/>
    </row>
    <row r="81">
      <c r="A81" s="4" t="inlineStr">
        <is>
          <t>Студент3.18</t>
        </is>
      </c>
      <c r="B81" s="12" t="n"/>
      <c r="C81" s="4" t="inlineStr"/>
      <c r="D81" s="4">
        <f>IF(A81="","",SUMPRODUCT(E81:I81,E$2:I$2))</f>
        <v/>
      </c>
      <c r="E81" s="3" t="n"/>
      <c r="F81" s="3" t="n"/>
      <c r="G81" s="3" t="n"/>
      <c r="H81" s="3" t="n"/>
      <c r="I81" s="3" t="n"/>
      <c r="J81" s="4" t="n"/>
      <c r="K81" s="4" t="n"/>
    </row>
    <row r="82">
      <c r="A82" s="4" t="inlineStr">
        <is>
          <t>Студент3.19</t>
        </is>
      </c>
      <c r="B82" s="12" t="n"/>
      <c r="C82" s="4" t="inlineStr"/>
      <c r="D82" s="4">
        <f>IF(A82="","",SUMPRODUCT(E82:I82,E$2:I$2))</f>
        <v/>
      </c>
      <c r="E82" s="3" t="n"/>
      <c r="F82" s="3" t="n"/>
      <c r="G82" s="3" t="n"/>
      <c r="H82" s="3" t="n"/>
      <c r="I82" s="3" t="n"/>
      <c r="J82" s="4" t="n"/>
      <c r="K82" s="4" t="n"/>
    </row>
    <row r="83">
      <c r="A83" s="4" t="inlineStr">
        <is>
          <t>Студент3.20</t>
        </is>
      </c>
      <c r="B83" s="12" t="n"/>
      <c r="C83" s="4" t="inlineStr"/>
      <c r="D83" s="4">
        <f>IF(A83="","",SUMPRODUCT(E83:I83,E$2:I$2))</f>
        <v/>
      </c>
      <c r="E83" s="3" t="n"/>
      <c r="F83" s="3" t="n"/>
      <c r="G83" s="3" t="n"/>
      <c r="H83" s="3" t="n"/>
      <c r="I83" s="3" t="n"/>
      <c r="J83" s="4" t="n"/>
      <c r="K83" s="4" t="n"/>
    </row>
    <row r="84">
      <c r="A84" s="4" t="inlineStr">
        <is>
          <t>Студент3.21</t>
        </is>
      </c>
      <c r="B84" s="12" t="n"/>
      <c r="C84" s="4" t="inlineStr"/>
      <c r="D84" s="4">
        <f>IF(A84="","",SUMPRODUCT(E84:I84,E$2:I$2))</f>
        <v/>
      </c>
      <c r="E84" s="3" t="n"/>
      <c r="F84" s="3" t="n"/>
      <c r="G84" s="3" t="n"/>
      <c r="H84" s="3" t="n"/>
      <c r="I84" s="3" t="n"/>
      <c r="J84" s="4" t="n"/>
      <c r="K84" s="4" t="n"/>
    </row>
    <row r="85">
      <c r="A85" s="4" t="inlineStr">
        <is>
          <t>Студент3.22</t>
        </is>
      </c>
      <c r="B85" s="12" t="n"/>
      <c r="C85" s="4" t="inlineStr"/>
      <c r="D85" s="4">
        <f>IF(A85="","",SUMPRODUCT(E85:I85,E$2:I$2))</f>
        <v/>
      </c>
      <c r="E85" s="3" t="n"/>
      <c r="F85" s="3" t="n"/>
      <c r="G85" s="3" t="n"/>
      <c r="H85" s="3" t="n"/>
      <c r="I85" s="3" t="n"/>
      <c r="J85" s="4" t="n"/>
      <c r="K85" s="4" t="n"/>
    </row>
    <row r="86">
      <c r="A86" s="4" t="inlineStr">
        <is>
          <t>Студент3.23</t>
        </is>
      </c>
      <c r="B86" s="12" t="n"/>
      <c r="C86" s="4" t="inlineStr"/>
      <c r="D86" s="4">
        <f>IF(A86="","",SUMPRODUCT(E86:I86,E$2:I$2))</f>
        <v/>
      </c>
      <c r="E86" s="3" t="n"/>
      <c r="F86" s="3" t="n"/>
      <c r="G86" s="3" t="n"/>
      <c r="H86" s="3" t="n"/>
      <c r="I86" s="3" t="n"/>
      <c r="J86" s="4" t="n"/>
      <c r="K86" s="4" t="n"/>
    </row>
    <row r="87">
      <c r="A87" s="4" t="inlineStr">
        <is>
          <t>Студент3.24</t>
        </is>
      </c>
      <c r="B87" s="12" t="n"/>
      <c r="C87" s="4" t="inlineStr"/>
      <c r="D87" s="4">
        <f>IF(A87="","",SUMPRODUCT(E87:I87,E$2:I$2))</f>
        <v/>
      </c>
      <c r="E87" s="3" t="n"/>
      <c r="F87" s="3" t="n"/>
      <c r="G87" s="3" t="n"/>
      <c r="H87" s="3" t="n"/>
      <c r="I87" s="3" t="n"/>
      <c r="J87" s="4" t="n"/>
      <c r="K87" s="4" t="n"/>
    </row>
    <row r="88">
      <c r="A88" s="4" t="inlineStr">
        <is>
          <t>Студент3.25</t>
        </is>
      </c>
      <c r="B88" s="12" t="n"/>
      <c r="C88" s="4" t="inlineStr"/>
      <c r="D88" s="4">
        <f>IF(A88="","",SUMPRODUCT(E88:I88,E$2:I$2))</f>
        <v/>
      </c>
      <c r="E88" s="3" t="n"/>
      <c r="F88" s="3" t="n"/>
      <c r="G88" s="3" t="n"/>
      <c r="H88" s="3" t="n"/>
      <c r="I88" s="3" t="n"/>
      <c r="J88" s="4" t="n"/>
      <c r="K88" s="4" t="n"/>
    </row>
    <row r="89">
      <c r="A89" s="4" t="inlineStr">
        <is>
          <t>Студент3.26</t>
        </is>
      </c>
      <c r="B89" s="12" t="n"/>
      <c r="C89" s="4" t="inlineStr"/>
      <c r="D89" s="4">
        <f>IF(A89="","",SUMPRODUCT(E89:I89,E$2:I$2))</f>
        <v/>
      </c>
      <c r="E89" s="3" t="n"/>
      <c r="F89" s="3" t="n"/>
      <c r="G89" s="3" t="n"/>
      <c r="H89" s="3" t="n"/>
      <c r="I89" s="3" t="n"/>
      <c r="J89" s="4" t="n"/>
      <c r="K89" s="4" t="n"/>
    </row>
    <row r="90">
      <c r="A90" s="4" t="inlineStr">
        <is>
          <t>Студент3.27</t>
        </is>
      </c>
      <c r="B90" s="12" t="n"/>
      <c r="C90" s="4" t="inlineStr"/>
      <c r="D90" s="4">
        <f>IF(A90="","",SUMPRODUCT(E90:I90,E$2:I$2))</f>
        <v/>
      </c>
      <c r="E90" s="3" t="n"/>
      <c r="F90" s="3" t="n"/>
      <c r="G90" s="3" t="n"/>
      <c r="H90" s="3" t="n"/>
      <c r="I90" s="3" t="n"/>
      <c r="J90" s="4" t="n"/>
      <c r="K90" s="4" t="n"/>
    </row>
    <row r="91">
      <c r="A91" s="4" t="inlineStr">
        <is>
          <t>Студент3.28</t>
        </is>
      </c>
      <c r="B91" s="12" t="n"/>
      <c r="C91" s="4" t="inlineStr"/>
      <c r="D91" s="4">
        <f>IF(A91="","",SUMPRODUCT(E91:I91,E$2:I$2))</f>
        <v/>
      </c>
      <c r="E91" s="3" t="n"/>
      <c r="F91" s="3" t="n"/>
      <c r="G91" s="3" t="n"/>
      <c r="H91" s="3" t="n"/>
      <c r="I91" s="3" t="n"/>
      <c r="J91" s="4" t="n"/>
      <c r="K91" s="4" t="n"/>
    </row>
    <row r="92">
      <c r="A92" s="4" t="inlineStr">
        <is>
          <t>Студент3.29</t>
        </is>
      </c>
      <c r="B92" s="12" t="n"/>
      <c r="C92" s="4" t="inlineStr"/>
      <c r="D92" s="4">
        <f>IF(A92="","",SUMPRODUCT(E92:I92,E$2:I$2))</f>
        <v/>
      </c>
      <c r="E92" s="3" t="n"/>
      <c r="F92" s="3" t="n"/>
      <c r="G92" s="3" t="n"/>
      <c r="H92" s="3" t="n"/>
      <c r="I92" s="3" t="n"/>
      <c r="J92" s="4" t="n"/>
      <c r="K92" s="4" t="n"/>
    </row>
    <row r="93">
      <c r="A93" s="4" t="inlineStr">
        <is>
          <t>Студент3.30</t>
        </is>
      </c>
      <c r="B93" s="12" t="n"/>
      <c r="C93" s="4" t="inlineStr"/>
      <c r="D93" s="4">
        <f>IF(A93="","",SUMPRODUCT(E93:I93,E$2:I$2))</f>
        <v/>
      </c>
      <c r="E93" s="3" t="n"/>
      <c r="F93" s="3" t="n"/>
      <c r="G93" s="3" t="n"/>
      <c r="H93" s="3" t="n"/>
      <c r="I93" s="3" t="n"/>
      <c r="J93" s="4" t="n"/>
      <c r="K93" s="4" t="n"/>
    </row>
    <row r="95">
      <c r="A95" s="5" t="inlineStr">
        <is>
          <t>КР-2</t>
        </is>
      </c>
    </row>
    <row r="96">
      <c r="D96" t="inlineStr">
        <is>
          <t>W</t>
        </is>
      </c>
      <c r="E96" t="n">
        <v>1</v>
      </c>
      <c r="F96" t="n">
        <v>1</v>
      </c>
      <c r="G96" t="n">
        <v>1</v>
      </c>
      <c r="H96" t="n">
        <v>1.5</v>
      </c>
      <c r="I96" t="n">
        <v>1</v>
      </c>
    </row>
    <row r="97" ht="28" customHeight="1">
      <c r="A97" s="7" t="inlineStr">
        <is>
          <t>Имя</t>
        </is>
      </c>
      <c r="B97" s="8" t="inlineStr">
        <is>
          <t>Попытка</t>
        </is>
      </c>
      <c r="C97" s="9" t="inlineStr">
        <is>
          <t>TG</t>
        </is>
      </c>
      <c r="D97" s="10" t="inlineStr">
        <is>
          <t>S</t>
        </is>
      </c>
      <c r="E97" s="11" t="n">
        <v>1</v>
      </c>
      <c r="F97" s="11" t="n">
        <v>2</v>
      </c>
      <c r="G97" s="11" t="n">
        <v>3</v>
      </c>
      <c r="H97" s="11" t="n">
        <v>4</v>
      </c>
      <c r="I97" s="11" t="n">
        <v>5</v>
      </c>
      <c r="J97" s="2" t="n"/>
      <c r="K97" s="2" t="n"/>
    </row>
    <row r="98">
      <c r="A98" s="4" t="inlineStr">
        <is>
          <t>Студент1.1</t>
        </is>
      </c>
      <c r="B98" s="12" t="n"/>
      <c r="C98" s="4" t="inlineStr"/>
      <c r="D98" s="4">
        <f>IF(A98="","",SUMPRODUCT(E98:I98,E$96:I$96))</f>
        <v/>
      </c>
      <c r="E98" s="3" t="n"/>
      <c r="F98" s="3" t="n"/>
      <c r="G98" s="3" t="n"/>
      <c r="H98" s="3" t="n"/>
      <c r="I98" s="3" t="n"/>
      <c r="J98" s="4" t="n"/>
      <c r="K98" s="4" t="n"/>
    </row>
    <row r="99">
      <c r="A99" s="4" t="inlineStr">
        <is>
          <t>Студент1.2</t>
        </is>
      </c>
      <c r="B99" s="12" t="n"/>
      <c r="C99" s="4" t="inlineStr"/>
      <c r="D99" s="4">
        <f>IF(A99="","",SUMPRODUCT(E99:I99,E$96:I$96))</f>
        <v/>
      </c>
      <c r="E99" s="3" t="n"/>
      <c r="F99" s="3" t="n"/>
      <c r="G99" s="3" t="n"/>
      <c r="H99" s="3" t="n"/>
      <c r="I99" s="3" t="n"/>
      <c r="J99" s="4" t="n"/>
      <c r="K99" s="4" t="n"/>
    </row>
    <row r="100">
      <c r="A100" s="4" t="inlineStr">
        <is>
          <t>Студент1.3</t>
        </is>
      </c>
      <c r="B100" s="12" t="n"/>
      <c r="C100" s="4" t="inlineStr"/>
      <c r="D100" s="4">
        <f>IF(A100="","",SUMPRODUCT(E100:I100,E$96:I$96))</f>
        <v/>
      </c>
      <c r="E100" s="3" t="n"/>
      <c r="F100" s="3" t="n"/>
      <c r="G100" s="3" t="n"/>
      <c r="H100" s="3" t="n"/>
      <c r="I100" s="3" t="n"/>
      <c r="J100" s="4" t="n"/>
      <c r="K100" s="4" t="n"/>
    </row>
    <row r="101">
      <c r="A101" s="4" t="inlineStr">
        <is>
          <t>Студент1.4</t>
        </is>
      </c>
      <c r="B101" s="12" t="n"/>
      <c r="C101" s="4" t="inlineStr"/>
      <c r="D101" s="4">
        <f>IF(A101="","",SUMPRODUCT(E101:I101,E$96:I$96))</f>
        <v/>
      </c>
      <c r="E101" s="3" t="n"/>
      <c r="F101" s="3" t="n"/>
      <c r="G101" s="3" t="n"/>
      <c r="H101" s="3" t="n"/>
      <c r="I101" s="3" t="n"/>
      <c r="J101" s="4" t="n"/>
      <c r="K101" s="4" t="n"/>
    </row>
    <row r="102">
      <c r="A102" s="4" t="inlineStr">
        <is>
          <t>Студент1.5</t>
        </is>
      </c>
      <c r="B102" s="12" t="n"/>
      <c r="C102" s="4" t="inlineStr"/>
      <c r="D102" s="4">
        <f>IF(A102="","",SUMPRODUCT(E102:I102,E$96:I$96))</f>
        <v/>
      </c>
      <c r="E102" s="3" t="n"/>
      <c r="F102" s="3" t="n"/>
      <c r="G102" s="3" t="n"/>
      <c r="H102" s="3" t="n"/>
      <c r="I102" s="3" t="n"/>
      <c r="J102" s="4" t="n"/>
      <c r="K102" s="4" t="n"/>
    </row>
    <row r="103">
      <c r="A103" s="4" t="inlineStr">
        <is>
          <t>Студент1.6</t>
        </is>
      </c>
      <c r="B103" s="12" t="n"/>
      <c r="C103" s="4" t="inlineStr"/>
      <c r="D103" s="4">
        <f>IF(A103="","",SUMPRODUCT(E103:I103,E$96:I$96))</f>
        <v/>
      </c>
      <c r="E103" s="3" t="n"/>
      <c r="F103" s="3" t="n"/>
      <c r="G103" s="3" t="n"/>
      <c r="H103" s="3" t="n"/>
      <c r="I103" s="3" t="n"/>
      <c r="J103" s="4" t="n"/>
      <c r="K103" s="4" t="n"/>
    </row>
    <row r="104">
      <c r="A104" s="4" t="inlineStr">
        <is>
          <t>Студент1.7</t>
        </is>
      </c>
      <c r="B104" s="12" t="n"/>
      <c r="C104" s="4" t="inlineStr"/>
      <c r="D104" s="4">
        <f>IF(A104="","",SUMPRODUCT(E104:I104,E$96:I$96))</f>
        <v/>
      </c>
      <c r="E104" s="3" t="n"/>
      <c r="F104" s="3" t="n"/>
      <c r="G104" s="3" t="n"/>
      <c r="H104" s="3" t="n"/>
      <c r="I104" s="3" t="n"/>
      <c r="J104" s="4" t="n"/>
      <c r="K104" s="4" t="n"/>
    </row>
    <row r="105">
      <c r="A105" s="4" t="inlineStr">
        <is>
          <t>Студент1.8</t>
        </is>
      </c>
      <c r="B105" s="12" t="n"/>
      <c r="C105" s="4" t="inlineStr"/>
      <c r="D105" s="4">
        <f>IF(A105="","",SUMPRODUCT(E105:I105,E$96:I$96))</f>
        <v/>
      </c>
      <c r="E105" s="3" t="n"/>
      <c r="F105" s="3" t="n"/>
      <c r="G105" s="3" t="n"/>
      <c r="H105" s="3" t="n"/>
      <c r="I105" s="3" t="n"/>
      <c r="J105" s="4" t="n"/>
      <c r="K105" s="4" t="n"/>
    </row>
    <row r="106">
      <c r="A106" s="4" t="inlineStr">
        <is>
          <t>Студент1.9</t>
        </is>
      </c>
      <c r="B106" s="12" t="n"/>
      <c r="C106" s="4" t="inlineStr"/>
      <c r="D106" s="4">
        <f>IF(A106="","",SUMPRODUCT(E106:I106,E$96:I$96))</f>
        <v/>
      </c>
      <c r="E106" s="3" t="n"/>
      <c r="F106" s="3" t="n"/>
      <c r="G106" s="3" t="n"/>
      <c r="H106" s="3" t="n"/>
      <c r="I106" s="3" t="n"/>
      <c r="J106" s="4" t="n"/>
      <c r="K106" s="4" t="n"/>
    </row>
    <row r="107">
      <c r="A107" s="4" t="inlineStr">
        <is>
          <t>Студент1.10</t>
        </is>
      </c>
      <c r="B107" s="12" t="n"/>
      <c r="C107" s="4" t="inlineStr"/>
      <c r="D107" s="4">
        <f>IF(A107="","",SUMPRODUCT(E107:I107,E$96:I$96))</f>
        <v/>
      </c>
      <c r="E107" s="3" t="n"/>
      <c r="F107" s="3" t="n"/>
      <c r="G107" s="3" t="n"/>
      <c r="H107" s="3" t="n"/>
      <c r="I107" s="3" t="n"/>
      <c r="J107" s="4" t="n"/>
      <c r="K107" s="4" t="n"/>
    </row>
    <row r="108">
      <c r="A108" s="4" t="inlineStr">
        <is>
          <t>Студент1.11</t>
        </is>
      </c>
      <c r="B108" s="12" t="n"/>
      <c r="C108" s="4" t="inlineStr"/>
      <c r="D108" s="4">
        <f>IF(A108="","",SUMPRODUCT(E108:I108,E$96:I$96))</f>
        <v/>
      </c>
      <c r="E108" s="3" t="n"/>
      <c r="F108" s="3" t="n"/>
      <c r="G108" s="3" t="n"/>
      <c r="H108" s="3" t="n"/>
      <c r="I108" s="3" t="n"/>
      <c r="J108" s="4" t="n"/>
      <c r="K108" s="4" t="n"/>
    </row>
    <row r="109">
      <c r="A109" s="4" t="inlineStr">
        <is>
          <t>Студент1.12</t>
        </is>
      </c>
      <c r="B109" s="12" t="n"/>
      <c r="C109" s="4" t="inlineStr"/>
      <c r="D109" s="4">
        <f>IF(A109="","",SUMPRODUCT(E109:I109,E$96:I$96))</f>
        <v/>
      </c>
      <c r="E109" s="3" t="n"/>
      <c r="F109" s="3" t="n"/>
      <c r="G109" s="3" t="n"/>
      <c r="H109" s="3" t="n"/>
      <c r="I109" s="3" t="n"/>
      <c r="J109" s="4" t="n"/>
      <c r="K109" s="4" t="n"/>
    </row>
    <row r="110">
      <c r="A110" s="4" t="inlineStr">
        <is>
          <t>Студент1.13</t>
        </is>
      </c>
      <c r="B110" s="12" t="n"/>
      <c r="C110" s="4" t="inlineStr"/>
      <c r="D110" s="4">
        <f>IF(A110="","",SUMPRODUCT(E110:I110,E$96:I$96))</f>
        <v/>
      </c>
      <c r="E110" s="3" t="n"/>
      <c r="F110" s="3" t="n"/>
      <c r="G110" s="3" t="n"/>
      <c r="H110" s="3" t="n"/>
      <c r="I110" s="3" t="n"/>
      <c r="J110" s="4" t="n"/>
      <c r="K110" s="4" t="n"/>
    </row>
    <row r="111">
      <c r="A111" s="4" t="inlineStr">
        <is>
          <t>Студент1.14</t>
        </is>
      </c>
      <c r="B111" s="12" t="n"/>
      <c r="C111" s="4" t="inlineStr"/>
      <c r="D111" s="4">
        <f>IF(A111="","",SUMPRODUCT(E111:I111,E$96:I$96))</f>
        <v/>
      </c>
      <c r="E111" s="3" t="n"/>
      <c r="F111" s="3" t="n"/>
      <c r="G111" s="3" t="n"/>
      <c r="H111" s="3" t="n"/>
      <c r="I111" s="3" t="n"/>
      <c r="J111" s="4" t="n"/>
      <c r="K111" s="4" t="n"/>
    </row>
    <row r="112">
      <c r="A112" s="4" t="inlineStr">
        <is>
          <t>Студент1.15</t>
        </is>
      </c>
      <c r="B112" s="12" t="n"/>
      <c r="C112" s="4" t="inlineStr"/>
      <c r="D112" s="4">
        <f>IF(A112="","",SUMPRODUCT(E112:I112,E$96:I$96))</f>
        <v/>
      </c>
      <c r="E112" s="3" t="n"/>
      <c r="F112" s="3" t="n"/>
      <c r="G112" s="3" t="n"/>
      <c r="H112" s="3" t="n"/>
      <c r="I112" s="3" t="n"/>
      <c r="J112" s="4" t="n"/>
      <c r="K112" s="4" t="n"/>
    </row>
    <row r="113">
      <c r="A113" s="4" t="inlineStr">
        <is>
          <t>Студент1.16</t>
        </is>
      </c>
      <c r="B113" s="12" t="n"/>
      <c r="C113" s="4" t="inlineStr"/>
      <c r="D113" s="4">
        <f>IF(A113="","",SUMPRODUCT(E113:I113,E$96:I$96))</f>
        <v/>
      </c>
      <c r="E113" s="3" t="n"/>
      <c r="F113" s="3" t="n"/>
      <c r="G113" s="3" t="n"/>
      <c r="H113" s="3" t="n"/>
      <c r="I113" s="3" t="n"/>
      <c r="J113" s="4" t="n"/>
      <c r="K113" s="4" t="n"/>
    </row>
    <row r="114">
      <c r="A114" s="4" t="inlineStr">
        <is>
          <t>Студент1.17</t>
        </is>
      </c>
      <c r="B114" s="12" t="n"/>
      <c r="C114" s="4" t="inlineStr"/>
      <c r="D114" s="4">
        <f>IF(A114="","",SUMPRODUCT(E114:I114,E$96:I$96))</f>
        <v/>
      </c>
      <c r="E114" s="3" t="n"/>
      <c r="F114" s="3" t="n"/>
      <c r="G114" s="3" t="n"/>
      <c r="H114" s="3" t="n"/>
      <c r="I114" s="3" t="n"/>
      <c r="J114" s="4" t="n"/>
      <c r="K114" s="4" t="n"/>
    </row>
    <row r="115">
      <c r="A115" s="4" t="inlineStr">
        <is>
          <t>Студент1.18</t>
        </is>
      </c>
      <c r="B115" s="12" t="n"/>
      <c r="C115" s="4" t="inlineStr"/>
      <c r="D115" s="4">
        <f>IF(A115="","",SUMPRODUCT(E115:I115,E$96:I$96))</f>
        <v/>
      </c>
      <c r="E115" s="3" t="n"/>
      <c r="F115" s="3" t="n"/>
      <c r="G115" s="3" t="n"/>
      <c r="H115" s="3" t="n"/>
      <c r="I115" s="3" t="n"/>
      <c r="J115" s="4" t="n"/>
      <c r="K115" s="4" t="n"/>
    </row>
    <row r="116">
      <c r="A116" s="4" t="inlineStr">
        <is>
          <t>Студент1.19</t>
        </is>
      </c>
      <c r="B116" s="12" t="n"/>
      <c r="C116" s="4" t="inlineStr"/>
      <c r="D116" s="4">
        <f>IF(A116="","",SUMPRODUCT(E116:I116,E$96:I$96))</f>
        <v/>
      </c>
      <c r="E116" s="3" t="n"/>
      <c r="F116" s="3" t="n"/>
      <c r="G116" s="3" t="n"/>
      <c r="H116" s="3" t="n"/>
      <c r="I116" s="3" t="n"/>
      <c r="J116" s="4" t="n"/>
      <c r="K116" s="4" t="n"/>
    </row>
    <row r="117">
      <c r="A117" s="4" t="inlineStr">
        <is>
          <t>Студент1.20</t>
        </is>
      </c>
      <c r="B117" s="12" t="n"/>
      <c r="C117" s="4" t="inlineStr"/>
      <c r="D117" s="4">
        <f>IF(A117="","",SUMPRODUCT(E117:I117,E$96:I$96))</f>
        <v/>
      </c>
      <c r="E117" s="3" t="n"/>
      <c r="F117" s="3" t="n"/>
      <c r="G117" s="3" t="n"/>
      <c r="H117" s="3" t="n"/>
      <c r="I117" s="3" t="n"/>
      <c r="J117" s="4" t="n"/>
      <c r="K117" s="4" t="n"/>
    </row>
    <row r="118">
      <c r="A118" s="4" t="inlineStr">
        <is>
          <t>Студент1.21</t>
        </is>
      </c>
      <c r="B118" s="12" t="n"/>
      <c r="C118" s="4" t="inlineStr"/>
      <c r="D118" s="4">
        <f>IF(A118="","",SUMPRODUCT(E118:I118,E$96:I$96))</f>
        <v/>
      </c>
      <c r="E118" s="3" t="n"/>
      <c r="F118" s="3" t="n"/>
      <c r="G118" s="3" t="n"/>
      <c r="H118" s="3" t="n"/>
      <c r="I118" s="3" t="n"/>
      <c r="J118" s="4" t="n"/>
      <c r="K118" s="4" t="n"/>
    </row>
    <row r="119">
      <c r="A119" s="4" t="inlineStr">
        <is>
          <t>Студент1.22</t>
        </is>
      </c>
      <c r="B119" s="12" t="n"/>
      <c r="C119" s="4" t="inlineStr"/>
      <c r="D119" s="4">
        <f>IF(A119="","",SUMPRODUCT(E119:I119,E$96:I$96))</f>
        <v/>
      </c>
      <c r="E119" s="3" t="n"/>
      <c r="F119" s="3" t="n"/>
      <c r="G119" s="3" t="n"/>
      <c r="H119" s="3" t="n"/>
      <c r="I119" s="3" t="n"/>
      <c r="J119" s="4" t="n"/>
      <c r="K119" s="4" t="n"/>
    </row>
    <row r="120">
      <c r="A120" s="4" t="inlineStr">
        <is>
          <t>Студент1.23</t>
        </is>
      </c>
      <c r="B120" s="12" t="n"/>
      <c r="C120" s="4" t="inlineStr"/>
      <c r="D120" s="4">
        <f>IF(A120="","",SUMPRODUCT(E120:I120,E$96:I$96))</f>
        <v/>
      </c>
      <c r="E120" s="3" t="n"/>
      <c r="F120" s="3" t="n"/>
      <c r="G120" s="3" t="n"/>
      <c r="H120" s="3" t="n"/>
      <c r="I120" s="3" t="n"/>
      <c r="J120" s="4" t="n"/>
      <c r="K120" s="4" t="n"/>
    </row>
    <row r="121">
      <c r="A121" s="4" t="inlineStr">
        <is>
          <t>Студент1.24</t>
        </is>
      </c>
      <c r="B121" s="12" t="n"/>
      <c r="C121" s="4" t="inlineStr"/>
      <c r="D121" s="4">
        <f>IF(A121="","",SUMPRODUCT(E121:I121,E$96:I$96))</f>
        <v/>
      </c>
      <c r="E121" s="3" t="n"/>
      <c r="F121" s="3" t="n"/>
      <c r="G121" s="3" t="n"/>
      <c r="H121" s="3" t="n"/>
      <c r="I121" s="3" t="n"/>
      <c r="J121" s="4" t="n"/>
      <c r="K121" s="4" t="n"/>
    </row>
    <row r="122">
      <c r="A122" s="4" t="inlineStr">
        <is>
          <t>Студент1.25</t>
        </is>
      </c>
      <c r="B122" s="12" t="n"/>
      <c r="C122" s="4" t="inlineStr"/>
      <c r="D122" s="4">
        <f>IF(A122="","",SUMPRODUCT(E122:I122,E$96:I$96))</f>
        <v/>
      </c>
      <c r="E122" s="3" t="n"/>
      <c r="F122" s="3" t="n"/>
      <c r="G122" s="3" t="n"/>
      <c r="H122" s="3" t="n"/>
      <c r="I122" s="3" t="n"/>
      <c r="J122" s="4" t="n"/>
      <c r="K122" s="4" t="n"/>
    </row>
    <row r="123">
      <c r="A123" s="4" t="inlineStr">
        <is>
          <t>Студент1.26</t>
        </is>
      </c>
      <c r="B123" s="12" t="n"/>
      <c r="C123" s="4" t="inlineStr"/>
      <c r="D123" s="4">
        <f>IF(A123="","",SUMPRODUCT(E123:I123,E$96:I$96))</f>
        <v/>
      </c>
      <c r="E123" s="3" t="n"/>
      <c r="F123" s="3" t="n"/>
      <c r="G123" s="3" t="n"/>
      <c r="H123" s="3" t="n"/>
      <c r="I123" s="3" t="n"/>
      <c r="J123" s="4" t="n"/>
      <c r="K123" s="4" t="n"/>
    </row>
    <row r="124">
      <c r="A124" s="4" t="inlineStr">
        <is>
          <t>Студент1.27</t>
        </is>
      </c>
      <c r="B124" s="12" t="n"/>
      <c r="C124" s="4" t="inlineStr"/>
      <c r="D124" s="4">
        <f>IF(A124="","",SUMPRODUCT(E124:I124,E$96:I$96))</f>
        <v/>
      </c>
      <c r="E124" s="3" t="n"/>
      <c r="F124" s="3" t="n"/>
      <c r="G124" s="3" t="n"/>
      <c r="H124" s="3" t="n"/>
      <c r="I124" s="3" t="n"/>
      <c r="J124" s="4" t="n"/>
      <c r="K124" s="4" t="n"/>
    </row>
    <row r="125">
      <c r="A125" s="4" t="inlineStr">
        <is>
          <t>Студент1.28</t>
        </is>
      </c>
      <c r="B125" s="12" t="n"/>
      <c r="C125" s="4" t="inlineStr"/>
      <c r="D125" s="4">
        <f>IF(A125="","",SUMPRODUCT(E125:I125,E$96:I$96))</f>
        <v/>
      </c>
      <c r="E125" s="3" t="n"/>
      <c r="F125" s="3" t="n"/>
      <c r="G125" s="3" t="n"/>
      <c r="H125" s="3" t="n"/>
      <c r="I125" s="3" t="n"/>
      <c r="J125" s="4" t="n"/>
      <c r="K125" s="4" t="n"/>
    </row>
    <row r="126">
      <c r="A126" s="4" t="inlineStr">
        <is>
          <t>Студент1.29</t>
        </is>
      </c>
      <c r="B126" s="12" t="n"/>
      <c r="C126" s="4" t="inlineStr"/>
      <c r="D126" s="4">
        <f>IF(A126="","",SUMPRODUCT(E126:I126,E$96:I$96))</f>
        <v/>
      </c>
      <c r="E126" s="3" t="n"/>
      <c r="F126" s="3" t="n"/>
      <c r="G126" s="3" t="n"/>
      <c r="H126" s="3" t="n"/>
      <c r="I126" s="3" t="n"/>
      <c r="J126" s="4" t="n"/>
      <c r="K126" s="4" t="n"/>
    </row>
    <row r="127">
      <c r="A127" s="4" t="inlineStr">
        <is>
          <t>Студент1.30</t>
        </is>
      </c>
      <c r="B127" s="12" t="n"/>
      <c r="C127" s="4" t="inlineStr"/>
      <c r="D127" s="4">
        <f>IF(A127="","",SUMPRODUCT(E127:I127,E$96:I$96))</f>
        <v/>
      </c>
      <c r="E127" s="3" t="n"/>
      <c r="F127" s="3" t="n"/>
      <c r="G127" s="3" t="n"/>
      <c r="H127" s="3" t="n"/>
      <c r="I127" s="3" t="n"/>
      <c r="J127" s="4" t="n"/>
      <c r="K127" s="4" t="n"/>
    </row>
    <row r="128">
      <c r="A128" s="4" t="inlineStr">
        <is>
          <t>Студент2.1</t>
        </is>
      </c>
      <c r="B128" s="12" t="n"/>
      <c r="C128" s="4" t="inlineStr"/>
      <c r="D128" s="4">
        <f>IF(A128="","",SUMPRODUCT(E128:I128,E$96:I$96))</f>
        <v/>
      </c>
      <c r="E128" s="3" t="n"/>
      <c r="F128" s="3" t="n"/>
      <c r="G128" s="3" t="n"/>
      <c r="H128" s="3" t="n"/>
      <c r="I128" s="3" t="n"/>
      <c r="J128" s="4" t="n"/>
      <c r="K128" s="4" t="n"/>
    </row>
    <row r="129">
      <c r="A129" s="4" t="inlineStr">
        <is>
          <t>Студент2.2</t>
        </is>
      </c>
      <c r="B129" s="12" t="n"/>
      <c r="C129" s="4" t="inlineStr"/>
      <c r="D129" s="4">
        <f>IF(A129="","",SUMPRODUCT(E129:I129,E$96:I$96))</f>
        <v/>
      </c>
      <c r="E129" s="3" t="n"/>
      <c r="F129" s="3" t="n"/>
      <c r="G129" s="3" t="n"/>
      <c r="H129" s="3" t="n"/>
      <c r="I129" s="3" t="n"/>
      <c r="J129" s="4" t="n"/>
      <c r="K129" s="4" t="n"/>
    </row>
    <row r="130">
      <c r="A130" s="4" t="inlineStr">
        <is>
          <t>Студент2.3</t>
        </is>
      </c>
      <c r="B130" s="12" t="n"/>
      <c r="C130" s="4" t="inlineStr"/>
      <c r="D130" s="4">
        <f>IF(A130="","",SUMPRODUCT(E130:I130,E$96:I$96))</f>
        <v/>
      </c>
      <c r="E130" s="3" t="n"/>
      <c r="F130" s="3" t="n"/>
      <c r="G130" s="3" t="n"/>
      <c r="H130" s="3" t="n"/>
      <c r="I130" s="3" t="n"/>
      <c r="J130" s="4" t="n"/>
      <c r="K130" s="4" t="n"/>
    </row>
    <row r="131">
      <c r="A131" s="4" t="inlineStr">
        <is>
          <t>Студент2.4</t>
        </is>
      </c>
      <c r="B131" s="12" t="n"/>
      <c r="C131" s="4" t="inlineStr"/>
      <c r="D131" s="4">
        <f>IF(A131="","",SUMPRODUCT(E131:I131,E$96:I$96))</f>
        <v/>
      </c>
      <c r="E131" s="3" t="n"/>
      <c r="F131" s="3" t="n"/>
      <c r="G131" s="3" t="n"/>
      <c r="H131" s="3" t="n"/>
      <c r="I131" s="3" t="n"/>
      <c r="J131" s="4" t="n"/>
      <c r="K131" s="4" t="n"/>
    </row>
    <row r="132">
      <c r="A132" s="4" t="inlineStr">
        <is>
          <t>Студент2.5</t>
        </is>
      </c>
      <c r="B132" s="12" t="n"/>
      <c r="C132" s="4" t="inlineStr"/>
      <c r="D132" s="4">
        <f>IF(A132="","",SUMPRODUCT(E132:I132,E$96:I$96))</f>
        <v/>
      </c>
      <c r="E132" s="3" t="n"/>
      <c r="F132" s="3" t="n"/>
      <c r="G132" s="3" t="n"/>
      <c r="H132" s="3" t="n"/>
      <c r="I132" s="3" t="n"/>
      <c r="J132" s="4" t="n"/>
      <c r="K132" s="4" t="n"/>
    </row>
    <row r="133">
      <c r="A133" s="4" t="inlineStr">
        <is>
          <t>Студент2.6</t>
        </is>
      </c>
      <c r="B133" s="12" t="n"/>
      <c r="C133" s="4" t="inlineStr"/>
      <c r="D133" s="4">
        <f>IF(A133="","",SUMPRODUCT(E133:I133,E$96:I$96))</f>
        <v/>
      </c>
      <c r="E133" s="3" t="n"/>
      <c r="F133" s="3" t="n"/>
      <c r="G133" s="3" t="n"/>
      <c r="H133" s="3" t="n"/>
      <c r="I133" s="3" t="n"/>
      <c r="J133" s="4" t="n"/>
      <c r="K133" s="4" t="n"/>
    </row>
    <row r="134">
      <c r="A134" s="4" t="inlineStr">
        <is>
          <t>Студент2.7</t>
        </is>
      </c>
      <c r="B134" s="12" t="n"/>
      <c r="C134" s="4" t="inlineStr"/>
      <c r="D134" s="4">
        <f>IF(A134="","",SUMPRODUCT(E134:I134,E$96:I$96))</f>
        <v/>
      </c>
      <c r="E134" s="3" t="n"/>
      <c r="F134" s="3" t="n"/>
      <c r="G134" s="3" t="n"/>
      <c r="H134" s="3" t="n"/>
      <c r="I134" s="3" t="n"/>
      <c r="J134" s="4" t="n"/>
      <c r="K134" s="4" t="n"/>
    </row>
    <row r="135">
      <c r="A135" s="4" t="inlineStr">
        <is>
          <t>Студент2.8</t>
        </is>
      </c>
      <c r="B135" s="12" t="n"/>
      <c r="C135" s="4" t="inlineStr"/>
      <c r="D135" s="4">
        <f>IF(A135="","",SUMPRODUCT(E135:I135,E$96:I$96))</f>
        <v/>
      </c>
      <c r="E135" s="3" t="n"/>
      <c r="F135" s="3" t="n"/>
      <c r="G135" s="3" t="n"/>
      <c r="H135" s="3" t="n"/>
      <c r="I135" s="3" t="n"/>
      <c r="J135" s="4" t="n"/>
      <c r="K135" s="4" t="n"/>
    </row>
    <row r="136">
      <c r="A136" s="4" t="inlineStr">
        <is>
          <t>Студент2.9</t>
        </is>
      </c>
      <c r="B136" s="12" t="n"/>
      <c r="C136" s="4" t="inlineStr"/>
      <c r="D136" s="4">
        <f>IF(A136="","",SUMPRODUCT(E136:I136,E$96:I$96))</f>
        <v/>
      </c>
      <c r="E136" s="3" t="n"/>
      <c r="F136" s="3" t="n"/>
      <c r="G136" s="3" t="n"/>
      <c r="H136" s="3" t="n"/>
      <c r="I136" s="3" t="n"/>
      <c r="J136" s="4" t="n"/>
      <c r="K136" s="4" t="n"/>
    </row>
    <row r="137">
      <c r="A137" s="4" t="inlineStr">
        <is>
          <t>Студент2.10</t>
        </is>
      </c>
      <c r="B137" s="12" t="n"/>
      <c r="C137" s="4" t="inlineStr"/>
      <c r="D137" s="4">
        <f>IF(A137="","",SUMPRODUCT(E137:I137,E$96:I$96))</f>
        <v/>
      </c>
      <c r="E137" s="3" t="n"/>
      <c r="F137" s="3" t="n"/>
      <c r="G137" s="3" t="n"/>
      <c r="H137" s="3" t="n"/>
      <c r="I137" s="3" t="n"/>
      <c r="J137" s="4" t="n"/>
      <c r="K137" s="4" t="n"/>
    </row>
    <row r="138">
      <c r="A138" s="4" t="inlineStr">
        <is>
          <t>Студент2.11</t>
        </is>
      </c>
      <c r="B138" s="12" t="n"/>
      <c r="C138" s="4" t="inlineStr"/>
      <c r="D138" s="4">
        <f>IF(A138="","",SUMPRODUCT(E138:I138,E$96:I$96))</f>
        <v/>
      </c>
      <c r="E138" s="3" t="n"/>
      <c r="F138" s="3" t="n"/>
      <c r="G138" s="3" t="n"/>
      <c r="H138" s="3" t="n"/>
      <c r="I138" s="3" t="n"/>
      <c r="J138" s="4" t="n"/>
      <c r="K138" s="4" t="n"/>
    </row>
    <row r="139">
      <c r="A139" s="4" t="inlineStr">
        <is>
          <t>Студент2.12</t>
        </is>
      </c>
      <c r="B139" s="12" t="n"/>
      <c r="C139" s="4" t="inlineStr"/>
      <c r="D139" s="4">
        <f>IF(A139="","",SUMPRODUCT(E139:I139,E$96:I$96))</f>
        <v/>
      </c>
      <c r="E139" s="3" t="n"/>
      <c r="F139" s="3" t="n"/>
      <c r="G139" s="3" t="n"/>
      <c r="H139" s="3" t="n"/>
      <c r="I139" s="3" t="n"/>
      <c r="J139" s="4" t="n"/>
      <c r="K139" s="4" t="n"/>
    </row>
    <row r="140">
      <c r="A140" s="4" t="inlineStr">
        <is>
          <t>Студент2.13</t>
        </is>
      </c>
      <c r="B140" s="12" t="n"/>
      <c r="C140" s="4" t="inlineStr"/>
      <c r="D140" s="4">
        <f>IF(A140="","",SUMPRODUCT(E140:I140,E$96:I$96))</f>
        <v/>
      </c>
      <c r="E140" s="3" t="n"/>
      <c r="F140" s="3" t="n"/>
      <c r="G140" s="3" t="n"/>
      <c r="H140" s="3" t="n"/>
      <c r="I140" s="3" t="n"/>
      <c r="J140" s="4" t="n"/>
      <c r="K140" s="4" t="n"/>
    </row>
    <row r="141">
      <c r="A141" s="4" t="inlineStr">
        <is>
          <t>Студент2.14</t>
        </is>
      </c>
      <c r="B141" s="12" t="n"/>
      <c r="C141" s="4" t="inlineStr"/>
      <c r="D141" s="4">
        <f>IF(A141="","",SUMPRODUCT(E141:I141,E$96:I$96))</f>
        <v/>
      </c>
      <c r="E141" s="3" t="n"/>
      <c r="F141" s="3" t="n"/>
      <c r="G141" s="3" t="n"/>
      <c r="H141" s="3" t="n"/>
      <c r="I141" s="3" t="n"/>
      <c r="J141" s="4" t="n"/>
      <c r="K141" s="4" t="n"/>
    </row>
    <row r="142">
      <c r="A142" s="4" t="inlineStr">
        <is>
          <t>Студент2.15</t>
        </is>
      </c>
      <c r="B142" s="12" t="n"/>
      <c r="C142" s="4" t="inlineStr"/>
      <c r="D142" s="4">
        <f>IF(A142="","",SUMPRODUCT(E142:I142,E$96:I$96))</f>
        <v/>
      </c>
      <c r="E142" s="3" t="n"/>
      <c r="F142" s="3" t="n"/>
      <c r="G142" s="3" t="n"/>
      <c r="H142" s="3" t="n"/>
      <c r="I142" s="3" t="n"/>
      <c r="J142" s="4" t="n"/>
      <c r="K142" s="4" t="n"/>
    </row>
    <row r="143">
      <c r="A143" s="4" t="inlineStr">
        <is>
          <t>Студент2.16</t>
        </is>
      </c>
      <c r="B143" s="12" t="n"/>
      <c r="C143" s="4" t="inlineStr"/>
      <c r="D143" s="4">
        <f>IF(A143="","",SUMPRODUCT(E143:I143,E$96:I$96))</f>
        <v/>
      </c>
      <c r="E143" s="3" t="n"/>
      <c r="F143" s="3" t="n"/>
      <c r="G143" s="3" t="n"/>
      <c r="H143" s="3" t="n"/>
      <c r="I143" s="3" t="n"/>
      <c r="J143" s="4" t="n"/>
      <c r="K143" s="4" t="n"/>
    </row>
    <row r="144">
      <c r="A144" s="4" t="inlineStr">
        <is>
          <t>Студент2.17</t>
        </is>
      </c>
      <c r="B144" s="12" t="n"/>
      <c r="C144" s="4" t="inlineStr"/>
      <c r="D144" s="4">
        <f>IF(A144="","",SUMPRODUCT(E144:I144,E$96:I$96))</f>
        <v/>
      </c>
      <c r="E144" s="3" t="n"/>
      <c r="F144" s="3" t="n"/>
      <c r="G144" s="3" t="n"/>
      <c r="H144" s="3" t="n"/>
      <c r="I144" s="3" t="n"/>
      <c r="J144" s="4" t="n"/>
      <c r="K144" s="4" t="n"/>
    </row>
    <row r="145">
      <c r="A145" s="4" t="inlineStr">
        <is>
          <t>Студент2.18</t>
        </is>
      </c>
      <c r="B145" s="12" t="n"/>
      <c r="C145" s="4" t="inlineStr"/>
      <c r="D145" s="4">
        <f>IF(A145="","",SUMPRODUCT(E145:I145,E$96:I$96))</f>
        <v/>
      </c>
      <c r="E145" s="3" t="n"/>
      <c r="F145" s="3" t="n"/>
      <c r="G145" s="3" t="n"/>
      <c r="H145" s="3" t="n"/>
      <c r="I145" s="3" t="n"/>
      <c r="J145" s="4" t="n"/>
      <c r="K145" s="4" t="n"/>
    </row>
    <row r="146">
      <c r="A146" s="4" t="inlineStr">
        <is>
          <t>Студент2.19</t>
        </is>
      </c>
      <c r="B146" s="12" t="n"/>
      <c r="C146" s="4" t="inlineStr"/>
      <c r="D146" s="4">
        <f>IF(A146="","",SUMPRODUCT(E146:I146,E$96:I$96))</f>
        <v/>
      </c>
      <c r="E146" s="3" t="n"/>
      <c r="F146" s="3" t="n"/>
      <c r="G146" s="3" t="n"/>
      <c r="H146" s="3" t="n"/>
      <c r="I146" s="3" t="n"/>
      <c r="J146" s="4" t="n"/>
      <c r="K146" s="4" t="n"/>
    </row>
    <row r="147">
      <c r="A147" s="4" t="inlineStr">
        <is>
          <t>Студент2.20</t>
        </is>
      </c>
      <c r="B147" s="12" t="n"/>
      <c r="C147" s="4" t="inlineStr"/>
      <c r="D147" s="4">
        <f>IF(A147="","",SUMPRODUCT(E147:I147,E$96:I$96))</f>
        <v/>
      </c>
      <c r="E147" s="3" t="n"/>
      <c r="F147" s="3" t="n"/>
      <c r="G147" s="3" t="n"/>
      <c r="H147" s="3" t="n"/>
      <c r="I147" s="3" t="n"/>
      <c r="J147" s="4" t="n"/>
      <c r="K147" s="4" t="n"/>
    </row>
    <row r="148">
      <c r="A148" s="4" t="inlineStr">
        <is>
          <t>Студент2.21</t>
        </is>
      </c>
      <c r="B148" s="12" t="n"/>
      <c r="C148" s="4" t="inlineStr"/>
      <c r="D148" s="4">
        <f>IF(A148="","",SUMPRODUCT(E148:I148,E$96:I$96))</f>
        <v/>
      </c>
      <c r="E148" s="3" t="n"/>
      <c r="F148" s="3" t="n"/>
      <c r="G148" s="3" t="n"/>
      <c r="H148" s="3" t="n"/>
      <c r="I148" s="3" t="n"/>
      <c r="J148" s="4" t="n"/>
      <c r="K148" s="4" t="n"/>
    </row>
    <row r="149">
      <c r="A149" s="4" t="inlineStr">
        <is>
          <t>Студент2.22</t>
        </is>
      </c>
      <c r="B149" s="12" t="n"/>
      <c r="C149" s="4" t="inlineStr"/>
      <c r="D149" s="4">
        <f>IF(A149="","",SUMPRODUCT(E149:I149,E$96:I$96))</f>
        <v/>
      </c>
      <c r="E149" s="3" t="n"/>
      <c r="F149" s="3" t="n"/>
      <c r="G149" s="3" t="n"/>
      <c r="H149" s="3" t="n"/>
      <c r="I149" s="3" t="n"/>
      <c r="J149" s="4" t="n"/>
      <c r="K149" s="4" t="n"/>
    </row>
    <row r="150">
      <c r="A150" s="4" t="inlineStr">
        <is>
          <t>Студент2.23</t>
        </is>
      </c>
      <c r="B150" s="12" t="n"/>
      <c r="C150" s="4" t="inlineStr"/>
      <c r="D150" s="4">
        <f>IF(A150="","",SUMPRODUCT(E150:I150,E$96:I$96))</f>
        <v/>
      </c>
      <c r="E150" s="3" t="n"/>
      <c r="F150" s="3" t="n"/>
      <c r="G150" s="3" t="n"/>
      <c r="H150" s="3" t="n"/>
      <c r="I150" s="3" t="n"/>
      <c r="J150" s="4" t="n"/>
      <c r="K150" s="4" t="n"/>
    </row>
    <row r="151">
      <c r="A151" s="4" t="inlineStr">
        <is>
          <t>Студент2.24</t>
        </is>
      </c>
      <c r="B151" s="12" t="n"/>
      <c r="C151" s="4" t="inlineStr"/>
      <c r="D151" s="4">
        <f>IF(A151="","",SUMPRODUCT(E151:I151,E$96:I$96))</f>
        <v/>
      </c>
      <c r="E151" s="3" t="n"/>
      <c r="F151" s="3" t="n"/>
      <c r="G151" s="3" t="n"/>
      <c r="H151" s="3" t="n"/>
      <c r="I151" s="3" t="n"/>
      <c r="J151" s="4" t="n"/>
      <c r="K151" s="4" t="n"/>
    </row>
    <row r="152">
      <c r="A152" s="4" t="inlineStr">
        <is>
          <t>Студент2.25</t>
        </is>
      </c>
      <c r="B152" s="12" t="n"/>
      <c r="C152" s="4" t="inlineStr"/>
      <c r="D152" s="4">
        <f>IF(A152="","",SUMPRODUCT(E152:I152,E$96:I$96))</f>
        <v/>
      </c>
      <c r="E152" s="3" t="n"/>
      <c r="F152" s="3" t="n"/>
      <c r="G152" s="3" t="n"/>
      <c r="H152" s="3" t="n"/>
      <c r="I152" s="3" t="n"/>
      <c r="J152" s="4" t="n"/>
      <c r="K152" s="4" t="n"/>
    </row>
    <row r="153">
      <c r="A153" s="4" t="inlineStr">
        <is>
          <t>Студент2.26</t>
        </is>
      </c>
      <c r="B153" s="12" t="n"/>
      <c r="C153" s="4" t="inlineStr"/>
      <c r="D153" s="4">
        <f>IF(A153="","",SUMPRODUCT(E153:I153,E$96:I$96))</f>
        <v/>
      </c>
      <c r="E153" s="3" t="n"/>
      <c r="F153" s="3" t="n"/>
      <c r="G153" s="3" t="n"/>
      <c r="H153" s="3" t="n"/>
      <c r="I153" s="3" t="n"/>
      <c r="J153" s="4" t="n"/>
      <c r="K153" s="4" t="n"/>
    </row>
    <row r="154">
      <c r="A154" s="4" t="inlineStr">
        <is>
          <t>Студент2.27</t>
        </is>
      </c>
      <c r="B154" s="12" t="n"/>
      <c r="C154" s="4" t="inlineStr"/>
      <c r="D154" s="4">
        <f>IF(A154="","",SUMPRODUCT(E154:I154,E$96:I$96))</f>
        <v/>
      </c>
      <c r="E154" s="3" t="n"/>
      <c r="F154" s="3" t="n"/>
      <c r="G154" s="3" t="n"/>
      <c r="H154" s="3" t="n"/>
      <c r="I154" s="3" t="n"/>
      <c r="J154" s="4" t="n"/>
      <c r="K154" s="4" t="n"/>
    </row>
    <row r="155">
      <c r="A155" s="4" t="inlineStr">
        <is>
          <t>Студент2.28</t>
        </is>
      </c>
      <c r="B155" s="12" t="n"/>
      <c r="C155" s="4" t="inlineStr"/>
      <c r="D155" s="4">
        <f>IF(A155="","",SUMPRODUCT(E155:I155,E$96:I$96))</f>
        <v/>
      </c>
      <c r="E155" s="3" t="n"/>
      <c r="F155" s="3" t="n"/>
      <c r="G155" s="3" t="n"/>
      <c r="H155" s="3" t="n"/>
      <c r="I155" s="3" t="n"/>
      <c r="J155" s="4" t="n"/>
      <c r="K155" s="4" t="n"/>
    </row>
    <row r="156">
      <c r="A156" s="4" t="inlineStr">
        <is>
          <t>Студент2.29</t>
        </is>
      </c>
      <c r="B156" s="12" t="n"/>
      <c r="C156" s="4" t="inlineStr"/>
      <c r="D156" s="4">
        <f>IF(A156="","",SUMPRODUCT(E156:I156,E$96:I$96))</f>
        <v/>
      </c>
      <c r="E156" s="3" t="n"/>
      <c r="F156" s="3" t="n"/>
      <c r="G156" s="3" t="n"/>
      <c r="H156" s="3" t="n"/>
      <c r="I156" s="3" t="n"/>
      <c r="J156" s="4" t="n"/>
      <c r="K156" s="4" t="n"/>
    </row>
    <row r="157">
      <c r="A157" s="4" t="inlineStr">
        <is>
          <t>Студент2.30</t>
        </is>
      </c>
      <c r="B157" s="12" t="n"/>
      <c r="C157" s="4" t="inlineStr"/>
      <c r="D157" s="4">
        <f>IF(A157="","",SUMPRODUCT(E157:I157,E$96:I$96))</f>
        <v/>
      </c>
      <c r="E157" s="3" t="n"/>
      <c r="F157" s="3" t="n"/>
      <c r="G157" s="3" t="n"/>
      <c r="H157" s="3" t="n"/>
      <c r="I157" s="3" t="n"/>
      <c r="J157" s="4" t="n"/>
      <c r="K157" s="4" t="n"/>
    </row>
    <row r="158">
      <c r="A158" s="4" t="inlineStr">
        <is>
          <t>Студент3.1</t>
        </is>
      </c>
      <c r="B158" s="12" t="n"/>
      <c r="C158" s="4" t="inlineStr"/>
      <c r="D158" s="4">
        <f>IF(A158="","",SUMPRODUCT(E158:I158,E$96:I$96))</f>
        <v/>
      </c>
      <c r="E158" s="3" t="n"/>
      <c r="F158" s="3" t="n"/>
      <c r="G158" s="3" t="n"/>
      <c r="H158" s="3" t="n"/>
      <c r="I158" s="3" t="n"/>
      <c r="J158" s="4" t="n"/>
      <c r="K158" s="4" t="n"/>
    </row>
    <row r="159">
      <c r="A159" s="4" t="inlineStr">
        <is>
          <t>Студент3.2</t>
        </is>
      </c>
      <c r="B159" s="12" t="n"/>
      <c r="C159" s="4" t="inlineStr"/>
      <c r="D159" s="4">
        <f>IF(A159="","",SUMPRODUCT(E159:I159,E$96:I$96))</f>
        <v/>
      </c>
      <c r="E159" s="3" t="n"/>
      <c r="F159" s="3" t="n"/>
      <c r="G159" s="3" t="n"/>
      <c r="H159" s="3" t="n"/>
      <c r="I159" s="3" t="n"/>
      <c r="J159" s="4" t="n"/>
      <c r="K159" s="4" t="n"/>
    </row>
    <row r="160">
      <c r="A160" s="4" t="inlineStr">
        <is>
          <t>Студент3.3</t>
        </is>
      </c>
      <c r="B160" s="12" t="n"/>
      <c r="C160" s="4" t="inlineStr"/>
      <c r="D160" s="4">
        <f>IF(A160="","",SUMPRODUCT(E160:I160,E$96:I$96))</f>
        <v/>
      </c>
      <c r="E160" s="3" t="n"/>
      <c r="F160" s="3" t="n"/>
      <c r="G160" s="3" t="n"/>
      <c r="H160" s="3" t="n"/>
      <c r="I160" s="3" t="n"/>
      <c r="J160" s="4" t="n"/>
      <c r="K160" s="4" t="n"/>
    </row>
    <row r="161">
      <c r="A161" s="4" t="inlineStr">
        <is>
          <t>Студент3.4</t>
        </is>
      </c>
      <c r="B161" s="12" t="n"/>
      <c r="C161" s="4" t="inlineStr"/>
      <c r="D161" s="4">
        <f>IF(A161="","",SUMPRODUCT(E161:I161,E$96:I$96))</f>
        <v/>
      </c>
      <c r="E161" s="3" t="n"/>
      <c r="F161" s="3" t="n"/>
      <c r="G161" s="3" t="n"/>
      <c r="H161" s="3" t="n"/>
      <c r="I161" s="3" t="n"/>
      <c r="J161" s="4" t="n"/>
      <c r="K161" s="4" t="n"/>
    </row>
    <row r="162">
      <c r="A162" s="4" t="inlineStr">
        <is>
          <t>Студент3.5</t>
        </is>
      </c>
      <c r="B162" s="12" t="n"/>
      <c r="C162" s="4" t="inlineStr"/>
      <c r="D162" s="4">
        <f>IF(A162="","",SUMPRODUCT(E162:I162,E$96:I$96))</f>
        <v/>
      </c>
      <c r="E162" s="3" t="n"/>
      <c r="F162" s="3" t="n"/>
      <c r="G162" s="3" t="n"/>
      <c r="H162" s="3" t="n"/>
      <c r="I162" s="3" t="n"/>
      <c r="J162" s="4" t="n"/>
      <c r="K162" s="4" t="n"/>
    </row>
    <row r="163">
      <c r="A163" s="4" t="inlineStr">
        <is>
          <t>Студент3.6</t>
        </is>
      </c>
      <c r="B163" s="12" t="n"/>
      <c r="C163" s="4" t="inlineStr"/>
      <c r="D163" s="4">
        <f>IF(A163="","",SUMPRODUCT(E163:I163,E$96:I$96))</f>
        <v/>
      </c>
      <c r="E163" s="3" t="n"/>
      <c r="F163" s="3" t="n"/>
      <c r="G163" s="3" t="n"/>
      <c r="H163" s="3" t="n"/>
      <c r="I163" s="3" t="n"/>
      <c r="J163" s="4" t="n"/>
      <c r="K163" s="4" t="n"/>
    </row>
    <row r="164">
      <c r="A164" s="4" t="inlineStr">
        <is>
          <t>Студент3.7</t>
        </is>
      </c>
      <c r="B164" s="12" t="n"/>
      <c r="C164" s="4" t="inlineStr"/>
      <c r="D164" s="4">
        <f>IF(A164="","",SUMPRODUCT(E164:I164,E$96:I$96))</f>
        <v/>
      </c>
      <c r="E164" s="3" t="n"/>
      <c r="F164" s="3" t="n"/>
      <c r="G164" s="3" t="n"/>
      <c r="H164" s="3" t="n"/>
      <c r="I164" s="3" t="n"/>
      <c r="J164" s="4" t="n"/>
      <c r="K164" s="4" t="n"/>
    </row>
    <row r="165">
      <c r="A165" s="4" t="inlineStr">
        <is>
          <t>Студент3.8</t>
        </is>
      </c>
      <c r="B165" s="12" t="n"/>
      <c r="C165" s="4" t="inlineStr"/>
      <c r="D165" s="4">
        <f>IF(A165="","",SUMPRODUCT(E165:I165,E$96:I$96))</f>
        <v/>
      </c>
      <c r="E165" s="3" t="n"/>
      <c r="F165" s="3" t="n"/>
      <c r="G165" s="3" t="n"/>
      <c r="H165" s="3" t="n"/>
      <c r="I165" s="3" t="n"/>
      <c r="J165" s="4" t="n"/>
      <c r="K165" s="4" t="n"/>
    </row>
    <row r="166">
      <c r="A166" s="4" t="inlineStr">
        <is>
          <t>Студент3.9</t>
        </is>
      </c>
      <c r="B166" s="12" t="n"/>
      <c r="C166" s="4" t="inlineStr"/>
      <c r="D166" s="4">
        <f>IF(A166="","",SUMPRODUCT(E166:I166,E$96:I$96))</f>
        <v/>
      </c>
      <c r="E166" s="3" t="n"/>
      <c r="F166" s="3" t="n"/>
      <c r="G166" s="3" t="n"/>
      <c r="H166" s="3" t="n"/>
      <c r="I166" s="3" t="n"/>
      <c r="J166" s="4" t="n"/>
      <c r="K166" s="4" t="n"/>
    </row>
    <row r="167">
      <c r="A167" s="4" t="inlineStr">
        <is>
          <t>Студент3.10</t>
        </is>
      </c>
      <c r="B167" s="12" t="n"/>
      <c r="C167" s="4" t="inlineStr"/>
      <c r="D167" s="4">
        <f>IF(A167="","",SUMPRODUCT(E167:I167,E$96:I$96))</f>
        <v/>
      </c>
      <c r="E167" s="3" t="n"/>
      <c r="F167" s="3" t="n"/>
      <c r="G167" s="3" t="n"/>
      <c r="H167" s="3" t="n"/>
      <c r="I167" s="3" t="n"/>
      <c r="J167" s="4" t="n"/>
      <c r="K167" s="4" t="n"/>
    </row>
    <row r="168">
      <c r="A168" s="4" t="inlineStr">
        <is>
          <t>Студент3.11</t>
        </is>
      </c>
      <c r="B168" s="12" t="n"/>
      <c r="C168" s="4" t="inlineStr"/>
      <c r="D168" s="4">
        <f>IF(A168="","",SUMPRODUCT(E168:I168,E$96:I$96))</f>
        <v/>
      </c>
      <c r="E168" s="3" t="n"/>
      <c r="F168" s="3" t="n"/>
      <c r="G168" s="3" t="n"/>
      <c r="H168" s="3" t="n"/>
      <c r="I168" s="3" t="n"/>
      <c r="J168" s="4" t="n"/>
      <c r="K168" s="4" t="n"/>
    </row>
    <row r="169">
      <c r="A169" s="4" t="inlineStr">
        <is>
          <t>Студент3.12</t>
        </is>
      </c>
      <c r="B169" s="12" t="n"/>
      <c r="C169" s="4" t="inlineStr"/>
      <c r="D169" s="4">
        <f>IF(A169="","",SUMPRODUCT(E169:I169,E$96:I$96))</f>
        <v/>
      </c>
      <c r="E169" s="3" t="n"/>
      <c r="F169" s="3" t="n"/>
      <c r="G169" s="3" t="n"/>
      <c r="H169" s="3" t="n"/>
      <c r="I169" s="3" t="n"/>
      <c r="J169" s="4" t="n"/>
      <c r="K169" s="4" t="n"/>
    </row>
    <row r="170">
      <c r="A170" s="4" t="inlineStr">
        <is>
          <t>Студент3.13</t>
        </is>
      </c>
      <c r="B170" s="12" t="n"/>
      <c r="C170" s="4" t="inlineStr"/>
      <c r="D170" s="4">
        <f>IF(A170="","",SUMPRODUCT(E170:I170,E$96:I$96))</f>
        <v/>
      </c>
      <c r="E170" s="3" t="n"/>
      <c r="F170" s="3" t="n"/>
      <c r="G170" s="3" t="n"/>
      <c r="H170" s="3" t="n"/>
      <c r="I170" s="3" t="n"/>
      <c r="J170" s="4" t="n"/>
      <c r="K170" s="4" t="n"/>
    </row>
    <row r="171">
      <c r="A171" s="4" t="inlineStr">
        <is>
          <t>Студент3.14</t>
        </is>
      </c>
      <c r="B171" s="12" t="n"/>
      <c r="C171" s="4" t="inlineStr"/>
      <c r="D171" s="4">
        <f>IF(A171="","",SUMPRODUCT(E171:I171,E$96:I$96))</f>
        <v/>
      </c>
      <c r="E171" s="3" t="n"/>
      <c r="F171" s="3" t="n"/>
      <c r="G171" s="3" t="n"/>
      <c r="H171" s="3" t="n"/>
      <c r="I171" s="3" t="n"/>
      <c r="J171" s="4" t="n"/>
      <c r="K171" s="4" t="n"/>
    </row>
    <row r="172">
      <c r="A172" s="4" t="inlineStr">
        <is>
          <t>Студент3.15</t>
        </is>
      </c>
      <c r="B172" s="12" t="n"/>
      <c r="C172" s="4" t="inlineStr"/>
      <c r="D172" s="4">
        <f>IF(A172="","",SUMPRODUCT(E172:I172,E$96:I$96))</f>
        <v/>
      </c>
      <c r="E172" s="3" t="n"/>
      <c r="F172" s="3" t="n"/>
      <c r="G172" s="3" t="n"/>
      <c r="H172" s="3" t="n"/>
      <c r="I172" s="3" t="n"/>
      <c r="J172" s="4" t="n"/>
      <c r="K172" s="4" t="n"/>
    </row>
    <row r="173">
      <c r="A173" s="4" t="inlineStr">
        <is>
          <t>Студент3.16</t>
        </is>
      </c>
      <c r="B173" s="12" t="n"/>
      <c r="C173" s="4" t="inlineStr"/>
      <c r="D173" s="4">
        <f>IF(A173="","",SUMPRODUCT(E173:I173,E$96:I$96))</f>
        <v/>
      </c>
      <c r="E173" s="3" t="n"/>
      <c r="F173" s="3" t="n"/>
      <c r="G173" s="3" t="n"/>
      <c r="H173" s="3" t="n"/>
      <c r="I173" s="3" t="n"/>
      <c r="J173" s="4" t="n"/>
      <c r="K173" s="4" t="n"/>
    </row>
    <row r="174">
      <c r="A174" s="4" t="inlineStr">
        <is>
          <t>Студент3.17</t>
        </is>
      </c>
      <c r="B174" s="12" t="n"/>
      <c r="C174" s="4" t="inlineStr"/>
      <c r="D174" s="4">
        <f>IF(A174="","",SUMPRODUCT(E174:I174,E$96:I$96))</f>
        <v/>
      </c>
      <c r="E174" s="3" t="n"/>
      <c r="F174" s="3" t="n"/>
      <c r="G174" s="3" t="n"/>
      <c r="H174" s="3" t="n"/>
      <c r="I174" s="3" t="n"/>
      <c r="J174" s="4" t="n"/>
      <c r="K174" s="4" t="n"/>
    </row>
    <row r="175">
      <c r="A175" s="4" t="inlineStr">
        <is>
          <t>Студент3.18</t>
        </is>
      </c>
      <c r="B175" s="12" t="n"/>
      <c r="C175" s="4" t="inlineStr"/>
      <c r="D175" s="4">
        <f>IF(A175="","",SUMPRODUCT(E175:I175,E$96:I$96))</f>
        <v/>
      </c>
      <c r="E175" s="3" t="n"/>
      <c r="F175" s="3" t="n"/>
      <c r="G175" s="3" t="n"/>
      <c r="H175" s="3" t="n"/>
      <c r="I175" s="3" t="n"/>
      <c r="J175" s="4" t="n"/>
      <c r="K175" s="4" t="n"/>
    </row>
    <row r="176">
      <c r="A176" s="4" t="inlineStr">
        <is>
          <t>Студент3.19</t>
        </is>
      </c>
      <c r="B176" s="12" t="n"/>
      <c r="C176" s="4" t="inlineStr"/>
      <c r="D176" s="4">
        <f>IF(A176="","",SUMPRODUCT(E176:I176,E$96:I$96))</f>
        <v/>
      </c>
      <c r="E176" s="3" t="n"/>
      <c r="F176" s="3" t="n"/>
      <c r="G176" s="3" t="n"/>
      <c r="H176" s="3" t="n"/>
      <c r="I176" s="3" t="n"/>
      <c r="J176" s="4" t="n"/>
      <c r="K176" s="4" t="n"/>
    </row>
    <row r="177">
      <c r="A177" s="4" t="inlineStr">
        <is>
          <t>Студент3.20</t>
        </is>
      </c>
      <c r="B177" s="12" t="n"/>
      <c r="C177" s="4" t="inlineStr"/>
      <c r="D177" s="4">
        <f>IF(A177="","",SUMPRODUCT(E177:I177,E$96:I$96))</f>
        <v/>
      </c>
      <c r="E177" s="3" t="n"/>
      <c r="F177" s="3" t="n"/>
      <c r="G177" s="3" t="n"/>
      <c r="H177" s="3" t="n"/>
      <c r="I177" s="3" t="n"/>
      <c r="J177" s="4" t="n"/>
      <c r="K177" s="4" t="n"/>
    </row>
    <row r="178">
      <c r="A178" s="4" t="inlineStr">
        <is>
          <t>Студент3.21</t>
        </is>
      </c>
      <c r="B178" s="12" t="n"/>
      <c r="C178" s="4" t="inlineStr"/>
      <c r="D178" s="4">
        <f>IF(A178="","",SUMPRODUCT(E178:I178,E$96:I$96))</f>
        <v/>
      </c>
      <c r="E178" s="3" t="n"/>
      <c r="F178" s="3" t="n"/>
      <c r="G178" s="3" t="n"/>
      <c r="H178" s="3" t="n"/>
      <c r="I178" s="3" t="n"/>
      <c r="J178" s="4" t="n"/>
      <c r="K178" s="4" t="n"/>
    </row>
    <row r="179">
      <c r="A179" s="4" t="inlineStr">
        <is>
          <t>Студент3.22</t>
        </is>
      </c>
      <c r="B179" s="12" t="n"/>
      <c r="C179" s="4" t="inlineStr"/>
      <c r="D179" s="4">
        <f>IF(A179="","",SUMPRODUCT(E179:I179,E$96:I$96))</f>
        <v/>
      </c>
      <c r="E179" s="3" t="n"/>
      <c r="F179" s="3" t="n"/>
      <c r="G179" s="3" t="n"/>
      <c r="H179" s="3" t="n"/>
      <c r="I179" s="3" t="n"/>
      <c r="J179" s="4" t="n"/>
      <c r="K179" s="4" t="n"/>
    </row>
    <row r="180">
      <c r="A180" s="4" t="inlineStr">
        <is>
          <t>Студент3.23</t>
        </is>
      </c>
      <c r="B180" s="12" t="n"/>
      <c r="C180" s="4" t="inlineStr"/>
      <c r="D180" s="4">
        <f>IF(A180="","",SUMPRODUCT(E180:I180,E$96:I$96))</f>
        <v/>
      </c>
      <c r="E180" s="3" t="n"/>
      <c r="F180" s="3" t="n"/>
      <c r="G180" s="3" t="n"/>
      <c r="H180" s="3" t="n"/>
      <c r="I180" s="3" t="n"/>
      <c r="J180" s="4" t="n"/>
      <c r="K180" s="4" t="n"/>
    </row>
    <row r="181">
      <c r="A181" s="4" t="inlineStr">
        <is>
          <t>Студент3.24</t>
        </is>
      </c>
      <c r="B181" s="12" t="n"/>
      <c r="C181" s="4" t="inlineStr"/>
      <c r="D181" s="4">
        <f>IF(A181="","",SUMPRODUCT(E181:I181,E$96:I$96))</f>
        <v/>
      </c>
      <c r="E181" s="3" t="n"/>
      <c r="F181" s="3" t="n"/>
      <c r="G181" s="3" t="n"/>
      <c r="H181" s="3" t="n"/>
      <c r="I181" s="3" t="n"/>
      <c r="J181" s="4" t="n"/>
      <c r="K181" s="4" t="n"/>
    </row>
    <row r="182">
      <c r="A182" s="4" t="inlineStr">
        <is>
          <t>Студент3.25</t>
        </is>
      </c>
      <c r="B182" s="12" t="n"/>
      <c r="C182" s="4" t="inlineStr"/>
      <c r="D182" s="4">
        <f>IF(A182="","",SUMPRODUCT(E182:I182,E$96:I$96))</f>
        <v/>
      </c>
      <c r="E182" s="3" t="n"/>
      <c r="F182" s="3" t="n"/>
      <c r="G182" s="3" t="n"/>
      <c r="H182" s="3" t="n"/>
      <c r="I182" s="3" t="n"/>
      <c r="J182" s="4" t="n"/>
      <c r="K182" s="4" t="n"/>
    </row>
    <row r="183">
      <c r="A183" s="4" t="inlineStr">
        <is>
          <t>Студент3.26</t>
        </is>
      </c>
      <c r="B183" s="12" t="n"/>
      <c r="C183" s="4" t="inlineStr"/>
      <c r="D183" s="4">
        <f>IF(A183="","",SUMPRODUCT(E183:I183,E$96:I$96))</f>
        <v/>
      </c>
      <c r="E183" s="3" t="n"/>
      <c r="F183" s="3" t="n"/>
      <c r="G183" s="3" t="n"/>
      <c r="H183" s="3" t="n"/>
      <c r="I183" s="3" t="n"/>
      <c r="J183" s="4" t="n"/>
      <c r="K183" s="4" t="n"/>
    </row>
    <row r="184">
      <c r="A184" s="4" t="inlineStr">
        <is>
          <t>Студент3.27</t>
        </is>
      </c>
      <c r="B184" s="12" t="n"/>
      <c r="C184" s="4" t="inlineStr"/>
      <c r="D184" s="4">
        <f>IF(A184="","",SUMPRODUCT(E184:I184,E$96:I$96))</f>
        <v/>
      </c>
      <c r="E184" s="3" t="n"/>
      <c r="F184" s="3" t="n"/>
      <c r="G184" s="3" t="n"/>
      <c r="H184" s="3" t="n"/>
      <c r="I184" s="3" t="n"/>
      <c r="J184" s="4" t="n"/>
      <c r="K184" s="4" t="n"/>
    </row>
    <row r="185">
      <c r="A185" s="4" t="inlineStr">
        <is>
          <t>Студент3.28</t>
        </is>
      </c>
      <c r="B185" s="12" t="n"/>
      <c r="C185" s="4" t="inlineStr"/>
      <c r="D185" s="4">
        <f>IF(A185="","",SUMPRODUCT(E185:I185,E$96:I$96))</f>
        <v/>
      </c>
      <c r="E185" s="3" t="n"/>
      <c r="F185" s="3" t="n"/>
      <c r="G185" s="3" t="n"/>
      <c r="H185" s="3" t="n"/>
      <c r="I185" s="3" t="n"/>
      <c r="J185" s="4" t="n"/>
      <c r="K185" s="4" t="n"/>
    </row>
    <row r="186">
      <c r="A186" s="4" t="inlineStr">
        <is>
          <t>Студент3.29</t>
        </is>
      </c>
      <c r="B186" s="12" t="n"/>
      <c r="C186" s="4" t="inlineStr"/>
      <c r="D186" s="4">
        <f>IF(A186="","",SUMPRODUCT(E186:I186,E$96:I$96))</f>
        <v/>
      </c>
      <c r="E186" s="3" t="n"/>
      <c r="F186" s="3" t="n"/>
      <c r="G186" s="3" t="n"/>
      <c r="H186" s="3" t="n"/>
      <c r="I186" s="3" t="n"/>
      <c r="J186" s="4" t="n"/>
      <c r="K186" s="4" t="n"/>
    </row>
    <row r="187">
      <c r="A187" s="4" t="inlineStr">
        <is>
          <t>Студент3.30</t>
        </is>
      </c>
      <c r="B187" s="12" t="n"/>
      <c r="C187" s="4" t="inlineStr"/>
      <c r="D187" s="4">
        <f>IF(A187="","",SUMPRODUCT(E187:I187,E$96:I$96))</f>
        <v/>
      </c>
      <c r="E187" s="3" t="n"/>
      <c r="F187" s="3" t="n"/>
      <c r="G187" s="3" t="n"/>
      <c r="H187" s="3" t="n"/>
      <c r="I187" s="3" t="n"/>
      <c r="J187" s="4" t="n"/>
      <c r="K187" s="4" t="n"/>
    </row>
  </sheetData>
  <mergeCells count="2">
    <mergeCell ref="A1:I1"/>
    <mergeCell ref="A95:I95"/>
  </mergeCells>
  <dataValidations count="4">
    <dataValidation sqref="B4:B93" showDropDown="0" showInputMessage="0" showErrorMessage="1" allowBlank="1" error="Введите целое число от 1 до 4" type="whole" errorStyle="stop" operator="between">
      <formula1>1</formula1>
      <formula2>4</formula2>
    </dataValidation>
    <dataValidation sqref="E4:I93" showDropDown="0" showInputMessage="0" showErrorMessage="1" allowBlank="1" errorTitle="Недопустимый балл" error="Введите число от 0 до 4" type="decimal" errorStyle="stop" operator="between">
      <formula1>0</formula1>
      <formula2>4</formula2>
    </dataValidation>
    <dataValidation sqref="B98:B187" showDropDown="0" showInputMessage="0" showErrorMessage="1" allowBlank="1" error="Введите целое число от 1 до 4" type="whole" errorStyle="stop" operator="between">
      <formula1>1</formula1>
      <formula2>4</formula2>
    </dataValidation>
    <dataValidation sqref="E98:I187" showDropDown="0" showInputMessage="0" showErrorMessage="1" allowBlank="1" errorTitle="Недопустимый балл" error="Введите число от 0 до 4" type="decimal" errorStyle="stop" operator="between">
      <formula1>0</formula1>
      <formula2>4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22" customWidth="1" min="8" max="8"/>
    <col width="30" customWidth="1" min="9" max="9"/>
  </cols>
  <sheetData>
    <row r="1">
      <c r="A1" s="1" t="inlineStr">
        <is>
          <t>Общий рейтинг</t>
        </is>
      </c>
    </row>
    <row r="2" ht="8" customHeight="1"/>
    <row r="3" ht="28" customHeight="1">
      <c r="A3" s="2" t="inlineStr">
        <is>
          <t>Практик</t>
        </is>
      </c>
      <c r="B3" s="2" t="inlineStr">
        <is>
          <t>ФИО</t>
        </is>
      </c>
      <c r="C3" s="2" t="inlineStr">
        <is>
          <t>TG</t>
        </is>
      </c>
      <c r="D3" s="2" t="inlineStr">
        <is>
          <t>Прод</t>
        </is>
      </c>
      <c r="E3" s="2" t="inlineStr">
        <is>
          <t>D</t>
        </is>
      </c>
      <c r="F3" s="2" t="inlineStr">
        <is>
          <t>CW</t>
        </is>
      </c>
      <c r="G3" s="2" t="inlineStr">
        <is>
          <t>Тир</t>
        </is>
      </c>
      <c r="H3" s="2" t="inlineStr">
        <is>
          <t>Экзамен</t>
        </is>
      </c>
      <c r="I3" s="2" t="inlineStr">
        <is>
          <t>Комментарий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0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7" customWidth="1" min="3" max="3"/>
    <col width="16" customWidth="1" min="4" max="4"/>
    <col width="14" customWidth="1" min="5" max="5"/>
    <col width="10" customWidth="1" min="6" max="6"/>
    <col width="14" customWidth="1" min="7" max="7"/>
    <col width="14" customWidth="1" min="8" max="8"/>
    <col width="24" customWidth="1" min="9" max="9"/>
    <col width="12" customWidth="1" min="10" max="10"/>
    <col width="18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Логи D</t>
        </is>
      </c>
    </row>
    <row r="2" ht="8" customHeight="1"/>
    <row r="3" ht="28" customHeight="1">
      <c r="A3" s="2" t="inlineStr">
        <is>
          <t>ФИО</t>
        </is>
      </c>
      <c r="B3" s="2" t="inlineStr">
        <is>
          <t>Практик</t>
        </is>
      </c>
      <c r="C3" s="2" t="inlineStr">
        <is>
          <t>Практика</t>
        </is>
      </c>
      <c r="D3" s="2" t="inlineStr">
        <is>
          <t>Задача</t>
        </is>
      </c>
      <c r="E3" s="2" t="inlineStr">
        <is>
          <t>Номер выхода</t>
        </is>
      </c>
      <c r="F3" s="2" t="inlineStr">
        <is>
          <t>База D</t>
        </is>
      </c>
      <c r="G3" s="2" t="inlineStr">
        <is>
          <t>Коэффициент</t>
        </is>
      </c>
      <c r="H3" s="2" t="inlineStr">
        <is>
          <t>Начислено D</t>
        </is>
      </c>
      <c r="I3" s="2" t="inlineStr">
        <is>
          <t>Статус</t>
        </is>
      </c>
      <c r="J3" s="2" t="inlineStr">
        <is>
          <t>Поправка</t>
        </is>
      </c>
      <c r="K3" s="2" t="inlineStr">
        <is>
          <t>Дата</t>
        </is>
      </c>
    </row>
    <row r="4">
      <c r="A4" s="3" t="n"/>
      <c r="B4" s="3" t="n"/>
      <c r="C4" s="3" t="n"/>
      <c r="D4" s="3" t="n"/>
      <c r="E4" s="4">
        <f>IF(A4="","",COUNTIFS($A$4:A4,A4,$I$4:I4,"&lt;&gt;Штраф -2",$I$4:I4,"&lt;&gt;ушел на базу"))</f>
        <v/>
      </c>
      <c r="F4" s="4">
        <f>IF(E4="","",IF(E4&lt;=3,6,IF(E4&lt;=6,5,IF(E4&lt;=9,4,IF(E4&lt;=12,3,IF(E4&lt;=15,2,0))))))</f>
        <v/>
      </c>
      <c r="G4" s="3" t="n"/>
      <c r="H4" s="4">
        <f>IF(I4="Штраф -2",-2,IF(OR(F4="",G4=""),"",F4*G4+IF(J4="",0,J4)))</f>
        <v/>
      </c>
      <c r="I4" s="3" t="n"/>
      <c r="J4" s="3" t="n"/>
      <c r="K4" s="3" t="n"/>
    </row>
    <row r="5">
      <c r="A5" s="3" t="n"/>
      <c r="B5" s="3" t="n"/>
      <c r="C5" s="3" t="n"/>
      <c r="D5" s="3" t="n"/>
      <c r="E5" s="4">
        <f>IF(A5="","",COUNTIFS($A$4:A5,A5,$I$4:I5,"&lt;&gt;Штраф -2",$I$4:I5,"&lt;&gt;ушел на базу"))</f>
        <v/>
      </c>
      <c r="F5" s="4">
        <f>IF(E5="","",IF(E5&lt;=3,6,IF(E5&lt;=6,5,IF(E5&lt;=9,4,IF(E5&lt;=12,3,IF(E5&lt;=15,2,0))))))</f>
        <v/>
      </c>
      <c r="G5" s="3" t="n"/>
      <c r="H5" s="4">
        <f>IF(I5="Штраф -2",-2,IF(OR(F5="",G5=""),"",F5*G5+IF(J5="",0,J5)))</f>
        <v/>
      </c>
      <c r="I5" s="3" t="n"/>
      <c r="J5" s="3" t="n"/>
      <c r="K5" s="3" t="n"/>
    </row>
    <row r="6">
      <c r="A6" s="3" t="n"/>
      <c r="B6" s="3" t="n"/>
      <c r="C6" s="3" t="n"/>
      <c r="D6" s="3" t="n"/>
      <c r="E6" s="4">
        <f>IF(A6="","",COUNTIFS($A$4:A6,A6,$I$4:I6,"&lt;&gt;Штраф -2",$I$4:I6,"&lt;&gt;ушел на базу"))</f>
        <v/>
      </c>
      <c r="F6" s="4">
        <f>IF(E6="","",IF(E6&lt;=3,6,IF(E6&lt;=6,5,IF(E6&lt;=9,4,IF(E6&lt;=12,3,IF(E6&lt;=15,2,0))))))</f>
        <v/>
      </c>
      <c r="G6" s="3" t="n"/>
      <c r="H6" s="4">
        <f>IF(I6="Штраф -2",-2,IF(OR(F6="",G6=""),"",F6*G6+IF(J6="",0,J6)))</f>
        <v/>
      </c>
      <c r="I6" s="3" t="n"/>
      <c r="J6" s="3" t="n"/>
      <c r="K6" s="3" t="n"/>
    </row>
    <row r="7">
      <c r="A7" s="3" t="n"/>
      <c r="B7" s="3" t="n"/>
      <c r="C7" s="3" t="n"/>
      <c r="D7" s="3" t="n"/>
      <c r="E7" s="4">
        <f>IF(A7="","",COUNTIFS($A$4:A7,A7,$I$4:I7,"&lt;&gt;Штраф -2",$I$4:I7,"&lt;&gt;ушел на базу"))</f>
        <v/>
      </c>
      <c r="F7" s="4">
        <f>IF(E7="","",IF(E7&lt;=3,6,IF(E7&lt;=6,5,IF(E7&lt;=9,4,IF(E7&lt;=12,3,IF(E7&lt;=15,2,0))))))</f>
        <v/>
      </c>
      <c r="G7" s="3" t="n"/>
      <c r="H7" s="4">
        <f>IF(I7="Штраф -2",-2,IF(OR(F7="",G7=""),"",F7*G7+IF(J7="",0,J7)))</f>
        <v/>
      </c>
      <c r="I7" s="3" t="n"/>
      <c r="J7" s="3" t="n"/>
      <c r="K7" s="3" t="n"/>
    </row>
    <row r="8">
      <c r="A8" s="3" t="n"/>
      <c r="B8" s="3" t="n"/>
      <c r="C8" s="3" t="n"/>
      <c r="D8" s="3" t="n"/>
      <c r="E8" s="4">
        <f>IF(A8="","",COUNTIFS($A$4:A8,A8,$I$4:I8,"&lt;&gt;Штраф -2",$I$4:I8,"&lt;&gt;ушел на базу"))</f>
        <v/>
      </c>
      <c r="F8" s="4">
        <f>IF(E8="","",IF(E8&lt;=3,6,IF(E8&lt;=6,5,IF(E8&lt;=9,4,IF(E8&lt;=12,3,IF(E8&lt;=15,2,0))))))</f>
        <v/>
      </c>
      <c r="G8" s="3" t="n"/>
      <c r="H8" s="4">
        <f>IF(I8="Штраф -2",-2,IF(OR(F8="",G8=""),"",F8*G8+IF(J8="",0,J8)))</f>
        <v/>
      </c>
      <c r="I8" s="3" t="n"/>
      <c r="J8" s="3" t="n"/>
      <c r="K8" s="3" t="n"/>
    </row>
    <row r="9">
      <c r="A9" s="3" t="n"/>
      <c r="B9" s="3" t="n"/>
      <c r="C9" s="3" t="n"/>
      <c r="D9" s="3" t="n"/>
      <c r="E9" s="4">
        <f>IF(A9="","",COUNTIFS($A$4:A9,A9,$I$4:I9,"&lt;&gt;Штраф -2",$I$4:I9,"&lt;&gt;ушел на базу"))</f>
        <v/>
      </c>
      <c r="F9" s="4">
        <f>IF(E9="","",IF(E9&lt;=3,6,IF(E9&lt;=6,5,IF(E9&lt;=9,4,IF(E9&lt;=12,3,IF(E9&lt;=15,2,0))))))</f>
        <v/>
      </c>
      <c r="G9" s="3" t="n"/>
      <c r="H9" s="4">
        <f>IF(I9="Штраф -2",-2,IF(OR(F9="",G9=""),"",F9*G9+IF(J9="",0,J9)))</f>
        <v/>
      </c>
      <c r="I9" s="3" t="n"/>
      <c r="J9" s="3" t="n"/>
      <c r="K9" s="3" t="n"/>
    </row>
    <row r="10">
      <c r="A10" s="3" t="n"/>
      <c r="B10" s="3" t="n"/>
      <c r="C10" s="3" t="n"/>
      <c r="D10" s="3" t="n"/>
      <c r="E10" s="4">
        <f>IF(A10="","",COUNTIFS($A$4:A10,A10,$I$4:I10,"&lt;&gt;Штраф -2",$I$4:I10,"&lt;&gt;ушел на базу"))</f>
        <v/>
      </c>
      <c r="F10" s="4">
        <f>IF(E10="","",IF(E10&lt;=3,6,IF(E10&lt;=6,5,IF(E10&lt;=9,4,IF(E10&lt;=12,3,IF(E10&lt;=15,2,0))))))</f>
        <v/>
      </c>
      <c r="G10" s="3" t="n"/>
      <c r="H10" s="4">
        <f>IF(I10="Штраф -2",-2,IF(OR(F10="",G10=""),"",F10*G10+IF(J10="",0,J10)))</f>
        <v/>
      </c>
      <c r="I10" s="3" t="n"/>
      <c r="J10" s="3" t="n"/>
      <c r="K10" s="3" t="n"/>
    </row>
    <row r="11">
      <c r="A11" s="3" t="n"/>
      <c r="B11" s="3" t="n"/>
      <c r="C11" s="3" t="n"/>
      <c r="D11" s="3" t="n"/>
      <c r="E11" s="4">
        <f>IF(A11="","",COUNTIFS($A$4:A11,A11,$I$4:I11,"&lt;&gt;Штраф -2",$I$4:I11,"&lt;&gt;ушел на базу"))</f>
        <v/>
      </c>
      <c r="F11" s="4">
        <f>IF(E11="","",IF(E11&lt;=3,6,IF(E11&lt;=6,5,IF(E11&lt;=9,4,IF(E11&lt;=12,3,IF(E11&lt;=15,2,0))))))</f>
        <v/>
      </c>
      <c r="G11" s="3" t="n"/>
      <c r="H11" s="4">
        <f>IF(I11="Штраф -2",-2,IF(OR(F11="",G11=""),"",F11*G11+IF(J11="",0,J11)))</f>
        <v/>
      </c>
      <c r="I11" s="3" t="n"/>
      <c r="J11" s="3" t="n"/>
      <c r="K11" s="3" t="n"/>
    </row>
    <row r="12">
      <c r="A12" s="3" t="n"/>
      <c r="B12" s="3" t="n"/>
      <c r="C12" s="3" t="n"/>
      <c r="D12" s="3" t="n"/>
      <c r="E12" s="4">
        <f>IF(A12="","",COUNTIFS($A$4:A12,A12,$I$4:I12,"&lt;&gt;Штраф -2",$I$4:I12,"&lt;&gt;ушел на базу"))</f>
        <v/>
      </c>
      <c r="F12" s="4">
        <f>IF(E12="","",IF(E12&lt;=3,6,IF(E12&lt;=6,5,IF(E12&lt;=9,4,IF(E12&lt;=12,3,IF(E12&lt;=15,2,0))))))</f>
        <v/>
      </c>
      <c r="G12" s="3" t="n"/>
      <c r="H12" s="4">
        <f>IF(I12="Штраф -2",-2,IF(OR(F12="",G12=""),"",F12*G12+IF(J12="",0,J12)))</f>
        <v/>
      </c>
      <c r="I12" s="3" t="n"/>
      <c r="J12" s="3" t="n"/>
      <c r="K12" s="3" t="n"/>
    </row>
    <row r="13">
      <c r="A13" s="3" t="n"/>
      <c r="B13" s="3" t="n"/>
      <c r="C13" s="3" t="n"/>
      <c r="D13" s="3" t="n"/>
      <c r="E13" s="4">
        <f>IF(A13="","",COUNTIFS($A$4:A13,A13,$I$4:I13,"&lt;&gt;Штраф -2",$I$4:I13,"&lt;&gt;ушел на базу"))</f>
        <v/>
      </c>
      <c r="F13" s="4">
        <f>IF(E13="","",IF(E13&lt;=3,6,IF(E13&lt;=6,5,IF(E13&lt;=9,4,IF(E13&lt;=12,3,IF(E13&lt;=15,2,0))))))</f>
        <v/>
      </c>
      <c r="G13" s="3" t="n"/>
      <c r="H13" s="4">
        <f>IF(I13="Штраф -2",-2,IF(OR(F13="",G13=""),"",F13*G13+IF(J13="",0,J13)))</f>
        <v/>
      </c>
      <c r="I13" s="3" t="n"/>
      <c r="J13" s="3" t="n"/>
      <c r="K13" s="3" t="n"/>
    </row>
    <row r="14">
      <c r="A14" s="3" t="n"/>
      <c r="B14" s="3" t="n"/>
      <c r="C14" s="3" t="n"/>
      <c r="D14" s="3" t="n"/>
      <c r="E14" s="4">
        <f>IF(A14="","",COUNTIFS($A$4:A14,A14,$I$4:I14,"&lt;&gt;Штраф -2",$I$4:I14,"&lt;&gt;ушел на базу"))</f>
        <v/>
      </c>
      <c r="F14" s="4">
        <f>IF(E14="","",IF(E14&lt;=3,6,IF(E14&lt;=6,5,IF(E14&lt;=9,4,IF(E14&lt;=12,3,IF(E14&lt;=15,2,0))))))</f>
        <v/>
      </c>
      <c r="G14" s="3" t="n"/>
      <c r="H14" s="4">
        <f>IF(I14="Штраф -2",-2,IF(OR(F14="",G14=""),"",F14*G14+IF(J14="",0,J14)))</f>
        <v/>
      </c>
      <c r="I14" s="3" t="n"/>
      <c r="J14" s="3" t="n"/>
      <c r="K14" s="3" t="n"/>
    </row>
    <row r="15">
      <c r="A15" s="3" t="n"/>
      <c r="B15" s="3" t="n"/>
      <c r="C15" s="3" t="n"/>
      <c r="D15" s="3" t="n"/>
      <c r="E15" s="4">
        <f>IF(A15="","",COUNTIFS($A$4:A15,A15,$I$4:I15,"&lt;&gt;Штраф -2",$I$4:I15,"&lt;&gt;ушел на базу"))</f>
        <v/>
      </c>
      <c r="F15" s="4">
        <f>IF(E15="","",IF(E15&lt;=3,6,IF(E15&lt;=6,5,IF(E15&lt;=9,4,IF(E15&lt;=12,3,IF(E15&lt;=15,2,0))))))</f>
        <v/>
      </c>
      <c r="G15" s="3" t="n"/>
      <c r="H15" s="4">
        <f>IF(I15="Штраф -2",-2,IF(OR(F15="",G15=""),"",F15*G15+IF(J15="",0,J15)))</f>
        <v/>
      </c>
      <c r="I15" s="3" t="n"/>
      <c r="J15" s="3" t="n"/>
      <c r="K15" s="3" t="n"/>
    </row>
    <row r="16">
      <c r="A16" s="3" t="n"/>
      <c r="B16" s="3" t="n"/>
      <c r="C16" s="3" t="n"/>
      <c r="D16" s="3" t="n"/>
      <c r="E16" s="4">
        <f>IF(A16="","",COUNTIFS($A$4:A16,A16,$I$4:I16,"&lt;&gt;Штраф -2",$I$4:I16,"&lt;&gt;ушел на базу"))</f>
        <v/>
      </c>
      <c r="F16" s="4">
        <f>IF(E16="","",IF(E16&lt;=3,6,IF(E16&lt;=6,5,IF(E16&lt;=9,4,IF(E16&lt;=12,3,IF(E16&lt;=15,2,0))))))</f>
        <v/>
      </c>
      <c r="G16" s="3" t="n"/>
      <c r="H16" s="4">
        <f>IF(I16="Штраф -2",-2,IF(OR(F16="",G16=""),"",F16*G16+IF(J16="",0,J16)))</f>
        <v/>
      </c>
      <c r="I16" s="3" t="n"/>
      <c r="J16" s="3" t="n"/>
      <c r="K16" s="3" t="n"/>
    </row>
    <row r="17">
      <c r="A17" s="3" t="n"/>
      <c r="B17" s="3" t="n"/>
      <c r="C17" s="3" t="n"/>
      <c r="D17" s="3" t="n"/>
      <c r="E17" s="4">
        <f>IF(A17="","",COUNTIFS($A$4:A17,A17,$I$4:I17,"&lt;&gt;Штраф -2",$I$4:I17,"&lt;&gt;ушел на базу"))</f>
        <v/>
      </c>
      <c r="F17" s="4">
        <f>IF(E17="","",IF(E17&lt;=3,6,IF(E17&lt;=6,5,IF(E17&lt;=9,4,IF(E17&lt;=12,3,IF(E17&lt;=15,2,0))))))</f>
        <v/>
      </c>
      <c r="G17" s="3" t="n"/>
      <c r="H17" s="4">
        <f>IF(I17="Штраф -2",-2,IF(OR(F17="",G17=""),"",F17*G17+IF(J17="",0,J17)))</f>
        <v/>
      </c>
      <c r="I17" s="3" t="n"/>
      <c r="J17" s="3" t="n"/>
      <c r="K17" s="3" t="n"/>
    </row>
    <row r="18">
      <c r="A18" s="3" t="n"/>
      <c r="B18" s="3" t="n"/>
      <c r="C18" s="3" t="n"/>
      <c r="D18" s="3" t="n"/>
      <c r="E18" s="4">
        <f>IF(A18="","",COUNTIFS($A$4:A18,A18,$I$4:I18,"&lt;&gt;Штраф -2",$I$4:I18,"&lt;&gt;ушел на базу"))</f>
        <v/>
      </c>
      <c r="F18" s="4">
        <f>IF(E18="","",IF(E18&lt;=3,6,IF(E18&lt;=6,5,IF(E18&lt;=9,4,IF(E18&lt;=12,3,IF(E18&lt;=15,2,0))))))</f>
        <v/>
      </c>
      <c r="G18" s="3" t="n"/>
      <c r="H18" s="4">
        <f>IF(I18="Штраф -2",-2,IF(OR(F18="",G18=""),"",F18*G18+IF(J18="",0,J18)))</f>
        <v/>
      </c>
      <c r="I18" s="3" t="n"/>
      <c r="J18" s="3" t="n"/>
      <c r="K18" s="3" t="n"/>
    </row>
    <row r="19">
      <c r="A19" s="3" t="n"/>
      <c r="B19" s="3" t="n"/>
      <c r="C19" s="3" t="n"/>
      <c r="D19" s="3" t="n"/>
      <c r="E19" s="4">
        <f>IF(A19="","",COUNTIFS($A$4:A19,A19,$I$4:I19,"&lt;&gt;Штраф -2",$I$4:I19,"&lt;&gt;ушел на базу"))</f>
        <v/>
      </c>
      <c r="F19" s="4">
        <f>IF(E19="","",IF(E19&lt;=3,6,IF(E19&lt;=6,5,IF(E19&lt;=9,4,IF(E19&lt;=12,3,IF(E19&lt;=15,2,0))))))</f>
        <v/>
      </c>
      <c r="G19" s="3" t="n"/>
      <c r="H19" s="4">
        <f>IF(I19="Штраф -2",-2,IF(OR(F19="",G19=""),"",F19*G19+IF(J19="",0,J19)))</f>
        <v/>
      </c>
      <c r="I19" s="3" t="n"/>
      <c r="J19" s="3" t="n"/>
      <c r="K19" s="3" t="n"/>
    </row>
    <row r="20">
      <c r="A20" s="3" t="n"/>
      <c r="B20" s="3" t="n"/>
      <c r="C20" s="3" t="n"/>
      <c r="D20" s="3" t="n"/>
      <c r="E20" s="4">
        <f>IF(A20="","",COUNTIFS($A$4:A20,A20,$I$4:I20,"&lt;&gt;Штраф -2",$I$4:I20,"&lt;&gt;ушел на базу"))</f>
        <v/>
      </c>
      <c r="F20" s="4">
        <f>IF(E20="","",IF(E20&lt;=3,6,IF(E20&lt;=6,5,IF(E20&lt;=9,4,IF(E20&lt;=12,3,IF(E20&lt;=15,2,0))))))</f>
        <v/>
      </c>
      <c r="G20" s="3" t="n"/>
      <c r="H20" s="4">
        <f>IF(I20="Штраф -2",-2,IF(OR(F20="",G20=""),"",F20*G20+IF(J20="",0,J20)))</f>
        <v/>
      </c>
      <c r="I20" s="3" t="n"/>
      <c r="J20" s="3" t="n"/>
      <c r="K20" s="3" t="n"/>
    </row>
    <row r="21">
      <c r="A21" s="3" t="n"/>
      <c r="B21" s="3" t="n"/>
      <c r="C21" s="3" t="n"/>
      <c r="D21" s="3" t="n"/>
      <c r="E21" s="4">
        <f>IF(A21="","",COUNTIFS($A$4:A21,A21,$I$4:I21,"&lt;&gt;Штраф -2",$I$4:I21,"&lt;&gt;ушел на базу"))</f>
        <v/>
      </c>
      <c r="F21" s="4">
        <f>IF(E21="","",IF(E21&lt;=3,6,IF(E21&lt;=6,5,IF(E21&lt;=9,4,IF(E21&lt;=12,3,IF(E21&lt;=15,2,0))))))</f>
        <v/>
      </c>
      <c r="G21" s="3" t="n"/>
      <c r="H21" s="4">
        <f>IF(I21="Штраф -2",-2,IF(OR(F21="",G21=""),"",F21*G21+IF(J21="",0,J21)))</f>
        <v/>
      </c>
      <c r="I21" s="3" t="n"/>
      <c r="J21" s="3" t="n"/>
      <c r="K21" s="3" t="n"/>
    </row>
    <row r="22">
      <c r="A22" s="3" t="n"/>
      <c r="B22" s="3" t="n"/>
      <c r="C22" s="3" t="n"/>
      <c r="D22" s="3" t="n"/>
      <c r="E22" s="4">
        <f>IF(A22="","",COUNTIFS($A$4:A22,A22,$I$4:I22,"&lt;&gt;Штраф -2",$I$4:I22,"&lt;&gt;ушел на базу"))</f>
        <v/>
      </c>
      <c r="F22" s="4">
        <f>IF(E22="","",IF(E22&lt;=3,6,IF(E22&lt;=6,5,IF(E22&lt;=9,4,IF(E22&lt;=12,3,IF(E22&lt;=15,2,0))))))</f>
        <v/>
      </c>
      <c r="G22" s="3" t="n"/>
      <c r="H22" s="4">
        <f>IF(I22="Штраф -2",-2,IF(OR(F22="",G22=""),"",F22*G22+IF(J22="",0,J22)))</f>
        <v/>
      </c>
      <c r="I22" s="3" t="n"/>
      <c r="J22" s="3" t="n"/>
      <c r="K22" s="3" t="n"/>
    </row>
    <row r="23">
      <c r="A23" s="3" t="n"/>
      <c r="B23" s="3" t="n"/>
      <c r="C23" s="3" t="n"/>
      <c r="D23" s="3" t="n"/>
      <c r="E23" s="4">
        <f>IF(A23="","",COUNTIFS($A$4:A23,A23,$I$4:I23,"&lt;&gt;Штраф -2",$I$4:I23,"&lt;&gt;ушел на базу"))</f>
        <v/>
      </c>
      <c r="F23" s="4">
        <f>IF(E23="","",IF(E23&lt;=3,6,IF(E23&lt;=6,5,IF(E23&lt;=9,4,IF(E23&lt;=12,3,IF(E23&lt;=15,2,0))))))</f>
        <v/>
      </c>
      <c r="G23" s="3" t="n"/>
      <c r="H23" s="4">
        <f>IF(I23="Штраф -2",-2,IF(OR(F23="",G23=""),"",F23*G23+IF(J23="",0,J23)))</f>
        <v/>
      </c>
      <c r="I23" s="3" t="n"/>
      <c r="J23" s="3" t="n"/>
      <c r="K23" s="3" t="n"/>
    </row>
    <row r="24">
      <c r="A24" s="3" t="n"/>
      <c r="B24" s="3" t="n"/>
      <c r="C24" s="3" t="n"/>
      <c r="D24" s="3" t="n"/>
      <c r="E24" s="4">
        <f>IF(A24="","",COUNTIFS($A$4:A24,A24,$I$4:I24,"&lt;&gt;Штраф -2",$I$4:I24,"&lt;&gt;ушел на базу"))</f>
        <v/>
      </c>
      <c r="F24" s="4">
        <f>IF(E24="","",IF(E24&lt;=3,6,IF(E24&lt;=6,5,IF(E24&lt;=9,4,IF(E24&lt;=12,3,IF(E24&lt;=15,2,0))))))</f>
        <v/>
      </c>
      <c r="G24" s="3" t="n"/>
      <c r="H24" s="4">
        <f>IF(I24="Штраф -2",-2,IF(OR(F24="",G24=""),"",F24*G24+IF(J24="",0,J24)))</f>
        <v/>
      </c>
      <c r="I24" s="3" t="n"/>
      <c r="J24" s="3" t="n"/>
      <c r="K24" s="3" t="n"/>
    </row>
    <row r="25">
      <c r="A25" s="3" t="n"/>
      <c r="B25" s="3" t="n"/>
      <c r="C25" s="3" t="n"/>
      <c r="D25" s="3" t="n"/>
      <c r="E25" s="4">
        <f>IF(A25="","",COUNTIFS($A$4:A25,A25,$I$4:I25,"&lt;&gt;Штраф -2",$I$4:I25,"&lt;&gt;ушел на базу"))</f>
        <v/>
      </c>
      <c r="F25" s="4">
        <f>IF(E25="","",IF(E25&lt;=3,6,IF(E25&lt;=6,5,IF(E25&lt;=9,4,IF(E25&lt;=12,3,IF(E25&lt;=15,2,0))))))</f>
        <v/>
      </c>
      <c r="G25" s="3" t="n"/>
      <c r="H25" s="4">
        <f>IF(I25="Штраф -2",-2,IF(OR(F25="",G25=""),"",F25*G25+IF(J25="",0,J25)))</f>
        <v/>
      </c>
      <c r="I25" s="3" t="n"/>
      <c r="J25" s="3" t="n"/>
      <c r="K25" s="3" t="n"/>
    </row>
    <row r="26">
      <c r="A26" s="3" t="n"/>
      <c r="B26" s="3" t="n"/>
      <c r="C26" s="3" t="n"/>
      <c r="D26" s="3" t="n"/>
      <c r="E26" s="4">
        <f>IF(A26="","",COUNTIFS($A$4:A26,A26,$I$4:I26,"&lt;&gt;Штраф -2",$I$4:I26,"&lt;&gt;ушел на базу"))</f>
        <v/>
      </c>
      <c r="F26" s="4">
        <f>IF(E26="","",IF(E26&lt;=3,6,IF(E26&lt;=6,5,IF(E26&lt;=9,4,IF(E26&lt;=12,3,IF(E26&lt;=15,2,0))))))</f>
        <v/>
      </c>
      <c r="G26" s="3" t="n"/>
      <c r="H26" s="4">
        <f>IF(I26="Штраф -2",-2,IF(OR(F26="",G26=""),"",F26*G26+IF(J26="",0,J26)))</f>
        <v/>
      </c>
      <c r="I26" s="3" t="n"/>
      <c r="J26" s="3" t="n"/>
      <c r="K26" s="3" t="n"/>
    </row>
    <row r="27">
      <c r="A27" s="3" t="n"/>
      <c r="B27" s="3" t="n"/>
      <c r="C27" s="3" t="n"/>
      <c r="D27" s="3" t="n"/>
      <c r="E27" s="4">
        <f>IF(A27="","",COUNTIFS($A$4:A27,A27,$I$4:I27,"&lt;&gt;Штраф -2",$I$4:I27,"&lt;&gt;ушел на базу"))</f>
        <v/>
      </c>
      <c r="F27" s="4">
        <f>IF(E27="","",IF(E27&lt;=3,6,IF(E27&lt;=6,5,IF(E27&lt;=9,4,IF(E27&lt;=12,3,IF(E27&lt;=15,2,0))))))</f>
        <v/>
      </c>
      <c r="G27" s="3" t="n"/>
      <c r="H27" s="4">
        <f>IF(I27="Штраф -2",-2,IF(OR(F27="",G27=""),"",F27*G27+IF(J27="",0,J27)))</f>
        <v/>
      </c>
      <c r="I27" s="3" t="n"/>
      <c r="J27" s="3" t="n"/>
      <c r="K27" s="3" t="n"/>
    </row>
    <row r="28">
      <c r="A28" s="3" t="n"/>
      <c r="B28" s="3" t="n"/>
      <c r="C28" s="3" t="n"/>
      <c r="D28" s="3" t="n"/>
      <c r="E28" s="4">
        <f>IF(A28="","",COUNTIFS($A$4:A28,A28,$I$4:I28,"&lt;&gt;Штраф -2",$I$4:I28,"&lt;&gt;ушел на базу"))</f>
        <v/>
      </c>
      <c r="F28" s="4">
        <f>IF(E28="","",IF(E28&lt;=3,6,IF(E28&lt;=6,5,IF(E28&lt;=9,4,IF(E28&lt;=12,3,IF(E28&lt;=15,2,0))))))</f>
        <v/>
      </c>
      <c r="G28" s="3" t="n"/>
      <c r="H28" s="4">
        <f>IF(I28="Штраф -2",-2,IF(OR(F28="",G28=""),"",F28*G28+IF(J28="",0,J28)))</f>
        <v/>
      </c>
      <c r="I28" s="3" t="n"/>
      <c r="J28" s="3" t="n"/>
      <c r="K28" s="3" t="n"/>
    </row>
    <row r="29">
      <c r="A29" s="3" t="n"/>
      <c r="B29" s="3" t="n"/>
      <c r="C29" s="3" t="n"/>
      <c r="D29" s="3" t="n"/>
      <c r="E29" s="4">
        <f>IF(A29="","",COUNTIFS($A$4:A29,A29,$I$4:I29,"&lt;&gt;Штраф -2",$I$4:I29,"&lt;&gt;ушел на базу"))</f>
        <v/>
      </c>
      <c r="F29" s="4">
        <f>IF(E29="","",IF(E29&lt;=3,6,IF(E29&lt;=6,5,IF(E29&lt;=9,4,IF(E29&lt;=12,3,IF(E29&lt;=15,2,0))))))</f>
        <v/>
      </c>
      <c r="G29" s="3" t="n"/>
      <c r="H29" s="4">
        <f>IF(I29="Штраф -2",-2,IF(OR(F29="",G29=""),"",F29*G29+IF(J29="",0,J29)))</f>
        <v/>
      </c>
      <c r="I29" s="3" t="n"/>
      <c r="J29" s="3" t="n"/>
      <c r="K29" s="3" t="n"/>
    </row>
    <row r="30">
      <c r="A30" s="3" t="n"/>
      <c r="B30" s="3" t="n"/>
      <c r="C30" s="3" t="n"/>
      <c r="D30" s="3" t="n"/>
      <c r="E30" s="4">
        <f>IF(A30="","",COUNTIFS($A$4:A30,A30,$I$4:I30,"&lt;&gt;Штраф -2",$I$4:I30,"&lt;&gt;ушел на базу"))</f>
        <v/>
      </c>
      <c r="F30" s="4">
        <f>IF(E30="","",IF(E30&lt;=3,6,IF(E30&lt;=6,5,IF(E30&lt;=9,4,IF(E30&lt;=12,3,IF(E30&lt;=15,2,0))))))</f>
        <v/>
      </c>
      <c r="G30" s="3" t="n"/>
      <c r="H30" s="4">
        <f>IF(I30="Штраф -2",-2,IF(OR(F30="",G30=""),"",F30*G30+IF(J30="",0,J30)))</f>
        <v/>
      </c>
      <c r="I30" s="3" t="n"/>
      <c r="J30" s="3" t="n"/>
      <c r="K30" s="3" t="n"/>
    </row>
    <row r="31">
      <c r="A31" s="3" t="n"/>
      <c r="B31" s="3" t="n"/>
      <c r="C31" s="3" t="n"/>
      <c r="D31" s="3" t="n"/>
      <c r="E31" s="4">
        <f>IF(A31="","",COUNTIFS($A$4:A31,A31,$I$4:I31,"&lt;&gt;Штраф -2",$I$4:I31,"&lt;&gt;ушел на базу"))</f>
        <v/>
      </c>
      <c r="F31" s="4">
        <f>IF(E31="","",IF(E31&lt;=3,6,IF(E31&lt;=6,5,IF(E31&lt;=9,4,IF(E31&lt;=12,3,IF(E31&lt;=15,2,0))))))</f>
        <v/>
      </c>
      <c r="G31" s="3" t="n"/>
      <c r="H31" s="4">
        <f>IF(I31="Штраф -2",-2,IF(OR(F31="",G31=""),"",F31*G31+IF(J31="",0,J31)))</f>
        <v/>
      </c>
      <c r="I31" s="3" t="n"/>
      <c r="J31" s="3" t="n"/>
      <c r="K31" s="3" t="n"/>
    </row>
    <row r="32">
      <c r="A32" s="3" t="n"/>
      <c r="B32" s="3" t="n"/>
      <c r="C32" s="3" t="n"/>
      <c r="D32" s="3" t="n"/>
      <c r="E32" s="4">
        <f>IF(A32="","",COUNTIFS($A$4:A32,A32,$I$4:I32,"&lt;&gt;Штраф -2",$I$4:I32,"&lt;&gt;ушел на базу"))</f>
        <v/>
      </c>
      <c r="F32" s="4">
        <f>IF(E32="","",IF(E32&lt;=3,6,IF(E32&lt;=6,5,IF(E32&lt;=9,4,IF(E32&lt;=12,3,IF(E32&lt;=15,2,0))))))</f>
        <v/>
      </c>
      <c r="G32" s="3" t="n"/>
      <c r="H32" s="4">
        <f>IF(I32="Штраф -2",-2,IF(OR(F32="",G32=""),"",F32*G32+IF(J32="",0,J32)))</f>
        <v/>
      </c>
      <c r="I32" s="3" t="n"/>
      <c r="J32" s="3" t="n"/>
      <c r="K32" s="3" t="n"/>
    </row>
    <row r="33">
      <c r="A33" s="3" t="n"/>
      <c r="B33" s="3" t="n"/>
      <c r="C33" s="3" t="n"/>
      <c r="D33" s="3" t="n"/>
      <c r="E33" s="4">
        <f>IF(A33="","",COUNTIFS($A$4:A33,A33,$I$4:I33,"&lt;&gt;Штраф -2",$I$4:I33,"&lt;&gt;ушел на базу"))</f>
        <v/>
      </c>
      <c r="F33" s="4">
        <f>IF(E33="","",IF(E33&lt;=3,6,IF(E33&lt;=6,5,IF(E33&lt;=9,4,IF(E33&lt;=12,3,IF(E33&lt;=15,2,0))))))</f>
        <v/>
      </c>
      <c r="G33" s="3" t="n"/>
      <c r="H33" s="4">
        <f>IF(I33="Штраф -2",-2,IF(OR(F33="",G33=""),"",F33*G33+IF(J33="",0,J33)))</f>
        <v/>
      </c>
      <c r="I33" s="3" t="n"/>
      <c r="J33" s="3" t="n"/>
      <c r="K33" s="3" t="n"/>
    </row>
    <row r="34">
      <c r="A34" s="3" t="n"/>
      <c r="B34" s="3" t="n"/>
      <c r="C34" s="3" t="n"/>
      <c r="D34" s="3" t="n"/>
      <c r="E34" s="4">
        <f>IF(A34="","",COUNTIFS($A$4:A34,A34,$I$4:I34,"&lt;&gt;Штраф -2",$I$4:I34,"&lt;&gt;ушел на базу"))</f>
        <v/>
      </c>
      <c r="F34" s="4">
        <f>IF(E34="","",IF(E34&lt;=3,6,IF(E34&lt;=6,5,IF(E34&lt;=9,4,IF(E34&lt;=12,3,IF(E34&lt;=15,2,0))))))</f>
        <v/>
      </c>
      <c r="G34" s="3" t="n"/>
      <c r="H34" s="4">
        <f>IF(I34="Штраф -2",-2,IF(OR(F34="",G34=""),"",F34*G34+IF(J34="",0,J34)))</f>
        <v/>
      </c>
      <c r="I34" s="3" t="n"/>
      <c r="J34" s="3" t="n"/>
      <c r="K34" s="3" t="n"/>
    </row>
    <row r="35">
      <c r="A35" s="3" t="n"/>
      <c r="B35" s="3" t="n"/>
      <c r="C35" s="3" t="n"/>
      <c r="D35" s="3" t="n"/>
      <c r="E35" s="4">
        <f>IF(A35="","",COUNTIFS($A$4:A35,A35,$I$4:I35,"&lt;&gt;Штраф -2",$I$4:I35,"&lt;&gt;ушел на базу"))</f>
        <v/>
      </c>
      <c r="F35" s="4">
        <f>IF(E35="","",IF(E35&lt;=3,6,IF(E35&lt;=6,5,IF(E35&lt;=9,4,IF(E35&lt;=12,3,IF(E35&lt;=15,2,0))))))</f>
        <v/>
      </c>
      <c r="G35" s="3" t="n"/>
      <c r="H35" s="4">
        <f>IF(I35="Штраф -2",-2,IF(OR(F35="",G35=""),"",F35*G35+IF(J35="",0,J35)))</f>
        <v/>
      </c>
      <c r="I35" s="3" t="n"/>
      <c r="J35" s="3" t="n"/>
      <c r="K35" s="3" t="n"/>
    </row>
    <row r="36">
      <c r="A36" s="3" t="n"/>
      <c r="B36" s="3" t="n"/>
      <c r="C36" s="3" t="n"/>
      <c r="D36" s="3" t="n"/>
      <c r="E36" s="4">
        <f>IF(A36="","",COUNTIFS($A$4:A36,A36,$I$4:I36,"&lt;&gt;Штраф -2",$I$4:I36,"&lt;&gt;ушел на базу"))</f>
        <v/>
      </c>
      <c r="F36" s="4">
        <f>IF(E36="","",IF(E36&lt;=3,6,IF(E36&lt;=6,5,IF(E36&lt;=9,4,IF(E36&lt;=12,3,IF(E36&lt;=15,2,0))))))</f>
        <v/>
      </c>
      <c r="G36" s="3" t="n"/>
      <c r="H36" s="4">
        <f>IF(I36="Штраф -2",-2,IF(OR(F36="",G36=""),"",F36*G36+IF(J36="",0,J36)))</f>
        <v/>
      </c>
      <c r="I36" s="3" t="n"/>
      <c r="J36" s="3" t="n"/>
      <c r="K36" s="3" t="n"/>
    </row>
    <row r="37">
      <c r="A37" s="3" t="n"/>
      <c r="B37" s="3" t="n"/>
      <c r="C37" s="3" t="n"/>
      <c r="D37" s="3" t="n"/>
      <c r="E37" s="4">
        <f>IF(A37="","",COUNTIFS($A$4:A37,A37,$I$4:I37,"&lt;&gt;Штраф -2",$I$4:I37,"&lt;&gt;ушел на базу"))</f>
        <v/>
      </c>
      <c r="F37" s="4">
        <f>IF(E37="","",IF(E37&lt;=3,6,IF(E37&lt;=6,5,IF(E37&lt;=9,4,IF(E37&lt;=12,3,IF(E37&lt;=15,2,0))))))</f>
        <v/>
      </c>
      <c r="G37" s="3" t="n"/>
      <c r="H37" s="4">
        <f>IF(I37="Штраф -2",-2,IF(OR(F37="",G37=""),"",F37*G37+IF(J37="",0,J37)))</f>
        <v/>
      </c>
      <c r="I37" s="3" t="n"/>
      <c r="J37" s="3" t="n"/>
      <c r="K37" s="3" t="n"/>
    </row>
    <row r="38">
      <c r="A38" s="3" t="n"/>
      <c r="B38" s="3" t="n"/>
      <c r="C38" s="3" t="n"/>
      <c r="D38" s="3" t="n"/>
      <c r="E38" s="4">
        <f>IF(A38="","",COUNTIFS($A$4:A38,A38,$I$4:I38,"&lt;&gt;Штраф -2",$I$4:I38,"&lt;&gt;ушел на базу"))</f>
        <v/>
      </c>
      <c r="F38" s="4">
        <f>IF(E38="","",IF(E38&lt;=3,6,IF(E38&lt;=6,5,IF(E38&lt;=9,4,IF(E38&lt;=12,3,IF(E38&lt;=15,2,0))))))</f>
        <v/>
      </c>
      <c r="G38" s="3" t="n"/>
      <c r="H38" s="4">
        <f>IF(I38="Штраф -2",-2,IF(OR(F38="",G38=""),"",F38*G38+IF(J38="",0,J38)))</f>
        <v/>
      </c>
      <c r="I38" s="3" t="n"/>
      <c r="J38" s="3" t="n"/>
      <c r="K38" s="3" t="n"/>
    </row>
    <row r="39">
      <c r="A39" s="3" t="n"/>
      <c r="B39" s="3" t="n"/>
      <c r="C39" s="3" t="n"/>
      <c r="D39" s="3" t="n"/>
      <c r="E39" s="4">
        <f>IF(A39="","",COUNTIFS($A$4:A39,A39,$I$4:I39,"&lt;&gt;Штраф -2",$I$4:I39,"&lt;&gt;ушел на базу"))</f>
        <v/>
      </c>
      <c r="F39" s="4">
        <f>IF(E39="","",IF(E39&lt;=3,6,IF(E39&lt;=6,5,IF(E39&lt;=9,4,IF(E39&lt;=12,3,IF(E39&lt;=15,2,0))))))</f>
        <v/>
      </c>
      <c r="G39" s="3" t="n"/>
      <c r="H39" s="4">
        <f>IF(I39="Штраф -2",-2,IF(OR(F39="",G39=""),"",F39*G39+IF(J39="",0,J39)))</f>
        <v/>
      </c>
      <c r="I39" s="3" t="n"/>
      <c r="J39" s="3" t="n"/>
      <c r="K39" s="3" t="n"/>
    </row>
    <row r="40">
      <c r="A40" s="3" t="n"/>
      <c r="B40" s="3" t="n"/>
      <c r="C40" s="3" t="n"/>
      <c r="D40" s="3" t="n"/>
      <c r="E40" s="4">
        <f>IF(A40="","",COUNTIFS($A$4:A40,A40,$I$4:I40,"&lt;&gt;Штраф -2",$I$4:I40,"&lt;&gt;ушел на базу"))</f>
        <v/>
      </c>
      <c r="F40" s="4">
        <f>IF(E40="","",IF(E40&lt;=3,6,IF(E40&lt;=6,5,IF(E40&lt;=9,4,IF(E40&lt;=12,3,IF(E40&lt;=15,2,0))))))</f>
        <v/>
      </c>
      <c r="G40" s="3" t="n"/>
      <c r="H40" s="4">
        <f>IF(I40="Штраф -2",-2,IF(OR(F40="",G40=""),"",F40*G40+IF(J40="",0,J40)))</f>
        <v/>
      </c>
      <c r="I40" s="3" t="n"/>
      <c r="J40" s="3" t="n"/>
      <c r="K40" s="3" t="n"/>
    </row>
    <row r="41">
      <c r="A41" s="3" t="n"/>
      <c r="B41" s="3" t="n"/>
      <c r="C41" s="3" t="n"/>
      <c r="D41" s="3" t="n"/>
      <c r="E41" s="4">
        <f>IF(A41="","",COUNTIFS($A$4:A41,A41,$I$4:I41,"&lt;&gt;Штраф -2",$I$4:I41,"&lt;&gt;ушел на базу"))</f>
        <v/>
      </c>
      <c r="F41" s="4">
        <f>IF(E41="","",IF(E41&lt;=3,6,IF(E41&lt;=6,5,IF(E41&lt;=9,4,IF(E41&lt;=12,3,IF(E41&lt;=15,2,0))))))</f>
        <v/>
      </c>
      <c r="G41" s="3" t="n"/>
      <c r="H41" s="4">
        <f>IF(I41="Штраф -2",-2,IF(OR(F41="",G41=""),"",F41*G41+IF(J41="",0,J41)))</f>
        <v/>
      </c>
      <c r="I41" s="3" t="n"/>
      <c r="J41" s="3" t="n"/>
      <c r="K41" s="3" t="n"/>
    </row>
    <row r="42">
      <c r="A42" s="3" t="n"/>
      <c r="B42" s="3" t="n"/>
      <c r="C42" s="3" t="n"/>
      <c r="D42" s="3" t="n"/>
      <c r="E42" s="4">
        <f>IF(A42="","",COUNTIFS($A$4:A42,A42,$I$4:I42,"&lt;&gt;Штраф -2",$I$4:I42,"&lt;&gt;ушел на базу"))</f>
        <v/>
      </c>
      <c r="F42" s="4">
        <f>IF(E42="","",IF(E42&lt;=3,6,IF(E42&lt;=6,5,IF(E42&lt;=9,4,IF(E42&lt;=12,3,IF(E42&lt;=15,2,0))))))</f>
        <v/>
      </c>
      <c r="G42" s="3" t="n"/>
      <c r="H42" s="4">
        <f>IF(I42="Штраф -2",-2,IF(OR(F42="",G42=""),"",F42*G42+IF(J42="",0,J42)))</f>
        <v/>
      </c>
      <c r="I42" s="3" t="n"/>
      <c r="J42" s="3" t="n"/>
      <c r="K42" s="3" t="n"/>
    </row>
    <row r="43">
      <c r="A43" s="3" t="n"/>
      <c r="B43" s="3" t="n"/>
      <c r="C43" s="3" t="n"/>
      <c r="D43" s="3" t="n"/>
      <c r="E43" s="4">
        <f>IF(A43="","",COUNTIFS($A$4:A43,A43,$I$4:I43,"&lt;&gt;Штраф -2",$I$4:I43,"&lt;&gt;ушел на базу"))</f>
        <v/>
      </c>
      <c r="F43" s="4">
        <f>IF(E43="","",IF(E43&lt;=3,6,IF(E43&lt;=6,5,IF(E43&lt;=9,4,IF(E43&lt;=12,3,IF(E43&lt;=15,2,0))))))</f>
        <v/>
      </c>
      <c r="G43" s="3" t="n"/>
      <c r="H43" s="4">
        <f>IF(I43="Штраф -2",-2,IF(OR(F43="",G43=""),"",F43*G43+IF(J43="",0,J43)))</f>
        <v/>
      </c>
      <c r="I43" s="3" t="n"/>
      <c r="J43" s="3" t="n"/>
      <c r="K43" s="3" t="n"/>
    </row>
    <row r="44">
      <c r="A44" s="3" t="n"/>
      <c r="B44" s="3" t="n"/>
      <c r="C44" s="3" t="n"/>
      <c r="D44" s="3" t="n"/>
      <c r="E44" s="4">
        <f>IF(A44="","",COUNTIFS($A$4:A44,A44,$I$4:I44,"&lt;&gt;Штраф -2",$I$4:I44,"&lt;&gt;ушел на базу"))</f>
        <v/>
      </c>
      <c r="F44" s="4">
        <f>IF(E44="","",IF(E44&lt;=3,6,IF(E44&lt;=6,5,IF(E44&lt;=9,4,IF(E44&lt;=12,3,IF(E44&lt;=15,2,0))))))</f>
        <v/>
      </c>
      <c r="G44" s="3" t="n"/>
      <c r="H44" s="4">
        <f>IF(I44="Штраф -2",-2,IF(OR(F44="",G44=""),"",F44*G44+IF(J44="",0,J44)))</f>
        <v/>
      </c>
      <c r="I44" s="3" t="n"/>
      <c r="J44" s="3" t="n"/>
      <c r="K44" s="3" t="n"/>
    </row>
    <row r="45">
      <c r="A45" s="3" t="n"/>
      <c r="B45" s="3" t="n"/>
      <c r="C45" s="3" t="n"/>
      <c r="D45" s="3" t="n"/>
      <c r="E45" s="4">
        <f>IF(A45="","",COUNTIFS($A$4:A45,A45,$I$4:I45,"&lt;&gt;Штраф -2",$I$4:I45,"&lt;&gt;ушел на базу"))</f>
        <v/>
      </c>
      <c r="F45" s="4">
        <f>IF(E45="","",IF(E45&lt;=3,6,IF(E45&lt;=6,5,IF(E45&lt;=9,4,IF(E45&lt;=12,3,IF(E45&lt;=15,2,0))))))</f>
        <v/>
      </c>
      <c r="G45" s="3" t="n"/>
      <c r="H45" s="4">
        <f>IF(I45="Штраф -2",-2,IF(OR(F45="",G45=""),"",F45*G45+IF(J45="",0,J45)))</f>
        <v/>
      </c>
      <c r="I45" s="3" t="n"/>
      <c r="J45" s="3" t="n"/>
      <c r="K45" s="3" t="n"/>
    </row>
    <row r="46">
      <c r="A46" s="3" t="n"/>
      <c r="B46" s="3" t="n"/>
      <c r="C46" s="3" t="n"/>
      <c r="D46" s="3" t="n"/>
      <c r="E46" s="4">
        <f>IF(A46="","",COUNTIFS($A$4:A46,A46,$I$4:I46,"&lt;&gt;Штраф -2",$I$4:I46,"&lt;&gt;ушел на базу"))</f>
        <v/>
      </c>
      <c r="F46" s="4">
        <f>IF(E46="","",IF(E46&lt;=3,6,IF(E46&lt;=6,5,IF(E46&lt;=9,4,IF(E46&lt;=12,3,IF(E46&lt;=15,2,0))))))</f>
        <v/>
      </c>
      <c r="G46" s="3" t="n"/>
      <c r="H46" s="4">
        <f>IF(I46="Штраф -2",-2,IF(OR(F46="",G46=""),"",F46*G46+IF(J46="",0,J46)))</f>
        <v/>
      </c>
      <c r="I46" s="3" t="n"/>
      <c r="J46" s="3" t="n"/>
      <c r="K46" s="3" t="n"/>
    </row>
    <row r="47">
      <c r="A47" s="3" t="n"/>
      <c r="B47" s="3" t="n"/>
      <c r="C47" s="3" t="n"/>
      <c r="D47" s="3" t="n"/>
      <c r="E47" s="4">
        <f>IF(A47="","",COUNTIFS($A$4:A47,A47,$I$4:I47,"&lt;&gt;Штраф -2",$I$4:I47,"&lt;&gt;ушел на базу"))</f>
        <v/>
      </c>
      <c r="F47" s="4">
        <f>IF(E47="","",IF(E47&lt;=3,6,IF(E47&lt;=6,5,IF(E47&lt;=9,4,IF(E47&lt;=12,3,IF(E47&lt;=15,2,0))))))</f>
        <v/>
      </c>
      <c r="G47" s="3" t="n"/>
      <c r="H47" s="4">
        <f>IF(I47="Штраф -2",-2,IF(OR(F47="",G47=""),"",F47*G47+IF(J47="",0,J47)))</f>
        <v/>
      </c>
      <c r="I47" s="3" t="n"/>
      <c r="J47" s="3" t="n"/>
      <c r="K47" s="3" t="n"/>
    </row>
    <row r="48">
      <c r="A48" s="3" t="n"/>
      <c r="B48" s="3" t="n"/>
      <c r="C48" s="3" t="n"/>
      <c r="D48" s="3" t="n"/>
      <c r="E48" s="4">
        <f>IF(A48="","",COUNTIFS($A$4:A48,A48,$I$4:I48,"&lt;&gt;Штраф -2",$I$4:I48,"&lt;&gt;ушел на базу"))</f>
        <v/>
      </c>
      <c r="F48" s="4">
        <f>IF(E48="","",IF(E48&lt;=3,6,IF(E48&lt;=6,5,IF(E48&lt;=9,4,IF(E48&lt;=12,3,IF(E48&lt;=15,2,0))))))</f>
        <v/>
      </c>
      <c r="G48" s="3" t="n"/>
      <c r="H48" s="4">
        <f>IF(I48="Штраф -2",-2,IF(OR(F48="",G48=""),"",F48*G48+IF(J48="",0,J48)))</f>
        <v/>
      </c>
      <c r="I48" s="3" t="n"/>
      <c r="J48" s="3" t="n"/>
      <c r="K48" s="3" t="n"/>
    </row>
    <row r="49">
      <c r="A49" s="3" t="n"/>
      <c r="B49" s="3" t="n"/>
      <c r="C49" s="3" t="n"/>
      <c r="D49" s="3" t="n"/>
      <c r="E49" s="4">
        <f>IF(A49="","",COUNTIFS($A$4:A49,A49,$I$4:I49,"&lt;&gt;Штраф -2",$I$4:I49,"&lt;&gt;ушел на базу"))</f>
        <v/>
      </c>
      <c r="F49" s="4">
        <f>IF(E49="","",IF(E49&lt;=3,6,IF(E49&lt;=6,5,IF(E49&lt;=9,4,IF(E49&lt;=12,3,IF(E49&lt;=15,2,0))))))</f>
        <v/>
      </c>
      <c r="G49" s="3" t="n"/>
      <c r="H49" s="4">
        <f>IF(I49="Штраф -2",-2,IF(OR(F49="",G49=""),"",F49*G49+IF(J49="",0,J49)))</f>
        <v/>
      </c>
      <c r="I49" s="3" t="n"/>
      <c r="J49" s="3" t="n"/>
      <c r="K49" s="3" t="n"/>
    </row>
    <row r="50">
      <c r="A50" s="3" t="n"/>
      <c r="B50" s="3" t="n"/>
      <c r="C50" s="3" t="n"/>
      <c r="D50" s="3" t="n"/>
      <c r="E50" s="4">
        <f>IF(A50="","",COUNTIFS($A$4:A50,A50,$I$4:I50,"&lt;&gt;Штраф -2",$I$4:I50,"&lt;&gt;ушел на базу"))</f>
        <v/>
      </c>
      <c r="F50" s="4">
        <f>IF(E50="","",IF(E50&lt;=3,6,IF(E50&lt;=6,5,IF(E50&lt;=9,4,IF(E50&lt;=12,3,IF(E50&lt;=15,2,0))))))</f>
        <v/>
      </c>
      <c r="G50" s="3" t="n"/>
      <c r="H50" s="4">
        <f>IF(I50="Штраф -2",-2,IF(OR(F50="",G50=""),"",F50*G50+IF(J50="",0,J50)))</f>
        <v/>
      </c>
      <c r="I50" s="3" t="n"/>
      <c r="J50" s="3" t="n"/>
      <c r="K50" s="3" t="n"/>
    </row>
    <row r="51">
      <c r="A51" s="3" t="n"/>
      <c r="B51" s="3" t="n"/>
      <c r="C51" s="3" t="n"/>
      <c r="D51" s="3" t="n"/>
      <c r="E51" s="4">
        <f>IF(A51="","",COUNTIFS($A$4:A51,A51,$I$4:I51,"&lt;&gt;Штраф -2",$I$4:I51,"&lt;&gt;ушел на базу"))</f>
        <v/>
      </c>
      <c r="F51" s="4">
        <f>IF(E51="","",IF(E51&lt;=3,6,IF(E51&lt;=6,5,IF(E51&lt;=9,4,IF(E51&lt;=12,3,IF(E51&lt;=15,2,0))))))</f>
        <v/>
      </c>
      <c r="G51" s="3" t="n"/>
      <c r="H51" s="4">
        <f>IF(I51="Штраф -2",-2,IF(OR(F51="",G51=""),"",F51*G51+IF(J51="",0,J51)))</f>
        <v/>
      </c>
      <c r="I51" s="3" t="n"/>
      <c r="J51" s="3" t="n"/>
      <c r="K51" s="3" t="n"/>
    </row>
    <row r="52">
      <c r="A52" s="3" t="n"/>
      <c r="B52" s="3" t="n"/>
      <c r="C52" s="3" t="n"/>
      <c r="D52" s="3" t="n"/>
      <c r="E52" s="4">
        <f>IF(A52="","",COUNTIFS($A$4:A52,A52,$I$4:I52,"&lt;&gt;Штраф -2",$I$4:I52,"&lt;&gt;ушел на базу"))</f>
        <v/>
      </c>
      <c r="F52" s="4">
        <f>IF(E52="","",IF(E52&lt;=3,6,IF(E52&lt;=6,5,IF(E52&lt;=9,4,IF(E52&lt;=12,3,IF(E52&lt;=15,2,0))))))</f>
        <v/>
      </c>
      <c r="G52" s="3" t="n"/>
      <c r="H52" s="4">
        <f>IF(I52="Штраф -2",-2,IF(OR(F52="",G52=""),"",F52*G52+IF(J52="",0,J52)))</f>
        <v/>
      </c>
      <c r="I52" s="3" t="n"/>
      <c r="J52" s="3" t="n"/>
      <c r="K52" s="3" t="n"/>
    </row>
    <row r="53">
      <c r="A53" s="3" t="n"/>
      <c r="B53" s="3" t="n"/>
      <c r="C53" s="3" t="n"/>
      <c r="D53" s="3" t="n"/>
      <c r="E53" s="4">
        <f>IF(A53="","",COUNTIFS($A$4:A53,A53,$I$4:I53,"&lt;&gt;Штраф -2",$I$4:I53,"&lt;&gt;ушел на базу"))</f>
        <v/>
      </c>
      <c r="F53" s="4">
        <f>IF(E53="","",IF(E53&lt;=3,6,IF(E53&lt;=6,5,IF(E53&lt;=9,4,IF(E53&lt;=12,3,IF(E53&lt;=15,2,0))))))</f>
        <v/>
      </c>
      <c r="G53" s="3" t="n"/>
      <c r="H53" s="4">
        <f>IF(I53="Штраф -2",-2,IF(OR(F53="",G53=""),"",F53*G53+IF(J53="",0,J53)))</f>
        <v/>
      </c>
      <c r="I53" s="3" t="n"/>
      <c r="J53" s="3" t="n"/>
      <c r="K53" s="3" t="n"/>
    </row>
    <row r="54">
      <c r="A54" s="3" t="n"/>
      <c r="B54" s="3" t="n"/>
      <c r="C54" s="3" t="n"/>
      <c r="D54" s="3" t="n"/>
      <c r="E54" s="4">
        <f>IF(A54="","",COUNTIFS($A$4:A54,A54,$I$4:I54,"&lt;&gt;Штраф -2",$I$4:I54,"&lt;&gt;ушел на базу"))</f>
        <v/>
      </c>
      <c r="F54" s="4">
        <f>IF(E54="","",IF(E54&lt;=3,6,IF(E54&lt;=6,5,IF(E54&lt;=9,4,IF(E54&lt;=12,3,IF(E54&lt;=15,2,0))))))</f>
        <v/>
      </c>
      <c r="G54" s="3" t="n"/>
      <c r="H54" s="4">
        <f>IF(I54="Штраф -2",-2,IF(OR(F54="",G54=""),"",F54*G54+IF(J54="",0,J54)))</f>
        <v/>
      </c>
      <c r="I54" s="3" t="n"/>
      <c r="J54" s="3" t="n"/>
      <c r="K54" s="3" t="n"/>
    </row>
    <row r="55">
      <c r="A55" s="3" t="n"/>
      <c r="B55" s="3" t="n"/>
      <c r="C55" s="3" t="n"/>
      <c r="D55" s="3" t="n"/>
      <c r="E55" s="4">
        <f>IF(A55="","",COUNTIFS($A$4:A55,A55,$I$4:I55,"&lt;&gt;Штраф -2",$I$4:I55,"&lt;&gt;ушел на базу"))</f>
        <v/>
      </c>
      <c r="F55" s="4">
        <f>IF(E55="","",IF(E55&lt;=3,6,IF(E55&lt;=6,5,IF(E55&lt;=9,4,IF(E55&lt;=12,3,IF(E55&lt;=15,2,0))))))</f>
        <v/>
      </c>
      <c r="G55" s="3" t="n"/>
      <c r="H55" s="4">
        <f>IF(I55="Штраф -2",-2,IF(OR(F55="",G55=""),"",F55*G55+IF(J55="",0,J55)))</f>
        <v/>
      </c>
      <c r="I55" s="3" t="n"/>
      <c r="J55" s="3" t="n"/>
      <c r="K55" s="3" t="n"/>
    </row>
    <row r="56">
      <c r="A56" s="3" t="n"/>
      <c r="B56" s="3" t="n"/>
      <c r="C56" s="3" t="n"/>
      <c r="D56" s="3" t="n"/>
      <c r="E56" s="4">
        <f>IF(A56="","",COUNTIFS($A$4:A56,A56,$I$4:I56,"&lt;&gt;Штраф -2",$I$4:I56,"&lt;&gt;ушел на базу"))</f>
        <v/>
      </c>
      <c r="F56" s="4">
        <f>IF(E56="","",IF(E56&lt;=3,6,IF(E56&lt;=6,5,IF(E56&lt;=9,4,IF(E56&lt;=12,3,IF(E56&lt;=15,2,0))))))</f>
        <v/>
      </c>
      <c r="G56" s="3" t="n"/>
      <c r="H56" s="4">
        <f>IF(I56="Штраф -2",-2,IF(OR(F56="",G56=""),"",F56*G56+IF(J56="",0,J56)))</f>
        <v/>
      </c>
      <c r="I56" s="3" t="n"/>
      <c r="J56" s="3" t="n"/>
      <c r="K56" s="3" t="n"/>
    </row>
    <row r="57">
      <c r="A57" s="3" t="n"/>
      <c r="B57" s="3" t="n"/>
      <c r="C57" s="3" t="n"/>
      <c r="D57" s="3" t="n"/>
      <c r="E57" s="4">
        <f>IF(A57="","",COUNTIFS($A$4:A57,A57,$I$4:I57,"&lt;&gt;Штраф -2",$I$4:I57,"&lt;&gt;ушел на базу"))</f>
        <v/>
      </c>
      <c r="F57" s="4">
        <f>IF(E57="","",IF(E57&lt;=3,6,IF(E57&lt;=6,5,IF(E57&lt;=9,4,IF(E57&lt;=12,3,IF(E57&lt;=15,2,0))))))</f>
        <v/>
      </c>
      <c r="G57" s="3" t="n"/>
      <c r="H57" s="4">
        <f>IF(I57="Штраф -2",-2,IF(OR(F57="",G57=""),"",F57*G57+IF(J57="",0,J57)))</f>
        <v/>
      </c>
      <c r="I57" s="3" t="n"/>
      <c r="J57" s="3" t="n"/>
      <c r="K57" s="3" t="n"/>
    </row>
    <row r="58">
      <c r="A58" s="3" t="n"/>
      <c r="B58" s="3" t="n"/>
      <c r="C58" s="3" t="n"/>
      <c r="D58" s="3" t="n"/>
      <c r="E58" s="4">
        <f>IF(A58="","",COUNTIFS($A$4:A58,A58,$I$4:I58,"&lt;&gt;Штраф -2",$I$4:I58,"&lt;&gt;ушел на базу"))</f>
        <v/>
      </c>
      <c r="F58" s="4">
        <f>IF(E58="","",IF(E58&lt;=3,6,IF(E58&lt;=6,5,IF(E58&lt;=9,4,IF(E58&lt;=12,3,IF(E58&lt;=15,2,0))))))</f>
        <v/>
      </c>
      <c r="G58" s="3" t="n"/>
      <c r="H58" s="4">
        <f>IF(I58="Штраф -2",-2,IF(OR(F58="",G58=""),"",F58*G58+IF(J58="",0,J58)))</f>
        <v/>
      </c>
      <c r="I58" s="3" t="n"/>
      <c r="J58" s="3" t="n"/>
      <c r="K58" s="3" t="n"/>
    </row>
    <row r="59">
      <c r="A59" s="3" t="n"/>
      <c r="B59" s="3" t="n"/>
      <c r="C59" s="3" t="n"/>
      <c r="D59" s="3" t="n"/>
      <c r="E59" s="4">
        <f>IF(A59="","",COUNTIFS($A$4:A59,A59,$I$4:I59,"&lt;&gt;Штраф -2",$I$4:I59,"&lt;&gt;ушел на базу"))</f>
        <v/>
      </c>
      <c r="F59" s="4">
        <f>IF(E59="","",IF(E59&lt;=3,6,IF(E59&lt;=6,5,IF(E59&lt;=9,4,IF(E59&lt;=12,3,IF(E59&lt;=15,2,0))))))</f>
        <v/>
      </c>
      <c r="G59" s="3" t="n"/>
      <c r="H59" s="4">
        <f>IF(I59="Штраф -2",-2,IF(OR(F59="",G59=""),"",F59*G59+IF(J59="",0,J59)))</f>
        <v/>
      </c>
      <c r="I59" s="3" t="n"/>
      <c r="J59" s="3" t="n"/>
      <c r="K59" s="3" t="n"/>
    </row>
    <row r="60">
      <c r="A60" s="3" t="n"/>
      <c r="B60" s="3" t="n"/>
      <c r="C60" s="3" t="n"/>
      <c r="D60" s="3" t="n"/>
      <c r="E60" s="4">
        <f>IF(A60="","",COUNTIFS($A$4:A60,A60,$I$4:I60,"&lt;&gt;Штраф -2",$I$4:I60,"&lt;&gt;ушел на базу"))</f>
        <v/>
      </c>
      <c r="F60" s="4">
        <f>IF(E60="","",IF(E60&lt;=3,6,IF(E60&lt;=6,5,IF(E60&lt;=9,4,IF(E60&lt;=12,3,IF(E60&lt;=15,2,0))))))</f>
        <v/>
      </c>
      <c r="G60" s="3" t="n"/>
      <c r="H60" s="4">
        <f>IF(I60="Штраф -2",-2,IF(OR(F60="",G60=""),"",F60*G60+IF(J60="",0,J60)))</f>
        <v/>
      </c>
      <c r="I60" s="3" t="n"/>
      <c r="J60" s="3" t="n"/>
      <c r="K60" s="3" t="n"/>
    </row>
    <row r="61">
      <c r="A61" s="3" t="n"/>
      <c r="B61" s="3" t="n"/>
      <c r="C61" s="3" t="n"/>
      <c r="D61" s="3" t="n"/>
      <c r="E61" s="4">
        <f>IF(A61="","",COUNTIFS($A$4:A61,A61,$I$4:I61,"&lt;&gt;Штраф -2",$I$4:I61,"&lt;&gt;ушел на базу"))</f>
        <v/>
      </c>
      <c r="F61" s="4">
        <f>IF(E61="","",IF(E61&lt;=3,6,IF(E61&lt;=6,5,IF(E61&lt;=9,4,IF(E61&lt;=12,3,IF(E61&lt;=15,2,0))))))</f>
        <v/>
      </c>
      <c r="G61" s="3" t="n"/>
      <c r="H61" s="4">
        <f>IF(I61="Штраф -2",-2,IF(OR(F61="",G61=""),"",F61*G61+IF(J61="",0,J61)))</f>
        <v/>
      </c>
      <c r="I61" s="3" t="n"/>
      <c r="J61" s="3" t="n"/>
      <c r="K61" s="3" t="n"/>
    </row>
    <row r="62">
      <c r="A62" s="3" t="n"/>
      <c r="B62" s="3" t="n"/>
      <c r="C62" s="3" t="n"/>
      <c r="D62" s="3" t="n"/>
      <c r="E62" s="4">
        <f>IF(A62="","",COUNTIFS($A$4:A62,A62,$I$4:I62,"&lt;&gt;Штраф -2",$I$4:I62,"&lt;&gt;ушел на базу"))</f>
        <v/>
      </c>
      <c r="F62" s="4">
        <f>IF(E62="","",IF(E62&lt;=3,6,IF(E62&lt;=6,5,IF(E62&lt;=9,4,IF(E62&lt;=12,3,IF(E62&lt;=15,2,0))))))</f>
        <v/>
      </c>
      <c r="G62" s="3" t="n"/>
      <c r="H62" s="4">
        <f>IF(I62="Штраф -2",-2,IF(OR(F62="",G62=""),"",F62*G62+IF(J62="",0,J62)))</f>
        <v/>
      </c>
      <c r="I62" s="3" t="n"/>
      <c r="J62" s="3" t="n"/>
      <c r="K62" s="3" t="n"/>
    </row>
    <row r="63">
      <c r="A63" s="3" t="n"/>
      <c r="B63" s="3" t="n"/>
      <c r="C63" s="3" t="n"/>
      <c r="D63" s="3" t="n"/>
      <c r="E63" s="4">
        <f>IF(A63="","",COUNTIFS($A$4:A63,A63,$I$4:I63,"&lt;&gt;Штраф -2",$I$4:I63,"&lt;&gt;ушел на базу"))</f>
        <v/>
      </c>
      <c r="F63" s="4">
        <f>IF(E63="","",IF(E63&lt;=3,6,IF(E63&lt;=6,5,IF(E63&lt;=9,4,IF(E63&lt;=12,3,IF(E63&lt;=15,2,0))))))</f>
        <v/>
      </c>
      <c r="G63" s="3" t="n"/>
      <c r="H63" s="4">
        <f>IF(I63="Штраф -2",-2,IF(OR(F63="",G63=""),"",F63*G63+IF(J63="",0,J63)))</f>
        <v/>
      </c>
      <c r="I63" s="3" t="n"/>
      <c r="J63" s="3" t="n"/>
      <c r="K63" s="3" t="n"/>
    </row>
    <row r="64">
      <c r="A64" s="3" t="n"/>
      <c r="B64" s="3" t="n"/>
      <c r="C64" s="3" t="n"/>
      <c r="D64" s="3" t="n"/>
      <c r="E64" s="4">
        <f>IF(A64="","",COUNTIFS($A$4:A64,A64,$I$4:I64,"&lt;&gt;Штраф -2",$I$4:I64,"&lt;&gt;ушел на базу"))</f>
        <v/>
      </c>
      <c r="F64" s="4">
        <f>IF(E64="","",IF(E64&lt;=3,6,IF(E64&lt;=6,5,IF(E64&lt;=9,4,IF(E64&lt;=12,3,IF(E64&lt;=15,2,0))))))</f>
        <v/>
      </c>
      <c r="G64" s="3" t="n"/>
      <c r="H64" s="4">
        <f>IF(I64="Штраф -2",-2,IF(OR(F64="",G64=""),"",F64*G64+IF(J64="",0,J64)))</f>
        <v/>
      </c>
      <c r="I64" s="3" t="n"/>
      <c r="J64" s="3" t="n"/>
      <c r="K64" s="3" t="n"/>
    </row>
    <row r="65">
      <c r="A65" s="3" t="n"/>
      <c r="B65" s="3" t="n"/>
      <c r="C65" s="3" t="n"/>
      <c r="D65" s="3" t="n"/>
      <c r="E65" s="4">
        <f>IF(A65="","",COUNTIFS($A$4:A65,A65,$I$4:I65,"&lt;&gt;Штраф -2",$I$4:I65,"&lt;&gt;ушел на базу"))</f>
        <v/>
      </c>
      <c r="F65" s="4">
        <f>IF(E65="","",IF(E65&lt;=3,6,IF(E65&lt;=6,5,IF(E65&lt;=9,4,IF(E65&lt;=12,3,IF(E65&lt;=15,2,0))))))</f>
        <v/>
      </c>
      <c r="G65" s="3" t="n"/>
      <c r="H65" s="4">
        <f>IF(I65="Штраф -2",-2,IF(OR(F65="",G65=""),"",F65*G65+IF(J65="",0,J65)))</f>
        <v/>
      </c>
      <c r="I65" s="3" t="n"/>
      <c r="J65" s="3" t="n"/>
      <c r="K65" s="3" t="n"/>
    </row>
    <row r="66">
      <c r="A66" s="3" t="n"/>
      <c r="B66" s="3" t="n"/>
      <c r="C66" s="3" t="n"/>
      <c r="D66" s="3" t="n"/>
      <c r="E66" s="4">
        <f>IF(A66="","",COUNTIFS($A$4:A66,A66,$I$4:I66,"&lt;&gt;Штраф -2",$I$4:I66,"&lt;&gt;ушел на базу"))</f>
        <v/>
      </c>
      <c r="F66" s="4">
        <f>IF(E66="","",IF(E66&lt;=3,6,IF(E66&lt;=6,5,IF(E66&lt;=9,4,IF(E66&lt;=12,3,IF(E66&lt;=15,2,0))))))</f>
        <v/>
      </c>
      <c r="G66" s="3" t="n"/>
      <c r="H66" s="4">
        <f>IF(I66="Штраф -2",-2,IF(OR(F66="",G66=""),"",F66*G66+IF(J66="",0,J66)))</f>
        <v/>
      </c>
      <c r="I66" s="3" t="n"/>
      <c r="J66" s="3" t="n"/>
      <c r="K66" s="3" t="n"/>
    </row>
    <row r="67">
      <c r="A67" s="3" t="n"/>
      <c r="B67" s="3" t="n"/>
      <c r="C67" s="3" t="n"/>
      <c r="D67" s="3" t="n"/>
      <c r="E67" s="4">
        <f>IF(A67="","",COUNTIFS($A$4:A67,A67,$I$4:I67,"&lt;&gt;Штраф -2",$I$4:I67,"&lt;&gt;ушел на базу"))</f>
        <v/>
      </c>
      <c r="F67" s="4">
        <f>IF(E67="","",IF(E67&lt;=3,6,IF(E67&lt;=6,5,IF(E67&lt;=9,4,IF(E67&lt;=12,3,IF(E67&lt;=15,2,0))))))</f>
        <v/>
      </c>
      <c r="G67" s="3" t="n"/>
      <c r="H67" s="4">
        <f>IF(I67="Штраф -2",-2,IF(OR(F67="",G67=""),"",F67*G67+IF(J67="",0,J67)))</f>
        <v/>
      </c>
      <c r="I67" s="3" t="n"/>
      <c r="J67" s="3" t="n"/>
      <c r="K67" s="3" t="n"/>
    </row>
    <row r="68">
      <c r="A68" s="3" t="n"/>
      <c r="B68" s="3" t="n"/>
      <c r="C68" s="3" t="n"/>
      <c r="D68" s="3" t="n"/>
      <c r="E68" s="4">
        <f>IF(A68="","",COUNTIFS($A$4:A68,A68,$I$4:I68,"&lt;&gt;Штраф -2",$I$4:I68,"&lt;&gt;ушел на базу"))</f>
        <v/>
      </c>
      <c r="F68" s="4">
        <f>IF(E68="","",IF(E68&lt;=3,6,IF(E68&lt;=6,5,IF(E68&lt;=9,4,IF(E68&lt;=12,3,IF(E68&lt;=15,2,0))))))</f>
        <v/>
      </c>
      <c r="G68" s="3" t="n"/>
      <c r="H68" s="4">
        <f>IF(I68="Штраф -2",-2,IF(OR(F68="",G68=""),"",F68*G68+IF(J68="",0,J68)))</f>
        <v/>
      </c>
      <c r="I68" s="3" t="n"/>
      <c r="J68" s="3" t="n"/>
      <c r="K68" s="3" t="n"/>
    </row>
    <row r="69">
      <c r="A69" s="3" t="n"/>
      <c r="B69" s="3" t="n"/>
      <c r="C69" s="3" t="n"/>
      <c r="D69" s="3" t="n"/>
      <c r="E69" s="4">
        <f>IF(A69="","",COUNTIFS($A$4:A69,A69,$I$4:I69,"&lt;&gt;Штраф -2",$I$4:I69,"&lt;&gt;ушел на базу"))</f>
        <v/>
      </c>
      <c r="F69" s="4">
        <f>IF(E69="","",IF(E69&lt;=3,6,IF(E69&lt;=6,5,IF(E69&lt;=9,4,IF(E69&lt;=12,3,IF(E69&lt;=15,2,0))))))</f>
        <v/>
      </c>
      <c r="G69" s="3" t="n"/>
      <c r="H69" s="4">
        <f>IF(I69="Штраф -2",-2,IF(OR(F69="",G69=""),"",F69*G69+IF(J69="",0,J69)))</f>
        <v/>
      </c>
      <c r="I69" s="3" t="n"/>
      <c r="J69" s="3" t="n"/>
      <c r="K69" s="3" t="n"/>
    </row>
    <row r="70">
      <c r="A70" s="3" t="n"/>
      <c r="B70" s="3" t="n"/>
      <c r="C70" s="3" t="n"/>
      <c r="D70" s="3" t="n"/>
      <c r="E70" s="4">
        <f>IF(A70="","",COUNTIFS($A$4:A70,A70,$I$4:I70,"&lt;&gt;Штраф -2",$I$4:I70,"&lt;&gt;ушел на базу"))</f>
        <v/>
      </c>
      <c r="F70" s="4">
        <f>IF(E70="","",IF(E70&lt;=3,6,IF(E70&lt;=6,5,IF(E70&lt;=9,4,IF(E70&lt;=12,3,IF(E70&lt;=15,2,0))))))</f>
        <v/>
      </c>
      <c r="G70" s="3" t="n"/>
      <c r="H70" s="4">
        <f>IF(I70="Штраф -2",-2,IF(OR(F70="",G70=""),"",F70*G70+IF(J70="",0,J70)))</f>
        <v/>
      </c>
      <c r="I70" s="3" t="n"/>
      <c r="J70" s="3" t="n"/>
      <c r="K70" s="3" t="n"/>
    </row>
    <row r="71">
      <c r="A71" s="3" t="n"/>
      <c r="B71" s="3" t="n"/>
      <c r="C71" s="3" t="n"/>
      <c r="D71" s="3" t="n"/>
      <c r="E71" s="4">
        <f>IF(A71="","",COUNTIFS($A$4:A71,A71,$I$4:I71,"&lt;&gt;Штраф -2",$I$4:I71,"&lt;&gt;ушел на базу"))</f>
        <v/>
      </c>
      <c r="F71" s="4">
        <f>IF(E71="","",IF(E71&lt;=3,6,IF(E71&lt;=6,5,IF(E71&lt;=9,4,IF(E71&lt;=12,3,IF(E71&lt;=15,2,0))))))</f>
        <v/>
      </c>
      <c r="G71" s="3" t="n"/>
      <c r="H71" s="4">
        <f>IF(I71="Штраф -2",-2,IF(OR(F71="",G71=""),"",F71*G71+IF(J71="",0,J71)))</f>
        <v/>
      </c>
      <c r="I71" s="3" t="n"/>
      <c r="J71" s="3" t="n"/>
      <c r="K71" s="3" t="n"/>
    </row>
    <row r="72">
      <c r="A72" s="3" t="n"/>
      <c r="B72" s="3" t="n"/>
      <c r="C72" s="3" t="n"/>
      <c r="D72" s="3" t="n"/>
      <c r="E72" s="4">
        <f>IF(A72="","",COUNTIFS($A$4:A72,A72,$I$4:I72,"&lt;&gt;Штраф -2",$I$4:I72,"&lt;&gt;ушел на базу"))</f>
        <v/>
      </c>
      <c r="F72" s="4">
        <f>IF(E72="","",IF(E72&lt;=3,6,IF(E72&lt;=6,5,IF(E72&lt;=9,4,IF(E72&lt;=12,3,IF(E72&lt;=15,2,0))))))</f>
        <v/>
      </c>
      <c r="G72" s="3" t="n"/>
      <c r="H72" s="4">
        <f>IF(I72="Штраф -2",-2,IF(OR(F72="",G72=""),"",F72*G72+IF(J72="",0,J72)))</f>
        <v/>
      </c>
      <c r="I72" s="3" t="n"/>
      <c r="J72" s="3" t="n"/>
      <c r="K72" s="3" t="n"/>
    </row>
    <row r="73">
      <c r="A73" s="3" t="n"/>
      <c r="B73" s="3" t="n"/>
      <c r="C73" s="3" t="n"/>
      <c r="D73" s="3" t="n"/>
      <c r="E73" s="4">
        <f>IF(A73="","",COUNTIFS($A$4:A73,A73,$I$4:I73,"&lt;&gt;Штраф -2",$I$4:I73,"&lt;&gt;ушел на базу"))</f>
        <v/>
      </c>
      <c r="F73" s="4">
        <f>IF(E73="","",IF(E73&lt;=3,6,IF(E73&lt;=6,5,IF(E73&lt;=9,4,IF(E73&lt;=12,3,IF(E73&lt;=15,2,0))))))</f>
        <v/>
      </c>
      <c r="G73" s="3" t="n"/>
      <c r="H73" s="4">
        <f>IF(I73="Штраф -2",-2,IF(OR(F73="",G73=""),"",F73*G73+IF(J73="",0,J73)))</f>
        <v/>
      </c>
      <c r="I73" s="3" t="n"/>
      <c r="J73" s="3" t="n"/>
      <c r="K73" s="3" t="n"/>
    </row>
    <row r="74">
      <c r="A74" s="3" t="n"/>
      <c r="B74" s="3" t="n"/>
      <c r="C74" s="3" t="n"/>
      <c r="D74" s="3" t="n"/>
      <c r="E74" s="4">
        <f>IF(A74="","",COUNTIFS($A$4:A74,A74,$I$4:I74,"&lt;&gt;Штраф -2",$I$4:I74,"&lt;&gt;ушел на базу"))</f>
        <v/>
      </c>
      <c r="F74" s="4">
        <f>IF(E74="","",IF(E74&lt;=3,6,IF(E74&lt;=6,5,IF(E74&lt;=9,4,IF(E74&lt;=12,3,IF(E74&lt;=15,2,0))))))</f>
        <v/>
      </c>
      <c r="G74" s="3" t="n"/>
      <c r="H74" s="4">
        <f>IF(I74="Штраф -2",-2,IF(OR(F74="",G74=""),"",F74*G74+IF(J74="",0,J74)))</f>
        <v/>
      </c>
      <c r="I74" s="3" t="n"/>
      <c r="J74" s="3" t="n"/>
      <c r="K74" s="3" t="n"/>
    </row>
    <row r="75">
      <c r="A75" s="3" t="n"/>
      <c r="B75" s="3" t="n"/>
      <c r="C75" s="3" t="n"/>
      <c r="D75" s="3" t="n"/>
      <c r="E75" s="4">
        <f>IF(A75="","",COUNTIFS($A$4:A75,A75,$I$4:I75,"&lt;&gt;Штраф -2",$I$4:I75,"&lt;&gt;ушел на базу"))</f>
        <v/>
      </c>
      <c r="F75" s="4">
        <f>IF(E75="","",IF(E75&lt;=3,6,IF(E75&lt;=6,5,IF(E75&lt;=9,4,IF(E75&lt;=12,3,IF(E75&lt;=15,2,0))))))</f>
        <v/>
      </c>
      <c r="G75" s="3" t="n"/>
      <c r="H75" s="4">
        <f>IF(I75="Штраф -2",-2,IF(OR(F75="",G75=""),"",F75*G75+IF(J75="",0,J75)))</f>
        <v/>
      </c>
      <c r="I75" s="3" t="n"/>
      <c r="J75" s="3" t="n"/>
      <c r="K75" s="3" t="n"/>
    </row>
    <row r="76">
      <c r="A76" s="3" t="n"/>
      <c r="B76" s="3" t="n"/>
      <c r="C76" s="3" t="n"/>
      <c r="D76" s="3" t="n"/>
      <c r="E76" s="4">
        <f>IF(A76="","",COUNTIFS($A$4:A76,A76,$I$4:I76,"&lt;&gt;Штраф -2",$I$4:I76,"&lt;&gt;ушел на базу"))</f>
        <v/>
      </c>
      <c r="F76" s="4">
        <f>IF(E76="","",IF(E76&lt;=3,6,IF(E76&lt;=6,5,IF(E76&lt;=9,4,IF(E76&lt;=12,3,IF(E76&lt;=15,2,0))))))</f>
        <v/>
      </c>
      <c r="G76" s="3" t="n"/>
      <c r="H76" s="4">
        <f>IF(I76="Штраф -2",-2,IF(OR(F76="",G76=""),"",F76*G76+IF(J76="",0,J76)))</f>
        <v/>
      </c>
      <c r="I76" s="3" t="n"/>
      <c r="J76" s="3" t="n"/>
      <c r="K76" s="3" t="n"/>
    </row>
    <row r="77">
      <c r="A77" s="3" t="n"/>
      <c r="B77" s="3" t="n"/>
      <c r="C77" s="3" t="n"/>
      <c r="D77" s="3" t="n"/>
      <c r="E77" s="4">
        <f>IF(A77="","",COUNTIFS($A$4:A77,A77,$I$4:I77,"&lt;&gt;Штраф -2",$I$4:I77,"&lt;&gt;ушел на базу"))</f>
        <v/>
      </c>
      <c r="F77" s="4">
        <f>IF(E77="","",IF(E77&lt;=3,6,IF(E77&lt;=6,5,IF(E77&lt;=9,4,IF(E77&lt;=12,3,IF(E77&lt;=15,2,0))))))</f>
        <v/>
      </c>
      <c r="G77" s="3" t="n"/>
      <c r="H77" s="4">
        <f>IF(I77="Штраф -2",-2,IF(OR(F77="",G77=""),"",F77*G77+IF(J77="",0,J77)))</f>
        <v/>
      </c>
      <c r="I77" s="3" t="n"/>
      <c r="J77" s="3" t="n"/>
      <c r="K77" s="3" t="n"/>
    </row>
    <row r="78">
      <c r="A78" s="3" t="n"/>
      <c r="B78" s="3" t="n"/>
      <c r="C78" s="3" t="n"/>
      <c r="D78" s="3" t="n"/>
      <c r="E78" s="4">
        <f>IF(A78="","",COUNTIFS($A$4:A78,A78,$I$4:I78,"&lt;&gt;Штраф -2",$I$4:I78,"&lt;&gt;ушел на базу"))</f>
        <v/>
      </c>
      <c r="F78" s="4">
        <f>IF(E78="","",IF(E78&lt;=3,6,IF(E78&lt;=6,5,IF(E78&lt;=9,4,IF(E78&lt;=12,3,IF(E78&lt;=15,2,0))))))</f>
        <v/>
      </c>
      <c r="G78" s="3" t="n"/>
      <c r="H78" s="4">
        <f>IF(I78="Штраф -2",-2,IF(OR(F78="",G78=""),"",F78*G78+IF(J78="",0,J78)))</f>
        <v/>
      </c>
      <c r="I78" s="3" t="n"/>
      <c r="J78" s="3" t="n"/>
      <c r="K78" s="3" t="n"/>
    </row>
    <row r="79">
      <c r="A79" s="3" t="n"/>
      <c r="B79" s="3" t="n"/>
      <c r="C79" s="3" t="n"/>
      <c r="D79" s="3" t="n"/>
      <c r="E79" s="4">
        <f>IF(A79="","",COUNTIFS($A$4:A79,A79,$I$4:I79,"&lt;&gt;Штраф -2",$I$4:I79,"&lt;&gt;ушел на базу"))</f>
        <v/>
      </c>
      <c r="F79" s="4">
        <f>IF(E79="","",IF(E79&lt;=3,6,IF(E79&lt;=6,5,IF(E79&lt;=9,4,IF(E79&lt;=12,3,IF(E79&lt;=15,2,0))))))</f>
        <v/>
      </c>
      <c r="G79" s="3" t="n"/>
      <c r="H79" s="4">
        <f>IF(I79="Штраф -2",-2,IF(OR(F79="",G79=""),"",F79*G79+IF(J79="",0,J79)))</f>
        <v/>
      </c>
      <c r="I79" s="3" t="n"/>
      <c r="J79" s="3" t="n"/>
      <c r="K79" s="3" t="n"/>
    </row>
    <row r="80">
      <c r="A80" s="3" t="n"/>
      <c r="B80" s="3" t="n"/>
      <c r="C80" s="3" t="n"/>
      <c r="D80" s="3" t="n"/>
      <c r="E80" s="4">
        <f>IF(A80="","",COUNTIFS($A$4:A80,A80,$I$4:I80,"&lt;&gt;Штраф -2",$I$4:I80,"&lt;&gt;ушел на базу"))</f>
        <v/>
      </c>
      <c r="F80" s="4">
        <f>IF(E80="","",IF(E80&lt;=3,6,IF(E80&lt;=6,5,IF(E80&lt;=9,4,IF(E80&lt;=12,3,IF(E80&lt;=15,2,0))))))</f>
        <v/>
      </c>
      <c r="G80" s="3" t="n"/>
      <c r="H80" s="4">
        <f>IF(I80="Штраф -2",-2,IF(OR(F80="",G80=""),"",F80*G80+IF(J80="",0,J80)))</f>
        <v/>
      </c>
      <c r="I80" s="3" t="n"/>
      <c r="J80" s="3" t="n"/>
      <c r="K80" s="3" t="n"/>
    </row>
    <row r="81">
      <c r="A81" s="3" t="n"/>
      <c r="B81" s="3" t="n"/>
      <c r="C81" s="3" t="n"/>
      <c r="D81" s="3" t="n"/>
      <c r="E81" s="4">
        <f>IF(A81="","",COUNTIFS($A$4:A81,A81,$I$4:I81,"&lt;&gt;Штраф -2",$I$4:I81,"&lt;&gt;ушел на базу"))</f>
        <v/>
      </c>
      <c r="F81" s="4">
        <f>IF(E81="","",IF(E81&lt;=3,6,IF(E81&lt;=6,5,IF(E81&lt;=9,4,IF(E81&lt;=12,3,IF(E81&lt;=15,2,0))))))</f>
        <v/>
      </c>
      <c r="G81" s="3" t="n"/>
      <c r="H81" s="4">
        <f>IF(I81="Штраф -2",-2,IF(OR(F81="",G81=""),"",F81*G81+IF(J81="",0,J81)))</f>
        <v/>
      </c>
      <c r="I81" s="3" t="n"/>
      <c r="J81" s="3" t="n"/>
      <c r="K81" s="3" t="n"/>
    </row>
    <row r="82">
      <c r="A82" s="3" t="n"/>
      <c r="B82" s="3" t="n"/>
      <c r="C82" s="3" t="n"/>
      <c r="D82" s="3" t="n"/>
      <c r="E82" s="4">
        <f>IF(A82="","",COUNTIFS($A$4:A82,A82,$I$4:I82,"&lt;&gt;Штраф -2",$I$4:I82,"&lt;&gt;ушел на базу"))</f>
        <v/>
      </c>
      <c r="F82" s="4">
        <f>IF(E82="","",IF(E82&lt;=3,6,IF(E82&lt;=6,5,IF(E82&lt;=9,4,IF(E82&lt;=12,3,IF(E82&lt;=15,2,0))))))</f>
        <v/>
      </c>
      <c r="G82" s="3" t="n"/>
      <c r="H82" s="4">
        <f>IF(I82="Штраф -2",-2,IF(OR(F82="",G82=""),"",F82*G82+IF(J82="",0,J82)))</f>
        <v/>
      </c>
      <c r="I82" s="3" t="n"/>
      <c r="J82" s="3" t="n"/>
      <c r="K82" s="3" t="n"/>
    </row>
    <row r="83">
      <c r="A83" s="3" t="n"/>
      <c r="B83" s="3" t="n"/>
      <c r="C83" s="3" t="n"/>
      <c r="D83" s="3" t="n"/>
      <c r="E83" s="4">
        <f>IF(A83="","",COUNTIFS($A$4:A83,A83,$I$4:I83,"&lt;&gt;Штраф -2",$I$4:I83,"&lt;&gt;ушел на базу"))</f>
        <v/>
      </c>
      <c r="F83" s="4">
        <f>IF(E83="","",IF(E83&lt;=3,6,IF(E83&lt;=6,5,IF(E83&lt;=9,4,IF(E83&lt;=12,3,IF(E83&lt;=15,2,0))))))</f>
        <v/>
      </c>
      <c r="G83" s="3" t="n"/>
      <c r="H83" s="4">
        <f>IF(I83="Штраф -2",-2,IF(OR(F83="",G83=""),"",F83*G83+IF(J83="",0,J83)))</f>
        <v/>
      </c>
      <c r="I83" s="3" t="n"/>
      <c r="J83" s="3" t="n"/>
      <c r="K83" s="3" t="n"/>
    </row>
    <row r="84">
      <c r="A84" s="3" t="n"/>
      <c r="B84" s="3" t="n"/>
      <c r="C84" s="3" t="n"/>
      <c r="D84" s="3" t="n"/>
      <c r="E84" s="4">
        <f>IF(A84="","",COUNTIFS($A$4:A84,A84,$I$4:I84,"&lt;&gt;Штраф -2",$I$4:I84,"&lt;&gt;ушел на базу"))</f>
        <v/>
      </c>
      <c r="F84" s="4">
        <f>IF(E84="","",IF(E84&lt;=3,6,IF(E84&lt;=6,5,IF(E84&lt;=9,4,IF(E84&lt;=12,3,IF(E84&lt;=15,2,0))))))</f>
        <v/>
      </c>
      <c r="G84" s="3" t="n"/>
      <c r="H84" s="4">
        <f>IF(I84="Штраф -2",-2,IF(OR(F84="",G84=""),"",F84*G84+IF(J84="",0,J84)))</f>
        <v/>
      </c>
      <c r="I84" s="3" t="n"/>
      <c r="J84" s="3" t="n"/>
      <c r="K84" s="3" t="n"/>
    </row>
    <row r="85">
      <c r="A85" s="3" t="n"/>
      <c r="B85" s="3" t="n"/>
      <c r="C85" s="3" t="n"/>
      <c r="D85" s="3" t="n"/>
      <c r="E85" s="4">
        <f>IF(A85="","",COUNTIFS($A$4:A85,A85,$I$4:I85,"&lt;&gt;Штраф -2",$I$4:I85,"&lt;&gt;ушел на базу"))</f>
        <v/>
      </c>
      <c r="F85" s="4">
        <f>IF(E85="","",IF(E85&lt;=3,6,IF(E85&lt;=6,5,IF(E85&lt;=9,4,IF(E85&lt;=12,3,IF(E85&lt;=15,2,0))))))</f>
        <v/>
      </c>
      <c r="G85" s="3" t="n"/>
      <c r="H85" s="4">
        <f>IF(I85="Штраф -2",-2,IF(OR(F85="",G85=""),"",F85*G85+IF(J85="",0,J85)))</f>
        <v/>
      </c>
      <c r="I85" s="3" t="n"/>
      <c r="J85" s="3" t="n"/>
      <c r="K85" s="3" t="n"/>
    </row>
    <row r="86">
      <c r="A86" s="3" t="n"/>
      <c r="B86" s="3" t="n"/>
      <c r="C86" s="3" t="n"/>
      <c r="D86" s="3" t="n"/>
      <c r="E86" s="4">
        <f>IF(A86="","",COUNTIFS($A$4:A86,A86,$I$4:I86,"&lt;&gt;Штраф -2",$I$4:I86,"&lt;&gt;ушел на базу"))</f>
        <v/>
      </c>
      <c r="F86" s="4">
        <f>IF(E86="","",IF(E86&lt;=3,6,IF(E86&lt;=6,5,IF(E86&lt;=9,4,IF(E86&lt;=12,3,IF(E86&lt;=15,2,0))))))</f>
        <v/>
      </c>
      <c r="G86" s="3" t="n"/>
      <c r="H86" s="4">
        <f>IF(I86="Штраф -2",-2,IF(OR(F86="",G86=""),"",F86*G86+IF(J86="",0,J86)))</f>
        <v/>
      </c>
      <c r="I86" s="3" t="n"/>
      <c r="J86" s="3" t="n"/>
      <c r="K86" s="3" t="n"/>
    </row>
    <row r="87">
      <c r="A87" s="3" t="n"/>
      <c r="B87" s="3" t="n"/>
      <c r="C87" s="3" t="n"/>
      <c r="D87" s="3" t="n"/>
      <c r="E87" s="4">
        <f>IF(A87="","",COUNTIFS($A$4:A87,A87,$I$4:I87,"&lt;&gt;Штраф -2",$I$4:I87,"&lt;&gt;ушел на базу"))</f>
        <v/>
      </c>
      <c r="F87" s="4">
        <f>IF(E87="","",IF(E87&lt;=3,6,IF(E87&lt;=6,5,IF(E87&lt;=9,4,IF(E87&lt;=12,3,IF(E87&lt;=15,2,0))))))</f>
        <v/>
      </c>
      <c r="G87" s="3" t="n"/>
      <c r="H87" s="4">
        <f>IF(I87="Штраф -2",-2,IF(OR(F87="",G87=""),"",F87*G87+IF(J87="",0,J87)))</f>
        <v/>
      </c>
      <c r="I87" s="3" t="n"/>
      <c r="J87" s="3" t="n"/>
      <c r="K87" s="3" t="n"/>
    </row>
    <row r="88">
      <c r="A88" s="3" t="n"/>
      <c r="B88" s="3" t="n"/>
      <c r="C88" s="3" t="n"/>
      <c r="D88" s="3" t="n"/>
      <c r="E88" s="4">
        <f>IF(A88="","",COUNTIFS($A$4:A88,A88,$I$4:I88,"&lt;&gt;Штраф -2",$I$4:I88,"&lt;&gt;ушел на базу"))</f>
        <v/>
      </c>
      <c r="F88" s="4">
        <f>IF(E88="","",IF(E88&lt;=3,6,IF(E88&lt;=6,5,IF(E88&lt;=9,4,IF(E88&lt;=12,3,IF(E88&lt;=15,2,0))))))</f>
        <v/>
      </c>
      <c r="G88" s="3" t="n"/>
      <c r="H88" s="4">
        <f>IF(I88="Штраф -2",-2,IF(OR(F88="",G88=""),"",F88*G88+IF(J88="",0,J88)))</f>
        <v/>
      </c>
      <c r="I88" s="3" t="n"/>
      <c r="J88" s="3" t="n"/>
      <c r="K88" s="3" t="n"/>
    </row>
    <row r="89">
      <c r="A89" s="3" t="n"/>
      <c r="B89" s="3" t="n"/>
      <c r="C89" s="3" t="n"/>
      <c r="D89" s="3" t="n"/>
      <c r="E89" s="4">
        <f>IF(A89="","",COUNTIFS($A$4:A89,A89,$I$4:I89,"&lt;&gt;Штраф -2",$I$4:I89,"&lt;&gt;ушел на базу"))</f>
        <v/>
      </c>
      <c r="F89" s="4">
        <f>IF(E89="","",IF(E89&lt;=3,6,IF(E89&lt;=6,5,IF(E89&lt;=9,4,IF(E89&lt;=12,3,IF(E89&lt;=15,2,0))))))</f>
        <v/>
      </c>
      <c r="G89" s="3" t="n"/>
      <c r="H89" s="4">
        <f>IF(I89="Штраф -2",-2,IF(OR(F89="",G89=""),"",F89*G89+IF(J89="",0,J89)))</f>
        <v/>
      </c>
      <c r="I89" s="3" t="n"/>
      <c r="J89" s="3" t="n"/>
      <c r="K89" s="3" t="n"/>
    </row>
    <row r="90">
      <c r="A90" s="3" t="n"/>
      <c r="B90" s="3" t="n"/>
      <c r="C90" s="3" t="n"/>
      <c r="D90" s="3" t="n"/>
      <c r="E90" s="4">
        <f>IF(A90="","",COUNTIFS($A$4:A90,A90,$I$4:I90,"&lt;&gt;Штраф -2",$I$4:I90,"&lt;&gt;ушел на базу"))</f>
        <v/>
      </c>
      <c r="F90" s="4">
        <f>IF(E90="","",IF(E90&lt;=3,6,IF(E90&lt;=6,5,IF(E90&lt;=9,4,IF(E90&lt;=12,3,IF(E90&lt;=15,2,0))))))</f>
        <v/>
      </c>
      <c r="G90" s="3" t="n"/>
      <c r="H90" s="4">
        <f>IF(I90="Штраф -2",-2,IF(OR(F90="",G90=""),"",F90*G90+IF(J90="",0,J90)))</f>
        <v/>
      </c>
      <c r="I90" s="3" t="n"/>
      <c r="J90" s="3" t="n"/>
      <c r="K90" s="3" t="n"/>
    </row>
    <row r="91">
      <c r="A91" s="3" t="n"/>
      <c r="B91" s="3" t="n"/>
      <c r="C91" s="3" t="n"/>
      <c r="D91" s="3" t="n"/>
      <c r="E91" s="4">
        <f>IF(A91="","",COUNTIFS($A$4:A91,A91,$I$4:I91,"&lt;&gt;Штраф -2",$I$4:I91,"&lt;&gt;ушел на базу"))</f>
        <v/>
      </c>
      <c r="F91" s="4">
        <f>IF(E91="","",IF(E91&lt;=3,6,IF(E91&lt;=6,5,IF(E91&lt;=9,4,IF(E91&lt;=12,3,IF(E91&lt;=15,2,0))))))</f>
        <v/>
      </c>
      <c r="G91" s="3" t="n"/>
      <c r="H91" s="4">
        <f>IF(I91="Штраф -2",-2,IF(OR(F91="",G91=""),"",F91*G91+IF(J91="",0,J91)))</f>
        <v/>
      </c>
      <c r="I91" s="3" t="n"/>
      <c r="J91" s="3" t="n"/>
      <c r="K91" s="3" t="n"/>
    </row>
    <row r="92">
      <c r="A92" s="3" t="n"/>
      <c r="B92" s="3" t="n"/>
      <c r="C92" s="3" t="n"/>
      <c r="D92" s="3" t="n"/>
      <c r="E92" s="4">
        <f>IF(A92="","",COUNTIFS($A$4:A92,A92,$I$4:I92,"&lt;&gt;Штраф -2",$I$4:I92,"&lt;&gt;ушел на базу"))</f>
        <v/>
      </c>
      <c r="F92" s="4">
        <f>IF(E92="","",IF(E92&lt;=3,6,IF(E92&lt;=6,5,IF(E92&lt;=9,4,IF(E92&lt;=12,3,IF(E92&lt;=15,2,0))))))</f>
        <v/>
      </c>
      <c r="G92" s="3" t="n"/>
      <c r="H92" s="4">
        <f>IF(I92="Штраф -2",-2,IF(OR(F92="",G92=""),"",F92*G92+IF(J92="",0,J92)))</f>
        <v/>
      </c>
      <c r="I92" s="3" t="n"/>
      <c r="J92" s="3" t="n"/>
      <c r="K92" s="3" t="n"/>
    </row>
    <row r="93">
      <c r="A93" s="3" t="n"/>
      <c r="B93" s="3" t="n"/>
      <c r="C93" s="3" t="n"/>
      <c r="D93" s="3" t="n"/>
      <c r="E93" s="4">
        <f>IF(A93="","",COUNTIFS($A$4:A93,A93,$I$4:I93,"&lt;&gt;Штраф -2",$I$4:I93,"&lt;&gt;ушел на базу"))</f>
        <v/>
      </c>
      <c r="F93" s="4">
        <f>IF(E93="","",IF(E93&lt;=3,6,IF(E93&lt;=6,5,IF(E93&lt;=9,4,IF(E93&lt;=12,3,IF(E93&lt;=15,2,0))))))</f>
        <v/>
      </c>
      <c r="G93" s="3" t="n"/>
      <c r="H93" s="4">
        <f>IF(I93="Штраф -2",-2,IF(OR(F93="",G93=""),"",F93*G93+IF(J93="",0,J93)))</f>
        <v/>
      </c>
      <c r="I93" s="3" t="n"/>
      <c r="J93" s="3" t="n"/>
      <c r="K93" s="3" t="n"/>
    </row>
    <row r="94">
      <c r="A94" s="3" t="n"/>
      <c r="B94" s="3" t="n"/>
      <c r="C94" s="3" t="n"/>
      <c r="D94" s="3" t="n"/>
      <c r="E94" s="4">
        <f>IF(A94="","",COUNTIFS($A$4:A94,A94,$I$4:I94,"&lt;&gt;Штраф -2",$I$4:I94,"&lt;&gt;ушел на базу"))</f>
        <v/>
      </c>
      <c r="F94" s="4">
        <f>IF(E94="","",IF(E94&lt;=3,6,IF(E94&lt;=6,5,IF(E94&lt;=9,4,IF(E94&lt;=12,3,IF(E94&lt;=15,2,0))))))</f>
        <v/>
      </c>
      <c r="G94" s="3" t="n"/>
      <c r="H94" s="4">
        <f>IF(I94="Штраф -2",-2,IF(OR(F94="",G94=""),"",F94*G94+IF(J94="",0,J94)))</f>
        <v/>
      </c>
      <c r="I94" s="3" t="n"/>
      <c r="J94" s="3" t="n"/>
      <c r="K94" s="3" t="n"/>
    </row>
    <row r="95">
      <c r="A95" s="3" t="n"/>
      <c r="B95" s="3" t="n"/>
      <c r="C95" s="3" t="n"/>
      <c r="D95" s="3" t="n"/>
      <c r="E95" s="4">
        <f>IF(A95="","",COUNTIFS($A$4:A95,A95,$I$4:I95,"&lt;&gt;Штраф -2",$I$4:I95,"&lt;&gt;ушел на базу"))</f>
        <v/>
      </c>
      <c r="F95" s="4">
        <f>IF(E95="","",IF(E95&lt;=3,6,IF(E95&lt;=6,5,IF(E95&lt;=9,4,IF(E95&lt;=12,3,IF(E95&lt;=15,2,0))))))</f>
        <v/>
      </c>
      <c r="G95" s="3" t="n"/>
      <c r="H95" s="4">
        <f>IF(I95="Штраф -2",-2,IF(OR(F95="",G95=""),"",F95*G95+IF(J95="",0,J95)))</f>
        <v/>
      </c>
      <c r="I95" s="3" t="n"/>
      <c r="J95" s="3" t="n"/>
      <c r="K95" s="3" t="n"/>
    </row>
    <row r="96">
      <c r="A96" s="3" t="n"/>
      <c r="B96" s="3" t="n"/>
      <c r="C96" s="3" t="n"/>
      <c r="D96" s="3" t="n"/>
      <c r="E96" s="4">
        <f>IF(A96="","",COUNTIFS($A$4:A96,A96,$I$4:I96,"&lt;&gt;Штраф -2",$I$4:I96,"&lt;&gt;ушел на базу"))</f>
        <v/>
      </c>
      <c r="F96" s="4">
        <f>IF(E96="","",IF(E96&lt;=3,6,IF(E96&lt;=6,5,IF(E96&lt;=9,4,IF(E96&lt;=12,3,IF(E96&lt;=15,2,0))))))</f>
        <v/>
      </c>
      <c r="G96" s="3" t="n"/>
      <c r="H96" s="4">
        <f>IF(I96="Штраф -2",-2,IF(OR(F96="",G96=""),"",F96*G96+IF(J96="",0,J96)))</f>
        <v/>
      </c>
      <c r="I96" s="3" t="n"/>
      <c r="J96" s="3" t="n"/>
      <c r="K96" s="3" t="n"/>
    </row>
    <row r="97">
      <c r="A97" s="3" t="n"/>
      <c r="B97" s="3" t="n"/>
      <c r="C97" s="3" t="n"/>
      <c r="D97" s="3" t="n"/>
      <c r="E97" s="4">
        <f>IF(A97="","",COUNTIFS($A$4:A97,A97,$I$4:I97,"&lt;&gt;Штраф -2",$I$4:I97,"&lt;&gt;ушел на базу"))</f>
        <v/>
      </c>
      <c r="F97" s="4">
        <f>IF(E97="","",IF(E97&lt;=3,6,IF(E97&lt;=6,5,IF(E97&lt;=9,4,IF(E97&lt;=12,3,IF(E97&lt;=15,2,0))))))</f>
        <v/>
      </c>
      <c r="G97" s="3" t="n"/>
      <c r="H97" s="4">
        <f>IF(I97="Штраф -2",-2,IF(OR(F97="",G97=""),"",F97*G97+IF(J97="",0,J97)))</f>
        <v/>
      </c>
      <c r="I97" s="3" t="n"/>
      <c r="J97" s="3" t="n"/>
      <c r="K97" s="3" t="n"/>
    </row>
    <row r="98">
      <c r="A98" s="3" t="n"/>
      <c r="B98" s="3" t="n"/>
      <c r="C98" s="3" t="n"/>
      <c r="D98" s="3" t="n"/>
      <c r="E98" s="4">
        <f>IF(A98="","",COUNTIFS($A$4:A98,A98,$I$4:I98,"&lt;&gt;Штраф -2",$I$4:I98,"&lt;&gt;ушел на базу"))</f>
        <v/>
      </c>
      <c r="F98" s="4">
        <f>IF(E98="","",IF(E98&lt;=3,6,IF(E98&lt;=6,5,IF(E98&lt;=9,4,IF(E98&lt;=12,3,IF(E98&lt;=15,2,0))))))</f>
        <v/>
      </c>
      <c r="G98" s="3" t="n"/>
      <c r="H98" s="4">
        <f>IF(I98="Штраф -2",-2,IF(OR(F98="",G98=""),"",F98*G98+IF(J98="",0,J98)))</f>
        <v/>
      </c>
      <c r="I98" s="3" t="n"/>
      <c r="J98" s="3" t="n"/>
      <c r="K98" s="3" t="n"/>
    </row>
    <row r="99">
      <c r="A99" s="3" t="n"/>
      <c r="B99" s="3" t="n"/>
      <c r="C99" s="3" t="n"/>
      <c r="D99" s="3" t="n"/>
      <c r="E99" s="4">
        <f>IF(A99="","",COUNTIFS($A$4:A99,A99,$I$4:I99,"&lt;&gt;Штраф -2",$I$4:I99,"&lt;&gt;ушел на базу"))</f>
        <v/>
      </c>
      <c r="F99" s="4">
        <f>IF(E99="","",IF(E99&lt;=3,6,IF(E99&lt;=6,5,IF(E99&lt;=9,4,IF(E99&lt;=12,3,IF(E99&lt;=15,2,0))))))</f>
        <v/>
      </c>
      <c r="G99" s="3" t="n"/>
      <c r="H99" s="4">
        <f>IF(I99="Штраф -2",-2,IF(OR(F99="",G99=""),"",F99*G99+IF(J99="",0,J99)))</f>
        <v/>
      </c>
      <c r="I99" s="3" t="n"/>
      <c r="J99" s="3" t="n"/>
      <c r="K99" s="3" t="n"/>
    </row>
    <row r="100">
      <c r="A100" s="3" t="n"/>
      <c r="B100" s="3" t="n"/>
      <c r="C100" s="3" t="n"/>
      <c r="D100" s="3" t="n"/>
      <c r="E100" s="4">
        <f>IF(A100="","",COUNTIFS($A$4:A100,A100,$I$4:I100,"&lt;&gt;Штраф -2",$I$4:I100,"&lt;&gt;ушел на базу"))</f>
        <v/>
      </c>
      <c r="F100" s="4">
        <f>IF(E100="","",IF(E100&lt;=3,6,IF(E100&lt;=6,5,IF(E100&lt;=9,4,IF(E100&lt;=12,3,IF(E100&lt;=15,2,0))))))</f>
        <v/>
      </c>
      <c r="G100" s="3" t="n"/>
      <c r="H100" s="4">
        <f>IF(I100="Штраф -2",-2,IF(OR(F100="",G100=""),"",F100*G100+IF(J100="",0,J100)))</f>
        <v/>
      </c>
      <c r="I100" s="3" t="n"/>
      <c r="J100" s="3" t="n"/>
      <c r="K100" s="3" t="n"/>
    </row>
    <row r="101">
      <c r="A101" s="3" t="n"/>
      <c r="B101" s="3" t="n"/>
      <c r="C101" s="3" t="n"/>
      <c r="D101" s="3" t="n"/>
      <c r="E101" s="4">
        <f>IF(A101="","",COUNTIFS($A$4:A101,A101,$I$4:I101,"&lt;&gt;Штраф -2",$I$4:I101,"&lt;&gt;ушел на базу"))</f>
        <v/>
      </c>
      <c r="F101" s="4">
        <f>IF(E101="","",IF(E101&lt;=3,6,IF(E101&lt;=6,5,IF(E101&lt;=9,4,IF(E101&lt;=12,3,IF(E101&lt;=15,2,0))))))</f>
        <v/>
      </c>
      <c r="G101" s="3" t="n"/>
      <c r="H101" s="4">
        <f>IF(I101="Штраф -2",-2,IF(OR(F101="",G101=""),"",F101*G101+IF(J101="",0,J101)))</f>
        <v/>
      </c>
      <c r="I101" s="3" t="n"/>
      <c r="J101" s="3" t="n"/>
      <c r="K101" s="3" t="n"/>
    </row>
    <row r="102">
      <c r="A102" s="3" t="n"/>
      <c r="B102" s="3" t="n"/>
      <c r="C102" s="3" t="n"/>
      <c r="D102" s="3" t="n"/>
      <c r="E102" s="4">
        <f>IF(A102="","",COUNTIFS($A$4:A102,A102,$I$4:I102,"&lt;&gt;Штраф -2",$I$4:I102,"&lt;&gt;ушел на базу"))</f>
        <v/>
      </c>
      <c r="F102" s="4">
        <f>IF(E102="","",IF(E102&lt;=3,6,IF(E102&lt;=6,5,IF(E102&lt;=9,4,IF(E102&lt;=12,3,IF(E102&lt;=15,2,0))))))</f>
        <v/>
      </c>
      <c r="G102" s="3" t="n"/>
      <c r="H102" s="4">
        <f>IF(I102="Штраф -2",-2,IF(OR(F102="",G102=""),"",F102*G102+IF(J102="",0,J102)))</f>
        <v/>
      </c>
      <c r="I102" s="3" t="n"/>
      <c r="J102" s="3" t="n"/>
      <c r="K102" s="3" t="n"/>
    </row>
    <row r="103">
      <c r="A103" s="3" t="n"/>
      <c r="B103" s="3" t="n"/>
      <c r="C103" s="3" t="n"/>
      <c r="D103" s="3" t="n"/>
      <c r="E103" s="4">
        <f>IF(A103="","",COUNTIFS($A$4:A103,A103,$I$4:I103,"&lt;&gt;Штраф -2",$I$4:I103,"&lt;&gt;ушел на базу"))</f>
        <v/>
      </c>
      <c r="F103" s="4">
        <f>IF(E103="","",IF(E103&lt;=3,6,IF(E103&lt;=6,5,IF(E103&lt;=9,4,IF(E103&lt;=12,3,IF(E103&lt;=15,2,0))))))</f>
        <v/>
      </c>
      <c r="G103" s="3" t="n"/>
      <c r="H103" s="4">
        <f>IF(I103="Штраф -2",-2,IF(OR(F103="",G103=""),"",F103*G103+IF(J103="",0,J103)))</f>
        <v/>
      </c>
      <c r="I103" s="3" t="n"/>
      <c r="J103" s="3" t="n"/>
      <c r="K103" s="3" t="n"/>
    </row>
    <row r="104">
      <c r="A104" s="3" t="n"/>
      <c r="B104" s="3" t="n"/>
      <c r="C104" s="3" t="n"/>
      <c r="D104" s="3" t="n"/>
      <c r="E104" s="4">
        <f>IF(A104="","",COUNTIFS($A$4:A104,A104,$I$4:I104,"&lt;&gt;Штраф -2",$I$4:I104,"&lt;&gt;ушел на базу"))</f>
        <v/>
      </c>
      <c r="F104" s="4">
        <f>IF(E104="","",IF(E104&lt;=3,6,IF(E104&lt;=6,5,IF(E104&lt;=9,4,IF(E104&lt;=12,3,IF(E104&lt;=15,2,0))))))</f>
        <v/>
      </c>
      <c r="G104" s="3" t="n"/>
      <c r="H104" s="4">
        <f>IF(I104="Штраф -2",-2,IF(OR(F104="",G104=""),"",F104*G104+IF(J104="",0,J104)))</f>
        <v/>
      </c>
      <c r="I104" s="3" t="n"/>
      <c r="J104" s="3" t="n"/>
      <c r="K104" s="3" t="n"/>
    </row>
    <row r="105">
      <c r="A105" s="3" t="n"/>
      <c r="B105" s="3" t="n"/>
      <c r="C105" s="3" t="n"/>
      <c r="D105" s="3" t="n"/>
      <c r="E105" s="4">
        <f>IF(A105="","",COUNTIFS($A$4:A105,A105,$I$4:I105,"&lt;&gt;Штраф -2",$I$4:I105,"&lt;&gt;ушел на базу"))</f>
        <v/>
      </c>
      <c r="F105" s="4">
        <f>IF(E105="","",IF(E105&lt;=3,6,IF(E105&lt;=6,5,IF(E105&lt;=9,4,IF(E105&lt;=12,3,IF(E105&lt;=15,2,0))))))</f>
        <v/>
      </c>
      <c r="G105" s="3" t="n"/>
      <c r="H105" s="4">
        <f>IF(I105="Штраф -2",-2,IF(OR(F105="",G105=""),"",F105*G105+IF(J105="",0,J105)))</f>
        <v/>
      </c>
      <c r="I105" s="3" t="n"/>
      <c r="J105" s="3" t="n"/>
      <c r="K105" s="3" t="n"/>
    </row>
    <row r="106">
      <c r="A106" s="3" t="n"/>
      <c r="B106" s="3" t="n"/>
      <c r="C106" s="3" t="n"/>
      <c r="D106" s="3" t="n"/>
      <c r="E106" s="4">
        <f>IF(A106="","",COUNTIFS($A$4:A106,A106,$I$4:I106,"&lt;&gt;Штраф -2",$I$4:I106,"&lt;&gt;ушел на базу"))</f>
        <v/>
      </c>
      <c r="F106" s="4">
        <f>IF(E106="","",IF(E106&lt;=3,6,IF(E106&lt;=6,5,IF(E106&lt;=9,4,IF(E106&lt;=12,3,IF(E106&lt;=15,2,0))))))</f>
        <v/>
      </c>
      <c r="G106" s="3" t="n"/>
      <c r="H106" s="4">
        <f>IF(I106="Штраф -2",-2,IF(OR(F106="",G106=""),"",F106*G106+IF(J106="",0,J106)))</f>
        <v/>
      </c>
      <c r="I106" s="3" t="n"/>
      <c r="J106" s="3" t="n"/>
      <c r="K106" s="3" t="n"/>
    </row>
    <row r="107">
      <c r="A107" s="3" t="n"/>
      <c r="B107" s="3" t="n"/>
      <c r="C107" s="3" t="n"/>
      <c r="D107" s="3" t="n"/>
      <c r="E107" s="4">
        <f>IF(A107="","",COUNTIFS($A$4:A107,A107,$I$4:I107,"&lt;&gt;Штраф -2",$I$4:I107,"&lt;&gt;ушел на базу"))</f>
        <v/>
      </c>
      <c r="F107" s="4">
        <f>IF(E107="","",IF(E107&lt;=3,6,IF(E107&lt;=6,5,IF(E107&lt;=9,4,IF(E107&lt;=12,3,IF(E107&lt;=15,2,0))))))</f>
        <v/>
      </c>
      <c r="G107" s="3" t="n"/>
      <c r="H107" s="4">
        <f>IF(I107="Штраф -2",-2,IF(OR(F107="",G107=""),"",F107*G107+IF(J107="",0,J107)))</f>
        <v/>
      </c>
      <c r="I107" s="3" t="n"/>
      <c r="J107" s="3" t="n"/>
      <c r="K107" s="3" t="n"/>
    </row>
    <row r="108">
      <c r="A108" s="3" t="n"/>
      <c r="B108" s="3" t="n"/>
      <c r="C108" s="3" t="n"/>
      <c r="D108" s="3" t="n"/>
      <c r="E108" s="4">
        <f>IF(A108="","",COUNTIFS($A$4:A108,A108,$I$4:I108,"&lt;&gt;Штраф -2",$I$4:I108,"&lt;&gt;ушел на базу"))</f>
        <v/>
      </c>
      <c r="F108" s="4">
        <f>IF(E108="","",IF(E108&lt;=3,6,IF(E108&lt;=6,5,IF(E108&lt;=9,4,IF(E108&lt;=12,3,IF(E108&lt;=15,2,0))))))</f>
        <v/>
      </c>
      <c r="G108" s="3" t="n"/>
      <c r="H108" s="4">
        <f>IF(I108="Штраф -2",-2,IF(OR(F108="",G108=""),"",F108*G108+IF(J108="",0,J108)))</f>
        <v/>
      </c>
      <c r="I108" s="3" t="n"/>
      <c r="J108" s="3" t="n"/>
      <c r="K108" s="3" t="n"/>
    </row>
    <row r="109">
      <c r="A109" s="3" t="n"/>
      <c r="B109" s="3" t="n"/>
      <c r="C109" s="3" t="n"/>
      <c r="D109" s="3" t="n"/>
      <c r="E109" s="4">
        <f>IF(A109="","",COUNTIFS($A$4:A109,A109,$I$4:I109,"&lt;&gt;Штраф -2",$I$4:I109,"&lt;&gt;ушел на базу"))</f>
        <v/>
      </c>
      <c r="F109" s="4">
        <f>IF(E109="","",IF(E109&lt;=3,6,IF(E109&lt;=6,5,IF(E109&lt;=9,4,IF(E109&lt;=12,3,IF(E109&lt;=15,2,0))))))</f>
        <v/>
      </c>
      <c r="G109" s="3" t="n"/>
      <c r="H109" s="4">
        <f>IF(I109="Штраф -2",-2,IF(OR(F109="",G109=""),"",F109*G109+IF(J109="",0,J109)))</f>
        <v/>
      </c>
      <c r="I109" s="3" t="n"/>
      <c r="J109" s="3" t="n"/>
      <c r="K109" s="3" t="n"/>
    </row>
    <row r="110">
      <c r="A110" s="3" t="n"/>
      <c r="B110" s="3" t="n"/>
      <c r="C110" s="3" t="n"/>
      <c r="D110" s="3" t="n"/>
      <c r="E110" s="4">
        <f>IF(A110="","",COUNTIFS($A$4:A110,A110,$I$4:I110,"&lt;&gt;Штраф -2",$I$4:I110,"&lt;&gt;ушел на базу"))</f>
        <v/>
      </c>
      <c r="F110" s="4">
        <f>IF(E110="","",IF(E110&lt;=3,6,IF(E110&lt;=6,5,IF(E110&lt;=9,4,IF(E110&lt;=12,3,IF(E110&lt;=15,2,0))))))</f>
        <v/>
      </c>
      <c r="G110" s="3" t="n"/>
      <c r="H110" s="4">
        <f>IF(I110="Штраф -2",-2,IF(OR(F110="",G110=""),"",F110*G110+IF(J110="",0,J110)))</f>
        <v/>
      </c>
      <c r="I110" s="3" t="n"/>
      <c r="J110" s="3" t="n"/>
      <c r="K110" s="3" t="n"/>
    </row>
    <row r="111">
      <c r="A111" s="3" t="n"/>
      <c r="B111" s="3" t="n"/>
      <c r="C111" s="3" t="n"/>
      <c r="D111" s="3" t="n"/>
      <c r="E111" s="4">
        <f>IF(A111="","",COUNTIFS($A$4:A111,A111,$I$4:I111,"&lt;&gt;Штраф -2",$I$4:I111,"&lt;&gt;ушел на базу"))</f>
        <v/>
      </c>
      <c r="F111" s="4">
        <f>IF(E111="","",IF(E111&lt;=3,6,IF(E111&lt;=6,5,IF(E111&lt;=9,4,IF(E111&lt;=12,3,IF(E111&lt;=15,2,0))))))</f>
        <v/>
      </c>
      <c r="G111" s="3" t="n"/>
      <c r="H111" s="4">
        <f>IF(I111="Штраф -2",-2,IF(OR(F111="",G111=""),"",F111*G111+IF(J111="",0,J111)))</f>
        <v/>
      </c>
      <c r="I111" s="3" t="n"/>
      <c r="J111" s="3" t="n"/>
      <c r="K111" s="3" t="n"/>
    </row>
    <row r="112">
      <c r="A112" s="3" t="n"/>
      <c r="B112" s="3" t="n"/>
      <c r="C112" s="3" t="n"/>
      <c r="D112" s="3" t="n"/>
      <c r="E112" s="4">
        <f>IF(A112="","",COUNTIFS($A$4:A112,A112,$I$4:I112,"&lt;&gt;Штраф -2",$I$4:I112,"&lt;&gt;ушел на базу"))</f>
        <v/>
      </c>
      <c r="F112" s="4">
        <f>IF(E112="","",IF(E112&lt;=3,6,IF(E112&lt;=6,5,IF(E112&lt;=9,4,IF(E112&lt;=12,3,IF(E112&lt;=15,2,0))))))</f>
        <v/>
      </c>
      <c r="G112" s="3" t="n"/>
      <c r="H112" s="4">
        <f>IF(I112="Штраф -2",-2,IF(OR(F112="",G112=""),"",F112*G112+IF(J112="",0,J112)))</f>
        <v/>
      </c>
      <c r="I112" s="3" t="n"/>
      <c r="J112" s="3" t="n"/>
      <c r="K112" s="3" t="n"/>
    </row>
    <row r="113">
      <c r="A113" s="3" t="n"/>
      <c r="B113" s="3" t="n"/>
      <c r="C113" s="3" t="n"/>
      <c r="D113" s="3" t="n"/>
      <c r="E113" s="4">
        <f>IF(A113="","",COUNTIFS($A$4:A113,A113,$I$4:I113,"&lt;&gt;Штраф -2",$I$4:I113,"&lt;&gt;ушел на базу"))</f>
        <v/>
      </c>
      <c r="F113" s="4">
        <f>IF(E113="","",IF(E113&lt;=3,6,IF(E113&lt;=6,5,IF(E113&lt;=9,4,IF(E113&lt;=12,3,IF(E113&lt;=15,2,0))))))</f>
        <v/>
      </c>
      <c r="G113" s="3" t="n"/>
      <c r="H113" s="4">
        <f>IF(I113="Штраф -2",-2,IF(OR(F113="",G113=""),"",F113*G113+IF(J113="",0,J113)))</f>
        <v/>
      </c>
      <c r="I113" s="3" t="n"/>
      <c r="J113" s="3" t="n"/>
      <c r="K113" s="3" t="n"/>
    </row>
    <row r="114">
      <c r="A114" s="3" t="n"/>
      <c r="B114" s="3" t="n"/>
      <c r="C114" s="3" t="n"/>
      <c r="D114" s="3" t="n"/>
      <c r="E114" s="4">
        <f>IF(A114="","",COUNTIFS($A$4:A114,A114,$I$4:I114,"&lt;&gt;Штраф -2",$I$4:I114,"&lt;&gt;ушел на базу"))</f>
        <v/>
      </c>
      <c r="F114" s="4">
        <f>IF(E114="","",IF(E114&lt;=3,6,IF(E114&lt;=6,5,IF(E114&lt;=9,4,IF(E114&lt;=12,3,IF(E114&lt;=15,2,0))))))</f>
        <v/>
      </c>
      <c r="G114" s="3" t="n"/>
      <c r="H114" s="4">
        <f>IF(I114="Штраф -2",-2,IF(OR(F114="",G114=""),"",F114*G114+IF(J114="",0,J114)))</f>
        <v/>
      </c>
      <c r="I114" s="3" t="n"/>
      <c r="J114" s="3" t="n"/>
      <c r="K114" s="3" t="n"/>
    </row>
    <row r="115">
      <c r="A115" s="3" t="n"/>
      <c r="B115" s="3" t="n"/>
      <c r="C115" s="3" t="n"/>
      <c r="D115" s="3" t="n"/>
      <c r="E115" s="4">
        <f>IF(A115="","",COUNTIFS($A$4:A115,A115,$I$4:I115,"&lt;&gt;Штраф -2",$I$4:I115,"&lt;&gt;ушел на базу"))</f>
        <v/>
      </c>
      <c r="F115" s="4">
        <f>IF(E115="","",IF(E115&lt;=3,6,IF(E115&lt;=6,5,IF(E115&lt;=9,4,IF(E115&lt;=12,3,IF(E115&lt;=15,2,0))))))</f>
        <v/>
      </c>
      <c r="G115" s="3" t="n"/>
      <c r="H115" s="4">
        <f>IF(I115="Штраф -2",-2,IF(OR(F115="",G115=""),"",F115*G115+IF(J115="",0,J115)))</f>
        <v/>
      </c>
      <c r="I115" s="3" t="n"/>
      <c r="J115" s="3" t="n"/>
      <c r="K115" s="3" t="n"/>
    </row>
    <row r="116">
      <c r="A116" s="3" t="n"/>
      <c r="B116" s="3" t="n"/>
      <c r="C116" s="3" t="n"/>
      <c r="D116" s="3" t="n"/>
      <c r="E116" s="4">
        <f>IF(A116="","",COUNTIFS($A$4:A116,A116,$I$4:I116,"&lt;&gt;Штраф -2",$I$4:I116,"&lt;&gt;ушел на базу"))</f>
        <v/>
      </c>
      <c r="F116" s="4">
        <f>IF(E116="","",IF(E116&lt;=3,6,IF(E116&lt;=6,5,IF(E116&lt;=9,4,IF(E116&lt;=12,3,IF(E116&lt;=15,2,0))))))</f>
        <v/>
      </c>
      <c r="G116" s="3" t="n"/>
      <c r="H116" s="4">
        <f>IF(I116="Штраф -2",-2,IF(OR(F116="",G116=""),"",F116*G116+IF(J116="",0,J116)))</f>
        <v/>
      </c>
      <c r="I116" s="3" t="n"/>
      <c r="J116" s="3" t="n"/>
      <c r="K116" s="3" t="n"/>
    </row>
    <row r="117">
      <c r="A117" s="3" t="n"/>
      <c r="B117" s="3" t="n"/>
      <c r="C117" s="3" t="n"/>
      <c r="D117" s="3" t="n"/>
      <c r="E117" s="4">
        <f>IF(A117="","",COUNTIFS($A$4:A117,A117,$I$4:I117,"&lt;&gt;Штраф -2",$I$4:I117,"&lt;&gt;ушел на базу"))</f>
        <v/>
      </c>
      <c r="F117" s="4">
        <f>IF(E117="","",IF(E117&lt;=3,6,IF(E117&lt;=6,5,IF(E117&lt;=9,4,IF(E117&lt;=12,3,IF(E117&lt;=15,2,0))))))</f>
        <v/>
      </c>
      <c r="G117" s="3" t="n"/>
      <c r="H117" s="4">
        <f>IF(I117="Штраф -2",-2,IF(OR(F117="",G117=""),"",F117*G117+IF(J117="",0,J117)))</f>
        <v/>
      </c>
      <c r="I117" s="3" t="n"/>
      <c r="J117" s="3" t="n"/>
      <c r="K117" s="3" t="n"/>
    </row>
    <row r="118">
      <c r="A118" s="3" t="n"/>
      <c r="B118" s="3" t="n"/>
      <c r="C118" s="3" t="n"/>
      <c r="D118" s="3" t="n"/>
      <c r="E118" s="4">
        <f>IF(A118="","",COUNTIFS($A$4:A118,A118,$I$4:I118,"&lt;&gt;Штраф -2",$I$4:I118,"&lt;&gt;ушел на базу"))</f>
        <v/>
      </c>
      <c r="F118" s="4">
        <f>IF(E118="","",IF(E118&lt;=3,6,IF(E118&lt;=6,5,IF(E118&lt;=9,4,IF(E118&lt;=12,3,IF(E118&lt;=15,2,0))))))</f>
        <v/>
      </c>
      <c r="G118" s="3" t="n"/>
      <c r="H118" s="4">
        <f>IF(I118="Штраф -2",-2,IF(OR(F118="",G118=""),"",F118*G118+IF(J118="",0,J118)))</f>
        <v/>
      </c>
      <c r="I118" s="3" t="n"/>
      <c r="J118" s="3" t="n"/>
      <c r="K118" s="3" t="n"/>
    </row>
    <row r="119">
      <c r="A119" s="3" t="n"/>
      <c r="B119" s="3" t="n"/>
      <c r="C119" s="3" t="n"/>
      <c r="D119" s="3" t="n"/>
      <c r="E119" s="4">
        <f>IF(A119="","",COUNTIFS($A$4:A119,A119,$I$4:I119,"&lt;&gt;Штраф -2",$I$4:I119,"&lt;&gt;ушел на базу"))</f>
        <v/>
      </c>
      <c r="F119" s="4">
        <f>IF(E119="","",IF(E119&lt;=3,6,IF(E119&lt;=6,5,IF(E119&lt;=9,4,IF(E119&lt;=12,3,IF(E119&lt;=15,2,0))))))</f>
        <v/>
      </c>
      <c r="G119" s="3" t="n"/>
      <c r="H119" s="4">
        <f>IF(I119="Штраф -2",-2,IF(OR(F119="",G119=""),"",F119*G119+IF(J119="",0,J119)))</f>
        <v/>
      </c>
      <c r="I119" s="3" t="n"/>
      <c r="J119" s="3" t="n"/>
      <c r="K119" s="3" t="n"/>
    </row>
    <row r="120">
      <c r="A120" s="3" t="n"/>
      <c r="B120" s="3" t="n"/>
      <c r="C120" s="3" t="n"/>
      <c r="D120" s="3" t="n"/>
      <c r="E120" s="4">
        <f>IF(A120="","",COUNTIFS($A$4:A120,A120,$I$4:I120,"&lt;&gt;Штраф -2",$I$4:I120,"&lt;&gt;ушел на базу"))</f>
        <v/>
      </c>
      <c r="F120" s="4">
        <f>IF(E120="","",IF(E120&lt;=3,6,IF(E120&lt;=6,5,IF(E120&lt;=9,4,IF(E120&lt;=12,3,IF(E120&lt;=15,2,0))))))</f>
        <v/>
      </c>
      <c r="G120" s="3" t="n"/>
      <c r="H120" s="4">
        <f>IF(I120="Штраф -2",-2,IF(OR(F120="",G120=""),"",F120*G120+IF(J120="",0,J120)))</f>
        <v/>
      </c>
      <c r="I120" s="3" t="n"/>
      <c r="J120" s="3" t="n"/>
      <c r="K120" s="3" t="n"/>
    </row>
    <row r="121">
      <c r="A121" s="3" t="n"/>
      <c r="B121" s="3" t="n"/>
      <c r="C121" s="3" t="n"/>
      <c r="D121" s="3" t="n"/>
      <c r="E121" s="4">
        <f>IF(A121="","",COUNTIFS($A$4:A121,A121,$I$4:I121,"&lt;&gt;Штраф -2",$I$4:I121,"&lt;&gt;ушел на базу"))</f>
        <v/>
      </c>
      <c r="F121" s="4">
        <f>IF(E121="","",IF(E121&lt;=3,6,IF(E121&lt;=6,5,IF(E121&lt;=9,4,IF(E121&lt;=12,3,IF(E121&lt;=15,2,0))))))</f>
        <v/>
      </c>
      <c r="G121" s="3" t="n"/>
      <c r="H121" s="4">
        <f>IF(I121="Штраф -2",-2,IF(OR(F121="",G121=""),"",F121*G121+IF(J121="",0,J121)))</f>
        <v/>
      </c>
      <c r="I121" s="3" t="n"/>
      <c r="J121" s="3" t="n"/>
      <c r="K121" s="3" t="n"/>
    </row>
    <row r="122">
      <c r="A122" s="3" t="n"/>
      <c r="B122" s="3" t="n"/>
      <c r="C122" s="3" t="n"/>
      <c r="D122" s="3" t="n"/>
      <c r="E122" s="4">
        <f>IF(A122="","",COUNTIFS($A$4:A122,A122,$I$4:I122,"&lt;&gt;Штраф -2",$I$4:I122,"&lt;&gt;ушел на базу"))</f>
        <v/>
      </c>
      <c r="F122" s="4">
        <f>IF(E122="","",IF(E122&lt;=3,6,IF(E122&lt;=6,5,IF(E122&lt;=9,4,IF(E122&lt;=12,3,IF(E122&lt;=15,2,0))))))</f>
        <v/>
      </c>
      <c r="G122" s="3" t="n"/>
      <c r="H122" s="4">
        <f>IF(I122="Штраф -2",-2,IF(OR(F122="",G122=""),"",F122*G122+IF(J122="",0,J122)))</f>
        <v/>
      </c>
      <c r="I122" s="3" t="n"/>
      <c r="J122" s="3" t="n"/>
      <c r="K122" s="3" t="n"/>
    </row>
    <row r="123">
      <c r="A123" s="3" t="n"/>
      <c r="B123" s="3" t="n"/>
      <c r="C123" s="3" t="n"/>
      <c r="D123" s="3" t="n"/>
      <c r="E123" s="4">
        <f>IF(A123="","",COUNTIFS($A$4:A123,A123,$I$4:I123,"&lt;&gt;Штраф -2",$I$4:I123,"&lt;&gt;ушел на базу"))</f>
        <v/>
      </c>
      <c r="F123" s="4">
        <f>IF(E123="","",IF(E123&lt;=3,6,IF(E123&lt;=6,5,IF(E123&lt;=9,4,IF(E123&lt;=12,3,IF(E123&lt;=15,2,0))))))</f>
        <v/>
      </c>
      <c r="G123" s="3" t="n"/>
      <c r="H123" s="4">
        <f>IF(I123="Штраф -2",-2,IF(OR(F123="",G123=""),"",F123*G123+IF(J123="",0,J123)))</f>
        <v/>
      </c>
      <c r="I123" s="3" t="n"/>
      <c r="J123" s="3" t="n"/>
      <c r="K123" s="3" t="n"/>
    </row>
    <row r="124">
      <c r="A124" s="3" t="n"/>
      <c r="B124" s="3" t="n"/>
      <c r="C124" s="3" t="n"/>
      <c r="D124" s="3" t="n"/>
      <c r="E124" s="4">
        <f>IF(A124="","",COUNTIFS($A$4:A124,A124,$I$4:I124,"&lt;&gt;Штраф -2",$I$4:I124,"&lt;&gt;ушел на базу"))</f>
        <v/>
      </c>
      <c r="F124" s="4">
        <f>IF(E124="","",IF(E124&lt;=3,6,IF(E124&lt;=6,5,IF(E124&lt;=9,4,IF(E124&lt;=12,3,IF(E124&lt;=15,2,0))))))</f>
        <v/>
      </c>
      <c r="G124" s="3" t="n"/>
      <c r="H124" s="4">
        <f>IF(I124="Штраф -2",-2,IF(OR(F124="",G124=""),"",F124*G124+IF(J124="",0,J124)))</f>
        <v/>
      </c>
      <c r="I124" s="3" t="n"/>
      <c r="J124" s="3" t="n"/>
      <c r="K124" s="3" t="n"/>
    </row>
    <row r="125">
      <c r="A125" s="3" t="n"/>
      <c r="B125" s="3" t="n"/>
      <c r="C125" s="3" t="n"/>
      <c r="D125" s="3" t="n"/>
      <c r="E125" s="4">
        <f>IF(A125="","",COUNTIFS($A$4:A125,A125,$I$4:I125,"&lt;&gt;Штраф -2",$I$4:I125,"&lt;&gt;ушел на базу"))</f>
        <v/>
      </c>
      <c r="F125" s="4">
        <f>IF(E125="","",IF(E125&lt;=3,6,IF(E125&lt;=6,5,IF(E125&lt;=9,4,IF(E125&lt;=12,3,IF(E125&lt;=15,2,0))))))</f>
        <v/>
      </c>
      <c r="G125" s="3" t="n"/>
      <c r="H125" s="4">
        <f>IF(I125="Штраф -2",-2,IF(OR(F125="",G125=""),"",F125*G125+IF(J125="",0,J125)))</f>
        <v/>
      </c>
      <c r="I125" s="3" t="n"/>
      <c r="J125" s="3" t="n"/>
      <c r="K125" s="3" t="n"/>
    </row>
    <row r="126">
      <c r="A126" s="3" t="n"/>
      <c r="B126" s="3" t="n"/>
      <c r="C126" s="3" t="n"/>
      <c r="D126" s="3" t="n"/>
      <c r="E126" s="4">
        <f>IF(A126="","",COUNTIFS($A$4:A126,A126,$I$4:I126,"&lt;&gt;Штраф -2",$I$4:I126,"&lt;&gt;ушел на базу"))</f>
        <v/>
      </c>
      <c r="F126" s="4">
        <f>IF(E126="","",IF(E126&lt;=3,6,IF(E126&lt;=6,5,IF(E126&lt;=9,4,IF(E126&lt;=12,3,IF(E126&lt;=15,2,0))))))</f>
        <v/>
      </c>
      <c r="G126" s="3" t="n"/>
      <c r="H126" s="4">
        <f>IF(I126="Штраф -2",-2,IF(OR(F126="",G126=""),"",F126*G126+IF(J126="",0,J126)))</f>
        <v/>
      </c>
      <c r="I126" s="3" t="n"/>
      <c r="J126" s="3" t="n"/>
      <c r="K126" s="3" t="n"/>
    </row>
    <row r="127">
      <c r="A127" s="3" t="n"/>
      <c r="B127" s="3" t="n"/>
      <c r="C127" s="3" t="n"/>
      <c r="D127" s="3" t="n"/>
      <c r="E127" s="4">
        <f>IF(A127="","",COUNTIFS($A$4:A127,A127,$I$4:I127,"&lt;&gt;Штраф -2",$I$4:I127,"&lt;&gt;ушел на базу"))</f>
        <v/>
      </c>
      <c r="F127" s="4">
        <f>IF(E127="","",IF(E127&lt;=3,6,IF(E127&lt;=6,5,IF(E127&lt;=9,4,IF(E127&lt;=12,3,IF(E127&lt;=15,2,0))))))</f>
        <v/>
      </c>
      <c r="G127" s="3" t="n"/>
      <c r="H127" s="4">
        <f>IF(I127="Штраф -2",-2,IF(OR(F127="",G127=""),"",F127*G127+IF(J127="",0,J127)))</f>
        <v/>
      </c>
      <c r="I127" s="3" t="n"/>
      <c r="J127" s="3" t="n"/>
      <c r="K127" s="3" t="n"/>
    </row>
    <row r="128">
      <c r="A128" s="3" t="n"/>
      <c r="B128" s="3" t="n"/>
      <c r="C128" s="3" t="n"/>
      <c r="D128" s="3" t="n"/>
      <c r="E128" s="4">
        <f>IF(A128="","",COUNTIFS($A$4:A128,A128,$I$4:I128,"&lt;&gt;Штраф -2",$I$4:I128,"&lt;&gt;ушел на базу"))</f>
        <v/>
      </c>
      <c r="F128" s="4">
        <f>IF(E128="","",IF(E128&lt;=3,6,IF(E128&lt;=6,5,IF(E128&lt;=9,4,IF(E128&lt;=12,3,IF(E128&lt;=15,2,0))))))</f>
        <v/>
      </c>
      <c r="G128" s="3" t="n"/>
      <c r="H128" s="4">
        <f>IF(I128="Штраф -2",-2,IF(OR(F128="",G128=""),"",F128*G128+IF(J128="",0,J128)))</f>
        <v/>
      </c>
      <c r="I128" s="3" t="n"/>
      <c r="J128" s="3" t="n"/>
      <c r="K128" s="3" t="n"/>
    </row>
    <row r="129">
      <c r="A129" s="3" t="n"/>
      <c r="B129" s="3" t="n"/>
      <c r="C129" s="3" t="n"/>
      <c r="D129" s="3" t="n"/>
      <c r="E129" s="4">
        <f>IF(A129="","",COUNTIFS($A$4:A129,A129,$I$4:I129,"&lt;&gt;Штраф -2",$I$4:I129,"&lt;&gt;ушел на базу"))</f>
        <v/>
      </c>
      <c r="F129" s="4">
        <f>IF(E129="","",IF(E129&lt;=3,6,IF(E129&lt;=6,5,IF(E129&lt;=9,4,IF(E129&lt;=12,3,IF(E129&lt;=15,2,0))))))</f>
        <v/>
      </c>
      <c r="G129" s="3" t="n"/>
      <c r="H129" s="4">
        <f>IF(I129="Штраф -2",-2,IF(OR(F129="",G129=""),"",F129*G129+IF(J129="",0,J129)))</f>
        <v/>
      </c>
      <c r="I129" s="3" t="n"/>
      <c r="J129" s="3" t="n"/>
      <c r="K129" s="3" t="n"/>
    </row>
    <row r="130">
      <c r="A130" s="3" t="n"/>
      <c r="B130" s="3" t="n"/>
      <c r="C130" s="3" t="n"/>
      <c r="D130" s="3" t="n"/>
      <c r="E130" s="4">
        <f>IF(A130="","",COUNTIFS($A$4:A130,A130,$I$4:I130,"&lt;&gt;Штраф -2",$I$4:I130,"&lt;&gt;ушел на базу"))</f>
        <v/>
      </c>
      <c r="F130" s="4">
        <f>IF(E130="","",IF(E130&lt;=3,6,IF(E130&lt;=6,5,IF(E130&lt;=9,4,IF(E130&lt;=12,3,IF(E130&lt;=15,2,0))))))</f>
        <v/>
      </c>
      <c r="G130" s="3" t="n"/>
      <c r="H130" s="4">
        <f>IF(I130="Штраф -2",-2,IF(OR(F130="",G130=""),"",F130*G130+IF(J130="",0,J130)))</f>
        <v/>
      </c>
      <c r="I130" s="3" t="n"/>
      <c r="J130" s="3" t="n"/>
      <c r="K130" s="3" t="n"/>
    </row>
    <row r="131">
      <c r="A131" s="3" t="n"/>
      <c r="B131" s="3" t="n"/>
      <c r="C131" s="3" t="n"/>
      <c r="D131" s="3" t="n"/>
      <c r="E131" s="4">
        <f>IF(A131="","",COUNTIFS($A$4:A131,A131,$I$4:I131,"&lt;&gt;Штраф -2",$I$4:I131,"&lt;&gt;ушел на базу"))</f>
        <v/>
      </c>
      <c r="F131" s="4">
        <f>IF(E131="","",IF(E131&lt;=3,6,IF(E131&lt;=6,5,IF(E131&lt;=9,4,IF(E131&lt;=12,3,IF(E131&lt;=15,2,0))))))</f>
        <v/>
      </c>
      <c r="G131" s="3" t="n"/>
      <c r="H131" s="4">
        <f>IF(I131="Штраф -2",-2,IF(OR(F131="",G131=""),"",F131*G131+IF(J131="",0,J131)))</f>
        <v/>
      </c>
      <c r="I131" s="3" t="n"/>
      <c r="J131" s="3" t="n"/>
      <c r="K131" s="3" t="n"/>
    </row>
    <row r="132">
      <c r="A132" s="3" t="n"/>
      <c r="B132" s="3" t="n"/>
      <c r="C132" s="3" t="n"/>
      <c r="D132" s="3" t="n"/>
      <c r="E132" s="4">
        <f>IF(A132="","",COUNTIFS($A$4:A132,A132,$I$4:I132,"&lt;&gt;Штраф -2",$I$4:I132,"&lt;&gt;ушел на базу"))</f>
        <v/>
      </c>
      <c r="F132" s="4">
        <f>IF(E132="","",IF(E132&lt;=3,6,IF(E132&lt;=6,5,IF(E132&lt;=9,4,IF(E132&lt;=12,3,IF(E132&lt;=15,2,0))))))</f>
        <v/>
      </c>
      <c r="G132" s="3" t="n"/>
      <c r="H132" s="4">
        <f>IF(I132="Штраф -2",-2,IF(OR(F132="",G132=""),"",F132*G132+IF(J132="",0,J132)))</f>
        <v/>
      </c>
      <c r="I132" s="3" t="n"/>
      <c r="J132" s="3" t="n"/>
      <c r="K132" s="3" t="n"/>
    </row>
    <row r="133">
      <c r="A133" s="3" t="n"/>
      <c r="B133" s="3" t="n"/>
      <c r="C133" s="3" t="n"/>
      <c r="D133" s="3" t="n"/>
      <c r="E133" s="4">
        <f>IF(A133="","",COUNTIFS($A$4:A133,A133,$I$4:I133,"&lt;&gt;Штраф -2",$I$4:I133,"&lt;&gt;ушел на базу"))</f>
        <v/>
      </c>
      <c r="F133" s="4">
        <f>IF(E133="","",IF(E133&lt;=3,6,IF(E133&lt;=6,5,IF(E133&lt;=9,4,IF(E133&lt;=12,3,IF(E133&lt;=15,2,0))))))</f>
        <v/>
      </c>
      <c r="G133" s="3" t="n"/>
      <c r="H133" s="4">
        <f>IF(I133="Штраф -2",-2,IF(OR(F133="",G133=""),"",F133*G133+IF(J133="",0,J133)))</f>
        <v/>
      </c>
      <c r="I133" s="3" t="n"/>
      <c r="J133" s="3" t="n"/>
      <c r="K133" s="3" t="n"/>
    </row>
    <row r="134">
      <c r="A134" s="3" t="n"/>
      <c r="B134" s="3" t="n"/>
      <c r="C134" s="3" t="n"/>
      <c r="D134" s="3" t="n"/>
      <c r="E134" s="4">
        <f>IF(A134="","",COUNTIFS($A$4:A134,A134,$I$4:I134,"&lt;&gt;Штраф -2",$I$4:I134,"&lt;&gt;ушел на базу"))</f>
        <v/>
      </c>
      <c r="F134" s="4">
        <f>IF(E134="","",IF(E134&lt;=3,6,IF(E134&lt;=6,5,IF(E134&lt;=9,4,IF(E134&lt;=12,3,IF(E134&lt;=15,2,0))))))</f>
        <v/>
      </c>
      <c r="G134" s="3" t="n"/>
      <c r="H134" s="4">
        <f>IF(I134="Штраф -2",-2,IF(OR(F134="",G134=""),"",F134*G134+IF(J134="",0,J134)))</f>
        <v/>
      </c>
      <c r="I134" s="3" t="n"/>
      <c r="J134" s="3" t="n"/>
      <c r="K134" s="3" t="n"/>
    </row>
    <row r="135">
      <c r="A135" s="3" t="n"/>
      <c r="B135" s="3" t="n"/>
      <c r="C135" s="3" t="n"/>
      <c r="D135" s="3" t="n"/>
      <c r="E135" s="4">
        <f>IF(A135="","",COUNTIFS($A$4:A135,A135,$I$4:I135,"&lt;&gt;Штраф -2",$I$4:I135,"&lt;&gt;ушел на базу"))</f>
        <v/>
      </c>
      <c r="F135" s="4">
        <f>IF(E135="","",IF(E135&lt;=3,6,IF(E135&lt;=6,5,IF(E135&lt;=9,4,IF(E135&lt;=12,3,IF(E135&lt;=15,2,0))))))</f>
        <v/>
      </c>
      <c r="G135" s="3" t="n"/>
      <c r="H135" s="4">
        <f>IF(I135="Штраф -2",-2,IF(OR(F135="",G135=""),"",F135*G135+IF(J135="",0,J135)))</f>
        <v/>
      </c>
      <c r="I135" s="3" t="n"/>
      <c r="J135" s="3" t="n"/>
      <c r="K135" s="3" t="n"/>
    </row>
    <row r="136">
      <c r="A136" s="3" t="n"/>
      <c r="B136" s="3" t="n"/>
      <c r="C136" s="3" t="n"/>
      <c r="D136" s="3" t="n"/>
      <c r="E136" s="4">
        <f>IF(A136="","",COUNTIFS($A$4:A136,A136,$I$4:I136,"&lt;&gt;Штраф -2",$I$4:I136,"&lt;&gt;ушел на базу"))</f>
        <v/>
      </c>
      <c r="F136" s="4">
        <f>IF(E136="","",IF(E136&lt;=3,6,IF(E136&lt;=6,5,IF(E136&lt;=9,4,IF(E136&lt;=12,3,IF(E136&lt;=15,2,0))))))</f>
        <v/>
      </c>
      <c r="G136" s="3" t="n"/>
      <c r="H136" s="4">
        <f>IF(I136="Штраф -2",-2,IF(OR(F136="",G136=""),"",F136*G136+IF(J136="",0,J136)))</f>
        <v/>
      </c>
      <c r="I136" s="3" t="n"/>
      <c r="J136" s="3" t="n"/>
      <c r="K136" s="3" t="n"/>
    </row>
    <row r="137">
      <c r="A137" s="3" t="n"/>
      <c r="B137" s="3" t="n"/>
      <c r="C137" s="3" t="n"/>
      <c r="D137" s="3" t="n"/>
      <c r="E137" s="4">
        <f>IF(A137="","",COUNTIFS($A$4:A137,A137,$I$4:I137,"&lt;&gt;Штраф -2",$I$4:I137,"&lt;&gt;ушел на базу"))</f>
        <v/>
      </c>
      <c r="F137" s="4">
        <f>IF(E137="","",IF(E137&lt;=3,6,IF(E137&lt;=6,5,IF(E137&lt;=9,4,IF(E137&lt;=12,3,IF(E137&lt;=15,2,0))))))</f>
        <v/>
      </c>
      <c r="G137" s="3" t="n"/>
      <c r="H137" s="4">
        <f>IF(I137="Штраф -2",-2,IF(OR(F137="",G137=""),"",F137*G137+IF(J137="",0,J137)))</f>
        <v/>
      </c>
      <c r="I137" s="3" t="n"/>
      <c r="J137" s="3" t="n"/>
      <c r="K137" s="3" t="n"/>
    </row>
    <row r="138">
      <c r="A138" s="3" t="n"/>
      <c r="B138" s="3" t="n"/>
      <c r="C138" s="3" t="n"/>
      <c r="D138" s="3" t="n"/>
      <c r="E138" s="4">
        <f>IF(A138="","",COUNTIFS($A$4:A138,A138,$I$4:I138,"&lt;&gt;Штраф -2",$I$4:I138,"&lt;&gt;ушел на базу"))</f>
        <v/>
      </c>
      <c r="F138" s="4">
        <f>IF(E138="","",IF(E138&lt;=3,6,IF(E138&lt;=6,5,IF(E138&lt;=9,4,IF(E138&lt;=12,3,IF(E138&lt;=15,2,0))))))</f>
        <v/>
      </c>
      <c r="G138" s="3" t="n"/>
      <c r="H138" s="4">
        <f>IF(I138="Штраф -2",-2,IF(OR(F138="",G138=""),"",F138*G138+IF(J138="",0,J138)))</f>
        <v/>
      </c>
      <c r="I138" s="3" t="n"/>
      <c r="J138" s="3" t="n"/>
      <c r="K138" s="3" t="n"/>
    </row>
    <row r="139">
      <c r="A139" s="3" t="n"/>
      <c r="B139" s="3" t="n"/>
      <c r="C139" s="3" t="n"/>
      <c r="D139" s="3" t="n"/>
      <c r="E139" s="4">
        <f>IF(A139="","",COUNTIFS($A$4:A139,A139,$I$4:I139,"&lt;&gt;Штраф -2",$I$4:I139,"&lt;&gt;ушел на базу"))</f>
        <v/>
      </c>
      <c r="F139" s="4">
        <f>IF(E139="","",IF(E139&lt;=3,6,IF(E139&lt;=6,5,IF(E139&lt;=9,4,IF(E139&lt;=12,3,IF(E139&lt;=15,2,0))))))</f>
        <v/>
      </c>
      <c r="G139" s="3" t="n"/>
      <c r="H139" s="4">
        <f>IF(I139="Штраф -2",-2,IF(OR(F139="",G139=""),"",F139*G139+IF(J139="",0,J139)))</f>
        <v/>
      </c>
      <c r="I139" s="3" t="n"/>
      <c r="J139" s="3" t="n"/>
      <c r="K139" s="3" t="n"/>
    </row>
    <row r="140">
      <c r="A140" s="3" t="n"/>
      <c r="B140" s="3" t="n"/>
      <c r="C140" s="3" t="n"/>
      <c r="D140" s="3" t="n"/>
      <c r="E140" s="4">
        <f>IF(A140="","",COUNTIFS($A$4:A140,A140,$I$4:I140,"&lt;&gt;Штраф -2",$I$4:I140,"&lt;&gt;ушел на базу"))</f>
        <v/>
      </c>
      <c r="F140" s="4">
        <f>IF(E140="","",IF(E140&lt;=3,6,IF(E140&lt;=6,5,IF(E140&lt;=9,4,IF(E140&lt;=12,3,IF(E140&lt;=15,2,0))))))</f>
        <v/>
      </c>
      <c r="G140" s="3" t="n"/>
      <c r="H140" s="4">
        <f>IF(I140="Штраф -2",-2,IF(OR(F140="",G140=""),"",F140*G140+IF(J140="",0,J140)))</f>
        <v/>
      </c>
      <c r="I140" s="3" t="n"/>
      <c r="J140" s="3" t="n"/>
      <c r="K140" s="3" t="n"/>
    </row>
    <row r="141">
      <c r="A141" s="3" t="n"/>
      <c r="B141" s="3" t="n"/>
      <c r="C141" s="3" t="n"/>
      <c r="D141" s="3" t="n"/>
      <c r="E141" s="4">
        <f>IF(A141="","",COUNTIFS($A$4:A141,A141,$I$4:I141,"&lt;&gt;Штраф -2",$I$4:I141,"&lt;&gt;ушел на базу"))</f>
        <v/>
      </c>
      <c r="F141" s="4">
        <f>IF(E141="","",IF(E141&lt;=3,6,IF(E141&lt;=6,5,IF(E141&lt;=9,4,IF(E141&lt;=12,3,IF(E141&lt;=15,2,0))))))</f>
        <v/>
      </c>
      <c r="G141" s="3" t="n"/>
      <c r="H141" s="4">
        <f>IF(I141="Штраф -2",-2,IF(OR(F141="",G141=""),"",F141*G141+IF(J141="",0,J141)))</f>
        <v/>
      </c>
      <c r="I141" s="3" t="n"/>
      <c r="J141" s="3" t="n"/>
      <c r="K141" s="3" t="n"/>
    </row>
    <row r="142">
      <c r="A142" s="3" t="n"/>
      <c r="B142" s="3" t="n"/>
      <c r="C142" s="3" t="n"/>
      <c r="D142" s="3" t="n"/>
      <c r="E142" s="4">
        <f>IF(A142="","",COUNTIFS($A$4:A142,A142,$I$4:I142,"&lt;&gt;Штраф -2",$I$4:I142,"&lt;&gt;ушел на базу"))</f>
        <v/>
      </c>
      <c r="F142" s="4">
        <f>IF(E142="","",IF(E142&lt;=3,6,IF(E142&lt;=6,5,IF(E142&lt;=9,4,IF(E142&lt;=12,3,IF(E142&lt;=15,2,0))))))</f>
        <v/>
      </c>
      <c r="G142" s="3" t="n"/>
      <c r="H142" s="4">
        <f>IF(I142="Штраф -2",-2,IF(OR(F142="",G142=""),"",F142*G142+IF(J142="",0,J142)))</f>
        <v/>
      </c>
      <c r="I142" s="3" t="n"/>
      <c r="J142" s="3" t="n"/>
      <c r="K142" s="3" t="n"/>
    </row>
    <row r="143">
      <c r="A143" s="3" t="n"/>
      <c r="B143" s="3" t="n"/>
      <c r="C143" s="3" t="n"/>
      <c r="D143" s="3" t="n"/>
      <c r="E143" s="4">
        <f>IF(A143="","",COUNTIFS($A$4:A143,A143,$I$4:I143,"&lt;&gt;Штраф -2",$I$4:I143,"&lt;&gt;ушел на базу"))</f>
        <v/>
      </c>
      <c r="F143" s="4">
        <f>IF(E143="","",IF(E143&lt;=3,6,IF(E143&lt;=6,5,IF(E143&lt;=9,4,IF(E143&lt;=12,3,IF(E143&lt;=15,2,0))))))</f>
        <v/>
      </c>
      <c r="G143" s="3" t="n"/>
      <c r="H143" s="4">
        <f>IF(I143="Штраф -2",-2,IF(OR(F143="",G143=""),"",F143*G143+IF(J143="",0,J143)))</f>
        <v/>
      </c>
      <c r="I143" s="3" t="n"/>
      <c r="J143" s="3" t="n"/>
      <c r="K143" s="3" t="n"/>
    </row>
    <row r="144">
      <c r="A144" s="3" t="n"/>
      <c r="B144" s="3" t="n"/>
      <c r="C144" s="3" t="n"/>
      <c r="D144" s="3" t="n"/>
      <c r="E144" s="4">
        <f>IF(A144="","",COUNTIFS($A$4:A144,A144,$I$4:I144,"&lt;&gt;Штраф -2",$I$4:I144,"&lt;&gt;ушел на базу"))</f>
        <v/>
      </c>
      <c r="F144" s="4">
        <f>IF(E144="","",IF(E144&lt;=3,6,IF(E144&lt;=6,5,IF(E144&lt;=9,4,IF(E144&lt;=12,3,IF(E144&lt;=15,2,0))))))</f>
        <v/>
      </c>
      <c r="G144" s="3" t="n"/>
      <c r="H144" s="4">
        <f>IF(I144="Штраф -2",-2,IF(OR(F144="",G144=""),"",F144*G144+IF(J144="",0,J144)))</f>
        <v/>
      </c>
      <c r="I144" s="3" t="n"/>
      <c r="J144" s="3" t="n"/>
      <c r="K144" s="3" t="n"/>
    </row>
    <row r="145">
      <c r="A145" s="3" t="n"/>
      <c r="B145" s="3" t="n"/>
      <c r="C145" s="3" t="n"/>
      <c r="D145" s="3" t="n"/>
      <c r="E145" s="4">
        <f>IF(A145="","",COUNTIFS($A$4:A145,A145,$I$4:I145,"&lt;&gt;Штраф -2",$I$4:I145,"&lt;&gt;ушел на базу"))</f>
        <v/>
      </c>
      <c r="F145" s="4">
        <f>IF(E145="","",IF(E145&lt;=3,6,IF(E145&lt;=6,5,IF(E145&lt;=9,4,IF(E145&lt;=12,3,IF(E145&lt;=15,2,0))))))</f>
        <v/>
      </c>
      <c r="G145" s="3" t="n"/>
      <c r="H145" s="4">
        <f>IF(I145="Штраф -2",-2,IF(OR(F145="",G145=""),"",F145*G145+IF(J145="",0,J145)))</f>
        <v/>
      </c>
      <c r="I145" s="3" t="n"/>
      <c r="J145" s="3" t="n"/>
      <c r="K145" s="3" t="n"/>
    </row>
    <row r="146">
      <c r="A146" s="3" t="n"/>
      <c r="B146" s="3" t="n"/>
      <c r="C146" s="3" t="n"/>
      <c r="D146" s="3" t="n"/>
      <c r="E146" s="4">
        <f>IF(A146="","",COUNTIFS($A$4:A146,A146,$I$4:I146,"&lt;&gt;Штраф -2",$I$4:I146,"&lt;&gt;ушел на базу"))</f>
        <v/>
      </c>
      <c r="F146" s="4">
        <f>IF(E146="","",IF(E146&lt;=3,6,IF(E146&lt;=6,5,IF(E146&lt;=9,4,IF(E146&lt;=12,3,IF(E146&lt;=15,2,0))))))</f>
        <v/>
      </c>
      <c r="G146" s="3" t="n"/>
      <c r="H146" s="4">
        <f>IF(I146="Штраф -2",-2,IF(OR(F146="",G146=""),"",F146*G146+IF(J146="",0,J146)))</f>
        <v/>
      </c>
      <c r="I146" s="3" t="n"/>
      <c r="J146" s="3" t="n"/>
      <c r="K146" s="3" t="n"/>
    </row>
    <row r="147">
      <c r="A147" s="3" t="n"/>
      <c r="B147" s="3" t="n"/>
      <c r="C147" s="3" t="n"/>
      <c r="D147" s="3" t="n"/>
      <c r="E147" s="4">
        <f>IF(A147="","",COUNTIFS($A$4:A147,A147,$I$4:I147,"&lt;&gt;Штраф -2",$I$4:I147,"&lt;&gt;ушел на базу"))</f>
        <v/>
      </c>
      <c r="F147" s="4">
        <f>IF(E147="","",IF(E147&lt;=3,6,IF(E147&lt;=6,5,IF(E147&lt;=9,4,IF(E147&lt;=12,3,IF(E147&lt;=15,2,0))))))</f>
        <v/>
      </c>
      <c r="G147" s="3" t="n"/>
      <c r="H147" s="4">
        <f>IF(I147="Штраф -2",-2,IF(OR(F147="",G147=""),"",F147*G147+IF(J147="",0,J147)))</f>
        <v/>
      </c>
      <c r="I147" s="3" t="n"/>
      <c r="J147" s="3" t="n"/>
      <c r="K147" s="3" t="n"/>
    </row>
    <row r="148">
      <c r="A148" s="3" t="n"/>
      <c r="B148" s="3" t="n"/>
      <c r="C148" s="3" t="n"/>
      <c r="D148" s="3" t="n"/>
      <c r="E148" s="4">
        <f>IF(A148="","",COUNTIFS($A$4:A148,A148,$I$4:I148,"&lt;&gt;Штраф -2",$I$4:I148,"&lt;&gt;ушел на базу"))</f>
        <v/>
      </c>
      <c r="F148" s="4">
        <f>IF(E148="","",IF(E148&lt;=3,6,IF(E148&lt;=6,5,IF(E148&lt;=9,4,IF(E148&lt;=12,3,IF(E148&lt;=15,2,0))))))</f>
        <v/>
      </c>
      <c r="G148" s="3" t="n"/>
      <c r="H148" s="4">
        <f>IF(I148="Штраф -2",-2,IF(OR(F148="",G148=""),"",F148*G148+IF(J148="",0,J148)))</f>
        <v/>
      </c>
      <c r="I148" s="3" t="n"/>
      <c r="J148" s="3" t="n"/>
      <c r="K148" s="3" t="n"/>
    </row>
    <row r="149">
      <c r="A149" s="3" t="n"/>
      <c r="B149" s="3" t="n"/>
      <c r="C149" s="3" t="n"/>
      <c r="D149" s="3" t="n"/>
      <c r="E149" s="4">
        <f>IF(A149="","",COUNTIFS($A$4:A149,A149,$I$4:I149,"&lt;&gt;Штраф -2",$I$4:I149,"&lt;&gt;ушел на базу"))</f>
        <v/>
      </c>
      <c r="F149" s="4">
        <f>IF(E149="","",IF(E149&lt;=3,6,IF(E149&lt;=6,5,IF(E149&lt;=9,4,IF(E149&lt;=12,3,IF(E149&lt;=15,2,0))))))</f>
        <v/>
      </c>
      <c r="G149" s="3" t="n"/>
      <c r="H149" s="4">
        <f>IF(I149="Штраф -2",-2,IF(OR(F149="",G149=""),"",F149*G149+IF(J149="",0,J149)))</f>
        <v/>
      </c>
      <c r="I149" s="3" t="n"/>
      <c r="J149" s="3" t="n"/>
      <c r="K149" s="3" t="n"/>
    </row>
    <row r="150">
      <c r="A150" s="3" t="n"/>
      <c r="B150" s="3" t="n"/>
      <c r="C150" s="3" t="n"/>
      <c r="D150" s="3" t="n"/>
      <c r="E150" s="4">
        <f>IF(A150="","",COUNTIFS($A$4:A150,A150,$I$4:I150,"&lt;&gt;Штраф -2",$I$4:I150,"&lt;&gt;ушел на базу"))</f>
        <v/>
      </c>
      <c r="F150" s="4">
        <f>IF(E150="","",IF(E150&lt;=3,6,IF(E150&lt;=6,5,IF(E150&lt;=9,4,IF(E150&lt;=12,3,IF(E150&lt;=15,2,0))))))</f>
        <v/>
      </c>
      <c r="G150" s="3" t="n"/>
      <c r="H150" s="4">
        <f>IF(I150="Штраф -2",-2,IF(OR(F150="",G150=""),"",F150*G150+IF(J150="",0,J150)))</f>
        <v/>
      </c>
      <c r="I150" s="3" t="n"/>
      <c r="J150" s="3" t="n"/>
      <c r="K150" s="3" t="n"/>
    </row>
    <row r="151">
      <c r="A151" s="3" t="n"/>
      <c r="B151" s="3" t="n"/>
      <c r="C151" s="3" t="n"/>
      <c r="D151" s="3" t="n"/>
      <c r="E151" s="4">
        <f>IF(A151="","",COUNTIFS($A$4:A151,A151,$I$4:I151,"&lt;&gt;Штраф -2",$I$4:I151,"&lt;&gt;ушел на базу"))</f>
        <v/>
      </c>
      <c r="F151" s="4">
        <f>IF(E151="","",IF(E151&lt;=3,6,IF(E151&lt;=6,5,IF(E151&lt;=9,4,IF(E151&lt;=12,3,IF(E151&lt;=15,2,0))))))</f>
        <v/>
      </c>
      <c r="G151" s="3" t="n"/>
      <c r="H151" s="4">
        <f>IF(I151="Штраф -2",-2,IF(OR(F151="",G151=""),"",F151*G151+IF(J151="",0,J151)))</f>
        <v/>
      </c>
      <c r="I151" s="3" t="n"/>
      <c r="J151" s="3" t="n"/>
      <c r="K151" s="3" t="n"/>
    </row>
    <row r="152">
      <c r="A152" s="3" t="n"/>
      <c r="B152" s="3" t="n"/>
      <c r="C152" s="3" t="n"/>
      <c r="D152" s="3" t="n"/>
      <c r="E152" s="4">
        <f>IF(A152="","",COUNTIFS($A$4:A152,A152,$I$4:I152,"&lt;&gt;Штраф -2",$I$4:I152,"&lt;&gt;ушел на базу"))</f>
        <v/>
      </c>
      <c r="F152" s="4">
        <f>IF(E152="","",IF(E152&lt;=3,6,IF(E152&lt;=6,5,IF(E152&lt;=9,4,IF(E152&lt;=12,3,IF(E152&lt;=15,2,0))))))</f>
        <v/>
      </c>
      <c r="G152" s="3" t="n"/>
      <c r="H152" s="4">
        <f>IF(I152="Штраф -2",-2,IF(OR(F152="",G152=""),"",F152*G152+IF(J152="",0,J152)))</f>
        <v/>
      </c>
      <c r="I152" s="3" t="n"/>
      <c r="J152" s="3" t="n"/>
      <c r="K152" s="3" t="n"/>
    </row>
    <row r="153">
      <c r="A153" s="3" t="n"/>
      <c r="B153" s="3" t="n"/>
      <c r="C153" s="3" t="n"/>
      <c r="D153" s="3" t="n"/>
      <c r="E153" s="4">
        <f>IF(A153="","",COUNTIFS($A$4:A153,A153,$I$4:I153,"&lt;&gt;Штраф -2",$I$4:I153,"&lt;&gt;ушел на базу"))</f>
        <v/>
      </c>
      <c r="F153" s="4">
        <f>IF(E153="","",IF(E153&lt;=3,6,IF(E153&lt;=6,5,IF(E153&lt;=9,4,IF(E153&lt;=12,3,IF(E153&lt;=15,2,0))))))</f>
        <v/>
      </c>
      <c r="G153" s="3" t="n"/>
      <c r="H153" s="4">
        <f>IF(I153="Штраф -2",-2,IF(OR(F153="",G153=""),"",F153*G153+IF(J153="",0,J153)))</f>
        <v/>
      </c>
      <c r="I153" s="3" t="n"/>
      <c r="J153" s="3" t="n"/>
      <c r="K153" s="3" t="n"/>
    </row>
    <row r="154">
      <c r="A154" s="3" t="n"/>
      <c r="B154" s="3" t="n"/>
      <c r="C154" s="3" t="n"/>
      <c r="D154" s="3" t="n"/>
      <c r="E154" s="4">
        <f>IF(A154="","",COUNTIFS($A$4:A154,A154,$I$4:I154,"&lt;&gt;Штраф -2",$I$4:I154,"&lt;&gt;ушел на базу"))</f>
        <v/>
      </c>
      <c r="F154" s="4">
        <f>IF(E154="","",IF(E154&lt;=3,6,IF(E154&lt;=6,5,IF(E154&lt;=9,4,IF(E154&lt;=12,3,IF(E154&lt;=15,2,0))))))</f>
        <v/>
      </c>
      <c r="G154" s="3" t="n"/>
      <c r="H154" s="4">
        <f>IF(I154="Штраф -2",-2,IF(OR(F154="",G154=""),"",F154*G154+IF(J154="",0,J154)))</f>
        <v/>
      </c>
      <c r="I154" s="3" t="n"/>
      <c r="J154" s="3" t="n"/>
      <c r="K154" s="3" t="n"/>
    </row>
    <row r="155">
      <c r="A155" s="3" t="n"/>
      <c r="B155" s="3" t="n"/>
      <c r="C155" s="3" t="n"/>
      <c r="D155" s="3" t="n"/>
      <c r="E155" s="4">
        <f>IF(A155="","",COUNTIFS($A$4:A155,A155,$I$4:I155,"&lt;&gt;Штраф -2",$I$4:I155,"&lt;&gt;ушел на базу"))</f>
        <v/>
      </c>
      <c r="F155" s="4">
        <f>IF(E155="","",IF(E155&lt;=3,6,IF(E155&lt;=6,5,IF(E155&lt;=9,4,IF(E155&lt;=12,3,IF(E155&lt;=15,2,0))))))</f>
        <v/>
      </c>
      <c r="G155" s="3" t="n"/>
      <c r="H155" s="4">
        <f>IF(I155="Штраф -2",-2,IF(OR(F155="",G155=""),"",F155*G155+IF(J155="",0,J155)))</f>
        <v/>
      </c>
      <c r="I155" s="3" t="n"/>
      <c r="J155" s="3" t="n"/>
      <c r="K155" s="3" t="n"/>
    </row>
    <row r="156">
      <c r="A156" s="3" t="n"/>
      <c r="B156" s="3" t="n"/>
      <c r="C156" s="3" t="n"/>
      <c r="D156" s="3" t="n"/>
      <c r="E156" s="4">
        <f>IF(A156="","",COUNTIFS($A$4:A156,A156,$I$4:I156,"&lt;&gt;Штраф -2",$I$4:I156,"&lt;&gt;ушел на базу"))</f>
        <v/>
      </c>
      <c r="F156" s="4">
        <f>IF(E156="","",IF(E156&lt;=3,6,IF(E156&lt;=6,5,IF(E156&lt;=9,4,IF(E156&lt;=12,3,IF(E156&lt;=15,2,0))))))</f>
        <v/>
      </c>
      <c r="G156" s="3" t="n"/>
      <c r="H156" s="4">
        <f>IF(I156="Штраф -2",-2,IF(OR(F156="",G156=""),"",F156*G156+IF(J156="",0,J156)))</f>
        <v/>
      </c>
      <c r="I156" s="3" t="n"/>
      <c r="J156" s="3" t="n"/>
      <c r="K156" s="3" t="n"/>
    </row>
    <row r="157">
      <c r="A157" s="3" t="n"/>
      <c r="B157" s="3" t="n"/>
      <c r="C157" s="3" t="n"/>
      <c r="D157" s="3" t="n"/>
      <c r="E157" s="4">
        <f>IF(A157="","",COUNTIFS($A$4:A157,A157,$I$4:I157,"&lt;&gt;Штраф -2",$I$4:I157,"&lt;&gt;ушел на базу"))</f>
        <v/>
      </c>
      <c r="F157" s="4">
        <f>IF(E157="","",IF(E157&lt;=3,6,IF(E157&lt;=6,5,IF(E157&lt;=9,4,IF(E157&lt;=12,3,IF(E157&lt;=15,2,0))))))</f>
        <v/>
      </c>
      <c r="G157" s="3" t="n"/>
      <c r="H157" s="4">
        <f>IF(I157="Штраф -2",-2,IF(OR(F157="",G157=""),"",F157*G157+IF(J157="",0,J157)))</f>
        <v/>
      </c>
      <c r="I157" s="3" t="n"/>
      <c r="J157" s="3" t="n"/>
      <c r="K157" s="3" t="n"/>
    </row>
    <row r="158">
      <c r="A158" s="3" t="n"/>
      <c r="B158" s="3" t="n"/>
      <c r="C158" s="3" t="n"/>
      <c r="D158" s="3" t="n"/>
      <c r="E158" s="4">
        <f>IF(A158="","",COUNTIFS($A$4:A158,A158,$I$4:I158,"&lt;&gt;Штраф -2",$I$4:I158,"&lt;&gt;ушел на базу"))</f>
        <v/>
      </c>
      <c r="F158" s="4">
        <f>IF(E158="","",IF(E158&lt;=3,6,IF(E158&lt;=6,5,IF(E158&lt;=9,4,IF(E158&lt;=12,3,IF(E158&lt;=15,2,0))))))</f>
        <v/>
      </c>
      <c r="G158" s="3" t="n"/>
      <c r="H158" s="4">
        <f>IF(I158="Штраф -2",-2,IF(OR(F158="",G158=""),"",F158*G158+IF(J158="",0,J158)))</f>
        <v/>
      </c>
      <c r="I158" s="3" t="n"/>
      <c r="J158" s="3" t="n"/>
      <c r="K158" s="3" t="n"/>
    </row>
    <row r="159">
      <c r="A159" s="3" t="n"/>
      <c r="B159" s="3" t="n"/>
      <c r="C159" s="3" t="n"/>
      <c r="D159" s="3" t="n"/>
      <c r="E159" s="4">
        <f>IF(A159="","",COUNTIFS($A$4:A159,A159,$I$4:I159,"&lt;&gt;Штраф -2",$I$4:I159,"&lt;&gt;ушел на базу"))</f>
        <v/>
      </c>
      <c r="F159" s="4">
        <f>IF(E159="","",IF(E159&lt;=3,6,IF(E159&lt;=6,5,IF(E159&lt;=9,4,IF(E159&lt;=12,3,IF(E159&lt;=15,2,0))))))</f>
        <v/>
      </c>
      <c r="G159" s="3" t="n"/>
      <c r="H159" s="4">
        <f>IF(I159="Штраф -2",-2,IF(OR(F159="",G159=""),"",F159*G159+IF(J159="",0,J159)))</f>
        <v/>
      </c>
      <c r="I159" s="3" t="n"/>
      <c r="J159" s="3" t="n"/>
      <c r="K159" s="3" t="n"/>
    </row>
    <row r="160">
      <c r="A160" s="3" t="n"/>
      <c r="B160" s="3" t="n"/>
      <c r="C160" s="3" t="n"/>
      <c r="D160" s="3" t="n"/>
      <c r="E160" s="4">
        <f>IF(A160="","",COUNTIFS($A$4:A160,A160,$I$4:I160,"&lt;&gt;Штраф -2",$I$4:I160,"&lt;&gt;ушел на базу"))</f>
        <v/>
      </c>
      <c r="F160" s="4">
        <f>IF(E160="","",IF(E160&lt;=3,6,IF(E160&lt;=6,5,IF(E160&lt;=9,4,IF(E160&lt;=12,3,IF(E160&lt;=15,2,0))))))</f>
        <v/>
      </c>
      <c r="G160" s="3" t="n"/>
      <c r="H160" s="4">
        <f>IF(I160="Штраф -2",-2,IF(OR(F160="",G160=""),"",F160*G160+IF(J160="",0,J160)))</f>
        <v/>
      </c>
      <c r="I160" s="3" t="n"/>
      <c r="J160" s="3" t="n"/>
      <c r="K160" s="3" t="n"/>
    </row>
    <row r="161">
      <c r="A161" s="3" t="n"/>
      <c r="B161" s="3" t="n"/>
      <c r="C161" s="3" t="n"/>
      <c r="D161" s="3" t="n"/>
      <c r="E161" s="4">
        <f>IF(A161="","",COUNTIFS($A$4:A161,A161,$I$4:I161,"&lt;&gt;Штраф -2",$I$4:I161,"&lt;&gt;ушел на базу"))</f>
        <v/>
      </c>
      <c r="F161" s="4">
        <f>IF(E161="","",IF(E161&lt;=3,6,IF(E161&lt;=6,5,IF(E161&lt;=9,4,IF(E161&lt;=12,3,IF(E161&lt;=15,2,0))))))</f>
        <v/>
      </c>
      <c r="G161" s="3" t="n"/>
      <c r="H161" s="4">
        <f>IF(I161="Штраф -2",-2,IF(OR(F161="",G161=""),"",F161*G161+IF(J161="",0,J161)))</f>
        <v/>
      </c>
      <c r="I161" s="3" t="n"/>
      <c r="J161" s="3" t="n"/>
      <c r="K161" s="3" t="n"/>
    </row>
    <row r="162">
      <c r="A162" s="3" t="n"/>
      <c r="B162" s="3" t="n"/>
      <c r="C162" s="3" t="n"/>
      <c r="D162" s="3" t="n"/>
      <c r="E162" s="4">
        <f>IF(A162="","",COUNTIFS($A$4:A162,A162,$I$4:I162,"&lt;&gt;Штраф -2",$I$4:I162,"&lt;&gt;ушел на базу"))</f>
        <v/>
      </c>
      <c r="F162" s="4">
        <f>IF(E162="","",IF(E162&lt;=3,6,IF(E162&lt;=6,5,IF(E162&lt;=9,4,IF(E162&lt;=12,3,IF(E162&lt;=15,2,0))))))</f>
        <v/>
      </c>
      <c r="G162" s="3" t="n"/>
      <c r="H162" s="4">
        <f>IF(I162="Штраф -2",-2,IF(OR(F162="",G162=""),"",F162*G162+IF(J162="",0,J162)))</f>
        <v/>
      </c>
      <c r="I162" s="3" t="n"/>
      <c r="J162" s="3" t="n"/>
      <c r="K162" s="3" t="n"/>
    </row>
    <row r="163">
      <c r="A163" s="3" t="n"/>
      <c r="B163" s="3" t="n"/>
      <c r="C163" s="3" t="n"/>
      <c r="D163" s="3" t="n"/>
      <c r="E163" s="4">
        <f>IF(A163="","",COUNTIFS($A$4:A163,A163,$I$4:I163,"&lt;&gt;Штраф -2",$I$4:I163,"&lt;&gt;ушел на базу"))</f>
        <v/>
      </c>
      <c r="F163" s="4">
        <f>IF(E163="","",IF(E163&lt;=3,6,IF(E163&lt;=6,5,IF(E163&lt;=9,4,IF(E163&lt;=12,3,IF(E163&lt;=15,2,0))))))</f>
        <v/>
      </c>
      <c r="G163" s="3" t="n"/>
      <c r="H163" s="4">
        <f>IF(I163="Штраф -2",-2,IF(OR(F163="",G163=""),"",F163*G163+IF(J163="",0,J163)))</f>
        <v/>
      </c>
      <c r="I163" s="3" t="n"/>
      <c r="J163" s="3" t="n"/>
      <c r="K163" s="3" t="n"/>
    </row>
    <row r="164">
      <c r="A164" s="3" t="n"/>
      <c r="B164" s="3" t="n"/>
      <c r="C164" s="3" t="n"/>
      <c r="D164" s="3" t="n"/>
      <c r="E164" s="4">
        <f>IF(A164="","",COUNTIFS($A$4:A164,A164,$I$4:I164,"&lt;&gt;Штраф -2",$I$4:I164,"&lt;&gt;ушел на базу"))</f>
        <v/>
      </c>
      <c r="F164" s="4">
        <f>IF(E164="","",IF(E164&lt;=3,6,IF(E164&lt;=6,5,IF(E164&lt;=9,4,IF(E164&lt;=12,3,IF(E164&lt;=15,2,0))))))</f>
        <v/>
      </c>
      <c r="G164" s="3" t="n"/>
      <c r="H164" s="4">
        <f>IF(I164="Штраф -2",-2,IF(OR(F164="",G164=""),"",F164*G164+IF(J164="",0,J164)))</f>
        <v/>
      </c>
      <c r="I164" s="3" t="n"/>
      <c r="J164" s="3" t="n"/>
      <c r="K164" s="3" t="n"/>
    </row>
    <row r="165">
      <c r="A165" s="3" t="n"/>
      <c r="B165" s="3" t="n"/>
      <c r="C165" s="3" t="n"/>
      <c r="D165" s="3" t="n"/>
      <c r="E165" s="4">
        <f>IF(A165="","",COUNTIFS($A$4:A165,A165,$I$4:I165,"&lt;&gt;Штраф -2",$I$4:I165,"&lt;&gt;ушел на базу"))</f>
        <v/>
      </c>
      <c r="F165" s="4">
        <f>IF(E165="","",IF(E165&lt;=3,6,IF(E165&lt;=6,5,IF(E165&lt;=9,4,IF(E165&lt;=12,3,IF(E165&lt;=15,2,0))))))</f>
        <v/>
      </c>
      <c r="G165" s="3" t="n"/>
      <c r="H165" s="4">
        <f>IF(I165="Штраф -2",-2,IF(OR(F165="",G165=""),"",F165*G165+IF(J165="",0,J165)))</f>
        <v/>
      </c>
      <c r="I165" s="3" t="n"/>
      <c r="J165" s="3" t="n"/>
      <c r="K165" s="3" t="n"/>
    </row>
    <row r="166">
      <c r="A166" s="3" t="n"/>
      <c r="B166" s="3" t="n"/>
      <c r="C166" s="3" t="n"/>
      <c r="D166" s="3" t="n"/>
      <c r="E166" s="4">
        <f>IF(A166="","",COUNTIFS($A$4:A166,A166,$I$4:I166,"&lt;&gt;Штраф -2",$I$4:I166,"&lt;&gt;ушел на базу"))</f>
        <v/>
      </c>
      <c r="F166" s="4">
        <f>IF(E166="","",IF(E166&lt;=3,6,IF(E166&lt;=6,5,IF(E166&lt;=9,4,IF(E166&lt;=12,3,IF(E166&lt;=15,2,0))))))</f>
        <v/>
      </c>
      <c r="G166" s="3" t="n"/>
      <c r="H166" s="4">
        <f>IF(I166="Штраф -2",-2,IF(OR(F166="",G166=""),"",F166*G166+IF(J166="",0,J166)))</f>
        <v/>
      </c>
      <c r="I166" s="3" t="n"/>
      <c r="J166" s="3" t="n"/>
      <c r="K166" s="3" t="n"/>
    </row>
    <row r="167">
      <c r="A167" s="3" t="n"/>
      <c r="B167" s="3" t="n"/>
      <c r="C167" s="3" t="n"/>
      <c r="D167" s="3" t="n"/>
      <c r="E167" s="4">
        <f>IF(A167="","",COUNTIFS($A$4:A167,A167,$I$4:I167,"&lt;&gt;Штраф -2",$I$4:I167,"&lt;&gt;ушел на базу"))</f>
        <v/>
      </c>
      <c r="F167" s="4">
        <f>IF(E167="","",IF(E167&lt;=3,6,IF(E167&lt;=6,5,IF(E167&lt;=9,4,IF(E167&lt;=12,3,IF(E167&lt;=15,2,0))))))</f>
        <v/>
      </c>
      <c r="G167" s="3" t="n"/>
      <c r="H167" s="4">
        <f>IF(I167="Штраф -2",-2,IF(OR(F167="",G167=""),"",F167*G167+IF(J167="",0,J167)))</f>
        <v/>
      </c>
      <c r="I167" s="3" t="n"/>
      <c r="J167" s="3" t="n"/>
      <c r="K167" s="3" t="n"/>
    </row>
    <row r="168">
      <c r="A168" s="3" t="n"/>
      <c r="B168" s="3" t="n"/>
      <c r="C168" s="3" t="n"/>
      <c r="D168" s="3" t="n"/>
      <c r="E168" s="4">
        <f>IF(A168="","",COUNTIFS($A$4:A168,A168,$I$4:I168,"&lt;&gt;Штраф -2",$I$4:I168,"&lt;&gt;ушел на базу"))</f>
        <v/>
      </c>
      <c r="F168" s="4">
        <f>IF(E168="","",IF(E168&lt;=3,6,IF(E168&lt;=6,5,IF(E168&lt;=9,4,IF(E168&lt;=12,3,IF(E168&lt;=15,2,0))))))</f>
        <v/>
      </c>
      <c r="G168" s="3" t="n"/>
      <c r="H168" s="4">
        <f>IF(I168="Штраф -2",-2,IF(OR(F168="",G168=""),"",F168*G168+IF(J168="",0,J168)))</f>
        <v/>
      </c>
      <c r="I168" s="3" t="n"/>
      <c r="J168" s="3" t="n"/>
      <c r="K168" s="3" t="n"/>
    </row>
    <row r="169">
      <c r="A169" s="3" t="n"/>
      <c r="B169" s="3" t="n"/>
      <c r="C169" s="3" t="n"/>
      <c r="D169" s="3" t="n"/>
      <c r="E169" s="4">
        <f>IF(A169="","",COUNTIFS($A$4:A169,A169,$I$4:I169,"&lt;&gt;Штраф -2",$I$4:I169,"&lt;&gt;ушел на базу"))</f>
        <v/>
      </c>
      <c r="F169" s="4">
        <f>IF(E169="","",IF(E169&lt;=3,6,IF(E169&lt;=6,5,IF(E169&lt;=9,4,IF(E169&lt;=12,3,IF(E169&lt;=15,2,0))))))</f>
        <v/>
      </c>
      <c r="G169" s="3" t="n"/>
      <c r="H169" s="4">
        <f>IF(I169="Штраф -2",-2,IF(OR(F169="",G169=""),"",F169*G169+IF(J169="",0,J169)))</f>
        <v/>
      </c>
      <c r="I169" s="3" t="n"/>
      <c r="J169" s="3" t="n"/>
      <c r="K169" s="3" t="n"/>
    </row>
    <row r="170">
      <c r="A170" s="3" t="n"/>
      <c r="B170" s="3" t="n"/>
      <c r="C170" s="3" t="n"/>
      <c r="D170" s="3" t="n"/>
      <c r="E170" s="4">
        <f>IF(A170="","",COUNTIFS($A$4:A170,A170,$I$4:I170,"&lt;&gt;Штраф -2",$I$4:I170,"&lt;&gt;ушел на базу"))</f>
        <v/>
      </c>
      <c r="F170" s="4">
        <f>IF(E170="","",IF(E170&lt;=3,6,IF(E170&lt;=6,5,IF(E170&lt;=9,4,IF(E170&lt;=12,3,IF(E170&lt;=15,2,0))))))</f>
        <v/>
      </c>
      <c r="G170" s="3" t="n"/>
      <c r="H170" s="4">
        <f>IF(I170="Штраф -2",-2,IF(OR(F170="",G170=""),"",F170*G170+IF(J170="",0,J170)))</f>
        <v/>
      </c>
      <c r="I170" s="3" t="n"/>
      <c r="J170" s="3" t="n"/>
      <c r="K170" s="3" t="n"/>
    </row>
    <row r="171">
      <c r="A171" s="3" t="n"/>
      <c r="B171" s="3" t="n"/>
      <c r="C171" s="3" t="n"/>
      <c r="D171" s="3" t="n"/>
      <c r="E171" s="4">
        <f>IF(A171="","",COUNTIFS($A$4:A171,A171,$I$4:I171,"&lt;&gt;Штраф -2",$I$4:I171,"&lt;&gt;ушел на базу"))</f>
        <v/>
      </c>
      <c r="F171" s="4">
        <f>IF(E171="","",IF(E171&lt;=3,6,IF(E171&lt;=6,5,IF(E171&lt;=9,4,IF(E171&lt;=12,3,IF(E171&lt;=15,2,0))))))</f>
        <v/>
      </c>
      <c r="G171" s="3" t="n"/>
      <c r="H171" s="4">
        <f>IF(I171="Штраф -2",-2,IF(OR(F171="",G171=""),"",F171*G171+IF(J171="",0,J171)))</f>
        <v/>
      </c>
      <c r="I171" s="3" t="n"/>
      <c r="J171" s="3" t="n"/>
      <c r="K171" s="3" t="n"/>
    </row>
    <row r="172">
      <c r="A172" s="3" t="n"/>
      <c r="B172" s="3" t="n"/>
      <c r="C172" s="3" t="n"/>
      <c r="D172" s="3" t="n"/>
      <c r="E172" s="4">
        <f>IF(A172="","",COUNTIFS($A$4:A172,A172,$I$4:I172,"&lt;&gt;Штраф -2",$I$4:I172,"&lt;&gt;ушел на базу"))</f>
        <v/>
      </c>
      <c r="F172" s="4">
        <f>IF(E172="","",IF(E172&lt;=3,6,IF(E172&lt;=6,5,IF(E172&lt;=9,4,IF(E172&lt;=12,3,IF(E172&lt;=15,2,0))))))</f>
        <v/>
      </c>
      <c r="G172" s="3" t="n"/>
      <c r="H172" s="4">
        <f>IF(I172="Штраф -2",-2,IF(OR(F172="",G172=""),"",F172*G172+IF(J172="",0,J172)))</f>
        <v/>
      </c>
      <c r="I172" s="3" t="n"/>
      <c r="J172" s="3" t="n"/>
      <c r="K172" s="3" t="n"/>
    </row>
    <row r="173">
      <c r="A173" s="3" t="n"/>
      <c r="B173" s="3" t="n"/>
      <c r="C173" s="3" t="n"/>
      <c r="D173" s="3" t="n"/>
      <c r="E173" s="4">
        <f>IF(A173="","",COUNTIFS($A$4:A173,A173,$I$4:I173,"&lt;&gt;Штраф -2",$I$4:I173,"&lt;&gt;ушел на базу"))</f>
        <v/>
      </c>
      <c r="F173" s="4">
        <f>IF(E173="","",IF(E173&lt;=3,6,IF(E173&lt;=6,5,IF(E173&lt;=9,4,IF(E173&lt;=12,3,IF(E173&lt;=15,2,0))))))</f>
        <v/>
      </c>
      <c r="G173" s="3" t="n"/>
      <c r="H173" s="4">
        <f>IF(I173="Штраф -2",-2,IF(OR(F173="",G173=""),"",F173*G173+IF(J173="",0,J173)))</f>
        <v/>
      </c>
      <c r="I173" s="3" t="n"/>
      <c r="J173" s="3" t="n"/>
      <c r="K173" s="3" t="n"/>
    </row>
    <row r="174">
      <c r="A174" s="3" t="n"/>
      <c r="B174" s="3" t="n"/>
      <c r="C174" s="3" t="n"/>
      <c r="D174" s="3" t="n"/>
      <c r="E174" s="4">
        <f>IF(A174="","",COUNTIFS($A$4:A174,A174,$I$4:I174,"&lt;&gt;Штраф -2",$I$4:I174,"&lt;&gt;ушел на базу"))</f>
        <v/>
      </c>
      <c r="F174" s="4">
        <f>IF(E174="","",IF(E174&lt;=3,6,IF(E174&lt;=6,5,IF(E174&lt;=9,4,IF(E174&lt;=12,3,IF(E174&lt;=15,2,0))))))</f>
        <v/>
      </c>
      <c r="G174" s="3" t="n"/>
      <c r="H174" s="4">
        <f>IF(I174="Штраф -2",-2,IF(OR(F174="",G174=""),"",F174*G174+IF(J174="",0,J174)))</f>
        <v/>
      </c>
      <c r="I174" s="3" t="n"/>
      <c r="J174" s="3" t="n"/>
      <c r="K174" s="3" t="n"/>
    </row>
    <row r="175">
      <c r="A175" s="3" t="n"/>
      <c r="B175" s="3" t="n"/>
      <c r="C175" s="3" t="n"/>
      <c r="D175" s="3" t="n"/>
      <c r="E175" s="4">
        <f>IF(A175="","",COUNTIFS($A$4:A175,A175,$I$4:I175,"&lt;&gt;Штраф -2",$I$4:I175,"&lt;&gt;ушел на базу"))</f>
        <v/>
      </c>
      <c r="F175" s="4">
        <f>IF(E175="","",IF(E175&lt;=3,6,IF(E175&lt;=6,5,IF(E175&lt;=9,4,IF(E175&lt;=12,3,IF(E175&lt;=15,2,0))))))</f>
        <v/>
      </c>
      <c r="G175" s="3" t="n"/>
      <c r="H175" s="4">
        <f>IF(I175="Штраф -2",-2,IF(OR(F175="",G175=""),"",F175*G175+IF(J175="",0,J175)))</f>
        <v/>
      </c>
      <c r="I175" s="3" t="n"/>
      <c r="J175" s="3" t="n"/>
      <c r="K175" s="3" t="n"/>
    </row>
    <row r="176">
      <c r="A176" s="3" t="n"/>
      <c r="B176" s="3" t="n"/>
      <c r="C176" s="3" t="n"/>
      <c r="D176" s="3" t="n"/>
      <c r="E176" s="4">
        <f>IF(A176="","",COUNTIFS($A$4:A176,A176,$I$4:I176,"&lt;&gt;Штраф -2",$I$4:I176,"&lt;&gt;ушел на базу"))</f>
        <v/>
      </c>
      <c r="F176" s="4">
        <f>IF(E176="","",IF(E176&lt;=3,6,IF(E176&lt;=6,5,IF(E176&lt;=9,4,IF(E176&lt;=12,3,IF(E176&lt;=15,2,0))))))</f>
        <v/>
      </c>
      <c r="G176" s="3" t="n"/>
      <c r="H176" s="4">
        <f>IF(I176="Штраф -2",-2,IF(OR(F176="",G176=""),"",F176*G176+IF(J176="",0,J176)))</f>
        <v/>
      </c>
      <c r="I176" s="3" t="n"/>
      <c r="J176" s="3" t="n"/>
      <c r="K176" s="3" t="n"/>
    </row>
    <row r="177">
      <c r="A177" s="3" t="n"/>
      <c r="B177" s="3" t="n"/>
      <c r="C177" s="3" t="n"/>
      <c r="D177" s="3" t="n"/>
      <c r="E177" s="4">
        <f>IF(A177="","",COUNTIFS($A$4:A177,A177,$I$4:I177,"&lt;&gt;Штраф -2",$I$4:I177,"&lt;&gt;ушел на базу"))</f>
        <v/>
      </c>
      <c r="F177" s="4">
        <f>IF(E177="","",IF(E177&lt;=3,6,IF(E177&lt;=6,5,IF(E177&lt;=9,4,IF(E177&lt;=12,3,IF(E177&lt;=15,2,0))))))</f>
        <v/>
      </c>
      <c r="G177" s="3" t="n"/>
      <c r="H177" s="4">
        <f>IF(I177="Штраф -2",-2,IF(OR(F177="",G177=""),"",F177*G177+IF(J177="",0,J177)))</f>
        <v/>
      </c>
      <c r="I177" s="3" t="n"/>
      <c r="J177" s="3" t="n"/>
      <c r="K177" s="3" t="n"/>
    </row>
    <row r="178">
      <c r="A178" s="3" t="n"/>
      <c r="B178" s="3" t="n"/>
      <c r="C178" s="3" t="n"/>
      <c r="D178" s="3" t="n"/>
      <c r="E178" s="4">
        <f>IF(A178="","",COUNTIFS($A$4:A178,A178,$I$4:I178,"&lt;&gt;Штраф -2",$I$4:I178,"&lt;&gt;ушел на базу"))</f>
        <v/>
      </c>
      <c r="F178" s="4">
        <f>IF(E178="","",IF(E178&lt;=3,6,IF(E178&lt;=6,5,IF(E178&lt;=9,4,IF(E178&lt;=12,3,IF(E178&lt;=15,2,0))))))</f>
        <v/>
      </c>
      <c r="G178" s="3" t="n"/>
      <c r="H178" s="4">
        <f>IF(I178="Штраф -2",-2,IF(OR(F178="",G178=""),"",F178*G178+IF(J178="",0,J178)))</f>
        <v/>
      </c>
      <c r="I178" s="3" t="n"/>
      <c r="J178" s="3" t="n"/>
      <c r="K178" s="3" t="n"/>
    </row>
    <row r="179">
      <c r="A179" s="3" t="n"/>
      <c r="B179" s="3" t="n"/>
      <c r="C179" s="3" t="n"/>
      <c r="D179" s="3" t="n"/>
      <c r="E179" s="4">
        <f>IF(A179="","",COUNTIFS($A$4:A179,A179,$I$4:I179,"&lt;&gt;Штраф -2",$I$4:I179,"&lt;&gt;ушел на базу"))</f>
        <v/>
      </c>
      <c r="F179" s="4">
        <f>IF(E179="","",IF(E179&lt;=3,6,IF(E179&lt;=6,5,IF(E179&lt;=9,4,IF(E179&lt;=12,3,IF(E179&lt;=15,2,0))))))</f>
        <v/>
      </c>
      <c r="G179" s="3" t="n"/>
      <c r="H179" s="4">
        <f>IF(I179="Штраф -2",-2,IF(OR(F179="",G179=""),"",F179*G179+IF(J179="",0,J179)))</f>
        <v/>
      </c>
      <c r="I179" s="3" t="n"/>
      <c r="J179" s="3" t="n"/>
      <c r="K179" s="3" t="n"/>
    </row>
    <row r="180">
      <c r="A180" s="3" t="n"/>
      <c r="B180" s="3" t="n"/>
      <c r="C180" s="3" t="n"/>
      <c r="D180" s="3" t="n"/>
      <c r="E180" s="4">
        <f>IF(A180="","",COUNTIFS($A$4:A180,A180,$I$4:I180,"&lt;&gt;Штраф -2",$I$4:I180,"&lt;&gt;ушел на базу"))</f>
        <v/>
      </c>
      <c r="F180" s="4">
        <f>IF(E180="","",IF(E180&lt;=3,6,IF(E180&lt;=6,5,IF(E180&lt;=9,4,IF(E180&lt;=12,3,IF(E180&lt;=15,2,0))))))</f>
        <v/>
      </c>
      <c r="G180" s="3" t="n"/>
      <c r="H180" s="4">
        <f>IF(I180="Штраф -2",-2,IF(OR(F180="",G180=""),"",F180*G180+IF(J180="",0,J180)))</f>
        <v/>
      </c>
      <c r="I180" s="3" t="n"/>
      <c r="J180" s="3" t="n"/>
      <c r="K180" s="3" t="n"/>
    </row>
    <row r="181">
      <c r="A181" s="3" t="n"/>
      <c r="B181" s="3" t="n"/>
      <c r="C181" s="3" t="n"/>
      <c r="D181" s="3" t="n"/>
      <c r="E181" s="4">
        <f>IF(A181="","",COUNTIFS($A$4:A181,A181,$I$4:I181,"&lt;&gt;Штраф -2",$I$4:I181,"&lt;&gt;ушел на базу"))</f>
        <v/>
      </c>
      <c r="F181" s="4">
        <f>IF(E181="","",IF(E181&lt;=3,6,IF(E181&lt;=6,5,IF(E181&lt;=9,4,IF(E181&lt;=12,3,IF(E181&lt;=15,2,0))))))</f>
        <v/>
      </c>
      <c r="G181" s="3" t="n"/>
      <c r="H181" s="4">
        <f>IF(I181="Штраф -2",-2,IF(OR(F181="",G181=""),"",F181*G181+IF(J181="",0,J181)))</f>
        <v/>
      </c>
      <c r="I181" s="3" t="n"/>
      <c r="J181" s="3" t="n"/>
      <c r="K181" s="3" t="n"/>
    </row>
    <row r="182">
      <c r="A182" s="3" t="n"/>
      <c r="B182" s="3" t="n"/>
      <c r="C182" s="3" t="n"/>
      <c r="D182" s="3" t="n"/>
      <c r="E182" s="4">
        <f>IF(A182="","",COUNTIFS($A$4:A182,A182,$I$4:I182,"&lt;&gt;Штраф -2",$I$4:I182,"&lt;&gt;ушел на базу"))</f>
        <v/>
      </c>
      <c r="F182" s="4">
        <f>IF(E182="","",IF(E182&lt;=3,6,IF(E182&lt;=6,5,IF(E182&lt;=9,4,IF(E182&lt;=12,3,IF(E182&lt;=15,2,0))))))</f>
        <v/>
      </c>
      <c r="G182" s="3" t="n"/>
      <c r="H182" s="4">
        <f>IF(I182="Штраф -2",-2,IF(OR(F182="",G182=""),"",F182*G182+IF(J182="",0,J182)))</f>
        <v/>
      </c>
      <c r="I182" s="3" t="n"/>
      <c r="J182" s="3" t="n"/>
      <c r="K182" s="3" t="n"/>
    </row>
    <row r="183">
      <c r="A183" s="3" t="n"/>
      <c r="B183" s="3" t="n"/>
      <c r="C183" s="3" t="n"/>
      <c r="D183" s="3" t="n"/>
      <c r="E183" s="4">
        <f>IF(A183="","",COUNTIFS($A$4:A183,A183,$I$4:I183,"&lt;&gt;Штраф -2",$I$4:I183,"&lt;&gt;ушел на базу"))</f>
        <v/>
      </c>
      <c r="F183" s="4">
        <f>IF(E183="","",IF(E183&lt;=3,6,IF(E183&lt;=6,5,IF(E183&lt;=9,4,IF(E183&lt;=12,3,IF(E183&lt;=15,2,0))))))</f>
        <v/>
      </c>
      <c r="G183" s="3" t="n"/>
      <c r="H183" s="4">
        <f>IF(I183="Штраф -2",-2,IF(OR(F183="",G183=""),"",F183*G183+IF(J183="",0,J183)))</f>
        <v/>
      </c>
      <c r="I183" s="3" t="n"/>
      <c r="J183" s="3" t="n"/>
      <c r="K183" s="3" t="n"/>
    </row>
    <row r="184">
      <c r="A184" s="3" t="n"/>
      <c r="B184" s="3" t="n"/>
      <c r="C184" s="3" t="n"/>
      <c r="D184" s="3" t="n"/>
      <c r="E184" s="4">
        <f>IF(A184="","",COUNTIFS($A$4:A184,A184,$I$4:I184,"&lt;&gt;Штраф -2",$I$4:I184,"&lt;&gt;ушел на базу"))</f>
        <v/>
      </c>
      <c r="F184" s="4">
        <f>IF(E184="","",IF(E184&lt;=3,6,IF(E184&lt;=6,5,IF(E184&lt;=9,4,IF(E184&lt;=12,3,IF(E184&lt;=15,2,0))))))</f>
        <v/>
      </c>
      <c r="G184" s="3" t="n"/>
      <c r="H184" s="4">
        <f>IF(I184="Штраф -2",-2,IF(OR(F184="",G184=""),"",F184*G184+IF(J184="",0,J184)))</f>
        <v/>
      </c>
      <c r="I184" s="3" t="n"/>
      <c r="J184" s="3" t="n"/>
      <c r="K184" s="3" t="n"/>
    </row>
    <row r="185">
      <c r="A185" s="3" t="n"/>
      <c r="B185" s="3" t="n"/>
      <c r="C185" s="3" t="n"/>
      <c r="D185" s="3" t="n"/>
      <c r="E185" s="4">
        <f>IF(A185="","",COUNTIFS($A$4:A185,A185,$I$4:I185,"&lt;&gt;Штраф -2",$I$4:I185,"&lt;&gt;ушел на базу"))</f>
        <v/>
      </c>
      <c r="F185" s="4">
        <f>IF(E185="","",IF(E185&lt;=3,6,IF(E185&lt;=6,5,IF(E185&lt;=9,4,IF(E185&lt;=12,3,IF(E185&lt;=15,2,0))))))</f>
        <v/>
      </c>
      <c r="G185" s="3" t="n"/>
      <c r="H185" s="4">
        <f>IF(I185="Штраф -2",-2,IF(OR(F185="",G185=""),"",F185*G185+IF(J185="",0,J185)))</f>
        <v/>
      </c>
      <c r="I185" s="3" t="n"/>
      <c r="J185" s="3" t="n"/>
      <c r="K185" s="3" t="n"/>
    </row>
    <row r="186">
      <c r="A186" s="3" t="n"/>
      <c r="B186" s="3" t="n"/>
      <c r="C186" s="3" t="n"/>
      <c r="D186" s="3" t="n"/>
      <c r="E186" s="4">
        <f>IF(A186="","",COUNTIFS($A$4:A186,A186,$I$4:I186,"&lt;&gt;Штраф -2",$I$4:I186,"&lt;&gt;ушел на базу"))</f>
        <v/>
      </c>
      <c r="F186" s="4">
        <f>IF(E186="","",IF(E186&lt;=3,6,IF(E186&lt;=6,5,IF(E186&lt;=9,4,IF(E186&lt;=12,3,IF(E186&lt;=15,2,0))))))</f>
        <v/>
      </c>
      <c r="G186" s="3" t="n"/>
      <c r="H186" s="4">
        <f>IF(I186="Штраф -2",-2,IF(OR(F186="",G186=""),"",F186*G186+IF(J186="",0,J186)))</f>
        <v/>
      </c>
      <c r="I186" s="3" t="n"/>
      <c r="J186" s="3" t="n"/>
      <c r="K186" s="3" t="n"/>
    </row>
    <row r="187">
      <c r="A187" s="3" t="n"/>
      <c r="B187" s="3" t="n"/>
      <c r="C187" s="3" t="n"/>
      <c r="D187" s="3" t="n"/>
      <c r="E187" s="4">
        <f>IF(A187="","",COUNTIFS($A$4:A187,A187,$I$4:I187,"&lt;&gt;Штраф -2",$I$4:I187,"&lt;&gt;ушел на базу"))</f>
        <v/>
      </c>
      <c r="F187" s="4">
        <f>IF(E187="","",IF(E187&lt;=3,6,IF(E187&lt;=6,5,IF(E187&lt;=9,4,IF(E187&lt;=12,3,IF(E187&lt;=15,2,0))))))</f>
        <v/>
      </c>
      <c r="G187" s="3" t="n"/>
      <c r="H187" s="4">
        <f>IF(I187="Штраф -2",-2,IF(OR(F187="",G187=""),"",F187*G187+IF(J187="",0,J187)))</f>
        <v/>
      </c>
      <c r="I187" s="3" t="n"/>
      <c r="J187" s="3" t="n"/>
      <c r="K187" s="3" t="n"/>
    </row>
    <row r="188">
      <c r="A188" s="3" t="n"/>
      <c r="B188" s="3" t="n"/>
      <c r="C188" s="3" t="n"/>
      <c r="D188" s="3" t="n"/>
      <c r="E188" s="4">
        <f>IF(A188="","",COUNTIFS($A$4:A188,A188,$I$4:I188,"&lt;&gt;Штраф -2",$I$4:I188,"&lt;&gt;ушел на базу"))</f>
        <v/>
      </c>
      <c r="F188" s="4">
        <f>IF(E188="","",IF(E188&lt;=3,6,IF(E188&lt;=6,5,IF(E188&lt;=9,4,IF(E188&lt;=12,3,IF(E188&lt;=15,2,0))))))</f>
        <v/>
      </c>
      <c r="G188" s="3" t="n"/>
      <c r="H188" s="4">
        <f>IF(I188="Штраф -2",-2,IF(OR(F188="",G188=""),"",F188*G188+IF(J188="",0,J188)))</f>
        <v/>
      </c>
      <c r="I188" s="3" t="n"/>
      <c r="J188" s="3" t="n"/>
      <c r="K188" s="3" t="n"/>
    </row>
    <row r="189">
      <c r="A189" s="3" t="n"/>
      <c r="B189" s="3" t="n"/>
      <c r="C189" s="3" t="n"/>
      <c r="D189" s="3" t="n"/>
      <c r="E189" s="4">
        <f>IF(A189="","",COUNTIFS($A$4:A189,A189,$I$4:I189,"&lt;&gt;Штраф -2",$I$4:I189,"&lt;&gt;ушел на базу"))</f>
        <v/>
      </c>
      <c r="F189" s="4">
        <f>IF(E189="","",IF(E189&lt;=3,6,IF(E189&lt;=6,5,IF(E189&lt;=9,4,IF(E189&lt;=12,3,IF(E189&lt;=15,2,0))))))</f>
        <v/>
      </c>
      <c r="G189" s="3" t="n"/>
      <c r="H189" s="4">
        <f>IF(I189="Штраф -2",-2,IF(OR(F189="",G189=""),"",F189*G189+IF(J189="",0,J189)))</f>
        <v/>
      </c>
      <c r="I189" s="3" t="n"/>
      <c r="J189" s="3" t="n"/>
      <c r="K189" s="3" t="n"/>
    </row>
    <row r="190">
      <c r="A190" s="3" t="n"/>
      <c r="B190" s="3" t="n"/>
      <c r="C190" s="3" t="n"/>
      <c r="D190" s="3" t="n"/>
      <c r="E190" s="4">
        <f>IF(A190="","",COUNTIFS($A$4:A190,A190,$I$4:I190,"&lt;&gt;Штраф -2",$I$4:I190,"&lt;&gt;ушел на базу"))</f>
        <v/>
      </c>
      <c r="F190" s="4">
        <f>IF(E190="","",IF(E190&lt;=3,6,IF(E190&lt;=6,5,IF(E190&lt;=9,4,IF(E190&lt;=12,3,IF(E190&lt;=15,2,0))))))</f>
        <v/>
      </c>
      <c r="G190" s="3" t="n"/>
      <c r="H190" s="4">
        <f>IF(I190="Штраф -2",-2,IF(OR(F190="",G190=""),"",F190*G190+IF(J190="",0,J190)))</f>
        <v/>
      </c>
      <c r="I190" s="3" t="n"/>
      <c r="J190" s="3" t="n"/>
      <c r="K190" s="3" t="n"/>
    </row>
    <row r="191">
      <c r="A191" s="3" t="n"/>
      <c r="B191" s="3" t="n"/>
      <c r="C191" s="3" t="n"/>
      <c r="D191" s="3" t="n"/>
      <c r="E191" s="4">
        <f>IF(A191="","",COUNTIFS($A$4:A191,A191,$I$4:I191,"&lt;&gt;Штраф -2",$I$4:I191,"&lt;&gt;ушел на базу"))</f>
        <v/>
      </c>
      <c r="F191" s="4">
        <f>IF(E191="","",IF(E191&lt;=3,6,IF(E191&lt;=6,5,IF(E191&lt;=9,4,IF(E191&lt;=12,3,IF(E191&lt;=15,2,0))))))</f>
        <v/>
      </c>
      <c r="G191" s="3" t="n"/>
      <c r="H191" s="4">
        <f>IF(I191="Штраф -2",-2,IF(OR(F191="",G191=""),"",F191*G191+IF(J191="",0,J191)))</f>
        <v/>
      </c>
      <c r="I191" s="3" t="n"/>
      <c r="J191" s="3" t="n"/>
      <c r="K191" s="3" t="n"/>
    </row>
    <row r="192">
      <c r="A192" s="3" t="n"/>
      <c r="B192" s="3" t="n"/>
      <c r="C192" s="3" t="n"/>
      <c r="D192" s="3" t="n"/>
      <c r="E192" s="4">
        <f>IF(A192="","",COUNTIFS($A$4:A192,A192,$I$4:I192,"&lt;&gt;Штраф -2",$I$4:I192,"&lt;&gt;ушел на базу"))</f>
        <v/>
      </c>
      <c r="F192" s="4">
        <f>IF(E192="","",IF(E192&lt;=3,6,IF(E192&lt;=6,5,IF(E192&lt;=9,4,IF(E192&lt;=12,3,IF(E192&lt;=15,2,0))))))</f>
        <v/>
      </c>
      <c r="G192" s="3" t="n"/>
      <c r="H192" s="4">
        <f>IF(I192="Штраф -2",-2,IF(OR(F192="",G192=""),"",F192*G192+IF(J192="",0,J192)))</f>
        <v/>
      </c>
      <c r="I192" s="3" t="n"/>
      <c r="J192" s="3" t="n"/>
      <c r="K192" s="3" t="n"/>
    </row>
    <row r="193">
      <c r="A193" s="3" t="n"/>
      <c r="B193" s="3" t="n"/>
      <c r="C193" s="3" t="n"/>
      <c r="D193" s="3" t="n"/>
      <c r="E193" s="4">
        <f>IF(A193="","",COUNTIFS($A$4:A193,A193,$I$4:I193,"&lt;&gt;Штраф -2",$I$4:I193,"&lt;&gt;ушел на базу"))</f>
        <v/>
      </c>
      <c r="F193" s="4">
        <f>IF(E193="","",IF(E193&lt;=3,6,IF(E193&lt;=6,5,IF(E193&lt;=9,4,IF(E193&lt;=12,3,IF(E193&lt;=15,2,0))))))</f>
        <v/>
      </c>
      <c r="G193" s="3" t="n"/>
      <c r="H193" s="4">
        <f>IF(I193="Штраф -2",-2,IF(OR(F193="",G193=""),"",F193*G193+IF(J193="",0,J193)))</f>
        <v/>
      </c>
      <c r="I193" s="3" t="n"/>
      <c r="J193" s="3" t="n"/>
      <c r="K193" s="3" t="n"/>
    </row>
    <row r="194">
      <c r="A194" s="3" t="n"/>
      <c r="B194" s="3" t="n"/>
      <c r="C194" s="3" t="n"/>
      <c r="D194" s="3" t="n"/>
      <c r="E194" s="4">
        <f>IF(A194="","",COUNTIFS($A$4:A194,A194,$I$4:I194,"&lt;&gt;Штраф -2",$I$4:I194,"&lt;&gt;ушел на базу"))</f>
        <v/>
      </c>
      <c r="F194" s="4">
        <f>IF(E194="","",IF(E194&lt;=3,6,IF(E194&lt;=6,5,IF(E194&lt;=9,4,IF(E194&lt;=12,3,IF(E194&lt;=15,2,0))))))</f>
        <v/>
      </c>
      <c r="G194" s="3" t="n"/>
      <c r="H194" s="4">
        <f>IF(I194="Штраф -2",-2,IF(OR(F194="",G194=""),"",F194*G194+IF(J194="",0,J194)))</f>
        <v/>
      </c>
      <c r="I194" s="3" t="n"/>
      <c r="J194" s="3" t="n"/>
      <c r="K194" s="3" t="n"/>
    </row>
    <row r="195">
      <c r="A195" s="3" t="n"/>
      <c r="B195" s="3" t="n"/>
      <c r="C195" s="3" t="n"/>
      <c r="D195" s="3" t="n"/>
      <c r="E195" s="4">
        <f>IF(A195="","",COUNTIFS($A$4:A195,A195,$I$4:I195,"&lt;&gt;Штраф -2",$I$4:I195,"&lt;&gt;ушел на базу"))</f>
        <v/>
      </c>
      <c r="F195" s="4">
        <f>IF(E195="","",IF(E195&lt;=3,6,IF(E195&lt;=6,5,IF(E195&lt;=9,4,IF(E195&lt;=12,3,IF(E195&lt;=15,2,0))))))</f>
        <v/>
      </c>
      <c r="G195" s="3" t="n"/>
      <c r="H195" s="4">
        <f>IF(I195="Штраф -2",-2,IF(OR(F195="",G195=""),"",F195*G195+IF(J195="",0,J195)))</f>
        <v/>
      </c>
      <c r="I195" s="3" t="n"/>
      <c r="J195" s="3" t="n"/>
      <c r="K195" s="3" t="n"/>
    </row>
    <row r="196">
      <c r="A196" s="3" t="n"/>
      <c r="B196" s="3" t="n"/>
      <c r="C196" s="3" t="n"/>
      <c r="D196" s="3" t="n"/>
      <c r="E196" s="4">
        <f>IF(A196="","",COUNTIFS($A$4:A196,A196,$I$4:I196,"&lt;&gt;Штраф -2",$I$4:I196,"&lt;&gt;ушел на базу"))</f>
        <v/>
      </c>
      <c r="F196" s="4">
        <f>IF(E196="","",IF(E196&lt;=3,6,IF(E196&lt;=6,5,IF(E196&lt;=9,4,IF(E196&lt;=12,3,IF(E196&lt;=15,2,0))))))</f>
        <v/>
      </c>
      <c r="G196" s="3" t="n"/>
      <c r="H196" s="4">
        <f>IF(I196="Штраф -2",-2,IF(OR(F196="",G196=""),"",F196*G196+IF(J196="",0,J196)))</f>
        <v/>
      </c>
      <c r="I196" s="3" t="n"/>
      <c r="J196" s="3" t="n"/>
      <c r="K196" s="3" t="n"/>
    </row>
    <row r="197">
      <c r="A197" s="3" t="n"/>
      <c r="B197" s="3" t="n"/>
      <c r="C197" s="3" t="n"/>
      <c r="D197" s="3" t="n"/>
      <c r="E197" s="4">
        <f>IF(A197="","",COUNTIFS($A$4:A197,A197,$I$4:I197,"&lt;&gt;Штраф -2",$I$4:I197,"&lt;&gt;ушел на базу"))</f>
        <v/>
      </c>
      <c r="F197" s="4">
        <f>IF(E197="","",IF(E197&lt;=3,6,IF(E197&lt;=6,5,IF(E197&lt;=9,4,IF(E197&lt;=12,3,IF(E197&lt;=15,2,0))))))</f>
        <v/>
      </c>
      <c r="G197" s="3" t="n"/>
      <c r="H197" s="4">
        <f>IF(I197="Штраф -2",-2,IF(OR(F197="",G197=""),"",F197*G197+IF(J197="",0,J197)))</f>
        <v/>
      </c>
      <c r="I197" s="3" t="n"/>
      <c r="J197" s="3" t="n"/>
      <c r="K197" s="3" t="n"/>
    </row>
    <row r="198">
      <c r="A198" s="3" t="n"/>
      <c r="B198" s="3" t="n"/>
      <c r="C198" s="3" t="n"/>
      <c r="D198" s="3" t="n"/>
      <c r="E198" s="4">
        <f>IF(A198="","",COUNTIFS($A$4:A198,A198,$I$4:I198,"&lt;&gt;Штраф -2",$I$4:I198,"&lt;&gt;ушел на базу"))</f>
        <v/>
      </c>
      <c r="F198" s="4">
        <f>IF(E198="","",IF(E198&lt;=3,6,IF(E198&lt;=6,5,IF(E198&lt;=9,4,IF(E198&lt;=12,3,IF(E198&lt;=15,2,0))))))</f>
        <v/>
      </c>
      <c r="G198" s="3" t="n"/>
      <c r="H198" s="4">
        <f>IF(I198="Штраф -2",-2,IF(OR(F198="",G198=""),"",F198*G198+IF(J198="",0,J198)))</f>
        <v/>
      </c>
      <c r="I198" s="3" t="n"/>
      <c r="J198" s="3" t="n"/>
      <c r="K198" s="3" t="n"/>
    </row>
    <row r="199">
      <c r="A199" s="3" t="n"/>
      <c r="B199" s="3" t="n"/>
      <c r="C199" s="3" t="n"/>
      <c r="D199" s="3" t="n"/>
      <c r="E199" s="4">
        <f>IF(A199="","",COUNTIFS($A$4:A199,A199,$I$4:I199,"&lt;&gt;Штраф -2",$I$4:I199,"&lt;&gt;ушел на базу"))</f>
        <v/>
      </c>
      <c r="F199" s="4">
        <f>IF(E199="","",IF(E199&lt;=3,6,IF(E199&lt;=6,5,IF(E199&lt;=9,4,IF(E199&lt;=12,3,IF(E199&lt;=15,2,0))))))</f>
        <v/>
      </c>
      <c r="G199" s="3" t="n"/>
      <c r="H199" s="4">
        <f>IF(I199="Штраф -2",-2,IF(OR(F199="",G199=""),"",F199*G199+IF(J199="",0,J199)))</f>
        <v/>
      </c>
      <c r="I199" s="3" t="n"/>
      <c r="J199" s="3" t="n"/>
      <c r="K199" s="3" t="n"/>
    </row>
    <row r="200">
      <c r="A200" s="3" t="n"/>
      <c r="B200" s="3" t="n"/>
      <c r="C200" s="3" t="n"/>
      <c r="D200" s="3" t="n"/>
      <c r="E200" s="4">
        <f>IF(A200="","",COUNTIFS($A$4:A200,A200,$I$4:I200,"&lt;&gt;Штраф -2",$I$4:I200,"&lt;&gt;ушел на базу"))</f>
        <v/>
      </c>
      <c r="F200" s="4">
        <f>IF(E200="","",IF(E200&lt;=3,6,IF(E200&lt;=6,5,IF(E200&lt;=9,4,IF(E200&lt;=12,3,IF(E200&lt;=15,2,0))))))</f>
        <v/>
      </c>
      <c r="G200" s="3" t="n"/>
      <c r="H200" s="4">
        <f>IF(I200="Штраф -2",-2,IF(OR(F200="",G200=""),"",F200*G200+IF(J200="",0,J200)))</f>
        <v/>
      </c>
      <c r="I200" s="3" t="n"/>
      <c r="J200" s="3" t="n"/>
      <c r="K200" s="3" t="n"/>
    </row>
    <row r="201">
      <c r="A201" s="3" t="n"/>
      <c r="B201" s="3" t="n"/>
      <c r="C201" s="3" t="n"/>
      <c r="D201" s="3" t="n"/>
      <c r="E201" s="4">
        <f>IF(A201="","",COUNTIFS($A$4:A201,A201,$I$4:I201,"&lt;&gt;Штраф -2",$I$4:I201,"&lt;&gt;ушел на базу"))</f>
        <v/>
      </c>
      <c r="F201" s="4">
        <f>IF(E201="","",IF(E201&lt;=3,6,IF(E201&lt;=6,5,IF(E201&lt;=9,4,IF(E201&lt;=12,3,IF(E201&lt;=15,2,0))))))</f>
        <v/>
      </c>
      <c r="G201" s="3" t="n"/>
      <c r="H201" s="4">
        <f>IF(I201="Штраф -2",-2,IF(OR(F201="",G201=""),"",F201*G201+IF(J201="",0,J201)))</f>
        <v/>
      </c>
      <c r="I201" s="3" t="n"/>
      <c r="J201" s="3" t="n"/>
      <c r="K201" s="3" t="n"/>
    </row>
    <row r="202">
      <c r="A202" s="3" t="n"/>
      <c r="B202" s="3" t="n"/>
      <c r="C202" s="3" t="n"/>
      <c r="D202" s="3" t="n"/>
      <c r="E202" s="4">
        <f>IF(A202="","",COUNTIFS($A$4:A202,A202,$I$4:I202,"&lt;&gt;Штраф -2",$I$4:I202,"&lt;&gt;ушел на базу"))</f>
        <v/>
      </c>
      <c r="F202" s="4">
        <f>IF(E202="","",IF(E202&lt;=3,6,IF(E202&lt;=6,5,IF(E202&lt;=9,4,IF(E202&lt;=12,3,IF(E202&lt;=15,2,0))))))</f>
        <v/>
      </c>
      <c r="G202" s="3" t="n"/>
      <c r="H202" s="4">
        <f>IF(I202="Штраф -2",-2,IF(OR(F202="",G202=""),"",F202*G202+IF(J202="",0,J202)))</f>
        <v/>
      </c>
      <c r="I202" s="3" t="n"/>
      <c r="J202" s="3" t="n"/>
      <c r="K202" s="3" t="n"/>
    </row>
    <row r="203">
      <c r="A203" s="3" t="n"/>
      <c r="B203" s="3" t="n"/>
      <c r="C203" s="3" t="n"/>
      <c r="D203" s="3" t="n"/>
      <c r="E203" s="4">
        <f>IF(A203="","",COUNTIFS($A$4:A203,A203,$I$4:I203,"&lt;&gt;Штраф -2",$I$4:I203,"&lt;&gt;ушел на базу"))</f>
        <v/>
      </c>
      <c r="F203" s="4">
        <f>IF(E203="","",IF(E203&lt;=3,6,IF(E203&lt;=6,5,IF(E203&lt;=9,4,IF(E203&lt;=12,3,IF(E203&lt;=15,2,0))))))</f>
        <v/>
      </c>
      <c r="G203" s="3" t="n"/>
      <c r="H203" s="4">
        <f>IF(I203="Штраф -2",-2,IF(OR(F203="",G203=""),"",F203*G203+IF(J203="",0,J203)))</f>
        <v/>
      </c>
      <c r="I203" s="3" t="n"/>
      <c r="J203" s="3" t="n"/>
      <c r="K203" s="3" t="n"/>
    </row>
    <row r="204">
      <c r="A204" s="3" t="n"/>
      <c r="B204" s="3" t="n"/>
      <c r="C204" s="3" t="n"/>
      <c r="D204" s="3" t="n"/>
      <c r="E204" s="4">
        <f>IF(A204="","",COUNTIFS($A$4:A204,A204,$I$4:I204,"&lt;&gt;Штраф -2",$I$4:I204,"&lt;&gt;ушел на базу"))</f>
        <v/>
      </c>
      <c r="F204" s="4">
        <f>IF(E204="","",IF(E204&lt;=3,6,IF(E204&lt;=6,5,IF(E204&lt;=9,4,IF(E204&lt;=12,3,IF(E204&lt;=15,2,0))))))</f>
        <v/>
      </c>
      <c r="G204" s="3" t="n"/>
      <c r="H204" s="4">
        <f>IF(I204="Штраф -2",-2,IF(OR(F204="",G204=""),"",F204*G204+IF(J204="",0,J204)))</f>
        <v/>
      </c>
      <c r="I204" s="3" t="n"/>
      <c r="J204" s="3" t="n"/>
      <c r="K204" s="3" t="n"/>
    </row>
    <row r="205">
      <c r="A205" s="3" t="n"/>
      <c r="B205" s="3" t="n"/>
      <c r="C205" s="3" t="n"/>
      <c r="D205" s="3" t="n"/>
      <c r="E205" s="4">
        <f>IF(A205="","",COUNTIFS($A$4:A205,A205,$I$4:I205,"&lt;&gt;Штраф -2",$I$4:I205,"&lt;&gt;ушел на базу"))</f>
        <v/>
      </c>
      <c r="F205" s="4">
        <f>IF(E205="","",IF(E205&lt;=3,6,IF(E205&lt;=6,5,IF(E205&lt;=9,4,IF(E205&lt;=12,3,IF(E205&lt;=15,2,0))))))</f>
        <v/>
      </c>
      <c r="G205" s="3" t="n"/>
      <c r="H205" s="4">
        <f>IF(I205="Штраф -2",-2,IF(OR(F205="",G205=""),"",F205*G205+IF(J205="",0,J205)))</f>
        <v/>
      </c>
      <c r="I205" s="3" t="n"/>
      <c r="J205" s="3" t="n"/>
      <c r="K205" s="3" t="n"/>
    </row>
    <row r="206">
      <c r="A206" s="3" t="n"/>
      <c r="B206" s="3" t="n"/>
      <c r="C206" s="3" t="n"/>
      <c r="D206" s="3" t="n"/>
      <c r="E206" s="4">
        <f>IF(A206="","",COUNTIFS($A$4:A206,A206,$I$4:I206,"&lt;&gt;Штраф -2",$I$4:I206,"&lt;&gt;ушел на базу"))</f>
        <v/>
      </c>
      <c r="F206" s="4">
        <f>IF(E206="","",IF(E206&lt;=3,6,IF(E206&lt;=6,5,IF(E206&lt;=9,4,IF(E206&lt;=12,3,IF(E206&lt;=15,2,0))))))</f>
        <v/>
      </c>
      <c r="G206" s="3" t="n"/>
      <c r="H206" s="4">
        <f>IF(I206="Штраф -2",-2,IF(OR(F206="",G206=""),"",F206*G206+IF(J206="",0,J206)))</f>
        <v/>
      </c>
      <c r="I206" s="3" t="n"/>
      <c r="J206" s="3" t="n"/>
      <c r="K206" s="3" t="n"/>
    </row>
    <row r="207">
      <c r="A207" s="3" t="n"/>
      <c r="B207" s="3" t="n"/>
      <c r="C207" s="3" t="n"/>
      <c r="D207" s="3" t="n"/>
      <c r="E207" s="4">
        <f>IF(A207="","",COUNTIFS($A$4:A207,A207,$I$4:I207,"&lt;&gt;Штраф -2",$I$4:I207,"&lt;&gt;ушел на базу"))</f>
        <v/>
      </c>
      <c r="F207" s="4">
        <f>IF(E207="","",IF(E207&lt;=3,6,IF(E207&lt;=6,5,IF(E207&lt;=9,4,IF(E207&lt;=12,3,IF(E207&lt;=15,2,0))))))</f>
        <v/>
      </c>
      <c r="G207" s="3" t="n"/>
      <c r="H207" s="4">
        <f>IF(I207="Штраф -2",-2,IF(OR(F207="",G207=""),"",F207*G207+IF(J207="",0,J207)))</f>
        <v/>
      </c>
      <c r="I207" s="3" t="n"/>
      <c r="J207" s="3" t="n"/>
      <c r="K207" s="3" t="n"/>
    </row>
    <row r="208">
      <c r="A208" s="3" t="n"/>
      <c r="B208" s="3" t="n"/>
      <c r="C208" s="3" t="n"/>
      <c r="D208" s="3" t="n"/>
      <c r="E208" s="4">
        <f>IF(A208="","",COUNTIFS($A$4:A208,A208,$I$4:I208,"&lt;&gt;Штраф -2",$I$4:I208,"&lt;&gt;ушел на базу"))</f>
        <v/>
      </c>
      <c r="F208" s="4">
        <f>IF(E208="","",IF(E208&lt;=3,6,IF(E208&lt;=6,5,IF(E208&lt;=9,4,IF(E208&lt;=12,3,IF(E208&lt;=15,2,0))))))</f>
        <v/>
      </c>
      <c r="G208" s="3" t="n"/>
      <c r="H208" s="4">
        <f>IF(I208="Штраф -2",-2,IF(OR(F208="",G208=""),"",F208*G208+IF(J208="",0,J208)))</f>
        <v/>
      </c>
      <c r="I208" s="3" t="n"/>
      <c r="J208" s="3" t="n"/>
      <c r="K208" s="3" t="n"/>
    </row>
    <row r="209">
      <c r="A209" s="3" t="n"/>
      <c r="B209" s="3" t="n"/>
      <c r="C209" s="3" t="n"/>
      <c r="D209" s="3" t="n"/>
      <c r="E209" s="4">
        <f>IF(A209="","",COUNTIFS($A$4:A209,A209,$I$4:I209,"&lt;&gt;Штраф -2",$I$4:I209,"&lt;&gt;ушел на базу"))</f>
        <v/>
      </c>
      <c r="F209" s="4">
        <f>IF(E209="","",IF(E209&lt;=3,6,IF(E209&lt;=6,5,IF(E209&lt;=9,4,IF(E209&lt;=12,3,IF(E209&lt;=15,2,0))))))</f>
        <v/>
      </c>
      <c r="G209" s="3" t="n"/>
      <c r="H209" s="4">
        <f>IF(I209="Штраф -2",-2,IF(OR(F209="",G209=""),"",F209*G209+IF(J209="",0,J209)))</f>
        <v/>
      </c>
      <c r="I209" s="3" t="n"/>
      <c r="J209" s="3" t="n"/>
      <c r="K209" s="3" t="n"/>
    </row>
    <row r="210">
      <c r="A210" s="3" t="n"/>
      <c r="B210" s="3" t="n"/>
      <c r="C210" s="3" t="n"/>
      <c r="D210" s="3" t="n"/>
      <c r="E210" s="4">
        <f>IF(A210="","",COUNTIFS($A$4:A210,A210,$I$4:I210,"&lt;&gt;Штраф -2",$I$4:I210,"&lt;&gt;ушел на базу"))</f>
        <v/>
      </c>
      <c r="F210" s="4">
        <f>IF(E210="","",IF(E210&lt;=3,6,IF(E210&lt;=6,5,IF(E210&lt;=9,4,IF(E210&lt;=12,3,IF(E210&lt;=15,2,0))))))</f>
        <v/>
      </c>
      <c r="G210" s="3" t="n"/>
      <c r="H210" s="4">
        <f>IF(I210="Штраф -2",-2,IF(OR(F210="",G210=""),"",F210*G210+IF(J210="",0,J210)))</f>
        <v/>
      </c>
      <c r="I210" s="3" t="n"/>
      <c r="J210" s="3" t="n"/>
      <c r="K210" s="3" t="n"/>
    </row>
    <row r="211">
      <c r="A211" s="3" t="n"/>
      <c r="B211" s="3" t="n"/>
      <c r="C211" s="3" t="n"/>
      <c r="D211" s="3" t="n"/>
      <c r="E211" s="4">
        <f>IF(A211="","",COUNTIFS($A$4:A211,A211,$I$4:I211,"&lt;&gt;Штраф -2",$I$4:I211,"&lt;&gt;ушел на базу"))</f>
        <v/>
      </c>
      <c r="F211" s="4">
        <f>IF(E211="","",IF(E211&lt;=3,6,IF(E211&lt;=6,5,IF(E211&lt;=9,4,IF(E211&lt;=12,3,IF(E211&lt;=15,2,0))))))</f>
        <v/>
      </c>
      <c r="G211" s="3" t="n"/>
      <c r="H211" s="4">
        <f>IF(I211="Штраф -2",-2,IF(OR(F211="",G211=""),"",F211*G211+IF(J211="",0,J211)))</f>
        <v/>
      </c>
      <c r="I211" s="3" t="n"/>
      <c r="J211" s="3" t="n"/>
      <c r="K211" s="3" t="n"/>
    </row>
    <row r="212">
      <c r="A212" s="3" t="n"/>
      <c r="B212" s="3" t="n"/>
      <c r="C212" s="3" t="n"/>
      <c r="D212" s="3" t="n"/>
      <c r="E212" s="4">
        <f>IF(A212="","",COUNTIFS($A$4:A212,A212,$I$4:I212,"&lt;&gt;Штраф -2",$I$4:I212,"&lt;&gt;ушел на базу"))</f>
        <v/>
      </c>
      <c r="F212" s="4">
        <f>IF(E212="","",IF(E212&lt;=3,6,IF(E212&lt;=6,5,IF(E212&lt;=9,4,IF(E212&lt;=12,3,IF(E212&lt;=15,2,0))))))</f>
        <v/>
      </c>
      <c r="G212" s="3" t="n"/>
      <c r="H212" s="4">
        <f>IF(I212="Штраф -2",-2,IF(OR(F212="",G212=""),"",F212*G212+IF(J212="",0,J212)))</f>
        <v/>
      </c>
      <c r="I212" s="3" t="n"/>
      <c r="J212" s="3" t="n"/>
      <c r="K212" s="3" t="n"/>
    </row>
    <row r="213">
      <c r="A213" s="3" t="n"/>
      <c r="B213" s="3" t="n"/>
      <c r="C213" s="3" t="n"/>
      <c r="D213" s="3" t="n"/>
      <c r="E213" s="4">
        <f>IF(A213="","",COUNTIFS($A$4:A213,A213,$I$4:I213,"&lt;&gt;Штраф -2",$I$4:I213,"&lt;&gt;ушел на базу"))</f>
        <v/>
      </c>
      <c r="F213" s="4">
        <f>IF(E213="","",IF(E213&lt;=3,6,IF(E213&lt;=6,5,IF(E213&lt;=9,4,IF(E213&lt;=12,3,IF(E213&lt;=15,2,0))))))</f>
        <v/>
      </c>
      <c r="G213" s="3" t="n"/>
      <c r="H213" s="4">
        <f>IF(I213="Штраф -2",-2,IF(OR(F213="",G213=""),"",F213*G213+IF(J213="",0,J213)))</f>
        <v/>
      </c>
      <c r="I213" s="3" t="n"/>
      <c r="J213" s="3" t="n"/>
      <c r="K213" s="3" t="n"/>
    </row>
    <row r="214">
      <c r="A214" s="3" t="n"/>
      <c r="B214" s="3" t="n"/>
      <c r="C214" s="3" t="n"/>
      <c r="D214" s="3" t="n"/>
      <c r="E214" s="4">
        <f>IF(A214="","",COUNTIFS($A$4:A214,A214,$I$4:I214,"&lt;&gt;Штраф -2",$I$4:I214,"&lt;&gt;ушел на базу"))</f>
        <v/>
      </c>
      <c r="F214" s="4">
        <f>IF(E214="","",IF(E214&lt;=3,6,IF(E214&lt;=6,5,IF(E214&lt;=9,4,IF(E214&lt;=12,3,IF(E214&lt;=15,2,0))))))</f>
        <v/>
      </c>
      <c r="G214" s="3" t="n"/>
      <c r="H214" s="4">
        <f>IF(I214="Штраф -2",-2,IF(OR(F214="",G214=""),"",F214*G214+IF(J214="",0,J214)))</f>
        <v/>
      </c>
      <c r="I214" s="3" t="n"/>
      <c r="J214" s="3" t="n"/>
      <c r="K214" s="3" t="n"/>
    </row>
    <row r="215">
      <c r="A215" s="3" t="n"/>
      <c r="B215" s="3" t="n"/>
      <c r="C215" s="3" t="n"/>
      <c r="D215" s="3" t="n"/>
      <c r="E215" s="4">
        <f>IF(A215="","",COUNTIFS($A$4:A215,A215,$I$4:I215,"&lt;&gt;Штраф -2",$I$4:I215,"&lt;&gt;ушел на базу"))</f>
        <v/>
      </c>
      <c r="F215" s="4">
        <f>IF(E215="","",IF(E215&lt;=3,6,IF(E215&lt;=6,5,IF(E215&lt;=9,4,IF(E215&lt;=12,3,IF(E215&lt;=15,2,0))))))</f>
        <v/>
      </c>
      <c r="G215" s="3" t="n"/>
      <c r="H215" s="4">
        <f>IF(I215="Штраф -2",-2,IF(OR(F215="",G215=""),"",F215*G215+IF(J215="",0,J215)))</f>
        <v/>
      </c>
      <c r="I215" s="3" t="n"/>
      <c r="J215" s="3" t="n"/>
      <c r="K215" s="3" t="n"/>
    </row>
    <row r="216">
      <c r="A216" s="3" t="n"/>
      <c r="B216" s="3" t="n"/>
      <c r="C216" s="3" t="n"/>
      <c r="D216" s="3" t="n"/>
      <c r="E216" s="4">
        <f>IF(A216="","",COUNTIFS($A$4:A216,A216,$I$4:I216,"&lt;&gt;Штраф -2",$I$4:I216,"&lt;&gt;ушел на базу"))</f>
        <v/>
      </c>
      <c r="F216" s="4">
        <f>IF(E216="","",IF(E216&lt;=3,6,IF(E216&lt;=6,5,IF(E216&lt;=9,4,IF(E216&lt;=12,3,IF(E216&lt;=15,2,0))))))</f>
        <v/>
      </c>
      <c r="G216" s="3" t="n"/>
      <c r="H216" s="4">
        <f>IF(I216="Штраф -2",-2,IF(OR(F216="",G216=""),"",F216*G216+IF(J216="",0,J216)))</f>
        <v/>
      </c>
      <c r="I216" s="3" t="n"/>
      <c r="J216" s="3" t="n"/>
      <c r="K216" s="3" t="n"/>
    </row>
    <row r="217">
      <c r="A217" s="3" t="n"/>
      <c r="B217" s="3" t="n"/>
      <c r="C217" s="3" t="n"/>
      <c r="D217" s="3" t="n"/>
      <c r="E217" s="4">
        <f>IF(A217="","",COUNTIFS($A$4:A217,A217,$I$4:I217,"&lt;&gt;Штраф -2",$I$4:I217,"&lt;&gt;ушел на базу"))</f>
        <v/>
      </c>
      <c r="F217" s="4">
        <f>IF(E217="","",IF(E217&lt;=3,6,IF(E217&lt;=6,5,IF(E217&lt;=9,4,IF(E217&lt;=12,3,IF(E217&lt;=15,2,0))))))</f>
        <v/>
      </c>
      <c r="G217" s="3" t="n"/>
      <c r="H217" s="4">
        <f>IF(I217="Штраф -2",-2,IF(OR(F217="",G217=""),"",F217*G217+IF(J217="",0,J217)))</f>
        <v/>
      </c>
      <c r="I217" s="3" t="n"/>
      <c r="J217" s="3" t="n"/>
      <c r="K217" s="3" t="n"/>
    </row>
    <row r="218">
      <c r="A218" s="3" t="n"/>
      <c r="B218" s="3" t="n"/>
      <c r="C218" s="3" t="n"/>
      <c r="D218" s="3" t="n"/>
      <c r="E218" s="4">
        <f>IF(A218="","",COUNTIFS($A$4:A218,A218,$I$4:I218,"&lt;&gt;Штраф -2",$I$4:I218,"&lt;&gt;ушел на базу"))</f>
        <v/>
      </c>
      <c r="F218" s="4">
        <f>IF(E218="","",IF(E218&lt;=3,6,IF(E218&lt;=6,5,IF(E218&lt;=9,4,IF(E218&lt;=12,3,IF(E218&lt;=15,2,0))))))</f>
        <v/>
      </c>
      <c r="G218" s="3" t="n"/>
      <c r="H218" s="4">
        <f>IF(I218="Штраф -2",-2,IF(OR(F218="",G218=""),"",F218*G218+IF(J218="",0,J218)))</f>
        <v/>
      </c>
      <c r="I218" s="3" t="n"/>
      <c r="J218" s="3" t="n"/>
      <c r="K218" s="3" t="n"/>
    </row>
    <row r="219">
      <c r="A219" s="3" t="n"/>
      <c r="B219" s="3" t="n"/>
      <c r="C219" s="3" t="n"/>
      <c r="D219" s="3" t="n"/>
      <c r="E219" s="4">
        <f>IF(A219="","",COUNTIFS($A$4:A219,A219,$I$4:I219,"&lt;&gt;Штраф -2",$I$4:I219,"&lt;&gt;ушел на базу"))</f>
        <v/>
      </c>
      <c r="F219" s="4">
        <f>IF(E219="","",IF(E219&lt;=3,6,IF(E219&lt;=6,5,IF(E219&lt;=9,4,IF(E219&lt;=12,3,IF(E219&lt;=15,2,0))))))</f>
        <v/>
      </c>
      <c r="G219" s="3" t="n"/>
      <c r="H219" s="4">
        <f>IF(I219="Штраф -2",-2,IF(OR(F219="",G219=""),"",F219*G219+IF(J219="",0,J219)))</f>
        <v/>
      </c>
      <c r="I219" s="3" t="n"/>
      <c r="J219" s="3" t="n"/>
      <c r="K219" s="3" t="n"/>
    </row>
    <row r="220">
      <c r="A220" s="3" t="n"/>
      <c r="B220" s="3" t="n"/>
      <c r="C220" s="3" t="n"/>
      <c r="D220" s="3" t="n"/>
      <c r="E220" s="4">
        <f>IF(A220="","",COUNTIFS($A$4:A220,A220,$I$4:I220,"&lt;&gt;Штраф -2",$I$4:I220,"&lt;&gt;ушел на базу"))</f>
        <v/>
      </c>
      <c r="F220" s="4">
        <f>IF(E220="","",IF(E220&lt;=3,6,IF(E220&lt;=6,5,IF(E220&lt;=9,4,IF(E220&lt;=12,3,IF(E220&lt;=15,2,0))))))</f>
        <v/>
      </c>
      <c r="G220" s="3" t="n"/>
      <c r="H220" s="4">
        <f>IF(I220="Штраф -2",-2,IF(OR(F220="",G220=""),"",F220*G220+IF(J220="",0,J220)))</f>
        <v/>
      </c>
      <c r="I220" s="3" t="n"/>
      <c r="J220" s="3" t="n"/>
      <c r="K220" s="3" t="n"/>
    </row>
    <row r="221">
      <c r="A221" s="3" t="n"/>
      <c r="B221" s="3" t="n"/>
      <c r="C221" s="3" t="n"/>
      <c r="D221" s="3" t="n"/>
      <c r="E221" s="4">
        <f>IF(A221="","",COUNTIFS($A$4:A221,A221,$I$4:I221,"&lt;&gt;Штраф -2",$I$4:I221,"&lt;&gt;ушел на базу"))</f>
        <v/>
      </c>
      <c r="F221" s="4">
        <f>IF(E221="","",IF(E221&lt;=3,6,IF(E221&lt;=6,5,IF(E221&lt;=9,4,IF(E221&lt;=12,3,IF(E221&lt;=15,2,0))))))</f>
        <v/>
      </c>
      <c r="G221" s="3" t="n"/>
      <c r="H221" s="4">
        <f>IF(I221="Штраф -2",-2,IF(OR(F221="",G221=""),"",F221*G221+IF(J221="",0,J221)))</f>
        <v/>
      </c>
      <c r="I221" s="3" t="n"/>
      <c r="J221" s="3" t="n"/>
      <c r="K221" s="3" t="n"/>
    </row>
    <row r="222">
      <c r="A222" s="3" t="n"/>
      <c r="B222" s="3" t="n"/>
      <c r="C222" s="3" t="n"/>
      <c r="D222" s="3" t="n"/>
      <c r="E222" s="4">
        <f>IF(A222="","",COUNTIFS($A$4:A222,A222,$I$4:I222,"&lt;&gt;Штраф -2",$I$4:I222,"&lt;&gt;ушел на базу"))</f>
        <v/>
      </c>
      <c r="F222" s="4">
        <f>IF(E222="","",IF(E222&lt;=3,6,IF(E222&lt;=6,5,IF(E222&lt;=9,4,IF(E222&lt;=12,3,IF(E222&lt;=15,2,0))))))</f>
        <v/>
      </c>
      <c r="G222" s="3" t="n"/>
      <c r="H222" s="4">
        <f>IF(I222="Штраф -2",-2,IF(OR(F222="",G222=""),"",F222*G222+IF(J222="",0,J222)))</f>
        <v/>
      </c>
      <c r="I222" s="3" t="n"/>
      <c r="J222" s="3" t="n"/>
      <c r="K222" s="3" t="n"/>
    </row>
    <row r="223">
      <c r="A223" s="3" t="n"/>
      <c r="B223" s="3" t="n"/>
      <c r="C223" s="3" t="n"/>
      <c r="D223" s="3" t="n"/>
      <c r="E223" s="4">
        <f>IF(A223="","",COUNTIFS($A$4:A223,A223,$I$4:I223,"&lt;&gt;Штраф -2",$I$4:I223,"&lt;&gt;ушел на базу"))</f>
        <v/>
      </c>
      <c r="F223" s="4">
        <f>IF(E223="","",IF(E223&lt;=3,6,IF(E223&lt;=6,5,IF(E223&lt;=9,4,IF(E223&lt;=12,3,IF(E223&lt;=15,2,0))))))</f>
        <v/>
      </c>
      <c r="G223" s="3" t="n"/>
      <c r="H223" s="4">
        <f>IF(I223="Штраф -2",-2,IF(OR(F223="",G223=""),"",F223*G223+IF(J223="",0,J223)))</f>
        <v/>
      </c>
      <c r="I223" s="3" t="n"/>
      <c r="J223" s="3" t="n"/>
      <c r="K223" s="3" t="n"/>
    </row>
    <row r="224">
      <c r="A224" s="3" t="n"/>
      <c r="B224" s="3" t="n"/>
      <c r="C224" s="3" t="n"/>
      <c r="D224" s="3" t="n"/>
      <c r="E224" s="4">
        <f>IF(A224="","",COUNTIFS($A$4:A224,A224,$I$4:I224,"&lt;&gt;Штраф -2",$I$4:I224,"&lt;&gt;ушел на базу"))</f>
        <v/>
      </c>
      <c r="F224" s="4">
        <f>IF(E224="","",IF(E224&lt;=3,6,IF(E224&lt;=6,5,IF(E224&lt;=9,4,IF(E224&lt;=12,3,IF(E224&lt;=15,2,0))))))</f>
        <v/>
      </c>
      <c r="G224" s="3" t="n"/>
      <c r="H224" s="4">
        <f>IF(I224="Штраф -2",-2,IF(OR(F224="",G224=""),"",F224*G224+IF(J224="",0,J224)))</f>
        <v/>
      </c>
      <c r="I224" s="3" t="n"/>
      <c r="J224" s="3" t="n"/>
      <c r="K224" s="3" t="n"/>
    </row>
    <row r="225">
      <c r="A225" s="3" t="n"/>
      <c r="B225" s="3" t="n"/>
      <c r="C225" s="3" t="n"/>
      <c r="D225" s="3" t="n"/>
      <c r="E225" s="4">
        <f>IF(A225="","",COUNTIFS($A$4:A225,A225,$I$4:I225,"&lt;&gt;Штраф -2",$I$4:I225,"&lt;&gt;ушел на базу"))</f>
        <v/>
      </c>
      <c r="F225" s="4">
        <f>IF(E225="","",IF(E225&lt;=3,6,IF(E225&lt;=6,5,IF(E225&lt;=9,4,IF(E225&lt;=12,3,IF(E225&lt;=15,2,0))))))</f>
        <v/>
      </c>
      <c r="G225" s="3" t="n"/>
      <c r="H225" s="4">
        <f>IF(I225="Штраф -2",-2,IF(OR(F225="",G225=""),"",F225*G225+IF(J225="",0,J225)))</f>
        <v/>
      </c>
      <c r="I225" s="3" t="n"/>
      <c r="J225" s="3" t="n"/>
      <c r="K225" s="3" t="n"/>
    </row>
    <row r="226">
      <c r="A226" s="3" t="n"/>
      <c r="B226" s="3" t="n"/>
      <c r="C226" s="3" t="n"/>
      <c r="D226" s="3" t="n"/>
      <c r="E226" s="4">
        <f>IF(A226="","",COUNTIFS($A$4:A226,A226,$I$4:I226,"&lt;&gt;Штраф -2",$I$4:I226,"&lt;&gt;ушел на базу"))</f>
        <v/>
      </c>
      <c r="F226" s="4">
        <f>IF(E226="","",IF(E226&lt;=3,6,IF(E226&lt;=6,5,IF(E226&lt;=9,4,IF(E226&lt;=12,3,IF(E226&lt;=15,2,0))))))</f>
        <v/>
      </c>
      <c r="G226" s="3" t="n"/>
      <c r="H226" s="4">
        <f>IF(I226="Штраф -2",-2,IF(OR(F226="",G226=""),"",F226*G226+IF(J226="",0,J226)))</f>
        <v/>
      </c>
      <c r="I226" s="3" t="n"/>
      <c r="J226" s="3" t="n"/>
      <c r="K226" s="3" t="n"/>
    </row>
    <row r="227">
      <c r="A227" s="3" t="n"/>
      <c r="B227" s="3" t="n"/>
      <c r="C227" s="3" t="n"/>
      <c r="D227" s="3" t="n"/>
      <c r="E227" s="4">
        <f>IF(A227="","",COUNTIFS($A$4:A227,A227,$I$4:I227,"&lt;&gt;Штраф -2",$I$4:I227,"&lt;&gt;ушел на базу"))</f>
        <v/>
      </c>
      <c r="F227" s="4">
        <f>IF(E227="","",IF(E227&lt;=3,6,IF(E227&lt;=6,5,IF(E227&lt;=9,4,IF(E227&lt;=12,3,IF(E227&lt;=15,2,0))))))</f>
        <v/>
      </c>
      <c r="G227" s="3" t="n"/>
      <c r="H227" s="4">
        <f>IF(I227="Штраф -2",-2,IF(OR(F227="",G227=""),"",F227*G227+IF(J227="",0,J227)))</f>
        <v/>
      </c>
      <c r="I227" s="3" t="n"/>
      <c r="J227" s="3" t="n"/>
      <c r="K227" s="3" t="n"/>
    </row>
    <row r="228">
      <c r="A228" s="3" t="n"/>
      <c r="B228" s="3" t="n"/>
      <c r="C228" s="3" t="n"/>
      <c r="D228" s="3" t="n"/>
      <c r="E228" s="4">
        <f>IF(A228="","",COUNTIFS($A$4:A228,A228,$I$4:I228,"&lt;&gt;Штраф -2",$I$4:I228,"&lt;&gt;ушел на базу"))</f>
        <v/>
      </c>
      <c r="F228" s="4">
        <f>IF(E228="","",IF(E228&lt;=3,6,IF(E228&lt;=6,5,IF(E228&lt;=9,4,IF(E228&lt;=12,3,IF(E228&lt;=15,2,0))))))</f>
        <v/>
      </c>
      <c r="G228" s="3" t="n"/>
      <c r="H228" s="4">
        <f>IF(I228="Штраф -2",-2,IF(OR(F228="",G228=""),"",F228*G228+IF(J228="",0,J228)))</f>
        <v/>
      </c>
      <c r="I228" s="3" t="n"/>
      <c r="J228" s="3" t="n"/>
      <c r="K228" s="3" t="n"/>
    </row>
    <row r="229">
      <c r="A229" s="3" t="n"/>
      <c r="B229" s="3" t="n"/>
      <c r="C229" s="3" t="n"/>
      <c r="D229" s="3" t="n"/>
      <c r="E229" s="4">
        <f>IF(A229="","",COUNTIFS($A$4:A229,A229,$I$4:I229,"&lt;&gt;Штраф -2",$I$4:I229,"&lt;&gt;ушел на базу"))</f>
        <v/>
      </c>
      <c r="F229" s="4">
        <f>IF(E229="","",IF(E229&lt;=3,6,IF(E229&lt;=6,5,IF(E229&lt;=9,4,IF(E229&lt;=12,3,IF(E229&lt;=15,2,0))))))</f>
        <v/>
      </c>
      <c r="G229" s="3" t="n"/>
      <c r="H229" s="4">
        <f>IF(I229="Штраф -2",-2,IF(OR(F229="",G229=""),"",F229*G229+IF(J229="",0,J229)))</f>
        <v/>
      </c>
      <c r="I229" s="3" t="n"/>
      <c r="J229" s="3" t="n"/>
      <c r="K229" s="3" t="n"/>
    </row>
    <row r="230">
      <c r="A230" s="3" t="n"/>
      <c r="B230" s="3" t="n"/>
      <c r="C230" s="3" t="n"/>
      <c r="D230" s="3" t="n"/>
      <c r="E230" s="4">
        <f>IF(A230="","",COUNTIFS($A$4:A230,A230,$I$4:I230,"&lt;&gt;Штраф -2",$I$4:I230,"&lt;&gt;ушел на базу"))</f>
        <v/>
      </c>
      <c r="F230" s="4">
        <f>IF(E230="","",IF(E230&lt;=3,6,IF(E230&lt;=6,5,IF(E230&lt;=9,4,IF(E230&lt;=12,3,IF(E230&lt;=15,2,0))))))</f>
        <v/>
      </c>
      <c r="G230" s="3" t="n"/>
      <c r="H230" s="4">
        <f>IF(I230="Штраф -2",-2,IF(OR(F230="",G230=""),"",F230*G230+IF(J230="",0,J230)))</f>
        <v/>
      </c>
      <c r="I230" s="3" t="n"/>
      <c r="J230" s="3" t="n"/>
      <c r="K230" s="3" t="n"/>
    </row>
    <row r="231">
      <c r="A231" s="3" t="n"/>
      <c r="B231" s="3" t="n"/>
      <c r="C231" s="3" t="n"/>
      <c r="D231" s="3" t="n"/>
      <c r="E231" s="4">
        <f>IF(A231="","",COUNTIFS($A$4:A231,A231,$I$4:I231,"&lt;&gt;Штраф -2",$I$4:I231,"&lt;&gt;ушел на базу"))</f>
        <v/>
      </c>
      <c r="F231" s="4">
        <f>IF(E231="","",IF(E231&lt;=3,6,IF(E231&lt;=6,5,IF(E231&lt;=9,4,IF(E231&lt;=12,3,IF(E231&lt;=15,2,0))))))</f>
        <v/>
      </c>
      <c r="G231" s="3" t="n"/>
      <c r="H231" s="4">
        <f>IF(I231="Штраф -2",-2,IF(OR(F231="",G231=""),"",F231*G231+IF(J231="",0,J231)))</f>
        <v/>
      </c>
      <c r="I231" s="3" t="n"/>
      <c r="J231" s="3" t="n"/>
      <c r="K231" s="3" t="n"/>
    </row>
    <row r="232">
      <c r="A232" s="3" t="n"/>
      <c r="B232" s="3" t="n"/>
      <c r="C232" s="3" t="n"/>
      <c r="D232" s="3" t="n"/>
      <c r="E232" s="4">
        <f>IF(A232="","",COUNTIFS($A$4:A232,A232,$I$4:I232,"&lt;&gt;Штраф -2",$I$4:I232,"&lt;&gt;ушел на базу"))</f>
        <v/>
      </c>
      <c r="F232" s="4">
        <f>IF(E232="","",IF(E232&lt;=3,6,IF(E232&lt;=6,5,IF(E232&lt;=9,4,IF(E232&lt;=12,3,IF(E232&lt;=15,2,0))))))</f>
        <v/>
      </c>
      <c r="G232" s="3" t="n"/>
      <c r="H232" s="4">
        <f>IF(I232="Штраф -2",-2,IF(OR(F232="",G232=""),"",F232*G232+IF(J232="",0,J232)))</f>
        <v/>
      </c>
      <c r="I232" s="3" t="n"/>
      <c r="J232" s="3" t="n"/>
      <c r="K232" s="3" t="n"/>
    </row>
    <row r="233">
      <c r="A233" s="3" t="n"/>
      <c r="B233" s="3" t="n"/>
      <c r="C233" s="3" t="n"/>
      <c r="D233" s="3" t="n"/>
      <c r="E233" s="4">
        <f>IF(A233="","",COUNTIFS($A$4:A233,A233,$I$4:I233,"&lt;&gt;Штраф -2",$I$4:I233,"&lt;&gt;ушел на базу"))</f>
        <v/>
      </c>
      <c r="F233" s="4">
        <f>IF(E233="","",IF(E233&lt;=3,6,IF(E233&lt;=6,5,IF(E233&lt;=9,4,IF(E233&lt;=12,3,IF(E233&lt;=15,2,0))))))</f>
        <v/>
      </c>
      <c r="G233" s="3" t="n"/>
      <c r="H233" s="4">
        <f>IF(I233="Штраф -2",-2,IF(OR(F233="",G233=""),"",F233*G233+IF(J233="",0,J233)))</f>
        <v/>
      </c>
      <c r="I233" s="3" t="n"/>
      <c r="J233" s="3" t="n"/>
      <c r="K233" s="3" t="n"/>
    </row>
    <row r="234">
      <c r="A234" s="3" t="n"/>
      <c r="B234" s="3" t="n"/>
      <c r="C234" s="3" t="n"/>
      <c r="D234" s="3" t="n"/>
      <c r="E234" s="4">
        <f>IF(A234="","",COUNTIFS($A$4:A234,A234,$I$4:I234,"&lt;&gt;Штраф -2",$I$4:I234,"&lt;&gt;ушел на базу"))</f>
        <v/>
      </c>
      <c r="F234" s="4">
        <f>IF(E234="","",IF(E234&lt;=3,6,IF(E234&lt;=6,5,IF(E234&lt;=9,4,IF(E234&lt;=12,3,IF(E234&lt;=15,2,0))))))</f>
        <v/>
      </c>
      <c r="G234" s="3" t="n"/>
      <c r="H234" s="4">
        <f>IF(I234="Штраф -2",-2,IF(OR(F234="",G234=""),"",F234*G234+IF(J234="",0,J234)))</f>
        <v/>
      </c>
      <c r="I234" s="3" t="n"/>
      <c r="J234" s="3" t="n"/>
      <c r="K234" s="3" t="n"/>
    </row>
    <row r="235">
      <c r="A235" s="3" t="n"/>
      <c r="B235" s="3" t="n"/>
      <c r="C235" s="3" t="n"/>
      <c r="D235" s="3" t="n"/>
      <c r="E235" s="4">
        <f>IF(A235="","",COUNTIFS($A$4:A235,A235,$I$4:I235,"&lt;&gt;Штраф -2",$I$4:I235,"&lt;&gt;ушел на базу"))</f>
        <v/>
      </c>
      <c r="F235" s="4">
        <f>IF(E235="","",IF(E235&lt;=3,6,IF(E235&lt;=6,5,IF(E235&lt;=9,4,IF(E235&lt;=12,3,IF(E235&lt;=15,2,0))))))</f>
        <v/>
      </c>
      <c r="G235" s="3" t="n"/>
      <c r="H235" s="4">
        <f>IF(I235="Штраф -2",-2,IF(OR(F235="",G235=""),"",F235*G235+IF(J235="",0,J235)))</f>
        <v/>
      </c>
      <c r="I235" s="3" t="n"/>
      <c r="J235" s="3" t="n"/>
      <c r="K235" s="3" t="n"/>
    </row>
    <row r="236">
      <c r="A236" s="3" t="n"/>
      <c r="B236" s="3" t="n"/>
      <c r="C236" s="3" t="n"/>
      <c r="D236" s="3" t="n"/>
      <c r="E236" s="4">
        <f>IF(A236="","",COUNTIFS($A$4:A236,A236,$I$4:I236,"&lt;&gt;Штраф -2",$I$4:I236,"&lt;&gt;ушел на базу"))</f>
        <v/>
      </c>
      <c r="F236" s="4">
        <f>IF(E236="","",IF(E236&lt;=3,6,IF(E236&lt;=6,5,IF(E236&lt;=9,4,IF(E236&lt;=12,3,IF(E236&lt;=15,2,0))))))</f>
        <v/>
      </c>
      <c r="G236" s="3" t="n"/>
      <c r="H236" s="4">
        <f>IF(I236="Штраф -2",-2,IF(OR(F236="",G236=""),"",F236*G236+IF(J236="",0,J236)))</f>
        <v/>
      </c>
      <c r="I236" s="3" t="n"/>
      <c r="J236" s="3" t="n"/>
      <c r="K236" s="3" t="n"/>
    </row>
    <row r="237">
      <c r="A237" s="3" t="n"/>
      <c r="B237" s="3" t="n"/>
      <c r="C237" s="3" t="n"/>
      <c r="D237" s="3" t="n"/>
      <c r="E237" s="4">
        <f>IF(A237="","",COUNTIFS($A$4:A237,A237,$I$4:I237,"&lt;&gt;Штраф -2",$I$4:I237,"&lt;&gt;ушел на базу"))</f>
        <v/>
      </c>
      <c r="F237" s="4">
        <f>IF(E237="","",IF(E237&lt;=3,6,IF(E237&lt;=6,5,IF(E237&lt;=9,4,IF(E237&lt;=12,3,IF(E237&lt;=15,2,0))))))</f>
        <v/>
      </c>
      <c r="G237" s="3" t="n"/>
      <c r="H237" s="4">
        <f>IF(I237="Штраф -2",-2,IF(OR(F237="",G237=""),"",F237*G237+IF(J237="",0,J237)))</f>
        <v/>
      </c>
      <c r="I237" s="3" t="n"/>
      <c r="J237" s="3" t="n"/>
      <c r="K237" s="3" t="n"/>
    </row>
    <row r="238">
      <c r="A238" s="3" t="n"/>
      <c r="B238" s="3" t="n"/>
      <c r="C238" s="3" t="n"/>
      <c r="D238" s="3" t="n"/>
      <c r="E238" s="4">
        <f>IF(A238="","",COUNTIFS($A$4:A238,A238,$I$4:I238,"&lt;&gt;Штраф -2",$I$4:I238,"&lt;&gt;ушел на базу"))</f>
        <v/>
      </c>
      <c r="F238" s="4">
        <f>IF(E238="","",IF(E238&lt;=3,6,IF(E238&lt;=6,5,IF(E238&lt;=9,4,IF(E238&lt;=12,3,IF(E238&lt;=15,2,0))))))</f>
        <v/>
      </c>
      <c r="G238" s="3" t="n"/>
      <c r="H238" s="4">
        <f>IF(I238="Штраф -2",-2,IF(OR(F238="",G238=""),"",F238*G238+IF(J238="",0,J238)))</f>
        <v/>
      </c>
      <c r="I238" s="3" t="n"/>
      <c r="J238" s="3" t="n"/>
      <c r="K238" s="3" t="n"/>
    </row>
    <row r="239">
      <c r="A239" s="3" t="n"/>
      <c r="B239" s="3" t="n"/>
      <c r="C239" s="3" t="n"/>
      <c r="D239" s="3" t="n"/>
      <c r="E239" s="4">
        <f>IF(A239="","",COUNTIFS($A$4:A239,A239,$I$4:I239,"&lt;&gt;Штраф -2",$I$4:I239,"&lt;&gt;ушел на базу"))</f>
        <v/>
      </c>
      <c r="F239" s="4">
        <f>IF(E239="","",IF(E239&lt;=3,6,IF(E239&lt;=6,5,IF(E239&lt;=9,4,IF(E239&lt;=12,3,IF(E239&lt;=15,2,0))))))</f>
        <v/>
      </c>
      <c r="G239" s="3" t="n"/>
      <c r="H239" s="4">
        <f>IF(I239="Штраф -2",-2,IF(OR(F239="",G239=""),"",F239*G239+IF(J239="",0,J239)))</f>
        <v/>
      </c>
      <c r="I239" s="3" t="n"/>
      <c r="J239" s="3" t="n"/>
      <c r="K239" s="3" t="n"/>
    </row>
    <row r="240">
      <c r="A240" s="3" t="n"/>
      <c r="B240" s="3" t="n"/>
      <c r="C240" s="3" t="n"/>
      <c r="D240" s="3" t="n"/>
      <c r="E240" s="4">
        <f>IF(A240="","",COUNTIFS($A$4:A240,A240,$I$4:I240,"&lt;&gt;Штраф -2",$I$4:I240,"&lt;&gt;ушел на базу"))</f>
        <v/>
      </c>
      <c r="F240" s="4">
        <f>IF(E240="","",IF(E240&lt;=3,6,IF(E240&lt;=6,5,IF(E240&lt;=9,4,IF(E240&lt;=12,3,IF(E240&lt;=15,2,0))))))</f>
        <v/>
      </c>
      <c r="G240" s="3" t="n"/>
      <c r="H240" s="4">
        <f>IF(I240="Штраф -2",-2,IF(OR(F240="",G240=""),"",F240*G240+IF(J240="",0,J240)))</f>
        <v/>
      </c>
      <c r="I240" s="3" t="n"/>
      <c r="J240" s="3" t="n"/>
      <c r="K240" s="3" t="n"/>
    </row>
    <row r="241">
      <c r="A241" s="3" t="n"/>
      <c r="B241" s="3" t="n"/>
      <c r="C241" s="3" t="n"/>
      <c r="D241" s="3" t="n"/>
      <c r="E241" s="4">
        <f>IF(A241="","",COUNTIFS($A$4:A241,A241,$I$4:I241,"&lt;&gt;Штраф -2",$I$4:I241,"&lt;&gt;ушел на базу"))</f>
        <v/>
      </c>
      <c r="F241" s="4">
        <f>IF(E241="","",IF(E241&lt;=3,6,IF(E241&lt;=6,5,IF(E241&lt;=9,4,IF(E241&lt;=12,3,IF(E241&lt;=15,2,0))))))</f>
        <v/>
      </c>
      <c r="G241" s="3" t="n"/>
      <c r="H241" s="4">
        <f>IF(I241="Штраф -2",-2,IF(OR(F241="",G241=""),"",F241*G241+IF(J241="",0,J241)))</f>
        <v/>
      </c>
      <c r="I241" s="3" t="n"/>
      <c r="J241" s="3" t="n"/>
      <c r="K241" s="3" t="n"/>
    </row>
    <row r="242">
      <c r="A242" s="3" t="n"/>
      <c r="B242" s="3" t="n"/>
      <c r="C242" s="3" t="n"/>
      <c r="D242" s="3" t="n"/>
      <c r="E242" s="4">
        <f>IF(A242="","",COUNTIFS($A$4:A242,A242,$I$4:I242,"&lt;&gt;Штраф -2",$I$4:I242,"&lt;&gt;ушел на базу"))</f>
        <v/>
      </c>
      <c r="F242" s="4">
        <f>IF(E242="","",IF(E242&lt;=3,6,IF(E242&lt;=6,5,IF(E242&lt;=9,4,IF(E242&lt;=12,3,IF(E242&lt;=15,2,0))))))</f>
        <v/>
      </c>
      <c r="G242" s="3" t="n"/>
      <c r="H242" s="4">
        <f>IF(I242="Штраф -2",-2,IF(OR(F242="",G242=""),"",F242*G242+IF(J242="",0,J242)))</f>
        <v/>
      </c>
      <c r="I242" s="3" t="n"/>
      <c r="J242" s="3" t="n"/>
      <c r="K242" s="3" t="n"/>
    </row>
    <row r="243">
      <c r="A243" s="3" t="n"/>
      <c r="B243" s="3" t="n"/>
      <c r="C243" s="3" t="n"/>
      <c r="D243" s="3" t="n"/>
      <c r="E243" s="4">
        <f>IF(A243="","",COUNTIFS($A$4:A243,A243,$I$4:I243,"&lt;&gt;Штраф -2",$I$4:I243,"&lt;&gt;ушел на базу"))</f>
        <v/>
      </c>
      <c r="F243" s="4">
        <f>IF(E243="","",IF(E243&lt;=3,6,IF(E243&lt;=6,5,IF(E243&lt;=9,4,IF(E243&lt;=12,3,IF(E243&lt;=15,2,0))))))</f>
        <v/>
      </c>
      <c r="G243" s="3" t="n"/>
      <c r="H243" s="4">
        <f>IF(I243="Штраф -2",-2,IF(OR(F243="",G243=""),"",F243*G243+IF(J243="",0,J243)))</f>
        <v/>
      </c>
      <c r="I243" s="3" t="n"/>
      <c r="J243" s="3" t="n"/>
      <c r="K243" s="3" t="n"/>
    </row>
    <row r="244">
      <c r="A244" s="3" t="n"/>
      <c r="B244" s="3" t="n"/>
      <c r="C244" s="3" t="n"/>
      <c r="D244" s="3" t="n"/>
      <c r="E244" s="4">
        <f>IF(A244="","",COUNTIFS($A$4:A244,A244,$I$4:I244,"&lt;&gt;Штраф -2",$I$4:I244,"&lt;&gt;ушел на базу"))</f>
        <v/>
      </c>
      <c r="F244" s="4">
        <f>IF(E244="","",IF(E244&lt;=3,6,IF(E244&lt;=6,5,IF(E244&lt;=9,4,IF(E244&lt;=12,3,IF(E244&lt;=15,2,0))))))</f>
        <v/>
      </c>
      <c r="G244" s="3" t="n"/>
      <c r="H244" s="4">
        <f>IF(I244="Штраф -2",-2,IF(OR(F244="",G244=""),"",F244*G244+IF(J244="",0,J244)))</f>
        <v/>
      </c>
      <c r="I244" s="3" t="n"/>
      <c r="J244" s="3" t="n"/>
      <c r="K244" s="3" t="n"/>
    </row>
    <row r="245">
      <c r="A245" s="3" t="n"/>
      <c r="B245" s="3" t="n"/>
      <c r="C245" s="3" t="n"/>
      <c r="D245" s="3" t="n"/>
      <c r="E245" s="4">
        <f>IF(A245="","",COUNTIFS($A$4:A245,A245,$I$4:I245,"&lt;&gt;Штраф -2",$I$4:I245,"&lt;&gt;ушел на базу"))</f>
        <v/>
      </c>
      <c r="F245" s="4">
        <f>IF(E245="","",IF(E245&lt;=3,6,IF(E245&lt;=6,5,IF(E245&lt;=9,4,IF(E245&lt;=12,3,IF(E245&lt;=15,2,0))))))</f>
        <v/>
      </c>
      <c r="G245" s="3" t="n"/>
      <c r="H245" s="4">
        <f>IF(I245="Штраф -2",-2,IF(OR(F245="",G245=""),"",F245*G245+IF(J245="",0,J245)))</f>
        <v/>
      </c>
      <c r="I245" s="3" t="n"/>
      <c r="J245" s="3" t="n"/>
      <c r="K245" s="3" t="n"/>
    </row>
    <row r="246">
      <c r="A246" s="3" t="n"/>
      <c r="B246" s="3" t="n"/>
      <c r="C246" s="3" t="n"/>
      <c r="D246" s="3" t="n"/>
      <c r="E246" s="4">
        <f>IF(A246="","",COUNTIFS($A$4:A246,A246,$I$4:I246,"&lt;&gt;Штраф -2",$I$4:I246,"&lt;&gt;ушел на базу"))</f>
        <v/>
      </c>
      <c r="F246" s="4">
        <f>IF(E246="","",IF(E246&lt;=3,6,IF(E246&lt;=6,5,IF(E246&lt;=9,4,IF(E246&lt;=12,3,IF(E246&lt;=15,2,0))))))</f>
        <v/>
      </c>
      <c r="G246" s="3" t="n"/>
      <c r="H246" s="4">
        <f>IF(I246="Штраф -2",-2,IF(OR(F246="",G246=""),"",F246*G246+IF(J246="",0,J246)))</f>
        <v/>
      </c>
      <c r="I246" s="3" t="n"/>
      <c r="J246" s="3" t="n"/>
      <c r="K246" s="3" t="n"/>
    </row>
    <row r="247">
      <c r="A247" s="3" t="n"/>
      <c r="B247" s="3" t="n"/>
      <c r="C247" s="3" t="n"/>
      <c r="D247" s="3" t="n"/>
      <c r="E247" s="4">
        <f>IF(A247="","",COUNTIFS($A$4:A247,A247,$I$4:I247,"&lt;&gt;Штраф -2",$I$4:I247,"&lt;&gt;ушел на базу"))</f>
        <v/>
      </c>
      <c r="F247" s="4">
        <f>IF(E247="","",IF(E247&lt;=3,6,IF(E247&lt;=6,5,IF(E247&lt;=9,4,IF(E247&lt;=12,3,IF(E247&lt;=15,2,0))))))</f>
        <v/>
      </c>
      <c r="G247" s="3" t="n"/>
      <c r="H247" s="4">
        <f>IF(I247="Штраф -2",-2,IF(OR(F247="",G247=""),"",F247*G247+IF(J247="",0,J247)))</f>
        <v/>
      </c>
      <c r="I247" s="3" t="n"/>
      <c r="J247" s="3" t="n"/>
      <c r="K247" s="3" t="n"/>
    </row>
    <row r="248">
      <c r="A248" s="3" t="n"/>
      <c r="B248" s="3" t="n"/>
      <c r="C248" s="3" t="n"/>
      <c r="D248" s="3" t="n"/>
      <c r="E248" s="4">
        <f>IF(A248="","",COUNTIFS($A$4:A248,A248,$I$4:I248,"&lt;&gt;Штраф -2",$I$4:I248,"&lt;&gt;ушел на базу"))</f>
        <v/>
      </c>
      <c r="F248" s="4">
        <f>IF(E248="","",IF(E248&lt;=3,6,IF(E248&lt;=6,5,IF(E248&lt;=9,4,IF(E248&lt;=12,3,IF(E248&lt;=15,2,0))))))</f>
        <v/>
      </c>
      <c r="G248" s="3" t="n"/>
      <c r="H248" s="4">
        <f>IF(I248="Штраф -2",-2,IF(OR(F248="",G248=""),"",F248*G248+IF(J248="",0,J248)))</f>
        <v/>
      </c>
      <c r="I248" s="3" t="n"/>
      <c r="J248" s="3" t="n"/>
      <c r="K248" s="3" t="n"/>
    </row>
    <row r="249">
      <c r="A249" s="3" t="n"/>
      <c r="B249" s="3" t="n"/>
      <c r="C249" s="3" t="n"/>
      <c r="D249" s="3" t="n"/>
      <c r="E249" s="4">
        <f>IF(A249="","",COUNTIFS($A$4:A249,A249,$I$4:I249,"&lt;&gt;Штраф -2",$I$4:I249,"&lt;&gt;ушел на базу"))</f>
        <v/>
      </c>
      <c r="F249" s="4">
        <f>IF(E249="","",IF(E249&lt;=3,6,IF(E249&lt;=6,5,IF(E249&lt;=9,4,IF(E249&lt;=12,3,IF(E249&lt;=15,2,0))))))</f>
        <v/>
      </c>
      <c r="G249" s="3" t="n"/>
      <c r="H249" s="4">
        <f>IF(I249="Штраф -2",-2,IF(OR(F249="",G249=""),"",F249*G249+IF(J249="",0,J249)))</f>
        <v/>
      </c>
      <c r="I249" s="3" t="n"/>
      <c r="J249" s="3" t="n"/>
      <c r="K249" s="3" t="n"/>
    </row>
    <row r="250">
      <c r="A250" s="3" t="n"/>
      <c r="B250" s="3" t="n"/>
      <c r="C250" s="3" t="n"/>
      <c r="D250" s="3" t="n"/>
      <c r="E250" s="4">
        <f>IF(A250="","",COUNTIFS($A$4:A250,A250,$I$4:I250,"&lt;&gt;Штраф -2",$I$4:I250,"&lt;&gt;ушел на базу"))</f>
        <v/>
      </c>
      <c r="F250" s="4">
        <f>IF(E250="","",IF(E250&lt;=3,6,IF(E250&lt;=6,5,IF(E250&lt;=9,4,IF(E250&lt;=12,3,IF(E250&lt;=15,2,0))))))</f>
        <v/>
      </c>
      <c r="G250" s="3" t="n"/>
      <c r="H250" s="4">
        <f>IF(I250="Штраф -2",-2,IF(OR(F250="",G250=""),"",F250*G250+IF(J250="",0,J250)))</f>
        <v/>
      </c>
      <c r="I250" s="3" t="n"/>
      <c r="J250" s="3" t="n"/>
      <c r="K250" s="3" t="n"/>
    </row>
    <row r="251">
      <c r="A251" s="3" t="n"/>
      <c r="B251" s="3" t="n"/>
      <c r="C251" s="3" t="n"/>
      <c r="D251" s="3" t="n"/>
      <c r="E251" s="4">
        <f>IF(A251="","",COUNTIFS($A$4:A251,A251,$I$4:I251,"&lt;&gt;Штраф -2",$I$4:I251,"&lt;&gt;ушел на базу"))</f>
        <v/>
      </c>
      <c r="F251" s="4">
        <f>IF(E251="","",IF(E251&lt;=3,6,IF(E251&lt;=6,5,IF(E251&lt;=9,4,IF(E251&lt;=12,3,IF(E251&lt;=15,2,0))))))</f>
        <v/>
      </c>
      <c r="G251" s="3" t="n"/>
      <c r="H251" s="4">
        <f>IF(I251="Штраф -2",-2,IF(OR(F251="",G251=""),"",F251*G251+IF(J251="",0,J251)))</f>
        <v/>
      </c>
      <c r="I251" s="3" t="n"/>
      <c r="J251" s="3" t="n"/>
      <c r="K251" s="3" t="n"/>
    </row>
    <row r="252">
      <c r="A252" s="3" t="n"/>
      <c r="B252" s="3" t="n"/>
      <c r="C252" s="3" t="n"/>
      <c r="D252" s="3" t="n"/>
      <c r="E252" s="4">
        <f>IF(A252="","",COUNTIFS($A$4:A252,A252,$I$4:I252,"&lt;&gt;Штраф -2",$I$4:I252,"&lt;&gt;ушел на базу"))</f>
        <v/>
      </c>
      <c r="F252" s="4">
        <f>IF(E252="","",IF(E252&lt;=3,6,IF(E252&lt;=6,5,IF(E252&lt;=9,4,IF(E252&lt;=12,3,IF(E252&lt;=15,2,0))))))</f>
        <v/>
      </c>
      <c r="G252" s="3" t="n"/>
      <c r="H252" s="4">
        <f>IF(I252="Штраф -2",-2,IF(OR(F252="",G252=""),"",F252*G252+IF(J252="",0,J252)))</f>
        <v/>
      </c>
      <c r="I252" s="3" t="n"/>
      <c r="J252" s="3" t="n"/>
      <c r="K252" s="3" t="n"/>
    </row>
    <row r="253">
      <c r="A253" s="3" t="n"/>
      <c r="B253" s="3" t="n"/>
      <c r="C253" s="3" t="n"/>
      <c r="D253" s="3" t="n"/>
      <c r="E253" s="4">
        <f>IF(A253="","",COUNTIFS($A$4:A253,A253,$I$4:I253,"&lt;&gt;Штраф -2",$I$4:I253,"&lt;&gt;ушел на базу"))</f>
        <v/>
      </c>
      <c r="F253" s="4">
        <f>IF(E253="","",IF(E253&lt;=3,6,IF(E253&lt;=6,5,IF(E253&lt;=9,4,IF(E253&lt;=12,3,IF(E253&lt;=15,2,0))))))</f>
        <v/>
      </c>
      <c r="G253" s="3" t="n"/>
      <c r="H253" s="4">
        <f>IF(I253="Штраф -2",-2,IF(OR(F253="",G253=""),"",F253*G253+IF(J253="",0,J253)))</f>
        <v/>
      </c>
      <c r="I253" s="3" t="n"/>
      <c r="J253" s="3" t="n"/>
      <c r="K253" s="3" t="n"/>
    </row>
    <row r="254">
      <c r="A254" s="3" t="n"/>
      <c r="B254" s="3" t="n"/>
      <c r="C254" s="3" t="n"/>
      <c r="D254" s="3" t="n"/>
      <c r="E254" s="4">
        <f>IF(A254="","",COUNTIFS($A$4:A254,A254,$I$4:I254,"&lt;&gt;Штраф -2",$I$4:I254,"&lt;&gt;ушел на базу"))</f>
        <v/>
      </c>
      <c r="F254" s="4">
        <f>IF(E254="","",IF(E254&lt;=3,6,IF(E254&lt;=6,5,IF(E254&lt;=9,4,IF(E254&lt;=12,3,IF(E254&lt;=15,2,0))))))</f>
        <v/>
      </c>
      <c r="G254" s="3" t="n"/>
      <c r="H254" s="4">
        <f>IF(I254="Штраф -2",-2,IF(OR(F254="",G254=""),"",F254*G254+IF(J254="",0,J254)))</f>
        <v/>
      </c>
      <c r="I254" s="3" t="n"/>
      <c r="J254" s="3" t="n"/>
      <c r="K254" s="3" t="n"/>
    </row>
    <row r="255">
      <c r="A255" s="3" t="n"/>
      <c r="B255" s="3" t="n"/>
      <c r="C255" s="3" t="n"/>
      <c r="D255" s="3" t="n"/>
      <c r="E255" s="4">
        <f>IF(A255="","",COUNTIFS($A$4:A255,A255,$I$4:I255,"&lt;&gt;Штраф -2",$I$4:I255,"&lt;&gt;ушел на базу"))</f>
        <v/>
      </c>
      <c r="F255" s="4">
        <f>IF(E255="","",IF(E255&lt;=3,6,IF(E255&lt;=6,5,IF(E255&lt;=9,4,IF(E255&lt;=12,3,IF(E255&lt;=15,2,0))))))</f>
        <v/>
      </c>
      <c r="G255" s="3" t="n"/>
      <c r="H255" s="4">
        <f>IF(I255="Штраф -2",-2,IF(OR(F255="",G255=""),"",F255*G255+IF(J255="",0,J255)))</f>
        <v/>
      </c>
      <c r="I255" s="3" t="n"/>
      <c r="J255" s="3" t="n"/>
      <c r="K255" s="3" t="n"/>
    </row>
    <row r="256">
      <c r="A256" s="3" t="n"/>
      <c r="B256" s="3" t="n"/>
      <c r="C256" s="3" t="n"/>
      <c r="D256" s="3" t="n"/>
      <c r="E256" s="4">
        <f>IF(A256="","",COUNTIFS($A$4:A256,A256,$I$4:I256,"&lt;&gt;Штраф -2",$I$4:I256,"&lt;&gt;ушел на базу"))</f>
        <v/>
      </c>
      <c r="F256" s="4">
        <f>IF(E256="","",IF(E256&lt;=3,6,IF(E256&lt;=6,5,IF(E256&lt;=9,4,IF(E256&lt;=12,3,IF(E256&lt;=15,2,0))))))</f>
        <v/>
      </c>
      <c r="G256" s="3" t="n"/>
      <c r="H256" s="4">
        <f>IF(I256="Штраф -2",-2,IF(OR(F256="",G256=""),"",F256*G256+IF(J256="",0,J256)))</f>
        <v/>
      </c>
      <c r="I256" s="3" t="n"/>
      <c r="J256" s="3" t="n"/>
      <c r="K256" s="3" t="n"/>
    </row>
    <row r="257">
      <c r="A257" s="3" t="n"/>
      <c r="B257" s="3" t="n"/>
      <c r="C257" s="3" t="n"/>
      <c r="D257" s="3" t="n"/>
      <c r="E257" s="4">
        <f>IF(A257="","",COUNTIFS($A$4:A257,A257,$I$4:I257,"&lt;&gt;Штраф -2",$I$4:I257,"&lt;&gt;ушел на базу"))</f>
        <v/>
      </c>
      <c r="F257" s="4">
        <f>IF(E257="","",IF(E257&lt;=3,6,IF(E257&lt;=6,5,IF(E257&lt;=9,4,IF(E257&lt;=12,3,IF(E257&lt;=15,2,0))))))</f>
        <v/>
      </c>
      <c r="G257" s="3" t="n"/>
      <c r="H257" s="4">
        <f>IF(I257="Штраф -2",-2,IF(OR(F257="",G257=""),"",F257*G257+IF(J257="",0,J257)))</f>
        <v/>
      </c>
      <c r="I257" s="3" t="n"/>
      <c r="J257" s="3" t="n"/>
      <c r="K257" s="3" t="n"/>
    </row>
    <row r="258">
      <c r="A258" s="3" t="n"/>
      <c r="B258" s="3" t="n"/>
      <c r="C258" s="3" t="n"/>
      <c r="D258" s="3" t="n"/>
      <c r="E258" s="4">
        <f>IF(A258="","",COUNTIFS($A$4:A258,A258,$I$4:I258,"&lt;&gt;Штраф -2",$I$4:I258,"&lt;&gt;ушел на базу"))</f>
        <v/>
      </c>
      <c r="F258" s="4">
        <f>IF(E258="","",IF(E258&lt;=3,6,IF(E258&lt;=6,5,IF(E258&lt;=9,4,IF(E258&lt;=12,3,IF(E258&lt;=15,2,0))))))</f>
        <v/>
      </c>
      <c r="G258" s="3" t="n"/>
      <c r="H258" s="4">
        <f>IF(I258="Штраф -2",-2,IF(OR(F258="",G258=""),"",F258*G258+IF(J258="",0,J258)))</f>
        <v/>
      </c>
      <c r="I258" s="3" t="n"/>
      <c r="J258" s="3" t="n"/>
      <c r="K258" s="3" t="n"/>
    </row>
    <row r="259">
      <c r="A259" s="3" t="n"/>
      <c r="B259" s="3" t="n"/>
      <c r="C259" s="3" t="n"/>
      <c r="D259" s="3" t="n"/>
      <c r="E259" s="4">
        <f>IF(A259="","",COUNTIFS($A$4:A259,A259,$I$4:I259,"&lt;&gt;Штраф -2",$I$4:I259,"&lt;&gt;ушел на базу"))</f>
        <v/>
      </c>
      <c r="F259" s="4">
        <f>IF(E259="","",IF(E259&lt;=3,6,IF(E259&lt;=6,5,IF(E259&lt;=9,4,IF(E259&lt;=12,3,IF(E259&lt;=15,2,0))))))</f>
        <v/>
      </c>
      <c r="G259" s="3" t="n"/>
      <c r="H259" s="4">
        <f>IF(I259="Штраф -2",-2,IF(OR(F259="",G259=""),"",F259*G259+IF(J259="",0,J259)))</f>
        <v/>
      </c>
      <c r="I259" s="3" t="n"/>
      <c r="J259" s="3" t="n"/>
      <c r="K259" s="3" t="n"/>
    </row>
    <row r="260">
      <c r="A260" s="3" t="n"/>
      <c r="B260" s="3" t="n"/>
      <c r="C260" s="3" t="n"/>
      <c r="D260" s="3" t="n"/>
      <c r="E260" s="4">
        <f>IF(A260="","",COUNTIFS($A$4:A260,A260,$I$4:I260,"&lt;&gt;Штраф -2",$I$4:I260,"&lt;&gt;ушел на базу"))</f>
        <v/>
      </c>
      <c r="F260" s="4">
        <f>IF(E260="","",IF(E260&lt;=3,6,IF(E260&lt;=6,5,IF(E260&lt;=9,4,IF(E260&lt;=12,3,IF(E260&lt;=15,2,0))))))</f>
        <v/>
      </c>
      <c r="G260" s="3" t="n"/>
      <c r="H260" s="4">
        <f>IF(I260="Штраф -2",-2,IF(OR(F260="",G260=""),"",F260*G260+IF(J260="",0,J260)))</f>
        <v/>
      </c>
      <c r="I260" s="3" t="n"/>
      <c r="J260" s="3" t="n"/>
      <c r="K260" s="3" t="n"/>
    </row>
    <row r="261">
      <c r="A261" s="3" t="n"/>
      <c r="B261" s="3" t="n"/>
      <c r="C261" s="3" t="n"/>
      <c r="D261" s="3" t="n"/>
      <c r="E261" s="4">
        <f>IF(A261="","",COUNTIFS($A$4:A261,A261,$I$4:I261,"&lt;&gt;Штраф -2",$I$4:I261,"&lt;&gt;ушел на базу"))</f>
        <v/>
      </c>
      <c r="F261" s="4">
        <f>IF(E261="","",IF(E261&lt;=3,6,IF(E261&lt;=6,5,IF(E261&lt;=9,4,IF(E261&lt;=12,3,IF(E261&lt;=15,2,0))))))</f>
        <v/>
      </c>
      <c r="G261" s="3" t="n"/>
      <c r="H261" s="4">
        <f>IF(I261="Штраф -2",-2,IF(OR(F261="",G261=""),"",F261*G261+IF(J261="",0,J261)))</f>
        <v/>
      </c>
      <c r="I261" s="3" t="n"/>
      <c r="J261" s="3" t="n"/>
      <c r="K261" s="3" t="n"/>
    </row>
    <row r="262">
      <c r="A262" s="3" t="n"/>
      <c r="B262" s="3" t="n"/>
      <c r="C262" s="3" t="n"/>
      <c r="D262" s="3" t="n"/>
      <c r="E262" s="4">
        <f>IF(A262="","",COUNTIFS($A$4:A262,A262,$I$4:I262,"&lt;&gt;Штраф -2",$I$4:I262,"&lt;&gt;ушел на базу"))</f>
        <v/>
      </c>
      <c r="F262" s="4">
        <f>IF(E262="","",IF(E262&lt;=3,6,IF(E262&lt;=6,5,IF(E262&lt;=9,4,IF(E262&lt;=12,3,IF(E262&lt;=15,2,0))))))</f>
        <v/>
      </c>
      <c r="G262" s="3" t="n"/>
      <c r="H262" s="4">
        <f>IF(I262="Штраф -2",-2,IF(OR(F262="",G262=""),"",F262*G262+IF(J262="",0,J262)))</f>
        <v/>
      </c>
      <c r="I262" s="3" t="n"/>
      <c r="J262" s="3" t="n"/>
      <c r="K262" s="3" t="n"/>
    </row>
    <row r="263">
      <c r="A263" s="3" t="n"/>
      <c r="B263" s="3" t="n"/>
      <c r="C263" s="3" t="n"/>
      <c r="D263" s="3" t="n"/>
      <c r="E263" s="4">
        <f>IF(A263="","",COUNTIFS($A$4:A263,A263,$I$4:I263,"&lt;&gt;Штраф -2",$I$4:I263,"&lt;&gt;ушел на базу"))</f>
        <v/>
      </c>
      <c r="F263" s="4">
        <f>IF(E263="","",IF(E263&lt;=3,6,IF(E263&lt;=6,5,IF(E263&lt;=9,4,IF(E263&lt;=12,3,IF(E263&lt;=15,2,0))))))</f>
        <v/>
      </c>
      <c r="G263" s="3" t="n"/>
      <c r="H263" s="4">
        <f>IF(I263="Штраф -2",-2,IF(OR(F263="",G263=""),"",F263*G263+IF(J263="",0,J263)))</f>
        <v/>
      </c>
      <c r="I263" s="3" t="n"/>
      <c r="J263" s="3" t="n"/>
      <c r="K263" s="3" t="n"/>
    </row>
    <row r="264">
      <c r="A264" s="3" t="n"/>
      <c r="B264" s="3" t="n"/>
      <c r="C264" s="3" t="n"/>
      <c r="D264" s="3" t="n"/>
      <c r="E264" s="4">
        <f>IF(A264="","",COUNTIFS($A$4:A264,A264,$I$4:I264,"&lt;&gt;Штраф -2",$I$4:I264,"&lt;&gt;ушел на базу"))</f>
        <v/>
      </c>
      <c r="F264" s="4">
        <f>IF(E264="","",IF(E264&lt;=3,6,IF(E264&lt;=6,5,IF(E264&lt;=9,4,IF(E264&lt;=12,3,IF(E264&lt;=15,2,0))))))</f>
        <v/>
      </c>
      <c r="G264" s="3" t="n"/>
      <c r="H264" s="4">
        <f>IF(I264="Штраф -2",-2,IF(OR(F264="",G264=""),"",F264*G264+IF(J264="",0,J264)))</f>
        <v/>
      </c>
      <c r="I264" s="3" t="n"/>
      <c r="J264" s="3" t="n"/>
      <c r="K264" s="3" t="n"/>
    </row>
    <row r="265">
      <c r="A265" s="3" t="n"/>
      <c r="B265" s="3" t="n"/>
      <c r="C265" s="3" t="n"/>
      <c r="D265" s="3" t="n"/>
      <c r="E265" s="4">
        <f>IF(A265="","",COUNTIFS($A$4:A265,A265,$I$4:I265,"&lt;&gt;Штраф -2",$I$4:I265,"&lt;&gt;ушел на базу"))</f>
        <v/>
      </c>
      <c r="F265" s="4">
        <f>IF(E265="","",IF(E265&lt;=3,6,IF(E265&lt;=6,5,IF(E265&lt;=9,4,IF(E265&lt;=12,3,IF(E265&lt;=15,2,0))))))</f>
        <v/>
      </c>
      <c r="G265" s="3" t="n"/>
      <c r="H265" s="4">
        <f>IF(I265="Штраф -2",-2,IF(OR(F265="",G265=""),"",F265*G265+IF(J265="",0,J265)))</f>
        <v/>
      </c>
      <c r="I265" s="3" t="n"/>
      <c r="J265" s="3" t="n"/>
      <c r="K265" s="3" t="n"/>
    </row>
    <row r="266">
      <c r="A266" s="3" t="n"/>
      <c r="B266" s="3" t="n"/>
      <c r="C266" s="3" t="n"/>
      <c r="D266" s="3" t="n"/>
      <c r="E266" s="4">
        <f>IF(A266="","",COUNTIFS($A$4:A266,A266,$I$4:I266,"&lt;&gt;Штраф -2",$I$4:I266,"&lt;&gt;ушел на базу"))</f>
        <v/>
      </c>
      <c r="F266" s="4">
        <f>IF(E266="","",IF(E266&lt;=3,6,IF(E266&lt;=6,5,IF(E266&lt;=9,4,IF(E266&lt;=12,3,IF(E266&lt;=15,2,0))))))</f>
        <v/>
      </c>
      <c r="G266" s="3" t="n"/>
      <c r="H266" s="4">
        <f>IF(I266="Штраф -2",-2,IF(OR(F266="",G266=""),"",F266*G266+IF(J266="",0,J266)))</f>
        <v/>
      </c>
      <c r="I266" s="3" t="n"/>
      <c r="J266" s="3" t="n"/>
      <c r="K266" s="3" t="n"/>
    </row>
    <row r="267">
      <c r="A267" s="3" t="n"/>
      <c r="B267" s="3" t="n"/>
      <c r="C267" s="3" t="n"/>
      <c r="D267" s="3" t="n"/>
      <c r="E267" s="4">
        <f>IF(A267="","",COUNTIFS($A$4:A267,A267,$I$4:I267,"&lt;&gt;Штраф -2",$I$4:I267,"&lt;&gt;ушел на базу"))</f>
        <v/>
      </c>
      <c r="F267" s="4">
        <f>IF(E267="","",IF(E267&lt;=3,6,IF(E267&lt;=6,5,IF(E267&lt;=9,4,IF(E267&lt;=12,3,IF(E267&lt;=15,2,0))))))</f>
        <v/>
      </c>
      <c r="G267" s="3" t="n"/>
      <c r="H267" s="4">
        <f>IF(I267="Штраф -2",-2,IF(OR(F267="",G267=""),"",F267*G267+IF(J267="",0,J267)))</f>
        <v/>
      </c>
      <c r="I267" s="3" t="n"/>
      <c r="J267" s="3" t="n"/>
      <c r="K267" s="3" t="n"/>
    </row>
    <row r="268">
      <c r="A268" s="3" t="n"/>
      <c r="B268" s="3" t="n"/>
      <c r="C268" s="3" t="n"/>
      <c r="D268" s="3" t="n"/>
      <c r="E268" s="4">
        <f>IF(A268="","",COUNTIFS($A$4:A268,A268,$I$4:I268,"&lt;&gt;Штраф -2",$I$4:I268,"&lt;&gt;ушел на базу"))</f>
        <v/>
      </c>
      <c r="F268" s="4">
        <f>IF(E268="","",IF(E268&lt;=3,6,IF(E268&lt;=6,5,IF(E268&lt;=9,4,IF(E268&lt;=12,3,IF(E268&lt;=15,2,0))))))</f>
        <v/>
      </c>
      <c r="G268" s="3" t="n"/>
      <c r="H268" s="4">
        <f>IF(I268="Штраф -2",-2,IF(OR(F268="",G268=""),"",F268*G268+IF(J268="",0,J268)))</f>
        <v/>
      </c>
      <c r="I268" s="3" t="n"/>
      <c r="J268" s="3" t="n"/>
      <c r="K268" s="3" t="n"/>
    </row>
    <row r="269">
      <c r="A269" s="3" t="n"/>
      <c r="B269" s="3" t="n"/>
      <c r="C269" s="3" t="n"/>
      <c r="D269" s="3" t="n"/>
      <c r="E269" s="4">
        <f>IF(A269="","",COUNTIFS($A$4:A269,A269,$I$4:I269,"&lt;&gt;Штраф -2",$I$4:I269,"&lt;&gt;ушел на базу"))</f>
        <v/>
      </c>
      <c r="F269" s="4">
        <f>IF(E269="","",IF(E269&lt;=3,6,IF(E269&lt;=6,5,IF(E269&lt;=9,4,IF(E269&lt;=12,3,IF(E269&lt;=15,2,0))))))</f>
        <v/>
      </c>
      <c r="G269" s="3" t="n"/>
      <c r="H269" s="4">
        <f>IF(I269="Штраф -2",-2,IF(OR(F269="",G269=""),"",F269*G269+IF(J269="",0,J269)))</f>
        <v/>
      </c>
      <c r="I269" s="3" t="n"/>
      <c r="J269" s="3" t="n"/>
      <c r="K269" s="3" t="n"/>
    </row>
    <row r="270">
      <c r="A270" s="3" t="n"/>
      <c r="B270" s="3" t="n"/>
      <c r="C270" s="3" t="n"/>
      <c r="D270" s="3" t="n"/>
      <c r="E270" s="4">
        <f>IF(A270="","",COUNTIFS($A$4:A270,A270,$I$4:I270,"&lt;&gt;Штраф -2",$I$4:I270,"&lt;&gt;ушел на базу"))</f>
        <v/>
      </c>
      <c r="F270" s="4">
        <f>IF(E270="","",IF(E270&lt;=3,6,IF(E270&lt;=6,5,IF(E270&lt;=9,4,IF(E270&lt;=12,3,IF(E270&lt;=15,2,0))))))</f>
        <v/>
      </c>
      <c r="G270" s="3" t="n"/>
      <c r="H270" s="4">
        <f>IF(I270="Штраф -2",-2,IF(OR(F270="",G270=""),"",F270*G270+IF(J270="",0,J270)))</f>
        <v/>
      </c>
      <c r="I270" s="3" t="n"/>
      <c r="J270" s="3" t="n"/>
      <c r="K270" s="3" t="n"/>
    </row>
    <row r="271">
      <c r="A271" s="3" t="n"/>
      <c r="B271" s="3" t="n"/>
      <c r="C271" s="3" t="n"/>
      <c r="D271" s="3" t="n"/>
      <c r="E271" s="4">
        <f>IF(A271="","",COUNTIFS($A$4:A271,A271,$I$4:I271,"&lt;&gt;Штраф -2",$I$4:I271,"&lt;&gt;ушел на базу"))</f>
        <v/>
      </c>
      <c r="F271" s="4">
        <f>IF(E271="","",IF(E271&lt;=3,6,IF(E271&lt;=6,5,IF(E271&lt;=9,4,IF(E271&lt;=12,3,IF(E271&lt;=15,2,0))))))</f>
        <v/>
      </c>
      <c r="G271" s="3" t="n"/>
      <c r="H271" s="4">
        <f>IF(I271="Штраф -2",-2,IF(OR(F271="",G271=""),"",F271*G271+IF(J271="",0,J271)))</f>
        <v/>
      </c>
      <c r="I271" s="3" t="n"/>
      <c r="J271" s="3" t="n"/>
      <c r="K271" s="3" t="n"/>
    </row>
    <row r="272">
      <c r="A272" s="3" t="n"/>
      <c r="B272" s="3" t="n"/>
      <c r="C272" s="3" t="n"/>
      <c r="D272" s="3" t="n"/>
      <c r="E272" s="4">
        <f>IF(A272="","",COUNTIFS($A$4:A272,A272,$I$4:I272,"&lt;&gt;Штраф -2",$I$4:I272,"&lt;&gt;ушел на базу"))</f>
        <v/>
      </c>
      <c r="F272" s="4">
        <f>IF(E272="","",IF(E272&lt;=3,6,IF(E272&lt;=6,5,IF(E272&lt;=9,4,IF(E272&lt;=12,3,IF(E272&lt;=15,2,0))))))</f>
        <v/>
      </c>
      <c r="G272" s="3" t="n"/>
      <c r="H272" s="4">
        <f>IF(I272="Штраф -2",-2,IF(OR(F272="",G272=""),"",F272*G272+IF(J272="",0,J272)))</f>
        <v/>
      </c>
      <c r="I272" s="3" t="n"/>
      <c r="J272" s="3" t="n"/>
      <c r="K272" s="3" t="n"/>
    </row>
    <row r="273">
      <c r="A273" s="3" t="n"/>
      <c r="B273" s="3" t="n"/>
      <c r="C273" s="3" t="n"/>
      <c r="D273" s="3" t="n"/>
      <c r="E273" s="4">
        <f>IF(A273="","",COUNTIFS($A$4:A273,A273,$I$4:I273,"&lt;&gt;Штраф -2",$I$4:I273,"&lt;&gt;ушел на базу"))</f>
        <v/>
      </c>
      <c r="F273" s="4">
        <f>IF(E273="","",IF(E273&lt;=3,6,IF(E273&lt;=6,5,IF(E273&lt;=9,4,IF(E273&lt;=12,3,IF(E273&lt;=15,2,0))))))</f>
        <v/>
      </c>
      <c r="G273" s="3" t="n"/>
      <c r="H273" s="4">
        <f>IF(I273="Штраф -2",-2,IF(OR(F273="",G273=""),"",F273*G273+IF(J273="",0,J273)))</f>
        <v/>
      </c>
      <c r="I273" s="3" t="n"/>
      <c r="J273" s="3" t="n"/>
      <c r="K273" s="3" t="n"/>
    </row>
    <row r="274">
      <c r="A274" s="3" t="n"/>
      <c r="B274" s="3" t="n"/>
      <c r="C274" s="3" t="n"/>
      <c r="D274" s="3" t="n"/>
      <c r="E274" s="4">
        <f>IF(A274="","",COUNTIFS($A$4:A274,A274,$I$4:I274,"&lt;&gt;Штраф -2",$I$4:I274,"&lt;&gt;ушел на базу"))</f>
        <v/>
      </c>
      <c r="F274" s="4">
        <f>IF(E274="","",IF(E274&lt;=3,6,IF(E274&lt;=6,5,IF(E274&lt;=9,4,IF(E274&lt;=12,3,IF(E274&lt;=15,2,0))))))</f>
        <v/>
      </c>
      <c r="G274" s="3" t="n"/>
      <c r="H274" s="4">
        <f>IF(I274="Штраф -2",-2,IF(OR(F274="",G274=""),"",F274*G274+IF(J274="",0,J274)))</f>
        <v/>
      </c>
      <c r="I274" s="3" t="n"/>
      <c r="J274" s="3" t="n"/>
      <c r="K274" s="3" t="n"/>
    </row>
    <row r="275">
      <c r="A275" s="3" t="n"/>
      <c r="B275" s="3" t="n"/>
      <c r="C275" s="3" t="n"/>
      <c r="D275" s="3" t="n"/>
      <c r="E275" s="4">
        <f>IF(A275="","",COUNTIFS($A$4:A275,A275,$I$4:I275,"&lt;&gt;Штраф -2",$I$4:I275,"&lt;&gt;ушел на базу"))</f>
        <v/>
      </c>
      <c r="F275" s="4">
        <f>IF(E275="","",IF(E275&lt;=3,6,IF(E275&lt;=6,5,IF(E275&lt;=9,4,IF(E275&lt;=12,3,IF(E275&lt;=15,2,0))))))</f>
        <v/>
      </c>
      <c r="G275" s="3" t="n"/>
      <c r="H275" s="4">
        <f>IF(I275="Штраф -2",-2,IF(OR(F275="",G275=""),"",F275*G275+IF(J275="",0,J275)))</f>
        <v/>
      </c>
      <c r="I275" s="3" t="n"/>
      <c r="J275" s="3" t="n"/>
      <c r="K275" s="3" t="n"/>
    </row>
    <row r="276">
      <c r="A276" s="3" t="n"/>
      <c r="B276" s="3" t="n"/>
      <c r="C276" s="3" t="n"/>
      <c r="D276" s="3" t="n"/>
      <c r="E276" s="4">
        <f>IF(A276="","",COUNTIFS($A$4:A276,A276,$I$4:I276,"&lt;&gt;Штраф -2",$I$4:I276,"&lt;&gt;ушел на базу"))</f>
        <v/>
      </c>
      <c r="F276" s="4">
        <f>IF(E276="","",IF(E276&lt;=3,6,IF(E276&lt;=6,5,IF(E276&lt;=9,4,IF(E276&lt;=12,3,IF(E276&lt;=15,2,0))))))</f>
        <v/>
      </c>
      <c r="G276" s="3" t="n"/>
      <c r="H276" s="4">
        <f>IF(I276="Штраф -2",-2,IF(OR(F276="",G276=""),"",F276*G276+IF(J276="",0,J276)))</f>
        <v/>
      </c>
      <c r="I276" s="3" t="n"/>
      <c r="J276" s="3" t="n"/>
      <c r="K276" s="3" t="n"/>
    </row>
    <row r="277">
      <c r="A277" s="3" t="n"/>
      <c r="B277" s="3" t="n"/>
      <c r="C277" s="3" t="n"/>
      <c r="D277" s="3" t="n"/>
      <c r="E277" s="4">
        <f>IF(A277="","",COUNTIFS($A$4:A277,A277,$I$4:I277,"&lt;&gt;Штраф -2",$I$4:I277,"&lt;&gt;ушел на базу"))</f>
        <v/>
      </c>
      <c r="F277" s="4">
        <f>IF(E277="","",IF(E277&lt;=3,6,IF(E277&lt;=6,5,IF(E277&lt;=9,4,IF(E277&lt;=12,3,IF(E277&lt;=15,2,0))))))</f>
        <v/>
      </c>
      <c r="G277" s="3" t="n"/>
      <c r="H277" s="4">
        <f>IF(I277="Штраф -2",-2,IF(OR(F277="",G277=""),"",F277*G277+IF(J277="",0,J277)))</f>
        <v/>
      </c>
      <c r="I277" s="3" t="n"/>
      <c r="J277" s="3" t="n"/>
      <c r="K277" s="3" t="n"/>
    </row>
    <row r="278">
      <c r="A278" s="3" t="n"/>
      <c r="B278" s="3" t="n"/>
      <c r="C278" s="3" t="n"/>
      <c r="D278" s="3" t="n"/>
      <c r="E278" s="4">
        <f>IF(A278="","",COUNTIFS($A$4:A278,A278,$I$4:I278,"&lt;&gt;Штраф -2",$I$4:I278,"&lt;&gt;ушел на базу"))</f>
        <v/>
      </c>
      <c r="F278" s="4">
        <f>IF(E278="","",IF(E278&lt;=3,6,IF(E278&lt;=6,5,IF(E278&lt;=9,4,IF(E278&lt;=12,3,IF(E278&lt;=15,2,0))))))</f>
        <v/>
      </c>
      <c r="G278" s="3" t="n"/>
      <c r="H278" s="4">
        <f>IF(I278="Штраф -2",-2,IF(OR(F278="",G278=""),"",F278*G278+IF(J278="",0,J278)))</f>
        <v/>
      </c>
      <c r="I278" s="3" t="n"/>
      <c r="J278" s="3" t="n"/>
      <c r="K278" s="3" t="n"/>
    </row>
    <row r="279">
      <c r="A279" s="3" t="n"/>
      <c r="B279" s="3" t="n"/>
      <c r="C279" s="3" t="n"/>
      <c r="D279" s="3" t="n"/>
      <c r="E279" s="4">
        <f>IF(A279="","",COUNTIFS($A$4:A279,A279,$I$4:I279,"&lt;&gt;Штраф -2",$I$4:I279,"&lt;&gt;ушел на базу"))</f>
        <v/>
      </c>
      <c r="F279" s="4">
        <f>IF(E279="","",IF(E279&lt;=3,6,IF(E279&lt;=6,5,IF(E279&lt;=9,4,IF(E279&lt;=12,3,IF(E279&lt;=15,2,0))))))</f>
        <v/>
      </c>
      <c r="G279" s="3" t="n"/>
      <c r="H279" s="4">
        <f>IF(I279="Штраф -2",-2,IF(OR(F279="",G279=""),"",F279*G279+IF(J279="",0,J279)))</f>
        <v/>
      </c>
      <c r="I279" s="3" t="n"/>
      <c r="J279" s="3" t="n"/>
      <c r="K279" s="3" t="n"/>
    </row>
    <row r="280">
      <c r="A280" s="3" t="n"/>
      <c r="B280" s="3" t="n"/>
      <c r="C280" s="3" t="n"/>
      <c r="D280" s="3" t="n"/>
      <c r="E280" s="4">
        <f>IF(A280="","",COUNTIFS($A$4:A280,A280,$I$4:I280,"&lt;&gt;Штраф -2",$I$4:I280,"&lt;&gt;ушел на базу"))</f>
        <v/>
      </c>
      <c r="F280" s="4">
        <f>IF(E280="","",IF(E280&lt;=3,6,IF(E280&lt;=6,5,IF(E280&lt;=9,4,IF(E280&lt;=12,3,IF(E280&lt;=15,2,0))))))</f>
        <v/>
      </c>
      <c r="G280" s="3" t="n"/>
      <c r="H280" s="4">
        <f>IF(I280="Штраф -2",-2,IF(OR(F280="",G280=""),"",F280*G280+IF(J280="",0,J280)))</f>
        <v/>
      </c>
      <c r="I280" s="3" t="n"/>
      <c r="J280" s="3" t="n"/>
      <c r="K280" s="3" t="n"/>
    </row>
    <row r="281">
      <c r="A281" s="3" t="n"/>
      <c r="B281" s="3" t="n"/>
      <c r="C281" s="3" t="n"/>
      <c r="D281" s="3" t="n"/>
      <c r="E281" s="4">
        <f>IF(A281="","",COUNTIFS($A$4:A281,A281,$I$4:I281,"&lt;&gt;Штраф -2",$I$4:I281,"&lt;&gt;ушел на базу"))</f>
        <v/>
      </c>
      <c r="F281" s="4">
        <f>IF(E281="","",IF(E281&lt;=3,6,IF(E281&lt;=6,5,IF(E281&lt;=9,4,IF(E281&lt;=12,3,IF(E281&lt;=15,2,0))))))</f>
        <v/>
      </c>
      <c r="G281" s="3" t="n"/>
      <c r="H281" s="4">
        <f>IF(I281="Штраф -2",-2,IF(OR(F281="",G281=""),"",F281*G281+IF(J281="",0,J281)))</f>
        <v/>
      </c>
      <c r="I281" s="3" t="n"/>
      <c r="J281" s="3" t="n"/>
      <c r="K281" s="3" t="n"/>
    </row>
    <row r="282">
      <c r="A282" s="3" t="n"/>
      <c r="B282" s="3" t="n"/>
      <c r="C282" s="3" t="n"/>
      <c r="D282" s="3" t="n"/>
      <c r="E282" s="4">
        <f>IF(A282="","",COUNTIFS($A$4:A282,A282,$I$4:I282,"&lt;&gt;Штраф -2",$I$4:I282,"&lt;&gt;ушел на базу"))</f>
        <v/>
      </c>
      <c r="F282" s="4">
        <f>IF(E282="","",IF(E282&lt;=3,6,IF(E282&lt;=6,5,IF(E282&lt;=9,4,IF(E282&lt;=12,3,IF(E282&lt;=15,2,0))))))</f>
        <v/>
      </c>
      <c r="G282" s="3" t="n"/>
      <c r="H282" s="4">
        <f>IF(I282="Штраф -2",-2,IF(OR(F282="",G282=""),"",F282*G282+IF(J282="",0,J282)))</f>
        <v/>
      </c>
      <c r="I282" s="3" t="n"/>
      <c r="J282" s="3" t="n"/>
      <c r="K282" s="3" t="n"/>
    </row>
    <row r="283">
      <c r="A283" s="3" t="n"/>
      <c r="B283" s="3" t="n"/>
      <c r="C283" s="3" t="n"/>
      <c r="D283" s="3" t="n"/>
      <c r="E283" s="4">
        <f>IF(A283="","",COUNTIFS($A$4:A283,A283,$I$4:I283,"&lt;&gt;Штраф -2",$I$4:I283,"&lt;&gt;ушел на базу"))</f>
        <v/>
      </c>
      <c r="F283" s="4">
        <f>IF(E283="","",IF(E283&lt;=3,6,IF(E283&lt;=6,5,IF(E283&lt;=9,4,IF(E283&lt;=12,3,IF(E283&lt;=15,2,0))))))</f>
        <v/>
      </c>
      <c r="G283" s="3" t="n"/>
      <c r="H283" s="4">
        <f>IF(I283="Штраф -2",-2,IF(OR(F283="",G283=""),"",F283*G283+IF(J283="",0,J283)))</f>
        <v/>
      </c>
      <c r="I283" s="3" t="n"/>
      <c r="J283" s="3" t="n"/>
      <c r="K283" s="3" t="n"/>
    </row>
    <row r="284">
      <c r="A284" s="3" t="n"/>
      <c r="B284" s="3" t="n"/>
      <c r="C284" s="3" t="n"/>
      <c r="D284" s="3" t="n"/>
      <c r="E284" s="4">
        <f>IF(A284="","",COUNTIFS($A$4:A284,A284,$I$4:I284,"&lt;&gt;Штраф -2",$I$4:I284,"&lt;&gt;ушел на базу"))</f>
        <v/>
      </c>
      <c r="F284" s="4">
        <f>IF(E284="","",IF(E284&lt;=3,6,IF(E284&lt;=6,5,IF(E284&lt;=9,4,IF(E284&lt;=12,3,IF(E284&lt;=15,2,0))))))</f>
        <v/>
      </c>
      <c r="G284" s="3" t="n"/>
      <c r="H284" s="4">
        <f>IF(I284="Штраф -2",-2,IF(OR(F284="",G284=""),"",F284*G284+IF(J284="",0,J284)))</f>
        <v/>
      </c>
      <c r="I284" s="3" t="n"/>
      <c r="J284" s="3" t="n"/>
      <c r="K284" s="3" t="n"/>
    </row>
    <row r="285">
      <c r="A285" s="3" t="n"/>
      <c r="B285" s="3" t="n"/>
      <c r="C285" s="3" t="n"/>
      <c r="D285" s="3" t="n"/>
      <c r="E285" s="4">
        <f>IF(A285="","",COUNTIFS($A$4:A285,A285,$I$4:I285,"&lt;&gt;Штраф -2",$I$4:I285,"&lt;&gt;ушел на базу"))</f>
        <v/>
      </c>
      <c r="F285" s="4">
        <f>IF(E285="","",IF(E285&lt;=3,6,IF(E285&lt;=6,5,IF(E285&lt;=9,4,IF(E285&lt;=12,3,IF(E285&lt;=15,2,0))))))</f>
        <v/>
      </c>
      <c r="G285" s="3" t="n"/>
      <c r="H285" s="4">
        <f>IF(I285="Штраф -2",-2,IF(OR(F285="",G285=""),"",F285*G285+IF(J285="",0,J285)))</f>
        <v/>
      </c>
      <c r="I285" s="3" t="n"/>
      <c r="J285" s="3" t="n"/>
      <c r="K285" s="3" t="n"/>
    </row>
    <row r="286">
      <c r="A286" s="3" t="n"/>
      <c r="B286" s="3" t="n"/>
      <c r="C286" s="3" t="n"/>
      <c r="D286" s="3" t="n"/>
      <c r="E286" s="4">
        <f>IF(A286="","",COUNTIFS($A$4:A286,A286,$I$4:I286,"&lt;&gt;Штраф -2",$I$4:I286,"&lt;&gt;ушел на базу"))</f>
        <v/>
      </c>
      <c r="F286" s="4">
        <f>IF(E286="","",IF(E286&lt;=3,6,IF(E286&lt;=6,5,IF(E286&lt;=9,4,IF(E286&lt;=12,3,IF(E286&lt;=15,2,0))))))</f>
        <v/>
      </c>
      <c r="G286" s="3" t="n"/>
      <c r="H286" s="4">
        <f>IF(I286="Штраф -2",-2,IF(OR(F286="",G286=""),"",F286*G286+IF(J286="",0,J286)))</f>
        <v/>
      </c>
      <c r="I286" s="3" t="n"/>
      <c r="J286" s="3" t="n"/>
      <c r="K286" s="3" t="n"/>
    </row>
    <row r="287">
      <c r="A287" s="3" t="n"/>
      <c r="B287" s="3" t="n"/>
      <c r="C287" s="3" t="n"/>
      <c r="D287" s="3" t="n"/>
      <c r="E287" s="4">
        <f>IF(A287="","",COUNTIFS($A$4:A287,A287,$I$4:I287,"&lt;&gt;Штраф -2",$I$4:I287,"&lt;&gt;ушел на базу"))</f>
        <v/>
      </c>
      <c r="F287" s="4">
        <f>IF(E287="","",IF(E287&lt;=3,6,IF(E287&lt;=6,5,IF(E287&lt;=9,4,IF(E287&lt;=12,3,IF(E287&lt;=15,2,0))))))</f>
        <v/>
      </c>
      <c r="G287" s="3" t="n"/>
      <c r="H287" s="4">
        <f>IF(I287="Штраф -2",-2,IF(OR(F287="",G287=""),"",F287*G287+IF(J287="",0,J287)))</f>
        <v/>
      </c>
      <c r="I287" s="3" t="n"/>
      <c r="J287" s="3" t="n"/>
      <c r="K287" s="3" t="n"/>
    </row>
    <row r="288">
      <c r="A288" s="3" t="n"/>
      <c r="B288" s="3" t="n"/>
      <c r="C288" s="3" t="n"/>
      <c r="D288" s="3" t="n"/>
      <c r="E288" s="4">
        <f>IF(A288="","",COUNTIFS($A$4:A288,A288,$I$4:I288,"&lt;&gt;Штраф -2",$I$4:I288,"&lt;&gt;ушел на базу"))</f>
        <v/>
      </c>
      <c r="F288" s="4">
        <f>IF(E288="","",IF(E288&lt;=3,6,IF(E288&lt;=6,5,IF(E288&lt;=9,4,IF(E288&lt;=12,3,IF(E288&lt;=15,2,0))))))</f>
        <v/>
      </c>
      <c r="G288" s="3" t="n"/>
      <c r="H288" s="4">
        <f>IF(I288="Штраф -2",-2,IF(OR(F288="",G288=""),"",F288*G288+IF(J288="",0,J288)))</f>
        <v/>
      </c>
      <c r="I288" s="3" t="n"/>
      <c r="J288" s="3" t="n"/>
      <c r="K288" s="3" t="n"/>
    </row>
    <row r="289">
      <c r="A289" s="3" t="n"/>
      <c r="B289" s="3" t="n"/>
      <c r="C289" s="3" t="n"/>
      <c r="D289" s="3" t="n"/>
      <c r="E289" s="4">
        <f>IF(A289="","",COUNTIFS($A$4:A289,A289,$I$4:I289,"&lt;&gt;Штраф -2",$I$4:I289,"&lt;&gt;ушел на базу"))</f>
        <v/>
      </c>
      <c r="F289" s="4">
        <f>IF(E289="","",IF(E289&lt;=3,6,IF(E289&lt;=6,5,IF(E289&lt;=9,4,IF(E289&lt;=12,3,IF(E289&lt;=15,2,0))))))</f>
        <v/>
      </c>
      <c r="G289" s="3" t="n"/>
      <c r="H289" s="4">
        <f>IF(I289="Штраф -2",-2,IF(OR(F289="",G289=""),"",F289*G289+IF(J289="",0,J289)))</f>
        <v/>
      </c>
      <c r="I289" s="3" t="n"/>
      <c r="J289" s="3" t="n"/>
      <c r="K289" s="3" t="n"/>
    </row>
    <row r="290">
      <c r="A290" s="3" t="n"/>
      <c r="B290" s="3" t="n"/>
      <c r="C290" s="3" t="n"/>
      <c r="D290" s="3" t="n"/>
      <c r="E290" s="4">
        <f>IF(A290="","",COUNTIFS($A$4:A290,A290,$I$4:I290,"&lt;&gt;Штраф -2",$I$4:I290,"&lt;&gt;ушел на базу"))</f>
        <v/>
      </c>
      <c r="F290" s="4">
        <f>IF(E290="","",IF(E290&lt;=3,6,IF(E290&lt;=6,5,IF(E290&lt;=9,4,IF(E290&lt;=12,3,IF(E290&lt;=15,2,0))))))</f>
        <v/>
      </c>
      <c r="G290" s="3" t="n"/>
      <c r="H290" s="4">
        <f>IF(I290="Штраф -2",-2,IF(OR(F290="",G290=""),"",F290*G290+IF(J290="",0,J290)))</f>
        <v/>
      </c>
      <c r="I290" s="3" t="n"/>
      <c r="J290" s="3" t="n"/>
      <c r="K290" s="3" t="n"/>
    </row>
    <row r="291">
      <c r="A291" s="3" t="n"/>
      <c r="B291" s="3" t="n"/>
      <c r="C291" s="3" t="n"/>
      <c r="D291" s="3" t="n"/>
      <c r="E291" s="4">
        <f>IF(A291="","",COUNTIFS($A$4:A291,A291,$I$4:I291,"&lt;&gt;Штраф -2",$I$4:I291,"&lt;&gt;ушел на базу"))</f>
        <v/>
      </c>
      <c r="F291" s="4">
        <f>IF(E291="","",IF(E291&lt;=3,6,IF(E291&lt;=6,5,IF(E291&lt;=9,4,IF(E291&lt;=12,3,IF(E291&lt;=15,2,0))))))</f>
        <v/>
      </c>
      <c r="G291" s="3" t="n"/>
      <c r="H291" s="4">
        <f>IF(I291="Штраф -2",-2,IF(OR(F291="",G291=""),"",F291*G291+IF(J291="",0,J291)))</f>
        <v/>
      </c>
      <c r="I291" s="3" t="n"/>
      <c r="J291" s="3" t="n"/>
      <c r="K291" s="3" t="n"/>
    </row>
    <row r="292">
      <c r="A292" s="3" t="n"/>
      <c r="B292" s="3" t="n"/>
      <c r="C292" s="3" t="n"/>
      <c r="D292" s="3" t="n"/>
      <c r="E292" s="4">
        <f>IF(A292="","",COUNTIFS($A$4:A292,A292,$I$4:I292,"&lt;&gt;Штраф -2",$I$4:I292,"&lt;&gt;ушел на базу"))</f>
        <v/>
      </c>
      <c r="F292" s="4">
        <f>IF(E292="","",IF(E292&lt;=3,6,IF(E292&lt;=6,5,IF(E292&lt;=9,4,IF(E292&lt;=12,3,IF(E292&lt;=15,2,0))))))</f>
        <v/>
      </c>
      <c r="G292" s="3" t="n"/>
      <c r="H292" s="4">
        <f>IF(I292="Штраф -2",-2,IF(OR(F292="",G292=""),"",F292*G292+IF(J292="",0,J292)))</f>
        <v/>
      </c>
      <c r="I292" s="3" t="n"/>
      <c r="J292" s="3" t="n"/>
      <c r="K292" s="3" t="n"/>
    </row>
    <row r="293">
      <c r="A293" s="3" t="n"/>
      <c r="B293" s="3" t="n"/>
      <c r="C293" s="3" t="n"/>
      <c r="D293" s="3" t="n"/>
      <c r="E293" s="4">
        <f>IF(A293="","",COUNTIFS($A$4:A293,A293,$I$4:I293,"&lt;&gt;Штраф -2",$I$4:I293,"&lt;&gt;ушел на базу"))</f>
        <v/>
      </c>
      <c r="F293" s="4">
        <f>IF(E293="","",IF(E293&lt;=3,6,IF(E293&lt;=6,5,IF(E293&lt;=9,4,IF(E293&lt;=12,3,IF(E293&lt;=15,2,0))))))</f>
        <v/>
      </c>
      <c r="G293" s="3" t="n"/>
      <c r="H293" s="4">
        <f>IF(I293="Штраф -2",-2,IF(OR(F293="",G293=""),"",F293*G293+IF(J293="",0,J293)))</f>
        <v/>
      </c>
      <c r="I293" s="3" t="n"/>
      <c r="J293" s="3" t="n"/>
      <c r="K293" s="3" t="n"/>
    </row>
    <row r="294">
      <c r="A294" s="3" t="n"/>
      <c r="B294" s="3" t="n"/>
      <c r="C294" s="3" t="n"/>
      <c r="D294" s="3" t="n"/>
      <c r="E294" s="4">
        <f>IF(A294="","",COUNTIFS($A$4:A294,A294,$I$4:I294,"&lt;&gt;Штраф -2",$I$4:I294,"&lt;&gt;ушел на базу"))</f>
        <v/>
      </c>
      <c r="F294" s="4">
        <f>IF(E294="","",IF(E294&lt;=3,6,IF(E294&lt;=6,5,IF(E294&lt;=9,4,IF(E294&lt;=12,3,IF(E294&lt;=15,2,0))))))</f>
        <v/>
      </c>
      <c r="G294" s="3" t="n"/>
      <c r="H294" s="4">
        <f>IF(I294="Штраф -2",-2,IF(OR(F294="",G294=""),"",F294*G294+IF(J294="",0,J294)))</f>
        <v/>
      </c>
      <c r="I294" s="3" t="n"/>
      <c r="J294" s="3" t="n"/>
      <c r="K294" s="3" t="n"/>
    </row>
    <row r="295">
      <c r="A295" s="3" t="n"/>
      <c r="B295" s="3" t="n"/>
      <c r="C295" s="3" t="n"/>
      <c r="D295" s="3" t="n"/>
      <c r="E295" s="4">
        <f>IF(A295="","",COUNTIFS($A$4:A295,A295,$I$4:I295,"&lt;&gt;Штраф -2",$I$4:I295,"&lt;&gt;ушел на базу"))</f>
        <v/>
      </c>
      <c r="F295" s="4">
        <f>IF(E295="","",IF(E295&lt;=3,6,IF(E295&lt;=6,5,IF(E295&lt;=9,4,IF(E295&lt;=12,3,IF(E295&lt;=15,2,0))))))</f>
        <v/>
      </c>
      <c r="G295" s="3" t="n"/>
      <c r="H295" s="4">
        <f>IF(I295="Штраф -2",-2,IF(OR(F295="",G295=""),"",F295*G295+IF(J295="",0,J295)))</f>
        <v/>
      </c>
      <c r="I295" s="3" t="n"/>
      <c r="J295" s="3" t="n"/>
      <c r="K295" s="3" t="n"/>
    </row>
    <row r="296">
      <c r="A296" s="3" t="n"/>
      <c r="B296" s="3" t="n"/>
      <c r="C296" s="3" t="n"/>
      <c r="D296" s="3" t="n"/>
      <c r="E296" s="4">
        <f>IF(A296="","",COUNTIFS($A$4:A296,A296,$I$4:I296,"&lt;&gt;Штраф -2",$I$4:I296,"&lt;&gt;ушел на базу"))</f>
        <v/>
      </c>
      <c r="F296" s="4">
        <f>IF(E296="","",IF(E296&lt;=3,6,IF(E296&lt;=6,5,IF(E296&lt;=9,4,IF(E296&lt;=12,3,IF(E296&lt;=15,2,0))))))</f>
        <v/>
      </c>
      <c r="G296" s="3" t="n"/>
      <c r="H296" s="4">
        <f>IF(I296="Штраф -2",-2,IF(OR(F296="",G296=""),"",F296*G296+IF(J296="",0,J296)))</f>
        <v/>
      </c>
      <c r="I296" s="3" t="n"/>
      <c r="J296" s="3" t="n"/>
      <c r="K296" s="3" t="n"/>
    </row>
    <row r="297">
      <c r="A297" s="3" t="n"/>
      <c r="B297" s="3" t="n"/>
      <c r="C297" s="3" t="n"/>
      <c r="D297" s="3" t="n"/>
      <c r="E297" s="4">
        <f>IF(A297="","",COUNTIFS($A$4:A297,A297,$I$4:I297,"&lt;&gt;Штраф -2",$I$4:I297,"&lt;&gt;ушел на базу"))</f>
        <v/>
      </c>
      <c r="F297" s="4">
        <f>IF(E297="","",IF(E297&lt;=3,6,IF(E297&lt;=6,5,IF(E297&lt;=9,4,IF(E297&lt;=12,3,IF(E297&lt;=15,2,0))))))</f>
        <v/>
      </c>
      <c r="G297" s="3" t="n"/>
      <c r="H297" s="4">
        <f>IF(I297="Штраф -2",-2,IF(OR(F297="",G297=""),"",F297*G297+IF(J297="",0,J297)))</f>
        <v/>
      </c>
      <c r="I297" s="3" t="n"/>
      <c r="J297" s="3" t="n"/>
      <c r="K297" s="3" t="n"/>
    </row>
    <row r="298">
      <c r="A298" s="3" t="n"/>
      <c r="B298" s="3" t="n"/>
      <c r="C298" s="3" t="n"/>
      <c r="D298" s="3" t="n"/>
      <c r="E298" s="4">
        <f>IF(A298="","",COUNTIFS($A$4:A298,A298,$I$4:I298,"&lt;&gt;Штраф -2",$I$4:I298,"&lt;&gt;ушел на базу"))</f>
        <v/>
      </c>
      <c r="F298" s="4">
        <f>IF(E298="","",IF(E298&lt;=3,6,IF(E298&lt;=6,5,IF(E298&lt;=9,4,IF(E298&lt;=12,3,IF(E298&lt;=15,2,0))))))</f>
        <v/>
      </c>
      <c r="G298" s="3" t="n"/>
      <c r="H298" s="4">
        <f>IF(I298="Штраф -2",-2,IF(OR(F298="",G298=""),"",F298*G298+IF(J298="",0,J298)))</f>
        <v/>
      </c>
      <c r="I298" s="3" t="n"/>
      <c r="J298" s="3" t="n"/>
      <c r="K298" s="3" t="n"/>
    </row>
    <row r="299">
      <c r="A299" s="3" t="n"/>
      <c r="B299" s="3" t="n"/>
      <c r="C299" s="3" t="n"/>
      <c r="D299" s="3" t="n"/>
      <c r="E299" s="4">
        <f>IF(A299="","",COUNTIFS($A$4:A299,A299,$I$4:I299,"&lt;&gt;Штраф -2",$I$4:I299,"&lt;&gt;ушел на базу"))</f>
        <v/>
      </c>
      <c r="F299" s="4">
        <f>IF(E299="","",IF(E299&lt;=3,6,IF(E299&lt;=6,5,IF(E299&lt;=9,4,IF(E299&lt;=12,3,IF(E299&lt;=15,2,0))))))</f>
        <v/>
      </c>
      <c r="G299" s="3" t="n"/>
      <c r="H299" s="4">
        <f>IF(I299="Штраф -2",-2,IF(OR(F299="",G299=""),"",F299*G299+IF(J299="",0,J299)))</f>
        <v/>
      </c>
      <c r="I299" s="3" t="n"/>
      <c r="J299" s="3" t="n"/>
      <c r="K299" s="3" t="n"/>
    </row>
    <row r="300">
      <c r="A300" s="3" t="n"/>
      <c r="B300" s="3" t="n"/>
      <c r="C300" s="3" t="n"/>
      <c r="D300" s="3" t="n"/>
      <c r="E300" s="4">
        <f>IF(A300="","",COUNTIFS($A$4:A300,A300,$I$4:I300,"&lt;&gt;Штраф -2",$I$4:I300,"&lt;&gt;ушел на базу"))</f>
        <v/>
      </c>
      <c r="F300" s="4">
        <f>IF(E300="","",IF(E300&lt;=3,6,IF(E300&lt;=6,5,IF(E300&lt;=9,4,IF(E300&lt;=12,3,IF(E300&lt;=15,2,0))))))</f>
        <v/>
      </c>
      <c r="G300" s="3" t="n"/>
      <c r="H300" s="4">
        <f>IF(I300="Штраф -2",-2,IF(OR(F300="",G300=""),"",F300*G300+IF(J300="",0,J300)))</f>
        <v/>
      </c>
      <c r="I300" s="3" t="n"/>
      <c r="J300" s="3" t="n"/>
      <c r="K300" s="3" t="n"/>
    </row>
    <row r="301">
      <c r="A301" s="3" t="n"/>
      <c r="B301" s="3" t="n"/>
      <c r="C301" s="3" t="n"/>
      <c r="D301" s="3" t="n"/>
      <c r="E301" s="4">
        <f>IF(A301="","",COUNTIFS($A$4:A301,A301,$I$4:I301,"&lt;&gt;Штраф -2",$I$4:I301,"&lt;&gt;ушел на базу"))</f>
        <v/>
      </c>
      <c r="F301" s="4">
        <f>IF(E301="","",IF(E301&lt;=3,6,IF(E301&lt;=6,5,IF(E301&lt;=9,4,IF(E301&lt;=12,3,IF(E301&lt;=15,2,0))))))</f>
        <v/>
      </c>
      <c r="G301" s="3" t="n"/>
      <c r="H301" s="4">
        <f>IF(I301="Штраф -2",-2,IF(OR(F301="",G301=""),"",F301*G301+IF(J301="",0,J301)))</f>
        <v/>
      </c>
      <c r="I301" s="3" t="n"/>
      <c r="J301" s="3" t="n"/>
      <c r="K301" s="3" t="n"/>
    </row>
    <row r="302">
      <c r="A302" s="3" t="n"/>
      <c r="B302" s="3" t="n"/>
      <c r="C302" s="3" t="n"/>
      <c r="D302" s="3" t="n"/>
      <c r="E302" s="4">
        <f>IF(A302="","",COUNTIFS($A$4:A302,A302,$I$4:I302,"&lt;&gt;Штраф -2",$I$4:I302,"&lt;&gt;ушел на базу"))</f>
        <v/>
      </c>
      <c r="F302" s="4">
        <f>IF(E302="","",IF(E302&lt;=3,6,IF(E302&lt;=6,5,IF(E302&lt;=9,4,IF(E302&lt;=12,3,IF(E302&lt;=15,2,0))))))</f>
        <v/>
      </c>
      <c r="G302" s="3" t="n"/>
      <c r="H302" s="4">
        <f>IF(I302="Штраф -2",-2,IF(OR(F302="",G302=""),"",F302*G302+IF(J302="",0,J302)))</f>
        <v/>
      </c>
      <c r="I302" s="3" t="n"/>
      <c r="J302" s="3" t="n"/>
      <c r="K302" s="3" t="n"/>
    </row>
    <row r="303">
      <c r="A303" s="3" t="n"/>
      <c r="B303" s="3" t="n"/>
      <c r="C303" s="3" t="n"/>
      <c r="D303" s="3" t="n"/>
      <c r="E303" s="4">
        <f>IF(A303="","",COUNTIFS($A$4:A303,A303,$I$4:I303,"&lt;&gt;Штраф -2",$I$4:I303,"&lt;&gt;ушел на базу"))</f>
        <v/>
      </c>
      <c r="F303" s="4">
        <f>IF(E303="","",IF(E303&lt;=3,6,IF(E303&lt;=6,5,IF(E303&lt;=9,4,IF(E303&lt;=12,3,IF(E303&lt;=15,2,0))))))</f>
        <v/>
      </c>
      <c r="G303" s="3" t="n"/>
      <c r="H303" s="4">
        <f>IF(I303="Штраф -2",-2,IF(OR(F303="",G303=""),"",F303*G303+IF(J303="",0,J303)))</f>
        <v/>
      </c>
      <c r="I303" s="3" t="n"/>
      <c r="J303" s="3" t="n"/>
      <c r="K303" s="3" t="n"/>
    </row>
    <row r="304">
      <c r="A304" s="3" t="n"/>
      <c r="B304" s="3" t="n"/>
      <c r="C304" s="3" t="n"/>
      <c r="D304" s="3" t="n"/>
      <c r="E304" s="4">
        <f>IF(A304="","",COUNTIFS($A$4:A304,A304,$I$4:I304,"&lt;&gt;Штраф -2",$I$4:I304,"&lt;&gt;ушел на базу"))</f>
        <v/>
      </c>
      <c r="F304" s="4">
        <f>IF(E304="","",IF(E304&lt;=3,6,IF(E304&lt;=6,5,IF(E304&lt;=9,4,IF(E304&lt;=12,3,IF(E304&lt;=15,2,0))))))</f>
        <v/>
      </c>
      <c r="G304" s="3" t="n"/>
      <c r="H304" s="4">
        <f>IF(I304="Штраф -2",-2,IF(OR(F304="",G304=""),"",F304*G304+IF(J304="",0,J304)))</f>
        <v/>
      </c>
      <c r="I304" s="3" t="n"/>
      <c r="J304" s="3" t="n"/>
      <c r="K304" s="3" t="n"/>
    </row>
    <row r="305">
      <c r="A305" s="3" t="n"/>
      <c r="B305" s="3" t="n"/>
      <c r="C305" s="3" t="n"/>
      <c r="D305" s="3" t="n"/>
      <c r="E305" s="4">
        <f>IF(A305="","",COUNTIFS($A$4:A305,A305,$I$4:I305,"&lt;&gt;Штраф -2",$I$4:I305,"&lt;&gt;ушел на базу"))</f>
        <v/>
      </c>
      <c r="F305" s="4">
        <f>IF(E305="","",IF(E305&lt;=3,6,IF(E305&lt;=6,5,IF(E305&lt;=9,4,IF(E305&lt;=12,3,IF(E305&lt;=15,2,0))))))</f>
        <v/>
      </c>
      <c r="G305" s="3" t="n"/>
      <c r="H305" s="4">
        <f>IF(I305="Штраф -2",-2,IF(OR(F305="",G305=""),"",F305*G305+IF(J305="",0,J305)))</f>
        <v/>
      </c>
      <c r="I305" s="3" t="n"/>
      <c r="J305" s="3" t="n"/>
      <c r="K305" s="3" t="n"/>
    </row>
    <row r="306">
      <c r="A306" s="3" t="n"/>
      <c r="B306" s="3" t="n"/>
      <c r="C306" s="3" t="n"/>
      <c r="D306" s="3" t="n"/>
      <c r="E306" s="4">
        <f>IF(A306="","",COUNTIFS($A$4:A306,A306,$I$4:I306,"&lt;&gt;Штраф -2",$I$4:I306,"&lt;&gt;ушел на базу"))</f>
        <v/>
      </c>
      <c r="F306" s="4">
        <f>IF(E306="","",IF(E306&lt;=3,6,IF(E306&lt;=6,5,IF(E306&lt;=9,4,IF(E306&lt;=12,3,IF(E306&lt;=15,2,0))))))</f>
        <v/>
      </c>
      <c r="G306" s="3" t="n"/>
      <c r="H306" s="4">
        <f>IF(I306="Штраф -2",-2,IF(OR(F306="",G306=""),"",F306*G306+IF(J306="",0,J306)))</f>
        <v/>
      </c>
      <c r="I306" s="3" t="n"/>
      <c r="J306" s="3" t="n"/>
      <c r="K306" s="3" t="n"/>
    </row>
    <row r="307">
      <c r="A307" s="3" t="n"/>
      <c r="B307" s="3" t="n"/>
      <c r="C307" s="3" t="n"/>
      <c r="D307" s="3" t="n"/>
      <c r="E307" s="4">
        <f>IF(A307="","",COUNTIFS($A$4:A307,A307,$I$4:I307,"&lt;&gt;Штраф -2",$I$4:I307,"&lt;&gt;ушел на базу"))</f>
        <v/>
      </c>
      <c r="F307" s="4">
        <f>IF(E307="","",IF(E307&lt;=3,6,IF(E307&lt;=6,5,IF(E307&lt;=9,4,IF(E307&lt;=12,3,IF(E307&lt;=15,2,0))))))</f>
        <v/>
      </c>
      <c r="G307" s="3" t="n"/>
      <c r="H307" s="4">
        <f>IF(I307="Штраф -2",-2,IF(OR(F307="",G307=""),"",F307*G307+IF(J307="",0,J307)))</f>
        <v/>
      </c>
      <c r="I307" s="3" t="n"/>
      <c r="J307" s="3" t="n"/>
      <c r="K307" s="3" t="n"/>
    </row>
    <row r="308">
      <c r="A308" s="3" t="n"/>
      <c r="B308" s="3" t="n"/>
      <c r="C308" s="3" t="n"/>
      <c r="D308" s="3" t="n"/>
      <c r="E308" s="4">
        <f>IF(A308="","",COUNTIFS($A$4:A308,A308,$I$4:I308,"&lt;&gt;Штраф -2",$I$4:I308,"&lt;&gt;ушел на базу"))</f>
        <v/>
      </c>
      <c r="F308" s="4">
        <f>IF(E308="","",IF(E308&lt;=3,6,IF(E308&lt;=6,5,IF(E308&lt;=9,4,IF(E308&lt;=12,3,IF(E308&lt;=15,2,0))))))</f>
        <v/>
      </c>
      <c r="G308" s="3" t="n"/>
      <c r="H308" s="4">
        <f>IF(I308="Штраф -2",-2,IF(OR(F308="",G308=""),"",F308*G308+IF(J308="",0,J308)))</f>
        <v/>
      </c>
      <c r="I308" s="3" t="n"/>
      <c r="J308" s="3" t="n"/>
      <c r="K308" s="3" t="n"/>
    </row>
    <row r="309">
      <c r="A309" s="3" t="n"/>
      <c r="B309" s="3" t="n"/>
      <c r="C309" s="3" t="n"/>
      <c r="D309" s="3" t="n"/>
      <c r="E309" s="4">
        <f>IF(A309="","",COUNTIFS($A$4:A309,A309,$I$4:I309,"&lt;&gt;Штраф -2",$I$4:I309,"&lt;&gt;ушел на базу"))</f>
        <v/>
      </c>
      <c r="F309" s="4">
        <f>IF(E309="","",IF(E309&lt;=3,6,IF(E309&lt;=6,5,IF(E309&lt;=9,4,IF(E309&lt;=12,3,IF(E309&lt;=15,2,0))))))</f>
        <v/>
      </c>
      <c r="G309" s="3" t="n"/>
      <c r="H309" s="4">
        <f>IF(I309="Штраф -2",-2,IF(OR(F309="",G309=""),"",F309*G309+IF(J309="",0,J309)))</f>
        <v/>
      </c>
      <c r="I309" s="3" t="n"/>
      <c r="J309" s="3" t="n"/>
      <c r="K309" s="3" t="n"/>
    </row>
    <row r="310">
      <c r="A310" s="3" t="n"/>
      <c r="B310" s="3" t="n"/>
      <c r="C310" s="3" t="n"/>
      <c r="D310" s="3" t="n"/>
      <c r="E310" s="4">
        <f>IF(A310="","",COUNTIFS($A$4:A310,A310,$I$4:I310,"&lt;&gt;Штраф -2",$I$4:I310,"&lt;&gt;ушел на базу"))</f>
        <v/>
      </c>
      <c r="F310" s="4">
        <f>IF(E310="","",IF(E310&lt;=3,6,IF(E310&lt;=6,5,IF(E310&lt;=9,4,IF(E310&lt;=12,3,IF(E310&lt;=15,2,0))))))</f>
        <v/>
      </c>
      <c r="G310" s="3" t="n"/>
      <c r="H310" s="4">
        <f>IF(I310="Штраф -2",-2,IF(OR(F310="",G310=""),"",F310*G310+IF(J310="",0,J310)))</f>
        <v/>
      </c>
      <c r="I310" s="3" t="n"/>
      <c r="J310" s="3" t="n"/>
      <c r="K310" s="3" t="n"/>
    </row>
    <row r="311">
      <c r="A311" s="3" t="n"/>
      <c r="B311" s="3" t="n"/>
      <c r="C311" s="3" t="n"/>
      <c r="D311" s="3" t="n"/>
      <c r="E311" s="4">
        <f>IF(A311="","",COUNTIFS($A$4:A311,A311,$I$4:I311,"&lt;&gt;Штраф -2",$I$4:I311,"&lt;&gt;ушел на базу"))</f>
        <v/>
      </c>
      <c r="F311" s="4">
        <f>IF(E311="","",IF(E311&lt;=3,6,IF(E311&lt;=6,5,IF(E311&lt;=9,4,IF(E311&lt;=12,3,IF(E311&lt;=15,2,0))))))</f>
        <v/>
      </c>
      <c r="G311" s="3" t="n"/>
      <c r="H311" s="4">
        <f>IF(I311="Штраф -2",-2,IF(OR(F311="",G311=""),"",F311*G311+IF(J311="",0,J311)))</f>
        <v/>
      </c>
      <c r="I311" s="3" t="n"/>
      <c r="J311" s="3" t="n"/>
      <c r="K311" s="3" t="n"/>
    </row>
    <row r="312">
      <c r="A312" s="3" t="n"/>
      <c r="B312" s="3" t="n"/>
      <c r="C312" s="3" t="n"/>
      <c r="D312" s="3" t="n"/>
      <c r="E312" s="4">
        <f>IF(A312="","",COUNTIFS($A$4:A312,A312,$I$4:I312,"&lt;&gt;Штраф -2",$I$4:I312,"&lt;&gt;ушел на базу"))</f>
        <v/>
      </c>
      <c r="F312" s="4">
        <f>IF(E312="","",IF(E312&lt;=3,6,IF(E312&lt;=6,5,IF(E312&lt;=9,4,IF(E312&lt;=12,3,IF(E312&lt;=15,2,0))))))</f>
        <v/>
      </c>
      <c r="G312" s="3" t="n"/>
      <c r="H312" s="4">
        <f>IF(I312="Штраф -2",-2,IF(OR(F312="",G312=""),"",F312*G312+IF(J312="",0,J312)))</f>
        <v/>
      </c>
      <c r="I312" s="3" t="n"/>
      <c r="J312" s="3" t="n"/>
      <c r="K312" s="3" t="n"/>
    </row>
    <row r="313">
      <c r="A313" s="3" t="n"/>
      <c r="B313" s="3" t="n"/>
      <c r="C313" s="3" t="n"/>
      <c r="D313" s="3" t="n"/>
      <c r="E313" s="4">
        <f>IF(A313="","",COUNTIFS($A$4:A313,A313,$I$4:I313,"&lt;&gt;Штраф -2",$I$4:I313,"&lt;&gt;ушел на базу"))</f>
        <v/>
      </c>
      <c r="F313" s="4">
        <f>IF(E313="","",IF(E313&lt;=3,6,IF(E313&lt;=6,5,IF(E313&lt;=9,4,IF(E313&lt;=12,3,IF(E313&lt;=15,2,0))))))</f>
        <v/>
      </c>
      <c r="G313" s="3" t="n"/>
      <c r="H313" s="4">
        <f>IF(I313="Штраф -2",-2,IF(OR(F313="",G313=""),"",F313*G313+IF(J313="",0,J313)))</f>
        <v/>
      </c>
      <c r="I313" s="3" t="n"/>
      <c r="J313" s="3" t="n"/>
      <c r="K313" s="3" t="n"/>
    </row>
    <row r="314">
      <c r="A314" s="3" t="n"/>
      <c r="B314" s="3" t="n"/>
      <c r="C314" s="3" t="n"/>
      <c r="D314" s="3" t="n"/>
      <c r="E314" s="4">
        <f>IF(A314="","",COUNTIFS($A$4:A314,A314,$I$4:I314,"&lt;&gt;Штраф -2",$I$4:I314,"&lt;&gt;ушел на базу"))</f>
        <v/>
      </c>
      <c r="F314" s="4">
        <f>IF(E314="","",IF(E314&lt;=3,6,IF(E314&lt;=6,5,IF(E314&lt;=9,4,IF(E314&lt;=12,3,IF(E314&lt;=15,2,0))))))</f>
        <v/>
      </c>
      <c r="G314" s="3" t="n"/>
      <c r="H314" s="4">
        <f>IF(I314="Штраф -2",-2,IF(OR(F314="",G314=""),"",F314*G314+IF(J314="",0,J314)))</f>
        <v/>
      </c>
      <c r="I314" s="3" t="n"/>
      <c r="J314" s="3" t="n"/>
      <c r="K314" s="3" t="n"/>
    </row>
    <row r="315">
      <c r="A315" s="3" t="n"/>
      <c r="B315" s="3" t="n"/>
      <c r="C315" s="3" t="n"/>
      <c r="D315" s="3" t="n"/>
      <c r="E315" s="4">
        <f>IF(A315="","",COUNTIFS($A$4:A315,A315,$I$4:I315,"&lt;&gt;Штраф -2",$I$4:I315,"&lt;&gt;ушел на базу"))</f>
        <v/>
      </c>
      <c r="F315" s="4">
        <f>IF(E315="","",IF(E315&lt;=3,6,IF(E315&lt;=6,5,IF(E315&lt;=9,4,IF(E315&lt;=12,3,IF(E315&lt;=15,2,0))))))</f>
        <v/>
      </c>
      <c r="G315" s="3" t="n"/>
      <c r="H315" s="4">
        <f>IF(I315="Штраф -2",-2,IF(OR(F315="",G315=""),"",F315*G315+IF(J315="",0,J315)))</f>
        <v/>
      </c>
      <c r="I315" s="3" t="n"/>
      <c r="J315" s="3" t="n"/>
      <c r="K315" s="3" t="n"/>
    </row>
    <row r="316">
      <c r="A316" s="3" t="n"/>
      <c r="B316" s="3" t="n"/>
      <c r="C316" s="3" t="n"/>
      <c r="D316" s="3" t="n"/>
      <c r="E316" s="4">
        <f>IF(A316="","",COUNTIFS($A$4:A316,A316,$I$4:I316,"&lt;&gt;Штраф -2",$I$4:I316,"&lt;&gt;ушел на базу"))</f>
        <v/>
      </c>
      <c r="F316" s="4">
        <f>IF(E316="","",IF(E316&lt;=3,6,IF(E316&lt;=6,5,IF(E316&lt;=9,4,IF(E316&lt;=12,3,IF(E316&lt;=15,2,0))))))</f>
        <v/>
      </c>
      <c r="G316" s="3" t="n"/>
      <c r="H316" s="4">
        <f>IF(I316="Штраф -2",-2,IF(OR(F316="",G316=""),"",F316*G316+IF(J316="",0,J316)))</f>
        <v/>
      </c>
      <c r="I316" s="3" t="n"/>
      <c r="J316" s="3" t="n"/>
      <c r="K316" s="3" t="n"/>
    </row>
    <row r="317">
      <c r="A317" s="3" t="n"/>
      <c r="B317" s="3" t="n"/>
      <c r="C317" s="3" t="n"/>
      <c r="D317" s="3" t="n"/>
      <c r="E317" s="4">
        <f>IF(A317="","",COUNTIFS($A$4:A317,A317,$I$4:I317,"&lt;&gt;Штраф -2",$I$4:I317,"&lt;&gt;ушел на базу"))</f>
        <v/>
      </c>
      <c r="F317" s="4">
        <f>IF(E317="","",IF(E317&lt;=3,6,IF(E317&lt;=6,5,IF(E317&lt;=9,4,IF(E317&lt;=12,3,IF(E317&lt;=15,2,0))))))</f>
        <v/>
      </c>
      <c r="G317" s="3" t="n"/>
      <c r="H317" s="4">
        <f>IF(I317="Штраф -2",-2,IF(OR(F317="",G317=""),"",F317*G317+IF(J317="",0,J317)))</f>
        <v/>
      </c>
      <c r="I317" s="3" t="n"/>
      <c r="J317" s="3" t="n"/>
      <c r="K317" s="3" t="n"/>
    </row>
    <row r="318">
      <c r="A318" s="3" t="n"/>
      <c r="B318" s="3" t="n"/>
      <c r="C318" s="3" t="n"/>
      <c r="D318" s="3" t="n"/>
      <c r="E318" s="4">
        <f>IF(A318="","",COUNTIFS($A$4:A318,A318,$I$4:I318,"&lt;&gt;Штраф -2",$I$4:I318,"&lt;&gt;ушел на базу"))</f>
        <v/>
      </c>
      <c r="F318" s="4">
        <f>IF(E318="","",IF(E318&lt;=3,6,IF(E318&lt;=6,5,IF(E318&lt;=9,4,IF(E318&lt;=12,3,IF(E318&lt;=15,2,0))))))</f>
        <v/>
      </c>
      <c r="G318" s="3" t="n"/>
      <c r="H318" s="4">
        <f>IF(I318="Штраф -2",-2,IF(OR(F318="",G318=""),"",F318*G318+IF(J318="",0,J318)))</f>
        <v/>
      </c>
      <c r="I318" s="3" t="n"/>
      <c r="J318" s="3" t="n"/>
      <c r="K318" s="3" t="n"/>
    </row>
    <row r="319">
      <c r="A319" s="3" t="n"/>
      <c r="B319" s="3" t="n"/>
      <c r="C319" s="3" t="n"/>
      <c r="D319" s="3" t="n"/>
      <c r="E319" s="4">
        <f>IF(A319="","",COUNTIFS($A$4:A319,A319,$I$4:I319,"&lt;&gt;Штраф -2",$I$4:I319,"&lt;&gt;ушел на базу"))</f>
        <v/>
      </c>
      <c r="F319" s="4">
        <f>IF(E319="","",IF(E319&lt;=3,6,IF(E319&lt;=6,5,IF(E319&lt;=9,4,IF(E319&lt;=12,3,IF(E319&lt;=15,2,0))))))</f>
        <v/>
      </c>
      <c r="G319" s="3" t="n"/>
      <c r="H319" s="4">
        <f>IF(I319="Штраф -2",-2,IF(OR(F319="",G319=""),"",F319*G319+IF(J319="",0,J319)))</f>
        <v/>
      </c>
      <c r="I319" s="3" t="n"/>
      <c r="J319" s="3" t="n"/>
      <c r="K319" s="3" t="n"/>
    </row>
    <row r="320">
      <c r="A320" s="3" t="n"/>
      <c r="B320" s="3" t="n"/>
      <c r="C320" s="3" t="n"/>
      <c r="D320" s="3" t="n"/>
      <c r="E320" s="4">
        <f>IF(A320="","",COUNTIFS($A$4:A320,A320,$I$4:I320,"&lt;&gt;Штраф -2",$I$4:I320,"&lt;&gt;ушел на базу"))</f>
        <v/>
      </c>
      <c r="F320" s="4">
        <f>IF(E320="","",IF(E320&lt;=3,6,IF(E320&lt;=6,5,IF(E320&lt;=9,4,IF(E320&lt;=12,3,IF(E320&lt;=15,2,0))))))</f>
        <v/>
      </c>
      <c r="G320" s="3" t="n"/>
      <c r="H320" s="4">
        <f>IF(I320="Штраф -2",-2,IF(OR(F320="",G320=""),"",F320*G320+IF(J320="",0,J320)))</f>
        <v/>
      </c>
      <c r="I320" s="3" t="n"/>
      <c r="J320" s="3" t="n"/>
      <c r="K320" s="3" t="n"/>
    </row>
    <row r="321">
      <c r="A321" s="3" t="n"/>
      <c r="B321" s="3" t="n"/>
      <c r="C321" s="3" t="n"/>
      <c r="D321" s="3" t="n"/>
      <c r="E321" s="4">
        <f>IF(A321="","",COUNTIFS($A$4:A321,A321,$I$4:I321,"&lt;&gt;Штраф -2",$I$4:I321,"&lt;&gt;ушел на базу"))</f>
        <v/>
      </c>
      <c r="F321" s="4">
        <f>IF(E321="","",IF(E321&lt;=3,6,IF(E321&lt;=6,5,IF(E321&lt;=9,4,IF(E321&lt;=12,3,IF(E321&lt;=15,2,0))))))</f>
        <v/>
      </c>
      <c r="G321" s="3" t="n"/>
      <c r="H321" s="4">
        <f>IF(I321="Штраф -2",-2,IF(OR(F321="",G321=""),"",F321*G321+IF(J321="",0,J321)))</f>
        <v/>
      </c>
      <c r="I321" s="3" t="n"/>
      <c r="J321" s="3" t="n"/>
      <c r="K321" s="3" t="n"/>
    </row>
    <row r="322">
      <c r="A322" s="3" t="n"/>
      <c r="B322" s="3" t="n"/>
      <c r="C322" s="3" t="n"/>
      <c r="D322" s="3" t="n"/>
      <c r="E322" s="4">
        <f>IF(A322="","",COUNTIFS($A$4:A322,A322,$I$4:I322,"&lt;&gt;Штраф -2",$I$4:I322,"&lt;&gt;ушел на базу"))</f>
        <v/>
      </c>
      <c r="F322" s="4">
        <f>IF(E322="","",IF(E322&lt;=3,6,IF(E322&lt;=6,5,IF(E322&lt;=9,4,IF(E322&lt;=12,3,IF(E322&lt;=15,2,0))))))</f>
        <v/>
      </c>
      <c r="G322" s="3" t="n"/>
      <c r="H322" s="4">
        <f>IF(I322="Штраф -2",-2,IF(OR(F322="",G322=""),"",F322*G322+IF(J322="",0,J322)))</f>
        <v/>
      </c>
      <c r="I322" s="3" t="n"/>
      <c r="J322" s="3" t="n"/>
      <c r="K322" s="3" t="n"/>
    </row>
    <row r="323">
      <c r="A323" s="3" t="n"/>
      <c r="B323" s="3" t="n"/>
      <c r="C323" s="3" t="n"/>
      <c r="D323" s="3" t="n"/>
      <c r="E323" s="4">
        <f>IF(A323="","",COUNTIFS($A$4:A323,A323,$I$4:I323,"&lt;&gt;Штраф -2",$I$4:I323,"&lt;&gt;ушел на базу"))</f>
        <v/>
      </c>
      <c r="F323" s="4">
        <f>IF(E323="","",IF(E323&lt;=3,6,IF(E323&lt;=6,5,IF(E323&lt;=9,4,IF(E323&lt;=12,3,IF(E323&lt;=15,2,0))))))</f>
        <v/>
      </c>
      <c r="G323" s="3" t="n"/>
      <c r="H323" s="4">
        <f>IF(I323="Штраф -2",-2,IF(OR(F323="",G323=""),"",F323*G323+IF(J323="",0,J323)))</f>
        <v/>
      </c>
      <c r="I323" s="3" t="n"/>
      <c r="J323" s="3" t="n"/>
      <c r="K323" s="3" t="n"/>
    </row>
    <row r="324">
      <c r="A324" s="3" t="n"/>
      <c r="B324" s="3" t="n"/>
      <c r="C324" s="3" t="n"/>
      <c r="D324" s="3" t="n"/>
      <c r="E324" s="4">
        <f>IF(A324="","",COUNTIFS($A$4:A324,A324,$I$4:I324,"&lt;&gt;Штраф -2",$I$4:I324,"&lt;&gt;ушел на базу"))</f>
        <v/>
      </c>
      <c r="F324" s="4">
        <f>IF(E324="","",IF(E324&lt;=3,6,IF(E324&lt;=6,5,IF(E324&lt;=9,4,IF(E324&lt;=12,3,IF(E324&lt;=15,2,0))))))</f>
        <v/>
      </c>
      <c r="G324" s="3" t="n"/>
      <c r="H324" s="4">
        <f>IF(I324="Штраф -2",-2,IF(OR(F324="",G324=""),"",F324*G324+IF(J324="",0,J324)))</f>
        <v/>
      </c>
      <c r="I324" s="3" t="n"/>
      <c r="J324" s="3" t="n"/>
      <c r="K324" s="3" t="n"/>
    </row>
    <row r="325">
      <c r="A325" s="3" t="n"/>
      <c r="B325" s="3" t="n"/>
      <c r="C325" s="3" t="n"/>
      <c r="D325" s="3" t="n"/>
      <c r="E325" s="4">
        <f>IF(A325="","",COUNTIFS($A$4:A325,A325,$I$4:I325,"&lt;&gt;Штраф -2",$I$4:I325,"&lt;&gt;ушел на базу"))</f>
        <v/>
      </c>
      <c r="F325" s="4">
        <f>IF(E325="","",IF(E325&lt;=3,6,IF(E325&lt;=6,5,IF(E325&lt;=9,4,IF(E325&lt;=12,3,IF(E325&lt;=15,2,0))))))</f>
        <v/>
      </c>
      <c r="G325" s="3" t="n"/>
      <c r="H325" s="4">
        <f>IF(I325="Штраф -2",-2,IF(OR(F325="",G325=""),"",F325*G325+IF(J325="",0,J325)))</f>
        <v/>
      </c>
      <c r="I325" s="3" t="n"/>
      <c r="J325" s="3" t="n"/>
      <c r="K325" s="3" t="n"/>
    </row>
    <row r="326">
      <c r="A326" s="3" t="n"/>
      <c r="B326" s="3" t="n"/>
      <c r="C326" s="3" t="n"/>
      <c r="D326" s="3" t="n"/>
      <c r="E326" s="4">
        <f>IF(A326="","",COUNTIFS($A$4:A326,A326,$I$4:I326,"&lt;&gt;Штраф -2",$I$4:I326,"&lt;&gt;ушел на базу"))</f>
        <v/>
      </c>
      <c r="F326" s="4">
        <f>IF(E326="","",IF(E326&lt;=3,6,IF(E326&lt;=6,5,IF(E326&lt;=9,4,IF(E326&lt;=12,3,IF(E326&lt;=15,2,0))))))</f>
        <v/>
      </c>
      <c r="G326" s="3" t="n"/>
      <c r="H326" s="4">
        <f>IF(I326="Штраф -2",-2,IF(OR(F326="",G326=""),"",F326*G326+IF(J326="",0,J326)))</f>
        <v/>
      </c>
      <c r="I326" s="3" t="n"/>
      <c r="J326" s="3" t="n"/>
      <c r="K326" s="3" t="n"/>
    </row>
    <row r="327">
      <c r="A327" s="3" t="n"/>
      <c r="B327" s="3" t="n"/>
      <c r="C327" s="3" t="n"/>
      <c r="D327" s="3" t="n"/>
      <c r="E327" s="4">
        <f>IF(A327="","",COUNTIFS($A$4:A327,A327,$I$4:I327,"&lt;&gt;Штраф -2",$I$4:I327,"&lt;&gt;ушел на базу"))</f>
        <v/>
      </c>
      <c r="F327" s="4">
        <f>IF(E327="","",IF(E327&lt;=3,6,IF(E327&lt;=6,5,IF(E327&lt;=9,4,IF(E327&lt;=12,3,IF(E327&lt;=15,2,0))))))</f>
        <v/>
      </c>
      <c r="G327" s="3" t="n"/>
      <c r="H327" s="4">
        <f>IF(I327="Штраф -2",-2,IF(OR(F327="",G327=""),"",F327*G327+IF(J327="",0,J327)))</f>
        <v/>
      </c>
      <c r="I327" s="3" t="n"/>
      <c r="J327" s="3" t="n"/>
      <c r="K327" s="3" t="n"/>
    </row>
    <row r="328">
      <c r="A328" s="3" t="n"/>
      <c r="B328" s="3" t="n"/>
      <c r="C328" s="3" t="n"/>
      <c r="D328" s="3" t="n"/>
      <c r="E328" s="4">
        <f>IF(A328="","",COUNTIFS($A$4:A328,A328,$I$4:I328,"&lt;&gt;Штраф -2",$I$4:I328,"&lt;&gt;ушел на базу"))</f>
        <v/>
      </c>
      <c r="F328" s="4">
        <f>IF(E328="","",IF(E328&lt;=3,6,IF(E328&lt;=6,5,IF(E328&lt;=9,4,IF(E328&lt;=12,3,IF(E328&lt;=15,2,0))))))</f>
        <v/>
      </c>
      <c r="G328" s="3" t="n"/>
      <c r="H328" s="4">
        <f>IF(I328="Штраф -2",-2,IF(OR(F328="",G328=""),"",F328*G328+IF(J328="",0,J328)))</f>
        <v/>
      </c>
      <c r="I328" s="3" t="n"/>
      <c r="J328" s="3" t="n"/>
      <c r="K328" s="3" t="n"/>
    </row>
    <row r="329">
      <c r="A329" s="3" t="n"/>
      <c r="B329" s="3" t="n"/>
      <c r="C329" s="3" t="n"/>
      <c r="D329" s="3" t="n"/>
      <c r="E329" s="4">
        <f>IF(A329="","",COUNTIFS($A$4:A329,A329,$I$4:I329,"&lt;&gt;Штраф -2",$I$4:I329,"&lt;&gt;ушел на базу"))</f>
        <v/>
      </c>
      <c r="F329" s="4">
        <f>IF(E329="","",IF(E329&lt;=3,6,IF(E329&lt;=6,5,IF(E329&lt;=9,4,IF(E329&lt;=12,3,IF(E329&lt;=15,2,0))))))</f>
        <v/>
      </c>
      <c r="G329" s="3" t="n"/>
      <c r="H329" s="4">
        <f>IF(I329="Штраф -2",-2,IF(OR(F329="",G329=""),"",F329*G329+IF(J329="",0,J329)))</f>
        <v/>
      </c>
      <c r="I329" s="3" t="n"/>
      <c r="J329" s="3" t="n"/>
      <c r="K329" s="3" t="n"/>
    </row>
    <row r="330">
      <c r="A330" s="3" t="n"/>
      <c r="B330" s="3" t="n"/>
      <c r="C330" s="3" t="n"/>
      <c r="D330" s="3" t="n"/>
      <c r="E330" s="4">
        <f>IF(A330="","",COUNTIFS($A$4:A330,A330,$I$4:I330,"&lt;&gt;Штраф -2",$I$4:I330,"&lt;&gt;ушел на базу"))</f>
        <v/>
      </c>
      <c r="F330" s="4">
        <f>IF(E330="","",IF(E330&lt;=3,6,IF(E330&lt;=6,5,IF(E330&lt;=9,4,IF(E330&lt;=12,3,IF(E330&lt;=15,2,0))))))</f>
        <v/>
      </c>
      <c r="G330" s="3" t="n"/>
      <c r="H330" s="4">
        <f>IF(I330="Штраф -2",-2,IF(OR(F330="",G330=""),"",F330*G330+IF(J330="",0,J330)))</f>
        <v/>
      </c>
      <c r="I330" s="3" t="n"/>
      <c r="J330" s="3" t="n"/>
      <c r="K330" s="3" t="n"/>
    </row>
    <row r="331">
      <c r="A331" s="3" t="n"/>
      <c r="B331" s="3" t="n"/>
      <c r="C331" s="3" t="n"/>
      <c r="D331" s="3" t="n"/>
      <c r="E331" s="4">
        <f>IF(A331="","",COUNTIFS($A$4:A331,A331,$I$4:I331,"&lt;&gt;Штраф -2",$I$4:I331,"&lt;&gt;ушел на базу"))</f>
        <v/>
      </c>
      <c r="F331" s="4">
        <f>IF(E331="","",IF(E331&lt;=3,6,IF(E331&lt;=6,5,IF(E331&lt;=9,4,IF(E331&lt;=12,3,IF(E331&lt;=15,2,0))))))</f>
        <v/>
      </c>
      <c r="G331" s="3" t="n"/>
      <c r="H331" s="4">
        <f>IF(I331="Штраф -2",-2,IF(OR(F331="",G331=""),"",F331*G331+IF(J331="",0,J331)))</f>
        <v/>
      </c>
      <c r="I331" s="3" t="n"/>
      <c r="J331" s="3" t="n"/>
      <c r="K331" s="3" t="n"/>
    </row>
    <row r="332">
      <c r="A332" s="3" t="n"/>
      <c r="B332" s="3" t="n"/>
      <c r="C332" s="3" t="n"/>
      <c r="D332" s="3" t="n"/>
      <c r="E332" s="4">
        <f>IF(A332="","",COUNTIFS($A$4:A332,A332,$I$4:I332,"&lt;&gt;Штраф -2",$I$4:I332,"&lt;&gt;ушел на базу"))</f>
        <v/>
      </c>
      <c r="F332" s="4">
        <f>IF(E332="","",IF(E332&lt;=3,6,IF(E332&lt;=6,5,IF(E332&lt;=9,4,IF(E332&lt;=12,3,IF(E332&lt;=15,2,0))))))</f>
        <v/>
      </c>
      <c r="G332" s="3" t="n"/>
      <c r="H332" s="4">
        <f>IF(I332="Штраф -2",-2,IF(OR(F332="",G332=""),"",F332*G332+IF(J332="",0,J332)))</f>
        <v/>
      </c>
      <c r="I332" s="3" t="n"/>
      <c r="J332" s="3" t="n"/>
      <c r="K332" s="3" t="n"/>
    </row>
    <row r="333">
      <c r="A333" s="3" t="n"/>
      <c r="B333" s="3" t="n"/>
      <c r="C333" s="3" t="n"/>
      <c r="D333" s="3" t="n"/>
      <c r="E333" s="4">
        <f>IF(A333="","",COUNTIFS($A$4:A333,A333,$I$4:I333,"&lt;&gt;Штраф -2",$I$4:I333,"&lt;&gt;ушел на базу"))</f>
        <v/>
      </c>
      <c r="F333" s="4">
        <f>IF(E333="","",IF(E333&lt;=3,6,IF(E333&lt;=6,5,IF(E333&lt;=9,4,IF(E333&lt;=12,3,IF(E333&lt;=15,2,0))))))</f>
        <v/>
      </c>
      <c r="G333" s="3" t="n"/>
      <c r="H333" s="4">
        <f>IF(I333="Штраф -2",-2,IF(OR(F333="",G333=""),"",F333*G333+IF(J333="",0,J333)))</f>
        <v/>
      </c>
      <c r="I333" s="3" t="n"/>
      <c r="J333" s="3" t="n"/>
      <c r="K333" s="3" t="n"/>
    </row>
    <row r="334">
      <c r="A334" s="3" t="n"/>
      <c r="B334" s="3" t="n"/>
      <c r="C334" s="3" t="n"/>
      <c r="D334" s="3" t="n"/>
      <c r="E334" s="4">
        <f>IF(A334="","",COUNTIFS($A$4:A334,A334,$I$4:I334,"&lt;&gt;Штраф -2",$I$4:I334,"&lt;&gt;ушел на базу"))</f>
        <v/>
      </c>
      <c r="F334" s="4">
        <f>IF(E334="","",IF(E334&lt;=3,6,IF(E334&lt;=6,5,IF(E334&lt;=9,4,IF(E334&lt;=12,3,IF(E334&lt;=15,2,0))))))</f>
        <v/>
      </c>
      <c r="G334" s="3" t="n"/>
      <c r="H334" s="4">
        <f>IF(I334="Штраф -2",-2,IF(OR(F334="",G334=""),"",F334*G334+IF(J334="",0,J334)))</f>
        <v/>
      </c>
      <c r="I334" s="3" t="n"/>
      <c r="J334" s="3" t="n"/>
      <c r="K334" s="3" t="n"/>
    </row>
    <row r="335">
      <c r="A335" s="3" t="n"/>
      <c r="B335" s="3" t="n"/>
      <c r="C335" s="3" t="n"/>
      <c r="D335" s="3" t="n"/>
      <c r="E335" s="4">
        <f>IF(A335="","",COUNTIFS($A$4:A335,A335,$I$4:I335,"&lt;&gt;Штраф -2",$I$4:I335,"&lt;&gt;ушел на базу"))</f>
        <v/>
      </c>
      <c r="F335" s="4">
        <f>IF(E335="","",IF(E335&lt;=3,6,IF(E335&lt;=6,5,IF(E335&lt;=9,4,IF(E335&lt;=12,3,IF(E335&lt;=15,2,0))))))</f>
        <v/>
      </c>
      <c r="G335" s="3" t="n"/>
      <c r="H335" s="4">
        <f>IF(I335="Штраф -2",-2,IF(OR(F335="",G335=""),"",F335*G335+IF(J335="",0,J335)))</f>
        <v/>
      </c>
      <c r="I335" s="3" t="n"/>
      <c r="J335" s="3" t="n"/>
      <c r="K335" s="3" t="n"/>
    </row>
    <row r="336">
      <c r="A336" s="3" t="n"/>
      <c r="B336" s="3" t="n"/>
      <c r="C336" s="3" t="n"/>
      <c r="D336" s="3" t="n"/>
      <c r="E336" s="4">
        <f>IF(A336="","",COUNTIFS($A$4:A336,A336,$I$4:I336,"&lt;&gt;Штраф -2",$I$4:I336,"&lt;&gt;ушел на базу"))</f>
        <v/>
      </c>
      <c r="F336" s="4">
        <f>IF(E336="","",IF(E336&lt;=3,6,IF(E336&lt;=6,5,IF(E336&lt;=9,4,IF(E336&lt;=12,3,IF(E336&lt;=15,2,0))))))</f>
        <v/>
      </c>
      <c r="G336" s="3" t="n"/>
      <c r="H336" s="4">
        <f>IF(I336="Штраф -2",-2,IF(OR(F336="",G336=""),"",F336*G336+IF(J336="",0,J336)))</f>
        <v/>
      </c>
      <c r="I336" s="3" t="n"/>
      <c r="J336" s="3" t="n"/>
      <c r="K336" s="3" t="n"/>
    </row>
    <row r="337">
      <c r="A337" s="3" t="n"/>
      <c r="B337" s="3" t="n"/>
      <c r="C337" s="3" t="n"/>
      <c r="D337" s="3" t="n"/>
      <c r="E337" s="4">
        <f>IF(A337="","",COUNTIFS($A$4:A337,A337,$I$4:I337,"&lt;&gt;Штраф -2",$I$4:I337,"&lt;&gt;ушел на базу"))</f>
        <v/>
      </c>
      <c r="F337" s="4">
        <f>IF(E337="","",IF(E337&lt;=3,6,IF(E337&lt;=6,5,IF(E337&lt;=9,4,IF(E337&lt;=12,3,IF(E337&lt;=15,2,0))))))</f>
        <v/>
      </c>
      <c r="G337" s="3" t="n"/>
      <c r="H337" s="4">
        <f>IF(I337="Штраф -2",-2,IF(OR(F337="",G337=""),"",F337*G337+IF(J337="",0,J337)))</f>
        <v/>
      </c>
      <c r="I337" s="3" t="n"/>
      <c r="J337" s="3" t="n"/>
      <c r="K337" s="3" t="n"/>
    </row>
    <row r="338">
      <c r="A338" s="3" t="n"/>
      <c r="B338" s="3" t="n"/>
      <c r="C338" s="3" t="n"/>
      <c r="D338" s="3" t="n"/>
      <c r="E338" s="4">
        <f>IF(A338="","",COUNTIFS($A$4:A338,A338,$I$4:I338,"&lt;&gt;Штраф -2",$I$4:I338,"&lt;&gt;ушел на базу"))</f>
        <v/>
      </c>
      <c r="F338" s="4">
        <f>IF(E338="","",IF(E338&lt;=3,6,IF(E338&lt;=6,5,IF(E338&lt;=9,4,IF(E338&lt;=12,3,IF(E338&lt;=15,2,0))))))</f>
        <v/>
      </c>
      <c r="G338" s="3" t="n"/>
      <c r="H338" s="4">
        <f>IF(I338="Штраф -2",-2,IF(OR(F338="",G338=""),"",F338*G338+IF(J338="",0,J338)))</f>
        <v/>
      </c>
      <c r="I338" s="3" t="n"/>
      <c r="J338" s="3" t="n"/>
      <c r="K338" s="3" t="n"/>
    </row>
    <row r="339">
      <c r="A339" s="3" t="n"/>
      <c r="B339" s="3" t="n"/>
      <c r="C339" s="3" t="n"/>
      <c r="D339" s="3" t="n"/>
      <c r="E339" s="4">
        <f>IF(A339="","",COUNTIFS($A$4:A339,A339,$I$4:I339,"&lt;&gt;Штраф -2",$I$4:I339,"&lt;&gt;ушел на базу"))</f>
        <v/>
      </c>
      <c r="F339" s="4">
        <f>IF(E339="","",IF(E339&lt;=3,6,IF(E339&lt;=6,5,IF(E339&lt;=9,4,IF(E339&lt;=12,3,IF(E339&lt;=15,2,0))))))</f>
        <v/>
      </c>
      <c r="G339" s="3" t="n"/>
      <c r="H339" s="4">
        <f>IF(I339="Штраф -2",-2,IF(OR(F339="",G339=""),"",F339*G339+IF(J339="",0,J339)))</f>
        <v/>
      </c>
      <c r="I339" s="3" t="n"/>
      <c r="J339" s="3" t="n"/>
      <c r="K339" s="3" t="n"/>
    </row>
    <row r="340">
      <c r="A340" s="3" t="n"/>
      <c r="B340" s="3" t="n"/>
      <c r="C340" s="3" t="n"/>
      <c r="D340" s="3" t="n"/>
      <c r="E340" s="4">
        <f>IF(A340="","",COUNTIFS($A$4:A340,A340,$I$4:I340,"&lt;&gt;Штраф -2",$I$4:I340,"&lt;&gt;ушел на базу"))</f>
        <v/>
      </c>
      <c r="F340" s="4">
        <f>IF(E340="","",IF(E340&lt;=3,6,IF(E340&lt;=6,5,IF(E340&lt;=9,4,IF(E340&lt;=12,3,IF(E340&lt;=15,2,0))))))</f>
        <v/>
      </c>
      <c r="G340" s="3" t="n"/>
      <c r="H340" s="4">
        <f>IF(I340="Штраф -2",-2,IF(OR(F340="",G340=""),"",F340*G340+IF(J340="",0,J340)))</f>
        <v/>
      </c>
      <c r="I340" s="3" t="n"/>
      <c r="J340" s="3" t="n"/>
      <c r="K340" s="3" t="n"/>
    </row>
    <row r="341">
      <c r="A341" s="3" t="n"/>
      <c r="B341" s="3" t="n"/>
      <c r="C341" s="3" t="n"/>
      <c r="D341" s="3" t="n"/>
      <c r="E341" s="4">
        <f>IF(A341="","",COUNTIFS($A$4:A341,A341,$I$4:I341,"&lt;&gt;Штраф -2",$I$4:I341,"&lt;&gt;ушел на базу"))</f>
        <v/>
      </c>
      <c r="F341" s="4">
        <f>IF(E341="","",IF(E341&lt;=3,6,IF(E341&lt;=6,5,IF(E341&lt;=9,4,IF(E341&lt;=12,3,IF(E341&lt;=15,2,0))))))</f>
        <v/>
      </c>
      <c r="G341" s="3" t="n"/>
      <c r="H341" s="4">
        <f>IF(I341="Штраф -2",-2,IF(OR(F341="",G341=""),"",F341*G341+IF(J341="",0,J341)))</f>
        <v/>
      </c>
      <c r="I341" s="3" t="n"/>
      <c r="J341" s="3" t="n"/>
      <c r="K341" s="3" t="n"/>
    </row>
    <row r="342">
      <c r="A342" s="3" t="n"/>
      <c r="B342" s="3" t="n"/>
      <c r="C342" s="3" t="n"/>
      <c r="D342" s="3" t="n"/>
      <c r="E342" s="4">
        <f>IF(A342="","",COUNTIFS($A$4:A342,A342,$I$4:I342,"&lt;&gt;Штраф -2",$I$4:I342,"&lt;&gt;ушел на базу"))</f>
        <v/>
      </c>
      <c r="F342" s="4">
        <f>IF(E342="","",IF(E342&lt;=3,6,IF(E342&lt;=6,5,IF(E342&lt;=9,4,IF(E342&lt;=12,3,IF(E342&lt;=15,2,0))))))</f>
        <v/>
      </c>
      <c r="G342" s="3" t="n"/>
      <c r="H342" s="4">
        <f>IF(I342="Штраф -2",-2,IF(OR(F342="",G342=""),"",F342*G342+IF(J342="",0,J342)))</f>
        <v/>
      </c>
      <c r="I342" s="3" t="n"/>
      <c r="J342" s="3" t="n"/>
      <c r="K342" s="3" t="n"/>
    </row>
    <row r="343">
      <c r="A343" s="3" t="n"/>
      <c r="B343" s="3" t="n"/>
      <c r="C343" s="3" t="n"/>
      <c r="D343" s="3" t="n"/>
      <c r="E343" s="4">
        <f>IF(A343="","",COUNTIFS($A$4:A343,A343,$I$4:I343,"&lt;&gt;Штраф -2",$I$4:I343,"&lt;&gt;ушел на базу"))</f>
        <v/>
      </c>
      <c r="F343" s="4">
        <f>IF(E343="","",IF(E343&lt;=3,6,IF(E343&lt;=6,5,IF(E343&lt;=9,4,IF(E343&lt;=12,3,IF(E343&lt;=15,2,0))))))</f>
        <v/>
      </c>
      <c r="G343" s="3" t="n"/>
      <c r="H343" s="4">
        <f>IF(I343="Штраф -2",-2,IF(OR(F343="",G343=""),"",F343*G343+IF(J343="",0,J343)))</f>
        <v/>
      </c>
      <c r="I343" s="3" t="n"/>
      <c r="J343" s="3" t="n"/>
      <c r="K343" s="3" t="n"/>
    </row>
    <row r="344">
      <c r="A344" s="3" t="n"/>
      <c r="B344" s="3" t="n"/>
      <c r="C344" s="3" t="n"/>
      <c r="D344" s="3" t="n"/>
      <c r="E344" s="4">
        <f>IF(A344="","",COUNTIFS($A$4:A344,A344,$I$4:I344,"&lt;&gt;Штраф -2",$I$4:I344,"&lt;&gt;ушел на базу"))</f>
        <v/>
      </c>
      <c r="F344" s="4">
        <f>IF(E344="","",IF(E344&lt;=3,6,IF(E344&lt;=6,5,IF(E344&lt;=9,4,IF(E344&lt;=12,3,IF(E344&lt;=15,2,0))))))</f>
        <v/>
      </c>
      <c r="G344" s="3" t="n"/>
      <c r="H344" s="4">
        <f>IF(I344="Штраф -2",-2,IF(OR(F344="",G344=""),"",F344*G344+IF(J344="",0,J344)))</f>
        <v/>
      </c>
      <c r="I344" s="3" t="n"/>
      <c r="J344" s="3" t="n"/>
      <c r="K344" s="3" t="n"/>
    </row>
    <row r="345">
      <c r="A345" s="3" t="n"/>
      <c r="B345" s="3" t="n"/>
      <c r="C345" s="3" t="n"/>
      <c r="D345" s="3" t="n"/>
      <c r="E345" s="4">
        <f>IF(A345="","",COUNTIFS($A$4:A345,A345,$I$4:I345,"&lt;&gt;Штраф -2",$I$4:I345,"&lt;&gt;ушел на базу"))</f>
        <v/>
      </c>
      <c r="F345" s="4">
        <f>IF(E345="","",IF(E345&lt;=3,6,IF(E345&lt;=6,5,IF(E345&lt;=9,4,IF(E345&lt;=12,3,IF(E345&lt;=15,2,0))))))</f>
        <v/>
      </c>
      <c r="G345" s="3" t="n"/>
      <c r="H345" s="4">
        <f>IF(I345="Штраф -2",-2,IF(OR(F345="",G345=""),"",F345*G345+IF(J345="",0,J345)))</f>
        <v/>
      </c>
      <c r="I345" s="3" t="n"/>
      <c r="J345" s="3" t="n"/>
      <c r="K345" s="3" t="n"/>
    </row>
    <row r="346">
      <c r="A346" s="3" t="n"/>
      <c r="B346" s="3" t="n"/>
      <c r="C346" s="3" t="n"/>
      <c r="D346" s="3" t="n"/>
      <c r="E346" s="4">
        <f>IF(A346="","",COUNTIFS($A$4:A346,A346,$I$4:I346,"&lt;&gt;Штраф -2",$I$4:I346,"&lt;&gt;ушел на базу"))</f>
        <v/>
      </c>
      <c r="F346" s="4">
        <f>IF(E346="","",IF(E346&lt;=3,6,IF(E346&lt;=6,5,IF(E346&lt;=9,4,IF(E346&lt;=12,3,IF(E346&lt;=15,2,0))))))</f>
        <v/>
      </c>
      <c r="G346" s="3" t="n"/>
      <c r="H346" s="4">
        <f>IF(I346="Штраф -2",-2,IF(OR(F346="",G346=""),"",F346*G346+IF(J346="",0,J346)))</f>
        <v/>
      </c>
      <c r="I346" s="3" t="n"/>
      <c r="J346" s="3" t="n"/>
      <c r="K346" s="3" t="n"/>
    </row>
    <row r="347">
      <c r="A347" s="3" t="n"/>
      <c r="B347" s="3" t="n"/>
      <c r="C347" s="3" t="n"/>
      <c r="D347" s="3" t="n"/>
      <c r="E347" s="4">
        <f>IF(A347="","",COUNTIFS($A$4:A347,A347,$I$4:I347,"&lt;&gt;Штраф -2",$I$4:I347,"&lt;&gt;ушел на базу"))</f>
        <v/>
      </c>
      <c r="F347" s="4">
        <f>IF(E347="","",IF(E347&lt;=3,6,IF(E347&lt;=6,5,IF(E347&lt;=9,4,IF(E347&lt;=12,3,IF(E347&lt;=15,2,0))))))</f>
        <v/>
      </c>
      <c r="G347" s="3" t="n"/>
      <c r="H347" s="4">
        <f>IF(I347="Штраф -2",-2,IF(OR(F347="",G347=""),"",F347*G347+IF(J347="",0,J347)))</f>
        <v/>
      </c>
      <c r="I347" s="3" t="n"/>
      <c r="J347" s="3" t="n"/>
      <c r="K347" s="3" t="n"/>
    </row>
    <row r="348">
      <c r="A348" s="3" t="n"/>
      <c r="B348" s="3" t="n"/>
      <c r="C348" s="3" t="n"/>
      <c r="D348" s="3" t="n"/>
      <c r="E348" s="4">
        <f>IF(A348="","",COUNTIFS($A$4:A348,A348,$I$4:I348,"&lt;&gt;Штраф -2",$I$4:I348,"&lt;&gt;ушел на базу"))</f>
        <v/>
      </c>
      <c r="F348" s="4">
        <f>IF(E348="","",IF(E348&lt;=3,6,IF(E348&lt;=6,5,IF(E348&lt;=9,4,IF(E348&lt;=12,3,IF(E348&lt;=15,2,0))))))</f>
        <v/>
      </c>
      <c r="G348" s="3" t="n"/>
      <c r="H348" s="4">
        <f>IF(I348="Штраф -2",-2,IF(OR(F348="",G348=""),"",F348*G348+IF(J348="",0,J348)))</f>
        <v/>
      </c>
      <c r="I348" s="3" t="n"/>
      <c r="J348" s="3" t="n"/>
      <c r="K348" s="3" t="n"/>
    </row>
    <row r="349">
      <c r="A349" s="3" t="n"/>
      <c r="B349" s="3" t="n"/>
      <c r="C349" s="3" t="n"/>
      <c r="D349" s="3" t="n"/>
      <c r="E349" s="4">
        <f>IF(A349="","",COUNTIFS($A$4:A349,A349,$I$4:I349,"&lt;&gt;Штраф -2",$I$4:I349,"&lt;&gt;ушел на базу"))</f>
        <v/>
      </c>
      <c r="F349" s="4">
        <f>IF(E349="","",IF(E349&lt;=3,6,IF(E349&lt;=6,5,IF(E349&lt;=9,4,IF(E349&lt;=12,3,IF(E349&lt;=15,2,0))))))</f>
        <v/>
      </c>
      <c r="G349" s="3" t="n"/>
      <c r="H349" s="4">
        <f>IF(I349="Штраф -2",-2,IF(OR(F349="",G349=""),"",F349*G349+IF(J349="",0,J349)))</f>
        <v/>
      </c>
      <c r="I349" s="3" t="n"/>
      <c r="J349" s="3" t="n"/>
      <c r="K349" s="3" t="n"/>
    </row>
    <row r="350">
      <c r="A350" s="3" t="n"/>
      <c r="B350" s="3" t="n"/>
      <c r="C350" s="3" t="n"/>
      <c r="D350" s="3" t="n"/>
      <c r="E350" s="4">
        <f>IF(A350="","",COUNTIFS($A$4:A350,A350,$I$4:I350,"&lt;&gt;Штраф -2",$I$4:I350,"&lt;&gt;ушел на базу"))</f>
        <v/>
      </c>
      <c r="F350" s="4">
        <f>IF(E350="","",IF(E350&lt;=3,6,IF(E350&lt;=6,5,IF(E350&lt;=9,4,IF(E350&lt;=12,3,IF(E350&lt;=15,2,0))))))</f>
        <v/>
      </c>
      <c r="G350" s="3" t="n"/>
      <c r="H350" s="4">
        <f>IF(I350="Штраф -2",-2,IF(OR(F350="",G350=""),"",F350*G350+IF(J350="",0,J350)))</f>
        <v/>
      </c>
      <c r="I350" s="3" t="n"/>
      <c r="J350" s="3" t="n"/>
      <c r="K350" s="3" t="n"/>
    </row>
    <row r="351">
      <c r="A351" s="3" t="n"/>
      <c r="B351" s="3" t="n"/>
      <c r="C351" s="3" t="n"/>
      <c r="D351" s="3" t="n"/>
      <c r="E351" s="4">
        <f>IF(A351="","",COUNTIFS($A$4:A351,A351,$I$4:I351,"&lt;&gt;Штраф -2",$I$4:I351,"&lt;&gt;ушел на базу"))</f>
        <v/>
      </c>
      <c r="F351" s="4">
        <f>IF(E351="","",IF(E351&lt;=3,6,IF(E351&lt;=6,5,IF(E351&lt;=9,4,IF(E351&lt;=12,3,IF(E351&lt;=15,2,0))))))</f>
        <v/>
      </c>
      <c r="G351" s="3" t="n"/>
      <c r="H351" s="4">
        <f>IF(I351="Штраф -2",-2,IF(OR(F351="",G351=""),"",F351*G351+IF(J351="",0,J351)))</f>
        <v/>
      </c>
      <c r="I351" s="3" t="n"/>
      <c r="J351" s="3" t="n"/>
      <c r="K351" s="3" t="n"/>
    </row>
    <row r="352">
      <c r="A352" s="3" t="n"/>
      <c r="B352" s="3" t="n"/>
      <c r="C352" s="3" t="n"/>
      <c r="D352" s="3" t="n"/>
      <c r="E352" s="4">
        <f>IF(A352="","",COUNTIFS($A$4:A352,A352,$I$4:I352,"&lt;&gt;Штраф -2",$I$4:I352,"&lt;&gt;ушел на базу"))</f>
        <v/>
      </c>
      <c r="F352" s="4">
        <f>IF(E352="","",IF(E352&lt;=3,6,IF(E352&lt;=6,5,IF(E352&lt;=9,4,IF(E352&lt;=12,3,IF(E352&lt;=15,2,0))))))</f>
        <v/>
      </c>
      <c r="G352" s="3" t="n"/>
      <c r="H352" s="4">
        <f>IF(I352="Штраф -2",-2,IF(OR(F352="",G352=""),"",F352*G352+IF(J352="",0,J352)))</f>
        <v/>
      </c>
      <c r="I352" s="3" t="n"/>
      <c r="J352" s="3" t="n"/>
      <c r="K352" s="3" t="n"/>
    </row>
    <row r="353">
      <c r="A353" s="3" t="n"/>
      <c r="B353" s="3" t="n"/>
      <c r="C353" s="3" t="n"/>
      <c r="D353" s="3" t="n"/>
      <c r="E353" s="4">
        <f>IF(A353="","",COUNTIFS($A$4:A353,A353,$I$4:I353,"&lt;&gt;Штраф -2",$I$4:I353,"&lt;&gt;ушел на базу"))</f>
        <v/>
      </c>
      <c r="F353" s="4">
        <f>IF(E353="","",IF(E353&lt;=3,6,IF(E353&lt;=6,5,IF(E353&lt;=9,4,IF(E353&lt;=12,3,IF(E353&lt;=15,2,0))))))</f>
        <v/>
      </c>
      <c r="G353" s="3" t="n"/>
      <c r="H353" s="4">
        <f>IF(I353="Штраф -2",-2,IF(OR(F353="",G353=""),"",F353*G353+IF(J353="",0,J353)))</f>
        <v/>
      </c>
      <c r="I353" s="3" t="n"/>
      <c r="J353" s="3" t="n"/>
      <c r="K353" s="3" t="n"/>
    </row>
    <row r="354">
      <c r="A354" s="3" t="n"/>
      <c r="B354" s="3" t="n"/>
      <c r="C354" s="3" t="n"/>
      <c r="D354" s="3" t="n"/>
      <c r="E354" s="4">
        <f>IF(A354="","",COUNTIFS($A$4:A354,A354,$I$4:I354,"&lt;&gt;Штраф -2",$I$4:I354,"&lt;&gt;ушел на базу"))</f>
        <v/>
      </c>
      <c r="F354" s="4">
        <f>IF(E354="","",IF(E354&lt;=3,6,IF(E354&lt;=6,5,IF(E354&lt;=9,4,IF(E354&lt;=12,3,IF(E354&lt;=15,2,0))))))</f>
        <v/>
      </c>
      <c r="G354" s="3" t="n"/>
      <c r="H354" s="4">
        <f>IF(I354="Штраф -2",-2,IF(OR(F354="",G354=""),"",F354*G354+IF(J354="",0,J354)))</f>
        <v/>
      </c>
      <c r="I354" s="3" t="n"/>
      <c r="J354" s="3" t="n"/>
      <c r="K354" s="3" t="n"/>
    </row>
    <row r="355">
      <c r="A355" s="3" t="n"/>
      <c r="B355" s="3" t="n"/>
      <c r="C355" s="3" t="n"/>
      <c r="D355" s="3" t="n"/>
      <c r="E355" s="4">
        <f>IF(A355="","",COUNTIFS($A$4:A355,A355,$I$4:I355,"&lt;&gt;Штраф -2",$I$4:I355,"&lt;&gt;ушел на базу"))</f>
        <v/>
      </c>
      <c r="F355" s="4">
        <f>IF(E355="","",IF(E355&lt;=3,6,IF(E355&lt;=6,5,IF(E355&lt;=9,4,IF(E355&lt;=12,3,IF(E355&lt;=15,2,0))))))</f>
        <v/>
      </c>
      <c r="G355" s="3" t="n"/>
      <c r="H355" s="4">
        <f>IF(I355="Штраф -2",-2,IF(OR(F355="",G355=""),"",F355*G355+IF(J355="",0,J355)))</f>
        <v/>
      </c>
      <c r="I355" s="3" t="n"/>
      <c r="J355" s="3" t="n"/>
      <c r="K355" s="3" t="n"/>
    </row>
    <row r="356">
      <c r="A356" s="3" t="n"/>
      <c r="B356" s="3" t="n"/>
      <c r="C356" s="3" t="n"/>
      <c r="D356" s="3" t="n"/>
      <c r="E356" s="4">
        <f>IF(A356="","",COUNTIFS($A$4:A356,A356,$I$4:I356,"&lt;&gt;Штраф -2",$I$4:I356,"&lt;&gt;ушел на базу"))</f>
        <v/>
      </c>
      <c r="F356" s="4">
        <f>IF(E356="","",IF(E356&lt;=3,6,IF(E356&lt;=6,5,IF(E356&lt;=9,4,IF(E356&lt;=12,3,IF(E356&lt;=15,2,0))))))</f>
        <v/>
      </c>
      <c r="G356" s="3" t="n"/>
      <c r="H356" s="4">
        <f>IF(I356="Штраф -2",-2,IF(OR(F356="",G356=""),"",F356*G356+IF(J356="",0,J356)))</f>
        <v/>
      </c>
      <c r="I356" s="3" t="n"/>
      <c r="J356" s="3" t="n"/>
      <c r="K356" s="3" t="n"/>
    </row>
    <row r="357">
      <c r="A357" s="3" t="n"/>
      <c r="B357" s="3" t="n"/>
      <c r="C357" s="3" t="n"/>
      <c r="D357" s="3" t="n"/>
      <c r="E357" s="4">
        <f>IF(A357="","",COUNTIFS($A$4:A357,A357,$I$4:I357,"&lt;&gt;Штраф -2",$I$4:I357,"&lt;&gt;ушел на базу"))</f>
        <v/>
      </c>
      <c r="F357" s="4">
        <f>IF(E357="","",IF(E357&lt;=3,6,IF(E357&lt;=6,5,IF(E357&lt;=9,4,IF(E357&lt;=12,3,IF(E357&lt;=15,2,0))))))</f>
        <v/>
      </c>
      <c r="G357" s="3" t="n"/>
      <c r="H357" s="4">
        <f>IF(I357="Штраф -2",-2,IF(OR(F357="",G357=""),"",F357*G357+IF(J357="",0,J357)))</f>
        <v/>
      </c>
      <c r="I357" s="3" t="n"/>
      <c r="J357" s="3" t="n"/>
      <c r="K357" s="3" t="n"/>
    </row>
    <row r="358">
      <c r="A358" s="3" t="n"/>
      <c r="B358" s="3" t="n"/>
      <c r="C358" s="3" t="n"/>
      <c r="D358" s="3" t="n"/>
      <c r="E358" s="4">
        <f>IF(A358="","",COUNTIFS($A$4:A358,A358,$I$4:I358,"&lt;&gt;Штраф -2",$I$4:I358,"&lt;&gt;ушел на базу"))</f>
        <v/>
      </c>
      <c r="F358" s="4">
        <f>IF(E358="","",IF(E358&lt;=3,6,IF(E358&lt;=6,5,IF(E358&lt;=9,4,IF(E358&lt;=12,3,IF(E358&lt;=15,2,0))))))</f>
        <v/>
      </c>
      <c r="G358" s="3" t="n"/>
      <c r="H358" s="4">
        <f>IF(I358="Штраф -2",-2,IF(OR(F358="",G358=""),"",F358*G358+IF(J358="",0,J358)))</f>
        <v/>
      </c>
      <c r="I358" s="3" t="n"/>
      <c r="J358" s="3" t="n"/>
      <c r="K358" s="3" t="n"/>
    </row>
    <row r="359">
      <c r="A359" s="3" t="n"/>
      <c r="B359" s="3" t="n"/>
      <c r="C359" s="3" t="n"/>
      <c r="D359" s="3" t="n"/>
      <c r="E359" s="4">
        <f>IF(A359="","",COUNTIFS($A$4:A359,A359,$I$4:I359,"&lt;&gt;Штраф -2",$I$4:I359,"&lt;&gt;ушел на базу"))</f>
        <v/>
      </c>
      <c r="F359" s="4">
        <f>IF(E359="","",IF(E359&lt;=3,6,IF(E359&lt;=6,5,IF(E359&lt;=9,4,IF(E359&lt;=12,3,IF(E359&lt;=15,2,0))))))</f>
        <v/>
      </c>
      <c r="G359" s="3" t="n"/>
      <c r="H359" s="4">
        <f>IF(I359="Штраф -2",-2,IF(OR(F359="",G359=""),"",F359*G359+IF(J359="",0,J359)))</f>
        <v/>
      </c>
      <c r="I359" s="3" t="n"/>
      <c r="J359" s="3" t="n"/>
      <c r="K359" s="3" t="n"/>
    </row>
    <row r="360">
      <c r="A360" s="3" t="n"/>
      <c r="B360" s="3" t="n"/>
      <c r="C360" s="3" t="n"/>
      <c r="D360" s="3" t="n"/>
      <c r="E360" s="4">
        <f>IF(A360="","",COUNTIFS($A$4:A360,A360,$I$4:I360,"&lt;&gt;Штраф -2",$I$4:I360,"&lt;&gt;ушел на базу"))</f>
        <v/>
      </c>
      <c r="F360" s="4">
        <f>IF(E360="","",IF(E360&lt;=3,6,IF(E360&lt;=6,5,IF(E360&lt;=9,4,IF(E360&lt;=12,3,IF(E360&lt;=15,2,0))))))</f>
        <v/>
      </c>
      <c r="G360" s="3" t="n"/>
      <c r="H360" s="4">
        <f>IF(I360="Штраф -2",-2,IF(OR(F360="",G360=""),"",F360*G360+IF(J360="",0,J360)))</f>
        <v/>
      </c>
      <c r="I360" s="3" t="n"/>
      <c r="J360" s="3" t="n"/>
      <c r="K360" s="3" t="n"/>
    </row>
    <row r="361">
      <c r="A361" s="3" t="n"/>
      <c r="B361" s="3" t="n"/>
      <c r="C361" s="3" t="n"/>
      <c r="D361" s="3" t="n"/>
      <c r="E361" s="4">
        <f>IF(A361="","",COUNTIFS($A$4:A361,A361,$I$4:I361,"&lt;&gt;Штраф -2",$I$4:I361,"&lt;&gt;ушел на базу"))</f>
        <v/>
      </c>
      <c r="F361" s="4">
        <f>IF(E361="","",IF(E361&lt;=3,6,IF(E361&lt;=6,5,IF(E361&lt;=9,4,IF(E361&lt;=12,3,IF(E361&lt;=15,2,0))))))</f>
        <v/>
      </c>
      <c r="G361" s="3" t="n"/>
      <c r="H361" s="4">
        <f>IF(I361="Штраф -2",-2,IF(OR(F361="",G361=""),"",F361*G361+IF(J361="",0,J361)))</f>
        <v/>
      </c>
      <c r="I361" s="3" t="n"/>
      <c r="J361" s="3" t="n"/>
      <c r="K361" s="3" t="n"/>
    </row>
    <row r="362">
      <c r="A362" s="3" t="n"/>
      <c r="B362" s="3" t="n"/>
      <c r="C362" s="3" t="n"/>
      <c r="D362" s="3" t="n"/>
      <c r="E362" s="4">
        <f>IF(A362="","",COUNTIFS($A$4:A362,A362,$I$4:I362,"&lt;&gt;Штраф -2",$I$4:I362,"&lt;&gt;ушел на базу"))</f>
        <v/>
      </c>
      <c r="F362" s="4">
        <f>IF(E362="","",IF(E362&lt;=3,6,IF(E362&lt;=6,5,IF(E362&lt;=9,4,IF(E362&lt;=12,3,IF(E362&lt;=15,2,0))))))</f>
        <v/>
      </c>
      <c r="G362" s="3" t="n"/>
      <c r="H362" s="4">
        <f>IF(I362="Штраф -2",-2,IF(OR(F362="",G362=""),"",F362*G362+IF(J362="",0,J362)))</f>
        <v/>
      </c>
      <c r="I362" s="3" t="n"/>
      <c r="J362" s="3" t="n"/>
      <c r="K362" s="3" t="n"/>
    </row>
    <row r="363">
      <c r="A363" s="3" t="n"/>
      <c r="B363" s="3" t="n"/>
      <c r="C363" s="3" t="n"/>
      <c r="D363" s="3" t="n"/>
      <c r="E363" s="4">
        <f>IF(A363="","",COUNTIFS($A$4:A363,A363,$I$4:I363,"&lt;&gt;Штраф -2",$I$4:I363,"&lt;&gt;ушел на базу"))</f>
        <v/>
      </c>
      <c r="F363" s="4">
        <f>IF(E363="","",IF(E363&lt;=3,6,IF(E363&lt;=6,5,IF(E363&lt;=9,4,IF(E363&lt;=12,3,IF(E363&lt;=15,2,0))))))</f>
        <v/>
      </c>
      <c r="G363" s="3" t="n"/>
      <c r="H363" s="4">
        <f>IF(I363="Штраф -2",-2,IF(OR(F363="",G363=""),"",F363*G363+IF(J363="",0,J363)))</f>
        <v/>
      </c>
      <c r="I363" s="3" t="n"/>
      <c r="J363" s="3" t="n"/>
      <c r="K363" s="3" t="n"/>
    </row>
    <row r="364">
      <c r="A364" s="3" t="n"/>
      <c r="B364" s="3" t="n"/>
      <c r="C364" s="3" t="n"/>
      <c r="D364" s="3" t="n"/>
      <c r="E364" s="4">
        <f>IF(A364="","",COUNTIFS($A$4:A364,A364,$I$4:I364,"&lt;&gt;Штраф -2",$I$4:I364,"&lt;&gt;ушел на базу"))</f>
        <v/>
      </c>
      <c r="F364" s="4">
        <f>IF(E364="","",IF(E364&lt;=3,6,IF(E364&lt;=6,5,IF(E364&lt;=9,4,IF(E364&lt;=12,3,IF(E364&lt;=15,2,0))))))</f>
        <v/>
      </c>
      <c r="G364" s="3" t="n"/>
      <c r="H364" s="4">
        <f>IF(I364="Штраф -2",-2,IF(OR(F364="",G364=""),"",F364*G364+IF(J364="",0,J364)))</f>
        <v/>
      </c>
      <c r="I364" s="3" t="n"/>
      <c r="J364" s="3" t="n"/>
      <c r="K364" s="3" t="n"/>
    </row>
    <row r="365">
      <c r="A365" s="3" t="n"/>
      <c r="B365" s="3" t="n"/>
      <c r="C365" s="3" t="n"/>
      <c r="D365" s="3" t="n"/>
      <c r="E365" s="4">
        <f>IF(A365="","",COUNTIFS($A$4:A365,A365,$I$4:I365,"&lt;&gt;Штраф -2",$I$4:I365,"&lt;&gt;ушел на базу"))</f>
        <v/>
      </c>
      <c r="F365" s="4">
        <f>IF(E365="","",IF(E365&lt;=3,6,IF(E365&lt;=6,5,IF(E365&lt;=9,4,IF(E365&lt;=12,3,IF(E365&lt;=15,2,0))))))</f>
        <v/>
      </c>
      <c r="G365" s="3" t="n"/>
      <c r="H365" s="4">
        <f>IF(I365="Штраф -2",-2,IF(OR(F365="",G365=""),"",F365*G365+IF(J365="",0,J365)))</f>
        <v/>
      </c>
      <c r="I365" s="3" t="n"/>
      <c r="J365" s="3" t="n"/>
      <c r="K365" s="3" t="n"/>
    </row>
    <row r="366">
      <c r="A366" s="3" t="n"/>
      <c r="B366" s="3" t="n"/>
      <c r="C366" s="3" t="n"/>
      <c r="D366" s="3" t="n"/>
      <c r="E366" s="4">
        <f>IF(A366="","",COUNTIFS($A$4:A366,A366,$I$4:I366,"&lt;&gt;Штраф -2",$I$4:I366,"&lt;&gt;ушел на базу"))</f>
        <v/>
      </c>
      <c r="F366" s="4">
        <f>IF(E366="","",IF(E366&lt;=3,6,IF(E366&lt;=6,5,IF(E366&lt;=9,4,IF(E366&lt;=12,3,IF(E366&lt;=15,2,0))))))</f>
        <v/>
      </c>
      <c r="G366" s="3" t="n"/>
      <c r="H366" s="4">
        <f>IF(I366="Штраф -2",-2,IF(OR(F366="",G366=""),"",F366*G366+IF(J366="",0,J366)))</f>
        <v/>
      </c>
      <c r="I366" s="3" t="n"/>
      <c r="J366" s="3" t="n"/>
      <c r="K366" s="3" t="n"/>
    </row>
    <row r="367">
      <c r="A367" s="3" t="n"/>
      <c r="B367" s="3" t="n"/>
      <c r="C367" s="3" t="n"/>
      <c r="D367" s="3" t="n"/>
      <c r="E367" s="4">
        <f>IF(A367="","",COUNTIFS($A$4:A367,A367,$I$4:I367,"&lt;&gt;Штраф -2",$I$4:I367,"&lt;&gt;ушел на базу"))</f>
        <v/>
      </c>
      <c r="F367" s="4">
        <f>IF(E367="","",IF(E367&lt;=3,6,IF(E367&lt;=6,5,IF(E367&lt;=9,4,IF(E367&lt;=12,3,IF(E367&lt;=15,2,0))))))</f>
        <v/>
      </c>
      <c r="G367" s="3" t="n"/>
      <c r="H367" s="4">
        <f>IF(I367="Штраф -2",-2,IF(OR(F367="",G367=""),"",F367*G367+IF(J367="",0,J367)))</f>
        <v/>
      </c>
      <c r="I367" s="3" t="n"/>
      <c r="J367" s="3" t="n"/>
      <c r="K367" s="3" t="n"/>
    </row>
    <row r="368">
      <c r="A368" s="3" t="n"/>
      <c r="B368" s="3" t="n"/>
      <c r="C368" s="3" t="n"/>
      <c r="D368" s="3" t="n"/>
      <c r="E368" s="4">
        <f>IF(A368="","",COUNTIFS($A$4:A368,A368,$I$4:I368,"&lt;&gt;Штраф -2",$I$4:I368,"&lt;&gt;ушел на базу"))</f>
        <v/>
      </c>
      <c r="F368" s="4">
        <f>IF(E368="","",IF(E368&lt;=3,6,IF(E368&lt;=6,5,IF(E368&lt;=9,4,IF(E368&lt;=12,3,IF(E368&lt;=15,2,0))))))</f>
        <v/>
      </c>
      <c r="G368" s="3" t="n"/>
      <c r="H368" s="4">
        <f>IF(I368="Штраф -2",-2,IF(OR(F368="",G368=""),"",F368*G368+IF(J368="",0,J368)))</f>
        <v/>
      </c>
      <c r="I368" s="3" t="n"/>
      <c r="J368" s="3" t="n"/>
      <c r="K368" s="3" t="n"/>
    </row>
    <row r="369">
      <c r="A369" s="3" t="n"/>
      <c r="B369" s="3" t="n"/>
      <c r="C369" s="3" t="n"/>
      <c r="D369" s="3" t="n"/>
      <c r="E369" s="4">
        <f>IF(A369="","",COUNTIFS($A$4:A369,A369,$I$4:I369,"&lt;&gt;Штраф -2",$I$4:I369,"&lt;&gt;ушел на базу"))</f>
        <v/>
      </c>
      <c r="F369" s="4">
        <f>IF(E369="","",IF(E369&lt;=3,6,IF(E369&lt;=6,5,IF(E369&lt;=9,4,IF(E369&lt;=12,3,IF(E369&lt;=15,2,0))))))</f>
        <v/>
      </c>
      <c r="G369" s="3" t="n"/>
      <c r="H369" s="4">
        <f>IF(I369="Штраф -2",-2,IF(OR(F369="",G369=""),"",F369*G369+IF(J369="",0,J369)))</f>
        <v/>
      </c>
      <c r="I369" s="3" t="n"/>
      <c r="J369" s="3" t="n"/>
      <c r="K369" s="3" t="n"/>
    </row>
    <row r="370">
      <c r="A370" s="3" t="n"/>
      <c r="B370" s="3" t="n"/>
      <c r="C370" s="3" t="n"/>
      <c r="D370" s="3" t="n"/>
      <c r="E370" s="4">
        <f>IF(A370="","",COUNTIFS($A$4:A370,A370,$I$4:I370,"&lt;&gt;Штраф -2",$I$4:I370,"&lt;&gt;ушел на базу"))</f>
        <v/>
      </c>
      <c r="F370" s="4">
        <f>IF(E370="","",IF(E370&lt;=3,6,IF(E370&lt;=6,5,IF(E370&lt;=9,4,IF(E370&lt;=12,3,IF(E370&lt;=15,2,0))))))</f>
        <v/>
      </c>
      <c r="G370" s="3" t="n"/>
      <c r="H370" s="4">
        <f>IF(I370="Штраф -2",-2,IF(OR(F370="",G370=""),"",F370*G370+IF(J370="",0,J370)))</f>
        <v/>
      </c>
      <c r="I370" s="3" t="n"/>
      <c r="J370" s="3" t="n"/>
      <c r="K370" s="3" t="n"/>
    </row>
    <row r="371">
      <c r="A371" s="3" t="n"/>
      <c r="B371" s="3" t="n"/>
      <c r="C371" s="3" t="n"/>
      <c r="D371" s="3" t="n"/>
      <c r="E371" s="4">
        <f>IF(A371="","",COUNTIFS($A$4:A371,A371,$I$4:I371,"&lt;&gt;Штраф -2",$I$4:I371,"&lt;&gt;ушел на базу"))</f>
        <v/>
      </c>
      <c r="F371" s="4">
        <f>IF(E371="","",IF(E371&lt;=3,6,IF(E371&lt;=6,5,IF(E371&lt;=9,4,IF(E371&lt;=12,3,IF(E371&lt;=15,2,0))))))</f>
        <v/>
      </c>
      <c r="G371" s="3" t="n"/>
      <c r="H371" s="4">
        <f>IF(I371="Штраф -2",-2,IF(OR(F371="",G371=""),"",F371*G371+IF(J371="",0,J371)))</f>
        <v/>
      </c>
      <c r="I371" s="3" t="n"/>
      <c r="J371" s="3" t="n"/>
      <c r="K371" s="3" t="n"/>
    </row>
    <row r="372">
      <c r="A372" s="3" t="n"/>
      <c r="B372" s="3" t="n"/>
      <c r="C372" s="3" t="n"/>
      <c r="D372" s="3" t="n"/>
      <c r="E372" s="4">
        <f>IF(A372="","",COUNTIFS($A$4:A372,A372,$I$4:I372,"&lt;&gt;Штраф -2",$I$4:I372,"&lt;&gt;ушел на базу"))</f>
        <v/>
      </c>
      <c r="F372" s="4">
        <f>IF(E372="","",IF(E372&lt;=3,6,IF(E372&lt;=6,5,IF(E372&lt;=9,4,IF(E372&lt;=12,3,IF(E372&lt;=15,2,0))))))</f>
        <v/>
      </c>
      <c r="G372" s="3" t="n"/>
      <c r="H372" s="4">
        <f>IF(I372="Штраф -2",-2,IF(OR(F372="",G372=""),"",F372*G372+IF(J372="",0,J372)))</f>
        <v/>
      </c>
      <c r="I372" s="3" t="n"/>
      <c r="J372" s="3" t="n"/>
      <c r="K372" s="3" t="n"/>
    </row>
    <row r="373">
      <c r="A373" s="3" t="n"/>
      <c r="B373" s="3" t="n"/>
      <c r="C373" s="3" t="n"/>
      <c r="D373" s="3" t="n"/>
      <c r="E373" s="4">
        <f>IF(A373="","",COUNTIFS($A$4:A373,A373,$I$4:I373,"&lt;&gt;Штраф -2",$I$4:I373,"&lt;&gt;ушел на базу"))</f>
        <v/>
      </c>
      <c r="F373" s="4">
        <f>IF(E373="","",IF(E373&lt;=3,6,IF(E373&lt;=6,5,IF(E373&lt;=9,4,IF(E373&lt;=12,3,IF(E373&lt;=15,2,0))))))</f>
        <v/>
      </c>
      <c r="G373" s="3" t="n"/>
      <c r="H373" s="4">
        <f>IF(I373="Штраф -2",-2,IF(OR(F373="",G373=""),"",F373*G373+IF(J373="",0,J373)))</f>
        <v/>
      </c>
      <c r="I373" s="3" t="n"/>
      <c r="J373" s="3" t="n"/>
      <c r="K373" s="3" t="n"/>
    </row>
    <row r="374">
      <c r="A374" s="3" t="n"/>
      <c r="B374" s="3" t="n"/>
      <c r="C374" s="3" t="n"/>
      <c r="D374" s="3" t="n"/>
      <c r="E374" s="4">
        <f>IF(A374="","",COUNTIFS($A$4:A374,A374,$I$4:I374,"&lt;&gt;Штраф -2",$I$4:I374,"&lt;&gt;ушел на базу"))</f>
        <v/>
      </c>
      <c r="F374" s="4">
        <f>IF(E374="","",IF(E374&lt;=3,6,IF(E374&lt;=6,5,IF(E374&lt;=9,4,IF(E374&lt;=12,3,IF(E374&lt;=15,2,0))))))</f>
        <v/>
      </c>
      <c r="G374" s="3" t="n"/>
      <c r="H374" s="4">
        <f>IF(I374="Штраф -2",-2,IF(OR(F374="",G374=""),"",F374*G374+IF(J374="",0,J374)))</f>
        <v/>
      </c>
      <c r="I374" s="3" t="n"/>
      <c r="J374" s="3" t="n"/>
      <c r="K374" s="3" t="n"/>
    </row>
    <row r="375">
      <c r="A375" s="3" t="n"/>
      <c r="B375" s="3" t="n"/>
      <c r="C375" s="3" t="n"/>
      <c r="D375" s="3" t="n"/>
      <c r="E375" s="4">
        <f>IF(A375="","",COUNTIFS($A$4:A375,A375,$I$4:I375,"&lt;&gt;Штраф -2",$I$4:I375,"&lt;&gt;ушел на базу"))</f>
        <v/>
      </c>
      <c r="F375" s="4">
        <f>IF(E375="","",IF(E375&lt;=3,6,IF(E375&lt;=6,5,IF(E375&lt;=9,4,IF(E375&lt;=12,3,IF(E375&lt;=15,2,0))))))</f>
        <v/>
      </c>
      <c r="G375" s="3" t="n"/>
      <c r="H375" s="4">
        <f>IF(I375="Штраф -2",-2,IF(OR(F375="",G375=""),"",F375*G375+IF(J375="",0,J375)))</f>
        <v/>
      </c>
      <c r="I375" s="3" t="n"/>
      <c r="J375" s="3" t="n"/>
      <c r="K375" s="3" t="n"/>
    </row>
    <row r="376">
      <c r="A376" s="3" t="n"/>
      <c r="B376" s="3" t="n"/>
      <c r="C376" s="3" t="n"/>
      <c r="D376" s="3" t="n"/>
      <c r="E376" s="4">
        <f>IF(A376="","",COUNTIFS($A$4:A376,A376,$I$4:I376,"&lt;&gt;Штраф -2",$I$4:I376,"&lt;&gt;ушел на базу"))</f>
        <v/>
      </c>
      <c r="F376" s="4">
        <f>IF(E376="","",IF(E376&lt;=3,6,IF(E376&lt;=6,5,IF(E376&lt;=9,4,IF(E376&lt;=12,3,IF(E376&lt;=15,2,0))))))</f>
        <v/>
      </c>
      <c r="G376" s="3" t="n"/>
      <c r="H376" s="4">
        <f>IF(I376="Штраф -2",-2,IF(OR(F376="",G376=""),"",F376*G376+IF(J376="",0,J376)))</f>
        <v/>
      </c>
      <c r="I376" s="3" t="n"/>
      <c r="J376" s="3" t="n"/>
      <c r="K376" s="3" t="n"/>
    </row>
    <row r="377">
      <c r="A377" s="3" t="n"/>
      <c r="B377" s="3" t="n"/>
      <c r="C377" s="3" t="n"/>
      <c r="D377" s="3" t="n"/>
      <c r="E377" s="4">
        <f>IF(A377="","",COUNTIFS($A$4:A377,A377,$I$4:I377,"&lt;&gt;Штраф -2",$I$4:I377,"&lt;&gt;ушел на базу"))</f>
        <v/>
      </c>
      <c r="F377" s="4">
        <f>IF(E377="","",IF(E377&lt;=3,6,IF(E377&lt;=6,5,IF(E377&lt;=9,4,IF(E377&lt;=12,3,IF(E377&lt;=15,2,0))))))</f>
        <v/>
      </c>
      <c r="G377" s="3" t="n"/>
      <c r="H377" s="4">
        <f>IF(I377="Штраф -2",-2,IF(OR(F377="",G377=""),"",F377*G377+IF(J377="",0,J377)))</f>
        <v/>
      </c>
      <c r="I377" s="3" t="n"/>
      <c r="J377" s="3" t="n"/>
      <c r="K377" s="3" t="n"/>
    </row>
    <row r="378">
      <c r="A378" s="3" t="n"/>
      <c r="B378" s="3" t="n"/>
      <c r="C378" s="3" t="n"/>
      <c r="D378" s="3" t="n"/>
      <c r="E378" s="4">
        <f>IF(A378="","",COUNTIFS($A$4:A378,A378,$I$4:I378,"&lt;&gt;Штраф -2",$I$4:I378,"&lt;&gt;ушел на базу"))</f>
        <v/>
      </c>
      <c r="F378" s="4">
        <f>IF(E378="","",IF(E378&lt;=3,6,IF(E378&lt;=6,5,IF(E378&lt;=9,4,IF(E378&lt;=12,3,IF(E378&lt;=15,2,0))))))</f>
        <v/>
      </c>
      <c r="G378" s="3" t="n"/>
      <c r="H378" s="4">
        <f>IF(I378="Штраф -2",-2,IF(OR(F378="",G378=""),"",F378*G378+IF(J378="",0,J378)))</f>
        <v/>
      </c>
      <c r="I378" s="3" t="n"/>
      <c r="J378" s="3" t="n"/>
      <c r="K378" s="3" t="n"/>
    </row>
    <row r="379">
      <c r="A379" s="3" t="n"/>
      <c r="B379" s="3" t="n"/>
      <c r="C379" s="3" t="n"/>
      <c r="D379" s="3" t="n"/>
      <c r="E379" s="4">
        <f>IF(A379="","",COUNTIFS($A$4:A379,A379,$I$4:I379,"&lt;&gt;Штраф -2",$I$4:I379,"&lt;&gt;ушел на базу"))</f>
        <v/>
      </c>
      <c r="F379" s="4">
        <f>IF(E379="","",IF(E379&lt;=3,6,IF(E379&lt;=6,5,IF(E379&lt;=9,4,IF(E379&lt;=12,3,IF(E379&lt;=15,2,0))))))</f>
        <v/>
      </c>
      <c r="G379" s="3" t="n"/>
      <c r="H379" s="4">
        <f>IF(I379="Штраф -2",-2,IF(OR(F379="",G379=""),"",F379*G379+IF(J379="",0,J379)))</f>
        <v/>
      </c>
      <c r="I379" s="3" t="n"/>
      <c r="J379" s="3" t="n"/>
      <c r="K379" s="3" t="n"/>
    </row>
    <row r="380">
      <c r="A380" s="3" t="n"/>
      <c r="B380" s="3" t="n"/>
      <c r="C380" s="3" t="n"/>
      <c r="D380" s="3" t="n"/>
      <c r="E380" s="4">
        <f>IF(A380="","",COUNTIFS($A$4:A380,A380,$I$4:I380,"&lt;&gt;Штраф -2",$I$4:I380,"&lt;&gt;ушел на базу"))</f>
        <v/>
      </c>
      <c r="F380" s="4">
        <f>IF(E380="","",IF(E380&lt;=3,6,IF(E380&lt;=6,5,IF(E380&lt;=9,4,IF(E380&lt;=12,3,IF(E380&lt;=15,2,0))))))</f>
        <v/>
      </c>
      <c r="G380" s="3" t="n"/>
      <c r="H380" s="4">
        <f>IF(I380="Штраф -2",-2,IF(OR(F380="",G380=""),"",F380*G380+IF(J380="",0,J380)))</f>
        <v/>
      </c>
      <c r="I380" s="3" t="n"/>
      <c r="J380" s="3" t="n"/>
      <c r="K380" s="3" t="n"/>
    </row>
    <row r="381">
      <c r="A381" s="3" t="n"/>
      <c r="B381" s="3" t="n"/>
      <c r="C381" s="3" t="n"/>
      <c r="D381" s="3" t="n"/>
      <c r="E381" s="4">
        <f>IF(A381="","",COUNTIFS($A$4:A381,A381,$I$4:I381,"&lt;&gt;Штраф -2",$I$4:I381,"&lt;&gt;ушел на базу"))</f>
        <v/>
      </c>
      <c r="F381" s="4">
        <f>IF(E381="","",IF(E381&lt;=3,6,IF(E381&lt;=6,5,IF(E381&lt;=9,4,IF(E381&lt;=12,3,IF(E381&lt;=15,2,0))))))</f>
        <v/>
      </c>
      <c r="G381" s="3" t="n"/>
      <c r="H381" s="4">
        <f>IF(I381="Штраф -2",-2,IF(OR(F381="",G381=""),"",F381*G381+IF(J381="",0,J381)))</f>
        <v/>
      </c>
      <c r="I381" s="3" t="n"/>
      <c r="J381" s="3" t="n"/>
      <c r="K381" s="3" t="n"/>
    </row>
    <row r="382">
      <c r="A382" s="3" t="n"/>
      <c r="B382" s="3" t="n"/>
      <c r="C382" s="3" t="n"/>
      <c r="D382" s="3" t="n"/>
      <c r="E382" s="4">
        <f>IF(A382="","",COUNTIFS($A$4:A382,A382,$I$4:I382,"&lt;&gt;Штраф -2",$I$4:I382,"&lt;&gt;ушел на базу"))</f>
        <v/>
      </c>
      <c r="F382" s="4">
        <f>IF(E382="","",IF(E382&lt;=3,6,IF(E382&lt;=6,5,IF(E382&lt;=9,4,IF(E382&lt;=12,3,IF(E382&lt;=15,2,0))))))</f>
        <v/>
      </c>
      <c r="G382" s="3" t="n"/>
      <c r="H382" s="4">
        <f>IF(I382="Штраф -2",-2,IF(OR(F382="",G382=""),"",F382*G382+IF(J382="",0,J382)))</f>
        <v/>
      </c>
      <c r="I382" s="3" t="n"/>
      <c r="J382" s="3" t="n"/>
      <c r="K382" s="3" t="n"/>
    </row>
    <row r="383">
      <c r="A383" s="3" t="n"/>
      <c r="B383" s="3" t="n"/>
      <c r="C383" s="3" t="n"/>
      <c r="D383" s="3" t="n"/>
      <c r="E383" s="4">
        <f>IF(A383="","",COUNTIFS($A$4:A383,A383,$I$4:I383,"&lt;&gt;Штраф -2",$I$4:I383,"&lt;&gt;ушел на базу"))</f>
        <v/>
      </c>
      <c r="F383" s="4">
        <f>IF(E383="","",IF(E383&lt;=3,6,IF(E383&lt;=6,5,IF(E383&lt;=9,4,IF(E383&lt;=12,3,IF(E383&lt;=15,2,0))))))</f>
        <v/>
      </c>
      <c r="G383" s="3" t="n"/>
      <c r="H383" s="4">
        <f>IF(I383="Штраф -2",-2,IF(OR(F383="",G383=""),"",F383*G383+IF(J383="",0,J383)))</f>
        <v/>
      </c>
      <c r="I383" s="3" t="n"/>
      <c r="J383" s="3" t="n"/>
      <c r="K383" s="3" t="n"/>
    </row>
    <row r="384">
      <c r="A384" s="3" t="n"/>
      <c r="B384" s="3" t="n"/>
      <c r="C384" s="3" t="n"/>
      <c r="D384" s="3" t="n"/>
      <c r="E384" s="4">
        <f>IF(A384="","",COUNTIFS($A$4:A384,A384,$I$4:I384,"&lt;&gt;Штраф -2",$I$4:I384,"&lt;&gt;ушел на базу"))</f>
        <v/>
      </c>
      <c r="F384" s="4">
        <f>IF(E384="","",IF(E384&lt;=3,6,IF(E384&lt;=6,5,IF(E384&lt;=9,4,IF(E384&lt;=12,3,IF(E384&lt;=15,2,0))))))</f>
        <v/>
      </c>
      <c r="G384" s="3" t="n"/>
      <c r="H384" s="4">
        <f>IF(I384="Штраф -2",-2,IF(OR(F384="",G384=""),"",F384*G384+IF(J384="",0,J384)))</f>
        <v/>
      </c>
      <c r="I384" s="3" t="n"/>
      <c r="J384" s="3" t="n"/>
      <c r="K384" s="3" t="n"/>
    </row>
    <row r="385">
      <c r="A385" s="3" t="n"/>
      <c r="B385" s="3" t="n"/>
      <c r="C385" s="3" t="n"/>
      <c r="D385" s="3" t="n"/>
      <c r="E385" s="4">
        <f>IF(A385="","",COUNTIFS($A$4:A385,A385,$I$4:I385,"&lt;&gt;Штраф -2",$I$4:I385,"&lt;&gt;ушел на базу"))</f>
        <v/>
      </c>
      <c r="F385" s="4">
        <f>IF(E385="","",IF(E385&lt;=3,6,IF(E385&lt;=6,5,IF(E385&lt;=9,4,IF(E385&lt;=12,3,IF(E385&lt;=15,2,0))))))</f>
        <v/>
      </c>
      <c r="G385" s="3" t="n"/>
      <c r="H385" s="4">
        <f>IF(I385="Штраф -2",-2,IF(OR(F385="",G385=""),"",F385*G385+IF(J385="",0,J385)))</f>
        <v/>
      </c>
      <c r="I385" s="3" t="n"/>
      <c r="J385" s="3" t="n"/>
      <c r="K385" s="3" t="n"/>
    </row>
    <row r="386">
      <c r="A386" s="3" t="n"/>
      <c r="B386" s="3" t="n"/>
      <c r="C386" s="3" t="n"/>
      <c r="D386" s="3" t="n"/>
      <c r="E386" s="4">
        <f>IF(A386="","",COUNTIFS($A$4:A386,A386,$I$4:I386,"&lt;&gt;Штраф -2",$I$4:I386,"&lt;&gt;ушел на базу"))</f>
        <v/>
      </c>
      <c r="F386" s="4">
        <f>IF(E386="","",IF(E386&lt;=3,6,IF(E386&lt;=6,5,IF(E386&lt;=9,4,IF(E386&lt;=12,3,IF(E386&lt;=15,2,0))))))</f>
        <v/>
      </c>
      <c r="G386" s="3" t="n"/>
      <c r="H386" s="4">
        <f>IF(I386="Штраф -2",-2,IF(OR(F386="",G386=""),"",F386*G386+IF(J386="",0,J386)))</f>
        <v/>
      </c>
      <c r="I386" s="3" t="n"/>
      <c r="J386" s="3" t="n"/>
      <c r="K386" s="3" t="n"/>
    </row>
    <row r="387">
      <c r="A387" s="3" t="n"/>
      <c r="B387" s="3" t="n"/>
      <c r="C387" s="3" t="n"/>
      <c r="D387" s="3" t="n"/>
      <c r="E387" s="4">
        <f>IF(A387="","",COUNTIFS($A$4:A387,A387,$I$4:I387,"&lt;&gt;Штраф -2",$I$4:I387,"&lt;&gt;ушел на базу"))</f>
        <v/>
      </c>
      <c r="F387" s="4">
        <f>IF(E387="","",IF(E387&lt;=3,6,IF(E387&lt;=6,5,IF(E387&lt;=9,4,IF(E387&lt;=12,3,IF(E387&lt;=15,2,0))))))</f>
        <v/>
      </c>
      <c r="G387" s="3" t="n"/>
      <c r="H387" s="4">
        <f>IF(I387="Штраф -2",-2,IF(OR(F387="",G387=""),"",F387*G387+IF(J387="",0,J387)))</f>
        <v/>
      </c>
      <c r="I387" s="3" t="n"/>
      <c r="J387" s="3" t="n"/>
      <c r="K387" s="3" t="n"/>
    </row>
    <row r="388">
      <c r="A388" s="3" t="n"/>
      <c r="B388" s="3" t="n"/>
      <c r="C388" s="3" t="n"/>
      <c r="D388" s="3" t="n"/>
      <c r="E388" s="4">
        <f>IF(A388="","",COUNTIFS($A$4:A388,A388,$I$4:I388,"&lt;&gt;Штраф -2",$I$4:I388,"&lt;&gt;ушел на базу"))</f>
        <v/>
      </c>
      <c r="F388" s="4">
        <f>IF(E388="","",IF(E388&lt;=3,6,IF(E388&lt;=6,5,IF(E388&lt;=9,4,IF(E388&lt;=12,3,IF(E388&lt;=15,2,0))))))</f>
        <v/>
      </c>
      <c r="G388" s="3" t="n"/>
      <c r="H388" s="4">
        <f>IF(I388="Штраф -2",-2,IF(OR(F388="",G388=""),"",F388*G388+IF(J388="",0,J388)))</f>
        <v/>
      </c>
      <c r="I388" s="3" t="n"/>
      <c r="J388" s="3" t="n"/>
      <c r="K388" s="3" t="n"/>
    </row>
    <row r="389">
      <c r="A389" s="3" t="n"/>
      <c r="B389" s="3" t="n"/>
      <c r="C389" s="3" t="n"/>
      <c r="D389" s="3" t="n"/>
      <c r="E389" s="4">
        <f>IF(A389="","",COUNTIFS($A$4:A389,A389,$I$4:I389,"&lt;&gt;Штраф -2",$I$4:I389,"&lt;&gt;ушел на базу"))</f>
        <v/>
      </c>
      <c r="F389" s="4">
        <f>IF(E389="","",IF(E389&lt;=3,6,IF(E389&lt;=6,5,IF(E389&lt;=9,4,IF(E389&lt;=12,3,IF(E389&lt;=15,2,0))))))</f>
        <v/>
      </c>
      <c r="G389" s="3" t="n"/>
      <c r="H389" s="4">
        <f>IF(I389="Штраф -2",-2,IF(OR(F389="",G389=""),"",F389*G389+IF(J389="",0,J389)))</f>
        <v/>
      </c>
      <c r="I389" s="3" t="n"/>
      <c r="J389" s="3" t="n"/>
      <c r="K389" s="3" t="n"/>
    </row>
    <row r="390">
      <c r="A390" s="3" t="n"/>
      <c r="B390" s="3" t="n"/>
      <c r="C390" s="3" t="n"/>
      <c r="D390" s="3" t="n"/>
      <c r="E390" s="4">
        <f>IF(A390="","",COUNTIFS($A$4:A390,A390,$I$4:I390,"&lt;&gt;Штраф -2",$I$4:I390,"&lt;&gt;ушел на базу"))</f>
        <v/>
      </c>
      <c r="F390" s="4">
        <f>IF(E390="","",IF(E390&lt;=3,6,IF(E390&lt;=6,5,IF(E390&lt;=9,4,IF(E390&lt;=12,3,IF(E390&lt;=15,2,0))))))</f>
        <v/>
      </c>
      <c r="G390" s="3" t="n"/>
      <c r="H390" s="4">
        <f>IF(I390="Штраф -2",-2,IF(OR(F390="",G390=""),"",F390*G390+IF(J390="",0,J390)))</f>
        <v/>
      </c>
      <c r="I390" s="3" t="n"/>
      <c r="J390" s="3" t="n"/>
      <c r="K390" s="3" t="n"/>
    </row>
    <row r="391">
      <c r="A391" s="3" t="n"/>
      <c r="B391" s="3" t="n"/>
      <c r="C391" s="3" t="n"/>
      <c r="D391" s="3" t="n"/>
      <c r="E391" s="4">
        <f>IF(A391="","",COUNTIFS($A$4:A391,A391,$I$4:I391,"&lt;&gt;Штраф -2",$I$4:I391,"&lt;&gt;ушел на базу"))</f>
        <v/>
      </c>
      <c r="F391" s="4">
        <f>IF(E391="","",IF(E391&lt;=3,6,IF(E391&lt;=6,5,IF(E391&lt;=9,4,IF(E391&lt;=12,3,IF(E391&lt;=15,2,0))))))</f>
        <v/>
      </c>
      <c r="G391" s="3" t="n"/>
      <c r="H391" s="4">
        <f>IF(I391="Штраф -2",-2,IF(OR(F391="",G391=""),"",F391*G391+IF(J391="",0,J391)))</f>
        <v/>
      </c>
      <c r="I391" s="3" t="n"/>
      <c r="J391" s="3" t="n"/>
      <c r="K391" s="3" t="n"/>
    </row>
    <row r="392">
      <c r="A392" s="3" t="n"/>
      <c r="B392" s="3" t="n"/>
      <c r="C392" s="3" t="n"/>
      <c r="D392" s="3" t="n"/>
      <c r="E392" s="4">
        <f>IF(A392="","",COUNTIFS($A$4:A392,A392,$I$4:I392,"&lt;&gt;Штраф -2",$I$4:I392,"&lt;&gt;ушел на базу"))</f>
        <v/>
      </c>
      <c r="F392" s="4">
        <f>IF(E392="","",IF(E392&lt;=3,6,IF(E392&lt;=6,5,IF(E392&lt;=9,4,IF(E392&lt;=12,3,IF(E392&lt;=15,2,0))))))</f>
        <v/>
      </c>
      <c r="G392" s="3" t="n"/>
      <c r="H392" s="4">
        <f>IF(I392="Штраф -2",-2,IF(OR(F392="",G392=""),"",F392*G392+IF(J392="",0,J392)))</f>
        <v/>
      </c>
      <c r="I392" s="3" t="n"/>
      <c r="J392" s="3" t="n"/>
      <c r="K392" s="3" t="n"/>
    </row>
    <row r="393">
      <c r="A393" s="3" t="n"/>
      <c r="B393" s="3" t="n"/>
      <c r="C393" s="3" t="n"/>
      <c r="D393" s="3" t="n"/>
      <c r="E393" s="4">
        <f>IF(A393="","",COUNTIFS($A$4:A393,A393,$I$4:I393,"&lt;&gt;Штраф -2",$I$4:I393,"&lt;&gt;ушел на базу"))</f>
        <v/>
      </c>
      <c r="F393" s="4">
        <f>IF(E393="","",IF(E393&lt;=3,6,IF(E393&lt;=6,5,IF(E393&lt;=9,4,IF(E393&lt;=12,3,IF(E393&lt;=15,2,0))))))</f>
        <v/>
      </c>
      <c r="G393" s="3" t="n"/>
      <c r="H393" s="4">
        <f>IF(I393="Штраф -2",-2,IF(OR(F393="",G393=""),"",F393*G393+IF(J393="",0,J393)))</f>
        <v/>
      </c>
      <c r="I393" s="3" t="n"/>
      <c r="J393" s="3" t="n"/>
      <c r="K393" s="3" t="n"/>
    </row>
    <row r="394">
      <c r="A394" s="3" t="n"/>
      <c r="B394" s="3" t="n"/>
      <c r="C394" s="3" t="n"/>
      <c r="D394" s="3" t="n"/>
      <c r="E394" s="4">
        <f>IF(A394="","",COUNTIFS($A$4:A394,A394,$I$4:I394,"&lt;&gt;Штраф -2",$I$4:I394,"&lt;&gt;ушел на базу"))</f>
        <v/>
      </c>
      <c r="F394" s="4">
        <f>IF(E394="","",IF(E394&lt;=3,6,IF(E394&lt;=6,5,IF(E394&lt;=9,4,IF(E394&lt;=12,3,IF(E394&lt;=15,2,0))))))</f>
        <v/>
      </c>
      <c r="G394" s="3" t="n"/>
      <c r="H394" s="4">
        <f>IF(I394="Штраф -2",-2,IF(OR(F394="",G394=""),"",F394*G394+IF(J394="",0,J394)))</f>
        <v/>
      </c>
      <c r="I394" s="3" t="n"/>
      <c r="J394" s="3" t="n"/>
      <c r="K394" s="3" t="n"/>
    </row>
    <row r="395">
      <c r="A395" s="3" t="n"/>
      <c r="B395" s="3" t="n"/>
      <c r="C395" s="3" t="n"/>
      <c r="D395" s="3" t="n"/>
      <c r="E395" s="4">
        <f>IF(A395="","",COUNTIFS($A$4:A395,A395,$I$4:I395,"&lt;&gt;Штраф -2",$I$4:I395,"&lt;&gt;ушел на базу"))</f>
        <v/>
      </c>
      <c r="F395" s="4">
        <f>IF(E395="","",IF(E395&lt;=3,6,IF(E395&lt;=6,5,IF(E395&lt;=9,4,IF(E395&lt;=12,3,IF(E395&lt;=15,2,0))))))</f>
        <v/>
      </c>
      <c r="G395" s="3" t="n"/>
      <c r="H395" s="4">
        <f>IF(I395="Штраф -2",-2,IF(OR(F395="",G395=""),"",F395*G395+IF(J395="",0,J395)))</f>
        <v/>
      </c>
      <c r="I395" s="3" t="n"/>
      <c r="J395" s="3" t="n"/>
      <c r="K395" s="3" t="n"/>
    </row>
    <row r="396">
      <c r="A396" s="3" t="n"/>
      <c r="B396" s="3" t="n"/>
      <c r="C396" s="3" t="n"/>
      <c r="D396" s="3" t="n"/>
      <c r="E396" s="4">
        <f>IF(A396="","",COUNTIFS($A$4:A396,A396,$I$4:I396,"&lt;&gt;Штраф -2",$I$4:I396,"&lt;&gt;ушел на базу"))</f>
        <v/>
      </c>
      <c r="F396" s="4">
        <f>IF(E396="","",IF(E396&lt;=3,6,IF(E396&lt;=6,5,IF(E396&lt;=9,4,IF(E396&lt;=12,3,IF(E396&lt;=15,2,0))))))</f>
        <v/>
      </c>
      <c r="G396" s="3" t="n"/>
      <c r="H396" s="4">
        <f>IF(I396="Штраф -2",-2,IF(OR(F396="",G396=""),"",F396*G396+IF(J396="",0,J396)))</f>
        <v/>
      </c>
      <c r="I396" s="3" t="n"/>
      <c r="J396" s="3" t="n"/>
      <c r="K396" s="3" t="n"/>
    </row>
    <row r="397">
      <c r="A397" s="3" t="n"/>
      <c r="B397" s="3" t="n"/>
      <c r="C397" s="3" t="n"/>
      <c r="D397" s="3" t="n"/>
      <c r="E397" s="4">
        <f>IF(A397="","",COUNTIFS($A$4:A397,A397,$I$4:I397,"&lt;&gt;Штраф -2",$I$4:I397,"&lt;&gt;ушел на базу"))</f>
        <v/>
      </c>
      <c r="F397" s="4">
        <f>IF(E397="","",IF(E397&lt;=3,6,IF(E397&lt;=6,5,IF(E397&lt;=9,4,IF(E397&lt;=12,3,IF(E397&lt;=15,2,0))))))</f>
        <v/>
      </c>
      <c r="G397" s="3" t="n"/>
      <c r="H397" s="4">
        <f>IF(I397="Штраф -2",-2,IF(OR(F397="",G397=""),"",F397*G397+IF(J397="",0,J397)))</f>
        <v/>
      </c>
      <c r="I397" s="3" t="n"/>
      <c r="J397" s="3" t="n"/>
      <c r="K397" s="3" t="n"/>
    </row>
    <row r="398">
      <c r="A398" s="3" t="n"/>
      <c r="B398" s="3" t="n"/>
      <c r="C398" s="3" t="n"/>
      <c r="D398" s="3" t="n"/>
      <c r="E398" s="4">
        <f>IF(A398="","",COUNTIFS($A$4:A398,A398,$I$4:I398,"&lt;&gt;Штраф -2",$I$4:I398,"&lt;&gt;ушел на базу"))</f>
        <v/>
      </c>
      <c r="F398" s="4">
        <f>IF(E398="","",IF(E398&lt;=3,6,IF(E398&lt;=6,5,IF(E398&lt;=9,4,IF(E398&lt;=12,3,IF(E398&lt;=15,2,0))))))</f>
        <v/>
      </c>
      <c r="G398" s="3" t="n"/>
      <c r="H398" s="4">
        <f>IF(I398="Штраф -2",-2,IF(OR(F398="",G398=""),"",F398*G398+IF(J398="",0,J398)))</f>
        <v/>
      </c>
      <c r="I398" s="3" t="n"/>
      <c r="J398" s="3" t="n"/>
      <c r="K398" s="3" t="n"/>
    </row>
    <row r="399">
      <c r="A399" s="3" t="n"/>
      <c r="B399" s="3" t="n"/>
      <c r="C399" s="3" t="n"/>
      <c r="D399" s="3" t="n"/>
      <c r="E399" s="4">
        <f>IF(A399="","",COUNTIFS($A$4:A399,A399,$I$4:I399,"&lt;&gt;Штраф -2",$I$4:I399,"&lt;&gt;ушел на базу"))</f>
        <v/>
      </c>
      <c r="F399" s="4">
        <f>IF(E399="","",IF(E399&lt;=3,6,IF(E399&lt;=6,5,IF(E399&lt;=9,4,IF(E399&lt;=12,3,IF(E399&lt;=15,2,0))))))</f>
        <v/>
      </c>
      <c r="G399" s="3" t="n"/>
      <c r="H399" s="4">
        <f>IF(I399="Штраф -2",-2,IF(OR(F399="",G399=""),"",F399*G399+IF(J399="",0,J399)))</f>
        <v/>
      </c>
      <c r="I399" s="3" t="n"/>
      <c r="J399" s="3" t="n"/>
      <c r="K399" s="3" t="n"/>
    </row>
    <row r="400">
      <c r="A400" s="3" t="n"/>
      <c r="B400" s="3" t="n"/>
      <c r="C400" s="3" t="n"/>
      <c r="D400" s="3" t="n"/>
      <c r="E400" s="4">
        <f>IF(A400="","",COUNTIFS($A$4:A400,A400,$I$4:I400,"&lt;&gt;Штраф -2",$I$4:I400,"&lt;&gt;ушел на базу"))</f>
        <v/>
      </c>
      <c r="F400" s="4">
        <f>IF(E400="","",IF(E400&lt;=3,6,IF(E400&lt;=6,5,IF(E400&lt;=9,4,IF(E400&lt;=12,3,IF(E400&lt;=15,2,0))))))</f>
        <v/>
      </c>
      <c r="G400" s="3" t="n"/>
      <c r="H400" s="4">
        <f>IF(I400="Штраф -2",-2,IF(OR(F400="",G400=""),"",F400*G400+IF(J400="",0,J400)))</f>
        <v/>
      </c>
      <c r="I400" s="3" t="n"/>
      <c r="J400" s="3" t="n"/>
      <c r="K400" s="3" t="n"/>
    </row>
    <row r="401">
      <c r="A401" s="3" t="n"/>
      <c r="B401" s="3" t="n"/>
      <c r="C401" s="3" t="n"/>
      <c r="D401" s="3" t="n"/>
      <c r="E401" s="4">
        <f>IF(A401="","",COUNTIFS($A$4:A401,A401,$I$4:I401,"&lt;&gt;Штраф -2",$I$4:I401,"&lt;&gt;ушел на базу"))</f>
        <v/>
      </c>
      <c r="F401" s="4">
        <f>IF(E401="","",IF(E401&lt;=3,6,IF(E401&lt;=6,5,IF(E401&lt;=9,4,IF(E401&lt;=12,3,IF(E401&lt;=15,2,0))))))</f>
        <v/>
      </c>
      <c r="G401" s="3" t="n"/>
      <c r="H401" s="4">
        <f>IF(I401="Штраф -2",-2,IF(OR(F401="",G401=""),"",F401*G401+IF(J401="",0,J401)))</f>
        <v/>
      </c>
      <c r="I401" s="3" t="n"/>
      <c r="J401" s="3" t="n"/>
      <c r="K401" s="3" t="n"/>
    </row>
    <row r="402">
      <c r="A402" s="3" t="n"/>
      <c r="B402" s="3" t="n"/>
      <c r="C402" s="3" t="n"/>
      <c r="D402" s="3" t="n"/>
      <c r="E402" s="4">
        <f>IF(A402="","",COUNTIFS($A$4:A402,A402,$I$4:I402,"&lt;&gt;Штраф -2",$I$4:I402,"&lt;&gt;ушел на базу"))</f>
        <v/>
      </c>
      <c r="F402" s="4">
        <f>IF(E402="","",IF(E402&lt;=3,6,IF(E402&lt;=6,5,IF(E402&lt;=9,4,IF(E402&lt;=12,3,IF(E402&lt;=15,2,0))))))</f>
        <v/>
      </c>
      <c r="G402" s="3" t="n"/>
      <c r="H402" s="4">
        <f>IF(I402="Штраф -2",-2,IF(OR(F402="",G402=""),"",F402*G402+IF(J402="",0,J402)))</f>
        <v/>
      </c>
      <c r="I402" s="3" t="n"/>
      <c r="J402" s="3" t="n"/>
      <c r="K402" s="3" t="n"/>
    </row>
    <row r="403">
      <c r="A403" s="3" t="n"/>
      <c r="B403" s="3" t="n"/>
      <c r="C403" s="3" t="n"/>
      <c r="D403" s="3" t="n"/>
      <c r="E403" s="4">
        <f>IF(A403="","",COUNTIFS($A$4:A403,A403,$I$4:I403,"&lt;&gt;Штраф -2",$I$4:I403,"&lt;&gt;ушел на базу"))</f>
        <v/>
      </c>
      <c r="F403" s="4">
        <f>IF(E403="","",IF(E403&lt;=3,6,IF(E403&lt;=6,5,IF(E403&lt;=9,4,IF(E403&lt;=12,3,IF(E403&lt;=15,2,0))))))</f>
        <v/>
      </c>
      <c r="G403" s="3" t="n"/>
      <c r="H403" s="4">
        <f>IF(I403="Штраф -2",-2,IF(OR(F403="",G403=""),"",F403*G403+IF(J403="",0,J403)))</f>
        <v/>
      </c>
      <c r="I403" s="3" t="n"/>
      <c r="J403" s="3" t="n"/>
      <c r="K403" s="3" t="n"/>
    </row>
    <row r="404">
      <c r="A404" s="3" t="n"/>
      <c r="B404" s="3" t="n"/>
      <c r="C404" s="3" t="n"/>
      <c r="D404" s="3" t="n"/>
      <c r="E404" s="4">
        <f>IF(A404="","",COUNTIFS($A$4:A404,A404,$I$4:I404,"&lt;&gt;Штраф -2",$I$4:I404,"&lt;&gt;ушел на базу"))</f>
        <v/>
      </c>
      <c r="F404" s="4">
        <f>IF(E404="","",IF(E404&lt;=3,6,IF(E404&lt;=6,5,IF(E404&lt;=9,4,IF(E404&lt;=12,3,IF(E404&lt;=15,2,0))))))</f>
        <v/>
      </c>
      <c r="G404" s="3" t="n"/>
      <c r="H404" s="4">
        <f>IF(I404="Штраф -2",-2,IF(OR(F404="",G404=""),"",F404*G404+IF(J404="",0,J404)))</f>
        <v/>
      </c>
      <c r="I404" s="3" t="n"/>
      <c r="J404" s="3" t="n"/>
      <c r="K404" s="3" t="n"/>
    </row>
    <row r="405">
      <c r="A405" s="3" t="n"/>
      <c r="B405" s="3" t="n"/>
      <c r="C405" s="3" t="n"/>
      <c r="D405" s="3" t="n"/>
      <c r="E405" s="4">
        <f>IF(A405="","",COUNTIFS($A$4:A405,A405,$I$4:I405,"&lt;&gt;Штраф -2",$I$4:I405,"&lt;&gt;ушел на базу"))</f>
        <v/>
      </c>
      <c r="F405" s="4">
        <f>IF(E405="","",IF(E405&lt;=3,6,IF(E405&lt;=6,5,IF(E405&lt;=9,4,IF(E405&lt;=12,3,IF(E405&lt;=15,2,0))))))</f>
        <v/>
      </c>
      <c r="G405" s="3" t="n"/>
      <c r="H405" s="4">
        <f>IF(I405="Штраф -2",-2,IF(OR(F405="",G405=""),"",F405*G405+IF(J405="",0,J405)))</f>
        <v/>
      </c>
      <c r="I405" s="3" t="n"/>
      <c r="J405" s="3" t="n"/>
      <c r="K405" s="3" t="n"/>
    </row>
    <row r="406">
      <c r="A406" s="3" t="n"/>
      <c r="B406" s="3" t="n"/>
      <c r="C406" s="3" t="n"/>
      <c r="D406" s="3" t="n"/>
      <c r="E406" s="4">
        <f>IF(A406="","",COUNTIFS($A$4:A406,A406,$I$4:I406,"&lt;&gt;Штраф -2",$I$4:I406,"&lt;&gt;ушел на базу"))</f>
        <v/>
      </c>
      <c r="F406" s="4">
        <f>IF(E406="","",IF(E406&lt;=3,6,IF(E406&lt;=6,5,IF(E406&lt;=9,4,IF(E406&lt;=12,3,IF(E406&lt;=15,2,0))))))</f>
        <v/>
      </c>
      <c r="G406" s="3" t="n"/>
      <c r="H406" s="4">
        <f>IF(I406="Штраф -2",-2,IF(OR(F406="",G406=""),"",F406*G406+IF(J406="",0,J406)))</f>
        <v/>
      </c>
      <c r="I406" s="3" t="n"/>
      <c r="J406" s="3" t="n"/>
      <c r="K406" s="3" t="n"/>
    </row>
    <row r="407">
      <c r="A407" s="3" t="n"/>
      <c r="B407" s="3" t="n"/>
      <c r="C407" s="3" t="n"/>
      <c r="D407" s="3" t="n"/>
      <c r="E407" s="4">
        <f>IF(A407="","",COUNTIFS($A$4:A407,A407,$I$4:I407,"&lt;&gt;Штраф -2",$I$4:I407,"&lt;&gt;ушел на базу"))</f>
        <v/>
      </c>
      <c r="F407" s="4">
        <f>IF(E407="","",IF(E407&lt;=3,6,IF(E407&lt;=6,5,IF(E407&lt;=9,4,IF(E407&lt;=12,3,IF(E407&lt;=15,2,0))))))</f>
        <v/>
      </c>
      <c r="G407" s="3" t="n"/>
      <c r="H407" s="4">
        <f>IF(I407="Штраф -2",-2,IF(OR(F407="",G407=""),"",F407*G407+IF(J407="",0,J407)))</f>
        <v/>
      </c>
      <c r="I407" s="3" t="n"/>
      <c r="J407" s="3" t="n"/>
      <c r="K407" s="3" t="n"/>
    </row>
    <row r="408">
      <c r="A408" s="3" t="n"/>
      <c r="B408" s="3" t="n"/>
      <c r="C408" s="3" t="n"/>
      <c r="D408" s="3" t="n"/>
      <c r="E408" s="4">
        <f>IF(A408="","",COUNTIFS($A$4:A408,A408,$I$4:I408,"&lt;&gt;Штраф -2",$I$4:I408,"&lt;&gt;ушел на базу"))</f>
        <v/>
      </c>
      <c r="F408" s="4">
        <f>IF(E408="","",IF(E408&lt;=3,6,IF(E408&lt;=6,5,IF(E408&lt;=9,4,IF(E408&lt;=12,3,IF(E408&lt;=15,2,0))))))</f>
        <v/>
      </c>
      <c r="G408" s="3" t="n"/>
      <c r="H408" s="4">
        <f>IF(I408="Штраф -2",-2,IF(OR(F408="",G408=""),"",F408*G408+IF(J408="",0,J408)))</f>
        <v/>
      </c>
      <c r="I408" s="3" t="n"/>
      <c r="J408" s="3" t="n"/>
      <c r="K408" s="3" t="n"/>
    </row>
    <row r="409">
      <c r="A409" s="3" t="n"/>
      <c r="B409" s="3" t="n"/>
      <c r="C409" s="3" t="n"/>
      <c r="D409" s="3" t="n"/>
      <c r="E409" s="4">
        <f>IF(A409="","",COUNTIFS($A$4:A409,A409,$I$4:I409,"&lt;&gt;Штраф -2",$I$4:I409,"&lt;&gt;ушел на базу"))</f>
        <v/>
      </c>
      <c r="F409" s="4">
        <f>IF(E409="","",IF(E409&lt;=3,6,IF(E409&lt;=6,5,IF(E409&lt;=9,4,IF(E409&lt;=12,3,IF(E409&lt;=15,2,0))))))</f>
        <v/>
      </c>
      <c r="G409" s="3" t="n"/>
      <c r="H409" s="4">
        <f>IF(I409="Штраф -2",-2,IF(OR(F409="",G409=""),"",F409*G409+IF(J409="",0,J409)))</f>
        <v/>
      </c>
      <c r="I409" s="3" t="n"/>
      <c r="J409" s="3" t="n"/>
      <c r="K409" s="3" t="n"/>
    </row>
    <row r="410">
      <c r="A410" s="3" t="n"/>
      <c r="B410" s="3" t="n"/>
      <c r="C410" s="3" t="n"/>
      <c r="D410" s="3" t="n"/>
      <c r="E410" s="4">
        <f>IF(A410="","",COUNTIFS($A$4:A410,A410,$I$4:I410,"&lt;&gt;Штраф -2",$I$4:I410,"&lt;&gt;ушел на базу"))</f>
        <v/>
      </c>
      <c r="F410" s="4">
        <f>IF(E410="","",IF(E410&lt;=3,6,IF(E410&lt;=6,5,IF(E410&lt;=9,4,IF(E410&lt;=12,3,IF(E410&lt;=15,2,0))))))</f>
        <v/>
      </c>
      <c r="G410" s="3" t="n"/>
      <c r="H410" s="4">
        <f>IF(I410="Штраф -2",-2,IF(OR(F410="",G410=""),"",F410*G410+IF(J410="",0,J410)))</f>
        <v/>
      </c>
      <c r="I410" s="3" t="n"/>
      <c r="J410" s="3" t="n"/>
      <c r="K410" s="3" t="n"/>
    </row>
    <row r="411">
      <c r="A411" s="3" t="n"/>
      <c r="B411" s="3" t="n"/>
      <c r="C411" s="3" t="n"/>
      <c r="D411" s="3" t="n"/>
      <c r="E411" s="4">
        <f>IF(A411="","",COUNTIFS($A$4:A411,A411,$I$4:I411,"&lt;&gt;Штраф -2",$I$4:I411,"&lt;&gt;ушел на базу"))</f>
        <v/>
      </c>
      <c r="F411" s="4">
        <f>IF(E411="","",IF(E411&lt;=3,6,IF(E411&lt;=6,5,IF(E411&lt;=9,4,IF(E411&lt;=12,3,IF(E411&lt;=15,2,0))))))</f>
        <v/>
      </c>
      <c r="G411" s="3" t="n"/>
      <c r="H411" s="4">
        <f>IF(I411="Штраф -2",-2,IF(OR(F411="",G411=""),"",F411*G411+IF(J411="",0,J411)))</f>
        <v/>
      </c>
      <c r="I411" s="3" t="n"/>
      <c r="J411" s="3" t="n"/>
      <c r="K411" s="3" t="n"/>
    </row>
    <row r="412">
      <c r="A412" s="3" t="n"/>
      <c r="B412" s="3" t="n"/>
      <c r="C412" s="3" t="n"/>
      <c r="D412" s="3" t="n"/>
      <c r="E412" s="4">
        <f>IF(A412="","",COUNTIFS($A$4:A412,A412,$I$4:I412,"&lt;&gt;Штраф -2",$I$4:I412,"&lt;&gt;ушел на базу"))</f>
        <v/>
      </c>
      <c r="F412" s="4">
        <f>IF(E412="","",IF(E412&lt;=3,6,IF(E412&lt;=6,5,IF(E412&lt;=9,4,IF(E412&lt;=12,3,IF(E412&lt;=15,2,0))))))</f>
        <v/>
      </c>
      <c r="G412" s="3" t="n"/>
      <c r="H412" s="4">
        <f>IF(I412="Штраф -2",-2,IF(OR(F412="",G412=""),"",F412*G412+IF(J412="",0,J412)))</f>
        <v/>
      </c>
      <c r="I412" s="3" t="n"/>
      <c r="J412" s="3" t="n"/>
      <c r="K412" s="3" t="n"/>
    </row>
    <row r="413">
      <c r="A413" s="3" t="n"/>
      <c r="B413" s="3" t="n"/>
      <c r="C413" s="3" t="n"/>
      <c r="D413" s="3" t="n"/>
      <c r="E413" s="4">
        <f>IF(A413="","",COUNTIFS($A$4:A413,A413,$I$4:I413,"&lt;&gt;Штраф -2",$I$4:I413,"&lt;&gt;ушел на базу"))</f>
        <v/>
      </c>
      <c r="F413" s="4">
        <f>IF(E413="","",IF(E413&lt;=3,6,IF(E413&lt;=6,5,IF(E413&lt;=9,4,IF(E413&lt;=12,3,IF(E413&lt;=15,2,0))))))</f>
        <v/>
      </c>
      <c r="G413" s="3" t="n"/>
      <c r="H413" s="4">
        <f>IF(I413="Штраф -2",-2,IF(OR(F413="",G413=""),"",F413*G413+IF(J413="",0,J413)))</f>
        <v/>
      </c>
      <c r="I413" s="3" t="n"/>
      <c r="J413" s="3" t="n"/>
      <c r="K413" s="3" t="n"/>
    </row>
    <row r="414">
      <c r="A414" s="3" t="n"/>
      <c r="B414" s="3" t="n"/>
      <c r="C414" s="3" t="n"/>
      <c r="D414" s="3" t="n"/>
      <c r="E414" s="4">
        <f>IF(A414="","",COUNTIFS($A$4:A414,A414,$I$4:I414,"&lt;&gt;Штраф -2",$I$4:I414,"&lt;&gt;ушел на базу"))</f>
        <v/>
      </c>
      <c r="F414" s="4">
        <f>IF(E414="","",IF(E414&lt;=3,6,IF(E414&lt;=6,5,IF(E414&lt;=9,4,IF(E414&lt;=12,3,IF(E414&lt;=15,2,0))))))</f>
        <v/>
      </c>
      <c r="G414" s="3" t="n"/>
      <c r="H414" s="4">
        <f>IF(I414="Штраф -2",-2,IF(OR(F414="",G414=""),"",F414*G414+IF(J414="",0,J414)))</f>
        <v/>
      </c>
      <c r="I414" s="3" t="n"/>
      <c r="J414" s="3" t="n"/>
      <c r="K414" s="3" t="n"/>
    </row>
    <row r="415">
      <c r="A415" s="3" t="n"/>
      <c r="B415" s="3" t="n"/>
      <c r="C415" s="3" t="n"/>
      <c r="D415" s="3" t="n"/>
      <c r="E415" s="4">
        <f>IF(A415="","",COUNTIFS($A$4:A415,A415,$I$4:I415,"&lt;&gt;Штраф -2",$I$4:I415,"&lt;&gt;ушел на базу"))</f>
        <v/>
      </c>
      <c r="F415" s="4">
        <f>IF(E415="","",IF(E415&lt;=3,6,IF(E415&lt;=6,5,IF(E415&lt;=9,4,IF(E415&lt;=12,3,IF(E415&lt;=15,2,0))))))</f>
        <v/>
      </c>
      <c r="G415" s="3" t="n"/>
      <c r="H415" s="4">
        <f>IF(I415="Штраф -2",-2,IF(OR(F415="",G415=""),"",F415*G415+IF(J415="",0,J415)))</f>
        <v/>
      </c>
      <c r="I415" s="3" t="n"/>
      <c r="J415" s="3" t="n"/>
      <c r="K415" s="3" t="n"/>
    </row>
    <row r="416">
      <c r="A416" s="3" t="n"/>
      <c r="B416" s="3" t="n"/>
      <c r="C416" s="3" t="n"/>
      <c r="D416" s="3" t="n"/>
      <c r="E416" s="4">
        <f>IF(A416="","",COUNTIFS($A$4:A416,A416,$I$4:I416,"&lt;&gt;Штраф -2",$I$4:I416,"&lt;&gt;ушел на базу"))</f>
        <v/>
      </c>
      <c r="F416" s="4">
        <f>IF(E416="","",IF(E416&lt;=3,6,IF(E416&lt;=6,5,IF(E416&lt;=9,4,IF(E416&lt;=12,3,IF(E416&lt;=15,2,0))))))</f>
        <v/>
      </c>
      <c r="G416" s="3" t="n"/>
      <c r="H416" s="4">
        <f>IF(I416="Штраф -2",-2,IF(OR(F416="",G416=""),"",F416*G416+IF(J416="",0,J416)))</f>
        <v/>
      </c>
      <c r="I416" s="3" t="n"/>
      <c r="J416" s="3" t="n"/>
      <c r="K416" s="3" t="n"/>
    </row>
    <row r="417">
      <c r="A417" s="3" t="n"/>
      <c r="B417" s="3" t="n"/>
      <c r="C417" s="3" t="n"/>
      <c r="D417" s="3" t="n"/>
      <c r="E417" s="4">
        <f>IF(A417="","",COUNTIFS($A$4:A417,A417,$I$4:I417,"&lt;&gt;Штраф -2",$I$4:I417,"&lt;&gt;ушел на базу"))</f>
        <v/>
      </c>
      <c r="F417" s="4">
        <f>IF(E417="","",IF(E417&lt;=3,6,IF(E417&lt;=6,5,IF(E417&lt;=9,4,IF(E417&lt;=12,3,IF(E417&lt;=15,2,0))))))</f>
        <v/>
      </c>
      <c r="G417" s="3" t="n"/>
      <c r="H417" s="4">
        <f>IF(I417="Штраф -2",-2,IF(OR(F417="",G417=""),"",F417*G417+IF(J417="",0,J417)))</f>
        <v/>
      </c>
      <c r="I417" s="3" t="n"/>
      <c r="J417" s="3" t="n"/>
      <c r="K417" s="3" t="n"/>
    </row>
    <row r="418">
      <c r="A418" s="3" t="n"/>
      <c r="B418" s="3" t="n"/>
      <c r="C418" s="3" t="n"/>
      <c r="D418" s="3" t="n"/>
      <c r="E418" s="4">
        <f>IF(A418="","",COUNTIFS($A$4:A418,A418,$I$4:I418,"&lt;&gt;Штраф -2",$I$4:I418,"&lt;&gt;ушел на базу"))</f>
        <v/>
      </c>
      <c r="F418" s="4">
        <f>IF(E418="","",IF(E418&lt;=3,6,IF(E418&lt;=6,5,IF(E418&lt;=9,4,IF(E418&lt;=12,3,IF(E418&lt;=15,2,0))))))</f>
        <v/>
      </c>
      <c r="G418" s="3" t="n"/>
      <c r="H418" s="4">
        <f>IF(I418="Штраф -2",-2,IF(OR(F418="",G418=""),"",F418*G418+IF(J418="",0,J418)))</f>
        <v/>
      </c>
      <c r="I418" s="3" t="n"/>
      <c r="J418" s="3" t="n"/>
      <c r="K418" s="3" t="n"/>
    </row>
    <row r="419">
      <c r="A419" s="3" t="n"/>
      <c r="B419" s="3" t="n"/>
      <c r="C419" s="3" t="n"/>
      <c r="D419" s="3" t="n"/>
      <c r="E419" s="4">
        <f>IF(A419="","",COUNTIFS($A$4:A419,A419,$I$4:I419,"&lt;&gt;Штраф -2",$I$4:I419,"&lt;&gt;ушел на базу"))</f>
        <v/>
      </c>
      <c r="F419" s="4">
        <f>IF(E419="","",IF(E419&lt;=3,6,IF(E419&lt;=6,5,IF(E419&lt;=9,4,IF(E419&lt;=12,3,IF(E419&lt;=15,2,0))))))</f>
        <v/>
      </c>
      <c r="G419" s="3" t="n"/>
      <c r="H419" s="4">
        <f>IF(I419="Штраф -2",-2,IF(OR(F419="",G419=""),"",F419*G419+IF(J419="",0,J419)))</f>
        <v/>
      </c>
      <c r="I419" s="3" t="n"/>
      <c r="J419" s="3" t="n"/>
      <c r="K419" s="3" t="n"/>
    </row>
    <row r="420">
      <c r="A420" s="3" t="n"/>
      <c r="B420" s="3" t="n"/>
      <c r="C420" s="3" t="n"/>
      <c r="D420" s="3" t="n"/>
      <c r="E420" s="4">
        <f>IF(A420="","",COUNTIFS($A$4:A420,A420,$I$4:I420,"&lt;&gt;Штраф -2",$I$4:I420,"&lt;&gt;ушел на базу"))</f>
        <v/>
      </c>
      <c r="F420" s="4">
        <f>IF(E420="","",IF(E420&lt;=3,6,IF(E420&lt;=6,5,IF(E420&lt;=9,4,IF(E420&lt;=12,3,IF(E420&lt;=15,2,0))))))</f>
        <v/>
      </c>
      <c r="G420" s="3" t="n"/>
      <c r="H420" s="4">
        <f>IF(I420="Штраф -2",-2,IF(OR(F420="",G420=""),"",F420*G420+IF(J420="",0,J420)))</f>
        <v/>
      </c>
      <c r="I420" s="3" t="n"/>
      <c r="J420" s="3" t="n"/>
      <c r="K420" s="3" t="n"/>
    </row>
    <row r="421">
      <c r="A421" s="3" t="n"/>
      <c r="B421" s="3" t="n"/>
      <c r="C421" s="3" t="n"/>
      <c r="D421" s="3" t="n"/>
      <c r="E421" s="4">
        <f>IF(A421="","",COUNTIFS($A$4:A421,A421,$I$4:I421,"&lt;&gt;Штраф -2",$I$4:I421,"&lt;&gt;ушел на базу"))</f>
        <v/>
      </c>
      <c r="F421" s="4">
        <f>IF(E421="","",IF(E421&lt;=3,6,IF(E421&lt;=6,5,IF(E421&lt;=9,4,IF(E421&lt;=12,3,IF(E421&lt;=15,2,0))))))</f>
        <v/>
      </c>
      <c r="G421" s="3" t="n"/>
      <c r="H421" s="4">
        <f>IF(I421="Штраф -2",-2,IF(OR(F421="",G421=""),"",F421*G421+IF(J421="",0,J421)))</f>
        <v/>
      </c>
      <c r="I421" s="3" t="n"/>
      <c r="J421" s="3" t="n"/>
      <c r="K421" s="3" t="n"/>
    </row>
    <row r="422">
      <c r="A422" s="3" t="n"/>
      <c r="B422" s="3" t="n"/>
      <c r="C422" s="3" t="n"/>
      <c r="D422" s="3" t="n"/>
      <c r="E422" s="4">
        <f>IF(A422="","",COUNTIFS($A$4:A422,A422,$I$4:I422,"&lt;&gt;Штраф -2",$I$4:I422,"&lt;&gt;ушел на базу"))</f>
        <v/>
      </c>
      <c r="F422" s="4">
        <f>IF(E422="","",IF(E422&lt;=3,6,IF(E422&lt;=6,5,IF(E422&lt;=9,4,IF(E422&lt;=12,3,IF(E422&lt;=15,2,0))))))</f>
        <v/>
      </c>
      <c r="G422" s="3" t="n"/>
      <c r="H422" s="4">
        <f>IF(I422="Штраф -2",-2,IF(OR(F422="",G422=""),"",F422*G422+IF(J422="",0,J422)))</f>
        <v/>
      </c>
      <c r="I422" s="3" t="n"/>
      <c r="J422" s="3" t="n"/>
      <c r="K422" s="3" t="n"/>
    </row>
    <row r="423">
      <c r="A423" s="3" t="n"/>
      <c r="B423" s="3" t="n"/>
      <c r="C423" s="3" t="n"/>
      <c r="D423" s="3" t="n"/>
      <c r="E423" s="4">
        <f>IF(A423="","",COUNTIFS($A$4:A423,A423,$I$4:I423,"&lt;&gt;Штраф -2",$I$4:I423,"&lt;&gt;ушел на базу"))</f>
        <v/>
      </c>
      <c r="F423" s="4">
        <f>IF(E423="","",IF(E423&lt;=3,6,IF(E423&lt;=6,5,IF(E423&lt;=9,4,IF(E423&lt;=12,3,IF(E423&lt;=15,2,0))))))</f>
        <v/>
      </c>
      <c r="G423" s="3" t="n"/>
      <c r="H423" s="4">
        <f>IF(I423="Штраф -2",-2,IF(OR(F423="",G423=""),"",F423*G423+IF(J423="",0,J423)))</f>
        <v/>
      </c>
      <c r="I423" s="3" t="n"/>
      <c r="J423" s="3" t="n"/>
      <c r="K423" s="3" t="n"/>
    </row>
    <row r="424">
      <c r="A424" s="3" t="n"/>
      <c r="B424" s="3" t="n"/>
      <c r="C424" s="3" t="n"/>
      <c r="D424" s="3" t="n"/>
      <c r="E424" s="4">
        <f>IF(A424="","",COUNTIFS($A$4:A424,A424,$I$4:I424,"&lt;&gt;Штраф -2",$I$4:I424,"&lt;&gt;ушел на базу"))</f>
        <v/>
      </c>
      <c r="F424" s="4">
        <f>IF(E424="","",IF(E424&lt;=3,6,IF(E424&lt;=6,5,IF(E424&lt;=9,4,IF(E424&lt;=12,3,IF(E424&lt;=15,2,0))))))</f>
        <v/>
      </c>
      <c r="G424" s="3" t="n"/>
      <c r="H424" s="4">
        <f>IF(I424="Штраф -2",-2,IF(OR(F424="",G424=""),"",F424*G424+IF(J424="",0,J424)))</f>
        <v/>
      </c>
      <c r="I424" s="3" t="n"/>
      <c r="J424" s="3" t="n"/>
      <c r="K424" s="3" t="n"/>
    </row>
    <row r="425">
      <c r="A425" s="3" t="n"/>
      <c r="B425" s="3" t="n"/>
      <c r="C425" s="3" t="n"/>
      <c r="D425" s="3" t="n"/>
      <c r="E425" s="4">
        <f>IF(A425="","",COUNTIFS($A$4:A425,A425,$I$4:I425,"&lt;&gt;Штраф -2",$I$4:I425,"&lt;&gt;ушел на базу"))</f>
        <v/>
      </c>
      <c r="F425" s="4">
        <f>IF(E425="","",IF(E425&lt;=3,6,IF(E425&lt;=6,5,IF(E425&lt;=9,4,IF(E425&lt;=12,3,IF(E425&lt;=15,2,0))))))</f>
        <v/>
      </c>
      <c r="G425" s="3" t="n"/>
      <c r="H425" s="4">
        <f>IF(I425="Штраф -2",-2,IF(OR(F425="",G425=""),"",F425*G425+IF(J425="",0,J425)))</f>
        <v/>
      </c>
      <c r="I425" s="3" t="n"/>
      <c r="J425" s="3" t="n"/>
      <c r="K425" s="3" t="n"/>
    </row>
    <row r="426">
      <c r="A426" s="3" t="n"/>
      <c r="B426" s="3" t="n"/>
      <c r="C426" s="3" t="n"/>
      <c r="D426" s="3" t="n"/>
      <c r="E426" s="4">
        <f>IF(A426="","",COUNTIFS($A$4:A426,A426,$I$4:I426,"&lt;&gt;Штраф -2",$I$4:I426,"&lt;&gt;ушел на базу"))</f>
        <v/>
      </c>
      <c r="F426" s="4">
        <f>IF(E426="","",IF(E426&lt;=3,6,IF(E426&lt;=6,5,IF(E426&lt;=9,4,IF(E426&lt;=12,3,IF(E426&lt;=15,2,0))))))</f>
        <v/>
      </c>
      <c r="G426" s="3" t="n"/>
      <c r="H426" s="4">
        <f>IF(I426="Штраф -2",-2,IF(OR(F426="",G426=""),"",F426*G426+IF(J426="",0,J426)))</f>
        <v/>
      </c>
      <c r="I426" s="3" t="n"/>
      <c r="J426" s="3" t="n"/>
      <c r="K426" s="3" t="n"/>
    </row>
    <row r="427">
      <c r="A427" s="3" t="n"/>
      <c r="B427" s="3" t="n"/>
      <c r="C427" s="3" t="n"/>
      <c r="D427" s="3" t="n"/>
      <c r="E427" s="4">
        <f>IF(A427="","",COUNTIFS($A$4:A427,A427,$I$4:I427,"&lt;&gt;Штраф -2",$I$4:I427,"&lt;&gt;ушел на базу"))</f>
        <v/>
      </c>
      <c r="F427" s="4">
        <f>IF(E427="","",IF(E427&lt;=3,6,IF(E427&lt;=6,5,IF(E427&lt;=9,4,IF(E427&lt;=12,3,IF(E427&lt;=15,2,0))))))</f>
        <v/>
      </c>
      <c r="G427" s="3" t="n"/>
      <c r="H427" s="4">
        <f>IF(I427="Штраф -2",-2,IF(OR(F427="",G427=""),"",F427*G427+IF(J427="",0,J427)))</f>
        <v/>
      </c>
      <c r="I427" s="3" t="n"/>
      <c r="J427" s="3" t="n"/>
      <c r="K427" s="3" t="n"/>
    </row>
    <row r="428">
      <c r="A428" s="3" t="n"/>
      <c r="B428" s="3" t="n"/>
      <c r="C428" s="3" t="n"/>
      <c r="D428" s="3" t="n"/>
      <c r="E428" s="4">
        <f>IF(A428="","",COUNTIFS($A$4:A428,A428,$I$4:I428,"&lt;&gt;Штраф -2",$I$4:I428,"&lt;&gt;ушел на базу"))</f>
        <v/>
      </c>
      <c r="F428" s="4">
        <f>IF(E428="","",IF(E428&lt;=3,6,IF(E428&lt;=6,5,IF(E428&lt;=9,4,IF(E428&lt;=12,3,IF(E428&lt;=15,2,0))))))</f>
        <v/>
      </c>
      <c r="G428" s="3" t="n"/>
      <c r="H428" s="4">
        <f>IF(I428="Штраф -2",-2,IF(OR(F428="",G428=""),"",F428*G428+IF(J428="",0,J428)))</f>
        <v/>
      </c>
      <c r="I428" s="3" t="n"/>
      <c r="J428" s="3" t="n"/>
      <c r="K428" s="3" t="n"/>
    </row>
    <row r="429">
      <c r="A429" s="3" t="n"/>
      <c r="B429" s="3" t="n"/>
      <c r="C429" s="3" t="n"/>
      <c r="D429" s="3" t="n"/>
      <c r="E429" s="4">
        <f>IF(A429="","",COUNTIFS($A$4:A429,A429,$I$4:I429,"&lt;&gt;Штраф -2",$I$4:I429,"&lt;&gt;ушел на базу"))</f>
        <v/>
      </c>
      <c r="F429" s="4">
        <f>IF(E429="","",IF(E429&lt;=3,6,IF(E429&lt;=6,5,IF(E429&lt;=9,4,IF(E429&lt;=12,3,IF(E429&lt;=15,2,0))))))</f>
        <v/>
      </c>
      <c r="G429" s="3" t="n"/>
      <c r="H429" s="4">
        <f>IF(I429="Штраф -2",-2,IF(OR(F429="",G429=""),"",F429*G429+IF(J429="",0,J429)))</f>
        <v/>
      </c>
      <c r="I429" s="3" t="n"/>
      <c r="J429" s="3" t="n"/>
      <c r="K429" s="3" t="n"/>
    </row>
    <row r="430">
      <c r="A430" s="3" t="n"/>
      <c r="B430" s="3" t="n"/>
      <c r="C430" s="3" t="n"/>
      <c r="D430" s="3" t="n"/>
      <c r="E430" s="4">
        <f>IF(A430="","",COUNTIFS($A$4:A430,A430,$I$4:I430,"&lt;&gt;Штраф -2",$I$4:I430,"&lt;&gt;ушел на базу"))</f>
        <v/>
      </c>
      <c r="F430" s="4">
        <f>IF(E430="","",IF(E430&lt;=3,6,IF(E430&lt;=6,5,IF(E430&lt;=9,4,IF(E430&lt;=12,3,IF(E430&lt;=15,2,0))))))</f>
        <v/>
      </c>
      <c r="G430" s="3" t="n"/>
      <c r="H430" s="4">
        <f>IF(I430="Штраф -2",-2,IF(OR(F430="",G430=""),"",F430*G430+IF(J430="",0,J430)))</f>
        <v/>
      </c>
      <c r="I430" s="3" t="n"/>
      <c r="J430" s="3" t="n"/>
      <c r="K430" s="3" t="n"/>
    </row>
    <row r="431">
      <c r="A431" s="3" t="n"/>
      <c r="B431" s="3" t="n"/>
      <c r="C431" s="3" t="n"/>
      <c r="D431" s="3" t="n"/>
      <c r="E431" s="4">
        <f>IF(A431="","",COUNTIFS($A$4:A431,A431,$I$4:I431,"&lt;&gt;Штраф -2",$I$4:I431,"&lt;&gt;ушел на базу"))</f>
        <v/>
      </c>
      <c r="F431" s="4">
        <f>IF(E431="","",IF(E431&lt;=3,6,IF(E431&lt;=6,5,IF(E431&lt;=9,4,IF(E431&lt;=12,3,IF(E431&lt;=15,2,0))))))</f>
        <v/>
      </c>
      <c r="G431" s="3" t="n"/>
      <c r="H431" s="4">
        <f>IF(I431="Штраф -2",-2,IF(OR(F431="",G431=""),"",F431*G431+IF(J431="",0,J431)))</f>
        <v/>
      </c>
      <c r="I431" s="3" t="n"/>
      <c r="J431" s="3" t="n"/>
      <c r="K431" s="3" t="n"/>
    </row>
    <row r="432">
      <c r="A432" s="3" t="n"/>
      <c r="B432" s="3" t="n"/>
      <c r="C432" s="3" t="n"/>
      <c r="D432" s="3" t="n"/>
      <c r="E432" s="4">
        <f>IF(A432="","",COUNTIFS($A$4:A432,A432,$I$4:I432,"&lt;&gt;Штраф -2",$I$4:I432,"&lt;&gt;ушел на базу"))</f>
        <v/>
      </c>
      <c r="F432" s="4">
        <f>IF(E432="","",IF(E432&lt;=3,6,IF(E432&lt;=6,5,IF(E432&lt;=9,4,IF(E432&lt;=12,3,IF(E432&lt;=15,2,0))))))</f>
        <v/>
      </c>
      <c r="G432" s="3" t="n"/>
      <c r="H432" s="4">
        <f>IF(I432="Штраф -2",-2,IF(OR(F432="",G432=""),"",F432*G432+IF(J432="",0,J432)))</f>
        <v/>
      </c>
      <c r="I432" s="3" t="n"/>
      <c r="J432" s="3" t="n"/>
      <c r="K432" s="3" t="n"/>
    </row>
    <row r="433">
      <c r="A433" s="3" t="n"/>
      <c r="B433" s="3" t="n"/>
      <c r="C433" s="3" t="n"/>
      <c r="D433" s="3" t="n"/>
      <c r="E433" s="4">
        <f>IF(A433="","",COUNTIFS($A$4:A433,A433,$I$4:I433,"&lt;&gt;Штраф -2",$I$4:I433,"&lt;&gt;ушел на базу"))</f>
        <v/>
      </c>
      <c r="F433" s="4">
        <f>IF(E433="","",IF(E433&lt;=3,6,IF(E433&lt;=6,5,IF(E433&lt;=9,4,IF(E433&lt;=12,3,IF(E433&lt;=15,2,0))))))</f>
        <v/>
      </c>
      <c r="G433" s="3" t="n"/>
      <c r="H433" s="4">
        <f>IF(I433="Штраф -2",-2,IF(OR(F433="",G433=""),"",F433*G433+IF(J433="",0,J433)))</f>
        <v/>
      </c>
      <c r="I433" s="3" t="n"/>
      <c r="J433" s="3" t="n"/>
      <c r="K433" s="3" t="n"/>
    </row>
    <row r="434">
      <c r="A434" s="3" t="n"/>
      <c r="B434" s="3" t="n"/>
      <c r="C434" s="3" t="n"/>
      <c r="D434" s="3" t="n"/>
      <c r="E434" s="4">
        <f>IF(A434="","",COUNTIFS($A$4:A434,A434,$I$4:I434,"&lt;&gt;Штраф -2",$I$4:I434,"&lt;&gt;ушел на базу"))</f>
        <v/>
      </c>
      <c r="F434" s="4">
        <f>IF(E434="","",IF(E434&lt;=3,6,IF(E434&lt;=6,5,IF(E434&lt;=9,4,IF(E434&lt;=12,3,IF(E434&lt;=15,2,0))))))</f>
        <v/>
      </c>
      <c r="G434" s="3" t="n"/>
      <c r="H434" s="4">
        <f>IF(I434="Штраф -2",-2,IF(OR(F434="",G434=""),"",F434*G434+IF(J434="",0,J434)))</f>
        <v/>
      </c>
      <c r="I434" s="3" t="n"/>
      <c r="J434" s="3" t="n"/>
      <c r="K434" s="3" t="n"/>
    </row>
    <row r="435">
      <c r="A435" s="3" t="n"/>
      <c r="B435" s="3" t="n"/>
      <c r="C435" s="3" t="n"/>
      <c r="D435" s="3" t="n"/>
      <c r="E435" s="4">
        <f>IF(A435="","",COUNTIFS($A$4:A435,A435,$I$4:I435,"&lt;&gt;Штраф -2",$I$4:I435,"&lt;&gt;ушел на базу"))</f>
        <v/>
      </c>
      <c r="F435" s="4">
        <f>IF(E435="","",IF(E435&lt;=3,6,IF(E435&lt;=6,5,IF(E435&lt;=9,4,IF(E435&lt;=12,3,IF(E435&lt;=15,2,0))))))</f>
        <v/>
      </c>
      <c r="G435" s="3" t="n"/>
      <c r="H435" s="4">
        <f>IF(I435="Штраф -2",-2,IF(OR(F435="",G435=""),"",F435*G435+IF(J435="",0,J435)))</f>
        <v/>
      </c>
      <c r="I435" s="3" t="n"/>
      <c r="J435" s="3" t="n"/>
      <c r="K435" s="3" t="n"/>
    </row>
    <row r="436">
      <c r="A436" s="3" t="n"/>
      <c r="B436" s="3" t="n"/>
      <c r="C436" s="3" t="n"/>
      <c r="D436" s="3" t="n"/>
      <c r="E436" s="4">
        <f>IF(A436="","",COUNTIFS($A$4:A436,A436,$I$4:I436,"&lt;&gt;Штраф -2",$I$4:I436,"&lt;&gt;ушел на базу"))</f>
        <v/>
      </c>
      <c r="F436" s="4">
        <f>IF(E436="","",IF(E436&lt;=3,6,IF(E436&lt;=6,5,IF(E436&lt;=9,4,IF(E436&lt;=12,3,IF(E436&lt;=15,2,0))))))</f>
        <v/>
      </c>
      <c r="G436" s="3" t="n"/>
      <c r="H436" s="4">
        <f>IF(I436="Штраф -2",-2,IF(OR(F436="",G436=""),"",F436*G436+IF(J436="",0,J436)))</f>
        <v/>
      </c>
      <c r="I436" s="3" t="n"/>
      <c r="J436" s="3" t="n"/>
      <c r="K436" s="3" t="n"/>
    </row>
    <row r="437">
      <c r="A437" s="3" t="n"/>
      <c r="B437" s="3" t="n"/>
      <c r="C437" s="3" t="n"/>
      <c r="D437" s="3" t="n"/>
      <c r="E437" s="4">
        <f>IF(A437="","",COUNTIFS($A$4:A437,A437,$I$4:I437,"&lt;&gt;Штраф -2",$I$4:I437,"&lt;&gt;ушел на базу"))</f>
        <v/>
      </c>
      <c r="F437" s="4">
        <f>IF(E437="","",IF(E437&lt;=3,6,IF(E437&lt;=6,5,IF(E437&lt;=9,4,IF(E437&lt;=12,3,IF(E437&lt;=15,2,0))))))</f>
        <v/>
      </c>
      <c r="G437" s="3" t="n"/>
      <c r="H437" s="4">
        <f>IF(I437="Штраф -2",-2,IF(OR(F437="",G437=""),"",F437*G437+IF(J437="",0,J437)))</f>
        <v/>
      </c>
      <c r="I437" s="3" t="n"/>
      <c r="J437" s="3" t="n"/>
      <c r="K437" s="3" t="n"/>
    </row>
    <row r="438">
      <c r="A438" s="3" t="n"/>
      <c r="B438" s="3" t="n"/>
      <c r="C438" s="3" t="n"/>
      <c r="D438" s="3" t="n"/>
      <c r="E438" s="4">
        <f>IF(A438="","",COUNTIFS($A$4:A438,A438,$I$4:I438,"&lt;&gt;Штраф -2",$I$4:I438,"&lt;&gt;ушел на базу"))</f>
        <v/>
      </c>
      <c r="F438" s="4">
        <f>IF(E438="","",IF(E438&lt;=3,6,IF(E438&lt;=6,5,IF(E438&lt;=9,4,IF(E438&lt;=12,3,IF(E438&lt;=15,2,0))))))</f>
        <v/>
      </c>
      <c r="G438" s="3" t="n"/>
      <c r="H438" s="4">
        <f>IF(I438="Штраф -2",-2,IF(OR(F438="",G438=""),"",F438*G438+IF(J438="",0,J438)))</f>
        <v/>
      </c>
      <c r="I438" s="3" t="n"/>
      <c r="J438" s="3" t="n"/>
      <c r="K438" s="3" t="n"/>
    </row>
    <row r="439">
      <c r="A439" s="3" t="n"/>
      <c r="B439" s="3" t="n"/>
      <c r="C439" s="3" t="n"/>
      <c r="D439" s="3" t="n"/>
      <c r="E439" s="4">
        <f>IF(A439="","",COUNTIFS($A$4:A439,A439,$I$4:I439,"&lt;&gt;Штраф -2",$I$4:I439,"&lt;&gt;ушел на базу"))</f>
        <v/>
      </c>
      <c r="F439" s="4">
        <f>IF(E439="","",IF(E439&lt;=3,6,IF(E439&lt;=6,5,IF(E439&lt;=9,4,IF(E439&lt;=12,3,IF(E439&lt;=15,2,0))))))</f>
        <v/>
      </c>
      <c r="G439" s="3" t="n"/>
      <c r="H439" s="4">
        <f>IF(I439="Штраф -2",-2,IF(OR(F439="",G439=""),"",F439*G439+IF(J439="",0,J439)))</f>
        <v/>
      </c>
      <c r="I439" s="3" t="n"/>
      <c r="J439" s="3" t="n"/>
      <c r="K439" s="3" t="n"/>
    </row>
    <row r="440">
      <c r="A440" s="3" t="n"/>
      <c r="B440" s="3" t="n"/>
      <c r="C440" s="3" t="n"/>
      <c r="D440" s="3" t="n"/>
      <c r="E440" s="4">
        <f>IF(A440="","",COUNTIFS($A$4:A440,A440,$I$4:I440,"&lt;&gt;Штраф -2",$I$4:I440,"&lt;&gt;ушел на базу"))</f>
        <v/>
      </c>
      <c r="F440" s="4">
        <f>IF(E440="","",IF(E440&lt;=3,6,IF(E440&lt;=6,5,IF(E440&lt;=9,4,IF(E440&lt;=12,3,IF(E440&lt;=15,2,0))))))</f>
        <v/>
      </c>
      <c r="G440" s="3" t="n"/>
      <c r="H440" s="4">
        <f>IF(I440="Штраф -2",-2,IF(OR(F440="",G440=""),"",F440*G440+IF(J440="",0,J440)))</f>
        <v/>
      </c>
      <c r="I440" s="3" t="n"/>
      <c r="J440" s="3" t="n"/>
      <c r="K440" s="3" t="n"/>
    </row>
    <row r="441">
      <c r="A441" s="3" t="n"/>
      <c r="B441" s="3" t="n"/>
      <c r="C441" s="3" t="n"/>
      <c r="D441" s="3" t="n"/>
      <c r="E441" s="4">
        <f>IF(A441="","",COUNTIFS($A$4:A441,A441,$I$4:I441,"&lt;&gt;Штраф -2",$I$4:I441,"&lt;&gt;ушел на базу"))</f>
        <v/>
      </c>
      <c r="F441" s="4">
        <f>IF(E441="","",IF(E441&lt;=3,6,IF(E441&lt;=6,5,IF(E441&lt;=9,4,IF(E441&lt;=12,3,IF(E441&lt;=15,2,0))))))</f>
        <v/>
      </c>
      <c r="G441" s="3" t="n"/>
      <c r="H441" s="4">
        <f>IF(I441="Штраф -2",-2,IF(OR(F441="",G441=""),"",F441*G441+IF(J441="",0,J441)))</f>
        <v/>
      </c>
      <c r="I441" s="3" t="n"/>
      <c r="J441" s="3" t="n"/>
      <c r="K441" s="3" t="n"/>
    </row>
    <row r="442">
      <c r="A442" s="3" t="n"/>
      <c r="B442" s="3" t="n"/>
      <c r="C442" s="3" t="n"/>
      <c r="D442" s="3" t="n"/>
      <c r="E442" s="4">
        <f>IF(A442="","",COUNTIFS($A$4:A442,A442,$I$4:I442,"&lt;&gt;Штраф -2",$I$4:I442,"&lt;&gt;ушел на базу"))</f>
        <v/>
      </c>
      <c r="F442" s="4">
        <f>IF(E442="","",IF(E442&lt;=3,6,IF(E442&lt;=6,5,IF(E442&lt;=9,4,IF(E442&lt;=12,3,IF(E442&lt;=15,2,0))))))</f>
        <v/>
      </c>
      <c r="G442" s="3" t="n"/>
      <c r="H442" s="4">
        <f>IF(I442="Штраф -2",-2,IF(OR(F442="",G442=""),"",F442*G442+IF(J442="",0,J442)))</f>
        <v/>
      </c>
      <c r="I442" s="3" t="n"/>
      <c r="J442" s="3" t="n"/>
      <c r="K442" s="3" t="n"/>
    </row>
    <row r="443">
      <c r="A443" s="3" t="n"/>
      <c r="B443" s="3" t="n"/>
      <c r="C443" s="3" t="n"/>
      <c r="D443" s="3" t="n"/>
      <c r="E443" s="4">
        <f>IF(A443="","",COUNTIFS($A$4:A443,A443,$I$4:I443,"&lt;&gt;Штраф -2",$I$4:I443,"&lt;&gt;ушел на базу"))</f>
        <v/>
      </c>
      <c r="F443" s="4">
        <f>IF(E443="","",IF(E443&lt;=3,6,IF(E443&lt;=6,5,IF(E443&lt;=9,4,IF(E443&lt;=12,3,IF(E443&lt;=15,2,0))))))</f>
        <v/>
      </c>
      <c r="G443" s="3" t="n"/>
      <c r="H443" s="4">
        <f>IF(I443="Штраф -2",-2,IF(OR(F443="",G443=""),"",F443*G443+IF(J443="",0,J443)))</f>
        <v/>
      </c>
      <c r="I443" s="3" t="n"/>
      <c r="J443" s="3" t="n"/>
      <c r="K443" s="3" t="n"/>
    </row>
    <row r="444">
      <c r="A444" s="3" t="n"/>
      <c r="B444" s="3" t="n"/>
      <c r="C444" s="3" t="n"/>
      <c r="D444" s="3" t="n"/>
      <c r="E444" s="4">
        <f>IF(A444="","",COUNTIFS($A$4:A444,A444,$I$4:I444,"&lt;&gt;Штраф -2",$I$4:I444,"&lt;&gt;ушел на базу"))</f>
        <v/>
      </c>
      <c r="F444" s="4">
        <f>IF(E444="","",IF(E444&lt;=3,6,IF(E444&lt;=6,5,IF(E444&lt;=9,4,IF(E444&lt;=12,3,IF(E444&lt;=15,2,0))))))</f>
        <v/>
      </c>
      <c r="G444" s="3" t="n"/>
      <c r="H444" s="4">
        <f>IF(I444="Штраф -2",-2,IF(OR(F444="",G444=""),"",F444*G444+IF(J444="",0,J444)))</f>
        <v/>
      </c>
      <c r="I444" s="3" t="n"/>
      <c r="J444" s="3" t="n"/>
      <c r="K444" s="3" t="n"/>
    </row>
    <row r="445">
      <c r="A445" s="3" t="n"/>
      <c r="B445" s="3" t="n"/>
      <c r="C445" s="3" t="n"/>
      <c r="D445" s="3" t="n"/>
      <c r="E445" s="4">
        <f>IF(A445="","",COUNTIFS($A$4:A445,A445,$I$4:I445,"&lt;&gt;Штраф -2",$I$4:I445,"&lt;&gt;ушел на базу"))</f>
        <v/>
      </c>
      <c r="F445" s="4">
        <f>IF(E445="","",IF(E445&lt;=3,6,IF(E445&lt;=6,5,IF(E445&lt;=9,4,IF(E445&lt;=12,3,IF(E445&lt;=15,2,0))))))</f>
        <v/>
      </c>
      <c r="G445" s="3" t="n"/>
      <c r="H445" s="4">
        <f>IF(I445="Штраф -2",-2,IF(OR(F445="",G445=""),"",F445*G445+IF(J445="",0,J445)))</f>
        <v/>
      </c>
      <c r="I445" s="3" t="n"/>
      <c r="J445" s="3" t="n"/>
      <c r="K445" s="3" t="n"/>
    </row>
    <row r="446">
      <c r="A446" s="3" t="n"/>
      <c r="B446" s="3" t="n"/>
      <c r="C446" s="3" t="n"/>
      <c r="D446" s="3" t="n"/>
      <c r="E446" s="4">
        <f>IF(A446="","",COUNTIFS($A$4:A446,A446,$I$4:I446,"&lt;&gt;Штраф -2",$I$4:I446,"&lt;&gt;ушел на базу"))</f>
        <v/>
      </c>
      <c r="F446" s="4">
        <f>IF(E446="","",IF(E446&lt;=3,6,IF(E446&lt;=6,5,IF(E446&lt;=9,4,IF(E446&lt;=12,3,IF(E446&lt;=15,2,0))))))</f>
        <v/>
      </c>
      <c r="G446" s="3" t="n"/>
      <c r="H446" s="4">
        <f>IF(I446="Штраф -2",-2,IF(OR(F446="",G446=""),"",F446*G446+IF(J446="",0,J446)))</f>
        <v/>
      </c>
      <c r="I446" s="3" t="n"/>
      <c r="J446" s="3" t="n"/>
      <c r="K446" s="3" t="n"/>
    </row>
    <row r="447">
      <c r="A447" s="3" t="n"/>
      <c r="B447" s="3" t="n"/>
      <c r="C447" s="3" t="n"/>
      <c r="D447" s="3" t="n"/>
      <c r="E447" s="4">
        <f>IF(A447="","",COUNTIFS($A$4:A447,A447,$I$4:I447,"&lt;&gt;Штраф -2",$I$4:I447,"&lt;&gt;ушел на базу"))</f>
        <v/>
      </c>
      <c r="F447" s="4">
        <f>IF(E447="","",IF(E447&lt;=3,6,IF(E447&lt;=6,5,IF(E447&lt;=9,4,IF(E447&lt;=12,3,IF(E447&lt;=15,2,0))))))</f>
        <v/>
      </c>
      <c r="G447" s="3" t="n"/>
      <c r="H447" s="4">
        <f>IF(I447="Штраф -2",-2,IF(OR(F447="",G447=""),"",F447*G447+IF(J447="",0,J447)))</f>
        <v/>
      </c>
      <c r="I447" s="3" t="n"/>
      <c r="J447" s="3" t="n"/>
      <c r="K447" s="3" t="n"/>
    </row>
    <row r="448">
      <c r="A448" s="3" t="n"/>
      <c r="B448" s="3" t="n"/>
      <c r="C448" s="3" t="n"/>
      <c r="D448" s="3" t="n"/>
      <c r="E448" s="4">
        <f>IF(A448="","",COUNTIFS($A$4:A448,A448,$I$4:I448,"&lt;&gt;Штраф -2",$I$4:I448,"&lt;&gt;ушел на базу"))</f>
        <v/>
      </c>
      <c r="F448" s="4">
        <f>IF(E448="","",IF(E448&lt;=3,6,IF(E448&lt;=6,5,IF(E448&lt;=9,4,IF(E448&lt;=12,3,IF(E448&lt;=15,2,0))))))</f>
        <v/>
      </c>
      <c r="G448" s="3" t="n"/>
      <c r="H448" s="4">
        <f>IF(I448="Штраф -2",-2,IF(OR(F448="",G448=""),"",F448*G448+IF(J448="",0,J448)))</f>
        <v/>
      </c>
      <c r="I448" s="3" t="n"/>
      <c r="J448" s="3" t="n"/>
      <c r="K448" s="3" t="n"/>
    </row>
    <row r="449">
      <c r="A449" s="3" t="n"/>
      <c r="B449" s="3" t="n"/>
      <c r="C449" s="3" t="n"/>
      <c r="D449" s="3" t="n"/>
      <c r="E449" s="4">
        <f>IF(A449="","",COUNTIFS($A$4:A449,A449,$I$4:I449,"&lt;&gt;Штраф -2",$I$4:I449,"&lt;&gt;ушел на базу"))</f>
        <v/>
      </c>
      <c r="F449" s="4">
        <f>IF(E449="","",IF(E449&lt;=3,6,IF(E449&lt;=6,5,IF(E449&lt;=9,4,IF(E449&lt;=12,3,IF(E449&lt;=15,2,0))))))</f>
        <v/>
      </c>
      <c r="G449" s="3" t="n"/>
      <c r="H449" s="4">
        <f>IF(I449="Штраф -2",-2,IF(OR(F449="",G449=""),"",F449*G449+IF(J449="",0,J449)))</f>
        <v/>
      </c>
      <c r="I449" s="3" t="n"/>
      <c r="J449" s="3" t="n"/>
      <c r="K449" s="3" t="n"/>
    </row>
    <row r="450">
      <c r="A450" s="3" t="n"/>
      <c r="B450" s="3" t="n"/>
      <c r="C450" s="3" t="n"/>
      <c r="D450" s="3" t="n"/>
      <c r="E450" s="4">
        <f>IF(A450="","",COUNTIFS($A$4:A450,A450,$I$4:I450,"&lt;&gt;Штраф -2",$I$4:I450,"&lt;&gt;ушел на базу"))</f>
        <v/>
      </c>
      <c r="F450" s="4">
        <f>IF(E450="","",IF(E450&lt;=3,6,IF(E450&lt;=6,5,IF(E450&lt;=9,4,IF(E450&lt;=12,3,IF(E450&lt;=15,2,0))))))</f>
        <v/>
      </c>
      <c r="G450" s="3" t="n"/>
      <c r="H450" s="4">
        <f>IF(I450="Штраф -2",-2,IF(OR(F450="",G450=""),"",F450*G450+IF(J450="",0,J450)))</f>
        <v/>
      </c>
      <c r="I450" s="3" t="n"/>
      <c r="J450" s="3" t="n"/>
      <c r="K450" s="3" t="n"/>
    </row>
    <row r="451">
      <c r="A451" s="3" t="n"/>
      <c r="B451" s="3" t="n"/>
      <c r="C451" s="3" t="n"/>
      <c r="D451" s="3" t="n"/>
      <c r="E451" s="4">
        <f>IF(A451="","",COUNTIFS($A$4:A451,A451,$I$4:I451,"&lt;&gt;Штраф -2",$I$4:I451,"&lt;&gt;ушел на базу"))</f>
        <v/>
      </c>
      <c r="F451" s="4">
        <f>IF(E451="","",IF(E451&lt;=3,6,IF(E451&lt;=6,5,IF(E451&lt;=9,4,IF(E451&lt;=12,3,IF(E451&lt;=15,2,0))))))</f>
        <v/>
      </c>
      <c r="G451" s="3" t="n"/>
      <c r="H451" s="4">
        <f>IF(I451="Штраф -2",-2,IF(OR(F451="",G451=""),"",F451*G451+IF(J451="",0,J451)))</f>
        <v/>
      </c>
      <c r="I451" s="3" t="n"/>
      <c r="J451" s="3" t="n"/>
      <c r="K451" s="3" t="n"/>
    </row>
    <row r="452">
      <c r="A452" s="3" t="n"/>
      <c r="B452" s="3" t="n"/>
      <c r="C452" s="3" t="n"/>
      <c r="D452" s="3" t="n"/>
      <c r="E452" s="4">
        <f>IF(A452="","",COUNTIFS($A$4:A452,A452,$I$4:I452,"&lt;&gt;Штраф -2",$I$4:I452,"&lt;&gt;ушел на базу"))</f>
        <v/>
      </c>
      <c r="F452" s="4">
        <f>IF(E452="","",IF(E452&lt;=3,6,IF(E452&lt;=6,5,IF(E452&lt;=9,4,IF(E452&lt;=12,3,IF(E452&lt;=15,2,0))))))</f>
        <v/>
      </c>
      <c r="G452" s="3" t="n"/>
      <c r="H452" s="4">
        <f>IF(I452="Штраф -2",-2,IF(OR(F452="",G452=""),"",F452*G452+IF(J452="",0,J452)))</f>
        <v/>
      </c>
      <c r="I452" s="3" t="n"/>
      <c r="J452" s="3" t="n"/>
      <c r="K452" s="3" t="n"/>
    </row>
    <row r="453">
      <c r="A453" s="3" t="n"/>
      <c r="B453" s="3" t="n"/>
      <c r="C453" s="3" t="n"/>
      <c r="D453" s="3" t="n"/>
      <c r="E453" s="4">
        <f>IF(A453="","",COUNTIFS($A$4:A453,A453,$I$4:I453,"&lt;&gt;Штраф -2",$I$4:I453,"&lt;&gt;ушел на базу"))</f>
        <v/>
      </c>
      <c r="F453" s="4">
        <f>IF(E453="","",IF(E453&lt;=3,6,IF(E453&lt;=6,5,IF(E453&lt;=9,4,IF(E453&lt;=12,3,IF(E453&lt;=15,2,0))))))</f>
        <v/>
      </c>
      <c r="G453" s="3" t="n"/>
      <c r="H453" s="4">
        <f>IF(I453="Штраф -2",-2,IF(OR(F453="",G453=""),"",F453*G453+IF(J453="",0,J453)))</f>
        <v/>
      </c>
      <c r="I453" s="3" t="n"/>
      <c r="J453" s="3" t="n"/>
      <c r="K453" s="3" t="n"/>
    </row>
    <row r="454">
      <c r="A454" s="3" t="n"/>
      <c r="B454" s="3" t="n"/>
      <c r="C454" s="3" t="n"/>
      <c r="D454" s="3" t="n"/>
      <c r="E454" s="4">
        <f>IF(A454="","",COUNTIFS($A$4:A454,A454,$I$4:I454,"&lt;&gt;Штраф -2",$I$4:I454,"&lt;&gt;ушел на базу"))</f>
        <v/>
      </c>
      <c r="F454" s="4">
        <f>IF(E454="","",IF(E454&lt;=3,6,IF(E454&lt;=6,5,IF(E454&lt;=9,4,IF(E454&lt;=12,3,IF(E454&lt;=15,2,0))))))</f>
        <v/>
      </c>
      <c r="G454" s="3" t="n"/>
      <c r="H454" s="4">
        <f>IF(I454="Штраф -2",-2,IF(OR(F454="",G454=""),"",F454*G454+IF(J454="",0,J454)))</f>
        <v/>
      </c>
      <c r="I454" s="3" t="n"/>
      <c r="J454" s="3" t="n"/>
      <c r="K454" s="3" t="n"/>
    </row>
    <row r="455">
      <c r="A455" s="3" t="n"/>
      <c r="B455" s="3" t="n"/>
      <c r="C455" s="3" t="n"/>
      <c r="D455" s="3" t="n"/>
      <c r="E455" s="4">
        <f>IF(A455="","",COUNTIFS($A$4:A455,A455,$I$4:I455,"&lt;&gt;Штраф -2",$I$4:I455,"&lt;&gt;ушел на базу"))</f>
        <v/>
      </c>
      <c r="F455" s="4">
        <f>IF(E455="","",IF(E455&lt;=3,6,IF(E455&lt;=6,5,IF(E455&lt;=9,4,IF(E455&lt;=12,3,IF(E455&lt;=15,2,0))))))</f>
        <v/>
      </c>
      <c r="G455" s="3" t="n"/>
      <c r="H455" s="4">
        <f>IF(I455="Штраф -2",-2,IF(OR(F455="",G455=""),"",F455*G455+IF(J455="",0,J455)))</f>
        <v/>
      </c>
      <c r="I455" s="3" t="n"/>
      <c r="J455" s="3" t="n"/>
      <c r="K455" s="3" t="n"/>
    </row>
    <row r="456">
      <c r="A456" s="3" t="n"/>
      <c r="B456" s="3" t="n"/>
      <c r="C456" s="3" t="n"/>
      <c r="D456" s="3" t="n"/>
      <c r="E456" s="4">
        <f>IF(A456="","",COUNTIFS($A$4:A456,A456,$I$4:I456,"&lt;&gt;Штраф -2",$I$4:I456,"&lt;&gt;ушел на базу"))</f>
        <v/>
      </c>
      <c r="F456" s="4">
        <f>IF(E456="","",IF(E456&lt;=3,6,IF(E456&lt;=6,5,IF(E456&lt;=9,4,IF(E456&lt;=12,3,IF(E456&lt;=15,2,0))))))</f>
        <v/>
      </c>
      <c r="G456" s="3" t="n"/>
      <c r="H456" s="4">
        <f>IF(I456="Штраф -2",-2,IF(OR(F456="",G456=""),"",F456*G456+IF(J456="",0,J456)))</f>
        <v/>
      </c>
      <c r="I456" s="3" t="n"/>
      <c r="J456" s="3" t="n"/>
      <c r="K456" s="3" t="n"/>
    </row>
    <row r="457">
      <c r="A457" s="3" t="n"/>
      <c r="B457" s="3" t="n"/>
      <c r="C457" s="3" t="n"/>
      <c r="D457" s="3" t="n"/>
      <c r="E457" s="4">
        <f>IF(A457="","",COUNTIFS($A$4:A457,A457,$I$4:I457,"&lt;&gt;Штраф -2",$I$4:I457,"&lt;&gt;ушел на базу"))</f>
        <v/>
      </c>
      <c r="F457" s="4">
        <f>IF(E457="","",IF(E457&lt;=3,6,IF(E457&lt;=6,5,IF(E457&lt;=9,4,IF(E457&lt;=12,3,IF(E457&lt;=15,2,0))))))</f>
        <v/>
      </c>
      <c r="G457" s="3" t="n"/>
      <c r="H457" s="4">
        <f>IF(I457="Штраф -2",-2,IF(OR(F457="",G457=""),"",F457*G457+IF(J457="",0,J457)))</f>
        <v/>
      </c>
      <c r="I457" s="3" t="n"/>
      <c r="J457" s="3" t="n"/>
      <c r="K457" s="3" t="n"/>
    </row>
    <row r="458">
      <c r="A458" s="3" t="n"/>
      <c r="B458" s="3" t="n"/>
      <c r="C458" s="3" t="n"/>
      <c r="D458" s="3" t="n"/>
      <c r="E458" s="4">
        <f>IF(A458="","",COUNTIFS($A$4:A458,A458,$I$4:I458,"&lt;&gt;Штраф -2",$I$4:I458,"&lt;&gt;ушел на базу"))</f>
        <v/>
      </c>
      <c r="F458" s="4">
        <f>IF(E458="","",IF(E458&lt;=3,6,IF(E458&lt;=6,5,IF(E458&lt;=9,4,IF(E458&lt;=12,3,IF(E458&lt;=15,2,0))))))</f>
        <v/>
      </c>
      <c r="G458" s="3" t="n"/>
      <c r="H458" s="4">
        <f>IF(I458="Штраф -2",-2,IF(OR(F458="",G458=""),"",F458*G458+IF(J458="",0,J458)))</f>
        <v/>
      </c>
      <c r="I458" s="3" t="n"/>
      <c r="J458" s="3" t="n"/>
      <c r="K458" s="3" t="n"/>
    </row>
    <row r="459">
      <c r="A459" s="3" t="n"/>
      <c r="B459" s="3" t="n"/>
      <c r="C459" s="3" t="n"/>
      <c r="D459" s="3" t="n"/>
      <c r="E459" s="4">
        <f>IF(A459="","",COUNTIFS($A$4:A459,A459,$I$4:I459,"&lt;&gt;Штраф -2",$I$4:I459,"&lt;&gt;ушел на базу"))</f>
        <v/>
      </c>
      <c r="F459" s="4">
        <f>IF(E459="","",IF(E459&lt;=3,6,IF(E459&lt;=6,5,IF(E459&lt;=9,4,IF(E459&lt;=12,3,IF(E459&lt;=15,2,0))))))</f>
        <v/>
      </c>
      <c r="G459" s="3" t="n"/>
      <c r="H459" s="4">
        <f>IF(I459="Штраф -2",-2,IF(OR(F459="",G459=""),"",F459*G459+IF(J459="",0,J459)))</f>
        <v/>
      </c>
      <c r="I459" s="3" t="n"/>
      <c r="J459" s="3" t="n"/>
      <c r="K459" s="3" t="n"/>
    </row>
    <row r="460">
      <c r="A460" s="3" t="n"/>
      <c r="B460" s="3" t="n"/>
      <c r="C460" s="3" t="n"/>
      <c r="D460" s="3" t="n"/>
      <c r="E460" s="4">
        <f>IF(A460="","",COUNTIFS($A$4:A460,A460,$I$4:I460,"&lt;&gt;Штраф -2",$I$4:I460,"&lt;&gt;ушел на базу"))</f>
        <v/>
      </c>
      <c r="F460" s="4">
        <f>IF(E460="","",IF(E460&lt;=3,6,IF(E460&lt;=6,5,IF(E460&lt;=9,4,IF(E460&lt;=12,3,IF(E460&lt;=15,2,0))))))</f>
        <v/>
      </c>
      <c r="G460" s="3" t="n"/>
      <c r="H460" s="4">
        <f>IF(I460="Штраф -2",-2,IF(OR(F460="",G460=""),"",F460*G460+IF(J460="",0,J460)))</f>
        <v/>
      </c>
      <c r="I460" s="3" t="n"/>
      <c r="J460" s="3" t="n"/>
      <c r="K460" s="3" t="n"/>
    </row>
    <row r="461">
      <c r="A461" s="3" t="n"/>
      <c r="B461" s="3" t="n"/>
      <c r="C461" s="3" t="n"/>
      <c r="D461" s="3" t="n"/>
      <c r="E461" s="4">
        <f>IF(A461="","",COUNTIFS($A$4:A461,A461,$I$4:I461,"&lt;&gt;Штраф -2",$I$4:I461,"&lt;&gt;ушел на базу"))</f>
        <v/>
      </c>
      <c r="F461" s="4">
        <f>IF(E461="","",IF(E461&lt;=3,6,IF(E461&lt;=6,5,IF(E461&lt;=9,4,IF(E461&lt;=12,3,IF(E461&lt;=15,2,0))))))</f>
        <v/>
      </c>
      <c r="G461" s="3" t="n"/>
      <c r="H461" s="4">
        <f>IF(I461="Штраф -2",-2,IF(OR(F461="",G461=""),"",F461*G461+IF(J461="",0,J461)))</f>
        <v/>
      </c>
      <c r="I461" s="3" t="n"/>
      <c r="J461" s="3" t="n"/>
      <c r="K461" s="3" t="n"/>
    </row>
    <row r="462">
      <c r="A462" s="3" t="n"/>
      <c r="B462" s="3" t="n"/>
      <c r="C462" s="3" t="n"/>
      <c r="D462" s="3" t="n"/>
      <c r="E462" s="4">
        <f>IF(A462="","",COUNTIFS($A$4:A462,A462,$I$4:I462,"&lt;&gt;Штраф -2",$I$4:I462,"&lt;&gt;ушел на базу"))</f>
        <v/>
      </c>
      <c r="F462" s="4">
        <f>IF(E462="","",IF(E462&lt;=3,6,IF(E462&lt;=6,5,IF(E462&lt;=9,4,IF(E462&lt;=12,3,IF(E462&lt;=15,2,0))))))</f>
        <v/>
      </c>
      <c r="G462" s="3" t="n"/>
      <c r="H462" s="4">
        <f>IF(I462="Штраф -2",-2,IF(OR(F462="",G462=""),"",F462*G462+IF(J462="",0,J462)))</f>
        <v/>
      </c>
      <c r="I462" s="3" t="n"/>
      <c r="J462" s="3" t="n"/>
      <c r="K462" s="3" t="n"/>
    </row>
    <row r="463">
      <c r="A463" s="3" t="n"/>
      <c r="B463" s="3" t="n"/>
      <c r="C463" s="3" t="n"/>
      <c r="D463" s="3" t="n"/>
      <c r="E463" s="4">
        <f>IF(A463="","",COUNTIFS($A$4:A463,A463,$I$4:I463,"&lt;&gt;Штраф -2",$I$4:I463,"&lt;&gt;ушел на базу"))</f>
        <v/>
      </c>
      <c r="F463" s="4">
        <f>IF(E463="","",IF(E463&lt;=3,6,IF(E463&lt;=6,5,IF(E463&lt;=9,4,IF(E463&lt;=12,3,IF(E463&lt;=15,2,0))))))</f>
        <v/>
      </c>
      <c r="G463" s="3" t="n"/>
      <c r="H463" s="4">
        <f>IF(I463="Штраф -2",-2,IF(OR(F463="",G463=""),"",F463*G463+IF(J463="",0,J463)))</f>
        <v/>
      </c>
      <c r="I463" s="3" t="n"/>
      <c r="J463" s="3" t="n"/>
      <c r="K463" s="3" t="n"/>
    </row>
    <row r="464">
      <c r="A464" s="3" t="n"/>
      <c r="B464" s="3" t="n"/>
      <c r="C464" s="3" t="n"/>
      <c r="D464" s="3" t="n"/>
      <c r="E464" s="4">
        <f>IF(A464="","",COUNTIFS($A$4:A464,A464,$I$4:I464,"&lt;&gt;Штраф -2",$I$4:I464,"&lt;&gt;ушел на базу"))</f>
        <v/>
      </c>
      <c r="F464" s="4">
        <f>IF(E464="","",IF(E464&lt;=3,6,IF(E464&lt;=6,5,IF(E464&lt;=9,4,IF(E464&lt;=12,3,IF(E464&lt;=15,2,0))))))</f>
        <v/>
      </c>
      <c r="G464" s="3" t="n"/>
      <c r="H464" s="4">
        <f>IF(I464="Штраф -2",-2,IF(OR(F464="",G464=""),"",F464*G464+IF(J464="",0,J464)))</f>
        <v/>
      </c>
      <c r="I464" s="3" t="n"/>
      <c r="J464" s="3" t="n"/>
      <c r="K464" s="3" t="n"/>
    </row>
    <row r="465">
      <c r="A465" s="3" t="n"/>
      <c r="B465" s="3" t="n"/>
      <c r="C465" s="3" t="n"/>
      <c r="D465" s="3" t="n"/>
      <c r="E465" s="4">
        <f>IF(A465="","",COUNTIFS($A$4:A465,A465,$I$4:I465,"&lt;&gt;Штраф -2",$I$4:I465,"&lt;&gt;ушел на базу"))</f>
        <v/>
      </c>
      <c r="F465" s="4">
        <f>IF(E465="","",IF(E465&lt;=3,6,IF(E465&lt;=6,5,IF(E465&lt;=9,4,IF(E465&lt;=12,3,IF(E465&lt;=15,2,0))))))</f>
        <v/>
      </c>
      <c r="G465" s="3" t="n"/>
      <c r="H465" s="4">
        <f>IF(I465="Штраф -2",-2,IF(OR(F465="",G465=""),"",F465*G465+IF(J465="",0,J465)))</f>
        <v/>
      </c>
      <c r="I465" s="3" t="n"/>
      <c r="J465" s="3" t="n"/>
      <c r="K465" s="3" t="n"/>
    </row>
    <row r="466">
      <c r="A466" s="3" t="n"/>
      <c r="B466" s="3" t="n"/>
      <c r="C466" s="3" t="n"/>
      <c r="D466" s="3" t="n"/>
      <c r="E466" s="4">
        <f>IF(A466="","",COUNTIFS($A$4:A466,A466,$I$4:I466,"&lt;&gt;Штраф -2",$I$4:I466,"&lt;&gt;ушел на базу"))</f>
        <v/>
      </c>
      <c r="F466" s="4">
        <f>IF(E466="","",IF(E466&lt;=3,6,IF(E466&lt;=6,5,IF(E466&lt;=9,4,IF(E466&lt;=12,3,IF(E466&lt;=15,2,0))))))</f>
        <v/>
      </c>
      <c r="G466" s="3" t="n"/>
      <c r="H466" s="4">
        <f>IF(I466="Штраф -2",-2,IF(OR(F466="",G466=""),"",F466*G466+IF(J466="",0,J466)))</f>
        <v/>
      </c>
      <c r="I466" s="3" t="n"/>
      <c r="J466" s="3" t="n"/>
      <c r="K466" s="3" t="n"/>
    </row>
    <row r="467">
      <c r="A467" s="3" t="n"/>
      <c r="B467" s="3" t="n"/>
      <c r="C467" s="3" t="n"/>
      <c r="D467" s="3" t="n"/>
      <c r="E467" s="4">
        <f>IF(A467="","",COUNTIFS($A$4:A467,A467,$I$4:I467,"&lt;&gt;Штраф -2",$I$4:I467,"&lt;&gt;ушел на базу"))</f>
        <v/>
      </c>
      <c r="F467" s="4">
        <f>IF(E467="","",IF(E467&lt;=3,6,IF(E467&lt;=6,5,IF(E467&lt;=9,4,IF(E467&lt;=12,3,IF(E467&lt;=15,2,0))))))</f>
        <v/>
      </c>
      <c r="G467" s="3" t="n"/>
      <c r="H467" s="4">
        <f>IF(I467="Штраф -2",-2,IF(OR(F467="",G467=""),"",F467*G467+IF(J467="",0,J467)))</f>
        <v/>
      </c>
      <c r="I467" s="3" t="n"/>
      <c r="J467" s="3" t="n"/>
      <c r="K467" s="3" t="n"/>
    </row>
    <row r="468">
      <c r="A468" s="3" t="n"/>
      <c r="B468" s="3" t="n"/>
      <c r="C468" s="3" t="n"/>
      <c r="D468" s="3" t="n"/>
      <c r="E468" s="4">
        <f>IF(A468="","",COUNTIFS($A$4:A468,A468,$I$4:I468,"&lt;&gt;Штраф -2",$I$4:I468,"&lt;&gt;ушел на базу"))</f>
        <v/>
      </c>
      <c r="F468" s="4">
        <f>IF(E468="","",IF(E468&lt;=3,6,IF(E468&lt;=6,5,IF(E468&lt;=9,4,IF(E468&lt;=12,3,IF(E468&lt;=15,2,0))))))</f>
        <v/>
      </c>
      <c r="G468" s="3" t="n"/>
      <c r="H468" s="4">
        <f>IF(I468="Штраф -2",-2,IF(OR(F468="",G468=""),"",F468*G468+IF(J468="",0,J468)))</f>
        <v/>
      </c>
      <c r="I468" s="3" t="n"/>
      <c r="J468" s="3" t="n"/>
      <c r="K468" s="3" t="n"/>
    </row>
    <row r="469">
      <c r="A469" s="3" t="n"/>
      <c r="B469" s="3" t="n"/>
      <c r="C469" s="3" t="n"/>
      <c r="D469" s="3" t="n"/>
      <c r="E469" s="4">
        <f>IF(A469="","",COUNTIFS($A$4:A469,A469,$I$4:I469,"&lt;&gt;Штраф -2",$I$4:I469,"&lt;&gt;ушел на базу"))</f>
        <v/>
      </c>
      <c r="F469" s="4">
        <f>IF(E469="","",IF(E469&lt;=3,6,IF(E469&lt;=6,5,IF(E469&lt;=9,4,IF(E469&lt;=12,3,IF(E469&lt;=15,2,0))))))</f>
        <v/>
      </c>
      <c r="G469" s="3" t="n"/>
      <c r="H469" s="4">
        <f>IF(I469="Штраф -2",-2,IF(OR(F469="",G469=""),"",F469*G469+IF(J469="",0,J469)))</f>
        <v/>
      </c>
      <c r="I469" s="3" t="n"/>
      <c r="J469" s="3" t="n"/>
      <c r="K469" s="3" t="n"/>
    </row>
    <row r="470">
      <c r="A470" s="3" t="n"/>
      <c r="B470" s="3" t="n"/>
      <c r="C470" s="3" t="n"/>
      <c r="D470" s="3" t="n"/>
      <c r="E470" s="4">
        <f>IF(A470="","",COUNTIFS($A$4:A470,A470,$I$4:I470,"&lt;&gt;Штраф -2",$I$4:I470,"&lt;&gt;ушел на базу"))</f>
        <v/>
      </c>
      <c r="F470" s="4">
        <f>IF(E470="","",IF(E470&lt;=3,6,IF(E470&lt;=6,5,IF(E470&lt;=9,4,IF(E470&lt;=12,3,IF(E470&lt;=15,2,0))))))</f>
        <v/>
      </c>
      <c r="G470" s="3" t="n"/>
      <c r="H470" s="4">
        <f>IF(I470="Штраф -2",-2,IF(OR(F470="",G470=""),"",F470*G470+IF(J470="",0,J470)))</f>
        <v/>
      </c>
      <c r="I470" s="3" t="n"/>
      <c r="J470" s="3" t="n"/>
      <c r="K470" s="3" t="n"/>
    </row>
    <row r="471">
      <c r="A471" s="3" t="n"/>
      <c r="B471" s="3" t="n"/>
      <c r="C471" s="3" t="n"/>
      <c r="D471" s="3" t="n"/>
      <c r="E471" s="4">
        <f>IF(A471="","",COUNTIFS($A$4:A471,A471,$I$4:I471,"&lt;&gt;Штраф -2",$I$4:I471,"&lt;&gt;ушел на базу"))</f>
        <v/>
      </c>
      <c r="F471" s="4">
        <f>IF(E471="","",IF(E471&lt;=3,6,IF(E471&lt;=6,5,IF(E471&lt;=9,4,IF(E471&lt;=12,3,IF(E471&lt;=15,2,0))))))</f>
        <v/>
      </c>
      <c r="G471" s="3" t="n"/>
      <c r="H471" s="4">
        <f>IF(I471="Штраф -2",-2,IF(OR(F471="",G471=""),"",F471*G471+IF(J471="",0,J471)))</f>
        <v/>
      </c>
      <c r="I471" s="3" t="n"/>
      <c r="J471" s="3" t="n"/>
      <c r="K471" s="3" t="n"/>
    </row>
    <row r="472">
      <c r="A472" s="3" t="n"/>
      <c r="B472" s="3" t="n"/>
      <c r="C472" s="3" t="n"/>
      <c r="D472" s="3" t="n"/>
      <c r="E472" s="4">
        <f>IF(A472="","",COUNTIFS($A$4:A472,A472,$I$4:I472,"&lt;&gt;Штраф -2",$I$4:I472,"&lt;&gt;ушел на базу"))</f>
        <v/>
      </c>
      <c r="F472" s="4">
        <f>IF(E472="","",IF(E472&lt;=3,6,IF(E472&lt;=6,5,IF(E472&lt;=9,4,IF(E472&lt;=12,3,IF(E472&lt;=15,2,0))))))</f>
        <v/>
      </c>
      <c r="G472" s="3" t="n"/>
      <c r="H472" s="4">
        <f>IF(I472="Штраф -2",-2,IF(OR(F472="",G472=""),"",F472*G472+IF(J472="",0,J472)))</f>
        <v/>
      </c>
      <c r="I472" s="3" t="n"/>
      <c r="J472" s="3" t="n"/>
      <c r="K472" s="3" t="n"/>
    </row>
    <row r="473">
      <c r="A473" s="3" t="n"/>
      <c r="B473" s="3" t="n"/>
      <c r="C473" s="3" t="n"/>
      <c r="D473" s="3" t="n"/>
      <c r="E473" s="4">
        <f>IF(A473="","",COUNTIFS($A$4:A473,A473,$I$4:I473,"&lt;&gt;Штраф -2",$I$4:I473,"&lt;&gt;ушел на базу"))</f>
        <v/>
      </c>
      <c r="F473" s="4">
        <f>IF(E473="","",IF(E473&lt;=3,6,IF(E473&lt;=6,5,IF(E473&lt;=9,4,IF(E473&lt;=12,3,IF(E473&lt;=15,2,0))))))</f>
        <v/>
      </c>
      <c r="G473" s="3" t="n"/>
      <c r="H473" s="4">
        <f>IF(I473="Штраф -2",-2,IF(OR(F473="",G473=""),"",F473*G473+IF(J473="",0,J473)))</f>
        <v/>
      </c>
      <c r="I473" s="3" t="n"/>
      <c r="J473" s="3" t="n"/>
      <c r="K473" s="3" t="n"/>
    </row>
    <row r="474">
      <c r="A474" s="3" t="n"/>
      <c r="B474" s="3" t="n"/>
      <c r="C474" s="3" t="n"/>
      <c r="D474" s="3" t="n"/>
      <c r="E474" s="4">
        <f>IF(A474="","",COUNTIFS($A$4:A474,A474,$I$4:I474,"&lt;&gt;Штраф -2",$I$4:I474,"&lt;&gt;ушел на базу"))</f>
        <v/>
      </c>
      <c r="F474" s="4">
        <f>IF(E474="","",IF(E474&lt;=3,6,IF(E474&lt;=6,5,IF(E474&lt;=9,4,IF(E474&lt;=12,3,IF(E474&lt;=15,2,0))))))</f>
        <v/>
      </c>
      <c r="G474" s="3" t="n"/>
      <c r="H474" s="4">
        <f>IF(I474="Штраф -2",-2,IF(OR(F474="",G474=""),"",F474*G474+IF(J474="",0,J474)))</f>
        <v/>
      </c>
      <c r="I474" s="3" t="n"/>
      <c r="J474" s="3" t="n"/>
      <c r="K474" s="3" t="n"/>
    </row>
    <row r="475">
      <c r="A475" s="3" t="n"/>
      <c r="B475" s="3" t="n"/>
      <c r="C475" s="3" t="n"/>
      <c r="D475" s="3" t="n"/>
      <c r="E475" s="4">
        <f>IF(A475="","",COUNTIFS($A$4:A475,A475,$I$4:I475,"&lt;&gt;Штраф -2",$I$4:I475,"&lt;&gt;ушел на базу"))</f>
        <v/>
      </c>
      <c r="F475" s="4">
        <f>IF(E475="","",IF(E475&lt;=3,6,IF(E475&lt;=6,5,IF(E475&lt;=9,4,IF(E475&lt;=12,3,IF(E475&lt;=15,2,0))))))</f>
        <v/>
      </c>
      <c r="G475" s="3" t="n"/>
      <c r="H475" s="4">
        <f>IF(I475="Штраф -2",-2,IF(OR(F475="",G475=""),"",F475*G475+IF(J475="",0,J475)))</f>
        <v/>
      </c>
      <c r="I475" s="3" t="n"/>
      <c r="J475" s="3" t="n"/>
      <c r="K475" s="3" t="n"/>
    </row>
    <row r="476">
      <c r="A476" s="3" t="n"/>
      <c r="B476" s="3" t="n"/>
      <c r="C476" s="3" t="n"/>
      <c r="D476" s="3" t="n"/>
      <c r="E476" s="4">
        <f>IF(A476="","",COUNTIFS($A$4:A476,A476,$I$4:I476,"&lt;&gt;Штраф -2",$I$4:I476,"&lt;&gt;ушел на базу"))</f>
        <v/>
      </c>
      <c r="F476" s="4">
        <f>IF(E476="","",IF(E476&lt;=3,6,IF(E476&lt;=6,5,IF(E476&lt;=9,4,IF(E476&lt;=12,3,IF(E476&lt;=15,2,0))))))</f>
        <v/>
      </c>
      <c r="G476" s="3" t="n"/>
      <c r="H476" s="4">
        <f>IF(I476="Штраф -2",-2,IF(OR(F476="",G476=""),"",F476*G476+IF(J476="",0,J476)))</f>
        <v/>
      </c>
      <c r="I476" s="3" t="n"/>
      <c r="J476" s="3" t="n"/>
      <c r="K476" s="3" t="n"/>
    </row>
    <row r="477">
      <c r="A477" s="3" t="n"/>
      <c r="B477" s="3" t="n"/>
      <c r="C477" s="3" t="n"/>
      <c r="D477" s="3" t="n"/>
      <c r="E477" s="4">
        <f>IF(A477="","",COUNTIFS($A$4:A477,A477,$I$4:I477,"&lt;&gt;Штраф -2",$I$4:I477,"&lt;&gt;ушел на базу"))</f>
        <v/>
      </c>
      <c r="F477" s="4">
        <f>IF(E477="","",IF(E477&lt;=3,6,IF(E477&lt;=6,5,IF(E477&lt;=9,4,IF(E477&lt;=12,3,IF(E477&lt;=15,2,0))))))</f>
        <v/>
      </c>
      <c r="G477" s="3" t="n"/>
      <c r="H477" s="4">
        <f>IF(I477="Штраф -2",-2,IF(OR(F477="",G477=""),"",F477*G477+IF(J477="",0,J477)))</f>
        <v/>
      </c>
      <c r="I477" s="3" t="n"/>
      <c r="J477" s="3" t="n"/>
      <c r="K477" s="3" t="n"/>
    </row>
    <row r="478">
      <c r="A478" s="3" t="n"/>
      <c r="B478" s="3" t="n"/>
      <c r="C478" s="3" t="n"/>
      <c r="D478" s="3" t="n"/>
      <c r="E478" s="4">
        <f>IF(A478="","",COUNTIFS($A$4:A478,A478,$I$4:I478,"&lt;&gt;Штраф -2",$I$4:I478,"&lt;&gt;ушел на базу"))</f>
        <v/>
      </c>
      <c r="F478" s="4">
        <f>IF(E478="","",IF(E478&lt;=3,6,IF(E478&lt;=6,5,IF(E478&lt;=9,4,IF(E478&lt;=12,3,IF(E478&lt;=15,2,0))))))</f>
        <v/>
      </c>
      <c r="G478" s="3" t="n"/>
      <c r="H478" s="4">
        <f>IF(I478="Штраф -2",-2,IF(OR(F478="",G478=""),"",F478*G478+IF(J478="",0,J478)))</f>
        <v/>
      </c>
      <c r="I478" s="3" t="n"/>
      <c r="J478" s="3" t="n"/>
      <c r="K478" s="3" t="n"/>
    </row>
    <row r="479">
      <c r="A479" s="3" t="n"/>
      <c r="B479" s="3" t="n"/>
      <c r="C479" s="3" t="n"/>
      <c r="D479" s="3" t="n"/>
      <c r="E479" s="4">
        <f>IF(A479="","",COUNTIFS($A$4:A479,A479,$I$4:I479,"&lt;&gt;Штраф -2",$I$4:I479,"&lt;&gt;ушел на базу"))</f>
        <v/>
      </c>
      <c r="F479" s="4">
        <f>IF(E479="","",IF(E479&lt;=3,6,IF(E479&lt;=6,5,IF(E479&lt;=9,4,IF(E479&lt;=12,3,IF(E479&lt;=15,2,0))))))</f>
        <v/>
      </c>
      <c r="G479" s="3" t="n"/>
      <c r="H479" s="4">
        <f>IF(I479="Штраф -2",-2,IF(OR(F479="",G479=""),"",F479*G479+IF(J479="",0,J479)))</f>
        <v/>
      </c>
      <c r="I479" s="3" t="n"/>
      <c r="J479" s="3" t="n"/>
      <c r="K479" s="3" t="n"/>
    </row>
    <row r="480">
      <c r="A480" s="3" t="n"/>
      <c r="B480" s="3" t="n"/>
      <c r="C480" s="3" t="n"/>
      <c r="D480" s="3" t="n"/>
      <c r="E480" s="4">
        <f>IF(A480="","",COUNTIFS($A$4:A480,A480,$I$4:I480,"&lt;&gt;Штраф -2",$I$4:I480,"&lt;&gt;ушел на базу"))</f>
        <v/>
      </c>
      <c r="F480" s="4">
        <f>IF(E480="","",IF(E480&lt;=3,6,IF(E480&lt;=6,5,IF(E480&lt;=9,4,IF(E480&lt;=12,3,IF(E480&lt;=15,2,0))))))</f>
        <v/>
      </c>
      <c r="G480" s="3" t="n"/>
      <c r="H480" s="4">
        <f>IF(I480="Штраф -2",-2,IF(OR(F480="",G480=""),"",F480*G480+IF(J480="",0,J480)))</f>
        <v/>
      </c>
      <c r="I480" s="3" t="n"/>
      <c r="J480" s="3" t="n"/>
      <c r="K480" s="3" t="n"/>
    </row>
    <row r="481">
      <c r="A481" s="3" t="n"/>
      <c r="B481" s="3" t="n"/>
      <c r="C481" s="3" t="n"/>
      <c r="D481" s="3" t="n"/>
      <c r="E481" s="4">
        <f>IF(A481="","",COUNTIFS($A$4:A481,A481,$I$4:I481,"&lt;&gt;Штраф -2",$I$4:I481,"&lt;&gt;ушел на базу"))</f>
        <v/>
      </c>
      <c r="F481" s="4">
        <f>IF(E481="","",IF(E481&lt;=3,6,IF(E481&lt;=6,5,IF(E481&lt;=9,4,IF(E481&lt;=12,3,IF(E481&lt;=15,2,0))))))</f>
        <v/>
      </c>
      <c r="G481" s="3" t="n"/>
      <c r="H481" s="4">
        <f>IF(I481="Штраф -2",-2,IF(OR(F481="",G481=""),"",F481*G481+IF(J481="",0,J481)))</f>
        <v/>
      </c>
      <c r="I481" s="3" t="n"/>
      <c r="J481" s="3" t="n"/>
      <c r="K481" s="3" t="n"/>
    </row>
    <row r="482">
      <c r="A482" s="3" t="n"/>
      <c r="B482" s="3" t="n"/>
      <c r="C482" s="3" t="n"/>
      <c r="D482" s="3" t="n"/>
      <c r="E482" s="4">
        <f>IF(A482="","",COUNTIFS($A$4:A482,A482,$I$4:I482,"&lt;&gt;Штраф -2",$I$4:I482,"&lt;&gt;ушел на базу"))</f>
        <v/>
      </c>
      <c r="F482" s="4">
        <f>IF(E482="","",IF(E482&lt;=3,6,IF(E482&lt;=6,5,IF(E482&lt;=9,4,IF(E482&lt;=12,3,IF(E482&lt;=15,2,0))))))</f>
        <v/>
      </c>
      <c r="G482" s="3" t="n"/>
      <c r="H482" s="4">
        <f>IF(I482="Штраф -2",-2,IF(OR(F482="",G482=""),"",F482*G482+IF(J482="",0,J482)))</f>
        <v/>
      </c>
      <c r="I482" s="3" t="n"/>
      <c r="J482" s="3" t="n"/>
      <c r="K482" s="3" t="n"/>
    </row>
    <row r="483">
      <c r="A483" s="3" t="n"/>
      <c r="B483" s="3" t="n"/>
      <c r="C483" s="3" t="n"/>
      <c r="D483" s="3" t="n"/>
      <c r="E483" s="4">
        <f>IF(A483="","",COUNTIFS($A$4:A483,A483,$I$4:I483,"&lt;&gt;Штраф -2",$I$4:I483,"&lt;&gt;ушел на базу"))</f>
        <v/>
      </c>
      <c r="F483" s="4">
        <f>IF(E483="","",IF(E483&lt;=3,6,IF(E483&lt;=6,5,IF(E483&lt;=9,4,IF(E483&lt;=12,3,IF(E483&lt;=15,2,0))))))</f>
        <v/>
      </c>
      <c r="G483" s="3" t="n"/>
      <c r="H483" s="4">
        <f>IF(I483="Штраф -2",-2,IF(OR(F483="",G483=""),"",F483*G483+IF(J483="",0,J483)))</f>
        <v/>
      </c>
      <c r="I483" s="3" t="n"/>
      <c r="J483" s="3" t="n"/>
      <c r="K483" s="3" t="n"/>
    </row>
    <row r="484">
      <c r="A484" s="3" t="n"/>
      <c r="B484" s="3" t="n"/>
      <c r="C484" s="3" t="n"/>
      <c r="D484" s="3" t="n"/>
      <c r="E484" s="4">
        <f>IF(A484="","",COUNTIFS($A$4:A484,A484,$I$4:I484,"&lt;&gt;Штраф -2",$I$4:I484,"&lt;&gt;ушел на базу"))</f>
        <v/>
      </c>
      <c r="F484" s="4">
        <f>IF(E484="","",IF(E484&lt;=3,6,IF(E484&lt;=6,5,IF(E484&lt;=9,4,IF(E484&lt;=12,3,IF(E484&lt;=15,2,0))))))</f>
        <v/>
      </c>
      <c r="G484" s="3" t="n"/>
      <c r="H484" s="4">
        <f>IF(I484="Штраф -2",-2,IF(OR(F484="",G484=""),"",F484*G484+IF(J484="",0,J484)))</f>
        <v/>
      </c>
      <c r="I484" s="3" t="n"/>
      <c r="J484" s="3" t="n"/>
      <c r="K484" s="3" t="n"/>
    </row>
    <row r="485">
      <c r="A485" s="3" t="n"/>
      <c r="B485" s="3" t="n"/>
      <c r="C485" s="3" t="n"/>
      <c r="D485" s="3" t="n"/>
      <c r="E485" s="4">
        <f>IF(A485="","",COUNTIFS($A$4:A485,A485,$I$4:I485,"&lt;&gt;Штраф -2",$I$4:I485,"&lt;&gt;ушел на базу"))</f>
        <v/>
      </c>
      <c r="F485" s="4">
        <f>IF(E485="","",IF(E485&lt;=3,6,IF(E485&lt;=6,5,IF(E485&lt;=9,4,IF(E485&lt;=12,3,IF(E485&lt;=15,2,0))))))</f>
        <v/>
      </c>
      <c r="G485" s="3" t="n"/>
      <c r="H485" s="4">
        <f>IF(I485="Штраф -2",-2,IF(OR(F485="",G485=""),"",F485*G485+IF(J485="",0,J485)))</f>
        <v/>
      </c>
      <c r="I485" s="3" t="n"/>
      <c r="J485" s="3" t="n"/>
      <c r="K485" s="3" t="n"/>
    </row>
    <row r="486">
      <c r="A486" s="3" t="n"/>
      <c r="B486" s="3" t="n"/>
      <c r="C486" s="3" t="n"/>
      <c r="D486" s="3" t="n"/>
      <c r="E486" s="4">
        <f>IF(A486="","",COUNTIFS($A$4:A486,A486,$I$4:I486,"&lt;&gt;Штраф -2",$I$4:I486,"&lt;&gt;ушел на базу"))</f>
        <v/>
      </c>
      <c r="F486" s="4">
        <f>IF(E486="","",IF(E486&lt;=3,6,IF(E486&lt;=6,5,IF(E486&lt;=9,4,IF(E486&lt;=12,3,IF(E486&lt;=15,2,0))))))</f>
        <v/>
      </c>
      <c r="G486" s="3" t="n"/>
      <c r="H486" s="4">
        <f>IF(I486="Штраф -2",-2,IF(OR(F486="",G486=""),"",F486*G486+IF(J486="",0,J486)))</f>
        <v/>
      </c>
      <c r="I486" s="3" t="n"/>
      <c r="J486" s="3" t="n"/>
      <c r="K486" s="3" t="n"/>
    </row>
    <row r="487">
      <c r="A487" s="3" t="n"/>
      <c r="B487" s="3" t="n"/>
      <c r="C487" s="3" t="n"/>
      <c r="D487" s="3" t="n"/>
      <c r="E487" s="4">
        <f>IF(A487="","",COUNTIFS($A$4:A487,A487,$I$4:I487,"&lt;&gt;Штраф -2",$I$4:I487,"&lt;&gt;ушел на базу"))</f>
        <v/>
      </c>
      <c r="F487" s="4">
        <f>IF(E487="","",IF(E487&lt;=3,6,IF(E487&lt;=6,5,IF(E487&lt;=9,4,IF(E487&lt;=12,3,IF(E487&lt;=15,2,0))))))</f>
        <v/>
      </c>
      <c r="G487" s="3" t="n"/>
      <c r="H487" s="4">
        <f>IF(I487="Штраф -2",-2,IF(OR(F487="",G487=""),"",F487*G487+IF(J487="",0,J487)))</f>
        <v/>
      </c>
      <c r="I487" s="3" t="n"/>
      <c r="J487" s="3" t="n"/>
      <c r="K487" s="3" t="n"/>
    </row>
    <row r="488">
      <c r="A488" s="3" t="n"/>
      <c r="B488" s="3" t="n"/>
      <c r="C488" s="3" t="n"/>
      <c r="D488" s="3" t="n"/>
      <c r="E488" s="4">
        <f>IF(A488="","",COUNTIFS($A$4:A488,A488,$I$4:I488,"&lt;&gt;Штраф -2",$I$4:I488,"&lt;&gt;ушел на базу"))</f>
        <v/>
      </c>
      <c r="F488" s="4">
        <f>IF(E488="","",IF(E488&lt;=3,6,IF(E488&lt;=6,5,IF(E488&lt;=9,4,IF(E488&lt;=12,3,IF(E488&lt;=15,2,0))))))</f>
        <v/>
      </c>
      <c r="G488" s="3" t="n"/>
      <c r="H488" s="4">
        <f>IF(I488="Штраф -2",-2,IF(OR(F488="",G488=""),"",F488*G488+IF(J488="",0,J488)))</f>
        <v/>
      </c>
      <c r="I488" s="3" t="n"/>
      <c r="J488" s="3" t="n"/>
      <c r="K488" s="3" t="n"/>
    </row>
    <row r="489">
      <c r="A489" s="3" t="n"/>
      <c r="B489" s="3" t="n"/>
      <c r="C489" s="3" t="n"/>
      <c r="D489" s="3" t="n"/>
      <c r="E489" s="4">
        <f>IF(A489="","",COUNTIFS($A$4:A489,A489,$I$4:I489,"&lt;&gt;Штраф -2",$I$4:I489,"&lt;&gt;ушел на базу"))</f>
        <v/>
      </c>
      <c r="F489" s="4">
        <f>IF(E489="","",IF(E489&lt;=3,6,IF(E489&lt;=6,5,IF(E489&lt;=9,4,IF(E489&lt;=12,3,IF(E489&lt;=15,2,0))))))</f>
        <v/>
      </c>
      <c r="G489" s="3" t="n"/>
      <c r="H489" s="4">
        <f>IF(I489="Штраф -2",-2,IF(OR(F489="",G489=""),"",F489*G489+IF(J489="",0,J489)))</f>
        <v/>
      </c>
      <c r="I489" s="3" t="n"/>
      <c r="J489" s="3" t="n"/>
      <c r="K489" s="3" t="n"/>
    </row>
    <row r="490">
      <c r="A490" s="3" t="n"/>
      <c r="B490" s="3" t="n"/>
      <c r="C490" s="3" t="n"/>
      <c r="D490" s="3" t="n"/>
      <c r="E490" s="4">
        <f>IF(A490="","",COUNTIFS($A$4:A490,A490,$I$4:I490,"&lt;&gt;Штраф -2",$I$4:I490,"&lt;&gt;ушел на базу"))</f>
        <v/>
      </c>
      <c r="F490" s="4">
        <f>IF(E490="","",IF(E490&lt;=3,6,IF(E490&lt;=6,5,IF(E490&lt;=9,4,IF(E490&lt;=12,3,IF(E490&lt;=15,2,0))))))</f>
        <v/>
      </c>
      <c r="G490" s="3" t="n"/>
      <c r="H490" s="4">
        <f>IF(I490="Штраф -2",-2,IF(OR(F490="",G490=""),"",F490*G490+IF(J490="",0,J490)))</f>
        <v/>
      </c>
      <c r="I490" s="3" t="n"/>
      <c r="J490" s="3" t="n"/>
      <c r="K490" s="3" t="n"/>
    </row>
    <row r="491">
      <c r="A491" s="3" t="n"/>
      <c r="B491" s="3" t="n"/>
      <c r="C491" s="3" t="n"/>
      <c r="D491" s="3" t="n"/>
      <c r="E491" s="4">
        <f>IF(A491="","",COUNTIFS($A$4:A491,A491,$I$4:I491,"&lt;&gt;Штраф -2",$I$4:I491,"&lt;&gt;ушел на базу"))</f>
        <v/>
      </c>
      <c r="F491" s="4">
        <f>IF(E491="","",IF(E491&lt;=3,6,IF(E491&lt;=6,5,IF(E491&lt;=9,4,IF(E491&lt;=12,3,IF(E491&lt;=15,2,0))))))</f>
        <v/>
      </c>
      <c r="G491" s="3" t="n"/>
      <c r="H491" s="4">
        <f>IF(I491="Штраф -2",-2,IF(OR(F491="",G491=""),"",F491*G491+IF(J491="",0,J491)))</f>
        <v/>
      </c>
      <c r="I491" s="3" t="n"/>
      <c r="J491" s="3" t="n"/>
      <c r="K491" s="3" t="n"/>
    </row>
    <row r="492">
      <c r="A492" s="3" t="n"/>
      <c r="B492" s="3" t="n"/>
      <c r="C492" s="3" t="n"/>
      <c r="D492" s="3" t="n"/>
      <c r="E492" s="4">
        <f>IF(A492="","",COUNTIFS($A$4:A492,A492,$I$4:I492,"&lt;&gt;Штраф -2",$I$4:I492,"&lt;&gt;ушел на базу"))</f>
        <v/>
      </c>
      <c r="F492" s="4">
        <f>IF(E492="","",IF(E492&lt;=3,6,IF(E492&lt;=6,5,IF(E492&lt;=9,4,IF(E492&lt;=12,3,IF(E492&lt;=15,2,0))))))</f>
        <v/>
      </c>
      <c r="G492" s="3" t="n"/>
      <c r="H492" s="4">
        <f>IF(I492="Штраф -2",-2,IF(OR(F492="",G492=""),"",F492*G492+IF(J492="",0,J492)))</f>
        <v/>
      </c>
      <c r="I492" s="3" t="n"/>
      <c r="J492" s="3" t="n"/>
      <c r="K492" s="3" t="n"/>
    </row>
    <row r="493">
      <c r="A493" s="3" t="n"/>
      <c r="B493" s="3" t="n"/>
      <c r="C493" s="3" t="n"/>
      <c r="D493" s="3" t="n"/>
      <c r="E493" s="4">
        <f>IF(A493="","",COUNTIFS($A$4:A493,A493,$I$4:I493,"&lt;&gt;Штраф -2",$I$4:I493,"&lt;&gt;ушел на базу"))</f>
        <v/>
      </c>
      <c r="F493" s="4">
        <f>IF(E493="","",IF(E493&lt;=3,6,IF(E493&lt;=6,5,IF(E493&lt;=9,4,IF(E493&lt;=12,3,IF(E493&lt;=15,2,0))))))</f>
        <v/>
      </c>
      <c r="G493" s="3" t="n"/>
      <c r="H493" s="4">
        <f>IF(I493="Штраф -2",-2,IF(OR(F493="",G493=""),"",F493*G493+IF(J493="",0,J493)))</f>
        <v/>
      </c>
      <c r="I493" s="3" t="n"/>
      <c r="J493" s="3" t="n"/>
      <c r="K493" s="3" t="n"/>
    </row>
    <row r="494">
      <c r="A494" s="3" t="n"/>
      <c r="B494" s="3" t="n"/>
      <c r="C494" s="3" t="n"/>
      <c r="D494" s="3" t="n"/>
      <c r="E494" s="4">
        <f>IF(A494="","",COUNTIFS($A$4:A494,A494,$I$4:I494,"&lt;&gt;Штраф -2",$I$4:I494,"&lt;&gt;ушел на базу"))</f>
        <v/>
      </c>
      <c r="F494" s="4">
        <f>IF(E494="","",IF(E494&lt;=3,6,IF(E494&lt;=6,5,IF(E494&lt;=9,4,IF(E494&lt;=12,3,IF(E494&lt;=15,2,0))))))</f>
        <v/>
      </c>
      <c r="G494" s="3" t="n"/>
      <c r="H494" s="4">
        <f>IF(I494="Штраф -2",-2,IF(OR(F494="",G494=""),"",F494*G494+IF(J494="",0,J494)))</f>
        <v/>
      </c>
      <c r="I494" s="3" t="n"/>
      <c r="J494" s="3" t="n"/>
      <c r="K494" s="3" t="n"/>
    </row>
    <row r="495">
      <c r="A495" s="3" t="n"/>
      <c r="B495" s="3" t="n"/>
      <c r="C495" s="3" t="n"/>
      <c r="D495" s="3" t="n"/>
      <c r="E495" s="4">
        <f>IF(A495="","",COUNTIFS($A$4:A495,A495,$I$4:I495,"&lt;&gt;Штраф -2",$I$4:I495,"&lt;&gt;ушел на базу"))</f>
        <v/>
      </c>
      <c r="F495" s="4">
        <f>IF(E495="","",IF(E495&lt;=3,6,IF(E495&lt;=6,5,IF(E495&lt;=9,4,IF(E495&lt;=12,3,IF(E495&lt;=15,2,0))))))</f>
        <v/>
      </c>
      <c r="G495" s="3" t="n"/>
      <c r="H495" s="4">
        <f>IF(I495="Штраф -2",-2,IF(OR(F495="",G495=""),"",F495*G495+IF(J495="",0,J495)))</f>
        <v/>
      </c>
      <c r="I495" s="3" t="n"/>
      <c r="J495" s="3" t="n"/>
      <c r="K495" s="3" t="n"/>
    </row>
    <row r="496">
      <c r="A496" s="3" t="n"/>
      <c r="B496" s="3" t="n"/>
      <c r="C496" s="3" t="n"/>
      <c r="D496" s="3" t="n"/>
      <c r="E496" s="4">
        <f>IF(A496="","",COUNTIFS($A$4:A496,A496,$I$4:I496,"&lt;&gt;Штраф -2",$I$4:I496,"&lt;&gt;ушел на базу"))</f>
        <v/>
      </c>
      <c r="F496" s="4">
        <f>IF(E496="","",IF(E496&lt;=3,6,IF(E496&lt;=6,5,IF(E496&lt;=9,4,IF(E496&lt;=12,3,IF(E496&lt;=15,2,0))))))</f>
        <v/>
      </c>
      <c r="G496" s="3" t="n"/>
      <c r="H496" s="4">
        <f>IF(I496="Штраф -2",-2,IF(OR(F496="",G496=""),"",F496*G496+IF(J496="",0,J496)))</f>
        <v/>
      </c>
      <c r="I496" s="3" t="n"/>
      <c r="J496" s="3" t="n"/>
      <c r="K496" s="3" t="n"/>
    </row>
    <row r="497">
      <c r="A497" s="3" t="n"/>
      <c r="B497" s="3" t="n"/>
      <c r="C497" s="3" t="n"/>
      <c r="D497" s="3" t="n"/>
      <c r="E497" s="4">
        <f>IF(A497="","",COUNTIFS($A$4:A497,A497,$I$4:I497,"&lt;&gt;Штраф -2",$I$4:I497,"&lt;&gt;ушел на базу"))</f>
        <v/>
      </c>
      <c r="F497" s="4">
        <f>IF(E497="","",IF(E497&lt;=3,6,IF(E497&lt;=6,5,IF(E497&lt;=9,4,IF(E497&lt;=12,3,IF(E497&lt;=15,2,0))))))</f>
        <v/>
      </c>
      <c r="G497" s="3" t="n"/>
      <c r="H497" s="4">
        <f>IF(I497="Штраф -2",-2,IF(OR(F497="",G497=""),"",F497*G497+IF(J497="",0,J497)))</f>
        <v/>
      </c>
      <c r="I497" s="3" t="n"/>
      <c r="J497" s="3" t="n"/>
      <c r="K497" s="3" t="n"/>
    </row>
    <row r="498">
      <c r="A498" s="3" t="n"/>
      <c r="B498" s="3" t="n"/>
      <c r="C498" s="3" t="n"/>
      <c r="D498" s="3" t="n"/>
      <c r="E498" s="4">
        <f>IF(A498="","",COUNTIFS($A$4:A498,A498,$I$4:I498,"&lt;&gt;Штраф -2",$I$4:I498,"&lt;&gt;ушел на базу"))</f>
        <v/>
      </c>
      <c r="F498" s="4">
        <f>IF(E498="","",IF(E498&lt;=3,6,IF(E498&lt;=6,5,IF(E498&lt;=9,4,IF(E498&lt;=12,3,IF(E498&lt;=15,2,0))))))</f>
        <v/>
      </c>
      <c r="G498" s="3" t="n"/>
      <c r="H498" s="4">
        <f>IF(I498="Штраф -2",-2,IF(OR(F498="",G498=""),"",F498*G498+IF(J498="",0,J498)))</f>
        <v/>
      </c>
      <c r="I498" s="3" t="n"/>
      <c r="J498" s="3" t="n"/>
      <c r="K498" s="3" t="n"/>
    </row>
    <row r="499">
      <c r="A499" s="3" t="n"/>
      <c r="B499" s="3" t="n"/>
      <c r="C499" s="3" t="n"/>
      <c r="D499" s="3" t="n"/>
      <c r="E499" s="4">
        <f>IF(A499="","",COUNTIFS($A$4:A499,A499,$I$4:I499,"&lt;&gt;Штраф -2",$I$4:I499,"&lt;&gt;ушел на базу"))</f>
        <v/>
      </c>
      <c r="F499" s="4">
        <f>IF(E499="","",IF(E499&lt;=3,6,IF(E499&lt;=6,5,IF(E499&lt;=9,4,IF(E499&lt;=12,3,IF(E499&lt;=15,2,0))))))</f>
        <v/>
      </c>
      <c r="G499" s="3" t="n"/>
      <c r="H499" s="4">
        <f>IF(I499="Штраф -2",-2,IF(OR(F499="",G499=""),"",F499*G499+IF(J499="",0,J499)))</f>
        <v/>
      </c>
      <c r="I499" s="3" t="n"/>
      <c r="J499" s="3" t="n"/>
      <c r="K499" s="3" t="n"/>
    </row>
    <row r="500">
      <c r="A500" s="3" t="n"/>
      <c r="B500" s="3" t="n"/>
      <c r="C500" s="3" t="n"/>
      <c r="D500" s="3" t="n"/>
      <c r="E500" s="4">
        <f>IF(A500="","",COUNTIFS($A$4:A500,A500,$I$4:I500,"&lt;&gt;Штраф -2",$I$4:I500,"&lt;&gt;ушел на базу"))</f>
        <v/>
      </c>
      <c r="F500" s="4">
        <f>IF(E500="","",IF(E500&lt;=3,6,IF(E500&lt;=6,5,IF(E500&lt;=9,4,IF(E500&lt;=12,3,IF(E500&lt;=15,2,0))))))</f>
        <v/>
      </c>
      <c r="G500" s="3" t="n"/>
      <c r="H500" s="4">
        <f>IF(I500="Штраф -2",-2,IF(OR(F500="",G500=""),"",F500*G500+IF(J500="",0,J500)))</f>
        <v/>
      </c>
      <c r="I500" s="3" t="n"/>
      <c r="J500" s="3" t="n"/>
      <c r="K500" s="3" t="n"/>
    </row>
    <row r="501">
      <c r="A501" s="3" t="n"/>
      <c r="B501" s="3" t="n"/>
      <c r="C501" s="3" t="n"/>
      <c r="D501" s="3" t="n"/>
      <c r="E501" s="4">
        <f>IF(A501="","",COUNTIFS($A$4:A501,A501,$I$4:I501,"&lt;&gt;Штраф -2",$I$4:I501,"&lt;&gt;ушел на базу"))</f>
        <v/>
      </c>
      <c r="F501" s="4">
        <f>IF(E501="","",IF(E501&lt;=3,6,IF(E501&lt;=6,5,IF(E501&lt;=9,4,IF(E501&lt;=12,3,IF(E501&lt;=15,2,0))))))</f>
        <v/>
      </c>
      <c r="G501" s="3" t="n"/>
      <c r="H501" s="4">
        <f>IF(I501="Штраф -2",-2,IF(OR(F501="",G501=""),"",F501*G501+IF(J501="",0,J501)))</f>
        <v/>
      </c>
      <c r="I501" s="3" t="n"/>
      <c r="J501" s="3" t="n"/>
      <c r="K501" s="3" t="n"/>
    </row>
    <row r="502">
      <c r="A502" s="3" t="n"/>
      <c r="B502" s="3" t="n"/>
      <c r="C502" s="3" t="n"/>
      <c r="D502" s="3" t="n"/>
      <c r="E502" s="4">
        <f>IF(A502="","",COUNTIFS($A$4:A502,A502,$I$4:I502,"&lt;&gt;Штраф -2",$I$4:I502,"&lt;&gt;ушел на базу"))</f>
        <v/>
      </c>
      <c r="F502" s="4">
        <f>IF(E502="","",IF(E502&lt;=3,6,IF(E502&lt;=6,5,IF(E502&lt;=9,4,IF(E502&lt;=12,3,IF(E502&lt;=15,2,0))))))</f>
        <v/>
      </c>
      <c r="G502" s="3" t="n"/>
      <c r="H502" s="4">
        <f>IF(I502="Штраф -2",-2,IF(OR(F502="",G502=""),"",F502*G502+IF(J502="",0,J502)))</f>
        <v/>
      </c>
      <c r="I502" s="3" t="n"/>
      <c r="J502" s="3" t="n"/>
      <c r="K502" s="3" t="n"/>
    </row>
    <row r="503">
      <c r="A503" s="3" t="n"/>
      <c r="B503" s="3" t="n"/>
      <c r="C503" s="3" t="n"/>
      <c r="D503" s="3" t="n"/>
      <c r="E503" s="4">
        <f>IF(A503="","",COUNTIFS($A$4:A503,A503,$I$4:I503,"&lt;&gt;Штраф -2",$I$4:I503,"&lt;&gt;ушел на базу"))</f>
        <v/>
      </c>
      <c r="F503" s="4">
        <f>IF(E503="","",IF(E503&lt;=3,6,IF(E503&lt;=6,5,IF(E503&lt;=9,4,IF(E503&lt;=12,3,IF(E503&lt;=15,2,0))))))</f>
        <v/>
      </c>
      <c r="G503" s="3" t="n"/>
      <c r="H503" s="4">
        <f>IF(I503="Штраф -2",-2,IF(OR(F503="",G503=""),"",F503*G503+IF(J503="",0,J503)))</f>
        <v/>
      </c>
      <c r="I503" s="3" t="n"/>
      <c r="J503" s="3" t="n"/>
      <c r="K503" s="3" t="n"/>
    </row>
    <row r="504">
      <c r="A504" s="3" t="n"/>
      <c r="B504" s="3" t="n"/>
      <c r="C504" s="3" t="n"/>
      <c r="D504" s="3" t="n"/>
      <c r="E504" s="4">
        <f>IF(A504="","",COUNTIFS($A$4:A504,A504,$I$4:I504,"&lt;&gt;Штраф -2",$I$4:I504,"&lt;&gt;ушел на базу"))</f>
        <v/>
      </c>
      <c r="F504" s="4">
        <f>IF(E504="","",IF(E504&lt;=3,6,IF(E504&lt;=6,5,IF(E504&lt;=9,4,IF(E504&lt;=12,3,IF(E504&lt;=15,2,0))))))</f>
        <v/>
      </c>
      <c r="G504" s="3" t="n"/>
      <c r="H504" s="4">
        <f>IF(I504="Штраф -2",-2,IF(OR(F504="",G504=""),"",F504*G504+IF(J504="",0,J504)))</f>
        <v/>
      </c>
      <c r="I504" s="3" t="n"/>
      <c r="J504" s="3" t="n"/>
      <c r="K504" s="3" t="n"/>
    </row>
    <row r="505">
      <c r="A505" s="3" t="n"/>
      <c r="B505" s="3" t="n"/>
      <c r="C505" s="3" t="n"/>
      <c r="D505" s="3" t="n"/>
      <c r="E505" s="4">
        <f>IF(A505="","",COUNTIFS($A$4:A505,A505,$I$4:I505,"&lt;&gt;Штраф -2",$I$4:I505,"&lt;&gt;ушел на базу"))</f>
        <v/>
      </c>
      <c r="F505" s="4">
        <f>IF(E505="","",IF(E505&lt;=3,6,IF(E505&lt;=6,5,IF(E505&lt;=9,4,IF(E505&lt;=12,3,IF(E505&lt;=15,2,0))))))</f>
        <v/>
      </c>
      <c r="G505" s="3" t="n"/>
      <c r="H505" s="4">
        <f>IF(I505="Штраф -2",-2,IF(OR(F505="",G505=""),"",F505*G505+IF(J505="",0,J505)))</f>
        <v/>
      </c>
      <c r="I505" s="3" t="n"/>
      <c r="J505" s="3" t="n"/>
      <c r="K505" s="3" t="n"/>
    </row>
    <row r="506">
      <c r="A506" s="3" t="n"/>
      <c r="B506" s="3" t="n"/>
      <c r="C506" s="3" t="n"/>
      <c r="D506" s="3" t="n"/>
      <c r="E506" s="4">
        <f>IF(A506="","",COUNTIFS($A$4:A506,A506,$I$4:I506,"&lt;&gt;Штраф -2",$I$4:I506,"&lt;&gt;ушел на базу"))</f>
        <v/>
      </c>
      <c r="F506" s="4">
        <f>IF(E506="","",IF(E506&lt;=3,6,IF(E506&lt;=6,5,IF(E506&lt;=9,4,IF(E506&lt;=12,3,IF(E506&lt;=15,2,0))))))</f>
        <v/>
      </c>
      <c r="G506" s="3" t="n"/>
      <c r="H506" s="4">
        <f>IF(I506="Штраф -2",-2,IF(OR(F506="",G506=""),"",F506*G506+IF(J506="",0,J506)))</f>
        <v/>
      </c>
      <c r="I506" s="3" t="n"/>
      <c r="J506" s="3" t="n"/>
      <c r="K506" s="3" t="n"/>
    </row>
    <row r="507">
      <c r="A507" s="3" t="n"/>
      <c r="B507" s="3" t="n"/>
      <c r="C507" s="3" t="n"/>
      <c r="D507" s="3" t="n"/>
      <c r="E507" s="4">
        <f>IF(A507="","",COUNTIFS($A$4:A507,A507,$I$4:I507,"&lt;&gt;Штраф -2",$I$4:I507,"&lt;&gt;ушел на базу"))</f>
        <v/>
      </c>
      <c r="F507" s="4">
        <f>IF(E507="","",IF(E507&lt;=3,6,IF(E507&lt;=6,5,IF(E507&lt;=9,4,IF(E507&lt;=12,3,IF(E507&lt;=15,2,0))))))</f>
        <v/>
      </c>
      <c r="G507" s="3" t="n"/>
      <c r="H507" s="4">
        <f>IF(I507="Штраф -2",-2,IF(OR(F507="",G507=""),"",F507*G507+IF(J507="",0,J507)))</f>
        <v/>
      </c>
      <c r="I507" s="3" t="n"/>
      <c r="J507" s="3" t="n"/>
      <c r="K507" s="3" t="n"/>
    </row>
    <row r="508">
      <c r="A508" s="3" t="n"/>
      <c r="B508" s="3" t="n"/>
      <c r="C508" s="3" t="n"/>
      <c r="D508" s="3" t="n"/>
      <c r="E508" s="4">
        <f>IF(A508="","",COUNTIFS($A$4:A508,A508,$I$4:I508,"&lt;&gt;Штраф -2",$I$4:I508,"&lt;&gt;ушел на базу"))</f>
        <v/>
      </c>
      <c r="F508" s="4">
        <f>IF(E508="","",IF(E508&lt;=3,6,IF(E508&lt;=6,5,IF(E508&lt;=9,4,IF(E508&lt;=12,3,IF(E508&lt;=15,2,0))))))</f>
        <v/>
      </c>
      <c r="G508" s="3" t="n"/>
      <c r="H508" s="4">
        <f>IF(I508="Штраф -2",-2,IF(OR(F508="",G508=""),"",F508*G508+IF(J508="",0,J508)))</f>
        <v/>
      </c>
      <c r="I508" s="3" t="n"/>
      <c r="J508" s="3" t="n"/>
      <c r="K508" s="3" t="n"/>
    </row>
    <row r="509">
      <c r="A509" s="3" t="n"/>
      <c r="B509" s="3" t="n"/>
      <c r="C509" s="3" t="n"/>
      <c r="D509" s="3" t="n"/>
      <c r="E509" s="4">
        <f>IF(A509="","",COUNTIFS($A$4:A509,A509,$I$4:I509,"&lt;&gt;Штраф -2",$I$4:I509,"&lt;&gt;ушел на базу"))</f>
        <v/>
      </c>
      <c r="F509" s="4">
        <f>IF(E509="","",IF(E509&lt;=3,6,IF(E509&lt;=6,5,IF(E509&lt;=9,4,IF(E509&lt;=12,3,IF(E509&lt;=15,2,0))))))</f>
        <v/>
      </c>
      <c r="G509" s="3" t="n"/>
      <c r="H509" s="4">
        <f>IF(I509="Штраф -2",-2,IF(OR(F509="",G509=""),"",F509*G509+IF(J509="",0,J509)))</f>
        <v/>
      </c>
      <c r="I509" s="3" t="n"/>
      <c r="J509" s="3" t="n"/>
      <c r="K509" s="3" t="n"/>
    </row>
    <row r="510">
      <c r="A510" s="3" t="n"/>
      <c r="B510" s="3" t="n"/>
      <c r="C510" s="3" t="n"/>
      <c r="D510" s="3" t="n"/>
      <c r="E510" s="4">
        <f>IF(A510="","",COUNTIFS($A$4:A510,A510,$I$4:I510,"&lt;&gt;Штраф -2",$I$4:I510,"&lt;&gt;ушел на базу"))</f>
        <v/>
      </c>
      <c r="F510" s="4">
        <f>IF(E510="","",IF(E510&lt;=3,6,IF(E510&lt;=6,5,IF(E510&lt;=9,4,IF(E510&lt;=12,3,IF(E510&lt;=15,2,0))))))</f>
        <v/>
      </c>
      <c r="G510" s="3" t="n"/>
      <c r="H510" s="4">
        <f>IF(I510="Штраф -2",-2,IF(OR(F510="",G510=""),"",F510*G510+IF(J510="",0,J510)))</f>
        <v/>
      </c>
      <c r="I510" s="3" t="n"/>
      <c r="J510" s="3" t="n"/>
      <c r="K510" s="3" t="n"/>
    </row>
    <row r="511">
      <c r="A511" s="3" t="n"/>
      <c r="B511" s="3" t="n"/>
      <c r="C511" s="3" t="n"/>
      <c r="D511" s="3" t="n"/>
      <c r="E511" s="4">
        <f>IF(A511="","",COUNTIFS($A$4:A511,A511,$I$4:I511,"&lt;&gt;Штраф -2",$I$4:I511,"&lt;&gt;ушел на базу"))</f>
        <v/>
      </c>
      <c r="F511" s="4">
        <f>IF(E511="","",IF(E511&lt;=3,6,IF(E511&lt;=6,5,IF(E511&lt;=9,4,IF(E511&lt;=12,3,IF(E511&lt;=15,2,0))))))</f>
        <v/>
      </c>
      <c r="G511" s="3" t="n"/>
      <c r="H511" s="4">
        <f>IF(I511="Штраф -2",-2,IF(OR(F511="",G511=""),"",F511*G511+IF(J511="",0,J511)))</f>
        <v/>
      </c>
      <c r="I511" s="3" t="n"/>
      <c r="J511" s="3" t="n"/>
      <c r="K511" s="3" t="n"/>
    </row>
    <row r="512">
      <c r="A512" s="3" t="n"/>
      <c r="B512" s="3" t="n"/>
      <c r="C512" s="3" t="n"/>
      <c r="D512" s="3" t="n"/>
      <c r="E512" s="4">
        <f>IF(A512="","",COUNTIFS($A$4:A512,A512,$I$4:I512,"&lt;&gt;Штраф -2",$I$4:I512,"&lt;&gt;ушел на базу"))</f>
        <v/>
      </c>
      <c r="F512" s="4">
        <f>IF(E512="","",IF(E512&lt;=3,6,IF(E512&lt;=6,5,IF(E512&lt;=9,4,IF(E512&lt;=12,3,IF(E512&lt;=15,2,0))))))</f>
        <v/>
      </c>
      <c r="G512" s="3" t="n"/>
      <c r="H512" s="4">
        <f>IF(I512="Штраф -2",-2,IF(OR(F512="",G512=""),"",F512*G512+IF(J512="",0,J512)))</f>
        <v/>
      </c>
      <c r="I512" s="3" t="n"/>
      <c r="J512" s="3" t="n"/>
      <c r="K512" s="3" t="n"/>
    </row>
    <row r="513">
      <c r="A513" s="3" t="n"/>
      <c r="B513" s="3" t="n"/>
      <c r="C513" s="3" t="n"/>
      <c r="D513" s="3" t="n"/>
      <c r="E513" s="4">
        <f>IF(A513="","",COUNTIFS($A$4:A513,A513,$I$4:I513,"&lt;&gt;Штраф -2",$I$4:I513,"&lt;&gt;ушел на базу"))</f>
        <v/>
      </c>
      <c r="F513" s="4">
        <f>IF(E513="","",IF(E513&lt;=3,6,IF(E513&lt;=6,5,IF(E513&lt;=9,4,IF(E513&lt;=12,3,IF(E513&lt;=15,2,0))))))</f>
        <v/>
      </c>
      <c r="G513" s="3" t="n"/>
      <c r="H513" s="4">
        <f>IF(I513="Штраф -2",-2,IF(OR(F513="",G513=""),"",F513*G513+IF(J513="",0,J513)))</f>
        <v/>
      </c>
      <c r="I513" s="3" t="n"/>
      <c r="J513" s="3" t="n"/>
      <c r="K513" s="3" t="n"/>
    </row>
    <row r="514">
      <c r="A514" s="3" t="n"/>
      <c r="B514" s="3" t="n"/>
      <c r="C514" s="3" t="n"/>
      <c r="D514" s="3" t="n"/>
      <c r="E514" s="4">
        <f>IF(A514="","",COUNTIFS($A$4:A514,A514,$I$4:I514,"&lt;&gt;Штраф -2",$I$4:I514,"&lt;&gt;ушел на базу"))</f>
        <v/>
      </c>
      <c r="F514" s="4">
        <f>IF(E514="","",IF(E514&lt;=3,6,IF(E514&lt;=6,5,IF(E514&lt;=9,4,IF(E514&lt;=12,3,IF(E514&lt;=15,2,0))))))</f>
        <v/>
      </c>
      <c r="G514" s="3" t="n"/>
      <c r="H514" s="4">
        <f>IF(I514="Штраф -2",-2,IF(OR(F514="",G514=""),"",F514*G514+IF(J514="",0,J514)))</f>
        <v/>
      </c>
      <c r="I514" s="3" t="n"/>
      <c r="J514" s="3" t="n"/>
      <c r="K514" s="3" t="n"/>
    </row>
    <row r="515">
      <c r="A515" s="3" t="n"/>
      <c r="B515" s="3" t="n"/>
      <c r="C515" s="3" t="n"/>
      <c r="D515" s="3" t="n"/>
      <c r="E515" s="4">
        <f>IF(A515="","",COUNTIFS($A$4:A515,A515,$I$4:I515,"&lt;&gt;Штраф -2",$I$4:I515,"&lt;&gt;ушел на базу"))</f>
        <v/>
      </c>
      <c r="F515" s="4">
        <f>IF(E515="","",IF(E515&lt;=3,6,IF(E515&lt;=6,5,IF(E515&lt;=9,4,IF(E515&lt;=12,3,IF(E515&lt;=15,2,0))))))</f>
        <v/>
      </c>
      <c r="G515" s="3" t="n"/>
      <c r="H515" s="4">
        <f>IF(I515="Штраф -2",-2,IF(OR(F515="",G515=""),"",F515*G515+IF(J515="",0,J515)))</f>
        <v/>
      </c>
      <c r="I515" s="3" t="n"/>
      <c r="J515" s="3" t="n"/>
      <c r="K515" s="3" t="n"/>
    </row>
    <row r="516">
      <c r="A516" s="3" t="n"/>
      <c r="B516" s="3" t="n"/>
      <c r="C516" s="3" t="n"/>
      <c r="D516" s="3" t="n"/>
      <c r="E516" s="4">
        <f>IF(A516="","",COUNTIFS($A$4:A516,A516,$I$4:I516,"&lt;&gt;Штраф -2",$I$4:I516,"&lt;&gt;ушел на базу"))</f>
        <v/>
      </c>
      <c r="F516" s="4">
        <f>IF(E516="","",IF(E516&lt;=3,6,IF(E516&lt;=6,5,IF(E516&lt;=9,4,IF(E516&lt;=12,3,IF(E516&lt;=15,2,0))))))</f>
        <v/>
      </c>
      <c r="G516" s="3" t="n"/>
      <c r="H516" s="4">
        <f>IF(I516="Штраф -2",-2,IF(OR(F516="",G516=""),"",F516*G516+IF(J516="",0,J516)))</f>
        <v/>
      </c>
      <c r="I516" s="3" t="n"/>
      <c r="J516" s="3" t="n"/>
      <c r="K516" s="3" t="n"/>
    </row>
    <row r="517">
      <c r="A517" s="3" t="n"/>
      <c r="B517" s="3" t="n"/>
      <c r="C517" s="3" t="n"/>
      <c r="D517" s="3" t="n"/>
      <c r="E517" s="4">
        <f>IF(A517="","",COUNTIFS($A$4:A517,A517,$I$4:I517,"&lt;&gt;Штраф -2",$I$4:I517,"&lt;&gt;ушел на базу"))</f>
        <v/>
      </c>
      <c r="F517" s="4">
        <f>IF(E517="","",IF(E517&lt;=3,6,IF(E517&lt;=6,5,IF(E517&lt;=9,4,IF(E517&lt;=12,3,IF(E517&lt;=15,2,0))))))</f>
        <v/>
      </c>
      <c r="G517" s="3" t="n"/>
      <c r="H517" s="4">
        <f>IF(I517="Штраф -2",-2,IF(OR(F517="",G517=""),"",F517*G517+IF(J517="",0,J517)))</f>
        <v/>
      </c>
      <c r="I517" s="3" t="n"/>
      <c r="J517" s="3" t="n"/>
      <c r="K517" s="3" t="n"/>
    </row>
    <row r="518">
      <c r="A518" s="3" t="n"/>
      <c r="B518" s="3" t="n"/>
      <c r="C518" s="3" t="n"/>
      <c r="D518" s="3" t="n"/>
      <c r="E518" s="4">
        <f>IF(A518="","",COUNTIFS($A$4:A518,A518,$I$4:I518,"&lt;&gt;Штраф -2",$I$4:I518,"&lt;&gt;ушел на базу"))</f>
        <v/>
      </c>
      <c r="F518" s="4">
        <f>IF(E518="","",IF(E518&lt;=3,6,IF(E518&lt;=6,5,IF(E518&lt;=9,4,IF(E518&lt;=12,3,IF(E518&lt;=15,2,0))))))</f>
        <v/>
      </c>
      <c r="G518" s="3" t="n"/>
      <c r="H518" s="4">
        <f>IF(I518="Штраф -2",-2,IF(OR(F518="",G518=""),"",F518*G518+IF(J518="",0,J518)))</f>
        <v/>
      </c>
      <c r="I518" s="3" t="n"/>
      <c r="J518" s="3" t="n"/>
      <c r="K518" s="3" t="n"/>
    </row>
    <row r="519">
      <c r="A519" s="3" t="n"/>
      <c r="B519" s="3" t="n"/>
      <c r="C519" s="3" t="n"/>
      <c r="D519" s="3" t="n"/>
      <c r="E519" s="4">
        <f>IF(A519="","",COUNTIFS($A$4:A519,A519,$I$4:I519,"&lt;&gt;Штраф -2",$I$4:I519,"&lt;&gt;ушел на базу"))</f>
        <v/>
      </c>
      <c r="F519" s="4">
        <f>IF(E519="","",IF(E519&lt;=3,6,IF(E519&lt;=6,5,IF(E519&lt;=9,4,IF(E519&lt;=12,3,IF(E519&lt;=15,2,0))))))</f>
        <v/>
      </c>
      <c r="G519" s="3" t="n"/>
      <c r="H519" s="4">
        <f>IF(I519="Штраф -2",-2,IF(OR(F519="",G519=""),"",F519*G519+IF(J519="",0,J519)))</f>
        <v/>
      </c>
      <c r="I519" s="3" t="n"/>
      <c r="J519" s="3" t="n"/>
      <c r="K519" s="3" t="n"/>
    </row>
    <row r="520">
      <c r="A520" s="3" t="n"/>
      <c r="B520" s="3" t="n"/>
      <c r="C520" s="3" t="n"/>
      <c r="D520" s="3" t="n"/>
      <c r="E520" s="4">
        <f>IF(A520="","",COUNTIFS($A$4:A520,A520,$I$4:I520,"&lt;&gt;Штраф -2",$I$4:I520,"&lt;&gt;ушел на базу"))</f>
        <v/>
      </c>
      <c r="F520" s="4">
        <f>IF(E520="","",IF(E520&lt;=3,6,IF(E520&lt;=6,5,IF(E520&lt;=9,4,IF(E520&lt;=12,3,IF(E520&lt;=15,2,0))))))</f>
        <v/>
      </c>
      <c r="G520" s="3" t="n"/>
      <c r="H520" s="4">
        <f>IF(I520="Штраф -2",-2,IF(OR(F520="",G520=""),"",F520*G520+IF(J520="",0,J520)))</f>
        <v/>
      </c>
      <c r="I520" s="3" t="n"/>
      <c r="J520" s="3" t="n"/>
      <c r="K520" s="3" t="n"/>
    </row>
    <row r="521">
      <c r="A521" s="3" t="n"/>
      <c r="B521" s="3" t="n"/>
      <c r="C521" s="3" t="n"/>
      <c r="D521" s="3" t="n"/>
      <c r="E521" s="4">
        <f>IF(A521="","",COUNTIFS($A$4:A521,A521,$I$4:I521,"&lt;&gt;Штраф -2",$I$4:I521,"&lt;&gt;ушел на базу"))</f>
        <v/>
      </c>
      <c r="F521" s="4">
        <f>IF(E521="","",IF(E521&lt;=3,6,IF(E521&lt;=6,5,IF(E521&lt;=9,4,IF(E521&lt;=12,3,IF(E521&lt;=15,2,0))))))</f>
        <v/>
      </c>
      <c r="G521" s="3" t="n"/>
      <c r="H521" s="4">
        <f>IF(I521="Штраф -2",-2,IF(OR(F521="",G521=""),"",F521*G521+IF(J521="",0,J521)))</f>
        <v/>
      </c>
      <c r="I521" s="3" t="n"/>
      <c r="J521" s="3" t="n"/>
      <c r="K521" s="3" t="n"/>
    </row>
    <row r="522">
      <c r="A522" s="3" t="n"/>
      <c r="B522" s="3" t="n"/>
      <c r="C522" s="3" t="n"/>
      <c r="D522" s="3" t="n"/>
      <c r="E522" s="4">
        <f>IF(A522="","",COUNTIFS($A$4:A522,A522,$I$4:I522,"&lt;&gt;Штраф -2",$I$4:I522,"&lt;&gt;ушел на базу"))</f>
        <v/>
      </c>
      <c r="F522" s="4">
        <f>IF(E522="","",IF(E522&lt;=3,6,IF(E522&lt;=6,5,IF(E522&lt;=9,4,IF(E522&lt;=12,3,IF(E522&lt;=15,2,0))))))</f>
        <v/>
      </c>
      <c r="G522" s="3" t="n"/>
      <c r="H522" s="4">
        <f>IF(I522="Штраф -2",-2,IF(OR(F522="",G522=""),"",F522*G522+IF(J522="",0,J522)))</f>
        <v/>
      </c>
      <c r="I522" s="3" t="n"/>
      <c r="J522" s="3" t="n"/>
      <c r="K522" s="3" t="n"/>
    </row>
    <row r="523">
      <c r="A523" s="3" t="n"/>
      <c r="B523" s="3" t="n"/>
      <c r="C523" s="3" t="n"/>
      <c r="D523" s="3" t="n"/>
      <c r="E523" s="4">
        <f>IF(A523="","",COUNTIFS($A$4:A523,A523,$I$4:I523,"&lt;&gt;Штраф -2",$I$4:I523,"&lt;&gt;ушел на базу"))</f>
        <v/>
      </c>
      <c r="F523" s="4">
        <f>IF(E523="","",IF(E523&lt;=3,6,IF(E523&lt;=6,5,IF(E523&lt;=9,4,IF(E523&lt;=12,3,IF(E523&lt;=15,2,0))))))</f>
        <v/>
      </c>
      <c r="G523" s="3" t="n"/>
      <c r="H523" s="4">
        <f>IF(I523="Штраф -2",-2,IF(OR(F523="",G523=""),"",F523*G523+IF(J523="",0,J523)))</f>
        <v/>
      </c>
      <c r="I523" s="3" t="n"/>
      <c r="J523" s="3" t="n"/>
      <c r="K523" s="3" t="n"/>
    </row>
    <row r="524">
      <c r="A524" s="3" t="n"/>
      <c r="B524" s="3" t="n"/>
      <c r="C524" s="3" t="n"/>
      <c r="D524" s="3" t="n"/>
      <c r="E524" s="4">
        <f>IF(A524="","",COUNTIFS($A$4:A524,A524,$I$4:I524,"&lt;&gt;Штраф -2",$I$4:I524,"&lt;&gt;ушел на базу"))</f>
        <v/>
      </c>
      <c r="F524" s="4">
        <f>IF(E524="","",IF(E524&lt;=3,6,IF(E524&lt;=6,5,IF(E524&lt;=9,4,IF(E524&lt;=12,3,IF(E524&lt;=15,2,0))))))</f>
        <v/>
      </c>
      <c r="G524" s="3" t="n"/>
      <c r="H524" s="4">
        <f>IF(I524="Штраф -2",-2,IF(OR(F524="",G524=""),"",F524*G524+IF(J524="",0,J524)))</f>
        <v/>
      </c>
      <c r="I524" s="3" t="n"/>
      <c r="J524" s="3" t="n"/>
      <c r="K524" s="3" t="n"/>
    </row>
    <row r="525">
      <c r="A525" s="3" t="n"/>
      <c r="B525" s="3" t="n"/>
      <c r="C525" s="3" t="n"/>
      <c r="D525" s="3" t="n"/>
      <c r="E525" s="4">
        <f>IF(A525="","",COUNTIFS($A$4:A525,A525,$I$4:I525,"&lt;&gt;Штраф -2",$I$4:I525,"&lt;&gt;ушел на базу"))</f>
        <v/>
      </c>
      <c r="F525" s="4">
        <f>IF(E525="","",IF(E525&lt;=3,6,IF(E525&lt;=6,5,IF(E525&lt;=9,4,IF(E525&lt;=12,3,IF(E525&lt;=15,2,0))))))</f>
        <v/>
      </c>
      <c r="G525" s="3" t="n"/>
      <c r="H525" s="4">
        <f>IF(I525="Штраф -2",-2,IF(OR(F525="",G525=""),"",F525*G525+IF(J525="",0,J525)))</f>
        <v/>
      </c>
      <c r="I525" s="3" t="n"/>
      <c r="J525" s="3" t="n"/>
      <c r="K525" s="3" t="n"/>
    </row>
    <row r="526">
      <c r="A526" s="3" t="n"/>
      <c r="B526" s="3" t="n"/>
      <c r="C526" s="3" t="n"/>
      <c r="D526" s="3" t="n"/>
      <c r="E526" s="4">
        <f>IF(A526="","",COUNTIFS($A$4:A526,A526,$I$4:I526,"&lt;&gt;Штраф -2",$I$4:I526,"&lt;&gt;ушел на базу"))</f>
        <v/>
      </c>
      <c r="F526" s="4">
        <f>IF(E526="","",IF(E526&lt;=3,6,IF(E526&lt;=6,5,IF(E526&lt;=9,4,IF(E526&lt;=12,3,IF(E526&lt;=15,2,0))))))</f>
        <v/>
      </c>
      <c r="G526" s="3" t="n"/>
      <c r="H526" s="4">
        <f>IF(I526="Штраф -2",-2,IF(OR(F526="",G526=""),"",F526*G526+IF(J526="",0,J526)))</f>
        <v/>
      </c>
      <c r="I526" s="3" t="n"/>
      <c r="J526" s="3" t="n"/>
      <c r="K526" s="3" t="n"/>
    </row>
    <row r="527">
      <c r="A527" s="3" t="n"/>
      <c r="B527" s="3" t="n"/>
      <c r="C527" s="3" t="n"/>
      <c r="D527" s="3" t="n"/>
      <c r="E527" s="4">
        <f>IF(A527="","",COUNTIFS($A$4:A527,A527,$I$4:I527,"&lt;&gt;Штраф -2",$I$4:I527,"&lt;&gt;ушел на базу"))</f>
        <v/>
      </c>
      <c r="F527" s="4">
        <f>IF(E527="","",IF(E527&lt;=3,6,IF(E527&lt;=6,5,IF(E527&lt;=9,4,IF(E527&lt;=12,3,IF(E527&lt;=15,2,0))))))</f>
        <v/>
      </c>
      <c r="G527" s="3" t="n"/>
      <c r="H527" s="4">
        <f>IF(I527="Штраф -2",-2,IF(OR(F527="",G527=""),"",F527*G527+IF(J527="",0,J527)))</f>
        <v/>
      </c>
      <c r="I527" s="3" t="n"/>
      <c r="J527" s="3" t="n"/>
      <c r="K527" s="3" t="n"/>
    </row>
    <row r="528">
      <c r="A528" s="3" t="n"/>
      <c r="B528" s="3" t="n"/>
      <c r="C528" s="3" t="n"/>
      <c r="D528" s="3" t="n"/>
      <c r="E528" s="4">
        <f>IF(A528="","",COUNTIFS($A$4:A528,A528,$I$4:I528,"&lt;&gt;Штраф -2",$I$4:I528,"&lt;&gt;ушел на базу"))</f>
        <v/>
      </c>
      <c r="F528" s="4">
        <f>IF(E528="","",IF(E528&lt;=3,6,IF(E528&lt;=6,5,IF(E528&lt;=9,4,IF(E528&lt;=12,3,IF(E528&lt;=15,2,0))))))</f>
        <v/>
      </c>
      <c r="G528" s="3" t="n"/>
      <c r="H528" s="4">
        <f>IF(I528="Штраф -2",-2,IF(OR(F528="",G528=""),"",F528*G528+IF(J528="",0,J528)))</f>
        <v/>
      </c>
      <c r="I528" s="3" t="n"/>
      <c r="J528" s="3" t="n"/>
      <c r="K528" s="3" t="n"/>
    </row>
    <row r="529">
      <c r="A529" s="3" t="n"/>
      <c r="B529" s="3" t="n"/>
      <c r="C529" s="3" t="n"/>
      <c r="D529" s="3" t="n"/>
      <c r="E529" s="4">
        <f>IF(A529="","",COUNTIFS($A$4:A529,A529,$I$4:I529,"&lt;&gt;Штраф -2",$I$4:I529,"&lt;&gt;ушел на базу"))</f>
        <v/>
      </c>
      <c r="F529" s="4">
        <f>IF(E529="","",IF(E529&lt;=3,6,IF(E529&lt;=6,5,IF(E529&lt;=9,4,IF(E529&lt;=12,3,IF(E529&lt;=15,2,0))))))</f>
        <v/>
      </c>
      <c r="G529" s="3" t="n"/>
      <c r="H529" s="4">
        <f>IF(I529="Штраф -2",-2,IF(OR(F529="",G529=""),"",F529*G529+IF(J529="",0,J529)))</f>
        <v/>
      </c>
      <c r="I529" s="3" t="n"/>
      <c r="J529" s="3" t="n"/>
      <c r="K529" s="3" t="n"/>
    </row>
    <row r="530">
      <c r="A530" s="3" t="n"/>
      <c r="B530" s="3" t="n"/>
      <c r="C530" s="3" t="n"/>
      <c r="D530" s="3" t="n"/>
      <c r="E530" s="4">
        <f>IF(A530="","",COUNTIFS($A$4:A530,A530,$I$4:I530,"&lt;&gt;Штраф -2",$I$4:I530,"&lt;&gt;ушел на базу"))</f>
        <v/>
      </c>
      <c r="F530" s="4">
        <f>IF(E530="","",IF(E530&lt;=3,6,IF(E530&lt;=6,5,IF(E530&lt;=9,4,IF(E530&lt;=12,3,IF(E530&lt;=15,2,0))))))</f>
        <v/>
      </c>
      <c r="G530" s="3" t="n"/>
      <c r="H530" s="4">
        <f>IF(I530="Штраф -2",-2,IF(OR(F530="",G530=""),"",F530*G530+IF(J530="",0,J530)))</f>
        <v/>
      </c>
      <c r="I530" s="3" t="n"/>
      <c r="J530" s="3" t="n"/>
      <c r="K530" s="3" t="n"/>
    </row>
    <row r="531">
      <c r="A531" s="3" t="n"/>
      <c r="B531" s="3" t="n"/>
      <c r="C531" s="3" t="n"/>
      <c r="D531" s="3" t="n"/>
      <c r="E531" s="4">
        <f>IF(A531="","",COUNTIFS($A$4:A531,A531,$I$4:I531,"&lt;&gt;Штраф -2",$I$4:I531,"&lt;&gt;ушел на базу"))</f>
        <v/>
      </c>
      <c r="F531" s="4">
        <f>IF(E531="","",IF(E531&lt;=3,6,IF(E531&lt;=6,5,IF(E531&lt;=9,4,IF(E531&lt;=12,3,IF(E531&lt;=15,2,0))))))</f>
        <v/>
      </c>
      <c r="G531" s="3" t="n"/>
      <c r="H531" s="4">
        <f>IF(I531="Штраф -2",-2,IF(OR(F531="",G531=""),"",F531*G531+IF(J531="",0,J531)))</f>
        <v/>
      </c>
      <c r="I531" s="3" t="n"/>
      <c r="J531" s="3" t="n"/>
      <c r="K531" s="3" t="n"/>
    </row>
    <row r="532">
      <c r="A532" s="3" t="n"/>
      <c r="B532" s="3" t="n"/>
      <c r="C532" s="3" t="n"/>
      <c r="D532" s="3" t="n"/>
      <c r="E532" s="4">
        <f>IF(A532="","",COUNTIFS($A$4:A532,A532,$I$4:I532,"&lt;&gt;Штраф -2",$I$4:I532,"&lt;&gt;ушел на базу"))</f>
        <v/>
      </c>
      <c r="F532" s="4">
        <f>IF(E532="","",IF(E532&lt;=3,6,IF(E532&lt;=6,5,IF(E532&lt;=9,4,IF(E532&lt;=12,3,IF(E532&lt;=15,2,0))))))</f>
        <v/>
      </c>
      <c r="G532" s="3" t="n"/>
      <c r="H532" s="4">
        <f>IF(I532="Штраф -2",-2,IF(OR(F532="",G532=""),"",F532*G532+IF(J532="",0,J532)))</f>
        <v/>
      </c>
      <c r="I532" s="3" t="n"/>
      <c r="J532" s="3" t="n"/>
      <c r="K532" s="3" t="n"/>
    </row>
    <row r="533">
      <c r="A533" s="3" t="n"/>
      <c r="B533" s="3" t="n"/>
      <c r="C533" s="3" t="n"/>
      <c r="D533" s="3" t="n"/>
      <c r="E533" s="4">
        <f>IF(A533="","",COUNTIFS($A$4:A533,A533,$I$4:I533,"&lt;&gt;Штраф -2",$I$4:I533,"&lt;&gt;ушел на базу"))</f>
        <v/>
      </c>
      <c r="F533" s="4">
        <f>IF(E533="","",IF(E533&lt;=3,6,IF(E533&lt;=6,5,IF(E533&lt;=9,4,IF(E533&lt;=12,3,IF(E533&lt;=15,2,0))))))</f>
        <v/>
      </c>
      <c r="G533" s="3" t="n"/>
      <c r="H533" s="4">
        <f>IF(I533="Штраф -2",-2,IF(OR(F533="",G533=""),"",F533*G533+IF(J533="",0,J533)))</f>
        <v/>
      </c>
      <c r="I533" s="3" t="n"/>
      <c r="J533" s="3" t="n"/>
      <c r="K533" s="3" t="n"/>
    </row>
    <row r="534">
      <c r="A534" s="3" t="n"/>
      <c r="B534" s="3" t="n"/>
      <c r="C534" s="3" t="n"/>
      <c r="D534" s="3" t="n"/>
      <c r="E534" s="4">
        <f>IF(A534="","",COUNTIFS($A$4:A534,A534,$I$4:I534,"&lt;&gt;Штраф -2",$I$4:I534,"&lt;&gt;ушел на базу"))</f>
        <v/>
      </c>
      <c r="F534" s="4">
        <f>IF(E534="","",IF(E534&lt;=3,6,IF(E534&lt;=6,5,IF(E534&lt;=9,4,IF(E534&lt;=12,3,IF(E534&lt;=15,2,0))))))</f>
        <v/>
      </c>
      <c r="G534" s="3" t="n"/>
      <c r="H534" s="4">
        <f>IF(I534="Штраф -2",-2,IF(OR(F534="",G534=""),"",F534*G534+IF(J534="",0,J534)))</f>
        <v/>
      </c>
      <c r="I534" s="3" t="n"/>
      <c r="J534" s="3" t="n"/>
      <c r="K534" s="3" t="n"/>
    </row>
    <row r="535">
      <c r="A535" s="3" t="n"/>
      <c r="B535" s="3" t="n"/>
      <c r="C535" s="3" t="n"/>
      <c r="D535" s="3" t="n"/>
      <c r="E535" s="4">
        <f>IF(A535="","",COUNTIFS($A$4:A535,A535,$I$4:I535,"&lt;&gt;Штраф -2",$I$4:I535,"&lt;&gt;ушел на базу"))</f>
        <v/>
      </c>
      <c r="F535" s="4">
        <f>IF(E535="","",IF(E535&lt;=3,6,IF(E535&lt;=6,5,IF(E535&lt;=9,4,IF(E535&lt;=12,3,IF(E535&lt;=15,2,0))))))</f>
        <v/>
      </c>
      <c r="G535" s="3" t="n"/>
      <c r="H535" s="4">
        <f>IF(I535="Штраф -2",-2,IF(OR(F535="",G535=""),"",F535*G535+IF(J535="",0,J535)))</f>
        <v/>
      </c>
      <c r="I535" s="3" t="n"/>
      <c r="J535" s="3" t="n"/>
      <c r="K535" s="3" t="n"/>
    </row>
    <row r="536">
      <c r="A536" s="3" t="n"/>
      <c r="B536" s="3" t="n"/>
      <c r="C536" s="3" t="n"/>
      <c r="D536" s="3" t="n"/>
      <c r="E536" s="4">
        <f>IF(A536="","",COUNTIFS($A$4:A536,A536,$I$4:I536,"&lt;&gt;Штраф -2",$I$4:I536,"&lt;&gt;ушел на базу"))</f>
        <v/>
      </c>
      <c r="F536" s="4">
        <f>IF(E536="","",IF(E536&lt;=3,6,IF(E536&lt;=6,5,IF(E536&lt;=9,4,IF(E536&lt;=12,3,IF(E536&lt;=15,2,0))))))</f>
        <v/>
      </c>
      <c r="G536" s="3" t="n"/>
      <c r="H536" s="4">
        <f>IF(I536="Штраф -2",-2,IF(OR(F536="",G536=""),"",F536*G536+IF(J536="",0,J536)))</f>
        <v/>
      </c>
      <c r="I536" s="3" t="n"/>
      <c r="J536" s="3" t="n"/>
      <c r="K536" s="3" t="n"/>
    </row>
    <row r="537">
      <c r="A537" s="3" t="n"/>
      <c r="B537" s="3" t="n"/>
      <c r="C537" s="3" t="n"/>
      <c r="D537" s="3" t="n"/>
      <c r="E537" s="4">
        <f>IF(A537="","",COUNTIFS($A$4:A537,A537,$I$4:I537,"&lt;&gt;Штраф -2",$I$4:I537,"&lt;&gt;ушел на базу"))</f>
        <v/>
      </c>
      <c r="F537" s="4">
        <f>IF(E537="","",IF(E537&lt;=3,6,IF(E537&lt;=6,5,IF(E537&lt;=9,4,IF(E537&lt;=12,3,IF(E537&lt;=15,2,0))))))</f>
        <v/>
      </c>
      <c r="G537" s="3" t="n"/>
      <c r="H537" s="4">
        <f>IF(I537="Штраф -2",-2,IF(OR(F537="",G537=""),"",F537*G537+IF(J537="",0,J537)))</f>
        <v/>
      </c>
      <c r="I537" s="3" t="n"/>
      <c r="J537" s="3" t="n"/>
      <c r="K537" s="3" t="n"/>
    </row>
    <row r="538">
      <c r="A538" s="3" t="n"/>
      <c r="B538" s="3" t="n"/>
      <c r="C538" s="3" t="n"/>
      <c r="D538" s="3" t="n"/>
      <c r="E538" s="4">
        <f>IF(A538="","",COUNTIFS($A$4:A538,A538,$I$4:I538,"&lt;&gt;Штраф -2",$I$4:I538,"&lt;&gt;ушел на базу"))</f>
        <v/>
      </c>
      <c r="F538" s="4">
        <f>IF(E538="","",IF(E538&lt;=3,6,IF(E538&lt;=6,5,IF(E538&lt;=9,4,IF(E538&lt;=12,3,IF(E538&lt;=15,2,0))))))</f>
        <v/>
      </c>
      <c r="G538" s="3" t="n"/>
      <c r="H538" s="4">
        <f>IF(I538="Штраф -2",-2,IF(OR(F538="",G538=""),"",F538*G538+IF(J538="",0,J538)))</f>
        <v/>
      </c>
      <c r="I538" s="3" t="n"/>
      <c r="J538" s="3" t="n"/>
      <c r="K538" s="3" t="n"/>
    </row>
    <row r="539">
      <c r="A539" s="3" t="n"/>
      <c r="B539" s="3" t="n"/>
      <c r="C539" s="3" t="n"/>
      <c r="D539" s="3" t="n"/>
      <c r="E539" s="4">
        <f>IF(A539="","",COUNTIFS($A$4:A539,A539,$I$4:I539,"&lt;&gt;Штраф -2",$I$4:I539,"&lt;&gt;ушел на базу"))</f>
        <v/>
      </c>
      <c r="F539" s="4">
        <f>IF(E539="","",IF(E539&lt;=3,6,IF(E539&lt;=6,5,IF(E539&lt;=9,4,IF(E539&lt;=12,3,IF(E539&lt;=15,2,0))))))</f>
        <v/>
      </c>
      <c r="G539" s="3" t="n"/>
      <c r="H539" s="4">
        <f>IF(I539="Штраф -2",-2,IF(OR(F539="",G539=""),"",F539*G539+IF(J539="",0,J539)))</f>
        <v/>
      </c>
      <c r="I539" s="3" t="n"/>
      <c r="J539" s="3" t="n"/>
      <c r="K539" s="3" t="n"/>
    </row>
    <row r="540">
      <c r="A540" s="3" t="n"/>
      <c r="B540" s="3" t="n"/>
      <c r="C540" s="3" t="n"/>
      <c r="D540" s="3" t="n"/>
      <c r="E540" s="4">
        <f>IF(A540="","",COUNTIFS($A$4:A540,A540,$I$4:I540,"&lt;&gt;Штраф -2",$I$4:I540,"&lt;&gt;ушел на базу"))</f>
        <v/>
      </c>
      <c r="F540" s="4">
        <f>IF(E540="","",IF(E540&lt;=3,6,IF(E540&lt;=6,5,IF(E540&lt;=9,4,IF(E540&lt;=12,3,IF(E540&lt;=15,2,0))))))</f>
        <v/>
      </c>
      <c r="G540" s="3" t="n"/>
      <c r="H540" s="4">
        <f>IF(I540="Штраф -2",-2,IF(OR(F540="",G540=""),"",F540*G540+IF(J540="",0,J540)))</f>
        <v/>
      </c>
      <c r="I540" s="3" t="n"/>
      <c r="J540" s="3" t="n"/>
      <c r="K540" s="3" t="n"/>
    </row>
    <row r="541">
      <c r="A541" s="3" t="n"/>
      <c r="B541" s="3" t="n"/>
      <c r="C541" s="3" t="n"/>
      <c r="D541" s="3" t="n"/>
      <c r="E541" s="4">
        <f>IF(A541="","",COUNTIFS($A$4:A541,A541,$I$4:I541,"&lt;&gt;Штраф -2",$I$4:I541,"&lt;&gt;ушел на базу"))</f>
        <v/>
      </c>
      <c r="F541" s="4">
        <f>IF(E541="","",IF(E541&lt;=3,6,IF(E541&lt;=6,5,IF(E541&lt;=9,4,IF(E541&lt;=12,3,IF(E541&lt;=15,2,0))))))</f>
        <v/>
      </c>
      <c r="G541" s="3" t="n"/>
      <c r="H541" s="4">
        <f>IF(I541="Штраф -2",-2,IF(OR(F541="",G541=""),"",F541*G541+IF(J541="",0,J541)))</f>
        <v/>
      </c>
      <c r="I541" s="3" t="n"/>
      <c r="J541" s="3" t="n"/>
      <c r="K541" s="3" t="n"/>
    </row>
    <row r="542">
      <c r="A542" s="3" t="n"/>
      <c r="B542" s="3" t="n"/>
      <c r="C542" s="3" t="n"/>
      <c r="D542" s="3" t="n"/>
      <c r="E542" s="4">
        <f>IF(A542="","",COUNTIFS($A$4:A542,A542,$I$4:I542,"&lt;&gt;Штраф -2",$I$4:I542,"&lt;&gt;ушел на базу"))</f>
        <v/>
      </c>
      <c r="F542" s="4">
        <f>IF(E542="","",IF(E542&lt;=3,6,IF(E542&lt;=6,5,IF(E542&lt;=9,4,IF(E542&lt;=12,3,IF(E542&lt;=15,2,0))))))</f>
        <v/>
      </c>
      <c r="G542" s="3" t="n"/>
      <c r="H542" s="4">
        <f>IF(I542="Штраф -2",-2,IF(OR(F542="",G542=""),"",F542*G542+IF(J542="",0,J542)))</f>
        <v/>
      </c>
      <c r="I542" s="3" t="n"/>
      <c r="J542" s="3" t="n"/>
      <c r="K542" s="3" t="n"/>
    </row>
    <row r="543">
      <c r="A543" s="3" t="n"/>
      <c r="B543" s="3" t="n"/>
      <c r="C543" s="3" t="n"/>
      <c r="D543" s="3" t="n"/>
      <c r="E543" s="4">
        <f>IF(A543="","",COUNTIFS($A$4:A543,A543,$I$4:I543,"&lt;&gt;Штраф -2",$I$4:I543,"&lt;&gt;ушел на базу"))</f>
        <v/>
      </c>
      <c r="F543" s="4">
        <f>IF(E543="","",IF(E543&lt;=3,6,IF(E543&lt;=6,5,IF(E543&lt;=9,4,IF(E543&lt;=12,3,IF(E543&lt;=15,2,0))))))</f>
        <v/>
      </c>
      <c r="G543" s="3" t="n"/>
      <c r="H543" s="4">
        <f>IF(I543="Штраф -2",-2,IF(OR(F543="",G543=""),"",F543*G543+IF(J543="",0,J543)))</f>
        <v/>
      </c>
      <c r="I543" s="3" t="n"/>
      <c r="J543" s="3" t="n"/>
      <c r="K543" s="3" t="n"/>
    </row>
    <row r="544">
      <c r="A544" s="3" t="n"/>
      <c r="B544" s="3" t="n"/>
      <c r="C544" s="3" t="n"/>
      <c r="D544" s="3" t="n"/>
      <c r="E544" s="4">
        <f>IF(A544="","",COUNTIFS($A$4:A544,A544,$I$4:I544,"&lt;&gt;Штраф -2",$I$4:I544,"&lt;&gt;ушел на базу"))</f>
        <v/>
      </c>
      <c r="F544" s="4">
        <f>IF(E544="","",IF(E544&lt;=3,6,IF(E544&lt;=6,5,IF(E544&lt;=9,4,IF(E544&lt;=12,3,IF(E544&lt;=15,2,0))))))</f>
        <v/>
      </c>
      <c r="G544" s="3" t="n"/>
      <c r="H544" s="4">
        <f>IF(I544="Штраф -2",-2,IF(OR(F544="",G544=""),"",F544*G544+IF(J544="",0,J544)))</f>
        <v/>
      </c>
      <c r="I544" s="3" t="n"/>
      <c r="J544" s="3" t="n"/>
      <c r="K544" s="3" t="n"/>
    </row>
    <row r="545">
      <c r="A545" s="3" t="n"/>
      <c r="B545" s="3" t="n"/>
      <c r="C545" s="3" t="n"/>
      <c r="D545" s="3" t="n"/>
      <c r="E545" s="4">
        <f>IF(A545="","",COUNTIFS($A$4:A545,A545,$I$4:I545,"&lt;&gt;Штраф -2",$I$4:I545,"&lt;&gt;ушел на базу"))</f>
        <v/>
      </c>
      <c r="F545" s="4">
        <f>IF(E545="","",IF(E545&lt;=3,6,IF(E545&lt;=6,5,IF(E545&lt;=9,4,IF(E545&lt;=12,3,IF(E545&lt;=15,2,0))))))</f>
        <v/>
      </c>
      <c r="G545" s="3" t="n"/>
      <c r="H545" s="4">
        <f>IF(I545="Штраф -2",-2,IF(OR(F545="",G545=""),"",F545*G545+IF(J545="",0,J545)))</f>
        <v/>
      </c>
      <c r="I545" s="3" t="n"/>
      <c r="J545" s="3" t="n"/>
      <c r="K545" s="3" t="n"/>
    </row>
    <row r="546">
      <c r="A546" s="3" t="n"/>
      <c r="B546" s="3" t="n"/>
      <c r="C546" s="3" t="n"/>
      <c r="D546" s="3" t="n"/>
      <c r="E546" s="4">
        <f>IF(A546="","",COUNTIFS($A$4:A546,A546,$I$4:I546,"&lt;&gt;Штраф -2",$I$4:I546,"&lt;&gt;ушел на базу"))</f>
        <v/>
      </c>
      <c r="F546" s="4">
        <f>IF(E546="","",IF(E546&lt;=3,6,IF(E546&lt;=6,5,IF(E546&lt;=9,4,IF(E546&lt;=12,3,IF(E546&lt;=15,2,0))))))</f>
        <v/>
      </c>
      <c r="G546" s="3" t="n"/>
      <c r="H546" s="4">
        <f>IF(I546="Штраф -2",-2,IF(OR(F546="",G546=""),"",F546*G546+IF(J546="",0,J546)))</f>
        <v/>
      </c>
      <c r="I546" s="3" t="n"/>
      <c r="J546" s="3" t="n"/>
      <c r="K546" s="3" t="n"/>
    </row>
    <row r="547">
      <c r="A547" s="3" t="n"/>
      <c r="B547" s="3" t="n"/>
      <c r="C547" s="3" t="n"/>
      <c r="D547" s="3" t="n"/>
      <c r="E547" s="4">
        <f>IF(A547="","",COUNTIFS($A$4:A547,A547,$I$4:I547,"&lt;&gt;Штраф -2",$I$4:I547,"&lt;&gt;ушел на базу"))</f>
        <v/>
      </c>
      <c r="F547" s="4">
        <f>IF(E547="","",IF(E547&lt;=3,6,IF(E547&lt;=6,5,IF(E547&lt;=9,4,IF(E547&lt;=12,3,IF(E547&lt;=15,2,0))))))</f>
        <v/>
      </c>
      <c r="G547" s="3" t="n"/>
      <c r="H547" s="4">
        <f>IF(I547="Штраф -2",-2,IF(OR(F547="",G547=""),"",F547*G547+IF(J547="",0,J547)))</f>
        <v/>
      </c>
      <c r="I547" s="3" t="n"/>
      <c r="J547" s="3" t="n"/>
      <c r="K547" s="3" t="n"/>
    </row>
    <row r="548">
      <c r="A548" s="3" t="n"/>
      <c r="B548" s="3" t="n"/>
      <c r="C548" s="3" t="n"/>
      <c r="D548" s="3" t="n"/>
      <c r="E548" s="4">
        <f>IF(A548="","",COUNTIFS($A$4:A548,A548,$I$4:I548,"&lt;&gt;Штраф -2",$I$4:I548,"&lt;&gt;ушел на базу"))</f>
        <v/>
      </c>
      <c r="F548" s="4">
        <f>IF(E548="","",IF(E548&lt;=3,6,IF(E548&lt;=6,5,IF(E548&lt;=9,4,IF(E548&lt;=12,3,IF(E548&lt;=15,2,0))))))</f>
        <v/>
      </c>
      <c r="G548" s="3" t="n"/>
      <c r="H548" s="4">
        <f>IF(I548="Штраф -2",-2,IF(OR(F548="",G548=""),"",F548*G548+IF(J548="",0,J548)))</f>
        <v/>
      </c>
      <c r="I548" s="3" t="n"/>
      <c r="J548" s="3" t="n"/>
      <c r="K548" s="3" t="n"/>
    </row>
    <row r="549">
      <c r="A549" s="3" t="n"/>
      <c r="B549" s="3" t="n"/>
      <c r="C549" s="3" t="n"/>
      <c r="D549" s="3" t="n"/>
      <c r="E549" s="4">
        <f>IF(A549="","",COUNTIFS($A$4:A549,A549,$I$4:I549,"&lt;&gt;Штраф -2",$I$4:I549,"&lt;&gt;ушел на базу"))</f>
        <v/>
      </c>
      <c r="F549" s="4">
        <f>IF(E549="","",IF(E549&lt;=3,6,IF(E549&lt;=6,5,IF(E549&lt;=9,4,IF(E549&lt;=12,3,IF(E549&lt;=15,2,0))))))</f>
        <v/>
      </c>
      <c r="G549" s="3" t="n"/>
      <c r="H549" s="4">
        <f>IF(I549="Штраф -2",-2,IF(OR(F549="",G549=""),"",F549*G549+IF(J549="",0,J549)))</f>
        <v/>
      </c>
      <c r="I549" s="3" t="n"/>
      <c r="J549" s="3" t="n"/>
      <c r="K549" s="3" t="n"/>
    </row>
    <row r="550">
      <c r="A550" s="3" t="n"/>
      <c r="B550" s="3" t="n"/>
      <c r="C550" s="3" t="n"/>
      <c r="D550" s="3" t="n"/>
      <c r="E550" s="4">
        <f>IF(A550="","",COUNTIFS($A$4:A550,A550,$I$4:I550,"&lt;&gt;Штраф -2",$I$4:I550,"&lt;&gt;ушел на базу"))</f>
        <v/>
      </c>
      <c r="F550" s="4">
        <f>IF(E550="","",IF(E550&lt;=3,6,IF(E550&lt;=6,5,IF(E550&lt;=9,4,IF(E550&lt;=12,3,IF(E550&lt;=15,2,0))))))</f>
        <v/>
      </c>
      <c r="G550" s="3" t="n"/>
      <c r="H550" s="4">
        <f>IF(I550="Штраф -2",-2,IF(OR(F550="",G550=""),"",F550*G550+IF(J550="",0,J550)))</f>
        <v/>
      </c>
      <c r="I550" s="3" t="n"/>
      <c r="J550" s="3" t="n"/>
      <c r="K550" s="3" t="n"/>
    </row>
    <row r="551">
      <c r="A551" s="3" t="n"/>
      <c r="B551" s="3" t="n"/>
      <c r="C551" s="3" t="n"/>
      <c r="D551" s="3" t="n"/>
      <c r="E551" s="4">
        <f>IF(A551="","",COUNTIFS($A$4:A551,A551,$I$4:I551,"&lt;&gt;Штраф -2",$I$4:I551,"&lt;&gt;ушел на базу"))</f>
        <v/>
      </c>
      <c r="F551" s="4">
        <f>IF(E551="","",IF(E551&lt;=3,6,IF(E551&lt;=6,5,IF(E551&lt;=9,4,IF(E551&lt;=12,3,IF(E551&lt;=15,2,0))))))</f>
        <v/>
      </c>
      <c r="G551" s="3" t="n"/>
      <c r="H551" s="4">
        <f>IF(I551="Штраф -2",-2,IF(OR(F551="",G551=""),"",F551*G551+IF(J551="",0,J551)))</f>
        <v/>
      </c>
      <c r="I551" s="3" t="n"/>
      <c r="J551" s="3" t="n"/>
      <c r="K551" s="3" t="n"/>
    </row>
    <row r="552">
      <c r="A552" s="3" t="n"/>
      <c r="B552" s="3" t="n"/>
      <c r="C552" s="3" t="n"/>
      <c r="D552" s="3" t="n"/>
      <c r="E552" s="4">
        <f>IF(A552="","",COUNTIFS($A$4:A552,A552,$I$4:I552,"&lt;&gt;Штраф -2",$I$4:I552,"&lt;&gt;ушел на базу"))</f>
        <v/>
      </c>
      <c r="F552" s="4">
        <f>IF(E552="","",IF(E552&lt;=3,6,IF(E552&lt;=6,5,IF(E552&lt;=9,4,IF(E552&lt;=12,3,IF(E552&lt;=15,2,0))))))</f>
        <v/>
      </c>
      <c r="G552" s="3" t="n"/>
      <c r="H552" s="4">
        <f>IF(I552="Штраф -2",-2,IF(OR(F552="",G552=""),"",F552*G552+IF(J552="",0,J552)))</f>
        <v/>
      </c>
      <c r="I552" s="3" t="n"/>
      <c r="J552" s="3" t="n"/>
      <c r="K552" s="3" t="n"/>
    </row>
    <row r="553">
      <c r="A553" s="3" t="n"/>
      <c r="B553" s="3" t="n"/>
      <c r="C553" s="3" t="n"/>
      <c r="D553" s="3" t="n"/>
      <c r="E553" s="4">
        <f>IF(A553="","",COUNTIFS($A$4:A553,A553,$I$4:I553,"&lt;&gt;Штраф -2",$I$4:I553,"&lt;&gt;ушел на базу"))</f>
        <v/>
      </c>
      <c r="F553" s="4">
        <f>IF(E553="","",IF(E553&lt;=3,6,IF(E553&lt;=6,5,IF(E553&lt;=9,4,IF(E553&lt;=12,3,IF(E553&lt;=15,2,0))))))</f>
        <v/>
      </c>
      <c r="G553" s="3" t="n"/>
      <c r="H553" s="4">
        <f>IF(I553="Штраф -2",-2,IF(OR(F553="",G553=""),"",F553*G553+IF(J553="",0,J553)))</f>
        <v/>
      </c>
      <c r="I553" s="3" t="n"/>
      <c r="J553" s="3" t="n"/>
      <c r="K553" s="3" t="n"/>
    </row>
    <row r="554">
      <c r="A554" s="3" t="n"/>
      <c r="B554" s="3" t="n"/>
      <c r="C554" s="3" t="n"/>
      <c r="D554" s="3" t="n"/>
      <c r="E554" s="4">
        <f>IF(A554="","",COUNTIFS($A$4:A554,A554,$I$4:I554,"&lt;&gt;Штраф -2",$I$4:I554,"&lt;&gt;ушел на базу"))</f>
        <v/>
      </c>
      <c r="F554" s="4">
        <f>IF(E554="","",IF(E554&lt;=3,6,IF(E554&lt;=6,5,IF(E554&lt;=9,4,IF(E554&lt;=12,3,IF(E554&lt;=15,2,0))))))</f>
        <v/>
      </c>
      <c r="G554" s="3" t="n"/>
      <c r="H554" s="4">
        <f>IF(I554="Штраф -2",-2,IF(OR(F554="",G554=""),"",F554*G554+IF(J554="",0,J554)))</f>
        <v/>
      </c>
      <c r="I554" s="3" t="n"/>
      <c r="J554" s="3" t="n"/>
      <c r="K554" s="3" t="n"/>
    </row>
    <row r="555">
      <c r="A555" s="3" t="n"/>
      <c r="B555" s="3" t="n"/>
      <c r="C555" s="3" t="n"/>
      <c r="D555" s="3" t="n"/>
      <c r="E555" s="4">
        <f>IF(A555="","",COUNTIFS($A$4:A555,A555,$I$4:I555,"&lt;&gt;Штраф -2",$I$4:I555,"&lt;&gt;ушел на базу"))</f>
        <v/>
      </c>
      <c r="F555" s="4">
        <f>IF(E555="","",IF(E555&lt;=3,6,IF(E555&lt;=6,5,IF(E555&lt;=9,4,IF(E555&lt;=12,3,IF(E555&lt;=15,2,0))))))</f>
        <v/>
      </c>
      <c r="G555" s="3" t="n"/>
      <c r="H555" s="4">
        <f>IF(I555="Штраф -2",-2,IF(OR(F555="",G555=""),"",F555*G555+IF(J555="",0,J555)))</f>
        <v/>
      </c>
      <c r="I555" s="3" t="n"/>
      <c r="J555" s="3" t="n"/>
      <c r="K555" s="3" t="n"/>
    </row>
    <row r="556">
      <c r="A556" s="3" t="n"/>
      <c r="B556" s="3" t="n"/>
      <c r="C556" s="3" t="n"/>
      <c r="D556" s="3" t="n"/>
      <c r="E556" s="4">
        <f>IF(A556="","",COUNTIFS($A$4:A556,A556,$I$4:I556,"&lt;&gt;Штраф -2",$I$4:I556,"&lt;&gt;ушел на базу"))</f>
        <v/>
      </c>
      <c r="F556" s="4">
        <f>IF(E556="","",IF(E556&lt;=3,6,IF(E556&lt;=6,5,IF(E556&lt;=9,4,IF(E556&lt;=12,3,IF(E556&lt;=15,2,0))))))</f>
        <v/>
      </c>
      <c r="G556" s="3" t="n"/>
      <c r="H556" s="4">
        <f>IF(I556="Штраф -2",-2,IF(OR(F556="",G556=""),"",F556*G556+IF(J556="",0,J556)))</f>
        <v/>
      </c>
      <c r="I556" s="3" t="n"/>
      <c r="J556" s="3" t="n"/>
      <c r="K556" s="3" t="n"/>
    </row>
    <row r="557">
      <c r="A557" s="3" t="n"/>
      <c r="B557" s="3" t="n"/>
      <c r="C557" s="3" t="n"/>
      <c r="D557" s="3" t="n"/>
      <c r="E557" s="4">
        <f>IF(A557="","",COUNTIFS($A$4:A557,A557,$I$4:I557,"&lt;&gt;Штраф -2",$I$4:I557,"&lt;&gt;ушел на базу"))</f>
        <v/>
      </c>
      <c r="F557" s="4">
        <f>IF(E557="","",IF(E557&lt;=3,6,IF(E557&lt;=6,5,IF(E557&lt;=9,4,IF(E557&lt;=12,3,IF(E557&lt;=15,2,0))))))</f>
        <v/>
      </c>
      <c r="G557" s="3" t="n"/>
      <c r="H557" s="4">
        <f>IF(I557="Штраф -2",-2,IF(OR(F557="",G557=""),"",F557*G557+IF(J557="",0,J557)))</f>
        <v/>
      </c>
      <c r="I557" s="3" t="n"/>
      <c r="J557" s="3" t="n"/>
      <c r="K557" s="3" t="n"/>
    </row>
    <row r="558">
      <c r="A558" s="3" t="n"/>
      <c r="B558" s="3" t="n"/>
      <c r="C558" s="3" t="n"/>
      <c r="D558" s="3" t="n"/>
      <c r="E558" s="4">
        <f>IF(A558="","",COUNTIFS($A$4:A558,A558,$I$4:I558,"&lt;&gt;Штраф -2",$I$4:I558,"&lt;&gt;ушел на базу"))</f>
        <v/>
      </c>
      <c r="F558" s="4">
        <f>IF(E558="","",IF(E558&lt;=3,6,IF(E558&lt;=6,5,IF(E558&lt;=9,4,IF(E558&lt;=12,3,IF(E558&lt;=15,2,0))))))</f>
        <v/>
      </c>
      <c r="G558" s="3" t="n"/>
      <c r="H558" s="4">
        <f>IF(I558="Штраф -2",-2,IF(OR(F558="",G558=""),"",F558*G558+IF(J558="",0,J558)))</f>
        <v/>
      </c>
      <c r="I558" s="3" t="n"/>
      <c r="J558" s="3" t="n"/>
      <c r="K558" s="3" t="n"/>
    </row>
    <row r="559">
      <c r="A559" s="3" t="n"/>
      <c r="B559" s="3" t="n"/>
      <c r="C559" s="3" t="n"/>
      <c r="D559" s="3" t="n"/>
      <c r="E559" s="4">
        <f>IF(A559="","",COUNTIFS($A$4:A559,A559,$I$4:I559,"&lt;&gt;Штраф -2",$I$4:I559,"&lt;&gt;ушел на базу"))</f>
        <v/>
      </c>
      <c r="F559" s="4">
        <f>IF(E559="","",IF(E559&lt;=3,6,IF(E559&lt;=6,5,IF(E559&lt;=9,4,IF(E559&lt;=12,3,IF(E559&lt;=15,2,0))))))</f>
        <v/>
      </c>
      <c r="G559" s="3" t="n"/>
      <c r="H559" s="4">
        <f>IF(I559="Штраф -2",-2,IF(OR(F559="",G559=""),"",F559*G559+IF(J559="",0,J559)))</f>
        <v/>
      </c>
      <c r="I559" s="3" t="n"/>
      <c r="J559" s="3" t="n"/>
      <c r="K559" s="3" t="n"/>
    </row>
    <row r="560">
      <c r="A560" s="3" t="n"/>
      <c r="B560" s="3" t="n"/>
      <c r="C560" s="3" t="n"/>
      <c r="D560" s="3" t="n"/>
      <c r="E560" s="4">
        <f>IF(A560="","",COUNTIFS($A$4:A560,A560,$I$4:I560,"&lt;&gt;Штраф -2",$I$4:I560,"&lt;&gt;ушел на базу"))</f>
        <v/>
      </c>
      <c r="F560" s="4">
        <f>IF(E560="","",IF(E560&lt;=3,6,IF(E560&lt;=6,5,IF(E560&lt;=9,4,IF(E560&lt;=12,3,IF(E560&lt;=15,2,0))))))</f>
        <v/>
      </c>
      <c r="G560" s="3" t="n"/>
      <c r="H560" s="4">
        <f>IF(I560="Штраф -2",-2,IF(OR(F560="",G560=""),"",F560*G560+IF(J560="",0,J560)))</f>
        <v/>
      </c>
      <c r="I560" s="3" t="n"/>
      <c r="J560" s="3" t="n"/>
      <c r="K560" s="3" t="n"/>
    </row>
    <row r="561">
      <c r="A561" s="3" t="n"/>
      <c r="B561" s="3" t="n"/>
      <c r="C561" s="3" t="n"/>
      <c r="D561" s="3" t="n"/>
      <c r="E561" s="4">
        <f>IF(A561="","",COUNTIFS($A$4:A561,A561,$I$4:I561,"&lt;&gt;Штраф -2",$I$4:I561,"&lt;&gt;ушел на базу"))</f>
        <v/>
      </c>
      <c r="F561" s="4">
        <f>IF(E561="","",IF(E561&lt;=3,6,IF(E561&lt;=6,5,IF(E561&lt;=9,4,IF(E561&lt;=12,3,IF(E561&lt;=15,2,0))))))</f>
        <v/>
      </c>
      <c r="G561" s="3" t="n"/>
      <c r="H561" s="4">
        <f>IF(I561="Штраф -2",-2,IF(OR(F561="",G561=""),"",F561*G561+IF(J561="",0,J561)))</f>
        <v/>
      </c>
      <c r="I561" s="3" t="n"/>
      <c r="J561" s="3" t="n"/>
      <c r="K561" s="3" t="n"/>
    </row>
    <row r="562">
      <c r="A562" s="3" t="n"/>
      <c r="B562" s="3" t="n"/>
      <c r="C562" s="3" t="n"/>
      <c r="D562" s="3" t="n"/>
      <c r="E562" s="4">
        <f>IF(A562="","",COUNTIFS($A$4:A562,A562,$I$4:I562,"&lt;&gt;Штраф -2",$I$4:I562,"&lt;&gt;ушел на базу"))</f>
        <v/>
      </c>
      <c r="F562" s="4">
        <f>IF(E562="","",IF(E562&lt;=3,6,IF(E562&lt;=6,5,IF(E562&lt;=9,4,IF(E562&lt;=12,3,IF(E562&lt;=15,2,0))))))</f>
        <v/>
      </c>
      <c r="G562" s="3" t="n"/>
      <c r="H562" s="4">
        <f>IF(I562="Штраф -2",-2,IF(OR(F562="",G562=""),"",F562*G562+IF(J562="",0,J562)))</f>
        <v/>
      </c>
      <c r="I562" s="3" t="n"/>
      <c r="J562" s="3" t="n"/>
      <c r="K562" s="3" t="n"/>
    </row>
    <row r="563">
      <c r="A563" s="3" t="n"/>
      <c r="B563" s="3" t="n"/>
      <c r="C563" s="3" t="n"/>
      <c r="D563" s="3" t="n"/>
      <c r="E563" s="4">
        <f>IF(A563="","",COUNTIFS($A$4:A563,A563,$I$4:I563,"&lt;&gt;Штраф -2",$I$4:I563,"&lt;&gt;ушел на базу"))</f>
        <v/>
      </c>
      <c r="F563" s="4">
        <f>IF(E563="","",IF(E563&lt;=3,6,IF(E563&lt;=6,5,IF(E563&lt;=9,4,IF(E563&lt;=12,3,IF(E563&lt;=15,2,0))))))</f>
        <v/>
      </c>
      <c r="G563" s="3" t="n"/>
      <c r="H563" s="4">
        <f>IF(I563="Штраф -2",-2,IF(OR(F563="",G563=""),"",F563*G563+IF(J563="",0,J563)))</f>
        <v/>
      </c>
      <c r="I563" s="3" t="n"/>
      <c r="J563" s="3" t="n"/>
      <c r="K563" s="3" t="n"/>
    </row>
    <row r="564">
      <c r="A564" s="3" t="n"/>
      <c r="B564" s="3" t="n"/>
      <c r="C564" s="3" t="n"/>
      <c r="D564" s="3" t="n"/>
      <c r="E564" s="4">
        <f>IF(A564="","",COUNTIFS($A$4:A564,A564,$I$4:I564,"&lt;&gt;Штраф -2",$I$4:I564,"&lt;&gt;ушел на базу"))</f>
        <v/>
      </c>
      <c r="F564" s="4">
        <f>IF(E564="","",IF(E564&lt;=3,6,IF(E564&lt;=6,5,IF(E564&lt;=9,4,IF(E564&lt;=12,3,IF(E564&lt;=15,2,0))))))</f>
        <v/>
      </c>
      <c r="G564" s="3" t="n"/>
      <c r="H564" s="4">
        <f>IF(I564="Штраф -2",-2,IF(OR(F564="",G564=""),"",F564*G564+IF(J564="",0,J564)))</f>
        <v/>
      </c>
      <c r="I564" s="3" t="n"/>
      <c r="J564" s="3" t="n"/>
      <c r="K564" s="3" t="n"/>
    </row>
    <row r="565">
      <c r="A565" s="3" t="n"/>
      <c r="B565" s="3" t="n"/>
      <c r="C565" s="3" t="n"/>
      <c r="D565" s="3" t="n"/>
      <c r="E565" s="4">
        <f>IF(A565="","",COUNTIFS($A$4:A565,A565,$I$4:I565,"&lt;&gt;Штраф -2",$I$4:I565,"&lt;&gt;ушел на базу"))</f>
        <v/>
      </c>
      <c r="F565" s="4">
        <f>IF(E565="","",IF(E565&lt;=3,6,IF(E565&lt;=6,5,IF(E565&lt;=9,4,IF(E565&lt;=12,3,IF(E565&lt;=15,2,0))))))</f>
        <v/>
      </c>
      <c r="G565" s="3" t="n"/>
      <c r="H565" s="4">
        <f>IF(I565="Штраф -2",-2,IF(OR(F565="",G565=""),"",F565*G565+IF(J565="",0,J565)))</f>
        <v/>
      </c>
      <c r="I565" s="3" t="n"/>
      <c r="J565" s="3" t="n"/>
      <c r="K565" s="3" t="n"/>
    </row>
    <row r="566">
      <c r="A566" s="3" t="n"/>
      <c r="B566" s="3" t="n"/>
      <c r="C566" s="3" t="n"/>
      <c r="D566" s="3" t="n"/>
      <c r="E566" s="4">
        <f>IF(A566="","",COUNTIFS($A$4:A566,A566,$I$4:I566,"&lt;&gt;Штраф -2",$I$4:I566,"&lt;&gt;ушел на базу"))</f>
        <v/>
      </c>
      <c r="F566" s="4">
        <f>IF(E566="","",IF(E566&lt;=3,6,IF(E566&lt;=6,5,IF(E566&lt;=9,4,IF(E566&lt;=12,3,IF(E566&lt;=15,2,0))))))</f>
        <v/>
      </c>
      <c r="G566" s="3" t="n"/>
      <c r="H566" s="4">
        <f>IF(I566="Штраф -2",-2,IF(OR(F566="",G566=""),"",F566*G566+IF(J566="",0,J566)))</f>
        <v/>
      </c>
      <c r="I566" s="3" t="n"/>
      <c r="J566" s="3" t="n"/>
      <c r="K566" s="3" t="n"/>
    </row>
    <row r="567">
      <c r="A567" s="3" t="n"/>
      <c r="B567" s="3" t="n"/>
      <c r="C567" s="3" t="n"/>
      <c r="D567" s="3" t="n"/>
      <c r="E567" s="4">
        <f>IF(A567="","",COUNTIFS($A$4:A567,A567,$I$4:I567,"&lt;&gt;Штраф -2",$I$4:I567,"&lt;&gt;ушел на базу"))</f>
        <v/>
      </c>
      <c r="F567" s="4">
        <f>IF(E567="","",IF(E567&lt;=3,6,IF(E567&lt;=6,5,IF(E567&lt;=9,4,IF(E567&lt;=12,3,IF(E567&lt;=15,2,0))))))</f>
        <v/>
      </c>
      <c r="G567" s="3" t="n"/>
      <c r="H567" s="4">
        <f>IF(I567="Штраф -2",-2,IF(OR(F567="",G567=""),"",F567*G567+IF(J567="",0,J567)))</f>
        <v/>
      </c>
      <c r="I567" s="3" t="n"/>
      <c r="J567" s="3" t="n"/>
      <c r="K567" s="3" t="n"/>
    </row>
    <row r="568">
      <c r="A568" s="3" t="n"/>
      <c r="B568" s="3" t="n"/>
      <c r="C568" s="3" t="n"/>
      <c r="D568" s="3" t="n"/>
      <c r="E568" s="4">
        <f>IF(A568="","",COUNTIFS($A$4:A568,A568,$I$4:I568,"&lt;&gt;Штраф -2",$I$4:I568,"&lt;&gt;ушел на базу"))</f>
        <v/>
      </c>
      <c r="F568" s="4">
        <f>IF(E568="","",IF(E568&lt;=3,6,IF(E568&lt;=6,5,IF(E568&lt;=9,4,IF(E568&lt;=12,3,IF(E568&lt;=15,2,0))))))</f>
        <v/>
      </c>
      <c r="G568" s="3" t="n"/>
      <c r="H568" s="4">
        <f>IF(I568="Штраф -2",-2,IF(OR(F568="",G568=""),"",F568*G568+IF(J568="",0,J568)))</f>
        <v/>
      </c>
      <c r="I568" s="3" t="n"/>
      <c r="J568" s="3" t="n"/>
      <c r="K568" s="3" t="n"/>
    </row>
    <row r="569">
      <c r="A569" s="3" t="n"/>
      <c r="B569" s="3" t="n"/>
      <c r="C569" s="3" t="n"/>
      <c r="D569" s="3" t="n"/>
      <c r="E569" s="4">
        <f>IF(A569="","",COUNTIFS($A$4:A569,A569,$I$4:I569,"&lt;&gt;Штраф -2",$I$4:I569,"&lt;&gt;ушел на базу"))</f>
        <v/>
      </c>
      <c r="F569" s="4">
        <f>IF(E569="","",IF(E569&lt;=3,6,IF(E569&lt;=6,5,IF(E569&lt;=9,4,IF(E569&lt;=12,3,IF(E569&lt;=15,2,0))))))</f>
        <v/>
      </c>
      <c r="G569" s="3" t="n"/>
      <c r="H569" s="4">
        <f>IF(I569="Штраф -2",-2,IF(OR(F569="",G569=""),"",F569*G569+IF(J569="",0,J569)))</f>
        <v/>
      </c>
      <c r="I569" s="3" t="n"/>
      <c r="J569" s="3" t="n"/>
      <c r="K569" s="3" t="n"/>
    </row>
    <row r="570">
      <c r="A570" s="3" t="n"/>
      <c r="B570" s="3" t="n"/>
      <c r="C570" s="3" t="n"/>
      <c r="D570" s="3" t="n"/>
      <c r="E570" s="4">
        <f>IF(A570="","",COUNTIFS($A$4:A570,A570,$I$4:I570,"&lt;&gt;Штраф -2",$I$4:I570,"&lt;&gt;ушел на базу"))</f>
        <v/>
      </c>
      <c r="F570" s="4">
        <f>IF(E570="","",IF(E570&lt;=3,6,IF(E570&lt;=6,5,IF(E570&lt;=9,4,IF(E570&lt;=12,3,IF(E570&lt;=15,2,0))))))</f>
        <v/>
      </c>
      <c r="G570" s="3" t="n"/>
      <c r="H570" s="4">
        <f>IF(I570="Штраф -2",-2,IF(OR(F570="",G570=""),"",F570*G570+IF(J570="",0,J570)))</f>
        <v/>
      </c>
      <c r="I570" s="3" t="n"/>
      <c r="J570" s="3" t="n"/>
      <c r="K570" s="3" t="n"/>
    </row>
    <row r="571">
      <c r="A571" s="3" t="n"/>
      <c r="B571" s="3" t="n"/>
      <c r="C571" s="3" t="n"/>
      <c r="D571" s="3" t="n"/>
      <c r="E571" s="4">
        <f>IF(A571="","",COUNTIFS($A$4:A571,A571,$I$4:I571,"&lt;&gt;Штраф -2",$I$4:I571,"&lt;&gt;ушел на базу"))</f>
        <v/>
      </c>
      <c r="F571" s="4">
        <f>IF(E571="","",IF(E571&lt;=3,6,IF(E571&lt;=6,5,IF(E571&lt;=9,4,IF(E571&lt;=12,3,IF(E571&lt;=15,2,0))))))</f>
        <v/>
      </c>
      <c r="G571" s="3" t="n"/>
      <c r="H571" s="4">
        <f>IF(I571="Штраф -2",-2,IF(OR(F571="",G571=""),"",F571*G571+IF(J571="",0,J571)))</f>
        <v/>
      </c>
      <c r="I571" s="3" t="n"/>
      <c r="J571" s="3" t="n"/>
      <c r="K571" s="3" t="n"/>
    </row>
    <row r="572">
      <c r="A572" s="3" t="n"/>
      <c r="B572" s="3" t="n"/>
      <c r="C572" s="3" t="n"/>
      <c r="D572" s="3" t="n"/>
      <c r="E572" s="4">
        <f>IF(A572="","",COUNTIFS($A$4:A572,A572,$I$4:I572,"&lt;&gt;Штраф -2",$I$4:I572,"&lt;&gt;ушел на базу"))</f>
        <v/>
      </c>
      <c r="F572" s="4">
        <f>IF(E572="","",IF(E572&lt;=3,6,IF(E572&lt;=6,5,IF(E572&lt;=9,4,IF(E572&lt;=12,3,IF(E572&lt;=15,2,0))))))</f>
        <v/>
      </c>
      <c r="G572" s="3" t="n"/>
      <c r="H572" s="4">
        <f>IF(I572="Штраф -2",-2,IF(OR(F572="",G572=""),"",F572*G572+IF(J572="",0,J572)))</f>
        <v/>
      </c>
      <c r="I572" s="3" t="n"/>
      <c r="J572" s="3" t="n"/>
      <c r="K572" s="3" t="n"/>
    </row>
    <row r="573">
      <c r="A573" s="3" t="n"/>
      <c r="B573" s="3" t="n"/>
      <c r="C573" s="3" t="n"/>
      <c r="D573" s="3" t="n"/>
      <c r="E573" s="4">
        <f>IF(A573="","",COUNTIFS($A$4:A573,A573,$I$4:I573,"&lt;&gt;Штраф -2",$I$4:I573,"&lt;&gt;ушел на базу"))</f>
        <v/>
      </c>
      <c r="F573" s="4">
        <f>IF(E573="","",IF(E573&lt;=3,6,IF(E573&lt;=6,5,IF(E573&lt;=9,4,IF(E573&lt;=12,3,IF(E573&lt;=15,2,0))))))</f>
        <v/>
      </c>
      <c r="G573" s="3" t="n"/>
      <c r="H573" s="4">
        <f>IF(I573="Штраф -2",-2,IF(OR(F573="",G573=""),"",F573*G573+IF(J573="",0,J573)))</f>
        <v/>
      </c>
      <c r="I573" s="3" t="n"/>
      <c r="J573" s="3" t="n"/>
      <c r="K573" s="3" t="n"/>
    </row>
    <row r="574">
      <c r="A574" s="3" t="n"/>
      <c r="B574" s="3" t="n"/>
      <c r="C574" s="3" t="n"/>
      <c r="D574" s="3" t="n"/>
      <c r="E574" s="4">
        <f>IF(A574="","",COUNTIFS($A$4:A574,A574,$I$4:I574,"&lt;&gt;Штраф -2",$I$4:I574,"&lt;&gt;ушел на базу"))</f>
        <v/>
      </c>
      <c r="F574" s="4">
        <f>IF(E574="","",IF(E574&lt;=3,6,IF(E574&lt;=6,5,IF(E574&lt;=9,4,IF(E574&lt;=12,3,IF(E574&lt;=15,2,0))))))</f>
        <v/>
      </c>
      <c r="G574" s="3" t="n"/>
      <c r="H574" s="4">
        <f>IF(I574="Штраф -2",-2,IF(OR(F574="",G574=""),"",F574*G574+IF(J574="",0,J574)))</f>
        <v/>
      </c>
      <c r="I574" s="3" t="n"/>
      <c r="J574" s="3" t="n"/>
      <c r="K574" s="3" t="n"/>
    </row>
    <row r="575">
      <c r="A575" s="3" t="n"/>
      <c r="B575" s="3" t="n"/>
      <c r="C575" s="3" t="n"/>
      <c r="D575" s="3" t="n"/>
      <c r="E575" s="4">
        <f>IF(A575="","",COUNTIFS($A$4:A575,A575,$I$4:I575,"&lt;&gt;Штраф -2",$I$4:I575,"&lt;&gt;ушел на базу"))</f>
        <v/>
      </c>
      <c r="F575" s="4">
        <f>IF(E575="","",IF(E575&lt;=3,6,IF(E575&lt;=6,5,IF(E575&lt;=9,4,IF(E575&lt;=12,3,IF(E575&lt;=15,2,0))))))</f>
        <v/>
      </c>
      <c r="G575" s="3" t="n"/>
      <c r="H575" s="4">
        <f>IF(I575="Штраф -2",-2,IF(OR(F575="",G575=""),"",F575*G575+IF(J575="",0,J575)))</f>
        <v/>
      </c>
      <c r="I575" s="3" t="n"/>
      <c r="J575" s="3" t="n"/>
      <c r="K575" s="3" t="n"/>
    </row>
    <row r="576">
      <c r="A576" s="3" t="n"/>
      <c r="B576" s="3" t="n"/>
      <c r="C576" s="3" t="n"/>
      <c r="D576" s="3" t="n"/>
      <c r="E576" s="4">
        <f>IF(A576="","",COUNTIFS($A$4:A576,A576,$I$4:I576,"&lt;&gt;Штраф -2",$I$4:I576,"&lt;&gt;ушел на базу"))</f>
        <v/>
      </c>
      <c r="F576" s="4">
        <f>IF(E576="","",IF(E576&lt;=3,6,IF(E576&lt;=6,5,IF(E576&lt;=9,4,IF(E576&lt;=12,3,IF(E576&lt;=15,2,0))))))</f>
        <v/>
      </c>
      <c r="G576" s="3" t="n"/>
      <c r="H576" s="4">
        <f>IF(I576="Штраф -2",-2,IF(OR(F576="",G576=""),"",F576*G576+IF(J576="",0,J576)))</f>
        <v/>
      </c>
      <c r="I576" s="3" t="n"/>
      <c r="J576" s="3" t="n"/>
      <c r="K576" s="3" t="n"/>
    </row>
    <row r="577">
      <c r="A577" s="3" t="n"/>
      <c r="B577" s="3" t="n"/>
      <c r="C577" s="3" t="n"/>
      <c r="D577" s="3" t="n"/>
      <c r="E577" s="4">
        <f>IF(A577="","",COUNTIFS($A$4:A577,A577,$I$4:I577,"&lt;&gt;Штраф -2",$I$4:I577,"&lt;&gt;ушел на базу"))</f>
        <v/>
      </c>
      <c r="F577" s="4">
        <f>IF(E577="","",IF(E577&lt;=3,6,IF(E577&lt;=6,5,IF(E577&lt;=9,4,IF(E577&lt;=12,3,IF(E577&lt;=15,2,0))))))</f>
        <v/>
      </c>
      <c r="G577" s="3" t="n"/>
      <c r="H577" s="4">
        <f>IF(I577="Штраф -2",-2,IF(OR(F577="",G577=""),"",F577*G577+IF(J577="",0,J577)))</f>
        <v/>
      </c>
      <c r="I577" s="3" t="n"/>
      <c r="J577" s="3" t="n"/>
      <c r="K577" s="3" t="n"/>
    </row>
    <row r="578">
      <c r="A578" s="3" t="n"/>
      <c r="B578" s="3" t="n"/>
      <c r="C578" s="3" t="n"/>
      <c r="D578" s="3" t="n"/>
      <c r="E578" s="4">
        <f>IF(A578="","",COUNTIFS($A$4:A578,A578,$I$4:I578,"&lt;&gt;Штраф -2",$I$4:I578,"&lt;&gt;ушел на базу"))</f>
        <v/>
      </c>
      <c r="F578" s="4">
        <f>IF(E578="","",IF(E578&lt;=3,6,IF(E578&lt;=6,5,IF(E578&lt;=9,4,IF(E578&lt;=12,3,IF(E578&lt;=15,2,0))))))</f>
        <v/>
      </c>
      <c r="G578" s="3" t="n"/>
      <c r="H578" s="4">
        <f>IF(I578="Штраф -2",-2,IF(OR(F578="",G578=""),"",F578*G578+IF(J578="",0,J578)))</f>
        <v/>
      </c>
      <c r="I578" s="3" t="n"/>
      <c r="J578" s="3" t="n"/>
      <c r="K578" s="3" t="n"/>
    </row>
    <row r="579">
      <c r="A579" s="3" t="n"/>
      <c r="B579" s="3" t="n"/>
      <c r="C579" s="3" t="n"/>
      <c r="D579" s="3" t="n"/>
      <c r="E579" s="4">
        <f>IF(A579="","",COUNTIFS($A$4:A579,A579,$I$4:I579,"&lt;&gt;Штраф -2",$I$4:I579,"&lt;&gt;ушел на базу"))</f>
        <v/>
      </c>
      <c r="F579" s="4">
        <f>IF(E579="","",IF(E579&lt;=3,6,IF(E579&lt;=6,5,IF(E579&lt;=9,4,IF(E579&lt;=12,3,IF(E579&lt;=15,2,0))))))</f>
        <v/>
      </c>
      <c r="G579" s="3" t="n"/>
      <c r="H579" s="4">
        <f>IF(I579="Штраф -2",-2,IF(OR(F579="",G579=""),"",F579*G579+IF(J579="",0,J579)))</f>
        <v/>
      </c>
      <c r="I579" s="3" t="n"/>
      <c r="J579" s="3" t="n"/>
      <c r="K579" s="3" t="n"/>
    </row>
    <row r="580">
      <c r="A580" s="3" t="n"/>
      <c r="B580" s="3" t="n"/>
      <c r="C580" s="3" t="n"/>
      <c r="D580" s="3" t="n"/>
      <c r="E580" s="4">
        <f>IF(A580="","",COUNTIFS($A$4:A580,A580,$I$4:I580,"&lt;&gt;Штраф -2",$I$4:I580,"&lt;&gt;ушел на базу"))</f>
        <v/>
      </c>
      <c r="F580" s="4">
        <f>IF(E580="","",IF(E580&lt;=3,6,IF(E580&lt;=6,5,IF(E580&lt;=9,4,IF(E580&lt;=12,3,IF(E580&lt;=15,2,0))))))</f>
        <v/>
      </c>
      <c r="G580" s="3" t="n"/>
      <c r="H580" s="4">
        <f>IF(I580="Штраф -2",-2,IF(OR(F580="",G580=""),"",F580*G580+IF(J580="",0,J580)))</f>
        <v/>
      </c>
      <c r="I580" s="3" t="n"/>
      <c r="J580" s="3" t="n"/>
      <c r="K580" s="3" t="n"/>
    </row>
    <row r="581">
      <c r="A581" s="3" t="n"/>
      <c r="B581" s="3" t="n"/>
      <c r="C581" s="3" t="n"/>
      <c r="D581" s="3" t="n"/>
      <c r="E581" s="4">
        <f>IF(A581="","",COUNTIFS($A$4:A581,A581,$I$4:I581,"&lt;&gt;Штраф -2",$I$4:I581,"&lt;&gt;ушел на базу"))</f>
        <v/>
      </c>
      <c r="F581" s="4">
        <f>IF(E581="","",IF(E581&lt;=3,6,IF(E581&lt;=6,5,IF(E581&lt;=9,4,IF(E581&lt;=12,3,IF(E581&lt;=15,2,0))))))</f>
        <v/>
      </c>
      <c r="G581" s="3" t="n"/>
      <c r="H581" s="4">
        <f>IF(I581="Штраф -2",-2,IF(OR(F581="",G581=""),"",F581*G581+IF(J581="",0,J581)))</f>
        <v/>
      </c>
      <c r="I581" s="3" t="n"/>
      <c r="J581" s="3" t="n"/>
      <c r="K581" s="3" t="n"/>
    </row>
    <row r="582">
      <c r="A582" s="3" t="n"/>
      <c r="B582" s="3" t="n"/>
      <c r="C582" s="3" t="n"/>
      <c r="D582" s="3" t="n"/>
      <c r="E582" s="4">
        <f>IF(A582="","",COUNTIFS($A$4:A582,A582,$I$4:I582,"&lt;&gt;Штраф -2",$I$4:I582,"&lt;&gt;ушел на базу"))</f>
        <v/>
      </c>
      <c r="F582" s="4">
        <f>IF(E582="","",IF(E582&lt;=3,6,IF(E582&lt;=6,5,IF(E582&lt;=9,4,IF(E582&lt;=12,3,IF(E582&lt;=15,2,0))))))</f>
        <v/>
      </c>
      <c r="G582" s="3" t="n"/>
      <c r="H582" s="4">
        <f>IF(I582="Штраф -2",-2,IF(OR(F582="",G582=""),"",F582*G582+IF(J582="",0,J582)))</f>
        <v/>
      </c>
      <c r="I582" s="3" t="n"/>
      <c r="J582" s="3" t="n"/>
      <c r="K582" s="3" t="n"/>
    </row>
    <row r="583">
      <c r="A583" s="3" t="n"/>
      <c r="B583" s="3" t="n"/>
      <c r="C583" s="3" t="n"/>
      <c r="D583" s="3" t="n"/>
      <c r="E583" s="4">
        <f>IF(A583="","",COUNTIFS($A$4:A583,A583,$I$4:I583,"&lt;&gt;Штраф -2",$I$4:I583,"&lt;&gt;ушел на базу"))</f>
        <v/>
      </c>
      <c r="F583" s="4">
        <f>IF(E583="","",IF(E583&lt;=3,6,IF(E583&lt;=6,5,IF(E583&lt;=9,4,IF(E583&lt;=12,3,IF(E583&lt;=15,2,0))))))</f>
        <v/>
      </c>
      <c r="G583" s="3" t="n"/>
      <c r="H583" s="4">
        <f>IF(I583="Штраф -2",-2,IF(OR(F583="",G583=""),"",F583*G583+IF(J583="",0,J583)))</f>
        <v/>
      </c>
      <c r="I583" s="3" t="n"/>
      <c r="J583" s="3" t="n"/>
      <c r="K583" s="3" t="n"/>
    </row>
    <row r="584">
      <c r="A584" s="3" t="n"/>
      <c r="B584" s="3" t="n"/>
      <c r="C584" s="3" t="n"/>
      <c r="D584" s="3" t="n"/>
      <c r="E584" s="4">
        <f>IF(A584="","",COUNTIFS($A$4:A584,A584,$I$4:I584,"&lt;&gt;Штраф -2",$I$4:I584,"&lt;&gt;ушел на базу"))</f>
        <v/>
      </c>
      <c r="F584" s="4">
        <f>IF(E584="","",IF(E584&lt;=3,6,IF(E584&lt;=6,5,IF(E584&lt;=9,4,IF(E584&lt;=12,3,IF(E584&lt;=15,2,0))))))</f>
        <v/>
      </c>
      <c r="G584" s="3" t="n"/>
      <c r="H584" s="4">
        <f>IF(I584="Штраф -2",-2,IF(OR(F584="",G584=""),"",F584*G584+IF(J584="",0,J584)))</f>
        <v/>
      </c>
      <c r="I584" s="3" t="n"/>
      <c r="J584" s="3" t="n"/>
      <c r="K584" s="3" t="n"/>
    </row>
    <row r="585">
      <c r="A585" s="3" t="n"/>
      <c r="B585" s="3" t="n"/>
      <c r="C585" s="3" t="n"/>
      <c r="D585" s="3" t="n"/>
      <c r="E585" s="4">
        <f>IF(A585="","",COUNTIFS($A$4:A585,A585,$I$4:I585,"&lt;&gt;Штраф -2",$I$4:I585,"&lt;&gt;ушел на базу"))</f>
        <v/>
      </c>
      <c r="F585" s="4">
        <f>IF(E585="","",IF(E585&lt;=3,6,IF(E585&lt;=6,5,IF(E585&lt;=9,4,IF(E585&lt;=12,3,IF(E585&lt;=15,2,0))))))</f>
        <v/>
      </c>
      <c r="G585" s="3" t="n"/>
      <c r="H585" s="4">
        <f>IF(I585="Штраф -2",-2,IF(OR(F585="",G585=""),"",F585*G585+IF(J585="",0,J585)))</f>
        <v/>
      </c>
      <c r="I585" s="3" t="n"/>
      <c r="J585" s="3" t="n"/>
      <c r="K585" s="3" t="n"/>
    </row>
    <row r="586">
      <c r="A586" s="3" t="n"/>
      <c r="B586" s="3" t="n"/>
      <c r="C586" s="3" t="n"/>
      <c r="D586" s="3" t="n"/>
      <c r="E586" s="4">
        <f>IF(A586="","",COUNTIFS($A$4:A586,A586,$I$4:I586,"&lt;&gt;Штраф -2",$I$4:I586,"&lt;&gt;ушел на базу"))</f>
        <v/>
      </c>
      <c r="F586" s="4">
        <f>IF(E586="","",IF(E586&lt;=3,6,IF(E586&lt;=6,5,IF(E586&lt;=9,4,IF(E586&lt;=12,3,IF(E586&lt;=15,2,0))))))</f>
        <v/>
      </c>
      <c r="G586" s="3" t="n"/>
      <c r="H586" s="4">
        <f>IF(I586="Штраф -2",-2,IF(OR(F586="",G586=""),"",F586*G586+IF(J586="",0,J586)))</f>
        <v/>
      </c>
      <c r="I586" s="3" t="n"/>
      <c r="J586" s="3" t="n"/>
      <c r="K586" s="3" t="n"/>
    </row>
    <row r="587">
      <c r="A587" s="3" t="n"/>
      <c r="B587" s="3" t="n"/>
      <c r="C587" s="3" t="n"/>
      <c r="D587" s="3" t="n"/>
      <c r="E587" s="4">
        <f>IF(A587="","",COUNTIFS($A$4:A587,A587,$I$4:I587,"&lt;&gt;Штраф -2",$I$4:I587,"&lt;&gt;ушел на базу"))</f>
        <v/>
      </c>
      <c r="F587" s="4">
        <f>IF(E587="","",IF(E587&lt;=3,6,IF(E587&lt;=6,5,IF(E587&lt;=9,4,IF(E587&lt;=12,3,IF(E587&lt;=15,2,0))))))</f>
        <v/>
      </c>
      <c r="G587" s="3" t="n"/>
      <c r="H587" s="4">
        <f>IF(I587="Штраф -2",-2,IF(OR(F587="",G587=""),"",F587*G587+IF(J587="",0,J587)))</f>
        <v/>
      </c>
      <c r="I587" s="3" t="n"/>
      <c r="J587" s="3" t="n"/>
      <c r="K587" s="3" t="n"/>
    </row>
    <row r="588">
      <c r="A588" s="3" t="n"/>
      <c r="B588" s="3" t="n"/>
      <c r="C588" s="3" t="n"/>
      <c r="D588" s="3" t="n"/>
      <c r="E588" s="4">
        <f>IF(A588="","",COUNTIFS($A$4:A588,A588,$I$4:I588,"&lt;&gt;Штраф -2",$I$4:I588,"&lt;&gt;ушел на базу"))</f>
        <v/>
      </c>
      <c r="F588" s="4">
        <f>IF(E588="","",IF(E588&lt;=3,6,IF(E588&lt;=6,5,IF(E588&lt;=9,4,IF(E588&lt;=12,3,IF(E588&lt;=15,2,0))))))</f>
        <v/>
      </c>
      <c r="G588" s="3" t="n"/>
      <c r="H588" s="4">
        <f>IF(I588="Штраф -2",-2,IF(OR(F588="",G588=""),"",F588*G588+IF(J588="",0,J588)))</f>
        <v/>
      </c>
      <c r="I588" s="3" t="n"/>
      <c r="J588" s="3" t="n"/>
      <c r="K588" s="3" t="n"/>
    </row>
    <row r="589">
      <c r="A589" s="3" t="n"/>
      <c r="B589" s="3" t="n"/>
      <c r="C589" s="3" t="n"/>
      <c r="D589" s="3" t="n"/>
      <c r="E589" s="4">
        <f>IF(A589="","",COUNTIFS($A$4:A589,A589,$I$4:I589,"&lt;&gt;Штраф -2",$I$4:I589,"&lt;&gt;ушел на базу"))</f>
        <v/>
      </c>
      <c r="F589" s="4">
        <f>IF(E589="","",IF(E589&lt;=3,6,IF(E589&lt;=6,5,IF(E589&lt;=9,4,IF(E589&lt;=12,3,IF(E589&lt;=15,2,0))))))</f>
        <v/>
      </c>
      <c r="G589" s="3" t="n"/>
      <c r="H589" s="4">
        <f>IF(I589="Штраф -2",-2,IF(OR(F589="",G589=""),"",F589*G589+IF(J589="",0,J589)))</f>
        <v/>
      </c>
      <c r="I589" s="3" t="n"/>
      <c r="J589" s="3" t="n"/>
      <c r="K589" s="3" t="n"/>
    </row>
    <row r="590">
      <c r="A590" s="3" t="n"/>
      <c r="B590" s="3" t="n"/>
      <c r="C590" s="3" t="n"/>
      <c r="D590" s="3" t="n"/>
      <c r="E590" s="4">
        <f>IF(A590="","",COUNTIFS($A$4:A590,A590,$I$4:I590,"&lt;&gt;Штраф -2",$I$4:I590,"&lt;&gt;ушел на базу"))</f>
        <v/>
      </c>
      <c r="F590" s="4">
        <f>IF(E590="","",IF(E590&lt;=3,6,IF(E590&lt;=6,5,IF(E590&lt;=9,4,IF(E590&lt;=12,3,IF(E590&lt;=15,2,0))))))</f>
        <v/>
      </c>
      <c r="G590" s="3" t="n"/>
      <c r="H590" s="4">
        <f>IF(I590="Штраф -2",-2,IF(OR(F590="",G590=""),"",F590*G590+IF(J590="",0,J590)))</f>
        <v/>
      </c>
      <c r="I590" s="3" t="n"/>
      <c r="J590" s="3" t="n"/>
      <c r="K590" s="3" t="n"/>
    </row>
    <row r="591">
      <c r="A591" s="3" t="n"/>
      <c r="B591" s="3" t="n"/>
      <c r="C591" s="3" t="n"/>
      <c r="D591" s="3" t="n"/>
      <c r="E591" s="4">
        <f>IF(A591="","",COUNTIFS($A$4:A591,A591,$I$4:I591,"&lt;&gt;Штраф -2",$I$4:I591,"&lt;&gt;ушел на базу"))</f>
        <v/>
      </c>
      <c r="F591" s="4">
        <f>IF(E591="","",IF(E591&lt;=3,6,IF(E591&lt;=6,5,IF(E591&lt;=9,4,IF(E591&lt;=12,3,IF(E591&lt;=15,2,0))))))</f>
        <v/>
      </c>
      <c r="G591" s="3" t="n"/>
      <c r="H591" s="4">
        <f>IF(I591="Штраф -2",-2,IF(OR(F591="",G591=""),"",F591*G591+IF(J591="",0,J591)))</f>
        <v/>
      </c>
      <c r="I591" s="3" t="n"/>
      <c r="J591" s="3" t="n"/>
      <c r="K591" s="3" t="n"/>
    </row>
    <row r="592">
      <c r="A592" s="3" t="n"/>
      <c r="B592" s="3" t="n"/>
      <c r="C592" s="3" t="n"/>
      <c r="D592" s="3" t="n"/>
      <c r="E592" s="4">
        <f>IF(A592="","",COUNTIFS($A$4:A592,A592,$I$4:I592,"&lt;&gt;Штраф -2",$I$4:I592,"&lt;&gt;ушел на базу"))</f>
        <v/>
      </c>
      <c r="F592" s="4">
        <f>IF(E592="","",IF(E592&lt;=3,6,IF(E592&lt;=6,5,IF(E592&lt;=9,4,IF(E592&lt;=12,3,IF(E592&lt;=15,2,0))))))</f>
        <v/>
      </c>
      <c r="G592" s="3" t="n"/>
      <c r="H592" s="4">
        <f>IF(I592="Штраф -2",-2,IF(OR(F592="",G592=""),"",F592*G592+IF(J592="",0,J592)))</f>
        <v/>
      </c>
      <c r="I592" s="3" t="n"/>
      <c r="J592" s="3" t="n"/>
      <c r="K592" s="3" t="n"/>
    </row>
    <row r="593">
      <c r="A593" s="3" t="n"/>
      <c r="B593" s="3" t="n"/>
      <c r="C593" s="3" t="n"/>
      <c r="D593" s="3" t="n"/>
      <c r="E593" s="4">
        <f>IF(A593="","",COUNTIFS($A$4:A593,A593,$I$4:I593,"&lt;&gt;Штраф -2",$I$4:I593,"&lt;&gt;ушел на базу"))</f>
        <v/>
      </c>
      <c r="F593" s="4">
        <f>IF(E593="","",IF(E593&lt;=3,6,IF(E593&lt;=6,5,IF(E593&lt;=9,4,IF(E593&lt;=12,3,IF(E593&lt;=15,2,0))))))</f>
        <v/>
      </c>
      <c r="G593" s="3" t="n"/>
      <c r="H593" s="4">
        <f>IF(I593="Штраф -2",-2,IF(OR(F593="",G593=""),"",F593*G593+IF(J593="",0,J593)))</f>
        <v/>
      </c>
      <c r="I593" s="3" t="n"/>
      <c r="J593" s="3" t="n"/>
      <c r="K593" s="3" t="n"/>
    </row>
    <row r="594">
      <c r="A594" s="3" t="n"/>
      <c r="B594" s="3" t="n"/>
      <c r="C594" s="3" t="n"/>
      <c r="D594" s="3" t="n"/>
      <c r="E594" s="4">
        <f>IF(A594="","",COUNTIFS($A$4:A594,A594,$I$4:I594,"&lt;&gt;Штраф -2",$I$4:I594,"&lt;&gt;ушел на базу"))</f>
        <v/>
      </c>
      <c r="F594" s="4">
        <f>IF(E594="","",IF(E594&lt;=3,6,IF(E594&lt;=6,5,IF(E594&lt;=9,4,IF(E594&lt;=12,3,IF(E594&lt;=15,2,0))))))</f>
        <v/>
      </c>
      <c r="G594" s="3" t="n"/>
      <c r="H594" s="4">
        <f>IF(I594="Штраф -2",-2,IF(OR(F594="",G594=""),"",F594*G594+IF(J594="",0,J594)))</f>
        <v/>
      </c>
      <c r="I594" s="3" t="n"/>
      <c r="J594" s="3" t="n"/>
      <c r="K594" s="3" t="n"/>
    </row>
    <row r="595">
      <c r="A595" s="3" t="n"/>
      <c r="B595" s="3" t="n"/>
      <c r="C595" s="3" t="n"/>
      <c r="D595" s="3" t="n"/>
      <c r="E595" s="4">
        <f>IF(A595="","",COUNTIFS($A$4:A595,A595,$I$4:I595,"&lt;&gt;Штраф -2",$I$4:I595,"&lt;&gt;ушел на базу"))</f>
        <v/>
      </c>
      <c r="F595" s="4">
        <f>IF(E595="","",IF(E595&lt;=3,6,IF(E595&lt;=6,5,IF(E595&lt;=9,4,IF(E595&lt;=12,3,IF(E595&lt;=15,2,0))))))</f>
        <v/>
      </c>
      <c r="G595" s="3" t="n"/>
      <c r="H595" s="4">
        <f>IF(I595="Штраф -2",-2,IF(OR(F595="",G595=""),"",F595*G595+IF(J595="",0,J595)))</f>
        <v/>
      </c>
      <c r="I595" s="3" t="n"/>
      <c r="J595" s="3" t="n"/>
      <c r="K595" s="3" t="n"/>
    </row>
    <row r="596">
      <c r="A596" s="3" t="n"/>
      <c r="B596" s="3" t="n"/>
      <c r="C596" s="3" t="n"/>
      <c r="D596" s="3" t="n"/>
      <c r="E596" s="4">
        <f>IF(A596="","",COUNTIFS($A$4:A596,A596,$I$4:I596,"&lt;&gt;Штраф -2",$I$4:I596,"&lt;&gt;ушел на базу"))</f>
        <v/>
      </c>
      <c r="F596" s="4">
        <f>IF(E596="","",IF(E596&lt;=3,6,IF(E596&lt;=6,5,IF(E596&lt;=9,4,IF(E596&lt;=12,3,IF(E596&lt;=15,2,0))))))</f>
        <v/>
      </c>
      <c r="G596" s="3" t="n"/>
      <c r="H596" s="4">
        <f>IF(I596="Штраф -2",-2,IF(OR(F596="",G596=""),"",F596*G596+IF(J596="",0,J596)))</f>
        <v/>
      </c>
      <c r="I596" s="3" t="n"/>
      <c r="J596" s="3" t="n"/>
      <c r="K596" s="3" t="n"/>
    </row>
    <row r="597">
      <c r="A597" s="3" t="n"/>
      <c r="B597" s="3" t="n"/>
      <c r="C597" s="3" t="n"/>
      <c r="D597" s="3" t="n"/>
      <c r="E597" s="4">
        <f>IF(A597="","",COUNTIFS($A$4:A597,A597,$I$4:I597,"&lt;&gt;Штраф -2",$I$4:I597,"&lt;&gt;ушел на базу"))</f>
        <v/>
      </c>
      <c r="F597" s="4">
        <f>IF(E597="","",IF(E597&lt;=3,6,IF(E597&lt;=6,5,IF(E597&lt;=9,4,IF(E597&lt;=12,3,IF(E597&lt;=15,2,0))))))</f>
        <v/>
      </c>
      <c r="G597" s="3" t="n"/>
      <c r="H597" s="4">
        <f>IF(I597="Штраф -2",-2,IF(OR(F597="",G597=""),"",F597*G597+IF(J597="",0,J597)))</f>
        <v/>
      </c>
      <c r="I597" s="3" t="n"/>
      <c r="J597" s="3" t="n"/>
      <c r="K597" s="3" t="n"/>
    </row>
    <row r="598">
      <c r="A598" s="3" t="n"/>
      <c r="B598" s="3" t="n"/>
      <c r="C598" s="3" t="n"/>
      <c r="D598" s="3" t="n"/>
      <c r="E598" s="4">
        <f>IF(A598="","",COUNTIFS($A$4:A598,A598,$I$4:I598,"&lt;&gt;Штраф -2",$I$4:I598,"&lt;&gt;ушел на базу"))</f>
        <v/>
      </c>
      <c r="F598" s="4">
        <f>IF(E598="","",IF(E598&lt;=3,6,IF(E598&lt;=6,5,IF(E598&lt;=9,4,IF(E598&lt;=12,3,IF(E598&lt;=15,2,0))))))</f>
        <v/>
      </c>
      <c r="G598" s="3" t="n"/>
      <c r="H598" s="4">
        <f>IF(I598="Штраф -2",-2,IF(OR(F598="",G598=""),"",F598*G598+IF(J598="",0,J598)))</f>
        <v/>
      </c>
      <c r="I598" s="3" t="n"/>
      <c r="J598" s="3" t="n"/>
      <c r="K598" s="3" t="n"/>
    </row>
    <row r="599">
      <c r="A599" s="3" t="n"/>
      <c r="B599" s="3" t="n"/>
      <c r="C599" s="3" t="n"/>
      <c r="D599" s="3" t="n"/>
      <c r="E599" s="4">
        <f>IF(A599="","",COUNTIFS($A$4:A599,A599,$I$4:I599,"&lt;&gt;Штраф -2",$I$4:I599,"&lt;&gt;ушел на базу"))</f>
        <v/>
      </c>
      <c r="F599" s="4">
        <f>IF(E599="","",IF(E599&lt;=3,6,IF(E599&lt;=6,5,IF(E599&lt;=9,4,IF(E599&lt;=12,3,IF(E599&lt;=15,2,0))))))</f>
        <v/>
      </c>
      <c r="G599" s="3" t="n"/>
      <c r="H599" s="4">
        <f>IF(I599="Штраф -2",-2,IF(OR(F599="",G599=""),"",F599*G599+IF(J599="",0,J599)))</f>
        <v/>
      </c>
      <c r="I599" s="3" t="n"/>
      <c r="J599" s="3" t="n"/>
      <c r="K599" s="3" t="n"/>
    </row>
    <row r="600">
      <c r="A600" s="3" t="n"/>
      <c r="B600" s="3" t="n"/>
      <c r="C600" s="3" t="n"/>
      <c r="D600" s="3" t="n"/>
      <c r="E600" s="4">
        <f>IF(A600="","",COUNTIFS($A$4:A600,A600,$I$4:I600,"&lt;&gt;Штраф -2",$I$4:I600,"&lt;&gt;ушел на базу"))</f>
        <v/>
      </c>
      <c r="F600" s="4">
        <f>IF(E600="","",IF(E600&lt;=3,6,IF(E600&lt;=6,5,IF(E600&lt;=9,4,IF(E600&lt;=12,3,IF(E600&lt;=15,2,0))))))</f>
        <v/>
      </c>
      <c r="G600" s="3" t="n"/>
      <c r="H600" s="4">
        <f>IF(I600="Штраф -2",-2,IF(OR(F600="",G600=""),"",F600*G600+IF(J600="",0,J600)))</f>
        <v/>
      </c>
      <c r="I600" s="3" t="n"/>
      <c r="J600" s="3" t="n"/>
      <c r="K600" s="3" t="n"/>
    </row>
    <row r="601">
      <c r="A601" s="3" t="n"/>
      <c r="B601" s="3" t="n"/>
      <c r="C601" s="3" t="n"/>
      <c r="D601" s="3" t="n"/>
      <c r="E601" s="4">
        <f>IF(A601="","",COUNTIFS($A$4:A601,A601,$I$4:I601,"&lt;&gt;Штраф -2",$I$4:I601,"&lt;&gt;ушел на базу"))</f>
        <v/>
      </c>
      <c r="F601" s="4">
        <f>IF(E601="","",IF(E601&lt;=3,6,IF(E601&lt;=6,5,IF(E601&lt;=9,4,IF(E601&lt;=12,3,IF(E601&lt;=15,2,0))))))</f>
        <v/>
      </c>
      <c r="G601" s="3" t="n"/>
      <c r="H601" s="4">
        <f>IF(I601="Штраф -2",-2,IF(OR(F601="",G601=""),"",F601*G601+IF(J601="",0,J601)))</f>
        <v/>
      </c>
      <c r="I601" s="3" t="n"/>
      <c r="J601" s="3" t="n"/>
      <c r="K601" s="3" t="n"/>
    </row>
    <row r="602">
      <c r="A602" s="3" t="n"/>
      <c r="B602" s="3" t="n"/>
      <c r="C602" s="3" t="n"/>
      <c r="D602" s="3" t="n"/>
      <c r="E602" s="4">
        <f>IF(A602="","",COUNTIFS($A$4:A602,A602,$I$4:I602,"&lt;&gt;Штраф -2",$I$4:I602,"&lt;&gt;ушел на базу"))</f>
        <v/>
      </c>
      <c r="F602" s="4">
        <f>IF(E602="","",IF(E602&lt;=3,6,IF(E602&lt;=6,5,IF(E602&lt;=9,4,IF(E602&lt;=12,3,IF(E602&lt;=15,2,0))))))</f>
        <v/>
      </c>
      <c r="G602" s="3" t="n"/>
      <c r="H602" s="4">
        <f>IF(I602="Штраф -2",-2,IF(OR(F602="",G602=""),"",F602*G602+IF(J602="",0,J602)))</f>
        <v/>
      </c>
      <c r="I602" s="3" t="n"/>
      <c r="J602" s="3" t="n"/>
      <c r="K602" s="3" t="n"/>
    </row>
    <row r="603">
      <c r="A603" s="3" t="n"/>
      <c r="B603" s="3" t="n"/>
      <c r="C603" s="3" t="n"/>
      <c r="D603" s="3" t="n"/>
      <c r="E603" s="4">
        <f>IF(A603="","",COUNTIFS($A$4:A603,A603,$I$4:I603,"&lt;&gt;Штраф -2",$I$4:I603,"&lt;&gt;ушел на базу"))</f>
        <v/>
      </c>
      <c r="F603" s="4">
        <f>IF(E603="","",IF(E603&lt;=3,6,IF(E603&lt;=6,5,IF(E603&lt;=9,4,IF(E603&lt;=12,3,IF(E603&lt;=15,2,0))))))</f>
        <v/>
      </c>
      <c r="G603" s="3" t="n"/>
      <c r="H603" s="4">
        <f>IF(I603="Штраф -2",-2,IF(OR(F603="",G603=""),"",F603*G603+IF(J603="",0,J603)))</f>
        <v/>
      </c>
      <c r="I603" s="3" t="n"/>
      <c r="J603" s="3" t="n"/>
      <c r="K603" s="3" t="n"/>
    </row>
    <row r="604">
      <c r="A604" s="3" t="n"/>
      <c r="B604" s="3" t="n"/>
      <c r="C604" s="3" t="n"/>
      <c r="D604" s="3" t="n"/>
      <c r="E604" s="4">
        <f>IF(A604="","",COUNTIFS($A$4:A604,A604,$I$4:I604,"&lt;&gt;Штраф -2",$I$4:I604,"&lt;&gt;ушел на базу"))</f>
        <v/>
      </c>
      <c r="F604" s="4">
        <f>IF(E604="","",IF(E604&lt;=3,6,IF(E604&lt;=6,5,IF(E604&lt;=9,4,IF(E604&lt;=12,3,IF(E604&lt;=15,2,0))))))</f>
        <v/>
      </c>
      <c r="G604" s="3" t="n"/>
      <c r="H604" s="4">
        <f>IF(I604="Штраф -2",-2,IF(OR(F604="",G604=""),"",F604*G604+IF(J604="",0,J604)))</f>
        <v/>
      </c>
      <c r="I604" s="3" t="n"/>
      <c r="J604" s="3" t="n"/>
      <c r="K604" s="3" t="n"/>
    </row>
    <row r="605">
      <c r="A605" s="3" t="n"/>
      <c r="B605" s="3" t="n"/>
      <c r="C605" s="3" t="n"/>
      <c r="D605" s="3" t="n"/>
      <c r="E605" s="4">
        <f>IF(A605="","",COUNTIFS($A$4:A605,A605,$I$4:I605,"&lt;&gt;Штраф -2",$I$4:I605,"&lt;&gt;ушел на базу"))</f>
        <v/>
      </c>
      <c r="F605" s="4">
        <f>IF(E605="","",IF(E605&lt;=3,6,IF(E605&lt;=6,5,IF(E605&lt;=9,4,IF(E605&lt;=12,3,IF(E605&lt;=15,2,0))))))</f>
        <v/>
      </c>
      <c r="G605" s="3" t="n"/>
      <c r="H605" s="4">
        <f>IF(I605="Штраф -2",-2,IF(OR(F605="",G605=""),"",F605*G605+IF(J605="",0,J605)))</f>
        <v/>
      </c>
      <c r="I605" s="3" t="n"/>
      <c r="J605" s="3" t="n"/>
      <c r="K605" s="3" t="n"/>
    </row>
    <row r="606">
      <c r="A606" s="3" t="n"/>
      <c r="B606" s="3" t="n"/>
      <c r="C606" s="3" t="n"/>
      <c r="D606" s="3" t="n"/>
      <c r="E606" s="4">
        <f>IF(A606="","",COUNTIFS($A$4:A606,A606,$I$4:I606,"&lt;&gt;Штраф -2",$I$4:I606,"&lt;&gt;ушел на базу"))</f>
        <v/>
      </c>
      <c r="F606" s="4">
        <f>IF(E606="","",IF(E606&lt;=3,6,IF(E606&lt;=6,5,IF(E606&lt;=9,4,IF(E606&lt;=12,3,IF(E606&lt;=15,2,0))))))</f>
        <v/>
      </c>
      <c r="G606" s="3" t="n"/>
      <c r="H606" s="4">
        <f>IF(I606="Штраф -2",-2,IF(OR(F606="",G606=""),"",F606*G606+IF(J606="",0,J606)))</f>
        <v/>
      </c>
      <c r="I606" s="3" t="n"/>
      <c r="J606" s="3" t="n"/>
      <c r="K606" s="3" t="n"/>
    </row>
    <row r="607">
      <c r="A607" s="3" t="n"/>
      <c r="B607" s="3" t="n"/>
      <c r="C607" s="3" t="n"/>
      <c r="D607" s="3" t="n"/>
      <c r="E607" s="4">
        <f>IF(A607="","",COUNTIFS($A$4:A607,A607,$I$4:I607,"&lt;&gt;Штраф -2",$I$4:I607,"&lt;&gt;ушел на базу"))</f>
        <v/>
      </c>
      <c r="F607" s="4">
        <f>IF(E607="","",IF(E607&lt;=3,6,IF(E607&lt;=6,5,IF(E607&lt;=9,4,IF(E607&lt;=12,3,IF(E607&lt;=15,2,0))))))</f>
        <v/>
      </c>
      <c r="G607" s="3" t="n"/>
      <c r="H607" s="4">
        <f>IF(I607="Штраф -2",-2,IF(OR(F607="",G607=""),"",F607*G607+IF(J607="",0,J607)))</f>
        <v/>
      </c>
      <c r="I607" s="3" t="n"/>
      <c r="J607" s="3" t="n"/>
      <c r="K607" s="3" t="n"/>
    </row>
    <row r="608">
      <c r="A608" s="3" t="n"/>
      <c r="B608" s="3" t="n"/>
      <c r="C608" s="3" t="n"/>
      <c r="D608" s="3" t="n"/>
      <c r="E608" s="4">
        <f>IF(A608="","",COUNTIFS($A$4:A608,A608,$I$4:I608,"&lt;&gt;Штраф -2",$I$4:I608,"&lt;&gt;ушел на базу"))</f>
        <v/>
      </c>
      <c r="F608" s="4">
        <f>IF(E608="","",IF(E608&lt;=3,6,IF(E608&lt;=6,5,IF(E608&lt;=9,4,IF(E608&lt;=12,3,IF(E608&lt;=15,2,0))))))</f>
        <v/>
      </c>
      <c r="G608" s="3" t="n"/>
      <c r="H608" s="4">
        <f>IF(I608="Штраф -2",-2,IF(OR(F608="",G608=""),"",F608*G608+IF(J608="",0,J608)))</f>
        <v/>
      </c>
      <c r="I608" s="3" t="n"/>
      <c r="J608" s="3" t="n"/>
      <c r="K608" s="3" t="n"/>
    </row>
    <row r="609">
      <c r="A609" s="3" t="n"/>
      <c r="B609" s="3" t="n"/>
      <c r="C609" s="3" t="n"/>
      <c r="D609" s="3" t="n"/>
      <c r="E609" s="4">
        <f>IF(A609="","",COUNTIFS($A$4:A609,A609,$I$4:I609,"&lt;&gt;Штраф -2",$I$4:I609,"&lt;&gt;ушел на базу"))</f>
        <v/>
      </c>
      <c r="F609" s="4">
        <f>IF(E609="","",IF(E609&lt;=3,6,IF(E609&lt;=6,5,IF(E609&lt;=9,4,IF(E609&lt;=12,3,IF(E609&lt;=15,2,0))))))</f>
        <v/>
      </c>
      <c r="G609" s="3" t="n"/>
      <c r="H609" s="4">
        <f>IF(I609="Штраф -2",-2,IF(OR(F609="",G609=""),"",F609*G609+IF(J609="",0,J609)))</f>
        <v/>
      </c>
      <c r="I609" s="3" t="n"/>
      <c r="J609" s="3" t="n"/>
      <c r="K609" s="3" t="n"/>
    </row>
    <row r="610">
      <c r="A610" s="3" t="n"/>
      <c r="B610" s="3" t="n"/>
      <c r="C610" s="3" t="n"/>
      <c r="D610" s="3" t="n"/>
      <c r="E610" s="4">
        <f>IF(A610="","",COUNTIFS($A$4:A610,A610,$I$4:I610,"&lt;&gt;Штраф -2",$I$4:I610,"&lt;&gt;ушел на базу"))</f>
        <v/>
      </c>
      <c r="F610" s="4">
        <f>IF(E610="","",IF(E610&lt;=3,6,IF(E610&lt;=6,5,IF(E610&lt;=9,4,IF(E610&lt;=12,3,IF(E610&lt;=15,2,0))))))</f>
        <v/>
      </c>
      <c r="G610" s="3" t="n"/>
      <c r="H610" s="4">
        <f>IF(I610="Штраф -2",-2,IF(OR(F610="",G610=""),"",F610*G610+IF(J610="",0,J610)))</f>
        <v/>
      </c>
      <c r="I610" s="3" t="n"/>
      <c r="J610" s="3" t="n"/>
      <c r="K610" s="3" t="n"/>
    </row>
    <row r="611">
      <c r="A611" s="3" t="n"/>
      <c r="B611" s="3" t="n"/>
      <c r="C611" s="3" t="n"/>
      <c r="D611" s="3" t="n"/>
      <c r="E611" s="4">
        <f>IF(A611="","",COUNTIFS($A$4:A611,A611,$I$4:I611,"&lt;&gt;Штраф -2",$I$4:I611,"&lt;&gt;ушел на базу"))</f>
        <v/>
      </c>
      <c r="F611" s="4">
        <f>IF(E611="","",IF(E611&lt;=3,6,IF(E611&lt;=6,5,IF(E611&lt;=9,4,IF(E611&lt;=12,3,IF(E611&lt;=15,2,0))))))</f>
        <v/>
      </c>
      <c r="G611" s="3" t="n"/>
      <c r="H611" s="4">
        <f>IF(I611="Штраф -2",-2,IF(OR(F611="",G611=""),"",F611*G611+IF(J611="",0,J611)))</f>
        <v/>
      </c>
      <c r="I611" s="3" t="n"/>
      <c r="J611" s="3" t="n"/>
      <c r="K611" s="3" t="n"/>
    </row>
    <row r="612">
      <c r="A612" s="3" t="n"/>
      <c r="B612" s="3" t="n"/>
      <c r="C612" s="3" t="n"/>
      <c r="D612" s="3" t="n"/>
      <c r="E612" s="4">
        <f>IF(A612="","",COUNTIFS($A$4:A612,A612,$I$4:I612,"&lt;&gt;Штраф -2",$I$4:I612,"&lt;&gt;ушел на базу"))</f>
        <v/>
      </c>
      <c r="F612" s="4">
        <f>IF(E612="","",IF(E612&lt;=3,6,IF(E612&lt;=6,5,IF(E612&lt;=9,4,IF(E612&lt;=12,3,IF(E612&lt;=15,2,0))))))</f>
        <v/>
      </c>
      <c r="G612" s="3" t="n"/>
      <c r="H612" s="4">
        <f>IF(I612="Штраф -2",-2,IF(OR(F612="",G612=""),"",F612*G612+IF(J612="",0,J612)))</f>
        <v/>
      </c>
      <c r="I612" s="3" t="n"/>
      <c r="J612" s="3" t="n"/>
      <c r="K612" s="3" t="n"/>
    </row>
    <row r="613">
      <c r="A613" s="3" t="n"/>
      <c r="B613" s="3" t="n"/>
      <c r="C613" s="3" t="n"/>
      <c r="D613" s="3" t="n"/>
      <c r="E613" s="4">
        <f>IF(A613="","",COUNTIFS($A$4:A613,A613,$I$4:I613,"&lt;&gt;Штраф -2",$I$4:I613,"&lt;&gt;ушел на базу"))</f>
        <v/>
      </c>
      <c r="F613" s="4">
        <f>IF(E613="","",IF(E613&lt;=3,6,IF(E613&lt;=6,5,IF(E613&lt;=9,4,IF(E613&lt;=12,3,IF(E613&lt;=15,2,0))))))</f>
        <v/>
      </c>
      <c r="G613" s="3" t="n"/>
      <c r="H613" s="4">
        <f>IF(I613="Штраф -2",-2,IF(OR(F613="",G613=""),"",F613*G613+IF(J613="",0,J613)))</f>
        <v/>
      </c>
      <c r="I613" s="3" t="n"/>
      <c r="J613" s="3" t="n"/>
      <c r="K613" s="3" t="n"/>
    </row>
    <row r="614">
      <c r="A614" s="3" t="n"/>
      <c r="B614" s="3" t="n"/>
      <c r="C614" s="3" t="n"/>
      <c r="D614" s="3" t="n"/>
      <c r="E614" s="4">
        <f>IF(A614="","",COUNTIFS($A$4:A614,A614,$I$4:I614,"&lt;&gt;Штраф -2",$I$4:I614,"&lt;&gt;ушел на базу"))</f>
        <v/>
      </c>
      <c r="F614" s="4">
        <f>IF(E614="","",IF(E614&lt;=3,6,IF(E614&lt;=6,5,IF(E614&lt;=9,4,IF(E614&lt;=12,3,IF(E614&lt;=15,2,0))))))</f>
        <v/>
      </c>
      <c r="G614" s="3" t="n"/>
      <c r="H614" s="4">
        <f>IF(I614="Штраф -2",-2,IF(OR(F614="",G614=""),"",F614*G614+IF(J614="",0,J614)))</f>
        <v/>
      </c>
      <c r="I614" s="3" t="n"/>
      <c r="J614" s="3" t="n"/>
      <c r="K614" s="3" t="n"/>
    </row>
    <row r="615">
      <c r="A615" s="3" t="n"/>
      <c r="B615" s="3" t="n"/>
      <c r="C615" s="3" t="n"/>
      <c r="D615" s="3" t="n"/>
      <c r="E615" s="4">
        <f>IF(A615="","",COUNTIFS($A$4:A615,A615,$I$4:I615,"&lt;&gt;Штраф -2",$I$4:I615,"&lt;&gt;ушел на базу"))</f>
        <v/>
      </c>
      <c r="F615" s="4">
        <f>IF(E615="","",IF(E615&lt;=3,6,IF(E615&lt;=6,5,IF(E615&lt;=9,4,IF(E615&lt;=12,3,IF(E615&lt;=15,2,0))))))</f>
        <v/>
      </c>
      <c r="G615" s="3" t="n"/>
      <c r="H615" s="4">
        <f>IF(I615="Штраф -2",-2,IF(OR(F615="",G615=""),"",F615*G615+IF(J615="",0,J615)))</f>
        <v/>
      </c>
      <c r="I615" s="3" t="n"/>
      <c r="J615" s="3" t="n"/>
      <c r="K615" s="3" t="n"/>
    </row>
    <row r="616">
      <c r="A616" s="3" t="n"/>
      <c r="B616" s="3" t="n"/>
      <c r="C616" s="3" t="n"/>
      <c r="D616" s="3" t="n"/>
      <c r="E616" s="4">
        <f>IF(A616="","",COUNTIFS($A$4:A616,A616,$I$4:I616,"&lt;&gt;Штраф -2",$I$4:I616,"&lt;&gt;ушел на базу"))</f>
        <v/>
      </c>
      <c r="F616" s="4">
        <f>IF(E616="","",IF(E616&lt;=3,6,IF(E616&lt;=6,5,IF(E616&lt;=9,4,IF(E616&lt;=12,3,IF(E616&lt;=15,2,0))))))</f>
        <v/>
      </c>
      <c r="G616" s="3" t="n"/>
      <c r="H616" s="4">
        <f>IF(I616="Штраф -2",-2,IF(OR(F616="",G616=""),"",F616*G616+IF(J616="",0,J616)))</f>
        <v/>
      </c>
      <c r="I616" s="3" t="n"/>
      <c r="J616" s="3" t="n"/>
      <c r="K616" s="3" t="n"/>
    </row>
    <row r="617">
      <c r="A617" s="3" t="n"/>
      <c r="B617" s="3" t="n"/>
      <c r="C617" s="3" t="n"/>
      <c r="D617" s="3" t="n"/>
      <c r="E617" s="4">
        <f>IF(A617="","",COUNTIFS($A$4:A617,A617,$I$4:I617,"&lt;&gt;Штраф -2",$I$4:I617,"&lt;&gt;ушел на базу"))</f>
        <v/>
      </c>
      <c r="F617" s="4">
        <f>IF(E617="","",IF(E617&lt;=3,6,IF(E617&lt;=6,5,IF(E617&lt;=9,4,IF(E617&lt;=12,3,IF(E617&lt;=15,2,0))))))</f>
        <v/>
      </c>
      <c r="G617" s="3" t="n"/>
      <c r="H617" s="4">
        <f>IF(I617="Штраф -2",-2,IF(OR(F617="",G617=""),"",F617*G617+IF(J617="",0,J617)))</f>
        <v/>
      </c>
      <c r="I617" s="3" t="n"/>
      <c r="J617" s="3" t="n"/>
      <c r="K617" s="3" t="n"/>
    </row>
    <row r="618">
      <c r="A618" s="3" t="n"/>
      <c r="B618" s="3" t="n"/>
      <c r="C618" s="3" t="n"/>
      <c r="D618" s="3" t="n"/>
      <c r="E618" s="4">
        <f>IF(A618="","",COUNTIFS($A$4:A618,A618,$I$4:I618,"&lt;&gt;Штраф -2",$I$4:I618,"&lt;&gt;ушел на базу"))</f>
        <v/>
      </c>
      <c r="F618" s="4">
        <f>IF(E618="","",IF(E618&lt;=3,6,IF(E618&lt;=6,5,IF(E618&lt;=9,4,IF(E618&lt;=12,3,IF(E618&lt;=15,2,0))))))</f>
        <v/>
      </c>
      <c r="G618" s="3" t="n"/>
      <c r="H618" s="4">
        <f>IF(I618="Штраф -2",-2,IF(OR(F618="",G618=""),"",F618*G618+IF(J618="",0,J618)))</f>
        <v/>
      </c>
      <c r="I618" s="3" t="n"/>
      <c r="J618" s="3" t="n"/>
      <c r="K618" s="3" t="n"/>
    </row>
    <row r="619">
      <c r="A619" s="3" t="n"/>
      <c r="B619" s="3" t="n"/>
      <c r="C619" s="3" t="n"/>
      <c r="D619" s="3" t="n"/>
      <c r="E619" s="4">
        <f>IF(A619="","",COUNTIFS($A$4:A619,A619,$I$4:I619,"&lt;&gt;Штраф -2",$I$4:I619,"&lt;&gt;ушел на базу"))</f>
        <v/>
      </c>
      <c r="F619" s="4">
        <f>IF(E619="","",IF(E619&lt;=3,6,IF(E619&lt;=6,5,IF(E619&lt;=9,4,IF(E619&lt;=12,3,IF(E619&lt;=15,2,0))))))</f>
        <v/>
      </c>
      <c r="G619" s="3" t="n"/>
      <c r="H619" s="4">
        <f>IF(I619="Штраф -2",-2,IF(OR(F619="",G619=""),"",F619*G619+IF(J619="",0,J619)))</f>
        <v/>
      </c>
      <c r="I619" s="3" t="n"/>
      <c r="J619" s="3" t="n"/>
      <c r="K619" s="3" t="n"/>
    </row>
    <row r="620">
      <c r="A620" s="3" t="n"/>
      <c r="B620" s="3" t="n"/>
      <c r="C620" s="3" t="n"/>
      <c r="D620" s="3" t="n"/>
      <c r="E620" s="4">
        <f>IF(A620="","",COUNTIFS($A$4:A620,A620,$I$4:I620,"&lt;&gt;Штраф -2",$I$4:I620,"&lt;&gt;ушел на базу"))</f>
        <v/>
      </c>
      <c r="F620" s="4">
        <f>IF(E620="","",IF(E620&lt;=3,6,IF(E620&lt;=6,5,IF(E620&lt;=9,4,IF(E620&lt;=12,3,IF(E620&lt;=15,2,0))))))</f>
        <v/>
      </c>
      <c r="G620" s="3" t="n"/>
      <c r="H620" s="4">
        <f>IF(I620="Штраф -2",-2,IF(OR(F620="",G620=""),"",F620*G620+IF(J620="",0,J620)))</f>
        <v/>
      </c>
      <c r="I620" s="3" t="n"/>
      <c r="J620" s="3" t="n"/>
      <c r="K620" s="3" t="n"/>
    </row>
    <row r="621">
      <c r="A621" s="3" t="n"/>
      <c r="B621" s="3" t="n"/>
      <c r="C621" s="3" t="n"/>
      <c r="D621" s="3" t="n"/>
      <c r="E621" s="4">
        <f>IF(A621="","",COUNTIFS($A$4:A621,A621,$I$4:I621,"&lt;&gt;Штраф -2",$I$4:I621,"&lt;&gt;ушел на базу"))</f>
        <v/>
      </c>
      <c r="F621" s="4">
        <f>IF(E621="","",IF(E621&lt;=3,6,IF(E621&lt;=6,5,IF(E621&lt;=9,4,IF(E621&lt;=12,3,IF(E621&lt;=15,2,0))))))</f>
        <v/>
      </c>
      <c r="G621" s="3" t="n"/>
      <c r="H621" s="4">
        <f>IF(I621="Штраф -2",-2,IF(OR(F621="",G621=""),"",F621*G621+IF(J621="",0,J621)))</f>
        <v/>
      </c>
      <c r="I621" s="3" t="n"/>
      <c r="J621" s="3" t="n"/>
      <c r="K621" s="3" t="n"/>
    </row>
    <row r="622">
      <c r="A622" s="3" t="n"/>
      <c r="B622" s="3" t="n"/>
      <c r="C622" s="3" t="n"/>
      <c r="D622" s="3" t="n"/>
      <c r="E622" s="4">
        <f>IF(A622="","",COUNTIFS($A$4:A622,A622,$I$4:I622,"&lt;&gt;Штраф -2",$I$4:I622,"&lt;&gt;ушел на базу"))</f>
        <v/>
      </c>
      <c r="F622" s="4">
        <f>IF(E622="","",IF(E622&lt;=3,6,IF(E622&lt;=6,5,IF(E622&lt;=9,4,IF(E622&lt;=12,3,IF(E622&lt;=15,2,0))))))</f>
        <v/>
      </c>
      <c r="G622" s="3" t="n"/>
      <c r="H622" s="4">
        <f>IF(I622="Штраф -2",-2,IF(OR(F622="",G622=""),"",F622*G622+IF(J622="",0,J622)))</f>
        <v/>
      </c>
      <c r="I622" s="3" t="n"/>
      <c r="J622" s="3" t="n"/>
      <c r="K622" s="3" t="n"/>
    </row>
    <row r="623">
      <c r="A623" s="3" t="n"/>
      <c r="B623" s="3" t="n"/>
      <c r="C623" s="3" t="n"/>
      <c r="D623" s="3" t="n"/>
      <c r="E623" s="4">
        <f>IF(A623="","",COUNTIFS($A$4:A623,A623,$I$4:I623,"&lt;&gt;Штраф -2",$I$4:I623,"&lt;&gt;ушел на базу"))</f>
        <v/>
      </c>
      <c r="F623" s="4">
        <f>IF(E623="","",IF(E623&lt;=3,6,IF(E623&lt;=6,5,IF(E623&lt;=9,4,IF(E623&lt;=12,3,IF(E623&lt;=15,2,0))))))</f>
        <v/>
      </c>
      <c r="G623" s="3" t="n"/>
      <c r="H623" s="4">
        <f>IF(I623="Штраф -2",-2,IF(OR(F623="",G623=""),"",F623*G623+IF(J623="",0,J623)))</f>
        <v/>
      </c>
      <c r="I623" s="3" t="n"/>
      <c r="J623" s="3" t="n"/>
      <c r="K623" s="3" t="n"/>
    </row>
    <row r="624">
      <c r="A624" s="3" t="n"/>
      <c r="B624" s="3" t="n"/>
      <c r="C624" s="3" t="n"/>
      <c r="D624" s="3" t="n"/>
      <c r="E624" s="4">
        <f>IF(A624="","",COUNTIFS($A$4:A624,A624,$I$4:I624,"&lt;&gt;Штраф -2",$I$4:I624,"&lt;&gt;ушел на базу"))</f>
        <v/>
      </c>
      <c r="F624" s="4">
        <f>IF(E624="","",IF(E624&lt;=3,6,IF(E624&lt;=6,5,IF(E624&lt;=9,4,IF(E624&lt;=12,3,IF(E624&lt;=15,2,0))))))</f>
        <v/>
      </c>
      <c r="G624" s="3" t="n"/>
      <c r="H624" s="4">
        <f>IF(I624="Штраф -2",-2,IF(OR(F624="",G624=""),"",F624*G624+IF(J624="",0,J624)))</f>
        <v/>
      </c>
      <c r="I624" s="3" t="n"/>
      <c r="J624" s="3" t="n"/>
      <c r="K624" s="3" t="n"/>
    </row>
    <row r="625">
      <c r="A625" s="3" t="n"/>
      <c r="B625" s="3" t="n"/>
      <c r="C625" s="3" t="n"/>
      <c r="D625" s="3" t="n"/>
      <c r="E625" s="4">
        <f>IF(A625="","",COUNTIFS($A$4:A625,A625,$I$4:I625,"&lt;&gt;Штраф -2",$I$4:I625,"&lt;&gt;ушел на базу"))</f>
        <v/>
      </c>
      <c r="F625" s="4">
        <f>IF(E625="","",IF(E625&lt;=3,6,IF(E625&lt;=6,5,IF(E625&lt;=9,4,IF(E625&lt;=12,3,IF(E625&lt;=15,2,0))))))</f>
        <v/>
      </c>
      <c r="G625" s="3" t="n"/>
      <c r="H625" s="4">
        <f>IF(I625="Штраф -2",-2,IF(OR(F625="",G625=""),"",F625*G625+IF(J625="",0,J625)))</f>
        <v/>
      </c>
      <c r="I625" s="3" t="n"/>
      <c r="J625" s="3" t="n"/>
      <c r="K625" s="3" t="n"/>
    </row>
    <row r="626">
      <c r="A626" s="3" t="n"/>
      <c r="B626" s="3" t="n"/>
      <c r="C626" s="3" t="n"/>
      <c r="D626" s="3" t="n"/>
      <c r="E626" s="4">
        <f>IF(A626="","",COUNTIFS($A$4:A626,A626,$I$4:I626,"&lt;&gt;Штраф -2",$I$4:I626,"&lt;&gt;ушел на базу"))</f>
        <v/>
      </c>
      <c r="F626" s="4">
        <f>IF(E626="","",IF(E626&lt;=3,6,IF(E626&lt;=6,5,IF(E626&lt;=9,4,IF(E626&lt;=12,3,IF(E626&lt;=15,2,0))))))</f>
        <v/>
      </c>
      <c r="G626" s="3" t="n"/>
      <c r="H626" s="4">
        <f>IF(I626="Штраф -2",-2,IF(OR(F626="",G626=""),"",F626*G626+IF(J626="",0,J626)))</f>
        <v/>
      </c>
      <c r="I626" s="3" t="n"/>
      <c r="J626" s="3" t="n"/>
      <c r="K626" s="3" t="n"/>
    </row>
    <row r="627">
      <c r="A627" s="3" t="n"/>
      <c r="B627" s="3" t="n"/>
      <c r="C627" s="3" t="n"/>
      <c r="D627" s="3" t="n"/>
      <c r="E627" s="4">
        <f>IF(A627="","",COUNTIFS($A$4:A627,A627,$I$4:I627,"&lt;&gt;Штраф -2",$I$4:I627,"&lt;&gt;ушел на базу"))</f>
        <v/>
      </c>
      <c r="F627" s="4">
        <f>IF(E627="","",IF(E627&lt;=3,6,IF(E627&lt;=6,5,IF(E627&lt;=9,4,IF(E627&lt;=12,3,IF(E627&lt;=15,2,0))))))</f>
        <v/>
      </c>
      <c r="G627" s="3" t="n"/>
      <c r="H627" s="4">
        <f>IF(I627="Штраф -2",-2,IF(OR(F627="",G627=""),"",F627*G627+IF(J627="",0,J627)))</f>
        <v/>
      </c>
      <c r="I627" s="3" t="n"/>
      <c r="J627" s="3" t="n"/>
      <c r="K627" s="3" t="n"/>
    </row>
    <row r="628">
      <c r="A628" s="3" t="n"/>
      <c r="B628" s="3" t="n"/>
      <c r="C628" s="3" t="n"/>
      <c r="D628" s="3" t="n"/>
      <c r="E628" s="4">
        <f>IF(A628="","",COUNTIFS($A$4:A628,A628,$I$4:I628,"&lt;&gt;Штраф -2",$I$4:I628,"&lt;&gt;ушел на базу"))</f>
        <v/>
      </c>
      <c r="F628" s="4">
        <f>IF(E628="","",IF(E628&lt;=3,6,IF(E628&lt;=6,5,IF(E628&lt;=9,4,IF(E628&lt;=12,3,IF(E628&lt;=15,2,0))))))</f>
        <v/>
      </c>
      <c r="G628" s="3" t="n"/>
      <c r="H628" s="4">
        <f>IF(I628="Штраф -2",-2,IF(OR(F628="",G628=""),"",F628*G628+IF(J628="",0,J628)))</f>
        <v/>
      </c>
      <c r="I628" s="3" t="n"/>
      <c r="J628" s="3" t="n"/>
      <c r="K628" s="3" t="n"/>
    </row>
    <row r="629">
      <c r="A629" s="3" t="n"/>
      <c r="B629" s="3" t="n"/>
      <c r="C629" s="3" t="n"/>
      <c r="D629" s="3" t="n"/>
      <c r="E629" s="4">
        <f>IF(A629="","",COUNTIFS($A$4:A629,A629,$I$4:I629,"&lt;&gt;Штраф -2",$I$4:I629,"&lt;&gt;ушел на базу"))</f>
        <v/>
      </c>
      <c r="F629" s="4">
        <f>IF(E629="","",IF(E629&lt;=3,6,IF(E629&lt;=6,5,IF(E629&lt;=9,4,IF(E629&lt;=12,3,IF(E629&lt;=15,2,0))))))</f>
        <v/>
      </c>
      <c r="G629" s="3" t="n"/>
      <c r="H629" s="4">
        <f>IF(I629="Штраф -2",-2,IF(OR(F629="",G629=""),"",F629*G629+IF(J629="",0,J629)))</f>
        <v/>
      </c>
      <c r="I629" s="3" t="n"/>
      <c r="J629" s="3" t="n"/>
      <c r="K629" s="3" t="n"/>
    </row>
    <row r="630">
      <c r="A630" s="3" t="n"/>
      <c r="B630" s="3" t="n"/>
      <c r="C630" s="3" t="n"/>
      <c r="D630" s="3" t="n"/>
      <c r="E630" s="4">
        <f>IF(A630="","",COUNTIFS($A$4:A630,A630,$I$4:I630,"&lt;&gt;Штраф -2",$I$4:I630,"&lt;&gt;ушел на базу"))</f>
        <v/>
      </c>
      <c r="F630" s="4">
        <f>IF(E630="","",IF(E630&lt;=3,6,IF(E630&lt;=6,5,IF(E630&lt;=9,4,IF(E630&lt;=12,3,IF(E630&lt;=15,2,0))))))</f>
        <v/>
      </c>
      <c r="G630" s="3" t="n"/>
      <c r="H630" s="4">
        <f>IF(I630="Штраф -2",-2,IF(OR(F630="",G630=""),"",F630*G630+IF(J630="",0,J630)))</f>
        <v/>
      </c>
      <c r="I630" s="3" t="n"/>
      <c r="J630" s="3" t="n"/>
      <c r="K630" s="3" t="n"/>
    </row>
    <row r="631">
      <c r="A631" s="3" t="n"/>
      <c r="B631" s="3" t="n"/>
      <c r="C631" s="3" t="n"/>
      <c r="D631" s="3" t="n"/>
      <c r="E631" s="4">
        <f>IF(A631="","",COUNTIFS($A$4:A631,A631,$I$4:I631,"&lt;&gt;Штраф -2",$I$4:I631,"&lt;&gt;ушел на базу"))</f>
        <v/>
      </c>
      <c r="F631" s="4">
        <f>IF(E631="","",IF(E631&lt;=3,6,IF(E631&lt;=6,5,IF(E631&lt;=9,4,IF(E631&lt;=12,3,IF(E631&lt;=15,2,0))))))</f>
        <v/>
      </c>
      <c r="G631" s="3" t="n"/>
      <c r="H631" s="4">
        <f>IF(I631="Штраф -2",-2,IF(OR(F631="",G631=""),"",F631*G631+IF(J631="",0,J631)))</f>
        <v/>
      </c>
      <c r="I631" s="3" t="n"/>
      <c r="J631" s="3" t="n"/>
      <c r="K631" s="3" t="n"/>
    </row>
    <row r="632">
      <c r="A632" s="3" t="n"/>
      <c r="B632" s="3" t="n"/>
      <c r="C632" s="3" t="n"/>
      <c r="D632" s="3" t="n"/>
      <c r="E632" s="4">
        <f>IF(A632="","",COUNTIFS($A$4:A632,A632,$I$4:I632,"&lt;&gt;Штраф -2",$I$4:I632,"&lt;&gt;ушел на базу"))</f>
        <v/>
      </c>
      <c r="F632" s="4">
        <f>IF(E632="","",IF(E632&lt;=3,6,IF(E632&lt;=6,5,IF(E632&lt;=9,4,IF(E632&lt;=12,3,IF(E632&lt;=15,2,0))))))</f>
        <v/>
      </c>
      <c r="G632" s="3" t="n"/>
      <c r="H632" s="4">
        <f>IF(I632="Штраф -2",-2,IF(OR(F632="",G632=""),"",F632*G632+IF(J632="",0,J632)))</f>
        <v/>
      </c>
      <c r="I632" s="3" t="n"/>
      <c r="J632" s="3" t="n"/>
      <c r="K632" s="3" t="n"/>
    </row>
    <row r="633">
      <c r="A633" s="3" t="n"/>
      <c r="B633" s="3" t="n"/>
      <c r="C633" s="3" t="n"/>
      <c r="D633" s="3" t="n"/>
      <c r="E633" s="4">
        <f>IF(A633="","",COUNTIFS($A$4:A633,A633,$I$4:I633,"&lt;&gt;Штраф -2",$I$4:I633,"&lt;&gt;ушел на базу"))</f>
        <v/>
      </c>
      <c r="F633" s="4">
        <f>IF(E633="","",IF(E633&lt;=3,6,IF(E633&lt;=6,5,IF(E633&lt;=9,4,IF(E633&lt;=12,3,IF(E633&lt;=15,2,0))))))</f>
        <v/>
      </c>
      <c r="G633" s="3" t="n"/>
      <c r="H633" s="4">
        <f>IF(I633="Штраф -2",-2,IF(OR(F633="",G633=""),"",F633*G633+IF(J633="",0,J633)))</f>
        <v/>
      </c>
      <c r="I633" s="3" t="n"/>
      <c r="J633" s="3" t="n"/>
      <c r="K633" s="3" t="n"/>
    </row>
    <row r="634">
      <c r="A634" s="3" t="n"/>
      <c r="B634" s="3" t="n"/>
      <c r="C634" s="3" t="n"/>
      <c r="D634" s="3" t="n"/>
      <c r="E634" s="4">
        <f>IF(A634="","",COUNTIFS($A$4:A634,A634,$I$4:I634,"&lt;&gt;Штраф -2",$I$4:I634,"&lt;&gt;ушел на базу"))</f>
        <v/>
      </c>
      <c r="F634" s="4">
        <f>IF(E634="","",IF(E634&lt;=3,6,IF(E634&lt;=6,5,IF(E634&lt;=9,4,IF(E634&lt;=12,3,IF(E634&lt;=15,2,0))))))</f>
        <v/>
      </c>
      <c r="G634" s="3" t="n"/>
      <c r="H634" s="4">
        <f>IF(I634="Штраф -2",-2,IF(OR(F634="",G634=""),"",F634*G634+IF(J634="",0,J634)))</f>
        <v/>
      </c>
      <c r="I634" s="3" t="n"/>
      <c r="J634" s="3" t="n"/>
      <c r="K634" s="3" t="n"/>
    </row>
    <row r="635">
      <c r="A635" s="3" t="n"/>
      <c r="B635" s="3" t="n"/>
      <c r="C635" s="3" t="n"/>
      <c r="D635" s="3" t="n"/>
      <c r="E635" s="4">
        <f>IF(A635="","",COUNTIFS($A$4:A635,A635,$I$4:I635,"&lt;&gt;Штраф -2",$I$4:I635,"&lt;&gt;ушел на базу"))</f>
        <v/>
      </c>
      <c r="F635" s="4">
        <f>IF(E635="","",IF(E635&lt;=3,6,IF(E635&lt;=6,5,IF(E635&lt;=9,4,IF(E635&lt;=12,3,IF(E635&lt;=15,2,0))))))</f>
        <v/>
      </c>
      <c r="G635" s="3" t="n"/>
      <c r="H635" s="4">
        <f>IF(I635="Штраф -2",-2,IF(OR(F635="",G635=""),"",F635*G635+IF(J635="",0,J635)))</f>
        <v/>
      </c>
      <c r="I635" s="3" t="n"/>
      <c r="J635" s="3" t="n"/>
      <c r="K635" s="3" t="n"/>
    </row>
    <row r="636">
      <c r="A636" s="3" t="n"/>
      <c r="B636" s="3" t="n"/>
      <c r="C636" s="3" t="n"/>
      <c r="D636" s="3" t="n"/>
      <c r="E636" s="4">
        <f>IF(A636="","",COUNTIFS($A$4:A636,A636,$I$4:I636,"&lt;&gt;Штраф -2",$I$4:I636,"&lt;&gt;ушел на базу"))</f>
        <v/>
      </c>
      <c r="F636" s="4">
        <f>IF(E636="","",IF(E636&lt;=3,6,IF(E636&lt;=6,5,IF(E636&lt;=9,4,IF(E636&lt;=12,3,IF(E636&lt;=15,2,0))))))</f>
        <v/>
      </c>
      <c r="G636" s="3" t="n"/>
      <c r="H636" s="4">
        <f>IF(I636="Штраф -2",-2,IF(OR(F636="",G636=""),"",F636*G636+IF(J636="",0,J636)))</f>
        <v/>
      </c>
      <c r="I636" s="3" t="n"/>
      <c r="J636" s="3" t="n"/>
      <c r="K636" s="3" t="n"/>
    </row>
    <row r="637">
      <c r="A637" s="3" t="n"/>
      <c r="B637" s="3" t="n"/>
      <c r="C637" s="3" t="n"/>
      <c r="D637" s="3" t="n"/>
      <c r="E637" s="4">
        <f>IF(A637="","",COUNTIFS($A$4:A637,A637,$I$4:I637,"&lt;&gt;Штраф -2",$I$4:I637,"&lt;&gt;ушел на базу"))</f>
        <v/>
      </c>
      <c r="F637" s="4">
        <f>IF(E637="","",IF(E637&lt;=3,6,IF(E637&lt;=6,5,IF(E637&lt;=9,4,IF(E637&lt;=12,3,IF(E637&lt;=15,2,0))))))</f>
        <v/>
      </c>
      <c r="G637" s="3" t="n"/>
      <c r="H637" s="4">
        <f>IF(I637="Штраф -2",-2,IF(OR(F637="",G637=""),"",F637*G637+IF(J637="",0,J637)))</f>
        <v/>
      </c>
      <c r="I637" s="3" t="n"/>
      <c r="J637" s="3" t="n"/>
      <c r="K637" s="3" t="n"/>
    </row>
    <row r="638">
      <c r="A638" s="3" t="n"/>
      <c r="B638" s="3" t="n"/>
      <c r="C638" s="3" t="n"/>
      <c r="D638" s="3" t="n"/>
      <c r="E638" s="4">
        <f>IF(A638="","",COUNTIFS($A$4:A638,A638,$I$4:I638,"&lt;&gt;Штраф -2",$I$4:I638,"&lt;&gt;ушел на базу"))</f>
        <v/>
      </c>
      <c r="F638" s="4">
        <f>IF(E638="","",IF(E638&lt;=3,6,IF(E638&lt;=6,5,IF(E638&lt;=9,4,IF(E638&lt;=12,3,IF(E638&lt;=15,2,0))))))</f>
        <v/>
      </c>
      <c r="G638" s="3" t="n"/>
      <c r="H638" s="4">
        <f>IF(I638="Штраф -2",-2,IF(OR(F638="",G638=""),"",F638*G638+IF(J638="",0,J638)))</f>
        <v/>
      </c>
      <c r="I638" s="3" t="n"/>
      <c r="J638" s="3" t="n"/>
      <c r="K638" s="3" t="n"/>
    </row>
    <row r="639">
      <c r="A639" s="3" t="n"/>
      <c r="B639" s="3" t="n"/>
      <c r="C639" s="3" t="n"/>
      <c r="D639" s="3" t="n"/>
      <c r="E639" s="4">
        <f>IF(A639="","",COUNTIFS($A$4:A639,A639,$I$4:I639,"&lt;&gt;Штраф -2",$I$4:I639,"&lt;&gt;ушел на базу"))</f>
        <v/>
      </c>
      <c r="F639" s="4">
        <f>IF(E639="","",IF(E639&lt;=3,6,IF(E639&lt;=6,5,IF(E639&lt;=9,4,IF(E639&lt;=12,3,IF(E639&lt;=15,2,0))))))</f>
        <v/>
      </c>
      <c r="G639" s="3" t="n"/>
      <c r="H639" s="4">
        <f>IF(I639="Штраф -2",-2,IF(OR(F639="",G639=""),"",F639*G639+IF(J639="",0,J639)))</f>
        <v/>
      </c>
      <c r="I639" s="3" t="n"/>
      <c r="J639" s="3" t="n"/>
      <c r="K639" s="3" t="n"/>
    </row>
    <row r="640">
      <c r="A640" s="3" t="n"/>
      <c r="B640" s="3" t="n"/>
      <c r="C640" s="3" t="n"/>
      <c r="D640" s="3" t="n"/>
      <c r="E640" s="4">
        <f>IF(A640="","",COUNTIFS($A$4:A640,A640,$I$4:I640,"&lt;&gt;Штраф -2",$I$4:I640,"&lt;&gt;ушел на базу"))</f>
        <v/>
      </c>
      <c r="F640" s="4">
        <f>IF(E640="","",IF(E640&lt;=3,6,IF(E640&lt;=6,5,IF(E640&lt;=9,4,IF(E640&lt;=12,3,IF(E640&lt;=15,2,0))))))</f>
        <v/>
      </c>
      <c r="G640" s="3" t="n"/>
      <c r="H640" s="4">
        <f>IF(I640="Штраф -2",-2,IF(OR(F640="",G640=""),"",F640*G640+IF(J640="",0,J640)))</f>
        <v/>
      </c>
      <c r="I640" s="3" t="n"/>
      <c r="J640" s="3" t="n"/>
      <c r="K640" s="3" t="n"/>
    </row>
    <row r="641">
      <c r="A641" s="3" t="n"/>
      <c r="B641" s="3" t="n"/>
      <c r="C641" s="3" t="n"/>
      <c r="D641" s="3" t="n"/>
      <c r="E641" s="4">
        <f>IF(A641="","",COUNTIFS($A$4:A641,A641,$I$4:I641,"&lt;&gt;Штраф -2",$I$4:I641,"&lt;&gt;ушел на базу"))</f>
        <v/>
      </c>
      <c r="F641" s="4">
        <f>IF(E641="","",IF(E641&lt;=3,6,IF(E641&lt;=6,5,IF(E641&lt;=9,4,IF(E641&lt;=12,3,IF(E641&lt;=15,2,0))))))</f>
        <v/>
      </c>
      <c r="G641" s="3" t="n"/>
      <c r="H641" s="4">
        <f>IF(I641="Штраф -2",-2,IF(OR(F641="",G641=""),"",F641*G641+IF(J641="",0,J641)))</f>
        <v/>
      </c>
      <c r="I641" s="3" t="n"/>
      <c r="J641" s="3" t="n"/>
      <c r="K641" s="3" t="n"/>
    </row>
    <row r="642">
      <c r="A642" s="3" t="n"/>
      <c r="B642" s="3" t="n"/>
      <c r="C642" s="3" t="n"/>
      <c r="D642" s="3" t="n"/>
      <c r="E642" s="4">
        <f>IF(A642="","",COUNTIFS($A$4:A642,A642,$I$4:I642,"&lt;&gt;Штраф -2",$I$4:I642,"&lt;&gt;ушел на базу"))</f>
        <v/>
      </c>
      <c r="F642" s="4">
        <f>IF(E642="","",IF(E642&lt;=3,6,IF(E642&lt;=6,5,IF(E642&lt;=9,4,IF(E642&lt;=12,3,IF(E642&lt;=15,2,0))))))</f>
        <v/>
      </c>
      <c r="G642" s="3" t="n"/>
      <c r="H642" s="4">
        <f>IF(I642="Штраф -2",-2,IF(OR(F642="",G642=""),"",F642*G642+IF(J642="",0,J642)))</f>
        <v/>
      </c>
      <c r="I642" s="3" t="n"/>
      <c r="J642" s="3" t="n"/>
      <c r="K642" s="3" t="n"/>
    </row>
    <row r="643">
      <c r="A643" s="3" t="n"/>
      <c r="B643" s="3" t="n"/>
      <c r="C643" s="3" t="n"/>
      <c r="D643" s="3" t="n"/>
      <c r="E643" s="4">
        <f>IF(A643="","",COUNTIFS($A$4:A643,A643,$I$4:I643,"&lt;&gt;Штраф -2",$I$4:I643,"&lt;&gt;ушел на базу"))</f>
        <v/>
      </c>
      <c r="F643" s="4">
        <f>IF(E643="","",IF(E643&lt;=3,6,IF(E643&lt;=6,5,IF(E643&lt;=9,4,IF(E643&lt;=12,3,IF(E643&lt;=15,2,0))))))</f>
        <v/>
      </c>
      <c r="G643" s="3" t="n"/>
      <c r="H643" s="4">
        <f>IF(I643="Штраф -2",-2,IF(OR(F643="",G643=""),"",F643*G643+IF(J643="",0,J643)))</f>
        <v/>
      </c>
      <c r="I643" s="3" t="n"/>
      <c r="J643" s="3" t="n"/>
      <c r="K643" s="3" t="n"/>
    </row>
    <row r="644">
      <c r="A644" s="3" t="n"/>
      <c r="B644" s="3" t="n"/>
      <c r="C644" s="3" t="n"/>
      <c r="D644" s="3" t="n"/>
      <c r="E644" s="4">
        <f>IF(A644="","",COUNTIFS($A$4:A644,A644,$I$4:I644,"&lt;&gt;Штраф -2",$I$4:I644,"&lt;&gt;ушел на базу"))</f>
        <v/>
      </c>
      <c r="F644" s="4">
        <f>IF(E644="","",IF(E644&lt;=3,6,IF(E644&lt;=6,5,IF(E644&lt;=9,4,IF(E644&lt;=12,3,IF(E644&lt;=15,2,0))))))</f>
        <v/>
      </c>
      <c r="G644" s="3" t="n"/>
      <c r="H644" s="4">
        <f>IF(I644="Штраф -2",-2,IF(OR(F644="",G644=""),"",F644*G644+IF(J644="",0,J644)))</f>
        <v/>
      </c>
      <c r="I644" s="3" t="n"/>
      <c r="J644" s="3" t="n"/>
      <c r="K644" s="3" t="n"/>
    </row>
    <row r="645">
      <c r="A645" s="3" t="n"/>
      <c r="B645" s="3" t="n"/>
      <c r="C645" s="3" t="n"/>
      <c r="D645" s="3" t="n"/>
      <c r="E645" s="4">
        <f>IF(A645="","",COUNTIFS($A$4:A645,A645,$I$4:I645,"&lt;&gt;Штраф -2",$I$4:I645,"&lt;&gt;ушел на базу"))</f>
        <v/>
      </c>
      <c r="F645" s="4">
        <f>IF(E645="","",IF(E645&lt;=3,6,IF(E645&lt;=6,5,IF(E645&lt;=9,4,IF(E645&lt;=12,3,IF(E645&lt;=15,2,0))))))</f>
        <v/>
      </c>
      <c r="G645" s="3" t="n"/>
      <c r="H645" s="4">
        <f>IF(I645="Штраф -2",-2,IF(OR(F645="",G645=""),"",F645*G645+IF(J645="",0,J645)))</f>
        <v/>
      </c>
      <c r="I645" s="3" t="n"/>
      <c r="J645" s="3" t="n"/>
      <c r="K645" s="3" t="n"/>
    </row>
    <row r="646">
      <c r="A646" s="3" t="n"/>
      <c r="B646" s="3" t="n"/>
      <c r="C646" s="3" t="n"/>
      <c r="D646" s="3" t="n"/>
      <c r="E646" s="4">
        <f>IF(A646="","",COUNTIFS($A$4:A646,A646,$I$4:I646,"&lt;&gt;Штраф -2",$I$4:I646,"&lt;&gt;ушел на базу"))</f>
        <v/>
      </c>
      <c r="F646" s="4">
        <f>IF(E646="","",IF(E646&lt;=3,6,IF(E646&lt;=6,5,IF(E646&lt;=9,4,IF(E646&lt;=12,3,IF(E646&lt;=15,2,0))))))</f>
        <v/>
      </c>
      <c r="G646" s="3" t="n"/>
      <c r="H646" s="4">
        <f>IF(I646="Штраф -2",-2,IF(OR(F646="",G646=""),"",F646*G646+IF(J646="",0,J646)))</f>
        <v/>
      </c>
      <c r="I646" s="3" t="n"/>
      <c r="J646" s="3" t="n"/>
      <c r="K646" s="3" t="n"/>
    </row>
    <row r="647">
      <c r="A647" s="3" t="n"/>
      <c r="B647" s="3" t="n"/>
      <c r="C647" s="3" t="n"/>
      <c r="D647" s="3" t="n"/>
      <c r="E647" s="4">
        <f>IF(A647="","",COUNTIFS($A$4:A647,A647,$I$4:I647,"&lt;&gt;Штраф -2",$I$4:I647,"&lt;&gt;ушел на базу"))</f>
        <v/>
      </c>
      <c r="F647" s="4">
        <f>IF(E647="","",IF(E647&lt;=3,6,IF(E647&lt;=6,5,IF(E647&lt;=9,4,IF(E647&lt;=12,3,IF(E647&lt;=15,2,0))))))</f>
        <v/>
      </c>
      <c r="G647" s="3" t="n"/>
      <c r="H647" s="4">
        <f>IF(I647="Штраф -2",-2,IF(OR(F647="",G647=""),"",F647*G647+IF(J647="",0,J647)))</f>
        <v/>
      </c>
      <c r="I647" s="3" t="n"/>
      <c r="J647" s="3" t="n"/>
      <c r="K647" s="3" t="n"/>
    </row>
    <row r="648">
      <c r="A648" s="3" t="n"/>
      <c r="B648" s="3" t="n"/>
      <c r="C648" s="3" t="n"/>
      <c r="D648" s="3" t="n"/>
      <c r="E648" s="4">
        <f>IF(A648="","",COUNTIFS($A$4:A648,A648,$I$4:I648,"&lt;&gt;Штраф -2",$I$4:I648,"&lt;&gt;ушел на базу"))</f>
        <v/>
      </c>
      <c r="F648" s="4">
        <f>IF(E648="","",IF(E648&lt;=3,6,IF(E648&lt;=6,5,IF(E648&lt;=9,4,IF(E648&lt;=12,3,IF(E648&lt;=15,2,0))))))</f>
        <v/>
      </c>
      <c r="G648" s="3" t="n"/>
      <c r="H648" s="4">
        <f>IF(I648="Штраф -2",-2,IF(OR(F648="",G648=""),"",F648*G648+IF(J648="",0,J648)))</f>
        <v/>
      </c>
      <c r="I648" s="3" t="n"/>
      <c r="J648" s="3" t="n"/>
      <c r="K648" s="3" t="n"/>
    </row>
    <row r="649">
      <c r="A649" s="3" t="n"/>
      <c r="B649" s="3" t="n"/>
      <c r="C649" s="3" t="n"/>
      <c r="D649" s="3" t="n"/>
      <c r="E649" s="4">
        <f>IF(A649="","",COUNTIFS($A$4:A649,A649,$I$4:I649,"&lt;&gt;Штраф -2",$I$4:I649,"&lt;&gt;ушел на базу"))</f>
        <v/>
      </c>
      <c r="F649" s="4">
        <f>IF(E649="","",IF(E649&lt;=3,6,IF(E649&lt;=6,5,IF(E649&lt;=9,4,IF(E649&lt;=12,3,IF(E649&lt;=15,2,0))))))</f>
        <v/>
      </c>
      <c r="G649" s="3" t="n"/>
      <c r="H649" s="4">
        <f>IF(I649="Штраф -2",-2,IF(OR(F649="",G649=""),"",F649*G649+IF(J649="",0,J649)))</f>
        <v/>
      </c>
      <c r="I649" s="3" t="n"/>
      <c r="J649" s="3" t="n"/>
      <c r="K649" s="3" t="n"/>
    </row>
    <row r="650">
      <c r="A650" s="3" t="n"/>
      <c r="B650" s="3" t="n"/>
      <c r="C650" s="3" t="n"/>
      <c r="D650" s="3" t="n"/>
      <c r="E650" s="4">
        <f>IF(A650="","",COUNTIFS($A$4:A650,A650,$I$4:I650,"&lt;&gt;Штраф -2",$I$4:I650,"&lt;&gt;ушел на базу"))</f>
        <v/>
      </c>
      <c r="F650" s="4">
        <f>IF(E650="","",IF(E650&lt;=3,6,IF(E650&lt;=6,5,IF(E650&lt;=9,4,IF(E650&lt;=12,3,IF(E650&lt;=15,2,0))))))</f>
        <v/>
      </c>
      <c r="G650" s="3" t="n"/>
      <c r="H650" s="4">
        <f>IF(I650="Штраф -2",-2,IF(OR(F650="",G650=""),"",F650*G650+IF(J650="",0,J650)))</f>
        <v/>
      </c>
      <c r="I650" s="3" t="n"/>
      <c r="J650" s="3" t="n"/>
      <c r="K650" s="3" t="n"/>
    </row>
    <row r="651">
      <c r="A651" s="3" t="n"/>
      <c r="B651" s="3" t="n"/>
      <c r="C651" s="3" t="n"/>
      <c r="D651" s="3" t="n"/>
      <c r="E651" s="4">
        <f>IF(A651="","",COUNTIFS($A$4:A651,A651,$I$4:I651,"&lt;&gt;Штраф -2",$I$4:I651,"&lt;&gt;ушел на базу"))</f>
        <v/>
      </c>
      <c r="F651" s="4">
        <f>IF(E651="","",IF(E651&lt;=3,6,IF(E651&lt;=6,5,IF(E651&lt;=9,4,IF(E651&lt;=12,3,IF(E651&lt;=15,2,0))))))</f>
        <v/>
      </c>
      <c r="G651" s="3" t="n"/>
      <c r="H651" s="4">
        <f>IF(I651="Штраф -2",-2,IF(OR(F651="",G651=""),"",F651*G651+IF(J651="",0,J651)))</f>
        <v/>
      </c>
      <c r="I651" s="3" t="n"/>
      <c r="J651" s="3" t="n"/>
      <c r="K651" s="3" t="n"/>
    </row>
    <row r="652">
      <c r="A652" s="3" t="n"/>
      <c r="B652" s="3" t="n"/>
      <c r="C652" s="3" t="n"/>
      <c r="D652" s="3" t="n"/>
      <c r="E652" s="4">
        <f>IF(A652="","",COUNTIFS($A$4:A652,A652,$I$4:I652,"&lt;&gt;Штраф -2",$I$4:I652,"&lt;&gt;ушел на базу"))</f>
        <v/>
      </c>
      <c r="F652" s="4">
        <f>IF(E652="","",IF(E652&lt;=3,6,IF(E652&lt;=6,5,IF(E652&lt;=9,4,IF(E652&lt;=12,3,IF(E652&lt;=15,2,0))))))</f>
        <v/>
      </c>
      <c r="G652" s="3" t="n"/>
      <c r="H652" s="4">
        <f>IF(I652="Штраф -2",-2,IF(OR(F652="",G652=""),"",F652*G652+IF(J652="",0,J652)))</f>
        <v/>
      </c>
      <c r="I652" s="3" t="n"/>
      <c r="J652" s="3" t="n"/>
      <c r="K652" s="3" t="n"/>
    </row>
    <row r="653">
      <c r="A653" s="3" t="n"/>
      <c r="B653" s="3" t="n"/>
      <c r="C653" s="3" t="n"/>
      <c r="D653" s="3" t="n"/>
      <c r="E653" s="4">
        <f>IF(A653="","",COUNTIFS($A$4:A653,A653,$I$4:I653,"&lt;&gt;Штраф -2",$I$4:I653,"&lt;&gt;ушел на базу"))</f>
        <v/>
      </c>
      <c r="F653" s="4">
        <f>IF(E653="","",IF(E653&lt;=3,6,IF(E653&lt;=6,5,IF(E653&lt;=9,4,IF(E653&lt;=12,3,IF(E653&lt;=15,2,0))))))</f>
        <v/>
      </c>
      <c r="G653" s="3" t="n"/>
      <c r="H653" s="4">
        <f>IF(I653="Штраф -2",-2,IF(OR(F653="",G653=""),"",F653*G653+IF(J653="",0,J653)))</f>
        <v/>
      </c>
      <c r="I653" s="3" t="n"/>
      <c r="J653" s="3" t="n"/>
      <c r="K653" s="3" t="n"/>
    </row>
    <row r="654">
      <c r="A654" s="3" t="n"/>
      <c r="B654" s="3" t="n"/>
      <c r="C654" s="3" t="n"/>
      <c r="D654" s="3" t="n"/>
      <c r="E654" s="4">
        <f>IF(A654="","",COUNTIFS($A$4:A654,A654,$I$4:I654,"&lt;&gt;Штраф -2",$I$4:I654,"&lt;&gt;ушел на базу"))</f>
        <v/>
      </c>
      <c r="F654" s="4">
        <f>IF(E654="","",IF(E654&lt;=3,6,IF(E654&lt;=6,5,IF(E654&lt;=9,4,IF(E654&lt;=12,3,IF(E654&lt;=15,2,0))))))</f>
        <v/>
      </c>
      <c r="G654" s="3" t="n"/>
      <c r="H654" s="4">
        <f>IF(I654="Штраф -2",-2,IF(OR(F654="",G654=""),"",F654*G654+IF(J654="",0,J654)))</f>
        <v/>
      </c>
      <c r="I654" s="3" t="n"/>
      <c r="J654" s="3" t="n"/>
      <c r="K654" s="3" t="n"/>
    </row>
    <row r="655">
      <c r="A655" s="3" t="n"/>
      <c r="B655" s="3" t="n"/>
      <c r="C655" s="3" t="n"/>
      <c r="D655" s="3" t="n"/>
      <c r="E655" s="4">
        <f>IF(A655="","",COUNTIFS($A$4:A655,A655,$I$4:I655,"&lt;&gt;Штраф -2",$I$4:I655,"&lt;&gt;ушел на базу"))</f>
        <v/>
      </c>
      <c r="F655" s="4">
        <f>IF(E655="","",IF(E655&lt;=3,6,IF(E655&lt;=6,5,IF(E655&lt;=9,4,IF(E655&lt;=12,3,IF(E655&lt;=15,2,0))))))</f>
        <v/>
      </c>
      <c r="G655" s="3" t="n"/>
      <c r="H655" s="4">
        <f>IF(I655="Штраф -2",-2,IF(OR(F655="",G655=""),"",F655*G655+IF(J655="",0,J655)))</f>
        <v/>
      </c>
      <c r="I655" s="3" t="n"/>
      <c r="J655" s="3" t="n"/>
      <c r="K655" s="3" t="n"/>
    </row>
    <row r="656">
      <c r="A656" s="3" t="n"/>
      <c r="B656" s="3" t="n"/>
      <c r="C656" s="3" t="n"/>
      <c r="D656" s="3" t="n"/>
      <c r="E656" s="4">
        <f>IF(A656="","",COUNTIFS($A$4:A656,A656,$I$4:I656,"&lt;&gt;Штраф -2",$I$4:I656,"&lt;&gt;ушел на базу"))</f>
        <v/>
      </c>
      <c r="F656" s="4">
        <f>IF(E656="","",IF(E656&lt;=3,6,IF(E656&lt;=6,5,IF(E656&lt;=9,4,IF(E656&lt;=12,3,IF(E656&lt;=15,2,0))))))</f>
        <v/>
      </c>
      <c r="G656" s="3" t="n"/>
      <c r="H656" s="4">
        <f>IF(I656="Штраф -2",-2,IF(OR(F656="",G656=""),"",F656*G656+IF(J656="",0,J656)))</f>
        <v/>
      </c>
      <c r="I656" s="3" t="n"/>
      <c r="J656" s="3" t="n"/>
      <c r="K656" s="3" t="n"/>
    </row>
    <row r="657">
      <c r="A657" s="3" t="n"/>
      <c r="B657" s="3" t="n"/>
      <c r="C657" s="3" t="n"/>
      <c r="D657" s="3" t="n"/>
      <c r="E657" s="4">
        <f>IF(A657="","",COUNTIFS($A$4:A657,A657,$I$4:I657,"&lt;&gt;Штраф -2",$I$4:I657,"&lt;&gt;ушел на базу"))</f>
        <v/>
      </c>
      <c r="F657" s="4">
        <f>IF(E657="","",IF(E657&lt;=3,6,IF(E657&lt;=6,5,IF(E657&lt;=9,4,IF(E657&lt;=12,3,IF(E657&lt;=15,2,0))))))</f>
        <v/>
      </c>
      <c r="G657" s="3" t="n"/>
      <c r="H657" s="4">
        <f>IF(I657="Штраф -2",-2,IF(OR(F657="",G657=""),"",F657*G657+IF(J657="",0,J657)))</f>
        <v/>
      </c>
      <c r="I657" s="3" t="n"/>
      <c r="J657" s="3" t="n"/>
      <c r="K657" s="3" t="n"/>
    </row>
    <row r="658">
      <c r="A658" s="3" t="n"/>
      <c r="B658" s="3" t="n"/>
      <c r="C658" s="3" t="n"/>
      <c r="D658" s="3" t="n"/>
      <c r="E658" s="4">
        <f>IF(A658="","",COUNTIFS($A$4:A658,A658,$I$4:I658,"&lt;&gt;Штраф -2",$I$4:I658,"&lt;&gt;ушел на базу"))</f>
        <v/>
      </c>
      <c r="F658" s="4">
        <f>IF(E658="","",IF(E658&lt;=3,6,IF(E658&lt;=6,5,IF(E658&lt;=9,4,IF(E658&lt;=12,3,IF(E658&lt;=15,2,0))))))</f>
        <v/>
      </c>
      <c r="G658" s="3" t="n"/>
      <c r="H658" s="4">
        <f>IF(I658="Штраф -2",-2,IF(OR(F658="",G658=""),"",F658*G658+IF(J658="",0,J658)))</f>
        <v/>
      </c>
      <c r="I658" s="3" t="n"/>
      <c r="J658" s="3" t="n"/>
      <c r="K658" s="3" t="n"/>
    </row>
    <row r="659">
      <c r="A659" s="3" t="n"/>
      <c r="B659" s="3" t="n"/>
      <c r="C659" s="3" t="n"/>
      <c r="D659" s="3" t="n"/>
      <c r="E659" s="4">
        <f>IF(A659="","",COUNTIFS($A$4:A659,A659,$I$4:I659,"&lt;&gt;Штраф -2",$I$4:I659,"&lt;&gt;ушел на базу"))</f>
        <v/>
      </c>
      <c r="F659" s="4">
        <f>IF(E659="","",IF(E659&lt;=3,6,IF(E659&lt;=6,5,IF(E659&lt;=9,4,IF(E659&lt;=12,3,IF(E659&lt;=15,2,0))))))</f>
        <v/>
      </c>
      <c r="G659" s="3" t="n"/>
      <c r="H659" s="4">
        <f>IF(I659="Штраф -2",-2,IF(OR(F659="",G659=""),"",F659*G659+IF(J659="",0,J659)))</f>
        <v/>
      </c>
      <c r="I659" s="3" t="n"/>
      <c r="J659" s="3" t="n"/>
      <c r="K659" s="3" t="n"/>
    </row>
    <row r="660">
      <c r="A660" s="3" t="n"/>
      <c r="B660" s="3" t="n"/>
      <c r="C660" s="3" t="n"/>
      <c r="D660" s="3" t="n"/>
      <c r="E660" s="4">
        <f>IF(A660="","",COUNTIFS($A$4:A660,A660,$I$4:I660,"&lt;&gt;Штраф -2",$I$4:I660,"&lt;&gt;ушел на базу"))</f>
        <v/>
      </c>
      <c r="F660" s="4">
        <f>IF(E660="","",IF(E660&lt;=3,6,IF(E660&lt;=6,5,IF(E660&lt;=9,4,IF(E660&lt;=12,3,IF(E660&lt;=15,2,0))))))</f>
        <v/>
      </c>
      <c r="G660" s="3" t="n"/>
      <c r="H660" s="4">
        <f>IF(I660="Штраф -2",-2,IF(OR(F660="",G660=""),"",F660*G660+IF(J660="",0,J660)))</f>
        <v/>
      </c>
      <c r="I660" s="3" t="n"/>
      <c r="J660" s="3" t="n"/>
      <c r="K660" s="3" t="n"/>
    </row>
    <row r="661">
      <c r="A661" s="3" t="n"/>
      <c r="B661" s="3" t="n"/>
      <c r="C661" s="3" t="n"/>
      <c r="D661" s="3" t="n"/>
      <c r="E661" s="4">
        <f>IF(A661="","",COUNTIFS($A$4:A661,A661,$I$4:I661,"&lt;&gt;Штраф -2",$I$4:I661,"&lt;&gt;ушел на базу"))</f>
        <v/>
      </c>
      <c r="F661" s="4">
        <f>IF(E661="","",IF(E661&lt;=3,6,IF(E661&lt;=6,5,IF(E661&lt;=9,4,IF(E661&lt;=12,3,IF(E661&lt;=15,2,0))))))</f>
        <v/>
      </c>
      <c r="G661" s="3" t="n"/>
      <c r="H661" s="4">
        <f>IF(I661="Штраф -2",-2,IF(OR(F661="",G661=""),"",F661*G661+IF(J661="",0,J661)))</f>
        <v/>
      </c>
      <c r="I661" s="3" t="n"/>
      <c r="J661" s="3" t="n"/>
      <c r="K661" s="3" t="n"/>
    </row>
    <row r="662">
      <c r="A662" s="3" t="n"/>
      <c r="B662" s="3" t="n"/>
      <c r="C662" s="3" t="n"/>
      <c r="D662" s="3" t="n"/>
      <c r="E662" s="4">
        <f>IF(A662="","",COUNTIFS($A$4:A662,A662,$I$4:I662,"&lt;&gt;Штраф -2",$I$4:I662,"&lt;&gt;ушел на базу"))</f>
        <v/>
      </c>
      <c r="F662" s="4">
        <f>IF(E662="","",IF(E662&lt;=3,6,IF(E662&lt;=6,5,IF(E662&lt;=9,4,IF(E662&lt;=12,3,IF(E662&lt;=15,2,0))))))</f>
        <v/>
      </c>
      <c r="G662" s="3" t="n"/>
      <c r="H662" s="4">
        <f>IF(I662="Штраф -2",-2,IF(OR(F662="",G662=""),"",F662*G662+IF(J662="",0,J662)))</f>
        <v/>
      </c>
      <c r="I662" s="3" t="n"/>
      <c r="J662" s="3" t="n"/>
      <c r="K662" s="3" t="n"/>
    </row>
    <row r="663">
      <c r="A663" s="3" t="n"/>
      <c r="B663" s="3" t="n"/>
      <c r="C663" s="3" t="n"/>
      <c r="D663" s="3" t="n"/>
      <c r="E663" s="4">
        <f>IF(A663="","",COUNTIFS($A$4:A663,A663,$I$4:I663,"&lt;&gt;Штраф -2",$I$4:I663,"&lt;&gt;ушел на базу"))</f>
        <v/>
      </c>
      <c r="F663" s="4">
        <f>IF(E663="","",IF(E663&lt;=3,6,IF(E663&lt;=6,5,IF(E663&lt;=9,4,IF(E663&lt;=12,3,IF(E663&lt;=15,2,0))))))</f>
        <v/>
      </c>
      <c r="G663" s="3" t="n"/>
      <c r="H663" s="4">
        <f>IF(I663="Штраф -2",-2,IF(OR(F663="",G663=""),"",F663*G663+IF(J663="",0,J663)))</f>
        <v/>
      </c>
      <c r="I663" s="3" t="n"/>
      <c r="J663" s="3" t="n"/>
      <c r="K663" s="3" t="n"/>
    </row>
    <row r="664">
      <c r="A664" s="3" t="n"/>
      <c r="B664" s="3" t="n"/>
      <c r="C664" s="3" t="n"/>
      <c r="D664" s="3" t="n"/>
      <c r="E664" s="4">
        <f>IF(A664="","",COUNTIFS($A$4:A664,A664,$I$4:I664,"&lt;&gt;Штраф -2",$I$4:I664,"&lt;&gt;ушел на базу"))</f>
        <v/>
      </c>
      <c r="F664" s="4">
        <f>IF(E664="","",IF(E664&lt;=3,6,IF(E664&lt;=6,5,IF(E664&lt;=9,4,IF(E664&lt;=12,3,IF(E664&lt;=15,2,0))))))</f>
        <v/>
      </c>
      <c r="G664" s="3" t="n"/>
      <c r="H664" s="4">
        <f>IF(I664="Штраф -2",-2,IF(OR(F664="",G664=""),"",F664*G664+IF(J664="",0,J664)))</f>
        <v/>
      </c>
      <c r="I664" s="3" t="n"/>
      <c r="J664" s="3" t="n"/>
      <c r="K664" s="3" t="n"/>
    </row>
    <row r="665">
      <c r="A665" s="3" t="n"/>
      <c r="B665" s="3" t="n"/>
      <c r="C665" s="3" t="n"/>
      <c r="D665" s="3" t="n"/>
      <c r="E665" s="4">
        <f>IF(A665="","",COUNTIFS($A$4:A665,A665,$I$4:I665,"&lt;&gt;Штраф -2",$I$4:I665,"&lt;&gt;ушел на базу"))</f>
        <v/>
      </c>
      <c r="F665" s="4">
        <f>IF(E665="","",IF(E665&lt;=3,6,IF(E665&lt;=6,5,IF(E665&lt;=9,4,IF(E665&lt;=12,3,IF(E665&lt;=15,2,0))))))</f>
        <v/>
      </c>
      <c r="G665" s="3" t="n"/>
      <c r="H665" s="4">
        <f>IF(I665="Штраф -2",-2,IF(OR(F665="",G665=""),"",F665*G665+IF(J665="",0,J665)))</f>
        <v/>
      </c>
      <c r="I665" s="3" t="n"/>
      <c r="J665" s="3" t="n"/>
      <c r="K665" s="3" t="n"/>
    </row>
    <row r="666">
      <c r="A666" s="3" t="n"/>
      <c r="B666" s="3" t="n"/>
      <c r="C666" s="3" t="n"/>
      <c r="D666" s="3" t="n"/>
      <c r="E666" s="4">
        <f>IF(A666="","",COUNTIFS($A$4:A666,A666,$I$4:I666,"&lt;&gt;Штраф -2",$I$4:I666,"&lt;&gt;ушел на базу"))</f>
        <v/>
      </c>
      <c r="F666" s="4">
        <f>IF(E666="","",IF(E666&lt;=3,6,IF(E666&lt;=6,5,IF(E666&lt;=9,4,IF(E666&lt;=12,3,IF(E666&lt;=15,2,0))))))</f>
        <v/>
      </c>
      <c r="G666" s="3" t="n"/>
      <c r="H666" s="4">
        <f>IF(I666="Штраф -2",-2,IF(OR(F666="",G666=""),"",F666*G666+IF(J666="",0,J666)))</f>
        <v/>
      </c>
      <c r="I666" s="3" t="n"/>
      <c r="J666" s="3" t="n"/>
      <c r="K666" s="3" t="n"/>
    </row>
    <row r="667">
      <c r="A667" s="3" t="n"/>
      <c r="B667" s="3" t="n"/>
      <c r="C667" s="3" t="n"/>
      <c r="D667" s="3" t="n"/>
      <c r="E667" s="4">
        <f>IF(A667="","",COUNTIFS($A$4:A667,A667,$I$4:I667,"&lt;&gt;Штраф -2",$I$4:I667,"&lt;&gt;ушел на базу"))</f>
        <v/>
      </c>
      <c r="F667" s="4">
        <f>IF(E667="","",IF(E667&lt;=3,6,IF(E667&lt;=6,5,IF(E667&lt;=9,4,IF(E667&lt;=12,3,IF(E667&lt;=15,2,0))))))</f>
        <v/>
      </c>
      <c r="G667" s="3" t="n"/>
      <c r="H667" s="4">
        <f>IF(I667="Штраф -2",-2,IF(OR(F667="",G667=""),"",F667*G667+IF(J667="",0,J667)))</f>
        <v/>
      </c>
      <c r="I667" s="3" t="n"/>
      <c r="J667" s="3" t="n"/>
      <c r="K667" s="3" t="n"/>
    </row>
    <row r="668">
      <c r="A668" s="3" t="n"/>
      <c r="B668" s="3" t="n"/>
      <c r="C668" s="3" t="n"/>
      <c r="D668" s="3" t="n"/>
      <c r="E668" s="4">
        <f>IF(A668="","",COUNTIFS($A$4:A668,A668,$I$4:I668,"&lt;&gt;Штраф -2",$I$4:I668,"&lt;&gt;ушел на базу"))</f>
        <v/>
      </c>
      <c r="F668" s="4">
        <f>IF(E668="","",IF(E668&lt;=3,6,IF(E668&lt;=6,5,IF(E668&lt;=9,4,IF(E668&lt;=12,3,IF(E668&lt;=15,2,0))))))</f>
        <v/>
      </c>
      <c r="G668" s="3" t="n"/>
      <c r="H668" s="4">
        <f>IF(I668="Штраф -2",-2,IF(OR(F668="",G668=""),"",F668*G668+IF(J668="",0,J668)))</f>
        <v/>
      </c>
      <c r="I668" s="3" t="n"/>
      <c r="J668" s="3" t="n"/>
      <c r="K668" s="3" t="n"/>
    </row>
    <row r="669">
      <c r="A669" s="3" t="n"/>
      <c r="B669" s="3" t="n"/>
      <c r="C669" s="3" t="n"/>
      <c r="D669" s="3" t="n"/>
      <c r="E669" s="4">
        <f>IF(A669="","",COUNTIFS($A$4:A669,A669,$I$4:I669,"&lt;&gt;Штраф -2",$I$4:I669,"&lt;&gt;ушел на базу"))</f>
        <v/>
      </c>
      <c r="F669" s="4">
        <f>IF(E669="","",IF(E669&lt;=3,6,IF(E669&lt;=6,5,IF(E669&lt;=9,4,IF(E669&lt;=12,3,IF(E669&lt;=15,2,0))))))</f>
        <v/>
      </c>
      <c r="G669" s="3" t="n"/>
      <c r="H669" s="4">
        <f>IF(I669="Штраф -2",-2,IF(OR(F669="",G669=""),"",F669*G669+IF(J669="",0,J669)))</f>
        <v/>
      </c>
      <c r="I669" s="3" t="n"/>
      <c r="J669" s="3" t="n"/>
      <c r="K669" s="3" t="n"/>
    </row>
    <row r="670">
      <c r="A670" s="3" t="n"/>
      <c r="B670" s="3" t="n"/>
      <c r="C670" s="3" t="n"/>
      <c r="D670" s="3" t="n"/>
      <c r="E670" s="4">
        <f>IF(A670="","",COUNTIFS($A$4:A670,A670,$I$4:I670,"&lt;&gt;Штраф -2",$I$4:I670,"&lt;&gt;ушел на базу"))</f>
        <v/>
      </c>
      <c r="F670" s="4">
        <f>IF(E670="","",IF(E670&lt;=3,6,IF(E670&lt;=6,5,IF(E670&lt;=9,4,IF(E670&lt;=12,3,IF(E670&lt;=15,2,0))))))</f>
        <v/>
      </c>
      <c r="G670" s="3" t="n"/>
      <c r="H670" s="4">
        <f>IF(I670="Штраф -2",-2,IF(OR(F670="",G670=""),"",F670*G670+IF(J670="",0,J670)))</f>
        <v/>
      </c>
      <c r="I670" s="3" t="n"/>
      <c r="J670" s="3" t="n"/>
      <c r="K670" s="3" t="n"/>
    </row>
    <row r="671">
      <c r="A671" s="3" t="n"/>
      <c r="B671" s="3" t="n"/>
      <c r="C671" s="3" t="n"/>
      <c r="D671" s="3" t="n"/>
      <c r="E671" s="4">
        <f>IF(A671="","",COUNTIFS($A$4:A671,A671,$I$4:I671,"&lt;&gt;Штраф -2",$I$4:I671,"&lt;&gt;ушел на базу"))</f>
        <v/>
      </c>
      <c r="F671" s="4">
        <f>IF(E671="","",IF(E671&lt;=3,6,IF(E671&lt;=6,5,IF(E671&lt;=9,4,IF(E671&lt;=12,3,IF(E671&lt;=15,2,0))))))</f>
        <v/>
      </c>
      <c r="G671" s="3" t="n"/>
      <c r="H671" s="4">
        <f>IF(I671="Штраф -2",-2,IF(OR(F671="",G671=""),"",F671*G671+IF(J671="",0,J671)))</f>
        <v/>
      </c>
      <c r="I671" s="3" t="n"/>
      <c r="J671" s="3" t="n"/>
      <c r="K671" s="3" t="n"/>
    </row>
    <row r="672">
      <c r="A672" s="3" t="n"/>
      <c r="B672" s="3" t="n"/>
      <c r="C672" s="3" t="n"/>
      <c r="D672" s="3" t="n"/>
      <c r="E672" s="4">
        <f>IF(A672="","",COUNTIFS($A$4:A672,A672,$I$4:I672,"&lt;&gt;Штраф -2",$I$4:I672,"&lt;&gt;ушел на базу"))</f>
        <v/>
      </c>
      <c r="F672" s="4">
        <f>IF(E672="","",IF(E672&lt;=3,6,IF(E672&lt;=6,5,IF(E672&lt;=9,4,IF(E672&lt;=12,3,IF(E672&lt;=15,2,0))))))</f>
        <v/>
      </c>
      <c r="G672" s="3" t="n"/>
      <c r="H672" s="4">
        <f>IF(I672="Штраф -2",-2,IF(OR(F672="",G672=""),"",F672*G672+IF(J672="",0,J672)))</f>
        <v/>
      </c>
      <c r="I672" s="3" t="n"/>
      <c r="J672" s="3" t="n"/>
      <c r="K672" s="3" t="n"/>
    </row>
    <row r="673">
      <c r="A673" s="3" t="n"/>
      <c r="B673" s="3" t="n"/>
      <c r="C673" s="3" t="n"/>
      <c r="D673" s="3" t="n"/>
      <c r="E673" s="4">
        <f>IF(A673="","",COUNTIFS($A$4:A673,A673,$I$4:I673,"&lt;&gt;Штраф -2",$I$4:I673,"&lt;&gt;ушел на базу"))</f>
        <v/>
      </c>
      <c r="F673" s="4">
        <f>IF(E673="","",IF(E673&lt;=3,6,IF(E673&lt;=6,5,IF(E673&lt;=9,4,IF(E673&lt;=12,3,IF(E673&lt;=15,2,0))))))</f>
        <v/>
      </c>
      <c r="G673" s="3" t="n"/>
      <c r="H673" s="4">
        <f>IF(I673="Штраф -2",-2,IF(OR(F673="",G673=""),"",F673*G673+IF(J673="",0,J673)))</f>
        <v/>
      </c>
      <c r="I673" s="3" t="n"/>
      <c r="J673" s="3" t="n"/>
      <c r="K673" s="3" t="n"/>
    </row>
    <row r="674">
      <c r="A674" s="3" t="n"/>
      <c r="B674" s="3" t="n"/>
      <c r="C674" s="3" t="n"/>
      <c r="D674" s="3" t="n"/>
      <c r="E674" s="4">
        <f>IF(A674="","",COUNTIFS($A$4:A674,A674,$I$4:I674,"&lt;&gt;Штраф -2",$I$4:I674,"&lt;&gt;ушел на базу"))</f>
        <v/>
      </c>
      <c r="F674" s="4">
        <f>IF(E674="","",IF(E674&lt;=3,6,IF(E674&lt;=6,5,IF(E674&lt;=9,4,IF(E674&lt;=12,3,IF(E674&lt;=15,2,0))))))</f>
        <v/>
      </c>
      <c r="G674" s="3" t="n"/>
      <c r="H674" s="4">
        <f>IF(I674="Штраф -2",-2,IF(OR(F674="",G674=""),"",F674*G674+IF(J674="",0,J674)))</f>
        <v/>
      </c>
      <c r="I674" s="3" t="n"/>
      <c r="J674" s="3" t="n"/>
      <c r="K674" s="3" t="n"/>
    </row>
    <row r="675">
      <c r="A675" s="3" t="n"/>
      <c r="B675" s="3" t="n"/>
      <c r="C675" s="3" t="n"/>
      <c r="D675" s="3" t="n"/>
      <c r="E675" s="4">
        <f>IF(A675="","",COUNTIFS($A$4:A675,A675,$I$4:I675,"&lt;&gt;Штраф -2",$I$4:I675,"&lt;&gt;ушел на базу"))</f>
        <v/>
      </c>
      <c r="F675" s="4">
        <f>IF(E675="","",IF(E675&lt;=3,6,IF(E675&lt;=6,5,IF(E675&lt;=9,4,IF(E675&lt;=12,3,IF(E675&lt;=15,2,0))))))</f>
        <v/>
      </c>
      <c r="G675" s="3" t="n"/>
      <c r="H675" s="4">
        <f>IF(I675="Штраф -2",-2,IF(OR(F675="",G675=""),"",F675*G675+IF(J675="",0,J675)))</f>
        <v/>
      </c>
      <c r="I675" s="3" t="n"/>
      <c r="J675" s="3" t="n"/>
      <c r="K675" s="3" t="n"/>
    </row>
    <row r="676">
      <c r="A676" s="3" t="n"/>
      <c r="B676" s="3" t="n"/>
      <c r="C676" s="3" t="n"/>
      <c r="D676" s="3" t="n"/>
      <c r="E676" s="4">
        <f>IF(A676="","",COUNTIFS($A$4:A676,A676,$I$4:I676,"&lt;&gt;Штраф -2",$I$4:I676,"&lt;&gt;ушел на базу"))</f>
        <v/>
      </c>
      <c r="F676" s="4">
        <f>IF(E676="","",IF(E676&lt;=3,6,IF(E676&lt;=6,5,IF(E676&lt;=9,4,IF(E676&lt;=12,3,IF(E676&lt;=15,2,0))))))</f>
        <v/>
      </c>
      <c r="G676" s="3" t="n"/>
      <c r="H676" s="4">
        <f>IF(I676="Штраф -2",-2,IF(OR(F676="",G676=""),"",F676*G676+IF(J676="",0,J676)))</f>
        <v/>
      </c>
      <c r="I676" s="3" t="n"/>
      <c r="J676" s="3" t="n"/>
      <c r="K676" s="3" t="n"/>
    </row>
    <row r="677">
      <c r="A677" s="3" t="n"/>
      <c r="B677" s="3" t="n"/>
      <c r="C677" s="3" t="n"/>
      <c r="D677" s="3" t="n"/>
      <c r="E677" s="4">
        <f>IF(A677="","",COUNTIFS($A$4:A677,A677,$I$4:I677,"&lt;&gt;Штраф -2",$I$4:I677,"&lt;&gt;ушел на базу"))</f>
        <v/>
      </c>
      <c r="F677" s="4">
        <f>IF(E677="","",IF(E677&lt;=3,6,IF(E677&lt;=6,5,IF(E677&lt;=9,4,IF(E677&lt;=12,3,IF(E677&lt;=15,2,0))))))</f>
        <v/>
      </c>
      <c r="G677" s="3" t="n"/>
      <c r="H677" s="4">
        <f>IF(I677="Штраф -2",-2,IF(OR(F677="",G677=""),"",F677*G677+IF(J677="",0,J677)))</f>
        <v/>
      </c>
      <c r="I677" s="3" t="n"/>
      <c r="J677" s="3" t="n"/>
      <c r="K677" s="3" t="n"/>
    </row>
    <row r="678">
      <c r="A678" s="3" t="n"/>
      <c r="B678" s="3" t="n"/>
      <c r="C678" s="3" t="n"/>
      <c r="D678" s="3" t="n"/>
      <c r="E678" s="4">
        <f>IF(A678="","",COUNTIFS($A$4:A678,A678,$I$4:I678,"&lt;&gt;Штраф -2",$I$4:I678,"&lt;&gt;ушел на базу"))</f>
        <v/>
      </c>
      <c r="F678" s="4">
        <f>IF(E678="","",IF(E678&lt;=3,6,IF(E678&lt;=6,5,IF(E678&lt;=9,4,IF(E678&lt;=12,3,IF(E678&lt;=15,2,0))))))</f>
        <v/>
      </c>
      <c r="G678" s="3" t="n"/>
      <c r="H678" s="4">
        <f>IF(I678="Штраф -2",-2,IF(OR(F678="",G678=""),"",F678*G678+IF(J678="",0,J678)))</f>
        <v/>
      </c>
      <c r="I678" s="3" t="n"/>
      <c r="J678" s="3" t="n"/>
      <c r="K678" s="3" t="n"/>
    </row>
    <row r="679">
      <c r="A679" s="3" t="n"/>
      <c r="B679" s="3" t="n"/>
      <c r="C679" s="3" t="n"/>
      <c r="D679" s="3" t="n"/>
      <c r="E679" s="4">
        <f>IF(A679="","",COUNTIFS($A$4:A679,A679,$I$4:I679,"&lt;&gt;Штраф -2",$I$4:I679,"&lt;&gt;ушел на базу"))</f>
        <v/>
      </c>
      <c r="F679" s="4">
        <f>IF(E679="","",IF(E679&lt;=3,6,IF(E679&lt;=6,5,IF(E679&lt;=9,4,IF(E679&lt;=12,3,IF(E679&lt;=15,2,0))))))</f>
        <v/>
      </c>
      <c r="G679" s="3" t="n"/>
      <c r="H679" s="4">
        <f>IF(I679="Штраф -2",-2,IF(OR(F679="",G679=""),"",F679*G679+IF(J679="",0,J679)))</f>
        <v/>
      </c>
      <c r="I679" s="3" t="n"/>
      <c r="J679" s="3" t="n"/>
      <c r="K679" s="3" t="n"/>
    </row>
    <row r="680">
      <c r="A680" s="3" t="n"/>
      <c r="B680" s="3" t="n"/>
      <c r="C680" s="3" t="n"/>
      <c r="D680" s="3" t="n"/>
      <c r="E680" s="4">
        <f>IF(A680="","",COUNTIFS($A$4:A680,A680,$I$4:I680,"&lt;&gt;Штраф -2",$I$4:I680,"&lt;&gt;ушел на базу"))</f>
        <v/>
      </c>
      <c r="F680" s="4">
        <f>IF(E680="","",IF(E680&lt;=3,6,IF(E680&lt;=6,5,IF(E680&lt;=9,4,IF(E680&lt;=12,3,IF(E680&lt;=15,2,0))))))</f>
        <v/>
      </c>
      <c r="G680" s="3" t="n"/>
      <c r="H680" s="4">
        <f>IF(I680="Штраф -2",-2,IF(OR(F680="",G680=""),"",F680*G680+IF(J680="",0,J680)))</f>
        <v/>
      </c>
      <c r="I680" s="3" t="n"/>
      <c r="J680" s="3" t="n"/>
      <c r="K680" s="3" t="n"/>
    </row>
    <row r="681">
      <c r="A681" s="3" t="n"/>
      <c r="B681" s="3" t="n"/>
      <c r="C681" s="3" t="n"/>
      <c r="D681" s="3" t="n"/>
      <c r="E681" s="4">
        <f>IF(A681="","",COUNTIFS($A$4:A681,A681,$I$4:I681,"&lt;&gt;Штраф -2",$I$4:I681,"&lt;&gt;ушел на базу"))</f>
        <v/>
      </c>
      <c r="F681" s="4">
        <f>IF(E681="","",IF(E681&lt;=3,6,IF(E681&lt;=6,5,IF(E681&lt;=9,4,IF(E681&lt;=12,3,IF(E681&lt;=15,2,0))))))</f>
        <v/>
      </c>
      <c r="G681" s="3" t="n"/>
      <c r="H681" s="4">
        <f>IF(I681="Штраф -2",-2,IF(OR(F681="",G681=""),"",F681*G681+IF(J681="",0,J681)))</f>
        <v/>
      </c>
      <c r="I681" s="3" t="n"/>
      <c r="J681" s="3" t="n"/>
      <c r="K681" s="3" t="n"/>
    </row>
    <row r="682">
      <c r="A682" s="3" t="n"/>
      <c r="B682" s="3" t="n"/>
      <c r="C682" s="3" t="n"/>
      <c r="D682" s="3" t="n"/>
      <c r="E682" s="4">
        <f>IF(A682="","",COUNTIFS($A$4:A682,A682,$I$4:I682,"&lt;&gt;Штраф -2",$I$4:I682,"&lt;&gt;ушел на базу"))</f>
        <v/>
      </c>
      <c r="F682" s="4">
        <f>IF(E682="","",IF(E682&lt;=3,6,IF(E682&lt;=6,5,IF(E682&lt;=9,4,IF(E682&lt;=12,3,IF(E682&lt;=15,2,0))))))</f>
        <v/>
      </c>
      <c r="G682" s="3" t="n"/>
      <c r="H682" s="4">
        <f>IF(I682="Штраф -2",-2,IF(OR(F682="",G682=""),"",F682*G682+IF(J682="",0,J682)))</f>
        <v/>
      </c>
      <c r="I682" s="3" t="n"/>
      <c r="J682" s="3" t="n"/>
      <c r="K682" s="3" t="n"/>
    </row>
    <row r="683">
      <c r="A683" s="3" t="n"/>
      <c r="B683" s="3" t="n"/>
      <c r="C683" s="3" t="n"/>
      <c r="D683" s="3" t="n"/>
      <c r="E683" s="4">
        <f>IF(A683="","",COUNTIFS($A$4:A683,A683,$I$4:I683,"&lt;&gt;Штраф -2",$I$4:I683,"&lt;&gt;ушел на базу"))</f>
        <v/>
      </c>
      <c r="F683" s="4">
        <f>IF(E683="","",IF(E683&lt;=3,6,IF(E683&lt;=6,5,IF(E683&lt;=9,4,IF(E683&lt;=12,3,IF(E683&lt;=15,2,0))))))</f>
        <v/>
      </c>
      <c r="G683" s="3" t="n"/>
      <c r="H683" s="4">
        <f>IF(I683="Штраф -2",-2,IF(OR(F683="",G683=""),"",F683*G683+IF(J683="",0,J683)))</f>
        <v/>
      </c>
      <c r="I683" s="3" t="n"/>
      <c r="J683" s="3" t="n"/>
      <c r="K683" s="3" t="n"/>
    </row>
    <row r="684">
      <c r="A684" s="3" t="n"/>
      <c r="B684" s="3" t="n"/>
      <c r="C684" s="3" t="n"/>
      <c r="D684" s="3" t="n"/>
      <c r="E684" s="4">
        <f>IF(A684="","",COUNTIFS($A$4:A684,A684,$I$4:I684,"&lt;&gt;Штраф -2",$I$4:I684,"&lt;&gt;ушел на базу"))</f>
        <v/>
      </c>
      <c r="F684" s="4">
        <f>IF(E684="","",IF(E684&lt;=3,6,IF(E684&lt;=6,5,IF(E684&lt;=9,4,IF(E684&lt;=12,3,IF(E684&lt;=15,2,0))))))</f>
        <v/>
      </c>
      <c r="G684" s="3" t="n"/>
      <c r="H684" s="4">
        <f>IF(I684="Штраф -2",-2,IF(OR(F684="",G684=""),"",F684*G684+IF(J684="",0,J684)))</f>
        <v/>
      </c>
      <c r="I684" s="3" t="n"/>
      <c r="J684" s="3" t="n"/>
      <c r="K684" s="3" t="n"/>
    </row>
    <row r="685">
      <c r="A685" s="3" t="n"/>
      <c r="B685" s="3" t="n"/>
      <c r="C685" s="3" t="n"/>
      <c r="D685" s="3" t="n"/>
      <c r="E685" s="4">
        <f>IF(A685="","",COUNTIFS($A$4:A685,A685,$I$4:I685,"&lt;&gt;Штраф -2",$I$4:I685,"&lt;&gt;ушел на базу"))</f>
        <v/>
      </c>
      <c r="F685" s="4">
        <f>IF(E685="","",IF(E685&lt;=3,6,IF(E685&lt;=6,5,IF(E685&lt;=9,4,IF(E685&lt;=12,3,IF(E685&lt;=15,2,0))))))</f>
        <v/>
      </c>
      <c r="G685" s="3" t="n"/>
      <c r="H685" s="4">
        <f>IF(I685="Штраф -2",-2,IF(OR(F685="",G685=""),"",F685*G685+IF(J685="",0,J685)))</f>
        <v/>
      </c>
      <c r="I685" s="3" t="n"/>
      <c r="J685" s="3" t="n"/>
      <c r="K685" s="3" t="n"/>
    </row>
    <row r="686">
      <c r="A686" s="3" t="n"/>
      <c r="B686" s="3" t="n"/>
      <c r="C686" s="3" t="n"/>
      <c r="D686" s="3" t="n"/>
      <c r="E686" s="4">
        <f>IF(A686="","",COUNTIFS($A$4:A686,A686,$I$4:I686,"&lt;&gt;Штраф -2",$I$4:I686,"&lt;&gt;ушел на базу"))</f>
        <v/>
      </c>
      <c r="F686" s="4">
        <f>IF(E686="","",IF(E686&lt;=3,6,IF(E686&lt;=6,5,IF(E686&lt;=9,4,IF(E686&lt;=12,3,IF(E686&lt;=15,2,0))))))</f>
        <v/>
      </c>
      <c r="G686" s="3" t="n"/>
      <c r="H686" s="4">
        <f>IF(I686="Штраф -2",-2,IF(OR(F686="",G686=""),"",F686*G686+IF(J686="",0,J686)))</f>
        <v/>
      </c>
      <c r="I686" s="3" t="n"/>
      <c r="J686" s="3" t="n"/>
      <c r="K686" s="3" t="n"/>
    </row>
    <row r="687">
      <c r="A687" s="3" t="n"/>
      <c r="B687" s="3" t="n"/>
      <c r="C687" s="3" t="n"/>
      <c r="D687" s="3" t="n"/>
      <c r="E687" s="4">
        <f>IF(A687="","",COUNTIFS($A$4:A687,A687,$I$4:I687,"&lt;&gt;Штраф -2",$I$4:I687,"&lt;&gt;ушел на базу"))</f>
        <v/>
      </c>
      <c r="F687" s="4">
        <f>IF(E687="","",IF(E687&lt;=3,6,IF(E687&lt;=6,5,IF(E687&lt;=9,4,IF(E687&lt;=12,3,IF(E687&lt;=15,2,0))))))</f>
        <v/>
      </c>
      <c r="G687" s="3" t="n"/>
      <c r="H687" s="4">
        <f>IF(I687="Штраф -2",-2,IF(OR(F687="",G687=""),"",F687*G687+IF(J687="",0,J687)))</f>
        <v/>
      </c>
      <c r="I687" s="3" t="n"/>
      <c r="J687" s="3" t="n"/>
      <c r="K687" s="3" t="n"/>
    </row>
    <row r="688">
      <c r="A688" s="3" t="n"/>
      <c r="B688" s="3" t="n"/>
      <c r="C688" s="3" t="n"/>
      <c r="D688" s="3" t="n"/>
      <c r="E688" s="4">
        <f>IF(A688="","",COUNTIFS($A$4:A688,A688,$I$4:I688,"&lt;&gt;Штраф -2",$I$4:I688,"&lt;&gt;ушел на базу"))</f>
        <v/>
      </c>
      <c r="F688" s="4">
        <f>IF(E688="","",IF(E688&lt;=3,6,IF(E688&lt;=6,5,IF(E688&lt;=9,4,IF(E688&lt;=12,3,IF(E688&lt;=15,2,0))))))</f>
        <v/>
      </c>
      <c r="G688" s="3" t="n"/>
      <c r="H688" s="4">
        <f>IF(I688="Штраф -2",-2,IF(OR(F688="",G688=""),"",F688*G688+IF(J688="",0,J688)))</f>
        <v/>
      </c>
      <c r="I688" s="3" t="n"/>
      <c r="J688" s="3" t="n"/>
      <c r="K688" s="3" t="n"/>
    </row>
    <row r="689">
      <c r="A689" s="3" t="n"/>
      <c r="B689" s="3" t="n"/>
      <c r="C689" s="3" t="n"/>
      <c r="D689" s="3" t="n"/>
      <c r="E689" s="4">
        <f>IF(A689="","",COUNTIFS($A$4:A689,A689,$I$4:I689,"&lt;&gt;Штраф -2",$I$4:I689,"&lt;&gt;ушел на базу"))</f>
        <v/>
      </c>
      <c r="F689" s="4">
        <f>IF(E689="","",IF(E689&lt;=3,6,IF(E689&lt;=6,5,IF(E689&lt;=9,4,IF(E689&lt;=12,3,IF(E689&lt;=15,2,0))))))</f>
        <v/>
      </c>
      <c r="G689" s="3" t="n"/>
      <c r="H689" s="4">
        <f>IF(I689="Штраф -2",-2,IF(OR(F689="",G689=""),"",F689*G689+IF(J689="",0,J689)))</f>
        <v/>
      </c>
      <c r="I689" s="3" t="n"/>
      <c r="J689" s="3" t="n"/>
      <c r="K689" s="3" t="n"/>
    </row>
    <row r="690">
      <c r="A690" s="3" t="n"/>
      <c r="B690" s="3" t="n"/>
      <c r="C690" s="3" t="n"/>
      <c r="D690" s="3" t="n"/>
      <c r="E690" s="4">
        <f>IF(A690="","",COUNTIFS($A$4:A690,A690,$I$4:I690,"&lt;&gt;Штраф -2",$I$4:I690,"&lt;&gt;ушел на базу"))</f>
        <v/>
      </c>
      <c r="F690" s="4">
        <f>IF(E690="","",IF(E690&lt;=3,6,IF(E690&lt;=6,5,IF(E690&lt;=9,4,IF(E690&lt;=12,3,IF(E690&lt;=15,2,0))))))</f>
        <v/>
      </c>
      <c r="G690" s="3" t="n"/>
      <c r="H690" s="4">
        <f>IF(I690="Штраф -2",-2,IF(OR(F690="",G690=""),"",F690*G690+IF(J690="",0,J690)))</f>
        <v/>
      </c>
      <c r="I690" s="3" t="n"/>
      <c r="J690" s="3" t="n"/>
      <c r="K690" s="3" t="n"/>
    </row>
    <row r="691">
      <c r="A691" s="3" t="n"/>
      <c r="B691" s="3" t="n"/>
      <c r="C691" s="3" t="n"/>
      <c r="D691" s="3" t="n"/>
      <c r="E691" s="4">
        <f>IF(A691="","",COUNTIFS($A$4:A691,A691,$I$4:I691,"&lt;&gt;Штраф -2",$I$4:I691,"&lt;&gt;ушел на базу"))</f>
        <v/>
      </c>
      <c r="F691" s="4">
        <f>IF(E691="","",IF(E691&lt;=3,6,IF(E691&lt;=6,5,IF(E691&lt;=9,4,IF(E691&lt;=12,3,IF(E691&lt;=15,2,0))))))</f>
        <v/>
      </c>
      <c r="G691" s="3" t="n"/>
      <c r="H691" s="4">
        <f>IF(I691="Штраф -2",-2,IF(OR(F691="",G691=""),"",F691*G691+IF(J691="",0,J691)))</f>
        <v/>
      </c>
      <c r="I691" s="3" t="n"/>
      <c r="J691" s="3" t="n"/>
      <c r="K691" s="3" t="n"/>
    </row>
    <row r="692">
      <c r="A692" s="3" t="n"/>
      <c r="B692" s="3" t="n"/>
      <c r="C692" s="3" t="n"/>
      <c r="D692" s="3" t="n"/>
      <c r="E692" s="4">
        <f>IF(A692="","",COUNTIFS($A$4:A692,A692,$I$4:I692,"&lt;&gt;Штраф -2",$I$4:I692,"&lt;&gt;ушел на базу"))</f>
        <v/>
      </c>
      <c r="F692" s="4">
        <f>IF(E692="","",IF(E692&lt;=3,6,IF(E692&lt;=6,5,IF(E692&lt;=9,4,IF(E692&lt;=12,3,IF(E692&lt;=15,2,0))))))</f>
        <v/>
      </c>
      <c r="G692" s="3" t="n"/>
      <c r="H692" s="4">
        <f>IF(I692="Штраф -2",-2,IF(OR(F692="",G692=""),"",F692*G692+IF(J692="",0,J692)))</f>
        <v/>
      </c>
      <c r="I692" s="3" t="n"/>
      <c r="J692" s="3" t="n"/>
      <c r="K692" s="3" t="n"/>
    </row>
    <row r="693">
      <c r="A693" s="3" t="n"/>
      <c r="B693" s="3" t="n"/>
      <c r="C693" s="3" t="n"/>
      <c r="D693" s="3" t="n"/>
      <c r="E693" s="4">
        <f>IF(A693="","",COUNTIFS($A$4:A693,A693,$I$4:I693,"&lt;&gt;Штраф -2",$I$4:I693,"&lt;&gt;ушел на базу"))</f>
        <v/>
      </c>
      <c r="F693" s="4">
        <f>IF(E693="","",IF(E693&lt;=3,6,IF(E693&lt;=6,5,IF(E693&lt;=9,4,IF(E693&lt;=12,3,IF(E693&lt;=15,2,0))))))</f>
        <v/>
      </c>
      <c r="G693" s="3" t="n"/>
      <c r="H693" s="4">
        <f>IF(I693="Штраф -2",-2,IF(OR(F693="",G693=""),"",F693*G693+IF(J693="",0,J693)))</f>
        <v/>
      </c>
      <c r="I693" s="3" t="n"/>
      <c r="J693" s="3" t="n"/>
      <c r="K693" s="3" t="n"/>
    </row>
    <row r="694">
      <c r="A694" s="3" t="n"/>
      <c r="B694" s="3" t="n"/>
      <c r="C694" s="3" t="n"/>
      <c r="D694" s="3" t="n"/>
      <c r="E694" s="4">
        <f>IF(A694="","",COUNTIFS($A$4:A694,A694,$I$4:I694,"&lt;&gt;Штраф -2",$I$4:I694,"&lt;&gt;ушел на базу"))</f>
        <v/>
      </c>
      <c r="F694" s="4">
        <f>IF(E694="","",IF(E694&lt;=3,6,IF(E694&lt;=6,5,IF(E694&lt;=9,4,IF(E694&lt;=12,3,IF(E694&lt;=15,2,0))))))</f>
        <v/>
      </c>
      <c r="G694" s="3" t="n"/>
      <c r="H694" s="4">
        <f>IF(I694="Штраф -2",-2,IF(OR(F694="",G694=""),"",F694*G694+IF(J694="",0,J694)))</f>
        <v/>
      </c>
      <c r="I694" s="3" t="n"/>
      <c r="J694" s="3" t="n"/>
      <c r="K694" s="3" t="n"/>
    </row>
    <row r="695">
      <c r="A695" s="3" t="n"/>
      <c r="B695" s="3" t="n"/>
      <c r="C695" s="3" t="n"/>
      <c r="D695" s="3" t="n"/>
      <c r="E695" s="4">
        <f>IF(A695="","",COUNTIFS($A$4:A695,A695,$I$4:I695,"&lt;&gt;Штраф -2",$I$4:I695,"&lt;&gt;ушел на базу"))</f>
        <v/>
      </c>
      <c r="F695" s="4">
        <f>IF(E695="","",IF(E695&lt;=3,6,IF(E695&lt;=6,5,IF(E695&lt;=9,4,IF(E695&lt;=12,3,IF(E695&lt;=15,2,0))))))</f>
        <v/>
      </c>
      <c r="G695" s="3" t="n"/>
      <c r="H695" s="4">
        <f>IF(I695="Штраф -2",-2,IF(OR(F695="",G695=""),"",F695*G695+IF(J695="",0,J695)))</f>
        <v/>
      </c>
      <c r="I695" s="3" t="n"/>
      <c r="J695" s="3" t="n"/>
      <c r="K695" s="3" t="n"/>
    </row>
    <row r="696">
      <c r="A696" s="3" t="n"/>
      <c r="B696" s="3" t="n"/>
      <c r="C696" s="3" t="n"/>
      <c r="D696" s="3" t="n"/>
      <c r="E696" s="4">
        <f>IF(A696="","",COUNTIFS($A$4:A696,A696,$I$4:I696,"&lt;&gt;Штраф -2",$I$4:I696,"&lt;&gt;ушел на базу"))</f>
        <v/>
      </c>
      <c r="F696" s="4">
        <f>IF(E696="","",IF(E696&lt;=3,6,IF(E696&lt;=6,5,IF(E696&lt;=9,4,IF(E696&lt;=12,3,IF(E696&lt;=15,2,0))))))</f>
        <v/>
      </c>
      <c r="G696" s="3" t="n"/>
      <c r="H696" s="4">
        <f>IF(I696="Штраф -2",-2,IF(OR(F696="",G696=""),"",F696*G696+IF(J696="",0,J696)))</f>
        <v/>
      </c>
      <c r="I696" s="3" t="n"/>
      <c r="J696" s="3" t="n"/>
      <c r="K696" s="3" t="n"/>
    </row>
    <row r="697">
      <c r="A697" s="3" t="n"/>
      <c r="B697" s="3" t="n"/>
      <c r="C697" s="3" t="n"/>
      <c r="D697" s="3" t="n"/>
      <c r="E697" s="4">
        <f>IF(A697="","",COUNTIFS($A$4:A697,A697,$I$4:I697,"&lt;&gt;Штраф -2",$I$4:I697,"&lt;&gt;ушел на базу"))</f>
        <v/>
      </c>
      <c r="F697" s="4">
        <f>IF(E697="","",IF(E697&lt;=3,6,IF(E697&lt;=6,5,IF(E697&lt;=9,4,IF(E697&lt;=12,3,IF(E697&lt;=15,2,0))))))</f>
        <v/>
      </c>
      <c r="G697" s="3" t="n"/>
      <c r="H697" s="4">
        <f>IF(I697="Штраф -2",-2,IF(OR(F697="",G697=""),"",F697*G697+IF(J697="",0,J697)))</f>
        <v/>
      </c>
      <c r="I697" s="3" t="n"/>
      <c r="J697" s="3" t="n"/>
      <c r="K697" s="3" t="n"/>
    </row>
    <row r="698">
      <c r="A698" s="3" t="n"/>
      <c r="B698" s="3" t="n"/>
      <c r="C698" s="3" t="n"/>
      <c r="D698" s="3" t="n"/>
      <c r="E698" s="4">
        <f>IF(A698="","",COUNTIFS($A$4:A698,A698,$I$4:I698,"&lt;&gt;Штраф -2",$I$4:I698,"&lt;&gt;ушел на базу"))</f>
        <v/>
      </c>
      <c r="F698" s="4">
        <f>IF(E698="","",IF(E698&lt;=3,6,IF(E698&lt;=6,5,IF(E698&lt;=9,4,IF(E698&lt;=12,3,IF(E698&lt;=15,2,0))))))</f>
        <v/>
      </c>
      <c r="G698" s="3" t="n"/>
      <c r="H698" s="4">
        <f>IF(I698="Штраф -2",-2,IF(OR(F698="",G698=""),"",F698*G698+IF(J698="",0,J698)))</f>
        <v/>
      </c>
      <c r="I698" s="3" t="n"/>
      <c r="J698" s="3" t="n"/>
      <c r="K698" s="3" t="n"/>
    </row>
    <row r="699">
      <c r="A699" s="3" t="n"/>
      <c r="B699" s="3" t="n"/>
      <c r="C699" s="3" t="n"/>
      <c r="D699" s="3" t="n"/>
      <c r="E699" s="4">
        <f>IF(A699="","",COUNTIFS($A$4:A699,A699,$I$4:I699,"&lt;&gt;Штраф -2",$I$4:I699,"&lt;&gt;ушел на базу"))</f>
        <v/>
      </c>
      <c r="F699" s="4">
        <f>IF(E699="","",IF(E699&lt;=3,6,IF(E699&lt;=6,5,IF(E699&lt;=9,4,IF(E699&lt;=12,3,IF(E699&lt;=15,2,0))))))</f>
        <v/>
      </c>
      <c r="G699" s="3" t="n"/>
      <c r="H699" s="4">
        <f>IF(I699="Штраф -2",-2,IF(OR(F699="",G699=""),"",F699*G699+IF(J699="",0,J699)))</f>
        <v/>
      </c>
      <c r="I699" s="3" t="n"/>
      <c r="J699" s="3" t="n"/>
      <c r="K699" s="3" t="n"/>
    </row>
    <row r="700">
      <c r="A700" s="3" t="n"/>
      <c r="B700" s="3" t="n"/>
      <c r="C700" s="3" t="n"/>
      <c r="D700" s="3" t="n"/>
      <c r="E700" s="4">
        <f>IF(A700="","",COUNTIFS($A$4:A700,A700,$I$4:I700,"&lt;&gt;Штраф -2",$I$4:I700,"&lt;&gt;ушел на базу"))</f>
        <v/>
      </c>
      <c r="F700" s="4">
        <f>IF(E700="","",IF(E700&lt;=3,6,IF(E700&lt;=6,5,IF(E700&lt;=9,4,IF(E700&lt;=12,3,IF(E700&lt;=15,2,0))))))</f>
        <v/>
      </c>
      <c r="G700" s="3" t="n"/>
      <c r="H700" s="4">
        <f>IF(I700="Штраф -2",-2,IF(OR(F700="",G700=""),"",F700*G700+IF(J700="",0,J700)))</f>
        <v/>
      </c>
      <c r="I700" s="3" t="n"/>
      <c r="J700" s="3" t="n"/>
      <c r="K700" s="3" t="n"/>
    </row>
    <row r="701">
      <c r="A701" s="3" t="n"/>
      <c r="B701" s="3" t="n"/>
      <c r="C701" s="3" t="n"/>
      <c r="D701" s="3" t="n"/>
      <c r="E701" s="4">
        <f>IF(A701="","",COUNTIFS($A$4:A701,A701,$I$4:I701,"&lt;&gt;Штраф -2",$I$4:I701,"&lt;&gt;ушел на базу"))</f>
        <v/>
      </c>
      <c r="F701" s="4">
        <f>IF(E701="","",IF(E701&lt;=3,6,IF(E701&lt;=6,5,IF(E701&lt;=9,4,IF(E701&lt;=12,3,IF(E701&lt;=15,2,0))))))</f>
        <v/>
      </c>
      <c r="G701" s="3" t="n"/>
      <c r="H701" s="4">
        <f>IF(I701="Штраф -2",-2,IF(OR(F701="",G701=""),"",F701*G701+IF(J701="",0,J701)))</f>
        <v/>
      </c>
      <c r="I701" s="3" t="n"/>
      <c r="J701" s="3" t="n"/>
      <c r="K701" s="3" t="n"/>
    </row>
    <row r="702">
      <c r="A702" s="3" t="n"/>
      <c r="B702" s="3" t="n"/>
      <c r="C702" s="3" t="n"/>
      <c r="D702" s="3" t="n"/>
      <c r="E702" s="4">
        <f>IF(A702="","",COUNTIFS($A$4:A702,A702,$I$4:I702,"&lt;&gt;Штраф -2",$I$4:I702,"&lt;&gt;ушел на базу"))</f>
        <v/>
      </c>
      <c r="F702" s="4">
        <f>IF(E702="","",IF(E702&lt;=3,6,IF(E702&lt;=6,5,IF(E702&lt;=9,4,IF(E702&lt;=12,3,IF(E702&lt;=15,2,0))))))</f>
        <v/>
      </c>
      <c r="G702" s="3" t="n"/>
      <c r="H702" s="4">
        <f>IF(I702="Штраф -2",-2,IF(OR(F702="",G702=""),"",F702*G702+IF(J702="",0,J702)))</f>
        <v/>
      </c>
      <c r="I702" s="3" t="n"/>
      <c r="J702" s="3" t="n"/>
      <c r="K702" s="3" t="n"/>
    </row>
    <row r="703">
      <c r="A703" s="3" t="n"/>
      <c r="B703" s="3" t="n"/>
      <c r="C703" s="3" t="n"/>
      <c r="D703" s="3" t="n"/>
      <c r="E703" s="4">
        <f>IF(A703="","",COUNTIFS($A$4:A703,A703,$I$4:I703,"&lt;&gt;Штраф -2",$I$4:I703,"&lt;&gt;ушел на базу"))</f>
        <v/>
      </c>
      <c r="F703" s="4">
        <f>IF(E703="","",IF(E703&lt;=3,6,IF(E703&lt;=6,5,IF(E703&lt;=9,4,IF(E703&lt;=12,3,IF(E703&lt;=15,2,0))))))</f>
        <v/>
      </c>
      <c r="G703" s="3" t="n"/>
      <c r="H703" s="4">
        <f>IF(I703="Штраф -2",-2,IF(OR(F703="",G703=""),"",F703*G703+IF(J703="",0,J703)))</f>
        <v/>
      </c>
      <c r="I703" s="3" t="n"/>
      <c r="J703" s="3" t="n"/>
      <c r="K703" s="3" t="n"/>
    </row>
    <row r="704">
      <c r="A704" s="3" t="n"/>
      <c r="B704" s="3" t="n"/>
      <c r="C704" s="3" t="n"/>
      <c r="D704" s="3" t="n"/>
      <c r="E704" s="4">
        <f>IF(A704="","",COUNTIFS($A$4:A704,A704,$I$4:I704,"&lt;&gt;Штраф -2",$I$4:I704,"&lt;&gt;ушел на базу"))</f>
        <v/>
      </c>
      <c r="F704" s="4">
        <f>IF(E704="","",IF(E704&lt;=3,6,IF(E704&lt;=6,5,IF(E704&lt;=9,4,IF(E704&lt;=12,3,IF(E704&lt;=15,2,0))))))</f>
        <v/>
      </c>
      <c r="G704" s="3" t="n"/>
      <c r="H704" s="4">
        <f>IF(I704="Штраф -2",-2,IF(OR(F704="",G704=""),"",F704*G704+IF(J704="",0,J704)))</f>
        <v/>
      </c>
      <c r="I704" s="3" t="n"/>
      <c r="J704" s="3" t="n"/>
      <c r="K704" s="3" t="n"/>
    </row>
    <row r="705">
      <c r="A705" s="3" t="n"/>
      <c r="B705" s="3" t="n"/>
      <c r="C705" s="3" t="n"/>
      <c r="D705" s="3" t="n"/>
      <c r="E705" s="4">
        <f>IF(A705="","",COUNTIFS($A$4:A705,A705,$I$4:I705,"&lt;&gt;Штраф -2",$I$4:I705,"&lt;&gt;ушел на базу"))</f>
        <v/>
      </c>
      <c r="F705" s="4">
        <f>IF(E705="","",IF(E705&lt;=3,6,IF(E705&lt;=6,5,IF(E705&lt;=9,4,IF(E705&lt;=12,3,IF(E705&lt;=15,2,0))))))</f>
        <v/>
      </c>
      <c r="G705" s="3" t="n"/>
      <c r="H705" s="4">
        <f>IF(I705="Штраф -2",-2,IF(OR(F705="",G705=""),"",F705*G705+IF(J705="",0,J705)))</f>
        <v/>
      </c>
      <c r="I705" s="3" t="n"/>
      <c r="J705" s="3" t="n"/>
      <c r="K705" s="3" t="n"/>
    </row>
    <row r="706">
      <c r="A706" s="3" t="n"/>
      <c r="B706" s="3" t="n"/>
      <c r="C706" s="3" t="n"/>
      <c r="D706" s="3" t="n"/>
      <c r="E706" s="4">
        <f>IF(A706="","",COUNTIFS($A$4:A706,A706,$I$4:I706,"&lt;&gt;Штраф -2",$I$4:I706,"&lt;&gt;ушел на базу"))</f>
        <v/>
      </c>
      <c r="F706" s="4">
        <f>IF(E706="","",IF(E706&lt;=3,6,IF(E706&lt;=6,5,IF(E706&lt;=9,4,IF(E706&lt;=12,3,IF(E706&lt;=15,2,0))))))</f>
        <v/>
      </c>
      <c r="G706" s="3" t="n"/>
      <c r="H706" s="4">
        <f>IF(I706="Штраф -2",-2,IF(OR(F706="",G706=""),"",F706*G706+IF(J706="",0,J706)))</f>
        <v/>
      </c>
      <c r="I706" s="3" t="n"/>
      <c r="J706" s="3" t="n"/>
      <c r="K706" s="3" t="n"/>
    </row>
    <row r="707">
      <c r="A707" s="3" t="n"/>
      <c r="B707" s="3" t="n"/>
      <c r="C707" s="3" t="n"/>
      <c r="D707" s="3" t="n"/>
      <c r="E707" s="4">
        <f>IF(A707="","",COUNTIFS($A$4:A707,A707,$I$4:I707,"&lt;&gt;Штраф -2",$I$4:I707,"&lt;&gt;ушел на базу"))</f>
        <v/>
      </c>
      <c r="F707" s="4">
        <f>IF(E707="","",IF(E707&lt;=3,6,IF(E707&lt;=6,5,IF(E707&lt;=9,4,IF(E707&lt;=12,3,IF(E707&lt;=15,2,0))))))</f>
        <v/>
      </c>
      <c r="G707" s="3" t="n"/>
      <c r="H707" s="4">
        <f>IF(I707="Штраф -2",-2,IF(OR(F707="",G707=""),"",F707*G707+IF(J707="",0,J707)))</f>
        <v/>
      </c>
      <c r="I707" s="3" t="n"/>
      <c r="J707" s="3" t="n"/>
      <c r="K707" s="3" t="n"/>
    </row>
    <row r="708">
      <c r="A708" s="3" t="n"/>
      <c r="B708" s="3" t="n"/>
      <c r="C708" s="3" t="n"/>
      <c r="D708" s="3" t="n"/>
      <c r="E708" s="4">
        <f>IF(A708="","",COUNTIFS($A$4:A708,A708,$I$4:I708,"&lt;&gt;Штраф -2",$I$4:I708,"&lt;&gt;ушел на базу"))</f>
        <v/>
      </c>
      <c r="F708" s="4">
        <f>IF(E708="","",IF(E708&lt;=3,6,IF(E708&lt;=6,5,IF(E708&lt;=9,4,IF(E708&lt;=12,3,IF(E708&lt;=15,2,0))))))</f>
        <v/>
      </c>
      <c r="G708" s="3" t="n"/>
      <c r="H708" s="4">
        <f>IF(I708="Штраф -2",-2,IF(OR(F708="",G708=""),"",F708*G708+IF(J708="",0,J708)))</f>
        <v/>
      </c>
      <c r="I708" s="3" t="n"/>
      <c r="J708" s="3" t="n"/>
      <c r="K708" s="3" t="n"/>
    </row>
    <row r="709">
      <c r="A709" s="3" t="n"/>
      <c r="B709" s="3" t="n"/>
      <c r="C709" s="3" t="n"/>
      <c r="D709" s="3" t="n"/>
      <c r="E709" s="4">
        <f>IF(A709="","",COUNTIFS($A$4:A709,A709,$I$4:I709,"&lt;&gt;Штраф -2",$I$4:I709,"&lt;&gt;ушел на базу"))</f>
        <v/>
      </c>
      <c r="F709" s="4">
        <f>IF(E709="","",IF(E709&lt;=3,6,IF(E709&lt;=6,5,IF(E709&lt;=9,4,IF(E709&lt;=12,3,IF(E709&lt;=15,2,0))))))</f>
        <v/>
      </c>
      <c r="G709" s="3" t="n"/>
      <c r="H709" s="4">
        <f>IF(I709="Штраф -2",-2,IF(OR(F709="",G709=""),"",F709*G709+IF(J709="",0,J709)))</f>
        <v/>
      </c>
      <c r="I709" s="3" t="n"/>
      <c r="J709" s="3" t="n"/>
      <c r="K709" s="3" t="n"/>
    </row>
    <row r="710">
      <c r="A710" s="3" t="n"/>
      <c r="B710" s="3" t="n"/>
      <c r="C710" s="3" t="n"/>
      <c r="D710" s="3" t="n"/>
      <c r="E710" s="4">
        <f>IF(A710="","",COUNTIFS($A$4:A710,A710,$I$4:I710,"&lt;&gt;Штраф -2",$I$4:I710,"&lt;&gt;ушел на базу"))</f>
        <v/>
      </c>
      <c r="F710" s="4">
        <f>IF(E710="","",IF(E710&lt;=3,6,IF(E710&lt;=6,5,IF(E710&lt;=9,4,IF(E710&lt;=12,3,IF(E710&lt;=15,2,0))))))</f>
        <v/>
      </c>
      <c r="G710" s="3" t="n"/>
      <c r="H710" s="4">
        <f>IF(I710="Штраф -2",-2,IF(OR(F710="",G710=""),"",F710*G710+IF(J710="",0,J710)))</f>
        <v/>
      </c>
      <c r="I710" s="3" t="n"/>
      <c r="J710" s="3" t="n"/>
      <c r="K710" s="3" t="n"/>
    </row>
    <row r="711">
      <c r="A711" s="3" t="n"/>
      <c r="B711" s="3" t="n"/>
      <c r="C711" s="3" t="n"/>
      <c r="D711" s="3" t="n"/>
      <c r="E711" s="4">
        <f>IF(A711="","",COUNTIFS($A$4:A711,A711,$I$4:I711,"&lt;&gt;Штраф -2",$I$4:I711,"&lt;&gt;ушел на базу"))</f>
        <v/>
      </c>
      <c r="F711" s="4">
        <f>IF(E711="","",IF(E711&lt;=3,6,IF(E711&lt;=6,5,IF(E711&lt;=9,4,IF(E711&lt;=12,3,IF(E711&lt;=15,2,0))))))</f>
        <v/>
      </c>
      <c r="G711" s="3" t="n"/>
      <c r="H711" s="4">
        <f>IF(I711="Штраф -2",-2,IF(OR(F711="",G711=""),"",F711*G711+IF(J711="",0,J711)))</f>
        <v/>
      </c>
      <c r="I711" s="3" t="n"/>
      <c r="J711" s="3" t="n"/>
      <c r="K711" s="3" t="n"/>
    </row>
    <row r="712">
      <c r="A712" s="3" t="n"/>
      <c r="B712" s="3" t="n"/>
      <c r="C712" s="3" t="n"/>
      <c r="D712" s="3" t="n"/>
      <c r="E712" s="4">
        <f>IF(A712="","",COUNTIFS($A$4:A712,A712,$I$4:I712,"&lt;&gt;Штраф -2",$I$4:I712,"&lt;&gt;ушел на базу"))</f>
        <v/>
      </c>
      <c r="F712" s="4">
        <f>IF(E712="","",IF(E712&lt;=3,6,IF(E712&lt;=6,5,IF(E712&lt;=9,4,IF(E712&lt;=12,3,IF(E712&lt;=15,2,0))))))</f>
        <v/>
      </c>
      <c r="G712" s="3" t="n"/>
      <c r="H712" s="4">
        <f>IF(I712="Штраф -2",-2,IF(OR(F712="",G712=""),"",F712*G712+IF(J712="",0,J712)))</f>
        <v/>
      </c>
      <c r="I712" s="3" t="n"/>
      <c r="J712" s="3" t="n"/>
      <c r="K712" s="3" t="n"/>
    </row>
    <row r="713">
      <c r="A713" s="3" t="n"/>
      <c r="B713" s="3" t="n"/>
      <c r="C713" s="3" t="n"/>
      <c r="D713" s="3" t="n"/>
      <c r="E713" s="4">
        <f>IF(A713="","",COUNTIFS($A$4:A713,A713,$I$4:I713,"&lt;&gt;Штраф -2",$I$4:I713,"&lt;&gt;ушел на базу"))</f>
        <v/>
      </c>
      <c r="F713" s="4">
        <f>IF(E713="","",IF(E713&lt;=3,6,IF(E713&lt;=6,5,IF(E713&lt;=9,4,IF(E713&lt;=12,3,IF(E713&lt;=15,2,0))))))</f>
        <v/>
      </c>
      <c r="G713" s="3" t="n"/>
      <c r="H713" s="4">
        <f>IF(I713="Штраф -2",-2,IF(OR(F713="",G713=""),"",F713*G713+IF(J713="",0,J713)))</f>
        <v/>
      </c>
      <c r="I713" s="3" t="n"/>
      <c r="J713" s="3" t="n"/>
      <c r="K713" s="3" t="n"/>
    </row>
    <row r="714">
      <c r="A714" s="3" t="n"/>
      <c r="B714" s="3" t="n"/>
      <c r="C714" s="3" t="n"/>
      <c r="D714" s="3" t="n"/>
      <c r="E714" s="4">
        <f>IF(A714="","",COUNTIFS($A$4:A714,A714,$I$4:I714,"&lt;&gt;Штраф -2",$I$4:I714,"&lt;&gt;ушел на базу"))</f>
        <v/>
      </c>
      <c r="F714" s="4">
        <f>IF(E714="","",IF(E714&lt;=3,6,IF(E714&lt;=6,5,IF(E714&lt;=9,4,IF(E714&lt;=12,3,IF(E714&lt;=15,2,0))))))</f>
        <v/>
      </c>
      <c r="G714" s="3" t="n"/>
      <c r="H714" s="4">
        <f>IF(I714="Штраф -2",-2,IF(OR(F714="",G714=""),"",F714*G714+IF(J714="",0,J714)))</f>
        <v/>
      </c>
      <c r="I714" s="3" t="n"/>
      <c r="J714" s="3" t="n"/>
      <c r="K714" s="3" t="n"/>
    </row>
    <row r="715">
      <c r="A715" s="3" t="n"/>
      <c r="B715" s="3" t="n"/>
      <c r="C715" s="3" t="n"/>
      <c r="D715" s="3" t="n"/>
      <c r="E715" s="4">
        <f>IF(A715="","",COUNTIFS($A$4:A715,A715,$I$4:I715,"&lt;&gt;Штраф -2",$I$4:I715,"&lt;&gt;ушел на базу"))</f>
        <v/>
      </c>
      <c r="F715" s="4">
        <f>IF(E715="","",IF(E715&lt;=3,6,IF(E715&lt;=6,5,IF(E715&lt;=9,4,IF(E715&lt;=12,3,IF(E715&lt;=15,2,0))))))</f>
        <v/>
      </c>
      <c r="G715" s="3" t="n"/>
      <c r="H715" s="4">
        <f>IF(I715="Штраф -2",-2,IF(OR(F715="",G715=""),"",F715*G715+IF(J715="",0,J715)))</f>
        <v/>
      </c>
      <c r="I715" s="3" t="n"/>
      <c r="J715" s="3" t="n"/>
      <c r="K715" s="3" t="n"/>
    </row>
    <row r="716">
      <c r="A716" s="3" t="n"/>
      <c r="B716" s="3" t="n"/>
      <c r="C716" s="3" t="n"/>
      <c r="D716" s="3" t="n"/>
      <c r="E716" s="4">
        <f>IF(A716="","",COUNTIFS($A$4:A716,A716,$I$4:I716,"&lt;&gt;Штраф -2",$I$4:I716,"&lt;&gt;ушел на базу"))</f>
        <v/>
      </c>
      <c r="F716" s="4">
        <f>IF(E716="","",IF(E716&lt;=3,6,IF(E716&lt;=6,5,IF(E716&lt;=9,4,IF(E716&lt;=12,3,IF(E716&lt;=15,2,0))))))</f>
        <v/>
      </c>
      <c r="G716" s="3" t="n"/>
      <c r="H716" s="4">
        <f>IF(I716="Штраф -2",-2,IF(OR(F716="",G716=""),"",F716*G716+IF(J716="",0,J716)))</f>
        <v/>
      </c>
      <c r="I716" s="3" t="n"/>
      <c r="J716" s="3" t="n"/>
      <c r="K716" s="3" t="n"/>
    </row>
    <row r="717">
      <c r="A717" s="3" t="n"/>
      <c r="B717" s="3" t="n"/>
      <c r="C717" s="3" t="n"/>
      <c r="D717" s="3" t="n"/>
      <c r="E717" s="4">
        <f>IF(A717="","",COUNTIFS($A$4:A717,A717,$I$4:I717,"&lt;&gt;Штраф -2",$I$4:I717,"&lt;&gt;ушел на базу"))</f>
        <v/>
      </c>
      <c r="F717" s="4">
        <f>IF(E717="","",IF(E717&lt;=3,6,IF(E717&lt;=6,5,IF(E717&lt;=9,4,IF(E717&lt;=12,3,IF(E717&lt;=15,2,0))))))</f>
        <v/>
      </c>
      <c r="G717" s="3" t="n"/>
      <c r="H717" s="4">
        <f>IF(I717="Штраф -2",-2,IF(OR(F717="",G717=""),"",F717*G717+IF(J717="",0,J717)))</f>
        <v/>
      </c>
      <c r="I717" s="3" t="n"/>
      <c r="J717" s="3" t="n"/>
      <c r="K717" s="3" t="n"/>
    </row>
    <row r="718">
      <c r="A718" s="3" t="n"/>
      <c r="B718" s="3" t="n"/>
      <c r="C718" s="3" t="n"/>
      <c r="D718" s="3" t="n"/>
      <c r="E718" s="4">
        <f>IF(A718="","",COUNTIFS($A$4:A718,A718,$I$4:I718,"&lt;&gt;Штраф -2",$I$4:I718,"&lt;&gt;ушел на базу"))</f>
        <v/>
      </c>
      <c r="F718" s="4">
        <f>IF(E718="","",IF(E718&lt;=3,6,IF(E718&lt;=6,5,IF(E718&lt;=9,4,IF(E718&lt;=12,3,IF(E718&lt;=15,2,0))))))</f>
        <v/>
      </c>
      <c r="G718" s="3" t="n"/>
      <c r="H718" s="4">
        <f>IF(I718="Штраф -2",-2,IF(OR(F718="",G718=""),"",F718*G718+IF(J718="",0,J718)))</f>
        <v/>
      </c>
      <c r="I718" s="3" t="n"/>
      <c r="J718" s="3" t="n"/>
      <c r="K718" s="3" t="n"/>
    </row>
    <row r="719">
      <c r="A719" s="3" t="n"/>
      <c r="B719" s="3" t="n"/>
      <c r="C719" s="3" t="n"/>
      <c r="D719" s="3" t="n"/>
      <c r="E719" s="4">
        <f>IF(A719="","",COUNTIFS($A$4:A719,A719,$I$4:I719,"&lt;&gt;Штраф -2",$I$4:I719,"&lt;&gt;ушел на базу"))</f>
        <v/>
      </c>
      <c r="F719" s="4">
        <f>IF(E719="","",IF(E719&lt;=3,6,IF(E719&lt;=6,5,IF(E719&lt;=9,4,IF(E719&lt;=12,3,IF(E719&lt;=15,2,0))))))</f>
        <v/>
      </c>
      <c r="G719" s="3" t="n"/>
      <c r="H719" s="4">
        <f>IF(I719="Штраф -2",-2,IF(OR(F719="",G719=""),"",F719*G719+IF(J719="",0,J719)))</f>
        <v/>
      </c>
      <c r="I719" s="3" t="n"/>
      <c r="J719" s="3" t="n"/>
      <c r="K719" s="3" t="n"/>
    </row>
    <row r="720">
      <c r="A720" s="3" t="n"/>
      <c r="B720" s="3" t="n"/>
      <c r="C720" s="3" t="n"/>
      <c r="D720" s="3" t="n"/>
      <c r="E720" s="4">
        <f>IF(A720="","",COUNTIFS($A$4:A720,A720,$I$4:I720,"&lt;&gt;Штраф -2",$I$4:I720,"&lt;&gt;ушел на базу"))</f>
        <v/>
      </c>
      <c r="F720" s="4">
        <f>IF(E720="","",IF(E720&lt;=3,6,IF(E720&lt;=6,5,IF(E720&lt;=9,4,IF(E720&lt;=12,3,IF(E720&lt;=15,2,0))))))</f>
        <v/>
      </c>
      <c r="G720" s="3" t="n"/>
      <c r="H720" s="4">
        <f>IF(I720="Штраф -2",-2,IF(OR(F720="",G720=""),"",F720*G720+IF(J720="",0,J720)))</f>
        <v/>
      </c>
      <c r="I720" s="3" t="n"/>
      <c r="J720" s="3" t="n"/>
      <c r="K720" s="3" t="n"/>
    </row>
    <row r="721">
      <c r="A721" s="3" t="n"/>
      <c r="B721" s="3" t="n"/>
      <c r="C721" s="3" t="n"/>
      <c r="D721" s="3" t="n"/>
      <c r="E721" s="4">
        <f>IF(A721="","",COUNTIFS($A$4:A721,A721,$I$4:I721,"&lt;&gt;Штраф -2",$I$4:I721,"&lt;&gt;ушел на базу"))</f>
        <v/>
      </c>
      <c r="F721" s="4">
        <f>IF(E721="","",IF(E721&lt;=3,6,IF(E721&lt;=6,5,IF(E721&lt;=9,4,IF(E721&lt;=12,3,IF(E721&lt;=15,2,0))))))</f>
        <v/>
      </c>
      <c r="G721" s="3" t="n"/>
      <c r="H721" s="4">
        <f>IF(I721="Штраф -2",-2,IF(OR(F721="",G721=""),"",F721*G721+IF(J721="",0,J721)))</f>
        <v/>
      </c>
      <c r="I721" s="3" t="n"/>
      <c r="J721" s="3" t="n"/>
      <c r="K721" s="3" t="n"/>
    </row>
    <row r="722">
      <c r="A722" s="3" t="n"/>
      <c r="B722" s="3" t="n"/>
      <c r="C722" s="3" t="n"/>
      <c r="D722" s="3" t="n"/>
      <c r="E722" s="4">
        <f>IF(A722="","",COUNTIFS($A$4:A722,A722,$I$4:I722,"&lt;&gt;Штраф -2",$I$4:I722,"&lt;&gt;ушел на базу"))</f>
        <v/>
      </c>
      <c r="F722" s="4">
        <f>IF(E722="","",IF(E722&lt;=3,6,IF(E722&lt;=6,5,IF(E722&lt;=9,4,IF(E722&lt;=12,3,IF(E722&lt;=15,2,0))))))</f>
        <v/>
      </c>
      <c r="G722" s="3" t="n"/>
      <c r="H722" s="4">
        <f>IF(I722="Штраф -2",-2,IF(OR(F722="",G722=""),"",F722*G722+IF(J722="",0,J722)))</f>
        <v/>
      </c>
      <c r="I722" s="3" t="n"/>
      <c r="J722" s="3" t="n"/>
      <c r="K722" s="3" t="n"/>
    </row>
    <row r="723">
      <c r="A723" s="3" t="n"/>
      <c r="B723" s="3" t="n"/>
      <c r="C723" s="3" t="n"/>
      <c r="D723" s="3" t="n"/>
      <c r="E723" s="4">
        <f>IF(A723="","",COUNTIFS($A$4:A723,A723,$I$4:I723,"&lt;&gt;Штраф -2",$I$4:I723,"&lt;&gt;ушел на базу"))</f>
        <v/>
      </c>
      <c r="F723" s="4">
        <f>IF(E723="","",IF(E723&lt;=3,6,IF(E723&lt;=6,5,IF(E723&lt;=9,4,IF(E723&lt;=12,3,IF(E723&lt;=15,2,0))))))</f>
        <v/>
      </c>
      <c r="G723" s="3" t="n"/>
      <c r="H723" s="4">
        <f>IF(I723="Штраф -2",-2,IF(OR(F723="",G723=""),"",F723*G723+IF(J723="",0,J723)))</f>
        <v/>
      </c>
      <c r="I723" s="3" t="n"/>
      <c r="J723" s="3" t="n"/>
      <c r="K723" s="3" t="n"/>
    </row>
    <row r="724">
      <c r="A724" s="3" t="n"/>
      <c r="B724" s="3" t="n"/>
      <c r="C724" s="3" t="n"/>
      <c r="D724" s="3" t="n"/>
      <c r="E724" s="4">
        <f>IF(A724="","",COUNTIFS($A$4:A724,A724,$I$4:I724,"&lt;&gt;Штраф -2",$I$4:I724,"&lt;&gt;ушел на базу"))</f>
        <v/>
      </c>
      <c r="F724" s="4">
        <f>IF(E724="","",IF(E724&lt;=3,6,IF(E724&lt;=6,5,IF(E724&lt;=9,4,IF(E724&lt;=12,3,IF(E724&lt;=15,2,0))))))</f>
        <v/>
      </c>
      <c r="G724" s="3" t="n"/>
      <c r="H724" s="4">
        <f>IF(I724="Штраф -2",-2,IF(OR(F724="",G724=""),"",F724*G724+IF(J724="",0,J724)))</f>
        <v/>
      </c>
      <c r="I724" s="3" t="n"/>
      <c r="J724" s="3" t="n"/>
      <c r="K724" s="3" t="n"/>
    </row>
    <row r="725">
      <c r="A725" s="3" t="n"/>
      <c r="B725" s="3" t="n"/>
      <c r="C725" s="3" t="n"/>
      <c r="D725" s="3" t="n"/>
      <c r="E725" s="4">
        <f>IF(A725="","",COUNTIFS($A$4:A725,A725,$I$4:I725,"&lt;&gt;Штраф -2",$I$4:I725,"&lt;&gt;ушел на базу"))</f>
        <v/>
      </c>
      <c r="F725" s="4">
        <f>IF(E725="","",IF(E725&lt;=3,6,IF(E725&lt;=6,5,IF(E725&lt;=9,4,IF(E725&lt;=12,3,IF(E725&lt;=15,2,0))))))</f>
        <v/>
      </c>
      <c r="G725" s="3" t="n"/>
      <c r="H725" s="4">
        <f>IF(I725="Штраф -2",-2,IF(OR(F725="",G725=""),"",F725*G725+IF(J725="",0,J725)))</f>
        <v/>
      </c>
      <c r="I725" s="3" t="n"/>
      <c r="J725" s="3" t="n"/>
      <c r="K725" s="3" t="n"/>
    </row>
    <row r="726">
      <c r="A726" s="3" t="n"/>
      <c r="B726" s="3" t="n"/>
      <c r="C726" s="3" t="n"/>
      <c r="D726" s="3" t="n"/>
      <c r="E726" s="4">
        <f>IF(A726="","",COUNTIFS($A$4:A726,A726,$I$4:I726,"&lt;&gt;Штраф -2",$I$4:I726,"&lt;&gt;ушел на базу"))</f>
        <v/>
      </c>
      <c r="F726" s="4">
        <f>IF(E726="","",IF(E726&lt;=3,6,IF(E726&lt;=6,5,IF(E726&lt;=9,4,IF(E726&lt;=12,3,IF(E726&lt;=15,2,0))))))</f>
        <v/>
      </c>
      <c r="G726" s="3" t="n"/>
      <c r="H726" s="4">
        <f>IF(I726="Штраф -2",-2,IF(OR(F726="",G726=""),"",F726*G726+IF(J726="",0,J726)))</f>
        <v/>
      </c>
      <c r="I726" s="3" t="n"/>
      <c r="J726" s="3" t="n"/>
      <c r="K726" s="3" t="n"/>
    </row>
    <row r="727">
      <c r="A727" s="3" t="n"/>
      <c r="B727" s="3" t="n"/>
      <c r="C727" s="3" t="n"/>
      <c r="D727" s="3" t="n"/>
      <c r="E727" s="4">
        <f>IF(A727="","",COUNTIFS($A$4:A727,A727,$I$4:I727,"&lt;&gt;Штраф -2",$I$4:I727,"&lt;&gt;ушел на базу"))</f>
        <v/>
      </c>
      <c r="F727" s="4">
        <f>IF(E727="","",IF(E727&lt;=3,6,IF(E727&lt;=6,5,IF(E727&lt;=9,4,IF(E727&lt;=12,3,IF(E727&lt;=15,2,0))))))</f>
        <v/>
      </c>
      <c r="G727" s="3" t="n"/>
      <c r="H727" s="4">
        <f>IF(I727="Штраф -2",-2,IF(OR(F727="",G727=""),"",F727*G727+IF(J727="",0,J727)))</f>
        <v/>
      </c>
      <c r="I727" s="3" t="n"/>
      <c r="J727" s="3" t="n"/>
      <c r="K727" s="3" t="n"/>
    </row>
    <row r="728">
      <c r="A728" s="3" t="n"/>
      <c r="B728" s="3" t="n"/>
      <c r="C728" s="3" t="n"/>
      <c r="D728" s="3" t="n"/>
      <c r="E728" s="4">
        <f>IF(A728="","",COUNTIFS($A$4:A728,A728,$I$4:I728,"&lt;&gt;Штраф -2",$I$4:I728,"&lt;&gt;ушел на базу"))</f>
        <v/>
      </c>
      <c r="F728" s="4">
        <f>IF(E728="","",IF(E728&lt;=3,6,IF(E728&lt;=6,5,IF(E728&lt;=9,4,IF(E728&lt;=12,3,IF(E728&lt;=15,2,0))))))</f>
        <v/>
      </c>
      <c r="G728" s="3" t="n"/>
      <c r="H728" s="4">
        <f>IF(I728="Штраф -2",-2,IF(OR(F728="",G728=""),"",F728*G728+IF(J728="",0,J728)))</f>
        <v/>
      </c>
      <c r="I728" s="3" t="n"/>
      <c r="J728" s="3" t="n"/>
      <c r="K728" s="3" t="n"/>
    </row>
    <row r="729">
      <c r="A729" s="3" t="n"/>
      <c r="B729" s="3" t="n"/>
      <c r="C729" s="3" t="n"/>
      <c r="D729" s="3" t="n"/>
      <c r="E729" s="4">
        <f>IF(A729="","",COUNTIFS($A$4:A729,A729,$I$4:I729,"&lt;&gt;Штраф -2",$I$4:I729,"&lt;&gt;ушел на базу"))</f>
        <v/>
      </c>
      <c r="F729" s="4">
        <f>IF(E729="","",IF(E729&lt;=3,6,IF(E729&lt;=6,5,IF(E729&lt;=9,4,IF(E729&lt;=12,3,IF(E729&lt;=15,2,0))))))</f>
        <v/>
      </c>
      <c r="G729" s="3" t="n"/>
      <c r="H729" s="4">
        <f>IF(I729="Штраф -2",-2,IF(OR(F729="",G729=""),"",F729*G729+IF(J729="",0,J729)))</f>
        <v/>
      </c>
      <c r="I729" s="3" t="n"/>
      <c r="J729" s="3" t="n"/>
      <c r="K729" s="3" t="n"/>
    </row>
    <row r="730">
      <c r="A730" s="3" t="n"/>
      <c r="B730" s="3" t="n"/>
      <c r="C730" s="3" t="n"/>
      <c r="D730" s="3" t="n"/>
      <c r="E730" s="4">
        <f>IF(A730="","",COUNTIFS($A$4:A730,A730,$I$4:I730,"&lt;&gt;Штраф -2",$I$4:I730,"&lt;&gt;ушел на базу"))</f>
        <v/>
      </c>
      <c r="F730" s="4">
        <f>IF(E730="","",IF(E730&lt;=3,6,IF(E730&lt;=6,5,IF(E730&lt;=9,4,IF(E730&lt;=12,3,IF(E730&lt;=15,2,0))))))</f>
        <v/>
      </c>
      <c r="G730" s="3" t="n"/>
      <c r="H730" s="4">
        <f>IF(I730="Штраф -2",-2,IF(OR(F730="",G730=""),"",F730*G730+IF(J730="",0,J730)))</f>
        <v/>
      </c>
      <c r="I730" s="3" t="n"/>
      <c r="J730" s="3" t="n"/>
      <c r="K730" s="3" t="n"/>
    </row>
    <row r="731">
      <c r="A731" s="3" t="n"/>
      <c r="B731" s="3" t="n"/>
      <c r="C731" s="3" t="n"/>
      <c r="D731" s="3" t="n"/>
      <c r="E731" s="4">
        <f>IF(A731="","",COUNTIFS($A$4:A731,A731,$I$4:I731,"&lt;&gt;Штраф -2",$I$4:I731,"&lt;&gt;ушел на базу"))</f>
        <v/>
      </c>
      <c r="F731" s="4">
        <f>IF(E731="","",IF(E731&lt;=3,6,IF(E731&lt;=6,5,IF(E731&lt;=9,4,IF(E731&lt;=12,3,IF(E731&lt;=15,2,0))))))</f>
        <v/>
      </c>
      <c r="G731" s="3" t="n"/>
      <c r="H731" s="4">
        <f>IF(I731="Штраф -2",-2,IF(OR(F731="",G731=""),"",F731*G731+IF(J731="",0,J731)))</f>
        <v/>
      </c>
      <c r="I731" s="3" t="n"/>
      <c r="J731" s="3" t="n"/>
      <c r="K731" s="3" t="n"/>
    </row>
    <row r="732">
      <c r="A732" s="3" t="n"/>
      <c r="B732" s="3" t="n"/>
      <c r="C732" s="3" t="n"/>
      <c r="D732" s="3" t="n"/>
      <c r="E732" s="4">
        <f>IF(A732="","",COUNTIFS($A$4:A732,A732,$I$4:I732,"&lt;&gt;Штраф -2",$I$4:I732,"&lt;&gt;ушел на базу"))</f>
        <v/>
      </c>
      <c r="F732" s="4">
        <f>IF(E732="","",IF(E732&lt;=3,6,IF(E732&lt;=6,5,IF(E732&lt;=9,4,IF(E732&lt;=12,3,IF(E732&lt;=15,2,0))))))</f>
        <v/>
      </c>
      <c r="G732" s="3" t="n"/>
      <c r="H732" s="4">
        <f>IF(I732="Штраф -2",-2,IF(OR(F732="",G732=""),"",F732*G732+IF(J732="",0,J732)))</f>
        <v/>
      </c>
      <c r="I732" s="3" t="n"/>
      <c r="J732" s="3" t="n"/>
      <c r="K732" s="3" t="n"/>
    </row>
    <row r="733">
      <c r="A733" s="3" t="n"/>
      <c r="B733" s="3" t="n"/>
      <c r="C733" s="3" t="n"/>
      <c r="D733" s="3" t="n"/>
      <c r="E733" s="4">
        <f>IF(A733="","",COUNTIFS($A$4:A733,A733,$I$4:I733,"&lt;&gt;Штраф -2",$I$4:I733,"&lt;&gt;ушел на базу"))</f>
        <v/>
      </c>
      <c r="F733" s="4">
        <f>IF(E733="","",IF(E733&lt;=3,6,IF(E733&lt;=6,5,IF(E733&lt;=9,4,IF(E733&lt;=12,3,IF(E733&lt;=15,2,0))))))</f>
        <v/>
      </c>
      <c r="G733" s="3" t="n"/>
      <c r="H733" s="4">
        <f>IF(I733="Штраф -2",-2,IF(OR(F733="",G733=""),"",F733*G733+IF(J733="",0,J733)))</f>
        <v/>
      </c>
      <c r="I733" s="3" t="n"/>
      <c r="J733" s="3" t="n"/>
      <c r="K733" s="3" t="n"/>
    </row>
    <row r="734">
      <c r="A734" s="3" t="n"/>
      <c r="B734" s="3" t="n"/>
      <c r="C734" s="3" t="n"/>
      <c r="D734" s="3" t="n"/>
      <c r="E734" s="4">
        <f>IF(A734="","",COUNTIFS($A$4:A734,A734,$I$4:I734,"&lt;&gt;Штраф -2",$I$4:I734,"&lt;&gt;ушел на базу"))</f>
        <v/>
      </c>
      <c r="F734" s="4">
        <f>IF(E734="","",IF(E734&lt;=3,6,IF(E734&lt;=6,5,IF(E734&lt;=9,4,IF(E734&lt;=12,3,IF(E734&lt;=15,2,0))))))</f>
        <v/>
      </c>
      <c r="G734" s="3" t="n"/>
      <c r="H734" s="4">
        <f>IF(I734="Штраф -2",-2,IF(OR(F734="",G734=""),"",F734*G734+IF(J734="",0,J734)))</f>
        <v/>
      </c>
      <c r="I734" s="3" t="n"/>
      <c r="J734" s="3" t="n"/>
      <c r="K734" s="3" t="n"/>
    </row>
    <row r="735">
      <c r="A735" s="3" t="n"/>
      <c r="B735" s="3" t="n"/>
      <c r="C735" s="3" t="n"/>
      <c r="D735" s="3" t="n"/>
      <c r="E735" s="4">
        <f>IF(A735="","",COUNTIFS($A$4:A735,A735,$I$4:I735,"&lt;&gt;Штраф -2",$I$4:I735,"&lt;&gt;ушел на базу"))</f>
        <v/>
      </c>
      <c r="F735" s="4">
        <f>IF(E735="","",IF(E735&lt;=3,6,IF(E735&lt;=6,5,IF(E735&lt;=9,4,IF(E735&lt;=12,3,IF(E735&lt;=15,2,0))))))</f>
        <v/>
      </c>
      <c r="G735" s="3" t="n"/>
      <c r="H735" s="4">
        <f>IF(I735="Штраф -2",-2,IF(OR(F735="",G735=""),"",F735*G735+IF(J735="",0,J735)))</f>
        <v/>
      </c>
      <c r="I735" s="3" t="n"/>
      <c r="J735" s="3" t="n"/>
      <c r="K735" s="3" t="n"/>
    </row>
    <row r="736">
      <c r="A736" s="3" t="n"/>
      <c r="B736" s="3" t="n"/>
      <c r="C736" s="3" t="n"/>
      <c r="D736" s="3" t="n"/>
      <c r="E736" s="4">
        <f>IF(A736="","",COUNTIFS($A$4:A736,A736,$I$4:I736,"&lt;&gt;Штраф -2",$I$4:I736,"&lt;&gt;ушел на базу"))</f>
        <v/>
      </c>
      <c r="F736" s="4">
        <f>IF(E736="","",IF(E736&lt;=3,6,IF(E736&lt;=6,5,IF(E736&lt;=9,4,IF(E736&lt;=12,3,IF(E736&lt;=15,2,0))))))</f>
        <v/>
      </c>
      <c r="G736" s="3" t="n"/>
      <c r="H736" s="4">
        <f>IF(I736="Штраф -2",-2,IF(OR(F736="",G736=""),"",F736*G736+IF(J736="",0,J736)))</f>
        <v/>
      </c>
      <c r="I736" s="3" t="n"/>
      <c r="J736" s="3" t="n"/>
      <c r="K736" s="3" t="n"/>
    </row>
    <row r="737">
      <c r="A737" s="3" t="n"/>
      <c r="B737" s="3" t="n"/>
      <c r="C737" s="3" t="n"/>
      <c r="D737" s="3" t="n"/>
      <c r="E737" s="4">
        <f>IF(A737="","",COUNTIFS($A$4:A737,A737,$I$4:I737,"&lt;&gt;Штраф -2",$I$4:I737,"&lt;&gt;ушел на базу"))</f>
        <v/>
      </c>
      <c r="F737" s="4">
        <f>IF(E737="","",IF(E737&lt;=3,6,IF(E737&lt;=6,5,IF(E737&lt;=9,4,IF(E737&lt;=12,3,IF(E737&lt;=15,2,0))))))</f>
        <v/>
      </c>
      <c r="G737" s="3" t="n"/>
      <c r="H737" s="4">
        <f>IF(I737="Штраф -2",-2,IF(OR(F737="",G737=""),"",F737*G737+IF(J737="",0,J737)))</f>
        <v/>
      </c>
      <c r="I737" s="3" t="n"/>
      <c r="J737" s="3" t="n"/>
      <c r="K737" s="3" t="n"/>
    </row>
    <row r="738">
      <c r="A738" s="3" t="n"/>
      <c r="B738" s="3" t="n"/>
      <c r="C738" s="3" t="n"/>
      <c r="D738" s="3" t="n"/>
      <c r="E738" s="4">
        <f>IF(A738="","",COUNTIFS($A$4:A738,A738,$I$4:I738,"&lt;&gt;Штраф -2",$I$4:I738,"&lt;&gt;ушел на базу"))</f>
        <v/>
      </c>
      <c r="F738" s="4">
        <f>IF(E738="","",IF(E738&lt;=3,6,IF(E738&lt;=6,5,IF(E738&lt;=9,4,IF(E738&lt;=12,3,IF(E738&lt;=15,2,0))))))</f>
        <v/>
      </c>
      <c r="G738" s="3" t="n"/>
      <c r="H738" s="4">
        <f>IF(I738="Штраф -2",-2,IF(OR(F738="",G738=""),"",F738*G738+IF(J738="",0,J738)))</f>
        <v/>
      </c>
      <c r="I738" s="3" t="n"/>
      <c r="J738" s="3" t="n"/>
      <c r="K738" s="3" t="n"/>
    </row>
    <row r="739">
      <c r="A739" s="3" t="n"/>
      <c r="B739" s="3" t="n"/>
      <c r="C739" s="3" t="n"/>
      <c r="D739" s="3" t="n"/>
      <c r="E739" s="4">
        <f>IF(A739="","",COUNTIFS($A$4:A739,A739,$I$4:I739,"&lt;&gt;Штраф -2",$I$4:I739,"&lt;&gt;ушел на базу"))</f>
        <v/>
      </c>
      <c r="F739" s="4">
        <f>IF(E739="","",IF(E739&lt;=3,6,IF(E739&lt;=6,5,IF(E739&lt;=9,4,IF(E739&lt;=12,3,IF(E739&lt;=15,2,0))))))</f>
        <v/>
      </c>
      <c r="G739" s="3" t="n"/>
      <c r="H739" s="4">
        <f>IF(I739="Штраф -2",-2,IF(OR(F739="",G739=""),"",F739*G739+IF(J739="",0,J739)))</f>
        <v/>
      </c>
      <c r="I739" s="3" t="n"/>
      <c r="J739" s="3" t="n"/>
      <c r="K739" s="3" t="n"/>
    </row>
    <row r="740">
      <c r="A740" s="3" t="n"/>
      <c r="B740" s="3" t="n"/>
      <c r="C740" s="3" t="n"/>
      <c r="D740" s="3" t="n"/>
      <c r="E740" s="4">
        <f>IF(A740="","",COUNTIFS($A$4:A740,A740,$I$4:I740,"&lt;&gt;Штраф -2",$I$4:I740,"&lt;&gt;ушел на базу"))</f>
        <v/>
      </c>
      <c r="F740" s="4">
        <f>IF(E740="","",IF(E740&lt;=3,6,IF(E740&lt;=6,5,IF(E740&lt;=9,4,IF(E740&lt;=12,3,IF(E740&lt;=15,2,0))))))</f>
        <v/>
      </c>
      <c r="G740" s="3" t="n"/>
      <c r="H740" s="4">
        <f>IF(I740="Штраф -2",-2,IF(OR(F740="",G740=""),"",F740*G740+IF(J740="",0,J740)))</f>
        <v/>
      </c>
      <c r="I740" s="3" t="n"/>
      <c r="J740" s="3" t="n"/>
      <c r="K740" s="3" t="n"/>
    </row>
    <row r="741">
      <c r="A741" s="3" t="n"/>
      <c r="B741" s="3" t="n"/>
      <c r="C741" s="3" t="n"/>
      <c r="D741" s="3" t="n"/>
      <c r="E741" s="4">
        <f>IF(A741="","",COUNTIFS($A$4:A741,A741,$I$4:I741,"&lt;&gt;Штраф -2",$I$4:I741,"&lt;&gt;ушел на базу"))</f>
        <v/>
      </c>
      <c r="F741" s="4">
        <f>IF(E741="","",IF(E741&lt;=3,6,IF(E741&lt;=6,5,IF(E741&lt;=9,4,IF(E741&lt;=12,3,IF(E741&lt;=15,2,0))))))</f>
        <v/>
      </c>
      <c r="G741" s="3" t="n"/>
      <c r="H741" s="4">
        <f>IF(I741="Штраф -2",-2,IF(OR(F741="",G741=""),"",F741*G741+IF(J741="",0,J741)))</f>
        <v/>
      </c>
      <c r="I741" s="3" t="n"/>
      <c r="J741" s="3" t="n"/>
      <c r="K741" s="3" t="n"/>
    </row>
    <row r="742">
      <c r="A742" s="3" t="n"/>
      <c r="B742" s="3" t="n"/>
      <c r="C742" s="3" t="n"/>
      <c r="D742" s="3" t="n"/>
      <c r="E742" s="4">
        <f>IF(A742="","",COUNTIFS($A$4:A742,A742,$I$4:I742,"&lt;&gt;Штраф -2",$I$4:I742,"&lt;&gt;ушел на базу"))</f>
        <v/>
      </c>
      <c r="F742" s="4">
        <f>IF(E742="","",IF(E742&lt;=3,6,IF(E742&lt;=6,5,IF(E742&lt;=9,4,IF(E742&lt;=12,3,IF(E742&lt;=15,2,0))))))</f>
        <v/>
      </c>
      <c r="G742" s="3" t="n"/>
      <c r="H742" s="4">
        <f>IF(I742="Штраф -2",-2,IF(OR(F742="",G742=""),"",F742*G742+IF(J742="",0,J742)))</f>
        <v/>
      </c>
      <c r="I742" s="3" t="n"/>
      <c r="J742" s="3" t="n"/>
      <c r="K742" s="3" t="n"/>
    </row>
    <row r="743">
      <c r="A743" s="3" t="n"/>
      <c r="B743" s="3" t="n"/>
      <c r="C743" s="3" t="n"/>
      <c r="D743" s="3" t="n"/>
      <c r="E743" s="4">
        <f>IF(A743="","",COUNTIFS($A$4:A743,A743,$I$4:I743,"&lt;&gt;Штраф -2",$I$4:I743,"&lt;&gt;ушел на базу"))</f>
        <v/>
      </c>
      <c r="F743" s="4">
        <f>IF(E743="","",IF(E743&lt;=3,6,IF(E743&lt;=6,5,IF(E743&lt;=9,4,IF(E743&lt;=12,3,IF(E743&lt;=15,2,0))))))</f>
        <v/>
      </c>
      <c r="G743" s="3" t="n"/>
      <c r="H743" s="4">
        <f>IF(I743="Штраф -2",-2,IF(OR(F743="",G743=""),"",F743*G743+IF(J743="",0,J743)))</f>
        <v/>
      </c>
      <c r="I743" s="3" t="n"/>
      <c r="J743" s="3" t="n"/>
      <c r="K743" s="3" t="n"/>
    </row>
    <row r="744">
      <c r="A744" s="3" t="n"/>
      <c r="B744" s="3" t="n"/>
      <c r="C744" s="3" t="n"/>
      <c r="D744" s="3" t="n"/>
      <c r="E744" s="4">
        <f>IF(A744="","",COUNTIFS($A$4:A744,A744,$I$4:I744,"&lt;&gt;Штраф -2",$I$4:I744,"&lt;&gt;ушел на базу"))</f>
        <v/>
      </c>
      <c r="F744" s="4">
        <f>IF(E744="","",IF(E744&lt;=3,6,IF(E744&lt;=6,5,IF(E744&lt;=9,4,IF(E744&lt;=12,3,IF(E744&lt;=15,2,0))))))</f>
        <v/>
      </c>
      <c r="G744" s="3" t="n"/>
      <c r="H744" s="4">
        <f>IF(I744="Штраф -2",-2,IF(OR(F744="",G744=""),"",F744*G744+IF(J744="",0,J744)))</f>
        <v/>
      </c>
      <c r="I744" s="3" t="n"/>
      <c r="J744" s="3" t="n"/>
      <c r="K744" s="3" t="n"/>
    </row>
    <row r="745">
      <c r="A745" s="3" t="n"/>
      <c r="B745" s="3" t="n"/>
      <c r="C745" s="3" t="n"/>
      <c r="D745" s="3" t="n"/>
      <c r="E745" s="4">
        <f>IF(A745="","",COUNTIFS($A$4:A745,A745,$I$4:I745,"&lt;&gt;Штраф -2",$I$4:I745,"&lt;&gt;ушел на базу"))</f>
        <v/>
      </c>
      <c r="F745" s="4">
        <f>IF(E745="","",IF(E745&lt;=3,6,IF(E745&lt;=6,5,IF(E745&lt;=9,4,IF(E745&lt;=12,3,IF(E745&lt;=15,2,0))))))</f>
        <v/>
      </c>
      <c r="G745" s="3" t="n"/>
      <c r="H745" s="4">
        <f>IF(I745="Штраф -2",-2,IF(OR(F745="",G745=""),"",F745*G745+IF(J745="",0,J745)))</f>
        <v/>
      </c>
      <c r="I745" s="3" t="n"/>
      <c r="J745" s="3" t="n"/>
      <c r="K745" s="3" t="n"/>
    </row>
    <row r="746">
      <c r="A746" s="3" t="n"/>
      <c r="B746" s="3" t="n"/>
      <c r="C746" s="3" t="n"/>
      <c r="D746" s="3" t="n"/>
      <c r="E746" s="4">
        <f>IF(A746="","",COUNTIFS($A$4:A746,A746,$I$4:I746,"&lt;&gt;Штраф -2",$I$4:I746,"&lt;&gt;ушел на базу"))</f>
        <v/>
      </c>
      <c r="F746" s="4">
        <f>IF(E746="","",IF(E746&lt;=3,6,IF(E746&lt;=6,5,IF(E746&lt;=9,4,IF(E746&lt;=12,3,IF(E746&lt;=15,2,0))))))</f>
        <v/>
      </c>
      <c r="G746" s="3" t="n"/>
      <c r="H746" s="4">
        <f>IF(I746="Штраф -2",-2,IF(OR(F746="",G746=""),"",F746*G746+IF(J746="",0,J746)))</f>
        <v/>
      </c>
      <c r="I746" s="3" t="n"/>
      <c r="J746" s="3" t="n"/>
      <c r="K746" s="3" t="n"/>
    </row>
    <row r="747">
      <c r="A747" s="3" t="n"/>
      <c r="B747" s="3" t="n"/>
      <c r="C747" s="3" t="n"/>
      <c r="D747" s="3" t="n"/>
      <c r="E747" s="4">
        <f>IF(A747="","",COUNTIFS($A$4:A747,A747,$I$4:I747,"&lt;&gt;Штраф -2",$I$4:I747,"&lt;&gt;ушел на базу"))</f>
        <v/>
      </c>
      <c r="F747" s="4">
        <f>IF(E747="","",IF(E747&lt;=3,6,IF(E747&lt;=6,5,IF(E747&lt;=9,4,IF(E747&lt;=12,3,IF(E747&lt;=15,2,0))))))</f>
        <v/>
      </c>
      <c r="G747" s="3" t="n"/>
      <c r="H747" s="4">
        <f>IF(I747="Штраф -2",-2,IF(OR(F747="",G747=""),"",F747*G747+IF(J747="",0,J747)))</f>
        <v/>
      </c>
      <c r="I747" s="3" t="n"/>
      <c r="J747" s="3" t="n"/>
      <c r="K747" s="3" t="n"/>
    </row>
    <row r="748">
      <c r="A748" s="3" t="n"/>
      <c r="B748" s="3" t="n"/>
      <c r="C748" s="3" t="n"/>
      <c r="D748" s="3" t="n"/>
      <c r="E748" s="4">
        <f>IF(A748="","",COUNTIFS($A$4:A748,A748,$I$4:I748,"&lt;&gt;Штраф -2",$I$4:I748,"&lt;&gt;ушел на базу"))</f>
        <v/>
      </c>
      <c r="F748" s="4">
        <f>IF(E748="","",IF(E748&lt;=3,6,IF(E748&lt;=6,5,IF(E748&lt;=9,4,IF(E748&lt;=12,3,IF(E748&lt;=15,2,0))))))</f>
        <v/>
      </c>
      <c r="G748" s="3" t="n"/>
      <c r="H748" s="4">
        <f>IF(I748="Штраф -2",-2,IF(OR(F748="",G748=""),"",F748*G748+IF(J748="",0,J748)))</f>
        <v/>
      </c>
      <c r="I748" s="3" t="n"/>
      <c r="J748" s="3" t="n"/>
      <c r="K748" s="3" t="n"/>
    </row>
    <row r="749">
      <c r="A749" s="3" t="n"/>
      <c r="B749" s="3" t="n"/>
      <c r="C749" s="3" t="n"/>
      <c r="D749" s="3" t="n"/>
      <c r="E749" s="4">
        <f>IF(A749="","",COUNTIFS($A$4:A749,A749,$I$4:I749,"&lt;&gt;Штраф -2",$I$4:I749,"&lt;&gt;ушел на базу"))</f>
        <v/>
      </c>
      <c r="F749" s="4">
        <f>IF(E749="","",IF(E749&lt;=3,6,IF(E749&lt;=6,5,IF(E749&lt;=9,4,IF(E749&lt;=12,3,IF(E749&lt;=15,2,0))))))</f>
        <v/>
      </c>
      <c r="G749" s="3" t="n"/>
      <c r="H749" s="4">
        <f>IF(I749="Штраф -2",-2,IF(OR(F749="",G749=""),"",F749*G749+IF(J749="",0,J749)))</f>
        <v/>
      </c>
      <c r="I749" s="3" t="n"/>
      <c r="J749" s="3" t="n"/>
      <c r="K749" s="3" t="n"/>
    </row>
    <row r="750">
      <c r="A750" s="3" t="n"/>
      <c r="B750" s="3" t="n"/>
      <c r="C750" s="3" t="n"/>
      <c r="D750" s="3" t="n"/>
      <c r="E750" s="4">
        <f>IF(A750="","",COUNTIFS($A$4:A750,A750,$I$4:I750,"&lt;&gt;Штраф -2",$I$4:I750,"&lt;&gt;ушел на базу"))</f>
        <v/>
      </c>
      <c r="F750" s="4">
        <f>IF(E750="","",IF(E750&lt;=3,6,IF(E750&lt;=6,5,IF(E750&lt;=9,4,IF(E750&lt;=12,3,IF(E750&lt;=15,2,0))))))</f>
        <v/>
      </c>
      <c r="G750" s="3" t="n"/>
      <c r="H750" s="4">
        <f>IF(I750="Штраф -2",-2,IF(OR(F750="",G750=""),"",F750*G750+IF(J750="",0,J750)))</f>
        <v/>
      </c>
      <c r="I750" s="3" t="n"/>
      <c r="J750" s="3" t="n"/>
      <c r="K750" s="3" t="n"/>
    </row>
    <row r="751">
      <c r="A751" s="3" t="n"/>
      <c r="B751" s="3" t="n"/>
      <c r="C751" s="3" t="n"/>
      <c r="D751" s="3" t="n"/>
      <c r="E751" s="4">
        <f>IF(A751="","",COUNTIFS($A$4:A751,A751,$I$4:I751,"&lt;&gt;Штраф -2",$I$4:I751,"&lt;&gt;ушел на базу"))</f>
        <v/>
      </c>
      <c r="F751" s="4">
        <f>IF(E751="","",IF(E751&lt;=3,6,IF(E751&lt;=6,5,IF(E751&lt;=9,4,IF(E751&lt;=12,3,IF(E751&lt;=15,2,0))))))</f>
        <v/>
      </c>
      <c r="G751" s="3" t="n"/>
      <c r="H751" s="4">
        <f>IF(I751="Штраф -2",-2,IF(OR(F751="",G751=""),"",F751*G751+IF(J751="",0,J751)))</f>
        <v/>
      </c>
      <c r="I751" s="3" t="n"/>
      <c r="J751" s="3" t="n"/>
      <c r="K751" s="3" t="n"/>
    </row>
    <row r="752">
      <c r="A752" s="3" t="n"/>
      <c r="B752" s="3" t="n"/>
      <c r="C752" s="3" t="n"/>
      <c r="D752" s="3" t="n"/>
      <c r="E752" s="4">
        <f>IF(A752="","",COUNTIFS($A$4:A752,A752,$I$4:I752,"&lt;&gt;Штраф -2",$I$4:I752,"&lt;&gt;ушел на базу"))</f>
        <v/>
      </c>
      <c r="F752" s="4">
        <f>IF(E752="","",IF(E752&lt;=3,6,IF(E752&lt;=6,5,IF(E752&lt;=9,4,IF(E752&lt;=12,3,IF(E752&lt;=15,2,0))))))</f>
        <v/>
      </c>
      <c r="G752" s="3" t="n"/>
      <c r="H752" s="4">
        <f>IF(I752="Штраф -2",-2,IF(OR(F752="",G752=""),"",F752*G752+IF(J752="",0,J752)))</f>
        <v/>
      </c>
      <c r="I752" s="3" t="n"/>
      <c r="J752" s="3" t="n"/>
      <c r="K752" s="3" t="n"/>
    </row>
    <row r="753">
      <c r="A753" s="3" t="n"/>
      <c r="B753" s="3" t="n"/>
      <c r="C753" s="3" t="n"/>
      <c r="D753" s="3" t="n"/>
      <c r="E753" s="4">
        <f>IF(A753="","",COUNTIFS($A$4:A753,A753,$I$4:I753,"&lt;&gt;Штраф -2",$I$4:I753,"&lt;&gt;ушел на базу"))</f>
        <v/>
      </c>
      <c r="F753" s="4">
        <f>IF(E753="","",IF(E753&lt;=3,6,IF(E753&lt;=6,5,IF(E753&lt;=9,4,IF(E753&lt;=12,3,IF(E753&lt;=15,2,0))))))</f>
        <v/>
      </c>
      <c r="G753" s="3" t="n"/>
      <c r="H753" s="4">
        <f>IF(I753="Штраф -2",-2,IF(OR(F753="",G753=""),"",F753*G753+IF(J753="",0,J753)))</f>
        <v/>
      </c>
      <c r="I753" s="3" t="n"/>
      <c r="J753" s="3" t="n"/>
      <c r="K753" s="3" t="n"/>
    </row>
    <row r="754">
      <c r="A754" s="3" t="n"/>
      <c r="B754" s="3" t="n"/>
      <c r="C754" s="3" t="n"/>
      <c r="D754" s="3" t="n"/>
      <c r="E754" s="4">
        <f>IF(A754="","",COUNTIFS($A$4:A754,A754,$I$4:I754,"&lt;&gt;Штраф -2",$I$4:I754,"&lt;&gt;ушел на базу"))</f>
        <v/>
      </c>
      <c r="F754" s="4">
        <f>IF(E754="","",IF(E754&lt;=3,6,IF(E754&lt;=6,5,IF(E754&lt;=9,4,IF(E754&lt;=12,3,IF(E754&lt;=15,2,0))))))</f>
        <v/>
      </c>
      <c r="G754" s="3" t="n"/>
      <c r="H754" s="4">
        <f>IF(I754="Штраф -2",-2,IF(OR(F754="",G754=""),"",F754*G754+IF(J754="",0,J754)))</f>
        <v/>
      </c>
      <c r="I754" s="3" t="n"/>
      <c r="J754" s="3" t="n"/>
      <c r="K754" s="3" t="n"/>
    </row>
    <row r="755">
      <c r="A755" s="3" t="n"/>
      <c r="B755" s="3" t="n"/>
      <c r="C755" s="3" t="n"/>
      <c r="D755" s="3" t="n"/>
      <c r="E755" s="4">
        <f>IF(A755="","",COUNTIFS($A$4:A755,A755,$I$4:I755,"&lt;&gt;Штраф -2",$I$4:I755,"&lt;&gt;ушел на базу"))</f>
        <v/>
      </c>
      <c r="F755" s="4">
        <f>IF(E755="","",IF(E755&lt;=3,6,IF(E755&lt;=6,5,IF(E755&lt;=9,4,IF(E755&lt;=12,3,IF(E755&lt;=15,2,0))))))</f>
        <v/>
      </c>
      <c r="G755" s="3" t="n"/>
      <c r="H755" s="4">
        <f>IF(I755="Штраф -2",-2,IF(OR(F755="",G755=""),"",F755*G755+IF(J755="",0,J755)))</f>
        <v/>
      </c>
      <c r="I755" s="3" t="n"/>
      <c r="J755" s="3" t="n"/>
      <c r="K755" s="3" t="n"/>
    </row>
    <row r="756">
      <c r="A756" s="3" t="n"/>
      <c r="B756" s="3" t="n"/>
      <c r="C756" s="3" t="n"/>
      <c r="D756" s="3" t="n"/>
      <c r="E756" s="4">
        <f>IF(A756="","",COUNTIFS($A$4:A756,A756,$I$4:I756,"&lt;&gt;Штраф -2",$I$4:I756,"&lt;&gt;ушел на базу"))</f>
        <v/>
      </c>
      <c r="F756" s="4">
        <f>IF(E756="","",IF(E756&lt;=3,6,IF(E756&lt;=6,5,IF(E756&lt;=9,4,IF(E756&lt;=12,3,IF(E756&lt;=15,2,0))))))</f>
        <v/>
      </c>
      <c r="G756" s="3" t="n"/>
      <c r="H756" s="4">
        <f>IF(I756="Штраф -2",-2,IF(OR(F756="",G756=""),"",F756*G756+IF(J756="",0,J756)))</f>
        <v/>
      </c>
      <c r="I756" s="3" t="n"/>
      <c r="J756" s="3" t="n"/>
      <c r="K756" s="3" t="n"/>
    </row>
    <row r="757">
      <c r="A757" s="3" t="n"/>
      <c r="B757" s="3" t="n"/>
      <c r="C757" s="3" t="n"/>
      <c r="D757" s="3" t="n"/>
      <c r="E757" s="4">
        <f>IF(A757="","",COUNTIFS($A$4:A757,A757,$I$4:I757,"&lt;&gt;Штраф -2",$I$4:I757,"&lt;&gt;ушел на базу"))</f>
        <v/>
      </c>
      <c r="F757" s="4">
        <f>IF(E757="","",IF(E757&lt;=3,6,IF(E757&lt;=6,5,IF(E757&lt;=9,4,IF(E757&lt;=12,3,IF(E757&lt;=15,2,0))))))</f>
        <v/>
      </c>
      <c r="G757" s="3" t="n"/>
      <c r="H757" s="4">
        <f>IF(I757="Штраф -2",-2,IF(OR(F757="",G757=""),"",F757*G757+IF(J757="",0,J757)))</f>
        <v/>
      </c>
      <c r="I757" s="3" t="n"/>
      <c r="J757" s="3" t="n"/>
      <c r="K757" s="3" t="n"/>
    </row>
    <row r="758">
      <c r="A758" s="3" t="n"/>
      <c r="B758" s="3" t="n"/>
      <c r="C758" s="3" t="n"/>
      <c r="D758" s="3" t="n"/>
      <c r="E758" s="4">
        <f>IF(A758="","",COUNTIFS($A$4:A758,A758,$I$4:I758,"&lt;&gt;Штраф -2",$I$4:I758,"&lt;&gt;ушел на базу"))</f>
        <v/>
      </c>
      <c r="F758" s="4">
        <f>IF(E758="","",IF(E758&lt;=3,6,IF(E758&lt;=6,5,IF(E758&lt;=9,4,IF(E758&lt;=12,3,IF(E758&lt;=15,2,0))))))</f>
        <v/>
      </c>
      <c r="G758" s="3" t="n"/>
      <c r="H758" s="4">
        <f>IF(I758="Штраф -2",-2,IF(OR(F758="",G758=""),"",F758*G758+IF(J758="",0,J758)))</f>
        <v/>
      </c>
      <c r="I758" s="3" t="n"/>
      <c r="J758" s="3" t="n"/>
      <c r="K758" s="3" t="n"/>
    </row>
    <row r="759">
      <c r="A759" s="3" t="n"/>
      <c r="B759" s="3" t="n"/>
      <c r="C759" s="3" t="n"/>
      <c r="D759" s="3" t="n"/>
      <c r="E759" s="4">
        <f>IF(A759="","",COUNTIFS($A$4:A759,A759,$I$4:I759,"&lt;&gt;Штраф -2",$I$4:I759,"&lt;&gt;ушел на базу"))</f>
        <v/>
      </c>
      <c r="F759" s="4">
        <f>IF(E759="","",IF(E759&lt;=3,6,IF(E759&lt;=6,5,IF(E759&lt;=9,4,IF(E759&lt;=12,3,IF(E759&lt;=15,2,0))))))</f>
        <v/>
      </c>
      <c r="G759" s="3" t="n"/>
      <c r="H759" s="4">
        <f>IF(I759="Штраф -2",-2,IF(OR(F759="",G759=""),"",F759*G759+IF(J759="",0,J759)))</f>
        <v/>
      </c>
      <c r="I759" s="3" t="n"/>
      <c r="J759" s="3" t="n"/>
      <c r="K759" s="3" t="n"/>
    </row>
    <row r="760">
      <c r="A760" s="3" t="n"/>
      <c r="B760" s="3" t="n"/>
      <c r="C760" s="3" t="n"/>
      <c r="D760" s="3" t="n"/>
      <c r="E760" s="4">
        <f>IF(A760="","",COUNTIFS($A$4:A760,A760,$I$4:I760,"&lt;&gt;Штраф -2",$I$4:I760,"&lt;&gt;ушел на базу"))</f>
        <v/>
      </c>
      <c r="F760" s="4">
        <f>IF(E760="","",IF(E760&lt;=3,6,IF(E760&lt;=6,5,IF(E760&lt;=9,4,IF(E760&lt;=12,3,IF(E760&lt;=15,2,0))))))</f>
        <v/>
      </c>
      <c r="G760" s="3" t="n"/>
      <c r="H760" s="4">
        <f>IF(I760="Штраф -2",-2,IF(OR(F760="",G760=""),"",F760*G760+IF(J760="",0,J760)))</f>
        <v/>
      </c>
      <c r="I760" s="3" t="n"/>
      <c r="J760" s="3" t="n"/>
      <c r="K760" s="3" t="n"/>
    </row>
    <row r="761">
      <c r="A761" s="3" t="n"/>
      <c r="B761" s="3" t="n"/>
      <c r="C761" s="3" t="n"/>
      <c r="D761" s="3" t="n"/>
      <c r="E761" s="4">
        <f>IF(A761="","",COUNTIFS($A$4:A761,A761,$I$4:I761,"&lt;&gt;Штраф -2",$I$4:I761,"&lt;&gt;ушел на базу"))</f>
        <v/>
      </c>
      <c r="F761" s="4">
        <f>IF(E761="","",IF(E761&lt;=3,6,IF(E761&lt;=6,5,IF(E761&lt;=9,4,IF(E761&lt;=12,3,IF(E761&lt;=15,2,0))))))</f>
        <v/>
      </c>
      <c r="G761" s="3" t="n"/>
      <c r="H761" s="4">
        <f>IF(I761="Штраф -2",-2,IF(OR(F761="",G761=""),"",F761*G761+IF(J761="",0,J761)))</f>
        <v/>
      </c>
      <c r="I761" s="3" t="n"/>
      <c r="J761" s="3" t="n"/>
      <c r="K761" s="3" t="n"/>
    </row>
    <row r="762">
      <c r="A762" s="3" t="n"/>
      <c r="B762" s="3" t="n"/>
      <c r="C762" s="3" t="n"/>
      <c r="D762" s="3" t="n"/>
      <c r="E762" s="4">
        <f>IF(A762="","",COUNTIFS($A$4:A762,A762,$I$4:I762,"&lt;&gt;Штраф -2",$I$4:I762,"&lt;&gt;ушел на базу"))</f>
        <v/>
      </c>
      <c r="F762" s="4">
        <f>IF(E762="","",IF(E762&lt;=3,6,IF(E762&lt;=6,5,IF(E762&lt;=9,4,IF(E762&lt;=12,3,IF(E762&lt;=15,2,0))))))</f>
        <v/>
      </c>
      <c r="G762" s="3" t="n"/>
      <c r="H762" s="4">
        <f>IF(I762="Штраф -2",-2,IF(OR(F762="",G762=""),"",F762*G762+IF(J762="",0,J762)))</f>
        <v/>
      </c>
      <c r="I762" s="3" t="n"/>
      <c r="J762" s="3" t="n"/>
      <c r="K762" s="3" t="n"/>
    </row>
    <row r="763">
      <c r="A763" s="3" t="n"/>
      <c r="B763" s="3" t="n"/>
      <c r="C763" s="3" t="n"/>
      <c r="D763" s="3" t="n"/>
      <c r="E763" s="4">
        <f>IF(A763="","",COUNTIFS($A$4:A763,A763,$I$4:I763,"&lt;&gt;Штраф -2",$I$4:I763,"&lt;&gt;ушел на базу"))</f>
        <v/>
      </c>
      <c r="F763" s="4">
        <f>IF(E763="","",IF(E763&lt;=3,6,IF(E763&lt;=6,5,IF(E763&lt;=9,4,IF(E763&lt;=12,3,IF(E763&lt;=15,2,0))))))</f>
        <v/>
      </c>
      <c r="G763" s="3" t="n"/>
      <c r="H763" s="4">
        <f>IF(I763="Штраф -2",-2,IF(OR(F763="",G763=""),"",F763*G763+IF(J763="",0,J763)))</f>
        <v/>
      </c>
      <c r="I763" s="3" t="n"/>
      <c r="J763" s="3" t="n"/>
      <c r="K763" s="3" t="n"/>
    </row>
    <row r="764">
      <c r="A764" s="3" t="n"/>
      <c r="B764" s="3" t="n"/>
      <c r="C764" s="3" t="n"/>
      <c r="D764" s="3" t="n"/>
      <c r="E764" s="4">
        <f>IF(A764="","",COUNTIFS($A$4:A764,A764,$I$4:I764,"&lt;&gt;Штраф -2",$I$4:I764,"&lt;&gt;ушел на базу"))</f>
        <v/>
      </c>
      <c r="F764" s="4">
        <f>IF(E764="","",IF(E764&lt;=3,6,IF(E764&lt;=6,5,IF(E764&lt;=9,4,IF(E764&lt;=12,3,IF(E764&lt;=15,2,0))))))</f>
        <v/>
      </c>
      <c r="G764" s="3" t="n"/>
      <c r="H764" s="4">
        <f>IF(I764="Штраф -2",-2,IF(OR(F764="",G764=""),"",F764*G764+IF(J764="",0,J764)))</f>
        <v/>
      </c>
      <c r="I764" s="3" t="n"/>
      <c r="J764" s="3" t="n"/>
      <c r="K764" s="3" t="n"/>
    </row>
    <row r="765">
      <c r="A765" s="3" t="n"/>
      <c r="B765" s="3" t="n"/>
      <c r="C765" s="3" t="n"/>
      <c r="D765" s="3" t="n"/>
      <c r="E765" s="4">
        <f>IF(A765="","",COUNTIFS($A$4:A765,A765,$I$4:I765,"&lt;&gt;Штраф -2",$I$4:I765,"&lt;&gt;ушел на базу"))</f>
        <v/>
      </c>
      <c r="F765" s="4">
        <f>IF(E765="","",IF(E765&lt;=3,6,IF(E765&lt;=6,5,IF(E765&lt;=9,4,IF(E765&lt;=12,3,IF(E765&lt;=15,2,0))))))</f>
        <v/>
      </c>
      <c r="G765" s="3" t="n"/>
      <c r="H765" s="4">
        <f>IF(I765="Штраф -2",-2,IF(OR(F765="",G765=""),"",F765*G765+IF(J765="",0,J765)))</f>
        <v/>
      </c>
      <c r="I765" s="3" t="n"/>
      <c r="J765" s="3" t="n"/>
      <c r="K765" s="3" t="n"/>
    </row>
    <row r="766">
      <c r="A766" s="3" t="n"/>
      <c r="B766" s="3" t="n"/>
      <c r="C766" s="3" t="n"/>
      <c r="D766" s="3" t="n"/>
      <c r="E766" s="4">
        <f>IF(A766="","",COUNTIFS($A$4:A766,A766,$I$4:I766,"&lt;&gt;Штраф -2",$I$4:I766,"&lt;&gt;ушел на базу"))</f>
        <v/>
      </c>
      <c r="F766" s="4">
        <f>IF(E766="","",IF(E766&lt;=3,6,IF(E766&lt;=6,5,IF(E766&lt;=9,4,IF(E766&lt;=12,3,IF(E766&lt;=15,2,0))))))</f>
        <v/>
      </c>
      <c r="G766" s="3" t="n"/>
      <c r="H766" s="4">
        <f>IF(I766="Штраф -2",-2,IF(OR(F766="",G766=""),"",F766*G766+IF(J766="",0,J766)))</f>
        <v/>
      </c>
      <c r="I766" s="3" t="n"/>
      <c r="J766" s="3" t="n"/>
      <c r="K766" s="3" t="n"/>
    </row>
    <row r="767">
      <c r="A767" s="3" t="n"/>
      <c r="B767" s="3" t="n"/>
      <c r="C767" s="3" t="n"/>
      <c r="D767" s="3" t="n"/>
      <c r="E767" s="4">
        <f>IF(A767="","",COUNTIFS($A$4:A767,A767,$I$4:I767,"&lt;&gt;Штраф -2",$I$4:I767,"&lt;&gt;ушел на базу"))</f>
        <v/>
      </c>
      <c r="F767" s="4">
        <f>IF(E767="","",IF(E767&lt;=3,6,IF(E767&lt;=6,5,IF(E767&lt;=9,4,IF(E767&lt;=12,3,IF(E767&lt;=15,2,0))))))</f>
        <v/>
      </c>
      <c r="G767" s="3" t="n"/>
      <c r="H767" s="4">
        <f>IF(I767="Штраф -2",-2,IF(OR(F767="",G767=""),"",F767*G767+IF(J767="",0,J767)))</f>
        <v/>
      </c>
      <c r="I767" s="3" t="n"/>
      <c r="J767" s="3" t="n"/>
      <c r="K767" s="3" t="n"/>
    </row>
    <row r="768">
      <c r="A768" s="3" t="n"/>
      <c r="B768" s="3" t="n"/>
      <c r="C768" s="3" t="n"/>
      <c r="D768" s="3" t="n"/>
      <c r="E768" s="4">
        <f>IF(A768="","",COUNTIFS($A$4:A768,A768,$I$4:I768,"&lt;&gt;Штраф -2",$I$4:I768,"&lt;&gt;ушел на базу"))</f>
        <v/>
      </c>
      <c r="F768" s="4">
        <f>IF(E768="","",IF(E768&lt;=3,6,IF(E768&lt;=6,5,IF(E768&lt;=9,4,IF(E768&lt;=12,3,IF(E768&lt;=15,2,0))))))</f>
        <v/>
      </c>
      <c r="G768" s="3" t="n"/>
      <c r="H768" s="4">
        <f>IF(I768="Штраф -2",-2,IF(OR(F768="",G768=""),"",F768*G768+IF(J768="",0,J768)))</f>
        <v/>
      </c>
      <c r="I768" s="3" t="n"/>
      <c r="J768" s="3" t="n"/>
      <c r="K768" s="3" t="n"/>
    </row>
    <row r="769">
      <c r="A769" s="3" t="n"/>
      <c r="B769" s="3" t="n"/>
      <c r="C769" s="3" t="n"/>
      <c r="D769" s="3" t="n"/>
      <c r="E769" s="4">
        <f>IF(A769="","",COUNTIFS($A$4:A769,A769,$I$4:I769,"&lt;&gt;Штраф -2",$I$4:I769,"&lt;&gt;ушел на базу"))</f>
        <v/>
      </c>
      <c r="F769" s="4">
        <f>IF(E769="","",IF(E769&lt;=3,6,IF(E769&lt;=6,5,IF(E769&lt;=9,4,IF(E769&lt;=12,3,IF(E769&lt;=15,2,0))))))</f>
        <v/>
      </c>
      <c r="G769" s="3" t="n"/>
      <c r="H769" s="4">
        <f>IF(I769="Штраф -2",-2,IF(OR(F769="",G769=""),"",F769*G769+IF(J769="",0,J769)))</f>
        <v/>
      </c>
      <c r="I769" s="3" t="n"/>
      <c r="J769" s="3" t="n"/>
      <c r="K769" s="3" t="n"/>
    </row>
    <row r="770">
      <c r="A770" s="3" t="n"/>
      <c r="B770" s="3" t="n"/>
      <c r="C770" s="3" t="n"/>
      <c r="D770" s="3" t="n"/>
      <c r="E770" s="4">
        <f>IF(A770="","",COUNTIFS($A$4:A770,A770,$I$4:I770,"&lt;&gt;Штраф -2",$I$4:I770,"&lt;&gt;ушел на базу"))</f>
        <v/>
      </c>
      <c r="F770" s="4">
        <f>IF(E770="","",IF(E770&lt;=3,6,IF(E770&lt;=6,5,IF(E770&lt;=9,4,IF(E770&lt;=12,3,IF(E770&lt;=15,2,0))))))</f>
        <v/>
      </c>
      <c r="G770" s="3" t="n"/>
      <c r="H770" s="4">
        <f>IF(I770="Штраф -2",-2,IF(OR(F770="",G770=""),"",F770*G770+IF(J770="",0,J770)))</f>
        <v/>
      </c>
      <c r="I770" s="3" t="n"/>
      <c r="J770" s="3" t="n"/>
      <c r="K770" s="3" t="n"/>
    </row>
    <row r="771">
      <c r="A771" s="3" t="n"/>
      <c r="B771" s="3" t="n"/>
      <c r="C771" s="3" t="n"/>
      <c r="D771" s="3" t="n"/>
      <c r="E771" s="4">
        <f>IF(A771="","",COUNTIFS($A$4:A771,A771,$I$4:I771,"&lt;&gt;Штраф -2",$I$4:I771,"&lt;&gt;ушел на базу"))</f>
        <v/>
      </c>
      <c r="F771" s="4">
        <f>IF(E771="","",IF(E771&lt;=3,6,IF(E771&lt;=6,5,IF(E771&lt;=9,4,IF(E771&lt;=12,3,IF(E771&lt;=15,2,0))))))</f>
        <v/>
      </c>
      <c r="G771" s="3" t="n"/>
      <c r="H771" s="4">
        <f>IF(I771="Штраф -2",-2,IF(OR(F771="",G771=""),"",F771*G771+IF(J771="",0,J771)))</f>
        <v/>
      </c>
      <c r="I771" s="3" t="n"/>
      <c r="J771" s="3" t="n"/>
      <c r="K771" s="3" t="n"/>
    </row>
    <row r="772">
      <c r="A772" s="3" t="n"/>
      <c r="B772" s="3" t="n"/>
      <c r="C772" s="3" t="n"/>
      <c r="D772" s="3" t="n"/>
      <c r="E772" s="4">
        <f>IF(A772="","",COUNTIFS($A$4:A772,A772,$I$4:I772,"&lt;&gt;Штраф -2",$I$4:I772,"&lt;&gt;ушел на базу"))</f>
        <v/>
      </c>
      <c r="F772" s="4">
        <f>IF(E772="","",IF(E772&lt;=3,6,IF(E772&lt;=6,5,IF(E772&lt;=9,4,IF(E772&lt;=12,3,IF(E772&lt;=15,2,0))))))</f>
        <v/>
      </c>
      <c r="G772" s="3" t="n"/>
      <c r="H772" s="4">
        <f>IF(I772="Штраф -2",-2,IF(OR(F772="",G772=""),"",F772*G772+IF(J772="",0,J772)))</f>
        <v/>
      </c>
      <c r="I772" s="3" t="n"/>
      <c r="J772" s="3" t="n"/>
      <c r="K772" s="3" t="n"/>
    </row>
    <row r="773">
      <c r="A773" s="3" t="n"/>
      <c r="B773" s="3" t="n"/>
      <c r="C773" s="3" t="n"/>
      <c r="D773" s="3" t="n"/>
      <c r="E773" s="4">
        <f>IF(A773="","",COUNTIFS($A$4:A773,A773,$I$4:I773,"&lt;&gt;Штраф -2",$I$4:I773,"&lt;&gt;ушел на базу"))</f>
        <v/>
      </c>
      <c r="F773" s="4">
        <f>IF(E773="","",IF(E773&lt;=3,6,IF(E773&lt;=6,5,IF(E773&lt;=9,4,IF(E773&lt;=12,3,IF(E773&lt;=15,2,0))))))</f>
        <v/>
      </c>
      <c r="G773" s="3" t="n"/>
      <c r="H773" s="4">
        <f>IF(I773="Штраф -2",-2,IF(OR(F773="",G773=""),"",F773*G773+IF(J773="",0,J773)))</f>
        <v/>
      </c>
      <c r="I773" s="3" t="n"/>
      <c r="J773" s="3" t="n"/>
      <c r="K773" s="3" t="n"/>
    </row>
    <row r="774">
      <c r="A774" s="3" t="n"/>
      <c r="B774" s="3" t="n"/>
      <c r="C774" s="3" t="n"/>
      <c r="D774" s="3" t="n"/>
      <c r="E774" s="4">
        <f>IF(A774="","",COUNTIFS($A$4:A774,A774,$I$4:I774,"&lt;&gt;Штраф -2",$I$4:I774,"&lt;&gt;ушел на базу"))</f>
        <v/>
      </c>
      <c r="F774" s="4">
        <f>IF(E774="","",IF(E774&lt;=3,6,IF(E774&lt;=6,5,IF(E774&lt;=9,4,IF(E774&lt;=12,3,IF(E774&lt;=15,2,0))))))</f>
        <v/>
      </c>
      <c r="G774" s="3" t="n"/>
      <c r="H774" s="4">
        <f>IF(I774="Штраф -2",-2,IF(OR(F774="",G774=""),"",F774*G774+IF(J774="",0,J774)))</f>
        <v/>
      </c>
      <c r="I774" s="3" t="n"/>
      <c r="J774" s="3" t="n"/>
      <c r="K774" s="3" t="n"/>
    </row>
    <row r="775">
      <c r="A775" s="3" t="n"/>
      <c r="B775" s="3" t="n"/>
      <c r="C775" s="3" t="n"/>
      <c r="D775" s="3" t="n"/>
      <c r="E775" s="4">
        <f>IF(A775="","",COUNTIFS($A$4:A775,A775,$I$4:I775,"&lt;&gt;Штраф -2",$I$4:I775,"&lt;&gt;ушел на базу"))</f>
        <v/>
      </c>
      <c r="F775" s="4">
        <f>IF(E775="","",IF(E775&lt;=3,6,IF(E775&lt;=6,5,IF(E775&lt;=9,4,IF(E775&lt;=12,3,IF(E775&lt;=15,2,0))))))</f>
        <v/>
      </c>
      <c r="G775" s="3" t="n"/>
      <c r="H775" s="4">
        <f>IF(I775="Штраф -2",-2,IF(OR(F775="",G775=""),"",F775*G775+IF(J775="",0,J775)))</f>
        <v/>
      </c>
      <c r="I775" s="3" t="n"/>
      <c r="J775" s="3" t="n"/>
      <c r="K775" s="3" t="n"/>
    </row>
    <row r="776">
      <c r="A776" s="3" t="n"/>
      <c r="B776" s="3" t="n"/>
      <c r="C776" s="3" t="n"/>
      <c r="D776" s="3" t="n"/>
      <c r="E776" s="4">
        <f>IF(A776="","",COUNTIFS($A$4:A776,A776,$I$4:I776,"&lt;&gt;Штраф -2",$I$4:I776,"&lt;&gt;ушел на базу"))</f>
        <v/>
      </c>
      <c r="F776" s="4">
        <f>IF(E776="","",IF(E776&lt;=3,6,IF(E776&lt;=6,5,IF(E776&lt;=9,4,IF(E776&lt;=12,3,IF(E776&lt;=15,2,0))))))</f>
        <v/>
      </c>
      <c r="G776" s="3" t="n"/>
      <c r="H776" s="4">
        <f>IF(I776="Штраф -2",-2,IF(OR(F776="",G776=""),"",F776*G776+IF(J776="",0,J776)))</f>
        <v/>
      </c>
      <c r="I776" s="3" t="n"/>
      <c r="J776" s="3" t="n"/>
      <c r="K776" s="3" t="n"/>
    </row>
    <row r="777">
      <c r="A777" s="3" t="n"/>
      <c r="B777" s="3" t="n"/>
      <c r="C777" s="3" t="n"/>
      <c r="D777" s="3" t="n"/>
      <c r="E777" s="4">
        <f>IF(A777="","",COUNTIFS($A$4:A777,A777,$I$4:I777,"&lt;&gt;Штраф -2",$I$4:I777,"&lt;&gt;ушел на базу"))</f>
        <v/>
      </c>
      <c r="F777" s="4">
        <f>IF(E777="","",IF(E777&lt;=3,6,IF(E777&lt;=6,5,IF(E777&lt;=9,4,IF(E777&lt;=12,3,IF(E777&lt;=15,2,0))))))</f>
        <v/>
      </c>
      <c r="G777" s="3" t="n"/>
      <c r="H777" s="4">
        <f>IF(I777="Штраф -2",-2,IF(OR(F777="",G777=""),"",F777*G777+IF(J777="",0,J777)))</f>
        <v/>
      </c>
      <c r="I777" s="3" t="n"/>
      <c r="J777" s="3" t="n"/>
      <c r="K777" s="3" t="n"/>
    </row>
    <row r="778">
      <c r="A778" s="3" t="n"/>
      <c r="B778" s="3" t="n"/>
      <c r="C778" s="3" t="n"/>
      <c r="D778" s="3" t="n"/>
      <c r="E778" s="4">
        <f>IF(A778="","",COUNTIFS($A$4:A778,A778,$I$4:I778,"&lt;&gt;Штраф -2",$I$4:I778,"&lt;&gt;ушел на базу"))</f>
        <v/>
      </c>
      <c r="F778" s="4">
        <f>IF(E778="","",IF(E778&lt;=3,6,IF(E778&lt;=6,5,IF(E778&lt;=9,4,IF(E778&lt;=12,3,IF(E778&lt;=15,2,0))))))</f>
        <v/>
      </c>
      <c r="G778" s="3" t="n"/>
      <c r="H778" s="4">
        <f>IF(I778="Штраф -2",-2,IF(OR(F778="",G778=""),"",F778*G778+IF(J778="",0,J778)))</f>
        <v/>
      </c>
      <c r="I778" s="3" t="n"/>
      <c r="J778" s="3" t="n"/>
      <c r="K778" s="3" t="n"/>
    </row>
    <row r="779">
      <c r="A779" s="3" t="n"/>
      <c r="B779" s="3" t="n"/>
      <c r="C779" s="3" t="n"/>
      <c r="D779" s="3" t="n"/>
      <c r="E779" s="4">
        <f>IF(A779="","",COUNTIFS($A$4:A779,A779,$I$4:I779,"&lt;&gt;Штраф -2",$I$4:I779,"&lt;&gt;ушел на базу"))</f>
        <v/>
      </c>
      <c r="F779" s="4">
        <f>IF(E779="","",IF(E779&lt;=3,6,IF(E779&lt;=6,5,IF(E779&lt;=9,4,IF(E779&lt;=12,3,IF(E779&lt;=15,2,0))))))</f>
        <v/>
      </c>
      <c r="G779" s="3" t="n"/>
      <c r="H779" s="4">
        <f>IF(I779="Штраф -2",-2,IF(OR(F779="",G779=""),"",F779*G779+IF(J779="",0,J779)))</f>
        <v/>
      </c>
      <c r="I779" s="3" t="n"/>
      <c r="J779" s="3" t="n"/>
      <c r="K779" s="3" t="n"/>
    </row>
    <row r="780">
      <c r="A780" s="3" t="n"/>
      <c r="B780" s="3" t="n"/>
      <c r="C780" s="3" t="n"/>
      <c r="D780" s="3" t="n"/>
      <c r="E780" s="4">
        <f>IF(A780="","",COUNTIFS($A$4:A780,A780,$I$4:I780,"&lt;&gt;Штраф -2",$I$4:I780,"&lt;&gt;ушел на базу"))</f>
        <v/>
      </c>
      <c r="F780" s="4">
        <f>IF(E780="","",IF(E780&lt;=3,6,IF(E780&lt;=6,5,IF(E780&lt;=9,4,IF(E780&lt;=12,3,IF(E780&lt;=15,2,0))))))</f>
        <v/>
      </c>
      <c r="G780" s="3" t="n"/>
      <c r="H780" s="4">
        <f>IF(I780="Штраф -2",-2,IF(OR(F780="",G780=""),"",F780*G780+IF(J780="",0,J780)))</f>
        <v/>
      </c>
      <c r="I780" s="3" t="n"/>
      <c r="J780" s="3" t="n"/>
      <c r="K780" s="3" t="n"/>
    </row>
    <row r="781">
      <c r="A781" s="3" t="n"/>
      <c r="B781" s="3" t="n"/>
      <c r="C781" s="3" t="n"/>
      <c r="D781" s="3" t="n"/>
      <c r="E781" s="4">
        <f>IF(A781="","",COUNTIFS($A$4:A781,A781,$I$4:I781,"&lt;&gt;Штраф -2",$I$4:I781,"&lt;&gt;ушел на базу"))</f>
        <v/>
      </c>
      <c r="F781" s="4">
        <f>IF(E781="","",IF(E781&lt;=3,6,IF(E781&lt;=6,5,IF(E781&lt;=9,4,IF(E781&lt;=12,3,IF(E781&lt;=15,2,0))))))</f>
        <v/>
      </c>
      <c r="G781" s="3" t="n"/>
      <c r="H781" s="4">
        <f>IF(I781="Штраф -2",-2,IF(OR(F781="",G781=""),"",F781*G781+IF(J781="",0,J781)))</f>
        <v/>
      </c>
      <c r="I781" s="3" t="n"/>
      <c r="J781" s="3" t="n"/>
      <c r="K781" s="3" t="n"/>
    </row>
    <row r="782">
      <c r="A782" s="3" t="n"/>
      <c r="B782" s="3" t="n"/>
      <c r="C782" s="3" t="n"/>
      <c r="D782" s="3" t="n"/>
      <c r="E782" s="4">
        <f>IF(A782="","",COUNTIFS($A$4:A782,A782,$I$4:I782,"&lt;&gt;Штраф -2",$I$4:I782,"&lt;&gt;ушел на базу"))</f>
        <v/>
      </c>
      <c r="F782" s="4">
        <f>IF(E782="","",IF(E782&lt;=3,6,IF(E782&lt;=6,5,IF(E782&lt;=9,4,IF(E782&lt;=12,3,IF(E782&lt;=15,2,0))))))</f>
        <v/>
      </c>
      <c r="G782" s="3" t="n"/>
      <c r="H782" s="4">
        <f>IF(I782="Штраф -2",-2,IF(OR(F782="",G782=""),"",F782*G782+IF(J782="",0,J782)))</f>
        <v/>
      </c>
      <c r="I782" s="3" t="n"/>
      <c r="J782" s="3" t="n"/>
      <c r="K782" s="3" t="n"/>
    </row>
    <row r="783">
      <c r="A783" s="3" t="n"/>
      <c r="B783" s="3" t="n"/>
      <c r="C783" s="3" t="n"/>
      <c r="D783" s="3" t="n"/>
      <c r="E783" s="4">
        <f>IF(A783="","",COUNTIFS($A$4:A783,A783,$I$4:I783,"&lt;&gt;Штраф -2",$I$4:I783,"&lt;&gt;ушел на базу"))</f>
        <v/>
      </c>
      <c r="F783" s="4">
        <f>IF(E783="","",IF(E783&lt;=3,6,IF(E783&lt;=6,5,IF(E783&lt;=9,4,IF(E783&lt;=12,3,IF(E783&lt;=15,2,0))))))</f>
        <v/>
      </c>
      <c r="G783" s="3" t="n"/>
      <c r="H783" s="4">
        <f>IF(I783="Штраф -2",-2,IF(OR(F783="",G783=""),"",F783*G783+IF(J783="",0,J783)))</f>
        <v/>
      </c>
      <c r="I783" s="3" t="n"/>
      <c r="J783" s="3" t="n"/>
      <c r="K783" s="3" t="n"/>
    </row>
    <row r="784">
      <c r="A784" s="3" t="n"/>
      <c r="B784" s="3" t="n"/>
      <c r="C784" s="3" t="n"/>
      <c r="D784" s="3" t="n"/>
      <c r="E784" s="4">
        <f>IF(A784="","",COUNTIFS($A$4:A784,A784,$I$4:I784,"&lt;&gt;Штраф -2",$I$4:I784,"&lt;&gt;ушел на базу"))</f>
        <v/>
      </c>
      <c r="F784" s="4">
        <f>IF(E784="","",IF(E784&lt;=3,6,IF(E784&lt;=6,5,IF(E784&lt;=9,4,IF(E784&lt;=12,3,IF(E784&lt;=15,2,0))))))</f>
        <v/>
      </c>
      <c r="G784" s="3" t="n"/>
      <c r="H784" s="4">
        <f>IF(I784="Штраф -2",-2,IF(OR(F784="",G784=""),"",F784*G784+IF(J784="",0,J784)))</f>
        <v/>
      </c>
      <c r="I784" s="3" t="n"/>
      <c r="J784" s="3" t="n"/>
      <c r="K784" s="3" t="n"/>
    </row>
    <row r="785">
      <c r="A785" s="3" t="n"/>
      <c r="B785" s="3" t="n"/>
      <c r="C785" s="3" t="n"/>
      <c r="D785" s="3" t="n"/>
      <c r="E785" s="4">
        <f>IF(A785="","",COUNTIFS($A$4:A785,A785,$I$4:I785,"&lt;&gt;Штраф -2",$I$4:I785,"&lt;&gt;ушел на базу"))</f>
        <v/>
      </c>
      <c r="F785" s="4">
        <f>IF(E785="","",IF(E785&lt;=3,6,IF(E785&lt;=6,5,IF(E785&lt;=9,4,IF(E785&lt;=12,3,IF(E785&lt;=15,2,0))))))</f>
        <v/>
      </c>
      <c r="G785" s="3" t="n"/>
      <c r="H785" s="4">
        <f>IF(I785="Штраф -2",-2,IF(OR(F785="",G785=""),"",F785*G785+IF(J785="",0,J785)))</f>
        <v/>
      </c>
      <c r="I785" s="3" t="n"/>
      <c r="J785" s="3" t="n"/>
      <c r="K785" s="3" t="n"/>
    </row>
    <row r="786">
      <c r="A786" s="3" t="n"/>
      <c r="B786" s="3" t="n"/>
      <c r="C786" s="3" t="n"/>
      <c r="D786" s="3" t="n"/>
      <c r="E786" s="4">
        <f>IF(A786="","",COUNTIFS($A$4:A786,A786,$I$4:I786,"&lt;&gt;Штраф -2",$I$4:I786,"&lt;&gt;ушел на базу"))</f>
        <v/>
      </c>
      <c r="F786" s="4">
        <f>IF(E786="","",IF(E786&lt;=3,6,IF(E786&lt;=6,5,IF(E786&lt;=9,4,IF(E786&lt;=12,3,IF(E786&lt;=15,2,0))))))</f>
        <v/>
      </c>
      <c r="G786" s="3" t="n"/>
      <c r="H786" s="4">
        <f>IF(I786="Штраф -2",-2,IF(OR(F786="",G786=""),"",F786*G786+IF(J786="",0,J786)))</f>
        <v/>
      </c>
      <c r="I786" s="3" t="n"/>
      <c r="J786" s="3" t="n"/>
      <c r="K786" s="3" t="n"/>
    </row>
    <row r="787">
      <c r="A787" s="3" t="n"/>
      <c r="B787" s="3" t="n"/>
      <c r="C787" s="3" t="n"/>
      <c r="D787" s="3" t="n"/>
      <c r="E787" s="4">
        <f>IF(A787="","",COUNTIFS($A$4:A787,A787,$I$4:I787,"&lt;&gt;Штраф -2",$I$4:I787,"&lt;&gt;ушел на базу"))</f>
        <v/>
      </c>
      <c r="F787" s="4">
        <f>IF(E787="","",IF(E787&lt;=3,6,IF(E787&lt;=6,5,IF(E787&lt;=9,4,IF(E787&lt;=12,3,IF(E787&lt;=15,2,0))))))</f>
        <v/>
      </c>
      <c r="G787" s="3" t="n"/>
      <c r="H787" s="4">
        <f>IF(I787="Штраф -2",-2,IF(OR(F787="",G787=""),"",F787*G787+IF(J787="",0,J787)))</f>
        <v/>
      </c>
      <c r="I787" s="3" t="n"/>
      <c r="J787" s="3" t="n"/>
      <c r="K787" s="3" t="n"/>
    </row>
    <row r="788">
      <c r="A788" s="3" t="n"/>
      <c r="B788" s="3" t="n"/>
      <c r="C788" s="3" t="n"/>
      <c r="D788" s="3" t="n"/>
      <c r="E788" s="4">
        <f>IF(A788="","",COUNTIFS($A$4:A788,A788,$I$4:I788,"&lt;&gt;Штраф -2",$I$4:I788,"&lt;&gt;ушел на базу"))</f>
        <v/>
      </c>
      <c r="F788" s="4">
        <f>IF(E788="","",IF(E788&lt;=3,6,IF(E788&lt;=6,5,IF(E788&lt;=9,4,IF(E788&lt;=12,3,IF(E788&lt;=15,2,0))))))</f>
        <v/>
      </c>
      <c r="G788" s="3" t="n"/>
      <c r="H788" s="4">
        <f>IF(I788="Штраф -2",-2,IF(OR(F788="",G788=""),"",F788*G788+IF(J788="",0,J788)))</f>
        <v/>
      </c>
      <c r="I788" s="3" t="n"/>
      <c r="J788" s="3" t="n"/>
      <c r="K788" s="3" t="n"/>
    </row>
    <row r="789">
      <c r="A789" s="3" t="n"/>
      <c r="B789" s="3" t="n"/>
      <c r="C789" s="3" t="n"/>
      <c r="D789" s="3" t="n"/>
      <c r="E789" s="4">
        <f>IF(A789="","",COUNTIFS($A$4:A789,A789,$I$4:I789,"&lt;&gt;Штраф -2",$I$4:I789,"&lt;&gt;ушел на базу"))</f>
        <v/>
      </c>
      <c r="F789" s="4">
        <f>IF(E789="","",IF(E789&lt;=3,6,IF(E789&lt;=6,5,IF(E789&lt;=9,4,IF(E789&lt;=12,3,IF(E789&lt;=15,2,0))))))</f>
        <v/>
      </c>
      <c r="G789" s="3" t="n"/>
      <c r="H789" s="4">
        <f>IF(I789="Штраф -2",-2,IF(OR(F789="",G789=""),"",F789*G789+IF(J789="",0,J789)))</f>
        <v/>
      </c>
      <c r="I789" s="3" t="n"/>
      <c r="J789" s="3" t="n"/>
      <c r="K789" s="3" t="n"/>
    </row>
    <row r="790">
      <c r="A790" s="3" t="n"/>
      <c r="B790" s="3" t="n"/>
      <c r="C790" s="3" t="n"/>
      <c r="D790" s="3" t="n"/>
      <c r="E790" s="4">
        <f>IF(A790="","",COUNTIFS($A$4:A790,A790,$I$4:I790,"&lt;&gt;Штраф -2",$I$4:I790,"&lt;&gt;ушел на базу"))</f>
        <v/>
      </c>
      <c r="F790" s="4">
        <f>IF(E790="","",IF(E790&lt;=3,6,IF(E790&lt;=6,5,IF(E790&lt;=9,4,IF(E790&lt;=12,3,IF(E790&lt;=15,2,0))))))</f>
        <v/>
      </c>
      <c r="G790" s="3" t="n"/>
      <c r="H790" s="4">
        <f>IF(I790="Штраф -2",-2,IF(OR(F790="",G790=""),"",F790*G790+IF(J790="",0,J790)))</f>
        <v/>
      </c>
      <c r="I790" s="3" t="n"/>
      <c r="J790" s="3" t="n"/>
      <c r="K790" s="3" t="n"/>
    </row>
    <row r="791">
      <c r="A791" s="3" t="n"/>
      <c r="B791" s="3" t="n"/>
      <c r="C791" s="3" t="n"/>
      <c r="D791" s="3" t="n"/>
      <c r="E791" s="4">
        <f>IF(A791="","",COUNTIFS($A$4:A791,A791,$I$4:I791,"&lt;&gt;Штраф -2",$I$4:I791,"&lt;&gt;ушел на базу"))</f>
        <v/>
      </c>
      <c r="F791" s="4">
        <f>IF(E791="","",IF(E791&lt;=3,6,IF(E791&lt;=6,5,IF(E791&lt;=9,4,IF(E791&lt;=12,3,IF(E791&lt;=15,2,0))))))</f>
        <v/>
      </c>
      <c r="G791" s="3" t="n"/>
      <c r="H791" s="4">
        <f>IF(I791="Штраф -2",-2,IF(OR(F791="",G791=""),"",F791*G791+IF(J791="",0,J791)))</f>
        <v/>
      </c>
      <c r="I791" s="3" t="n"/>
      <c r="J791" s="3" t="n"/>
      <c r="K791" s="3" t="n"/>
    </row>
    <row r="792">
      <c r="A792" s="3" t="n"/>
      <c r="B792" s="3" t="n"/>
      <c r="C792" s="3" t="n"/>
      <c r="D792" s="3" t="n"/>
      <c r="E792" s="4">
        <f>IF(A792="","",COUNTIFS($A$4:A792,A792,$I$4:I792,"&lt;&gt;Штраф -2",$I$4:I792,"&lt;&gt;ушел на базу"))</f>
        <v/>
      </c>
      <c r="F792" s="4">
        <f>IF(E792="","",IF(E792&lt;=3,6,IF(E792&lt;=6,5,IF(E792&lt;=9,4,IF(E792&lt;=12,3,IF(E792&lt;=15,2,0))))))</f>
        <v/>
      </c>
      <c r="G792" s="3" t="n"/>
      <c r="H792" s="4">
        <f>IF(I792="Штраф -2",-2,IF(OR(F792="",G792=""),"",F792*G792+IF(J792="",0,J792)))</f>
        <v/>
      </c>
      <c r="I792" s="3" t="n"/>
      <c r="J792" s="3" t="n"/>
      <c r="K792" s="3" t="n"/>
    </row>
    <row r="793">
      <c r="A793" s="3" t="n"/>
      <c r="B793" s="3" t="n"/>
      <c r="C793" s="3" t="n"/>
      <c r="D793" s="3" t="n"/>
      <c r="E793" s="4">
        <f>IF(A793="","",COUNTIFS($A$4:A793,A793,$I$4:I793,"&lt;&gt;Штраф -2",$I$4:I793,"&lt;&gt;ушел на базу"))</f>
        <v/>
      </c>
      <c r="F793" s="4">
        <f>IF(E793="","",IF(E793&lt;=3,6,IF(E793&lt;=6,5,IF(E793&lt;=9,4,IF(E793&lt;=12,3,IF(E793&lt;=15,2,0))))))</f>
        <v/>
      </c>
      <c r="G793" s="3" t="n"/>
      <c r="H793" s="4">
        <f>IF(I793="Штраф -2",-2,IF(OR(F793="",G793=""),"",F793*G793+IF(J793="",0,J793)))</f>
        <v/>
      </c>
      <c r="I793" s="3" t="n"/>
      <c r="J793" s="3" t="n"/>
      <c r="K793" s="3" t="n"/>
    </row>
    <row r="794">
      <c r="A794" s="3" t="n"/>
      <c r="B794" s="3" t="n"/>
      <c r="C794" s="3" t="n"/>
      <c r="D794" s="3" t="n"/>
      <c r="E794" s="4">
        <f>IF(A794="","",COUNTIFS($A$4:A794,A794,$I$4:I794,"&lt;&gt;Штраф -2",$I$4:I794,"&lt;&gt;ушел на базу"))</f>
        <v/>
      </c>
      <c r="F794" s="4">
        <f>IF(E794="","",IF(E794&lt;=3,6,IF(E794&lt;=6,5,IF(E794&lt;=9,4,IF(E794&lt;=12,3,IF(E794&lt;=15,2,0))))))</f>
        <v/>
      </c>
      <c r="G794" s="3" t="n"/>
      <c r="H794" s="4">
        <f>IF(I794="Штраф -2",-2,IF(OR(F794="",G794=""),"",F794*G794+IF(J794="",0,J794)))</f>
        <v/>
      </c>
      <c r="I794" s="3" t="n"/>
      <c r="J794" s="3" t="n"/>
      <c r="K794" s="3" t="n"/>
    </row>
    <row r="795">
      <c r="A795" s="3" t="n"/>
      <c r="B795" s="3" t="n"/>
      <c r="C795" s="3" t="n"/>
      <c r="D795" s="3" t="n"/>
      <c r="E795" s="4">
        <f>IF(A795="","",COUNTIFS($A$4:A795,A795,$I$4:I795,"&lt;&gt;Штраф -2",$I$4:I795,"&lt;&gt;ушел на базу"))</f>
        <v/>
      </c>
      <c r="F795" s="4">
        <f>IF(E795="","",IF(E795&lt;=3,6,IF(E795&lt;=6,5,IF(E795&lt;=9,4,IF(E795&lt;=12,3,IF(E795&lt;=15,2,0))))))</f>
        <v/>
      </c>
      <c r="G795" s="3" t="n"/>
      <c r="H795" s="4">
        <f>IF(I795="Штраф -2",-2,IF(OR(F795="",G795=""),"",F795*G795+IF(J795="",0,J795)))</f>
        <v/>
      </c>
      <c r="I795" s="3" t="n"/>
      <c r="J795" s="3" t="n"/>
      <c r="K795" s="3" t="n"/>
    </row>
    <row r="796">
      <c r="A796" s="3" t="n"/>
      <c r="B796" s="3" t="n"/>
      <c r="C796" s="3" t="n"/>
      <c r="D796" s="3" t="n"/>
      <c r="E796" s="4">
        <f>IF(A796="","",COUNTIFS($A$4:A796,A796,$I$4:I796,"&lt;&gt;Штраф -2",$I$4:I796,"&lt;&gt;ушел на базу"))</f>
        <v/>
      </c>
      <c r="F796" s="4">
        <f>IF(E796="","",IF(E796&lt;=3,6,IF(E796&lt;=6,5,IF(E796&lt;=9,4,IF(E796&lt;=12,3,IF(E796&lt;=15,2,0))))))</f>
        <v/>
      </c>
      <c r="G796" s="3" t="n"/>
      <c r="H796" s="4">
        <f>IF(I796="Штраф -2",-2,IF(OR(F796="",G796=""),"",F796*G796+IF(J796="",0,J796)))</f>
        <v/>
      </c>
      <c r="I796" s="3" t="n"/>
      <c r="J796" s="3" t="n"/>
      <c r="K796" s="3" t="n"/>
    </row>
    <row r="797">
      <c r="A797" s="3" t="n"/>
      <c r="B797" s="3" t="n"/>
      <c r="C797" s="3" t="n"/>
      <c r="D797" s="3" t="n"/>
      <c r="E797" s="4">
        <f>IF(A797="","",COUNTIFS($A$4:A797,A797,$I$4:I797,"&lt;&gt;Штраф -2",$I$4:I797,"&lt;&gt;ушел на базу"))</f>
        <v/>
      </c>
      <c r="F797" s="4">
        <f>IF(E797="","",IF(E797&lt;=3,6,IF(E797&lt;=6,5,IF(E797&lt;=9,4,IF(E797&lt;=12,3,IF(E797&lt;=15,2,0))))))</f>
        <v/>
      </c>
      <c r="G797" s="3" t="n"/>
      <c r="H797" s="4">
        <f>IF(I797="Штраф -2",-2,IF(OR(F797="",G797=""),"",F797*G797+IF(J797="",0,J797)))</f>
        <v/>
      </c>
      <c r="I797" s="3" t="n"/>
      <c r="J797" s="3" t="n"/>
      <c r="K797" s="3" t="n"/>
    </row>
    <row r="798">
      <c r="A798" s="3" t="n"/>
      <c r="B798" s="3" t="n"/>
      <c r="C798" s="3" t="n"/>
      <c r="D798" s="3" t="n"/>
      <c r="E798" s="4">
        <f>IF(A798="","",COUNTIFS($A$4:A798,A798,$I$4:I798,"&lt;&gt;Штраф -2",$I$4:I798,"&lt;&gt;ушел на базу"))</f>
        <v/>
      </c>
      <c r="F798" s="4">
        <f>IF(E798="","",IF(E798&lt;=3,6,IF(E798&lt;=6,5,IF(E798&lt;=9,4,IF(E798&lt;=12,3,IF(E798&lt;=15,2,0))))))</f>
        <v/>
      </c>
      <c r="G798" s="3" t="n"/>
      <c r="H798" s="4">
        <f>IF(I798="Штраф -2",-2,IF(OR(F798="",G798=""),"",F798*G798+IF(J798="",0,J798)))</f>
        <v/>
      </c>
      <c r="I798" s="3" t="n"/>
      <c r="J798" s="3" t="n"/>
      <c r="K798" s="3" t="n"/>
    </row>
    <row r="799">
      <c r="A799" s="3" t="n"/>
      <c r="B799" s="3" t="n"/>
      <c r="C799" s="3" t="n"/>
      <c r="D799" s="3" t="n"/>
      <c r="E799" s="4">
        <f>IF(A799="","",COUNTIFS($A$4:A799,A799,$I$4:I799,"&lt;&gt;Штраф -2",$I$4:I799,"&lt;&gt;ушел на базу"))</f>
        <v/>
      </c>
      <c r="F799" s="4">
        <f>IF(E799="","",IF(E799&lt;=3,6,IF(E799&lt;=6,5,IF(E799&lt;=9,4,IF(E799&lt;=12,3,IF(E799&lt;=15,2,0))))))</f>
        <v/>
      </c>
      <c r="G799" s="3" t="n"/>
      <c r="H799" s="4">
        <f>IF(I799="Штраф -2",-2,IF(OR(F799="",G799=""),"",F799*G799+IF(J799="",0,J799)))</f>
        <v/>
      </c>
      <c r="I799" s="3" t="n"/>
      <c r="J799" s="3" t="n"/>
      <c r="K799" s="3" t="n"/>
    </row>
    <row r="800">
      <c r="A800" s="3" t="n"/>
      <c r="B800" s="3" t="n"/>
      <c r="C800" s="3" t="n"/>
      <c r="D800" s="3" t="n"/>
      <c r="E800" s="4">
        <f>IF(A800="","",COUNTIFS($A$4:A800,A800,$I$4:I800,"&lt;&gt;Штраф -2",$I$4:I800,"&lt;&gt;ушел на базу"))</f>
        <v/>
      </c>
      <c r="F800" s="4">
        <f>IF(E800="","",IF(E800&lt;=3,6,IF(E800&lt;=6,5,IF(E800&lt;=9,4,IF(E800&lt;=12,3,IF(E800&lt;=15,2,0))))))</f>
        <v/>
      </c>
      <c r="G800" s="3" t="n"/>
      <c r="H800" s="4">
        <f>IF(I800="Штраф -2",-2,IF(OR(F800="",G800=""),"",F800*G800+IF(J800="",0,J800)))</f>
        <v/>
      </c>
      <c r="I800" s="3" t="n"/>
      <c r="J800" s="3" t="n"/>
      <c r="K800" s="3" t="n"/>
    </row>
    <row r="801">
      <c r="A801" s="3" t="n"/>
      <c r="B801" s="3" t="n"/>
      <c r="C801" s="3" t="n"/>
      <c r="D801" s="3" t="n"/>
      <c r="E801" s="4">
        <f>IF(A801="","",COUNTIFS($A$4:A801,A801,$I$4:I801,"&lt;&gt;Штраф -2",$I$4:I801,"&lt;&gt;ушел на базу"))</f>
        <v/>
      </c>
      <c r="F801" s="4">
        <f>IF(E801="","",IF(E801&lt;=3,6,IF(E801&lt;=6,5,IF(E801&lt;=9,4,IF(E801&lt;=12,3,IF(E801&lt;=15,2,0))))))</f>
        <v/>
      </c>
      <c r="G801" s="3" t="n"/>
      <c r="H801" s="4">
        <f>IF(I801="Штраф -2",-2,IF(OR(F801="",G801=""),"",F801*G801+IF(J801="",0,J801)))</f>
        <v/>
      </c>
      <c r="I801" s="3" t="n"/>
      <c r="J801" s="3" t="n"/>
      <c r="K801" s="3" t="n"/>
    </row>
    <row r="802">
      <c r="A802" s="3" t="n"/>
      <c r="B802" s="3" t="n"/>
      <c r="C802" s="3" t="n"/>
      <c r="D802" s="3" t="n"/>
      <c r="E802" s="4">
        <f>IF(A802="","",COUNTIFS($A$4:A802,A802,$I$4:I802,"&lt;&gt;Штраф -2",$I$4:I802,"&lt;&gt;ушел на базу"))</f>
        <v/>
      </c>
      <c r="F802" s="4">
        <f>IF(E802="","",IF(E802&lt;=3,6,IF(E802&lt;=6,5,IF(E802&lt;=9,4,IF(E802&lt;=12,3,IF(E802&lt;=15,2,0))))))</f>
        <v/>
      </c>
      <c r="G802" s="3" t="n"/>
      <c r="H802" s="4">
        <f>IF(I802="Штраф -2",-2,IF(OR(F802="",G802=""),"",F802*G802+IF(J802="",0,J802)))</f>
        <v/>
      </c>
      <c r="I802" s="3" t="n"/>
      <c r="J802" s="3" t="n"/>
      <c r="K802" s="3" t="n"/>
    </row>
    <row r="803">
      <c r="A803" s="3" t="n"/>
      <c r="B803" s="3" t="n"/>
      <c r="C803" s="3" t="n"/>
      <c r="D803" s="3" t="n"/>
      <c r="E803" s="4">
        <f>IF(A803="","",COUNTIFS($A$4:A803,A803,$I$4:I803,"&lt;&gt;Штраф -2",$I$4:I803,"&lt;&gt;ушел на базу"))</f>
        <v/>
      </c>
      <c r="F803" s="4">
        <f>IF(E803="","",IF(E803&lt;=3,6,IF(E803&lt;=6,5,IF(E803&lt;=9,4,IF(E803&lt;=12,3,IF(E803&lt;=15,2,0))))))</f>
        <v/>
      </c>
      <c r="G803" s="3" t="n"/>
      <c r="H803" s="4">
        <f>IF(I803="Штраф -2",-2,IF(OR(F803="",G803=""),"",F803*G803+IF(J803="",0,J803)))</f>
        <v/>
      </c>
      <c r="I803" s="3" t="n"/>
      <c r="J803" s="3" t="n"/>
      <c r="K803" s="3" t="n"/>
    </row>
    <row r="804">
      <c r="A804" s="3" t="n"/>
      <c r="B804" s="3" t="n"/>
      <c r="C804" s="3" t="n"/>
      <c r="D804" s="3" t="n"/>
      <c r="E804" s="4">
        <f>IF(A804="","",COUNTIFS($A$4:A804,A804,$I$4:I804,"&lt;&gt;Штраф -2",$I$4:I804,"&lt;&gt;ушел на базу"))</f>
        <v/>
      </c>
      <c r="F804" s="4">
        <f>IF(E804="","",IF(E804&lt;=3,6,IF(E804&lt;=6,5,IF(E804&lt;=9,4,IF(E804&lt;=12,3,IF(E804&lt;=15,2,0))))))</f>
        <v/>
      </c>
      <c r="G804" s="3" t="n"/>
      <c r="H804" s="4">
        <f>IF(I804="Штраф -2",-2,IF(OR(F804="",G804=""),"",F804*G804+IF(J804="",0,J804)))</f>
        <v/>
      </c>
      <c r="I804" s="3" t="n"/>
      <c r="J804" s="3" t="n"/>
      <c r="K804" s="3" t="n"/>
    </row>
    <row r="805">
      <c r="A805" s="3" t="n"/>
      <c r="B805" s="3" t="n"/>
      <c r="C805" s="3" t="n"/>
      <c r="D805" s="3" t="n"/>
      <c r="E805" s="4">
        <f>IF(A805="","",COUNTIFS($A$4:A805,A805,$I$4:I805,"&lt;&gt;Штраф -2",$I$4:I805,"&lt;&gt;ушел на базу"))</f>
        <v/>
      </c>
      <c r="F805" s="4">
        <f>IF(E805="","",IF(E805&lt;=3,6,IF(E805&lt;=6,5,IF(E805&lt;=9,4,IF(E805&lt;=12,3,IF(E805&lt;=15,2,0))))))</f>
        <v/>
      </c>
      <c r="G805" s="3" t="n"/>
      <c r="H805" s="4">
        <f>IF(I805="Штраф -2",-2,IF(OR(F805="",G805=""),"",F805*G805+IF(J805="",0,J805)))</f>
        <v/>
      </c>
      <c r="I805" s="3" t="n"/>
      <c r="J805" s="3" t="n"/>
      <c r="K805" s="3" t="n"/>
    </row>
    <row r="806">
      <c r="A806" s="3" t="n"/>
      <c r="B806" s="3" t="n"/>
      <c r="C806" s="3" t="n"/>
      <c r="D806" s="3" t="n"/>
      <c r="E806" s="4">
        <f>IF(A806="","",COUNTIFS($A$4:A806,A806,$I$4:I806,"&lt;&gt;Штраф -2",$I$4:I806,"&lt;&gt;ушел на базу"))</f>
        <v/>
      </c>
      <c r="F806" s="4">
        <f>IF(E806="","",IF(E806&lt;=3,6,IF(E806&lt;=6,5,IF(E806&lt;=9,4,IF(E806&lt;=12,3,IF(E806&lt;=15,2,0))))))</f>
        <v/>
      </c>
      <c r="G806" s="3" t="n"/>
      <c r="H806" s="4">
        <f>IF(I806="Штраф -2",-2,IF(OR(F806="",G806=""),"",F806*G806+IF(J806="",0,J806)))</f>
        <v/>
      </c>
      <c r="I806" s="3" t="n"/>
      <c r="J806" s="3" t="n"/>
      <c r="K806" s="3" t="n"/>
    </row>
    <row r="807">
      <c r="A807" s="3" t="n"/>
      <c r="B807" s="3" t="n"/>
      <c r="C807" s="3" t="n"/>
      <c r="D807" s="3" t="n"/>
      <c r="E807" s="4">
        <f>IF(A807="","",COUNTIFS($A$4:A807,A807,$I$4:I807,"&lt;&gt;Штраф -2",$I$4:I807,"&lt;&gt;ушел на базу"))</f>
        <v/>
      </c>
      <c r="F807" s="4">
        <f>IF(E807="","",IF(E807&lt;=3,6,IF(E807&lt;=6,5,IF(E807&lt;=9,4,IF(E807&lt;=12,3,IF(E807&lt;=15,2,0))))))</f>
        <v/>
      </c>
      <c r="G807" s="3" t="n"/>
      <c r="H807" s="4">
        <f>IF(I807="Штраф -2",-2,IF(OR(F807="",G807=""),"",F807*G807+IF(J807="",0,J807)))</f>
        <v/>
      </c>
      <c r="I807" s="3" t="n"/>
      <c r="J807" s="3" t="n"/>
      <c r="K807" s="3" t="n"/>
    </row>
    <row r="808">
      <c r="A808" s="3" t="n"/>
      <c r="B808" s="3" t="n"/>
      <c r="C808" s="3" t="n"/>
      <c r="D808" s="3" t="n"/>
      <c r="E808" s="4">
        <f>IF(A808="","",COUNTIFS($A$4:A808,A808,$I$4:I808,"&lt;&gt;Штраф -2",$I$4:I808,"&lt;&gt;ушел на базу"))</f>
        <v/>
      </c>
      <c r="F808" s="4">
        <f>IF(E808="","",IF(E808&lt;=3,6,IF(E808&lt;=6,5,IF(E808&lt;=9,4,IF(E808&lt;=12,3,IF(E808&lt;=15,2,0))))))</f>
        <v/>
      </c>
      <c r="G808" s="3" t="n"/>
      <c r="H808" s="4">
        <f>IF(I808="Штраф -2",-2,IF(OR(F808="",G808=""),"",F808*G808+IF(J808="",0,J808)))</f>
        <v/>
      </c>
      <c r="I808" s="3" t="n"/>
      <c r="J808" s="3" t="n"/>
      <c r="K808" s="3" t="n"/>
    </row>
    <row r="809">
      <c r="A809" s="3" t="n"/>
      <c r="B809" s="3" t="n"/>
      <c r="C809" s="3" t="n"/>
      <c r="D809" s="3" t="n"/>
      <c r="E809" s="4">
        <f>IF(A809="","",COUNTIFS($A$4:A809,A809,$I$4:I809,"&lt;&gt;Штраф -2",$I$4:I809,"&lt;&gt;ушел на базу"))</f>
        <v/>
      </c>
      <c r="F809" s="4">
        <f>IF(E809="","",IF(E809&lt;=3,6,IF(E809&lt;=6,5,IF(E809&lt;=9,4,IF(E809&lt;=12,3,IF(E809&lt;=15,2,0))))))</f>
        <v/>
      </c>
      <c r="G809" s="3" t="n"/>
      <c r="H809" s="4">
        <f>IF(I809="Штраф -2",-2,IF(OR(F809="",G809=""),"",F809*G809+IF(J809="",0,J809)))</f>
        <v/>
      </c>
      <c r="I809" s="3" t="n"/>
      <c r="J809" s="3" t="n"/>
      <c r="K809" s="3" t="n"/>
    </row>
    <row r="810">
      <c r="A810" s="3" t="n"/>
      <c r="B810" s="3" t="n"/>
      <c r="C810" s="3" t="n"/>
      <c r="D810" s="3" t="n"/>
      <c r="E810" s="4">
        <f>IF(A810="","",COUNTIFS($A$4:A810,A810,$I$4:I810,"&lt;&gt;Штраф -2",$I$4:I810,"&lt;&gt;ушел на базу"))</f>
        <v/>
      </c>
      <c r="F810" s="4">
        <f>IF(E810="","",IF(E810&lt;=3,6,IF(E810&lt;=6,5,IF(E810&lt;=9,4,IF(E810&lt;=12,3,IF(E810&lt;=15,2,0))))))</f>
        <v/>
      </c>
      <c r="G810" s="3" t="n"/>
      <c r="H810" s="4">
        <f>IF(I810="Штраф -2",-2,IF(OR(F810="",G810=""),"",F810*G810+IF(J810="",0,J810)))</f>
        <v/>
      </c>
      <c r="I810" s="3" t="n"/>
      <c r="J810" s="3" t="n"/>
      <c r="K810" s="3" t="n"/>
    </row>
    <row r="811">
      <c r="A811" s="3" t="n"/>
      <c r="B811" s="3" t="n"/>
      <c r="C811" s="3" t="n"/>
      <c r="D811" s="3" t="n"/>
      <c r="E811" s="4">
        <f>IF(A811="","",COUNTIFS($A$4:A811,A811,$I$4:I811,"&lt;&gt;Штраф -2",$I$4:I811,"&lt;&gt;ушел на базу"))</f>
        <v/>
      </c>
      <c r="F811" s="4">
        <f>IF(E811="","",IF(E811&lt;=3,6,IF(E811&lt;=6,5,IF(E811&lt;=9,4,IF(E811&lt;=12,3,IF(E811&lt;=15,2,0))))))</f>
        <v/>
      </c>
      <c r="G811" s="3" t="n"/>
      <c r="H811" s="4">
        <f>IF(I811="Штраф -2",-2,IF(OR(F811="",G811=""),"",F811*G811+IF(J811="",0,J811)))</f>
        <v/>
      </c>
      <c r="I811" s="3" t="n"/>
      <c r="J811" s="3" t="n"/>
      <c r="K811" s="3" t="n"/>
    </row>
    <row r="812">
      <c r="A812" s="3" t="n"/>
      <c r="B812" s="3" t="n"/>
      <c r="C812" s="3" t="n"/>
      <c r="D812" s="3" t="n"/>
      <c r="E812" s="4">
        <f>IF(A812="","",COUNTIFS($A$4:A812,A812,$I$4:I812,"&lt;&gt;Штраф -2",$I$4:I812,"&lt;&gt;ушел на базу"))</f>
        <v/>
      </c>
      <c r="F812" s="4">
        <f>IF(E812="","",IF(E812&lt;=3,6,IF(E812&lt;=6,5,IF(E812&lt;=9,4,IF(E812&lt;=12,3,IF(E812&lt;=15,2,0))))))</f>
        <v/>
      </c>
      <c r="G812" s="3" t="n"/>
      <c r="H812" s="4">
        <f>IF(I812="Штраф -2",-2,IF(OR(F812="",G812=""),"",F812*G812+IF(J812="",0,J812)))</f>
        <v/>
      </c>
      <c r="I812" s="3" t="n"/>
      <c r="J812" s="3" t="n"/>
      <c r="K812" s="3" t="n"/>
    </row>
    <row r="813">
      <c r="A813" s="3" t="n"/>
      <c r="B813" s="3" t="n"/>
      <c r="C813" s="3" t="n"/>
      <c r="D813" s="3" t="n"/>
      <c r="E813" s="4">
        <f>IF(A813="","",COUNTIFS($A$4:A813,A813,$I$4:I813,"&lt;&gt;Штраф -2",$I$4:I813,"&lt;&gt;ушел на базу"))</f>
        <v/>
      </c>
      <c r="F813" s="4">
        <f>IF(E813="","",IF(E813&lt;=3,6,IF(E813&lt;=6,5,IF(E813&lt;=9,4,IF(E813&lt;=12,3,IF(E813&lt;=15,2,0))))))</f>
        <v/>
      </c>
      <c r="G813" s="3" t="n"/>
      <c r="H813" s="4">
        <f>IF(I813="Штраф -2",-2,IF(OR(F813="",G813=""),"",F813*G813+IF(J813="",0,J813)))</f>
        <v/>
      </c>
      <c r="I813" s="3" t="n"/>
      <c r="J813" s="3" t="n"/>
      <c r="K813" s="3" t="n"/>
    </row>
    <row r="814">
      <c r="A814" s="3" t="n"/>
      <c r="B814" s="3" t="n"/>
      <c r="C814" s="3" t="n"/>
      <c r="D814" s="3" t="n"/>
      <c r="E814" s="4">
        <f>IF(A814="","",COUNTIFS($A$4:A814,A814,$I$4:I814,"&lt;&gt;Штраф -2",$I$4:I814,"&lt;&gt;ушел на базу"))</f>
        <v/>
      </c>
      <c r="F814" s="4">
        <f>IF(E814="","",IF(E814&lt;=3,6,IF(E814&lt;=6,5,IF(E814&lt;=9,4,IF(E814&lt;=12,3,IF(E814&lt;=15,2,0))))))</f>
        <v/>
      </c>
      <c r="G814" s="3" t="n"/>
      <c r="H814" s="4">
        <f>IF(I814="Штраф -2",-2,IF(OR(F814="",G814=""),"",F814*G814+IF(J814="",0,J814)))</f>
        <v/>
      </c>
      <c r="I814" s="3" t="n"/>
      <c r="J814" s="3" t="n"/>
      <c r="K814" s="3" t="n"/>
    </row>
    <row r="815">
      <c r="A815" s="3" t="n"/>
      <c r="B815" s="3" t="n"/>
      <c r="C815" s="3" t="n"/>
      <c r="D815" s="3" t="n"/>
      <c r="E815" s="4">
        <f>IF(A815="","",COUNTIFS($A$4:A815,A815,$I$4:I815,"&lt;&gt;Штраф -2",$I$4:I815,"&lt;&gt;ушел на базу"))</f>
        <v/>
      </c>
      <c r="F815" s="4">
        <f>IF(E815="","",IF(E815&lt;=3,6,IF(E815&lt;=6,5,IF(E815&lt;=9,4,IF(E815&lt;=12,3,IF(E815&lt;=15,2,0))))))</f>
        <v/>
      </c>
      <c r="G815" s="3" t="n"/>
      <c r="H815" s="4">
        <f>IF(I815="Штраф -2",-2,IF(OR(F815="",G815=""),"",F815*G815+IF(J815="",0,J815)))</f>
        <v/>
      </c>
      <c r="I815" s="3" t="n"/>
      <c r="J815" s="3" t="n"/>
      <c r="K815" s="3" t="n"/>
    </row>
    <row r="816">
      <c r="A816" s="3" t="n"/>
      <c r="B816" s="3" t="n"/>
      <c r="C816" s="3" t="n"/>
      <c r="D816" s="3" t="n"/>
      <c r="E816" s="4">
        <f>IF(A816="","",COUNTIFS($A$4:A816,A816,$I$4:I816,"&lt;&gt;Штраф -2",$I$4:I816,"&lt;&gt;ушел на базу"))</f>
        <v/>
      </c>
      <c r="F816" s="4">
        <f>IF(E816="","",IF(E816&lt;=3,6,IF(E816&lt;=6,5,IF(E816&lt;=9,4,IF(E816&lt;=12,3,IF(E816&lt;=15,2,0))))))</f>
        <v/>
      </c>
      <c r="G816" s="3" t="n"/>
      <c r="H816" s="4">
        <f>IF(I816="Штраф -2",-2,IF(OR(F816="",G816=""),"",F816*G816+IF(J816="",0,J816)))</f>
        <v/>
      </c>
      <c r="I816" s="3" t="n"/>
      <c r="J816" s="3" t="n"/>
      <c r="K816" s="3" t="n"/>
    </row>
    <row r="817">
      <c r="A817" s="3" t="n"/>
      <c r="B817" s="3" t="n"/>
      <c r="C817" s="3" t="n"/>
      <c r="D817" s="3" t="n"/>
      <c r="E817" s="4">
        <f>IF(A817="","",COUNTIFS($A$4:A817,A817,$I$4:I817,"&lt;&gt;Штраф -2",$I$4:I817,"&lt;&gt;ушел на базу"))</f>
        <v/>
      </c>
      <c r="F817" s="4">
        <f>IF(E817="","",IF(E817&lt;=3,6,IF(E817&lt;=6,5,IF(E817&lt;=9,4,IF(E817&lt;=12,3,IF(E817&lt;=15,2,0))))))</f>
        <v/>
      </c>
      <c r="G817" s="3" t="n"/>
      <c r="H817" s="4">
        <f>IF(I817="Штраф -2",-2,IF(OR(F817="",G817=""),"",F817*G817+IF(J817="",0,J817)))</f>
        <v/>
      </c>
      <c r="I817" s="3" t="n"/>
      <c r="J817" s="3" t="n"/>
      <c r="K817" s="3" t="n"/>
    </row>
    <row r="818">
      <c r="A818" s="3" t="n"/>
      <c r="B818" s="3" t="n"/>
      <c r="C818" s="3" t="n"/>
      <c r="D818" s="3" t="n"/>
      <c r="E818" s="4">
        <f>IF(A818="","",COUNTIFS($A$4:A818,A818,$I$4:I818,"&lt;&gt;Штраф -2",$I$4:I818,"&lt;&gt;ушел на базу"))</f>
        <v/>
      </c>
      <c r="F818" s="4">
        <f>IF(E818="","",IF(E818&lt;=3,6,IF(E818&lt;=6,5,IF(E818&lt;=9,4,IF(E818&lt;=12,3,IF(E818&lt;=15,2,0))))))</f>
        <v/>
      </c>
      <c r="G818" s="3" t="n"/>
      <c r="H818" s="4">
        <f>IF(I818="Штраф -2",-2,IF(OR(F818="",G818=""),"",F818*G818+IF(J818="",0,J818)))</f>
        <v/>
      </c>
      <c r="I818" s="3" t="n"/>
      <c r="J818" s="3" t="n"/>
      <c r="K818" s="3" t="n"/>
    </row>
    <row r="819">
      <c r="A819" s="3" t="n"/>
      <c r="B819" s="3" t="n"/>
      <c r="C819" s="3" t="n"/>
      <c r="D819" s="3" t="n"/>
      <c r="E819" s="4">
        <f>IF(A819="","",COUNTIFS($A$4:A819,A819,$I$4:I819,"&lt;&gt;Штраф -2",$I$4:I819,"&lt;&gt;ушел на базу"))</f>
        <v/>
      </c>
      <c r="F819" s="4">
        <f>IF(E819="","",IF(E819&lt;=3,6,IF(E819&lt;=6,5,IF(E819&lt;=9,4,IF(E819&lt;=12,3,IF(E819&lt;=15,2,0))))))</f>
        <v/>
      </c>
      <c r="G819" s="3" t="n"/>
      <c r="H819" s="4">
        <f>IF(I819="Штраф -2",-2,IF(OR(F819="",G819=""),"",F819*G819+IF(J819="",0,J819)))</f>
        <v/>
      </c>
      <c r="I819" s="3" t="n"/>
      <c r="J819" s="3" t="n"/>
      <c r="K819" s="3" t="n"/>
    </row>
    <row r="820">
      <c r="A820" s="3" t="n"/>
      <c r="B820" s="3" t="n"/>
      <c r="C820" s="3" t="n"/>
      <c r="D820" s="3" t="n"/>
      <c r="E820" s="4">
        <f>IF(A820="","",COUNTIFS($A$4:A820,A820,$I$4:I820,"&lt;&gt;Штраф -2",$I$4:I820,"&lt;&gt;ушел на базу"))</f>
        <v/>
      </c>
      <c r="F820" s="4">
        <f>IF(E820="","",IF(E820&lt;=3,6,IF(E820&lt;=6,5,IF(E820&lt;=9,4,IF(E820&lt;=12,3,IF(E820&lt;=15,2,0))))))</f>
        <v/>
      </c>
      <c r="G820" s="3" t="n"/>
      <c r="H820" s="4">
        <f>IF(I820="Штраф -2",-2,IF(OR(F820="",G820=""),"",F820*G820+IF(J820="",0,J820)))</f>
        <v/>
      </c>
      <c r="I820" s="3" t="n"/>
      <c r="J820" s="3" t="n"/>
      <c r="K820" s="3" t="n"/>
    </row>
    <row r="821">
      <c r="A821" s="3" t="n"/>
      <c r="B821" s="3" t="n"/>
      <c r="C821" s="3" t="n"/>
      <c r="D821" s="3" t="n"/>
      <c r="E821" s="4">
        <f>IF(A821="","",COUNTIFS($A$4:A821,A821,$I$4:I821,"&lt;&gt;Штраф -2",$I$4:I821,"&lt;&gt;ушел на базу"))</f>
        <v/>
      </c>
      <c r="F821" s="4">
        <f>IF(E821="","",IF(E821&lt;=3,6,IF(E821&lt;=6,5,IF(E821&lt;=9,4,IF(E821&lt;=12,3,IF(E821&lt;=15,2,0))))))</f>
        <v/>
      </c>
      <c r="G821" s="3" t="n"/>
      <c r="H821" s="4">
        <f>IF(I821="Штраф -2",-2,IF(OR(F821="",G821=""),"",F821*G821+IF(J821="",0,J821)))</f>
        <v/>
      </c>
      <c r="I821" s="3" t="n"/>
      <c r="J821" s="3" t="n"/>
      <c r="K821" s="3" t="n"/>
    </row>
    <row r="822">
      <c r="A822" s="3" t="n"/>
      <c r="B822" s="3" t="n"/>
      <c r="C822" s="3" t="n"/>
      <c r="D822" s="3" t="n"/>
      <c r="E822" s="4">
        <f>IF(A822="","",COUNTIFS($A$4:A822,A822,$I$4:I822,"&lt;&gt;Штраф -2",$I$4:I822,"&lt;&gt;ушел на базу"))</f>
        <v/>
      </c>
      <c r="F822" s="4">
        <f>IF(E822="","",IF(E822&lt;=3,6,IF(E822&lt;=6,5,IF(E822&lt;=9,4,IF(E822&lt;=12,3,IF(E822&lt;=15,2,0))))))</f>
        <v/>
      </c>
      <c r="G822" s="3" t="n"/>
      <c r="H822" s="4">
        <f>IF(I822="Штраф -2",-2,IF(OR(F822="",G822=""),"",F822*G822+IF(J822="",0,J822)))</f>
        <v/>
      </c>
      <c r="I822" s="3" t="n"/>
      <c r="J822" s="3" t="n"/>
      <c r="K822" s="3" t="n"/>
    </row>
    <row r="823">
      <c r="A823" s="3" t="n"/>
      <c r="B823" s="3" t="n"/>
      <c r="C823" s="3" t="n"/>
      <c r="D823" s="3" t="n"/>
      <c r="E823" s="4">
        <f>IF(A823="","",COUNTIFS($A$4:A823,A823,$I$4:I823,"&lt;&gt;Штраф -2",$I$4:I823,"&lt;&gt;ушел на базу"))</f>
        <v/>
      </c>
      <c r="F823" s="4">
        <f>IF(E823="","",IF(E823&lt;=3,6,IF(E823&lt;=6,5,IF(E823&lt;=9,4,IF(E823&lt;=12,3,IF(E823&lt;=15,2,0))))))</f>
        <v/>
      </c>
      <c r="G823" s="3" t="n"/>
      <c r="H823" s="4">
        <f>IF(I823="Штраф -2",-2,IF(OR(F823="",G823=""),"",F823*G823+IF(J823="",0,J823)))</f>
        <v/>
      </c>
      <c r="I823" s="3" t="n"/>
      <c r="J823" s="3" t="n"/>
      <c r="K823" s="3" t="n"/>
    </row>
    <row r="824">
      <c r="A824" s="3" t="n"/>
      <c r="B824" s="3" t="n"/>
      <c r="C824" s="3" t="n"/>
      <c r="D824" s="3" t="n"/>
      <c r="E824" s="4">
        <f>IF(A824="","",COUNTIFS($A$4:A824,A824,$I$4:I824,"&lt;&gt;Штраф -2",$I$4:I824,"&lt;&gt;ушел на базу"))</f>
        <v/>
      </c>
      <c r="F824" s="4">
        <f>IF(E824="","",IF(E824&lt;=3,6,IF(E824&lt;=6,5,IF(E824&lt;=9,4,IF(E824&lt;=12,3,IF(E824&lt;=15,2,0))))))</f>
        <v/>
      </c>
      <c r="G824" s="3" t="n"/>
      <c r="H824" s="4">
        <f>IF(I824="Штраф -2",-2,IF(OR(F824="",G824=""),"",F824*G824+IF(J824="",0,J824)))</f>
        <v/>
      </c>
      <c r="I824" s="3" t="n"/>
      <c r="J824" s="3" t="n"/>
      <c r="K824" s="3" t="n"/>
    </row>
    <row r="825">
      <c r="A825" s="3" t="n"/>
      <c r="B825" s="3" t="n"/>
      <c r="C825" s="3" t="n"/>
      <c r="D825" s="3" t="n"/>
      <c r="E825" s="4">
        <f>IF(A825="","",COUNTIFS($A$4:A825,A825,$I$4:I825,"&lt;&gt;Штраф -2",$I$4:I825,"&lt;&gt;ушел на базу"))</f>
        <v/>
      </c>
      <c r="F825" s="4">
        <f>IF(E825="","",IF(E825&lt;=3,6,IF(E825&lt;=6,5,IF(E825&lt;=9,4,IF(E825&lt;=12,3,IF(E825&lt;=15,2,0))))))</f>
        <v/>
      </c>
      <c r="G825" s="3" t="n"/>
      <c r="H825" s="4">
        <f>IF(I825="Штраф -2",-2,IF(OR(F825="",G825=""),"",F825*G825+IF(J825="",0,J825)))</f>
        <v/>
      </c>
      <c r="I825" s="3" t="n"/>
      <c r="J825" s="3" t="n"/>
      <c r="K825" s="3" t="n"/>
    </row>
    <row r="826">
      <c r="A826" s="3" t="n"/>
      <c r="B826" s="3" t="n"/>
      <c r="C826" s="3" t="n"/>
      <c r="D826" s="3" t="n"/>
      <c r="E826" s="4">
        <f>IF(A826="","",COUNTIFS($A$4:A826,A826,$I$4:I826,"&lt;&gt;Штраф -2",$I$4:I826,"&lt;&gt;ушел на базу"))</f>
        <v/>
      </c>
      <c r="F826" s="4">
        <f>IF(E826="","",IF(E826&lt;=3,6,IF(E826&lt;=6,5,IF(E826&lt;=9,4,IF(E826&lt;=12,3,IF(E826&lt;=15,2,0))))))</f>
        <v/>
      </c>
      <c r="G826" s="3" t="n"/>
      <c r="H826" s="4">
        <f>IF(I826="Штраф -2",-2,IF(OR(F826="",G826=""),"",F826*G826+IF(J826="",0,J826)))</f>
        <v/>
      </c>
      <c r="I826" s="3" t="n"/>
      <c r="J826" s="3" t="n"/>
      <c r="K826" s="3" t="n"/>
    </row>
    <row r="827">
      <c r="A827" s="3" t="n"/>
      <c r="B827" s="3" t="n"/>
      <c r="C827" s="3" t="n"/>
      <c r="D827" s="3" t="n"/>
      <c r="E827" s="4">
        <f>IF(A827="","",COUNTIFS($A$4:A827,A827,$I$4:I827,"&lt;&gt;Штраф -2",$I$4:I827,"&lt;&gt;ушел на базу"))</f>
        <v/>
      </c>
      <c r="F827" s="4">
        <f>IF(E827="","",IF(E827&lt;=3,6,IF(E827&lt;=6,5,IF(E827&lt;=9,4,IF(E827&lt;=12,3,IF(E827&lt;=15,2,0))))))</f>
        <v/>
      </c>
      <c r="G827" s="3" t="n"/>
      <c r="H827" s="4">
        <f>IF(I827="Штраф -2",-2,IF(OR(F827="",G827=""),"",F827*G827+IF(J827="",0,J827)))</f>
        <v/>
      </c>
      <c r="I827" s="3" t="n"/>
      <c r="J827" s="3" t="n"/>
      <c r="K827" s="3" t="n"/>
    </row>
    <row r="828">
      <c r="A828" s="3" t="n"/>
      <c r="B828" s="3" t="n"/>
      <c r="C828" s="3" t="n"/>
      <c r="D828" s="3" t="n"/>
      <c r="E828" s="4">
        <f>IF(A828="","",COUNTIFS($A$4:A828,A828,$I$4:I828,"&lt;&gt;Штраф -2",$I$4:I828,"&lt;&gt;ушел на базу"))</f>
        <v/>
      </c>
      <c r="F828" s="4">
        <f>IF(E828="","",IF(E828&lt;=3,6,IF(E828&lt;=6,5,IF(E828&lt;=9,4,IF(E828&lt;=12,3,IF(E828&lt;=15,2,0))))))</f>
        <v/>
      </c>
      <c r="G828" s="3" t="n"/>
      <c r="H828" s="4">
        <f>IF(I828="Штраф -2",-2,IF(OR(F828="",G828=""),"",F828*G828+IF(J828="",0,J828)))</f>
        <v/>
      </c>
      <c r="I828" s="3" t="n"/>
      <c r="J828" s="3" t="n"/>
      <c r="K828" s="3" t="n"/>
    </row>
    <row r="829">
      <c r="A829" s="3" t="n"/>
      <c r="B829" s="3" t="n"/>
      <c r="C829" s="3" t="n"/>
      <c r="D829" s="3" t="n"/>
      <c r="E829" s="4">
        <f>IF(A829="","",COUNTIFS($A$4:A829,A829,$I$4:I829,"&lt;&gt;Штраф -2",$I$4:I829,"&lt;&gt;ушел на базу"))</f>
        <v/>
      </c>
      <c r="F829" s="4">
        <f>IF(E829="","",IF(E829&lt;=3,6,IF(E829&lt;=6,5,IF(E829&lt;=9,4,IF(E829&lt;=12,3,IF(E829&lt;=15,2,0))))))</f>
        <v/>
      </c>
      <c r="G829" s="3" t="n"/>
      <c r="H829" s="4">
        <f>IF(I829="Штраф -2",-2,IF(OR(F829="",G829=""),"",F829*G829+IF(J829="",0,J829)))</f>
        <v/>
      </c>
      <c r="I829" s="3" t="n"/>
      <c r="J829" s="3" t="n"/>
      <c r="K829" s="3" t="n"/>
    </row>
    <row r="830">
      <c r="A830" s="3" t="n"/>
      <c r="B830" s="3" t="n"/>
      <c r="C830" s="3" t="n"/>
      <c r="D830" s="3" t="n"/>
      <c r="E830" s="4">
        <f>IF(A830="","",COUNTIFS($A$4:A830,A830,$I$4:I830,"&lt;&gt;Штраф -2",$I$4:I830,"&lt;&gt;ушел на базу"))</f>
        <v/>
      </c>
      <c r="F830" s="4">
        <f>IF(E830="","",IF(E830&lt;=3,6,IF(E830&lt;=6,5,IF(E830&lt;=9,4,IF(E830&lt;=12,3,IF(E830&lt;=15,2,0))))))</f>
        <v/>
      </c>
      <c r="G830" s="3" t="n"/>
      <c r="H830" s="4">
        <f>IF(I830="Штраф -2",-2,IF(OR(F830="",G830=""),"",F830*G830+IF(J830="",0,J830)))</f>
        <v/>
      </c>
      <c r="I830" s="3" t="n"/>
      <c r="J830" s="3" t="n"/>
      <c r="K830" s="3" t="n"/>
    </row>
    <row r="831">
      <c r="A831" s="3" t="n"/>
      <c r="B831" s="3" t="n"/>
      <c r="C831" s="3" t="n"/>
      <c r="D831" s="3" t="n"/>
      <c r="E831" s="4">
        <f>IF(A831="","",COUNTIFS($A$4:A831,A831,$I$4:I831,"&lt;&gt;Штраф -2",$I$4:I831,"&lt;&gt;ушел на базу"))</f>
        <v/>
      </c>
      <c r="F831" s="4">
        <f>IF(E831="","",IF(E831&lt;=3,6,IF(E831&lt;=6,5,IF(E831&lt;=9,4,IF(E831&lt;=12,3,IF(E831&lt;=15,2,0))))))</f>
        <v/>
      </c>
      <c r="G831" s="3" t="n"/>
      <c r="H831" s="4">
        <f>IF(I831="Штраф -2",-2,IF(OR(F831="",G831=""),"",F831*G831+IF(J831="",0,J831)))</f>
        <v/>
      </c>
      <c r="I831" s="3" t="n"/>
      <c r="J831" s="3" t="n"/>
      <c r="K831" s="3" t="n"/>
    </row>
    <row r="832">
      <c r="A832" s="3" t="n"/>
      <c r="B832" s="3" t="n"/>
      <c r="C832" s="3" t="n"/>
      <c r="D832" s="3" t="n"/>
      <c r="E832" s="4">
        <f>IF(A832="","",COUNTIFS($A$4:A832,A832,$I$4:I832,"&lt;&gt;Штраф -2",$I$4:I832,"&lt;&gt;ушел на базу"))</f>
        <v/>
      </c>
      <c r="F832" s="4">
        <f>IF(E832="","",IF(E832&lt;=3,6,IF(E832&lt;=6,5,IF(E832&lt;=9,4,IF(E832&lt;=12,3,IF(E832&lt;=15,2,0))))))</f>
        <v/>
      </c>
      <c r="G832" s="3" t="n"/>
      <c r="H832" s="4">
        <f>IF(I832="Штраф -2",-2,IF(OR(F832="",G832=""),"",F832*G832+IF(J832="",0,J832)))</f>
        <v/>
      </c>
      <c r="I832" s="3" t="n"/>
      <c r="J832" s="3" t="n"/>
      <c r="K832" s="3" t="n"/>
    </row>
    <row r="833">
      <c r="A833" s="3" t="n"/>
      <c r="B833" s="3" t="n"/>
      <c r="C833" s="3" t="n"/>
      <c r="D833" s="3" t="n"/>
      <c r="E833" s="4">
        <f>IF(A833="","",COUNTIFS($A$4:A833,A833,$I$4:I833,"&lt;&gt;Штраф -2",$I$4:I833,"&lt;&gt;ушел на базу"))</f>
        <v/>
      </c>
      <c r="F833" s="4">
        <f>IF(E833="","",IF(E833&lt;=3,6,IF(E833&lt;=6,5,IF(E833&lt;=9,4,IF(E833&lt;=12,3,IF(E833&lt;=15,2,0))))))</f>
        <v/>
      </c>
      <c r="G833" s="3" t="n"/>
      <c r="H833" s="4">
        <f>IF(I833="Штраф -2",-2,IF(OR(F833="",G833=""),"",F833*G833+IF(J833="",0,J833)))</f>
        <v/>
      </c>
      <c r="I833" s="3" t="n"/>
      <c r="J833" s="3" t="n"/>
      <c r="K833" s="3" t="n"/>
    </row>
    <row r="834">
      <c r="A834" s="3" t="n"/>
      <c r="B834" s="3" t="n"/>
      <c r="C834" s="3" t="n"/>
      <c r="D834" s="3" t="n"/>
      <c r="E834" s="4">
        <f>IF(A834="","",COUNTIFS($A$4:A834,A834,$I$4:I834,"&lt;&gt;Штраф -2",$I$4:I834,"&lt;&gt;ушел на базу"))</f>
        <v/>
      </c>
      <c r="F834" s="4">
        <f>IF(E834="","",IF(E834&lt;=3,6,IF(E834&lt;=6,5,IF(E834&lt;=9,4,IF(E834&lt;=12,3,IF(E834&lt;=15,2,0))))))</f>
        <v/>
      </c>
      <c r="G834" s="3" t="n"/>
      <c r="H834" s="4">
        <f>IF(I834="Штраф -2",-2,IF(OR(F834="",G834=""),"",F834*G834+IF(J834="",0,J834)))</f>
        <v/>
      </c>
      <c r="I834" s="3" t="n"/>
      <c r="J834" s="3" t="n"/>
      <c r="K834" s="3" t="n"/>
    </row>
    <row r="835">
      <c r="A835" s="3" t="n"/>
      <c r="B835" s="3" t="n"/>
      <c r="C835" s="3" t="n"/>
      <c r="D835" s="3" t="n"/>
      <c r="E835" s="4">
        <f>IF(A835="","",COUNTIFS($A$4:A835,A835,$I$4:I835,"&lt;&gt;Штраф -2",$I$4:I835,"&lt;&gt;ушел на базу"))</f>
        <v/>
      </c>
      <c r="F835" s="4">
        <f>IF(E835="","",IF(E835&lt;=3,6,IF(E835&lt;=6,5,IF(E835&lt;=9,4,IF(E835&lt;=12,3,IF(E835&lt;=15,2,0))))))</f>
        <v/>
      </c>
      <c r="G835" s="3" t="n"/>
      <c r="H835" s="4">
        <f>IF(I835="Штраф -2",-2,IF(OR(F835="",G835=""),"",F835*G835+IF(J835="",0,J835)))</f>
        <v/>
      </c>
      <c r="I835" s="3" t="n"/>
      <c r="J835" s="3" t="n"/>
      <c r="K835" s="3" t="n"/>
    </row>
    <row r="836">
      <c r="A836" s="3" t="n"/>
      <c r="B836" s="3" t="n"/>
      <c r="C836" s="3" t="n"/>
      <c r="D836" s="3" t="n"/>
      <c r="E836" s="4">
        <f>IF(A836="","",COUNTIFS($A$4:A836,A836,$I$4:I836,"&lt;&gt;Штраф -2",$I$4:I836,"&lt;&gt;ушел на базу"))</f>
        <v/>
      </c>
      <c r="F836" s="4">
        <f>IF(E836="","",IF(E836&lt;=3,6,IF(E836&lt;=6,5,IF(E836&lt;=9,4,IF(E836&lt;=12,3,IF(E836&lt;=15,2,0))))))</f>
        <v/>
      </c>
      <c r="G836" s="3" t="n"/>
      <c r="H836" s="4">
        <f>IF(I836="Штраф -2",-2,IF(OR(F836="",G836=""),"",F836*G836+IF(J836="",0,J836)))</f>
        <v/>
      </c>
      <c r="I836" s="3" t="n"/>
      <c r="J836" s="3" t="n"/>
      <c r="K836" s="3" t="n"/>
    </row>
    <row r="837">
      <c r="A837" s="3" t="n"/>
      <c r="B837" s="3" t="n"/>
      <c r="C837" s="3" t="n"/>
      <c r="D837" s="3" t="n"/>
      <c r="E837" s="4">
        <f>IF(A837="","",COUNTIFS($A$4:A837,A837,$I$4:I837,"&lt;&gt;Штраф -2",$I$4:I837,"&lt;&gt;ушел на базу"))</f>
        <v/>
      </c>
      <c r="F837" s="4">
        <f>IF(E837="","",IF(E837&lt;=3,6,IF(E837&lt;=6,5,IF(E837&lt;=9,4,IF(E837&lt;=12,3,IF(E837&lt;=15,2,0))))))</f>
        <v/>
      </c>
      <c r="G837" s="3" t="n"/>
      <c r="H837" s="4">
        <f>IF(I837="Штраф -2",-2,IF(OR(F837="",G837=""),"",F837*G837+IF(J837="",0,J837)))</f>
        <v/>
      </c>
      <c r="I837" s="3" t="n"/>
      <c r="J837" s="3" t="n"/>
      <c r="K837" s="3" t="n"/>
    </row>
    <row r="838">
      <c r="A838" s="3" t="n"/>
      <c r="B838" s="3" t="n"/>
      <c r="C838" s="3" t="n"/>
      <c r="D838" s="3" t="n"/>
      <c r="E838" s="4">
        <f>IF(A838="","",COUNTIFS($A$4:A838,A838,$I$4:I838,"&lt;&gt;Штраф -2",$I$4:I838,"&lt;&gt;ушел на базу"))</f>
        <v/>
      </c>
      <c r="F838" s="4">
        <f>IF(E838="","",IF(E838&lt;=3,6,IF(E838&lt;=6,5,IF(E838&lt;=9,4,IF(E838&lt;=12,3,IF(E838&lt;=15,2,0))))))</f>
        <v/>
      </c>
      <c r="G838" s="3" t="n"/>
      <c r="H838" s="4">
        <f>IF(I838="Штраф -2",-2,IF(OR(F838="",G838=""),"",F838*G838+IF(J838="",0,J838)))</f>
        <v/>
      </c>
      <c r="I838" s="3" t="n"/>
      <c r="J838" s="3" t="n"/>
      <c r="K838" s="3" t="n"/>
    </row>
    <row r="839">
      <c r="A839" s="3" t="n"/>
      <c r="B839" s="3" t="n"/>
      <c r="C839" s="3" t="n"/>
      <c r="D839" s="3" t="n"/>
      <c r="E839" s="4">
        <f>IF(A839="","",COUNTIFS($A$4:A839,A839,$I$4:I839,"&lt;&gt;Штраф -2",$I$4:I839,"&lt;&gt;ушел на базу"))</f>
        <v/>
      </c>
      <c r="F839" s="4">
        <f>IF(E839="","",IF(E839&lt;=3,6,IF(E839&lt;=6,5,IF(E839&lt;=9,4,IF(E839&lt;=12,3,IF(E839&lt;=15,2,0))))))</f>
        <v/>
      </c>
      <c r="G839" s="3" t="n"/>
      <c r="H839" s="4">
        <f>IF(I839="Штраф -2",-2,IF(OR(F839="",G839=""),"",F839*G839+IF(J839="",0,J839)))</f>
        <v/>
      </c>
      <c r="I839" s="3" t="n"/>
      <c r="J839" s="3" t="n"/>
      <c r="K839" s="3" t="n"/>
    </row>
    <row r="840">
      <c r="A840" s="3" t="n"/>
      <c r="B840" s="3" t="n"/>
      <c r="C840" s="3" t="n"/>
      <c r="D840" s="3" t="n"/>
      <c r="E840" s="4">
        <f>IF(A840="","",COUNTIFS($A$4:A840,A840,$I$4:I840,"&lt;&gt;Штраф -2",$I$4:I840,"&lt;&gt;ушел на базу"))</f>
        <v/>
      </c>
      <c r="F840" s="4">
        <f>IF(E840="","",IF(E840&lt;=3,6,IF(E840&lt;=6,5,IF(E840&lt;=9,4,IF(E840&lt;=12,3,IF(E840&lt;=15,2,0))))))</f>
        <v/>
      </c>
      <c r="G840" s="3" t="n"/>
      <c r="H840" s="4">
        <f>IF(I840="Штраф -2",-2,IF(OR(F840="",G840=""),"",F840*G840+IF(J840="",0,J840)))</f>
        <v/>
      </c>
      <c r="I840" s="3" t="n"/>
      <c r="J840" s="3" t="n"/>
      <c r="K840" s="3" t="n"/>
    </row>
    <row r="841">
      <c r="A841" s="3" t="n"/>
      <c r="B841" s="3" t="n"/>
      <c r="C841" s="3" t="n"/>
      <c r="D841" s="3" t="n"/>
      <c r="E841" s="4">
        <f>IF(A841="","",COUNTIFS($A$4:A841,A841,$I$4:I841,"&lt;&gt;Штраф -2",$I$4:I841,"&lt;&gt;ушел на базу"))</f>
        <v/>
      </c>
      <c r="F841" s="4">
        <f>IF(E841="","",IF(E841&lt;=3,6,IF(E841&lt;=6,5,IF(E841&lt;=9,4,IF(E841&lt;=12,3,IF(E841&lt;=15,2,0))))))</f>
        <v/>
      </c>
      <c r="G841" s="3" t="n"/>
      <c r="H841" s="4">
        <f>IF(I841="Штраф -2",-2,IF(OR(F841="",G841=""),"",F841*G841+IF(J841="",0,J841)))</f>
        <v/>
      </c>
      <c r="I841" s="3" t="n"/>
      <c r="J841" s="3" t="n"/>
      <c r="K841" s="3" t="n"/>
    </row>
    <row r="842">
      <c r="A842" s="3" t="n"/>
      <c r="B842" s="3" t="n"/>
      <c r="C842" s="3" t="n"/>
      <c r="D842" s="3" t="n"/>
      <c r="E842" s="4">
        <f>IF(A842="","",COUNTIFS($A$4:A842,A842,$I$4:I842,"&lt;&gt;Штраф -2",$I$4:I842,"&lt;&gt;ушел на базу"))</f>
        <v/>
      </c>
      <c r="F842" s="4">
        <f>IF(E842="","",IF(E842&lt;=3,6,IF(E842&lt;=6,5,IF(E842&lt;=9,4,IF(E842&lt;=12,3,IF(E842&lt;=15,2,0))))))</f>
        <v/>
      </c>
      <c r="G842" s="3" t="n"/>
      <c r="H842" s="4">
        <f>IF(I842="Штраф -2",-2,IF(OR(F842="",G842=""),"",F842*G842+IF(J842="",0,J842)))</f>
        <v/>
      </c>
      <c r="I842" s="3" t="n"/>
      <c r="J842" s="3" t="n"/>
      <c r="K842" s="3" t="n"/>
    </row>
    <row r="843">
      <c r="A843" s="3" t="n"/>
      <c r="B843" s="3" t="n"/>
      <c r="C843" s="3" t="n"/>
      <c r="D843" s="3" t="n"/>
      <c r="E843" s="4">
        <f>IF(A843="","",COUNTIFS($A$4:A843,A843,$I$4:I843,"&lt;&gt;Штраф -2",$I$4:I843,"&lt;&gt;ушел на базу"))</f>
        <v/>
      </c>
      <c r="F843" s="4">
        <f>IF(E843="","",IF(E843&lt;=3,6,IF(E843&lt;=6,5,IF(E843&lt;=9,4,IF(E843&lt;=12,3,IF(E843&lt;=15,2,0))))))</f>
        <v/>
      </c>
      <c r="G843" s="3" t="n"/>
      <c r="H843" s="4">
        <f>IF(I843="Штраф -2",-2,IF(OR(F843="",G843=""),"",F843*G843+IF(J843="",0,J843)))</f>
        <v/>
      </c>
      <c r="I843" s="3" t="n"/>
      <c r="J843" s="3" t="n"/>
      <c r="K843" s="3" t="n"/>
    </row>
    <row r="844">
      <c r="A844" s="3" t="n"/>
      <c r="B844" s="3" t="n"/>
      <c r="C844" s="3" t="n"/>
      <c r="D844" s="3" t="n"/>
      <c r="E844" s="4">
        <f>IF(A844="","",COUNTIFS($A$4:A844,A844,$I$4:I844,"&lt;&gt;Штраф -2",$I$4:I844,"&lt;&gt;ушел на базу"))</f>
        <v/>
      </c>
      <c r="F844" s="4">
        <f>IF(E844="","",IF(E844&lt;=3,6,IF(E844&lt;=6,5,IF(E844&lt;=9,4,IF(E844&lt;=12,3,IF(E844&lt;=15,2,0))))))</f>
        <v/>
      </c>
      <c r="G844" s="3" t="n"/>
      <c r="H844" s="4">
        <f>IF(I844="Штраф -2",-2,IF(OR(F844="",G844=""),"",F844*G844+IF(J844="",0,J844)))</f>
        <v/>
      </c>
      <c r="I844" s="3" t="n"/>
      <c r="J844" s="3" t="n"/>
      <c r="K844" s="3" t="n"/>
    </row>
    <row r="845">
      <c r="A845" s="3" t="n"/>
      <c r="B845" s="3" t="n"/>
      <c r="C845" s="3" t="n"/>
      <c r="D845" s="3" t="n"/>
      <c r="E845" s="4">
        <f>IF(A845="","",COUNTIFS($A$4:A845,A845,$I$4:I845,"&lt;&gt;Штраф -2",$I$4:I845,"&lt;&gt;ушел на базу"))</f>
        <v/>
      </c>
      <c r="F845" s="4">
        <f>IF(E845="","",IF(E845&lt;=3,6,IF(E845&lt;=6,5,IF(E845&lt;=9,4,IF(E845&lt;=12,3,IF(E845&lt;=15,2,0))))))</f>
        <v/>
      </c>
      <c r="G845" s="3" t="n"/>
      <c r="H845" s="4">
        <f>IF(I845="Штраф -2",-2,IF(OR(F845="",G845=""),"",F845*G845+IF(J845="",0,J845)))</f>
        <v/>
      </c>
      <c r="I845" s="3" t="n"/>
      <c r="J845" s="3" t="n"/>
      <c r="K845" s="3" t="n"/>
    </row>
    <row r="846">
      <c r="A846" s="3" t="n"/>
      <c r="B846" s="3" t="n"/>
      <c r="C846" s="3" t="n"/>
      <c r="D846" s="3" t="n"/>
      <c r="E846" s="4">
        <f>IF(A846="","",COUNTIFS($A$4:A846,A846,$I$4:I846,"&lt;&gt;Штраф -2",$I$4:I846,"&lt;&gt;ушел на базу"))</f>
        <v/>
      </c>
      <c r="F846" s="4">
        <f>IF(E846="","",IF(E846&lt;=3,6,IF(E846&lt;=6,5,IF(E846&lt;=9,4,IF(E846&lt;=12,3,IF(E846&lt;=15,2,0))))))</f>
        <v/>
      </c>
      <c r="G846" s="3" t="n"/>
      <c r="H846" s="4">
        <f>IF(I846="Штраф -2",-2,IF(OR(F846="",G846=""),"",F846*G846+IF(J846="",0,J846)))</f>
        <v/>
      </c>
      <c r="I846" s="3" t="n"/>
      <c r="J846" s="3" t="n"/>
      <c r="K846" s="3" t="n"/>
    </row>
    <row r="847">
      <c r="A847" s="3" t="n"/>
      <c r="B847" s="3" t="n"/>
      <c r="C847" s="3" t="n"/>
      <c r="D847" s="3" t="n"/>
      <c r="E847" s="4">
        <f>IF(A847="","",COUNTIFS($A$4:A847,A847,$I$4:I847,"&lt;&gt;Штраф -2",$I$4:I847,"&lt;&gt;ушел на базу"))</f>
        <v/>
      </c>
      <c r="F847" s="4">
        <f>IF(E847="","",IF(E847&lt;=3,6,IF(E847&lt;=6,5,IF(E847&lt;=9,4,IF(E847&lt;=12,3,IF(E847&lt;=15,2,0))))))</f>
        <v/>
      </c>
      <c r="G847" s="3" t="n"/>
      <c r="H847" s="4">
        <f>IF(I847="Штраф -2",-2,IF(OR(F847="",G847=""),"",F847*G847+IF(J847="",0,J847)))</f>
        <v/>
      </c>
      <c r="I847" s="3" t="n"/>
      <c r="J847" s="3" t="n"/>
      <c r="K847" s="3" t="n"/>
    </row>
    <row r="848">
      <c r="A848" s="3" t="n"/>
      <c r="B848" s="3" t="n"/>
      <c r="C848" s="3" t="n"/>
      <c r="D848" s="3" t="n"/>
      <c r="E848" s="4">
        <f>IF(A848="","",COUNTIFS($A$4:A848,A848,$I$4:I848,"&lt;&gt;Штраф -2",$I$4:I848,"&lt;&gt;ушел на базу"))</f>
        <v/>
      </c>
      <c r="F848" s="4">
        <f>IF(E848="","",IF(E848&lt;=3,6,IF(E848&lt;=6,5,IF(E848&lt;=9,4,IF(E848&lt;=12,3,IF(E848&lt;=15,2,0))))))</f>
        <v/>
      </c>
      <c r="G848" s="3" t="n"/>
      <c r="H848" s="4">
        <f>IF(I848="Штраф -2",-2,IF(OR(F848="",G848=""),"",F848*G848+IF(J848="",0,J848)))</f>
        <v/>
      </c>
      <c r="I848" s="3" t="n"/>
      <c r="J848" s="3" t="n"/>
      <c r="K848" s="3" t="n"/>
    </row>
    <row r="849">
      <c r="A849" s="3" t="n"/>
      <c r="B849" s="3" t="n"/>
      <c r="C849" s="3" t="n"/>
      <c r="D849" s="3" t="n"/>
      <c r="E849" s="4">
        <f>IF(A849="","",COUNTIFS($A$4:A849,A849,$I$4:I849,"&lt;&gt;Штраф -2",$I$4:I849,"&lt;&gt;ушел на базу"))</f>
        <v/>
      </c>
      <c r="F849" s="4">
        <f>IF(E849="","",IF(E849&lt;=3,6,IF(E849&lt;=6,5,IF(E849&lt;=9,4,IF(E849&lt;=12,3,IF(E849&lt;=15,2,0))))))</f>
        <v/>
      </c>
      <c r="G849" s="3" t="n"/>
      <c r="H849" s="4">
        <f>IF(I849="Штраф -2",-2,IF(OR(F849="",G849=""),"",F849*G849+IF(J849="",0,J849)))</f>
        <v/>
      </c>
      <c r="I849" s="3" t="n"/>
      <c r="J849" s="3" t="n"/>
      <c r="K849" s="3" t="n"/>
    </row>
    <row r="850">
      <c r="A850" s="3" t="n"/>
      <c r="B850" s="3" t="n"/>
      <c r="C850" s="3" t="n"/>
      <c r="D850" s="3" t="n"/>
      <c r="E850" s="4">
        <f>IF(A850="","",COUNTIFS($A$4:A850,A850,$I$4:I850,"&lt;&gt;Штраф -2",$I$4:I850,"&lt;&gt;ушел на базу"))</f>
        <v/>
      </c>
      <c r="F850" s="4">
        <f>IF(E850="","",IF(E850&lt;=3,6,IF(E850&lt;=6,5,IF(E850&lt;=9,4,IF(E850&lt;=12,3,IF(E850&lt;=15,2,0))))))</f>
        <v/>
      </c>
      <c r="G850" s="3" t="n"/>
      <c r="H850" s="4">
        <f>IF(I850="Штраф -2",-2,IF(OR(F850="",G850=""),"",F850*G850+IF(J850="",0,J850)))</f>
        <v/>
      </c>
      <c r="I850" s="3" t="n"/>
      <c r="J850" s="3" t="n"/>
      <c r="K850" s="3" t="n"/>
    </row>
    <row r="851">
      <c r="A851" s="3" t="n"/>
      <c r="B851" s="3" t="n"/>
      <c r="C851" s="3" t="n"/>
      <c r="D851" s="3" t="n"/>
      <c r="E851" s="4">
        <f>IF(A851="","",COUNTIFS($A$4:A851,A851,$I$4:I851,"&lt;&gt;Штраф -2",$I$4:I851,"&lt;&gt;ушел на базу"))</f>
        <v/>
      </c>
      <c r="F851" s="4">
        <f>IF(E851="","",IF(E851&lt;=3,6,IF(E851&lt;=6,5,IF(E851&lt;=9,4,IF(E851&lt;=12,3,IF(E851&lt;=15,2,0))))))</f>
        <v/>
      </c>
      <c r="G851" s="3" t="n"/>
      <c r="H851" s="4">
        <f>IF(I851="Штраф -2",-2,IF(OR(F851="",G851=""),"",F851*G851+IF(J851="",0,J851)))</f>
        <v/>
      </c>
      <c r="I851" s="3" t="n"/>
      <c r="J851" s="3" t="n"/>
      <c r="K851" s="3" t="n"/>
    </row>
    <row r="852">
      <c r="A852" s="3" t="n"/>
      <c r="B852" s="3" t="n"/>
      <c r="C852" s="3" t="n"/>
      <c r="D852" s="3" t="n"/>
      <c r="E852" s="4">
        <f>IF(A852="","",COUNTIFS($A$4:A852,A852,$I$4:I852,"&lt;&gt;Штраф -2",$I$4:I852,"&lt;&gt;ушел на базу"))</f>
        <v/>
      </c>
      <c r="F852" s="4">
        <f>IF(E852="","",IF(E852&lt;=3,6,IF(E852&lt;=6,5,IF(E852&lt;=9,4,IF(E852&lt;=12,3,IF(E852&lt;=15,2,0))))))</f>
        <v/>
      </c>
      <c r="G852" s="3" t="n"/>
      <c r="H852" s="4">
        <f>IF(I852="Штраф -2",-2,IF(OR(F852="",G852=""),"",F852*G852+IF(J852="",0,J852)))</f>
        <v/>
      </c>
      <c r="I852" s="3" t="n"/>
      <c r="J852" s="3" t="n"/>
      <c r="K852" s="3" t="n"/>
    </row>
    <row r="853">
      <c r="A853" s="3" t="n"/>
      <c r="B853" s="3" t="n"/>
      <c r="C853" s="3" t="n"/>
      <c r="D853" s="3" t="n"/>
      <c r="E853" s="4">
        <f>IF(A853="","",COUNTIFS($A$4:A853,A853,$I$4:I853,"&lt;&gt;Штраф -2",$I$4:I853,"&lt;&gt;ушел на базу"))</f>
        <v/>
      </c>
      <c r="F853" s="4">
        <f>IF(E853="","",IF(E853&lt;=3,6,IF(E853&lt;=6,5,IF(E853&lt;=9,4,IF(E853&lt;=12,3,IF(E853&lt;=15,2,0))))))</f>
        <v/>
      </c>
      <c r="G853" s="3" t="n"/>
      <c r="H853" s="4">
        <f>IF(I853="Штраф -2",-2,IF(OR(F853="",G853=""),"",F853*G853+IF(J853="",0,J853)))</f>
        <v/>
      </c>
      <c r="I853" s="3" t="n"/>
      <c r="J853" s="3" t="n"/>
      <c r="K853" s="3" t="n"/>
    </row>
    <row r="854">
      <c r="A854" s="3" t="n"/>
      <c r="B854" s="3" t="n"/>
      <c r="C854" s="3" t="n"/>
      <c r="D854" s="3" t="n"/>
      <c r="E854" s="4">
        <f>IF(A854="","",COUNTIFS($A$4:A854,A854,$I$4:I854,"&lt;&gt;Штраф -2",$I$4:I854,"&lt;&gt;ушел на базу"))</f>
        <v/>
      </c>
      <c r="F854" s="4">
        <f>IF(E854="","",IF(E854&lt;=3,6,IF(E854&lt;=6,5,IF(E854&lt;=9,4,IF(E854&lt;=12,3,IF(E854&lt;=15,2,0))))))</f>
        <v/>
      </c>
      <c r="G854" s="3" t="n"/>
      <c r="H854" s="4">
        <f>IF(I854="Штраф -2",-2,IF(OR(F854="",G854=""),"",F854*G854+IF(J854="",0,J854)))</f>
        <v/>
      </c>
      <c r="I854" s="3" t="n"/>
      <c r="J854" s="3" t="n"/>
      <c r="K854" s="3" t="n"/>
    </row>
    <row r="855">
      <c r="A855" s="3" t="n"/>
      <c r="B855" s="3" t="n"/>
      <c r="C855" s="3" t="n"/>
      <c r="D855" s="3" t="n"/>
      <c r="E855" s="4">
        <f>IF(A855="","",COUNTIFS($A$4:A855,A855,$I$4:I855,"&lt;&gt;Штраф -2",$I$4:I855,"&lt;&gt;ушел на базу"))</f>
        <v/>
      </c>
      <c r="F855" s="4">
        <f>IF(E855="","",IF(E855&lt;=3,6,IF(E855&lt;=6,5,IF(E855&lt;=9,4,IF(E855&lt;=12,3,IF(E855&lt;=15,2,0))))))</f>
        <v/>
      </c>
      <c r="G855" s="3" t="n"/>
      <c r="H855" s="4">
        <f>IF(I855="Штраф -2",-2,IF(OR(F855="",G855=""),"",F855*G855+IF(J855="",0,J855)))</f>
        <v/>
      </c>
      <c r="I855" s="3" t="n"/>
      <c r="J855" s="3" t="n"/>
      <c r="K855" s="3" t="n"/>
    </row>
    <row r="856">
      <c r="A856" s="3" t="n"/>
      <c r="B856" s="3" t="n"/>
      <c r="C856" s="3" t="n"/>
      <c r="D856" s="3" t="n"/>
      <c r="E856" s="4">
        <f>IF(A856="","",COUNTIFS($A$4:A856,A856,$I$4:I856,"&lt;&gt;Штраф -2",$I$4:I856,"&lt;&gt;ушел на базу"))</f>
        <v/>
      </c>
      <c r="F856" s="4">
        <f>IF(E856="","",IF(E856&lt;=3,6,IF(E856&lt;=6,5,IF(E856&lt;=9,4,IF(E856&lt;=12,3,IF(E856&lt;=15,2,0))))))</f>
        <v/>
      </c>
      <c r="G856" s="3" t="n"/>
      <c r="H856" s="4">
        <f>IF(I856="Штраф -2",-2,IF(OR(F856="",G856=""),"",F856*G856+IF(J856="",0,J856)))</f>
        <v/>
      </c>
      <c r="I856" s="3" t="n"/>
      <c r="J856" s="3" t="n"/>
      <c r="K856" s="3" t="n"/>
    </row>
    <row r="857">
      <c r="A857" s="3" t="n"/>
      <c r="B857" s="3" t="n"/>
      <c r="C857" s="3" t="n"/>
      <c r="D857" s="3" t="n"/>
      <c r="E857" s="4">
        <f>IF(A857="","",COUNTIFS($A$4:A857,A857,$I$4:I857,"&lt;&gt;Штраф -2",$I$4:I857,"&lt;&gt;ушел на базу"))</f>
        <v/>
      </c>
      <c r="F857" s="4">
        <f>IF(E857="","",IF(E857&lt;=3,6,IF(E857&lt;=6,5,IF(E857&lt;=9,4,IF(E857&lt;=12,3,IF(E857&lt;=15,2,0))))))</f>
        <v/>
      </c>
      <c r="G857" s="3" t="n"/>
      <c r="H857" s="4">
        <f>IF(I857="Штраф -2",-2,IF(OR(F857="",G857=""),"",F857*G857+IF(J857="",0,J857)))</f>
        <v/>
      </c>
      <c r="I857" s="3" t="n"/>
      <c r="J857" s="3" t="n"/>
      <c r="K857" s="3" t="n"/>
    </row>
    <row r="858">
      <c r="A858" s="3" t="n"/>
      <c r="B858" s="3" t="n"/>
      <c r="C858" s="3" t="n"/>
      <c r="D858" s="3" t="n"/>
      <c r="E858" s="4">
        <f>IF(A858="","",COUNTIFS($A$4:A858,A858,$I$4:I858,"&lt;&gt;Штраф -2",$I$4:I858,"&lt;&gt;ушел на базу"))</f>
        <v/>
      </c>
      <c r="F858" s="4">
        <f>IF(E858="","",IF(E858&lt;=3,6,IF(E858&lt;=6,5,IF(E858&lt;=9,4,IF(E858&lt;=12,3,IF(E858&lt;=15,2,0))))))</f>
        <v/>
      </c>
      <c r="G858" s="3" t="n"/>
      <c r="H858" s="4">
        <f>IF(I858="Штраф -2",-2,IF(OR(F858="",G858=""),"",F858*G858+IF(J858="",0,J858)))</f>
        <v/>
      </c>
      <c r="I858" s="3" t="n"/>
      <c r="J858" s="3" t="n"/>
      <c r="K858" s="3" t="n"/>
    </row>
    <row r="859">
      <c r="A859" s="3" t="n"/>
      <c r="B859" s="3" t="n"/>
      <c r="C859" s="3" t="n"/>
      <c r="D859" s="3" t="n"/>
      <c r="E859" s="4">
        <f>IF(A859="","",COUNTIFS($A$4:A859,A859,$I$4:I859,"&lt;&gt;Штраф -2",$I$4:I859,"&lt;&gt;ушел на базу"))</f>
        <v/>
      </c>
      <c r="F859" s="4">
        <f>IF(E859="","",IF(E859&lt;=3,6,IF(E859&lt;=6,5,IF(E859&lt;=9,4,IF(E859&lt;=12,3,IF(E859&lt;=15,2,0))))))</f>
        <v/>
      </c>
      <c r="G859" s="3" t="n"/>
      <c r="H859" s="4">
        <f>IF(I859="Штраф -2",-2,IF(OR(F859="",G859=""),"",F859*G859+IF(J859="",0,J859)))</f>
        <v/>
      </c>
      <c r="I859" s="3" t="n"/>
      <c r="J859" s="3" t="n"/>
      <c r="K859" s="3" t="n"/>
    </row>
    <row r="860">
      <c r="A860" s="3" t="n"/>
      <c r="B860" s="3" t="n"/>
      <c r="C860" s="3" t="n"/>
      <c r="D860" s="3" t="n"/>
      <c r="E860" s="4">
        <f>IF(A860="","",COUNTIFS($A$4:A860,A860,$I$4:I860,"&lt;&gt;Штраф -2",$I$4:I860,"&lt;&gt;ушел на базу"))</f>
        <v/>
      </c>
      <c r="F860" s="4">
        <f>IF(E860="","",IF(E860&lt;=3,6,IF(E860&lt;=6,5,IF(E860&lt;=9,4,IF(E860&lt;=12,3,IF(E860&lt;=15,2,0))))))</f>
        <v/>
      </c>
      <c r="G860" s="3" t="n"/>
      <c r="H860" s="4">
        <f>IF(I860="Штраф -2",-2,IF(OR(F860="",G860=""),"",F860*G860+IF(J860="",0,J860)))</f>
        <v/>
      </c>
      <c r="I860" s="3" t="n"/>
      <c r="J860" s="3" t="n"/>
      <c r="K860" s="3" t="n"/>
    </row>
    <row r="861">
      <c r="A861" s="3" t="n"/>
      <c r="B861" s="3" t="n"/>
      <c r="C861" s="3" t="n"/>
      <c r="D861" s="3" t="n"/>
      <c r="E861" s="4">
        <f>IF(A861="","",COUNTIFS($A$4:A861,A861,$I$4:I861,"&lt;&gt;Штраф -2",$I$4:I861,"&lt;&gt;ушел на базу"))</f>
        <v/>
      </c>
      <c r="F861" s="4">
        <f>IF(E861="","",IF(E861&lt;=3,6,IF(E861&lt;=6,5,IF(E861&lt;=9,4,IF(E861&lt;=12,3,IF(E861&lt;=15,2,0))))))</f>
        <v/>
      </c>
      <c r="G861" s="3" t="n"/>
      <c r="H861" s="4">
        <f>IF(I861="Штраф -2",-2,IF(OR(F861="",G861=""),"",F861*G861+IF(J861="",0,J861)))</f>
        <v/>
      </c>
      <c r="I861" s="3" t="n"/>
      <c r="J861" s="3" t="n"/>
      <c r="K861" s="3" t="n"/>
    </row>
    <row r="862">
      <c r="A862" s="3" t="n"/>
      <c r="B862" s="3" t="n"/>
      <c r="C862" s="3" t="n"/>
      <c r="D862" s="3" t="n"/>
      <c r="E862" s="4">
        <f>IF(A862="","",COUNTIFS($A$4:A862,A862,$I$4:I862,"&lt;&gt;Штраф -2",$I$4:I862,"&lt;&gt;ушел на базу"))</f>
        <v/>
      </c>
      <c r="F862" s="4">
        <f>IF(E862="","",IF(E862&lt;=3,6,IF(E862&lt;=6,5,IF(E862&lt;=9,4,IF(E862&lt;=12,3,IF(E862&lt;=15,2,0))))))</f>
        <v/>
      </c>
      <c r="G862" s="3" t="n"/>
      <c r="H862" s="4">
        <f>IF(I862="Штраф -2",-2,IF(OR(F862="",G862=""),"",F862*G862+IF(J862="",0,J862)))</f>
        <v/>
      </c>
      <c r="I862" s="3" t="n"/>
      <c r="J862" s="3" t="n"/>
      <c r="K862" s="3" t="n"/>
    </row>
    <row r="863">
      <c r="A863" s="3" t="n"/>
      <c r="B863" s="3" t="n"/>
      <c r="C863" s="3" t="n"/>
      <c r="D863" s="3" t="n"/>
      <c r="E863" s="4">
        <f>IF(A863="","",COUNTIFS($A$4:A863,A863,$I$4:I863,"&lt;&gt;Штраф -2",$I$4:I863,"&lt;&gt;ушел на базу"))</f>
        <v/>
      </c>
      <c r="F863" s="4">
        <f>IF(E863="","",IF(E863&lt;=3,6,IF(E863&lt;=6,5,IF(E863&lt;=9,4,IF(E863&lt;=12,3,IF(E863&lt;=15,2,0))))))</f>
        <v/>
      </c>
      <c r="G863" s="3" t="n"/>
      <c r="H863" s="4">
        <f>IF(I863="Штраф -2",-2,IF(OR(F863="",G863=""),"",F863*G863+IF(J863="",0,J863)))</f>
        <v/>
      </c>
      <c r="I863" s="3" t="n"/>
      <c r="J863" s="3" t="n"/>
      <c r="K863" s="3" t="n"/>
    </row>
    <row r="864">
      <c r="A864" s="3" t="n"/>
      <c r="B864" s="3" t="n"/>
      <c r="C864" s="3" t="n"/>
      <c r="D864" s="3" t="n"/>
      <c r="E864" s="4">
        <f>IF(A864="","",COUNTIFS($A$4:A864,A864,$I$4:I864,"&lt;&gt;Штраф -2",$I$4:I864,"&lt;&gt;ушел на базу"))</f>
        <v/>
      </c>
      <c r="F864" s="4">
        <f>IF(E864="","",IF(E864&lt;=3,6,IF(E864&lt;=6,5,IF(E864&lt;=9,4,IF(E864&lt;=12,3,IF(E864&lt;=15,2,0))))))</f>
        <v/>
      </c>
      <c r="G864" s="3" t="n"/>
      <c r="H864" s="4">
        <f>IF(I864="Штраф -2",-2,IF(OR(F864="",G864=""),"",F864*G864+IF(J864="",0,J864)))</f>
        <v/>
      </c>
      <c r="I864" s="3" t="n"/>
      <c r="J864" s="3" t="n"/>
      <c r="K864" s="3" t="n"/>
    </row>
    <row r="865">
      <c r="A865" s="3" t="n"/>
      <c r="B865" s="3" t="n"/>
      <c r="C865" s="3" t="n"/>
      <c r="D865" s="3" t="n"/>
      <c r="E865" s="4">
        <f>IF(A865="","",COUNTIFS($A$4:A865,A865,$I$4:I865,"&lt;&gt;Штраф -2",$I$4:I865,"&lt;&gt;ушел на базу"))</f>
        <v/>
      </c>
      <c r="F865" s="4">
        <f>IF(E865="","",IF(E865&lt;=3,6,IF(E865&lt;=6,5,IF(E865&lt;=9,4,IF(E865&lt;=12,3,IF(E865&lt;=15,2,0))))))</f>
        <v/>
      </c>
      <c r="G865" s="3" t="n"/>
      <c r="H865" s="4">
        <f>IF(I865="Штраф -2",-2,IF(OR(F865="",G865=""),"",F865*G865+IF(J865="",0,J865)))</f>
        <v/>
      </c>
      <c r="I865" s="3" t="n"/>
      <c r="J865" s="3" t="n"/>
      <c r="K865" s="3" t="n"/>
    </row>
    <row r="866">
      <c r="A866" s="3" t="n"/>
      <c r="B866" s="3" t="n"/>
      <c r="C866" s="3" t="n"/>
      <c r="D866" s="3" t="n"/>
      <c r="E866" s="4">
        <f>IF(A866="","",COUNTIFS($A$4:A866,A866,$I$4:I866,"&lt;&gt;Штраф -2",$I$4:I866,"&lt;&gt;ушел на базу"))</f>
        <v/>
      </c>
      <c r="F866" s="4">
        <f>IF(E866="","",IF(E866&lt;=3,6,IF(E866&lt;=6,5,IF(E866&lt;=9,4,IF(E866&lt;=12,3,IF(E866&lt;=15,2,0))))))</f>
        <v/>
      </c>
      <c r="G866" s="3" t="n"/>
      <c r="H866" s="4">
        <f>IF(I866="Штраф -2",-2,IF(OR(F866="",G866=""),"",F866*G866+IF(J866="",0,J866)))</f>
        <v/>
      </c>
      <c r="I866" s="3" t="n"/>
      <c r="J866" s="3" t="n"/>
      <c r="K866" s="3" t="n"/>
    </row>
    <row r="867">
      <c r="A867" s="3" t="n"/>
      <c r="B867" s="3" t="n"/>
      <c r="C867" s="3" t="n"/>
      <c r="D867" s="3" t="n"/>
      <c r="E867" s="4">
        <f>IF(A867="","",COUNTIFS($A$4:A867,A867,$I$4:I867,"&lt;&gt;Штраф -2",$I$4:I867,"&lt;&gt;ушел на базу"))</f>
        <v/>
      </c>
      <c r="F867" s="4">
        <f>IF(E867="","",IF(E867&lt;=3,6,IF(E867&lt;=6,5,IF(E867&lt;=9,4,IF(E867&lt;=12,3,IF(E867&lt;=15,2,0))))))</f>
        <v/>
      </c>
      <c r="G867" s="3" t="n"/>
      <c r="H867" s="4">
        <f>IF(I867="Штраф -2",-2,IF(OR(F867="",G867=""),"",F867*G867+IF(J867="",0,J867)))</f>
        <v/>
      </c>
      <c r="I867" s="3" t="n"/>
      <c r="J867" s="3" t="n"/>
      <c r="K867" s="3" t="n"/>
    </row>
    <row r="868">
      <c r="A868" s="3" t="n"/>
      <c r="B868" s="3" t="n"/>
      <c r="C868" s="3" t="n"/>
      <c r="D868" s="3" t="n"/>
      <c r="E868" s="4">
        <f>IF(A868="","",COUNTIFS($A$4:A868,A868,$I$4:I868,"&lt;&gt;Штраф -2",$I$4:I868,"&lt;&gt;ушел на базу"))</f>
        <v/>
      </c>
      <c r="F868" s="4">
        <f>IF(E868="","",IF(E868&lt;=3,6,IF(E868&lt;=6,5,IF(E868&lt;=9,4,IF(E868&lt;=12,3,IF(E868&lt;=15,2,0))))))</f>
        <v/>
      </c>
      <c r="G868" s="3" t="n"/>
      <c r="H868" s="4">
        <f>IF(I868="Штраф -2",-2,IF(OR(F868="",G868=""),"",F868*G868+IF(J868="",0,J868)))</f>
        <v/>
      </c>
      <c r="I868" s="3" t="n"/>
      <c r="J868" s="3" t="n"/>
      <c r="K868" s="3" t="n"/>
    </row>
    <row r="869">
      <c r="A869" s="3" t="n"/>
      <c r="B869" s="3" t="n"/>
      <c r="C869" s="3" t="n"/>
      <c r="D869" s="3" t="n"/>
      <c r="E869" s="4">
        <f>IF(A869="","",COUNTIFS($A$4:A869,A869,$I$4:I869,"&lt;&gt;Штраф -2",$I$4:I869,"&lt;&gt;ушел на базу"))</f>
        <v/>
      </c>
      <c r="F869" s="4">
        <f>IF(E869="","",IF(E869&lt;=3,6,IF(E869&lt;=6,5,IF(E869&lt;=9,4,IF(E869&lt;=12,3,IF(E869&lt;=15,2,0))))))</f>
        <v/>
      </c>
      <c r="G869" s="3" t="n"/>
      <c r="H869" s="4">
        <f>IF(I869="Штраф -2",-2,IF(OR(F869="",G869=""),"",F869*G869+IF(J869="",0,J869)))</f>
        <v/>
      </c>
      <c r="I869" s="3" t="n"/>
      <c r="J869" s="3" t="n"/>
      <c r="K869" s="3" t="n"/>
    </row>
    <row r="870">
      <c r="A870" s="3" t="n"/>
      <c r="B870" s="3" t="n"/>
      <c r="C870" s="3" t="n"/>
      <c r="D870" s="3" t="n"/>
      <c r="E870" s="4">
        <f>IF(A870="","",COUNTIFS($A$4:A870,A870,$I$4:I870,"&lt;&gt;Штраф -2",$I$4:I870,"&lt;&gt;ушел на базу"))</f>
        <v/>
      </c>
      <c r="F870" s="4">
        <f>IF(E870="","",IF(E870&lt;=3,6,IF(E870&lt;=6,5,IF(E870&lt;=9,4,IF(E870&lt;=12,3,IF(E870&lt;=15,2,0))))))</f>
        <v/>
      </c>
      <c r="G870" s="3" t="n"/>
      <c r="H870" s="4">
        <f>IF(I870="Штраф -2",-2,IF(OR(F870="",G870=""),"",F870*G870+IF(J870="",0,J870)))</f>
        <v/>
      </c>
      <c r="I870" s="3" t="n"/>
      <c r="J870" s="3" t="n"/>
      <c r="K870" s="3" t="n"/>
    </row>
    <row r="871">
      <c r="A871" s="3" t="n"/>
      <c r="B871" s="3" t="n"/>
      <c r="C871" s="3" t="n"/>
      <c r="D871" s="3" t="n"/>
      <c r="E871" s="4">
        <f>IF(A871="","",COUNTIFS($A$4:A871,A871,$I$4:I871,"&lt;&gt;Штраф -2",$I$4:I871,"&lt;&gt;ушел на базу"))</f>
        <v/>
      </c>
      <c r="F871" s="4">
        <f>IF(E871="","",IF(E871&lt;=3,6,IF(E871&lt;=6,5,IF(E871&lt;=9,4,IF(E871&lt;=12,3,IF(E871&lt;=15,2,0))))))</f>
        <v/>
      </c>
      <c r="G871" s="3" t="n"/>
      <c r="H871" s="4">
        <f>IF(I871="Штраф -2",-2,IF(OR(F871="",G871=""),"",F871*G871+IF(J871="",0,J871)))</f>
        <v/>
      </c>
      <c r="I871" s="3" t="n"/>
      <c r="J871" s="3" t="n"/>
      <c r="K871" s="3" t="n"/>
    </row>
    <row r="872">
      <c r="A872" s="3" t="n"/>
      <c r="B872" s="3" t="n"/>
      <c r="C872" s="3" t="n"/>
      <c r="D872" s="3" t="n"/>
      <c r="E872" s="4">
        <f>IF(A872="","",COUNTIFS($A$4:A872,A872,$I$4:I872,"&lt;&gt;Штраф -2",$I$4:I872,"&lt;&gt;ушел на базу"))</f>
        <v/>
      </c>
      <c r="F872" s="4">
        <f>IF(E872="","",IF(E872&lt;=3,6,IF(E872&lt;=6,5,IF(E872&lt;=9,4,IF(E872&lt;=12,3,IF(E872&lt;=15,2,0))))))</f>
        <v/>
      </c>
      <c r="G872" s="3" t="n"/>
      <c r="H872" s="4">
        <f>IF(I872="Штраф -2",-2,IF(OR(F872="",G872=""),"",F872*G872+IF(J872="",0,J872)))</f>
        <v/>
      </c>
      <c r="I872" s="3" t="n"/>
      <c r="J872" s="3" t="n"/>
      <c r="K872" s="3" t="n"/>
    </row>
    <row r="873">
      <c r="A873" s="3" t="n"/>
      <c r="B873" s="3" t="n"/>
      <c r="C873" s="3" t="n"/>
      <c r="D873" s="3" t="n"/>
      <c r="E873" s="4">
        <f>IF(A873="","",COUNTIFS($A$4:A873,A873,$I$4:I873,"&lt;&gt;Штраф -2",$I$4:I873,"&lt;&gt;ушел на базу"))</f>
        <v/>
      </c>
      <c r="F873" s="4">
        <f>IF(E873="","",IF(E873&lt;=3,6,IF(E873&lt;=6,5,IF(E873&lt;=9,4,IF(E873&lt;=12,3,IF(E873&lt;=15,2,0))))))</f>
        <v/>
      </c>
      <c r="G873" s="3" t="n"/>
      <c r="H873" s="4">
        <f>IF(I873="Штраф -2",-2,IF(OR(F873="",G873=""),"",F873*G873+IF(J873="",0,J873)))</f>
        <v/>
      </c>
      <c r="I873" s="3" t="n"/>
      <c r="J873" s="3" t="n"/>
      <c r="K873" s="3" t="n"/>
    </row>
    <row r="874">
      <c r="A874" s="3" t="n"/>
      <c r="B874" s="3" t="n"/>
      <c r="C874" s="3" t="n"/>
      <c r="D874" s="3" t="n"/>
      <c r="E874" s="4">
        <f>IF(A874="","",COUNTIFS($A$4:A874,A874,$I$4:I874,"&lt;&gt;Штраф -2",$I$4:I874,"&lt;&gt;ушел на базу"))</f>
        <v/>
      </c>
      <c r="F874" s="4">
        <f>IF(E874="","",IF(E874&lt;=3,6,IF(E874&lt;=6,5,IF(E874&lt;=9,4,IF(E874&lt;=12,3,IF(E874&lt;=15,2,0))))))</f>
        <v/>
      </c>
      <c r="G874" s="3" t="n"/>
      <c r="H874" s="4">
        <f>IF(I874="Штраф -2",-2,IF(OR(F874="",G874=""),"",F874*G874+IF(J874="",0,J874)))</f>
        <v/>
      </c>
      <c r="I874" s="3" t="n"/>
      <c r="J874" s="3" t="n"/>
      <c r="K874" s="3" t="n"/>
    </row>
    <row r="875">
      <c r="A875" s="3" t="n"/>
      <c r="B875" s="3" t="n"/>
      <c r="C875" s="3" t="n"/>
      <c r="D875" s="3" t="n"/>
      <c r="E875" s="4">
        <f>IF(A875="","",COUNTIFS($A$4:A875,A875,$I$4:I875,"&lt;&gt;Штраф -2",$I$4:I875,"&lt;&gt;ушел на базу"))</f>
        <v/>
      </c>
      <c r="F875" s="4">
        <f>IF(E875="","",IF(E875&lt;=3,6,IF(E875&lt;=6,5,IF(E875&lt;=9,4,IF(E875&lt;=12,3,IF(E875&lt;=15,2,0))))))</f>
        <v/>
      </c>
      <c r="G875" s="3" t="n"/>
      <c r="H875" s="4">
        <f>IF(I875="Штраф -2",-2,IF(OR(F875="",G875=""),"",F875*G875+IF(J875="",0,J875)))</f>
        <v/>
      </c>
      <c r="I875" s="3" t="n"/>
      <c r="J875" s="3" t="n"/>
      <c r="K875" s="3" t="n"/>
    </row>
    <row r="876">
      <c r="A876" s="3" t="n"/>
      <c r="B876" s="3" t="n"/>
      <c r="C876" s="3" t="n"/>
      <c r="D876" s="3" t="n"/>
      <c r="E876" s="4">
        <f>IF(A876="","",COUNTIFS($A$4:A876,A876,$I$4:I876,"&lt;&gt;Штраф -2",$I$4:I876,"&lt;&gt;ушел на базу"))</f>
        <v/>
      </c>
      <c r="F876" s="4">
        <f>IF(E876="","",IF(E876&lt;=3,6,IF(E876&lt;=6,5,IF(E876&lt;=9,4,IF(E876&lt;=12,3,IF(E876&lt;=15,2,0))))))</f>
        <v/>
      </c>
      <c r="G876" s="3" t="n"/>
      <c r="H876" s="4">
        <f>IF(I876="Штраф -2",-2,IF(OR(F876="",G876=""),"",F876*G876+IF(J876="",0,J876)))</f>
        <v/>
      </c>
      <c r="I876" s="3" t="n"/>
      <c r="J876" s="3" t="n"/>
      <c r="K876" s="3" t="n"/>
    </row>
    <row r="877">
      <c r="A877" s="3" t="n"/>
      <c r="B877" s="3" t="n"/>
      <c r="C877" s="3" t="n"/>
      <c r="D877" s="3" t="n"/>
      <c r="E877" s="4">
        <f>IF(A877="","",COUNTIFS($A$4:A877,A877,$I$4:I877,"&lt;&gt;Штраф -2",$I$4:I877,"&lt;&gt;ушел на базу"))</f>
        <v/>
      </c>
      <c r="F877" s="4">
        <f>IF(E877="","",IF(E877&lt;=3,6,IF(E877&lt;=6,5,IF(E877&lt;=9,4,IF(E877&lt;=12,3,IF(E877&lt;=15,2,0))))))</f>
        <v/>
      </c>
      <c r="G877" s="3" t="n"/>
      <c r="H877" s="4">
        <f>IF(I877="Штраф -2",-2,IF(OR(F877="",G877=""),"",F877*G877+IF(J877="",0,J877)))</f>
        <v/>
      </c>
      <c r="I877" s="3" t="n"/>
      <c r="J877" s="3" t="n"/>
      <c r="K877" s="3" t="n"/>
    </row>
    <row r="878">
      <c r="A878" s="3" t="n"/>
      <c r="B878" s="3" t="n"/>
      <c r="C878" s="3" t="n"/>
      <c r="D878" s="3" t="n"/>
      <c r="E878" s="4">
        <f>IF(A878="","",COUNTIFS($A$4:A878,A878,$I$4:I878,"&lt;&gt;Штраф -2",$I$4:I878,"&lt;&gt;ушел на базу"))</f>
        <v/>
      </c>
      <c r="F878" s="4">
        <f>IF(E878="","",IF(E878&lt;=3,6,IF(E878&lt;=6,5,IF(E878&lt;=9,4,IF(E878&lt;=12,3,IF(E878&lt;=15,2,0))))))</f>
        <v/>
      </c>
      <c r="G878" s="3" t="n"/>
      <c r="H878" s="4">
        <f>IF(I878="Штраф -2",-2,IF(OR(F878="",G878=""),"",F878*G878+IF(J878="",0,J878)))</f>
        <v/>
      </c>
      <c r="I878" s="3" t="n"/>
      <c r="J878" s="3" t="n"/>
      <c r="K878" s="3" t="n"/>
    </row>
    <row r="879">
      <c r="A879" s="3" t="n"/>
      <c r="B879" s="3" t="n"/>
      <c r="C879" s="3" t="n"/>
      <c r="D879" s="3" t="n"/>
      <c r="E879" s="4">
        <f>IF(A879="","",COUNTIFS($A$4:A879,A879,$I$4:I879,"&lt;&gt;Штраф -2",$I$4:I879,"&lt;&gt;ушел на базу"))</f>
        <v/>
      </c>
      <c r="F879" s="4">
        <f>IF(E879="","",IF(E879&lt;=3,6,IF(E879&lt;=6,5,IF(E879&lt;=9,4,IF(E879&lt;=12,3,IF(E879&lt;=15,2,0))))))</f>
        <v/>
      </c>
      <c r="G879" s="3" t="n"/>
      <c r="H879" s="4">
        <f>IF(I879="Штраф -2",-2,IF(OR(F879="",G879=""),"",F879*G879+IF(J879="",0,J879)))</f>
        <v/>
      </c>
      <c r="I879" s="3" t="n"/>
      <c r="J879" s="3" t="n"/>
      <c r="K879" s="3" t="n"/>
    </row>
    <row r="880">
      <c r="A880" s="3" t="n"/>
      <c r="B880" s="3" t="n"/>
      <c r="C880" s="3" t="n"/>
      <c r="D880" s="3" t="n"/>
      <c r="E880" s="4">
        <f>IF(A880="","",COUNTIFS($A$4:A880,A880,$I$4:I880,"&lt;&gt;Штраф -2",$I$4:I880,"&lt;&gt;ушел на базу"))</f>
        <v/>
      </c>
      <c r="F880" s="4">
        <f>IF(E880="","",IF(E880&lt;=3,6,IF(E880&lt;=6,5,IF(E880&lt;=9,4,IF(E880&lt;=12,3,IF(E880&lt;=15,2,0))))))</f>
        <v/>
      </c>
      <c r="G880" s="3" t="n"/>
      <c r="H880" s="4">
        <f>IF(I880="Штраф -2",-2,IF(OR(F880="",G880=""),"",F880*G880+IF(J880="",0,J880)))</f>
        <v/>
      </c>
      <c r="I880" s="3" t="n"/>
      <c r="J880" s="3" t="n"/>
      <c r="K880" s="3" t="n"/>
    </row>
    <row r="881">
      <c r="A881" s="3" t="n"/>
      <c r="B881" s="3" t="n"/>
      <c r="C881" s="3" t="n"/>
      <c r="D881" s="3" t="n"/>
      <c r="E881" s="4">
        <f>IF(A881="","",COUNTIFS($A$4:A881,A881,$I$4:I881,"&lt;&gt;Штраф -2",$I$4:I881,"&lt;&gt;ушел на базу"))</f>
        <v/>
      </c>
      <c r="F881" s="4">
        <f>IF(E881="","",IF(E881&lt;=3,6,IF(E881&lt;=6,5,IF(E881&lt;=9,4,IF(E881&lt;=12,3,IF(E881&lt;=15,2,0))))))</f>
        <v/>
      </c>
      <c r="G881" s="3" t="n"/>
      <c r="H881" s="4">
        <f>IF(I881="Штраф -2",-2,IF(OR(F881="",G881=""),"",F881*G881+IF(J881="",0,J881)))</f>
        <v/>
      </c>
      <c r="I881" s="3" t="n"/>
      <c r="J881" s="3" t="n"/>
      <c r="K881" s="3" t="n"/>
    </row>
    <row r="882">
      <c r="A882" s="3" t="n"/>
      <c r="B882" s="3" t="n"/>
      <c r="C882" s="3" t="n"/>
      <c r="D882" s="3" t="n"/>
      <c r="E882" s="4">
        <f>IF(A882="","",COUNTIFS($A$4:A882,A882,$I$4:I882,"&lt;&gt;Штраф -2",$I$4:I882,"&lt;&gt;ушел на базу"))</f>
        <v/>
      </c>
      <c r="F882" s="4">
        <f>IF(E882="","",IF(E882&lt;=3,6,IF(E882&lt;=6,5,IF(E882&lt;=9,4,IF(E882&lt;=12,3,IF(E882&lt;=15,2,0))))))</f>
        <v/>
      </c>
      <c r="G882" s="3" t="n"/>
      <c r="H882" s="4">
        <f>IF(I882="Штраф -2",-2,IF(OR(F882="",G882=""),"",F882*G882+IF(J882="",0,J882)))</f>
        <v/>
      </c>
      <c r="I882" s="3" t="n"/>
      <c r="J882" s="3" t="n"/>
      <c r="K882" s="3" t="n"/>
    </row>
    <row r="883">
      <c r="A883" s="3" t="n"/>
      <c r="B883" s="3" t="n"/>
      <c r="C883" s="3" t="n"/>
      <c r="D883" s="3" t="n"/>
      <c r="E883" s="4">
        <f>IF(A883="","",COUNTIFS($A$4:A883,A883,$I$4:I883,"&lt;&gt;Штраф -2",$I$4:I883,"&lt;&gt;ушел на базу"))</f>
        <v/>
      </c>
      <c r="F883" s="4">
        <f>IF(E883="","",IF(E883&lt;=3,6,IF(E883&lt;=6,5,IF(E883&lt;=9,4,IF(E883&lt;=12,3,IF(E883&lt;=15,2,0))))))</f>
        <v/>
      </c>
      <c r="G883" s="3" t="n"/>
      <c r="H883" s="4">
        <f>IF(I883="Штраф -2",-2,IF(OR(F883="",G883=""),"",F883*G883+IF(J883="",0,J883)))</f>
        <v/>
      </c>
      <c r="I883" s="3" t="n"/>
      <c r="J883" s="3" t="n"/>
      <c r="K883" s="3" t="n"/>
    </row>
    <row r="884">
      <c r="A884" s="3" t="n"/>
      <c r="B884" s="3" t="n"/>
      <c r="C884" s="3" t="n"/>
      <c r="D884" s="3" t="n"/>
      <c r="E884" s="4">
        <f>IF(A884="","",COUNTIFS($A$4:A884,A884,$I$4:I884,"&lt;&gt;Штраф -2",$I$4:I884,"&lt;&gt;ушел на базу"))</f>
        <v/>
      </c>
      <c r="F884" s="4">
        <f>IF(E884="","",IF(E884&lt;=3,6,IF(E884&lt;=6,5,IF(E884&lt;=9,4,IF(E884&lt;=12,3,IF(E884&lt;=15,2,0))))))</f>
        <v/>
      </c>
      <c r="G884" s="3" t="n"/>
      <c r="H884" s="4">
        <f>IF(I884="Штраф -2",-2,IF(OR(F884="",G884=""),"",F884*G884+IF(J884="",0,J884)))</f>
        <v/>
      </c>
      <c r="I884" s="3" t="n"/>
      <c r="J884" s="3" t="n"/>
      <c r="K884" s="3" t="n"/>
    </row>
    <row r="885">
      <c r="A885" s="3" t="n"/>
      <c r="B885" s="3" t="n"/>
      <c r="C885" s="3" t="n"/>
      <c r="D885" s="3" t="n"/>
      <c r="E885" s="4">
        <f>IF(A885="","",COUNTIFS($A$4:A885,A885,$I$4:I885,"&lt;&gt;Штраф -2",$I$4:I885,"&lt;&gt;ушел на базу"))</f>
        <v/>
      </c>
      <c r="F885" s="4">
        <f>IF(E885="","",IF(E885&lt;=3,6,IF(E885&lt;=6,5,IF(E885&lt;=9,4,IF(E885&lt;=12,3,IF(E885&lt;=15,2,0))))))</f>
        <v/>
      </c>
      <c r="G885" s="3" t="n"/>
      <c r="H885" s="4">
        <f>IF(I885="Штраф -2",-2,IF(OR(F885="",G885=""),"",F885*G885+IF(J885="",0,J885)))</f>
        <v/>
      </c>
      <c r="I885" s="3" t="n"/>
      <c r="J885" s="3" t="n"/>
      <c r="K885" s="3" t="n"/>
    </row>
    <row r="886">
      <c r="A886" s="3" t="n"/>
      <c r="B886" s="3" t="n"/>
      <c r="C886" s="3" t="n"/>
      <c r="D886" s="3" t="n"/>
      <c r="E886" s="4">
        <f>IF(A886="","",COUNTIFS($A$4:A886,A886,$I$4:I886,"&lt;&gt;Штраф -2",$I$4:I886,"&lt;&gt;ушел на базу"))</f>
        <v/>
      </c>
      <c r="F886" s="4">
        <f>IF(E886="","",IF(E886&lt;=3,6,IF(E886&lt;=6,5,IF(E886&lt;=9,4,IF(E886&lt;=12,3,IF(E886&lt;=15,2,0))))))</f>
        <v/>
      </c>
      <c r="G886" s="3" t="n"/>
      <c r="H886" s="4">
        <f>IF(I886="Штраф -2",-2,IF(OR(F886="",G886=""),"",F886*G886+IF(J886="",0,J886)))</f>
        <v/>
      </c>
      <c r="I886" s="3" t="n"/>
      <c r="J886" s="3" t="n"/>
      <c r="K886" s="3" t="n"/>
    </row>
    <row r="887">
      <c r="A887" s="3" t="n"/>
      <c r="B887" s="3" t="n"/>
      <c r="C887" s="3" t="n"/>
      <c r="D887" s="3" t="n"/>
      <c r="E887" s="4">
        <f>IF(A887="","",COUNTIFS($A$4:A887,A887,$I$4:I887,"&lt;&gt;Штраф -2",$I$4:I887,"&lt;&gt;ушел на базу"))</f>
        <v/>
      </c>
      <c r="F887" s="4">
        <f>IF(E887="","",IF(E887&lt;=3,6,IF(E887&lt;=6,5,IF(E887&lt;=9,4,IF(E887&lt;=12,3,IF(E887&lt;=15,2,0))))))</f>
        <v/>
      </c>
      <c r="G887" s="3" t="n"/>
      <c r="H887" s="4">
        <f>IF(I887="Штраф -2",-2,IF(OR(F887="",G887=""),"",F887*G887+IF(J887="",0,J887)))</f>
        <v/>
      </c>
      <c r="I887" s="3" t="n"/>
      <c r="J887" s="3" t="n"/>
      <c r="K887" s="3" t="n"/>
    </row>
    <row r="888">
      <c r="A888" s="3" t="n"/>
      <c r="B888" s="3" t="n"/>
      <c r="C888" s="3" t="n"/>
      <c r="D888" s="3" t="n"/>
      <c r="E888" s="4">
        <f>IF(A888="","",COUNTIFS($A$4:A888,A888,$I$4:I888,"&lt;&gt;Штраф -2",$I$4:I888,"&lt;&gt;ушел на базу"))</f>
        <v/>
      </c>
      <c r="F888" s="4">
        <f>IF(E888="","",IF(E888&lt;=3,6,IF(E888&lt;=6,5,IF(E888&lt;=9,4,IF(E888&lt;=12,3,IF(E888&lt;=15,2,0))))))</f>
        <v/>
      </c>
      <c r="G888" s="3" t="n"/>
      <c r="H888" s="4">
        <f>IF(I888="Штраф -2",-2,IF(OR(F888="",G888=""),"",F888*G888+IF(J888="",0,J888)))</f>
        <v/>
      </c>
      <c r="I888" s="3" t="n"/>
      <c r="J888" s="3" t="n"/>
      <c r="K888" s="3" t="n"/>
    </row>
    <row r="889">
      <c r="A889" s="3" t="n"/>
      <c r="B889" s="3" t="n"/>
      <c r="C889" s="3" t="n"/>
      <c r="D889" s="3" t="n"/>
      <c r="E889" s="4">
        <f>IF(A889="","",COUNTIFS($A$4:A889,A889,$I$4:I889,"&lt;&gt;Штраф -2",$I$4:I889,"&lt;&gt;ушел на базу"))</f>
        <v/>
      </c>
      <c r="F889" s="4">
        <f>IF(E889="","",IF(E889&lt;=3,6,IF(E889&lt;=6,5,IF(E889&lt;=9,4,IF(E889&lt;=12,3,IF(E889&lt;=15,2,0))))))</f>
        <v/>
      </c>
      <c r="G889" s="3" t="n"/>
      <c r="H889" s="4">
        <f>IF(I889="Штраф -2",-2,IF(OR(F889="",G889=""),"",F889*G889+IF(J889="",0,J889)))</f>
        <v/>
      </c>
      <c r="I889" s="3" t="n"/>
      <c r="J889" s="3" t="n"/>
      <c r="K889" s="3" t="n"/>
    </row>
    <row r="890">
      <c r="A890" s="3" t="n"/>
      <c r="B890" s="3" t="n"/>
      <c r="C890" s="3" t="n"/>
      <c r="D890" s="3" t="n"/>
      <c r="E890" s="4">
        <f>IF(A890="","",COUNTIFS($A$4:A890,A890,$I$4:I890,"&lt;&gt;Штраф -2",$I$4:I890,"&lt;&gt;ушел на базу"))</f>
        <v/>
      </c>
      <c r="F890" s="4">
        <f>IF(E890="","",IF(E890&lt;=3,6,IF(E890&lt;=6,5,IF(E890&lt;=9,4,IF(E890&lt;=12,3,IF(E890&lt;=15,2,0))))))</f>
        <v/>
      </c>
      <c r="G890" s="3" t="n"/>
      <c r="H890" s="4">
        <f>IF(I890="Штраф -2",-2,IF(OR(F890="",G890=""),"",F890*G890+IF(J890="",0,J890)))</f>
        <v/>
      </c>
      <c r="I890" s="3" t="n"/>
      <c r="J890" s="3" t="n"/>
      <c r="K890" s="3" t="n"/>
    </row>
    <row r="891">
      <c r="A891" s="3" t="n"/>
      <c r="B891" s="3" t="n"/>
      <c r="C891" s="3" t="n"/>
      <c r="D891" s="3" t="n"/>
      <c r="E891" s="4">
        <f>IF(A891="","",COUNTIFS($A$4:A891,A891,$I$4:I891,"&lt;&gt;Штраф -2",$I$4:I891,"&lt;&gt;ушел на базу"))</f>
        <v/>
      </c>
      <c r="F891" s="4">
        <f>IF(E891="","",IF(E891&lt;=3,6,IF(E891&lt;=6,5,IF(E891&lt;=9,4,IF(E891&lt;=12,3,IF(E891&lt;=15,2,0))))))</f>
        <v/>
      </c>
      <c r="G891" s="3" t="n"/>
      <c r="H891" s="4">
        <f>IF(I891="Штраф -2",-2,IF(OR(F891="",G891=""),"",F891*G891+IF(J891="",0,J891)))</f>
        <v/>
      </c>
      <c r="I891" s="3" t="n"/>
      <c r="J891" s="3" t="n"/>
      <c r="K891" s="3" t="n"/>
    </row>
    <row r="892">
      <c r="A892" s="3" t="n"/>
      <c r="B892" s="3" t="n"/>
      <c r="C892" s="3" t="n"/>
      <c r="D892" s="3" t="n"/>
      <c r="E892" s="4">
        <f>IF(A892="","",COUNTIFS($A$4:A892,A892,$I$4:I892,"&lt;&gt;Штраф -2",$I$4:I892,"&lt;&gt;ушел на базу"))</f>
        <v/>
      </c>
      <c r="F892" s="4">
        <f>IF(E892="","",IF(E892&lt;=3,6,IF(E892&lt;=6,5,IF(E892&lt;=9,4,IF(E892&lt;=12,3,IF(E892&lt;=15,2,0))))))</f>
        <v/>
      </c>
      <c r="G892" s="3" t="n"/>
      <c r="H892" s="4">
        <f>IF(I892="Штраф -2",-2,IF(OR(F892="",G892=""),"",F892*G892+IF(J892="",0,J892)))</f>
        <v/>
      </c>
      <c r="I892" s="3" t="n"/>
      <c r="J892" s="3" t="n"/>
      <c r="K892" s="3" t="n"/>
    </row>
    <row r="893">
      <c r="A893" s="3" t="n"/>
      <c r="B893" s="3" t="n"/>
      <c r="C893" s="3" t="n"/>
      <c r="D893" s="3" t="n"/>
      <c r="E893" s="4">
        <f>IF(A893="","",COUNTIFS($A$4:A893,A893,$I$4:I893,"&lt;&gt;Штраф -2",$I$4:I893,"&lt;&gt;ушел на базу"))</f>
        <v/>
      </c>
      <c r="F893" s="4">
        <f>IF(E893="","",IF(E893&lt;=3,6,IF(E893&lt;=6,5,IF(E893&lt;=9,4,IF(E893&lt;=12,3,IF(E893&lt;=15,2,0))))))</f>
        <v/>
      </c>
      <c r="G893" s="3" t="n"/>
      <c r="H893" s="4">
        <f>IF(I893="Штраф -2",-2,IF(OR(F893="",G893=""),"",F893*G893+IF(J893="",0,J893)))</f>
        <v/>
      </c>
      <c r="I893" s="3" t="n"/>
      <c r="J893" s="3" t="n"/>
      <c r="K893" s="3" t="n"/>
    </row>
    <row r="894">
      <c r="A894" s="3" t="n"/>
      <c r="B894" s="3" t="n"/>
      <c r="C894" s="3" t="n"/>
      <c r="D894" s="3" t="n"/>
      <c r="E894" s="4">
        <f>IF(A894="","",COUNTIFS($A$4:A894,A894,$I$4:I894,"&lt;&gt;Штраф -2",$I$4:I894,"&lt;&gt;ушел на базу"))</f>
        <v/>
      </c>
      <c r="F894" s="4">
        <f>IF(E894="","",IF(E894&lt;=3,6,IF(E894&lt;=6,5,IF(E894&lt;=9,4,IF(E894&lt;=12,3,IF(E894&lt;=15,2,0))))))</f>
        <v/>
      </c>
      <c r="G894" s="3" t="n"/>
      <c r="H894" s="4">
        <f>IF(I894="Штраф -2",-2,IF(OR(F894="",G894=""),"",F894*G894+IF(J894="",0,J894)))</f>
        <v/>
      </c>
      <c r="I894" s="3" t="n"/>
      <c r="J894" s="3" t="n"/>
      <c r="K894" s="3" t="n"/>
    </row>
    <row r="895">
      <c r="A895" s="3" t="n"/>
      <c r="B895" s="3" t="n"/>
      <c r="C895" s="3" t="n"/>
      <c r="D895" s="3" t="n"/>
      <c r="E895" s="4">
        <f>IF(A895="","",COUNTIFS($A$4:A895,A895,$I$4:I895,"&lt;&gt;Штраф -2",$I$4:I895,"&lt;&gt;ушел на базу"))</f>
        <v/>
      </c>
      <c r="F895" s="4">
        <f>IF(E895="","",IF(E895&lt;=3,6,IF(E895&lt;=6,5,IF(E895&lt;=9,4,IF(E895&lt;=12,3,IF(E895&lt;=15,2,0))))))</f>
        <v/>
      </c>
      <c r="G895" s="3" t="n"/>
      <c r="H895" s="4">
        <f>IF(I895="Штраф -2",-2,IF(OR(F895="",G895=""),"",F895*G895+IF(J895="",0,J895)))</f>
        <v/>
      </c>
      <c r="I895" s="3" t="n"/>
      <c r="J895" s="3" t="n"/>
      <c r="K895" s="3" t="n"/>
    </row>
    <row r="896">
      <c r="A896" s="3" t="n"/>
      <c r="B896" s="3" t="n"/>
      <c r="C896" s="3" t="n"/>
      <c r="D896" s="3" t="n"/>
      <c r="E896" s="4">
        <f>IF(A896="","",COUNTIFS($A$4:A896,A896,$I$4:I896,"&lt;&gt;Штраф -2",$I$4:I896,"&lt;&gt;ушел на базу"))</f>
        <v/>
      </c>
      <c r="F896" s="4">
        <f>IF(E896="","",IF(E896&lt;=3,6,IF(E896&lt;=6,5,IF(E896&lt;=9,4,IF(E896&lt;=12,3,IF(E896&lt;=15,2,0))))))</f>
        <v/>
      </c>
      <c r="G896" s="3" t="n"/>
      <c r="H896" s="4">
        <f>IF(I896="Штраф -2",-2,IF(OR(F896="",G896=""),"",F896*G896+IF(J896="",0,J896)))</f>
        <v/>
      </c>
      <c r="I896" s="3" t="n"/>
      <c r="J896" s="3" t="n"/>
      <c r="K896" s="3" t="n"/>
    </row>
    <row r="897">
      <c r="A897" s="3" t="n"/>
      <c r="B897" s="3" t="n"/>
      <c r="C897" s="3" t="n"/>
      <c r="D897" s="3" t="n"/>
      <c r="E897" s="4">
        <f>IF(A897="","",COUNTIFS($A$4:A897,A897,$I$4:I897,"&lt;&gt;Штраф -2",$I$4:I897,"&lt;&gt;ушел на базу"))</f>
        <v/>
      </c>
      <c r="F897" s="4">
        <f>IF(E897="","",IF(E897&lt;=3,6,IF(E897&lt;=6,5,IF(E897&lt;=9,4,IF(E897&lt;=12,3,IF(E897&lt;=15,2,0))))))</f>
        <v/>
      </c>
      <c r="G897" s="3" t="n"/>
      <c r="H897" s="4">
        <f>IF(I897="Штраф -2",-2,IF(OR(F897="",G897=""),"",F897*G897+IF(J897="",0,J897)))</f>
        <v/>
      </c>
      <c r="I897" s="3" t="n"/>
      <c r="J897" s="3" t="n"/>
      <c r="K897" s="3" t="n"/>
    </row>
    <row r="898">
      <c r="A898" s="3" t="n"/>
      <c r="B898" s="3" t="n"/>
      <c r="C898" s="3" t="n"/>
      <c r="D898" s="3" t="n"/>
      <c r="E898" s="4">
        <f>IF(A898="","",COUNTIFS($A$4:A898,A898,$I$4:I898,"&lt;&gt;Штраф -2",$I$4:I898,"&lt;&gt;ушел на базу"))</f>
        <v/>
      </c>
      <c r="F898" s="4">
        <f>IF(E898="","",IF(E898&lt;=3,6,IF(E898&lt;=6,5,IF(E898&lt;=9,4,IF(E898&lt;=12,3,IF(E898&lt;=15,2,0))))))</f>
        <v/>
      </c>
      <c r="G898" s="3" t="n"/>
      <c r="H898" s="4">
        <f>IF(I898="Штраф -2",-2,IF(OR(F898="",G898=""),"",F898*G898+IF(J898="",0,J898)))</f>
        <v/>
      </c>
      <c r="I898" s="3" t="n"/>
      <c r="J898" s="3" t="n"/>
      <c r="K898" s="3" t="n"/>
    </row>
    <row r="899">
      <c r="A899" s="3" t="n"/>
      <c r="B899" s="3" t="n"/>
      <c r="C899" s="3" t="n"/>
      <c r="D899" s="3" t="n"/>
      <c r="E899" s="4">
        <f>IF(A899="","",COUNTIFS($A$4:A899,A899,$I$4:I899,"&lt;&gt;Штраф -2",$I$4:I899,"&lt;&gt;ушел на базу"))</f>
        <v/>
      </c>
      <c r="F899" s="4">
        <f>IF(E899="","",IF(E899&lt;=3,6,IF(E899&lt;=6,5,IF(E899&lt;=9,4,IF(E899&lt;=12,3,IF(E899&lt;=15,2,0))))))</f>
        <v/>
      </c>
      <c r="G899" s="3" t="n"/>
      <c r="H899" s="4">
        <f>IF(I899="Штраф -2",-2,IF(OR(F899="",G899=""),"",F899*G899+IF(J899="",0,J899)))</f>
        <v/>
      </c>
      <c r="I899" s="3" t="n"/>
      <c r="J899" s="3" t="n"/>
      <c r="K899" s="3" t="n"/>
    </row>
    <row r="900">
      <c r="A900" s="3" t="n"/>
      <c r="B900" s="3" t="n"/>
      <c r="C900" s="3" t="n"/>
      <c r="D900" s="3" t="n"/>
      <c r="E900" s="4">
        <f>IF(A900="","",COUNTIFS($A$4:A900,A900,$I$4:I900,"&lt;&gt;Штраф -2",$I$4:I900,"&lt;&gt;ушел на базу"))</f>
        <v/>
      </c>
      <c r="F900" s="4">
        <f>IF(E900="","",IF(E900&lt;=3,6,IF(E900&lt;=6,5,IF(E900&lt;=9,4,IF(E900&lt;=12,3,IF(E900&lt;=15,2,0))))))</f>
        <v/>
      </c>
      <c r="G900" s="3" t="n"/>
      <c r="H900" s="4">
        <f>IF(I900="Штраф -2",-2,IF(OR(F900="",G900=""),"",F900*G900+IF(J900="",0,J900)))</f>
        <v/>
      </c>
      <c r="I900" s="3" t="n"/>
      <c r="J900" s="3" t="n"/>
      <c r="K900" s="3" t="n"/>
    </row>
    <row r="901">
      <c r="A901" s="3" t="n"/>
      <c r="B901" s="3" t="n"/>
      <c r="C901" s="3" t="n"/>
      <c r="D901" s="3" t="n"/>
      <c r="E901" s="4">
        <f>IF(A901="","",COUNTIFS($A$4:A901,A901,$I$4:I901,"&lt;&gt;Штраф -2",$I$4:I901,"&lt;&gt;ушел на базу"))</f>
        <v/>
      </c>
      <c r="F901" s="4">
        <f>IF(E901="","",IF(E901&lt;=3,6,IF(E901&lt;=6,5,IF(E901&lt;=9,4,IF(E901&lt;=12,3,IF(E901&lt;=15,2,0))))))</f>
        <v/>
      </c>
      <c r="G901" s="3" t="n"/>
      <c r="H901" s="4">
        <f>IF(I901="Штраф -2",-2,IF(OR(F901="",G901=""),"",F901*G901+IF(J901="",0,J901)))</f>
        <v/>
      </c>
      <c r="I901" s="3" t="n"/>
      <c r="J901" s="3" t="n"/>
      <c r="K901" s="3" t="n"/>
    </row>
    <row r="902">
      <c r="A902" s="3" t="n"/>
      <c r="B902" s="3" t="n"/>
      <c r="C902" s="3" t="n"/>
      <c r="D902" s="3" t="n"/>
      <c r="E902" s="4">
        <f>IF(A902="","",COUNTIFS($A$4:A902,A902,$I$4:I902,"&lt;&gt;Штраф -2",$I$4:I902,"&lt;&gt;ушел на базу"))</f>
        <v/>
      </c>
      <c r="F902" s="4">
        <f>IF(E902="","",IF(E902&lt;=3,6,IF(E902&lt;=6,5,IF(E902&lt;=9,4,IF(E902&lt;=12,3,IF(E902&lt;=15,2,0))))))</f>
        <v/>
      </c>
      <c r="G902" s="3" t="n"/>
      <c r="H902" s="4">
        <f>IF(I902="Штраф -2",-2,IF(OR(F902="",G902=""),"",F902*G902+IF(J902="",0,J902)))</f>
        <v/>
      </c>
      <c r="I902" s="3" t="n"/>
      <c r="J902" s="3" t="n"/>
      <c r="K902" s="3" t="n"/>
    </row>
    <row r="903">
      <c r="A903" s="3" t="n"/>
      <c r="B903" s="3" t="n"/>
      <c r="C903" s="3" t="n"/>
      <c r="D903" s="3" t="n"/>
      <c r="E903" s="4">
        <f>IF(A903="","",COUNTIFS($A$4:A903,A903,$I$4:I903,"&lt;&gt;Штраф -2",$I$4:I903,"&lt;&gt;ушел на базу"))</f>
        <v/>
      </c>
      <c r="F903" s="4">
        <f>IF(E903="","",IF(E903&lt;=3,6,IF(E903&lt;=6,5,IF(E903&lt;=9,4,IF(E903&lt;=12,3,IF(E903&lt;=15,2,0))))))</f>
        <v/>
      </c>
      <c r="G903" s="3" t="n"/>
      <c r="H903" s="4">
        <f>IF(I903="Штраф -2",-2,IF(OR(F903="",G903=""),"",F903*G903+IF(J903="",0,J903)))</f>
        <v/>
      </c>
      <c r="I903" s="3" t="n"/>
      <c r="J903" s="3" t="n"/>
      <c r="K903" s="3" t="n"/>
    </row>
    <row r="904">
      <c r="A904" s="3" t="n"/>
      <c r="B904" s="3" t="n"/>
      <c r="C904" s="3" t="n"/>
      <c r="D904" s="3" t="n"/>
      <c r="E904" s="4">
        <f>IF(A904="","",COUNTIFS($A$4:A904,A904,$I$4:I904,"&lt;&gt;Штраф -2",$I$4:I904,"&lt;&gt;ушел на базу"))</f>
        <v/>
      </c>
      <c r="F904" s="4">
        <f>IF(E904="","",IF(E904&lt;=3,6,IF(E904&lt;=6,5,IF(E904&lt;=9,4,IF(E904&lt;=12,3,IF(E904&lt;=15,2,0))))))</f>
        <v/>
      </c>
      <c r="G904" s="3" t="n"/>
      <c r="H904" s="4">
        <f>IF(I904="Штраф -2",-2,IF(OR(F904="",G904=""),"",F904*G904+IF(J904="",0,J904)))</f>
        <v/>
      </c>
      <c r="I904" s="3" t="n"/>
      <c r="J904" s="3" t="n"/>
      <c r="K904" s="3" t="n"/>
    </row>
    <row r="905">
      <c r="A905" s="3" t="n"/>
      <c r="B905" s="3" t="n"/>
      <c r="C905" s="3" t="n"/>
      <c r="D905" s="3" t="n"/>
      <c r="E905" s="4">
        <f>IF(A905="","",COUNTIFS($A$4:A905,A905,$I$4:I905,"&lt;&gt;Штраф -2",$I$4:I905,"&lt;&gt;ушел на базу"))</f>
        <v/>
      </c>
      <c r="F905" s="4">
        <f>IF(E905="","",IF(E905&lt;=3,6,IF(E905&lt;=6,5,IF(E905&lt;=9,4,IF(E905&lt;=12,3,IF(E905&lt;=15,2,0))))))</f>
        <v/>
      </c>
      <c r="G905" s="3" t="n"/>
      <c r="H905" s="4">
        <f>IF(I905="Штраф -2",-2,IF(OR(F905="",G905=""),"",F905*G905+IF(J905="",0,J905)))</f>
        <v/>
      </c>
      <c r="I905" s="3" t="n"/>
      <c r="J905" s="3" t="n"/>
      <c r="K905" s="3" t="n"/>
    </row>
    <row r="906">
      <c r="A906" s="3" t="n"/>
      <c r="B906" s="3" t="n"/>
      <c r="C906" s="3" t="n"/>
      <c r="D906" s="3" t="n"/>
      <c r="E906" s="4">
        <f>IF(A906="","",COUNTIFS($A$4:A906,A906,$I$4:I906,"&lt;&gt;Штраф -2",$I$4:I906,"&lt;&gt;ушел на базу"))</f>
        <v/>
      </c>
      <c r="F906" s="4">
        <f>IF(E906="","",IF(E906&lt;=3,6,IF(E906&lt;=6,5,IF(E906&lt;=9,4,IF(E906&lt;=12,3,IF(E906&lt;=15,2,0))))))</f>
        <v/>
      </c>
      <c r="G906" s="3" t="n"/>
      <c r="H906" s="4">
        <f>IF(I906="Штраф -2",-2,IF(OR(F906="",G906=""),"",F906*G906+IF(J906="",0,J906)))</f>
        <v/>
      </c>
      <c r="I906" s="3" t="n"/>
      <c r="J906" s="3" t="n"/>
      <c r="K906" s="3" t="n"/>
    </row>
    <row r="907">
      <c r="A907" s="3" t="n"/>
      <c r="B907" s="3" t="n"/>
      <c r="C907" s="3" t="n"/>
      <c r="D907" s="3" t="n"/>
      <c r="E907" s="4">
        <f>IF(A907="","",COUNTIFS($A$4:A907,A907,$I$4:I907,"&lt;&gt;Штраф -2",$I$4:I907,"&lt;&gt;ушел на базу"))</f>
        <v/>
      </c>
      <c r="F907" s="4">
        <f>IF(E907="","",IF(E907&lt;=3,6,IF(E907&lt;=6,5,IF(E907&lt;=9,4,IF(E907&lt;=12,3,IF(E907&lt;=15,2,0))))))</f>
        <v/>
      </c>
      <c r="G907" s="3" t="n"/>
      <c r="H907" s="4">
        <f>IF(I907="Штраф -2",-2,IF(OR(F907="",G907=""),"",F907*G907+IF(J907="",0,J907)))</f>
        <v/>
      </c>
      <c r="I907" s="3" t="n"/>
      <c r="J907" s="3" t="n"/>
      <c r="K907" s="3" t="n"/>
    </row>
    <row r="908">
      <c r="A908" s="3" t="n"/>
      <c r="B908" s="3" t="n"/>
      <c r="C908" s="3" t="n"/>
      <c r="D908" s="3" t="n"/>
      <c r="E908" s="4">
        <f>IF(A908="","",COUNTIFS($A$4:A908,A908,$I$4:I908,"&lt;&gt;Штраф -2",$I$4:I908,"&lt;&gt;ушел на базу"))</f>
        <v/>
      </c>
      <c r="F908" s="4">
        <f>IF(E908="","",IF(E908&lt;=3,6,IF(E908&lt;=6,5,IF(E908&lt;=9,4,IF(E908&lt;=12,3,IF(E908&lt;=15,2,0))))))</f>
        <v/>
      </c>
      <c r="G908" s="3" t="n"/>
      <c r="H908" s="4">
        <f>IF(I908="Штраф -2",-2,IF(OR(F908="",G908=""),"",F908*G908+IF(J908="",0,J908)))</f>
        <v/>
      </c>
      <c r="I908" s="3" t="n"/>
      <c r="J908" s="3" t="n"/>
      <c r="K908" s="3" t="n"/>
    </row>
    <row r="909">
      <c r="A909" s="3" t="n"/>
      <c r="B909" s="3" t="n"/>
      <c r="C909" s="3" t="n"/>
      <c r="D909" s="3" t="n"/>
      <c r="E909" s="4">
        <f>IF(A909="","",COUNTIFS($A$4:A909,A909,$I$4:I909,"&lt;&gt;Штраф -2",$I$4:I909,"&lt;&gt;ушел на базу"))</f>
        <v/>
      </c>
      <c r="F909" s="4">
        <f>IF(E909="","",IF(E909&lt;=3,6,IF(E909&lt;=6,5,IF(E909&lt;=9,4,IF(E909&lt;=12,3,IF(E909&lt;=15,2,0))))))</f>
        <v/>
      </c>
      <c r="G909" s="3" t="n"/>
      <c r="H909" s="4">
        <f>IF(I909="Штраф -2",-2,IF(OR(F909="",G909=""),"",F909*G909+IF(J909="",0,J909)))</f>
        <v/>
      </c>
      <c r="I909" s="3" t="n"/>
      <c r="J909" s="3" t="n"/>
      <c r="K909" s="3" t="n"/>
    </row>
    <row r="910">
      <c r="A910" s="3" t="n"/>
      <c r="B910" s="3" t="n"/>
      <c r="C910" s="3" t="n"/>
      <c r="D910" s="3" t="n"/>
      <c r="E910" s="4">
        <f>IF(A910="","",COUNTIFS($A$4:A910,A910,$I$4:I910,"&lt;&gt;Штраф -2",$I$4:I910,"&lt;&gt;ушел на базу"))</f>
        <v/>
      </c>
      <c r="F910" s="4">
        <f>IF(E910="","",IF(E910&lt;=3,6,IF(E910&lt;=6,5,IF(E910&lt;=9,4,IF(E910&lt;=12,3,IF(E910&lt;=15,2,0))))))</f>
        <v/>
      </c>
      <c r="G910" s="3" t="n"/>
      <c r="H910" s="4">
        <f>IF(I910="Штраф -2",-2,IF(OR(F910="",G910=""),"",F910*G910+IF(J910="",0,J910)))</f>
        <v/>
      </c>
      <c r="I910" s="3" t="n"/>
      <c r="J910" s="3" t="n"/>
      <c r="K910" s="3" t="n"/>
    </row>
    <row r="911">
      <c r="A911" s="3" t="n"/>
      <c r="B911" s="3" t="n"/>
      <c r="C911" s="3" t="n"/>
      <c r="D911" s="3" t="n"/>
      <c r="E911" s="4">
        <f>IF(A911="","",COUNTIFS($A$4:A911,A911,$I$4:I911,"&lt;&gt;Штраф -2",$I$4:I911,"&lt;&gt;ушел на базу"))</f>
        <v/>
      </c>
      <c r="F911" s="4">
        <f>IF(E911="","",IF(E911&lt;=3,6,IF(E911&lt;=6,5,IF(E911&lt;=9,4,IF(E911&lt;=12,3,IF(E911&lt;=15,2,0))))))</f>
        <v/>
      </c>
      <c r="G911" s="3" t="n"/>
      <c r="H911" s="4">
        <f>IF(I911="Штраф -2",-2,IF(OR(F911="",G911=""),"",F911*G911+IF(J911="",0,J911)))</f>
        <v/>
      </c>
      <c r="I911" s="3" t="n"/>
      <c r="J911" s="3" t="n"/>
      <c r="K911" s="3" t="n"/>
    </row>
    <row r="912">
      <c r="A912" s="3" t="n"/>
      <c r="B912" s="3" t="n"/>
      <c r="C912" s="3" t="n"/>
      <c r="D912" s="3" t="n"/>
      <c r="E912" s="4">
        <f>IF(A912="","",COUNTIFS($A$4:A912,A912,$I$4:I912,"&lt;&gt;Штраф -2",$I$4:I912,"&lt;&gt;ушел на базу"))</f>
        <v/>
      </c>
      <c r="F912" s="4">
        <f>IF(E912="","",IF(E912&lt;=3,6,IF(E912&lt;=6,5,IF(E912&lt;=9,4,IF(E912&lt;=12,3,IF(E912&lt;=15,2,0))))))</f>
        <v/>
      </c>
      <c r="G912" s="3" t="n"/>
      <c r="H912" s="4">
        <f>IF(I912="Штраф -2",-2,IF(OR(F912="",G912=""),"",F912*G912+IF(J912="",0,J912)))</f>
        <v/>
      </c>
      <c r="I912" s="3" t="n"/>
      <c r="J912" s="3" t="n"/>
      <c r="K912" s="3" t="n"/>
    </row>
    <row r="913">
      <c r="A913" s="3" t="n"/>
      <c r="B913" s="3" t="n"/>
      <c r="C913" s="3" t="n"/>
      <c r="D913" s="3" t="n"/>
      <c r="E913" s="4">
        <f>IF(A913="","",COUNTIFS($A$4:A913,A913,$I$4:I913,"&lt;&gt;Штраф -2",$I$4:I913,"&lt;&gt;ушел на базу"))</f>
        <v/>
      </c>
      <c r="F913" s="4">
        <f>IF(E913="","",IF(E913&lt;=3,6,IF(E913&lt;=6,5,IF(E913&lt;=9,4,IF(E913&lt;=12,3,IF(E913&lt;=15,2,0))))))</f>
        <v/>
      </c>
      <c r="G913" s="3" t="n"/>
      <c r="H913" s="4">
        <f>IF(I913="Штраф -2",-2,IF(OR(F913="",G913=""),"",F913*G913+IF(J913="",0,J913)))</f>
        <v/>
      </c>
      <c r="I913" s="3" t="n"/>
      <c r="J913" s="3" t="n"/>
      <c r="K913" s="3" t="n"/>
    </row>
    <row r="914">
      <c r="A914" s="3" t="n"/>
      <c r="B914" s="3" t="n"/>
      <c r="C914" s="3" t="n"/>
      <c r="D914" s="3" t="n"/>
      <c r="E914" s="4">
        <f>IF(A914="","",COUNTIFS($A$4:A914,A914,$I$4:I914,"&lt;&gt;Штраф -2",$I$4:I914,"&lt;&gt;ушел на базу"))</f>
        <v/>
      </c>
      <c r="F914" s="4">
        <f>IF(E914="","",IF(E914&lt;=3,6,IF(E914&lt;=6,5,IF(E914&lt;=9,4,IF(E914&lt;=12,3,IF(E914&lt;=15,2,0))))))</f>
        <v/>
      </c>
      <c r="G914" s="3" t="n"/>
      <c r="H914" s="4">
        <f>IF(I914="Штраф -2",-2,IF(OR(F914="",G914=""),"",F914*G914+IF(J914="",0,J914)))</f>
        <v/>
      </c>
      <c r="I914" s="3" t="n"/>
      <c r="J914" s="3" t="n"/>
      <c r="K914" s="3" t="n"/>
    </row>
    <row r="915">
      <c r="A915" s="3" t="n"/>
      <c r="B915" s="3" t="n"/>
      <c r="C915" s="3" t="n"/>
      <c r="D915" s="3" t="n"/>
      <c r="E915" s="4">
        <f>IF(A915="","",COUNTIFS($A$4:A915,A915,$I$4:I915,"&lt;&gt;Штраф -2",$I$4:I915,"&lt;&gt;ушел на базу"))</f>
        <v/>
      </c>
      <c r="F915" s="4">
        <f>IF(E915="","",IF(E915&lt;=3,6,IF(E915&lt;=6,5,IF(E915&lt;=9,4,IF(E915&lt;=12,3,IF(E915&lt;=15,2,0))))))</f>
        <v/>
      </c>
      <c r="G915" s="3" t="n"/>
      <c r="H915" s="4">
        <f>IF(I915="Штраф -2",-2,IF(OR(F915="",G915=""),"",F915*G915+IF(J915="",0,J915)))</f>
        <v/>
      </c>
      <c r="I915" s="3" t="n"/>
      <c r="J915" s="3" t="n"/>
      <c r="K915" s="3" t="n"/>
    </row>
    <row r="916">
      <c r="A916" s="3" t="n"/>
      <c r="B916" s="3" t="n"/>
      <c r="C916" s="3" t="n"/>
      <c r="D916" s="3" t="n"/>
      <c r="E916" s="4">
        <f>IF(A916="","",COUNTIFS($A$4:A916,A916,$I$4:I916,"&lt;&gt;Штраф -2",$I$4:I916,"&lt;&gt;ушел на базу"))</f>
        <v/>
      </c>
      <c r="F916" s="4">
        <f>IF(E916="","",IF(E916&lt;=3,6,IF(E916&lt;=6,5,IF(E916&lt;=9,4,IF(E916&lt;=12,3,IF(E916&lt;=15,2,0))))))</f>
        <v/>
      </c>
      <c r="G916" s="3" t="n"/>
      <c r="H916" s="4">
        <f>IF(I916="Штраф -2",-2,IF(OR(F916="",G916=""),"",F916*G916+IF(J916="",0,J916)))</f>
        <v/>
      </c>
      <c r="I916" s="3" t="n"/>
      <c r="J916" s="3" t="n"/>
      <c r="K916" s="3" t="n"/>
    </row>
    <row r="917">
      <c r="A917" s="3" t="n"/>
      <c r="B917" s="3" t="n"/>
      <c r="C917" s="3" t="n"/>
      <c r="D917" s="3" t="n"/>
      <c r="E917" s="4">
        <f>IF(A917="","",COUNTIFS($A$4:A917,A917,$I$4:I917,"&lt;&gt;Штраф -2",$I$4:I917,"&lt;&gt;ушел на базу"))</f>
        <v/>
      </c>
      <c r="F917" s="4">
        <f>IF(E917="","",IF(E917&lt;=3,6,IF(E917&lt;=6,5,IF(E917&lt;=9,4,IF(E917&lt;=12,3,IF(E917&lt;=15,2,0))))))</f>
        <v/>
      </c>
      <c r="G917" s="3" t="n"/>
      <c r="H917" s="4">
        <f>IF(I917="Штраф -2",-2,IF(OR(F917="",G917=""),"",F917*G917+IF(J917="",0,J917)))</f>
        <v/>
      </c>
      <c r="I917" s="3" t="n"/>
      <c r="J917" s="3" t="n"/>
      <c r="K917" s="3" t="n"/>
    </row>
    <row r="918">
      <c r="A918" s="3" t="n"/>
      <c r="B918" s="3" t="n"/>
      <c r="C918" s="3" t="n"/>
      <c r="D918" s="3" t="n"/>
      <c r="E918" s="4">
        <f>IF(A918="","",COUNTIFS($A$4:A918,A918,$I$4:I918,"&lt;&gt;Штраф -2",$I$4:I918,"&lt;&gt;ушел на базу"))</f>
        <v/>
      </c>
      <c r="F918" s="4">
        <f>IF(E918="","",IF(E918&lt;=3,6,IF(E918&lt;=6,5,IF(E918&lt;=9,4,IF(E918&lt;=12,3,IF(E918&lt;=15,2,0))))))</f>
        <v/>
      </c>
      <c r="G918" s="3" t="n"/>
      <c r="H918" s="4">
        <f>IF(I918="Штраф -2",-2,IF(OR(F918="",G918=""),"",F918*G918+IF(J918="",0,J918)))</f>
        <v/>
      </c>
      <c r="I918" s="3" t="n"/>
      <c r="J918" s="3" t="n"/>
      <c r="K918" s="3" t="n"/>
    </row>
    <row r="919">
      <c r="A919" s="3" t="n"/>
      <c r="B919" s="3" t="n"/>
      <c r="C919" s="3" t="n"/>
      <c r="D919" s="3" t="n"/>
      <c r="E919" s="4">
        <f>IF(A919="","",COUNTIFS($A$4:A919,A919,$I$4:I919,"&lt;&gt;Штраф -2",$I$4:I919,"&lt;&gt;ушел на базу"))</f>
        <v/>
      </c>
      <c r="F919" s="4">
        <f>IF(E919="","",IF(E919&lt;=3,6,IF(E919&lt;=6,5,IF(E919&lt;=9,4,IF(E919&lt;=12,3,IF(E919&lt;=15,2,0))))))</f>
        <v/>
      </c>
      <c r="G919" s="3" t="n"/>
      <c r="H919" s="4">
        <f>IF(I919="Штраф -2",-2,IF(OR(F919="",G919=""),"",F919*G919+IF(J919="",0,J919)))</f>
        <v/>
      </c>
      <c r="I919" s="3" t="n"/>
      <c r="J919" s="3" t="n"/>
      <c r="K919" s="3" t="n"/>
    </row>
    <row r="920">
      <c r="A920" s="3" t="n"/>
      <c r="B920" s="3" t="n"/>
      <c r="C920" s="3" t="n"/>
      <c r="D920" s="3" t="n"/>
      <c r="E920" s="4">
        <f>IF(A920="","",COUNTIFS($A$4:A920,A920,$I$4:I920,"&lt;&gt;Штраф -2",$I$4:I920,"&lt;&gt;ушел на базу"))</f>
        <v/>
      </c>
      <c r="F920" s="4">
        <f>IF(E920="","",IF(E920&lt;=3,6,IF(E920&lt;=6,5,IF(E920&lt;=9,4,IF(E920&lt;=12,3,IF(E920&lt;=15,2,0))))))</f>
        <v/>
      </c>
      <c r="G920" s="3" t="n"/>
      <c r="H920" s="4">
        <f>IF(I920="Штраф -2",-2,IF(OR(F920="",G920=""),"",F920*G920+IF(J920="",0,J920)))</f>
        <v/>
      </c>
      <c r="I920" s="3" t="n"/>
      <c r="J920" s="3" t="n"/>
      <c r="K920" s="3" t="n"/>
    </row>
    <row r="921">
      <c r="A921" s="3" t="n"/>
      <c r="B921" s="3" t="n"/>
      <c r="C921" s="3" t="n"/>
      <c r="D921" s="3" t="n"/>
      <c r="E921" s="4">
        <f>IF(A921="","",COUNTIFS($A$4:A921,A921,$I$4:I921,"&lt;&gt;Штраф -2",$I$4:I921,"&lt;&gt;ушел на базу"))</f>
        <v/>
      </c>
      <c r="F921" s="4">
        <f>IF(E921="","",IF(E921&lt;=3,6,IF(E921&lt;=6,5,IF(E921&lt;=9,4,IF(E921&lt;=12,3,IF(E921&lt;=15,2,0))))))</f>
        <v/>
      </c>
      <c r="G921" s="3" t="n"/>
      <c r="H921" s="4">
        <f>IF(I921="Штраф -2",-2,IF(OR(F921="",G921=""),"",F921*G921+IF(J921="",0,J921)))</f>
        <v/>
      </c>
      <c r="I921" s="3" t="n"/>
      <c r="J921" s="3" t="n"/>
      <c r="K921" s="3" t="n"/>
    </row>
    <row r="922">
      <c r="A922" s="3" t="n"/>
      <c r="B922" s="3" t="n"/>
      <c r="C922" s="3" t="n"/>
      <c r="D922" s="3" t="n"/>
      <c r="E922" s="4">
        <f>IF(A922="","",COUNTIFS($A$4:A922,A922,$I$4:I922,"&lt;&gt;Штраф -2",$I$4:I922,"&lt;&gt;ушел на базу"))</f>
        <v/>
      </c>
      <c r="F922" s="4">
        <f>IF(E922="","",IF(E922&lt;=3,6,IF(E922&lt;=6,5,IF(E922&lt;=9,4,IF(E922&lt;=12,3,IF(E922&lt;=15,2,0))))))</f>
        <v/>
      </c>
      <c r="G922" s="3" t="n"/>
      <c r="H922" s="4">
        <f>IF(I922="Штраф -2",-2,IF(OR(F922="",G922=""),"",F922*G922+IF(J922="",0,J922)))</f>
        <v/>
      </c>
      <c r="I922" s="3" t="n"/>
      <c r="J922" s="3" t="n"/>
      <c r="K922" s="3" t="n"/>
    </row>
    <row r="923">
      <c r="A923" s="3" t="n"/>
      <c r="B923" s="3" t="n"/>
      <c r="C923" s="3" t="n"/>
      <c r="D923" s="3" t="n"/>
      <c r="E923" s="4">
        <f>IF(A923="","",COUNTIFS($A$4:A923,A923,$I$4:I923,"&lt;&gt;Штраф -2",$I$4:I923,"&lt;&gt;ушел на базу"))</f>
        <v/>
      </c>
      <c r="F923" s="4">
        <f>IF(E923="","",IF(E923&lt;=3,6,IF(E923&lt;=6,5,IF(E923&lt;=9,4,IF(E923&lt;=12,3,IF(E923&lt;=15,2,0))))))</f>
        <v/>
      </c>
      <c r="G923" s="3" t="n"/>
      <c r="H923" s="4">
        <f>IF(I923="Штраф -2",-2,IF(OR(F923="",G923=""),"",F923*G923+IF(J923="",0,J923)))</f>
        <v/>
      </c>
      <c r="I923" s="3" t="n"/>
      <c r="J923" s="3" t="n"/>
      <c r="K923" s="3" t="n"/>
    </row>
    <row r="924">
      <c r="A924" s="3" t="n"/>
      <c r="B924" s="3" t="n"/>
      <c r="C924" s="3" t="n"/>
      <c r="D924" s="3" t="n"/>
      <c r="E924" s="4">
        <f>IF(A924="","",COUNTIFS($A$4:A924,A924,$I$4:I924,"&lt;&gt;Штраф -2",$I$4:I924,"&lt;&gt;ушел на базу"))</f>
        <v/>
      </c>
      <c r="F924" s="4">
        <f>IF(E924="","",IF(E924&lt;=3,6,IF(E924&lt;=6,5,IF(E924&lt;=9,4,IF(E924&lt;=12,3,IF(E924&lt;=15,2,0))))))</f>
        <v/>
      </c>
      <c r="G924" s="3" t="n"/>
      <c r="H924" s="4">
        <f>IF(I924="Штраф -2",-2,IF(OR(F924="",G924=""),"",F924*G924+IF(J924="",0,J924)))</f>
        <v/>
      </c>
      <c r="I924" s="3" t="n"/>
      <c r="J924" s="3" t="n"/>
      <c r="K924" s="3" t="n"/>
    </row>
    <row r="925">
      <c r="A925" s="3" t="n"/>
      <c r="B925" s="3" t="n"/>
      <c r="C925" s="3" t="n"/>
      <c r="D925" s="3" t="n"/>
      <c r="E925" s="4">
        <f>IF(A925="","",COUNTIFS($A$4:A925,A925,$I$4:I925,"&lt;&gt;Штраф -2",$I$4:I925,"&lt;&gt;ушел на базу"))</f>
        <v/>
      </c>
      <c r="F925" s="4">
        <f>IF(E925="","",IF(E925&lt;=3,6,IF(E925&lt;=6,5,IF(E925&lt;=9,4,IF(E925&lt;=12,3,IF(E925&lt;=15,2,0))))))</f>
        <v/>
      </c>
      <c r="G925" s="3" t="n"/>
      <c r="H925" s="4">
        <f>IF(I925="Штраф -2",-2,IF(OR(F925="",G925=""),"",F925*G925+IF(J925="",0,J925)))</f>
        <v/>
      </c>
      <c r="I925" s="3" t="n"/>
      <c r="J925" s="3" t="n"/>
      <c r="K925" s="3" t="n"/>
    </row>
    <row r="926">
      <c r="A926" s="3" t="n"/>
      <c r="B926" s="3" t="n"/>
      <c r="C926" s="3" t="n"/>
      <c r="D926" s="3" t="n"/>
      <c r="E926" s="4">
        <f>IF(A926="","",COUNTIFS($A$4:A926,A926,$I$4:I926,"&lt;&gt;Штраф -2",$I$4:I926,"&lt;&gt;ушел на базу"))</f>
        <v/>
      </c>
      <c r="F926" s="4">
        <f>IF(E926="","",IF(E926&lt;=3,6,IF(E926&lt;=6,5,IF(E926&lt;=9,4,IF(E926&lt;=12,3,IF(E926&lt;=15,2,0))))))</f>
        <v/>
      </c>
      <c r="G926" s="3" t="n"/>
      <c r="H926" s="4">
        <f>IF(I926="Штраф -2",-2,IF(OR(F926="",G926=""),"",F926*G926+IF(J926="",0,J926)))</f>
        <v/>
      </c>
      <c r="I926" s="3" t="n"/>
      <c r="J926" s="3" t="n"/>
      <c r="K926" s="3" t="n"/>
    </row>
    <row r="927">
      <c r="A927" s="3" t="n"/>
      <c r="B927" s="3" t="n"/>
      <c r="C927" s="3" t="n"/>
      <c r="D927" s="3" t="n"/>
      <c r="E927" s="4">
        <f>IF(A927="","",COUNTIFS($A$4:A927,A927,$I$4:I927,"&lt;&gt;Штраф -2",$I$4:I927,"&lt;&gt;ушел на базу"))</f>
        <v/>
      </c>
      <c r="F927" s="4">
        <f>IF(E927="","",IF(E927&lt;=3,6,IF(E927&lt;=6,5,IF(E927&lt;=9,4,IF(E927&lt;=12,3,IF(E927&lt;=15,2,0))))))</f>
        <v/>
      </c>
      <c r="G927" s="3" t="n"/>
      <c r="H927" s="4">
        <f>IF(I927="Штраф -2",-2,IF(OR(F927="",G927=""),"",F927*G927+IF(J927="",0,J927)))</f>
        <v/>
      </c>
      <c r="I927" s="3" t="n"/>
      <c r="J927" s="3" t="n"/>
      <c r="K927" s="3" t="n"/>
    </row>
    <row r="928">
      <c r="A928" s="3" t="n"/>
      <c r="B928" s="3" t="n"/>
      <c r="C928" s="3" t="n"/>
      <c r="D928" s="3" t="n"/>
      <c r="E928" s="4">
        <f>IF(A928="","",COUNTIFS($A$4:A928,A928,$I$4:I928,"&lt;&gt;Штраф -2",$I$4:I928,"&lt;&gt;ушел на базу"))</f>
        <v/>
      </c>
      <c r="F928" s="4">
        <f>IF(E928="","",IF(E928&lt;=3,6,IF(E928&lt;=6,5,IF(E928&lt;=9,4,IF(E928&lt;=12,3,IF(E928&lt;=15,2,0))))))</f>
        <v/>
      </c>
      <c r="G928" s="3" t="n"/>
      <c r="H928" s="4">
        <f>IF(I928="Штраф -2",-2,IF(OR(F928="",G928=""),"",F928*G928+IF(J928="",0,J928)))</f>
        <v/>
      </c>
      <c r="I928" s="3" t="n"/>
      <c r="J928" s="3" t="n"/>
      <c r="K928" s="3" t="n"/>
    </row>
    <row r="929">
      <c r="A929" s="3" t="n"/>
      <c r="B929" s="3" t="n"/>
      <c r="C929" s="3" t="n"/>
      <c r="D929" s="3" t="n"/>
      <c r="E929" s="4">
        <f>IF(A929="","",COUNTIFS($A$4:A929,A929,$I$4:I929,"&lt;&gt;Штраф -2",$I$4:I929,"&lt;&gt;ушел на базу"))</f>
        <v/>
      </c>
      <c r="F929" s="4">
        <f>IF(E929="","",IF(E929&lt;=3,6,IF(E929&lt;=6,5,IF(E929&lt;=9,4,IF(E929&lt;=12,3,IF(E929&lt;=15,2,0))))))</f>
        <v/>
      </c>
      <c r="G929" s="3" t="n"/>
      <c r="H929" s="4">
        <f>IF(I929="Штраф -2",-2,IF(OR(F929="",G929=""),"",F929*G929+IF(J929="",0,J929)))</f>
        <v/>
      </c>
      <c r="I929" s="3" t="n"/>
      <c r="J929" s="3" t="n"/>
      <c r="K929" s="3" t="n"/>
    </row>
    <row r="930">
      <c r="A930" s="3" t="n"/>
      <c r="B930" s="3" t="n"/>
      <c r="C930" s="3" t="n"/>
      <c r="D930" s="3" t="n"/>
      <c r="E930" s="4">
        <f>IF(A930="","",COUNTIFS($A$4:A930,A930,$I$4:I930,"&lt;&gt;Штраф -2",$I$4:I930,"&lt;&gt;ушел на базу"))</f>
        <v/>
      </c>
      <c r="F930" s="4">
        <f>IF(E930="","",IF(E930&lt;=3,6,IF(E930&lt;=6,5,IF(E930&lt;=9,4,IF(E930&lt;=12,3,IF(E930&lt;=15,2,0))))))</f>
        <v/>
      </c>
      <c r="G930" s="3" t="n"/>
      <c r="H930" s="4">
        <f>IF(I930="Штраф -2",-2,IF(OR(F930="",G930=""),"",F930*G930+IF(J930="",0,J930)))</f>
        <v/>
      </c>
      <c r="I930" s="3" t="n"/>
      <c r="J930" s="3" t="n"/>
      <c r="K930" s="3" t="n"/>
    </row>
    <row r="931">
      <c r="A931" s="3" t="n"/>
      <c r="B931" s="3" t="n"/>
      <c r="C931" s="3" t="n"/>
      <c r="D931" s="3" t="n"/>
      <c r="E931" s="4">
        <f>IF(A931="","",COUNTIFS($A$4:A931,A931,$I$4:I931,"&lt;&gt;Штраф -2",$I$4:I931,"&lt;&gt;ушел на базу"))</f>
        <v/>
      </c>
      <c r="F931" s="4">
        <f>IF(E931="","",IF(E931&lt;=3,6,IF(E931&lt;=6,5,IF(E931&lt;=9,4,IF(E931&lt;=12,3,IF(E931&lt;=15,2,0))))))</f>
        <v/>
      </c>
      <c r="G931" s="3" t="n"/>
      <c r="H931" s="4">
        <f>IF(I931="Штраф -2",-2,IF(OR(F931="",G931=""),"",F931*G931+IF(J931="",0,J931)))</f>
        <v/>
      </c>
      <c r="I931" s="3" t="n"/>
      <c r="J931" s="3" t="n"/>
      <c r="K931" s="3" t="n"/>
    </row>
    <row r="932">
      <c r="A932" s="3" t="n"/>
      <c r="B932" s="3" t="n"/>
      <c r="C932" s="3" t="n"/>
      <c r="D932" s="3" t="n"/>
      <c r="E932" s="4">
        <f>IF(A932="","",COUNTIFS($A$4:A932,A932,$I$4:I932,"&lt;&gt;Штраф -2",$I$4:I932,"&lt;&gt;ушел на базу"))</f>
        <v/>
      </c>
      <c r="F932" s="4">
        <f>IF(E932="","",IF(E932&lt;=3,6,IF(E932&lt;=6,5,IF(E932&lt;=9,4,IF(E932&lt;=12,3,IF(E932&lt;=15,2,0))))))</f>
        <v/>
      </c>
      <c r="G932" s="3" t="n"/>
      <c r="H932" s="4">
        <f>IF(I932="Штраф -2",-2,IF(OR(F932="",G932=""),"",F932*G932+IF(J932="",0,J932)))</f>
        <v/>
      </c>
      <c r="I932" s="3" t="n"/>
      <c r="J932" s="3" t="n"/>
      <c r="K932" s="3" t="n"/>
    </row>
    <row r="933">
      <c r="A933" s="3" t="n"/>
      <c r="B933" s="3" t="n"/>
      <c r="C933" s="3" t="n"/>
      <c r="D933" s="3" t="n"/>
      <c r="E933" s="4">
        <f>IF(A933="","",COUNTIFS($A$4:A933,A933,$I$4:I933,"&lt;&gt;Штраф -2",$I$4:I933,"&lt;&gt;ушел на базу"))</f>
        <v/>
      </c>
      <c r="F933" s="4">
        <f>IF(E933="","",IF(E933&lt;=3,6,IF(E933&lt;=6,5,IF(E933&lt;=9,4,IF(E933&lt;=12,3,IF(E933&lt;=15,2,0))))))</f>
        <v/>
      </c>
      <c r="G933" s="3" t="n"/>
      <c r="H933" s="4">
        <f>IF(I933="Штраф -2",-2,IF(OR(F933="",G933=""),"",F933*G933+IF(J933="",0,J933)))</f>
        <v/>
      </c>
      <c r="I933" s="3" t="n"/>
      <c r="J933" s="3" t="n"/>
      <c r="K933" s="3" t="n"/>
    </row>
    <row r="934">
      <c r="A934" s="3" t="n"/>
      <c r="B934" s="3" t="n"/>
      <c r="C934" s="3" t="n"/>
      <c r="D934" s="3" t="n"/>
      <c r="E934" s="4">
        <f>IF(A934="","",COUNTIFS($A$4:A934,A934,$I$4:I934,"&lt;&gt;Штраф -2",$I$4:I934,"&lt;&gt;ушел на базу"))</f>
        <v/>
      </c>
      <c r="F934" s="4">
        <f>IF(E934="","",IF(E934&lt;=3,6,IF(E934&lt;=6,5,IF(E934&lt;=9,4,IF(E934&lt;=12,3,IF(E934&lt;=15,2,0))))))</f>
        <v/>
      </c>
      <c r="G934" s="3" t="n"/>
      <c r="H934" s="4">
        <f>IF(I934="Штраф -2",-2,IF(OR(F934="",G934=""),"",F934*G934+IF(J934="",0,J934)))</f>
        <v/>
      </c>
      <c r="I934" s="3" t="n"/>
      <c r="J934" s="3" t="n"/>
      <c r="K934" s="3" t="n"/>
    </row>
    <row r="935">
      <c r="A935" s="3" t="n"/>
      <c r="B935" s="3" t="n"/>
      <c r="C935" s="3" t="n"/>
      <c r="D935" s="3" t="n"/>
      <c r="E935" s="4">
        <f>IF(A935="","",COUNTIFS($A$4:A935,A935,$I$4:I935,"&lt;&gt;Штраф -2",$I$4:I935,"&lt;&gt;ушел на базу"))</f>
        <v/>
      </c>
      <c r="F935" s="4">
        <f>IF(E935="","",IF(E935&lt;=3,6,IF(E935&lt;=6,5,IF(E935&lt;=9,4,IF(E935&lt;=12,3,IF(E935&lt;=15,2,0))))))</f>
        <v/>
      </c>
      <c r="G935" s="3" t="n"/>
      <c r="H935" s="4">
        <f>IF(I935="Штраф -2",-2,IF(OR(F935="",G935=""),"",F935*G935+IF(J935="",0,J935)))</f>
        <v/>
      </c>
      <c r="I935" s="3" t="n"/>
      <c r="J935" s="3" t="n"/>
      <c r="K935" s="3" t="n"/>
    </row>
    <row r="936">
      <c r="A936" s="3" t="n"/>
      <c r="B936" s="3" t="n"/>
      <c r="C936" s="3" t="n"/>
      <c r="D936" s="3" t="n"/>
      <c r="E936" s="4">
        <f>IF(A936="","",COUNTIFS($A$4:A936,A936,$I$4:I936,"&lt;&gt;Штраф -2",$I$4:I936,"&lt;&gt;ушел на базу"))</f>
        <v/>
      </c>
      <c r="F936" s="4">
        <f>IF(E936="","",IF(E936&lt;=3,6,IF(E936&lt;=6,5,IF(E936&lt;=9,4,IF(E936&lt;=12,3,IF(E936&lt;=15,2,0))))))</f>
        <v/>
      </c>
      <c r="G936" s="3" t="n"/>
      <c r="H936" s="4">
        <f>IF(I936="Штраф -2",-2,IF(OR(F936="",G936=""),"",F936*G936+IF(J936="",0,J936)))</f>
        <v/>
      </c>
      <c r="I936" s="3" t="n"/>
      <c r="J936" s="3" t="n"/>
      <c r="K936" s="3" t="n"/>
    </row>
    <row r="937">
      <c r="A937" s="3" t="n"/>
      <c r="B937" s="3" t="n"/>
      <c r="C937" s="3" t="n"/>
      <c r="D937" s="3" t="n"/>
      <c r="E937" s="4">
        <f>IF(A937="","",COUNTIFS($A$4:A937,A937,$I$4:I937,"&lt;&gt;Штраф -2",$I$4:I937,"&lt;&gt;ушел на базу"))</f>
        <v/>
      </c>
      <c r="F937" s="4">
        <f>IF(E937="","",IF(E937&lt;=3,6,IF(E937&lt;=6,5,IF(E937&lt;=9,4,IF(E937&lt;=12,3,IF(E937&lt;=15,2,0))))))</f>
        <v/>
      </c>
      <c r="G937" s="3" t="n"/>
      <c r="H937" s="4">
        <f>IF(I937="Штраф -2",-2,IF(OR(F937="",G937=""),"",F937*G937+IF(J937="",0,J937)))</f>
        <v/>
      </c>
      <c r="I937" s="3" t="n"/>
      <c r="J937" s="3" t="n"/>
      <c r="K937" s="3" t="n"/>
    </row>
    <row r="938">
      <c r="A938" s="3" t="n"/>
      <c r="B938" s="3" t="n"/>
      <c r="C938" s="3" t="n"/>
      <c r="D938" s="3" t="n"/>
      <c r="E938" s="4">
        <f>IF(A938="","",COUNTIFS($A$4:A938,A938,$I$4:I938,"&lt;&gt;Штраф -2",$I$4:I938,"&lt;&gt;ушел на базу"))</f>
        <v/>
      </c>
      <c r="F938" s="4">
        <f>IF(E938="","",IF(E938&lt;=3,6,IF(E938&lt;=6,5,IF(E938&lt;=9,4,IF(E938&lt;=12,3,IF(E938&lt;=15,2,0))))))</f>
        <v/>
      </c>
      <c r="G938" s="3" t="n"/>
      <c r="H938" s="4">
        <f>IF(I938="Штраф -2",-2,IF(OR(F938="",G938=""),"",F938*G938+IF(J938="",0,J938)))</f>
        <v/>
      </c>
      <c r="I938" s="3" t="n"/>
      <c r="J938" s="3" t="n"/>
      <c r="K938" s="3" t="n"/>
    </row>
    <row r="939">
      <c r="A939" s="3" t="n"/>
      <c r="B939" s="3" t="n"/>
      <c r="C939" s="3" t="n"/>
      <c r="D939" s="3" t="n"/>
      <c r="E939" s="4">
        <f>IF(A939="","",COUNTIFS($A$4:A939,A939,$I$4:I939,"&lt;&gt;Штраф -2",$I$4:I939,"&lt;&gt;ушел на базу"))</f>
        <v/>
      </c>
      <c r="F939" s="4">
        <f>IF(E939="","",IF(E939&lt;=3,6,IF(E939&lt;=6,5,IF(E939&lt;=9,4,IF(E939&lt;=12,3,IF(E939&lt;=15,2,0))))))</f>
        <v/>
      </c>
      <c r="G939" s="3" t="n"/>
      <c r="H939" s="4">
        <f>IF(I939="Штраф -2",-2,IF(OR(F939="",G939=""),"",F939*G939+IF(J939="",0,J939)))</f>
        <v/>
      </c>
      <c r="I939" s="3" t="n"/>
      <c r="J939" s="3" t="n"/>
      <c r="K939" s="3" t="n"/>
    </row>
    <row r="940">
      <c r="A940" s="3" t="n"/>
      <c r="B940" s="3" t="n"/>
      <c r="C940" s="3" t="n"/>
      <c r="D940" s="3" t="n"/>
      <c r="E940" s="4">
        <f>IF(A940="","",COUNTIFS($A$4:A940,A940,$I$4:I940,"&lt;&gt;Штраф -2",$I$4:I940,"&lt;&gt;ушел на базу"))</f>
        <v/>
      </c>
      <c r="F940" s="4">
        <f>IF(E940="","",IF(E940&lt;=3,6,IF(E940&lt;=6,5,IF(E940&lt;=9,4,IF(E940&lt;=12,3,IF(E940&lt;=15,2,0))))))</f>
        <v/>
      </c>
      <c r="G940" s="3" t="n"/>
      <c r="H940" s="4">
        <f>IF(I940="Штраф -2",-2,IF(OR(F940="",G940=""),"",F940*G940+IF(J940="",0,J940)))</f>
        <v/>
      </c>
      <c r="I940" s="3" t="n"/>
      <c r="J940" s="3" t="n"/>
      <c r="K940" s="3" t="n"/>
    </row>
    <row r="941">
      <c r="A941" s="3" t="n"/>
      <c r="B941" s="3" t="n"/>
      <c r="C941" s="3" t="n"/>
      <c r="D941" s="3" t="n"/>
      <c r="E941" s="4">
        <f>IF(A941="","",COUNTIFS($A$4:A941,A941,$I$4:I941,"&lt;&gt;Штраф -2",$I$4:I941,"&lt;&gt;ушел на базу"))</f>
        <v/>
      </c>
      <c r="F941" s="4">
        <f>IF(E941="","",IF(E941&lt;=3,6,IF(E941&lt;=6,5,IF(E941&lt;=9,4,IF(E941&lt;=12,3,IF(E941&lt;=15,2,0))))))</f>
        <v/>
      </c>
      <c r="G941" s="3" t="n"/>
      <c r="H941" s="4">
        <f>IF(I941="Штраф -2",-2,IF(OR(F941="",G941=""),"",F941*G941+IF(J941="",0,J941)))</f>
        <v/>
      </c>
      <c r="I941" s="3" t="n"/>
      <c r="J941" s="3" t="n"/>
      <c r="K941" s="3" t="n"/>
    </row>
    <row r="942">
      <c r="A942" s="3" t="n"/>
      <c r="B942" s="3" t="n"/>
      <c r="C942" s="3" t="n"/>
      <c r="D942" s="3" t="n"/>
      <c r="E942" s="4">
        <f>IF(A942="","",COUNTIFS($A$4:A942,A942,$I$4:I942,"&lt;&gt;Штраф -2",$I$4:I942,"&lt;&gt;ушел на базу"))</f>
        <v/>
      </c>
      <c r="F942" s="4">
        <f>IF(E942="","",IF(E942&lt;=3,6,IF(E942&lt;=6,5,IF(E942&lt;=9,4,IF(E942&lt;=12,3,IF(E942&lt;=15,2,0))))))</f>
        <v/>
      </c>
      <c r="G942" s="3" t="n"/>
      <c r="H942" s="4">
        <f>IF(I942="Штраф -2",-2,IF(OR(F942="",G942=""),"",F942*G942+IF(J942="",0,J942)))</f>
        <v/>
      </c>
      <c r="I942" s="3" t="n"/>
      <c r="J942" s="3" t="n"/>
      <c r="K942" s="3" t="n"/>
    </row>
    <row r="943">
      <c r="A943" s="3" t="n"/>
      <c r="B943" s="3" t="n"/>
      <c r="C943" s="3" t="n"/>
      <c r="D943" s="3" t="n"/>
      <c r="E943" s="4">
        <f>IF(A943="","",COUNTIFS($A$4:A943,A943,$I$4:I943,"&lt;&gt;Штраф -2",$I$4:I943,"&lt;&gt;ушел на базу"))</f>
        <v/>
      </c>
      <c r="F943" s="4">
        <f>IF(E943="","",IF(E943&lt;=3,6,IF(E943&lt;=6,5,IF(E943&lt;=9,4,IF(E943&lt;=12,3,IF(E943&lt;=15,2,0))))))</f>
        <v/>
      </c>
      <c r="G943" s="3" t="n"/>
      <c r="H943" s="4">
        <f>IF(I943="Штраф -2",-2,IF(OR(F943="",G943=""),"",F943*G943+IF(J943="",0,J943)))</f>
        <v/>
      </c>
      <c r="I943" s="3" t="n"/>
      <c r="J943" s="3" t="n"/>
      <c r="K943" s="3" t="n"/>
    </row>
    <row r="944">
      <c r="A944" s="3" t="n"/>
      <c r="B944" s="3" t="n"/>
      <c r="C944" s="3" t="n"/>
      <c r="D944" s="3" t="n"/>
      <c r="E944" s="4">
        <f>IF(A944="","",COUNTIFS($A$4:A944,A944,$I$4:I944,"&lt;&gt;Штраф -2",$I$4:I944,"&lt;&gt;ушел на базу"))</f>
        <v/>
      </c>
      <c r="F944" s="4">
        <f>IF(E944="","",IF(E944&lt;=3,6,IF(E944&lt;=6,5,IF(E944&lt;=9,4,IF(E944&lt;=12,3,IF(E944&lt;=15,2,0))))))</f>
        <v/>
      </c>
      <c r="G944" s="3" t="n"/>
      <c r="H944" s="4">
        <f>IF(I944="Штраф -2",-2,IF(OR(F944="",G944=""),"",F944*G944+IF(J944="",0,J944)))</f>
        <v/>
      </c>
      <c r="I944" s="3" t="n"/>
      <c r="J944" s="3" t="n"/>
      <c r="K944" s="3" t="n"/>
    </row>
    <row r="945">
      <c r="A945" s="3" t="n"/>
      <c r="B945" s="3" t="n"/>
      <c r="C945" s="3" t="n"/>
      <c r="D945" s="3" t="n"/>
      <c r="E945" s="4">
        <f>IF(A945="","",COUNTIFS($A$4:A945,A945,$I$4:I945,"&lt;&gt;Штраф -2",$I$4:I945,"&lt;&gt;ушел на базу"))</f>
        <v/>
      </c>
      <c r="F945" s="4">
        <f>IF(E945="","",IF(E945&lt;=3,6,IF(E945&lt;=6,5,IF(E945&lt;=9,4,IF(E945&lt;=12,3,IF(E945&lt;=15,2,0))))))</f>
        <v/>
      </c>
      <c r="G945" s="3" t="n"/>
      <c r="H945" s="4">
        <f>IF(I945="Штраф -2",-2,IF(OR(F945="",G945=""),"",F945*G945+IF(J945="",0,J945)))</f>
        <v/>
      </c>
      <c r="I945" s="3" t="n"/>
      <c r="J945" s="3" t="n"/>
      <c r="K945" s="3" t="n"/>
    </row>
    <row r="946">
      <c r="A946" s="3" t="n"/>
      <c r="B946" s="3" t="n"/>
      <c r="C946" s="3" t="n"/>
      <c r="D946" s="3" t="n"/>
      <c r="E946" s="4">
        <f>IF(A946="","",COUNTIFS($A$4:A946,A946,$I$4:I946,"&lt;&gt;Штраф -2",$I$4:I946,"&lt;&gt;ушел на базу"))</f>
        <v/>
      </c>
      <c r="F946" s="4">
        <f>IF(E946="","",IF(E946&lt;=3,6,IF(E946&lt;=6,5,IF(E946&lt;=9,4,IF(E946&lt;=12,3,IF(E946&lt;=15,2,0))))))</f>
        <v/>
      </c>
      <c r="G946" s="3" t="n"/>
      <c r="H946" s="4">
        <f>IF(I946="Штраф -2",-2,IF(OR(F946="",G946=""),"",F946*G946+IF(J946="",0,J946)))</f>
        <v/>
      </c>
      <c r="I946" s="3" t="n"/>
      <c r="J946" s="3" t="n"/>
      <c r="K946" s="3" t="n"/>
    </row>
    <row r="947">
      <c r="A947" s="3" t="n"/>
      <c r="B947" s="3" t="n"/>
      <c r="C947" s="3" t="n"/>
      <c r="D947" s="3" t="n"/>
      <c r="E947" s="4">
        <f>IF(A947="","",COUNTIFS($A$4:A947,A947,$I$4:I947,"&lt;&gt;Штраф -2",$I$4:I947,"&lt;&gt;ушел на базу"))</f>
        <v/>
      </c>
      <c r="F947" s="4">
        <f>IF(E947="","",IF(E947&lt;=3,6,IF(E947&lt;=6,5,IF(E947&lt;=9,4,IF(E947&lt;=12,3,IF(E947&lt;=15,2,0))))))</f>
        <v/>
      </c>
      <c r="G947" s="3" t="n"/>
      <c r="H947" s="4">
        <f>IF(I947="Штраф -2",-2,IF(OR(F947="",G947=""),"",F947*G947+IF(J947="",0,J947)))</f>
        <v/>
      </c>
      <c r="I947" s="3" t="n"/>
      <c r="J947" s="3" t="n"/>
      <c r="K947" s="3" t="n"/>
    </row>
    <row r="948">
      <c r="A948" s="3" t="n"/>
      <c r="B948" s="3" t="n"/>
      <c r="C948" s="3" t="n"/>
      <c r="D948" s="3" t="n"/>
      <c r="E948" s="4">
        <f>IF(A948="","",COUNTIFS($A$4:A948,A948,$I$4:I948,"&lt;&gt;Штраф -2",$I$4:I948,"&lt;&gt;ушел на базу"))</f>
        <v/>
      </c>
      <c r="F948" s="4">
        <f>IF(E948="","",IF(E948&lt;=3,6,IF(E948&lt;=6,5,IF(E948&lt;=9,4,IF(E948&lt;=12,3,IF(E948&lt;=15,2,0))))))</f>
        <v/>
      </c>
      <c r="G948" s="3" t="n"/>
      <c r="H948" s="4">
        <f>IF(I948="Штраф -2",-2,IF(OR(F948="",G948=""),"",F948*G948+IF(J948="",0,J948)))</f>
        <v/>
      </c>
      <c r="I948" s="3" t="n"/>
      <c r="J948" s="3" t="n"/>
      <c r="K948" s="3" t="n"/>
    </row>
    <row r="949">
      <c r="A949" s="3" t="n"/>
      <c r="B949" s="3" t="n"/>
      <c r="C949" s="3" t="n"/>
      <c r="D949" s="3" t="n"/>
      <c r="E949" s="4">
        <f>IF(A949="","",COUNTIFS($A$4:A949,A949,$I$4:I949,"&lt;&gt;Штраф -2",$I$4:I949,"&lt;&gt;ушел на базу"))</f>
        <v/>
      </c>
      <c r="F949" s="4">
        <f>IF(E949="","",IF(E949&lt;=3,6,IF(E949&lt;=6,5,IF(E949&lt;=9,4,IF(E949&lt;=12,3,IF(E949&lt;=15,2,0))))))</f>
        <v/>
      </c>
      <c r="G949" s="3" t="n"/>
      <c r="H949" s="4">
        <f>IF(I949="Штраф -2",-2,IF(OR(F949="",G949=""),"",F949*G949+IF(J949="",0,J949)))</f>
        <v/>
      </c>
      <c r="I949" s="3" t="n"/>
      <c r="J949" s="3" t="n"/>
      <c r="K949" s="3" t="n"/>
    </row>
    <row r="950">
      <c r="A950" s="3" t="n"/>
      <c r="B950" s="3" t="n"/>
      <c r="C950" s="3" t="n"/>
      <c r="D950" s="3" t="n"/>
      <c r="E950" s="4">
        <f>IF(A950="","",COUNTIFS($A$4:A950,A950,$I$4:I950,"&lt;&gt;Штраф -2",$I$4:I950,"&lt;&gt;ушел на базу"))</f>
        <v/>
      </c>
      <c r="F950" s="4">
        <f>IF(E950="","",IF(E950&lt;=3,6,IF(E950&lt;=6,5,IF(E950&lt;=9,4,IF(E950&lt;=12,3,IF(E950&lt;=15,2,0))))))</f>
        <v/>
      </c>
      <c r="G950" s="3" t="n"/>
      <c r="H950" s="4">
        <f>IF(I950="Штраф -2",-2,IF(OR(F950="",G950=""),"",F950*G950+IF(J950="",0,J950)))</f>
        <v/>
      </c>
      <c r="I950" s="3" t="n"/>
      <c r="J950" s="3" t="n"/>
      <c r="K950" s="3" t="n"/>
    </row>
    <row r="951">
      <c r="A951" s="3" t="n"/>
      <c r="B951" s="3" t="n"/>
      <c r="C951" s="3" t="n"/>
      <c r="D951" s="3" t="n"/>
      <c r="E951" s="4">
        <f>IF(A951="","",COUNTIFS($A$4:A951,A951,$I$4:I951,"&lt;&gt;Штраф -2",$I$4:I951,"&lt;&gt;ушел на базу"))</f>
        <v/>
      </c>
      <c r="F951" s="4">
        <f>IF(E951="","",IF(E951&lt;=3,6,IF(E951&lt;=6,5,IF(E951&lt;=9,4,IF(E951&lt;=12,3,IF(E951&lt;=15,2,0))))))</f>
        <v/>
      </c>
      <c r="G951" s="3" t="n"/>
      <c r="H951" s="4">
        <f>IF(I951="Штраф -2",-2,IF(OR(F951="",G951=""),"",F951*G951+IF(J951="",0,J951)))</f>
        <v/>
      </c>
      <c r="I951" s="3" t="n"/>
      <c r="J951" s="3" t="n"/>
      <c r="K951" s="3" t="n"/>
    </row>
    <row r="952">
      <c r="A952" s="3" t="n"/>
      <c r="B952" s="3" t="n"/>
      <c r="C952" s="3" t="n"/>
      <c r="D952" s="3" t="n"/>
      <c r="E952" s="4">
        <f>IF(A952="","",COUNTIFS($A$4:A952,A952,$I$4:I952,"&lt;&gt;Штраф -2",$I$4:I952,"&lt;&gt;ушел на базу"))</f>
        <v/>
      </c>
      <c r="F952" s="4">
        <f>IF(E952="","",IF(E952&lt;=3,6,IF(E952&lt;=6,5,IF(E952&lt;=9,4,IF(E952&lt;=12,3,IF(E952&lt;=15,2,0))))))</f>
        <v/>
      </c>
      <c r="G952" s="3" t="n"/>
      <c r="H952" s="4">
        <f>IF(I952="Штраф -2",-2,IF(OR(F952="",G952=""),"",F952*G952+IF(J952="",0,J952)))</f>
        <v/>
      </c>
      <c r="I952" s="3" t="n"/>
      <c r="J952" s="3" t="n"/>
      <c r="K952" s="3" t="n"/>
    </row>
    <row r="953">
      <c r="A953" s="3" t="n"/>
      <c r="B953" s="3" t="n"/>
      <c r="C953" s="3" t="n"/>
      <c r="D953" s="3" t="n"/>
      <c r="E953" s="4">
        <f>IF(A953="","",COUNTIFS($A$4:A953,A953,$I$4:I953,"&lt;&gt;Штраф -2",$I$4:I953,"&lt;&gt;ушел на базу"))</f>
        <v/>
      </c>
      <c r="F953" s="4">
        <f>IF(E953="","",IF(E953&lt;=3,6,IF(E953&lt;=6,5,IF(E953&lt;=9,4,IF(E953&lt;=12,3,IF(E953&lt;=15,2,0))))))</f>
        <v/>
      </c>
      <c r="G953" s="3" t="n"/>
      <c r="H953" s="4">
        <f>IF(I953="Штраф -2",-2,IF(OR(F953="",G953=""),"",F953*G953+IF(J953="",0,J953)))</f>
        <v/>
      </c>
      <c r="I953" s="3" t="n"/>
      <c r="J953" s="3" t="n"/>
      <c r="K953" s="3" t="n"/>
    </row>
    <row r="954">
      <c r="A954" s="3" t="n"/>
      <c r="B954" s="3" t="n"/>
      <c r="C954" s="3" t="n"/>
      <c r="D954" s="3" t="n"/>
      <c r="E954" s="4">
        <f>IF(A954="","",COUNTIFS($A$4:A954,A954,$I$4:I954,"&lt;&gt;Штраф -2",$I$4:I954,"&lt;&gt;ушел на базу"))</f>
        <v/>
      </c>
      <c r="F954" s="4">
        <f>IF(E954="","",IF(E954&lt;=3,6,IF(E954&lt;=6,5,IF(E954&lt;=9,4,IF(E954&lt;=12,3,IF(E954&lt;=15,2,0))))))</f>
        <v/>
      </c>
      <c r="G954" s="3" t="n"/>
      <c r="H954" s="4">
        <f>IF(I954="Штраф -2",-2,IF(OR(F954="",G954=""),"",F954*G954+IF(J954="",0,J954)))</f>
        <v/>
      </c>
      <c r="I954" s="3" t="n"/>
      <c r="J954" s="3" t="n"/>
      <c r="K954" s="3" t="n"/>
    </row>
    <row r="955">
      <c r="A955" s="3" t="n"/>
      <c r="B955" s="3" t="n"/>
      <c r="C955" s="3" t="n"/>
      <c r="D955" s="3" t="n"/>
      <c r="E955" s="4">
        <f>IF(A955="","",COUNTIFS($A$4:A955,A955,$I$4:I955,"&lt;&gt;Штраф -2",$I$4:I955,"&lt;&gt;ушел на базу"))</f>
        <v/>
      </c>
      <c r="F955" s="4">
        <f>IF(E955="","",IF(E955&lt;=3,6,IF(E955&lt;=6,5,IF(E955&lt;=9,4,IF(E955&lt;=12,3,IF(E955&lt;=15,2,0))))))</f>
        <v/>
      </c>
      <c r="G955" s="3" t="n"/>
      <c r="H955" s="4">
        <f>IF(I955="Штраф -2",-2,IF(OR(F955="",G955=""),"",F955*G955+IF(J955="",0,J955)))</f>
        <v/>
      </c>
      <c r="I955" s="3" t="n"/>
      <c r="J955" s="3" t="n"/>
      <c r="K955" s="3" t="n"/>
    </row>
    <row r="956">
      <c r="A956" s="3" t="n"/>
      <c r="B956" s="3" t="n"/>
      <c r="C956" s="3" t="n"/>
      <c r="D956" s="3" t="n"/>
      <c r="E956" s="4">
        <f>IF(A956="","",COUNTIFS($A$4:A956,A956,$I$4:I956,"&lt;&gt;Штраф -2",$I$4:I956,"&lt;&gt;ушел на базу"))</f>
        <v/>
      </c>
      <c r="F956" s="4">
        <f>IF(E956="","",IF(E956&lt;=3,6,IF(E956&lt;=6,5,IF(E956&lt;=9,4,IF(E956&lt;=12,3,IF(E956&lt;=15,2,0))))))</f>
        <v/>
      </c>
      <c r="G956" s="3" t="n"/>
      <c r="H956" s="4">
        <f>IF(I956="Штраф -2",-2,IF(OR(F956="",G956=""),"",F956*G956+IF(J956="",0,J956)))</f>
        <v/>
      </c>
      <c r="I956" s="3" t="n"/>
      <c r="J956" s="3" t="n"/>
      <c r="K956" s="3" t="n"/>
    </row>
    <row r="957">
      <c r="A957" s="3" t="n"/>
      <c r="B957" s="3" t="n"/>
      <c r="C957" s="3" t="n"/>
      <c r="D957" s="3" t="n"/>
      <c r="E957" s="4">
        <f>IF(A957="","",COUNTIFS($A$4:A957,A957,$I$4:I957,"&lt;&gt;Штраф -2",$I$4:I957,"&lt;&gt;ушел на базу"))</f>
        <v/>
      </c>
      <c r="F957" s="4">
        <f>IF(E957="","",IF(E957&lt;=3,6,IF(E957&lt;=6,5,IF(E957&lt;=9,4,IF(E957&lt;=12,3,IF(E957&lt;=15,2,0))))))</f>
        <v/>
      </c>
      <c r="G957" s="3" t="n"/>
      <c r="H957" s="4">
        <f>IF(I957="Штраф -2",-2,IF(OR(F957="",G957=""),"",F957*G957+IF(J957="",0,J957)))</f>
        <v/>
      </c>
      <c r="I957" s="3" t="n"/>
      <c r="J957" s="3" t="n"/>
      <c r="K957" s="3" t="n"/>
    </row>
    <row r="958">
      <c r="A958" s="3" t="n"/>
      <c r="B958" s="3" t="n"/>
      <c r="C958" s="3" t="n"/>
      <c r="D958" s="3" t="n"/>
      <c r="E958" s="4">
        <f>IF(A958="","",COUNTIFS($A$4:A958,A958,$I$4:I958,"&lt;&gt;Штраф -2",$I$4:I958,"&lt;&gt;ушел на базу"))</f>
        <v/>
      </c>
      <c r="F958" s="4">
        <f>IF(E958="","",IF(E958&lt;=3,6,IF(E958&lt;=6,5,IF(E958&lt;=9,4,IF(E958&lt;=12,3,IF(E958&lt;=15,2,0))))))</f>
        <v/>
      </c>
      <c r="G958" s="3" t="n"/>
      <c r="H958" s="4">
        <f>IF(I958="Штраф -2",-2,IF(OR(F958="",G958=""),"",F958*G958+IF(J958="",0,J958)))</f>
        <v/>
      </c>
      <c r="I958" s="3" t="n"/>
      <c r="J958" s="3" t="n"/>
      <c r="K958" s="3" t="n"/>
    </row>
    <row r="959">
      <c r="A959" s="3" t="n"/>
      <c r="B959" s="3" t="n"/>
      <c r="C959" s="3" t="n"/>
      <c r="D959" s="3" t="n"/>
      <c r="E959" s="4">
        <f>IF(A959="","",COUNTIFS($A$4:A959,A959,$I$4:I959,"&lt;&gt;Штраф -2",$I$4:I959,"&lt;&gt;ушел на базу"))</f>
        <v/>
      </c>
      <c r="F959" s="4">
        <f>IF(E959="","",IF(E959&lt;=3,6,IF(E959&lt;=6,5,IF(E959&lt;=9,4,IF(E959&lt;=12,3,IF(E959&lt;=15,2,0))))))</f>
        <v/>
      </c>
      <c r="G959" s="3" t="n"/>
      <c r="H959" s="4">
        <f>IF(I959="Штраф -2",-2,IF(OR(F959="",G959=""),"",F959*G959+IF(J959="",0,J959)))</f>
        <v/>
      </c>
      <c r="I959" s="3" t="n"/>
      <c r="J959" s="3" t="n"/>
      <c r="K959" s="3" t="n"/>
    </row>
    <row r="960">
      <c r="A960" s="3" t="n"/>
      <c r="B960" s="3" t="n"/>
      <c r="C960" s="3" t="n"/>
      <c r="D960" s="3" t="n"/>
      <c r="E960" s="4">
        <f>IF(A960="","",COUNTIFS($A$4:A960,A960,$I$4:I960,"&lt;&gt;Штраф -2",$I$4:I960,"&lt;&gt;ушел на базу"))</f>
        <v/>
      </c>
      <c r="F960" s="4">
        <f>IF(E960="","",IF(E960&lt;=3,6,IF(E960&lt;=6,5,IF(E960&lt;=9,4,IF(E960&lt;=12,3,IF(E960&lt;=15,2,0))))))</f>
        <v/>
      </c>
      <c r="G960" s="3" t="n"/>
      <c r="H960" s="4">
        <f>IF(I960="Штраф -2",-2,IF(OR(F960="",G960=""),"",F960*G960+IF(J960="",0,J960)))</f>
        <v/>
      </c>
      <c r="I960" s="3" t="n"/>
      <c r="J960" s="3" t="n"/>
      <c r="K960" s="3" t="n"/>
    </row>
    <row r="961">
      <c r="A961" s="3" t="n"/>
      <c r="B961" s="3" t="n"/>
      <c r="C961" s="3" t="n"/>
      <c r="D961" s="3" t="n"/>
      <c r="E961" s="4">
        <f>IF(A961="","",COUNTIFS($A$4:A961,A961,$I$4:I961,"&lt;&gt;Штраф -2",$I$4:I961,"&lt;&gt;ушел на базу"))</f>
        <v/>
      </c>
      <c r="F961" s="4">
        <f>IF(E961="","",IF(E961&lt;=3,6,IF(E961&lt;=6,5,IF(E961&lt;=9,4,IF(E961&lt;=12,3,IF(E961&lt;=15,2,0))))))</f>
        <v/>
      </c>
      <c r="G961" s="3" t="n"/>
      <c r="H961" s="4">
        <f>IF(I961="Штраф -2",-2,IF(OR(F961="",G961=""),"",F961*G961+IF(J961="",0,J961)))</f>
        <v/>
      </c>
      <c r="I961" s="3" t="n"/>
      <c r="J961" s="3" t="n"/>
      <c r="K961" s="3" t="n"/>
    </row>
    <row r="962">
      <c r="A962" s="3" t="n"/>
      <c r="B962" s="3" t="n"/>
      <c r="C962" s="3" t="n"/>
      <c r="D962" s="3" t="n"/>
      <c r="E962" s="4">
        <f>IF(A962="","",COUNTIFS($A$4:A962,A962,$I$4:I962,"&lt;&gt;Штраф -2",$I$4:I962,"&lt;&gt;ушел на базу"))</f>
        <v/>
      </c>
      <c r="F962" s="4">
        <f>IF(E962="","",IF(E962&lt;=3,6,IF(E962&lt;=6,5,IF(E962&lt;=9,4,IF(E962&lt;=12,3,IF(E962&lt;=15,2,0))))))</f>
        <v/>
      </c>
      <c r="G962" s="3" t="n"/>
      <c r="H962" s="4">
        <f>IF(I962="Штраф -2",-2,IF(OR(F962="",G962=""),"",F962*G962+IF(J962="",0,J962)))</f>
        <v/>
      </c>
      <c r="I962" s="3" t="n"/>
      <c r="J962" s="3" t="n"/>
      <c r="K962" s="3" t="n"/>
    </row>
    <row r="963">
      <c r="A963" s="3" t="n"/>
      <c r="B963" s="3" t="n"/>
      <c r="C963" s="3" t="n"/>
      <c r="D963" s="3" t="n"/>
      <c r="E963" s="4">
        <f>IF(A963="","",COUNTIFS($A$4:A963,A963,$I$4:I963,"&lt;&gt;Штраф -2",$I$4:I963,"&lt;&gt;ушел на базу"))</f>
        <v/>
      </c>
      <c r="F963" s="4">
        <f>IF(E963="","",IF(E963&lt;=3,6,IF(E963&lt;=6,5,IF(E963&lt;=9,4,IF(E963&lt;=12,3,IF(E963&lt;=15,2,0))))))</f>
        <v/>
      </c>
      <c r="G963" s="3" t="n"/>
      <c r="H963" s="4">
        <f>IF(I963="Штраф -2",-2,IF(OR(F963="",G963=""),"",F963*G963+IF(J963="",0,J963)))</f>
        <v/>
      </c>
      <c r="I963" s="3" t="n"/>
      <c r="J963" s="3" t="n"/>
      <c r="K963" s="3" t="n"/>
    </row>
    <row r="964">
      <c r="A964" s="3" t="n"/>
      <c r="B964" s="3" t="n"/>
      <c r="C964" s="3" t="n"/>
      <c r="D964" s="3" t="n"/>
      <c r="E964" s="4">
        <f>IF(A964="","",COUNTIFS($A$4:A964,A964,$I$4:I964,"&lt;&gt;Штраф -2",$I$4:I964,"&lt;&gt;ушел на базу"))</f>
        <v/>
      </c>
      <c r="F964" s="4">
        <f>IF(E964="","",IF(E964&lt;=3,6,IF(E964&lt;=6,5,IF(E964&lt;=9,4,IF(E964&lt;=12,3,IF(E964&lt;=15,2,0))))))</f>
        <v/>
      </c>
      <c r="G964" s="3" t="n"/>
      <c r="H964" s="4">
        <f>IF(I964="Штраф -2",-2,IF(OR(F964="",G964=""),"",F964*G964+IF(J964="",0,J964)))</f>
        <v/>
      </c>
      <c r="I964" s="3" t="n"/>
      <c r="J964" s="3" t="n"/>
      <c r="K964" s="3" t="n"/>
    </row>
    <row r="965">
      <c r="A965" s="3" t="n"/>
      <c r="B965" s="3" t="n"/>
      <c r="C965" s="3" t="n"/>
      <c r="D965" s="3" t="n"/>
      <c r="E965" s="4">
        <f>IF(A965="","",COUNTIFS($A$4:A965,A965,$I$4:I965,"&lt;&gt;Штраф -2",$I$4:I965,"&lt;&gt;ушел на базу"))</f>
        <v/>
      </c>
      <c r="F965" s="4">
        <f>IF(E965="","",IF(E965&lt;=3,6,IF(E965&lt;=6,5,IF(E965&lt;=9,4,IF(E965&lt;=12,3,IF(E965&lt;=15,2,0))))))</f>
        <v/>
      </c>
      <c r="G965" s="3" t="n"/>
      <c r="H965" s="4">
        <f>IF(I965="Штраф -2",-2,IF(OR(F965="",G965=""),"",F965*G965+IF(J965="",0,J965)))</f>
        <v/>
      </c>
      <c r="I965" s="3" t="n"/>
      <c r="J965" s="3" t="n"/>
      <c r="K965" s="3" t="n"/>
    </row>
    <row r="966">
      <c r="A966" s="3" t="n"/>
      <c r="B966" s="3" t="n"/>
      <c r="C966" s="3" t="n"/>
      <c r="D966" s="3" t="n"/>
      <c r="E966" s="4">
        <f>IF(A966="","",COUNTIFS($A$4:A966,A966,$I$4:I966,"&lt;&gt;Штраф -2",$I$4:I966,"&lt;&gt;ушел на базу"))</f>
        <v/>
      </c>
      <c r="F966" s="4">
        <f>IF(E966="","",IF(E966&lt;=3,6,IF(E966&lt;=6,5,IF(E966&lt;=9,4,IF(E966&lt;=12,3,IF(E966&lt;=15,2,0))))))</f>
        <v/>
      </c>
      <c r="G966" s="3" t="n"/>
      <c r="H966" s="4">
        <f>IF(I966="Штраф -2",-2,IF(OR(F966="",G966=""),"",F966*G966+IF(J966="",0,J966)))</f>
        <v/>
      </c>
      <c r="I966" s="3" t="n"/>
      <c r="J966" s="3" t="n"/>
      <c r="K966" s="3" t="n"/>
    </row>
    <row r="967">
      <c r="A967" s="3" t="n"/>
      <c r="B967" s="3" t="n"/>
      <c r="C967" s="3" t="n"/>
      <c r="D967" s="3" t="n"/>
      <c r="E967" s="4">
        <f>IF(A967="","",COUNTIFS($A$4:A967,A967,$I$4:I967,"&lt;&gt;Штраф -2",$I$4:I967,"&lt;&gt;ушел на базу"))</f>
        <v/>
      </c>
      <c r="F967" s="4">
        <f>IF(E967="","",IF(E967&lt;=3,6,IF(E967&lt;=6,5,IF(E967&lt;=9,4,IF(E967&lt;=12,3,IF(E967&lt;=15,2,0))))))</f>
        <v/>
      </c>
      <c r="G967" s="3" t="n"/>
      <c r="H967" s="4">
        <f>IF(I967="Штраф -2",-2,IF(OR(F967="",G967=""),"",F967*G967+IF(J967="",0,J967)))</f>
        <v/>
      </c>
      <c r="I967" s="3" t="n"/>
      <c r="J967" s="3" t="n"/>
      <c r="K967" s="3" t="n"/>
    </row>
    <row r="968">
      <c r="A968" s="3" t="n"/>
      <c r="B968" s="3" t="n"/>
      <c r="C968" s="3" t="n"/>
      <c r="D968" s="3" t="n"/>
      <c r="E968" s="4">
        <f>IF(A968="","",COUNTIFS($A$4:A968,A968,$I$4:I968,"&lt;&gt;Штраф -2",$I$4:I968,"&lt;&gt;ушел на базу"))</f>
        <v/>
      </c>
      <c r="F968" s="4">
        <f>IF(E968="","",IF(E968&lt;=3,6,IF(E968&lt;=6,5,IF(E968&lt;=9,4,IF(E968&lt;=12,3,IF(E968&lt;=15,2,0))))))</f>
        <v/>
      </c>
      <c r="G968" s="3" t="n"/>
      <c r="H968" s="4">
        <f>IF(I968="Штраф -2",-2,IF(OR(F968="",G968=""),"",F968*G968+IF(J968="",0,J968)))</f>
        <v/>
      </c>
      <c r="I968" s="3" t="n"/>
      <c r="J968" s="3" t="n"/>
      <c r="K968" s="3" t="n"/>
    </row>
    <row r="969">
      <c r="A969" s="3" t="n"/>
      <c r="B969" s="3" t="n"/>
      <c r="C969" s="3" t="n"/>
      <c r="D969" s="3" t="n"/>
      <c r="E969" s="4">
        <f>IF(A969="","",COUNTIFS($A$4:A969,A969,$I$4:I969,"&lt;&gt;Штраф -2",$I$4:I969,"&lt;&gt;ушел на базу"))</f>
        <v/>
      </c>
      <c r="F969" s="4">
        <f>IF(E969="","",IF(E969&lt;=3,6,IF(E969&lt;=6,5,IF(E969&lt;=9,4,IF(E969&lt;=12,3,IF(E969&lt;=15,2,0))))))</f>
        <v/>
      </c>
      <c r="G969" s="3" t="n"/>
      <c r="H969" s="4">
        <f>IF(I969="Штраф -2",-2,IF(OR(F969="",G969=""),"",F969*G969+IF(J969="",0,J969)))</f>
        <v/>
      </c>
      <c r="I969" s="3" t="n"/>
      <c r="J969" s="3" t="n"/>
      <c r="K969" s="3" t="n"/>
    </row>
    <row r="970">
      <c r="A970" s="3" t="n"/>
      <c r="B970" s="3" t="n"/>
      <c r="C970" s="3" t="n"/>
      <c r="D970" s="3" t="n"/>
      <c r="E970" s="4">
        <f>IF(A970="","",COUNTIFS($A$4:A970,A970,$I$4:I970,"&lt;&gt;Штраф -2",$I$4:I970,"&lt;&gt;ушел на базу"))</f>
        <v/>
      </c>
      <c r="F970" s="4">
        <f>IF(E970="","",IF(E970&lt;=3,6,IF(E970&lt;=6,5,IF(E970&lt;=9,4,IF(E970&lt;=12,3,IF(E970&lt;=15,2,0))))))</f>
        <v/>
      </c>
      <c r="G970" s="3" t="n"/>
      <c r="H970" s="4">
        <f>IF(I970="Штраф -2",-2,IF(OR(F970="",G970=""),"",F970*G970+IF(J970="",0,J970)))</f>
        <v/>
      </c>
      <c r="I970" s="3" t="n"/>
      <c r="J970" s="3" t="n"/>
      <c r="K970" s="3" t="n"/>
    </row>
    <row r="971">
      <c r="A971" s="3" t="n"/>
      <c r="B971" s="3" t="n"/>
      <c r="C971" s="3" t="n"/>
      <c r="D971" s="3" t="n"/>
      <c r="E971" s="4">
        <f>IF(A971="","",COUNTIFS($A$4:A971,A971,$I$4:I971,"&lt;&gt;Штраф -2",$I$4:I971,"&lt;&gt;ушел на базу"))</f>
        <v/>
      </c>
      <c r="F971" s="4">
        <f>IF(E971="","",IF(E971&lt;=3,6,IF(E971&lt;=6,5,IF(E971&lt;=9,4,IF(E971&lt;=12,3,IF(E971&lt;=15,2,0))))))</f>
        <v/>
      </c>
      <c r="G971" s="3" t="n"/>
      <c r="H971" s="4">
        <f>IF(I971="Штраф -2",-2,IF(OR(F971="",G971=""),"",F971*G971+IF(J971="",0,J971)))</f>
        <v/>
      </c>
      <c r="I971" s="3" t="n"/>
      <c r="J971" s="3" t="n"/>
      <c r="K971" s="3" t="n"/>
    </row>
    <row r="972">
      <c r="A972" s="3" t="n"/>
      <c r="B972" s="3" t="n"/>
      <c r="C972" s="3" t="n"/>
      <c r="D972" s="3" t="n"/>
      <c r="E972" s="4">
        <f>IF(A972="","",COUNTIFS($A$4:A972,A972,$I$4:I972,"&lt;&gt;Штраф -2",$I$4:I972,"&lt;&gt;ушел на базу"))</f>
        <v/>
      </c>
      <c r="F972" s="4">
        <f>IF(E972="","",IF(E972&lt;=3,6,IF(E972&lt;=6,5,IF(E972&lt;=9,4,IF(E972&lt;=12,3,IF(E972&lt;=15,2,0))))))</f>
        <v/>
      </c>
      <c r="G972" s="3" t="n"/>
      <c r="H972" s="4">
        <f>IF(I972="Штраф -2",-2,IF(OR(F972="",G972=""),"",F972*G972+IF(J972="",0,J972)))</f>
        <v/>
      </c>
      <c r="I972" s="3" t="n"/>
      <c r="J972" s="3" t="n"/>
      <c r="K972" s="3" t="n"/>
    </row>
    <row r="973">
      <c r="A973" s="3" t="n"/>
      <c r="B973" s="3" t="n"/>
      <c r="C973" s="3" t="n"/>
      <c r="D973" s="3" t="n"/>
      <c r="E973" s="4">
        <f>IF(A973="","",COUNTIFS($A$4:A973,A973,$I$4:I973,"&lt;&gt;Штраф -2",$I$4:I973,"&lt;&gt;ушел на базу"))</f>
        <v/>
      </c>
      <c r="F973" s="4">
        <f>IF(E973="","",IF(E973&lt;=3,6,IF(E973&lt;=6,5,IF(E973&lt;=9,4,IF(E973&lt;=12,3,IF(E973&lt;=15,2,0))))))</f>
        <v/>
      </c>
      <c r="G973" s="3" t="n"/>
      <c r="H973" s="4">
        <f>IF(I973="Штраф -2",-2,IF(OR(F973="",G973=""),"",F973*G973+IF(J973="",0,J973)))</f>
        <v/>
      </c>
      <c r="I973" s="3" t="n"/>
      <c r="J973" s="3" t="n"/>
      <c r="K973" s="3" t="n"/>
    </row>
    <row r="974">
      <c r="A974" s="3" t="n"/>
      <c r="B974" s="3" t="n"/>
      <c r="C974" s="3" t="n"/>
      <c r="D974" s="3" t="n"/>
      <c r="E974" s="4">
        <f>IF(A974="","",COUNTIFS($A$4:A974,A974,$I$4:I974,"&lt;&gt;Штраф -2",$I$4:I974,"&lt;&gt;ушел на базу"))</f>
        <v/>
      </c>
      <c r="F974" s="4">
        <f>IF(E974="","",IF(E974&lt;=3,6,IF(E974&lt;=6,5,IF(E974&lt;=9,4,IF(E974&lt;=12,3,IF(E974&lt;=15,2,0))))))</f>
        <v/>
      </c>
      <c r="G974" s="3" t="n"/>
      <c r="H974" s="4">
        <f>IF(I974="Штраф -2",-2,IF(OR(F974="",G974=""),"",F974*G974+IF(J974="",0,J974)))</f>
        <v/>
      </c>
      <c r="I974" s="3" t="n"/>
      <c r="J974" s="3" t="n"/>
      <c r="K974" s="3" t="n"/>
    </row>
    <row r="975">
      <c r="A975" s="3" t="n"/>
      <c r="B975" s="3" t="n"/>
      <c r="C975" s="3" t="n"/>
      <c r="D975" s="3" t="n"/>
      <c r="E975" s="4">
        <f>IF(A975="","",COUNTIFS($A$4:A975,A975,$I$4:I975,"&lt;&gt;Штраф -2",$I$4:I975,"&lt;&gt;ушел на базу"))</f>
        <v/>
      </c>
      <c r="F975" s="4">
        <f>IF(E975="","",IF(E975&lt;=3,6,IF(E975&lt;=6,5,IF(E975&lt;=9,4,IF(E975&lt;=12,3,IF(E975&lt;=15,2,0))))))</f>
        <v/>
      </c>
      <c r="G975" s="3" t="n"/>
      <c r="H975" s="4">
        <f>IF(I975="Штраф -2",-2,IF(OR(F975="",G975=""),"",F975*G975+IF(J975="",0,J975)))</f>
        <v/>
      </c>
      <c r="I975" s="3" t="n"/>
      <c r="J975" s="3" t="n"/>
      <c r="K975" s="3" t="n"/>
    </row>
    <row r="976">
      <c r="A976" s="3" t="n"/>
      <c r="B976" s="3" t="n"/>
      <c r="C976" s="3" t="n"/>
      <c r="D976" s="3" t="n"/>
      <c r="E976" s="4">
        <f>IF(A976="","",COUNTIFS($A$4:A976,A976,$I$4:I976,"&lt;&gt;Штраф -2",$I$4:I976,"&lt;&gt;ушел на базу"))</f>
        <v/>
      </c>
      <c r="F976" s="4">
        <f>IF(E976="","",IF(E976&lt;=3,6,IF(E976&lt;=6,5,IF(E976&lt;=9,4,IF(E976&lt;=12,3,IF(E976&lt;=15,2,0))))))</f>
        <v/>
      </c>
      <c r="G976" s="3" t="n"/>
      <c r="H976" s="4">
        <f>IF(I976="Штраф -2",-2,IF(OR(F976="",G976=""),"",F976*G976+IF(J976="",0,J976)))</f>
        <v/>
      </c>
      <c r="I976" s="3" t="n"/>
      <c r="J976" s="3" t="n"/>
      <c r="K976" s="3" t="n"/>
    </row>
    <row r="977">
      <c r="A977" s="3" t="n"/>
      <c r="B977" s="3" t="n"/>
      <c r="C977" s="3" t="n"/>
      <c r="D977" s="3" t="n"/>
      <c r="E977" s="4">
        <f>IF(A977="","",COUNTIFS($A$4:A977,A977,$I$4:I977,"&lt;&gt;Штраф -2",$I$4:I977,"&lt;&gt;ушел на базу"))</f>
        <v/>
      </c>
      <c r="F977" s="4">
        <f>IF(E977="","",IF(E977&lt;=3,6,IF(E977&lt;=6,5,IF(E977&lt;=9,4,IF(E977&lt;=12,3,IF(E977&lt;=15,2,0))))))</f>
        <v/>
      </c>
      <c r="G977" s="3" t="n"/>
      <c r="H977" s="4">
        <f>IF(I977="Штраф -2",-2,IF(OR(F977="",G977=""),"",F977*G977+IF(J977="",0,J977)))</f>
        <v/>
      </c>
      <c r="I977" s="3" t="n"/>
      <c r="J977" s="3" t="n"/>
      <c r="K977" s="3" t="n"/>
    </row>
    <row r="978">
      <c r="A978" s="3" t="n"/>
      <c r="B978" s="3" t="n"/>
      <c r="C978" s="3" t="n"/>
      <c r="D978" s="3" t="n"/>
      <c r="E978" s="4">
        <f>IF(A978="","",COUNTIFS($A$4:A978,A978,$I$4:I978,"&lt;&gt;Штраф -2",$I$4:I978,"&lt;&gt;ушел на базу"))</f>
        <v/>
      </c>
      <c r="F978" s="4">
        <f>IF(E978="","",IF(E978&lt;=3,6,IF(E978&lt;=6,5,IF(E978&lt;=9,4,IF(E978&lt;=12,3,IF(E978&lt;=15,2,0))))))</f>
        <v/>
      </c>
      <c r="G978" s="3" t="n"/>
      <c r="H978" s="4">
        <f>IF(I978="Штраф -2",-2,IF(OR(F978="",G978=""),"",F978*G978+IF(J978="",0,J978)))</f>
        <v/>
      </c>
      <c r="I978" s="3" t="n"/>
      <c r="J978" s="3" t="n"/>
      <c r="K978" s="3" t="n"/>
    </row>
    <row r="979">
      <c r="A979" s="3" t="n"/>
      <c r="B979" s="3" t="n"/>
      <c r="C979" s="3" t="n"/>
      <c r="D979" s="3" t="n"/>
      <c r="E979" s="4">
        <f>IF(A979="","",COUNTIFS($A$4:A979,A979,$I$4:I979,"&lt;&gt;Штраф -2",$I$4:I979,"&lt;&gt;ушел на базу"))</f>
        <v/>
      </c>
      <c r="F979" s="4">
        <f>IF(E979="","",IF(E979&lt;=3,6,IF(E979&lt;=6,5,IF(E979&lt;=9,4,IF(E979&lt;=12,3,IF(E979&lt;=15,2,0))))))</f>
        <v/>
      </c>
      <c r="G979" s="3" t="n"/>
      <c r="H979" s="4">
        <f>IF(I979="Штраф -2",-2,IF(OR(F979="",G979=""),"",F979*G979+IF(J979="",0,J979)))</f>
        <v/>
      </c>
      <c r="I979" s="3" t="n"/>
      <c r="J979" s="3" t="n"/>
      <c r="K979" s="3" t="n"/>
    </row>
    <row r="980">
      <c r="A980" s="3" t="n"/>
      <c r="B980" s="3" t="n"/>
      <c r="C980" s="3" t="n"/>
      <c r="D980" s="3" t="n"/>
      <c r="E980" s="4">
        <f>IF(A980="","",COUNTIFS($A$4:A980,A980,$I$4:I980,"&lt;&gt;Штраф -2",$I$4:I980,"&lt;&gt;ушел на базу"))</f>
        <v/>
      </c>
      <c r="F980" s="4">
        <f>IF(E980="","",IF(E980&lt;=3,6,IF(E980&lt;=6,5,IF(E980&lt;=9,4,IF(E980&lt;=12,3,IF(E980&lt;=15,2,0))))))</f>
        <v/>
      </c>
      <c r="G980" s="3" t="n"/>
      <c r="H980" s="4">
        <f>IF(I980="Штраф -2",-2,IF(OR(F980="",G980=""),"",F980*G980+IF(J980="",0,J980)))</f>
        <v/>
      </c>
      <c r="I980" s="3" t="n"/>
      <c r="J980" s="3" t="n"/>
      <c r="K980" s="3" t="n"/>
    </row>
    <row r="981">
      <c r="A981" s="3" t="n"/>
      <c r="B981" s="3" t="n"/>
      <c r="C981" s="3" t="n"/>
      <c r="D981" s="3" t="n"/>
      <c r="E981" s="4">
        <f>IF(A981="","",COUNTIFS($A$4:A981,A981,$I$4:I981,"&lt;&gt;Штраф -2",$I$4:I981,"&lt;&gt;ушел на базу"))</f>
        <v/>
      </c>
      <c r="F981" s="4">
        <f>IF(E981="","",IF(E981&lt;=3,6,IF(E981&lt;=6,5,IF(E981&lt;=9,4,IF(E981&lt;=12,3,IF(E981&lt;=15,2,0))))))</f>
        <v/>
      </c>
      <c r="G981" s="3" t="n"/>
      <c r="H981" s="4">
        <f>IF(I981="Штраф -2",-2,IF(OR(F981="",G981=""),"",F981*G981+IF(J981="",0,J981)))</f>
        <v/>
      </c>
      <c r="I981" s="3" t="n"/>
      <c r="J981" s="3" t="n"/>
      <c r="K981" s="3" t="n"/>
    </row>
    <row r="982">
      <c r="A982" s="3" t="n"/>
      <c r="B982" s="3" t="n"/>
      <c r="C982" s="3" t="n"/>
      <c r="D982" s="3" t="n"/>
      <c r="E982" s="4">
        <f>IF(A982="","",COUNTIFS($A$4:A982,A982,$I$4:I982,"&lt;&gt;Штраф -2",$I$4:I982,"&lt;&gt;ушел на базу"))</f>
        <v/>
      </c>
      <c r="F982" s="4">
        <f>IF(E982="","",IF(E982&lt;=3,6,IF(E982&lt;=6,5,IF(E982&lt;=9,4,IF(E982&lt;=12,3,IF(E982&lt;=15,2,0))))))</f>
        <v/>
      </c>
      <c r="G982" s="3" t="n"/>
      <c r="H982" s="4">
        <f>IF(I982="Штраф -2",-2,IF(OR(F982="",G982=""),"",F982*G982+IF(J982="",0,J982)))</f>
        <v/>
      </c>
      <c r="I982" s="3" t="n"/>
      <c r="J982" s="3" t="n"/>
      <c r="K982" s="3" t="n"/>
    </row>
    <row r="983">
      <c r="A983" s="3" t="n"/>
      <c r="B983" s="3" t="n"/>
      <c r="C983" s="3" t="n"/>
      <c r="D983" s="3" t="n"/>
      <c r="E983" s="4">
        <f>IF(A983="","",COUNTIFS($A$4:A983,A983,$I$4:I983,"&lt;&gt;Штраф -2",$I$4:I983,"&lt;&gt;ушел на базу"))</f>
        <v/>
      </c>
      <c r="F983" s="4">
        <f>IF(E983="","",IF(E983&lt;=3,6,IF(E983&lt;=6,5,IF(E983&lt;=9,4,IF(E983&lt;=12,3,IF(E983&lt;=15,2,0))))))</f>
        <v/>
      </c>
      <c r="G983" s="3" t="n"/>
      <c r="H983" s="4">
        <f>IF(I983="Штраф -2",-2,IF(OR(F983="",G983=""),"",F983*G983+IF(J983="",0,J983)))</f>
        <v/>
      </c>
      <c r="I983" s="3" t="n"/>
      <c r="J983" s="3" t="n"/>
      <c r="K983" s="3" t="n"/>
    </row>
    <row r="984">
      <c r="A984" s="3" t="n"/>
      <c r="B984" s="3" t="n"/>
      <c r="C984" s="3" t="n"/>
      <c r="D984" s="3" t="n"/>
      <c r="E984" s="4">
        <f>IF(A984="","",COUNTIFS($A$4:A984,A984,$I$4:I984,"&lt;&gt;Штраф -2",$I$4:I984,"&lt;&gt;ушел на базу"))</f>
        <v/>
      </c>
      <c r="F984" s="4">
        <f>IF(E984="","",IF(E984&lt;=3,6,IF(E984&lt;=6,5,IF(E984&lt;=9,4,IF(E984&lt;=12,3,IF(E984&lt;=15,2,0))))))</f>
        <v/>
      </c>
      <c r="G984" s="3" t="n"/>
      <c r="H984" s="4">
        <f>IF(I984="Штраф -2",-2,IF(OR(F984="",G984=""),"",F984*G984+IF(J984="",0,J984)))</f>
        <v/>
      </c>
      <c r="I984" s="3" t="n"/>
      <c r="J984" s="3" t="n"/>
      <c r="K984" s="3" t="n"/>
    </row>
    <row r="985">
      <c r="A985" s="3" t="n"/>
      <c r="B985" s="3" t="n"/>
      <c r="C985" s="3" t="n"/>
      <c r="D985" s="3" t="n"/>
      <c r="E985" s="4">
        <f>IF(A985="","",COUNTIFS($A$4:A985,A985,$I$4:I985,"&lt;&gt;Штраф -2",$I$4:I985,"&lt;&gt;ушел на базу"))</f>
        <v/>
      </c>
      <c r="F985" s="4">
        <f>IF(E985="","",IF(E985&lt;=3,6,IF(E985&lt;=6,5,IF(E985&lt;=9,4,IF(E985&lt;=12,3,IF(E985&lt;=15,2,0))))))</f>
        <v/>
      </c>
      <c r="G985" s="3" t="n"/>
      <c r="H985" s="4">
        <f>IF(I985="Штраф -2",-2,IF(OR(F985="",G985=""),"",F985*G985+IF(J985="",0,J985)))</f>
        <v/>
      </c>
      <c r="I985" s="3" t="n"/>
      <c r="J985" s="3" t="n"/>
      <c r="K985" s="3" t="n"/>
    </row>
    <row r="986">
      <c r="A986" s="3" t="n"/>
      <c r="B986" s="3" t="n"/>
      <c r="C986" s="3" t="n"/>
      <c r="D986" s="3" t="n"/>
      <c r="E986" s="4">
        <f>IF(A986="","",COUNTIFS($A$4:A986,A986,$I$4:I986,"&lt;&gt;Штраф -2",$I$4:I986,"&lt;&gt;ушел на базу"))</f>
        <v/>
      </c>
      <c r="F986" s="4">
        <f>IF(E986="","",IF(E986&lt;=3,6,IF(E986&lt;=6,5,IF(E986&lt;=9,4,IF(E986&lt;=12,3,IF(E986&lt;=15,2,0))))))</f>
        <v/>
      </c>
      <c r="G986" s="3" t="n"/>
      <c r="H986" s="4">
        <f>IF(I986="Штраф -2",-2,IF(OR(F986="",G986=""),"",F986*G986+IF(J986="",0,J986)))</f>
        <v/>
      </c>
      <c r="I986" s="3" t="n"/>
      <c r="J986" s="3" t="n"/>
      <c r="K986" s="3" t="n"/>
    </row>
    <row r="987">
      <c r="A987" s="3" t="n"/>
      <c r="B987" s="3" t="n"/>
      <c r="C987" s="3" t="n"/>
      <c r="D987" s="3" t="n"/>
      <c r="E987" s="4">
        <f>IF(A987="","",COUNTIFS($A$4:A987,A987,$I$4:I987,"&lt;&gt;Штраф -2",$I$4:I987,"&lt;&gt;ушел на базу"))</f>
        <v/>
      </c>
      <c r="F987" s="4">
        <f>IF(E987="","",IF(E987&lt;=3,6,IF(E987&lt;=6,5,IF(E987&lt;=9,4,IF(E987&lt;=12,3,IF(E987&lt;=15,2,0))))))</f>
        <v/>
      </c>
      <c r="G987" s="3" t="n"/>
      <c r="H987" s="4">
        <f>IF(I987="Штраф -2",-2,IF(OR(F987="",G987=""),"",F987*G987+IF(J987="",0,J987)))</f>
        <v/>
      </c>
      <c r="I987" s="3" t="n"/>
      <c r="J987" s="3" t="n"/>
      <c r="K987" s="3" t="n"/>
    </row>
    <row r="988">
      <c r="A988" s="3" t="n"/>
      <c r="B988" s="3" t="n"/>
      <c r="C988" s="3" t="n"/>
      <c r="D988" s="3" t="n"/>
      <c r="E988" s="4">
        <f>IF(A988="","",COUNTIFS($A$4:A988,A988,$I$4:I988,"&lt;&gt;Штраф -2",$I$4:I988,"&lt;&gt;ушел на базу"))</f>
        <v/>
      </c>
      <c r="F988" s="4">
        <f>IF(E988="","",IF(E988&lt;=3,6,IF(E988&lt;=6,5,IF(E988&lt;=9,4,IF(E988&lt;=12,3,IF(E988&lt;=15,2,0))))))</f>
        <v/>
      </c>
      <c r="G988" s="3" t="n"/>
      <c r="H988" s="4">
        <f>IF(I988="Штраф -2",-2,IF(OR(F988="",G988=""),"",F988*G988+IF(J988="",0,J988)))</f>
        <v/>
      </c>
      <c r="I988" s="3" t="n"/>
      <c r="J988" s="3" t="n"/>
      <c r="K988" s="3" t="n"/>
    </row>
    <row r="989">
      <c r="A989" s="3" t="n"/>
      <c r="B989" s="3" t="n"/>
      <c r="C989" s="3" t="n"/>
      <c r="D989" s="3" t="n"/>
      <c r="E989" s="4">
        <f>IF(A989="","",COUNTIFS($A$4:A989,A989,$I$4:I989,"&lt;&gt;Штраф -2",$I$4:I989,"&lt;&gt;ушел на базу"))</f>
        <v/>
      </c>
      <c r="F989" s="4">
        <f>IF(E989="","",IF(E989&lt;=3,6,IF(E989&lt;=6,5,IF(E989&lt;=9,4,IF(E989&lt;=12,3,IF(E989&lt;=15,2,0))))))</f>
        <v/>
      </c>
      <c r="G989" s="3" t="n"/>
      <c r="H989" s="4">
        <f>IF(I989="Штраф -2",-2,IF(OR(F989="",G989=""),"",F989*G989+IF(J989="",0,J989)))</f>
        <v/>
      </c>
      <c r="I989" s="3" t="n"/>
      <c r="J989" s="3" t="n"/>
      <c r="K989" s="3" t="n"/>
    </row>
    <row r="990">
      <c r="A990" s="3" t="n"/>
      <c r="B990" s="3" t="n"/>
      <c r="C990" s="3" t="n"/>
      <c r="D990" s="3" t="n"/>
      <c r="E990" s="4">
        <f>IF(A990="","",COUNTIFS($A$4:A990,A990,$I$4:I990,"&lt;&gt;Штраф -2",$I$4:I990,"&lt;&gt;ушел на базу"))</f>
        <v/>
      </c>
      <c r="F990" s="4">
        <f>IF(E990="","",IF(E990&lt;=3,6,IF(E990&lt;=6,5,IF(E990&lt;=9,4,IF(E990&lt;=12,3,IF(E990&lt;=15,2,0))))))</f>
        <v/>
      </c>
      <c r="G990" s="3" t="n"/>
      <c r="H990" s="4">
        <f>IF(I990="Штраф -2",-2,IF(OR(F990="",G990=""),"",F990*G990+IF(J990="",0,J990)))</f>
        <v/>
      </c>
      <c r="I990" s="3" t="n"/>
      <c r="J990" s="3" t="n"/>
      <c r="K990" s="3" t="n"/>
    </row>
    <row r="991">
      <c r="A991" s="3" t="n"/>
      <c r="B991" s="3" t="n"/>
      <c r="C991" s="3" t="n"/>
      <c r="D991" s="3" t="n"/>
      <c r="E991" s="4">
        <f>IF(A991="","",COUNTIFS($A$4:A991,A991,$I$4:I991,"&lt;&gt;Штраф -2",$I$4:I991,"&lt;&gt;ушел на базу"))</f>
        <v/>
      </c>
      <c r="F991" s="4">
        <f>IF(E991="","",IF(E991&lt;=3,6,IF(E991&lt;=6,5,IF(E991&lt;=9,4,IF(E991&lt;=12,3,IF(E991&lt;=15,2,0))))))</f>
        <v/>
      </c>
      <c r="G991" s="3" t="n"/>
      <c r="H991" s="4">
        <f>IF(I991="Штраф -2",-2,IF(OR(F991="",G991=""),"",F991*G991+IF(J991="",0,J991)))</f>
        <v/>
      </c>
      <c r="I991" s="3" t="n"/>
      <c r="J991" s="3" t="n"/>
      <c r="K991" s="3" t="n"/>
    </row>
    <row r="992">
      <c r="A992" s="3" t="n"/>
      <c r="B992" s="3" t="n"/>
      <c r="C992" s="3" t="n"/>
      <c r="D992" s="3" t="n"/>
      <c r="E992" s="4">
        <f>IF(A992="","",COUNTIFS($A$4:A992,A992,$I$4:I992,"&lt;&gt;Штраф -2",$I$4:I992,"&lt;&gt;ушел на базу"))</f>
        <v/>
      </c>
      <c r="F992" s="4">
        <f>IF(E992="","",IF(E992&lt;=3,6,IF(E992&lt;=6,5,IF(E992&lt;=9,4,IF(E992&lt;=12,3,IF(E992&lt;=15,2,0))))))</f>
        <v/>
      </c>
      <c r="G992" s="3" t="n"/>
      <c r="H992" s="4">
        <f>IF(I992="Штраф -2",-2,IF(OR(F992="",G992=""),"",F992*G992+IF(J992="",0,J992)))</f>
        <v/>
      </c>
      <c r="I992" s="3" t="n"/>
      <c r="J992" s="3" t="n"/>
      <c r="K992" s="3" t="n"/>
    </row>
    <row r="993">
      <c r="A993" s="3" t="n"/>
      <c r="B993" s="3" t="n"/>
      <c r="C993" s="3" t="n"/>
      <c r="D993" s="3" t="n"/>
      <c r="E993" s="4">
        <f>IF(A993="","",COUNTIFS($A$4:A993,A993,$I$4:I993,"&lt;&gt;Штраф -2",$I$4:I993,"&lt;&gt;ушел на базу"))</f>
        <v/>
      </c>
      <c r="F993" s="4">
        <f>IF(E993="","",IF(E993&lt;=3,6,IF(E993&lt;=6,5,IF(E993&lt;=9,4,IF(E993&lt;=12,3,IF(E993&lt;=15,2,0))))))</f>
        <v/>
      </c>
      <c r="G993" s="3" t="n"/>
      <c r="H993" s="4">
        <f>IF(I993="Штраф -2",-2,IF(OR(F993="",G993=""),"",F993*G993+IF(J993="",0,J993)))</f>
        <v/>
      </c>
      <c r="I993" s="3" t="n"/>
      <c r="J993" s="3" t="n"/>
      <c r="K993" s="3" t="n"/>
    </row>
    <row r="994">
      <c r="A994" s="3" t="n"/>
      <c r="B994" s="3" t="n"/>
      <c r="C994" s="3" t="n"/>
      <c r="D994" s="3" t="n"/>
      <c r="E994" s="4">
        <f>IF(A994="","",COUNTIFS($A$4:A994,A994,$I$4:I994,"&lt;&gt;Штраф -2",$I$4:I994,"&lt;&gt;ушел на базу"))</f>
        <v/>
      </c>
      <c r="F994" s="4">
        <f>IF(E994="","",IF(E994&lt;=3,6,IF(E994&lt;=6,5,IF(E994&lt;=9,4,IF(E994&lt;=12,3,IF(E994&lt;=15,2,0))))))</f>
        <v/>
      </c>
      <c r="G994" s="3" t="n"/>
      <c r="H994" s="4">
        <f>IF(I994="Штраф -2",-2,IF(OR(F994="",G994=""),"",F994*G994+IF(J994="",0,J994)))</f>
        <v/>
      </c>
      <c r="I994" s="3" t="n"/>
      <c r="J994" s="3" t="n"/>
      <c r="K994" s="3" t="n"/>
    </row>
    <row r="995">
      <c r="A995" s="3" t="n"/>
      <c r="B995" s="3" t="n"/>
      <c r="C995" s="3" t="n"/>
      <c r="D995" s="3" t="n"/>
      <c r="E995" s="4">
        <f>IF(A995="","",COUNTIFS($A$4:A995,A995,$I$4:I995,"&lt;&gt;Штраф -2",$I$4:I995,"&lt;&gt;ушел на базу"))</f>
        <v/>
      </c>
      <c r="F995" s="4">
        <f>IF(E995="","",IF(E995&lt;=3,6,IF(E995&lt;=6,5,IF(E995&lt;=9,4,IF(E995&lt;=12,3,IF(E995&lt;=15,2,0))))))</f>
        <v/>
      </c>
      <c r="G995" s="3" t="n"/>
      <c r="H995" s="4">
        <f>IF(I995="Штраф -2",-2,IF(OR(F995="",G995=""),"",F995*G995+IF(J995="",0,J995)))</f>
        <v/>
      </c>
      <c r="I995" s="3" t="n"/>
      <c r="J995" s="3" t="n"/>
      <c r="K995" s="3" t="n"/>
    </row>
    <row r="996">
      <c r="A996" s="3" t="n"/>
      <c r="B996" s="3" t="n"/>
      <c r="C996" s="3" t="n"/>
      <c r="D996" s="3" t="n"/>
      <c r="E996" s="4">
        <f>IF(A996="","",COUNTIFS($A$4:A996,A996,$I$4:I996,"&lt;&gt;Штраф -2",$I$4:I996,"&lt;&gt;ушел на базу"))</f>
        <v/>
      </c>
      <c r="F996" s="4">
        <f>IF(E996="","",IF(E996&lt;=3,6,IF(E996&lt;=6,5,IF(E996&lt;=9,4,IF(E996&lt;=12,3,IF(E996&lt;=15,2,0))))))</f>
        <v/>
      </c>
      <c r="G996" s="3" t="n"/>
      <c r="H996" s="4">
        <f>IF(I996="Штраф -2",-2,IF(OR(F996="",G996=""),"",F996*G996+IF(J996="",0,J996)))</f>
        <v/>
      </c>
      <c r="I996" s="3" t="n"/>
      <c r="J996" s="3" t="n"/>
      <c r="K996" s="3" t="n"/>
    </row>
    <row r="997">
      <c r="A997" s="3" t="n"/>
      <c r="B997" s="3" t="n"/>
      <c r="C997" s="3" t="n"/>
      <c r="D997" s="3" t="n"/>
      <c r="E997" s="4">
        <f>IF(A997="","",COUNTIFS($A$4:A997,A997,$I$4:I997,"&lt;&gt;Штраф -2",$I$4:I997,"&lt;&gt;ушел на базу"))</f>
        <v/>
      </c>
      <c r="F997" s="4">
        <f>IF(E997="","",IF(E997&lt;=3,6,IF(E997&lt;=6,5,IF(E997&lt;=9,4,IF(E997&lt;=12,3,IF(E997&lt;=15,2,0))))))</f>
        <v/>
      </c>
      <c r="G997" s="3" t="n"/>
      <c r="H997" s="4">
        <f>IF(I997="Штраф -2",-2,IF(OR(F997="",G997=""),"",F997*G997+IF(J997="",0,J997)))</f>
        <v/>
      </c>
      <c r="I997" s="3" t="n"/>
      <c r="J997" s="3" t="n"/>
      <c r="K997" s="3" t="n"/>
    </row>
    <row r="998">
      <c r="A998" s="3" t="n"/>
      <c r="B998" s="3" t="n"/>
      <c r="C998" s="3" t="n"/>
      <c r="D998" s="3" t="n"/>
      <c r="E998" s="4">
        <f>IF(A998="","",COUNTIFS($A$4:A998,A998,$I$4:I998,"&lt;&gt;Штраф -2",$I$4:I998,"&lt;&gt;ушел на базу"))</f>
        <v/>
      </c>
      <c r="F998" s="4">
        <f>IF(E998="","",IF(E998&lt;=3,6,IF(E998&lt;=6,5,IF(E998&lt;=9,4,IF(E998&lt;=12,3,IF(E998&lt;=15,2,0))))))</f>
        <v/>
      </c>
      <c r="G998" s="3" t="n"/>
      <c r="H998" s="4">
        <f>IF(I998="Штраф -2",-2,IF(OR(F998="",G998=""),"",F998*G998+IF(J998="",0,J998)))</f>
        <v/>
      </c>
      <c r="I998" s="3" t="n"/>
      <c r="J998" s="3" t="n"/>
      <c r="K998" s="3" t="n"/>
    </row>
    <row r="999">
      <c r="A999" s="3" t="n"/>
      <c r="B999" s="3" t="n"/>
      <c r="C999" s="3" t="n"/>
      <c r="D999" s="3" t="n"/>
      <c r="E999" s="4">
        <f>IF(A999="","",COUNTIFS($A$4:A999,A999,$I$4:I999,"&lt;&gt;Штраф -2",$I$4:I999,"&lt;&gt;ушел на базу"))</f>
        <v/>
      </c>
      <c r="F999" s="4">
        <f>IF(E999="","",IF(E999&lt;=3,6,IF(E999&lt;=6,5,IF(E999&lt;=9,4,IF(E999&lt;=12,3,IF(E999&lt;=15,2,0))))))</f>
        <v/>
      </c>
      <c r="G999" s="3" t="n"/>
      <c r="H999" s="4">
        <f>IF(I999="Штраф -2",-2,IF(OR(F999="",G999=""),"",F999*G999+IF(J999="",0,J999)))</f>
        <v/>
      </c>
      <c r="I999" s="3" t="n"/>
      <c r="J999" s="3" t="n"/>
      <c r="K999" s="3" t="n"/>
    </row>
    <row r="1000">
      <c r="A1000" s="3" t="n"/>
      <c r="B1000" s="3" t="n"/>
      <c r="C1000" s="3" t="n"/>
      <c r="D1000" s="3" t="n"/>
      <c r="E1000" s="4">
        <f>IF(A1000="","",COUNTIFS($A$4:A1000,A1000,$I$4:I1000,"&lt;&gt;Штраф -2",$I$4:I1000,"&lt;&gt;ушел на базу"))</f>
        <v/>
      </c>
      <c r="F1000" s="4">
        <f>IF(E1000="","",IF(E1000&lt;=3,6,IF(E1000&lt;=6,5,IF(E1000&lt;=9,4,IF(E1000&lt;=12,3,IF(E1000&lt;=15,2,0))))))</f>
        <v/>
      </c>
      <c r="G1000" s="3" t="n"/>
      <c r="H1000" s="4">
        <f>IF(I1000="Штраф -2",-2,IF(OR(F1000="",G1000=""),"",F1000*G1000+IF(J1000="",0,J1000)))</f>
        <v/>
      </c>
      <c r="I1000" s="3" t="n"/>
      <c r="J1000" s="3" t="n"/>
      <c r="K1000" s="3" t="n"/>
    </row>
    <row r="1001">
      <c r="A1001" s="3" t="n"/>
      <c r="B1001" s="3" t="n"/>
      <c r="C1001" s="3" t="n"/>
      <c r="D1001" s="3" t="n"/>
      <c r="E1001" s="4">
        <f>IF(A1001="","",COUNTIFS($A$4:A1001,A1001,$I$4:I1001,"&lt;&gt;Штраф -2",$I$4:I1001,"&lt;&gt;ушел на базу"))</f>
        <v/>
      </c>
      <c r="F1001" s="4">
        <f>IF(E1001="","",IF(E1001&lt;=3,6,IF(E1001&lt;=6,5,IF(E1001&lt;=9,4,IF(E1001&lt;=12,3,IF(E1001&lt;=15,2,0))))))</f>
        <v/>
      </c>
      <c r="G1001" s="3" t="n"/>
      <c r="H1001" s="4">
        <f>IF(I1001="Штраф -2",-2,IF(OR(F1001="",G1001=""),"",F1001*G1001+IF(J1001="",0,J1001)))</f>
        <v/>
      </c>
      <c r="I1001" s="3" t="n"/>
      <c r="J1001" s="3" t="n"/>
      <c r="K1001" s="3" t="n"/>
    </row>
    <row r="1002">
      <c r="A1002" s="3" t="n"/>
      <c r="B1002" s="3" t="n"/>
      <c r="C1002" s="3" t="n"/>
      <c r="D1002" s="3" t="n"/>
      <c r="E1002" s="4">
        <f>IF(A1002="","",COUNTIFS($A$4:A1002,A1002,$I$4:I1002,"&lt;&gt;Штраф -2",$I$4:I1002,"&lt;&gt;ушел на базу"))</f>
        <v/>
      </c>
      <c r="F1002" s="4">
        <f>IF(E1002="","",IF(E1002&lt;=3,6,IF(E1002&lt;=6,5,IF(E1002&lt;=9,4,IF(E1002&lt;=12,3,IF(E1002&lt;=15,2,0))))))</f>
        <v/>
      </c>
      <c r="G1002" s="3" t="n"/>
      <c r="H1002" s="4">
        <f>IF(I1002="Штраф -2",-2,IF(OR(F1002="",G1002=""),"",F1002*G1002+IF(J1002="",0,J1002)))</f>
        <v/>
      </c>
      <c r="I1002" s="3" t="n"/>
      <c r="J1002" s="3" t="n"/>
      <c r="K1002" s="3" t="n"/>
    </row>
    <row r="1003">
      <c r="A1003" s="3" t="n"/>
      <c r="B1003" s="3" t="n"/>
      <c r="C1003" s="3" t="n"/>
      <c r="D1003" s="3" t="n"/>
      <c r="E1003" s="4">
        <f>IF(A1003="","",COUNTIFS($A$4:A1003,A1003,$I$4:I1003,"&lt;&gt;Штраф -2",$I$4:I1003,"&lt;&gt;ушел на базу"))</f>
        <v/>
      </c>
      <c r="F1003" s="4">
        <f>IF(E1003="","",IF(E1003&lt;=3,6,IF(E1003&lt;=6,5,IF(E1003&lt;=9,4,IF(E1003&lt;=12,3,IF(E1003&lt;=15,2,0))))))</f>
        <v/>
      </c>
      <c r="G1003" s="3" t="n"/>
      <c r="H1003" s="4">
        <f>IF(I1003="Штраф -2",-2,IF(OR(F1003="",G1003=""),"",F1003*G1003+IF(J1003="",0,J1003)))</f>
        <v/>
      </c>
      <c r="I1003" s="3" t="n"/>
      <c r="J1003" s="3" t="n"/>
      <c r="K1003" s="3" t="n"/>
    </row>
    <row r="1004">
      <c r="A1004" s="3" t="n"/>
      <c r="B1004" s="3" t="n"/>
      <c r="C1004" s="3" t="n"/>
      <c r="D1004" s="3" t="n"/>
      <c r="E1004" s="4">
        <f>IF(A1004="","",COUNTIFS($A$4:A1004,A1004,$I$4:I1004,"&lt;&gt;Штраф -2",$I$4:I1004,"&lt;&gt;ушел на базу"))</f>
        <v/>
      </c>
      <c r="F1004" s="4">
        <f>IF(E1004="","",IF(E1004&lt;=3,6,IF(E1004&lt;=6,5,IF(E1004&lt;=9,4,IF(E1004&lt;=12,3,IF(E1004&lt;=15,2,0))))))</f>
        <v/>
      </c>
      <c r="G1004" s="3" t="n"/>
      <c r="H1004" s="4">
        <f>IF(I1004="Штраф -2",-2,IF(OR(F1004="",G1004=""),"",F1004*G1004+IF(J1004="",0,J1004)))</f>
        <v/>
      </c>
      <c r="I1004" s="3" t="n"/>
      <c r="J1004" s="3" t="n"/>
      <c r="K1004" s="3" t="n"/>
    </row>
    <row r="1005">
      <c r="A1005" s="3" t="n"/>
      <c r="B1005" s="3" t="n"/>
      <c r="C1005" s="3" t="n"/>
      <c r="D1005" s="3" t="n"/>
      <c r="E1005" s="4">
        <f>IF(A1005="","",COUNTIFS($A$4:A1005,A1005,$I$4:I1005,"&lt;&gt;Штраф -2",$I$4:I1005,"&lt;&gt;ушел на базу"))</f>
        <v/>
      </c>
      <c r="F1005" s="4">
        <f>IF(E1005="","",IF(E1005&lt;=3,6,IF(E1005&lt;=6,5,IF(E1005&lt;=9,4,IF(E1005&lt;=12,3,IF(E1005&lt;=15,2,0))))))</f>
        <v/>
      </c>
      <c r="G1005" s="3" t="n"/>
      <c r="H1005" s="4">
        <f>IF(I1005="Штраф -2",-2,IF(OR(F1005="",G1005=""),"",F1005*G1005+IF(J1005="",0,J1005)))</f>
        <v/>
      </c>
      <c r="I1005" s="3" t="n"/>
      <c r="J1005" s="3" t="n"/>
      <c r="K1005" s="3" t="n"/>
    </row>
    <row r="1006">
      <c r="A1006" s="3" t="n"/>
      <c r="B1006" s="3" t="n"/>
      <c r="C1006" s="3" t="n"/>
      <c r="D1006" s="3" t="n"/>
      <c r="E1006" s="4">
        <f>IF(A1006="","",COUNTIFS($A$4:A1006,A1006,$I$4:I1006,"&lt;&gt;Штраф -2",$I$4:I1006,"&lt;&gt;ушел на базу"))</f>
        <v/>
      </c>
      <c r="F1006" s="4">
        <f>IF(E1006="","",IF(E1006&lt;=3,6,IF(E1006&lt;=6,5,IF(E1006&lt;=9,4,IF(E1006&lt;=12,3,IF(E1006&lt;=15,2,0))))))</f>
        <v/>
      </c>
      <c r="G1006" s="3" t="n"/>
      <c r="H1006" s="4">
        <f>IF(I1006="Штраф -2",-2,IF(OR(F1006="",G1006=""),"",F1006*G1006+IF(J1006="",0,J1006)))</f>
        <v/>
      </c>
      <c r="I1006" s="3" t="n"/>
      <c r="J1006" s="3" t="n"/>
      <c r="K1006" s="3" t="n"/>
    </row>
    <row r="1007">
      <c r="A1007" s="3" t="n"/>
      <c r="B1007" s="3" t="n"/>
      <c r="C1007" s="3" t="n"/>
      <c r="D1007" s="3" t="n"/>
      <c r="E1007" s="4">
        <f>IF(A1007="","",COUNTIFS($A$4:A1007,A1007,$I$4:I1007,"&lt;&gt;Штраф -2",$I$4:I1007,"&lt;&gt;ушел на базу"))</f>
        <v/>
      </c>
      <c r="F1007" s="4">
        <f>IF(E1007="","",IF(E1007&lt;=3,6,IF(E1007&lt;=6,5,IF(E1007&lt;=9,4,IF(E1007&lt;=12,3,IF(E1007&lt;=15,2,0))))))</f>
        <v/>
      </c>
      <c r="G1007" s="3" t="n"/>
      <c r="H1007" s="4">
        <f>IF(I1007="Штраф -2",-2,IF(OR(F1007="",G1007=""),"",F1007*G1007+IF(J1007="",0,J1007)))</f>
        <v/>
      </c>
      <c r="I1007" s="3" t="n"/>
      <c r="J1007" s="3" t="n"/>
      <c r="K1007" s="3" t="n"/>
    </row>
    <row r="1008">
      <c r="A1008" s="3" t="n"/>
      <c r="B1008" s="3" t="n"/>
      <c r="C1008" s="3" t="n"/>
      <c r="D1008" s="3" t="n"/>
      <c r="E1008" s="4">
        <f>IF(A1008="","",COUNTIFS($A$4:A1008,A1008,$I$4:I1008,"&lt;&gt;Штраф -2",$I$4:I1008,"&lt;&gt;ушел на базу"))</f>
        <v/>
      </c>
      <c r="F1008" s="4">
        <f>IF(E1008="","",IF(E1008&lt;=3,6,IF(E1008&lt;=6,5,IF(E1008&lt;=9,4,IF(E1008&lt;=12,3,IF(E1008&lt;=15,2,0))))))</f>
        <v/>
      </c>
      <c r="G1008" s="3" t="n"/>
      <c r="H1008" s="4">
        <f>IF(I1008="Штраф -2",-2,IF(OR(F1008="",G1008=""),"",F1008*G1008+IF(J1008="",0,J1008)))</f>
        <v/>
      </c>
      <c r="I1008" s="3" t="n"/>
      <c r="J1008" s="3" t="n"/>
      <c r="K1008" s="3" t="n"/>
    </row>
    <row r="1009">
      <c r="A1009" s="3" t="n"/>
      <c r="B1009" s="3" t="n"/>
      <c r="C1009" s="3" t="n"/>
      <c r="D1009" s="3" t="n"/>
      <c r="E1009" s="4">
        <f>IF(A1009="","",COUNTIFS($A$4:A1009,A1009,$I$4:I1009,"&lt;&gt;Штраф -2",$I$4:I1009,"&lt;&gt;ушел на базу"))</f>
        <v/>
      </c>
      <c r="F1009" s="4">
        <f>IF(E1009="","",IF(E1009&lt;=3,6,IF(E1009&lt;=6,5,IF(E1009&lt;=9,4,IF(E1009&lt;=12,3,IF(E1009&lt;=15,2,0))))))</f>
        <v/>
      </c>
      <c r="G1009" s="3" t="n"/>
      <c r="H1009" s="4">
        <f>IF(I1009="Штраф -2",-2,IF(OR(F1009="",G1009=""),"",F1009*G1009+IF(J1009="",0,J1009)))</f>
        <v/>
      </c>
      <c r="I1009" s="3" t="n"/>
      <c r="J1009" s="3" t="n"/>
      <c r="K1009" s="3" t="n"/>
    </row>
    <row r="1010">
      <c r="A1010" s="3" t="n"/>
      <c r="B1010" s="3" t="n"/>
      <c r="C1010" s="3" t="n"/>
      <c r="D1010" s="3" t="n"/>
      <c r="E1010" s="4">
        <f>IF(A1010="","",COUNTIFS($A$4:A1010,A1010,$I$4:I1010,"&lt;&gt;Штраф -2",$I$4:I1010,"&lt;&gt;ушел на базу"))</f>
        <v/>
      </c>
      <c r="F1010" s="4">
        <f>IF(E1010="","",IF(E1010&lt;=3,6,IF(E1010&lt;=6,5,IF(E1010&lt;=9,4,IF(E1010&lt;=12,3,IF(E1010&lt;=15,2,0))))))</f>
        <v/>
      </c>
      <c r="G1010" s="3" t="n"/>
      <c r="H1010" s="4">
        <f>IF(I1010="Штраф -2",-2,IF(OR(F1010="",G1010=""),"",F1010*G1010+IF(J1010="",0,J1010)))</f>
        <v/>
      </c>
      <c r="I1010" s="3" t="n"/>
      <c r="J1010" s="3" t="n"/>
      <c r="K1010" s="3" t="n"/>
    </row>
    <row r="1011">
      <c r="A1011" s="3" t="n"/>
      <c r="B1011" s="3" t="n"/>
      <c r="C1011" s="3" t="n"/>
      <c r="D1011" s="3" t="n"/>
      <c r="E1011" s="4">
        <f>IF(A1011="","",COUNTIFS($A$4:A1011,A1011,$I$4:I1011,"&lt;&gt;Штраф -2",$I$4:I1011,"&lt;&gt;ушел на базу"))</f>
        <v/>
      </c>
      <c r="F1011" s="4">
        <f>IF(E1011="","",IF(E1011&lt;=3,6,IF(E1011&lt;=6,5,IF(E1011&lt;=9,4,IF(E1011&lt;=12,3,IF(E1011&lt;=15,2,0))))))</f>
        <v/>
      </c>
      <c r="G1011" s="3" t="n"/>
      <c r="H1011" s="4">
        <f>IF(I1011="Штраф -2",-2,IF(OR(F1011="",G1011=""),"",F1011*G1011+IF(J1011="",0,J1011)))</f>
        <v/>
      </c>
      <c r="I1011" s="3" t="n"/>
      <c r="J1011" s="3" t="n"/>
      <c r="K1011" s="3" t="n"/>
    </row>
    <row r="1012">
      <c r="A1012" s="3" t="n"/>
      <c r="B1012" s="3" t="n"/>
      <c r="C1012" s="3" t="n"/>
      <c r="D1012" s="3" t="n"/>
      <c r="E1012" s="4">
        <f>IF(A1012="","",COUNTIFS($A$4:A1012,A1012,$I$4:I1012,"&lt;&gt;Штраф -2",$I$4:I1012,"&lt;&gt;ушел на базу"))</f>
        <v/>
      </c>
      <c r="F1012" s="4">
        <f>IF(E1012="","",IF(E1012&lt;=3,6,IF(E1012&lt;=6,5,IF(E1012&lt;=9,4,IF(E1012&lt;=12,3,IF(E1012&lt;=15,2,0))))))</f>
        <v/>
      </c>
      <c r="G1012" s="3" t="n"/>
      <c r="H1012" s="4">
        <f>IF(I1012="Штраф -2",-2,IF(OR(F1012="",G1012=""),"",F1012*G1012+IF(J1012="",0,J1012)))</f>
        <v/>
      </c>
      <c r="I1012" s="3" t="n"/>
      <c r="J1012" s="3" t="n"/>
      <c r="K1012" s="3" t="n"/>
    </row>
    <row r="1013">
      <c r="A1013" s="3" t="n"/>
      <c r="B1013" s="3" t="n"/>
      <c r="C1013" s="3" t="n"/>
      <c r="D1013" s="3" t="n"/>
      <c r="E1013" s="4">
        <f>IF(A1013="","",COUNTIFS($A$4:A1013,A1013,$I$4:I1013,"&lt;&gt;Штраф -2",$I$4:I1013,"&lt;&gt;ушел на базу"))</f>
        <v/>
      </c>
      <c r="F1013" s="4">
        <f>IF(E1013="","",IF(E1013&lt;=3,6,IF(E1013&lt;=6,5,IF(E1013&lt;=9,4,IF(E1013&lt;=12,3,IF(E1013&lt;=15,2,0))))))</f>
        <v/>
      </c>
      <c r="G1013" s="3" t="n"/>
      <c r="H1013" s="4">
        <f>IF(I1013="Штраф -2",-2,IF(OR(F1013="",G1013=""),"",F1013*G1013+IF(J1013="",0,J1013)))</f>
        <v/>
      </c>
      <c r="I1013" s="3" t="n"/>
      <c r="J1013" s="3" t="n"/>
      <c r="K1013" s="3" t="n"/>
    </row>
    <row r="1014">
      <c r="A1014" s="3" t="n"/>
      <c r="B1014" s="3" t="n"/>
      <c r="C1014" s="3" t="n"/>
      <c r="D1014" s="3" t="n"/>
      <c r="E1014" s="4">
        <f>IF(A1014="","",COUNTIFS($A$4:A1014,A1014,$I$4:I1014,"&lt;&gt;Штраф -2",$I$4:I1014,"&lt;&gt;ушел на базу"))</f>
        <v/>
      </c>
      <c r="F1014" s="4">
        <f>IF(E1014="","",IF(E1014&lt;=3,6,IF(E1014&lt;=6,5,IF(E1014&lt;=9,4,IF(E1014&lt;=12,3,IF(E1014&lt;=15,2,0))))))</f>
        <v/>
      </c>
      <c r="G1014" s="3" t="n"/>
      <c r="H1014" s="4">
        <f>IF(I1014="Штраф -2",-2,IF(OR(F1014="",G1014=""),"",F1014*G1014+IF(J1014="",0,J1014)))</f>
        <v/>
      </c>
      <c r="I1014" s="3" t="n"/>
      <c r="J1014" s="3" t="n"/>
      <c r="K1014" s="3" t="n"/>
    </row>
    <row r="1015">
      <c r="A1015" s="3" t="n"/>
      <c r="B1015" s="3" t="n"/>
      <c r="C1015" s="3" t="n"/>
      <c r="D1015" s="3" t="n"/>
      <c r="E1015" s="4">
        <f>IF(A1015="","",COUNTIFS($A$4:A1015,A1015,$I$4:I1015,"&lt;&gt;Штраф -2",$I$4:I1015,"&lt;&gt;ушел на базу"))</f>
        <v/>
      </c>
      <c r="F1015" s="4">
        <f>IF(E1015="","",IF(E1015&lt;=3,6,IF(E1015&lt;=6,5,IF(E1015&lt;=9,4,IF(E1015&lt;=12,3,IF(E1015&lt;=15,2,0))))))</f>
        <v/>
      </c>
      <c r="G1015" s="3" t="n"/>
      <c r="H1015" s="4">
        <f>IF(I1015="Штраф -2",-2,IF(OR(F1015="",G1015=""),"",F1015*G1015+IF(J1015="",0,J1015)))</f>
        <v/>
      </c>
      <c r="I1015" s="3" t="n"/>
      <c r="J1015" s="3" t="n"/>
      <c r="K1015" s="3" t="n"/>
    </row>
    <row r="1016">
      <c r="A1016" s="3" t="n"/>
      <c r="B1016" s="3" t="n"/>
      <c r="C1016" s="3" t="n"/>
      <c r="D1016" s="3" t="n"/>
      <c r="E1016" s="4">
        <f>IF(A1016="","",COUNTIFS($A$4:A1016,A1016,$I$4:I1016,"&lt;&gt;Штраф -2",$I$4:I1016,"&lt;&gt;ушел на базу"))</f>
        <v/>
      </c>
      <c r="F1016" s="4">
        <f>IF(E1016="","",IF(E1016&lt;=3,6,IF(E1016&lt;=6,5,IF(E1016&lt;=9,4,IF(E1016&lt;=12,3,IF(E1016&lt;=15,2,0))))))</f>
        <v/>
      </c>
      <c r="G1016" s="3" t="n"/>
      <c r="H1016" s="4">
        <f>IF(I1016="Штраф -2",-2,IF(OR(F1016="",G1016=""),"",F1016*G1016+IF(J1016="",0,J1016)))</f>
        <v/>
      </c>
      <c r="I1016" s="3" t="n"/>
      <c r="J1016" s="3" t="n"/>
      <c r="K1016" s="3" t="n"/>
    </row>
    <row r="1017">
      <c r="A1017" s="3" t="n"/>
      <c r="B1017" s="3" t="n"/>
      <c r="C1017" s="3" t="n"/>
      <c r="D1017" s="3" t="n"/>
      <c r="E1017" s="4">
        <f>IF(A1017="","",COUNTIFS($A$4:A1017,A1017,$I$4:I1017,"&lt;&gt;Штраф -2",$I$4:I1017,"&lt;&gt;ушел на базу"))</f>
        <v/>
      </c>
      <c r="F1017" s="4">
        <f>IF(E1017="","",IF(E1017&lt;=3,6,IF(E1017&lt;=6,5,IF(E1017&lt;=9,4,IF(E1017&lt;=12,3,IF(E1017&lt;=15,2,0))))))</f>
        <v/>
      </c>
      <c r="G1017" s="3" t="n"/>
      <c r="H1017" s="4">
        <f>IF(I1017="Штраф -2",-2,IF(OR(F1017="",G1017=""),"",F1017*G1017+IF(J1017="",0,J1017)))</f>
        <v/>
      </c>
      <c r="I1017" s="3" t="n"/>
      <c r="J1017" s="3" t="n"/>
      <c r="K1017" s="3" t="n"/>
    </row>
    <row r="1018">
      <c r="A1018" s="3" t="n"/>
      <c r="B1018" s="3" t="n"/>
      <c r="C1018" s="3" t="n"/>
      <c r="D1018" s="3" t="n"/>
      <c r="E1018" s="4">
        <f>IF(A1018="","",COUNTIFS($A$4:A1018,A1018,$I$4:I1018,"&lt;&gt;Штраф -2",$I$4:I1018,"&lt;&gt;ушел на базу"))</f>
        <v/>
      </c>
      <c r="F1018" s="4">
        <f>IF(E1018="","",IF(E1018&lt;=3,6,IF(E1018&lt;=6,5,IF(E1018&lt;=9,4,IF(E1018&lt;=12,3,IF(E1018&lt;=15,2,0))))))</f>
        <v/>
      </c>
      <c r="G1018" s="3" t="n"/>
      <c r="H1018" s="4">
        <f>IF(I1018="Штраф -2",-2,IF(OR(F1018="",G1018=""),"",F1018*G1018+IF(J1018="",0,J1018)))</f>
        <v/>
      </c>
      <c r="I1018" s="3" t="n"/>
      <c r="J1018" s="3" t="n"/>
      <c r="K1018" s="3" t="n"/>
    </row>
    <row r="1019">
      <c r="A1019" s="3" t="n"/>
      <c r="B1019" s="3" t="n"/>
      <c r="C1019" s="3" t="n"/>
      <c r="D1019" s="3" t="n"/>
      <c r="E1019" s="4">
        <f>IF(A1019="","",COUNTIFS($A$4:A1019,A1019,$I$4:I1019,"&lt;&gt;Штраф -2",$I$4:I1019,"&lt;&gt;ушел на базу"))</f>
        <v/>
      </c>
      <c r="F1019" s="4">
        <f>IF(E1019="","",IF(E1019&lt;=3,6,IF(E1019&lt;=6,5,IF(E1019&lt;=9,4,IF(E1019&lt;=12,3,IF(E1019&lt;=15,2,0))))))</f>
        <v/>
      </c>
      <c r="G1019" s="3" t="n"/>
      <c r="H1019" s="4">
        <f>IF(I1019="Штраф -2",-2,IF(OR(F1019="",G1019=""),"",F1019*G1019+IF(J1019="",0,J1019)))</f>
        <v/>
      </c>
      <c r="I1019" s="3" t="n"/>
      <c r="J1019" s="3" t="n"/>
      <c r="K1019" s="3" t="n"/>
    </row>
    <row r="1020">
      <c r="A1020" s="3" t="n"/>
      <c r="B1020" s="3" t="n"/>
      <c r="C1020" s="3" t="n"/>
      <c r="D1020" s="3" t="n"/>
      <c r="E1020" s="4">
        <f>IF(A1020="","",COUNTIFS($A$4:A1020,A1020,$I$4:I1020,"&lt;&gt;Штраф -2",$I$4:I1020,"&lt;&gt;ушел на базу"))</f>
        <v/>
      </c>
      <c r="F1020" s="4">
        <f>IF(E1020="","",IF(E1020&lt;=3,6,IF(E1020&lt;=6,5,IF(E1020&lt;=9,4,IF(E1020&lt;=12,3,IF(E1020&lt;=15,2,0))))))</f>
        <v/>
      </c>
      <c r="G1020" s="3" t="n"/>
      <c r="H1020" s="4">
        <f>IF(I1020="Штраф -2",-2,IF(OR(F1020="",G1020=""),"",F1020*G1020+IF(J1020="",0,J1020)))</f>
        <v/>
      </c>
      <c r="I1020" s="3" t="n"/>
      <c r="J1020" s="3" t="n"/>
      <c r="K1020" s="3" t="n"/>
    </row>
    <row r="1021">
      <c r="A1021" s="3" t="n"/>
      <c r="B1021" s="3" t="n"/>
      <c r="C1021" s="3" t="n"/>
      <c r="D1021" s="3" t="n"/>
      <c r="E1021" s="4">
        <f>IF(A1021="","",COUNTIFS($A$4:A1021,A1021,$I$4:I1021,"&lt;&gt;Штраф -2",$I$4:I1021,"&lt;&gt;ушел на базу"))</f>
        <v/>
      </c>
      <c r="F1021" s="4">
        <f>IF(E1021="","",IF(E1021&lt;=3,6,IF(E1021&lt;=6,5,IF(E1021&lt;=9,4,IF(E1021&lt;=12,3,IF(E1021&lt;=15,2,0))))))</f>
        <v/>
      </c>
      <c r="G1021" s="3" t="n"/>
      <c r="H1021" s="4">
        <f>IF(I1021="Штраф -2",-2,IF(OR(F1021="",G1021=""),"",F1021*G1021+IF(J1021="",0,J1021)))</f>
        <v/>
      </c>
      <c r="I1021" s="3" t="n"/>
      <c r="J1021" s="3" t="n"/>
      <c r="K1021" s="3" t="n"/>
    </row>
    <row r="1022">
      <c r="A1022" s="3" t="n"/>
      <c r="B1022" s="3" t="n"/>
      <c r="C1022" s="3" t="n"/>
      <c r="D1022" s="3" t="n"/>
      <c r="E1022" s="4">
        <f>IF(A1022="","",COUNTIFS($A$4:A1022,A1022,$I$4:I1022,"&lt;&gt;Штраф -2",$I$4:I1022,"&lt;&gt;ушел на базу"))</f>
        <v/>
      </c>
      <c r="F1022" s="4">
        <f>IF(E1022="","",IF(E1022&lt;=3,6,IF(E1022&lt;=6,5,IF(E1022&lt;=9,4,IF(E1022&lt;=12,3,IF(E1022&lt;=15,2,0))))))</f>
        <v/>
      </c>
      <c r="G1022" s="3" t="n"/>
      <c r="H1022" s="4">
        <f>IF(I1022="Штраф -2",-2,IF(OR(F1022="",G1022=""),"",F1022*G1022+IF(J1022="",0,J1022)))</f>
        <v/>
      </c>
      <c r="I1022" s="3" t="n"/>
      <c r="J1022" s="3" t="n"/>
      <c r="K1022" s="3" t="n"/>
    </row>
    <row r="1023">
      <c r="A1023" s="3" t="n"/>
      <c r="B1023" s="3" t="n"/>
      <c r="C1023" s="3" t="n"/>
      <c r="D1023" s="3" t="n"/>
      <c r="E1023" s="4">
        <f>IF(A1023="","",COUNTIFS($A$4:A1023,A1023,$I$4:I1023,"&lt;&gt;Штраф -2",$I$4:I1023,"&lt;&gt;ушел на базу"))</f>
        <v/>
      </c>
      <c r="F1023" s="4">
        <f>IF(E1023="","",IF(E1023&lt;=3,6,IF(E1023&lt;=6,5,IF(E1023&lt;=9,4,IF(E1023&lt;=12,3,IF(E1023&lt;=15,2,0))))))</f>
        <v/>
      </c>
      <c r="G1023" s="3" t="n"/>
      <c r="H1023" s="4">
        <f>IF(I1023="Штраф -2",-2,IF(OR(F1023="",G1023=""),"",F1023*G1023+IF(J1023="",0,J1023)))</f>
        <v/>
      </c>
      <c r="I1023" s="3" t="n"/>
      <c r="J1023" s="3" t="n"/>
      <c r="K1023" s="3" t="n"/>
    </row>
    <row r="1024">
      <c r="A1024" s="3" t="n"/>
      <c r="B1024" s="3" t="n"/>
      <c r="C1024" s="3" t="n"/>
      <c r="D1024" s="3" t="n"/>
      <c r="E1024" s="4">
        <f>IF(A1024="","",COUNTIFS($A$4:A1024,A1024,$I$4:I1024,"&lt;&gt;Штраф -2",$I$4:I1024,"&lt;&gt;ушел на базу"))</f>
        <v/>
      </c>
      <c r="F1024" s="4">
        <f>IF(E1024="","",IF(E1024&lt;=3,6,IF(E1024&lt;=6,5,IF(E1024&lt;=9,4,IF(E1024&lt;=12,3,IF(E1024&lt;=15,2,0))))))</f>
        <v/>
      </c>
      <c r="G1024" s="3" t="n"/>
      <c r="H1024" s="4">
        <f>IF(I1024="Штраф -2",-2,IF(OR(F1024="",G1024=""),"",F1024*G1024+IF(J1024="",0,J1024)))</f>
        <v/>
      </c>
      <c r="I1024" s="3" t="n"/>
      <c r="J1024" s="3" t="n"/>
      <c r="K1024" s="3" t="n"/>
    </row>
    <row r="1025">
      <c r="A1025" s="3" t="n"/>
      <c r="B1025" s="3" t="n"/>
      <c r="C1025" s="3" t="n"/>
      <c r="D1025" s="3" t="n"/>
      <c r="E1025" s="4">
        <f>IF(A1025="","",COUNTIFS($A$4:A1025,A1025,$I$4:I1025,"&lt;&gt;Штраф -2",$I$4:I1025,"&lt;&gt;ушел на базу"))</f>
        <v/>
      </c>
      <c r="F1025" s="4">
        <f>IF(E1025="","",IF(E1025&lt;=3,6,IF(E1025&lt;=6,5,IF(E1025&lt;=9,4,IF(E1025&lt;=12,3,IF(E1025&lt;=15,2,0))))))</f>
        <v/>
      </c>
      <c r="G1025" s="3" t="n"/>
      <c r="H1025" s="4">
        <f>IF(I1025="Штраф -2",-2,IF(OR(F1025="",G1025=""),"",F1025*G1025+IF(J1025="",0,J1025)))</f>
        <v/>
      </c>
      <c r="I1025" s="3" t="n"/>
      <c r="J1025" s="3" t="n"/>
      <c r="K1025" s="3" t="n"/>
    </row>
    <row r="1026">
      <c r="A1026" s="3" t="n"/>
      <c r="B1026" s="3" t="n"/>
      <c r="C1026" s="3" t="n"/>
      <c r="D1026" s="3" t="n"/>
      <c r="E1026" s="4">
        <f>IF(A1026="","",COUNTIFS($A$4:A1026,A1026,$I$4:I1026,"&lt;&gt;Штраф -2",$I$4:I1026,"&lt;&gt;ушел на базу"))</f>
        <v/>
      </c>
      <c r="F1026" s="4">
        <f>IF(E1026="","",IF(E1026&lt;=3,6,IF(E1026&lt;=6,5,IF(E1026&lt;=9,4,IF(E1026&lt;=12,3,IF(E1026&lt;=15,2,0))))))</f>
        <v/>
      </c>
      <c r="G1026" s="3" t="n"/>
      <c r="H1026" s="4">
        <f>IF(I1026="Штраф -2",-2,IF(OR(F1026="",G1026=""),"",F1026*G1026+IF(J1026="",0,J1026)))</f>
        <v/>
      </c>
      <c r="I1026" s="3" t="n"/>
      <c r="J1026" s="3" t="n"/>
      <c r="K1026" s="3" t="n"/>
    </row>
    <row r="1027">
      <c r="A1027" s="3" t="n"/>
      <c r="B1027" s="3" t="n"/>
      <c r="C1027" s="3" t="n"/>
      <c r="D1027" s="3" t="n"/>
      <c r="E1027" s="4">
        <f>IF(A1027="","",COUNTIFS($A$4:A1027,A1027,$I$4:I1027,"&lt;&gt;Штраф -2",$I$4:I1027,"&lt;&gt;ушел на базу"))</f>
        <v/>
      </c>
      <c r="F1027" s="4">
        <f>IF(E1027="","",IF(E1027&lt;=3,6,IF(E1027&lt;=6,5,IF(E1027&lt;=9,4,IF(E1027&lt;=12,3,IF(E1027&lt;=15,2,0))))))</f>
        <v/>
      </c>
      <c r="G1027" s="3" t="n"/>
      <c r="H1027" s="4">
        <f>IF(I1027="Штраф -2",-2,IF(OR(F1027="",G1027=""),"",F1027*G1027+IF(J1027="",0,J1027)))</f>
        <v/>
      </c>
      <c r="I1027" s="3" t="n"/>
      <c r="J1027" s="3" t="n"/>
      <c r="K1027" s="3" t="n"/>
    </row>
    <row r="1028">
      <c r="A1028" s="3" t="n"/>
      <c r="B1028" s="3" t="n"/>
      <c r="C1028" s="3" t="n"/>
      <c r="D1028" s="3" t="n"/>
      <c r="E1028" s="4">
        <f>IF(A1028="","",COUNTIFS($A$4:A1028,A1028,$I$4:I1028,"&lt;&gt;Штраф -2",$I$4:I1028,"&lt;&gt;ушел на базу"))</f>
        <v/>
      </c>
      <c r="F1028" s="4">
        <f>IF(E1028="","",IF(E1028&lt;=3,6,IF(E1028&lt;=6,5,IF(E1028&lt;=9,4,IF(E1028&lt;=12,3,IF(E1028&lt;=15,2,0))))))</f>
        <v/>
      </c>
      <c r="G1028" s="3" t="n"/>
      <c r="H1028" s="4">
        <f>IF(I1028="Штраф -2",-2,IF(OR(F1028="",G1028=""),"",F1028*G1028+IF(J1028="",0,J1028)))</f>
        <v/>
      </c>
      <c r="I1028" s="3" t="n"/>
      <c r="J1028" s="3" t="n"/>
      <c r="K1028" s="3" t="n"/>
    </row>
    <row r="1029">
      <c r="A1029" s="3" t="n"/>
      <c r="B1029" s="3" t="n"/>
      <c r="C1029" s="3" t="n"/>
      <c r="D1029" s="3" t="n"/>
      <c r="E1029" s="4">
        <f>IF(A1029="","",COUNTIFS($A$4:A1029,A1029,$I$4:I1029,"&lt;&gt;Штраф -2",$I$4:I1029,"&lt;&gt;ушел на базу"))</f>
        <v/>
      </c>
      <c r="F1029" s="4">
        <f>IF(E1029="","",IF(E1029&lt;=3,6,IF(E1029&lt;=6,5,IF(E1029&lt;=9,4,IF(E1029&lt;=12,3,IF(E1029&lt;=15,2,0))))))</f>
        <v/>
      </c>
      <c r="G1029" s="3" t="n"/>
      <c r="H1029" s="4">
        <f>IF(I1029="Штраф -2",-2,IF(OR(F1029="",G1029=""),"",F1029*G1029+IF(J1029="",0,J1029)))</f>
        <v/>
      </c>
      <c r="I1029" s="3" t="n"/>
      <c r="J1029" s="3" t="n"/>
      <c r="K1029" s="3" t="n"/>
    </row>
    <row r="1030">
      <c r="A1030" s="3" t="n"/>
      <c r="B1030" s="3" t="n"/>
      <c r="C1030" s="3" t="n"/>
      <c r="D1030" s="3" t="n"/>
      <c r="E1030" s="4">
        <f>IF(A1030="","",COUNTIFS($A$4:A1030,A1030,$I$4:I1030,"&lt;&gt;Штраф -2",$I$4:I1030,"&lt;&gt;ушел на базу"))</f>
        <v/>
      </c>
      <c r="F1030" s="4">
        <f>IF(E1030="","",IF(E1030&lt;=3,6,IF(E1030&lt;=6,5,IF(E1030&lt;=9,4,IF(E1030&lt;=12,3,IF(E1030&lt;=15,2,0))))))</f>
        <v/>
      </c>
      <c r="G1030" s="3" t="n"/>
      <c r="H1030" s="4">
        <f>IF(I1030="Штраф -2",-2,IF(OR(F1030="",G1030=""),"",F1030*G1030+IF(J1030="",0,J1030)))</f>
        <v/>
      </c>
      <c r="I1030" s="3" t="n"/>
      <c r="J1030" s="3" t="n"/>
      <c r="K1030" s="3" t="n"/>
    </row>
    <row r="1031">
      <c r="A1031" s="3" t="n"/>
      <c r="B1031" s="3" t="n"/>
      <c r="C1031" s="3" t="n"/>
      <c r="D1031" s="3" t="n"/>
      <c r="E1031" s="4">
        <f>IF(A1031="","",COUNTIFS($A$4:A1031,A1031,$I$4:I1031,"&lt;&gt;Штраф -2",$I$4:I1031,"&lt;&gt;ушел на базу"))</f>
        <v/>
      </c>
      <c r="F1031" s="4">
        <f>IF(E1031="","",IF(E1031&lt;=3,6,IF(E1031&lt;=6,5,IF(E1031&lt;=9,4,IF(E1031&lt;=12,3,IF(E1031&lt;=15,2,0))))))</f>
        <v/>
      </c>
      <c r="G1031" s="3" t="n"/>
      <c r="H1031" s="4">
        <f>IF(I1031="Штраф -2",-2,IF(OR(F1031="",G1031=""),"",F1031*G1031+IF(J1031="",0,J1031)))</f>
        <v/>
      </c>
      <c r="I1031" s="3" t="n"/>
      <c r="J1031" s="3" t="n"/>
      <c r="K1031" s="3" t="n"/>
    </row>
    <row r="1032">
      <c r="A1032" s="3" t="n"/>
      <c r="B1032" s="3" t="n"/>
      <c r="C1032" s="3" t="n"/>
      <c r="D1032" s="3" t="n"/>
      <c r="E1032" s="4">
        <f>IF(A1032="","",COUNTIFS($A$4:A1032,A1032,$I$4:I1032,"&lt;&gt;Штраф -2",$I$4:I1032,"&lt;&gt;ушел на базу"))</f>
        <v/>
      </c>
      <c r="F1032" s="4">
        <f>IF(E1032="","",IF(E1032&lt;=3,6,IF(E1032&lt;=6,5,IF(E1032&lt;=9,4,IF(E1032&lt;=12,3,IF(E1032&lt;=15,2,0))))))</f>
        <v/>
      </c>
      <c r="G1032" s="3" t="n"/>
      <c r="H1032" s="4">
        <f>IF(I1032="Штраф -2",-2,IF(OR(F1032="",G1032=""),"",F1032*G1032+IF(J1032="",0,J1032)))</f>
        <v/>
      </c>
      <c r="I1032" s="3" t="n"/>
      <c r="J1032" s="3" t="n"/>
      <c r="K1032" s="3" t="n"/>
    </row>
    <row r="1033">
      <c r="A1033" s="3" t="n"/>
      <c r="B1033" s="3" t="n"/>
      <c r="C1033" s="3" t="n"/>
      <c r="D1033" s="3" t="n"/>
      <c r="E1033" s="4">
        <f>IF(A1033="","",COUNTIFS($A$4:A1033,A1033,$I$4:I1033,"&lt;&gt;Штраф -2",$I$4:I1033,"&lt;&gt;ушел на базу"))</f>
        <v/>
      </c>
      <c r="F1033" s="4">
        <f>IF(E1033="","",IF(E1033&lt;=3,6,IF(E1033&lt;=6,5,IF(E1033&lt;=9,4,IF(E1033&lt;=12,3,IF(E1033&lt;=15,2,0))))))</f>
        <v/>
      </c>
      <c r="G1033" s="3" t="n"/>
      <c r="H1033" s="4">
        <f>IF(I1033="Штраф -2",-2,IF(OR(F1033="",G1033=""),"",F1033*G1033+IF(J1033="",0,J1033)))</f>
        <v/>
      </c>
      <c r="I1033" s="3" t="n"/>
      <c r="J1033" s="3" t="n"/>
      <c r="K1033" s="3" t="n"/>
    </row>
    <row r="1034">
      <c r="A1034" s="3" t="n"/>
      <c r="B1034" s="3" t="n"/>
      <c r="C1034" s="3" t="n"/>
      <c r="D1034" s="3" t="n"/>
      <c r="E1034" s="4">
        <f>IF(A1034="","",COUNTIFS($A$4:A1034,A1034,$I$4:I1034,"&lt;&gt;Штраф -2",$I$4:I1034,"&lt;&gt;ушел на базу"))</f>
        <v/>
      </c>
      <c r="F1034" s="4">
        <f>IF(E1034="","",IF(E1034&lt;=3,6,IF(E1034&lt;=6,5,IF(E1034&lt;=9,4,IF(E1034&lt;=12,3,IF(E1034&lt;=15,2,0))))))</f>
        <v/>
      </c>
      <c r="G1034" s="3" t="n"/>
      <c r="H1034" s="4">
        <f>IF(I1034="Штраф -2",-2,IF(OR(F1034="",G1034=""),"",F1034*G1034+IF(J1034="",0,J1034)))</f>
        <v/>
      </c>
      <c r="I1034" s="3" t="n"/>
      <c r="J1034" s="3" t="n"/>
      <c r="K1034" s="3" t="n"/>
    </row>
    <row r="1035">
      <c r="A1035" s="3" t="n"/>
      <c r="B1035" s="3" t="n"/>
      <c r="C1035" s="3" t="n"/>
      <c r="D1035" s="3" t="n"/>
      <c r="E1035" s="4">
        <f>IF(A1035="","",COUNTIFS($A$4:A1035,A1035,$I$4:I1035,"&lt;&gt;Штраф -2",$I$4:I1035,"&lt;&gt;ушел на базу"))</f>
        <v/>
      </c>
      <c r="F1035" s="4">
        <f>IF(E1035="","",IF(E1035&lt;=3,6,IF(E1035&lt;=6,5,IF(E1035&lt;=9,4,IF(E1035&lt;=12,3,IF(E1035&lt;=15,2,0))))))</f>
        <v/>
      </c>
      <c r="G1035" s="3" t="n"/>
      <c r="H1035" s="4">
        <f>IF(I1035="Штраф -2",-2,IF(OR(F1035="",G1035=""),"",F1035*G1035+IF(J1035="",0,J1035)))</f>
        <v/>
      </c>
      <c r="I1035" s="3" t="n"/>
      <c r="J1035" s="3" t="n"/>
      <c r="K1035" s="3" t="n"/>
    </row>
    <row r="1036">
      <c r="A1036" s="3" t="n"/>
      <c r="B1036" s="3" t="n"/>
      <c r="C1036" s="3" t="n"/>
      <c r="D1036" s="3" t="n"/>
      <c r="E1036" s="4">
        <f>IF(A1036="","",COUNTIFS($A$4:A1036,A1036,$I$4:I1036,"&lt;&gt;Штраф -2",$I$4:I1036,"&lt;&gt;ушел на базу"))</f>
        <v/>
      </c>
      <c r="F1036" s="4">
        <f>IF(E1036="","",IF(E1036&lt;=3,6,IF(E1036&lt;=6,5,IF(E1036&lt;=9,4,IF(E1036&lt;=12,3,IF(E1036&lt;=15,2,0))))))</f>
        <v/>
      </c>
      <c r="G1036" s="3" t="n"/>
      <c r="H1036" s="4">
        <f>IF(I1036="Штраф -2",-2,IF(OR(F1036="",G1036=""),"",F1036*G1036+IF(J1036="",0,J1036)))</f>
        <v/>
      </c>
      <c r="I1036" s="3" t="n"/>
      <c r="J1036" s="3" t="n"/>
      <c r="K1036" s="3" t="n"/>
    </row>
    <row r="1037">
      <c r="A1037" s="3" t="n"/>
      <c r="B1037" s="3" t="n"/>
      <c r="C1037" s="3" t="n"/>
      <c r="D1037" s="3" t="n"/>
      <c r="E1037" s="4">
        <f>IF(A1037="","",COUNTIFS($A$4:A1037,A1037,$I$4:I1037,"&lt;&gt;Штраф -2",$I$4:I1037,"&lt;&gt;ушел на базу"))</f>
        <v/>
      </c>
      <c r="F1037" s="4">
        <f>IF(E1037="","",IF(E1037&lt;=3,6,IF(E1037&lt;=6,5,IF(E1037&lt;=9,4,IF(E1037&lt;=12,3,IF(E1037&lt;=15,2,0))))))</f>
        <v/>
      </c>
      <c r="G1037" s="3" t="n"/>
      <c r="H1037" s="4">
        <f>IF(I1037="Штраф -2",-2,IF(OR(F1037="",G1037=""),"",F1037*G1037+IF(J1037="",0,J1037)))</f>
        <v/>
      </c>
      <c r="I1037" s="3" t="n"/>
      <c r="J1037" s="3" t="n"/>
      <c r="K1037" s="3" t="n"/>
    </row>
    <row r="1038">
      <c r="A1038" s="3" t="n"/>
      <c r="B1038" s="3" t="n"/>
      <c r="C1038" s="3" t="n"/>
      <c r="D1038" s="3" t="n"/>
      <c r="E1038" s="4">
        <f>IF(A1038="","",COUNTIFS($A$4:A1038,A1038,$I$4:I1038,"&lt;&gt;Штраф -2",$I$4:I1038,"&lt;&gt;ушел на базу"))</f>
        <v/>
      </c>
      <c r="F1038" s="4">
        <f>IF(E1038="","",IF(E1038&lt;=3,6,IF(E1038&lt;=6,5,IF(E1038&lt;=9,4,IF(E1038&lt;=12,3,IF(E1038&lt;=15,2,0))))))</f>
        <v/>
      </c>
      <c r="G1038" s="3" t="n"/>
      <c r="H1038" s="4">
        <f>IF(I1038="Штраф -2",-2,IF(OR(F1038="",G1038=""),"",F1038*G1038+IF(J1038="",0,J1038)))</f>
        <v/>
      </c>
      <c r="I1038" s="3" t="n"/>
      <c r="J1038" s="3" t="n"/>
      <c r="K1038" s="3" t="n"/>
    </row>
    <row r="1039">
      <c r="A1039" s="3" t="n"/>
      <c r="B1039" s="3" t="n"/>
      <c r="C1039" s="3" t="n"/>
      <c r="D1039" s="3" t="n"/>
      <c r="E1039" s="4">
        <f>IF(A1039="","",COUNTIFS($A$4:A1039,A1039,$I$4:I1039,"&lt;&gt;Штраф -2",$I$4:I1039,"&lt;&gt;ушел на базу"))</f>
        <v/>
      </c>
      <c r="F1039" s="4">
        <f>IF(E1039="","",IF(E1039&lt;=3,6,IF(E1039&lt;=6,5,IF(E1039&lt;=9,4,IF(E1039&lt;=12,3,IF(E1039&lt;=15,2,0))))))</f>
        <v/>
      </c>
      <c r="G1039" s="3" t="n"/>
      <c r="H1039" s="4">
        <f>IF(I1039="Штраф -2",-2,IF(OR(F1039="",G1039=""),"",F1039*G1039+IF(J1039="",0,J1039)))</f>
        <v/>
      </c>
      <c r="I1039" s="3" t="n"/>
      <c r="J1039" s="3" t="n"/>
      <c r="K1039" s="3" t="n"/>
    </row>
    <row r="1040">
      <c r="A1040" s="3" t="n"/>
      <c r="B1040" s="3" t="n"/>
      <c r="C1040" s="3" t="n"/>
      <c r="D1040" s="3" t="n"/>
      <c r="E1040" s="4">
        <f>IF(A1040="","",COUNTIFS($A$4:A1040,A1040,$I$4:I1040,"&lt;&gt;Штраф -2",$I$4:I1040,"&lt;&gt;ушел на базу"))</f>
        <v/>
      </c>
      <c r="F1040" s="4">
        <f>IF(E1040="","",IF(E1040&lt;=3,6,IF(E1040&lt;=6,5,IF(E1040&lt;=9,4,IF(E1040&lt;=12,3,IF(E1040&lt;=15,2,0))))))</f>
        <v/>
      </c>
      <c r="G1040" s="3" t="n"/>
      <c r="H1040" s="4">
        <f>IF(I1040="Штраф -2",-2,IF(OR(F1040="",G1040=""),"",F1040*G1040+IF(J1040="",0,J1040)))</f>
        <v/>
      </c>
      <c r="I1040" s="3" t="n"/>
      <c r="J1040" s="3" t="n"/>
      <c r="K1040" s="3" t="n"/>
    </row>
    <row r="1041">
      <c r="A1041" s="3" t="n"/>
      <c r="B1041" s="3" t="n"/>
      <c r="C1041" s="3" t="n"/>
      <c r="D1041" s="3" t="n"/>
      <c r="E1041" s="4">
        <f>IF(A1041="","",COUNTIFS($A$4:A1041,A1041,$I$4:I1041,"&lt;&gt;Штраф -2",$I$4:I1041,"&lt;&gt;ушел на базу"))</f>
        <v/>
      </c>
      <c r="F1041" s="4">
        <f>IF(E1041="","",IF(E1041&lt;=3,6,IF(E1041&lt;=6,5,IF(E1041&lt;=9,4,IF(E1041&lt;=12,3,IF(E1041&lt;=15,2,0))))))</f>
        <v/>
      </c>
      <c r="G1041" s="3" t="n"/>
      <c r="H1041" s="4">
        <f>IF(I1041="Штраф -2",-2,IF(OR(F1041="",G1041=""),"",F1041*G1041+IF(J1041="",0,J1041)))</f>
        <v/>
      </c>
      <c r="I1041" s="3" t="n"/>
      <c r="J1041" s="3" t="n"/>
      <c r="K1041" s="3" t="n"/>
    </row>
    <row r="1042">
      <c r="A1042" s="3" t="n"/>
      <c r="B1042" s="3" t="n"/>
      <c r="C1042" s="3" t="n"/>
      <c r="D1042" s="3" t="n"/>
      <c r="E1042" s="4">
        <f>IF(A1042="","",COUNTIFS($A$4:A1042,A1042,$I$4:I1042,"&lt;&gt;Штраф -2",$I$4:I1042,"&lt;&gt;ушел на базу"))</f>
        <v/>
      </c>
      <c r="F1042" s="4">
        <f>IF(E1042="","",IF(E1042&lt;=3,6,IF(E1042&lt;=6,5,IF(E1042&lt;=9,4,IF(E1042&lt;=12,3,IF(E1042&lt;=15,2,0))))))</f>
        <v/>
      </c>
      <c r="G1042" s="3" t="n"/>
      <c r="H1042" s="4">
        <f>IF(I1042="Штраф -2",-2,IF(OR(F1042="",G1042=""),"",F1042*G1042+IF(J1042="",0,J1042)))</f>
        <v/>
      </c>
      <c r="I1042" s="3" t="n"/>
      <c r="J1042" s="3" t="n"/>
      <c r="K1042" s="3" t="n"/>
    </row>
    <row r="1043">
      <c r="A1043" s="3" t="n"/>
      <c r="B1043" s="3" t="n"/>
      <c r="C1043" s="3" t="n"/>
      <c r="D1043" s="3" t="n"/>
      <c r="E1043" s="4">
        <f>IF(A1043="","",COUNTIFS($A$4:A1043,A1043,$I$4:I1043,"&lt;&gt;Штраф -2",$I$4:I1043,"&lt;&gt;ушел на базу"))</f>
        <v/>
      </c>
      <c r="F1043" s="4">
        <f>IF(E1043="","",IF(E1043&lt;=3,6,IF(E1043&lt;=6,5,IF(E1043&lt;=9,4,IF(E1043&lt;=12,3,IF(E1043&lt;=15,2,0))))))</f>
        <v/>
      </c>
      <c r="G1043" s="3" t="n"/>
      <c r="H1043" s="4">
        <f>IF(I1043="Штраф -2",-2,IF(OR(F1043="",G1043=""),"",F1043*G1043+IF(J1043="",0,J1043)))</f>
        <v/>
      </c>
      <c r="I1043" s="3" t="n"/>
      <c r="J1043" s="3" t="n"/>
      <c r="K1043" s="3" t="n"/>
    </row>
    <row r="1044">
      <c r="A1044" s="3" t="n"/>
      <c r="B1044" s="3" t="n"/>
      <c r="C1044" s="3" t="n"/>
      <c r="D1044" s="3" t="n"/>
      <c r="E1044" s="4">
        <f>IF(A1044="","",COUNTIFS($A$4:A1044,A1044,$I$4:I1044,"&lt;&gt;Штраф -2",$I$4:I1044,"&lt;&gt;ушел на базу"))</f>
        <v/>
      </c>
      <c r="F1044" s="4">
        <f>IF(E1044="","",IF(E1044&lt;=3,6,IF(E1044&lt;=6,5,IF(E1044&lt;=9,4,IF(E1044&lt;=12,3,IF(E1044&lt;=15,2,0))))))</f>
        <v/>
      </c>
      <c r="G1044" s="3" t="n"/>
      <c r="H1044" s="4">
        <f>IF(I1044="Штраф -2",-2,IF(OR(F1044="",G1044=""),"",F1044*G1044+IF(J1044="",0,J1044)))</f>
        <v/>
      </c>
      <c r="I1044" s="3" t="n"/>
      <c r="J1044" s="3" t="n"/>
      <c r="K1044" s="3" t="n"/>
    </row>
    <row r="1045">
      <c r="A1045" s="3" t="n"/>
      <c r="B1045" s="3" t="n"/>
      <c r="C1045" s="3" t="n"/>
      <c r="D1045" s="3" t="n"/>
      <c r="E1045" s="4">
        <f>IF(A1045="","",COUNTIFS($A$4:A1045,A1045,$I$4:I1045,"&lt;&gt;Штраф -2",$I$4:I1045,"&lt;&gt;ушел на базу"))</f>
        <v/>
      </c>
      <c r="F1045" s="4">
        <f>IF(E1045="","",IF(E1045&lt;=3,6,IF(E1045&lt;=6,5,IF(E1045&lt;=9,4,IF(E1045&lt;=12,3,IF(E1045&lt;=15,2,0))))))</f>
        <v/>
      </c>
      <c r="G1045" s="3" t="n"/>
      <c r="H1045" s="4">
        <f>IF(I1045="Штраф -2",-2,IF(OR(F1045="",G1045=""),"",F1045*G1045+IF(J1045="",0,J1045)))</f>
        <v/>
      </c>
      <c r="I1045" s="3" t="n"/>
      <c r="J1045" s="3" t="n"/>
      <c r="K1045" s="3" t="n"/>
    </row>
    <row r="1046">
      <c r="A1046" s="3" t="n"/>
      <c r="B1046" s="3" t="n"/>
      <c r="C1046" s="3" t="n"/>
      <c r="D1046" s="3" t="n"/>
      <c r="E1046" s="4">
        <f>IF(A1046="","",COUNTIFS($A$4:A1046,A1046,$I$4:I1046,"&lt;&gt;Штраф -2",$I$4:I1046,"&lt;&gt;ушел на базу"))</f>
        <v/>
      </c>
      <c r="F1046" s="4">
        <f>IF(E1046="","",IF(E1046&lt;=3,6,IF(E1046&lt;=6,5,IF(E1046&lt;=9,4,IF(E1046&lt;=12,3,IF(E1046&lt;=15,2,0))))))</f>
        <v/>
      </c>
      <c r="G1046" s="3" t="n"/>
      <c r="H1046" s="4">
        <f>IF(I1046="Штраф -2",-2,IF(OR(F1046="",G1046=""),"",F1046*G1046+IF(J1046="",0,J1046)))</f>
        <v/>
      </c>
      <c r="I1046" s="3" t="n"/>
      <c r="J1046" s="3" t="n"/>
      <c r="K1046" s="3" t="n"/>
    </row>
    <row r="1047">
      <c r="A1047" s="3" t="n"/>
      <c r="B1047" s="3" t="n"/>
      <c r="C1047" s="3" t="n"/>
      <c r="D1047" s="3" t="n"/>
      <c r="E1047" s="4">
        <f>IF(A1047="","",COUNTIFS($A$4:A1047,A1047,$I$4:I1047,"&lt;&gt;Штраф -2",$I$4:I1047,"&lt;&gt;ушел на базу"))</f>
        <v/>
      </c>
      <c r="F1047" s="4">
        <f>IF(E1047="","",IF(E1047&lt;=3,6,IF(E1047&lt;=6,5,IF(E1047&lt;=9,4,IF(E1047&lt;=12,3,IF(E1047&lt;=15,2,0))))))</f>
        <v/>
      </c>
      <c r="G1047" s="3" t="n"/>
      <c r="H1047" s="4">
        <f>IF(I1047="Штраф -2",-2,IF(OR(F1047="",G1047=""),"",F1047*G1047+IF(J1047="",0,J1047)))</f>
        <v/>
      </c>
      <c r="I1047" s="3" t="n"/>
      <c r="J1047" s="3" t="n"/>
      <c r="K1047" s="3" t="n"/>
    </row>
    <row r="1048">
      <c r="A1048" s="3" t="n"/>
      <c r="B1048" s="3" t="n"/>
      <c r="C1048" s="3" t="n"/>
      <c r="D1048" s="3" t="n"/>
      <c r="E1048" s="4">
        <f>IF(A1048="","",COUNTIFS($A$4:A1048,A1048,$I$4:I1048,"&lt;&gt;Штраф -2",$I$4:I1048,"&lt;&gt;ушел на базу"))</f>
        <v/>
      </c>
      <c r="F1048" s="4">
        <f>IF(E1048="","",IF(E1048&lt;=3,6,IF(E1048&lt;=6,5,IF(E1048&lt;=9,4,IF(E1048&lt;=12,3,IF(E1048&lt;=15,2,0))))))</f>
        <v/>
      </c>
      <c r="G1048" s="3" t="n"/>
      <c r="H1048" s="4">
        <f>IF(I1048="Штраф -2",-2,IF(OR(F1048="",G1048=""),"",F1048*G1048+IF(J1048="",0,J1048)))</f>
        <v/>
      </c>
      <c r="I1048" s="3" t="n"/>
      <c r="J1048" s="3" t="n"/>
      <c r="K1048" s="3" t="n"/>
    </row>
    <row r="1049">
      <c r="A1049" s="3" t="n"/>
      <c r="B1049" s="3" t="n"/>
      <c r="C1049" s="3" t="n"/>
      <c r="D1049" s="3" t="n"/>
      <c r="E1049" s="4">
        <f>IF(A1049="","",COUNTIFS($A$4:A1049,A1049,$I$4:I1049,"&lt;&gt;Штраф -2",$I$4:I1049,"&lt;&gt;ушел на базу"))</f>
        <v/>
      </c>
      <c r="F1049" s="4">
        <f>IF(E1049="","",IF(E1049&lt;=3,6,IF(E1049&lt;=6,5,IF(E1049&lt;=9,4,IF(E1049&lt;=12,3,IF(E1049&lt;=15,2,0))))))</f>
        <v/>
      </c>
      <c r="G1049" s="3" t="n"/>
      <c r="H1049" s="4">
        <f>IF(I1049="Штраф -2",-2,IF(OR(F1049="",G1049=""),"",F1049*G1049+IF(J1049="",0,J1049)))</f>
        <v/>
      </c>
      <c r="I1049" s="3" t="n"/>
      <c r="J1049" s="3" t="n"/>
      <c r="K1049" s="3" t="n"/>
    </row>
    <row r="1050">
      <c r="A1050" s="3" t="n"/>
      <c r="B1050" s="3" t="n"/>
      <c r="C1050" s="3" t="n"/>
      <c r="D1050" s="3" t="n"/>
      <c r="E1050" s="4">
        <f>IF(A1050="","",COUNTIFS($A$4:A1050,A1050,$I$4:I1050,"&lt;&gt;Штраф -2",$I$4:I1050,"&lt;&gt;ушел на базу"))</f>
        <v/>
      </c>
      <c r="F1050" s="4">
        <f>IF(E1050="","",IF(E1050&lt;=3,6,IF(E1050&lt;=6,5,IF(E1050&lt;=9,4,IF(E1050&lt;=12,3,IF(E1050&lt;=15,2,0))))))</f>
        <v/>
      </c>
      <c r="G1050" s="3" t="n"/>
      <c r="H1050" s="4">
        <f>IF(I1050="Штраф -2",-2,IF(OR(F1050="",G1050=""),"",F1050*G1050+IF(J1050="",0,J1050)))</f>
        <v/>
      </c>
      <c r="I1050" s="3" t="n"/>
      <c r="J1050" s="3" t="n"/>
      <c r="K1050" s="3" t="n"/>
    </row>
    <row r="1051">
      <c r="A1051" s="3" t="n"/>
      <c r="B1051" s="3" t="n"/>
      <c r="C1051" s="3" t="n"/>
      <c r="D1051" s="3" t="n"/>
      <c r="E1051" s="4">
        <f>IF(A1051="","",COUNTIFS($A$4:A1051,A1051,$I$4:I1051,"&lt;&gt;Штраф -2",$I$4:I1051,"&lt;&gt;ушел на базу"))</f>
        <v/>
      </c>
      <c r="F1051" s="4">
        <f>IF(E1051="","",IF(E1051&lt;=3,6,IF(E1051&lt;=6,5,IF(E1051&lt;=9,4,IF(E1051&lt;=12,3,IF(E1051&lt;=15,2,0))))))</f>
        <v/>
      </c>
      <c r="G1051" s="3" t="n"/>
      <c r="H1051" s="4">
        <f>IF(I1051="Штраф -2",-2,IF(OR(F1051="",G1051=""),"",F1051*G1051+IF(J1051="",0,J1051)))</f>
        <v/>
      </c>
      <c r="I1051" s="3" t="n"/>
      <c r="J1051" s="3" t="n"/>
      <c r="K1051" s="3" t="n"/>
    </row>
    <row r="1052">
      <c r="A1052" s="3" t="n"/>
      <c r="B1052" s="3" t="n"/>
      <c r="C1052" s="3" t="n"/>
      <c r="D1052" s="3" t="n"/>
      <c r="E1052" s="4">
        <f>IF(A1052="","",COUNTIFS($A$4:A1052,A1052,$I$4:I1052,"&lt;&gt;Штраф -2",$I$4:I1052,"&lt;&gt;ушел на базу"))</f>
        <v/>
      </c>
      <c r="F1052" s="4">
        <f>IF(E1052="","",IF(E1052&lt;=3,6,IF(E1052&lt;=6,5,IF(E1052&lt;=9,4,IF(E1052&lt;=12,3,IF(E1052&lt;=15,2,0))))))</f>
        <v/>
      </c>
      <c r="G1052" s="3" t="n"/>
      <c r="H1052" s="4">
        <f>IF(I1052="Штраф -2",-2,IF(OR(F1052="",G1052=""),"",F1052*G1052+IF(J1052="",0,J1052)))</f>
        <v/>
      </c>
      <c r="I1052" s="3" t="n"/>
      <c r="J1052" s="3" t="n"/>
      <c r="K1052" s="3" t="n"/>
    </row>
    <row r="1053">
      <c r="A1053" s="3" t="n"/>
      <c r="B1053" s="3" t="n"/>
      <c r="C1053" s="3" t="n"/>
      <c r="D1053" s="3" t="n"/>
      <c r="E1053" s="4">
        <f>IF(A1053="","",COUNTIFS($A$4:A1053,A1053,$I$4:I1053,"&lt;&gt;Штраф -2",$I$4:I1053,"&lt;&gt;ушел на базу"))</f>
        <v/>
      </c>
      <c r="F1053" s="4">
        <f>IF(E1053="","",IF(E1053&lt;=3,6,IF(E1053&lt;=6,5,IF(E1053&lt;=9,4,IF(E1053&lt;=12,3,IF(E1053&lt;=15,2,0))))))</f>
        <v/>
      </c>
      <c r="G1053" s="3" t="n"/>
      <c r="H1053" s="4">
        <f>IF(I1053="Штраф -2",-2,IF(OR(F1053="",G1053=""),"",F1053*G1053+IF(J1053="",0,J1053)))</f>
        <v/>
      </c>
      <c r="I1053" s="3" t="n"/>
      <c r="J1053" s="3" t="n"/>
      <c r="K1053" s="3" t="n"/>
    </row>
    <row r="1054">
      <c r="A1054" s="3" t="n"/>
      <c r="B1054" s="3" t="n"/>
      <c r="C1054" s="3" t="n"/>
      <c r="D1054" s="3" t="n"/>
      <c r="E1054" s="4">
        <f>IF(A1054="","",COUNTIFS($A$4:A1054,A1054,$I$4:I1054,"&lt;&gt;Штраф -2",$I$4:I1054,"&lt;&gt;ушел на базу"))</f>
        <v/>
      </c>
      <c r="F1054" s="4">
        <f>IF(E1054="","",IF(E1054&lt;=3,6,IF(E1054&lt;=6,5,IF(E1054&lt;=9,4,IF(E1054&lt;=12,3,IF(E1054&lt;=15,2,0))))))</f>
        <v/>
      </c>
      <c r="G1054" s="3" t="n"/>
      <c r="H1054" s="4">
        <f>IF(I1054="Штраф -2",-2,IF(OR(F1054="",G1054=""),"",F1054*G1054+IF(J1054="",0,J1054)))</f>
        <v/>
      </c>
      <c r="I1054" s="3" t="n"/>
      <c r="J1054" s="3" t="n"/>
      <c r="K1054" s="3" t="n"/>
    </row>
    <row r="1055">
      <c r="A1055" s="3" t="n"/>
      <c r="B1055" s="3" t="n"/>
      <c r="C1055" s="3" t="n"/>
      <c r="D1055" s="3" t="n"/>
      <c r="E1055" s="4">
        <f>IF(A1055="","",COUNTIFS($A$4:A1055,A1055,$I$4:I1055,"&lt;&gt;Штраф -2",$I$4:I1055,"&lt;&gt;ушел на базу"))</f>
        <v/>
      </c>
      <c r="F1055" s="4">
        <f>IF(E1055="","",IF(E1055&lt;=3,6,IF(E1055&lt;=6,5,IF(E1055&lt;=9,4,IF(E1055&lt;=12,3,IF(E1055&lt;=15,2,0))))))</f>
        <v/>
      </c>
      <c r="G1055" s="3" t="n"/>
      <c r="H1055" s="4">
        <f>IF(I1055="Штраф -2",-2,IF(OR(F1055="",G1055=""),"",F1055*G1055+IF(J1055="",0,J1055)))</f>
        <v/>
      </c>
      <c r="I1055" s="3" t="n"/>
      <c r="J1055" s="3" t="n"/>
      <c r="K1055" s="3" t="n"/>
    </row>
    <row r="1056">
      <c r="A1056" s="3" t="n"/>
      <c r="B1056" s="3" t="n"/>
      <c r="C1056" s="3" t="n"/>
      <c r="D1056" s="3" t="n"/>
      <c r="E1056" s="4">
        <f>IF(A1056="","",COUNTIFS($A$4:A1056,A1056,$I$4:I1056,"&lt;&gt;Штраф -2",$I$4:I1056,"&lt;&gt;ушел на базу"))</f>
        <v/>
      </c>
      <c r="F1056" s="4">
        <f>IF(E1056="","",IF(E1056&lt;=3,6,IF(E1056&lt;=6,5,IF(E1056&lt;=9,4,IF(E1056&lt;=12,3,IF(E1056&lt;=15,2,0))))))</f>
        <v/>
      </c>
      <c r="G1056" s="3" t="n"/>
      <c r="H1056" s="4">
        <f>IF(I1056="Штраф -2",-2,IF(OR(F1056="",G1056=""),"",F1056*G1056+IF(J1056="",0,J1056)))</f>
        <v/>
      </c>
      <c r="I1056" s="3" t="n"/>
      <c r="J1056" s="3" t="n"/>
      <c r="K1056" s="3" t="n"/>
    </row>
    <row r="1057">
      <c r="A1057" s="3" t="n"/>
      <c r="B1057" s="3" t="n"/>
      <c r="C1057" s="3" t="n"/>
      <c r="D1057" s="3" t="n"/>
      <c r="E1057" s="4">
        <f>IF(A1057="","",COUNTIFS($A$4:A1057,A1057,$I$4:I1057,"&lt;&gt;Штраф -2",$I$4:I1057,"&lt;&gt;ушел на базу"))</f>
        <v/>
      </c>
      <c r="F1057" s="4">
        <f>IF(E1057="","",IF(E1057&lt;=3,6,IF(E1057&lt;=6,5,IF(E1057&lt;=9,4,IF(E1057&lt;=12,3,IF(E1057&lt;=15,2,0))))))</f>
        <v/>
      </c>
      <c r="G1057" s="3" t="n"/>
      <c r="H1057" s="4">
        <f>IF(I1057="Штраф -2",-2,IF(OR(F1057="",G1057=""),"",F1057*G1057+IF(J1057="",0,J1057)))</f>
        <v/>
      </c>
      <c r="I1057" s="3" t="n"/>
      <c r="J1057" s="3" t="n"/>
      <c r="K1057" s="3" t="n"/>
    </row>
    <row r="1058">
      <c r="A1058" s="3" t="n"/>
      <c r="B1058" s="3" t="n"/>
      <c r="C1058" s="3" t="n"/>
      <c r="D1058" s="3" t="n"/>
      <c r="E1058" s="4">
        <f>IF(A1058="","",COUNTIFS($A$4:A1058,A1058,$I$4:I1058,"&lt;&gt;Штраф -2",$I$4:I1058,"&lt;&gt;ушел на базу"))</f>
        <v/>
      </c>
      <c r="F1058" s="4">
        <f>IF(E1058="","",IF(E1058&lt;=3,6,IF(E1058&lt;=6,5,IF(E1058&lt;=9,4,IF(E1058&lt;=12,3,IF(E1058&lt;=15,2,0))))))</f>
        <v/>
      </c>
      <c r="G1058" s="3" t="n"/>
      <c r="H1058" s="4">
        <f>IF(I1058="Штраф -2",-2,IF(OR(F1058="",G1058=""),"",F1058*G1058+IF(J1058="",0,J1058)))</f>
        <v/>
      </c>
      <c r="I1058" s="3" t="n"/>
      <c r="J1058" s="3" t="n"/>
      <c r="K1058" s="3" t="n"/>
    </row>
    <row r="1059">
      <c r="A1059" s="3" t="n"/>
      <c r="B1059" s="3" t="n"/>
      <c r="C1059" s="3" t="n"/>
      <c r="D1059" s="3" t="n"/>
      <c r="E1059" s="4">
        <f>IF(A1059="","",COUNTIFS($A$4:A1059,A1059,$I$4:I1059,"&lt;&gt;Штраф -2",$I$4:I1059,"&lt;&gt;ушел на базу"))</f>
        <v/>
      </c>
      <c r="F1059" s="4">
        <f>IF(E1059="","",IF(E1059&lt;=3,6,IF(E1059&lt;=6,5,IF(E1059&lt;=9,4,IF(E1059&lt;=12,3,IF(E1059&lt;=15,2,0))))))</f>
        <v/>
      </c>
      <c r="G1059" s="3" t="n"/>
      <c r="H1059" s="4">
        <f>IF(I1059="Штраф -2",-2,IF(OR(F1059="",G1059=""),"",F1059*G1059+IF(J1059="",0,J1059)))</f>
        <v/>
      </c>
      <c r="I1059" s="3" t="n"/>
      <c r="J1059" s="3" t="n"/>
      <c r="K1059" s="3" t="n"/>
    </row>
    <row r="1060">
      <c r="A1060" s="3" t="n"/>
      <c r="B1060" s="3" t="n"/>
      <c r="C1060" s="3" t="n"/>
      <c r="D1060" s="3" t="n"/>
      <c r="E1060" s="4">
        <f>IF(A1060="","",COUNTIFS($A$4:A1060,A1060,$I$4:I1060,"&lt;&gt;Штраф -2",$I$4:I1060,"&lt;&gt;ушел на базу"))</f>
        <v/>
      </c>
      <c r="F1060" s="4">
        <f>IF(E1060="","",IF(E1060&lt;=3,6,IF(E1060&lt;=6,5,IF(E1060&lt;=9,4,IF(E1060&lt;=12,3,IF(E1060&lt;=15,2,0))))))</f>
        <v/>
      </c>
      <c r="G1060" s="3" t="n"/>
      <c r="H1060" s="4">
        <f>IF(I1060="Штраф -2",-2,IF(OR(F1060="",G1060=""),"",F1060*G1060+IF(J1060="",0,J1060)))</f>
        <v/>
      </c>
      <c r="I1060" s="3" t="n"/>
      <c r="J1060" s="3" t="n"/>
      <c r="K1060" s="3" t="n"/>
    </row>
    <row r="1061">
      <c r="A1061" s="3" t="n"/>
      <c r="B1061" s="3" t="n"/>
      <c r="C1061" s="3" t="n"/>
      <c r="D1061" s="3" t="n"/>
      <c r="E1061" s="4">
        <f>IF(A1061="","",COUNTIFS($A$4:A1061,A1061,$I$4:I1061,"&lt;&gt;Штраф -2",$I$4:I1061,"&lt;&gt;ушел на базу"))</f>
        <v/>
      </c>
      <c r="F1061" s="4">
        <f>IF(E1061="","",IF(E1061&lt;=3,6,IF(E1061&lt;=6,5,IF(E1061&lt;=9,4,IF(E1061&lt;=12,3,IF(E1061&lt;=15,2,0))))))</f>
        <v/>
      </c>
      <c r="G1061" s="3" t="n"/>
      <c r="H1061" s="4">
        <f>IF(I1061="Штраф -2",-2,IF(OR(F1061="",G1061=""),"",F1061*G1061+IF(J1061="",0,J1061)))</f>
        <v/>
      </c>
      <c r="I1061" s="3" t="n"/>
      <c r="J1061" s="3" t="n"/>
      <c r="K1061" s="3" t="n"/>
    </row>
    <row r="1062">
      <c r="A1062" s="3" t="n"/>
      <c r="B1062" s="3" t="n"/>
      <c r="C1062" s="3" t="n"/>
      <c r="D1062" s="3" t="n"/>
      <c r="E1062" s="4">
        <f>IF(A1062="","",COUNTIFS($A$4:A1062,A1062,$I$4:I1062,"&lt;&gt;Штраф -2",$I$4:I1062,"&lt;&gt;ушел на базу"))</f>
        <v/>
      </c>
      <c r="F1062" s="4">
        <f>IF(E1062="","",IF(E1062&lt;=3,6,IF(E1062&lt;=6,5,IF(E1062&lt;=9,4,IF(E1062&lt;=12,3,IF(E1062&lt;=15,2,0))))))</f>
        <v/>
      </c>
      <c r="G1062" s="3" t="n"/>
      <c r="H1062" s="4">
        <f>IF(I1062="Штраф -2",-2,IF(OR(F1062="",G1062=""),"",F1062*G1062+IF(J1062="",0,J1062)))</f>
        <v/>
      </c>
      <c r="I1062" s="3" t="n"/>
      <c r="J1062" s="3" t="n"/>
      <c r="K1062" s="3" t="n"/>
    </row>
    <row r="1063">
      <c r="A1063" s="3" t="n"/>
      <c r="B1063" s="3" t="n"/>
      <c r="C1063" s="3" t="n"/>
      <c r="D1063" s="3" t="n"/>
      <c r="E1063" s="4">
        <f>IF(A1063="","",COUNTIFS($A$4:A1063,A1063,$I$4:I1063,"&lt;&gt;Штраф -2",$I$4:I1063,"&lt;&gt;ушел на базу"))</f>
        <v/>
      </c>
      <c r="F1063" s="4">
        <f>IF(E1063="","",IF(E1063&lt;=3,6,IF(E1063&lt;=6,5,IF(E1063&lt;=9,4,IF(E1063&lt;=12,3,IF(E1063&lt;=15,2,0))))))</f>
        <v/>
      </c>
      <c r="G1063" s="3" t="n"/>
      <c r="H1063" s="4">
        <f>IF(I1063="Штраф -2",-2,IF(OR(F1063="",G1063=""),"",F1063*G1063+IF(J1063="",0,J1063)))</f>
        <v/>
      </c>
      <c r="I1063" s="3" t="n"/>
      <c r="J1063" s="3" t="n"/>
      <c r="K1063" s="3" t="n"/>
    </row>
    <row r="1064">
      <c r="A1064" s="3" t="n"/>
      <c r="B1064" s="3" t="n"/>
      <c r="C1064" s="3" t="n"/>
      <c r="D1064" s="3" t="n"/>
      <c r="E1064" s="4">
        <f>IF(A1064="","",COUNTIFS($A$4:A1064,A1064,$I$4:I1064,"&lt;&gt;Штраф -2",$I$4:I1064,"&lt;&gt;ушел на базу"))</f>
        <v/>
      </c>
      <c r="F1064" s="4">
        <f>IF(E1064="","",IF(E1064&lt;=3,6,IF(E1064&lt;=6,5,IF(E1064&lt;=9,4,IF(E1064&lt;=12,3,IF(E1064&lt;=15,2,0))))))</f>
        <v/>
      </c>
      <c r="G1064" s="3" t="n"/>
      <c r="H1064" s="4">
        <f>IF(I1064="Штраф -2",-2,IF(OR(F1064="",G1064=""),"",F1064*G1064+IF(J1064="",0,J1064)))</f>
        <v/>
      </c>
      <c r="I1064" s="3" t="n"/>
      <c r="J1064" s="3" t="n"/>
      <c r="K1064" s="3" t="n"/>
    </row>
    <row r="1065">
      <c r="A1065" s="3" t="n"/>
      <c r="B1065" s="3" t="n"/>
      <c r="C1065" s="3" t="n"/>
      <c r="D1065" s="3" t="n"/>
      <c r="E1065" s="4">
        <f>IF(A1065="","",COUNTIFS($A$4:A1065,A1065,$I$4:I1065,"&lt;&gt;Штраф -2",$I$4:I1065,"&lt;&gt;ушел на базу"))</f>
        <v/>
      </c>
      <c r="F1065" s="4">
        <f>IF(E1065="","",IF(E1065&lt;=3,6,IF(E1065&lt;=6,5,IF(E1065&lt;=9,4,IF(E1065&lt;=12,3,IF(E1065&lt;=15,2,0))))))</f>
        <v/>
      </c>
      <c r="G1065" s="3" t="n"/>
      <c r="H1065" s="4">
        <f>IF(I1065="Штраф -2",-2,IF(OR(F1065="",G1065=""),"",F1065*G1065+IF(J1065="",0,J1065)))</f>
        <v/>
      </c>
      <c r="I1065" s="3" t="n"/>
      <c r="J1065" s="3" t="n"/>
      <c r="K1065" s="3" t="n"/>
    </row>
    <row r="1066">
      <c r="A1066" s="3" t="n"/>
      <c r="B1066" s="3" t="n"/>
      <c r="C1066" s="3" t="n"/>
      <c r="D1066" s="3" t="n"/>
      <c r="E1066" s="4">
        <f>IF(A1066="","",COUNTIFS($A$4:A1066,A1066,$I$4:I1066,"&lt;&gt;Штраф -2",$I$4:I1066,"&lt;&gt;ушел на базу"))</f>
        <v/>
      </c>
      <c r="F1066" s="4">
        <f>IF(E1066="","",IF(E1066&lt;=3,6,IF(E1066&lt;=6,5,IF(E1066&lt;=9,4,IF(E1066&lt;=12,3,IF(E1066&lt;=15,2,0))))))</f>
        <v/>
      </c>
      <c r="G1066" s="3" t="n"/>
      <c r="H1066" s="4">
        <f>IF(I1066="Штраф -2",-2,IF(OR(F1066="",G1066=""),"",F1066*G1066+IF(J1066="",0,J1066)))</f>
        <v/>
      </c>
      <c r="I1066" s="3" t="n"/>
      <c r="J1066" s="3" t="n"/>
      <c r="K1066" s="3" t="n"/>
    </row>
    <row r="1067">
      <c r="A1067" s="3" t="n"/>
      <c r="B1067" s="3" t="n"/>
      <c r="C1067" s="3" t="n"/>
      <c r="D1067" s="3" t="n"/>
      <c r="E1067" s="4">
        <f>IF(A1067="","",COUNTIFS($A$4:A1067,A1067,$I$4:I1067,"&lt;&gt;Штраф -2",$I$4:I1067,"&lt;&gt;ушел на базу"))</f>
        <v/>
      </c>
      <c r="F1067" s="4">
        <f>IF(E1067="","",IF(E1067&lt;=3,6,IF(E1067&lt;=6,5,IF(E1067&lt;=9,4,IF(E1067&lt;=12,3,IF(E1067&lt;=15,2,0))))))</f>
        <v/>
      </c>
      <c r="G1067" s="3" t="n"/>
      <c r="H1067" s="4">
        <f>IF(I1067="Штраф -2",-2,IF(OR(F1067="",G1067=""),"",F1067*G1067+IF(J1067="",0,J1067)))</f>
        <v/>
      </c>
      <c r="I1067" s="3" t="n"/>
      <c r="J1067" s="3" t="n"/>
      <c r="K1067" s="3" t="n"/>
    </row>
    <row r="1068">
      <c r="A1068" s="3" t="n"/>
      <c r="B1068" s="3" t="n"/>
      <c r="C1068" s="3" t="n"/>
      <c r="D1068" s="3" t="n"/>
      <c r="E1068" s="4">
        <f>IF(A1068="","",COUNTIFS($A$4:A1068,A1068,$I$4:I1068,"&lt;&gt;Штраф -2",$I$4:I1068,"&lt;&gt;ушел на базу"))</f>
        <v/>
      </c>
      <c r="F1068" s="4">
        <f>IF(E1068="","",IF(E1068&lt;=3,6,IF(E1068&lt;=6,5,IF(E1068&lt;=9,4,IF(E1068&lt;=12,3,IF(E1068&lt;=15,2,0))))))</f>
        <v/>
      </c>
      <c r="G1068" s="3" t="n"/>
      <c r="H1068" s="4">
        <f>IF(I1068="Штраф -2",-2,IF(OR(F1068="",G1068=""),"",F1068*G1068+IF(J1068="",0,J1068)))</f>
        <v/>
      </c>
      <c r="I1068" s="3" t="n"/>
      <c r="J1068" s="3" t="n"/>
      <c r="K1068" s="3" t="n"/>
    </row>
    <row r="1069">
      <c r="A1069" s="3" t="n"/>
      <c r="B1069" s="3" t="n"/>
      <c r="C1069" s="3" t="n"/>
      <c r="D1069" s="3" t="n"/>
      <c r="E1069" s="4">
        <f>IF(A1069="","",COUNTIFS($A$4:A1069,A1069,$I$4:I1069,"&lt;&gt;Штраф -2",$I$4:I1069,"&lt;&gt;ушел на базу"))</f>
        <v/>
      </c>
      <c r="F1069" s="4">
        <f>IF(E1069="","",IF(E1069&lt;=3,6,IF(E1069&lt;=6,5,IF(E1069&lt;=9,4,IF(E1069&lt;=12,3,IF(E1069&lt;=15,2,0))))))</f>
        <v/>
      </c>
      <c r="G1069" s="3" t="n"/>
      <c r="H1069" s="4">
        <f>IF(I1069="Штраф -2",-2,IF(OR(F1069="",G1069=""),"",F1069*G1069+IF(J1069="",0,J1069)))</f>
        <v/>
      </c>
      <c r="I1069" s="3" t="n"/>
      <c r="J1069" s="3" t="n"/>
      <c r="K1069" s="3" t="n"/>
    </row>
    <row r="1070">
      <c r="A1070" s="3" t="n"/>
      <c r="B1070" s="3" t="n"/>
      <c r="C1070" s="3" t="n"/>
      <c r="D1070" s="3" t="n"/>
      <c r="E1070" s="4">
        <f>IF(A1070="","",COUNTIFS($A$4:A1070,A1070,$I$4:I1070,"&lt;&gt;Штраф -2",$I$4:I1070,"&lt;&gt;ушел на базу"))</f>
        <v/>
      </c>
      <c r="F1070" s="4">
        <f>IF(E1070="","",IF(E1070&lt;=3,6,IF(E1070&lt;=6,5,IF(E1070&lt;=9,4,IF(E1070&lt;=12,3,IF(E1070&lt;=15,2,0))))))</f>
        <v/>
      </c>
      <c r="G1070" s="3" t="n"/>
      <c r="H1070" s="4">
        <f>IF(I1070="Штраф -2",-2,IF(OR(F1070="",G1070=""),"",F1070*G1070+IF(J1070="",0,J1070)))</f>
        <v/>
      </c>
      <c r="I1070" s="3" t="n"/>
      <c r="J1070" s="3" t="n"/>
      <c r="K1070" s="3" t="n"/>
    </row>
    <row r="1071">
      <c r="A1071" s="3" t="n"/>
      <c r="B1071" s="3" t="n"/>
      <c r="C1071" s="3" t="n"/>
      <c r="D1071" s="3" t="n"/>
      <c r="E1071" s="4">
        <f>IF(A1071="","",COUNTIFS($A$4:A1071,A1071,$I$4:I1071,"&lt;&gt;Штраф -2",$I$4:I1071,"&lt;&gt;ушел на базу"))</f>
        <v/>
      </c>
      <c r="F1071" s="4">
        <f>IF(E1071="","",IF(E1071&lt;=3,6,IF(E1071&lt;=6,5,IF(E1071&lt;=9,4,IF(E1071&lt;=12,3,IF(E1071&lt;=15,2,0))))))</f>
        <v/>
      </c>
      <c r="G1071" s="3" t="n"/>
      <c r="H1071" s="4">
        <f>IF(I1071="Штраф -2",-2,IF(OR(F1071="",G1071=""),"",F1071*G1071+IF(J1071="",0,J1071)))</f>
        <v/>
      </c>
      <c r="I1071" s="3" t="n"/>
      <c r="J1071" s="3" t="n"/>
      <c r="K1071" s="3" t="n"/>
    </row>
    <row r="1072">
      <c r="A1072" s="3" t="n"/>
      <c r="B1072" s="3" t="n"/>
      <c r="C1072" s="3" t="n"/>
      <c r="D1072" s="3" t="n"/>
      <c r="E1072" s="4">
        <f>IF(A1072="","",COUNTIFS($A$4:A1072,A1072,$I$4:I1072,"&lt;&gt;Штраф -2",$I$4:I1072,"&lt;&gt;ушел на базу"))</f>
        <v/>
      </c>
      <c r="F1072" s="4">
        <f>IF(E1072="","",IF(E1072&lt;=3,6,IF(E1072&lt;=6,5,IF(E1072&lt;=9,4,IF(E1072&lt;=12,3,IF(E1072&lt;=15,2,0))))))</f>
        <v/>
      </c>
      <c r="G1072" s="3" t="n"/>
      <c r="H1072" s="4">
        <f>IF(I1072="Штраф -2",-2,IF(OR(F1072="",G1072=""),"",F1072*G1072+IF(J1072="",0,J1072)))</f>
        <v/>
      </c>
      <c r="I1072" s="3" t="n"/>
      <c r="J1072" s="3" t="n"/>
      <c r="K1072" s="3" t="n"/>
    </row>
    <row r="1073">
      <c r="A1073" s="3" t="n"/>
      <c r="B1073" s="3" t="n"/>
      <c r="C1073" s="3" t="n"/>
      <c r="D1073" s="3" t="n"/>
      <c r="E1073" s="4">
        <f>IF(A1073="","",COUNTIFS($A$4:A1073,A1073,$I$4:I1073,"&lt;&gt;Штраф -2",$I$4:I1073,"&lt;&gt;ушел на базу"))</f>
        <v/>
      </c>
      <c r="F1073" s="4">
        <f>IF(E1073="","",IF(E1073&lt;=3,6,IF(E1073&lt;=6,5,IF(E1073&lt;=9,4,IF(E1073&lt;=12,3,IF(E1073&lt;=15,2,0))))))</f>
        <v/>
      </c>
      <c r="G1073" s="3" t="n"/>
      <c r="H1073" s="4">
        <f>IF(I1073="Штраф -2",-2,IF(OR(F1073="",G1073=""),"",F1073*G1073+IF(J1073="",0,J1073)))</f>
        <v/>
      </c>
      <c r="I1073" s="3" t="n"/>
      <c r="J1073" s="3" t="n"/>
      <c r="K1073" s="3" t="n"/>
    </row>
    <row r="1074">
      <c r="A1074" s="3" t="n"/>
      <c r="B1074" s="3" t="n"/>
      <c r="C1074" s="3" t="n"/>
      <c r="D1074" s="3" t="n"/>
      <c r="E1074" s="4">
        <f>IF(A1074="","",COUNTIFS($A$4:A1074,A1074,$I$4:I1074,"&lt;&gt;Штраф -2",$I$4:I1074,"&lt;&gt;ушел на базу"))</f>
        <v/>
      </c>
      <c r="F1074" s="4">
        <f>IF(E1074="","",IF(E1074&lt;=3,6,IF(E1074&lt;=6,5,IF(E1074&lt;=9,4,IF(E1074&lt;=12,3,IF(E1074&lt;=15,2,0))))))</f>
        <v/>
      </c>
      <c r="G1074" s="3" t="n"/>
      <c r="H1074" s="4">
        <f>IF(I1074="Штраф -2",-2,IF(OR(F1074="",G1074=""),"",F1074*G1074+IF(J1074="",0,J1074)))</f>
        <v/>
      </c>
      <c r="I1074" s="3" t="n"/>
      <c r="J1074" s="3" t="n"/>
      <c r="K1074" s="3" t="n"/>
    </row>
    <row r="1075">
      <c r="A1075" s="3" t="n"/>
      <c r="B1075" s="3" t="n"/>
      <c r="C1075" s="3" t="n"/>
      <c r="D1075" s="3" t="n"/>
      <c r="E1075" s="4">
        <f>IF(A1075="","",COUNTIFS($A$4:A1075,A1075,$I$4:I1075,"&lt;&gt;Штраф -2",$I$4:I1075,"&lt;&gt;ушел на базу"))</f>
        <v/>
      </c>
      <c r="F1075" s="4">
        <f>IF(E1075="","",IF(E1075&lt;=3,6,IF(E1075&lt;=6,5,IF(E1075&lt;=9,4,IF(E1075&lt;=12,3,IF(E1075&lt;=15,2,0))))))</f>
        <v/>
      </c>
      <c r="G1075" s="3" t="n"/>
      <c r="H1075" s="4">
        <f>IF(I1075="Штраф -2",-2,IF(OR(F1075="",G1075=""),"",F1075*G1075+IF(J1075="",0,J1075)))</f>
        <v/>
      </c>
      <c r="I1075" s="3" t="n"/>
      <c r="J1075" s="3" t="n"/>
      <c r="K1075" s="3" t="n"/>
    </row>
    <row r="1076">
      <c r="A1076" s="3" t="n"/>
      <c r="B1076" s="3" t="n"/>
      <c r="C1076" s="3" t="n"/>
      <c r="D1076" s="3" t="n"/>
      <c r="E1076" s="4">
        <f>IF(A1076="","",COUNTIFS($A$4:A1076,A1076,$I$4:I1076,"&lt;&gt;Штраф -2",$I$4:I1076,"&lt;&gt;ушел на базу"))</f>
        <v/>
      </c>
      <c r="F1076" s="4">
        <f>IF(E1076="","",IF(E1076&lt;=3,6,IF(E1076&lt;=6,5,IF(E1076&lt;=9,4,IF(E1076&lt;=12,3,IF(E1076&lt;=15,2,0))))))</f>
        <v/>
      </c>
      <c r="G1076" s="3" t="n"/>
      <c r="H1076" s="4">
        <f>IF(I1076="Штраф -2",-2,IF(OR(F1076="",G1076=""),"",F1076*G1076+IF(J1076="",0,J1076)))</f>
        <v/>
      </c>
      <c r="I1076" s="3" t="n"/>
      <c r="J1076" s="3" t="n"/>
      <c r="K1076" s="3" t="n"/>
    </row>
    <row r="1077">
      <c r="A1077" s="3" t="n"/>
      <c r="B1077" s="3" t="n"/>
      <c r="C1077" s="3" t="n"/>
      <c r="D1077" s="3" t="n"/>
      <c r="E1077" s="4">
        <f>IF(A1077="","",COUNTIFS($A$4:A1077,A1077,$I$4:I1077,"&lt;&gt;Штраф -2",$I$4:I1077,"&lt;&gt;ушел на базу"))</f>
        <v/>
      </c>
      <c r="F1077" s="4">
        <f>IF(E1077="","",IF(E1077&lt;=3,6,IF(E1077&lt;=6,5,IF(E1077&lt;=9,4,IF(E1077&lt;=12,3,IF(E1077&lt;=15,2,0))))))</f>
        <v/>
      </c>
      <c r="G1077" s="3" t="n"/>
      <c r="H1077" s="4">
        <f>IF(I1077="Штраф -2",-2,IF(OR(F1077="",G1077=""),"",F1077*G1077+IF(J1077="",0,J1077)))</f>
        <v/>
      </c>
      <c r="I1077" s="3" t="n"/>
      <c r="J1077" s="3" t="n"/>
      <c r="K1077" s="3" t="n"/>
    </row>
    <row r="1078">
      <c r="A1078" s="3" t="n"/>
      <c r="B1078" s="3" t="n"/>
      <c r="C1078" s="3" t="n"/>
      <c r="D1078" s="3" t="n"/>
      <c r="E1078" s="4">
        <f>IF(A1078="","",COUNTIFS($A$4:A1078,A1078,$I$4:I1078,"&lt;&gt;Штраф -2",$I$4:I1078,"&lt;&gt;ушел на базу"))</f>
        <v/>
      </c>
      <c r="F1078" s="4">
        <f>IF(E1078="","",IF(E1078&lt;=3,6,IF(E1078&lt;=6,5,IF(E1078&lt;=9,4,IF(E1078&lt;=12,3,IF(E1078&lt;=15,2,0))))))</f>
        <v/>
      </c>
      <c r="G1078" s="3" t="n"/>
      <c r="H1078" s="4">
        <f>IF(I1078="Штраф -2",-2,IF(OR(F1078="",G1078=""),"",F1078*G1078+IF(J1078="",0,J1078)))</f>
        <v/>
      </c>
      <c r="I1078" s="3" t="n"/>
      <c r="J1078" s="3" t="n"/>
      <c r="K1078" s="3" t="n"/>
    </row>
    <row r="1079">
      <c r="A1079" s="3" t="n"/>
      <c r="B1079" s="3" t="n"/>
      <c r="C1079" s="3" t="n"/>
      <c r="D1079" s="3" t="n"/>
      <c r="E1079" s="4">
        <f>IF(A1079="","",COUNTIFS($A$4:A1079,A1079,$I$4:I1079,"&lt;&gt;Штраф -2",$I$4:I1079,"&lt;&gt;ушел на базу"))</f>
        <v/>
      </c>
      <c r="F1079" s="4">
        <f>IF(E1079="","",IF(E1079&lt;=3,6,IF(E1079&lt;=6,5,IF(E1079&lt;=9,4,IF(E1079&lt;=12,3,IF(E1079&lt;=15,2,0))))))</f>
        <v/>
      </c>
      <c r="G1079" s="3" t="n"/>
      <c r="H1079" s="4">
        <f>IF(I1079="Штраф -2",-2,IF(OR(F1079="",G1079=""),"",F1079*G1079+IF(J1079="",0,J1079)))</f>
        <v/>
      </c>
      <c r="I1079" s="3" t="n"/>
      <c r="J1079" s="3" t="n"/>
      <c r="K1079" s="3" t="n"/>
    </row>
    <row r="1080">
      <c r="A1080" s="3" t="n"/>
      <c r="B1080" s="3" t="n"/>
      <c r="C1080" s="3" t="n"/>
      <c r="D1080" s="3" t="n"/>
      <c r="E1080" s="4">
        <f>IF(A1080="","",COUNTIFS($A$4:A1080,A1080,$I$4:I1080,"&lt;&gt;Штраф -2",$I$4:I1080,"&lt;&gt;ушел на базу"))</f>
        <v/>
      </c>
      <c r="F1080" s="4">
        <f>IF(E1080="","",IF(E1080&lt;=3,6,IF(E1080&lt;=6,5,IF(E1080&lt;=9,4,IF(E1080&lt;=12,3,IF(E1080&lt;=15,2,0))))))</f>
        <v/>
      </c>
      <c r="G1080" s="3" t="n"/>
      <c r="H1080" s="4">
        <f>IF(I1080="Штраф -2",-2,IF(OR(F1080="",G1080=""),"",F1080*G1080+IF(J1080="",0,J1080)))</f>
        <v/>
      </c>
      <c r="I1080" s="3" t="n"/>
      <c r="J1080" s="3" t="n"/>
      <c r="K1080" s="3" t="n"/>
    </row>
    <row r="1081">
      <c r="A1081" s="3" t="n"/>
      <c r="B1081" s="3" t="n"/>
      <c r="C1081" s="3" t="n"/>
      <c r="D1081" s="3" t="n"/>
      <c r="E1081" s="4">
        <f>IF(A1081="","",COUNTIFS($A$4:A1081,A1081,$I$4:I1081,"&lt;&gt;Штраф -2",$I$4:I1081,"&lt;&gt;ушел на базу"))</f>
        <v/>
      </c>
      <c r="F1081" s="4">
        <f>IF(E1081="","",IF(E1081&lt;=3,6,IF(E1081&lt;=6,5,IF(E1081&lt;=9,4,IF(E1081&lt;=12,3,IF(E1081&lt;=15,2,0))))))</f>
        <v/>
      </c>
      <c r="G1081" s="3" t="n"/>
      <c r="H1081" s="4">
        <f>IF(I1081="Штраф -2",-2,IF(OR(F1081="",G1081=""),"",F1081*G1081+IF(J1081="",0,J1081)))</f>
        <v/>
      </c>
      <c r="I1081" s="3" t="n"/>
      <c r="J1081" s="3" t="n"/>
      <c r="K1081" s="3" t="n"/>
    </row>
    <row r="1082">
      <c r="A1082" s="3" t="n"/>
      <c r="B1082" s="3" t="n"/>
      <c r="C1082" s="3" t="n"/>
      <c r="D1082" s="3" t="n"/>
      <c r="E1082" s="4">
        <f>IF(A1082="","",COUNTIFS($A$4:A1082,A1082,$I$4:I1082,"&lt;&gt;Штраф -2",$I$4:I1082,"&lt;&gt;ушел на базу"))</f>
        <v/>
      </c>
      <c r="F1082" s="4">
        <f>IF(E1082="","",IF(E1082&lt;=3,6,IF(E1082&lt;=6,5,IF(E1082&lt;=9,4,IF(E1082&lt;=12,3,IF(E1082&lt;=15,2,0))))))</f>
        <v/>
      </c>
      <c r="G1082" s="3" t="n"/>
      <c r="H1082" s="4">
        <f>IF(I1082="Штраф -2",-2,IF(OR(F1082="",G1082=""),"",F1082*G1082+IF(J1082="",0,J1082)))</f>
        <v/>
      </c>
      <c r="I1082" s="3" t="n"/>
      <c r="J1082" s="3" t="n"/>
      <c r="K1082" s="3" t="n"/>
    </row>
    <row r="1083">
      <c r="A1083" s="3" t="n"/>
      <c r="B1083" s="3" t="n"/>
      <c r="C1083" s="3" t="n"/>
      <c r="D1083" s="3" t="n"/>
      <c r="E1083" s="4">
        <f>IF(A1083="","",COUNTIFS($A$4:A1083,A1083,$I$4:I1083,"&lt;&gt;Штраф -2",$I$4:I1083,"&lt;&gt;ушел на базу"))</f>
        <v/>
      </c>
      <c r="F1083" s="4">
        <f>IF(E1083="","",IF(E1083&lt;=3,6,IF(E1083&lt;=6,5,IF(E1083&lt;=9,4,IF(E1083&lt;=12,3,IF(E1083&lt;=15,2,0))))))</f>
        <v/>
      </c>
      <c r="G1083" s="3" t="n"/>
      <c r="H1083" s="4">
        <f>IF(I1083="Штраф -2",-2,IF(OR(F1083="",G1083=""),"",F1083*G1083+IF(J1083="",0,J1083)))</f>
        <v/>
      </c>
      <c r="I1083" s="3" t="n"/>
      <c r="J1083" s="3" t="n"/>
      <c r="K1083" s="3" t="n"/>
    </row>
    <row r="1084">
      <c r="A1084" s="3" t="n"/>
      <c r="B1084" s="3" t="n"/>
      <c r="C1084" s="3" t="n"/>
      <c r="D1084" s="3" t="n"/>
      <c r="E1084" s="4">
        <f>IF(A1084="","",COUNTIFS($A$4:A1084,A1084,$I$4:I1084,"&lt;&gt;Штраф -2",$I$4:I1084,"&lt;&gt;ушел на базу"))</f>
        <v/>
      </c>
      <c r="F1084" s="4">
        <f>IF(E1084="","",IF(E1084&lt;=3,6,IF(E1084&lt;=6,5,IF(E1084&lt;=9,4,IF(E1084&lt;=12,3,IF(E1084&lt;=15,2,0))))))</f>
        <v/>
      </c>
      <c r="G1084" s="3" t="n"/>
      <c r="H1084" s="4">
        <f>IF(I1084="Штраф -2",-2,IF(OR(F1084="",G1084=""),"",F1084*G1084+IF(J1084="",0,J1084)))</f>
        <v/>
      </c>
      <c r="I1084" s="3" t="n"/>
      <c r="J1084" s="3" t="n"/>
      <c r="K1084" s="3" t="n"/>
    </row>
    <row r="1085">
      <c r="A1085" s="3" t="n"/>
      <c r="B1085" s="3" t="n"/>
      <c r="C1085" s="3" t="n"/>
      <c r="D1085" s="3" t="n"/>
      <c r="E1085" s="4">
        <f>IF(A1085="","",COUNTIFS($A$4:A1085,A1085,$I$4:I1085,"&lt;&gt;Штраф -2",$I$4:I1085,"&lt;&gt;ушел на базу"))</f>
        <v/>
      </c>
      <c r="F1085" s="4">
        <f>IF(E1085="","",IF(E1085&lt;=3,6,IF(E1085&lt;=6,5,IF(E1085&lt;=9,4,IF(E1085&lt;=12,3,IF(E1085&lt;=15,2,0))))))</f>
        <v/>
      </c>
      <c r="G1085" s="3" t="n"/>
      <c r="H1085" s="4">
        <f>IF(I1085="Штраф -2",-2,IF(OR(F1085="",G1085=""),"",F1085*G1085+IF(J1085="",0,J1085)))</f>
        <v/>
      </c>
      <c r="I1085" s="3" t="n"/>
      <c r="J1085" s="3" t="n"/>
      <c r="K1085" s="3" t="n"/>
    </row>
    <row r="1086">
      <c r="A1086" s="3" t="n"/>
      <c r="B1086" s="3" t="n"/>
      <c r="C1086" s="3" t="n"/>
      <c r="D1086" s="3" t="n"/>
      <c r="E1086" s="4">
        <f>IF(A1086="","",COUNTIFS($A$4:A1086,A1086,$I$4:I1086,"&lt;&gt;Штраф -2",$I$4:I1086,"&lt;&gt;ушел на базу"))</f>
        <v/>
      </c>
      <c r="F1086" s="4">
        <f>IF(E1086="","",IF(E1086&lt;=3,6,IF(E1086&lt;=6,5,IF(E1086&lt;=9,4,IF(E1086&lt;=12,3,IF(E1086&lt;=15,2,0))))))</f>
        <v/>
      </c>
      <c r="G1086" s="3" t="n"/>
      <c r="H1086" s="4">
        <f>IF(I1086="Штраф -2",-2,IF(OR(F1086="",G1086=""),"",F1086*G1086+IF(J1086="",0,J1086)))</f>
        <v/>
      </c>
      <c r="I1086" s="3" t="n"/>
      <c r="J1086" s="3" t="n"/>
      <c r="K1086" s="3" t="n"/>
    </row>
    <row r="1087">
      <c r="A1087" s="3" t="n"/>
      <c r="B1087" s="3" t="n"/>
      <c r="C1087" s="3" t="n"/>
      <c r="D1087" s="3" t="n"/>
      <c r="E1087" s="4">
        <f>IF(A1087="","",COUNTIFS($A$4:A1087,A1087,$I$4:I1087,"&lt;&gt;Штраф -2",$I$4:I1087,"&lt;&gt;ушел на базу"))</f>
        <v/>
      </c>
      <c r="F1087" s="4">
        <f>IF(E1087="","",IF(E1087&lt;=3,6,IF(E1087&lt;=6,5,IF(E1087&lt;=9,4,IF(E1087&lt;=12,3,IF(E1087&lt;=15,2,0))))))</f>
        <v/>
      </c>
      <c r="G1087" s="3" t="n"/>
      <c r="H1087" s="4">
        <f>IF(I1087="Штраф -2",-2,IF(OR(F1087="",G1087=""),"",F1087*G1087+IF(J1087="",0,J1087)))</f>
        <v/>
      </c>
      <c r="I1087" s="3" t="n"/>
      <c r="J1087" s="3" t="n"/>
      <c r="K1087" s="3" t="n"/>
    </row>
    <row r="1088">
      <c r="A1088" s="3" t="n"/>
      <c r="B1088" s="3" t="n"/>
      <c r="C1088" s="3" t="n"/>
      <c r="D1088" s="3" t="n"/>
      <c r="E1088" s="4">
        <f>IF(A1088="","",COUNTIFS($A$4:A1088,A1088,$I$4:I1088,"&lt;&gt;Штраф -2",$I$4:I1088,"&lt;&gt;ушел на базу"))</f>
        <v/>
      </c>
      <c r="F1088" s="4">
        <f>IF(E1088="","",IF(E1088&lt;=3,6,IF(E1088&lt;=6,5,IF(E1088&lt;=9,4,IF(E1088&lt;=12,3,IF(E1088&lt;=15,2,0))))))</f>
        <v/>
      </c>
      <c r="G1088" s="3" t="n"/>
      <c r="H1088" s="4">
        <f>IF(I1088="Штраф -2",-2,IF(OR(F1088="",G1088=""),"",F1088*G1088+IF(J1088="",0,J1088)))</f>
        <v/>
      </c>
      <c r="I1088" s="3" t="n"/>
      <c r="J1088" s="3" t="n"/>
      <c r="K1088" s="3" t="n"/>
    </row>
    <row r="1089">
      <c r="A1089" s="3" t="n"/>
      <c r="B1089" s="3" t="n"/>
      <c r="C1089" s="3" t="n"/>
      <c r="D1089" s="3" t="n"/>
      <c r="E1089" s="4">
        <f>IF(A1089="","",COUNTIFS($A$4:A1089,A1089,$I$4:I1089,"&lt;&gt;Штраф -2",$I$4:I1089,"&lt;&gt;ушел на базу"))</f>
        <v/>
      </c>
      <c r="F1089" s="4">
        <f>IF(E1089="","",IF(E1089&lt;=3,6,IF(E1089&lt;=6,5,IF(E1089&lt;=9,4,IF(E1089&lt;=12,3,IF(E1089&lt;=15,2,0))))))</f>
        <v/>
      </c>
      <c r="G1089" s="3" t="n"/>
      <c r="H1089" s="4">
        <f>IF(I1089="Штраф -2",-2,IF(OR(F1089="",G1089=""),"",F1089*G1089+IF(J1089="",0,J1089)))</f>
        <v/>
      </c>
      <c r="I1089" s="3" t="n"/>
      <c r="J1089" s="3" t="n"/>
      <c r="K1089" s="3" t="n"/>
    </row>
    <row r="1090">
      <c r="A1090" s="3" t="n"/>
      <c r="B1090" s="3" t="n"/>
      <c r="C1090" s="3" t="n"/>
      <c r="D1090" s="3" t="n"/>
      <c r="E1090" s="4">
        <f>IF(A1090="","",COUNTIFS($A$4:A1090,A1090,$I$4:I1090,"&lt;&gt;Штраф -2",$I$4:I1090,"&lt;&gt;ушел на базу"))</f>
        <v/>
      </c>
      <c r="F1090" s="4">
        <f>IF(E1090="","",IF(E1090&lt;=3,6,IF(E1090&lt;=6,5,IF(E1090&lt;=9,4,IF(E1090&lt;=12,3,IF(E1090&lt;=15,2,0))))))</f>
        <v/>
      </c>
      <c r="G1090" s="3" t="n"/>
      <c r="H1090" s="4">
        <f>IF(I1090="Штраф -2",-2,IF(OR(F1090="",G1090=""),"",F1090*G1090+IF(J1090="",0,J1090)))</f>
        <v/>
      </c>
      <c r="I1090" s="3" t="n"/>
      <c r="J1090" s="3" t="n"/>
      <c r="K1090" s="3" t="n"/>
    </row>
    <row r="1091">
      <c r="A1091" s="3" t="n"/>
      <c r="B1091" s="3" t="n"/>
      <c r="C1091" s="3" t="n"/>
      <c r="D1091" s="3" t="n"/>
      <c r="E1091" s="4">
        <f>IF(A1091="","",COUNTIFS($A$4:A1091,A1091,$I$4:I1091,"&lt;&gt;Штраф -2",$I$4:I1091,"&lt;&gt;ушел на базу"))</f>
        <v/>
      </c>
      <c r="F1091" s="4">
        <f>IF(E1091="","",IF(E1091&lt;=3,6,IF(E1091&lt;=6,5,IF(E1091&lt;=9,4,IF(E1091&lt;=12,3,IF(E1091&lt;=15,2,0))))))</f>
        <v/>
      </c>
      <c r="G1091" s="3" t="n"/>
      <c r="H1091" s="4">
        <f>IF(I1091="Штраф -2",-2,IF(OR(F1091="",G1091=""),"",F1091*G1091+IF(J1091="",0,J1091)))</f>
        <v/>
      </c>
      <c r="I1091" s="3" t="n"/>
      <c r="J1091" s="3" t="n"/>
      <c r="K1091" s="3" t="n"/>
    </row>
    <row r="1092">
      <c r="A1092" s="3" t="n"/>
      <c r="B1092" s="3" t="n"/>
      <c r="C1092" s="3" t="n"/>
      <c r="D1092" s="3" t="n"/>
      <c r="E1092" s="4">
        <f>IF(A1092="","",COUNTIFS($A$4:A1092,A1092,$I$4:I1092,"&lt;&gt;Штраф -2",$I$4:I1092,"&lt;&gt;ушел на базу"))</f>
        <v/>
      </c>
      <c r="F1092" s="4">
        <f>IF(E1092="","",IF(E1092&lt;=3,6,IF(E1092&lt;=6,5,IF(E1092&lt;=9,4,IF(E1092&lt;=12,3,IF(E1092&lt;=15,2,0))))))</f>
        <v/>
      </c>
      <c r="G1092" s="3" t="n"/>
      <c r="H1092" s="4">
        <f>IF(I1092="Штраф -2",-2,IF(OR(F1092="",G1092=""),"",F1092*G1092+IF(J1092="",0,J1092)))</f>
        <v/>
      </c>
      <c r="I1092" s="3" t="n"/>
      <c r="J1092" s="3" t="n"/>
      <c r="K1092" s="3" t="n"/>
    </row>
    <row r="1093">
      <c r="A1093" s="3" t="n"/>
      <c r="B1093" s="3" t="n"/>
      <c r="C1093" s="3" t="n"/>
      <c r="D1093" s="3" t="n"/>
      <c r="E1093" s="4">
        <f>IF(A1093="","",COUNTIFS($A$4:A1093,A1093,$I$4:I1093,"&lt;&gt;Штраф -2",$I$4:I1093,"&lt;&gt;ушел на базу"))</f>
        <v/>
      </c>
      <c r="F1093" s="4">
        <f>IF(E1093="","",IF(E1093&lt;=3,6,IF(E1093&lt;=6,5,IF(E1093&lt;=9,4,IF(E1093&lt;=12,3,IF(E1093&lt;=15,2,0))))))</f>
        <v/>
      </c>
      <c r="G1093" s="3" t="n"/>
      <c r="H1093" s="4">
        <f>IF(I1093="Штраф -2",-2,IF(OR(F1093="",G1093=""),"",F1093*G1093+IF(J1093="",0,J1093)))</f>
        <v/>
      </c>
      <c r="I1093" s="3" t="n"/>
      <c r="J1093" s="3" t="n"/>
      <c r="K1093" s="3" t="n"/>
    </row>
    <row r="1094">
      <c r="A1094" s="3" t="n"/>
      <c r="B1094" s="3" t="n"/>
      <c r="C1094" s="3" t="n"/>
      <c r="D1094" s="3" t="n"/>
      <c r="E1094" s="4">
        <f>IF(A1094="","",COUNTIFS($A$4:A1094,A1094,$I$4:I1094,"&lt;&gt;Штраф -2",$I$4:I1094,"&lt;&gt;ушел на базу"))</f>
        <v/>
      </c>
      <c r="F1094" s="4">
        <f>IF(E1094="","",IF(E1094&lt;=3,6,IF(E1094&lt;=6,5,IF(E1094&lt;=9,4,IF(E1094&lt;=12,3,IF(E1094&lt;=15,2,0))))))</f>
        <v/>
      </c>
      <c r="G1094" s="3" t="n"/>
      <c r="H1094" s="4">
        <f>IF(I1094="Штраф -2",-2,IF(OR(F1094="",G1094=""),"",F1094*G1094+IF(J1094="",0,J1094)))</f>
        <v/>
      </c>
      <c r="I1094" s="3" t="n"/>
      <c r="J1094" s="3" t="n"/>
      <c r="K1094" s="3" t="n"/>
    </row>
    <row r="1095">
      <c r="A1095" s="3" t="n"/>
      <c r="B1095" s="3" t="n"/>
      <c r="C1095" s="3" t="n"/>
      <c r="D1095" s="3" t="n"/>
      <c r="E1095" s="4">
        <f>IF(A1095="","",COUNTIFS($A$4:A1095,A1095,$I$4:I1095,"&lt;&gt;Штраф -2",$I$4:I1095,"&lt;&gt;ушел на базу"))</f>
        <v/>
      </c>
      <c r="F1095" s="4">
        <f>IF(E1095="","",IF(E1095&lt;=3,6,IF(E1095&lt;=6,5,IF(E1095&lt;=9,4,IF(E1095&lt;=12,3,IF(E1095&lt;=15,2,0))))))</f>
        <v/>
      </c>
      <c r="G1095" s="3" t="n"/>
      <c r="H1095" s="4">
        <f>IF(I1095="Штраф -2",-2,IF(OR(F1095="",G1095=""),"",F1095*G1095+IF(J1095="",0,J1095)))</f>
        <v/>
      </c>
      <c r="I1095" s="3" t="n"/>
      <c r="J1095" s="3" t="n"/>
      <c r="K1095" s="3" t="n"/>
    </row>
    <row r="1096">
      <c r="A1096" s="3" t="n"/>
      <c r="B1096" s="3" t="n"/>
      <c r="C1096" s="3" t="n"/>
      <c r="D1096" s="3" t="n"/>
      <c r="E1096" s="4">
        <f>IF(A1096="","",COUNTIFS($A$4:A1096,A1096,$I$4:I1096,"&lt;&gt;Штраф -2",$I$4:I1096,"&lt;&gt;ушел на базу"))</f>
        <v/>
      </c>
      <c r="F1096" s="4">
        <f>IF(E1096="","",IF(E1096&lt;=3,6,IF(E1096&lt;=6,5,IF(E1096&lt;=9,4,IF(E1096&lt;=12,3,IF(E1096&lt;=15,2,0))))))</f>
        <v/>
      </c>
      <c r="G1096" s="3" t="n"/>
      <c r="H1096" s="4">
        <f>IF(I1096="Штраф -2",-2,IF(OR(F1096="",G1096=""),"",F1096*G1096+IF(J1096="",0,J1096)))</f>
        <v/>
      </c>
      <c r="I1096" s="3" t="n"/>
      <c r="J1096" s="3" t="n"/>
      <c r="K1096" s="3" t="n"/>
    </row>
    <row r="1097">
      <c r="A1097" s="3" t="n"/>
      <c r="B1097" s="3" t="n"/>
      <c r="C1097" s="3" t="n"/>
      <c r="D1097" s="3" t="n"/>
      <c r="E1097" s="4">
        <f>IF(A1097="","",COUNTIFS($A$4:A1097,A1097,$I$4:I1097,"&lt;&gt;Штраф -2",$I$4:I1097,"&lt;&gt;ушел на базу"))</f>
        <v/>
      </c>
      <c r="F1097" s="4">
        <f>IF(E1097="","",IF(E1097&lt;=3,6,IF(E1097&lt;=6,5,IF(E1097&lt;=9,4,IF(E1097&lt;=12,3,IF(E1097&lt;=15,2,0))))))</f>
        <v/>
      </c>
      <c r="G1097" s="3" t="n"/>
      <c r="H1097" s="4">
        <f>IF(I1097="Штраф -2",-2,IF(OR(F1097="",G1097=""),"",F1097*G1097+IF(J1097="",0,J1097)))</f>
        <v/>
      </c>
      <c r="I1097" s="3" t="n"/>
      <c r="J1097" s="3" t="n"/>
      <c r="K1097" s="3" t="n"/>
    </row>
    <row r="1098">
      <c r="A1098" s="3" t="n"/>
      <c r="B1098" s="3" t="n"/>
      <c r="C1098" s="3" t="n"/>
      <c r="D1098" s="3" t="n"/>
      <c r="E1098" s="4">
        <f>IF(A1098="","",COUNTIFS($A$4:A1098,A1098,$I$4:I1098,"&lt;&gt;Штраф -2",$I$4:I1098,"&lt;&gt;ушел на базу"))</f>
        <v/>
      </c>
      <c r="F1098" s="4">
        <f>IF(E1098="","",IF(E1098&lt;=3,6,IF(E1098&lt;=6,5,IF(E1098&lt;=9,4,IF(E1098&lt;=12,3,IF(E1098&lt;=15,2,0))))))</f>
        <v/>
      </c>
      <c r="G1098" s="3" t="n"/>
      <c r="H1098" s="4">
        <f>IF(I1098="Штраф -2",-2,IF(OR(F1098="",G1098=""),"",F1098*G1098+IF(J1098="",0,J1098)))</f>
        <v/>
      </c>
      <c r="I1098" s="3" t="n"/>
      <c r="J1098" s="3" t="n"/>
      <c r="K1098" s="3" t="n"/>
    </row>
    <row r="1099">
      <c r="A1099" s="3" t="n"/>
      <c r="B1099" s="3" t="n"/>
      <c r="C1099" s="3" t="n"/>
      <c r="D1099" s="3" t="n"/>
      <c r="E1099" s="4">
        <f>IF(A1099="","",COUNTIFS($A$4:A1099,A1099,$I$4:I1099,"&lt;&gt;Штраф -2",$I$4:I1099,"&lt;&gt;ушел на базу"))</f>
        <v/>
      </c>
      <c r="F1099" s="4">
        <f>IF(E1099="","",IF(E1099&lt;=3,6,IF(E1099&lt;=6,5,IF(E1099&lt;=9,4,IF(E1099&lt;=12,3,IF(E1099&lt;=15,2,0))))))</f>
        <v/>
      </c>
      <c r="G1099" s="3" t="n"/>
      <c r="H1099" s="4">
        <f>IF(I1099="Штраф -2",-2,IF(OR(F1099="",G1099=""),"",F1099*G1099+IF(J1099="",0,J1099)))</f>
        <v/>
      </c>
      <c r="I1099" s="3" t="n"/>
      <c r="J1099" s="3" t="n"/>
      <c r="K1099" s="3" t="n"/>
    </row>
    <row r="1100">
      <c r="A1100" s="3" t="n"/>
      <c r="B1100" s="3" t="n"/>
      <c r="C1100" s="3" t="n"/>
      <c r="D1100" s="3" t="n"/>
      <c r="E1100" s="4">
        <f>IF(A1100="","",COUNTIFS($A$4:A1100,A1100,$I$4:I1100,"&lt;&gt;Штраф -2",$I$4:I1100,"&lt;&gt;ушел на базу"))</f>
        <v/>
      </c>
      <c r="F1100" s="4">
        <f>IF(E1100="","",IF(E1100&lt;=3,6,IF(E1100&lt;=6,5,IF(E1100&lt;=9,4,IF(E1100&lt;=12,3,IF(E1100&lt;=15,2,0))))))</f>
        <v/>
      </c>
      <c r="G1100" s="3" t="n"/>
      <c r="H1100" s="4">
        <f>IF(I1100="Штраф -2",-2,IF(OR(F1100="",G1100=""),"",F1100*G1100+IF(J1100="",0,J1100)))</f>
        <v/>
      </c>
      <c r="I1100" s="3" t="n"/>
      <c r="J1100" s="3" t="n"/>
      <c r="K1100" s="3" t="n"/>
    </row>
    <row r="1101">
      <c r="A1101" s="3" t="n"/>
      <c r="B1101" s="3" t="n"/>
      <c r="C1101" s="3" t="n"/>
      <c r="D1101" s="3" t="n"/>
      <c r="E1101" s="4">
        <f>IF(A1101="","",COUNTIFS($A$4:A1101,A1101,$I$4:I1101,"&lt;&gt;Штраф -2",$I$4:I1101,"&lt;&gt;ушел на базу"))</f>
        <v/>
      </c>
      <c r="F1101" s="4">
        <f>IF(E1101="","",IF(E1101&lt;=3,6,IF(E1101&lt;=6,5,IF(E1101&lt;=9,4,IF(E1101&lt;=12,3,IF(E1101&lt;=15,2,0))))))</f>
        <v/>
      </c>
      <c r="G1101" s="3" t="n"/>
      <c r="H1101" s="4">
        <f>IF(I1101="Штраф -2",-2,IF(OR(F1101="",G1101=""),"",F1101*G1101+IF(J1101="",0,J1101)))</f>
        <v/>
      </c>
      <c r="I1101" s="3" t="n"/>
      <c r="J1101" s="3" t="n"/>
      <c r="K1101" s="3" t="n"/>
    </row>
    <row r="1102">
      <c r="A1102" s="3" t="n"/>
      <c r="B1102" s="3" t="n"/>
      <c r="C1102" s="3" t="n"/>
      <c r="D1102" s="3" t="n"/>
      <c r="E1102" s="4">
        <f>IF(A1102="","",COUNTIFS($A$4:A1102,A1102,$I$4:I1102,"&lt;&gt;Штраф -2",$I$4:I1102,"&lt;&gt;ушел на базу"))</f>
        <v/>
      </c>
      <c r="F1102" s="4">
        <f>IF(E1102="","",IF(E1102&lt;=3,6,IF(E1102&lt;=6,5,IF(E1102&lt;=9,4,IF(E1102&lt;=12,3,IF(E1102&lt;=15,2,0))))))</f>
        <v/>
      </c>
      <c r="G1102" s="3" t="n"/>
      <c r="H1102" s="4">
        <f>IF(I1102="Штраф -2",-2,IF(OR(F1102="",G1102=""),"",F1102*G1102+IF(J1102="",0,J1102)))</f>
        <v/>
      </c>
      <c r="I1102" s="3" t="n"/>
      <c r="J1102" s="3" t="n"/>
      <c r="K1102" s="3" t="n"/>
    </row>
    <row r="1103">
      <c r="A1103" s="3" t="n"/>
      <c r="B1103" s="3" t="n"/>
      <c r="C1103" s="3" t="n"/>
      <c r="D1103" s="3" t="n"/>
      <c r="E1103" s="4">
        <f>IF(A1103="","",COUNTIFS($A$4:A1103,A1103,$I$4:I1103,"&lt;&gt;Штраф -2",$I$4:I1103,"&lt;&gt;ушел на базу"))</f>
        <v/>
      </c>
      <c r="F1103" s="4">
        <f>IF(E1103="","",IF(E1103&lt;=3,6,IF(E1103&lt;=6,5,IF(E1103&lt;=9,4,IF(E1103&lt;=12,3,IF(E1103&lt;=15,2,0))))))</f>
        <v/>
      </c>
      <c r="G1103" s="3" t="n"/>
      <c r="H1103" s="4">
        <f>IF(I1103="Штраф -2",-2,IF(OR(F1103="",G1103=""),"",F1103*G1103+IF(J1103="",0,J1103)))</f>
        <v/>
      </c>
      <c r="I1103" s="3" t="n"/>
      <c r="J1103" s="3" t="n"/>
      <c r="K1103" s="3" t="n"/>
    </row>
    <row r="1104">
      <c r="A1104" s="3" t="n"/>
      <c r="B1104" s="3" t="n"/>
      <c r="C1104" s="3" t="n"/>
      <c r="D1104" s="3" t="n"/>
      <c r="E1104" s="4">
        <f>IF(A1104="","",COUNTIFS($A$4:A1104,A1104,$I$4:I1104,"&lt;&gt;Штраф -2",$I$4:I1104,"&lt;&gt;ушел на базу"))</f>
        <v/>
      </c>
      <c r="F1104" s="4">
        <f>IF(E1104="","",IF(E1104&lt;=3,6,IF(E1104&lt;=6,5,IF(E1104&lt;=9,4,IF(E1104&lt;=12,3,IF(E1104&lt;=15,2,0))))))</f>
        <v/>
      </c>
      <c r="G1104" s="3" t="n"/>
      <c r="H1104" s="4">
        <f>IF(I1104="Штраф -2",-2,IF(OR(F1104="",G1104=""),"",F1104*G1104+IF(J1104="",0,J1104)))</f>
        <v/>
      </c>
      <c r="I1104" s="3" t="n"/>
      <c r="J1104" s="3" t="n"/>
      <c r="K1104" s="3" t="n"/>
    </row>
    <row r="1105">
      <c r="A1105" s="3" t="n"/>
      <c r="B1105" s="3" t="n"/>
      <c r="C1105" s="3" t="n"/>
      <c r="D1105" s="3" t="n"/>
      <c r="E1105" s="4">
        <f>IF(A1105="","",COUNTIFS($A$4:A1105,A1105,$I$4:I1105,"&lt;&gt;Штраф -2",$I$4:I1105,"&lt;&gt;ушел на базу"))</f>
        <v/>
      </c>
      <c r="F1105" s="4">
        <f>IF(E1105="","",IF(E1105&lt;=3,6,IF(E1105&lt;=6,5,IF(E1105&lt;=9,4,IF(E1105&lt;=12,3,IF(E1105&lt;=15,2,0))))))</f>
        <v/>
      </c>
      <c r="G1105" s="3" t="n"/>
      <c r="H1105" s="4">
        <f>IF(I1105="Штраф -2",-2,IF(OR(F1105="",G1105=""),"",F1105*G1105+IF(J1105="",0,J1105)))</f>
        <v/>
      </c>
      <c r="I1105" s="3" t="n"/>
      <c r="J1105" s="3" t="n"/>
      <c r="K1105" s="3" t="n"/>
    </row>
    <row r="1106">
      <c r="A1106" s="3" t="n"/>
      <c r="B1106" s="3" t="n"/>
      <c r="C1106" s="3" t="n"/>
      <c r="D1106" s="3" t="n"/>
      <c r="E1106" s="4">
        <f>IF(A1106="","",COUNTIFS($A$4:A1106,A1106,$I$4:I1106,"&lt;&gt;Штраф -2",$I$4:I1106,"&lt;&gt;ушел на базу"))</f>
        <v/>
      </c>
      <c r="F1106" s="4">
        <f>IF(E1106="","",IF(E1106&lt;=3,6,IF(E1106&lt;=6,5,IF(E1106&lt;=9,4,IF(E1106&lt;=12,3,IF(E1106&lt;=15,2,0))))))</f>
        <v/>
      </c>
      <c r="G1106" s="3" t="n"/>
      <c r="H1106" s="4">
        <f>IF(I1106="Штраф -2",-2,IF(OR(F1106="",G1106=""),"",F1106*G1106+IF(J1106="",0,J1106)))</f>
        <v/>
      </c>
      <c r="I1106" s="3" t="n"/>
      <c r="J1106" s="3" t="n"/>
      <c r="K1106" s="3" t="n"/>
    </row>
    <row r="1107">
      <c r="A1107" s="3" t="n"/>
      <c r="B1107" s="3" t="n"/>
      <c r="C1107" s="3" t="n"/>
      <c r="D1107" s="3" t="n"/>
      <c r="E1107" s="4">
        <f>IF(A1107="","",COUNTIFS($A$4:A1107,A1107,$I$4:I1107,"&lt;&gt;Штраф -2",$I$4:I1107,"&lt;&gt;ушел на базу"))</f>
        <v/>
      </c>
      <c r="F1107" s="4">
        <f>IF(E1107="","",IF(E1107&lt;=3,6,IF(E1107&lt;=6,5,IF(E1107&lt;=9,4,IF(E1107&lt;=12,3,IF(E1107&lt;=15,2,0))))))</f>
        <v/>
      </c>
      <c r="G1107" s="3" t="n"/>
      <c r="H1107" s="4">
        <f>IF(I1107="Штраф -2",-2,IF(OR(F1107="",G1107=""),"",F1107*G1107+IF(J1107="",0,J1107)))</f>
        <v/>
      </c>
      <c r="I1107" s="3" t="n"/>
      <c r="J1107" s="3" t="n"/>
      <c r="K1107" s="3" t="n"/>
    </row>
    <row r="1108">
      <c r="A1108" s="3" t="n"/>
      <c r="B1108" s="3" t="n"/>
      <c r="C1108" s="3" t="n"/>
      <c r="D1108" s="3" t="n"/>
      <c r="E1108" s="4">
        <f>IF(A1108="","",COUNTIFS($A$4:A1108,A1108,$I$4:I1108,"&lt;&gt;Штраф -2",$I$4:I1108,"&lt;&gt;ушел на базу"))</f>
        <v/>
      </c>
      <c r="F1108" s="4">
        <f>IF(E1108="","",IF(E1108&lt;=3,6,IF(E1108&lt;=6,5,IF(E1108&lt;=9,4,IF(E1108&lt;=12,3,IF(E1108&lt;=15,2,0))))))</f>
        <v/>
      </c>
      <c r="G1108" s="3" t="n"/>
      <c r="H1108" s="4">
        <f>IF(I1108="Штраф -2",-2,IF(OR(F1108="",G1108=""),"",F1108*G1108+IF(J1108="",0,J1108)))</f>
        <v/>
      </c>
      <c r="I1108" s="3" t="n"/>
      <c r="J1108" s="3" t="n"/>
      <c r="K1108" s="3" t="n"/>
    </row>
    <row r="1109">
      <c r="A1109" s="3" t="n"/>
      <c r="B1109" s="3" t="n"/>
      <c r="C1109" s="3" t="n"/>
      <c r="D1109" s="3" t="n"/>
      <c r="E1109" s="4">
        <f>IF(A1109="","",COUNTIFS($A$4:A1109,A1109,$I$4:I1109,"&lt;&gt;Штраф -2",$I$4:I1109,"&lt;&gt;ушел на базу"))</f>
        <v/>
      </c>
      <c r="F1109" s="4">
        <f>IF(E1109="","",IF(E1109&lt;=3,6,IF(E1109&lt;=6,5,IF(E1109&lt;=9,4,IF(E1109&lt;=12,3,IF(E1109&lt;=15,2,0))))))</f>
        <v/>
      </c>
      <c r="G1109" s="3" t="n"/>
      <c r="H1109" s="4">
        <f>IF(I1109="Штраф -2",-2,IF(OR(F1109="",G1109=""),"",F1109*G1109+IF(J1109="",0,J1109)))</f>
        <v/>
      </c>
      <c r="I1109" s="3" t="n"/>
      <c r="J1109" s="3" t="n"/>
      <c r="K1109" s="3" t="n"/>
    </row>
    <row r="1110">
      <c r="A1110" s="3" t="n"/>
      <c r="B1110" s="3" t="n"/>
      <c r="C1110" s="3" t="n"/>
      <c r="D1110" s="3" t="n"/>
      <c r="E1110" s="4">
        <f>IF(A1110="","",COUNTIFS($A$4:A1110,A1110,$I$4:I1110,"&lt;&gt;Штраф -2",$I$4:I1110,"&lt;&gt;ушел на базу"))</f>
        <v/>
      </c>
      <c r="F1110" s="4">
        <f>IF(E1110="","",IF(E1110&lt;=3,6,IF(E1110&lt;=6,5,IF(E1110&lt;=9,4,IF(E1110&lt;=12,3,IF(E1110&lt;=15,2,0))))))</f>
        <v/>
      </c>
      <c r="G1110" s="3" t="n"/>
      <c r="H1110" s="4">
        <f>IF(I1110="Штраф -2",-2,IF(OR(F1110="",G1110=""),"",F1110*G1110+IF(J1110="",0,J1110)))</f>
        <v/>
      </c>
      <c r="I1110" s="3" t="n"/>
      <c r="J1110" s="3" t="n"/>
      <c r="K1110" s="3" t="n"/>
    </row>
    <row r="1111">
      <c r="A1111" s="3" t="n"/>
      <c r="B1111" s="3" t="n"/>
      <c r="C1111" s="3" t="n"/>
      <c r="D1111" s="3" t="n"/>
      <c r="E1111" s="4">
        <f>IF(A1111="","",COUNTIFS($A$4:A1111,A1111,$I$4:I1111,"&lt;&gt;Штраф -2",$I$4:I1111,"&lt;&gt;ушел на базу"))</f>
        <v/>
      </c>
      <c r="F1111" s="4">
        <f>IF(E1111="","",IF(E1111&lt;=3,6,IF(E1111&lt;=6,5,IF(E1111&lt;=9,4,IF(E1111&lt;=12,3,IF(E1111&lt;=15,2,0))))))</f>
        <v/>
      </c>
      <c r="G1111" s="3" t="n"/>
      <c r="H1111" s="4">
        <f>IF(I1111="Штраф -2",-2,IF(OR(F1111="",G1111=""),"",F1111*G1111+IF(J1111="",0,J1111)))</f>
        <v/>
      </c>
      <c r="I1111" s="3" t="n"/>
      <c r="J1111" s="3" t="n"/>
      <c r="K1111" s="3" t="n"/>
    </row>
    <row r="1112">
      <c r="A1112" s="3" t="n"/>
      <c r="B1112" s="3" t="n"/>
      <c r="C1112" s="3" t="n"/>
      <c r="D1112" s="3" t="n"/>
      <c r="E1112" s="4">
        <f>IF(A1112="","",COUNTIFS($A$4:A1112,A1112,$I$4:I1112,"&lt;&gt;Штраф -2",$I$4:I1112,"&lt;&gt;ушел на базу"))</f>
        <v/>
      </c>
      <c r="F1112" s="4">
        <f>IF(E1112="","",IF(E1112&lt;=3,6,IF(E1112&lt;=6,5,IF(E1112&lt;=9,4,IF(E1112&lt;=12,3,IF(E1112&lt;=15,2,0))))))</f>
        <v/>
      </c>
      <c r="G1112" s="3" t="n"/>
      <c r="H1112" s="4">
        <f>IF(I1112="Штраф -2",-2,IF(OR(F1112="",G1112=""),"",F1112*G1112+IF(J1112="",0,J1112)))</f>
        <v/>
      </c>
      <c r="I1112" s="3" t="n"/>
      <c r="J1112" s="3" t="n"/>
      <c r="K1112" s="3" t="n"/>
    </row>
    <row r="1113">
      <c r="A1113" s="3" t="n"/>
      <c r="B1113" s="3" t="n"/>
      <c r="C1113" s="3" t="n"/>
      <c r="D1113" s="3" t="n"/>
      <c r="E1113" s="4">
        <f>IF(A1113="","",COUNTIFS($A$4:A1113,A1113,$I$4:I1113,"&lt;&gt;Штраф -2",$I$4:I1113,"&lt;&gt;ушел на базу"))</f>
        <v/>
      </c>
      <c r="F1113" s="4">
        <f>IF(E1113="","",IF(E1113&lt;=3,6,IF(E1113&lt;=6,5,IF(E1113&lt;=9,4,IF(E1113&lt;=12,3,IF(E1113&lt;=15,2,0))))))</f>
        <v/>
      </c>
      <c r="G1113" s="3" t="n"/>
      <c r="H1113" s="4">
        <f>IF(I1113="Штраф -2",-2,IF(OR(F1113="",G1113=""),"",F1113*G1113+IF(J1113="",0,J1113)))</f>
        <v/>
      </c>
      <c r="I1113" s="3" t="n"/>
      <c r="J1113" s="3" t="n"/>
      <c r="K1113" s="3" t="n"/>
    </row>
    <row r="1114">
      <c r="A1114" s="3" t="n"/>
      <c r="B1114" s="3" t="n"/>
      <c r="C1114" s="3" t="n"/>
      <c r="D1114" s="3" t="n"/>
      <c r="E1114" s="4">
        <f>IF(A1114="","",COUNTIFS($A$4:A1114,A1114,$I$4:I1114,"&lt;&gt;Штраф -2",$I$4:I1114,"&lt;&gt;ушел на базу"))</f>
        <v/>
      </c>
      <c r="F1114" s="4">
        <f>IF(E1114="","",IF(E1114&lt;=3,6,IF(E1114&lt;=6,5,IF(E1114&lt;=9,4,IF(E1114&lt;=12,3,IF(E1114&lt;=15,2,0))))))</f>
        <v/>
      </c>
      <c r="G1114" s="3" t="n"/>
      <c r="H1114" s="4">
        <f>IF(I1114="Штраф -2",-2,IF(OR(F1114="",G1114=""),"",F1114*G1114+IF(J1114="",0,J1114)))</f>
        <v/>
      </c>
      <c r="I1114" s="3" t="n"/>
      <c r="J1114" s="3" t="n"/>
      <c r="K1114" s="3" t="n"/>
    </row>
    <row r="1115">
      <c r="A1115" s="3" t="n"/>
      <c r="B1115" s="3" t="n"/>
      <c r="C1115" s="3" t="n"/>
      <c r="D1115" s="3" t="n"/>
      <c r="E1115" s="4">
        <f>IF(A1115="","",COUNTIFS($A$4:A1115,A1115,$I$4:I1115,"&lt;&gt;Штраф -2",$I$4:I1115,"&lt;&gt;ушел на базу"))</f>
        <v/>
      </c>
      <c r="F1115" s="4">
        <f>IF(E1115="","",IF(E1115&lt;=3,6,IF(E1115&lt;=6,5,IF(E1115&lt;=9,4,IF(E1115&lt;=12,3,IF(E1115&lt;=15,2,0))))))</f>
        <v/>
      </c>
      <c r="G1115" s="3" t="n"/>
      <c r="H1115" s="4">
        <f>IF(I1115="Штраф -2",-2,IF(OR(F1115="",G1115=""),"",F1115*G1115+IF(J1115="",0,J1115)))</f>
        <v/>
      </c>
      <c r="I1115" s="3" t="n"/>
      <c r="J1115" s="3" t="n"/>
      <c r="K1115" s="3" t="n"/>
    </row>
    <row r="1116">
      <c r="A1116" s="3" t="n"/>
      <c r="B1116" s="3" t="n"/>
      <c r="C1116" s="3" t="n"/>
      <c r="D1116" s="3" t="n"/>
      <c r="E1116" s="4">
        <f>IF(A1116="","",COUNTIFS($A$4:A1116,A1116,$I$4:I1116,"&lt;&gt;Штраф -2",$I$4:I1116,"&lt;&gt;ушел на базу"))</f>
        <v/>
      </c>
      <c r="F1116" s="4">
        <f>IF(E1116="","",IF(E1116&lt;=3,6,IF(E1116&lt;=6,5,IF(E1116&lt;=9,4,IF(E1116&lt;=12,3,IF(E1116&lt;=15,2,0))))))</f>
        <v/>
      </c>
      <c r="G1116" s="3" t="n"/>
      <c r="H1116" s="4">
        <f>IF(I1116="Штраф -2",-2,IF(OR(F1116="",G1116=""),"",F1116*G1116+IF(J1116="",0,J1116)))</f>
        <v/>
      </c>
      <c r="I1116" s="3" t="n"/>
      <c r="J1116" s="3" t="n"/>
      <c r="K1116" s="3" t="n"/>
    </row>
    <row r="1117">
      <c r="A1117" s="3" t="n"/>
      <c r="B1117" s="3" t="n"/>
      <c r="C1117" s="3" t="n"/>
      <c r="D1117" s="3" t="n"/>
      <c r="E1117" s="4">
        <f>IF(A1117="","",COUNTIFS($A$4:A1117,A1117,$I$4:I1117,"&lt;&gt;Штраф -2",$I$4:I1117,"&lt;&gt;ушел на базу"))</f>
        <v/>
      </c>
      <c r="F1117" s="4">
        <f>IF(E1117="","",IF(E1117&lt;=3,6,IF(E1117&lt;=6,5,IF(E1117&lt;=9,4,IF(E1117&lt;=12,3,IF(E1117&lt;=15,2,0))))))</f>
        <v/>
      </c>
      <c r="G1117" s="3" t="n"/>
      <c r="H1117" s="4">
        <f>IF(I1117="Штраф -2",-2,IF(OR(F1117="",G1117=""),"",F1117*G1117+IF(J1117="",0,J1117)))</f>
        <v/>
      </c>
      <c r="I1117" s="3" t="n"/>
      <c r="J1117" s="3" t="n"/>
      <c r="K1117" s="3" t="n"/>
    </row>
    <row r="1118">
      <c r="A1118" s="3" t="n"/>
      <c r="B1118" s="3" t="n"/>
      <c r="C1118" s="3" t="n"/>
      <c r="D1118" s="3" t="n"/>
      <c r="E1118" s="4">
        <f>IF(A1118="","",COUNTIFS($A$4:A1118,A1118,$I$4:I1118,"&lt;&gt;Штраф -2",$I$4:I1118,"&lt;&gt;ушел на базу"))</f>
        <v/>
      </c>
      <c r="F1118" s="4">
        <f>IF(E1118="","",IF(E1118&lt;=3,6,IF(E1118&lt;=6,5,IF(E1118&lt;=9,4,IF(E1118&lt;=12,3,IF(E1118&lt;=15,2,0))))))</f>
        <v/>
      </c>
      <c r="G1118" s="3" t="n"/>
      <c r="H1118" s="4">
        <f>IF(I1118="Штраф -2",-2,IF(OR(F1118="",G1118=""),"",F1118*G1118+IF(J1118="",0,J1118)))</f>
        <v/>
      </c>
      <c r="I1118" s="3" t="n"/>
      <c r="J1118" s="3" t="n"/>
      <c r="K1118" s="3" t="n"/>
    </row>
    <row r="1119">
      <c r="A1119" s="3" t="n"/>
      <c r="B1119" s="3" t="n"/>
      <c r="C1119" s="3" t="n"/>
      <c r="D1119" s="3" t="n"/>
      <c r="E1119" s="4">
        <f>IF(A1119="","",COUNTIFS($A$4:A1119,A1119,$I$4:I1119,"&lt;&gt;Штраф -2",$I$4:I1119,"&lt;&gt;ушел на базу"))</f>
        <v/>
      </c>
      <c r="F1119" s="4">
        <f>IF(E1119="","",IF(E1119&lt;=3,6,IF(E1119&lt;=6,5,IF(E1119&lt;=9,4,IF(E1119&lt;=12,3,IF(E1119&lt;=15,2,0))))))</f>
        <v/>
      </c>
      <c r="G1119" s="3" t="n"/>
      <c r="H1119" s="4">
        <f>IF(I1119="Штраф -2",-2,IF(OR(F1119="",G1119=""),"",F1119*G1119+IF(J1119="",0,J1119)))</f>
        <v/>
      </c>
      <c r="I1119" s="3" t="n"/>
      <c r="J1119" s="3" t="n"/>
      <c r="K1119" s="3" t="n"/>
    </row>
    <row r="1120">
      <c r="A1120" s="3" t="n"/>
      <c r="B1120" s="3" t="n"/>
      <c r="C1120" s="3" t="n"/>
      <c r="D1120" s="3" t="n"/>
      <c r="E1120" s="4">
        <f>IF(A1120="","",COUNTIFS($A$4:A1120,A1120,$I$4:I1120,"&lt;&gt;Штраф -2",$I$4:I1120,"&lt;&gt;ушел на базу"))</f>
        <v/>
      </c>
      <c r="F1120" s="4">
        <f>IF(E1120="","",IF(E1120&lt;=3,6,IF(E1120&lt;=6,5,IF(E1120&lt;=9,4,IF(E1120&lt;=12,3,IF(E1120&lt;=15,2,0))))))</f>
        <v/>
      </c>
      <c r="G1120" s="3" t="n"/>
      <c r="H1120" s="4">
        <f>IF(I1120="Штраф -2",-2,IF(OR(F1120="",G1120=""),"",F1120*G1120+IF(J1120="",0,J1120)))</f>
        <v/>
      </c>
      <c r="I1120" s="3" t="n"/>
      <c r="J1120" s="3" t="n"/>
      <c r="K1120" s="3" t="n"/>
    </row>
    <row r="1121">
      <c r="A1121" s="3" t="n"/>
      <c r="B1121" s="3" t="n"/>
      <c r="C1121" s="3" t="n"/>
      <c r="D1121" s="3" t="n"/>
      <c r="E1121" s="4">
        <f>IF(A1121="","",COUNTIFS($A$4:A1121,A1121,$I$4:I1121,"&lt;&gt;Штраф -2",$I$4:I1121,"&lt;&gt;ушел на базу"))</f>
        <v/>
      </c>
      <c r="F1121" s="4">
        <f>IF(E1121="","",IF(E1121&lt;=3,6,IF(E1121&lt;=6,5,IF(E1121&lt;=9,4,IF(E1121&lt;=12,3,IF(E1121&lt;=15,2,0))))))</f>
        <v/>
      </c>
      <c r="G1121" s="3" t="n"/>
      <c r="H1121" s="4">
        <f>IF(I1121="Штраф -2",-2,IF(OR(F1121="",G1121=""),"",F1121*G1121+IF(J1121="",0,J1121)))</f>
        <v/>
      </c>
      <c r="I1121" s="3" t="n"/>
      <c r="J1121" s="3" t="n"/>
      <c r="K1121" s="3" t="n"/>
    </row>
    <row r="1122">
      <c r="A1122" s="3" t="n"/>
      <c r="B1122" s="3" t="n"/>
      <c r="C1122" s="3" t="n"/>
      <c r="D1122" s="3" t="n"/>
      <c r="E1122" s="4">
        <f>IF(A1122="","",COUNTIFS($A$4:A1122,A1122,$I$4:I1122,"&lt;&gt;Штраф -2",$I$4:I1122,"&lt;&gt;ушел на базу"))</f>
        <v/>
      </c>
      <c r="F1122" s="4">
        <f>IF(E1122="","",IF(E1122&lt;=3,6,IF(E1122&lt;=6,5,IF(E1122&lt;=9,4,IF(E1122&lt;=12,3,IF(E1122&lt;=15,2,0))))))</f>
        <v/>
      </c>
      <c r="G1122" s="3" t="n"/>
      <c r="H1122" s="4">
        <f>IF(I1122="Штраф -2",-2,IF(OR(F1122="",G1122=""),"",F1122*G1122+IF(J1122="",0,J1122)))</f>
        <v/>
      </c>
      <c r="I1122" s="3" t="n"/>
      <c r="J1122" s="3" t="n"/>
      <c r="K1122" s="3" t="n"/>
    </row>
    <row r="1123">
      <c r="A1123" s="3" t="n"/>
      <c r="B1123" s="3" t="n"/>
      <c r="C1123" s="3" t="n"/>
      <c r="D1123" s="3" t="n"/>
      <c r="E1123" s="4">
        <f>IF(A1123="","",COUNTIFS($A$4:A1123,A1123,$I$4:I1123,"&lt;&gt;Штраф -2",$I$4:I1123,"&lt;&gt;ушел на базу"))</f>
        <v/>
      </c>
      <c r="F1123" s="4">
        <f>IF(E1123="","",IF(E1123&lt;=3,6,IF(E1123&lt;=6,5,IF(E1123&lt;=9,4,IF(E1123&lt;=12,3,IF(E1123&lt;=15,2,0))))))</f>
        <v/>
      </c>
      <c r="G1123" s="3" t="n"/>
      <c r="H1123" s="4">
        <f>IF(I1123="Штраф -2",-2,IF(OR(F1123="",G1123=""),"",F1123*G1123+IF(J1123="",0,J1123)))</f>
        <v/>
      </c>
      <c r="I1123" s="3" t="n"/>
      <c r="J1123" s="3" t="n"/>
      <c r="K1123" s="3" t="n"/>
    </row>
    <row r="1124">
      <c r="A1124" s="3" t="n"/>
      <c r="B1124" s="3" t="n"/>
      <c r="C1124" s="3" t="n"/>
      <c r="D1124" s="3" t="n"/>
      <c r="E1124" s="4">
        <f>IF(A1124="","",COUNTIFS($A$4:A1124,A1124,$I$4:I1124,"&lt;&gt;Штраф -2",$I$4:I1124,"&lt;&gt;ушел на базу"))</f>
        <v/>
      </c>
      <c r="F1124" s="4">
        <f>IF(E1124="","",IF(E1124&lt;=3,6,IF(E1124&lt;=6,5,IF(E1124&lt;=9,4,IF(E1124&lt;=12,3,IF(E1124&lt;=15,2,0))))))</f>
        <v/>
      </c>
      <c r="G1124" s="3" t="n"/>
      <c r="H1124" s="4">
        <f>IF(I1124="Штраф -2",-2,IF(OR(F1124="",G1124=""),"",F1124*G1124+IF(J1124="",0,J1124)))</f>
        <v/>
      </c>
      <c r="I1124" s="3" t="n"/>
      <c r="J1124" s="3" t="n"/>
      <c r="K1124" s="3" t="n"/>
    </row>
    <row r="1125">
      <c r="A1125" s="3" t="n"/>
      <c r="B1125" s="3" t="n"/>
      <c r="C1125" s="3" t="n"/>
      <c r="D1125" s="3" t="n"/>
      <c r="E1125" s="4">
        <f>IF(A1125="","",COUNTIFS($A$4:A1125,A1125,$I$4:I1125,"&lt;&gt;Штраф -2",$I$4:I1125,"&lt;&gt;ушел на базу"))</f>
        <v/>
      </c>
      <c r="F1125" s="4">
        <f>IF(E1125="","",IF(E1125&lt;=3,6,IF(E1125&lt;=6,5,IF(E1125&lt;=9,4,IF(E1125&lt;=12,3,IF(E1125&lt;=15,2,0))))))</f>
        <v/>
      </c>
      <c r="G1125" s="3" t="n"/>
      <c r="H1125" s="4">
        <f>IF(I1125="Штраф -2",-2,IF(OR(F1125="",G1125=""),"",F1125*G1125+IF(J1125="",0,J1125)))</f>
        <v/>
      </c>
      <c r="I1125" s="3" t="n"/>
      <c r="J1125" s="3" t="n"/>
      <c r="K1125" s="3" t="n"/>
    </row>
    <row r="1126">
      <c r="A1126" s="3" t="n"/>
      <c r="B1126" s="3" t="n"/>
      <c r="C1126" s="3" t="n"/>
      <c r="D1126" s="3" t="n"/>
      <c r="E1126" s="4">
        <f>IF(A1126="","",COUNTIFS($A$4:A1126,A1126,$I$4:I1126,"&lt;&gt;Штраф -2",$I$4:I1126,"&lt;&gt;ушел на базу"))</f>
        <v/>
      </c>
      <c r="F1126" s="4">
        <f>IF(E1126="","",IF(E1126&lt;=3,6,IF(E1126&lt;=6,5,IF(E1126&lt;=9,4,IF(E1126&lt;=12,3,IF(E1126&lt;=15,2,0))))))</f>
        <v/>
      </c>
      <c r="G1126" s="3" t="n"/>
      <c r="H1126" s="4">
        <f>IF(I1126="Штраф -2",-2,IF(OR(F1126="",G1126=""),"",F1126*G1126+IF(J1126="",0,J1126)))</f>
        <v/>
      </c>
      <c r="I1126" s="3" t="n"/>
      <c r="J1126" s="3" t="n"/>
      <c r="K1126" s="3" t="n"/>
    </row>
    <row r="1127">
      <c r="A1127" s="3" t="n"/>
      <c r="B1127" s="3" t="n"/>
      <c r="C1127" s="3" t="n"/>
      <c r="D1127" s="3" t="n"/>
      <c r="E1127" s="4">
        <f>IF(A1127="","",COUNTIFS($A$4:A1127,A1127,$I$4:I1127,"&lt;&gt;Штраф -2",$I$4:I1127,"&lt;&gt;ушел на базу"))</f>
        <v/>
      </c>
      <c r="F1127" s="4">
        <f>IF(E1127="","",IF(E1127&lt;=3,6,IF(E1127&lt;=6,5,IF(E1127&lt;=9,4,IF(E1127&lt;=12,3,IF(E1127&lt;=15,2,0))))))</f>
        <v/>
      </c>
      <c r="G1127" s="3" t="n"/>
      <c r="H1127" s="4">
        <f>IF(I1127="Штраф -2",-2,IF(OR(F1127="",G1127=""),"",F1127*G1127+IF(J1127="",0,J1127)))</f>
        <v/>
      </c>
      <c r="I1127" s="3" t="n"/>
      <c r="J1127" s="3" t="n"/>
      <c r="K1127" s="3" t="n"/>
    </row>
    <row r="1128">
      <c r="A1128" s="3" t="n"/>
      <c r="B1128" s="3" t="n"/>
      <c r="C1128" s="3" t="n"/>
      <c r="D1128" s="3" t="n"/>
      <c r="E1128" s="4">
        <f>IF(A1128="","",COUNTIFS($A$4:A1128,A1128,$I$4:I1128,"&lt;&gt;Штраф -2",$I$4:I1128,"&lt;&gt;ушел на базу"))</f>
        <v/>
      </c>
      <c r="F1128" s="4">
        <f>IF(E1128="","",IF(E1128&lt;=3,6,IF(E1128&lt;=6,5,IF(E1128&lt;=9,4,IF(E1128&lt;=12,3,IF(E1128&lt;=15,2,0))))))</f>
        <v/>
      </c>
      <c r="G1128" s="3" t="n"/>
      <c r="H1128" s="4">
        <f>IF(I1128="Штраф -2",-2,IF(OR(F1128="",G1128=""),"",F1128*G1128+IF(J1128="",0,J1128)))</f>
        <v/>
      </c>
      <c r="I1128" s="3" t="n"/>
      <c r="J1128" s="3" t="n"/>
      <c r="K1128" s="3" t="n"/>
    </row>
    <row r="1129">
      <c r="A1129" s="3" t="n"/>
      <c r="B1129" s="3" t="n"/>
      <c r="C1129" s="3" t="n"/>
      <c r="D1129" s="3" t="n"/>
      <c r="E1129" s="4">
        <f>IF(A1129="","",COUNTIFS($A$4:A1129,A1129,$I$4:I1129,"&lt;&gt;Штраф -2",$I$4:I1129,"&lt;&gt;ушел на базу"))</f>
        <v/>
      </c>
      <c r="F1129" s="4">
        <f>IF(E1129="","",IF(E1129&lt;=3,6,IF(E1129&lt;=6,5,IF(E1129&lt;=9,4,IF(E1129&lt;=12,3,IF(E1129&lt;=15,2,0))))))</f>
        <v/>
      </c>
      <c r="G1129" s="3" t="n"/>
      <c r="H1129" s="4">
        <f>IF(I1129="Штраф -2",-2,IF(OR(F1129="",G1129=""),"",F1129*G1129+IF(J1129="",0,J1129)))</f>
        <v/>
      </c>
      <c r="I1129" s="3" t="n"/>
      <c r="J1129" s="3" t="n"/>
      <c r="K1129" s="3" t="n"/>
    </row>
    <row r="1130">
      <c r="A1130" s="3" t="n"/>
      <c r="B1130" s="3" t="n"/>
      <c r="C1130" s="3" t="n"/>
      <c r="D1130" s="3" t="n"/>
      <c r="E1130" s="4">
        <f>IF(A1130="","",COUNTIFS($A$4:A1130,A1130,$I$4:I1130,"&lt;&gt;Штраф -2",$I$4:I1130,"&lt;&gt;ушел на базу"))</f>
        <v/>
      </c>
      <c r="F1130" s="4">
        <f>IF(E1130="","",IF(E1130&lt;=3,6,IF(E1130&lt;=6,5,IF(E1130&lt;=9,4,IF(E1130&lt;=12,3,IF(E1130&lt;=15,2,0))))))</f>
        <v/>
      </c>
      <c r="G1130" s="3" t="n"/>
      <c r="H1130" s="4">
        <f>IF(I1130="Штраф -2",-2,IF(OR(F1130="",G1130=""),"",F1130*G1130+IF(J1130="",0,J1130)))</f>
        <v/>
      </c>
      <c r="I1130" s="3" t="n"/>
      <c r="J1130" s="3" t="n"/>
      <c r="K1130" s="3" t="n"/>
    </row>
    <row r="1131">
      <c r="A1131" s="3" t="n"/>
      <c r="B1131" s="3" t="n"/>
      <c r="C1131" s="3" t="n"/>
      <c r="D1131" s="3" t="n"/>
      <c r="E1131" s="4">
        <f>IF(A1131="","",COUNTIFS($A$4:A1131,A1131,$I$4:I1131,"&lt;&gt;Штраф -2",$I$4:I1131,"&lt;&gt;ушел на базу"))</f>
        <v/>
      </c>
      <c r="F1131" s="4">
        <f>IF(E1131="","",IF(E1131&lt;=3,6,IF(E1131&lt;=6,5,IF(E1131&lt;=9,4,IF(E1131&lt;=12,3,IF(E1131&lt;=15,2,0))))))</f>
        <v/>
      </c>
      <c r="G1131" s="3" t="n"/>
      <c r="H1131" s="4">
        <f>IF(I1131="Штраф -2",-2,IF(OR(F1131="",G1131=""),"",F1131*G1131+IF(J1131="",0,J1131)))</f>
        <v/>
      </c>
      <c r="I1131" s="3" t="n"/>
      <c r="J1131" s="3" t="n"/>
      <c r="K1131" s="3" t="n"/>
    </row>
    <row r="1132">
      <c r="A1132" s="3" t="n"/>
      <c r="B1132" s="3" t="n"/>
      <c r="C1132" s="3" t="n"/>
      <c r="D1132" s="3" t="n"/>
      <c r="E1132" s="4">
        <f>IF(A1132="","",COUNTIFS($A$4:A1132,A1132,$I$4:I1132,"&lt;&gt;Штраф -2",$I$4:I1132,"&lt;&gt;ушел на базу"))</f>
        <v/>
      </c>
      <c r="F1132" s="4">
        <f>IF(E1132="","",IF(E1132&lt;=3,6,IF(E1132&lt;=6,5,IF(E1132&lt;=9,4,IF(E1132&lt;=12,3,IF(E1132&lt;=15,2,0))))))</f>
        <v/>
      </c>
      <c r="G1132" s="3" t="n"/>
      <c r="H1132" s="4">
        <f>IF(I1132="Штраф -2",-2,IF(OR(F1132="",G1132=""),"",F1132*G1132+IF(J1132="",0,J1132)))</f>
        <v/>
      </c>
      <c r="I1132" s="3" t="n"/>
      <c r="J1132" s="3" t="n"/>
      <c r="K1132" s="3" t="n"/>
    </row>
    <row r="1133">
      <c r="A1133" s="3" t="n"/>
      <c r="B1133" s="3" t="n"/>
      <c r="C1133" s="3" t="n"/>
      <c r="D1133" s="3" t="n"/>
      <c r="E1133" s="4">
        <f>IF(A1133="","",COUNTIFS($A$4:A1133,A1133,$I$4:I1133,"&lt;&gt;Штраф -2",$I$4:I1133,"&lt;&gt;ушел на базу"))</f>
        <v/>
      </c>
      <c r="F1133" s="4">
        <f>IF(E1133="","",IF(E1133&lt;=3,6,IF(E1133&lt;=6,5,IF(E1133&lt;=9,4,IF(E1133&lt;=12,3,IF(E1133&lt;=15,2,0))))))</f>
        <v/>
      </c>
      <c r="G1133" s="3" t="n"/>
      <c r="H1133" s="4">
        <f>IF(I1133="Штраф -2",-2,IF(OR(F1133="",G1133=""),"",F1133*G1133+IF(J1133="",0,J1133)))</f>
        <v/>
      </c>
      <c r="I1133" s="3" t="n"/>
      <c r="J1133" s="3" t="n"/>
      <c r="K1133" s="3" t="n"/>
    </row>
    <row r="1134">
      <c r="A1134" s="3" t="n"/>
      <c r="B1134" s="3" t="n"/>
      <c r="C1134" s="3" t="n"/>
      <c r="D1134" s="3" t="n"/>
      <c r="E1134" s="4">
        <f>IF(A1134="","",COUNTIFS($A$4:A1134,A1134,$I$4:I1134,"&lt;&gt;Штраф -2",$I$4:I1134,"&lt;&gt;ушел на базу"))</f>
        <v/>
      </c>
      <c r="F1134" s="4">
        <f>IF(E1134="","",IF(E1134&lt;=3,6,IF(E1134&lt;=6,5,IF(E1134&lt;=9,4,IF(E1134&lt;=12,3,IF(E1134&lt;=15,2,0))))))</f>
        <v/>
      </c>
      <c r="G1134" s="3" t="n"/>
      <c r="H1134" s="4">
        <f>IF(I1134="Штраф -2",-2,IF(OR(F1134="",G1134=""),"",F1134*G1134+IF(J1134="",0,J1134)))</f>
        <v/>
      </c>
      <c r="I1134" s="3" t="n"/>
      <c r="J1134" s="3" t="n"/>
      <c r="K1134" s="3" t="n"/>
    </row>
    <row r="1135">
      <c r="A1135" s="3" t="n"/>
      <c r="B1135" s="3" t="n"/>
      <c r="C1135" s="3" t="n"/>
      <c r="D1135" s="3" t="n"/>
      <c r="E1135" s="4">
        <f>IF(A1135="","",COUNTIFS($A$4:A1135,A1135,$I$4:I1135,"&lt;&gt;Штраф -2",$I$4:I1135,"&lt;&gt;ушел на базу"))</f>
        <v/>
      </c>
      <c r="F1135" s="4">
        <f>IF(E1135="","",IF(E1135&lt;=3,6,IF(E1135&lt;=6,5,IF(E1135&lt;=9,4,IF(E1135&lt;=12,3,IF(E1135&lt;=15,2,0))))))</f>
        <v/>
      </c>
      <c r="G1135" s="3" t="n"/>
      <c r="H1135" s="4">
        <f>IF(I1135="Штраф -2",-2,IF(OR(F1135="",G1135=""),"",F1135*G1135+IF(J1135="",0,J1135)))</f>
        <v/>
      </c>
      <c r="I1135" s="3" t="n"/>
      <c r="J1135" s="3" t="n"/>
      <c r="K1135" s="3" t="n"/>
    </row>
    <row r="1136">
      <c r="A1136" s="3" t="n"/>
      <c r="B1136" s="3" t="n"/>
      <c r="C1136" s="3" t="n"/>
      <c r="D1136" s="3" t="n"/>
      <c r="E1136" s="4">
        <f>IF(A1136="","",COUNTIFS($A$4:A1136,A1136,$I$4:I1136,"&lt;&gt;Штраф -2",$I$4:I1136,"&lt;&gt;ушел на базу"))</f>
        <v/>
      </c>
      <c r="F1136" s="4">
        <f>IF(E1136="","",IF(E1136&lt;=3,6,IF(E1136&lt;=6,5,IF(E1136&lt;=9,4,IF(E1136&lt;=12,3,IF(E1136&lt;=15,2,0))))))</f>
        <v/>
      </c>
      <c r="G1136" s="3" t="n"/>
      <c r="H1136" s="4">
        <f>IF(I1136="Штраф -2",-2,IF(OR(F1136="",G1136=""),"",F1136*G1136+IF(J1136="",0,J1136)))</f>
        <v/>
      </c>
      <c r="I1136" s="3" t="n"/>
      <c r="J1136" s="3" t="n"/>
      <c r="K1136" s="3" t="n"/>
    </row>
    <row r="1137">
      <c r="A1137" s="3" t="n"/>
      <c r="B1137" s="3" t="n"/>
      <c r="C1137" s="3" t="n"/>
      <c r="D1137" s="3" t="n"/>
      <c r="E1137" s="4">
        <f>IF(A1137="","",COUNTIFS($A$4:A1137,A1137,$I$4:I1137,"&lt;&gt;Штраф -2",$I$4:I1137,"&lt;&gt;ушел на базу"))</f>
        <v/>
      </c>
      <c r="F1137" s="4">
        <f>IF(E1137="","",IF(E1137&lt;=3,6,IF(E1137&lt;=6,5,IF(E1137&lt;=9,4,IF(E1137&lt;=12,3,IF(E1137&lt;=15,2,0))))))</f>
        <v/>
      </c>
      <c r="G1137" s="3" t="n"/>
      <c r="H1137" s="4">
        <f>IF(I1137="Штраф -2",-2,IF(OR(F1137="",G1137=""),"",F1137*G1137+IF(J1137="",0,J1137)))</f>
        <v/>
      </c>
      <c r="I1137" s="3" t="n"/>
      <c r="J1137" s="3" t="n"/>
      <c r="K1137" s="3" t="n"/>
    </row>
    <row r="1138">
      <c r="A1138" s="3" t="n"/>
      <c r="B1138" s="3" t="n"/>
      <c r="C1138" s="3" t="n"/>
      <c r="D1138" s="3" t="n"/>
      <c r="E1138" s="4">
        <f>IF(A1138="","",COUNTIFS($A$4:A1138,A1138,$I$4:I1138,"&lt;&gt;Штраф -2",$I$4:I1138,"&lt;&gt;ушел на базу"))</f>
        <v/>
      </c>
      <c r="F1138" s="4">
        <f>IF(E1138="","",IF(E1138&lt;=3,6,IF(E1138&lt;=6,5,IF(E1138&lt;=9,4,IF(E1138&lt;=12,3,IF(E1138&lt;=15,2,0))))))</f>
        <v/>
      </c>
      <c r="G1138" s="3" t="n"/>
      <c r="H1138" s="4">
        <f>IF(I1138="Штраф -2",-2,IF(OR(F1138="",G1138=""),"",F1138*G1138+IF(J1138="",0,J1138)))</f>
        <v/>
      </c>
      <c r="I1138" s="3" t="n"/>
      <c r="J1138" s="3" t="n"/>
      <c r="K1138" s="3" t="n"/>
    </row>
    <row r="1139">
      <c r="A1139" s="3" t="n"/>
      <c r="B1139" s="3" t="n"/>
      <c r="C1139" s="3" t="n"/>
      <c r="D1139" s="3" t="n"/>
      <c r="E1139" s="4">
        <f>IF(A1139="","",COUNTIFS($A$4:A1139,A1139,$I$4:I1139,"&lt;&gt;Штраф -2",$I$4:I1139,"&lt;&gt;ушел на базу"))</f>
        <v/>
      </c>
      <c r="F1139" s="4">
        <f>IF(E1139="","",IF(E1139&lt;=3,6,IF(E1139&lt;=6,5,IF(E1139&lt;=9,4,IF(E1139&lt;=12,3,IF(E1139&lt;=15,2,0))))))</f>
        <v/>
      </c>
      <c r="G1139" s="3" t="n"/>
      <c r="H1139" s="4">
        <f>IF(I1139="Штраф -2",-2,IF(OR(F1139="",G1139=""),"",F1139*G1139+IF(J1139="",0,J1139)))</f>
        <v/>
      </c>
      <c r="I1139" s="3" t="n"/>
      <c r="J1139" s="3" t="n"/>
      <c r="K1139" s="3" t="n"/>
    </row>
    <row r="1140">
      <c r="A1140" s="3" t="n"/>
      <c r="B1140" s="3" t="n"/>
      <c r="C1140" s="3" t="n"/>
      <c r="D1140" s="3" t="n"/>
      <c r="E1140" s="4">
        <f>IF(A1140="","",COUNTIFS($A$4:A1140,A1140,$I$4:I1140,"&lt;&gt;Штраф -2",$I$4:I1140,"&lt;&gt;ушел на базу"))</f>
        <v/>
      </c>
      <c r="F1140" s="4">
        <f>IF(E1140="","",IF(E1140&lt;=3,6,IF(E1140&lt;=6,5,IF(E1140&lt;=9,4,IF(E1140&lt;=12,3,IF(E1140&lt;=15,2,0))))))</f>
        <v/>
      </c>
      <c r="G1140" s="3" t="n"/>
      <c r="H1140" s="4">
        <f>IF(I1140="Штраф -2",-2,IF(OR(F1140="",G1140=""),"",F1140*G1140+IF(J1140="",0,J1140)))</f>
        <v/>
      </c>
      <c r="I1140" s="3" t="n"/>
      <c r="J1140" s="3" t="n"/>
      <c r="K1140" s="3" t="n"/>
    </row>
    <row r="1141">
      <c r="A1141" s="3" t="n"/>
      <c r="B1141" s="3" t="n"/>
      <c r="C1141" s="3" t="n"/>
      <c r="D1141" s="3" t="n"/>
      <c r="E1141" s="4">
        <f>IF(A1141="","",COUNTIFS($A$4:A1141,A1141,$I$4:I1141,"&lt;&gt;Штраф -2",$I$4:I1141,"&lt;&gt;ушел на базу"))</f>
        <v/>
      </c>
      <c r="F1141" s="4">
        <f>IF(E1141="","",IF(E1141&lt;=3,6,IF(E1141&lt;=6,5,IF(E1141&lt;=9,4,IF(E1141&lt;=12,3,IF(E1141&lt;=15,2,0))))))</f>
        <v/>
      </c>
      <c r="G1141" s="3" t="n"/>
      <c r="H1141" s="4">
        <f>IF(I1141="Штраф -2",-2,IF(OR(F1141="",G1141=""),"",F1141*G1141+IF(J1141="",0,J1141)))</f>
        <v/>
      </c>
      <c r="I1141" s="3" t="n"/>
      <c r="J1141" s="3" t="n"/>
      <c r="K1141" s="3" t="n"/>
    </row>
    <row r="1142">
      <c r="A1142" s="3" t="n"/>
      <c r="B1142" s="3" t="n"/>
      <c r="C1142" s="3" t="n"/>
      <c r="D1142" s="3" t="n"/>
      <c r="E1142" s="4">
        <f>IF(A1142="","",COUNTIFS($A$4:A1142,A1142,$I$4:I1142,"&lt;&gt;Штраф -2",$I$4:I1142,"&lt;&gt;ушел на базу"))</f>
        <v/>
      </c>
      <c r="F1142" s="4">
        <f>IF(E1142="","",IF(E1142&lt;=3,6,IF(E1142&lt;=6,5,IF(E1142&lt;=9,4,IF(E1142&lt;=12,3,IF(E1142&lt;=15,2,0))))))</f>
        <v/>
      </c>
      <c r="G1142" s="3" t="n"/>
      <c r="H1142" s="4">
        <f>IF(I1142="Штраф -2",-2,IF(OR(F1142="",G1142=""),"",F1142*G1142+IF(J1142="",0,J1142)))</f>
        <v/>
      </c>
      <c r="I1142" s="3" t="n"/>
      <c r="J1142" s="3" t="n"/>
      <c r="K1142" s="3" t="n"/>
    </row>
    <row r="1143">
      <c r="A1143" s="3" t="n"/>
      <c r="B1143" s="3" t="n"/>
      <c r="C1143" s="3" t="n"/>
      <c r="D1143" s="3" t="n"/>
      <c r="E1143" s="4">
        <f>IF(A1143="","",COUNTIFS($A$4:A1143,A1143,$I$4:I1143,"&lt;&gt;Штраф -2",$I$4:I1143,"&lt;&gt;ушел на базу"))</f>
        <v/>
      </c>
      <c r="F1143" s="4">
        <f>IF(E1143="","",IF(E1143&lt;=3,6,IF(E1143&lt;=6,5,IF(E1143&lt;=9,4,IF(E1143&lt;=12,3,IF(E1143&lt;=15,2,0))))))</f>
        <v/>
      </c>
      <c r="G1143" s="3" t="n"/>
      <c r="H1143" s="4">
        <f>IF(I1143="Штраф -2",-2,IF(OR(F1143="",G1143=""),"",F1143*G1143+IF(J1143="",0,J1143)))</f>
        <v/>
      </c>
      <c r="I1143" s="3" t="n"/>
      <c r="J1143" s="3" t="n"/>
      <c r="K1143" s="3" t="n"/>
    </row>
    <row r="1144">
      <c r="A1144" s="3" t="n"/>
      <c r="B1144" s="3" t="n"/>
      <c r="C1144" s="3" t="n"/>
      <c r="D1144" s="3" t="n"/>
      <c r="E1144" s="4">
        <f>IF(A1144="","",COUNTIFS($A$4:A1144,A1144,$I$4:I1144,"&lt;&gt;Штраф -2",$I$4:I1144,"&lt;&gt;ушел на базу"))</f>
        <v/>
      </c>
      <c r="F1144" s="4">
        <f>IF(E1144="","",IF(E1144&lt;=3,6,IF(E1144&lt;=6,5,IF(E1144&lt;=9,4,IF(E1144&lt;=12,3,IF(E1144&lt;=15,2,0))))))</f>
        <v/>
      </c>
      <c r="G1144" s="3" t="n"/>
      <c r="H1144" s="4">
        <f>IF(I1144="Штраф -2",-2,IF(OR(F1144="",G1144=""),"",F1144*G1144+IF(J1144="",0,J1144)))</f>
        <v/>
      </c>
      <c r="I1144" s="3" t="n"/>
      <c r="J1144" s="3" t="n"/>
      <c r="K1144" s="3" t="n"/>
    </row>
    <row r="1145">
      <c r="A1145" s="3" t="n"/>
      <c r="B1145" s="3" t="n"/>
      <c r="C1145" s="3" t="n"/>
      <c r="D1145" s="3" t="n"/>
      <c r="E1145" s="4">
        <f>IF(A1145="","",COUNTIFS($A$4:A1145,A1145,$I$4:I1145,"&lt;&gt;Штраф -2",$I$4:I1145,"&lt;&gt;ушел на базу"))</f>
        <v/>
      </c>
      <c r="F1145" s="4">
        <f>IF(E1145="","",IF(E1145&lt;=3,6,IF(E1145&lt;=6,5,IF(E1145&lt;=9,4,IF(E1145&lt;=12,3,IF(E1145&lt;=15,2,0))))))</f>
        <v/>
      </c>
      <c r="G1145" s="3" t="n"/>
      <c r="H1145" s="4">
        <f>IF(I1145="Штраф -2",-2,IF(OR(F1145="",G1145=""),"",F1145*G1145+IF(J1145="",0,J1145)))</f>
        <v/>
      </c>
      <c r="I1145" s="3" t="n"/>
      <c r="J1145" s="3" t="n"/>
      <c r="K1145" s="3" t="n"/>
    </row>
    <row r="1146">
      <c r="A1146" s="3" t="n"/>
      <c r="B1146" s="3" t="n"/>
      <c r="C1146" s="3" t="n"/>
      <c r="D1146" s="3" t="n"/>
      <c r="E1146" s="4">
        <f>IF(A1146="","",COUNTIFS($A$4:A1146,A1146,$I$4:I1146,"&lt;&gt;Штраф -2",$I$4:I1146,"&lt;&gt;ушел на базу"))</f>
        <v/>
      </c>
      <c r="F1146" s="4">
        <f>IF(E1146="","",IF(E1146&lt;=3,6,IF(E1146&lt;=6,5,IF(E1146&lt;=9,4,IF(E1146&lt;=12,3,IF(E1146&lt;=15,2,0))))))</f>
        <v/>
      </c>
      <c r="G1146" s="3" t="n"/>
      <c r="H1146" s="4">
        <f>IF(I1146="Штраф -2",-2,IF(OR(F1146="",G1146=""),"",F1146*G1146+IF(J1146="",0,J1146)))</f>
        <v/>
      </c>
      <c r="I1146" s="3" t="n"/>
      <c r="J1146" s="3" t="n"/>
      <c r="K1146" s="3" t="n"/>
    </row>
    <row r="1147">
      <c r="A1147" s="3" t="n"/>
      <c r="B1147" s="3" t="n"/>
      <c r="C1147" s="3" t="n"/>
      <c r="D1147" s="3" t="n"/>
      <c r="E1147" s="4">
        <f>IF(A1147="","",COUNTIFS($A$4:A1147,A1147,$I$4:I1147,"&lt;&gt;Штраф -2",$I$4:I1147,"&lt;&gt;ушел на базу"))</f>
        <v/>
      </c>
      <c r="F1147" s="4">
        <f>IF(E1147="","",IF(E1147&lt;=3,6,IF(E1147&lt;=6,5,IF(E1147&lt;=9,4,IF(E1147&lt;=12,3,IF(E1147&lt;=15,2,0))))))</f>
        <v/>
      </c>
      <c r="G1147" s="3" t="n"/>
      <c r="H1147" s="4">
        <f>IF(I1147="Штраф -2",-2,IF(OR(F1147="",G1147=""),"",F1147*G1147+IF(J1147="",0,J1147)))</f>
        <v/>
      </c>
      <c r="I1147" s="3" t="n"/>
      <c r="J1147" s="3" t="n"/>
      <c r="K1147" s="3" t="n"/>
    </row>
    <row r="1148">
      <c r="A1148" s="3" t="n"/>
      <c r="B1148" s="3" t="n"/>
      <c r="C1148" s="3" t="n"/>
      <c r="D1148" s="3" t="n"/>
      <c r="E1148" s="4">
        <f>IF(A1148="","",COUNTIFS($A$4:A1148,A1148,$I$4:I1148,"&lt;&gt;Штраф -2",$I$4:I1148,"&lt;&gt;ушел на базу"))</f>
        <v/>
      </c>
      <c r="F1148" s="4">
        <f>IF(E1148="","",IF(E1148&lt;=3,6,IF(E1148&lt;=6,5,IF(E1148&lt;=9,4,IF(E1148&lt;=12,3,IF(E1148&lt;=15,2,0))))))</f>
        <v/>
      </c>
      <c r="G1148" s="3" t="n"/>
      <c r="H1148" s="4">
        <f>IF(I1148="Штраф -2",-2,IF(OR(F1148="",G1148=""),"",F1148*G1148+IF(J1148="",0,J1148)))</f>
        <v/>
      </c>
      <c r="I1148" s="3" t="n"/>
      <c r="J1148" s="3" t="n"/>
      <c r="K1148" s="3" t="n"/>
    </row>
    <row r="1149">
      <c r="A1149" s="3" t="n"/>
      <c r="B1149" s="3" t="n"/>
      <c r="C1149" s="3" t="n"/>
      <c r="D1149" s="3" t="n"/>
      <c r="E1149" s="4">
        <f>IF(A1149="","",COUNTIFS($A$4:A1149,A1149,$I$4:I1149,"&lt;&gt;Штраф -2",$I$4:I1149,"&lt;&gt;ушел на базу"))</f>
        <v/>
      </c>
      <c r="F1149" s="4">
        <f>IF(E1149="","",IF(E1149&lt;=3,6,IF(E1149&lt;=6,5,IF(E1149&lt;=9,4,IF(E1149&lt;=12,3,IF(E1149&lt;=15,2,0))))))</f>
        <v/>
      </c>
      <c r="G1149" s="3" t="n"/>
      <c r="H1149" s="4">
        <f>IF(I1149="Штраф -2",-2,IF(OR(F1149="",G1149=""),"",F1149*G1149+IF(J1149="",0,J1149)))</f>
        <v/>
      </c>
      <c r="I1149" s="3" t="n"/>
      <c r="J1149" s="3" t="n"/>
      <c r="K1149" s="3" t="n"/>
    </row>
    <row r="1150">
      <c r="A1150" s="3" t="n"/>
      <c r="B1150" s="3" t="n"/>
      <c r="C1150" s="3" t="n"/>
      <c r="D1150" s="3" t="n"/>
      <c r="E1150" s="4">
        <f>IF(A1150="","",COUNTIFS($A$4:A1150,A1150,$I$4:I1150,"&lt;&gt;Штраф -2",$I$4:I1150,"&lt;&gt;ушел на базу"))</f>
        <v/>
      </c>
      <c r="F1150" s="4">
        <f>IF(E1150="","",IF(E1150&lt;=3,6,IF(E1150&lt;=6,5,IF(E1150&lt;=9,4,IF(E1150&lt;=12,3,IF(E1150&lt;=15,2,0))))))</f>
        <v/>
      </c>
      <c r="G1150" s="3" t="n"/>
      <c r="H1150" s="4">
        <f>IF(I1150="Штраф -2",-2,IF(OR(F1150="",G1150=""),"",F1150*G1150+IF(J1150="",0,J1150)))</f>
        <v/>
      </c>
      <c r="I1150" s="3" t="n"/>
      <c r="J1150" s="3" t="n"/>
      <c r="K1150" s="3" t="n"/>
    </row>
    <row r="1151">
      <c r="A1151" s="3" t="n"/>
      <c r="B1151" s="3" t="n"/>
      <c r="C1151" s="3" t="n"/>
      <c r="D1151" s="3" t="n"/>
      <c r="E1151" s="4">
        <f>IF(A1151="","",COUNTIFS($A$4:A1151,A1151,$I$4:I1151,"&lt;&gt;Штраф -2",$I$4:I1151,"&lt;&gt;ушел на базу"))</f>
        <v/>
      </c>
      <c r="F1151" s="4">
        <f>IF(E1151="","",IF(E1151&lt;=3,6,IF(E1151&lt;=6,5,IF(E1151&lt;=9,4,IF(E1151&lt;=12,3,IF(E1151&lt;=15,2,0))))))</f>
        <v/>
      </c>
      <c r="G1151" s="3" t="n"/>
      <c r="H1151" s="4">
        <f>IF(I1151="Штраф -2",-2,IF(OR(F1151="",G1151=""),"",F1151*G1151+IF(J1151="",0,J1151)))</f>
        <v/>
      </c>
      <c r="I1151" s="3" t="n"/>
      <c r="J1151" s="3" t="n"/>
      <c r="K1151" s="3" t="n"/>
    </row>
    <row r="1152">
      <c r="A1152" s="3" t="n"/>
      <c r="B1152" s="3" t="n"/>
      <c r="C1152" s="3" t="n"/>
      <c r="D1152" s="3" t="n"/>
      <c r="E1152" s="4">
        <f>IF(A1152="","",COUNTIFS($A$4:A1152,A1152,$I$4:I1152,"&lt;&gt;Штраф -2",$I$4:I1152,"&lt;&gt;ушел на базу"))</f>
        <v/>
      </c>
      <c r="F1152" s="4">
        <f>IF(E1152="","",IF(E1152&lt;=3,6,IF(E1152&lt;=6,5,IF(E1152&lt;=9,4,IF(E1152&lt;=12,3,IF(E1152&lt;=15,2,0))))))</f>
        <v/>
      </c>
      <c r="G1152" s="3" t="n"/>
      <c r="H1152" s="4">
        <f>IF(I1152="Штраф -2",-2,IF(OR(F1152="",G1152=""),"",F1152*G1152+IF(J1152="",0,J1152)))</f>
        <v/>
      </c>
      <c r="I1152" s="3" t="n"/>
      <c r="J1152" s="3" t="n"/>
      <c r="K1152" s="3" t="n"/>
    </row>
    <row r="1153">
      <c r="A1153" s="3" t="n"/>
      <c r="B1153" s="3" t="n"/>
      <c r="C1153" s="3" t="n"/>
      <c r="D1153" s="3" t="n"/>
      <c r="E1153" s="4">
        <f>IF(A1153="","",COUNTIFS($A$4:A1153,A1153,$I$4:I1153,"&lt;&gt;Штраф -2",$I$4:I1153,"&lt;&gt;ушел на базу"))</f>
        <v/>
      </c>
      <c r="F1153" s="4">
        <f>IF(E1153="","",IF(E1153&lt;=3,6,IF(E1153&lt;=6,5,IF(E1153&lt;=9,4,IF(E1153&lt;=12,3,IF(E1153&lt;=15,2,0))))))</f>
        <v/>
      </c>
      <c r="G1153" s="3" t="n"/>
      <c r="H1153" s="4">
        <f>IF(I1153="Штраф -2",-2,IF(OR(F1153="",G1153=""),"",F1153*G1153+IF(J1153="",0,J1153)))</f>
        <v/>
      </c>
      <c r="I1153" s="3" t="n"/>
      <c r="J1153" s="3" t="n"/>
      <c r="K1153" s="3" t="n"/>
    </row>
    <row r="1154">
      <c r="A1154" s="3" t="n"/>
      <c r="B1154" s="3" t="n"/>
      <c r="C1154" s="3" t="n"/>
      <c r="D1154" s="3" t="n"/>
      <c r="E1154" s="4">
        <f>IF(A1154="","",COUNTIFS($A$4:A1154,A1154,$I$4:I1154,"&lt;&gt;Штраф -2",$I$4:I1154,"&lt;&gt;ушел на базу"))</f>
        <v/>
      </c>
      <c r="F1154" s="4">
        <f>IF(E1154="","",IF(E1154&lt;=3,6,IF(E1154&lt;=6,5,IF(E1154&lt;=9,4,IF(E1154&lt;=12,3,IF(E1154&lt;=15,2,0))))))</f>
        <v/>
      </c>
      <c r="G1154" s="3" t="n"/>
      <c r="H1154" s="4">
        <f>IF(I1154="Штраф -2",-2,IF(OR(F1154="",G1154=""),"",F1154*G1154+IF(J1154="",0,J1154)))</f>
        <v/>
      </c>
      <c r="I1154" s="3" t="n"/>
      <c r="J1154" s="3" t="n"/>
      <c r="K1154" s="3" t="n"/>
    </row>
    <row r="1155">
      <c r="A1155" s="3" t="n"/>
      <c r="B1155" s="3" t="n"/>
      <c r="C1155" s="3" t="n"/>
      <c r="D1155" s="3" t="n"/>
      <c r="E1155" s="4">
        <f>IF(A1155="","",COUNTIFS($A$4:A1155,A1155,$I$4:I1155,"&lt;&gt;Штраф -2",$I$4:I1155,"&lt;&gt;ушел на базу"))</f>
        <v/>
      </c>
      <c r="F1155" s="4">
        <f>IF(E1155="","",IF(E1155&lt;=3,6,IF(E1155&lt;=6,5,IF(E1155&lt;=9,4,IF(E1155&lt;=12,3,IF(E1155&lt;=15,2,0))))))</f>
        <v/>
      </c>
      <c r="G1155" s="3" t="n"/>
      <c r="H1155" s="4">
        <f>IF(I1155="Штраф -2",-2,IF(OR(F1155="",G1155=""),"",F1155*G1155+IF(J1155="",0,J1155)))</f>
        <v/>
      </c>
      <c r="I1155" s="3" t="n"/>
      <c r="J1155" s="3" t="n"/>
      <c r="K1155" s="3" t="n"/>
    </row>
    <row r="1156">
      <c r="A1156" s="3" t="n"/>
      <c r="B1156" s="3" t="n"/>
      <c r="C1156" s="3" t="n"/>
      <c r="D1156" s="3" t="n"/>
      <c r="E1156" s="4">
        <f>IF(A1156="","",COUNTIFS($A$4:A1156,A1156,$I$4:I1156,"&lt;&gt;Штраф -2",$I$4:I1156,"&lt;&gt;ушел на базу"))</f>
        <v/>
      </c>
      <c r="F1156" s="4">
        <f>IF(E1156="","",IF(E1156&lt;=3,6,IF(E1156&lt;=6,5,IF(E1156&lt;=9,4,IF(E1156&lt;=12,3,IF(E1156&lt;=15,2,0))))))</f>
        <v/>
      </c>
      <c r="G1156" s="3" t="n"/>
      <c r="H1156" s="4">
        <f>IF(I1156="Штраф -2",-2,IF(OR(F1156="",G1156=""),"",F1156*G1156+IF(J1156="",0,J1156)))</f>
        <v/>
      </c>
      <c r="I1156" s="3" t="n"/>
      <c r="J1156" s="3" t="n"/>
      <c r="K1156" s="3" t="n"/>
    </row>
    <row r="1157">
      <c r="A1157" s="3" t="n"/>
      <c r="B1157" s="3" t="n"/>
      <c r="C1157" s="3" t="n"/>
      <c r="D1157" s="3" t="n"/>
      <c r="E1157" s="4">
        <f>IF(A1157="","",COUNTIFS($A$4:A1157,A1157,$I$4:I1157,"&lt;&gt;Штраф -2",$I$4:I1157,"&lt;&gt;ушел на базу"))</f>
        <v/>
      </c>
      <c r="F1157" s="4">
        <f>IF(E1157="","",IF(E1157&lt;=3,6,IF(E1157&lt;=6,5,IF(E1157&lt;=9,4,IF(E1157&lt;=12,3,IF(E1157&lt;=15,2,0))))))</f>
        <v/>
      </c>
      <c r="G1157" s="3" t="n"/>
      <c r="H1157" s="4">
        <f>IF(I1157="Штраф -2",-2,IF(OR(F1157="",G1157=""),"",F1157*G1157+IF(J1157="",0,J1157)))</f>
        <v/>
      </c>
      <c r="I1157" s="3" t="n"/>
      <c r="J1157" s="3" t="n"/>
      <c r="K1157" s="3" t="n"/>
    </row>
    <row r="1158">
      <c r="A1158" s="3" t="n"/>
      <c r="B1158" s="3" t="n"/>
      <c r="C1158" s="3" t="n"/>
      <c r="D1158" s="3" t="n"/>
      <c r="E1158" s="4">
        <f>IF(A1158="","",COUNTIFS($A$4:A1158,A1158,$I$4:I1158,"&lt;&gt;Штраф -2",$I$4:I1158,"&lt;&gt;ушел на базу"))</f>
        <v/>
      </c>
      <c r="F1158" s="4">
        <f>IF(E1158="","",IF(E1158&lt;=3,6,IF(E1158&lt;=6,5,IF(E1158&lt;=9,4,IF(E1158&lt;=12,3,IF(E1158&lt;=15,2,0))))))</f>
        <v/>
      </c>
      <c r="G1158" s="3" t="n"/>
      <c r="H1158" s="4">
        <f>IF(I1158="Штраф -2",-2,IF(OR(F1158="",G1158=""),"",F1158*G1158+IF(J1158="",0,J1158)))</f>
        <v/>
      </c>
      <c r="I1158" s="3" t="n"/>
      <c r="J1158" s="3" t="n"/>
      <c r="K1158" s="3" t="n"/>
    </row>
    <row r="1159">
      <c r="A1159" s="3" t="n"/>
      <c r="B1159" s="3" t="n"/>
      <c r="C1159" s="3" t="n"/>
      <c r="D1159" s="3" t="n"/>
      <c r="E1159" s="4">
        <f>IF(A1159="","",COUNTIFS($A$4:A1159,A1159,$I$4:I1159,"&lt;&gt;Штраф -2",$I$4:I1159,"&lt;&gt;ушел на базу"))</f>
        <v/>
      </c>
      <c r="F1159" s="4">
        <f>IF(E1159="","",IF(E1159&lt;=3,6,IF(E1159&lt;=6,5,IF(E1159&lt;=9,4,IF(E1159&lt;=12,3,IF(E1159&lt;=15,2,0))))))</f>
        <v/>
      </c>
      <c r="G1159" s="3" t="n"/>
      <c r="H1159" s="4">
        <f>IF(I1159="Штраф -2",-2,IF(OR(F1159="",G1159=""),"",F1159*G1159+IF(J1159="",0,J1159)))</f>
        <v/>
      </c>
      <c r="I1159" s="3" t="n"/>
      <c r="J1159" s="3" t="n"/>
      <c r="K1159" s="3" t="n"/>
    </row>
    <row r="1160">
      <c r="A1160" s="3" t="n"/>
      <c r="B1160" s="3" t="n"/>
      <c r="C1160" s="3" t="n"/>
      <c r="D1160" s="3" t="n"/>
      <c r="E1160" s="4">
        <f>IF(A1160="","",COUNTIFS($A$4:A1160,A1160,$I$4:I1160,"&lt;&gt;Штраф -2",$I$4:I1160,"&lt;&gt;ушел на базу"))</f>
        <v/>
      </c>
      <c r="F1160" s="4">
        <f>IF(E1160="","",IF(E1160&lt;=3,6,IF(E1160&lt;=6,5,IF(E1160&lt;=9,4,IF(E1160&lt;=12,3,IF(E1160&lt;=15,2,0))))))</f>
        <v/>
      </c>
      <c r="G1160" s="3" t="n"/>
      <c r="H1160" s="4">
        <f>IF(I1160="Штраф -2",-2,IF(OR(F1160="",G1160=""),"",F1160*G1160+IF(J1160="",0,J1160)))</f>
        <v/>
      </c>
      <c r="I1160" s="3" t="n"/>
      <c r="J1160" s="3" t="n"/>
      <c r="K1160" s="3" t="n"/>
    </row>
    <row r="1161">
      <c r="A1161" s="3" t="n"/>
      <c r="B1161" s="3" t="n"/>
      <c r="C1161" s="3" t="n"/>
      <c r="D1161" s="3" t="n"/>
      <c r="E1161" s="4">
        <f>IF(A1161="","",COUNTIFS($A$4:A1161,A1161,$I$4:I1161,"&lt;&gt;Штраф -2",$I$4:I1161,"&lt;&gt;ушел на базу"))</f>
        <v/>
      </c>
      <c r="F1161" s="4">
        <f>IF(E1161="","",IF(E1161&lt;=3,6,IF(E1161&lt;=6,5,IF(E1161&lt;=9,4,IF(E1161&lt;=12,3,IF(E1161&lt;=15,2,0))))))</f>
        <v/>
      </c>
      <c r="G1161" s="3" t="n"/>
      <c r="H1161" s="4">
        <f>IF(I1161="Штраф -2",-2,IF(OR(F1161="",G1161=""),"",F1161*G1161+IF(J1161="",0,J1161)))</f>
        <v/>
      </c>
      <c r="I1161" s="3" t="n"/>
      <c r="J1161" s="3" t="n"/>
      <c r="K1161" s="3" t="n"/>
    </row>
    <row r="1162">
      <c r="A1162" s="3" t="n"/>
      <c r="B1162" s="3" t="n"/>
      <c r="C1162" s="3" t="n"/>
      <c r="D1162" s="3" t="n"/>
      <c r="E1162" s="4">
        <f>IF(A1162="","",COUNTIFS($A$4:A1162,A1162,$I$4:I1162,"&lt;&gt;Штраф -2",$I$4:I1162,"&lt;&gt;ушел на базу"))</f>
        <v/>
      </c>
      <c r="F1162" s="4">
        <f>IF(E1162="","",IF(E1162&lt;=3,6,IF(E1162&lt;=6,5,IF(E1162&lt;=9,4,IF(E1162&lt;=12,3,IF(E1162&lt;=15,2,0))))))</f>
        <v/>
      </c>
      <c r="G1162" s="3" t="n"/>
      <c r="H1162" s="4">
        <f>IF(I1162="Штраф -2",-2,IF(OR(F1162="",G1162=""),"",F1162*G1162+IF(J1162="",0,J1162)))</f>
        <v/>
      </c>
      <c r="I1162" s="3" t="n"/>
      <c r="J1162" s="3" t="n"/>
      <c r="K1162" s="3" t="n"/>
    </row>
    <row r="1163">
      <c r="A1163" s="3" t="n"/>
      <c r="B1163" s="3" t="n"/>
      <c r="C1163" s="3" t="n"/>
      <c r="D1163" s="3" t="n"/>
      <c r="E1163" s="4">
        <f>IF(A1163="","",COUNTIFS($A$4:A1163,A1163,$I$4:I1163,"&lt;&gt;Штраф -2",$I$4:I1163,"&lt;&gt;ушел на базу"))</f>
        <v/>
      </c>
      <c r="F1163" s="4">
        <f>IF(E1163="","",IF(E1163&lt;=3,6,IF(E1163&lt;=6,5,IF(E1163&lt;=9,4,IF(E1163&lt;=12,3,IF(E1163&lt;=15,2,0))))))</f>
        <v/>
      </c>
      <c r="G1163" s="3" t="n"/>
      <c r="H1163" s="4">
        <f>IF(I1163="Штраф -2",-2,IF(OR(F1163="",G1163=""),"",F1163*G1163+IF(J1163="",0,J1163)))</f>
        <v/>
      </c>
      <c r="I1163" s="3" t="n"/>
      <c r="J1163" s="3" t="n"/>
      <c r="K1163" s="3" t="n"/>
    </row>
    <row r="1164">
      <c r="A1164" s="3" t="n"/>
      <c r="B1164" s="3" t="n"/>
      <c r="C1164" s="3" t="n"/>
      <c r="D1164" s="3" t="n"/>
      <c r="E1164" s="4">
        <f>IF(A1164="","",COUNTIFS($A$4:A1164,A1164,$I$4:I1164,"&lt;&gt;Штраф -2",$I$4:I1164,"&lt;&gt;ушел на базу"))</f>
        <v/>
      </c>
      <c r="F1164" s="4">
        <f>IF(E1164="","",IF(E1164&lt;=3,6,IF(E1164&lt;=6,5,IF(E1164&lt;=9,4,IF(E1164&lt;=12,3,IF(E1164&lt;=15,2,0))))))</f>
        <v/>
      </c>
      <c r="G1164" s="3" t="n"/>
      <c r="H1164" s="4">
        <f>IF(I1164="Штраф -2",-2,IF(OR(F1164="",G1164=""),"",F1164*G1164+IF(J1164="",0,J1164)))</f>
        <v/>
      </c>
      <c r="I1164" s="3" t="n"/>
      <c r="J1164" s="3" t="n"/>
      <c r="K1164" s="3" t="n"/>
    </row>
    <row r="1165">
      <c r="A1165" s="3" t="n"/>
      <c r="B1165" s="3" t="n"/>
      <c r="C1165" s="3" t="n"/>
      <c r="D1165" s="3" t="n"/>
      <c r="E1165" s="4">
        <f>IF(A1165="","",COUNTIFS($A$4:A1165,A1165,$I$4:I1165,"&lt;&gt;Штраф -2",$I$4:I1165,"&lt;&gt;ушел на базу"))</f>
        <v/>
      </c>
      <c r="F1165" s="4">
        <f>IF(E1165="","",IF(E1165&lt;=3,6,IF(E1165&lt;=6,5,IF(E1165&lt;=9,4,IF(E1165&lt;=12,3,IF(E1165&lt;=15,2,0))))))</f>
        <v/>
      </c>
      <c r="G1165" s="3" t="n"/>
      <c r="H1165" s="4">
        <f>IF(I1165="Штраф -2",-2,IF(OR(F1165="",G1165=""),"",F1165*G1165+IF(J1165="",0,J1165)))</f>
        <v/>
      </c>
      <c r="I1165" s="3" t="n"/>
      <c r="J1165" s="3" t="n"/>
      <c r="K1165" s="3" t="n"/>
    </row>
    <row r="1166">
      <c r="A1166" s="3" t="n"/>
      <c r="B1166" s="3" t="n"/>
      <c r="C1166" s="3" t="n"/>
      <c r="D1166" s="3" t="n"/>
      <c r="E1166" s="4">
        <f>IF(A1166="","",COUNTIFS($A$4:A1166,A1166,$I$4:I1166,"&lt;&gt;Штраф -2",$I$4:I1166,"&lt;&gt;ушел на базу"))</f>
        <v/>
      </c>
      <c r="F1166" s="4">
        <f>IF(E1166="","",IF(E1166&lt;=3,6,IF(E1166&lt;=6,5,IF(E1166&lt;=9,4,IF(E1166&lt;=12,3,IF(E1166&lt;=15,2,0))))))</f>
        <v/>
      </c>
      <c r="G1166" s="3" t="n"/>
      <c r="H1166" s="4">
        <f>IF(I1166="Штраф -2",-2,IF(OR(F1166="",G1166=""),"",F1166*G1166+IF(J1166="",0,J1166)))</f>
        <v/>
      </c>
      <c r="I1166" s="3" t="n"/>
      <c r="J1166" s="3" t="n"/>
      <c r="K1166" s="3" t="n"/>
    </row>
    <row r="1167">
      <c r="A1167" s="3" t="n"/>
      <c r="B1167" s="3" t="n"/>
      <c r="C1167" s="3" t="n"/>
      <c r="D1167" s="3" t="n"/>
      <c r="E1167" s="4">
        <f>IF(A1167="","",COUNTIFS($A$4:A1167,A1167,$I$4:I1167,"&lt;&gt;Штраф -2",$I$4:I1167,"&lt;&gt;ушел на базу"))</f>
        <v/>
      </c>
      <c r="F1167" s="4">
        <f>IF(E1167="","",IF(E1167&lt;=3,6,IF(E1167&lt;=6,5,IF(E1167&lt;=9,4,IF(E1167&lt;=12,3,IF(E1167&lt;=15,2,0))))))</f>
        <v/>
      </c>
      <c r="G1167" s="3" t="n"/>
      <c r="H1167" s="4">
        <f>IF(I1167="Штраф -2",-2,IF(OR(F1167="",G1167=""),"",F1167*G1167+IF(J1167="",0,J1167)))</f>
        <v/>
      </c>
      <c r="I1167" s="3" t="n"/>
      <c r="J1167" s="3" t="n"/>
      <c r="K1167" s="3" t="n"/>
    </row>
    <row r="1168">
      <c r="A1168" s="3" t="n"/>
      <c r="B1168" s="3" t="n"/>
      <c r="C1168" s="3" t="n"/>
      <c r="D1168" s="3" t="n"/>
      <c r="E1168" s="4">
        <f>IF(A1168="","",COUNTIFS($A$4:A1168,A1168,$I$4:I1168,"&lt;&gt;Штраф -2",$I$4:I1168,"&lt;&gt;ушел на базу"))</f>
        <v/>
      </c>
      <c r="F1168" s="4">
        <f>IF(E1168="","",IF(E1168&lt;=3,6,IF(E1168&lt;=6,5,IF(E1168&lt;=9,4,IF(E1168&lt;=12,3,IF(E1168&lt;=15,2,0))))))</f>
        <v/>
      </c>
      <c r="G1168" s="3" t="n"/>
      <c r="H1168" s="4">
        <f>IF(I1168="Штраф -2",-2,IF(OR(F1168="",G1168=""),"",F1168*G1168+IF(J1168="",0,J1168)))</f>
        <v/>
      </c>
      <c r="I1168" s="3" t="n"/>
      <c r="J1168" s="3" t="n"/>
      <c r="K1168" s="3" t="n"/>
    </row>
    <row r="1169">
      <c r="A1169" s="3" t="n"/>
      <c r="B1169" s="3" t="n"/>
      <c r="C1169" s="3" t="n"/>
      <c r="D1169" s="3" t="n"/>
      <c r="E1169" s="4">
        <f>IF(A1169="","",COUNTIFS($A$4:A1169,A1169,$I$4:I1169,"&lt;&gt;Штраф -2",$I$4:I1169,"&lt;&gt;ушел на базу"))</f>
        <v/>
      </c>
      <c r="F1169" s="4">
        <f>IF(E1169="","",IF(E1169&lt;=3,6,IF(E1169&lt;=6,5,IF(E1169&lt;=9,4,IF(E1169&lt;=12,3,IF(E1169&lt;=15,2,0))))))</f>
        <v/>
      </c>
      <c r="G1169" s="3" t="n"/>
      <c r="H1169" s="4">
        <f>IF(I1169="Штраф -2",-2,IF(OR(F1169="",G1169=""),"",F1169*G1169+IF(J1169="",0,J1169)))</f>
        <v/>
      </c>
      <c r="I1169" s="3" t="n"/>
      <c r="J1169" s="3" t="n"/>
      <c r="K1169" s="3" t="n"/>
    </row>
    <row r="1170">
      <c r="A1170" s="3" t="n"/>
      <c r="B1170" s="3" t="n"/>
      <c r="C1170" s="3" t="n"/>
      <c r="D1170" s="3" t="n"/>
      <c r="E1170" s="4">
        <f>IF(A1170="","",COUNTIFS($A$4:A1170,A1170,$I$4:I1170,"&lt;&gt;Штраф -2",$I$4:I1170,"&lt;&gt;ушел на базу"))</f>
        <v/>
      </c>
      <c r="F1170" s="4">
        <f>IF(E1170="","",IF(E1170&lt;=3,6,IF(E1170&lt;=6,5,IF(E1170&lt;=9,4,IF(E1170&lt;=12,3,IF(E1170&lt;=15,2,0))))))</f>
        <v/>
      </c>
      <c r="G1170" s="3" t="n"/>
      <c r="H1170" s="4">
        <f>IF(I1170="Штраф -2",-2,IF(OR(F1170="",G1170=""),"",F1170*G1170+IF(J1170="",0,J1170)))</f>
        <v/>
      </c>
      <c r="I1170" s="3" t="n"/>
      <c r="J1170" s="3" t="n"/>
      <c r="K1170" s="3" t="n"/>
    </row>
    <row r="1171">
      <c r="A1171" s="3" t="n"/>
      <c r="B1171" s="3" t="n"/>
      <c r="C1171" s="3" t="n"/>
      <c r="D1171" s="3" t="n"/>
      <c r="E1171" s="4">
        <f>IF(A1171="","",COUNTIFS($A$4:A1171,A1171,$I$4:I1171,"&lt;&gt;Штраф -2",$I$4:I1171,"&lt;&gt;ушел на базу"))</f>
        <v/>
      </c>
      <c r="F1171" s="4">
        <f>IF(E1171="","",IF(E1171&lt;=3,6,IF(E1171&lt;=6,5,IF(E1171&lt;=9,4,IF(E1171&lt;=12,3,IF(E1171&lt;=15,2,0))))))</f>
        <v/>
      </c>
      <c r="G1171" s="3" t="n"/>
      <c r="H1171" s="4">
        <f>IF(I1171="Штраф -2",-2,IF(OR(F1171="",G1171=""),"",F1171*G1171+IF(J1171="",0,J1171)))</f>
        <v/>
      </c>
      <c r="I1171" s="3" t="n"/>
      <c r="J1171" s="3" t="n"/>
      <c r="K1171" s="3" t="n"/>
    </row>
    <row r="1172">
      <c r="A1172" s="3" t="n"/>
      <c r="B1172" s="3" t="n"/>
      <c r="C1172" s="3" t="n"/>
      <c r="D1172" s="3" t="n"/>
      <c r="E1172" s="4">
        <f>IF(A1172="","",COUNTIFS($A$4:A1172,A1172,$I$4:I1172,"&lt;&gt;Штраф -2",$I$4:I1172,"&lt;&gt;ушел на базу"))</f>
        <v/>
      </c>
      <c r="F1172" s="4">
        <f>IF(E1172="","",IF(E1172&lt;=3,6,IF(E1172&lt;=6,5,IF(E1172&lt;=9,4,IF(E1172&lt;=12,3,IF(E1172&lt;=15,2,0))))))</f>
        <v/>
      </c>
      <c r="G1172" s="3" t="n"/>
      <c r="H1172" s="4">
        <f>IF(I1172="Штраф -2",-2,IF(OR(F1172="",G1172=""),"",F1172*G1172+IF(J1172="",0,J1172)))</f>
        <v/>
      </c>
      <c r="I1172" s="3" t="n"/>
      <c r="J1172" s="3" t="n"/>
      <c r="K1172" s="3" t="n"/>
    </row>
    <row r="1173">
      <c r="A1173" s="3" t="n"/>
      <c r="B1173" s="3" t="n"/>
      <c r="C1173" s="3" t="n"/>
      <c r="D1173" s="3" t="n"/>
      <c r="E1173" s="4">
        <f>IF(A1173="","",COUNTIFS($A$4:A1173,A1173,$I$4:I1173,"&lt;&gt;Штраф -2",$I$4:I1173,"&lt;&gt;ушел на базу"))</f>
        <v/>
      </c>
      <c r="F1173" s="4">
        <f>IF(E1173="","",IF(E1173&lt;=3,6,IF(E1173&lt;=6,5,IF(E1173&lt;=9,4,IF(E1173&lt;=12,3,IF(E1173&lt;=15,2,0))))))</f>
        <v/>
      </c>
      <c r="G1173" s="3" t="n"/>
      <c r="H1173" s="4">
        <f>IF(I1173="Штраф -2",-2,IF(OR(F1173="",G1173=""),"",F1173*G1173+IF(J1173="",0,J1173)))</f>
        <v/>
      </c>
      <c r="I1173" s="3" t="n"/>
      <c r="J1173" s="3" t="n"/>
      <c r="K1173" s="3" t="n"/>
    </row>
    <row r="1174">
      <c r="A1174" s="3" t="n"/>
      <c r="B1174" s="3" t="n"/>
      <c r="C1174" s="3" t="n"/>
      <c r="D1174" s="3" t="n"/>
      <c r="E1174" s="4">
        <f>IF(A1174="","",COUNTIFS($A$4:A1174,A1174,$I$4:I1174,"&lt;&gt;Штраф -2",$I$4:I1174,"&lt;&gt;ушел на базу"))</f>
        <v/>
      </c>
      <c r="F1174" s="4">
        <f>IF(E1174="","",IF(E1174&lt;=3,6,IF(E1174&lt;=6,5,IF(E1174&lt;=9,4,IF(E1174&lt;=12,3,IF(E1174&lt;=15,2,0))))))</f>
        <v/>
      </c>
      <c r="G1174" s="3" t="n"/>
      <c r="H1174" s="4">
        <f>IF(I1174="Штраф -2",-2,IF(OR(F1174="",G1174=""),"",F1174*G1174+IF(J1174="",0,J1174)))</f>
        <v/>
      </c>
      <c r="I1174" s="3" t="n"/>
      <c r="J1174" s="3" t="n"/>
      <c r="K1174" s="3" t="n"/>
    </row>
    <row r="1175">
      <c r="A1175" s="3" t="n"/>
      <c r="B1175" s="3" t="n"/>
      <c r="C1175" s="3" t="n"/>
      <c r="D1175" s="3" t="n"/>
      <c r="E1175" s="4">
        <f>IF(A1175="","",COUNTIFS($A$4:A1175,A1175,$I$4:I1175,"&lt;&gt;Штраф -2",$I$4:I1175,"&lt;&gt;ушел на базу"))</f>
        <v/>
      </c>
      <c r="F1175" s="4">
        <f>IF(E1175="","",IF(E1175&lt;=3,6,IF(E1175&lt;=6,5,IF(E1175&lt;=9,4,IF(E1175&lt;=12,3,IF(E1175&lt;=15,2,0))))))</f>
        <v/>
      </c>
      <c r="G1175" s="3" t="n"/>
      <c r="H1175" s="4">
        <f>IF(I1175="Штраф -2",-2,IF(OR(F1175="",G1175=""),"",F1175*G1175+IF(J1175="",0,J1175)))</f>
        <v/>
      </c>
      <c r="I1175" s="3" t="n"/>
      <c r="J1175" s="3" t="n"/>
      <c r="K1175" s="3" t="n"/>
    </row>
    <row r="1176">
      <c r="A1176" s="3" t="n"/>
      <c r="B1176" s="3" t="n"/>
      <c r="C1176" s="3" t="n"/>
      <c r="D1176" s="3" t="n"/>
      <c r="E1176" s="4">
        <f>IF(A1176="","",COUNTIFS($A$4:A1176,A1176,$I$4:I1176,"&lt;&gt;Штраф -2",$I$4:I1176,"&lt;&gt;ушел на базу"))</f>
        <v/>
      </c>
      <c r="F1176" s="4">
        <f>IF(E1176="","",IF(E1176&lt;=3,6,IF(E1176&lt;=6,5,IF(E1176&lt;=9,4,IF(E1176&lt;=12,3,IF(E1176&lt;=15,2,0))))))</f>
        <v/>
      </c>
      <c r="G1176" s="3" t="n"/>
      <c r="H1176" s="4">
        <f>IF(I1176="Штраф -2",-2,IF(OR(F1176="",G1176=""),"",F1176*G1176+IF(J1176="",0,J1176)))</f>
        <v/>
      </c>
      <c r="I1176" s="3" t="n"/>
      <c r="J1176" s="3" t="n"/>
      <c r="K1176" s="3" t="n"/>
    </row>
    <row r="1177">
      <c r="A1177" s="3" t="n"/>
      <c r="B1177" s="3" t="n"/>
      <c r="C1177" s="3" t="n"/>
      <c r="D1177" s="3" t="n"/>
      <c r="E1177" s="4">
        <f>IF(A1177="","",COUNTIFS($A$4:A1177,A1177,$I$4:I1177,"&lt;&gt;Штраф -2",$I$4:I1177,"&lt;&gt;ушел на базу"))</f>
        <v/>
      </c>
      <c r="F1177" s="4">
        <f>IF(E1177="","",IF(E1177&lt;=3,6,IF(E1177&lt;=6,5,IF(E1177&lt;=9,4,IF(E1177&lt;=12,3,IF(E1177&lt;=15,2,0))))))</f>
        <v/>
      </c>
      <c r="G1177" s="3" t="n"/>
      <c r="H1177" s="4">
        <f>IF(I1177="Штраф -2",-2,IF(OR(F1177="",G1177=""),"",F1177*G1177+IF(J1177="",0,J1177)))</f>
        <v/>
      </c>
      <c r="I1177" s="3" t="n"/>
      <c r="J1177" s="3" t="n"/>
      <c r="K1177" s="3" t="n"/>
    </row>
    <row r="1178">
      <c r="A1178" s="3" t="n"/>
      <c r="B1178" s="3" t="n"/>
      <c r="C1178" s="3" t="n"/>
      <c r="D1178" s="3" t="n"/>
      <c r="E1178" s="4">
        <f>IF(A1178="","",COUNTIFS($A$4:A1178,A1178,$I$4:I1178,"&lt;&gt;Штраф -2",$I$4:I1178,"&lt;&gt;ушел на базу"))</f>
        <v/>
      </c>
      <c r="F1178" s="4">
        <f>IF(E1178="","",IF(E1178&lt;=3,6,IF(E1178&lt;=6,5,IF(E1178&lt;=9,4,IF(E1178&lt;=12,3,IF(E1178&lt;=15,2,0))))))</f>
        <v/>
      </c>
      <c r="G1178" s="3" t="n"/>
      <c r="H1178" s="4">
        <f>IF(I1178="Штраф -2",-2,IF(OR(F1178="",G1178=""),"",F1178*G1178+IF(J1178="",0,J1178)))</f>
        <v/>
      </c>
      <c r="I1178" s="3" t="n"/>
      <c r="J1178" s="3" t="n"/>
      <c r="K1178" s="3" t="n"/>
    </row>
    <row r="1179">
      <c r="A1179" s="3" t="n"/>
      <c r="B1179" s="3" t="n"/>
      <c r="C1179" s="3" t="n"/>
      <c r="D1179" s="3" t="n"/>
      <c r="E1179" s="4">
        <f>IF(A1179="","",COUNTIFS($A$4:A1179,A1179,$I$4:I1179,"&lt;&gt;Штраф -2",$I$4:I1179,"&lt;&gt;ушел на базу"))</f>
        <v/>
      </c>
      <c r="F1179" s="4">
        <f>IF(E1179="","",IF(E1179&lt;=3,6,IF(E1179&lt;=6,5,IF(E1179&lt;=9,4,IF(E1179&lt;=12,3,IF(E1179&lt;=15,2,0))))))</f>
        <v/>
      </c>
      <c r="G1179" s="3" t="n"/>
      <c r="H1179" s="4">
        <f>IF(I1179="Штраф -2",-2,IF(OR(F1179="",G1179=""),"",F1179*G1179+IF(J1179="",0,J1179)))</f>
        <v/>
      </c>
      <c r="I1179" s="3" t="n"/>
      <c r="J1179" s="3" t="n"/>
      <c r="K1179" s="3" t="n"/>
    </row>
    <row r="1180">
      <c r="A1180" s="3" t="n"/>
      <c r="B1180" s="3" t="n"/>
      <c r="C1180" s="3" t="n"/>
      <c r="D1180" s="3" t="n"/>
      <c r="E1180" s="4">
        <f>IF(A1180="","",COUNTIFS($A$4:A1180,A1180,$I$4:I1180,"&lt;&gt;Штраф -2",$I$4:I1180,"&lt;&gt;ушел на базу"))</f>
        <v/>
      </c>
      <c r="F1180" s="4">
        <f>IF(E1180="","",IF(E1180&lt;=3,6,IF(E1180&lt;=6,5,IF(E1180&lt;=9,4,IF(E1180&lt;=12,3,IF(E1180&lt;=15,2,0))))))</f>
        <v/>
      </c>
      <c r="G1180" s="3" t="n"/>
      <c r="H1180" s="4">
        <f>IF(I1180="Штраф -2",-2,IF(OR(F1180="",G1180=""),"",F1180*G1180+IF(J1180="",0,J1180)))</f>
        <v/>
      </c>
      <c r="I1180" s="3" t="n"/>
      <c r="J1180" s="3" t="n"/>
      <c r="K1180" s="3" t="n"/>
    </row>
    <row r="1181">
      <c r="A1181" s="3" t="n"/>
      <c r="B1181" s="3" t="n"/>
      <c r="C1181" s="3" t="n"/>
      <c r="D1181" s="3" t="n"/>
      <c r="E1181" s="4">
        <f>IF(A1181="","",COUNTIFS($A$4:A1181,A1181,$I$4:I1181,"&lt;&gt;Штраф -2",$I$4:I1181,"&lt;&gt;ушел на базу"))</f>
        <v/>
      </c>
      <c r="F1181" s="4">
        <f>IF(E1181="","",IF(E1181&lt;=3,6,IF(E1181&lt;=6,5,IF(E1181&lt;=9,4,IF(E1181&lt;=12,3,IF(E1181&lt;=15,2,0))))))</f>
        <v/>
      </c>
      <c r="G1181" s="3" t="n"/>
      <c r="H1181" s="4">
        <f>IF(I1181="Штраф -2",-2,IF(OR(F1181="",G1181=""),"",F1181*G1181+IF(J1181="",0,J1181)))</f>
        <v/>
      </c>
      <c r="I1181" s="3" t="n"/>
      <c r="J1181" s="3" t="n"/>
      <c r="K1181" s="3" t="n"/>
    </row>
    <row r="1182">
      <c r="A1182" s="3" t="n"/>
      <c r="B1182" s="3" t="n"/>
      <c r="C1182" s="3" t="n"/>
      <c r="D1182" s="3" t="n"/>
      <c r="E1182" s="4">
        <f>IF(A1182="","",COUNTIFS($A$4:A1182,A1182,$I$4:I1182,"&lt;&gt;Штраф -2",$I$4:I1182,"&lt;&gt;ушел на базу"))</f>
        <v/>
      </c>
      <c r="F1182" s="4">
        <f>IF(E1182="","",IF(E1182&lt;=3,6,IF(E1182&lt;=6,5,IF(E1182&lt;=9,4,IF(E1182&lt;=12,3,IF(E1182&lt;=15,2,0))))))</f>
        <v/>
      </c>
      <c r="G1182" s="3" t="n"/>
      <c r="H1182" s="4">
        <f>IF(I1182="Штраф -2",-2,IF(OR(F1182="",G1182=""),"",F1182*G1182+IF(J1182="",0,J1182)))</f>
        <v/>
      </c>
      <c r="I1182" s="3" t="n"/>
      <c r="J1182" s="3" t="n"/>
      <c r="K1182" s="3" t="n"/>
    </row>
    <row r="1183">
      <c r="A1183" s="3" t="n"/>
      <c r="B1183" s="3" t="n"/>
      <c r="C1183" s="3" t="n"/>
      <c r="D1183" s="3" t="n"/>
      <c r="E1183" s="4">
        <f>IF(A1183="","",COUNTIFS($A$4:A1183,A1183,$I$4:I1183,"&lt;&gt;Штраф -2",$I$4:I1183,"&lt;&gt;ушел на базу"))</f>
        <v/>
      </c>
      <c r="F1183" s="4">
        <f>IF(E1183="","",IF(E1183&lt;=3,6,IF(E1183&lt;=6,5,IF(E1183&lt;=9,4,IF(E1183&lt;=12,3,IF(E1183&lt;=15,2,0))))))</f>
        <v/>
      </c>
      <c r="G1183" s="3" t="n"/>
      <c r="H1183" s="4">
        <f>IF(I1183="Штраф -2",-2,IF(OR(F1183="",G1183=""),"",F1183*G1183+IF(J1183="",0,J1183)))</f>
        <v/>
      </c>
      <c r="I1183" s="3" t="n"/>
      <c r="J1183" s="3" t="n"/>
      <c r="K1183" s="3" t="n"/>
    </row>
    <row r="1184">
      <c r="A1184" s="3" t="n"/>
      <c r="B1184" s="3" t="n"/>
      <c r="C1184" s="3" t="n"/>
      <c r="D1184" s="3" t="n"/>
      <c r="E1184" s="4">
        <f>IF(A1184="","",COUNTIFS($A$4:A1184,A1184,$I$4:I1184,"&lt;&gt;Штраф -2",$I$4:I1184,"&lt;&gt;ушел на базу"))</f>
        <v/>
      </c>
      <c r="F1184" s="4">
        <f>IF(E1184="","",IF(E1184&lt;=3,6,IF(E1184&lt;=6,5,IF(E1184&lt;=9,4,IF(E1184&lt;=12,3,IF(E1184&lt;=15,2,0))))))</f>
        <v/>
      </c>
      <c r="G1184" s="3" t="n"/>
      <c r="H1184" s="4">
        <f>IF(I1184="Штраф -2",-2,IF(OR(F1184="",G1184=""),"",F1184*G1184+IF(J1184="",0,J1184)))</f>
        <v/>
      </c>
      <c r="I1184" s="3" t="n"/>
      <c r="J1184" s="3" t="n"/>
      <c r="K1184" s="3" t="n"/>
    </row>
    <row r="1185">
      <c r="A1185" s="3" t="n"/>
      <c r="B1185" s="3" t="n"/>
      <c r="C1185" s="3" t="n"/>
      <c r="D1185" s="3" t="n"/>
      <c r="E1185" s="4">
        <f>IF(A1185="","",COUNTIFS($A$4:A1185,A1185,$I$4:I1185,"&lt;&gt;Штраф -2",$I$4:I1185,"&lt;&gt;ушел на базу"))</f>
        <v/>
      </c>
      <c r="F1185" s="4">
        <f>IF(E1185="","",IF(E1185&lt;=3,6,IF(E1185&lt;=6,5,IF(E1185&lt;=9,4,IF(E1185&lt;=12,3,IF(E1185&lt;=15,2,0))))))</f>
        <v/>
      </c>
      <c r="G1185" s="3" t="n"/>
      <c r="H1185" s="4">
        <f>IF(I1185="Штраф -2",-2,IF(OR(F1185="",G1185=""),"",F1185*G1185+IF(J1185="",0,J1185)))</f>
        <v/>
      </c>
      <c r="I1185" s="3" t="n"/>
      <c r="J1185" s="3" t="n"/>
      <c r="K1185" s="3" t="n"/>
    </row>
    <row r="1186">
      <c r="A1186" s="3" t="n"/>
      <c r="B1186" s="3" t="n"/>
      <c r="C1186" s="3" t="n"/>
      <c r="D1186" s="3" t="n"/>
      <c r="E1186" s="4">
        <f>IF(A1186="","",COUNTIFS($A$4:A1186,A1186,$I$4:I1186,"&lt;&gt;Штраф -2",$I$4:I1186,"&lt;&gt;ушел на базу"))</f>
        <v/>
      </c>
      <c r="F1186" s="4">
        <f>IF(E1186="","",IF(E1186&lt;=3,6,IF(E1186&lt;=6,5,IF(E1186&lt;=9,4,IF(E1186&lt;=12,3,IF(E1186&lt;=15,2,0))))))</f>
        <v/>
      </c>
      <c r="G1186" s="3" t="n"/>
      <c r="H1186" s="4">
        <f>IF(I1186="Штраф -2",-2,IF(OR(F1186="",G1186=""),"",F1186*G1186+IF(J1186="",0,J1186)))</f>
        <v/>
      </c>
      <c r="I1186" s="3" t="n"/>
      <c r="J1186" s="3" t="n"/>
      <c r="K1186" s="3" t="n"/>
    </row>
    <row r="1187">
      <c r="A1187" s="3" t="n"/>
      <c r="B1187" s="3" t="n"/>
      <c r="C1187" s="3" t="n"/>
      <c r="D1187" s="3" t="n"/>
      <c r="E1187" s="4">
        <f>IF(A1187="","",COUNTIFS($A$4:A1187,A1187,$I$4:I1187,"&lt;&gt;Штраф -2",$I$4:I1187,"&lt;&gt;ушел на базу"))</f>
        <v/>
      </c>
      <c r="F1187" s="4">
        <f>IF(E1187="","",IF(E1187&lt;=3,6,IF(E1187&lt;=6,5,IF(E1187&lt;=9,4,IF(E1187&lt;=12,3,IF(E1187&lt;=15,2,0))))))</f>
        <v/>
      </c>
      <c r="G1187" s="3" t="n"/>
      <c r="H1187" s="4">
        <f>IF(I1187="Штраф -2",-2,IF(OR(F1187="",G1187=""),"",F1187*G1187+IF(J1187="",0,J1187)))</f>
        <v/>
      </c>
      <c r="I1187" s="3" t="n"/>
      <c r="J1187" s="3" t="n"/>
      <c r="K1187" s="3" t="n"/>
    </row>
    <row r="1188">
      <c r="A1188" s="3" t="n"/>
      <c r="B1188" s="3" t="n"/>
      <c r="C1188" s="3" t="n"/>
      <c r="D1188" s="3" t="n"/>
      <c r="E1188" s="4">
        <f>IF(A1188="","",COUNTIFS($A$4:A1188,A1188,$I$4:I1188,"&lt;&gt;Штраф -2",$I$4:I1188,"&lt;&gt;ушел на базу"))</f>
        <v/>
      </c>
      <c r="F1188" s="4">
        <f>IF(E1188="","",IF(E1188&lt;=3,6,IF(E1188&lt;=6,5,IF(E1188&lt;=9,4,IF(E1188&lt;=12,3,IF(E1188&lt;=15,2,0))))))</f>
        <v/>
      </c>
      <c r="G1188" s="3" t="n"/>
      <c r="H1188" s="4">
        <f>IF(I1188="Штраф -2",-2,IF(OR(F1188="",G1188=""),"",F1188*G1188+IF(J1188="",0,J1188)))</f>
        <v/>
      </c>
      <c r="I1188" s="3" t="n"/>
      <c r="J1188" s="3" t="n"/>
      <c r="K1188" s="3" t="n"/>
    </row>
    <row r="1189">
      <c r="A1189" s="3" t="n"/>
      <c r="B1189" s="3" t="n"/>
      <c r="C1189" s="3" t="n"/>
      <c r="D1189" s="3" t="n"/>
      <c r="E1189" s="4">
        <f>IF(A1189="","",COUNTIFS($A$4:A1189,A1189,$I$4:I1189,"&lt;&gt;Штраф -2",$I$4:I1189,"&lt;&gt;ушел на базу"))</f>
        <v/>
      </c>
      <c r="F1189" s="4">
        <f>IF(E1189="","",IF(E1189&lt;=3,6,IF(E1189&lt;=6,5,IF(E1189&lt;=9,4,IF(E1189&lt;=12,3,IF(E1189&lt;=15,2,0))))))</f>
        <v/>
      </c>
      <c r="G1189" s="3" t="n"/>
      <c r="H1189" s="4">
        <f>IF(I1189="Штраф -2",-2,IF(OR(F1189="",G1189=""),"",F1189*G1189+IF(J1189="",0,J1189)))</f>
        <v/>
      </c>
      <c r="I1189" s="3" t="n"/>
      <c r="J1189" s="3" t="n"/>
      <c r="K1189" s="3" t="n"/>
    </row>
    <row r="1190">
      <c r="A1190" s="3" t="n"/>
      <c r="B1190" s="3" t="n"/>
      <c r="C1190" s="3" t="n"/>
      <c r="D1190" s="3" t="n"/>
      <c r="E1190" s="4">
        <f>IF(A1190="","",COUNTIFS($A$4:A1190,A1190,$I$4:I1190,"&lt;&gt;Штраф -2",$I$4:I1190,"&lt;&gt;ушел на базу"))</f>
        <v/>
      </c>
      <c r="F1190" s="4">
        <f>IF(E1190="","",IF(E1190&lt;=3,6,IF(E1190&lt;=6,5,IF(E1190&lt;=9,4,IF(E1190&lt;=12,3,IF(E1190&lt;=15,2,0))))))</f>
        <v/>
      </c>
      <c r="G1190" s="3" t="n"/>
      <c r="H1190" s="4">
        <f>IF(I1190="Штраф -2",-2,IF(OR(F1190="",G1190=""),"",F1190*G1190+IF(J1190="",0,J1190)))</f>
        <v/>
      </c>
      <c r="I1190" s="3" t="n"/>
      <c r="J1190" s="3" t="n"/>
      <c r="K1190" s="3" t="n"/>
    </row>
    <row r="1191">
      <c r="A1191" s="3" t="n"/>
      <c r="B1191" s="3" t="n"/>
      <c r="C1191" s="3" t="n"/>
      <c r="D1191" s="3" t="n"/>
      <c r="E1191" s="4">
        <f>IF(A1191="","",COUNTIFS($A$4:A1191,A1191,$I$4:I1191,"&lt;&gt;Штраф -2",$I$4:I1191,"&lt;&gt;ушел на базу"))</f>
        <v/>
      </c>
      <c r="F1191" s="4">
        <f>IF(E1191="","",IF(E1191&lt;=3,6,IF(E1191&lt;=6,5,IF(E1191&lt;=9,4,IF(E1191&lt;=12,3,IF(E1191&lt;=15,2,0))))))</f>
        <v/>
      </c>
      <c r="G1191" s="3" t="n"/>
      <c r="H1191" s="4">
        <f>IF(I1191="Штраф -2",-2,IF(OR(F1191="",G1191=""),"",F1191*G1191+IF(J1191="",0,J1191)))</f>
        <v/>
      </c>
      <c r="I1191" s="3" t="n"/>
      <c r="J1191" s="3" t="n"/>
      <c r="K1191" s="3" t="n"/>
    </row>
    <row r="1192">
      <c r="A1192" s="3" t="n"/>
      <c r="B1192" s="3" t="n"/>
      <c r="C1192" s="3" t="n"/>
      <c r="D1192" s="3" t="n"/>
      <c r="E1192" s="4">
        <f>IF(A1192="","",COUNTIFS($A$4:A1192,A1192,$I$4:I1192,"&lt;&gt;Штраф -2",$I$4:I1192,"&lt;&gt;ушел на базу"))</f>
        <v/>
      </c>
      <c r="F1192" s="4">
        <f>IF(E1192="","",IF(E1192&lt;=3,6,IF(E1192&lt;=6,5,IF(E1192&lt;=9,4,IF(E1192&lt;=12,3,IF(E1192&lt;=15,2,0))))))</f>
        <v/>
      </c>
      <c r="G1192" s="3" t="n"/>
      <c r="H1192" s="4">
        <f>IF(I1192="Штраф -2",-2,IF(OR(F1192="",G1192=""),"",F1192*G1192+IF(J1192="",0,J1192)))</f>
        <v/>
      </c>
      <c r="I1192" s="3" t="n"/>
      <c r="J1192" s="3" t="n"/>
      <c r="K1192" s="3" t="n"/>
    </row>
    <row r="1193">
      <c r="A1193" s="3" t="n"/>
      <c r="B1193" s="3" t="n"/>
      <c r="C1193" s="3" t="n"/>
      <c r="D1193" s="3" t="n"/>
      <c r="E1193" s="4">
        <f>IF(A1193="","",COUNTIFS($A$4:A1193,A1193,$I$4:I1193,"&lt;&gt;Штраф -2",$I$4:I1193,"&lt;&gt;ушел на базу"))</f>
        <v/>
      </c>
      <c r="F1193" s="4">
        <f>IF(E1193="","",IF(E1193&lt;=3,6,IF(E1193&lt;=6,5,IF(E1193&lt;=9,4,IF(E1193&lt;=12,3,IF(E1193&lt;=15,2,0))))))</f>
        <v/>
      </c>
      <c r="G1193" s="3" t="n"/>
      <c r="H1193" s="4">
        <f>IF(I1193="Штраф -2",-2,IF(OR(F1193="",G1193=""),"",F1193*G1193+IF(J1193="",0,J1193)))</f>
        <v/>
      </c>
      <c r="I1193" s="3" t="n"/>
      <c r="J1193" s="3" t="n"/>
      <c r="K1193" s="3" t="n"/>
    </row>
    <row r="1194">
      <c r="A1194" s="3" t="n"/>
      <c r="B1194" s="3" t="n"/>
      <c r="C1194" s="3" t="n"/>
      <c r="D1194" s="3" t="n"/>
      <c r="E1194" s="4">
        <f>IF(A1194="","",COUNTIFS($A$4:A1194,A1194,$I$4:I1194,"&lt;&gt;Штраф -2",$I$4:I1194,"&lt;&gt;ушел на базу"))</f>
        <v/>
      </c>
      <c r="F1194" s="4">
        <f>IF(E1194="","",IF(E1194&lt;=3,6,IF(E1194&lt;=6,5,IF(E1194&lt;=9,4,IF(E1194&lt;=12,3,IF(E1194&lt;=15,2,0))))))</f>
        <v/>
      </c>
      <c r="G1194" s="3" t="n"/>
      <c r="H1194" s="4">
        <f>IF(I1194="Штраф -2",-2,IF(OR(F1194="",G1194=""),"",F1194*G1194+IF(J1194="",0,J1194)))</f>
        <v/>
      </c>
      <c r="I1194" s="3" t="n"/>
      <c r="J1194" s="3" t="n"/>
      <c r="K1194" s="3" t="n"/>
    </row>
    <row r="1195">
      <c r="A1195" s="3" t="n"/>
      <c r="B1195" s="3" t="n"/>
      <c r="C1195" s="3" t="n"/>
      <c r="D1195" s="3" t="n"/>
      <c r="E1195" s="4">
        <f>IF(A1195="","",COUNTIFS($A$4:A1195,A1195,$I$4:I1195,"&lt;&gt;Штраф -2",$I$4:I1195,"&lt;&gt;ушел на базу"))</f>
        <v/>
      </c>
      <c r="F1195" s="4">
        <f>IF(E1195="","",IF(E1195&lt;=3,6,IF(E1195&lt;=6,5,IF(E1195&lt;=9,4,IF(E1195&lt;=12,3,IF(E1195&lt;=15,2,0))))))</f>
        <v/>
      </c>
      <c r="G1195" s="3" t="n"/>
      <c r="H1195" s="4">
        <f>IF(I1195="Штраф -2",-2,IF(OR(F1195="",G1195=""),"",F1195*G1195+IF(J1195="",0,J1195)))</f>
        <v/>
      </c>
      <c r="I1195" s="3" t="n"/>
      <c r="J1195" s="3" t="n"/>
      <c r="K1195" s="3" t="n"/>
    </row>
    <row r="1196">
      <c r="A1196" s="3" t="n"/>
      <c r="B1196" s="3" t="n"/>
      <c r="C1196" s="3" t="n"/>
      <c r="D1196" s="3" t="n"/>
      <c r="E1196" s="4">
        <f>IF(A1196="","",COUNTIFS($A$4:A1196,A1196,$I$4:I1196,"&lt;&gt;Штраф -2",$I$4:I1196,"&lt;&gt;ушел на базу"))</f>
        <v/>
      </c>
      <c r="F1196" s="4">
        <f>IF(E1196="","",IF(E1196&lt;=3,6,IF(E1196&lt;=6,5,IF(E1196&lt;=9,4,IF(E1196&lt;=12,3,IF(E1196&lt;=15,2,0))))))</f>
        <v/>
      </c>
      <c r="G1196" s="3" t="n"/>
      <c r="H1196" s="4">
        <f>IF(I1196="Штраф -2",-2,IF(OR(F1196="",G1196=""),"",F1196*G1196+IF(J1196="",0,J1196)))</f>
        <v/>
      </c>
      <c r="I1196" s="3" t="n"/>
      <c r="J1196" s="3" t="n"/>
      <c r="K1196" s="3" t="n"/>
    </row>
    <row r="1197">
      <c r="A1197" s="3" t="n"/>
      <c r="B1197" s="3" t="n"/>
      <c r="C1197" s="3" t="n"/>
      <c r="D1197" s="3" t="n"/>
      <c r="E1197" s="4">
        <f>IF(A1197="","",COUNTIFS($A$4:A1197,A1197,$I$4:I1197,"&lt;&gt;Штраф -2",$I$4:I1197,"&lt;&gt;ушел на базу"))</f>
        <v/>
      </c>
      <c r="F1197" s="4">
        <f>IF(E1197="","",IF(E1197&lt;=3,6,IF(E1197&lt;=6,5,IF(E1197&lt;=9,4,IF(E1197&lt;=12,3,IF(E1197&lt;=15,2,0))))))</f>
        <v/>
      </c>
      <c r="G1197" s="3" t="n"/>
      <c r="H1197" s="4">
        <f>IF(I1197="Штраф -2",-2,IF(OR(F1197="",G1197=""),"",F1197*G1197+IF(J1197="",0,J1197)))</f>
        <v/>
      </c>
      <c r="I1197" s="3" t="n"/>
      <c r="J1197" s="3" t="n"/>
      <c r="K1197" s="3" t="n"/>
    </row>
    <row r="1198">
      <c r="A1198" s="3" t="n"/>
      <c r="B1198" s="3" t="n"/>
      <c r="C1198" s="3" t="n"/>
      <c r="D1198" s="3" t="n"/>
      <c r="E1198" s="4">
        <f>IF(A1198="","",COUNTIFS($A$4:A1198,A1198,$I$4:I1198,"&lt;&gt;Штраф -2",$I$4:I1198,"&lt;&gt;ушел на базу"))</f>
        <v/>
      </c>
      <c r="F1198" s="4">
        <f>IF(E1198="","",IF(E1198&lt;=3,6,IF(E1198&lt;=6,5,IF(E1198&lt;=9,4,IF(E1198&lt;=12,3,IF(E1198&lt;=15,2,0))))))</f>
        <v/>
      </c>
      <c r="G1198" s="3" t="n"/>
      <c r="H1198" s="4">
        <f>IF(I1198="Штраф -2",-2,IF(OR(F1198="",G1198=""),"",F1198*G1198+IF(J1198="",0,J1198)))</f>
        <v/>
      </c>
      <c r="I1198" s="3" t="n"/>
      <c r="J1198" s="3" t="n"/>
      <c r="K1198" s="3" t="n"/>
    </row>
    <row r="1199">
      <c r="A1199" s="3" t="n"/>
      <c r="B1199" s="3" t="n"/>
      <c r="C1199" s="3" t="n"/>
      <c r="D1199" s="3" t="n"/>
      <c r="E1199" s="4">
        <f>IF(A1199="","",COUNTIFS($A$4:A1199,A1199,$I$4:I1199,"&lt;&gt;Штраф -2",$I$4:I1199,"&lt;&gt;ушел на базу"))</f>
        <v/>
      </c>
      <c r="F1199" s="4">
        <f>IF(E1199="","",IF(E1199&lt;=3,6,IF(E1199&lt;=6,5,IF(E1199&lt;=9,4,IF(E1199&lt;=12,3,IF(E1199&lt;=15,2,0))))))</f>
        <v/>
      </c>
      <c r="G1199" s="3" t="n"/>
      <c r="H1199" s="4">
        <f>IF(I1199="Штраф -2",-2,IF(OR(F1199="",G1199=""),"",F1199*G1199+IF(J1199="",0,J1199)))</f>
        <v/>
      </c>
      <c r="I1199" s="3" t="n"/>
      <c r="J1199" s="3" t="n"/>
      <c r="K1199" s="3" t="n"/>
    </row>
    <row r="1200">
      <c r="A1200" s="3" t="n"/>
      <c r="B1200" s="3" t="n"/>
      <c r="C1200" s="3" t="n"/>
      <c r="D1200" s="3" t="n"/>
      <c r="E1200" s="4">
        <f>IF(A1200="","",COUNTIFS($A$4:A1200,A1200,$I$4:I1200,"&lt;&gt;Штраф -2",$I$4:I1200,"&lt;&gt;ушел на базу"))</f>
        <v/>
      </c>
      <c r="F1200" s="4">
        <f>IF(E1200="","",IF(E1200&lt;=3,6,IF(E1200&lt;=6,5,IF(E1200&lt;=9,4,IF(E1200&lt;=12,3,IF(E1200&lt;=15,2,0))))))</f>
        <v/>
      </c>
      <c r="G1200" s="3" t="n"/>
      <c r="H1200" s="4">
        <f>IF(I1200="Штраф -2",-2,IF(OR(F1200="",G1200=""),"",F1200*G1200+IF(J1200="",0,J1200)))</f>
        <v/>
      </c>
      <c r="I1200" s="3" t="n"/>
      <c r="J1200" s="3" t="n"/>
      <c r="K1200" s="3" t="n"/>
    </row>
    <row r="1201">
      <c r="A1201" s="3" t="n"/>
      <c r="B1201" s="3" t="n"/>
      <c r="C1201" s="3" t="n"/>
      <c r="D1201" s="3" t="n"/>
      <c r="E1201" s="4">
        <f>IF(A1201="","",COUNTIFS($A$4:A1201,A1201,$I$4:I1201,"&lt;&gt;Штраф -2",$I$4:I1201,"&lt;&gt;ушел на базу"))</f>
        <v/>
      </c>
      <c r="F1201" s="4">
        <f>IF(E1201="","",IF(E1201&lt;=3,6,IF(E1201&lt;=6,5,IF(E1201&lt;=9,4,IF(E1201&lt;=12,3,IF(E1201&lt;=15,2,0))))))</f>
        <v/>
      </c>
      <c r="G1201" s="3" t="n"/>
      <c r="H1201" s="4">
        <f>IF(I1201="Штраф -2",-2,IF(OR(F1201="",G1201=""),"",F1201*G1201+IF(J1201="",0,J1201)))</f>
        <v/>
      </c>
      <c r="I1201" s="3" t="n"/>
      <c r="J1201" s="3" t="n"/>
      <c r="K1201" s="3" t="n"/>
    </row>
    <row r="1202">
      <c r="A1202" s="3" t="n"/>
      <c r="B1202" s="3" t="n"/>
      <c r="C1202" s="3" t="n"/>
      <c r="D1202" s="3" t="n"/>
      <c r="E1202" s="4">
        <f>IF(A1202="","",COUNTIFS($A$4:A1202,A1202,$I$4:I1202,"&lt;&gt;Штраф -2",$I$4:I1202,"&lt;&gt;ушел на базу"))</f>
        <v/>
      </c>
      <c r="F1202" s="4">
        <f>IF(E1202="","",IF(E1202&lt;=3,6,IF(E1202&lt;=6,5,IF(E1202&lt;=9,4,IF(E1202&lt;=12,3,IF(E1202&lt;=15,2,0))))))</f>
        <v/>
      </c>
      <c r="G1202" s="3" t="n"/>
      <c r="H1202" s="4">
        <f>IF(I1202="Штраф -2",-2,IF(OR(F1202="",G1202=""),"",F1202*G1202+IF(J1202="",0,J1202)))</f>
        <v/>
      </c>
      <c r="I1202" s="3" t="n"/>
      <c r="J1202" s="3" t="n"/>
      <c r="K1202" s="3" t="n"/>
    </row>
    <row r="1203">
      <c r="A1203" s="3" t="n"/>
      <c r="B1203" s="3" t="n"/>
      <c r="C1203" s="3" t="n"/>
      <c r="D1203" s="3" t="n"/>
      <c r="E1203" s="4">
        <f>IF(A1203="","",COUNTIFS($A$4:A1203,A1203,$I$4:I1203,"&lt;&gt;Штраф -2",$I$4:I1203,"&lt;&gt;ушел на базу"))</f>
        <v/>
      </c>
      <c r="F1203" s="4">
        <f>IF(E1203="","",IF(E1203&lt;=3,6,IF(E1203&lt;=6,5,IF(E1203&lt;=9,4,IF(E1203&lt;=12,3,IF(E1203&lt;=15,2,0))))))</f>
        <v/>
      </c>
      <c r="G1203" s="3" t="n"/>
      <c r="H1203" s="4">
        <f>IF(I1203="Штраф -2",-2,IF(OR(F1203="",G1203=""),"",F1203*G1203+IF(J1203="",0,J1203)))</f>
        <v/>
      </c>
      <c r="I1203" s="3" t="n"/>
      <c r="J1203" s="3" t="n"/>
      <c r="K1203" s="3" t="n"/>
    </row>
    <row r="1204">
      <c r="A1204" s="3" t="n"/>
      <c r="B1204" s="3" t="n"/>
      <c r="C1204" s="3" t="n"/>
      <c r="D1204" s="3" t="n"/>
      <c r="E1204" s="4">
        <f>IF(A1204="","",COUNTIFS($A$4:A1204,A1204,$I$4:I1204,"&lt;&gt;Штраф -2",$I$4:I1204,"&lt;&gt;ушел на базу"))</f>
        <v/>
      </c>
      <c r="F1204" s="4">
        <f>IF(E1204="","",IF(E1204&lt;=3,6,IF(E1204&lt;=6,5,IF(E1204&lt;=9,4,IF(E1204&lt;=12,3,IF(E1204&lt;=15,2,0))))))</f>
        <v/>
      </c>
      <c r="G1204" s="3" t="n"/>
      <c r="H1204" s="4">
        <f>IF(I1204="Штраф -2",-2,IF(OR(F1204="",G1204=""),"",F1204*G1204+IF(J1204="",0,J1204)))</f>
        <v/>
      </c>
      <c r="I1204" s="3" t="n"/>
      <c r="J1204" s="3" t="n"/>
      <c r="K1204" s="3" t="n"/>
    </row>
    <row r="1205">
      <c r="A1205" s="3" t="n"/>
      <c r="B1205" s="3" t="n"/>
      <c r="C1205" s="3" t="n"/>
      <c r="D1205" s="3" t="n"/>
      <c r="E1205" s="4">
        <f>IF(A1205="","",COUNTIFS($A$4:A1205,A1205,$I$4:I1205,"&lt;&gt;Штраф -2",$I$4:I1205,"&lt;&gt;ушел на базу"))</f>
        <v/>
      </c>
      <c r="F1205" s="4">
        <f>IF(E1205="","",IF(E1205&lt;=3,6,IF(E1205&lt;=6,5,IF(E1205&lt;=9,4,IF(E1205&lt;=12,3,IF(E1205&lt;=15,2,0))))))</f>
        <v/>
      </c>
      <c r="G1205" s="3" t="n"/>
      <c r="H1205" s="4">
        <f>IF(I1205="Штраф -2",-2,IF(OR(F1205="",G1205=""),"",F1205*G1205+IF(J1205="",0,J1205)))</f>
        <v/>
      </c>
      <c r="I1205" s="3" t="n"/>
      <c r="J1205" s="3" t="n"/>
      <c r="K1205" s="3" t="n"/>
    </row>
    <row r="1206">
      <c r="A1206" s="3" t="n"/>
      <c r="B1206" s="3" t="n"/>
      <c r="C1206" s="3" t="n"/>
      <c r="D1206" s="3" t="n"/>
      <c r="E1206" s="4">
        <f>IF(A1206="","",COUNTIFS($A$4:A1206,A1206,$I$4:I1206,"&lt;&gt;Штраф -2",$I$4:I1206,"&lt;&gt;ушел на базу"))</f>
        <v/>
      </c>
      <c r="F1206" s="4">
        <f>IF(E1206="","",IF(E1206&lt;=3,6,IF(E1206&lt;=6,5,IF(E1206&lt;=9,4,IF(E1206&lt;=12,3,IF(E1206&lt;=15,2,0))))))</f>
        <v/>
      </c>
      <c r="G1206" s="3" t="n"/>
      <c r="H1206" s="4">
        <f>IF(I1206="Штраф -2",-2,IF(OR(F1206="",G1206=""),"",F1206*G1206+IF(J1206="",0,J1206)))</f>
        <v/>
      </c>
      <c r="I1206" s="3" t="n"/>
      <c r="J1206" s="3" t="n"/>
      <c r="K1206" s="3" t="n"/>
    </row>
    <row r="1207">
      <c r="A1207" s="3" t="n"/>
      <c r="B1207" s="3" t="n"/>
      <c r="C1207" s="3" t="n"/>
      <c r="D1207" s="3" t="n"/>
      <c r="E1207" s="4">
        <f>IF(A1207="","",COUNTIFS($A$4:A1207,A1207,$I$4:I1207,"&lt;&gt;Штраф -2",$I$4:I1207,"&lt;&gt;ушел на базу"))</f>
        <v/>
      </c>
      <c r="F1207" s="4">
        <f>IF(E1207="","",IF(E1207&lt;=3,6,IF(E1207&lt;=6,5,IF(E1207&lt;=9,4,IF(E1207&lt;=12,3,IF(E1207&lt;=15,2,0))))))</f>
        <v/>
      </c>
      <c r="G1207" s="3" t="n"/>
      <c r="H1207" s="4">
        <f>IF(I1207="Штраф -2",-2,IF(OR(F1207="",G1207=""),"",F1207*G1207+IF(J1207="",0,J1207)))</f>
        <v/>
      </c>
      <c r="I1207" s="3" t="n"/>
      <c r="J1207" s="3" t="n"/>
      <c r="K1207" s="3" t="n"/>
    </row>
    <row r="1208">
      <c r="A1208" s="3" t="n"/>
      <c r="B1208" s="3" t="n"/>
      <c r="C1208" s="3" t="n"/>
      <c r="D1208" s="3" t="n"/>
      <c r="E1208" s="4">
        <f>IF(A1208="","",COUNTIFS($A$4:A1208,A1208,$I$4:I1208,"&lt;&gt;Штраф -2",$I$4:I1208,"&lt;&gt;ушел на базу"))</f>
        <v/>
      </c>
      <c r="F1208" s="4">
        <f>IF(E1208="","",IF(E1208&lt;=3,6,IF(E1208&lt;=6,5,IF(E1208&lt;=9,4,IF(E1208&lt;=12,3,IF(E1208&lt;=15,2,0))))))</f>
        <v/>
      </c>
      <c r="G1208" s="3" t="n"/>
      <c r="H1208" s="4">
        <f>IF(I1208="Штраф -2",-2,IF(OR(F1208="",G1208=""),"",F1208*G1208+IF(J1208="",0,J1208)))</f>
        <v/>
      </c>
      <c r="I1208" s="3" t="n"/>
      <c r="J1208" s="3" t="n"/>
      <c r="K1208" s="3" t="n"/>
    </row>
    <row r="1209">
      <c r="A1209" s="3" t="n"/>
      <c r="B1209" s="3" t="n"/>
      <c r="C1209" s="3" t="n"/>
      <c r="D1209" s="3" t="n"/>
      <c r="E1209" s="4">
        <f>IF(A1209="","",COUNTIFS($A$4:A1209,A1209,$I$4:I1209,"&lt;&gt;Штраф -2",$I$4:I1209,"&lt;&gt;ушел на базу"))</f>
        <v/>
      </c>
      <c r="F1209" s="4">
        <f>IF(E1209="","",IF(E1209&lt;=3,6,IF(E1209&lt;=6,5,IF(E1209&lt;=9,4,IF(E1209&lt;=12,3,IF(E1209&lt;=15,2,0))))))</f>
        <v/>
      </c>
      <c r="G1209" s="3" t="n"/>
      <c r="H1209" s="4">
        <f>IF(I1209="Штраф -2",-2,IF(OR(F1209="",G1209=""),"",F1209*G1209+IF(J1209="",0,J1209)))</f>
        <v/>
      </c>
      <c r="I1209" s="3" t="n"/>
      <c r="J1209" s="3" t="n"/>
      <c r="K1209" s="3" t="n"/>
    </row>
    <row r="1210">
      <c r="A1210" s="3" t="n"/>
      <c r="B1210" s="3" t="n"/>
      <c r="C1210" s="3" t="n"/>
      <c r="D1210" s="3" t="n"/>
      <c r="E1210" s="4">
        <f>IF(A1210="","",COUNTIFS($A$4:A1210,A1210,$I$4:I1210,"&lt;&gt;Штраф -2",$I$4:I1210,"&lt;&gt;ушел на базу"))</f>
        <v/>
      </c>
      <c r="F1210" s="4">
        <f>IF(E1210="","",IF(E1210&lt;=3,6,IF(E1210&lt;=6,5,IF(E1210&lt;=9,4,IF(E1210&lt;=12,3,IF(E1210&lt;=15,2,0))))))</f>
        <v/>
      </c>
      <c r="G1210" s="3" t="n"/>
      <c r="H1210" s="4">
        <f>IF(I1210="Штраф -2",-2,IF(OR(F1210="",G1210=""),"",F1210*G1210+IF(J1210="",0,J1210)))</f>
        <v/>
      </c>
      <c r="I1210" s="3" t="n"/>
      <c r="J1210" s="3" t="n"/>
      <c r="K1210" s="3" t="n"/>
    </row>
    <row r="1211">
      <c r="A1211" s="3" t="n"/>
      <c r="B1211" s="3" t="n"/>
      <c r="C1211" s="3" t="n"/>
      <c r="D1211" s="3" t="n"/>
      <c r="E1211" s="4">
        <f>IF(A1211="","",COUNTIFS($A$4:A1211,A1211,$I$4:I1211,"&lt;&gt;Штраф -2",$I$4:I1211,"&lt;&gt;ушел на базу"))</f>
        <v/>
      </c>
      <c r="F1211" s="4">
        <f>IF(E1211="","",IF(E1211&lt;=3,6,IF(E1211&lt;=6,5,IF(E1211&lt;=9,4,IF(E1211&lt;=12,3,IF(E1211&lt;=15,2,0))))))</f>
        <v/>
      </c>
      <c r="G1211" s="3" t="n"/>
      <c r="H1211" s="4">
        <f>IF(I1211="Штраф -2",-2,IF(OR(F1211="",G1211=""),"",F1211*G1211+IF(J1211="",0,J1211)))</f>
        <v/>
      </c>
      <c r="I1211" s="3" t="n"/>
      <c r="J1211" s="3" t="n"/>
      <c r="K1211" s="3" t="n"/>
    </row>
    <row r="1212">
      <c r="A1212" s="3" t="n"/>
      <c r="B1212" s="3" t="n"/>
      <c r="C1212" s="3" t="n"/>
      <c r="D1212" s="3" t="n"/>
      <c r="E1212" s="4">
        <f>IF(A1212="","",COUNTIFS($A$4:A1212,A1212,$I$4:I1212,"&lt;&gt;Штраф -2",$I$4:I1212,"&lt;&gt;ушел на базу"))</f>
        <v/>
      </c>
      <c r="F1212" s="4">
        <f>IF(E1212="","",IF(E1212&lt;=3,6,IF(E1212&lt;=6,5,IF(E1212&lt;=9,4,IF(E1212&lt;=12,3,IF(E1212&lt;=15,2,0))))))</f>
        <v/>
      </c>
      <c r="G1212" s="3" t="n"/>
      <c r="H1212" s="4">
        <f>IF(I1212="Штраф -2",-2,IF(OR(F1212="",G1212=""),"",F1212*G1212+IF(J1212="",0,J1212)))</f>
        <v/>
      </c>
      <c r="I1212" s="3" t="n"/>
      <c r="J1212" s="3" t="n"/>
      <c r="K1212" s="3" t="n"/>
    </row>
    <row r="1213">
      <c r="A1213" s="3" t="n"/>
      <c r="B1213" s="3" t="n"/>
      <c r="C1213" s="3" t="n"/>
      <c r="D1213" s="3" t="n"/>
      <c r="E1213" s="4">
        <f>IF(A1213="","",COUNTIFS($A$4:A1213,A1213,$I$4:I1213,"&lt;&gt;Штраф -2",$I$4:I1213,"&lt;&gt;ушел на базу"))</f>
        <v/>
      </c>
      <c r="F1213" s="4">
        <f>IF(E1213="","",IF(E1213&lt;=3,6,IF(E1213&lt;=6,5,IF(E1213&lt;=9,4,IF(E1213&lt;=12,3,IF(E1213&lt;=15,2,0))))))</f>
        <v/>
      </c>
      <c r="G1213" s="3" t="n"/>
      <c r="H1213" s="4">
        <f>IF(I1213="Штраф -2",-2,IF(OR(F1213="",G1213=""),"",F1213*G1213+IF(J1213="",0,J1213)))</f>
        <v/>
      </c>
      <c r="I1213" s="3" t="n"/>
      <c r="J1213" s="3" t="n"/>
      <c r="K1213" s="3" t="n"/>
    </row>
    <row r="1214">
      <c r="A1214" s="3" t="n"/>
      <c r="B1214" s="3" t="n"/>
      <c r="C1214" s="3" t="n"/>
      <c r="D1214" s="3" t="n"/>
      <c r="E1214" s="4">
        <f>IF(A1214="","",COUNTIFS($A$4:A1214,A1214,$I$4:I1214,"&lt;&gt;Штраф -2",$I$4:I1214,"&lt;&gt;ушел на базу"))</f>
        <v/>
      </c>
      <c r="F1214" s="4">
        <f>IF(E1214="","",IF(E1214&lt;=3,6,IF(E1214&lt;=6,5,IF(E1214&lt;=9,4,IF(E1214&lt;=12,3,IF(E1214&lt;=15,2,0))))))</f>
        <v/>
      </c>
      <c r="G1214" s="3" t="n"/>
      <c r="H1214" s="4">
        <f>IF(I1214="Штраф -2",-2,IF(OR(F1214="",G1214=""),"",F1214*G1214+IF(J1214="",0,J1214)))</f>
        <v/>
      </c>
      <c r="I1214" s="3" t="n"/>
      <c r="J1214" s="3" t="n"/>
      <c r="K1214" s="3" t="n"/>
    </row>
    <row r="1215">
      <c r="A1215" s="3" t="n"/>
      <c r="B1215" s="3" t="n"/>
      <c r="C1215" s="3" t="n"/>
      <c r="D1215" s="3" t="n"/>
      <c r="E1215" s="4">
        <f>IF(A1215="","",COUNTIFS($A$4:A1215,A1215,$I$4:I1215,"&lt;&gt;Штраф -2",$I$4:I1215,"&lt;&gt;ушел на базу"))</f>
        <v/>
      </c>
      <c r="F1215" s="4">
        <f>IF(E1215="","",IF(E1215&lt;=3,6,IF(E1215&lt;=6,5,IF(E1215&lt;=9,4,IF(E1215&lt;=12,3,IF(E1215&lt;=15,2,0))))))</f>
        <v/>
      </c>
      <c r="G1215" s="3" t="n"/>
      <c r="H1215" s="4">
        <f>IF(I1215="Штраф -2",-2,IF(OR(F1215="",G1215=""),"",F1215*G1215+IF(J1215="",0,J1215)))</f>
        <v/>
      </c>
      <c r="I1215" s="3" t="n"/>
      <c r="J1215" s="3" t="n"/>
      <c r="K1215" s="3" t="n"/>
    </row>
    <row r="1216">
      <c r="A1216" s="3" t="n"/>
      <c r="B1216" s="3" t="n"/>
      <c r="C1216" s="3" t="n"/>
      <c r="D1216" s="3" t="n"/>
      <c r="E1216" s="4">
        <f>IF(A1216="","",COUNTIFS($A$4:A1216,A1216,$I$4:I1216,"&lt;&gt;Штраф -2",$I$4:I1216,"&lt;&gt;ушел на базу"))</f>
        <v/>
      </c>
      <c r="F1216" s="4">
        <f>IF(E1216="","",IF(E1216&lt;=3,6,IF(E1216&lt;=6,5,IF(E1216&lt;=9,4,IF(E1216&lt;=12,3,IF(E1216&lt;=15,2,0))))))</f>
        <v/>
      </c>
      <c r="G1216" s="3" t="n"/>
      <c r="H1216" s="4">
        <f>IF(I1216="Штраф -2",-2,IF(OR(F1216="",G1216=""),"",F1216*G1216+IF(J1216="",0,J1216)))</f>
        <v/>
      </c>
      <c r="I1216" s="3" t="n"/>
      <c r="J1216" s="3" t="n"/>
      <c r="K1216" s="3" t="n"/>
    </row>
    <row r="1217">
      <c r="A1217" s="3" t="n"/>
      <c r="B1217" s="3" t="n"/>
      <c r="C1217" s="3" t="n"/>
      <c r="D1217" s="3" t="n"/>
      <c r="E1217" s="4">
        <f>IF(A1217="","",COUNTIFS($A$4:A1217,A1217,$I$4:I1217,"&lt;&gt;Штраф -2",$I$4:I1217,"&lt;&gt;ушел на базу"))</f>
        <v/>
      </c>
      <c r="F1217" s="4">
        <f>IF(E1217="","",IF(E1217&lt;=3,6,IF(E1217&lt;=6,5,IF(E1217&lt;=9,4,IF(E1217&lt;=12,3,IF(E1217&lt;=15,2,0))))))</f>
        <v/>
      </c>
      <c r="G1217" s="3" t="n"/>
      <c r="H1217" s="4">
        <f>IF(I1217="Штраф -2",-2,IF(OR(F1217="",G1217=""),"",F1217*G1217+IF(J1217="",0,J1217)))</f>
        <v/>
      </c>
      <c r="I1217" s="3" t="n"/>
      <c r="J1217" s="3" t="n"/>
      <c r="K1217" s="3" t="n"/>
    </row>
    <row r="1218">
      <c r="A1218" s="3" t="n"/>
      <c r="B1218" s="3" t="n"/>
      <c r="C1218" s="3" t="n"/>
      <c r="D1218" s="3" t="n"/>
      <c r="E1218" s="4">
        <f>IF(A1218="","",COUNTIFS($A$4:A1218,A1218,$I$4:I1218,"&lt;&gt;Штраф -2",$I$4:I1218,"&lt;&gt;ушел на базу"))</f>
        <v/>
      </c>
      <c r="F1218" s="4">
        <f>IF(E1218="","",IF(E1218&lt;=3,6,IF(E1218&lt;=6,5,IF(E1218&lt;=9,4,IF(E1218&lt;=12,3,IF(E1218&lt;=15,2,0))))))</f>
        <v/>
      </c>
      <c r="G1218" s="3" t="n"/>
      <c r="H1218" s="4">
        <f>IF(I1218="Штраф -2",-2,IF(OR(F1218="",G1218=""),"",F1218*G1218+IF(J1218="",0,J1218)))</f>
        <v/>
      </c>
      <c r="I1218" s="3" t="n"/>
      <c r="J1218" s="3" t="n"/>
      <c r="K1218" s="3" t="n"/>
    </row>
    <row r="1219">
      <c r="A1219" s="3" t="n"/>
      <c r="B1219" s="3" t="n"/>
      <c r="C1219" s="3" t="n"/>
      <c r="D1219" s="3" t="n"/>
      <c r="E1219" s="4">
        <f>IF(A1219="","",COUNTIFS($A$4:A1219,A1219,$I$4:I1219,"&lt;&gt;Штраф -2",$I$4:I1219,"&lt;&gt;ушел на базу"))</f>
        <v/>
      </c>
      <c r="F1219" s="4">
        <f>IF(E1219="","",IF(E1219&lt;=3,6,IF(E1219&lt;=6,5,IF(E1219&lt;=9,4,IF(E1219&lt;=12,3,IF(E1219&lt;=15,2,0))))))</f>
        <v/>
      </c>
      <c r="G1219" s="3" t="n"/>
      <c r="H1219" s="4">
        <f>IF(I1219="Штраф -2",-2,IF(OR(F1219="",G1219=""),"",F1219*G1219+IF(J1219="",0,J1219)))</f>
        <v/>
      </c>
      <c r="I1219" s="3" t="n"/>
      <c r="J1219" s="3" t="n"/>
      <c r="K1219" s="3" t="n"/>
    </row>
    <row r="1220">
      <c r="A1220" s="3" t="n"/>
      <c r="B1220" s="3" t="n"/>
      <c r="C1220" s="3" t="n"/>
      <c r="D1220" s="3" t="n"/>
      <c r="E1220" s="4">
        <f>IF(A1220="","",COUNTIFS($A$4:A1220,A1220,$I$4:I1220,"&lt;&gt;Штраф -2",$I$4:I1220,"&lt;&gt;ушел на базу"))</f>
        <v/>
      </c>
      <c r="F1220" s="4">
        <f>IF(E1220="","",IF(E1220&lt;=3,6,IF(E1220&lt;=6,5,IF(E1220&lt;=9,4,IF(E1220&lt;=12,3,IF(E1220&lt;=15,2,0))))))</f>
        <v/>
      </c>
      <c r="G1220" s="3" t="n"/>
      <c r="H1220" s="4">
        <f>IF(I1220="Штраф -2",-2,IF(OR(F1220="",G1220=""),"",F1220*G1220+IF(J1220="",0,J1220)))</f>
        <v/>
      </c>
      <c r="I1220" s="3" t="n"/>
      <c r="J1220" s="3" t="n"/>
      <c r="K1220" s="3" t="n"/>
    </row>
    <row r="1221">
      <c r="A1221" s="3" t="n"/>
      <c r="B1221" s="3" t="n"/>
      <c r="C1221" s="3" t="n"/>
      <c r="D1221" s="3" t="n"/>
      <c r="E1221" s="4">
        <f>IF(A1221="","",COUNTIFS($A$4:A1221,A1221,$I$4:I1221,"&lt;&gt;Штраф -2",$I$4:I1221,"&lt;&gt;ушел на базу"))</f>
        <v/>
      </c>
      <c r="F1221" s="4">
        <f>IF(E1221="","",IF(E1221&lt;=3,6,IF(E1221&lt;=6,5,IF(E1221&lt;=9,4,IF(E1221&lt;=12,3,IF(E1221&lt;=15,2,0))))))</f>
        <v/>
      </c>
      <c r="G1221" s="3" t="n"/>
      <c r="H1221" s="4">
        <f>IF(I1221="Штраф -2",-2,IF(OR(F1221="",G1221=""),"",F1221*G1221+IF(J1221="",0,J1221)))</f>
        <v/>
      </c>
      <c r="I1221" s="3" t="n"/>
      <c r="J1221" s="3" t="n"/>
      <c r="K1221" s="3" t="n"/>
    </row>
    <row r="1222">
      <c r="A1222" s="3" t="n"/>
      <c r="B1222" s="3" t="n"/>
      <c r="C1222" s="3" t="n"/>
      <c r="D1222" s="3" t="n"/>
      <c r="E1222" s="4">
        <f>IF(A1222="","",COUNTIFS($A$4:A1222,A1222,$I$4:I1222,"&lt;&gt;Штраф -2",$I$4:I1222,"&lt;&gt;ушел на базу"))</f>
        <v/>
      </c>
      <c r="F1222" s="4">
        <f>IF(E1222="","",IF(E1222&lt;=3,6,IF(E1222&lt;=6,5,IF(E1222&lt;=9,4,IF(E1222&lt;=12,3,IF(E1222&lt;=15,2,0))))))</f>
        <v/>
      </c>
      <c r="G1222" s="3" t="n"/>
      <c r="H1222" s="4">
        <f>IF(I1222="Штраф -2",-2,IF(OR(F1222="",G1222=""),"",F1222*G1222+IF(J1222="",0,J1222)))</f>
        <v/>
      </c>
      <c r="I1222" s="3" t="n"/>
      <c r="J1222" s="3" t="n"/>
      <c r="K1222" s="3" t="n"/>
    </row>
    <row r="1223">
      <c r="A1223" s="3" t="n"/>
      <c r="B1223" s="3" t="n"/>
      <c r="C1223" s="3" t="n"/>
      <c r="D1223" s="3" t="n"/>
      <c r="E1223" s="4">
        <f>IF(A1223="","",COUNTIFS($A$4:A1223,A1223,$I$4:I1223,"&lt;&gt;Штраф -2",$I$4:I1223,"&lt;&gt;ушел на базу"))</f>
        <v/>
      </c>
      <c r="F1223" s="4">
        <f>IF(E1223="","",IF(E1223&lt;=3,6,IF(E1223&lt;=6,5,IF(E1223&lt;=9,4,IF(E1223&lt;=12,3,IF(E1223&lt;=15,2,0))))))</f>
        <v/>
      </c>
      <c r="G1223" s="3" t="n"/>
      <c r="H1223" s="4">
        <f>IF(I1223="Штраф -2",-2,IF(OR(F1223="",G1223=""),"",F1223*G1223+IF(J1223="",0,J1223)))</f>
        <v/>
      </c>
      <c r="I1223" s="3" t="n"/>
      <c r="J1223" s="3" t="n"/>
      <c r="K1223" s="3" t="n"/>
    </row>
    <row r="1224">
      <c r="A1224" s="3" t="n"/>
      <c r="B1224" s="3" t="n"/>
      <c r="C1224" s="3" t="n"/>
      <c r="D1224" s="3" t="n"/>
      <c r="E1224" s="4">
        <f>IF(A1224="","",COUNTIFS($A$4:A1224,A1224,$I$4:I1224,"&lt;&gt;Штраф -2",$I$4:I1224,"&lt;&gt;ушел на базу"))</f>
        <v/>
      </c>
      <c r="F1224" s="4">
        <f>IF(E1224="","",IF(E1224&lt;=3,6,IF(E1224&lt;=6,5,IF(E1224&lt;=9,4,IF(E1224&lt;=12,3,IF(E1224&lt;=15,2,0))))))</f>
        <v/>
      </c>
      <c r="G1224" s="3" t="n"/>
      <c r="H1224" s="4">
        <f>IF(I1224="Штраф -2",-2,IF(OR(F1224="",G1224=""),"",F1224*G1224+IF(J1224="",0,J1224)))</f>
        <v/>
      </c>
      <c r="I1224" s="3" t="n"/>
      <c r="J1224" s="3" t="n"/>
      <c r="K1224" s="3" t="n"/>
    </row>
    <row r="1225">
      <c r="A1225" s="3" t="n"/>
      <c r="B1225" s="3" t="n"/>
      <c r="C1225" s="3" t="n"/>
      <c r="D1225" s="3" t="n"/>
      <c r="E1225" s="4">
        <f>IF(A1225="","",COUNTIFS($A$4:A1225,A1225,$I$4:I1225,"&lt;&gt;Штраф -2",$I$4:I1225,"&lt;&gt;ушел на базу"))</f>
        <v/>
      </c>
      <c r="F1225" s="4">
        <f>IF(E1225="","",IF(E1225&lt;=3,6,IF(E1225&lt;=6,5,IF(E1225&lt;=9,4,IF(E1225&lt;=12,3,IF(E1225&lt;=15,2,0))))))</f>
        <v/>
      </c>
      <c r="G1225" s="3" t="n"/>
      <c r="H1225" s="4">
        <f>IF(I1225="Штраф -2",-2,IF(OR(F1225="",G1225=""),"",F1225*G1225+IF(J1225="",0,J1225)))</f>
        <v/>
      </c>
      <c r="I1225" s="3" t="n"/>
      <c r="J1225" s="3" t="n"/>
      <c r="K1225" s="3" t="n"/>
    </row>
    <row r="1226">
      <c r="A1226" s="3" t="n"/>
      <c r="B1226" s="3" t="n"/>
      <c r="C1226" s="3" t="n"/>
      <c r="D1226" s="3" t="n"/>
      <c r="E1226" s="4">
        <f>IF(A1226="","",COUNTIFS($A$4:A1226,A1226,$I$4:I1226,"&lt;&gt;Штраф -2",$I$4:I1226,"&lt;&gt;ушел на базу"))</f>
        <v/>
      </c>
      <c r="F1226" s="4">
        <f>IF(E1226="","",IF(E1226&lt;=3,6,IF(E1226&lt;=6,5,IF(E1226&lt;=9,4,IF(E1226&lt;=12,3,IF(E1226&lt;=15,2,0))))))</f>
        <v/>
      </c>
      <c r="G1226" s="3" t="n"/>
      <c r="H1226" s="4">
        <f>IF(I1226="Штраф -2",-2,IF(OR(F1226="",G1226=""),"",F1226*G1226+IF(J1226="",0,J1226)))</f>
        <v/>
      </c>
      <c r="I1226" s="3" t="n"/>
      <c r="J1226" s="3" t="n"/>
      <c r="K1226" s="3" t="n"/>
    </row>
    <row r="1227">
      <c r="A1227" s="3" t="n"/>
      <c r="B1227" s="3" t="n"/>
      <c r="C1227" s="3" t="n"/>
      <c r="D1227" s="3" t="n"/>
      <c r="E1227" s="4">
        <f>IF(A1227="","",COUNTIFS($A$4:A1227,A1227,$I$4:I1227,"&lt;&gt;Штраф -2",$I$4:I1227,"&lt;&gt;ушел на базу"))</f>
        <v/>
      </c>
      <c r="F1227" s="4">
        <f>IF(E1227="","",IF(E1227&lt;=3,6,IF(E1227&lt;=6,5,IF(E1227&lt;=9,4,IF(E1227&lt;=12,3,IF(E1227&lt;=15,2,0))))))</f>
        <v/>
      </c>
      <c r="G1227" s="3" t="n"/>
      <c r="H1227" s="4">
        <f>IF(I1227="Штраф -2",-2,IF(OR(F1227="",G1227=""),"",F1227*G1227+IF(J1227="",0,J1227)))</f>
        <v/>
      </c>
      <c r="I1227" s="3" t="n"/>
      <c r="J1227" s="3" t="n"/>
      <c r="K1227" s="3" t="n"/>
    </row>
    <row r="1228">
      <c r="A1228" s="3" t="n"/>
      <c r="B1228" s="3" t="n"/>
      <c r="C1228" s="3" t="n"/>
      <c r="D1228" s="3" t="n"/>
      <c r="E1228" s="4">
        <f>IF(A1228="","",COUNTIFS($A$4:A1228,A1228,$I$4:I1228,"&lt;&gt;Штраф -2",$I$4:I1228,"&lt;&gt;ушел на базу"))</f>
        <v/>
      </c>
      <c r="F1228" s="4">
        <f>IF(E1228="","",IF(E1228&lt;=3,6,IF(E1228&lt;=6,5,IF(E1228&lt;=9,4,IF(E1228&lt;=12,3,IF(E1228&lt;=15,2,0))))))</f>
        <v/>
      </c>
      <c r="G1228" s="3" t="n"/>
      <c r="H1228" s="4">
        <f>IF(I1228="Штраф -2",-2,IF(OR(F1228="",G1228=""),"",F1228*G1228+IF(J1228="",0,J1228)))</f>
        <v/>
      </c>
      <c r="I1228" s="3" t="n"/>
      <c r="J1228" s="3" t="n"/>
      <c r="K1228" s="3" t="n"/>
    </row>
    <row r="1229">
      <c r="A1229" s="3" t="n"/>
      <c r="B1229" s="3" t="n"/>
      <c r="C1229" s="3" t="n"/>
      <c r="D1229" s="3" t="n"/>
      <c r="E1229" s="4">
        <f>IF(A1229="","",COUNTIFS($A$4:A1229,A1229,$I$4:I1229,"&lt;&gt;Штраф -2",$I$4:I1229,"&lt;&gt;ушел на базу"))</f>
        <v/>
      </c>
      <c r="F1229" s="4">
        <f>IF(E1229="","",IF(E1229&lt;=3,6,IF(E1229&lt;=6,5,IF(E1229&lt;=9,4,IF(E1229&lt;=12,3,IF(E1229&lt;=15,2,0))))))</f>
        <v/>
      </c>
      <c r="G1229" s="3" t="n"/>
      <c r="H1229" s="4">
        <f>IF(I1229="Штраф -2",-2,IF(OR(F1229="",G1229=""),"",F1229*G1229+IF(J1229="",0,J1229)))</f>
        <v/>
      </c>
      <c r="I1229" s="3" t="n"/>
      <c r="J1229" s="3" t="n"/>
      <c r="K1229" s="3" t="n"/>
    </row>
    <row r="1230">
      <c r="A1230" s="3" t="n"/>
      <c r="B1230" s="3" t="n"/>
      <c r="C1230" s="3" t="n"/>
      <c r="D1230" s="3" t="n"/>
      <c r="E1230" s="4">
        <f>IF(A1230="","",COUNTIFS($A$4:A1230,A1230,$I$4:I1230,"&lt;&gt;Штраф -2",$I$4:I1230,"&lt;&gt;ушел на базу"))</f>
        <v/>
      </c>
      <c r="F1230" s="4">
        <f>IF(E1230="","",IF(E1230&lt;=3,6,IF(E1230&lt;=6,5,IF(E1230&lt;=9,4,IF(E1230&lt;=12,3,IF(E1230&lt;=15,2,0))))))</f>
        <v/>
      </c>
      <c r="G1230" s="3" t="n"/>
      <c r="H1230" s="4">
        <f>IF(I1230="Штраф -2",-2,IF(OR(F1230="",G1230=""),"",F1230*G1230+IF(J1230="",0,J1230)))</f>
        <v/>
      </c>
      <c r="I1230" s="3" t="n"/>
      <c r="J1230" s="3" t="n"/>
      <c r="K1230" s="3" t="n"/>
    </row>
    <row r="1231">
      <c r="A1231" s="3" t="n"/>
      <c r="B1231" s="3" t="n"/>
      <c r="C1231" s="3" t="n"/>
      <c r="D1231" s="3" t="n"/>
      <c r="E1231" s="4">
        <f>IF(A1231="","",COUNTIFS($A$4:A1231,A1231,$I$4:I1231,"&lt;&gt;Штраф -2",$I$4:I1231,"&lt;&gt;ушел на базу"))</f>
        <v/>
      </c>
      <c r="F1231" s="4">
        <f>IF(E1231="","",IF(E1231&lt;=3,6,IF(E1231&lt;=6,5,IF(E1231&lt;=9,4,IF(E1231&lt;=12,3,IF(E1231&lt;=15,2,0))))))</f>
        <v/>
      </c>
      <c r="G1231" s="3" t="n"/>
      <c r="H1231" s="4">
        <f>IF(I1231="Штраф -2",-2,IF(OR(F1231="",G1231=""),"",F1231*G1231+IF(J1231="",0,J1231)))</f>
        <v/>
      </c>
      <c r="I1231" s="3" t="n"/>
      <c r="J1231" s="3" t="n"/>
      <c r="K1231" s="3" t="n"/>
    </row>
    <row r="1232">
      <c r="A1232" s="3" t="n"/>
      <c r="B1232" s="3" t="n"/>
      <c r="C1232" s="3" t="n"/>
      <c r="D1232" s="3" t="n"/>
      <c r="E1232" s="4">
        <f>IF(A1232="","",COUNTIFS($A$4:A1232,A1232,$I$4:I1232,"&lt;&gt;Штраф -2",$I$4:I1232,"&lt;&gt;ушел на базу"))</f>
        <v/>
      </c>
      <c r="F1232" s="4">
        <f>IF(E1232="","",IF(E1232&lt;=3,6,IF(E1232&lt;=6,5,IF(E1232&lt;=9,4,IF(E1232&lt;=12,3,IF(E1232&lt;=15,2,0))))))</f>
        <v/>
      </c>
      <c r="G1232" s="3" t="n"/>
      <c r="H1232" s="4">
        <f>IF(I1232="Штраф -2",-2,IF(OR(F1232="",G1232=""),"",F1232*G1232+IF(J1232="",0,J1232)))</f>
        <v/>
      </c>
      <c r="I1232" s="3" t="n"/>
      <c r="J1232" s="3" t="n"/>
      <c r="K1232" s="3" t="n"/>
    </row>
    <row r="1233">
      <c r="A1233" s="3" t="n"/>
      <c r="B1233" s="3" t="n"/>
      <c r="C1233" s="3" t="n"/>
      <c r="D1233" s="3" t="n"/>
      <c r="E1233" s="4">
        <f>IF(A1233="","",COUNTIFS($A$4:A1233,A1233,$I$4:I1233,"&lt;&gt;Штраф -2",$I$4:I1233,"&lt;&gt;ушел на базу"))</f>
        <v/>
      </c>
      <c r="F1233" s="4">
        <f>IF(E1233="","",IF(E1233&lt;=3,6,IF(E1233&lt;=6,5,IF(E1233&lt;=9,4,IF(E1233&lt;=12,3,IF(E1233&lt;=15,2,0))))))</f>
        <v/>
      </c>
      <c r="G1233" s="3" t="n"/>
      <c r="H1233" s="4">
        <f>IF(I1233="Штраф -2",-2,IF(OR(F1233="",G1233=""),"",F1233*G1233+IF(J1233="",0,J1233)))</f>
        <v/>
      </c>
      <c r="I1233" s="3" t="n"/>
      <c r="J1233" s="3" t="n"/>
      <c r="K1233" s="3" t="n"/>
    </row>
    <row r="1234">
      <c r="A1234" s="3" t="n"/>
      <c r="B1234" s="3" t="n"/>
      <c r="C1234" s="3" t="n"/>
      <c r="D1234" s="3" t="n"/>
      <c r="E1234" s="4">
        <f>IF(A1234="","",COUNTIFS($A$4:A1234,A1234,$I$4:I1234,"&lt;&gt;Штраф -2",$I$4:I1234,"&lt;&gt;ушел на базу"))</f>
        <v/>
      </c>
      <c r="F1234" s="4">
        <f>IF(E1234="","",IF(E1234&lt;=3,6,IF(E1234&lt;=6,5,IF(E1234&lt;=9,4,IF(E1234&lt;=12,3,IF(E1234&lt;=15,2,0))))))</f>
        <v/>
      </c>
      <c r="G1234" s="3" t="n"/>
      <c r="H1234" s="4">
        <f>IF(I1234="Штраф -2",-2,IF(OR(F1234="",G1234=""),"",F1234*G1234+IF(J1234="",0,J1234)))</f>
        <v/>
      </c>
      <c r="I1234" s="3" t="n"/>
      <c r="J1234" s="3" t="n"/>
      <c r="K1234" s="3" t="n"/>
    </row>
    <row r="1235">
      <c r="A1235" s="3" t="n"/>
      <c r="B1235" s="3" t="n"/>
      <c r="C1235" s="3" t="n"/>
      <c r="D1235" s="3" t="n"/>
      <c r="E1235" s="4">
        <f>IF(A1235="","",COUNTIFS($A$4:A1235,A1235,$I$4:I1235,"&lt;&gt;Штраф -2",$I$4:I1235,"&lt;&gt;ушел на базу"))</f>
        <v/>
      </c>
      <c r="F1235" s="4">
        <f>IF(E1235="","",IF(E1235&lt;=3,6,IF(E1235&lt;=6,5,IF(E1235&lt;=9,4,IF(E1235&lt;=12,3,IF(E1235&lt;=15,2,0))))))</f>
        <v/>
      </c>
      <c r="G1235" s="3" t="n"/>
      <c r="H1235" s="4">
        <f>IF(I1235="Штраф -2",-2,IF(OR(F1235="",G1235=""),"",F1235*G1235+IF(J1235="",0,J1235)))</f>
        <v/>
      </c>
      <c r="I1235" s="3" t="n"/>
      <c r="J1235" s="3" t="n"/>
      <c r="K1235" s="3" t="n"/>
    </row>
    <row r="1236">
      <c r="A1236" s="3" t="n"/>
      <c r="B1236" s="3" t="n"/>
      <c r="C1236" s="3" t="n"/>
      <c r="D1236" s="3" t="n"/>
      <c r="E1236" s="4">
        <f>IF(A1236="","",COUNTIFS($A$4:A1236,A1236,$I$4:I1236,"&lt;&gt;Штраф -2",$I$4:I1236,"&lt;&gt;ушел на базу"))</f>
        <v/>
      </c>
      <c r="F1236" s="4">
        <f>IF(E1236="","",IF(E1236&lt;=3,6,IF(E1236&lt;=6,5,IF(E1236&lt;=9,4,IF(E1236&lt;=12,3,IF(E1236&lt;=15,2,0))))))</f>
        <v/>
      </c>
      <c r="G1236" s="3" t="n"/>
      <c r="H1236" s="4">
        <f>IF(I1236="Штраф -2",-2,IF(OR(F1236="",G1236=""),"",F1236*G1236+IF(J1236="",0,J1236)))</f>
        <v/>
      </c>
      <c r="I1236" s="3" t="n"/>
      <c r="J1236" s="3" t="n"/>
      <c r="K1236" s="3" t="n"/>
    </row>
    <row r="1237">
      <c r="A1237" s="3" t="n"/>
      <c r="B1237" s="3" t="n"/>
      <c r="C1237" s="3" t="n"/>
      <c r="D1237" s="3" t="n"/>
      <c r="E1237" s="4">
        <f>IF(A1237="","",COUNTIFS($A$4:A1237,A1237,$I$4:I1237,"&lt;&gt;Штраф -2",$I$4:I1237,"&lt;&gt;ушел на базу"))</f>
        <v/>
      </c>
      <c r="F1237" s="4">
        <f>IF(E1237="","",IF(E1237&lt;=3,6,IF(E1237&lt;=6,5,IF(E1237&lt;=9,4,IF(E1237&lt;=12,3,IF(E1237&lt;=15,2,0))))))</f>
        <v/>
      </c>
      <c r="G1237" s="3" t="n"/>
      <c r="H1237" s="4">
        <f>IF(I1237="Штраф -2",-2,IF(OR(F1237="",G1237=""),"",F1237*G1237+IF(J1237="",0,J1237)))</f>
        <v/>
      </c>
      <c r="I1237" s="3" t="n"/>
      <c r="J1237" s="3" t="n"/>
      <c r="K1237" s="3" t="n"/>
    </row>
    <row r="1238">
      <c r="A1238" s="3" t="n"/>
      <c r="B1238" s="3" t="n"/>
      <c r="C1238" s="3" t="n"/>
      <c r="D1238" s="3" t="n"/>
      <c r="E1238" s="4">
        <f>IF(A1238="","",COUNTIFS($A$4:A1238,A1238,$I$4:I1238,"&lt;&gt;Штраф -2",$I$4:I1238,"&lt;&gt;ушел на базу"))</f>
        <v/>
      </c>
      <c r="F1238" s="4">
        <f>IF(E1238="","",IF(E1238&lt;=3,6,IF(E1238&lt;=6,5,IF(E1238&lt;=9,4,IF(E1238&lt;=12,3,IF(E1238&lt;=15,2,0))))))</f>
        <v/>
      </c>
      <c r="G1238" s="3" t="n"/>
      <c r="H1238" s="4">
        <f>IF(I1238="Штраф -2",-2,IF(OR(F1238="",G1238=""),"",F1238*G1238+IF(J1238="",0,J1238)))</f>
        <v/>
      </c>
      <c r="I1238" s="3" t="n"/>
      <c r="J1238" s="3" t="n"/>
      <c r="K1238" s="3" t="n"/>
    </row>
    <row r="1239">
      <c r="A1239" s="3" t="n"/>
      <c r="B1239" s="3" t="n"/>
      <c r="C1239" s="3" t="n"/>
      <c r="D1239" s="3" t="n"/>
      <c r="E1239" s="4">
        <f>IF(A1239="","",COUNTIFS($A$4:A1239,A1239,$I$4:I1239,"&lt;&gt;Штраф -2",$I$4:I1239,"&lt;&gt;ушел на базу"))</f>
        <v/>
      </c>
      <c r="F1239" s="4">
        <f>IF(E1239="","",IF(E1239&lt;=3,6,IF(E1239&lt;=6,5,IF(E1239&lt;=9,4,IF(E1239&lt;=12,3,IF(E1239&lt;=15,2,0))))))</f>
        <v/>
      </c>
      <c r="G1239" s="3" t="n"/>
      <c r="H1239" s="4">
        <f>IF(I1239="Штраф -2",-2,IF(OR(F1239="",G1239=""),"",F1239*G1239+IF(J1239="",0,J1239)))</f>
        <v/>
      </c>
      <c r="I1239" s="3" t="n"/>
      <c r="J1239" s="3" t="n"/>
      <c r="K1239" s="3" t="n"/>
    </row>
    <row r="1240">
      <c r="A1240" s="3" t="n"/>
      <c r="B1240" s="3" t="n"/>
      <c r="C1240" s="3" t="n"/>
      <c r="D1240" s="3" t="n"/>
      <c r="E1240" s="4">
        <f>IF(A1240="","",COUNTIFS($A$4:A1240,A1240,$I$4:I1240,"&lt;&gt;Штраф -2",$I$4:I1240,"&lt;&gt;ушел на базу"))</f>
        <v/>
      </c>
      <c r="F1240" s="4">
        <f>IF(E1240="","",IF(E1240&lt;=3,6,IF(E1240&lt;=6,5,IF(E1240&lt;=9,4,IF(E1240&lt;=12,3,IF(E1240&lt;=15,2,0))))))</f>
        <v/>
      </c>
      <c r="G1240" s="3" t="n"/>
      <c r="H1240" s="4">
        <f>IF(I1240="Штраф -2",-2,IF(OR(F1240="",G1240=""),"",F1240*G1240+IF(J1240="",0,J1240)))</f>
        <v/>
      </c>
      <c r="I1240" s="3" t="n"/>
      <c r="J1240" s="3" t="n"/>
      <c r="K1240" s="3" t="n"/>
    </row>
    <row r="1241">
      <c r="A1241" s="3" t="n"/>
      <c r="B1241" s="3" t="n"/>
      <c r="C1241" s="3" t="n"/>
      <c r="D1241" s="3" t="n"/>
      <c r="E1241" s="4">
        <f>IF(A1241="","",COUNTIFS($A$4:A1241,A1241,$I$4:I1241,"&lt;&gt;Штраф -2",$I$4:I1241,"&lt;&gt;ушел на базу"))</f>
        <v/>
      </c>
      <c r="F1241" s="4">
        <f>IF(E1241="","",IF(E1241&lt;=3,6,IF(E1241&lt;=6,5,IF(E1241&lt;=9,4,IF(E1241&lt;=12,3,IF(E1241&lt;=15,2,0))))))</f>
        <v/>
      </c>
      <c r="G1241" s="3" t="n"/>
      <c r="H1241" s="4">
        <f>IF(I1241="Штраф -2",-2,IF(OR(F1241="",G1241=""),"",F1241*G1241+IF(J1241="",0,J1241)))</f>
        <v/>
      </c>
      <c r="I1241" s="3" t="n"/>
      <c r="J1241" s="3" t="n"/>
      <c r="K1241" s="3" t="n"/>
    </row>
    <row r="1242">
      <c r="A1242" s="3" t="n"/>
      <c r="B1242" s="3" t="n"/>
      <c r="C1242" s="3" t="n"/>
      <c r="D1242" s="3" t="n"/>
      <c r="E1242" s="4">
        <f>IF(A1242="","",COUNTIFS($A$4:A1242,A1242,$I$4:I1242,"&lt;&gt;Штраф -2",$I$4:I1242,"&lt;&gt;ушел на базу"))</f>
        <v/>
      </c>
      <c r="F1242" s="4">
        <f>IF(E1242="","",IF(E1242&lt;=3,6,IF(E1242&lt;=6,5,IF(E1242&lt;=9,4,IF(E1242&lt;=12,3,IF(E1242&lt;=15,2,0))))))</f>
        <v/>
      </c>
      <c r="G1242" s="3" t="n"/>
      <c r="H1242" s="4">
        <f>IF(I1242="Штраф -2",-2,IF(OR(F1242="",G1242=""),"",F1242*G1242+IF(J1242="",0,J1242)))</f>
        <v/>
      </c>
      <c r="I1242" s="3" t="n"/>
      <c r="J1242" s="3" t="n"/>
      <c r="K1242" s="3" t="n"/>
    </row>
    <row r="1243">
      <c r="A1243" s="3" t="n"/>
      <c r="B1243" s="3" t="n"/>
      <c r="C1243" s="3" t="n"/>
      <c r="D1243" s="3" t="n"/>
      <c r="E1243" s="4">
        <f>IF(A1243="","",COUNTIFS($A$4:A1243,A1243,$I$4:I1243,"&lt;&gt;Штраф -2",$I$4:I1243,"&lt;&gt;ушел на базу"))</f>
        <v/>
      </c>
      <c r="F1243" s="4">
        <f>IF(E1243="","",IF(E1243&lt;=3,6,IF(E1243&lt;=6,5,IF(E1243&lt;=9,4,IF(E1243&lt;=12,3,IF(E1243&lt;=15,2,0))))))</f>
        <v/>
      </c>
      <c r="G1243" s="3" t="n"/>
      <c r="H1243" s="4">
        <f>IF(I1243="Штраф -2",-2,IF(OR(F1243="",G1243=""),"",F1243*G1243+IF(J1243="",0,J1243)))</f>
        <v/>
      </c>
      <c r="I1243" s="3" t="n"/>
      <c r="J1243" s="3" t="n"/>
      <c r="K1243" s="3" t="n"/>
    </row>
    <row r="1244">
      <c r="A1244" s="3" t="n"/>
      <c r="B1244" s="3" t="n"/>
      <c r="C1244" s="3" t="n"/>
      <c r="D1244" s="3" t="n"/>
      <c r="E1244" s="4">
        <f>IF(A1244="","",COUNTIFS($A$4:A1244,A1244,$I$4:I1244,"&lt;&gt;Штраф -2",$I$4:I1244,"&lt;&gt;ушел на базу"))</f>
        <v/>
      </c>
      <c r="F1244" s="4">
        <f>IF(E1244="","",IF(E1244&lt;=3,6,IF(E1244&lt;=6,5,IF(E1244&lt;=9,4,IF(E1244&lt;=12,3,IF(E1244&lt;=15,2,0))))))</f>
        <v/>
      </c>
      <c r="G1244" s="3" t="n"/>
      <c r="H1244" s="4">
        <f>IF(I1244="Штраф -2",-2,IF(OR(F1244="",G1244=""),"",F1244*G1244+IF(J1244="",0,J1244)))</f>
        <v/>
      </c>
      <c r="I1244" s="3" t="n"/>
      <c r="J1244" s="3" t="n"/>
      <c r="K1244" s="3" t="n"/>
    </row>
    <row r="1245">
      <c r="A1245" s="3" t="n"/>
      <c r="B1245" s="3" t="n"/>
      <c r="C1245" s="3" t="n"/>
      <c r="D1245" s="3" t="n"/>
      <c r="E1245" s="4">
        <f>IF(A1245="","",COUNTIFS($A$4:A1245,A1245,$I$4:I1245,"&lt;&gt;Штраф -2",$I$4:I1245,"&lt;&gt;ушел на базу"))</f>
        <v/>
      </c>
      <c r="F1245" s="4">
        <f>IF(E1245="","",IF(E1245&lt;=3,6,IF(E1245&lt;=6,5,IF(E1245&lt;=9,4,IF(E1245&lt;=12,3,IF(E1245&lt;=15,2,0))))))</f>
        <v/>
      </c>
      <c r="G1245" s="3" t="n"/>
      <c r="H1245" s="4">
        <f>IF(I1245="Штраф -2",-2,IF(OR(F1245="",G1245=""),"",F1245*G1245+IF(J1245="",0,J1245)))</f>
        <v/>
      </c>
      <c r="I1245" s="3" t="n"/>
      <c r="J1245" s="3" t="n"/>
      <c r="K1245" s="3" t="n"/>
    </row>
    <row r="1246">
      <c r="A1246" s="3" t="n"/>
      <c r="B1246" s="3" t="n"/>
      <c r="C1246" s="3" t="n"/>
      <c r="D1246" s="3" t="n"/>
      <c r="E1246" s="4">
        <f>IF(A1246="","",COUNTIFS($A$4:A1246,A1246,$I$4:I1246,"&lt;&gt;Штраф -2",$I$4:I1246,"&lt;&gt;ушел на базу"))</f>
        <v/>
      </c>
      <c r="F1246" s="4">
        <f>IF(E1246="","",IF(E1246&lt;=3,6,IF(E1246&lt;=6,5,IF(E1246&lt;=9,4,IF(E1246&lt;=12,3,IF(E1246&lt;=15,2,0))))))</f>
        <v/>
      </c>
      <c r="G1246" s="3" t="n"/>
      <c r="H1246" s="4">
        <f>IF(I1246="Штраф -2",-2,IF(OR(F1246="",G1246=""),"",F1246*G1246+IF(J1246="",0,J1246)))</f>
        <v/>
      </c>
      <c r="I1246" s="3" t="n"/>
      <c r="J1246" s="3" t="n"/>
      <c r="K1246" s="3" t="n"/>
    </row>
    <row r="1247">
      <c r="A1247" s="3" t="n"/>
      <c r="B1247" s="3" t="n"/>
      <c r="C1247" s="3" t="n"/>
      <c r="D1247" s="3" t="n"/>
      <c r="E1247" s="4">
        <f>IF(A1247="","",COUNTIFS($A$4:A1247,A1247,$I$4:I1247,"&lt;&gt;Штраф -2",$I$4:I1247,"&lt;&gt;ушел на базу"))</f>
        <v/>
      </c>
      <c r="F1247" s="4">
        <f>IF(E1247="","",IF(E1247&lt;=3,6,IF(E1247&lt;=6,5,IF(E1247&lt;=9,4,IF(E1247&lt;=12,3,IF(E1247&lt;=15,2,0))))))</f>
        <v/>
      </c>
      <c r="G1247" s="3" t="n"/>
      <c r="H1247" s="4">
        <f>IF(I1247="Штраф -2",-2,IF(OR(F1247="",G1247=""),"",F1247*G1247+IF(J1247="",0,J1247)))</f>
        <v/>
      </c>
      <c r="I1247" s="3" t="n"/>
      <c r="J1247" s="3" t="n"/>
      <c r="K1247" s="3" t="n"/>
    </row>
    <row r="1248">
      <c r="A1248" s="3" t="n"/>
      <c r="B1248" s="3" t="n"/>
      <c r="C1248" s="3" t="n"/>
      <c r="D1248" s="3" t="n"/>
      <c r="E1248" s="4">
        <f>IF(A1248="","",COUNTIFS($A$4:A1248,A1248,$I$4:I1248,"&lt;&gt;Штраф -2",$I$4:I1248,"&lt;&gt;ушел на базу"))</f>
        <v/>
      </c>
      <c r="F1248" s="4">
        <f>IF(E1248="","",IF(E1248&lt;=3,6,IF(E1248&lt;=6,5,IF(E1248&lt;=9,4,IF(E1248&lt;=12,3,IF(E1248&lt;=15,2,0))))))</f>
        <v/>
      </c>
      <c r="G1248" s="3" t="n"/>
      <c r="H1248" s="4">
        <f>IF(I1248="Штраф -2",-2,IF(OR(F1248="",G1248=""),"",F1248*G1248+IF(J1248="",0,J1248)))</f>
        <v/>
      </c>
      <c r="I1248" s="3" t="n"/>
      <c r="J1248" s="3" t="n"/>
      <c r="K1248" s="3" t="n"/>
    </row>
    <row r="1249">
      <c r="A1249" s="3" t="n"/>
      <c r="B1249" s="3" t="n"/>
      <c r="C1249" s="3" t="n"/>
      <c r="D1249" s="3" t="n"/>
      <c r="E1249" s="4">
        <f>IF(A1249="","",COUNTIFS($A$4:A1249,A1249,$I$4:I1249,"&lt;&gt;Штраф -2",$I$4:I1249,"&lt;&gt;ушел на базу"))</f>
        <v/>
      </c>
      <c r="F1249" s="4">
        <f>IF(E1249="","",IF(E1249&lt;=3,6,IF(E1249&lt;=6,5,IF(E1249&lt;=9,4,IF(E1249&lt;=12,3,IF(E1249&lt;=15,2,0))))))</f>
        <v/>
      </c>
      <c r="G1249" s="3" t="n"/>
      <c r="H1249" s="4">
        <f>IF(I1249="Штраф -2",-2,IF(OR(F1249="",G1249=""),"",F1249*G1249+IF(J1249="",0,J1249)))</f>
        <v/>
      </c>
      <c r="I1249" s="3" t="n"/>
      <c r="J1249" s="3" t="n"/>
      <c r="K1249" s="3" t="n"/>
    </row>
    <row r="1250">
      <c r="A1250" s="3" t="n"/>
      <c r="B1250" s="3" t="n"/>
      <c r="C1250" s="3" t="n"/>
      <c r="D1250" s="3" t="n"/>
      <c r="E1250" s="4">
        <f>IF(A1250="","",COUNTIFS($A$4:A1250,A1250,$I$4:I1250,"&lt;&gt;Штраф -2",$I$4:I1250,"&lt;&gt;ушел на базу"))</f>
        <v/>
      </c>
      <c r="F1250" s="4">
        <f>IF(E1250="","",IF(E1250&lt;=3,6,IF(E1250&lt;=6,5,IF(E1250&lt;=9,4,IF(E1250&lt;=12,3,IF(E1250&lt;=15,2,0))))))</f>
        <v/>
      </c>
      <c r="G1250" s="3" t="n"/>
      <c r="H1250" s="4">
        <f>IF(I1250="Штраф -2",-2,IF(OR(F1250="",G1250=""),"",F1250*G1250+IF(J1250="",0,J1250)))</f>
        <v/>
      </c>
      <c r="I1250" s="3" t="n"/>
      <c r="J1250" s="3" t="n"/>
      <c r="K1250" s="3" t="n"/>
    </row>
    <row r="1251">
      <c r="A1251" s="3" t="n"/>
      <c r="B1251" s="3" t="n"/>
      <c r="C1251" s="3" t="n"/>
      <c r="D1251" s="3" t="n"/>
      <c r="E1251" s="4">
        <f>IF(A1251="","",COUNTIFS($A$4:A1251,A1251,$I$4:I1251,"&lt;&gt;Штраф -2",$I$4:I1251,"&lt;&gt;ушел на базу"))</f>
        <v/>
      </c>
      <c r="F1251" s="4">
        <f>IF(E1251="","",IF(E1251&lt;=3,6,IF(E1251&lt;=6,5,IF(E1251&lt;=9,4,IF(E1251&lt;=12,3,IF(E1251&lt;=15,2,0))))))</f>
        <v/>
      </c>
      <c r="G1251" s="3" t="n"/>
      <c r="H1251" s="4">
        <f>IF(I1251="Штраф -2",-2,IF(OR(F1251="",G1251=""),"",F1251*G1251+IF(J1251="",0,J1251)))</f>
        <v/>
      </c>
      <c r="I1251" s="3" t="n"/>
      <c r="J1251" s="3" t="n"/>
      <c r="K1251" s="3" t="n"/>
    </row>
    <row r="1252">
      <c r="A1252" s="3" t="n"/>
      <c r="B1252" s="3" t="n"/>
      <c r="C1252" s="3" t="n"/>
      <c r="D1252" s="3" t="n"/>
      <c r="E1252" s="4">
        <f>IF(A1252="","",COUNTIFS($A$4:A1252,A1252,$I$4:I1252,"&lt;&gt;Штраф -2",$I$4:I1252,"&lt;&gt;ушел на базу"))</f>
        <v/>
      </c>
      <c r="F1252" s="4">
        <f>IF(E1252="","",IF(E1252&lt;=3,6,IF(E1252&lt;=6,5,IF(E1252&lt;=9,4,IF(E1252&lt;=12,3,IF(E1252&lt;=15,2,0))))))</f>
        <v/>
      </c>
      <c r="G1252" s="3" t="n"/>
      <c r="H1252" s="4">
        <f>IF(I1252="Штраф -2",-2,IF(OR(F1252="",G1252=""),"",F1252*G1252+IF(J1252="",0,J1252)))</f>
        <v/>
      </c>
      <c r="I1252" s="3" t="n"/>
      <c r="J1252" s="3" t="n"/>
      <c r="K1252" s="3" t="n"/>
    </row>
    <row r="1253">
      <c r="A1253" s="3" t="n"/>
      <c r="B1253" s="3" t="n"/>
      <c r="C1253" s="3" t="n"/>
      <c r="D1253" s="3" t="n"/>
      <c r="E1253" s="4">
        <f>IF(A1253="","",COUNTIFS($A$4:A1253,A1253,$I$4:I1253,"&lt;&gt;Штраф -2",$I$4:I1253,"&lt;&gt;ушел на базу"))</f>
        <v/>
      </c>
      <c r="F1253" s="4">
        <f>IF(E1253="","",IF(E1253&lt;=3,6,IF(E1253&lt;=6,5,IF(E1253&lt;=9,4,IF(E1253&lt;=12,3,IF(E1253&lt;=15,2,0))))))</f>
        <v/>
      </c>
      <c r="G1253" s="3" t="n"/>
      <c r="H1253" s="4">
        <f>IF(I1253="Штраф -2",-2,IF(OR(F1253="",G1253=""),"",F1253*G1253+IF(J1253="",0,J1253)))</f>
        <v/>
      </c>
      <c r="I1253" s="3" t="n"/>
      <c r="J1253" s="3" t="n"/>
      <c r="K1253" s="3" t="n"/>
    </row>
    <row r="1254">
      <c r="A1254" s="3" t="n"/>
      <c r="B1254" s="3" t="n"/>
      <c r="C1254" s="3" t="n"/>
      <c r="D1254" s="3" t="n"/>
      <c r="E1254" s="4">
        <f>IF(A1254="","",COUNTIFS($A$4:A1254,A1254,$I$4:I1254,"&lt;&gt;Штраф -2",$I$4:I1254,"&lt;&gt;ушел на базу"))</f>
        <v/>
      </c>
      <c r="F1254" s="4">
        <f>IF(E1254="","",IF(E1254&lt;=3,6,IF(E1254&lt;=6,5,IF(E1254&lt;=9,4,IF(E1254&lt;=12,3,IF(E1254&lt;=15,2,0))))))</f>
        <v/>
      </c>
      <c r="G1254" s="3" t="n"/>
      <c r="H1254" s="4">
        <f>IF(I1254="Штраф -2",-2,IF(OR(F1254="",G1254=""),"",F1254*G1254+IF(J1254="",0,J1254)))</f>
        <v/>
      </c>
      <c r="I1254" s="3" t="n"/>
      <c r="J1254" s="3" t="n"/>
      <c r="K1254" s="3" t="n"/>
    </row>
    <row r="1255">
      <c r="A1255" s="3" t="n"/>
      <c r="B1255" s="3" t="n"/>
      <c r="C1255" s="3" t="n"/>
      <c r="D1255" s="3" t="n"/>
      <c r="E1255" s="4">
        <f>IF(A1255="","",COUNTIFS($A$4:A1255,A1255,$I$4:I1255,"&lt;&gt;Штраф -2",$I$4:I1255,"&lt;&gt;ушел на базу"))</f>
        <v/>
      </c>
      <c r="F1255" s="4">
        <f>IF(E1255="","",IF(E1255&lt;=3,6,IF(E1255&lt;=6,5,IF(E1255&lt;=9,4,IF(E1255&lt;=12,3,IF(E1255&lt;=15,2,0))))))</f>
        <v/>
      </c>
      <c r="G1255" s="3" t="n"/>
      <c r="H1255" s="4">
        <f>IF(I1255="Штраф -2",-2,IF(OR(F1255="",G1255=""),"",F1255*G1255+IF(J1255="",0,J1255)))</f>
        <v/>
      </c>
      <c r="I1255" s="3" t="n"/>
      <c r="J1255" s="3" t="n"/>
      <c r="K1255" s="3" t="n"/>
    </row>
    <row r="1256">
      <c r="A1256" s="3" t="n"/>
      <c r="B1256" s="3" t="n"/>
      <c r="C1256" s="3" t="n"/>
      <c r="D1256" s="3" t="n"/>
      <c r="E1256" s="4">
        <f>IF(A1256="","",COUNTIFS($A$4:A1256,A1256,$I$4:I1256,"&lt;&gt;Штраф -2",$I$4:I1256,"&lt;&gt;ушел на базу"))</f>
        <v/>
      </c>
      <c r="F1256" s="4">
        <f>IF(E1256="","",IF(E1256&lt;=3,6,IF(E1256&lt;=6,5,IF(E1256&lt;=9,4,IF(E1256&lt;=12,3,IF(E1256&lt;=15,2,0))))))</f>
        <v/>
      </c>
      <c r="G1256" s="3" t="n"/>
      <c r="H1256" s="4">
        <f>IF(I1256="Штраф -2",-2,IF(OR(F1256="",G1256=""),"",F1256*G1256+IF(J1256="",0,J1256)))</f>
        <v/>
      </c>
      <c r="I1256" s="3" t="n"/>
      <c r="J1256" s="3" t="n"/>
      <c r="K1256" s="3" t="n"/>
    </row>
    <row r="1257">
      <c r="A1257" s="3" t="n"/>
      <c r="B1257" s="3" t="n"/>
      <c r="C1257" s="3" t="n"/>
      <c r="D1257" s="3" t="n"/>
      <c r="E1257" s="4">
        <f>IF(A1257="","",COUNTIFS($A$4:A1257,A1257,$I$4:I1257,"&lt;&gt;Штраф -2",$I$4:I1257,"&lt;&gt;ушел на базу"))</f>
        <v/>
      </c>
      <c r="F1257" s="4">
        <f>IF(E1257="","",IF(E1257&lt;=3,6,IF(E1257&lt;=6,5,IF(E1257&lt;=9,4,IF(E1257&lt;=12,3,IF(E1257&lt;=15,2,0))))))</f>
        <v/>
      </c>
      <c r="G1257" s="3" t="n"/>
      <c r="H1257" s="4">
        <f>IF(I1257="Штраф -2",-2,IF(OR(F1257="",G1257=""),"",F1257*G1257+IF(J1257="",0,J1257)))</f>
        <v/>
      </c>
      <c r="I1257" s="3" t="n"/>
      <c r="J1257" s="3" t="n"/>
      <c r="K1257" s="3" t="n"/>
    </row>
    <row r="1258">
      <c r="A1258" s="3" t="n"/>
      <c r="B1258" s="3" t="n"/>
      <c r="C1258" s="3" t="n"/>
      <c r="D1258" s="3" t="n"/>
      <c r="E1258" s="4">
        <f>IF(A1258="","",COUNTIFS($A$4:A1258,A1258,$I$4:I1258,"&lt;&gt;Штраф -2",$I$4:I1258,"&lt;&gt;ушел на базу"))</f>
        <v/>
      </c>
      <c r="F1258" s="4">
        <f>IF(E1258="","",IF(E1258&lt;=3,6,IF(E1258&lt;=6,5,IF(E1258&lt;=9,4,IF(E1258&lt;=12,3,IF(E1258&lt;=15,2,0))))))</f>
        <v/>
      </c>
      <c r="G1258" s="3" t="n"/>
      <c r="H1258" s="4">
        <f>IF(I1258="Штраф -2",-2,IF(OR(F1258="",G1258=""),"",F1258*G1258+IF(J1258="",0,J1258)))</f>
        <v/>
      </c>
      <c r="I1258" s="3" t="n"/>
      <c r="J1258" s="3" t="n"/>
      <c r="K1258" s="3" t="n"/>
    </row>
    <row r="1259">
      <c r="A1259" s="3" t="n"/>
      <c r="B1259" s="3" t="n"/>
      <c r="C1259" s="3" t="n"/>
      <c r="D1259" s="3" t="n"/>
      <c r="E1259" s="4">
        <f>IF(A1259="","",COUNTIFS($A$4:A1259,A1259,$I$4:I1259,"&lt;&gt;Штраф -2",$I$4:I1259,"&lt;&gt;ушел на базу"))</f>
        <v/>
      </c>
      <c r="F1259" s="4">
        <f>IF(E1259="","",IF(E1259&lt;=3,6,IF(E1259&lt;=6,5,IF(E1259&lt;=9,4,IF(E1259&lt;=12,3,IF(E1259&lt;=15,2,0))))))</f>
        <v/>
      </c>
      <c r="G1259" s="3" t="n"/>
      <c r="H1259" s="4">
        <f>IF(I1259="Штраф -2",-2,IF(OR(F1259="",G1259=""),"",F1259*G1259+IF(J1259="",0,J1259)))</f>
        <v/>
      </c>
      <c r="I1259" s="3" t="n"/>
      <c r="J1259" s="3" t="n"/>
      <c r="K1259" s="3" t="n"/>
    </row>
    <row r="1260">
      <c r="A1260" s="3" t="n"/>
      <c r="B1260" s="3" t="n"/>
      <c r="C1260" s="3" t="n"/>
      <c r="D1260" s="3" t="n"/>
      <c r="E1260" s="4">
        <f>IF(A1260="","",COUNTIFS($A$4:A1260,A1260,$I$4:I1260,"&lt;&gt;Штраф -2",$I$4:I1260,"&lt;&gt;ушел на базу"))</f>
        <v/>
      </c>
      <c r="F1260" s="4">
        <f>IF(E1260="","",IF(E1260&lt;=3,6,IF(E1260&lt;=6,5,IF(E1260&lt;=9,4,IF(E1260&lt;=12,3,IF(E1260&lt;=15,2,0))))))</f>
        <v/>
      </c>
      <c r="G1260" s="3" t="n"/>
      <c r="H1260" s="4">
        <f>IF(I1260="Штраф -2",-2,IF(OR(F1260="",G1260=""),"",F1260*G1260+IF(J1260="",0,J1260)))</f>
        <v/>
      </c>
      <c r="I1260" s="3" t="n"/>
      <c r="J1260" s="3" t="n"/>
      <c r="K1260" s="3" t="n"/>
    </row>
    <row r="1261">
      <c r="A1261" s="3" t="n"/>
      <c r="B1261" s="3" t="n"/>
      <c r="C1261" s="3" t="n"/>
      <c r="D1261" s="3" t="n"/>
      <c r="E1261" s="4">
        <f>IF(A1261="","",COUNTIFS($A$4:A1261,A1261,$I$4:I1261,"&lt;&gt;Штраф -2",$I$4:I1261,"&lt;&gt;ушел на базу"))</f>
        <v/>
      </c>
      <c r="F1261" s="4">
        <f>IF(E1261="","",IF(E1261&lt;=3,6,IF(E1261&lt;=6,5,IF(E1261&lt;=9,4,IF(E1261&lt;=12,3,IF(E1261&lt;=15,2,0))))))</f>
        <v/>
      </c>
      <c r="G1261" s="3" t="n"/>
      <c r="H1261" s="4">
        <f>IF(I1261="Штраф -2",-2,IF(OR(F1261="",G1261=""),"",F1261*G1261+IF(J1261="",0,J1261)))</f>
        <v/>
      </c>
      <c r="I1261" s="3" t="n"/>
      <c r="J1261" s="3" t="n"/>
      <c r="K1261" s="3" t="n"/>
    </row>
    <row r="1262">
      <c r="A1262" s="3" t="n"/>
      <c r="B1262" s="3" t="n"/>
      <c r="C1262" s="3" t="n"/>
      <c r="D1262" s="3" t="n"/>
      <c r="E1262" s="4">
        <f>IF(A1262="","",COUNTIFS($A$4:A1262,A1262,$I$4:I1262,"&lt;&gt;Штраф -2",$I$4:I1262,"&lt;&gt;ушел на базу"))</f>
        <v/>
      </c>
      <c r="F1262" s="4">
        <f>IF(E1262="","",IF(E1262&lt;=3,6,IF(E1262&lt;=6,5,IF(E1262&lt;=9,4,IF(E1262&lt;=12,3,IF(E1262&lt;=15,2,0))))))</f>
        <v/>
      </c>
      <c r="G1262" s="3" t="n"/>
      <c r="H1262" s="4">
        <f>IF(I1262="Штраф -2",-2,IF(OR(F1262="",G1262=""),"",F1262*G1262+IF(J1262="",0,J1262)))</f>
        <v/>
      </c>
      <c r="I1262" s="3" t="n"/>
      <c r="J1262" s="3" t="n"/>
      <c r="K1262" s="3" t="n"/>
    </row>
    <row r="1263">
      <c r="A1263" s="3" t="n"/>
      <c r="B1263" s="3" t="n"/>
      <c r="C1263" s="3" t="n"/>
      <c r="D1263" s="3" t="n"/>
      <c r="E1263" s="4">
        <f>IF(A1263="","",COUNTIFS($A$4:A1263,A1263,$I$4:I1263,"&lt;&gt;Штраф -2",$I$4:I1263,"&lt;&gt;ушел на базу"))</f>
        <v/>
      </c>
      <c r="F1263" s="4">
        <f>IF(E1263="","",IF(E1263&lt;=3,6,IF(E1263&lt;=6,5,IF(E1263&lt;=9,4,IF(E1263&lt;=12,3,IF(E1263&lt;=15,2,0))))))</f>
        <v/>
      </c>
      <c r="G1263" s="3" t="n"/>
      <c r="H1263" s="4">
        <f>IF(I1263="Штраф -2",-2,IF(OR(F1263="",G1263=""),"",F1263*G1263+IF(J1263="",0,J1263)))</f>
        <v/>
      </c>
      <c r="I1263" s="3" t="n"/>
      <c r="J1263" s="3" t="n"/>
      <c r="K1263" s="3" t="n"/>
    </row>
    <row r="1264">
      <c r="A1264" s="3" t="n"/>
      <c r="B1264" s="3" t="n"/>
      <c r="C1264" s="3" t="n"/>
      <c r="D1264" s="3" t="n"/>
      <c r="E1264" s="4">
        <f>IF(A1264="","",COUNTIFS($A$4:A1264,A1264,$I$4:I1264,"&lt;&gt;Штраф -2",$I$4:I1264,"&lt;&gt;ушел на базу"))</f>
        <v/>
      </c>
      <c r="F1264" s="4">
        <f>IF(E1264="","",IF(E1264&lt;=3,6,IF(E1264&lt;=6,5,IF(E1264&lt;=9,4,IF(E1264&lt;=12,3,IF(E1264&lt;=15,2,0))))))</f>
        <v/>
      </c>
      <c r="G1264" s="3" t="n"/>
      <c r="H1264" s="4">
        <f>IF(I1264="Штраф -2",-2,IF(OR(F1264="",G1264=""),"",F1264*G1264+IF(J1264="",0,J1264)))</f>
        <v/>
      </c>
      <c r="I1264" s="3" t="n"/>
      <c r="J1264" s="3" t="n"/>
      <c r="K1264" s="3" t="n"/>
    </row>
    <row r="1265">
      <c r="A1265" s="3" t="n"/>
      <c r="B1265" s="3" t="n"/>
      <c r="C1265" s="3" t="n"/>
      <c r="D1265" s="3" t="n"/>
      <c r="E1265" s="4">
        <f>IF(A1265="","",COUNTIFS($A$4:A1265,A1265,$I$4:I1265,"&lt;&gt;Штраф -2",$I$4:I1265,"&lt;&gt;ушел на базу"))</f>
        <v/>
      </c>
      <c r="F1265" s="4">
        <f>IF(E1265="","",IF(E1265&lt;=3,6,IF(E1265&lt;=6,5,IF(E1265&lt;=9,4,IF(E1265&lt;=12,3,IF(E1265&lt;=15,2,0))))))</f>
        <v/>
      </c>
      <c r="G1265" s="3" t="n"/>
      <c r="H1265" s="4">
        <f>IF(I1265="Штраф -2",-2,IF(OR(F1265="",G1265=""),"",F1265*G1265+IF(J1265="",0,J1265)))</f>
        <v/>
      </c>
      <c r="I1265" s="3" t="n"/>
      <c r="J1265" s="3" t="n"/>
      <c r="K1265" s="3" t="n"/>
    </row>
    <row r="1266">
      <c r="A1266" s="3" t="n"/>
      <c r="B1266" s="3" t="n"/>
      <c r="C1266" s="3" t="n"/>
      <c r="D1266" s="3" t="n"/>
      <c r="E1266" s="4">
        <f>IF(A1266="","",COUNTIFS($A$4:A1266,A1266,$I$4:I1266,"&lt;&gt;Штраф -2",$I$4:I1266,"&lt;&gt;ушел на базу"))</f>
        <v/>
      </c>
      <c r="F1266" s="4">
        <f>IF(E1266="","",IF(E1266&lt;=3,6,IF(E1266&lt;=6,5,IF(E1266&lt;=9,4,IF(E1266&lt;=12,3,IF(E1266&lt;=15,2,0))))))</f>
        <v/>
      </c>
      <c r="G1266" s="3" t="n"/>
      <c r="H1266" s="4">
        <f>IF(I1266="Штраф -2",-2,IF(OR(F1266="",G1266=""),"",F1266*G1266+IF(J1266="",0,J1266)))</f>
        <v/>
      </c>
      <c r="I1266" s="3" t="n"/>
      <c r="J1266" s="3" t="n"/>
      <c r="K1266" s="3" t="n"/>
    </row>
    <row r="1267">
      <c r="A1267" s="3" t="n"/>
      <c r="B1267" s="3" t="n"/>
      <c r="C1267" s="3" t="n"/>
      <c r="D1267" s="3" t="n"/>
      <c r="E1267" s="4">
        <f>IF(A1267="","",COUNTIFS($A$4:A1267,A1267,$I$4:I1267,"&lt;&gt;Штраф -2",$I$4:I1267,"&lt;&gt;ушел на базу"))</f>
        <v/>
      </c>
      <c r="F1267" s="4">
        <f>IF(E1267="","",IF(E1267&lt;=3,6,IF(E1267&lt;=6,5,IF(E1267&lt;=9,4,IF(E1267&lt;=12,3,IF(E1267&lt;=15,2,0))))))</f>
        <v/>
      </c>
      <c r="G1267" s="3" t="n"/>
      <c r="H1267" s="4">
        <f>IF(I1267="Штраф -2",-2,IF(OR(F1267="",G1267=""),"",F1267*G1267+IF(J1267="",0,J1267)))</f>
        <v/>
      </c>
      <c r="I1267" s="3" t="n"/>
      <c r="J1267" s="3" t="n"/>
      <c r="K1267" s="3" t="n"/>
    </row>
    <row r="1268">
      <c r="A1268" s="3" t="n"/>
      <c r="B1268" s="3" t="n"/>
      <c r="C1268" s="3" t="n"/>
      <c r="D1268" s="3" t="n"/>
      <c r="E1268" s="4">
        <f>IF(A1268="","",COUNTIFS($A$4:A1268,A1268,$I$4:I1268,"&lt;&gt;Штраф -2",$I$4:I1268,"&lt;&gt;ушел на базу"))</f>
        <v/>
      </c>
      <c r="F1268" s="4">
        <f>IF(E1268="","",IF(E1268&lt;=3,6,IF(E1268&lt;=6,5,IF(E1268&lt;=9,4,IF(E1268&lt;=12,3,IF(E1268&lt;=15,2,0))))))</f>
        <v/>
      </c>
      <c r="G1268" s="3" t="n"/>
      <c r="H1268" s="4">
        <f>IF(I1268="Штраф -2",-2,IF(OR(F1268="",G1268=""),"",F1268*G1268+IF(J1268="",0,J1268)))</f>
        <v/>
      </c>
      <c r="I1268" s="3" t="n"/>
      <c r="J1268" s="3" t="n"/>
      <c r="K1268" s="3" t="n"/>
    </row>
    <row r="1269">
      <c r="A1269" s="3" t="n"/>
      <c r="B1269" s="3" t="n"/>
      <c r="C1269" s="3" t="n"/>
      <c r="D1269" s="3" t="n"/>
      <c r="E1269" s="4">
        <f>IF(A1269="","",COUNTIFS($A$4:A1269,A1269,$I$4:I1269,"&lt;&gt;Штраф -2",$I$4:I1269,"&lt;&gt;ушел на базу"))</f>
        <v/>
      </c>
      <c r="F1269" s="4">
        <f>IF(E1269="","",IF(E1269&lt;=3,6,IF(E1269&lt;=6,5,IF(E1269&lt;=9,4,IF(E1269&lt;=12,3,IF(E1269&lt;=15,2,0))))))</f>
        <v/>
      </c>
      <c r="G1269" s="3" t="n"/>
      <c r="H1269" s="4">
        <f>IF(I1269="Штраф -2",-2,IF(OR(F1269="",G1269=""),"",F1269*G1269+IF(J1269="",0,J1269)))</f>
        <v/>
      </c>
      <c r="I1269" s="3" t="n"/>
      <c r="J1269" s="3" t="n"/>
      <c r="K1269" s="3" t="n"/>
    </row>
    <row r="1270">
      <c r="A1270" s="3" t="n"/>
      <c r="B1270" s="3" t="n"/>
      <c r="C1270" s="3" t="n"/>
      <c r="D1270" s="3" t="n"/>
      <c r="E1270" s="4">
        <f>IF(A1270="","",COUNTIFS($A$4:A1270,A1270,$I$4:I1270,"&lt;&gt;Штраф -2",$I$4:I1270,"&lt;&gt;ушел на базу"))</f>
        <v/>
      </c>
      <c r="F1270" s="4">
        <f>IF(E1270="","",IF(E1270&lt;=3,6,IF(E1270&lt;=6,5,IF(E1270&lt;=9,4,IF(E1270&lt;=12,3,IF(E1270&lt;=15,2,0))))))</f>
        <v/>
      </c>
      <c r="G1270" s="3" t="n"/>
      <c r="H1270" s="4">
        <f>IF(I1270="Штраф -2",-2,IF(OR(F1270="",G1270=""),"",F1270*G1270+IF(J1270="",0,J1270)))</f>
        <v/>
      </c>
      <c r="I1270" s="3" t="n"/>
      <c r="J1270" s="3" t="n"/>
      <c r="K1270" s="3" t="n"/>
    </row>
    <row r="1271">
      <c r="A1271" s="3" t="n"/>
      <c r="B1271" s="3" t="n"/>
      <c r="C1271" s="3" t="n"/>
      <c r="D1271" s="3" t="n"/>
      <c r="E1271" s="4">
        <f>IF(A1271="","",COUNTIFS($A$4:A1271,A1271,$I$4:I1271,"&lt;&gt;Штраф -2",$I$4:I1271,"&lt;&gt;ушел на базу"))</f>
        <v/>
      </c>
      <c r="F1271" s="4">
        <f>IF(E1271="","",IF(E1271&lt;=3,6,IF(E1271&lt;=6,5,IF(E1271&lt;=9,4,IF(E1271&lt;=12,3,IF(E1271&lt;=15,2,0))))))</f>
        <v/>
      </c>
      <c r="G1271" s="3" t="n"/>
      <c r="H1271" s="4">
        <f>IF(I1271="Штраф -2",-2,IF(OR(F1271="",G1271=""),"",F1271*G1271+IF(J1271="",0,J1271)))</f>
        <v/>
      </c>
      <c r="I1271" s="3" t="n"/>
      <c r="J1271" s="3" t="n"/>
      <c r="K1271" s="3" t="n"/>
    </row>
    <row r="1272">
      <c r="A1272" s="3" t="n"/>
      <c r="B1272" s="3" t="n"/>
      <c r="C1272" s="3" t="n"/>
      <c r="D1272" s="3" t="n"/>
      <c r="E1272" s="4">
        <f>IF(A1272="","",COUNTIFS($A$4:A1272,A1272,$I$4:I1272,"&lt;&gt;Штраф -2",$I$4:I1272,"&lt;&gt;ушел на базу"))</f>
        <v/>
      </c>
      <c r="F1272" s="4">
        <f>IF(E1272="","",IF(E1272&lt;=3,6,IF(E1272&lt;=6,5,IF(E1272&lt;=9,4,IF(E1272&lt;=12,3,IF(E1272&lt;=15,2,0))))))</f>
        <v/>
      </c>
      <c r="G1272" s="3" t="n"/>
      <c r="H1272" s="4">
        <f>IF(I1272="Штраф -2",-2,IF(OR(F1272="",G1272=""),"",F1272*G1272+IF(J1272="",0,J1272)))</f>
        <v/>
      </c>
      <c r="I1272" s="3" t="n"/>
      <c r="J1272" s="3" t="n"/>
      <c r="K1272" s="3" t="n"/>
    </row>
    <row r="1273">
      <c r="A1273" s="3" t="n"/>
      <c r="B1273" s="3" t="n"/>
      <c r="C1273" s="3" t="n"/>
      <c r="D1273" s="3" t="n"/>
      <c r="E1273" s="4">
        <f>IF(A1273="","",COUNTIFS($A$4:A1273,A1273,$I$4:I1273,"&lt;&gt;Штраф -2",$I$4:I1273,"&lt;&gt;ушел на базу"))</f>
        <v/>
      </c>
      <c r="F1273" s="4">
        <f>IF(E1273="","",IF(E1273&lt;=3,6,IF(E1273&lt;=6,5,IF(E1273&lt;=9,4,IF(E1273&lt;=12,3,IF(E1273&lt;=15,2,0))))))</f>
        <v/>
      </c>
      <c r="G1273" s="3" t="n"/>
      <c r="H1273" s="4">
        <f>IF(I1273="Штраф -2",-2,IF(OR(F1273="",G1273=""),"",F1273*G1273+IF(J1273="",0,J1273)))</f>
        <v/>
      </c>
      <c r="I1273" s="3" t="n"/>
      <c r="J1273" s="3" t="n"/>
      <c r="K1273" s="3" t="n"/>
    </row>
    <row r="1274">
      <c r="A1274" s="3" t="n"/>
      <c r="B1274" s="3" t="n"/>
      <c r="C1274" s="3" t="n"/>
      <c r="D1274" s="3" t="n"/>
      <c r="E1274" s="4">
        <f>IF(A1274="","",COUNTIFS($A$4:A1274,A1274,$I$4:I1274,"&lt;&gt;Штраф -2",$I$4:I1274,"&lt;&gt;ушел на базу"))</f>
        <v/>
      </c>
      <c r="F1274" s="4">
        <f>IF(E1274="","",IF(E1274&lt;=3,6,IF(E1274&lt;=6,5,IF(E1274&lt;=9,4,IF(E1274&lt;=12,3,IF(E1274&lt;=15,2,0))))))</f>
        <v/>
      </c>
      <c r="G1274" s="3" t="n"/>
      <c r="H1274" s="4">
        <f>IF(I1274="Штраф -2",-2,IF(OR(F1274="",G1274=""),"",F1274*G1274+IF(J1274="",0,J1274)))</f>
        <v/>
      </c>
      <c r="I1274" s="3" t="n"/>
      <c r="J1274" s="3" t="n"/>
      <c r="K1274" s="3" t="n"/>
    </row>
    <row r="1275">
      <c r="A1275" s="3" t="n"/>
      <c r="B1275" s="3" t="n"/>
      <c r="C1275" s="3" t="n"/>
      <c r="D1275" s="3" t="n"/>
      <c r="E1275" s="4">
        <f>IF(A1275="","",COUNTIFS($A$4:A1275,A1275,$I$4:I1275,"&lt;&gt;Штраф -2",$I$4:I1275,"&lt;&gt;ушел на базу"))</f>
        <v/>
      </c>
      <c r="F1275" s="4">
        <f>IF(E1275="","",IF(E1275&lt;=3,6,IF(E1275&lt;=6,5,IF(E1275&lt;=9,4,IF(E1275&lt;=12,3,IF(E1275&lt;=15,2,0))))))</f>
        <v/>
      </c>
      <c r="G1275" s="3" t="n"/>
      <c r="H1275" s="4">
        <f>IF(I1275="Штраф -2",-2,IF(OR(F1275="",G1275=""),"",F1275*G1275+IF(J1275="",0,J1275)))</f>
        <v/>
      </c>
      <c r="I1275" s="3" t="n"/>
      <c r="J1275" s="3" t="n"/>
      <c r="K1275" s="3" t="n"/>
    </row>
    <row r="1276">
      <c r="A1276" s="3" t="n"/>
      <c r="B1276" s="3" t="n"/>
      <c r="C1276" s="3" t="n"/>
      <c r="D1276" s="3" t="n"/>
      <c r="E1276" s="4">
        <f>IF(A1276="","",COUNTIFS($A$4:A1276,A1276,$I$4:I1276,"&lt;&gt;Штраф -2",$I$4:I1276,"&lt;&gt;ушел на базу"))</f>
        <v/>
      </c>
      <c r="F1276" s="4">
        <f>IF(E1276="","",IF(E1276&lt;=3,6,IF(E1276&lt;=6,5,IF(E1276&lt;=9,4,IF(E1276&lt;=12,3,IF(E1276&lt;=15,2,0))))))</f>
        <v/>
      </c>
      <c r="G1276" s="3" t="n"/>
      <c r="H1276" s="4">
        <f>IF(I1276="Штраф -2",-2,IF(OR(F1276="",G1276=""),"",F1276*G1276+IF(J1276="",0,J1276)))</f>
        <v/>
      </c>
      <c r="I1276" s="3" t="n"/>
      <c r="J1276" s="3" t="n"/>
      <c r="K1276" s="3" t="n"/>
    </row>
    <row r="1277">
      <c r="A1277" s="3" t="n"/>
      <c r="B1277" s="3" t="n"/>
      <c r="C1277" s="3" t="n"/>
      <c r="D1277" s="3" t="n"/>
      <c r="E1277" s="4">
        <f>IF(A1277="","",COUNTIFS($A$4:A1277,A1277,$I$4:I1277,"&lt;&gt;Штраф -2",$I$4:I1277,"&lt;&gt;ушел на базу"))</f>
        <v/>
      </c>
      <c r="F1277" s="4">
        <f>IF(E1277="","",IF(E1277&lt;=3,6,IF(E1277&lt;=6,5,IF(E1277&lt;=9,4,IF(E1277&lt;=12,3,IF(E1277&lt;=15,2,0))))))</f>
        <v/>
      </c>
      <c r="G1277" s="3" t="n"/>
      <c r="H1277" s="4">
        <f>IF(I1277="Штраф -2",-2,IF(OR(F1277="",G1277=""),"",F1277*G1277+IF(J1277="",0,J1277)))</f>
        <v/>
      </c>
      <c r="I1277" s="3" t="n"/>
      <c r="J1277" s="3" t="n"/>
      <c r="K1277" s="3" t="n"/>
    </row>
    <row r="1278">
      <c r="A1278" s="3" t="n"/>
      <c r="B1278" s="3" t="n"/>
      <c r="C1278" s="3" t="n"/>
      <c r="D1278" s="3" t="n"/>
      <c r="E1278" s="4">
        <f>IF(A1278="","",COUNTIFS($A$4:A1278,A1278,$I$4:I1278,"&lt;&gt;Штраф -2",$I$4:I1278,"&lt;&gt;ушел на базу"))</f>
        <v/>
      </c>
      <c r="F1278" s="4">
        <f>IF(E1278="","",IF(E1278&lt;=3,6,IF(E1278&lt;=6,5,IF(E1278&lt;=9,4,IF(E1278&lt;=12,3,IF(E1278&lt;=15,2,0))))))</f>
        <v/>
      </c>
      <c r="G1278" s="3" t="n"/>
      <c r="H1278" s="4">
        <f>IF(I1278="Штраф -2",-2,IF(OR(F1278="",G1278=""),"",F1278*G1278+IF(J1278="",0,J1278)))</f>
        <v/>
      </c>
      <c r="I1278" s="3" t="n"/>
      <c r="J1278" s="3" t="n"/>
      <c r="K1278" s="3" t="n"/>
    </row>
    <row r="1279">
      <c r="A1279" s="3" t="n"/>
      <c r="B1279" s="3" t="n"/>
      <c r="C1279" s="3" t="n"/>
      <c r="D1279" s="3" t="n"/>
      <c r="E1279" s="4">
        <f>IF(A1279="","",COUNTIFS($A$4:A1279,A1279,$I$4:I1279,"&lt;&gt;Штраф -2",$I$4:I1279,"&lt;&gt;ушел на базу"))</f>
        <v/>
      </c>
      <c r="F1279" s="4">
        <f>IF(E1279="","",IF(E1279&lt;=3,6,IF(E1279&lt;=6,5,IF(E1279&lt;=9,4,IF(E1279&lt;=12,3,IF(E1279&lt;=15,2,0))))))</f>
        <v/>
      </c>
      <c r="G1279" s="3" t="n"/>
      <c r="H1279" s="4">
        <f>IF(I1279="Штраф -2",-2,IF(OR(F1279="",G1279=""),"",F1279*G1279+IF(J1279="",0,J1279)))</f>
        <v/>
      </c>
      <c r="I1279" s="3" t="n"/>
      <c r="J1279" s="3" t="n"/>
      <c r="K1279" s="3" t="n"/>
    </row>
    <row r="1280">
      <c r="A1280" s="3" t="n"/>
      <c r="B1280" s="3" t="n"/>
      <c r="C1280" s="3" t="n"/>
      <c r="D1280" s="3" t="n"/>
      <c r="E1280" s="4">
        <f>IF(A1280="","",COUNTIFS($A$4:A1280,A1280,$I$4:I1280,"&lt;&gt;Штраф -2",$I$4:I1280,"&lt;&gt;ушел на базу"))</f>
        <v/>
      </c>
      <c r="F1280" s="4">
        <f>IF(E1280="","",IF(E1280&lt;=3,6,IF(E1280&lt;=6,5,IF(E1280&lt;=9,4,IF(E1280&lt;=12,3,IF(E1280&lt;=15,2,0))))))</f>
        <v/>
      </c>
      <c r="G1280" s="3" t="n"/>
      <c r="H1280" s="4">
        <f>IF(I1280="Штраф -2",-2,IF(OR(F1280="",G1280=""),"",F1280*G1280+IF(J1280="",0,J1280)))</f>
        <v/>
      </c>
      <c r="I1280" s="3" t="n"/>
      <c r="J1280" s="3" t="n"/>
      <c r="K1280" s="3" t="n"/>
    </row>
    <row r="1281">
      <c r="A1281" s="3" t="n"/>
      <c r="B1281" s="3" t="n"/>
      <c r="C1281" s="3" t="n"/>
      <c r="D1281" s="3" t="n"/>
      <c r="E1281" s="4">
        <f>IF(A1281="","",COUNTIFS($A$4:A1281,A1281,$I$4:I1281,"&lt;&gt;Штраф -2",$I$4:I1281,"&lt;&gt;ушел на базу"))</f>
        <v/>
      </c>
      <c r="F1281" s="4">
        <f>IF(E1281="","",IF(E1281&lt;=3,6,IF(E1281&lt;=6,5,IF(E1281&lt;=9,4,IF(E1281&lt;=12,3,IF(E1281&lt;=15,2,0))))))</f>
        <v/>
      </c>
      <c r="G1281" s="3" t="n"/>
      <c r="H1281" s="4">
        <f>IF(I1281="Штраф -2",-2,IF(OR(F1281="",G1281=""),"",F1281*G1281+IF(J1281="",0,J1281)))</f>
        <v/>
      </c>
      <c r="I1281" s="3" t="n"/>
      <c r="J1281" s="3" t="n"/>
      <c r="K1281" s="3" t="n"/>
    </row>
    <row r="1282">
      <c r="A1282" s="3" t="n"/>
      <c r="B1282" s="3" t="n"/>
      <c r="C1282" s="3" t="n"/>
      <c r="D1282" s="3" t="n"/>
      <c r="E1282" s="4">
        <f>IF(A1282="","",COUNTIFS($A$4:A1282,A1282,$I$4:I1282,"&lt;&gt;Штраф -2",$I$4:I1282,"&lt;&gt;ушел на базу"))</f>
        <v/>
      </c>
      <c r="F1282" s="4">
        <f>IF(E1282="","",IF(E1282&lt;=3,6,IF(E1282&lt;=6,5,IF(E1282&lt;=9,4,IF(E1282&lt;=12,3,IF(E1282&lt;=15,2,0))))))</f>
        <v/>
      </c>
      <c r="G1282" s="3" t="n"/>
      <c r="H1282" s="4">
        <f>IF(I1282="Штраф -2",-2,IF(OR(F1282="",G1282=""),"",F1282*G1282+IF(J1282="",0,J1282)))</f>
        <v/>
      </c>
      <c r="I1282" s="3" t="n"/>
      <c r="J1282" s="3" t="n"/>
      <c r="K1282" s="3" t="n"/>
    </row>
    <row r="1283">
      <c r="A1283" s="3" t="n"/>
      <c r="B1283" s="3" t="n"/>
      <c r="C1283" s="3" t="n"/>
      <c r="D1283" s="3" t="n"/>
      <c r="E1283" s="4">
        <f>IF(A1283="","",COUNTIFS($A$4:A1283,A1283,$I$4:I1283,"&lt;&gt;Штраф -2",$I$4:I1283,"&lt;&gt;ушел на базу"))</f>
        <v/>
      </c>
      <c r="F1283" s="4">
        <f>IF(E1283="","",IF(E1283&lt;=3,6,IF(E1283&lt;=6,5,IF(E1283&lt;=9,4,IF(E1283&lt;=12,3,IF(E1283&lt;=15,2,0))))))</f>
        <v/>
      </c>
      <c r="G1283" s="3" t="n"/>
      <c r="H1283" s="4">
        <f>IF(I1283="Штраф -2",-2,IF(OR(F1283="",G1283=""),"",F1283*G1283+IF(J1283="",0,J1283)))</f>
        <v/>
      </c>
      <c r="I1283" s="3" t="n"/>
      <c r="J1283" s="3" t="n"/>
      <c r="K1283" s="3" t="n"/>
    </row>
    <row r="1284">
      <c r="A1284" s="3" t="n"/>
      <c r="B1284" s="3" t="n"/>
      <c r="C1284" s="3" t="n"/>
      <c r="D1284" s="3" t="n"/>
      <c r="E1284" s="4">
        <f>IF(A1284="","",COUNTIFS($A$4:A1284,A1284,$I$4:I1284,"&lt;&gt;Штраф -2",$I$4:I1284,"&lt;&gt;ушел на базу"))</f>
        <v/>
      </c>
      <c r="F1284" s="4">
        <f>IF(E1284="","",IF(E1284&lt;=3,6,IF(E1284&lt;=6,5,IF(E1284&lt;=9,4,IF(E1284&lt;=12,3,IF(E1284&lt;=15,2,0))))))</f>
        <v/>
      </c>
      <c r="G1284" s="3" t="n"/>
      <c r="H1284" s="4">
        <f>IF(I1284="Штраф -2",-2,IF(OR(F1284="",G1284=""),"",F1284*G1284+IF(J1284="",0,J1284)))</f>
        <v/>
      </c>
      <c r="I1284" s="3" t="n"/>
      <c r="J1284" s="3" t="n"/>
      <c r="K1284" s="3" t="n"/>
    </row>
    <row r="1285">
      <c r="A1285" s="3" t="n"/>
      <c r="B1285" s="3" t="n"/>
      <c r="C1285" s="3" t="n"/>
      <c r="D1285" s="3" t="n"/>
      <c r="E1285" s="4">
        <f>IF(A1285="","",COUNTIFS($A$4:A1285,A1285,$I$4:I1285,"&lt;&gt;Штраф -2",$I$4:I1285,"&lt;&gt;ушел на базу"))</f>
        <v/>
      </c>
      <c r="F1285" s="4">
        <f>IF(E1285="","",IF(E1285&lt;=3,6,IF(E1285&lt;=6,5,IF(E1285&lt;=9,4,IF(E1285&lt;=12,3,IF(E1285&lt;=15,2,0))))))</f>
        <v/>
      </c>
      <c r="G1285" s="3" t="n"/>
      <c r="H1285" s="4">
        <f>IF(I1285="Штраф -2",-2,IF(OR(F1285="",G1285=""),"",F1285*G1285+IF(J1285="",0,J1285)))</f>
        <v/>
      </c>
      <c r="I1285" s="3" t="n"/>
      <c r="J1285" s="3" t="n"/>
      <c r="K1285" s="3" t="n"/>
    </row>
    <row r="1286">
      <c r="A1286" s="3" t="n"/>
      <c r="B1286" s="3" t="n"/>
      <c r="C1286" s="3" t="n"/>
      <c r="D1286" s="3" t="n"/>
      <c r="E1286" s="4">
        <f>IF(A1286="","",COUNTIFS($A$4:A1286,A1286,$I$4:I1286,"&lt;&gt;Штраф -2",$I$4:I1286,"&lt;&gt;ушел на базу"))</f>
        <v/>
      </c>
      <c r="F1286" s="4">
        <f>IF(E1286="","",IF(E1286&lt;=3,6,IF(E1286&lt;=6,5,IF(E1286&lt;=9,4,IF(E1286&lt;=12,3,IF(E1286&lt;=15,2,0))))))</f>
        <v/>
      </c>
      <c r="G1286" s="3" t="n"/>
      <c r="H1286" s="4">
        <f>IF(I1286="Штраф -2",-2,IF(OR(F1286="",G1286=""),"",F1286*G1286+IF(J1286="",0,J1286)))</f>
        <v/>
      </c>
      <c r="I1286" s="3" t="n"/>
      <c r="J1286" s="3" t="n"/>
      <c r="K1286" s="3" t="n"/>
    </row>
    <row r="1287">
      <c r="A1287" s="3" t="n"/>
      <c r="B1287" s="3" t="n"/>
      <c r="C1287" s="3" t="n"/>
      <c r="D1287" s="3" t="n"/>
      <c r="E1287" s="4">
        <f>IF(A1287="","",COUNTIFS($A$4:A1287,A1287,$I$4:I1287,"&lt;&gt;Штраф -2",$I$4:I1287,"&lt;&gt;ушел на базу"))</f>
        <v/>
      </c>
      <c r="F1287" s="4">
        <f>IF(E1287="","",IF(E1287&lt;=3,6,IF(E1287&lt;=6,5,IF(E1287&lt;=9,4,IF(E1287&lt;=12,3,IF(E1287&lt;=15,2,0))))))</f>
        <v/>
      </c>
      <c r="G1287" s="3" t="n"/>
      <c r="H1287" s="4">
        <f>IF(I1287="Штраф -2",-2,IF(OR(F1287="",G1287=""),"",F1287*G1287+IF(J1287="",0,J1287)))</f>
        <v/>
      </c>
      <c r="I1287" s="3" t="n"/>
      <c r="J1287" s="3" t="n"/>
      <c r="K1287" s="3" t="n"/>
    </row>
    <row r="1288">
      <c r="A1288" s="3" t="n"/>
      <c r="B1288" s="3" t="n"/>
      <c r="C1288" s="3" t="n"/>
      <c r="D1288" s="3" t="n"/>
      <c r="E1288" s="4">
        <f>IF(A1288="","",COUNTIFS($A$4:A1288,A1288,$I$4:I1288,"&lt;&gt;Штраф -2",$I$4:I1288,"&lt;&gt;ушел на базу"))</f>
        <v/>
      </c>
      <c r="F1288" s="4">
        <f>IF(E1288="","",IF(E1288&lt;=3,6,IF(E1288&lt;=6,5,IF(E1288&lt;=9,4,IF(E1288&lt;=12,3,IF(E1288&lt;=15,2,0))))))</f>
        <v/>
      </c>
      <c r="G1288" s="3" t="n"/>
      <c r="H1288" s="4">
        <f>IF(I1288="Штраф -2",-2,IF(OR(F1288="",G1288=""),"",F1288*G1288+IF(J1288="",0,J1288)))</f>
        <v/>
      </c>
      <c r="I1288" s="3" t="n"/>
      <c r="J1288" s="3" t="n"/>
      <c r="K1288" s="3" t="n"/>
    </row>
    <row r="1289">
      <c r="A1289" s="3" t="n"/>
      <c r="B1289" s="3" t="n"/>
      <c r="C1289" s="3" t="n"/>
      <c r="D1289" s="3" t="n"/>
      <c r="E1289" s="4">
        <f>IF(A1289="","",COUNTIFS($A$4:A1289,A1289,$I$4:I1289,"&lt;&gt;Штраф -2",$I$4:I1289,"&lt;&gt;ушел на базу"))</f>
        <v/>
      </c>
      <c r="F1289" s="4">
        <f>IF(E1289="","",IF(E1289&lt;=3,6,IF(E1289&lt;=6,5,IF(E1289&lt;=9,4,IF(E1289&lt;=12,3,IF(E1289&lt;=15,2,0))))))</f>
        <v/>
      </c>
      <c r="G1289" s="3" t="n"/>
      <c r="H1289" s="4">
        <f>IF(I1289="Штраф -2",-2,IF(OR(F1289="",G1289=""),"",F1289*G1289+IF(J1289="",0,J1289)))</f>
        <v/>
      </c>
      <c r="I1289" s="3" t="n"/>
      <c r="J1289" s="3" t="n"/>
      <c r="K1289" s="3" t="n"/>
    </row>
    <row r="1290">
      <c r="A1290" s="3" t="n"/>
      <c r="B1290" s="3" t="n"/>
      <c r="C1290" s="3" t="n"/>
      <c r="D1290" s="3" t="n"/>
      <c r="E1290" s="4">
        <f>IF(A1290="","",COUNTIFS($A$4:A1290,A1290,$I$4:I1290,"&lt;&gt;Штраф -2",$I$4:I1290,"&lt;&gt;ушел на базу"))</f>
        <v/>
      </c>
      <c r="F1290" s="4">
        <f>IF(E1290="","",IF(E1290&lt;=3,6,IF(E1290&lt;=6,5,IF(E1290&lt;=9,4,IF(E1290&lt;=12,3,IF(E1290&lt;=15,2,0))))))</f>
        <v/>
      </c>
      <c r="G1290" s="3" t="n"/>
      <c r="H1290" s="4">
        <f>IF(I1290="Штраф -2",-2,IF(OR(F1290="",G1290=""),"",F1290*G1290+IF(J1290="",0,J1290)))</f>
        <v/>
      </c>
      <c r="I1290" s="3" t="n"/>
      <c r="J1290" s="3" t="n"/>
      <c r="K1290" s="3" t="n"/>
    </row>
    <row r="1291">
      <c r="A1291" s="3" t="n"/>
      <c r="B1291" s="3" t="n"/>
      <c r="C1291" s="3" t="n"/>
      <c r="D1291" s="3" t="n"/>
      <c r="E1291" s="4">
        <f>IF(A1291="","",COUNTIFS($A$4:A1291,A1291,$I$4:I1291,"&lt;&gt;Штраф -2",$I$4:I1291,"&lt;&gt;ушел на базу"))</f>
        <v/>
      </c>
      <c r="F1291" s="4">
        <f>IF(E1291="","",IF(E1291&lt;=3,6,IF(E1291&lt;=6,5,IF(E1291&lt;=9,4,IF(E1291&lt;=12,3,IF(E1291&lt;=15,2,0))))))</f>
        <v/>
      </c>
      <c r="G1291" s="3" t="n"/>
      <c r="H1291" s="4">
        <f>IF(I1291="Штраф -2",-2,IF(OR(F1291="",G1291=""),"",F1291*G1291+IF(J1291="",0,J1291)))</f>
        <v/>
      </c>
      <c r="I1291" s="3" t="n"/>
      <c r="J1291" s="3" t="n"/>
      <c r="K1291" s="3" t="n"/>
    </row>
    <row r="1292">
      <c r="A1292" s="3" t="n"/>
      <c r="B1292" s="3" t="n"/>
      <c r="C1292" s="3" t="n"/>
      <c r="D1292" s="3" t="n"/>
      <c r="E1292" s="4">
        <f>IF(A1292="","",COUNTIFS($A$4:A1292,A1292,$I$4:I1292,"&lt;&gt;Штраф -2",$I$4:I1292,"&lt;&gt;ушел на базу"))</f>
        <v/>
      </c>
      <c r="F1292" s="4">
        <f>IF(E1292="","",IF(E1292&lt;=3,6,IF(E1292&lt;=6,5,IF(E1292&lt;=9,4,IF(E1292&lt;=12,3,IF(E1292&lt;=15,2,0))))))</f>
        <v/>
      </c>
      <c r="G1292" s="3" t="n"/>
      <c r="H1292" s="4">
        <f>IF(I1292="Штраф -2",-2,IF(OR(F1292="",G1292=""),"",F1292*G1292+IF(J1292="",0,J1292)))</f>
        <v/>
      </c>
      <c r="I1292" s="3" t="n"/>
      <c r="J1292" s="3" t="n"/>
      <c r="K1292" s="3" t="n"/>
    </row>
    <row r="1293">
      <c r="A1293" s="3" t="n"/>
      <c r="B1293" s="3" t="n"/>
      <c r="C1293" s="3" t="n"/>
      <c r="D1293" s="3" t="n"/>
      <c r="E1293" s="4">
        <f>IF(A1293="","",COUNTIFS($A$4:A1293,A1293,$I$4:I1293,"&lt;&gt;Штраф -2",$I$4:I1293,"&lt;&gt;ушел на базу"))</f>
        <v/>
      </c>
      <c r="F1293" s="4">
        <f>IF(E1293="","",IF(E1293&lt;=3,6,IF(E1293&lt;=6,5,IF(E1293&lt;=9,4,IF(E1293&lt;=12,3,IF(E1293&lt;=15,2,0))))))</f>
        <v/>
      </c>
      <c r="G1293" s="3" t="n"/>
      <c r="H1293" s="4">
        <f>IF(I1293="Штраф -2",-2,IF(OR(F1293="",G1293=""),"",F1293*G1293+IF(J1293="",0,J1293)))</f>
        <v/>
      </c>
      <c r="I1293" s="3" t="n"/>
      <c r="J1293" s="3" t="n"/>
      <c r="K1293" s="3" t="n"/>
    </row>
    <row r="1294">
      <c r="A1294" s="3" t="n"/>
      <c r="B1294" s="3" t="n"/>
      <c r="C1294" s="3" t="n"/>
      <c r="D1294" s="3" t="n"/>
      <c r="E1294" s="4">
        <f>IF(A1294="","",COUNTIFS($A$4:A1294,A1294,$I$4:I1294,"&lt;&gt;Штраф -2",$I$4:I1294,"&lt;&gt;ушел на базу"))</f>
        <v/>
      </c>
      <c r="F1294" s="4">
        <f>IF(E1294="","",IF(E1294&lt;=3,6,IF(E1294&lt;=6,5,IF(E1294&lt;=9,4,IF(E1294&lt;=12,3,IF(E1294&lt;=15,2,0))))))</f>
        <v/>
      </c>
      <c r="G1294" s="3" t="n"/>
      <c r="H1294" s="4">
        <f>IF(I1294="Штраф -2",-2,IF(OR(F1294="",G1294=""),"",F1294*G1294+IF(J1294="",0,J1294)))</f>
        <v/>
      </c>
      <c r="I1294" s="3" t="n"/>
      <c r="J1294" s="3" t="n"/>
      <c r="K1294" s="3" t="n"/>
    </row>
    <row r="1295">
      <c r="A1295" s="3" t="n"/>
      <c r="B1295" s="3" t="n"/>
      <c r="C1295" s="3" t="n"/>
      <c r="D1295" s="3" t="n"/>
      <c r="E1295" s="4">
        <f>IF(A1295="","",COUNTIFS($A$4:A1295,A1295,$I$4:I1295,"&lt;&gt;Штраф -2",$I$4:I1295,"&lt;&gt;ушел на базу"))</f>
        <v/>
      </c>
      <c r="F1295" s="4">
        <f>IF(E1295="","",IF(E1295&lt;=3,6,IF(E1295&lt;=6,5,IF(E1295&lt;=9,4,IF(E1295&lt;=12,3,IF(E1295&lt;=15,2,0))))))</f>
        <v/>
      </c>
      <c r="G1295" s="3" t="n"/>
      <c r="H1295" s="4">
        <f>IF(I1295="Штраф -2",-2,IF(OR(F1295="",G1295=""),"",F1295*G1295+IF(J1295="",0,J1295)))</f>
        <v/>
      </c>
      <c r="I1295" s="3" t="n"/>
      <c r="J1295" s="3" t="n"/>
      <c r="K1295" s="3" t="n"/>
    </row>
    <row r="1296">
      <c r="A1296" s="3" t="n"/>
      <c r="B1296" s="3" t="n"/>
      <c r="C1296" s="3" t="n"/>
      <c r="D1296" s="3" t="n"/>
      <c r="E1296" s="4">
        <f>IF(A1296="","",COUNTIFS($A$4:A1296,A1296,$I$4:I1296,"&lt;&gt;Штраф -2",$I$4:I1296,"&lt;&gt;ушел на базу"))</f>
        <v/>
      </c>
      <c r="F1296" s="4">
        <f>IF(E1296="","",IF(E1296&lt;=3,6,IF(E1296&lt;=6,5,IF(E1296&lt;=9,4,IF(E1296&lt;=12,3,IF(E1296&lt;=15,2,0))))))</f>
        <v/>
      </c>
      <c r="G1296" s="3" t="n"/>
      <c r="H1296" s="4">
        <f>IF(I1296="Штраф -2",-2,IF(OR(F1296="",G1296=""),"",F1296*G1296+IF(J1296="",0,J1296)))</f>
        <v/>
      </c>
      <c r="I1296" s="3" t="n"/>
      <c r="J1296" s="3" t="n"/>
      <c r="K1296" s="3" t="n"/>
    </row>
    <row r="1297">
      <c r="A1297" s="3" t="n"/>
      <c r="B1297" s="3" t="n"/>
      <c r="C1297" s="3" t="n"/>
      <c r="D1297" s="3" t="n"/>
      <c r="E1297" s="4">
        <f>IF(A1297="","",COUNTIFS($A$4:A1297,A1297,$I$4:I1297,"&lt;&gt;Штраф -2",$I$4:I1297,"&lt;&gt;ушел на базу"))</f>
        <v/>
      </c>
      <c r="F1297" s="4">
        <f>IF(E1297="","",IF(E1297&lt;=3,6,IF(E1297&lt;=6,5,IF(E1297&lt;=9,4,IF(E1297&lt;=12,3,IF(E1297&lt;=15,2,0))))))</f>
        <v/>
      </c>
      <c r="G1297" s="3" t="n"/>
      <c r="H1297" s="4">
        <f>IF(I1297="Штраф -2",-2,IF(OR(F1297="",G1297=""),"",F1297*G1297+IF(J1297="",0,J1297)))</f>
        <v/>
      </c>
      <c r="I1297" s="3" t="n"/>
      <c r="J1297" s="3" t="n"/>
      <c r="K1297" s="3" t="n"/>
    </row>
    <row r="1298">
      <c r="A1298" s="3" t="n"/>
      <c r="B1298" s="3" t="n"/>
      <c r="C1298" s="3" t="n"/>
      <c r="D1298" s="3" t="n"/>
      <c r="E1298" s="4">
        <f>IF(A1298="","",COUNTIFS($A$4:A1298,A1298,$I$4:I1298,"&lt;&gt;Штраф -2",$I$4:I1298,"&lt;&gt;ушел на базу"))</f>
        <v/>
      </c>
      <c r="F1298" s="4">
        <f>IF(E1298="","",IF(E1298&lt;=3,6,IF(E1298&lt;=6,5,IF(E1298&lt;=9,4,IF(E1298&lt;=12,3,IF(E1298&lt;=15,2,0))))))</f>
        <v/>
      </c>
      <c r="G1298" s="3" t="n"/>
      <c r="H1298" s="4">
        <f>IF(I1298="Штраф -2",-2,IF(OR(F1298="",G1298=""),"",F1298*G1298+IF(J1298="",0,J1298)))</f>
        <v/>
      </c>
      <c r="I1298" s="3" t="n"/>
      <c r="J1298" s="3" t="n"/>
      <c r="K1298" s="3" t="n"/>
    </row>
    <row r="1299">
      <c r="A1299" s="3" t="n"/>
      <c r="B1299" s="3" t="n"/>
      <c r="C1299" s="3" t="n"/>
      <c r="D1299" s="3" t="n"/>
      <c r="E1299" s="4">
        <f>IF(A1299="","",COUNTIFS($A$4:A1299,A1299,$I$4:I1299,"&lt;&gt;Штраф -2",$I$4:I1299,"&lt;&gt;ушел на базу"))</f>
        <v/>
      </c>
      <c r="F1299" s="4">
        <f>IF(E1299="","",IF(E1299&lt;=3,6,IF(E1299&lt;=6,5,IF(E1299&lt;=9,4,IF(E1299&lt;=12,3,IF(E1299&lt;=15,2,0))))))</f>
        <v/>
      </c>
      <c r="G1299" s="3" t="n"/>
      <c r="H1299" s="4">
        <f>IF(I1299="Штраф -2",-2,IF(OR(F1299="",G1299=""),"",F1299*G1299+IF(J1299="",0,J1299)))</f>
        <v/>
      </c>
      <c r="I1299" s="3" t="n"/>
      <c r="J1299" s="3" t="n"/>
      <c r="K1299" s="3" t="n"/>
    </row>
    <row r="1300">
      <c r="A1300" s="3" t="n"/>
      <c r="B1300" s="3" t="n"/>
      <c r="C1300" s="3" t="n"/>
      <c r="D1300" s="3" t="n"/>
      <c r="E1300" s="4">
        <f>IF(A1300="","",COUNTIFS($A$4:A1300,A1300,$I$4:I1300,"&lt;&gt;Штраф -2",$I$4:I1300,"&lt;&gt;ушел на базу"))</f>
        <v/>
      </c>
      <c r="F1300" s="4">
        <f>IF(E1300="","",IF(E1300&lt;=3,6,IF(E1300&lt;=6,5,IF(E1300&lt;=9,4,IF(E1300&lt;=12,3,IF(E1300&lt;=15,2,0))))))</f>
        <v/>
      </c>
      <c r="G1300" s="3" t="n"/>
      <c r="H1300" s="4">
        <f>IF(I1300="Штраф -2",-2,IF(OR(F1300="",G1300=""),"",F1300*G1300+IF(J1300="",0,J1300)))</f>
        <v/>
      </c>
      <c r="I1300" s="3" t="n"/>
      <c r="J1300" s="3" t="n"/>
      <c r="K1300" s="3" t="n"/>
    </row>
    <row r="1301">
      <c r="A1301" s="3" t="n"/>
      <c r="B1301" s="3" t="n"/>
      <c r="C1301" s="3" t="n"/>
      <c r="D1301" s="3" t="n"/>
      <c r="E1301" s="4">
        <f>IF(A1301="","",COUNTIFS($A$4:A1301,A1301,$I$4:I1301,"&lt;&gt;Штраф -2",$I$4:I1301,"&lt;&gt;ушел на базу"))</f>
        <v/>
      </c>
      <c r="F1301" s="4">
        <f>IF(E1301="","",IF(E1301&lt;=3,6,IF(E1301&lt;=6,5,IF(E1301&lt;=9,4,IF(E1301&lt;=12,3,IF(E1301&lt;=15,2,0))))))</f>
        <v/>
      </c>
      <c r="G1301" s="3" t="n"/>
      <c r="H1301" s="4">
        <f>IF(I1301="Штраф -2",-2,IF(OR(F1301="",G1301=""),"",F1301*G1301+IF(J1301="",0,J1301)))</f>
        <v/>
      </c>
      <c r="I1301" s="3" t="n"/>
      <c r="J1301" s="3" t="n"/>
      <c r="K1301" s="3" t="n"/>
    </row>
    <row r="1302">
      <c r="A1302" s="3" t="n"/>
      <c r="B1302" s="3" t="n"/>
      <c r="C1302" s="3" t="n"/>
      <c r="D1302" s="3" t="n"/>
      <c r="E1302" s="4">
        <f>IF(A1302="","",COUNTIFS($A$4:A1302,A1302,$I$4:I1302,"&lt;&gt;Штраф -2",$I$4:I1302,"&lt;&gt;ушел на базу"))</f>
        <v/>
      </c>
      <c r="F1302" s="4">
        <f>IF(E1302="","",IF(E1302&lt;=3,6,IF(E1302&lt;=6,5,IF(E1302&lt;=9,4,IF(E1302&lt;=12,3,IF(E1302&lt;=15,2,0))))))</f>
        <v/>
      </c>
      <c r="G1302" s="3" t="n"/>
      <c r="H1302" s="4">
        <f>IF(I1302="Штраф -2",-2,IF(OR(F1302="",G1302=""),"",F1302*G1302+IF(J1302="",0,J1302)))</f>
        <v/>
      </c>
      <c r="I1302" s="3" t="n"/>
      <c r="J1302" s="3" t="n"/>
      <c r="K1302" s="3" t="n"/>
    </row>
    <row r="1303">
      <c r="A1303" s="3" t="n"/>
      <c r="B1303" s="3" t="n"/>
      <c r="C1303" s="3" t="n"/>
      <c r="D1303" s="3" t="n"/>
      <c r="E1303" s="4">
        <f>IF(A1303="","",COUNTIFS($A$4:A1303,A1303,$I$4:I1303,"&lt;&gt;Штраф -2",$I$4:I1303,"&lt;&gt;ушел на базу"))</f>
        <v/>
      </c>
      <c r="F1303" s="4">
        <f>IF(E1303="","",IF(E1303&lt;=3,6,IF(E1303&lt;=6,5,IF(E1303&lt;=9,4,IF(E1303&lt;=12,3,IF(E1303&lt;=15,2,0))))))</f>
        <v/>
      </c>
      <c r="G1303" s="3" t="n"/>
      <c r="H1303" s="4">
        <f>IF(I1303="Штраф -2",-2,IF(OR(F1303="",G1303=""),"",F1303*G1303+IF(J1303="",0,J1303)))</f>
        <v/>
      </c>
      <c r="I1303" s="3" t="n"/>
      <c r="J1303" s="3" t="n"/>
      <c r="K1303" s="3" t="n"/>
    </row>
    <row r="1304">
      <c r="A1304" s="3" t="n"/>
      <c r="B1304" s="3" t="n"/>
      <c r="C1304" s="3" t="n"/>
      <c r="D1304" s="3" t="n"/>
      <c r="E1304" s="4">
        <f>IF(A1304="","",COUNTIFS($A$4:A1304,A1304,$I$4:I1304,"&lt;&gt;Штраф -2",$I$4:I1304,"&lt;&gt;ушел на базу"))</f>
        <v/>
      </c>
      <c r="F1304" s="4">
        <f>IF(E1304="","",IF(E1304&lt;=3,6,IF(E1304&lt;=6,5,IF(E1304&lt;=9,4,IF(E1304&lt;=12,3,IF(E1304&lt;=15,2,0))))))</f>
        <v/>
      </c>
      <c r="G1304" s="3" t="n"/>
      <c r="H1304" s="4">
        <f>IF(I1304="Штраф -2",-2,IF(OR(F1304="",G1304=""),"",F1304*G1304+IF(J1304="",0,J1304)))</f>
        <v/>
      </c>
      <c r="I1304" s="3" t="n"/>
      <c r="J1304" s="3" t="n"/>
      <c r="K1304" s="3" t="n"/>
    </row>
    <row r="1305">
      <c r="A1305" s="3" t="n"/>
      <c r="B1305" s="3" t="n"/>
      <c r="C1305" s="3" t="n"/>
      <c r="D1305" s="3" t="n"/>
      <c r="E1305" s="4">
        <f>IF(A1305="","",COUNTIFS($A$4:A1305,A1305,$I$4:I1305,"&lt;&gt;Штраф -2",$I$4:I1305,"&lt;&gt;ушел на базу"))</f>
        <v/>
      </c>
      <c r="F1305" s="4">
        <f>IF(E1305="","",IF(E1305&lt;=3,6,IF(E1305&lt;=6,5,IF(E1305&lt;=9,4,IF(E1305&lt;=12,3,IF(E1305&lt;=15,2,0))))))</f>
        <v/>
      </c>
      <c r="G1305" s="3" t="n"/>
      <c r="H1305" s="4">
        <f>IF(I1305="Штраф -2",-2,IF(OR(F1305="",G1305=""),"",F1305*G1305+IF(J1305="",0,J1305)))</f>
        <v/>
      </c>
      <c r="I1305" s="3" t="n"/>
      <c r="J1305" s="3" t="n"/>
      <c r="K1305" s="3" t="n"/>
    </row>
    <row r="1306">
      <c r="A1306" s="3" t="n"/>
      <c r="B1306" s="3" t="n"/>
      <c r="C1306" s="3" t="n"/>
      <c r="D1306" s="3" t="n"/>
      <c r="E1306" s="4">
        <f>IF(A1306="","",COUNTIFS($A$4:A1306,A1306,$I$4:I1306,"&lt;&gt;Штраф -2",$I$4:I1306,"&lt;&gt;ушел на базу"))</f>
        <v/>
      </c>
      <c r="F1306" s="4">
        <f>IF(E1306="","",IF(E1306&lt;=3,6,IF(E1306&lt;=6,5,IF(E1306&lt;=9,4,IF(E1306&lt;=12,3,IF(E1306&lt;=15,2,0))))))</f>
        <v/>
      </c>
      <c r="G1306" s="3" t="n"/>
      <c r="H1306" s="4">
        <f>IF(I1306="Штраф -2",-2,IF(OR(F1306="",G1306=""),"",F1306*G1306+IF(J1306="",0,J1306)))</f>
        <v/>
      </c>
      <c r="I1306" s="3" t="n"/>
      <c r="J1306" s="3" t="n"/>
      <c r="K1306" s="3" t="n"/>
    </row>
    <row r="1307">
      <c r="A1307" s="3" t="n"/>
      <c r="B1307" s="3" t="n"/>
      <c r="C1307" s="3" t="n"/>
      <c r="D1307" s="3" t="n"/>
      <c r="E1307" s="4">
        <f>IF(A1307="","",COUNTIFS($A$4:A1307,A1307,$I$4:I1307,"&lt;&gt;Штраф -2",$I$4:I1307,"&lt;&gt;ушел на базу"))</f>
        <v/>
      </c>
      <c r="F1307" s="4">
        <f>IF(E1307="","",IF(E1307&lt;=3,6,IF(E1307&lt;=6,5,IF(E1307&lt;=9,4,IF(E1307&lt;=12,3,IF(E1307&lt;=15,2,0))))))</f>
        <v/>
      </c>
      <c r="G1307" s="3" t="n"/>
      <c r="H1307" s="4">
        <f>IF(I1307="Штраф -2",-2,IF(OR(F1307="",G1307=""),"",F1307*G1307+IF(J1307="",0,J1307)))</f>
        <v/>
      </c>
      <c r="I1307" s="3" t="n"/>
      <c r="J1307" s="3" t="n"/>
      <c r="K1307" s="3" t="n"/>
    </row>
    <row r="1308">
      <c r="A1308" s="3" t="n"/>
      <c r="B1308" s="3" t="n"/>
      <c r="C1308" s="3" t="n"/>
      <c r="D1308" s="3" t="n"/>
      <c r="E1308" s="4">
        <f>IF(A1308="","",COUNTIFS($A$4:A1308,A1308,$I$4:I1308,"&lt;&gt;Штраф -2",$I$4:I1308,"&lt;&gt;ушел на базу"))</f>
        <v/>
      </c>
      <c r="F1308" s="4">
        <f>IF(E1308="","",IF(E1308&lt;=3,6,IF(E1308&lt;=6,5,IF(E1308&lt;=9,4,IF(E1308&lt;=12,3,IF(E1308&lt;=15,2,0))))))</f>
        <v/>
      </c>
      <c r="G1308" s="3" t="n"/>
      <c r="H1308" s="4">
        <f>IF(I1308="Штраф -2",-2,IF(OR(F1308="",G1308=""),"",F1308*G1308+IF(J1308="",0,J1308)))</f>
        <v/>
      </c>
      <c r="I1308" s="3" t="n"/>
      <c r="J1308" s="3" t="n"/>
      <c r="K1308" s="3" t="n"/>
    </row>
    <row r="1309">
      <c r="A1309" s="3" t="n"/>
      <c r="B1309" s="3" t="n"/>
      <c r="C1309" s="3" t="n"/>
      <c r="D1309" s="3" t="n"/>
      <c r="E1309" s="4">
        <f>IF(A1309="","",COUNTIFS($A$4:A1309,A1309,$I$4:I1309,"&lt;&gt;Штраф -2",$I$4:I1309,"&lt;&gt;ушел на базу"))</f>
        <v/>
      </c>
      <c r="F1309" s="4">
        <f>IF(E1309="","",IF(E1309&lt;=3,6,IF(E1309&lt;=6,5,IF(E1309&lt;=9,4,IF(E1309&lt;=12,3,IF(E1309&lt;=15,2,0))))))</f>
        <v/>
      </c>
      <c r="G1309" s="3" t="n"/>
      <c r="H1309" s="4">
        <f>IF(I1309="Штраф -2",-2,IF(OR(F1309="",G1309=""),"",F1309*G1309+IF(J1309="",0,J1309)))</f>
        <v/>
      </c>
      <c r="I1309" s="3" t="n"/>
      <c r="J1309" s="3" t="n"/>
      <c r="K1309" s="3" t="n"/>
    </row>
    <row r="1310">
      <c r="A1310" s="3" t="n"/>
      <c r="B1310" s="3" t="n"/>
      <c r="C1310" s="3" t="n"/>
      <c r="D1310" s="3" t="n"/>
      <c r="E1310" s="4">
        <f>IF(A1310="","",COUNTIFS($A$4:A1310,A1310,$I$4:I1310,"&lt;&gt;Штраф -2",$I$4:I1310,"&lt;&gt;ушел на базу"))</f>
        <v/>
      </c>
      <c r="F1310" s="4">
        <f>IF(E1310="","",IF(E1310&lt;=3,6,IF(E1310&lt;=6,5,IF(E1310&lt;=9,4,IF(E1310&lt;=12,3,IF(E1310&lt;=15,2,0))))))</f>
        <v/>
      </c>
      <c r="G1310" s="3" t="n"/>
      <c r="H1310" s="4">
        <f>IF(I1310="Штраф -2",-2,IF(OR(F1310="",G1310=""),"",F1310*G1310+IF(J1310="",0,J1310)))</f>
        <v/>
      </c>
      <c r="I1310" s="3" t="n"/>
      <c r="J1310" s="3" t="n"/>
      <c r="K1310" s="3" t="n"/>
    </row>
    <row r="1311">
      <c r="A1311" s="3" t="n"/>
      <c r="B1311" s="3" t="n"/>
      <c r="C1311" s="3" t="n"/>
      <c r="D1311" s="3" t="n"/>
      <c r="E1311" s="4">
        <f>IF(A1311="","",COUNTIFS($A$4:A1311,A1311,$I$4:I1311,"&lt;&gt;Штраф -2",$I$4:I1311,"&lt;&gt;ушел на базу"))</f>
        <v/>
      </c>
      <c r="F1311" s="4">
        <f>IF(E1311="","",IF(E1311&lt;=3,6,IF(E1311&lt;=6,5,IF(E1311&lt;=9,4,IF(E1311&lt;=12,3,IF(E1311&lt;=15,2,0))))))</f>
        <v/>
      </c>
      <c r="G1311" s="3" t="n"/>
      <c r="H1311" s="4">
        <f>IF(I1311="Штраф -2",-2,IF(OR(F1311="",G1311=""),"",F1311*G1311+IF(J1311="",0,J1311)))</f>
        <v/>
      </c>
      <c r="I1311" s="3" t="n"/>
      <c r="J1311" s="3" t="n"/>
      <c r="K1311" s="3" t="n"/>
    </row>
    <row r="1312">
      <c r="A1312" s="3" t="n"/>
      <c r="B1312" s="3" t="n"/>
      <c r="C1312" s="3" t="n"/>
      <c r="D1312" s="3" t="n"/>
      <c r="E1312" s="4">
        <f>IF(A1312="","",COUNTIFS($A$4:A1312,A1312,$I$4:I1312,"&lt;&gt;Штраф -2",$I$4:I1312,"&lt;&gt;ушел на базу"))</f>
        <v/>
      </c>
      <c r="F1312" s="4">
        <f>IF(E1312="","",IF(E1312&lt;=3,6,IF(E1312&lt;=6,5,IF(E1312&lt;=9,4,IF(E1312&lt;=12,3,IF(E1312&lt;=15,2,0))))))</f>
        <v/>
      </c>
      <c r="G1312" s="3" t="n"/>
      <c r="H1312" s="4">
        <f>IF(I1312="Штраф -2",-2,IF(OR(F1312="",G1312=""),"",F1312*G1312+IF(J1312="",0,J1312)))</f>
        <v/>
      </c>
      <c r="I1312" s="3" t="n"/>
      <c r="J1312" s="3" t="n"/>
      <c r="K1312" s="3" t="n"/>
    </row>
    <row r="1313">
      <c r="A1313" s="3" t="n"/>
      <c r="B1313" s="3" t="n"/>
      <c r="C1313" s="3" t="n"/>
      <c r="D1313" s="3" t="n"/>
      <c r="E1313" s="4">
        <f>IF(A1313="","",COUNTIFS($A$4:A1313,A1313,$I$4:I1313,"&lt;&gt;Штраф -2",$I$4:I1313,"&lt;&gt;ушел на базу"))</f>
        <v/>
      </c>
      <c r="F1313" s="4">
        <f>IF(E1313="","",IF(E1313&lt;=3,6,IF(E1313&lt;=6,5,IF(E1313&lt;=9,4,IF(E1313&lt;=12,3,IF(E1313&lt;=15,2,0))))))</f>
        <v/>
      </c>
      <c r="G1313" s="3" t="n"/>
      <c r="H1313" s="4">
        <f>IF(I1313="Штраф -2",-2,IF(OR(F1313="",G1313=""),"",F1313*G1313+IF(J1313="",0,J1313)))</f>
        <v/>
      </c>
      <c r="I1313" s="3" t="n"/>
      <c r="J1313" s="3" t="n"/>
      <c r="K1313" s="3" t="n"/>
    </row>
    <row r="1314">
      <c r="A1314" s="3" t="n"/>
      <c r="B1314" s="3" t="n"/>
      <c r="C1314" s="3" t="n"/>
      <c r="D1314" s="3" t="n"/>
      <c r="E1314" s="4">
        <f>IF(A1314="","",COUNTIFS($A$4:A1314,A1314,$I$4:I1314,"&lt;&gt;Штраф -2",$I$4:I1314,"&lt;&gt;ушел на базу"))</f>
        <v/>
      </c>
      <c r="F1314" s="4">
        <f>IF(E1314="","",IF(E1314&lt;=3,6,IF(E1314&lt;=6,5,IF(E1314&lt;=9,4,IF(E1314&lt;=12,3,IF(E1314&lt;=15,2,0))))))</f>
        <v/>
      </c>
      <c r="G1314" s="3" t="n"/>
      <c r="H1314" s="4">
        <f>IF(I1314="Штраф -2",-2,IF(OR(F1314="",G1314=""),"",F1314*G1314+IF(J1314="",0,J1314)))</f>
        <v/>
      </c>
      <c r="I1314" s="3" t="n"/>
      <c r="J1314" s="3" t="n"/>
      <c r="K1314" s="3" t="n"/>
    </row>
    <row r="1315">
      <c r="A1315" s="3" t="n"/>
      <c r="B1315" s="3" t="n"/>
      <c r="C1315" s="3" t="n"/>
      <c r="D1315" s="3" t="n"/>
      <c r="E1315" s="4">
        <f>IF(A1315="","",COUNTIFS($A$4:A1315,A1315,$I$4:I1315,"&lt;&gt;Штраф -2",$I$4:I1315,"&lt;&gt;ушел на базу"))</f>
        <v/>
      </c>
      <c r="F1315" s="4">
        <f>IF(E1315="","",IF(E1315&lt;=3,6,IF(E1315&lt;=6,5,IF(E1315&lt;=9,4,IF(E1315&lt;=12,3,IF(E1315&lt;=15,2,0))))))</f>
        <v/>
      </c>
      <c r="G1315" s="3" t="n"/>
      <c r="H1315" s="4">
        <f>IF(I1315="Штраф -2",-2,IF(OR(F1315="",G1315=""),"",F1315*G1315+IF(J1315="",0,J1315)))</f>
        <v/>
      </c>
      <c r="I1315" s="3" t="n"/>
      <c r="J1315" s="3" t="n"/>
      <c r="K1315" s="3" t="n"/>
    </row>
    <row r="1316">
      <c r="A1316" s="3" t="n"/>
      <c r="B1316" s="3" t="n"/>
      <c r="C1316" s="3" t="n"/>
      <c r="D1316" s="3" t="n"/>
      <c r="E1316" s="4">
        <f>IF(A1316="","",COUNTIFS($A$4:A1316,A1316,$I$4:I1316,"&lt;&gt;Штраф -2",$I$4:I1316,"&lt;&gt;ушел на базу"))</f>
        <v/>
      </c>
      <c r="F1316" s="4">
        <f>IF(E1316="","",IF(E1316&lt;=3,6,IF(E1316&lt;=6,5,IF(E1316&lt;=9,4,IF(E1316&lt;=12,3,IF(E1316&lt;=15,2,0))))))</f>
        <v/>
      </c>
      <c r="G1316" s="3" t="n"/>
      <c r="H1316" s="4">
        <f>IF(I1316="Штраф -2",-2,IF(OR(F1316="",G1316=""),"",F1316*G1316+IF(J1316="",0,J1316)))</f>
        <v/>
      </c>
      <c r="I1316" s="3" t="n"/>
      <c r="J1316" s="3" t="n"/>
      <c r="K1316" s="3" t="n"/>
    </row>
    <row r="1317">
      <c r="A1317" s="3" t="n"/>
      <c r="B1317" s="3" t="n"/>
      <c r="C1317" s="3" t="n"/>
      <c r="D1317" s="3" t="n"/>
      <c r="E1317" s="4">
        <f>IF(A1317="","",COUNTIFS($A$4:A1317,A1317,$I$4:I1317,"&lt;&gt;Штраф -2",$I$4:I1317,"&lt;&gt;ушел на базу"))</f>
        <v/>
      </c>
      <c r="F1317" s="4">
        <f>IF(E1317="","",IF(E1317&lt;=3,6,IF(E1317&lt;=6,5,IF(E1317&lt;=9,4,IF(E1317&lt;=12,3,IF(E1317&lt;=15,2,0))))))</f>
        <v/>
      </c>
      <c r="G1317" s="3" t="n"/>
      <c r="H1317" s="4">
        <f>IF(I1317="Штраф -2",-2,IF(OR(F1317="",G1317=""),"",F1317*G1317+IF(J1317="",0,J1317)))</f>
        <v/>
      </c>
      <c r="I1317" s="3" t="n"/>
      <c r="J1317" s="3" t="n"/>
      <c r="K1317" s="3" t="n"/>
    </row>
    <row r="1318">
      <c r="A1318" s="3" t="n"/>
      <c r="B1318" s="3" t="n"/>
      <c r="C1318" s="3" t="n"/>
      <c r="D1318" s="3" t="n"/>
      <c r="E1318" s="4">
        <f>IF(A1318="","",COUNTIFS($A$4:A1318,A1318,$I$4:I1318,"&lt;&gt;Штраф -2",$I$4:I1318,"&lt;&gt;ушел на базу"))</f>
        <v/>
      </c>
      <c r="F1318" s="4">
        <f>IF(E1318="","",IF(E1318&lt;=3,6,IF(E1318&lt;=6,5,IF(E1318&lt;=9,4,IF(E1318&lt;=12,3,IF(E1318&lt;=15,2,0))))))</f>
        <v/>
      </c>
      <c r="G1318" s="3" t="n"/>
      <c r="H1318" s="4">
        <f>IF(I1318="Штраф -2",-2,IF(OR(F1318="",G1318=""),"",F1318*G1318+IF(J1318="",0,J1318)))</f>
        <v/>
      </c>
      <c r="I1318" s="3" t="n"/>
      <c r="J1318" s="3" t="n"/>
      <c r="K1318" s="3" t="n"/>
    </row>
    <row r="1319">
      <c r="A1319" s="3" t="n"/>
      <c r="B1319" s="3" t="n"/>
      <c r="C1319" s="3" t="n"/>
      <c r="D1319" s="3" t="n"/>
      <c r="E1319" s="4">
        <f>IF(A1319="","",COUNTIFS($A$4:A1319,A1319,$I$4:I1319,"&lt;&gt;Штраф -2",$I$4:I1319,"&lt;&gt;ушел на базу"))</f>
        <v/>
      </c>
      <c r="F1319" s="4">
        <f>IF(E1319="","",IF(E1319&lt;=3,6,IF(E1319&lt;=6,5,IF(E1319&lt;=9,4,IF(E1319&lt;=12,3,IF(E1319&lt;=15,2,0))))))</f>
        <v/>
      </c>
      <c r="G1319" s="3" t="n"/>
      <c r="H1319" s="4">
        <f>IF(I1319="Штраф -2",-2,IF(OR(F1319="",G1319=""),"",F1319*G1319+IF(J1319="",0,J1319)))</f>
        <v/>
      </c>
      <c r="I1319" s="3" t="n"/>
      <c r="J1319" s="3" t="n"/>
      <c r="K1319" s="3" t="n"/>
    </row>
    <row r="1320">
      <c r="A1320" s="3" t="n"/>
      <c r="B1320" s="3" t="n"/>
      <c r="C1320" s="3" t="n"/>
      <c r="D1320" s="3" t="n"/>
      <c r="E1320" s="4">
        <f>IF(A1320="","",COUNTIFS($A$4:A1320,A1320,$I$4:I1320,"&lt;&gt;Штраф -2",$I$4:I1320,"&lt;&gt;ушел на базу"))</f>
        <v/>
      </c>
      <c r="F1320" s="4">
        <f>IF(E1320="","",IF(E1320&lt;=3,6,IF(E1320&lt;=6,5,IF(E1320&lt;=9,4,IF(E1320&lt;=12,3,IF(E1320&lt;=15,2,0))))))</f>
        <v/>
      </c>
      <c r="G1320" s="3" t="n"/>
      <c r="H1320" s="4">
        <f>IF(I1320="Штраф -2",-2,IF(OR(F1320="",G1320=""),"",F1320*G1320+IF(J1320="",0,J1320)))</f>
        <v/>
      </c>
      <c r="I1320" s="3" t="n"/>
      <c r="J1320" s="3" t="n"/>
      <c r="K1320" s="3" t="n"/>
    </row>
    <row r="1321">
      <c r="A1321" s="3" t="n"/>
      <c r="B1321" s="3" t="n"/>
      <c r="C1321" s="3" t="n"/>
      <c r="D1321" s="3" t="n"/>
      <c r="E1321" s="4">
        <f>IF(A1321="","",COUNTIFS($A$4:A1321,A1321,$I$4:I1321,"&lt;&gt;Штраф -2",$I$4:I1321,"&lt;&gt;ушел на базу"))</f>
        <v/>
      </c>
      <c r="F1321" s="4">
        <f>IF(E1321="","",IF(E1321&lt;=3,6,IF(E1321&lt;=6,5,IF(E1321&lt;=9,4,IF(E1321&lt;=12,3,IF(E1321&lt;=15,2,0))))))</f>
        <v/>
      </c>
      <c r="G1321" s="3" t="n"/>
      <c r="H1321" s="4">
        <f>IF(I1321="Штраф -2",-2,IF(OR(F1321="",G1321=""),"",F1321*G1321+IF(J1321="",0,J1321)))</f>
        <v/>
      </c>
      <c r="I1321" s="3" t="n"/>
      <c r="J1321" s="3" t="n"/>
      <c r="K1321" s="3" t="n"/>
    </row>
    <row r="1322">
      <c r="A1322" s="3" t="n"/>
      <c r="B1322" s="3" t="n"/>
      <c r="C1322" s="3" t="n"/>
      <c r="D1322" s="3" t="n"/>
      <c r="E1322" s="4">
        <f>IF(A1322="","",COUNTIFS($A$4:A1322,A1322,$I$4:I1322,"&lt;&gt;Штраф -2",$I$4:I1322,"&lt;&gt;ушел на базу"))</f>
        <v/>
      </c>
      <c r="F1322" s="4">
        <f>IF(E1322="","",IF(E1322&lt;=3,6,IF(E1322&lt;=6,5,IF(E1322&lt;=9,4,IF(E1322&lt;=12,3,IF(E1322&lt;=15,2,0))))))</f>
        <v/>
      </c>
      <c r="G1322" s="3" t="n"/>
      <c r="H1322" s="4">
        <f>IF(I1322="Штраф -2",-2,IF(OR(F1322="",G1322=""),"",F1322*G1322+IF(J1322="",0,J1322)))</f>
        <v/>
      </c>
      <c r="I1322" s="3" t="n"/>
      <c r="J1322" s="3" t="n"/>
      <c r="K1322" s="3" t="n"/>
    </row>
    <row r="1323">
      <c r="A1323" s="3" t="n"/>
      <c r="B1323" s="3" t="n"/>
      <c r="C1323" s="3" t="n"/>
      <c r="D1323" s="3" t="n"/>
      <c r="E1323" s="4">
        <f>IF(A1323="","",COUNTIFS($A$4:A1323,A1323,$I$4:I1323,"&lt;&gt;Штраф -2",$I$4:I1323,"&lt;&gt;ушел на базу"))</f>
        <v/>
      </c>
      <c r="F1323" s="4">
        <f>IF(E1323="","",IF(E1323&lt;=3,6,IF(E1323&lt;=6,5,IF(E1323&lt;=9,4,IF(E1323&lt;=12,3,IF(E1323&lt;=15,2,0))))))</f>
        <v/>
      </c>
      <c r="G1323" s="3" t="n"/>
      <c r="H1323" s="4">
        <f>IF(I1323="Штраф -2",-2,IF(OR(F1323="",G1323=""),"",F1323*G1323+IF(J1323="",0,J1323)))</f>
        <v/>
      </c>
      <c r="I1323" s="3" t="n"/>
      <c r="J1323" s="3" t="n"/>
      <c r="K1323" s="3" t="n"/>
    </row>
    <row r="1324">
      <c r="A1324" s="3" t="n"/>
      <c r="B1324" s="3" t="n"/>
      <c r="C1324" s="3" t="n"/>
      <c r="D1324" s="3" t="n"/>
      <c r="E1324" s="4">
        <f>IF(A1324="","",COUNTIFS($A$4:A1324,A1324,$I$4:I1324,"&lt;&gt;Штраф -2",$I$4:I1324,"&lt;&gt;ушел на базу"))</f>
        <v/>
      </c>
      <c r="F1324" s="4">
        <f>IF(E1324="","",IF(E1324&lt;=3,6,IF(E1324&lt;=6,5,IF(E1324&lt;=9,4,IF(E1324&lt;=12,3,IF(E1324&lt;=15,2,0))))))</f>
        <v/>
      </c>
      <c r="G1324" s="3" t="n"/>
      <c r="H1324" s="4">
        <f>IF(I1324="Штраф -2",-2,IF(OR(F1324="",G1324=""),"",F1324*G1324+IF(J1324="",0,J1324)))</f>
        <v/>
      </c>
      <c r="I1324" s="3" t="n"/>
      <c r="J1324" s="3" t="n"/>
      <c r="K1324" s="3" t="n"/>
    </row>
    <row r="1325">
      <c r="A1325" s="3" t="n"/>
      <c r="B1325" s="3" t="n"/>
      <c r="C1325" s="3" t="n"/>
      <c r="D1325" s="3" t="n"/>
      <c r="E1325" s="4">
        <f>IF(A1325="","",COUNTIFS($A$4:A1325,A1325,$I$4:I1325,"&lt;&gt;Штраф -2",$I$4:I1325,"&lt;&gt;ушел на базу"))</f>
        <v/>
      </c>
      <c r="F1325" s="4">
        <f>IF(E1325="","",IF(E1325&lt;=3,6,IF(E1325&lt;=6,5,IF(E1325&lt;=9,4,IF(E1325&lt;=12,3,IF(E1325&lt;=15,2,0))))))</f>
        <v/>
      </c>
      <c r="G1325" s="3" t="n"/>
      <c r="H1325" s="4">
        <f>IF(I1325="Штраф -2",-2,IF(OR(F1325="",G1325=""),"",F1325*G1325+IF(J1325="",0,J1325)))</f>
        <v/>
      </c>
      <c r="I1325" s="3" t="n"/>
      <c r="J1325" s="3" t="n"/>
      <c r="K1325" s="3" t="n"/>
    </row>
    <row r="1326">
      <c r="A1326" s="3" t="n"/>
      <c r="B1326" s="3" t="n"/>
      <c r="C1326" s="3" t="n"/>
      <c r="D1326" s="3" t="n"/>
      <c r="E1326" s="4">
        <f>IF(A1326="","",COUNTIFS($A$4:A1326,A1326,$I$4:I1326,"&lt;&gt;Штраф -2",$I$4:I1326,"&lt;&gt;ушел на базу"))</f>
        <v/>
      </c>
      <c r="F1326" s="4">
        <f>IF(E1326="","",IF(E1326&lt;=3,6,IF(E1326&lt;=6,5,IF(E1326&lt;=9,4,IF(E1326&lt;=12,3,IF(E1326&lt;=15,2,0))))))</f>
        <v/>
      </c>
      <c r="G1326" s="3" t="n"/>
      <c r="H1326" s="4">
        <f>IF(I1326="Штраф -2",-2,IF(OR(F1326="",G1326=""),"",F1326*G1326+IF(J1326="",0,J1326)))</f>
        <v/>
      </c>
      <c r="I1326" s="3" t="n"/>
      <c r="J1326" s="3" t="n"/>
      <c r="K1326" s="3" t="n"/>
    </row>
    <row r="1327">
      <c r="A1327" s="3" t="n"/>
      <c r="B1327" s="3" t="n"/>
      <c r="C1327" s="3" t="n"/>
      <c r="D1327" s="3" t="n"/>
      <c r="E1327" s="4">
        <f>IF(A1327="","",COUNTIFS($A$4:A1327,A1327,$I$4:I1327,"&lt;&gt;Штраф -2",$I$4:I1327,"&lt;&gt;ушел на базу"))</f>
        <v/>
      </c>
      <c r="F1327" s="4">
        <f>IF(E1327="","",IF(E1327&lt;=3,6,IF(E1327&lt;=6,5,IF(E1327&lt;=9,4,IF(E1327&lt;=12,3,IF(E1327&lt;=15,2,0))))))</f>
        <v/>
      </c>
      <c r="G1327" s="3" t="n"/>
      <c r="H1327" s="4">
        <f>IF(I1327="Штраф -2",-2,IF(OR(F1327="",G1327=""),"",F1327*G1327+IF(J1327="",0,J1327)))</f>
        <v/>
      </c>
      <c r="I1327" s="3" t="n"/>
      <c r="J1327" s="3" t="n"/>
      <c r="K1327" s="3" t="n"/>
    </row>
    <row r="1328">
      <c r="A1328" s="3" t="n"/>
      <c r="B1328" s="3" t="n"/>
      <c r="C1328" s="3" t="n"/>
      <c r="D1328" s="3" t="n"/>
      <c r="E1328" s="4">
        <f>IF(A1328="","",COUNTIFS($A$4:A1328,A1328,$I$4:I1328,"&lt;&gt;Штраф -2",$I$4:I1328,"&lt;&gt;ушел на базу"))</f>
        <v/>
      </c>
      <c r="F1328" s="4">
        <f>IF(E1328="","",IF(E1328&lt;=3,6,IF(E1328&lt;=6,5,IF(E1328&lt;=9,4,IF(E1328&lt;=12,3,IF(E1328&lt;=15,2,0))))))</f>
        <v/>
      </c>
      <c r="G1328" s="3" t="n"/>
      <c r="H1328" s="4">
        <f>IF(I1328="Штраф -2",-2,IF(OR(F1328="",G1328=""),"",F1328*G1328+IF(J1328="",0,J1328)))</f>
        <v/>
      </c>
      <c r="I1328" s="3" t="n"/>
      <c r="J1328" s="3" t="n"/>
      <c r="K1328" s="3" t="n"/>
    </row>
    <row r="1329">
      <c r="A1329" s="3" t="n"/>
      <c r="B1329" s="3" t="n"/>
      <c r="C1329" s="3" t="n"/>
      <c r="D1329" s="3" t="n"/>
      <c r="E1329" s="4">
        <f>IF(A1329="","",COUNTIFS($A$4:A1329,A1329,$I$4:I1329,"&lt;&gt;Штраф -2",$I$4:I1329,"&lt;&gt;ушел на базу"))</f>
        <v/>
      </c>
      <c r="F1329" s="4">
        <f>IF(E1329="","",IF(E1329&lt;=3,6,IF(E1329&lt;=6,5,IF(E1329&lt;=9,4,IF(E1329&lt;=12,3,IF(E1329&lt;=15,2,0))))))</f>
        <v/>
      </c>
      <c r="G1329" s="3" t="n"/>
      <c r="H1329" s="4">
        <f>IF(I1329="Штраф -2",-2,IF(OR(F1329="",G1329=""),"",F1329*G1329+IF(J1329="",0,J1329)))</f>
        <v/>
      </c>
      <c r="I1329" s="3" t="n"/>
      <c r="J1329" s="3" t="n"/>
      <c r="K1329" s="3" t="n"/>
    </row>
    <row r="1330">
      <c r="A1330" s="3" t="n"/>
      <c r="B1330" s="3" t="n"/>
      <c r="C1330" s="3" t="n"/>
      <c r="D1330" s="3" t="n"/>
      <c r="E1330" s="4">
        <f>IF(A1330="","",COUNTIFS($A$4:A1330,A1330,$I$4:I1330,"&lt;&gt;Штраф -2",$I$4:I1330,"&lt;&gt;ушел на базу"))</f>
        <v/>
      </c>
      <c r="F1330" s="4">
        <f>IF(E1330="","",IF(E1330&lt;=3,6,IF(E1330&lt;=6,5,IF(E1330&lt;=9,4,IF(E1330&lt;=12,3,IF(E1330&lt;=15,2,0))))))</f>
        <v/>
      </c>
      <c r="G1330" s="3" t="n"/>
      <c r="H1330" s="4">
        <f>IF(I1330="Штраф -2",-2,IF(OR(F1330="",G1330=""),"",F1330*G1330+IF(J1330="",0,J1330)))</f>
        <v/>
      </c>
      <c r="I1330" s="3" t="n"/>
      <c r="J1330" s="3" t="n"/>
      <c r="K1330" s="3" t="n"/>
    </row>
    <row r="1331">
      <c r="A1331" s="3" t="n"/>
      <c r="B1331" s="3" t="n"/>
      <c r="C1331" s="3" t="n"/>
      <c r="D1331" s="3" t="n"/>
      <c r="E1331" s="4">
        <f>IF(A1331="","",COUNTIFS($A$4:A1331,A1331,$I$4:I1331,"&lt;&gt;Штраф -2",$I$4:I1331,"&lt;&gt;ушел на базу"))</f>
        <v/>
      </c>
      <c r="F1331" s="4">
        <f>IF(E1331="","",IF(E1331&lt;=3,6,IF(E1331&lt;=6,5,IF(E1331&lt;=9,4,IF(E1331&lt;=12,3,IF(E1331&lt;=15,2,0))))))</f>
        <v/>
      </c>
      <c r="G1331" s="3" t="n"/>
      <c r="H1331" s="4">
        <f>IF(I1331="Штраф -2",-2,IF(OR(F1331="",G1331=""),"",F1331*G1331+IF(J1331="",0,J1331)))</f>
        <v/>
      </c>
      <c r="I1331" s="3" t="n"/>
      <c r="J1331" s="3" t="n"/>
      <c r="K1331" s="3" t="n"/>
    </row>
    <row r="1332">
      <c r="A1332" s="3" t="n"/>
      <c r="B1332" s="3" t="n"/>
      <c r="C1332" s="3" t="n"/>
      <c r="D1332" s="3" t="n"/>
      <c r="E1332" s="4">
        <f>IF(A1332="","",COUNTIFS($A$4:A1332,A1332,$I$4:I1332,"&lt;&gt;Штраф -2",$I$4:I1332,"&lt;&gt;ушел на базу"))</f>
        <v/>
      </c>
      <c r="F1332" s="4">
        <f>IF(E1332="","",IF(E1332&lt;=3,6,IF(E1332&lt;=6,5,IF(E1332&lt;=9,4,IF(E1332&lt;=12,3,IF(E1332&lt;=15,2,0))))))</f>
        <v/>
      </c>
      <c r="G1332" s="3" t="n"/>
      <c r="H1332" s="4">
        <f>IF(I1332="Штраф -2",-2,IF(OR(F1332="",G1332=""),"",F1332*G1332+IF(J1332="",0,J1332)))</f>
        <v/>
      </c>
      <c r="I1332" s="3" t="n"/>
      <c r="J1332" s="3" t="n"/>
      <c r="K1332" s="3" t="n"/>
    </row>
    <row r="1333">
      <c r="A1333" s="3" t="n"/>
      <c r="B1333" s="3" t="n"/>
      <c r="C1333" s="3" t="n"/>
      <c r="D1333" s="3" t="n"/>
      <c r="E1333" s="4">
        <f>IF(A1333="","",COUNTIFS($A$4:A1333,A1333,$I$4:I1333,"&lt;&gt;Штраф -2",$I$4:I1333,"&lt;&gt;ушел на базу"))</f>
        <v/>
      </c>
      <c r="F1333" s="4">
        <f>IF(E1333="","",IF(E1333&lt;=3,6,IF(E1333&lt;=6,5,IF(E1333&lt;=9,4,IF(E1333&lt;=12,3,IF(E1333&lt;=15,2,0))))))</f>
        <v/>
      </c>
      <c r="G1333" s="3" t="n"/>
      <c r="H1333" s="4">
        <f>IF(I1333="Штраф -2",-2,IF(OR(F1333="",G1333=""),"",F1333*G1333+IF(J1333="",0,J1333)))</f>
        <v/>
      </c>
      <c r="I1333" s="3" t="n"/>
      <c r="J1333" s="3" t="n"/>
      <c r="K1333" s="3" t="n"/>
    </row>
    <row r="1334">
      <c r="A1334" s="3" t="n"/>
      <c r="B1334" s="3" t="n"/>
      <c r="C1334" s="3" t="n"/>
      <c r="D1334" s="3" t="n"/>
      <c r="E1334" s="4">
        <f>IF(A1334="","",COUNTIFS($A$4:A1334,A1334,$I$4:I1334,"&lt;&gt;Штраф -2",$I$4:I1334,"&lt;&gt;ушел на базу"))</f>
        <v/>
      </c>
      <c r="F1334" s="4">
        <f>IF(E1334="","",IF(E1334&lt;=3,6,IF(E1334&lt;=6,5,IF(E1334&lt;=9,4,IF(E1334&lt;=12,3,IF(E1334&lt;=15,2,0))))))</f>
        <v/>
      </c>
      <c r="G1334" s="3" t="n"/>
      <c r="H1334" s="4">
        <f>IF(I1334="Штраф -2",-2,IF(OR(F1334="",G1334=""),"",F1334*G1334+IF(J1334="",0,J1334)))</f>
        <v/>
      </c>
      <c r="I1334" s="3" t="n"/>
      <c r="J1334" s="3" t="n"/>
      <c r="K1334" s="3" t="n"/>
    </row>
    <row r="1335">
      <c r="A1335" s="3" t="n"/>
      <c r="B1335" s="3" t="n"/>
      <c r="C1335" s="3" t="n"/>
      <c r="D1335" s="3" t="n"/>
      <c r="E1335" s="4">
        <f>IF(A1335="","",COUNTIFS($A$4:A1335,A1335,$I$4:I1335,"&lt;&gt;Штраф -2",$I$4:I1335,"&lt;&gt;ушел на базу"))</f>
        <v/>
      </c>
      <c r="F1335" s="4">
        <f>IF(E1335="","",IF(E1335&lt;=3,6,IF(E1335&lt;=6,5,IF(E1335&lt;=9,4,IF(E1335&lt;=12,3,IF(E1335&lt;=15,2,0))))))</f>
        <v/>
      </c>
      <c r="G1335" s="3" t="n"/>
      <c r="H1335" s="4">
        <f>IF(I1335="Штраф -2",-2,IF(OR(F1335="",G1335=""),"",F1335*G1335+IF(J1335="",0,J1335)))</f>
        <v/>
      </c>
      <c r="I1335" s="3" t="n"/>
      <c r="J1335" s="3" t="n"/>
      <c r="K1335" s="3" t="n"/>
    </row>
    <row r="1336">
      <c r="A1336" s="3" t="n"/>
      <c r="B1336" s="3" t="n"/>
      <c r="C1336" s="3" t="n"/>
      <c r="D1336" s="3" t="n"/>
      <c r="E1336" s="4">
        <f>IF(A1336="","",COUNTIFS($A$4:A1336,A1336,$I$4:I1336,"&lt;&gt;Штраф -2",$I$4:I1336,"&lt;&gt;ушел на базу"))</f>
        <v/>
      </c>
      <c r="F1336" s="4">
        <f>IF(E1336="","",IF(E1336&lt;=3,6,IF(E1336&lt;=6,5,IF(E1336&lt;=9,4,IF(E1336&lt;=12,3,IF(E1336&lt;=15,2,0))))))</f>
        <v/>
      </c>
      <c r="G1336" s="3" t="n"/>
      <c r="H1336" s="4">
        <f>IF(I1336="Штраф -2",-2,IF(OR(F1336="",G1336=""),"",F1336*G1336+IF(J1336="",0,J1336)))</f>
        <v/>
      </c>
      <c r="I1336" s="3" t="n"/>
      <c r="J1336" s="3" t="n"/>
      <c r="K1336" s="3" t="n"/>
    </row>
    <row r="1337">
      <c r="A1337" s="3" t="n"/>
      <c r="B1337" s="3" t="n"/>
      <c r="C1337" s="3" t="n"/>
      <c r="D1337" s="3" t="n"/>
      <c r="E1337" s="4">
        <f>IF(A1337="","",COUNTIFS($A$4:A1337,A1337,$I$4:I1337,"&lt;&gt;Штраф -2",$I$4:I1337,"&lt;&gt;ушел на базу"))</f>
        <v/>
      </c>
      <c r="F1337" s="4">
        <f>IF(E1337="","",IF(E1337&lt;=3,6,IF(E1337&lt;=6,5,IF(E1337&lt;=9,4,IF(E1337&lt;=12,3,IF(E1337&lt;=15,2,0))))))</f>
        <v/>
      </c>
      <c r="G1337" s="3" t="n"/>
      <c r="H1337" s="4">
        <f>IF(I1337="Штраф -2",-2,IF(OR(F1337="",G1337=""),"",F1337*G1337+IF(J1337="",0,J1337)))</f>
        <v/>
      </c>
      <c r="I1337" s="3" t="n"/>
      <c r="J1337" s="3" t="n"/>
      <c r="K1337" s="3" t="n"/>
    </row>
    <row r="1338">
      <c r="A1338" s="3" t="n"/>
      <c r="B1338" s="3" t="n"/>
      <c r="C1338" s="3" t="n"/>
      <c r="D1338" s="3" t="n"/>
      <c r="E1338" s="4">
        <f>IF(A1338="","",COUNTIFS($A$4:A1338,A1338,$I$4:I1338,"&lt;&gt;Штраф -2",$I$4:I1338,"&lt;&gt;ушел на базу"))</f>
        <v/>
      </c>
      <c r="F1338" s="4">
        <f>IF(E1338="","",IF(E1338&lt;=3,6,IF(E1338&lt;=6,5,IF(E1338&lt;=9,4,IF(E1338&lt;=12,3,IF(E1338&lt;=15,2,0))))))</f>
        <v/>
      </c>
      <c r="G1338" s="3" t="n"/>
      <c r="H1338" s="4">
        <f>IF(I1338="Штраф -2",-2,IF(OR(F1338="",G1338=""),"",F1338*G1338+IF(J1338="",0,J1338)))</f>
        <v/>
      </c>
      <c r="I1338" s="3" t="n"/>
      <c r="J1338" s="3" t="n"/>
      <c r="K1338" s="3" t="n"/>
    </row>
    <row r="1339">
      <c r="A1339" s="3" t="n"/>
      <c r="B1339" s="3" t="n"/>
      <c r="C1339" s="3" t="n"/>
      <c r="D1339" s="3" t="n"/>
      <c r="E1339" s="4">
        <f>IF(A1339="","",COUNTIFS($A$4:A1339,A1339,$I$4:I1339,"&lt;&gt;Штраф -2",$I$4:I1339,"&lt;&gt;ушел на базу"))</f>
        <v/>
      </c>
      <c r="F1339" s="4">
        <f>IF(E1339="","",IF(E1339&lt;=3,6,IF(E1339&lt;=6,5,IF(E1339&lt;=9,4,IF(E1339&lt;=12,3,IF(E1339&lt;=15,2,0))))))</f>
        <v/>
      </c>
      <c r="G1339" s="3" t="n"/>
      <c r="H1339" s="4">
        <f>IF(I1339="Штраф -2",-2,IF(OR(F1339="",G1339=""),"",F1339*G1339+IF(J1339="",0,J1339)))</f>
        <v/>
      </c>
      <c r="I1339" s="3" t="n"/>
      <c r="J1339" s="3" t="n"/>
      <c r="K1339" s="3" t="n"/>
    </row>
    <row r="1340">
      <c r="A1340" s="3" t="n"/>
      <c r="B1340" s="3" t="n"/>
      <c r="C1340" s="3" t="n"/>
      <c r="D1340" s="3" t="n"/>
      <c r="E1340" s="4">
        <f>IF(A1340="","",COUNTIFS($A$4:A1340,A1340,$I$4:I1340,"&lt;&gt;Штраф -2",$I$4:I1340,"&lt;&gt;ушел на базу"))</f>
        <v/>
      </c>
      <c r="F1340" s="4">
        <f>IF(E1340="","",IF(E1340&lt;=3,6,IF(E1340&lt;=6,5,IF(E1340&lt;=9,4,IF(E1340&lt;=12,3,IF(E1340&lt;=15,2,0))))))</f>
        <v/>
      </c>
      <c r="G1340" s="3" t="n"/>
      <c r="H1340" s="4">
        <f>IF(I1340="Штраф -2",-2,IF(OR(F1340="",G1340=""),"",F1340*G1340+IF(J1340="",0,J1340)))</f>
        <v/>
      </c>
      <c r="I1340" s="3" t="n"/>
      <c r="J1340" s="3" t="n"/>
      <c r="K1340" s="3" t="n"/>
    </row>
    <row r="1341">
      <c r="A1341" s="3" t="n"/>
      <c r="B1341" s="3" t="n"/>
      <c r="C1341" s="3" t="n"/>
      <c r="D1341" s="3" t="n"/>
      <c r="E1341" s="4">
        <f>IF(A1341="","",COUNTIFS($A$4:A1341,A1341,$I$4:I1341,"&lt;&gt;Штраф -2",$I$4:I1341,"&lt;&gt;ушел на базу"))</f>
        <v/>
      </c>
      <c r="F1341" s="4">
        <f>IF(E1341="","",IF(E1341&lt;=3,6,IF(E1341&lt;=6,5,IF(E1341&lt;=9,4,IF(E1341&lt;=12,3,IF(E1341&lt;=15,2,0))))))</f>
        <v/>
      </c>
      <c r="G1341" s="3" t="n"/>
      <c r="H1341" s="4">
        <f>IF(I1341="Штраф -2",-2,IF(OR(F1341="",G1341=""),"",F1341*G1341+IF(J1341="",0,J1341)))</f>
        <v/>
      </c>
      <c r="I1341" s="3" t="n"/>
      <c r="J1341" s="3" t="n"/>
      <c r="K1341" s="3" t="n"/>
    </row>
    <row r="1342">
      <c r="A1342" s="3" t="n"/>
      <c r="B1342" s="3" t="n"/>
      <c r="C1342" s="3" t="n"/>
      <c r="D1342" s="3" t="n"/>
      <c r="E1342" s="4">
        <f>IF(A1342="","",COUNTIFS($A$4:A1342,A1342,$I$4:I1342,"&lt;&gt;Штраф -2",$I$4:I1342,"&lt;&gt;ушел на базу"))</f>
        <v/>
      </c>
      <c r="F1342" s="4">
        <f>IF(E1342="","",IF(E1342&lt;=3,6,IF(E1342&lt;=6,5,IF(E1342&lt;=9,4,IF(E1342&lt;=12,3,IF(E1342&lt;=15,2,0))))))</f>
        <v/>
      </c>
      <c r="G1342" s="3" t="n"/>
      <c r="H1342" s="4">
        <f>IF(I1342="Штраф -2",-2,IF(OR(F1342="",G1342=""),"",F1342*G1342+IF(J1342="",0,J1342)))</f>
        <v/>
      </c>
      <c r="I1342" s="3" t="n"/>
      <c r="J1342" s="3" t="n"/>
      <c r="K1342" s="3" t="n"/>
    </row>
    <row r="1343">
      <c r="A1343" s="3" t="n"/>
      <c r="B1343" s="3" t="n"/>
      <c r="C1343" s="3" t="n"/>
      <c r="D1343" s="3" t="n"/>
      <c r="E1343" s="4">
        <f>IF(A1343="","",COUNTIFS($A$4:A1343,A1343,$I$4:I1343,"&lt;&gt;Штраф -2",$I$4:I1343,"&lt;&gt;ушел на базу"))</f>
        <v/>
      </c>
      <c r="F1343" s="4">
        <f>IF(E1343="","",IF(E1343&lt;=3,6,IF(E1343&lt;=6,5,IF(E1343&lt;=9,4,IF(E1343&lt;=12,3,IF(E1343&lt;=15,2,0))))))</f>
        <v/>
      </c>
      <c r="G1343" s="3" t="n"/>
      <c r="H1343" s="4">
        <f>IF(I1343="Штраф -2",-2,IF(OR(F1343="",G1343=""),"",F1343*G1343+IF(J1343="",0,J1343)))</f>
        <v/>
      </c>
      <c r="I1343" s="3" t="n"/>
      <c r="J1343" s="3" t="n"/>
      <c r="K1343" s="3" t="n"/>
    </row>
    <row r="1344">
      <c r="A1344" s="3" t="n"/>
      <c r="B1344" s="3" t="n"/>
      <c r="C1344" s="3" t="n"/>
      <c r="D1344" s="3" t="n"/>
      <c r="E1344" s="4">
        <f>IF(A1344="","",COUNTIFS($A$4:A1344,A1344,$I$4:I1344,"&lt;&gt;Штраф -2",$I$4:I1344,"&lt;&gt;ушел на базу"))</f>
        <v/>
      </c>
      <c r="F1344" s="4">
        <f>IF(E1344="","",IF(E1344&lt;=3,6,IF(E1344&lt;=6,5,IF(E1344&lt;=9,4,IF(E1344&lt;=12,3,IF(E1344&lt;=15,2,0))))))</f>
        <v/>
      </c>
      <c r="G1344" s="3" t="n"/>
      <c r="H1344" s="4">
        <f>IF(I1344="Штраф -2",-2,IF(OR(F1344="",G1344=""),"",F1344*G1344+IF(J1344="",0,J1344)))</f>
        <v/>
      </c>
      <c r="I1344" s="3" t="n"/>
      <c r="J1344" s="3" t="n"/>
      <c r="K1344" s="3" t="n"/>
    </row>
    <row r="1345">
      <c r="A1345" s="3" t="n"/>
      <c r="B1345" s="3" t="n"/>
      <c r="C1345" s="3" t="n"/>
      <c r="D1345" s="3" t="n"/>
      <c r="E1345" s="4">
        <f>IF(A1345="","",COUNTIFS($A$4:A1345,A1345,$I$4:I1345,"&lt;&gt;Штраф -2",$I$4:I1345,"&lt;&gt;ушел на базу"))</f>
        <v/>
      </c>
      <c r="F1345" s="4">
        <f>IF(E1345="","",IF(E1345&lt;=3,6,IF(E1345&lt;=6,5,IF(E1345&lt;=9,4,IF(E1345&lt;=12,3,IF(E1345&lt;=15,2,0))))))</f>
        <v/>
      </c>
      <c r="G1345" s="3" t="n"/>
      <c r="H1345" s="4">
        <f>IF(I1345="Штраф -2",-2,IF(OR(F1345="",G1345=""),"",F1345*G1345+IF(J1345="",0,J1345)))</f>
        <v/>
      </c>
      <c r="I1345" s="3" t="n"/>
      <c r="J1345" s="3" t="n"/>
      <c r="K1345" s="3" t="n"/>
    </row>
    <row r="1346">
      <c r="A1346" s="3" t="n"/>
      <c r="B1346" s="3" t="n"/>
      <c r="C1346" s="3" t="n"/>
      <c r="D1346" s="3" t="n"/>
      <c r="E1346" s="4">
        <f>IF(A1346="","",COUNTIFS($A$4:A1346,A1346,$I$4:I1346,"&lt;&gt;Штраф -2",$I$4:I1346,"&lt;&gt;ушел на базу"))</f>
        <v/>
      </c>
      <c r="F1346" s="4">
        <f>IF(E1346="","",IF(E1346&lt;=3,6,IF(E1346&lt;=6,5,IF(E1346&lt;=9,4,IF(E1346&lt;=12,3,IF(E1346&lt;=15,2,0))))))</f>
        <v/>
      </c>
      <c r="G1346" s="3" t="n"/>
      <c r="H1346" s="4">
        <f>IF(I1346="Штраф -2",-2,IF(OR(F1346="",G1346=""),"",F1346*G1346+IF(J1346="",0,J1346)))</f>
        <v/>
      </c>
      <c r="I1346" s="3" t="n"/>
      <c r="J1346" s="3" t="n"/>
      <c r="K1346" s="3" t="n"/>
    </row>
    <row r="1347">
      <c r="A1347" s="3" t="n"/>
      <c r="B1347" s="3" t="n"/>
      <c r="C1347" s="3" t="n"/>
      <c r="D1347" s="3" t="n"/>
      <c r="E1347" s="4">
        <f>IF(A1347="","",COUNTIFS($A$4:A1347,A1347,$I$4:I1347,"&lt;&gt;Штраф -2",$I$4:I1347,"&lt;&gt;ушел на базу"))</f>
        <v/>
      </c>
      <c r="F1347" s="4">
        <f>IF(E1347="","",IF(E1347&lt;=3,6,IF(E1347&lt;=6,5,IF(E1347&lt;=9,4,IF(E1347&lt;=12,3,IF(E1347&lt;=15,2,0))))))</f>
        <v/>
      </c>
      <c r="G1347" s="3" t="n"/>
      <c r="H1347" s="4">
        <f>IF(I1347="Штраф -2",-2,IF(OR(F1347="",G1347=""),"",F1347*G1347+IF(J1347="",0,J1347)))</f>
        <v/>
      </c>
      <c r="I1347" s="3" t="n"/>
      <c r="J1347" s="3" t="n"/>
      <c r="K1347" s="3" t="n"/>
    </row>
    <row r="1348">
      <c r="A1348" s="3" t="n"/>
      <c r="B1348" s="3" t="n"/>
      <c r="C1348" s="3" t="n"/>
      <c r="D1348" s="3" t="n"/>
      <c r="E1348" s="4">
        <f>IF(A1348="","",COUNTIFS($A$4:A1348,A1348,$I$4:I1348,"&lt;&gt;Штраф -2",$I$4:I1348,"&lt;&gt;ушел на базу"))</f>
        <v/>
      </c>
      <c r="F1348" s="4">
        <f>IF(E1348="","",IF(E1348&lt;=3,6,IF(E1348&lt;=6,5,IF(E1348&lt;=9,4,IF(E1348&lt;=12,3,IF(E1348&lt;=15,2,0))))))</f>
        <v/>
      </c>
      <c r="G1348" s="3" t="n"/>
      <c r="H1348" s="4">
        <f>IF(I1348="Штраф -2",-2,IF(OR(F1348="",G1348=""),"",F1348*G1348+IF(J1348="",0,J1348)))</f>
        <v/>
      </c>
      <c r="I1348" s="3" t="n"/>
      <c r="J1348" s="3" t="n"/>
      <c r="K1348" s="3" t="n"/>
    </row>
    <row r="1349">
      <c r="A1349" s="3" t="n"/>
      <c r="B1349" s="3" t="n"/>
      <c r="C1349" s="3" t="n"/>
      <c r="D1349" s="3" t="n"/>
      <c r="E1349" s="4">
        <f>IF(A1349="","",COUNTIFS($A$4:A1349,A1349,$I$4:I1349,"&lt;&gt;Штраф -2",$I$4:I1349,"&lt;&gt;ушел на базу"))</f>
        <v/>
      </c>
      <c r="F1349" s="4">
        <f>IF(E1349="","",IF(E1349&lt;=3,6,IF(E1349&lt;=6,5,IF(E1349&lt;=9,4,IF(E1349&lt;=12,3,IF(E1349&lt;=15,2,0))))))</f>
        <v/>
      </c>
      <c r="G1349" s="3" t="n"/>
      <c r="H1349" s="4">
        <f>IF(I1349="Штраф -2",-2,IF(OR(F1349="",G1349=""),"",F1349*G1349+IF(J1349="",0,J1349)))</f>
        <v/>
      </c>
      <c r="I1349" s="3" t="n"/>
      <c r="J1349" s="3" t="n"/>
      <c r="K1349" s="3" t="n"/>
    </row>
    <row r="1350">
      <c r="A1350" s="3" t="n"/>
      <c r="B1350" s="3" t="n"/>
      <c r="C1350" s="3" t="n"/>
      <c r="D1350" s="3" t="n"/>
      <c r="E1350" s="4">
        <f>IF(A1350="","",COUNTIFS($A$4:A1350,A1350,$I$4:I1350,"&lt;&gt;Штраф -2",$I$4:I1350,"&lt;&gt;ушел на базу"))</f>
        <v/>
      </c>
      <c r="F1350" s="4">
        <f>IF(E1350="","",IF(E1350&lt;=3,6,IF(E1350&lt;=6,5,IF(E1350&lt;=9,4,IF(E1350&lt;=12,3,IF(E1350&lt;=15,2,0))))))</f>
        <v/>
      </c>
      <c r="G1350" s="3" t="n"/>
      <c r="H1350" s="4">
        <f>IF(I1350="Штраф -2",-2,IF(OR(F1350="",G1350=""),"",F1350*G1350+IF(J1350="",0,J1350)))</f>
        <v/>
      </c>
      <c r="I1350" s="3" t="n"/>
      <c r="J1350" s="3" t="n"/>
      <c r="K1350" s="3" t="n"/>
    </row>
    <row r="1351">
      <c r="A1351" s="3" t="n"/>
      <c r="B1351" s="3" t="n"/>
      <c r="C1351" s="3" t="n"/>
      <c r="D1351" s="3" t="n"/>
      <c r="E1351" s="4">
        <f>IF(A1351="","",COUNTIFS($A$4:A1351,A1351,$I$4:I1351,"&lt;&gt;Штраф -2",$I$4:I1351,"&lt;&gt;ушел на базу"))</f>
        <v/>
      </c>
      <c r="F1351" s="4">
        <f>IF(E1351="","",IF(E1351&lt;=3,6,IF(E1351&lt;=6,5,IF(E1351&lt;=9,4,IF(E1351&lt;=12,3,IF(E1351&lt;=15,2,0))))))</f>
        <v/>
      </c>
      <c r="G1351" s="3" t="n"/>
      <c r="H1351" s="4">
        <f>IF(I1351="Штраф -2",-2,IF(OR(F1351="",G1351=""),"",F1351*G1351+IF(J1351="",0,J1351)))</f>
        <v/>
      </c>
      <c r="I1351" s="3" t="n"/>
      <c r="J1351" s="3" t="n"/>
      <c r="K1351" s="3" t="n"/>
    </row>
    <row r="1352">
      <c r="A1352" s="3" t="n"/>
      <c r="B1352" s="3" t="n"/>
      <c r="C1352" s="3" t="n"/>
      <c r="D1352" s="3" t="n"/>
      <c r="E1352" s="4">
        <f>IF(A1352="","",COUNTIFS($A$4:A1352,A1352,$I$4:I1352,"&lt;&gt;Штраф -2",$I$4:I1352,"&lt;&gt;ушел на базу"))</f>
        <v/>
      </c>
      <c r="F1352" s="4">
        <f>IF(E1352="","",IF(E1352&lt;=3,6,IF(E1352&lt;=6,5,IF(E1352&lt;=9,4,IF(E1352&lt;=12,3,IF(E1352&lt;=15,2,0))))))</f>
        <v/>
      </c>
      <c r="G1352" s="3" t="n"/>
      <c r="H1352" s="4">
        <f>IF(I1352="Штраф -2",-2,IF(OR(F1352="",G1352=""),"",F1352*G1352+IF(J1352="",0,J1352)))</f>
        <v/>
      </c>
      <c r="I1352" s="3" t="n"/>
      <c r="J1352" s="3" t="n"/>
      <c r="K1352" s="3" t="n"/>
    </row>
    <row r="1353">
      <c r="A1353" s="3" t="n"/>
      <c r="B1353" s="3" t="n"/>
      <c r="C1353" s="3" t="n"/>
      <c r="D1353" s="3" t="n"/>
      <c r="E1353" s="4">
        <f>IF(A1353="","",COUNTIFS($A$4:A1353,A1353,$I$4:I1353,"&lt;&gt;Штраф -2",$I$4:I1353,"&lt;&gt;ушел на базу"))</f>
        <v/>
      </c>
      <c r="F1353" s="4">
        <f>IF(E1353="","",IF(E1353&lt;=3,6,IF(E1353&lt;=6,5,IF(E1353&lt;=9,4,IF(E1353&lt;=12,3,IF(E1353&lt;=15,2,0))))))</f>
        <v/>
      </c>
      <c r="G1353" s="3" t="n"/>
      <c r="H1353" s="4">
        <f>IF(I1353="Штраф -2",-2,IF(OR(F1353="",G1353=""),"",F1353*G1353+IF(J1353="",0,J1353)))</f>
        <v/>
      </c>
      <c r="I1353" s="3" t="n"/>
      <c r="J1353" s="3" t="n"/>
      <c r="K1353" s="3" t="n"/>
    </row>
    <row r="1354">
      <c r="A1354" s="3" t="n"/>
      <c r="B1354" s="3" t="n"/>
      <c r="C1354" s="3" t="n"/>
      <c r="D1354" s="3" t="n"/>
      <c r="E1354" s="4">
        <f>IF(A1354="","",COUNTIFS($A$4:A1354,A1354,$I$4:I1354,"&lt;&gt;Штраф -2",$I$4:I1354,"&lt;&gt;ушел на базу"))</f>
        <v/>
      </c>
      <c r="F1354" s="4">
        <f>IF(E1354="","",IF(E1354&lt;=3,6,IF(E1354&lt;=6,5,IF(E1354&lt;=9,4,IF(E1354&lt;=12,3,IF(E1354&lt;=15,2,0))))))</f>
        <v/>
      </c>
      <c r="G1354" s="3" t="n"/>
      <c r="H1354" s="4">
        <f>IF(I1354="Штраф -2",-2,IF(OR(F1354="",G1354=""),"",F1354*G1354+IF(J1354="",0,J1354)))</f>
        <v/>
      </c>
      <c r="I1354" s="3" t="n"/>
      <c r="J1354" s="3" t="n"/>
      <c r="K1354" s="3" t="n"/>
    </row>
    <row r="1355">
      <c r="A1355" s="3" t="n"/>
      <c r="B1355" s="3" t="n"/>
      <c r="C1355" s="3" t="n"/>
      <c r="D1355" s="3" t="n"/>
      <c r="E1355" s="4">
        <f>IF(A1355="","",COUNTIFS($A$4:A1355,A1355,$I$4:I1355,"&lt;&gt;Штраф -2",$I$4:I1355,"&lt;&gt;ушел на базу"))</f>
        <v/>
      </c>
      <c r="F1355" s="4">
        <f>IF(E1355="","",IF(E1355&lt;=3,6,IF(E1355&lt;=6,5,IF(E1355&lt;=9,4,IF(E1355&lt;=12,3,IF(E1355&lt;=15,2,0))))))</f>
        <v/>
      </c>
      <c r="G1355" s="3" t="n"/>
      <c r="H1355" s="4">
        <f>IF(I1355="Штраф -2",-2,IF(OR(F1355="",G1355=""),"",F1355*G1355+IF(J1355="",0,J1355)))</f>
        <v/>
      </c>
      <c r="I1355" s="3" t="n"/>
      <c r="J1355" s="3" t="n"/>
      <c r="K1355" s="3" t="n"/>
    </row>
    <row r="1356">
      <c r="A1356" s="3" t="n"/>
      <c r="B1356" s="3" t="n"/>
      <c r="C1356" s="3" t="n"/>
      <c r="D1356" s="3" t="n"/>
      <c r="E1356" s="4">
        <f>IF(A1356="","",COUNTIFS($A$4:A1356,A1356,$I$4:I1356,"&lt;&gt;Штраф -2",$I$4:I1356,"&lt;&gt;ушел на базу"))</f>
        <v/>
      </c>
      <c r="F1356" s="4">
        <f>IF(E1356="","",IF(E1356&lt;=3,6,IF(E1356&lt;=6,5,IF(E1356&lt;=9,4,IF(E1356&lt;=12,3,IF(E1356&lt;=15,2,0))))))</f>
        <v/>
      </c>
      <c r="G1356" s="3" t="n"/>
      <c r="H1356" s="4">
        <f>IF(I1356="Штраф -2",-2,IF(OR(F1356="",G1356=""),"",F1356*G1356+IF(J1356="",0,J1356)))</f>
        <v/>
      </c>
      <c r="I1356" s="3" t="n"/>
      <c r="J1356" s="3" t="n"/>
      <c r="K1356" s="3" t="n"/>
    </row>
    <row r="1357">
      <c r="A1357" s="3" t="n"/>
      <c r="B1357" s="3" t="n"/>
      <c r="C1357" s="3" t="n"/>
      <c r="D1357" s="3" t="n"/>
      <c r="E1357" s="4">
        <f>IF(A1357="","",COUNTIFS($A$4:A1357,A1357,$I$4:I1357,"&lt;&gt;Штраф -2",$I$4:I1357,"&lt;&gt;ушел на базу"))</f>
        <v/>
      </c>
      <c r="F1357" s="4">
        <f>IF(E1357="","",IF(E1357&lt;=3,6,IF(E1357&lt;=6,5,IF(E1357&lt;=9,4,IF(E1357&lt;=12,3,IF(E1357&lt;=15,2,0))))))</f>
        <v/>
      </c>
      <c r="G1357" s="3" t="n"/>
      <c r="H1357" s="4">
        <f>IF(I1357="Штраф -2",-2,IF(OR(F1357="",G1357=""),"",F1357*G1357+IF(J1357="",0,J1357)))</f>
        <v/>
      </c>
      <c r="I1357" s="3" t="n"/>
      <c r="J1357" s="3" t="n"/>
      <c r="K1357" s="3" t="n"/>
    </row>
    <row r="1358">
      <c r="A1358" s="3" t="n"/>
      <c r="B1358" s="3" t="n"/>
      <c r="C1358" s="3" t="n"/>
      <c r="D1358" s="3" t="n"/>
      <c r="E1358" s="4">
        <f>IF(A1358="","",COUNTIFS($A$4:A1358,A1358,$I$4:I1358,"&lt;&gt;Штраф -2",$I$4:I1358,"&lt;&gt;ушел на базу"))</f>
        <v/>
      </c>
      <c r="F1358" s="4">
        <f>IF(E1358="","",IF(E1358&lt;=3,6,IF(E1358&lt;=6,5,IF(E1358&lt;=9,4,IF(E1358&lt;=12,3,IF(E1358&lt;=15,2,0))))))</f>
        <v/>
      </c>
      <c r="G1358" s="3" t="n"/>
      <c r="H1358" s="4">
        <f>IF(I1358="Штраф -2",-2,IF(OR(F1358="",G1358=""),"",F1358*G1358+IF(J1358="",0,J1358)))</f>
        <v/>
      </c>
      <c r="I1358" s="3" t="n"/>
      <c r="J1358" s="3" t="n"/>
      <c r="K1358" s="3" t="n"/>
    </row>
    <row r="1359">
      <c r="A1359" s="3" t="n"/>
      <c r="B1359" s="3" t="n"/>
      <c r="C1359" s="3" t="n"/>
      <c r="D1359" s="3" t="n"/>
      <c r="E1359" s="4">
        <f>IF(A1359="","",COUNTIFS($A$4:A1359,A1359,$I$4:I1359,"&lt;&gt;Штраф -2",$I$4:I1359,"&lt;&gt;ушел на базу"))</f>
        <v/>
      </c>
      <c r="F1359" s="4">
        <f>IF(E1359="","",IF(E1359&lt;=3,6,IF(E1359&lt;=6,5,IF(E1359&lt;=9,4,IF(E1359&lt;=12,3,IF(E1359&lt;=15,2,0))))))</f>
        <v/>
      </c>
      <c r="G1359" s="3" t="n"/>
      <c r="H1359" s="4">
        <f>IF(I1359="Штраф -2",-2,IF(OR(F1359="",G1359=""),"",F1359*G1359+IF(J1359="",0,J1359)))</f>
        <v/>
      </c>
      <c r="I1359" s="3" t="n"/>
      <c r="J1359" s="3" t="n"/>
      <c r="K1359" s="3" t="n"/>
    </row>
    <row r="1360">
      <c r="A1360" s="3" t="n"/>
      <c r="B1360" s="3" t="n"/>
      <c r="C1360" s="3" t="n"/>
      <c r="D1360" s="3" t="n"/>
      <c r="E1360" s="4">
        <f>IF(A1360="","",COUNTIFS($A$4:A1360,A1360,$I$4:I1360,"&lt;&gt;Штраф -2",$I$4:I1360,"&lt;&gt;ушел на базу"))</f>
        <v/>
      </c>
      <c r="F1360" s="4">
        <f>IF(E1360="","",IF(E1360&lt;=3,6,IF(E1360&lt;=6,5,IF(E1360&lt;=9,4,IF(E1360&lt;=12,3,IF(E1360&lt;=15,2,0))))))</f>
        <v/>
      </c>
      <c r="G1360" s="3" t="n"/>
      <c r="H1360" s="4">
        <f>IF(I1360="Штраф -2",-2,IF(OR(F1360="",G1360=""),"",F1360*G1360+IF(J1360="",0,J1360)))</f>
        <v/>
      </c>
      <c r="I1360" s="3" t="n"/>
      <c r="J1360" s="3" t="n"/>
      <c r="K1360" s="3" t="n"/>
    </row>
    <row r="1361">
      <c r="A1361" s="3" t="n"/>
      <c r="B1361" s="3" t="n"/>
      <c r="C1361" s="3" t="n"/>
      <c r="D1361" s="3" t="n"/>
      <c r="E1361" s="4">
        <f>IF(A1361="","",COUNTIFS($A$4:A1361,A1361,$I$4:I1361,"&lt;&gt;Штраф -2",$I$4:I1361,"&lt;&gt;ушел на базу"))</f>
        <v/>
      </c>
      <c r="F1361" s="4">
        <f>IF(E1361="","",IF(E1361&lt;=3,6,IF(E1361&lt;=6,5,IF(E1361&lt;=9,4,IF(E1361&lt;=12,3,IF(E1361&lt;=15,2,0))))))</f>
        <v/>
      </c>
      <c r="G1361" s="3" t="n"/>
      <c r="H1361" s="4">
        <f>IF(I1361="Штраф -2",-2,IF(OR(F1361="",G1361=""),"",F1361*G1361+IF(J1361="",0,J1361)))</f>
        <v/>
      </c>
      <c r="I1361" s="3" t="n"/>
      <c r="J1361" s="3" t="n"/>
      <c r="K1361" s="3" t="n"/>
    </row>
    <row r="1362">
      <c r="A1362" s="3" t="n"/>
      <c r="B1362" s="3" t="n"/>
      <c r="C1362" s="3" t="n"/>
      <c r="D1362" s="3" t="n"/>
      <c r="E1362" s="4">
        <f>IF(A1362="","",COUNTIFS($A$4:A1362,A1362,$I$4:I1362,"&lt;&gt;Штраф -2",$I$4:I1362,"&lt;&gt;ушел на базу"))</f>
        <v/>
      </c>
      <c r="F1362" s="4">
        <f>IF(E1362="","",IF(E1362&lt;=3,6,IF(E1362&lt;=6,5,IF(E1362&lt;=9,4,IF(E1362&lt;=12,3,IF(E1362&lt;=15,2,0))))))</f>
        <v/>
      </c>
      <c r="G1362" s="3" t="n"/>
      <c r="H1362" s="4">
        <f>IF(I1362="Штраф -2",-2,IF(OR(F1362="",G1362=""),"",F1362*G1362+IF(J1362="",0,J1362)))</f>
        <v/>
      </c>
      <c r="I1362" s="3" t="n"/>
      <c r="J1362" s="3" t="n"/>
      <c r="K1362" s="3" t="n"/>
    </row>
    <row r="1363">
      <c r="A1363" s="3" t="n"/>
      <c r="B1363" s="3" t="n"/>
      <c r="C1363" s="3" t="n"/>
      <c r="D1363" s="3" t="n"/>
      <c r="E1363" s="4">
        <f>IF(A1363="","",COUNTIFS($A$4:A1363,A1363,$I$4:I1363,"&lt;&gt;Штраф -2",$I$4:I1363,"&lt;&gt;ушел на базу"))</f>
        <v/>
      </c>
      <c r="F1363" s="4">
        <f>IF(E1363="","",IF(E1363&lt;=3,6,IF(E1363&lt;=6,5,IF(E1363&lt;=9,4,IF(E1363&lt;=12,3,IF(E1363&lt;=15,2,0))))))</f>
        <v/>
      </c>
      <c r="G1363" s="3" t="n"/>
      <c r="H1363" s="4">
        <f>IF(I1363="Штраф -2",-2,IF(OR(F1363="",G1363=""),"",F1363*G1363+IF(J1363="",0,J1363)))</f>
        <v/>
      </c>
      <c r="I1363" s="3" t="n"/>
      <c r="J1363" s="3" t="n"/>
      <c r="K1363" s="3" t="n"/>
    </row>
    <row r="1364">
      <c r="A1364" s="3" t="n"/>
      <c r="B1364" s="3" t="n"/>
      <c r="C1364" s="3" t="n"/>
      <c r="D1364" s="3" t="n"/>
      <c r="E1364" s="4">
        <f>IF(A1364="","",COUNTIFS($A$4:A1364,A1364,$I$4:I1364,"&lt;&gt;Штраф -2",$I$4:I1364,"&lt;&gt;ушел на базу"))</f>
        <v/>
      </c>
      <c r="F1364" s="4">
        <f>IF(E1364="","",IF(E1364&lt;=3,6,IF(E1364&lt;=6,5,IF(E1364&lt;=9,4,IF(E1364&lt;=12,3,IF(E1364&lt;=15,2,0))))))</f>
        <v/>
      </c>
      <c r="G1364" s="3" t="n"/>
      <c r="H1364" s="4">
        <f>IF(I1364="Штраф -2",-2,IF(OR(F1364="",G1364=""),"",F1364*G1364+IF(J1364="",0,J1364)))</f>
        <v/>
      </c>
      <c r="I1364" s="3" t="n"/>
      <c r="J1364" s="3" t="n"/>
      <c r="K1364" s="3" t="n"/>
    </row>
    <row r="1365">
      <c r="A1365" s="3" t="n"/>
      <c r="B1365" s="3" t="n"/>
      <c r="C1365" s="3" t="n"/>
      <c r="D1365" s="3" t="n"/>
      <c r="E1365" s="4">
        <f>IF(A1365="","",COUNTIFS($A$4:A1365,A1365,$I$4:I1365,"&lt;&gt;Штраф -2",$I$4:I1365,"&lt;&gt;ушел на базу"))</f>
        <v/>
      </c>
      <c r="F1365" s="4">
        <f>IF(E1365="","",IF(E1365&lt;=3,6,IF(E1365&lt;=6,5,IF(E1365&lt;=9,4,IF(E1365&lt;=12,3,IF(E1365&lt;=15,2,0))))))</f>
        <v/>
      </c>
      <c r="G1365" s="3" t="n"/>
      <c r="H1365" s="4">
        <f>IF(I1365="Штраф -2",-2,IF(OR(F1365="",G1365=""),"",F1365*G1365+IF(J1365="",0,J1365)))</f>
        <v/>
      </c>
      <c r="I1365" s="3" t="n"/>
      <c r="J1365" s="3" t="n"/>
      <c r="K1365" s="3" t="n"/>
    </row>
    <row r="1366">
      <c r="A1366" s="3" t="n"/>
      <c r="B1366" s="3" t="n"/>
      <c r="C1366" s="3" t="n"/>
      <c r="D1366" s="3" t="n"/>
      <c r="E1366" s="4">
        <f>IF(A1366="","",COUNTIFS($A$4:A1366,A1366,$I$4:I1366,"&lt;&gt;Штраф -2",$I$4:I1366,"&lt;&gt;ушел на базу"))</f>
        <v/>
      </c>
      <c r="F1366" s="4">
        <f>IF(E1366="","",IF(E1366&lt;=3,6,IF(E1366&lt;=6,5,IF(E1366&lt;=9,4,IF(E1366&lt;=12,3,IF(E1366&lt;=15,2,0))))))</f>
        <v/>
      </c>
      <c r="G1366" s="3" t="n"/>
      <c r="H1366" s="4">
        <f>IF(I1366="Штраф -2",-2,IF(OR(F1366="",G1366=""),"",F1366*G1366+IF(J1366="",0,J1366)))</f>
        <v/>
      </c>
      <c r="I1366" s="3" t="n"/>
      <c r="J1366" s="3" t="n"/>
      <c r="K1366" s="3" t="n"/>
    </row>
    <row r="1367">
      <c r="A1367" s="3" t="n"/>
      <c r="B1367" s="3" t="n"/>
      <c r="C1367" s="3" t="n"/>
      <c r="D1367" s="3" t="n"/>
      <c r="E1367" s="4">
        <f>IF(A1367="","",COUNTIFS($A$4:A1367,A1367,$I$4:I1367,"&lt;&gt;Штраф -2",$I$4:I1367,"&lt;&gt;ушел на базу"))</f>
        <v/>
      </c>
      <c r="F1367" s="4">
        <f>IF(E1367="","",IF(E1367&lt;=3,6,IF(E1367&lt;=6,5,IF(E1367&lt;=9,4,IF(E1367&lt;=12,3,IF(E1367&lt;=15,2,0))))))</f>
        <v/>
      </c>
      <c r="G1367" s="3" t="n"/>
      <c r="H1367" s="4">
        <f>IF(I1367="Штраф -2",-2,IF(OR(F1367="",G1367=""),"",F1367*G1367+IF(J1367="",0,J1367)))</f>
        <v/>
      </c>
      <c r="I1367" s="3" t="n"/>
      <c r="J1367" s="3" t="n"/>
      <c r="K1367" s="3" t="n"/>
    </row>
    <row r="1368">
      <c r="A1368" s="3" t="n"/>
      <c r="B1368" s="3" t="n"/>
      <c r="C1368" s="3" t="n"/>
      <c r="D1368" s="3" t="n"/>
      <c r="E1368" s="4">
        <f>IF(A1368="","",COUNTIFS($A$4:A1368,A1368,$I$4:I1368,"&lt;&gt;Штраф -2",$I$4:I1368,"&lt;&gt;ушел на базу"))</f>
        <v/>
      </c>
      <c r="F1368" s="4">
        <f>IF(E1368="","",IF(E1368&lt;=3,6,IF(E1368&lt;=6,5,IF(E1368&lt;=9,4,IF(E1368&lt;=12,3,IF(E1368&lt;=15,2,0))))))</f>
        <v/>
      </c>
      <c r="G1368" s="3" t="n"/>
      <c r="H1368" s="4">
        <f>IF(I1368="Штраф -2",-2,IF(OR(F1368="",G1368=""),"",F1368*G1368+IF(J1368="",0,J1368)))</f>
        <v/>
      </c>
      <c r="I1368" s="3" t="n"/>
      <c r="J1368" s="3" t="n"/>
      <c r="K1368" s="3" t="n"/>
    </row>
    <row r="1369">
      <c r="A1369" s="3" t="n"/>
      <c r="B1369" s="3" t="n"/>
      <c r="C1369" s="3" t="n"/>
      <c r="D1369" s="3" t="n"/>
      <c r="E1369" s="4">
        <f>IF(A1369="","",COUNTIFS($A$4:A1369,A1369,$I$4:I1369,"&lt;&gt;Штраф -2",$I$4:I1369,"&lt;&gt;ушел на базу"))</f>
        <v/>
      </c>
      <c r="F1369" s="4">
        <f>IF(E1369="","",IF(E1369&lt;=3,6,IF(E1369&lt;=6,5,IF(E1369&lt;=9,4,IF(E1369&lt;=12,3,IF(E1369&lt;=15,2,0))))))</f>
        <v/>
      </c>
      <c r="G1369" s="3" t="n"/>
      <c r="H1369" s="4">
        <f>IF(I1369="Штраф -2",-2,IF(OR(F1369="",G1369=""),"",F1369*G1369+IF(J1369="",0,J1369)))</f>
        <v/>
      </c>
      <c r="I1369" s="3" t="n"/>
      <c r="J1369" s="3" t="n"/>
      <c r="K1369" s="3" t="n"/>
    </row>
    <row r="1370">
      <c r="A1370" s="3" t="n"/>
      <c r="B1370" s="3" t="n"/>
      <c r="C1370" s="3" t="n"/>
      <c r="D1370" s="3" t="n"/>
      <c r="E1370" s="4">
        <f>IF(A1370="","",COUNTIFS($A$4:A1370,A1370,$I$4:I1370,"&lt;&gt;Штраф -2",$I$4:I1370,"&lt;&gt;ушел на базу"))</f>
        <v/>
      </c>
      <c r="F1370" s="4">
        <f>IF(E1370="","",IF(E1370&lt;=3,6,IF(E1370&lt;=6,5,IF(E1370&lt;=9,4,IF(E1370&lt;=12,3,IF(E1370&lt;=15,2,0))))))</f>
        <v/>
      </c>
      <c r="G1370" s="3" t="n"/>
      <c r="H1370" s="4">
        <f>IF(I1370="Штраф -2",-2,IF(OR(F1370="",G1370=""),"",F1370*G1370+IF(J1370="",0,J1370)))</f>
        <v/>
      </c>
      <c r="I1370" s="3" t="n"/>
      <c r="J1370" s="3" t="n"/>
      <c r="K1370" s="3" t="n"/>
    </row>
    <row r="1371">
      <c r="A1371" s="3" t="n"/>
      <c r="B1371" s="3" t="n"/>
      <c r="C1371" s="3" t="n"/>
      <c r="D1371" s="3" t="n"/>
      <c r="E1371" s="4">
        <f>IF(A1371="","",COUNTIFS($A$4:A1371,A1371,$I$4:I1371,"&lt;&gt;Штраф -2",$I$4:I1371,"&lt;&gt;ушел на базу"))</f>
        <v/>
      </c>
      <c r="F1371" s="4">
        <f>IF(E1371="","",IF(E1371&lt;=3,6,IF(E1371&lt;=6,5,IF(E1371&lt;=9,4,IF(E1371&lt;=12,3,IF(E1371&lt;=15,2,0))))))</f>
        <v/>
      </c>
      <c r="G1371" s="3" t="n"/>
      <c r="H1371" s="4">
        <f>IF(I1371="Штраф -2",-2,IF(OR(F1371="",G1371=""),"",F1371*G1371+IF(J1371="",0,J1371)))</f>
        <v/>
      </c>
      <c r="I1371" s="3" t="n"/>
      <c r="J1371" s="3" t="n"/>
      <c r="K1371" s="3" t="n"/>
    </row>
    <row r="1372">
      <c r="A1372" s="3" t="n"/>
      <c r="B1372" s="3" t="n"/>
      <c r="C1372" s="3" t="n"/>
      <c r="D1372" s="3" t="n"/>
      <c r="E1372" s="4">
        <f>IF(A1372="","",COUNTIFS($A$4:A1372,A1372,$I$4:I1372,"&lt;&gt;Штраф -2",$I$4:I1372,"&lt;&gt;ушел на базу"))</f>
        <v/>
      </c>
      <c r="F1372" s="4">
        <f>IF(E1372="","",IF(E1372&lt;=3,6,IF(E1372&lt;=6,5,IF(E1372&lt;=9,4,IF(E1372&lt;=12,3,IF(E1372&lt;=15,2,0))))))</f>
        <v/>
      </c>
      <c r="G1372" s="3" t="n"/>
      <c r="H1372" s="4">
        <f>IF(I1372="Штраф -2",-2,IF(OR(F1372="",G1372=""),"",F1372*G1372+IF(J1372="",0,J1372)))</f>
        <v/>
      </c>
      <c r="I1372" s="3" t="n"/>
      <c r="J1372" s="3" t="n"/>
      <c r="K1372" s="3" t="n"/>
    </row>
    <row r="1373">
      <c r="A1373" s="3" t="n"/>
      <c r="B1373" s="3" t="n"/>
      <c r="C1373" s="3" t="n"/>
      <c r="D1373" s="3" t="n"/>
      <c r="E1373" s="4">
        <f>IF(A1373="","",COUNTIFS($A$4:A1373,A1373,$I$4:I1373,"&lt;&gt;Штраф -2",$I$4:I1373,"&lt;&gt;ушел на базу"))</f>
        <v/>
      </c>
      <c r="F1373" s="4">
        <f>IF(E1373="","",IF(E1373&lt;=3,6,IF(E1373&lt;=6,5,IF(E1373&lt;=9,4,IF(E1373&lt;=12,3,IF(E1373&lt;=15,2,0))))))</f>
        <v/>
      </c>
      <c r="G1373" s="3" t="n"/>
      <c r="H1373" s="4">
        <f>IF(I1373="Штраф -2",-2,IF(OR(F1373="",G1373=""),"",F1373*G1373+IF(J1373="",0,J1373)))</f>
        <v/>
      </c>
      <c r="I1373" s="3" t="n"/>
      <c r="J1373" s="3" t="n"/>
      <c r="K1373" s="3" t="n"/>
    </row>
    <row r="1374">
      <c r="A1374" s="3" t="n"/>
      <c r="B1374" s="3" t="n"/>
      <c r="C1374" s="3" t="n"/>
      <c r="D1374" s="3" t="n"/>
      <c r="E1374" s="4">
        <f>IF(A1374="","",COUNTIFS($A$4:A1374,A1374,$I$4:I1374,"&lt;&gt;Штраф -2",$I$4:I1374,"&lt;&gt;ушел на базу"))</f>
        <v/>
      </c>
      <c r="F1374" s="4">
        <f>IF(E1374="","",IF(E1374&lt;=3,6,IF(E1374&lt;=6,5,IF(E1374&lt;=9,4,IF(E1374&lt;=12,3,IF(E1374&lt;=15,2,0))))))</f>
        <v/>
      </c>
      <c r="G1374" s="3" t="n"/>
      <c r="H1374" s="4">
        <f>IF(I1374="Штраф -2",-2,IF(OR(F1374="",G1374=""),"",F1374*G1374+IF(J1374="",0,J1374)))</f>
        <v/>
      </c>
      <c r="I1374" s="3" t="n"/>
      <c r="J1374" s="3" t="n"/>
      <c r="K1374" s="3" t="n"/>
    </row>
    <row r="1375">
      <c r="A1375" s="3" t="n"/>
      <c r="B1375" s="3" t="n"/>
      <c r="C1375" s="3" t="n"/>
      <c r="D1375" s="3" t="n"/>
      <c r="E1375" s="4">
        <f>IF(A1375="","",COUNTIFS($A$4:A1375,A1375,$I$4:I1375,"&lt;&gt;Штраф -2",$I$4:I1375,"&lt;&gt;ушел на базу"))</f>
        <v/>
      </c>
      <c r="F1375" s="4">
        <f>IF(E1375="","",IF(E1375&lt;=3,6,IF(E1375&lt;=6,5,IF(E1375&lt;=9,4,IF(E1375&lt;=12,3,IF(E1375&lt;=15,2,0))))))</f>
        <v/>
      </c>
      <c r="G1375" s="3" t="n"/>
      <c r="H1375" s="4">
        <f>IF(I1375="Штраф -2",-2,IF(OR(F1375="",G1375=""),"",F1375*G1375+IF(J1375="",0,J1375)))</f>
        <v/>
      </c>
      <c r="I1375" s="3" t="n"/>
      <c r="J1375" s="3" t="n"/>
      <c r="K1375" s="3" t="n"/>
    </row>
    <row r="1376">
      <c r="A1376" s="3" t="n"/>
      <c r="B1376" s="3" t="n"/>
      <c r="C1376" s="3" t="n"/>
      <c r="D1376" s="3" t="n"/>
      <c r="E1376" s="4">
        <f>IF(A1376="","",COUNTIFS($A$4:A1376,A1376,$I$4:I1376,"&lt;&gt;Штраф -2",$I$4:I1376,"&lt;&gt;ушел на базу"))</f>
        <v/>
      </c>
      <c r="F1376" s="4">
        <f>IF(E1376="","",IF(E1376&lt;=3,6,IF(E1376&lt;=6,5,IF(E1376&lt;=9,4,IF(E1376&lt;=12,3,IF(E1376&lt;=15,2,0))))))</f>
        <v/>
      </c>
      <c r="G1376" s="3" t="n"/>
      <c r="H1376" s="4">
        <f>IF(I1376="Штраф -2",-2,IF(OR(F1376="",G1376=""),"",F1376*G1376+IF(J1376="",0,J1376)))</f>
        <v/>
      </c>
      <c r="I1376" s="3" t="n"/>
      <c r="J1376" s="3" t="n"/>
      <c r="K1376" s="3" t="n"/>
    </row>
    <row r="1377">
      <c r="A1377" s="3" t="n"/>
      <c r="B1377" s="3" t="n"/>
      <c r="C1377" s="3" t="n"/>
      <c r="D1377" s="3" t="n"/>
      <c r="E1377" s="4">
        <f>IF(A1377="","",COUNTIFS($A$4:A1377,A1377,$I$4:I1377,"&lt;&gt;Штраф -2",$I$4:I1377,"&lt;&gt;ушел на базу"))</f>
        <v/>
      </c>
      <c r="F1377" s="4">
        <f>IF(E1377="","",IF(E1377&lt;=3,6,IF(E1377&lt;=6,5,IF(E1377&lt;=9,4,IF(E1377&lt;=12,3,IF(E1377&lt;=15,2,0))))))</f>
        <v/>
      </c>
      <c r="G1377" s="3" t="n"/>
      <c r="H1377" s="4">
        <f>IF(I1377="Штраф -2",-2,IF(OR(F1377="",G1377=""),"",F1377*G1377+IF(J1377="",0,J1377)))</f>
        <v/>
      </c>
      <c r="I1377" s="3" t="n"/>
      <c r="J1377" s="3" t="n"/>
      <c r="K1377" s="3" t="n"/>
    </row>
    <row r="1378">
      <c r="A1378" s="3" t="n"/>
      <c r="B1378" s="3" t="n"/>
      <c r="C1378" s="3" t="n"/>
      <c r="D1378" s="3" t="n"/>
      <c r="E1378" s="4">
        <f>IF(A1378="","",COUNTIFS($A$4:A1378,A1378,$I$4:I1378,"&lt;&gt;Штраф -2",$I$4:I1378,"&lt;&gt;ушел на базу"))</f>
        <v/>
      </c>
      <c r="F1378" s="4">
        <f>IF(E1378="","",IF(E1378&lt;=3,6,IF(E1378&lt;=6,5,IF(E1378&lt;=9,4,IF(E1378&lt;=12,3,IF(E1378&lt;=15,2,0))))))</f>
        <v/>
      </c>
      <c r="G1378" s="3" t="n"/>
      <c r="H1378" s="4">
        <f>IF(I1378="Штраф -2",-2,IF(OR(F1378="",G1378=""),"",F1378*G1378+IF(J1378="",0,J1378)))</f>
        <v/>
      </c>
      <c r="I1378" s="3" t="n"/>
      <c r="J1378" s="3" t="n"/>
      <c r="K1378" s="3" t="n"/>
    </row>
    <row r="1379">
      <c r="A1379" s="3" t="n"/>
      <c r="B1379" s="3" t="n"/>
      <c r="C1379" s="3" t="n"/>
      <c r="D1379" s="3" t="n"/>
      <c r="E1379" s="4">
        <f>IF(A1379="","",COUNTIFS($A$4:A1379,A1379,$I$4:I1379,"&lt;&gt;Штраф -2",$I$4:I1379,"&lt;&gt;ушел на базу"))</f>
        <v/>
      </c>
      <c r="F1379" s="4">
        <f>IF(E1379="","",IF(E1379&lt;=3,6,IF(E1379&lt;=6,5,IF(E1379&lt;=9,4,IF(E1379&lt;=12,3,IF(E1379&lt;=15,2,0))))))</f>
        <v/>
      </c>
      <c r="G1379" s="3" t="n"/>
      <c r="H1379" s="4">
        <f>IF(I1379="Штраф -2",-2,IF(OR(F1379="",G1379=""),"",F1379*G1379+IF(J1379="",0,J1379)))</f>
        <v/>
      </c>
      <c r="I1379" s="3" t="n"/>
      <c r="J1379" s="3" t="n"/>
      <c r="K1379" s="3" t="n"/>
    </row>
    <row r="1380">
      <c r="A1380" s="3" t="n"/>
      <c r="B1380" s="3" t="n"/>
      <c r="C1380" s="3" t="n"/>
      <c r="D1380" s="3" t="n"/>
      <c r="E1380" s="4">
        <f>IF(A1380="","",COUNTIFS($A$4:A1380,A1380,$I$4:I1380,"&lt;&gt;Штраф -2",$I$4:I1380,"&lt;&gt;ушел на базу"))</f>
        <v/>
      </c>
      <c r="F1380" s="4">
        <f>IF(E1380="","",IF(E1380&lt;=3,6,IF(E1380&lt;=6,5,IF(E1380&lt;=9,4,IF(E1380&lt;=12,3,IF(E1380&lt;=15,2,0))))))</f>
        <v/>
      </c>
      <c r="G1380" s="3" t="n"/>
      <c r="H1380" s="4">
        <f>IF(I1380="Штраф -2",-2,IF(OR(F1380="",G1380=""),"",F1380*G1380+IF(J1380="",0,J1380)))</f>
        <v/>
      </c>
      <c r="I1380" s="3" t="n"/>
      <c r="J1380" s="3" t="n"/>
      <c r="K1380" s="3" t="n"/>
    </row>
    <row r="1381">
      <c r="A1381" s="3" t="n"/>
      <c r="B1381" s="3" t="n"/>
      <c r="C1381" s="3" t="n"/>
      <c r="D1381" s="3" t="n"/>
      <c r="E1381" s="4">
        <f>IF(A1381="","",COUNTIFS($A$4:A1381,A1381,$I$4:I1381,"&lt;&gt;Штраф -2",$I$4:I1381,"&lt;&gt;ушел на базу"))</f>
        <v/>
      </c>
      <c r="F1381" s="4">
        <f>IF(E1381="","",IF(E1381&lt;=3,6,IF(E1381&lt;=6,5,IF(E1381&lt;=9,4,IF(E1381&lt;=12,3,IF(E1381&lt;=15,2,0))))))</f>
        <v/>
      </c>
      <c r="G1381" s="3" t="n"/>
      <c r="H1381" s="4">
        <f>IF(I1381="Штраф -2",-2,IF(OR(F1381="",G1381=""),"",F1381*G1381+IF(J1381="",0,J1381)))</f>
        <v/>
      </c>
      <c r="I1381" s="3" t="n"/>
      <c r="J1381" s="3" t="n"/>
      <c r="K1381" s="3" t="n"/>
    </row>
    <row r="1382">
      <c r="A1382" s="3" t="n"/>
      <c r="B1382" s="3" t="n"/>
      <c r="C1382" s="3" t="n"/>
      <c r="D1382" s="3" t="n"/>
      <c r="E1382" s="4">
        <f>IF(A1382="","",COUNTIFS($A$4:A1382,A1382,$I$4:I1382,"&lt;&gt;Штраф -2",$I$4:I1382,"&lt;&gt;ушел на базу"))</f>
        <v/>
      </c>
      <c r="F1382" s="4">
        <f>IF(E1382="","",IF(E1382&lt;=3,6,IF(E1382&lt;=6,5,IF(E1382&lt;=9,4,IF(E1382&lt;=12,3,IF(E1382&lt;=15,2,0))))))</f>
        <v/>
      </c>
      <c r="G1382" s="3" t="n"/>
      <c r="H1382" s="4">
        <f>IF(I1382="Штраф -2",-2,IF(OR(F1382="",G1382=""),"",F1382*G1382+IF(J1382="",0,J1382)))</f>
        <v/>
      </c>
      <c r="I1382" s="3" t="n"/>
      <c r="J1382" s="3" t="n"/>
      <c r="K1382" s="3" t="n"/>
    </row>
    <row r="1383">
      <c r="A1383" s="3" t="n"/>
      <c r="B1383" s="3" t="n"/>
      <c r="C1383" s="3" t="n"/>
      <c r="D1383" s="3" t="n"/>
      <c r="E1383" s="4">
        <f>IF(A1383="","",COUNTIFS($A$4:A1383,A1383,$I$4:I1383,"&lt;&gt;Штраф -2",$I$4:I1383,"&lt;&gt;ушел на базу"))</f>
        <v/>
      </c>
      <c r="F1383" s="4">
        <f>IF(E1383="","",IF(E1383&lt;=3,6,IF(E1383&lt;=6,5,IF(E1383&lt;=9,4,IF(E1383&lt;=12,3,IF(E1383&lt;=15,2,0))))))</f>
        <v/>
      </c>
      <c r="G1383" s="3" t="n"/>
      <c r="H1383" s="4">
        <f>IF(I1383="Штраф -2",-2,IF(OR(F1383="",G1383=""),"",F1383*G1383+IF(J1383="",0,J1383)))</f>
        <v/>
      </c>
      <c r="I1383" s="3" t="n"/>
      <c r="J1383" s="3" t="n"/>
      <c r="K1383" s="3" t="n"/>
    </row>
    <row r="1384">
      <c r="A1384" s="3" t="n"/>
      <c r="B1384" s="3" t="n"/>
      <c r="C1384" s="3" t="n"/>
      <c r="D1384" s="3" t="n"/>
      <c r="E1384" s="4">
        <f>IF(A1384="","",COUNTIFS($A$4:A1384,A1384,$I$4:I1384,"&lt;&gt;Штраф -2",$I$4:I1384,"&lt;&gt;ушел на базу"))</f>
        <v/>
      </c>
      <c r="F1384" s="4">
        <f>IF(E1384="","",IF(E1384&lt;=3,6,IF(E1384&lt;=6,5,IF(E1384&lt;=9,4,IF(E1384&lt;=12,3,IF(E1384&lt;=15,2,0))))))</f>
        <v/>
      </c>
      <c r="G1384" s="3" t="n"/>
      <c r="H1384" s="4">
        <f>IF(I1384="Штраф -2",-2,IF(OR(F1384="",G1384=""),"",F1384*G1384+IF(J1384="",0,J1384)))</f>
        <v/>
      </c>
      <c r="I1384" s="3" t="n"/>
      <c r="J1384" s="3" t="n"/>
      <c r="K1384" s="3" t="n"/>
    </row>
    <row r="1385">
      <c r="A1385" s="3" t="n"/>
      <c r="B1385" s="3" t="n"/>
      <c r="C1385" s="3" t="n"/>
      <c r="D1385" s="3" t="n"/>
      <c r="E1385" s="4">
        <f>IF(A1385="","",COUNTIFS($A$4:A1385,A1385,$I$4:I1385,"&lt;&gt;Штраф -2",$I$4:I1385,"&lt;&gt;ушел на базу"))</f>
        <v/>
      </c>
      <c r="F1385" s="4">
        <f>IF(E1385="","",IF(E1385&lt;=3,6,IF(E1385&lt;=6,5,IF(E1385&lt;=9,4,IF(E1385&lt;=12,3,IF(E1385&lt;=15,2,0))))))</f>
        <v/>
      </c>
      <c r="G1385" s="3" t="n"/>
      <c r="H1385" s="4">
        <f>IF(I1385="Штраф -2",-2,IF(OR(F1385="",G1385=""),"",F1385*G1385+IF(J1385="",0,J1385)))</f>
        <v/>
      </c>
      <c r="I1385" s="3" t="n"/>
      <c r="J1385" s="3" t="n"/>
      <c r="K1385" s="3" t="n"/>
    </row>
    <row r="1386">
      <c r="A1386" s="3" t="n"/>
      <c r="B1386" s="3" t="n"/>
      <c r="C1386" s="3" t="n"/>
      <c r="D1386" s="3" t="n"/>
      <c r="E1386" s="4">
        <f>IF(A1386="","",COUNTIFS($A$4:A1386,A1386,$I$4:I1386,"&lt;&gt;Штраф -2",$I$4:I1386,"&lt;&gt;ушел на базу"))</f>
        <v/>
      </c>
      <c r="F1386" s="4">
        <f>IF(E1386="","",IF(E1386&lt;=3,6,IF(E1386&lt;=6,5,IF(E1386&lt;=9,4,IF(E1386&lt;=12,3,IF(E1386&lt;=15,2,0))))))</f>
        <v/>
      </c>
      <c r="G1386" s="3" t="n"/>
      <c r="H1386" s="4">
        <f>IF(I1386="Штраф -2",-2,IF(OR(F1386="",G1386=""),"",F1386*G1386+IF(J1386="",0,J1386)))</f>
        <v/>
      </c>
      <c r="I1386" s="3" t="n"/>
      <c r="J1386" s="3" t="n"/>
      <c r="K1386" s="3" t="n"/>
    </row>
    <row r="1387">
      <c r="A1387" s="3" t="n"/>
      <c r="B1387" s="3" t="n"/>
      <c r="C1387" s="3" t="n"/>
      <c r="D1387" s="3" t="n"/>
      <c r="E1387" s="4">
        <f>IF(A1387="","",COUNTIFS($A$4:A1387,A1387,$I$4:I1387,"&lt;&gt;Штраф -2",$I$4:I1387,"&lt;&gt;ушел на базу"))</f>
        <v/>
      </c>
      <c r="F1387" s="4">
        <f>IF(E1387="","",IF(E1387&lt;=3,6,IF(E1387&lt;=6,5,IF(E1387&lt;=9,4,IF(E1387&lt;=12,3,IF(E1387&lt;=15,2,0))))))</f>
        <v/>
      </c>
      <c r="G1387" s="3" t="n"/>
      <c r="H1387" s="4">
        <f>IF(I1387="Штраф -2",-2,IF(OR(F1387="",G1387=""),"",F1387*G1387+IF(J1387="",0,J1387)))</f>
        <v/>
      </c>
      <c r="I1387" s="3" t="n"/>
      <c r="J1387" s="3" t="n"/>
      <c r="K1387" s="3" t="n"/>
    </row>
    <row r="1388">
      <c r="A1388" s="3" t="n"/>
      <c r="B1388" s="3" t="n"/>
      <c r="C1388" s="3" t="n"/>
      <c r="D1388" s="3" t="n"/>
      <c r="E1388" s="4">
        <f>IF(A1388="","",COUNTIFS($A$4:A1388,A1388,$I$4:I1388,"&lt;&gt;Штраф -2",$I$4:I1388,"&lt;&gt;ушел на базу"))</f>
        <v/>
      </c>
      <c r="F1388" s="4">
        <f>IF(E1388="","",IF(E1388&lt;=3,6,IF(E1388&lt;=6,5,IF(E1388&lt;=9,4,IF(E1388&lt;=12,3,IF(E1388&lt;=15,2,0))))))</f>
        <v/>
      </c>
      <c r="G1388" s="3" t="n"/>
      <c r="H1388" s="4">
        <f>IF(I1388="Штраф -2",-2,IF(OR(F1388="",G1388=""),"",F1388*G1388+IF(J1388="",0,J1388)))</f>
        <v/>
      </c>
      <c r="I1388" s="3" t="n"/>
      <c r="J1388" s="3" t="n"/>
      <c r="K1388" s="3" t="n"/>
    </row>
    <row r="1389">
      <c r="A1389" s="3" t="n"/>
      <c r="B1389" s="3" t="n"/>
      <c r="C1389" s="3" t="n"/>
      <c r="D1389" s="3" t="n"/>
      <c r="E1389" s="4">
        <f>IF(A1389="","",COUNTIFS($A$4:A1389,A1389,$I$4:I1389,"&lt;&gt;Штраф -2",$I$4:I1389,"&lt;&gt;ушел на базу"))</f>
        <v/>
      </c>
      <c r="F1389" s="4">
        <f>IF(E1389="","",IF(E1389&lt;=3,6,IF(E1389&lt;=6,5,IF(E1389&lt;=9,4,IF(E1389&lt;=12,3,IF(E1389&lt;=15,2,0))))))</f>
        <v/>
      </c>
      <c r="G1389" s="3" t="n"/>
      <c r="H1389" s="4">
        <f>IF(I1389="Штраф -2",-2,IF(OR(F1389="",G1389=""),"",F1389*G1389+IF(J1389="",0,J1389)))</f>
        <v/>
      </c>
      <c r="I1389" s="3" t="n"/>
      <c r="J1389" s="3" t="n"/>
      <c r="K1389" s="3" t="n"/>
    </row>
    <row r="1390">
      <c r="A1390" s="3" t="n"/>
      <c r="B1390" s="3" t="n"/>
      <c r="C1390" s="3" t="n"/>
      <c r="D1390" s="3" t="n"/>
      <c r="E1390" s="4">
        <f>IF(A1390="","",COUNTIFS($A$4:A1390,A1390,$I$4:I1390,"&lt;&gt;Штраф -2",$I$4:I1390,"&lt;&gt;ушел на базу"))</f>
        <v/>
      </c>
      <c r="F1390" s="4">
        <f>IF(E1390="","",IF(E1390&lt;=3,6,IF(E1390&lt;=6,5,IF(E1390&lt;=9,4,IF(E1390&lt;=12,3,IF(E1390&lt;=15,2,0))))))</f>
        <v/>
      </c>
      <c r="G1390" s="3" t="n"/>
      <c r="H1390" s="4">
        <f>IF(I1390="Штраф -2",-2,IF(OR(F1390="",G1390=""),"",F1390*G1390+IF(J1390="",0,J1390)))</f>
        <v/>
      </c>
      <c r="I1390" s="3" t="n"/>
      <c r="J1390" s="3" t="n"/>
      <c r="K1390" s="3" t="n"/>
    </row>
    <row r="1391">
      <c r="A1391" s="3" t="n"/>
      <c r="B1391" s="3" t="n"/>
      <c r="C1391" s="3" t="n"/>
      <c r="D1391" s="3" t="n"/>
      <c r="E1391" s="4">
        <f>IF(A1391="","",COUNTIFS($A$4:A1391,A1391,$I$4:I1391,"&lt;&gt;Штраф -2",$I$4:I1391,"&lt;&gt;ушел на базу"))</f>
        <v/>
      </c>
      <c r="F1391" s="4">
        <f>IF(E1391="","",IF(E1391&lt;=3,6,IF(E1391&lt;=6,5,IF(E1391&lt;=9,4,IF(E1391&lt;=12,3,IF(E1391&lt;=15,2,0))))))</f>
        <v/>
      </c>
      <c r="G1391" s="3" t="n"/>
      <c r="H1391" s="4">
        <f>IF(I1391="Штраф -2",-2,IF(OR(F1391="",G1391=""),"",F1391*G1391+IF(J1391="",0,J1391)))</f>
        <v/>
      </c>
      <c r="I1391" s="3" t="n"/>
      <c r="J1391" s="3" t="n"/>
      <c r="K1391" s="3" t="n"/>
    </row>
    <row r="1392">
      <c r="A1392" s="3" t="n"/>
      <c r="B1392" s="3" t="n"/>
      <c r="C1392" s="3" t="n"/>
      <c r="D1392" s="3" t="n"/>
      <c r="E1392" s="4">
        <f>IF(A1392="","",COUNTIFS($A$4:A1392,A1392,$I$4:I1392,"&lt;&gt;Штраф -2",$I$4:I1392,"&lt;&gt;ушел на базу"))</f>
        <v/>
      </c>
      <c r="F1392" s="4">
        <f>IF(E1392="","",IF(E1392&lt;=3,6,IF(E1392&lt;=6,5,IF(E1392&lt;=9,4,IF(E1392&lt;=12,3,IF(E1392&lt;=15,2,0))))))</f>
        <v/>
      </c>
      <c r="G1392" s="3" t="n"/>
      <c r="H1392" s="4">
        <f>IF(I1392="Штраф -2",-2,IF(OR(F1392="",G1392=""),"",F1392*G1392+IF(J1392="",0,J1392)))</f>
        <v/>
      </c>
      <c r="I1392" s="3" t="n"/>
      <c r="J1392" s="3" t="n"/>
      <c r="K1392" s="3" t="n"/>
    </row>
    <row r="1393">
      <c r="A1393" s="3" t="n"/>
      <c r="B1393" s="3" t="n"/>
      <c r="C1393" s="3" t="n"/>
      <c r="D1393" s="3" t="n"/>
      <c r="E1393" s="4">
        <f>IF(A1393="","",COUNTIFS($A$4:A1393,A1393,$I$4:I1393,"&lt;&gt;Штраф -2",$I$4:I1393,"&lt;&gt;ушел на базу"))</f>
        <v/>
      </c>
      <c r="F1393" s="4">
        <f>IF(E1393="","",IF(E1393&lt;=3,6,IF(E1393&lt;=6,5,IF(E1393&lt;=9,4,IF(E1393&lt;=12,3,IF(E1393&lt;=15,2,0))))))</f>
        <v/>
      </c>
      <c r="G1393" s="3" t="n"/>
      <c r="H1393" s="4">
        <f>IF(I1393="Штраф -2",-2,IF(OR(F1393="",G1393=""),"",F1393*G1393+IF(J1393="",0,J1393)))</f>
        <v/>
      </c>
      <c r="I1393" s="3" t="n"/>
      <c r="J1393" s="3" t="n"/>
      <c r="K1393" s="3" t="n"/>
    </row>
    <row r="1394">
      <c r="A1394" s="3" t="n"/>
      <c r="B1394" s="3" t="n"/>
      <c r="C1394" s="3" t="n"/>
      <c r="D1394" s="3" t="n"/>
      <c r="E1394" s="4">
        <f>IF(A1394="","",COUNTIFS($A$4:A1394,A1394,$I$4:I1394,"&lt;&gt;Штраф -2",$I$4:I1394,"&lt;&gt;ушел на базу"))</f>
        <v/>
      </c>
      <c r="F1394" s="4">
        <f>IF(E1394="","",IF(E1394&lt;=3,6,IF(E1394&lt;=6,5,IF(E1394&lt;=9,4,IF(E1394&lt;=12,3,IF(E1394&lt;=15,2,0))))))</f>
        <v/>
      </c>
      <c r="G1394" s="3" t="n"/>
      <c r="H1394" s="4">
        <f>IF(I1394="Штраф -2",-2,IF(OR(F1394="",G1394=""),"",F1394*G1394+IF(J1394="",0,J1394)))</f>
        <v/>
      </c>
      <c r="I1394" s="3" t="n"/>
      <c r="J1394" s="3" t="n"/>
      <c r="K1394" s="3" t="n"/>
    </row>
    <row r="1395">
      <c r="A1395" s="3" t="n"/>
      <c r="B1395" s="3" t="n"/>
      <c r="C1395" s="3" t="n"/>
      <c r="D1395" s="3" t="n"/>
      <c r="E1395" s="4">
        <f>IF(A1395="","",COUNTIFS($A$4:A1395,A1395,$I$4:I1395,"&lt;&gt;Штраф -2",$I$4:I1395,"&lt;&gt;ушел на базу"))</f>
        <v/>
      </c>
      <c r="F1395" s="4">
        <f>IF(E1395="","",IF(E1395&lt;=3,6,IF(E1395&lt;=6,5,IF(E1395&lt;=9,4,IF(E1395&lt;=12,3,IF(E1395&lt;=15,2,0))))))</f>
        <v/>
      </c>
      <c r="G1395" s="3" t="n"/>
      <c r="H1395" s="4">
        <f>IF(I1395="Штраф -2",-2,IF(OR(F1395="",G1395=""),"",F1395*G1395+IF(J1395="",0,J1395)))</f>
        <v/>
      </c>
      <c r="I1395" s="3" t="n"/>
      <c r="J1395" s="3" t="n"/>
      <c r="K1395" s="3" t="n"/>
    </row>
    <row r="1396">
      <c r="A1396" s="3" t="n"/>
      <c r="B1396" s="3" t="n"/>
      <c r="C1396" s="3" t="n"/>
      <c r="D1396" s="3" t="n"/>
      <c r="E1396" s="4">
        <f>IF(A1396="","",COUNTIFS($A$4:A1396,A1396,$I$4:I1396,"&lt;&gt;Штраф -2",$I$4:I1396,"&lt;&gt;ушел на базу"))</f>
        <v/>
      </c>
      <c r="F1396" s="4">
        <f>IF(E1396="","",IF(E1396&lt;=3,6,IF(E1396&lt;=6,5,IF(E1396&lt;=9,4,IF(E1396&lt;=12,3,IF(E1396&lt;=15,2,0))))))</f>
        <v/>
      </c>
      <c r="G1396" s="3" t="n"/>
      <c r="H1396" s="4">
        <f>IF(I1396="Штраф -2",-2,IF(OR(F1396="",G1396=""),"",F1396*G1396+IF(J1396="",0,J1396)))</f>
        <v/>
      </c>
      <c r="I1396" s="3" t="n"/>
      <c r="J1396" s="3" t="n"/>
      <c r="K1396" s="3" t="n"/>
    </row>
    <row r="1397">
      <c r="A1397" s="3" t="n"/>
      <c r="B1397" s="3" t="n"/>
      <c r="C1397" s="3" t="n"/>
      <c r="D1397" s="3" t="n"/>
      <c r="E1397" s="4">
        <f>IF(A1397="","",COUNTIFS($A$4:A1397,A1397,$I$4:I1397,"&lt;&gt;Штраф -2",$I$4:I1397,"&lt;&gt;ушел на базу"))</f>
        <v/>
      </c>
      <c r="F1397" s="4">
        <f>IF(E1397="","",IF(E1397&lt;=3,6,IF(E1397&lt;=6,5,IF(E1397&lt;=9,4,IF(E1397&lt;=12,3,IF(E1397&lt;=15,2,0))))))</f>
        <v/>
      </c>
      <c r="G1397" s="3" t="n"/>
      <c r="H1397" s="4">
        <f>IF(I1397="Штраф -2",-2,IF(OR(F1397="",G1397=""),"",F1397*G1397+IF(J1397="",0,J1397)))</f>
        <v/>
      </c>
      <c r="I1397" s="3" t="n"/>
      <c r="J1397" s="3" t="n"/>
      <c r="K1397" s="3" t="n"/>
    </row>
    <row r="1398">
      <c r="A1398" s="3" t="n"/>
      <c r="B1398" s="3" t="n"/>
      <c r="C1398" s="3" t="n"/>
      <c r="D1398" s="3" t="n"/>
      <c r="E1398" s="4">
        <f>IF(A1398="","",COUNTIFS($A$4:A1398,A1398,$I$4:I1398,"&lt;&gt;Штраф -2",$I$4:I1398,"&lt;&gt;ушел на базу"))</f>
        <v/>
      </c>
      <c r="F1398" s="4">
        <f>IF(E1398="","",IF(E1398&lt;=3,6,IF(E1398&lt;=6,5,IF(E1398&lt;=9,4,IF(E1398&lt;=12,3,IF(E1398&lt;=15,2,0))))))</f>
        <v/>
      </c>
      <c r="G1398" s="3" t="n"/>
      <c r="H1398" s="4">
        <f>IF(I1398="Штраф -2",-2,IF(OR(F1398="",G1398=""),"",F1398*G1398+IF(J1398="",0,J1398)))</f>
        <v/>
      </c>
      <c r="I1398" s="3" t="n"/>
      <c r="J1398" s="3" t="n"/>
      <c r="K1398" s="3" t="n"/>
    </row>
    <row r="1399">
      <c r="A1399" s="3" t="n"/>
      <c r="B1399" s="3" t="n"/>
      <c r="C1399" s="3" t="n"/>
      <c r="D1399" s="3" t="n"/>
      <c r="E1399" s="4">
        <f>IF(A1399="","",COUNTIFS($A$4:A1399,A1399,$I$4:I1399,"&lt;&gt;Штраф -2",$I$4:I1399,"&lt;&gt;ушел на базу"))</f>
        <v/>
      </c>
      <c r="F1399" s="4">
        <f>IF(E1399="","",IF(E1399&lt;=3,6,IF(E1399&lt;=6,5,IF(E1399&lt;=9,4,IF(E1399&lt;=12,3,IF(E1399&lt;=15,2,0))))))</f>
        <v/>
      </c>
      <c r="G1399" s="3" t="n"/>
      <c r="H1399" s="4">
        <f>IF(I1399="Штраф -2",-2,IF(OR(F1399="",G1399=""),"",F1399*G1399+IF(J1399="",0,J1399)))</f>
        <v/>
      </c>
      <c r="I1399" s="3" t="n"/>
      <c r="J1399" s="3" t="n"/>
      <c r="K1399" s="3" t="n"/>
    </row>
    <row r="1400">
      <c r="A1400" s="3" t="n"/>
      <c r="B1400" s="3" t="n"/>
      <c r="C1400" s="3" t="n"/>
      <c r="D1400" s="3" t="n"/>
      <c r="E1400" s="4">
        <f>IF(A1400="","",COUNTIFS($A$4:A1400,A1400,$I$4:I1400,"&lt;&gt;Штраф -2",$I$4:I1400,"&lt;&gt;ушел на базу"))</f>
        <v/>
      </c>
      <c r="F1400" s="4">
        <f>IF(E1400="","",IF(E1400&lt;=3,6,IF(E1400&lt;=6,5,IF(E1400&lt;=9,4,IF(E1400&lt;=12,3,IF(E1400&lt;=15,2,0))))))</f>
        <v/>
      </c>
      <c r="G1400" s="3" t="n"/>
      <c r="H1400" s="4">
        <f>IF(I1400="Штраф -2",-2,IF(OR(F1400="",G1400=""),"",F1400*G1400+IF(J1400="",0,J1400)))</f>
        <v/>
      </c>
      <c r="I1400" s="3" t="n"/>
      <c r="J1400" s="3" t="n"/>
      <c r="K1400" s="3" t="n"/>
    </row>
    <row r="1401">
      <c r="A1401" s="3" t="n"/>
      <c r="B1401" s="3" t="n"/>
      <c r="C1401" s="3" t="n"/>
      <c r="D1401" s="3" t="n"/>
      <c r="E1401" s="4">
        <f>IF(A1401="","",COUNTIFS($A$4:A1401,A1401,$I$4:I1401,"&lt;&gt;Штраф -2",$I$4:I1401,"&lt;&gt;ушел на базу"))</f>
        <v/>
      </c>
      <c r="F1401" s="4">
        <f>IF(E1401="","",IF(E1401&lt;=3,6,IF(E1401&lt;=6,5,IF(E1401&lt;=9,4,IF(E1401&lt;=12,3,IF(E1401&lt;=15,2,0))))))</f>
        <v/>
      </c>
      <c r="G1401" s="3" t="n"/>
      <c r="H1401" s="4">
        <f>IF(I1401="Штраф -2",-2,IF(OR(F1401="",G1401=""),"",F1401*G1401+IF(J1401="",0,J1401)))</f>
        <v/>
      </c>
      <c r="I1401" s="3" t="n"/>
      <c r="J1401" s="3" t="n"/>
      <c r="K1401" s="3" t="n"/>
    </row>
    <row r="1402">
      <c r="A1402" s="3" t="n"/>
      <c r="B1402" s="3" t="n"/>
      <c r="C1402" s="3" t="n"/>
      <c r="D1402" s="3" t="n"/>
      <c r="E1402" s="4">
        <f>IF(A1402="","",COUNTIFS($A$4:A1402,A1402,$I$4:I1402,"&lt;&gt;Штраф -2",$I$4:I1402,"&lt;&gt;ушел на базу"))</f>
        <v/>
      </c>
      <c r="F1402" s="4">
        <f>IF(E1402="","",IF(E1402&lt;=3,6,IF(E1402&lt;=6,5,IF(E1402&lt;=9,4,IF(E1402&lt;=12,3,IF(E1402&lt;=15,2,0))))))</f>
        <v/>
      </c>
      <c r="G1402" s="3" t="n"/>
      <c r="H1402" s="4">
        <f>IF(I1402="Штраф -2",-2,IF(OR(F1402="",G1402=""),"",F1402*G1402+IF(J1402="",0,J1402)))</f>
        <v/>
      </c>
      <c r="I1402" s="3" t="n"/>
      <c r="J1402" s="3" t="n"/>
      <c r="K1402" s="3" t="n"/>
    </row>
    <row r="1403">
      <c r="A1403" s="3" t="n"/>
      <c r="B1403" s="3" t="n"/>
      <c r="C1403" s="3" t="n"/>
      <c r="D1403" s="3" t="n"/>
      <c r="E1403" s="4">
        <f>IF(A1403="","",COUNTIFS($A$4:A1403,A1403,$I$4:I1403,"&lt;&gt;Штраф -2",$I$4:I1403,"&lt;&gt;ушел на базу"))</f>
        <v/>
      </c>
      <c r="F1403" s="4">
        <f>IF(E1403="","",IF(E1403&lt;=3,6,IF(E1403&lt;=6,5,IF(E1403&lt;=9,4,IF(E1403&lt;=12,3,IF(E1403&lt;=15,2,0))))))</f>
        <v/>
      </c>
      <c r="G1403" s="3" t="n"/>
      <c r="H1403" s="4">
        <f>IF(I1403="Штраф -2",-2,IF(OR(F1403="",G1403=""),"",F1403*G1403+IF(J1403="",0,J1403)))</f>
        <v/>
      </c>
      <c r="I1403" s="3" t="n"/>
      <c r="J1403" s="3" t="n"/>
      <c r="K1403" s="3" t="n"/>
    </row>
    <row r="1404">
      <c r="A1404" s="3" t="n"/>
      <c r="B1404" s="3" t="n"/>
      <c r="C1404" s="3" t="n"/>
      <c r="D1404" s="3" t="n"/>
      <c r="E1404" s="4">
        <f>IF(A1404="","",COUNTIFS($A$4:A1404,A1404,$I$4:I1404,"&lt;&gt;Штраф -2",$I$4:I1404,"&lt;&gt;ушел на базу"))</f>
        <v/>
      </c>
      <c r="F1404" s="4">
        <f>IF(E1404="","",IF(E1404&lt;=3,6,IF(E1404&lt;=6,5,IF(E1404&lt;=9,4,IF(E1404&lt;=12,3,IF(E1404&lt;=15,2,0))))))</f>
        <v/>
      </c>
      <c r="G1404" s="3" t="n"/>
      <c r="H1404" s="4">
        <f>IF(I1404="Штраф -2",-2,IF(OR(F1404="",G1404=""),"",F1404*G1404+IF(J1404="",0,J1404)))</f>
        <v/>
      </c>
      <c r="I1404" s="3" t="n"/>
      <c r="J1404" s="3" t="n"/>
      <c r="K1404" s="3" t="n"/>
    </row>
    <row r="1405">
      <c r="A1405" s="3" t="n"/>
      <c r="B1405" s="3" t="n"/>
      <c r="C1405" s="3" t="n"/>
      <c r="D1405" s="3" t="n"/>
      <c r="E1405" s="4">
        <f>IF(A1405="","",COUNTIFS($A$4:A1405,A1405,$I$4:I1405,"&lt;&gt;Штраф -2",$I$4:I1405,"&lt;&gt;ушел на базу"))</f>
        <v/>
      </c>
      <c r="F1405" s="4">
        <f>IF(E1405="","",IF(E1405&lt;=3,6,IF(E1405&lt;=6,5,IF(E1405&lt;=9,4,IF(E1405&lt;=12,3,IF(E1405&lt;=15,2,0))))))</f>
        <v/>
      </c>
      <c r="G1405" s="3" t="n"/>
      <c r="H1405" s="4">
        <f>IF(I1405="Штраф -2",-2,IF(OR(F1405="",G1405=""),"",F1405*G1405+IF(J1405="",0,J1405)))</f>
        <v/>
      </c>
      <c r="I1405" s="3" t="n"/>
      <c r="J1405" s="3" t="n"/>
      <c r="K1405" s="3" t="n"/>
    </row>
    <row r="1406">
      <c r="A1406" s="3" t="n"/>
      <c r="B1406" s="3" t="n"/>
      <c r="C1406" s="3" t="n"/>
      <c r="D1406" s="3" t="n"/>
      <c r="E1406" s="4">
        <f>IF(A1406="","",COUNTIFS($A$4:A1406,A1406,$I$4:I1406,"&lt;&gt;Штраф -2",$I$4:I1406,"&lt;&gt;ушел на базу"))</f>
        <v/>
      </c>
      <c r="F1406" s="4">
        <f>IF(E1406="","",IF(E1406&lt;=3,6,IF(E1406&lt;=6,5,IF(E1406&lt;=9,4,IF(E1406&lt;=12,3,IF(E1406&lt;=15,2,0))))))</f>
        <v/>
      </c>
      <c r="G1406" s="3" t="n"/>
      <c r="H1406" s="4">
        <f>IF(I1406="Штраф -2",-2,IF(OR(F1406="",G1406=""),"",F1406*G1406+IF(J1406="",0,J1406)))</f>
        <v/>
      </c>
      <c r="I1406" s="3" t="n"/>
      <c r="J1406" s="3" t="n"/>
      <c r="K1406" s="3" t="n"/>
    </row>
    <row r="1407">
      <c r="A1407" s="3" t="n"/>
      <c r="B1407" s="3" t="n"/>
      <c r="C1407" s="3" t="n"/>
      <c r="D1407" s="3" t="n"/>
      <c r="E1407" s="4">
        <f>IF(A1407="","",COUNTIFS($A$4:A1407,A1407,$I$4:I1407,"&lt;&gt;Штраф -2",$I$4:I1407,"&lt;&gt;ушел на базу"))</f>
        <v/>
      </c>
      <c r="F1407" s="4">
        <f>IF(E1407="","",IF(E1407&lt;=3,6,IF(E1407&lt;=6,5,IF(E1407&lt;=9,4,IF(E1407&lt;=12,3,IF(E1407&lt;=15,2,0))))))</f>
        <v/>
      </c>
      <c r="G1407" s="3" t="n"/>
      <c r="H1407" s="4">
        <f>IF(I1407="Штраф -2",-2,IF(OR(F1407="",G1407=""),"",F1407*G1407+IF(J1407="",0,J1407)))</f>
        <v/>
      </c>
      <c r="I1407" s="3" t="n"/>
      <c r="J1407" s="3" t="n"/>
      <c r="K1407" s="3" t="n"/>
    </row>
    <row r="1408">
      <c r="A1408" s="3" t="n"/>
      <c r="B1408" s="3" t="n"/>
      <c r="C1408" s="3" t="n"/>
      <c r="D1408" s="3" t="n"/>
      <c r="E1408" s="4">
        <f>IF(A1408="","",COUNTIFS($A$4:A1408,A1408,$I$4:I1408,"&lt;&gt;Штраф -2",$I$4:I1408,"&lt;&gt;ушел на базу"))</f>
        <v/>
      </c>
      <c r="F1408" s="4">
        <f>IF(E1408="","",IF(E1408&lt;=3,6,IF(E1408&lt;=6,5,IF(E1408&lt;=9,4,IF(E1408&lt;=12,3,IF(E1408&lt;=15,2,0))))))</f>
        <v/>
      </c>
      <c r="G1408" s="3" t="n"/>
      <c r="H1408" s="4">
        <f>IF(I1408="Штраф -2",-2,IF(OR(F1408="",G1408=""),"",F1408*G1408+IF(J1408="",0,J1408)))</f>
        <v/>
      </c>
      <c r="I1408" s="3" t="n"/>
      <c r="J1408" s="3" t="n"/>
      <c r="K1408" s="3" t="n"/>
    </row>
    <row r="1409">
      <c r="A1409" s="3" t="n"/>
      <c r="B1409" s="3" t="n"/>
      <c r="C1409" s="3" t="n"/>
      <c r="D1409" s="3" t="n"/>
      <c r="E1409" s="4">
        <f>IF(A1409="","",COUNTIFS($A$4:A1409,A1409,$I$4:I1409,"&lt;&gt;Штраф -2",$I$4:I1409,"&lt;&gt;ушел на базу"))</f>
        <v/>
      </c>
      <c r="F1409" s="4">
        <f>IF(E1409="","",IF(E1409&lt;=3,6,IF(E1409&lt;=6,5,IF(E1409&lt;=9,4,IF(E1409&lt;=12,3,IF(E1409&lt;=15,2,0))))))</f>
        <v/>
      </c>
      <c r="G1409" s="3" t="n"/>
      <c r="H1409" s="4">
        <f>IF(I1409="Штраф -2",-2,IF(OR(F1409="",G1409=""),"",F1409*G1409+IF(J1409="",0,J1409)))</f>
        <v/>
      </c>
      <c r="I1409" s="3" t="n"/>
      <c r="J1409" s="3" t="n"/>
      <c r="K1409" s="3" t="n"/>
    </row>
    <row r="1410">
      <c r="A1410" s="3" t="n"/>
      <c r="B1410" s="3" t="n"/>
      <c r="C1410" s="3" t="n"/>
      <c r="D1410" s="3" t="n"/>
      <c r="E1410" s="4">
        <f>IF(A1410="","",COUNTIFS($A$4:A1410,A1410,$I$4:I1410,"&lt;&gt;Штраф -2",$I$4:I1410,"&lt;&gt;ушел на базу"))</f>
        <v/>
      </c>
      <c r="F1410" s="4">
        <f>IF(E1410="","",IF(E1410&lt;=3,6,IF(E1410&lt;=6,5,IF(E1410&lt;=9,4,IF(E1410&lt;=12,3,IF(E1410&lt;=15,2,0))))))</f>
        <v/>
      </c>
      <c r="G1410" s="3" t="n"/>
      <c r="H1410" s="4">
        <f>IF(I1410="Штраф -2",-2,IF(OR(F1410="",G1410=""),"",F1410*G1410+IF(J1410="",0,J1410)))</f>
        <v/>
      </c>
      <c r="I1410" s="3" t="n"/>
      <c r="J1410" s="3" t="n"/>
      <c r="K1410" s="3" t="n"/>
    </row>
    <row r="1411">
      <c r="A1411" s="3" t="n"/>
      <c r="B1411" s="3" t="n"/>
      <c r="C1411" s="3" t="n"/>
      <c r="D1411" s="3" t="n"/>
      <c r="E1411" s="4">
        <f>IF(A1411="","",COUNTIFS($A$4:A1411,A1411,$I$4:I1411,"&lt;&gt;Штраф -2",$I$4:I1411,"&lt;&gt;ушел на базу"))</f>
        <v/>
      </c>
      <c r="F1411" s="4">
        <f>IF(E1411="","",IF(E1411&lt;=3,6,IF(E1411&lt;=6,5,IF(E1411&lt;=9,4,IF(E1411&lt;=12,3,IF(E1411&lt;=15,2,0))))))</f>
        <v/>
      </c>
      <c r="G1411" s="3" t="n"/>
      <c r="H1411" s="4">
        <f>IF(I1411="Штраф -2",-2,IF(OR(F1411="",G1411=""),"",F1411*G1411+IF(J1411="",0,J1411)))</f>
        <v/>
      </c>
      <c r="I1411" s="3" t="n"/>
      <c r="J1411" s="3" t="n"/>
      <c r="K1411" s="3" t="n"/>
    </row>
    <row r="1412">
      <c r="A1412" s="3" t="n"/>
      <c r="B1412" s="3" t="n"/>
      <c r="C1412" s="3" t="n"/>
      <c r="D1412" s="3" t="n"/>
      <c r="E1412" s="4">
        <f>IF(A1412="","",COUNTIFS($A$4:A1412,A1412,$I$4:I1412,"&lt;&gt;Штраф -2",$I$4:I1412,"&lt;&gt;ушел на базу"))</f>
        <v/>
      </c>
      <c r="F1412" s="4">
        <f>IF(E1412="","",IF(E1412&lt;=3,6,IF(E1412&lt;=6,5,IF(E1412&lt;=9,4,IF(E1412&lt;=12,3,IF(E1412&lt;=15,2,0))))))</f>
        <v/>
      </c>
      <c r="G1412" s="3" t="n"/>
      <c r="H1412" s="4">
        <f>IF(I1412="Штраф -2",-2,IF(OR(F1412="",G1412=""),"",F1412*G1412+IF(J1412="",0,J1412)))</f>
        <v/>
      </c>
      <c r="I1412" s="3" t="n"/>
      <c r="J1412" s="3" t="n"/>
      <c r="K1412" s="3" t="n"/>
    </row>
    <row r="1413">
      <c r="A1413" s="3" t="n"/>
      <c r="B1413" s="3" t="n"/>
      <c r="C1413" s="3" t="n"/>
      <c r="D1413" s="3" t="n"/>
      <c r="E1413" s="4">
        <f>IF(A1413="","",COUNTIFS($A$4:A1413,A1413,$I$4:I1413,"&lt;&gt;Штраф -2",$I$4:I1413,"&lt;&gt;ушел на базу"))</f>
        <v/>
      </c>
      <c r="F1413" s="4">
        <f>IF(E1413="","",IF(E1413&lt;=3,6,IF(E1413&lt;=6,5,IF(E1413&lt;=9,4,IF(E1413&lt;=12,3,IF(E1413&lt;=15,2,0))))))</f>
        <v/>
      </c>
      <c r="G1413" s="3" t="n"/>
      <c r="H1413" s="4">
        <f>IF(I1413="Штраф -2",-2,IF(OR(F1413="",G1413=""),"",F1413*G1413+IF(J1413="",0,J1413)))</f>
        <v/>
      </c>
      <c r="I1413" s="3" t="n"/>
      <c r="J1413" s="3" t="n"/>
      <c r="K1413" s="3" t="n"/>
    </row>
    <row r="1414">
      <c r="A1414" s="3" t="n"/>
      <c r="B1414" s="3" t="n"/>
      <c r="C1414" s="3" t="n"/>
      <c r="D1414" s="3" t="n"/>
      <c r="E1414" s="4">
        <f>IF(A1414="","",COUNTIFS($A$4:A1414,A1414,$I$4:I1414,"&lt;&gt;Штраф -2",$I$4:I1414,"&lt;&gt;ушел на базу"))</f>
        <v/>
      </c>
      <c r="F1414" s="4">
        <f>IF(E1414="","",IF(E1414&lt;=3,6,IF(E1414&lt;=6,5,IF(E1414&lt;=9,4,IF(E1414&lt;=12,3,IF(E1414&lt;=15,2,0))))))</f>
        <v/>
      </c>
      <c r="G1414" s="3" t="n"/>
      <c r="H1414" s="4">
        <f>IF(I1414="Штраф -2",-2,IF(OR(F1414="",G1414=""),"",F1414*G1414+IF(J1414="",0,J1414)))</f>
        <v/>
      </c>
      <c r="I1414" s="3" t="n"/>
      <c r="J1414" s="3" t="n"/>
      <c r="K1414" s="3" t="n"/>
    </row>
    <row r="1415">
      <c r="A1415" s="3" t="n"/>
      <c r="B1415" s="3" t="n"/>
      <c r="C1415" s="3" t="n"/>
      <c r="D1415" s="3" t="n"/>
      <c r="E1415" s="4">
        <f>IF(A1415="","",COUNTIFS($A$4:A1415,A1415,$I$4:I1415,"&lt;&gt;Штраф -2",$I$4:I1415,"&lt;&gt;ушел на базу"))</f>
        <v/>
      </c>
      <c r="F1415" s="4">
        <f>IF(E1415="","",IF(E1415&lt;=3,6,IF(E1415&lt;=6,5,IF(E1415&lt;=9,4,IF(E1415&lt;=12,3,IF(E1415&lt;=15,2,0))))))</f>
        <v/>
      </c>
      <c r="G1415" s="3" t="n"/>
      <c r="H1415" s="4">
        <f>IF(I1415="Штраф -2",-2,IF(OR(F1415="",G1415=""),"",F1415*G1415+IF(J1415="",0,J1415)))</f>
        <v/>
      </c>
      <c r="I1415" s="3" t="n"/>
      <c r="J1415" s="3" t="n"/>
      <c r="K1415" s="3" t="n"/>
    </row>
    <row r="1416">
      <c r="A1416" s="3" t="n"/>
      <c r="B1416" s="3" t="n"/>
      <c r="C1416" s="3" t="n"/>
      <c r="D1416" s="3" t="n"/>
      <c r="E1416" s="4">
        <f>IF(A1416="","",COUNTIFS($A$4:A1416,A1416,$I$4:I1416,"&lt;&gt;Штраф -2",$I$4:I1416,"&lt;&gt;ушел на базу"))</f>
        <v/>
      </c>
      <c r="F1416" s="4">
        <f>IF(E1416="","",IF(E1416&lt;=3,6,IF(E1416&lt;=6,5,IF(E1416&lt;=9,4,IF(E1416&lt;=12,3,IF(E1416&lt;=15,2,0))))))</f>
        <v/>
      </c>
      <c r="G1416" s="3" t="n"/>
      <c r="H1416" s="4">
        <f>IF(I1416="Штраф -2",-2,IF(OR(F1416="",G1416=""),"",F1416*G1416+IF(J1416="",0,J1416)))</f>
        <v/>
      </c>
      <c r="I1416" s="3" t="n"/>
      <c r="J1416" s="3" t="n"/>
      <c r="K1416" s="3" t="n"/>
    </row>
    <row r="1417">
      <c r="A1417" s="3" t="n"/>
      <c r="B1417" s="3" t="n"/>
      <c r="C1417" s="3" t="n"/>
      <c r="D1417" s="3" t="n"/>
      <c r="E1417" s="4">
        <f>IF(A1417="","",COUNTIFS($A$4:A1417,A1417,$I$4:I1417,"&lt;&gt;Штраф -2",$I$4:I1417,"&lt;&gt;ушел на базу"))</f>
        <v/>
      </c>
      <c r="F1417" s="4">
        <f>IF(E1417="","",IF(E1417&lt;=3,6,IF(E1417&lt;=6,5,IF(E1417&lt;=9,4,IF(E1417&lt;=12,3,IF(E1417&lt;=15,2,0))))))</f>
        <v/>
      </c>
      <c r="G1417" s="3" t="n"/>
      <c r="H1417" s="4">
        <f>IF(I1417="Штраф -2",-2,IF(OR(F1417="",G1417=""),"",F1417*G1417+IF(J1417="",0,J1417)))</f>
        <v/>
      </c>
      <c r="I1417" s="3" t="n"/>
      <c r="J1417" s="3" t="n"/>
      <c r="K1417" s="3" t="n"/>
    </row>
    <row r="1418">
      <c r="A1418" s="3" t="n"/>
      <c r="B1418" s="3" t="n"/>
      <c r="C1418" s="3" t="n"/>
      <c r="D1418" s="3" t="n"/>
      <c r="E1418" s="4">
        <f>IF(A1418="","",COUNTIFS($A$4:A1418,A1418,$I$4:I1418,"&lt;&gt;Штраф -2",$I$4:I1418,"&lt;&gt;ушел на базу"))</f>
        <v/>
      </c>
      <c r="F1418" s="4">
        <f>IF(E1418="","",IF(E1418&lt;=3,6,IF(E1418&lt;=6,5,IF(E1418&lt;=9,4,IF(E1418&lt;=12,3,IF(E1418&lt;=15,2,0))))))</f>
        <v/>
      </c>
      <c r="G1418" s="3" t="n"/>
      <c r="H1418" s="4">
        <f>IF(I1418="Штраф -2",-2,IF(OR(F1418="",G1418=""),"",F1418*G1418+IF(J1418="",0,J1418)))</f>
        <v/>
      </c>
      <c r="I1418" s="3" t="n"/>
      <c r="J1418" s="3" t="n"/>
      <c r="K1418" s="3" t="n"/>
    </row>
    <row r="1419">
      <c r="A1419" s="3" t="n"/>
      <c r="B1419" s="3" t="n"/>
      <c r="C1419" s="3" t="n"/>
      <c r="D1419" s="3" t="n"/>
      <c r="E1419" s="4">
        <f>IF(A1419="","",COUNTIFS($A$4:A1419,A1419,$I$4:I1419,"&lt;&gt;Штраф -2",$I$4:I1419,"&lt;&gt;ушел на базу"))</f>
        <v/>
      </c>
      <c r="F1419" s="4">
        <f>IF(E1419="","",IF(E1419&lt;=3,6,IF(E1419&lt;=6,5,IF(E1419&lt;=9,4,IF(E1419&lt;=12,3,IF(E1419&lt;=15,2,0))))))</f>
        <v/>
      </c>
      <c r="G1419" s="3" t="n"/>
      <c r="H1419" s="4">
        <f>IF(I1419="Штраф -2",-2,IF(OR(F1419="",G1419=""),"",F1419*G1419+IF(J1419="",0,J1419)))</f>
        <v/>
      </c>
      <c r="I1419" s="3" t="n"/>
      <c r="J1419" s="3" t="n"/>
      <c r="K1419" s="3" t="n"/>
    </row>
    <row r="1420">
      <c r="A1420" s="3" t="n"/>
      <c r="B1420" s="3" t="n"/>
      <c r="C1420" s="3" t="n"/>
      <c r="D1420" s="3" t="n"/>
      <c r="E1420" s="4">
        <f>IF(A1420="","",COUNTIFS($A$4:A1420,A1420,$I$4:I1420,"&lt;&gt;Штраф -2",$I$4:I1420,"&lt;&gt;ушел на базу"))</f>
        <v/>
      </c>
      <c r="F1420" s="4">
        <f>IF(E1420="","",IF(E1420&lt;=3,6,IF(E1420&lt;=6,5,IF(E1420&lt;=9,4,IF(E1420&lt;=12,3,IF(E1420&lt;=15,2,0))))))</f>
        <v/>
      </c>
      <c r="G1420" s="3" t="n"/>
      <c r="H1420" s="4">
        <f>IF(I1420="Штраф -2",-2,IF(OR(F1420="",G1420=""),"",F1420*G1420+IF(J1420="",0,J1420)))</f>
        <v/>
      </c>
      <c r="I1420" s="3" t="n"/>
      <c r="J1420" s="3" t="n"/>
      <c r="K1420" s="3" t="n"/>
    </row>
    <row r="1421">
      <c r="A1421" s="3" t="n"/>
      <c r="B1421" s="3" t="n"/>
      <c r="C1421" s="3" t="n"/>
      <c r="D1421" s="3" t="n"/>
      <c r="E1421" s="4">
        <f>IF(A1421="","",COUNTIFS($A$4:A1421,A1421,$I$4:I1421,"&lt;&gt;Штраф -2",$I$4:I1421,"&lt;&gt;ушел на базу"))</f>
        <v/>
      </c>
      <c r="F1421" s="4">
        <f>IF(E1421="","",IF(E1421&lt;=3,6,IF(E1421&lt;=6,5,IF(E1421&lt;=9,4,IF(E1421&lt;=12,3,IF(E1421&lt;=15,2,0))))))</f>
        <v/>
      </c>
      <c r="G1421" s="3" t="n"/>
      <c r="H1421" s="4">
        <f>IF(I1421="Штраф -2",-2,IF(OR(F1421="",G1421=""),"",F1421*G1421+IF(J1421="",0,J1421)))</f>
        <v/>
      </c>
      <c r="I1421" s="3" t="n"/>
      <c r="J1421" s="3" t="n"/>
      <c r="K1421" s="3" t="n"/>
    </row>
    <row r="1422">
      <c r="A1422" s="3" t="n"/>
      <c r="B1422" s="3" t="n"/>
      <c r="C1422" s="3" t="n"/>
      <c r="D1422" s="3" t="n"/>
      <c r="E1422" s="4">
        <f>IF(A1422="","",COUNTIFS($A$4:A1422,A1422,$I$4:I1422,"&lt;&gt;Штраф -2",$I$4:I1422,"&lt;&gt;ушел на базу"))</f>
        <v/>
      </c>
      <c r="F1422" s="4">
        <f>IF(E1422="","",IF(E1422&lt;=3,6,IF(E1422&lt;=6,5,IF(E1422&lt;=9,4,IF(E1422&lt;=12,3,IF(E1422&lt;=15,2,0))))))</f>
        <v/>
      </c>
      <c r="G1422" s="3" t="n"/>
      <c r="H1422" s="4">
        <f>IF(I1422="Штраф -2",-2,IF(OR(F1422="",G1422=""),"",F1422*G1422+IF(J1422="",0,J1422)))</f>
        <v/>
      </c>
      <c r="I1422" s="3" t="n"/>
      <c r="J1422" s="3" t="n"/>
      <c r="K1422" s="3" t="n"/>
    </row>
    <row r="1423">
      <c r="A1423" s="3" t="n"/>
      <c r="B1423" s="3" t="n"/>
      <c r="C1423" s="3" t="n"/>
      <c r="D1423" s="3" t="n"/>
      <c r="E1423" s="4">
        <f>IF(A1423="","",COUNTIFS($A$4:A1423,A1423,$I$4:I1423,"&lt;&gt;Штраф -2",$I$4:I1423,"&lt;&gt;ушел на базу"))</f>
        <v/>
      </c>
      <c r="F1423" s="4">
        <f>IF(E1423="","",IF(E1423&lt;=3,6,IF(E1423&lt;=6,5,IF(E1423&lt;=9,4,IF(E1423&lt;=12,3,IF(E1423&lt;=15,2,0))))))</f>
        <v/>
      </c>
      <c r="G1423" s="3" t="n"/>
      <c r="H1423" s="4">
        <f>IF(I1423="Штраф -2",-2,IF(OR(F1423="",G1423=""),"",F1423*G1423+IF(J1423="",0,J1423)))</f>
        <v/>
      </c>
      <c r="I1423" s="3" t="n"/>
      <c r="J1423" s="3" t="n"/>
      <c r="K1423" s="3" t="n"/>
    </row>
    <row r="1424">
      <c r="A1424" s="3" t="n"/>
      <c r="B1424" s="3" t="n"/>
      <c r="C1424" s="3" t="n"/>
      <c r="D1424" s="3" t="n"/>
      <c r="E1424" s="4">
        <f>IF(A1424="","",COUNTIFS($A$4:A1424,A1424,$I$4:I1424,"&lt;&gt;Штраф -2",$I$4:I1424,"&lt;&gt;ушел на базу"))</f>
        <v/>
      </c>
      <c r="F1424" s="4">
        <f>IF(E1424="","",IF(E1424&lt;=3,6,IF(E1424&lt;=6,5,IF(E1424&lt;=9,4,IF(E1424&lt;=12,3,IF(E1424&lt;=15,2,0))))))</f>
        <v/>
      </c>
      <c r="G1424" s="3" t="n"/>
      <c r="H1424" s="4">
        <f>IF(I1424="Штраф -2",-2,IF(OR(F1424="",G1424=""),"",F1424*G1424+IF(J1424="",0,J1424)))</f>
        <v/>
      </c>
      <c r="I1424" s="3" t="n"/>
      <c r="J1424" s="3" t="n"/>
      <c r="K1424" s="3" t="n"/>
    </row>
    <row r="1425">
      <c r="A1425" s="3" t="n"/>
      <c r="B1425" s="3" t="n"/>
      <c r="C1425" s="3" t="n"/>
      <c r="D1425" s="3" t="n"/>
      <c r="E1425" s="4">
        <f>IF(A1425="","",COUNTIFS($A$4:A1425,A1425,$I$4:I1425,"&lt;&gt;Штраф -2",$I$4:I1425,"&lt;&gt;ушел на базу"))</f>
        <v/>
      </c>
      <c r="F1425" s="4">
        <f>IF(E1425="","",IF(E1425&lt;=3,6,IF(E1425&lt;=6,5,IF(E1425&lt;=9,4,IF(E1425&lt;=12,3,IF(E1425&lt;=15,2,0))))))</f>
        <v/>
      </c>
      <c r="G1425" s="3" t="n"/>
      <c r="H1425" s="4">
        <f>IF(I1425="Штраф -2",-2,IF(OR(F1425="",G1425=""),"",F1425*G1425+IF(J1425="",0,J1425)))</f>
        <v/>
      </c>
      <c r="I1425" s="3" t="n"/>
      <c r="J1425" s="3" t="n"/>
      <c r="K1425" s="3" t="n"/>
    </row>
    <row r="1426">
      <c r="A1426" s="3" t="n"/>
      <c r="B1426" s="3" t="n"/>
      <c r="C1426" s="3" t="n"/>
      <c r="D1426" s="3" t="n"/>
      <c r="E1426" s="4">
        <f>IF(A1426="","",COUNTIFS($A$4:A1426,A1426,$I$4:I1426,"&lt;&gt;Штраф -2",$I$4:I1426,"&lt;&gt;ушел на базу"))</f>
        <v/>
      </c>
      <c r="F1426" s="4">
        <f>IF(E1426="","",IF(E1426&lt;=3,6,IF(E1426&lt;=6,5,IF(E1426&lt;=9,4,IF(E1426&lt;=12,3,IF(E1426&lt;=15,2,0))))))</f>
        <v/>
      </c>
      <c r="G1426" s="3" t="n"/>
      <c r="H1426" s="4">
        <f>IF(I1426="Штраф -2",-2,IF(OR(F1426="",G1426=""),"",F1426*G1426+IF(J1426="",0,J1426)))</f>
        <v/>
      </c>
      <c r="I1426" s="3" t="n"/>
      <c r="J1426" s="3" t="n"/>
      <c r="K1426" s="3" t="n"/>
    </row>
    <row r="1427">
      <c r="A1427" s="3" t="n"/>
      <c r="B1427" s="3" t="n"/>
      <c r="C1427" s="3" t="n"/>
      <c r="D1427" s="3" t="n"/>
      <c r="E1427" s="4">
        <f>IF(A1427="","",COUNTIFS($A$4:A1427,A1427,$I$4:I1427,"&lt;&gt;Штраф -2",$I$4:I1427,"&lt;&gt;ушел на базу"))</f>
        <v/>
      </c>
      <c r="F1427" s="4">
        <f>IF(E1427="","",IF(E1427&lt;=3,6,IF(E1427&lt;=6,5,IF(E1427&lt;=9,4,IF(E1427&lt;=12,3,IF(E1427&lt;=15,2,0))))))</f>
        <v/>
      </c>
      <c r="G1427" s="3" t="n"/>
      <c r="H1427" s="4">
        <f>IF(I1427="Штраф -2",-2,IF(OR(F1427="",G1427=""),"",F1427*G1427+IF(J1427="",0,J1427)))</f>
        <v/>
      </c>
      <c r="I1427" s="3" t="n"/>
      <c r="J1427" s="3" t="n"/>
      <c r="K1427" s="3" t="n"/>
    </row>
    <row r="1428">
      <c r="A1428" s="3" t="n"/>
      <c r="B1428" s="3" t="n"/>
      <c r="C1428" s="3" t="n"/>
      <c r="D1428" s="3" t="n"/>
      <c r="E1428" s="4">
        <f>IF(A1428="","",COUNTIFS($A$4:A1428,A1428,$I$4:I1428,"&lt;&gt;Штраф -2",$I$4:I1428,"&lt;&gt;ушел на базу"))</f>
        <v/>
      </c>
      <c r="F1428" s="4">
        <f>IF(E1428="","",IF(E1428&lt;=3,6,IF(E1428&lt;=6,5,IF(E1428&lt;=9,4,IF(E1428&lt;=12,3,IF(E1428&lt;=15,2,0))))))</f>
        <v/>
      </c>
      <c r="G1428" s="3" t="n"/>
      <c r="H1428" s="4">
        <f>IF(I1428="Штраф -2",-2,IF(OR(F1428="",G1428=""),"",F1428*G1428+IF(J1428="",0,J1428)))</f>
        <v/>
      </c>
      <c r="I1428" s="3" t="n"/>
      <c r="J1428" s="3" t="n"/>
      <c r="K1428" s="3" t="n"/>
    </row>
    <row r="1429">
      <c r="A1429" s="3" t="n"/>
      <c r="B1429" s="3" t="n"/>
      <c r="C1429" s="3" t="n"/>
      <c r="D1429" s="3" t="n"/>
      <c r="E1429" s="4">
        <f>IF(A1429="","",COUNTIFS($A$4:A1429,A1429,$I$4:I1429,"&lt;&gt;Штраф -2",$I$4:I1429,"&lt;&gt;ушел на базу"))</f>
        <v/>
      </c>
      <c r="F1429" s="4">
        <f>IF(E1429="","",IF(E1429&lt;=3,6,IF(E1429&lt;=6,5,IF(E1429&lt;=9,4,IF(E1429&lt;=12,3,IF(E1429&lt;=15,2,0))))))</f>
        <v/>
      </c>
      <c r="G1429" s="3" t="n"/>
      <c r="H1429" s="4">
        <f>IF(I1429="Штраф -2",-2,IF(OR(F1429="",G1429=""),"",F1429*G1429+IF(J1429="",0,J1429)))</f>
        <v/>
      </c>
      <c r="I1429" s="3" t="n"/>
      <c r="J1429" s="3" t="n"/>
      <c r="K1429" s="3" t="n"/>
    </row>
    <row r="1430">
      <c r="A1430" s="3" t="n"/>
      <c r="B1430" s="3" t="n"/>
      <c r="C1430" s="3" t="n"/>
      <c r="D1430" s="3" t="n"/>
      <c r="E1430" s="4">
        <f>IF(A1430="","",COUNTIFS($A$4:A1430,A1430,$I$4:I1430,"&lt;&gt;Штраф -2",$I$4:I1430,"&lt;&gt;ушел на базу"))</f>
        <v/>
      </c>
      <c r="F1430" s="4">
        <f>IF(E1430="","",IF(E1430&lt;=3,6,IF(E1430&lt;=6,5,IF(E1430&lt;=9,4,IF(E1430&lt;=12,3,IF(E1430&lt;=15,2,0))))))</f>
        <v/>
      </c>
      <c r="G1430" s="3" t="n"/>
      <c r="H1430" s="4">
        <f>IF(I1430="Штраф -2",-2,IF(OR(F1430="",G1430=""),"",F1430*G1430+IF(J1430="",0,J1430)))</f>
        <v/>
      </c>
      <c r="I1430" s="3" t="n"/>
      <c r="J1430" s="3" t="n"/>
      <c r="K1430" s="3" t="n"/>
    </row>
    <row r="1431">
      <c r="A1431" s="3" t="n"/>
      <c r="B1431" s="3" t="n"/>
      <c r="C1431" s="3" t="n"/>
      <c r="D1431" s="3" t="n"/>
      <c r="E1431" s="4">
        <f>IF(A1431="","",COUNTIFS($A$4:A1431,A1431,$I$4:I1431,"&lt;&gt;Штраф -2",$I$4:I1431,"&lt;&gt;ушел на базу"))</f>
        <v/>
      </c>
      <c r="F1431" s="4">
        <f>IF(E1431="","",IF(E1431&lt;=3,6,IF(E1431&lt;=6,5,IF(E1431&lt;=9,4,IF(E1431&lt;=12,3,IF(E1431&lt;=15,2,0))))))</f>
        <v/>
      </c>
      <c r="G1431" s="3" t="n"/>
      <c r="H1431" s="4">
        <f>IF(I1431="Штраф -2",-2,IF(OR(F1431="",G1431=""),"",F1431*G1431+IF(J1431="",0,J1431)))</f>
        <v/>
      </c>
      <c r="I1431" s="3" t="n"/>
      <c r="J1431" s="3" t="n"/>
      <c r="K1431" s="3" t="n"/>
    </row>
    <row r="1432">
      <c r="A1432" s="3" t="n"/>
      <c r="B1432" s="3" t="n"/>
      <c r="C1432" s="3" t="n"/>
      <c r="D1432" s="3" t="n"/>
      <c r="E1432" s="4">
        <f>IF(A1432="","",COUNTIFS($A$4:A1432,A1432,$I$4:I1432,"&lt;&gt;Штраф -2",$I$4:I1432,"&lt;&gt;ушел на базу"))</f>
        <v/>
      </c>
      <c r="F1432" s="4">
        <f>IF(E1432="","",IF(E1432&lt;=3,6,IF(E1432&lt;=6,5,IF(E1432&lt;=9,4,IF(E1432&lt;=12,3,IF(E1432&lt;=15,2,0))))))</f>
        <v/>
      </c>
      <c r="G1432" s="3" t="n"/>
      <c r="H1432" s="4">
        <f>IF(I1432="Штраф -2",-2,IF(OR(F1432="",G1432=""),"",F1432*G1432+IF(J1432="",0,J1432)))</f>
        <v/>
      </c>
      <c r="I1432" s="3" t="n"/>
      <c r="J1432" s="3" t="n"/>
      <c r="K1432" s="3" t="n"/>
    </row>
    <row r="1433">
      <c r="A1433" s="3" t="n"/>
      <c r="B1433" s="3" t="n"/>
      <c r="C1433" s="3" t="n"/>
      <c r="D1433" s="3" t="n"/>
      <c r="E1433" s="4">
        <f>IF(A1433="","",COUNTIFS($A$4:A1433,A1433,$I$4:I1433,"&lt;&gt;Штраф -2",$I$4:I1433,"&lt;&gt;ушел на базу"))</f>
        <v/>
      </c>
      <c r="F1433" s="4">
        <f>IF(E1433="","",IF(E1433&lt;=3,6,IF(E1433&lt;=6,5,IF(E1433&lt;=9,4,IF(E1433&lt;=12,3,IF(E1433&lt;=15,2,0))))))</f>
        <v/>
      </c>
      <c r="G1433" s="3" t="n"/>
      <c r="H1433" s="4">
        <f>IF(I1433="Штраф -2",-2,IF(OR(F1433="",G1433=""),"",F1433*G1433+IF(J1433="",0,J1433)))</f>
        <v/>
      </c>
      <c r="I1433" s="3" t="n"/>
      <c r="J1433" s="3" t="n"/>
      <c r="K1433" s="3" t="n"/>
    </row>
    <row r="1434">
      <c r="A1434" s="3" t="n"/>
      <c r="B1434" s="3" t="n"/>
      <c r="C1434" s="3" t="n"/>
      <c r="D1434" s="3" t="n"/>
      <c r="E1434" s="4">
        <f>IF(A1434="","",COUNTIFS($A$4:A1434,A1434,$I$4:I1434,"&lt;&gt;Штраф -2",$I$4:I1434,"&lt;&gt;ушел на базу"))</f>
        <v/>
      </c>
      <c r="F1434" s="4">
        <f>IF(E1434="","",IF(E1434&lt;=3,6,IF(E1434&lt;=6,5,IF(E1434&lt;=9,4,IF(E1434&lt;=12,3,IF(E1434&lt;=15,2,0))))))</f>
        <v/>
      </c>
      <c r="G1434" s="3" t="n"/>
      <c r="H1434" s="4">
        <f>IF(I1434="Штраф -2",-2,IF(OR(F1434="",G1434=""),"",F1434*G1434+IF(J1434="",0,J1434)))</f>
        <v/>
      </c>
      <c r="I1434" s="3" t="n"/>
      <c r="J1434" s="3" t="n"/>
      <c r="K1434" s="3" t="n"/>
    </row>
    <row r="1435">
      <c r="A1435" s="3" t="n"/>
      <c r="B1435" s="3" t="n"/>
      <c r="C1435" s="3" t="n"/>
      <c r="D1435" s="3" t="n"/>
      <c r="E1435" s="4">
        <f>IF(A1435="","",COUNTIFS($A$4:A1435,A1435,$I$4:I1435,"&lt;&gt;Штраф -2",$I$4:I1435,"&lt;&gt;ушел на базу"))</f>
        <v/>
      </c>
      <c r="F1435" s="4">
        <f>IF(E1435="","",IF(E1435&lt;=3,6,IF(E1435&lt;=6,5,IF(E1435&lt;=9,4,IF(E1435&lt;=12,3,IF(E1435&lt;=15,2,0))))))</f>
        <v/>
      </c>
      <c r="G1435" s="3" t="n"/>
      <c r="H1435" s="4">
        <f>IF(I1435="Штраф -2",-2,IF(OR(F1435="",G1435=""),"",F1435*G1435+IF(J1435="",0,J1435)))</f>
        <v/>
      </c>
      <c r="I1435" s="3" t="n"/>
      <c r="J1435" s="3" t="n"/>
      <c r="K1435" s="3" t="n"/>
    </row>
    <row r="1436">
      <c r="A1436" s="3" t="n"/>
      <c r="B1436" s="3" t="n"/>
      <c r="C1436" s="3" t="n"/>
      <c r="D1436" s="3" t="n"/>
      <c r="E1436" s="4">
        <f>IF(A1436="","",COUNTIFS($A$4:A1436,A1436,$I$4:I1436,"&lt;&gt;Штраф -2",$I$4:I1436,"&lt;&gt;ушел на базу"))</f>
        <v/>
      </c>
      <c r="F1436" s="4">
        <f>IF(E1436="","",IF(E1436&lt;=3,6,IF(E1436&lt;=6,5,IF(E1436&lt;=9,4,IF(E1436&lt;=12,3,IF(E1436&lt;=15,2,0))))))</f>
        <v/>
      </c>
      <c r="G1436" s="3" t="n"/>
      <c r="H1436" s="4">
        <f>IF(I1436="Штраф -2",-2,IF(OR(F1436="",G1436=""),"",F1436*G1436+IF(J1436="",0,J1436)))</f>
        <v/>
      </c>
      <c r="I1436" s="3" t="n"/>
      <c r="J1436" s="3" t="n"/>
      <c r="K1436" s="3" t="n"/>
    </row>
    <row r="1437">
      <c r="A1437" s="3" t="n"/>
      <c r="B1437" s="3" t="n"/>
      <c r="C1437" s="3" t="n"/>
      <c r="D1437" s="3" t="n"/>
      <c r="E1437" s="4">
        <f>IF(A1437="","",COUNTIFS($A$4:A1437,A1437,$I$4:I1437,"&lt;&gt;Штраф -2",$I$4:I1437,"&lt;&gt;ушел на базу"))</f>
        <v/>
      </c>
      <c r="F1437" s="4">
        <f>IF(E1437="","",IF(E1437&lt;=3,6,IF(E1437&lt;=6,5,IF(E1437&lt;=9,4,IF(E1437&lt;=12,3,IF(E1437&lt;=15,2,0))))))</f>
        <v/>
      </c>
      <c r="G1437" s="3" t="n"/>
      <c r="H1437" s="4">
        <f>IF(I1437="Штраф -2",-2,IF(OR(F1437="",G1437=""),"",F1437*G1437+IF(J1437="",0,J1437)))</f>
        <v/>
      </c>
      <c r="I1437" s="3" t="n"/>
      <c r="J1437" s="3" t="n"/>
      <c r="K1437" s="3" t="n"/>
    </row>
    <row r="1438">
      <c r="A1438" s="3" t="n"/>
      <c r="B1438" s="3" t="n"/>
      <c r="C1438" s="3" t="n"/>
      <c r="D1438" s="3" t="n"/>
      <c r="E1438" s="4">
        <f>IF(A1438="","",COUNTIFS($A$4:A1438,A1438,$I$4:I1438,"&lt;&gt;Штраф -2",$I$4:I1438,"&lt;&gt;ушел на базу"))</f>
        <v/>
      </c>
      <c r="F1438" s="4">
        <f>IF(E1438="","",IF(E1438&lt;=3,6,IF(E1438&lt;=6,5,IF(E1438&lt;=9,4,IF(E1438&lt;=12,3,IF(E1438&lt;=15,2,0))))))</f>
        <v/>
      </c>
      <c r="G1438" s="3" t="n"/>
      <c r="H1438" s="4">
        <f>IF(I1438="Штраф -2",-2,IF(OR(F1438="",G1438=""),"",F1438*G1438+IF(J1438="",0,J1438)))</f>
        <v/>
      </c>
      <c r="I1438" s="3" t="n"/>
      <c r="J1438" s="3" t="n"/>
      <c r="K1438" s="3" t="n"/>
    </row>
    <row r="1439">
      <c r="A1439" s="3" t="n"/>
      <c r="B1439" s="3" t="n"/>
      <c r="C1439" s="3" t="n"/>
      <c r="D1439" s="3" t="n"/>
      <c r="E1439" s="4">
        <f>IF(A1439="","",COUNTIFS($A$4:A1439,A1439,$I$4:I1439,"&lt;&gt;Штраф -2",$I$4:I1439,"&lt;&gt;ушел на базу"))</f>
        <v/>
      </c>
      <c r="F1439" s="4">
        <f>IF(E1439="","",IF(E1439&lt;=3,6,IF(E1439&lt;=6,5,IF(E1439&lt;=9,4,IF(E1439&lt;=12,3,IF(E1439&lt;=15,2,0))))))</f>
        <v/>
      </c>
      <c r="G1439" s="3" t="n"/>
      <c r="H1439" s="4">
        <f>IF(I1439="Штраф -2",-2,IF(OR(F1439="",G1439=""),"",F1439*G1439+IF(J1439="",0,J1439)))</f>
        <v/>
      </c>
      <c r="I1439" s="3" t="n"/>
      <c r="J1439" s="3" t="n"/>
      <c r="K1439" s="3" t="n"/>
    </row>
    <row r="1440">
      <c r="A1440" s="3" t="n"/>
      <c r="B1440" s="3" t="n"/>
      <c r="C1440" s="3" t="n"/>
      <c r="D1440" s="3" t="n"/>
      <c r="E1440" s="4">
        <f>IF(A1440="","",COUNTIFS($A$4:A1440,A1440,$I$4:I1440,"&lt;&gt;Штраф -2",$I$4:I1440,"&lt;&gt;ушел на базу"))</f>
        <v/>
      </c>
      <c r="F1440" s="4">
        <f>IF(E1440="","",IF(E1440&lt;=3,6,IF(E1440&lt;=6,5,IF(E1440&lt;=9,4,IF(E1440&lt;=12,3,IF(E1440&lt;=15,2,0))))))</f>
        <v/>
      </c>
      <c r="G1440" s="3" t="n"/>
      <c r="H1440" s="4">
        <f>IF(I1440="Штраф -2",-2,IF(OR(F1440="",G1440=""),"",F1440*G1440+IF(J1440="",0,J1440)))</f>
        <v/>
      </c>
      <c r="I1440" s="3" t="n"/>
      <c r="J1440" s="3" t="n"/>
      <c r="K1440" s="3" t="n"/>
    </row>
    <row r="1441">
      <c r="A1441" s="3" t="n"/>
      <c r="B1441" s="3" t="n"/>
      <c r="C1441" s="3" t="n"/>
      <c r="D1441" s="3" t="n"/>
      <c r="E1441" s="4">
        <f>IF(A1441="","",COUNTIFS($A$4:A1441,A1441,$I$4:I1441,"&lt;&gt;Штраф -2",$I$4:I1441,"&lt;&gt;ушел на базу"))</f>
        <v/>
      </c>
      <c r="F1441" s="4">
        <f>IF(E1441="","",IF(E1441&lt;=3,6,IF(E1441&lt;=6,5,IF(E1441&lt;=9,4,IF(E1441&lt;=12,3,IF(E1441&lt;=15,2,0))))))</f>
        <v/>
      </c>
      <c r="G1441" s="3" t="n"/>
      <c r="H1441" s="4">
        <f>IF(I1441="Штраф -2",-2,IF(OR(F1441="",G1441=""),"",F1441*G1441+IF(J1441="",0,J1441)))</f>
        <v/>
      </c>
      <c r="I1441" s="3" t="n"/>
      <c r="J1441" s="3" t="n"/>
      <c r="K1441" s="3" t="n"/>
    </row>
    <row r="1442">
      <c r="A1442" s="3" t="n"/>
      <c r="B1442" s="3" t="n"/>
      <c r="C1442" s="3" t="n"/>
      <c r="D1442" s="3" t="n"/>
      <c r="E1442" s="4">
        <f>IF(A1442="","",COUNTIFS($A$4:A1442,A1442,$I$4:I1442,"&lt;&gt;Штраф -2",$I$4:I1442,"&lt;&gt;ушел на базу"))</f>
        <v/>
      </c>
      <c r="F1442" s="4">
        <f>IF(E1442="","",IF(E1442&lt;=3,6,IF(E1442&lt;=6,5,IF(E1442&lt;=9,4,IF(E1442&lt;=12,3,IF(E1442&lt;=15,2,0))))))</f>
        <v/>
      </c>
      <c r="G1442" s="3" t="n"/>
      <c r="H1442" s="4">
        <f>IF(I1442="Штраф -2",-2,IF(OR(F1442="",G1442=""),"",F1442*G1442+IF(J1442="",0,J1442)))</f>
        <v/>
      </c>
      <c r="I1442" s="3" t="n"/>
      <c r="J1442" s="3" t="n"/>
      <c r="K1442" s="3" t="n"/>
    </row>
    <row r="1443">
      <c r="A1443" s="3" t="n"/>
      <c r="B1443" s="3" t="n"/>
      <c r="C1443" s="3" t="n"/>
      <c r="D1443" s="3" t="n"/>
      <c r="E1443" s="4">
        <f>IF(A1443="","",COUNTIFS($A$4:A1443,A1443,$I$4:I1443,"&lt;&gt;Штраф -2",$I$4:I1443,"&lt;&gt;ушел на базу"))</f>
        <v/>
      </c>
      <c r="F1443" s="4">
        <f>IF(E1443="","",IF(E1443&lt;=3,6,IF(E1443&lt;=6,5,IF(E1443&lt;=9,4,IF(E1443&lt;=12,3,IF(E1443&lt;=15,2,0))))))</f>
        <v/>
      </c>
      <c r="G1443" s="3" t="n"/>
      <c r="H1443" s="4">
        <f>IF(I1443="Штраф -2",-2,IF(OR(F1443="",G1443=""),"",F1443*G1443+IF(J1443="",0,J1443)))</f>
        <v/>
      </c>
      <c r="I1443" s="3" t="n"/>
      <c r="J1443" s="3" t="n"/>
      <c r="K1443" s="3" t="n"/>
    </row>
    <row r="1444">
      <c r="A1444" s="3" t="n"/>
      <c r="B1444" s="3" t="n"/>
      <c r="C1444" s="3" t="n"/>
      <c r="D1444" s="3" t="n"/>
      <c r="E1444" s="4">
        <f>IF(A1444="","",COUNTIFS($A$4:A1444,A1444,$I$4:I1444,"&lt;&gt;Штраф -2",$I$4:I1444,"&lt;&gt;ушел на базу"))</f>
        <v/>
      </c>
      <c r="F1444" s="4">
        <f>IF(E1444="","",IF(E1444&lt;=3,6,IF(E1444&lt;=6,5,IF(E1444&lt;=9,4,IF(E1444&lt;=12,3,IF(E1444&lt;=15,2,0))))))</f>
        <v/>
      </c>
      <c r="G1444" s="3" t="n"/>
      <c r="H1444" s="4">
        <f>IF(I1444="Штраф -2",-2,IF(OR(F1444="",G1444=""),"",F1444*G1444+IF(J1444="",0,J1444)))</f>
        <v/>
      </c>
      <c r="I1444" s="3" t="n"/>
      <c r="J1444" s="3" t="n"/>
      <c r="K1444" s="3" t="n"/>
    </row>
    <row r="1445">
      <c r="A1445" s="3" t="n"/>
      <c r="B1445" s="3" t="n"/>
      <c r="C1445" s="3" t="n"/>
      <c r="D1445" s="3" t="n"/>
      <c r="E1445" s="4">
        <f>IF(A1445="","",COUNTIFS($A$4:A1445,A1445,$I$4:I1445,"&lt;&gt;Штраф -2",$I$4:I1445,"&lt;&gt;ушел на базу"))</f>
        <v/>
      </c>
      <c r="F1445" s="4">
        <f>IF(E1445="","",IF(E1445&lt;=3,6,IF(E1445&lt;=6,5,IF(E1445&lt;=9,4,IF(E1445&lt;=12,3,IF(E1445&lt;=15,2,0))))))</f>
        <v/>
      </c>
      <c r="G1445" s="3" t="n"/>
      <c r="H1445" s="4">
        <f>IF(I1445="Штраф -2",-2,IF(OR(F1445="",G1445=""),"",F1445*G1445+IF(J1445="",0,J1445)))</f>
        <v/>
      </c>
      <c r="I1445" s="3" t="n"/>
      <c r="J1445" s="3" t="n"/>
      <c r="K1445" s="3" t="n"/>
    </row>
    <row r="1446">
      <c r="A1446" s="3" t="n"/>
      <c r="B1446" s="3" t="n"/>
      <c r="C1446" s="3" t="n"/>
      <c r="D1446" s="3" t="n"/>
      <c r="E1446" s="4">
        <f>IF(A1446="","",COUNTIFS($A$4:A1446,A1446,$I$4:I1446,"&lt;&gt;Штраф -2",$I$4:I1446,"&lt;&gt;ушел на базу"))</f>
        <v/>
      </c>
      <c r="F1446" s="4">
        <f>IF(E1446="","",IF(E1446&lt;=3,6,IF(E1446&lt;=6,5,IF(E1446&lt;=9,4,IF(E1446&lt;=12,3,IF(E1446&lt;=15,2,0))))))</f>
        <v/>
      </c>
      <c r="G1446" s="3" t="n"/>
      <c r="H1446" s="4">
        <f>IF(I1446="Штраф -2",-2,IF(OR(F1446="",G1446=""),"",F1446*G1446+IF(J1446="",0,J1446)))</f>
        <v/>
      </c>
      <c r="I1446" s="3" t="n"/>
      <c r="J1446" s="3" t="n"/>
      <c r="K1446" s="3" t="n"/>
    </row>
    <row r="1447">
      <c r="A1447" s="3" t="n"/>
      <c r="B1447" s="3" t="n"/>
      <c r="C1447" s="3" t="n"/>
      <c r="D1447" s="3" t="n"/>
      <c r="E1447" s="4">
        <f>IF(A1447="","",COUNTIFS($A$4:A1447,A1447,$I$4:I1447,"&lt;&gt;Штраф -2",$I$4:I1447,"&lt;&gt;ушел на базу"))</f>
        <v/>
      </c>
      <c r="F1447" s="4">
        <f>IF(E1447="","",IF(E1447&lt;=3,6,IF(E1447&lt;=6,5,IF(E1447&lt;=9,4,IF(E1447&lt;=12,3,IF(E1447&lt;=15,2,0))))))</f>
        <v/>
      </c>
      <c r="G1447" s="3" t="n"/>
      <c r="H1447" s="4">
        <f>IF(I1447="Штраф -2",-2,IF(OR(F1447="",G1447=""),"",F1447*G1447+IF(J1447="",0,J1447)))</f>
        <v/>
      </c>
      <c r="I1447" s="3" t="n"/>
      <c r="J1447" s="3" t="n"/>
      <c r="K1447" s="3" t="n"/>
    </row>
    <row r="1448">
      <c r="A1448" s="3" t="n"/>
      <c r="B1448" s="3" t="n"/>
      <c r="C1448" s="3" t="n"/>
      <c r="D1448" s="3" t="n"/>
      <c r="E1448" s="4">
        <f>IF(A1448="","",COUNTIFS($A$4:A1448,A1448,$I$4:I1448,"&lt;&gt;Штраф -2",$I$4:I1448,"&lt;&gt;ушел на базу"))</f>
        <v/>
      </c>
      <c r="F1448" s="4">
        <f>IF(E1448="","",IF(E1448&lt;=3,6,IF(E1448&lt;=6,5,IF(E1448&lt;=9,4,IF(E1448&lt;=12,3,IF(E1448&lt;=15,2,0))))))</f>
        <v/>
      </c>
      <c r="G1448" s="3" t="n"/>
      <c r="H1448" s="4">
        <f>IF(I1448="Штраф -2",-2,IF(OR(F1448="",G1448=""),"",F1448*G1448+IF(J1448="",0,J1448)))</f>
        <v/>
      </c>
      <c r="I1448" s="3" t="n"/>
      <c r="J1448" s="3" t="n"/>
      <c r="K1448" s="3" t="n"/>
    </row>
    <row r="1449">
      <c r="A1449" s="3" t="n"/>
      <c r="B1449" s="3" t="n"/>
      <c r="C1449" s="3" t="n"/>
      <c r="D1449" s="3" t="n"/>
      <c r="E1449" s="4">
        <f>IF(A1449="","",COUNTIFS($A$4:A1449,A1449,$I$4:I1449,"&lt;&gt;Штраф -2",$I$4:I1449,"&lt;&gt;ушел на базу"))</f>
        <v/>
      </c>
      <c r="F1449" s="4">
        <f>IF(E1449="","",IF(E1449&lt;=3,6,IF(E1449&lt;=6,5,IF(E1449&lt;=9,4,IF(E1449&lt;=12,3,IF(E1449&lt;=15,2,0))))))</f>
        <v/>
      </c>
      <c r="G1449" s="3" t="n"/>
      <c r="H1449" s="4">
        <f>IF(I1449="Штраф -2",-2,IF(OR(F1449="",G1449=""),"",F1449*G1449+IF(J1449="",0,J1449)))</f>
        <v/>
      </c>
      <c r="I1449" s="3" t="n"/>
      <c r="J1449" s="3" t="n"/>
      <c r="K1449" s="3" t="n"/>
    </row>
    <row r="1450">
      <c r="A1450" s="3" t="n"/>
      <c r="B1450" s="3" t="n"/>
      <c r="C1450" s="3" t="n"/>
      <c r="D1450" s="3" t="n"/>
      <c r="E1450" s="4">
        <f>IF(A1450="","",COUNTIFS($A$4:A1450,A1450,$I$4:I1450,"&lt;&gt;Штраф -2",$I$4:I1450,"&lt;&gt;ушел на базу"))</f>
        <v/>
      </c>
      <c r="F1450" s="4">
        <f>IF(E1450="","",IF(E1450&lt;=3,6,IF(E1450&lt;=6,5,IF(E1450&lt;=9,4,IF(E1450&lt;=12,3,IF(E1450&lt;=15,2,0))))))</f>
        <v/>
      </c>
      <c r="G1450" s="3" t="n"/>
      <c r="H1450" s="4">
        <f>IF(I1450="Штраф -2",-2,IF(OR(F1450="",G1450=""),"",F1450*G1450+IF(J1450="",0,J1450)))</f>
        <v/>
      </c>
      <c r="I1450" s="3" t="n"/>
      <c r="J1450" s="3" t="n"/>
      <c r="K1450" s="3" t="n"/>
    </row>
    <row r="1451">
      <c r="A1451" s="3" t="n"/>
      <c r="B1451" s="3" t="n"/>
      <c r="C1451" s="3" t="n"/>
      <c r="D1451" s="3" t="n"/>
      <c r="E1451" s="4">
        <f>IF(A1451="","",COUNTIFS($A$4:A1451,A1451,$I$4:I1451,"&lt;&gt;Штраф -2",$I$4:I1451,"&lt;&gt;ушел на базу"))</f>
        <v/>
      </c>
      <c r="F1451" s="4">
        <f>IF(E1451="","",IF(E1451&lt;=3,6,IF(E1451&lt;=6,5,IF(E1451&lt;=9,4,IF(E1451&lt;=12,3,IF(E1451&lt;=15,2,0))))))</f>
        <v/>
      </c>
      <c r="G1451" s="3" t="n"/>
      <c r="H1451" s="4">
        <f>IF(I1451="Штраф -2",-2,IF(OR(F1451="",G1451=""),"",F1451*G1451+IF(J1451="",0,J1451)))</f>
        <v/>
      </c>
      <c r="I1451" s="3" t="n"/>
      <c r="J1451" s="3" t="n"/>
      <c r="K1451" s="3" t="n"/>
    </row>
    <row r="1452">
      <c r="A1452" s="3" t="n"/>
      <c r="B1452" s="3" t="n"/>
      <c r="C1452" s="3" t="n"/>
      <c r="D1452" s="3" t="n"/>
      <c r="E1452" s="4">
        <f>IF(A1452="","",COUNTIFS($A$4:A1452,A1452,$I$4:I1452,"&lt;&gt;Штраф -2",$I$4:I1452,"&lt;&gt;ушел на базу"))</f>
        <v/>
      </c>
      <c r="F1452" s="4">
        <f>IF(E1452="","",IF(E1452&lt;=3,6,IF(E1452&lt;=6,5,IF(E1452&lt;=9,4,IF(E1452&lt;=12,3,IF(E1452&lt;=15,2,0))))))</f>
        <v/>
      </c>
      <c r="G1452" s="3" t="n"/>
      <c r="H1452" s="4">
        <f>IF(I1452="Штраф -2",-2,IF(OR(F1452="",G1452=""),"",F1452*G1452+IF(J1452="",0,J1452)))</f>
        <v/>
      </c>
      <c r="I1452" s="3" t="n"/>
      <c r="J1452" s="3" t="n"/>
      <c r="K1452" s="3" t="n"/>
    </row>
    <row r="1453">
      <c r="A1453" s="3" t="n"/>
      <c r="B1453" s="3" t="n"/>
      <c r="C1453" s="3" t="n"/>
      <c r="D1453" s="3" t="n"/>
      <c r="E1453" s="4">
        <f>IF(A1453="","",COUNTIFS($A$4:A1453,A1453,$I$4:I1453,"&lt;&gt;Штраф -2",$I$4:I1453,"&lt;&gt;ушел на базу"))</f>
        <v/>
      </c>
      <c r="F1453" s="4">
        <f>IF(E1453="","",IF(E1453&lt;=3,6,IF(E1453&lt;=6,5,IF(E1453&lt;=9,4,IF(E1453&lt;=12,3,IF(E1453&lt;=15,2,0))))))</f>
        <v/>
      </c>
      <c r="G1453" s="3" t="n"/>
      <c r="H1453" s="4">
        <f>IF(I1453="Штраф -2",-2,IF(OR(F1453="",G1453=""),"",F1453*G1453+IF(J1453="",0,J1453)))</f>
        <v/>
      </c>
      <c r="I1453" s="3" t="n"/>
      <c r="J1453" s="3" t="n"/>
      <c r="K1453" s="3" t="n"/>
    </row>
    <row r="1454">
      <c r="A1454" s="3" t="n"/>
      <c r="B1454" s="3" t="n"/>
      <c r="C1454" s="3" t="n"/>
      <c r="D1454" s="3" t="n"/>
      <c r="E1454" s="4">
        <f>IF(A1454="","",COUNTIFS($A$4:A1454,A1454,$I$4:I1454,"&lt;&gt;Штраф -2",$I$4:I1454,"&lt;&gt;ушел на базу"))</f>
        <v/>
      </c>
      <c r="F1454" s="4">
        <f>IF(E1454="","",IF(E1454&lt;=3,6,IF(E1454&lt;=6,5,IF(E1454&lt;=9,4,IF(E1454&lt;=12,3,IF(E1454&lt;=15,2,0))))))</f>
        <v/>
      </c>
      <c r="G1454" s="3" t="n"/>
      <c r="H1454" s="4">
        <f>IF(I1454="Штраф -2",-2,IF(OR(F1454="",G1454=""),"",F1454*G1454+IF(J1454="",0,J1454)))</f>
        <v/>
      </c>
      <c r="I1454" s="3" t="n"/>
      <c r="J1454" s="3" t="n"/>
      <c r="K1454" s="3" t="n"/>
    </row>
    <row r="1455">
      <c r="A1455" s="3" t="n"/>
      <c r="B1455" s="3" t="n"/>
      <c r="C1455" s="3" t="n"/>
      <c r="D1455" s="3" t="n"/>
      <c r="E1455" s="4">
        <f>IF(A1455="","",COUNTIFS($A$4:A1455,A1455,$I$4:I1455,"&lt;&gt;Штраф -2",$I$4:I1455,"&lt;&gt;ушел на базу"))</f>
        <v/>
      </c>
      <c r="F1455" s="4">
        <f>IF(E1455="","",IF(E1455&lt;=3,6,IF(E1455&lt;=6,5,IF(E1455&lt;=9,4,IF(E1455&lt;=12,3,IF(E1455&lt;=15,2,0))))))</f>
        <v/>
      </c>
      <c r="G1455" s="3" t="n"/>
      <c r="H1455" s="4">
        <f>IF(I1455="Штраф -2",-2,IF(OR(F1455="",G1455=""),"",F1455*G1455+IF(J1455="",0,J1455)))</f>
        <v/>
      </c>
      <c r="I1455" s="3" t="n"/>
      <c r="J1455" s="3" t="n"/>
      <c r="K1455" s="3" t="n"/>
    </row>
    <row r="1456">
      <c r="A1456" s="3" t="n"/>
      <c r="B1456" s="3" t="n"/>
      <c r="C1456" s="3" t="n"/>
      <c r="D1456" s="3" t="n"/>
      <c r="E1456" s="4">
        <f>IF(A1456="","",COUNTIFS($A$4:A1456,A1456,$I$4:I1456,"&lt;&gt;Штраф -2",$I$4:I1456,"&lt;&gt;ушел на базу"))</f>
        <v/>
      </c>
      <c r="F1456" s="4">
        <f>IF(E1456="","",IF(E1456&lt;=3,6,IF(E1456&lt;=6,5,IF(E1456&lt;=9,4,IF(E1456&lt;=12,3,IF(E1456&lt;=15,2,0))))))</f>
        <v/>
      </c>
      <c r="G1456" s="3" t="n"/>
      <c r="H1456" s="4">
        <f>IF(I1456="Штраф -2",-2,IF(OR(F1456="",G1456=""),"",F1456*G1456+IF(J1456="",0,J1456)))</f>
        <v/>
      </c>
      <c r="I1456" s="3" t="n"/>
      <c r="J1456" s="3" t="n"/>
      <c r="K1456" s="3" t="n"/>
    </row>
    <row r="1457">
      <c r="A1457" s="3" t="n"/>
      <c r="B1457" s="3" t="n"/>
      <c r="C1457" s="3" t="n"/>
      <c r="D1457" s="3" t="n"/>
      <c r="E1457" s="4">
        <f>IF(A1457="","",COUNTIFS($A$4:A1457,A1457,$I$4:I1457,"&lt;&gt;Штраф -2",$I$4:I1457,"&lt;&gt;ушел на базу"))</f>
        <v/>
      </c>
      <c r="F1457" s="4">
        <f>IF(E1457="","",IF(E1457&lt;=3,6,IF(E1457&lt;=6,5,IF(E1457&lt;=9,4,IF(E1457&lt;=12,3,IF(E1457&lt;=15,2,0))))))</f>
        <v/>
      </c>
      <c r="G1457" s="3" t="n"/>
      <c r="H1457" s="4">
        <f>IF(I1457="Штраф -2",-2,IF(OR(F1457="",G1457=""),"",F1457*G1457+IF(J1457="",0,J1457)))</f>
        <v/>
      </c>
      <c r="I1457" s="3" t="n"/>
      <c r="J1457" s="3" t="n"/>
      <c r="K1457" s="3" t="n"/>
    </row>
    <row r="1458">
      <c r="A1458" s="3" t="n"/>
      <c r="B1458" s="3" t="n"/>
      <c r="C1458" s="3" t="n"/>
      <c r="D1458" s="3" t="n"/>
      <c r="E1458" s="4">
        <f>IF(A1458="","",COUNTIFS($A$4:A1458,A1458,$I$4:I1458,"&lt;&gt;Штраф -2",$I$4:I1458,"&lt;&gt;ушел на базу"))</f>
        <v/>
      </c>
      <c r="F1458" s="4">
        <f>IF(E1458="","",IF(E1458&lt;=3,6,IF(E1458&lt;=6,5,IF(E1458&lt;=9,4,IF(E1458&lt;=12,3,IF(E1458&lt;=15,2,0))))))</f>
        <v/>
      </c>
      <c r="G1458" s="3" t="n"/>
      <c r="H1458" s="4">
        <f>IF(I1458="Штраф -2",-2,IF(OR(F1458="",G1458=""),"",F1458*G1458+IF(J1458="",0,J1458)))</f>
        <v/>
      </c>
      <c r="I1458" s="3" t="n"/>
      <c r="J1458" s="3" t="n"/>
      <c r="K1458" s="3" t="n"/>
    </row>
    <row r="1459">
      <c r="A1459" s="3" t="n"/>
      <c r="B1459" s="3" t="n"/>
      <c r="C1459" s="3" t="n"/>
      <c r="D1459" s="3" t="n"/>
      <c r="E1459" s="4">
        <f>IF(A1459="","",COUNTIFS($A$4:A1459,A1459,$I$4:I1459,"&lt;&gt;Штраф -2",$I$4:I1459,"&lt;&gt;ушел на базу"))</f>
        <v/>
      </c>
      <c r="F1459" s="4">
        <f>IF(E1459="","",IF(E1459&lt;=3,6,IF(E1459&lt;=6,5,IF(E1459&lt;=9,4,IF(E1459&lt;=12,3,IF(E1459&lt;=15,2,0))))))</f>
        <v/>
      </c>
      <c r="G1459" s="3" t="n"/>
      <c r="H1459" s="4">
        <f>IF(I1459="Штраф -2",-2,IF(OR(F1459="",G1459=""),"",F1459*G1459+IF(J1459="",0,J1459)))</f>
        <v/>
      </c>
      <c r="I1459" s="3" t="n"/>
      <c r="J1459" s="3" t="n"/>
      <c r="K1459" s="3" t="n"/>
    </row>
    <row r="1460">
      <c r="A1460" s="3" t="n"/>
      <c r="B1460" s="3" t="n"/>
      <c r="C1460" s="3" t="n"/>
      <c r="D1460" s="3" t="n"/>
      <c r="E1460" s="4">
        <f>IF(A1460="","",COUNTIFS($A$4:A1460,A1460,$I$4:I1460,"&lt;&gt;Штраф -2",$I$4:I1460,"&lt;&gt;ушел на базу"))</f>
        <v/>
      </c>
      <c r="F1460" s="4">
        <f>IF(E1460="","",IF(E1460&lt;=3,6,IF(E1460&lt;=6,5,IF(E1460&lt;=9,4,IF(E1460&lt;=12,3,IF(E1460&lt;=15,2,0))))))</f>
        <v/>
      </c>
      <c r="G1460" s="3" t="n"/>
      <c r="H1460" s="4">
        <f>IF(I1460="Штраф -2",-2,IF(OR(F1460="",G1460=""),"",F1460*G1460+IF(J1460="",0,J1460)))</f>
        <v/>
      </c>
      <c r="I1460" s="3" t="n"/>
      <c r="J1460" s="3" t="n"/>
      <c r="K1460" s="3" t="n"/>
    </row>
    <row r="1461">
      <c r="A1461" s="3" t="n"/>
      <c r="B1461" s="3" t="n"/>
      <c r="C1461" s="3" t="n"/>
      <c r="D1461" s="3" t="n"/>
      <c r="E1461" s="4">
        <f>IF(A1461="","",COUNTIFS($A$4:A1461,A1461,$I$4:I1461,"&lt;&gt;Штраф -2",$I$4:I1461,"&lt;&gt;ушел на базу"))</f>
        <v/>
      </c>
      <c r="F1461" s="4">
        <f>IF(E1461="","",IF(E1461&lt;=3,6,IF(E1461&lt;=6,5,IF(E1461&lt;=9,4,IF(E1461&lt;=12,3,IF(E1461&lt;=15,2,0))))))</f>
        <v/>
      </c>
      <c r="G1461" s="3" t="n"/>
      <c r="H1461" s="4">
        <f>IF(I1461="Штраф -2",-2,IF(OR(F1461="",G1461=""),"",F1461*G1461+IF(J1461="",0,J1461)))</f>
        <v/>
      </c>
      <c r="I1461" s="3" t="n"/>
      <c r="J1461" s="3" t="n"/>
      <c r="K1461" s="3" t="n"/>
    </row>
    <row r="1462">
      <c r="A1462" s="3" t="n"/>
      <c r="B1462" s="3" t="n"/>
      <c r="C1462" s="3" t="n"/>
      <c r="D1462" s="3" t="n"/>
      <c r="E1462" s="4">
        <f>IF(A1462="","",COUNTIFS($A$4:A1462,A1462,$I$4:I1462,"&lt;&gt;Штраф -2",$I$4:I1462,"&lt;&gt;ушел на базу"))</f>
        <v/>
      </c>
      <c r="F1462" s="4">
        <f>IF(E1462="","",IF(E1462&lt;=3,6,IF(E1462&lt;=6,5,IF(E1462&lt;=9,4,IF(E1462&lt;=12,3,IF(E1462&lt;=15,2,0))))))</f>
        <v/>
      </c>
      <c r="G1462" s="3" t="n"/>
      <c r="H1462" s="4">
        <f>IF(I1462="Штраф -2",-2,IF(OR(F1462="",G1462=""),"",F1462*G1462+IF(J1462="",0,J1462)))</f>
        <v/>
      </c>
      <c r="I1462" s="3" t="n"/>
      <c r="J1462" s="3" t="n"/>
      <c r="K1462" s="3" t="n"/>
    </row>
    <row r="1463">
      <c r="A1463" s="3" t="n"/>
      <c r="B1463" s="3" t="n"/>
      <c r="C1463" s="3" t="n"/>
      <c r="D1463" s="3" t="n"/>
      <c r="E1463" s="4">
        <f>IF(A1463="","",COUNTIFS($A$4:A1463,A1463,$I$4:I1463,"&lt;&gt;Штраф -2",$I$4:I1463,"&lt;&gt;ушел на базу"))</f>
        <v/>
      </c>
      <c r="F1463" s="4">
        <f>IF(E1463="","",IF(E1463&lt;=3,6,IF(E1463&lt;=6,5,IF(E1463&lt;=9,4,IF(E1463&lt;=12,3,IF(E1463&lt;=15,2,0))))))</f>
        <v/>
      </c>
      <c r="G1463" s="3" t="n"/>
      <c r="H1463" s="4">
        <f>IF(I1463="Штраф -2",-2,IF(OR(F1463="",G1463=""),"",F1463*G1463+IF(J1463="",0,J1463)))</f>
        <v/>
      </c>
      <c r="I1463" s="3" t="n"/>
      <c r="J1463" s="3" t="n"/>
      <c r="K1463" s="3" t="n"/>
    </row>
    <row r="1464">
      <c r="A1464" s="3" t="n"/>
      <c r="B1464" s="3" t="n"/>
      <c r="C1464" s="3" t="n"/>
      <c r="D1464" s="3" t="n"/>
      <c r="E1464" s="4">
        <f>IF(A1464="","",COUNTIFS($A$4:A1464,A1464,$I$4:I1464,"&lt;&gt;Штраф -2",$I$4:I1464,"&lt;&gt;ушел на базу"))</f>
        <v/>
      </c>
      <c r="F1464" s="4">
        <f>IF(E1464="","",IF(E1464&lt;=3,6,IF(E1464&lt;=6,5,IF(E1464&lt;=9,4,IF(E1464&lt;=12,3,IF(E1464&lt;=15,2,0))))))</f>
        <v/>
      </c>
      <c r="G1464" s="3" t="n"/>
      <c r="H1464" s="4">
        <f>IF(I1464="Штраф -2",-2,IF(OR(F1464="",G1464=""),"",F1464*G1464+IF(J1464="",0,J1464)))</f>
        <v/>
      </c>
      <c r="I1464" s="3" t="n"/>
      <c r="J1464" s="3" t="n"/>
      <c r="K1464" s="3" t="n"/>
    </row>
    <row r="1465">
      <c r="A1465" s="3" t="n"/>
      <c r="B1465" s="3" t="n"/>
      <c r="C1465" s="3" t="n"/>
      <c r="D1465" s="3" t="n"/>
      <c r="E1465" s="4">
        <f>IF(A1465="","",COUNTIFS($A$4:A1465,A1465,$I$4:I1465,"&lt;&gt;Штраф -2",$I$4:I1465,"&lt;&gt;ушел на базу"))</f>
        <v/>
      </c>
      <c r="F1465" s="4">
        <f>IF(E1465="","",IF(E1465&lt;=3,6,IF(E1465&lt;=6,5,IF(E1465&lt;=9,4,IF(E1465&lt;=12,3,IF(E1465&lt;=15,2,0))))))</f>
        <v/>
      </c>
      <c r="G1465" s="3" t="n"/>
      <c r="H1465" s="4">
        <f>IF(I1465="Штраф -2",-2,IF(OR(F1465="",G1465=""),"",F1465*G1465+IF(J1465="",0,J1465)))</f>
        <v/>
      </c>
      <c r="I1465" s="3" t="n"/>
      <c r="J1465" s="3" t="n"/>
      <c r="K1465" s="3" t="n"/>
    </row>
    <row r="1466">
      <c r="A1466" s="3" t="n"/>
      <c r="B1466" s="3" t="n"/>
      <c r="C1466" s="3" t="n"/>
      <c r="D1466" s="3" t="n"/>
      <c r="E1466" s="4">
        <f>IF(A1466="","",COUNTIFS($A$4:A1466,A1466,$I$4:I1466,"&lt;&gt;Штраф -2",$I$4:I1466,"&lt;&gt;ушел на базу"))</f>
        <v/>
      </c>
      <c r="F1466" s="4">
        <f>IF(E1466="","",IF(E1466&lt;=3,6,IF(E1466&lt;=6,5,IF(E1466&lt;=9,4,IF(E1466&lt;=12,3,IF(E1466&lt;=15,2,0))))))</f>
        <v/>
      </c>
      <c r="G1466" s="3" t="n"/>
      <c r="H1466" s="4">
        <f>IF(I1466="Штраф -2",-2,IF(OR(F1466="",G1466=""),"",F1466*G1466+IF(J1466="",0,J1466)))</f>
        <v/>
      </c>
      <c r="I1466" s="3" t="n"/>
      <c r="J1466" s="3" t="n"/>
      <c r="K1466" s="3" t="n"/>
    </row>
    <row r="1467">
      <c r="A1467" s="3" t="n"/>
      <c r="B1467" s="3" t="n"/>
      <c r="C1467" s="3" t="n"/>
      <c r="D1467" s="3" t="n"/>
      <c r="E1467" s="4">
        <f>IF(A1467="","",COUNTIFS($A$4:A1467,A1467,$I$4:I1467,"&lt;&gt;Штраф -2",$I$4:I1467,"&lt;&gt;ушел на базу"))</f>
        <v/>
      </c>
      <c r="F1467" s="4">
        <f>IF(E1467="","",IF(E1467&lt;=3,6,IF(E1467&lt;=6,5,IF(E1467&lt;=9,4,IF(E1467&lt;=12,3,IF(E1467&lt;=15,2,0))))))</f>
        <v/>
      </c>
      <c r="G1467" s="3" t="n"/>
      <c r="H1467" s="4">
        <f>IF(I1467="Штраф -2",-2,IF(OR(F1467="",G1467=""),"",F1467*G1467+IF(J1467="",0,J1467)))</f>
        <v/>
      </c>
      <c r="I1467" s="3" t="n"/>
      <c r="J1467" s="3" t="n"/>
      <c r="K1467" s="3" t="n"/>
    </row>
    <row r="1468">
      <c r="A1468" s="3" t="n"/>
      <c r="B1468" s="3" t="n"/>
      <c r="C1468" s="3" t="n"/>
      <c r="D1468" s="3" t="n"/>
      <c r="E1468" s="4">
        <f>IF(A1468="","",COUNTIFS($A$4:A1468,A1468,$I$4:I1468,"&lt;&gt;Штраф -2",$I$4:I1468,"&lt;&gt;ушел на базу"))</f>
        <v/>
      </c>
      <c r="F1468" s="4">
        <f>IF(E1468="","",IF(E1468&lt;=3,6,IF(E1468&lt;=6,5,IF(E1468&lt;=9,4,IF(E1468&lt;=12,3,IF(E1468&lt;=15,2,0))))))</f>
        <v/>
      </c>
      <c r="G1468" s="3" t="n"/>
      <c r="H1468" s="4">
        <f>IF(I1468="Штраф -2",-2,IF(OR(F1468="",G1468=""),"",F1468*G1468+IF(J1468="",0,J1468)))</f>
        <v/>
      </c>
      <c r="I1468" s="3" t="n"/>
      <c r="J1468" s="3" t="n"/>
      <c r="K1468" s="3" t="n"/>
    </row>
    <row r="1469">
      <c r="A1469" s="3" t="n"/>
      <c r="B1469" s="3" t="n"/>
      <c r="C1469" s="3" t="n"/>
      <c r="D1469" s="3" t="n"/>
      <c r="E1469" s="4">
        <f>IF(A1469="","",COUNTIFS($A$4:A1469,A1469,$I$4:I1469,"&lt;&gt;Штраф -2",$I$4:I1469,"&lt;&gt;ушел на базу"))</f>
        <v/>
      </c>
      <c r="F1469" s="4">
        <f>IF(E1469="","",IF(E1469&lt;=3,6,IF(E1469&lt;=6,5,IF(E1469&lt;=9,4,IF(E1469&lt;=12,3,IF(E1469&lt;=15,2,0))))))</f>
        <v/>
      </c>
      <c r="G1469" s="3" t="n"/>
      <c r="H1469" s="4">
        <f>IF(I1469="Штраф -2",-2,IF(OR(F1469="",G1469=""),"",F1469*G1469+IF(J1469="",0,J1469)))</f>
        <v/>
      </c>
      <c r="I1469" s="3" t="n"/>
      <c r="J1469" s="3" t="n"/>
      <c r="K1469" s="3" t="n"/>
    </row>
    <row r="1470">
      <c r="A1470" s="3" t="n"/>
      <c r="B1470" s="3" t="n"/>
      <c r="C1470" s="3" t="n"/>
      <c r="D1470" s="3" t="n"/>
      <c r="E1470" s="4">
        <f>IF(A1470="","",COUNTIFS($A$4:A1470,A1470,$I$4:I1470,"&lt;&gt;Штраф -2",$I$4:I1470,"&lt;&gt;ушел на базу"))</f>
        <v/>
      </c>
      <c r="F1470" s="4">
        <f>IF(E1470="","",IF(E1470&lt;=3,6,IF(E1470&lt;=6,5,IF(E1470&lt;=9,4,IF(E1470&lt;=12,3,IF(E1470&lt;=15,2,0))))))</f>
        <v/>
      </c>
      <c r="G1470" s="3" t="n"/>
      <c r="H1470" s="4">
        <f>IF(I1470="Штраф -2",-2,IF(OR(F1470="",G1470=""),"",F1470*G1470+IF(J1470="",0,J1470)))</f>
        <v/>
      </c>
      <c r="I1470" s="3" t="n"/>
      <c r="J1470" s="3" t="n"/>
      <c r="K1470" s="3" t="n"/>
    </row>
    <row r="1471">
      <c r="A1471" s="3" t="n"/>
      <c r="B1471" s="3" t="n"/>
      <c r="C1471" s="3" t="n"/>
      <c r="D1471" s="3" t="n"/>
      <c r="E1471" s="4">
        <f>IF(A1471="","",COUNTIFS($A$4:A1471,A1471,$I$4:I1471,"&lt;&gt;Штраф -2",$I$4:I1471,"&lt;&gt;ушел на базу"))</f>
        <v/>
      </c>
      <c r="F1471" s="4">
        <f>IF(E1471="","",IF(E1471&lt;=3,6,IF(E1471&lt;=6,5,IF(E1471&lt;=9,4,IF(E1471&lt;=12,3,IF(E1471&lt;=15,2,0))))))</f>
        <v/>
      </c>
      <c r="G1471" s="3" t="n"/>
      <c r="H1471" s="4">
        <f>IF(I1471="Штраф -2",-2,IF(OR(F1471="",G1471=""),"",F1471*G1471+IF(J1471="",0,J1471)))</f>
        <v/>
      </c>
      <c r="I1471" s="3" t="n"/>
      <c r="J1471" s="3" t="n"/>
      <c r="K1471" s="3" t="n"/>
    </row>
    <row r="1472">
      <c r="A1472" s="3" t="n"/>
      <c r="B1472" s="3" t="n"/>
      <c r="C1472" s="3" t="n"/>
      <c r="D1472" s="3" t="n"/>
      <c r="E1472" s="4">
        <f>IF(A1472="","",COUNTIFS($A$4:A1472,A1472,$I$4:I1472,"&lt;&gt;Штраф -2",$I$4:I1472,"&lt;&gt;ушел на базу"))</f>
        <v/>
      </c>
      <c r="F1472" s="4">
        <f>IF(E1472="","",IF(E1472&lt;=3,6,IF(E1472&lt;=6,5,IF(E1472&lt;=9,4,IF(E1472&lt;=12,3,IF(E1472&lt;=15,2,0))))))</f>
        <v/>
      </c>
      <c r="G1472" s="3" t="n"/>
      <c r="H1472" s="4">
        <f>IF(I1472="Штраф -2",-2,IF(OR(F1472="",G1472=""),"",F1472*G1472+IF(J1472="",0,J1472)))</f>
        <v/>
      </c>
      <c r="I1472" s="3" t="n"/>
      <c r="J1472" s="3" t="n"/>
      <c r="K1472" s="3" t="n"/>
    </row>
    <row r="1473">
      <c r="A1473" s="3" t="n"/>
      <c r="B1473" s="3" t="n"/>
      <c r="C1473" s="3" t="n"/>
      <c r="D1473" s="3" t="n"/>
      <c r="E1473" s="4">
        <f>IF(A1473="","",COUNTIFS($A$4:A1473,A1473,$I$4:I1473,"&lt;&gt;Штраф -2",$I$4:I1473,"&lt;&gt;ушел на базу"))</f>
        <v/>
      </c>
      <c r="F1473" s="4">
        <f>IF(E1473="","",IF(E1473&lt;=3,6,IF(E1473&lt;=6,5,IF(E1473&lt;=9,4,IF(E1473&lt;=12,3,IF(E1473&lt;=15,2,0))))))</f>
        <v/>
      </c>
      <c r="G1473" s="3" t="n"/>
      <c r="H1473" s="4">
        <f>IF(I1473="Штраф -2",-2,IF(OR(F1473="",G1473=""),"",F1473*G1473+IF(J1473="",0,J1473)))</f>
        <v/>
      </c>
      <c r="I1473" s="3" t="n"/>
      <c r="J1473" s="3" t="n"/>
      <c r="K1473" s="3" t="n"/>
    </row>
    <row r="1474">
      <c r="A1474" s="3" t="n"/>
      <c r="B1474" s="3" t="n"/>
      <c r="C1474" s="3" t="n"/>
      <c r="D1474" s="3" t="n"/>
      <c r="E1474" s="4">
        <f>IF(A1474="","",COUNTIFS($A$4:A1474,A1474,$I$4:I1474,"&lt;&gt;Штраф -2",$I$4:I1474,"&lt;&gt;ушел на базу"))</f>
        <v/>
      </c>
      <c r="F1474" s="4">
        <f>IF(E1474="","",IF(E1474&lt;=3,6,IF(E1474&lt;=6,5,IF(E1474&lt;=9,4,IF(E1474&lt;=12,3,IF(E1474&lt;=15,2,0))))))</f>
        <v/>
      </c>
      <c r="G1474" s="3" t="n"/>
      <c r="H1474" s="4">
        <f>IF(I1474="Штраф -2",-2,IF(OR(F1474="",G1474=""),"",F1474*G1474+IF(J1474="",0,J1474)))</f>
        <v/>
      </c>
      <c r="I1474" s="3" t="n"/>
      <c r="J1474" s="3" t="n"/>
      <c r="K1474" s="3" t="n"/>
    </row>
    <row r="1475">
      <c r="A1475" s="3" t="n"/>
      <c r="B1475" s="3" t="n"/>
      <c r="C1475" s="3" t="n"/>
      <c r="D1475" s="3" t="n"/>
      <c r="E1475" s="4">
        <f>IF(A1475="","",COUNTIFS($A$4:A1475,A1475,$I$4:I1475,"&lt;&gt;Штраф -2",$I$4:I1475,"&lt;&gt;ушел на базу"))</f>
        <v/>
      </c>
      <c r="F1475" s="4">
        <f>IF(E1475="","",IF(E1475&lt;=3,6,IF(E1475&lt;=6,5,IF(E1475&lt;=9,4,IF(E1475&lt;=12,3,IF(E1475&lt;=15,2,0))))))</f>
        <v/>
      </c>
      <c r="G1475" s="3" t="n"/>
      <c r="H1475" s="4">
        <f>IF(I1475="Штраф -2",-2,IF(OR(F1475="",G1475=""),"",F1475*G1475+IF(J1475="",0,J1475)))</f>
        <v/>
      </c>
      <c r="I1475" s="3" t="n"/>
      <c r="J1475" s="3" t="n"/>
      <c r="K1475" s="3" t="n"/>
    </row>
    <row r="1476">
      <c r="A1476" s="3" t="n"/>
      <c r="B1476" s="3" t="n"/>
      <c r="C1476" s="3" t="n"/>
      <c r="D1476" s="3" t="n"/>
      <c r="E1476" s="4">
        <f>IF(A1476="","",COUNTIFS($A$4:A1476,A1476,$I$4:I1476,"&lt;&gt;Штраф -2",$I$4:I1476,"&lt;&gt;ушел на базу"))</f>
        <v/>
      </c>
      <c r="F1476" s="4">
        <f>IF(E1476="","",IF(E1476&lt;=3,6,IF(E1476&lt;=6,5,IF(E1476&lt;=9,4,IF(E1476&lt;=12,3,IF(E1476&lt;=15,2,0))))))</f>
        <v/>
      </c>
      <c r="G1476" s="3" t="n"/>
      <c r="H1476" s="4">
        <f>IF(I1476="Штраф -2",-2,IF(OR(F1476="",G1476=""),"",F1476*G1476+IF(J1476="",0,J1476)))</f>
        <v/>
      </c>
      <c r="I1476" s="3" t="n"/>
      <c r="J1476" s="3" t="n"/>
      <c r="K1476" s="3" t="n"/>
    </row>
    <row r="1477">
      <c r="A1477" s="3" t="n"/>
      <c r="B1477" s="3" t="n"/>
      <c r="C1477" s="3" t="n"/>
      <c r="D1477" s="3" t="n"/>
      <c r="E1477" s="4">
        <f>IF(A1477="","",COUNTIFS($A$4:A1477,A1477,$I$4:I1477,"&lt;&gt;Штраф -2",$I$4:I1477,"&lt;&gt;ушел на базу"))</f>
        <v/>
      </c>
      <c r="F1477" s="4">
        <f>IF(E1477="","",IF(E1477&lt;=3,6,IF(E1477&lt;=6,5,IF(E1477&lt;=9,4,IF(E1477&lt;=12,3,IF(E1477&lt;=15,2,0))))))</f>
        <v/>
      </c>
      <c r="G1477" s="3" t="n"/>
      <c r="H1477" s="4">
        <f>IF(I1477="Штраф -2",-2,IF(OR(F1477="",G1477=""),"",F1477*G1477+IF(J1477="",0,J1477)))</f>
        <v/>
      </c>
      <c r="I1477" s="3" t="n"/>
      <c r="J1477" s="3" t="n"/>
      <c r="K1477" s="3" t="n"/>
    </row>
    <row r="1478">
      <c r="A1478" s="3" t="n"/>
      <c r="B1478" s="3" t="n"/>
      <c r="C1478" s="3" t="n"/>
      <c r="D1478" s="3" t="n"/>
      <c r="E1478" s="4">
        <f>IF(A1478="","",COUNTIFS($A$4:A1478,A1478,$I$4:I1478,"&lt;&gt;Штраф -2",$I$4:I1478,"&lt;&gt;ушел на базу"))</f>
        <v/>
      </c>
      <c r="F1478" s="4">
        <f>IF(E1478="","",IF(E1478&lt;=3,6,IF(E1478&lt;=6,5,IF(E1478&lt;=9,4,IF(E1478&lt;=12,3,IF(E1478&lt;=15,2,0))))))</f>
        <v/>
      </c>
      <c r="G1478" s="3" t="n"/>
      <c r="H1478" s="4">
        <f>IF(I1478="Штраф -2",-2,IF(OR(F1478="",G1478=""),"",F1478*G1478+IF(J1478="",0,J1478)))</f>
        <v/>
      </c>
      <c r="I1478" s="3" t="n"/>
      <c r="J1478" s="3" t="n"/>
      <c r="K1478" s="3" t="n"/>
    </row>
    <row r="1479">
      <c r="A1479" s="3" t="n"/>
      <c r="B1479" s="3" t="n"/>
      <c r="C1479" s="3" t="n"/>
      <c r="D1479" s="3" t="n"/>
      <c r="E1479" s="4">
        <f>IF(A1479="","",COUNTIFS($A$4:A1479,A1479,$I$4:I1479,"&lt;&gt;Штраф -2",$I$4:I1479,"&lt;&gt;ушел на базу"))</f>
        <v/>
      </c>
      <c r="F1479" s="4">
        <f>IF(E1479="","",IF(E1479&lt;=3,6,IF(E1479&lt;=6,5,IF(E1479&lt;=9,4,IF(E1479&lt;=12,3,IF(E1479&lt;=15,2,0))))))</f>
        <v/>
      </c>
      <c r="G1479" s="3" t="n"/>
      <c r="H1479" s="4">
        <f>IF(I1479="Штраф -2",-2,IF(OR(F1479="",G1479=""),"",F1479*G1479+IF(J1479="",0,J1479)))</f>
        <v/>
      </c>
      <c r="I1479" s="3" t="n"/>
      <c r="J1479" s="3" t="n"/>
      <c r="K1479" s="3" t="n"/>
    </row>
    <row r="1480">
      <c r="A1480" s="3" t="n"/>
      <c r="B1480" s="3" t="n"/>
      <c r="C1480" s="3" t="n"/>
      <c r="D1480" s="3" t="n"/>
      <c r="E1480" s="4">
        <f>IF(A1480="","",COUNTIFS($A$4:A1480,A1480,$I$4:I1480,"&lt;&gt;Штраф -2",$I$4:I1480,"&lt;&gt;ушел на базу"))</f>
        <v/>
      </c>
      <c r="F1480" s="4">
        <f>IF(E1480="","",IF(E1480&lt;=3,6,IF(E1480&lt;=6,5,IF(E1480&lt;=9,4,IF(E1480&lt;=12,3,IF(E1480&lt;=15,2,0))))))</f>
        <v/>
      </c>
      <c r="G1480" s="3" t="n"/>
      <c r="H1480" s="4">
        <f>IF(I1480="Штраф -2",-2,IF(OR(F1480="",G1480=""),"",F1480*G1480+IF(J1480="",0,J1480)))</f>
        <v/>
      </c>
      <c r="I1480" s="3" t="n"/>
      <c r="J1480" s="3" t="n"/>
      <c r="K1480" s="3" t="n"/>
    </row>
    <row r="1481">
      <c r="A1481" s="3" t="n"/>
      <c r="B1481" s="3" t="n"/>
      <c r="C1481" s="3" t="n"/>
      <c r="D1481" s="3" t="n"/>
      <c r="E1481" s="4">
        <f>IF(A1481="","",COUNTIFS($A$4:A1481,A1481,$I$4:I1481,"&lt;&gt;Штраф -2",$I$4:I1481,"&lt;&gt;ушел на базу"))</f>
        <v/>
      </c>
      <c r="F1481" s="4">
        <f>IF(E1481="","",IF(E1481&lt;=3,6,IF(E1481&lt;=6,5,IF(E1481&lt;=9,4,IF(E1481&lt;=12,3,IF(E1481&lt;=15,2,0))))))</f>
        <v/>
      </c>
      <c r="G1481" s="3" t="n"/>
      <c r="H1481" s="4">
        <f>IF(I1481="Штраф -2",-2,IF(OR(F1481="",G1481=""),"",F1481*G1481+IF(J1481="",0,J1481)))</f>
        <v/>
      </c>
      <c r="I1481" s="3" t="n"/>
      <c r="J1481" s="3" t="n"/>
      <c r="K1481" s="3" t="n"/>
    </row>
    <row r="1482">
      <c r="A1482" s="3" t="n"/>
      <c r="B1482" s="3" t="n"/>
      <c r="C1482" s="3" t="n"/>
      <c r="D1482" s="3" t="n"/>
      <c r="E1482" s="4">
        <f>IF(A1482="","",COUNTIFS($A$4:A1482,A1482,$I$4:I1482,"&lt;&gt;Штраф -2",$I$4:I1482,"&lt;&gt;ушел на базу"))</f>
        <v/>
      </c>
      <c r="F1482" s="4">
        <f>IF(E1482="","",IF(E1482&lt;=3,6,IF(E1482&lt;=6,5,IF(E1482&lt;=9,4,IF(E1482&lt;=12,3,IF(E1482&lt;=15,2,0))))))</f>
        <v/>
      </c>
      <c r="G1482" s="3" t="n"/>
      <c r="H1482" s="4">
        <f>IF(I1482="Штраф -2",-2,IF(OR(F1482="",G1482=""),"",F1482*G1482+IF(J1482="",0,J1482)))</f>
        <v/>
      </c>
      <c r="I1482" s="3" t="n"/>
      <c r="J1482" s="3" t="n"/>
      <c r="K1482" s="3" t="n"/>
    </row>
    <row r="1483">
      <c r="A1483" s="3" t="n"/>
      <c r="B1483" s="3" t="n"/>
      <c r="C1483" s="3" t="n"/>
      <c r="D1483" s="3" t="n"/>
      <c r="E1483" s="4">
        <f>IF(A1483="","",COUNTIFS($A$4:A1483,A1483,$I$4:I1483,"&lt;&gt;Штраф -2",$I$4:I1483,"&lt;&gt;ушел на базу"))</f>
        <v/>
      </c>
      <c r="F1483" s="4">
        <f>IF(E1483="","",IF(E1483&lt;=3,6,IF(E1483&lt;=6,5,IF(E1483&lt;=9,4,IF(E1483&lt;=12,3,IF(E1483&lt;=15,2,0))))))</f>
        <v/>
      </c>
      <c r="G1483" s="3" t="n"/>
      <c r="H1483" s="4">
        <f>IF(I1483="Штраф -2",-2,IF(OR(F1483="",G1483=""),"",F1483*G1483+IF(J1483="",0,J1483)))</f>
        <v/>
      </c>
      <c r="I1483" s="3" t="n"/>
      <c r="J1483" s="3" t="n"/>
      <c r="K1483" s="3" t="n"/>
    </row>
    <row r="1484">
      <c r="A1484" s="3" t="n"/>
      <c r="B1484" s="3" t="n"/>
      <c r="C1484" s="3" t="n"/>
      <c r="D1484" s="3" t="n"/>
      <c r="E1484" s="4">
        <f>IF(A1484="","",COUNTIFS($A$4:A1484,A1484,$I$4:I1484,"&lt;&gt;Штраф -2",$I$4:I1484,"&lt;&gt;ушел на базу"))</f>
        <v/>
      </c>
      <c r="F1484" s="4">
        <f>IF(E1484="","",IF(E1484&lt;=3,6,IF(E1484&lt;=6,5,IF(E1484&lt;=9,4,IF(E1484&lt;=12,3,IF(E1484&lt;=15,2,0))))))</f>
        <v/>
      </c>
      <c r="G1484" s="3" t="n"/>
      <c r="H1484" s="4">
        <f>IF(I1484="Штраф -2",-2,IF(OR(F1484="",G1484=""),"",F1484*G1484+IF(J1484="",0,J1484)))</f>
        <v/>
      </c>
      <c r="I1484" s="3" t="n"/>
      <c r="J1484" s="3" t="n"/>
      <c r="K1484" s="3" t="n"/>
    </row>
    <row r="1485">
      <c r="A1485" s="3" t="n"/>
      <c r="B1485" s="3" t="n"/>
      <c r="C1485" s="3" t="n"/>
      <c r="D1485" s="3" t="n"/>
      <c r="E1485" s="4">
        <f>IF(A1485="","",COUNTIFS($A$4:A1485,A1485,$I$4:I1485,"&lt;&gt;Штраф -2",$I$4:I1485,"&lt;&gt;ушел на базу"))</f>
        <v/>
      </c>
      <c r="F1485" s="4">
        <f>IF(E1485="","",IF(E1485&lt;=3,6,IF(E1485&lt;=6,5,IF(E1485&lt;=9,4,IF(E1485&lt;=12,3,IF(E1485&lt;=15,2,0))))))</f>
        <v/>
      </c>
      <c r="G1485" s="3" t="n"/>
      <c r="H1485" s="4">
        <f>IF(I1485="Штраф -2",-2,IF(OR(F1485="",G1485=""),"",F1485*G1485+IF(J1485="",0,J1485)))</f>
        <v/>
      </c>
      <c r="I1485" s="3" t="n"/>
      <c r="J1485" s="3" t="n"/>
      <c r="K1485" s="3" t="n"/>
    </row>
    <row r="1486">
      <c r="A1486" s="3" t="n"/>
      <c r="B1486" s="3" t="n"/>
      <c r="C1486" s="3" t="n"/>
      <c r="D1486" s="3" t="n"/>
      <c r="E1486" s="4">
        <f>IF(A1486="","",COUNTIFS($A$4:A1486,A1486,$I$4:I1486,"&lt;&gt;Штраф -2",$I$4:I1486,"&lt;&gt;ушел на базу"))</f>
        <v/>
      </c>
      <c r="F1486" s="4">
        <f>IF(E1486="","",IF(E1486&lt;=3,6,IF(E1486&lt;=6,5,IF(E1486&lt;=9,4,IF(E1486&lt;=12,3,IF(E1486&lt;=15,2,0))))))</f>
        <v/>
      </c>
      <c r="G1486" s="3" t="n"/>
      <c r="H1486" s="4">
        <f>IF(I1486="Штраф -2",-2,IF(OR(F1486="",G1486=""),"",F1486*G1486+IF(J1486="",0,J1486)))</f>
        <v/>
      </c>
      <c r="I1486" s="3" t="n"/>
      <c r="J1486" s="3" t="n"/>
      <c r="K1486" s="3" t="n"/>
    </row>
    <row r="1487">
      <c r="A1487" s="3" t="n"/>
      <c r="B1487" s="3" t="n"/>
      <c r="C1487" s="3" t="n"/>
      <c r="D1487" s="3" t="n"/>
      <c r="E1487" s="4">
        <f>IF(A1487="","",COUNTIFS($A$4:A1487,A1487,$I$4:I1487,"&lt;&gt;Штраф -2",$I$4:I1487,"&lt;&gt;ушел на базу"))</f>
        <v/>
      </c>
      <c r="F1487" s="4">
        <f>IF(E1487="","",IF(E1487&lt;=3,6,IF(E1487&lt;=6,5,IF(E1487&lt;=9,4,IF(E1487&lt;=12,3,IF(E1487&lt;=15,2,0))))))</f>
        <v/>
      </c>
      <c r="G1487" s="3" t="n"/>
      <c r="H1487" s="4">
        <f>IF(I1487="Штраф -2",-2,IF(OR(F1487="",G1487=""),"",F1487*G1487+IF(J1487="",0,J1487)))</f>
        <v/>
      </c>
      <c r="I1487" s="3" t="n"/>
      <c r="J1487" s="3" t="n"/>
      <c r="K1487" s="3" t="n"/>
    </row>
    <row r="1488">
      <c r="A1488" s="3" t="n"/>
      <c r="B1488" s="3" t="n"/>
      <c r="C1488" s="3" t="n"/>
      <c r="D1488" s="3" t="n"/>
      <c r="E1488" s="4">
        <f>IF(A1488="","",COUNTIFS($A$4:A1488,A1488,$I$4:I1488,"&lt;&gt;Штраф -2",$I$4:I1488,"&lt;&gt;ушел на базу"))</f>
        <v/>
      </c>
      <c r="F1488" s="4">
        <f>IF(E1488="","",IF(E1488&lt;=3,6,IF(E1488&lt;=6,5,IF(E1488&lt;=9,4,IF(E1488&lt;=12,3,IF(E1488&lt;=15,2,0))))))</f>
        <v/>
      </c>
      <c r="G1488" s="3" t="n"/>
      <c r="H1488" s="4">
        <f>IF(I1488="Штраф -2",-2,IF(OR(F1488="",G1488=""),"",F1488*G1488+IF(J1488="",0,J1488)))</f>
        <v/>
      </c>
      <c r="I1488" s="3" t="n"/>
      <c r="J1488" s="3" t="n"/>
      <c r="K1488" s="3" t="n"/>
    </row>
    <row r="1489">
      <c r="A1489" s="3" t="n"/>
      <c r="B1489" s="3" t="n"/>
      <c r="C1489" s="3" t="n"/>
      <c r="D1489" s="3" t="n"/>
      <c r="E1489" s="4">
        <f>IF(A1489="","",COUNTIFS($A$4:A1489,A1489,$I$4:I1489,"&lt;&gt;Штраф -2",$I$4:I1489,"&lt;&gt;ушел на базу"))</f>
        <v/>
      </c>
      <c r="F1489" s="4">
        <f>IF(E1489="","",IF(E1489&lt;=3,6,IF(E1489&lt;=6,5,IF(E1489&lt;=9,4,IF(E1489&lt;=12,3,IF(E1489&lt;=15,2,0))))))</f>
        <v/>
      </c>
      <c r="G1489" s="3" t="n"/>
      <c r="H1489" s="4">
        <f>IF(I1489="Штраф -2",-2,IF(OR(F1489="",G1489=""),"",F1489*G1489+IF(J1489="",0,J1489)))</f>
        <v/>
      </c>
      <c r="I1489" s="3" t="n"/>
      <c r="J1489" s="3" t="n"/>
      <c r="K1489" s="3" t="n"/>
    </row>
    <row r="1490">
      <c r="A1490" s="3" t="n"/>
      <c r="B1490" s="3" t="n"/>
      <c r="C1490" s="3" t="n"/>
      <c r="D1490" s="3" t="n"/>
      <c r="E1490" s="4">
        <f>IF(A1490="","",COUNTIFS($A$4:A1490,A1490,$I$4:I1490,"&lt;&gt;Штраф -2",$I$4:I1490,"&lt;&gt;ушел на базу"))</f>
        <v/>
      </c>
      <c r="F1490" s="4">
        <f>IF(E1490="","",IF(E1490&lt;=3,6,IF(E1490&lt;=6,5,IF(E1490&lt;=9,4,IF(E1490&lt;=12,3,IF(E1490&lt;=15,2,0))))))</f>
        <v/>
      </c>
      <c r="G1490" s="3" t="n"/>
      <c r="H1490" s="4">
        <f>IF(I1490="Штраф -2",-2,IF(OR(F1490="",G1490=""),"",F1490*G1490+IF(J1490="",0,J1490)))</f>
        <v/>
      </c>
      <c r="I1490" s="3" t="n"/>
      <c r="J1490" s="3" t="n"/>
      <c r="K1490" s="3" t="n"/>
    </row>
    <row r="1491">
      <c r="A1491" s="3" t="n"/>
      <c r="B1491" s="3" t="n"/>
      <c r="C1491" s="3" t="n"/>
      <c r="D1491" s="3" t="n"/>
      <c r="E1491" s="4">
        <f>IF(A1491="","",COUNTIFS($A$4:A1491,A1491,$I$4:I1491,"&lt;&gt;Штраф -2",$I$4:I1491,"&lt;&gt;ушел на базу"))</f>
        <v/>
      </c>
      <c r="F1491" s="4">
        <f>IF(E1491="","",IF(E1491&lt;=3,6,IF(E1491&lt;=6,5,IF(E1491&lt;=9,4,IF(E1491&lt;=12,3,IF(E1491&lt;=15,2,0))))))</f>
        <v/>
      </c>
      <c r="G1491" s="3" t="n"/>
      <c r="H1491" s="4">
        <f>IF(I1491="Штраф -2",-2,IF(OR(F1491="",G1491=""),"",F1491*G1491+IF(J1491="",0,J1491)))</f>
        <v/>
      </c>
      <c r="I1491" s="3" t="n"/>
      <c r="J1491" s="3" t="n"/>
      <c r="K1491" s="3" t="n"/>
    </row>
    <row r="1492">
      <c r="A1492" s="3" t="n"/>
      <c r="B1492" s="3" t="n"/>
      <c r="C1492" s="3" t="n"/>
      <c r="D1492" s="3" t="n"/>
      <c r="E1492" s="4">
        <f>IF(A1492="","",COUNTIFS($A$4:A1492,A1492,$I$4:I1492,"&lt;&gt;Штраф -2",$I$4:I1492,"&lt;&gt;ушел на базу"))</f>
        <v/>
      </c>
      <c r="F1492" s="4">
        <f>IF(E1492="","",IF(E1492&lt;=3,6,IF(E1492&lt;=6,5,IF(E1492&lt;=9,4,IF(E1492&lt;=12,3,IF(E1492&lt;=15,2,0))))))</f>
        <v/>
      </c>
      <c r="G1492" s="3" t="n"/>
      <c r="H1492" s="4">
        <f>IF(I1492="Штраф -2",-2,IF(OR(F1492="",G1492=""),"",F1492*G1492+IF(J1492="",0,J1492)))</f>
        <v/>
      </c>
      <c r="I1492" s="3" t="n"/>
      <c r="J1492" s="3" t="n"/>
      <c r="K1492" s="3" t="n"/>
    </row>
    <row r="1493">
      <c r="A1493" s="3" t="n"/>
      <c r="B1493" s="3" t="n"/>
      <c r="C1493" s="3" t="n"/>
      <c r="D1493" s="3" t="n"/>
      <c r="E1493" s="4">
        <f>IF(A1493="","",COUNTIFS($A$4:A1493,A1493,$I$4:I1493,"&lt;&gt;Штраф -2",$I$4:I1493,"&lt;&gt;ушел на базу"))</f>
        <v/>
      </c>
      <c r="F1493" s="4">
        <f>IF(E1493="","",IF(E1493&lt;=3,6,IF(E1493&lt;=6,5,IF(E1493&lt;=9,4,IF(E1493&lt;=12,3,IF(E1493&lt;=15,2,0))))))</f>
        <v/>
      </c>
      <c r="G1493" s="3" t="n"/>
      <c r="H1493" s="4">
        <f>IF(I1493="Штраф -2",-2,IF(OR(F1493="",G1493=""),"",F1493*G1493+IF(J1493="",0,J1493)))</f>
        <v/>
      </c>
      <c r="I1493" s="3" t="n"/>
      <c r="J1493" s="3" t="n"/>
      <c r="K1493" s="3" t="n"/>
    </row>
    <row r="1494">
      <c r="A1494" s="3" t="n"/>
      <c r="B1494" s="3" t="n"/>
      <c r="C1494" s="3" t="n"/>
      <c r="D1494" s="3" t="n"/>
      <c r="E1494" s="4">
        <f>IF(A1494="","",COUNTIFS($A$4:A1494,A1494,$I$4:I1494,"&lt;&gt;Штраф -2",$I$4:I1494,"&lt;&gt;ушел на базу"))</f>
        <v/>
      </c>
      <c r="F1494" s="4">
        <f>IF(E1494="","",IF(E1494&lt;=3,6,IF(E1494&lt;=6,5,IF(E1494&lt;=9,4,IF(E1494&lt;=12,3,IF(E1494&lt;=15,2,0))))))</f>
        <v/>
      </c>
      <c r="G1494" s="3" t="n"/>
      <c r="H1494" s="4">
        <f>IF(I1494="Штраф -2",-2,IF(OR(F1494="",G1494=""),"",F1494*G1494+IF(J1494="",0,J1494)))</f>
        <v/>
      </c>
      <c r="I1494" s="3" t="n"/>
      <c r="J1494" s="3" t="n"/>
      <c r="K1494" s="3" t="n"/>
    </row>
    <row r="1495">
      <c r="A1495" s="3" t="n"/>
      <c r="B1495" s="3" t="n"/>
      <c r="C1495" s="3" t="n"/>
      <c r="D1495" s="3" t="n"/>
      <c r="E1495" s="4">
        <f>IF(A1495="","",COUNTIFS($A$4:A1495,A1495,$I$4:I1495,"&lt;&gt;Штраф -2",$I$4:I1495,"&lt;&gt;ушел на базу"))</f>
        <v/>
      </c>
      <c r="F1495" s="4">
        <f>IF(E1495="","",IF(E1495&lt;=3,6,IF(E1495&lt;=6,5,IF(E1495&lt;=9,4,IF(E1495&lt;=12,3,IF(E1495&lt;=15,2,0))))))</f>
        <v/>
      </c>
      <c r="G1495" s="3" t="n"/>
      <c r="H1495" s="4">
        <f>IF(I1495="Штраф -2",-2,IF(OR(F1495="",G1495=""),"",F1495*G1495+IF(J1495="",0,J1495)))</f>
        <v/>
      </c>
      <c r="I1495" s="3" t="n"/>
      <c r="J1495" s="3" t="n"/>
      <c r="K1495" s="3" t="n"/>
    </row>
    <row r="1496">
      <c r="A1496" s="3" t="n"/>
      <c r="B1496" s="3" t="n"/>
      <c r="C1496" s="3" t="n"/>
      <c r="D1496" s="3" t="n"/>
      <c r="E1496" s="4">
        <f>IF(A1496="","",COUNTIFS($A$4:A1496,A1496,$I$4:I1496,"&lt;&gt;Штраф -2",$I$4:I1496,"&lt;&gt;ушел на базу"))</f>
        <v/>
      </c>
      <c r="F1496" s="4">
        <f>IF(E1496="","",IF(E1496&lt;=3,6,IF(E1496&lt;=6,5,IF(E1496&lt;=9,4,IF(E1496&lt;=12,3,IF(E1496&lt;=15,2,0))))))</f>
        <v/>
      </c>
      <c r="G1496" s="3" t="n"/>
      <c r="H1496" s="4">
        <f>IF(I1496="Штраф -2",-2,IF(OR(F1496="",G1496=""),"",F1496*G1496+IF(J1496="",0,J1496)))</f>
        <v/>
      </c>
      <c r="I1496" s="3" t="n"/>
      <c r="J1496" s="3" t="n"/>
      <c r="K1496" s="3" t="n"/>
    </row>
    <row r="1497">
      <c r="A1497" s="3" t="n"/>
      <c r="B1497" s="3" t="n"/>
      <c r="C1497" s="3" t="n"/>
      <c r="D1497" s="3" t="n"/>
      <c r="E1497" s="4">
        <f>IF(A1497="","",COUNTIFS($A$4:A1497,A1497,$I$4:I1497,"&lt;&gt;Штраф -2",$I$4:I1497,"&lt;&gt;ушел на базу"))</f>
        <v/>
      </c>
      <c r="F1497" s="4">
        <f>IF(E1497="","",IF(E1497&lt;=3,6,IF(E1497&lt;=6,5,IF(E1497&lt;=9,4,IF(E1497&lt;=12,3,IF(E1497&lt;=15,2,0))))))</f>
        <v/>
      </c>
      <c r="G1497" s="3" t="n"/>
      <c r="H1497" s="4">
        <f>IF(I1497="Штраф -2",-2,IF(OR(F1497="",G1497=""),"",F1497*G1497+IF(J1497="",0,J1497)))</f>
        <v/>
      </c>
      <c r="I1497" s="3" t="n"/>
      <c r="J1497" s="3" t="n"/>
      <c r="K1497" s="3" t="n"/>
    </row>
    <row r="1498">
      <c r="A1498" s="3" t="n"/>
      <c r="B1498" s="3" t="n"/>
      <c r="C1498" s="3" t="n"/>
      <c r="D1498" s="3" t="n"/>
      <c r="E1498" s="4">
        <f>IF(A1498="","",COUNTIFS($A$4:A1498,A1498,$I$4:I1498,"&lt;&gt;Штраф -2",$I$4:I1498,"&lt;&gt;ушел на базу"))</f>
        <v/>
      </c>
      <c r="F1498" s="4">
        <f>IF(E1498="","",IF(E1498&lt;=3,6,IF(E1498&lt;=6,5,IF(E1498&lt;=9,4,IF(E1498&lt;=12,3,IF(E1498&lt;=15,2,0))))))</f>
        <v/>
      </c>
      <c r="G1498" s="3" t="n"/>
      <c r="H1498" s="4">
        <f>IF(I1498="Штраф -2",-2,IF(OR(F1498="",G1498=""),"",F1498*G1498+IF(J1498="",0,J1498)))</f>
        <v/>
      </c>
      <c r="I1498" s="3" t="n"/>
      <c r="J1498" s="3" t="n"/>
      <c r="K1498" s="3" t="n"/>
    </row>
    <row r="1499">
      <c r="A1499" s="3" t="n"/>
      <c r="B1499" s="3" t="n"/>
      <c r="C1499" s="3" t="n"/>
      <c r="D1499" s="3" t="n"/>
      <c r="E1499" s="4">
        <f>IF(A1499="","",COUNTIFS($A$4:A1499,A1499,$I$4:I1499,"&lt;&gt;Штраф -2",$I$4:I1499,"&lt;&gt;ушел на базу"))</f>
        <v/>
      </c>
      <c r="F1499" s="4">
        <f>IF(E1499="","",IF(E1499&lt;=3,6,IF(E1499&lt;=6,5,IF(E1499&lt;=9,4,IF(E1499&lt;=12,3,IF(E1499&lt;=15,2,0))))))</f>
        <v/>
      </c>
      <c r="G1499" s="3" t="n"/>
      <c r="H1499" s="4">
        <f>IF(I1499="Штраф -2",-2,IF(OR(F1499="",G1499=""),"",F1499*G1499+IF(J1499="",0,J1499)))</f>
        <v/>
      </c>
      <c r="I1499" s="3" t="n"/>
      <c r="J1499" s="3" t="n"/>
      <c r="K1499" s="3" t="n"/>
    </row>
    <row r="1500">
      <c r="A1500" s="3" t="n"/>
      <c r="B1500" s="3" t="n"/>
      <c r="C1500" s="3" t="n"/>
      <c r="D1500" s="3" t="n"/>
      <c r="E1500" s="4">
        <f>IF(A1500="","",COUNTIFS($A$4:A1500,A1500,$I$4:I1500,"&lt;&gt;Штраф -2",$I$4:I1500,"&lt;&gt;ушел на базу"))</f>
        <v/>
      </c>
      <c r="F1500" s="4">
        <f>IF(E1500="","",IF(E1500&lt;=3,6,IF(E1500&lt;=6,5,IF(E1500&lt;=9,4,IF(E1500&lt;=12,3,IF(E1500&lt;=15,2,0))))))</f>
        <v/>
      </c>
      <c r="G1500" s="3" t="n"/>
      <c r="H1500" s="4">
        <f>IF(I1500="Штраф -2",-2,IF(OR(F1500="",G1500=""),"",F1500*G1500+IF(J1500="",0,J1500)))</f>
        <v/>
      </c>
      <c r="I1500" s="3" t="n"/>
      <c r="J1500" s="3" t="n"/>
      <c r="K1500" s="3" t="n"/>
    </row>
    <row r="1501">
      <c r="A1501" s="3" t="n"/>
      <c r="B1501" s="3" t="n"/>
      <c r="C1501" s="3" t="n"/>
      <c r="D1501" s="3" t="n"/>
      <c r="E1501" s="4">
        <f>IF(A1501="","",COUNTIFS($A$4:A1501,A1501,$I$4:I1501,"&lt;&gt;Штраф -2",$I$4:I1501,"&lt;&gt;ушел на базу"))</f>
        <v/>
      </c>
      <c r="F1501" s="4">
        <f>IF(E1501="","",IF(E1501&lt;=3,6,IF(E1501&lt;=6,5,IF(E1501&lt;=9,4,IF(E1501&lt;=12,3,IF(E1501&lt;=15,2,0))))))</f>
        <v/>
      </c>
      <c r="G1501" s="3" t="n"/>
      <c r="H1501" s="4">
        <f>IF(I1501="Штраф -2",-2,IF(OR(F1501="",G1501=""),"",F1501*G1501+IF(J1501="",0,J1501)))</f>
        <v/>
      </c>
      <c r="I1501" s="3" t="n"/>
      <c r="J1501" s="3" t="n"/>
      <c r="K1501" s="3" t="n"/>
    </row>
    <row r="1502">
      <c r="A1502" s="3" t="n"/>
      <c r="B1502" s="3" t="n"/>
      <c r="C1502" s="3" t="n"/>
      <c r="D1502" s="3" t="n"/>
      <c r="E1502" s="4">
        <f>IF(A1502="","",COUNTIFS($A$4:A1502,A1502,$I$4:I1502,"&lt;&gt;Штраф -2",$I$4:I1502,"&lt;&gt;ушел на базу"))</f>
        <v/>
      </c>
      <c r="F1502" s="4">
        <f>IF(E1502="","",IF(E1502&lt;=3,6,IF(E1502&lt;=6,5,IF(E1502&lt;=9,4,IF(E1502&lt;=12,3,IF(E1502&lt;=15,2,0))))))</f>
        <v/>
      </c>
      <c r="G1502" s="3" t="n"/>
      <c r="H1502" s="4">
        <f>IF(I1502="Штраф -2",-2,IF(OR(F1502="",G1502=""),"",F1502*G1502+IF(J1502="",0,J1502)))</f>
        <v/>
      </c>
      <c r="I1502" s="3" t="n"/>
      <c r="J1502" s="3" t="n"/>
      <c r="K1502" s="3" t="n"/>
    </row>
    <row r="1503">
      <c r="A1503" s="3" t="n"/>
      <c r="B1503" s="3" t="n"/>
      <c r="C1503" s="3" t="n"/>
      <c r="D1503" s="3" t="n"/>
      <c r="E1503" s="4">
        <f>IF(A1503="","",COUNTIFS($A$4:A1503,A1503,$I$4:I1503,"&lt;&gt;Штраф -2",$I$4:I1503,"&lt;&gt;ушел на базу"))</f>
        <v/>
      </c>
      <c r="F1503" s="4">
        <f>IF(E1503="","",IF(E1503&lt;=3,6,IF(E1503&lt;=6,5,IF(E1503&lt;=9,4,IF(E1503&lt;=12,3,IF(E1503&lt;=15,2,0))))))</f>
        <v/>
      </c>
      <c r="G1503" s="3" t="n"/>
      <c r="H1503" s="4">
        <f>IF(I1503="Штраф -2",-2,IF(OR(F1503="",G1503=""),"",F1503*G1503+IF(J1503="",0,J1503)))</f>
        <v/>
      </c>
      <c r="I1503" s="3" t="n"/>
      <c r="J1503" s="3" t="n"/>
      <c r="K1503" s="3" t="n"/>
    </row>
    <row r="1504">
      <c r="A1504" s="3" t="n"/>
      <c r="B1504" s="3" t="n"/>
      <c r="C1504" s="3" t="n"/>
      <c r="D1504" s="3" t="n"/>
      <c r="E1504" s="4">
        <f>IF(A1504="","",COUNTIFS($A$4:A1504,A1504,$I$4:I1504,"&lt;&gt;Штраф -2",$I$4:I1504,"&lt;&gt;ушел на базу"))</f>
        <v/>
      </c>
      <c r="F1504" s="4">
        <f>IF(E1504="","",IF(E1504&lt;=3,6,IF(E1504&lt;=6,5,IF(E1504&lt;=9,4,IF(E1504&lt;=12,3,IF(E1504&lt;=15,2,0))))))</f>
        <v/>
      </c>
      <c r="G1504" s="3" t="n"/>
      <c r="H1504" s="4">
        <f>IF(I1504="Штраф -2",-2,IF(OR(F1504="",G1504=""),"",F1504*G1504+IF(J1504="",0,J1504)))</f>
        <v/>
      </c>
      <c r="I1504" s="3" t="n"/>
      <c r="J1504" s="3" t="n"/>
      <c r="K1504" s="3" t="n"/>
    </row>
    <row r="1505">
      <c r="A1505" s="3" t="n"/>
      <c r="B1505" s="3" t="n"/>
      <c r="C1505" s="3" t="n"/>
      <c r="D1505" s="3" t="n"/>
      <c r="E1505" s="4">
        <f>IF(A1505="","",COUNTIFS($A$4:A1505,A1505,$I$4:I1505,"&lt;&gt;Штраф -2",$I$4:I1505,"&lt;&gt;ушел на базу"))</f>
        <v/>
      </c>
      <c r="F1505" s="4">
        <f>IF(E1505="","",IF(E1505&lt;=3,6,IF(E1505&lt;=6,5,IF(E1505&lt;=9,4,IF(E1505&lt;=12,3,IF(E1505&lt;=15,2,0))))))</f>
        <v/>
      </c>
      <c r="G1505" s="3" t="n"/>
      <c r="H1505" s="4">
        <f>IF(I1505="Штраф -2",-2,IF(OR(F1505="",G1505=""),"",F1505*G1505+IF(J1505="",0,J1505)))</f>
        <v/>
      </c>
      <c r="I1505" s="3" t="n"/>
      <c r="J1505" s="3" t="n"/>
      <c r="K1505" s="3" t="n"/>
    </row>
    <row r="1506">
      <c r="A1506" s="3" t="n"/>
      <c r="B1506" s="3" t="n"/>
      <c r="C1506" s="3" t="n"/>
      <c r="D1506" s="3" t="n"/>
      <c r="E1506" s="4">
        <f>IF(A1506="","",COUNTIFS($A$4:A1506,A1506,$I$4:I1506,"&lt;&gt;Штраф -2",$I$4:I1506,"&lt;&gt;ушел на базу"))</f>
        <v/>
      </c>
      <c r="F1506" s="4">
        <f>IF(E1506="","",IF(E1506&lt;=3,6,IF(E1506&lt;=6,5,IF(E1506&lt;=9,4,IF(E1506&lt;=12,3,IF(E1506&lt;=15,2,0))))))</f>
        <v/>
      </c>
      <c r="G1506" s="3" t="n"/>
      <c r="H1506" s="4">
        <f>IF(I1506="Штраф -2",-2,IF(OR(F1506="",G1506=""),"",F1506*G1506+IF(J1506="",0,J1506)))</f>
        <v/>
      </c>
      <c r="I1506" s="3" t="n"/>
      <c r="J1506" s="3" t="n"/>
      <c r="K1506" s="3" t="n"/>
    </row>
    <row r="1507">
      <c r="A1507" s="3" t="n"/>
      <c r="B1507" s="3" t="n"/>
      <c r="C1507" s="3" t="n"/>
      <c r="D1507" s="3" t="n"/>
      <c r="E1507" s="4">
        <f>IF(A1507="","",COUNTIFS($A$4:A1507,A1507,$I$4:I1507,"&lt;&gt;Штраф -2",$I$4:I1507,"&lt;&gt;ушел на базу"))</f>
        <v/>
      </c>
      <c r="F1507" s="4">
        <f>IF(E1507="","",IF(E1507&lt;=3,6,IF(E1507&lt;=6,5,IF(E1507&lt;=9,4,IF(E1507&lt;=12,3,IF(E1507&lt;=15,2,0))))))</f>
        <v/>
      </c>
      <c r="G1507" s="3" t="n"/>
      <c r="H1507" s="4">
        <f>IF(I1507="Штраф -2",-2,IF(OR(F1507="",G1507=""),"",F1507*G1507+IF(J1507="",0,J1507)))</f>
        <v/>
      </c>
      <c r="I1507" s="3" t="n"/>
      <c r="J1507" s="3" t="n"/>
      <c r="K1507" s="3" t="n"/>
    </row>
    <row r="1508">
      <c r="A1508" s="3" t="n"/>
      <c r="B1508" s="3" t="n"/>
      <c r="C1508" s="3" t="n"/>
      <c r="D1508" s="3" t="n"/>
      <c r="E1508" s="4">
        <f>IF(A1508="","",COUNTIFS($A$4:A1508,A1508,$I$4:I1508,"&lt;&gt;Штраф -2",$I$4:I1508,"&lt;&gt;ушел на базу"))</f>
        <v/>
      </c>
      <c r="F1508" s="4">
        <f>IF(E1508="","",IF(E1508&lt;=3,6,IF(E1508&lt;=6,5,IF(E1508&lt;=9,4,IF(E1508&lt;=12,3,IF(E1508&lt;=15,2,0))))))</f>
        <v/>
      </c>
      <c r="G1508" s="3" t="n"/>
      <c r="H1508" s="4">
        <f>IF(I1508="Штраф -2",-2,IF(OR(F1508="",G1508=""),"",F1508*G1508+IF(J1508="",0,J1508)))</f>
        <v/>
      </c>
      <c r="I1508" s="3" t="n"/>
      <c r="J1508" s="3" t="n"/>
      <c r="K1508" s="3" t="n"/>
    </row>
    <row r="1509">
      <c r="A1509" s="3" t="n"/>
      <c r="B1509" s="3" t="n"/>
      <c r="C1509" s="3" t="n"/>
      <c r="D1509" s="3" t="n"/>
      <c r="E1509" s="4">
        <f>IF(A1509="","",COUNTIFS($A$4:A1509,A1509,$I$4:I1509,"&lt;&gt;Штраф -2",$I$4:I1509,"&lt;&gt;ушел на базу"))</f>
        <v/>
      </c>
      <c r="F1509" s="4">
        <f>IF(E1509="","",IF(E1509&lt;=3,6,IF(E1509&lt;=6,5,IF(E1509&lt;=9,4,IF(E1509&lt;=12,3,IF(E1509&lt;=15,2,0))))))</f>
        <v/>
      </c>
      <c r="G1509" s="3" t="n"/>
      <c r="H1509" s="4">
        <f>IF(I1509="Штраф -2",-2,IF(OR(F1509="",G1509=""),"",F1509*G1509+IF(J1509="",0,J1509)))</f>
        <v/>
      </c>
      <c r="I1509" s="3" t="n"/>
      <c r="J1509" s="3" t="n"/>
      <c r="K1509" s="3" t="n"/>
    </row>
    <row r="1510">
      <c r="A1510" s="3" t="n"/>
      <c r="B1510" s="3" t="n"/>
      <c r="C1510" s="3" t="n"/>
      <c r="D1510" s="3" t="n"/>
      <c r="E1510" s="4">
        <f>IF(A1510="","",COUNTIFS($A$4:A1510,A1510,$I$4:I1510,"&lt;&gt;Штраф -2",$I$4:I1510,"&lt;&gt;ушел на базу"))</f>
        <v/>
      </c>
      <c r="F1510" s="4">
        <f>IF(E1510="","",IF(E1510&lt;=3,6,IF(E1510&lt;=6,5,IF(E1510&lt;=9,4,IF(E1510&lt;=12,3,IF(E1510&lt;=15,2,0))))))</f>
        <v/>
      </c>
      <c r="G1510" s="3" t="n"/>
      <c r="H1510" s="4">
        <f>IF(I1510="Штраф -2",-2,IF(OR(F1510="",G1510=""),"",F1510*G1510+IF(J1510="",0,J1510)))</f>
        <v/>
      </c>
      <c r="I1510" s="3" t="n"/>
      <c r="J1510" s="3" t="n"/>
      <c r="K1510" s="3" t="n"/>
    </row>
    <row r="1511">
      <c r="A1511" s="3" t="n"/>
      <c r="B1511" s="3" t="n"/>
      <c r="C1511" s="3" t="n"/>
      <c r="D1511" s="3" t="n"/>
      <c r="E1511" s="4">
        <f>IF(A1511="","",COUNTIFS($A$4:A1511,A1511,$I$4:I1511,"&lt;&gt;Штраф -2",$I$4:I1511,"&lt;&gt;ушел на базу"))</f>
        <v/>
      </c>
      <c r="F1511" s="4">
        <f>IF(E1511="","",IF(E1511&lt;=3,6,IF(E1511&lt;=6,5,IF(E1511&lt;=9,4,IF(E1511&lt;=12,3,IF(E1511&lt;=15,2,0))))))</f>
        <v/>
      </c>
      <c r="G1511" s="3" t="n"/>
      <c r="H1511" s="4">
        <f>IF(I1511="Штраф -2",-2,IF(OR(F1511="",G1511=""),"",F1511*G1511+IF(J1511="",0,J1511)))</f>
        <v/>
      </c>
      <c r="I1511" s="3" t="n"/>
      <c r="J1511" s="3" t="n"/>
      <c r="K1511" s="3" t="n"/>
    </row>
    <row r="1512">
      <c r="A1512" s="3" t="n"/>
      <c r="B1512" s="3" t="n"/>
      <c r="C1512" s="3" t="n"/>
      <c r="D1512" s="3" t="n"/>
      <c r="E1512" s="4">
        <f>IF(A1512="","",COUNTIFS($A$4:A1512,A1512,$I$4:I1512,"&lt;&gt;Штраф -2",$I$4:I1512,"&lt;&gt;ушел на базу"))</f>
        <v/>
      </c>
      <c r="F1512" s="4">
        <f>IF(E1512="","",IF(E1512&lt;=3,6,IF(E1512&lt;=6,5,IF(E1512&lt;=9,4,IF(E1512&lt;=12,3,IF(E1512&lt;=15,2,0))))))</f>
        <v/>
      </c>
      <c r="G1512" s="3" t="n"/>
      <c r="H1512" s="4">
        <f>IF(I1512="Штраф -2",-2,IF(OR(F1512="",G1512=""),"",F1512*G1512+IF(J1512="",0,J1512)))</f>
        <v/>
      </c>
      <c r="I1512" s="3" t="n"/>
      <c r="J1512" s="3" t="n"/>
      <c r="K1512" s="3" t="n"/>
    </row>
    <row r="1513">
      <c r="A1513" s="3" t="n"/>
      <c r="B1513" s="3" t="n"/>
      <c r="C1513" s="3" t="n"/>
      <c r="D1513" s="3" t="n"/>
      <c r="E1513" s="4">
        <f>IF(A1513="","",COUNTIFS($A$4:A1513,A1513,$I$4:I1513,"&lt;&gt;Штраф -2",$I$4:I1513,"&lt;&gt;ушел на базу"))</f>
        <v/>
      </c>
      <c r="F1513" s="4">
        <f>IF(E1513="","",IF(E1513&lt;=3,6,IF(E1513&lt;=6,5,IF(E1513&lt;=9,4,IF(E1513&lt;=12,3,IF(E1513&lt;=15,2,0))))))</f>
        <v/>
      </c>
      <c r="G1513" s="3" t="n"/>
      <c r="H1513" s="4">
        <f>IF(I1513="Штраф -2",-2,IF(OR(F1513="",G1513=""),"",F1513*G1513+IF(J1513="",0,J1513)))</f>
        <v/>
      </c>
      <c r="I1513" s="3" t="n"/>
      <c r="J1513" s="3" t="n"/>
      <c r="K1513" s="3" t="n"/>
    </row>
    <row r="1514">
      <c r="A1514" s="3" t="n"/>
      <c r="B1514" s="3" t="n"/>
      <c r="C1514" s="3" t="n"/>
      <c r="D1514" s="3" t="n"/>
      <c r="E1514" s="4">
        <f>IF(A1514="","",COUNTIFS($A$4:A1514,A1514,$I$4:I1514,"&lt;&gt;Штраф -2",$I$4:I1514,"&lt;&gt;ушел на базу"))</f>
        <v/>
      </c>
      <c r="F1514" s="4">
        <f>IF(E1514="","",IF(E1514&lt;=3,6,IF(E1514&lt;=6,5,IF(E1514&lt;=9,4,IF(E1514&lt;=12,3,IF(E1514&lt;=15,2,0))))))</f>
        <v/>
      </c>
      <c r="G1514" s="3" t="n"/>
      <c r="H1514" s="4">
        <f>IF(I1514="Штраф -2",-2,IF(OR(F1514="",G1514=""),"",F1514*G1514+IF(J1514="",0,J1514)))</f>
        <v/>
      </c>
      <c r="I1514" s="3" t="n"/>
      <c r="J1514" s="3" t="n"/>
      <c r="K1514" s="3" t="n"/>
    </row>
    <row r="1515">
      <c r="A1515" s="3" t="n"/>
      <c r="B1515" s="3" t="n"/>
      <c r="C1515" s="3" t="n"/>
      <c r="D1515" s="3" t="n"/>
      <c r="E1515" s="4">
        <f>IF(A1515="","",COUNTIFS($A$4:A1515,A1515,$I$4:I1515,"&lt;&gt;Штраф -2",$I$4:I1515,"&lt;&gt;ушел на базу"))</f>
        <v/>
      </c>
      <c r="F1515" s="4">
        <f>IF(E1515="","",IF(E1515&lt;=3,6,IF(E1515&lt;=6,5,IF(E1515&lt;=9,4,IF(E1515&lt;=12,3,IF(E1515&lt;=15,2,0))))))</f>
        <v/>
      </c>
      <c r="G1515" s="3" t="n"/>
      <c r="H1515" s="4">
        <f>IF(I1515="Штраф -2",-2,IF(OR(F1515="",G1515=""),"",F1515*G1515+IF(J1515="",0,J1515)))</f>
        <v/>
      </c>
      <c r="I1515" s="3" t="n"/>
      <c r="J1515" s="3" t="n"/>
      <c r="K1515" s="3" t="n"/>
    </row>
    <row r="1516">
      <c r="A1516" s="3" t="n"/>
      <c r="B1516" s="3" t="n"/>
      <c r="C1516" s="3" t="n"/>
      <c r="D1516" s="3" t="n"/>
      <c r="E1516" s="4">
        <f>IF(A1516="","",COUNTIFS($A$4:A1516,A1516,$I$4:I1516,"&lt;&gt;Штраф -2",$I$4:I1516,"&lt;&gt;ушел на базу"))</f>
        <v/>
      </c>
      <c r="F1516" s="4">
        <f>IF(E1516="","",IF(E1516&lt;=3,6,IF(E1516&lt;=6,5,IF(E1516&lt;=9,4,IF(E1516&lt;=12,3,IF(E1516&lt;=15,2,0))))))</f>
        <v/>
      </c>
      <c r="G1516" s="3" t="n"/>
      <c r="H1516" s="4">
        <f>IF(I1516="Штраф -2",-2,IF(OR(F1516="",G1516=""),"",F1516*G1516+IF(J1516="",0,J1516)))</f>
        <v/>
      </c>
      <c r="I1516" s="3" t="n"/>
      <c r="J1516" s="3" t="n"/>
      <c r="K1516" s="3" t="n"/>
    </row>
    <row r="1517">
      <c r="A1517" s="3" t="n"/>
      <c r="B1517" s="3" t="n"/>
      <c r="C1517" s="3" t="n"/>
      <c r="D1517" s="3" t="n"/>
      <c r="E1517" s="4">
        <f>IF(A1517="","",COUNTIFS($A$4:A1517,A1517,$I$4:I1517,"&lt;&gt;Штраф -2",$I$4:I1517,"&lt;&gt;ушел на базу"))</f>
        <v/>
      </c>
      <c r="F1517" s="4">
        <f>IF(E1517="","",IF(E1517&lt;=3,6,IF(E1517&lt;=6,5,IF(E1517&lt;=9,4,IF(E1517&lt;=12,3,IF(E1517&lt;=15,2,0))))))</f>
        <v/>
      </c>
      <c r="G1517" s="3" t="n"/>
      <c r="H1517" s="4">
        <f>IF(I1517="Штраф -2",-2,IF(OR(F1517="",G1517=""),"",F1517*G1517+IF(J1517="",0,J1517)))</f>
        <v/>
      </c>
      <c r="I1517" s="3" t="n"/>
      <c r="J1517" s="3" t="n"/>
      <c r="K1517" s="3" t="n"/>
    </row>
    <row r="1518">
      <c r="A1518" s="3" t="n"/>
      <c r="B1518" s="3" t="n"/>
      <c r="C1518" s="3" t="n"/>
      <c r="D1518" s="3" t="n"/>
      <c r="E1518" s="4">
        <f>IF(A1518="","",COUNTIFS($A$4:A1518,A1518,$I$4:I1518,"&lt;&gt;Штраф -2",$I$4:I1518,"&lt;&gt;ушел на базу"))</f>
        <v/>
      </c>
      <c r="F1518" s="4">
        <f>IF(E1518="","",IF(E1518&lt;=3,6,IF(E1518&lt;=6,5,IF(E1518&lt;=9,4,IF(E1518&lt;=12,3,IF(E1518&lt;=15,2,0))))))</f>
        <v/>
      </c>
      <c r="G1518" s="3" t="n"/>
      <c r="H1518" s="4">
        <f>IF(I1518="Штраф -2",-2,IF(OR(F1518="",G1518=""),"",F1518*G1518+IF(J1518="",0,J1518)))</f>
        <v/>
      </c>
      <c r="I1518" s="3" t="n"/>
      <c r="J1518" s="3" t="n"/>
      <c r="K1518" s="3" t="n"/>
    </row>
    <row r="1519">
      <c r="A1519" s="3" t="n"/>
      <c r="B1519" s="3" t="n"/>
      <c r="C1519" s="3" t="n"/>
      <c r="D1519" s="3" t="n"/>
      <c r="E1519" s="4">
        <f>IF(A1519="","",COUNTIFS($A$4:A1519,A1519,$I$4:I1519,"&lt;&gt;Штраф -2",$I$4:I1519,"&lt;&gt;ушел на базу"))</f>
        <v/>
      </c>
      <c r="F1519" s="4">
        <f>IF(E1519="","",IF(E1519&lt;=3,6,IF(E1519&lt;=6,5,IF(E1519&lt;=9,4,IF(E1519&lt;=12,3,IF(E1519&lt;=15,2,0))))))</f>
        <v/>
      </c>
      <c r="G1519" s="3" t="n"/>
      <c r="H1519" s="4">
        <f>IF(I1519="Штраф -2",-2,IF(OR(F1519="",G1519=""),"",F1519*G1519+IF(J1519="",0,J1519)))</f>
        <v/>
      </c>
      <c r="I1519" s="3" t="n"/>
      <c r="J1519" s="3" t="n"/>
      <c r="K1519" s="3" t="n"/>
    </row>
    <row r="1520">
      <c r="A1520" s="3" t="n"/>
      <c r="B1520" s="3" t="n"/>
      <c r="C1520" s="3" t="n"/>
      <c r="D1520" s="3" t="n"/>
      <c r="E1520" s="4">
        <f>IF(A1520="","",COUNTIFS($A$4:A1520,A1520,$I$4:I1520,"&lt;&gt;Штраф -2",$I$4:I1520,"&lt;&gt;ушел на базу"))</f>
        <v/>
      </c>
      <c r="F1520" s="4">
        <f>IF(E1520="","",IF(E1520&lt;=3,6,IF(E1520&lt;=6,5,IF(E1520&lt;=9,4,IF(E1520&lt;=12,3,IF(E1520&lt;=15,2,0))))))</f>
        <v/>
      </c>
      <c r="G1520" s="3" t="n"/>
      <c r="H1520" s="4">
        <f>IF(I1520="Штраф -2",-2,IF(OR(F1520="",G1520=""),"",F1520*G1520+IF(J1520="",0,J1520)))</f>
        <v/>
      </c>
      <c r="I1520" s="3" t="n"/>
      <c r="J1520" s="3" t="n"/>
      <c r="K1520" s="3" t="n"/>
    </row>
    <row r="1521">
      <c r="A1521" s="3" t="n"/>
      <c r="B1521" s="3" t="n"/>
      <c r="C1521" s="3" t="n"/>
      <c r="D1521" s="3" t="n"/>
      <c r="E1521" s="4">
        <f>IF(A1521="","",COUNTIFS($A$4:A1521,A1521,$I$4:I1521,"&lt;&gt;Штраф -2",$I$4:I1521,"&lt;&gt;ушел на базу"))</f>
        <v/>
      </c>
      <c r="F1521" s="4">
        <f>IF(E1521="","",IF(E1521&lt;=3,6,IF(E1521&lt;=6,5,IF(E1521&lt;=9,4,IF(E1521&lt;=12,3,IF(E1521&lt;=15,2,0))))))</f>
        <v/>
      </c>
      <c r="G1521" s="3" t="n"/>
      <c r="H1521" s="4">
        <f>IF(I1521="Штраф -2",-2,IF(OR(F1521="",G1521=""),"",F1521*G1521+IF(J1521="",0,J1521)))</f>
        <v/>
      </c>
      <c r="I1521" s="3" t="n"/>
      <c r="J1521" s="3" t="n"/>
      <c r="K1521" s="3" t="n"/>
    </row>
    <row r="1522">
      <c r="A1522" s="3" t="n"/>
      <c r="B1522" s="3" t="n"/>
      <c r="C1522" s="3" t="n"/>
      <c r="D1522" s="3" t="n"/>
      <c r="E1522" s="4">
        <f>IF(A1522="","",COUNTIFS($A$4:A1522,A1522,$I$4:I1522,"&lt;&gt;Штраф -2",$I$4:I1522,"&lt;&gt;ушел на базу"))</f>
        <v/>
      </c>
      <c r="F1522" s="4">
        <f>IF(E1522="","",IF(E1522&lt;=3,6,IF(E1522&lt;=6,5,IF(E1522&lt;=9,4,IF(E1522&lt;=12,3,IF(E1522&lt;=15,2,0))))))</f>
        <v/>
      </c>
      <c r="G1522" s="3" t="n"/>
      <c r="H1522" s="4">
        <f>IF(I1522="Штраф -2",-2,IF(OR(F1522="",G1522=""),"",F1522*G1522+IF(J1522="",0,J1522)))</f>
        <v/>
      </c>
      <c r="I1522" s="3" t="n"/>
      <c r="J1522" s="3" t="n"/>
      <c r="K1522" s="3" t="n"/>
    </row>
    <row r="1523">
      <c r="A1523" s="3" t="n"/>
      <c r="B1523" s="3" t="n"/>
      <c r="C1523" s="3" t="n"/>
      <c r="D1523" s="3" t="n"/>
      <c r="E1523" s="4">
        <f>IF(A1523="","",COUNTIFS($A$4:A1523,A1523,$I$4:I1523,"&lt;&gt;Штраф -2",$I$4:I1523,"&lt;&gt;ушел на базу"))</f>
        <v/>
      </c>
      <c r="F1523" s="4">
        <f>IF(E1523="","",IF(E1523&lt;=3,6,IF(E1523&lt;=6,5,IF(E1523&lt;=9,4,IF(E1523&lt;=12,3,IF(E1523&lt;=15,2,0))))))</f>
        <v/>
      </c>
      <c r="G1523" s="3" t="n"/>
      <c r="H1523" s="4">
        <f>IF(I1523="Штраф -2",-2,IF(OR(F1523="",G1523=""),"",F1523*G1523+IF(J1523="",0,J1523)))</f>
        <v/>
      </c>
      <c r="I1523" s="3" t="n"/>
      <c r="J1523" s="3" t="n"/>
      <c r="K1523" s="3" t="n"/>
    </row>
    <row r="1524">
      <c r="A1524" s="3" t="n"/>
      <c r="B1524" s="3" t="n"/>
      <c r="C1524" s="3" t="n"/>
      <c r="D1524" s="3" t="n"/>
      <c r="E1524" s="4">
        <f>IF(A1524="","",COUNTIFS($A$4:A1524,A1524,$I$4:I1524,"&lt;&gt;Штраф -2",$I$4:I1524,"&lt;&gt;ушел на базу"))</f>
        <v/>
      </c>
      <c r="F1524" s="4">
        <f>IF(E1524="","",IF(E1524&lt;=3,6,IF(E1524&lt;=6,5,IF(E1524&lt;=9,4,IF(E1524&lt;=12,3,IF(E1524&lt;=15,2,0))))))</f>
        <v/>
      </c>
      <c r="G1524" s="3" t="n"/>
      <c r="H1524" s="4">
        <f>IF(I1524="Штраф -2",-2,IF(OR(F1524="",G1524=""),"",F1524*G1524+IF(J1524="",0,J1524)))</f>
        <v/>
      </c>
      <c r="I1524" s="3" t="n"/>
      <c r="J1524" s="3" t="n"/>
      <c r="K1524" s="3" t="n"/>
    </row>
    <row r="1525">
      <c r="A1525" s="3" t="n"/>
      <c r="B1525" s="3" t="n"/>
      <c r="C1525" s="3" t="n"/>
      <c r="D1525" s="3" t="n"/>
      <c r="E1525" s="4">
        <f>IF(A1525="","",COUNTIFS($A$4:A1525,A1525,$I$4:I1525,"&lt;&gt;Штраф -2",$I$4:I1525,"&lt;&gt;ушел на базу"))</f>
        <v/>
      </c>
      <c r="F1525" s="4">
        <f>IF(E1525="","",IF(E1525&lt;=3,6,IF(E1525&lt;=6,5,IF(E1525&lt;=9,4,IF(E1525&lt;=12,3,IF(E1525&lt;=15,2,0))))))</f>
        <v/>
      </c>
      <c r="G1525" s="3" t="n"/>
      <c r="H1525" s="4">
        <f>IF(I1525="Штраф -2",-2,IF(OR(F1525="",G1525=""),"",F1525*G1525+IF(J1525="",0,J1525)))</f>
        <v/>
      </c>
      <c r="I1525" s="3" t="n"/>
      <c r="J1525" s="3" t="n"/>
      <c r="K1525" s="3" t="n"/>
    </row>
    <row r="1526">
      <c r="A1526" s="3" t="n"/>
      <c r="B1526" s="3" t="n"/>
      <c r="C1526" s="3" t="n"/>
      <c r="D1526" s="3" t="n"/>
      <c r="E1526" s="4">
        <f>IF(A1526="","",COUNTIFS($A$4:A1526,A1526,$I$4:I1526,"&lt;&gt;Штраф -2",$I$4:I1526,"&lt;&gt;ушел на базу"))</f>
        <v/>
      </c>
      <c r="F1526" s="4">
        <f>IF(E1526="","",IF(E1526&lt;=3,6,IF(E1526&lt;=6,5,IF(E1526&lt;=9,4,IF(E1526&lt;=12,3,IF(E1526&lt;=15,2,0))))))</f>
        <v/>
      </c>
      <c r="G1526" s="3" t="n"/>
      <c r="H1526" s="4">
        <f>IF(I1526="Штраф -2",-2,IF(OR(F1526="",G1526=""),"",F1526*G1526+IF(J1526="",0,J1526)))</f>
        <v/>
      </c>
      <c r="I1526" s="3" t="n"/>
      <c r="J1526" s="3" t="n"/>
      <c r="K1526" s="3" t="n"/>
    </row>
    <row r="1527">
      <c r="A1527" s="3" t="n"/>
      <c r="B1527" s="3" t="n"/>
      <c r="C1527" s="3" t="n"/>
      <c r="D1527" s="3" t="n"/>
      <c r="E1527" s="4">
        <f>IF(A1527="","",COUNTIFS($A$4:A1527,A1527,$I$4:I1527,"&lt;&gt;Штраф -2",$I$4:I1527,"&lt;&gt;ушел на базу"))</f>
        <v/>
      </c>
      <c r="F1527" s="4">
        <f>IF(E1527="","",IF(E1527&lt;=3,6,IF(E1527&lt;=6,5,IF(E1527&lt;=9,4,IF(E1527&lt;=12,3,IF(E1527&lt;=15,2,0))))))</f>
        <v/>
      </c>
      <c r="G1527" s="3" t="n"/>
      <c r="H1527" s="4">
        <f>IF(I1527="Штраф -2",-2,IF(OR(F1527="",G1527=""),"",F1527*G1527+IF(J1527="",0,J1527)))</f>
        <v/>
      </c>
      <c r="I1527" s="3" t="n"/>
      <c r="J1527" s="3" t="n"/>
      <c r="K1527" s="3" t="n"/>
    </row>
    <row r="1528">
      <c r="A1528" s="3" t="n"/>
      <c r="B1528" s="3" t="n"/>
      <c r="C1528" s="3" t="n"/>
      <c r="D1528" s="3" t="n"/>
      <c r="E1528" s="4">
        <f>IF(A1528="","",COUNTIFS($A$4:A1528,A1528,$I$4:I1528,"&lt;&gt;Штраф -2",$I$4:I1528,"&lt;&gt;ушел на базу"))</f>
        <v/>
      </c>
      <c r="F1528" s="4">
        <f>IF(E1528="","",IF(E1528&lt;=3,6,IF(E1528&lt;=6,5,IF(E1528&lt;=9,4,IF(E1528&lt;=12,3,IF(E1528&lt;=15,2,0))))))</f>
        <v/>
      </c>
      <c r="G1528" s="3" t="n"/>
      <c r="H1528" s="4">
        <f>IF(I1528="Штраф -2",-2,IF(OR(F1528="",G1528=""),"",F1528*G1528+IF(J1528="",0,J1528)))</f>
        <v/>
      </c>
      <c r="I1528" s="3" t="n"/>
      <c r="J1528" s="3" t="n"/>
      <c r="K1528" s="3" t="n"/>
    </row>
    <row r="1529">
      <c r="A1529" s="3" t="n"/>
      <c r="B1529" s="3" t="n"/>
      <c r="C1529" s="3" t="n"/>
      <c r="D1529" s="3" t="n"/>
      <c r="E1529" s="4">
        <f>IF(A1529="","",COUNTIFS($A$4:A1529,A1529,$I$4:I1529,"&lt;&gt;Штраф -2",$I$4:I1529,"&lt;&gt;ушел на базу"))</f>
        <v/>
      </c>
      <c r="F1529" s="4">
        <f>IF(E1529="","",IF(E1529&lt;=3,6,IF(E1529&lt;=6,5,IF(E1529&lt;=9,4,IF(E1529&lt;=12,3,IF(E1529&lt;=15,2,0))))))</f>
        <v/>
      </c>
      <c r="G1529" s="3" t="n"/>
      <c r="H1529" s="4">
        <f>IF(I1529="Штраф -2",-2,IF(OR(F1529="",G1529=""),"",F1529*G1529+IF(J1529="",0,J1529)))</f>
        <v/>
      </c>
      <c r="I1529" s="3" t="n"/>
      <c r="J1529" s="3" t="n"/>
      <c r="K1529" s="3" t="n"/>
    </row>
    <row r="1530">
      <c r="A1530" s="3" t="n"/>
      <c r="B1530" s="3" t="n"/>
      <c r="C1530" s="3" t="n"/>
      <c r="D1530" s="3" t="n"/>
      <c r="E1530" s="4">
        <f>IF(A1530="","",COUNTIFS($A$4:A1530,A1530,$I$4:I1530,"&lt;&gt;Штраф -2",$I$4:I1530,"&lt;&gt;ушел на базу"))</f>
        <v/>
      </c>
      <c r="F1530" s="4">
        <f>IF(E1530="","",IF(E1530&lt;=3,6,IF(E1530&lt;=6,5,IF(E1530&lt;=9,4,IF(E1530&lt;=12,3,IF(E1530&lt;=15,2,0))))))</f>
        <v/>
      </c>
      <c r="G1530" s="3" t="n"/>
      <c r="H1530" s="4">
        <f>IF(I1530="Штраф -2",-2,IF(OR(F1530="",G1530=""),"",F1530*G1530+IF(J1530="",0,J1530)))</f>
        <v/>
      </c>
      <c r="I1530" s="3" t="n"/>
      <c r="J1530" s="3" t="n"/>
      <c r="K1530" s="3" t="n"/>
    </row>
    <row r="1531">
      <c r="A1531" s="3" t="n"/>
      <c r="B1531" s="3" t="n"/>
      <c r="C1531" s="3" t="n"/>
      <c r="D1531" s="3" t="n"/>
      <c r="E1531" s="4">
        <f>IF(A1531="","",COUNTIFS($A$4:A1531,A1531,$I$4:I1531,"&lt;&gt;Штраф -2",$I$4:I1531,"&lt;&gt;ушел на базу"))</f>
        <v/>
      </c>
      <c r="F1531" s="4">
        <f>IF(E1531="","",IF(E1531&lt;=3,6,IF(E1531&lt;=6,5,IF(E1531&lt;=9,4,IF(E1531&lt;=12,3,IF(E1531&lt;=15,2,0))))))</f>
        <v/>
      </c>
      <c r="G1531" s="3" t="n"/>
      <c r="H1531" s="4">
        <f>IF(I1531="Штраф -2",-2,IF(OR(F1531="",G1531=""),"",F1531*G1531+IF(J1531="",0,J1531)))</f>
        <v/>
      </c>
      <c r="I1531" s="3" t="n"/>
      <c r="J1531" s="3" t="n"/>
      <c r="K1531" s="3" t="n"/>
    </row>
    <row r="1532">
      <c r="A1532" s="3" t="n"/>
      <c r="B1532" s="3" t="n"/>
      <c r="C1532" s="3" t="n"/>
      <c r="D1532" s="3" t="n"/>
      <c r="E1532" s="4">
        <f>IF(A1532="","",COUNTIFS($A$4:A1532,A1532,$I$4:I1532,"&lt;&gt;Штраф -2",$I$4:I1532,"&lt;&gt;ушел на базу"))</f>
        <v/>
      </c>
      <c r="F1532" s="4">
        <f>IF(E1532="","",IF(E1532&lt;=3,6,IF(E1532&lt;=6,5,IF(E1532&lt;=9,4,IF(E1532&lt;=12,3,IF(E1532&lt;=15,2,0))))))</f>
        <v/>
      </c>
      <c r="G1532" s="3" t="n"/>
      <c r="H1532" s="4">
        <f>IF(I1532="Штраф -2",-2,IF(OR(F1532="",G1532=""),"",F1532*G1532+IF(J1532="",0,J1532)))</f>
        <v/>
      </c>
      <c r="I1532" s="3" t="n"/>
      <c r="J1532" s="3" t="n"/>
      <c r="K1532" s="3" t="n"/>
    </row>
    <row r="1533">
      <c r="A1533" s="3" t="n"/>
      <c r="B1533" s="3" t="n"/>
      <c r="C1533" s="3" t="n"/>
      <c r="D1533" s="3" t="n"/>
      <c r="E1533" s="4">
        <f>IF(A1533="","",COUNTIFS($A$4:A1533,A1533,$I$4:I1533,"&lt;&gt;Штраф -2",$I$4:I1533,"&lt;&gt;ушел на базу"))</f>
        <v/>
      </c>
      <c r="F1533" s="4">
        <f>IF(E1533="","",IF(E1533&lt;=3,6,IF(E1533&lt;=6,5,IF(E1533&lt;=9,4,IF(E1533&lt;=12,3,IF(E1533&lt;=15,2,0))))))</f>
        <v/>
      </c>
      <c r="G1533" s="3" t="n"/>
      <c r="H1533" s="4">
        <f>IF(I1533="Штраф -2",-2,IF(OR(F1533="",G1533=""),"",F1533*G1533+IF(J1533="",0,J1533)))</f>
        <v/>
      </c>
      <c r="I1533" s="3" t="n"/>
      <c r="J1533" s="3" t="n"/>
      <c r="K1533" s="3" t="n"/>
    </row>
    <row r="1534">
      <c r="A1534" s="3" t="n"/>
      <c r="B1534" s="3" t="n"/>
      <c r="C1534" s="3" t="n"/>
      <c r="D1534" s="3" t="n"/>
      <c r="E1534" s="4">
        <f>IF(A1534="","",COUNTIFS($A$4:A1534,A1534,$I$4:I1534,"&lt;&gt;Штраф -2",$I$4:I1534,"&lt;&gt;ушел на базу"))</f>
        <v/>
      </c>
      <c r="F1534" s="4">
        <f>IF(E1534="","",IF(E1534&lt;=3,6,IF(E1534&lt;=6,5,IF(E1534&lt;=9,4,IF(E1534&lt;=12,3,IF(E1534&lt;=15,2,0))))))</f>
        <v/>
      </c>
      <c r="G1534" s="3" t="n"/>
      <c r="H1534" s="4">
        <f>IF(I1534="Штраф -2",-2,IF(OR(F1534="",G1534=""),"",F1534*G1534+IF(J1534="",0,J1534)))</f>
        <v/>
      </c>
      <c r="I1534" s="3" t="n"/>
      <c r="J1534" s="3" t="n"/>
      <c r="K1534" s="3" t="n"/>
    </row>
    <row r="1535">
      <c r="A1535" s="3" t="n"/>
      <c r="B1535" s="3" t="n"/>
      <c r="C1535" s="3" t="n"/>
      <c r="D1535" s="3" t="n"/>
      <c r="E1535" s="4">
        <f>IF(A1535="","",COUNTIFS($A$4:A1535,A1535,$I$4:I1535,"&lt;&gt;Штраф -2",$I$4:I1535,"&lt;&gt;ушел на базу"))</f>
        <v/>
      </c>
      <c r="F1535" s="4">
        <f>IF(E1535="","",IF(E1535&lt;=3,6,IF(E1535&lt;=6,5,IF(E1535&lt;=9,4,IF(E1535&lt;=12,3,IF(E1535&lt;=15,2,0))))))</f>
        <v/>
      </c>
      <c r="G1535" s="3" t="n"/>
      <c r="H1535" s="4">
        <f>IF(I1535="Штраф -2",-2,IF(OR(F1535="",G1535=""),"",F1535*G1535+IF(J1535="",0,J1535)))</f>
        <v/>
      </c>
      <c r="I1535" s="3" t="n"/>
      <c r="J1535" s="3" t="n"/>
      <c r="K1535" s="3" t="n"/>
    </row>
    <row r="1536">
      <c r="A1536" s="3" t="n"/>
      <c r="B1536" s="3" t="n"/>
      <c r="C1536" s="3" t="n"/>
      <c r="D1536" s="3" t="n"/>
      <c r="E1536" s="4">
        <f>IF(A1536="","",COUNTIFS($A$4:A1536,A1536,$I$4:I1536,"&lt;&gt;Штраф -2",$I$4:I1536,"&lt;&gt;ушел на базу"))</f>
        <v/>
      </c>
      <c r="F1536" s="4">
        <f>IF(E1536="","",IF(E1536&lt;=3,6,IF(E1536&lt;=6,5,IF(E1536&lt;=9,4,IF(E1536&lt;=12,3,IF(E1536&lt;=15,2,0))))))</f>
        <v/>
      </c>
      <c r="G1536" s="3" t="n"/>
      <c r="H1536" s="4">
        <f>IF(I1536="Штраф -2",-2,IF(OR(F1536="",G1536=""),"",F1536*G1536+IF(J1536="",0,J1536)))</f>
        <v/>
      </c>
      <c r="I1536" s="3" t="n"/>
      <c r="J1536" s="3" t="n"/>
      <c r="K1536" s="3" t="n"/>
    </row>
    <row r="1537">
      <c r="A1537" s="3" t="n"/>
      <c r="B1537" s="3" t="n"/>
      <c r="C1537" s="3" t="n"/>
      <c r="D1537" s="3" t="n"/>
      <c r="E1537" s="4">
        <f>IF(A1537="","",COUNTIFS($A$4:A1537,A1537,$I$4:I1537,"&lt;&gt;Штраф -2",$I$4:I1537,"&lt;&gt;ушел на базу"))</f>
        <v/>
      </c>
      <c r="F1537" s="4">
        <f>IF(E1537="","",IF(E1537&lt;=3,6,IF(E1537&lt;=6,5,IF(E1537&lt;=9,4,IF(E1537&lt;=12,3,IF(E1537&lt;=15,2,0))))))</f>
        <v/>
      </c>
      <c r="G1537" s="3" t="n"/>
      <c r="H1537" s="4">
        <f>IF(I1537="Штраф -2",-2,IF(OR(F1537="",G1537=""),"",F1537*G1537+IF(J1537="",0,J1537)))</f>
        <v/>
      </c>
      <c r="I1537" s="3" t="n"/>
      <c r="J1537" s="3" t="n"/>
      <c r="K1537" s="3" t="n"/>
    </row>
    <row r="1538">
      <c r="A1538" s="3" t="n"/>
      <c r="B1538" s="3" t="n"/>
      <c r="C1538" s="3" t="n"/>
      <c r="D1538" s="3" t="n"/>
      <c r="E1538" s="4">
        <f>IF(A1538="","",COUNTIFS($A$4:A1538,A1538,$I$4:I1538,"&lt;&gt;Штраф -2",$I$4:I1538,"&lt;&gt;ушел на базу"))</f>
        <v/>
      </c>
      <c r="F1538" s="4">
        <f>IF(E1538="","",IF(E1538&lt;=3,6,IF(E1538&lt;=6,5,IF(E1538&lt;=9,4,IF(E1538&lt;=12,3,IF(E1538&lt;=15,2,0))))))</f>
        <v/>
      </c>
      <c r="G1538" s="3" t="n"/>
      <c r="H1538" s="4">
        <f>IF(I1538="Штраф -2",-2,IF(OR(F1538="",G1538=""),"",F1538*G1538+IF(J1538="",0,J1538)))</f>
        <v/>
      </c>
      <c r="I1538" s="3" t="n"/>
      <c r="J1538" s="3" t="n"/>
      <c r="K1538" s="3" t="n"/>
    </row>
    <row r="1539">
      <c r="A1539" s="3" t="n"/>
      <c r="B1539" s="3" t="n"/>
      <c r="C1539" s="3" t="n"/>
      <c r="D1539" s="3" t="n"/>
      <c r="E1539" s="4">
        <f>IF(A1539="","",COUNTIFS($A$4:A1539,A1539,$I$4:I1539,"&lt;&gt;Штраф -2",$I$4:I1539,"&lt;&gt;ушел на базу"))</f>
        <v/>
      </c>
      <c r="F1539" s="4">
        <f>IF(E1539="","",IF(E1539&lt;=3,6,IF(E1539&lt;=6,5,IF(E1539&lt;=9,4,IF(E1539&lt;=12,3,IF(E1539&lt;=15,2,0))))))</f>
        <v/>
      </c>
      <c r="G1539" s="3" t="n"/>
      <c r="H1539" s="4">
        <f>IF(I1539="Штраф -2",-2,IF(OR(F1539="",G1539=""),"",F1539*G1539+IF(J1539="",0,J1539)))</f>
        <v/>
      </c>
      <c r="I1539" s="3" t="n"/>
      <c r="J1539" s="3" t="n"/>
      <c r="K1539" s="3" t="n"/>
    </row>
    <row r="1540">
      <c r="A1540" s="3" t="n"/>
      <c r="B1540" s="3" t="n"/>
      <c r="C1540" s="3" t="n"/>
      <c r="D1540" s="3" t="n"/>
      <c r="E1540" s="4">
        <f>IF(A1540="","",COUNTIFS($A$4:A1540,A1540,$I$4:I1540,"&lt;&gt;Штраф -2",$I$4:I1540,"&lt;&gt;ушел на базу"))</f>
        <v/>
      </c>
      <c r="F1540" s="4">
        <f>IF(E1540="","",IF(E1540&lt;=3,6,IF(E1540&lt;=6,5,IF(E1540&lt;=9,4,IF(E1540&lt;=12,3,IF(E1540&lt;=15,2,0))))))</f>
        <v/>
      </c>
      <c r="G1540" s="3" t="n"/>
      <c r="H1540" s="4">
        <f>IF(I1540="Штраф -2",-2,IF(OR(F1540="",G1540=""),"",F1540*G1540+IF(J1540="",0,J1540)))</f>
        <v/>
      </c>
      <c r="I1540" s="3" t="n"/>
      <c r="J1540" s="3" t="n"/>
      <c r="K1540" s="3" t="n"/>
    </row>
    <row r="1541">
      <c r="A1541" s="3" t="n"/>
      <c r="B1541" s="3" t="n"/>
      <c r="C1541" s="3" t="n"/>
      <c r="D1541" s="3" t="n"/>
      <c r="E1541" s="4">
        <f>IF(A1541="","",COUNTIFS($A$4:A1541,A1541,$I$4:I1541,"&lt;&gt;Штраф -2",$I$4:I1541,"&lt;&gt;ушел на базу"))</f>
        <v/>
      </c>
      <c r="F1541" s="4">
        <f>IF(E1541="","",IF(E1541&lt;=3,6,IF(E1541&lt;=6,5,IF(E1541&lt;=9,4,IF(E1541&lt;=12,3,IF(E1541&lt;=15,2,0))))))</f>
        <v/>
      </c>
      <c r="G1541" s="3" t="n"/>
      <c r="H1541" s="4">
        <f>IF(I1541="Штраф -2",-2,IF(OR(F1541="",G1541=""),"",F1541*G1541+IF(J1541="",0,J1541)))</f>
        <v/>
      </c>
      <c r="I1541" s="3" t="n"/>
      <c r="J1541" s="3" t="n"/>
      <c r="K1541" s="3" t="n"/>
    </row>
    <row r="1542">
      <c r="A1542" s="3" t="n"/>
      <c r="B1542" s="3" t="n"/>
      <c r="C1542" s="3" t="n"/>
      <c r="D1542" s="3" t="n"/>
      <c r="E1542" s="4">
        <f>IF(A1542="","",COUNTIFS($A$4:A1542,A1542,$I$4:I1542,"&lt;&gt;Штраф -2",$I$4:I1542,"&lt;&gt;ушел на базу"))</f>
        <v/>
      </c>
      <c r="F1542" s="4">
        <f>IF(E1542="","",IF(E1542&lt;=3,6,IF(E1542&lt;=6,5,IF(E1542&lt;=9,4,IF(E1542&lt;=12,3,IF(E1542&lt;=15,2,0))))))</f>
        <v/>
      </c>
      <c r="G1542" s="3" t="n"/>
      <c r="H1542" s="4">
        <f>IF(I1542="Штраф -2",-2,IF(OR(F1542="",G1542=""),"",F1542*G1542+IF(J1542="",0,J1542)))</f>
        <v/>
      </c>
      <c r="I1542" s="3" t="n"/>
      <c r="J1542" s="3" t="n"/>
      <c r="K1542" s="3" t="n"/>
    </row>
    <row r="1543">
      <c r="A1543" s="3" t="n"/>
      <c r="B1543" s="3" t="n"/>
      <c r="C1543" s="3" t="n"/>
      <c r="D1543" s="3" t="n"/>
      <c r="E1543" s="4">
        <f>IF(A1543="","",COUNTIFS($A$4:A1543,A1543,$I$4:I1543,"&lt;&gt;Штраф -2",$I$4:I1543,"&lt;&gt;ушел на базу"))</f>
        <v/>
      </c>
      <c r="F1543" s="4">
        <f>IF(E1543="","",IF(E1543&lt;=3,6,IF(E1543&lt;=6,5,IF(E1543&lt;=9,4,IF(E1543&lt;=12,3,IF(E1543&lt;=15,2,0))))))</f>
        <v/>
      </c>
      <c r="G1543" s="3" t="n"/>
      <c r="H1543" s="4">
        <f>IF(I1543="Штраф -2",-2,IF(OR(F1543="",G1543=""),"",F1543*G1543+IF(J1543="",0,J1543)))</f>
        <v/>
      </c>
      <c r="I1543" s="3" t="n"/>
      <c r="J1543" s="3" t="n"/>
      <c r="K1543" s="3" t="n"/>
    </row>
    <row r="1544">
      <c r="A1544" s="3" t="n"/>
      <c r="B1544" s="3" t="n"/>
      <c r="C1544" s="3" t="n"/>
      <c r="D1544" s="3" t="n"/>
      <c r="E1544" s="4">
        <f>IF(A1544="","",COUNTIFS($A$4:A1544,A1544,$I$4:I1544,"&lt;&gt;Штраф -2",$I$4:I1544,"&lt;&gt;ушел на базу"))</f>
        <v/>
      </c>
      <c r="F1544" s="4">
        <f>IF(E1544="","",IF(E1544&lt;=3,6,IF(E1544&lt;=6,5,IF(E1544&lt;=9,4,IF(E1544&lt;=12,3,IF(E1544&lt;=15,2,0))))))</f>
        <v/>
      </c>
      <c r="G1544" s="3" t="n"/>
      <c r="H1544" s="4">
        <f>IF(I1544="Штраф -2",-2,IF(OR(F1544="",G1544=""),"",F1544*G1544+IF(J1544="",0,J1544)))</f>
        <v/>
      </c>
      <c r="I1544" s="3" t="n"/>
      <c r="J1544" s="3" t="n"/>
      <c r="K1544" s="3" t="n"/>
    </row>
    <row r="1545">
      <c r="A1545" s="3" t="n"/>
      <c r="B1545" s="3" t="n"/>
      <c r="C1545" s="3" t="n"/>
      <c r="D1545" s="3" t="n"/>
      <c r="E1545" s="4">
        <f>IF(A1545="","",COUNTIFS($A$4:A1545,A1545,$I$4:I1545,"&lt;&gt;Штраф -2",$I$4:I1545,"&lt;&gt;ушел на базу"))</f>
        <v/>
      </c>
      <c r="F1545" s="4">
        <f>IF(E1545="","",IF(E1545&lt;=3,6,IF(E1545&lt;=6,5,IF(E1545&lt;=9,4,IF(E1545&lt;=12,3,IF(E1545&lt;=15,2,0))))))</f>
        <v/>
      </c>
      <c r="G1545" s="3" t="n"/>
      <c r="H1545" s="4">
        <f>IF(I1545="Штраф -2",-2,IF(OR(F1545="",G1545=""),"",F1545*G1545+IF(J1545="",0,J1545)))</f>
        <v/>
      </c>
      <c r="I1545" s="3" t="n"/>
      <c r="J1545" s="3" t="n"/>
      <c r="K1545" s="3" t="n"/>
    </row>
    <row r="1546">
      <c r="A1546" s="3" t="n"/>
      <c r="B1546" s="3" t="n"/>
      <c r="C1546" s="3" t="n"/>
      <c r="D1546" s="3" t="n"/>
      <c r="E1546" s="4">
        <f>IF(A1546="","",COUNTIFS($A$4:A1546,A1546,$I$4:I1546,"&lt;&gt;Штраф -2",$I$4:I1546,"&lt;&gt;ушел на базу"))</f>
        <v/>
      </c>
      <c r="F1546" s="4">
        <f>IF(E1546="","",IF(E1546&lt;=3,6,IF(E1546&lt;=6,5,IF(E1546&lt;=9,4,IF(E1546&lt;=12,3,IF(E1546&lt;=15,2,0))))))</f>
        <v/>
      </c>
      <c r="G1546" s="3" t="n"/>
      <c r="H1546" s="4">
        <f>IF(I1546="Штраф -2",-2,IF(OR(F1546="",G1546=""),"",F1546*G1546+IF(J1546="",0,J1546)))</f>
        <v/>
      </c>
      <c r="I1546" s="3" t="n"/>
      <c r="J1546" s="3" t="n"/>
      <c r="K1546" s="3" t="n"/>
    </row>
    <row r="1547">
      <c r="A1547" s="3" t="n"/>
      <c r="B1547" s="3" t="n"/>
      <c r="C1547" s="3" t="n"/>
      <c r="D1547" s="3" t="n"/>
      <c r="E1547" s="4">
        <f>IF(A1547="","",COUNTIFS($A$4:A1547,A1547,$I$4:I1547,"&lt;&gt;Штраф -2",$I$4:I1547,"&lt;&gt;ушел на базу"))</f>
        <v/>
      </c>
      <c r="F1547" s="4">
        <f>IF(E1547="","",IF(E1547&lt;=3,6,IF(E1547&lt;=6,5,IF(E1547&lt;=9,4,IF(E1547&lt;=12,3,IF(E1547&lt;=15,2,0))))))</f>
        <v/>
      </c>
      <c r="G1547" s="3" t="n"/>
      <c r="H1547" s="4">
        <f>IF(I1547="Штраф -2",-2,IF(OR(F1547="",G1547=""),"",F1547*G1547+IF(J1547="",0,J1547)))</f>
        <v/>
      </c>
      <c r="I1547" s="3" t="n"/>
      <c r="J1547" s="3" t="n"/>
      <c r="K1547" s="3" t="n"/>
    </row>
    <row r="1548">
      <c r="A1548" s="3" t="n"/>
      <c r="B1548" s="3" t="n"/>
      <c r="C1548" s="3" t="n"/>
      <c r="D1548" s="3" t="n"/>
      <c r="E1548" s="4">
        <f>IF(A1548="","",COUNTIFS($A$4:A1548,A1548,$I$4:I1548,"&lt;&gt;Штраф -2",$I$4:I1548,"&lt;&gt;ушел на базу"))</f>
        <v/>
      </c>
      <c r="F1548" s="4">
        <f>IF(E1548="","",IF(E1548&lt;=3,6,IF(E1548&lt;=6,5,IF(E1548&lt;=9,4,IF(E1548&lt;=12,3,IF(E1548&lt;=15,2,0))))))</f>
        <v/>
      </c>
      <c r="G1548" s="3" t="n"/>
      <c r="H1548" s="4">
        <f>IF(I1548="Штраф -2",-2,IF(OR(F1548="",G1548=""),"",F1548*G1548+IF(J1548="",0,J1548)))</f>
        <v/>
      </c>
      <c r="I1548" s="3" t="n"/>
      <c r="J1548" s="3" t="n"/>
      <c r="K1548" s="3" t="n"/>
    </row>
    <row r="1549">
      <c r="A1549" s="3" t="n"/>
      <c r="B1549" s="3" t="n"/>
      <c r="C1549" s="3" t="n"/>
      <c r="D1549" s="3" t="n"/>
      <c r="E1549" s="4">
        <f>IF(A1549="","",COUNTIFS($A$4:A1549,A1549,$I$4:I1549,"&lt;&gt;Штраф -2",$I$4:I1549,"&lt;&gt;ушел на базу"))</f>
        <v/>
      </c>
      <c r="F1549" s="4">
        <f>IF(E1549="","",IF(E1549&lt;=3,6,IF(E1549&lt;=6,5,IF(E1549&lt;=9,4,IF(E1549&lt;=12,3,IF(E1549&lt;=15,2,0))))))</f>
        <v/>
      </c>
      <c r="G1549" s="3" t="n"/>
      <c r="H1549" s="4">
        <f>IF(I1549="Штраф -2",-2,IF(OR(F1549="",G1549=""),"",F1549*G1549+IF(J1549="",0,J1549)))</f>
        <v/>
      </c>
      <c r="I1549" s="3" t="n"/>
      <c r="J1549" s="3" t="n"/>
      <c r="K1549" s="3" t="n"/>
    </row>
    <row r="1550">
      <c r="A1550" s="3" t="n"/>
      <c r="B1550" s="3" t="n"/>
      <c r="C1550" s="3" t="n"/>
      <c r="D1550" s="3" t="n"/>
      <c r="E1550" s="4">
        <f>IF(A1550="","",COUNTIFS($A$4:A1550,A1550,$I$4:I1550,"&lt;&gt;Штраф -2",$I$4:I1550,"&lt;&gt;ушел на базу"))</f>
        <v/>
      </c>
      <c r="F1550" s="4">
        <f>IF(E1550="","",IF(E1550&lt;=3,6,IF(E1550&lt;=6,5,IF(E1550&lt;=9,4,IF(E1550&lt;=12,3,IF(E1550&lt;=15,2,0))))))</f>
        <v/>
      </c>
      <c r="G1550" s="3" t="n"/>
      <c r="H1550" s="4">
        <f>IF(I1550="Штраф -2",-2,IF(OR(F1550="",G1550=""),"",F1550*G1550+IF(J1550="",0,J1550)))</f>
        <v/>
      </c>
      <c r="I1550" s="3" t="n"/>
      <c r="J1550" s="3" t="n"/>
      <c r="K1550" s="3" t="n"/>
    </row>
    <row r="1551">
      <c r="A1551" s="3" t="n"/>
      <c r="B1551" s="3" t="n"/>
      <c r="C1551" s="3" t="n"/>
      <c r="D1551" s="3" t="n"/>
      <c r="E1551" s="4">
        <f>IF(A1551="","",COUNTIFS($A$4:A1551,A1551,$I$4:I1551,"&lt;&gt;Штраф -2",$I$4:I1551,"&lt;&gt;ушел на базу"))</f>
        <v/>
      </c>
      <c r="F1551" s="4">
        <f>IF(E1551="","",IF(E1551&lt;=3,6,IF(E1551&lt;=6,5,IF(E1551&lt;=9,4,IF(E1551&lt;=12,3,IF(E1551&lt;=15,2,0))))))</f>
        <v/>
      </c>
      <c r="G1551" s="3" t="n"/>
      <c r="H1551" s="4">
        <f>IF(I1551="Штраф -2",-2,IF(OR(F1551="",G1551=""),"",F1551*G1551+IF(J1551="",0,J1551)))</f>
        <v/>
      </c>
      <c r="I1551" s="3" t="n"/>
      <c r="J1551" s="3" t="n"/>
      <c r="K1551" s="3" t="n"/>
    </row>
    <row r="1552">
      <c r="A1552" s="3" t="n"/>
      <c r="B1552" s="3" t="n"/>
      <c r="C1552" s="3" t="n"/>
      <c r="D1552" s="3" t="n"/>
      <c r="E1552" s="4">
        <f>IF(A1552="","",COUNTIFS($A$4:A1552,A1552,$I$4:I1552,"&lt;&gt;Штраф -2",$I$4:I1552,"&lt;&gt;ушел на базу"))</f>
        <v/>
      </c>
      <c r="F1552" s="4">
        <f>IF(E1552="","",IF(E1552&lt;=3,6,IF(E1552&lt;=6,5,IF(E1552&lt;=9,4,IF(E1552&lt;=12,3,IF(E1552&lt;=15,2,0))))))</f>
        <v/>
      </c>
      <c r="G1552" s="3" t="n"/>
      <c r="H1552" s="4">
        <f>IF(I1552="Штраф -2",-2,IF(OR(F1552="",G1552=""),"",F1552*G1552+IF(J1552="",0,J1552)))</f>
        <v/>
      </c>
      <c r="I1552" s="3" t="n"/>
      <c r="J1552" s="3" t="n"/>
      <c r="K1552" s="3" t="n"/>
    </row>
    <row r="1553">
      <c r="A1553" s="3" t="n"/>
      <c r="B1553" s="3" t="n"/>
      <c r="C1553" s="3" t="n"/>
      <c r="D1553" s="3" t="n"/>
      <c r="E1553" s="4">
        <f>IF(A1553="","",COUNTIFS($A$4:A1553,A1553,$I$4:I1553,"&lt;&gt;Штраф -2",$I$4:I1553,"&lt;&gt;ушел на базу"))</f>
        <v/>
      </c>
      <c r="F1553" s="4">
        <f>IF(E1553="","",IF(E1553&lt;=3,6,IF(E1553&lt;=6,5,IF(E1553&lt;=9,4,IF(E1553&lt;=12,3,IF(E1553&lt;=15,2,0))))))</f>
        <v/>
      </c>
      <c r="G1553" s="3" t="n"/>
      <c r="H1553" s="4">
        <f>IF(I1553="Штраф -2",-2,IF(OR(F1553="",G1553=""),"",F1553*G1553+IF(J1553="",0,J1553)))</f>
        <v/>
      </c>
      <c r="I1553" s="3" t="n"/>
      <c r="J1553" s="3" t="n"/>
      <c r="K1553" s="3" t="n"/>
    </row>
    <row r="1554">
      <c r="A1554" s="3" t="n"/>
      <c r="B1554" s="3" t="n"/>
      <c r="C1554" s="3" t="n"/>
      <c r="D1554" s="3" t="n"/>
      <c r="E1554" s="4">
        <f>IF(A1554="","",COUNTIFS($A$4:A1554,A1554,$I$4:I1554,"&lt;&gt;Штраф -2",$I$4:I1554,"&lt;&gt;ушел на базу"))</f>
        <v/>
      </c>
      <c r="F1554" s="4">
        <f>IF(E1554="","",IF(E1554&lt;=3,6,IF(E1554&lt;=6,5,IF(E1554&lt;=9,4,IF(E1554&lt;=12,3,IF(E1554&lt;=15,2,0))))))</f>
        <v/>
      </c>
      <c r="G1554" s="3" t="n"/>
      <c r="H1554" s="4">
        <f>IF(I1554="Штраф -2",-2,IF(OR(F1554="",G1554=""),"",F1554*G1554+IF(J1554="",0,J1554)))</f>
        <v/>
      </c>
      <c r="I1554" s="3" t="n"/>
      <c r="J1554" s="3" t="n"/>
      <c r="K1554" s="3" t="n"/>
    </row>
    <row r="1555">
      <c r="A1555" s="3" t="n"/>
      <c r="B1555" s="3" t="n"/>
      <c r="C1555" s="3" t="n"/>
      <c r="D1555" s="3" t="n"/>
      <c r="E1555" s="4">
        <f>IF(A1555="","",COUNTIFS($A$4:A1555,A1555,$I$4:I1555,"&lt;&gt;Штраф -2",$I$4:I1555,"&lt;&gt;ушел на базу"))</f>
        <v/>
      </c>
      <c r="F1555" s="4">
        <f>IF(E1555="","",IF(E1555&lt;=3,6,IF(E1555&lt;=6,5,IF(E1555&lt;=9,4,IF(E1555&lt;=12,3,IF(E1555&lt;=15,2,0))))))</f>
        <v/>
      </c>
      <c r="G1555" s="3" t="n"/>
      <c r="H1555" s="4">
        <f>IF(I1555="Штраф -2",-2,IF(OR(F1555="",G1555=""),"",F1555*G1555+IF(J1555="",0,J1555)))</f>
        <v/>
      </c>
      <c r="I1555" s="3" t="n"/>
      <c r="J1555" s="3" t="n"/>
      <c r="K1555" s="3" t="n"/>
    </row>
    <row r="1556">
      <c r="A1556" s="3" t="n"/>
      <c r="B1556" s="3" t="n"/>
      <c r="C1556" s="3" t="n"/>
      <c r="D1556" s="3" t="n"/>
      <c r="E1556" s="4">
        <f>IF(A1556="","",COUNTIFS($A$4:A1556,A1556,$I$4:I1556,"&lt;&gt;Штраф -2",$I$4:I1556,"&lt;&gt;ушел на базу"))</f>
        <v/>
      </c>
      <c r="F1556" s="4">
        <f>IF(E1556="","",IF(E1556&lt;=3,6,IF(E1556&lt;=6,5,IF(E1556&lt;=9,4,IF(E1556&lt;=12,3,IF(E1556&lt;=15,2,0))))))</f>
        <v/>
      </c>
      <c r="G1556" s="3" t="n"/>
      <c r="H1556" s="4">
        <f>IF(I1556="Штраф -2",-2,IF(OR(F1556="",G1556=""),"",F1556*G1556+IF(J1556="",0,J1556)))</f>
        <v/>
      </c>
      <c r="I1556" s="3" t="n"/>
      <c r="J1556" s="3" t="n"/>
      <c r="K1556" s="3" t="n"/>
    </row>
    <row r="1557">
      <c r="A1557" s="3" t="n"/>
      <c r="B1557" s="3" t="n"/>
      <c r="C1557" s="3" t="n"/>
      <c r="D1557" s="3" t="n"/>
      <c r="E1557" s="4">
        <f>IF(A1557="","",COUNTIFS($A$4:A1557,A1557,$I$4:I1557,"&lt;&gt;Штраф -2",$I$4:I1557,"&lt;&gt;ушел на базу"))</f>
        <v/>
      </c>
      <c r="F1557" s="4">
        <f>IF(E1557="","",IF(E1557&lt;=3,6,IF(E1557&lt;=6,5,IF(E1557&lt;=9,4,IF(E1557&lt;=12,3,IF(E1557&lt;=15,2,0))))))</f>
        <v/>
      </c>
      <c r="G1557" s="3" t="n"/>
      <c r="H1557" s="4">
        <f>IF(I1557="Штраф -2",-2,IF(OR(F1557="",G1557=""),"",F1557*G1557+IF(J1557="",0,J1557)))</f>
        <v/>
      </c>
      <c r="I1557" s="3" t="n"/>
      <c r="J1557" s="3" t="n"/>
      <c r="K1557" s="3" t="n"/>
    </row>
    <row r="1558">
      <c r="A1558" s="3" t="n"/>
      <c r="B1558" s="3" t="n"/>
      <c r="C1558" s="3" t="n"/>
      <c r="D1558" s="3" t="n"/>
      <c r="E1558" s="4">
        <f>IF(A1558="","",COUNTIFS($A$4:A1558,A1558,$I$4:I1558,"&lt;&gt;Штраф -2",$I$4:I1558,"&lt;&gt;ушел на базу"))</f>
        <v/>
      </c>
      <c r="F1558" s="4">
        <f>IF(E1558="","",IF(E1558&lt;=3,6,IF(E1558&lt;=6,5,IF(E1558&lt;=9,4,IF(E1558&lt;=12,3,IF(E1558&lt;=15,2,0))))))</f>
        <v/>
      </c>
      <c r="G1558" s="3" t="n"/>
      <c r="H1558" s="4">
        <f>IF(I1558="Штраф -2",-2,IF(OR(F1558="",G1558=""),"",F1558*G1558+IF(J1558="",0,J1558)))</f>
        <v/>
      </c>
      <c r="I1558" s="3" t="n"/>
      <c r="J1558" s="3" t="n"/>
      <c r="K1558" s="3" t="n"/>
    </row>
    <row r="1559">
      <c r="A1559" s="3" t="n"/>
      <c r="B1559" s="3" t="n"/>
      <c r="C1559" s="3" t="n"/>
      <c r="D1559" s="3" t="n"/>
      <c r="E1559" s="4">
        <f>IF(A1559="","",COUNTIFS($A$4:A1559,A1559,$I$4:I1559,"&lt;&gt;Штраф -2",$I$4:I1559,"&lt;&gt;ушел на базу"))</f>
        <v/>
      </c>
      <c r="F1559" s="4">
        <f>IF(E1559="","",IF(E1559&lt;=3,6,IF(E1559&lt;=6,5,IF(E1559&lt;=9,4,IF(E1559&lt;=12,3,IF(E1559&lt;=15,2,0))))))</f>
        <v/>
      </c>
      <c r="G1559" s="3" t="n"/>
      <c r="H1559" s="4">
        <f>IF(I1559="Штраф -2",-2,IF(OR(F1559="",G1559=""),"",F1559*G1559+IF(J1559="",0,J1559)))</f>
        <v/>
      </c>
      <c r="I1559" s="3" t="n"/>
      <c r="J1559" s="3" t="n"/>
      <c r="K1559" s="3" t="n"/>
    </row>
    <row r="1560">
      <c r="A1560" s="3" t="n"/>
      <c r="B1560" s="3" t="n"/>
      <c r="C1560" s="3" t="n"/>
      <c r="D1560" s="3" t="n"/>
      <c r="E1560" s="4">
        <f>IF(A1560="","",COUNTIFS($A$4:A1560,A1560,$I$4:I1560,"&lt;&gt;Штраф -2",$I$4:I1560,"&lt;&gt;ушел на базу"))</f>
        <v/>
      </c>
      <c r="F1560" s="4">
        <f>IF(E1560="","",IF(E1560&lt;=3,6,IF(E1560&lt;=6,5,IF(E1560&lt;=9,4,IF(E1560&lt;=12,3,IF(E1560&lt;=15,2,0))))))</f>
        <v/>
      </c>
      <c r="G1560" s="3" t="n"/>
      <c r="H1560" s="4">
        <f>IF(I1560="Штраф -2",-2,IF(OR(F1560="",G1560=""),"",F1560*G1560+IF(J1560="",0,J1560)))</f>
        <v/>
      </c>
      <c r="I1560" s="3" t="n"/>
      <c r="J1560" s="3" t="n"/>
      <c r="K1560" s="3" t="n"/>
    </row>
    <row r="1561">
      <c r="A1561" s="3" t="n"/>
      <c r="B1561" s="3" t="n"/>
      <c r="C1561" s="3" t="n"/>
      <c r="D1561" s="3" t="n"/>
      <c r="E1561" s="4">
        <f>IF(A1561="","",COUNTIFS($A$4:A1561,A1561,$I$4:I1561,"&lt;&gt;Штраф -2",$I$4:I1561,"&lt;&gt;ушел на базу"))</f>
        <v/>
      </c>
      <c r="F1561" s="4">
        <f>IF(E1561="","",IF(E1561&lt;=3,6,IF(E1561&lt;=6,5,IF(E1561&lt;=9,4,IF(E1561&lt;=12,3,IF(E1561&lt;=15,2,0))))))</f>
        <v/>
      </c>
      <c r="G1561" s="3" t="n"/>
      <c r="H1561" s="4">
        <f>IF(I1561="Штраф -2",-2,IF(OR(F1561="",G1561=""),"",F1561*G1561+IF(J1561="",0,J1561)))</f>
        <v/>
      </c>
      <c r="I1561" s="3" t="n"/>
      <c r="J1561" s="3" t="n"/>
      <c r="K1561" s="3" t="n"/>
    </row>
    <row r="1562">
      <c r="A1562" s="3" t="n"/>
      <c r="B1562" s="3" t="n"/>
      <c r="C1562" s="3" t="n"/>
      <c r="D1562" s="3" t="n"/>
      <c r="E1562" s="4">
        <f>IF(A1562="","",COUNTIFS($A$4:A1562,A1562,$I$4:I1562,"&lt;&gt;Штраф -2",$I$4:I1562,"&lt;&gt;ушел на базу"))</f>
        <v/>
      </c>
      <c r="F1562" s="4">
        <f>IF(E1562="","",IF(E1562&lt;=3,6,IF(E1562&lt;=6,5,IF(E1562&lt;=9,4,IF(E1562&lt;=12,3,IF(E1562&lt;=15,2,0))))))</f>
        <v/>
      </c>
      <c r="G1562" s="3" t="n"/>
      <c r="H1562" s="4">
        <f>IF(I1562="Штраф -2",-2,IF(OR(F1562="",G1562=""),"",F1562*G1562+IF(J1562="",0,J1562)))</f>
        <v/>
      </c>
      <c r="I1562" s="3" t="n"/>
      <c r="J1562" s="3" t="n"/>
      <c r="K1562" s="3" t="n"/>
    </row>
    <row r="1563">
      <c r="A1563" s="3" t="n"/>
      <c r="B1563" s="3" t="n"/>
      <c r="C1563" s="3" t="n"/>
      <c r="D1563" s="3" t="n"/>
      <c r="E1563" s="4">
        <f>IF(A1563="","",COUNTIFS($A$4:A1563,A1563,$I$4:I1563,"&lt;&gt;Штраф -2",$I$4:I1563,"&lt;&gt;ушел на базу"))</f>
        <v/>
      </c>
      <c r="F1563" s="4">
        <f>IF(E1563="","",IF(E1563&lt;=3,6,IF(E1563&lt;=6,5,IF(E1563&lt;=9,4,IF(E1563&lt;=12,3,IF(E1563&lt;=15,2,0))))))</f>
        <v/>
      </c>
      <c r="G1563" s="3" t="n"/>
      <c r="H1563" s="4">
        <f>IF(I1563="Штраф -2",-2,IF(OR(F1563="",G1563=""),"",F1563*G1563+IF(J1563="",0,J1563)))</f>
        <v/>
      </c>
      <c r="I1563" s="3" t="n"/>
      <c r="J1563" s="3" t="n"/>
      <c r="K1563" s="3" t="n"/>
    </row>
    <row r="1564">
      <c r="A1564" s="3" t="n"/>
      <c r="B1564" s="3" t="n"/>
      <c r="C1564" s="3" t="n"/>
      <c r="D1564" s="3" t="n"/>
      <c r="E1564" s="4">
        <f>IF(A1564="","",COUNTIFS($A$4:A1564,A1564,$I$4:I1564,"&lt;&gt;Штраф -2",$I$4:I1564,"&lt;&gt;ушел на базу"))</f>
        <v/>
      </c>
      <c r="F1564" s="4">
        <f>IF(E1564="","",IF(E1564&lt;=3,6,IF(E1564&lt;=6,5,IF(E1564&lt;=9,4,IF(E1564&lt;=12,3,IF(E1564&lt;=15,2,0))))))</f>
        <v/>
      </c>
      <c r="G1564" s="3" t="n"/>
      <c r="H1564" s="4">
        <f>IF(I1564="Штраф -2",-2,IF(OR(F1564="",G1564=""),"",F1564*G1564+IF(J1564="",0,J1564)))</f>
        <v/>
      </c>
      <c r="I1564" s="3" t="n"/>
      <c r="J1564" s="3" t="n"/>
      <c r="K1564" s="3" t="n"/>
    </row>
    <row r="1565">
      <c r="A1565" s="3" t="n"/>
      <c r="B1565" s="3" t="n"/>
      <c r="C1565" s="3" t="n"/>
      <c r="D1565" s="3" t="n"/>
      <c r="E1565" s="4">
        <f>IF(A1565="","",COUNTIFS($A$4:A1565,A1565,$I$4:I1565,"&lt;&gt;Штраф -2",$I$4:I1565,"&lt;&gt;ушел на базу"))</f>
        <v/>
      </c>
      <c r="F1565" s="4">
        <f>IF(E1565="","",IF(E1565&lt;=3,6,IF(E1565&lt;=6,5,IF(E1565&lt;=9,4,IF(E1565&lt;=12,3,IF(E1565&lt;=15,2,0))))))</f>
        <v/>
      </c>
      <c r="G1565" s="3" t="n"/>
      <c r="H1565" s="4">
        <f>IF(I1565="Штраф -2",-2,IF(OR(F1565="",G1565=""),"",F1565*G1565+IF(J1565="",0,J1565)))</f>
        <v/>
      </c>
      <c r="I1565" s="3" t="n"/>
      <c r="J1565" s="3" t="n"/>
      <c r="K1565" s="3" t="n"/>
    </row>
    <row r="1566">
      <c r="A1566" s="3" t="n"/>
      <c r="B1566" s="3" t="n"/>
      <c r="C1566" s="3" t="n"/>
      <c r="D1566" s="3" t="n"/>
      <c r="E1566" s="4">
        <f>IF(A1566="","",COUNTIFS($A$4:A1566,A1566,$I$4:I1566,"&lt;&gt;Штраф -2",$I$4:I1566,"&lt;&gt;ушел на базу"))</f>
        <v/>
      </c>
      <c r="F1566" s="4">
        <f>IF(E1566="","",IF(E1566&lt;=3,6,IF(E1566&lt;=6,5,IF(E1566&lt;=9,4,IF(E1566&lt;=12,3,IF(E1566&lt;=15,2,0))))))</f>
        <v/>
      </c>
      <c r="G1566" s="3" t="n"/>
      <c r="H1566" s="4">
        <f>IF(I1566="Штраф -2",-2,IF(OR(F1566="",G1566=""),"",F1566*G1566+IF(J1566="",0,J1566)))</f>
        <v/>
      </c>
      <c r="I1566" s="3" t="n"/>
      <c r="J1566" s="3" t="n"/>
      <c r="K1566" s="3" t="n"/>
    </row>
    <row r="1567">
      <c r="A1567" s="3" t="n"/>
      <c r="B1567" s="3" t="n"/>
      <c r="C1567" s="3" t="n"/>
      <c r="D1567" s="3" t="n"/>
      <c r="E1567" s="4">
        <f>IF(A1567="","",COUNTIFS($A$4:A1567,A1567,$I$4:I1567,"&lt;&gt;Штраф -2",$I$4:I1567,"&lt;&gt;ушел на базу"))</f>
        <v/>
      </c>
      <c r="F1567" s="4">
        <f>IF(E1567="","",IF(E1567&lt;=3,6,IF(E1567&lt;=6,5,IF(E1567&lt;=9,4,IF(E1567&lt;=12,3,IF(E1567&lt;=15,2,0))))))</f>
        <v/>
      </c>
      <c r="G1567" s="3" t="n"/>
      <c r="H1567" s="4">
        <f>IF(I1567="Штраф -2",-2,IF(OR(F1567="",G1567=""),"",F1567*G1567+IF(J1567="",0,J1567)))</f>
        <v/>
      </c>
      <c r="I1567" s="3" t="n"/>
      <c r="J1567" s="3" t="n"/>
      <c r="K1567" s="3" t="n"/>
    </row>
    <row r="1568">
      <c r="A1568" s="3" t="n"/>
      <c r="B1568" s="3" t="n"/>
      <c r="C1568" s="3" t="n"/>
      <c r="D1568" s="3" t="n"/>
      <c r="E1568" s="4">
        <f>IF(A1568="","",COUNTIFS($A$4:A1568,A1568,$I$4:I1568,"&lt;&gt;Штраф -2",$I$4:I1568,"&lt;&gt;ушел на базу"))</f>
        <v/>
      </c>
      <c r="F1568" s="4">
        <f>IF(E1568="","",IF(E1568&lt;=3,6,IF(E1568&lt;=6,5,IF(E1568&lt;=9,4,IF(E1568&lt;=12,3,IF(E1568&lt;=15,2,0))))))</f>
        <v/>
      </c>
      <c r="G1568" s="3" t="n"/>
      <c r="H1568" s="4">
        <f>IF(I1568="Штраф -2",-2,IF(OR(F1568="",G1568=""),"",F1568*G1568+IF(J1568="",0,J1568)))</f>
        <v/>
      </c>
      <c r="I1568" s="3" t="n"/>
      <c r="J1568" s="3" t="n"/>
      <c r="K1568" s="3" t="n"/>
    </row>
    <row r="1569">
      <c r="A1569" s="3" t="n"/>
      <c r="B1569" s="3" t="n"/>
      <c r="C1569" s="3" t="n"/>
      <c r="D1569" s="3" t="n"/>
      <c r="E1569" s="4">
        <f>IF(A1569="","",COUNTIFS($A$4:A1569,A1569,$I$4:I1569,"&lt;&gt;Штраф -2",$I$4:I1569,"&lt;&gt;ушел на базу"))</f>
        <v/>
      </c>
      <c r="F1569" s="4">
        <f>IF(E1569="","",IF(E1569&lt;=3,6,IF(E1569&lt;=6,5,IF(E1569&lt;=9,4,IF(E1569&lt;=12,3,IF(E1569&lt;=15,2,0))))))</f>
        <v/>
      </c>
      <c r="G1569" s="3" t="n"/>
      <c r="H1569" s="4">
        <f>IF(I1569="Штраф -2",-2,IF(OR(F1569="",G1569=""),"",F1569*G1569+IF(J1569="",0,J1569)))</f>
        <v/>
      </c>
      <c r="I1569" s="3" t="n"/>
      <c r="J1569" s="3" t="n"/>
      <c r="K1569" s="3" t="n"/>
    </row>
    <row r="1570">
      <c r="A1570" s="3" t="n"/>
      <c r="B1570" s="3" t="n"/>
      <c r="C1570" s="3" t="n"/>
      <c r="D1570" s="3" t="n"/>
      <c r="E1570" s="4">
        <f>IF(A1570="","",COUNTIFS($A$4:A1570,A1570,$I$4:I1570,"&lt;&gt;Штраф -2",$I$4:I1570,"&lt;&gt;ушел на базу"))</f>
        <v/>
      </c>
      <c r="F1570" s="4">
        <f>IF(E1570="","",IF(E1570&lt;=3,6,IF(E1570&lt;=6,5,IF(E1570&lt;=9,4,IF(E1570&lt;=12,3,IF(E1570&lt;=15,2,0))))))</f>
        <v/>
      </c>
      <c r="G1570" s="3" t="n"/>
      <c r="H1570" s="4">
        <f>IF(I1570="Штраф -2",-2,IF(OR(F1570="",G1570=""),"",F1570*G1570+IF(J1570="",0,J1570)))</f>
        <v/>
      </c>
      <c r="I1570" s="3" t="n"/>
      <c r="J1570" s="3" t="n"/>
      <c r="K1570" s="3" t="n"/>
    </row>
    <row r="1571">
      <c r="A1571" s="3" t="n"/>
      <c r="B1571" s="3" t="n"/>
      <c r="C1571" s="3" t="n"/>
      <c r="D1571" s="3" t="n"/>
      <c r="E1571" s="4">
        <f>IF(A1571="","",COUNTIFS($A$4:A1571,A1571,$I$4:I1571,"&lt;&gt;Штраф -2",$I$4:I1571,"&lt;&gt;ушел на базу"))</f>
        <v/>
      </c>
      <c r="F1571" s="4">
        <f>IF(E1571="","",IF(E1571&lt;=3,6,IF(E1571&lt;=6,5,IF(E1571&lt;=9,4,IF(E1571&lt;=12,3,IF(E1571&lt;=15,2,0))))))</f>
        <v/>
      </c>
      <c r="G1571" s="3" t="n"/>
      <c r="H1571" s="4">
        <f>IF(I1571="Штраф -2",-2,IF(OR(F1571="",G1571=""),"",F1571*G1571+IF(J1571="",0,J1571)))</f>
        <v/>
      </c>
      <c r="I1571" s="3" t="n"/>
      <c r="J1571" s="3" t="n"/>
      <c r="K1571" s="3" t="n"/>
    </row>
    <row r="1572">
      <c r="A1572" s="3" t="n"/>
      <c r="B1572" s="3" t="n"/>
      <c r="C1572" s="3" t="n"/>
      <c r="D1572" s="3" t="n"/>
      <c r="E1572" s="4">
        <f>IF(A1572="","",COUNTIFS($A$4:A1572,A1572,$I$4:I1572,"&lt;&gt;Штраф -2",$I$4:I1572,"&lt;&gt;ушел на базу"))</f>
        <v/>
      </c>
      <c r="F1572" s="4">
        <f>IF(E1572="","",IF(E1572&lt;=3,6,IF(E1572&lt;=6,5,IF(E1572&lt;=9,4,IF(E1572&lt;=12,3,IF(E1572&lt;=15,2,0))))))</f>
        <v/>
      </c>
      <c r="G1572" s="3" t="n"/>
      <c r="H1572" s="4">
        <f>IF(I1572="Штраф -2",-2,IF(OR(F1572="",G1572=""),"",F1572*G1572+IF(J1572="",0,J1572)))</f>
        <v/>
      </c>
      <c r="I1572" s="3" t="n"/>
      <c r="J1572" s="3" t="n"/>
      <c r="K1572" s="3" t="n"/>
    </row>
    <row r="1573">
      <c r="A1573" s="3" t="n"/>
      <c r="B1573" s="3" t="n"/>
      <c r="C1573" s="3" t="n"/>
      <c r="D1573" s="3" t="n"/>
      <c r="E1573" s="4">
        <f>IF(A1573="","",COUNTIFS($A$4:A1573,A1573,$I$4:I1573,"&lt;&gt;Штраф -2",$I$4:I1573,"&lt;&gt;ушел на базу"))</f>
        <v/>
      </c>
      <c r="F1573" s="4">
        <f>IF(E1573="","",IF(E1573&lt;=3,6,IF(E1573&lt;=6,5,IF(E1573&lt;=9,4,IF(E1573&lt;=12,3,IF(E1573&lt;=15,2,0))))))</f>
        <v/>
      </c>
      <c r="G1573" s="3" t="n"/>
      <c r="H1573" s="4">
        <f>IF(I1573="Штраф -2",-2,IF(OR(F1573="",G1573=""),"",F1573*G1573+IF(J1573="",0,J1573)))</f>
        <v/>
      </c>
      <c r="I1573" s="3" t="n"/>
      <c r="J1573" s="3" t="n"/>
      <c r="K1573" s="3" t="n"/>
    </row>
    <row r="1574">
      <c r="A1574" s="3" t="n"/>
      <c r="B1574" s="3" t="n"/>
      <c r="C1574" s="3" t="n"/>
      <c r="D1574" s="3" t="n"/>
      <c r="E1574" s="4">
        <f>IF(A1574="","",COUNTIFS($A$4:A1574,A1574,$I$4:I1574,"&lt;&gt;Штраф -2",$I$4:I1574,"&lt;&gt;ушел на базу"))</f>
        <v/>
      </c>
      <c r="F1574" s="4">
        <f>IF(E1574="","",IF(E1574&lt;=3,6,IF(E1574&lt;=6,5,IF(E1574&lt;=9,4,IF(E1574&lt;=12,3,IF(E1574&lt;=15,2,0))))))</f>
        <v/>
      </c>
      <c r="G1574" s="3" t="n"/>
      <c r="H1574" s="4">
        <f>IF(I1574="Штраф -2",-2,IF(OR(F1574="",G1574=""),"",F1574*G1574+IF(J1574="",0,J1574)))</f>
        <v/>
      </c>
      <c r="I1574" s="3" t="n"/>
      <c r="J1574" s="3" t="n"/>
      <c r="K1574" s="3" t="n"/>
    </row>
    <row r="1575">
      <c r="A1575" s="3" t="n"/>
      <c r="B1575" s="3" t="n"/>
      <c r="C1575" s="3" t="n"/>
      <c r="D1575" s="3" t="n"/>
      <c r="E1575" s="4">
        <f>IF(A1575="","",COUNTIFS($A$4:A1575,A1575,$I$4:I1575,"&lt;&gt;Штраф -2",$I$4:I1575,"&lt;&gt;ушел на базу"))</f>
        <v/>
      </c>
      <c r="F1575" s="4">
        <f>IF(E1575="","",IF(E1575&lt;=3,6,IF(E1575&lt;=6,5,IF(E1575&lt;=9,4,IF(E1575&lt;=12,3,IF(E1575&lt;=15,2,0))))))</f>
        <v/>
      </c>
      <c r="G1575" s="3" t="n"/>
      <c r="H1575" s="4">
        <f>IF(I1575="Штраф -2",-2,IF(OR(F1575="",G1575=""),"",F1575*G1575+IF(J1575="",0,J1575)))</f>
        <v/>
      </c>
      <c r="I1575" s="3" t="n"/>
      <c r="J1575" s="3" t="n"/>
      <c r="K1575" s="3" t="n"/>
    </row>
    <row r="1576">
      <c r="A1576" s="3" t="n"/>
      <c r="B1576" s="3" t="n"/>
      <c r="C1576" s="3" t="n"/>
      <c r="D1576" s="3" t="n"/>
      <c r="E1576" s="4">
        <f>IF(A1576="","",COUNTIFS($A$4:A1576,A1576,$I$4:I1576,"&lt;&gt;Штраф -2",$I$4:I1576,"&lt;&gt;ушел на базу"))</f>
        <v/>
      </c>
      <c r="F1576" s="4">
        <f>IF(E1576="","",IF(E1576&lt;=3,6,IF(E1576&lt;=6,5,IF(E1576&lt;=9,4,IF(E1576&lt;=12,3,IF(E1576&lt;=15,2,0))))))</f>
        <v/>
      </c>
      <c r="G1576" s="3" t="n"/>
      <c r="H1576" s="4">
        <f>IF(I1576="Штраф -2",-2,IF(OR(F1576="",G1576=""),"",F1576*G1576+IF(J1576="",0,J1576)))</f>
        <v/>
      </c>
      <c r="I1576" s="3" t="n"/>
      <c r="J1576" s="3" t="n"/>
      <c r="K1576" s="3" t="n"/>
    </row>
    <row r="1577">
      <c r="A1577" s="3" t="n"/>
      <c r="B1577" s="3" t="n"/>
      <c r="C1577" s="3" t="n"/>
      <c r="D1577" s="3" t="n"/>
      <c r="E1577" s="4">
        <f>IF(A1577="","",COUNTIFS($A$4:A1577,A1577,$I$4:I1577,"&lt;&gt;Штраф -2",$I$4:I1577,"&lt;&gt;ушел на базу"))</f>
        <v/>
      </c>
      <c r="F1577" s="4">
        <f>IF(E1577="","",IF(E1577&lt;=3,6,IF(E1577&lt;=6,5,IF(E1577&lt;=9,4,IF(E1577&lt;=12,3,IF(E1577&lt;=15,2,0))))))</f>
        <v/>
      </c>
      <c r="G1577" s="3" t="n"/>
      <c r="H1577" s="4">
        <f>IF(I1577="Штраф -2",-2,IF(OR(F1577="",G1577=""),"",F1577*G1577+IF(J1577="",0,J1577)))</f>
        <v/>
      </c>
      <c r="I1577" s="3" t="n"/>
      <c r="J1577" s="3" t="n"/>
      <c r="K1577" s="3" t="n"/>
    </row>
    <row r="1578">
      <c r="A1578" s="3" t="n"/>
      <c r="B1578" s="3" t="n"/>
      <c r="C1578" s="3" t="n"/>
      <c r="D1578" s="3" t="n"/>
      <c r="E1578" s="4">
        <f>IF(A1578="","",COUNTIFS($A$4:A1578,A1578,$I$4:I1578,"&lt;&gt;Штраф -2",$I$4:I1578,"&lt;&gt;ушел на базу"))</f>
        <v/>
      </c>
      <c r="F1578" s="4">
        <f>IF(E1578="","",IF(E1578&lt;=3,6,IF(E1578&lt;=6,5,IF(E1578&lt;=9,4,IF(E1578&lt;=12,3,IF(E1578&lt;=15,2,0))))))</f>
        <v/>
      </c>
      <c r="G1578" s="3" t="n"/>
      <c r="H1578" s="4">
        <f>IF(I1578="Штраф -2",-2,IF(OR(F1578="",G1578=""),"",F1578*G1578+IF(J1578="",0,J1578)))</f>
        <v/>
      </c>
      <c r="I1578" s="3" t="n"/>
      <c r="J1578" s="3" t="n"/>
      <c r="K1578" s="3" t="n"/>
    </row>
    <row r="1579">
      <c r="A1579" s="3" t="n"/>
      <c r="B1579" s="3" t="n"/>
      <c r="C1579" s="3" t="n"/>
      <c r="D1579" s="3" t="n"/>
      <c r="E1579" s="4">
        <f>IF(A1579="","",COUNTIFS($A$4:A1579,A1579,$I$4:I1579,"&lt;&gt;Штраф -2",$I$4:I1579,"&lt;&gt;ушел на базу"))</f>
        <v/>
      </c>
      <c r="F1579" s="4">
        <f>IF(E1579="","",IF(E1579&lt;=3,6,IF(E1579&lt;=6,5,IF(E1579&lt;=9,4,IF(E1579&lt;=12,3,IF(E1579&lt;=15,2,0))))))</f>
        <v/>
      </c>
      <c r="G1579" s="3" t="n"/>
      <c r="H1579" s="4">
        <f>IF(I1579="Штраф -2",-2,IF(OR(F1579="",G1579=""),"",F1579*G1579+IF(J1579="",0,J1579)))</f>
        <v/>
      </c>
      <c r="I1579" s="3" t="n"/>
      <c r="J1579" s="3" t="n"/>
      <c r="K1579" s="3" t="n"/>
    </row>
    <row r="1580">
      <c r="A1580" s="3" t="n"/>
      <c r="B1580" s="3" t="n"/>
      <c r="C1580" s="3" t="n"/>
      <c r="D1580" s="3" t="n"/>
      <c r="E1580" s="4">
        <f>IF(A1580="","",COUNTIFS($A$4:A1580,A1580,$I$4:I1580,"&lt;&gt;Штраф -2",$I$4:I1580,"&lt;&gt;ушел на базу"))</f>
        <v/>
      </c>
      <c r="F1580" s="4">
        <f>IF(E1580="","",IF(E1580&lt;=3,6,IF(E1580&lt;=6,5,IF(E1580&lt;=9,4,IF(E1580&lt;=12,3,IF(E1580&lt;=15,2,0))))))</f>
        <v/>
      </c>
      <c r="G1580" s="3" t="n"/>
      <c r="H1580" s="4">
        <f>IF(I1580="Штраф -2",-2,IF(OR(F1580="",G1580=""),"",F1580*G1580+IF(J1580="",0,J1580)))</f>
        <v/>
      </c>
      <c r="I1580" s="3" t="n"/>
      <c r="J1580" s="3" t="n"/>
      <c r="K1580" s="3" t="n"/>
    </row>
    <row r="1581">
      <c r="A1581" s="3" t="n"/>
      <c r="B1581" s="3" t="n"/>
      <c r="C1581" s="3" t="n"/>
      <c r="D1581" s="3" t="n"/>
      <c r="E1581" s="4">
        <f>IF(A1581="","",COUNTIFS($A$4:A1581,A1581,$I$4:I1581,"&lt;&gt;Штраф -2",$I$4:I1581,"&lt;&gt;ушел на базу"))</f>
        <v/>
      </c>
      <c r="F1581" s="4">
        <f>IF(E1581="","",IF(E1581&lt;=3,6,IF(E1581&lt;=6,5,IF(E1581&lt;=9,4,IF(E1581&lt;=12,3,IF(E1581&lt;=15,2,0))))))</f>
        <v/>
      </c>
      <c r="G1581" s="3" t="n"/>
      <c r="H1581" s="4">
        <f>IF(I1581="Штраф -2",-2,IF(OR(F1581="",G1581=""),"",F1581*G1581+IF(J1581="",0,J1581)))</f>
        <v/>
      </c>
      <c r="I1581" s="3" t="n"/>
      <c r="J1581" s="3" t="n"/>
      <c r="K1581" s="3" t="n"/>
    </row>
    <row r="1582">
      <c r="A1582" s="3" t="n"/>
      <c r="B1582" s="3" t="n"/>
      <c r="C1582" s="3" t="n"/>
      <c r="D1582" s="3" t="n"/>
      <c r="E1582" s="4">
        <f>IF(A1582="","",COUNTIFS($A$4:A1582,A1582,$I$4:I1582,"&lt;&gt;Штраф -2",$I$4:I1582,"&lt;&gt;ушел на базу"))</f>
        <v/>
      </c>
      <c r="F1582" s="4">
        <f>IF(E1582="","",IF(E1582&lt;=3,6,IF(E1582&lt;=6,5,IF(E1582&lt;=9,4,IF(E1582&lt;=12,3,IF(E1582&lt;=15,2,0))))))</f>
        <v/>
      </c>
      <c r="G1582" s="3" t="n"/>
      <c r="H1582" s="4">
        <f>IF(I1582="Штраф -2",-2,IF(OR(F1582="",G1582=""),"",F1582*G1582+IF(J1582="",0,J1582)))</f>
        <v/>
      </c>
      <c r="I1582" s="3" t="n"/>
      <c r="J1582" s="3" t="n"/>
      <c r="K1582" s="3" t="n"/>
    </row>
    <row r="1583">
      <c r="A1583" s="3" t="n"/>
      <c r="B1583" s="3" t="n"/>
      <c r="C1583" s="3" t="n"/>
      <c r="D1583" s="3" t="n"/>
      <c r="E1583" s="4">
        <f>IF(A1583="","",COUNTIFS($A$4:A1583,A1583,$I$4:I1583,"&lt;&gt;Штраф -2",$I$4:I1583,"&lt;&gt;ушел на базу"))</f>
        <v/>
      </c>
      <c r="F1583" s="4">
        <f>IF(E1583="","",IF(E1583&lt;=3,6,IF(E1583&lt;=6,5,IF(E1583&lt;=9,4,IF(E1583&lt;=12,3,IF(E1583&lt;=15,2,0))))))</f>
        <v/>
      </c>
      <c r="G1583" s="3" t="n"/>
      <c r="H1583" s="4">
        <f>IF(I1583="Штраф -2",-2,IF(OR(F1583="",G1583=""),"",F1583*G1583+IF(J1583="",0,J1583)))</f>
        <v/>
      </c>
      <c r="I1583" s="3" t="n"/>
      <c r="J1583" s="3" t="n"/>
      <c r="K1583" s="3" t="n"/>
    </row>
    <row r="1584">
      <c r="A1584" s="3" t="n"/>
      <c r="B1584" s="3" t="n"/>
      <c r="C1584" s="3" t="n"/>
      <c r="D1584" s="3" t="n"/>
      <c r="E1584" s="4">
        <f>IF(A1584="","",COUNTIFS($A$4:A1584,A1584,$I$4:I1584,"&lt;&gt;Штраф -2",$I$4:I1584,"&lt;&gt;ушел на базу"))</f>
        <v/>
      </c>
      <c r="F1584" s="4">
        <f>IF(E1584="","",IF(E1584&lt;=3,6,IF(E1584&lt;=6,5,IF(E1584&lt;=9,4,IF(E1584&lt;=12,3,IF(E1584&lt;=15,2,0))))))</f>
        <v/>
      </c>
      <c r="G1584" s="3" t="n"/>
      <c r="H1584" s="4">
        <f>IF(I1584="Штраф -2",-2,IF(OR(F1584="",G1584=""),"",F1584*G1584+IF(J1584="",0,J1584)))</f>
        <v/>
      </c>
      <c r="I1584" s="3" t="n"/>
      <c r="J1584" s="3" t="n"/>
      <c r="K1584" s="3" t="n"/>
    </row>
    <row r="1585">
      <c r="A1585" s="3" t="n"/>
      <c r="B1585" s="3" t="n"/>
      <c r="C1585" s="3" t="n"/>
      <c r="D1585" s="3" t="n"/>
      <c r="E1585" s="4">
        <f>IF(A1585="","",COUNTIFS($A$4:A1585,A1585,$I$4:I1585,"&lt;&gt;Штраф -2",$I$4:I1585,"&lt;&gt;ушел на базу"))</f>
        <v/>
      </c>
      <c r="F1585" s="4">
        <f>IF(E1585="","",IF(E1585&lt;=3,6,IF(E1585&lt;=6,5,IF(E1585&lt;=9,4,IF(E1585&lt;=12,3,IF(E1585&lt;=15,2,0))))))</f>
        <v/>
      </c>
      <c r="G1585" s="3" t="n"/>
      <c r="H1585" s="4">
        <f>IF(I1585="Штраф -2",-2,IF(OR(F1585="",G1585=""),"",F1585*G1585+IF(J1585="",0,J1585)))</f>
        <v/>
      </c>
      <c r="I1585" s="3" t="n"/>
      <c r="J1585" s="3" t="n"/>
      <c r="K1585" s="3" t="n"/>
    </row>
    <row r="1586">
      <c r="A1586" s="3" t="n"/>
      <c r="B1586" s="3" t="n"/>
      <c r="C1586" s="3" t="n"/>
      <c r="D1586" s="3" t="n"/>
      <c r="E1586" s="4">
        <f>IF(A1586="","",COUNTIFS($A$4:A1586,A1586,$I$4:I1586,"&lt;&gt;Штраф -2",$I$4:I1586,"&lt;&gt;ушел на базу"))</f>
        <v/>
      </c>
      <c r="F1586" s="4">
        <f>IF(E1586="","",IF(E1586&lt;=3,6,IF(E1586&lt;=6,5,IF(E1586&lt;=9,4,IF(E1586&lt;=12,3,IF(E1586&lt;=15,2,0))))))</f>
        <v/>
      </c>
      <c r="G1586" s="3" t="n"/>
      <c r="H1586" s="4">
        <f>IF(I1586="Штраф -2",-2,IF(OR(F1586="",G1586=""),"",F1586*G1586+IF(J1586="",0,J1586)))</f>
        <v/>
      </c>
      <c r="I1586" s="3" t="n"/>
      <c r="J1586" s="3" t="n"/>
      <c r="K1586" s="3" t="n"/>
    </row>
    <row r="1587">
      <c r="A1587" s="3" t="n"/>
      <c r="B1587" s="3" t="n"/>
      <c r="C1587" s="3" t="n"/>
      <c r="D1587" s="3" t="n"/>
      <c r="E1587" s="4">
        <f>IF(A1587="","",COUNTIFS($A$4:A1587,A1587,$I$4:I1587,"&lt;&gt;Штраф -2",$I$4:I1587,"&lt;&gt;ушел на базу"))</f>
        <v/>
      </c>
      <c r="F1587" s="4">
        <f>IF(E1587="","",IF(E1587&lt;=3,6,IF(E1587&lt;=6,5,IF(E1587&lt;=9,4,IF(E1587&lt;=12,3,IF(E1587&lt;=15,2,0))))))</f>
        <v/>
      </c>
      <c r="G1587" s="3" t="n"/>
      <c r="H1587" s="4">
        <f>IF(I1587="Штраф -2",-2,IF(OR(F1587="",G1587=""),"",F1587*G1587+IF(J1587="",0,J1587)))</f>
        <v/>
      </c>
      <c r="I1587" s="3" t="n"/>
      <c r="J1587" s="3" t="n"/>
      <c r="K1587" s="3" t="n"/>
    </row>
    <row r="1588">
      <c r="A1588" s="3" t="n"/>
      <c r="B1588" s="3" t="n"/>
      <c r="C1588" s="3" t="n"/>
      <c r="D1588" s="3" t="n"/>
      <c r="E1588" s="4">
        <f>IF(A1588="","",COUNTIFS($A$4:A1588,A1588,$I$4:I1588,"&lt;&gt;Штраф -2",$I$4:I1588,"&lt;&gt;ушел на базу"))</f>
        <v/>
      </c>
      <c r="F1588" s="4">
        <f>IF(E1588="","",IF(E1588&lt;=3,6,IF(E1588&lt;=6,5,IF(E1588&lt;=9,4,IF(E1588&lt;=12,3,IF(E1588&lt;=15,2,0))))))</f>
        <v/>
      </c>
      <c r="G1588" s="3" t="n"/>
      <c r="H1588" s="4">
        <f>IF(I1588="Штраф -2",-2,IF(OR(F1588="",G1588=""),"",F1588*G1588+IF(J1588="",0,J1588)))</f>
        <v/>
      </c>
      <c r="I1588" s="3" t="n"/>
      <c r="J1588" s="3" t="n"/>
      <c r="K1588" s="3" t="n"/>
    </row>
    <row r="1589">
      <c r="A1589" s="3" t="n"/>
      <c r="B1589" s="3" t="n"/>
      <c r="C1589" s="3" t="n"/>
      <c r="D1589" s="3" t="n"/>
      <c r="E1589" s="4">
        <f>IF(A1589="","",COUNTIFS($A$4:A1589,A1589,$I$4:I1589,"&lt;&gt;Штраф -2",$I$4:I1589,"&lt;&gt;ушел на базу"))</f>
        <v/>
      </c>
      <c r="F1589" s="4">
        <f>IF(E1589="","",IF(E1589&lt;=3,6,IF(E1589&lt;=6,5,IF(E1589&lt;=9,4,IF(E1589&lt;=12,3,IF(E1589&lt;=15,2,0))))))</f>
        <v/>
      </c>
      <c r="G1589" s="3" t="n"/>
      <c r="H1589" s="4">
        <f>IF(I1589="Штраф -2",-2,IF(OR(F1589="",G1589=""),"",F1589*G1589+IF(J1589="",0,J1589)))</f>
        <v/>
      </c>
      <c r="I1589" s="3" t="n"/>
      <c r="J1589" s="3" t="n"/>
      <c r="K1589" s="3" t="n"/>
    </row>
    <row r="1590">
      <c r="A1590" s="3" t="n"/>
      <c r="B1590" s="3" t="n"/>
      <c r="C1590" s="3" t="n"/>
      <c r="D1590" s="3" t="n"/>
      <c r="E1590" s="4">
        <f>IF(A1590="","",COUNTIFS($A$4:A1590,A1590,$I$4:I1590,"&lt;&gt;Штраф -2",$I$4:I1590,"&lt;&gt;ушел на базу"))</f>
        <v/>
      </c>
      <c r="F1590" s="4">
        <f>IF(E1590="","",IF(E1590&lt;=3,6,IF(E1590&lt;=6,5,IF(E1590&lt;=9,4,IF(E1590&lt;=12,3,IF(E1590&lt;=15,2,0))))))</f>
        <v/>
      </c>
      <c r="G1590" s="3" t="n"/>
      <c r="H1590" s="4">
        <f>IF(I1590="Штраф -2",-2,IF(OR(F1590="",G1590=""),"",F1590*G1590+IF(J1590="",0,J1590)))</f>
        <v/>
      </c>
      <c r="I1590" s="3" t="n"/>
      <c r="J1590" s="3" t="n"/>
      <c r="K1590" s="3" t="n"/>
    </row>
    <row r="1591">
      <c r="A1591" s="3" t="n"/>
      <c r="B1591" s="3" t="n"/>
      <c r="C1591" s="3" t="n"/>
      <c r="D1591" s="3" t="n"/>
      <c r="E1591" s="4">
        <f>IF(A1591="","",COUNTIFS($A$4:A1591,A1591,$I$4:I1591,"&lt;&gt;Штраф -2",$I$4:I1591,"&lt;&gt;ушел на базу"))</f>
        <v/>
      </c>
      <c r="F1591" s="4">
        <f>IF(E1591="","",IF(E1591&lt;=3,6,IF(E1591&lt;=6,5,IF(E1591&lt;=9,4,IF(E1591&lt;=12,3,IF(E1591&lt;=15,2,0))))))</f>
        <v/>
      </c>
      <c r="G1591" s="3" t="n"/>
      <c r="H1591" s="4">
        <f>IF(I1591="Штраф -2",-2,IF(OR(F1591="",G1591=""),"",F1591*G1591+IF(J1591="",0,J1591)))</f>
        <v/>
      </c>
      <c r="I1591" s="3" t="n"/>
      <c r="J1591" s="3" t="n"/>
      <c r="K1591" s="3" t="n"/>
    </row>
    <row r="1592">
      <c r="A1592" s="3" t="n"/>
      <c r="B1592" s="3" t="n"/>
      <c r="C1592" s="3" t="n"/>
      <c r="D1592" s="3" t="n"/>
      <c r="E1592" s="4">
        <f>IF(A1592="","",COUNTIFS($A$4:A1592,A1592,$I$4:I1592,"&lt;&gt;Штраф -2",$I$4:I1592,"&lt;&gt;ушел на базу"))</f>
        <v/>
      </c>
      <c r="F1592" s="4">
        <f>IF(E1592="","",IF(E1592&lt;=3,6,IF(E1592&lt;=6,5,IF(E1592&lt;=9,4,IF(E1592&lt;=12,3,IF(E1592&lt;=15,2,0))))))</f>
        <v/>
      </c>
      <c r="G1592" s="3" t="n"/>
      <c r="H1592" s="4">
        <f>IF(I1592="Штраф -2",-2,IF(OR(F1592="",G1592=""),"",F1592*G1592+IF(J1592="",0,J1592)))</f>
        <v/>
      </c>
      <c r="I1592" s="3" t="n"/>
      <c r="J1592" s="3" t="n"/>
      <c r="K1592" s="3" t="n"/>
    </row>
    <row r="1593">
      <c r="A1593" s="3" t="n"/>
      <c r="B1593" s="3" t="n"/>
      <c r="C1593" s="3" t="n"/>
      <c r="D1593" s="3" t="n"/>
      <c r="E1593" s="4">
        <f>IF(A1593="","",COUNTIFS($A$4:A1593,A1593,$I$4:I1593,"&lt;&gt;Штраф -2",$I$4:I1593,"&lt;&gt;ушел на базу"))</f>
        <v/>
      </c>
      <c r="F1593" s="4">
        <f>IF(E1593="","",IF(E1593&lt;=3,6,IF(E1593&lt;=6,5,IF(E1593&lt;=9,4,IF(E1593&lt;=12,3,IF(E1593&lt;=15,2,0))))))</f>
        <v/>
      </c>
      <c r="G1593" s="3" t="n"/>
      <c r="H1593" s="4">
        <f>IF(I1593="Штраф -2",-2,IF(OR(F1593="",G1593=""),"",F1593*G1593+IF(J1593="",0,J1593)))</f>
        <v/>
      </c>
      <c r="I1593" s="3" t="n"/>
      <c r="J1593" s="3" t="n"/>
      <c r="K1593" s="3" t="n"/>
    </row>
    <row r="1594">
      <c r="A1594" s="3" t="n"/>
      <c r="B1594" s="3" t="n"/>
      <c r="C1594" s="3" t="n"/>
      <c r="D1594" s="3" t="n"/>
      <c r="E1594" s="4">
        <f>IF(A1594="","",COUNTIFS($A$4:A1594,A1594,$I$4:I1594,"&lt;&gt;Штраф -2",$I$4:I1594,"&lt;&gt;ушел на базу"))</f>
        <v/>
      </c>
      <c r="F1594" s="4">
        <f>IF(E1594="","",IF(E1594&lt;=3,6,IF(E1594&lt;=6,5,IF(E1594&lt;=9,4,IF(E1594&lt;=12,3,IF(E1594&lt;=15,2,0))))))</f>
        <v/>
      </c>
      <c r="G1594" s="3" t="n"/>
      <c r="H1594" s="4">
        <f>IF(I1594="Штраф -2",-2,IF(OR(F1594="",G1594=""),"",F1594*G1594+IF(J1594="",0,J1594)))</f>
        <v/>
      </c>
      <c r="I1594" s="3" t="n"/>
      <c r="J1594" s="3" t="n"/>
      <c r="K1594" s="3" t="n"/>
    </row>
    <row r="1595">
      <c r="A1595" s="3" t="n"/>
      <c r="B1595" s="3" t="n"/>
      <c r="C1595" s="3" t="n"/>
      <c r="D1595" s="3" t="n"/>
      <c r="E1595" s="4">
        <f>IF(A1595="","",COUNTIFS($A$4:A1595,A1595,$I$4:I1595,"&lt;&gt;Штраф -2",$I$4:I1595,"&lt;&gt;ушел на базу"))</f>
        <v/>
      </c>
      <c r="F1595" s="4">
        <f>IF(E1595="","",IF(E1595&lt;=3,6,IF(E1595&lt;=6,5,IF(E1595&lt;=9,4,IF(E1595&lt;=12,3,IF(E1595&lt;=15,2,0))))))</f>
        <v/>
      </c>
      <c r="G1595" s="3" t="n"/>
      <c r="H1595" s="4">
        <f>IF(I1595="Штраф -2",-2,IF(OR(F1595="",G1595=""),"",F1595*G1595+IF(J1595="",0,J1595)))</f>
        <v/>
      </c>
      <c r="I1595" s="3" t="n"/>
      <c r="J1595" s="3" t="n"/>
      <c r="K1595" s="3" t="n"/>
    </row>
    <row r="1596">
      <c r="A1596" s="3" t="n"/>
      <c r="B1596" s="3" t="n"/>
      <c r="C1596" s="3" t="n"/>
      <c r="D1596" s="3" t="n"/>
      <c r="E1596" s="4">
        <f>IF(A1596="","",COUNTIFS($A$4:A1596,A1596,$I$4:I1596,"&lt;&gt;Штраф -2",$I$4:I1596,"&lt;&gt;ушел на базу"))</f>
        <v/>
      </c>
      <c r="F1596" s="4">
        <f>IF(E1596="","",IF(E1596&lt;=3,6,IF(E1596&lt;=6,5,IF(E1596&lt;=9,4,IF(E1596&lt;=12,3,IF(E1596&lt;=15,2,0))))))</f>
        <v/>
      </c>
      <c r="G1596" s="3" t="n"/>
      <c r="H1596" s="4">
        <f>IF(I1596="Штраф -2",-2,IF(OR(F1596="",G1596=""),"",F1596*G1596+IF(J1596="",0,J1596)))</f>
        <v/>
      </c>
      <c r="I1596" s="3" t="n"/>
      <c r="J1596" s="3" t="n"/>
      <c r="K1596" s="3" t="n"/>
    </row>
    <row r="1597">
      <c r="A1597" s="3" t="n"/>
      <c r="B1597" s="3" t="n"/>
      <c r="C1597" s="3" t="n"/>
      <c r="D1597" s="3" t="n"/>
      <c r="E1597" s="4">
        <f>IF(A1597="","",COUNTIFS($A$4:A1597,A1597,$I$4:I1597,"&lt;&gt;Штраф -2",$I$4:I1597,"&lt;&gt;ушел на базу"))</f>
        <v/>
      </c>
      <c r="F1597" s="4">
        <f>IF(E1597="","",IF(E1597&lt;=3,6,IF(E1597&lt;=6,5,IF(E1597&lt;=9,4,IF(E1597&lt;=12,3,IF(E1597&lt;=15,2,0))))))</f>
        <v/>
      </c>
      <c r="G1597" s="3" t="n"/>
      <c r="H1597" s="4">
        <f>IF(I1597="Штраф -2",-2,IF(OR(F1597="",G1597=""),"",F1597*G1597+IF(J1597="",0,J1597)))</f>
        <v/>
      </c>
      <c r="I1597" s="3" t="n"/>
      <c r="J1597" s="3" t="n"/>
      <c r="K1597" s="3" t="n"/>
    </row>
    <row r="1598">
      <c r="A1598" s="3" t="n"/>
      <c r="B1598" s="3" t="n"/>
      <c r="C1598" s="3" t="n"/>
      <c r="D1598" s="3" t="n"/>
      <c r="E1598" s="4">
        <f>IF(A1598="","",COUNTIFS($A$4:A1598,A1598,$I$4:I1598,"&lt;&gt;Штраф -2",$I$4:I1598,"&lt;&gt;ушел на базу"))</f>
        <v/>
      </c>
      <c r="F1598" s="4">
        <f>IF(E1598="","",IF(E1598&lt;=3,6,IF(E1598&lt;=6,5,IF(E1598&lt;=9,4,IF(E1598&lt;=12,3,IF(E1598&lt;=15,2,0))))))</f>
        <v/>
      </c>
      <c r="G1598" s="3" t="n"/>
      <c r="H1598" s="4">
        <f>IF(I1598="Штраф -2",-2,IF(OR(F1598="",G1598=""),"",F1598*G1598+IF(J1598="",0,J1598)))</f>
        <v/>
      </c>
      <c r="I1598" s="3" t="n"/>
      <c r="J1598" s="3" t="n"/>
      <c r="K1598" s="3" t="n"/>
    </row>
    <row r="1599">
      <c r="A1599" s="3" t="n"/>
      <c r="B1599" s="3" t="n"/>
      <c r="C1599" s="3" t="n"/>
      <c r="D1599" s="3" t="n"/>
      <c r="E1599" s="4">
        <f>IF(A1599="","",COUNTIFS($A$4:A1599,A1599,$I$4:I1599,"&lt;&gt;Штраф -2",$I$4:I1599,"&lt;&gt;ушел на базу"))</f>
        <v/>
      </c>
      <c r="F1599" s="4">
        <f>IF(E1599="","",IF(E1599&lt;=3,6,IF(E1599&lt;=6,5,IF(E1599&lt;=9,4,IF(E1599&lt;=12,3,IF(E1599&lt;=15,2,0))))))</f>
        <v/>
      </c>
      <c r="G1599" s="3" t="n"/>
      <c r="H1599" s="4">
        <f>IF(I1599="Штраф -2",-2,IF(OR(F1599="",G1599=""),"",F1599*G1599+IF(J1599="",0,J1599)))</f>
        <v/>
      </c>
      <c r="I1599" s="3" t="n"/>
      <c r="J1599" s="3" t="n"/>
      <c r="K1599" s="3" t="n"/>
    </row>
    <row r="1600">
      <c r="A1600" s="3" t="n"/>
      <c r="B1600" s="3" t="n"/>
      <c r="C1600" s="3" t="n"/>
      <c r="D1600" s="3" t="n"/>
      <c r="E1600" s="4">
        <f>IF(A1600="","",COUNTIFS($A$4:A1600,A1600,$I$4:I1600,"&lt;&gt;Штраф -2",$I$4:I1600,"&lt;&gt;ушел на базу"))</f>
        <v/>
      </c>
      <c r="F1600" s="4">
        <f>IF(E1600="","",IF(E1600&lt;=3,6,IF(E1600&lt;=6,5,IF(E1600&lt;=9,4,IF(E1600&lt;=12,3,IF(E1600&lt;=15,2,0))))))</f>
        <v/>
      </c>
      <c r="G1600" s="3" t="n"/>
      <c r="H1600" s="4">
        <f>IF(I1600="Штраф -2",-2,IF(OR(F1600="",G1600=""),"",F1600*G1600+IF(J1600="",0,J1600)))</f>
        <v/>
      </c>
      <c r="I1600" s="3" t="n"/>
      <c r="J1600" s="3" t="n"/>
      <c r="K1600" s="3" t="n"/>
    </row>
    <row r="1601">
      <c r="A1601" s="3" t="n"/>
      <c r="B1601" s="3" t="n"/>
      <c r="C1601" s="3" t="n"/>
      <c r="D1601" s="3" t="n"/>
      <c r="E1601" s="4">
        <f>IF(A1601="","",COUNTIFS($A$4:A1601,A1601,$I$4:I1601,"&lt;&gt;Штраф -2",$I$4:I1601,"&lt;&gt;ушел на базу"))</f>
        <v/>
      </c>
      <c r="F1601" s="4">
        <f>IF(E1601="","",IF(E1601&lt;=3,6,IF(E1601&lt;=6,5,IF(E1601&lt;=9,4,IF(E1601&lt;=12,3,IF(E1601&lt;=15,2,0))))))</f>
        <v/>
      </c>
      <c r="G1601" s="3" t="n"/>
      <c r="H1601" s="4">
        <f>IF(I1601="Штраф -2",-2,IF(OR(F1601="",G1601=""),"",F1601*G1601+IF(J1601="",0,J1601)))</f>
        <v/>
      </c>
      <c r="I1601" s="3" t="n"/>
      <c r="J1601" s="3" t="n"/>
      <c r="K1601" s="3" t="n"/>
    </row>
    <row r="1602">
      <c r="A1602" s="3" t="n"/>
      <c r="B1602" s="3" t="n"/>
      <c r="C1602" s="3" t="n"/>
      <c r="D1602" s="3" t="n"/>
      <c r="E1602" s="4">
        <f>IF(A1602="","",COUNTIFS($A$4:A1602,A1602,$I$4:I1602,"&lt;&gt;Штраф -2",$I$4:I1602,"&lt;&gt;ушел на базу"))</f>
        <v/>
      </c>
      <c r="F1602" s="4">
        <f>IF(E1602="","",IF(E1602&lt;=3,6,IF(E1602&lt;=6,5,IF(E1602&lt;=9,4,IF(E1602&lt;=12,3,IF(E1602&lt;=15,2,0))))))</f>
        <v/>
      </c>
      <c r="G1602" s="3" t="n"/>
      <c r="H1602" s="4">
        <f>IF(I1602="Штраф -2",-2,IF(OR(F1602="",G1602=""),"",F1602*G1602+IF(J1602="",0,J1602)))</f>
        <v/>
      </c>
      <c r="I1602" s="3" t="n"/>
      <c r="J1602" s="3" t="n"/>
      <c r="K1602" s="3" t="n"/>
    </row>
    <row r="1603">
      <c r="A1603" s="3" t="n"/>
      <c r="B1603" s="3" t="n"/>
      <c r="C1603" s="3" t="n"/>
      <c r="D1603" s="3" t="n"/>
      <c r="E1603" s="4">
        <f>IF(A1603="","",COUNTIFS($A$4:A1603,A1603,$I$4:I1603,"&lt;&gt;Штраф -2",$I$4:I1603,"&lt;&gt;ушел на базу"))</f>
        <v/>
      </c>
      <c r="F1603" s="4">
        <f>IF(E1603="","",IF(E1603&lt;=3,6,IF(E1603&lt;=6,5,IF(E1603&lt;=9,4,IF(E1603&lt;=12,3,IF(E1603&lt;=15,2,0))))))</f>
        <v/>
      </c>
      <c r="G1603" s="3" t="n"/>
      <c r="H1603" s="4">
        <f>IF(I1603="Штраф -2",-2,IF(OR(F1603="",G1603=""),"",F1603*G1603+IF(J1603="",0,J1603)))</f>
        <v/>
      </c>
      <c r="I1603" s="3" t="n"/>
      <c r="J1603" s="3" t="n"/>
      <c r="K1603" s="3" t="n"/>
    </row>
    <row r="1604">
      <c r="A1604" s="3" t="n"/>
      <c r="B1604" s="3" t="n"/>
      <c r="C1604" s="3" t="n"/>
      <c r="D1604" s="3" t="n"/>
      <c r="E1604" s="4">
        <f>IF(A1604="","",COUNTIFS($A$4:A1604,A1604,$I$4:I1604,"&lt;&gt;Штраф -2",$I$4:I1604,"&lt;&gt;ушел на базу"))</f>
        <v/>
      </c>
      <c r="F1604" s="4">
        <f>IF(E1604="","",IF(E1604&lt;=3,6,IF(E1604&lt;=6,5,IF(E1604&lt;=9,4,IF(E1604&lt;=12,3,IF(E1604&lt;=15,2,0))))))</f>
        <v/>
      </c>
      <c r="G1604" s="3" t="n"/>
      <c r="H1604" s="4">
        <f>IF(I1604="Штраф -2",-2,IF(OR(F1604="",G1604=""),"",F1604*G1604+IF(J1604="",0,J1604)))</f>
        <v/>
      </c>
      <c r="I1604" s="3" t="n"/>
      <c r="J1604" s="3" t="n"/>
      <c r="K1604" s="3" t="n"/>
    </row>
    <row r="1605">
      <c r="A1605" s="3" t="n"/>
      <c r="B1605" s="3" t="n"/>
      <c r="C1605" s="3" t="n"/>
      <c r="D1605" s="3" t="n"/>
      <c r="E1605" s="4">
        <f>IF(A1605="","",COUNTIFS($A$4:A1605,A1605,$I$4:I1605,"&lt;&gt;Штраф -2",$I$4:I1605,"&lt;&gt;ушел на базу"))</f>
        <v/>
      </c>
      <c r="F1605" s="4">
        <f>IF(E1605="","",IF(E1605&lt;=3,6,IF(E1605&lt;=6,5,IF(E1605&lt;=9,4,IF(E1605&lt;=12,3,IF(E1605&lt;=15,2,0))))))</f>
        <v/>
      </c>
      <c r="G1605" s="3" t="n"/>
      <c r="H1605" s="4">
        <f>IF(I1605="Штраф -2",-2,IF(OR(F1605="",G1605=""),"",F1605*G1605+IF(J1605="",0,J1605)))</f>
        <v/>
      </c>
      <c r="I1605" s="3" t="n"/>
      <c r="J1605" s="3" t="n"/>
      <c r="K1605" s="3" t="n"/>
    </row>
    <row r="1606">
      <c r="A1606" s="3" t="n"/>
      <c r="B1606" s="3" t="n"/>
      <c r="C1606" s="3" t="n"/>
      <c r="D1606" s="3" t="n"/>
      <c r="E1606" s="4">
        <f>IF(A1606="","",COUNTIFS($A$4:A1606,A1606,$I$4:I1606,"&lt;&gt;Штраф -2",$I$4:I1606,"&lt;&gt;ушел на базу"))</f>
        <v/>
      </c>
      <c r="F1606" s="4">
        <f>IF(E1606="","",IF(E1606&lt;=3,6,IF(E1606&lt;=6,5,IF(E1606&lt;=9,4,IF(E1606&lt;=12,3,IF(E1606&lt;=15,2,0))))))</f>
        <v/>
      </c>
      <c r="G1606" s="3" t="n"/>
      <c r="H1606" s="4">
        <f>IF(I1606="Штраф -2",-2,IF(OR(F1606="",G1606=""),"",F1606*G1606+IF(J1606="",0,J1606)))</f>
        <v/>
      </c>
      <c r="I1606" s="3" t="n"/>
      <c r="J1606" s="3" t="n"/>
      <c r="K1606" s="3" t="n"/>
    </row>
    <row r="1607">
      <c r="A1607" s="3" t="n"/>
      <c r="B1607" s="3" t="n"/>
      <c r="C1607" s="3" t="n"/>
      <c r="D1607" s="3" t="n"/>
      <c r="E1607" s="4">
        <f>IF(A1607="","",COUNTIFS($A$4:A1607,A1607,$I$4:I1607,"&lt;&gt;Штраф -2",$I$4:I1607,"&lt;&gt;ушел на базу"))</f>
        <v/>
      </c>
      <c r="F1607" s="4">
        <f>IF(E1607="","",IF(E1607&lt;=3,6,IF(E1607&lt;=6,5,IF(E1607&lt;=9,4,IF(E1607&lt;=12,3,IF(E1607&lt;=15,2,0))))))</f>
        <v/>
      </c>
      <c r="G1607" s="3" t="n"/>
      <c r="H1607" s="4">
        <f>IF(I1607="Штраф -2",-2,IF(OR(F1607="",G1607=""),"",F1607*G1607+IF(J1607="",0,J1607)))</f>
        <v/>
      </c>
      <c r="I1607" s="3" t="n"/>
      <c r="J1607" s="3" t="n"/>
      <c r="K1607" s="3" t="n"/>
    </row>
    <row r="1608">
      <c r="A1608" s="3" t="n"/>
      <c r="B1608" s="3" t="n"/>
      <c r="C1608" s="3" t="n"/>
      <c r="D1608" s="3" t="n"/>
      <c r="E1608" s="4">
        <f>IF(A1608="","",COUNTIFS($A$4:A1608,A1608,$I$4:I1608,"&lt;&gt;Штраф -2",$I$4:I1608,"&lt;&gt;ушел на базу"))</f>
        <v/>
      </c>
      <c r="F1608" s="4">
        <f>IF(E1608="","",IF(E1608&lt;=3,6,IF(E1608&lt;=6,5,IF(E1608&lt;=9,4,IF(E1608&lt;=12,3,IF(E1608&lt;=15,2,0))))))</f>
        <v/>
      </c>
      <c r="G1608" s="3" t="n"/>
      <c r="H1608" s="4">
        <f>IF(I1608="Штраф -2",-2,IF(OR(F1608="",G1608=""),"",F1608*G1608+IF(J1608="",0,J1608)))</f>
        <v/>
      </c>
      <c r="I1608" s="3" t="n"/>
      <c r="J1608" s="3" t="n"/>
      <c r="K1608" s="3" t="n"/>
    </row>
    <row r="1609">
      <c r="A1609" s="3" t="n"/>
      <c r="B1609" s="3" t="n"/>
      <c r="C1609" s="3" t="n"/>
      <c r="D1609" s="3" t="n"/>
      <c r="E1609" s="4">
        <f>IF(A1609="","",COUNTIFS($A$4:A1609,A1609,$I$4:I1609,"&lt;&gt;Штраф -2",$I$4:I1609,"&lt;&gt;ушел на базу"))</f>
        <v/>
      </c>
      <c r="F1609" s="4">
        <f>IF(E1609="","",IF(E1609&lt;=3,6,IF(E1609&lt;=6,5,IF(E1609&lt;=9,4,IF(E1609&lt;=12,3,IF(E1609&lt;=15,2,0))))))</f>
        <v/>
      </c>
      <c r="G1609" s="3" t="n"/>
      <c r="H1609" s="4">
        <f>IF(I1609="Штраф -2",-2,IF(OR(F1609="",G1609=""),"",F1609*G1609+IF(J1609="",0,J1609)))</f>
        <v/>
      </c>
      <c r="I1609" s="3" t="n"/>
      <c r="J1609" s="3" t="n"/>
      <c r="K1609" s="3" t="n"/>
    </row>
    <row r="1610">
      <c r="A1610" s="3" t="n"/>
      <c r="B1610" s="3" t="n"/>
      <c r="C1610" s="3" t="n"/>
      <c r="D1610" s="3" t="n"/>
      <c r="E1610" s="4">
        <f>IF(A1610="","",COUNTIFS($A$4:A1610,A1610,$I$4:I1610,"&lt;&gt;Штраф -2",$I$4:I1610,"&lt;&gt;ушел на базу"))</f>
        <v/>
      </c>
      <c r="F1610" s="4">
        <f>IF(E1610="","",IF(E1610&lt;=3,6,IF(E1610&lt;=6,5,IF(E1610&lt;=9,4,IF(E1610&lt;=12,3,IF(E1610&lt;=15,2,0))))))</f>
        <v/>
      </c>
      <c r="G1610" s="3" t="n"/>
      <c r="H1610" s="4">
        <f>IF(I1610="Штраф -2",-2,IF(OR(F1610="",G1610=""),"",F1610*G1610+IF(J1610="",0,J1610)))</f>
        <v/>
      </c>
      <c r="I1610" s="3" t="n"/>
      <c r="J1610" s="3" t="n"/>
      <c r="K1610" s="3" t="n"/>
    </row>
    <row r="1611">
      <c r="A1611" s="3" t="n"/>
      <c r="B1611" s="3" t="n"/>
      <c r="C1611" s="3" t="n"/>
      <c r="D1611" s="3" t="n"/>
      <c r="E1611" s="4">
        <f>IF(A1611="","",COUNTIFS($A$4:A1611,A1611,$I$4:I1611,"&lt;&gt;Штраф -2",$I$4:I1611,"&lt;&gt;ушел на базу"))</f>
        <v/>
      </c>
      <c r="F1611" s="4">
        <f>IF(E1611="","",IF(E1611&lt;=3,6,IF(E1611&lt;=6,5,IF(E1611&lt;=9,4,IF(E1611&lt;=12,3,IF(E1611&lt;=15,2,0))))))</f>
        <v/>
      </c>
      <c r="G1611" s="3" t="n"/>
      <c r="H1611" s="4">
        <f>IF(I1611="Штраф -2",-2,IF(OR(F1611="",G1611=""),"",F1611*G1611+IF(J1611="",0,J1611)))</f>
        <v/>
      </c>
      <c r="I1611" s="3" t="n"/>
      <c r="J1611" s="3" t="n"/>
      <c r="K1611" s="3" t="n"/>
    </row>
    <row r="1612">
      <c r="A1612" s="3" t="n"/>
      <c r="B1612" s="3" t="n"/>
      <c r="C1612" s="3" t="n"/>
      <c r="D1612" s="3" t="n"/>
      <c r="E1612" s="4">
        <f>IF(A1612="","",COUNTIFS($A$4:A1612,A1612,$I$4:I1612,"&lt;&gt;Штраф -2",$I$4:I1612,"&lt;&gt;ушел на базу"))</f>
        <v/>
      </c>
      <c r="F1612" s="4">
        <f>IF(E1612="","",IF(E1612&lt;=3,6,IF(E1612&lt;=6,5,IF(E1612&lt;=9,4,IF(E1612&lt;=12,3,IF(E1612&lt;=15,2,0))))))</f>
        <v/>
      </c>
      <c r="G1612" s="3" t="n"/>
      <c r="H1612" s="4">
        <f>IF(I1612="Штраф -2",-2,IF(OR(F1612="",G1612=""),"",F1612*G1612+IF(J1612="",0,J1612)))</f>
        <v/>
      </c>
      <c r="I1612" s="3" t="n"/>
      <c r="J1612" s="3" t="n"/>
      <c r="K1612" s="3" t="n"/>
    </row>
    <row r="1613">
      <c r="A1613" s="3" t="n"/>
      <c r="B1613" s="3" t="n"/>
      <c r="C1613" s="3" t="n"/>
      <c r="D1613" s="3" t="n"/>
      <c r="E1613" s="4">
        <f>IF(A1613="","",COUNTIFS($A$4:A1613,A1613,$I$4:I1613,"&lt;&gt;Штраф -2",$I$4:I1613,"&lt;&gt;ушел на базу"))</f>
        <v/>
      </c>
      <c r="F1613" s="4">
        <f>IF(E1613="","",IF(E1613&lt;=3,6,IF(E1613&lt;=6,5,IF(E1613&lt;=9,4,IF(E1613&lt;=12,3,IF(E1613&lt;=15,2,0))))))</f>
        <v/>
      </c>
      <c r="G1613" s="3" t="n"/>
      <c r="H1613" s="4">
        <f>IF(I1613="Штраф -2",-2,IF(OR(F1613="",G1613=""),"",F1613*G1613+IF(J1613="",0,J1613)))</f>
        <v/>
      </c>
      <c r="I1613" s="3" t="n"/>
      <c r="J1613" s="3" t="n"/>
      <c r="K1613" s="3" t="n"/>
    </row>
    <row r="1614">
      <c r="A1614" s="3" t="n"/>
      <c r="B1614" s="3" t="n"/>
      <c r="C1614" s="3" t="n"/>
      <c r="D1614" s="3" t="n"/>
      <c r="E1614" s="4">
        <f>IF(A1614="","",COUNTIFS($A$4:A1614,A1614,$I$4:I1614,"&lt;&gt;Штраф -2",$I$4:I1614,"&lt;&gt;ушел на базу"))</f>
        <v/>
      </c>
      <c r="F1614" s="4">
        <f>IF(E1614="","",IF(E1614&lt;=3,6,IF(E1614&lt;=6,5,IF(E1614&lt;=9,4,IF(E1614&lt;=12,3,IF(E1614&lt;=15,2,0))))))</f>
        <v/>
      </c>
      <c r="G1614" s="3" t="n"/>
      <c r="H1614" s="4">
        <f>IF(I1614="Штраф -2",-2,IF(OR(F1614="",G1614=""),"",F1614*G1614+IF(J1614="",0,J1614)))</f>
        <v/>
      </c>
      <c r="I1614" s="3" t="n"/>
      <c r="J1614" s="3" t="n"/>
      <c r="K1614" s="3" t="n"/>
    </row>
    <row r="1615">
      <c r="A1615" s="3" t="n"/>
      <c r="B1615" s="3" t="n"/>
      <c r="C1615" s="3" t="n"/>
      <c r="D1615" s="3" t="n"/>
      <c r="E1615" s="4">
        <f>IF(A1615="","",COUNTIFS($A$4:A1615,A1615,$I$4:I1615,"&lt;&gt;Штраф -2",$I$4:I1615,"&lt;&gt;ушел на базу"))</f>
        <v/>
      </c>
      <c r="F1615" s="4">
        <f>IF(E1615="","",IF(E1615&lt;=3,6,IF(E1615&lt;=6,5,IF(E1615&lt;=9,4,IF(E1615&lt;=12,3,IF(E1615&lt;=15,2,0))))))</f>
        <v/>
      </c>
      <c r="G1615" s="3" t="n"/>
      <c r="H1615" s="4">
        <f>IF(I1615="Штраф -2",-2,IF(OR(F1615="",G1615=""),"",F1615*G1615+IF(J1615="",0,J1615)))</f>
        <v/>
      </c>
      <c r="I1615" s="3" t="n"/>
      <c r="J1615" s="3" t="n"/>
      <c r="K1615" s="3" t="n"/>
    </row>
    <row r="1616">
      <c r="A1616" s="3" t="n"/>
      <c r="B1616" s="3" t="n"/>
      <c r="C1616" s="3" t="n"/>
      <c r="D1616" s="3" t="n"/>
      <c r="E1616" s="4">
        <f>IF(A1616="","",COUNTIFS($A$4:A1616,A1616,$I$4:I1616,"&lt;&gt;Штраф -2",$I$4:I1616,"&lt;&gt;ушел на базу"))</f>
        <v/>
      </c>
      <c r="F1616" s="4">
        <f>IF(E1616="","",IF(E1616&lt;=3,6,IF(E1616&lt;=6,5,IF(E1616&lt;=9,4,IF(E1616&lt;=12,3,IF(E1616&lt;=15,2,0))))))</f>
        <v/>
      </c>
      <c r="G1616" s="3" t="n"/>
      <c r="H1616" s="4">
        <f>IF(I1616="Штраф -2",-2,IF(OR(F1616="",G1616=""),"",F1616*G1616+IF(J1616="",0,J1616)))</f>
        <v/>
      </c>
      <c r="I1616" s="3" t="n"/>
      <c r="J1616" s="3" t="n"/>
      <c r="K1616" s="3" t="n"/>
    </row>
    <row r="1617">
      <c r="A1617" s="3" t="n"/>
      <c r="B1617" s="3" t="n"/>
      <c r="C1617" s="3" t="n"/>
      <c r="D1617" s="3" t="n"/>
      <c r="E1617" s="4">
        <f>IF(A1617="","",COUNTIFS($A$4:A1617,A1617,$I$4:I1617,"&lt;&gt;Штраф -2",$I$4:I1617,"&lt;&gt;ушел на базу"))</f>
        <v/>
      </c>
      <c r="F1617" s="4">
        <f>IF(E1617="","",IF(E1617&lt;=3,6,IF(E1617&lt;=6,5,IF(E1617&lt;=9,4,IF(E1617&lt;=12,3,IF(E1617&lt;=15,2,0))))))</f>
        <v/>
      </c>
      <c r="G1617" s="3" t="n"/>
      <c r="H1617" s="4">
        <f>IF(I1617="Штраф -2",-2,IF(OR(F1617="",G1617=""),"",F1617*G1617+IF(J1617="",0,J1617)))</f>
        <v/>
      </c>
      <c r="I1617" s="3" t="n"/>
      <c r="J1617" s="3" t="n"/>
      <c r="K1617" s="3" t="n"/>
    </row>
    <row r="1618">
      <c r="A1618" s="3" t="n"/>
      <c r="B1618" s="3" t="n"/>
      <c r="C1618" s="3" t="n"/>
      <c r="D1618" s="3" t="n"/>
      <c r="E1618" s="4">
        <f>IF(A1618="","",COUNTIFS($A$4:A1618,A1618,$I$4:I1618,"&lt;&gt;Штраф -2",$I$4:I1618,"&lt;&gt;ушел на базу"))</f>
        <v/>
      </c>
      <c r="F1618" s="4">
        <f>IF(E1618="","",IF(E1618&lt;=3,6,IF(E1618&lt;=6,5,IF(E1618&lt;=9,4,IF(E1618&lt;=12,3,IF(E1618&lt;=15,2,0))))))</f>
        <v/>
      </c>
      <c r="G1618" s="3" t="n"/>
      <c r="H1618" s="4">
        <f>IF(I1618="Штраф -2",-2,IF(OR(F1618="",G1618=""),"",F1618*G1618+IF(J1618="",0,J1618)))</f>
        <v/>
      </c>
      <c r="I1618" s="3" t="n"/>
      <c r="J1618" s="3" t="n"/>
      <c r="K1618" s="3" t="n"/>
    </row>
    <row r="1619">
      <c r="A1619" s="3" t="n"/>
      <c r="B1619" s="3" t="n"/>
      <c r="C1619" s="3" t="n"/>
      <c r="D1619" s="3" t="n"/>
      <c r="E1619" s="4">
        <f>IF(A1619="","",COUNTIFS($A$4:A1619,A1619,$I$4:I1619,"&lt;&gt;Штраф -2",$I$4:I1619,"&lt;&gt;ушел на базу"))</f>
        <v/>
      </c>
      <c r="F1619" s="4">
        <f>IF(E1619="","",IF(E1619&lt;=3,6,IF(E1619&lt;=6,5,IF(E1619&lt;=9,4,IF(E1619&lt;=12,3,IF(E1619&lt;=15,2,0))))))</f>
        <v/>
      </c>
      <c r="G1619" s="3" t="n"/>
      <c r="H1619" s="4">
        <f>IF(I1619="Штраф -2",-2,IF(OR(F1619="",G1619=""),"",F1619*G1619+IF(J1619="",0,J1619)))</f>
        <v/>
      </c>
      <c r="I1619" s="3" t="n"/>
      <c r="J1619" s="3" t="n"/>
      <c r="K1619" s="3" t="n"/>
    </row>
    <row r="1620">
      <c r="A1620" s="3" t="n"/>
      <c r="B1620" s="3" t="n"/>
      <c r="C1620" s="3" t="n"/>
      <c r="D1620" s="3" t="n"/>
      <c r="E1620" s="4">
        <f>IF(A1620="","",COUNTIFS($A$4:A1620,A1620,$I$4:I1620,"&lt;&gt;Штраф -2",$I$4:I1620,"&lt;&gt;ушел на базу"))</f>
        <v/>
      </c>
      <c r="F1620" s="4">
        <f>IF(E1620="","",IF(E1620&lt;=3,6,IF(E1620&lt;=6,5,IF(E1620&lt;=9,4,IF(E1620&lt;=12,3,IF(E1620&lt;=15,2,0))))))</f>
        <v/>
      </c>
      <c r="G1620" s="3" t="n"/>
      <c r="H1620" s="4">
        <f>IF(I1620="Штраф -2",-2,IF(OR(F1620="",G1620=""),"",F1620*G1620+IF(J1620="",0,J1620)))</f>
        <v/>
      </c>
      <c r="I1620" s="3" t="n"/>
      <c r="J1620" s="3" t="n"/>
      <c r="K1620" s="3" t="n"/>
    </row>
    <row r="1621">
      <c r="A1621" s="3" t="n"/>
      <c r="B1621" s="3" t="n"/>
      <c r="C1621" s="3" t="n"/>
      <c r="D1621" s="3" t="n"/>
      <c r="E1621" s="4">
        <f>IF(A1621="","",COUNTIFS($A$4:A1621,A1621,$I$4:I1621,"&lt;&gt;Штраф -2",$I$4:I1621,"&lt;&gt;ушел на базу"))</f>
        <v/>
      </c>
      <c r="F1621" s="4">
        <f>IF(E1621="","",IF(E1621&lt;=3,6,IF(E1621&lt;=6,5,IF(E1621&lt;=9,4,IF(E1621&lt;=12,3,IF(E1621&lt;=15,2,0))))))</f>
        <v/>
      </c>
      <c r="G1621" s="3" t="n"/>
      <c r="H1621" s="4">
        <f>IF(I1621="Штраф -2",-2,IF(OR(F1621="",G1621=""),"",F1621*G1621+IF(J1621="",0,J1621)))</f>
        <v/>
      </c>
      <c r="I1621" s="3" t="n"/>
      <c r="J1621" s="3" t="n"/>
      <c r="K1621" s="3" t="n"/>
    </row>
    <row r="1622">
      <c r="A1622" s="3" t="n"/>
      <c r="B1622" s="3" t="n"/>
      <c r="C1622" s="3" t="n"/>
      <c r="D1622" s="3" t="n"/>
      <c r="E1622" s="4">
        <f>IF(A1622="","",COUNTIFS($A$4:A1622,A1622,$I$4:I1622,"&lt;&gt;Штраф -2",$I$4:I1622,"&lt;&gt;ушел на базу"))</f>
        <v/>
      </c>
      <c r="F1622" s="4">
        <f>IF(E1622="","",IF(E1622&lt;=3,6,IF(E1622&lt;=6,5,IF(E1622&lt;=9,4,IF(E1622&lt;=12,3,IF(E1622&lt;=15,2,0))))))</f>
        <v/>
      </c>
      <c r="G1622" s="3" t="n"/>
      <c r="H1622" s="4">
        <f>IF(I1622="Штраф -2",-2,IF(OR(F1622="",G1622=""),"",F1622*G1622+IF(J1622="",0,J1622)))</f>
        <v/>
      </c>
      <c r="I1622" s="3" t="n"/>
      <c r="J1622" s="3" t="n"/>
      <c r="K1622" s="3" t="n"/>
    </row>
    <row r="1623">
      <c r="A1623" s="3" t="n"/>
      <c r="B1623" s="3" t="n"/>
      <c r="C1623" s="3" t="n"/>
      <c r="D1623" s="3" t="n"/>
      <c r="E1623" s="4">
        <f>IF(A1623="","",COUNTIFS($A$4:A1623,A1623,$I$4:I1623,"&lt;&gt;Штраф -2",$I$4:I1623,"&lt;&gt;ушел на базу"))</f>
        <v/>
      </c>
      <c r="F1623" s="4">
        <f>IF(E1623="","",IF(E1623&lt;=3,6,IF(E1623&lt;=6,5,IF(E1623&lt;=9,4,IF(E1623&lt;=12,3,IF(E1623&lt;=15,2,0))))))</f>
        <v/>
      </c>
      <c r="G1623" s="3" t="n"/>
      <c r="H1623" s="4">
        <f>IF(I1623="Штраф -2",-2,IF(OR(F1623="",G1623=""),"",F1623*G1623+IF(J1623="",0,J1623)))</f>
        <v/>
      </c>
      <c r="I1623" s="3" t="n"/>
      <c r="J1623" s="3" t="n"/>
      <c r="K1623" s="3" t="n"/>
    </row>
    <row r="1624">
      <c r="A1624" s="3" t="n"/>
      <c r="B1624" s="3" t="n"/>
      <c r="C1624" s="3" t="n"/>
      <c r="D1624" s="3" t="n"/>
      <c r="E1624" s="4">
        <f>IF(A1624="","",COUNTIFS($A$4:A1624,A1624,$I$4:I1624,"&lt;&gt;Штраф -2",$I$4:I1624,"&lt;&gt;ушел на базу"))</f>
        <v/>
      </c>
      <c r="F1624" s="4">
        <f>IF(E1624="","",IF(E1624&lt;=3,6,IF(E1624&lt;=6,5,IF(E1624&lt;=9,4,IF(E1624&lt;=12,3,IF(E1624&lt;=15,2,0))))))</f>
        <v/>
      </c>
      <c r="G1624" s="3" t="n"/>
      <c r="H1624" s="4">
        <f>IF(I1624="Штраф -2",-2,IF(OR(F1624="",G1624=""),"",F1624*G1624+IF(J1624="",0,J1624)))</f>
        <v/>
      </c>
      <c r="I1624" s="3" t="n"/>
      <c r="J1624" s="3" t="n"/>
      <c r="K1624" s="3" t="n"/>
    </row>
    <row r="1625">
      <c r="A1625" s="3" t="n"/>
      <c r="B1625" s="3" t="n"/>
      <c r="C1625" s="3" t="n"/>
      <c r="D1625" s="3" t="n"/>
      <c r="E1625" s="4">
        <f>IF(A1625="","",COUNTIFS($A$4:A1625,A1625,$I$4:I1625,"&lt;&gt;Штраф -2",$I$4:I1625,"&lt;&gt;ушел на базу"))</f>
        <v/>
      </c>
      <c r="F1625" s="4">
        <f>IF(E1625="","",IF(E1625&lt;=3,6,IF(E1625&lt;=6,5,IF(E1625&lt;=9,4,IF(E1625&lt;=12,3,IF(E1625&lt;=15,2,0))))))</f>
        <v/>
      </c>
      <c r="G1625" s="3" t="n"/>
      <c r="H1625" s="4">
        <f>IF(I1625="Штраф -2",-2,IF(OR(F1625="",G1625=""),"",F1625*G1625+IF(J1625="",0,J1625)))</f>
        <v/>
      </c>
      <c r="I1625" s="3" t="n"/>
      <c r="J1625" s="3" t="n"/>
      <c r="K1625" s="3" t="n"/>
    </row>
    <row r="1626">
      <c r="A1626" s="3" t="n"/>
      <c r="B1626" s="3" t="n"/>
      <c r="C1626" s="3" t="n"/>
      <c r="D1626" s="3" t="n"/>
      <c r="E1626" s="4">
        <f>IF(A1626="","",COUNTIFS($A$4:A1626,A1626,$I$4:I1626,"&lt;&gt;Штраф -2",$I$4:I1626,"&lt;&gt;ушел на базу"))</f>
        <v/>
      </c>
      <c r="F1626" s="4">
        <f>IF(E1626="","",IF(E1626&lt;=3,6,IF(E1626&lt;=6,5,IF(E1626&lt;=9,4,IF(E1626&lt;=12,3,IF(E1626&lt;=15,2,0))))))</f>
        <v/>
      </c>
      <c r="G1626" s="3" t="n"/>
      <c r="H1626" s="4">
        <f>IF(I1626="Штраф -2",-2,IF(OR(F1626="",G1626=""),"",F1626*G1626+IF(J1626="",0,J1626)))</f>
        <v/>
      </c>
      <c r="I1626" s="3" t="n"/>
      <c r="J1626" s="3" t="n"/>
      <c r="K1626" s="3" t="n"/>
    </row>
    <row r="1627">
      <c r="A1627" s="3" t="n"/>
      <c r="B1627" s="3" t="n"/>
      <c r="C1627" s="3" t="n"/>
      <c r="D1627" s="3" t="n"/>
      <c r="E1627" s="4">
        <f>IF(A1627="","",COUNTIFS($A$4:A1627,A1627,$I$4:I1627,"&lt;&gt;Штраф -2",$I$4:I1627,"&lt;&gt;ушел на базу"))</f>
        <v/>
      </c>
      <c r="F1627" s="4">
        <f>IF(E1627="","",IF(E1627&lt;=3,6,IF(E1627&lt;=6,5,IF(E1627&lt;=9,4,IF(E1627&lt;=12,3,IF(E1627&lt;=15,2,0))))))</f>
        <v/>
      </c>
      <c r="G1627" s="3" t="n"/>
      <c r="H1627" s="4">
        <f>IF(I1627="Штраф -2",-2,IF(OR(F1627="",G1627=""),"",F1627*G1627+IF(J1627="",0,J1627)))</f>
        <v/>
      </c>
      <c r="I1627" s="3" t="n"/>
      <c r="J1627" s="3" t="n"/>
      <c r="K1627" s="3" t="n"/>
    </row>
    <row r="1628">
      <c r="A1628" s="3" t="n"/>
      <c r="B1628" s="3" t="n"/>
      <c r="C1628" s="3" t="n"/>
      <c r="D1628" s="3" t="n"/>
      <c r="E1628" s="4">
        <f>IF(A1628="","",COUNTIFS($A$4:A1628,A1628,$I$4:I1628,"&lt;&gt;Штраф -2",$I$4:I1628,"&lt;&gt;ушел на базу"))</f>
        <v/>
      </c>
      <c r="F1628" s="4">
        <f>IF(E1628="","",IF(E1628&lt;=3,6,IF(E1628&lt;=6,5,IF(E1628&lt;=9,4,IF(E1628&lt;=12,3,IF(E1628&lt;=15,2,0))))))</f>
        <v/>
      </c>
      <c r="G1628" s="3" t="n"/>
      <c r="H1628" s="4">
        <f>IF(I1628="Штраф -2",-2,IF(OR(F1628="",G1628=""),"",F1628*G1628+IF(J1628="",0,J1628)))</f>
        <v/>
      </c>
      <c r="I1628" s="3" t="n"/>
      <c r="J1628" s="3" t="n"/>
      <c r="K1628" s="3" t="n"/>
    </row>
    <row r="1629">
      <c r="A1629" s="3" t="n"/>
      <c r="B1629" s="3" t="n"/>
      <c r="C1629" s="3" t="n"/>
      <c r="D1629" s="3" t="n"/>
      <c r="E1629" s="4">
        <f>IF(A1629="","",COUNTIFS($A$4:A1629,A1629,$I$4:I1629,"&lt;&gt;Штраф -2",$I$4:I1629,"&lt;&gt;ушел на базу"))</f>
        <v/>
      </c>
      <c r="F1629" s="4">
        <f>IF(E1629="","",IF(E1629&lt;=3,6,IF(E1629&lt;=6,5,IF(E1629&lt;=9,4,IF(E1629&lt;=12,3,IF(E1629&lt;=15,2,0))))))</f>
        <v/>
      </c>
      <c r="G1629" s="3" t="n"/>
      <c r="H1629" s="4">
        <f>IF(I1629="Штраф -2",-2,IF(OR(F1629="",G1629=""),"",F1629*G1629+IF(J1629="",0,J1629)))</f>
        <v/>
      </c>
      <c r="I1629" s="3" t="n"/>
      <c r="J1629" s="3" t="n"/>
      <c r="K1629" s="3" t="n"/>
    </row>
    <row r="1630">
      <c r="A1630" s="3" t="n"/>
      <c r="B1630" s="3" t="n"/>
      <c r="C1630" s="3" t="n"/>
      <c r="D1630" s="3" t="n"/>
      <c r="E1630" s="4">
        <f>IF(A1630="","",COUNTIFS($A$4:A1630,A1630,$I$4:I1630,"&lt;&gt;Штраф -2",$I$4:I1630,"&lt;&gt;ушел на базу"))</f>
        <v/>
      </c>
      <c r="F1630" s="4">
        <f>IF(E1630="","",IF(E1630&lt;=3,6,IF(E1630&lt;=6,5,IF(E1630&lt;=9,4,IF(E1630&lt;=12,3,IF(E1630&lt;=15,2,0))))))</f>
        <v/>
      </c>
      <c r="G1630" s="3" t="n"/>
      <c r="H1630" s="4">
        <f>IF(I1630="Штраф -2",-2,IF(OR(F1630="",G1630=""),"",F1630*G1630+IF(J1630="",0,J1630)))</f>
        <v/>
      </c>
      <c r="I1630" s="3" t="n"/>
      <c r="J1630" s="3" t="n"/>
      <c r="K1630" s="3" t="n"/>
    </row>
    <row r="1631">
      <c r="A1631" s="3" t="n"/>
      <c r="B1631" s="3" t="n"/>
      <c r="C1631" s="3" t="n"/>
      <c r="D1631" s="3" t="n"/>
      <c r="E1631" s="4">
        <f>IF(A1631="","",COUNTIFS($A$4:A1631,A1631,$I$4:I1631,"&lt;&gt;Штраф -2",$I$4:I1631,"&lt;&gt;ушел на базу"))</f>
        <v/>
      </c>
      <c r="F1631" s="4">
        <f>IF(E1631="","",IF(E1631&lt;=3,6,IF(E1631&lt;=6,5,IF(E1631&lt;=9,4,IF(E1631&lt;=12,3,IF(E1631&lt;=15,2,0))))))</f>
        <v/>
      </c>
      <c r="G1631" s="3" t="n"/>
      <c r="H1631" s="4">
        <f>IF(I1631="Штраф -2",-2,IF(OR(F1631="",G1631=""),"",F1631*G1631+IF(J1631="",0,J1631)))</f>
        <v/>
      </c>
      <c r="I1631" s="3" t="n"/>
      <c r="J1631" s="3" t="n"/>
      <c r="K1631" s="3" t="n"/>
    </row>
    <row r="1632">
      <c r="A1632" s="3" t="n"/>
      <c r="B1632" s="3" t="n"/>
      <c r="C1632" s="3" t="n"/>
      <c r="D1632" s="3" t="n"/>
      <c r="E1632" s="4">
        <f>IF(A1632="","",COUNTIFS($A$4:A1632,A1632,$I$4:I1632,"&lt;&gt;Штраф -2",$I$4:I1632,"&lt;&gt;ушел на базу"))</f>
        <v/>
      </c>
      <c r="F1632" s="4">
        <f>IF(E1632="","",IF(E1632&lt;=3,6,IF(E1632&lt;=6,5,IF(E1632&lt;=9,4,IF(E1632&lt;=12,3,IF(E1632&lt;=15,2,0))))))</f>
        <v/>
      </c>
      <c r="G1632" s="3" t="n"/>
      <c r="H1632" s="4">
        <f>IF(I1632="Штраф -2",-2,IF(OR(F1632="",G1632=""),"",F1632*G1632+IF(J1632="",0,J1632)))</f>
        <v/>
      </c>
      <c r="I1632" s="3" t="n"/>
      <c r="J1632" s="3" t="n"/>
      <c r="K1632" s="3" t="n"/>
    </row>
    <row r="1633">
      <c r="A1633" s="3" t="n"/>
      <c r="B1633" s="3" t="n"/>
      <c r="C1633" s="3" t="n"/>
      <c r="D1633" s="3" t="n"/>
      <c r="E1633" s="4">
        <f>IF(A1633="","",COUNTIFS($A$4:A1633,A1633,$I$4:I1633,"&lt;&gt;Штраф -2",$I$4:I1633,"&lt;&gt;ушел на базу"))</f>
        <v/>
      </c>
      <c r="F1633" s="4">
        <f>IF(E1633="","",IF(E1633&lt;=3,6,IF(E1633&lt;=6,5,IF(E1633&lt;=9,4,IF(E1633&lt;=12,3,IF(E1633&lt;=15,2,0))))))</f>
        <v/>
      </c>
      <c r="G1633" s="3" t="n"/>
      <c r="H1633" s="4">
        <f>IF(I1633="Штраф -2",-2,IF(OR(F1633="",G1633=""),"",F1633*G1633+IF(J1633="",0,J1633)))</f>
        <v/>
      </c>
      <c r="I1633" s="3" t="n"/>
      <c r="J1633" s="3" t="n"/>
      <c r="K1633" s="3" t="n"/>
    </row>
    <row r="1634">
      <c r="A1634" s="3" t="n"/>
      <c r="B1634" s="3" t="n"/>
      <c r="C1634" s="3" t="n"/>
      <c r="D1634" s="3" t="n"/>
      <c r="E1634" s="4">
        <f>IF(A1634="","",COUNTIFS($A$4:A1634,A1634,$I$4:I1634,"&lt;&gt;Штраф -2",$I$4:I1634,"&lt;&gt;ушел на базу"))</f>
        <v/>
      </c>
      <c r="F1634" s="4">
        <f>IF(E1634="","",IF(E1634&lt;=3,6,IF(E1634&lt;=6,5,IF(E1634&lt;=9,4,IF(E1634&lt;=12,3,IF(E1634&lt;=15,2,0))))))</f>
        <v/>
      </c>
      <c r="G1634" s="3" t="n"/>
      <c r="H1634" s="4">
        <f>IF(I1634="Штраф -2",-2,IF(OR(F1634="",G1634=""),"",F1634*G1634+IF(J1634="",0,J1634)))</f>
        <v/>
      </c>
      <c r="I1634" s="3" t="n"/>
      <c r="J1634" s="3" t="n"/>
      <c r="K1634" s="3" t="n"/>
    </row>
    <row r="1635">
      <c r="A1635" s="3" t="n"/>
      <c r="B1635" s="3" t="n"/>
      <c r="C1635" s="3" t="n"/>
      <c r="D1635" s="3" t="n"/>
      <c r="E1635" s="4">
        <f>IF(A1635="","",COUNTIFS($A$4:A1635,A1635,$I$4:I1635,"&lt;&gt;Штраф -2",$I$4:I1635,"&lt;&gt;ушел на базу"))</f>
        <v/>
      </c>
      <c r="F1635" s="4">
        <f>IF(E1635="","",IF(E1635&lt;=3,6,IF(E1635&lt;=6,5,IF(E1635&lt;=9,4,IF(E1635&lt;=12,3,IF(E1635&lt;=15,2,0))))))</f>
        <v/>
      </c>
      <c r="G1635" s="3" t="n"/>
      <c r="H1635" s="4">
        <f>IF(I1635="Штраф -2",-2,IF(OR(F1635="",G1635=""),"",F1635*G1635+IF(J1635="",0,J1635)))</f>
        <v/>
      </c>
      <c r="I1635" s="3" t="n"/>
      <c r="J1635" s="3" t="n"/>
      <c r="K1635" s="3" t="n"/>
    </row>
    <row r="1636">
      <c r="A1636" s="3" t="n"/>
      <c r="B1636" s="3" t="n"/>
      <c r="C1636" s="3" t="n"/>
      <c r="D1636" s="3" t="n"/>
      <c r="E1636" s="4">
        <f>IF(A1636="","",COUNTIFS($A$4:A1636,A1636,$I$4:I1636,"&lt;&gt;Штраф -2",$I$4:I1636,"&lt;&gt;ушел на базу"))</f>
        <v/>
      </c>
      <c r="F1636" s="4">
        <f>IF(E1636="","",IF(E1636&lt;=3,6,IF(E1636&lt;=6,5,IF(E1636&lt;=9,4,IF(E1636&lt;=12,3,IF(E1636&lt;=15,2,0))))))</f>
        <v/>
      </c>
      <c r="G1636" s="3" t="n"/>
      <c r="H1636" s="4">
        <f>IF(I1636="Штраф -2",-2,IF(OR(F1636="",G1636=""),"",F1636*G1636+IF(J1636="",0,J1636)))</f>
        <v/>
      </c>
      <c r="I1636" s="3" t="n"/>
      <c r="J1636" s="3" t="n"/>
      <c r="K1636" s="3" t="n"/>
    </row>
    <row r="1637">
      <c r="A1637" s="3" t="n"/>
      <c r="B1637" s="3" t="n"/>
      <c r="C1637" s="3" t="n"/>
      <c r="D1637" s="3" t="n"/>
      <c r="E1637" s="4">
        <f>IF(A1637="","",COUNTIFS($A$4:A1637,A1637,$I$4:I1637,"&lt;&gt;Штраф -2",$I$4:I1637,"&lt;&gt;ушел на базу"))</f>
        <v/>
      </c>
      <c r="F1637" s="4">
        <f>IF(E1637="","",IF(E1637&lt;=3,6,IF(E1637&lt;=6,5,IF(E1637&lt;=9,4,IF(E1637&lt;=12,3,IF(E1637&lt;=15,2,0))))))</f>
        <v/>
      </c>
      <c r="G1637" s="3" t="n"/>
      <c r="H1637" s="4">
        <f>IF(I1637="Штраф -2",-2,IF(OR(F1637="",G1637=""),"",F1637*G1637+IF(J1637="",0,J1637)))</f>
        <v/>
      </c>
      <c r="I1637" s="3" t="n"/>
      <c r="J1637" s="3" t="n"/>
      <c r="K1637" s="3" t="n"/>
    </row>
    <row r="1638">
      <c r="A1638" s="3" t="n"/>
      <c r="B1638" s="3" t="n"/>
      <c r="C1638" s="3" t="n"/>
      <c r="D1638" s="3" t="n"/>
      <c r="E1638" s="4">
        <f>IF(A1638="","",COUNTIFS($A$4:A1638,A1638,$I$4:I1638,"&lt;&gt;Штраф -2",$I$4:I1638,"&lt;&gt;ушел на базу"))</f>
        <v/>
      </c>
      <c r="F1638" s="4">
        <f>IF(E1638="","",IF(E1638&lt;=3,6,IF(E1638&lt;=6,5,IF(E1638&lt;=9,4,IF(E1638&lt;=12,3,IF(E1638&lt;=15,2,0))))))</f>
        <v/>
      </c>
      <c r="G1638" s="3" t="n"/>
      <c r="H1638" s="4">
        <f>IF(I1638="Штраф -2",-2,IF(OR(F1638="",G1638=""),"",F1638*G1638+IF(J1638="",0,J1638)))</f>
        <v/>
      </c>
      <c r="I1638" s="3" t="n"/>
      <c r="J1638" s="3" t="n"/>
      <c r="K1638" s="3" t="n"/>
    </row>
    <row r="1639">
      <c r="A1639" s="3" t="n"/>
      <c r="B1639" s="3" t="n"/>
      <c r="C1639" s="3" t="n"/>
      <c r="D1639" s="3" t="n"/>
      <c r="E1639" s="4">
        <f>IF(A1639="","",COUNTIFS($A$4:A1639,A1639,$I$4:I1639,"&lt;&gt;Штраф -2",$I$4:I1639,"&lt;&gt;ушел на базу"))</f>
        <v/>
      </c>
      <c r="F1639" s="4">
        <f>IF(E1639="","",IF(E1639&lt;=3,6,IF(E1639&lt;=6,5,IF(E1639&lt;=9,4,IF(E1639&lt;=12,3,IF(E1639&lt;=15,2,0))))))</f>
        <v/>
      </c>
      <c r="G1639" s="3" t="n"/>
      <c r="H1639" s="4">
        <f>IF(I1639="Штраф -2",-2,IF(OR(F1639="",G1639=""),"",F1639*G1639+IF(J1639="",0,J1639)))</f>
        <v/>
      </c>
      <c r="I1639" s="3" t="n"/>
      <c r="J1639" s="3" t="n"/>
      <c r="K1639" s="3" t="n"/>
    </row>
    <row r="1640">
      <c r="A1640" s="3" t="n"/>
      <c r="B1640" s="3" t="n"/>
      <c r="C1640" s="3" t="n"/>
      <c r="D1640" s="3" t="n"/>
      <c r="E1640" s="4">
        <f>IF(A1640="","",COUNTIFS($A$4:A1640,A1640,$I$4:I1640,"&lt;&gt;Штраф -2",$I$4:I1640,"&lt;&gt;ушел на базу"))</f>
        <v/>
      </c>
      <c r="F1640" s="4">
        <f>IF(E1640="","",IF(E1640&lt;=3,6,IF(E1640&lt;=6,5,IF(E1640&lt;=9,4,IF(E1640&lt;=12,3,IF(E1640&lt;=15,2,0))))))</f>
        <v/>
      </c>
      <c r="G1640" s="3" t="n"/>
      <c r="H1640" s="4">
        <f>IF(I1640="Штраф -2",-2,IF(OR(F1640="",G1640=""),"",F1640*G1640+IF(J1640="",0,J1640)))</f>
        <v/>
      </c>
      <c r="I1640" s="3" t="n"/>
      <c r="J1640" s="3" t="n"/>
      <c r="K1640" s="3" t="n"/>
    </row>
    <row r="1641">
      <c r="A1641" s="3" t="n"/>
      <c r="B1641" s="3" t="n"/>
      <c r="C1641" s="3" t="n"/>
      <c r="D1641" s="3" t="n"/>
      <c r="E1641" s="4">
        <f>IF(A1641="","",COUNTIFS($A$4:A1641,A1641,$I$4:I1641,"&lt;&gt;Штраф -2",$I$4:I1641,"&lt;&gt;ушел на базу"))</f>
        <v/>
      </c>
      <c r="F1641" s="4">
        <f>IF(E1641="","",IF(E1641&lt;=3,6,IF(E1641&lt;=6,5,IF(E1641&lt;=9,4,IF(E1641&lt;=12,3,IF(E1641&lt;=15,2,0))))))</f>
        <v/>
      </c>
      <c r="G1641" s="3" t="n"/>
      <c r="H1641" s="4">
        <f>IF(I1641="Штраф -2",-2,IF(OR(F1641="",G1641=""),"",F1641*G1641+IF(J1641="",0,J1641)))</f>
        <v/>
      </c>
      <c r="I1641" s="3" t="n"/>
      <c r="J1641" s="3" t="n"/>
      <c r="K1641" s="3" t="n"/>
    </row>
    <row r="1642">
      <c r="A1642" s="3" t="n"/>
      <c r="B1642" s="3" t="n"/>
      <c r="C1642" s="3" t="n"/>
      <c r="D1642" s="3" t="n"/>
      <c r="E1642" s="4">
        <f>IF(A1642="","",COUNTIFS($A$4:A1642,A1642,$I$4:I1642,"&lt;&gt;Штраф -2",$I$4:I1642,"&lt;&gt;ушел на базу"))</f>
        <v/>
      </c>
      <c r="F1642" s="4">
        <f>IF(E1642="","",IF(E1642&lt;=3,6,IF(E1642&lt;=6,5,IF(E1642&lt;=9,4,IF(E1642&lt;=12,3,IF(E1642&lt;=15,2,0))))))</f>
        <v/>
      </c>
      <c r="G1642" s="3" t="n"/>
      <c r="H1642" s="4">
        <f>IF(I1642="Штраф -2",-2,IF(OR(F1642="",G1642=""),"",F1642*G1642+IF(J1642="",0,J1642)))</f>
        <v/>
      </c>
      <c r="I1642" s="3" t="n"/>
      <c r="J1642" s="3" t="n"/>
      <c r="K1642" s="3" t="n"/>
    </row>
    <row r="1643">
      <c r="A1643" s="3" t="n"/>
      <c r="B1643" s="3" t="n"/>
      <c r="C1643" s="3" t="n"/>
      <c r="D1643" s="3" t="n"/>
      <c r="E1643" s="4">
        <f>IF(A1643="","",COUNTIFS($A$4:A1643,A1643,$I$4:I1643,"&lt;&gt;Штраф -2",$I$4:I1643,"&lt;&gt;ушел на базу"))</f>
        <v/>
      </c>
      <c r="F1643" s="4">
        <f>IF(E1643="","",IF(E1643&lt;=3,6,IF(E1643&lt;=6,5,IF(E1643&lt;=9,4,IF(E1643&lt;=12,3,IF(E1643&lt;=15,2,0))))))</f>
        <v/>
      </c>
      <c r="G1643" s="3" t="n"/>
      <c r="H1643" s="4">
        <f>IF(I1643="Штраф -2",-2,IF(OR(F1643="",G1643=""),"",F1643*G1643+IF(J1643="",0,J1643)))</f>
        <v/>
      </c>
      <c r="I1643" s="3" t="n"/>
      <c r="J1643" s="3" t="n"/>
      <c r="K1643" s="3" t="n"/>
    </row>
    <row r="1644">
      <c r="A1644" s="3" t="n"/>
      <c r="B1644" s="3" t="n"/>
      <c r="C1644" s="3" t="n"/>
      <c r="D1644" s="3" t="n"/>
      <c r="E1644" s="4">
        <f>IF(A1644="","",COUNTIFS($A$4:A1644,A1644,$I$4:I1644,"&lt;&gt;Штраф -2",$I$4:I1644,"&lt;&gt;ушел на базу"))</f>
        <v/>
      </c>
      <c r="F1644" s="4">
        <f>IF(E1644="","",IF(E1644&lt;=3,6,IF(E1644&lt;=6,5,IF(E1644&lt;=9,4,IF(E1644&lt;=12,3,IF(E1644&lt;=15,2,0))))))</f>
        <v/>
      </c>
      <c r="G1644" s="3" t="n"/>
      <c r="H1644" s="4">
        <f>IF(I1644="Штраф -2",-2,IF(OR(F1644="",G1644=""),"",F1644*G1644+IF(J1644="",0,J1644)))</f>
        <v/>
      </c>
      <c r="I1644" s="3" t="n"/>
      <c r="J1644" s="3" t="n"/>
      <c r="K1644" s="3" t="n"/>
    </row>
    <row r="1645">
      <c r="A1645" s="3" t="n"/>
      <c r="B1645" s="3" t="n"/>
      <c r="C1645" s="3" t="n"/>
      <c r="D1645" s="3" t="n"/>
      <c r="E1645" s="4">
        <f>IF(A1645="","",COUNTIFS($A$4:A1645,A1645,$I$4:I1645,"&lt;&gt;Штраф -2",$I$4:I1645,"&lt;&gt;ушел на базу"))</f>
        <v/>
      </c>
      <c r="F1645" s="4">
        <f>IF(E1645="","",IF(E1645&lt;=3,6,IF(E1645&lt;=6,5,IF(E1645&lt;=9,4,IF(E1645&lt;=12,3,IF(E1645&lt;=15,2,0))))))</f>
        <v/>
      </c>
      <c r="G1645" s="3" t="n"/>
      <c r="H1645" s="4">
        <f>IF(I1645="Штраф -2",-2,IF(OR(F1645="",G1645=""),"",F1645*G1645+IF(J1645="",0,J1645)))</f>
        <v/>
      </c>
      <c r="I1645" s="3" t="n"/>
      <c r="J1645" s="3" t="n"/>
      <c r="K1645" s="3" t="n"/>
    </row>
    <row r="1646">
      <c r="A1646" s="3" t="n"/>
      <c r="B1646" s="3" t="n"/>
      <c r="C1646" s="3" t="n"/>
      <c r="D1646" s="3" t="n"/>
      <c r="E1646" s="4">
        <f>IF(A1646="","",COUNTIFS($A$4:A1646,A1646,$I$4:I1646,"&lt;&gt;Штраф -2",$I$4:I1646,"&lt;&gt;ушел на базу"))</f>
        <v/>
      </c>
      <c r="F1646" s="4">
        <f>IF(E1646="","",IF(E1646&lt;=3,6,IF(E1646&lt;=6,5,IF(E1646&lt;=9,4,IF(E1646&lt;=12,3,IF(E1646&lt;=15,2,0))))))</f>
        <v/>
      </c>
      <c r="G1646" s="3" t="n"/>
      <c r="H1646" s="4">
        <f>IF(I1646="Штраф -2",-2,IF(OR(F1646="",G1646=""),"",F1646*G1646+IF(J1646="",0,J1646)))</f>
        <v/>
      </c>
      <c r="I1646" s="3" t="n"/>
      <c r="J1646" s="3" t="n"/>
      <c r="K1646" s="3" t="n"/>
    </row>
    <row r="1647">
      <c r="A1647" s="3" t="n"/>
      <c r="B1647" s="3" t="n"/>
      <c r="C1647" s="3" t="n"/>
      <c r="D1647" s="3" t="n"/>
      <c r="E1647" s="4">
        <f>IF(A1647="","",COUNTIFS($A$4:A1647,A1647,$I$4:I1647,"&lt;&gt;Штраф -2",$I$4:I1647,"&lt;&gt;ушел на базу"))</f>
        <v/>
      </c>
      <c r="F1647" s="4">
        <f>IF(E1647="","",IF(E1647&lt;=3,6,IF(E1647&lt;=6,5,IF(E1647&lt;=9,4,IF(E1647&lt;=12,3,IF(E1647&lt;=15,2,0))))))</f>
        <v/>
      </c>
      <c r="G1647" s="3" t="n"/>
      <c r="H1647" s="4">
        <f>IF(I1647="Штраф -2",-2,IF(OR(F1647="",G1647=""),"",F1647*G1647+IF(J1647="",0,J1647)))</f>
        <v/>
      </c>
      <c r="I1647" s="3" t="n"/>
      <c r="J1647" s="3" t="n"/>
      <c r="K1647" s="3" t="n"/>
    </row>
    <row r="1648">
      <c r="A1648" s="3" t="n"/>
      <c r="B1648" s="3" t="n"/>
      <c r="C1648" s="3" t="n"/>
      <c r="D1648" s="3" t="n"/>
      <c r="E1648" s="4">
        <f>IF(A1648="","",COUNTIFS($A$4:A1648,A1648,$I$4:I1648,"&lt;&gt;Штраф -2",$I$4:I1648,"&lt;&gt;ушел на базу"))</f>
        <v/>
      </c>
      <c r="F1648" s="4">
        <f>IF(E1648="","",IF(E1648&lt;=3,6,IF(E1648&lt;=6,5,IF(E1648&lt;=9,4,IF(E1648&lt;=12,3,IF(E1648&lt;=15,2,0))))))</f>
        <v/>
      </c>
      <c r="G1648" s="3" t="n"/>
      <c r="H1648" s="4">
        <f>IF(I1648="Штраф -2",-2,IF(OR(F1648="",G1648=""),"",F1648*G1648+IF(J1648="",0,J1648)))</f>
        <v/>
      </c>
      <c r="I1648" s="3" t="n"/>
      <c r="J1648" s="3" t="n"/>
      <c r="K1648" s="3" t="n"/>
    </row>
    <row r="1649">
      <c r="A1649" s="3" t="n"/>
      <c r="B1649" s="3" t="n"/>
      <c r="C1649" s="3" t="n"/>
      <c r="D1649" s="3" t="n"/>
      <c r="E1649" s="4">
        <f>IF(A1649="","",COUNTIFS($A$4:A1649,A1649,$I$4:I1649,"&lt;&gt;Штраф -2",$I$4:I1649,"&lt;&gt;ушел на базу"))</f>
        <v/>
      </c>
      <c r="F1649" s="4">
        <f>IF(E1649="","",IF(E1649&lt;=3,6,IF(E1649&lt;=6,5,IF(E1649&lt;=9,4,IF(E1649&lt;=12,3,IF(E1649&lt;=15,2,0))))))</f>
        <v/>
      </c>
      <c r="G1649" s="3" t="n"/>
      <c r="H1649" s="4">
        <f>IF(I1649="Штраф -2",-2,IF(OR(F1649="",G1649=""),"",F1649*G1649+IF(J1649="",0,J1649)))</f>
        <v/>
      </c>
      <c r="I1649" s="3" t="n"/>
      <c r="J1649" s="3" t="n"/>
      <c r="K1649" s="3" t="n"/>
    </row>
    <row r="1650">
      <c r="A1650" s="3" t="n"/>
      <c r="B1650" s="3" t="n"/>
      <c r="C1650" s="3" t="n"/>
      <c r="D1650" s="3" t="n"/>
      <c r="E1650" s="4">
        <f>IF(A1650="","",COUNTIFS($A$4:A1650,A1650,$I$4:I1650,"&lt;&gt;Штраф -2",$I$4:I1650,"&lt;&gt;ушел на базу"))</f>
        <v/>
      </c>
      <c r="F1650" s="4">
        <f>IF(E1650="","",IF(E1650&lt;=3,6,IF(E1650&lt;=6,5,IF(E1650&lt;=9,4,IF(E1650&lt;=12,3,IF(E1650&lt;=15,2,0))))))</f>
        <v/>
      </c>
      <c r="G1650" s="3" t="n"/>
      <c r="H1650" s="4">
        <f>IF(I1650="Штраф -2",-2,IF(OR(F1650="",G1650=""),"",F1650*G1650+IF(J1650="",0,J1650)))</f>
        <v/>
      </c>
      <c r="I1650" s="3" t="n"/>
      <c r="J1650" s="3" t="n"/>
      <c r="K1650" s="3" t="n"/>
    </row>
    <row r="1651">
      <c r="A1651" s="3" t="n"/>
      <c r="B1651" s="3" t="n"/>
      <c r="C1651" s="3" t="n"/>
      <c r="D1651" s="3" t="n"/>
      <c r="E1651" s="4">
        <f>IF(A1651="","",COUNTIFS($A$4:A1651,A1651,$I$4:I1651,"&lt;&gt;Штраф -2",$I$4:I1651,"&lt;&gt;ушел на базу"))</f>
        <v/>
      </c>
      <c r="F1651" s="4">
        <f>IF(E1651="","",IF(E1651&lt;=3,6,IF(E1651&lt;=6,5,IF(E1651&lt;=9,4,IF(E1651&lt;=12,3,IF(E1651&lt;=15,2,0))))))</f>
        <v/>
      </c>
      <c r="G1651" s="3" t="n"/>
      <c r="H1651" s="4">
        <f>IF(I1651="Штраф -2",-2,IF(OR(F1651="",G1651=""),"",F1651*G1651+IF(J1651="",0,J1651)))</f>
        <v/>
      </c>
      <c r="I1651" s="3" t="n"/>
      <c r="J1651" s="3" t="n"/>
      <c r="K1651" s="3" t="n"/>
    </row>
    <row r="1652">
      <c r="A1652" s="3" t="n"/>
      <c r="B1652" s="3" t="n"/>
      <c r="C1652" s="3" t="n"/>
      <c r="D1652" s="3" t="n"/>
      <c r="E1652" s="4">
        <f>IF(A1652="","",COUNTIFS($A$4:A1652,A1652,$I$4:I1652,"&lt;&gt;Штраф -2",$I$4:I1652,"&lt;&gt;ушел на базу"))</f>
        <v/>
      </c>
      <c r="F1652" s="4">
        <f>IF(E1652="","",IF(E1652&lt;=3,6,IF(E1652&lt;=6,5,IF(E1652&lt;=9,4,IF(E1652&lt;=12,3,IF(E1652&lt;=15,2,0))))))</f>
        <v/>
      </c>
      <c r="G1652" s="3" t="n"/>
      <c r="H1652" s="4">
        <f>IF(I1652="Штраф -2",-2,IF(OR(F1652="",G1652=""),"",F1652*G1652+IF(J1652="",0,J1652)))</f>
        <v/>
      </c>
      <c r="I1652" s="3" t="n"/>
      <c r="J1652" s="3" t="n"/>
      <c r="K1652" s="3" t="n"/>
    </row>
    <row r="1653">
      <c r="A1653" s="3" t="n"/>
      <c r="B1653" s="3" t="n"/>
      <c r="C1653" s="3" t="n"/>
      <c r="D1653" s="3" t="n"/>
      <c r="E1653" s="4">
        <f>IF(A1653="","",COUNTIFS($A$4:A1653,A1653,$I$4:I1653,"&lt;&gt;Штраф -2",$I$4:I1653,"&lt;&gt;ушел на базу"))</f>
        <v/>
      </c>
      <c r="F1653" s="4">
        <f>IF(E1653="","",IF(E1653&lt;=3,6,IF(E1653&lt;=6,5,IF(E1653&lt;=9,4,IF(E1653&lt;=12,3,IF(E1653&lt;=15,2,0))))))</f>
        <v/>
      </c>
      <c r="G1653" s="3" t="n"/>
      <c r="H1653" s="4">
        <f>IF(I1653="Штраф -2",-2,IF(OR(F1653="",G1653=""),"",F1653*G1653+IF(J1653="",0,J1653)))</f>
        <v/>
      </c>
      <c r="I1653" s="3" t="n"/>
      <c r="J1653" s="3" t="n"/>
      <c r="K1653" s="3" t="n"/>
    </row>
    <row r="1654">
      <c r="A1654" s="3" t="n"/>
      <c r="B1654" s="3" t="n"/>
      <c r="C1654" s="3" t="n"/>
      <c r="D1654" s="3" t="n"/>
      <c r="E1654" s="4">
        <f>IF(A1654="","",COUNTIFS($A$4:A1654,A1654,$I$4:I1654,"&lt;&gt;Штраф -2",$I$4:I1654,"&lt;&gt;ушел на базу"))</f>
        <v/>
      </c>
      <c r="F1654" s="4">
        <f>IF(E1654="","",IF(E1654&lt;=3,6,IF(E1654&lt;=6,5,IF(E1654&lt;=9,4,IF(E1654&lt;=12,3,IF(E1654&lt;=15,2,0))))))</f>
        <v/>
      </c>
      <c r="G1654" s="3" t="n"/>
      <c r="H1654" s="4">
        <f>IF(I1654="Штраф -2",-2,IF(OR(F1654="",G1654=""),"",F1654*G1654+IF(J1654="",0,J1654)))</f>
        <v/>
      </c>
      <c r="I1654" s="3" t="n"/>
      <c r="J1654" s="3" t="n"/>
      <c r="K1654" s="3" t="n"/>
    </row>
    <row r="1655">
      <c r="A1655" s="3" t="n"/>
      <c r="B1655" s="3" t="n"/>
      <c r="C1655" s="3" t="n"/>
      <c r="D1655" s="3" t="n"/>
      <c r="E1655" s="4">
        <f>IF(A1655="","",COUNTIFS($A$4:A1655,A1655,$I$4:I1655,"&lt;&gt;Штраф -2",$I$4:I1655,"&lt;&gt;ушел на базу"))</f>
        <v/>
      </c>
      <c r="F1655" s="4">
        <f>IF(E1655="","",IF(E1655&lt;=3,6,IF(E1655&lt;=6,5,IF(E1655&lt;=9,4,IF(E1655&lt;=12,3,IF(E1655&lt;=15,2,0))))))</f>
        <v/>
      </c>
      <c r="G1655" s="3" t="n"/>
      <c r="H1655" s="4">
        <f>IF(I1655="Штраф -2",-2,IF(OR(F1655="",G1655=""),"",F1655*G1655+IF(J1655="",0,J1655)))</f>
        <v/>
      </c>
      <c r="I1655" s="3" t="n"/>
      <c r="J1655" s="3" t="n"/>
      <c r="K1655" s="3" t="n"/>
    </row>
    <row r="1656">
      <c r="A1656" s="3" t="n"/>
      <c r="B1656" s="3" t="n"/>
      <c r="C1656" s="3" t="n"/>
      <c r="D1656" s="3" t="n"/>
      <c r="E1656" s="4">
        <f>IF(A1656="","",COUNTIFS($A$4:A1656,A1656,$I$4:I1656,"&lt;&gt;Штраф -2",$I$4:I1656,"&lt;&gt;ушел на базу"))</f>
        <v/>
      </c>
      <c r="F1656" s="4">
        <f>IF(E1656="","",IF(E1656&lt;=3,6,IF(E1656&lt;=6,5,IF(E1656&lt;=9,4,IF(E1656&lt;=12,3,IF(E1656&lt;=15,2,0))))))</f>
        <v/>
      </c>
      <c r="G1656" s="3" t="n"/>
      <c r="H1656" s="4">
        <f>IF(I1656="Штраф -2",-2,IF(OR(F1656="",G1656=""),"",F1656*G1656+IF(J1656="",0,J1656)))</f>
        <v/>
      </c>
      <c r="I1656" s="3" t="n"/>
      <c r="J1656" s="3" t="n"/>
      <c r="K1656" s="3" t="n"/>
    </row>
    <row r="1657">
      <c r="A1657" s="3" t="n"/>
      <c r="B1657" s="3" t="n"/>
      <c r="C1657" s="3" t="n"/>
      <c r="D1657" s="3" t="n"/>
      <c r="E1657" s="4">
        <f>IF(A1657="","",COUNTIFS($A$4:A1657,A1657,$I$4:I1657,"&lt;&gt;Штраф -2",$I$4:I1657,"&lt;&gt;ушел на базу"))</f>
        <v/>
      </c>
      <c r="F1657" s="4">
        <f>IF(E1657="","",IF(E1657&lt;=3,6,IF(E1657&lt;=6,5,IF(E1657&lt;=9,4,IF(E1657&lt;=12,3,IF(E1657&lt;=15,2,0))))))</f>
        <v/>
      </c>
      <c r="G1657" s="3" t="n"/>
      <c r="H1657" s="4">
        <f>IF(I1657="Штраф -2",-2,IF(OR(F1657="",G1657=""),"",F1657*G1657+IF(J1657="",0,J1657)))</f>
        <v/>
      </c>
      <c r="I1657" s="3" t="n"/>
      <c r="J1657" s="3" t="n"/>
      <c r="K1657" s="3" t="n"/>
    </row>
    <row r="1658">
      <c r="A1658" s="3" t="n"/>
      <c r="B1658" s="3" t="n"/>
      <c r="C1658" s="3" t="n"/>
      <c r="D1658" s="3" t="n"/>
      <c r="E1658" s="4">
        <f>IF(A1658="","",COUNTIFS($A$4:A1658,A1658,$I$4:I1658,"&lt;&gt;Штраф -2",$I$4:I1658,"&lt;&gt;ушел на базу"))</f>
        <v/>
      </c>
      <c r="F1658" s="4">
        <f>IF(E1658="","",IF(E1658&lt;=3,6,IF(E1658&lt;=6,5,IF(E1658&lt;=9,4,IF(E1658&lt;=12,3,IF(E1658&lt;=15,2,0))))))</f>
        <v/>
      </c>
      <c r="G1658" s="3" t="n"/>
      <c r="H1658" s="4">
        <f>IF(I1658="Штраф -2",-2,IF(OR(F1658="",G1658=""),"",F1658*G1658+IF(J1658="",0,J1658)))</f>
        <v/>
      </c>
      <c r="I1658" s="3" t="n"/>
      <c r="J1658" s="3" t="n"/>
      <c r="K1658" s="3" t="n"/>
    </row>
    <row r="1659">
      <c r="A1659" s="3" t="n"/>
      <c r="B1659" s="3" t="n"/>
      <c r="C1659" s="3" t="n"/>
      <c r="D1659" s="3" t="n"/>
      <c r="E1659" s="4">
        <f>IF(A1659="","",COUNTIFS($A$4:A1659,A1659,$I$4:I1659,"&lt;&gt;Штраф -2",$I$4:I1659,"&lt;&gt;ушел на базу"))</f>
        <v/>
      </c>
      <c r="F1659" s="4">
        <f>IF(E1659="","",IF(E1659&lt;=3,6,IF(E1659&lt;=6,5,IF(E1659&lt;=9,4,IF(E1659&lt;=12,3,IF(E1659&lt;=15,2,0))))))</f>
        <v/>
      </c>
      <c r="G1659" s="3" t="n"/>
      <c r="H1659" s="4">
        <f>IF(I1659="Штраф -2",-2,IF(OR(F1659="",G1659=""),"",F1659*G1659+IF(J1659="",0,J1659)))</f>
        <v/>
      </c>
      <c r="I1659" s="3" t="n"/>
      <c r="J1659" s="3" t="n"/>
      <c r="K1659" s="3" t="n"/>
    </row>
    <row r="1660">
      <c r="A1660" s="3" t="n"/>
      <c r="B1660" s="3" t="n"/>
      <c r="C1660" s="3" t="n"/>
      <c r="D1660" s="3" t="n"/>
      <c r="E1660" s="4">
        <f>IF(A1660="","",COUNTIFS($A$4:A1660,A1660,$I$4:I1660,"&lt;&gt;Штраф -2",$I$4:I1660,"&lt;&gt;ушел на базу"))</f>
        <v/>
      </c>
      <c r="F1660" s="4">
        <f>IF(E1660="","",IF(E1660&lt;=3,6,IF(E1660&lt;=6,5,IF(E1660&lt;=9,4,IF(E1660&lt;=12,3,IF(E1660&lt;=15,2,0))))))</f>
        <v/>
      </c>
      <c r="G1660" s="3" t="n"/>
      <c r="H1660" s="4">
        <f>IF(I1660="Штраф -2",-2,IF(OR(F1660="",G1660=""),"",F1660*G1660+IF(J1660="",0,J1660)))</f>
        <v/>
      </c>
      <c r="I1660" s="3" t="n"/>
      <c r="J1660" s="3" t="n"/>
      <c r="K1660" s="3" t="n"/>
    </row>
    <row r="1661">
      <c r="A1661" s="3" t="n"/>
      <c r="B1661" s="3" t="n"/>
      <c r="C1661" s="3" t="n"/>
      <c r="D1661" s="3" t="n"/>
      <c r="E1661" s="4">
        <f>IF(A1661="","",COUNTIFS($A$4:A1661,A1661,$I$4:I1661,"&lt;&gt;Штраф -2",$I$4:I1661,"&lt;&gt;ушел на базу"))</f>
        <v/>
      </c>
      <c r="F1661" s="4">
        <f>IF(E1661="","",IF(E1661&lt;=3,6,IF(E1661&lt;=6,5,IF(E1661&lt;=9,4,IF(E1661&lt;=12,3,IF(E1661&lt;=15,2,0))))))</f>
        <v/>
      </c>
      <c r="G1661" s="3" t="n"/>
      <c r="H1661" s="4">
        <f>IF(I1661="Штраф -2",-2,IF(OR(F1661="",G1661=""),"",F1661*G1661+IF(J1661="",0,J1661)))</f>
        <v/>
      </c>
      <c r="I1661" s="3" t="n"/>
      <c r="J1661" s="3" t="n"/>
      <c r="K1661" s="3" t="n"/>
    </row>
    <row r="1662">
      <c r="A1662" s="3" t="n"/>
      <c r="B1662" s="3" t="n"/>
      <c r="C1662" s="3" t="n"/>
      <c r="D1662" s="3" t="n"/>
      <c r="E1662" s="4">
        <f>IF(A1662="","",COUNTIFS($A$4:A1662,A1662,$I$4:I1662,"&lt;&gt;Штраф -2",$I$4:I1662,"&lt;&gt;ушел на базу"))</f>
        <v/>
      </c>
      <c r="F1662" s="4">
        <f>IF(E1662="","",IF(E1662&lt;=3,6,IF(E1662&lt;=6,5,IF(E1662&lt;=9,4,IF(E1662&lt;=12,3,IF(E1662&lt;=15,2,0))))))</f>
        <v/>
      </c>
      <c r="G1662" s="3" t="n"/>
      <c r="H1662" s="4">
        <f>IF(I1662="Штраф -2",-2,IF(OR(F1662="",G1662=""),"",F1662*G1662+IF(J1662="",0,J1662)))</f>
        <v/>
      </c>
      <c r="I1662" s="3" t="n"/>
      <c r="J1662" s="3" t="n"/>
      <c r="K1662" s="3" t="n"/>
    </row>
    <row r="1663">
      <c r="A1663" s="3" t="n"/>
      <c r="B1663" s="3" t="n"/>
      <c r="C1663" s="3" t="n"/>
      <c r="D1663" s="3" t="n"/>
      <c r="E1663" s="4">
        <f>IF(A1663="","",COUNTIFS($A$4:A1663,A1663,$I$4:I1663,"&lt;&gt;Штраф -2",$I$4:I1663,"&lt;&gt;ушел на базу"))</f>
        <v/>
      </c>
      <c r="F1663" s="4">
        <f>IF(E1663="","",IF(E1663&lt;=3,6,IF(E1663&lt;=6,5,IF(E1663&lt;=9,4,IF(E1663&lt;=12,3,IF(E1663&lt;=15,2,0))))))</f>
        <v/>
      </c>
      <c r="G1663" s="3" t="n"/>
      <c r="H1663" s="4">
        <f>IF(I1663="Штраф -2",-2,IF(OR(F1663="",G1663=""),"",F1663*G1663+IF(J1663="",0,J1663)))</f>
        <v/>
      </c>
      <c r="I1663" s="3" t="n"/>
      <c r="J1663" s="3" t="n"/>
      <c r="K1663" s="3" t="n"/>
    </row>
    <row r="1664">
      <c r="A1664" s="3" t="n"/>
      <c r="B1664" s="3" t="n"/>
      <c r="C1664" s="3" t="n"/>
      <c r="D1664" s="3" t="n"/>
      <c r="E1664" s="4">
        <f>IF(A1664="","",COUNTIFS($A$4:A1664,A1664,$I$4:I1664,"&lt;&gt;Штраф -2",$I$4:I1664,"&lt;&gt;ушел на базу"))</f>
        <v/>
      </c>
      <c r="F1664" s="4">
        <f>IF(E1664="","",IF(E1664&lt;=3,6,IF(E1664&lt;=6,5,IF(E1664&lt;=9,4,IF(E1664&lt;=12,3,IF(E1664&lt;=15,2,0))))))</f>
        <v/>
      </c>
      <c r="G1664" s="3" t="n"/>
      <c r="H1664" s="4">
        <f>IF(I1664="Штраф -2",-2,IF(OR(F1664="",G1664=""),"",F1664*G1664+IF(J1664="",0,J1664)))</f>
        <v/>
      </c>
      <c r="I1664" s="3" t="n"/>
      <c r="J1664" s="3" t="n"/>
      <c r="K1664" s="3" t="n"/>
    </row>
    <row r="1665">
      <c r="A1665" s="3" t="n"/>
      <c r="B1665" s="3" t="n"/>
      <c r="C1665" s="3" t="n"/>
      <c r="D1665" s="3" t="n"/>
      <c r="E1665" s="4">
        <f>IF(A1665="","",COUNTIFS($A$4:A1665,A1665,$I$4:I1665,"&lt;&gt;Штраф -2",$I$4:I1665,"&lt;&gt;ушел на базу"))</f>
        <v/>
      </c>
      <c r="F1665" s="4">
        <f>IF(E1665="","",IF(E1665&lt;=3,6,IF(E1665&lt;=6,5,IF(E1665&lt;=9,4,IF(E1665&lt;=12,3,IF(E1665&lt;=15,2,0))))))</f>
        <v/>
      </c>
      <c r="G1665" s="3" t="n"/>
      <c r="H1665" s="4">
        <f>IF(I1665="Штраф -2",-2,IF(OR(F1665="",G1665=""),"",F1665*G1665+IF(J1665="",0,J1665)))</f>
        <v/>
      </c>
      <c r="I1665" s="3" t="n"/>
      <c r="J1665" s="3" t="n"/>
      <c r="K1665" s="3" t="n"/>
    </row>
    <row r="1666">
      <c r="A1666" s="3" t="n"/>
      <c r="B1666" s="3" t="n"/>
      <c r="C1666" s="3" t="n"/>
      <c r="D1666" s="3" t="n"/>
      <c r="E1666" s="4">
        <f>IF(A1666="","",COUNTIFS($A$4:A1666,A1666,$I$4:I1666,"&lt;&gt;Штраф -2",$I$4:I1666,"&lt;&gt;ушел на базу"))</f>
        <v/>
      </c>
      <c r="F1666" s="4">
        <f>IF(E1666="","",IF(E1666&lt;=3,6,IF(E1666&lt;=6,5,IF(E1666&lt;=9,4,IF(E1666&lt;=12,3,IF(E1666&lt;=15,2,0))))))</f>
        <v/>
      </c>
      <c r="G1666" s="3" t="n"/>
      <c r="H1666" s="4">
        <f>IF(I1666="Штраф -2",-2,IF(OR(F1666="",G1666=""),"",F1666*G1666+IF(J1666="",0,J1666)))</f>
        <v/>
      </c>
      <c r="I1666" s="3" t="n"/>
      <c r="J1666" s="3" t="n"/>
      <c r="K1666" s="3" t="n"/>
    </row>
    <row r="1667">
      <c r="A1667" s="3" t="n"/>
      <c r="B1667" s="3" t="n"/>
      <c r="C1667" s="3" t="n"/>
      <c r="D1667" s="3" t="n"/>
      <c r="E1667" s="4">
        <f>IF(A1667="","",COUNTIFS($A$4:A1667,A1667,$I$4:I1667,"&lt;&gt;Штраф -2",$I$4:I1667,"&lt;&gt;ушел на базу"))</f>
        <v/>
      </c>
      <c r="F1667" s="4">
        <f>IF(E1667="","",IF(E1667&lt;=3,6,IF(E1667&lt;=6,5,IF(E1667&lt;=9,4,IF(E1667&lt;=12,3,IF(E1667&lt;=15,2,0))))))</f>
        <v/>
      </c>
      <c r="G1667" s="3" t="n"/>
      <c r="H1667" s="4">
        <f>IF(I1667="Штраф -2",-2,IF(OR(F1667="",G1667=""),"",F1667*G1667+IF(J1667="",0,J1667)))</f>
        <v/>
      </c>
      <c r="I1667" s="3" t="n"/>
      <c r="J1667" s="3" t="n"/>
      <c r="K1667" s="3" t="n"/>
    </row>
    <row r="1668">
      <c r="A1668" s="3" t="n"/>
      <c r="B1668" s="3" t="n"/>
      <c r="C1668" s="3" t="n"/>
      <c r="D1668" s="3" t="n"/>
      <c r="E1668" s="4">
        <f>IF(A1668="","",COUNTIFS($A$4:A1668,A1668,$I$4:I1668,"&lt;&gt;Штраф -2",$I$4:I1668,"&lt;&gt;ушел на базу"))</f>
        <v/>
      </c>
      <c r="F1668" s="4">
        <f>IF(E1668="","",IF(E1668&lt;=3,6,IF(E1668&lt;=6,5,IF(E1668&lt;=9,4,IF(E1668&lt;=12,3,IF(E1668&lt;=15,2,0))))))</f>
        <v/>
      </c>
      <c r="G1668" s="3" t="n"/>
      <c r="H1668" s="4">
        <f>IF(I1668="Штраф -2",-2,IF(OR(F1668="",G1668=""),"",F1668*G1668+IF(J1668="",0,J1668)))</f>
        <v/>
      </c>
      <c r="I1668" s="3" t="n"/>
      <c r="J1668" s="3" t="n"/>
      <c r="K1668" s="3" t="n"/>
    </row>
    <row r="1669">
      <c r="A1669" s="3" t="n"/>
      <c r="B1669" s="3" t="n"/>
      <c r="C1669" s="3" t="n"/>
      <c r="D1669" s="3" t="n"/>
      <c r="E1669" s="4">
        <f>IF(A1669="","",COUNTIFS($A$4:A1669,A1669,$I$4:I1669,"&lt;&gt;Штраф -2",$I$4:I1669,"&lt;&gt;ушел на базу"))</f>
        <v/>
      </c>
      <c r="F1669" s="4">
        <f>IF(E1669="","",IF(E1669&lt;=3,6,IF(E1669&lt;=6,5,IF(E1669&lt;=9,4,IF(E1669&lt;=12,3,IF(E1669&lt;=15,2,0))))))</f>
        <v/>
      </c>
      <c r="G1669" s="3" t="n"/>
      <c r="H1669" s="4">
        <f>IF(I1669="Штраф -2",-2,IF(OR(F1669="",G1669=""),"",F1669*G1669+IF(J1669="",0,J1669)))</f>
        <v/>
      </c>
      <c r="I1669" s="3" t="n"/>
      <c r="J1669" s="3" t="n"/>
      <c r="K1669" s="3" t="n"/>
    </row>
    <row r="1670">
      <c r="A1670" s="3" t="n"/>
      <c r="B1670" s="3" t="n"/>
      <c r="C1670" s="3" t="n"/>
      <c r="D1670" s="3" t="n"/>
      <c r="E1670" s="4">
        <f>IF(A1670="","",COUNTIFS($A$4:A1670,A1670,$I$4:I1670,"&lt;&gt;Штраф -2",$I$4:I1670,"&lt;&gt;ушел на базу"))</f>
        <v/>
      </c>
      <c r="F1670" s="4">
        <f>IF(E1670="","",IF(E1670&lt;=3,6,IF(E1670&lt;=6,5,IF(E1670&lt;=9,4,IF(E1670&lt;=12,3,IF(E1670&lt;=15,2,0))))))</f>
        <v/>
      </c>
      <c r="G1670" s="3" t="n"/>
      <c r="H1670" s="4">
        <f>IF(I1670="Штраф -2",-2,IF(OR(F1670="",G1670=""),"",F1670*G1670+IF(J1670="",0,J1670)))</f>
        <v/>
      </c>
      <c r="I1670" s="3" t="n"/>
      <c r="J1670" s="3" t="n"/>
      <c r="K1670" s="3" t="n"/>
    </row>
    <row r="1671">
      <c r="A1671" s="3" t="n"/>
      <c r="B1671" s="3" t="n"/>
      <c r="C1671" s="3" t="n"/>
      <c r="D1671" s="3" t="n"/>
      <c r="E1671" s="4">
        <f>IF(A1671="","",COUNTIFS($A$4:A1671,A1671,$I$4:I1671,"&lt;&gt;Штраф -2",$I$4:I1671,"&lt;&gt;ушел на базу"))</f>
        <v/>
      </c>
      <c r="F1671" s="4">
        <f>IF(E1671="","",IF(E1671&lt;=3,6,IF(E1671&lt;=6,5,IF(E1671&lt;=9,4,IF(E1671&lt;=12,3,IF(E1671&lt;=15,2,0))))))</f>
        <v/>
      </c>
      <c r="G1671" s="3" t="n"/>
      <c r="H1671" s="4">
        <f>IF(I1671="Штраф -2",-2,IF(OR(F1671="",G1671=""),"",F1671*G1671+IF(J1671="",0,J1671)))</f>
        <v/>
      </c>
      <c r="I1671" s="3" t="n"/>
      <c r="J1671" s="3" t="n"/>
      <c r="K1671" s="3" t="n"/>
    </row>
    <row r="1672">
      <c r="A1672" s="3" t="n"/>
      <c r="B1672" s="3" t="n"/>
      <c r="C1672" s="3" t="n"/>
      <c r="D1672" s="3" t="n"/>
      <c r="E1672" s="4">
        <f>IF(A1672="","",COUNTIFS($A$4:A1672,A1672,$I$4:I1672,"&lt;&gt;Штраф -2",$I$4:I1672,"&lt;&gt;ушел на базу"))</f>
        <v/>
      </c>
      <c r="F1672" s="4">
        <f>IF(E1672="","",IF(E1672&lt;=3,6,IF(E1672&lt;=6,5,IF(E1672&lt;=9,4,IF(E1672&lt;=12,3,IF(E1672&lt;=15,2,0))))))</f>
        <v/>
      </c>
      <c r="G1672" s="3" t="n"/>
      <c r="H1672" s="4">
        <f>IF(I1672="Штраф -2",-2,IF(OR(F1672="",G1672=""),"",F1672*G1672+IF(J1672="",0,J1672)))</f>
        <v/>
      </c>
      <c r="I1672" s="3" t="n"/>
      <c r="J1672" s="3" t="n"/>
      <c r="K1672" s="3" t="n"/>
    </row>
    <row r="1673">
      <c r="A1673" s="3" t="n"/>
      <c r="B1673" s="3" t="n"/>
      <c r="C1673" s="3" t="n"/>
      <c r="D1673" s="3" t="n"/>
      <c r="E1673" s="4">
        <f>IF(A1673="","",COUNTIFS($A$4:A1673,A1673,$I$4:I1673,"&lt;&gt;Штраф -2",$I$4:I1673,"&lt;&gt;ушел на базу"))</f>
        <v/>
      </c>
      <c r="F1673" s="4">
        <f>IF(E1673="","",IF(E1673&lt;=3,6,IF(E1673&lt;=6,5,IF(E1673&lt;=9,4,IF(E1673&lt;=12,3,IF(E1673&lt;=15,2,0))))))</f>
        <v/>
      </c>
      <c r="G1673" s="3" t="n"/>
      <c r="H1673" s="4">
        <f>IF(I1673="Штраф -2",-2,IF(OR(F1673="",G1673=""),"",F1673*G1673+IF(J1673="",0,J1673)))</f>
        <v/>
      </c>
      <c r="I1673" s="3" t="n"/>
      <c r="J1673" s="3" t="n"/>
      <c r="K1673" s="3" t="n"/>
    </row>
    <row r="1674">
      <c r="A1674" s="3" t="n"/>
      <c r="B1674" s="3" t="n"/>
      <c r="C1674" s="3" t="n"/>
      <c r="D1674" s="3" t="n"/>
      <c r="E1674" s="4">
        <f>IF(A1674="","",COUNTIFS($A$4:A1674,A1674,$I$4:I1674,"&lt;&gt;Штраф -2",$I$4:I1674,"&lt;&gt;ушел на базу"))</f>
        <v/>
      </c>
      <c r="F1674" s="4">
        <f>IF(E1674="","",IF(E1674&lt;=3,6,IF(E1674&lt;=6,5,IF(E1674&lt;=9,4,IF(E1674&lt;=12,3,IF(E1674&lt;=15,2,0))))))</f>
        <v/>
      </c>
      <c r="G1674" s="3" t="n"/>
      <c r="H1674" s="4">
        <f>IF(I1674="Штраф -2",-2,IF(OR(F1674="",G1674=""),"",F1674*G1674+IF(J1674="",0,J1674)))</f>
        <v/>
      </c>
      <c r="I1674" s="3" t="n"/>
      <c r="J1674" s="3" t="n"/>
      <c r="K1674" s="3" t="n"/>
    </row>
    <row r="1675">
      <c r="A1675" s="3" t="n"/>
      <c r="B1675" s="3" t="n"/>
      <c r="C1675" s="3" t="n"/>
      <c r="D1675" s="3" t="n"/>
      <c r="E1675" s="4">
        <f>IF(A1675="","",COUNTIFS($A$4:A1675,A1675,$I$4:I1675,"&lt;&gt;Штраф -2",$I$4:I1675,"&lt;&gt;ушел на базу"))</f>
        <v/>
      </c>
      <c r="F1675" s="4">
        <f>IF(E1675="","",IF(E1675&lt;=3,6,IF(E1675&lt;=6,5,IF(E1675&lt;=9,4,IF(E1675&lt;=12,3,IF(E1675&lt;=15,2,0))))))</f>
        <v/>
      </c>
      <c r="G1675" s="3" t="n"/>
      <c r="H1675" s="4">
        <f>IF(I1675="Штраф -2",-2,IF(OR(F1675="",G1675=""),"",F1675*G1675+IF(J1675="",0,J1675)))</f>
        <v/>
      </c>
      <c r="I1675" s="3" t="n"/>
      <c r="J1675" s="3" t="n"/>
      <c r="K1675" s="3" t="n"/>
    </row>
    <row r="1676">
      <c r="A1676" s="3" t="n"/>
      <c r="B1676" s="3" t="n"/>
      <c r="C1676" s="3" t="n"/>
      <c r="D1676" s="3" t="n"/>
      <c r="E1676" s="4">
        <f>IF(A1676="","",COUNTIFS($A$4:A1676,A1676,$I$4:I1676,"&lt;&gt;Штраф -2",$I$4:I1676,"&lt;&gt;ушел на базу"))</f>
        <v/>
      </c>
      <c r="F1676" s="4">
        <f>IF(E1676="","",IF(E1676&lt;=3,6,IF(E1676&lt;=6,5,IF(E1676&lt;=9,4,IF(E1676&lt;=12,3,IF(E1676&lt;=15,2,0))))))</f>
        <v/>
      </c>
      <c r="G1676" s="3" t="n"/>
      <c r="H1676" s="4">
        <f>IF(I1676="Штраф -2",-2,IF(OR(F1676="",G1676=""),"",F1676*G1676+IF(J1676="",0,J1676)))</f>
        <v/>
      </c>
      <c r="I1676" s="3" t="n"/>
      <c r="J1676" s="3" t="n"/>
      <c r="K1676" s="3" t="n"/>
    </row>
    <row r="1677">
      <c r="A1677" s="3" t="n"/>
      <c r="B1677" s="3" t="n"/>
      <c r="C1677" s="3" t="n"/>
      <c r="D1677" s="3" t="n"/>
      <c r="E1677" s="4">
        <f>IF(A1677="","",COUNTIFS($A$4:A1677,A1677,$I$4:I1677,"&lt;&gt;Штраф -2",$I$4:I1677,"&lt;&gt;ушел на базу"))</f>
        <v/>
      </c>
      <c r="F1677" s="4">
        <f>IF(E1677="","",IF(E1677&lt;=3,6,IF(E1677&lt;=6,5,IF(E1677&lt;=9,4,IF(E1677&lt;=12,3,IF(E1677&lt;=15,2,0))))))</f>
        <v/>
      </c>
      <c r="G1677" s="3" t="n"/>
      <c r="H1677" s="4">
        <f>IF(I1677="Штраф -2",-2,IF(OR(F1677="",G1677=""),"",F1677*G1677+IF(J1677="",0,J1677)))</f>
        <v/>
      </c>
      <c r="I1677" s="3" t="n"/>
      <c r="J1677" s="3" t="n"/>
      <c r="K1677" s="3" t="n"/>
    </row>
    <row r="1678">
      <c r="A1678" s="3" t="n"/>
      <c r="B1678" s="3" t="n"/>
      <c r="C1678" s="3" t="n"/>
      <c r="D1678" s="3" t="n"/>
      <c r="E1678" s="4">
        <f>IF(A1678="","",COUNTIFS($A$4:A1678,A1678,$I$4:I1678,"&lt;&gt;Штраф -2",$I$4:I1678,"&lt;&gt;ушел на базу"))</f>
        <v/>
      </c>
      <c r="F1678" s="4">
        <f>IF(E1678="","",IF(E1678&lt;=3,6,IF(E1678&lt;=6,5,IF(E1678&lt;=9,4,IF(E1678&lt;=12,3,IF(E1678&lt;=15,2,0))))))</f>
        <v/>
      </c>
      <c r="G1678" s="3" t="n"/>
      <c r="H1678" s="4">
        <f>IF(I1678="Штраф -2",-2,IF(OR(F1678="",G1678=""),"",F1678*G1678+IF(J1678="",0,J1678)))</f>
        <v/>
      </c>
      <c r="I1678" s="3" t="n"/>
      <c r="J1678" s="3" t="n"/>
      <c r="K1678" s="3" t="n"/>
    </row>
    <row r="1679">
      <c r="A1679" s="3" t="n"/>
      <c r="B1679" s="3" t="n"/>
      <c r="C1679" s="3" t="n"/>
      <c r="D1679" s="3" t="n"/>
      <c r="E1679" s="4">
        <f>IF(A1679="","",COUNTIFS($A$4:A1679,A1679,$I$4:I1679,"&lt;&gt;Штраф -2",$I$4:I1679,"&lt;&gt;ушел на базу"))</f>
        <v/>
      </c>
      <c r="F1679" s="4">
        <f>IF(E1679="","",IF(E1679&lt;=3,6,IF(E1679&lt;=6,5,IF(E1679&lt;=9,4,IF(E1679&lt;=12,3,IF(E1679&lt;=15,2,0))))))</f>
        <v/>
      </c>
      <c r="G1679" s="3" t="n"/>
      <c r="H1679" s="4">
        <f>IF(I1679="Штраф -2",-2,IF(OR(F1679="",G1679=""),"",F1679*G1679+IF(J1679="",0,J1679)))</f>
        <v/>
      </c>
      <c r="I1679" s="3" t="n"/>
      <c r="J1679" s="3" t="n"/>
      <c r="K1679" s="3" t="n"/>
    </row>
    <row r="1680">
      <c r="A1680" s="3" t="n"/>
      <c r="B1680" s="3" t="n"/>
      <c r="C1680" s="3" t="n"/>
      <c r="D1680" s="3" t="n"/>
      <c r="E1680" s="4">
        <f>IF(A1680="","",COUNTIFS($A$4:A1680,A1680,$I$4:I1680,"&lt;&gt;Штраф -2",$I$4:I1680,"&lt;&gt;ушел на базу"))</f>
        <v/>
      </c>
      <c r="F1680" s="4">
        <f>IF(E1680="","",IF(E1680&lt;=3,6,IF(E1680&lt;=6,5,IF(E1680&lt;=9,4,IF(E1680&lt;=12,3,IF(E1680&lt;=15,2,0))))))</f>
        <v/>
      </c>
      <c r="G1680" s="3" t="n"/>
      <c r="H1680" s="4">
        <f>IF(I1680="Штраф -2",-2,IF(OR(F1680="",G1680=""),"",F1680*G1680+IF(J1680="",0,J1680)))</f>
        <v/>
      </c>
      <c r="I1680" s="3" t="n"/>
      <c r="J1680" s="3" t="n"/>
      <c r="K1680" s="3" t="n"/>
    </row>
    <row r="1681">
      <c r="A1681" s="3" t="n"/>
      <c r="B1681" s="3" t="n"/>
      <c r="C1681" s="3" t="n"/>
      <c r="D1681" s="3" t="n"/>
      <c r="E1681" s="4">
        <f>IF(A1681="","",COUNTIFS($A$4:A1681,A1681,$I$4:I1681,"&lt;&gt;Штраф -2",$I$4:I1681,"&lt;&gt;ушел на базу"))</f>
        <v/>
      </c>
      <c r="F1681" s="4">
        <f>IF(E1681="","",IF(E1681&lt;=3,6,IF(E1681&lt;=6,5,IF(E1681&lt;=9,4,IF(E1681&lt;=12,3,IF(E1681&lt;=15,2,0))))))</f>
        <v/>
      </c>
      <c r="G1681" s="3" t="n"/>
      <c r="H1681" s="4">
        <f>IF(I1681="Штраф -2",-2,IF(OR(F1681="",G1681=""),"",F1681*G1681+IF(J1681="",0,J1681)))</f>
        <v/>
      </c>
      <c r="I1681" s="3" t="n"/>
      <c r="J1681" s="3" t="n"/>
      <c r="K1681" s="3" t="n"/>
    </row>
    <row r="1682">
      <c r="A1682" s="3" t="n"/>
      <c r="B1682" s="3" t="n"/>
      <c r="C1682" s="3" t="n"/>
      <c r="D1682" s="3" t="n"/>
      <c r="E1682" s="4">
        <f>IF(A1682="","",COUNTIFS($A$4:A1682,A1682,$I$4:I1682,"&lt;&gt;Штраф -2",$I$4:I1682,"&lt;&gt;ушел на базу"))</f>
        <v/>
      </c>
      <c r="F1682" s="4">
        <f>IF(E1682="","",IF(E1682&lt;=3,6,IF(E1682&lt;=6,5,IF(E1682&lt;=9,4,IF(E1682&lt;=12,3,IF(E1682&lt;=15,2,0))))))</f>
        <v/>
      </c>
      <c r="G1682" s="3" t="n"/>
      <c r="H1682" s="4">
        <f>IF(I1682="Штраф -2",-2,IF(OR(F1682="",G1682=""),"",F1682*G1682+IF(J1682="",0,J1682)))</f>
        <v/>
      </c>
      <c r="I1682" s="3" t="n"/>
      <c r="J1682" s="3" t="n"/>
      <c r="K1682" s="3" t="n"/>
    </row>
    <row r="1683">
      <c r="A1683" s="3" t="n"/>
      <c r="B1683" s="3" t="n"/>
      <c r="C1683" s="3" t="n"/>
      <c r="D1683" s="3" t="n"/>
      <c r="E1683" s="4">
        <f>IF(A1683="","",COUNTIFS($A$4:A1683,A1683,$I$4:I1683,"&lt;&gt;Штраф -2",$I$4:I1683,"&lt;&gt;ушел на базу"))</f>
        <v/>
      </c>
      <c r="F1683" s="4">
        <f>IF(E1683="","",IF(E1683&lt;=3,6,IF(E1683&lt;=6,5,IF(E1683&lt;=9,4,IF(E1683&lt;=12,3,IF(E1683&lt;=15,2,0))))))</f>
        <v/>
      </c>
      <c r="G1683" s="3" t="n"/>
      <c r="H1683" s="4">
        <f>IF(I1683="Штраф -2",-2,IF(OR(F1683="",G1683=""),"",F1683*G1683+IF(J1683="",0,J1683)))</f>
        <v/>
      </c>
      <c r="I1683" s="3" t="n"/>
      <c r="J1683" s="3" t="n"/>
      <c r="K1683" s="3" t="n"/>
    </row>
    <row r="1684">
      <c r="A1684" s="3" t="n"/>
      <c r="B1684" s="3" t="n"/>
      <c r="C1684" s="3" t="n"/>
      <c r="D1684" s="3" t="n"/>
      <c r="E1684" s="4">
        <f>IF(A1684="","",COUNTIFS($A$4:A1684,A1684,$I$4:I1684,"&lt;&gt;Штраф -2",$I$4:I1684,"&lt;&gt;ушел на базу"))</f>
        <v/>
      </c>
      <c r="F1684" s="4">
        <f>IF(E1684="","",IF(E1684&lt;=3,6,IF(E1684&lt;=6,5,IF(E1684&lt;=9,4,IF(E1684&lt;=12,3,IF(E1684&lt;=15,2,0))))))</f>
        <v/>
      </c>
      <c r="G1684" s="3" t="n"/>
      <c r="H1684" s="4">
        <f>IF(I1684="Штраф -2",-2,IF(OR(F1684="",G1684=""),"",F1684*G1684+IF(J1684="",0,J1684)))</f>
        <v/>
      </c>
      <c r="I1684" s="3" t="n"/>
      <c r="J1684" s="3" t="n"/>
      <c r="K1684" s="3" t="n"/>
    </row>
    <row r="1685">
      <c r="A1685" s="3" t="n"/>
      <c r="B1685" s="3" t="n"/>
      <c r="C1685" s="3" t="n"/>
      <c r="D1685" s="3" t="n"/>
      <c r="E1685" s="4">
        <f>IF(A1685="","",COUNTIFS($A$4:A1685,A1685,$I$4:I1685,"&lt;&gt;Штраф -2",$I$4:I1685,"&lt;&gt;ушел на базу"))</f>
        <v/>
      </c>
      <c r="F1685" s="4">
        <f>IF(E1685="","",IF(E1685&lt;=3,6,IF(E1685&lt;=6,5,IF(E1685&lt;=9,4,IF(E1685&lt;=12,3,IF(E1685&lt;=15,2,0))))))</f>
        <v/>
      </c>
      <c r="G1685" s="3" t="n"/>
      <c r="H1685" s="4">
        <f>IF(I1685="Штраф -2",-2,IF(OR(F1685="",G1685=""),"",F1685*G1685+IF(J1685="",0,J1685)))</f>
        <v/>
      </c>
      <c r="I1685" s="3" t="n"/>
      <c r="J1685" s="3" t="n"/>
      <c r="K1685" s="3" t="n"/>
    </row>
    <row r="1686">
      <c r="A1686" s="3" t="n"/>
      <c r="B1686" s="3" t="n"/>
      <c r="C1686" s="3" t="n"/>
      <c r="D1686" s="3" t="n"/>
      <c r="E1686" s="4">
        <f>IF(A1686="","",COUNTIFS($A$4:A1686,A1686,$I$4:I1686,"&lt;&gt;Штраф -2",$I$4:I1686,"&lt;&gt;ушел на базу"))</f>
        <v/>
      </c>
      <c r="F1686" s="4">
        <f>IF(E1686="","",IF(E1686&lt;=3,6,IF(E1686&lt;=6,5,IF(E1686&lt;=9,4,IF(E1686&lt;=12,3,IF(E1686&lt;=15,2,0))))))</f>
        <v/>
      </c>
      <c r="G1686" s="3" t="n"/>
      <c r="H1686" s="4">
        <f>IF(I1686="Штраф -2",-2,IF(OR(F1686="",G1686=""),"",F1686*G1686+IF(J1686="",0,J1686)))</f>
        <v/>
      </c>
      <c r="I1686" s="3" t="n"/>
      <c r="J1686" s="3" t="n"/>
      <c r="K1686" s="3" t="n"/>
    </row>
    <row r="1687">
      <c r="A1687" s="3" t="n"/>
      <c r="B1687" s="3" t="n"/>
      <c r="C1687" s="3" t="n"/>
      <c r="D1687" s="3" t="n"/>
      <c r="E1687" s="4">
        <f>IF(A1687="","",COUNTIFS($A$4:A1687,A1687,$I$4:I1687,"&lt;&gt;Штраф -2",$I$4:I1687,"&lt;&gt;ушел на базу"))</f>
        <v/>
      </c>
      <c r="F1687" s="4">
        <f>IF(E1687="","",IF(E1687&lt;=3,6,IF(E1687&lt;=6,5,IF(E1687&lt;=9,4,IF(E1687&lt;=12,3,IF(E1687&lt;=15,2,0))))))</f>
        <v/>
      </c>
      <c r="G1687" s="3" t="n"/>
      <c r="H1687" s="4">
        <f>IF(I1687="Штраф -2",-2,IF(OR(F1687="",G1687=""),"",F1687*G1687+IF(J1687="",0,J1687)))</f>
        <v/>
      </c>
      <c r="I1687" s="3" t="n"/>
      <c r="J1687" s="3" t="n"/>
      <c r="K1687" s="3" t="n"/>
    </row>
    <row r="1688">
      <c r="A1688" s="3" t="n"/>
      <c r="B1688" s="3" t="n"/>
      <c r="C1688" s="3" t="n"/>
      <c r="D1688" s="3" t="n"/>
      <c r="E1688" s="4">
        <f>IF(A1688="","",COUNTIFS($A$4:A1688,A1688,$I$4:I1688,"&lt;&gt;Штраф -2",$I$4:I1688,"&lt;&gt;ушел на базу"))</f>
        <v/>
      </c>
      <c r="F1688" s="4">
        <f>IF(E1688="","",IF(E1688&lt;=3,6,IF(E1688&lt;=6,5,IF(E1688&lt;=9,4,IF(E1688&lt;=12,3,IF(E1688&lt;=15,2,0))))))</f>
        <v/>
      </c>
      <c r="G1688" s="3" t="n"/>
      <c r="H1688" s="4">
        <f>IF(I1688="Штраф -2",-2,IF(OR(F1688="",G1688=""),"",F1688*G1688+IF(J1688="",0,J1688)))</f>
        <v/>
      </c>
      <c r="I1688" s="3" t="n"/>
      <c r="J1688" s="3" t="n"/>
      <c r="K1688" s="3" t="n"/>
    </row>
    <row r="1689">
      <c r="A1689" s="3" t="n"/>
      <c r="B1689" s="3" t="n"/>
      <c r="C1689" s="3" t="n"/>
      <c r="D1689" s="3" t="n"/>
      <c r="E1689" s="4">
        <f>IF(A1689="","",COUNTIFS($A$4:A1689,A1689,$I$4:I1689,"&lt;&gt;Штраф -2",$I$4:I1689,"&lt;&gt;ушел на базу"))</f>
        <v/>
      </c>
      <c r="F1689" s="4">
        <f>IF(E1689="","",IF(E1689&lt;=3,6,IF(E1689&lt;=6,5,IF(E1689&lt;=9,4,IF(E1689&lt;=12,3,IF(E1689&lt;=15,2,0))))))</f>
        <v/>
      </c>
      <c r="G1689" s="3" t="n"/>
      <c r="H1689" s="4">
        <f>IF(I1689="Штраф -2",-2,IF(OR(F1689="",G1689=""),"",F1689*G1689+IF(J1689="",0,J1689)))</f>
        <v/>
      </c>
      <c r="I1689" s="3" t="n"/>
      <c r="J1689" s="3" t="n"/>
      <c r="K1689" s="3" t="n"/>
    </row>
    <row r="1690">
      <c r="A1690" s="3" t="n"/>
      <c r="B1690" s="3" t="n"/>
      <c r="C1690" s="3" t="n"/>
      <c r="D1690" s="3" t="n"/>
      <c r="E1690" s="4">
        <f>IF(A1690="","",COUNTIFS($A$4:A1690,A1690,$I$4:I1690,"&lt;&gt;Штраф -2",$I$4:I1690,"&lt;&gt;ушел на базу"))</f>
        <v/>
      </c>
      <c r="F1690" s="4">
        <f>IF(E1690="","",IF(E1690&lt;=3,6,IF(E1690&lt;=6,5,IF(E1690&lt;=9,4,IF(E1690&lt;=12,3,IF(E1690&lt;=15,2,0))))))</f>
        <v/>
      </c>
      <c r="G1690" s="3" t="n"/>
      <c r="H1690" s="4">
        <f>IF(I1690="Штраф -2",-2,IF(OR(F1690="",G1690=""),"",F1690*G1690+IF(J1690="",0,J1690)))</f>
        <v/>
      </c>
      <c r="I1690" s="3" t="n"/>
      <c r="J1690" s="3" t="n"/>
      <c r="K1690" s="3" t="n"/>
    </row>
    <row r="1691">
      <c r="A1691" s="3" t="n"/>
      <c r="B1691" s="3" t="n"/>
      <c r="C1691" s="3" t="n"/>
      <c r="D1691" s="3" t="n"/>
      <c r="E1691" s="4">
        <f>IF(A1691="","",COUNTIFS($A$4:A1691,A1691,$I$4:I1691,"&lt;&gt;Штраф -2",$I$4:I1691,"&lt;&gt;ушел на базу"))</f>
        <v/>
      </c>
      <c r="F1691" s="4">
        <f>IF(E1691="","",IF(E1691&lt;=3,6,IF(E1691&lt;=6,5,IF(E1691&lt;=9,4,IF(E1691&lt;=12,3,IF(E1691&lt;=15,2,0))))))</f>
        <v/>
      </c>
      <c r="G1691" s="3" t="n"/>
      <c r="H1691" s="4">
        <f>IF(I1691="Штраф -2",-2,IF(OR(F1691="",G1691=""),"",F1691*G1691+IF(J1691="",0,J1691)))</f>
        <v/>
      </c>
      <c r="I1691" s="3" t="n"/>
      <c r="J1691" s="3" t="n"/>
      <c r="K1691" s="3" t="n"/>
    </row>
    <row r="1692">
      <c r="A1692" s="3" t="n"/>
      <c r="B1692" s="3" t="n"/>
      <c r="C1692" s="3" t="n"/>
      <c r="D1692" s="3" t="n"/>
      <c r="E1692" s="4">
        <f>IF(A1692="","",COUNTIFS($A$4:A1692,A1692,$I$4:I1692,"&lt;&gt;Штраф -2",$I$4:I1692,"&lt;&gt;ушел на базу"))</f>
        <v/>
      </c>
      <c r="F1692" s="4">
        <f>IF(E1692="","",IF(E1692&lt;=3,6,IF(E1692&lt;=6,5,IF(E1692&lt;=9,4,IF(E1692&lt;=12,3,IF(E1692&lt;=15,2,0))))))</f>
        <v/>
      </c>
      <c r="G1692" s="3" t="n"/>
      <c r="H1692" s="4">
        <f>IF(I1692="Штраф -2",-2,IF(OR(F1692="",G1692=""),"",F1692*G1692+IF(J1692="",0,J1692)))</f>
        <v/>
      </c>
      <c r="I1692" s="3" t="n"/>
      <c r="J1692" s="3" t="n"/>
      <c r="K1692" s="3" t="n"/>
    </row>
    <row r="1693">
      <c r="A1693" s="3" t="n"/>
      <c r="B1693" s="3" t="n"/>
      <c r="C1693" s="3" t="n"/>
      <c r="D1693" s="3" t="n"/>
      <c r="E1693" s="4">
        <f>IF(A1693="","",COUNTIFS($A$4:A1693,A1693,$I$4:I1693,"&lt;&gt;Штраф -2",$I$4:I1693,"&lt;&gt;ушел на базу"))</f>
        <v/>
      </c>
      <c r="F1693" s="4">
        <f>IF(E1693="","",IF(E1693&lt;=3,6,IF(E1693&lt;=6,5,IF(E1693&lt;=9,4,IF(E1693&lt;=12,3,IF(E1693&lt;=15,2,0))))))</f>
        <v/>
      </c>
      <c r="G1693" s="3" t="n"/>
      <c r="H1693" s="4">
        <f>IF(I1693="Штраф -2",-2,IF(OR(F1693="",G1693=""),"",F1693*G1693+IF(J1693="",0,J1693)))</f>
        <v/>
      </c>
      <c r="I1693" s="3" t="n"/>
      <c r="J1693" s="3" t="n"/>
      <c r="K1693" s="3" t="n"/>
    </row>
    <row r="1694">
      <c r="A1694" s="3" t="n"/>
      <c r="B1694" s="3" t="n"/>
      <c r="C1694" s="3" t="n"/>
      <c r="D1694" s="3" t="n"/>
      <c r="E1694" s="4">
        <f>IF(A1694="","",COUNTIFS($A$4:A1694,A1694,$I$4:I1694,"&lt;&gt;Штраф -2",$I$4:I1694,"&lt;&gt;ушел на базу"))</f>
        <v/>
      </c>
      <c r="F1694" s="4">
        <f>IF(E1694="","",IF(E1694&lt;=3,6,IF(E1694&lt;=6,5,IF(E1694&lt;=9,4,IF(E1694&lt;=12,3,IF(E1694&lt;=15,2,0))))))</f>
        <v/>
      </c>
      <c r="G1694" s="3" t="n"/>
      <c r="H1694" s="4">
        <f>IF(I1694="Штраф -2",-2,IF(OR(F1694="",G1694=""),"",F1694*G1694+IF(J1694="",0,J1694)))</f>
        <v/>
      </c>
      <c r="I1694" s="3" t="n"/>
      <c r="J1694" s="3" t="n"/>
      <c r="K1694" s="3" t="n"/>
    </row>
    <row r="1695">
      <c r="A1695" s="3" t="n"/>
      <c r="B1695" s="3" t="n"/>
      <c r="C1695" s="3" t="n"/>
      <c r="D1695" s="3" t="n"/>
      <c r="E1695" s="4">
        <f>IF(A1695="","",COUNTIFS($A$4:A1695,A1695,$I$4:I1695,"&lt;&gt;Штраф -2",$I$4:I1695,"&lt;&gt;ушел на базу"))</f>
        <v/>
      </c>
      <c r="F1695" s="4">
        <f>IF(E1695="","",IF(E1695&lt;=3,6,IF(E1695&lt;=6,5,IF(E1695&lt;=9,4,IF(E1695&lt;=12,3,IF(E1695&lt;=15,2,0))))))</f>
        <v/>
      </c>
      <c r="G1695" s="3" t="n"/>
      <c r="H1695" s="4">
        <f>IF(I1695="Штраф -2",-2,IF(OR(F1695="",G1695=""),"",F1695*G1695+IF(J1695="",0,J1695)))</f>
        <v/>
      </c>
      <c r="I1695" s="3" t="n"/>
      <c r="J1695" s="3" t="n"/>
      <c r="K1695" s="3" t="n"/>
    </row>
    <row r="1696">
      <c r="A1696" s="3" t="n"/>
      <c r="B1696" s="3" t="n"/>
      <c r="C1696" s="3" t="n"/>
      <c r="D1696" s="3" t="n"/>
      <c r="E1696" s="4">
        <f>IF(A1696="","",COUNTIFS($A$4:A1696,A1696,$I$4:I1696,"&lt;&gt;Штраф -2",$I$4:I1696,"&lt;&gt;ушел на базу"))</f>
        <v/>
      </c>
      <c r="F1696" s="4">
        <f>IF(E1696="","",IF(E1696&lt;=3,6,IF(E1696&lt;=6,5,IF(E1696&lt;=9,4,IF(E1696&lt;=12,3,IF(E1696&lt;=15,2,0))))))</f>
        <v/>
      </c>
      <c r="G1696" s="3" t="n"/>
      <c r="H1696" s="4">
        <f>IF(I1696="Штраф -2",-2,IF(OR(F1696="",G1696=""),"",F1696*G1696+IF(J1696="",0,J1696)))</f>
        <v/>
      </c>
      <c r="I1696" s="3" t="n"/>
      <c r="J1696" s="3" t="n"/>
      <c r="K1696" s="3" t="n"/>
    </row>
    <row r="1697">
      <c r="A1697" s="3" t="n"/>
      <c r="B1697" s="3" t="n"/>
      <c r="C1697" s="3" t="n"/>
      <c r="D1697" s="3" t="n"/>
      <c r="E1697" s="4">
        <f>IF(A1697="","",COUNTIFS($A$4:A1697,A1697,$I$4:I1697,"&lt;&gt;Штраф -2",$I$4:I1697,"&lt;&gt;ушел на базу"))</f>
        <v/>
      </c>
      <c r="F1697" s="4">
        <f>IF(E1697="","",IF(E1697&lt;=3,6,IF(E1697&lt;=6,5,IF(E1697&lt;=9,4,IF(E1697&lt;=12,3,IF(E1697&lt;=15,2,0))))))</f>
        <v/>
      </c>
      <c r="G1697" s="3" t="n"/>
      <c r="H1697" s="4">
        <f>IF(I1697="Штраф -2",-2,IF(OR(F1697="",G1697=""),"",F1697*G1697+IF(J1697="",0,J1697)))</f>
        <v/>
      </c>
      <c r="I1697" s="3" t="n"/>
      <c r="J1697" s="3" t="n"/>
      <c r="K1697" s="3" t="n"/>
    </row>
    <row r="1698">
      <c r="A1698" s="3" t="n"/>
      <c r="B1698" s="3" t="n"/>
      <c r="C1698" s="3" t="n"/>
      <c r="D1698" s="3" t="n"/>
      <c r="E1698" s="4">
        <f>IF(A1698="","",COUNTIFS($A$4:A1698,A1698,$I$4:I1698,"&lt;&gt;Штраф -2",$I$4:I1698,"&lt;&gt;ушел на базу"))</f>
        <v/>
      </c>
      <c r="F1698" s="4">
        <f>IF(E1698="","",IF(E1698&lt;=3,6,IF(E1698&lt;=6,5,IF(E1698&lt;=9,4,IF(E1698&lt;=12,3,IF(E1698&lt;=15,2,0))))))</f>
        <v/>
      </c>
      <c r="G1698" s="3" t="n"/>
      <c r="H1698" s="4">
        <f>IF(I1698="Штраф -2",-2,IF(OR(F1698="",G1698=""),"",F1698*G1698+IF(J1698="",0,J1698)))</f>
        <v/>
      </c>
      <c r="I1698" s="3" t="n"/>
      <c r="J1698" s="3" t="n"/>
      <c r="K1698" s="3" t="n"/>
    </row>
    <row r="1699">
      <c r="A1699" s="3" t="n"/>
      <c r="B1699" s="3" t="n"/>
      <c r="C1699" s="3" t="n"/>
      <c r="D1699" s="3" t="n"/>
      <c r="E1699" s="4">
        <f>IF(A1699="","",COUNTIFS($A$4:A1699,A1699,$I$4:I1699,"&lt;&gt;Штраф -2",$I$4:I1699,"&lt;&gt;ушел на базу"))</f>
        <v/>
      </c>
      <c r="F1699" s="4">
        <f>IF(E1699="","",IF(E1699&lt;=3,6,IF(E1699&lt;=6,5,IF(E1699&lt;=9,4,IF(E1699&lt;=12,3,IF(E1699&lt;=15,2,0))))))</f>
        <v/>
      </c>
      <c r="G1699" s="3" t="n"/>
      <c r="H1699" s="4">
        <f>IF(I1699="Штраф -2",-2,IF(OR(F1699="",G1699=""),"",F1699*G1699+IF(J1699="",0,J1699)))</f>
        <v/>
      </c>
      <c r="I1699" s="3" t="n"/>
      <c r="J1699" s="3" t="n"/>
      <c r="K1699" s="3" t="n"/>
    </row>
    <row r="1700">
      <c r="A1700" s="3" t="n"/>
      <c r="B1700" s="3" t="n"/>
      <c r="C1700" s="3" t="n"/>
      <c r="D1700" s="3" t="n"/>
      <c r="E1700" s="4">
        <f>IF(A1700="","",COUNTIFS($A$4:A1700,A1700,$I$4:I1700,"&lt;&gt;Штраф -2",$I$4:I1700,"&lt;&gt;ушел на базу"))</f>
        <v/>
      </c>
      <c r="F1700" s="4">
        <f>IF(E1700="","",IF(E1700&lt;=3,6,IF(E1700&lt;=6,5,IF(E1700&lt;=9,4,IF(E1700&lt;=12,3,IF(E1700&lt;=15,2,0))))))</f>
        <v/>
      </c>
      <c r="G1700" s="3" t="n"/>
      <c r="H1700" s="4">
        <f>IF(I1700="Штраф -2",-2,IF(OR(F1700="",G1700=""),"",F1700*G1700+IF(J1700="",0,J1700)))</f>
        <v/>
      </c>
      <c r="I1700" s="3" t="n"/>
      <c r="J1700" s="3" t="n"/>
      <c r="K1700" s="3" t="n"/>
    </row>
    <row r="1701">
      <c r="A1701" s="3" t="n"/>
      <c r="B1701" s="3" t="n"/>
      <c r="C1701" s="3" t="n"/>
      <c r="D1701" s="3" t="n"/>
      <c r="E1701" s="4">
        <f>IF(A1701="","",COUNTIFS($A$4:A1701,A1701,$I$4:I1701,"&lt;&gt;Штраф -2",$I$4:I1701,"&lt;&gt;ушел на базу"))</f>
        <v/>
      </c>
      <c r="F1701" s="4">
        <f>IF(E1701="","",IF(E1701&lt;=3,6,IF(E1701&lt;=6,5,IF(E1701&lt;=9,4,IF(E1701&lt;=12,3,IF(E1701&lt;=15,2,0))))))</f>
        <v/>
      </c>
      <c r="G1701" s="3" t="n"/>
      <c r="H1701" s="4">
        <f>IF(I1701="Штраф -2",-2,IF(OR(F1701="",G1701=""),"",F1701*G1701+IF(J1701="",0,J1701)))</f>
        <v/>
      </c>
      <c r="I1701" s="3" t="n"/>
      <c r="J1701" s="3" t="n"/>
      <c r="K1701" s="3" t="n"/>
    </row>
    <row r="1702">
      <c r="A1702" s="3" t="n"/>
      <c r="B1702" s="3" t="n"/>
      <c r="C1702" s="3" t="n"/>
      <c r="D1702" s="3" t="n"/>
      <c r="E1702" s="4">
        <f>IF(A1702="","",COUNTIFS($A$4:A1702,A1702,$I$4:I1702,"&lt;&gt;Штраф -2",$I$4:I1702,"&lt;&gt;ушел на базу"))</f>
        <v/>
      </c>
      <c r="F1702" s="4">
        <f>IF(E1702="","",IF(E1702&lt;=3,6,IF(E1702&lt;=6,5,IF(E1702&lt;=9,4,IF(E1702&lt;=12,3,IF(E1702&lt;=15,2,0))))))</f>
        <v/>
      </c>
      <c r="G1702" s="3" t="n"/>
      <c r="H1702" s="4">
        <f>IF(I1702="Штраф -2",-2,IF(OR(F1702="",G1702=""),"",F1702*G1702+IF(J1702="",0,J1702)))</f>
        <v/>
      </c>
      <c r="I1702" s="3" t="n"/>
      <c r="J1702" s="3" t="n"/>
      <c r="K1702" s="3" t="n"/>
    </row>
    <row r="1703">
      <c r="A1703" s="3" t="n"/>
      <c r="B1703" s="3" t="n"/>
      <c r="C1703" s="3" t="n"/>
      <c r="D1703" s="3" t="n"/>
      <c r="E1703" s="4">
        <f>IF(A1703="","",COUNTIFS($A$4:A1703,A1703,$I$4:I1703,"&lt;&gt;Штраф -2",$I$4:I1703,"&lt;&gt;ушел на базу"))</f>
        <v/>
      </c>
      <c r="F1703" s="4">
        <f>IF(E1703="","",IF(E1703&lt;=3,6,IF(E1703&lt;=6,5,IF(E1703&lt;=9,4,IF(E1703&lt;=12,3,IF(E1703&lt;=15,2,0))))))</f>
        <v/>
      </c>
      <c r="G1703" s="3" t="n"/>
      <c r="H1703" s="4">
        <f>IF(I1703="Штраф -2",-2,IF(OR(F1703="",G1703=""),"",F1703*G1703+IF(J1703="",0,J1703)))</f>
        <v/>
      </c>
      <c r="I1703" s="3" t="n"/>
      <c r="J1703" s="3" t="n"/>
      <c r="K1703" s="3" t="n"/>
    </row>
    <row r="1704">
      <c r="A1704" s="3" t="n"/>
      <c r="B1704" s="3" t="n"/>
      <c r="C1704" s="3" t="n"/>
      <c r="D1704" s="3" t="n"/>
      <c r="E1704" s="4">
        <f>IF(A1704="","",COUNTIFS($A$4:A1704,A1704,$I$4:I1704,"&lt;&gt;Штраф -2",$I$4:I1704,"&lt;&gt;ушел на базу"))</f>
        <v/>
      </c>
      <c r="F1704" s="4">
        <f>IF(E1704="","",IF(E1704&lt;=3,6,IF(E1704&lt;=6,5,IF(E1704&lt;=9,4,IF(E1704&lt;=12,3,IF(E1704&lt;=15,2,0))))))</f>
        <v/>
      </c>
      <c r="G1704" s="3" t="n"/>
      <c r="H1704" s="4">
        <f>IF(I1704="Штраф -2",-2,IF(OR(F1704="",G1704=""),"",F1704*G1704+IF(J1704="",0,J1704)))</f>
        <v/>
      </c>
      <c r="I1704" s="3" t="n"/>
      <c r="J1704" s="3" t="n"/>
      <c r="K1704" s="3" t="n"/>
    </row>
    <row r="1705">
      <c r="A1705" s="3" t="n"/>
      <c r="B1705" s="3" t="n"/>
      <c r="C1705" s="3" t="n"/>
      <c r="D1705" s="3" t="n"/>
      <c r="E1705" s="4">
        <f>IF(A1705="","",COUNTIFS($A$4:A1705,A1705,$I$4:I1705,"&lt;&gt;Штраф -2",$I$4:I1705,"&lt;&gt;ушел на базу"))</f>
        <v/>
      </c>
      <c r="F1705" s="4">
        <f>IF(E1705="","",IF(E1705&lt;=3,6,IF(E1705&lt;=6,5,IF(E1705&lt;=9,4,IF(E1705&lt;=12,3,IF(E1705&lt;=15,2,0))))))</f>
        <v/>
      </c>
      <c r="G1705" s="3" t="n"/>
      <c r="H1705" s="4">
        <f>IF(I1705="Штраф -2",-2,IF(OR(F1705="",G1705=""),"",F1705*G1705+IF(J1705="",0,J1705)))</f>
        <v/>
      </c>
      <c r="I1705" s="3" t="n"/>
      <c r="J1705" s="3" t="n"/>
      <c r="K1705" s="3" t="n"/>
    </row>
    <row r="1706">
      <c r="A1706" s="3" t="n"/>
      <c r="B1706" s="3" t="n"/>
      <c r="C1706" s="3" t="n"/>
      <c r="D1706" s="3" t="n"/>
      <c r="E1706" s="4">
        <f>IF(A1706="","",COUNTIFS($A$4:A1706,A1706,$I$4:I1706,"&lt;&gt;Штраф -2",$I$4:I1706,"&lt;&gt;ушел на базу"))</f>
        <v/>
      </c>
      <c r="F1706" s="4">
        <f>IF(E1706="","",IF(E1706&lt;=3,6,IF(E1706&lt;=6,5,IF(E1706&lt;=9,4,IF(E1706&lt;=12,3,IF(E1706&lt;=15,2,0))))))</f>
        <v/>
      </c>
      <c r="G1706" s="3" t="n"/>
      <c r="H1706" s="4">
        <f>IF(I1706="Штраф -2",-2,IF(OR(F1706="",G1706=""),"",F1706*G1706+IF(J1706="",0,J1706)))</f>
        <v/>
      </c>
      <c r="I1706" s="3" t="n"/>
      <c r="J1706" s="3" t="n"/>
      <c r="K1706" s="3" t="n"/>
    </row>
    <row r="1707">
      <c r="A1707" s="3" t="n"/>
      <c r="B1707" s="3" t="n"/>
      <c r="C1707" s="3" t="n"/>
      <c r="D1707" s="3" t="n"/>
      <c r="E1707" s="4">
        <f>IF(A1707="","",COUNTIFS($A$4:A1707,A1707,$I$4:I1707,"&lt;&gt;Штраф -2",$I$4:I1707,"&lt;&gt;ушел на базу"))</f>
        <v/>
      </c>
      <c r="F1707" s="4">
        <f>IF(E1707="","",IF(E1707&lt;=3,6,IF(E1707&lt;=6,5,IF(E1707&lt;=9,4,IF(E1707&lt;=12,3,IF(E1707&lt;=15,2,0))))))</f>
        <v/>
      </c>
      <c r="G1707" s="3" t="n"/>
      <c r="H1707" s="4">
        <f>IF(I1707="Штраф -2",-2,IF(OR(F1707="",G1707=""),"",F1707*G1707+IF(J1707="",0,J1707)))</f>
        <v/>
      </c>
      <c r="I1707" s="3" t="n"/>
      <c r="J1707" s="3" t="n"/>
      <c r="K1707" s="3" t="n"/>
    </row>
    <row r="1708">
      <c r="A1708" s="3" t="n"/>
      <c r="B1708" s="3" t="n"/>
      <c r="C1708" s="3" t="n"/>
      <c r="D1708" s="3" t="n"/>
      <c r="E1708" s="4">
        <f>IF(A1708="","",COUNTIFS($A$4:A1708,A1708,$I$4:I1708,"&lt;&gt;Штраф -2",$I$4:I1708,"&lt;&gt;ушел на базу"))</f>
        <v/>
      </c>
      <c r="F1708" s="4">
        <f>IF(E1708="","",IF(E1708&lt;=3,6,IF(E1708&lt;=6,5,IF(E1708&lt;=9,4,IF(E1708&lt;=12,3,IF(E1708&lt;=15,2,0))))))</f>
        <v/>
      </c>
      <c r="G1708" s="3" t="n"/>
      <c r="H1708" s="4">
        <f>IF(I1708="Штраф -2",-2,IF(OR(F1708="",G1708=""),"",F1708*G1708+IF(J1708="",0,J1708)))</f>
        <v/>
      </c>
      <c r="I1708" s="3" t="n"/>
      <c r="J1708" s="3" t="n"/>
      <c r="K1708" s="3" t="n"/>
    </row>
    <row r="1709">
      <c r="A1709" s="3" t="n"/>
      <c r="B1709" s="3" t="n"/>
      <c r="C1709" s="3" t="n"/>
      <c r="D1709" s="3" t="n"/>
      <c r="E1709" s="4">
        <f>IF(A1709="","",COUNTIFS($A$4:A1709,A1709,$I$4:I1709,"&lt;&gt;Штраф -2",$I$4:I1709,"&lt;&gt;ушел на базу"))</f>
        <v/>
      </c>
      <c r="F1709" s="4">
        <f>IF(E1709="","",IF(E1709&lt;=3,6,IF(E1709&lt;=6,5,IF(E1709&lt;=9,4,IF(E1709&lt;=12,3,IF(E1709&lt;=15,2,0))))))</f>
        <v/>
      </c>
      <c r="G1709" s="3" t="n"/>
      <c r="H1709" s="4">
        <f>IF(I1709="Штраф -2",-2,IF(OR(F1709="",G1709=""),"",F1709*G1709+IF(J1709="",0,J1709)))</f>
        <v/>
      </c>
      <c r="I1709" s="3" t="n"/>
      <c r="J1709" s="3" t="n"/>
      <c r="K1709" s="3" t="n"/>
    </row>
    <row r="1710">
      <c r="A1710" s="3" t="n"/>
      <c r="B1710" s="3" t="n"/>
      <c r="C1710" s="3" t="n"/>
      <c r="D1710" s="3" t="n"/>
      <c r="E1710" s="4">
        <f>IF(A1710="","",COUNTIFS($A$4:A1710,A1710,$I$4:I1710,"&lt;&gt;Штраф -2",$I$4:I1710,"&lt;&gt;ушел на базу"))</f>
        <v/>
      </c>
      <c r="F1710" s="4">
        <f>IF(E1710="","",IF(E1710&lt;=3,6,IF(E1710&lt;=6,5,IF(E1710&lt;=9,4,IF(E1710&lt;=12,3,IF(E1710&lt;=15,2,0))))))</f>
        <v/>
      </c>
      <c r="G1710" s="3" t="n"/>
      <c r="H1710" s="4">
        <f>IF(I1710="Штраф -2",-2,IF(OR(F1710="",G1710=""),"",F1710*G1710+IF(J1710="",0,J1710)))</f>
        <v/>
      </c>
      <c r="I1710" s="3" t="n"/>
      <c r="J1710" s="3" t="n"/>
      <c r="K1710" s="3" t="n"/>
    </row>
    <row r="1711">
      <c r="A1711" s="3" t="n"/>
      <c r="B1711" s="3" t="n"/>
      <c r="C1711" s="3" t="n"/>
      <c r="D1711" s="3" t="n"/>
      <c r="E1711" s="4">
        <f>IF(A1711="","",COUNTIFS($A$4:A1711,A1711,$I$4:I1711,"&lt;&gt;Штраф -2",$I$4:I1711,"&lt;&gt;ушел на базу"))</f>
        <v/>
      </c>
      <c r="F1711" s="4">
        <f>IF(E1711="","",IF(E1711&lt;=3,6,IF(E1711&lt;=6,5,IF(E1711&lt;=9,4,IF(E1711&lt;=12,3,IF(E1711&lt;=15,2,0))))))</f>
        <v/>
      </c>
      <c r="G1711" s="3" t="n"/>
      <c r="H1711" s="4">
        <f>IF(I1711="Штраф -2",-2,IF(OR(F1711="",G1711=""),"",F1711*G1711+IF(J1711="",0,J1711)))</f>
        <v/>
      </c>
      <c r="I1711" s="3" t="n"/>
      <c r="J1711" s="3" t="n"/>
      <c r="K1711" s="3" t="n"/>
    </row>
    <row r="1712">
      <c r="A1712" s="3" t="n"/>
      <c r="B1712" s="3" t="n"/>
      <c r="C1712" s="3" t="n"/>
      <c r="D1712" s="3" t="n"/>
      <c r="E1712" s="4">
        <f>IF(A1712="","",COUNTIFS($A$4:A1712,A1712,$I$4:I1712,"&lt;&gt;Штраф -2",$I$4:I1712,"&lt;&gt;ушел на базу"))</f>
        <v/>
      </c>
      <c r="F1712" s="4">
        <f>IF(E1712="","",IF(E1712&lt;=3,6,IF(E1712&lt;=6,5,IF(E1712&lt;=9,4,IF(E1712&lt;=12,3,IF(E1712&lt;=15,2,0))))))</f>
        <v/>
      </c>
      <c r="G1712" s="3" t="n"/>
      <c r="H1712" s="4">
        <f>IF(I1712="Штраф -2",-2,IF(OR(F1712="",G1712=""),"",F1712*G1712+IF(J1712="",0,J1712)))</f>
        <v/>
      </c>
      <c r="I1712" s="3" t="n"/>
      <c r="J1712" s="3" t="n"/>
      <c r="K1712" s="3" t="n"/>
    </row>
    <row r="1713">
      <c r="A1713" s="3" t="n"/>
      <c r="B1713" s="3" t="n"/>
      <c r="C1713" s="3" t="n"/>
      <c r="D1713" s="3" t="n"/>
      <c r="E1713" s="4">
        <f>IF(A1713="","",COUNTIFS($A$4:A1713,A1713,$I$4:I1713,"&lt;&gt;Штраф -2",$I$4:I1713,"&lt;&gt;ушел на базу"))</f>
        <v/>
      </c>
      <c r="F1713" s="4">
        <f>IF(E1713="","",IF(E1713&lt;=3,6,IF(E1713&lt;=6,5,IF(E1713&lt;=9,4,IF(E1713&lt;=12,3,IF(E1713&lt;=15,2,0))))))</f>
        <v/>
      </c>
      <c r="G1713" s="3" t="n"/>
      <c r="H1713" s="4">
        <f>IF(I1713="Штраф -2",-2,IF(OR(F1713="",G1713=""),"",F1713*G1713+IF(J1713="",0,J1713)))</f>
        <v/>
      </c>
      <c r="I1713" s="3" t="n"/>
      <c r="J1713" s="3" t="n"/>
      <c r="K1713" s="3" t="n"/>
    </row>
    <row r="1714">
      <c r="A1714" s="3" t="n"/>
      <c r="B1714" s="3" t="n"/>
      <c r="C1714" s="3" t="n"/>
      <c r="D1714" s="3" t="n"/>
      <c r="E1714" s="4">
        <f>IF(A1714="","",COUNTIFS($A$4:A1714,A1714,$I$4:I1714,"&lt;&gt;Штраф -2",$I$4:I1714,"&lt;&gt;ушел на базу"))</f>
        <v/>
      </c>
      <c r="F1714" s="4">
        <f>IF(E1714="","",IF(E1714&lt;=3,6,IF(E1714&lt;=6,5,IF(E1714&lt;=9,4,IF(E1714&lt;=12,3,IF(E1714&lt;=15,2,0))))))</f>
        <v/>
      </c>
      <c r="G1714" s="3" t="n"/>
      <c r="H1714" s="4">
        <f>IF(I1714="Штраф -2",-2,IF(OR(F1714="",G1714=""),"",F1714*G1714+IF(J1714="",0,J1714)))</f>
        <v/>
      </c>
      <c r="I1714" s="3" t="n"/>
      <c r="J1714" s="3" t="n"/>
      <c r="K1714" s="3" t="n"/>
    </row>
    <row r="1715">
      <c r="A1715" s="3" t="n"/>
      <c r="B1715" s="3" t="n"/>
      <c r="C1715" s="3" t="n"/>
      <c r="D1715" s="3" t="n"/>
      <c r="E1715" s="4">
        <f>IF(A1715="","",COUNTIFS($A$4:A1715,A1715,$I$4:I1715,"&lt;&gt;Штраф -2",$I$4:I1715,"&lt;&gt;ушел на базу"))</f>
        <v/>
      </c>
      <c r="F1715" s="4">
        <f>IF(E1715="","",IF(E1715&lt;=3,6,IF(E1715&lt;=6,5,IF(E1715&lt;=9,4,IF(E1715&lt;=12,3,IF(E1715&lt;=15,2,0))))))</f>
        <v/>
      </c>
      <c r="G1715" s="3" t="n"/>
      <c r="H1715" s="4">
        <f>IF(I1715="Штраф -2",-2,IF(OR(F1715="",G1715=""),"",F1715*G1715+IF(J1715="",0,J1715)))</f>
        <v/>
      </c>
      <c r="I1715" s="3" t="n"/>
      <c r="J1715" s="3" t="n"/>
      <c r="K1715" s="3" t="n"/>
    </row>
    <row r="1716">
      <c r="A1716" s="3" t="n"/>
      <c r="B1716" s="3" t="n"/>
      <c r="C1716" s="3" t="n"/>
      <c r="D1716" s="3" t="n"/>
      <c r="E1716" s="4">
        <f>IF(A1716="","",COUNTIFS($A$4:A1716,A1716,$I$4:I1716,"&lt;&gt;Штраф -2",$I$4:I1716,"&lt;&gt;ушел на базу"))</f>
        <v/>
      </c>
      <c r="F1716" s="4">
        <f>IF(E1716="","",IF(E1716&lt;=3,6,IF(E1716&lt;=6,5,IF(E1716&lt;=9,4,IF(E1716&lt;=12,3,IF(E1716&lt;=15,2,0))))))</f>
        <v/>
      </c>
      <c r="G1716" s="3" t="n"/>
      <c r="H1716" s="4">
        <f>IF(I1716="Штраф -2",-2,IF(OR(F1716="",G1716=""),"",F1716*G1716+IF(J1716="",0,J1716)))</f>
        <v/>
      </c>
      <c r="I1716" s="3" t="n"/>
      <c r="J1716" s="3" t="n"/>
      <c r="K1716" s="3" t="n"/>
    </row>
    <row r="1717">
      <c r="A1717" s="3" t="n"/>
      <c r="B1717" s="3" t="n"/>
      <c r="C1717" s="3" t="n"/>
      <c r="D1717" s="3" t="n"/>
      <c r="E1717" s="4">
        <f>IF(A1717="","",COUNTIFS($A$4:A1717,A1717,$I$4:I1717,"&lt;&gt;Штраф -2",$I$4:I1717,"&lt;&gt;ушел на базу"))</f>
        <v/>
      </c>
      <c r="F1717" s="4">
        <f>IF(E1717="","",IF(E1717&lt;=3,6,IF(E1717&lt;=6,5,IF(E1717&lt;=9,4,IF(E1717&lt;=12,3,IF(E1717&lt;=15,2,0))))))</f>
        <v/>
      </c>
      <c r="G1717" s="3" t="n"/>
      <c r="H1717" s="4">
        <f>IF(I1717="Штраф -2",-2,IF(OR(F1717="",G1717=""),"",F1717*G1717+IF(J1717="",0,J1717)))</f>
        <v/>
      </c>
      <c r="I1717" s="3" t="n"/>
      <c r="J1717" s="3" t="n"/>
      <c r="K1717" s="3" t="n"/>
    </row>
    <row r="1718">
      <c r="A1718" s="3" t="n"/>
      <c r="B1718" s="3" t="n"/>
      <c r="C1718" s="3" t="n"/>
      <c r="D1718" s="3" t="n"/>
      <c r="E1718" s="4">
        <f>IF(A1718="","",COUNTIFS($A$4:A1718,A1718,$I$4:I1718,"&lt;&gt;Штраф -2",$I$4:I1718,"&lt;&gt;ушел на базу"))</f>
        <v/>
      </c>
      <c r="F1718" s="4">
        <f>IF(E1718="","",IF(E1718&lt;=3,6,IF(E1718&lt;=6,5,IF(E1718&lt;=9,4,IF(E1718&lt;=12,3,IF(E1718&lt;=15,2,0))))))</f>
        <v/>
      </c>
      <c r="G1718" s="3" t="n"/>
      <c r="H1718" s="4">
        <f>IF(I1718="Штраф -2",-2,IF(OR(F1718="",G1718=""),"",F1718*G1718+IF(J1718="",0,J1718)))</f>
        <v/>
      </c>
      <c r="I1718" s="3" t="n"/>
      <c r="J1718" s="3" t="n"/>
      <c r="K1718" s="3" t="n"/>
    </row>
    <row r="1719">
      <c r="A1719" s="3" t="n"/>
      <c r="B1719" s="3" t="n"/>
      <c r="C1719" s="3" t="n"/>
      <c r="D1719" s="3" t="n"/>
      <c r="E1719" s="4">
        <f>IF(A1719="","",COUNTIFS($A$4:A1719,A1719,$I$4:I1719,"&lt;&gt;Штраф -2",$I$4:I1719,"&lt;&gt;ушел на базу"))</f>
        <v/>
      </c>
      <c r="F1719" s="4">
        <f>IF(E1719="","",IF(E1719&lt;=3,6,IF(E1719&lt;=6,5,IF(E1719&lt;=9,4,IF(E1719&lt;=12,3,IF(E1719&lt;=15,2,0))))))</f>
        <v/>
      </c>
      <c r="G1719" s="3" t="n"/>
      <c r="H1719" s="4">
        <f>IF(I1719="Штраф -2",-2,IF(OR(F1719="",G1719=""),"",F1719*G1719+IF(J1719="",0,J1719)))</f>
        <v/>
      </c>
      <c r="I1719" s="3" t="n"/>
      <c r="J1719" s="3" t="n"/>
      <c r="K1719" s="3" t="n"/>
    </row>
    <row r="1720">
      <c r="A1720" s="3" t="n"/>
      <c r="B1720" s="3" t="n"/>
      <c r="C1720" s="3" t="n"/>
      <c r="D1720" s="3" t="n"/>
      <c r="E1720" s="4">
        <f>IF(A1720="","",COUNTIFS($A$4:A1720,A1720,$I$4:I1720,"&lt;&gt;Штраф -2",$I$4:I1720,"&lt;&gt;ушел на базу"))</f>
        <v/>
      </c>
      <c r="F1720" s="4">
        <f>IF(E1720="","",IF(E1720&lt;=3,6,IF(E1720&lt;=6,5,IF(E1720&lt;=9,4,IF(E1720&lt;=12,3,IF(E1720&lt;=15,2,0))))))</f>
        <v/>
      </c>
      <c r="G1720" s="3" t="n"/>
      <c r="H1720" s="4">
        <f>IF(I1720="Штраф -2",-2,IF(OR(F1720="",G1720=""),"",F1720*G1720+IF(J1720="",0,J1720)))</f>
        <v/>
      </c>
      <c r="I1720" s="3" t="n"/>
      <c r="J1720" s="3" t="n"/>
      <c r="K1720" s="3" t="n"/>
    </row>
    <row r="1721">
      <c r="A1721" s="3" t="n"/>
      <c r="B1721" s="3" t="n"/>
      <c r="C1721" s="3" t="n"/>
      <c r="D1721" s="3" t="n"/>
      <c r="E1721" s="4">
        <f>IF(A1721="","",COUNTIFS($A$4:A1721,A1721,$I$4:I1721,"&lt;&gt;Штраф -2",$I$4:I1721,"&lt;&gt;ушел на базу"))</f>
        <v/>
      </c>
      <c r="F1721" s="4">
        <f>IF(E1721="","",IF(E1721&lt;=3,6,IF(E1721&lt;=6,5,IF(E1721&lt;=9,4,IF(E1721&lt;=12,3,IF(E1721&lt;=15,2,0))))))</f>
        <v/>
      </c>
      <c r="G1721" s="3" t="n"/>
      <c r="H1721" s="4">
        <f>IF(I1721="Штраф -2",-2,IF(OR(F1721="",G1721=""),"",F1721*G1721+IF(J1721="",0,J1721)))</f>
        <v/>
      </c>
      <c r="I1721" s="3" t="n"/>
      <c r="J1721" s="3" t="n"/>
      <c r="K1721" s="3" t="n"/>
    </row>
    <row r="1722">
      <c r="A1722" s="3" t="n"/>
      <c r="B1722" s="3" t="n"/>
      <c r="C1722" s="3" t="n"/>
      <c r="D1722" s="3" t="n"/>
      <c r="E1722" s="4">
        <f>IF(A1722="","",COUNTIFS($A$4:A1722,A1722,$I$4:I1722,"&lt;&gt;Штраф -2",$I$4:I1722,"&lt;&gt;ушел на базу"))</f>
        <v/>
      </c>
      <c r="F1722" s="4">
        <f>IF(E1722="","",IF(E1722&lt;=3,6,IF(E1722&lt;=6,5,IF(E1722&lt;=9,4,IF(E1722&lt;=12,3,IF(E1722&lt;=15,2,0))))))</f>
        <v/>
      </c>
      <c r="G1722" s="3" t="n"/>
      <c r="H1722" s="4">
        <f>IF(I1722="Штраф -2",-2,IF(OR(F1722="",G1722=""),"",F1722*G1722+IF(J1722="",0,J1722)))</f>
        <v/>
      </c>
      <c r="I1722" s="3" t="n"/>
      <c r="J1722" s="3" t="n"/>
      <c r="K1722" s="3" t="n"/>
    </row>
    <row r="1723">
      <c r="A1723" s="3" t="n"/>
      <c r="B1723" s="3" t="n"/>
      <c r="C1723" s="3" t="n"/>
      <c r="D1723" s="3" t="n"/>
      <c r="E1723" s="4">
        <f>IF(A1723="","",COUNTIFS($A$4:A1723,A1723,$I$4:I1723,"&lt;&gt;Штраф -2",$I$4:I1723,"&lt;&gt;ушел на базу"))</f>
        <v/>
      </c>
      <c r="F1723" s="4">
        <f>IF(E1723="","",IF(E1723&lt;=3,6,IF(E1723&lt;=6,5,IF(E1723&lt;=9,4,IF(E1723&lt;=12,3,IF(E1723&lt;=15,2,0))))))</f>
        <v/>
      </c>
      <c r="G1723" s="3" t="n"/>
      <c r="H1723" s="4">
        <f>IF(I1723="Штраф -2",-2,IF(OR(F1723="",G1723=""),"",F1723*G1723+IF(J1723="",0,J1723)))</f>
        <v/>
      </c>
      <c r="I1723" s="3" t="n"/>
      <c r="J1723" s="3" t="n"/>
      <c r="K1723" s="3" t="n"/>
    </row>
    <row r="1724">
      <c r="A1724" s="3" t="n"/>
      <c r="B1724" s="3" t="n"/>
      <c r="C1724" s="3" t="n"/>
      <c r="D1724" s="3" t="n"/>
      <c r="E1724" s="4">
        <f>IF(A1724="","",COUNTIFS($A$4:A1724,A1724,$I$4:I1724,"&lt;&gt;Штраф -2",$I$4:I1724,"&lt;&gt;ушел на базу"))</f>
        <v/>
      </c>
      <c r="F1724" s="4">
        <f>IF(E1724="","",IF(E1724&lt;=3,6,IF(E1724&lt;=6,5,IF(E1724&lt;=9,4,IF(E1724&lt;=12,3,IF(E1724&lt;=15,2,0))))))</f>
        <v/>
      </c>
      <c r="G1724" s="3" t="n"/>
      <c r="H1724" s="4">
        <f>IF(I1724="Штраф -2",-2,IF(OR(F1724="",G1724=""),"",F1724*G1724+IF(J1724="",0,J1724)))</f>
        <v/>
      </c>
      <c r="I1724" s="3" t="n"/>
      <c r="J1724" s="3" t="n"/>
      <c r="K1724" s="3" t="n"/>
    </row>
    <row r="1725">
      <c r="A1725" s="3" t="n"/>
      <c r="B1725" s="3" t="n"/>
      <c r="C1725" s="3" t="n"/>
      <c r="D1725" s="3" t="n"/>
      <c r="E1725" s="4">
        <f>IF(A1725="","",COUNTIFS($A$4:A1725,A1725,$I$4:I1725,"&lt;&gt;Штраф -2",$I$4:I1725,"&lt;&gt;ушел на базу"))</f>
        <v/>
      </c>
      <c r="F1725" s="4">
        <f>IF(E1725="","",IF(E1725&lt;=3,6,IF(E1725&lt;=6,5,IF(E1725&lt;=9,4,IF(E1725&lt;=12,3,IF(E1725&lt;=15,2,0))))))</f>
        <v/>
      </c>
      <c r="G1725" s="3" t="n"/>
      <c r="H1725" s="4">
        <f>IF(I1725="Штраф -2",-2,IF(OR(F1725="",G1725=""),"",F1725*G1725+IF(J1725="",0,J1725)))</f>
        <v/>
      </c>
      <c r="I1725" s="3" t="n"/>
      <c r="J1725" s="3" t="n"/>
      <c r="K1725" s="3" t="n"/>
    </row>
    <row r="1726">
      <c r="A1726" s="3" t="n"/>
      <c r="B1726" s="3" t="n"/>
      <c r="C1726" s="3" t="n"/>
      <c r="D1726" s="3" t="n"/>
      <c r="E1726" s="4">
        <f>IF(A1726="","",COUNTIFS($A$4:A1726,A1726,$I$4:I1726,"&lt;&gt;Штраф -2",$I$4:I1726,"&lt;&gt;ушел на базу"))</f>
        <v/>
      </c>
      <c r="F1726" s="4">
        <f>IF(E1726="","",IF(E1726&lt;=3,6,IF(E1726&lt;=6,5,IF(E1726&lt;=9,4,IF(E1726&lt;=12,3,IF(E1726&lt;=15,2,0))))))</f>
        <v/>
      </c>
      <c r="G1726" s="3" t="n"/>
      <c r="H1726" s="4">
        <f>IF(I1726="Штраф -2",-2,IF(OR(F1726="",G1726=""),"",F1726*G1726+IF(J1726="",0,J1726)))</f>
        <v/>
      </c>
      <c r="I1726" s="3" t="n"/>
      <c r="J1726" s="3" t="n"/>
      <c r="K1726" s="3" t="n"/>
    </row>
    <row r="1727">
      <c r="A1727" s="3" t="n"/>
      <c r="B1727" s="3" t="n"/>
      <c r="C1727" s="3" t="n"/>
      <c r="D1727" s="3" t="n"/>
      <c r="E1727" s="4">
        <f>IF(A1727="","",COUNTIFS($A$4:A1727,A1727,$I$4:I1727,"&lt;&gt;Штраф -2",$I$4:I1727,"&lt;&gt;ушел на базу"))</f>
        <v/>
      </c>
      <c r="F1727" s="4">
        <f>IF(E1727="","",IF(E1727&lt;=3,6,IF(E1727&lt;=6,5,IF(E1727&lt;=9,4,IF(E1727&lt;=12,3,IF(E1727&lt;=15,2,0))))))</f>
        <v/>
      </c>
      <c r="G1727" s="3" t="n"/>
      <c r="H1727" s="4">
        <f>IF(I1727="Штраф -2",-2,IF(OR(F1727="",G1727=""),"",F1727*G1727+IF(J1727="",0,J1727)))</f>
        <v/>
      </c>
      <c r="I1727" s="3" t="n"/>
      <c r="J1727" s="3" t="n"/>
      <c r="K1727" s="3" t="n"/>
    </row>
    <row r="1728">
      <c r="A1728" s="3" t="n"/>
      <c r="B1728" s="3" t="n"/>
      <c r="C1728" s="3" t="n"/>
      <c r="D1728" s="3" t="n"/>
      <c r="E1728" s="4">
        <f>IF(A1728="","",COUNTIFS($A$4:A1728,A1728,$I$4:I1728,"&lt;&gt;Штраф -2",$I$4:I1728,"&lt;&gt;ушел на базу"))</f>
        <v/>
      </c>
      <c r="F1728" s="4">
        <f>IF(E1728="","",IF(E1728&lt;=3,6,IF(E1728&lt;=6,5,IF(E1728&lt;=9,4,IF(E1728&lt;=12,3,IF(E1728&lt;=15,2,0))))))</f>
        <v/>
      </c>
      <c r="G1728" s="3" t="n"/>
      <c r="H1728" s="4">
        <f>IF(I1728="Штраф -2",-2,IF(OR(F1728="",G1728=""),"",F1728*G1728+IF(J1728="",0,J1728)))</f>
        <v/>
      </c>
      <c r="I1728" s="3" t="n"/>
      <c r="J1728" s="3" t="n"/>
      <c r="K1728" s="3" t="n"/>
    </row>
    <row r="1729">
      <c r="A1729" s="3" t="n"/>
      <c r="B1729" s="3" t="n"/>
      <c r="C1729" s="3" t="n"/>
      <c r="D1729" s="3" t="n"/>
      <c r="E1729" s="4">
        <f>IF(A1729="","",COUNTIFS($A$4:A1729,A1729,$I$4:I1729,"&lt;&gt;Штраф -2",$I$4:I1729,"&lt;&gt;ушел на базу"))</f>
        <v/>
      </c>
      <c r="F1729" s="4">
        <f>IF(E1729="","",IF(E1729&lt;=3,6,IF(E1729&lt;=6,5,IF(E1729&lt;=9,4,IF(E1729&lt;=12,3,IF(E1729&lt;=15,2,0))))))</f>
        <v/>
      </c>
      <c r="G1729" s="3" t="n"/>
      <c r="H1729" s="4">
        <f>IF(I1729="Штраф -2",-2,IF(OR(F1729="",G1729=""),"",F1729*G1729+IF(J1729="",0,J1729)))</f>
        <v/>
      </c>
      <c r="I1729" s="3" t="n"/>
      <c r="J1729" s="3" t="n"/>
      <c r="K1729" s="3" t="n"/>
    </row>
    <row r="1730">
      <c r="A1730" s="3" t="n"/>
      <c r="B1730" s="3" t="n"/>
      <c r="C1730" s="3" t="n"/>
      <c r="D1730" s="3" t="n"/>
      <c r="E1730" s="4">
        <f>IF(A1730="","",COUNTIFS($A$4:A1730,A1730,$I$4:I1730,"&lt;&gt;Штраф -2",$I$4:I1730,"&lt;&gt;ушел на базу"))</f>
        <v/>
      </c>
      <c r="F1730" s="4">
        <f>IF(E1730="","",IF(E1730&lt;=3,6,IF(E1730&lt;=6,5,IF(E1730&lt;=9,4,IF(E1730&lt;=12,3,IF(E1730&lt;=15,2,0))))))</f>
        <v/>
      </c>
      <c r="G1730" s="3" t="n"/>
      <c r="H1730" s="4">
        <f>IF(I1730="Штраф -2",-2,IF(OR(F1730="",G1730=""),"",F1730*G1730+IF(J1730="",0,J1730)))</f>
        <v/>
      </c>
      <c r="I1730" s="3" t="n"/>
      <c r="J1730" s="3" t="n"/>
      <c r="K1730" s="3" t="n"/>
    </row>
    <row r="1731">
      <c r="A1731" s="3" t="n"/>
      <c r="B1731" s="3" t="n"/>
      <c r="C1731" s="3" t="n"/>
      <c r="D1731" s="3" t="n"/>
      <c r="E1731" s="4">
        <f>IF(A1731="","",COUNTIFS($A$4:A1731,A1731,$I$4:I1731,"&lt;&gt;Штраф -2",$I$4:I1731,"&lt;&gt;ушел на базу"))</f>
        <v/>
      </c>
      <c r="F1731" s="4">
        <f>IF(E1731="","",IF(E1731&lt;=3,6,IF(E1731&lt;=6,5,IF(E1731&lt;=9,4,IF(E1731&lt;=12,3,IF(E1731&lt;=15,2,0))))))</f>
        <v/>
      </c>
      <c r="G1731" s="3" t="n"/>
      <c r="H1731" s="4">
        <f>IF(I1731="Штраф -2",-2,IF(OR(F1731="",G1731=""),"",F1731*G1731+IF(J1731="",0,J1731)))</f>
        <v/>
      </c>
      <c r="I1731" s="3" t="n"/>
      <c r="J1731" s="3" t="n"/>
      <c r="K1731" s="3" t="n"/>
    </row>
    <row r="1732">
      <c r="A1732" s="3" t="n"/>
      <c r="B1732" s="3" t="n"/>
      <c r="C1732" s="3" t="n"/>
      <c r="D1732" s="3" t="n"/>
      <c r="E1732" s="4">
        <f>IF(A1732="","",COUNTIFS($A$4:A1732,A1732,$I$4:I1732,"&lt;&gt;Штраф -2",$I$4:I1732,"&lt;&gt;ушел на базу"))</f>
        <v/>
      </c>
      <c r="F1732" s="4">
        <f>IF(E1732="","",IF(E1732&lt;=3,6,IF(E1732&lt;=6,5,IF(E1732&lt;=9,4,IF(E1732&lt;=12,3,IF(E1732&lt;=15,2,0))))))</f>
        <v/>
      </c>
      <c r="G1732" s="3" t="n"/>
      <c r="H1732" s="4">
        <f>IF(I1732="Штраф -2",-2,IF(OR(F1732="",G1732=""),"",F1732*G1732+IF(J1732="",0,J1732)))</f>
        <v/>
      </c>
      <c r="I1732" s="3" t="n"/>
      <c r="J1732" s="3" t="n"/>
      <c r="K1732" s="3" t="n"/>
    </row>
    <row r="1733">
      <c r="A1733" s="3" t="n"/>
      <c r="B1733" s="3" t="n"/>
      <c r="C1733" s="3" t="n"/>
      <c r="D1733" s="3" t="n"/>
      <c r="E1733" s="4">
        <f>IF(A1733="","",COUNTIFS($A$4:A1733,A1733,$I$4:I1733,"&lt;&gt;Штраф -2",$I$4:I1733,"&lt;&gt;ушел на базу"))</f>
        <v/>
      </c>
      <c r="F1733" s="4">
        <f>IF(E1733="","",IF(E1733&lt;=3,6,IF(E1733&lt;=6,5,IF(E1733&lt;=9,4,IF(E1733&lt;=12,3,IF(E1733&lt;=15,2,0))))))</f>
        <v/>
      </c>
      <c r="G1733" s="3" t="n"/>
      <c r="H1733" s="4">
        <f>IF(I1733="Штраф -2",-2,IF(OR(F1733="",G1733=""),"",F1733*G1733+IF(J1733="",0,J1733)))</f>
        <v/>
      </c>
      <c r="I1733" s="3" t="n"/>
      <c r="J1733" s="3" t="n"/>
      <c r="K1733" s="3" t="n"/>
    </row>
    <row r="1734">
      <c r="A1734" s="3" t="n"/>
      <c r="B1734" s="3" t="n"/>
      <c r="C1734" s="3" t="n"/>
      <c r="D1734" s="3" t="n"/>
      <c r="E1734" s="4">
        <f>IF(A1734="","",COUNTIFS($A$4:A1734,A1734,$I$4:I1734,"&lt;&gt;Штраф -2",$I$4:I1734,"&lt;&gt;ушел на базу"))</f>
        <v/>
      </c>
      <c r="F1734" s="4">
        <f>IF(E1734="","",IF(E1734&lt;=3,6,IF(E1734&lt;=6,5,IF(E1734&lt;=9,4,IF(E1734&lt;=12,3,IF(E1734&lt;=15,2,0))))))</f>
        <v/>
      </c>
      <c r="G1734" s="3" t="n"/>
      <c r="H1734" s="4">
        <f>IF(I1734="Штраф -2",-2,IF(OR(F1734="",G1734=""),"",F1734*G1734+IF(J1734="",0,J1734)))</f>
        <v/>
      </c>
      <c r="I1734" s="3" t="n"/>
      <c r="J1734" s="3" t="n"/>
      <c r="K1734" s="3" t="n"/>
    </row>
    <row r="1735">
      <c r="A1735" s="3" t="n"/>
      <c r="B1735" s="3" t="n"/>
      <c r="C1735" s="3" t="n"/>
      <c r="D1735" s="3" t="n"/>
      <c r="E1735" s="4">
        <f>IF(A1735="","",COUNTIFS($A$4:A1735,A1735,$I$4:I1735,"&lt;&gt;Штраф -2",$I$4:I1735,"&lt;&gt;ушел на базу"))</f>
        <v/>
      </c>
      <c r="F1735" s="4">
        <f>IF(E1735="","",IF(E1735&lt;=3,6,IF(E1735&lt;=6,5,IF(E1735&lt;=9,4,IF(E1735&lt;=12,3,IF(E1735&lt;=15,2,0))))))</f>
        <v/>
      </c>
      <c r="G1735" s="3" t="n"/>
      <c r="H1735" s="4">
        <f>IF(I1735="Штраф -2",-2,IF(OR(F1735="",G1735=""),"",F1735*G1735+IF(J1735="",0,J1735)))</f>
        <v/>
      </c>
      <c r="I1735" s="3" t="n"/>
      <c r="J1735" s="3" t="n"/>
      <c r="K1735" s="3" t="n"/>
    </row>
    <row r="1736">
      <c r="A1736" s="3" t="n"/>
      <c r="B1736" s="3" t="n"/>
      <c r="C1736" s="3" t="n"/>
      <c r="D1736" s="3" t="n"/>
      <c r="E1736" s="4">
        <f>IF(A1736="","",COUNTIFS($A$4:A1736,A1736,$I$4:I1736,"&lt;&gt;Штраф -2",$I$4:I1736,"&lt;&gt;ушел на базу"))</f>
        <v/>
      </c>
      <c r="F1736" s="4">
        <f>IF(E1736="","",IF(E1736&lt;=3,6,IF(E1736&lt;=6,5,IF(E1736&lt;=9,4,IF(E1736&lt;=12,3,IF(E1736&lt;=15,2,0))))))</f>
        <v/>
      </c>
      <c r="G1736" s="3" t="n"/>
      <c r="H1736" s="4">
        <f>IF(I1736="Штраф -2",-2,IF(OR(F1736="",G1736=""),"",F1736*G1736+IF(J1736="",0,J1736)))</f>
        <v/>
      </c>
      <c r="I1736" s="3" t="n"/>
      <c r="J1736" s="3" t="n"/>
      <c r="K1736" s="3" t="n"/>
    </row>
    <row r="1737">
      <c r="A1737" s="3" t="n"/>
      <c r="B1737" s="3" t="n"/>
      <c r="C1737" s="3" t="n"/>
      <c r="D1737" s="3" t="n"/>
      <c r="E1737" s="4">
        <f>IF(A1737="","",COUNTIFS($A$4:A1737,A1737,$I$4:I1737,"&lt;&gt;Штраф -2",$I$4:I1737,"&lt;&gt;ушел на базу"))</f>
        <v/>
      </c>
      <c r="F1737" s="4">
        <f>IF(E1737="","",IF(E1737&lt;=3,6,IF(E1737&lt;=6,5,IF(E1737&lt;=9,4,IF(E1737&lt;=12,3,IF(E1737&lt;=15,2,0))))))</f>
        <v/>
      </c>
      <c r="G1737" s="3" t="n"/>
      <c r="H1737" s="4">
        <f>IF(I1737="Штраф -2",-2,IF(OR(F1737="",G1737=""),"",F1737*G1737+IF(J1737="",0,J1737)))</f>
        <v/>
      </c>
      <c r="I1737" s="3" t="n"/>
      <c r="J1737" s="3" t="n"/>
      <c r="K1737" s="3" t="n"/>
    </row>
    <row r="1738">
      <c r="A1738" s="3" t="n"/>
      <c r="B1738" s="3" t="n"/>
      <c r="C1738" s="3" t="n"/>
      <c r="D1738" s="3" t="n"/>
      <c r="E1738" s="4">
        <f>IF(A1738="","",COUNTIFS($A$4:A1738,A1738,$I$4:I1738,"&lt;&gt;Штраф -2",$I$4:I1738,"&lt;&gt;ушел на базу"))</f>
        <v/>
      </c>
      <c r="F1738" s="4">
        <f>IF(E1738="","",IF(E1738&lt;=3,6,IF(E1738&lt;=6,5,IF(E1738&lt;=9,4,IF(E1738&lt;=12,3,IF(E1738&lt;=15,2,0))))))</f>
        <v/>
      </c>
      <c r="G1738" s="3" t="n"/>
      <c r="H1738" s="4">
        <f>IF(I1738="Штраф -2",-2,IF(OR(F1738="",G1738=""),"",F1738*G1738+IF(J1738="",0,J1738)))</f>
        <v/>
      </c>
      <c r="I1738" s="3" t="n"/>
      <c r="J1738" s="3" t="n"/>
      <c r="K1738" s="3" t="n"/>
    </row>
    <row r="1739">
      <c r="A1739" s="3" t="n"/>
      <c r="B1739" s="3" t="n"/>
      <c r="C1739" s="3" t="n"/>
      <c r="D1739" s="3" t="n"/>
      <c r="E1739" s="4">
        <f>IF(A1739="","",COUNTIFS($A$4:A1739,A1739,$I$4:I1739,"&lt;&gt;Штраф -2",$I$4:I1739,"&lt;&gt;ушел на базу"))</f>
        <v/>
      </c>
      <c r="F1739" s="4">
        <f>IF(E1739="","",IF(E1739&lt;=3,6,IF(E1739&lt;=6,5,IF(E1739&lt;=9,4,IF(E1739&lt;=12,3,IF(E1739&lt;=15,2,0))))))</f>
        <v/>
      </c>
      <c r="G1739" s="3" t="n"/>
      <c r="H1739" s="4">
        <f>IF(I1739="Штраф -2",-2,IF(OR(F1739="",G1739=""),"",F1739*G1739+IF(J1739="",0,J1739)))</f>
        <v/>
      </c>
      <c r="I1739" s="3" t="n"/>
      <c r="J1739" s="3" t="n"/>
      <c r="K1739" s="3" t="n"/>
    </row>
    <row r="1740">
      <c r="A1740" s="3" t="n"/>
      <c r="B1740" s="3" t="n"/>
      <c r="C1740" s="3" t="n"/>
      <c r="D1740" s="3" t="n"/>
      <c r="E1740" s="4">
        <f>IF(A1740="","",COUNTIFS($A$4:A1740,A1740,$I$4:I1740,"&lt;&gt;Штраф -2",$I$4:I1740,"&lt;&gt;ушел на базу"))</f>
        <v/>
      </c>
      <c r="F1740" s="4">
        <f>IF(E1740="","",IF(E1740&lt;=3,6,IF(E1740&lt;=6,5,IF(E1740&lt;=9,4,IF(E1740&lt;=12,3,IF(E1740&lt;=15,2,0))))))</f>
        <v/>
      </c>
      <c r="G1740" s="3" t="n"/>
      <c r="H1740" s="4">
        <f>IF(I1740="Штраф -2",-2,IF(OR(F1740="",G1740=""),"",F1740*G1740+IF(J1740="",0,J1740)))</f>
        <v/>
      </c>
      <c r="I1740" s="3" t="n"/>
      <c r="J1740" s="3" t="n"/>
      <c r="K1740" s="3" t="n"/>
    </row>
    <row r="1741">
      <c r="A1741" s="3" t="n"/>
      <c r="B1741" s="3" t="n"/>
      <c r="C1741" s="3" t="n"/>
      <c r="D1741" s="3" t="n"/>
      <c r="E1741" s="4">
        <f>IF(A1741="","",COUNTIFS($A$4:A1741,A1741,$I$4:I1741,"&lt;&gt;Штраф -2",$I$4:I1741,"&lt;&gt;ушел на базу"))</f>
        <v/>
      </c>
      <c r="F1741" s="4">
        <f>IF(E1741="","",IF(E1741&lt;=3,6,IF(E1741&lt;=6,5,IF(E1741&lt;=9,4,IF(E1741&lt;=12,3,IF(E1741&lt;=15,2,0))))))</f>
        <v/>
      </c>
      <c r="G1741" s="3" t="n"/>
      <c r="H1741" s="4">
        <f>IF(I1741="Штраф -2",-2,IF(OR(F1741="",G1741=""),"",F1741*G1741+IF(J1741="",0,J1741)))</f>
        <v/>
      </c>
      <c r="I1741" s="3" t="n"/>
      <c r="J1741" s="3" t="n"/>
      <c r="K1741" s="3" t="n"/>
    </row>
    <row r="1742">
      <c r="A1742" s="3" t="n"/>
      <c r="B1742" s="3" t="n"/>
      <c r="C1742" s="3" t="n"/>
      <c r="D1742" s="3" t="n"/>
      <c r="E1742" s="4">
        <f>IF(A1742="","",COUNTIFS($A$4:A1742,A1742,$I$4:I1742,"&lt;&gt;Штраф -2",$I$4:I1742,"&lt;&gt;ушел на базу"))</f>
        <v/>
      </c>
      <c r="F1742" s="4">
        <f>IF(E1742="","",IF(E1742&lt;=3,6,IF(E1742&lt;=6,5,IF(E1742&lt;=9,4,IF(E1742&lt;=12,3,IF(E1742&lt;=15,2,0))))))</f>
        <v/>
      </c>
      <c r="G1742" s="3" t="n"/>
      <c r="H1742" s="4">
        <f>IF(I1742="Штраф -2",-2,IF(OR(F1742="",G1742=""),"",F1742*G1742+IF(J1742="",0,J1742)))</f>
        <v/>
      </c>
      <c r="I1742" s="3" t="n"/>
      <c r="J1742" s="3" t="n"/>
      <c r="K1742" s="3" t="n"/>
    </row>
    <row r="1743">
      <c r="A1743" s="3" t="n"/>
      <c r="B1743" s="3" t="n"/>
      <c r="C1743" s="3" t="n"/>
      <c r="D1743" s="3" t="n"/>
      <c r="E1743" s="4">
        <f>IF(A1743="","",COUNTIFS($A$4:A1743,A1743,$I$4:I1743,"&lt;&gt;Штраф -2",$I$4:I1743,"&lt;&gt;ушел на базу"))</f>
        <v/>
      </c>
      <c r="F1743" s="4">
        <f>IF(E1743="","",IF(E1743&lt;=3,6,IF(E1743&lt;=6,5,IF(E1743&lt;=9,4,IF(E1743&lt;=12,3,IF(E1743&lt;=15,2,0))))))</f>
        <v/>
      </c>
      <c r="G1743" s="3" t="n"/>
      <c r="H1743" s="4">
        <f>IF(I1743="Штраф -2",-2,IF(OR(F1743="",G1743=""),"",F1743*G1743+IF(J1743="",0,J1743)))</f>
        <v/>
      </c>
      <c r="I1743" s="3" t="n"/>
      <c r="J1743" s="3" t="n"/>
      <c r="K1743" s="3" t="n"/>
    </row>
    <row r="1744">
      <c r="A1744" s="3" t="n"/>
      <c r="B1744" s="3" t="n"/>
      <c r="C1744" s="3" t="n"/>
      <c r="D1744" s="3" t="n"/>
      <c r="E1744" s="4">
        <f>IF(A1744="","",COUNTIFS($A$4:A1744,A1744,$I$4:I1744,"&lt;&gt;Штраф -2",$I$4:I1744,"&lt;&gt;ушел на базу"))</f>
        <v/>
      </c>
      <c r="F1744" s="4">
        <f>IF(E1744="","",IF(E1744&lt;=3,6,IF(E1744&lt;=6,5,IF(E1744&lt;=9,4,IF(E1744&lt;=12,3,IF(E1744&lt;=15,2,0))))))</f>
        <v/>
      </c>
      <c r="G1744" s="3" t="n"/>
      <c r="H1744" s="4">
        <f>IF(I1744="Штраф -2",-2,IF(OR(F1744="",G1744=""),"",F1744*G1744+IF(J1744="",0,J1744)))</f>
        <v/>
      </c>
      <c r="I1744" s="3" t="n"/>
      <c r="J1744" s="3" t="n"/>
      <c r="K1744" s="3" t="n"/>
    </row>
    <row r="1745">
      <c r="A1745" s="3" t="n"/>
      <c r="B1745" s="3" t="n"/>
      <c r="C1745" s="3" t="n"/>
      <c r="D1745" s="3" t="n"/>
      <c r="E1745" s="4">
        <f>IF(A1745="","",COUNTIFS($A$4:A1745,A1745,$I$4:I1745,"&lt;&gt;Штраф -2",$I$4:I1745,"&lt;&gt;ушел на базу"))</f>
        <v/>
      </c>
      <c r="F1745" s="4">
        <f>IF(E1745="","",IF(E1745&lt;=3,6,IF(E1745&lt;=6,5,IF(E1745&lt;=9,4,IF(E1745&lt;=12,3,IF(E1745&lt;=15,2,0))))))</f>
        <v/>
      </c>
      <c r="G1745" s="3" t="n"/>
      <c r="H1745" s="4">
        <f>IF(I1745="Штраф -2",-2,IF(OR(F1745="",G1745=""),"",F1745*G1745+IF(J1745="",0,J1745)))</f>
        <v/>
      </c>
      <c r="I1745" s="3" t="n"/>
      <c r="J1745" s="3" t="n"/>
      <c r="K1745" s="3" t="n"/>
    </row>
    <row r="1746">
      <c r="A1746" s="3" t="n"/>
      <c r="B1746" s="3" t="n"/>
      <c r="C1746" s="3" t="n"/>
      <c r="D1746" s="3" t="n"/>
      <c r="E1746" s="4">
        <f>IF(A1746="","",COUNTIFS($A$4:A1746,A1746,$I$4:I1746,"&lt;&gt;Штраф -2",$I$4:I1746,"&lt;&gt;ушел на базу"))</f>
        <v/>
      </c>
      <c r="F1746" s="4">
        <f>IF(E1746="","",IF(E1746&lt;=3,6,IF(E1746&lt;=6,5,IF(E1746&lt;=9,4,IF(E1746&lt;=12,3,IF(E1746&lt;=15,2,0))))))</f>
        <v/>
      </c>
      <c r="G1746" s="3" t="n"/>
      <c r="H1746" s="4">
        <f>IF(I1746="Штраф -2",-2,IF(OR(F1746="",G1746=""),"",F1746*G1746+IF(J1746="",0,J1746)))</f>
        <v/>
      </c>
      <c r="I1746" s="3" t="n"/>
      <c r="J1746" s="3" t="n"/>
      <c r="K1746" s="3" t="n"/>
    </row>
    <row r="1747">
      <c r="A1747" s="3" t="n"/>
      <c r="B1747" s="3" t="n"/>
      <c r="C1747" s="3" t="n"/>
      <c r="D1747" s="3" t="n"/>
      <c r="E1747" s="4">
        <f>IF(A1747="","",COUNTIFS($A$4:A1747,A1747,$I$4:I1747,"&lt;&gt;Штраф -2",$I$4:I1747,"&lt;&gt;ушел на базу"))</f>
        <v/>
      </c>
      <c r="F1747" s="4">
        <f>IF(E1747="","",IF(E1747&lt;=3,6,IF(E1747&lt;=6,5,IF(E1747&lt;=9,4,IF(E1747&lt;=12,3,IF(E1747&lt;=15,2,0))))))</f>
        <v/>
      </c>
      <c r="G1747" s="3" t="n"/>
      <c r="H1747" s="4">
        <f>IF(I1747="Штраф -2",-2,IF(OR(F1747="",G1747=""),"",F1747*G1747+IF(J1747="",0,J1747)))</f>
        <v/>
      </c>
      <c r="I1747" s="3" t="n"/>
      <c r="J1747" s="3" t="n"/>
      <c r="K1747" s="3" t="n"/>
    </row>
    <row r="1748">
      <c r="A1748" s="3" t="n"/>
      <c r="B1748" s="3" t="n"/>
      <c r="C1748" s="3" t="n"/>
      <c r="D1748" s="3" t="n"/>
      <c r="E1748" s="4">
        <f>IF(A1748="","",COUNTIFS($A$4:A1748,A1748,$I$4:I1748,"&lt;&gt;Штраф -2",$I$4:I1748,"&lt;&gt;ушел на базу"))</f>
        <v/>
      </c>
      <c r="F1748" s="4">
        <f>IF(E1748="","",IF(E1748&lt;=3,6,IF(E1748&lt;=6,5,IF(E1748&lt;=9,4,IF(E1748&lt;=12,3,IF(E1748&lt;=15,2,0))))))</f>
        <v/>
      </c>
      <c r="G1748" s="3" t="n"/>
      <c r="H1748" s="4">
        <f>IF(I1748="Штраф -2",-2,IF(OR(F1748="",G1748=""),"",F1748*G1748+IF(J1748="",0,J1748)))</f>
        <v/>
      </c>
      <c r="I1748" s="3" t="n"/>
      <c r="J1748" s="3" t="n"/>
      <c r="K1748" s="3" t="n"/>
    </row>
    <row r="1749">
      <c r="A1749" s="3" t="n"/>
      <c r="B1749" s="3" t="n"/>
      <c r="C1749" s="3" t="n"/>
      <c r="D1749" s="3" t="n"/>
      <c r="E1749" s="4">
        <f>IF(A1749="","",COUNTIFS($A$4:A1749,A1749,$I$4:I1749,"&lt;&gt;Штраф -2",$I$4:I1749,"&lt;&gt;ушел на базу"))</f>
        <v/>
      </c>
      <c r="F1749" s="4">
        <f>IF(E1749="","",IF(E1749&lt;=3,6,IF(E1749&lt;=6,5,IF(E1749&lt;=9,4,IF(E1749&lt;=12,3,IF(E1749&lt;=15,2,0))))))</f>
        <v/>
      </c>
      <c r="G1749" s="3" t="n"/>
      <c r="H1749" s="4">
        <f>IF(I1749="Штраф -2",-2,IF(OR(F1749="",G1749=""),"",F1749*G1749+IF(J1749="",0,J1749)))</f>
        <v/>
      </c>
      <c r="I1749" s="3" t="n"/>
      <c r="J1749" s="3" t="n"/>
      <c r="K1749" s="3" t="n"/>
    </row>
    <row r="1750">
      <c r="A1750" s="3" t="n"/>
      <c r="B1750" s="3" t="n"/>
      <c r="C1750" s="3" t="n"/>
      <c r="D1750" s="3" t="n"/>
      <c r="E1750" s="4">
        <f>IF(A1750="","",COUNTIFS($A$4:A1750,A1750,$I$4:I1750,"&lt;&gt;Штраф -2",$I$4:I1750,"&lt;&gt;ушел на базу"))</f>
        <v/>
      </c>
      <c r="F1750" s="4">
        <f>IF(E1750="","",IF(E1750&lt;=3,6,IF(E1750&lt;=6,5,IF(E1750&lt;=9,4,IF(E1750&lt;=12,3,IF(E1750&lt;=15,2,0))))))</f>
        <v/>
      </c>
      <c r="G1750" s="3" t="n"/>
      <c r="H1750" s="4">
        <f>IF(I1750="Штраф -2",-2,IF(OR(F1750="",G1750=""),"",F1750*G1750+IF(J1750="",0,J1750)))</f>
        <v/>
      </c>
      <c r="I1750" s="3" t="n"/>
      <c r="J1750" s="3" t="n"/>
      <c r="K1750" s="3" t="n"/>
    </row>
    <row r="1751">
      <c r="A1751" s="3" t="n"/>
      <c r="B1751" s="3" t="n"/>
      <c r="C1751" s="3" t="n"/>
      <c r="D1751" s="3" t="n"/>
      <c r="E1751" s="4">
        <f>IF(A1751="","",COUNTIFS($A$4:A1751,A1751,$I$4:I1751,"&lt;&gt;Штраф -2",$I$4:I1751,"&lt;&gt;ушел на базу"))</f>
        <v/>
      </c>
      <c r="F1751" s="4">
        <f>IF(E1751="","",IF(E1751&lt;=3,6,IF(E1751&lt;=6,5,IF(E1751&lt;=9,4,IF(E1751&lt;=12,3,IF(E1751&lt;=15,2,0))))))</f>
        <v/>
      </c>
      <c r="G1751" s="3" t="n"/>
      <c r="H1751" s="4">
        <f>IF(I1751="Штраф -2",-2,IF(OR(F1751="",G1751=""),"",F1751*G1751+IF(J1751="",0,J1751)))</f>
        <v/>
      </c>
      <c r="I1751" s="3" t="n"/>
      <c r="J1751" s="3" t="n"/>
      <c r="K1751" s="3" t="n"/>
    </row>
    <row r="1752">
      <c r="A1752" s="3" t="n"/>
      <c r="B1752" s="3" t="n"/>
      <c r="C1752" s="3" t="n"/>
      <c r="D1752" s="3" t="n"/>
      <c r="E1752" s="4">
        <f>IF(A1752="","",COUNTIFS($A$4:A1752,A1752,$I$4:I1752,"&lt;&gt;Штраф -2",$I$4:I1752,"&lt;&gt;ушел на базу"))</f>
        <v/>
      </c>
      <c r="F1752" s="4">
        <f>IF(E1752="","",IF(E1752&lt;=3,6,IF(E1752&lt;=6,5,IF(E1752&lt;=9,4,IF(E1752&lt;=12,3,IF(E1752&lt;=15,2,0))))))</f>
        <v/>
      </c>
      <c r="G1752" s="3" t="n"/>
      <c r="H1752" s="4">
        <f>IF(I1752="Штраф -2",-2,IF(OR(F1752="",G1752=""),"",F1752*G1752+IF(J1752="",0,J1752)))</f>
        <v/>
      </c>
      <c r="I1752" s="3" t="n"/>
      <c r="J1752" s="3" t="n"/>
      <c r="K1752" s="3" t="n"/>
    </row>
    <row r="1753">
      <c r="A1753" s="3" t="n"/>
      <c r="B1753" s="3" t="n"/>
      <c r="C1753" s="3" t="n"/>
      <c r="D1753" s="3" t="n"/>
      <c r="E1753" s="4">
        <f>IF(A1753="","",COUNTIFS($A$4:A1753,A1753,$I$4:I1753,"&lt;&gt;Штраф -2",$I$4:I1753,"&lt;&gt;ушел на базу"))</f>
        <v/>
      </c>
      <c r="F1753" s="4">
        <f>IF(E1753="","",IF(E1753&lt;=3,6,IF(E1753&lt;=6,5,IF(E1753&lt;=9,4,IF(E1753&lt;=12,3,IF(E1753&lt;=15,2,0))))))</f>
        <v/>
      </c>
      <c r="G1753" s="3" t="n"/>
      <c r="H1753" s="4">
        <f>IF(I1753="Штраф -2",-2,IF(OR(F1753="",G1753=""),"",F1753*G1753+IF(J1753="",0,J1753)))</f>
        <v/>
      </c>
      <c r="I1753" s="3" t="n"/>
      <c r="J1753" s="3" t="n"/>
      <c r="K1753" s="3" t="n"/>
    </row>
    <row r="1754">
      <c r="A1754" s="3" t="n"/>
      <c r="B1754" s="3" t="n"/>
      <c r="C1754" s="3" t="n"/>
      <c r="D1754" s="3" t="n"/>
      <c r="E1754" s="4">
        <f>IF(A1754="","",COUNTIFS($A$4:A1754,A1754,$I$4:I1754,"&lt;&gt;Штраф -2",$I$4:I1754,"&lt;&gt;ушел на базу"))</f>
        <v/>
      </c>
      <c r="F1754" s="4">
        <f>IF(E1754="","",IF(E1754&lt;=3,6,IF(E1754&lt;=6,5,IF(E1754&lt;=9,4,IF(E1754&lt;=12,3,IF(E1754&lt;=15,2,0))))))</f>
        <v/>
      </c>
      <c r="G1754" s="3" t="n"/>
      <c r="H1754" s="4">
        <f>IF(I1754="Штраф -2",-2,IF(OR(F1754="",G1754=""),"",F1754*G1754+IF(J1754="",0,J1754)))</f>
        <v/>
      </c>
      <c r="I1754" s="3" t="n"/>
      <c r="J1754" s="3" t="n"/>
      <c r="K1754" s="3" t="n"/>
    </row>
    <row r="1755">
      <c r="A1755" s="3" t="n"/>
      <c r="B1755" s="3" t="n"/>
      <c r="C1755" s="3" t="n"/>
      <c r="D1755" s="3" t="n"/>
      <c r="E1755" s="4">
        <f>IF(A1755="","",COUNTIFS($A$4:A1755,A1755,$I$4:I1755,"&lt;&gt;Штраф -2",$I$4:I1755,"&lt;&gt;ушел на базу"))</f>
        <v/>
      </c>
      <c r="F1755" s="4">
        <f>IF(E1755="","",IF(E1755&lt;=3,6,IF(E1755&lt;=6,5,IF(E1755&lt;=9,4,IF(E1755&lt;=12,3,IF(E1755&lt;=15,2,0))))))</f>
        <v/>
      </c>
      <c r="G1755" s="3" t="n"/>
      <c r="H1755" s="4">
        <f>IF(I1755="Штраф -2",-2,IF(OR(F1755="",G1755=""),"",F1755*G1755+IF(J1755="",0,J1755)))</f>
        <v/>
      </c>
      <c r="I1755" s="3" t="n"/>
      <c r="J1755" s="3" t="n"/>
      <c r="K1755" s="3" t="n"/>
    </row>
    <row r="1756">
      <c r="A1756" s="3" t="n"/>
      <c r="B1756" s="3" t="n"/>
      <c r="C1756" s="3" t="n"/>
      <c r="D1756" s="3" t="n"/>
      <c r="E1756" s="4">
        <f>IF(A1756="","",COUNTIFS($A$4:A1756,A1756,$I$4:I1756,"&lt;&gt;Штраф -2",$I$4:I1756,"&lt;&gt;ушел на базу"))</f>
        <v/>
      </c>
      <c r="F1756" s="4">
        <f>IF(E1756="","",IF(E1756&lt;=3,6,IF(E1756&lt;=6,5,IF(E1756&lt;=9,4,IF(E1756&lt;=12,3,IF(E1756&lt;=15,2,0))))))</f>
        <v/>
      </c>
      <c r="G1756" s="3" t="n"/>
      <c r="H1756" s="4">
        <f>IF(I1756="Штраф -2",-2,IF(OR(F1756="",G1756=""),"",F1756*G1756+IF(J1756="",0,J1756)))</f>
        <v/>
      </c>
      <c r="I1756" s="3" t="n"/>
      <c r="J1756" s="3" t="n"/>
      <c r="K1756" s="3" t="n"/>
    </row>
    <row r="1757">
      <c r="A1757" s="3" t="n"/>
      <c r="B1757" s="3" t="n"/>
      <c r="C1757" s="3" t="n"/>
      <c r="D1757" s="3" t="n"/>
      <c r="E1757" s="4">
        <f>IF(A1757="","",COUNTIFS($A$4:A1757,A1757,$I$4:I1757,"&lt;&gt;Штраф -2",$I$4:I1757,"&lt;&gt;ушел на базу"))</f>
        <v/>
      </c>
      <c r="F1757" s="4">
        <f>IF(E1757="","",IF(E1757&lt;=3,6,IF(E1757&lt;=6,5,IF(E1757&lt;=9,4,IF(E1757&lt;=12,3,IF(E1757&lt;=15,2,0))))))</f>
        <v/>
      </c>
      <c r="G1757" s="3" t="n"/>
      <c r="H1757" s="4">
        <f>IF(I1757="Штраф -2",-2,IF(OR(F1757="",G1757=""),"",F1757*G1757+IF(J1757="",0,J1757)))</f>
        <v/>
      </c>
      <c r="I1757" s="3" t="n"/>
      <c r="J1757" s="3" t="n"/>
      <c r="K1757" s="3" t="n"/>
    </row>
    <row r="1758">
      <c r="A1758" s="3" t="n"/>
      <c r="B1758" s="3" t="n"/>
      <c r="C1758" s="3" t="n"/>
      <c r="D1758" s="3" t="n"/>
      <c r="E1758" s="4">
        <f>IF(A1758="","",COUNTIFS($A$4:A1758,A1758,$I$4:I1758,"&lt;&gt;Штраф -2",$I$4:I1758,"&lt;&gt;ушел на базу"))</f>
        <v/>
      </c>
      <c r="F1758" s="4">
        <f>IF(E1758="","",IF(E1758&lt;=3,6,IF(E1758&lt;=6,5,IF(E1758&lt;=9,4,IF(E1758&lt;=12,3,IF(E1758&lt;=15,2,0))))))</f>
        <v/>
      </c>
      <c r="G1758" s="3" t="n"/>
      <c r="H1758" s="4">
        <f>IF(I1758="Штраф -2",-2,IF(OR(F1758="",G1758=""),"",F1758*G1758+IF(J1758="",0,J1758)))</f>
        <v/>
      </c>
      <c r="I1758" s="3" t="n"/>
      <c r="J1758" s="3" t="n"/>
      <c r="K1758" s="3" t="n"/>
    </row>
    <row r="1759">
      <c r="A1759" s="3" t="n"/>
      <c r="B1759" s="3" t="n"/>
      <c r="C1759" s="3" t="n"/>
      <c r="D1759" s="3" t="n"/>
      <c r="E1759" s="4">
        <f>IF(A1759="","",COUNTIFS($A$4:A1759,A1759,$I$4:I1759,"&lt;&gt;Штраф -2",$I$4:I1759,"&lt;&gt;ушел на базу"))</f>
        <v/>
      </c>
      <c r="F1759" s="4">
        <f>IF(E1759="","",IF(E1759&lt;=3,6,IF(E1759&lt;=6,5,IF(E1759&lt;=9,4,IF(E1759&lt;=12,3,IF(E1759&lt;=15,2,0))))))</f>
        <v/>
      </c>
      <c r="G1759" s="3" t="n"/>
      <c r="H1759" s="4">
        <f>IF(I1759="Штраф -2",-2,IF(OR(F1759="",G1759=""),"",F1759*G1759+IF(J1759="",0,J1759)))</f>
        <v/>
      </c>
      <c r="I1759" s="3" t="n"/>
      <c r="J1759" s="3" t="n"/>
      <c r="K1759" s="3" t="n"/>
    </row>
    <row r="1760">
      <c r="A1760" s="3" t="n"/>
      <c r="B1760" s="3" t="n"/>
      <c r="C1760" s="3" t="n"/>
      <c r="D1760" s="3" t="n"/>
      <c r="E1760" s="4">
        <f>IF(A1760="","",COUNTIFS($A$4:A1760,A1760,$I$4:I1760,"&lt;&gt;Штраф -2",$I$4:I1760,"&lt;&gt;ушел на базу"))</f>
        <v/>
      </c>
      <c r="F1760" s="4">
        <f>IF(E1760="","",IF(E1760&lt;=3,6,IF(E1760&lt;=6,5,IF(E1760&lt;=9,4,IF(E1760&lt;=12,3,IF(E1760&lt;=15,2,0))))))</f>
        <v/>
      </c>
      <c r="G1760" s="3" t="n"/>
      <c r="H1760" s="4">
        <f>IF(I1760="Штраф -2",-2,IF(OR(F1760="",G1760=""),"",F1760*G1760+IF(J1760="",0,J1760)))</f>
        <v/>
      </c>
      <c r="I1760" s="3" t="n"/>
      <c r="J1760" s="3" t="n"/>
      <c r="K1760" s="3" t="n"/>
    </row>
    <row r="1761">
      <c r="A1761" s="3" t="n"/>
      <c r="B1761" s="3" t="n"/>
      <c r="C1761" s="3" t="n"/>
      <c r="D1761" s="3" t="n"/>
      <c r="E1761" s="4">
        <f>IF(A1761="","",COUNTIFS($A$4:A1761,A1761,$I$4:I1761,"&lt;&gt;Штраф -2",$I$4:I1761,"&lt;&gt;ушел на базу"))</f>
        <v/>
      </c>
      <c r="F1761" s="4">
        <f>IF(E1761="","",IF(E1761&lt;=3,6,IF(E1761&lt;=6,5,IF(E1761&lt;=9,4,IF(E1761&lt;=12,3,IF(E1761&lt;=15,2,0))))))</f>
        <v/>
      </c>
      <c r="G1761" s="3" t="n"/>
      <c r="H1761" s="4">
        <f>IF(I1761="Штраф -2",-2,IF(OR(F1761="",G1761=""),"",F1761*G1761+IF(J1761="",0,J1761)))</f>
        <v/>
      </c>
      <c r="I1761" s="3" t="n"/>
      <c r="J1761" s="3" t="n"/>
      <c r="K1761" s="3" t="n"/>
    </row>
    <row r="1762">
      <c r="A1762" s="3" t="n"/>
      <c r="B1762" s="3" t="n"/>
      <c r="C1762" s="3" t="n"/>
      <c r="D1762" s="3" t="n"/>
      <c r="E1762" s="4">
        <f>IF(A1762="","",COUNTIFS($A$4:A1762,A1762,$I$4:I1762,"&lt;&gt;Штраф -2",$I$4:I1762,"&lt;&gt;ушел на базу"))</f>
        <v/>
      </c>
      <c r="F1762" s="4">
        <f>IF(E1762="","",IF(E1762&lt;=3,6,IF(E1762&lt;=6,5,IF(E1762&lt;=9,4,IF(E1762&lt;=12,3,IF(E1762&lt;=15,2,0))))))</f>
        <v/>
      </c>
      <c r="G1762" s="3" t="n"/>
      <c r="H1762" s="4">
        <f>IF(I1762="Штраф -2",-2,IF(OR(F1762="",G1762=""),"",F1762*G1762+IF(J1762="",0,J1762)))</f>
        <v/>
      </c>
      <c r="I1762" s="3" t="n"/>
      <c r="J1762" s="3" t="n"/>
      <c r="K1762" s="3" t="n"/>
    </row>
    <row r="1763">
      <c r="A1763" s="3" t="n"/>
      <c r="B1763" s="3" t="n"/>
      <c r="C1763" s="3" t="n"/>
      <c r="D1763" s="3" t="n"/>
      <c r="E1763" s="4">
        <f>IF(A1763="","",COUNTIFS($A$4:A1763,A1763,$I$4:I1763,"&lt;&gt;Штраф -2",$I$4:I1763,"&lt;&gt;ушел на базу"))</f>
        <v/>
      </c>
      <c r="F1763" s="4">
        <f>IF(E1763="","",IF(E1763&lt;=3,6,IF(E1763&lt;=6,5,IF(E1763&lt;=9,4,IF(E1763&lt;=12,3,IF(E1763&lt;=15,2,0))))))</f>
        <v/>
      </c>
      <c r="G1763" s="3" t="n"/>
      <c r="H1763" s="4">
        <f>IF(I1763="Штраф -2",-2,IF(OR(F1763="",G1763=""),"",F1763*G1763+IF(J1763="",0,J1763)))</f>
        <v/>
      </c>
      <c r="I1763" s="3" t="n"/>
      <c r="J1763" s="3" t="n"/>
      <c r="K1763" s="3" t="n"/>
    </row>
    <row r="1764">
      <c r="A1764" s="3" t="n"/>
      <c r="B1764" s="3" t="n"/>
      <c r="C1764" s="3" t="n"/>
      <c r="D1764" s="3" t="n"/>
      <c r="E1764" s="4">
        <f>IF(A1764="","",COUNTIFS($A$4:A1764,A1764,$I$4:I1764,"&lt;&gt;Штраф -2",$I$4:I1764,"&lt;&gt;ушел на базу"))</f>
        <v/>
      </c>
      <c r="F1764" s="4">
        <f>IF(E1764="","",IF(E1764&lt;=3,6,IF(E1764&lt;=6,5,IF(E1764&lt;=9,4,IF(E1764&lt;=12,3,IF(E1764&lt;=15,2,0))))))</f>
        <v/>
      </c>
      <c r="G1764" s="3" t="n"/>
      <c r="H1764" s="4">
        <f>IF(I1764="Штраф -2",-2,IF(OR(F1764="",G1764=""),"",F1764*G1764+IF(J1764="",0,J1764)))</f>
        <v/>
      </c>
      <c r="I1764" s="3" t="n"/>
      <c r="J1764" s="3" t="n"/>
      <c r="K1764" s="3" t="n"/>
    </row>
    <row r="1765">
      <c r="A1765" s="3" t="n"/>
      <c r="B1765" s="3" t="n"/>
      <c r="C1765" s="3" t="n"/>
      <c r="D1765" s="3" t="n"/>
      <c r="E1765" s="4">
        <f>IF(A1765="","",COUNTIFS($A$4:A1765,A1765,$I$4:I1765,"&lt;&gt;Штраф -2",$I$4:I1765,"&lt;&gt;ушел на базу"))</f>
        <v/>
      </c>
      <c r="F1765" s="4">
        <f>IF(E1765="","",IF(E1765&lt;=3,6,IF(E1765&lt;=6,5,IF(E1765&lt;=9,4,IF(E1765&lt;=12,3,IF(E1765&lt;=15,2,0))))))</f>
        <v/>
      </c>
      <c r="G1765" s="3" t="n"/>
      <c r="H1765" s="4">
        <f>IF(I1765="Штраф -2",-2,IF(OR(F1765="",G1765=""),"",F1765*G1765+IF(J1765="",0,J1765)))</f>
        <v/>
      </c>
      <c r="I1765" s="3" t="n"/>
      <c r="J1765" s="3" t="n"/>
      <c r="K1765" s="3" t="n"/>
    </row>
    <row r="1766">
      <c r="A1766" s="3" t="n"/>
      <c r="B1766" s="3" t="n"/>
      <c r="C1766" s="3" t="n"/>
      <c r="D1766" s="3" t="n"/>
      <c r="E1766" s="4">
        <f>IF(A1766="","",COUNTIFS($A$4:A1766,A1766,$I$4:I1766,"&lt;&gt;Штраф -2",$I$4:I1766,"&lt;&gt;ушел на базу"))</f>
        <v/>
      </c>
      <c r="F1766" s="4">
        <f>IF(E1766="","",IF(E1766&lt;=3,6,IF(E1766&lt;=6,5,IF(E1766&lt;=9,4,IF(E1766&lt;=12,3,IF(E1766&lt;=15,2,0))))))</f>
        <v/>
      </c>
      <c r="G1766" s="3" t="n"/>
      <c r="H1766" s="4">
        <f>IF(I1766="Штраф -2",-2,IF(OR(F1766="",G1766=""),"",F1766*G1766+IF(J1766="",0,J1766)))</f>
        <v/>
      </c>
      <c r="I1766" s="3" t="n"/>
      <c r="J1766" s="3" t="n"/>
      <c r="K1766" s="3" t="n"/>
    </row>
    <row r="1767">
      <c r="A1767" s="3" t="n"/>
      <c r="B1767" s="3" t="n"/>
      <c r="C1767" s="3" t="n"/>
      <c r="D1767" s="3" t="n"/>
      <c r="E1767" s="4">
        <f>IF(A1767="","",COUNTIFS($A$4:A1767,A1767,$I$4:I1767,"&lt;&gt;Штраф -2",$I$4:I1767,"&lt;&gt;ушел на базу"))</f>
        <v/>
      </c>
      <c r="F1767" s="4">
        <f>IF(E1767="","",IF(E1767&lt;=3,6,IF(E1767&lt;=6,5,IF(E1767&lt;=9,4,IF(E1767&lt;=12,3,IF(E1767&lt;=15,2,0))))))</f>
        <v/>
      </c>
      <c r="G1767" s="3" t="n"/>
      <c r="H1767" s="4">
        <f>IF(I1767="Штраф -2",-2,IF(OR(F1767="",G1767=""),"",F1767*G1767+IF(J1767="",0,J1767)))</f>
        <v/>
      </c>
      <c r="I1767" s="3" t="n"/>
      <c r="J1767" s="3" t="n"/>
      <c r="K1767" s="3" t="n"/>
    </row>
    <row r="1768">
      <c r="A1768" s="3" t="n"/>
      <c r="B1768" s="3" t="n"/>
      <c r="C1768" s="3" t="n"/>
      <c r="D1768" s="3" t="n"/>
      <c r="E1768" s="4">
        <f>IF(A1768="","",COUNTIFS($A$4:A1768,A1768,$I$4:I1768,"&lt;&gt;Штраф -2",$I$4:I1768,"&lt;&gt;ушел на базу"))</f>
        <v/>
      </c>
      <c r="F1768" s="4">
        <f>IF(E1768="","",IF(E1768&lt;=3,6,IF(E1768&lt;=6,5,IF(E1768&lt;=9,4,IF(E1768&lt;=12,3,IF(E1768&lt;=15,2,0))))))</f>
        <v/>
      </c>
      <c r="G1768" s="3" t="n"/>
      <c r="H1768" s="4">
        <f>IF(I1768="Штраф -2",-2,IF(OR(F1768="",G1768=""),"",F1768*G1768+IF(J1768="",0,J1768)))</f>
        <v/>
      </c>
      <c r="I1768" s="3" t="n"/>
      <c r="J1768" s="3" t="n"/>
      <c r="K1768" s="3" t="n"/>
    </row>
    <row r="1769">
      <c r="A1769" s="3" t="n"/>
      <c r="B1769" s="3" t="n"/>
      <c r="C1769" s="3" t="n"/>
      <c r="D1769" s="3" t="n"/>
      <c r="E1769" s="4">
        <f>IF(A1769="","",COUNTIFS($A$4:A1769,A1769,$I$4:I1769,"&lt;&gt;Штраф -2",$I$4:I1769,"&lt;&gt;ушел на базу"))</f>
        <v/>
      </c>
      <c r="F1769" s="4">
        <f>IF(E1769="","",IF(E1769&lt;=3,6,IF(E1769&lt;=6,5,IF(E1769&lt;=9,4,IF(E1769&lt;=12,3,IF(E1769&lt;=15,2,0))))))</f>
        <v/>
      </c>
      <c r="G1769" s="3" t="n"/>
      <c r="H1769" s="4">
        <f>IF(I1769="Штраф -2",-2,IF(OR(F1769="",G1769=""),"",F1769*G1769+IF(J1769="",0,J1769)))</f>
        <v/>
      </c>
      <c r="I1769" s="3" t="n"/>
      <c r="J1769" s="3" t="n"/>
      <c r="K1769" s="3" t="n"/>
    </row>
    <row r="1770">
      <c r="A1770" s="3" t="n"/>
      <c r="B1770" s="3" t="n"/>
      <c r="C1770" s="3" t="n"/>
      <c r="D1770" s="3" t="n"/>
      <c r="E1770" s="4">
        <f>IF(A1770="","",COUNTIFS($A$4:A1770,A1770,$I$4:I1770,"&lt;&gt;Штраф -2",$I$4:I1770,"&lt;&gt;ушел на базу"))</f>
        <v/>
      </c>
      <c r="F1770" s="4">
        <f>IF(E1770="","",IF(E1770&lt;=3,6,IF(E1770&lt;=6,5,IF(E1770&lt;=9,4,IF(E1770&lt;=12,3,IF(E1770&lt;=15,2,0))))))</f>
        <v/>
      </c>
      <c r="G1770" s="3" t="n"/>
      <c r="H1770" s="4">
        <f>IF(I1770="Штраф -2",-2,IF(OR(F1770="",G1770=""),"",F1770*G1770+IF(J1770="",0,J1770)))</f>
        <v/>
      </c>
      <c r="I1770" s="3" t="n"/>
      <c r="J1770" s="3" t="n"/>
      <c r="K1770" s="3" t="n"/>
    </row>
    <row r="1771">
      <c r="A1771" s="3" t="n"/>
      <c r="B1771" s="3" t="n"/>
      <c r="C1771" s="3" t="n"/>
      <c r="D1771" s="3" t="n"/>
      <c r="E1771" s="4">
        <f>IF(A1771="","",COUNTIFS($A$4:A1771,A1771,$I$4:I1771,"&lt;&gt;Штраф -2",$I$4:I1771,"&lt;&gt;ушел на базу"))</f>
        <v/>
      </c>
      <c r="F1771" s="4">
        <f>IF(E1771="","",IF(E1771&lt;=3,6,IF(E1771&lt;=6,5,IF(E1771&lt;=9,4,IF(E1771&lt;=12,3,IF(E1771&lt;=15,2,0))))))</f>
        <v/>
      </c>
      <c r="G1771" s="3" t="n"/>
      <c r="H1771" s="4">
        <f>IF(I1771="Штраф -2",-2,IF(OR(F1771="",G1771=""),"",F1771*G1771+IF(J1771="",0,J1771)))</f>
        <v/>
      </c>
      <c r="I1771" s="3" t="n"/>
      <c r="J1771" s="3" t="n"/>
      <c r="K1771" s="3" t="n"/>
    </row>
    <row r="1772">
      <c r="A1772" s="3" t="n"/>
      <c r="B1772" s="3" t="n"/>
      <c r="C1772" s="3" t="n"/>
      <c r="D1772" s="3" t="n"/>
      <c r="E1772" s="4">
        <f>IF(A1772="","",COUNTIFS($A$4:A1772,A1772,$I$4:I1772,"&lt;&gt;Штраф -2",$I$4:I1772,"&lt;&gt;ушел на базу"))</f>
        <v/>
      </c>
      <c r="F1772" s="4">
        <f>IF(E1772="","",IF(E1772&lt;=3,6,IF(E1772&lt;=6,5,IF(E1772&lt;=9,4,IF(E1772&lt;=12,3,IF(E1772&lt;=15,2,0))))))</f>
        <v/>
      </c>
      <c r="G1772" s="3" t="n"/>
      <c r="H1772" s="4">
        <f>IF(I1772="Штраф -2",-2,IF(OR(F1772="",G1772=""),"",F1772*G1772+IF(J1772="",0,J1772)))</f>
        <v/>
      </c>
      <c r="I1772" s="3" t="n"/>
      <c r="J1772" s="3" t="n"/>
      <c r="K1772" s="3" t="n"/>
    </row>
    <row r="1773">
      <c r="A1773" s="3" t="n"/>
      <c r="B1773" s="3" t="n"/>
      <c r="C1773" s="3" t="n"/>
      <c r="D1773" s="3" t="n"/>
      <c r="E1773" s="4">
        <f>IF(A1773="","",COUNTIFS($A$4:A1773,A1773,$I$4:I1773,"&lt;&gt;Штраф -2",$I$4:I1773,"&lt;&gt;ушел на базу"))</f>
        <v/>
      </c>
      <c r="F1773" s="4">
        <f>IF(E1773="","",IF(E1773&lt;=3,6,IF(E1773&lt;=6,5,IF(E1773&lt;=9,4,IF(E1773&lt;=12,3,IF(E1773&lt;=15,2,0))))))</f>
        <v/>
      </c>
      <c r="G1773" s="3" t="n"/>
      <c r="H1773" s="4">
        <f>IF(I1773="Штраф -2",-2,IF(OR(F1773="",G1773=""),"",F1773*G1773+IF(J1773="",0,J1773)))</f>
        <v/>
      </c>
      <c r="I1773" s="3" t="n"/>
      <c r="J1773" s="3" t="n"/>
      <c r="K1773" s="3" t="n"/>
    </row>
    <row r="1774">
      <c r="A1774" s="3" t="n"/>
      <c r="B1774" s="3" t="n"/>
      <c r="C1774" s="3" t="n"/>
      <c r="D1774" s="3" t="n"/>
      <c r="E1774" s="4">
        <f>IF(A1774="","",COUNTIFS($A$4:A1774,A1774,$I$4:I1774,"&lt;&gt;Штраф -2",$I$4:I1774,"&lt;&gt;ушел на базу"))</f>
        <v/>
      </c>
      <c r="F1774" s="4">
        <f>IF(E1774="","",IF(E1774&lt;=3,6,IF(E1774&lt;=6,5,IF(E1774&lt;=9,4,IF(E1774&lt;=12,3,IF(E1774&lt;=15,2,0))))))</f>
        <v/>
      </c>
      <c r="G1774" s="3" t="n"/>
      <c r="H1774" s="4">
        <f>IF(I1774="Штраф -2",-2,IF(OR(F1774="",G1774=""),"",F1774*G1774+IF(J1774="",0,J1774)))</f>
        <v/>
      </c>
      <c r="I1774" s="3" t="n"/>
      <c r="J1774" s="3" t="n"/>
      <c r="K1774" s="3" t="n"/>
    </row>
    <row r="1775">
      <c r="A1775" s="3" t="n"/>
      <c r="B1775" s="3" t="n"/>
      <c r="C1775" s="3" t="n"/>
      <c r="D1775" s="3" t="n"/>
      <c r="E1775" s="4">
        <f>IF(A1775="","",COUNTIFS($A$4:A1775,A1775,$I$4:I1775,"&lt;&gt;Штраф -2",$I$4:I1775,"&lt;&gt;ушел на базу"))</f>
        <v/>
      </c>
      <c r="F1775" s="4">
        <f>IF(E1775="","",IF(E1775&lt;=3,6,IF(E1775&lt;=6,5,IF(E1775&lt;=9,4,IF(E1775&lt;=12,3,IF(E1775&lt;=15,2,0))))))</f>
        <v/>
      </c>
      <c r="G1775" s="3" t="n"/>
      <c r="H1775" s="4">
        <f>IF(I1775="Штраф -2",-2,IF(OR(F1775="",G1775=""),"",F1775*G1775+IF(J1775="",0,J1775)))</f>
        <v/>
      </c>
      <c r="I1775" s="3" t="n"/>
      <c r="J1775" s="3" t="n"/>
      <c r="K1775" s="3" t="n"/>
    </row>
    <row r="1776">
      <c r="A1776" s="3" t="n"/>
      <c r="B1776" s="3" t="n"/>
      <c r="C1776" s="3" t="n"/>
      <c r="D1776" s="3" t="n"/>
      <c r="E1776" s="4">
        <f>IF(A1776="","",COUNTIFS($A$4:A1776,A1776,$I$4:I1776,"&lt;&gt;Штраф -2",$I$4:I1776,"&lt;&gt;ушел на базу"))</f>
        <v/>
      </c>
      <c r="F1776" s="4">
        <f>IF(E1776="","",IF(E1776&lt;=3,6,IF(E1776&lt;=6,5,IF(E1776&lt;=9,4,IF(E1776&lt;=12,3,IF(E1776&lt;=15,2,0))))))</f>
        <v/>
      </c>
      <c r="G1776" s="3" t="n"/>
      <c r="H1776" s="4">
        <f>IF(I1776="Штраф -2",-2,IF(OR(F1776="",G1776=""),"",F1776*G1776+IF(J1776="",0,J1776)))</f>
        <v/>
      </c>
      <c r="I1776" s="3" t="n"/>
      <c r="J1776" s="3" t="n"/>
      <c r="K1776" s="3" t="n"/>
    </row>
    <row r="1777">
      <c r="A1777" s="3" t="n"/>
      <c r="B1777" s="3" t="n"/>
      <c r="C1777" s="3" t="n"/>
      <c r="D1777" s="3" t="n"/>
      <c r="E1777" s="4">
        <f>IF(A1777="","",COUNTIFS($A$4:A1777,A1777,$I$4:I1777,"&lt;&gt;Штраф -2",$I$4:I1777,"&lt;&gt;ушел на базу"))</f>
        <v/>
      </c>
      <c r="F1777" s="4">
        <f>IF(E1777="","",IF(E1777&lt;=3,6,IF(E1777&lt;=6,5,IF(E1777&lt;=9,4,IF(E1777&lt;=12,3,IF(E1777&lt;=15,2,0))))))</f>
        <v/>
      </c>
      <c r="G1777" s="3" t="n"/>
      <c r="H1777" s="4">
        <f>IF(I1777="Штраф -2",-2,IF(OR(F1777="",G1777=""),"",F1777*G1777+IF(J1777="",0,J1777)))</f>
        <v/>
      </c>
      <c r="I1777" s="3" t="n"/>
      <c r="J1777" s="3" t="n"/>
      <c r="K1777" s="3" t="n"/>
    </row>
    <row r="1778">
      <c r="A1778" s="3" t="n"/>
      <c r="B1778" s="3" t="n"/>
      <c r="C1778" s="3" t="n"/>
      <c r="D1778" s="3" t="n"/>
      <c r="E1778" s="4">
        <f>IF(A1778="","",COUNTIFS($A$4:A1778,A1778,$I$4:I1778,"&lt;&gt;Штраф -2",$I$4:I1778,"&lt;&gt;ушел на базу"))</f>
        <v/>
      </c>
      <c r="F1778" s="4">
        <f>IF(E1778="","",IF(E1778&lt;=3,6,IF(E1778&lt;=6,5,IF(E1778&lt;=9,4,IF(E1778&lt;=12,3,IF(E1778&lt;=15,2,0))))))</f>
        <v/>
      </c>
      <c r="G1778" s="3" t="n"/>
      <c r="H1778" s="4">
        <f>IF(I1778="Штраф -2",-2,IF(OR(F1778="",G1778=""),"",F1778*G1778+IF(J1778="",0,J1778)))</f>
        <v/>
      </c>
      <c r="I1778" s="3" t="n"/>
      <c r="J1778" s="3" t="n"/>
      <c r="K1778" s="3" t="n"/>
    </row>
    <row r="1779">
      <c r="A1779" s="3" t="n"/>
      <c r="B1779" s="3" t="n"/>
      <c r="C1779" s="3" t="n"/>
      <c r="D1779" s="3" t="n"/>
      <c r="E1779" s="4">
        <f>IF(A1779="","",COUNTIFS($A$4:A1779,A1779,$I$4:I1779,"&lt;&gt;Штраф -2",$I$4:I1779,"&lt;&gt;ушел на базу"))</f>
        <v/>
      </c>
      <c r="F1779" s="4">
        <f>IF(E1779="","",IF(E1779&lt;=3,6,IF(E1779&lt;=6,5,IF(E1779&lt;=9,4,IF(E1779&lt;=12,3,IF(E1779&lt;=15,2,0))))))</f>
        <v/>
      </c>
      <c r="G1779" s="3" t="n"/>
      <c r="H1779" s="4">
        <f>IF(I1779="Штраф -2",-2,IF(OR(F1779="",G1779=""),"",F1779*G1779+IF(J1779="",0,J1779)))</f>
        <v/>
      </c>
      <c r="I1779" s="3" t="n"/>
      <c r="J1779" s="3" t="n"/>
      <c r="K1779" s="3" t="n"/>
    </row>
    <row r="1780">
      <c r="A1780" s="3" t="n"/>
      <c r="B1780" s="3" t="n"/>
      <c r="C1780" s="3" t="n"/>
      <c r="D1780" s="3" t="n"/>
      <c r="E1780" s="4">
        <f>IF(A1780="","",COUNTIFS($A$4:A1780,A1780,$I$4:I1780,"&lt;&gt;Штраф -2",$I$4:I1780,"&lt;&gt;ушел на базу"))</f>
        <v/>
      </c>
      <c r="F1780" s="4">
        <f>IF(E1780="","",IF(E1780&lt;=3,6,IF(E1780&lt;=6,5,IF(E1780&lt;=9,4,IF(E1780&lt;=12,3,IF(E1780&lt;=15,2,0))))))</f>
        <v/>
      </c>
      <c r="G1780" s="3" t="n"/>
      <c r="H1780" s="4">
        <f>IF(I1780="Штраф -2",-2,IF(OR(F1780="",G1780=""),"",F1780*G1780+IF(J1780="",0,J1780)))</f>
        <v/>
      </c>
      <c r="I1780" s="3" t="n"/>
      <c r="J1780" s="3" t="n"/>
      <c r="K1780" s="3" t="n"/>
    </row>
    <row r="1781">
      <c r="A1781" s="3" t="n"/>
      <c r="B1781" s="3" t="n"/>
      <c r="C1781" s="3" t="n"/>
      <c r="D1781" s="3" t="n"/>
      <c r="E1781" s="4">
        <f>IF(A1781="","",COUNTIFS($A$4:A1781,A1781,$I$4:I1781,"&lt;&gt;Штраф -2",$I$4:I1781,"&lt;&gt;ушел на базу"))</f>
        <v/>
      </c>
      <c r="F1781" s="4">
        <f>IF(E1781="","",IF(E1781&lt;=3,6,IF(E1781&lt;=6,5,IF(E1781&lt;=9,4,IF(E1781&lt;=12,3,IF(E1781&lt;=15,2,0))))))</f>
        <v/>
      </c>
      <c r="G1781" s="3" t="n"/>
      <c r="H1781" s="4">
        <f>IF(I1781="Штраф -2",-2,IF(OR(F1781="",G1781=""),"",F1781*G1781+IF(J1781="",0,J1781)))</f>
        <v/>
      </c>
      <c r="I1781" s="3" t="n"/>
      <c r="J1781" s="3" t="n"/>
      <c r="K1781" s="3" t="n"/>
    </row>
    <row r="1782">
      <c r="A1782" s="3" t="n"/>
      <c r="B1782" s="3" t="n"/>
      <c r="C1782" s="3" t="n"/>
      <c r="D1782" s="3" t="n"/>
      <c r="E1782" s="4">
        <f>IF(A1782="","",COUNTIFS($A$4:A1782,A1782,$I$4:I1782,"&lt;&gt;Штраф -2",$I$4:I1782,"&lt;&gt;ушел на базу"))</f>
        <v/>
      </c>
      <c r="F1782" s="4">
        <f>IF(E1782="","",IF(E1782&lt;=3,6,IF(E1782&lt;=6,5,IF(E1782&lt;=9,4,IF(E1782&lt;=12,3,IF(E1782&lt;=15,2,0))))))</f>
        <v/>
      </c>
      <c r="G1782" s="3" t="n"/>
      <c r="H1782" s="4">
        <f>IF(I1782="Штраф -2",-2,IF(OR(F1782="",G1782=""),"",F1782*G1782+IF(J1782="",0,J1782)))</f>
        <v/>
      </c>
      <c r="I1782" s="3" t="n"/>
      <c r="J1782" s="3" t="n"/>
      <c r="K1782" s="3" t="n"/>
    </row>
    <row r="1783">
      <c r="A1783" s="3" t="n"/>
      <c r="B1783" s="3" t="n"/>
      <c r="C1783" s="3" t="n"/>
      <c r="D1783" s="3" t="n"/>
      <c r="E1783" s="4">
        <f>IF(A1783="","",COUNTIFS($A$4:A1783,A1783,$I$4:I1783,"&lt;&gt;Штраф -2",$I$4:I1783,"&lt;&gt;ушел на базу"))</f>
        <v/>
      </c>
      <c r="F1783" s="4">
        <f>IF(E1783="","",IF(E1783&lt;=3,6,IF(E1783&lt;=6,5,IF(E1783&lt;=9,4,IF(E1783&lt;=12,3,IF(E1783&lt;=15,2,0))))))</f>
        <v/>
      </c>
      <c r="G1783" s="3" t="n"/>
      <c r="H1783" s="4">
        <f>IF(I1783="Штраф -2",-2,IF(OR(F1783="",G1783=""),"",F1783*G1783+IF(J1783="",0,J1783)))</f>
        <v/>
      </c>
      <c r="I1783" s="3" t="n"/>
      <c r="J1783" s="3" t="n"/>
      <c r="K1783" s="3" t="n"/>
    </row>
    <row r="1784">
      <c r="A1784" s="3" t="n"/>
      <c r="B1784" s="3" t="n"/>
      <c r="C1784" s="3" t="n"/>
      <c r="D1784" s="3" t="n"/>
      <c r="E1784" s="4">
        <f>IF(A1784="","",COUNTIFS($A$4:A1784,A1784,$I$4:I1784,"&lt;&gt;Штраф -2",$I$4:I1784,"&lt;&gt;ушел на базу"))</f>
        <v/>
      </c>
      <c r="F1784" s="4">
        <f>IF(E1784="","",IF(E1784&lt;=3,6,IF(E1784&lt;=6,5,IF(E1784&lt;=9,4,IF(E1784&lt;=12,3,IF(E1784&lt;=15,2,0))))))</f>
        <v/>
      </c>
      <c r="G1784" s="3" t="n"/>
      <c r="H1784" s="4">
        <f>IF(I1784="Штраф -2",-2,IF(OR(F1784="",G1784=""),"",F1784*G1784+IF(J1784="",0,J1784)))</f>
        <v/>
      </c>
      <c r="I1784" s="3" t="n"/>
      <c r="J1784" s="3" t="n"/>
      <c r="K1784" s="3" t="n"/>
    </row>
    <row r="1785">
      <c r="A1785" s="3" t="n"/>
      <c r="B1785" s="3" t="n"/>
      <c r="C1785" s="3" t="n"/>
      <c r="D1785" s="3" t="n"/>
      <c r="E1785" s="4">
        <f>IF(A1785="","",COUNTIFS($A$4:A1785,A1785,$I$4:I1785,"&lt;&gt;Штраф -2",$I$4:I1785,"&lt;&gt;ушел на базу"))</f>
        <v/>
      </c>
      <c r="F1785" s="4">
        <f>IF(E1785="","",IF(E1785&lt;=3,6,IF(E1785&lt;=6,5,IF(E1785&lt;=9,4,IF(E1785&lt;=12,3,IF(E1785&lt;=15,2,0))))))</f>
        <v/>
      </c>
      <c r="G1785" s="3" t="n"/>
      <c r="H1785" s="4">
        <f>IF(I1785="Штраф -2",-2,IF(OR(F1785="",G1785=""),"",F1785*G1785+IF(J1785="",0,J1785)))</f>
        <v/>
      </c>
      <c r="I1785" s="3" t="n"/>
      <c r="J1785" s="3" t="n"/>
      <c r="K1785" s="3" t="n"/>
    </row>
    <row r="1786">
      <c r="A1786" s="3" t="n"/>
      <c r="B1786" s="3" t="n"/>
      <c r="C1786" s="3" t="n"/>
      <c r="D1786" s="3" t="n"/>
      <c r="E1786" s="4">
        <f>IF(A1786="","",COUNTIFS($A$4:A1786,A1786,$I$4:I1786,"&lt;&gt;Штраф -2",$I$4:I1786,"&lt;&gt;ушел на базу"))</f>
        <v/>
      </c>
      <c r="F1786" s="4">
        <f>IF(E1786="","",IF(E1786&lt;=3,6,IF(E1786&lt;=6,5,IF(E1786&lt;=9,4,IF(E1786&lt;=12,3,IF(E1786&lt;=15,2,0))))))</f>
        <v/>
      </c>
      <c r="G1786" s="3" t="n"/>
      <c r="H1786" s="4">
        <f>IF(I1786="Штраф -2",-2,IF(OR(F1786="",G1786=""),"",F1786*G1786+IF(J1786="",0,J1786)))</f>
        <v/>
      </c>
      <c r="I1786" s="3" t="n"/>
      <c r="J1786" s="3" t="n"/>
      <c r="K1786" s="3" t="n"/>
    </row>
    <row r="1787">
      <c r="A1787" s="3" t="n"/>
      <c r="B1787" s="3" t="n"/>
      <c r="C1787" s="3" t="n"/>
      <c r="D1787" s="3" t="n"/>
      <c r="E1787" s="4">
        <f>IF(A1787="","",COUNTIFS($A$4:A1787,A1787,$I$4:I1787,"&lt;&gt;Штраф -2",$I$4:I1787,"&lt;&gt;ушел на базу"))</f>
        <v/>
      </c>
      <c r="F1787" s="4">
        <f>IF(E1787="","",IF(E1787&lt;=3,6,IF(E1787&lt;=6,5,IF(E1787&lt;=9,4,IF(E1787&lt;=12,3,IF(E1787&lt;=15,2,0))))))</f>
        <v/>
      </c>
      <c r="G1787" s="3" t="n"/>
      <c r="H1787" s="4">
        <f>IF(I1787="Штраф -2",-2,IF(OR(F1787="",G1787=""),"",F1787*G1787+IF(J1787="",0,J1787)))</f>
        <v/>
      </c>
      <c r="I1787" s="3" t="n"/>
      <c r="J1787" s="3" t="n"/>
      <c r="K1787" s="3" t="n"/>
    </row>
    <row r="1788">
      <c r="A1788" s="3" t="n"/>
      <c r="B1788" s="3" t="n"/>
      <c r="C1788" s="3" t="n"/>
      <c r="D1788" s="3" t="n"/>
      <c r="E1788" s="4">
        <f>IF(A1788="","",COUNTIFS($A$4:A1788,A1788,$I$4:I1788,"&lt;&gt;Штраф -2",$I$4:I1788,"&lt;&gt;ушел на базу"))</f>
        <v/>
      </c>
      <c r="F1788" s="4">
        <f>IF(E1788="","",IF(E1788&lt;=3,6,IF(E1788&lt;=6,5,IF(E1788&lt;=9,4,IF(E1788&lt;=12,3,IF(E1788&lt;=15,2,0))))))</f>
        <v/>
      </c>
      <c r="G1788" s="3" t="n"/>
      <c r="H1788" s="4">
        <f>IF(I1788="Штраф -2",-2,IF(OR(F1788="",G1788=""),"",F1788*G1788+IF(J1788="",0,J1788)))</f>
        <v/>
      </c>
      <c r="I1788" s="3" t="n"/>
      <c r="J1788" s="3" t="n"/>
      <c r="K1788" s="3" t="n"/>
    </row>
    <row r="1789">
      <c r="A1789" s="3" t="n"/>
      <c r="B1789" s="3" t="n"/>
      <c r="C1789" s="3" t="n"/>
      <c r="D1789" s="3" t="n"/>
      <c r="E1789" s="4">
        <f>IF(A1789="","",COUNTIFS($A$4:A1789,A1789,$I$4:I1789,"&lt;&gt;Штраф -2",$I$4:I1789,"&lt;&gt;ушел на базу"))</f>
        <v/>
      </c>
      <c r="F1789" s="4">
        <f>IF(E1789="","",IF(E1789&lt;=3,6,IF(E1789&lt;=6,5,IF(E1789&lt;=9,4,IF(E1789&lt;=12,3,IF(E1789&lt;=15,2,0))))))</f>
        <v/>
      </c>
      <c r="G1789" s="3" t="n"/>
      <c r="H1789" s="4">
        <f>IF(I1789="Штраф -2",-2,IF(OR(F1789="",G1789=""),"",F1789*G1789+IF(J1789="",0,J1789)))</f>
        <v/>
      </c>
      <c r="I1789" s="3" t="n"/>
      <c r="J1789" s="3" t="n"/>
      <c r="K1789" s="3" t="n"/>
    </row>
    <row r="1790">
      <c r="A1790" s="3" t="n"/>
      <c r="B1790" s="3" t="n"/>
      <c r="C1790" s="3" t="n"/>
      <c r="D1790" s="3" t="n"/>
      <c r="E1790" s="4">
        <f>IF(A1790="","",COUNTIFS($A$4:A1790,A1790,$I$4:I1790,"&lt;&gt;Штраф -2",$I$4:I1790,"&lt;&gt;ушел на базу"))</f>
        <v/>
      </c>
      <c r="F1790" s="4">
        <f>IF(E1790="","",IF(E1790&lt;=3,6,IF(E1790&lt;=6,5,IF(E1790&lt;=9,4,IF(E1790&lt;=12,3,IF(E1790&lt;=15,2,0))))))</f>
        <v/>
      </c>
      <c r="G1790" s="3" t="n"/>
      <c r="H1790" s="4">
        <f>IF(I1790="Штраф -2",-2,IF(OR(F1790="",G1790=""),"",F1790*G1790+IF(J1790="",0,J1790)))</f>
        <v/>
      </c>
      <c r="I1790" s="3" t="n"/>
      <c r="J1790" s="3" t="n"/>
      <c r="K1790" s="3" t="n"/>
    </row>
    <row r="1791">
      <c r="A1791" s="3" t="n"/>
      <c r="B1791" s="3" t="n"/>
      <c r="C1791" s="3" t="n"/>
      <c r="D1791" s="3" t="n"/>
      <c r="E1791" s="4">
        <f>IF(A1791="","",COUNTIFS($A$4:A1791,A1791,$I$4:I1791,"&lt;&gt;Штраф -2",$I$4:I1791,"&lt;&gt;ушел на базу"))</f>
        <v/>
      </c>
      <c r="F1791" s="4">
        <f>IF(E1791="","",IF(E1791&lt;=3,6,IF(E1791&lt;=6,5,IF(E1791&lt;=9,4,IF(E1791&lt;=12,3,IF(E1791&lt;=15,2,0))))))</f>
        <v/>
      </c>
      <c r="G1791" s="3" t="n"/>
      <c r="H1791" s="4">
        <f>IF(I1791="Штраф -2",-2,IF(OR(F1791="",G1791=""),"",F1791*G1791+IF(J1791="",0,J1791)))</f>
        <v/>
      </c>
      <c r="I1791" s="3" t="n"/>
      <c r="J1791" s="3" t="n"/>
      <c r="K1791" s="3" t="n"/>
    </row>
    <row r="1792">
      <c r="A1792" s="3" t="n"/>
      <c r="B1792" s="3" t="n"/>
      <c r="C1792" s="3" t="n"/>
      <c r="D1792" s="3" t="n"/>
      <c r="E1792" s="4">
        <f>IF(A1792="","",COUNTIFS($A$4:A1792,A1792,$I$4:I1792,"&lt;&gt;Штраф -2",$I$4:I1792,"&lt;&gt;ушел на базу"))</f>
        <v/>
      </c>
      <c r="F1792" s="4">
        <f>IF(E1792="","",IF(E1792&lt;=3,6,IF(E1792&lt;=6,5,IF(E1792&lt;=9,4,IF(E1792&lt;=12,3,IF(E1792&lt;=15,2,0))))))</f>
        <v/>
      </c>
      <c r="G1792" s="3" t="n"/>
      <c r="H1792" s="4">
        <f>IF(I1792="Штраф -2",-2,IF(OR(F1792="",G1792=""),"",F1792*G1792+IF(J1792="",0,J1792)))</f>
        <v/>
      </c>
      <c r="I1792" s="3" t="n"/>
      <c r="J1792" s="3" t="n"/>
      <c r="K1792" s="3" t="n"/>
    </row>
    <row r="1793">
      <c r="A1793" s="3" t="n"/>
      <c r="B1793" s="3" t="n"/>
      <c r="C1793" s="3" t="n"/>
      <c r="D1793" s="3" t="n"/>
      <c r="E1793" s="4">
        <f>IF(A1793="","",COUNTIFS($A$4:A1793,A1793,$I$4:I1793,"&lt;&gt;Штраф -2",$I$4:I1793,"&lt;&gt;ушел на базу"))</f>
        <v/>
      </c>
      <c r="F1793" s="4">
        <f>IF(E1793="","",IF(E1793&lt;=3,6,IF(E1793&lt;=6,5,IF(E1793&lt;=9,4,IF(E1793&lt;=12,3,IF(E1793&lt;=15,2,0))))))</f>
        <v/>
      </c>
      <c r="G1793" s="3" t="n"/>
      <c r="H1793" s="4">
        <f>IF(I1793="Штраф -2",-2,IF(OR(F1793="",G1793=""),"",F1793*G1793+IF(J1793="",0,J1793)))</f>
        <v/>
      </c>
      <c r="I1793" s="3" t="n"/>
      <c r="J1793" s="3" t="n"/>
      <c r="K1793" s="3" t="n"/>
    </row>
    <row r="1794">
      <c r="A1794" s="3" t="n"/>
      <c r="B1794" s="3" t="n"/>
      <c r="C1794" s="3" t="n"/>
      <c r="D1794" s="3" t="n"/>
      <c r="E1794" s="4">
        <f>IF(A1794="","",COUNTIFS($A$4:A1794,A1794,$I$4:I1794,"&lt;&gt;Штраф -2",$I$4:I1794,"&lt;&gt;ушел на базу"))</f>
        <v/>
      </c>
      <c r="F1794" s="4">
        <f>IF(E1794="","",IF(E1794&lt;=3,6,IF(E1794&lt;=6,5,IF(E1794&lt;=9,4,IF(E1794&lt;=12,3,IF(E1794&lt;=15,2,0))))))</f>
        <v/>
      </c>
      <c r="G1794" s="3" t="n"/>
      <c r="H1794" s="4">
        <f>IF(I1794="Штраф -2",-2,IF(OR(F1794="",G1794=""),"",F1794*G1794+IF(J1794="",0,J1794)))</f>
        <v/>
      </c>
      <c r="I1794" s="3" t="n"/>
      <c r="J1794" s="3" t="n"/>
      <c r="K1794" s="3" t="n"/>
    </row>
    <row r="1795">
      <c r="A1795" s="3" t="n"/>
      <c r="B1795" s="3" t="n"/>
      <c r="C1795" s="3" t="n"/>
      <c r="D1795" s="3" t="n"/>
      <c r="E1795" s="4">
        <f>IF(A1795="","",COUNTIFS($A$4:A1795,A1795,$I$4:I1795,"&lt;&gt;Штраф -2",$I$4:I1795,"&lt;&gt;ушел на базу"))</f>
        <v/>
      </c>
      <c r="F1795" s="4">
        <f>IF(E1795="","",IF(E1795&lt;=3,6,IF(E1795&lt;=6,5,IF(E1795&lt;=9,4,IF(E1795&lt;=12,3,IF(E1795&lt;=15,2,0))))))</f>
        <v/>
      </c>
      <c r="G1795" s="3" t="n"/>
      <c r="H1795" s="4">
        <f>IF(I1795="Штраф -2",-2,IF(OR(F1795="",G1795=""),"",F1795*G1795+IF(J1795="",0,J1795)))</f>
        <v/>
      </c>
      <c r="I1795" s="3" t="n"/>
      <c r="J1795" s="3" t="n"/>
      <c r="K1795" s="3" t="n"/>
    </row>
    <row r="1796">
      <c r="A1796" s="3" t="n"/>
      <c r="B1796" s="3" t="n"/>
      <c r="C1796" s="3" t="n"/>
      <c r="D1796" s="3" t="n"/>
      <c r="E1796" s="4">
        <f>IF(A1796="","",COUNTIFS($A$4:A1796,A1796,$I$4:I1796,"&lt;&gt;Штраф -2",$I$4:I1796,"&lt;&gt;ушел на базу"))</f>
        <v/>
      </c>
      <c r="F1796" s="4">
        <f>IF(E1796="","",IF(E1796&lt;=3,6,IF(E1796&lt;=6,5,IF(E1796&lt;=9,4,IF(E1796&lt;=12,3,IF(E1796&lt;=15,2,0))))))</f>
        <v/>
      </c>
      <c r="G1796" s="3" t="n"/>
      <c r="H1796" s="4">
        <f>IF(I1796="Штраф -2",-2,IF(OR(F1796="",G1796=""),"",F1796*G1796+IF(J1796="",0,J1796)))</f>
        <v/>
      </c>
      <c r="I1796" s="3" t="n"/>
      <c r="J1796" s="3" t="n"/>
      <c r="K1796" s="3" t="n"/>
    </row>
    <row r="1797">
      <c r="A1797" s="3" t="n"/>
      <c r="B1797" s="3" t="n"/>
      <c r="C1797" s="3" t="n"/>
      <c r="D1797" s="3" t="n"/>
      <c r="E1797" s="4">
        <f>IF(A1797="","",COUNTIFS($A$4:A1797,A1797,$I$4:I1797,"&lt;&gt;Штраф -2",$I$4:I1797,"&lt;&gt;ушел на базу"))</f>
        <v/>
      </c>
      <c r="F1797" s="4">
        <f>IF(E1797="","",IF(E1797&lt;=3,6,IF(E1797&lt;=6,5,IF(E1797&lt;=9,4,IF(E1797&lt;=12,3,IF(E1797&lt;=15,2,0))))))</f>
        <v/>
      </c>
      <c r="G1797" s="3" t="n"/>
      <c r="H1797" s="4">
        <f>IF(I1797="Штраф -2",-2,IF(OR(F1797="",G1797=""),"",F1797*G1797+IF(J1797="",0,J1797)))</f>
        <v/>
      </c>
      <c r="I1797" s="3" t="n"/>
      <c r="J1797" s="3" t="n"/>
      <c r="K1797" s="3" t="n"/>
    </row>
    <row r="1798">
      <c r="A1798" s="3" t="n"/>
      <c r="B1798" s="3" t="n"/>
      <c r="C1798" s="3" t="n"/>
      <c r="D1798" s="3" t="n"/>
      <c r="E1798" s="4">
        <f>IF(A1798="","",COUNTIFS($A$4:A1798,A1798,$I$4:I1798,"&lt;&gt;Штраф -2",$I$4:I1798,"&lt;&gt;ушел на базу"))</f>
        <v/>
      </c>
      <c r="F1798" s="4">
        <f>IF(E1798="","",IF(E1798&lt;=3,6,IF(E1798&lt;=6,5,IF(E1798&lt;=9,4,IF(E1798&lt;=12,3,IF(E1798&lt;=15,2,0))))))</f>
        <v/>
      </c>
      <c r="G1798" s="3" t="n"/>
      <c r="H1798" s="4">
        <f>IF(I1798="Штраф -2",-2,IF(OR(F1798="",G1798=""),"",F1798*G1798+IF(J1798="",0,J1798)))</f>
        <v/>
      </c>
      <c r="I1798" s="3" t="n"/>
      <c r="J1798" s="3" t="n"/>
      <c r="K1798" s="3" t="n"/>
    </row>
    <row r="1799">
      <c r="A1799" s="3" t="n"/>
      <c r="B1799" s="3" t="n"/>
      <c r="C1799" s="3" t="n"/>
      <c r="D1799" s="3" t="n"/>
      <c r="E1799" s="4">
        <f>IF(A1799="","",COUNTIFS($A$4:A1799,A1799,$I$4:I1799,"&lt;&gt;Штраф -2",$I$4:I1799,"&lt;&gt;ушел на базу"))</f>
        <v/>
      </c>
      <c r="F1799" s="4">
        <f>IF(E1799="","",IF(E1799&lt;=3,6,IF(E1799&lt;=6,5,IF(E1799&lt;=9,4,IF(E1799&lt;=12,3,IF(E1799&lt;=15,2,0))))))</f>
        <v/>
      </c>
      <c r="G1799" s="3" t="n"/>
      <c r="H1799" s="4">
        <f>IF(I1799="Штраф -2",-2,IF(OR(F1799="",G1799=""),"",F1799*G1799+IF(J1799="",0,J1799)))</f>
        <v/>
      </c>
      <c r="I1799" s="3" t="n"/>
      <c r="J1799" s="3" t="n"/>
      <c r="K1799" s="3" t="n"/>
    </row>
    <row r="1800">
      <c r="A1800" s="3" t="n"/>
      <c r="B1800" s="3" t="n"/>
      <c r="C1800" s="3" t="n"/>
      <c r="D1800" s="3" t="n"/>
      <c r="E1800" s="4">
        <f>IF(A1800="","",COUNTIFS($A$4:A1800,A1800,$I$4:I1800,"&lt;&gt;Штраф -2",$I$4:I1800,"&lt;&gt;ушел на базу"))</f>
        <v/>
      </c>
      <c r="F1800" s="4">
        <f>IF(E1800="","",IF(E1800&lt;=3,6,IF(E1800&lt;=6,5,IF(E1800&lt;=9,4,IF(E1800&lt;=12,3,IF(E1800&lt;=15,2,0))))))</f>
        <v/>
      </c>
      <c r="G1800" s="3" t="n"/>
      <c r="H1800" s="4">
        <f>IF(I1800="Штраф -2",-2,IF(OR(F1800="",G1800=""),"",F1800*G1800+IF(J1800="",0,J1800)))</f>
        <v/>
      </c>
      <c r="I1800" s="3" t="n"/>
      <c r="J1800" s="3" t="n"/>
      <c r="K1800" s="3" t="n"/>
    </row>
    <row r="1801">
      <c r="A1801" s="3" t="n"/>
      <c r="B1801" s="3" t="n"/>
      <c r="C1801" s="3" t="n"/>
      <c r="D1801" s="3" t="n"/>
      <c r="E1801" s="4">
        <f>IF(A1801="","",COUNTIFS($A$4:A1801,A1801,$I$4:I1801,"&lt;&gt;Штраф -2",$I$4:I1801,"&lt;&gt;ушел на базу"))</f>
        <v/>
      </c>
      <c r="F1801" s="4">
        <f>IF(E1801="","",IF(E1801&lt;=3,6,IF(E1801&lt;=6,5,IF(E1801&lt;=9,4,IF(E1801&lt;=12,3,IF(E1801&lt;=15,2,0))))))</f>
        <v/>
      </c>
      <c r="G1801" s="3" t="n"/>
      <c r="H1801" s="4">
        <f>IF(I1801="Штраф -2",-2,IF(OR(F1801="",G1801=""),"",F1801*G1801+IF(J1801="",0,J1801)))</f>
        <v/>
      </c>
      <c r="I1801" s="3" t="n"/>
      <c r="J1801" s="3" t="n"/>
      <c r="K1801" s="3" t="n"/>
    </row>
    <row r="1802">
      <c r="A1802" s="3" t="n"/>
      <c r="B1802" s="3" t="n"/>
      <c r="C1802" s="3" t="n"/>
      <c r="D1802" s="3" t="n"/>
      <c r="E1802" s="4">
        <f>IF(A1802="","",COUNTIFS($A$4:A1802,A1802,$I$4:I1802,"&lt;&gt;Штраф -2",$I$4:I1802,"&lt;&gt;ушел на базу"))</f>
        <v/>
      </c>
      <c r="F1802" s="4">
        <f>IF(E1802="","",IF(E1802&lt;=3,6,IF(E1802&lt;=6,5,IF(E1802&lt;=9,4,IF(E1802&lt;=12,3,IF(E1802&lt;=15,2,0))))))</f>
        <v/>
      </c>
      <c r="G1802" s="3" t="n"/>
      <c r="H1802" s="4">
        <f>IF(I1802="Штраф -2",-2,IF(OR(F1802="",G1802=""),"",F1802*G1802+IF(J1802="",0,J1802)))</f>
        <v/>
      </c>
      <c r="I1802" s="3" t="n"/>
      <c r="J1802" s="3" t="n"/>
      <c r="K1802" s="3" t="n"/>
    </row>
    <row r="1803">
      <c r="A1803" s="3" t="n"/>
      <c r="B1803" s="3" t="n"/>
      <c r="C1803" s="3" t="n"/>
      <c r="D1803" s="3" t="n"/>
      <c r="E1803" s="4">
        <f>IF(A1803="","",COUNTIFS($A$4:A1803,A1803,$I$4:I1803,"&lt;&gt;Штраф -2",$I$4:I1803,"&lt;&gt;ушел на базу"))</f>
        <v/>
      </c>
      <c r="F1803" s="4">
        <f>IF(E1803="","",IF(E1803&lt;=3,6,IF(E1803&lt;=6,5,IF(E1803&lt;=9,4,IF(E1803&lt;=12,3,IF(E1803&lt;=15,2,0))))))</f>
        <v/>
      </c>
      <c r="G1803" s="3" t="n"/>
      <c r="H1803" s="4">
        <f>IF(I1803="Штраф -2",-2,IF(OR(F1803="",G1803=""),"",F1803*G1803+IF(J1803="",0,J1803)))</f>
        <v/>
      </c>
      <c r="I1803" s="3" t="n"/>
      <c r="J1803" s="3" t="n"/>
      <c r="K1803" s="3" t="n"/>
    </row>
    <row r="1804">
      <c r="A1804" s="3" t="n"/>
      <c r="B1804" s="3" t="n"/>
      <c r="C1804" s="3" t="n"/>
      <c r="D1804" s="3" t="n"/>
      <c r="E1804" s="4">
        <f>IF(A1804="","",COUNTIFS($A$4:A1804,A1804,$I$4:I1804,"&lt;&gt;Штраф -2",$I$4:I1804,"&lt;&gt;ушел на базу"))</f>
        <v/>
      </c>
      <c r="F1804" s="4">
        <f>IF(E1804="","",IF(E1804&lt;=3,6,IF(E1804&lt;=6,5,IF(E1804&lt;=9,4,IF(E1804&lt;=12,3,IF(E1804&lt;=15,2,0))))))</f>
        <v/>
      </c>
      <c r="G1804" s="3" t="n"/>
      <c r="H1804" s="4">
        <f>IF(I1804="Штраф -2",-2,IF(OR(F1804="",G1804=""),"",F1804*G1804+IF(J1804="",0,J1804)))</f>
        <v/>
      </c>
      <c r="I1804" s="3" t="n"/>
      <c r="J1804" s="3" t="n"/>
      <c r="K1804" s="3" t="n"/>
    </row>
    <row r="1805">
      <c r="A1805" s="3" t="n"/>
      <c r="B1805" s="3" t="n"/>
      <c r="C1805" s="3" t="n"/>
      <c r="D1805" s="3" t="n"/>
      <c r="E1805" s="4">
        <f>IF(A1805="","",COUNTIFS($A$4:A1805,A1805,$I$4:I1805,"&lt;&gt;Штраф -2",$I$4:I1805,"&lt;&gt;ушел на базу"))</f>
        <v/>
      </c>
      <c r="F1805" s="4">
        <f>IF(E1805="","",IF(E1805&lt;=3,6,IF(E1805&lt;=6,5,IF(E1805&lt;=9,4,IF(E1805&lt;=12,3,IF(E1805&lt;=15,2,0))))))</f>
        <v/>
      </c>
      <c r="G1805" s="3" t="n"/>
      <c r="H1805" s="4">
        <f>IF(I1805="Штраф -2",-2,IF(OR(F1805="",G1805=""),"",F1805*G1805+IF(J1805="",0,J1805)))</f>
        <v/>
      </c>
      <c r="I1805" s="3" t="n"/>
      <c r="J1805" s="3" t="n"/>
      <c r="K1805" s="3" t="n"/>
    </row>
    <row r="1806">
      <c r="A1806" s="3" t="n"/>
      <c r="B1806" s="3" t="n"/>
      <c r="C1806" s="3" t="n"/>
      <c r="D1806" s="3" t="n"/>
      <c r="E1806" s="4">
        <f>IF(A1806="","",COUNTIFS($A$4:A1806,A1806,$I$4:I1806,"&lt;&gt;Штраф -2",$I$4:I1806,"&lt;&gt;ушел на базу"))</f>
        <v/>
      </c>
      <c r="F1806" s="4">
        <f>IF(E1806="","",IF(E1806&lt;=3,6,IF(E1806&lt;=6,5,IF(E1806&lt;=9,4,IF(E1806&lt;=12,3,IF(E1806&lt;=15,2,0))))))</f>
        <v/>
      </c>
      <c r="G1806" s="3" t="n"/>
      <c r="H1806" s="4">
        <f>IF(I1806="Штраф -2",-2,IF(OR(F1806="",G1806=""),"",F1806*G1806+IF(J1806="",0,J1806)))</f>
        <v/>
      </c>
      <c r="I1806" s="3" t="n"/>
      <c r="J1806" s="3" t="n"/>
      <c r="K1806" s="3" t="n"/>
    </row>
    <row r="1807">
      <c r="A1807" s="3" t="n"/>
      <c r="B1807" s="3" t="n"/>
      <c r="C1807" s="3" t="n"/>
      <c r="D1807" s="3" t="n"/>
      <c r="E1807" s="4">
        <f>IF(A1807="","",COUNTIFS($A$4:A1807,A1807,$I$4:I1807,"&lt;&gt;Штраф -2",$I$4:I1807,"&lt;&gt;ушел на базу"))</f>
        <v/>
      </c>
      <c r="F1807" s="4">
        <f>IF(E1807="","",IF(E1807&lt;=3,6,IF(E1807&lt;=6,5,IF(E1807&lt;=9,4,IF(E1807&lt;=12,3,IF(E1807&lt;=15,2,0))))))</f>
        <v/>
      </c>
      <c r="G1807" s="3" t="n"/>
      <c r="H1807" s="4">
        <f>IF(I1807="Штраф -2",-2,IF(OR(F1807="",G1807=""),"",F1807*G1807+IF(J1807="",0,J1807)))</f>
        <v/>
      </c>
      <c r="I1807" s="3" t="n"/>
      <c r="J1807" s="3" t="n"/>
      <c r="K1807" s="3" t="n"/>
    </row>
    <row r="1808">
      <c r="A1808" s="3" t="n"/>
      <c r="B1808" s="3" t="n"/>
      <c r="C1808" s="3" t="n"/>
      <c r="D1808" s="3" t="n"/>
      <c r="E1808" s="4">
        <f>IF(A1808="","",COUNTIFS($A$4:A1808,A1808,$I$4:I1808,"&lt;&gt;Штраф -2",$I$4:I1808,"&lt;&gt;ушел на базу"))</f>
        <v/>
      </c>
      <c r="F1808" s="4">
        <f>IF(E1808="","",IF(E1808&lt;=3,6,IF(E1808&lt;=6,5,IF(E1808&lt;=9,4,IF(E1808&lt;=12,3,IF(E1808&lt;=15,2,0))))))</f>
        <v/>
      </c>
      <c r="G1808" s="3" t="n"/>
      <c r="H1808" s="4">
        <f>IF(I1808="Штраф -2",-2,IF(OR(F1808="",G1808=""),"",F1808*G1808+IF(J1808="",0,J1808)))</f>
        <v/>
      </c>
      <c r="I1808" s="3" t="n"/>
      <c r="J1808" s="3" t="n"/>
      <c r="K1808" s="3" t="n"/>
    </row>
    <row r="1809">
      <c r="A1809" s="3" t="n"/>
      <c r="B1809" s="3" t="n"/>
      <c r="C1809" s="3" t="n"/>
      <c r="D1809" s="3" t="n"/>
      <c r="E1809" s="4">
        <f>IF(A1809="","",COUNTIFS($A$4:A1809,A1809,$I$4:I1809,"&lt;&gt;Штраф -2",$I$4:I1809,"&lt;&gt;ушел на базу"))</f>
        <v/>
      </c>
      <c r="F1809" s="4">
        <f>IF(E1809="","",IF(E1809&lt;=3,6,IF(E1809&lt;=6,5,IF(E1809&lt;=9,4,IF(E1809&lt;=12,3,IF(E1809&lt;=15,2,0))))))</f>
        <v/>
      </c>
      <c r="G1809" s="3" t="n"/>
      <c r="H1809" s="4">
        <f>IF(I1809="Штраф -2",-2,IF(OR(F1809="",G1809=""),"",F1809*G1809+IF(J1809="",0,J1809)))</f>
        <v/>
      </c>
      <c r="I1809" s="3" t="n"/>
      <c r="J1809" s="3" t="n"/>
      <c r="K1809" s="3" t="n"/>
    </row>
    <row r="1810">
      <c r="A1810" s="3" t="n"/>
      <c r="B1810" s="3" t="n"/>
      <c r="C1810" s="3" t="n"/>
      <c r="D1810" s="3" t="n"/>
      <c r="E1810" s="4">
        <f>IF(A1810="","",COUNTIFS($A$4:A1810,A1810,$I$4:I1810,"&lt;&gt;Штраф -2",$I$4:I1810,"&lt;&gt;ушел на базу"))</f>
        <v/>
      </c>
      <c r="F1810" s="4">
        <f>IF(E1810="","",IF(E1810&lt;=3,6,IF(E1810&lt;=6,5,IF(E1810&lt;=9,4,IF(E1810&lt;=12,3,IF(E1810&lt;=15,2,0))))))</f>
        <v/>
      </c>
      <c r="G1810" s="3" t="n"/>
      <c r="H1810" s="4">
        <f>IF(I1810="Штраф -2",-2,IF(OR(F1810="",G1810=""),"",F1810*G1810+IF(J1810="",0,J1810)))</f>
        <v/>
      </c>
      <c r="I1810" s="3" t="n"/>
      <c r="J1810" s="3" t="n"/>
      <c r="K1810" s="3" t="n"/>
    </row>
    <row r="1811">
      <c r="A1811" s="3" t="n"/>
      <c r="B1811" s="3" t="n"/>
      <c r="C1811" s="3" t="n"/>
      <c r="D1811" s="3" t="n"/>
      <c r="E1811" s="4">
        <f>IF(A1811="","",COUNTIFS($A$4:A1811,A1811,$I$4:I1811,"&lt;&gt;Штраф -2",$I$4:I1811,"&lt;&gt;ушел на базу"))</f>
        <v/>
      </c>
      <c r="F1811" s="4">
        <f>IF(E1811="","",IF(E1811&lt;=3,6,IF(E1811&lt;=6,5,IF(E1811&lt;=9,4,IF(E1811&lt;=12,3,IF(E1811&lt;=15,2,0))))))</f>
        <v/>
      </c>
      <c r="G1811" s="3" t="n"/>
      <c r="H1811" s="4">
        <f>IF(I1811="Штраф -2",-2,IF(OR(F1811="",G1811=""),"",F1811*G1811+IF(J1811="",0,J1811)))</f>
        <v/>
      </c>
      <c r="I1811" s="3" t="n"/>
      <c r="J1811" s="3" t="n"/>
      <c r="K1811" s="3" t="n"/>
    </row>
    <row r="1812">
      <c r="A1812" s="3" t="n"/>
      <c r="B1812" s="3" t="n"/>
      <c r="C1812" s="3" t="n"/>
      <c r="D1812" s="3" t="n"/>
      <c r="E1812" s="4">
        <f>IF(A1812="","",COUNTIFS($A$4:A1812,A1812,$I$4:I1812,"&lt;&gt;Штраф -2",$I$4:I1812,"&lt;&gt;ушел на базу"))</f>
        <v/>
      </c>
      <c r="F1812" s="4">
        <f>IF(E1812="","",IF(E1812&lt;=3,6,IF(E1812&lt;=6,5,IF(E1812&lt;=9,4,IF(E1812&lt;=12,3,IF(E1812&lt;=15,2,0))))))</f>
        <v/>
      </c>
      <c r="G1812" s="3" t="n"/>
      <c r="H1812" s="4">
        <f>IF(I1812="Штраф -2",-2,IF(OR(F1812="",G1812=""),"",F1812*G1812+IF(J1812="",0,J1812)))</f>
        <v/>
      </c>
      <c r="I1812" s="3" t="n"/>
      <c r="J1812" s="3" t="n"/>
      <c r="K1812" s="3" t="n"/>
    </row>
    <row r="1813">
      <c r="A1813" s="3" t="n"/>
      <c r="B1813" s="3" t="n"/>
      <c r="C1813" s="3" t="n"/>
      <c r="D1813" s="3" t="n"/>
      <c r="E1813" s="4">
        <f>IF(A1813="","",COUNTIFS($A$4:A1813,A1813,$I$4:I1813,"&lt;&gt;Штраф -2",$I$4:I1813,"&lt;&gt;ушел на базу"))</f>
        <v/>
      </c>
      <c r="F1813" s="4">
        <f>IF(E1813="","",IF(E1813&lt;=3,6,IF(E1813&lt;=6,5,IF(E1813&lt;=9,4,IF(E1813&lt;=12,3,IF(E1813&lt;=15,2,0))))))</f>
        <v/>
      </c>
      <c r="G1813" s="3" t="n"/>
      <c r="H1813" s="4">
        <f>IF(I1813="Штраф -2",-2,IF(OR(F1813="",G1813=""),"",F1813*G1813+IF(J1813="",0,J1813)))</f>
        <v/>
      </c>
      <c r="I1813" s="3" t="n"/>
      <c r="J1813" s="3" t="n"/>
      <c r="K1813" s="3" t="n"/>
    </row>
    <row r="1814">
      <c r="A1814" s="3" t="n"/>
      <c r="B1814" s="3" t="n"/>
      <c r="C1814" s="3" t="n"/>
      <c r="D1814" s="3" t="n"/>
      <c r="E1814" s="4">
        <f>IF(A1814="","",COUNTIFS($A$4:A1814,A1814,$I$4:I1814,"&lt;&gt;Штраф -2",$I$4:I1814,"&lt;&gt;ушел на базу"))</f>
        <v/>
      </c>
      <c r="F1814" s="4">
        <f>IF(E1814="","",IF(E1814&lt;=3,6,IF(E1814&lt;=6,5,IF(E1814&lt;=9,4,IF(E1814&lt;=12,3,IF(E1814&lt;=15,2,0))))))</f>
        <v/>
      </c>
      <c r="G1814" s="3" t="n"/>
      <c r="H1814" s="4">
        <f>IF(I1814="Штраф -2",-2,IF(OR(F1814="",G1814=""),"",F1814*G1814+IF(J1814="",0,J1814)))</f>
        <v/>
      </c>
      <c r="I1814" s="3" t="n"/>
      <c r="J1814" s="3" t="n"/>
      <c r="K1814" s="3" t="n"/>
    </row>
    <row r="1815">
      <c r="A1815" s="3" t="n"/>
      <c r="B1815" s="3" t="n"/>
      <c r="C1815" s="3" t="n"/>
      <c r="D1815" s="3" t="n"/>
      <c r="E1815" s="4">
        <f>IF(A1815="","",COUNTIFS($A$4:A1815,A1815,$I$4:I1815,"&lt;&gt;Штраф -2",$I$4:I1815,"&lt;&gt;ушел на базу"))</f>
        <v/>
      </c>
      <c r="F1815" s="4">
        <f>IF(E1815="","",IF(E1815&lt;=3,6,IF(E1815&lt;=6,5,IF(E1815&lt;=9,4,IF(E1815&lt;=12,3,IF(E1815&lt;=15,2,0))))))</f>
        <v/>
      </c>
      <c r="G1815" s="3" t="n"/>
      <c r="H1815" s="4">
        <f>IF(I1815="Штраф -2",-2,IF(OR(F1815="",G1815=""),"",F1815*G1815+IF(J1815="",0,J1815)))</f>
        <v/>
      </c>
      <c r="I1815" s="3" t="n"/>
      <c r="J1815" s="3" t="n"/>
      <c r="K1815" s="3" t="n"/>
    </row>
    <row r="1816">
      <c r="A1816" s="3" t="n"/>
      <c r="B1816" s="3" t="n"/>
      <c r="C1816" s="3" t="n"/>
      <c r="D1816" s="3" t="n"/>
      <c r="E1816" s="4">
        <f>IF(A1816="","",COUNTIFS($A$4:A1816,A1816,$I$4:I1816,"&lt;&gt;Штраф -2",$I$4:I1816,"&lt;&gt;ушел на базу"))</f>
        <v/>
      </c>
      <c r="F1816" s="4">
        <f>IF(E1816="","",IF(E1816&lt;=3,6,IF(E1816&lt;=6,5,IF(E1816&lt;=9,4,IF(E1816&lt;=12,3,IF(E1816&lt;=15,2,0))))))</f>
        <v/>
      </c>
      <c r="G1816" s="3" t="n"/>
      <c r="H1816" s="4">
        <f>IF(I1816="Штраф -2",-2,IF(OR(F1816="",G1816=""),"",F1816*G1816+IF(J1816="",0,J1816)))</f>
        <v/>
      </c>
      <c r="I1816" s="3" t="n"/>
      <c r="J1816" s="3" t="n"/>
      <c r="K1816" s="3" t="n"/>
    </row>
    <row r="1817">
      <c r="A1817" s="3" t="n"/>
      <c r="B1817" s="3" t="n"/>
      <c r="C1817" s="3" t="n"/>
      <c r="D1817" s="3" t="n"/>
      <c r="E1817" s="4">
        <f>IF(A1817="","",COUNTIFS($A$4:A1817,A1817,$I$4:I1817,"&lt;&gt;Штраф -2",$I$4:I1817,"&lt;&gt;ушел на базу"))</f>
        <v/>
      </c>
      <c r="F1817" s="4">
        <f>IF(E1817="","",IF(E1817&lt;=3,6,IF(E1817&lt;=6,5,IF(E1817&lt;=9,4,IF(E1817&lt;=12,3,IF(E1817&lt;=15,2,0))))))</f>
        <v/>
      </c>
      <c r="G1817" s="3" t="n"/>
      <c r="H1817" s="4">
        <f>IF(I1817="Штраф -2",-2,IF(OR(F1817="",G1817=""),"",F1817*G1817+IF(J1817="",0,J1817)))</f>
        <v/>
      </c>
      <c r="I1817" s="3" t="n"/>
      <c r="J1817" s="3" t="n"/>
      <c r="K1817" s="3" t="n"/>
    </row>
    <row r="1818">
      <c r="A1818" s="3" t="n"/>
      <c r="B1818" s="3" t="n"/>
      <c r="C1818" s="3" t="n"/>
      <c r="D1818" s="3" t="n"/>
      <c r="E1818" s="4">
        <f>IF(A1818="","",COUNTIFS($A$4:A1818,A1818,$I$4:I1818,"&lt;&gt;Штраф -2",$I$4:I1818,"&lt;&gt;ушел на базу"))</f>
        <v/>
      </c>
      <c r="F1818" s="4">
        <f>IF(E1818="","",IF(E1818&lt;=3,6,IF(E1818&lt;=6,5,IF(E1818&lt;=9,4,IF(E1818&lt;=12,3,IF(E1818&lt;=15,2,0))))))</f>
        <v/>
      </c>
      <c r="G1818" s="3" t="n"/>
      <c r="H1818" s="4">
        <f>IF(I1818="Штраф -2",-2,IF(OR(F1818="",G1818=""),"",F1818*G1818+IF(J1818="",0,J1818)))</f>
        <v/>
      </c>
      <c r="I1818" s="3" t="n"/>
      <c r="J1818" s="3" t="n"/>
      <c r="K1818" s="3" t="n"/>
    </row>
    <row r="1819">
      <c r="A1819" s="3" t="n"/>
      <c r="B1819" s="3" t="n"/>
      <c r="C1819" s="3" t="n"/>
      <c r="D1819" s="3" t="n"/>
      <c r="E1819" s="4">
        <f>IF(A1819="","",COUNTIFS($A$4:A1819,A1819,$I$4:I1819,"&lt;&gt;Штраф -2",$I$4:I1819,"&lt;&gt;ушел на базу"))</f>
        <v/>
      </c>
      <c r="F1819" s="4">
        <f>IF(E1819="","",IF(E1819&lt;=3,6,IF(E1819&lt;=6,5,IF(E1819&lt;=9,4,IF(E1819&lt;=12,3,IF(E1819&lt;=15,2,0))))))</f>
        <v/>
      </c>
      <c r="G1819" s="3" t="n"/>
      <c r="H1819" s="4">
        <f>IF(I1819="Штраф -2",-2,IF(OR(F1819="",G1819=""),"",F1819*G1819+IF(J1819="",0,J1819)))</f>
        <v/>
      </c>
      <c r="I1819" s="3" t="n"/>
      <c r="J1819" s="3" t="n"/>
      <c r="K1819" s="3" t="n"/>
    </row>
    <row r="1820">
      <c r="A1820" s="3" t="n"/>
      <c r="B1820" s="3" t="n"/>
      <c r="C1820" s="3" t="n"/>
      <c r="D1820" s="3" t="n"/>
      <c r="E1820" s="4">
        <f>IF(A1820="","",COUNTIFS($A$4:A1820,A1820,$I$4:I1820,"&lt;&gt;Штраф -2",$I$4:I1820,"&lt;&gt;ушел на базу"))</f>
        <v/>
      </c>
      <c r="F1820" s="4">
        <f>IF(E1820="","",IF(E1820&lt;=3,6,IF(E1820&lt;=6,5,IF(E1820&lt;=9,4,IF(E1820&lt;=12,3,IF(E1820&lt;=15,2,0))))))</f>
        <v/>
      </c>
      <c r="G1820" s="3" t="n"/>
      <c r="H1820" s="4">
        <f>IF(I1820="Штраф -2",-2,IF(OR(F1820="",G1820=""),"",F1820*G1820+IF(J1820="",0,J1820)))</f>
        <v/>
      </c>
      <c r="I1820" s="3" t="n"/>
      <c r="J1820" s="3" t="n"/>
      <c r="K1820" s="3" t="n"/>
    </row>
    <row r="1821">
      <c r="A1821" s="3" t="n"/>
      <c r="B1821" s="3" t="n"/>
      <c r="C1821" s="3" t="n"/>
      <c r="D1821" s="3" t="n"/>
      <c r="E1821" s="4">
        <f>IF(A1821="","",COUNTIFS($A$4:A1821,A1821,$I$4:I1821,"&lt;&gt;Штраф -2",$I$4:I1821,"&lt;&gt;ушел на базу"))</f>
        <v/>
      </c>
      <c r="F1821" s="4">
        <f>IF(E1821="","",IF(E1821&lt;=3,6,IF(E1821&lt;=6,5,IF(E1821&lt;=9,4,IF(E1821&lt;=12,3,IF(E1821&lt;=15,2,0))))))</f>
        <v/>
      </c>
      <c r="G1821" s="3" t="n"/>
      <c r="H1821" s="4">
        <f>IF(I1821="Штраф -2",-2,IF(OR(F1821="",G1821=""),"",F1821*G1821+IF(J1821="",0,J1821)))</f>
        <v/>
      </c>
      <c r="I1821" s="3" t="n"/>
      <c r="J1821" s="3" t="n"/>
      <c r="K1821" s="3" t="n"/>
    </row>
    <row r="1822">
      <c r="A1822" s="3" t="n"/>
      <c r="B1822" s="3" t="n"/>
      <c r="C1822" s="3" t="n"/>
      <c r="D1822" s="3" t="n"/>
      <c r="E1822" s="4">
        <f>IF(A1822="","",COUNTIFS($A$4:A1822,A1822,$I$4:I1822,"&lt;&gt;Штраф -2",$I$4:I1822,"&lt;&gt;ушел на базу"))</f>
        <v/>
      </c>
      <c r="F1822" s="4">
        <f>IF(E1822="","",IF(E1822&lt;=3,6,IF(E1822&lt;=6,5,IF(E1822&lt;=9,4,IF(E1822&lt;=12,3,IF(E1822&lt;=15,2,0))))))</f>
        <v/>
      </c>
      <c r="G1822" s="3" t="n"/>
      <c r="H1822" s="4">
        <f>IF(I1822="Штраф -2",-2,IF(OR(F1822="",G1822=""),"",F1822*G1822+IF(J1822="",0,J1822)))</f>
        <v/>
      </c>
      <c r="I1822" s="3" t="n"/>
      <c r="J1822" s="3" t="n"/>
      <c r="K1822" s="3" t="n"/>
    </row>
    <row r="1823">
      <c r="A1823" s="3" t="n"/>
      <c r="B1823" s="3" t="n"/>
      <c r="C1823" s="3" t="n"/>
      <c r="D1823" s="3" t="n"/>
      <c r="E1823" s="4">
        <f>IF(A1823="","",COUNTIFS($A$4:A1823,A1823,$I$4:I1823,"&lt;&gt;Штраф -2",$I$4:I1823,"&lt;&gt;ушел на базу"))</f>
        <v/>
      </c>
      <c r="F1823" s="4">
        <f>IF(E1823="","",IF(E1823&lt;=3,6,IF(E1823&lt;=6,5,IF(E1823&lt;=9,4,IF(E1823&lt;=12,3,IF(E1823&lt;=15,2,0))))))</f>
        <v/>
      </c>
      <c r="G1823" s="3" t="n"/>
      <c r="H1823" s="4">
        <f>IF(I1823="Штраф -2",-2,IF(OR(F1823="",G1823=""),"",F1823*G1823+IF(J1823="",0,J1823)))</f>
        <v/>
      </c>
      <c r="I1823" s="3" t="n"/>
      <c r="J1823" s="3" t="n"/>
      <c r="K1823" s="3" t="n"/>
    </row>
    <row r="1824">
      <c r="A1824" s="3" t="n"/>
      <c r="B1824" s="3" t="n"/>
      <c r="C1824" s="3" t="n"/>
      <c r="D1824" s="3" t="n"/>
      <c r="E1824" s="4">
        <f>IF(A1824="","",COUNTIFS($A$4:A1824,A1824,$I$4:I1824,"&lt;&gt;Штраф -2",$I$4:I1824,"&lt;&gt;ушел на базу"))</f>
        <v/>
      </c>
      <c r="F1824" s="4">
        <f>IF(E1824="","",IF(E1824&lt;=3,6,IF(E1824&lt;=6,5,IF(E1824&lt;=9,4,IF(E1824&lt;=12,3,IF(E1824&lt;=15,2,0))))))</f>
        <v/>
      </c>
      <c r="G1824" s="3" t="n"/>
      <c r="H1824" s="4">
        <f>IF(I1824="Штраф -2",-2,IF(OR(F1824="",G1824=""),"",F1824*G1824+IF(J1824="",0,J1824)))</f>
        <v/>
      </c>
      <c r="I1824" s="3" t="n"/>
      <c r="J1824" s="3" t="n"/>
      <c r="K1824" s="3" t="n"/>
    </row>
    <row r="1825">
      <c r="A1825" s="3" t="n"/>
      <c r="B1825" s="3" t="n"/>
      <c r="C1825" s="3" t="n"/>
      <c r="D1825" s="3" t="n"/>
      <c r="E1825" s="4">
        <f>IF(A1825="","",COUNTIFS($A$4:A1825,A1825,$I$4:I1825,"&lt;&gt;Штраф -2",$I$4:I1825,"&lt;&gt;ушел на базу"))</f>
        <v/>
      </c>
      <c r="F1825" s="4">
        <f>IF(E1825="","",IF(E1825&lt;=3,6,IF(E1825&lt;=6,5,IF(E1825&lt;=9,4,IF(E1825&lt;=12,3,IF(E1825&lt;=15,2,0))))))</f>
        <v/>
      </c>
      <c r="G1825" s="3" t="n"/>
      <c r="H1825" s="4">
        <f>IF(I1825="Штраф -2",-2,IF(OR(F1825="",G1825=""),"",F1825*G1825+IF(J1825="",0,J1825)))</f>
        <v/>
      </c>
      <c r="I1825" s="3" t="n"/>
      <c r="J1825" s="3" t="n"/>
      <c r="K1825" s="3" t="n"/>
    </row>
    <row r="1826">
      <c r="A1826" s="3" t="n"/>
      <c r="B1826" s="3" t="n"/>
      <c r="C1826" s="3" t="n"/>
      <c r="D1826" s="3" t="n"/>
      <c r="E1826" s="4">
        <f>IF(A1826="","",COUNTIFS($A$4:A1826,A1826,$I$4:I1826,"&lt;&gt;Штраф -2",$I$4:I1826,"&lt;&gt;ушел на базу"))</f>
        <v/>
      </c>
      <c r="F1826" s="4">
        <f>IF(E1826="","",IF(E1826&lt;=3,6,IF(E1826&lt;=6,5,IF(E1826&lt;=9,4,IF(E1826&lt;=12,3,IF(E1826&lt;=15,2,0))))))</f>
        <v/>
      </c>
      <c r="G1826" s="3" t="n"/>
      <c r="H1826" s="4">
        <f>IF(I1826="Штраф -2",-2,IF(OR(F1826="",G1826=""),"",F1826*G1826+IF(J1826="",0,J1826)))</f>
        <v/>
      </c>
      <c r="I1826" s="3" t="n"/>
      <c r="J1826" s="3" t="n"/>
      <c r="K1826" s="3" t="n"/>
    </row>
    <row r="1827">
      <c r="A1827" s="3" t="n"/>
      <c r="B1827" s="3" t="n"/>
      <c r="C1827" s="3" t="n"/>
      <c r="D1827" s="3" t="n"/>
      <c r="E1827" s="4">
        <f>IF(A1827="","",COUNTIFS($A$4:A1827,A1827,$I$4:I1827,"&lt;&gt;Штраф -2",$I$4:I1827,"&lt;&gt;ушел на базу"))</f>
        <v/>
      </c>
      <c r="F1827" s="4">
        <f>IF(E1827="","",IF(E1827&lt;=3,6,IF(E1827&lt;=6,5,IF(E1827&lt;=9,4,IF(E1827&lt;=12,3,IF(E1827&lt;=15,2,0))))))</f>
        <v/>
      </c>
      <c r="G1827" s="3" t="n"/>
      <c r="H1827" s="4">
        <f>IF(I1827="Штраф -2",-2,IF(OR(F1827="",G1827=""),"",F1827*G1827+IF(J1827="",0,J1827)))</f>
        <v/>
      </c>
      <c r="I1827" s="3" t="n"/>
      <c r="J1827" s="3" t="n"/>
      <c r="K1827" s="3" t="n"/>
    </row>
    <row r="1828">
      <c r="A1828" s="3" t="n"/>
      <c r="B1828" s="3" t="n"/>
      <c r="C1828" s="3" t="n"/>
      <c r="D1828" s="3" t="n"/>
      <c r="E1828" s="4">
        <f>IF(A1828="","",COUNTIFS($A$4:A1828,A1828,$I$4:I1828,"&lt;&gt;Штраф -2",$I$4:I1828,"&lt;&gt;ушел на базу"))</f>
        <v/>
      </c>
      <c r="F1828" s="4">
        <f>IF(E1828="","",IF(E1828&lt;=3,6,IF(E1828&lt;=6,5,IF(E1828&lt;=9,4,IF(E1828&lt;=12,3,IF(E1828&lt;=15,2,0))))))</f>
        <v/>
      </c>
      <c r="G1828" s="3" t="n"/>
      <c r="H1828" s="4">
        <f>IF(I1828="Штраф -2",-2,IF(OR(F1828="",G1828=""),"",F1828*G1828+IF(J1828="",0,J1828)))</f>
        <v/>
      </c>
      <c r="I1828" s="3" t="n"/>
      <c r="J1828" s="3" t="n"/>
      <c r="K1828" s="3" t="n"/>
    </row>
    <row r="1829">
      <c r="A1829" s="3" t="n"/>
      <c r="B1829" s="3" t="n"/>
      <c r="C1829" s="3" t="n"/>
      <c r="D1829" s="3" t="n"/>
      <c r="E1829" s="4">
        <f>IF(A1829="","",COUNTIFS($A$4:A1829,A1829,$I$4:I1829,"&lt;&gt;Штраф -2",$I$4:I1829,"&lt;&gt;ушел на базу"))</f>
        <v/>
      </c>
      <c r="F1829" s="4">
        <f>IF(E1829="","",IF(E1829&lt;=3,6,IF(E1829&lt;=6,5,IF(E1829&lt;=9,4,IF(E1829&lt;=12,3,IF(E1829&lt;=15,2,0))))))</f>
        <v/>
      </c>
      <c r="G1829" s="3" t="n"/>
      <c r="H1829" s="4">
        <f>IF(I1829="Штраф -2",-2,IF(OR(F1829="",G1829=""),"",F1829*G1829+IF(J1829="",0,J1829)))</f>
        <v/>
      </c>
      <c r="I1829" s="3" t="n"/>
      <c r="J1829" s="3" t="n"/>
      <c r="K1829" s="3" t="n"/>
    </row>
    <row r="1830">
      <c r="A1830" s="3" t="n"/>
      <c r="B1830" s="3" t="n"/>
      <c r="C1830" s="3" t="n"/>
      <c r="D1830" s="3" t="n"/>
      <c r="E1830" s="4">
        <f>IF(A1830="","",COUNTIFS($A$4:A1830,A1830,$I$4:I1830,"&lt;&gt;Штраф -2",$I$4:I1830,"&lt;&gt;ушел на базу"))</f>
        <v/>
      </c>
      <c r="F1830" s="4">
        <f>IF(E1830="","",IF(E1830&lt;=3,6,IF(E1830&lt;=6,5,IF(E1830&lt;=9,4,IF(E1830&lt;=12,3,IF(E1830&lt;=15,2,0))))))</f>
        <v/>
      </c>
      <c r="G1830" s="3" t="n"/>
      <c r="H1830" s="4">
        <f>IF(I1830="Штраф -2",-2,IF(OR(F1830="",G1830=""),"",F1830*G1830+IF(J1830="",0,J1830)))</f>
        <v/>
      </c>
      <c r="I1830" s="3" t="n"/>
      <c r="J1830" s="3" t="n"/>
      <c r="K1830" s="3" t="n"/>
    </row>
    <row r="1831">
      <c r="A1831" s="3" t="n"/>
      <c r="B1831" s="3" t="n"/>
      <c r="C1831" s="3" t="n"/>
      <c r="D1831" s="3" t="n"/>
      <c r="E1831" s="4">
        <f>IF(A1831="","",COUNTIFS($A$4:A1831,A1831,$I$4:I1831,"&lt;&gt;Штраф -2",$I$4:I1831,"&lt;&gt;ушел на базу"))</f>
        <v/>
      </c>
      <c r="F1831" s="4">
        <f>IF(E1831="","",IF(E1831&lt;=3,6,IF(E1831&lt;=6,5,IF(E1831&lt;=9,4,IF(E1831&lt;=12,3,IF(E1831&lt;=15,2,0))))))</f>
        <v/>
      </c>
      <c r="G1831" s="3" t="n"/>
      <c r="H1831" s="4">
        <f>IF(I1831="Штраф -2",-2,IF(OR(F1831="",G1831=""),"",F1831*G1831+IF(J1831="",0,J1831)))</f>
        <v/>
      </c>
      <c r="I1831" s="3" t="n"/>
      <c r="J1831" s="3" t="n"/>
      <c r="K1831" s="3" t="n"/>
    </row>
    <row r="1832">
      <c r="A1832" s="3" t="n"/>
      <c r="B1832" s="3" t="n"/>
      <c r="C1832" s="3" t="n"/>
      <c r="D1832" s="3" t="n"/>
      <c r="E1832" s="4">
        <f>IF(A1832="","",COUNTIFS($A$4:A1832,A1832,$I$4:I1832,"&lt;&gt;Штраф -2",$I$4:I1832,"&lt;&gt;ушел на базу"))</f>
        <v/>
      </c>
      <c r="F1832" s="4">
        <f>IF(E1832="","",IF(E1832&lt;=3,6,IF(E1832&lt;=6,5,IF(E1832&lt;=9,4,IF(E1832&lt;=12,3,IF(E1832&lt;=15,2,0))))))</f>
        <v/>
      </c>
      <c r="G1832" s="3" t="n"/>
      <c r="H1832" s="4">
        <f>IF(I1832="Штраф -2",-2,IF(OR(F1832="",G1832=""),"",F1832*G1832+IF(J1832="",0,J1832)))</f>
        <v/>
      </c>
      <c r="I1832" s="3" t="n"/>
      <c r="J1832" s="3" t="n"/>
      <c r="K1832" s="3" t="n"/>
    </row>
    <row r="1833">
      <c r="A1833" s="3" t="n"/>
      <c r="B1833" s="3" t="n"/>
      <c r="C1833" s="3" t="n"/>
      <c r="D1833" s="3" t="n"/>
      <c r="E1833" s="4">
        <f>IF(A1833="","",COUNTIFS($A$4:A1833,A1833,$I$4:I1833,"&lt;&gt;Штраф -2",$I$4:I1833,"&lt;&gt;ушел на базу"))</f>
        <v/>
      </c>
      <c r="F1833" s="4">
        <f>IF(E1833="","",IF(E1833&lt;=3,6,IF(E1833&lt;=6,5,IF(E1833&lt;=9,4,IF(E1833&lt;=12,3,IF(E1833&lt;=15,2,0))))))</f>
        <v/>
      </c>
      <c r="G1833" s="3" t="n"/>
      <c r="H1833" s="4">
        <f>IF(I1833="Штраф -2",-2,IF(OR(F1833="",G1833=""),"",F1833*G1833+IF(J1833="",0,J1833)))</f>
        <v/>
      </c>
      <c r="I1833" s="3" t="n"/>
      <c r="J1833" s="3" t="n"/>
      <c r="K1833" s="3" t="n"/>
    </row>
    <row r="1834">
      <c r="A1834" s="3" t="n"/>
      <c r="B1834" s="3" t="n"/>
      <c r="C1834" s="3" t="n"/>
      <c r="D1834" s="3" t="n"/>
      <c r="E1834" s="4">
        <f>IF(A1834="","",COUNTIFS($A$4:A1834,A1834,$I$4:I1834,"&lt;&gt;Штраф -2",$I$4:I1834,"&lt;&gt;ушел на базу"))</f>
        <v/>
      </c>
      <c r="F1834" s="4">
        <f>IF(E1834="","",IF(E1834&lt;=3,6,IF(E1834&lt;=6,5,IF(E1834&lt;=9,4,IF(E1834&lt;=12,3,IF(E1834&lt;=15,2,0))))))</f>
        <v/>
      </c>
      <c r="G1834" s="3" t="n"/>
      <c r="H1834" s="4">
        <f>IF(I1834="Штраф -2",-2,IF(OR(F1834="",G1834=""),"",F1834*G1834+IF(J1834="",0,J1834)))</f>
        <v/>
      </c>
      <c r="I1834" s="3" t="n"/>
      <c r="J1834" s="3" t="n"/>
      <c r="K1834" s="3" t="n"/>
    </row>
    <row r="1835">
      <c r="A1835" s="3" t="n"/>
      <c r="B1835" s="3" t="n"/>
      <c r="C1835" s="3" t="n"/>
      <c r="D1835" s="3" t="n"/>
      <c r="E1835" s="4">
        <f>IF(A1835="","",COUNTIFS($A$4:A1835,A1835,$I$4:I1835,"&lt;&gt;Штраф -2",$I$4:I1835,"&lt;&gt;ушел на базу"))</f>
        <v/>
      </c>
      <c r="F1835" s="4">
        <f>IF(E1835="","",IF(E1835&lt;=3,6,IF(E1835&lt;=6,5,IF(E1835&lt;=9,4,IF(E1835&lt;=12,3,IF(E1835&lt;=15,2,0))))))</f>
        <v/>
      </c>
      <c r="G1835" s="3" t="n"/>
      <c r="H1835" s="4">
        <f>IF(I1835="Штраф -2",-2,IF(OR(F1835="",G1835=""),"",F1835*G1835+IF(J1835="",0,J1835)))</f>
        <v/>
      </c>
      <c r="I1835" s="3" t="n"/>
      <c r="J1835" s="3" t="n"/>
      <c r="K1835" s="3" t="n"/>
    </row>
    <row r="1836">
      <c r="A1836" s="3" t="n"/>
      <c r="B1836" s="3" t="n"/>
      <c r="C1836" s="3" t="n"/>
      <c r="D1836" s="3" t="n"/>
      <c r="E1836" s="4">
        <f>IF(A1836="","",COUNTIFS($A$4:A1836,A1836,$I$4:I1836,"&lt;&gt;Штраф -2",$I$4:I1836,"&lt;&gt;ушел на базу"))</f>
        <v/>
      </c>
      <c r="F1836" s="4">
        <f>IF(E1836="","",IF(E1836&lt;=3,6,IF(E1836&lt;=6,5,IF(E1836&lt;=9,4,IF(E1836&lt;=12,3,IF(E1836&lt;=15,2,0))))))</f>
        <v/>
      </c>
      <c r="G1836" s="3" t="n"/>
      <c r="H1836" s="4">
        <f>IF(I1836="Штраф -2",-2,IF(OR(F1836="",G1836=""),"",F1836*G1836+IF(J1836="",0,J1836)))</f>
        <v/>
      </c>
      <c r="I1836" s="3" t="n"/>
      <c r="J1836" s="3" t="n"/>
      <c r="K1836" s="3" t="n"/>
    </row>
    <row r="1837">
      <c r="A1837" s="3" t="n"/>
      <c r="B1837" s="3" t="n"/>
      <c r="C1837" s="3" t="n"/>
      <c r="D1837" s="3" t="n"/>
      <c r="E1837" s="4">
        <f>IF(A1837="","",COUNTIFS($A$4:A1837,A1837,$I$4:I1837,"&lt;&gt;Штраф -2",$I$4:I1837,"&lt;&gt;ушел на базу"))</f>
        <v/>
      </c>
      <c r="F1837" s="4">
        <f>IF(E1837="","",IF(E1837&lt;=3,6,IF(E1837&lt;=6,5,IF(E1837&lt;=9,4,IF(E1837&lt;=12,3,IF(E1837&lt;=15,2,0))))))</f>
        <v/>
      </c>
      <c r="G1837" s="3" t="n"/>
      <c r="H1837" s="4">
        <f>IF(I1837="Штраф -2",-2,IF(OR(F1837="",G1837=""),"",F1837*G1837+IF(J1837="",0,J1837)))</f>
        <v/>
      </c>
      <c r="I1837" s="3" t="n"/>
      <c r="J1837" s="3" t="n"/>
      <c r="K1837" s="3" t="n"/>
    </row>
    <row r="1838">
      <c r="A1838" s="3" t="n"/>
      <c r="B1838" s="3" t="n"/>
      <c r="C1838" s="3" t="n"/>
      <c r="D1838" s="3" t="n"/>
      <c r="E1838" s="4">
        <f>IF(A1838="","",COUNTIFS($A$4:A1838,A1838,$I$4:I1838,"&lt;&gt;Штраф -2",$I$4:I1838,"&lt;&gt;ушел на базу"))</f>
        <v/>
      </c>
      <c r="F1838" s="4">
        <f>IF(E1838="","",IF(E1838&lt;=3,6,IF(E1838&lt;=6,5,IF(E1838&lt;=9,4,IF(E1838&lt;=12,3,IF(E1838&lt;=15,2,0))))))</f>
        <v/>
      </c>
      <c r="G1838" s="3" t="n"/>
      <c r="H1838" s="4">
        <f>IF(I1838="Штраф -2",-2,IF(OR(F1838="",G1838=""),"",F1838*G1838+IF(J1838="",0,J1838)))</f>
        <v/>
      </c>
      <c r="I1838" s="3" t="n"/>
      <c r="J1838" s="3" t="n"/>
      <c r="K1838" s="3" t="n"/>
    </row>
    <row r="1839">
      <c r="A1839" s="3" t="n"/>
      <c r="B1839" s="3" t="n"/>
      <c r="C1839" s="3" t="n"/>
      <c r="D1839" s="3" t="n"/>
      <c r="E1839" s="4">
        <f>IF(A1839="","",COUNTIFS($A$4:A1839,A1839,$I$4:I1839,"&lt;&gt;Штраф -2",$I$4:I1839,"&lt;&gt;ушел на базу"))</f>
        <v/>
      </c>
      <c r="F1839" s="4">
        <f>IF(E1839="","",IF(E1839&lt;=3,6,IF(E1839&lt;=6,5,IF(E1839&lt;=9,4,IF(E1839&lt;=12,3,IF(E1839&lt;=15,2,0))))))</f>
        <v/>
      </c>
      <c r="G1839" s="3" t="n"/>
      <c r="H1839" s="4">
        <f>IF(I1839="Штраф -2",-2,IF(OR(F1839="",G1839=""),"",F1839*G1839+IF(J1839="",0,J1839)))</f>
        <v/>
      </c>
      <c r="I1839" s="3" t="n"/>
      <c r="J1839" s="3" t="n"/>
      <c r="K1839" s="3" t="n"/>
    </row>
    <row r="1840">
      <c r="A1840" s="3" t="n"/>
      <c r="B1840" s="3" t="n"/>
      <c r="C1840" s="3" t="n"/>
      <c r="D1840" s="3" t="n"/>
      <c r="E1840" s="4">
        <f>IF(A1840="","",COUNTIFS($A$4:A1840,A1840,$I$4:I1840,"&lt;&gt;Штраф -2",$I$4:I1840,"&lt;&gt;ушел на базу"))</f>
        <v/>
      </c>
      <c r="F1840" s="4">
        <f>IF(E1840="","",IF(E1840&lt;=3,6,IF(E1840&lt;=6,5,IF(E1840&lt;=9,4,IF(E1840&lt;=12,3,IF(E1840&lt;=15,2,0))))))</f>
        <v/>
      </c>
      <c r="G1840" s="3" t="n"/>
      <c r="H1840" s="4">
        <f>IF(I1840="Штраф -2",-2,IF(OR(F1840="",G1840=""),"",F1840*G1840+IF(J1840="",0,J1840)))</f>
        <v/>
      </c>
      <c r="I1840" s="3" t="n"/>
      <c r="J1840" s="3" t="n"/>
      <c r="K1840" s="3" t="n"/>
    </row>
    <row r="1841">
      <c r="A1841" s="3" t="n"/>
      <c r="B1841" s="3" t="n"/>
      <c r="C1841" s="3" t="n"/>
      <c r="D1841" s="3" t="n"/>
      <c r="E1841" s="4">
        <f>IF(A1841="","",COUNTIFS($A$4:A1841,A1841,$I$4:I1841,"&lt;&gt;Штраф -2",$I$4:I1841,"&lt;&gt;ушел на базу"))</f>
        <v/>
      </c>
      <c r="F1841" s="4">
        <f>IF(E1841="","",IF(E1841&lt;=3,6,IF(E1841&lt;=6,5,IF(E1841&lt;=9,4,IF(E1841&lt;=12,3,IF(E1841&lt;=15,2,0))))))</f>
        <v/>
      </c>
      <c r="G1841" s="3" t="n"/>
      <c r="H1841" s="4">
        <f>IF(I1841="Штраф -2",-2,IF(OR(F1841="",G1841=""),"",F1841*G1841+IF(J1841="",0,J1841)))</f>
        <v/>
      </c>
      <c r="I1841" s="3" t="n"/>
      <c r="J1841" s="3" t="n"/>
      <c r="K1841" s="3" t="n"/>
    </row>
    <row r="1842">
      <c r="A1842" s="3" t="n"/>
      <c r="B1842" s="3" t="n"/>
      <c r="C1842" s="3" t="n"/>
      <c r="D1842" s="3" t="n"/>
      <c r="E1842" s="4">
        <f>IF(A1842="","",COUNTIFS($A$4:A1842,A1842,$I$4:I1842,"&lt;&gt;Штраф -2",$I$4:I1842,"&lt;&gt;ушел на базу"))</f>
        <v/>
      </c>
      <c r="F1842" s="4">
        <f>IF(E1842="","",IF(E1842&lt;=3,6,IF(E1842&lt;=6,5,IF(E1842&lt;=9,4,IF(E1842&lt;=12,3,IF(E1842&lt;=15,2,0))))))</f>
        <v/>
      </c>
      <c r="G1842" s="3" t="n"/>
      <c r="H1842" s="4">
        <f>IF(I1842="Штраф -2",-2,IF(OR(F1842="",G1842=""),"",F1842*G1842+IF(J1842="",0,J1842)))</f>
        <v/>
      </c>
      <c r="I1842" s="3" t="n"/>
      <c r="J1842" s="3" t="n"/>
      <c r="K1842" s="3" t="n"/>
    </row>
    <row r="1843">
      <c r="A1843" s="3" t="n"/>
      <c r="B1843" s="3" t="n"/>
      <c r="C1843" s="3" t="n"/>
      <c r="D1843" s="3" t="n"/>
      <c r="E1843" s="4">
        <f>IF(A1843="","",COUNTIFS($A$4:A1843,A1843,$I$4:I1843,"&lt;&gt;Штраф -2",$I$4:I1843,"&lt;&gt;ушел на базу"))</f>
        <v/>
      </c>
      <c r="F1843" s="4">
        <f>IF(E1843="","",IF(E1843&lt;=3,6,IF(E1843&lt;=6,5,IF(E1843&lt;=9,4,IF(E1843&lt;=12,3,IF(E1843&lt;=15,2,0))))))</f>
        <v/>
      </c>
      <c r="G1843" s="3" t="n"/>
      <c r="H1843" s="4">
        <f>IF(I1843="Штраф -2",-2,IF(OR(F1843="",G1843=""),"",F1843*G1843+IF(J1843="",0,J1843)))</f>
        <v/>
      </c>
      <c r="I1843" s="3" t="n"/>
      <c r="J1843" s="3" t="n"/>
      <c r="K1843" s="3" t="n"/>
    </row>
    <row r="1844">
      <c r="A1844" s="3" t="n"/>
      <c r="B1844" s="3" t="n"/>
      <c r="C1844" s="3" t="n"/>
      <c r="D1844" s="3" t="n"/>
      <c r="E1844" s="4">
        <f>IF(A1844="","",COUNTIFS($A$4:A1844,A1844,$I$4:I1844,"&lt;&gt;Штраф -2",$I$4:I1844,"&lt;&gt;ушел на базу"))</f>
        <v/>
      </c>
      <c r="F1844" s="4">
        <f>IF(E1844="","",IF(E1844&lt;=3,6,IF(E1844&lt;=6,5,IF(E1844&lt;=9,4,IF(E1844&lt;=12,3,IF(E1844&lt;=15,2,0))))))</f>
        <v/>
      </c>
      <c r="G1844" s="3" t="n"/>
      <c r="H1844" s="4">
        <f>IF(I1844="Штраф -2",-2,IF(OR(F1844="",G1844=""),"",F1844*G1844+IF(J1844="",0,J1844)))</f>
        <v/>
      </c>
      <c r="I1844" s="3" t="n"/>
      <c r="J1844" s="3" t="n"/>
      <c r="K1844" s="3" t="n"/>
    </row>
    <row r="1845">
      <c r="A1845" s="3" t="n"/>
      <c r="B1845" s="3" t="n"/>
      <c r="C1845" s="3" t="n"/>
      <c r="D1845" s="3" t="n"/>
      <c r="E1845" s="4">
        <f>IF(A1845="","",COUNTIFS($A$4:A1845,A1845,$I$4:I1845,"&lt;&gt;Штраф -2",$I$4:I1845,"&lt;&gt;ушел на базу"))</f>
        <v/>
      </c>
      <c r="F1845" s="4">
        <f>IF(E1845="","",IF(E1845&lt;=3,6,IF(E1845&lt;=6,5,IF(E1845&lt;=9,4,IF(E1845&lt;=12,3,IF(E1845&lt;=15,2,0))))))</f>
        <v/>
      </c>
      <c r="G1845" s="3" t="n"/>
      <c r="H1845" s="4">
        <f>IF(I1845="Штраф -2",-2,IF(OR(F1845="",G1845=""),"",F1845*G1845+IF(J1845="",0,J1845)))</f>
        <v/>
      </c>
      <c r="I1845" s="3" t="n"/>
      <c r="J1845" s="3" t="n"/>
      <c r="K1845" s="3" t="n"/>
    </row>
    <row r="1846">
      <c r="A1846" s="3" t="n"/>
      <c r="B1846" s="3" t="n"/>
      <c r="C1846" s="3" t="n"/>
      <c r="D1846" s="3" t="n"/>
      <c r="E1846" s="4">
        <f>IF(A1846="","",COUNTIFS($A$4:A1846,A1846,$I$4:I1846,"&lt;&gt;Штраф -2",$I$4:I1846,"&lt;&gt;ушел на базу"))</f>
        <v/>
      </c>
      <c r="F1846" s="4">
        <f>IF(E1846="","",IF(E1846&lt;=3,6,IF(E1846&lt;=6,5,IF(E1846&lt;=9,4,IF(E1846&lt;=12,3,IF(E1846&lt;=15,2,0))))))</f>
        <v/>
      </c>
      <c r="G1846" s="3" t="n"/>
      <c r="H1846" s="4">
        <f>IF(I1846="Штраф -2",-2,IF(OR(F1846="",G1846=""),"",F1846*G1846+IF(J1846="",0,J1846)))</f>
        <v/>
      </c>
      <c r="I1846" s="3" t="n"/>
      <c r="J1846" s="3" t="n"/>
      <c r="K1846" s="3" t="n"/>
    </row>
    <row r="1847">
      <c r="A1847" s="3" t="n"/>
      <c r="B1847" s="3" t="n"/>
      <c r="C1847" s="3" t="n"/>
      <c r="D1847" s="3" t="n"/>
      <c r="E1847" s="4">
        <f>IF(A1847="","",COUNTIFS($A$4:A1847,A1847,$I$4:I1847,"&lt;&gt;Штраф -2",$I$4:I1847,"&lt;&gt;ушел на базу"))</f>
        <v/>
      </c>
      <c r="F1847" s="4">
        <f>IF(E1847="","",IF(E1847&lt;=3,6,IF(E1847&lt;=6,5,IF(E1847&lt;=9,4,IF(E1847&lt;=12,3,IF(E1847&lt;=15,2,0))))))</f>
        <v/>
      </c>
      <c r="G1847" s="3" t="n"/>
      <c r="H1847" s="4">
        <f>IF(I1847="Штраф -2",-2,IF(OR(F1847="",G1847=""),"",F1847*G1847+IF(J1847="",0,J1847)))</f>
        <v/>
      </c>
      <c r="I1847" s="3" t="n"/>
      <c r="J1847" s="3" t="n"/>
      <c r="K1847" s="3" t="n"/>
    </row>
    <row r="1848">
      <c r="A1848" s="3" t="n"/>
      <c r="B1848" s="3" t="n"/>
      <c r="C1848" s="3" t="n"/>
      <c r="D1848" s="3" t="n"/>
      <c r="E1848" s="4">
        <f>IF(A1848="","",COUNTIFS($A$4:A1848,A1848,$I$4:I1848,"&lt;&gt;Штраф -2",$I$4:I1848,"&lt;&gt;ушел на базу"))</f>
        <v/>
      </c>
      <c r="F1848" s="4">
        <f>IF(E1848="","",IF(E1848&lt;=3,6,IF(E1848&lt;=6,5,IF(E1848&lt;=9,4,IF(E1848&lt;=12,3,IF(E1848&lt;=15,2,0))))))</f>
        <v/>
      </c>
      <c r="G1848" s="3" t="n"/>
      <c r="H1848" s="4">
        <f>IF(I1848="Штраф -2",-2,IF(OR(F1848="",G1848=""),"",F1848*G1848+IF(J1848="",0,J1848)))</f>
        <v/>
      </c>
      <c r="I1848" s="3" t="n"/>
      <c r="J1848" s="3" t="n"/>
      <c r="K1848" s="3" t="n"/>
    </row>
    <row r="1849">
      <c r="A1849" s="3" t="n"/>
      <c r="B1849" s="3" t="n"/>
      <c r="C1849" s="3" t="n"/>
      <c r="D1849" s="3" t="n"/>
      <c r="E1849" s="4">
        <f>IF(A1849="","",COUNTIFS($A$4:A1849,A1849,$I$4:I1849,"&lt;&gt;Штраф -2",$I$4:I1849,"&lt;&gt;ушел на базу"))</f>
        <v/>
      </c>
      <c r="F1849" s="4">
        <f>IF(E1849="","",IF(E1849&lt;=3,6,IF(E1849&lt;=6,5,IF(E1849&lt;=9,4,IF(E1849&lt;=12,3,IF(E1849&lt;=15,2,0))))))</f>
        <v/>
      </c>
      <c r="G1849" s="3" t="n"/>
      <c r="H1849" s="4">
        <f>IF(I1849="Штраф -2",-2,IF(OR(F1849="",G1849=""),"",F1849*G1849+IF(J1849="",0,J1849)))</f>
        <v/>
      </c>
      <c r="I1849" s="3" t="n"/>
      <c r="J1849" s="3" t="n"/>
      <c r="K1849" s="3" t="n"/>
    </row>
    <row r="1850">
      <c r="A1850" s="3" t="n"/>
      <c r="B1850" s="3" t="n"/>
      <c r="C1850" s="3" t="n"/>
      <c r="D1850" s="3" t="n"/>
      <c r="E1850" s="4">
        <f>IF(A1850="","",COUNTIFS($A$4:A1850,A1850,$I$4:I1850,"&lt;&gt;Штраф -2",$I$4:I1850,"&lt;&gt;ушел на базу"))</f>
        <v/>
      </c>
      <c r="F1850" s="4">
        <f>IF(E1850="","",IF(E1850&lt;=3,6,IF(E1850&lt;=6,5,IF(E1850&lt;=9,4,IF(E1850&lt;=12,3,IF(E1850&lt;=15,2,0))))))</f>
        <v/>
      </c>
      <c r="G1850" s="3" t="n"/>
      <c r="H1850" s="4">
        <f>IF(I1850="Штраф -2",-2,IF(OR(F1850="",G1850=""),"",F1850*G1850+IF(J1850="",0,J1850)))</f>
        <v/>
      </c>
      <c r="I1850" s="3" t="n"/>
      <c r="J1850" s="3" t="n"/>
      <c r="K1850" s="3" t="n"/>
    </row>
    <row r="1851">
      <c r="A1851" s="3" t="n"/>
      <c r="B1851" s="3" t="n"/>
      <c r="C1851" s="3" t="n"/>
      <c r="D1851" s="3" t="n"/>
      <c r="E1851" s="4">
        <f>IF(A1851="","",COUNTIFS($A$4:A1851,A1851,$I$4:I1851,"&lt;&gt;Штраф -2",$I$4:I1851,"&lt;&gt;ушел на базу"))</f>
        <v/>
      </c>
      <c r="F1851" s="4">
        <f>IF(E1851="","",IF(E1851&lt;=3,6,IF(E1851&lt;=6,5,IF(E1851&lt;=9,4,IF(E1851&lt;=12,3,IF(E1851&lt;=15,2,0))))))</f>
        <v/>
      </c>
      <c r="G1851" s="3" t="n"/>
      <c r="H1851" s="4">
        <f>IF(I1851="Штраф -2",-2,IF(OR(F1851="",G1851=""),"",F1851*G1851+IF(J1851="",0,J1851)))</f>
        <v/>
      </c>
      <c r="I1851" s="3" t="n"/>
      <c r="J1851" s="3" t="n"/>
      <c r="K1851" s="3" t="n"/>
    </row>
    <row r="1852">
      <c r="A1852" s="3" t="n"/>
      <c r="B1852" s="3" t="n"/>
      <c r="C1852" s="3" t="n"/>
      <c r="D1852" s="3" t="n"/>
      <c r="E1852" s="4">
        <f>IF(A1852="","",COUNTIFS($A$4:A1852,A1852,$I$4:I1852,"&lt;&gt;Штраф -2",$I$4:I1852,"&lt;&gt;ушел на базу"))</f>
        <v/>
      </c>
      <c r="F1852" s="4">
        <f>IF(E1852="","",IF(E1852&lt;=3,6,IF(E1852&lt;=6,5,IF(E1852&lt;=9,4,IF(E1852&lt;=12,3,IF(E1852&lt;=15,2,0))))))</f>
        <v/>
      </c>
      <c r="G1852" s="3" t="n"/>
      <c r="H1852" s="4">
        <f>IF(I1852="Штраф -2",-2,IF(OR(F1852="",G1852=""),"",F1852*G1852+IF(J1852="",0,J1852)))</f>
        <v/>
      </c>
      <c r="I1852" s="3" t="n"/>
      <c r="J1852" s="3" t="n"/>
      <c r="K1852" s="3" t="n"/>
    </row>
    <row r="1853">
      <c r="A1853" s="3" t="n"/>
      <c r="B1853" s="3" t="n"/>
      <c r="C1853" s="3" t="n"/>
      <c r="D1853" s="3" t="n"/>
      <c r="E1853" s="4">
        <f>IF(A1853="","",COUNTIFS($A$4:A1853,A1853,$I$4:I1853,"&lt;&gt;Штраф -2",$I$4:I1853,"&lt;&gt;ушел на базу"))</f>
        <v/>
      </c>
      <c r="F1853" s="4">
        <f>IF(E1853="","",IF(E1853&lt;=3,6,IF(E1853&lt;=6,5,IF(E1853&lt;=9,4,IF(E1853&lt;=12,3,IF(E1853&lt;=15,2,0))))))</f>
        <v/>
      </c>
      <c r="G1853" s="3" t="n"/>
      <c r="H1853" s="4">
        <f>IF(I1853="Штраф -2",-2,IF(OR(F1853="",G1853=""),"",F1853*G1853+IF(J1853="",0,J1853)))</f>
        <v/>
      </c>
      <c r="I1853" s="3" t="n"/>
      <c r="J1853" s="3" t="n"/>
      <c r="K1853" s="3" t="n"/>
    </row>
    <row r="1854">
      <c r="A1854" s="3" t="n"/>
      <c r="B1854" s="3" t="n"/>
      <c r="C1854" s="3" t="n"/>
      <c r="D1854" s="3" t="n"/>
      <c r="E1854" s="4">
        <f>IF(A1854="","",COUNTIFS($A$4:A1854,A1854,$I$4:I1854,"&lt;&gt;Штраф -2",$I$4:I1854,"&lt;&gt;ушел на базу"))</f>
        <v/>
      </c>
      <c r="F1854" s="4">
        <f>IF(E1854="","",IF(E1854&lt;=3,6,IF(E1854&lt;=6,5,IF(E1854&lt;=9,4,IF(E1854&lt;=12,3,IF(E1854&lt;=15,2,0))))))</f>
        <v/>
      </c>
      <c r="G1854" s="3" t="n"/>
      <c r="H1854" s="4">
        <f>IF(I1854="Штраф -2",-2,IF(OR(F1854="",G1854=""),"",F1854*G1854+IF(J1854="",0,J1854)))</f>
        <v/>
      </c>
      <c r="I1854" s="3" t="n"/>
      <c r="J1854" s="3" t="n"/>
      <c r="K1854" s="3" t="n"/>
    </row>
    <row r="1855">
      <c r="A1855" s="3" t="n"/>
      <c r="B1855" s="3" t="n"/>
      <c r="C1855" s="3" t="n"/>
      <c r="D1855" s="3" t="n"/>
      <c r="E1855" s="4">
        <f>IF(A1855="","",COUNTIFS($A$4:A1855,A1855,$I$4:I1855,"&lt;&gt;Штраф -2",$I$4:I1855,"&lt;&gt;ушел на базу"))</f>
        <v/>
      </c>
      <c r="F1855" s="4">
        <f>IF(E1855="","",IF(E1855&lt;=3,6,IF(E1855&lt;=6,5,IF(E1855&lt;=9,4,IF(E1855&lt;=12,3,IF(E1855&lt;=15,2,0))))))</f>
        <v/>
      </c>
      <c r="G1855" s="3" t="n"/>
      <c r="H1855" s="4">
        <f>IF(I1855="Штраф -2",-2,IF(OR(F1855="",G1855=""),"",F1855*G1855+IF(J1855="",0,J1855)))</f>
        <v/>
      </c>
      <c r="I1855" s="3" t="n"/>
      <c r="J1855" s="3" t="n"/>
      <c r="K1855" s="3" t="n"/>
    </row>
    <row r="1856">
      <c r="A1856" s="3" t="n"/>
      <c r="B1856" s="3" t="n"/>
      <c r="C1856" s="3" t="n"/>
      <c r="D1856" s="3" t="n"/>
      <c r="E1856" s="4">
        <f>IF(A1856="","",COUNTIFS($A$4:A1856,A1856,$I$4:I1856,"&lt;&gt;Штраф -2",$I$4:I1856,"&lt;&gt;ушел на базу"))</f>
        <v/>
      </c>
      <c r="F1856" s="4">
        <f>IF(E1856="","",IF(E1856&lt;=3,6,IF(E1856&lt;=6,5,IF(E1856&lt;=9,4,IF(E1856&lt;=12,3,IF(E1856&lt;=15,2,0))))))</f>
        <v/>
      </c>
      <c r="G1856" s="3" t="n"/>
      <c r="H1856" s="4">
        <f>IF(I1856="Штраф -2",-2,IF(OR(F1856="",G1856=""),"",F1856*G1856+IF(J1856="",0,J1856)))</f>
        <v/>
      </c>
      <c r="I1856" s="3" t="n"/>
      <c r="J1856" s="3" t="n"/>
      <c r="K1856" s="3" t="n"/>
    </row>
    <row r="1857">
      <c r="A1857" s="3" t="n"/>
      <c r="B1857" s="3" t="n"/>
      <c r="C1857" s="3" t="n"/>
      <c r="D1857" s="3" t="n"/>
      <c r="E1857" s="4">
        <f>IF(A1857="","",COUNTIFS($A$4:A1857,A1857,$I$4:I1857,"&lt;&gt;Штраф -2",$I$4:I1857,"&lt;&gt;ушел на базу"))</f>
        <v/>
      </c>
      <c r="F1857" s="4">
        <f>IF(E1857="","",IF(E1857&lt;=3,6,IF(E1857&lt;=6,5,IF(E1857&lt;=9,4,IF(E1857&lt;=12,3,IF(E1857&lt;=15,2,0))))))</f>
        <v/>
      </c>
      <c r="G1857" s="3" t="n"/>
      <c r="H1857" s="4">
        <f>IF(I1857="Штраф -2",-2,IF(OR(F1857="",G1857=""),"",F1857*G1857+IF(J1857="",0,J1857)))</f>
        <v/>
      </c>
      <c r="I1857" s="3" t="n"/>
      <c r="J1857" s="3" t="n"/>
      <c r="K1857" s="3" t="n"/>
    </row>
    <row r="1858">
      <c r="A1858" s="3" t="n"/>
      <c r="B1858" s="3" t="n"/>
      <c r="C1858" s="3" t="n"/>
      <c r="D1858" s="3" t="n"/>
      <c r="E1858" s="4">
        <f>IF(A1858="","",COUNTIFS($A$4:A1858,A1858,$I$4:I1858,"&lt;&gt;Штраф -2",$I$4:I1858,"&lt;&gt;ушел на базу"))</f>
        <v/>
      </c>
      <c r="F1858" s="4">
        <f>IF(E1858="","",IF(E1858&lt;=3,6,IF(E1858&lt;=6,5,IF(E1858&lt;=9,4,IF(E1858&lt;=12,3,IF(E1858&lt;=15,2,0))))))</f>
        <v/>
      </c>
      <c r="G1858" s="3" t="n"/>
      <c r="H1858" s="4">
        <f>IF(I1858="Штраф -2",-2,IF(OR(F1858="",G1858=""),"",F1858*G1858+IF(J1858="",0,J1858)))</f>
        <v/>
      </c>
      <c r="I1858" s="3" t="n"/>
      <c r="J1858" s="3" t="n"/>
      <c r="K1858" s="3" t="n"/>
    </row>
    <row r="1859">
      <c r="A1859" s="3" t="n"/>
      <c r="B1859" s="3" t="n"/>
      <c r="C1859" s="3" t="n"/>
      <c r="D1859" s="3" t="n"/>
      <c r="E1859" s="4">
        <f>IF(A1859="","",COUNTIFS($A$4:A1859,A1859,$I$4:I1859,"&lt;&gt;Штраф -2",$I$4:I1859,"&lt;&gt;ушел на базу"))</f>
        <v/>
      </c>
      <c r="F1859" s="4">
        <f>IF(E1859="","",IF(E1859&lt;=3,6,IF(E1859&lt;=6,5,IF(E1859&lt;=9,4,IF(E1859&lt;=12,3,IF(E1859&lt;=15,2,0))))))</f>
        <v/>
      </c>
      <c r="G1859" s="3" t="n"/>
      <c r="H1859" s="4">
        <f>IF(I1859="Штраф -2",-2,IF(OR(F1859="",G1859=""),"",F1859*G1859+IF(J1859="",0,J1859)))</f>
        <v/>
      </c>
      <c r="I1859" s="3" t="n"/>
      <c r="J1859" s="3" t="n"/>
      <c r="K1859" s="3" t="n"/>
    </row>
    <row r="1860">
      <c r="A1860" s="3" t="n"/>
      <c r="B1860" s="3" t="n"/>
      <c r="C1860" s="3" t="n"/>
      <c r="D1860" s="3" t="n"/>
      <c r="E1860" s="4">
        <f>IF(A1860="","",COUNTIFS($A$4:A1860,A1860,$I$4:I1860,"&lt;&gt;Штраф -2",$I$4:I1860,"&lt;&gt;ушел на базу"))</f>
        <v/>
      </c>
      <c r="F1860" s="4">
        <f>IF(E1860="","",IF(E1860&lt;=3,6,IF(E1860&lt;=6,5,IF(E1860&lt;=9,4,IF(E1860&lt;=12,3,IF(E1860&lt;=15,2,0))))))</f>
        <v/>
      </c>
      <c r="G1860" s="3" t="n"/>
      <c r="H1860" s="4">
        <f>IF(I1860="Штраф -2",-2,IF(OR(F1860="",G1860=""),"",F1860*G1860+IF(J1860="",0,J1860)))</f>
        <v/>
      </c>
      <c r="I1860" s="3" t="n"/>
      <c r="J1860" s="3" t="n"/>
      <c r="K1860" s="3" t="n"/>
    </row>
    <row r="1861">
      <c r="A1861" s="3" t="n"/>
      <c r="B1861" s="3" t="n"/>
      <c r="C1861" s="3" t="n"/>
      <c r="D1861" s="3" t="n"/>
      <c r="E1861" s="4">
        <f>IF(A1861="","",COUNTIFS($A$4:A1861,A1861,$I$4:I1861,"&lt;&gt;Штраф -2",$I$4:I1861,"&lt;&gt;ушел на базу"))</f>
        <v/>
      </c>
      <c r="F1861" s="4">
        <f>IF(E1861="","",IF(E1861&lt;=3,6,IF(E1861&lt;=6,5,IF(E1861&lt;=9,4,IF(E1861&lt;=12,3,IF(E1861&lt;=15,2,0))))))</f>
        <v/>
      </c>
      <c r="G1861" s="3" t="n"/>
      <c r="H1861" s="4">
        <f>IF(I1861="Штраф -2",-2,IF(OR(F1861="",G1861=""),"",F1861*G1861+IF(J1861="",0,J1861)))</f>
        <v/>
      </c>
      <c r="I1861" s="3" t="n"/>
      <c r="J1861" s="3" t="n"/>
      <c r="K1861" s="3" t="n"/>
    </row>
    <row r="1862">
      <c r="A1862" s="3" t="n"/>
      <c r="B1862" s="3" t="n"/>
      <c r="C1862" s="3" t="n"/>
      <c r="D1862" s="3" t="n"/>
      <c r="E1862" s="4">
        <f>IF(A1862="","",COUNTIFS($A$4:A1862,A1862,$I$4:I1862,"&lt;&gt;Штраф -2",$I$4:I1862,"&lt;&gt;ушел на базу"))</f>
        <v/>
      </c>
      <c r="F1862" s="4">
        <f>IF(E1862="","",IF(E1862&lt;=3,6,IF(E1862&lt;=6,5,IF(E1862&lt;=9,4,IF(E1862&lt;=12,3,IF(E1862&lt;=15,2,0))))))</f>
        <v/>
      </c>
      <c r="G1862" s="3" t="n"/>
      <c r="H1862" s="4">
        <f>IF(I1862="Штраф -2",-2,IF(OR(F1862="",G1862=""),"",F1862*G1862+IF(J1862="",0,J1862)))</f>
        <v/>
      </c>
      <c r="I1862" s="3" t="n"/>
      <c r="J1862" s="3" t="n"/>
      <c r="K1862" s="3" t="n"/>
    </row>
    <row r="1863">
      <c r="A1863" s="3" t="n"/>
      <c r="B1863" s="3" t="n"/>
      <c r="C1863" s="3" t="n"/>
      <c r="D1863" s="3" t="n"/>
      <c r="E1863" s="4">
        <f>IF(A1863="","",COUNTIFS($A$4:A1863,A1863,$I$4:I1863,"&lt;&gt;Штраф -2",$I$4:I1863,"&lt;&gt;ушел на базу"))</f>
        <v/>
      </c>
      <c r="F1863" s="4">
        <f>IF(E1863="","",IF(E1863&lt;=3,6,IF(E1863&lt;=6,5,IF(E1863&lt;=9,4,IF(E1863&lt;=12,3,IF(E1863&lt;=15,2,0))))))</f>
        <v/>
      </c>
      <c r="G1863" s="3" t="n"/>
      <c r="H1863" s="4">
        <f>IF(I1863="Штраф -2",-2,IF(OR(F1863="",G1863=""),"",F1863*G1863+IF(J1863="",0,J1863)))</f>
        <v/>
      </c>
      <c r="I1863" s="3" t="n"/>
      <c r="J1863" s="3" t="n"/>
      <c r="K1863" s="3" t="n"/>
    </row>
    <row r="1864">
      <c r="A1864" s="3" t="n"/>
      <c r="B1864" s="3" t="n"/>
      <c r="C1864" s="3" t="n"/>
      <c r="D1864" s="3" t="n"/>
      <c r="E1864" s="4">
        <f>IF(A1864="","",COUNTIFS($A$4:A1864,A1864,$I$4:I1864,"&lt;&gt;Штраф -2",$I$4:I1864,"&lt;&gt;ушел на базу"))</f>
        <v/>
      </c>
      <c r="F1864" s="4">
        <f>IF(E1864="","",IF(E1864&lt;=3,6,IF(E1864&lt;=6,5,IF(E1864&lt;=9,4,IF(E1864&lt;=12,3,IF(E1864&lt;=15,2,0))))))</f>
        <v/>
      </c>
      <c r="G1864" s="3" t="n"/>
      <c r="H1864" s="4">
        <f>IF(I1864="Штраф -2",-2,IF(OR(F1864="",G1864=""),"",F1864*G1864+IF(J1864="",0,J1864)))</f>
        <v/>
      </c>
      <c r="I1864" s="3" t="n"/>
      <c r="J1864" s="3" t="n"/>
      <c r="K1864" s="3" t="n"/>
    </row>
    <row r="1865">
      <c r="A1865" s="3" t="n"/>
      <c r="B1865" s="3" t="n"/>
      <c r="C1865" s="3" t="n"/>
      <c r="D1865" s="3" t="n"/>
      <c r="E1865" s="4">
        <f>IF(A1865="","",COUNTIFS($A$4:A1865,A1865,$I$4:I1865,"&lt;&gt;Штраф -2",$I$4:I1865,"&lt;&gt;ушел на базу"))</f>
        <v/>
      </c>
      <c r="F1865" s="4">
        <f>IF(E1865="","",IF(E1865&lt;=3,6,IF(E1865&lt;=6,5,IF(E1865&lt;=9,4,IF(E1865&lt;=12,3,IF(E1865&lt;=15,2,0))))))</f>
        <v/>
      </c>
      <c r="G1865" s="3" t="n"/>
      <c r="H1865" s="4">
        <f>IF(I1865="Штраф -2",-2,IF(OR(F1865="",G1865=""),"",F1865*G1865+IF(J1865="",0,J1865)))</f>
        <v/>
      </c>
      <c r="I1865" s="3" t="n"/>
      <c r="J1865" s="3" t="n"/>
      <c r="K1865" s="3" t="n"/>
    </row>
    <row r="1866">
      <c r="A1866" s="3" t="n"/>
      <c r="B1866" s="3" t="n"/>
      <c r="C1866" s="3" t="n"/>
      <c r="D1866" s="3" t="n"/>
      <c r="E1866" s="4">
        <f>IF(A1866="","",COUNTIFS($A$4:A1866,A1866,$I$4:I1866,"&lt;&gt;Штраф -2",$I$4:I1866,"&lt;&gt;ушел на базу"))</f>
        <v/>
      </c>
      <c r="F1866" s="4">
        <f>IF(E1866="","",IF(E1866&lt;=3,6,IF(E1866&lt;=6,5,IF(E1866&lt;=9,4,IF(E1866&lt;=12,3,IF(E1866&lt;=15,2,0))))))</f>
        <v/>
      </c>
      <c r="G1866" s="3" t="n"/>
      <c r="H1866" s="4">
        <f>IF(I1866="Штраф -2",-2,IF(OR(F1866="",G1866=""),"",F1866*G1866+IF(J1866="",0,J1866)))</f>
        <v/>
      </c>
      <c r="I1866" s="3" t="n"/>
      <c r="J1866" s="3" t="n"/>
      <c r="K1866" s="3" t="n"/>
    </row>
    <row r="1867">
      <c r="A1867" s="3" t="n"/>
      <c r="B1867" s="3" t="n"/>
      <c r="C1867" s="3" t="n"/>
      <c r="D1867" s="3" t="n"/>
      <c r="E1867" s="4">
        <f>IF(A1867="","",COUNTIFS($A$4:A1867,A1867,$I$4:I1867,"&lt;&gt;Штраф -2",$I$4:I1867,"&lt;&gt;ушел на базу"))</f>
        <v/>
      </c>
      <c r="F1867" s="4">
        <f>IF(E1867="","",IF(E1867&lt;=3,6,IF(E1867&lt;=6,5,IF(E1867&lt;=9,4,IF(E1867&lt;=12,3,IF(E1867&lt;=15,2,0))))))</f>
        <v/>
      </c>
      <c r="G1867" s="3" t="n"/>
      <c r="H1867" s="4">
        <f>IF(I1867="Штраф -2",-2,IF(OR(F1867="",G1867=""),"",F1867*G1867+IF(J1867="",0,J1867)))</f>
        <v/>
      </c>
      <c r="I1867" s="3" t="n"/>
      <c r="J1867" s="3" t="n"/>
      <c r="K1867" s="3" t="n"/>
    </row>
    <row r="1868">
      <c r="A1868" s="3" t="n"/>
      <c r="B1868" s="3" t="n"/>
      <c r="C1868" s="3" t="n"/>
      <c r="D1868" s="3" t="n"/>
      <c r="E1868" s="4">
        <f>IF(A1868="","",COUNTIFS($A$4:A1868,A1868,$I$4:I1868,"&lt;&gt;Штраф -2",$I$4:I1868,"&lt;&gt;ушел на базу"))</f>
        <v/>
      </c>
      <c r="F1868" s="4">
        <f>IF(E1868="","",IF(E1868&lt;=3,6,IF(E1868&lt;=6,5,IF(E1868&lt;=9,4,IF(E1868&lt;=12,3,IF(E1868&lt;=15,2,0))))))</f>
        <v/>
      </c>
      <c r="G1868" s="3" t="n"/>
      <c r="H1868" s="4">
        <f>IF(I1868="Штраф -2",-2,IF(OR(F1868="",G1868=""),"",F1868*G1868+IF(J1868="",0,J1868)))</f>
        <v/>
      </c>
      <c r="I1868" s="3" t="n"/>
      <c r="J1868" s="3" t="n"/>
      <c r="K1868" s="3" t="n"/>
    </row>
    <row r="1869">
      <c r="A1869" s="3" t="n"/>
      <c r="B1869" s="3" t="n"/>
      <c r="C1869" s="3" t="n"/>
      <c r="D1869" s="3" t="n"/>
      <c r="E1869" s="4">
        <f>IF(A1869="","",COUNTIFS($A$4:A1869,A1869,$I$4:I1869,"&lt;&gt;Штраф -2",$I$4:I1869,"&lt;&gt;ушел на базу"))</f>
        <v/>
      </c>
      <c r="F1869" s="4">
        <f>IF(E1869="","",IF(E1869&lt;=3,6,IF(E1869&lt;=6,5,IF(E1869&lt;=9,4,IF(E1869&lt;=12,3,IF(E1869&lt;=15,2,0))))))</f>
        <v/>
      </c>
      <c r="G1869" s="3" t="n"/>
      <c r="H1869" s="4">
        <f>IF(I1869="Штраф -2",-2,IF(OR(F1869="",G1869=""),"",F1869*G1869+IF(J1869="",0,J1869)))</f>
        <v/>
      </c>
      <c r="I1869" s="3" t="n"/>
      <c r="J1869" s="3" t="n"/>
      <c r="K1869" s="3" t="n"/>
    </row>
    <row r="1870">
      <c r="A1870" s="3" t="n"/>
      <c r="B1870" s="3" t="n"/>
      <c r="C1870" s="3" t="n"/>
      <c r="D1870" s="3" t="n"/>
      <c r="E1870" s="4">
        <f>IF(A1870="","",COUNTIFS($A$4:A1870,A1870,$I$4:I1870,"&lt;&gt;Штраф -2",$I$4:I1870,"&lt;&gt;ушел на базу"))</f>
        <v/>
      </c>
      <c r="F1870" s="4">
        <f>IF(E1870="","",IF(E1870&lt;=3,6,IF(E1870&lt;=6,5,IF(E1870&lt;=9,4,IF(E1870&lt;=12,3,IF(E1870&lt;=15,2,0))))))</f>
        <v/>
      </c>
      <c r="G1870" s="3" t="n"/>
      <c r="H1870" s="4">
        <f>IF(I1870="Штраф -2",-2,IF(OR(F1870="",G1870=""),"",F1870*G1870+IF(J1870="",0,J1870)))</f>
        <v/>
      </c>
      <c r="I1870" s="3" t="n"/>
      <c r="J1870" s="3" t="n"/>
      <c r="K1870" s="3" t="n"/>
    </row>
    <row r="1871">
      <c r="A1871" s="3" t="n"/>
      <c r="B1871" s="3" t="n"/>
      <c r="C1871" s="3" t="n"/>
      <c r="D1871" s="3" t="n"/>
      <c r="E1871" s="4">
        <f>IF(A1871="","",COUNTIFS($A$4:A1871,A1871,$I$4:I1871,"&lt;&gt;Штраф -2",$I$4:I1871,"&lt;&gt;ушел на базу"))</f>
        <v/>
      </c>
      <c r="F1871" s="4">
        <f>IF(E1871="","",IF(E1871&lt;=3,6,IF(E1871&lt;=6,5,IF(E1871&lt;=9,4,IF(E1871&lt;=12,3,IF(E1871&lt;=15,2,0))))))</f>
        <v/>
      </c>
      <c r="G1871" s="3" t="n"/>
      <c r="H1871" s="4">
        <f>IF(I1871="Штраф -2",-2,IF(OR(F1871="",G1871=""),"",F1871*G1871+IF(J1871="",0,J1871)))</f>
        <v/>
      </c>
      <c r="I1871" s="3" t="n"/>
      <c r="J1871" s="3" t="n"/>
      <c r="K1871" s="3" t="n"/>
    </row>
    <row r="1872">
      <c r="A1872" s="3" t="n"/>
      <c r="B1872" s="3" t="n"/>
      <c r="C1872" s="3" t="n"/>
      <c r="D1872" s="3" t="n"/>
      <c r="E1872" s="4">
        <f>IF(A1872="","",COUNTIFS($A$4:A1872,A1872,$I$4:I1872,"&lt;&gt;Штраф -2",$I$4:I1872,"&lt;&gt;ушел на базу"))</f>
        <v/>
      </c>
      <c r="F1872" s="4">
        <f>IF(E1872="","",IF(E1872&lt;=3,6,IF(E1872&lt;=6,5,IF(E1872&lt;=9,4,IF(E1872&lt;=12,3,IF(E1872&lt;=15,2,0))))))</f>
        <v/>
      </c>
      <c r="G1872" s="3" t="n"/>
      <c r="H1872" s="4">
        <f>IF(I1872="Штраф -2",-2,IF(OR(F1872="",G1872=""),"",F1872*G1872+IF(J1872="",0,J1872)))</f>
        <v/>
      </c>
      <c r="I1872" s="3" t="n"/>
      <c r="J1872" s="3" t="n"/>
      <c r="K1872" s="3" t="n"/>
    </row>
    <row r="1873">
      <c r="A1873" s="3" t="n"/>
      <c r="B1873" s="3" t="n"/>
      <c r="C1873" s="3" t="n"/>
      <c r="D1873" s="3" t="n"/>
      <c r="E1873" s="4">
        <f>IF(A1873="","",COUNTIFS($A$4:A1873,A1873,$I$4:I1873,"&lt;&gt;Штраф -2",$I$4:I1873,"&lt;&gt;ушел на базу"))</f>
        <v/>
      </c>
      <c r="F1873" s="4">
        <f>IF(E1873="","",IF(E1873&lt;=3,6,IF(E1873&lt;=6,5,IF(E1873&lt;=9,4,IF(E1873&lt;=12,3,IF(E1873&lt;=15,2,0))))))</f>
        <v/>
      </c>
      <c r="G1873" s="3" t="n"/>
      <c r="H1873" s="4">
        <f>IF(I1873="Штраф -2",-2,IF(OR(F1873="",G1873=""),"",F1873*G1873+IF(J1873="",0,J1873)))</f>
        <v/>
      </c>
      <c r="I1873" s="3" t="n"/>
      <c r="J1873" s="3" t="n"/>
      <c r="K1873" s="3" t="n"/>
    </row>
    <row r="1874">
      <c r="A1874" s="3" t="n"/>
      <c r="B1874" s="3" t="n"/>
      <c r="C1874" s="3" t="n"/>
      <c r="D1874" s="3" t="n"/>
      <c r="E1874" s="4">
        <f>IF(A1874="","",COUNTIFS($A$4:A1874,A1874,$I$4:I1874,"&lt;&gt;Штраф -2",$I$4:I1874,"&lt;&gt;ушел на базу"))</f>
        <v/>
      </c>
      <c r="F1874" s="4">
        <f>IF(E1874="","",IF(E1874&lt;=3,6,IF(E1874&lt;=6,5,IF(E1874&lt;=9,4,IF(E1874&lt;=12,3,IF(E1874&lt;=15,2,0))))))</f>
        <v/>
      </c>
      <c r="G1874" s="3" t="n"/>
      <c r="H1874" s="4">
        <f>IF(I1874="Штраф -2",-2,IF(OR(F1874="",G1874=""),"",F1874*G1874+IF(J1874="",0,J1874)))</f>
        <v/>
      </c>
      <c r="I1874" s="3" t="n"/>
      <c r="J1874" s="3" t="n"/>
      <c r="K1874" s="3" t="n"/>
    </row>
    <row r="1875">
      <c r="A1875" s="3" t="n"/>
      <c r="B1875" s="3" t="n"/>
      <c r="C1875" s="3" t="n"/>
      <c r="D1875" s="3" t="n"/>
      <c r="E1875" s="4">
        <f>IF(A1875="","",COUNTIFS($A$4:A1875,A1875,$I$4:I1875,"&lt;&gt;Штраф -2",$I$4:I1875,"&lt;&gt;ушел на базу"))</f>
        <v/>
      </c>
      <c r="F1875" s="4">
        <f>IF(E1875="","",IF(E1875&lt;=3,6,IF(E1875&lt;=6,5,IF(E1875&lt;=9,4,IF(E1875&lt;=12,3,IF(E1875&lt;=15,2,0))))))</f>
        <v/>
      </c>
      <c r="G1875" s="3" t="n"/>
      <c r="H1875" s="4">
        <f>IF(I1875="Штраф -2",-2,IF(OR(F1875="",G1875=""),"",F1875*G1875+IF(J1875="",0,J1875)))</f>
        <v/>
      </c>
      <c r="I1875" s="3" t="n"/>
      <c r="J1875" s="3" t="n"/>
      <c r="K1875" s="3" t="n"/>
    </row>
    <row r="1876">
      <c r="A1876" s="3" t="n"/>
      <c r="B1876" s="3" t="n"/>
      <c r="C1876" s="3" t="n"/>
      <c r="D1876" s="3" t="n"/>
      <c r="E1876" s="4">
        <f>IF(A1876="","",COUNTIFS($A$4:A1876,A1876,$I$4:I1876,"&lt;&gt;Штраф -2",$I$4:I1876,"&lt;&gt;ушел на базу"))</f>
        <v/>
      </c>
      <c r="F1876" s="4">
        <f>IF(E1876="","",IF(E1876&lt;=3,6,IF(E1876&lt;=6,5,IF(E1876&lt;=9,4,IF(E1876&lt;=12,3,IF(E1876&lt;=15,2,0))))))</f>
        <v/>
      </c>
      <c r="G1876" s="3" t="n"/>
      <c r="H1876" s="4">
        <f>IF(I1876="Штраф -2",-2,IF(OR(F1876="",G1876=""),"",F1876*G1876+IF(J1876="",0,J1876)))</f>
        <v/>
      </c>
      <c r="I1876" s="3" t="n"/>
      <c r="J1876" s="3" t="n"/>
      <c r="K1876" s="3" t="n"/>
    </row>
    <row r="1877">
      <c r="A1877" s="3" t="n"/>
      <c r="B1877" s="3" t="n"/>
      <c r="C1877" s="3" t="n"/>
      <c r="D1877" s="3" t="n"/>
      <c r="E1877" s="4">
        <f>IF(A1877="","",COUNTIFS($A$4:A1877,A1877,$I$4:I1877,"&lt;&gt;Штраф -2",$I$4:I1877,"&lt;&gt;ушел на базу"))</f>
        <v/>
      </c>
      <c r="F1877" s="4">
        <f>IF(E1877="","",IF(E1877&lt;=3,6,IF(E1877&lt;=6,5,IF(E1877&lt;=9,4,IF(E1877&lt;=12,3,IF(E1877&lt;=15,2,0))))))</f>
        <v/>
      </c>
      <c r="G1877" s="3" t="n"/>
      <c r="H1877" s="4">
        <f>IF(I1877="Штраф -2",-2,IF(OR(F1877="",G1877=""),"",F1877*G1877+IF(J1877="",0,J1877)))</f>
        <v/>
      </c>
      <c r="I1877" s="3" t="n"/>
      <c r="J1877" s="3" t="n"/>
      <c r="K1877" s="3" t="n"/>
    </row>
    <row r="1878">
      <c r="A1878" s="3" t="n"/>
      <c r="B1878" s="3" t="n"/>
      <c r="C1878" s="3" t="n"/>
      <c r="D1878" s="3" t="n"/>
      <c r="E1878" s="4">
        <f>IF(A1878="","",COUNTIFS($A$4:A1878,A1878,$I$4:I1878,"&lt;&gt;Штраф -2",$I$4:I1878,"&lt;&gt;ушел на базу"))</f>
        <v/>
      </c>
      <c r="F1878" s="4">
        <f>IF(E1878="","",IF(E1878&lt;=3,6,IF(E1878&lt;=6,5,IF(E1878&lt;=9,4,IF(E1878&lt;=12,3,IF(E1878&lt;=15,2,0))))))</f>
        <v/>
      </c>
      <c r="G1878" s="3" t="n"/>
      <c r="H1878" s="4">
        <f>IF(I1878="Штраф -2",-2,IF(OR(F1878="",G1878=""),"",F1878*G1878+IF(J1878="",0,J1878)))</f>
        <v/>
      </c>
      <c r="I1878" s="3" t="n"/>
      <c r="J1878" s="3" t="n"/>
      <c r="K1878" s="3" t="n"/>
    </row>
    <row r="1879">
      <c r="A1879" s="3" t="n"/>
      <c r="B1879" s="3" t="n"/>
      <c r="C1879" s="3" t="n"/>
      <c r="D1879" s="3" t="n"/>
      <c r="E1879" s="4">
        <f>IF(A1879="","",COUNTIFS($A$4:A1879,A1879,$I$4:I1879,"&lt;&gt;Штраф -2",$I$4:I1879,"&lt;&gt;ушел на базу"))</f>
        <v/>
      </c>
      <c r="F1879" s="4">
        <f>IF(E1879="","",IF(E1879&lt;=3,6,IF(E1879&lt;=6,5,IF(E1879&lt;=9,4,IF(E1879&lt;=12,3,IF(E1879&lt;=15,2,0))))))</f>
        <v/>
      </c>
      <c r="G1879" s="3" t="n"/>
      <c r="H1879" s="4">
        <f>IF(I1879="Штраф -2",-2,IF(OR(F1879="",G1879=""),"",F1879*G1879+IF(J1879="",0,J1879)))</f>
        <v/>
      </c>
      <c r="I1879" s="3" t="n"/>
      <c r="J1879" s="3" t="n"/>
      <c r="K1879" s="3" t="n"/>
    </row>
    <row r="1880">
      <c r="A1880" s="3" t="n"/>
      <c r="B1880" s="3" t="n"/>
      <c r="C1880" s="3" t="n"/>
      <c r="D1880" s="3" t="n"/>
      <c r="E1880" s="4">
        <f>IF(A1880="","",COUNTIFS($A$4:A1880,A1880,$I$4:I1880,"&lt;&gt;Штраф -2",$I$4:I1880,"&lt;&gt;ушел на базу"))</f>
        <v/>
      </c>
      <c r="F1880" s="4">
        <f>IF(E1880="","",IF(E1880&lt;=3,6,IF(E1880&lt;=6,5,IF(E1880&lt;=9,4,IF(E1880&lt;=12,3,IF(E1880&lt;=15,2,0))))))</f>
        <v/>
      </c>
      <c r="G1880" s="3" t="n"/>
      <c r="H1880" s="4">
        <f>IF(I1880="Штраф -2",-2,IF(OR(F1880="",G1880=""),"",F1880*G1880+IF(J1880="",0,J1880)))</f>
        <v/>
      </c>
      <c r="I1880" s="3" t="n"/>
      <c r="J1880" s="3" t="n"/>
      <c r="K1880" s="3" t="n"/>
    </row>
    <row r="1881">
      <c r="A1881" s="3" t="n"/>
      <c r="B1881" s="3" t="n"/>
      <c r="C1881" s="3" t="n"/>
      <c r="D1881" s="3" t="n"/>
      <c r="E1881" s="4">
        <f>IF(A1881="","",COUNTIFS($A$4:A1881,A1881,$I$4:I1881,"&lt;&gt;Штраф -2",$I$4:I1881,"&lt;&gt;ушел на базу"))</f>
        <v/>
      </c>
      <c r="F1881" s="4">
        <f>IF(E1881="","",IF(E1881&lt;=3,6,IF(E1881&lt;=6,5,IF(E1881&lt;=9,4,IF(E1881&lt;=12,3,IF(E1881&lt;=15,2,0))))))</f>
        <v/>
      </c>
      <c r="G1881" s="3" t="n"/>
      <c r="H1881" s="4">
        <f>IF(I1881="Штраф -2",-2,IF(OR(F1881="",G1881=""),"",F1881*G1881+IF(J1881="",0,J1881)))</f>
        <v/>
      </c>
      <c r="I1881" s="3" t="n"/>
      <c r="J1881" s="3" t="n"/>
      <c r="K1881" s="3" t="n"/>
    </row>
    <row r="1882">
      <c r="A1882" s="3" t="n"/>
      <c r="B1882" s="3" t="n"/>
      <c r="C1882" s="3" t="n"/>
      <c r="D1882" s="3" t="n"/>
      <c r="E1882" s="4">
        <f>IF(A1882="","",COUNTIFS($A$4:A1882,A1882,$I$4:I1882,"&lt;&gt;Штраф -2",$I$4:I1882,"&lt;&gt;ушел на базу"))</f>
        <v/>
      </c>
      <c r="F1882" s="4">
        <f>IF(E1882="","",IF(E1882&lt;=3,6,IF(E1882&lt;=6,5,IF(E1882&lt;=9,4,IF(E1882&lt;=12,3,IF(E1882&lt;=15,2,0))))))</f>
        <v/>
      </c>
      <c r="G1882" s="3" t="n"/>
      <c r="H1882" s="4">
        <f>IF(I1882="Штраф -2",-2,IF(OR(F1882="",G1882=""),"",F1882*G1882+IF(J1882="",0,J1882)))</f>
        <v/>
      </c>
      <c r="I1882" s="3" t="n"/>
      <c r="J1882" s="3" t="n"/>
      <c r="K1882" s="3" t="n"/>
    </row>
    <row r="1883">
      <c r="A1883" s="3" t="n"/>
      <c r="B1883" s="3" t="n"/>
      <c r="C1883" s="3" t="n"/>
      <c r="D1883" s="3" t="n"/>
      <c r="E1883" s="4">
        <f>IF(A1883="","",COUNTIFS($A$4:A1883,A1883,$I$4:I1883,"&lt;&gt;Штраф -2",$I$4:I1883,"&lt;&gt;ушел на базу"))</f>
        <v/>
      </c>
      <c r="F1883" s="4">
        <f>IF(E1883="","",IF(E1883&lt;=3,6,IF(E1883&lt;=6,5,IF(E1883&lt;=9,4,IF(E1883&lt;=12,3,IF(E1883&lt;=15,2,0))))))</f>
        <v/>
      </c>
      <c r="G1883" s="3" t="n"/>
      <c r="H1883" s="4">
        <f>IF(I1883="Штраф -2",-2,IF(OR(F1883="",G1883=""),"",F1883*G1883+IF(J1883="",0,J1883)))</f>
        <v/>
      </c>
      <c r="I1883" s="3" t="n"/>
      <c r="J1883" s="3" t="n"/>
      <c r="K1883" s="3" t="n"/>
    </row>
    <row r="1884">
      <c r="A1884" s="3" t="n"/>
      <c r="B1884" s="3" t="n"/>
      <c r="C1884" s="3" t="n"/>
      <c r="D1884" s="3" t="n"/>
      <c r="E1884" s="4">
        <f>IF(A1884="","",COUNTIFS($A$4:A1884,A1884,$I$4:I1884,"&lt;&gt;Штраф -2",$I$4:I1884,"&lt;&gt;ушел на базу"))</f>
        <v/>
      </c>
      <c r="F1884" s="4">
        <f>IF(E1884="","",IF(E1884&lt;=3,6,IF(E1884&lt;=6,5,IF(E1884&lt;=9,4,IF(E1884&lt;=12,3,IF(E1884&lt;=15,2,0))))))</f>
        <v/>
      </c>
      <c r="G1884" s="3" t="n"/>
      <c r="H1884" s="4">
        <f>IF(I1884="Штраф -2",-2,IF(OR(F1884="",G1884=""),"",F1884*G1884+IF(J1884="",0,J1884)))</f>
        <v/>
      </c>
      <c r="I1884" s="3" t="n"/>
      <c r="J1884" s="3" t="n"/>
      <c r="K1884" s="3" t="n"/>
    </row>
    <row r="1885">
      <c r="A1885" s="3" t="n"/>
      <c r="B1885" s="3" t="n"/>
      <c r="C1885" s="3" t="n"/>
      <c r="D1885" s="3" t="n"/>
      <c r="E1885" s="4">
        <f>IF(A1885="","",COUNTIFS($A$4:A1885,A1885,$I$4:I1885,"&lt;&gt;Штраф -2",$I$4:I1885,"&lt;&gt;ушел на базу"))</f>
        <v/>
      </c>
      <c r="F1885" s="4">
        <f>IF(E1885="","",IF(E1885&lt;=3,6,IF(E1885&lt;=6,5,IF(E1885&lt;=9,4,IF(E1885&lt;=12,3,IF(E1885&lt;=15,2,0))))))</f>
        <v/>
      </c>
      <c r="G1885" s="3" t="n"/>
      <c r="H1885" s="4">
        <f>IF(I1885="Штраф -2",-2,IF(OR(F1885="",G1885=""),"",F1885*G1885+IF(J1885="",0,J1885)))</f>
        <v/>
      </c>
      <c r="I1885" s="3" t="n"/>
      <c r="J1885" s="3" t="n"/>
      <c r="K1885" s="3" t="n"/>
    </row>
    <row r="1886">
      <c r="A1886" s="3" t="n"/>
      <c r="B1886" s="3" t="n"/>
      <c r="C1886" s="3" t="n"/>
      <c r="D1886" s="3" t="n"/>
      <c r="E1886" s="4">
        <f>IF(A1886="","",COUNTIFS($A$4:A1886,A1886,$I$4:I1886,"&lt;&gt;Штраф -2",$I$4:I1886,"&lt;&gt;ушел на базу"))</f>
        <v/>
      </c>
      <c r="F1886" s="4">
        <f>IF(E1886="","",IF(E1886&lt;=3,6,IF(E1886&lt;=6,5,IF(E1886&lt;=9,4,IF(E1886&lt;=12,3,IF(E1886&lt;=15,2,0))))))</f>
        <v/>
      </c>
      <c r="G1886" s="3" t="n"/>
      <c r="H1886" s="4">
        <f>IF(I1886="Штраф -2",-2,IF(OR(F1886="",G1886=""),"",F1886*G1886+IF(J1886="",0,J1886)))</f>
        <v/>
      </c>
      <c r="I1886" s="3" t="n"/>
      <c r="J1886" s="3" t="n"/>
      <c r="K1886" s="3" t="n"/>
    </row>
    <row r="1887">
      <c r="A1887" s="3" t="n"/>
      <c r="B1887" s="3" t="n"/>
      <c r="C1887" s="3" t="n"/>
      <c r="D1887" s="3" t="n"/>
      <c r="E1887" s="4">
        <f>IF(A1887="","",COUNTIFS($A$4:A1887,A1887,$I$4:I1887,"&lt;&gt;Штраф -2",$I$4:I1887,"&lt;&gt;ушел на базу"))</f>
        <v/>
      </c>
      <c r="F1887" s="4">
        <f>IF(E1887="","",IF(E1887&lt;=3,6,IF(E1887&lt;=6,5,IF(E1887&lt;=9,4,IF(E1887&lt;=12,3,IF(E1887&lt;=15,2,0))))))</f>
        <v/>
      </c>
      <c r="G1887" s="3" t="n"/>
      <c r="H1887" s="4">
        <f>IF(I1887="Штраф -2",-2,IF(OR(F1887="",G1887=""),"",F1887*G1887+IF(J1887="",0,J1887)))</f>
        <v/>
      </c>
      <c r="I1887" s="3" t="n"/>
      <c r="J1887" s="3" t="n"/>
      <c r="K1887" s="3" t="n"/>
    </row>
    <row r="1888">
      <c r="A1888" s="3" t="n"/>
      <c r="B1888" s="3" t="n"/>
      <c r="C1888" s="3" t="n"/>
      <c r="D1888" s="3" t="n"/>
      <c r="E1888" s="4">
        <f>IF(A1888="","",COUNTIFS($A$4:A1888,A1888,$I$4:I1888,"&lt;&gt;Штраф -2",$I$4:I1888,"&lt;&gt;ушел на базу"))</f>
        <v/>
      </c>
      <c r="F1888" s="4">
        <f>IF(E1888="","",IF(E1888&lt;=3,6,IF(E1888&lt;=6,5,IF(E1888&lt;=9,4,IF(E1888&lt;=12,3,IF(E1888&lt;=15,2,0))))))</f>
        <v/>
      </c>
      <c r="G1888" s="3" t="n"/>
      <c r="H1888" s="4">
        <f>IF(I1888="Штраф -2",-2,IF(OR(F1888="",G1888=""),"",F1888*G1888+IF(J1888="",0,J1888)))</f>
        <v/>
      </c>
      <c r="I1888" s="3" t="n"/>
      <c r="J1888" s="3" t="n"/>
      <c r="K1888" s="3" t="n"/>
    </row>
    <row r="1889">
      <c r="A1889" s="3" t="n"/>
      <c r="B1889" s="3" t="n"/>
      <c r="C1889" s="3" t="n"/>
      <c r="D1889" s="3" t="n"/>
      <c r="E1889" s="4">
        <f>IF(A1889="","",COUNTIFS($A$4:A1889,A1889,$I$4:I1889,"&lt;&gt;Штраф -2",$I$4:I1889,"&lt;&gt;ушел на базу"))</f>
        <v/>
      </c>
      <c r="F1889" s="4">
        <f>IF(E1889="","",IF(E1889&lt;=3,6,IF(E1889&lt;=6,5,IF(E1889&lt;=9,4,IF(E1889&lt;=12,3,IF(E1889&lt;=15,2,0))))))</f>
        <v/>
      </c>
      <c r="G1889" s="3" t="n"/>
      <c r="H1889" s="4">
        <f>IF(I1889="Штраф -2",-2,IF(OR(F1889="",G1889=""),"",F1889*G1889+IF(J1889="",0,J1889)))</f>
        <v/>
      </c>
      <c r="I1889" s="3" t="n"/>
      <c r="J1889" s="3" t="n"/>
      <c r="K1889" s="3" t="n"/>
    </row>
    <row r="1890">
      <c r="A1890" s="3" t="n"/>
      <c r="B1890" s="3" t="n"/>
      <c r="C1890" s="3" t="n"/>
      <c r="D1890" s="3" t="n"/>
      <c r="E1890" s="4">
        <f>IF(A1890="","",COUNTIFS($A$4:A1890,A1890,$I$4:I1890,"&lt;&gt;Штраф -2",$I$4:I1890,"&lt;&gt;ушел на базу"))</f>
        <v/>
      </c>
      <c r="F1890" s="4">
        <f>IF(E1890="","",IF(E1890&lt;=3,6,IF(E1890&lt;=6,5,IF(E1890&lt;=9,4,IF(E1890&lt;=12,3,IF(E1890&lt;=15,2,0))))))</f>
        <v/>
      </c>
      <c r="G1890" s="3" t="n"/>
      <c r="H1890" s="4">
        <f>IF(I1890="Штраф -2",-2,IF(OR(F1890="",G1890=""),"",F1890*G1890+IF(J1890="",0,J1890)))</f>
        <v/>
      </c>
      <c r="I1890" s="3" t="n"/>
      <c r="J1890" s="3" t="n"/>
      <c r="K1890" s="3" t="n"/>
    </row>
    <row r="1891">
      <c r="A1891" s="3" t="n"/>
      <c r="B1891" s="3" t="n"/>
      <c r="C1891" s="3" t="n"/>
      <c r="D1891" s="3" t="n"/>
      <c r="E1891" s="4">
        <f>IF(A1891="","",COUNTIFS($A$4:A1891,A1891,$I$4:I1891,"&lt;&gt;Штраф -2",$I$4:I1891,"&lt;&gt;ушел на базу"))</f>
        <v/>
      </c>
      <c r="F1891" s="4">
        <f>IF(E1891="","",IF(E1891&lt;=3,6,IF(E1891&lt;=6,5,IF(E1891&lt;=9,4,IF(E1891&lt;=12,3,IF(E1891&lt;=15,2,0))))))</f>
        <v/>
      </c>
      <c r="G1891" s="3" t="n"/>
      <c r="H1891" s="4">
        <f>IF(I1891="Штраф -2",-2,IF(OR(F1891="",G1891=""),"",F1891*G1891+IF(J1891="",0,J1891)))</f>
        <v/>
      </c>
      <c r="I1891" s="3" t="n"/>
      <c r="J1891" s="3" t="n"/>
      <c r="K1891" s="3" t="n"/>
    </row>
    <row r="1892">
      <c r="A1892" s="3" t="n"/>
      <c r="B1892" s="3" t="n"/>
      <c r="C1892" s="3" t="n"/>
      <c r="D1892" s="3" t="n"/>
      <c r="E1892" s="4">
        <f>IF(A1892="","",COUNTIFS($A$4:A1892,A1892,$I$4:I1892,"&lt;&gt;Штраф -2",$I$4:I1892,"&lt;&gt;ушел на базу"))</f>
        <v/>
      </c>
      <c r="F1892" s="4">
        <f>IF(E1892="","",IF(E1892&lt;=3,6,IF(E1892&lt;=6,5,IF(E1892&lt;=9,4,IF(E1892&lt;=12,3,IF(E1892&lt;=15,2,0))))))</f>
        <v/>
      </c>
      <c r="G1892" s="3" t="n"/>
      <c r="H1892" s="4">
        <f>IF(I1892="Штраф -2",-2,IF(OR(F1892="",G1892=""),"",F1892*G1892+IF(J1892="",0,J1892)))</f>
        <v/>
      </c>
      <c r="I1892" s="3" t="n"/>
      <c r="J1892" s="3" t="n"/>
      <c r="K1892" s="3" t="n"/>
    </row>
    <row r="1893">
      <c r="A1893" s="3" t="n"/>
      <c r="B1893" s="3" t="n"/>
      <c r="C1893" s="3" t="n"/>
      <c r="D1893" s="3" t="n"/>
      <c r="E1893" s="4">
        <f>IF(A1893="","",COUNTIFS($A$4:A1893,A1893,$I$4:I1893,"&lt;&gt;Штраф -2",$I$4:I1893,"&lt;&gt;ушел на базу"))</f>
        <v/>
      </c>
      <c r="F1893" s="4">
        <f>IF(E1893="","",IF(E1893&lt;=3,6,IF(E1893&lt;=6,5,IF(E1893&lt;=9,4,IF(E1893&lt;=12,3,IF(E1893&lt;=15,2,0))))))</f>
        <v/>
      </c>
      <c r="G1893" s="3" t="n"/>
      <c r="H1893" s="4">
        <f>IF(I1893="Штраф -2",-2,IF(OR(F1893="",G1893=""),"",F1893*G1893+IF(J1893="",0,J1893)))</f>
        <v/>
      </c>
      <c r="I1893" s="3" t="n"/>
      <c r="J1893" s="3" t="n"/>
      <c r="K1893" s="3" t="n"/>
    </row>
    <row r="1894">
      <c r="A1894" s="3" t="n"/>
      <c r="B1894" s="3" t="n"/>
      <c r="C1894" s="3" t="n"/>
      <c r="D1894" s="3" t="n"/>
      <c r="E1894" s="4">
        <f>IF(A1894="","",COUNTIFS($A$4:A1894,A1894,$I$4:I1894,"&lt;&gt;Штраф -2",$I$4:I1894,"&lt;&gt;ушел на базу"))</f>
        <v/>
      </c>
      <c r="F1894" s="4">
        <f>IF(E1894="","",IF(E1894&lt;=3,6,IF(E1894&lt;=6,5,IF(E1894&lt;=9,4,IF(E1894&lt;=12,3,IF(E1894&lt;=15,2,0))))))</f>
        <v/>
      </c>
      <c r="G1894" s="3" t="n"/>
      <c r="H1894" s="4">
        <f>IF(I1894="Штраф -2",-2,IF(OR(F1894="",G1894=""),"",F1894*G1894+IF(J1894="",0,J1894)))</f>
        <v/>
      </c>
      <c r="I1894" s="3" t="n"/>
      <c r="J1894" s="3" t="n"/>
      <c r="K1894" s="3" t="n"/>
    </row>
    <row r="1895">
      <c r="A1895" s="3" t="n"/>
      <c r="B1895" s="3" t="n"/>
      <c r="C1895" s="3" t="n"/>
      <c r="D1895" s="3" t="n"/>
      <c r="E1895" s="4">
        <f>IF(A1895="","",COUNTIFS($A$4:A1895,A1895,$I$4:I1895,"&lt;&gt;Штраф -2",$I$4:I1895,"&lt;&gt;ушел на базу"))</f>
        <v/>
      </c>
      <c r="F1895" s="4">
        <f>IF(E1895="","",IF(E1895&lt;=3,6,IF(E1895&lt;=6,5,IF(E1895&lt;=9,4,IF(E1895&lt;=12,3,IF(E1895&lt;=15,2,0))))))</f>
        <v/>
      </c>
      <c r="G1895" s="3" t="n"/>
      <c r="H1895" s="4">
        <f>IF(I1895="Штраф -2",-2,IF(OR(F1895="",G1895=""),"",F1895*G1895+IF(J1895="",0,J1895)))</f>
        <v/>
      </c>
      <c r="I1895" s="3" t="n"/>
      <c r="J1895" s="3" t="n"/>
      <c r="K1895" s="3" t="n"/>
    </row>
    <row r="1896">
      <c r="A1896" s="3" t="n"/>
      <c r="B1896" s="3" t="n"/>
      <c r="C1896" s="3" t="n"/>
      <c r="D1896" s="3" t="n"/>
      <c r="E1896" s="4">
        <f>IF(A1896="","",COUNTIFS($A$4:A1896,A1896,$I$4:I1896,"&lt;&gt;Штраф -2",$I$4:I1896,"&lt;&gt;ушел на базу"))</f>
        <v/>
      </c>
      <c r="F1896" s="4">
        <f>IF(E1896="","",IF(E1896&lt;=3,6,IF(E1896&lt;=6,5,IF(E1896&lt;=9,4,IF(E1896&lt;=12,3,IF(E1896&lt;=15,2,0))))))</f>
        <v/>
      </c>
      <c r="G1896" s="3" t="n"/>
      <c r="H1896" s="4">
        <f>IF(I1896="Штраф -2",-2,IF(OR(F1896="",G1896=""),"",F1896*G1896+IF(J1896="",0,J1896)))</f>
        <v/>
      </c>
      <c r="I1896" s="3" t="n"/>
      <c r="J1896" s="3" t="n"/>
      <c r="K1896" s="3" t="n"/>
    </row>
    <row r="1897">
      <c r="A1897" s="3" t="n"/>
      <c r="B1897" s="3" t="n"/>
      <c r="C1897" s="3" t="n"/>
      <c r="D1897" s="3" t="n"/>
      <c r="E1897" s="4">
        <f>IF(A1897="","",COUNTIFS($A$4:A1897,A1897,$I$4:I1897,"&lt;&gt;Штраф -2",$I$4:I1897,"&lt;&gt;ушел на базу"))</f>
        <v/>
      </c>
      <c r="F1897" s="4">
        <f>IF(E1897="","",IF(E1897&lt;=3,6,IF(E1897&lt;=6,5,IF(E1897&lt;=9,4,IF(E1897&lt;=12,3,IF(E1897&lt;=15,2,0))))))</f>
        <v/>
      </c>
      <c r="G1897" s="3" t="n"/>
      <c r="H1897" s="4">
        <f>IF(I1897="Штраф -2",-2,IF(OR(F1897="",G1897=""),"",F1897*G1897+IF(J1897="",0,J1897)))</f>
        <v/>
      </c>
      <c r="I1897" s="3" t="n"/>
      <c r="J1897" s="3" t="n"/>
      <c r="K1897" s="3" t="n"/>
    </row>
    <row r="1898">
      <c r="A1898" s="3" t="n"/>
      <c r="B1898" s="3" t="n"/>
      <c r="C1898" s="3" t="n"/>
      <c r="D1898" s="3" t="n"/>
      <c r="E1898" s="4">
        <f>IF(A1898="","",COUNTIFS($A$4:A1898,A1898,$I$4:I1898,"&lt;&gt;Штраф -2",$I$4:I1898,"&lt;&gt;ушел на базу"))</f>
        <v/>
      </c>
      <c r="F1898" s="4">
        <f>IF(E1898="","",IF(E1898&lt;=3,6,IF(E1898&lt;=6,5,IF(E1898&lt;=9,4,IF(E1898&lt;=12,3,IF(E1898&lt;=15,2,0))))))</f>
        <v/>
      </c>
      <c r="G1898" s="3" t="n"/>
      <c r="H1898" s="4">
        <f>IF(I1898="Штраф -2",-2,IF(OR(F1898="",G1898=""),"",F1898*G1898+IF(J1898="",0,J1898)))</f>
        <v/>
      </c>
      <c r="I1898" s="3" t="n"/>
      <c r="J1898" s="3" t="n"/>
      <c r="K1898" s="3" t="n"/>
    </row>
    <row r="1899">
      <c r="A1899" s="3" t="n"/>
      <c r="B1899" s="3" t="n"/>
      <c r="C1899" s="3" t="n"/>
      <c r="D1899" s="3" t="n"/>
      <c r="E1899" s="4">
        <f>IF(A1899="","",COUNTIFS($A$4:A1899,A1899,$I$4:I1899,"&lt;&gt;Штраф -2",$I$4:I1899,"&lt;&gt;ушел на базу"))</f>
        <v/>
      </c>
      <c r="F1899" s="4">
        <f>IF(E1899="","",IF(E1899&lt;=3,6,IF(E1899&lt;=6,5,IF(E1899&lt;=9,4,IF(E1899&lt;=12,3,IF(E1899&lt;=15,2,0))))))</f>
        <v/>
      </c>
      <c r="G1899" s="3" t="n"/>
      <c r="H1899" s="4">
        <f>IF(I1899="Штраф -2",-2,IF(OR(F1899="",G1899=""),"",F1899*G1899+IF(J1899="",0,J1899)))</f>
        <v/>
      </c>
      <c r="I1899" s="3" t="n"/>
      <c r="J1899" s="3" t="n"/>
      <c r="K1899" s="3" t="n"/>
    </row>
    <row r="1900">
      <c r="A1900" s="3" t="n"/>
      <c r="B1900" s="3" t="n"/>
      <c r="C1900" s="3" t="n"/>
      <c r="D1900" s="3" t="n"/>
      <c r="E1900" s="4">
        <f>IF(A1900="","",COUNTIFS($A$4:A1900,A1900,$I$4:I1900,"&lt;&gt;Штраф -2",$I$4:I1900,"&lt;&gt;ушел на базу"))</f>
        <v/>
      </c>
      <c r="F1900" s="4">
        <f>IF(E1900="","",IF(E1900&lt;=3,6,IF(E1900&lt;=6,5,IF(E1900&lt;=9,4,IF(E1900&lt;=12,3,IF(E1900&lt;=15,2,0))))))</f>
        <v/>
      </c>
      <c r="G1900" s="3" t="n"/>
      <c r="H1900" s="4">
        <f>IF(I1900="Штраф -2",-2,IF(OR(F1900="",G1900=""),"",F1900*G1900+IF(J1900="",0,J1900)))</f>
        <v/>
      </c>
      <c r="I1900" s="3" t="n"/>
      <c r="J1900" s="3" t="n"/>
      <c r="K1900" s="3" t="n"/>
    </row>
    <row r="1901">
      <c r="A1901" s="3" t="n"/>
      <c r="B1901" s="3" t="n"/>
      <c r="C1901" s="3" t="n"/>
      <c r="D1901" s="3" t="n"/>
      <c r="E1901" s="4">
        <f>IF(A1901="","",COUNTIFS($A$4:A1901,A1901,$I$4:I1901,"&lt;&gt;Штраф -2",$I$4:I1901,"&lt;&gt;ушел на базу"))</f>
        <v/>
      </c>
      <c r="F1901" s="4">
        <f>IF(E1901="","",IF(E1901&lt;=3,6,IF(E1901&lt;=6,5,IF(E1901&lt;=9,4,IF(E1901&lt;=12,3,IF(E1901&lt;=15,2,0))))))</f>
        <v/>
      </c>
      <c r="G1901" s="3" t="n"/>
      <c r="H1901" s="4">
        <f>IF(I1901="Штраф -2",-2,IF(OR(F1901="",G1901=""),"",F1901*G1901+IF(J1901="",0,J1901)))</f>
        <v/>
      </c>
      <c r="I1901" s="3" t="n"/>
      <c r="J1901" s="3" t="n"/>
      <c r="K1901" s="3" t="n"/>
    </row>
    <row r="1902">
      <c r="A1902" s="3" t="n"/>
      <c r="B1902" s="3" t="n"/>
      <c r="C1902" s="3" t="n"/>
      <c r="D1902" s="3" t="n"/>
      <c r="E1902" s="4">
        <f>IF(A1902="","",COUNTIFS($A$4:A1902,A1902,$I$4:I1902,"&lt;&gt;Штраф -2",$I$4:I1902,"&lt;&gt;ушел на базу"))</f>
        <v/>
      </c>
      <c r="F1902" s="4">
        <f>IF(E1902="","",IF(E1902&lt;=3,6,IF(E1902&lt;=6,5,IF(E1902&lt;=9,4,IF(E1902&lt;=12,3,IF(E1902&lt;=15,2,0))))))</f>
        <v/>
      </c>
      <c r="G1902" s="3" t="n"/>
      <c r="H1902" s="4">
        <f>IF(I1902="Штраф -2",-2,IF(OR(F1902="",G1902=""),"",F1902*G1902+IF(J1902="",0,J1902)))</f>
        <v/>
      </c>
      <c r="I1902" s="3" t="n"/>
      <c r="J1902" s="3" t="n"/>
      <c r="K1902" s="3" t="n"/>
    </row>
    <row r="1903">
      <c r="A1903" s="3" t="n"/>
      <c r="B1903" s="3" t="n"/>
      <c r="C1903" s="3" t="n"/>
      <c r="D1903" s="3" t="n"/>
      <c r="E1903" s="4">
        <f>IF(A1903="","",COUNTIFS($A$4:A1903,A1903,$I$4:I1903,"&lt;&gt;Штраф -2",$I$4:I1903,"&lt;&gt;ушел на базу"))</f>
        <v/>
      </c>
      <c r="F1903" s="4">
        <f>IF(E1903="","",IF(E1903&lt;=3,6,IF(E1903&lt;=6,5,IF(E1903&lt;=9,4,IF(E1903&lt;=12,3,IF(E1903&lt;=15,2,0))))))</f>
        <v/>
      </c>
      <c r="G1903" s="3" t="n"/>
      <c r="H1903" s="4">
        <f>IF(I1903="Штраф -2",-2,IF(OR(F1903="",G1903=""),"",F1903*G1903+IF(J1903="",0,J1903)))</f>
        <v/>
      </c>
      <c r="I1903" s="3" t="n"/>
      <c r="J1903" s="3" t="n"/>
      <c r="K1903" s="3" t="n"/>
    </row>
    <row r="1904">
      <c r="A1904" s="3" t="n"/>
      <c r="B1904" s="3" t="n"/>
      <c r="C1904" s="3" t="n"/>
      <c r="D1904" s="3" t="n"/>
      <c r="E1904" s="4">
        <f>IF(A1904="","",COUNTIFS($A$4:A1904,A1904,$I$4:I1904,"&lt;&gt;Штраф -2",$I$4:I1904,"&lt;&gt;ушел на базу"))</f>
        <v/>
      </c>
      <c r="F1904" s="4">
        <f>IF(E1904="","",IF(E1904&lt;=3,6,IF(E1904&lt;=6,5,IF(E1904&lt;=9,4,IF(E1904&lt;=12,3,IF(E1904&lt;=15,2,0))))))</f>
        <v/>
      </c>
      <c r="G1904" s="3" t="n"/>
      <c r="H1904" s="4">
        <f>IF(I1904="Штраф -2",-2,IF(OR(F1904="",G1904=""),"",F1904*G1904+IF(J1904="",0,J1904)))</f>
        <v/>
      </c>
      <c r="I1904" s="3" t="n"/>
      <c r="J1904" s="3" t="n"/>
      <c r="K1904" s="3" t="n"/>
    </row>
    <row r="1905">
      <c r="A1905" s="3" t="n"/>
      <c r="B1905" s="3" t="n"/>
      <c r="C1905" s="3" t="n"/>
      <c r="D1905" s="3" t="n"/>
      <c r="E1905" s="4">
        <f>IF(A1905="","",COUNTIFS($A$4:A1905,A1905,$I$4:I1905,"&lt;&gt;Штраф -2",$I$4:I1905,"&lt;&gt;ушел на базу"))</f>
        <v/>
      </c>
      <c r="F1905" s="4">
        <f>IF(E1905="","",IF(E1905&lt;=3,6,IF(E1905&lt;=6,5,IF(E1905&lt;=9,4,IF(E1905&lt;=12,3,IF(E1905&lt;=15,2,0))))))</f>
        <v/>
      </c>
      <c r="G1905" s="3" t="n"/>
      <c r="H1905" s="4">
        <f>IF(I1905="Штраф -2",-2,IF(OR(F1905="",G1905=""),"",F1905*G1905+IF(J1905="",0,J1905)))</f>
        <v/>
      </c>
      <c r="I1905" s="3" t="n"/>
      <c r="J1905" s="3" t="n"/>
      <c r="K1905" s="3" t="n"/>
    </row>
    <row r="1906">
      <c r="A1906" s="3" t="n"/>
      <c r="B1906" s="3" t="n"/>
      <c r="C1906" s="3" t="n"/>
      <c r="D1906" s="3" t="n"/>
      <c r="E1906" s="4">
        <f>IF(A1906="","",COUNTIFS($A$4:A1906,A1906,$I$4:I1906,"&lt;&gt;Штраф -2",$I$4:I1906,"&lt;&gt;ушел на базу"))</f>
        <v/>
      </c>
      <c r="F1906" s="4">
        <f>IF(E1906="","",IF(E1906&lt;=3,6,IF(E1906&lt;=6,5,IF(E1906&lt;=9,4,IF(E1906&lt;=12,3,IF(E1906&lt;=15,2,0))))))</f>
        <v/>
      </c>
      <c r="G1906" s="3" t="n"/>
      <c r="H1906" s="4">
        <f>IF(I1906="Штраф -2",-2,IF(OR(F1906="",G1906=""),"",F1906*G1906+IF(J1906="",0,J1906)))</f>
        <v/>
      </c>
      <c r="I1906" s="3" t="n"/>
      <c r="J1906" s="3" t="n"/>
      <c r="K1906" s="3" t="n"/>
    </row>
    <row r="1907">
      <c r="A1907" s="3" t="n"/>
      <c r="B1907" s="3" t="n"/>
      <c r="C1907" s="3" t="n"/>
      <c r="D1907" s="3" t="n"/>
      <c r="E1907" s="4">
        <f>IF(A1907="","",COUNTIFS($A$4:A1907,A1907,$I$4:I1907,"&lt;&gt;Штраф -2",$I$4:I1907,"&lt;&gt;ушел на базу"))</f>
        <v/>
      </c>
      <c r="F1907" s="4">
        <f>IF(E1907="","",IF(E1907&lt;=3,6,IF(E1907&lt;=6,5,IF(E1907&lt;=9,4,IF(E1907&lt;=12,3,IF(E1907&lt;=15,2,0))))))</f>
        <v/>
      </c>
      <c r="G1907" s="3" t="n"/>
      <c r="H1907" s="4">
        <f>IF(I1907="Штраф -2",-2,IF(OR(F1907="",G1907=""),"",F1907*G1907+IF(J1907="",0,J1907)))</f>
        <v/>
      </c>
      <c r="I1907" s="3" t="n"/>
      <c r="J1907" s="3" t="n"/>
      <c r="K1907" s="3" t="n"/>
    </row>
    <row r="1908">
      <c r="A1908" s="3" t="n"/>
      <c r="B1908" s="3" t="n"/>
      <c r="C1908" s="3" t="n"/>
      <c r="D1908" s="3" t="n"/>
      <c r="E1908" s="4">
        <f>IF(A1908="","",COUNTIFS($A$4:A1908,A1908,$I$4:I1908,"&lt;&gt;Штраф -2",$I$4:I1908,"&lt;&gt;ушел на базу"))</f>
        <v/>
      </c>
      <c r="F1908" s="4">
        <f>IF(E1908="","",IF(E1908&lt;=3,6,IF(E1908&lt;=6,5,IF(E1908&lt;=9,4,IF(E1908&lt;=12,3,IF(E1908&lt;=15,2,0))))))</f>
        <v/>
      </c>
      <c r="G1908" s="3" t="n"/>
      <c r="H1908" s="4">
        <f>IF(I1908="Штраф -2",-2,IF(OR(F1908="",G1908=""),"",F1908*G1908+IF(J1908="",0,J1908)))</f>
        <v/>
      </c>
      <c r="I1908" s="3" t="n"/>
      <c r="J1908" s="3" t="n"/>
      <c r="K1908" s="3" t="n"/>
    </row>
    <row r="1909">
      <c r="A1909" s="3" t="n"/>
      <c r="B1909" s="3" t="n"/>
      <c r="C1909" s="3" t="n"/>
      <c r="D1909" s="3" t="n"/>
      <c r="E1909" s="4">
        <f>IF(A1909="","",COUNTIFS($A$4:A1909,A1909,$I$4:I1909,"&lt;&gt;Штраф -2",$I$4:I1909,"&lt;&gt;ушел на базу"))</f>
        <v/>
      </c>
      <c r="F1909" s="4">
        <f>IF(E1909="","",IF(E1909&lt;=3,6,IF(E1909&lt;=6,5,IF(E1909&lt;=9,4,IF(E1909&lt;=12,3,IF(E1909&lt;=15,2,0))))))</f>
        <v/>
      </c>
      <c r="G1909" s="3" t="n"/>
      <c r="H1909" s="4">
        <f>IF(I1909="Штраф -2",-2,IF(OR(F1909="",G1909=""),"",F1909*G1909+IF(J1909="",0,J1909)))</f>
        <v/>
      </c>
      <c r="I1909" s="3" t="n"/>
      <c r="J1909" s="3" t="n"/>
      <c r="K1909" s="3" t="n"/>
    </row>
    <row r="1910">
      <c r="A1910" s="3" t="n"/>
      <c r="B1910" s="3" t="n"/>
      <c r="C1910" s="3" t="n"/>
      <c r="D1910" s="3" t="n"/>
      <c r="E1910" s="4">
        <f>IF(A1910="","",COUNTIFS($A$4:A1910,A1910,$I$4:I1910,"&lt;&gt;Штраф -2",$I$4:I1910,"&lt;&gt;ушел на базу"))</f>
        <v/>
      </c>
      <c r="F1910" s="4">
        <f>IF(E1910="","",IF(E1910&lt;=3,6,IF(E1910&lt;=6,5,IF(E1910&lt;=9,4,IF(E1910&lt;=12,3,IF(E1910&lt;=15,2,0))))))</f>
        <v/>
      </c>
      <c r="G1910" s="3" t="n"/>
      <c r="H1910" s="4">
        <f>IF(I1910="Штраф -2",-2,IF(OR(F1910="",G1910=""),"",F1910*G1910+IF(J1910="",0,J1910)))</f>
        <v/>
      </c>
      <c r="I1910" s="3" t="n"/>
      <c r="J1910" s="3" t="n"/>
      <c r="K1910" s="3" t="n"/>
    </row>
    <row r="1911">
      <c r="A1911" s="3" t="n"/>
      <c r="B1911" s="3" t="n"/>
      <c r="C1911" s="3" t="n"/>
      <c r="D1911" s="3" t="n"/>
      <c r="E1911" s="4">
        <f>IF(A1911="","",COUNTIFS($A$4:A1911,A1911,$I$4:I1911,"&lt;&gt;Штраф -2",$I$4:I1911,"&lt;&gt;ушел на базу"))</f>
        <v/>
      </c>
      <c r="F1911" s="4">
        <f>IF(E1911="","",IF(E1911&lt;=3,6,IF(E1911&lt;=6,5,IF(E1911&lt;=9,4,IF(E1911&lt;=12,3,IF(E1911&lt;=15,2,0))))))</f>
        <v/>
      </c>
      <c r="G1911" s="3" t="n"/>
      <c r="H1911" s="4">
        <f>IF(I1911="Штраф -2",-2,IF(OR(F1911="",G1911=""),"",F1911*G1911+IF(J1911="",0,J1911)))</f>
        <v/>
      </c>
      <c r="I1911" s="3" t="n"/>
      <c r="J1911" s="3" t="n"/>
      <c r="K1911" s="3" t="n"/>
    </row>
    <row r="1912">
      <c r="A1912" s="3" t="n"/>
      <c r="B1912" s="3" t="n"/>
      <c r="C1912" s="3" t="n"/>
      <c r="D1912" s="3" t="n"/>
      <c r="E1912" s="4">
        <f>IF(A1912="","",COUNTIFS($A$4:A1912,A1912,$I$4:I1912,"&lt;&gt;Штраф -2",$I$4:I1912,"&lt;&gt;ушел на базу"))</f>
        <v/>
      </c>
      <c r="F1912" s="4">
        <f>IF(E1912="","",IF(E1912&lt;=3,6,IF(E1912&lt;=6,5,IF(E1912&lt;=9,4,IF(E1912&lt;=12,3,IF(E1912&lt;=15,2,0))))))</f>
        <v/>
      </c>
      <c r="G1912" s="3" t="n"/>
      <c r="H1912" s="4">
        <f>IF(I1912="Штраф -2",-2,IF(OR(F1912="",G1912=""),"",F1912*G1912+IF(J1912="",0,J1912)))</f>
        <v/>
      </c>
      <c r="I1912" s="3" t="n"/>
      <c r="J1912" s="3" t="n"/>
      <c r="K1912" s="3" t="n"/>
    </row>
    <row r="1913">
      <c r="A1913" s="3" t="n"/>
      <c r="B1913" s="3" t="n"/>
      <c r="C1913" s="3" t="n"/>
      <c r="D1913" s="3" t="n"/>
      <c r="E1913" s="4">
        <f>IF(A1913="","",COUNTIFS($A$4:A1913,A1913,$I$4:I1913,"&lt;&gt;Штраф -2",$I$4:I1913,"&lt;&gt;ушел на базу"))</f>
        <v/>
      </c>
      <c r="F1913" s="4">
        <f>IF(E1913="","",IF(E1913&lt;=3,6,IF(E1913&lt;=6,5,IF(E1913&lt;=9,4,IF(E1913&lt;=12,3,IF(E1913&lt;=15,2,0))))))</f>
        <v/>
      </c>
      <c r="G1913" s="3" t="n"/>
      <c r="H1913" s="4">
        <f>IF(I1913="Штраф -2",-2,IF(OR(F1913="",G1913=""),"",F1913*G1913+IF(J1913="",0,J1913)))</f>
        <v/>
      </c>
      <c r="I1913" s="3" t="n"/>
      <c r="J1913" s="3" t="n"/>
      <c r="K1913" s="3" t="n"/>
    </row>
    <row r="1914">
      <c r="A1914" s="3" t="n"/>
      <c r="B1914" s="3" t="n"/>
      <c r="C1914" s="3" t="n"/>
      <c r="D1914" s="3" t="n"/>
      <c r="E1914" s="4">
        <f>IF(A1914="","",COUNTIFS($A$4:A1914,A1914,$I$4:I1914,"&lt;&gt;Штраф -2",$I$4:I1914,"&lt;&gt;ушел на базу"))</f>
        <v/>
      </c>
      <c r="F1914" s="4">
        <f>IF(E1914="","",IF(E1914&lt;=3,6,IF(E1914&lt;=6,5,IF(E1914&lt;=9,4,IF(E1914&lt;=12,3,IF(E1914&lt;=15,2,0))))))</f>
        <v/>
      </c>
      <c r="G1914" s="3" t="n"/>
      <c r="H1914" s="4">
        <f>IF(I1914="Штраф -2",-2,IF(OR(F1914="",G1914=""),"",F1914*G1914+IF(J1914="",0,J1914)))</f>
        <v/>
      </c>
      <c r="I1914" s="3" t="n"/>
      <c r="J1914" s="3" t="n"/>
      <c r="K1914" s="3" t="n"/>
    </row>
    <row r="1915">
      <c r="A1915" s="3" t="n"/>
      <c r="B1915" s="3" t="n"/>
      <c r="C1915" s="3" t="n"/>
      <c r="D1915" s="3" t="n"/>
      <c r="E1915" s="4">
        <f>IF(A1915="","",COUNTIFS($A$4:A1915,A1915,$I$4:I1915,"&lt;&gt;Штраф -2",$I$4:I1915,"&lt;&gt;ушел на базу"))</f>
        <v/>
      </c>
      <c r="F1915" s="4">
        <f>IF(E1915="","",IF(E1915&lt;=3,6,IF(E1915&lt;=6,5,IF(E1915&lt;=9,4,IF(E1915&lt;=12,3,IF(E1915&lt;=15,2,0))))))</f>
        <v/>
      </c>
      <c r="G1915" s="3" t="n"/>
      <c r="H1915" s="4">
        <f>IF(I1915="Штраф -2",-2,IF(OR(F1915="",G1915=""),"",F1915*G1915+IF(J1915="",0,J1915)))</f>
        <v/>
      </c>
      <c r="I1915" s="3" t="n"/>
      <c r="J1915" s="3" t="n"/>
      <c r="K1915" s="3" t="n"/>
    </row>
    <row r="1916">
      <c r="A1916" s="3" t="n"/>
      <c r="B1916" s="3" t="n"/>
      <c r="C1916" s="3" t="n"/>
      <c r="D1916" s="3" t="n"/>
      <c r="E1916" s="4">
        <f>IF(A1916="","",COUNTIFS($A$4:A1916,A1916,$I$4:I1916,"&lt;&gt;Штраф -2",$I$4:I1916,"&lt;&gt;ушел на базу"))</f>
        <v/>
      </c>
      <c r="F1916" s="4">
        <f>IF(E1916="","",IF(E1916&lt;=3,6,IF(E1916&lt;=6,5,IF(E1916&lt;=9,4,IF(E1916&lt;=12,3,IF(E1916&lt;=15,2,0))))))</f>
        <v/>
      </c>
      <c r="G1916" s="3" t="n"/>
      <c r="H1916" s="4">
        <f>IF(I1916="Штраф -2",-2,IF(OR(F1916="",G1916=""),"",F1916*G1916+IF(J1916="",0,J1916)))</f>
        <v/>
      </c>
      <c r="I1916" s="3" t="n"/>
      <c r="J1916" s="3" t="n"/>
      <c r="K1916" s="3" t="n"/>
    </row>
    <row r="1917">
      <c r="A1917" s="3" t="n"/>
      <c r="B1917" s="3" t="n"/>
      <c r="C1917" s="3" t="n"/>
      <c r="D1917" s="3" t="n"/>
      <c r="E1917" s="4">
        <f>IF(A1917="","",COUNTIFS($A$4:A1917,A1917,$I$4:I1917,"&lt;&gt;Штраф -2",$I$4:I1917,"&lt;&gt;ушел на базу"))</f>
        <v/>
      </c>
      <c r="F1917" s="4">
        <f>IF(E1917="","",IF(E1917&lt;=3,6,IF(E1917&lt;=6,5,IF(E1917&lt;=9,4,IF(E1917&lt;=12,3,IF(E1917&lt;=15,2,0))))))</f>
        <v/>
      </c>
      <c r="G1917" s="3" t="n"/>
      <c r="H1917" s="4">
        <f>IF(I1917="Штраф -2",-2,IF(OR(F1917="",G1917=""),"",F1917*G1917+IF(J1917="",0,J1917)))</f>
        <v/>
      </c>
      <c r="I1917" s="3" t="n"/>
      <c r="J1917" s="3" t="n"/>
      <c r="K1917" s="3" t="n"/>
    </row>
    <row r="1918">
      <c r="A1918" s="3" t="n"/>
      <c r="B1918" s="3" t="n"/>
      <c r="C1918" s="3" t="n"/>
      <c r="D1918" s="3" t="n"/>
      <c r="E1918" s="4">
        <f>IF(A1918="","",COUNTIFS($A$4:A1918,A1918,$I$4:I1918,"&lt;&gt;Штраф -2",$I$4:I1918,"&lt;&gt;ушел на базу"))</f>
        <v/>
      </c>
      <c r="F1918" s="4">
        <f>IF(E1918="","",IF(E1918&lt;=3,6,IF(E1918&lt;=6,5,IF(E1918&lt;=9,4,IF(E1918&lt;=12,3,IF(E1918&lt;=15,2,0))))))</f>
        <v/>
      </c>
      <c r="G1918" s="3" t="n"/>
      <c r="H1918" s="4">
        <f>IF(I1918="Штраф -2",-2,IF(OR(F1918="",G1918=""),"",F1918*G1918+IF(J1918="",0,J1918)))</f>
        <v/>
      </c>
      <c r="I1918" s="3" t="n"/>
      <c r="J1918" s="3" t="n"/>
      <c r="K1918" s="3" t="n"/>
    </row>
    <row r="1919">
      <c r="A1919" s="3" t="n"/>
      <c r="B1919" s="3" t="n"/>
      <c r="C1919" s="3" t="n"/>
      <c r="D1919" s="3" t="n"/>
      <c r="E1919" s="4">
        <f>IF(A1919="","",COUNTIFS($A$4:A1919,A1919,$I$4:I1919,"&lt;&gt;Штраф -2",$I$4:I1919,"&lt;&gt;ушел на базу"))</f>
        <v/>
      </c>
      <c r="F1919" s="4">
        <f>IF(E1919="","",IF(E1919&lt;=3,6,IF(E1919&lt;=6,5,IF(E1919&lt;=9,4,IF(E1919&lt;=12,3,IF(E1919&lt;=15,2,0))))))</f>
        <v/>
      </c>
      <c r="G1919" s="3" t="n"/>
      <c r="H1919" s="4">
        <f>IF(I1919="Штраф -2",-2,IF(OR(F1919="",G1919=""),"",F1919*G1919+IF(J1919="",0,J1919)))</f>
        <v/>
      </c>
      <c r="I1919" s="3" t="n"/>
      <c r="J1919" s="3" t="n"/>
      <c r="K1919" s="3" t="n"/>
    </row>
    <row r="1920">
      <c r="A1920" s="3" t="n"/>
      <c r="B1920" s="3" t="n"/>
      <c r="C1920" s="3" t="n"/>
      <c r="D1920" s="3" t="n"/>
      <c r="E1920" s="4">
        <f>IF(A1920="","",COUNTIFS($A$4:A1920,A1920,$I$4:I1920,"&lt;&gt;Штраф -2",$I$4:I1920,"&lt;&gt;ушел на базу"))</f>
        <v/>
      </c>
      <c r="F1920" s="4">
        <f>IF(E1920="","",IF(E1920&lt;=3,6,IF(E1920&lt;=6,5,IF(E1920&lt;=9,4,IF(E1920&lt;=12,3,IF(E1920&lt;=15,2,0))))))</f>
        <v/>
      </c>
      <c r="G1920" s="3" t="n"/>
      <c r="H1920" s="4">
        <f>IF(I1920="Штраф -2",-2,IF(OR(F1920="",G1920=""),"",F1920*G1920+IF(J1920="",0,J1920)))</f>
        <v/>
      </c>
      <c r="I1920" s="3" t="n"/>
      <c r="J1920" s="3" t="n"/>
      <c r="K1920" s="3" t="n"/>
    </row>
    <row r="1921">
      <c r="A1921" s="3" t="n"/>
      <c r="B1921" s="3" t="n"/>
      <c r="C1921" s="3" t="n"/>
      <c r="D1921" s="3" t="n"/>
      <c r="E1921" s="4">
        <f>IF(A1921="","",COUNTIFS($A$4:A1921,A1921,$I$4:I1921,"&lt;&gt;Штраф -2",$I$4:I1921,"&lt;&gt;ушел на базу"))</f>
        <v/>
      </c>
      <c r="F1921" s="4">
        <f>IF(E1921="","",IF(E1921&lt;=3,6,IF(E1921&lt;=6,5,IF(E1921&lt;=9,4,IF(E1921&lt;=12,3,IF(E1921&lt;=15,2,0))))))</f>
        <v/>
      </c>
      <c r="G1921" s="3" t="n"/>
      <c r="H1921" s="4">
        <f>IF(I1921="Штраф -2",-2,IF(OR(F1921="",G1921=""),"",F1921*G1921+IF(J1921="",0,J1921)))</f>
        <v/>
      </c>
      <c r="I1921" s="3" t="n"/>
      <c r="J1921" s="3" t="n"/>
      <c r="K1921" s="3" t="n"/>
    </row>
    <row r="1922">
      <c r="A1922" s="3" t="n"/>
      <c r="B1922" s="3" t="n"/>
      <c r="C1922" s="3" t="n"/>
      <c r="D1922" s="3" t="n"/>
      <c r="E1922" s="4">
        <f>IF(A1922="","",COUNTIFS($A$4:A1922,A1922,$I$4:I1922,"&lt;&gt;Штраф -2",$I$4:I1922,"&lt;&gt;ушел на базу"))</f>
        <v/>
      </c>
      <c r="F1922" s="4">
        <f>IF(E1922="","",IF(E1922&lt;=3,6,IF(E1922&lt;=6,5,IF(E1922&lt;=9,4,IF(E1922&lt;=12,3,IF(E1922&lt;=15,2,0))))))</f>
        <v/>
      </c>
      <c r="G1922" s="3" t="n"/>
      <c r="H1922" s="4">
        <f>IF(I1922="Штраф -2",-2,IF(OR(F1922="",G1922=""),"",F1922*G1922+IF(J1922="",0,J1922)))</f>
        <v/>
      </c>
      <c r="I1922" s="3" t="n"/>
      <c r="J1922" s="3" t="n"/>
      <c r="K1922" s="3" t="n"/>
    </row>
    <row r="1923">
      <c r="A1923" s="3" t="n"/>
      <c r="B1923" s="3" t="n"/>
      <c r="C1923" s="3" t="n"/>
      <c r="D1923" s="3" t="n"/>
      <c r="E1923" s="4">
        <f>IF(A1923="","",COUNTIFS($A$4:A1923,A1923,$I$4:I1923,"&lt;&gt;Штраф -2",$I$4:I1923,"&lt;&gt;ушел на базу"))</f>
        <v/>
      </c>
      <c r="F1923" s="4">
        <f>IF(E1923="","",IF(E1923&lt;=3,6,IF(E1923&lt;=6,5,IF(E1923&lt;=9,4,IF(E1923&lt;=12,3,IF(E1923&lt;=15,2,0))))))</f>
        <v/>
      </c>
      <c r="G1923" s="3" t="n"/>
      <c r="H1923" s="4">
        <f>IF(I1923="Штраф -2",-2,IF(OR(F1923="",G1923=""),"",F1923*G1923+IF(J1923="",0,J1923)))</f>
        <v/>
      </c>
      <c r="I1923" s="3" t="n"/>
      <c r="J1923" s="3" t="n"/>
      <c r="K1923" s="3" t="n"/>
    </row>
    <row r="1924">
      <c r="A1924" s="3" t="n"/>
      <c r="B1924" s="3" t="n"/>
      <c r="C1924" s="3" t="n"/>
      <c r="D1924" s="3" t="n"/>
      <c r="E1924" s="4">
        <f>IF(A1924="","",COUNTIFS($A$4:A1924,A1924,$I$4:I1924,"&lt;&gt;Штраф -2",$I$4:I1924,"&lt;&gt;ушел на базу"))</f>
        <v/>
      </c>
      <c r="F1924" s="4">
        <f>IF(E1924="","",IF(E1924&lt;=3,6,IF(E1924&lt;=6,5,IF(E1924&lt;=9,4,IF(E1924&lt;=12,3,IF(E1924&lt;=15,2,0))))))</f>
        <v/>
      </c>
      <c r="G1924" s="3" t="n"/>
      <c r="H1924" s="4">
        <f>IF(I1924="Штраф -2",-2,IF(OR(F1924="",G1924=""),"",F1924*G1924+IF(J1924="",0,J1924)))</f>
        <v/>
      </c>
      <c r="I1924" s="3" t="n"/>
      <c r="J1924" s="3" t="n"/>
      <c r="K1924" s="3" t="n"/>
    </row>
    <row r="1925">
      <c r="A1925" s="3" t="n"/>
      <c r="B1925" s="3" t="n"/>
      <c r="C1925" s="3" t="n"/>
      <c r="D1925" s="3" t="n"/>
      <c r="E1925" s="4">
        <f>IF(A1925="","",COUNTIFS($A$4:A1925,A1925,$I$4:I1925,"&lt;&gt;Штраф -2",$I$4:I1925,"&lt;&gt;ушел на базу"))</f>
        <v/>
      </c>
      <c r="F1925" s="4">
        <f>IF(E1925="","",IF(E1925&lt;=3,6,IF(E1925&lt;=6,5,IF(E1925&lt;=9,4,IF(E1925&lt;=12,3,IF(E1925&lt;=15,2,0))))))</f>
        <v/>
      </c>
      <c r="G1925" s="3" t="n"/>
      <c r="H1925" s="4">
        <f>IF(I1925="Штраф -2",-2,IF(OR(F1925="",G1925=""),"",F1925*G1925+IF(J1925="",0,J1925)))</f>
        <v/>
      </c>
      <c r="I1925" s="3" t="n"/>
      <c r="J1925" s="3" t="n"/>
      <c r="K1925" s="3" t="n"/>
    </row>
    <row r="1926">
      <c r="A1926" s="3" t="n"/>
      <c r="B1926" s="3" t="n"/>
      <c r="C1926" s="3" t="n"/>
      <c r="D1926" s="3" t="n"/>
      <c r="E1926" s="4">
        <f>IF(A1926="","",COUNTIFS($A$4:A1926,A1926,$I$4:I1926,"&lt;&gt;Штраф -2",$I$4:I1926,"&lt;&gt;ушел на базу"))</f>
        <v/>
      </c>
      <c r="F1926" s="4">
        <f>IF(E1926="","",IF(E1926&lt;=3,6,IF(E1926&lt;=6,5,IF(E1926&lt;=9,4,IF(E1926&lt;=12,3,IF(E1926&lt;=15,2,0))))))</f>
        <v/>
      </c>
      <c r="G1926" s="3" t="n"/>
      <c r="H1926" s="4">
        <f>IF(I1926="Штраф -2",-2,IF(OR(F1926="",G1926=""),"",F1926*G1926+IF(J1926="",0,J1926)))</f>
        <v/>
      </c>
      <c r="I1926" s="3" t="n"/>
      <c r="J1926" s="3" t="n"/>
      <c r="K1926" s="3" t="n"/>
    </row>
    <row r="1927">
      <c r="A1927" s="3" t="n"/>
      <c r="B1927" s="3" t="n"/>
      <c r="C1927" s="3" t="n"/>
      <c r="D1927" s="3" t="n"/>
      <c r="E1927" s="4">
        <f>IF(A1927="","",COUNTIFS($A$4:A1927,A1927,$I$4:I1927,"&lt;&gt;Штраф -2",$I$4:I1927,"&lt;&gt;ушел на базу"))</f>
        <v/>
      </c>
      <c r="F1927" s="4">
        <f>IF(E1927="","",IF(E1927&lt;=3,6,IF(E1927&lt;=6,5,IF(E1927&lt;=9,4,IF(E1927&lt;=12,3,IF(E1927&lt;=15,2,0))))))</f>
        <v/>
      </c>
      <c r="G1927" s="3" t="n"/>
      <c r="H1927" s="4">
        <f>IF(I1927="Штраф -2",-2,IF(OR(F1927="",G1927=""),"",F1927*G1927+IF(J1927="",0,J1927)))</f>
        <v/>
      </c>
      <c r="I1927" s="3" t="n"/>
      <c r="J1927" s="3" t="n"/>
      <c r="K1927" s="3" t="n"/>
    </row>
    <row r="1928">
      <c r="A1928" s="3" t="n"/>
      <c r="B1928" s="3" t="n"/>
      <c r="C1928" s="3" t="n"/>
      <c r="D1928" s="3" t="n"/>
      <c r="E1928" s="4">
        <f>IF(A1928="","",COUNTIFS($A$4:A1928,A1928,$I$4:I1928,"&lt;&gt;Штраф -2",$I$4:I1928,"&lt;&gt;ушел на базу"))</f>
        <v/>
      </c>
      <c r="F1928" s="4">
        <f>IF(E1928="","",IF(E1928&lt;=3,6,IF(E1928&lt;=6,5,IF(E1928&lt;=9,4,IF(E1928&lt;=12,3,IF(E1928&lt;=15,2,0))))))</f>
        <v/>
      </c>
      <c r="G1928" s="3" t="n"/>
      <c r="H1928" s="4">
        <f>IF(I1928="Штраф -2",-2,IF(OR(F1928="",G1928=""),"",F1928*G1928+IF(J1928="",0,J1928)))</f>
        <v/>
      </c>
      <c r="I1928" s="3" t="n"/>
      <c r="J1928" s="3" t="n"/>
      <c r="K1928" s="3" t="n"/>
    </row>
    <row r="1929">
      <c r="A1929" s="3" t="n"/>
      <c r="B1929" s="3" t="n"/>
      <c r="C1929" s="3" t="n"/>
      <c r="D1929" s="3" t="n"/>
      <c r="E1929" s="4">
        <f>IF(A1929="","",COUNTIFS($A$4:A1929,A1929,$I$4:I1929,"&lt;&gt;Штраф -2",$I$4:I1929,"&lt;&gt;ушел на базу"))</f>
        <v/>
      </c>
      <c r="F1929" s="4">
        <f>IF(E1929="","",IF(E1929&lt;=3,6,IF(E1929&lt;=6,5,IF(E1929&lt;=9,4,IF(E1929&lt;=12,3,IF(E1929&lt;=15,2,0))))))</f>
        <v/>
      </c>
      <c r="G1929" s="3" t="n"/>
      <c r="H1929" s="4">
        <f>IF(I1929="Штраф -2",-2,IF(OR(F1929="",G1929=""),"",F1929*G1929+IF(J1929="",0,J1929)))</f>
        <v/>
      </c>
      <c r="I1929" s="3" t="n"/>
      <c r="J1929" s="3" t="n"/>
      <c r="K1929" s="3" t="n"/>
    </row>
    <row r="1930">
      <c r="A1930" s="3" t="n"/>
      <c r="B1930" s="3" t="n"/>
      <c r="C1930" s="3" t="n"/>
      <c r="D1930" s="3" t="n"/>
      <c r="E1930" s="4">
        <f>IF(A1930="","",COUNTIFS($A$4:A1930,A1930,$I$4:I1930,"&lt;&gt;Штраф -2",$I$4:I1930,"&lt;&gt;ушел на базу"))</f>
        <v/>
      </c>
      <c r="F1930" s="4">
        <f>IF(E1930="","",IF(E1930&lt;=3,6,IF(E1930&lt;=6,5,IF(E1930&lt;=9,4,IF(E1930&lt;=12,3,IF(E1930&lt;=15,2,0))))))</f>
        <v/>
      </c>
      <c r="G1930" s="3" t="n"/>
      <c r="H1930" s="4">
        <f>IF(I1930="Штраф -2",-2,IF(OR(F1930="",G1930=""),"",F1930*G1930+IF(J1930="",0,J1930)))</f>
        <v/>
      </c>
      <c r="I1930" s="3" t="n"/>
      <c r="J1930" s="3" t="n"/>
      <c r="K1930" s="3" t="n"/>
    </row>
    <row r="1931">
      <c r="A1931" s="3" t="n"/>
      <c r="B1931" s="3" t="n"/>
      <c r="C1931" s="3" t="n"/>
      <c r="D1931" s="3" t="n"/>
      <c r="E1931" s="4">
        <f>IF(A1931="","",COUNTIFS($A$4:A1931,A1931,$I$4:I1931,"&lt;&gt;Штраф -2",$I$4:I1931,"&lt;&gt;ушел на базу"))</f>
        <v/>
      </c>
      <c r="F1931" s="4">
        <f>IF(E1931="","",IF(E1931&lt;=3,6,IF(E1931&lt;=6,5,IF(E1931&lt;=9,4,IF(E1931&lt;=12,3,IF(E1931&lt;=15,2,0))))))</f>
        <v/>
      </c>
      <c r="G1931" s="3" t="n"/>
      <c r="H1931" s="4">
        <f>IF(I1931="Штраф -2",-2,IF(OR(F1931="",G1931=""),"",F1931*G1931+IF(J1931="",0,J1931)))</f>
        <v/>
      </c>
      <c r="I1931" s="3" t="n"/>
      <c r="J1931" s="3" t="n"/>
      <c r="K1931" s="3" t="n"/>
    </row>
    <row r="1932">
      <c r="A1932" s="3" t="n"/>
      <c r="B1932" s="3" t="n"/>
      <c r="C1932" s="3" t="n"/>
      <c r="D1932" s="3" t="n"/>
      <c r="E1932" s="4">
        <f>IF(A1932="","",COUNTIFS($A$4:A1932,A1932,$I$4:I1932,"&lt;&gt;Штраф -2",$I$4:I1932,"&lt;&gt;ушел на базу"))</f>
        <v/>
      </c>
      <c r="F1932" s="4">
        <f>IF(E1932="","",IF(E1932&lt;=3,6,IF(E1932&lt;=6,5,IF(E1932&lt;=9,4,IF(E1932&lt;=12,3,IF(E1932&lt;=15,2,0))))))</f>
        <v/>
      </c>
      <c r="G1932" s="3" t="n"/>
      <c r="H1932" s="4">
        <f>IF(I1932="Штраф -2",-2,IF(OR(F1932="",G1932=""),"",F1932*G1932+IF(J1932="",0,J1932)))</f>
        <v/>
      </c>
      <c r="I1932" s="3" t="n"/>
      <c r="J1932" s="3" t="n"/>
      <c r="K1932" s="3" t="n"/>
    </row>
    <row r="1933">
      <c r="A1933" s="3" t="n"/>
      <c r="B1933" s="3" t="n"/>
      <c r="C1933" s="3" t="n"/>
      <c r="D1933" s="3" t="n"/>
      <c r="E1933" s="4">
        <f>IF(A1933="","",COUNTIFS($A$4:A1933,A1933,$I$4:I1933,"&lt;&gt;Штраф -2",$I$4:I1933,"&lt;&gt;ушел на базу"))</f>
        <v/>
      </c>
      <c r="F1933" s="4">
        <f>IF(E1933="","",IF(E1933&lt;=3,6,IF(E1933&lt;=6,5,IF(E1933&lt;=9,4,IF(E1933&lt;=12,3,IF(E1933&lt;=15,2,0))))))</f>
        <v/>
      </c>
      <c r="G1933" s="3" t="n"/>
      <c r="H1933" s="4">
        <f>IF(I1933="Штраф -2",-2,IF(OR(F1933="",G1933=""),"",F1933*G1933+IF(J1933="",0,J1933)))</f>
        <v/>
      </c>
      <c r="I1933" s="3" t="n"/>
      <c r="J1933" s="3" t="n"/>
      <c r="K1933" s="3" t="n"/>
    </row>
    <row r="1934">
      <c r="A1934" s="3" t="n"/>
      <c r="B1934" s="3" t="n"/>
      <c r="C1934" s="3" t="n"/>
      <c r="D1934" s="3" t="n"/>
      <c r="E1934" s="4">
        <f>IF(A1934="","",COUNTIFS($A$4:A1934,A1934,$I$4:I1934,"&lt;&gt;Штраф -2",$I$4:I1934,"&lt;&gt;ушел на базу"))</f>
        <v/>
      </c>
      <c r="F1934" s="4">
        <f>IF(E1934="","",IF(E1934&lt;=3,6,IF(E1934&lt;=6,5,IF(E1934&lt;=9,4,IF(E1934&lt;=12,3,IF(E1934&lt;=15,2,0))))))</f>
        <v/>
      </c>
      <c r="G1934" s="3" t="n"/>
      <c r="H1934" s="4">
        <f>IF(I1934="Штраф -2",-2,IF(OR(F1934="",G1934=""),"",F1934*G1934+IF(J1934="",0,J1934)))</f>
        <v/>
      </c>
      <c r="I1934" s="3" t="n"/>
      <c r="J1934" s="3" t="n"/>
      <c r="K1934" s="3" t="n"/>
    </row>
    <row r="1935">
      <c r="A1935" s="3" t="n"/>
      <c r="B1935" s="3" t="n"/>
      <c r="C1935" s="3" t="n"/>
      <c r="D1935" s="3" t="n"/>
      <c r="E1935" s="4">
        <f>IF(A1935="","",COUNTIFS($A$4:A1935,A1935,$I$4:I1935,"&lt;&gt;Штраф -2",$I$4:I1935,"&lt;&gt;ушел на базу"))</f>
        <v/>
      </c>
      <c r="F1935" s="4">
        <f>IF(E1935="","",IF(E1935&lt;=3,6,IF(E1935&lt;=6,5,IF(E1935&lt;=9,4,IF(E1935&lt;=12,3,IF(E1935&lt;=15,2,0))))))</f>
        <v/>
      </c>
      <c r="G1935" s="3" t="n"/>
      <c r="H1935" s="4">
        <f>IF(I1935="Штраф -2",-2,IF(OR(F1935="",G1935=""),"",F1935*G1935+IF(J1935="",0,J1935)))</f>
        <v/>
      </c>
      <c r="I1935" s="3" t="n"/>
      <c r="J1935" s="3" t="n"/>
      <c r="K1935" s="3" t="n"/>
    </row>
    <row r="1936">
      <c r="A1936" s="3" t="n"/>
      <c r="B1936" s="3" t="n"/>
      <c r="C1936" s="3" t="n"/>
      <c r="D1936" s="3" t="n"/>
      <c r="E1936" s="4">
        <f>IF(A1936="","",COUNTIFS($A$4:A1936,A1936,$I$4:I1936,"&lt;&gt;Штраф -2",$I$4:I1936,"&lt;&gt;ушел на базу"))</f>
        <v/>
      </c>
      <c r="F1936" s="4">
        <f>IF(E1936="","",IF(E1936&lt;=3,6,IF(E1936&lt;=6,5,IF(E1936&lt;=9,4,IF(E1936&lt;=12,3,IF(E1936&lt;=15,2,0))))))</f>
        <v/>
      </c>
      <c r="G1936" s="3" t="n"/>
      <c r="H1936" s="4">
        <f>IF(I1936="Штраф -2",-2,IF(OR(F1936="",G1936=""),"",F1936*G1936+IF(J1936="",0,J1936)))</f>
        <v/>
      </c>
      <c r="I1936" s="3" t="n"/>
      <c r="J1936" s="3" t="n"/>
      <c r="K1936" s="3" t="n"/>
    </row>
    <row r="1937">
      <c r="A1937" s="3" t="n"/>
      <c r="B1937" s="3" t="n"/>
      <c r="C1937" s="3" t="n"/>
      <c r="D1937" s="3" t="n"/>
      <c r="E1937" s="4">
        <f>IF(A1937="","",COUNTIFS($A$4:A1937,A1937,$I$4:I1937,"&lt;&gt;Штраф -2",$I$4:I1937,"&lt;&gt;ушел на базу"))</f>
        <v/>
      </c>
      <c r="F1937" s="4">
        <f>IF(E1937="","",IF(E1937&lt;=3,6,IF(E1937&lt;=6,5,IF(E1937&lt;=9,4,IF(E1937&lt;=12,3,IF(E1937&lt;=15,2,0))))))</f>
        <v/>
      </c>
      <c r="G1937" s="3" t="n"/>
      <c r="H1937" s="4">
        <f>IF(I1937="Штраф -2",-2,IF(OR(F1937="",G1937=""),"",F1937*G1937+IF(J1937="",0,J1937)))</f>
        <v/>
      </c>
      <c r="I1937" s="3" t="n"/>
      <c r="J1937" s="3" t="n"/>
      <c r="K1937" s="3" t="n"/>
    </row>
    <row r="1938">
      <c r="A1938" s="3" t="n"/>
      <c r="B1938" s="3" t="n"/>
      <c r="C1938" s="3" t="n"/>
      <c r="D1938" s="3" t="n"/>
      <c r="E1938" s="4">
        <f>IF(A1938="","",COUNTIFS($A$4:A1938,A1938,$I$4:I1938,"&lt;&gt;Штраф -2",$I$4:I1938,"&lt;&gt;ушел на базу"))</f>
        <v/>
      </c>
      <c r="F1938" s="4">
        <f>IF(E1938="","",IF(E1938&lt;=3,6,IF(E1938&lt;=6,5,IF(E1938&lt;=9,4,IF(E1938&lt;=12,3,IF(E1938&lt;=15,2,0))))))</f>
        <v/>
      </c>
      <c r="G1938" s="3" t="n"/>
      <c r="H1938" s="4">
        <f>IF(I1938="Штраф -2",-2,IF(OR(F1938="",G1938=""),"",F1938*G1938+IF(J1938="",0,J1938)))</f>
        <v/>
      </c>
      <c r="I1938" s="3" t="n"/>
      <c r="J1938" s="3" t="n"/>
      <c r="K1938" s="3" t="n"/>
    </row>
    <row r="1939">
      <c r="A1939" s="3" t="n"/>
      <c r="B1939" s="3" t="n"/>
      <c r="C1939" s="3" t="n"/>
      <c r="D1939" s="3" t="n"/>
      <c r="E1939" s="4">
        <f>IF(A1939="","",COUNTIFS($A$4:A1939,A1939,$I$4:I1939,"&lt;&gt;Штраф -2",$I$4:I1939,"&lt;&gt;ушел на базу"))</f>
        <v/>
      </c>
      <c r="F1939" s="4">
        <f>IF(E1939="","",IF(E1939&lt;=3,6,IF(E1939&lt;=6,5,IF(E1939&lt;=9,4,IF(E1939&lt;=12,3,IF(E1939&lt;=15,2,0))))))</f>
        <v/>
      </c>
      <c r="G1939" s="3" t="n"/>
      <c r="H1939" s="4">
        <f>IF(I1939="Штраф -2",-2,IF(OR(F1939="",G1939=""),"",F1939*G1939+IF(J1939="",0,J1939)))</f>
        <v/>
      </c>
      <c r="I1939" s="3" t="n"/>
      <c r="J1939" s="3" t="n"/>
      <c r="K1939" s="3" t="n"/>
    </row>
    <row r="1940">
      <c r="A1940" s="3" t="n"/>
      <c r="B1940" s="3" t="n"/>
      <c r="C1940" s="3" t="n"/>
      <c r="D1940" s="3" t="n"/>
      <c r="E1940" s="4">
        <f>IF(A1940="","",COUNTIFS($A$4:A1940,A1940,$I$4:I1940,"&lt;&gt;Штраф -2",$I$4:I1940,"&lt;&gt;ушел на базу"))</f>
        <v/>
      </c>
      <c r="F1940" s="4">
        <f>IF(E1940="","",IF(E1940&lt;=3,6,IF(E1940&lt;=6,5,IF(E1940&lt;=9,4,IF(E1940&lt;=12,3,IF(E1940&lt;=15,2,0))))))</f>
        <v/>
      </c>
      <c r="G1940" s="3" t="n"/>
      <c r="H1940" s="4">
        <f>IF(I1940="Штраф -2",-2,IF(OR(F1940="",G1940=""),"",F1940*G1940+IF(J1940="",0,J1940)))</f>
        <v/>
      </c>
      <c r="I1940" s="3" t="n"/>
      <c r="J1940" s="3" t="n"/>
      <c r="K1940" s="3" t="n"/>
    </row>
    <row r="1941">
      <c r="A1941" s="3" t="n"/>
      <c r="B1941" s="3" t="n"/>
      <c r="C1941" s="3" t="n"/>
      <c r="D1941" s="3" t="n"/>
      <c r="E1941" s="4">
        <f>IF(A1941="","",COUNTIFS($A$4:A1941,A1941,$I$4:I1941,"&lt;&gt;Штраф -2",$I$4:I1941,"&lt;&gt;ушел на базу"))</f>
        <v/>
      </c>
      <c r="F1941" s="4">
        <f>IF(E1941="","",IF(E1941&lt;=3,6,IF(E1941&lt;=6,5,IF(E1941&lt;=9,4,IF(E1941&lt;=12,3,IF(E1941&lt;=15,2,0))))))</f>
        <v/>
      </c>
      <c r="G1941" s="3" t="n"/>
      <c r="H1941" s="4">
        <f>IF(I1941="Штраф -2",-2,IF(OR(F1941="",G1941=""),"",F1941*G1941+IF(J1941="",0,J1941)))</f>
        <v/>
      </c>
      <c r="I1941" s="3" t="n"/>
      <c r="J1941" s="3" t="n"/>
      <c r="K1941" s="3" t="n"/>
    </row>
    <row r="1942">
      <c r="A1942" s="3" t="n"/>
      <c r="B1942" s="3" t="n"/>
      <c r="C1942" s="3" t="n"/>
      <c r="D1942" s="3" t="n"/>
      <c r="E1942" s="4">
        <f>IF(A1942="","",COUNTIFS($A$4:A1942,A1942,$I$4:I1942,"&lt;&gt;Штраф -2",$I$4:I1942,"&lt;&gt;ушел на базу"))</f>
        <v/>
      </c>
      <c r="F1942" s="4">
        <f>IF(E1942="","",IF(E1942&lt;=3,6,IF(E1942&lt;=6,5,IF(E1942&lt;=9,4,IF(E1942&lt;=12,3,IF(E1942&lt;=15,2,0))))))</f>
        <v/>
      </c>
      <c r="G1942" s="3" t="n"/>
      <c r="H1942" s="4">
        <f>IF(I1942="Штраф -2",-2,IF(OR(F1942="",G1942=""),"",F1942*G1942+IF(J1942="",0,J1942)))</f>
        <v/>
      </c>
      <c r="I1942" s="3" t="n"/>
      <c r="J1942" s="3" t="n"/>
      <c r="K1942" s="3" t="n"/>
    </row>
    <row r="1943">
      <c r="A1943" s="3" t="n"/>
      <c r="B1943" s="3" t="n"/>
      <c r="C1943" s="3" t="n"/>
      <c r="D1943" s="3" t="n"/>
      <c r="E1943" s="4">
        <f>IF(A1943="","",COUNTIFS($A$4:A1943,A1943,$I$4:I1943,"&lt;&gt;Штраф -2",$I$4:I1943,"&lt;&gt;ушел на базу"))</f>
        <v/>
      </c>
      <c r="F1943" s="4">
        <f>IF(E1943="","",IF(E1943&lt;=3,6,IF(E1943&lt;=6,5,IF(E1943&lt;=9,4,IF(E1943&lt;=12,3,IF(E1943&lt;=15,2,0))))))</f>
        <v/>
      </c>
      <c r="G1943" s="3" t="n"/>
      <c r="H1943" s="4">
        <f>IF(I1943="Штраф -2",-2,IF(OR(F1943="",G1943=""),"",F1943*G1943+IF(J1943="",0,J1943)))</f>
        <v/>
      </c>
      <c r="I1943" s="3" t="n"/>
      <c r="J1943" s="3" t="n"/>
      <c r="K1943" s="3" t="n"/>
    </row>
    <row r="1944">
      <c r="A1944" s="3" t="n"/>
      <c r="B1944" s="3" t="n"/>
      <c r="C1944" s="3" t="n"/>
      <c r="D1944" s="3" t="n"/>
      <c r="E1944" s="4">
        <f>IF(A1944="","",COUNTIFS($A$4:A1944,A1944,$I$4:I1944,"&lt;&gt;Штраф -2",$I$4:I1944,"&lt;&gt;ушел на базу"))</f>
        <v/>
      </c>
      <c r="F1944" s="4">
        <f>IF(E1944="","",IF(E1944&lt;=3,6,IF(E1944&lt;=6,5,IF(E1944&lt;=9,4,IF(E1944&lt;=12,3,IF(E1944&lt;=15,2,0))))))</f>
        <v/>
      </c>
      <c r="G1944" s="3" t="n"/>
      <c r="H1944" s="4">
        <f>IF(I1944="Штраф -2",-2,IF(OR(F1944="",G1944=""),"",F1944*G1944+IF(J1944="",0,J1944)))</f>
        <v/>
      </c>
      <c r="I1944" s="3" t="n"/>
      <c r="J1944" s="3" t="n"/>
      <c r="K1944" s="3" t="n"/>
    </row>
    <row r="1945">
      <c r="A1945" s="3" t="n"/>
      <c r="B1945" s="3" t="n"/>
      <c r="C1945" s="3" t="n"/>
      <c r="D1945" s="3" t="n"/>
      <c r="E1945" s="4">
        <f>IF(A1945="","",COUNTIFS($A$4:A1945,A1945,$I$4:I1945,"&lt;&gt;Штраф -2",$I$4:I1945,"&lt;&gt;ушел на базу"))</f>
        <v/>
      </c>
      <c r="F1945" s="4">
        <f>IF(E1945="","",IF(E1945&lt;=3,6,IF(E1945&lt;=6,5,IF(E1945&lt;=9,4,IF(E1945&lt;=12,3,IF(E1945&lt;=15,2,0))))))</f>
        <v/>
      </c>
      <c r="G1945" s="3" t="n"/>
      <c r="H1945" s="4">
        <f>IF(I1945="Штраф -2",-2,IF(OR(F1945="",G1945=""),"",F1945*G1945+IF(J1945="",0,J1945)))</f>
        <v/>
      </c>
      <c r="I1945" s="3" t="n"/>
      <c r="J1945" s="3" t="n"/>
      <c r="K1945" s="3" t="n"/>
    </row>
    <row r="1946">
      <c r="A1946" s="3" t="n"/>
      <c r="B1946" s="3" t="n"/>
      <c r="C1946" s="3" t="n"/>
      <c r="D1946" s="3" t="n"/>
      <c r="E1946" s="4">
        <f>IF(A1946="","",COUNTIFS($A$4:A1946,A1946,$I$4:I1946,"&lt;&gt;Штраф -2",$I$4:I1946,"&lt;&gt;ушел на базу"))</f>
        <v/>
      </c>
      <c r="F1946" s="4">
        <f>IF(E1946="","",IF(E1946&lt;=3,6,IF(E1946&lt;=6,5,IF(E1946&lt;=9,4,IF(E1946&lt;=12,3,IF(E1946&lt;=15,2,0))))))</f>
        <v/>
      </c>
      <c r="G1946" s="3" t="n"/>
      <c r="H1946" s="4">
        <f>IF(I1946="Штраф -2",-2,IF(OR(F1946="",G1946=""),"",F1946*G1946+IF(J1946="",0,J1946)))</f>
        <v/>
      </c>
      <c r="I1946" s="3" t="n"/>
      <c r="J1946" s="3" t="n"/>
      <c r="K1946" s="3" t="n"/>
    </row>
    <row r="1947">
      <c r="A1947" s="3" t="n"/>
      <c r="B1947" s="3" t="n"/>
      <c r="C1947" s="3" t="n"/>
      <c r="D1947" s="3" t="n"/>
      <c r="E1947" s="4">
        <f>IF(A1947="","",COUNTIFS($A$4:A1947,A1947,$I$4:I1947,"&lt;&gt;Штраф -2",$I$4:I1947,"&lt;&gt;ушел на базу"))</f>
        <v/>
      </c>
      <c r="F1947" s="4">
        <f>IF(E1947="","",IF(E1947&lt;=3,6,IF(E1947&lt;=6,5,IF(E1947&lt;=9,4,IF(E1947&lt;=12,3,IF(E1947&lt;=15,2,0))))))</f>
        <v/>
      </c>
      <c r="G1947" s="3" t="n"/>
      <c r="H1947" s="4">
        <f>IF(I1947="Штраф -2",-2,IF(OR(F1947="",G1947=""),"",F1947*G1947+IF(J1947="",0,J1947)))</f>
        <v/>
      </c>
      <c r="I1947" s="3" t="n"/>
      <c r="J1947" s="3" t="n"/>
      <c r="K1947" s="3" t="n"/>
    </row>
    <row r="1948">
      <c r="A1948" s="3" t="n"/>
      <c r="B1948" s="3" t="n"/>
      <c r="C1948" s="3" t="n"/>
      <c r="D1948" s="3" t="n"/>
      <c r="E1948" s="4">
        <f>IF(A1948="","",COUNTIFS($A$4:A1948,A1948,$I$4:I1948,"&lt;&gt;Штраф -2",$I$4:I1948,"&lt;&gt;ушел на базу"))</f>
        <v/>
      </c>
      <c r="F1948" s="4">
        <f>IF(E1948="","",IF(E1948&lt;=3,6,IF(E1948&lt;=6,5,IF(E1948&lt;=9,4,IF(E1948&lt;=12,3,IF(E1948&lt;=15,2,0))))))</f>
        <v/>
      </c>
      <c r="G1948" s="3" t="n"/>
      <c r="H1948" s="4">
        <f>IF(I1948="Штраф -2",-2,IF(OR(F1948="",G1948=""),"",F1948*G1948+IF(J1948="",0,J1948)))</f>
        <v/>
      </c>
      <c r="I1948" s="3" t="n"/>
      <c r="J1948" s="3" t="n"/>
      <c r="K1948" s="3" t="n"/>
    </row>
    <row r="1949">
      <c r="A1949" s="3" t="n"/>
      <c r="B1949" s="3" t="n"/>
      <c r="C1949" s="3" t="n"/>
      <c r="D1949" s="3" t="n"/>
      <c r="E1949" s="4">
        <f>IF(A1949="","",COUNTIFS($A$4:A1949,A1949,$I$4:I1949,"&lt;&gt;Штраф -2",$I$4:I1949,"&lt;&gt;ушел на базу"))</f>
        <v/>
      </c>
      <c r="F1949" s="4">
        <f>IF(E1949="","",IF(E1949&lt;=3,6,IF(E1949&lt;=6,5,IF(E1949&lt;=9,4,IF(E1949&lt;=12,3,IF(E1949&lt;=15,2,0))))))</f>
        <v/>
      </c>
      <c r="G1949" s="3" t="n"/>
      <c r="H1949" s="4">
        <f>IF(I1949="Штраф -2",-2,IF(OR(F1949="",G1949=""),"",F1949*G1949+IF(J1949="",0,J1949)))</f>
        <v/>
      </c>
      <c r="I1949" s="3" t="n"/>
      <c r="J1949" s="3" t="n"/>
      <c r="K1949" s="3" t="n"/>
    </row>
    <row r="1950">
      <c r="A1950" s="3" t="n"/>
      <c r="B1950" s="3" t="n"/>
      <c r="C1950" s="3" t="n"/>
      <c r="D1950" s="3" t="n"/>
      <c r="E1950" s="4">
        <f>IF(A1950="","",COUNTIFS($A$4:A1950,A1950,$I$4:I1950,"&lt;&gt;Штраф -2",$I$4:I1950,"&lt;&gt;ушел на базу"))</f>
        <v/>
      </c>
      <c r="F1950" s="4">
        <f>IF(E1950="","",IF(E1950&lt;=3,6,IF(E1950&lt;=6,5,IF(E1950&lt;=9,4,IF(E1950&lt;=12,3,IF(E1950&lt;=15,2,0))))))</f>
        <v/>
      </c>
      <c r="G1950" s="3" t="n"/>
      <c r="H1950" s="4">
        <f>IF(I1950="Штраф -2",-2,IF(OR(F1950="",G1950=""),"",F1950*G1950+IF(J1950="",0,J1950)))</f>
        <v/>
      </c>
      <c r="I1950" s="3" t="n"/>
      <c r="J1950" s="3" t="n"/>
      <c r="K1950" s="3" t="n"/>
    </row>
    <row r="1951">
      <c r="A1951" s="3" t="n"/>
      <c r="B1951" s="3" t="n"/>
      <c r="C1951" s="3" t="n"/>
      <c r="D1951" s="3" t="n"/>
      <c r="E1951" s="4">
        <f>IF(A1951="","",COUNTIFS($A$4:A1951,A1951,$I$4:I1951,"&lt;&gt;Штраф -2",$I$4:I1951,"&lt;&gt;ушел на базу"))</f>
        <v/>
      </c>
      <c r="F1951" s="4">
        <f>IF(E1951="","",IF(E1951&lt;=3,6,IF(E1951&lt;=6,5,IF(E1951&lt;=9,4,IF(E1951&lt;=12,3,IF(E1951&lt;=15,2,0))))))</f>
        <v/>
      </c>
      <c r="G1951" s="3" t="n"/>
      <c r="H1951" s="4">
        <f>IF(I1951="Штраф -2",-2,IF(OR(F1951="",G1951=""),"",F1951*G1951+IF(J1951="",0,J1951)))</f>
        <v/>
      </c>
      <c r="I1951" s="3" t="n"/>
      <c r="J1951" s="3" t="n"/>
      <c r="K1951" s="3" t="n"/>
    </row>
    <row r="1952">
      <c r="A1952" s="3" t="n"/>
      <c r="B1952" s="3" t="n"/>
      <c r="C1952" s="3" t="n"/>
      <c r="D1952" s="3" t="n"/>
      <c r="E1952" s="4">
        <f>IF(A1952="","",COUNTIFS($A$4:A1952,A1952,$I$4:I1952,"&lt;&gt;Штраф -2",$I$4:I1952,"&lt;&gt;ушел на базу"))</f>
        <v/>
      </c>
      <c r="F1952" s="4">
        <f>IF(E1952="","",IF(E1952&lt;=3,6,IF(E1952&lt;=6,5,IF(E1952&lt;=9,4,IF(E1952&lt;=12,3,IF(E1952&lt;=15,2,0))))))</f>
        <v/>
      </c>
      <c r="G1952" s="3" t="n"/>
      <c r="H1952" s="4">
        <f>IF(I1952="Штраф -2",-2,IF(OR(F1952="",G1952=""),"",F1952*G1952+IF(J1952="",0,J1952)))</f>
        <v/>
      </c>
      <c r="I1952" s="3" t="n"/>
      <c r="J1952" s="3" t="n"/>
      <c r="K1952" s="3" t="n"/>
    </row>
    <row r="1953">
      <c r="A1953" s="3" t="n"/>
      <c r="B1953" s="3" t="n"/>
      <c r="C1953" s="3" t="n"/>
      <c r="D1953" s="3" t="n"/>
      <c r="E1953" s="4">
        <f>IF(A1953="","",COUNTIFS($A$4:A1953,A1953,$I$4:I1953,"&lt;&gt;Штраф -2",$I$4:I1953,"&lt;&gt;ушел на базу"))</f>
        <v/>
      </c>
      <c r="F1953" s="4">
        <f>IF(E1953="","",IF(E1953&lt;=3,6,IF(E1953&lt;=6,5,IF(E1953&lt;=9,4,IF(E1953&lt;=12,3,IF(E1953&lt;=15,2,0))))))</f>
        <v/>
      </c>
      <c r="G1953" s="3" t="n"/>
      <c r="H1953" s="4">
        <f>IF(I1953="Штраф -2",-2,IF(OR(F1953="",G1953=""),"",F1953*G1953+IF(J1953="",0,J1953)))</f>
        <v/>
      </c>
      <c r="I1953" s="3" t="n"/>
      <c r="J1953" s="3" t="n"/>
      <c r="K1953" s="3" t="n"/>
    </row>
    <row r="1954">
      <c r="A1954" s="3" t="n"/>
      <c r="B1954" s="3" t="n"/>
      <c r="C1954" s="3" t="n"/>
      <c r="D1954" s="3" t="n"/>
      <c r="E1954" s="4">
        <f>IF(A1954="","",COUNTIFS($A$4:A1954,A1954,$I$4:I1954,"&lt;&gt;Штраф -2",$I$4:I1954,"&lt;&gt;ушел на базу"))</f>
        <v/>
      </c>
      <c r="F1954" s="4">
        <f>IF(E1954="","",IF(E1954&lt;=3,6,IF(E1954&lt;=6,5,IF(E1954&lt;=9,4,IF(E1954&lt;=12,3,IF(E1954&lt;=15,2,0))))))</f>
        <v/>
      </c>
      <c r="G1954" s="3" t="n"/>
      <c r="H1954" s="4">
        <f>IF(I1954="Штраф -2",-2,IF(OR(F1954="",G1954=""),"",F1954*G1954+IF(J1954="",0,J1954)))</f>
        <v/>
      </c>
      <c r="I1954" s="3" t="n"/>
      <c r="J1954" s="3" t="n"/>
      <c r="K1954" s="3" t="n"/>
    </row>
    <row r="1955">
      <c r="A1955" s="3" t="n"/>
      <c r="B1955" s="3" t="n"/>
      <c r="C1955" s="3" t="n"/>
      <c r="D1955" s="3" t="n"/>
      <c r="E1955" s="4">
        <f>IF(A1955="","",COUNTIFS($A$4:A1955,A1955,$I$4:I1955,"&lt;&gt;Штраф -2",$I$4:I1955,"&lt;&gt;ушел на базу"))</f>
        <v/>
      </c>
      <c r="F1955" s="4">
        <f>IF(E1955="","",IF(E1955&lt;=3,6,IF(E1955&lt;=6,5,IF(E1955&lt;=9,4,IF(E1955&lt;=12,3,IF(E1955&lt;=15,2,0))))))</f>
        <v/>
      </c>
      <c r="G1955" s="3" t="n"/>
      <c r="H1955" s="4">
        <f>IF(I1955="Штраф -2",-2,IF(OR(F1955="",G1955=""),"",F1955*G1955+IF(J1955="",0,J1955)))</f>
        <v/>
      </c>
      <c r="I1955" s="3" t="n"/>
      <c r="J1955" s="3" t="n"/>
      <c r="K1955" s="3" t="n"/>
    </row>
    <row r="1956">
      <c r="A1956" s="3" t="n"/>
      <c r="B1956" s="3" t="n"/>
      <c r="C1956" s="3" t="n"/>
      <c r="D1956" s="3" t="n"/>
      <c r="E1956" s="4">
        <f>IF(A1956="","",COUNTIFS($A$4:A1956,A1956,$I$4:I1956,"&lt;&gt;Штраф -2",$I$4:I1956,"&lt;&gt;ушел на базу"))</f>
        <v/>
      </c>
      <c r="F1956" s="4">
        <f>IF(E1956="","",IF(E1956&lt;=3,6,IF(E1956&lt;=6,5,IF(E1956&lt;=9,4,IF(E1956&lt;=12,3,IF(E1956&lt;=15,2,0))))))</f>
        <v/>
      </c>
      <c r="G1956" s="3" t="n"/>
      <c r="H1956" s="4">
        <f>IF(I1956="Штраф -2",-2,IF(OR(F1956="",G1956=""),"",F1956*G1956+IF(J1956="",0,J1956)))</f>
        <v/>
      </c>
      <c r="I1956" s="3" t="n"/>
      <c r="J1956" s="3" t="n"/>
      <c r="K1956" s="3" t="n"/>
    </row>
    <row r="1957">
      <c r="A1957" s="3" t="n"/>
      <c r="B1957" s="3" t="n"/>
      <c r="C1957" s="3" t="n"/>
      <c r="D1957" s="3" t="n"/>
      <c r="E1957" s="4">
        <f>IF(A1957="","",COUNTIFS($A$4:A1957,A1957,$I$4:I1957,"&lt;&gt;Штраф -2",$I$4:I1957,"&lt;&gt;ушел на базу"))</f>
        <v/>
      </c>
      <c r="F1957" s="4">
        <f>IF(E1957="","",IF(E1957&lt;=3,6,IF(E1957&lt;=6,5,IF(E1957&lt;=9,4,IF(E1957&lt;=12,3,IF(E1957&lt;=15,2,0))))))</f>
        <v/>
      </c>
      <c r="G1957" s="3" t="n"/>
      <c r="H1957" s="4">
        <f>IF(I1957="Штраф -2",-2,IF(OR(F1957="",G1957=""),"",F1957*G1957+IF(J1957="",0,J1957)))</f>
        <v/>
      </c>
      <c r="I1957" s="3" t="n"/>
      <c r="J1957" s="3" t="n"/>
      <c r="K1957" s="3" t="n"/>
    </row>
    <row r="1958">
      <c r="A1958" s="3" t="n"/>
      <c r="B1958" s="3" t="n"/>
      <c r="C1958" s="3" t="n"/>
      <c r="D1958" s="3" t="n"/>
      <c r="E1958" s="4">
        <f>IF(A1958="","",COUNTIFS($A$4:A1958,A1958,$I$4:I1958,"&lt;&gt;Штраф -2",$I$4:I1958,"&lt;&gt;ушел на базу"))</f>
        <v/>
      </c>
      <c r="F1958" s="4">
        <f>IF(E1958="","",IF(E1958&lt;=3,6,IF(E1958&lt;=6,5,IF(E1958&lt;=9,4,IF(E1958&lt;=12,3,IF(E1958&lt;=15,2,0))))))</f>
        <v/>
      </c>
      <c r="G1958" s="3" t="n"/>
      <c r="H1958" s="4">
        <f>IF(I1958="Штраф -2",-2,IF(OR(F1958="",G1958=""),"",F1958*G1958+IF(J1958="",0,J1958)))</f>
        <v/>
      </c>
      <c r="I1958" s="3" t="n"/>
      <c r="J1958" s="3" t="n"/>
      <c r="K1958" s="3" t="n"/>
    </row>
    <row r="1959">
      <c r="A1959" s="3" t="n"/>
      <c r="B1959" s="3" t="n"/>
      <c r="C1959" s="3" t="n"/>
      <c r="D1959" s="3" t="n"/>
      <c r="E1959" s="4">
        <f>IF(A1959="","",COUNTIFS($A$4:A1959,A1959,$I$4:I1959,"&lt;&gt;Штраф -2",$I$4:I1959,"&lt;&gt;ушел на базу"))</f>
        <v/>
      </c>
      <c r="F1959" s="4">
        <f>IF(E1959="","",IF(E1959&lt;=3,6,IF(E1959&lt;=6,5,IF(E1959&lt;=9,4,IF(E1959&lt;=12,3,IF(E1959&lt;=15,2,0))))))</f>
        <v/>
      </c>
      <c r="G1959" s="3" t="n"/>
      <c r="H1959" s="4">
        <f>IF(I1959="Штраф -2",-2,IF(OR(F1959="",G1959=""),"",F1959*G1959+IF(J1959="",0,J1959)))</f>
        <v/>
      </c>
      <c r="I1959" s="3" t="n"/>
      <c r="J1959" s="3" t="n"/>
      <c r="K1959" s="3" t="n"/>
    </row>
    <row r="1960">
      <c r="A1960" s="3" t="n"/>
      <c r="B1960" s="3" t="n"/>
      <c r="C1960" s="3" t="n"/>
      <c r="D1960" s="3" t="n"/>
      <c r="E1960" s="4">
        <f>IF(A1960="","",COUNTIFS($A$4:A1960,A1960,$I$4:I1960,"&lt;&gt;Штраф -2",$I$4:I1960,"&lt;&gt;ушел на базу"))</f>
        <v/>
      </c>
      <c r="F1960" s="4">
        <f>IF(E1960="","",IF(E1960&lt;=3,6,IF(E1960&lt;=6,5,IF(E1960&lt;=9,4,IF(E1960&lt;=12,3,IF(E1960&lt;=15,2,0))))))</f>
        <v/>
      </c>
      <c r="G1960" s="3" t="n"/>
      <c r="H1960" s="4">
        <f>IF(I1960="Штраф -2",-2,IF(OR(F1960="",G1960=""),"",F1960*G1960+IF(J1960="",0,J1960)))</f>
        <v/>
      </c>
      <c r="I1960" s="3" t="n"/>
      <c r="J1960" s="3" t="n"/>
      <c r="K1960" s="3" t="n"/>
    </row>
    <row r="1961">
      <c r="A1961" s="3" t="n"/>
      <c r="B1961" s="3" t="n"/>
      <c r="C1961" s="3" t="n"/>
      <c r="D1961" s="3" t="n"/>
      <c r="E1961" s="4">
        <f>IF(A1961="","",COUNTIFS($A$4:A1961,A1961,$I$4:I1961,"&lt;&gt;Штраф -2",$I$4:I1961,"&lt;&gt;ушел на базу"))</f>
        <v/>
      </c>
      <c r="F1961" s="4">
        <f>IF(E1961="","",IF(E1961&lt;=3,6,IF(E1961&lt;=6,5,IF(E1961&lt;=9,4,IF(E1961&lt;=12,3,IF(E1961&lt;=15,2,0))))))</f>
        <v/>
      </c>
      <c r="G1961" s="3" t="n"/>
      <c r="H1961" s="4">
        <f>IF(I1961="Штраф -2",-2,IF(OR(F1961="",G1961=""),"",F1961*G1961+IF(J1961="",0,J1961)))</f>
        <v/>
      </c>
      <c r="I1961" s="3" t="n"/>
      <c r="J1961" s="3" t="n"/>
      <c r="K1961" s="3" t="n"/>
    </row>
    <row r="1962">
      <c r="A1962" s="3" t="n"/>
      <c r="B1962" s="3" t="n"/>
      <c r="C1962" s="3" t="n"/>
      <c r="D1962" s="3" t="n"/>
      <c r="E1962" s="4">
        <f>IF(A1962="","",COUNTIFS($A$4:A1962,A1962,$I$4:I1962,"&lt;&gt;Штраф -2",$I$4:I1962,"&lt;&gt;ушел на базу"))</f>
        <v/>
      </c>
      <c r="F1962" s="4">
        <f>IF(E1962="","",IF(E1962&lt;=3,6,IF(E1962&lt;=6,5,IF(E1962&lt;=9,4,IF(E1962&lt;=12,3,IF(E1962&lt;=15,2,0))))))</f>
        <v/>
      </c>
      <c r="G1962" s="3" t="n"/>
      <c r="H1962" s="4">
        <f>IF(I1962="Штраф -2",-2,IF(OR(F1962="",G1962=""),"",F1962*G1962+IF(J1962="",0,J1962)))</f>
        <v/>
      </c>
      <c r="I1962" s="3" t="n"/>
      <c r="J1962" s="3" t="n"/>
      <c r="K1962" s="3" t="n"/>
    </row>
    <row r="1963">
      <c r="A1963" s="3" t="n"/>
      <c r="B1963" s="3" t="n"/>
      <c r="C1963" s="3" t="n"/>
      <c r="D1963" s="3" t="n"/>
      <c r="E1963" s="4">
        <f>IF(A1963="","",COUNTIFS($A$4:A1963,A1963,$I$4:I1963,"&lt;&gt;Штраф -2",$I$4:I1963,"&lt;&gt;ушел на базу"))</f>
        <v/>
      </c>
      <c r="F1963" s="4">
        <f>IF(E1963="","",IF(E1963&lt;=3,6,IF(E1963&lt;=6,5,IF(E1963&lt;=9,4,IF(E1963&lt;=12,3,IF(E1963&lt;=15,2,0))))))</f>
        <v/>
      </c>
      <c r="G1963" s="3" t="n"/>
      <c r="H1963" s="4">
        <f>IF(I1963="Штраф -2",-2,IF(OR(F1963="",G1963=""),"",F1963*G1963+IF(J1963="",0,J1963)))</f>
        <v/>
      </c>
      <c r="I1963" s="3" t="n"/>
      <c r="J1963" s="3" t="n"/>
      <c r="K1963" s="3" t="n"/>
    </row>
    <row r="1964">
      <c r="A1964" s="3" t="n"/>
      <c r="B1964" s="3" t="n"/>
      <c r="C1964" s="3" t="n"/>
      <c r="D1964" s="3" t="n"/>
      <c r="E1964" s="4">
        <f>IF(A1964="","",COUNTIFS($A$4:A1964,A1964,$I$4:I1964,"&lt;&gt;Штраф -2",$I$4:I1964,"&lt;&gt;ушел на базу"))</f>
        <v/>
      </c>
      <c r="F1964" s="4">
        <f>IF(E1964="","",IF(E1964&lt;=3,6,IF(E1964&lt;=6,5,IF(E1964&lt;=9,4,IF(E1964&lt;=12,3,IF(E1964&lt;=15,2,0))))))</f>
        <v/>
      </c>
      <c r="G1964" s="3" t="n"/>
      <c r="H1964" s="4">
        <f>IF(I1964="Штраф -2",-2,IF(OR(F1964="",G1964=""),"",F1964*G1964+IF(J1964="",0,J1964)))</f>
        <v/>
      </c>
      <c r="I1964" s="3" t="n"/>
      <c r="J1964" s="3" t="n"/>
      <c r="K1964" s="3" t="n"/>
    </row>
    <row r="1965">
      <c r="A1965" s="3" t="n"/>
      <c r="B1965" s="3" t="n"/>
      <c r="C1965" s="3" t="n"/>
      <c r="D1965" s="3" t="n"/>
      <c r="E1965" s="4">
        <f>IF(A1965="","",COUNTIFS($A$4:A1965,A1965,$I$4:I1965,"&lt;&gt;Штраф -2",$I$4:I1965,"&lt;&gt;ушел на базу"))</f>
        <v/>
      </c>
      <c r="F1965" s="4">
        <f>IF(E1965="","",IF(E1965&lt;=3,6,IF(E1965&lt;=6,5,IF(E1965&lt;=9,4,IF(E1965&lt;=12,3,IF(E1965&lt;=15,2,0))))))</f>
        <v/>
      </c>
      <c r="G1965" s="3" t="n"/>
      <c r="H1965" s="4">
        <f>IF(I1965="Штраф -2",-2,IF(OR(F1965="",G1965=""),"",F1965*G1965+IF(J1965="",0,J1965)))</f>
        <v/>
      </c>
      <c r="I1965" s="3" t="n"/>
      <c r="J1965" s="3" t="n"/>
      <c r="K1965" s="3" t="n"/>
    </row>
    <row r="1966">
      <c r="A1966" s="3" t="n"/>
      <c r="B1966" s="3" t="n"/>
      <c r="C1966" s="3" t="n"/>
      <c r="D1966" s="3" t="n"/>
      <c r="E1966" s="4">
        <f>IF(A1966="","",COUNTIFS($A$4:A1966,A1966,$I$4:I1966,"&lt;&gt;Штраф -2",$I$4:I1966,"&lt;&gt;ушел на базу"))</f>
        <v/>
      </c>
      <c r="F1966" s="4">
        <f>IF(E1966="","",IF(E1966&lt;=3,6,IF(E1966&lt;=6,5,IF(E1966&lt;=9,4,IF(E1966&lt;=12,3,IF(E1966&lt;=15,2,0))))))</f>
        <v/>
      </c>
      <c r="G1966" s="3" t="n"/>
      <c r="H1966" s="4">
        <f>IF(I1966="Штраф -2",-2,IF(OR(F1966="",G1966=""),"",F1966*G1966+IF(J1966="",0,J1966)))</f>
        <v/>
      </c>
      <c r="I1966" s="3" t="n"/>
      <c r="J1966" s="3" t="n"/>
      <c r="K1966" s="3" t="n"/>
    </row>
    <row r="1967">
      <c r="A1967" s="3" t="n"/>
      <c r="B1967" s="3" t="n"/>
      <c r="C1967" s="3" t="n"/>
      <c r="D1967" s="3" t="n"/>
      <c r="E1967" s="4">
        <f>IF(A1967="","",COUNTIFS($A$4:A1967,A1967,$I$4:I1967,"&lt;&gt;Штраф -2",$I$4:I1967,"&lt;&gt;ушел на базу"))</f>
        <v/>
      </c>
      <c r="F1967" s="4">
        <f>IF(E1967="","",IF(E1967&lt;=3,6,IF(E1967&lt;=6,5,IF(E1967&lt;=9,4,IF(E1967&lt;=12,3,IF(E1967&lt;=15,2,0))))))</f>
        <v/>
      </c>
      <c r="G1967" s="3" t="n"/>
      <c r="H1967" s="4">
        <f>IF(I1967="Штраф -2",-2,IF(OR(F1967="",G1967=""),"",F1967*G1967+IF(J1967="",0,J1967)))</f>
        <v/>
      </c>
      <c r="I1967" s="3" t="n"/>
      <c r="J1967" s="3" t="n"/>
      <c r="K1967" s="3" t="n"/>
    </row>
    <row r="1968">
      <c r="A1968" s="3" t="n"/>
      <c r="B1968" s="3" t="n"/>
      <c r="C1968" s="3" t="n"/>
      <c r="D1968" s="3" t="n"/>
      <c r="E1968" s="4">
        <f>IF(A1968="","",COUNTIFS($A$4:A1968,A1968,$I$4:I1968,"&lt;&gt;Штраф -2",$I$4:I1968,"&lt;&gt;ушел на базу"))</f>
        <v/>
      </c>
      <c r="F1968" s="4">
        <f>IF(E1968="","",IF(E1968&lt;=3,6,IF(E1968&lt;=6,5,IF(E1968&lt;=9,4,IF(E1968&lt;=12,3,IF(E1968&lt;=15,2,0))))))</f>
        <v/>
      </c>
      <c r="G1968" s="3" t="n"/>
      <c r="H1968" s="4">
        <f>IF(I1968="Штраф -2",-2,IF(OR(F1968="",G1968=""),"",F1968*G1968+IF(J1968="",0,J1968)))</f>
        <v/>
      </c>
      <c r="I1968" s="3" t="n"/>
      <c r="J1968" s="3" t="n"/>
      <c r="K1968" s="3" t="n"/>
    </row>
    <row r="1969">
      <c r="A1969" s="3" t="n"/>
      <c r="B1969" s="3" t="n"/>
      <c r="C1969" s="3" t="n"/>
      <c r="D1969" s="3" t="n"/>
      <c r="E1969" s="4">
        <f>IF(A1969="","",COUNTIFS($A$4:A1969,A1969,$I$4:I1969,"&lt;&gt;Штраф -2",$I$4:I1969,"&lt;&gt;ушел на базу"))</f>
        <v/>
      </c>
      <c r="F1969" s="4">
        <f>IF(E1969="","",IF(E1969&lt;=3,6,IF(E1969&lt;=6,5,IF(E1969&lt;=9,4,IF(E1969&lt;=12,3,IF(E1969&lt;=15,2,0))))))</f>
        <v/>
      </c>
      <c r="G1969" s="3" t="n"/>
      <c r="H1969" s="4">
        <f>IF(I1969="Штраф -2",-2,IF(OR(F1969="",G1969=""),"",F1969*G1969+IF(J1969="",0,J1969)))</f>
        <v/>
      </c>
      <c r="I1969" s="3" t="n"/>
      <c r="J1969" s="3" t="n"/>
      <c r="K1969" s="3" t="n"/>
    </row>
    <row r="1970">
      <c r="A1970" s="3" t="n"/>
      <c r="B1970" s="3" t="n"/>
      <c r="C1970" s="3" t="n"/>
      <c r="D1970" s="3" t="n"/>
      <c r="E1970" s="4">
        <f>IF(A1970="","",COUNTIFS($A$4:A1970,A1970,$I$4:I1970,"&lt;&gt;Штраф -2",$I$4:I1970,"&lt;&gt;ушел на базу"))</f>
        <v/>
      </c>
      <c r="F1970" s="4">
        <f>IF(E1970="","",IF(E1970&lt;=3,6,IF(E1970&lt;=6,5,IF(E1970&lt;=9,4,IF(E1970&lt;=12,3,IF(E1970&lt;=15,2,0))))))</f>
        <v/>
      </c>
      <c r="G1970" s="3" t="n"/>
      <c r="H1970" s="4">
        <f>IF(I1970="Штраф -2",-2,IF(OR(F1970="",G1970=""),"",F1970*G1970+IF(J1970="",0,J1970)))</f>
        <v/>
      </c>
      <c r="I1970" s="3" t="n"/>
      <c r="J1970" s="3" t="n"/>
      <c r="K1970" s="3" t="n"/>
    </row>
    <row r="1971">
      <c r="A1971" s="3" t="n"/>
      <c r="B1971" s="3" t="n"/>
      <c r="C1971" s="3" t="n"/>
      <c r="D1971" s="3" t="n"/>
      <c r="E1971" s="4">
        <f>IF(A1971="","",COUNTIFS($A$4:A1971,A1971,$I$4:I1971,"&lt;&gt;Штраф -2",$I$4:I1971,"&lt;&gt;ушел на базу"))</f>
        <v/>
      </c>
      <c r="F1971" s="4">
        <f>IF(E1971="","",IF(E1971&lt;=3,6,IF(E1971&lt;=6,5,IF(E1971&lt;=9,4,IF(E1971&lt;=12,3,IF(E1971&lt;=15,2,0))))))</f>
        <v/>
      </c>
      <c r="G1971" s="3" t="n"/>
      <c r="H1971" s="4">
        <f>IF(I1971="Штраф -2",-2,IF(OR(F1971="",G1971=""),"",F1971*G1971+IF(J1971="",0,J1971)))</f>
        <v/>
      </c>
      <c r="I1971" s="3" t="n"/>
      <c r="J1971" s="3" t="n"/>
      <c r="K1971" s="3" t="n"/>
    </row>
    <row r="1972">
      <c r="A1972" s="3" t="n"/>
      <c r="B1972" s="3" t="n"/>
      <c r="C1972" s="3" t="n"/>
      <c r="D1972" s="3" t="n"/>
      <c r="E1972" s="4">
        <f>IF(A1972="","",COUNTIFS($A$4:A1972,A1972,$I$4:I1972,"&lt;&gt;Штраф -2",$I$4:I1972,"&lt;&gt;ушел на базу"))</f>
        <v/>
      </c>
      <c r="F1972" s="4">
        <f>IF(E1972="","",IF(E1972&lt;=3,6,IF(E1972&lt;=6,5,IF(E1972&lt;=9,4,IF(E1972&lt;=12,3,IF(E1972&lt;=15,2,0))))))</f>
        <v/>
      </c>
      <c r="G1972" s="3" t="n"/>
      <c r="H1972" s="4">
        <f>IF(I1972="Штраф -2",-2,IF(OR(F1972="",G1972=""),"",F1972*G1972+IF(J1972="",0,J1972)))</f>
        <v/>
      </c>
      <c r="I1972" s="3" t="n"/>
      <c r="J1972" s="3" t="n"/>
      <c r="K1972" s="3" t="n"/>
    </row>
    <row r="1973">
      <c r="A1973" s="3" t="n"/>
      <c r="B1973" s="3" t="n"/>
      <c r="C1973" s="3" t="n"/>
      <c r="D1973" s="3" t="n"/>
      <c r="E1973" s="4">
        <f>IF(A1973="","",COUNTIFS($A$4:A1973,A1973,$I$4:I1973,"&lt;&gt;Штраф -2",$I$4:I1973,"&lt;&gt;ушел на базу"))</f>
        <v/>
      </c>
      <c r="F1973" s="4">
        <f>IF(E1973="","",IF(E1973&lt;=3,6,IF(E1973&lt;=6,5,IF(E1973&lt;=9,4,IF(E1973&lt;=12,3,IF(E1973&lt;=15,2,0))))))</f>
        <v/>
      </c>
      <c r="G1973" s="3" t="n"/>
      <c r="H1973" s="4">
        <f>IF(I1973="Штраф -2",-2,IF(OR(F1973="",G1973=""),"",F1973*G1973+IF(J1973="",0,J1973)))</f>
        <v/>
      </c>
      <c r="I1973" s="3" t="n"/>
      <c r="J1973" s="3" t="n"/>
      <c r="K1973" s="3" t="n"/>
    </row>
    <row r="1974">
      <c r="A1974" s="3" t="n"/>
      <c r="B1974" s="3" t="n"/>
      <c r="C1974" s="3" t="n"/>
      <c r="D1974" s="3" t="n"/>
      <c r="E1974" s="4">
        <f>IF(A1974="","",COUNTIFS($A$4:A1974,A1974,$I$4:I1974,"&lt;&gt;Штраф -2",$I$4:I1974,"&lt;&gt;ушел на базу"))</f>
        <v/>
      </c>
      <c r="F1974" s="4">
        <f>IF(E1974="","",IF(E1974&lt;=3,6,IF(E1974&lt;=6,5,IF(E1974&lt;=9,4,IF(E1974&lt;=12,3,IF(E1974&lt;=15,2,0))))))</f>
        <v/>
      </c>
      <c r="G1974" s="3" t="n"/>
      <c r="H1974" s="4">
        <f>IF(I1974="Штраф -2",-2,IF(OR(F1974="",G1974=""),"",F1974*G1974+IF(J1974="",0,J1974)))</f>
        <v/>
      </c>
      <c r="I1974" s="3" t="n"/>
      <c r="J1974" s="3" t="n"/>
      <c r="K1974" s="3" t="n"/>
    </row>
    <row r="1975">
      <c r="A1975" s="3" t="n"/>
      <c r="B1975" s="3" t="n"/>
      <c r="C1975" s="3" t="n"/>
      <c r="D1975" s="3" t="n"/>
      <c r="E1975" s="4">
        <f>IF(A1975="","",COUNTIFS($A$4:A1975,A1975,$I$4:I1975,"&lt;&gt;Штраф -2",$I$4:I1975,"&lt;&gt;ушел на базу"))</f>
        <v/>
      </c>
      <c r="F1975" s="4">
        <f>IF(E1975="","",IF(E1975&lt;=3,6,IF(E1975&lt;=6,5,IF(E1975&lt;=9,4,IF(E1975&lt;=12,3,IF(E1975&lt;=15,2,0))))))</f>
        <v/>
      </c>
      <c r="G1975" s="3" t="n"/>
      <c r="H1975" s="4">
        <f>IF(I1975="Штраф -2",-2,IF(OR(F1975="",G1975=""),"",F1975*G1975+IF(J1975="",0,J1975)))</f>
        <v/>
      </c>
      <c r="I1975" s="3" t="n"/>
      <c r="J1975" s="3" t="n"/>
      <c r="K1975" s="3" t="n"/>
    </row>
    <row r="1976">
      <c r="A1976" s="3" t="n"/>
      <c r="B1976" s="3" t="n"/>
      <c r="C1976" s="3" t="n"/>
      <c r="D1976" s="3" t="n"/>
      <c r="E1976" s="4">
        <f>IF(A1976="","",COUNTIFS($A$4:A1976,A1976,$I$4:I1976,"&lt;&gt;Штраф -2",$I$4:I1976,"&lt;&gt;ушел на базу"))</f>
        <v/>
      </c>
      <c r="F1976" s="4">
        <f>IF(E1976="","",IF(E1976&lt;=3,6,IF(E1976&lt;=6,5,IF(E1976&lt;=9,4,IF(E1976&lt;=12,3,IF(E1976&lt;=15,2,0))))))</f>
        <v/>
      </c>
      <c r="G1976" s="3" t="n"/>
      <c r="H1976" s="4">
        <f>IF(I1976="Штраф -2",-2,IF(OR(F1976="",G1976=""),"",F1976*G1976+IF(J1976="",0,J1976)))</f>
        <v/>
      </c>
      <c r="I1976" s="3" t="n"/>
      <c r="J1976" s="3" t="n"/>
      <c r="K1976" s="3" t="n"/>
    </row>
    <row r="1977">
      <c r="A1977" s="3" t="n"/>
      <c r="B1977" s="3" t="n"/>
      <c r="C1977" s="3" t="n"/>
      <c r="D1977" s="3" t="n"/>
      <c r="E1977" s="4">
        <f>IF(A1977="","",COUNTIFS($A$4:A1977,A1977,$I$4:I1977,"&lt;&gt;Штраф -2",$I$4:I1977,"&lt;&gt;ушел на базу"))</f>
        <v/>
      </c>
      <c r="F1977" s="4">
        <f>IF(E1977="","",IF(E1977&lt;=3,6,IF(E1977&lt;=6,5,IF(E1977&lt;=9,4,IF(E1977&lt;=12,3,IF(E1977&lt;=15,2,0))))))</f>
        <v/>
      </c>
      <c r="G1977" s="3" t="n"/>
      <c r="H1977" s="4">
        <f>IF(I1977="Штраф -2",-2,IF(OR(F1977="",G1977=""),"",F1977*G1977+IF(J1977="",0,J1977)))</f>
        <v/>
      </c>
      <c r="I1977" s="3" t="n"/>
      <c r="J1977" s="3" t="n"/>
      <c r="K1977" s="3" t="n"/>
    </row>
    <row r="1978">
      <c r="A1978" s="3" t="n"/>
      <c r="B1978" s="3" t="n"/>
      <c r="C1978" s="3" t="n"/>
      <c r="D1978" s="3" t="n"/>
      <c r="E1978" s="4">
        <f>IF(A1978="","",COUNTIFS($A$4:A1978,A1978,$I$4:I1978,"&lt;&gt;Штраф -2",$I$4:I1978,"&lt;&gt;ушел на базу"))</f>
        <v/>
      </c>
      <c r="F1978" s="4">
        <f>IF(E1978="","",IF(E1978&lt;=3,6,IF(E1978&lt;=6,5,IF(E1978&lt;=9,4,IF(E1978&lt;=12,3,IF(E1978&lt;=15,2,0))))))</f>
        <v/>
      </c>
      <c r="G1978" s="3" t="n"/>
      <c r="H1978" s="4">
        <f>IF(I1978="Штраф -2",-2,IF(OR(F1978="",G1978=""),"",F1978*G1978+IF(J1978="",0,J1978)))</f>
        <v/>
      </c>
      <c r="I1978" s="3" t="n"/>
      <c r="J1978" s="3" t="n"/>
      <c r="K1978" s="3" t="n"/>
    </row>
    <row r="1979">
      <c r="A1979" s="3" t="n"/>
      <c r="B1979" s="3" t="n"/>
      <c r="C1979" s="3" t="n"/>
      <c r="D1979" s="3" t="n"/>
      <c r="E1979" s="4">
        <f>IF(A1979="","",COUNTIFS($A$4:A1979,A1979,$I$4:I1979,"&lt;&gt;Штраф -2",$I$4:I1979,"&lt;&gt;ушел на базу"))</f>
        <v/>
      </c>
      <c r="F1979" s="4">
        <f>IF(E1979="","",IF(E1979&lt;=3,6,IF(E1979&lt;=6,5,IF(E1979&lt;=9,4,IF(E1979&lt;=12,3,IF(E1979&lt;=15,2,0))))))</f>
        <v/>
      </c>
      <c r="G1979" s="3" t="n"/>
      <c r="H1979" s="4">
        <f>IF(I1979="Штраф -2",-2,IF(OR(F1979="",G1979=""),"",F1979*G1979+IF(J1979="",0,J1979)))</f>
        <v/>
      </c>
      <c r="I1979" s="3" t="n"/>
      <c r="J1979" s="3" t="n"/>
      <c r="K1979" s="3" t="n"/>
    </row>
    <row r="1980">
      <c r="A1980" s="3" t="n"/>
      <c r="B1980" s="3" t="n"/>
      <c r="C1980" s="3" t="n"/>
      <c r="D1980" s="3" t="n"/>
      <c r="E1980" s="4">
        <f>IF(A1980="","",COUNTIFS($A$4:A1980,A1980,$I$4:I1980,"&lt;&gt;Штраф -2",$I$4:I1980,"&lt;&gt;ушел на базу"))</f>
        <v/>
      </c>
      <c r="F1980" s="4">
        <f>IF(E1980="","",IF(E1980&lt;=3,6,IF(E1980&lt;=6,5,IF(E1980&lt;=9,4,IF(E1980&lt;=12,3,IF(E1980&lt;=15,2,0))))))</f>
        <v/>
      </c>
      <c r="G1980" s="3" t="n"/>
      <c r="H1980" s="4">
        <f>IF(I1980="Штраф -2",-2,IF(OR(F1980="",G1980=""),"",F1980*G1980+IF(J1980="",0,J1980)))</f>
        <v/>
      </c>
      <c r="I1980" s="3" t="n"/>
      <c r="J1980" s="3" t="n"/>
      <c r="K1980" s="3" t="n"/>
    </row>
    <row r="1981">
      <c r="A1981" s="3" t="n"/>
      <c r="B1981" s="3" t="n"/>
      <c r="C1981" s="3" t="n"/>
      <c r="D1981" s="3" t="n"/>
      <c r="E1981" s="4">
        <f>IF(A1981="","",COUNTIFS($A$4:A1981,A1981,$I$4:I1981,"&lt;&gt;Штраф -2",$I$4:I1981,"&lt;&gt;ушел на базу"))</f>
        <v/>
      </c>
      <c r="F1981" s="4">
        <f>IF(E1981="","",IF(E1981&lt;=3,6,IF(E1981&lt;=6,5,IF(E1981&lt;=9,4,IF(E1981&lt;=12,3,IF(E1981&lt;=15,2,0))))))</f>
        <v/>
      </c>
      <c r="G1981" s="3" t="n"/>
      <c r="H1981" s="4">
        <f>IF(I1981="Штраф -2",-2,IF(OR(F1981="",G1981=""),"",F1981*G1981+IF(J1981="",0,J1981)))</f>
        <v/>
      </c>
      <c r="I1981" s="3" t="n"/>
      <c r="J1981" s="3" t="n"/>
      <c r="K1981" s="3" t="n"/>
    </row>
    <row r="1982">
      <c r="A1982" s="3" t="n"/>
      <c r="B1982" s="3" t="n"/>
      <c r="C1982" s="3" t="n"/>
      <c r="D1982" s="3" t="n"/>
      <c r="E1982" s="4">
        <f>IF(A1982="","",COUNTIFS($A$4:A1982,A1982,$I$4:I1982,"&lt;&gt;Штраф -2",$I$4:I1982,"&lt;&gt;ушел на базу"))</f>
        <v/>
      </c>
      <c r="F1982" s="4">
        <f>IF(E1982="","",IF(E1982&lt;=3,6,IF(E1982&lt;=6,5,IF(E1982&lt;=9,4,IF(E1982&lt;=12,3,IF(E1982&lt;=15,2,0))))))</f>
        <v/>
      </c>
      <c r="G1982" s="3" t="n"/>
      <c r="H1982" s="4">
        <f>IF(I1982="Штраф -2",-2,IF(OR(F1982="",G1982=""),"",F1982*G1982+IF(J1982="",0,J1982)))</f>
        <v/>
      </c>
      <c r="I1982" s="3" t="n"/>
      <c r="J1982" s="3" t="n"/>
      <c r="K1982" s="3" t="n"/>
    </row>
    <row r="1983">
      <c r="A1983" s="3" t="n"/>
      <c r="B1983" s="3" t="n"/>
      <c r="C1983" s="3" t="n"/>
      <c r="D1983" s="3" t="n"/>
      <c r="E1983" s="4">
        <f>IF(A1983="","",COUNTIFS($A$4:A1983,A1983,$I$4:I1983,"&lt;&gt;Штраф -2",$I$4:I1983,"&lt;&gt;ушел на базу"))</f>
        <v/>
      </c>
      <c r="F1983" s="4">
        <f>IF(E1983="","",IF(E1983&lt;=3,6,IF(E1983&lt;=6,5,IF(E1983&lt;=9,4,IF(E1983&lt;=12,3,IF(E1983&lt;=15,2,0))))))</f>
        <v/>
      </c>
      <c r="G1983" s="3" t="n"/>
      <c r="H1983" s="4">
        <f>IF(I1983="Штраф -2",-2,IF(OR(F1983="",G1983=""),"",F1983*G1983+IF(J1983="",0,J1983)))</f>
        <v/>
      </c>
      <c r="I1983" s="3" t="n"/>
      <c r="J1983" s="3" t="n"/>
      <c r="K1983" s="3" t="n"/>
    </row>
    <row r="1984">
      <c r="A1984" s="3" t="n"/>
      <c r="B1984" s="3" t="n"/>
      <c r="C1984" s="3" t="n"/>
      <c r="D1984" s="3" t="n"/>
      <c r="E1984" s="4">
        <f>IF(A1984="","",COUNTIFS($A$4:A1984,A1984,$I$4:I1984,"&lt;&gt;Штраф -2",$I$4:I1984,"&lt;&gt;ушел на базу"))</f>
        <v/>
      </c>
      <c r="F1984" s="4">
        <f>IF(E1984="","",IF(E1984&lt;=3,6,IF(E1984&lt;=6,5,IF(E1984&lt;=9,4,IF(E1984&lt;=12,3,IF(E1984&lt;=15,2,0))))))</f>
        <v/>
      </c>
      <c r="G1984" s="3" t="n"/>
      <c r="H1984" s="4">
        <f>IF(I1984="Штраф -2",-2,IF(OR(F1984="",G1984=""),"",F1984*G1984+IF(J1984="",0,J1984)))</f>
        <v/>
      </c>
      <c r="I1984" s="3" t="n"/>
      <c r="J1984" s="3" t="n"/>
      <c r="K1984" s="3" t="n"/>
    </row>
    <row r="1985">
      <c r="A1985" s="3" t="n"/>
      <c r="B1985" s="3" t="n"/>
      <c r="C1985" s="3" t="n"/>
      <c r="D1985" s="3" t="n"/>
      <c r="E1985" s="4">
        <f>IF(A1985="","",COUNTIFS($A$4:A1985,A1985,$I$4:I1985,"&lt;&gt;Штраф -2",$I$4:I1985,"&lt;&gt;ушел на базу"))</f>
        <v/>
      </c>
      <c r="F1985" s="4">
        <f>IF(E1985="","",IF(E1985&lt;=3,6,IF(E1985&lt;=6,5,IF(E1985&lt;=9,4,IF(E1985&lt;=12,3,IF(E1985&lt;=15,2,0))))))</f>
        <v/>
      </c>
      <c r="G1985" s="3" t="n"/>
      <c r="H1985" s="4">
        <f>IF(I1985="Штраф -2",-2,IF(OR(F1985="",G1985=""),"",F1985*G1985+IF(J1985="",0,J1985)))</f>
        <v/>
      </c>
      <c r="I1985" s="3" t="n"/>
      <c r="J1985" s="3" t="n"/>
      <c r="K1985" s="3" t="n"/>
    </row>
    <row r="1986">
      <c r="A1986" s="3" t="n"/>
      <c r="B1986" s="3" t="n"/>
      <c r="C1986" s="3" t="n"/>
      <c r="D1986" s="3" t="n"/>
      <c r="E1986" s="4">
        <f>IF(A1986="","",COUNTIFS($A$4:A1986,A1986,$I$4:I1986,"&lt;&gt;Штраф -2",$I$4:I1986,"&lt;&gt;ушел на базу"))</f>
        <v/>
      </c>
      <c r="F1986" s="4">
        <f>IF(E1986="","",IF(E1986&lt;=3,6,IF(E1986&lt;=6,5,IF(E1986&lt;=9,4,IF(E1986&lt;=12,3,IF(E1986&lt;=15,2,0))))))</f>
        <v/>
      </c>
      <c r="G1986" s="3" t="n"/>
      <c r="H1986" s="4">
        <f>IF(I1986="Штраф -2",-2,IF(OR(F1986="",G1986=""),"",F1986*G1986+IF(J1986="",0,J1986)))</f>
        <v/>
      </c>
      <c r="I1986" s="3" t="n"/>
      <c r="J1986" s="3" t="n"/>
      <c r="K1986" s="3" t="n"/>
    </row>
    <row r="1987">
      <c r="A1987" s="3" t="n"/>
      <c r="B1987" s="3" t="n"/>
      <c r="C1987" s="3" t="n"/>
      <c r="D1987" s="3" t="n"/>
      <c r="E1987" s="4">
        <f>IF(A1987="","",COUNTIFS($A$4:A1987,A1987,$I$4:I1987,"&lt;&gt;Штраф -2",$I$4:I1987,"&lt;&gt;ушел на базу"))</f>
        <v/>
      </c>
      <c r="F1987" s="4">
        <f>IF(E1987="","",IF(E1987&lt;=3,6,IF(E1987&lt;=6,5,IF(E1987&lt;=9,4,IF(E1987&lt;=12,3,IF(E1987&lt;=15,2,0))))))</f>
        <v/>
      </c>
      <c r="G1987" s="3" t="n"/>
      <c r="H1987" s="4">
        <f>IF(I1987="Штраф -2",-2,IF(OR(F1987="",G1987=""),"",F1987*G1987+IF(J1987="",0,J1987)))</f>
        <v/>
      </c>
      <c r="I1987" s="3" t="n"/>
      <c r="J1987" s="3" t="n"/>
      <c r="K1987" s="3" t="n"/>
    </row>
    <row r="1988">
      <c r="A1988" s="3" t="n"/>
      <c r="B1988" s="3" t="n"/>
      <c r="C1988" s="3" t="n"/>
      <c r="D1988" s="3" t="n"/>
      <c r="E1988" s="4">
        <f>IF(A1988="","",COUNTIFS($A$4:A1988,A1988,$I$4:I1988,"&lt;&gt;Штраф -2",$I$4:I1988,"&lt;&gt;ушел на базу"))</f>
        <v/>
      </c>
      <c r="F1988" s="4">
        <f>IF(E1988="","",IF(E1988&lt;=3,6,IF(E1988&lt;=6,5,IF(E1988&lt;=9,4,IF(E1988&lt;=12,3,IF(E1988&lt;=15,2,0))))))</f>
        <v/>
      </c>
      <c r="G1988" s="3" t="n"/>
      <c r="H1988" s="4">
        <f>IF(I1988="Штраф -2",-2,IF(OR(F1988="",G1988=""),"",F1988*G1988+IF(J1988="",0,J1988)))</f>
        <v/>
      </c>
      <c r="I1988" s="3" t="n"/>
      <c r="J1988" s="3" t="n"/>
      <c r="K1988" s="3" t="n"/>
    </row>
    <row r="1989">
      <c r="A1989" s="3" t="n"/>
      <c r="B1989" s="3" t="n"/>
      <c r="C1989" s="3" t="n"/>
      <c r="D1989" s="3" t="n"/>
      <c r="E1989" s="4">
        <f>IF(A1989="","",COUNTIFS($A$4:A1989,A1989,$I$4:I1989,"&lt;&gt;Штраф -2",$I$4:I1989,"&lt;&gt;ушел на базу"))</f>
        <v/>
      </c>
      <c r="F1989" s="4">
        <f>IF(E1989="","",IF(E1989&lt;=3,6,IF(E1989&lt;=6,5,IF(E1989&lt;=9,4,IF(E1989&lt;=12,3,IF(E1989&lt;=15,2,0))))))</f>
        <v/>
      </c>
      <c r="G1989" s="3" t="n"/>
      <c r="H1989" s="4">
        <f>IF(I1989="Штраф -2",-2,IF(OR(F1989="",G1989=""),"",F1989*G1989+IF(J1989="",0,J1989)))</f>
        <v/>
      </c>
      <c r="I1989" s="3" t="n"/>
      <c r="J1989" s="3" t="n"/>
      <c r="K1989" s="3" t="n"/>
    </row>
    <row r="1990">
      <c r="A1990" s="3" t="n"/>
      <c r="B1990" s="3" t="n"/>
      <c r="C1990" s="3" t="n"/>
      <c r="D1990" s="3" t="n"/>
      <c r="E1990" s="4">
        <f>IF(A1990="","",COUNTIFS($A$4:A1990,A1990,$I$4:I1990,"&lt;&gt;Штраф -2",$I$4:I1990,"&lt;&gt;ушел на базу"))</f>
        <v/>
      </c>
      <c r="F1990" s="4">
        <f>IF(E1990="","",IF(E1990&lt;=3,6,IF(E1990&lt;=6,5,IF(E1990&lt;=9,4,IF(E1990&lt;=12,3,IF(E1990&lt;=15,2,0))))))</f>
        <v/>
      </c>
      <c r="G1990" s="3" t="n"/>
      <c r="H1990" s="4">
        <f>IF(I1990="Штраф -2",-2,IF(OR(F1990="",G1990=""),"",F1990*G1990+IF(J1990="",0,J1990)))</f>
        <v/>
      </c>
      <c r="I1990" s="3" t="n"/>
      <c r="J1990" s="3" t="n"/>
      <c r="K1990" s="3" t="n"/>
    </row>
    <row r="1991">
      <c r="A1991" s="3" t="n"/>
      <c r="B1991" s="3" t="n"/>
      <c r="C1991" s="3" t="n"/>
      <c r="D1991" s="3" t="n"/>
      <c r="E1991" s="4">
        <f>IF(A1991="","",COUNTIFS($A$4:A1991,A1991,$I$4:I1991,"&lt;&gt;Штраф -2",$I$4:I1991,"&lt;&gt;ушел на базу"))</f>
        <v/>
      </c>
      <c r="F1991" s="4">
        <f>IF(E1991="","",IF(E1991&lt;=3,6,IF(E1991&lt;=6,5,IF(E1991&lt;=9,4,IF(E1991&lt;=12,3,IF(E1991&lt;=15,2,0))))))</f>
        <v/>
      </c>
      <c r="G1991" s="3" t="n"/>
      <c r="H1991" s="4">
        <f>IF(I1991="Штраф -2",-2,IF(OR(F1991="",G1991=""),"",F1991*G1991+IF(J1991="",0,J1991)))</f>
        <v/>
      </c>
      <c r="I1991" s="3" t="n"/>
      <c r="J1991" s="3" t="n"/>
      <c r="K1991" s="3" t="n"/>
    </row>
    <row r="1992">
      <c r="A1992" s="3" t="n"/>
      <c r="B1992" s="3" t="n"/>
      <c r="C1992" s="3" t="n"/>
      <c r="D1992" s="3" t="n"/>
      <c r="E1992" s="4">
        <f>IF(A1992="","",COUNTIFS($A$4:A1992,A1992,$I$4:I1992,"&lt;&gt;Штраф -2",$I$4:I1992,"&lt;&gt;ушел на базу"))</f>
        <v/>
      </c>
      <c r="F1992" s="4">
        <f>IF(E1992="","",IF(E1992&lt;=3,6,IF(E1992&lt;=6,5,IF(E1992&lt;=9,4,IF(E1992&lt;=12,3,IF(E1992&lt;=15,2,0))))))</f>
        <v/>
      </c>
      <c r="G1992" s="3" t="n"/>
      <c r="H1992" s="4">
        <f>IF(I1992="Штраф -2",-2,IF(OR(F1992="",G1992=""),"",F1992*G1992+IF(J1992="",0,J1992)))</f>
        <v/>
      </c>
      <c r="I1992" s="3" t="n"/>
      <c r="J1992" s="3" t="n"/>
      <c r="K1992" s="3" t="n"/>
    </row>
    <row r="1993">
      <c r="A1993" s="3" t="n"/>
      <c r="B1993" s="3" t="n"/>
      <c r="C1993" s="3" t="n"/>
      <c r="D1993" s="3" t="n"/>
      <c r="E1993" s="4">
        <f>IF(A1993="","",COUNTIFS($A$4:A1993,A1993,$I$4:I1993,"&lt;&gt;Штраф -2",$I$4:I1993,"&lt;&gt;ушел на базу"))</f>
        <v/>
      </c>
      <c r="F1993" s="4">
        <f>IF(E1993="","",IF(E1993&lt;=3,6,IF(E1993&lt;=6,5,IF(E1993&lt;=9,4,IF(E1993&lt;=12,3,IF(E1993&lt;=15,2,0))))))</f>
        <v/>
      </c>
      <c r="G1993" s="3" t="n"/>
      <c r="H1993" s="4">
        <f>IF(I1993="Штраф -2",-2,IF(OR(F1993="",G1993=""),"",F1993*G1993+IF(J1993="",0,J1993)))</f>
        <v/>
      </c>
      <c r="I1993" s="3" t="n"/>
      <c r="J1993" s="3" t="n"/>
      <c r="K1993" s="3" t="n"/>
    </row>
    <row r="1994">
      <c r="A1994" s="3" t="n"/>
      <c r="B1994" s="3" t="n"/>
      <c r="C1994" s="3" t="n"/>
      <c r="D1994" s="3" t="n"/>
      <c r="E1994" s="4">
        <f>IF(A1994="","",COUNTIFS($A$4:A1994,A1994,$I$4:I1994,"&lt;&gt;Штраф -2",$I$4:I1994,"&lt;&gt;ушел на базу"))</f>
        <v/>
      </c>
      <c r="F1994" s="4">
        <f>IF(E1994="","",IF(E1994&lt;=3,6,IF(E1994&lt;=6,5,IF(E1994&lt;=9,4,IF(E1994&lt;=12,3,IF(E1994&lt;=15,2,0))))))</f>
        <v/>
      </c>
      <c r="G1994" s="3" t="n"/>
      <c r="H1994" s="4">
        <f>IF(I1994="Штраф -2",-2,IF(OR(F1994="",G1994=""),"",F1994*G1994+IF(J1994="",0,J1994)))</f>
        <v/>
      </c>
      <c r="I1994" s="3" t="n"/>
      <c r="J1994" s="3" t="n"/>
      <c r="K1994" s="3" t="n"/>
    </row>
    <row r="1995">
      <c r="A1995" s="3" t="n"/>
      <c r="B1995" s="3" t="n"/>
      <c r="C1995" s="3" t="n"/>
      <c r="D1995" s="3" t="n"/>
      <c r="E1995" s="4">
        <f>IF(A1995="","",COUNTIFS($A$4:A1995,A1995,$I$4:I1995,"&lt;&gt;Штраф -2",$I$4:I1995,"&lt;&gt;ушел на базу"))</f>
        <v/>
      </c>
      <c r="F1995" s="4">
        <f>IF(E1995="","",IF(E1995&lt;=3,6,IF(E1995&lt;=6,5,IF(E1995&lt;=9,4,IF(E1995&lt;=12,3,IF(E1995&lt;=15,2,0))))))</f>
        <v/>
      </c>
      <c r="G1995" s="3" t="n"/>
      <c r="H1995" s="4">
        <f>IF(I1995="Штраф -2",-2,IF(OR(F1995="",G1995=""),"",F1995*G1995+IF(J1995="",0,J1995)))</f>
        <v/>
      </c>
      <c r="I1995" s="3" t="n"/>
      <c r="J1995" s="3" t="n"/>
      <c r="K1995" s="3" t="n"/>
    </row>
    <row r="1996">
      <c r="A1996" s="3" t="n"/>
      <c r="B1996" s="3" t="n"/>
      <c r="C1996" s="3" t="n"/>
      <c r="D1996" s="3" t="n"/>
      <c r="E1996" s="4">
        <f>IF(A1996="","",COUNTIFS($A$4:A1996,A1996,$I$4:I1996,"&lt;&gt;Штраф -2",$I$4:I1996,"&lt;&gt;ушел на базу"))</f>
        <v/>
      </c>
      <c r="F1996" s="4">
        <f>IF(E1996="","",IF(E1996&lt;=3,6,IF(E1996&lt;=6,5,IF(E1996&lt;=9,4,IF(E1996&lt;=12,3,IF(E1996&lt;=15,2,0))))))</f>
        <v/>
      </c>
      <c r="G1996" s="3" t="n"/>
      <c r="H1996" s="4">
        <f>IF(I1996="Штраф -2",-2,IF(OR(F1996="",G1996=""),"",F1996*G1996+IF(J1996="",0,J1996)))</f>
        <v/>
      </c>
      <c r="I1996" s="3" t="n"/>
      <c r="J1996" s="3" t="n"/>
      <c r="K1996" s="3" t="n"/>
    </row>
    <row r="1997">
      <c r="A1997" s="3" t="n"/>
      <c r="B1997" s="3" t="n"/>
      <c r="C1997" s="3" t="n"/>
      <c r="D1997" s="3" t="n"/>
      <c r="E1997" s="4">
        <f>IF(A1997="","",COUNTIFS($A$4:A1997,A1997,$I$4:I1997,"&lt;&gt;Штраф -2",$I$4:I1997,"&lt;&gt;ушел на базу"))</f>
        <v/>
      </c>
      <c r="F1997" s="4">
        <f>IF(E1997="","",IF(E1997&lt;=3,6,IF(E1997&lt;=6,5,IF(E1997&lt;=9,4,IF(E1997&lt;=12,3,IF(E1997&lt;=15,2,0))))))</f>
        <v/>
      </c>
      <c r="G1997" s="3" t="n"/>
      <c r="H1997" s="4">
        <f>IF(I1997="Штраф -2",-2,IF(OR(F1997="",G1997=""),"",F1997*G1997+IF(J1997="",0,J1997)))</f>
        <v/>
      </c>
      <c r="I1997" s="3" t="n"/>
      <c r="J1997" s="3" t="n"/>
      <c r="K1997" s="3" t="n"/>
    </row>
    <row r="1998">
      <c r="A1998" s="3" t="n"/>
      <c r="B1998" s="3" t="n"/>
      <c r="C1998" s="3" t="n"/>
      <c r="D1998" s="3" t="n"/>
      <c r="E1998" s="4">
        <f>IF(A1998="","",COUNTIFS($A$4:A1998,A1998,$I$4:I1998,"&lt;&gt;Штраф -2",$I$4:I1998,"&lt;&gt;ушел на базу"))</f>
        <v/>
      </c>
      <c r="F1998" s="4">
        <f>IF(E1998="","",IF(E1998&lt;=3,6,IF(E1998&lt;=6,5,IF(E1998&lt;=9,4,IF(E1998&lt;=12,3,IF(E1998&lt;=15,2,0))))))</f>
        <v/>
      </c>
      <c r="G1998" s="3" t="n"/>
      <c r="H1998" s="4">
        <f>IF(I1998="Штраф -2",-2,IF(OR(F1998="",G1998=""),"",F1998*G1998+IF(J1998="",0,J1998)))</f>
        <v/>
      </c>
      <c r="I1998" s="3" t="n"/>
      <c r="J1998" s="3" t="n"/>
      <c r="K1998" s="3" t="n"/>
    </row>
    <row r="1999">
      <c r="A1999" s="3" t="n"/>
      <c r="B1999" s="3" t="n"/>
      <c r="C1999" s="3" t="n"/>
      <c r="D1999" s="3" t="n"/>
      <c r="E1999" s="4">
        <f>IF(A1999="","",COUNTIFS($A$4:A1999,A1999,$I$4:I1999,"&lt;&gt;Штраф -2",$I$4:I1999,"&lt;&gt;ушел на базу"))</f>
        <v/>
      </c>
      <c r="F1999" s="4">
        <f>IF(E1999="","",IF(E1999&lt;=3,6,IF(E1999&lt;=6,5,IF(E1999&lt;=9,4,IF(E1999&lt;=12,3,IF(E1999&lt;=15,2,0))))))</f>
        <v/>
      </c>
      <c r="G1999" s="3" t="n"/>
      <c r="H1999" s="4">
        <f>IF(I1999="Штраф -2",-2,IF(OR(F1999="",G1999=""),"",F1999*G1999+IF(J1999="",0,J1999)))</f>
        <v/>
      </c>
      <c r="I1999" s="3" t="n"/>
      <c r="J1999" s="3" t="n"/>
      <c r="K1999" s="3" t="n"/>
    </row>
    <row r="2000">
      <c r="A2000" s="3" t="n"/>
      <c r="B2000" s="3" t="n"/>
      <c r="C2000" s="3" t="n"/>
      <c r="D2000" s="3" t="n"/>
      <c r="E2000" s="4">
        <f>IF(A2000="","",COUNTIFS($A$4:A2000,A2000,$I$4:I2000,"&lt;&gt;Штраф -2",$I$4:I2000,"&lt;&gt;ушел на базу"))</f>
        <v/>
      </c>
      <c r="F2000" s="4">
        <f>IF(E2000="","",IF(E2000&lt;=3,6,IF(E2000&lt;=6,5,IF(E2000&lt;=9,4,IF(E2000&lt;=12,3,IF(E2000&lt;=15,2,0))))))</f>
        <v/>
      </c>
      <c r="G2000" s="3" t="n"/>
      <c r="H2000" s="4">
        <f>IF(I2000="Штраф -2",-2,IF(OR(F2000="",G2000=""),"",F2000*G2000+IF(J2000="",0,J2000)))</f>
        <v/>
      </c>
      <c r="I2000" s="3" t="n"/>
      <c r="J2000" s="3" t="n"/>
      <c r="K2000" s="3" t="n"/>
    </row>
    <row r="2001">
      <c r="A2001" s="3" t="n"/>
      <c r="B2001" s="3" t="n"/>
      <c r="C2001" s="3" t="n"/>
      <c r="D2001" s="3" t="n"/>
      <c r="E2001" s="4">
        <f>IF(A2001="","",COUNTIFS($A$4:A2001,A2001,$I$4:I2001,"&lt;&gt;Штраф -2",$I$4:I2001,"&lt;&gt;ушел на базу"))</f>
        <v/>
      </c>
      <c r="F2001" s="4">
        <f>IF(E2001="","",IF(E2001&lt;=3,6,IF(E2001&lt;=6,5,IF(E2001&lt;=9,4,IF(E2001&lt;=12,3,IF(E2001&lt;=15,2,0))))))</f>
        <v/>
      </c>
      <c r="G2001" s="3" t="n"/>
      <c r="H2001" s="4">
        <f>IF(I2001="Штраф -2",-2,IF(OR(F2001="",G2001=""),"",F2001*G2001+IF(J2001="",0,J2001)))</f>
        <v/>
      </c>
      <c r="I2001" s="3" t="n"/>
      <c r="J2001" s="3" t="n"/>
      <c r="K2001" s="3" t="n"/>
    </row>
    <row r="2002">
      <c r="A2002" s="3" t="n"/>
      <c r="B2002" s="3" t="n"/>
      <c r="C2002" s="3" t="n"/>
      <c r="D2002" s="3" t="n"/>
      <c r="E2002" s="4">
        <f>IF(A2002="","",COUNTIFS($A$4:A2002,A2002,$I$4:I2002,"&lt;&gt;Штраф -2",$I$4:I2002,"&lt;&gt;ушел на базу"))</f>
        <v/>
      </c>
      <c r="F2002" s="4">
        <f>IF(E2002="","",IF(E2002&lt;=3,6,IF(E2002&lt;=6,5,IF(E2002&lt;=9,4,IF(E2002&lt;=12,3,IF(E2002&lt;=15,2,0))))))</f>
        <v/>
      </c>
      <c r="G2002" s="3" t="n"/>
      <c r="H2002" s="4">
        <f>IF(I2002="Штраф -2",-2,IF(OR(F2002="",G2002=""),"",F2002*G2002+IF(J2002="",0,J2002)))</f>
        <v/>
      </c>
      <c r="I2002" s="3" t="n"/>
      <c r="J2002" s="3" t="n"/>
      <c r="K2002" s="3" t="n"/>
    </row>
    <row r="2003">
      <c r="A2003" s="3" t="n"/>
      <c r="B2003" s="3" t="n"/>
      <c r="C2003" s="3" t="n"/>
      <c r="D2003" s="3" t="n"/>
      <c r="E2003" s="4">
        <f>IF(A2003="","",COUNTIFS($A$4:A2003,A2003,$I$4:I2003,"&lt;&gt;Штраф -2",$I$4:I2003,"&lt;&gt;ушел на базу"))</f>
        <v/>
      </c>
      <c r="F2003" s="4">
        <f>IF(E2003="","",IF(E2003&lt;=3,6,IF(E2003&lt;=6,5,IF(E2003&lt;=9,4,IF(E2003&lt;=12,3,IF(E2003&lt;=15,2,0))))))</f>
        <v/>
      </c>
      <c r="G2003" s="3" t="n"/>
      <c r="H2003" s="4">
        <f>IF(I2003="Штраф -2",-2,IF(OR(F2003="",G2003=""),"",F2003*G2003+IF(J2003="",0,J2003)))</f>
        <v/>
      </c>
      <c r="I2003" s="3" t="n"/>
      <c r="J2003" s="3" t="n"/>
      <c r="K2003" s="3" t="n"/>
    </row>
    <row r="2004">
      <c r="A2004" s="3" t="n"/>
      <c r="B2004" s="3" t="n"/>
      <c r="C2004" s="3" t="n"/>
      <c r="D2004" s="3" t="n"/>
      <c r="E2004" s="4">
        <f>IF(A2004="","",COUNTIFS($A$4:A2004,A2004,$I$4:I2004,"&lt;&gt;Штраф -2",$I$4:I2004,"&lt;&gt;ушел на базу"))</f>
        <v/>
      </c>
      <c r="F2004" s="4">
        <f>IF(E2004="","",IF(E2004&lt;=3,6,IF(E2004&lt;=6,5,IF(E2004&lt;=9,4,IF(E2004&lt;=12,3,IF(E2004&lt;=15,2,0))))))</f>
        <v/>
      </c>
      <c r="G2004" s="3" t="n"/>
      <c r="H2004" s="4">
        <f>IF(I2004="Штраф -2",-2,IF(OR(F2004="",G2004=""),"",F2004*G2004+IF(J2004="",0,J2004)))</f>
        <v/>
      </c>
      <c r="I2004" s="3" t="n"/>
      <c r="J2004" s="3" t="n"/>
      <c r="K2004" s="3" t="n"/>
    </row>
    <row r="2005">
      <c r="A2005" s="3" t="n"/>
      <c r="B2005" s="3" t="n"/>
      <c r="C2005" s="3" t="n"/>
      <c r="D2005" s="3" t="n"/>
      <c r="E2005" s="4">
        <f>IF(A2005="","",COUNTIFS($A$4:A2005,A2005,$I$4:I2005,"&lt;&gt;Штраф -2",$I$4:I2005,"&lt;&gt;ушел на базу"))</f>
        <v/>
      </c>
      <c r="F2005" s="4">
        <f>IF(E2005="","",IF(E2005&lt;=3,6,IF(E2005&lt;=6,5,IF(E2005&lt;=9,4,IF(E2005&lt;=12,3,IF(E2005&lt;=15,2,0))))))</f>
        <v/>
      </c>
      <c r="G2005" s="3" t="n"/>
      <c r="H2005" s="4">
        <f>IF(I2005="Штраф -2",-2,IF(OR(F2005="",G2005=""),"",F2005*G2005+IF(J2005="",0,J2005)))</f>
        <v/>
      </c>
      <c r="I2005" s="3" t="n"/>
      <c r="J2005" s="3" t="n"/>
      <c r="K2005" s="3" t="n"/>
    </row>
    <row r="2006">
      <c r="A2006" s="3" t="n"/>
      <c r="B2006" s="3" t="n"/>
      <c r="C2006" s="3" t="n"/>
      <c r="D2006" s="3" t="n"/>
      <c r="E2006" s="4">
        <f>IF(A2006="","",COUNTIFS($A$4:A2006,A2006,$I$4:I2006,"&lt;&gt;Штраф -2",$I$4:I2006,"&lt;&gt;ушел на базу"))</f>
        <v/>
      </c>
      <c r="F2006" s="4">
        <f>IF(E2006="","",IF(E2006&lt;=3,6,IF(E2006&lt;=6,5,IF(E2006&lt;=9,4,IF(E2006&lt;=12,3,IF(E2006&lt;=15,2,0))))))</f>
        <v/>
      </c>
      <c r="G2006" s="3" t="n"/>
      <c r="H2006" s="4">
        <f>IF(I2006="Штраф -2",-2,IF(OR(F2006="",G2006=""),"",F2006*G2006+IF(J2006="",0,J2006)))</f>
        <v/>
      </c>
      <c r="I2006" s="3" t="n"/>
      <c r="J2006" s="3" t="n"/>
      <c r="K2006" s="3" t="n"/>
    </row>
    <row r="2007">
      <c r="A2007" s="3" t="n"/>
      <c r="B2007" s="3" t="n"/>
      <c r="C2007" s="3" t="n"/>
      <c r="D2007" s="3" t="n"/>
      <c r="E2007" s="4">
        <f>IF(A2007="","",COUNTIFS($A$4:A2007,A2007,$I$4:I2007,"&lt;&gt;Штраф -2",$I$4:I2007,"&lt;&gt;ушел на базу"))</f>
        <v/>
      </c>
      <c r="F2007" s="4">
        <f>IF(E2007="","",IF(E2007&lt;=3,6,IF(E2007&lt;=6,5,IF(E2007&lt;=9,4,IF(E2007&lt;=12,3,IF(E2007&lt;=15,2,0))))))</f>
        <v/>
      </c>
      <c r="G2007" s="3" t="n"/>
      <c r="H2007" s="4">
        <f>IF(I2007="Штраф -2",-2,IF(OR(F2007="",G2007=""),"",F2007*G2007+IF(J2007="",0,J2007)))</f>
        <v/>
      </c>
      <c r="I2007" s="3" t="n"/>
      <c r="J2007" s="3" t="n"/>
      <c r="K2007" s="3" t="n"/>
    </row>
    <row r="2008">
      <c r="A2008" s="3" t="n"/>
      <c r="B2008" s="3" t="n"/>
      <c r="C2008" s="3" t="n"/>
      <c r="D2008" s="3" t="n"/>
      <c r="E2008" s="4">
        <f>IF(A2008="","",COUNTIFS($A$4:A2008,A2008,$I$4:I2008,"&lt;&gt;Штраф -2",$I$4:I2008,"&lt;&gt;ушел на базу"))</f>
        <v/>
      </c>
      <c r="F2008" s="4">
        <f>IF(E2008="","",IF(E2008&lt;=3,6,IF(E2008&lt;=6,5,IF(E2008&lt;=9,4,IF(E2008&lt;=12,3,IF(E2008&lt;=15,2,0))))))</f>
        <v/>
      </c>
      <c r="G2008" s="3" t="n"/>
      <c r="H2008" s="4">
        <f>IF(I2008="Штраф -2",-2,IF(OR(F2008="",G2008=""),"",F2008*G2008+IF(J2008="",0,J2008)))</f>
        <v/>
      </c>
      <c r="I2008" s="3" t="n"/>
      <c r="J2008" s="3" t="n"/>
      <c r="K2008" s="3" t="n"/>
    </row>
    <row r="2009">
      <c r="A2009" s="3" t="n"/>
      <c r="B2009" s="3" t="n"/>
      <c r="C2009" s="3" t="n"/>
      <c r="D2009" s="3" t="n"/>
      <c r="E2009" s="4">
        <f>IF(A2009="","",COUNTIFS($A$4:A2009,A2009,$I$4:I2009,"&lt;&gt;Штраф -2",$I$4:I2009,"&lt;&gt;ушел на базу"))</f>
        <v/>
      </c>
      <c r="F2009" s="4">
        <f>IF(E2009="","",IF(E2009&lt;=3,6,IF(E2009&lt;=6,5,IF(E2009&lt;=9,4,IF(E2009&lt;=12,3,IF(E2009&lt;=15,2,0))))))</f>
        <v/>
      </c>
      <c r="G2009" s="3" t="n"/>
      <c r="H2009" s="4">
        <f>IF(I2009="Штраф -2",-2,IF(OR(F2009="",G2009=""),"",F2009*G2009+IF(J2009="",0,J2009)))</f>
        <v/>
      </c>
      <c r="I2009" s="3" t="n"/>
      <c r="J2009" s="3" t="n"/>
      <c r="K2009" s="3" t="n"/>
    </row>
    <row r="2010">
      <c r="A2010" s="3" t="n"/>
      <c r="B2010" s="3" t="n"/>
      <c r="C2010" s="3" t="n"/>
      <c r="D2010" s="3" t="n"/>
      <c r="E2010" s="4">
        <f>IF(A2010="","",COUNTIFS($A$4:A2010,A2010,$I$4:I2010,"&lt;&gt;Штраф -2",$I$4:I2010,"&lt;&gt;ушел на базу"))</f>
        <v/>
      </c>
      <c r="F2010" s="4">
        <f>IF(E2010="","",IF(E2010&lt;=3,6,IF(E2010&lt;=6,5,IF(E2010&lt;=9,4,IF(E2010&lt;=12,3,IF(E2010&lt;=15,2,0))))))</f>
        <v/>
      </c>
      <c r="G2010" s="3" t="n"/>
      <c r="H2010" s="4">
        <f>IF(I2010="Штраф -2",-2,IF(OR(F2010="",G2010=""),"",F2010*G2010+IF(J2010="",0,J2010)))</f>
        <v/>
      </c>
      <c r="I2010" s="3" t="n"/>
      <c r="J2010" s="3" t="n"/>
      <c r="K2010" s="3" t="n"/>
    </row>
    <row r="2011">
      <c r="A2011" s="3" t="n"/>
      <c r="B2011" s="3" t="n"/>
      <c r="C2011" s="3" t="n"/>
      <c r="D2011" s="3" t="n"/>
      <c r="E2011" s="4">
        <f>IF(A2011="","",COUNTIFS($A$4:A2011,A2011,$I$4:I2011,"&lt;&gt;Штраф -2",$I$4:I2011,"&lt;&gt;ушел на базу"))</f>
        <v/>
      </c>
      <c r="F2011" s="4">
        <f>IF(E2011="","",IF(E2011&lt;=3,6,IF(E2011&lt;=6,5,IF(E2011&lt;=9,4,IF(E2011&lt;=12,3,IF(E2011&lt;=15,2,0))))))</f>
        <v/>
      </c>
      <c r="G2011" s="3" t="n"/>
      <c r="H2011" s="4">
        <f>IF(I2011="Штраф -2",-2,IF(OR(F2011="",G2011=""),"",F2011*G2011+IF(J2011="",0,J2011)))</f>
        <v/>
      </c>
      <c r="I2011" s="3" t="n"/>
      <c r="J2011" s="3" t="n"/>
      <c r="K2011" s="3" t="n"/>
    </row>
    <row r="2012">
      <c r="A2012" s="3" t="n"/>
      <c r="B2012" s="3" t="n"/>
      <c r="C2012" s="3" t="n"/>
      <c r="D2012" s="3" t="n"/>
      <c r="E2012" s="4">
        <f>IF(A2012="","",COUNTIFS($A$4:A2012,A2012,$I$4:I2012,"&lt;&gt;Штраф -2",$I$4:I2012,"&lt;&gt;ушел на базу"))</f>
        <v/>
      </c>
      <c r="F2012" s="4">
        <f>IF(E2012="","",IF(E2012&lt;=3,6,IF(E2012&lt;=6,5,IF(E2012&lt;=9,4,IF(E2012&lt;=12,3,IF(E2012&lt;=15,2,0))))))</f>
        <v/>
      </c>
      <c r="G2012" s="3" t="n"/>
      <c r="H2012" s="4">
        <f>IF(I2012="Штраф -2",-2,IF(OR(F2012="",G2012=""),"",F2012*G2012+IF(J2012="",0,J2012)))</f>
        <v/>
      </c>
      <c r="I2012" s="3" t="n"/>
      <c r="J2012" s="3" t="n"/>
      <c r="K2012" s="3" t="n"/>
    </row>
    <row r="2013">
      <c r="A2013" s="3" t="n"/>
      <c r="B2013" s="3" t="n"/>
      <c r="C2013" s="3" t="n"/>
      <c r="D2013" s="3" t="n"/>
      <c r="E2013" s="4">
        <f>IF(A2013="","",COUNTIFS($A$4:A2013,A2013,$I$4:I2013,"&lt;&gt;Штраф -2",$I$4:I2013,"&lt;&gt;ушел на базу"))</f>
        <v/>
      </c>
      <c r="F2013" s="4">
        <f>IF(E2013="","",IF(E2013&lt;=3,6,IF(E2013&lt;=6,5,IF(E2013&lt;=9,4,IF(E2013&lt;=12,3,IF(E2013&lt;=15,2,0))))))</f>
        <v/>
      </c>
      <c r="G2013" s="3" t="n"/>
      <c r="H2013" s="4">
        <f>IF(I2013="Штраф -2",-2,IF(OR(F2013="",G2013=""),"",F2013*G2013+IF(J2013="",0,J2013)))</f>
        <v/>
      </c>
      <c r="I2013" s="3" t="n"/>
      <c r="J2013" s="3" t="n"/>
      <c r="K2013" s="3" t="n"/>
    </row>
    <row r="2014">
      <c r="A2014" s="3" t="n"/>
      <c r="B2014" s="3" t="n"/>
      <c r="C2014" s="3" t="n"/>
      <c r="D2014" s="3" t="n"/>
      <c r="E2014" s="4">
        <f>IF(A2014="","",COUNTIFS($A$4:A2014,A2014,$I$4:I2014,"&lt;&gt;Штраф -2",$I$4:I2014,"&lt;&gt;ушел на базу"))</f>
        <v/>
      </c>
      <c r="F2014" s="4">
        <f>IF(E2014="","",IF(E2014&lt;=3,6,IF(E2014&lt;=6,5,IF(E2014&lt;=9,4,IF(E2014&lt;=12,3,IF(E2014&lt;=15,2,0))))))</f>
        <v/>
      </c>
      <c r="G2014" s="3" t="n"/>
      <c r="H2014" s="4">
        <f>IF(I2014="Штраф -2",-2,IF(OR(F2014="",G2014=""),"",F2014*G2014+IF(J2014="",0,J2014)))</f>
        <v/>
      </c>
      <c r="I2014" s="3" t="n"/>
      <c r="J2014" s="3" t="n"/>
      <c r="K2014" s="3" t="n"/>
    </row>
    <row r="2015">
      <c r="A2015" s="3" t="n"/>
      <c r="B2015" s="3" t="n"/>
      <c r="C2015" s="3" t="n"/>
      <c r="D2015" s="3" t="n"/>
      <c r="E2015" s="4">
        <f>IF(A2015="","",COUNTIFS($A$4:A2015,A2015,$I$4:I2015,"&lt;&gt;Штраф -2",$I$4:I2015,"&lt;&gt;ушел на базу"))</f>
        <v/>
      </c>
      <c r="F2015" s="4">
        <f>IF(E2015="","",IF(E2015&lt;=3,6,IF(E2015&lt;=6,5,IF(E2015&lt;=9,4,IF(E2015&lt;=12,3,IF(E2015&lt;=15,2,0))))))</f>
        <v/>
      </c>
      <c r="G2015" s="3" t="n"/>
      <c r="H2015" s="4">
        <f>IF(I2015="Штраф -2",-2,IF(OR(F2015="",G2015=""),"",F2015*G2015+IF(J2015="",0,J2015)))</f>
        <v/>
      </c>
      <c r="I2015" s="3" t="n"/>
      <c r="J2015" s="3" t="n"/>
      <c r="K2015" s="3" t="n"/>
    </row>
    <row r="2016">
      <c r="A2016" s="3" t="n"/>
      <c r="B2016" s="3" t="n"/>
      <c r="C2016" s="3" t="n"/>
      <c r="D2016" s="3" t="n"/>
      <c r="E2016" s="4">
        <f>IF(A2016="","",COUNTIFS($A$4:A2016,A2016,$I$4:I2016,"&lt;&gt;Штраф -2",$I$4:I2016,"&lt;&gt;ушел на базу"))</f>
        <v/>
      </c>
      <c r="F2016" s="4">
        <f>IF(E2016="","",IF(E2016&lt;=3,6,IF(E2016&lt;=6,5,IF(E2016&lt;=9,4,IF(E2016&lt;=12,3,IF(E2016&lt;=15,2,0))))))</f>
        <v/>
      </c>
      <c r="G2016" s="3" t="n"/>
      <c r="H2016" s="4">
        <f>IF(I2016="Штраф -2",-2,IF(OR(F2016="",G2016=""),"",F2016*G2016+IF(J2016="",0,J2016)))</f>
        <v/>
      </c>
      <c r="I2016" s="3" t="n"/>
      <c r="J2016" s="3" t="n"/>
      <c r="K2016" s="3" t="n"/>
    </row>
    <row r="2017">
      <c r="A2017" s="3" t="n"/>
      <c r="B2017" s="3" t="n"/>
      <c r="C2017" s="3" t="n"/>
      <c r="D2017" s="3" t="n"/>
      <c r="E2017" s="4">
        <f>IF(A2017="","",COUNTIFS($A$4:A2017,A2017,$I$4:I2017,"&lt;&gt;Штраф -2",$I$4:I2017,"&lt;&gt;ушел на базу"))</f>
        <v/>
      </c>
      <c r="F2017" s="4">
        <f>IF(E2017="","",IF(E2017&lt;=3,6,IF(E2017&lt;=6,5,IF(E2017&lt;=9,4,IF(E2017&lt;=12,3,IF(E2017&lt;=15,2,0))))))</f>
        <v/>
      </c>
      <c r="G2017" s="3" t="n"/>
      <c r="H2017" s="4">
        <f>IF(I2017="Штраф -2",-2,IF(OR(F2017="",G2017=""),"",F2017*G2017+IF(J2017="",0,J2017)))</f>
        <v/>
      </c>
      <c r="I2017" s="3" t="n"/>
      <c r="J2017" s="3" t="n"/>
      <c r="K2017" s="3" t="n"/>
    </row>
    <row r="2018">
      <c r="A2018" s="3" t="n"/>
      <c r="B2018" s="3" t="n"/>
      <c r="C2018" s="3" t="n"/>
      <c r="D2018" s="3" t="n"/>
      <c r="E2018" s="4">
        <f>IF(A2018="","",COUNTIFS($A$4:A2018,A2018,$I$4:I2018,"&lt;&gt;Штраф -2",$I$4:I2018,"&lt;&gt;ушел на базу"))</f>
        <v/>
      </c>
      <c r="F2018" s="4">
        <f>IF(E2018="","",IF(E2018&lt;=3,6,IF(E2018&lt;=6,5,IF(E2018&lt;=9,4,IF(E2018&lt;=12,3,IF(E2018&lt;=15,2,0))))))</f>
        <v/>
      </c>
      <c r="G2018" s="3" t="n"/>
      <c r="H2018" s="4">
        <f>IF(I2018="Штраф -2",-2,IF(OR(F2018="",G2018=""),"",F2018*G2018+IF(J2018="",0,J2018)))</f>
        <v/>
      </c>
      <c r="I2018" s="3" t="n"/>
      <c r="J2018" s="3" t="n"/>
      <c r="K2018" s="3" t="n"/>
    </row>
    <row r="2019">
      <c r="A2019" s="3" t="n"/>
      <c r="B2019" s="3" t="n"/>
      <c r="C2019" s="3" t="n"/>
      <c r="D2019" s="3" t="n"/>
      <c r="E2019" s="4">
        <f>IF(A2019="","",COUNTIFS($A$4:A2019,A2019,$I$4:I2019,"&lt;&gt;Штраф -2",$I$4:I2019,"&lt;&gt;ушел на базу"))</f>
        <v/>
      </c>
      <c r="F2019" s="4">
        <f>IF(E2019="","",IF(E2019&lt;=3,6,IF(E2019&lt;=6,5,IF(E2019&lt;=9,4,IF(E2019&lt;=12,3,IF(E2019&lt;=15,2,0))))))</f>
        <v/>
      </c>
      <c r="G2019" s="3" t="n"/>
      <c r="H2019" s="4">
        <f>IF(I2019="Штраф -2",-2,IF(OR(F2019="",G2019=""),"",F2019*G2019+IF(J2019="",0,J2019)))</f>
        <v/>
      </c>
      <c r="I2019" s="3" t="n"/>
      <c r="J2019" s="3" t="n"/>
      <c r="K2019" s="3" t="n"/>
    </row>
    <row r="2020">
      <c r="A2020" s="3" t="n"/>
      <c r="B2020" s="3" t="n"/>
      <c r="C2020" s="3" t="n"/>
      <c r="D2020" s="3" t="n"/>
      <c r="E2020" s="4">
        <f>IF(A2020="","",COUNTIFS($A$4:A2020,A2020,$I$4:I2020,"&lt;&gt;Штраф -2",$I$4:I2020,"&lt;&gt;ушел на базу"))</f>
        <v/>
      </c>
      <c r="F2020" s="4">
        <f>IF(E2020="","",IF(E2020&lt;=3,6,IF(E2020&lt;=6,5,IF(E2020&lt;=9,4,IF(E2020&lt;=12,3,IF(E2020&lt;=15,2,0))))))</f>
        <v/>
      </c>
      <c r="G2020" s="3" t="n"/>
      <c r="H2020" s="4">
        <f>IF(I2020="Штраф -2",-2,IF(OR(F2020="",G2020=""),"",F2020*G2020+IF(J2020="",0,J2020)))</f>
        <v/>
      </c>
      <c r="I2020" s="3" t="n"/>
      <c r="J2020" s="3" t="n"/>
      <c r="K2020" s="3" t="n"/>
    </row>
    <row r="2021">
      <c r="A2021" s="3" t="n"/>
      <c r="B2021" s="3" t="n"/>
      <c r="C2021" s="3" t="n"/>
      <c r="D2021" s="3" t="n"/>
      <c r="E2021" s="4">
        <f>IF(A2021="","",COUNTIFS($A$4:A2021,A2021,$I$4:I2021,"&lt;&gt;Штраф -2",$I$4:I2021,"&lt;&gt;ушел на базу"))</f>
        <v/>
      </c>
      <c r="F2021" s="4">
        <f>IF(E2021="","",IF(E2021&lt;=3,6,IF(E2021&lt;=6,5,IF(E2021&lt;=9,4,IF(E2021&lt;=12,3,IF(E2021&lt;=15,2,0))))))</f>
        <v/>
      </c>
      <c r="G2021" s="3" t="n"/>
      <c r="H2021" s="4">
        <f>IF(I2021="Штраф -2",-2,IF(OR(F2021="",G2021=""),"",F2021*G2021+IF(J2021="",0,J2021)))</f>
        <v/>
      </c>
      <c r="I2021" s="3" t="n"/>
      <c r="J2021" s="3" t="n"/>
      <c r="K2021" s="3" t="n"/>
    </row>
    <row r="2022">
      <c r="A2022" s="3" t="n"/>
      <c r="B2022" s="3" t="n"/>
      <c r="C2022" s="3" t="n"/>
      <c r="D2022" s="3" t="n"/>
      <c r="E2022" s="4">
        <f>IF(A2022="","",COUNTIFS($A$4:A2022,A2022,$I$4:I2022,"&lt;&gt;Штраф -2",$I$4:I2022,"&lt;&gt;ушел на базу"))</f>
        <v/>
      </c>
      <c r="F2022" s="4">
        <f>IF(E2022="","",IF(E2022&lt;=3,6,IF(E2022&lt;=6,5,IF(E2022&lt;=9,4,IF(E2022&lt;=12,3,IF(E2022&lt;=15,2,0))))))</f>
        <v/>
      </c>
      <c r="G2022" s="3" t="n"/>
      <c r="H2022" s="4">
        <f>IF(I2022="Штраф -2",-2,IF(OR(F2022="",G2022=""),"",F2022*G2022+IF(J2022="",0,J2022)))</f>
        <v/>
      </c>
      <c r="I2022" s="3" t="n"/>
      <c r="J2022" s="3" t="n"/>
      <c r="K2022" s="3" t="n"/>
    </row>
    <row r="2023">
      <c r="A2023" s="3" t="n"/>
      <c r="B2023" s="3" t="n"/>
      <c r="C2023" s="3" t="n"/>
      <c r="D2023" s="3" t="n"/>
      <c r="E2023" s="4">
        <f>IF(A2023="","",COUNTIFS($A$4:A2023,A2023,$I$4:I2023,"&lt;&gt;Штраф -2",$I$4:I2023,"&lt;&gt;ушел на базу"))</f>
        <v/>
      </c>
      <c r="F2023" s="4">
        <f>IF(E2023="","",IF(E2023&lt;=3,6,IF(E2023&lt;=6,5,IF(E2023&lt;=9,4,IF(E2023&lt;=12,3,IF(E2023&lt;=15,2,0))))))</f>
        <v/>
      </c>
      <c r="G2023" s="3" t="n"/>
      <c r="H2023" s="4">
        <f>IF(I2023="Штраф -2",-2,IF(OR(F2023="",G2023=""),"",F2023*G2023+IF(J2023="",0,J2023)))</f>
        <v/>
      </c>
      <c r="I2023" s="3" t="n"/>
      <c r="J2023" s="3" t="n"/>
      <c r="K2023" s="3" t="n"/>
    </row>
    <row r="2024">
      <c r="A2024" s="3" t="n"/>
      <c r="B2024" s="3" t="n"/>
      <c r="C2024" s="3" t="n"/>
      <c r="D2024" s="3" t="n"/>
      <c r="E2024" s="4">
        <f>IF(A2024="","",COUNTIFS($A$4:A2024,A2024,$I$4:I2024,"&lt;&gt;Штраф -2",$I$4:I2024,"&lt;&gt;ушел на базу"))</f>
        <v/>
      </c>
      <c r="F2024" s="4">
        <f>IF(E2024="","",IF(E2024&lt;=3,6,IF(E2024&lt;=6,5,IF(E2024&lt;=9,4,IF(E2024&lt;=12,3,IF(E2024&lt;=15,2,0))))))</f>
        <v/>
      </c>
      <c r="G2024" s="3" t="n"/>
      <c r="H2024" s="4">
        <f>IF(I2024="Штраф -2",-2,IF(OR(F2024="",G2024=""),"",F2024*G2024+IF(J2024="",0,J2024)))</f>
        <v/>
      </c>
      <c r="I2024" s="3" t="n"/>
      <c r="J2024" s="3" t="n"/>
      <c r="K2024" s="3" t="n"/>
    </row>
    <row r="2025">
      <c r="A2025" s="3" t="n"/>
      <c r="B2025" s="3" t="n"/>
      <c r="C2025" s="3" t="n"/>
      <c r="D2025" s="3" t="n"/>
      <c r="E2025" s="4">
        <f>IF(A2025="","",COUNTIFS($A$4:A2025,A2025,$I$4:I2025,"&lt;&gt;Штраф -2",$I$4:I2025,"&lt;&gt;ушел на базу"))</f>
        <v/>
      </c>
      <c r="F2025" s="4">
        <f>IF(E2025="","",IF(E2025&lt;=3,6,IF(E2025&lt;=6,5,IF(E2025&lt;=9,4,IF(E2025&lt;=12,3,IF(E2025&lt;=15,2,0))))))</f>
        <v/>
      </c>
      <c r="G2025" s="3" t="n"/>
      <c r="H2025" s="4">
        <f>IF(I2025="Штраф -2",-2,IF(OR(F2025="",G2025=""),"",F2025*G2025+IF(J2025="",0,J2025)))</f>
        <v/>
      </c>
      <c r="I2025" s="3" t="n"/>
      <c r="J2025" s="3" t="n"/>
      <c r="K2025" s="3" t="n"/>
    </row>
    <row r="2026">
      <c r="A2026" s="3" t="n"/>
      <c r="B2026" s="3" t="n"/>
      <c r="C2026" s="3" t="n"/>
      <c r="D2026" s="3" t="n"/>
      <c r="E2026" s="4">
        <f>IF(A2026="","",COUNTIFS($A$4:A2026,A2026,$I$4:I2026,"&lt;&gt;Штраф -2",$I$4:I2026,"&lt;&gt;ушел на базу"))</f>
        <v/>
      </c>
      <c r="F2026" s="4">
        <f>IF(E2026="","",IF(E2026&lt;=3,6,IF(E2026&lt;=6,5,IF(E2026&lt;=9,4,IF(E2026&lt;=12,3,IF(E2026&lt;=15,2,0))))))</f>
        <v/>
      </c>
      <c r="G2026" s="3" t="n"/>
      <c r="H2026" s="4">
        <f>IF(I2026="Штраф -2",-2,IF(OR(F2026="",G2026=""),"",F2026*G2026+IF(J2026="",0,J2026)))</f>
        <v/>
      </c>
      <c r="I2026" s="3" t="n"/>
      <c r="J2026" s="3" t="n"/>
      <c r="K2026" s="3" t="n"/>
    </row>
    <row r="2027">
      <c r="A2027" s="3" t="n"/>
      <c r="B2027" s="3" t="n"/>
      <c r="C2027" s="3" t="n"/>
      <c r="D2027" s="3" t="n"/>
      <c r="E2027" s="4">
        <f>IF(A2027="","",COUNTIFS($A$4:A2027,A2027,$I$4:I2027,"&lt;&gt;Штраф -2",$I$4:I2027,"&lt;&gt;ушел на базу"))</f>
        <v/>
      </c>
      <c r="F2027" s="4">
        <f>IF(E2027="","",IF(E2027&lt;=3,6,IF(E2027&lt;=6,5,IF(E2027&lt;=9,4,IF(E2027&lt;=12,3,IF(E2027&lt;=15,2,0))))))</f>
        <v/>
      </c>
      <c r="G2027" s="3" t="n"/>
      <c r="H2027" s="4">
        <f>IF(I2027="Штраф -2",-2,IF(OR(F2027="",G2027=""),"",F2027*G2027+IF(J2027="",0,J2027)))</f>
        <v/>
      </c>
      <c r="I2027" s="3" t="n"/>
      <c r="J2027" s="3" t="n"/>
      <c r="K2027" s="3" t="n"/>
    </row>
    <row r="2028">
      <c r="A2028" s="3" t="n"/>
      <c r="B2028" s="3" t="n"/>
      <c r="C2028" s="3" t="n"/>
      <c r="D2028" s="3" t="n"/>
      <c r="E2028" s="4">
        <f>IF(A2028="","",COUNTIFS($A$4:A2028,A2028,$I$4:I2028,"&lt;&gt;Штраф -2",$I$4:I2028,"&lt;&gt;ушел на базу"))</f>
        <v/>
      </c>
      <c r="F2028" s="4">
        <f>IF(E2028="","",IF(E2028&lt;=3,6,IF(E2028&lt;=6,5,IF(E2028&lt;=9,4,IF(E2028&lt;=12,3,IF(E2028&lt;=15,2,0))))))</f>
        <v/>
      </c>
      <c r="G2028" s="3" t="n"/>
      <c r="H2028" s="4">
        <f>IF(I2028="Штраф -2",-2,IF(OR(F2028="",G2028=""),"",F2028*G2028+IF(J2028="",0,J2028)))</f>
        <v/>
      </c>
      <c r="I2028" s="3" t="n"/>
      <c r="J2028" s="3" t="n"/>
      <c r="K2028" s="3" t="n"/>
    </row>
    <row r="2029">
      <c r="A2029" s="3" t="n"/>
      <c r="B2029" s="3" t="n"/>
      <c r="C2029" s="3" t="n"/>
      <c r="D2029" s="3" t="n"/>
      <c r="E2029" s="4">
        <f>IF(A2029="","",COUNTIFS($A$4:A2029,A2029,$I$4:I2029,"&lt;&gt;Штраф -2",$I$4:I2029,"&lt;&gt;ушел на базу"))</f>
        <v/>
      </c>
      <c r="F2029" s="4">
        <f>IF(E2029="","",IF(E2029&lt;=3,6,IF(E2029&lt;=6,5,IF(E2029&lt;=9,4,IF(E2029&lt;=12,3,IF(E2029&lt;=15,2,0))))))</f>
        <v/>
      </c>
      <c r="G2029" s="3" t="n"/>
      <c r="H2029" s="4">
        <f>IF(I2029="Штраф -2",-2,IF(OR(F2029="",G2029=""),"",F2029*G2029+IF(J2029="",0,J2029)))</f>
        <v/>
      </c>
      <c r="I2029" s="3" t="n"/>
      <c r="J2029" s="3" t="n"/>
      <c r="K2029" s="3" t="n"/>
    </row>
    <row r="2030">
      <c r="A2030" s="3" t="n"/>
      <c r="B2030" s="3" t="n"/>
      <c r="C2030" s="3" t="n"/>
      <c r="D2030" s="3" t="n"/>
      <c r="E2030" s="4">
        <f>IF(A2030="","",COUNTIFS($A$4:A2030,A2030,$I$4:I2030,"&lt;&gt;Штраф -2",$I$4:I2030,"&lt;&gt;ушел на базу"))</f>
        <v/>
      </c>
      <c r="F2030" s="4">
        <f>IF(E2030="","",IF(E2030&lt;=3,6,IF(E2030&lt;=6,5,IF(E2030&lt;=9,4,IF(E2030&lt;=12,3,IF(E2030&lt;=15,2,0))))))</f>
        <v/>
      </c>
      <c r="G2030" s="3" t="n"/>
      <c r="H2030" s="4">
        <f>IF(I2030="Штраф -2",-2,IF(OR(F2030="",G2030=""),"",F2030*G2030+IF(J2030="",0,J2030)))</f>
        <v/>
      </c>
      <c r="I2030" s="3" t="n"/>
      <c r="J2030" s="3" t="n"/>
      <c r="K2030" s="3" t="n"/>
    </row>
    <row r="2031">
      <c r="A2031" s="3" t="n"/>
      <c r="B2031" s="3" t="n"/>
      <c r="C2031" s="3" t="n"/>
      <c r="D2031" s="3" t="n"/>
      <c r="E2031" s="4">
        <f>IF(A2031="","",COUNTIFS($A$4:A2031,A2031,$I$4:I2031,"&lt;&gt;Штраф -2",$I$4:I2031,"&lt;&gt;ушел на базу"))</f>
        <v/>
      </c>
      <c r="F2031" s="4">
        <f>IF(E2031="","",IF(E2031&lt;=3,6,IF(E2031&lt;=6,5,IF(E2031&lt;=9,4,IF(E2031&lt;=12,3,IF(E2031&lt;=15,2,0))))))</f>
        <v/>
      </c>
      <c r="G2031" s="3" t="n"/>
      <c r="H2031" s="4">
        <f>IF(I2031="Штраф -2",-2,IF(OR(F2031="",G2031=""),"",F2031*G2031+IF(J2031="",0,J2031)))</f>
        <v/>
      </c>
      <c r="I2031" s="3" t="n"/>
      <c r="J2031" s="3" t="n"/>
      <c r="K2031" s="3" t="n"/>
    </row>
    <row r="2032">
      <c r="A2032" s="3" t="n"/>
      <c r="B2032" s="3" t="n"/>
      <c r="C2032" s="3" t="n"/>
      <c r="D2032" s="3" t="n"/>
      <c r="E2032" s="4">
        <f>IF(A2032="","",COUNTIFS($A$4:A2032,A2032,$I$4:I2032,"&lt;&gt;Штраф -2",$I$4:I2032,"&lt;&gt;ушел на базу"))</f>
        <v/>
      </c>
      <c r="F2032" s="4">
        <f>IF(E2032="","",IF(E2032&lt;=3,6,IF(E2032&lt;=6,5,IF(E2032&lt;=9,4,IF(E2032&lt;=12,3,IF(E2032&lt;=15,2,0))))))</f>
        <v/>
      </c>
      <c r="G2032" s="3" t="n"/>
      <c r="H2032" s="4">
        <f>IF(I2032="Штраф -2",-2,IF(OR(F2032="",G2032=""),"",F2032*G2032+IF(J2032="",0,J2032)))</f>
        <v/>
      </c>
      <c r="I2032" s="3" t="n"/>
      <c r="J2032" s="3" t="n"/>
      <c r="K2032" s="3" t="n"/>
    </row>
    <row r="2033">
      <c r="A2033" s="3" t="n"/>
      <c r="B2033" s="3" t="n"/>
      <c r="C2033" s="3" t="n"/>
      <c r="D2033" s="3" t="n"/>
      <c r="E2033" s="4">
        <f>IF(A2033="","",COUNTIFS($A$4:A2033,A2033,$I$4:I2033,"&lt;&gt;Штраф -2",$I$4:I2033,"&lt;&gt;ушел на базу"))</f>
        <v/>
      </c>
      <c r="F2033" s="4">
        <f>IF(E2033="","",IF(E2033&lt;=3,6,IF(E2033&lt;=6,5,IF(E2033&lt;=9,4,IF(E2033&lt;=12,3,IF(E2033&lt;=15,2,0))))))</f>
        <v/>
      </c>
      <c r="G2033" s="3" t="n"/>
      <c r="H2033" s="4">
        <f>IF(I2033="Штраф -2",-2,IF(OR(F2033="",G2033=""),"",F2033*G2033+IF(J2033="",0,J2033)))</f>
        <v/>
      </c>
      <c r="I2033" s="3" t="n"/>
      <c r="J2033" s="3" t="n"/>
      <c r="K2033" s="3" t="n"/>
    </row>
    <row r="2034">
      <c r="A2034" s="3" t="n"/>
      <c r="B2034" s="3" t="n"/>
      <c r="C2034" s="3" t="n"/>
      <c r="D2034" s="3" t="n"/>
      <c r="E2034" s="4">
        <f>IF(A2034="","",COUNTIFS($A$4:A2034,A2034,$I$4:I2034,"&lt;&gt;Штраф -2",$I$4:I2034,"&lt;&gt;ушел на базу"))</f>
        <v/>
      </c>
      <c r="F2034" s="4">
        <f>IF(E2034="","",IF(E2034&lt;=3,6,IF(E2034&lt;=6,5,IF(E2034&lt;=9,4,IF(E2034&lt;=12,3,IF(E2034&lt;=15,2,0))))))</f>
        <v/>
      </c>
      <c r="G2034" s="3" t="n"/>
      <c r="H2034" s="4">
        <f>IF(I2034="Штраф -2",-2,IF(OR(F2034="",G2034=""),"",F2034*G2034+IF(J2034="",0,J2034)))</f>
        <v/>
      </c>
      <c r="I2034" s="3" t="n"/>
      <c r="J2034" s="3" t="n"/>
      <c r="K2034" s="3" t="n"/>
    </row>
    <row r="2035">
      <c r="A2035" s="3" t="n"/>
      <c r="B2035" s="3" t="n"/>
      <c r="C2035" s="3" t="n"/>
      <c r="D2035" s="3" t="n"/>
      <c r="E2035" s="4">
        <f>IF(A2035="","",COUNTIFS($A$4:A2035,A2035,$I$4:I2035,"&lt;&gt;Штраф -2",$I$4:I2035,"&lt;&gt;ушел на базу"))</f>
        <v/>
      </c>
      <c r="F2035" s="4">
        <f>IF(E2035="","",IF(E2035&lt;=3,6,IF(E2035&lt;=6,5,IF(E2035&lt;=9,4,IF(E2035&lt;=12,3,IF(E2035&lt;=15,2,0))))))</f>
        <v/>
      </c>
      <c r="G2035" s="3" t="n"/>
      <c r="H2035" s="4">
        <f>IF(I2035="Штраф -2",-2,IF(OR(F2035="",G2035=""),"",F2035*G2035+IF(J2035="",0,J2035)))</f>
        <v/>
      </c>
      <c r="I2035" s="3" t="n"/>
      <c r="J2035" s="3" t="n"/>
      <c r="K2035" s="3" t="n"/>
    </row>
    <row r="2036">
      <c r="A2036" s="3" t="n"/>
      <c r="B2036" s="3" t="n"/>
      <c r="C2036" s="3" t="n"/>
      <c r="D2036" s="3" t="n"/>
      <c r="E2036" s="4">
        <f>IF(A2036="","",COUNTIFS($A$4:A2036,A2036,$I$4:I2036,"&lt;&gt;Штраф -2",$I$4:I2036,"&lt;&gt;ушел на базу"))</f>
        <v/>
      </c>
      <c r="F2036" s="4">
        <f>IF(E2036="","",IF(E2036&lt;=3,6,IF(E2036&lt;=6,5,IF(E2036&lt;=9,4,IF(E2036&lt;=12,3,IF(E2036&lt;=15,2,0))))))</f>
        <v/>
      </c>
      <c r="G2036" s="3" t="n"/>
      <c r="H2036" s="4">
        <f>IF(I2036="Штраф -2",-2,IF(OR(F2036="",G2036=""),"",F2036*G2036+IF(J2036="",0,J2036)))</f>
        <v/>
      </c>
      <c r="I2036" s="3" t="n"/>
      <c r="J2036" s="3" t="n"/>
      <c r="K2036" s="3" t="n"/>
    </row>
    <row r="2037">
      <c r="A2037" s="3" t="n"/>
      <c r="B2037" s="3" t="n"/>
      <c r="C2037" s="3" t="n"/>
      <c r="D2037" s="3" t="n"/>
      <c r="E2037" s="4">
        <f>IF(A2037="","",COUNTIFS($A$4:A2037,A2037,$I$4:I2037,"&lt;&gt;Штраф -2",$I$4:I2037,"&lt;&gt;ушел на базу"))</f>
        <v/>
      </c>
      <c r="F2037" s="4">
        <f>IF(E2037="","",IF(E2037&lt;=3,6,IF(E2037&lt;=6,5,IF(E2037&lt;=9,4,IF(E2037&lt;=12,3,IF(E2037&lt;=15,2,0))))))</f>
        <v/>
      </c>
      <c r="G2037" s="3" t="n"/>
      <c r="H2037" s="4">
        <f>IF(I2037="Штраф -2",-2,IF(OR(F2037="",G2037=""),"",F2037*G2037+IF(J2037="",0,J2037)))</f>
        <v/>
      </c>
      <c r="I2037" s="3" t="n"/>
      <c r="J2037" s="3" t="n"/>
      <c r="K2037" s="3" t="n"/>
    </row>
    <row r="2038">
      <c r="A2038" s="3" t="n"/>
      <c r="B2038" s="3" t="n"/>
      <c r="C2038" s="3" t="n"/>
      <c r="D2038" s="3" t="n"/>
      <c r="E2038" s="4">
        <f>IF(A2038="","",COUNTIFS($A$4:A2038,A2038,$I$4:I2038,"&lt;&gt;Штраф -2",$I$4:I2038,"&lt;&gt;ушел на базу"))</f>
        <v/>
      </c>
      <c r="F2038" s="4">
        <f>IF(E2038="","",IF(E2038&lt;=3,6,IF(E2038&lt;=6,5,IF(E2038&lt;=9,4,IF(E2038&lt;=12,3,IF(E2038&lt;=15,2,0))))))</f>
        <v/>
      </c>
      <c r="G2038" s="3" t="n"/>
      <c r="H2038" s="4">
        <f>IF(I2038="Штраф -2",-2,IF(OR(F2038="",G2038=""),"",F2038*G2038+IF(J2038="",0,J2038)))</f>
        <v/>
      </c>
      <c r="I2038" s="3" t="n"/>
      <c r="J2038" s="3" t="n"/>
      <c r="K2038" s="3" t="n"/>
    </row>
    <row r="2039">
      <c r="A2039" s="3" t="n"/>
      <c r="B2039" s="3" t="n"/>
      <c r="C2039" s="3" t="n"/>
      <c r="D2039" s="3" t="n"/>
      <c r="E2039" s="4">
        <f>IF(A2039="","",COUNTIFS($A$4:A2039,A2039,$I$4:I2039,"&lt;&gt;Штраф -2",$I$4:I2039,"&lt;&gt;ушел на базу"))</f>
        <v/>
      </c>
      <c r="F2039" s="4">
        <f>IF(E2039="","",IF(E2039&lt;=3,6,IF(E2039&lt;=6,5,IF(E2039&lt;=9,4,IF(E2039&lt;=12,3,IF(E2039&lt;=15,2,0))))))</f>
        <v/>
      </c>
      <c r="G2039" s="3" t="n"/>
      <c r="H2039" s="4">
        <f>IF(I2039="Штраф -2",-2,IF(OR(F2039="",G2039=""),"",F2039*G2039+IF(J2039="",0,J2039)))</f>
        <v/>
      </c>
      <c r="I2039" s="3" t="n"/>
      <c r="J2039" s="3" t="n"/>
      <c r="K2039" s="3" t="n"/>
    </row>
    <row r="2040">
      <c r="A2040" s="3" t="n"/>
      <c r="B2040" s="3" t="n"/>
      <c r="C2040" s="3" t="n"/>
      <c r="D2040" s="3" t="n"/>
      <c r="E2040" s="4">
        <f>IF(A2040="","",COUNTIFS($A$4:A2040,A2040,$I$4:I2040,"&lt;&gt;Штраф -2",$I$4:I2040,"&lt;&gt;ушел на базу"))</f>
        <v/>
      </c>
      <c r="F2040" s="4">
        <f>IF(E2040="","",IF(E2040&lt;=3,6,IF(E2040&lt;=6,5,IF(E2040&lt;=9,4,IF(E2040&lt;=12,3,IF(E2040&lt;=15,2,0))))))</f>
        <v/>
      </c>
      <c r="G2040" s="3" t="n"/>
      <c r="H2040" s="4">
        <f>IF(I2040="Штраф -2",-2,IF(OR(F2040="",G2040=""),"",F2040*G2040+IF(J2040="",0,J2040)))</f>
        <v/>
      </c>
      <c r="I2040" s="3" t="n"/>
      <c r="J2040" s="3" t="n"/>
      <c r="K2040" s="3" t="n"/>
    </row>
    <row r="2041">
      <c r="A2041" s="3" t="n"/>
      <c r="B2041" s="3" t="n"/>
      <c r="C2041" s="3" t="n"/>
      <c r="D2041" s="3" t="n"/>
      <c r="E2041" s="4">
        <f>IF(A2041="","",COUNTIFS($A$4:A2041,A2041,$I$4:I2041,"&lt;&gt;Штраф -2",$I$4:I2041,"&lt;&gt;ушел на базу"))</f>
        <v/>
      </c>
      <c r="F2041" s="4">
        <f>IF(E2041="","",IF(E2041&lt;=3,6,IF(E2041&lt;=6,5,IF(E2041&lt;=9,4,IF(E2041&lt;=12,3,IF(E2041&lt;=15,2,0))))))</f>
        <v/>
      </c>
      <c r="G2041" s="3" t="n"/>
      <c r="H2041" s="4">
        <f>IF(I2041="Штраф -2",-2,IF(OR(F2041="",G2041=""),"",F2041*G2041+IF(J2041="",0,J2041)))</f>
        <v/>
      </c>
      <c r="I2041" s="3" t="n"/>
      <c r="J2041" s="3" t="n"/>
      <c r="K2041" s="3" t="n"/>
    </row>
    <row r="2042">
      <c r="A2042" s="3" t="n"/>
      <c r="B2042" s="3" t="n"/>
      <c r="C2042" s="3" t="n"/>
      <c r="D2042" s="3" t="n"/>
      <c r="E2042" s="4">
        <f>IF(A2042="","",COUNTIFS($A$4:A2042,A2042,$I$4:I2042,"&lt;&gt;Штраф -2",$I$4:I2042,"&lt;&gt;ушел на базу"))</f>
        <v/>
      </c>
      <c r="F2042" s="4">
        <f>IF(E2042="","",IF(E2042&lt;=3,6,IF(E2042&lt;=6,5,IF(E2042&lt;=9,4,IF(E2042&lt;=12,3,IF(E2042&lt;=15,2,0))))))</f>
        <v/>
      </c>
      <c r="G2042" s="3" t="n"/>
      <c r="H2042" s="4">
        <f>IF(I2042="Штраф -2",-2,IF(OR(F2042="",G2042=""),"",F2042*G2042+IF(J2042="",0,J2042)))</f>
        <v/>
      </c>
      <c r="I2042" s="3" t="n"/>
      <c r="J2042" s="3" t="n"/>
      <c r="K2042" s="3" t="n"/>
    </row>
    <row r="2043">
      <c r="A2043" s="3" t="n"/>
      <c r="B2043" s="3" t="n"/>
      <c r="C2043" s="3" t="n"/>
      <c r="D2043" s="3" t="n"/>
      <c r="E2043" s="4">
        <f>IF(A2043="","",COUNTIFS($A$4:A2043,A2043,$I$4:I2043,"&lt;&gt;Штраф -2",$I$4:I2043,"&lt;&gt;ушел на базу"))</f>
        <v/>
      </c>
      <c r="F2043" s="4">
        <f>IF(E2043="","",IF(E2043&lt;=3,6,IF(E2043&lt;=6,5,IF(E2043&lt;=9,4,IF(E2043&lt;=12,3,IF(E2043&lt;=15,2,0))))))</f>
        <v/>
      </c>
      <c r="G2043" s="3" t="n"/>
      <c r="H2043" s="4">
        <f>IF(I2043="Штраф -2",-2,IF(OR(F2043="",G2043=""),"",F2043*G2043+IF(J2043="",0,J2043)))</f>
        <v/>
      </c>
      <c r="I2043" s="3" t="n"/>
      <c r="J2043" s="3" t="n"/>
      <c r="K2043" s="3" t="n"/>
    </row>
    <row r="2044">
      <c r="A2044" s="3" t="n"/>
      <c r="B2044" s="3" t="n"/>
      <c r="C2044" s="3" t="n"/>
      <c r="D2044" s="3" t="n"/>
      <c r="E2044" s="4">
        <f>IF(A2044="","",COUNTIFS($A$4:A2044,A2044,$I$4:I2044,"&lt;&gt;Штраф -2",$I$4:I2044,"&lt;&gt;ушел на базу"))</f>
        <v/>
      </c>
      <c r="F2044" s="4">
        <f>IF(E2044="","",IF(E2044&lt;=3,6,IF(E2044&lt;=6,5,IF(E2044&lt;=9,4,IF(E2044&lt;=12,3,IF(E2044&lt;=15,2,0))))))</f>
        <v/>
      </c>
      <c r="G2044" s="3" t="n"/>
      <c r="H2044" s="4">
        <f>IF(I2044="Штраф -2",-2,IF(OR(F2044="",G2044=""),"",F2044*G2044+IF(J2044="",0,J2044)))</f>
        <v/>
      </c>
      <c r="I2044" s="3" t="n"/>
      <c r="J2044" s="3" t="n"/>
      <c r="K2044" s="3" t="n"/>
    </row>
    <row r="2045">
      <c r="A2045" s="3" t="n"/>
      <c r="B2045" s="3" t="n"/>
      <c r="C2045" s="3" t="n"/>
      <c r="D2045" s="3" t="n"/>
      <c r="E2045" s="4">
        <f>IF(A2045="","",COUNTIFS($A$4:A2045,A2045,$I$4:I2045,"&lt;&gt;Штраф -2",$I$4:I2045,"&lt;&gt;ушел на базу"))</f>
        <v/>
      </c>
      <c r="F2045" s="4">
        <f>IF(E2045="","",IF(E2045&lt;=3,6,IF(E2045&lt;=6,5,IF(E2045&lt;=9,4,IF(E2045&lt;=12,3,IF(E2045&lt;=15,2,0))))))</f>
        <v/>
      </c>
      <c r="G2045" s="3" t="n"/>
      <c r="H2045" s="4">
        <f>IF(I2045="Штраф -2",-2,IF(OR(F2045="",G2045=""),"",F2045*G2045+IF(J2045="",0,J2045)))</f>
        <v/>
      </c>
      <c r="I2045" s="3" t="n"/>
      <c r="J2045" s="3" t="n"/>
      <c r="K2045" s="3" t="n"/>
    </row>
    <row r="2046">
      <c r="A2046" s="3" t="n"/>
      <c r="B2046" s="3" t="n"/>
      <c r="C2046" s="3" t="n"/>
      <c r="D2046" s="3" t="n"/>
      <c r="E2046" s="4">
        <f>IF(A2046="","",COUNTIFS($A$4:A2046,A2046,$I$4:I2046,"&lt;&gt;Штраф -2",$I$4:I2046,"&lt;&gt;ушел на базу"))</f>
        <v/>
      </c>
      <c r="F2046" s="4">
        <f>IF(E2046="","",IF(E2046&lt;=3,6,IF(E2046&lt;=6,5,IF(E2046&lt;=9,4,IF(E2046&lt;=12,3,IF(E2046&lt;=15,2,0))))))</f>
        <v/>
      </c>
      <c r="G2046" s="3" t="n"/>
      <c r="H2046" s="4">
        <f>IF(I2046="Штраф -2",-2,IF(OR(F2046="",G2046=""),"",F2046*G2046+IF(J2046="",0,J2046)))</f>
        <v/>
      </c>
      <c r="I2046" s="3" t="n"/>
      <c r="J2046" s="3" t="n"/>
      <c r="K2046" s="3" t="n"/>
    </row>
    <row r="2047">
      <c r="A2047" s="3" t="n"/>
      <c r="B2047" s="3" t="n"/>
      <c r="C2047" s="3" t="n"/>
      <c r="D2047" s="3" t="n"/>
      <c r="E2047" s="4">
        <f>IF(A2047="","",COUNTIFS($A$4:A2047,A2047,$I$4:I2047,"&lt;&gt;Штраф -2",$I$4:I2047,"&lt;&gt;ушел на базу"))</f>
        <v/>
      </c>
      <c r="F2047" s="4">
        <f>IF(E2047="","",IF(E2047&lt;=3,6,IF(E2047&lt;=6,5,IF(E2047&lt;=9,4,IF(E2047&lt;=12,3,IF(E2047&lt;=15,2,0))))))</f>
        <v/>
      </c>
      <c r="G2047" s="3" t="n"/>
      <c r="H2047" s="4">
        <f>IF(I2047="Штраф -2",-2,IF(OR(F2047="",G2047=""),"",F2047*G2047+IF(J2047="",0,J2047)))</f>
        <v/>
      </c>
      <c r="I2047" s="3" t="n"/>
      <c r="J2047" s="3" t="n"/>
      <c r="K2047" s="3" t="n"/>
    </row>
    <row r="2048">
      <c r="A2048" s="3" t="n"/>
      <c r="B2048" s="3" t="n"/>
      <c r="C2048" s="3" t="n"/>
      <c r="D2048" s="3" t="n"/>
      <c r="E2048" s="4">
        <f>IF(A2048="","",COUNTIFS($A$4:A2048,A2048,$I$4:I2048,"&lt;&gt;Штраф -2",$I$4:I2048,"&lt;&gt;ушел на базу"))</f>
        <v/>
      </c>
      <c r="F2048" s="4">
        <f>IF(E2048="","",IF(E2048&lt;=3,6,IF(E2048&lt;=6,5,IF(E2048&lt;=9,4,IF(E2048&lt;=12,3,IF(E2048&lt;=15,2,0))))))</f>
        <v/>
      </c>
      <c r="G2048" s="3" t="n"/>
      <c r="H2048" s="4">
        <f>IF(I2048="Штраф -2",-2,IF(OR(F2048="",G2048=""),"",F2048*G2048+IF(J2048="",0,J2048)))</f>
        <v/>
      </c>
      <c r="I2048" s="3" t="n"/>
      <c r="J2048" s="3" t="n"/>
      <c r="K2048" s="3" t="n"/>
    </row>
    <row r="2049">
      <c r="A2049" s="3" t="n"/>
      <c r="B2049" s="3" t="n"/>
      <c r="C2049" s="3" t="n"/>
      <c r="D2049" s="3" t="n"/>
      <c r="E2049" s="4">
        <f>IF(A2049="","",COUNTIFS($A$4:A2049,A2049,$I$4:I2049,"&lt;&gt;Штраф -2",$I$4:I2049,"&lt;&gt;ушел на базу"))</f>
        <v/>
      </c>
      <c r="F2049" s="4">
        <f>IF(E2049="","",IF(E2049&lt;=3,6,IF(E2049&lt;=6,5,IF(E2049&lt;=9,4,IF(E2049&lt;=12,3,IF(E2049&lt;=15,2,0))))))</f>
        <v/>
      </c>
      <c r="G2049" s="3" t="n"/>
      <c r="H2049" s="4">
        <f>IF(I2049="Штраф -2",-2,IF(OR(F2049="",G2049=""),"",F2049*G2049+IF(J2049="",0,J2049)))</f>
        <v/>
      </c>
      <c r="I2049" s="3" t="n"/>
      <c r="J2049" s="3" t="n"/>
      <c r="K2049" s="3" t="n"/>
    </row>
    <row r="2050">
      <c r="A2050" s="3" t="n"/>
      <c r="B2050" s="3" t="n"/>
      <c r="C2050" s="3" t="n"/>
      <c r="D2050" s="3" t="n"/>
      <c r="E2050" s="4">
        <f>IF(A2050="","",COUNTIFS($A$4:A2050,A2050,$I$4:I2050,"&lt;&gt;Штраф -2",$I$4:I2050,"&lt;&gt;ушел на базу"))</f>
        <v/>
      </c>
      <c r="F2050" s="4">
        <f>IF(E2050="","",IF(E2050&lt;=3,6,IF(E2050&lt;=6,5,IF(E2050&lt;=9,4,IF(E2050&lt;=12,3,IF(E2050&lt;=15,2,0))))))</f>
        <v/>
      </c>
      <c r="G2050" s="3" t="n"/>
      <c r="H2050" s="4">
        <f>IF(I2050="Штраф -2",-2,IF(OR(F2050="",G2050=""),"",F2050*G2050+IF(J2050="",0,J2050)))</f>
        <v/>
      </c>
      <c r="I2050" s="3" t="n"/>
      <c r="J2050" s="3" t="n"/>
      <c r="K2050" s="3" t="n"/>
    </row>
    <row r="2051">
      <c r="A2051" s="3" t="n"/>
      <c r="B2051" s="3" t="n"/>
      <c r="C2051" s="3" t="n"/>
      <c r="D2051" s="3" t="n"/>
      <c r="E2051" s="4">
        <f>IF(A2051="","",COUNTIFS($A$4:A2051,A2051,$I$4:I2051,"&lt;&gt;Штраф -2",$I$4:I2051,"&lt;&gt;ушел на базу"))</f>
        <v/>
      </c>
      <c r="F2051" s="4">
        <f>IF(E2051="","",IF(E2051&lt;=3,6,IF(E2051&lt;=6,5,IF(E2051&lt;=9,4,IF(E2051&lt;=12,3,IF(E2051&lt;=15,2,0))))))</f>
        <v/>
      </c>
      <c r="G2051" s="3" t="n"/>
      <c r="H2051" s="4">
        <f>IF(I2051="Штраф -2",-2,IF(OR(F2051="",G2051=""),"",F2051*G2051+IF(J2051="",0,J2051)))</f>
        <v/>
      </c>
      <c r="I2051" s="3" t="n"/>
      <c r="J2051" s="3" t="n"/>
      <c r="K2051" s="3" t="n"/>
    </row>
    <row r="2052">
      <c r="A2052" s="3" t="n"/>
      <c r="B2052" s="3" t="n"/>
      <c r="C2052" s="3" t="n"/>
      <c r="D2052" s="3" t="n"/>
      <c r="E2052" s="4">
        <f>IF(A2052="","",COUNTIFS($A$4:A2052,A2052,$I$4:I2052,"&lt;&gt;Штраф -2",$I$4:I2052,"&lt;&gt;ушел на базу"))</f>
        <v/>
      </c>
      <c r="F2052" s="4">
        <f>IF(E2052="","",IF(E2052&lt;=3,6,IF(E2052&lt;=6,5,IF(E2052&lt;=9,4,IF(E2052&lt;=12,3,IF(E2052&lt;=15,2,0))))))</f>
        <v/>
      </c>
      <c r="G2052" s="3" t="n"/>
      <c r="H2052" s="4">
        <f>IF(I2052="Штраф -2",-2,IF(OR(F2052="",G2052=""),"",F2052*G2052+IF(J2052="",0,J2052)))</f>
        <v/>
      </c>
      <c r="I2052" s="3" t="n"/>
      <c r="J2052" s="3" t="n"/>
      <c r="K2052" s="3" t="n"/>
    </row>
    <row r="2053">
      <c r="A2053" s="3" t="n"/>
      <c r="B2053" s="3" t="n"/>
      <c r="C2053" s="3" t="n"/>
      <c r="D2053" s="3" t="n"/>
      <c r="E2053" s="4">
        <f>IF(A2053="","",COUNTIFS($A$4:A2053,A2053,$I$4:I2053,"&lt;&gt;Штраф -2",$I$4:I2053,"&lt;&gt;ушел на базу"))</f>
        <v/>
      </c>
      <c r="F2053" s="4">
        <f>IF(E2053="","",IF(E2053&lt;=3,6,IF(E2053&lt;=6,5,IF(E2053&lt;=9,4,IF(E2053&lt;=12,3,IF(E2053&lt;=15,2,0))))))</f>
        <v/>
      </c>
      <c r="G2053" s="3" t="n"/>
      <c r="H2053" s="4">
        <f>IF(I2053="Штраф -2",-2,IF(OR(F2053="",G2053=""),"",F2053*G2053+IF(J2053="",0,J2053)))</f>
        <v/>
      </c>
      <c r="I2053" s="3" t="n"/>
      <c r="J2053" s="3" t="n"/>
      <c r="K2053" s="3" t="n"/>
    </row>
    <row r="2054">
      <c r="A2054" s="3" t="n"/>
      <c r="B2054" s="3" t="n"/>
      <c r="C2054" s="3" t="n"/>
      <c r="D2054" s="3" t="n"/>
      <c r="E2054" s="4">
        <f>IF(A2054="","",COUNTIFS($A$4:A2054,A2054,$I$4:I2054,"&lt;&gt;Штраф -2",$I$4:I2054,"&lt;&gt;ушел на базу"))</f>
        <v/>
      </c>
      <c r="F2054" s="4">
        <f>IF(E2054="","",IF(E2054&lt;=3,6,IF(E2054&lt;=6,5,IF(E2054&lt;=9,4,IF(E2054&lt;=12,3,IF(E2054&lt;=15,2,0))))))</f>
        <v/>
      </c>
      <c r="G2054" s="3" t="n"/>
      <c r="H2054" s="4">
        <f>IF(I2054="Штраф -2",-2,IF(OR(F2054="",G2054=""),"",F2054*G2054+IF(J2054="",0,J2054)))</f>
        <v/>
      </c>
      <c r="I2054" s="3" t="n"/>
      <c r="J2054" s="3" t="n"/>
      <c r="K2054" s="3" t="n"/>
    </row>
    <row r="2055">
      <c r="A2055" s="3" t="n"/>
      <c r="B2055" s="3" t="n"/>
      <c r="C2055" s="3" t="n"/>
      <c r="D2055" s="3" t="n"/>
      <c r="E2055" s="4">
        <f>IF(A2055="","",COUNTIFS($A$4:A2055,A2055,$I$4:I2055,"&lt;&gt;Штраф -2",$I$4:I2055,"&lt;&gt;ушел на базу"))</f>
        <v/>
      </c>
      <c r="F2055" s="4">
        <f>IF(E2055="","",IF(E2055&lt;=3,6,IF(E2055&lt;=6,5,IF(E2055&lt;=9,4,IF(E2055&lt;=12,3,IF(E2055&lt;=15,2,0))))))</f>
        <v/>
      </c>
      <c r="G2055" s="3" t="n"/>
      <c r="H2055" s="4">
        <f>IF(I2055="Штраф -2",-2,IF(OR(F2055="",G2055=""),"",F2055*G2055+IF(J2055="",0,J2055)))</f>
        <v/>
      </c>
      <c r="I2055" s="3" t="n"/>
      <c r="J2055" s="3" t="n"/>
      <c r="K2055" s="3" t="n"/>
    </row>
    <row r="2056">
      <c r="A2056" s="3" t="n"/>
      <c r="B2056" s="3" t="n"/>
      <c r="C2056" s="3" t="n"/>
      <c r="D2056" s="3" t="n"/>
      <c r="E2056" s="4">
        <f>IF(A2056="","",COUNTIFS($A$4:A2056,A2056,$I$4:I2056,"&lt;&gt;Штраф -2",$I$4:I2056,"&lt;&gt;ушел на базу"))</f>
        <v/>
      </c>
      <c r="F2056" s="4">
        <f>IF(E2056="","",IF(E2056&lt;=3,6,IF(E2056&lt;=6,5,IF(E2056&lt;=9,4,IF(E2056&lt;=12,3,IF(E2056&lt;=15,2,0))))))</f>
        <v/>
      </c>
      <c r="G2056" s="3" t="n"/>
      <c r="H2056" s="4">
        <f>IF(I2056="Штраф -2",-2,IF(OR(F2056="",G2056=""),"",F2056*G2056+IF(J2056="",0,J2056)))</f>
        <v/>
      </c>
      <c r="I2056" s="3" t="n"/>
      <c r="J2056" s="3" t="n"/>
      <c r="K2056" s="3" t="n"/>
    </row>
    <row r="2057">
      <c r="A2057" s="3" t="n"/>
      <c r="B2057" s="3" t="n"/>
      <c r="C2057" s="3" t="n"/>
      <c r="D2057" s="3" t="n"/>
      <c r="E2057" s="4">
        <f>IF(A2057="","",COUNTIFS($A$4:A2057,A2057,$I$4:I2057,"&lt;&gt;Штраф -2",$I$4:I2057,"&lt;&gt;ушел на базу"))</f>
        <v/>
      </c>
      <c r="F2057" s="4">
        <f>IF(E2057="","",IF(E2057&lt;=3,6,IF(E2057&lt;=6,5,IF(E2057&lt;=9,4,IF(E2057&lt;=12,3,IF(E2057&lt;=15,2,0))))))</f>
        <v/>
      </c>
      <c r="G2057" s="3" t="n"/>
      <c r="H2057" s="4">
        <f>IF(I2057="Штраф -2",-2,IF(OR(F2057="",G2057=""),"",F2057*G2057+IF(J2057="",0,J2057)))</f>
        <v/>
      </c>
      <c r="I2057" s="3" t="n"/>
      <c r="J2057" s="3" t="n"/>
      <c r="K2057" s="3" t="n"/>
    </row>
    <row r="2058">
      <c r="A2058" s="3" t="n"/>
      <c r="B2058" s="3" t="n"/>
      <c r="C2058" s="3" t="n"/>
      <c r="D2058" s="3" t="n"/>
      <c r="E2058" s="4">
        <f>IF(A2058="","",COUNTIFS($A$4:A2058,A2058,$I$4:I2058,"&lt;&gt;Штраф -2",$I$4:I2058,"&lt;&gt;ушел на базу"))</f>
        <v/>
      </c>
      <c r="F2058" s="4">
        <f>IF(E2058="","",IF(E2058&lt;=3,6,IF(E2058&lt;=6,5,IF(E2058&lt;=9,4,IF(E2058&lt;=12,3,IF(E2058&lt;=15,2,0))))))</f>
        <v/>
      </c>
      <c r="G2058" s="3" t="n"/>
      <c r="H2058" s="4">
        <f>IF(I2058="Штраф -2",-2,IF(OR(F2058="",G2058=""),"",F2058*G2058+IF(J2058="",0,J2058)))</f>
        <v/>
      </c>
      <c r="I2058" s="3" t="n"/>
      <c r="J2058" s="3" t="n"/>
      <c r="K2058" s="3" t="n"/>
    </row>
    <row r="2059">
      <c r="A2059" s="3" t="n"/>
      <c r="B2059" s="3" t="n"/>
      <c r="C2059" s="3" t="n"/>
      <c r="D2059" s="3" t="n"/>
      <c r="E2059" s="4">
        <f>IF(A2059="","",COUNTIFS($A$4:A2059,A2059,$I$4:I2059,"&lt;&gt;Штраф -2",$I$4:I2059,"&lt;&gt;ушел на базу"))</f>
        <v/>
      </c>
      <c r="F2059" s="4">
        <f>IF(E2059="","",IF(E2059&lt;=3,6,IF(E2059&lt;=6,5,IF(E2059&lt;=9,4,IF(E2059&lt;=12,3,IF(E2059&lt;=15,2,0))))))</f>
        <v/>
      </c>
      <c r="G2059" s="3" t="n"/>
      <c r="H2059" s="4">
        <f>IF(I2059="Штраф -2",-2,IF(OR(F2059="",G2059=""),"",F2059*G2059+IF(J2059="",0,J2059)))</f>
        <v/>
      </c>
      <c r="I2059" s="3" t="n"/>
      <c r="J2059" s="3" t="n"/>
      <c r="K2059" s="3" t="n"/>
    </row>
    <row r="2060">
      <c r="A2060" s="3" t="n"/>
      <c r="B2060" s="3" t="n"/>
      <c r="C2060" s="3" t="n"/>
      <c r="D2060" s="3" t="n"/>
      <c r="E2060" s="4">
        <f>IF(A2060="","",COUNTIFS($A$4:A2060,A2060,$I$4:I2060,"&lt;&gt;Штраф -2",$I$4:I2060,"&lt;&gt;ушел на базу"))</f>
        <v/>
      </c>
      <c r="F2060" s="4">
        <f>IF(E2060="","",IF(E2060&lt;=3,6,IF(E2060&lt;=6,5,IF(E2060&lt;=9,4,IF(E2060&lt;=12,3,IF(E2060&lt;=15,2,0))))))</f>
        <v/>
      </c>
      <c r="G2060" s="3" t="n"/>
      <c r="H2060" s="4">
        <f>IF(I2060="Штраф -2",-2,IF(OR(F2060="",G2060=""),"",F2060*G2060+IF(J2060="",0,J2060)))</f>
        <v/>
      </c>
      <c r="I2060" s="3" t="n"/>
      <c r="J2060" s="3" t="n"/>
      <c r="K2060" s="3" t="n"/>
    </row>
    <row r="2061">
      <c r="A2061" s="3" t="n"/>
      <c r="B2061" s="3" t="n"/>
      <c r="C2061" s="3" t="n"/>
      <c r="D2061" s="3" t="n"/>
      <c r="E2061" s="4">
        <f>IF(A2061="","",COUNTIFS($A$4:A2061,A2061,$I$4:I2061,"&lt;&gt;Штраф -2",$I$4:I2061,"&lt;&gt;ушел на базу"))</f>
        <v/>
      </c>
      <c r="F2061" s="4">
        <f>IF(E2061="","",IF(E2061&lt;=3,6,IF(E2061&lt;=6,5,IF(E2061&lt;=9,4,IF(E2061&lt;=12,3,IF(E2061&lt;=15,2,0))))))</f>
        <v/>
      </c>
      <c r="G2061" s="3" t="n"/>
      <c r="H2061" s="4">
        <f>IF(I2061="Штраф -2",-2,IF(OR(F2061="",G2061=""),"",F2061*G2061+IF(J2061="",0,J2061)))</f>
        <v/>
      </c>
      <c r="I2061" s="3" t="n"/>
      <c r="J2061" s="3" t="n"/>
      <c r="K2061" s="3" t="n"/>
    </row>
    <row r="2062">
      <c r="A2062" s="3" t="n"/>
      <c r="B2062" s="3" t="n"/>
      <c r="C2062" s="3" t="n"/>
      <c r="D2062" s="3" t="n"/>
      <c r="E2062" s="4">
        <f>IF(A2062="","",COUNTIFS($A$4:A2062,A2062,$I$4:I2062,"&lt;&gt;Штраф -2",$I$4:I2062,"&lt;&gt;ушел на базу"))</f>
        <v/>
      </c>
      <c r="F2062" s="4">
        <f>IF(E2062="","",IF(E2062&lt;=3,6,IF(E2062&lt;=6,5,IF(E2062&lt;=9,4,IF(E2062&lt;=12,3,IF(E2062&lt;=15,2,0))))))</f>
        <v/>
      </c>
      <c r="G2062" s="3" t="n"/>
      <c r="H2062" s="4">
        <f>IF(I2062="Штраф -2",-2,IF(OR(F2062="",G2062=""),"",F2062*G2062+IF(J2062="",0,J2062)))</f>
        <v/>
      </c>
      <c r="I2062" s="3" t="n"/>
      <c r="J2062" s="3" t="n"/>
      <c r="K2062" s="3" t="n"/>
    </row>
    <row r="2063">
      <c r="A2063" s="3" t="n"/>
      <c r="B2063" s="3" t="n"/>
      <c r="C2063" s="3" t="n"/>
      <c r="D2063" s="3" t="n"/>
      <c r="E2063" s="4">
        <f>IF(A2063="","",COUNTIFS($A$4:A2063,A2063,$I$4:I2063,"&lt;&gt;Штраф -2",$I$4:I2063,"&lt;&gt;ушел на базу"))</f>
        <v/>
      </c>
      <c r="F2063" s="4">
        <f>IF(E2063="","",IF(E2063&lt;=3,6,IF(E2063&lt;=6,5,IF(E2063&lt;=9,4,IF(E2063&lt;=12,3,IF(E2063&lt;=15,2,0))))))</f>
        <v/>
      </c>
      <c r="G2063" s="3" t="n"/>
      <c r="H2063" s="4">
        <f>IF(I2063="Штраф -2",-2,IF(OR(F2063="",G2063=""),"",F2063*G2063+IF(J2063="",0,J2063)))</f>
        <v/>
      </c>
      <c r="I2063" s="3" t="n"/>
      <c r="J2063" s="3" t="n"/>
      <c r="K2063" s="3" t="n"/>
    </row>
    <row r="2064">
      <c r="A2064" s="3" t="n"/>
      <c r="B2064" s="3" t="n"/>
      <c r="C2064" s="3" t="n"/>
      <c r="D2064" s="3" t="n"/>
      <c r="E2064" s="4">
        <f>IF(A2064="","",COUNTIFS($A$4:A2064,A2064,$I$4:I2064,"&lt;&gt;Штраф -2",$I$4:I2064,"&lt;&gt;ушел на базу"))</f>
        <v/>
      </c>
      <c r="F2064" s="4">
        <f>IF(E2064="","",IF(E2064&lt;=3,6,IF(E2064&lt;=6,5,IF(E2064&lt;=9,4,IF(E2064&lt;=12,3,IF(E2064&lt;=15,2,0))))))</f>
        <v/>
      </c>
      <c r="G2064" s="3" t="n"/>
      <c r="H2064" s="4">
        <f>IF(I2064="Штраф -2",-2,IF(OR(F2064="",G2064=""),"",F2064*G2064+IF(J2064="",0,J2064)))</f>
        <v/>
      </c>
      <c r="I2064" s="3" t="n"/>
      <c r="J2064" s="3" t="n"/>
      <c r="K2064" s="3" t="n"/>
    </row>
    <row r="2065">
      <c r="A2065" s="3" t="n"/>
      <c r="B2065" s="3" t="n"/>
      <c r="C2065" s="3" t="n"/>
      <c r="D2065" s="3" t="n"/>
      <c r="E2065" s="4">
        <f>IF(A2065="","",COUNTIFS($A$4:A2065,A2065,$I$4:I2065,"&lt;&gt;Штраф -2",$I$4:I2065,"&lt;&gt;ушел на базу"))</f>
        <v/>
      </c>
      <c r="F2065" s="4">
        <f>IF(E2065="","",IF(E2065&lt;=3,6,IF(E2065&lt;=6,5,IF(E2065&lt;=9,4,IF(E2065&lt;=12,3,IF(E2065&lt;=15,2,0))))))</f>
        <v/>
      </c>
      <c r="G2065" s="3" t="n"/>
      <c r="H2065" s="4">
        <f>IF(I2065="Штраф -2",-2,IF(OR(F2065="",G2065=""),"",F2065*G2065+IF(J2065="",0,J2065)))</f>
        <v/>
      </c>
      <c r="I2065" s="3" t="n"/>
      <c r="J2065" s="3" t="n"/>
      <c r="K2065" s="3" t="n"/>
    </row>
    <row r="2066">
      <c r="A2066" s="3" t="n"/>
      <c r="B2066" s="3" t="n"/>
      <c r="C2066" s="3" t="n"/>
      <c r="D2066" s="3" t="n"/>
      <c r="E2066" s="4">
        <f>IF(A2066="","",COUNTIFS($A$4:A2066,A2066,$I$4:I2066,"&lt;&gt;Штраф -2",$I$4:I2066,"&lt;&gt;ушел на базу"))</f>
        <v/>
      </c>
      <c r="F2066" s="4">
        <f>IF(E2066="","",IF(E2066&lt;=3,6,IF(E2066&lt;=6,5,IF(E2066&lt;=9,4,IF(E2066&lt;=12,3,IF(E2066&lt;=15,2,0))))))</f>
        <v/>
      </c>
      <c r="G2066" s="3" t="n"/>
      <c r="H2066" s="4">
        <f>IF(I2066="Штраф -2",-2,IF(OR(F2066="",G2066=""),"",F2066*G2066+IF(J2066="",0,J2066)))</f>
        <v/>
      </c>
      <c r="I2066" s="3" t="n"/>
      <c r="J2066" s="3" t="n"/>
      <c r="K2066" s="3" t="n"/>
    </row>
    <row r="2067">
      <c r="A2067" s="3" t="n"/>
      <c r="B2067" s="3" t="n"/>
      <c r="C2067" s="3" t="n"/>
      <c r="D2067" s="3" t="n"/>
      <c r="E2067" s="4">
        <f>IF(A2067="","",COUNTIFS($A$4:A2067,A2067,$I$4:I2067,"&lt;&gt;Штраф -2",$I$4:I2067,"&lt;&gt;ушел на базу"))</f>
        <v/>
      </c>
      <c r="F2067" s="4">
        <f>IF(E2067="","",IF(E2067&lt;=3,6,IF(E2067&lt;=6,5,IF(E2067&lt;=9,4,IF(E2067&lt;=12,3,IF(E2067&lt;=15,2,0))))))</f>
        <v/>
      </c>
      <c r="G2067" s="3" t="n"/>
      <c r="H2067" s="4">
        <f>IF(I2067="Штраф -2",-2,IF(OR(F2067="",G2067=""),"",F2067*G2067+IF(J2067="",0,J2067)))</f>
        <v/>
      </c>
      <c r="I2067" s="3" t="n"/>
      <c r="J2067" s="3" t="n"/>
      <c r="K2067" s="3" t="n"/>
    </row>
    <row r="2068">
      <c r="A2068" s="3" t="n"/>
      <c r="B2068" s="3" t="n"/>
      <c r="C2068" s="3" t="n"/>
      <c r="D2068" s="3" t="n"/>
      <c r="E2068" s="4">
        <f>IF(A2068="","",COUNTIFS($A$4:A2068,A2068,$I$4:I2068,"&lt;&gt;Штраф -2",$I$4:I2068,"&lt;&gt;ушел на базу"))</f>
        <v/>
      </c>
      <c r="F2068" s="4">
        <f>IF(E2068="","",IF(E2068&lt;=3,6,IF(E2068&lt;=6,5,IF(E2068&lt;=9,4,IF(E2068&lt;=12,3,IF(E2068&lt;=15,2,0))))))</f>
        <v/>
      </c>
      <c r="G2068" s="3" t="n"/>
      <c r="H2068" s="4">
        <f>IF(I2068="Штраф -2",-2,IF(OR(F2068="",G2068=""),"",F2068*G2068+IF(J2068="",0,J2068)))</f>
        <v/>
      </c>
      <c r="I2068" s="3" t="n"/>
      <c r="J2068" s="3" t="n"/>
      <c r="K2068" s="3" t="n"/>
    </row>
    <row r="2069">
      <c r="A2069" s="3" t="n"/>
      <c r="B2069" s="3" t="n"/>
      <c r="C2069" s="3" t="n"/>
      <c r="D2069" s="3" t="n"/>
      <c r="E2069" s="4">
        <f>IF(A2069="","",COUNTIFS($A$4:A2069,A2069,$I$4:I2069,"&lt;&gt;Штраф -2",$I$4:I2069,"&lt;&gt;ушел на базу"))</f>
        <v/>
      </c>
      <c r="F2069" s="4">
        <f>IF(E2069="","",IF(E2069&lt;=3,6,IF(E2069&lt;=6,5,IF(E2069&lt;=9,4,IF(E2069&lt;=12,3,IF(E2069&lt;=15,2,0))))))</f>
        <v/>
      </c>
      <c r="G2069" s="3" t="n"/>
      <c r="H2069" s="4">
        <f>IF(I2069="Штраф -2",-2,IF(OR(F2069="",G2069=""),"",F2069*G2069+IF(J2069="",0,J2069)))</f>
        <v/>
      </c>
      <c r="I2069" s="3" t="n"/>
      <c r="J2069" s="3" t="n"/>
      <c r="K2069" s="3" t="n"/>
    </row>
    <row r="2070">
      <c r="A2070" s="3" t="n"/>
      <c r="B2070" s="3" t="n"/>
      <c r="C2070" s="3" t="n"/>
      <c r="D2070" s="3" t="n"/>
      <c r="E2070" s="4">
        <f>IF(A2070="","",COUNTIFS($A$4:A2070,A2070,$I$4:I2070,"&lt;&gt;Штраф -2",$I$4:I2070,"&lt;&gt;ушел на базу"))</f>
        <v/>
      </c>
      <c r="F2070" s="4">
        <f>IF(E2070="","",IF(E2070&lt;=3,6,IF(E2070&lt;=6,5,IF(E2070&lt;=9,4,IF(E2070&lt;=12,3,IF(E2070&lt;=15,2,0))))))</f>
        <v/>
      </c>
      <c r="G2070" s="3" t="n"/>
      <c r="H2070" s="4">
        <f>IF(I2070="Штраф -2",-2,IF(OR(F2070="",G2070=""),"",F2070*G2070+IF(J2070="",0,J2070)))</f>
        <v/>
      </c>
      <c r="I2070" s="3" t="n"/>
      <c r="J2070" s="3" t="n"/>
      <c r="K2070" s="3" t="n"/>
    </row>
    <row r="2071">
      <c r="A2071" s="3" t="n"/>
      <c r="B2071" s="3" t="n"/>
      <c r="C2071" s="3" t="n"/>
      <c r="D2071" s="3" t="n"/>
      <c r="E2071" s="4">
        <f>IF(A2071="","",COUNTIFS($A$4:A2071,A2071,$I$4:I2071,"&lt;&gt;Штраф -2",$I$4:I2071,"&lt;&gt;ушел на базу"))</f>
        <v/>
      </c>
      <c r="F2071" s="4">
        <f>IF(E2071="","",IF(E2071&lt;=3,6,IF(E2071&lt;=6,5,IF(E2071&lt;=9,4,IF(E2071&lt;=12,3,IF(E2071&lt;=15,2,0))))))</f>
        <v/>
      </c>
      <c r="G2071" s="3" t="n"/>
      <c r="H2071" s="4">
        <f>IF(I2071="Штраф -2",-2,IF(OR(F2071="",G2071=""),"",F2071*G2071+IF(J2071="",0,J2071)))</f>
        <v/>
      </c>
      <c r="I2071" s="3" t="n"/>
      <c r="J2071" s="3" t="n"/>
      <c r="K2071" s="3" t="n"/>
    </row>
    <row r="2072">
      <c r="A2072" s="3" t="n"/>
      <c r="B2072" s="3" t="n"/>
      <c r="C2072" s="3" t="n"/>
      <c r="D2072" s="3" t="n"/>
      <c r="E2072" s="4">
        <f>IF(A2072="","",COUNTIFS($A$4:A2072,A2072,$I$4:I2072,"&lt;&gt;Штраф -2",$I$4:I2072,"&lt;&gt;ушел на базу"))</f>
        <v/>
      </c>
      <c r="F2072" s="4">
        <f>IF(E2072="","",IF(E2072&lt;=3,6,IF(E2072&lt;=6,5,IF(E2072&lt;=9,4,IF(E2072&lt;=12,3,IF(E2072&lt;=15,2,0))))))</f>
        <v/>
      </c>
      <c r="G2072" s="3" t="n"/>
      <c r="H2072" s="4">
        <f>IF(I2072="Штраф -2",-2,IF(OR(F2072="",G2072=""),"",F2072*G2072+IF(J2072="",0,J2072)))</f>
        <v/>
      </c>
      <c r="I2072" s="3" t="n"/>
      <c r="J2072" s="3" t="n"/>
      <c r="K2072" s="3" t="n"/>
    </row>
    <row r="2073">
      <c r="A2073" s="3" t="n"/>
      <c r="B2073" s="3" t="n"/>
      <c r="C2073" s="3" t="n"/>
      <c r="D2073" s="3" t="n"/>
      <c r="E2073" s="4">
        <f>IF(A2073="","",COUNTIFS($A$4:A2073,A2073,$I$4:I2073,"&lt;&gt;Штраф -2",$I$4:I2073,"&lt;&gt;ушел на базу"))</f>
        <v/>
      </c>
      <c r="F2073" s="4">
        <f>IF(E2073="","",IF(E2073&lt;=3,6,IF(E2073&lt;=6,5,IF(E2073&lt;=9,4,IF(E2073&lt;=12,3,IF(E2073&lt;=15,2,0))))))</f>
        <v/>
      </c>
      <c r="G2073" s="3" t="n"/>
      <c r="H2073" s="4">
        <f>IF(I2073="Штраф -2",-2,IF(OR(F2073="",G2073=""),"",F2073*G2073+IF(J2073="",0,J2073)))</f>
        <v/>
      </c>
      <c r="I2073" s="3" t="n"/>
      <c r="J2073" s="3" t="n"/>
      <c r="K2073" s="3" t="n"/>
    </row>
    <row r="2074">
      <c r="A2074" s="3" t="n"/>
      <c r="B2074" s="3" t="n"/>
      <c r="C2074" s="3" t="n"/>
      <c r="D2074" s="3" t="n"/>
      <c r="E2074" s="4">
        <f>IF(A2074="","",COUNTIFS($A$4:A2074,A2074,$I$4:I2074,"&lt;&gt;Штраф -2",$I$4:I2074,"&lt;&gt;ушел на базу"))</f>
        <v/>
      </c>
      <c r="F2074" s="4">
        <f>IF(E2074="","",IF(E2074&lt;=3,6,IF(E2074&lt;=6,5,IF(E2074&lt;=9,4,IF(E2074&lt;=12,3,IF(E2074&lt;=15,2,0))))))</f>
        <v/>
      </c>
      <c r="G2074" s="3" t="n"/>
      <c r="H2074" s="4">
        <f>IF(I2074="Штраф -2",-2,IF(OR(F2074="",G2074=""),"",F2074*G2074+IF(J2074="",0,J2074)))</f>
        <v/>
      </c>
      <c r="I2074" s="3" t="n"/>
      <c r="J2074" s="3" t="n"/>
      <c r="K2074" s="3" t="n"/>
    </row>
    <row r="2075">
      <c r="A2075" s="3" t="n"/>
      <c r="B2075" s="3" t="n"/>
      <c r="C2075" s="3" t="n"/>
      <c r="D2075" s="3" t="n"/>
      <c r="E2075" s="4">
        <f>IF(A2075="","",COUNTIFS($A$4:A2075,A2075,$I$4:I2075,"&lt;&gt;Штраф -2",$I$4:I2075,"&lt;&gt;ушел на базу"))</f>
        <v/>
      </c>
      <c r="F2075" s="4">
        <f>IF(E2075="","",IF(E2075&lt;=3,6,IF(E2075&lt;=6,5,IF(E2075&lt;=9,4,IF(E2075&lt;=12,3,IF(E2075&lt;=15,2,0))))))</f>
        <v/>
      </c>
      <c r="G2075" s="3" t="n"/>
      <c r="H2075" s="4">
        <f>IF(I2075="Штраф -2",-2,IF(OR(F2075="",G2075=""),"",F2075*G2075+IF(J2075="",0,J2075)))</f>
        <v/>
      </c>
      <c r="I2075" s="3" t="n"/>
      <c r="J2075" s="3" t="n"/>
      <c r="K2075" s="3" t="n"/>
    </row>
    <row r="2076">
      <c r="A2076" s="3" t="n"/>
      <c r="B2076" s="3" t="n"/>
      <c r="C2076" s="3" t="n"/>
      <c r="D2076" s="3" t="n"/>
      <c r="E2076" s="4">
        <f>IF(A2076="","",COUNTIFS($A$4:A2076,A2076,$I$4:I2076,"&lt;&gt;Штраф -2",$I$4:I2076,"&lt;&gt;ушел на базу"))</f>
        <v/>
      </c>
      <c r="F2076" s="4">
        <f>IF(E2076="","",IF(E2076&lt;=3,6,IF(E2076&lt;=6,5,IF(E2076&lt;=9,4,IF(E2076&lt;=12,3,IF(E2076&lt;=15,2,0))))))</f>
        <v/>
      </c>
      <c r="G2076" s="3" t="n"/>
      <c r="H2076" s="4">
        <f>IF(I2076="Штраф -2",-2,IF(OR(F2076="",G2076=""),"",F2076*G2076+IF(J2076="",0,J2076)))</f>
        <v/>
      </c>
      <c r="I2076" s="3" t="n"/>
      <c r="J2076" s="3" t="n"/>
      <c r="K2076" s="3" t="n"/>
    </row>
    <row r="2077">
      <c r="A2077" s="3" t="n"/>
      <c r="B2077" s="3" t="n"/>
      <c r="C2077" s="3" t="n"/>
      <c r="D2077" s="3" t="n"/>
      <c r="E2077" s="4">
        <f>IF(A2077="","",COUNTIFS($A$4:A2077,A2077,$I$4:I2077,"&lt;&gt;Штраф -2",$I$4:I2077,"&lt;&gt;ушел на базу"))</f>
        <v/>
      </c>
      <c r="F2077" s="4">
        <f>IF(E2077="","",IF(E2077&lt;=3,6,IF(E2077&lt;=6,5,IF(E2077&lt;=9,4,IF(E2077&lt;=12,3,IF(E2077&lt;=15,2,0))))))</f>
        <v/>
      </c>
      <c r="G2077" s="3" t="n"/>
      <c r="H2077" s="4">
        <f>IF(I2077="Штраф -2",-2,IF(OR(F2077="",G2077=""),"",F2077*G2077+IF(J2077="",0,J2077)))</f>
        <v/>
      </c>
      <c r="I2077" s="3" t="n"/>
      <c r="J2077" s="3" t="n"/>
      <c r="K2077" s="3" t="n"/>
    </row>
    <row r="2078">
      <c r="A2078" s="3" t="n"/>
      <c r="B2078" s="3" t="n"/>
      <c r="C2078" s="3" t="n"/>
      <c r="D2078" s="3" t="n"/>
      <c r="E2078" s="4">
        <f>IF(A2078="","",COUNTIFS($A$4:A2078,A2078,$I$4:I2078,"&lt;&gt;Штраф -2",$I$4:I2078,"&lt;&gt;ушел на базу"))</f>
        <v/>
      </c>
      <c r="F2078" s="4">
        <f>IF(E2078="","",IF(E2078&lt;=3,6,IF(E2078&lt;=6,5,IF(E2078&lt;=9,4,IF(E2078&lt;=12,3,IF(E2078&lt;=15,2,0))))))</f>
        <v/>
      </c>
      <c r="G2078" s="3" t="n"/>
      <c r="H2078" s="4">
        <f>IF(I2078="Штраф -2",-2,IF(OR(F2078="",G2078=""),"",F2078*G2078+IF(J2078="",0,J2078)))</f>
        <v/>
      </c>
      <c r="I2078" s="3" t="n"/>
      <c r="J2078" s="3" t="n"/>
      <c r="K2078" s="3" t="n"/>
    </row>
    <row r="2079">
      <c r="A2079" s="3" t="n"/>
      <c r="B2079" s="3" t="n"/>
      <c r="C2079" s="3" t="n"/>
      <c r="D2079" s="3" t="n"/>
      <c r="E2079" s="4">
        <f>IF(A2079="","",COUNTIFS($A$4:A2079,A2079,$I$4:I2079,"&lt;&gt;Штраф -2",$I$4:I2079,"&lt;&gt;ушел на базу"))</f>
        <v/>
      </c>
      <c r="F2079" s="4">
        <f>IF(E2079="","",IF(E2079&lt;=3,6,IF(E2079&lt;=6,5,IF(E2079&lt;=9,4,IF(E2079&lt;=12,3,IF(E2079&lt;=15,2,0))))))</f>
        <v/>
      </c>
      <c r="G2079" s="3" t="n"/>
      <c r="H2079" s="4">
        <f>IF(I2079="Штраф -2",-2,IF(OR(F2079="",G2079=""),"",F2079*G2079+IF(J2079="",0,J2079)))</f>
        <v/>
      </c>
      <c r="I2079" s="3" t="n"/>
      <c r="J2079" s="3" t="n"/>
      <c r="K2079" s="3" t="n"/>
    </row>
    <row r="2080">
      <c r="A2080" s="3" t="n"/>
      <c r="B2080" s="3" t="n"/>
      <c r="C2080" s="3" t="n"/>
      <c r="D2080" s="3" t="n"/>
      <c r="E2080" s="4">
        <f>IF(A2080="","",COUNTIFS($A$4:A2080,A2080,$I$4:I2080,"&lt;&gt;Штраф -2",$I$4:I2080,"&lt;&gt;ушел на базу"))</f>
        <v/>
      </c>
      <c r="F2080" s="4">
        <f>IF(E2080="","",IF(E2080&lt;=3,6,IF(E2080&lt;=6,5,IF(E2080&lt;=9,4,IF(E2080&lt;=12,3,IF(E2080&lt;=15,2,0))))))</f>
        <v/>
      </c>
      <c r="G2080" s="3" t="n"/>
      <c r="H2080" s="4">
        <f>IF(I2080="Штраф -2",-2,IF(OR(F2080="",G2080=""),"",F2080*G2080+IF(J2080="",0,J2080)))</f>
        <v/>
      </c>
      <c r="I2080" s="3" t="n"/>
      <c r="J2080" s="3" t="n"/>
      <c r="K2080" s="3" t="n"/>
    </row>
    <row r="2081">
      <c r="A2081" s="3" t="n"/>
      <c r="B2081" s="3" t="n"/>
      <c r="C2081" s="3" t="n"/>
      <c r="D2081" s="3" t="n"/>
      <c r="E2081" s="4">
        <f>IF(A2081="","",COUNTIFS($A$4:A2081,A2081,$I$4:I2081,"&lt;&gt;Штраф -2",$I$4:I2081,"&lt;&gt;ушел на базу"))</f>
        <v/>
      </c>
      <c r="F2081" s="4">
        <f>IF(E2081="","",IF(E2081&lt;=3,6,IF(E2081&lt;=6,5,IF(E2081&lt;=9,4,IF(E2081&lt;=12,3,IF(E2081&lt;=15,2,0))))))</f>
        <v/>
      </c>
      <c r="G2081" s="3" t="n"/>
      <c r="H2081" s="4">
        <f>IF(I2081="Штраф -2",-2,IF(OR(F2081="",G2081=""),"",F2081*G2081+IF(J2081="",0,J2081)))</f>
        <v/>
      </c>
      <c r="I2081" s="3" t="n"/>
      <c r="J2081" s="3" t="n"/>
      <c r="K2081" s="3" t="n"/>
    </row>
    <row r="2082">
      <c r="A2082" s="3" t="n"/>
      <c r="B2082" s="3" t="n"/>
      <c r="C2082" s="3" t="n"/>
      <c r="D2082" s="3" t="n"/>
      <c r="E2082" s="4">
        <f>IF(A2082="","",COUNTIFS($A$4:A2082,A2082,$I$4:I2082,"&lt;&gt;Штраф -2",$I$4:I2082,"&lt;&gt;ушел на базу"))</f>
        <v/>
      </c>
      <c r="F2082" s="4">
        <f>IF(E2082="","",IF(E2082&lt;=3,6,IF(E2082&lt;=6,5,IF(E2082&lt;=9,4,IF(E2082&lt;=12,3,IF(E2082&lt;=15,2,0))))))</f>
        <v/>
      </c>
      <c r="G2082" s="3" t="n"/>
      <c r="H2082" s="4">
        <f>IF(I2082="Штраф -2",-2,IF(OR(F2082="",G2082=""),"",F2082*G2082+IF(J2082="",0,J2082)))</f>
        <v/>
      </c>
      <c r="I2082" s="3" t="n"/>
      <c r="J2082" s="3" t="n"/>
      <c r="K2082" s="3" t="n"/>
    </row>
    <row r="2083">
      <c r="A2083" s="3" t="n"/>
      <c r="B2083" s="3" t="n"/>
      <c r="C2083" s="3" t="n"/>
      <c r="D2083" s="3" t="n"/>
      <c r="E2083" s="4">
        <f>IF(A2083="","",COUNTIFS($A$4:A2083,A2083,$I$4:I2083,"&lt;&gt;Штраф -2",$I$4:I2083,"&lt;&gt;ушел на базу"))</f>
        <v/>
      </c>
      <c r="F2083" s="4">
        <f>IF(E2083="","",IF(E2083&lt;=3,6,IF(E2083&lt;=6,5,IF(E2083&lt;=9,4,IF(E2083&lt;=12,3,IF(E2083&lt;=15,2,0))))))</f>
        <v/>
      </c>
      <c r="G2083" s="3" t="n"/>
      <c r="H2083" s="4">
        <f>IF(I2083="Штраф -2",-2,IF(OR(F2083="",G2083=""),"",F2083*G2083+IF(J2083="",0,J2083)))</f>
        <v/>
      </c>
      <c r="I2083" s="3" t="n"/>
      <c r="J2083" s="3" t="n"/>
      <c r="K2083" s="3" t="n"/>
    </row>
    <row r="2084">
      <c r="A2084" s="3" t="n"/>
      <c r="B2084" s="3" t="n"/>
      <c r="C2084" s="3" t="n"/>
      <c r="D2084" s="3" t="n"/>
      <c r="E2084" s="4">
        <f>IF(A2084="","",COUNTIFS($A$4:A2084,A2084,$I$4:I2084,"&lt;&gt;Штраф -2",$I$4:I2084,"&lt;&gt;ушел на базу"))</f>
        <v/>
      </c>
      <c r="F2084" s="4">
        <f>IF(E2084="","",IF(E2084&lt;=3,6,IF(E2084&lt;=6,5,IF(E2084&lt;=9,4,IF(E2084&lt;=12,3,IF(E2084&lt;=15,2,0))))))</f>
        <v/>
      </c>
      <c r="G2084" s="3" t="n"/>
      <c r="H2084" s="4">
        <f>IF(I2084="Штраф -2",-2,IF(OR(F2084="",G2084=""),"",F2084*G2084+IF(J2084="",0,J2084)))</f>
        <v/>
      </c>
      <c r="I2084" s="3" t="n"/>
      <c r="J2084" s="3" t="n"/>
      <c r="K2084" s="3" t="n"/>
    </row>
    <row r="2085">
      <c r="A2085" s="3" t="n"/>
      <c r="B2085" s="3" t="n"/>
      <c r="C2085" s="3" t="n"/>
      <c r="D2085" s="3" t="n"/>
      <c r="E2085" s="4">
        <f>IF(A2085="","",COUNTIFS($A$4:A2085,A2085,$I$4:I2085,"&lt;&gt;Штраф -2",$I$4:I2085,"&lt;&gt;ушел на базу"))</f>
        <v/>
      </c>
      <c r="F2085" s="4">
        <f>IF(E2085="","",IF(E2085&lt;=3,6,IF(E2085&lt;=6,5,IF(E2085&lt;=9,4,IF(E2085&lt;=12,3,IF(E2085&lt;=15,2,0))))))</f>
        <v/>
      </c>
      <c r="G2085" s="3" t="n"/>
      <c r="H2085" s="4">
        <f>IF(I2085="Штраф -2",-2,IF(OR(F2085="",G2085=""),"",F2085*G2085+IF(J2085="",0,J2085)))</f>
        <v/>
      </c>
      <c r="I2085" s="3" t="n"/>
      <c r="J2085" s="3" t="n"/>
      <c r="K2085" s="3" t="n"/>
    </row>
    <row r="2086">
      <c r="A2086" s="3" t="n"/>
      <c r="B2086" s="3" t="n"/>
      <c r="C2086" s="3" t="n"/>
      <c r="D2086" s="3" t="n"/>
      <c r="E2086" s="4">
        <f>IF(A2086="","",COUNTIFS($A$4:A2086,A2086,$I$4:I2086,"&lt;&gt;Штраф -2",$I$4:I2086,"&lt;&gt;ушел на базу"))</f>
        <v/>
      </c>
      <c r="F2086" s="4">
        <f>IF(E2086="","",IF(E2086&lt;=3,6,IF(E2086&lt;=6,5,IF(E2086&lt;=9,4,IF(E2086&lt;=12,3,IF(E2086&lt;=15,2,0))))))</f>
        <v/>
      </c>
      <c r="G2086" s="3" t="n"/>
      <c r="H2086" s="4">
        <f>IF(I2086="Штраф -2",-2,IF(OR(F2086="",G2086=""),"",F2086*G2086+IF(J2086="",0,J2086)))</f>
        <v/>
      </c>
      <c r="I2086" s="3" t="n"/>
      <c r="J2086" s="3" t="n"/>
      <c r="K2086" s="3" t="n"/>
    </row>
    <row r="2087">
      <c r="A2087" s="3" t="n"/>
      <c r="B2087" s="3" t="n"/>
      <c r="C2087" s="3" t="n"/>
      <c r="D2087" s="3" t="n"/>
      <c r="E2087" s="4">
        <f>IF(A2087="","",COUNTIFS($A$4:A2087,A2087,$I$4:I2087,"&lt;&gt;Штраф -2",$I$4:I2087,"&lt;&gt;ушел на базу"))</f>
        <v/>
      </c>
      <c r="F2087" s="4">
        <f>IF(E2087="","",IF(E2087&lt;=3,6,IF(E2087&lt;=6,5,IF(E2087&lt;=9,4,IF(E2087&lt;=12,3,IF(E2087&lt;=15,2,0))))))</f>
        <v/>
      </c>
      <c r="G2087" s="3" t="n"/>
      <c r="H2087" s="4">
        <f>IF(I2087="Штраф -2",-2,IF(OR(F2087="",G2087=""),"",F2087*G2087+IF(J2087="",0,J2087)))</f>
        <v/>
      </c>
      <c r="I2087" s="3" t="n"/>
      <c r="J2087" s="3" t="n"/>
      <c r="K2087" s="3" t="n"/>
    </row>
    <row r="2088">
      <c r="A2088" s="3" t="n"/>
      <c r="B2088" s="3" t="n"/>
      <c r="C2088" s="3" t="n"/>
      <c r="D2088" s="3" t="n"/>
      <c r="E2088" s="4">
        <f>IF(A2088="","",COUNTIFS($A$4:A2088,A2088,$I$4:I2088,"&lt;&gt;Штраф -2",$I$4:I2088,"&lt;&gt;ушел на базу"))</f>
        <v/>
      </c>
      <c r="F2088" s="4">
        <f>IF(E2088="","",IF(E2088&lt;=3,6,IF(E2088&lt;=6,5,IF(E2088&lt;=9,4,IF(E2088&lt;=12,3,IF(E2088&lt;=15,2,0))))))</f>
        <v/>
      </c>
      <c r="G2088" s="3" t="n"/>
      <c r="H2088" s="4">
        <f>IF(I2088="Штраф -2",-2,IF(OR(F2088="",G2088=""),"",F2088*G2088+IF(J2088="",0,J2088)))</f>
        <v/>
      </c>
      <c r="I2088" s="3" t="n"/>
      <c r="J2088" s="3" t="n"/>
      <c r="K2088" s="3" t="n"/>
    </row>
    <row r="2089">
      <c r="A2089" s="3" t="n"/>
      <c r="B2089" s="3" t="n"/>
      <c r="C2089" s="3" t="n"/>
      <c r="D2089" s="3" t="n"/>
      <c r="E2089" s="4">
        <f>IF(A2089="","",COUNTIFS($A$4:A2089,A2089,$I$4:I2089,"&lt;&gt;Штраф -2",$I$4:I2089,"&lt;&gt;ушел на базу"))</f>
        <v/>
      </c>
      <c r="F2089" s="4">
        <f>IF(E2089="","",IF(E2089&lt;=3,6,IF(E2089&lt;=6,5,IF(E2089&lt;=9,4,IF(E2089&lt;=12,3,IF(E2089&lt;=15,2,0))))))</f>
        <v/>
      </c>
      <c r="G2089" s="3" t="n"/>
      <c r="H2089" s="4">
        <f>IF(I2089="Штраф -2",-2,IF(OR(F2089="",G2089=""),"",F2089*G2089+IF(J2089="",0,J2089)))</f>
        <v/>
      </c>
      <c r="I2089" s="3" t="n"/>
      <c r="J2089" s="3" t="n"/>
      <c r="K2089" s="3" t="n"/>
    </row>
    <row r="2090">
      <c r="A2090" s="3" t="n"/>
      <c r="B2090" s="3" t="n"/>
      <c r="C2090" s="3" t="n"/>
      <c r="D2090" s="3" t="n"/>
      <c r="E2090" s="4">
        <f>IF(A2090="","",COUNTIFS($A$4:A2090,A2090,$I$4:I2090,"&lt;&gt;Штраф -2",$I$4:I2090,"&lt;&gt;ушел на базу"))</f>
        <v/>
      </c>
      <c r="F2090" s="4">
        <f>IF(E2090="","",IF(E2090&lt;=3,6,IF(E2090&lt;=6,5,IF(E2090&lt;=9,4,IF(E2090&lt;=12,3,IF(E2090&lt;=15,2,0))))))</f>
        <v/>
      </c>
      <c r="G2090" s="3" t="n"/>
      <c r="H2090" s="4">
        <f>IF(I2090="Штраф -2",-2,IF(OR(F2090="",G2090=""),"",F2090*G2090+IF(J2090="",0,J2090)))</f>
        <v/>
      </c>
      <c r="I2090" s="3" t="n"/>
      <c r="J2090" s="3" t="n"/>
      <c r="K2090" s="3" t="n"/>
    </row>
    <row r="2091">
      <c r="A2091" s="3" t="n"/>
      <c r="B2091" s="3" t="n"/>
      <c r="C2091" s="3" t="n"/>
      <c r="D2091" s="3" t="n"/>
      <c r="E2091" s="4">
        <f>IF(A2091="","",COUNTIFS($A$4:A2091,A2091,$I$4:I2091,"&lt;&gt;Штраф -2",$I$4:I2091,"&lt;&gt;ушел на базу"))</f>
        <v/>
      </c>
      <c r="F2091" s="4">
        <f>IF(E2091="","",IF(E2091&lt;=3,6,IF(E2091&lt;=6,5,IF(E2091&lt;=9,4,IF(E2091&lt;=12,3,IF(E2091&lt;=15,2,0))))))</f>
        <v/>
      </c>
      <c r="G2091" s="3" t="n"/>
      <c r="H2091" s="4">
        <f>IF(I2091="Штраф -2",-2,IF(OR(F2091="",G2091=""),"",F2091*G2091+IF(J2091="",0,J2091)))</f>
        <v/>
      </c>
      <c r="I2091" s="3" t="n"/>
      <c r="J2091" s="3" t="n"/>
      <c r="K2091" s="3" t="n"/>
    </row>
    <row r="2092">
      <c r="A2092" s="3" t="n"/>
      <c r="B2092" s="3" t="n"/>
      <c r="C2092" s="3" t="n"/>
      <c r="D2092" s="3" t="n"/>
      <c r="E2092" s="4">
        <f>IF(A2092="","",COUNTIFS($A$4:A2092,A2092,$I$4:I2092,"&lt;&gt;Штраф -2",$I$4:I2092,"&lt;&gt;ушел на базу"))</f>
        <v/>
      </c>
      <c r="F2092" s="4">
        <f>IF(E2092="","",IF(E2092&lt;=3,6,IF(E2092&lt;=6,5,IF(E2092&lt;=9,4,IF(E2092&lt;=12,3,IF(E2092&lt;=15,2,0))))))</f>
        <v/>
      </c>
      <c r="G2092" s="3" t="n"/>
      <c r="H2092" s="4">
        <f>IF(I2092="Штраф -2",-2,IF(OR(F2092="",G2092=""),"",F2092*G2092+IF(J2092="",0,J2092)))</f>
        <v/>
      </c>
      <c r="I2092" s="3" t="n"/>
      <c r="J2092" s="3" t="n"/>
      <c r="K2092" s="3" t="n"/>
    </row>
    <row r="2093">
      <c r="A2093" s="3" t="n"/>
      <c r="B2093" s="3" t="n"/>
      <c r="C2093" s="3" t="n"/>
      <c r="D2093" s="3" t="n"/>
      <c r="E2093" s="4">
        <f>IF(A2093="","",COUNTIFS($A$4:A2093,A2093,$I$4:I2093,"&lt;&gt;Штраф -2",$I$4:I2093,"&lt;&gt;ушел на базу"))</f>
        <v/>
      </c>
      <c r="F2093" s="4">
        <f>IF(E2093="","",IF(E2093&lt;=3,6,IF(E2093&lt;=6,5,IF(E2093&lt;=9,4,IF(E2093&lt;=12,3,IF(E2093&lt;=15,2,0))))))</f>
        <v/>
      </c>
      <c r="G2093" s="3" t="n"/>
      <c r="H2093" s="4">
        <f>IF(I2093="Штраф -2",-2,IF(OR(F2093="",G2093=""),"",F2093*G2093+IF(J2093="",0,J2093)))</f>
        <v/>
      </c>
      <c r="I2093" s="3" t="n"/>
      <c r="J2093" s="3" t="n"/>
      <c r="K2093" s="3" t="n"/>
    </row>
    <row r="2094">
      <c r="A2094" s="3" t="n"/>
      <c r="B2094" s="3" t="n"/>
      <c r="C2094" s="3" t="n"/>
      <c r="D2094" s="3" t="n"/>
      <c r="E2094" s="4">
        <f>IF(A2094="","",COUNTIFS($A$4:A2094,A2094,$I$4:I2094,"&lt;&gt;Штраф -2",$I$4:I2094,"&lt;&gt;ушел на базу"))</f>
        <v/>
      </c>
      <c r="F2094" s="4">
        <f>IF(E2094="","",IF(E2094&lt;=3,6,IF(E2094&lt;=6,5,IF(E2094&lt;=9,4,IF(E2094&lt;=12,3,IF(E2094&lt;=15,2,0))))))</f>
        <v/>
      </c>
      <c r="G2094" s="3" t="n"/>
      <c r="H2094" s="4">
        <f>IF(I2094="Штраф -2",-2,IF(OR(F2094="",G2094=""),"",F2094*G2094+IF(J2094="",0,J2094)))</f>
        <v/>
      </c>
      <c r="I2094" s="3" t="n"/>
      <c r="J2094" s="3" t="n"/>
      <c r="K2094" s="3" t="n"/>
    </row>
    <row r="2095">
      <c r="A2095" s="3" t="n"/>
      <c r="B2095" s="3" t="n"/>
      <c r="C2095" s="3" t="n"/>
      <c r="D2095" s="3" t="n"/>
      <c r="E2095" s="4">
        <f>IF(A2095="","",COUNTIFS($A$4:A2095,A2095,$I$4:I2095,"&lt;&gt;Штраф -2",$I$4:I2095,"&lt;&gt;ушел на базу"))</f>
        <v/>
      </c>
      <c r="F2095" s="4">
        <f>IF(E2095="","",IF(E2095&lt;=3,6,IF(E2095&lt;=6,5,IF(E2095&lt;=9,4,IF(E2095&lt;=12,3,IF(E2095&lt;=15,2,0))))))</f>
        <v/>
      </c>
      <c r="G2095" s="3" t="n"/>
      <c r="H2095" s="4">
        <f>IF(I2095="Штраф -2",-2,IF(OR(F2095="",G2095=""),"",F2095*G2095+IF(J2095="",0,J2095)))</f>
        <v/>
      </c>
      <c r="I2095" s="3" t="n"/>
      <c r="J2095" s="3" t="n"/>
      <c r="K2095" s="3" t="n"/>
    </row>
    <row r="2096">
      <c r="A2096" s="3" t="n"/>
      <c r="B2096" s="3" t="n"/>
      <c r="C2096" s="3" t="n"/>
      <c r="D2096" s="3" t="n"/>
      <c r="E2096" s="4">
        <f>IF(A2096="","",COUNTIFS($A$4:A2096,A2096,$I$4:I2096,"&lt;&gt;Штраф -2",$I$4:I2096,"&lt;&gt;ушел на базу"))</f>
        <v/>
      </c>
      <c r="F2096" s="4">
        <f>IF(E2096="","",IF(E2096&lt;=3,6,IF(E2096&lt;=6,5,IF(E2096&lt;=9,4,IF(E2096&lt;=12,3,IF(E2096&lt;=15,2,0))))))</f>
        <v/>
      </c>
      <c r="G2096" s="3" t="n"/>
      <c r="H2096" s="4">
        <f>IF(I2096="Штраф -2",-2,IF(OR(F2096="",G2096=""),"",F2096*G2096+IF(J2096="",0,J2096)))</f>
        <v/>
      </c>
      <c r="I2096" s="3" t="n"/>
      <c r="J2096" s="3" t="n"/>
      <c r="K2096" s="3" t="n"/>
    </row>
    <row r="2097">
      <c r="A2097" s="3" t="n"/>
      <c r="B2097" s="3" t="n"/>
      <c r="C2097" s="3" t="n"/>
      <c r="D2097" s="3" t="n"/>
      <c r="E2097" s="4">
        <f>IF(A2097="","",COUNTIFS($A$4:A2097,A2097,$I$4:I2097,"&lt;&gt;Штраф -2",$I$4:I2097,"&lt;&gt;ушел на базу"))</f>
        <v/>
      </c>
      <c r="F2097" s="4">
        <f>IF(E2097="","",IF(E2097&lt;=3,6,IF(E2097&lt;=6,5,IF(E2097&lt;=9,4,IF(E2097&lt;=12,3,IF(E2097&lt;=15,2,0))))))</f>
        <v/>
      </c>
      <c r="G2097" s="3" t="n"/>
      <c r="H2097" s="4">
        <f>IF(I2097="Штраф -2",-2,IF(OR(F2097="",G2097=""),"",F2097*G2097+IF(J2097="",0,J2097)))</f>
        <v/>
      </c>
      <c r="I2097" s="3" t="n"/>
      <c r="J2097" s="3" t="n"/>
      <c r="K2097" s="3" t="n"/>
    </row>
    <row r="2098">
      <c r="A2098" s="3" t="n"/>
      <c r="B2098" s="3" t="n"/>
      <c r="C2098" s="3" t="n"/>
      <c r="D2098" s="3" t="n"/>
      <c r="E2098" s="4">
        <f>IF(A2098="","",COUNTIFS($A$4:A2098,A2098,$I$4:I2098,"&lt;&gt;Штраф -2",$I$4:I2098,"&lt;&gt;ушел на базу"))</f>
        <v/>
      </c>
      <c r="F2098" s="4">
        <f>IF(E2098="","",IF(E2098&lt;=3,6,IF(E2098&lt;=6,5,IF(E2098&lt;=9,4,IF(E2098&lt;=12,3,IF(E2098&lt;=15,2,0))))))</f>
        <v/>
      </c>
      <c r="G2098" s="3" t="n"/>
      <c r="H2098" s="4">
        <f>IF(I2098="Штраф -2",-2,IF(OR(F2098="",G2098=""),"",F2098*G2098+IF(J2098="",0,J2098)))</f>
        <v/>
      </c>
      <c r="I2098" s="3" t="n"/>
      <c r="J2098" s="3" t="n"/>
      <c r="K2098" s="3" t="n"/>
    </row>
    <row r="2099">
      <c r="A2099" s="3" t="n"/>
      <c r="B2099" s="3" t="n"/>
      <c r="C2099" s="3" t="n"/>
      <c r="D2099" s="3" t="n"/>
      <c r="E2099" s="4">
        <f>IF(A2099="","",COUNTIFS($A$4:A2099,A2099,$I$4:I2099,"&lt;&gt;Штраф -2",$I$4:I2099,"&lt;&gt;ушел на базу"))</f>
        <v/>
      </c>
      <c r="F2099" s="4">
        <f>IF(E2099="","",IF(E2099&lt;=3,6,IF(E2099&lt;=6,5,IF(E2099&lt;=9,4,IF(E2099&lt;=12,3,IF(E2099&lt;=15,2,0))))))</f>
        <v/>
      </c>
      <c r="G2099" s="3" t="n"/>
      <c r="H2099" s="4">
        <f>IF(I2099="Штраф -2",-2,IF(OR(F2099="",G2099=""),"",F2099*G2099+IF(J2099="",0,J2099)))</f>
        <v/>
      </c>
      <c r="I2099" s="3" t="n"/>
      <c r="J2099" s="3" t="n"/>
      <c r="K2099" s="3" t="n"/>
    </row>
    <row r="2100">
      <c r="A2100" s="3" t="n"/>
      <c r="B2100" s="3" t="n"/>
      <c r="C2100" s="3" t="n"/>
      <c r="D2100" s="3" t="n"/>
      <c r="E2100" s="4">
        <f>IF(A2100="","",COUNTIFS($A$4:A2100,A2100,$I$4:I2100,"&lt;&gt;Штраф -2",$I$4:I2100,"&lt;&gt;ушел на базу"))</f>
        <v/>
      </c>
      <c r="F2100" s="4">
        <f>IF(E2100="","",IF(E2100&lt;=3,6,IF(E2100&lt;=6,5,IF(E2100&lt;=9,4,IF(E2100&lt;=12,3,IF(E2100&lt;=15,2,0))))))</f>
        <v/>
      </c>
      <c r="G2100" s="3" t="n"/>
      <c r="H2100" s="4">
        <f>IF(I2100="Штраф -2",-2,IF(OR(F2100="",G2100=""),"",F2100*G2100+IF(J2100="",0,J2100)))</f>
        <v/>
      </c>
      <c r="I2100" s="3" t="n"/>
      <c r="J2100" s="3" t="n"/>
      <c r="K2100" s="3" t="n"/>
    </row>
    <row r="2101">
      <c r="A2101" s="3" t="n"/>
      <c r="B2101" s="3" t="n"/>
      <c r="C2101" s="3" t="n"/>
      <c r="D2101" s="3" t="n"/>
      <c r="E2101" s="4">
        <f>IF(A2101="","",COUNTIFS($A$4:A2101,A2101,$I$4:I2101,"&lt;&gt;Штраф -2",$I$4:I2101,"&lt;&gt;ушел на базу"))</f>
        <v/>
      </c>
      <c r="F2101" s="4">
        <f>IF(E2101="","",IF(E2101&lt;=3,6,IF(E2101&lt;=6,5,IF(E2101&lt;=9,4,IF(E2101&lt;=12,3,IF(E2101&lt;=15,2,0))))))</f>
        <v/>
      </c>
      <c r="G2101" s="3" t="n"/>
      <c r="H2101" s="4">
        <f>IF(I2101="Штраф -2",-2,IF(OR(F2101="",G2101=""),"",F2101*G2101+IF(J2101="",0,J2101)))</f>
        <v/>
      </c>
      <c r="I2101" s="3" t="n"/>
      <c r="J2101" s="3" t="n"/>
      <c r="K2101" s="3" t="n"/>
    </row>
    <row r="2102">
      <c r="A2102" s="3" t="n"/>
      <c r="B2102" s="3" t="n"/>
      <c r="C2102" s="3" t="n"/>
      <c r="D2102" s="3" t="n"/>
      <c r="E2102" s="4">
        <f>IF(A2102="","",COUNTIFS($A$4:A2102,A2102,$I$4:I2102,"&lt;&gt;Штраф -2",$I$4:I2102,"&lt;&gt;ушел на базу"))</f>
        <v/>
      </c>
      <c r="F2102" s="4">
        <f>IF(E2102="","",IF(E2102&lt;=3,6,IF(E2102&lt;=6,5,IF(E2102&lt;=9,4,IF(E2102&lt;=12,3,IF(E2102&lt;=15,2,0))))))</f>
        <v/>
      </c>
      <c r="G2102" s="3" t="n"/>
      <c r="H2102" s="4">
        <f>IF(I2102="Штраф -2",-2,IF(OR(F2102="",G2102=""),"",F2102*G2102+IF(J2102="",0,J2102)))</f>
        <v/>
      </c>
      <c r="I2102" s="3" t="n"/>
      <c r="J2102" s="3" t="n"/>
      <c r="K2102" s="3" t="n"/>
    </row>
    <row r="2103">
      <c r="A2103" s="3" t="n"/>
      <c r="B2103" s="3" t="n"/>
      <c r="C2103" s="3" t="n"/>
      <c r="D2103" s="3" t="n"/>
      <c r="E2103" s="4">
        <f>IF(A2103="","",COUNTIFS($A$4:A2103,A2103,$I$4:I2103,"&lt;&gt;Штраф -2",$I$4:I2103,"&lt;&gt;ушел на базу"))</f>
        <v/>
      </c>
      <c r="F2103" s="4">
        <f>IF(E2103="","",IF(E2103&lt;=3,6,IF(E2103&lt;=6,5,IF(E2103&lt;=9,4,IF(E2103&lt;=12,3,IF(E2103&lt;=15,2,0))))))</f>
        <v/>
      </c>
      <c r="G2103" s="3" t="n"/>
      <c r="H2103" s="4">
        <f>IF(I2103="Штраф -2",-2,IF(OR(F2103="",G2103=""),"",F2103*G2103+IF(J2103="",0,J2103)))</f>
        <v/>
      </c>
      <c r="I2103" s="3" t="n"/>
      <c r="J2103" s="3" t="n"/>
      <c r="K2103" s="3" t="n"/>
    </row>
    <row r="2104">
      <c r="A2104" s="3" t="n"/>
      <c r="B2104" s="3" t="n"/>
      <c r="C2104" s="3" t="n"/>
      <c r="D2104" s="3" t="n"/>
      <c r="E2104" s="4">
        <f>IF(A2104="","",COUNTIFS($A$4:A2104,A2104,$I$4:I2104,"&lt;&gt;Штраф -2",$I$4:I2104,"&lt;&gt;ушел на базу"))</f>
        <v/>
      </c>
      <c r="F2104" s="4">
        <f>IF(E2104="","",IF(E2104&lt;=3,6,IF(E2104&lt;=6,5,IF(E2104&lt;=9,4,IF(E2104&lt;=12,3,IF(E2104&lt;=15,2,0))))))</f>
        <v/>
      </c>
      <c r="G2104" s="3" t="n"/>
      <c r="H2104" s="4">
        <f>IF(I2104="Штраф -2",-2,IF(OR(F2104="",G2104=""),"",F2104*G2104+IF(J2104="",0,J2104)))</f>
        <v/>
      </c>
      <c r="I2104" s="3" t="n"/>
      <c r="J2104" s="3" t="n"/>
      <c r="K2104" s="3" t="n"/>
    </row>
    <row r="2105">
      <c r="A2105" s="3" t="n"/>
      <c r="B2105" s="3" t="n"/>
      <c r="C2105" s="3" t="n"/>
      <c r="D2105" s="3" t="n"/>
      <c r="E2105" s="4">
        <f>IF(A2105="","",COUNTIFS($A$4:A2105,A2105,$I$4:I2105,"&lt;&gt;Штраф -2",$I$4:I2105,"&lt;&gt;ушел на базу"))</f>
        <v/>
      </c>
      <c r="F2105" s="4">
        <f>IF(E2105="","",IF(E2105&lt;=3,6,IF(E2105&lt;=6,5,IF(E2105&lt;=9,4,IF(E2105&lt;=12,3,IF(E2105&lt;=15,2,0))))))</f>
        <v/>
      </c>
      <c r="G2105" s="3" t="n"/>
      <c r="H2105" s="4">
        <f>IF(I2105="Штраф -2",-2,IF(OR(F2105="",G2105=""),"",F2105*G2105+IF(J2105="",0,J2105)))</f>
        <v/>
      </c>
      <c r="I2105" s="3" t="n"/>
      <c r="J2105" s="3" t="n"/>
      <c r="K2105" s="3" t="n"/>
    </row>
    <row r="2106">
      <c r="A2106" s="3" t="n"/>
      <c r="B2106" s="3" t="n"/>
      <c r="C2106" s="3" t="n"/>
      <c r="D2106" s="3" t="n"/>
      <c r="E2106" s="4">
        <f>IF(A2106="","",COUNTIFS($A$4:A2106,A2106,$I$4:I2106,"&lt;&gt;Штраф -2",$I$4:I2106,"&lt;&gt;ушел на базу"))</f>
        <v/>
      </c>
      <c r="F2106" s="4">
        <f>IF(E2106="","",IF(E2106&lt;=3,6,IF(E2106&lt;=6,5,IF(E2106&lt;=9,4,IF(E2106&lt;=12,3,IF(E2106&lt;=15,2,0))))))</f>
        <v/>
      </c>
      <c r="G2106" s="3" t="n"/>
      <c r="H2106" s="4">
        <f>IF(I2106="Штраф -2",-2,IF(OR(F2106="",G2106=""),"",F2106*G2106+IF(J2106="",0,J2106)))</f>
        <v/>
      </c>
      <c r="I2106" s="3" t="n"/>
      <c r="J2106" s="3" t="n"/>
      <c r="K2106" s="3" t="n"/>
    </row>
    <row r="2107">
      <c r="A2107" s="3" t="n"/>
      <c r="B2107" s="3" t="n"/>
      <c r="C2107" s="3" t="n"/>
      <c r="D2107" s="3" t="n"/>
      <c r="E2107" s="4">
        <f>IF(A2107="","",COUNTIFS($A$4:A2107,A2107,$I$4:I2107,"&lt;&gt;Штраф -2",$I$4:I2107,"&lt;&gt;ушел на базу"))</f>
        <v/>
      </c>
      <c r="F2107" s="4">
        <f>IF(E2107="","",IF(E2107&lt;=3,6,IF(E2107&lt;=6,5,IF(E2107&lt;=9,4,IF(E2107&lt;=12,3,IF(E2107&lt;=15,2,0))))))</f>
        <v/>
      </c>
      <c r="G2107" s="3" t="n"/>
      <c r="H2107" s="4">
        <f>IF(I2107="Штраф -2",-2,IF(OR(F2107="",G2107=""),"",F2107*G2107+IF(J2107="",0,J2107)))</f>
        <v/>
      </c>
      <c r="I2107" s="3" t="n"/>
      <c r="J2107" s="3" t="n"/>
      <c r="K2107" s="3" t="n"/>
    </row>
    <row r="2108">
      <c r="A2108" s="3" t="n"/>
      <c r="B2108" s="3" t="n"/>
      <c r="C2108" s="3" t="n"/>
      <c r="D2108" s="3" t="n"/>
      <c r="E2108" s="4">
        <f>IF(A2108="","",COUNTIFS($A$4:A2108,A2108,$I$4:I2108,"&lt;&gt;Штраф -2",$I$4:I2108,"&lt;&gt;ушел на базу"))</f>
        <v/>
      </c>
      <c r="F2108" s="4">
        <f>IF(E2108="","",IF(E2108&lt;=3,6,IF(E2108&lt;=6,5,IF(E2108&lt;=9,4,IF(E2108&lt;=12,3,IF(E2108&lt;=15,2,0))))))</f>
        <v/>
      </c>
      <c r="G2108" s="3" t="n"/>
      <c r="H2108" s="4">
        <f>IF(I2108="Штраф -2",-2,IF(OR(F2108="",G2108=""),"",F2108*G2108+IF(J2108="",0,J2108)))</f>
        <v/>
      </c>
      <c r="I2108" s="3" t="n"/>
      <c r="J2108" s="3" t="n"/>
      <c r="K2108" s="3" t="n"/>
    </row>
    <row r="2109">
      <c r="A2109" s="3" t="n"/>
      <c r="B2109" s="3" t="n"/>
      <c r="C2109" s="3" t="n"/>
      <c r="D2109" s="3" t="n"/>
      <c r="E2109" s="4">
        <f>IF(A2109="","",COUNTIFS($A$4:A2109,A2109,$I$4:I2109,"&lt;&gt;Штраф -2",$I$4:I2109,"&lt;&gt;ушел на базу"))</f>
        <v/>
      </c>
      <c r="F2109" s="4">
        <f>IF(E2109="","",IF(E2109&lt;=3,6,IF(E2109&lt;=6,5,IF(E2109&lt;=9,4,IF(E2109&lt;=12,3,IF(E2109&lt;=15,2,0))))))</f>
        <v/>
      </c>
      <c r="G2109" s="3" t="n"/>
      <c r="H2109" s="4">
        <f>IF(I2109="Штраф -2",-2,IF(OR(F2109="",G2109=""),"",F2109*G2109+IF(J2109="",0,J2109)))</f>
        <v/>
      </c>
      <c r="I2109" s="3" t="n"/>
      <c r="J2109" s="3" t="n"/>
      <c r="K2109" s="3" t="n"/>
    </row>
    <row r="2110">
      <c r="A2110" s="3" t="n"/>
      <c r="B2110" s="3" t="n"/>
      <c r="C2110" s="3" t="n"/>
      <c r="D2110" s="3" t="n"/>
      <c r="E2110" s="4">
        <f>IF(A2110="","",COUNTIFS($A$4:A2110,A2110,$I$4:I2110,"&lt;&gt;Штраф -2",$I$4:I2110,"&lt;&gt;ушел на базу"))</f>
        <v/>
      </c>
      <c r="F2110" s="4">
        <f>IF(E2110="","",IF(E2110&lt;=3,6,IF(E2110&lt;=6,5,IF(E2110&lt;=9,4,IF(E2110&lt;=12,3,IF(E2110&lt;=15,2,0))))))</f>
        <v/>
      </c>
      <c r="G2110" s="3" t="n"/>
      <c r="H2110" s="4">
        <f>IF(I2110="Штраф -2",-2,IF(OR(F2110="",G2110=""),"",F2110*G2110+IF(J2110="",0,J2110)))</f>
        <v/>
      </c>
      <c r="I2110" s="3" t="n"/>
      <c r="J2110" s="3" t="n"/>
      <c r="K2110" s="3" t="n"/>
    </row>
    <row r="2111">
      <c r="A2111" s="3" t="n"/>
      <c r="B2111" s="3" t="n"/>
      <c r="C2111" s="3" t="n"/>
      <c r="D2111" s="3" t="n"/>
      <c r="E2111" s="4">
        <f>IF(A2111="","",COUNTIFS($A$4:A2111,A2111,$I$4:I2111,"&lt;&gt;Штраф -2",$I$4:I2111,"&lt;&gt;ушел на базу"))</f>
        <v/>
      </c>
      <c r="F2111" s="4">
        <f>IF(E2111="","",IF(E2111&lt;=3,6,IF(E2111&lt;=6,5,IF(E2111&lt;=9,4,IF(E2111&lt;=12,3,IF(E2111&lt;=15,2,0))))))</f>
        <v/>
      </c>
      <c r="G2111" s="3" t="n"/>
      <c r="H2111" s="4">
        <f>IF(I2111="Штраф -2",-2,IF(OR(F2111="",G2111=""),"",F2111*G2111+IF(J2111="",0,J2111)))</f>
        <v/>
      </c>
      <c r="I2111" s="3" t="n"/>
      <c r="J2111" s="3" t="n"/>
      <c r="K2111" s="3" t="n"/>
    </row>
    <row r="2112">
      <c r="A2112" s="3" t="n"/>
      <c r="B2112" s="3" t="n"/>
      <c r="C2112" s="3" t="n"/>
      <c r="D2112" s="3" t="n"/>
      <c r="E2112" s="4">
        <f>IF(A2112="","",COUNTIFS($A$4:A2112,A2112,$I$4:I2112,"&lt;&gt;Штраф -2",$I$4:I2112,"&lt;&gt;ушел на базу"))</f>
        <v/>
      </c>
      <c r="F2112" s="4">
        <f>IF(E2112="","",IF(E2112&lt;=3,6,IF(E2112&lt;=6,5,IF(E2112&lt;=9,4,IF(E2112&lt;=12,3,IF(E2112&lt;=15,2,0))))))</f>
        <v/>
      </c>
      <c r="G2112" s="3" t="n"/>
      <c r="H2112" s="4">
        <f>IF(I2112="Штраф -2",-2,IF(OR(F2112="",G2112=""),"",F2112*G2112+IF(J2112="",0,J2112)))</f>
        <v/>
      </c>
      <c r="I2112" s="3" t="n"/>
      <c r="J2112" s="3" t="n"/>
      <c r="K2112" s="3" t="n"/>
    </row>
    <row r="2113">
      <c r="A2113" s="3" t="n"/>
      <c r="B2113" s="3" t="n"/>
      <c r="C2113" s="3" t="n"/>
      <c r="D2113" s="3" t="n"/>
      <c r="E2113" s="4">
        <f>IF(A2113="","",COUNTIFS($A$4:A2113,A2113,$I$4:I2113,"&lt;&gt;Штраф -2",$I$4:I2113,"&lt;&gt;ушел на базу"))</f>
        <v/>
      </c>
      <c r="F2113" s="4">
        <f>IF(E2113="","",IF(E2113&lt;=3,6,IF(E2113&lt;=6,5,IF(E2113&lt;=9,4,IF(E2113&lt;=12,3,IF(E2113&lt;=15,2,0))))))</f>
        <v/>
      </c>
      <c r="G2113" s="3" t="n"/>
      <c r="H2113" s="4">
        <f>IF(I2113="Штраф -2",-2,IF(OR(F2113="",G2113=""),"",F2113*G2113+IF(J2113="",0,J2113)))</f>
        <v/>
      </c>
      <c r="I2113" s="3" t="n"/>
      <c r="J2113" s="3" t="n"/>
      <c r="K2113" s="3" t="n"/>
    </row>
    <row r="2114">
      <c r="A2114" s="3" t="n"/>
      <c r="B2114" s="3" t="n"/>
      <c r="C2114" s="3" t="n"/>
      <c r="D2114" s="3" t="n"/>
      <c r="E2114" s="4">
        <f>IF(A2114="","",COUNTIFS($A$4:A2114,A2114,$I$4:I2114,"&lt;&gt;Штраф -2",$I$4:I2114,"&lt;&gt;ушел на базу"))</f>
        <v/>
      </c>
      <c r="F2114" s="4">
        <f>IF(E2114="","",IF(E2114&lt;=3,6,IF(E2114&lt;=6,5,IF(E2114&lt;=9,4,IF(E2114&lt;=12,3,IF(E2114&lt;=15,2,0))))))</f>
        <v/>
      </c>
      <c r="G2114" s="3" t="n"/>
      <c r="H2114" s="4">
        <f>IF(I2114="Штраф -2",-2,IF(OR(F2114="",G2114=""),"",F2114*G2114+IF(J2114="",0,J2114)))</f>
        <v/>
      </c>
      <c r="I2114" s="3" t="n"/>
      <c r="J2114" s="3" t="n"/>
      <c r="K2114" s="3" t="n"/>
    </row>
    <row r="2115">
      <c r="A2115" s="3" t="n"/>
      <c r="B2115" s="3" t="n"/>
      <c r="C2115" s="3" t="n"/>
      <c r="D2115" s="3" t="n"/>
      <c r="E2115" s="4">
        <f>IF(A2115="","",COUNTIFS($A$4:A2115,A2115,$I$4:I2115,"&lt;&gt;Штраф -2",$I$4:I2115,"&lt;&gt;ушел на базу"))</f>
        <v/>
      </c>
      <c r="F2115" s="4">
        <f>IF(E2115="","",IF(E2115&lt;=3,6,IF(E2115&lt;=6,5,IF(E2115&lt;=9,4,IF(E2115&lt;=12,3,IF(E2115&lt;=15,2,0))))))</f>
        <v/>
      </c>
      <c r="G2115" s="3" t="n"/>
      <c r="H2115" s="4">
        <f>IF(I2115="Штраф -2",-2,IF(OR(F2115="",G2115=""),"",F2115*G2115+IF(J2115="",0,J2115)))</f>
        <v/>
      </c>
      <c r="I2115" s="3" t="n"/>
      <c r="J2115" s="3" t="n"/>
      <c r="K2115" s="3" t="n"/>
    </row>
    <row r="2116">
      <c r="A2116" s="3" t="n"/>
      <c r="B2116" s="3" t="n"/>
      <c r="C2116" s="3" t="n"/>
      <c r="D2116" s="3" t="n"/>
      <c r="E2116" s="4">
        <f>IF(A2116="","",COUNTIFS($A$4:A2116,A2116,$I$4:I2116,"&lt;&gt;Штраф -2",$I$4:I2116,"&lt;&gt;ушел на базу"))</f>
        <v/>
      </c>
      <c r="F2116" s="4">
        <f>IF(E2116="","",IF(E2116&lt;=3,6,IF(E2116&lt;=6,5,IF(E2116&lt;=9,4,IF(E2116&lt;=12,3,IF(E2116&lt;=15,2,0))))))</f>
        <v/>
      </c>
      <c r="G2116" s="3" t="n"/>
      <c r="H2116" s="4">
        <f>IF(I2116="Штраф -2",-2,IF(OR(F2116="",G2116=""),"",F2116*G2116+IF(J2116="",0,J2116)))</f>
        <v/>
      </c>
      <c r="I2116" s="3" t="n"/>
      <c r="J2116" s="3" t="n"/>
      <c r="K2116" s="3" t="n"/>
    </row>
    <row r="2117">
      <c r="A2117" s="3" t="n"/>
      <c r="B2117" s="3" t="n"/>
      <c r="C2117" s="3" t="n"/>
      <c r="D2117" s="3" t="n"/>
      <c r="E2117" s="4">
        <f>IF(A2117="","",COUNTIFS($A$4:A2117,A2117,$I$4:I2117,"&lt;&gt;Штраф -2",$I$4:I2117,"&lt;&gt;ушел на базу"))</f>
        <v/>
      </c>
      <c r="F2117" s="4">
        <f>IF(E2117="","",IF(E2117&lt;=3,6,IF(E2117&lt;=6,5,IF(E2117&lt;=9,4,IF(E2117&lt;=12,3,IF(E2117&lt;=15,2,0))))))</f>
        <v/>
      </c>
      <c r="G2117" s="3" t="n"/>
      <c r="H2117" s="4">
        <f>IF(I2117="Штраф -2",-2,IF(OR(F2117="",G2117=""),"",F2117*G2117+IF(J2117="",0,J2117)))</f>
        <v/>
      </c>
      <c r="I2117" s="3" t="n"/>
      <c r="J2117" s="3" t="n"/>
      <c r="K2117" s="3" t="n"/>
    </row>
    <row r="2118">
      <c r="A2118" s="3" t="n"/>
      <c r="B2118" s="3" t="n"/>
      <c r="C2118" s="3" t="n"/>
      <c r="D2118" s="3" t="n"/>
      <c r="E2118" s="4">
        <f>IF(A2118="","",COUNTIFS($A$4:A2118,A2118,$I$4:I2118,"&lt;&gt;Штраф -2",$I$4:I2118,"&lt;&gt;ушел на базу"))</f>
        <v/>
      </c>
      <c r="F2118" s="4">
        <f>IF(E2118="","",IF(E2118&lt;=3,6,IF(E2118&lt;=6,5,IF(E2118&lt;=9,4,IF(E2118&lt;=12,3,IF(E2118&lt;=15,2,0))))))</f>
        <v/>
      </c>
      <c r="G2118" s="3" t="n"/>
      <c r="H2118" s="4">
        <f>IF(I2118="Штраф -2",-2,IF(OR(F2118="",G2118=""),"",F2118*G2118+IF(J2118="",0,J2118)))</f>
        <v/>
      </c>
      <c r="I2118" s="3" t="n"/>
      <c r="J2118" s="3" t="n"/>
      <c r="K2118" s="3" t="n"/>
    </row>
    <row r="2119">
      <c r="A2119" s="3" t="n"/>
      <c r="B2119" s="3" t="n"/>
      <c r="C2119" s="3" t="n"/>
      <c r="D2119" s="3" t="n"/>
      <c r="E2119" s="4">
        <f>IF(A2119="","",COUNTIFS($A$4:A2119,A2119,$I$4:I2119,"&lt;&gt;Штраф -2",$I$4:I2119,"&lt;&gt;ушел на базу"))</f>
        <v/>
      </c>
      <c r="F2119" s="4">
        <f>IF(E2119="","",IF(E2119&lt;=3,6,IF(E2119&lt;=6,5,IF(E2119&lt;=9,4,IF(E2119&lt;=12,3,IF(E2119&lt;=15,2,0))))))</f>
        <v/>
      </c>
      <c r="G2119" s="3" t="n"/>
      <c r="H2119" s="4">
        <f>IF(I2119="Штраф -2",-2,IF(OR(F2119="",G2119=""),"",F2119*G2119+IF(J2119="",0,J2119)))</f>
        <v/>
      </c>
      <c r="I2119" s="3" t="n"/>
      <c r="J2119" s="3" t="n"/>
      <c r="K2119" s="3" t="n"/>
    </row>
    <row r="2120">
      <c r="A2120" s="3" t="n"/>
      <c r="B2120" s="3" t="n"/>
      <c r="C2120" s="3" t="n"/>
      <c r="D2120" s="3" t="n"/>
      <c r="E2120" s="4">
        <f>IF(A2120="","",COUNTIFS($A$4:A2120,A2120,$I$4:I2120,"&lt;&gt;Штраф -2",$I$4:I2120,"&lt;&gt;ушел на базу"))</f>
        <v/>
      </c>
      <c r="F2120" s="4">
        <f>IF(E2120="","",IF(E2120&lt;=3,6,IF(E2120&lt;=6,5,IF(E2120&lt;=9,4,IF(E2120&lt;=12,3,IF(E2120&lt;=15,2,0))))))</f>
        <v/>
      </c>
      <c r="G2120" s="3" t="n"/>
      <c r="H2120" s="4">
        <f>IF(I2120="Штраф -2",-2,IF(OR(F2120="",G2120=""),"",F2120*G2120+IF(J2120="",0,J2120)))</f>
        <v/>
      </c>
      <c r="I2120" s="3" t="n"/>
      <c r="J2120" s="3" t="n"/>
      <c r="K2120" s="3" t="n"/>
    </row>
    <row r="2121">
      <c r="A2121" s="3" t="n"/>
      <c r="B2121" s="3" t="n"/>
      <c r="C2121" s="3" t="n"/>
      <c r="D2121" s="3" t="n"/>
      <c r="E2121" s="4">
        <f>IF(A2121="","",COUNTIFS($A$4:A2121,A2121,$I$4:I2121,"&lt;&gt;Штраф -2",$I$4:I2121,"&lt;&gt;ушел на базу"))</f>
        <v/>
      </c>
      <c r="F2121" s="4">
        <f>IF(E2121="","",IF(E2121&lt;=3,6,IF(E2121&lt;=6,5,IF(E2121&lt;=9,4,IF(E2121&lt;=12,3,IF(E2121&lt;=15,2,0))))))</f>
        <v/>
      </c>
      <c r="G2121" s="3" t="n"/>
      <c r="H2121" s="4">
        <f>IF(I2121="Штраф -2",-2,IF(OR(F2121="",G2121=""),"",F2121*G2121+IF(J2121="",0,J2121)))</f>
        <v/>
      </c>
      <c r="I2121" s="3" t="n"/>
      <c r="J2121" s="3" t="n"/>
      <c r="K2121" s="3" t="n"/>
    </row>
    <row r="2122">
      <c r="A2122" s="3" t="n"/>
      <c r="B2122" s="3" t="n"/>
      <c r="C2122" s="3" t="n"/>
      <c r="D2122" s="3" t="n"/>
      <c r="E2122" s="4">
        <f>IF(A2122="","",COUNTIFS($A$4:A2122,A2122,$I$4:I2122,"&lt;&gt;Штраф -2",$I$4:I2122,"&lt;&gt;ушел на базу"))</f>
        <v/>
      </c>
      <c r="F2122" s="4">
        <f>IF(E2122="","",IF(E2122&lt;=3,6,IF(E2122&lt;=6,5,IF(E2122&lt;=9,4,IF(E2122&lt;=12,3,IF(E2122&lt;=15,2,0))))))</f>
        <v/>
      </c>
      <c r="G2122" s="3" t="n"/>
      <c r="H2122" s="4">
        <f>IF(I2122="Штраф -2",-2,IF(OR(F2122="",G2122=""),"",F2122*G2122+IF(J2122="",0,J2122)))</f>
        <v/>
      </c>
      <c r="I2122" s="3" t="n"/>
      <c r="J2122" s="3" t="n"/>
      <c r="K2122" s="3" t="n"/>
    </row>
    <row r="2123">
      <c r="A2123" s="3" t="n"/>
      <c r="B2123" s="3" t="n"/>
      <c r="C2123" s="3" t="n"/>
      <c r="D2123" s="3" t="n"/>
      <c r="E2123" s="4">
        <f>IF(A2123="","",COUNTIFS($A$4:A2123,A2123,$I$4:I2123,"&lt;&gt;Штраф -2",$I$4:I2123,"&lt;&gt;ушел на базу"))</f>
        <v/>
      </c>
      <c r="F2123" s="4">
        <f>IF(E2123="","",IF(E2123&lt;=3,6,IF(E2123&lt;=6,5,IF(E2123&lt;=9,4,IF(E2123&lt;=12,3,IF(E2123&lt;=15,2,0))))))</f>
        <v/>
      </c>
      <c r="G2123" s="3" t="n"/>
      <c r="H2123" s="4">
        <f>IF(I2123="Штраф -2",-2,IF(OR(F2123="",G2123=""),"",F2123*G2123+IF(J2123="",0,J2123)))</f>
        <v/>
      </c>
      <c r="I2123" s="3" t="n"/>
      <c r="J2123" s="3" t="n"/>
      <c r="K2123" s="3" t="n"/>
    </row>
    <row r="2124">
      <c r="A2124" s="3" t="n"/>
      <c r="B2124" s="3" t="n"/>
      <c r="C2124" s="3" t="n"/>
      <c r="D2124" s="3" t="n"/>
      <c r="E2124" s="4">
        <f>IF(A2124="","",COUNTIFS($A$4:A2124,A2124,$I$4:I2124,"&lt;&gt;Штраф -2",$I$4:I2124,"&lt;&gt;ушел на базу"))</f>
        <v/>
      </c>
      <c r="F2124" s="4">
        <f>IF(E2124="","",IF(E2124&lt;=3,6,IF(E2124&lt;=6,5,IF(E2124&lt;=9,4,IF(E2124&lt;=12,3,IF(E2124&lt;=15,2,0))))))</f>
        <v/>
      </c>
      <c r="G2124" s="3" t="n"/>
      <c r="H2124" s="4">
        <f>IF(I2124="Штраф -2",-2,IF(OR(F2124="",G2124=""),"",F2124*G2124+IF(J2124="",0,J2124)))</f>
        <v/>
      </c>
      <c r="I2124" s="3" t="n"/>
      <c r="J2124" s="3" t="n"/>
      <c r="K2124" s="3" t="n"/>
    </row>
    <row r="2125">
      <c r="A2125" s="3" t="n"/>
      <c r="B2125" s="3" t="n"/>
      <c r="C2125" s="3" t="n"/>
      <c r="D2125" s="3" t="n"/>
      <c r="E2125" s="4">
        <f>IF(A2125="","",COUNTIFS($A$4:A2125,A2125,$I$4:I2125,"&lt;&gt;Штраф -2",$I$4:I2125,"&lt;&gt;ушел на базу"))</f>
        <v/>
      </c>
      <c r="F2125" s="4">
        <f>IF(E2125="","",IF(E2125&lt;=3,6,IF(E2125&lt;=6,5,IF(E2125&lt;=9,4,IF(E2125&lt;=12,3,IF(E2125&lt;=15,2,0))))))</f>
        <v/>
      </c>
      <c r="G2125" s="3" t="n"/>
      <c r="H2125" s="4">
        <f>IF(I2125="Штраф -2",-2,IF(OR(F2125="",G2125=""),"",F2125*G2125+IF(J2125="",0,J2125)))</f>
        <v/>
      </c>
      <c r="I2125" s="3" t="n"/>
      <c r="J2125" s="3" t="n"/>
      <c r="K2125" s="3" t="n"/>
    </row>
    <row r="2126">
      <c r="A2126" s="3" t="n"/>
      <c r="B2126" s="3" t="n"/>
      <c r="C2126" s="3" t="n"/>
      <c r="D2126" s="3" t="n"/>
      <c r="E2126" s="4">
        <f>IF(A2126="","",COUNTIFS($A$4:A2126,A2126,$I$4:I2126,"&lt;&gt;Штраф -2",$I$4:I2126,"&lt;&gt;ушел на базу"))</f>
        <v/>
      </c>
      <c r="F2126" s="4">
        <f>IF(E2126="","",IF(E2126&lt;=3,6,IF(E2126&lt;=6,5,IF(E2126&lt;=9,4,IF(E2126&lt;=12,3,IF(E2126&lt;=15,2,0))))))</f>
        <v/>
      </c>
      <c r="G2126" s="3" t="n"/>
      <c r="H2126" s="4">
        <f>IF(I2126="Штраф -2",-2,IF(OR(F2126="",G2126=""),"",F2126*G2126+IF(J2126="",0,J2126)))</f>
        <v/>
      </c>
      <c r="I2126" s="3" t="n"/>
      <c r="J2126" s="3" t="n"/>
      <c r="K2126" s="3" t="n"/>
    </row>
    <row r="2127">
      <c r="A2127" s="3" t="n"/>
      <c r="B2127" s="3" t="n"/>
      <c r="C2127" s="3" t="n"/>
      <c r="D2127" s="3" t="n"/>
      <c r="E2127" s="4">
        <f>IF(A2127="","",COUNTIFS($A$4:A2127,A2127,$I$4:I2127,"&lt;&gt;Штраф -2",$I$4:I2127,"&lt;&gt;ушел на базу"))</f>
        <v/>
      </c>
      <c r="F2127" s="4">
        <f>IF(E2127="","",IF(E2127&lt;=3,6,IF(E2127&lt;=6,5,IF(E2127&lt;=9,4,IF(E2127&lt;=12,3,IF(E2127&lt;=15,2,0))))))</f>
        <v/>
      </c>
      <c r="G2127" s="3" t="n"/>
      <c r="H2127" s="4">
        <f>IF(I2127="Штраф -2",-2,IF(OR(F2127="",G2127=""),"",F2127*G2127+IF(J2127="",0,J2127)))</f>
        <v/>
      </c>
      <c r="I2127" s="3" t="n"/>
      <c r="J2127" s="3" t="n"/>
      <c r="K2127" s="3" t="n"/>
    </row>
    <row r="2128">
      <c r="A2128" s="3" t="n"/>
      <c r="B2128" s="3" t="n"/>
      <c r="C2128" s="3" t="n"/>
      <c r="D2128" s="3" t="n"/>
      <c r="E2128" s="4">
        <f>IF(A2128="","",COUNTIFS($A$4:A2128,A2128,$I$4:I2128,"&lt;&gt;Штраф -2",$I$4:I2128,"&lt;&gt;ушел на базу"))</f>
        <v/>
      </c>
      <c r="F2128" s="4">
        <f>IF(E2128="","",IF(E2128&lt;=3,6,IF(E2128&lt;=6,5,IF(E2128&lt;=9,4,IF(E2128&lt;=12,3,IF(E2128&lt;=15,2,0))))))</f>
        <v/>
      </c>
      <c r="G2128" s="3" t="n"/>
      <c r="H2128" s="4">
        <f>IF(I2128="Штраф -2",-2,IF(OR(F2128="",G2128=""),"",F2128*G2128+IF(J2128="",0,J2128)))</f>
        <v/>
      </c>
      <c r="I2128" s="3" t="n"/>
      <c r="J2128" s="3" t="n"/>
      <c r="K2128" s="3" t="n"/>
    </row>
    <row r="2129">
      <c r="A2129" s="3" t="n"/>
      <c r="B2129" s="3" t="n"/>
      <c r="C2129" s="3" t="n"/>
      <c r="D2129" s="3" t="n"/>
      <c r="E2129" s="4">
        <f>IF(A2129="","",COUNTIFS($A$4:A2129,A2129,$I$4:I2129,"&lt;&gt;Штраф -2",$I$4:I2129,"&lt;&gt;ушел на базу"))</f>
        <v/>
      </c>
      <c r="F2129" s="4">
        <f>IF(E2129="","",IF(E2129&lt;=3,6,IF(E2129&lt;=6,5,IF(E2129&lt;=9,4,IF(E2129&lt;=12,3,IF(E2129&lt;=15,2,0))))))</f>
        <v/>
      </c>
      <c r="G2129" s="3" t="n"/>
      <c r="H2129" s="4">
        <f>IF(I2129="Штраф -2",-2,IF(OR(F2129="",G2129=""),"",F2129*G2129+IF(J2129="",0,J2129)))</f>
        <v/>
      </c>
      <c r="I2129" s="3" t="n"/>
      <c r="J2129" s="3" t="n"/>
      <c r="K2129" s="3" t="n"/>
    </row>
    <row r="2130">
      <c r="A2130" s="3" t="n"/>
      <c r="B2130" s="3" t="n"/>
      <c r="C2130" s="3" t="n"/>
      <c r="D2130" s="3" t="n"/>
      <c r="E2130" s="4">
        <f>IF(A2130="","",COUNTIFS($A$4:A2130,A2130,$I$4:I2130,"&lt;&gt;Штраф -2",$I$4:I2130,"&lt;&gt;ушел на базу"))</f>
        <v/>
      </c>
      <c r="F2130" s="4">
        <f>IF(E2130="","",IF(E2130&lt;=3,6,IF(E2130&lt;=6,5,IF(E2130&lt;=9,4,IF(E2130&lt;=12,3,IF(E2130&lt;=15,2,0))))))</f>
        <v/>
      </c>
      <c r="G2130" s="3" t="n"/>
      <c r="H2130" s="4">
        <f>IF(I2130="Штраф -2",-2,IF(OR(F2130="",G2130=""),"",F2130*G2130+IF(J2130="",0,J2130)))</f>
        <v/>
      </c>
      <c r="I2130" s="3" t="n"/>
      <c r="J2130" s="3" t="n"/>
      <c r="K2130" s="3" t="n"/>
    </row>
    <row r="2131">
      <c r="A2131" s="3" t="n"/>
      <c r="B2131" s="3" t="n"/>
      <c r="C2131" s="3" t="n"/>
      <c r="D2131" s="3" t="n"/>
      <c r="E2131" s="4">
        <f>IF(A2131="","",COUNTIFS($A$4:A2131,A2131,$I$4:I2131,"&lt;&gt;Штраф -2",$I$4:I2131,"&lt;&gt;ушел на базу"))</f>
        <v/>
      </c>
      <c r="F2131" s="4">
        <f>IF(E2131="","",IF(E2131&lt;=3,6,IF(E2131&lt;=6,5,IF(E2131&lt;=9,4,IF(E2131&lt;=12,3,IF(E2131&lt;=15,2,0))))))</f>
        <v/>
      </c>
      <c r="G2131" s="3" t="n"/>
      <c r="H2131" s="4">
        <f>IF(I2131="Штраф -2",-2,IF(OR(F2131="",G2131=""),"",F2131*G2131+IF(J2131="",0,J2131)))</f>
        <v/>
      </c>
      <c r="I2131" s="3" t="n"/>
      <c r="J2131" s="3" t="n"/>
      <c r="K2131" s="3" t="n"/>
    </row>
    <row r="2132">
      <c r="A2132" s="3" t="n"/>
      <c r="B2132" s="3" t="n"/>
      <c r="C2132" s="3" t="n"/>
      <c r="D2132" s="3" t="n"/>
      <c r="E2132" s="4">
        <f>IF(A2132="","",COUNTIFS($A$4:A2132,A2132,$I$4:I2132,"&lt;&gt;Штраф -2",$I$4:I2132,"&lt;&gt;ушел на базу"))</f>
        <v/>
      </c>
      <c r="F2132" s="4">
        <f>IF(E2132="","",IF(E2132&lt;=3,6,IF(E2132&lt;=6,5,IF(E2132&lt;=9,4,IF(E2132&lt;=12,3,IF(E2132&lt;=15,2,0))))))</f>
        <v/>
      </c>
      <c r="G2132" s="3" t="n"/>
      <c r="H2132" s="4">
        <f>IF(I2132="Штраф -2",-2,IF(OR(F2132="",G2132=""),"",F2132*G2132+IF(J2132="",0,J2132)))</f>
        <v/>
      </c>
      <c r="I2132" s="3" t="n"/>
      <c r="J2132" s="3" t="n"/>
      <c r="K2132" s="3" t="n"/>
    </row>
    <row r="2133">
      <c r="A2133" s="3" t="n"/>
      <c r="B2133" s="3" t="n"/>
      <c r="C2133" s="3" t="n"/>
      <c r="D2133" s="3" t="n"/>
      <c r="E2133" s="4">
        <f>IF(A2133="","",COUNTIFS($A$4:A2133,A2133,$I$4:I2133,"&lt;&gt;Штраф -2",$I$4:I2133,"&lt;&gt;ушел на базу"))</f>
        <v/>
      </c>
      <c r="F2133" s="4">
        <f>IF(E2133="","",IF(E2133&lt;=3,6,IF(E2133&lt;=6,5,IF(E2133&lt;=9,4,IF(E2133&lt;=12,3,IF(E2133&lt;=15,2,0))))))</f>
        <v/>
      </c>
      <c r="G2133" s="3" t="n"/>
      <c r="H2133" s="4">
        <f>IF(I2133="Штраф -2",-2,IF(OR(F2133="",G2133=""),"",F2133*G2133+IF(J2133="",0,J2133)))</f>
        <v/>
      </c>
      <c r="I2133" s="3" t="n"/>
      <c r="J2133" s="3" t="n"/>
      <c r="K2133" s="3" t="n"/>
    </row>
    <row r="2134">
      <c r="A2134" s="3" t="n"/>
      <c r="B2134" s="3" t="n"/>
      <c r="C2134" s="3" t="n"/>
      <c r="D2134" s="3" t="n"/>
      <c r="E2134" s="4">
        <f>IF(A2134="","",COUNTIFS($A$4:A2134,A2134,$I$4:I2134,"&lt;&gt;Штраф -2",$I$4:I2134,"&lt;&gt;ушел на базу"))</f>
        <v/>
      </c>
      <c r="F2134" s="4">
        <f>IF(E2134="","",IF(E2134&lt;=3,6,IF(E2134&lt;=6,5,IF(E2134&lt;=9,4,IF(E2134&lt;=12,3,IF(E2134&lt;=15,2,0))))))</f>
        <v/>
      </c>
      <c r="G2134" s="3" t="n"/>
      <c r="H2134" s="4">
        <f>IF(I2134="Штраф -2",-2,IF(OR(F2134="",G2134=""),"",F2134*G2134+IF(J2134="",0,J2134)))</f>
        <v/>
      </c>
      <c r="I2134" s="3" t="n"/>
      <c r="J2134" s="3" t="n"/>
      <c r="K2134" s="3" t="n"/>
    </row>
    <row r="2135">
      <c r="A2135" s="3" t="n"/>
      <c r="B2135" s="3" t="n"/>
      <c r="C2135" s="3" t="n"/>
      <c r="D2135" s="3" t="n"/>
      <c r="E2135" s="4">
        <f>IF(A2135="","",COUNTIFS($A$4:A2135,A2135,$I$4:I2135,"&lt;&gt;Штраф -2",$I$4:I2135,"&lt;&gt;ушел на базу"))</f>
        <v/>
      </c>
      <c r="F2135" s="4">
        <f>IF(E2135="","",IF(E2135&lt;=3,6,IF(E2135&lt;=6,5,IF(E2135&lt;=9,4,IF(E2135&lt;=12,3,IF(E2135&lt;=15,2,0))))))</f>
        <v/>
      </c>
      <c r="G2135" s="3" t="n"/>
      <c r="H2135" s="4">
        <f>IF(I2135="Штраф -2",-2,IF(OR(F2135="",G2135=""),"",F2135*G2135+IF(J2135="",0,J2135)))</f>
        <v/>
      </c>
      <c r="I2135" s="3" t="n"/>
      <c r="J2135" s="3" t="n"/>
      <c r="K2135" s="3" t="n"/>
    </row>
    <row r="2136">
      <c r="A2136" s="3" t="n"/>
      <c r="B2136" s="3" t="n"/>
      <c r="C2136" s="3" t="n"/>
      <c r="D2136" s="3" t="n"/>
      <c r="E2136" s="4">
        <f>IF(A2136="","",COUNTIFS($A$4:A2136,A2136,$I$4:I2136,"&lt;&gt;Штраф -2",$I$4:I2136,"&lt;&gt;ушел на базу"))</f>
        <v/>
      </c>
      <c r="F2136" s="4">
        <f>IF(E2136="","",IF(E2136&lt;=3,6,IF(E2136&lt;=6,5,IF(E2136&lt;=9,4,IF(E2136&lt;=12,3,IF(E2136&lt;=15,2,0))))))</f>
        <v/>
      </c>
      <c r="G2136" s="3" t="n"/>
      <c r="H2136" s="4">
        <f>IF(I2136="Штраф -2",-2,IF(OR(F2136="",G2136=""),"",F2136*G2136+IF(J2136="",0,J2136)))</f>
        <v/>
      </c>
      <c r="I2136" s="3" t="n"/>
      <c r="J2136" s="3" t="n"/>
      <c r="K2136" s="3" t="n"/>
    </row>
    <row r="2137">
      <c r="A2137" s="3" t="n"/>
      <c r="B2137" s="3" t="n"/>
      <c r="C2137" s="3" t="n"/>
      <c r="D2137" s="3" t="n"/>
      <c r="E2137" s="4">
        <f>IF(A2137="","",COUNTIFS($A$4:A2137,A2137,$I$4:I2137,"&lt;&gt;Штраф -2",$I$4:I2137,"&lt;&gt;ушел на базу"))</f>
        <v/>
      </c>
      <c r="F2137" s="4">
        <f>IF(E2137="","",IF(E2137&lt;=3,6,IF(E2137&lt;=6,5,IF(E2137&lt;=9,4,IF(E2137&lt;=12,3,IF(E2137&lt;=15,2,0))))))</f>
        <v/>
      </c>
      <c r="G2137" s="3" t="n"/>
      <c r="H2137" s="4">
        <f>IF(I2137="Штраф -2",-2,IF(OR(F2137="",G2137=""),"",F2137*G2137+IF(J2137="",0,J2137)))</f>
        <v/>
      </c>
      <c r="I2137" s="3" t="n"/>
      <c r="J2137" s="3" t="n"/>
      <c r="K2137" s="3" t="n"/>
    </row>
    <row r="2138">
      <c r="A2138" s="3" t="n"/>
      <c r="B2138" s="3" t="n"/>
      <c r="C2138" s="3" t="n"/>
      <c r="D2138" s="3" t="n"/>
      <c r="E2138" s="4">
        <f>IF(A2138="","",COUNTIFS($A$4:A2138,A2138,$I$4:I2138,"&lt;&gt;Штраф -2",$I$4:I2138,"&lt;&gt;ушел на базу"))</f>
        <v/>
      </c>
      <c r="F2138" s="4">
        <f>IF(E2138="","",IF(E2138&lt;=3,6,IF(E2138&lt;=6,5,IF(E2138&lt;=9,4,IF(E2138&lt;=12,3,IF(E2138&lt;=15,2,0))))))</f>
        <v/>
      </c>
      <c r="G2138" s="3" t="n"/>
      <c r="H2138" s="4">
        <f>IF(I2138="Штраф -2",-2,IF(OR(F2138="",G2138=""),"",F2138*G2138+IF(J2138="",0,J2138)))</f>
        <v/>
      </c>
      <c r="I2138" s="3" t="n"/>
      <c r="J2138" s="3" t="n"/>
      <c r="K2138" s="3" t="n"/>
    </row>
    <row r="2139">
      <c r="A2139" s="3" t="n"/>
      <c r="B2139" s="3" t="n"/>
      <c r="C2139" s="3" t="n"/>
      <c r="D2139" s="3" t="n"/>
      <c r="E2139" s="4">
        <f>IF(A2139="","",COUNTIFS($A$4:A2139,A2139,$I$4:I2139,"&lt;&gt;Штраф -2",$I$4:I2139,"&lt;&gt;ушел на базу"))</f>
        <v/>
      </c>
      <c r="F2139" s="4">
        <f>IF(E2139="","",IF(E2139&lt;=3,6,IF(E2139&lt;=6,5,IF(E2139&lt;=9,4,IF(E2139&lt;=12,3,IF(E2139&lt;=15,2,0))))))</f>
        <v/>
      </c>
      <c r="G2139" s="3" t="n"/>
      <c r="H2139" s="4">
        <f>IF(I2139="Штраф -2",-2,IF(OR(F2139="",G2139=""),"",F2139*G2139+IF(J2139="",0,J2139)))</f>
        <v/>
      </c>
      <c r="I2139" s="3" t="n"/>
      <c r="J2139" s="3" t="n"/>
      <c r="K2139" s="3" t="n"/>
    </row>
    <row r="2140">
      <c r="A2140" s="3" t="n"/>
      <c r="B2140" s="3" t="n"/>
      <c r="C2140" s="3" t="n"/>
      <c r="D2140" s="3" t="n"/>
      <c r="E2140" s="4">
        <f>IF(A2140="","",COUNTIFS($A$4:A2140,A2140,$I$4:I2140,"&lt;&gt;Штраф -2",$I$4:I2140,"&lt;&gt;ушел на базу"))</f>
        <v/>
      </c>
      <c r="F2140" s="4">
        <f>IF(E2140="","",IF(E2140&lt;=3,6,IF(E2140&lt;=6,5,IF(E2140&lt;=9,4,IF(E2140&lt;=12,3,IF(E2140&lt;=15,2,0))))))</f>
        <v/>
      </c>
      <c r="G2140" s="3" t="n"/>
      <c r="H2140" s="4">
        <f>IF(I2140="Штраф -2",-2,IF(OR(F2140="",G2140=""),"",F2140*G2140+IF(J2140="",0,J2140)))</f>
        <v/>
      </c>
      <c r="I2140" s="3" t="n"/>
      <c r="J2140" s="3" t="n"/>
      <c r="K2140" s="3" t="n"/>
    </row>
    <row r="2141">
      <c r="A2141" s="3" t="n"/>
      <c r="B2141" s="3" t="n"/>
      <c r="C2141" s="3" t="n"/>
      <c r="D2141" s="3" t="n"/>
      <c r="E2141" s="4">
        <f>IF(A2141="","",COUNTIFS($A$4:A2141,A2141,$I$4:I2141,"&lt;&gt;Штраф -2",$I$4:I2141,"&lt;&gt;ушел на базу"))</f>
        <v/>
      </c>
      <c r="F2141" s="4">
        <f>IF(E2141="","",IF(E2141&lt;=3,6,IF(E2141&lt;=6,5,IF(E2141&lt;=9,4,IF(E2141&lt;=12,3,IF(E2141&lt;=15,2,0))))))</f>
        <v/>
      </c>
      <c r="G2141" s="3" t="n"/>
      <c r="H2141" s="4">
        <f>IF(I2141="Штраф -2",-2,IF(OR(F2141="",G2141=""),"",F2141*G2141+IF(J2141="",0,J2141)))</f>
        <v/>
      </c>
      <c r="I2141" s="3" t="n"/>
      <c r="J2141" s="3" t="n"/>
      <c r="K2141" s="3" t="n"/>
    </row>
    <row r="2142">
      <c r="A2142" s="3" t="n"/>
      <c r="B2142" s="3" t="n"/>
      <c r="C2142" s="3" t="n"/>
      <c r="D2142" s="3" t="n"/>
      <c r="E2142" s="4">
        <f>IF(A2142="","",COUNTIFS($A$4:A2142,A2142,$I$4:I2142,"&lt;&gt;Штраф -2",$I$4:I2142,"&lt;&gt;ушел на базу"))</f>
        <v/>
      </c>
      <c r="F2142" s="4">
        <f>IF(E2142="","",IF(E2142&lt;=3,6,IF(E2142&lt;=6,5,IF(E2142&lt;=9,4,IF(E2142&lt;=12,3,IF(E2142&lt;=15,2,0))))))</f>
        <v/>
      </c>
      <c r="G2142" s="3" t="n"/>
      <c r="H2142" s="4">
        <f>IF(I2142="Штраф -2",-2,IF(OR(F2142="",G2142=""),"",F2142*G2142+IF(J2142="",0,J2142)))</f>
        <v/>
      </c>
      <c r="I2142" s="3" t="n"/>
      <c r="J2142" s="3" t="n"/>
      <c r="K2142" s="3" t="n"/>
    </row>
    <row r="2143">
      <c r="A2143" s="3" t="n"/>
      <c r="B2143" s="3" t="n"/>
      <c r="C2143" s="3" t="n"/>
      <c r="D2143" s="3" t="n"/>
      <c r="E2143" s="4">
        <f>IF(A2143="","",COUNTIFS($A$4:A2143,A2143,$I$4:I2143,"&lt;&gt;Штраф -2",$I$4:I2143,"&lt;&gt;ушел на базу"))</f>
        <v/>
      </c>
      <c r="F2143" s="4">
        <f>IF(E2143="","",IF(E2143&lt;=3,6,IF(E2143&lt;=6,5,IF(E2143&lt;=9,4,IF(E2143&lt;=12,3,IF(E2143&lt;=15,2,0))))))</f>
        <v/>
      </c>
      <c r="G2143" s="3" t="n"/>
      <c r="H2143" s="4">
        <f>IF(I2143="Штраф -2",-2,IF(OR(F2143="",G2143=""),"",F2143*G2143+IF(J2143="",0,J2143)))</f>
        <v/>
      </c>
      <c r="I2143" s="3" t="n"/>
      <c r="J2143" s="3" t="n"/>
      <c r="K2143" s="3" t="n"/>
    </row>
    <row r="2144">
      <c r="A2144" s="3" t="n"/>
      <c r="B2144" s="3" t="n"/>
      <c r="C2144" s="3" t="n"/>
      <c r="D2144" s="3" t="n"/>
      <c r="E2144" s="4">
        <f>IF(A2144="","",COUNTIFS($A$4:A2144,A2144,$I$4:I2144,"&lt;&gt;Штраф -2",$I$4:I2144,"&lt;&gt;ушел на базу"))</f>
        <v/>
      </c>
      <c r="F2144" s="4">
        <f>IF(E2144="","",IF(E2144&lt;=3,6,IF(E2144&lt;=6,5,IF(E2144&lt;=9,4,IF(E2144&lt;=12,3,IF(E2144&lt;=15,2,0))))))</f>
        <v/>
      </c>
      <c r="G2144" s="3" t="n"/>
      <c r="H2144" s="4">
        <f>IF(I2144="Штраф -2",-2,IF(OR(F2144="",G2144=""),"",F2144*G2144+IF(J2144="",0,J2144)))</f>
        <v/>
      </c>
      <c r="I2144" s="3" t="n"/>
      <c r="J2144" s="3" t="n"/>
      <c r="K2144" s="3" t="n"/>
    </row>
    <row r="2145">
      <c r="A2145" s="3" t="n"/>
      <c r="B2145" s="3" t="n"/>
      <c r="C2145" s="3" t="n"/>
      <c r="D2145" s="3" t="n"/>
      <c r="E2145" s="4">
        <f>IF(A2145="","",COUNTIFS($A$4:A2145,A2145,$I$4:I2145,"&lt;&gt;Штраф -2",$I$4:I2145,"&lt;&gt;ушел на базу"))</f>
        <v/>
      </c>
      <c r="F2145" s="4">
        <f>IF(E2145="","",IF(E2145&lt;=3,6,IF(E2145&lt;=6,5,IF(E2145&lt;=9,4,IF(E2145&lt;=12,3,IF(E2145&lt;=15,2,0))))))</f>
        <v/>
      </c>
      <c r="G2145" s="3" t="n"/>
      <c r="H2145" s="4">
        <f>IF(I2145="Штраф -2",-2,IF(OR(F2145="",G2145=""),"",F2145*G2145+IF(J2145="",0,J2145)))</f>
        <v/>
      </c>
      <c r="I2145" s="3" t="n"/>
      <c r="J2145" s="3" t="n"/>
      <c r="K2145" s="3" t="n"/>
    </row>
    <row r="2146">
      <c r="A2146" s="3" t="n"/>
      <c r="B2146" s="3" t="n"/>
      <c r="C2146" s="3" t="n"/>
      <c r="D2146" s="3" t="n"/>
      <c r="E2146" s="4">
        <f>IF(A2146="","",COUNTIFS($A$4:A2146,A2146,$I$4:I2146,"&lt;&gt;Штраф -2",$I$4:I2146,"&lt;&gt;ушел на базу"))</f>
        <v/>
      </c>
      <c r="F2146" s="4">
        <f>IF(E2146="","",IF(E2146&lt;=3,6,IF(E2146&lt;=6,5,IF(E2146&lt;=9,4,IF(E2146&lt;=12,3,IF(E2146&lt;=15,2,0))))))</f>
        <v/>
      </c>
      <c r="G2146" s="3" t="n"/>
      <c r="H2146" s="4">
        <f>IF(I2146="Штраф -2",-2,IF(OR(F2146="",G2146=""),"",F2146*G2146+IF(J2146="",0,J2146)))</f>
        <v/>
      </c>
      <c r="I2146" s="3" t="n"/>
      <c r="J2146" s="3" t="n"/>
      <c r="K2146" s="3" t="n"/>
    </row>
    <row r="2147">
      <c r="A2147" s="3" t="n"/>
      <c r="B2147" s="3" t="n"/>
      <c r="C2147" s="3" t="n"/>
      <c r="D2147" s="3" t="n"/>
      <c r="E2147" s="4">
        <f>IF(A2147="","",COUNTIFS($A$4:A2147,A2147,$I$4:I2147,"&lt;&gt;Штраф -2",$I$4:I2147,"&lt;&gt;ушел на базу"))</f>
        <v/>
      </c>
      <c r="F2147" s="4">
        <f>IF(E2147="","",IF(E2147&lt;=3,6,IF(E2147&lt;=6,5,IF(E2147&lt;=9,4,IF(E2147&lt;=12,3,IF(E2147&lt;=15,2,0))))))</f>
        <v/>
      </c>
      <c r="G2147" s="3" t="n"/>
      <c r="H2147" s="4">
        <f>IF(I2147="Штраф -2",-2,IF(OR(F2147="",G2147=""),"",F2147*G2147+IF(J2147="",0,J2147)))</f>
        <v/>
      </c>
      <c r="I2147" s="3" t="n"/>
      <c r="J2147" s="3" t="n"/>
      <c r="K2147" s="3" t="n"/>
    </row>
    <row r="2148">
      <c r="A2148" s="3" t="n"/>
      <c r="B2148" s="3" t="n"/>
      <c r="C2148" s="3" t="n"/>
      <c r="D2148" s="3" t="n"/>
      <c r="E2148" s="4">
        <f>IF(A2148="","",COUNTIFS($A$4:A2148,A2148,$I$4:I2148,"&lt;&gt;Штраф -2",$I$4:I2148,"&lt;&gt;ушел на базу"))</f>
        <v/>
      </c>
      <c r="F2148" s="4">
        <f>IF(E2148="","",IF(E2148&lt;=3,6,IF(E2148&lt;=6,5,IF(E2148&lt;=9,4,IF(E2148&lt;=12,3,IF(E2148&lt;=15,2,0))))))</f>
        <v/>
      </c>
      <c r="G2148" s="3" t="n"/>
      <c r="H2148" s="4">
        <f>IF(I2148="Штраф -2",-2,IF(OR(F2148="",G2148=""),"",F2148*G2148+IF(J2148="",0,J2148)))</f>
        <v/>
      </c>
      <c r="I2148" s="3" t="n"/>
      <c r="J2148" s="3" t="n"/>
      <c r="K2148" s="3" t="n"/>
    </row>
    <row r="2149">
      <c r="A2149" s="3" t="n"/>
      <c r="B2149" s="3" t="n"/>
      <c r="C2149" s="3" t="n"/>
      <c r="D2149" s="3" t="n"/>
      <c r="E2149" s="4">
        <f>IF(A2149="","",COUNTIFS($A$4:A2149,A2149,$I$4:I2149,"&lt;&gt;Штраф -2",$I$4:I2149,"&lt;&gt;ушел на базу"))</f>
        <v/>
      </c>
      <c r="F2149" s="4">
        <f>IF(E2149="","",IF(E2149&lt;=3,6,IF(E2149&lt;=6,5,IF(E2149&lt;=9,4,IF(E2149&lt;=12,3,IF(E2149&lt;=15,2,0))))))</f>
        <v/>
      </c>
      <c r="G2149" s="3" t="n"/>
      <c r="H2149" s="4">
        <f>IF(I2149="Штраф -2",-2,IF(OR(F2149="",G2149=""),"",F2149*G2149+IF(J2149="",0,J2149)))</f>
        <v/>
      </c>
      <c r="I2149" s="3" t="n"/>
      <c r="J2149" s="3" t="n"/>
      <c r="K2149" s="3" t="n"/>
    </row>
    <row r="2150">
      <c r="A2150" s="3" t="n"/>
      <c r="B2150" s="3" t="n"/>
      <c r="C2150" s="3" t="n"/>
      <c r="D2150" s="3" t="n"/>
      <c r="E2150" s="4">
        <f>IF(A2150="","",COUNTIFS($A$4:A2150,A2150,$I$4:I2150,"&lt;&gt;Штраф -2",$I$4:I2150,"&lt;&gt;ушел на базу"))</f>
        <v/>
      </c>
      <c r="F2150" s="4">
        <f>IF(E2150="","",IF(E2150&lt;=3,6,IF(E2150&lt;=6,5,IF(E2150&lt;=9,4,IF(E2150&lt;=12,3,IF(E2150&lt;=15,2,0))))))</f>
        <v/>
      </c>
      <c r="G2150" s="3" t="n"/>
      <c r="H2150" s="4">
        <f>IF(I2150="Штраф -2",-2,IF(OR(F2150="",G2150=""),"",F2150*G2150+IF(J2150="",0,J2150)))</f>
        <v/>
      </c>
      <c r="I2150" s="3" t="n"/>
      <c r="J2150" s="3" t="n"/>
      <c r="K2150" s="3" t="n"/>
    </row>
    <row r="2151">
      <c r="A2151" s="3" t="n"/>
      <c r="B2151" s="3" t="n"/>
      <c r="C2151" s="3" t="n"/>
      <c r="D2151" s="3" t="n"/>
      <c r="E2151" s="4">
        <f>IF(A2151="","",COUNTIFS($A$4:A2151,A2151,$I$4:I2151,"&lt;&gt;Штраф -2",$I$4:I2151,"&lt;&gt;ушел на базу"))</f>
        <v/>
      </c>
      <c r="F2151" s="4">
        <f>IF(E2151="","",IF(E2151&lt;=3,6,IF(E2151&lt;=6,5,IF(E2151&lt;=9,4,IF(E2151&lt;=12,3,IF(E2151&lt;=15,2,0))))))</f>
        <v/>
      </c>
      <c r="G2151" s="3" t="n"/>
      <c r="H2151" s="4">
        <f>IF(I2151="Штраф -2",-2,IF(OR(F2151="",G2151=""),"",F2151*G2151+IF(J2151="",0,J2151)))</f>
        <v/>
      </c>
      <c r="I2151" s="3" t="n"/>
      <c r="J2151" s="3" t="n"/>
      <c r="K2151" s="3" t="n"/>
    </row>
    <row r="2152">
      <c r="A2152" s="3" t="n"/>
      <c r="B2152" s="3" t="n"/>
      <c r="C2152" s="3" t="n"/>
      <c r="D2152" s="3" t="n"/>
      <c r="E2152" s="4">
        <f>IF(A2152="","",COUNTIFS($A$4:A2152,A2152,$I$4:I2152,"&lt;&gt;Штраф -2",$I$4:I2152,"&lt;&gt;ушел на базу"))</f>
        <v/>
      </c>
      <c r="F2152" s="4">
        <f>IF(E2152="","",IF(E2152&lt;=3,6,IF(E2152&lt;=6,5,IF(E2152&lt;=9,4,IF(E2152&lt;=12,3,IF(E2152&lt;=15,2,0))))))</f>
        <v/>
      </c>
      <c r="G2152" s="3" t="n"/>
      <c r="H2152" s="4">
        <f>IF(I2152="Штраф -2",-2,IF(OR(F2152="",G2152=""),"",F2152*G2152+IF(J2152="",0,J2152)))</f>
        <v/>
      </c>
      <c r="I2152" s="3" t="n"/>
      <c r="J2152" s="3" t="n"/>
      <c r="K2152" s="3" t="n"/>
    </row>
    <row r="2153">
      <c r="A2153" s="3" t="n"/>
      <c r="B2153" s="3" t="n"/>
      <c r="C2153" s="3" t="n"/>
      <c r="D2153" s="3" t="n"/>
      <c r="E2153" s="4">
        <f>IF(A2153="","",COUNTIFS($A$4:A2153,A2153,$I$4:I2153,"&lt;&gt;Штраф -2",$I$4:I2153,"&lt;&gt;ушел на базу"))</f>
        <v/>
      </c>
      <c r="F2153" s="4">
        <f>IF(E2153="","",IF(E2153&lt;=3,6,IF(E2153&lt;=6,5,IF(E2153&lt;=9,4,IF(E2153&lt;=12,3,IF(E2153&lt;=15,2,0))))))</f>
        <v/>
      </c>
      <c r="G2153" s="3" t="n"/>
      <c r="H2153" s="4">
        <f>IF(I2153="Штраф -2",-2,IF(OR(F2153="",G2153=""),"",F2153*G2153+IF(J2153="",0,J2153)))</f>
        <v/>
      </c>
      <c r="I2153" s="3" t="n"/>
      <c r="J2153" s="3" t="n"/>
      <c r="K2153" s="3" t="n"/>
    </row>
    <row r="2154">
      <c r="A2154" s="3" t="n"/>
      <c r="B2154" s="3" t="n"/>
      <c r="C2154" s="3" t="n"/>
      <c r="D2154" s="3" t="n"/>
      <c r="E2154" s="4">
        <f>IF(A2154="","",COUNTIFS($A$4:A2154,A2154,$I$4:I2154,"&lt;&gt;Штраф -2",$I$4:I2154,"&lt;&gt;ушел на базу"))</f>
        <v/>
      </c>
      <c r="F2154" s="4">
        <f>IF(E2154="","",IF(E2154&lt;=3,6,IF(E2154&lt;=6,5,IF(E2154&lt;=9,4,IF(E2154&lt;=12,3,IF(E2154&lt;=15,2,0))))))</f>
        <v/>
      </c>
      <c r="G2154" s="3" t="n"/>
      <c r="H2154" s="4">
        <f>IF(I2154="Штраф -2",-2,IF(OR(F2154="",G2154=""),"",F2154*G2154+IF(J2154="",0,J2154)))</f>
        <v/>
      </c>
      <c r="I2154" s="3" t="n"/>
      <c r="J2154" s="3" t="n"/>
      <c r="K2154" s="3" t="n"/>
    </row>
    <row r="2155">
      <c r="A2155" s="3" t="n"/>
      <c r="B2155" s="3" t="n"/>
      <c r="C2155" s="3" t="n"/>
      <c r="D2155" s="3" t="n"/>
      <c r="E2155" s="4">
        <f>IF(A2155="","",COUNTIFS($A$4:A2155,A2155,$I$4:I2155,"&lt;&gt;Штраф -2",$I$4:I2155,"&lt;&gt;ушел на базу"))</f>
        <v/>
      </c>
      <c r="F2155" s="4">
        <f>IF(E2155="","",IF(E2155&lt;=3,6,IF(E2155&lt;=6,5,IF(E2155&lt;=9,4,IF(E2155&lt;=12,3,IF(E2155&lt;=15,2,0))))))</f>
        <v/>
      </c>
      <c r="G2155" s="3" t="n"/>
      <c r="H2155" s="4">
        <f>IF(I2155="Штраф -2",-2,IF(OR(F2155="",G2155=""),"",F2155*G2155+IF(J2155="",0,J2155)))</f>
        <v/>
      </c>
      <c r="I2155" s="3" t="n"/>
      <c r="J2155" s="3" t="n"/>
      <c r="K2155" s="3" t="n"/>
    </row>
    <row r="2156">
      <c r="A2156" s="3" t="n"/>
      <c r="B2156" s="3" t="n"/>
      <c r="C2156" s="3" t="n"/>
      <c r="D2156" s="3" t="n"/>
      <c r="E2156" s="4">
        <f>IF(A2156="","",COUNTIFS($A$4:A2156,A2156,$I$4:I2156,"&lt;&gt;Штраф -2",$I$4:I2156,"&lt;&gt;ушел на базу"))</f>
        <v/>
      </c>
      <c r="F2156" s="4">
        <f>IF(E2156="","",IF(E2156&lt;=3,6,IF(E2156&lt;=6,5,IF(E2156&lt;=9,4,IF(E2156&lt;=12,3,IF(E2156&lt;=15,2,0))))))</f>
        <v/>
      </c>
      <c r="G2156" s="3" t="n"/>
      <c r="H2156" s="4">
        <f>IF(I2156="Штраф -2",-2,IF(OR(F2156="",G2156=""),"",F2156*G2156+IF(J2156="",0,J2156)))</f>
        <v/>
      </c>
      <c r="I2156" s="3" t="n"/>
      <c r="J2156" s="3" t="n"/>
      <c r="K2156" s="3" t="n"/>
    </row>
    <row r="2157">
      <c r="A2157" s="3" t="n"/>
      <c r="B2157" s="3" t="n"/>
      <c r="C2157" s="3" t="n"/>
      <c r="D2157" s="3" t="n"/>
      <c r="E2157" s="4">
        <f>IF(A2157="","",COUNTIFS($A$4:A2157,A2157,$I$4:I2157,"&lt;&gt;Штраф -2",$I$4:I2157,"&lt;&gt;ушел на базу"))</f>
        <v/>
      </c>
      <c r="F2157" s="4">
        <f>IF(E2157="","",IF(E2157&lt;=3,6,IF(E2157&lt;=6,5,IF(E2157&lt;=9,4,IF(E2157&lt;=12,3,IF(E2157&lt;=15,2,0))))))</f>
        <v/>
      </c>
      <c r="G2157" s="3" t="n"/>
      <c r="H2157" s="4">
        <f>IF(I2157="Штраф -2",-2,IF(OR(F2157="",G2157=""),"",F2157*G2157+IF(J2157="",0,J2157)))</f>
        <v/>
      </c>
      <c r="I2157" s="3" t="n"/>
      <c r="J2157" s="3" t="n"/>
      <c r="K2157" s="3" t="n"/>
    </row>
    <row r="2158">
      <c r="A2158" s="3" t="n"/>
      <c r="B2158" s="3" t="n"/>
      <c r="C2158" s="3" t="n"/>
      <c r="D2158" s="3" t="n"/>
      <c r="E2158" s="4">
        <f>IF(A2158="","",COUNTIFS($A$4:A2158,A2158,$I$4:I2158,"&lt;&gt;Штраф -2",$I$4:I2158,"&lt;&gt;ушел на базу"))</f>
        <v/>
      </c>
      <c r="F2158" s="4">
        <f>IF(E2158="","",IF(E2158&lt;=3,6,IF(E2158&lt;=6,5,IF(E2158&lt;=9,4,IF(E2158&lt;=12,3,IF(E2158&lt;=15,2,0))))))</f>
        <v/>
      </c>
      <c r="G2158" s="3" t="n"/>
      <c r="H2158" s="4">
        <f>IF(I2158="Штраф -2",-2,IF(OR(F2158="",G2158=""),"",F2158*G2158+IF(J2158="",0,J2158)))</f>
        <v/>
      </c>
      <c r="I2158" s="3" t="n"/>
      <c r="J2158" s="3" t="n"/>
      <c r="K2158" s="3" t="n"/>
    </row>
    <row r="2159">
      <c r="A2159" s="3" t="n"/>
      <c r="B2159" s="3" t="n"/>
      <c r="C2159" s="3" t="n"/>
      <c r="D2159" s="3" t="n"/>
      <c r="E2159" s="4">
        <f>IF(A2159="","",COUNTIFS($A$4:A2159,A2159,$I$4:I2159,"&lt;&gt;Штраф -2",$I$4:I2159,"&lt;&gt;ушел на базу"))</f>
        <v/>
      </c>
      <c r="F2159" s="4">
        <f>IF(E2159="","",IF(E2159&lt;=3,6,IF(E2159&lt;=6,5,IF(E2159&lt;=9,4,IF(E2159&lt;=12,3,IF(E2159&lt;=15,2,0))))))</f>
        <v/>
      </c>
      <c r="G2159" s="3" t="n"/>
      <c r="H2159" s="4">
        <f>IF(I2159="Штраф -2",-2,IF(OR(F2159="",G2159=""),"",F2159*G2159+IF(J2159="",0,J2159)))</f>
        <v/>
      </c>
      <c r="I2159" s="3" t="n"/>
      <c r="J2159" s="3" t="n"/>
      <c r="K2159" s="3" t="n"/>
    </row>
    <row r="2160">
      <c r="A2160" s="3" t="n"/>
      <c r="B2160" s="3" t="n"/>
      <c r="C2160" s="3" t="n"/>
      <c r="D2160" s="3" t="n"/>
      <c r="E2160" s="4">
        <f>IF(A2160="","",COUNTIFS($A$4:A2160,A2160,$I$4:I2160,"&lt;&gt;Штраф -2",$I$4:I2160,"&lt;&gt;ушел на базу"))</f>
        <v/>
      </c>
      <c r="F2160" s="4">
        <f>IF(E2160="","",IF(E2160&lt;=3,6,IF(E2160&lt;=6,5,IF(E2160&lt;=9,4,IF(E2160&lt;=12,3,IF(E2160&lt;=15,2,0))))))</f>
        <v/>
      </c>
      <c r="G2160" s="3" t="n"/>
      <c r="H2160" s="4">
        <f>IF(I2160="Штраф -2",-2,IF(OR(F2160="",G2160=""),"",F2160*G2160+IF(J2160="",0,J2160)))</f>
        <v/>
      </c>
      <c r="I2160" s="3" t="n"/>
      <c r="J2160" s="3" t="n"/>
      <c r="K2160" s="3" t="n"/>
    </row>
    <row r="2161">
      <c r="A2161" s="3" t="n"/>
      <c r="B2161" s="3" t="n"/>
      <c r="C2161" s="3" t="n"/>
      <c r="D2161" s="3" t="n"/>
      <c r="E2161" s="4">
        <f>IF(A2161="","",COUNTIFS($A$4:A2161,A2161,$I$4:I2161,"&lt;&gt;Штраф -2",$I$4:I2161,"&lt;&gt;ушел на базу"))</f>
        <v/>
      </c>
      <c r="F2161" s="4">
        <f>IF(E2161="","",IF(E2161&lt;=3,6,IF(E2161&lt;=6,5,IF(E2161&lt;=9,4,IF(E2161&lt;=12,3,IF(E2161&lt;=15,2,0))))))</f>
        <v/>
      </c>
      <c r="G2161" s="3" t="n"/>
      <c r="H2161" s="4">
        <f>IF(I2161="Штраф -2",-2,IF(OR(F2161="",G2161=""),"",F2161*G2161+IF(J2161="",0,J2161)))</f>
        <v/>
      </c>
      <c r="I2161" s="3" t="n"/>
      <c r="J2161" s="3" t="n"/>
      <c r="K2161" s="3" t="n"/>
    </row>
    <row r="2162">
      <c r="A2162" s="3" t="n"/>
      <c r="B2162" s="3" t="n"/>
      <c r="C2162" s="3" t="n"/>
      <c r="D2162" s="3" t="n"/>
      <c r="E2162" s="4">
        <f>IF(A2162="","",COUNTIFS($A$4:A2162,A2162,$I$4:I2162,"&lt;&gt;Штраф -2",$I$4:I2162,"&lt;&gt;ушел на базу"))</f>
        <v/>
      </c>
      <c r="F2162" s="4">
        <f>IF(E2162="","",IF(E2162&lt;=3,6,IF(E2162&lt;=6,5,IF(E2162&lt;=9,4,IF(E2162&lt;=12,3,IF(E2162&lt;=15,2,0))))))</f>
        <v/>
      </c>
      <c r="G2162" s="3" t="n"/>
      <c r="H2162" s="4">
        <f>IF(I2162="Штраф -2",-2,IF(OR(F2162="",G2162=""),"",F2162*G2162+IF(J2162="",0,J2162)))</f>
        <v/>
      </c>
      <c r="I2162" s="3" t="n"/>
      <c r="J2162" s="3" t="n"/>
      <c r="K2162" s="3" t="n"/>
    </row>
    <row r="2163">
      <c r="A2163" s="3" t="n"/>
      <c r="B2163" s="3" t="n"/>
      <c r="C2163" s="3" t="n"/>
      <c r="D2163" s="3" t="n"/>
      <c r="E2163" s="4">
        <f>IF(A2163="","",COUNTIFS($A$4:A2163,A2163,$I$4:I2163,"&lt;&gt;Штраф -2",$I$4:I2163,"&lt;&gt;ушел на базу"))</f>
        <v/>
      </c>
      <c r="F2163" s="4">
        <f>IF(E2163="","",IF(E2163&lt;=3,6,IF(E2163&lt;=6,5,IF(E2163&lt;=9,4,IF(E2163&lt;=12,3,IF(E2163&lt;=15,2,0))))))</f>
        <v/>
      </c>
      <c r="G2163" s="3" t="n"/>
      <c r="H2163" s="4">
        <f>IF(I2163="Штраф -2",-2,IF(OR(F2163="",G2163=""),"",F2163*G2163+IF(J2163="",0,J2163)))</f>
        <v/>
      </c>
      <c r="I2163" s="3" t="n"/>
      <c r="J2163" s="3" t="n"/>
      <c r="K2163" s="3" t="n"/>
    </row>
    <row r="2164">
      <c r="A2164" s="3" t="n"/>
      <c r="B2164" s="3" t="n"/>
      <c r="C2164" s="3" t="n"/>
      <c r="D2164" s="3" t="n"/>
      <c r="E2164" s="4">
        <f>IF(A2164="","",COUNTIFS($A$4:A2164,A2164,$I$4:I2164,"&lt;&gt;Штраф -2",$I$4:I2164,"&lt;&gt;ушел на базу"))</f>
        <v/>
      </c>
      <c r="F2164" s="4">
        <f>IF(E2164="","",IF(E2164&lt;=3,6,IF(E2164&lt;=6,5,IF(E2164&lt;=9,4,IF(E2164&lt;=12,3,IF(E2164&lt;=15,2,0))))))</f>
        <v/>
      </c>
      <c r="G2164" s="3" t="n"/>
      <c r="H2164" s="4">
        <f>IF(I2164="Штраф -2",-2,IF(OR(F2164="",G2164=""),"",F2164*G2164+IF(J2164="",0,J2164)))</f>
        <v/>
      </c>
      <c r="I2164" s="3" t="n"/>
      <c r="J2164" s="3" t="n"/>
      <c r="K2164" s="3" t="n"/>
    </row>
    <row r="2165">
      <c r="A2165" s="3" t="n"/>
      <c r="B2165" s="3" t="n"/>
      <c r="C2165" s="3" t="n"/>
      <c r="D2165" s="3" t="n"/>
      <c r="E2165" s="4">
        <f>IF(A2165="","",COUNTIFS($A$4:A2165,A2165,$I$4:I2165,"&lt;&gt;Штраф -2",$I$4:I2165,"&lt;&gt;ушел на базу"))</f>
        <v/>
      </c>
      <c r="F2165" s="4">
        <f>IF(E2165="","",IF(E2165&lt;=3,6,IF(E2165&lt;=6,5,IF(E2165&lt;=9,4,IF(E2165&lt;=12,3,IF(E2165&lt;=15,2,0))))))</f>
        <v/>
      </c>
      <c r="G2165" s="3" t="n"/>
      <c r="H2165" s="4">
        <f>IF(I2165="Штраф -2",-2,IF(OR(F2165="",G2165=""),"",F2165*G2165+IF(J2165="",0,J2165)))</f>
        <v/>
      </c>
      <c r="I2165" s="3" t="n"/>
      <c r="J2165" s="3" t="n"/>
      <c r="K2165" s="3" t="n"/>
    </row>
    <row r="2166">
      <c r="A2166" s="3" t="n"/>
      <c r="B2166" s="3" t="n"/>
      <c r="C2166" s="3" t="n"/>
      <c r="D2166" s="3" t="n"/>
      <c r="E2166" s="4">
        <f>IF(A2166="","",COUNTIFS($A$4:A2166,A2166,$I$4:I2166,"&lt;&gt;Штраф -2",$I$4:I2166,"&lt;&gt;ушел на базу"))</f>
        <v/>
      </c>
      <c r="F2166" s="4">
        <f>IF(E2166="","",IF(E2166&lt;=3,6,IF(E2166&lt;=6,5,IF(E2166&lt;=9,4,IF(E2166&lt;=12,3,IF(E2166&lt;=15,2,0))))))</f>
        <v/>
      </c>
      <c r="G2166" s="3" t="n"/>
      <c r="H2166" s="4">
        <f>IF(I2166="Штраф -2",-2,IF(OR(F2166="",G2166=""),"",F2166*G2166+IF(J2166="",0,J2166)))</f>
        <v/>
      </c>
      <c r="I2166" s="3" t="n"/>
      <c r="J2166" s="3" t="n"/>
      <c r="K2166" s="3" t="n"/>
    </row>
    <row r="2167">
      <c r="A2167" s="3" t="n"/>
      <c r="B2167" s="3" t="n"/>
      <c r="C2167" s="3" t="n"/>
      <c r="D2167" s="3" t="n"/>
      <c r="E2167" s="4">
        <f>IF(A2167="","",COUNTIFS($A$4:A2167,A2167,$I$4:I2167,"&lt;&gt;Штраф -2",$I$4:I2167,"&lt;&gt;ушел на базу"))</f>
        <v/>
      </c>
      <c r="F2167" s="4">
        <f>IF(E2167="","",IF(E2167&lt;=3,6,IF(E2167&lt;=6,5,IF(E2167&lt;=9,4,IF(E2167&lt;=12,3,IF(E2167&lt;=15,2,0))))))</f>
        <v/>
      </c>
      <c r="G2167" s="3" t="n"/>
      <c r="H2167" s="4">
        <f>IF(I2167="Штраф -2",-2,IF(OR(F2167="",G2167=""),"",F2167*G2167+IF(J2167="",0,J2167)))</f>
        <v/>
      </c>
      <c r="I2167" s="3" t="n"/>
      <c r="J2167" s="3" t="n"/>
      <c r="K2167" s="3" t="n"/>
    </row>
    <row r="2168">
      <c r="A2168" s="3" t="n"/>
      <c r="B2168" s="3" t="n"/>
      <c r="C2168" s="3" t="n"/>
      <c r="D2168" s="3" t="n"/>
      <c r="E2168" s="4">
        <f>IF(A2168="","",COUNTIFS($A$4:A2168,A2168,$I$4:I2168,"&lt;&gt;Штраф -2",$I$4:I2168,"&lt;&gt;ушел на базу"))</f>
        <v/>
      </c>
      <c r="F2168" s="4">
        <f>IF(E2168="","",IF(E2168&lt;=3,6,IF(E2168&lt;=6,5,IF(E2168&lt;=9,4,IF(E2168&lt;=12,3,IF(E2168&lt;=15,2,0))))))</f>
        <v/>
      </c>
      <c r="G2168" s="3" t="n"/>
      <c r="H2168" s="4">
        <f>IF(I2168="Штраф -2",-2,IF(OR(F2168="",G2168=""),"",F2168*G2168+IF(J2168="",0,J2168)))</f>
        <v/>
      </c>
      <c r="I2168" s="3" t="n"/>
      <c r="J2168" s="3" t="n"/>
      <c r="K2168" s="3" t="n"/>
    </row>
    <row r="2169">
      <c r="A2169" s="3" t="n"/>
      <c r="B2169" s="3" t="n"/>
      <c r="C2169" s="3" t="n"/>
      <c r="D2169" s="3" t="n"/>
      <c r="E2169" s="4">
        <f>IF(A2169="","",COUNTIFS($A$4:A2169,A2169,$I$4:I2169,"&lt;&gt;Штраф -2",$I$4:I2169,"&lt;&gt;ушел на базу"))</f>
        <v/>
      </c>
      <c r="F2169" s="4">
        <f>IF(E2169="","",IF(E2169&lt;=3,6,IF(E2169&lt;=6,5,IF(E2169&lt;=9,4,IF(E2169&lt;=12,3,IF(E2169&lt;=15,2,0))))))</f>
        <v/>
      </c>
      <c r="G2169" s="3" t="n"/>
      <c r="H2169" s="4">
        <f>IF(I2169="Штраф -2",-2,IF(OR(F2169="",G2169=""),"",F2169*G2169+IF(J2169="",0,J2169)))</f>
        <v/>
      </c>
      <c r="I2169" s="3" t="n"/>
      <c r="J2169" s="3" t="n"/>
      <c r="K2169" s="3" t="n"/>
    </row>
    <row r="2170">
      <c r="A2170" s="3" t="n"/>
      <c r="B2170" s="3" t="n"/>
      <c r="C2170" s="3" t="n"/>
      <c r="D2170" s="3" t="n"/>
      <c r="E2170" s="4">
        <f>IF(A2170="","",COUNTIFS($A$4:A2170,A2170,$I$4:I2170,"&lt;&gt;Штраф -2",$I$4:I2170,"&lt;&gt;ушел на базу"))</f>
        <v/>
      </c>
      <c r="F2170" s="4">
        <f>IF(E2170="","",IF(E2170&lt;=3,6,IF(E2170&lt;=6,5,IF(E2170&lt;=9,4,IF(E2170&lt;=12,3,IF(E2170&lt;=15,2,0))))))</f>
        <v/>
      </c>
      <c r="G2170" s="3" t="n"/>
      <c r="H2170" s="4">
        <f>IF(I2170="Штраф -2",-2,IF(OR(F2170="",G2170=""),"",F2170*G2170+IF(J2170="",0,J2170)))</f>
        <v/>
      </c>
      <c r="I2170" s="3" t="n"/>
      <c r="J2170" s="3" t="n"/>
      <c r="K2170" s="3" t="n"/>
    </row>
    <row r="2171">
      <c r="A2171" s="3" t="n"/>
      <c r="B2171" s="3" t="n"/>
      <c r="C2171" s="3" t="n"/>
      <c r="D2171" s="3" t="n"/>
      <c r="E2171" s="4">
        <f>IF(A2171="","",COUNTIFS($A$4:A2171,A2171,$I$4:I2171,"&lt;&gt;Штраф -2",$I$4:I2171,"&lt;&gt;ушел на базу"))</f>
        <v/>
      </c>
      <c r="F2171" s="4">
        <f>IF(E2171="","",IF(E2171&lt;=3,6,IF(E2171&lt;=6,5,IF(E2171&lt;=9,4,IF(E2171&lt;=12,3,IF(E2171&lt;=15,2,0))))))</f>
        <v/>
      </c>
      <c r="G2171" s="3" t="n"/>
      <c r="H2171" s="4">
        <f>IF(I2171="Штраф -2",-2,IF(OR(F2171="",G2171=""),"",F2171*G2171+IF(J2171="",0,J2171)))</f>
        <v/>
      </c>
      <c r="I2171" s="3" t="n"/>
      <c r="J2171" s="3" t="n"/>
      <c r="K2171" s="3" t="n"/>
    </row>
    <row r="2172">
      <c r="A2172" s="3" t="n"/>
      <c r="B2172" s="3" t="n"/>
      <c r="C2172" s="3" t="n"/>
      <c r="D2172" s="3" t="n"/>
      <c r="E2172" s="4">
        <f>IF(A2172="","",COUNTIFS($A$4:A2172,A2172,$I$4:I2172,"&lt;&gt;Штраф -2",$I$4:I2172,"&lt;&gt;ушел на базу"))</f>
        <v/>
      </c>
      <c r="F2172" s="4">
        <f>IF(E2172="","",IF(E2172&lt;=3,6,IF(E2172&lt;=6,5,IF(E2172&lt;=9,4,IF(E2172&lt;=12,3,IF(E2172&lt;=15,2,0))))))</f>
        <v/>
      </c>
      <c r="G2172" s="3" t="n"/>
      <c r="H2172" s="4">
        <f>IF(I2172="Штраф -2",-2,IF(OR(F2172="",G2172=""),"",F2172*G2172+IF(J2172="",0,J2172)))</f>
        <v/>
      </c>
      <c r="I2172" s="3" t="n"/>
      <c r="J2172" s="3" t="n"/>
      <c r="K2172" s="3" t="n"/>
    </row>
    <row r="2173">
      <c r="A2173" s="3" t="n"/>
      <c r="B2173" s="3" t="n"/>
      <c r="C2173" s="3" t="n"/>
      <c r="D2173" s="3" t="n"/>
      <c r="E2173" s="4">
        <f>IF(A2173="","",COUNTIFS($A$4:A2173,A2173,$I$4:I2173,"&lt;&gt;Штраф -2",$I$4:I2173,"&lt;&gt;ушел на базу"))</f>
        <v/>
      </c>
      <c r="F2173" s="4">
        <f>IF(E2173="","",IF(E2173&lt;=3,6,IF(E2173&lt;=6,5,IF(E2173&lt;=9,4,IF(E2173&lt;=12,3,IF(E2173&lt;=15,2,0))))))</f>
        <v/>
      </c>
      <c r="G2173" s="3" t="n"/>
      <c r="H2173" s="4">
        <f>IF(I2173="Штраф -2",-2,IF(OR(F2173="",G2173=""),"",F2173*G2173+IF(J2173="",0,J2173)))</f>
        <v/>
      </c>
      <c r="I2173" s="3" t="n"/>
      <c r="J2173" s="3" t="n"/>
      <c r="K2173" s="3" t="n"/>
    </row>
    <row r="2174">
      <c r="A2174" s="3" t="n"/>
      <c r="B2174" s="3" t="n"/>
      <c r="C2174" s="3" t="n"/>
      <c r="D2174" s="3" t="n"/>
      <c r="E2174" s="4">
        <f>IF(A2174="","",COUNTIFS($A$4:A2174,A2174,$I$4:I2174,"&lt;&gt;Штраф -2",$I$4:I2174,"&lt;&gt;ушел на базу"))</f>
        <v/>
      </c>
      <c r="F2174" s="4">
        <f>IF(E2174="","",IF(E2174&lt;=3,6,IF(E2174&lt;=6,5,IF(E2174&lt;=9,4,IF(E2174&lt;=12,3,IF(E2174&lt;=15,2,0))))))</f>
        <v/>
      </c>
      <c r="G2174" s="3" t="n"/>
      <c r="H2174" s="4">
        <f>IF(I2174="Штраф -2",-2,IF(OR(F2174="",G2174=""),"",F2174*G2174+IF(J2174="",0,J2174)))</f>
        <v/>
      </c>
      <c r="I2174" s="3" t="n"/>
      <c r="J2174" s="3" t="n"/>
      <c r="K2174" s="3" t="n"/>
    </row>
    <row r="2175">
      <c r="A2175" s="3" t="n"/>
      <c r="B2175" s="3" t="n"/>
      <c r="C2175" s="3" t="n"/>
      <c r="D2175" s="3" t="n"/>
      <c r="E2175" s="4">
        <f>IF(A2175="","",COUNTIFS($A$4:A2175,A2175,$I$4:I2175,"&lt;&gt;Штраф -2",$I$4:I2175,"&lt;&gt;ушел на базу"))</f>
        <v/>
      </c>
      <c r="F2175" s="4">
        <f>IF(E2175="","",IF(E2175&lt;=3,6,IF(E2175&lt;=6,5,IF(E2175&lt;=9,4,IF(E2175&lt;=12,3,IF(E2175&lt;=15,2,0))))))</f>
        <v/>
      </c>
      <c r="G2175" s="3" t="n"/>
      <c r="H2175" s="4">
        <f>IF(I2175="Штраф -2",-2,IF(OR(F2175="",G2175=""),"",F2175*G2175+IF(J2175="",0,J2175)))</f>
        <v/>
      </c>
      <c r="I2175" s="3" t="n"/>
      <c r="J2175" s="3" t="n"/>
      <c r="K2175" s="3" t="n"/>
    </row>
    <row r="2176">
      <c r="A2176" s="3" t="n"/>
      <c r="B2176" s="3" t="n"/>
      <c r="C2176" s="3" t="n"/>
      <c r="D2176" s="3" t="n"/>
      <c r="E2176" s="4">
        <f>IF(A2176="","",COUNTIFS($A$4:A2176,A2176,$I$4:I2176,"&lt;&gt;Штраф -2",$I$4:I2176,"&lt;&gt;ушел на базу"))</f>
        <v/>
      </c>
      <c r="F2176" s="4">
        <f>IF(E2176="","",IF(E2176&lt;=3,6,IF(E2176&lt;=6,5,IF(E2176&lt;=9,4,IF(E2176&lt;=12,3,IF(E2176&lt;=15,2,0))))))</f>
        <v/>
      </c>
      <c r="G2176" s="3" t="n"/>
      <c r="H2176" s="4">
        <f>IF(I2176="Штраф -2",-2,IF(OR(F2176="",G2176=""),"",F2176*G2176+IF(J2176="",0,J2176)))</f>
        <v/>
      </c>
      <c r="I2176" s="3" t="n"/>
      <c r="J2176" s="3" t="n"/>
      <c r="K2176" s="3" t="n"/>
    </row>
    <row r="2177">
      <c r="A2177" s="3" t="n"/>
      <c r="B2177" s="3" t="n"/>
      <c r="C2177" s="3" t="n"/>
      <c r="D2177" s="3" t="n"/>
      <c r="E2177" s="4">
        <f>IF(A2177="","",COUNTIFS($A$4:A2177,A2177,$I$4:I2177,"&lt;&gt;Штраф -2",$I$4:I2177,"&lt;&gt;ушел на базу"))</f>
        <v/>
      </c>
      <c r="F2177" s="4">
        <f>IF(E2177="","",IF(E2177&lt;=3,6,IF(E2177&lt;=6,5,IF(E2177&lt;=9,4,IF(E2177&lt;=12,3,IF(E2177&lt;=15,2,0))))))</f>
        <v/>
      </c>
      <c r="G2177" s="3" t="n"/>
      <c r="H2177" s="4">
        <f>IF(I2177="Штраф -2",-2,IF(OR(F2177="",G2177=""),"",F2177*G2177+IF(J2177="",0,J2177)))</f>
        <v/>
      </c>
      <c r="I2177" s="3" t="n"/>
      <c r="J2177" s="3" t="n"/>
      <c r="K2177" s="3" t="n"/>
    </row>
    <row r="2178">
      <c r="A2178" s="3" t="n"/>
      <c r="B2178" s="3" t="n"/>
      <c r="C2178" s="3" t="n"/>
      <c r="D2178" s="3" t="n"/>
      <c r="E2178" s="4">
        <f>IF(A2178="","",COUNTIFS($A$4:A2178,A2178,$I$4:I2178,"&lt;&gt;Штраф -2",$I$4:I2178,"&lt;&gt;ушел на базу"))</f>
        <v/>
      </c>
      <c r="F2178" s="4">
        <f>IF(E2178="","",IF(E2178&lt;=3,6,IF(E2178&lt;=6,5,IF(E2178&lt;=9,4,IF(E2178&lt;=12,3,IF(E2178&lt;=15,2,0))))))</f>
        <v/>
      </c>
      <c r="G2178" s="3" t="n"/>
      <c r="H2178" s="4">
        <f>IF(I2178="Штраф -2",-2,IF(OR(F2178="",G2178=""),"",F2178*G2178+IF(J2178="",0,J2178)))</f>
        <v/>
      </c>
      <c r="I2178" s="3" t="n"/>
      <c r="J2178" s="3" t="n"/>
      <c r="K2178" s="3" t="n"/>
    </row>
    <row r="2179">
      <c r="A2179" s="3" t="n"/>
      <c r="B2179" s="3" t="n"/>
      <c r="C2179" s="3" t="n"/>
      <c r="D2179" s="3" t="n"/>
      <c r="E2179" s="4">
        <f>IF(A2179="","",COUNTIFS($A$4:A2179,A2179,$I$4:I2179,"&lt;&gt;Штраф -2",$I$4:I2179,"&lt;&gt;ушел на базу"))</f>
        <v/>
      </c>
      <c r="F2179" s="4">
        <f>IF(E2179="","",IF(E2179&lt;=3,6,IF(E2179&lt;=6,5,IF(E2179&lt;=9,4,IF(E2179&lt;=12,3,IF(E2179&lt;=15,2,0))))))</f>
        <v/>
      </c>
      <c r="G2179" s="3" t="n"/>
      <c r="H2179" s="4">
        <f>IF(I2179="Штраф -2",-2,IF(OR(F2179="",G2179=""),"",F2179*G2179+IF(J2179="",0,J2179)))</f>
        <v/>
      </c>
      <c r="I2179" s="3" t="n"/>
      <c r="J2179" s="3" t="n"/>
      <c r="K2179" s="3" t="n"/>
    </row>
    <row r="2180">
      <c r="A2180" s="3" t="n"/>
      <c r="B2180" s="3" t="n"/>
      <c r="C2180" s="3" t="n"/>
      <c r="D2180" s="3" t="n"/>
      <c r="E2180" s="4">
        <f>IF(A2180="","",COUNTIFS($A$4:A2180,A2180,$I$4:I2180,"&lt;&gt;Штраф -2",$I$4:I2180,"&lt;&gt;ушел на базу"))</f>
        <v/>
      </c>
      <c r="F2180" s="4">
        <f>IF(E2180="","",IF(E2180&lt;=3,6,IF(E2180&lt;=6,5,IF(E2180&lt;=9,4,IF(E2180&lt;=12,3,IF(E2180&lt;=15,2,0))))))</f>
        <v/>
      </c>
      <c r="G2180" s="3" t="n"/>
      <c r="H2180" s="4">
        <f>IF(I2180="Штраф -2",-2,IF(OR(F2180="",G2180=""),"",F2180*G2180+IF(J2180="",0,J2180)))</f>
        <v/>
      </c>
      <c r="I2180" s="3" t="n"/>
      <c r="J2180" s="3" t="n"/>
      <c r="K2180" s="3" t="n"/>
    </row>
    <row r="2181">
      <c r="A2181" s="3" t="n"/>
      <c r="B2181" s="3" t="n"/>
      <c r="C2181" s="3" t="n"/>
      <c r="D2181" s="3" t="n"/>
      <c r="E2181" s="4">
        <f>IF(A2181="","",COUNTIFS($A$4:A2181,A2181,$I$4:I2181,"&lt;&gt;Штраф -2",$I$4:I2181,"&lt;&gt;ушел на базу"))</f>
        <v/>
      </c>
      <c r="F2181" s="4">
        <f>IF(E2181="","",IF(E2181&lt;=3,6,IF(E2181&lt;=6,5,IF(E2181&lt;=9,4,IF(E2181&lt;=12,3,IF(E2181&lt;=15,2,0))))))</f>
        <v/>
      </c>
      <c r="G2181" s="3" t="n"/>
      <c r="H2181" s="4">
        <f>IF(I2181="Штраф -2",-2,IF(OR(F2181="",G2181=""),"",F2181*G2181+IF(J2181="",0,J2181)))</f>
        <v/>
      </c>
      <c r="I2181" s="3" t="n"/>
      <c r="J2181" s="3" t="n"/>
      <c r="K2181" s="3" t="n"/>
    </row>
    <row r="2182">
      <c r="A2182" s="3" t="n"/>
      <c r="B2182" s="3" t="n"/>
      <c r="C2182" s="3" t="n"/>
      <c r="D2182" s="3" t="n"/>
      <c r="E2182" s="4">
        <f>IF(A2182="","",COUNTIFS($A$4:A2182,A2182,$I$4:I2182,"&lt;&gt;Штраф -2",$I$4:I2182,"&lt;&gt;ушел на базу"))</f>
        <v/>
      </c>
      <c r="F2182" s="4">
        <f>IF(E2182="","",IF(E2182&lt;=3,6,IF(E2182&lt;=6,5,IF(E2182&lt;=9,4,IF(E2182&lt;=12,3,IF(E2182&lt;=15,2,0))))))</f>
        <v/>
      </c>
      <c r="G2182" s="3" t="n"/>
      <c r="H2182" s="4">
        <f>IF(I2182="Штраф -2",-2,IF(OR(F2182="",G2182=""),"",F2182*G2182+IF(J2182="",0,J2182)))</f>
        <v/>
      </c>
      <c r="I2182" s="3" t="n"/>
      <c r="J2182" s="3" t="n"/>
      <c r="K2182" s="3" t="n"/>
    </row>
    <row r="2183">
      <c r="A2183" s="3" t="n"/>
      <c r="B2183" s="3" t="n"/>
      <c r="C2183" s="3" t="n"/>
      <c r="D2183" s="3" t="n"/>
      <c r="E2183" s="4">
        <f>IF(A2183="","",COUNTIFS($A$4:A2183,A2183,$I$4:I2183,"&lt;&gt;Штраф -2",$I$4:I2183,"&lt;&gt;ушел на базу"))</f>
        <v/>
      </c>
      <c r="F2183" s="4">
        <f>IF(E2183="","",IF(E2183&lt;=3,6,IF(E2183&lt;=6,5,IF(E2183&lt;=9,4,IF(E2183&lt;=12,3,IF(E2183&lt;=15,2,0))))))</f>
        <v/>
      </c>
      <c r="G2183" s="3" t="n"/>
      <c r="H2183" s="4">
        <f>IF(I2183="Штраф -2",-2,IF(OR(F2183="",G2183=""),"",F2183*G2183+IF(J2183="",0,J2183)))</f>
        <v/>
      </c>
      <c r="I2183" s="3" t="n"/>
      <c r="J2183" s="3" t="n"/>
      <c r="K2183" s="3" t="n"/>
    </row>
    <row r="2184">
      <c r="A2184" s="3" t="n"/>
      <c r="B2184" s="3" t="n"/>
      <c r="C2184" s="3" t="n"/>
      <c r="D2184" s="3" t="n"/>
      <c r="E2184" s="4">
        <f>IF(A2184="","",COUNTIFS($A$4:A2184,A2184,$I$4:I2184,"&lt;&gt;Штраф -2",$I$4:I2184,"&lt;&gt;ушел на базу"))</f>
        <v/>
      </c>
      <c r="F2184" s="4">
        <f>IF(E2184="","",IF(E2184&lt;=3,6,IF(E2184&lt;=6,5,IF(E2184&lt;=9,4,IF(E2184&lt;=12,3,IF(E2184&lt;=15,2,0))))))</f>
        <v/>
      </c>
      <c r="G2184" s="3" t="n"/>
      <c r="H2184" s="4">
        <f>IF(I2184="Штраф -2",-2,IF(OR(F2184="",G2184=""),"",F2184*G2184+IF(J2184="",0,J2184)))</f>
        <v/>
      </c>
      <c r="I2184" s="3" t="n"/>
      <c r="J2184" s="3" t="n"/>
      <c r="K2184" s="3" t="n"/>
    </row>
    <row r="2185">
      <c r="A2185" s="3" t="n"/>
      <c r="B2185" s="3" t="n"/>
      <c r="C2185" s="3" t="n"/>
      <c r="D2185" s="3" t="n"/>
      <c r="E2185" s="4">
        <f>IF(A2185="","",COUNTIFS($A$4:A2185,A2185,$I$4:I2185,"&lt;&gt;Штраф -2",$I$4:I2185,"&lt;&gt;ушел на базу"))</f>
        <v/>
      </c>
      <c r="F2185" s="4">
        <f>IF(E2185="","",IF(E2185&lt;=3,6,IF(E2185&lt;=6,5,IF(E2185&lt;=9,4,IF(E2185&lt;=12,3,IF(E2185&lt;=15,2,0))))))</f>
        <v/>
      </c>
      <c r="G2185" s="3" t="n"/>
      <c r="H2185" s="4">
        <f>IF(I2185="Штраф -2",-2,IF(OR(F2185="",G2185=""),"",F2185*G2185+IF(J2185="",0,J2185)))</f>
        <v/>
      </c>
      <c r="I2185" s="3" t="n"/>
      <c r="J2185" s="3" t="n"/>
      <c r="K2185" s="3" t="n"/>
    </row>
    <row r="2186">
      <c r="A2186" s="3" t="n"/>
      <c r="B2186" s="3" t="n"/>
      <c r="C2186" s="3" t="n"/>
      <c r="D2186" s="3" t="n"/>
      <c r="E2186" s="4">
        <f>IF(A2186="","",COUNTIFS($A$4:A2186,A2186,$I$4:I2186,"&lt;&gt;Штраф -2",$I$4:I2186,"&lt;&gt;ушел на базу"))</f>
        <v/>
      </c>
      <c r="F2186" s="4">
        <f>IF(E2186="","",IF(E2186&lt;=3,6,IF(E2186&lt;=6,5,IF(E2186&lt;=9,4,IF(E2186&lt;=12,3,IF(E2186&lt;=15,2,0))))))</f>
        <v/>
      </c>
      <c r="G2186" s="3" t="n"/>
      <c r="H2186" s="4">
        <f>IF(I2186="Штраф -2",-2,IF(OR(F2186="",G2186=""),"",F2186*G2186+IF(J2186="",0,J2186)))</f>
        <v/>
      </c>
      <c r="I2186" s="3" t="n"/>
      <c r="J2186" s="3" t="n"/>
      <c r="K2186" s="3" t="n"/>
    </row>
    <row r="2187">
      <c r="A2187" s="3" t="n"/>
      <c r="B2187" s="3" t="n"/>
      <c r="C2187" s="3" t="n"/>
      <c r="D2187" s="3" t="n"/>
      <c r="E2187" s="4">
        <f>IF(A2187="","",COUNTIFS($A$4:A2187,A2187,$I$4:I2187,"&lt;&gt;Штраф -2",$I$4:I2187,"&lt;&gt;ушел на базу"))</f>
        <v/>
      </c>
      <c r="F2187" s="4">
        <f>IF(E2187="","",IF(E2187&lt;=3,6,IF(E2187&lt;=6,5,IF(E2187&lt;=9,4,IF(E2187&lt;=12,3,IF(E2187&lt;=15,2,0))))))</f>
        <v/>
      </c>
      <c r="G2187" s="3" t="n"/>
      <c r="H2187" s="4">
        <f>IF(I2187="Штраф -2",-2,IF(OR(F2187="",G2187=""),"",F2187*G2187+IF(J2187="",0,J2187)))</f>
        <v/>
      </c>
      <c r="I2187" s="3" t="n"/>
      <c r="J2187" s="3" t="n"/>
      <c r="K2187" s="3" t="n"/>
    </row>
    <row r="2188">
      <c r="A2188" s="3" t="n"/>
      <c r="B2188" s="3" t="n"/>
      <c r="C2188" s="3" t="n"/>
      <c r="D2188" s="3" t="n"/>
      <c r="E2188" s="4">
        <f>IF(A2188="","",COUNTIFS($A$4:A2188,A2188,$I$4:I2188,"&lt;&gt;Штраф -2",$I$4:I2188,"&lt;&gt;ушел на базу"))</f>
        <v/>
      </c>
      <c r="F2188" s="4">
        <f>IF(E2188="","",IF(E2188&lt;=3,6,IF(E2188&lt;=6,5,IF(E2188&lt;=9,4,IF(E2188&lt;=12,3,IF(E2188&lt;=15,2,0))))))</f>
        <v/>
      </c>
      <c r="G2188" s="3" t="n"/>
      <c r="H2188" s="4">
        <f>IF(I2188="Штраф -2",-2,IF(OR(F2188="",G2188=""),"",F2188*G2188+IF(J2188="",0,J2188)))</f>
        <v/>
      </c>
      <c r="I2188" s="3" t="n"/>
      <c r="J2188" s="3" t="n"/>
      <c r="K2188" s="3" t="n"/>
    </row>
    <row r="2189">
      <c r="A2189" s="3" t="n"/>
      <c r="B2189" s="3" t="n"/>
      <c r="C2189" s="3" t="n"/>
      <c r="D2189" s="3" t="n"/>
      <c r="E2189" s="4">
        <f>IF(A2189="","",COUNTIFS($A$4:A2189,A2189,$I$4:I2189,"&lt;&gt;Штраф -2",$I$4:I2189,"&lt;&gt;ушел на базу"))</f>
        <v/>
      </c>
      <c r="F2189" s="4">
        <f>IF(E2189="","",IF(E2189&lt;=3,6,IF(E2189&lt;=6,5,IF(E2189&lt;=9,4,IF(E2189&lt;=12,3,IF(E2189&lt;=15,2,0))))))</f>
        <v/>
      </c>
      <c r="G2189" s="3" t="n"/>
      <c r="H2189" s="4">
        <f>IF(I2189="Штраф -2",-2,IF(OR(F2189="",G2189=""),"",F2189*G2189+IF(J2189="",0,J2189)))</f>
        <v/>
      </c>
      <c r="I2189" s="3" t="n"/>
      <c r="J2189" s="3" t="n"/>
      <c r="K2189" s="3" t="n"/>
    </row>
    <row r="2190">
      <c r="A2190" s="3" t="n"/>
      <c r="B2190" s="3" t="n"/>
      <c r="C2190" s="3" t="n"/>
      <c r="D2190" s="3" t="n"/>
      <c r="E2190" s="4">
        <f>IF(A2190="","",COUNTIFS($A$4:A2190,A2190,$I$4:I2190,"&lt;&gt;Штраф -2",$I$4:I2190,"&lt;&gt;ушел на базу"))</f>
        <v/>
      </c>
      <c r="F2190" s="4">
        <f>IF(E2190="","",IF(E2190&lt;=3,6,IF(E2190&lt;=6,5,IF(E2190&lt;=9,4,IF(E2190&lt;=12,3,IF(E2190&lt;=15,2,0))))))</f>
        <v/>
      </c>
      <c r="G2190" s="3" t="n"/>
      <c r="H2190" s="4">
        <f>IF(I2190="Штраф -2",-2,IF(OR(F2190="",G2190=""),"",F2190*G2190+IF(J2190="",0,J2190)))</f>
        <v/>
      </c>
      <c r="I2190" s="3" t="n"/>
      <c r="J2190" s="3" t="n"/>
      <c r="K2190" s="3" t="n"/>
    </row>
    <row r="2191">
      <c r="A2191" s="3" t="n"/>
      <c r="B2191" s="3" t="n"/>
      <c r="C2191" s="3" t="n"/>
      <c r="D2191" s="3" t="n"/>
      <c r="E2191" s="4">
        <f>IF(A2191="","",COUNTIFS($A$4:A2191,A2191,$I$4:I2191,"&lt;&gt;Штраф -2",$I$4:I2191,"&lt;&gt;ушел на базу"))</f>
        <v/>
      </c>
      <c r="F2191" s="4">
        <f>IF(E2191="","",IF(E2191&lt;=3,6,IF(E2191&lt;=6,5,IF(E2191&lt;=9,4,IF(E2191&lt;=12,3,IF(E2191&lt;=15,2,0))))))</f>
        <v/>
      </c>
      <c r="G2191" s="3" t="n"/>
      <c r="H2191" s="4">
        <f>IF(I2191="Штраф -2",-2,IF(OR(F2191="",G2191=""),"",F2191*G2191+IF(J2191="",0,J2191)))</f>
        <v/>
      </c>
      <c r="I2191" s="3" t="n"/>
      <c r="J2191" s="3" t="n"/>
      <c r="K2191" s="3" t="n"/>
    </row>
    <row r="2192">
      <c r="A2192" s="3" t="n"/>
      <c r="B2192" s="3" t="n"/>
      <c r="C2192" s="3" t="n"/>
      <c r="D2192" s="3" t="n"/>
      <c r="E2192" s="4">
        <f>IF(A2192="","",COUNTIFS($A$4:A2192,A2192,$I$4:I2192,"&lt;&gt;Штраф -2",$I$4:I2192,"&lt;&gt;ушел на базу"))</f>
        <v/>
      </c>
      <c r="F2192" s="4">
        <f>IF(E2192="","",IF(E2192&lt;=3,6,IF(E2192&lt;=6,5,IF(E2192&lt;=9,4,IF(E2192&lt;=12,3,IF(E2192&lt;=15,2,0))))))</f>
        <v/>
      </c>
      <c r="G2192" s="3" t="n"/>
      <c r="H2192" s="4">
        <f>IF(I2192="Штраф -2",-2,IF(OR(F2192="",G2192=""),"",F2192*G2192+IF(J2192="",0,J2192)))</f>
        <v/>
      </c>
      <c r="I2192" s="3" t="n"/>
      <c r="J2192" s="3" t="n"/>
      <c r="K2192" s="3" t="n"/>
    </row>
    <row r="2193">
      <c r="A2193" s="3" t="n"/>
      <c r="B2193" s="3" t="n"/>
      <c r="C2193" s="3" t="n"/>
      <c r="D2193" s="3" t="n"/>
      <c r="E2193" s="4">
        <f>IF(A2193="","",COUNTIFS($A$4:A2193,A2193,$I$4:I2193,"&lt;&gt;Штраф -2",$I$4:I2193,"&lt;&gt;ушел на базу"))</f>
        <v/>
      </c>
      <c r="F2193" s="4">
        <f>IF(E2193="","",IF(E2193&lt;=3,6,IF(E2193&lt;=6,5,IF(E2193&lt;=9,4,IF(E2193&lt;=12,3,IF(E2193&lt;=15,2,0))))))</f>
        <v/>
      </c>
      <c r="G2193" s="3" t="n"/>
      <c r="H2193" s="4">
        <f>IF(I2193="Штраф -2",-2,IF(OR(F2193="",G2193=""),"",F2193*G2193+IF(J2193="",0,J2193)))</f>
        <v/>
      </c>
      <c r="I2193" s="3" t="n"/>
      <c r="J2193" s="3" t="n"/>
      <c r="K2193" s="3" t="n"/>
    </row>
    <row r="2194">
      <c r="A2194" s="3" t="n"/>
      <c r="B2194" s="3" t="n"/>
      <c r="C2194" s="3" t="n"/>
      <c r="D2194" s="3" t="n"/>
      <c r="E2194" s="4">
        <f>IF(A2194="","",COUNTIFS($A$4:A2194,A2194,$I$4:I2194,"&lt;&gt;Штраф -2",$I$4:I2194,"&lt;&gt;ушел на базу"))</f>
        <v/>
      </c>
      <c r="F2194" s="4">
        <f>IF(E2194="","",IF(E2194&lt;=3,6,IF(E2194&lt;=6,5,IF(E2194&lt;=9,4,IF(E2194&lt;=12,3,IF(E2194&lt;=15,2,0))))))</f>
        <v/>
      </c>
      <c r="G2194" s="3" t="n"/>
      <c r="H2194" s="4">
        <f>IF(I2194="Штраф -2",-2,IF(OR(F2194="",G2194=""),"",F2194*G2194+IF(J2194="",0,J2194)))</f>
        <v/>
      </c>
      <c r="I2194" s="3" t="n"/>
      <c r="J2194" s="3" t="n"/>
      <c r="K2194" s="3" t="n"/>
    </row>
    <row r="2195">
      <c r="A2195" s="3" t="n"/>
      <c r="B2195" s="3" t="n"/>
      <c r="C2195" s="3" t="n"/>
      <c r="D2195" s="3" t="n"/>
      <c r="E2195" s="4">
        <f>IF(A2195="","",COUNTIFS($A$4:A2195,A2195,$I$4:I2195,"&lt;&gt;Штраф -2",$I$4:I2195,"&lt;&gt;ушел на базу"))</f>
        <v/>
      </c>
      <c r="F2195" s="4">
        <f>IF(E2195="","",IF(E2195&lt;=3,6,IF(E2195&lt;=6,5,IF(E2195&lt;=9,4,IF(E2195&lt;=12,3,IF(E2195&lt;=15,2,0))))))</f>
        <v/>
      </c>
      <c r="G2195" s="3" t="n"/>
      <c r="H2195" s="4">
        <f>IF(I2195="Штраф -2",-2,IF(OR(F2195="",G2195=""),"",F2195*G2195+IF(J2195="",0,J2195)))</f>
        <v/>
      </c>
      <c r="I2195" s="3" t="n"/>
      <c r="J2195" s="3" t="n"/>
      <c r="K2195" s="3" t="n"/>
    </row>
    <row r="2196">
      <c r="A2196" s="3" t="n"/>
      <c r="B2196" s="3" t="n"/>
      <c r="C2196" s="3" t="n"/>
      <c r="D2196" s="3" t="n"/>
      <c r="E2196" s="4">
        <f>IF(A2196="","",COUNTIFS($A$4:A2196,A2196,$I$4:I2196,"&lt;&gt;Штраф -2",$I$4:I2196,"&lt;&gt;ушел на базу"))</f>
        <v/>
      </c>
      <c r="F2196" s="4">
        <f>IF(E2196="","",IF(E2196&lt;=3,6,IF(E2196&lt;=6,5,IF(E2196&lt;=9,4,IF(E2196&lt;=12,3,IF(E2196&lt;=15,2,0))))))</f>
        <v/>
      </c>
      <c r="G2196" s="3" t="n"/>
      <c r="H2196" s="4">
        <f>IF(I2196="Штраф -2",-2,IF(OR(F2196="",G2196=""),"",F2196*G2196+IF(J2196="",0,J2196)))</f>
        <v/>
      </c>
      <c r="I2196" s="3" t="n"/>
      <c r="J2196" s="3" t="n"/>
      <c r="K2196" s="3" t="n"/>
    </row>
    <row r="2197">
      <c r="A2197" s="3" t="n"/>
      <c r="B2197" s="3" t="n"/>
      <c r="C2197" s="3" t="n"/>
      <c r="D2197" s="3" t="n"/>
      <c r="E2197" s="4">
        <f>IF(A2197="","",COUNTIFS($A$4:A2197,A2197,$I$4:I2197,"&lt;&gt;Штраф -2",$I$4:I2197,"&lt;&gt;ушел на базу"))</f>
        <v/>
      </c>
      <c r="F2197" s="4">
        <f>IF(E2197="","",IF(E2197&lt;=3,6,IF(E2197&lt;=6,5,IF(E2197&lt;=9,4,IF(E2197&lt;=12,3,IF(E2197&lt;=15,2,0))))))</f>
        <v/>
      </c>
      <c r="G2197" s="3" t="n"/>
      <c r="H2197" s="4">
        <f>IF(I2197="Штраф -2",-2,IF(OR(F2197="",G2197=""),"",F2197*G2197+IF(J2197="",0,J2197)))</f>
        <v/>
      </c>
      <c r="I2197" s="3" t="n"/>
      <c r="J2197" s="3" t="n"/>
      <c r="K2197" s="3" t="n"/>
    </row>
    <row r="2198">
      <c r="A2198" s="3" t="n"/>
      <c r="B2198" s="3" t="n"/>
      <c r="C2198" s="3" t="n"/>
      <c r="D2198" s="3" t="n"/>
      <c r="E2198" s="4">
        <f>IF(A2198="","",COUNTIFS($A$4:A2198,A2198,$I$4:I2198,"&lt;&gt;Штраф -2",$I$4:I2198,"&lt;&gt;ушел на базу"))</f>
        <v/>
      </c>
      <c r="F2198" s="4">
        <f>IF(E2198="","",IF(E2198&lt;=3,6,IF(E2198&lt;=6,5,IF(E2198&lt;=9,4,IF(E2198&lt;=12,3,IF(E2198&lt;=15,2,0))))))</f>
        <v/>
      </c>
      <c r="G2198" s="3" t="n"/>
      <c r="H2198" s="4">
        <f>IF(I2198="Штраф -2",-2,IF(OR(F2198="",G2198=""),"",F2198*G2198+IF(J2198="",0,J2198)))</f>
        <v/>
      </c>
      <c r="I2198" s="3" t="n"/>
      <c r="J2198" s="3" t="n"/>
      <c r="K2198" s="3" t="n"/>
    </row>
    <row r="2199">
      <c r="A2199" s="3" t="n"/>
      <c r="B2199" s="3" t="n"/>
      <c r="C2199" s="3" t="n"/>
      <c r="D2199" s="3" t="n"/>
      <c r="E2199" s="4">
        <f>IF(A2199="","",COUNTIFS($A$4:A2199,A2199,$I$4:I2199,"&lt;&gt;Штраф -2",$I$4:I2199,"&lt;&gt;ушел на базу"))</f>
        <v/>
      </c>
      <c r="F2199" s="4">
        <f>IF(E2199="","",IF(E2199&lt;=3,6,IF(E2199&lt;=6,5,IF(E2199&lt;=9,4,IF(E2199&lt;=12,3,IF(E2199&lt;=15,2,0))))))</f>
        <v/>
      </c>
      <c r="G2199" s="3" t="n"/>
      <c r="H2199" s="4">
        <f>IF(I2199="Штраф -2",-2,IF(OR(F2199="",G2199=""),"",F2199*G2199+IF(J2199="",0,J2199)))</f>
        <v/>
      </c>
      <c r="I2199" s="3" t="n"/>
      <c r="J2199" s="3" t="n"/>
      <c r="K2199" s="3" t="n"/>
    </row>
    <row r="2200">
      <c r="A2200" s="3" t="n"/>
      <c r="B2200" s="3" t="n"/>
      <c r="C2200" s="3" t="n"/>
      <c r="D2200" s="3" t="n"/>
      <c r="E2200" s="4">
        <f>IF(A2200="","",COUNTIFS($A$4:A2200,A2200,$I$4:I2200,"&lt;&gt;Штраф -2",$I$4:I2200,"&lt;&gt;ушел на базу"))</f>
        <v/>
      </c>
      <c r="F2200" s="4">
        <f>IF(E2200="","",IF(E2200&lt;=3,6,IF(E2200&lt;=6,5,IF(E2200&lt;=9,4,IF(E2200&lt;=12,3,IF(E2200&lt;=15,2,0))))))</f>
        <v/>
      </c>
      <c r="G2200" s="3" t="n"/>
      <c r="H2200" s="4">
        <f>IF(I2200="Штраф -2",-2,IF(OR(F2200="",G2200=""),"",F2200*G2200+IF(J2200="",0,J2200)))</f>
        <v/>
      </c>
      <c r="I2200" s="3" t="n"/>
      <c r="J2200" s="3" t="n"/>
      <c r="K2200" s="3" t="n"/>
    </row>
    <row r="2201">
      <c r="A2201" s="3" t="n"/>
      <c r="B2201" s="3" t="n"/>
      <c r="C2201" s="3" t="n"/>
      <c r="D2201" s="3" t="n"/>
      <c r="E2201" s="4">
        <f>IF(A2201="","",COUNTIFS($A$4:A2201,A2201,$I$4:I2201,"&lt;&gt;Штраф -2",$I$4:I2201,"&lt;&gt;ушел на базу"))</f>
        <v/>
      </c>
      <c r="F2201" s="4">
        <f>IF(E2201="","",IF(E2201&lt;=3,6,IF(E2201&lt;=6,5,IF(E2201&lt;=9,4,IF(E2201&lt;=12,3,IF(E2201&lt;=15,2,0))))))</f>
        <v/>
      </c>
      <c r="G2201" s="3" t="n"/>
      <c r="H2201" s="4">
        <f>IF(I2201="Штраф -2",-2,IF(OR(F2201="",G2201=""),"",F2201*G2201+IF(J2201="",0,J2201)))</f>
        <v/>
      </c>
      <c r="I2201" s="3" t="n"/>
      <c r="J2201" s="3" t="n"/>
      <c r="K2201" s="3" t="n"/>
    </row>
    <row r="2202">
      <c r="A2202" s="3" t="n"/>
      <c r="B2202" s="3" t="n"/>
      <c r="C2202" s="3" t="n"/>
      <c r="D2202" s="3" t="n"/>
      <c r="E2202" s="4">
        <f>IF(A2202="","",COUNTIFS($A$4:A2202,A2202,$I$4:I2202,"&lt;&gt;Штраф -2",$I$4:I2202,"&lt;&gt;ушел на базу"))</f>
        <v/>
      </c>
      <c r="F2202" s="4">
        <f>IF(E2202="","",IF(E2202&lt;=3,6,IF(E2202&lt;=6,5,IF(E2202&lt;=9,4,IF(E2202&lt;=12,3,IF(E2202&lt;=15,2,0))))))</f>
        <v/>
      </c>
      <c r="G2202" s="3" t="n"/>
      <c r="H2202" s="4">
        <f>IF(I2202="Штраф -2",-2,IF(OR(F2202="",G2202=""),"",F2202*G2202+IF(J2202="",0,J2202)))</f>
        <v/>
      </c>
      <c r="I2202" s="3" t="n"/>
      <c r="J2202" s="3" t="n"/>
      <c r="K2202" s="3" t="n"/>
    </row>
    <row r="2203">
      <c r="A2203" s="3" t="n"/>
      <c r="B2203" s="3" t="n"/>
      <c r="C2203" s="3" t="n"/>
      <c r="D2203" s="3" t="n"/>
      <c r="E2203" s="4">
        <f>IF(A2203="","",COUNTIFS($A$4:A2203,A2203,$I$4:I2203,"&lt;&gt;Штраф -2",$I$4:I2203,"&lt;&gt;ушел на базу"))</f>
        <v/>
      </c>
      <c r="F2203" s="4">
        <f>IF(E2203="","",IF(E2203&lt;=3,6,IF(E2203&lt;=6,5,IF(E2203&lt;=9,4,IF(E2203&lt;=12,3,IF(E2203&lt;=15,2,0))))))</f>
        <v/>
      </c>
      <c r="G2203" s="3" t="n"/>
      <c r="H2203" s="4">
        <f>IF(I2203="Штраф -2",-2,IF(OR(F2203="",G2203=""),"",F2203*G2203+IF(J2203="",0,J2203)))</f>
        <v/>
      </c>
      <c r="I2203" s="3" t="n"/>
      <c r="J2203" s="3" t="n"/>
      <c r="K2203" s="3" t="n"/>
    </row>
    <row r="2204">
      <c r="A2204" s="3" t="n"/>
      <c r="B2204" s="3" t="n"/>
      <c r="C2204" s="3" t="n"/>
      <c r="D2204" s="3" t="n"/>
      <c r="E2204" s="4">
        <f>IF(A2204="","",COUNTIFS($A$4:A2204,A2204,$I$4:I2204,"&lt;&gt;Штраф -2",$I$4:I2204,"&lt;&gt;ушел на базу"))</f>
        <v/>
      </c>
      <c r="F2204" s="4">
        <f>IF(E2204="","",IF(E2204&lt;=3,6,IF(E2204&lt;=6,5,IF(E2204&lt;=9,4,IF(E2204&lt;=12,3,IF(E2204&lt;=15,2,0))))))</f>
        <v/>
      </c>
      <c r="G2204" s="3" t="n"/>
      <c r="H2204" s="4">
        <f>IF(I2204="Штраф -2",-2,IF(OR(F2204="",G2204=""),"",F2204*G2204+IF(J2204="",0,J2204)))</f>
        <v/>
      </c>
      <c r="I2204" s="3" t="n"/>
      <c r="J2204" s="3" t="n"/>
      <c r="K2204" s="3" t="n"/>
    </row>
    <row r="2205">
      <c r="A2205" s="3" t="n"/>
      <c r="B2205" s="3" t="n"/>
      <c r="C2205" s="3" t="n"/>
      <c r="D2205" s="3" t="n"/>
      <c r="E2205" s="4">
        <f>IF(A2205="","",COUNTIFS($A$4:A2205,A2205,$I$4:I2205,"&lt;&gt;Штраф -2",$I$4:I2205,"&lt;&gt;ушел на базу"))</f>
        <v/>
      </c>
      <c r="F2205" s="4">
        <f>IF(E2205="","",IF(E2205&lt;=3,6,IF(E2205&lt;=6,5,IF(E2205&lt;=9,4,IF(E2205&lt;=12,3,IF(E2205&lt;=15,2,0))))))</f>
        <v/>
      </c>
      <c r="G2205" s="3" t="n"/>
      <c r="H2205" s="4">
        <f>IF(I2205="Штраф -2",-2,IF(OR(F2205="",G2205=""),"",F2205*G2205+IF(J2205="",0,J2205)))</f>
        <v/>
      </c>
      <c r="I2205" s="3" t="n"/>
      <c r="J2205" s="3" t="n"/>
      <c r="K2205" s="3" t="n"/>
    </row>
    <row r="2206">
      <c r="A2206" s="3" t="n"/>
      <c r="B2206" s="3" t="n"/>
      <c r="C2206" s="3" t="n"/>
      <c r="D2206" s="3" t="n"/>
      <c r="E2206" s="4">
        <f>IF(A2206="","",COUNTIFS($A$4:A2206,A2206,$I$4:I2206,"&lt;&gt;Штраф -2",$I$4:I2206,"&lt;&gt;ушел на базу"))</f>
        <v/>
      </c>
      <c r="F2206" s="4">
        <f>IF(E2206="","",IF(E2206&lt;=3,6,IF(E2206&lt;=6,5,IF(E2206&lt;=9,4,IF(E2206&lt;=12,3,IF(E2206&lt;=15,2,0))))))</f>
        <v/>
      </c>
      <c r="G2206" s="3" t="n"/>
      <c r="H2206" s="4">
        <f>IF(I2206="Штраф -2",-2,IF(OR(F2206="",G2206=""),"",F2206*G2206+IF(J2206="",0,J2206)))</f>
        <v/>
      </c>
      <c r="I2206" s="3" t="n"/>
      <c r="J2206" s="3" t="n"/>
      <c r="K2206" s="3" t="n"/>
    </row>
    <row r="2207">
      <c r="A2207" s="3" t="n"/>
      <c r="B2207" s="3" t="n"/>
      <c r="C2207" s="3" t="n"/>
      <c r="D2207" s="3" t="n"/>
      <c r="E2207" s="4">
        <f>IF(A2207="","",COUNTIFS($A$4:A2207,A2207,$I$4:I2207,"&lt;&gt;Штраф -2",$I$4:I2207,"&lt;&gt;ушел на базу"))</f>
        <v/>
      </c>
      <c r="F2207" s="4">
        <f>IF(E2207="","",IF(E2207&lt;=3,6,IF(E2207&lt;=6,5,IF(E2207&lt;=9,4,IF(E2207&lt;=12,3,IF(E2207&lt;=15,2,0))))))</f>
        <v/>
      </c>
      <c r="G2207" s="3" t="n"/>
      <c r="H2207" s="4">
        <f>IF(I2207="Штраф -2",-2,IF(OR(F2207="",G2207=""),"",F2207*G2207+IF(J2207="",0,J2207)))</f>
        <v/>
      </c>
      <c r="I2207" s="3" t="n"/>
      <c r="J2207" s="3" t="n"/>
      <c r="K2207" s="3" t="n"/>
    </row>
    <row r="2208">
      <c r="A2208" s="3" t="n"/>
      <c r="B2208" s="3" t="n"/>
      <c r="C2208" s="3" t="n"/>
      <c r="D2208" s="3" t="n"/>
      <c r="E2208" s="4">
        <f>IF(A2208="","",COUNTIFS($A$4:A2208,A2208,$I$4:I2208,"&lt;&gt;Штраф -2",$I$4:I2208,"&lt;&gt;ушел на базу"))</f>
        <v/>
      </c>
      <c r="F2208" s="4">
        <f>IF(E2208="","",IF(E2208&lt;=3,6,IF(E2208&lt;=6,5,IF(E2208&lt;=9,4,IF(E2208&lt;=12,3,IF(E2208&lt;=15,2,0))))))</f>
        <v/>
      </c>
      <c r="G2208" s="3" t="n"/>
      <c r="H2208" s="4">
        <f>IF(I2208="Штраф -2",-2,IF(OR(F2208="",G2208=""),"",F2208*G2208+IF(J2208="",0,J2208)))</f>
        <v/>
      </c>
      <c r="I2208" s="3" t="n"/>
      <c r="J2208" s="3" t="n"/>
      <c r="K2208" s="3" t="n"/>
    </row>
    <row r="2209">
      <c r="A2209" s="3" t="n"/>
      <c r="B2209" s="3" t="n"/>
      <c r="C2209" s="3" t="n"/>
      <c r="D2209" s="3" t="n"/>
      <c r="E2209" s="4">
        <f>IF(A2209="","",COUNTIFS($A$4:A2209,A2209,$I$4:I2209,"&lt;&gt;Штраф -2",$I$4:I2209,"&lt;&gt;ушел на базу"))</f>
        <v/>
      </c>
      <c r="F2209" s="4">
        <f>IF(E2209="","",IF(E2209&lt;=3,6,IF(E2209&lt;=6,5,IF(E2209&lt;=9,4,IF(E2209&lt;=12,3,IF(E2209&lt;=15,2,0))))))</f>
        <v/>
      </c>
      <c r="G2209" s="3" t="n"/>
      <c r="H2209" s="4">
        <f>IF(I2209="Штраф -2",-2,IF(OR(F2209="",G2209=""),"",F2209*G2209+IF(J2209="",0,J2209)))</f>
        <v/>
      </c>
      <c r="I2209" s="3" t="n"/>
      <c r="J2209" s="3" t="n"/>
      <c r="K2209" s="3" t="n"/>
    </row>
    <row r="2210">
      <c r="A2210" s="3" t="n"/>
      <c r="B2210" s="3" t="n"/>
      <c r="C2210" s="3" t="n"/>
      <c r="D2210" s="3" t="n"/>
      <c r="E2210" s="4">
        <f>IF(A2210="","",COUNTIFS($A$4:A2210,A2210,$I$4:I2210,"&lt;&gt;Штраф -2",$I$4:I2210,"&lt;&gt;ушел на базу"))</f>
        <v/>
      </c>
      <c r="F2210" s="4">
        <f>IF(E2210="","",IF(E2210&lt;=3,6,IF(E2210&lt;=6,5,IF(E2210&lt;=9,4,IF(E2210&lt;=12,3,IF(E2210&lt;=15,2,0))))))</f>
        <v/>
      </c>
      <c r="G2210" s="3" t="n"/>
      <c r="H2210" s="4">
        <f>IF(I2210="Штраф -2",-2,IF(OR(F2210="",G2210=""),"",F2210*G2210+IF(J2210="",0,J2210)))</f>
        <v/>
      </c>
      <c r="I2210" s="3" t="n"/>
      <c r="J2210" s="3" t="n"/>
      <c r="K2210" s="3" t="n"/>
    </row>
    <row r="2211">
      <c r="A2211" s="3" t="n"/>
      <c r="B2211" s="3" t="n"/>
      <c r="C2211" s="3" t="n"/>
      <c r="D2211" s="3" t="n"/>
      <c r="E2211" s="4">
        <f>IF(A2211="","",COUNTIFS($A$4:A2211,A2211,$I$4:I2211,"&lt;&gt;Штраф -2",$I$4:I2211,"&lt;&gt;ушел на базу"))</f>
        <v/>
      </c>
      <c r="F2211" s="4">
        <f>IF(E2211="","",IF(E2211&lt;=3,6,IF(E2211&lt;=6,5,IF(E2211&lt;=9,4,IF(E2211&lt;=12,3,IF(E2211&lt;=15,2,0))))))</f>
        <v/>
      </c>
      <c r="G2211" s="3" t="n"/>
      <c r="H2211" s="4">
        <f>IF(I2211="Штраф -2",-2,IF(OR(F2211="",G2211=""),"",F2211*G2211+IF(J2211="",0,J2211)))</f>
        <v/>
      </c>
      <c r="I2211" s="3" t="n"/>
      <c r="J2211" s="3" t="n"/>
      <c r="K2211" s="3" t="n"/>
    </row>
    <row r="2212">
      <c r="A2212" s="3" t="n"/>
      <c r="B2212" s="3" t="n"/>
      <c r="C2212" s="3" t="n"/>
      <c r="D2212" s="3" t="n"/>
      <c r="E2212" s="4">
        <f>IF(A2212="","",COUNTIFS($A$4:A2212,A2212,$I$4:I2212,"&lt;&gt;Штраф -2",$I$4:I2212,"&lt;&gt;ушел на базу"))</f>
        <v/>
      </c>
      <c r="F2212" s="4">
        <f>IF(E2212="","",IF(E2212&lt;=3,6,IF(E2212&lt;=6,5,IF(E2212&lt;=9,4,IF(E2212&lt;=12,3,IF(E2212&lt;=15,2,0))))))</f>
        <v/>
      </c>
      <c r="G2212" s="3" t="n"/>
      <c r="H2212" s="4">
        <f>IF(I2212="Штраф -2",-2,IF(OR(F2212="",G2212=""),"",F2212*G2212+IF(J2212="",0,J2212)))</f>
        <v/>
      </c>
      <c r="I2212" s="3" t="n"/>
      <c r="J2212" s="3" t="n"/>
      <c r="K2212" s="3" t="n"/>
    </row>
    <row r="2213">
      <c r="A2213" s="3" t="n"/>
      <c r="B2213" s="3" t="n"/>
      <c r="C2213" s="3" t="n"/>
      <c r="D2213" s="3" t="n"/>
      <c r="E2213" s="4">
        <f>IF(A2213="","",COUNTIFS($A$4:A2213,A2213,$I$4:I2213,"&lt;&gt;Штраф -2",$I$4:I2213,"&lt;&gt;ушел на базу"))</f>
        <v/>
      </c>
      <c r="F2213" s="4">
        <f>IF(E2213="","",IF(E2213&lt;=3,6,IF(E2213&lt;=6,5,IF(E2213&lt;=9,4,IF(E2213&lt;=12,3,IF(E2213&lt;=15,2,0))))))</f>
        <v/>
      </c>
      <c r="G2213" s="3" t="n"/>
      <c r="H2213" s="4">
        <f>IF(I2213="Штраф -2",-2,IF(OR(F2213="",G2213=""),"",F2213*G2213+IF(J2213="",0,J2213)))</f>
        <v/>
      </c>
      <c r="I2213" s="3" t="n"/>
      <c r="J2213" s="3" t="n"/>
      <c r="K2213" s="3" t="n"/>
    </row>
    <row r="2214">
      <c r="A2214" s="3" t="n"/>
      <c r="B2214" s="3" t="n"/>
      <c r="C2214" s="3" t="n"/>
      <c r="D2214" s="3" t="n"/>
      <c r="E2214" s="4">
        <f>IF(A2214="","",COUNTIFS($A$4:A2214,A2214,$I$4:I2214,"&lt;&gt;Штраф -2",$I$4:I2214,"&lt;&gt;ушел на базу"))</f>
        <v/>
      </c>
      <c r="F2214" s="4">
        <f>IF(E2214="","",IF(E2214&lt;=3,6,IF(E2214&lt;=6,5,IF(E2214&lt;=9,4,IF(E2214&lt;=12,3,IF(E2214&lt;=15,2,0))))))</f>
        <v/>
      </c>
      <c r="G2214" s="3" t="n"/>
      <c r="H2214" s="4">
        <f>IF(I2214="Штраф -2",-2,IF(OR(F2214="",G2214=""),"",F2214*G2214+IF(J2214="",0,J2214)))</f>
        <v/>
      </c>
      <c r="I2214" s="3" t="n"/>
      <c r="J2214" s="3" t="n"/>
      <c r="K2214" s="3" t="n"/>
    </row>
    <row r="2215">
      <c r="A2215" s="3" t="n"/>
      <c r="B2215" s="3" t="n"/>
      <c r="C2215" s="3" t="n"/>
      <c r="D2215" s="3" t="n"/>
      <c r="E2215" s="4">
        <f>IF(A2215="","",COUNTIFS($A$4:A2215,A2215,$I$4:I2215,"&lt;&gt;Штраф -2",$I$4:I2215,"&lt;&gt;ушел на базу"))</f>
        <v/>
      </c>
      <c r="F2215" s="4">
        <f>IF(E2215="","",IF(E2215&lt;=3,6,IF(E2215&lt;=6,5,IF(E2215&lt;=9,4,IF(E2215&lt;=12,3,IF(E2215&lt;=15,2,0))))))</f>
        <v/>
      </c>
      <c r="G2215" s="3" t="n"/>
      <c r="H2215" s="4">
        <f>IF(I2215="Штраф -2",-2,IF(OR(F2215="",G2215=""),"",F2215*G2215+IF(J2215="",0,J2215)))</f>
        <v/>
      </c>
      <c r="I2215" s="3" t="n"/>
      <c r="J2215" s="3" t="n"/>
      <c r="K2215" s="3" t="n"/>
    </row>
    <row r="2216">
      <c r="A2216" s="3" t="n"/>
      <c r="B2216" s="3" t="n"/>
      <c r="C2216" s="3" t="n"/>
      <c r="D2216" s="3" t="n"/>
      <c r="E2216" s="4">
        <f>IF(A2216="","",COUNTIFS($A$4:A2216,A2216,$I$4:I2216,"&lt;&gt;Штраф -2",$I$4:I2216,"&lt;&gt;ушел на базу"))</f>
        <v/>
      </c>
      <c r="F2216" s="4">
        <f>IF(E2216="","",IF(E2216&lt;=3,6,IF(E2216&lt;=6,5,IF(E2216&lt;=9,4,IF(E2216&lt;=12,3,IF(E2216&lt;=15,2,0))))))</f>
        <v/>
      </c>
      <c r="G2216" s="3" t="n"/>
      <c r="H2216" s="4">
        <f>IF(I2216="Штраф -2",-2,IF(OR(F2216="",G2216=""),"",F2216*G2216+IF(J2216="",0,J2216)))</f>
        <v/>
      </c>
      <c r="I2216" s="3" t="n"/>
      <c r="J2216" s="3" t="n"/>
      <c r="K2216" s="3" t="n"/>
    </row>
    <row r="2217">
      <c r="A2217" s="3" t="n"/>
      <c r="B2217" s="3" t="n"/>
      <c r="C2217" s="3" t="n"/>
      <c r="D2217" s="3" t="n"/>
      <c r="E2217" s="4">
        <f>IF(A2217="","",COUNTIFS($A$4:A2217,A2217,$I$4:I2217,"&lt;&gt;Штраф -2",$I$4:I2217,"&lt;&gt;ушел на базу"))</f>
        <v/>
      </c>
      <c r="F2217" s="4">
        <f>IF(E2217="","",IF(E2217&lt;=3,6,IF(E2217&lt;=6,5,IF(E2217&lt;=9,4,IF(E2217&lt;=12,3,IF(E2217&lt;=15,2,0))))))</f>
        <v/>
      </c>
      <c r="G2217" s="3" t="n"/>
      <c r="H2217" s="4">
        <f>IF(I2217="Штраф -2",-2,IF(OR(F2217="",G2217=""),"",F2217*G2217+IF(J2217="",0,J2217)))</f>
        <v/>
      </c>
      <c r="I2217" s="3" t="n"/>
      <c r="J2217" s="3" t="n"/>
      <c r="K2217" s="3" t="n"/>
    </row>
    <row r="2218">
      <c r="A2218" s="3" t="n"/>
      <c r="B2218" s="3" t="n"/>
      <c r="C2218" s="3" t="n"/>
      <c r="D2218" s="3" t="n"/>
      <c r="E2218" s="4">
        <f>IF(A2218="","",COUNTIFS($A$4:A2218,A2218,$I$4:I2218,"&lt;&gt;Штраф -2",$I$4:I2218,"&lt;&gt;ушел на базу"))</f>
        <v/>
      </c>
      <c r="F2218" s="4">
        <f>IF(E2218="","",IF(E2218&lt;=3,6,IF(E2218&lt;=6,5,IF(E2218&lt;=9,4,IF(E2218&lt;=12,3,IF(E2218&lt;=15,2,0))))))</f>
        <v/>
      </c>
      <c r="G2218" s="3" t="n"/>
      <c r="H2218" s="4">
        <f>IF(I2218="Штраф -2",-2,IF(OR(F2218="",G2218=""),"",F2218*G2218+IF(J2218="",0,J2218)))</f>
        <v/>
      </c>
      <c r="I2218" s="3" t="n"/>
      <c r="J2218" s="3" t="n"/>
      <c r="K2218" s="3" t="n"/>
    </row>
    <row r="2219">
      <c r="A2219" s="3" t="n"/>
      <c r="B2219" s="3" t="n"/>
      <c r="C2219" s="3" t="n"/>
      <c r="D2219" s="3" t="n"/>
      <c r="E2219" s="4">
        <f>IF(A2219="","",COUNTIFS($A$4:A2219,A2219,$I$4:I2219,"&lt;&gt;Штраф -2",$I$4:I2219,"&lt;&gt;ушел на базу"))</f>
        <v/>
      </c>
      <c r="F2219" s="4">
        <f>IF(E2219="","",IF(E2219&lt;=3,6,IF(E2219&lt;=6,5,IF(E2219&lt;=9,4,IF(E2219&lt;=12,3,IF(E2219&lt;=15,2,0))))))</f>
        <v/>
      </c>
      <c r="G2219" s="3" t="n"/>
      <c r="H2219" s="4">
        <f>IF(I2219="Штраф -2",-2,IF(OR(F2219="",G2219=""),"",F2219*G2219+IF(J2219="",0,J2219)))</f>
        <v/>
      </c>
      <c r="I2219" s="3" t="n"/>
      <c r="J2219" s="3" t="n"/>
      <c r="K2219" s="3" t="n"/>
    </row>
    <row r="2220">
      <c r="A2220" s="3" t="n"/>
      <c r="B2220" s="3" t="n"/>
      <c r="C2220" s="3" t="n"/>
      <c r="D2220" s="3" t="n"/>
      <c r="E2220" s="4">
        <f>IF(A2220="","",COUNTIFS($A$4:A2220,A2220,$I$4:I2220,"&lt;&gt;Штраф -2",$I$4:I2220,"&lt;&gt;ушел на базу"))</f>
        <v/>
      </c>
      <c r="F2220" s="4">
        <f>IF(E2220="","",IF(E2220&lt;=3,6,IF(E2220&lt;=6,5,IF(E2220&lt;=9,4,IF(E2220&lt;=12,3,IF(E2220&lt;=15,2,0))))))</f>
        <v/>
      </c>
      <c r="G2220" s="3" t="n"/>
      <c r="H2220" s="4">
        <f>IF(I2220="Штраф -2",-2,IF(OR(F2220="",G2220=""),"",F2220*G2220+IF(J2220="",0,J2220)))</f>
        <v/>
      </c>
      <c r="I2220" s="3" t="n"/>
      <c r="J2220" s="3" t="n"/>
      <c r="K2220" s="3" t="n"/>
    </row>
    <row r="2221">
      <c r="A2221" s="3" t="n"/>
      <c r="B2221" s="3" t="n"/>
      <c r="C2221" s="3" t="n"/>
      <c r="D2221" s="3" t="n"/>
      <c r="E2221" s="4">
        <f>IF(A2221="","",COUNTIFS($A$4:A2221,A2221,$I$4:I2221,"&lt;&gt;Штраф -2",$I$4:I2221,"&lt;&gt;ушел на базу"))</f>
        <v/>
      </c>
      <c r="F2221" s="4">
        <f>IF(E2221="","",IF(E2221&lt;=3,6,IF(E2221&lt;=6,5,IF(E2221&lt;=9,4,IF(E2221&lt;=12,3,IF(E2221&lt;=15,2,0))))))</f>
        <v/>
      </c>
      <c r="G2221" s="3" t="n"/>
      <c r="H2221" s="4">
        <f>IF(I2221="Штраф -2",-2,IF(OR(F2221="",G2221=""),"",F2221*G2221+IF(J2221="",0,J2221)))</f>
        <v/>
      </c>
      <c r="I2221" s="3" t="n"/>
      <c r="J2221" s="3" t="n"/>
      <c r="K2221" s="3" t="n"/>
    </row>
    <row r="2222">
      <c r="A2222" s="3" t="n"/>
      <c r="B2222" s="3" t="n"/>
      <c r="C2222" s="3" t="n"/>
      <c r="D2222" s="3" t="n"/>
      <c r="E2222" s="4">
        <f>IF(A2222="","",COUNTIFS($A$4:A2222,A2222,$I$4:I2222,"&lt;&gt;Штраф -2",$I$4:I2222,"&lt;&gt;ушел на базу"))</f>
        <v/>
      </c>
      <c r="F2222" s="4">
        <f>IF(E2222="","",IF(E2222&lt;=3,6,IF(E2222&lt;=6,5,IF(E2222&lt;=9,4,IF(E2222&lt;=12,3,IF(E2222&lt;=15,2,0))))))</f>
        <v/>
      </c>
      <c r="G2222" s="3" t="n"/>
      <c r="H2222" s="4">
        <f>IF(I2222="Штраф -2",-2,IF(OR(F2222="",G2222=""),"",F2222*G2222+IF(J2222="",0,J2222)))</f>
        <v/>
      </c>
      <c r="I2222" s="3" t="n"/>
      <c r="J2222" s="3" t="n"/>
      <c r="K2222" s="3" t="n"/>
    </row>
    <row r="2223">
      <c r="A2223" s="3" t="n"/>
      <c r="B2223" s="3" t="n"/>
      <c r="C2223" s="3" t="n"/>
      <c r="D2223" s="3" t="n"/>
      <c r="E2223" s="4">
        <f>IF(A2223="","",COUNTIFS($A$4:A2223,A2223,$I$4:I2223,"&lt;&gt;Штраф -2",$I$4:I2223,"&lt;&gt;ушел на базу"))</f>
        <v/>
      </c>
      <c r="F2223" s="4">
        <f>IF(E2223="","",IF(E2223&lt;=3,6,IF(E2223&lt;=6,5,IF(E2223&lt;=9,4,IF(E2223&lt;=12,3,IF(E2223&lt;=15,2,0))))))</f>
        <v/>
      </c>
      <c r="G2223" s="3" t="n"/>
      <c r="H2223" s="4">
        <f>IF(I2223="Штраф -2",-2,IF(OR(F2223="",G2223=""),"",F2223*G2223+IF(J2223="",0,J2223)))</f>
        <v/>
      </c>
      <c r="I2223" s="3" t="n"/>
      <c r="J2223" s="3" t="n"/>
      <c r="K2223" s="3" t="n"/>
    </row>
    <row r="2224">
      <c r="A2224" s="3" t="n"/>
      <c r="B2224" s="3" t="n"/>
      <c r="C2224" s="3" t="n"/>
      <c r="D2224" s="3" t="n"/>
      <c r="E2224" s="4">
        <f>IF(A2224="","",COUNTIFS($A$4:A2224,A2224,$I$4:I2224,"&lt;&gt;Штраф -2",$I$4:I2224,"&lt;&gt;ушел на базу"))</f>
        <v/>
      </c>
      <c r="F2224" s="4">
        <f>IF(E2224="","",IF(E2224&lt;=3,6,IF(E2224&lt;=6,5,IF(E2224&lt;=9,4,IF(E2224&lt;=12,3,IF(E2224&lt;=15,2,0))))))</f>
        <v/>
      </c>
      <c r="G2224" s="3" t="n"/>
      <c r="H2224" s="4">
        <f>IF(I2224="Штраф -2",-2,IF(OR(F2224="",G2224=""),"",F2224*G2224+IF(J2224="",0,J2224)))</f>
        <v/>
      </c>
      <c r="I2224" s="3" t="n"/>
      <c r="J2224" s="3" t="n"/>
      <c r="K2224" s="3" t="n"/>
    </row>
    <row r="2225">
      <c r="A2225" s="3" t="n"/>
      <c r="B2225" s="3" t="n"/>
      <c r="C2225" s="3" t="n"/>
      <c r="D2225" s="3" t="n"/>
      <c r="E2225" s="4">
        <f>IF(A2225="","",COUNTIFS($A$4:A2225,A2225,$I$4:I2225,"&lt;&gt;Штраф -2",$I$4:I2225,"&lt;&gt;ушел на базу"))</f>
        <v/>
      </c>
      <c r="F2225" s="4">
        <f>IF(E2225="","",IF(E2225&lt;=3,6,IF(E2225&lt;=6,5,IF(E2225&lt;=9,4,IF(E2225&lt;=12,3,IF(E2225&lt;=15,2,0))))))</f>
        <v/>
      </c>
      <c r="G2225" s="3" t="n"/>
      <c r="H2225" s="4">
        <f>IF(I2225="Штраф -2",-2,IF(OR(F2225="",G2225=""),"",F2225*G2225+IF(J2225="",0,J2225)))</f>
        <v/>
      </c>
      <c r="I2225" s="3" t="n"/>
      <c r="J2225" s="3" t="n"/>
      <c r="K2225" s="3" t="n"/>
    </row>
    <row r="2226">
      <c r="A2226" s="3" t="n"/>
      <c r="B2226" s="3" t="n"/>
      <c r="C2226" s="3" t="n"/>
      <c r="D2226" s="3" t="n"/>
      <c r="E2226" s="4">
        <f>IF(A2226="","",COUNTIFS($A$4:A2226,A2226,$I$4:I2226,"&lt;&gt;Штраф -2",$I$4:I2226,"&lt;&gt;ушел на базу"))</f>
        <v/>
      </c>
      <c r="F2226" s="4">
        <f>IF(E2226="","",IF(E2226&lt;=3,6,IF(E2226&lt;=6,5,IF(E2226&lt;=9,4,IF(E2226&lt;=12,3,IF(E2226&lt;=15,2,0))))))</f>
        <v/>
      </c>
      <c r="G2226" s="3" t="n"/>
      <c r="H2226" s="4">
        <f>IF(I2226="Штраф -2",-2,IF(OR(F2226="",G2226=""),"",F2226*G2226+IF(J2226="",0,J2226)))</f>
        <v/>
      </c>
      <c r="I2226" s="3" t="n"/>
      <c r="J2226" s="3" t="n"/>
      <c r="K2226" s="3" t="n"/>
    </row>
    <row r="2227">
      <c r="A2227" s="3" t="n"/>
      <c r="B2227" s="3" t="n"/>
      <c r="C2227" s="3" t="n"/>
      <c r="D2227" s="3" t="n"/>
      <c r="E2227" s="4">
        <f>IF(A2227="","",COUNTIFS($A$4:A2227,A2227,$I$4:I2227,"&lt;&gt;Штраф -2",$I$4:I2227,"&lt;&gt;ушел на базу"))</f>
        <v/>
      </c>
      <c r="F2227" s="4">
        <f>IF(E2227="","",IF(E2227&lt;=3,6,IF(E2227&lt;=6,5,IF(E2227&lt;=9,4,IF(E2227&lt;=12,3,IF(E2227&lt;=15,2,0))))))</f>
        <v/>
      </c>
      <c r="G2227" s="3" t="n"/>
      <c r="H2227" s="4">
        <f>IF(I2227="Штраф -2",-2,IF(OR(F2227="",G2227=""),"",F2227*G2227+IF(J2227="",0,J2227)))</f>
        <v/>
      </c>
      <c r="I2227" s="3" t="n"/>
      <c r="J2227" s="3" t="n"/>
      <c r="K2227" s="3" t="n"/>
    </row>
    <row r="2228">
      <c r="A2228" s="3" t="n"/>
      <c r="B2228" s="3" t="n"/>
      <c r="C2228" s="3" t="n"/>
      <c r="D2228" s="3" t="n"/>
      <c r="E2228" s="4">
        <f>IF(A2228="","",COUNTIFS($A$4:A2228,A2228,$I$4:I2228,"&lt;&gt;Штраф -2",$I$4:I2228,"&lt;&gt;ушел на базу"))</f>
        <v/>
      </c>
      <c r="F2228" s="4">
        <f>IF(E2228="","",IF(E2228&lt;=3,6,IF(E2228&lt;=6,5,IF(E2228&lt;=9,4,IF(E2228&lt;=12,3,IF(E2228&lt;=15,2,0))))))</f>
        <v/>
      </c>
      <c r="G2228" s="3" t="n"/>
      <c r="H2228" s="4">
        <f>IF(I2228="Штраф -2",-2,IF(OR(F2228="",G2228=""),"",F2228*G2228+IF(J2228="",0,J2228)))</f>
        <v/>
      </c>
      <c r="I2228" s="3" t="n"/>
      <c r="J2228" s="3" t="n"/>
      <c r="K2228" s="3" t="n"/>
    </row>
    <row r="2229">
      <c r="A2229" s="3" t="n"/>
      <c r="B2229" s="3" t="n"/>
      <c r="C2229" s="3" t="n"/>
      <c r="D2229" s="3" t="n"/>
      <c r="E2229" s="4">
        <f>IF(A2229="","",COUNTIFS($A$4:A2229,A2229,$I$4:I2229,"&lt;&gt;Штраф -2",$I$4:I2229,"&lt;&gt;ушел на базу"))</f>
        <v/>
      </c>
      <c r="F2229" s="4">
        <f>IF(E2229="","",IF(E2229&lt;=3,6,IF(E2229&lt;=6,5,IF(E2229&lt;=9,4,IF(E2229&lt;=12,3,IF(E2229&lt;=15,2,0))))))</f>
        <v/>
      </c>
      <c r="G2229" s="3" t="n"/>
      <c r="H2229" s="4">
        <f>IF(I2229="Штраф -2",-2,IF(OR(F2229="",G2229=""),"",F2229*G2229+IF(J2229="",0,J2229)))</f>
        <v/>
      </c>
      <c r="I2229" s="3" t="n"/>
      <c r="J2229" s="3" t="n"/>
      <c r="K2229" s="3" t="n"/>
    </row>
    <row r="2230">
      <c r="A2230" s="3" t="n"/>
      <c r="B2230" s="3" t="n"/>
      <c r="C2230" s="3" t="n"/>
      <c r="D2230" s="3" t="n"/>
      <c r="E2230" s="4">
        <f>IF(A2230="","",COUNTIFS($A$4:A2230,A2230,$I$4:I2230,"&lt;&gt;Штраф -2",$I$4:I2230,"&lt;&gt;ушел на базу"))</f>
        <v/>
      </c>
      <c r="F2230" s="4">
        <f>IF(E2230="","",IF(E2230&lt;=3,6,IF(E2230&lt;=6,5,IF(E2230&lt;=9,4,IF(E2230&lt;=12,3,IF(E2230&lt;=15,2,0))))))</f>
        <v/>
      </c>
      <c r="G2230" s="3" t="n"/>
      <c r="H2230" s="4">
        <f>IF(I2230="Штраф -2",-2,IF(OR(F2230="",G2230=""),"",F2230*G2230+IF(J2230="",0,J2230)))</f>
        <v/>
      </c>
      <c r="I2230" s="3" t="n"/>
      <c r="J2230" s="3" t="n"/>
      <c r="K2230" s="3" t="n"/>
    </row>
    <row r="2231">
      <c r="A2231" s="3" t="n"/>
      <c r="B2231" s="3" t="n"/>
      <c r="C2231" s="3" t="n"/>
      <c r="D2231" s="3" t="n"/>
      <c r="E2231" s="4">
        <f>IF(A2231="","",COUNTIFS($A$4:A2231,A2231,$I$4:I2231,"&lt;&gt;Штраф -2",$I$4:I2231,"&lt;&gt;ушел на базу"))</f>
        <v/>
      </c>
      <c r="F2231" s="4">
        <f>IF(E2231="","",IF(E2231&lt;=3,6,IF(E2231&lt;=6,5,IF(E2231&lt;=9,4,IF(E2231&lt;=12,3,IF(E2231&lt;=15,2,0))))))</f>
        <v/>
      </c>
      <c r="G2231" s="3" t="n"/>
      <c r="H2231" s="4">
        <f>IF(I2231="Штраф -2",-2,IF(OR(F2231="",G2231=""),"",F2231*G2231+IF(J2231="",0,J2231)))</f>
        <v/>
      </c>
      <c r="I2231" s="3" t="n"/>
      <c r="J2231" s="3" t="n"/>
      <c r="K2231" s="3" t="n"/>
    </row>
    <row r="2232">
      <c r="A2232" s="3" t="n"/>
      <c r="B2232" s="3" t="n"/>
      <c r="C2232" s="3" t="n"/>
      <c r="D2232" s="3" t="n"/>
      <c r="E2232" s="4">
        <f>IF(A2232="","",COUNTIFS($A$4:A2232,A2232,$I$4:I2232,"&lt;&gt;Штраф -2",$I$4:I2232,"&lt;&gt;ушел на базу"))</f>
        <v/>
      </c>
      <c r="F2232" s="4">
        <f>IF(E2232="","",IF(E2232&lt;=3,6,IF(E2232&lt;=6,5,IF(E2232&lt;=9,4,IF(E2232&lt;=12,3,IF(E2232&lt;=15,2,0))))))</f>
        <v/>
      </c>
      <c r="G2232" s="3" t="n"/>
      <c r="H2232" s="4">
        <f>IF(I2232="Штраф -2",-2,IF(OR(F2232="",G2232=""),"",F2232*G2232+IF(J2232="",0,J2232)))</f>
        <v/>
      </c>
      <c r="I2232" s="3" t="n"/>
      <c r="J2232" s="3" t="n"/>
      <c r="K2232" s="3" t="n"/>
    </row>
    <row r="2233">
      <c r="A2233" s="3" t="n"/>
      <c r="B2233" s="3" t="n"/>
      <c r="C2233" s="3" t="n"/>
      <c r="D2233" s="3" t="n"/>
      <c r="E2233" s="4">
        <f>IF(A2233="","",COUNTIFS($A$4:A2233,A2233,$I$4:I2233,"&lt;&gt;Штраф -2",$I$4:I2233,"&lt;&gt;ушел на базу"))</f>
        <v/>
      </c>
      <c r="F2233" s="4">
        <f>IF(E2233="","",IF(E2233&lt;=3,6,IF(E2233&lt;=6,5,IF(E2233&lt;=9,4,IF(E2233&lt;=12,3,IF(E2233&lt;=15,2,0))))))</f>
        <v/>
      </c>
      <c r="G2233" s="3" t="n"/>
      <c r="H2233" s="4">
        <f>IF(I2233="Штраф -2",-2,IF(OR(F2233="",G2233=""),"",F2233*G2233+IF(J2233="",0,J2233)))</f>
        <v/>
      </c>
      <c r="I2233" s="3" t="n"/>
      <c r="J2233" s="3" t="n"/>
      <c r="K2233" s="3" t="n"/>
    </row>
    <row r="2234">
      <c r="A2234" s="3" t="n"/>
      <c r="B2234" s="3" t="n"/>
      <c r="C2234" s="3" t="n"/>
      <c r="D2234" s="3" t="n"/>
      <c r="E2234" s="4">
        <f>IF(A2234="","",COUNTIFS($A$4:A2234,A2234,$I$4:I2234,"&lt;&gt;Штраф -2",$I$4:I2234,"&lt;&gt;ушел на базу"))</f>
        <v/>
      </c>
      <c r="F2234" s="4">
        <f>IF(E2234="","",IF(E2234&lt;=3,6,IF(E2234&lt;=6,5,IF(E2234&lt;=9,4,IF(E2234&lt;=12,3,IF(E2234&lt;=15,2,0))))))</f>
        <v/>
      </c>
      <c r="G2234" s="3" t="n"/>
      <c r="H2234" s="4">
        <f>IF(I2234="Штраф -2",-2,IF(OR(F2234="",G2234=""),"",F2234*G2234+IF(J2234="",0,J2234)))</f>
        <v/>
      </c>
      <c r="I2234" s="3" t="n"/>
      <c r="J2234" s="3" t="n"/>
      <c r="K2234" s="3" t="n"/>
    </row>
    <row r="2235">
      <c r="A2235" s="3" t="n"/>
      <c r="B2235" s="3" t="n"/>
      <c r="C2235" s="3" t="n"/>
      <c r="D2235" s="3" t="n"/>
      <c r="E2235" s="4">
        <f>IF(A2235="","",COUNTIFS($A$4:A2235,A2235,$I$4:I2235,"&lt;&gt;Штраф -2",$I$4:I2235,"&lt;&gt;ушел на базу"))</f>
        <v/>
      </c>
      <c r="F2235" s="4">
        <f>IF(E2235="","",IF(E2235&lt;=3,6,IF(E2235&lt;=6,5,IF(E2235&lt;=9,4,IF(E2235&lt;=12,3,IF(E2235&lt;=15,2,0))))))</f>
        <v/>
      </c>
      <c r="G2235" s="3" t="n"/>
      <c r="H2235" s="4">
        <f>IF(I2235="Штраф -2",-2,IF(OR(F2235="",G2235=""),"",F2235*G2235+IF(J2235="",0,J2235)))</f>
        <v/>
      </c>
      <c r="I2235" s="3" t="n"/>
      <c r="J2235" s="3" t="n"/>
      <c r="K2235" s="3" t="n"/>
    </row>
    <row r="2236">
      <c r="A2236" s="3" t="n"/>
      <c r="B2236" s="3" t="n"/>
      <c r="C2236" s="3" t="n"/>
      <c r="D2236" s="3" t="n"/>
      <c r="E2236" s="4">
        <f>IF(A2236="","",COUNTIFS($A$4:A2236,A2236,$I$4:I2236,"&lt;&gt;Штраф -2",$I$4:I2236,"&lt;&gt;ушел на базу"))</f>
        <v/>
      </c>
      <c r="F2236" s="4">
        <f>IF(E2236="","",IF(E2236&lt;=3,6,IF(E2236&lt;=6,5,IF(E2236&lt;=9,4,IF(E2236&lt;=12,3,IF(E2236&lt;=15,2,0))))))</f>
        <v/>
      </c>
      <c r="G2236" s="3" t="n"/>
      <c r="H2236" s="4">
        <f>IF(I2236="Штраф -2",-2,IF(OR(F2236="",G2236=""),"",F2236*G2236+IF(J2236="",0,J2236)))</f>
        <v/>
      </c>
      <c r="I2236" s="3" t="n"/>
      <c r="J2236" s="3" t="n"/>
      <c r="K2236" s="3" t="n"/>
    </row>
    <row r="2237">
      <c r="A2237" s="3" t="n"/>
      <c r="B2237" s="3" t="n"/>
      <c r="C2237" s="3" t="n"/>
      <c r="D2237" s="3" t="n"/>
      <c r="E2237" s="4">
        <f>IF(A2237="","",COUNTIFS($A$4:A2237,A2237,$I$4:I2237,"&lt;&gt;Штраф -2",$I$4:I2237,"&lt;&gt;ушел на базу"))</f>
        <v/>
      </c>
      <c r="F2237" s="4">
        <f>IF(E2237="","",IF(E2237&lt;=3,6,IF(E2237&lt;=6,5,IF(E2237&lt;=9,4,IF(E2237&lt;=12,3,IF(E2237&lt;=15,2,0))))))</f>
        <v/>
      </c>
      <c r="G2237" s="3" t="n"/>
      <c r="H2237" s="4">
        <f>IF(I2237="Штраф -2",-2,IF(OR(F2237="",G2237=""),"",F2237*G2237+IF(J2237="",0,J2237)))</f>
        <v/>
      </c>
      <c r="I2237" s="3" t="n"/>
      <c r="J2237" s="3" t="n"/>
      <c r="K2237" s="3" t="n"/>
    </row>
    <row r="2238">
      <c r="A2238" s="3" t="n"/>
      <c r="B2238" s="3" t="n"/>
      <c r="C2238" s="3" t="n"/>
      <c r="D2238" s="3" t="n"/>
      <c r="E2238" s="4">
        <f>IF(A2238="","",COUNTIFS($A$4:A2238,A2238,$I$4:I2238,"&lt;&gt;Штраф -2",$I$4:I2238,"&lt;&gt;ушел на базу"))</f>
        <v/>
      </c>
      <c r="F2238" s="4">
        <f>IF(E2238="","",IF(E2238&lt;=3,6,IF(E2238&lt;=6,5,IF(E2238&lt;=9,4,IF(E2238&lt;=12,3,IF(E2238&lt;=15,2,0))))))</f>
        <v/>
      </c>
      <c r="G2238" s="3" t="n"/>
      <c r="H2238" s="4">
        <f>IF(I2238="Штраф -2",-2,IF(OR(F2238="",G2238=""),"",F2238*G2238+IF(J2238="",0,J2238)))</f>
        <v/>
      </c>
      <c r="I2238" s="3" t="n"/>
      <c r="J2238" s="3" t="n"/>
      <c r="K2238" s="3" t="n"/>
    </row>
    <row r="2239">
      <c r="A2239" s="3" t="n"/>
      <c r="B2239" s="3" t="n"/>
      <c r="C2239" s="3" t="n"/>
      <c r="D2239" s="3" t="n"/>
      <c r="E2239" s="4">
        <f>IF(A2239="","",COUNTIFS($A$4:A2239,A2239,$I$4:I2239,"&lt;&gt;Штраф -2",$I$4:I2239,"&lt;&gt;ушел на базу"))</f>
        <v/>
      </c>
      <c r="F2239" s="4">
        <f>IF(E2239="","",IF(E2239&lt;=3,6,IF(E2239&lt;=6,5,IF(E2239&lt;=9,4,IF(E2239&lt;=12,3,IF(E2239&lt;=15,2,0))))))</f>
        <v/>
      </c>
      <c r="G2239" s="3" t="n"/>
      <c r="H2239" s="4">
        <f>IF(I2239="Штраф -2",-2,IF(OR(F2239="",G2239=""),"",F2239*G2239+IF(J2239="",0,J2239)))</f>
        <v/>
      </c>
      <c r="I2239" s="3" t="n"/>
      <c r="J2239" s="3" t="n"/>
      <c r="K2239" s="3" t="n"/>
    </row>
    <row r="2240">
      <c r="A2240" s="3" t="n"/>
      <c r="B2240" s="3" t="n"/>
      <c r="C2240" s="3" t="n"/>
      <c r="D2240" s="3" t="n"/>
      <c r="E2240" s="4">
        <f>IF(A2240="","",COUNTIFS($A$4:A2240,A2240,$I$4:I2240,"&lt;&gt;Штраф -2",$I$4:I2240,"&lt;&gt;ушел на базу"))</f>
        <v/>
      </c>
      <c r="F2240" s="4">
        <f>IF(E2240="","",IF(E2240&lt;=3,6,IF(E2240&lt;=6,5,IF(E2240&lt;=9,4,IF(E2240&lt;=12,3,IF(E2240&lt;=15,2,0))))))</f>
        <v/>
      </c>
      <c r="G2240" s="3" t="n"/>
      <c r="H2240" s="4">
        <f>IF(I2240="Штраф -2",-2,IF(OR(F2240="",G2240=""),"",F2240*G2240+IF(J2240="",0,J2240)))</f>
        <v/>
      </c>
      <c r="I2240" s="3" t="n"/>
      <c r="J2240" s="3" t="n"/>
      <c r="K2240" s="3" t="n"/>
    </row>
    <row r="2241">
      <c r="A2241" s="3" t="n"/>
      <c r="B2241" s="3" t="n"/>
      <c r="C2241" s="3" t="n"/>
      <c r="D2241" s="3" t="n"/>
      <c r="E2241" s="4">
        <f>IF(A2241="","",COUNTIFS($A$4:A2241,A2241,$I$4:I2241,"&lt;&gt;Штраф -2",$I$4:I2241,"&lt;&gt;ушел на базу"))</f>
        <v/>
      </c>
      <c r="F2241" s="4">
        <f>IF(E2241="","",IF(E2241&lt;=3,6,IF(E2241&lt;=6,5,IF(E2241&lt;=9,4,IF(E2241&lt;=12,3,IF(E2241&lt;=15,2,0))))))</f>
        <v/>
      </c>
      <c r="G2241" s="3" t="n"/>
      <c r="H2241" s="4">
        <f>IF(I2241="Штраф -2",-2,IF(OR(F2241="",G2241=""),"",F2241*G2241+IF(J2241="",0,J2241)))</f>
        <v/>
      </c>
      <c r="I2241" s="3" t="n"/>
      <c r="J2241" s="3" t="n"/>
      <c r="K2241" s="3" t="n"/>
    </row>
    <row r="2242">
      <c r="A2242" s="3" t="n"/>
      <c r="B2242" s="3" t="n"/>
      <c r="C2242" s="3" t="n"/>
      <c r="D2242" s="3" t="n"/>
      <c r="E2242" s="4">
        <f>IF(A2242="","",COUNTIFS($A$4:A2242,A2242,$I$4:I2242,"&lt;&gt;Штраф -2",$I$4:I2242,"&lt;&gt;ушел на базу"))</f>
        <v/>
      </c>
      <c r="F2242" s="4">
        <f>IF(E2242="","",IF(E2242&lt;=3,6,IF(E2242&lt;=6,5,IF(E2242&lt;=9,4,IF(E2242&lt;=12,3,IF(E2242&lt;=15,2,0))))))</f>
        <v/>
      </c>
      <c r="G2242" s="3" t="n"/>
      <c r="H2242" s="4">
        <f>IF(I2242="Штраф -2",-2,IF(OR(F2242="",G2242=""),"",F2242*G2242+IF(J2242="",0,J2242)))</f>
        <v/>
      </c>
      <c r="I2242" s="3" t="n"/>
      <c r="J2242" s="3" t="n"/>
      <c r="K2242" s="3" t="n"/>
    </row>
    <row r="2243">
      <c r="A2243" s="3" t="n"/>
      <c r="B2243" s="3" t="n"/>
      <c r="C2243" s="3" t="n"/>
      <c r="D2243" s="3" t="n"/>
      <c r="E2243" s="4">
        <f>IF(A2243="","",COUNTIFS($A$4:A2243,A2243,$I$4:I2243,"&lt;&gt;Штраф -2",$I$4:I2243,"&lt;&gt;ушел на базу"))</f>
        <v/>
      </c>
      <c r="F2243" s="4">
        <f>IF(E2243="","",IF(E2243&lt;=3,6,IF(E2243&lt;=6,5,IF(E2243&lt;=9,4,IF(E2243&lt;=12,3,IF(E2243&lt;=15,2,0))))))</f>
        <v/>
      </c>
      <c r="G2243" s="3" t="n"/>
      <c r="H2243" s="4">
        <f>IF(I2243="Штраф -2",-2,IF(OR(F2243="",G2243=""),"",F2243*G2243+IF(J2243="",0,J2243)))</f>
        <v/>
      </c>
      <c r="I2243" s="3" t="n"/>
      <c r="J2243" s="3" t="n"/>
      <c r="K2243" s="3" t="n"/>
    </row>
    <row r="2244">
      <c r="A2244" s="3" t="n"/>
      <c r="B2244" s="3" t="n"/>
      <c r="C2244" s="3" t="n"/>
      <c r="D2244" s="3" t="n"/>
      <c r="E2244" s="4">
        <f>IF(A2244="","",COUNTIFS($A$4:A2244,A2244,$I$4:I2244,"&lt;&gt;Штраф -2",$I$4:I2244,"&lt;&gt;ушел на базу"))</f>
        <v/>
      </c>
      <c r="F2244" s="4">
        <f>IF(E2244="","",IF(E2244&lt;=3,6,IF(E2244&lt;=6,5,IF(E2244&lt;=9,4,IF(E2244&lt;=12,3,IF(E2244&lt;=15,2,0))))))</f>
        <v/>
      </c>
      <c r="G2244" s="3" t="n"/>
      <c r="H2244" s="4">
        <f>IF(I2244="Штраф -2",-2,IF(OR(F2244="",G2244=""),"",F2244*G2244+IF(J2244="",0,J2244)))</f>
        <v/>
      </c>
      <c r="I2244" s="3" t="n"/>
      <c r="J2244" s="3" t="n"/>
      <c r="K2244" s="3" t="n"/>
    </row>
    <row r="2245">
      <c r="A2245" s="3" t="n"/>
      <c r="B2245" s="3" t="n"/>
      <c r="C2245" s="3" t="n"/>
      <c r="D2245" s="3" t="n"/>
      <c r="E2245" s="4">
        <f>IF(A2245="","",COUNTIFS($A$4:A2245,A2245,$I$4:I2245,"&lt;&gt;Штраф -2",$I$4:I2245,"&lt;&gt;ушел на базу"))</f>
        <v/>
      </c>
      <c r="F2245" s="4">
        <f>IF(E2245="","",IF(E2245&lt;=3,6,IF(E2245&lt;=6,5,IF(E2245&lt;=9,4,IF(E2245&lt;=12,3,IF(E2245&lt;=15,2,0))))))</f>
        <v/>
      </c>
      <c r="G2245" s="3" t="n"/>
      <c r="H2245" s="4">
        <f>IF(I2245="Штраф -2",-2,IF(OR(F2245="",G2245=""),"",F2245*G2245+IF(J2245="",0,J2245)))</f>
        <v/>
      </c>
      <c r="I2245" s="3" t="n"/>
      <c r="J2245" s="3" t="n"/>
      <c r="K2245" s="3" t="n"/>
    </row>
    <row r="2246">
      <c r="A2246" s="3" t="n"/>
      <c r="B2246" s="3" t="n"/>
      <c r="C2246" s="3" t="n"/>
      <c r="D2246" s="3" t="n"/>
      <c r="E2246" s="4">
        <f>IF(A2246="","",COUNTIFS($A$4:A2246,A2246,$I$4:I2246,"&lt;&gt;Штраф -2",$I$4:I2246,"&lt;&gt;ушел на базу"))</f>
        <v/>
      </c>
      <c r="F2246" s="4">
        <f>IF(E2246="","",IF(E2246&lt;=3,6,IF(E2246&lt;=6,5,IF(E2246&lt;=9,4,IF(E2246&lt;=12,3,IF(E2246&lt;=15,2,0))))))</f>
        <v/>
      </c>
      <c r="G2246" s="3" t="n"/>
      <c r="H2246" s="4">
        <f>IF(I2246="Штраф -2",-2,IF(OR(F2246="",G2246=""),"",F2246*G2246+IF(J2246="",0,J2246)))</f>
        <v/>
      </c>
      <c r="I2246" s="3" t="n"/>
      <c r="J2246" s="3" t="n"/>
      <c r="K2246" s="3" t="n"/>
    </row>
    <row r="2247">
      <c r="A2247" s="3" t="n"/>
      <c r="B2247" s="3" t="n"/>
      <c r="C2247" s="3" t="n"/>
      <c r="D2247" s="3" t="n"/>
      <c r="E2247" s="4">
        <f>IF(A2247="","",COUNTIFS($A$4:A2247,A2247,$I$4:I2247,"&lt;&gt;Штраф -2",$I$4:I2247,"&lt;&gt;ушел на базу"))</f>
        <v/>
      </c>
      <c r="F2247" s="4">
        <f>IF(E2247="","",IF(E2247&lt;=3,6,IF(E2247&lt;=6,5,IF(E2247&lt;=9,4,IF(E2247&lt;=12,3,IF(E2247&lt;=15,2,0))))))</f>
        <v/>
      </c>
      <c r="G2247" s="3" t="n"/>
      <c r="H2247" s="4">
        <f>IF(I2247="Штраф -2",-2,IF(OR(F2247="",G2247=""),"",F2247*G2247+IF(J2247="",0,J2247)))</f>
        <v/>
      </c>
      <c r="I2247" s="3" t="n"/>
      <c r="J2247" s="3" t="n"/>
      <c r="K2247" s="3" t="n"/>
    </row>
    <row r="2248">
      <c r="A2248" s="3" t="n"/>
      <c r="B2248" s="3" t="n"/>
      <c r="C2248" s="3" t="n"/>
      <c r="D2248" s="3" t="n"/>
      <c r="E2248" s="4">
        <f>IF(A2248="","",COUNTIFS($A$4:A2248,A2248,$I$4:I2248,"&lt;&gt;Штраф -2",$I$4:I2248,"&lt;&gt;ушел на базу"))</f>
        <v/>
      </c>
      <c r="F2248" s="4">
        <f>IF(E2248="","",IF(E2248&lt;=3,6,IF(E2248&lt;=6,5,IF(E2248&lt;=9,4,IF(E2248&lt;=12,3,IF(E2248&lt;=15,2,0))))))</f>
        <v/>
      </c>
      <c r="G2248" s="3" t="n"/>
      <c r="H2248" s="4">
        <f>IF(I2248="Штраф -2",-2,IF(OR(F2248="",G2248=""),"",F2248*G2248+IF(J2248="",0,J2248)))</f>
        <v/>
      </c>
      <c r="I2248" s="3" t="n"/>
      <c r="J2248" s="3" t="n"/>
      <c r="K2248" s="3" t="n"/>
    </row>
    <row r="2249">
      <c r="A2249" s="3" t="n"/>
      <c r="B2249" s="3" t="n"/>
      <c r="C2249" s="3" t="n"/>
      <c r="D2249" s="3" t="n"/>
      <c r="E2249" s="4">
        <f>IF(A2249="","",COUNTIFS($A$4:A2249,A2249,$I$4:I2249,"&lt;&gt;Штраф -2",$I$4:I2249,"&lt;&gt;ушел на базу"))</f>
        <v/>
      </c>
      <c r="F2249" s="4">
        <f>IF(E2249="","",IF(E2249&lt;=3,6,IF(E2249&lt;=6,5,IF(E2249&lt;=9,4,IF(E2249&lt;=12,3,IF(E2249&lt;=15,2,0))))))</f>
        <v/>
      </c>
      <c r="G2249" s="3" t="n"/>
      <c r="H2249" s="4">
        <f>IF(I2249="Штраф -2",-2,IF(OR(F2249="",G2249=""),"",F2249*G2249+IF(J2249="",0,J2249)))</f>
        <v/>
      </c>
      <c r="I2249" s="3" t="n"/>
      <c r="J2249" s="3" t="n"/>
      <c r="K2249" s="3" t="n"/>
    </row>
    <row r="2250">
      <c r="A2250" s="3" t="n"/>
      <c r="B2250" s="3" t="n"/>
      <c r="C2250" s="3" t="n"/>
      <c r="D2250" s="3" t="n"/>
      <c r="E2250" s="4">
        <f>IF(A2250="","",COUNTIFS($A$4:A2250,A2250,$I$4:I2250,"&lt;&gt;Штраф -2",$I$4:I2250,"&lt;&gt;ушел на базу"))</f>
        <v/>
      </c>
      <c r="F2250" s="4">
        <f>IF(E2250="","",IF(E2250&lt;=3,6,IF(E2250&lt;=6,5,IF(E2250&lt;=9,4,IF(E2250&lt;=12,3,IF(E2250&lt;=15,2,0))))))</f>
        <v/>
      </c>
      <c r="G2250" s="3" t="n"/>
      <c r="H2250" s="4">
        <f>IF(I2250="Штраф -2",-2,IF(OR(F2250="",G2250=""),"",F2250*G2250+IF(J2250="",0,J2250)))</f>
        <v/>
      </c>
      <c r="I2250" s="3" t="n"/>
      <c r="J2250" s="3" t="n"/>
      <c r="K2250" s="3" t="n"/>
    </row>
    <row r="2251">
      <c r="A2251" s="3" t="n"/>
      <c r="B2251" s="3" t="n"/>
      <c r="C2251" s="3" t="n"/>
      <c r="D2251" s="3" t="n"/>
      <c r="E2251" s="4">
        <f>IF(A2251="","",COUNTIFS($A$4:A2251,A2251,$I$4:I2251,"&lt;&gt;Штраф -2",$I$4:I2251,"&lt;&gt;ушел на базу"))</f>
        <v/>
      </c>
      <c r="F2251" s="4">
        <f>IF(E2251="","",IF(E2251&lt;=3,6,IF(E2251&lt;=6,5,IF(E2251&lt;=9,4,IF(E2251&lt;=12,3,IF(E2251&lt;=15,2,0))))))</f>
        <v/>
      </c>
      <c r="G2251" s="3" t="n"/>
      <c r="H2251" s="4">
        <f>IF(I2251="Штраф -2",-2,IF(OR(F2251="",G2251=""),"",F2251*G2251+IF(J2251="",0,J2251)))</f>
        <v/>
      </c>
      <c r="I2251" s="3" t="n"/>
      <c r="J2251" s="3" t="n"/>
      <c r="K2251" s="3" t="n"/>
    </row>
    <row r="2252">
      <c r="A2252" s="3" t="n"/>
      <c r="B2252" s="3" t="n"/>
      <c r="C2252" s="3" t="n"/>
      <c r="D2252" s="3" t="n"/>
      <c r="E2252" s="4">
        <f>IF(A2252="","",COUNTIFS($A$4:A2252,A2252,$I$4:I2252,"&lt;&gt;Штраф -2",$I$4:I2252,"&lt;&gt;ушел на базу"))</f>
        <v/>
      </c>
      <c r="F2252" s="4">
        <f>IF(E2252="","",IF(E2252&lt;=3,6,IF(E2252&lt;=6,5,IF(E2252&lt;=9,4,IF(E2252&lt;=12,3,IF(E2252&lt;=15,2,0))))))</f>
        <v/>
      </c>
      <c r="G2252" s="3" t="n"/>
      <c r="H2252" s="4">
        <f>IF(I2252="Штраф -2",-2,IF(OR(F2252="",G2252=""),"",F2252*G2252+IF(J2252="",0,J2252)))</f>
        <v/>
      </c>
      <c r="I2252" s="3" t="n"/>
      <c r="J2252" s="3" t="n"/>
      <c r="K2252" s="3" t="n"/>
    </row>
    <row r="2253">
      <c r="A2253" s="3" t="n"/>
      <c r="B2253" s="3" t="n"/>
      <c r="C2253" s="3" t="n"/>
      <c r="D2253" s="3" t="n"/>
      <c r="E2253" s="4">
        <f>IF(A2253="","",COUNTIFS($A$4:A2253,A2253,$I$4:I2253,"&lt;&gt;Штраф -2",$I$4:I2253,"&lt;&gt;ушел на базу"))</f>
        <v/>
      </c>
      <c r="F2253" s="4">
        <f>IF(E2253="","",IF(E2253&lt;=3,6,IF(E2253&lt;=6,5,IF(E2253&lt;=9,4,IF(E2253&lt;=12,3,IF(E2253&lt;=15,2,0))))))</f>
        <v/>
      </c>
      <c r="G2253" s="3" t="n"/>
      <c r="H2253" s="4">
        <f>IF(I2253="Штраф -2",-2,IF(OR(F2253="",G2253=""),"",F2253*G2253+IF(J2253="",0,J2253)))</f>
        <v/>
      </c>
      <c r="I2253" s="3" t="n"/>
      <c r="J2253" s="3" t="n"/>
      <c r="K2253" s="3" t="n"/>
    </row>
    <row r="2254">
      <c r="A2254" s="3" t="n"/>
      <c r="B2254" s="3" t="n"/>
      <c r="C2254" s="3" t="n"/>
      <c r="D2254" s="3" t="n"/>
      <c r="E2254" s="4">
        <f>IF(A2254="","",COUNTIFS($A$4:A2254,A2254,$I$4:I2254,"&lt;&gt;Штраф -2",$I$4:I2254,"&lt;&gt;ушел на базу"))</f>
        <v/>
      </c>
      <c r="F2254" s="4">
        <f>IF(E2254="","",IF(E2254&lt;=3,6,IF(E2254&lt;=6,5,IF(E2254&lt;=9,4,IF(E2254&lt;=12,3,IF(E2254&lt;=15,2,0))))))</f>
        <v/>
      </c>
      <c r="G2254" s="3" t="n"/>
      <c r="H2254" s="4">
        <f>IF(I2254="Штраф -2",-2,IF(OR(F2254="",G2254=""),"",F2254*G2254+IF(J2254="",0,J2254)))</f>
        <v/>
      </c>
      <c r="I2254" s="3" t="n"/>
      <c r="J2254" s="3" t="n"/>
      <c r="K2254" s="3" t="n"/>
    </row>
    <row r="2255">
      <c r="A2255" s="3" t="n"/>
      <c r="B2255" s="3" t="n"/>
      <c r="C2255" s="3" t="n"/>
      <c r="D2255" s="3" t="n"/>
      <c r="E2255" s="4">
        <f>IF(A2255="","",COUNTIFS($A$4:A2255,A2255,$I$4:I2255,"&lt;&gt;Штраф -2",$I$4:I2255,"&lt;&gt;ушел на базу"))</f>
        <v/>
      </c>
      <c r="F2255" s="4">
        <f>IF(E2255="","",IF(E2255&lt;=3,6,IF(E2255&lt;=6,5,IF(E2255&lt;=9,4,IF(E2255&lt;=12,3,IF(E2255&lt;=15,2,0))))))</f>
        <v/>
      </c>
      <c r="G2255" s="3" t="n"/>
      <c r="H2255" s="4">
        <f>IF(I2255="Штраф -2",-2,IF(OR(F2255="",G2255=""),"",F2255*G2255+IF(J2255="",0,J2255)))</f>
        <v/>
      </c>
      <c r="I2255" s="3" t="n"/>
      <c r="J2255" s="3" t="n"/>
      <c r="K2255" s="3" t="n"/>
    </row>
    <row r="2256">
      <c r="A2256" s="3" t="n"/>
      <c r="B2256" s="3" t="n"/>
      <c r="C2256" s="3" t="n"/>
      <c r="D2256" s="3" t="n"/>
      <c r="E2256" s="4">
        <f>IF(A2256="","",COUNTIFS($A$4:A2256,A2256,$I$4:I2256,"&lt;&gt;Штраф -2",$I$4:I2256,"&lt;&gt;ушел на базу"))</f>
        <v/>
      </c>
      <c r="F2256" s="4">
        <f>IF(E2256="","",IF(E2256&lt;=3,6,IF(E2256&lt;=6,5,IF(E2256&lt;=9,4,IF(E2256&lt;=12,3,IF(E2256&lt;=15,2,0))))))</f>
        <v/>
      </c>
      <c r="G2256" s="3" t="n"/>
      <c r="H2256" s="4">
        <f>IF(I2256="Штраф -2",-2,IF(OR(F2256="",G2256=""),"",F2256*G2256+IF(J2256="",0,J2256)))</f>
        <v/>
      </c>
      <c r="I2256" s="3" t="n"/>
      <c r="J2256" s="3" t="n"/>
      <c r="K2256" s="3" t="n"/>
    </row>
    <row r="2257">
      <c r="A2257" s="3" t="n"/>
      <c r="B2257" s="3" t="n"/>
      <c r="C2257" s="3" t="n"/>
      <c r="D2257" s="3" t="n"/>
      <c r="E2257" s="4">
        <f>IF(A2257="","",COUNTIFS($A$4:A2257,A2257,$I$4:I2257,"&lt;&gt;Штраф -2",$I$4:I2257,"&lt;&gt;ушел на базу"))</f>
        <v/>
      </c>
      <c r="F2257" s="4">
        <f>IF(E2257="","",IF(E2257&lt;=3,6,IF(E2257&lt;=6,5,IF(E2257&lt;=9,4,IF(E2257&lt;=12,3,IF(E2257&lt;=15,2,0))))))</f>
        <v/>
      </c>
      <c r="G2257" s="3" t="n"/>
      <c r="H2257" s="4">
        <f>IF(I2257="Штраф -2",-2,IF(OR(F2257="",G2257=""),"",F2257*G2257+IF(J2257="",0,J2257)))</f>
        <v/>
      </c>
      <c r="I2257" s="3" t="n"/>
      <c r="J2257" s="3" t="n"/>
      <c r="K2257" s="3" t="n"/>
    </row>
    <row r="2258">
      <c r="A2258" s="3" t="n"/>
      <c r="B2258" s="3" t="n"/>
      <c r="C2258" s="3" t="n"/>
      <c r="D2258" s="3" t="n"/>
      <c r="E2258" s="4">
        <f>IF(A2258="","",COUNTIFS($A$4:A2258,A2258,$I$4:I2258,"&lt;&gt;Штраф -2",$I$4:I2258,"&lt;&gt;ушел на базу"))</f>
        <v/>
      </c>
      <c r="F2258" s="4">
        <f>IF(E2258="","",IF(E2258&lt;=3,6,IF(E2258&lt;=6,5,IF(E2258&lt;=9,4,IF(E2258&lt;=12,3,IF(E2258&lt;=15,2,0))))))</f>
        <v/>
      </c>
      <c r="G2258" s="3" t="n"/>
      <c r="H2258" s="4">
        <f>IF(I2258="Штраф -2",-2,IF(OR(F2258="",G2258=""),"",F2258*G2258+IF(J2258="",0,J2258)))</f>
        <v/>
      </c>
      <c r="I2258" s="3" t="n"/>
      <c r="J2258" s="3" t="n"/>
      <c r="K2258" s="3" t="n"/>
    </row>
    <row r="2259">
      <c r="A2259" s="3" t="n"/>
      <c r="B2259" s="3" t="n"/>
      <c r="C2259" s="3" t="n"/>
      <c r="D2259" s="3" t="n"/>
      <c r="E2259" s="4">
        <f>IF(A2259="","",COUNTIFS($A$4:A2259,A2259,$I$4:I2259,"&lt;&gt;Штраф -2",$I$4:I2259,"&lt;&gt;ушел на базу"))</f>
        <v/>
      </c>
      <c r="F2259" s="4">
        <f>IF(E2259="","",IF(E2259&lt;=3,6,IF(E2259&lt;=6,5,IF(E2259&lt;=9,4,IF(E2259&lt;=12,3,IF(E2259&lt;=15,2,0))))))</f>
        <v/>
      </c>
      <c r="G2259" s="3" t="n"/>
      <c r="H2259" s="4">
        <f>IF(I2259="Штраф -2",-2,IF(OR(F2259="",G2259=""),"",F2259*G2259+IF(J2259="",0,J2259)))</f>
        <v/>
      </c>
      <c r="I2259" s="3" t="n"/>
      <c r="J2259" s="3" t="n"/>
      <c r="K2259" s="3" t="n"/>
    </row>
    <row r="2260">
      <c r="A2260" s="3" t="n"/>
      <c r="B2260" s="3" t="n"/>
      <c r="C2260" s="3" t="n"/>
      <c r="D2260" s="3" t="n"/>
      <c r="E2260" s="4">
        <f>IF(A2260="","",COUNTIFS($A$4:A2260,A2260,$I$4:I2260,"&lt;&gt;Штраф -2",$I$4:I2260,"&lt;&gt;ушел на базу"))</f>
        <v/>
      </c>
      <c r="F2260" s="4">
        <f>IF(E2260="","",IF(E2260&lt;=3,6,IF(E2260&lt;=6,5,IF(E2260&lt;=9,4,IF(E2260&lt;=12,3,IF(E2260&lt;=15,2,0))))))</f>
        <v/>
      </c>
      <c r="G2260" s="3" t="n"/>
      <c r="H2260" s="4">
        <f>IF(I2260="Штраф -2",-2,IF(OR(F2260="",G2260=""),"",F2260*G2260+IF(J2260="",0,J2260)))</f>
        <v/>
      </c>
      <c r="I2260" s="3" t="n"/>
      <c r="J2260" s="3" t="n"/>
      <c r="K2260" s="3" t="n"/>
    </row>
    <row r="2261">
      <c r="A2261" s="3" t="n"/>
      <c r="B2261" s="3" t="n"/>
      <c r="C2261" s="3" t="n"/>
      <c r="D2261" s="3" t="n"/>
      <c r="E2261" s="4">
        <f>IF(A2261="","",COUNTIFS($A$4:A2261,A2261,$I$4:I2261,"&lt;&gt;Штраф -2",$I$4:I2261,"&lt;&gt;ушел на базу"))</f>
        <v/>
      </c>
      <c r="F2261" s="4">
        <f>IF(E2261="","",IF(E2261&lt;=3,6,IF(E2261&lt;=6,5,IF(E2261&lt;=9,4,IF(E2261&lt;=12,3,IF(E2261&lt;=15,2,0))))))</f>
        <v/>
      </c>
      <c r="G2261" s="3" t="n"/>
      <c r="H2261" s="4">
        <f>IF(I2261="Штраф -2",-2,IF(OR(F2261="",G2261=""),"",F2261*G2261+IF(J2261="",0,J2261)))</f>
        <v/>
      </c>
      <c r="I2261" s="3" t="n"/>
      <c r="J2261" s="3" t="n"/>
      <c r="K2261" s="3" t="n"/>
    </row>
    <row r="2262">
      <c r="A2262" s="3" t="n"/>
      <c r="B2262" s="3" t="n"/>
      <c r="C2262" s="3" t="n"/>
      <c r="D2262" s="3" t="n"/>
      <c r="E2262" s="4">
        <f>IF(A2262="","",COUNTIFS($A$4:A2262,A2262,$I$4:I2262,"&lt;&gt;Штраф -2",$I$4:I2262,"&lt;&gt;ушел на базу"))</f>
        <v/>
      </c>
      <c r="F2262" s="4">
        <f>IF(E2262="","",IF(E2262&lt;=3,6,IF(E2262&lt;=6,5,IF(E2262&lt;=9,4,IF(E2262&lt;=12,3,IF(E2262&lt;=15,2,0))))))</f>
        <v/>
      </c>
      <c r="G2262" s="3" t="n"/>
      <c r="H2262" s="4">
        <f>IF(I2262="Штраф -2",-2,IF(OR(F2262="",G2262=""),"",F2262*G2262+IF(J2262="",0,J2262)))</f>
        <v/>
      </c>
      <c r="I2262" s="3" t="n"/>
      <c r="J2262" s="3" t="n"/>
      <c r="K2262" s="3" t="n"/>
    </row>
    <row r="2263">
      <c r="A2263" s="3" t="n"/>
      <c r="B2263" s="3" t="n"/>
      <c r="C2263" s="3" t="n"/>
      <c r="D2263" s="3" t="n"/>
      <c r="E2263" s="4">
        <f>IF(A2263="","",COUNTIFS($A$4:A2263,A2263,$I$4:I2263,"&lt;&gt;Штраф -2",$I$4:I2263,"&lt;&gt;ушел на базу"))</f>
        <v/>
      </c>
      <c r="F2263" s="4">
        <f>IF(E2263="","",IF(E2263&lt;=3,6,IF(E2263&lt;=6,5,IF(E2263&lt;=9,4,IF(E2263&lt;=12,3,IF(E2263&lt;=15,2,0))))))</f>
        <v/>
      </c>
      <c r="G2263" s="3" t="n"/>
      <c r="H2263" s="4">
        <f>IF(I2263="Штраф -2",-2,IF(OR(F2263="",G2263=""),"",F2263*G2263+IF(J2263="",0,J2263)))</f>
        <v/>
      </c>
      <c r="I2263" s="3" t="n"/>
      <c r="J2263" s="3" t="n"/>
      <c r="K2263" s="3" t="n"/>
    </row>
    <row r="2264">
      <c r="A2264" s="3" t="n"/>
      <c r="B2264" s="3" t="n"/>
      <c r="C2264" s="3" t="n"/>
      <c r="D2264" s="3" t="n"/>
      <c r="E2264" s="4">
        <f>IF(A2264="","",COUNTIFS($A$4:A2264,A2264,$I$4:I2264,"&lt;&gt;Штраф -2",$I$4:I2264,"&lt;&gt;ушел на базу"))</f>
        <v/>
      </c>
      <c r="F2264" s="4">
        <f>IF(E2264="","",IF(E2264&lt;=3,6,IF(E2264&lt;=6,5,IF(E2264&lt;=9,4,IF(E2264&lt;=12,3,IF(E2264&lt;=15,2,0))))))</f>
        <v/>
      </c>
      <c r="G2264" s="3" t="n"/>
      <c r="H2264" s="4">
        <f>IF(I2264="Штраф -2",-2,IF(OR(F2264="",G2264=""),"",F2264*G2264+IF(J2264="",0,J2264)))</f>
        <v/>
      </c>
      <c r="I2264" s="3" t="n"/>
      <c r="J2264" s="3" t="n"/>
      <c r="K2264" s="3" t="n"/>
    </row>
    <row r="2265">
      <c r="A2265" s="3" t="n"/>
      <c r="B2265" s="3" t="n"/>
      <c r="C2265" s="3" t="n"/>
      <c r="D2265" s="3" t="n"/>
      <c r="E2265" s="4">
        <f>IF(A2265="","",COUNTIFS($A$4:A2265,A2265,$I$4:I2265,"&lt;&gt;Штраф -2",$I$4:I2265,"&lt;&gt;ушел на базу"))</f>
        <v/>
      </c>
      <c r="F2265" s="4">
        <f>IF(E2265="","",IF(E2265&lt;=3,6,IF(E2265&lt;=6,5,IF(E2265&lt;=9,4,IF(E2265&lt;=12,3,IF(E2265&lt;=15,2,0))))))</f>
        <v/>
      </c>
      <c r="G2265" s="3" t="n"/>
      <c r="H2265" s="4">
        <f>IF(I2265="Штраф -2",-2,IF(OR(F2265="",G2265=""),"",F2265*G2265+IF(J2265="",0,J2265)))</f>
        <v/>
      </c>
      <c r="I2265" s="3" t="n"/>
      <c r="J2265" s="3" t="n"/>
      <c r="K2265" s="3" t="n"/>
    </row>
    <row r="2266">
      <c r="A2266" s="3" t="n"/>
      <c r="B2266" s="3" t="n"/>
      <c r="C2266" s="3" t="n"/>
      <c r="D2266" s="3" t="n"/>
      <c r="E2266" s="4">
        <f>IF(A2266="","",COUNTIFS($A$4:A2266,A2266,$I$4:I2266,"&lt;&gt;Штраф -2",$I$4:I2266,"&lt;&gt;ушел на базу"))</f>
        <v/>
      </c>
      <c r="F2266" s="4">
        <f>IF(E2266="","",IF(E2266&lt;=3,6,IF(E2266&lt;=6,5,IF(E2266&lt;=9,4,IF(E2266&lt;=12,3,IF(E2266&lt;=15,2,0))))))</f>
        <v/>
      </c>
      <c r="G2266" s="3" t="n"/>
      <c r="H2266" s="4">
        <f>IF(I2266="Штраф -2",-2,IF(OR(F2266="",G2266=""),"",F2266*G2266+IF(J2266="",0,J2266)))</f>
        <v/>
      </c>
      <c r="I2266" s="3" t="n"/>
      <c r="J2266" s="3" t="n"/>
      <c r="K2266" s="3" t="n"/>
    </row>
    <row r="2267">
      <c r="A2267" s="3" t="n"/>
      <c r="B2267" s="3" t="n"/>
      <c r="C2267" s="3" t="n"/>
      <c r="D2267" s="3" t="n"/>
      <c r="E2267" s="4">
        <f>IF(A2267="","",COUNTIFS($A$4:A2267,A2267,$I$4:I2267,"&lt;&gt;Штраф -2",$I$4:I2267,"&lt;&gt;ушел на базу"))</f>
        <v/>
      </c>
      <c r="F2267" s="4">
        <f>IF(E2267="","",IF(E2267&lt;=3,6,IF(E2267&lt;=6,5,IF(E2267&lt;=9,4,IF(E2267&lt;=12,3,IF(E2267&lt;=15,2,0))))))</f>
        <v/>
      </c>
      <c r="G2267" s="3" t="n"/>
      <c r="H2267" s="4">
        <f>IF(I2267="Штраф -2",-2,IF(OR(F2267="",G2267=""),"",F2267*G2267+IF(J2267="",0,J2267)))</f>
        <v/>
      </c>
      <c r="I2267" s="3" t="n"/>
      <c r="J2267" s="3" t="n"/>
      <c r="K2267" s="3" t="n"/>
    </row>
    <row r="2268">
      <c r="A2268" s="3" t="n"/>
      <c r="B2268" s="3" t="n"/>
      <c r="C2268" s="3" t="n"/>
      <c r="D2268" s="3" t="n"/>
      <c r="E2268" s="4">
        <f>IF(A2268="","",COUNTIFS($A$4:A2268,A2268,$I$4:I2268,"&lt;&gt;Штраф -2",$I$4:I2268,"&lt;&gt;ушел на базу"))</f>
        <v/>
      </c>
      <c r="F2268" s="4">
        <f>IF(E2268="","",IF(E2268&lt;=3,6,IF(E2268&lt;=6,5,IF(E2268&lt;=9,4,IF(E2268&lt;=12,3,IF(E2268&lt;=15,2,0))))))</f>
        <v/>
      </c>
      <c r="G2268" s="3" t="n"/>
      <c r="H2268" s="4">
        <f>IF(I2268="Штраф -2",-2,IF(OR(F2268="",G2268=""),"",F2268*G2268+IF(J2268="",0,J2268)))</f>
        <v/>
      </c>
      <c r="I2268" s="3" t="n"/>
      <c r="J2268" s="3" t="n"/>
      <c r="K2268" s="3" t="n"/>
    </row>
    <row r="2269">
      <c r="A2269" s="3" t="n"/>
      <c r="B2269" s="3" t="n"/>
      <c r="C2269" s="3" t="n"/>
      <c r="D2269" s="3" t="n"/>
      <c r="E2269" s="4">
        <f>IF(A2269="","",COUNTIFS($A$4:A2269,A2269,$I$4:I2269,"&lt;&gt;Штраф -2",$I$4:I2269,"&lt;&gt;ушел на базу"))</f>
        <v/>
      </c>
      <c r="F2269" s="4">
        <f>IF(E2269="","",IF(E2269&lt;=3,6,IF(E2269&lt;=6,5,IF(E2269&lt;=9,4,IF(E2269&lt;=12,3,IF(E2269&lt;=15,2,0))))))</f>
        <v/>
      </c>
      <c r="G2269" s="3" t="n"/>
      <c r="H2269" s="4">
        <f>IF(I2269="Штраф -2",-2,IF(OR(F2269="",G2269=""),"",F2269*G2269+IF(J2269="",0,J2269)))</f>
        <v/>
      </c>
      <c r="I2269" s="3" t="n"/>
      <c r="J2269" s="3" t="n"/>
      <c r="K2269" s="3" t="n"/>
    </row>
    <row r="2270">
      <c r="A2270" s="3" t="n"/>
      <c r="B2270" s="3" t="n"/>
      <c r="C2270" s="3" t="n"/>
      <c r="D2270" s="3" t="n"/>
      <c r="E2270" s="4">
        <f>IF(A2270="","",COUNTIFS($A$4:A2270,A2270,$I$4:I2270,"&lt;&gt;Штраф -2",$I$4:I2270,"&lt;&gt;ушел на базу"))</f>
        <v/>
      </c>
      <c r="F2270" s="4">
        <f>IF(E2270="","",IF(E2270&lt;=3,6,IF(E2270&lt;=6,5,IF(E2270&lt;=9,4,IF(E2270&lt;=12,3,IF(E2270&lt;=15,2,0))))))</f>
        <v/>
      </c>
      <c r="G2270" s="3" t="n"/>
      <c r="H2270" s="4">
        <f>IF(I2270="Штраф -2",-2,IF(OR(F2270="",G2270=""),"",F2270*G2270+IF(J2270="",0,J2270)))</f>
        <v/>
      </c>
      <c r="I2270" s="3" t="n"/>
      <c r="J2270" s="3" t="n"/>
      <c r="K2270" s="3" t="n"/>
    </row>
    <row r="2271">
      <c r="A2271" s="3" t="n"/>
      <c r="B2271" s="3" t="n"/>
      <c r="C2271" s="3" t="n"/>
      <c r="D2271" s="3" t="n"/>
      <c r="E2271" s="4">
        <f>IF(A2271="","",COUNTIFS($A$4:A2271,A2271,$I$4:I2271,"&lt;&gt;Штраф -2",$I$4:I2271,"&lt;&gt;ушел на базу"))</f>
        <v/>
      </c>
      <c r="F2271" s="4">
        <f>IF(E2271="","",IF(E2271&lt;=3,6,IF(E2271&lt;=6,5,IF(E2271&lt;=9,4,IF(E2271&lt;=12,3,IF(E2271&lt;=15,2,0))))))</f>
        <v/>
      </c>
      <c r="G2271" s="3" t="n"/>
      <c r="H2271" s="4">
        <f>IF(I2271="Штраф -2",-2,IF(OR(F2271="",G2271=""),"",F2271*G2271+IF(J2271="",0,J2271)))</f>
        <v/>
      </c>
      <c r="I2271" s="3" t="n"/>
      <c r="J2271" s="3" t="n"/>
      <c r="K2271" s="3" t="n"/>
    </row>
    <row r="2272">
      <c r="A2272" s="3" t="n"/>
      <c r="B2272" s="3" t="n"/>
      <c r="C2272" s="3" t="n"/>
      <c r="D2272" s="3" t="n"/>
      <c r="E2272" s="4">
        <f>IF(A2272="","",COUNTIFS($A$4:A2272,A2272,$I$4:I2272,"&lt;&gt;Штраф -2",$I$4:I2272,"&lt;&gt;ушел на базу"))</f>
        <v/>
      </c>
      <c r="F2272" s="4">
        <f>IF(E2272="","",IF(E2272&lt;=3,6,IF(E2272&lt;=6,5,IF(E2272&lt;=9,4,IF(E2272&lt;=12,3,IF(E2272&lt;=15,2,0))))))</f>
        <v/>
      </c>
      <c r="G2272" s="3" t="n"/>
      <c r="H2272" s="4">
        <f>IF(I2272="Штраф -2",-2,IF(OR(F2272="",G2272=""),"",F2272*G2272+IF(J2272="",0,J2272)))</f>
        <v/>
      </c>
      <c r="I2272" s="3" t="n"/>
      <c r="J2272" s="3" t="n"/>
      <c r="K2272" s="3" t="n"/>
    </row>
    <row r="2273">
      <c r="A2273" s="3" t="n"/>
      <c r="B2273" s="3" t="n"/>
      <c r="C2273" s="3" t="n"/>
      <c r="D2273" s="3" t="n"/>
      <c r="E2273" s="4">
        <f>IF(A2273="","",COUNTIFS($A$4:A2273,A2273,$I$4:I2273,"&lt;&gt;Штраф -2",$I$4:I2273,"&lt;&gt;ушел на базу"))</f>
        <v/>
      </c>
      <c r="F2273" s="4">
        <f>IF(E2273="","",IF(E2273&lt;=3,6,IF(E2273&lt;=6,5,IF(E2273&lt;=9,4,IF(E2273&lt;=12,3,IF(E2273&lt;=15,2,0))))))</f>
        <v/>
      </c>
      <c r="G2273" s="3" t="n"/>
      <c r="H2273" s="4">
        <f>IF(I2273="Штраф -2",-2,IF(OR(F2273="",G2273=""),"",F2273*G2273+IF(J2273="",0,J2273)))</f>
        <v/>
      </c>
      <c r="I2273" s="3" t="n"/>
      <c r="J2273" s="3" t="n"/>
      <c r="K2273" s="3" t="n"/>
    </row>
    <row r="2274">
      <c r="A2274" s="3" t="n"/>
      <c r="B2274" s="3" t="n"/>
      <c r="C2274" s="3" t="n"/>
      <c r="D2274" s="3" t="n"/>
      <c r="E2274" s="4">
        <f>IF(A2274="","",COUNTIFS($A$4:A2274,A2274,$I$4:I2274,"&lt;&gt;Штраф -2",$I$4:I2274,"&lt;&gt;ушел на базу"))</f>
        <v/>
      </c>
      <c r="F2274" s="4">
        <f>IF(E2274="","",IF(E2274&lt;=3,6,IF(E2274&lt;=6,5,IF(E2274&lt;=9,4,IF(E2274&lt;=12,3,IF(E2274&lt;=15,2,0))))))</f>
        <v/>
      </c>
      <c r="G2274" s="3" t="n"/>
      <c r="H2274" s="4">
        <f>IF(I2274="Штраф -2",-2,IF(OR(F2274="",G2274=""),"",F2274*G2274+IF(J2274="",0,J2274)))</f>
        <v/>
      </c>
      <c r="I2274" s="3" t="n"/>
      <c r="J2274" s="3" t="n"/>
      <c r="K2274" s="3" t="n"/>
    </row>
    <row r="2275">
      <c r="A2275" s="3" t="n"/>
      <c r="B2275" s="3" t="n"/>
      <c r="C2275" s="3" t="n"/>
      <c r="D2275" s="3" t="n"/>
      <c r="E2275" s="4">
        <f>IF(A2275="","",COUNTIFS($A$4:A2275,A2275,$I$4:I2275,"&lt;&gt;Штраф -2",$I$4:I2275,"&lt;&gt;ушел на базу"))</f>
        <v/>
      </c>
      <c r="F2275" s="4">
        <f>IF(E2275="","",IF(E2275&lt;=3,6,IF(E2275&lt;=6,5,IF(E2275&lt;=9,4,IF(E2275&lt;=12,3,IF(E2275&lt;=15,2,0))))))</f>
        <v/>
      </c>
      <c r="G2275" s="3" t="n"/>
      <c r="H2275" s="4">
        <f>IF(I2275="Штраф -2",-2,IF(OR(F2275="",G2275=""),"",F2275*G2275+IF(J2275="",0,J2275)))</f>
        <v/>
      </c>
      <c r="I2275" s="3" t="n"/>
      <c r="J2275" s="3" t="n"/>
      <c r="K2275" s="3" t="n"/>
    </row>
    <row r="2276">
      <c r="A2276" s="3" t="n"/>
      <c r="B2276" s="3" t="n"/>
      <c r="C2276" s="3" t="n"/>
      <c r="D2276" s="3" t="n"/>
      <c r="E2276" s="4">
        <f>IF(A2276="","",COUNTIFS($A$4:A2276,A2276,$I$4:I2276,"&lt;&gt;Штраф -2",$I$4:I2276,"&lt;&gt;ушел на базу"))</f>
        <v/>
      </c>
      <c r="F2276" s="4">
        <f>IF(E2276="","",IF(E2276&lt;=3,6,IF(E2276&lt;=6,5,IF(E2276&lt;=9,4,IF(E2276&lt;=12,3,IF(E2276&lt;=15,2,0))))))</f>
        <v/>
      </c>
      <c r="G2276" s="3" t="n"/>
      <c r="H2276" s="4">
        <f>IF(I2276="Штраф -2",-2,IF(OR(F2276="",G2276=""),"",F2276*G2276+IF(J2276="",0,J2276)))</f>
        <v/>
      </c>
      <c r="I2276" s="3" t="n"/>
      <c r="J2276" s="3" t="n"/>
      <c r="K2276" s="3" t="n"/>
    </row>
    <row r="2277">
      <c r="A2277" s="3" t="n"/>
      <c r="B2277" s="3" t="n"/>
      <c r="C2277" s="3" t="n"/>
      <c r="D2277" s="3" t="n"/>
      <c r="E2277" s="4">
        <f>IF(A2277="","",COUNTIFS($A$4:A2277,A2277,$I$4:I2277,"&lt;&gt;Штраф -2",$I$4:I2277,"&lt;&gt;ушел на базу"))</f>
        <v/>
      </c>
      <c r="F2277" s="4">
        <f>IF(E2277="","",IF(E2277&lt;=3,6,IF(E2277&lt;=6,5,IF(E2277&lt;=9,4,IF(E2277&lt;=12,3,IF(E2277&lt;=15,2,0))))))</f>
        <v/>
      </c>
      <c r="G2277" s="3" t="n"/>
      <c r="H2277" s="4">
        <f>IF(I2277="Штраф -2",-2,IF(OR(F2277="",G2277=""),"",F2277*G2277+IF(J2277="",0,J2277)))</f>
        <v/>
      </c>
      <c r="I2277" s="3" t="n"/>
      <c r="J2277" s="3" t="n"/>
      <c r="K2277" s="3" t="n"/>
    </row>
    <row r="2278">
      <c r="A2278" s="3" t="n"/>
      <c r="B2278" s="3" t="n"/>
      <c r="C2278" s="3" t="n"/>
      <c r="D2278" s="3" t="n"/>
      <c r="E2278" s="4">
        <f>IF(A2278="","",COUNTIFS($A$4:A2278,A2278,$I$4:I2278,"&lt;&gt;Штраф -2",$I$4:I2278,"&lt;&gt;ушел на базу"))</f>
        <v/>
      </c>
      <c r="F2278" s="4">
        <f>IF(E2278="","",IF(E2278&lt;=3,6,IF(E2278&lt;=6,5,IF(E2278&lt;=9,4,IF(E2278&lt;=12,3,IF(E2278&lt;=15,2,0))))))</f>
        <v/>
      </c>
      <c r="G2278" s="3" t="n"/>
      <c r="H2278" s="4">
        <f>IF(I2278="Штраф -2",-2,IF(OR(F2278="",G2278=""),"",F2278*G2278+IF(J2278="",0,J2278)))</f>
        <v/>
      </c>
      <c r="I2278" s="3" t="n"/>
      <c r="J2278" s="3" t="n"/>
      <c r="K2278" s="3" t="n"/>
    </row>
    <row r="2279">
      <c r="A2279" s="3" t="n"/>
      <c r="B2279" s="3" t="n"/>
      <c r="C2279" s="3" t="n"/>
      <c r="D2279" s="3" t="n"/>
      <c r="E2279" s="4">
        <f>IF(A2279="","",COUNTIFS($A$4:A2279,A2279,$I$4:I2279,"&lt;&gt;Штраф -2",$I$4:I2279,"&lt;&gt;ушел на базу"))</f>
        <v/>
      </c>
      <c r="F2279" s="4">
        <f>IF(E2279="","",IF(E2279&lt;=3,6,IF(E2279&lt;=6,5,IF(E2279&lt;=9,4,IF(E2279&lt;=12,3,IF(E2279&lt;=15,2,0))))))</f>
        <v/>
      </c>
      <c r="G2279" s="3" t="n"/>
      <c r="H2279" s="4">
        <f>IF(I2279="Штраф -2",-2,IF(OR(F2279="",G2279=""),"",F2279*G2279+IF(J2279="",0,J2279)))</f>
        <v/>
      </c>
      <c r="I2279" s="3" t="n"/>
      <c r="J2279" s="3" t="n"/>
      <c r="K2279" s="3" t="n"/>
    </row>
    <row r="2280">
      <c r="A2280" s="3" t="n"/>
      <c r="B2280" s="3" t="n"/>
      <c r="C2280" s="3" t="n"/>
      <c r="D2280" s="3" t="n"/>
      <c r="E2280" s="4">
        <f>IF(A2280="","",COUNTIFS($A$4:A2280,A2280,$I$4:I2280,"&lt;&gt;Штраф -2",$I$4:I2280,"&lt;&gt;ушел на базу"))</f>
        <v/>
      </c>
      <c r="F2280" s="4">
        <f>IF(E2280="","",IF(E2280&lt;=3,6,IF(E2280&lt;=6,5,IF(E2280&lt;=9,4,IF(E2280&lt;=12,3,IF(E2280&lt;=15,2,0))))))</f>
        <v/>
      </c>
      <c r="G2280" s="3" t="n"/>
      <c r="H2280" s="4">
        <f>IF(I2280="Штраф -2",-2,IF(OR(F2280="",G2280=""),"",F2280*G2280+IF(J2280="",0,J2280)))</f>
        <v/>
      </c>
      <c r="I2280" s="3" t="n"/>
      <c r="J2280" s="3" t="n"/>
      <c r="K2280" s="3" t="n"/>
    </row>
    <row r="2281">
      <c r="A2281" s="3" t="n"/>
      <c r="B2281" s="3" t="n"/>
      <c r="C2281" s="3" t="n"/>
      <c r="D2281" s="3" t="n"/>
      <c r="E2281" s="4">
        <f>IF(A2281="","",COUNTIFS($A$4:A2281,A2281,$I$4:I2281,"&lt;&gt;Штраф -2",$I$4:I2281,"&lt;&gt;ушел на базу"))</f>
        <v/>
      </c>
      <c r="F2281" s="4">
        <f>IF(E2281="","",IF(E2281&lt;=3,6,IF(E2281&lt;=6,5,IF(E2281&lt;=9,4,IF(E2281&lt;=12,3,IF(E2281&lt;=15,2,0))))))</f>
        <v/>
      </c>
      <c r="G2281" s="3" t="n"/>
      <c r="H2281" s="4">
        <f>IF(I2281="Штраф -2",-2,IF(OR(F2281="",G2281=""),"",F2281*G2281+IF(J2281="",0,J2281)))</f>
        <v/>
      </c>
      <c r="I2281" s="3" t="n"/>
      <c r="J2281" s="3" t="n"/>
      <c r="K2281" s="3" t="n"/>
    </row>
    <row r="2282">
      <c r="A2282" s="3" t="n"/>
      <c r="B2282" s="3" t="n"/>
      <c r="C2282" s="3" t="n"/>
      <c r="D2282" s="3" t="n"/>
      <c r="E2282" s="4">
        <f>IF(A2282="","",COUNTIFS($A$4:A2282,A2282,$I$4:I2282,"&lt;&gt;Штраф -2",$I$4:I2282,"&lt;&gt;ушел на базу"))</f>
        <v/>
      </c>
      <c r="F2282" s="4">
        <f>IF(E2282="","",IF(E2282&lt;=3,6,IF(E2282&lt;=6,5,IF(E2282&lt;=9,4,IF(E2282&lt;=12,3,IF(E2282&lt;=15,2,0))))))</f>
        <v/>
      </c>
      <c r="G2282" s="3" t="n"/>
      <c r="H2282" s="4">
        <f>IF(I2282="Штраф -2",-2,IF(OR(F2282="",G2282=""),"",F2282*G2282+IF(J2282="",0,J2282)))</f>
        <v/>
      </c>
      <c r="I2282" s="3" t="n"/>
      <c r="J2282" s="3" t="n"/>
      <c r="K2282" s="3" t="n"/>
    </row>
    <row r="2283">
      <c r="A2283" s="3" t="n"/>
      <c r="B2283" s="3" t="n"/>
      <c r="C2283" s="3" t="n"/>
      <c r="D2283" s="3" t="n"/>
      <c r="E2283" s="4">
        <f>IF(A2283="","",COUNTIFS($A$4:A2283,A2283,$I$4:I2283,"&lt;&gt;Штраф -2",$I$4:I2283,"&lt;&gt;ушел на базу"))</f>
        <v/>
      </c>
      <c r="F2283" s="4">
        <f>IF(E2283="","",IF(E2283&lt;=3,6,IF(E2283&lt;=6,5,IF(E2283&lt;=9,4,IF(E2283&lt;=12,3,IF(E2283&lt;=15,2,0))))))</f>
        <v/>
      </c>
      <c r="G2283" s="3" t="n"/>
      <c r="H2283" s="4">
        <f>IF(I2283="Штраф -2",-2,IF(OR(F2283="",G2283=""),"",F2283*G2283+IF(J2283="",0,J2283)))</f>
        <v/>
      </c>
      <c r="I2283" s="3" t="n"/>
      <c r="J2283" s="3" t="n"/>
      <c r="K2283" s="3" t="n"/>
    </row>
    <row r="2284">
      <c r="A2284" s="3" t="n"/>
      <c r="B2284" s="3" t="n"/>
      <c r="C2284" s="3" t="n"/>
      <c r="D2284" s="3" t="n"/>
      <c r="E2284" s="4">
        <f>IF(A2284="","",COUNTIFS($A$4:A2284,A2284,$I$4:I2284,"&lt;&gt;Штраф -2",$I$4:I2284,"&lt;&gt;ушел на базу"))</f>
        <v/>
      </c>
      <c r="F2284" s="4">
        <f>IF(E2284="","",IF(E2284&lt;=3,6,IF(E2284&lt;=6,5,IF(E2284&lt;=9,4,IF(E2284&lt;=12,3,IF(E2284&lt;=15,2,0))))))</f>
        <v/>
      </c>
      <c r="G2284" s="3" t="n"/>
      <c r="H2284" s="4">
        <f>IF(I2284="Штраф -2",-2,IF(OR(F2284="",G2284=""),"",F2284*G2284+IF(J2284="",0,J2284)))</f>
        <v/>
      </c>
      <c r="I2284" s="3" t="n"/>
      <c r="J2284" s="3" t="n"/>
      <c r="K2284" s="3" t="n"/>
    </row>
    <row r="2285">
      <c r="A2285" s="3" t="n"/>
      <c r="B2285" s="3" t="n"/>
      <c r="C2285" s="3" t="n"/>
      <c r="D2285" s="3" t="n"/>
      <c r="E2285" s="4">
        <f>IF(A2285="","",COUNTIFS($A$4:A2285,A2285,$I$4:I2285,"&lt;&gt;Штраф -2",$I$4:I2285,"&lt;&gt;ушел на базу"))</f>
        <v/>
      </c>
      <c r="F2285" s="4">
        <f>IF(E2285="","",IF(E2285&lt;=3,6,IF(E2285&lt;=6,5,IF(E2285&lt;=9,4,IF(E2285&lt;=12,3,IF(E2285&lt;=15,2,0))))))</f>
        <v/>
      </c>
      <c r="G2285" s="3" t="n"/>
      <c r="H2285" s="4">
        <f>IF(I2285="Штраф -2",-2,IF(OR(F2285="",G2285=""),"",F2285*G2285+IF(J2285="",0,J2285)))</f>
        <v/>
      </c>
      <c r="I2285" s="3" t="n"/>
      <c r="J2285" s="3" t="n"/>
      <c r="K2285" s="3" t="n"/>
    </row>
    <row r="2286">
      <c r="A2286" s="3" t="n"/>
      <c r="B2286" s="3" t="n"/>
      <c r="C2286" s="3" t="n"/>
      <c r="D2286" s="3" t="n"/>
      <c r="E2286" s="4">
        <f>IF(A2286="","",COUNTIFS($A$4:A2286,A2286,$I$4:I2286,"&lt;&gt;Штраф -2",$I$4:I2286,"&lt;&gt;ушел на базу"))</f>
        <v/>
      </c>
      <c r="F2286" s="4">
        <f>IF(E2286="","",IF(E2286&lt;=3,6,IF(E2286&lt;=6,5,IF(E2286&lt;=9,4,IF(E2286&lt;=12,3,IF(E2286&lt;=15,2,0))))))</f>
        <v/>
      </c>
      <c r="G2286" s="3" t="n"/>
      <c r="H2286" s="4">
        <f>IF(I2286="Штраф -2",-2,IF(OR(F2286="",G2286=""),"",F2286*G2286+IF(J2286="",0,J2286)))</f>
        <v/>
      </c>
      <c r="I2286" s="3" t="n"/>
      <c r="J2286" s="3" t="n"/>
      <c r="K2286" s="3" t="n"/>
    </row>
    <row r="2287">
      <c r="A2287" s="3" t="n"/>
      <c r="B2287" s="3" t="n"/>
      <c r="C2287" s="3" t="n"/>
      <c r="D2287" s="3" t="n"/>
      <c r="E2287" s="4">
        <f>IF(A2287="","",COUNTIFS($A$4:A2287,A2287,$I$4:I2287,"&lt;&gt;Штраф -2",$I$4:I2287,"&lt;&gt;ушел на базу"))</f>
        <v/>
      </c>
      <c r="F2287" s="4">
        <f>IF(E2287="","",IF(E2287&lt;=3,6,IF(E2287&lt;=6,5,IF(E2287&lt;=9,4,IF(E2287&lt;=12,3,IF(E2287&lt;=15,2,0))))))</f>
        <v/>
      </c>
      <c r="G2287" s="3" t="n"/>
      <c r="H2287" s="4">
        <f>IF(I2287="Штраф -2",-2,IF(OR(F2287="",G2287=""),"",F2287*G2287+IF(J2287="",0,J2287)))</f>
        <v/>
      </c>
      <c r="I2287" s="3" t="n"/>
      <c r="J2287" s="3" t="n"/>
      <c r="K2287" s="3" t="n"/>
    </row>
    <row r="2288">
      <c r="A2288" s="3" t="n"/>
      <c r="B2288" s="3" t="n"/>
      <c r="C2288" s="3" t="n"/>
      <c r="D2288" s="3" t="n"/>
      <c r="E2288" s="4">
        <f>IF(A2288="","",COUNTIFS($A$4:A2288,A2288,$I$4:I2288,"&lt;&gt;Штраф -2",$I$4:I2288,"&lt;&gt;ушел на базу"))</f>
        <v/>
      </c>
      <c r="F2288" s="4">
        <f>IF(E2288="","",IF(E2288&lt;=3,6,IF(E2288&lt;=6,5,IF(E2288&lt;=9,4,IF(E2288&lt;=12,3,IF(E2288&lt;=15,2,0))))))</f>
        <v/>
      </c>
      <c r="G2288" s="3" t="n"/>
      <c r="H2288" s="4">
        <f>IF(I2288="Штраф -2",-2,IF(OR(F2288="",G2288=""),"",F2288*G2288+IF(J2288="",0,J2288)))</f>
        <v/>
      </c>
      <c r="I2288" s="3" t="n"/>
      <c r="J2288" s="3" t="n"/>
      <c r="K2288" s="3" t="n"/>
    </row>
    <row r="2289">
      <c r="A2289" s="3" t="n"/>
      <c r="B2289" s="3" t="n"/>
      <c r="C2289" s="3" t="n"/>
      <c r="D2289" s="3" t="n"/>
      <c r="E2289" s="4">
        <f>IF(A2289="","",COUNTIFS($A$4:A2289,A2289,$I$4:I2289,"&lt;&gt;Штраф -2",$I$4:I2289,"&lt;&gt;ушел на базу"))</f>
        <v/>
      </c>
      <c r="F2289" s="4">
        <f>IF(E2289="","",IF(E2289&lt;=3,6,IF(E2289&lt;=6,5,IF(E2289&lt;=9,4,IF(E2289&lt;=12,3,IF(E2289&lt;=15,2,0))))))</f>
        <v/>
      </c>
      <c r="G2289" s="3" t="n"/>
      <c r="H2289" s="4">
        <f>IF(I2289="Штраф -2",-2,IF(OR(F2289="",G2289=""),"",F2289*G2289+IF(J2289="",0,J2289)))</f>
        <v/>
      </c>
      <c r="I2289" s="3" t="n"/>
      <c r="J2289" s="3" t="n"/>
      <c r="K2289" s="3" t="n"/>
    </row>
    <row r="2290">
      <c r="A2290" s="3" t="n"/>
      <c r="B2290" s="3" t="n"/>
      <c r="C2290" s="3" t="n"/>
      <c r="D2290" s="3" t="n"/>
      <c r="E2290" s="4">
        <f>IF(A2290="","",COUNTIFS($A$4:A2290,A2290,$I$4:I2290,"&lt;&gt;Штраф -2",$I$4:I2290,"&lt;&gt;ушел на базу"))</f>
        <v/>
      </c>
      <c r="F2290" s="4">
        <f>IF(E2290="","",IF(E2290&lt;=3,6,IF(E2290&lt;=6,5,IF(E2290&lt;=9,4,IF(E2290&lt;=12,3,IF(E2290&lt;=15,2,0))))))</f>
        <v/>
      </c>
      <c r="G2290" s="3" t="n"/>
      <c r="H2290" s="4">
        <f>IF(I2290="Штраф -2",-2,IF(OR(F2290="",G2290=""),"",F2290*G2290+IF(J2290="",0,J2290)))</f>
        <v/>
      </c>
      <c r="I2290" s="3" t="n"/>
      <c r="J2290" s="3" t="n"/>
      <c r="K2290" s="3" t="n"/>
    </row>
    <row r="2291">
      <c r="A2291" s="3" t="n"/>
      <c r="B2291" s="3" t="n"/>
      <c r="C2291" s="3" t="n"/>
      <c r="D2291" s="3" t="n"/>
      <c r="E2291" s="4">
        <f>IF(A2291="","",COUNTIFS($A$4:A2291,A2291,$I$4:I2291,"&lt;&gt;Штраф -2",$I$4:I2291,"&lt;&gt;ушел на базу"))</f>
        <v/>
      </c>
      <c r="F2291" s="4">
        <f>IF(E2291="","",IF(E2291&lt;=3,6,IF(E2291&lt;=6,5,IF(E2291&lt;=9,4,IF(E2291&lt;=12,3,IF(E2291&lt;=15,2,0))))))</f>
        <v/>
      </c>
      <c r="G2291" s="3" t="n"/>
      <c r="H2291" s="4">
        <f>IF(I2291="Штраф -2",-2,IF(OR(F2291="",G2291=""),"",F2291*G2291+IF(J2291="",0,J2291)))</f>
        <v/>
      </c>
      <c r="I2291" s="3" t="n"/>
      <c r="J2291" s="3" t="n"/>
      <c r="K2291" s="3" t="n"/>
    </row>
    <row r="2292">
      <c r="A2292" s="3" t="n"/>
      <c r="B2292" s="3" t="n"/>
      <c r="C2292" s="3" t="n"/>
      <c r="D2292" s="3" t="n"/>
      <c r="E2292" s="4">
        <f>IF(A2292="","",COUNTIFS($A$4:A2292,A2292,$I$4:I2292,"&lt;&gt;Штраф -2",$I$4:I2292,"&lt;&gt;ушел на базу"))</f>
        <v/>
      </c>
      <c r="F2292" s="4">
        <f>IF(E2292="","",IF(E2292&lt;=3,6,IF(E2292&lt;=6,5,IF(E2292&lt;=9,4,IF(E2292&lt;=12,3,IF(E2292&lt;=15,2,0))))))</f>
        <v/>
      </c>
      <c r="G2292" s="3" t="n"/>
      <c r="H2292" s="4">
        <f>IF(I2292="Штраф -2",-2,IF(OR(F2292="",G2292=""),"",F2292*G2292+IF(J2292="",0,J2292)))</f>
        <v/>
      </c>
      <c r="I2292" s="3" t="n"/>
      <c r="J2292" s="3" t="n"/>
      <c r="K2292" s="3" t="n"/>
    </row>
    <row r="2293">
      <c r="A2293" s="3" t="n"/>
      <c r="B2293" s="3" t="n"/>
      <c r="C2293" s="3" t="n"/>
      <c r="D2293" s="3" t="n"/>
      <c r="E2293" s="4">
        <f>IF(A2293="","",COUNTIFS($A$4:A2293,A2293,$I$4:I2293,"&lt;&gt;Штраф -2",$I$4:I2293,"&lt;&gt;ушел на базу"))</f>
        <v/>
      </c>
      <c r="F2293" s="4">
        <f>IF(E2293="","",IF(E2293&lt;=3,6,IF(E2293&lt;=6,5,IF(E2293&lt;=9,4,IF(E2293&lt;=12,3,IF(E2293&lt;=15,2,0))))))</f>
        <v/>
      </c>
      <c r="G2293" s="3" t="n"/>
      <c r="H2293" s="4">
        <f>IF(I2293="Штраф -2",-2,IF(OR(F2293="",G2293=""),"",F2293*G2293+IF(J2293="",0,J2293)))</f>
        <v/>
      </c>
      <c r="I2293" s="3" t="n"/>
      <c r="J2293" s="3" t="n"/>
      <c r="K2293" s="3" t="n"/>
    </row>
    <row r="2294">
      <c r="A2294" s="3" t="n"/>
      <c r="B2294" s="3" t="n"/>
      <c r="C2294" s="3" t="n"/>
      <c r="D2294" s="3" t="n"/>
      <c r="E2294" s="4">
        <f>IF(A2294="","",COUNTIFS($A$4:A2294,A2294,$I$4:I2294,"&lt;&gt;Штраф -2",$I$4:I2294,"&lt;&gt;ушел на базу"))</f>
        <v/>
      </c>
      <c r="F2294" s="4">
        <f>IF(E2294="","",IF(E2294&lt;=3,6,IF(E2294&lt;=6,5,IF(E2294&lt;=9,4,IF(E2294&lt;=12,3,IF(E2294&lt;=15,2,0))))))</f>
        <v/>
      </c>
      <c r="G2294" s="3" t="n"/>
      <c r="H2294" s="4">
        <f>IF(I2294="Штраф -2",-2,IF(OR(F2294="",G2294=""),"",F2294*G2294+IF(J2294="",0,J2294)))</f>
        <v/>
      </c>
      <c r="I2294" s="3" t="n"/>
      <c r="J2294" s="3" t="n"/>
      <c r="K2294" s="3" t="n"/>
    </row>
    <row r="2295">
      <c r="A2295" s="3" t="n"/>
      <c r="B2295" s="3" t="n"/>
      <c r="C2295" s="3" t="n"/>
      <c r="D2295" s="3" t="n"/>
      <c r="E2295" s="4">
        <f>IF(A2295="","",COUNTIFS($A$4:A2295,A2295,$I$4:I2295,"&lt;&gt;Штраф -2",$I$4:I2295,"&lt;&gt;ушел на базу"))</f>
        <v/>
      </c>
      <c r="F2295" s="4">
        <f>IF(E2295="","",IF(E2295&lt;=3,6,IF(E2295&lt;=6,5,IF(E2295&lt;=9,4,IF(E2295&lt;=12,3,IF(E2295&lt;=15,2,0))))))</f>
        <v/>
      </c>
      <c r="G2295" s="3" t="n"/>
      <c r="H2295" s="4">
        <f>IF(I2295="Штраф -2",-2,IF(OR(F2295="",G2295=""),"",F2295*G2295+IF(J2295="",0,J2295)))</f>
        <v/>
      </c>
      <c r="I2295" s="3" t="n"/>
      <c r="J2295" s="3" t="n"/>
      <c r="K2295" s="3" t="n"/>
    </row>
    <row r="2296">
      <c r="A2296" s="3" t="n"/>
      <c r="B2296" s="3" t="n"/>
      <c r="C2296" s="3" t="n"/>
      <c r="D2296" s="3" t="n"/>
      <c r="E2296" s="4">
        <f>IF(A2296="","",COUNTIFS($A$4:A2296,A2296,$I$4:I2296,"&lt;&gt;Штраф -2",$I$4:I2296,"&lt;&gt;ушел на базу"))</f>
        <v/>
      </c>
      <c r="F2296" s="4">
        <f>IF(E2296="","",IF(E2296&lt;=3,6,IF(E2296&lt;=6,5,IF(E2296&lt;=9,4,IF(E2296&lt;=12,3,IF(E2296&lt;=15,2,0))))))</f>
        <v/>
      </c>
      <c r="G2296" s="3" t="n"/>
      <c r="H2296" s="4">
        <f>IF(I2296="Штраф -2",-2,IF(OR(F2296="",G2296=""),"",F2296*G2296+IF(J2296="",0,J2296)))</f>
        <v/>
      </c>
      <c r="I2296" s="3" t="n"/>
      <c r="J2296" s="3" t="n"/>
      <c r="K2296" s="3" t="n"/>
    </row>
    <row r="2297">
      <c r="A2297" s="3" t="n"/>
      <c r="B2297" s="3" t="n"/>
      <c r="C2297" s="3" t="n"/>
      <c r="D2297" s="3" t="n"/>
      <c r="E2297" s="4">
        <f>IF(A2297="","",COUNTIFS($A$4:A2297,A2297,$I$4:I2297,"&lt;&gt;Штраф -2",$I$4:I2297,"&lt;&gt;ушел на базу"))</f>
        <v/>
      </c>
      <c r="F2297" s="4">
        <f>IF(E2297="","",IF(E2297&lt;=3,6,IF(E2297&lt;=6,5,IF(E2297&lt;=9,4,IF(E2297&lt;=12,3,IF(E2297&lt;=15,2,0))))))</f>
        <v/>
      </c>
      <c r="G2297" s="3" t="n"/>
      <c r="H2297" s="4">
        <f>IF(I2297="Штраф -2",-2,IF(OR(F2297="",G2297=""),"",F2297*G2297+IF(J2297="",0,J2297)))</f>
        <v/>
      </c>
      <c r="I2297" s="3" t="n"/>
      <c r="J2297" s="3" t="n"/>
      <c r="K2297" s="3" t="n"/>
    </row>
    <row r="2298">
      <c r="A2298" s="3" t="n"/>
      <c r="B2298" s="3" t="n"/>
      <c r="C2298" s="3" t="n"/>
      <c r="D2298" s="3" t="n"/>
      <c r="E2298" s="4">
        <f>IF(A2298="","",COUNTIFS($A$4:A2298,A2298,$I$4:I2298,"&lt;&gt;Штраф -2",$I$4:I2298,"&lt;&gt;ушел на базу"))</f>
        <v/>
      </c>
      <c r="F2298" s="4">
        <f>IF(E2298="","",IF(E2298&lt;=3,6,IF(E2298&lt;=6,5,IF(E2298&lt;=9,4,IF(E2298&lt;=12,3,IF(E2298&lt;=15,2,0))))))</f>
        <v/>
      </c>
      <c r="G2298" s="3" t="n"/>
      <c r="H2298" s="4">
        <f>IF(I2298="Штраф -2",-2,IF(OR(F2298="",G2298=""),"",F2298*G2298+IF(J2298="",0,J2298)))</f>
        <v/>
      </c>
      <c r="I2298" s="3" t="n"/>
      <c r="J2298" s="3" t="n"/>
      <c r="K2298" s="3" t="n"/>
    </row>
    <row r="2299">
      <c r="A2299" s="3" t="n"/>
      <c r="B2299" s="3" t="n"/>
      <c r="C2299" s="3" t="n"/>
      <c r="D2299" s="3" t="n"/>
      <c r="E2299" s="4">
        <f>IF(A2299="","",COUNTIFS($A$4:A2299,A2299,$I$4:I2299,"&lt;&gt;Штраф -2",$I$4:I2299,"&lt;&gt;ушел на базу"))</f>
        <v/>
      </c>
      <c r="F2299" s="4">
        <f>IF(E2299="","",IF(E2299&lt;=3,6,IF(E2299&lt;=6,5,IF(E2299&lt;=9,4,IF(E2299&lt;=12,3,IF(E2299&lt;=15,2,0))))))</f>
        <v/>
      </c>
      <c r="G2299" s="3" t="n"/>
      <c r="H2299" s="4">
        <f>IF(I2299="Штраф -2",-2,IF(OR(F2299="",G2299=""),"",F2299*G2299+IF(J2299="",0,J2299)))</f>
        <v/>
      </c>
      <c r="I2299" s="3" t="n"/>
      <c r="J2299" s="3" t="n"/>
      <c r="K2299" s="3" t="n"/>
    </row>
    <row r="2300">
      <c r="A2300" s="3" t="n"/>
      <c r="B2300" s="3" t="n"/>
      <c r="C2300" s="3" t="n"/>
      <c r="D2300" s="3" t="n"/>
      <c r="E2300" s="4">
        <f>IF(A2300="","",COUNTIFS($A$4:A2300,A2300,$I$4:I2300,"&lt;&gt;Штраф -2",$I$4:I2300,"&lt;&gt;ушел на базу"))</f>
        <v/>
      </c>
      <c r="F2300" s="4">
        <f>IF(E2300="","",IF(E2300&lt;=3,6,IF(E2300&lt;=6,5,IF(E2300&lt;=9,4,IF(E2300&lt;=12,3,IF(E2300&lt;=15,2,0))))))</f>
        <v/>
      </c>
      <c r="G2300" s="3" t="n"/>
      <c r="H2300" s="4">
        <f>IF(I2300="Штраф -2",-2,IF(OR(F2300="",G2300=""),"",F2300*G2300+IF(J2300="",0,J2300)))</f>
        <v/>
      </c>
      <c r="I2300" s="3" t="n"/>
      <c r="J2300" s="3" t="n"/>
      <c r="K2300" s="3" t="n"/>
    </row>
    <row r="2301">
      <c r="A2301" s="3" t="n"/>
      <c r="B2301" s="3" t="n"/>
      <c r="C2301" s="3" t="n"/>
      <c r="D2301" s="3" t="n"/>
      <c r="E2301" s="4">
        <f>IF(A2301="","",COUNTIFS($A$4:A2301,A2301,$I$4:I2301,"&lt;&gt;Штраф -2",$I$4:I2301,"&lt;&gt;ушел на базу"))</f>
        <v/>
      </c>
      <c r="F2301" s="4">
        <f>IF(E2301="","",IF(E2301&lt;=3,6,IF(E2301&lt;=6,5,IF(E2301&lt;=9,4,IF(E2301&lt;=12,3,IF(E2301&lt;=15,2,0))))))</f>
        <v/>
      </c>
      <c r="G2301" s="3" t="n"/>
      <c r="H2301" s="4">
        <f>IF(I2301="Штраф -2",-2,IF(OR(F2301="",G2301=""),"",F2301*G2301+IF(J2301="",0,J2301)))</f>
        <v/>
      </c>
      <c r="I2301" s="3" t="n"/>
      <c r="J2301" s="3" t="n"/>
      <c r="K2301" s="3" t="n"/>
    </row>
    <row r="2302">
      <c r="A2302" s="3" t="n"/>
      <c r="B2302" s="3" t="n"/>
      <c r="C2302" s="3" t="n"/>
      <c r="D2302" s="3" t="n"/>
      <c r="E2302" s="4">
        <f>IF(A2302="","",COUNTIFS($A$4:A2302,A2302,$I$4:I2302,"&lt;&gt;Штраф -2",$I$4:I2302,"&lt;&gt;ушел на базу"))</f>
        <v/>
      </c>
      <c r="F2302" s="4">
        <f>IF(E2302="","",IF(E2302&lt;=3,6,IF(E2302&lt;=6,5,IF(E2302&lt;=9,4,IF(E2302&lt;=12,3,IF(E2302&lt;=15,2,0))))))</f>
        <v/>
      </c>
      <c r="G2302" s="3" t="n"/>
      <c r="H2302" s="4">
        <f>IF(I2302="Штраф -2",-2,IF(OR(F2302="",G2302=""),"",F2302*G2302+IF(J2302="",0,J2302)))</f>
        <v/>
      </c>
      <c r="I2302" s="3" t="n"/>
      <c r="J2302" s="3" t="n"/>
      <c r="K2302" s="3" t="n"/>
    </row>
    <row r="2303">
      <c r="A2303" s="3" t="n"/>
      <c r="B2303" s="3" t="n"/>
      <c r="C2303" s="3" t="n"/>
      <c r="D2303" s="3" t="n"/>
      <c r="E2303" s="4">
        <f>IF(A2303="","",COUNTIFS($A$4:A2303,A2303,$I$4:I2303,"&lt;&gt;Штраф -2",$I$4:I2303,"&lt;&gt;ушел на базу"))</f>
        <v/>
      </c>
      <c r="F2303" s="4">
        <f>IF(E2303="","",IF(E2303&lt;=3,6,IF(E2303&lt;=6,5,IF(E2303&lt;=9,4,IF(E2303&lt;=12,3,IF(E2303&lt;=15,2,0))))))</f>
        <v/>
      </c>
      <c r="G2303" s="3" t="n"/>
      <c r="H2303" s="4">
        <f>IF(I2303="Штраф -2",-2,IF(OR(F2303="",G2303=""),"",F2303*G2303+IF(J2303="",0,J2303)))</f>
        <v/>
      </c>
      <c r="I2303" s="3" t="n"/>
      <c r="J2303" s="3" t="n"/>
      <c r="K2303" s="3" t="n"/>
    </row>
    <row r="2304">
      <c r="A2304" s="3" t="n"/>
      <c r="B2304" s="3" t="n"/>
      <c r="C2304" s="3" t="n"/>
      <c r="D2304" s="3" t="n"/>
      <c r="E2304" s="4">
        <f>IF(A2304="","",COUNTIFS($A$4:A2304,A2304,$I$4:I2304,"&lt;&gt;Штраф -2",$I$4:I2304,"&lt;&gt;ушел на базу"))</f>
        <v/>
      </c>
      <c r="F2304" s="4">
        <f>IF(E2304="","",IF(E2304&lt;=3,6,IF(E2304&lt;=6,5,IF(E2304&lt;=9,4,IF(E2304&lt;=12,3,IF(E2304&lt;=15,2,0))))))</f>
        <v/>
      </c>
      <c r="G2304" s="3" t="n"/>
      <c r="H2304" s="4">
        <f>IF(I2304="Штраф -2",-2,IF(OR(F2304="",G2304=""),"",F2304*G2304+IF(J2304="",0,J2304)))</f>
        <v/>
      </c>
      <c r="I2304" s="3" t="n"/>
      <c r="J2304" s="3" t="n"/>
      <c r="K2304" s="3" t="n"/>
    </row>
    <row r="2305">
      <c r="A2305" s="3" t="n"/>
      <c r="B2305" s="3" t="n"/>
      <c r="C2305" s="3" t="n"/>
      <c r="D2305" s="3" t="n"/>
      <c r="E2305" s="4">
        <f>IF(A2305="","",COUNTIFS($A$4:A2305,A2305,$I$4:I2305,"&lt;&gt;Штраф -2",$I$4:I2305,"&lt;&gt;ушел на базу"))</f>
        <v/>
      </c>
      <c r="F2305" s="4">
        <f>IF(E2305="","",IF(E2305&lt;=3,6,IF(E2305&lt;=6,5,IF(E2305&lt;=9,4,IF(E2305&lt;=12,3,IF(E2305&lt;=15,2,0))))))</f>
        <v/>
      </c>
      <c r="G2305" s="3" t="n"/>
      <c r="H2305" s="4">
        <f>IF(I2305="Штраф -2",-2,IF(OR(F2305="",G2305=""),"",F2305*G2305+IF(J2305="",0,J2305)))</f>
        <v/>
      </c>
      <c r="I2305" s="3" t="n"/>
      <c r="J2305" s="3" t="n"/>
      <c r="K2305" s="3" t="n"/>
    </row>
    <row r="2306">
      <c r="A2306" s="3" t="n"/>
      <c r="B2306" s="3" t="n"/>
      <c r="C2306" s="3" t="n"/>
      <c r="D2306" s="3" t="n"/>
      <c r="E2306" s="4">
        <f>IF(A2306="","",COUNTIFS($A$4:A2306,A2306,$I$4:I2306,"&lt;&gt;Штраф -2",$I$4:I2306,"&lt;&gt;ушел на базу"))</f>
        <v/>
      </c>
      <c r="F2306" s="4">
        <f>IF(E2306="","",IF(E2306&lt;=3,6,IF(E2306&lt;=6,5,IF(E2306&lt;=9,4,IF(E2306&lt;=12,3,IF(E2306&lt;=15,2,0))))))</f>
        <v/>
      </c>
      <c r="G2306" s="3" t="n"/>
      <c r="H2306" s="4">
        <f>IF(I2306="Штраф -2",-2,IF(OR(F2306="",G2306=""),"",F2306*G2306+IF(J2306="",0,J2306)))</f>
        <v/>
      </c>
      <c r="I2306" s="3" t="n"/>
      <c r="J2306" s="3" t="n"/>
      <c r="K2306" s="3" t="n"/>
    </row>
    <row r="2307">
      <c r="A2307" s="3" t="n"/>
      <c r="B2307" s="3" t="n"/>
      <c r="C2307" s="3" t="n"/>
      <c r="D2307" s="3" t="n"/>
      <c r="E2307" s="4">
        <f>IF(A2307="","",COUNTIFS($A$4:A2307,A2307,$I$4:I2307,"&lt;&gt;Штраф -2",$I$4:I2307,"&lt;&gt;ушел на базу"))</f>
        <v/>
      </c>
      <c r="F2307" s="4">
        <f>IF(E2307="","",IF(E2307&lt;=3,6,IF(E2307&lt;=6,5,IF(E2307&lt;=9,4,IF(E2307&lt;=12,3,IF(E2307&lt;=15,2,0))))))</f>
        <v/>
      </c>
      <c r="G2307" s="3" t="n"/>
      <c r="H2307" s="4">
        <f>IF(I2307="Штраф -2",-2,IF(OR(F2307="",G2307=""),"",F2307*G2307+IF(J2307="",0,J2307)))</f>
        <v/>
      </c>
      <c r="I2307" s="3" t="n"/>
      <c r="J2307" s="3" t="n"/>
      <c r="K2307" s="3" t="n"/>
    </row>
    <row r="2308">
      <c r="A2308" s="3" t="n"/>
      <c r="B2308" s="3" t="n"/>
      <c r="C2308" s="3" t="n"/>
      <c r="D2308" s="3" t="n"/>
      <c r="E2308" s="4">
        <f>IF(A2308="","",COUNTIFS($A$4:A2308,A2308,$I$4:I2308,"&lt;&gt;Штраф -2",$I$4:I2308,"&lt;&gt;ушел на базу"))</f>
        <v/>
      </c>
      <c r="F2308" s="4">
        <f>IF(E2308="","",IF(E2308&lt;=3,6,IF(E2308&lt;=6,5,IF(E2308&lt;=9,4,IF(E2308&lt;=12,3,IF(E2308&lt;=15,2,0))))))</f>
        <v/>
      </c>
      <c r="G2308" s="3" t="n"/>
      <c r="H2308" s="4">
        <f>IF(I2308="Штраф -2",-2,IF(OR(F2308="",G2308=""),"",F2308*G2308+IF(J2308="",0,J2308)))</f>
        <v/>
      </c>
      <c r="I2308" s="3" t="n"/>
      <c r="J2308" s="3" t="n"/>
      <c r="K2308" s="3" t="n"/>
    </row>
    <row r="2309">
      <c r="A2309" s="3" t="n"/>
      <c r="B2309" s="3" t="n"/>
      <c r="C2309" s="3" t="n"/>
      <c r="D2309" s="3" t="n"/>
      <c r="E2309" s="4">
        <f>IF(A2309="","",COUNTIFS($A$4:A2309,A2309,$I$4:I2309,"&lt;&gt;Штраф -2",$I$4:I2309,"&lt;&gt;ушел на базу"))</f>
        <v/>
      </c>
      <c r="F2309" s="4">
        <f>IF(E2309="","",IF(E2309&lt;=3,6,IF(E2309&lt;=6,5,IF(E2309&lt;=9,4,IF(E2309&lt;=12,3,IF(E2309&lt;=15,2,0))))))</f>
        <v/>
      </c>
      <c r="G2309" s="3" t="n"/>
      <c r="H2309" s="4">
        <f>IF(I2309="Штраф -2",-2,IF(OR(F2309="",G2309=""),"",F2309*G2309+IF(J2309="",0,J2309)))</f>
        <v/>
      </c>
      <c r="I2309" s="3" t="n"/>
      <c r="J2309" s="3" t="n"/>
      <c r="K2309" s="3" t="n"/>
    </row>
    <row r="2310">
      <c r="A2310" s="3" t="n"/>
      <c r="B2310" s="3" t="n"/>
      <c r="C2310" s="3" t="n"/>
      <c r="D2310" s="3" t="n"/>
      <c r="E2310" s="4">
        <f>IF(A2310="","",COUNTIFS($A$4:A2310,A2310,$I$4:I2310,"&lt;&gt;Штраф -2",$I$4:I2310,"&lt;&gt;ушел на базу"))</f>
        <v/>
      </c>
      <c r="F2310" s="4">
        <f>IF(E2310="","",IF(E2310&lt;=3,6,IF(E2310&lt;=6,5,IF(E2310&lt;=9,4,IF(E2310&lt;=12,3,IF(E2310&lt;=15,2,0))))))</f>
        <v/>
      </c>
      <c r="G2310" s="3" t="n"/>
      <c r="H2310" s="4">
        <f>IF(I2310="Штраф -2",-2,IF(OR(F2310="",G2310=""),"",F2310*G2310+IF(J2310="",0,J2310)))</f>
        <v/>
      </c>
      <c r="I2310" s="3" t="n"/>
      <c r="J2310" s="3" t="n"/>
      <c r="K2310" s="3" t="n"/>
    </row>
    <row r="2311">
      <c r="A2311" s="3" t="n"/>
      <c r="B2311" s="3" t="n"/>
      <c r="C2311" s="3" t="n"/>
      <c r="D2311" s="3" t="n"/>
      <c r="E2311" s="4">
        <f>IF(A2311="","",COUNTIFS($A$4:A2311,A2311,$I$4:I2311,"&lt;&gt;Штраф -2",$I$4:I2311,"&lt;&gt;ушел на базу"))</f>
        <v/>
      </c>
      <c r="F2311" s="4">
        <f>IF(E2311="","",IF(E2311&lt;=3,6,IF(E2311&lt;=6,5,IF(E2311&lt;=9,4,IF(E2311&lt;=12,3,IF(E2311&lt;=15,2,0))))))</f>
        <v/>
      </c>
      <c r="G2311" s="3" t="n"/>
      <c r="H2311" s="4">
        <f>IF(I2311="Штраф -2",-2,IF(OR(F2311="",G2311=""),"",F2311*G2311+IF(J2311="",0,J2311)))</f>
        <v/>
      </c>
      <c r="I2311" s="3" t="n"/>
      <c r="J2311" s="3" t="n"/>
      <c r="K2311" s="3" t="n"/>
    </row>
    <row r="2312">
      <c r="A2312" s="3" t="n"/>
      <c r="B2312" s="3" t="n"/>
      <c r="C2312" s="3" t="n"/>
      <c r="D2312" s="3" t="n"/>
      <c r="E2312" s="4">
        <f>IF(A2312="","",COUNTIFS($A$4:A2312,A2312,$I$4:I2312,"&lt;&gt;Штраф -2",$I$4:I2312,"&lt;&gt;ушел на базу"))</f>
        <v/>
      </c>
      <c r="F2312" s="4">
        <f>IF(E2312="","",IF(E2312&lt;=3,6,IF(E2312&lt;=6,5,IF(E2312&lt;=9,4,IF(E2312&lt;=12,3,IF(E2312&lt;=15,2,0))))))</f>
        <v/>
      </c>
      <c r="G2312" s="3" t="n"/>
      <c r="H2312" s="4">
        <f>IF(I2312="Штраф -2",-2,IF(OR(F2312="",G2312=""),"",F2312*G2312+IF(J2312="",0,J2312)))</f>
        <v/>
      </c>
      <c r="I2312" s="3" t="n"/>
      <c r="J2312" s="3" t="n"/>
      <c r="K2312" s="3" t="n"/>
    </row>
    <row r="2313">
      <c r="A2313" s="3" t="n"/>
      <c r="B2313" s="3" t="n"/>
      <c r="C2313" s="3" t="n"/>
      <c r="D2313" s="3" t="n"/>
      <c r="E2313" s="4">
        <f>IF(A2313="","",COUNTIFS($A$4:A2313,A2313,$I$4:I2313,"&lt;&gt;Штраф -2",$I$4:I2313,"&lt;&gt;ушел на базу"))</f>
        <v/>
      </c>
      <c r="F2313" s="4">
        <f>IF(E2313="","",IF(E2313&lt;=3,6,IF(E2313&lt;=6,5,IF(E2313&lt;=9,4,IF(E2313&lt;=12,3,IF(E2313&lt;=15,2,0))))))</f>
        <v/>
      </c>
      <c r="G2313" s="3" t="n"/>
      <c r="H2313" s="4">
        <f>IF(I2313="Штраф -2",-2,IF(OR(F2313="",G2313=""),"",F2313*G2313+IF(J2313="",0,J2313)))</f>
        <v/>
      </c>
      <c r="I2313" s="3" t="n"/>
      <c r="J2313" s="3" t="n"/>
      <c r="K2313" s="3" t="n"/>
    </row>
    <row r="2314">
      <c r="A2314" s="3" t="n"/>
      <c r="B2314" s="3" t="n"/>
      <c r="C2314" s="3" t="n"/>
      <c r="D2314" s="3" t="n"/>
      <c r="E2314" s="4">
        <f>IF(A2314="","",COUNTIFS($A$4:A2314,A2314,$I$4:I2314,"&lt;&gt;Штраф -2",$I$4:I2314,"&lt;&gt;ушел на базу"))</f>
        <v/>
      </c>
      <c r="F2314" s="4">
        <f>IF(E2314="","",IF(E2314&lt;=3,6,IF(E2314&lt;=6,5,IF(E2314&lt;=9,4,IF(E2314&lt;=12,3,IF(E2314&lt;=15,2,0))))))</f>
        <v/>
      </c>
      <c r="G2314" s="3" t="n"/>
      <c r="H2314" s="4">
        <f>IF(I2314="Штраф -2",-2,IF(OR(F2314="",G2314=""),"",F2314*G2314+IF(J2314="",0,J2314)))</f>
        <v/>
      </c>
      <c r="I2314" s="3" t="n"/>
      <c r="J2314" s="3" t="n"/>
      <c r="K2314" s="3" t="n"/>
    </row>
    <row r="2315">
      <c r="A2315" s="3" t="n"/>
      <c r="B2315" s="3" t="n"/>
      <c r="C2315" s="3" t="n"/>
      <c r="D2315" s="3" t="n"/>
      <c r="E2315" s="4">
        <f>IF(A2315="","",COUNTIFS($A$4:A2315,A2315,$I$4:I2315,"&lt;&gt;Штраф -2",$I$4:I2315,"&lt;&gt;ушел на базу"))</f>
        <v/>
      </c>
      <c r="F2315" s="4">
        <f>IF(E2315="","",IF(E2315&lt;=3,6,IF(E2315&lt;=6,5,IF(E2315&lt;=9,4,IF(E2315&lt;=12,3,IF(E2315&lt;=15,2,0))))))</f>
        <v/>
      </c>
      <c r="G2315" s="3" t="n"/>
      <c r="H2315" s="4">
        <f>IF(I2315="Штраф -2",-2,IF(OR(F2315="",G2315=""),"",F2315*G2315+IF(J2315="",0,J2315)))</f>
        <v/>
      </c>
      <c r="I2315" s="3" t="n"/>
      <c r="J2315" s="3" t="n"/>
      <c r="K2315" s="3" t="n"/>
    </row>
    <row r="2316">
      <c r="A2316" s="3" t="n"/>
      <c r="B2316" s="3" t="n"/>
      <c r="C2316" s="3" t="n"/>
      <c r="D2316" s="3" t="n"/>
      <c r="E2316" s="4">
        <f>IF(A2316="","",COUNTIFS($A$4:A2316,A2316,$I$4:I2316,"&lt;&gt;Штраф -2",$I$4:I2316,"&lt;&gt;ушел на базу"))</f>
        <v/>
      </c>
      <c r="F2316" s="4">
        <f>IF(E2316="","",IF(E2316&lt;=3,6,IF(E2316&lt;=6,5,IF(E2316&lt;=9,4,IF(E2316&lt;=12,3,IF(E2316&lt;=15,2,0))))))</f>
        <v/>
      </c>
      <c r="G2316" s="3" t="n"/>
      <c r="H2316" s="4">
        <f>IF(I2316="Штраф -2",-2,IF(OR(F2316="",G2316=""),"",F2316*G2316+IF(J2316="",0,J2316)))</f>
        <v/>
      </c>
      <c r="I2316" s="3" t="n"/>
      <c r="J2316" s="3" t="n"/>
      <c r="K2316" s="3" t="n"/>
    </row>
    <row r="2317">
      <c r="A2317" s="3" t="n"/>
      <c r="B2317" s="3" t="n"/>
      <c r="C2317" s="3" t="n"/>
      <c r="D2317" s="3" t="n"/>
      <c r="E2317" s="4">
        <f>IF(A2317="","",COUNTIFS($A$4:A2317,A2317,$I$4:I2317,"&lt;&gt;Штраф -2",$I$4:I2317,"&lt;&gt;ушел на базу"))</f>
        <v/>
      </c>
      <c r="F2317" s="4">
        <f>IF(E2317="","",IF(E2317&lt;=3,6,IF(E2317&lt;=6,5,IF(E2317&lt;=9,4,IF(E2317&lt;=12,3,IF(E2317&lt;=15,2,0))))))</f>
        <v/>
      </c>
      <c r="G2317" s="3" t="n"/>
      <c r="H2317" s="4">
        <f>IF(I2317="Штраф -2",-2,IF(OR(F2317="",G2317=""),"",F2317*G2317+IF(J2317="",0,J2317)))</f>
        <v/>
      </c>
      <c r="I2317" s="3" t="n"/>
      <c r="J2317" s="3" t="n"/>
      <c r="K2317" s="3" t="n"/>
    </row>
    <row r="2318">
      <c r="A2318" s="3" t="n"/>
      <c r="B2318" s="3" t="n"/>
      <c r="C2318" s="3" t="n"/>
      <c r="D2318" s="3" t="n"/>
      <c r="E2318" s="4">
        <f>IF(A2318="","",COUNTIFS($A$4:A2318,A2318,$I$4:I2318,"&lt;&gt;Штраф -2",$I$4:I2318,"&lt;&gt;ушел на базу"))</f>
        <v/>
      </c>
      <c r="F2318" s="4">
        <f>IF(E2318="","",IF(E2318&lt;=3,6,IF(E2318&lt;=6,5,IF(E2318&lt;=9,4,IF(E2318&lt;=12,3,IF(E2318&lt;=15,2,0))))))</f>
        <v/>
      </c>
      <c r="G2318" s="3" t="n"/>
      <c r="H2318" s="4">
        <f>IF(I2318="Штраф -2",-2,IF(OR(F2318="",G2318=""),"",F2318*G2318+IF(J2318="",0,J2318)))</f>
        <v/>
      </c>
      <c r="I2318" s="3" t="n"/>
      <c r="J2318" s="3" t="n"/>
      <c r="K2318" s="3" t="n"/>
    </row>
    <row r="2319">
      <c r="A2319" s="3" t="n"/>
      <c r="B2319" s="3" t="n"/>
      <c r="C2319" s="3" t="n"/>
      <c r="D2319" s="3" t="n"/>
      <c r="E2319" s="4">
        <f>IF(A2319="","",COUNTIFS($A$4:A2319,A2319,$I$4:I2319,"&lt;&gt;Штраф -2",$I$4:I2319,"&lt;&gt;ушел на базу"))</f>
        <v/>
      </c>
      <c r="F2319" s="4">
        <f>IF(E2319="","",IF(E2319&lt;=3,6,IF(E2319&lt;=6,5,IF(E2319&lt;=9,4,IF(E2319&lt;=12,3,IF(E2319&lt;=15,2,0))))))</f>
        <v/>
      </c>
      <c r="G2319" s="3" t="n"/>
      <c r="H2319" s="4">
        <f>IF(I2319="Штраф -2",-2,IF(OR(F2319="",G2319=""),"",F2319*G2319+IF(J2319="",0,J2319)))</f>
        <v/>
      </c>
      <c r="I2319" s="3" t="n"/>
      <c r="J2319" s="3" t="n"/>
      <c r="K2319" s="3" t="n"/>
    </row>
    <row r="2320">
      <c r="A2320" s="3" t="n"/>
      <c r="B2320" s="3" t="n"/>
      <c r="C2320" s="3" t="n"/>
      <c r="D2320" s="3" t="n"/>
      <c r="E2320" s="4">
        <f>IF(A2320="","",COUNTIFS($A$4:A2320,A2320,$I$4:I2320,"&lt;&gt;Штраф -2",$I$4:I2320,"&lt;&gt;ушел на базу"))</f>
        <v/>
      </c>
      <c r="F2320" s="4">
        <f>IF(E2320="","",IF(E2320&lt;=3,6,IF(E2320&lt;=6,5,IF(E2320&lt;=9,4,IF(E2320&lt;=12,3,IF(E2320&lt;=15,2,0))))))</f>
        <v/>
      </c>
      <c r="G2320" s="3" t="n"/>
      <c r="H2320" s="4">
        <f>IF(I2320="Штраф -2",-2,IF(OR(F2320="",G2320=""),"",F2320*G2320+IF(J2320="",0,J2320)))</f>
        <v/>
      </c>
      <c r="I2320" s="3" t="n"/>
      <c r="J2320" s="3" t="n"/>
      <c r="K2320" s="3" t="n"/>
    </row>
    <row r="2321">
      <c r="A2321" s="3" t="n"/>
      <c r="B2321" s="3" t="n"/>
      <c r="C2321" s="3" t="n"/>
      <c r="D2321" s="3" t="n"/>
      <c r="E2321" s="4">
        <f>IF(A2321="","",COUNTIFS($A$4:A2321,A2321,$I$4:I2321,"&lt;&gt;Штраф -2",$I$4:I2321,"&lt;&gt;ушел на базу"))</f>
        <v/>
      </c>
      <c r="F2321" s="4">
        <f>IF(E2321="","",IF(E2321&lt;=3,6,IF(E2321&lt;=6,5,IF(E2321&lt;=9,4,IF(E2321&lt;=12,3,IF(E2321&lt;=15,2,0))))))</f>
        <v/>
      </c>
      <c r="G2321" s="3" t="n"/>
      <c r="H2321" s="4">
        <f>IF(I2321="Штраф -2",-2,IF(OR(F2321="",G2321=""),"",F2321*G2321+IF(J2321="",0,J2321)))</f>
        <v/>
      </c>
      <c r="I2321" s="3" t="n"/>
      <c r="J2321" s="3" t="n"/>
      <c r="K2321" s="3" t="n"/>
    </row>
    <row r="2322">
      <c r="A2322" s="3" t="n"/>
      <c r="B2322" s="3" t="n"/>
      <c r="C2322" s="3" t="n"/>
      <c r="D2322" s="3" t="n"/>
      <c r="E2322" s="4">
        <f>IF(A2322="","",COUNTIFS($A$4:A2322,A2322,$I$4:I2322,"&lt;&gt;Штраф -2",$I$4:I2322,"&lt;&gt;ушел на базу"))</f>
        <v/>
      </c>
      <c r="F2322" s="4">
        <f>IF(E2322="","",IF(E2322&lt;=3,6,IF(E2322&lt;=6,5,IF(E2322&lt;=9,4,IF(E2322&lt;=12,3,IF(E2322&lt;=15,2,0))))))</f>
        <v/>
      </c>
      <c r="G2322" s="3" t="n"/>
      <c r="H2322" s="4">
        <f>IF(I2322="Штраф -2",-2,IF(OR(F2322="",G2322=""),"",F2322*G2322+IF(J2322="",0,J2322)))</f>
        <v/>
      </c>
      <c r="I2322" s="3" t="n"/>
      <c r="J2322" s="3" t="n"/>
      <c r="K2322" s="3" t="n"/>
    </row>
    <row r="2323">
      <c r="A2323" s="3" t="n"/>
      <c r="B2323" s="3" t="n"/>
      <c r="C2323" s="3" t="n"/>
      <c r="D2323" s="3" t="n"/>
      <c r="E2323" s="4">
        <f>IF(A2323="","",COUNTIFS($A$4:A2323,A2323,$I$4:I2323,"&lt;&gt;Штраф -2",$I$4:I2323,"&lt;&gt;ушел на базу"))</f>
        <v/>
      </c>
      <c r="F2323" s="4">
        <f>IF(E2323="","",IF(E2323&lt;=3,6,IF(E2323&lt;=6,5,IF(E2323&lt;=9,4,IF(E2323&lt;=12,3,IF(E2323&lt;=15,2,0))))))</f>
        <v/>
      </c>
      <c r="G2323" s="3" t="n"/>
      <c r="H2323" s="4">
        <f>IF(I2323="Штраф -2",-2,IF(OR(F2323="",G2323=""),"",F2323*G2323+IF(J2323="",0,J2323)))</f>
        <v/>
      </c>
      <c r="I2323" s="3" t="n"/>
      <c r="J2323" s="3" t="n"/>
      <c r="K2323" s="3" t="n"/>
    </row>
    <row r="2324">
      <c r="A2324" s="3" t="n"/>
      <c r="B2324" s="3" t="n"/>
      <c r="C2324" s="3" t="n"/>
      <c r="D2324" s="3" t="n"/>
      <c r="E2324" s="4">
        <f>IF(A2324="","",COUNTIFS($A$4:A2324,A2324,$I$4:I2324,"&lt;&gt;Штраф -2",$I$4:I2324,"&lt;&gt;ушел на базу"))</f>
        <v/>
      </c>
      <c r="F2324" s="4">
        <f>IF(E2324="","",IF(E2324&lt;=3,6,IF(E2324&lt;=6,5,IF(E2324&lt;=9,4,IF(E2324&lt;=12,3,IF(E2324&lt;=15,2,0))))))</f>
        <v/>
      </c>
      <c r="G2324" s="3" t="n"/>
      <c r="H2324" s="4">
        <f>IF(I2324="Штраф -2",-2,IF(OR(F2324="",G2324=""),"",F2324*G2324+IF(J2324="",0,J2324)))</f>
        <v/>
      </c>
      <c r="I2324" s="3" t="n"/>
      <c r="J2324" s="3" t="n"/>
      <c r="K2324" s="3" t="n"/>
    </row>
    <row r="2325">
      <c r="A2325" s="3" t="n"/>
      <c r="B2325" s="3" t="n"/>
      <c r="C2325" s="3" t="n"/>
      <c r="D2325" s="3" t="n"/>
      <c r="E2325" s="4">
        <f>IF(A2325="","",COUNTIFS($A$4:A2325,A2325,$I$4:I2325,"&lt;&gt;Штраф -2",$I$4:I2325,"&lt;&gt;ушел на базу"))</f>
        <v/>
      </c>
      <c r="F2325" s="4">
        <f>IF(E2325="","",IF(E2325&lt;=3,6,IF(E2325&lt;=6,5,IF(E2325&lt;=9,4,IF(E2325&lt;=12,3,IF(E2325&lt;=15,2,0))))))</f>
        <v/>
      </c>
      <c r="G2325" s="3" t="n"/>
      <c r="H2325" s="4">
        <f>IF(I2325="Штраф -2",-2,IF(OR(F2325="",G2325=""),"",F2325*G2325+IF(J2325="",0,J2325)))</f>
        <v/>
      </c>
      <c r="I2325" s="3" t="n"/>
      <c r="J2325" s="3" t="n"/>
      <c r="K2325" s="3" t="n"/>
    </row>
    <row r="2326">
      <c r="A2326" s="3" t="n"/>
      <c r="B2326" s="3" t="n"/>
      <c r="C2326" s="3" t="n"/>
      <c r="D2326" s="3" t="n"/>
      <c r="E2326" s="4">
        <f>IF(A2326="","",COUNTIFS($A$4:A2326,A2326,$I$4:I2326,"&lt;&gt;Штраф -2",$I$4:I2326,"&lt;&gt;ушел на базу"))</f>
        <v/>
      </c>
      <c r="F2326" s="4">
        <f>IF(E2326="","",IF(E2326&lt;=3,6,IF(E2326&lt;=6,5,IF(E2326&lt;=9,4,IF(E2326&lt;=12,3,IF(E2326&lt;=15,2,0))))))</f>
        <v/>
      </c>
      <c r="G2326" s="3" t="n"/>
      <c r="H2326" s="4">
        <f>IF(I2326="Штраф -2",-2,IF(OR(F2326="",G2326=""),"",F2326*G2326+IF(J2326="",0,J2326)))</f>
        <v/>
      </c>
      <c r="I2326" s="3" t="n"/>
      <c r="J2326" s="3" t="n"/>
      <c r="K2326" s="3" t="n"/>
    </row>
    <row r="2327">
      <c r="A2327" s="3" t="n"/>
      <c r="B2327" s="3" t="n"/>
      <c r="C2327" s="3" t="n"/>
      <c r="D2327" s="3" t="n"/>
      <c r="E2327" s="4">
        <f>IF(A2327="","",COUNTIFS($A$4:A2327,A2327,$I$4:I2327,"&lt;&gt;Штраф -2",$I$4:I2327,"&lt;&gt;ушел на базу"))</f>
        <v/>
      </c>
      <c r="F2327" s="4">
        <f>IF(E2327="","",IF(E2327&lt;=3,6,IF(E2327&lt;=6,5,IF(E2327&lt;=9,4,IF(E2327&lt;=12,3,IF(E2327&lt;=15,2,0))))))</f>
        <v/>
      </c>
      <c r="G2327" s="3" t="n"/>
      <c r="H2327" s="4">
        <f>IF(I2327="Штраф -2",-2,IF(OR(F2327="",G2327=""),"",F2327*G2327+IF(J2327="",0,J2327)))</f>
        <v/>
      </c>
      <c r="I2327" s="3" t="n"/>
      <c r="J2327" s="3" t="n"/>
      <c r="K2327" s="3" t="n"/>
    </row>
    <row r="2328">
      <c r="A2328" s="3" t="n"/>
      <c r="B2328" s="3" t="n"/>
      <c r="C2328" s="3" t="n"/>
      <c r="D2328" s="3" t="n"/>
      <c r="E2328" s="4">
        <f>IF(A2328="","",COUNTIFS($A$4:A2328,A2328,$I$4:I2328,"&lt;&gt;Штраф -2",$I$4:I2328,"&lt;&gt;ушел на базу"))</f>
        <v/>
      </c>
      <c r="F2328" s="4">
        <f>IF(E2328="","",IF(E2328&lt;=3,6,IF(E2328&lt;=6,5,IF(E2328&lt;=9,4,IF(E2328&lt;=12,3,IF(E2328&lt;=15,2,0))))))</f>
        <v/>
      </c>
      <c r="G2328" s="3" t="n"/>
      <c r="H2328" s="4">
        <f>IF(I2328="Штраф -2",-2,IF(OR(F2328="",G2328=""),"",F2328*G2328+IF(J2328="",0,J2328)))</f>
        <v/>
      </c>
      <c r="I2328" s="3" t="n"/>
      <c r="J2328" s="3" t="n"/>
      <c r="K2328" s="3" t="n"/>
    </row>
    <row r="2329">
      <c r="A2329" s="3" t="n"/>
      <c r="B2329" s="3" t="n"/>
      <c r="C2329" s="3" t="n"/>
      <c r="D2329" s="3" t="n"/>
      <c r="E2329" s="4">
        <f>IF(A2329="","",COUNTIFS($A$4:A2329,A2329,$I$4:I2329,"&lt;&gt;Штраф -2",$I$4:I2329,"&lt;&gt;ушел на базу"))</f>
        <v/>
      </c>
      <c r="F2329" s="4">
        <f>IF(E2329="","",IF(E2329&lt;=3,6,IF(E2329&lt;=6,5,IF(E2329&lt;=9,4,IF(E2329&lt;=12,3,IF(E2329&lt;=15,2,0))))))</f>
        <v/>
      </c>
      <c r="G2329" s="3" t="n"/>
      <c r="H2329" s="4">
        <f>IF(I2329="Штраф -2",-2,IF(OR(F2329="",G2329=""),"",F2329*G2329+IF(J2329="",0,J2329)))</f>
        <v/>
      </c>
      <c r="I2329" s="3" t="n"/>
      <c r="J2329" s="3" t="n"/>
      <c r="K2329" s="3" t="n"/>
    </row>
    <row r="2330">
      <c r="A2330" s="3" t="n"/>
      <c r="B2330" s="3" t="n"/>
      <c r="C2330" s="3" t="n"/>
      <c r="D2330" s="3" t="n"/>
      <c r="E2330" s="4">
        <f>IF(A2330="","",COUNTIFS($A$4:A2330,A2330,$I$4:I2330,"&lt;&gt;Штраф -2",$I$4:I2330,"&lt;&gt;ушел на базу"))</f>
        <v/>
      </c>
      <c r="F2330" s="4">
        <f>IF(E2330="","",IF(E2330&lt;=3,6,IF(E2330&lt;=6,5,IF(E2330&lt;=9,4,IF(E2330&lt;=12,3,IF(E2330&lt;=15,2,0))))))</f>
        <v/>
      </c>
      <c r="G2330" s="3" t="n"/>
      <c r="H2330" s="4">
        <f>IF(I2330="Штраф -2",-2,IF(OR(F2330="",G2330=""),"",F2330*G2330+IF(J2330="",0,J2330)))</f>
        <v/>
      </c>
      <c r="I2330" s="3" t="n"/>
      <c r="J2330" s="3" t="n"/>
      <c r="K2330" s="3" t="n"/>
    </row>
    <row r="2331">
      <c r="A2331" s="3" t="n"/>
      <c r="B2331" s="3" t="n"/>
      <c r="C2331" s="3" t="n"/>
      <c r="D2331" s="3" t="n"/>
      <c r="E2331" s="4">
        <f>IF(A2331="","",COUNTIFS($A$4:A2331,A2331,$I$4:I2331,"&lt;&gt;Штраф -2",$I$4:I2331,"&lt;&gt;ушел на базу"))</f>
        <v/>
      </c>
      <c r="F2331" s="4">
        <f>IF(E2331="","",IF(E2331&lt;=3,6,IF(E2331&lt;=6,5,IF(E2331&lt;=9,4,IF(E2331&lt;=12,3,IF(E2331&lt;=15,2,0))))))</f>
        <v/>
      </c>
      <c r="G2331" s="3" t="n"/>
      <c r="H2331" s="4">
        <f>IF(I2331="Штраф -2",-2,IF(OR(F2331="",G2331=""),"",F2331*G2331+IF(J2331="",0,J2331)))</f>
        <v/>
      </c>
      <c r="I2331" s="3" t="n"/>
      <c r="J2331" s="3" t="n"/>
      <c r="K2331" s="3" t="n"/>
    </row>
    <row r="2332">
      <c r="A2332" s="3" t="n"/>
      <c r="B2332" s="3" t="n"/>
      <c r="C2332" s="3" t="n"/>
      <c r="D2332" s="3" t="n"/>
      <c r="E2332" s="4">
        <f>IF(A2332="","",COUNTIFS($A$4:A2332,A2332,$I$4:I2332,"&lt;&gt;Штраф -2",$I$4:I2332,"&lt;&gt;ушел на базу"))</f>
        <v/>
      </c>
      <c r="F2332" s="4">
        <f>IF(E2332="","",IF(E2332&lt;=3,6,IF(E2332&lt;=6,5,IF(E2332&lt;=9,4,IF(E2332&lt;=12,3,IF(E2332&lt;=15,2,0))))))</f>
        <v/>
      </c>
      <c r="G2332" s="3" t="n"/>
      <c r="H2332" s="4">
        <f>IF(I2332="Штраф -2",-2,IF(OR(F2332="",G2332=""),"",F2332*G2332+IF(J2332="",0,J2332)))</f>
        <v/>
      </c>
      <c r="I2332" s="3" t="n"/>
      <c r="J2332" s="3" t="n"/>
      <c r="K2332" s="3" t="n"/>
    </row>
    <row r="2333">
      <c r="A2333" s="3" t="n"/>
      <c r="B2333" s="3" t="n"/>
      <c r="C2333" s="3" t="n"/>
      <c r="D2333" s="3" t="n"/>
      <c r="E2333" s="4">
        <f>IF(A2333="","",COUNTIFS($A$4:A2333,A2333,$I$4:I2333,"&lt;&gt;Штраф -2",$I$4:I2333,"&lt;&gt;ушел на базу"))</f>
        <v/>
      </c>
      <c r="F2333" s="4">
        <f>IF(E2333="","",IF(E2333&lt;=3,6,IF(E2333&lt;=6,5,IF(E2333&lt;=9,4,IF(E2333&lt;=12,3,IF(E2333&lt;=15,2,0))))))</f>
        <v/>
      </c>
      <c r="G2333" s="3" t="n"/>
      <c r="H2333" s="4">
        <f>IF(I2333="Штраф -2",-2,IF(OR(F2333="",G2333=""),"",F2333*G2333+IF(J2333="",0,J2333)))</f>
        <v/>
      </c>
      <c r="I2333" s="3" t="n"/>
      <c r="J2333" s="3" t="n"/>
      <c r="K2333" s="3" t="n"/>
    </row>
    <row r="2334">
      <c r="A2334" s="3" t="n"/>
      <c r="B2334" s="3" t="n"/>
      <c r="C2334" s="3" t="n"/>
      <c r="D2334" s="3" t="n"/>
      <c r="E2334" s="4">
        <f>IF(A2334="","",COUNTIFS($A$4:A2334,A2334,$I$4:I2334,"&lt;&gt;Штраф -2",$I$4:I2334,"&lt;&gt;ушел на базу"))</f>
        <v/>
      </c>
      <c r="F2334" s="4">
        <f>IF(E2334="","",IF(E2334&lt;=3,6,IF(E2334&lt;=6,5,IF(E2334&lt;=9,4,IF(E2334&lt;=12,3,IF(E2334&lt;=15,2,0))))))</f>
        <v/>
      </c>
      <c r="G2334" s="3" t="n"/>
      <c r="H2334" s="4">
        <f>IF(I2334="Штраф -2",-2,IF(OR(F2334="",G2334=""),"",F2334*G2334+IF(J2334="",0,J2334)))</f>
        <v/>
      </c>
      <c r="I2334" s="3" t="n"/>
      <c r="J2334" s="3" t="n"/>
      <c r="K2334" s="3" t="n"/>
    </row>
    <row r="2335">
      <c r="A2335" s="3" t="n"/>
      <c r="B2335" s="3" t="n"/>
      <c r="C2335" s="3" t="n"/>
      <c r="D2335" s="3" t="n"/>
      <c r="E2335" s="4">
        <f>IF(A2335="","",COUNTIFS($A$4:A2335,A2335,$I$4:I2335,"&lt;&gt;Штраф -2",$I$4:I2335,"&lt;&gt;ушел на базу"))</f>
        <v/>
      </c>
      <c r="F2335" s="4">
        <f>IF(E2335="","",IF(E2335&lt;=3,6,IF(E2335&lt;=6,5,IF(E2335&lt;=9,4,IF(E2335&lt;=12,3,IF(E2335&lt;=15,2,0))))))</f>
        <v/>
      </c>
      <c r="G2335" s="3" t="n"/>
      <c r="H2335" s="4">
        <f>IF(I2335="Штраф -2",-2,IF(OR(F2335="",G2335=""),"",F2335*G2335+IF(J2335="",0,J2335)))</f>
        <v/>
      </c>
      <c r="I2335" s="3" t="n"/>
      <c r="J2335" s="3" t="n"/>
      <c r="K2335" s="3" t="n"/>
    </row>
    <row r="2336">
      <c r="A2336" s="3" t="n"/>
      <c r="B2336" s="3" t="n"/>
      <c r="C2336" s="3" t="n"/>
      <c r="D2336" s="3" t="n"/>
      <c r="E2336" s="4">
        <f>IF(A2336="","",COUNTIFS($A$4:A2336,A2336,$I$4:I2336,"&lt;&gt;Штраф -2",$I$4:I2336,"&lt;&gt;ушел на базу"))</f>
        <v/>
      </c>
      <c r="F2336" s="4">
        <f>IF(E2336="","",IF(E2336&lt;=3,6,IF(E2336&lt;=6,5,IF(E2336&lt;=9,4,IF(E2336&lt;=12,3,IF(E2336&lt;=15,2,0))))))</f>
        <v/>
      </c>
      <c r="G2336" s="3" t="n"/>
      <c r="H2336" s="4">
        <f>IF(I2336="Штраф -2",-2,IF(OR(F2336="",G2336=""),"",F2336*G2336+IF(J2336="",0,J2336)))</f>
        <v/>
      </c>
      <c r="I2336" s="3" t="n"/>
      <c r="J2336" s="3" t="n"/>
      <c r="K2336" s="3" t="n"/>
    </row>
    <row r="2337">
      <c r="A2337" s="3" t="n"/>
      <c r="B2337" s="3" t="n"/>
      <c r="C2337" s="3" t="n"/>
      <c r="D2337" s="3" t="n"/>
      <c r="E2337" s="4">
        <f>IF(A2337="","",COUNTIFS($A$4:A2337,A2337,$I$4:I2337,"&lt;&gt;Штраф -2",$I$4:I2337,"&lt;&gt;ушел на базу"))</f>
        <v/>
      </c>
      <c r="F2337" s="4">
        <f>IF(E2337="","",IF(E2337&lt;=3,6,IF(E2337&lt;=6,5,IF(E2337&lt;=9,4,IF(E2337&lt;=12,3,IF(E2337&lt;=15,2,0))))))</f>
        <v/>
      </c>
      <c r="G2337" s="3" t="n"/>
      <c r="H2337" s="4">
        <f>IF(I2337="Штраф -2",-2,IF(OR(F2337="",G2337=""),"",F2337*G2337+IF(J2337="",0,J2337)))</f>
        <v/>
      </c>
      <c r="I2337" s="3" t="n"/>
      <c r="J2337" s="3" t="n"/>
      <c r="K2337" s="3" t="n"/>
    </row>
    <row r="2338">
      <c r="A2338" s="3" t="n"/>
      <c r="B2338" s="3" t="n"/>
      <c r="C2338" s="3" t="n"/>
      <c r="D2338" s="3" t="n"/>
      <c r="E2338" s="4">
        <f>IF(A2338="","",COUNTIFS($A$4:A2338,A2338,$I$4:I2338,"&lt;&gt;Штраф -2",$I$4:I2338,"&lt;&gt;ушел на базу"))</f>
        <v/>
      </c>
      <c r="F2338" s="4">
        <f>IF(E2338="","",IF(E2338&lt;=3,6,IF(E2338&lt;=6,5,IF(E2338&lt;=9,4,IF(E2338&lt;=12,3,IF(E2338&lt;=15,2,0))))))</f>
        <v/>
      </c>
      <c r="G2338" s="3" t="n"/>
      <c r="H2338" s="4">
        <f>IF(I2338="Штраф -2",-2,IF(OR(F2338="",G2338=""),"",F2338*G2338+IF(J2338="",0,J2338)))</f>
        <v/>
      </c>
      <c r="I2338" s="3" t="n"/>
      <c r="J2338" s="3" t="n"/>
      <c r="K2338" s="3" t="n"/>
    </row>
    <row r="2339">
      <c r="A2339" s="3" t="n"/>
      <c r="B2339" s="3" t="n"/>
      <c r="C2339" s="3" t="n"/>
      <c r="D2339" s="3" t="n"/>
      <c r="E2339" s="4">
        <f>IF(A2339="","",COUNTIFS($A$4:A2339,A2339,$I$4:I2339,"&lt;&gt;Штраф -2",$I$4:I2339,"&lt;&gt;ушел на базу"))</f>
        <v/>
      </c>
      <c r="F2339" s="4">
        <f>IF(E2339="","",IF(E2339&lt;=3,6,IF(E2339&lt;=6,5,IF(E2339&lt;=9,4,IF(E2339&lt;=12,3,IF(E2339&lt;=15,2,0))))))</f>
        <v/>
      </c>
      <c r="G2339" s="3" t="n"/>
      <c r="H2339" s="4">
        <f>IF(I2339="Штраф -2",-2,IF(OR(F2339="",G2339=""),"",F2339*G2339+IF(J2339="",0,J2339)))</f>
        <v/>
      </c>
      <c r="I2339" s="3" t="n"/>
      <c r="J2339" s="3" t="n"/>
      <c r="K2339" s="3" t="n"/>
    </row>
    <row r="2340">
      <c r="A2340" s="3" t="n"/>
      <c r="B2340" s="3" t="n"/>
      <c r="C2340" s="3" t="n"/>
      <c r="D2340" s="3" t="n"/>
      <c r="E2340" s="4">
        <f>IF(A2340="","",COUNTIFS($A$4:A2340,A2340,$I$4:I2340,"&lt;&gt;Штраф -2",$I$4:I2340,"&lt;&gt;ушел на базу"))</f>
        <v/>
      </c>
      <c r="F2340" s="4">
        <f>IF(E2340="","",IF(E2340&lt;=3,6,IF(E2340&lt;=6,5,IF(E2340&lt;=9,4,IF(E2340&lt;=12,3,IF(E2340&lt;=15,2,0))))))</f>
        <v/>
      </c>
      <c r="G2340" s="3" t="n"/>
      <c r="H2340" s="4">
        <f>IF(I2340="Штраф -2",-2,IF(OR(F2340="",G2340=""),"",F2340*G2340+IF(J2340="",0,J2340)))</f>
        <v/>
      </c>
      <c r="I2340" s="3" t="n"/>
      <c r="J2340" s="3" t="n"/>
      <c r="K2340" s="3" t="n"/>
    </row>
    <row r="2341">
      <c r="A2341" s="3" t="n"/>
      <c r="B2341" s="3" t="n"/>
      <c r="C2341" s="3" t="n"/>
      <c r="D2341" s="3" t="n"/>
      <c r="E2341" s="4">
        <f>IF(A2341="","",COUNTIFS($A$4:A2341,A2341,$I$4:I2341,"&lt;&gt;Штраф -2",$I$4:I2341,"&lt;&gt;ушел на базу"))</f>
        <v/>
      </c>
      <c r="F2341" s="4">
        <f>IF(E2341="","",IF(E2341&lt;=3,6,IF(E2341&lt;=6,5,IF(E2341&lt;=9,4,IF(E2341&lt;=12,3,IF(E2341&lt;=15,2,0))))))</f>
        <v/>
      </c>
      <c r="G2341" s="3" t="n"/>
      <c r="H2341" s="4">
        <f>IF(I2341="Штраф -2",-2,IF(OR(F2341="",G2341=""),"",F2341*G2341+IF(J2341="",0,J2341)))</f>
        <v/>
      </c>
      <c r="I2341" s="3" t="n"/>
      <c r="J2341" s="3" t="n"/>
      <c r="K2341" s="3" t="n"/>
    </row>
    <row r="2342">
      <c r="A2342" s="3" t="n"/>
      <c r="B2342" s="3" t="n"/>
      <c r="C2342" s="3" t="n"/>
      <c r="D2342" s="3" t="n"/>
      <c r="E2342" s="4">
        <f>IF(A2342="","",COUNTIFS($A$4:A2342,A2342,$I$4:I2342,"&lt;&gt;Штраф -2",$I$4:I2342,"&lt;&gt;ушел на базу"))</f>
        <v/>
      </c>
      <c r="F2342" s="4">
        <f>IF(E2342="","",IF(E2342&lt;=3,6,IF(E2342&lt;=6,5,IF(E2342&lt;=9,4,IF(E2342&lt;=12,3,IF(E2342&lt;=15,2,0))))))</f>
        <v/>
      </c>
      <c r="G2342" s="3" t="n"/>
      <c r="H2342" s="4">
        <f>IF(I2342="Штраф -2",-2,IF(OR(F2342="",G2342=""),"",F2342*G2342+IF(J2342="",0,J2342)))</f>
        <v/>
      </c>
      <c r="I2342" s="3" t="n"/>
      <c r="J2342" s="3" t="n"/>
      <c r="K2342" s="3" t="n"/>
    </row>
    <row r="2343">
      <c r="A2343" s="3" t="n"/>
      <c r="B2343" s="3" t="n"/>
      <c r="C2343" s="3" t="n"/>
      <c r="D2343" s="3" t="n"/>
      <c r="E2343" s="4">
        <f>IF(A2343="","",COUNTIFS($A$4:A2343,A2343,$I$4:I2343,"&lt;&gt;Штраф -2",$I$4:I2343,"&lt;&gt;ушел на базу"))</f>
        <v/>
      </c>
      <c r="F2343" s="4">
        <f>IF(E2343="","",IF(E2343&lt;=3,6,IF(E2343&lt;=6,5,IF(E2343&lt;=9,4,IF(E2343&lt;=12,3,IF(E2343&lt;=15,2,0))))))</f>
        <v/>
      </c>
      <c r="G2343" s="3" t="n"/>
      <c r="H2343" s="4">
        <f>IF(I2343="Штраф -2",-2,IF(OR(F2343="",G2343=""),"",F2343*G2343+IF(J2343="",0,J2343)))</f>
        <v/>
      </c>
      <c r="I2343" s="3" t="n"/>
      <c r="J2343" s="3" t="n"/>
      <c r="K2343" s="3" t="n"/>
    </row>
    <row r="2344">
      <c r="A2344" s="3" t="n"/>
      <c r="B2344" s="3" t="n"/>
      <c r="C2344" s="3" t="n"/>
      <c r="D2344" s="3" t="n"/>
      <c r="E2344" s="4">
        <f>IF(A2344="","",COUNTIFS($A$4:A2344,A2344,$I$4:I2344,"&lt;&gt;Штраф -2",$I$4:I2344,"&lt;&gt;ушел на базу"))</f>
        <v/>
      </c>
      <c r="F2344" s="4">
        <f>IF(E2344="","",IF(E2344&lt;=3,6,IF(E2344&lt;=6,5,IF(E2344&lt;=9,4,IF(E2344&lt;=12,3,IF(E2344&lt;=15,2,0))))))</f>
        <v/>
      </c>
      <c r="G2344" s="3" t="n"/>
      <c r="H2344" s="4">
        <f>IF(I2344="Штраф -2",-2,IF(OR(F2344="",G2344=""),"",F2344*G2344+IF(J2344="",0,J2344)))</f>
        <v/>
      </c>
      <c r="I2344" s="3" t="n"/>
      <c r="J2344" s="3" t="n"/>
      <c r="K2344" s="3" t="n"/>
    </row>
    <row r="2345">
      <c r="A2345" s="3" t="n"/>
      <c r="B2345" s="3" t="n"/>
      <c r="C2345" s="3" t="n"/>
      <c r="D2345" s="3" t="n"/>
      <c r="E2345" s="4">
        <f>IF(A2345="","",COUNTIFS($A$4:A2345,A2345,$I$4:I2345,"&lt;&gt;Штраф -2",$I$4:I2345,"&lt;&gt;ушел на базу"))</f>
        <v/>
      </c>
      <c r="F2345" s="4">
        <f>IF(E2345="","",IF(E2345&lt;=3,6,IF(E2345&lt;=6,5,IF(E2345&lt;=9,4,IF(E2345&lt;=12,3,IF(E2345&lt;=15,2,0))))))</f>
        <v/>
      </c>
      <c r="G2345" s="3" t="n"/>
      <c r="H2345" s="4">
        <f>IF(I2345="Штраф -2",-2,IF(OR(F2345="",G2345=""),"",F2345*G2345+IF(J2345="",0,J2345)))</f>
        <v/>
      </c>
      <c r="I2345" s="3" t="n"/>
      <c r="J2345" s="3" t="n"/>
      <c r="K2345" s="3" t="n"/>
    </row>
    <row r="2346">
      <c r="A2346" s="3" t="n"/>
      <c r="B2346" s="3" t="n"/>
      <c r="C2346" s="3" t="n"/>
      <c r="D2346" s="3" t="n"/>
      <c r="E2346" s="4">
        <f>IF(A2346="","",COUNTIFS($A$4:A2346,A2346,$I$4:I2346,"&lt;&gt;Штраф -2",$I$4:I2346,"&lt;&gt;ушел на базу"))</f>
        <v/>
      </c>
      <c r="F2346" s="4">
        <f>IF(E2346="","",IF(E2346&lt;=3,6,IF(E2346&lt;=6,5,IF(E2346&lt;=9,4,IF(E2346&lt;=12,3,IF(E2346&lt;=15,2,0))))))</f>
        <v/>
      </c>
      <c r="G2346" s="3" t="n"/>
      <c r="H2346" s="4">
        <f>IF(I2346="Штраф -2",-2,IF(OR(F2346="",G2346=""),"",F2346*G2346+IF(J2346="",0,J2346)))</f>
        <v/>
      </c>
      <c r="I2346" s="3" t="n"/>
      <c r="J2346" s="3" t="n"/>
      <c r="K2346" s="3" t="n"/>
    </row>
    <row r="2347">
      <c r="A2347" s="3" t="n"/>
      <c r="B2347" s="3" t="n"/>
      <c r="C2347" s="3" t="n"/>
      <c r="D2347" s="3" t="n"/>
      <c r="E2347" s="4">
        <f>IF(A2347="","",COUNTIFS($A$4:A2347,A2347,$I$4:I2347,"&lt;&gt;Штраф -2",$I$4:I2347,"&lt;&gt;ушел на базу"))</f>
        <v/>
      </c>
      <c r="F2347" s="4">
        <f>IF(E2347="","",IF(E2347&lt;=3,6,IF(E2347&lt;=6,5,IF(E2347&lt;=9,4,IF(E2347&lt;=12,3,IF(E2347&lt;=15,2,0))))))</f>
        <v/>
      </c>
      <c r="G2347" s="3" t="n"/>
      <c r="H2347" s="4">
        <f>IF(I2347="Штраф -2",-2,IF(OR(F2347="",G2347=""),"",F2347*G2347+IF(J2347="",0,J2347)))</f>
        <v/>
      </c>
      <c r="I2347" s="3" t="n"/>
      <c r="J2347" s="3" t="n"/>
      <c r="K2347" s="3" t="n"/>
    </row>
    <row r="2348">
      <c r="A2348" s="3" t="n"/>
      <c r="B2348" s="3" t="n"/>
      <c r="C2348" s="3" t="n"/>
      <c r="D2348" s="3" t="n"/>
      <c r="E2348" s="4">
        <f>IF(A2348="","",COUNTIFS($A$4:A2348,A2348,$I$4:I2348,"&lt;&gt;Штраф -2",$I$4:I2348,"&lt;&gt;ушел на базу"))</f>
        <v/>
      </c>
      <c r="F2348" s="4">
        <f>IF(E2348="","",IF(E2348&lt;=3,6,IF(E2348&lt;=6,5,IF(E2348&lt;=9,4,IF(E2348&lt;=12,3,IF(E2348&lt;=15,2,0))))))</f>
        <v/>
      </c>
      <c r="G2348" s="3" t="n"/>
      <c r="H2348" s="4">
        <f>IF(I2348="Штраф -2",-2,IF(OR(F2348="",G2348=""),"",F2348*G2348+IF(J2348="",0,J2348)))</f>
        <v/>
      </c>
      <c r="I2348" s="3" t="n"/>
      <c r="J2348" s="3" t="n"/>
      <c r="K2348" s="3" t="n"/>
    </row>
    <row r="2349">
      <c r="A2349" s="3" t="n"/>
      <c r="B2349" s="3" t="n"/>
      <c r="C2349" s="3" t="n"/>
      <c r="D2349" s="3" t="n"/>
      <c r="E2349" s="4">
        <f>IF(A2349="","",COUNTIFS($A$4:A2349,A2349,$I$4:I2349,"&lt;&gt;Штраф -2",$I$4:I2349,"&lt;&gt;ушел на базу"))</f>
        <v/>
      </c>
      <c r="F2349" s="4">
        <f>IF(E2349="","",IF(E2349&lt;=3,6,IF(E2349&lt;=6,5,IF(E2349&lt;=9,4,IF(E2349&lt;=12,3,IF(E2349&lt;=15,2,0))))))</f>
        <v/>
      </c>
      <c r="G2349" s="3" t="n"/>
      <c r="H2349" s="4">
        <f>IF(I2349="Штраф -2",-2,IF(OR(F2349="",G2349=""),"",F2349*G2349+IF(J2349="",0,J2349)))</f>
        <v/>
      </c>
      <c r="I2349" s="3" t="n"/>
      <c r="J2349" s="3" t="n"/>
      <c r="K2349" s="3" t="n"/>
    </row>
    <row r="2350">
      <c r="A2350" s="3" t="n"/>
      <c r="B2350" s="3" t="n"/>
      <c r="C2350" s="3" t="n"/>
      <c r="D2350" s="3" t="n"/>
      <c r="E2350" s="4">
        <f>IF(A2350="","",COUNTIFS($A$4:A2350,A2350,$I$4:I2350,"&lt;&gt;Штраф -2",$I$4:I2350,"&lt;&gt;ушел на базу"))</f>
        <v/>
      </c>
      <c r="F2350" s="4">
        <f>IF(E2350="","",IF(E2350&lt;=3,6,IF(E2350&lt;=6,5,IF(E2350&lt;=9,4,IF(E2350&lt;=12,3,IF(E2350&lt;=15,2,0))))))</f>
        <v/>
      </c>
      <c r="G2350" s="3" t="n"/>
      <c r="H2350" s="4">
        <f>IF(I2350="Штраф -2",-2,IF(OR(F2350="",G2350=""),"",F2350*G2350+IF(J2350="",0,J2350)))</f>
        <v/>
      </c>
      <c r="I2350" s="3" t="n"/>
      <c r="J2350" s="3" t="n"/>
      <c r="K2350" s="3" t="n"/>
    </row>
    <row r="2351">
      <c r="A2351" s="3" t="n"/>
      <c r="B2351" s="3" t="n"/>
      <c r="C2351" s="3" t="n"/>
      <c r="D2351" s="3" t="n"/>
      <c r="E2351" s="4">
        <f>IF(A2351="","",COUNTIFS($A$4:A2351,A2351,$I$4:I2351,"&lt;&gt;Штраф -2",$I$4:I2351,"&lt;&gt;ушел на базу"))</f>
        <v/>
      </c>
      <c r="F2351" s="4">
        <f>IF(E2351="","",IF(E2351&lt;=3,6,IF(E2351&lt;=6,5,IF(E2351&lt;=9,4,IF(E2351&lt;=12,3,IF(E2351&lt;=15,2,0))))))</f>
        <v/>
      </c>
      <c r="G2351" s="3" t="n"/>
      <c r="H2351" s="4">
        <f>IF(I2351="Штраф -2",-2,IF(OR(F2351="",G2351=""),"",F2351*G2351+IF(J2351="",0,J2351)))</f>
        <v/>
      </c>
      <c r="I2351" s="3" t="n"/>
      <c r="J2351" s="3" t="n"/>
      <c r="K2351" s="3" t="n"/>
    </row>
    <row r="2352">
      <c r="A2352" s="3" t="n"/>
      <c r="B2352" s="3" t="n"/>
      <c r="C2352" s="3" t="n"/>
      <c r="D2352" s="3" t="n"/>
      <c r="E2352" s="4">
        <f>IF(A2352="","",COUNTIFS($A$4:A2352,A2352,$I$4:I2352,"&lt;&gt;Штраф -2",$I$4:I2352,"&lt;&gt;ушел на базу"))</f>
        <v/>
      </c>
      <c r="F2352" s="4">
        <f>IF(E2352="","",IF(E2352&lt;=3,6,IF(E2352&lt;=6,5,IF(E2352&lt;=9,4,IF(E2352&lt;=12,3,IF(E2352&lt;=15,2,0))))))</f>
        <v/>
      </c>
      <c r="G2352" s="3" t="n"/>
      <c r="H2352" s="4">
        <f>IF(I2352="Штраф -2",-2,IF(OR(F2352="",G2352=""),"",F2352*G2352+IF(J2352="",0,J2352)))</f>
        <v/>
      </c>
      <c r="I2352" s="3" t="n"/>
      <c r="J2352" s="3" t="n"/>
      <c r="K2352" s="3" t="n"/>
    </row>
    <row r="2353">
      <c r="A2353" s="3" t="n"/>
      <c r="B2353" s="3" t="n"/>
      <c r="C2353" s="3" t="n"/>
      <c r="D2353" s="3" t="n"/>
      <c r="E2353" s="4">
        <f>IF(A2353="","",COUNTIFS($A$4:A2353,A2353,$I$4:I2353,"&lt;&gt;Штраф -2",$I$4:I2353,"&lt;&gt;ушел на базу"))</f>
        <v/>
      </c>
      <c r="F2353" s="4">
        <f>IF(E2353="","",IF(E2353&lt;=3,6,IF(E2353&lt;=6,5,IF(E2353&lt;=9,4,IF(E2353&lt;=12,3,IF(E2353&lt;=15,2,0))))))</f>
        <v/>
      </c>
      <c r="G2353" s="3" t="n"/>
      <c r="H2353" s="4">
        <f>IF(I2353="Штраф -2",-2,IF(OR(F2353="",G2353=""),"",F2353*G2353+IF(J2353="",0,J2353)))</f>
        <v/>
      </c>
      <c r="I2353" s="3" t="n"/>
      <c r="J2353" s="3" t="n"/>
      <c r="K2353" s="3" t="n"/>
    </row>
    <row r="2354">
      <c r="A2354" s="3" t="n"/>
      <c r="B2354" s="3" t="n"/>
      <c r="C2354" s="3" t="n"/>
      <c r="D2354" s="3" t="n"/>
      <c r="E2354" s="4">
        <f>IF(A2354="","",COUNTIFS($A$4:A2354,A2354,$I$4:I2354,"&lt;&gt;Штраф -2",$I$4:I2354,"&lt;&gt;ушел на базу"))</f>
        <v/>
      </c>
      <c r="F2354" s="4">
        <f>IF(E2354="","",IF(E2354&lt;=3,6,IF(E2354&lt;=6,5,IF(E2354&lt;=9,4,IF(E2354&lt;=12,3,IF(E2354&lt;=15,2,0))))))</f>
        <v/>
      </c>
      <c r="G2354" s="3" t="n"/>
      <c r="H2354" s="4">
        <f>IF(I2354="Штраф -2",-2,IF(OR(F2354="",G2354=""),"",F2354*G2354+IF(J2354="",0,J2354)))</f>
        <v/>
      </c>
      <c r="I2354" s="3" t="n"/>
      <c r="J2354" s="3" t="n"/>
      <c r="K2354" s="3" t="n"/>
    </row>
    <row r="2355">
      <c r="A2355" s="3" t="n"/>
      <c r="B2355" s="3" t="n"/>
      <c r="C2355" s="3" t="n"/>
      <c r="D2355" s="3" t="n"/>
      <c r="E2355" s="4">
        <f>IF(A2355="","",COUNTIFS($A$4:A2355,A2355,$I$4:I2355,"&lt;&gt;Штраф -2",$I$4:I2355,"&lt;&gt;ушел на базу"))</f>
        <v/>
      </c>
      <c r="F2355" s="4">
        <f>IF(E2355="","",IF(E2355&lt;=3,6,IF(E2355&lt;=6,5,IF(E2355&lt;=9,4,IF(E2355&lt;=12,3,IF(E2355&lt;=15,2,0))))))</f>
        <v/>
      </c>
      <c r="G2355" s="3" t="n"/>
      <c r="H2355" s="4">
        <f>IF(I2355="Штраф -2",-2,IF(OR(F2355="",G2355=""),"",F2355*G2355+IF(J2355="",0,J2355)))</f>
        <v/>
      </c>
      <c r="I2355" s="3" t="n"/>
      <c r="J2355" s="3" t="n"/>
      <c r="K2355" s="3" t="n"/>
    </row>
    <row r="2356">
      <c r="A2356" s="3" t="n"/>
      <c r="B2356" s="3" t="n"/>
      <c r="C2356" s="3" t="n"/>
      <c r="D2356" s="3" t="n"/>
      <c r="E2356" s="4">
        <f>IF(A2356="","",COUNTIFS($A$4:A2356,A2356,$I$4:I2356,"&lt;&gt;Штраф -2",$I$4:I2356,"&lt;&gt;ушел на базу"))</f>
        <v/>
      </c>
      <c r="F2356" s="4">
        <f>IF(E2356="","",IF(E2356&lt;=3,6,IF(E2356&lt;=6,5,IF(E2356&lt;=9,4,IF(E2356&lt;=12,3,IF(E2356&lt;=15,2,0))))))</f>
        <v/>
      </c>
      <c r="G2356" s="3" t="n"/>
      <c r="H2356" s="4">
        <f>IF(I2356="Штраф -2",-2,IF(OR(F2356="",G2356=""),"",F2356*G2356+IF(J2356="",0,J2356)))</f>
        <v/>
      </c>
      <c r="I2356" s="3" t="n"/>
      <c r="J2356" s="3" t="n"/>
      <c r="K2356" s="3" t="n"/>
    </row>
    <row r="2357">
      <c r="A2357" s="3" t="n"/>
      <c r="B2357" s="3" t="n"/>
      <c r="C2357" s="3" t="n"/>
      <c r="D2357" s="3" t="n"/>
      <c r="E2357" s="4">
        <f>IF(A2357="","",COUNTIFS($A$4:A2357,A2357,$I$4:I2357,"&lt;&gt;Штраф -2",$I$4:I2357,"&lt;&gt;ушел на базу"))</f>
        <v/>
      </c>
      <c r="F2357" s="4">
        <f>IF(E2357="","",IF(E2357&lt;=3,6,IF(E2357&lt;=6,5,IF(E2357&lt;=9,4,IF(E2357&lt;=12,3,IF(E2357&lt;=15,2,0))))))</f>
        <v/>
      </c>
      <c r="G2357" s="3" t="n"/>
      <c r="H2357" s="4">
        <f>IF(I2357="Штраф -2",-2,IF(OR(F2357="",G2357=""),"",F2357*G2357+IF(J2357="",0,J2357)))</f>
        <v/>
      </c>
      <c r="I2357" s="3" t="n"/>
      <c r="J2357" s="3" t="n"/>
      <c r="K2357" s="3" t="n"/>
    </row>
    <row r="2358">
      <c r="A2358" s="3" t="n"/>
      <c r="B2358" s="3" t="n"/>
      <c r="C2358" s="3" t="n"/>
      <c r="D2358" s="3" t="n"/>
      <c r="E2358" s="4">
        <f>IF(A2358="","",COUNTIFS($A$4:A2358,A2358,$I$4:I2358,"&lt;&gt;Штраф -2",$I$4:I2358,"&lt;&gt;ушел на базу"))</f>
        <v/>
      </c>
      <c r="F2358" s="4">
        <f>IF(E2358="","",IF(E2358&lt;=3,6,IF(E2358&lt;=6,5,IF(E2358&lt;=9,4,IF(E2358&lt;=12,3,IF(E2358&lt;=15,2,0))))))</f>
        <v/>
      </c>
      <c r="G2358" s="3" t="n"/>
      <c r="H2358" s="4">
        <f>IF(I2358="Штраф -2",-2,IF(OR(F2358="",G2358=""),"",F2358*G2358+IF(J2358="",0,J2358)))</f>
        <v/>
      </c>
      <c r="I2358" s="3" t="n"/>
      <c r="J2358" s="3" t="n"/>
      <c r="K2358" s="3" t="n"/>
    </row>
    <row r="2359">
      <c r="A2359" s="3" t="n"/>
      <c r="B2359" s="3" t="n"/>
      <c r="C2359" s="3" t="n"/>
      <c r="D2359" s="3" t="n"/>
      <c r="E2359" s="4">
        <f>IF(A2359="","",COUNTIFS($A$4:A2359,A2359,$I$4:I2359,"&lt;&gt;Штраф -2",$I$4:I2359,"&lt;&gt;ушел на базу"))</f>
        <v/>
      </c>
      <c r="F2359" s="4">
        <f>IF(E2359="","",IF(E2359&lt;=3,6,IF(E2359&lt;=6,5,IF(E2359&lt;=9,4,IF(E2359&lt;=12,3,IF(E2359&lt;=15,2,0))))))</f>
        <v/>
      </c>
      <c r="G2359" s="3" t="n"/>
      <c r="H2359" s="4">
        <f>IF(I2359="Штраф -2",-2,IF(OR(F2359="",G2359=""),"",F2359*G2359+IF(J2359="",0,J2359)))</f>
        <v/>
      </c>
      <c r="I2359" s="3" t="n"/>
      <c r="J2359" s="3" t="n"/>
      <c r="K2359" s="3" t="n"/>
    </row>
    <row r="2360">
      <c r="A2360" s="3" t="n"/>
      <c r="B2360" s="3" t="n"/>
      <c r="C2360" s="3" t="n"/>
      <c r="D2360" s="3" t="n"/>
      <c r="E2360" s="4">
        <f>IF(A2360="","",COUNTIFS($A$4:A2360,A2360,$I$4:I2360,"&lt;&gt;Штраф -2",$I$4:I2360,"&lt;&gt;ушел на базу"))</f>
        <v/>
      </c>
      <c r="F2360" s="4">
        <f>IF(E2360="","",IF(E2360&lt;=3,6,IF(E2360&lt;=6,5,IF(E2360&lt;=9,4,IF(E2360&lt;=12,3,IF(E2360&lt;=15,2,0))))))</f>
        <v/>
      </c>
      <c r="G2360" s="3" t="n"/>
      <c r="H2360" s="4">
        <f>IF(I2360="Штраф -2",-2,IF(OR(F2360="",G2360=""),"",F2360*G2360+IF(J2360="",0,J2360)))</f>
        <v/>
      </c>
      <c r="I2360" s="3" t="n"/>
      <c r="J2360" s="3" t="n"/>
      <c r="K2360" s="3" t="n"/>
    </row>
    <row r="2361">
      <c r="A2361" s="3" t="n"/>
      <c r="B2361" s="3" t="n"/>
      <c r="C2361" s="3" t="n"/>
      <c r="D2361" s="3" t="n"/>
      <c r="E2361" s="4">
        <f>IF(A2361="","",COUNTIFS($A$4:A2361,A2361,$I$4:I2361,"&lt;&gt;Штраф -2",$I$4:I2361,"&lt;&gt;ушел на базу"))</f>
        <v/>
      </c>
      <c r="F2361" s="4">
        <f>IF(E2361="","",IF(E2361&lt;=3,6,IF(E2361&lt;=6,5,IF(E2361&lt;=9,4,IF(E2361&lt;=12,3,IF(E2361&lt;=15,2,0))))))</f>
        <v/>
      </c>
      <c r="G2361" s="3" t="n"/>
      <c r="H2361" s="4">
        <f>IF(I2361="Штраф -2",-2,IF(OR(F2361="",G2361=""),"",F2361*G2361+IF(J2361="",0,J2361)))</f>
        <v/>
      </c>
      <c r="I2361" s="3" t="n"/>
      <c r="J2361" s="3" t="n"/>
      <c r="K2361" s="3" t="n"/>
    </row>
    <row r="2362">
      <c r="A2362" s="3" t="n"/>
      <c r="B2362" s="3" t="n"/>
      <c r="C2362" s="3" t="n"/>
      <c r="D2362" s="3" t="n"/>
      <c r="E2362" s="4">
        <f>IF(A2362="","",COUNTIFS($A$4:A2362,A2362,$I$4:I2362,"&lt;&gt;Штраф -2",$I$4:I2362,"&lt;&gt;ушел на базу"))</f>
        <v/>
      </c>
      <c r="F2362" s="4">
        <f>IF(E2362="","",IF(E2362&lt;=3,6,IF(E2362&lt;=6,5,IF(E2362&lt;=9,4,IF(E2362&lt;=12,3,IF(E2362&lt;=15,2,0))))))</f>
        <v/>
      </c>
      <c r="G2362" s="3" t="n"/>
      <c r="H2362" s="4">
        <f>IF(I2362="Штраф -2",-2,IF(OR(F2362="",G2362=""),"",F2362*G2362+IF(J2362="",0,J2362)))</f>
        <v/>
      </c>
      <c r="I2362" s="3" t="n"/>
      <c r="J2362" s="3" t="n"/>
      <c r="K2362" s="3" t="n"/>
    </row>
    <row r="2363">
      <c r="A2363" s="3" t="n"/>
      <c r="B2363" s="3" t="n"/>
      <c r="C2363" s="3" t="n"/>
      <c r="D2363" s="3" t="n"/>
      <c r="E2363" s="4">
        <f>IF(A2363="","",COUNTIFS($A$4:A2363,A2363,$I$4:I2363,"&lt;&gt;Штраф -2",$I$4:I2363,"&lt;&gt;ушел на базу"))</f>
        <v/>
      </c>
      <c r="F2363" s="4">
        <f>IF(E2363="","",IF(E2363&lt;=3,6,IF(E2363&lt;=6,5,IF(E2363&lt;=9,4,IF(E2363&lt;=12,3,IF(E2363&lt;=15,2,0))))))</f>
        <v/>
      </c>
      <c r="G2363" s="3" t="n"/>
      <c r="H2363" s="4">
        <f>IF(I2363="Штраф -2",-2,IF(OR(F2363="",G2363=""),"",F2363*G2363+IF(J2363="",0,J2363)))</f>
        <v/>
      </c>
      <c r="I2363" s="3" t="n"/>
      <c r="J2363" s="3" t="n"/>
      <c r="K2363" s="3" t="n"/>
    </row>
    <row r="2364">
      <c r="A2364" s="3" t="n"/>
      <c r="B2364" s="3" t="n"/>
      <c r="C2364" s="3" t="n"/>
      <c r="D2364" s="3" t="n"/>
      <c r="E2364" s="4">
        <f>IF(A2364="","",COUNTIFS($A$4:A2364,A2364,$I$4:I2364,"&lt;&gt;Штраф -2",$I$4:I2364,"&lt;&gt;ушел на базу"))</f>
        <v/>
      </c>
      <c r="F2364" s="4">
        <f>IF(E2364="","",IF(E2364&lt;=3,6,IF(E2364&lt;=6,5,IF(E2364&lt;=9,4,IF(E2364&lt;=12,3,IF(E2364&lt;=15,2,0))))))</f>
        <v/>
      </c>
      <c r="G2364" s="3" t="n"/>
      <c r="H2364" s="4">
        <f>IF(I2364="Штраф -2",-2,IF(OR(F2364="",G2364=""),"",F2364*G2364+IF(J2364="",0,J2364)))</f>
        <v/>
      </c>
      <c r="I2364" s="3" t="n"/>
      <c r="J2364" s="3" t="n"/>
      <c r="K2364" s="3" t="n"/>
    </row>
    <row r="2365">
      <c r="A2365" s="3" t="n"/>
      <c r="B2365" s="3" t="n"/>
      <c r="C2365" s="3" t="n"/>
      <c r="D2365" s="3" t="n"/>
      <c r="E2365" s="4">
        <f>IF(A2365="","",COUNTIFS($A$4:A2365,A2365,$I$4:I2365,"&lt;&gt;Штраф -2",$I$4:I2365,"&lt;&gt;ушел на базу"))</f>
        <v/>
      </c>
      <c r="F2365" s="4">
        <f>IF(E2365="","",IF(E2365&lt;=3,6,IF(E2365&lt;=6,5,IF(E2365&lt;=9,4,IF(E2365&lt;=12,3,IF(E2365&lt;=15,2,0))))))</f>
        <v/>
      </c>
      <c r="G2365" s="3" t="n"/>
      <c r="H2365" s="4">
        <f>IF(I2365="Штраф -2",-2,IF(OR(F2365="",G2365=""),"",F2365*G2365+IF(J2365="",0,J2365)))</f>
        <v/>
      </c>
      <c r="I2365" s="3" t="n"/>
      <c r="J2365" s="3" t="n"/>
      <c r="K2365" s="3" t="n"/>
    </row>
    <row r="2366">
      <c r="A2366" s="3" t="n"/>
      <c r="B2366" s="3" t="n"/>
      <c r="C2366" s="3" t="n"/>
      <c r="D2366" s="3" t="n"/>
      <c r="E2366" s="4">
        <f>IF(A2366="","",COUNTIFS($A$4:A2366,A2366,$I$4:I2366,"&lt;&gt;Штраф -2",$I$4:I2366,"&lt;&gt;ушел на базу"))</f>
        <v/>
      </c>
      <c r="F2366" s="4">
        <f>IF(E2366="","",IF(E2366&lt;=3,6,IF(E2366&lt;=6,5,IF(E2366&lt;=9,4,IF(E2366&lt;=12,3,IF(E2366&lt;=15,2,0))))))</f>
        <v/>
      </c>
      <c r="G2366" s="3" t="n"/>
      <c r="H2366" s="4">
        <f>IF(I2366="Штраф -2",-2,IF(OR(F2366="",G2366=""),"",F2366*G2366+IF(J2366="",0,J2366)))</f>
        <v/>
      </c>
      <c r="I2366" s="3" t="n"/>
      <c r="J2366" s="3" t="n"/>
      <c r="K2366" s="3" t="n"/>
    </row>
    <row r="2367">
      <c r="A2367" s="3" t="n"/>
      <c r="B2367" s="3" t="n"/>
      <c r="C2367" s="3" t="n"/>
      <c r="D2367" s="3" t="n"/>
      <c r="E2367" s="4">
        <f>IF(A2367="","",COUNTIFS($A$4:A2367,A2367,$I$4:I2367,"&lt;&gt;Штраф -2",$I$4:I2367,"&lt;&gt;ушел на базу"))</f>
        <v/>
      </c>
      <c r="F2367" s="4">
        <f>IF(E2367="","",IF(E2367&lt;=3,6,IF(E2367&lt;=6,5,IF(E2367&lt;=9,4,IF(E2367&lt;=12,3,IF(E2367&lt;=15,2,0))))))</f>
        <v/>
      </c>
      <c r="G2367" s="3" t="n"/>
      <c r="H2367" s="4">
        <f>IF(I2367="Штраф -2",-2,IF(OR(F2367="",G2367=""),"",F2367*G2367+IF(J2367="",0,J2367)))</f>
        <v/>
      </c>
      <c r="I2367" s="3" t="n"/>
      <c r="J2367" s="3" t="n"/>
      <c r="K2367" s="3" t="n"/>
    </row>
    <row r="2368">
      <c r="A2368" s="3" t="n"/>
      <c r="B2368" s="3" t="n"/>
      <c r="C2368" s="3" t="n"/>
      <c r="D2368" s="3" t="n"/>
      <c r="E2368" s="4">
        <f>IF(A2368="","",COUNTIFS($A$4:A2368,A2368,$I$4:I2368,"&lt;&gt;Штраф -2",$I$4:I2368,"&lt;&gt;ушел на базу"))</f>
        <v/>
      </c>
      <c r="F2368" s="4">
        <f>IF(E2368="","",IF(E2368&lt;=3,6,IF(E2368&lt;=6,5,IF(E2368&lt;=9,4,IF(E2368&lt;=12,3,IF(E2368&lt;=15,2,0))))))</f>
        <v/>
      </c>
      <c r="G2368" s="3" t="n"/>
      <c r="H2368" s="4">
        <f>IF(I2368="Штраф -2",-2,IF(OR(F2368="",G2368=""),"",F2368*G2368+IF(J2368="",0,J2368)))</f>
        <v/>
      </c>
      <c r="I2368" s="3" t="n"/>
      <c r="J2368" s="3" t="n"/>
      <c r="K2368" s="3" t="n"/>
    </row>
    <row r="2369">
      <c r="A2369" s="3" t="n"/>
      <c r="B2369" s="3" t="n"/>
      <c r="C2369" s="3" t="n"/>
      <c r="D2369" s="3" t="n"/>
      <c r="E2369" s="4">
        <f>IF(A2369="","",COUNTIFS($A$4:A2369,A2369,$I$4:I2369,"&lt;&gt;Штраф -2",$I$4:I2369,"&lt;&gt;ушел на базу"))</f>
        <v/>
      </c>
      <c r="F2369" s="4">
        <f>IF(E2369="","",IF(E2369&lt;=3,6,IF(E2369&lt;=6,5,IF(E2369&lt;=9,4,IF(E2369&lt;=12,3,IF(E2369&lt;=15,2,0))))))</f>
        <v/>
      </c>
      <c r="G2369" s="3" t="n"/>
      <c r="H2369" s="4">
        <f>IF(I2369="Штраф -2",-2,IF(OR(F2369="",G2369=""),"",F2369*G2369+IF(J2369="",0,J2369)))</f>
        <v/>
      </c>
      <c r="I2369" s="3" t="n"/>
      <c r="J2369" s="3" t="n"/>
      <c r="K2369" s="3" t="n"/>
    </row>
    <row r="2370">
      <c r="A2370" s="3" t="n"/>
      <c r="B2370" s="3" t="n"/>
      <c r="C2370" s="3" t="n"/>
      <c r="D2370" s="3" t="n"/>
      <c r="E2370" s="4">
        <f>IF(A2370="","",COUNTIFS($A$4:A2370,A2370,$I$4:I2370,"&lt;&gt;Штраф -2",$I$4:I2370,"&lt;&gt;ушел на базу"))</f>
        <v/>
      </c>
      <c r="F2370" s="4">
        <f>IF(E2370="","",IF(E2370&lt;=3,6,IF(E2370&lt;=6,5,IF(E2370&lt;=9,4,IF(E2370&lt;=12,3,IF(E2370&lt;=15,2,0))))))</f>
        <v/>
      </c>
      <c r="G2370" s="3" t="n"/>
      <c r="H2370" s="4">
        <f>IF(I2370="Штраф -2",-2,IF(OR(F2370="",G2370=""),"",F2370*G2370+IF(J2370="",0,J2370)))</f>
        <v/>
      </c>
      <c r="I2370" s="3" t="n"/>
      <c r="J2370" s="3" t="n"/>
      <c r="K2370" s="3" t="n"/>
    </row>
    <row r="2371">
      <c r="A2371" s="3" t="n"/>
      <c r="B2371" s="3" t="n"/>
      <c r="C2371" s="3" t="n"/>
      <c r="D2371" s="3" t="n"/>
      <c r="E2371" s="4">
        <f>IF(A2371="","",COUNTIFS($A$4:A2371,A2371,$I$4:I2371,"&lt;&gt;Штраф -2",$I$4:I2371,"&lt;&gt;ушел на базу"))</f>
        <v/>
      </c>
      <c r="F2371" s="4">
        <f>IF(E2371="","",IF(E2371&lt;=3,6,IF(E2371&lt;=6,5,IF(E2371&lt;=9,4,IF(E2371&lt;=12,3,IF(E2371&lt;=15,2,0))))))</f>
        <v/>
      </c>
      <c r="G2371" s="3" t="n"/>
      <c r="H2371" s="4">
        <f>IF(I2371="Штраф -2",-2,IF(OR(F2371="",G2371=""),"",F2371*G2371+IF(J2371="",0,J2371)))</f>
        <v/>
      </c>
      <c r="I2371" s="3" t="n"/>
      <c r="J2371" s="3" t="n"/>
      <c r="K2371" s="3" t="n"/>
    </row>
    <row r="2372">
      <c r="A2372" s="3" t="n"/>
      <c r="B2372" s="3" t="n"/>
      <c r="C2372" s="3" t="n"/>
      <c r="D2372" s="3" t="n"/>
      <c r="E2372" s="4">
        <f>IF(A2372="","",COUNTIFS($A$4:A2372,A2372,$I$4:I2372,"&lt;&gt;Штраф -2",$I$4:I2372,"&lt;&gt;ушел на базу"))</f>
        <v/>
      </c>
      <c r="F2372" s="4">
        <f>IF(E2372="","",IF(E2372&lt;=3,6,IF(E2372&lt;=6,5,IF(E2372&lt;=9,4,IF(E2372&lt;=12,3,IF(E2372&lt;=15,2,0))))))</f>
        <v/>
      </c>
      <c r="G2372" s="3" t="n"/>
      <c r="H2372" s="4">
        <f>IF(I2372="Штраф -2",-2,IF(OR(F2372="",G2372=""),"",F2372*G2372+IF(J2372="",0,J2372)))</f>
        <v/>
      </c>
      <c r="I2372" s="3" t="n"/>
      <c r="J2372" s="3" t="n"/>
      <c r="K2372" s="3" t="n"/>
    </row>
    <row r="2373">
      <c r="A2373" s="3" t="n"/>
      <c r="B2373" s="3" t="n"/>
      <c r="C2373" s="3" t="n"/>
      <c r="D2373" s="3" t="n"/>
      <c r="E2373" s="4">
        <f>IF(A2373="","",COUNTIFS($A$4:A2373,A2373,$I$4:I2373,"&lt;&gt;Штраф -2",$I$4:I2373,"&lt;&gt;ушел на базу"))</f>
        <v/>
      </c>
      <c r="F2373" s="4">
        <f>IF(E2373="","",IF(E2373&lt;=3,6,IF(E2373&lt;=6,5,IF(E2373&lt;=9,4,IF(E2373&lt;=12,3,IF(E2373&lt;=15,2,0))))))</f>
        <v/>
      </c>
      <c r="G2373" s="3" t="n"/>
      <c r="H2373" s="4">
        <f>IF(I2373="Штраф -2",-2,IF(OR(F2373="",G2373=""),"",F2373*G2373+IF(J2373="",0,J2373)))</f>
        <v/>
      </c>
      <c r="I2373" s="3" t="n"/>
      <c r="J2373" s="3" t="n"/>
      <c r="K2373" s="3" t="n"/>
    </row>
    <row r="2374">
      <c r="A2374" s="3" t="n"/>
      <c r="B2374" s="3" t="n"/>
      <c r="C2374" s="3" t="n"/>
      <c r="D2374" s="3" t="n"/>
      <c r="E2374" s="4">
        <f>IF(A2374="","",COUNTIFS($A$4:A2374,A2374,$I$4:I2374,"&lt;&gt;Штраф -2",$I$4:I2374,"&lt;&gt;ушел на базу"))</f>
        <v/>
      </c>
      <c r="F2374" s="4">
        <f>IF(E2374="","",IF(E2374&lt;=3,6,IF(E2374&lt;=6,5,IF(E2374&lt;=9,4,IF(E2374&lt;=12,3,IF(E2374&lt;=15,2,0))))))</f>
        <v/>
      </c>
      <c r="G2374" s="3" t="n"/>
      <c r="H2374" s="4">
        <f>IF(I2374="Штраф -2",-2,IF(OR(F2374="",G2374=""),"",F2374*G2374+IF(J2374="",0,J2374)))</f>
        <v/>
      </c>
      <c r="I2374" s="3" t="n"/>
      <c r="J2374" s="3" t="n"/>
      <c r="K2374" s="3" t="n"/>
    </row>
    <row r="2375">
      <c r="A2375" s="3" t="n"/>
      <c r="B2375" s="3" t="n"/>
      <c r="C2375" s="3" t="n"/>
      <c r="D2375" s="3" t="n"/>
      <c r="E2375" s="4">
        <f>IF(A2375="","",COUNTIFS($A$4:A2375,A2375,$I$4:I2375,"&lt;&gt;Штраф -2",$I$4:I2375,"&lt;&gt;ушел на базу"))</f>
        <v/>
      </c>
      <c r="F2375" s="4">
        <f>IF(E2375="","",IF(E2375&lt;=3,6,IF(E2375&lt;=6,5,IF(E2375&lt;=9,4,IF(E2375&lt;=12,3,IF(E2375&lt;=15,2,0))))))</f>
        <v/>
      </c>
      <c r="G2375" s="3" t="n"/>
      <c r="H2375" s="4">
        <f>IF(I2375="Штраф -2",-2,IF(OR(F2375="",G2375=""),"",F2375*G2375+IF(J2375="",0,J2375)))</f>
        <v/>
      </c>
      <c r="I2375" s="3" t="n"/>
      <c r="J2375" s="3" t="n"/>
      <c r="K2375" s="3" t="n"/>
    </row>
    <row r="2376">
      <c r="A2376" s="3" t="n"/>
      <c r="B2376" s="3" t="n"/>
      <c r="C2376" s="3" t="n"/>
      <c r="D2376" s="3" t="n"/>
      <c r="E2376" s="4">
        <f>IF(A2376="","",COUNTIFS($A$4:A2376,A2376,$I$4:I2376,"&lt;&gt;Штраф -2",$I$4:I2376,"&lt;&gt;ушел на базу"))</f>
        <v/>
      </c>
      <c r="F2376" s="4">
        <f>IF(E2376="","",IF(E2376&lt;=3,6,IF(E2376&lt;=6,5,IF(E2376&lt;=9,4,IF(E2376&lt;=12,3,IF(E2376&lt;=15,2,0))))))</f>
        <v/>
      </c>
      <c r="G2376" s="3" t="n"/>
      <c r="H2376" s="4">
        <f>IF(I2376="Штраф -2",-2,IF(OR(F2376="",G2376=""),"",F2376*G2376+IF(J2376="",0,J2376)))</f>
        <v/>
      </c>
      <c r="I2376" s="3" t="n"/>
      <c r="J2376" s="3" t="n"/>
      <c r="K2376" s="3" t="n"/>
    </row>
    <row r="2377">
      <c r="A2377" s="3" t="n"/>
      <c r="B2377" s="3" t="n"/>
      <c r="C2377" s="3" t="n"/>
      <c r="D2377" s="3" t="n"/>
      <c r="E2377" s="4">
        <f>IF(A2377="","",COUNTIFS($A$4:A2377,A2377,$I$4:I2377,"&lt;&gt;Штраф -2",$I$4:I2377,"&lt;&gt;ушел на базу"))</f>
        <v/>
      </c>
      <c r="F2377" s="4">
        <f>IF(E2377="","",IF(E2377&lt;=3,6,IF(E2377&lt;=6,5,IF(E2377&lt;=9,4,IF(E2377&lt;=12,3,IF(E2377&lt;=15,2,0))))))</f>
        <v/>
      </c>
      <c r="G2377" s="3" t="n"/>
      <c r="H2377" s="4">
        <f>IF(I2377="Штраф -2",-2,IF(OR(F2377="",G2377=""),"",F2377*G2377+IF(J2377="",0,J2377)))</f>
        <v/>
      </c>
      <c r="I2377" s="3" t="n"/>
      <c r="J2377" s="3" t="n"/>
      <c r="K2377" s="3" t="n"/>
    </row>
    <row r="2378">
      <c r="A2378" s="3" t="n"/>
      <c r="B2378" s="3" t="n"/>
      <c r="C2378" s="3" t="n"/>
      <c r="D2378" s="3" t="n"/>
      <c r="E2378" s="4">
        <f>IF(A2378="","",COUNTIFS($A$4:A2378,A2378,$I$4:I2378,"&lt;&gt;Штраф -2",$I$4:I2378,"&lt;&gt;ушел на базу"))</f>
        <v/>
      </c>
      <c r="F2378" s="4">
        <f>IF(E2378="","",IF(E2378&lt;=3,6,IF(E2378&lt;=6,5,IF(E2378&lt;=9,4,IF(E2378&lt;=12,3,IF(E2378&lt;=15,2,0))))))</f>
        <v/>
      </c>
      <c r="G2378" s="3" t="n"/>
      <c r="H2378" s="4">
        <f>IF(I2378="Штраф -2",-2,IF(OR(F2378="",G2378=""),"",F2378*G2378+IF(J2378="",0,J2378)))</f>
        <v/>
      </c>
      <c r="I2378" s="3" t="n"/>
      <c r="J2378" s="3" t="n"/>
      <c r="K2378" s="3" t="n"/>
    </row>
    <row r="2379">
      <c r="A2379" s="3" t="n"/>
      <c r="B2379" s="3" t="n"/>
      <c r="C2379" s="3" t="n"/>
      <c r="D2379" s="3" t="n"/>
      <c r="E2379" s="4">
        <f>IF(A2379="","",COUNTIFS($A$4:A2379,A2379,$I$4:I2379,"&lt;&gt;Штраф -2",$I$4:I2379,"&lt;&gt;ушел на базу"))</f>
        <v/>
      </c>
      <c r="F2379" s="4">
        <f>IF(E2379="","",IF(E2379&lt;=3,6,IF(E2379&lt;=6,5,IF(E2379&lt;=9,4,IF(E2379&lt;=12,3,IF(E2379&lt;=15,2,0))))))</f>
        <v/>
      </c>
      <c r="G2379" s="3" t="n"/>
      <c r="H2379" s="4">
        <f>IF(I2379="Штраф -2",-2,IF(OR(F2379="",G2379=""),"",F2379*G2379+IF(J2379="",0,J2379)))</f>
        <v/>
      </c>
      <c r="I2379" s="3" t="n"/>
      <c r="J2379" s="3" t="n"/>
      <c r="K2379" s="3" t="n"/>
    </row>
    <row r="2380">
      <c r="A2380" s="3" t="n"/>
      <c r="B2380" s="3" t="n"/>
      <c r="C2380" s="3" t="n"/>
      <c r="D2380" s="3" t="n"/>
      <c r="E2380" s="4">
        <f>IF(A2380="","",COUNTIFS($A$4:A2380,A2380,$I$4:I2380,"&lt;&gt;Штраф -2",$I$4:I2380,"&lt;&gt;ушел на базу"))</f>
        <v/>
      </c>
      <c r="F2380" s="4">
        <f>IF(E2380="","",IF(E2380&lt;=3,6,IF(E2380&lt;=6,5,IF(E2380&lt;=9,4,IF(E2380&lt;=12,3,IF(E2380&lt;=15,2,0))))))</f>
        <v/>
      </c>
      <c r="G2380" s="3" t="n"/>
      <c r="H2380" s="4">
        <f>IF(I2380="Штраф -2",-2,IF(OR(F2380="",G2380=""),"",F2380*G2380+IF(J2380="",0,J2380)))</f>
        <v/>
      </c>
      <c r="I2380" s="3" t="n"/>
      <c r="J2380" s="3" t="n"/>
      <c r="K2380" s="3" t="n"/>
    </row>
    <row r="2381">
      <c r="A2381" s="3" t="n"/>
      <c r="B2381" s="3" t="n"/>
      <c r="C2381" s="3" t="n"/>
      <c r="D2381" s="3" t="n"/>
      <c r="E2381" s="4">
        <f>IF(A2381="","",COUNTIFS($A$4:A2381,A2381,$I$4:I2381,"&lt;&gt;Штраф -2",$I$4:I2381,"&lt;&gt;ушел на базу"))</f>
        <v/>
      </c>
      <c r="F2381" s="4">
        <f>IF(E2381="","",IF(E2381&lt;=3,6,IF(E2381&lt;=6,5,IF(E2381&lt;=9,4,IF(E2381&lt;=12,3,IF(E2381&lt;=15,2,0))))))</f>
        <v/>
      </c>
      <c r="G2381" s="3" t="n"/>
      <c r="H2381" s="4">
        <f>IF(I2381="Штраф -2",-2,IF(OR(F2381="",G2381=""),"",F2381*G2381+IF(J2381="",0,J2381)))</f>
        <v/>
      </c>
      <c r="I2381" s="3" t="n"/>
      <c r="J2381" s="3" t="n"/>
      <c r="K2381" s="3" t="n"/>
    </row>
    <row r="2382">
      <c r="A2382" s="3" t="n"/>
      <c r="B2382" s="3" t="n"/>
      <c r="C2382" s="3" t="n"/>
      <c r="D2382" s="3" t="n"/>
      <c r="E2382" s="4">
        <f>IF(A2382="","",COUNTIFS($A$4:A2382,A2382,$I$4:I2382,"&lt;&gt;Штраф -2",$I$4:I2382,"&lt;&gt;ушел на базу"))</f>
        <v/>
      </c>
      <c r="F2382" s="4">
        <f>IF(E2382="","",IF(E2382&lt;=3,6,IF(E2382&lt;=6,5,IF(E2382&lt;=9,4,IF(E2382&lt;=12,3,IF(E2382&lt;=15,2,0))))))</f>
        <v/>
      </c>
      <c r="G2382" s="3" t="n"/>
      <c r="H2382" s="4">
        <f>IF(I2382="Штраф -2",-2,IF(OR(F2382="",G2382=""),"",F2382*G2382+IF(J2382="",0,J2382)))</f>
        <v/>
      </c>
      <c r="I2382" s="3" t="n"/>
      <c r="J2382" s="3" t="n"/>
      <c r="K2382" s="3" t="n"/>
    </row>
    <row r="2383">
      <c r="A2383" s="3" t="n"/>
      <c r="B2383" s="3" t="n"/>
      <c r="C2383" s="3" t="n"/>
      <c r="D2383" s="3" t="n"/>
      <c r="E2383" s="4">
        <f>IF(A2383="","",COUNTIFS($A$4:A2383,A2383,$I$4:I2383,"&lt;&gt;Штраф -2",$I$4:I2383,"&lt;&gt;ушел на базу"))</f>
        <v/>
      </c>
      <c r="F2383" s="4">
        <f>IF(E2383="","",IF(E2383&lt;=3,6,IF(E2383&lt;=6,5,IF(E2383&lt;=9,4,IF(E2383&lt;=12,3,IF(E2383&lt;=15,2,0))))))</f>
        <v/>
      </c>
      <c r="G2383" s="3" t="n"/>
      <c r="H2383" s="4">
        <f>IF(I2383="Штраф -2",-2,IF(OR(F2383="",G2383=""),"",F2383*G2383+IF(J2383="",0,J2383)))</f>
        <v/>
      </c>
      <c r="I2383" s="3" t="n"/>
      <c r="J2383" s="3" t="n"/>
      <c r="K2383" s="3" t="n"/>
    </row>
    <row r="2384">
      <c r="A2384" s="3" t="n"/>
      <c r="B2384" s="3" t="n"/>
      <c r="C2384" s="3" t="n"/>
      <c r="D2384" s="3" t="n"/>
      <c r="E2384" s="4">
        <f>IF(A2384="","",COUNTIFS($A$4:A2384,A2384,$I$4:I2384,"&lt;&gt;Штраф -2",$I$4:I2384,"&lt;&gt;ушел на базу"))</f>
        <v/>
      </c>
      <c r="F2384" s="4">
        <f>IF(E2384="","",IF(E2384&lt;=3,6,IF(E2384&lt;=6,5,IF(E2384&lt;=9,4,IF(E2384&lt;=12,3,IF(E2384&lt;=15,2,0))))))</f>
        <v/>
      </c>
      <c r="G2384" s="3" t="n"/>
      <c r="H2384" s="4">
        <f>IF(I2384="Штраф -2",-2,IF(OR(F2384="",G2384=""),"",F2384*G2384+IF(J2384="",0,J2384)))</f>
        <v/>
      </c>
      <c r="I2384" s="3" t="n"/>
      <c r="J2384" s="3" t="n"/>
      <c r="K2384" s="3" t="n"/>
    </row>
    <row r="2385">
      <c r="A2385" s="3" t="n"/>
      <c r="B2385" s="3" t="n"/>
      <c r="C2385" s="3" t="n"/>
      <c r="D2385" s="3" t="n"/>
      <c r="E2385" s="4">
        <f>IF(A2385="","",COUNTIFS($A$4:A2385,A2385,$I$4:I2385,"&lt;&gt;Штраф -2",$I$4:I2385,"&lt;&gt;ушел на базу"))</f>
        <v/>
      </c>
      <c r="F2385" s="4">
        <f>IF(E2385="","",IF(E2385&lt;=3,6,IF(E2385&lt;=6,5,IF(E2385&lt;=9,4,IF(E2385&lt;=12,3,IF(E2385&lt;=15,2,0))))))</f>
        <v/>
      </c>
      <c r="G2385" s="3" t="n"/>
      <c r="H2385" s="4">
        <f>IF(I2385="Штраф -2",-2,IF(OR(F2385="",G2385=""),"",F2385*G2385+IF(J2385="",0,J2385)))</f>
        <v/>
      </c>
      <c r="I2385" s="3" t="n"/>
      <c r="J2385" s="3" t="n"/>
      <c r="K2385" s="3" t="n"/>
    </row>
    <row r="2386">
      <c r="A2386" s="3" t="n"/>
      <c r="B2386" s="3" t="n"/>
      <c r="C2386" s="3" t="n"/>
      <c r="D2386" s="3" t="n"/>
      <c r="E2386" s="4">
        <f>IF(A2386="","",COUNTIFS($A$4:A2386,A2386,$I$4:I2386,"&lt;&gt;Штраф -2",$I$4:I2386,"&lt;&gt;ушел на базу"))</f>
        <v/>
      </c>
      <c r="F2386" s="4">
        <f>IF(E2386="","",IF(E2386&lt;=3,6,IF(E2386&lt;=6,5,IF(E2386&lt;=9,4,IF(E2386&lt;=12,3,IF(E2386&lt;=15,2,0))))))</f>
        <v/>
      </c>
      <c r="G2386" s="3" t="n"/>
      <c r="H2386" s="4">
        <f>IF(I2386="Штраф -2",-2,IF(OR(F2386="",G2386=""),"",F2386*G2386+IF(J2386="",0,J2386)))</f>
        <v/>
      </c>
      <c r="I2386" s="3" t="n"/>
      <c r="J2386" s="3" t="n"/>
      <c r="K2386" s="3" t="n"/>
    </row>
    <row r="2387">
      <c r="A2387" s="3" t="n"/>
      <c r="B2387" s="3" t="n"/>
      <c r="C2387" s="3" t="n"/>
      <c r="D2387" s="3" t="n"/>
      <c r="E2387" s="4">
        <f>IF(A2387="","",COUNTIFS($A$4:A2387,A2387,$I$4:I2387,"&lt;&gt;Штраф -2",$I$4:I2387,"&lt;&gt;ушел на базу"))</f>
        <v/>
      </c>
      <c r="F2387" s="4">
        <f>IF(E2387="","",IF(E2387&lt;=3,6,IF(E2387&lt;=6,5,IF(E2387&lt;=9,4,IF(E2387&lt;=12,3,IF(E2387&lt;=15,2,0))))))</f>
        <v/>
      </c>
      <c r="G2387" s="3" t="n"/>
      <c r="H2387" s="4">
        <f>IF(I2387="Штраф -2",-2,IF(OR(F2387="",G2387=""),"",F2387*G2387+IF(J2387="",0,J2387)))</f>
        <v/>
      </c>
      <c r="I2387" s="3" t="n"/>
      <c r="J2387" s="3" t="n"/>
      <c r="K2387" s="3" t="n"/>
    </row>
    <row r="2388">
      <c r="A2388" s="3" t="n"/>
      <c r="B2388" s="3" t="n"/>
      <c r="C2388" s="3" t="n"/>
      <c r="D2388" s="3" t="n"/>
      <c r="E2388" s="4">
        <f>IF(A2388="","",COUNTIFS($A$4:A2388,A2388,$I$4:I2388,"&lt;&gt;Штраф -2",$I$4:I2388,"&lt;&gt;ушел на базу"))</f>
        <v/>
      </c>
      <c r="F2388" s="4">
        <f>IF(E2388="","",IF(E2388&lt;=3,6,IF(E2388&lt;=6,5,IF(E2388&lt;=9,4,IF(E2388&lt;=12,3,IF(E2388&lt;=15,2,0))))))</f>
        <v/>
      </c>
      <c r="G2388" s="3" t="n"/>
      <c r="H2388" s="4">
        <f>IF(I2388="Штраф -2",-2,IF(OR(F2388="",G2388=""),"",F2388*G2388+IF(J2388="",0,J2388)))</f>
        <v/>
      </c>
      <c r="I2388" s="3" t="n"/>
      <c r="J2388" s="3" t="n"/>
      <c r="K2388" s="3" t="n"/>
    </row>
    <row r="2389">
      <c r="A2389" s="3" t="n"/>
      <c r="B2389" s="3" t="n"/>
      <c r="C2389" s="3" t="n"/>
      <c r="D2389" s="3" t="n"/>
      <c r="E2389" s="4">
        <f>IF(A2389="","",COUNTIFS($A$4:A2389,A2389,$I$4:I2389,"&lt;&gt;Штраф -2",$I$4:I2389,"&lt;&gt;ушел на базу"))</f>
        <v/>
      </c>
      <c r="F2389" s="4">
        <f>IF(E2389="","",IF(E2389&lt;=3,6,IF(E2389&lt;=6,5,IF(E2389&lt;=9,4,IF(E2389&lt;=12,3,IF(E2389&lt;=15,2,0))))))</f>
        <v/>
      </c>
      <c r="G2389" s="3" t="n"/>
      <c r="H2389" s="4">
        <f>IF(I2389="Штраф -2",-2,IF(OR(F2389="",G2389=""),"",F2389*G2389+IF(J2389="",0,J2389)))</f>
        <v/>
      </c>
      <c r="I2389" s="3" t="n"/>
      <c r="J2389" s="3" t="n"/>
      <c r="K2389" s="3" t="n"/>
    </row>
    <row r="2390">
      <c r="A2390" s="3" t="n"/>
      <c r="B2390" s="3" t="n"/>
      <c r="C2390" s="3" t="n"/>
      <c r="D2390" s="3" t="n"/>
      <c r="E2390" s="4">
        <f>IF(A2390="","",COUNTIFS($A$4:A2390,A2390,$I$4:I2390,"&lt;&gt;Штраф -2",$I$4:I2390,"&lt;&gt;ушел на базу"))</f>
        <v/>
      </c>
      <c r="F2390" s="4">
        <f>IF(E2390="","",IF(E2390&lt;=3,6,IF(E2390&lt;=6,5,IF(E2390&lt;=9,4,IF(E2390&lt;=12,3,IF(E2390&lt;=15,2,0))))))</f>
        <v/>
      </c>
      <c r="G2390" s="3" t="n"/>
      <c r="H2390" s="4">
        <f>IF(I2390="Штраф -2",-2,IF(OR(F2390="",G2390=""),"",F2390*G2390+IF(J2390="",0,J2390)))</f>
        <v/>
      </c>
      <c r="I2390" s="3" t="n"/>
      <c r="J2390" s="3" t="n"/>
      <c r="K2390" s="3" t="n"/>
    </row>
    <row r="2391">
      <c r="A2391" s="3" t="n"/>
      <c r="B2391" s="3" t="n"/>
      <c r="C2391" s="3" t="n"/>
      <c r="D2391" s="3" t="n"/>
      <c r="E2391" s="4">
        <f>IF(A2391="","",COUNTIFS($A$4:A2391,A2391,$I$4:I2391,"&lt;&gt;Штраф -2",$I$4:I2391,"&lt;&gt;ушел на базу"))</f>
        <v/>
      </c>
      <c r="F2391" s="4">
        <f>IF(E2391="","",IF(E2391&lt;=3,6,IF(E2391&lt;=6,5,IF(E2391&lt;=9,4,IF(E2391&lt;=12,3,IF(E2391&lt;=15,2,0))))))</f>
        <v/>
      </c>
      <c r="G2391" s="3" t="n"/>
      <c r="H2391" s="4">
        <f>IF(I2391="Штраф -2",-2,IF(OR(F2391="",G2391=""),"",F2391*G2391+IF(J2391="",0,J2391)))</f>
        <v/>
      </c>
      <c r="I2391" s="3" t="n"/>
      <c r="J2391" s="3" t="n"/>
      <c r="K2391" s="3" t="n"/>
    </row>
    <row r="2392">
      <c r="A2392" s="3" t="n"/>
      <c r="B2392" s="3" t="n"/>
      <c r="C2392" s="3" t="n"/>
      <c r="D2392" s="3" t="n"/>
      <c r="E2392" s="4">
        <f>IF(A2392="","",COUNTIFS($A$4:A2392,A2392,$I$4:I2392,"&lt;&gt;Штраф -2",$I$4:I2392,"&lt;&gt;ушел на базу"))</f>
        <v/>
      </c>
      <c r="F2392" s="4">
        <f>IF(E2392="","",IF(E2392&lt;=3,6,IF(E2392&lt;=6,5,IF(E2392&lt;=9,4,IF(E2392&lt;=12,3,IF(E2392&lt;=15,2,0))))))</f>
        <v/>
      </c>
      <c r="G2392" s="3" t="n"/>
      <c r="H2392" s="4">
        <f>IF(I2392="Штраф -2",-2,IF(OR(F2392="",G2392=""),"",F2392*G2392+IF(J2392="",0,J2392)))</f>
        <v/>
      </c>
      <c r="I2392" s="3" t="n"/>
      <c r="J2392" s="3" t="n"/>
      <c r="K2392" s="3" t="n"/>
    </row>
    <row r="2393">
      <c r="A2393" s="3" t="n"/>
      <c r="B2393" s="3" t="n"/>
      <c r="C2393" s="3" t="n"/>
      <c r="D2393" s="3" t="n"/>
      <c r="E2393" s="4">
        <f>IF(A2393="","",COUNTIFS($A$4:A2393,A2393,$I$4:I2393,"&lt;&gt;Штраф -2",$I$4:I2393,"&lt;&gt;ушел на базу"))</f>
        <v/>
      </c>
      <c r="F2393" s="4">
        <f>IF(E2393="","",IF(E2393&lt;=3,6,IF(E2393&lt;=6,5,IF(E2393&lt;=9,4,IF(E2393&lt;=12,3,IF(E2393&lt;=15,2,0))))))</f>
        <v/>
      </c>
      <c r="G2393" s="3" t="n"/>
      <c r="H2393" s="4">
        <f>IF(I2393="Штраф -2",-2,IF(OR(F2393="",G2393=""),"",F2393*G2393+IF(J2393="",0,J2393)))</f>
        <v/>
      </c>
      <c r="I2393" s="3" t="n"/>
      <c r="J2393" s="3" t="n"/>
      <c r="K2393" s="3" t="n"/>
    </row>
    <row r="2394">
      <c r="A2394" s="3" t="n"/>
      <c r="B2394" s="3" t="n"/>
      <c r="C2394" s="3" t="n"/>
      <c r="D2394" s="3" t="n"/>
      <c r="E2394" s="4">
        <f>IF(A2394="","",COUNTIFS($A$4:A2394,A2394,$I$4:I2394,"&lt;&gt;Штраф -2",$I$4:I2394,"&lt;&gt;ушел на базу"))</f>
        <v/>
      </c>
      <c r="F2394" s="4">
        <f>IF(E2394="","",IF(E2394&lt;=3,6,IF(E2394&lt;=6,5,IF(E2394&lt;=9,4,IF(E2394&lt;=12,3,IF(E2394&lt;=15,2,0))))))</f>
        <v/>
      </c>
      <c r="G2394" s="3" t="n"/>
      <c r="H2394" s="4">
        <f>IF(I2394="Штраф -2",-2,IF(OR(F2394="",G2394=""),"",F2394*G2394+IF(J2394="",0,J2394)))</f>
        <v/>
      </c>
      <c r="I2394" s="3" t="n"/>
      <c r="J2394" s="3" t="n"/>
      <c r="K2394" s="3" t="n"/>
    </row>
    <row r="2395">
      <c r="A2395" s="3" t="n"/>
      <c r="B2395" s="3" t="n"/>
      <c r="C2395" s="3" t="n"/>
      <c r="D2395" s="3" t="n"/>
      <c r="E2395" s="4">
        <f>IF(A2395="","",COUNTIFS($A$4:A2395,A2395,$I$4:I2395,"&lt;&gt;Штраф -2",$I$4:I2395,"&lt;&gt;ушел на базу"))</f>
        <v/>
      </c>
      <c r="F2395" s="4">
        <f>IF(E2395="","",IF(E2395&lt;=3,6,IF(E2395&lt;=6,5,IF(E2395&lt;=9,4,IF(E2395&lt;=12,3,IF(E2395&lt;=15,2,0))))))</f>
        <v/>
      </c>
      <c r="G2395" s="3" t="n"/>
      <c r="H2395" s="4">
        <f>IF(I2395="Штраф -2",-2,IF(OR(F2395="",G2395=""),"",F2395*G2395+IF(J2395="",0,J2395)))</f>
        <v/>
      </c>
      <c r="I2395" s="3" t="n"/>
      <c r="J2395" s="3" t="n"/>
      <c r="K2395" s="3" t="n"/>
    </row>
    <row r="2396">
      <c r="A2396" s="3" t="n"/>
      <c r="B2396" s="3" t="n"/>
      <c r="C2396" s="3" t="n"/>
      <c r="D2396" s="3" t="n"/>
      <c r="E2396" s="4">
        <f>IF(A2396="","",COUNTIFS($A$4:A2396,A2396,$I$4:I2396,"&lt;&gt;Штраф -2",$I$4:I2396,"&lt;&gt;ушел на базу"))</f>
        <v/>
      </c>
      <c r="F2396" s="4">
        <f>IF(E2396="","",IF(E2396&lt;=3,6,IF(E2396&lt;=6,5,IF(E2396&lt;=9,4,IF(E2396&lt;=12,3,IF(E2396&lt;=15,2,0))))))</f>
        <v/>
      </c>
      <c r="G2396" s="3" t="n"/>
      <c r="H2396" s="4">
        <f>IF(I2396="Штраф -2",-2,IF(OR(F2396="",G2396=""),"",F2396*G2396+IF(J2396="",0,J2396)))</f>
        <v/>
      </c>
      <c r="I2396" s="3" t="n"/>
      <c r="J2396" s="3" t="n"/>
      <c r="K2396" s="3" t="n"/>
    </row>
    <row r="2397">
      <c r="A2397" s="3" t="n"/>
      <c r="B2397" s="3" t="n"/>
      <c r="C2397" s="3" t="n"/>
      <c r="D2397" s="3" t="n"/>
      <c r="E2397" s="4">
        <f>IF(A2397="","",COUNTIFS($A$4:A2397,A2397,$I$4:I2397,"&lt;&gt;Штраф -2",$I$4:I2397,"&lt;&gt;ушел на базу"))</f>
        <v/>
      </c>
      <c r="F2397" s="4">
        <f>IF(E2397="","",IF(E2397&lt;=3,6,IF(E2397&lt;=6,5,IF(E2397&lt;=9,4,IF(E2397&lt;=12,3,IF(E2397&lt;=15,2,0))))))</f>
        <v/>
      </c>
      <c r="G2397" s="3" t="n"/>
      <c r="H2397" s="4">
        <f>IF(I2397="Штраф -2",-2,IF(OR(F2397="",G2397=""),"",F2397*G2397+IF(J2397="",0,J2397)))</f>
        <v/>
      </c>
      <c r="I2397" s="3" t="n"/>
      <c r="J2397" s="3" t="n"/>
      <c r="K2397" s="3" t="n"/>
    </row>
    <row r="2398">
      <c r="A2398" s="3" t="n"/>
      <c r="B2398" s="3" t="n"/>
      <c r="C2398" s="3" t="n"/>
      <c r="D2398" s="3" t="n"/>
      <c r="E2398" s="4">
        <f>IF(A2398="","",COUNTIFS($A$4:A2398,A2398,$I$4:I2398,"&lt;&gt;Штраф -2",$I$4:I2398,"&lt;&gt;ушел на базу"))</f>
        <v/>
      </c>
      <c r="F2398" s="4">
        <f>IF(E2398="","",IF(E2398&lt;=3,6,IF(E2398&lt;=6,5,IF(E2398&lt;=9,4,IF(E2398&lt;=12,3,IF(E2398&lt;=15,2,0))))))</f>
        <v/>
      </c>
      <c r="G2398" s="3" t="n"/>
      <c r="H2398" s="4">
        <f>IF(I2398="Штраф -2",-2,IF(OR(F2398="",G2398=""),"",F2398*G2398+IF(J2398="",0,J2398)))</f>
        <v/>
      </c>
      <c r="I2398" s="3" t="n"/>
      <c r="J2398" s="3" t="n"/>
      <c r="K2398" s="3" t="n"/>
    </row>
    <row r="2399">
      <c r="A2399" s="3" t="n"/>
      <c r="B2399" s="3" t="n"/>
      <c r="C2399" s="3" t="n"/>
      <c r="D2399" s="3" t="n"/>
      <c r="E2399" s="4">
        <f>IF(A2399="","",COUNTIFS($A$4:A2399,A2399,$I$4:I2399,"&lt;&gt;Штраф -2",$I$4:I2399,"&lt;&gt;ушел на базу"))</f>
        <v/>
      </c>
      <c r="F2399" s="4">
        <f>IF(E2399="","",IF(E2399&lt;=3,6,IF(E2399&lt;=6,5,IF(E2399&lt;=9,4,IF(E2399&lt;=12,3,IF(E2399&lt;=15,2,0))))))</f>
        <v/>
      </c>
      <c r="G2399" s="3" t="n"/>
      <c r="H2399" s="4">
        <f>IF(I2399="Штраф -2",-2,IF(OR(F2399="",G2399=""),"",F2399*G2399+IF(J2399="",0,J2399)))</f>
        <v/>
      </c>
      <c r="I2399" s="3" t="n"/>
      <c r="J2399" s="3" t="n"/>
      <c r="K2399" s="3" t="n"/>
    </row>
    <row r="2400">
      <c r="A2400" s="3" t="n"/>
      <c r="B2400" s="3" t="n"/>
      <c r="C2400" s="3" t="n"/>
      <c r="D2400" s="3" t="n"/>
      <c r="E2400" s="4">
        <f>IF(A2400="","",COUNTIFS($A$4:A2400,A2400,$I$4:I2400,"&lt;&gt;Штраф -2",$I$4:I2400,"&lt;&gt;ушел на базу"))</f>
        <v/>
      </c>
      <c r="F2400" s="4">
        <f>IF(E2400="","",IF(E2400&lt;=3,6,IF(E2400&lt;=6,5,IF(E2400&lt;=9,4,IF(E2400&lt;=12,3,IF(E2400&lt;=15,2,0))))))</f>
        <v/>
      </c>
      <c r="G2400" s="3" t="n"/>
      <c r="H2400" s="4">
        <f>IF(I2400="Штраф -2",-2,IF(OR(F2400="",G2400=""),"",F2400*G2400+IF(J2400="",0,J2400)))</f>
        <v/>
      </c>
      <c r="I2400" s="3" t="n"/>
      <c r="J2400" s="3" t="n"/>
      <c r="K2400" s="3" t="n"/>
    </row>
    <row r="2401">
      <c r="A2401" s="3" t="n"/>
      <c r="B2401" s="3" t="n"/>
      <c r="C2401" s="3" t="n"/>
      <c r="D2401" s="3" t="n"/>
      <c r="E2401" s="4">
        <f>IF(A2401="","",COUNTIFS($A$4:A2401,A2401,$I$4:I2401,"&lt;&gt;Штраф -2",$I$4:I2401,"&lt;&gt;ушел на базу"))</f>
        <v/>
      </c>
      <c r="F2401" s="4">
        <f>IF(E2401="","",IF(E2401&lt;=3,6,IF(E2401&lt;=6,5,IF(E2401&lt;=9,4,IF(E2401&lt;=12,3,IF(E2401&lt;=15,2,0))))))</f>
        <v/>
      </c>
      <c r="G2401" s="3" t="n"/>
      <c r="H2401" s="4">
        <f>IF(I2401="Штраф -2",-2,IF(OR(F2401="",G2401=""),"",F2401*G2401+IF(J2401="",0,J2401)))</f>
        <v/>
      </c>
      <c r="I2401" s="3" t="n"/>
      <c r="J2401" s="3" t="n"/>
      <c r="K2401" s="3" t="n"/>
    </row>
    <row r="2402">
      <c r="A2402" s="3" t="n"/>
      <c r="B2402" s="3" t="n"/>
      <c r="C2402" s="3" t="n"/>
      <c r="D2402" s="3" t="n"/>
      <c r="E2402" s="4">
        <f>IF(A2402="","",COUNTIFS($A$4:A2402,A2402,$I$4:I2402,"&lt;&gt;Штраф -2",$I$4:I2402,"&lt;&gt;ушел на базу"))</f>
        <v/>
      </c>
      <c r="F2402" s="4">
        <f>IF(E2402="","",IF(E2402&lt;=3,6,IF(E2402&lt;=6,5,IF(E2402&lt;=9,4,IF(E2402&lt;=12,3,IF(E2402&lt;=15,2,0))))))</f>
        <v/>
      </c>
      <c r="G2402" s="3" t="n"/>
      <c r="H2402" s="4">
        <f>IF(I2402="Штраф -2",-2,IF(OR(F2402="",G2402=""),"",F2402*G2402+IF(J2402="",0,J2402)))</f>
        <v/>
      </c>
      <c r="I2402" s="3" t="n"/>
      <c r="J2402" s="3" t="n"/>
      <c r="K2402" s="3" t="n"/>
    </row>
    <row r="2403">
      <c r="A2403" s="3" t="n"/>
      <c r="B2403" s="3" t="n"/>
      <c r="C2403" s="3" t="n"/>
      <c r="D2403" s="3" t="n"/>
      <c r="E2403" s="4">
        <f>IF(A2403="","",COUNTIFS($A$4:A2403,A2403,$I$4:I2403,"&lt;&gt;Штраф -2",$I$4:I2403,"&lt;&gt;ушел на базу"))</f>
        <v/>
      </c>
      <c r="F2403" s="4">
        <f>IF(E2403="","",IF(E2403&lt;=3,6,IF(E2403&lt;=6,5,IF(E2403&lt;=9,4,IF(E2403&lt;=12,3,IF(E2403&lt;=15,2,0))))))</f>
        <v/>
      </c>
      <c r="G2403" s="3" t="n"/>
      <c r="H2403" s="4">
        <f>IF(I2403="Штраф -2",-2,IF(OR(F2403="",G2403=""),"",F2403*G2403+IF(J2403="",0,J2403)))</f>
        <v/>
      </c>
      <c r="I2403" s="3" t="n"/>
      <c r="J2403" s="3" t="n"/>
      <c r="K2403" s="3" t="n"/>
    </row>
    <row r="2404">
      <c r="A2404" s="3" t="n"/>
      <c r="B2404" s="3" t="n"/>
      <c r="C2404" s="3" t="n"/>
      <c r="D2404" s="3" t="n"/>
      <c r="E2404" s="4">
        <f>IF(A2404="","",COUNTIFS($A$4:A2404,A2404,$I$4:I2404,"&lt;&gt;Штраф -2",$I$4:I2404,"&lt;&gt;ушел на базу"))</f>
        <v/>
      </c>
      <c r="F2404" s="4">
        <f>IF(E2404="","",IF(E2404&lt;=3,6,IF(E2404&lt;=6,5,IF(E2404&lt;=9,4,IF(E2404&lt;=12,3,IF(E2404&lt;=15,2,0))))))</f>
        <v/>
      </c>
      <c r="G2404" s="3" t="n"/>
      <c r="H2404" s="4">
        <f>IF(I2404="Штраф -2",-2,IF(OR(F2404="",G2404=""),"",F2404*G2404+IF(J2404="",0,J2404)))</f>
        <v/>
      </c>
      <c r="I2404" s="3" t="n"/>
      <c r="J2404" s="3" t="n"/>
      <c r="K2404" s="3" t="n"/>
    </row>
    <row r="2405">
      <c r="A2405" s="3" t="n"/>
      <c r="B2405" s="3" t="n"/>
      <c r="C2405" s="3" t="n"/>
      <c r="D2405" s="3" t="n"/>
      <c r="E2405" s="4">
        <f>IF(A2405="","",COUNTIFS($A$4:A2405,A2405,$I$4:I2405,"&lt;&gt;Штраф -2",$I$4:I2405,"&lt;&gt;ушел на базу"))</f>
        <v/>
      </c>
      <c r="F2405" s="4">
        <f>IF(E2405="","",IF(E2405&lt;=3,6,IF(E2405&lt;=6,5,IF(E2405&lt;=9,4,IF(E2405&lt;=12,3,IF(E2405&lt;=15,2,0))))))</f>
        <v/>
      </c>
      <c r="G2405" s="3" t="n"/>
      <c r="H2405" s="4">
        <f>IF(I2405="Штраф -2",-2,IF(OR(F2405="",G2405=""),"",F2405*G2405+IF(J2405="",0,J2405)))</f>
        <v/>
      </c>
      <c r="I2405" s="3" t="n"/>
      <c r="J2405" s="3" t="n"/>
      <c r="K2405" s="3" t="n"/>
    </row>
    <row r="2406">
      <c r="A2406" s="3" t="n"/>
      <c r="B2406" s="3" t="n"/>
      <c r="C2406" s="3" t="n"/>
      <c r="D2406" s="3" t="n"/>
      <c r="E2406" s="4">
        <f>IF(A2406="","",COUNTIFS($A$4:A2406,A2406,$I$4:I2406,"&lt;&gt;Штраф -2",$I$4:I2406,"&lt;&gt;ушел на базу"))</f>
        <v/>
      </c>
      <c r="F2406" s="4">
        <f>IF(E2406="","",IF(E2406&lt;=3,6,IF(E2406&lt;=6,5,IF(E2406&lt;=9,4,IF(E2406&lt;=12,3,IF(E2406&lt;=15,2,0))))))</f>
        <v/>
      </c>
      <c r="G2406" s="3" t="n"/>
      <c r="H2406" s="4">
        <f>IF(I2406="Штраф -2",-2,IF(OR(F2406="",G2406=""),"",F2406*G2406+IF(J2406="",0,J2406)))</f>
        <v/>
      </c>
      <c r="I2406" s="3" t="n"/>
      <c r="J2406" s="3" t="n"/>
      <c r="K2406" s="3" t="n"/>
    </row>
    <row r="2407">
      <c r="A2407" s="3" t="n"/>
      <c r="B2407" s="3" t="n"/>
      <c r="C2407" s="3" t="n"/>
      <c r="D2407" s="3" t="n"/>
      <c r="E2407" s="4">
        <f>IF(A2407="","",COUNTIFS($A$4:A2407,A2407,$I$4:I2407,"&lt;&gt;Штраф -2",$I$4:I2407,"&lt;&gt;ушел на базу"))</f>
        <v/>
      </c>
      <c r="F2407" s="4">
        <f>IF(E2407="","",IF(E2407&lt;=3,6,IF(E2407&lt;=6,5,IF(E2407&lt;=9,4,IF(E2407&lt;=12,3,IF(E2407&lt;=15,2,0))))))</f>
        <v/>
      </c>
      <c r="G2407" s="3" t="n"/>
      <c r="H2407" s="4">
        <f>IF(I2407="Штраф -2",-2,IF(OR(F2407="",G2407=""),"",F2407*G2407+IF(J2407="",0,J2407)))</f>
        <v/>
      </c>
      <c r="I2407" s="3" t="n"/>
      <c r="J2407" s="3" t="n"/>
      <c r="K2407" s="3" t="n"/>
    </row>
    <row r="2408">
      <c r="A2408" s="3" t="n"/>
      <c r="B2408" s="3" t="n"/>
      <c r="C2408" s="3" t="n"/>
      <c r="D2408" s="3" t="n"/>
      <c r="E2408" s="4">
        <f>IF(A2408="","",COUNTIFS($A$4:A2408,A2408,$I$4:I2408,"&lt;&gt;Штраф -2",$I$4:I2408,"&lt;&gt;ушел на базу"))</f>
        <v/>
      </c>
      <c r="F2408" s="4">
        <f>IF(E2408="","",IF(E2408&lt;=3,6,IF(E2408&lt;=6,5,IF(E2408&lt;=9,4,IF(E2408&lt;=12,3,IF(E2408&lt;=15,2,0))))))</f>
        <v/>
      </c>
      <c r="G2408" s="3" t="n"/>
      <c r="H2408" s="4">
        <f>IF(I2408="Штраф -2",-2,IF(OR(F2408="",G2408=""),"",F2408*G2408+IF(J2408="",0,J2408)))</f>
        <v/>
      </c>
      <c r="I2408" s="3" t="n"/>
      <c r="J2408" s="3" t="n"/>
      <c r="K2408" s="3" t="n"/>
    </row>
    <row r="2409">
      <c r="A2409" s="3" t="n"/>
      <c r="B2409" s="3" t="n"/>
      <c r="C2409" s="3" t="n"/>
      <c r="D2409" s="3" t="n"/>
      <c r="E2409" s="4">
        <f>IF(A2409="","",COUNTIFS($A$4:A2409,A2409,$I$4:I2409,"&lt;&gt;Штраф -2",$I$4:I2409,"&lt;&gt;ушел на базу"))</f>
        <v/>
      </c>
      <c r="F2409" s="4">
        <f>IF(E2409="","",IF(E2409&lt;=3,6,IF(E2409&lt;=6,5,IF(E2409&lt;=9,4,IF(E2409&lt;=12,3,IF(E2409&lt;=15,2,0))))))</f>
        <v/>
      </c>
      <c r="G2409" s="3" t="n"/>
      <c r="H2409" s="4">
        <f>IF(I2409="Штраф -2",-2,IF(OR(F2409="",G2409=""),"",F2409*G2409+IF(J2409="",0,J2409)))</f>
        <v/>
      </c>
      <c r="I2409" s="3" t="n"/>
      <c r="J2409" s="3" t="n"/>
      <c r="K2409" s="3" t="n"/>
    </row>
    <row r="2410">
      <c r="A2410" s="3" t="n"/>
      <c r="B2410" s="3" t="n"/>
      <c r="C2410" s="3" t="n"/>
      <c r="D2410" s="3" t="n"/>
      <c r="E2410" s="4">
        <f>IF(A2410="","",COUNTIFS($A$4:A2410,A2410,$I$4:I2410,"&lt;&gt;Штраф -2",$I$4:I2410,"&lt;&gt;ушел на базу"))</f>
        <v/>
      </c>
      <c r="F2410" s="4">
        <f>IF(E2410="","",IF(E2410&lt;=3,6,IF(E2410&lt;=6,5,IF(E2410&lt;=9,4,IF(E2410&lt;=12,3,IF(E2410&lt;=15,2,0))))))</f>
        <v/>
      </c>
      <c r="G2410" s="3" t="n"/>
      <c r="H2410" s="4">
        <f>IF(I2410="Штраф -2",-2,IF(OR(F2410="",G2410=""),"",F2410*G2410+IF(J2410="",0,J2410)))</f>
        <v/>
      </c>
      <c r="I2410" s="3" t="n"/>
      <c r="J2410" s="3" t="n"/>
      <c r="K2410" s="3" t="n"/>
    </row>
    <row r="2411">
      <c r="A2411" s="3" t="n"/>
      <c r="B2411" s="3" t="n"/>
      <c r="C2411" s="3" t="n"/>
      <c r="D2411" s="3" t="n"/>
      <c r="E2411" s="4">
        <f>IF(A2411="","",COUNTIFS($A$4:A2411,A2411,$I$4:I2411,"&lt;&gt;Штраф -2",$I$4:I2411,"&lt;&gt;ушел на базу"))</f>
        <v/>
      </c>
      <c r="F2411" s="4">
        <f>IF(E2411="","",IF(E2411&lt;=3,6,IF(E2411&lt;=6,5,IF(E2411&lt;=9,4,IF(E2411&lt;=12,3,IF(E2411&lt;=15,2,0))))))</f>
        <v/>
      </c>
      <c r="G2411" s="3" t="n"/>
      <c r="H2411" s="4">
        <f>IF(I2411="Штраф -2",-2,IF(OR(F2411="",G2411=""),"",F2411*G2411+IF(J2411="",0,J2411)))</f>
        <v/>
      </c>
      <c r="I2411" s="3" t="n"/>
      <c r="J2411" s="3" t="n"/>
      <c r="K2411" s="3" t="n"/>
    </row>
    <row r="2412">
      <c r="A2412" s="3" t="n"/>
      <c r="B2412" s="3" t="n"/>
      <c r="C2412" s="3" t="n"/>
      <c r="D2412" s="3" t="n"/>
      <c r="E2412" s="4">
        <f>IF(A2412="","",COUNTIFS($A$4:A2412,A2412,$I$4:I2412,"&lt;&gt;Штраф -2",$I$4:I2412,"&lt;&gt;ушел на базу"))</f>
        <v/>
      </c>
      <c r="F2412" s="4">
        <f>IF(E2412="","",IF(E2412&lt;=3,6,IF(E2412&lt;=6,5,IF(E2412&lt;=9,4,IF(E2412&lt;=12,3,IF(E2412&lt;=15,2,0))))))</f>
        <v/>
      </c>
      <c r="G2412" s="3" t="n"/>
      <c r="H2412" s="4">
        <f>IF(I2412="Штраф -2",-2,IF(OR(F2412="",G2412=""),"",F2412*G2412+IF(J2412="",0,J2412)))</f>
        <v/>
      </c>
      <c r="I2412" s="3" t="n"/>
      <c r="J2412" s="3" t="n"/>
      <c r="K2412" s="3" t="n"/>
    </row>
    <row r="2413">
      <c r="A2413" s="3" t="n"/>
      <c r="B2413" s="3" t="n"/>
      <c r="C2413" s="3" t="n"/>
      <c r="D2413" s="3" t="n"/>
      <c r="E2413" s="4">
        <f>IF(A2413="","",COUNTIFS($A$4:A2413,A2413,$I$4:I2413,"&lt;&gt;Штраф -2",$I$4:I2413,"&lt;&gt;ушел на базу"))</f>
        <v/>
      </c>
      <c r="F2413" s="4">
        <f>IF(E2413="","",IF(E2413&lt;=3,6,IF(E2413&lt;=6,5,IF(E2413&lt;=9,4,IF(E2413&lt;=12,3,IF(E2413&lt;=15,2,0))))))</f>
        <v/>
      </c>
      <c r="G2413" s="3" t="n"/>
      <c r="H2413" s="4">
        <f>IF(I2413="Штраф -2",-2,IF(OR(F2413="",G2413=""),"",F2413*G2413+IF(J2413="",0,J2413)))</f>
        <v/>
      </c>
      <c r="I2413" s="3" t="n"/>
      <c r="J2413" s="3" t="n"/>
      <c r="K2413" s="3" t="n"/>
    </row>
    <row r="2414">
      <c r="A2414" s="3" t="n"/>
      <c r="B2414" s="3" t="n"/>
      <c r="C2414" s="3" t="n"/>
      <c r="D2414" s="3" t="n"/>
      <c r="E2414" s="4">
        <f>IF(A2414="","",COUNTIFS($A$4:A2414,A2414,$I$4:I2414,"&lt;&gt;Штраф -2",$I$4:I2414,"&lt;&gt;ушел на базу"))</f>
        <v/>
      </c>
      <c r="F2414" s="4">
        <f>IF(E2414="","",IF(E2414&lt;=3,6,IF(E2414&lt;=6,5,IF(E2414&lt;=9,4,IF(E2414&lt;=12,3,IF(E2414&lt;=15,2,0))))))</f>
        <v/>
      </c>
      <c r="G2414" s="3" t="n"/>
      <c r="H2414" s="4">
        <f>IF(I2414="Штраф -2",-2,IF(OR(F2414="",G2414=""),"",F2414*G2414+IF(J2414="",0,J2414)))</f>
        <v/>
      </c>
      <c r="I2414" s="3" t="n"/>
      <c r="J2414" s="3" t="n"/>
      <c r="K2414" s="3" t="n"/>
    </row>
    <row r="2415">
      <c r="A2415" s="3" t="n"/>
      <c r="B2415" s="3" t="n"/>
      <c r="C2415" s="3" t="n"/>
      <c r="D2415" s="3" t="n"/>
      <c r="E2415" s="4">
        <f>IF(A2415="","",COUNTIFS($A$4:A2415,A2415,$I$4:I2415,"&lt;&gt;Штраф -2",$I$4:I2415,"&lt;&gt;ушел на базу"))</f>
        <v/>
      </c>
      <c r="F2415" s="4">
        <f>IF(E2415="","",IF(E2415&lt;=3,6,IF(E2415&lt;=6,5,IF(E2415&lt;=9,4,IF(E2415&lt;=12,3,IF(E2415&lt;=15,2,0))))))</f>
        <v/>
      </c>
      <c r="G2415" s="3" t="n"/>
      <c r="H2415" s="4">
        <f>IF(I2415="Штраф -2",-2,IF(OR(F2415="",G2415=""),"",F2415*G2415+IF(J2415="",0,J2415)))</f>
        <v/>
      </c>
      <c r="I2415" s="3" t="n"/>
      <c r="J2415" s="3" t="n"/>
      <c r="K2415" s="3" t="n"/>
    </row>
    <row r="2416">
      <c r="A2416" s="3" t="n"/>
      <c r="B2416" s="3" t="n"/>
      <c r="C2416" s="3" t="n"/>
      <c r="D2416" s="3" t="n"/>
      <c r="E2416" s="4">
        <f>IF(A2416="","",COUNTIFS($A$4:A2416,A2416,$I$4:I2416,"&lt;&gt;Штраф -2",$I$4:I2416,"&lt;&gt;ушел на базу"))</f>
        <v/>
      </c>
      <c r="F2416" s="4">
        <f>IF(E2416="","",IF(E2416&lt;=3,6,IF(E2416&lt;=6,5,IF(E2416&lt;=9,4,IF(E2416&lt;=12,3,IF(E2416&lt;=15,2,0))))))</f>
        <v/>
      </c>
      <c r="G2416" s="3" t="n"/>
      <c r="H2416" s="4">
        <f>IF(I2416="Штраф -2",-2,IF(OR(F2416="",G2416=""),"",F2416*G2416+IF(J2416="",0,J2416)))</f>
        <v/>
      </c>
      <c r="I2416" s="3" t="n"/>
      <c r="J2416" s="3" t="n"/>
      <c r="K2416" s="3" t="n"/>
    </row>
    <row r="2417">
      <c r="A2417" s="3" t="n"/>
      <c r="B2417" s="3" t="n"/>
      <c r="C2417" s="3" t="n"/>
      <c r="D2417" s="3" t="n"/>
      <c r="E2417" s="4">
        <f>IF(A2417="","",COUNTIFS($A$4:A2417,A2417,$I$4:I2417,"&lt;&gt;Штраф -2",$I$4:I2417,"&lt;&gt;ушел на базу"))</f>
        <v/>
      </c>
      <c r="F2417" s="4">
        <f>IF(E2417="","",IF(E2417&lt;=3,6,IF(E2417&lt;=6,5,IF(E2417&lt;=9,4,IF(E2417&lt;=12,3,IF(E2417&lt;=15,2,0))))))</f>
        <v/>
      </c>
      <c r="G2417" s="3" t="n"/>
      <c r="H2417" s="4">
        <f>IF(I2417="Штраф -2",-2,IF(OR(F2417="",G2417=""),"",F2417*G2417+IF(J2417="",0,J2417)))</f>
        <v/>
      </c>
      <c r="I2417" s="3" t="n"/>
      <c r="J2417" s="3" t="n"/>
      <c r="K2417" s="3" t="n"/>
    </row>
    <row r="2418">
      <c r="A2418" s="3" t="n"/>
      <c r="B2418" s="3" t="n"/>
      <c r="C2418" s="3" t="n"/>
      <c r="D2418" s="3" t="n"/>
      <c r="E2418" s="4">
        <f>IF(A2418="","",COUNTIFS($A$4:A2418,A2418,$I$4:I2418,"&lt;&gt;Штраф -2",$I$4:I2418,"&lt;&gt;ушел на базу"))</f>
        <v/>
      </c>
      <c r="F2418" s="4">
        <f>IF(E2418="","",IF(E2418&lt;=3,6,IF(E2418&lt;=6,5,IF(E2418&lt;=9,4,IF(E2418&lt;=12,3,IF(E2418&lt;=15,2,0))))))</f>
        <v/>
      </c>
      <c r="G2418" s="3" t="n"/>
      <c r="H2418" s="4">
        <f>IF(I2418="Штраф -2",-2,IF(OR(F2418="",G2418=""),"",F2418*G2418+IF(J2418="",0,J2418)))</f>
        <v/>
      </c>
      <c r="I2418" s="3" t="n"/>
      <c r="J2418" s="3" t="n"/>
      <c r="K2418" s="3" t="n"/>
    </row>
    <row r="2419">
      <c r="A2419" s="3" t="n"/>
      <c r="B2419" s="3" t="n"/>
      <c r="C2419" s="3" t="n"/>
      <c r="D2419" s="3" t="n"/>
      <c r="E2419" s="4">
        <f>IF(A2419="","",COUNTIFS($A$4:A2419,A2419,$I$4:I2419,"&lt;&gt;Штраф -2",$I$4:I2419,"&lt;&gt;ушел на базу"))</f>
        <v/>
      </c>
      <c r="F2419" s="4">
        <f>IF(E2419="","",IF(E2419&lt;=3,6,IF(E2419&lt;=6,5,IF(E2419&lt;=9,4,IF(E2419&lt;=12,3,IF(E2419&lt;=15,2,0))))))</f>
        <v/>
      </c>
      <c r="G2419" s="3" t="n"/>
      <c r="H2419" s="4">
        <f>IF(I2419="Штраф -2",-2,IF(OR(F2419="",G2419=""),"",F2419*G2419+IF(J2419="",0,J2419)))</f>
        <v/>
      </c>
      <c r="I2419" s="3" t="n"/>
      <c r="J2419" s="3" t="n"/>
      <c r="K2419" s="3" t="n"/>
    </row>
    <row r="2420">
      <c r="A2420" s="3" t="n"/>
      <c r="B2420" s="3" t="n"/>
      <c r="C2420" s="3" t="n"/>
      <c r="D2420" s="3" t="n"/>
      <c r="E2420" s="4">
        <f>IF(A2420="","",COUNTIFS($A$4:A2420,A2420,$I$4:I2420,"&lt;&gt;Штраф -2",$I$4:I2420,"&lt;&gt;ушел на базу"))</f>
        <v/>
      </c>
      <c r="F2420" s="4">
        <f>IF(E2420="","",IF(E2420&lt;=3,6,IF(E2420&lt;=6,5,IF(E2420&lt;=9,4,IF(E2420&lt;=12,3,IF(E2420&lt;=15,2,0))))))</f>
        <v/>
      </c>
      <c r="G2420" s="3" t="n"/>
      <c r="H2420" s="4">
        <f>IF(I2420="Штраф -2",-2,IF(OR(F2420="",G2420=""),"",F2420*G2420+IF(J2420="",0,J2420)))</f>
        <v/>
      </c>
      <c r="I2420" s="3" t="n"/>
      <c r="J2420" s="3" t="n"/>
      <c r="K2420" s="3" t="n"/>
    </row>
    <row r="2421">
      <c r="A2421" s="3" t="n"/>
      <c r="B2421" s="3" t="n"/>
      <c r="C2421" s="3" t="n"/>
      <c r="D2421" s="3" t="n"/>
      <c r="E2421" s="4">
        <f>IF(A2421="","",COUNTIFS($A$4:A2421,A2421,$I$4:I2421,"&lt;&gt;Штраф -2",$I$4:I2421,"&lt;&gt;ушел на базу"))</f>
        <v/>
      </c>
      <c r="F2421" s="4">
        <f>IF(E2421="","",IF(E2421&lt;=3,6,IF(E2421&lt;=6,5,IF(E2421&lt;=9,4,IF(E2421&lt;=12,3,IF(E2421&lt;=15,2,0))))))</f>
        <v/>
      </c>
      <c r="G2421" s="3" t="n"/>
      <c r="H2421" s="4">
        <f>IF(I2421="Штраф -2",-2,IF(OR(F2421="",G2421=""),"",F2421*G2421+IF(J2421="",0,J2421)))</f>
        <v/>
      </c>
      <c r="I2421" s="3" t="n"/>
      <c r="J2421" s="3" t="n"/>
      <c r="K2421" s="3" t="n"/>
    </row>
    <row r="2422">
      <c r="A2422" s="3" t="n"/>
      <c r="B2422" s="3" t="n"/>
      <c r="C2422" s="3" t="n"/>
      <c r="D2422" s="3" t="n"/>
      <c r="E2422" s="4">
        <f>IF(A2422="","",COUNTIFS($A$4:A2422,A2422,$I$4:I2422,"&lt;&gt;Штраф -2",$I$4:I2422,"&lt;&gt;ушел на базу"))</f>
        <v/>
      </c>
      <c r="F2422" s="4">
        <f>IF(E2422="","",IF(E2422&lt;=3,6,IF(E2422&lt;=6,5,IF(E2422&lt;=9,4,IF(E2422&lt;=12,3,IF(E2422&lt;=15,2,0))))))</f>
        <v/>
      </c>
      <c r="G2422" s="3" t="n"/>
      <c r="H2422" s="4">
        <f>IF(I2422="Штраф -2",-2,IF(OR(F2422="",G2422=""),"",F2422*G2422+IF(J2422="",0,J2422)))</f>
        <v/>
      </c>
      <c r="I2422" s="3" t="n"/>
      <c r="J2422" s="3" t="n"/>
      <c r="K2422" s="3" t="n"/>
    </row>
    <row r="2423">
      <c r="A2423" s="3" t="n"/>
      <c r="B2423" s="3" t="n"/>
      <c r="C2423" s="3" t="n"/>
      <c r="D2423" s="3" t="n"/>
      <c r="E2423" s="4">
        <f>IF(A2423="","",COUNTIFS($A$4:A2423,A2423,$I$4:I2423,"&lt;&gt;Штраф -2",$I$4:I2423,"&lt;&gt;ушел на базу"))</f>
        <v/>
      </c>
      <c r="F2423" s="4">
        <f>IF(E2423="","",IF(E2423&lt;=3,6,IF(E2423&lt;=6,5,IF(E2423&lt;=9,4,IF(E2423&lt;=12,3,IF(E2423&lt;=15,2,0))))))</f>
        <v/>
      </c>
      <c r="G2423" s="3" t="n"/>
      <c r="H2423" s="4">
        <f>IF(I2423="Штраф -2",-2,IF(OR(F2423="",G2423=""),"",F2423*G2423+IF(J2423="",0,J2423)))</f>
        <v/>
      </c>
      <c r="I2423" s="3" t="n"/>
      <c r="J2423" s="3" t="n"/>
      <c r="K2423" s="3" t="n"/>
    </row>
    <row r="2424">
      <c r="A2424" s="3" t="n"/>
      <c r="B2424" s="3" t="n"/>
      <c r="C2424" s="3" t="n"/>
      <c r="D2424" s="3" t="n"/>
      <c r="E2424" s="4">
        <f>IF(A2424="","",COUNTIFS($A$4:A2424,A2424,$I$4:I2424,"&lt;&gt;Штраф -2",$I$4:I2424,"&lt;&gt;ушел на базу"))</f>
        <v/>
      </c>
      <c r="F2424" s="4">
        <f>IF(E2424="","",IF(E2424&lt;=3,6,IF(E2424&lt;=6,5,IF(E2424&lt;=9,4,IF(E2424&lt;=12,3,IF(E2424&lt;=15,2,0))))))</f>
        <v/>
      </c>
      <c r="G2424" s="3" t="n"/>
      <c r="H2424" s="4">
        <f>IF(I2424="Штраф -2",-2,IF(OR(F2424="",G2424=""),"",F2424*G2424+IF(J2424="",0,J2424)))</f>
        <v/>
      </c>
      <c r="I2424" s="3" t="n"/>
      <c r="J2424" s="3" t="n"/>
      <c r="K2424" s="3" t="n"/>
    </row>
    <row r="2425">
      <c r="A2425" s="3" t="n"/>
      <c r="B2425" s="3" t="n"/>
      <c r="C2425" s="3" t="n"/>
      <c r="D2425" s="3" t="n"/>
      <c r="E2425" s="4">
        <f>IF(A2425="","",COUNTIFS($A$4:A2425,A2425,$I$4:I2425,"&lt;&gt;Штраф -2",$I$4:I2425,"&lt;&gt;ушел на базу"))</f>
        <v/>
      </c>
      <c r="F2425" s="4">
        <f>IF(E2425="","",IF(E2425&lt;=3,6,IF(E2425&lt;=6,5,IF(E2425&lt;=9,4,IF(E2425&lt;=12,3,IF(E2425&lt;=15,2,0))))))</f>
        <v/>
      </c>
      <c r="G2425" s="3" t="n"/>
      <c r="H2425" s="4">
        <f>IF(I2425="Штраф -2",-2,IF(OR(F2425="",G2425=""),"",F2425*G2425+IF(J2425="",0,J2425)))</f>
        <v/>
      </c>
      <c r="I2425" s="3" t="n"/>
      <c r="J2425" s="3" t="n"/>
      <c r="K2425" s="3" t="n"/>
    </row>
    <row r="2426">
      <c r="A2426" s="3" t="n"/>
      <c r="B2426" s="3" t="n"/>
      <c r="C2426" s="3" t="n"/>
      <c r="D2426" s="3" t="n"/>
      <c r="E2426" s="4">
        <f>IF(A2426="","",COUNTIFS($A$4:A2426,A2426,$I$4:I2426,"&lt;&gt;Штраф -2",$I$4:I2426,"&lt;&gt;ушел на базу"))</f>
        <v/>
      </c>
      <c r="F2426" s="4">
        <f>IF(E2426="","",IF(E2426&lt;=3,6,IF(E2426&lt;=6,5,IF(E2426&lt;=9,4,IF(E2426&lt;=12,3,IF(E2426&lt;=15,2,0))))))</f>
        <v/>
      </c>
      <c r="G2426" s="3" t="n"/>
      <c r="H2426" s="4">
        <f>IF(I2426="Штраф -2",-2,IF(OR(F2426="",G2426=""),"",F2426*G2426+IF(J2426="",0,J2426)))</f>
        <v/>
      </c>
      <c r="I2426" s="3" t="n"/>
      <c r="J2426" s="3" t="n"/>
      <c r="K2426" s="3" t="n"/>
    </row>
    <row r="2427">
      <c r="A2427" s="3" t="n"/>
      <c r="B2427" s="3" t="n"/>
      <c r="C2427" s="3" t="n"/>
      <c r="D2427" s="3" t="n"/>
      <c r="E2427" s="4">
        <f>IF(A2427="","",COUNTIFS($A$4:A2427,A2427,$I$4:I2427,"&lt;&gt;Штраф -2",$I$4:I2427,"&lt;&gt;ушел на базу"))</f>
        <v/>
      </c>
      <c r="F2427" s="4">
        <f>IF(E2427="","",IF(E2427&lt;=3,6,IF(E2427&lt;=6,5,IF(E2427&lt;=9,4,IF(E2427&lt;=12,3,IF(E2427&lt;=15,2,0))))))</f>
        <v/>
      </c>
      <c r="G2427" s="3" t="n"/>
      <c r="H2427" s="4">
        <f>IF(I2427="Штраф -2",-2,IF(OR(F2427="",G2427=""),"",F2427*G2427+IF(J2427="",0,J2427)))</f>
        <v/>
      </c>
      <c r="I2427" s="3" t="n"/>
      <c r="J2427" s="3" t="n"/>
      <c r="K2427" s="3" t="n"/>
    </row>
    <row r="2428">
      <c r="A2428" s="3" t="n"/>
      <c r="B2428" s="3" t="n"/>
      <c r="C2428" s="3" t="n"/>
      <c r="D2428" s="3" t="n"/>
      <c r="E2428" s="4">
        <f>IF(A2428="","",COUNTIFS($A$4:A2428,A2428,$I$4:I2428,"&lt;&gt;Штраф -2",$I$4:I2428,"&lt;&gt;ушел на базу"))</f>
        <v/>
      </c>
      <c r="F2428" s="4">
        <f>IF(E2428="","",IF(E2428&lt;=3,6,IF(E2428&lt;=6,5,IF(E2428&lt;=9,4,IF(E2428&lt;=12,3,IF(E2428&lt;=15,2,0))))))</f>
        <v/>
      </c>
      <c r="G2428" s="3" t="n"/>
      <c r="H2428" s="4">
        <f>IF(I2428="Штраф -2",-2,IF(OR(F2428="",G2428=""),"",F2428*G2428+IF(J2428="",0,J2428)))</f>
        <v/>
      </c>
      <c r="I2428" s="3" t="n"/>
      <c r="J2428" s="3" t="n"/>
      <c r="K2428" s="3" t="n"/>
    </row>
    <row r="2429">
      <c r="A2429" s="3" t="n"/>
      <c r="B2429" s="3" t="n"/>
      <c r="C2429" s="3" t="n"/>
      <c r="D2429" s="3" t="n"/>
      <c r="E2429" s="4">
        <f>IF(A2429="","",COUNTIFS($A$4:A2429,A2429,$I$4:I2429,"&lt;&gt;Штраф -2",$I$4:I2429,"&lt;&gt;ушел на базу"))</f>
        <v/>
      </c>
      <c r="F2429" s="4">
        <f>IF(E2429="","",IF(E2429&lt;=3,6,IF(E2429&lt;=6,5,IF(E2429&lt;=9,4,IF(E2429&lt;=12,3,IF(E2429&lt;=15,2,0))))))</f>
        <v/>
      </c>
      <c r="G2429" s="3" t="n"/>
      <c r="H2429" s="4">
        <f>IF(I2429="Штраф -2",-2,IF(OR(F2429="",G2429=""),"",F2429*G2429+IF(J2429="",0,J2429)))</f>
        <v/>
      </c>
      <c r="I2429" s="3" t="n"/>
      <c r="J2429" s="3" t="n"/>
      <c r="K2429" s="3" t="n"/>
    </row>
    <row r="2430">
      <c r="A2430" s="3" t="n"/>
      <c r="B2430" s="3" t="n"/>
      <c r="C2430" s="3" t="n"/>
      <c r="D2430" s="3" t="n"/>
      <c r="E2430" s="4">
        <f>IF(A2430="","",COUNTIFS($A$4:A2430,A2430,$I$4:I2430,"&lt;&gt;Штраф -2",$I$4:I2430,"&lt;&gt;ушел на базу"))</f>
        <v/>
      </c>
      <c r="F2430" s="4">
        <f>IF(E2430="","",IF(E2430&lt;=3,6,IF(E2430&lt;=6,5,IF(E2430&lt;=9,4,IF(E2430&lt;=12,3,IF(E2430&lt;=15,2,0))))))</f>
        <v/>
      </c>
      <c r="G2430" s="3" t="n"/>
      <c r="H2430" s="4">
        <f>IF(I2430="Штраф -2",-2,IF(OR(F2430="",G2430=""),"",F2430*G2430+IF(J2430="",0,J2430)))</f>
        <v/>
      </c>
      <c r="I2430" s="3" t="n"/>
      <c r="J2430" s="3" t="n"/>
      <c r="K2430" s="3" t="n"/>
    </row>
    <row r="2431">
      <c r="A2431" s="3" t="n"/>
      <c r="B2431" s="3" t="n"/>
      <c r="C2431" s="3" t="n"/>
      <c r="D2431" s="3" t="n"/>
      <c r="E2431" s="4">
        <f>IF(A2431="","",COUNTIFS($A$4:A2431,A2431,$I$4:I2431,"&lt;&gt;Штраф -2",$I$4:I2431,"&lt;&gt;ушел на базу"))</f>
        <v/>
      </c>
      <c r="F2431" s="4">
        <f>IF(E2431="","",IF(E2431&lt;=3,6,IF(E2431&lt;=6,5,IF(E2431&lt;=9,4,IF(E2431&lt;=12,3,IF(E2431&lt;=15,2,0))))))</f>
        <v/>
      </c>
      <c r="G2431" s="3" t="n"/>
      <c r="H2431" s="4">
        <f>IF(I2431="Штраф -2",-2,IF(OR(F2431="",G2431=""),"",F2431*G2431+IF(J2431="",0,J2431)))</f>
        <v/>
      </c>
      <c r="I2431" s="3" t="n"/>
      <c r="J2431" s="3" t="n"/>
      <c r="K2431" s="3" t="n"/>
    </row>
    <row r="2432">
      <c r="A2432" s="3" t="n"/>
      <c r="B2432" s="3" t="n"/>
      <c r="C2432" s="3" t="n"/>
      <c r="D2432" s="3" t="n"/>
      <c r="E2432" s="4">
        <f>IF(A2432="","",COUNTIFS($A$4:A2432,A2432,$I$4:I2432,"&lt;&gt;Штраф -2",$I$4:I2432,"&lt;&gt;ушел на базу"))</f>
        <v/>
      </c>
      <c r="F2432" s="4">
        <f>IF(E2432="","",IF(E2432&lt;=3,6,IF(E2432&lt;=6,5,IF(E2432&lt;=9,4,IF(E2432&lt;=12,3,IF(E2432&lt;=15,2,0))))))</f>
        <v/>
      </c>
      <c r="G2432" s="3" t="n"/>
      <c r="H2432" s="4">
        <f>IF(I2432="Штраф -2",-2,IF(OR(F2432="",G2432=""),"",F2432*G2432+IF(J2432="",0,J2432)))</f>
        <v/>
      </c>
      <c r="I2432" s="3" t="n"/>
      <c r="J2432" s="3" t="n"/>
      <c r="K2432" s="3" t="n"/>
    </row>
    <row r="2433">
      <c r="A2433" s="3" t="n"/>
      <c r="B2433" s="3" t="n"/>
      <c r="C2433" s="3" t="n"/>
      <c r="D2433" s="3" t="n"/>
      <c r="E2433" s="4">
        <f>IF(A2433="","",COUNTIFS($A$4:A2433,A2433,$I$4:I2433,"&lt;&gt;Штраф -2",$I$4:I2433,"&lt;&gt;ушел на базу"))</f>
        <v/>
      </c>
      <c r="F2433" s="4">
        <f>IF(E2433="","",IF(E2433&lt;=3,6,IF(E2433&lt;=6,5,IF(E2433&lt;=9,4,IF(E2433&lt;=12,3,IF(E2433&lt;=15,2,0))))))</f>
        <v/>
      </c>
      <c r="G2433" s="3" t="n"/>
      <c r="H2433" s="4">
        <f>IF(I2433="Штраф -2",-2,IF(OR(F2433="",G2433=""),"",F2433*G2433+IF(J2433="",0,J2433)))</f>
        <v/>
      </c>
      <c r="I2433" s="3" t="n"/>
      <c r="J2433" s="3" t="n"/>
      <c r="K2433" s="3" t="n"/>
    </row>
    <row r="2434">
      <c r="A2434" s="3" t="n"/>
      <c r="B2434" s="3" t="n"/>
      <c r="C2434" s="3" t="n"/>
      <c r="D2434" s="3" t="n"/>
      <c r="E2434" s="4">
        <f>IF(A2434="","",COUNTIFS($A$4:A2434,A2434,$I$4:I2434,"&lt;&gt;Штраф -2",$I$4:I2434,"&lt;&gt;ушел на базу"))</f>
        <v/>
      </c>
      <c r="F2434" s="4">
        <f>IF(E2434="","",IF(E2434&lt;=3,6,IF(E2434&lt;=6,5,IF(E2434&lt;=9,4,IF(E2434&lt;=12,3,IF(E2434&lt;=15,2,0))))))</f>
        <v/>
      </c>
      <c r="G2434" s="3" t="n"/>
      <c r="H2434" s="4">
        <f>IF(I2434="Штраф -2",-2,IF(OR(F2434="",G2434=""),"",F2434*G2434+IF(J2434="",0,J2434)))</f>
        <v/>
      </c>
      <c r="I2434" s="3" t="n"/>
      <c r="J2434" s="3" t="n"/>
      <c r="K2434" s="3" t="n"/>
    </row>
    <row r="2435">
      <c r="A2435" s="3" t="n"/>
      <c r="B2435" s="3" t="n"/>
      <c r="C2435" s="3" t="n"/>
      <c r="D2435" s="3" t="n"/>
      <c r="E2435" s="4">
        <f>IF(A2435="","",COUNTIFS($A$4:A2435,A2435,$I$4:I2435,"&lt;&gt;Штраф -2",$I$4:I2435,"&lt;&gt;ушел на базу"))</f>
        <v/>
      </c>
      <c r="F2435" s="4">
        <f>IF(E2435="","",IF(E2435&lt;=3,6,IF(E2435&lt;=6,5,IF(E2435&lt;=9,4,IF(E2435&lt;=12,3,IF(E2435&lt;=15,2,0))))))</f>
        <v/>
      </c>
      <c r="G2435" s="3" t="n"/>
      <c r="H2435" s="4">
        <f>IF(I2435="Штраф -2",-2,IF(OR(F2435="",G2435=""),"",F2435*G2435+IF(J2435="",0,J2435)))</f>
        <v/>
      </c>
      <c r="I2435" s="3" t="n"/>
      <c r="J2435" s="3" t="n"/>
      <c r="K2435" s="3" t="n"/>
    </row>
    <row r="2436">
      <c r="A2436" s="3" t="n"/>
      <c r="B2436" s="3" t="n"/>
      <c r="C2436" s="3" t="n"/>
      <c r="D2436" s="3" t="n"/>
      <c r="E2436" s="4">
        <f>IF(A2436="","",COUNTIFS($A$4:A2436,A2436,$I$4:I2436,"&lt;&gt;Штраф -2",$I$4:I2436,"&lt;&gt;ушел на базу"))</f>
        <v/>
      </c>
      <c r="F2436" s="4">
        <f>IF(E2436="","",IF(E2436&lt;=3,6,IF(E2436&lt;=6,5,IF(E2436&lt;=9,4,IF(E2436&lt;=12,3,IF(E2436&lt;=15,2,0))))))</f>
        <v/>
      </c>
      <c r="G2436" s="3" t="n"/>
      <c r="H2436" s="4">
        <f>IF(I2436="Штраф -2",-2,IF(OR(F2436="",G2436=""),"",F2436*G2436+IF(J2436="",0,J2436)))</f>
        <v/>
      </c>
      <c r="I2436" s="3" t="n"/>
      <c r="J2436" s="3" t="n"/>
      <c r="K2436" s="3" t="n"/>
    </row>
    <row r="2437">
      <c r="A2437" s="3" t="n"/>
      <c r="B2437" s="3" t="n"/>
      <c r="C2437" s="3" t="n"/>
      <c r="D2437" s="3" t="n"/>
      <c r="E2437" s="4">
        <f>IF(A2437="","",COUNTIFS($A$4:A2437,A2437,$I$4:I2437,"&lt;&gt;Штраф -2",$I$4:I2437,"&lt;&gt;ушел на базу"))</f>
        <v/>
      </c>
      <c r="F2437" s="4">
        <f>IF(E2437="","",IF(E2437&lt;=3,6,IF(E2437&lt;=6,5,IF(E2437&lt;=9,4,IF(E2437&lt;=12,3,IF(E2437&lt;=15,2,0))))))</f>
        <v/>
      </c>
      <c r="G2437" s="3" t="n"/>
      <c r="H2437" s="4">
        <f>IF(I2437="Штраф -2",-2,IF(OR(F2437="",G2437=""),"",F2437*G2437+IF(J2437="",0,J2437)))</f>
        <v/>
      </c>
      <c r="I2437" s="3" t="n"/>
      <c r="J2437" s="3" t="n"/>
      <c r="K2437" s="3" t="n"/>
    </row>
    <row r="2438">
      <c r="A2438" s="3" t="n"/>
      <c r="B2438" s="3" t="n"/>
      <c r="C2438" s="3" t="n"/>
      <c r="D2438" s="3" t="n"/>
      <c r="E2438" s="4">
        <f>IF(A2438="","",COUNTIFS($A$4:A2438,A2438,$I$4:I2438,"&lt;&gt;Штраф -2",$I$4:I2438,"&lt;&gt;ушел на базу"))</f>
        <v/>
      </c>
      <c r="F2438" s="4">
        <f>IF(E2438="","",IF(E2438&lt;=3,6,IF(E2438&lt;=6,5,IF(E2438&lt;=9,4,IF(E2438&lt;=12,3,IF(E2438&lt;=15,2,0))))))</f>
        <v/>
      </c>
      <c r="G2438" s="3" t="n"/>
      <c r="H2438" s="4">
        <f>IF(I2438="Штраф -2",-2,IF(OR(F2438="",G2438=""),"",F2438*G2438+IF(J2438="",0,J2438)))</f>
        <v/>
      </c>
      <c r="I2438" s="3" t="n"/>
      <c r="J2438" s="3" t="n"/>
      <c r="K2438" s="3" t="n"/>
    </row>
    <row r="2439">
      <c r="A2439" s="3" t="n"/>
      <c r="B2439" s="3" t="n"/>
      <c r="C2439" s="3" t="n"/>
      <c r="D2439" s="3" t="n"/>
      <c r="E2439" s="4">
        <f>IF(A2439="","",COUNTIFS($A$4:A2439,A2439,$I$4:I2439,"&lt;&gt;Штраф -2",$I$4:I2439,"&lt;&gt;ушел на базу"))</f>
        <v/>
      </c>
      <c r="F2439" s="4">
        <f>IF(E2439="","",IF(E2439&lt;=3,6,IF(E2439&lt;=6,5,IF(E2439&lt;=9,4,IF(E2439&lt;=12,3,IF(E2439&lt;=15,2,0))))))</f>
        <v/>
      </c>
      <c r="G2439" s="3" t="n"/>
      <c r="H2439" s="4">
        <f>IF(I2439="Штраф -2",-2,IF(OR(F2439="",G2439=""),"",F2439*G2439+IF(J2439="",0,J2439)))</f>
        <v/>
      </c>
      <c r="I2439" s="3" t="n"/>
      <c r="J2439" s="3" t="n"/>
      <c r="K2439" s="3" t="n"/>
    </row>
    <row r="2440">
      <c r="A2440" s="3" t="n"/>
      <c r="B2440" s="3" t="n"/>
      <c r="C2440" s="3" t="n"/>
      <c r="D2440" s="3" t="n"/>
      <c r="E2440" s="4">
        <f>IF(A2440="","",COUNTIFS($A$4:A2440,A2440,$I$4:I2440,"&lt;&gt;Штраф -2",$I$4:I2440,"&lt;&gt;ушел на базу"))</f>
        <v/>
      </c>
      <c r="F2440" s="4">
        <f>IF(E2440="","",IF(E2440&lt;=3,6,IF(E2440&lt;=6,5,IF(E2440&lt;=9,4,IF(E2440&lt;=12,3,IF(E2440&lt;=15,2,0))))))</f>
        <v/>
      </c>
      <c r="G2440" s="3" t="n"/>
      <c r="H2440" s="4">
        <f>IF(I2440="Штраф -2",-2,IF(OR(F2440="",G2440=""),"",F2440*G2440+IF(J2440="",0,J2440)))</f>
        <v/>
      </c>
      <c r="I2440" s="3" t="n"/>
      <c r="J2440" s="3" t="n"/>
      <c r="K2440" s="3" t="n"/>
    </row>
    <row r="2441">
      <c r="A2441" s="3" t="n"/>
      <c r="B2441" s="3" t="n"/>
      <c r="C2441" s="3" t="n"/>
      <c r="D2441" s="3" t="n"/>
      <c r="E2441" s="4">
        <f>IF(A2441="","",COUNTIFS($A$4:A2441,A2441,$I$4:I2441,"&lt;&gt;Штраф -2",$I$4:I2441,"&lt;&gt;ушел на базу"))</f>
        <v/>
      </c>
      <c r="F2441" s="4">
        <f>IF(E2441="","",IF(E2441&lt;=3,6,IF(E2441&lt;=6,5,IF(E2441&lt;=9,4,IF(E2441&lt;=12,3,IF(E2441&lt;=15,2,0))))))</f>
        <v/>
      </c>
      <c r="G2441" s="3" t="n"/>
      <c r="H2441" s="4">
        <f>IF(I2441="Штраф -2",-2,IF(OR(F2441="",G2441=""),"",F2441*G2441+IF(J2441="",0,J2441)))</f>
        <v/>
      </c>
      <c r="I2441" s="3" t="n"/>
      <c r="J2441" s="3" t="n"/>
      <c r="K2441" s="3" t="n"/>
    </row>
    <row r="2442">
      <c r="A2442" s="3" t="n"/>
      <c r="B2442" s="3" t="n"/>
      <c r="C2442" s="3" t="n"/>
      <c r="D2442" s="3" t="n"/>
      <c r="E2442" s="4">
        <f>IF(A2442="","",COUNTIFS($A$4:A2442,A2442,$I$4:I2442,"&lt;&gt;Штраф -2",$I$4:I2442,"&lt;&gt;ушел на базу"))</f>
        <v/>
      </c>
      <c r="F2442" s="4">
        <f>IF(E2442="","",IF(E2442&lt;=3,6,IF(E2442&lt;=6,5,IF(E2442&lt;=9,4,IF(E2442&lt;=12,3,IF(E2442&lt;=15,2,0))))))</f>
        <v/>
      </c>
      <c r="G2442" s="3" t="n"/>
      <c r="H2442" s="4">
        <f>IF(I2442="Штраф -2",-2,IF(OR(F2442="",G2442=""),"",F2442*G2442+IF(J2442="",0,J2442)))</f>
        <v/>
      </c>
      <c r="I2442" s="3" t="n"/>
      <c r="J2442" s="3" t="n"/>
      <c r="K2442" s="3" t="n"/>
    </row>
    <row r="2443">
      <c r="A2443" s="3" t="n"/>
      <c r="B2443" s="3" t="n"/>
      <c r="C2443" s="3" t="n"/>
      <c r="D2443" s="3" t="n"/>
      <c r="E2443" s="4">
        <f>IF(A2443="","",COUNTIFS($A$4:A2443,A2443,$I$4:I2443,"&lt;&gt;Штраф -2",$I$4:I2443,"&lt;&gt;ушел на базу"))</f>
        <v/>
      </c>
      <c r="F2443" s="4">
        <f>IF(E2443="","",IF(E2443&lt;=3,6,IF(E2443&lt;=6,5,IF(E2443&lt;=9,4,IF(E2443&lt;=12,3,IF(E2443&lt;=15,2,0))))))</f>
        <v/>
      </c>
      <c r="G2443" s="3" t="n"/>
      <c r="H2443" s="4">
        <f>IF(I2443="Штраф -2",-2,IF(OR(F2443="",G2443=""),"",F2443*G2443+IF(J2443="",0,J2443)))</f>
        <v/>
      </c>
      <c r="I2443" s="3" t="n"/>
      <c r="J2443" s="3" t="n"/>
      <c r="K2443" s="3" t="n"/>
    </row>
    <row r="2444">
      <c r="A2444" s="3" t="n"/>
      <c r="B2444" s="3" t="n"/>
      <c r="C2444" s="3" t="n"/>
      <c r="D2444" s="3" t="n"/>
      <c r="E2444" s="4">
        <f>IF(A2444="","",COUNTIFS($A$4:A2444,A2444,$I$4:I2444,"&lt;&gt;Штраф -2",$I$4:I2444,"&lt;&gt;ушел на базу"))</f>
        <v/>
      </c>
      <c r="F2444" s="4">
        <f>IF(E2444="","",IF(E2444&lt;=3,6,IF(E2444&lt;=6,5,IF(E2444&lt;=9,4,IF(E2444&lt;=12,3,IF(E2444&lt;=15,2,0))))))</f>
        <v/>
      </c>
      <c r="G2444" s="3" t="n"/>
      <c r="H2444" s="4">
        <f>IF(I2444="Штраф -2",-2,IF(OR(F2444="",G2444=""),"",F2444*G2444+IF(J2444="",0,J2444)))</f>
        <v/>
      </c>
      <c r="I2444" s="3" t="n"/>
      <c r="J2444" s="3" t="n"/>
      <c r="K2444" s="3" t="n"/>
    </row>
    <row r="2445">
      <c r="A2445" s="3" t="n"/>
      <c r="B2445" s="3" t="n"/>
      <c r="C2445" s="3" t="n"/>
      <c r="D2445" s="3" t="n"/>
      <c r="E2445" s="4">
        <f>IF(A2445="","",COUNTIFS($A$4:A2445,A2445,$I$4:I2445,"&lt;&gt;Штраф -2",$I$4:I2445,"&lt;&gt;ушел на базу"))</f>
        <v/>
      </c>
      <c r="F2445" s="4">
        <f>IF(E2445="","",IF(E2445&lt;=3,6,IF(E2445&lt;=6,5,IF(E2445&lt;=9,4,IF(E2445&lt;=12,3,IF(E2445&lt;=15,2,0))))))</f>
        <v/>
      </c>
      <c r="G2445" s="3" t="n"/>
      <c r="H2445" s="4">
        <f>IF(I2445="Штраф -2",-2,IF(OR(F2445="",G2445=""),"",F2445*G2445+IF(J2445="",0,J2445)))</f>
        <v/>
      </c>
      <c r="I2445" s="3" t="n"/>
      <c r="J2445" s="3" t="n"/>
      <c r="K2445" s="3" t="n"/>
    </row>
    <row r="2446">
      <c r="A2446" s="3" t="n"/>
      <c r="B2446" s="3" t="n"/>
      <c r="C2446" s="3" t="n"/>
      <c r="D2446" s="3" t="n"/>
      <c r="E2446" s="4">
        <f>IF(A2446="","",COUNTIFS($A$4:A2446,A2446,$I$4:I2446,"&lt;&gt;Штраф -2",$I$4:I2446,"&lt;&gt;ушел на базу"))</f>
        <v/>
      </c>
      <c r="F2446" s="4">
        <f>IF(E2446="","",IF(E2446&lt;=3,6,IF(E2446&lt;=6,5,IF(E2446&lt;=9,4,IF(E2446&lt;=12,3,IF(E2446&lt;=15,2,0))))))</f>
        <v/>
      </c>
      <c r="G2446" s="3" t="n"/>
      <c r="H2446" s="4">
        <f>IF(I2446="Штраф -2",-2,IF(OR(F2446="",G2446=""),"",F2446*G2446+IF(J2446="",0,J2446)))</f>
        <v/>
      </c>
      <c r="I2446" s="3" t="n"/>
      <c r="J2446" s="3" t="n"/>
      <c r="K2446" s="3" t="n"/>
    </row>
    <row r="2447">
      <c r="A2447" s="3" t="n"/>
      <c r="B2447" s="3" t="n"/>
      <c r="C2447" s="3" t="n"/>
      <c r="D2447" s="3" t="n"/>
      <c r="E2447" s="4">
        <f>IF(A2447="","",COUNTIFS($A$4:A2447,A2447,$I$4:I2447,"&lt;&gt;Штраф -2",$I$4:I2447,"&lt;&gt;ушел на базу"))</f>
        <v/>
      </c>
      <c r="F2447" s="4">
        <f>IF(E2447="","",IF(E2447&lt;=3,6,IF(E2447&lt;=6,5,IF(E2447&lt;=9,4,IF(E2447&lt;=12,3,IF(E2447&lt;=15,2,0))))))</f>
        <v/>
      </c>
      <c r="G2447" s="3" t="n"/>
      <c r="H2447" s="4">
        <f>IF(I2447="Штраф -2",-2,IF(OR(F2447="",G2447=""),"",F2447*G2447+IF(J2447="",0,J2447)))</f>
        <v/>
      </c>
      <c r="I2447" s="3" t="n"/>
      <c r="J2447" s="3" t="n"/>
      <c r="K2447" s="3" t="n"/>
    </row>
    <row r="2448">
      <c r="A2448" s="3" t="n"/>
      <c r="B2448" s="3" t="n"/>
      <c r="C2448" s="3" t="n"/>
      <c r="D2448" s="3" t="n"/>
      <c r="E2448" s="4">
        <f>IF(A2448="","",COUNTIFS($A$4:A2448,A2448,$I$4:I2448,"&lt;&gt;Штраф -2",$I$4:I2448,"&lt;&gt;ушел на базу"))</f>
        <v/>
      </c>
      <c r="F2448" s="4">
        <f>IF(E2448="","",IF(E2448&lt;=3,6,IF(E2448&lt;=6,5,IF(E2448&lt;=9,4,IF(E2448&lt;=12,3,IF(E2448&lt;=15,2,0))))))</f>
        <v/>
      </c>
      <c r="G2448" s="3" t="n"/>
      <c r="H2448" s="4">
        <f>IF(I2448="Штраф -2",-2,IF(OR(F2448="",G2448=""),"",F2448*G2448+IF(J2448="",0,J2448)))</f>
        <v/>
      </c>
      <c r="I2448" s="3" t="n"/>
      <c r="J2448" s="3" t="n"/>
      <c r="K2448" s="3" t="n"/>
    </row>
    <row r="2449">
      <c r="A2449" s="3" t="n"/>
      <c r="B2449" s="3" t="n"/>
      <c r="C2449" s="3" t="n"/>
      <c r="D2449" s="3" t="n"/>
      <c r="E2449" s="4">
        <f>IF(A2449="","",COUNTIFS($A$4:A2449,A2449,$I$4:I2449,"&lt;&gt;Штраф -2",$I$4:I2449,"&lt;&gt;ушел на базу"))</f>
        <v/>
      </c>
      <c r="F2449" s="4">
        <f>IF(E2449="","",IF(E2449&lt;=3,6,IF(E2449&lt;=6,5,IF(E2449&lt;=9,4,IF(E2449&lt;=12,3,IF(E2449&lt;=15,2,0))))))</f>
        <v/>
      </c>
      <c r="G2449" s="3" t="n"/>
      <c r="H2449" s="4">
        <f>IF(I2449="Штраф -2",-2,IF(OR(F2449="",G2449=""),"",F2449*G2449+IF(J2449="",0,J2449)))</f>
        <v/>
      </c>
      <c r="I2449" s="3" t="n"/>
      <c r="J2449" s="3" t="n"/>
      <c r="K2449" s="3" t="n"/>
    </row>
    <row r="2450">
      <c r="A2450" s="3" t="n"/>
      <c r="B2450" s="3" t="n"/>
      <c r="C2450" s="3" t="n"/>
      <c r="D2450" s="3" t="n"/>
      <c r="E2450" s="4">
        <f>IF(A2450="","",COUNTIFS($A$4:A2450,A2450,$I$4:I2450,"&lt;&gt;Штраф -2",$I$4:I2450,"&lt;&gt;ушел на базу"))</f>
        <v/>
      </c>
      <c r="F2450" s="4">
        <f>IF(E2450="","",IF(E2450&lt;=3,6,IF(E2450&lt;=6,5,IF(E2450&lt;=9,4,IF(E2450&lt;=12,3,IF(E2450&lt;=15,2,0))))))</f>
        <v/>
      </c>
      <c r="G2450" s="3" t="n"/>
      <c r="H2450" s="4">
        <f>IF(I2450="Штраф -2",-2,IF(OR(F2450="",G2450=""),"",F2450*G2450+IF(J2450="",0,J2450)))</f>
        <v/>
      </c>
      <c r="I2450" s="3" t="n"/>
      <c r="J2450" s="3" t="n"/>
      <c r="K2450" s="3" t="n"/>
    </row>
    <row r="2451">
      <c r="A2451" s="3" t="n"/>
      <c r="B2451" s="3" t="n"/>
      <c r="C2451" s="3" t="n"/>
      <c r="D2451" s="3" t="n"/>
      <c r="E2451" s="4">
        <f>IF(A2451="","",COUNTIFS($A$4:A2451,A2451,$I$4:I2451,"&lt;&gt;Штраф -2",$I$4:I2451,"&lt;&gt;ушел на базу"))</f>
        <v/>
      </c>
      <c r="F2451" s="4">
        <f>IF(E2451="","",IF(E2451&lt;=3,6,IF(E2451&lt;=6,5,IF(E2451&lt;=9,4,IF(E2451&lt;=12,3,IF(E2451&lt;=15,2,0))))))</f>
        <v/>
      </c>
      <c r="G2451" s="3" t="n"/>
      <c r="H2451" s="4">
        <f>IF(I2451="Штраф -2",-2,IF(OR(F2451="",G2451=""),"",F2451*G2451+IF(J2451="",0,J2451)))</f>
        <v/>
      </c>
      <c r="I2451" s="3" t="n"/>
      <c r="J2451" s="3" t="n"/>
      <c r="K2451" s="3" t="n"/>
    </row>
    <row r="2452">
      <c r="A2452" s="3" t="n"/>
      <c r="B2452" s="3" t="n"/>
      <c r="C2452" s="3" t="n"/>
      <c r="D2452" s="3" t="n"/>
      <c r="E2452" s="4">
        <f>IF(A2452="","",COUNTIFS($A$4:A2452,A2452,$I$4:I2452,"&lt;&gt;Штраф -2",$I$4:I2452,"&lt;&gt;ушел на базу"))</f>
        <v/>
      </c>
      <c r="F2452" s="4">
        <f>IF(E2452="","",IF(E2452&lt;=3,6,IF(E2452&lt;=6,5,IF(E2452&lt;=9,4,IF(E2452&lt;=12,3,IF(E2452&lt;=15,2,0))))))</f>
        <v/>
      </c>
      <c r="G2452" s="3" t="n"/>
      <c r="H2452" s="4">
        <f>IF(I2452="Штраф -2",-2,IF(OR(F2452="",G2452=""),"",F2452*G2452+IF(J2452="",0,J2452)))</f>
        <v/>
      </c>
      <c r="I2452" s="3" t="n"/>
      <c r="J2452" s="3" t="n"/>
      <c r="K2452" s="3" t="n"/>
    </row>
    <row r="2453">
      <c r="A2453" s="3" t="n"/>
      <c r="B2453" s="3" t="n"/>
      <c r="C2453" s="3" t="n"/>
      <c r="D2453" s="3" t="n"/>
      <c r="E2453" s="4">
        <f>IF(A2453="","",COUNTIFS($A$4:A2453,A2453,$I$4:I2453,"&lt;&gt;Штраф -2",$I$4:I2453,"&lt;&gt;ушел на базу"))</f>
        <v/>
      </c>
      <c r="F2453" s="4">
        <f>IF(E2453="","",IF(E2453&lt;=3,6,IF(E2453&lt;=6,5,IF(E2453&lt;=9,4,IF(E2453&lt;=12,3,IF(E2453&lt;=15,2,0))))))</f>
        <v/>
      </c>
      <c r="G2453" s="3" t="n"/>
      <c r="H2453" s="4">
        <f>IF(I2453="Штраф -2",-2,IF(OR(F2453="",G2453=""),"",F2453*G2453+IF(J2453="",0,J2453)))</f>
        <v/>
      </c>
      <c r="I2453" s="3" t="n"/>
      <c r="J2453" s="3" t="n"/>
      <c r="K2453" s="3" t="n"/>
    </row>
    <row r="2454">
      <c r="A2454" s="3" t="n"/>
      <c r="B2454" s="3" t="n"/>
      <c r="C2454" s="3" t="n"/>
      <c r="D2454" s="3" t="n"/>
      <c r="E2454" s="4">
        <f>IF(A2454="","",COUNTIFS($A$4:A2454,A2454,$I$4:I2454,"&lt;&gt;Штраф -2",$I$4:I2454,"&lt;&gt;ушел на базу"))</f>
        <v/>
      </c>
      <c r="F2454" s="4">
        <f>IF(E2454="","",IF(E2454&lt;=3,6,IF(E2454&lt;=6,5,IF(E2454&lt;=9,4,IF(E2454&lt;=12,3,IF(E2454&lt;=15,2,0))))))</f>
        <v/>
      </c>
      <c r="G2454" s="3" t="n"/>
      <c r="H2454" s="4">
        <f>IF(I2454="Штраф -2",-2,IF(OR(F2454="",G2454=""),"",F2454*G2454+IF(J2454="",0,J2454)))</f>
        <v/>
      </c>
      <c r="I2454" s="3" t="n"/>
      <c r="J2454" s="3" t="n"/>
      <c r="K2454" s="3" t="n"/>
    </row>
    <row r="2455">
      <c r="A2455" s="3" t="n"/>
      <c r="B2455" s="3" t="n"/>
      <c r="C2455" s="3" t="n"/>
      <c r="D2455" s="3" t="n"/>
      <c r="E2455" s="4">
        <f>IF(A2455="","",COUNTIFS($A$4:A2455,A2455,$I$4:I2455,"&lt;&gt;Штраф -2",$I$4:I2455,"&lt;&gt;ушел на базу"))</f>
        <v/>
      </c>
      <c r="F2455" s="4">
        <f>IF(E2455="","",IF(E2455&lt;=3,6,IF(E2455&lt;=6,5,IF(E2455&lt;=9,4,IF(E2455&lt;=12,3,IF(E2455&lt;=15,2,0))))))</f>
        <v/>
      </c>
      <c r="G2455" s="3" t="n"/>
      <c r="H2455" s="4">
        <f>IF(I2455="Штраф -2",-2,IF(OR(F2455="",G2455=""),"",F2455*G2455+IF(J2455="",0,J2455)))</f>
        <v/>
      </c>
      <c r="I2455" s="3" t="n"/>
      <c r="J2455" s="3" t="n"/>
      <c r="K2455" s="3" t="n"/>
    </row>
    <row r="2456">
      <c r="A2456" s="3" t="n"/>
      <c r="B2456" s="3" t="n"/>
      <c r="C2456" s="3" t="n"/>
      <c r="D2456" s="3" t="n"/>
      <c r="E2456" s="4">
        <f>IF(A2456="","",COUNTIFS($A$4:A2456,A2456,$I$4:I2456,"&lt;&gt;Штраф -2",$I$4:I2456,"&lt;&gt;ушел на базу"))</f>
        <v/>
      </c>
      <c r="F2456" s="4">
        <f>IF(E2456="","",IF(E2456&lt;=3,6,IF(E2456&lt;=6,5,IF(E2456&lt;=9,4,IF(E2456&lt;=12,3,IF(E2456&lt;=15,2,0))))))</f>
        <v/>
      </c>
      <c r="G2456" s="3" t="n"/>
      <c r="H2456" s="4">
        <f>IF(I2456="Штраф -2",-2,IF(OR(F2456="",G2456=""),"",F2456*G2456+IF(J2456="",0,J2456)))</f>
        <v/>
      </c>
      <c r="I2456" s="3" t="n"/>
      <c r="J2456" s="3" t="n"/>
      <c r="K2456" s="3" t="n"/>
    </row>
    <row r="2457">
      <c r="A2457" s="3" t="n"/>
      <c r="B2457" s="3" t="n"/>
      <c r="C2457" s="3" t="n"/>
      <c r="D2457" s="3" t="n"/>
      <c r="E2457" s="4">
        <f>IF(A2457="","",COUNTIFS($A$4:A2457,A2457,$I$4:I2457,"&lt;&gt;Штраф -2",$I$4:I2457,"&lt;&gt;ушел на базу"))</f>
        <v/>
      </c>
      <c r="F2457" s="4">
        <f>IF(E2457="","",IF(E2457&lt;=3,6,IF(E2457&lt;=6,5,IF(E2457&lt;=9,4,IF(E2457&lt;=12,3,IF(E2457&lt;=15,2,0))))))</f>
        <v/>
      </c>
      <c r="G2457" s="3" t="n"/>
      <c r="H2457" s="4">
        <f>IF(I2457="Штраф -2",-2,IF(OR(F2457="",G2457=""),"",F2457*G2457+IF(J2457="",0,J2457)))</f>
        <v/>
      </c>
      <c r="I2457" s="3" t="n"/>
      <c r="J2457" s="3" t="n"/>
      <c r="K2457" s="3" t="n"/>
    </row>
    <row r="2458">
      <c r="A2458" s="3" t="n"/>
      <c r="B2458" s="3" t="n"/>
      <c r="C2458" s="3" t="n"/>
      <c r="D2458" s="3" t="n"/>
      <c r="E2458" s="4">
        <f>IF(A2458="","",COUNTIFS($A$4:A2458,A2458,$I$4:I2458,"&lt;&gt;Штраф -2",$I$4:I2458,"&lt;&gt;ушел на базу"))</f>
        <v/>
      </c>
      <c r="F2458" s="4">
        <f>IF(E2458="","",IF(E2458&lt;=3,6,IF(E2458&lt;=6,5,IF(E2458&lt;=9,4,IF(E2458&lt;=12,3,IF(E2458&lt;=15,2,0))))))</f>
        <v/>
      </c>
      <c r="G2458" s="3" t="n"/>
      <c r="H2458" s="4">
        <f>IF(I2458="Штраф -2",-2,IF(OR(F2458="",G2458=""),"",F2458*G2458+IF(J2458="",0,J2458)))</f>
        <v/>
      </c>
      <c r="I2458" s="3" t="n"/>
      <c r="J2458" s="3" t="n"/>
      <c r="K2458" s="3" t="n"/>
    </row>
    <row r="2459">
      <c r="A2459" s="3" t="n"/>
      <c r="B2459" s="3" t="n"/>
      <c r="C2459" s="3" t="n"/>
      <c r="D2459" s="3" t="n"/>
      <c r="E2459" s="4">
        <f>IF(A2459="","",COUNTIFS($A$4:A2459,A2459,$I$4:I2459,"&lt;&gt;Штраф -2",$I$4:I2459,"&lt;&gt;ушел на базу"))</f>
        <v/>
      </c>
      <c r="F2459" s="4">
        <f>IF(E2459="","",IF(E2459&lt;=3,6,IF(E2459&lt;=6,5,IF(E2459&lt;=9,4,IF(E2459&lt;=12,3,IF(E2459&lt;=15,2,0))))))</f>
        <v/>
      </c>
      <c r="G2459" s="3" t="n"/>
      <c r="H2459" s="4">
        <f>IF(I2459="Штраф -2",-2,IF(OR(F2459="",G2459=""),"",F2459*G2459+IF(J2459="",0,J2459)))</f>
        <v/>
      </c>
      <c r="I2459" s="3" t="n"/>
      <c r="J2459" s="3" t="n"/>
      <c r="K2459" s="3" t="n"/>
    </row>
    <row r="2460">
      <c r="A2460" s="3" t="n"/>
      <c r="B2460" s="3" t="n"/>
      <c r="C2460" s="3" t="n"/>
      <c r="D2460" s="3" t="n"/>
      <c r="E2460" s="4">
        <f>IF(A2460="","",COUNTIFS($A$4:A2460,A2460,$I$4:I2460,"&lt;&gt;Штраф -2",$I$4:I2460,"&lt;&gt;ушел на базу"))</f>
        <v/>
      </c>
      <c r="F2460" s="4">
        <f>IF(E2460="","",IF(E2460&lt;=3,6,IF(E2460&lt;=6,5,IF(E2460&lt;=9,4,IF(E2460&lt;=12,3,IF(E2460&lt;=15,2,0))))))</f>
        <v/>
      </c>
      <c r="G2460" s="3" t="n"/>
      <c r="H2460" s="4">
        <f>IF(I2460="Штраф -2",-2,IF(OR(F2460="",G2460=""),"",F2460*G2460+IF(J2460="",0,J2460)))</f>
        <v/>
      </c>
      <c r="I2460" s="3" t="n"/>
      <c r="J2460" s="3" t="n"/>
      <c r="K2460" s="3" t="n"/>
    </row>
    <row r="2461">
      <c r="A2461" s="3" t="n"/>
      <c r="B2461" s="3" t="n"/>
      <c r="C2461" s="3" t="n"/>
      <c r="D2461" s="3" t="n"/>
      <c r="E2461" s="4">
        <f>IF(A2461="","",COUNTIFS($A$4:A2461,A2461,$I$4:I2461,"&lt;&gt;Штраф -2",$I$4:I2461,"&lt;&gt;ушел на базу"))</f>
        <v/>
      </c>
      <c r="F2461" s="4">
        <f>IF(E2461="","",IF(E2461&lt;=3,6,IF(E2461&lt;=6,5,IF(E2461&lt;=9,4,IF(E2461&lt;=12,3,IF(E2461&lt;=15,2,0))))))</f>
        <v/>
      </c>
      <c r="G2461" s="3" t="n"/>
      <c r="H2461" s="4">
        <f>IF(I2461="Штраф -2",-2,IF(OR(F2461="",G2461=""),"",F2461*G2461+IF(J2461="",0,J2461)))</f>
        <v/>
      </c>
      <c r="I2461" s="3" t="n"/>
      <c r="J2461" s="3" t="n"/>
      <c r="K2461" s="3" t="n"/>
    </row>
    <row r="2462">
      <c r="A2462" s="3" t="n"/>
      <c r="B2462" s="3" t="n"/>
      <c r="C2462" s="3" t="n"/>
      <c r="D2462" s="3" t="n"/>
      <c r="E2462" s="4">
        <f>IF(A2462="","",COUNTIFS($A$4:A2462,A2462,$I$4:I2462,"&lt;&gt;Штраф -2",$I$4:I2462,"&lt;&gt;ушел на базу"))</f>
        <v/>
      </c>
      <c r="F2462" s="4">
        <f>IF(E2462="","",IF(E2462&lt;=3,6,IF(E2462&lt;=6,5,IF(E2462&lt;=9,4,IF(E2462&lt;=12,3,IF(E2462&lt;=15,2,0))))))</f>
        <v/>
      </c>
      <c r="G2462" s="3" t="n"/>
      <c r="H2462" s="4">
        <f>IF(I2462="Штраф -2",-2,IF(OR(F2462="",G2462=""),"",F2462*G2462+IF(J2462="",0,J2462)))</f>
        <v/>
      </c>
      <c r="I2462" s="3" t="n"/>
      <c r="J2462" s="3" t="n"/>
      <c r="K2462" s="3" t="n"/>
    </row>
    <row r="2463">
      <c r="A2463" s="3" t="n"/>
      <c r="B2463" s="3" t="n"/>
      <c r="C2463" s="3" t="n"/>
      <c r="D2463" s="3" t="n"/>
      <c r="E2463" s="4">
        <f>IF(A2463="","",COUNTIFS($A$4:A2463,A2463,$I$4:I2463,"&lt;&gt;Штраф -2",$I$4:I2463,"&lt;&gt;ушел на базу"))</f>
        <v/>
      </c>
      <c r="F2463" s="4">
        <f>IF(E2463="","",IF(E2463&lt;=3,6,IF(E2463&lt;=6,5,IF(E2463&lt;=9,4,IF(E2463&lt;=12,3,IF(E2463&lt;=15,2,0))))))</f>
        <v/>
      </c>
      <c r="G2463" s="3" t="n"/>
      <c r="H2463" s="4">
        <f>IF(I2463="Штраф -2",-2,IF(OR(F2463="",G2463=""),"",F2463*G2463+IF(J2463="",0,J2463)))</f>
        <v/>
      </c>
      <c r="I2463" s="3" t="n"/>
      <c r="J2463" s="3" t="n"/>
      <c r="K2463" s="3" t="n"/>
    </row>
    <row r="2464">
      <c r="A2464" s="3" t="n"/>
      <c r="B2464" s="3" t="n"/>
      <c r="C2464" s="3" t="n"/>
      <c r="D2464" s="3" t="n"/>
      <c r="E2464" s="4">
        <f>IF(A2464="","",COUNTIFS($A$4:A2464,A2464,$I$4:I2464,"&lt;&gt;Штраф -2",$I$4:I2464,"&lt;&gt;ушел на базу"))</f>
        <v/>
      </c>
      <c r="F2464" s="4">
        <f>IF(E2464="","",IF(E2464&lt;=3,6,IF(E2464&lt;=6,5,IF(E2464&lt;=9,4,IF(E2464&lt;=12,3,IF(E2464&lt;=15,2,0))))))</f>
        <v/>
      </c>
      <c r="G2464" s="3" t="n"/>
      <c r="H2464" s="4">
        <f>IF(I2464="Штраф -2",-2,IF(OR(F2464="",G2464=""),"",F2464*G2464+IF(J2464="",0,J2464)))</f>
        <v/>
      </c>
      <c r="I2464" s="3" t="n"/>
      <c r="J2464" s="3" t="n"/>
      <c r="K2464" s="3" t="n"/>
    </row>
    <row r="2465">
      <c r="A2465" s="3" t="n"/>
      <c r="B2465" s="3" t="n"/>
      <c r="C2465" s="3" t="n"/>
      <c r="D2465" s="3" t="n"/>
      <c r="E2465" s="4">
        <f>IF(A2465="","",COUNTIFS($A$4:A2465,A2465,$I$4:I2465,"&lt;&gt;Штраф -2",$I$4:I2465,"&lt;&gt;ушел на базу"))</f>
        <v/>
      </c>
      <c r="F2465" s="4">
        <f>IF(E2465="","",IF(E2465&lt;=3,6,IF(E2465&lt;=6,5,IF(E2465&lt;=9,4,IF(E2465&lt;=12,3,IF(E2465&lt;=15,2,0))))))</f>
        <v/>
      </c>
      <c r="G2465" s="3" t="n"/>
      <c r="H2465" s="4">
        <f>IF(I2465="Штраф -2",-2,IF(OR(F2465="",G2465=""),"",F2465*G2465+IF(J2465="",0,J2465)))</f>
        <v/>
      </c>
      <c r="I2465" s="3" t="n"/>
      <c r="J2465" s="3" t="n"/>
      <c r="K2465" s="3" t="n"/>
    </row>
    <row r="2466">
      <c r="A2466" s="3" t="n"/>
      <c r="B2466" s="3" t="n"/>
      <c r="C2466" s="3" t="n"/>
      <c r="D2466" s="3" t="n"/>
      <c r="E2466" s="4">
        <f>IF(A2466="","",COUNTIFS($A$4:A2466,A2466,$I$4:I2466,"&lt;&gt;Штраф -2",$I$4:I2466,"&lt;&gt;ушел на базу"))</f>
        <v/>
      </c>
      <c r="F2466" s="4">
        <f>IF(E2466="","",IF(E2466&lt;=3,6,IF(E2466&lt;=6,5,IF(E2466&lt;=9,4,IF(E2466&lt;=12,3,IF(E2466&lt;=15,2,0))))))</f>
        <v/>
      </c>
      <c r="G2466" s="3" t="n"/>
      <c r="H2466" s="4">
        <f>IF(I2466="Штраф -2",-2,IF(OR(F2466="",G2466=""),"",F2466*G2466+IF(J2466="",0,J2466)))</f>
        <v/>
      </c>
      <c r="I2466" s="3" t="n"/>
      <c r="J2466" s="3" t="n"/>
      <c r="K2466" s="3" t="n"/>
    </row>
    <row r="2467">
      <c r="A2467" s="3" t="n"/>
      <c r="B2467" s="3" t="n"/>
      <c r="C2467" s="3" t="n"/>
      <c r="D2467" s="3" t="n"/>
      <c r="E2467" s="4">
        <f>IF(A2467="","",COUNTIFS($A$4:A2467,A2467,$I$4:I2467,"&lt;&gt;Штраф -2",$I$4:I2467,"&lt;&gt;ушел на базу"))</f>
        <v/>
      </c>
      <c r="F2467" s="4">
        <f>IF(E2467="","",IF(E2467&lt;=3,6,IF(E2467&lt;=6,5,IF(E2467&lt;=9,4,IF(E2467&lt;=12,3,IF(E2467&lt;=15,2,0))))))</f>
        <v/>
      </c>
      <c r="G2467" s="3" t="n"/>
      <c r="H2467" s="4">
        <f>IF(I2467="Штраф -2",-2,IF(OR(F2467="",G2467=""),"",F2467*G2467+IF(J2467="",0,J2467)))</f>
        <v/>
      </c>
      <c r="I2467" s="3" t="n"/>
      <c r="J2467" s="3" t="n"/>
      <c r="K2467" s="3" t="n"/>
    </row>
    <row r="2468">
      <c r="A2468" s="3" t="n"/>
      <c r="B2468" s="3" t="n"/>
      <c r="C2468" s="3" t="n"/>
      <c r="D2468" s="3" t="n"/>
      <c r="E2468" s="4">
        <f>IF(A2468="","",COUNTIFS($A$4:A2468,A2468,$I$4:I2468,"&lt;&gt;Штраф -2",$I$4:I2468,"&lt;&gt;ушел на базу"))</f>
        <v/>
      </c>
      <c r="F2468" s="4">
        <f>IF(E2468="","",IF(E2468&lt;=3,6,IF(E2468&lt;=6,5,IF(E2468&lt;=9,4,IF(E2468&lt;=12,3,IF(E2468&lt;=15,2,0))))))</f>
        <v/>
      </c>
      <c r="G2468" s="3" t="n"/>
      <c r="H2468" s="4">
        <f>IF(I2468="Штраф -2",-2,IF(OR(F2468="",G2468=""),"",F2468*G2468+IF(J2468="",0,J2468)))</f>
        <v/>
      </c>
      <c r="I2468" s="3" t="n"/>
      <c r="J2468" s="3" t="n"/>
      <c r="K2468" s="3" t="n"/>
    </row>
    <row r="2469">
      <c r="A2469" s="3" t="n"/>
      <c r="B2469" s="3" t="n"/>
      <c r="C2469" s="3" t="n"/>
      <c r="D2469" s="3" t="n"/>
      <c r="E2469" s="4">
        <f>IF(A2469="","",COUNTIFS($A$4:A2469,A2469,$I$4:I2469,"&lt;&gt;Штраф -2",$I$4:I2469,"&lt;&gt;ушел на базу"))</f>
        <v/>
      </c>
      <c r="F2469" s="4">
        <f>IF(E2469="","",IF(E2469&lt;=3,6,IF(E2469&lt;=6,5,IF(E2469&lt;=9,4,IF(E2469&lt;=12,3,IF(E2469&lt;=15,2,0))))))</f>
        <v/>
      </c>
      <c r="G2469" s="3" t="n"/>
      <c r="H2469" s="4">
        <f>IF(I2469="Штраф -2",-2,IF(OR(F2469="",G2469=""),"",F2469*G2469+IF(J2469="",0,J2469)))</f>
        <v/>
      </c>
      <c r="I2469" s="3" t="n"/>
      <c r="J2469" s="3" t="n"/>
      <c r="K2469" s="3" t="n"/>
    </row>
    <row r="2470">
      <c r="A2470" s="3" t="n"/>
      <c r="B2470" s="3" t="n"/>
      <c r="C2470" s="3" t="n"/>
      <c r="D2470" s="3" t="n"/>
      <c r="E2470" s="4">
        <f>IF(A2470="","",COUNTIFS($A$4:A2470,A2470,$I$4:I2470,"&lt;&gt;Штраф -2",$I$4:I2470,"&lt;&gt;ушел на базу"))</f>
        <v/>
      </c>
      <c r="F2470" s="4">
        <f>IF(E2470="","",IF(E2470&lt;=3,6,IF(E2470&lt;=6,5,IF(E2470&lt;=9,4,IF(E2470&lt;=12,3,IF(E2470&lt;=15,2,0))))))</f>
        <v/>
      </c>
      <c r="G2470" s="3" t="n"/>
      <c r="H2470" s="4">
        <f>IF(I2470="Штраф -2",-2,IF(OR(F2470="",G2470=""),"",F2470*G2470+IF(J2470="",0,J2470)))</f>
        <v/>
      </c>
      <c r="I2470" s="3" t="n"/>
      <c r="J2470" s="3" t="n"/>
      <c r="K2470" s="3" t="n"/>
    </row>
    <row r="2471">
      <c r="A2471" s="3" t="n"/>
      <c r="B2471" s="3" t="n"/>
      <c r="C2471" s="3" t="n"/>
      <c r="D2471" s="3" t="n"/>
      <c r="E2471" s="4">
        <f>IF(A2471="","",COUNTIFS($A$4:A2471,A2471,$I$4:I2471,"&lt;&gt;Штраф -2",$I$4:I2471,"&lt;&gt;ушел на базу"))</f>
        <v/>
      </c>
      <c r="F2471" s="4">
        <f>IF(E2471="","",IF(E2471&lt;=3,6,IF(E2471&lt;=6,5,IF(E2471&lt;=9,4,IF(E2471&lt;=12,3,IF(E2471&lt;=15,2,0))))))</f>
        <v/>
      </c>
      <c r="G2471" s="3" t="n"/>
      <c r="H2471" s="4">
        <f>IF(I2471="Штраф -2",-2,IF(OR(F2471="",G2471=""),"",F2471*G2471+IF(J2471="",0,J2471)))</f>
        <v/>
      </c>
      <c r="I2471" s="3" t="n"/>
      <c r="J2471" s="3" t="n"/>
      <c r="K2471" s="3" t="n"/>
    </row>
    <row r="2472">
      <c r="A2472" s="3" t="n"/>
      <c r="B2472" s="3" t="n"/>
      <c r="C2472" s="3" t="n"/>
      <c r="D2472" s="3" t="n"/>
      <c r="E2472" s="4">
        <f>IF(A2472="","",COUNTIFS($A$4:A2472,A2472,$I$4:I2472,"&lt;&gt;Штраф -2",$I$4:I2472,"&lt;&gt;ушел на базу"))</f>
        <v/>
      </c>
      <c r="F2472" s="4">
        <f>IF(E2472="","",IF(E2472&lt;=3,6,IF(E2472&lt;=6,5,IF(E2472&lt;=9,4,IF(E2472&lt;=12,3,IF(E2472&lt;=15,2,0))))))</f>
        <v/>
      </c>
      <c r="G2472" s="3" t="n"/>
      <c r="H2472" s="4">
        <f>IF(I2472="Штраф -2",-2,IF(OR(F2472="",G2472=""),"",F2472*G2472+IF(J2472="",0,J2472)))</f>
        <v/>
      </c>
      <c r="I2472" s="3" t="n"/>
      <c r="J2472" s="3" t="n"/>
      <c r="K2472" s="3" t="n"/>
    </row>
    <row r="2473">
      <c r="A2473" s="3" t="n"/>
      <c r="B2473" s="3" t="n"/>
      <c r="C2473" s="3" t="n"/>
      <c r="D2473" s="3" t="n"/>
      <c r="E2473" s="4">
        <f>IF(A2473="","",COUNTIFS($A$4:A2473,A2473,$I$4:I2473,"&lt;&gt;Штраф -2",$I$4:I2473,"&lt;&gt;ушел на базу"))</f>
        <v/>
      </c>
      <c r="F2473" s="4">
        <f>IF(E2473="","",IF(E2473&lt;=3,6,IF(E2473&lt;=6,5,IF(E2473&lt;=9,4,IF(E2473&lt;=12,3,IF(E2473&lt;=15,2,0))))))</f>
        <v/>
      </c>
      <c r="G2473" s="3" t="n"/>
      <c r="H2473" s="4">
        <f>IF(I2473="Штраф -2",-2,IF(OR(F2473="",G2473=""),"",F2473*G2473+IF(J2473="",0,J2473)))</f>
        <v/>
      </c>
      <c r="I2473" s="3" t="n"/>
      <c r="J2473" s="3" t="n"/>
      <c r="K2473" s="3" t="n"/>
    </row>
    <row r="2474">
      <c r="A2474" s="3" t="n"/>
      <c r="B2474" s="3" t="n"/>
      <c r="C2474" s="3" t="n"/>
      <c r="D2474" s="3" t="n"/>
      <c r="E2474" s="4">
        <f>IF(A2474="","",COUNTIFS($A$4:A2474,A2474,$I$4:I2474,"&lt;&gt;Штраф -2",$I$4:I2474,"&lt;&gt;ушел на базу"))</f>
        <v/>
      </c>
      <c r="F2474" s="4">
        <f>IF(E2474="","",IF(E2474&lt;=3,6,IF(E2474&lt;=6,5,IF(E2474&lt;=9,4,IF(E2474&lt;=12,3,IF(E2474&lt;=15,2,0))))))</f>
        <v/>
      </c>
      <c r="G2474" s="3" t="n"/>
      <c r="H2474" s="4">
        <f>IF(I2474="Штраф -2",-2,IF(OR(F2474="",G2474=""),"",F2474*G2474+IF(J2474="",0,J2474)))</f>
        <v/>
      </c>
      <c r="I2474" s="3" t="n"/>
      <c r="J2474" s="3" t="n"/>
      <c r="K2474" s="3" t="n"/>
    </row>
    <row r="2475">
      <c r="A2475" s="3" t="n"/>
      <c r="B2475" s="3" t="n"/>
      <c r="C2475" s="3" t="n"/>
      <c r="D2475" s="3" t="n"/>
      <c r="E2475" s="4">
        <f>IF(A2475="","",COUNTIFS($A$4:A2475,A2475,$I$4:I2475,"&lt;&gt;Штраф -2",$I$4:I2475,"&lt;&gt;ушел на базу"))</f>
        <v/>
      </c>
      <c r="F2475" s="4">
        <f>IF(E2475="","",IF(E2475&lt;=3,6,IF(E2475&lt;=6,5,IF(E2475&lt;=9,4,IF(E2475&lt;=12,3,IF(E2475&lt;=15,2,0))))))</f>
        <v/>
      </c>
      <c r="G2475" s="3" t="n"/>
      <c r="H2475" s="4">
        <f>IF(I2475="Штраф -2",-2,IF(OR(F2475="",G2475=""),"",F2475*G2475+IF(J2475="",0,J2475)))</f>
        <v/>
      </c>
      <c r="I2475" s="3" t="n"/>
      <c r="J2475" s="3" t="n"/>
      <c r="K2475" s="3" t="n"/>
    </row>
    <row r="2476">
      <c r="A2476" s="3" t="n"/>
      <c r="B2476" s="3" t="n"/>
      <c r="C2476" s="3" t="n"/>
      <c r="D2476" s="3" t="n"/>
      <c r="E2476" s="4">
        <f>IF(A2476="","",COUNTIFS($A$4:A2476,A2476,$I$4:I2476,"&lt;&gt;Штраф -2",$I$4:I2476,"&lt;&gt;ушел на базу"))</f>
        <v/>
      </c>
      <c r="F2476" s="4">
        <f>IF(E2476="","",IF(E2476&lt;=3,6,IF(E2476&lt;=6,5,IF(E2476&lt;=9,4,IF(E2476&lt;=12,3,IF(E2476&lt;=15,2,0))))))</f>
        <v/>
      </c>
      <c r="G2476" s="3" t="n"/>
      <c r="H2476" s="4">
        <f>IF(I2476="Штраф -2",-2,IF(OR(F2476="",G2476=""),"",F2476*G2476+IF(J2476="",0,J2476)))</f>
        <v/>
      </c>
      <c r="I2476" s="3" t="n"/>
      <c r="J2476" s="3" t="n"/>
      <c r="K2476" s="3" t="n"/>
    </row>
    <row r="2477">
      <c r="A2477" s="3" t="n"/>
      <c r="B2477" s="3" t="n"/>
      <c r="C2477" s="3" t="n"/>
      <c r="D2477" s="3" t="n"/>
      <c r="E2477" s="4">
        <f>IF(A2477="","",COUNTIFS($A$4:A2477,A2477,$I$4:I2477,"&lt;&gt;Штраф -2",$I$4:I2477,"&lt;&gt;ушел на базу"))</f>
        <v/>
      </c>
      <c r="F2477" s="4">
        <f>IF(E2477="","",IF(E2477&lt;=3,6,IF(E2477&lt;=6,5,IF(E2477&lt;=9,4,IF(E2477&lt;=12,3,IF(E2477&lt;=15,2,0))))))</f>
        <v/>
      </c>
      <c r="G2477" s="3" t="n"/>
      <c r="H2477" s="4">
        <f>IF(I2477="Штраф -2",-2,IF(OR(F2477="",G2477=""),"",F2477*G2477+IF(J2477="",0,J2477)))</f>
        <v/>
      </c>
      <c r="I2477" s="3" t="n"/>
      <c r="J2477" s="3" t="n"/>
      <c r="K2477" s="3" t="n"/>
    </row>
    <row r="2478">
      <c r="A2478" s="3" t="n"/>
      <c r="B2478" s="3" t="n"/>
      <c r="C2478" s="3" t="n"/>
      <c r="D2478" s="3" t="n"/>
      <c r="E2478" s="4">
        <f>IF(A2478="","",COUNTIFS($A$4:A2478,A2478,$I$4:I2478,"&lt;&gt;Штраф -2",$I$4:I2478,"&lt;&gt;ушел на базу"))</f>
        <v/>
      </c>
      <c r="F2478" s="4">
        <f>IF(E2478="","",IF(E2478&lt;=3,6,IF(E2478&lt;=6,5,IF(E2478&lt;=9,4,IF(E2478&lt;=12,3,IF(E2478&lt;=15,2,0))))))</f>
        <v/>
      </c>
      <c r="G2478" s="3" t="n"/>
      <c r="H2478" s="4">
        <f>IF(I2478="Штраф -2",-2,IF(OR(F2478="",G2478=""),"",F2478*G2478+IF(J2478="",0,J2478)))</f>
        <v/>
      </c>
      <c r="I2478" s="3" t="n"/>
      <c r="J2478" s="3" t="n"/>
      <c r="K2478" s="3" t="n"/>
    </row>
    <row r="2479">
      <c r="A2479" s="3" t="n"/>
      <c r="B2479" s="3" t="n"/>
      <c r="C2479" s="3" t="n"/>
      <c r="D2479" s="3" t="n"/>
      <c r="E2479" s="4">
        <f>IF(A2479="","",COUNTIFS($A$4:A2479,A2479,$I$4:I2479,"&lt;&gt;Штраф -2",$I$4:I2479,"&lt;&gt;ушел на базу"))</f>
        <v/>
      </c>
      <c r="F2479" s="4">
        <f>IF(E2479="","",IF(E2479&lt;=3,6,IF(E2479&lt;=6,5,IF(E2479&lt;=9,4,IF(E2479&lt;=12,3,IF(E2479&lt;=15,2,0))))))</f>
        <v/>
      </c>
      <c r="G2479" s="3" t="n"/>
      <c r="H2479" s="4">
        <f>IF(I2479="Штраф -2",-2,IF(OR(F2479="",G2479=""),"",F2479*G2479+IF(J2479="",0,J2479)))</f>
        <v/>
      </c>
      <c r="I2479" s="3" t="n"/>
      <c r="J2479" s="3" t="n"/>
      <c r="K2479" s="3" t="n"/>
    </row>
    <row r="2480">
      <c r="A2480" s="3" t="n"/>
      <c r="B2480" s="3" t="n"/>
      <c r="C2480" s="3" t="n"/>
      <c r="D2480" s="3" t="n"/>
      <c r="E2480" s="4">
        <f>IF(A2480="","",COUNTIFS($A$4:A2480,A2480,$I$4:I2480,"&lt;&gt;Штраф -2",$I$4:I2480,"&lt;&gt;ушел на базу"))</f>
        <v/>
      </c>
      <c r="F2480" s="4">
        <f>IF(E2480="","",IF(E2480&lt;=3,6,IF(E2480&lt;=6,5,IF(E2480&lt;=9,4,IF(E2480&lt;=12,3,IF(E2480&lt;=15,2,0))))))</f>
        <v/>
      </c>
      <c r="G2480" s="3" t="n"/>
      <c r="H2480" s="4">
        <f>IF(I2480="Штраф -2",-2,IF(OR(F2480="",G2480=""),"",F2480*G2480+IF(J2480="",0,J2480)))</f>
        <v/>
      </c>
      <c r="I2480" s="3" t="n"/>
      <c r="J2480" s="3" t="n"/>
      <c r="K2480" s="3" t="n"/>
    </row>
    <row r="2481">
      <c r="A2481" s="3" t="n"/>
      <c r="B2481" s="3" t="n"/>
      <c r="C2481" s="3" t="n"/>
      <c r="D2481" s="3" t="n"/>
      <c r="E2481" s="4">
        <f>IF(A2481="","",COUNTIFS($A$4:A2481,A2481,$I$4:I2481,"&lt;&gt;Штраф -2",$I$4:I2481,"&lt;&gt;ушел на базу"))</f>
        <v/>
      </c>
      <c r="F2481" s="4">
        <f>IF(E2481="","",IF(E2481&lt;=3,6,IF(E2481&lt;=6,5,IF(E2481&lt;=9,4,IF(E2481&lt;=12,3,IF(E2481&lt;=15,2,0))))))</f>
        <v/>
      </c>
      <c r="G2481" s="3" t="n"/>
      <c r="H2481" s="4">
        <f>IF(I2481="Штраф -2",-2,IF(OR(F2481="",G2481=""),"",F2481*G2481+IF(J2481="",0,J2481)))</f>
        <v/>
      </c>
      <c r="I2481" s="3" t="n"/>
      <c r="J2481" s="3" t="n"/>
      <c r="K2481" s="3" t="n"/>
    </row>
    <row r="2482">
      <c r="A2482" s="3" t="n"/>
      <c r="B2482" s="3" t="n"/>
      <c r="C2482" s="3" t="n"/>
      <c r="D2482" s="3" t="n"/>
      <c r="E2482" s="4">
        <f>IF(A2482="","",COUNTIFS($A$4:A2482,A2482,$I$4:I2482,"&lt;&gt;Штраф -2",$I$4:I2482,"&lt;&gt;ушел на базу"))</f>
        <v/>
      </c>
      <c r="F2482" s="4">
        <f>IF(E2482="","",IF(E2482&lt;=3,6,IF(E2482&lt;=6,5,IF(E2482&lt;=9,4,IF(E2482&lt;=12,3,IF(E2482&lt;=15,2,0))))))</f>
        <v/>
      </c>
      <c r="G2482" s="3" t="n"/>
      <c r="H2482" s="4">
        <f>IF(I2482="Штраф -2",-2,IF(OR(F2482="",G2482=""),"",F2482*G2482+IF(J2482="",0,J2482)))</f>
        <v/>
      </c>
      <c r="I2482" s="3" t="n"/>
      <c r="J2482" s="3" t="n"/>
      <c r="K2482" s="3" t="n"/>
    </row>
    <row r="2483">
      <c r="A2483" s="3" t="n"/>
      <c r="B2483" s="3" t="n"/>
      <c r="C2483" s="3" t="n"/>
      <c r="D2483" s="3" t="n"/>
      <c r="E2483" s="4">
        <f>IF(A2483="","",COUNTIFS($A$4:A2483,A2483,$I$4:I2483,"&lt;&gt;Штраф -2",$I$4:I2483,"&lt;&gt;ушел на базу"))</f>
        <v/>
      </c>
      <c r="F2483" s="4">
        <f>IF(E2483="","",IF(E2483&lt;=3,6,IF(E2483&lt;=6,5,IF(E2483&lt;=9,4,IF(E2483&lt;=12,3,IF(E2483&lt;=15,2,0))))))</f>
        <v/>
      </c>
      <c r="G2483" s="3" t="n"/>
      <c r="H2483" s="4">
        <f>IF(I2483="Штраф -2",-2,IF(OR(F2483="",G2483=""),"",F2483*G2483+IF(J2483="",0,J2483)))</f>
        <v/>
      </c>
      <c r="I2483" s="3" t="n"/>
      <c r="J2483" s="3" t="n"/>
      <c r="K2483" s="3" t="n"/>
    </row>
    <row r="2484">
      <c r="A2484" s="3" t="n"/>
      <c r="B2484" s="3" t="n"/>
      <c r="C2484" s="3" t="n"/>
      <c r="D2484" s="3" t="n"/>
      <c r="E2484" s="4">
        <f>IF(A2484="","",COUNTIFS($A$4:A2484,A2484,$I$4:I2484,"&lt;&gt;Штраф -2",$I$4:I2484,"&lt;&gt;ушел на базу"))</f>
        <v/>
      </c>
      <c r="F2484" s="4">
        <f>IF(E2484="","",IF(E2484&lt;=3,6,IF(E2484&lt;=6,5,IF(E2484&lt;=9,4,IF(E2484&lt;=12,3,IF(E2484&lt;=15,2,0))))))</f>
        <v/>
      </c>
      <c r="G2484" s="3" t="n"/>
      <c r="H2484" s="4">
        <f>IF(I2484="Штраф -2",-2,IF(OR(F2484="",G2484=""),"",F2484*G2484+IF(J2484="",0,J2484)))</f>
        <v/>
      </c>
      <c r="I2484" s="3" t="n"/>
      <c r="J2484" s="3" t="n"/>
      <c r="K2484" s="3" t="n"/>
    </row>
    <row r="2485">
      <c r="A2485" s="3" t="n"/>
      <c r="B2485" s="3" t="n"/>
      <c r="C2485" s="3" t="n"/>
      <c r="D2485" s="3" t="n"/>
      <c r="E2485" s="4">
        <f>IF(A2485="","",COUNTIFS($A$4:A2485,A2485,$I$4:I2485,"&lt;&gt;Штраф -2",$I$4:I2485,"&lt;&gt;ушел на базу"))</f>
        <v/>
      </c>
      <c r="F2485" s="4">
        <f>IF(E2485="","",IF(E2485&lt;=3,6,IF(E2485&lt;=6,5,IF(E2485&lt;=9,4,IF(E2485&lt;=12,3,IF(E2485&lt;=15,2,0))))))</f>
        <v/>
      </c>
      <c r="G2485" s="3" t="n"/>
      <c r="H2485" s="4">
        <f>IF(I2485="Штраф -2",-2,IF(OR(F2485="",G2485=""),"",F2485*G2485+IF(J2485="",0,J2485)))</f>
        <v/>
      </c>
      <c r="I2485" s="3" t="n"/>
      <c r="J2485" s="3" t="n"/>
      <c r="K2485" s="3" t="n"/>
    </row>
    <row r="2486">
      <c r="A2486" s="3" t="n"/>
      <c r="B2486" s="3" t="n"/>
      <c r="C2486" s="3" t="n"/>
      <c r="D2486" s="3" t="n"/>
      <c r="E2486" s="4">
        <f>IF(A2486="","",COUNTIFS($A$4:A2486,A2486,$I$4:I2486,"&lt;&gt;Штраф -2",$I$4:I2486,"&lt;&gt;ушел на базу"))</f>
        <v/>
      </c>
      <c r="F2486" s="4">
        <f>IF(E2486="","",IF(E2486&lt;=3,6,IF(E2486&lt;=6,5,IF(E2486&lt;=9,4,IF(E2486&lt;=12,3,IF(E2486&lt;=15,2,0))))))</f>
        <v/>
      </c>
      <c r="G2486" s="3" t="n"/>
      <c r="H2486" s="4">
        <f>IF(I2486="Штраф -2",-2,IF(OR(F2486="",G2486=""),"",F2486*G2486+IF(J2486="",0,J2486)))</f>
        <v/>
      </c>
      <c r="I2486" s="3" t="n"/>
      <c r="J2486" s="3" t="n"/>
      <c r="K2486" s="3" t="n"/>
    </row>
    <row r="2487">
      <c r="A2487" s="3" t="n"/>
      <c r="B2487" s="3" t="n"/>
      <c r="C2487" s="3" t="n"/>
      <c r="D2487" s="3" t="n"/>
      <c r="E2487" s="4">
        <f>IF(A2487="","",COUNTIFS($A$4:A2487,A2487,$I$4:I2487,"&lt;&gt;Штраф -2",$I$4:I2487,"&lt;&gt;ушел на базу"))</f>
        <v/>
      </c>
      <c r="F2487" s="4">
        <f>IF(E2487="","",IF(E2487&lt;=3,6,IF(E2487&lt;=6,5,IF(E2487&lt;=9,4,IF(E2487&lt;=12,3,IF(E2487&lt;=15,2,0))))))</f>
        <v/>
      </c>
      <c r="G2487" s="3" t="n"/>
      <c r="H2487" s="4">
        <f>IF(I2487="Штраф -2",-2,IF(OR(F2487="",G2487=""),"",F2487*G2487+IF(J2487="",0,J2487)))</f>
        <v/>
      </c>
      <c r="I2487" s="3" t="n"/>
      <c r="J2487" s="3" t="n"/>
      <c r="K2487" s="3" t="n"/>
    </row>
    <row r="2488">
      <c r="A2488" s="3" t="n"/>
      <c r="B2488" s="3" t="n"/>
      <c r="C2488" s="3" t="n"/>
      <c r="D2488" s="3" t="n"/>
      <c r="E2488" s="4">
        <f>IF(A2488="","",COUNTIFS($A$4:A2488,A2488,$I$4:I2488,"&lt;&gt;Штраф -2",$I$4:I2488,"&lt;&gt;ушел на базу"))</f>
        <v/>
      </c>
      <c r="F2488" s="4">
        <f>IF(E2488="","",IF(E2488&lt;=3,6,IF(E2488&lt;=6,5,IF(E2488&lt;=9,4,IF(E2488&lt;=12,3,IF(E2488&lt;=15,2,0))))))</f>
        <v/>
      </c>
      <c r="G2488" s="3" t="n"/>
      <c r="H2488" s="4">
        <f>IF(I2488="Штраф -2",-2,IF(OR(F2488="",G2488=""),"",F2488*G2488+IF(J2488="",0,J2488)))</f>
        <v/>
      </c>
      <c r="I2488" s="3" t="n"/>
      <c r="J2488" s="3" t="n"/>
      <c r="K2488" s="3" t="n"/>
    </row>
    <row r="2489">
      <c r="A2489" s="3" t="n"/>
      <c r="B2489" s="3" t="n"/>
      <c r="C2489" s="3" t="n"/>
      <c r="D2489" s="3" t="n"/>
      <c r="E2489" s="4">
        <f>IF(A2489="","",COUNTIFS($A$4:A2489,A2489,$I$4:I2489,"&lt;&gt;Штраф -2",$I$4:I2489,"&lt;&gt;ушел на базу"))</f>
        <v/>
      </c>
      <c r="F2489" s="4">
        <f>IF(E2489="","",IF(E2489&lt;=3,6,IF(E2489&lt;=6,5,IF(E2489&lt;=9,4,IF(E2489&lt;=12,3,IF(E2489&lt;=15,2,0))))))</f>
        <v/>
      </c>
      <c r="G2489" s="3" t="n"/>
      <c r="H2489" s="4">
        <f>IF(I2489="Штраф -2",-2,IF(OR(F2489="",G2489=""),"",F2489*G2489+IF(J2489="",0,J2489)))</f>
        <v/>
      </c>
      <c r="I2489" s="3" t="n"/>
      <c r="J2489" s="3" t="n"/>
      <c r="K2489" s="3" t="n"/>
    </row>
    <row r="2490">
      <c r="A2490" s="3" t="n"/>
      <c r="B2490" s="3" t="n"/>
      <c r="C2490" s="3" t="n"/>
      <c r="D2490" s="3" t="n"/>
      <c r="E2490" s="4">
        <f>IF(A2490="","",COUNTIFS($A$4:A2490,A2490,$I$4:I2490,"&lt;&gt;Штраф -2",$I$4:I2490,"&lt;&gt;ушел на базу"))</f>
        <v/>
      </c>
      <c r="F2490" s="4">
        <f>IF(E2490="","",IF(E2490&lt;=3,6,IF(E2490&lt;=6,5,IF(E2490&lt;=9,4,IF(E2490&lt;=12,3,IF(E2490&lt;=15,2,0))))))</f>
        <v/>
      </c>
      <c r="G2490" s="3" t="n"/>
      <c r="H2490" s="4">
        <f>IF(I2490="Штраф -2",-2,IF(OR(F2490="",G2490=""),"",F2490*G2490+IF(J2490="",0,J2490)))</f>
        <v/>
      </c>
      <c r="I2490" s="3" t="n"/>
      <c r="J2490" s="3" t="n"/>
      <c r="K2490" s="3" t="n"/>
    </row>
    <row r="2491">
      <c r="A2491" s="3" t="n"/>
      <c r="B2491" s="3" t="n"/>
      <c r="C2491" s="3" t="n"/>
      <c r="D2491" s="3" t="n"/>
      <c r="E2491" s="4">
        <f>IF(A2491="","",COUNTIFS($A$4:A2491,A2491,$I$4:I2491,"&lt;&gt;Штраф -2",$I$4:I2491,"&lt;&gt;ушел на базу"))</f>
        <v/>
      </c>
      <c r="F2491" s="4">
        <f>IF(E2491="","",IF(E2491&lt;=3,6,IF(E2491&lt;=6,5,IF(E2491&lt;=9,4,IF(E2491&lt;=12,3,IF(E2491&lt;=15,2,0))))))</f>
        <v/>
      </c>
      <c r="G2491" s="3" t="n"/>
      <c r="H2491" s="4">
        <f>IF(I2491="Штраф -2",-2,IF(OR(F2491="",G2491=""),"",F2491*G2491+IF(J2491="",0,J2491)))</f>
        <v/>
      </c>
      <c r="I2491" s="3" t="n"/>
      <c r="J2491" s="3" t="n"/>
      <c r="K2491" s="3" t="n"/>
    </row>
    <row r="2492">
      <c r="A2492" s="3" t="n"/>
      <c r="B2492" s="3" t="n"/>
      <c r="C2492" s="3" t="n"/>
      <c r="D2492" s="3" t="n"/>
      <c r="E2492" s="4">
        <f>IF(A2492="","",COUNTIFS($A$4:A2492,A2492,$I$4:I2492,"&lt;&gt;Штраф -2",$I$4:I2492,"&lt;&gt;ушел на базу"))</f>
        <v/>
      </c>
      <c r="F2492" s="4">
        <f>IF(E2492="","",IF(E2492&lt;=3,6,IF(E2492&lt;=6,5,IF(E2492&lt;=9,4,IF(E2492&lt;=12,3,IF(E2492&lt;=15,2,0))))))</f>
        <v/>
      </c>
      <c r="G2492" s="3" t="n"/>
      <c r="H2492" s="4">
        <f>IF(I2492="Штраф -2",-2,IF(OR(F2492="",G2492=""),"",F2492*G2492+IF(J2492="",0,J2492)))</f>
        <v/>
      </c>
      <c r="I2492" s="3" t="n"/>
      <c r="J2492" s="3" t="n"/>
      <c r="K2492" s="3" t="n"/>
    </row>
    <row r="2493">
      <c r="A2493" s="3" t="n"/>
      <c r="B2493" s="3" t="n"/>
      <c r="C2493" s="3" t="n"/>
      <c r="D2493" s="3" t="n"/>
      <c r="E2493" s="4">
        <f>IF(A2493="","",COUNTIFS($A$4:A2493,A2493,$I$4:I2493,"&lt;&gt;Штраф -2",$I$4:I2493,"&lt;&gt;ушел на базу"))</f>
        <v/>
      </c>
      <c r="F2493" s="4">
        <f>IF(E2493="","",IF(E2493&lt;=3,6,IF(E2493&lt;=6,5,IF(E2493&lt;=9,4,IF(E2493&lt;=12,3,IF(E2493&lt;=15,2,0))))))</f>
        <v/>
      </c>
      <c r="G2493" s="3" t="n"/>
      <c r="H2493" s="4">
        <f>IF(I2493="Штраф -2",-2,IF(OR(F2493="",G2493=""),"",F2493*G2493+IF(J2493="",0,J2493)))</f>
        <v/>
      </c>
      <c r="I2493" s="3" t="n"/>
      <c r="J2493" s="3" t="n"/>
      <c r="K2493" s="3" t="n"/>
    </row>
    <row r="2494">
      <c r="A2494" s="3" t="n"/>
      <c r="B2494" s="3" t="n"/>
      <c r="C2494" s="3" t="n"/>
      <c r="D2494" s="3" t="n"/>
      <c r="E2494" s="4">
        <f>IF(A2494="","",COUNTIFS($A$4:A2494,A2494,$I$4:I2494,"&lt;&gt;Штраф -2",$I$4:I2494,"&lt;&gt;ушел на базу"))</f>
        <v/>
      </c>
      <c r="F2494" s="4">
        <f>IF(E2494="","",IF(E2494&lt;=3,6,IF(E2494&lt;=6,5,IF(E2494&lt;=9,4,IF(E2494&lt;=12,3,IF(E2494&lt;=15,2,0))))))</f>
        <v/>
      </c>
      <c r="G2494" s="3" t="n"/>
      <c r="H2494" s="4">
        <f>IF(I2494="Штраф -2",-2,IF(OR(F2494="",G2494=""),"",F2494*G2494+IF(J2494="",0,J2494)))</f>
        <v/>
      </c>
      <c r="I2494" s="3" t="n"/>
      <c r="J2494" s="3" t="n"/>
      <c r="K2494" s="3" t="n"/>
    </row>
    <row r="2495">
      <c r="A2495" s="3" t="n"/>
      <c r="B2495" s="3" t="n"/>
      <c r="C2495" s="3" t="n"/>
      <c r="D2495" s="3" t="n"/>
      <c r="E2495" s="4">
        <f>IF(A2495="","",COUNTIFS($A$4:A2495,A2495,$I$4:I2495,"&lt;&gt;Штраф -2",$I$4:I2495,"&lt;&gt;ушел на базу"))</f>
        <v/>
      </c>
      <c r="F2495" s="4">
        <f>IF(E2495="","",IF(E2495&lt;=3,6,IF(E2495&lt;=6,5,IF(E2495&lt;=9,4,IF(E2495&lt;=12,3,IF(E2495&lt;=15,2,0))))))</f>
        <v/>
      </c>
      <c r="G2495" s="3" t="n"/>
      <c r="H2495" s="4">
        <f>IF(I2495="Штраф -2",-2,IF(OR(F2495="",G2495=""),"",F2495*G2495+IF(J2495="",0,J2495)))</f>
        <v/>
      </c>
      <c r="I2495" s="3" t="n"/>
      <c r="J2495" s="3" t="n"/>
      <c r="K2495" s="3" t="n"/>
    </row>
    <row r="2496">
      <c r="A2496" s="3" t="n"/>
      <c r="B2496" s="3" t="n"/>
      <c r="C2496" s="3" t="n"/>
      <c r="D2496" s="3" t="n"/>
      <c r="E2496" s="4">
        <f>IF(A2496="","",COUNTIFS($A$4:A2496,A2496,$I$4:I2496,"&lt;&gt;Штраф -2",$I$4:I2496,"&lt;&gt;ушел на базу"))</f>
        <v/>
      </c>
      <c r="F2496" s="4">
        <f>IF(E2496="","",IF(E2496&lt;=3,6,IF(E2496&lt;=6,5,IF(E2496&lt;=9,4,IF(E2496&lt;=12,3,IF(E2496&lt;=15,2,0))))))</f>
        <v/>
      </c>
      <c r="G2496" s="3" t="n"/>
      <c r="H2496" s="4">
        <f>IF(I2496="Штраф -2",-2,IF(OR(F2496="",G2496=""),"",F2496*G2496+IF(J2496="",0,J2496)))</f>
        <v/>
      </c>
      <c r="I2496" s="3" t="n"/>
      <c r="J2496" s="3" t="n"/>
      <c r="K2496" s="3" t="n"/>
    </row>
    <row r="2497">
      <c r="A2497" s="3" t="n"/>
      <c r="B2497" s="3" t="n"/>
      <c r="C2497" s="3" t="n"/>
      <c r="D2497" s="3" t="n"/>
      <c r="E2497" s="4">
        <f>IF(A2497="","",COUNTIFS($A$4:A2497,A2497,$I$4:I2497,"&lt;&gt;Штраф -2",$I$4:I2497,"&lt;&gt;ушел на базу"))</f>
        <v/>
      </c>
      <c r="F2497" s="4">
        <f>IF(E2497="","",IF(E2497&lt;=3,6,IF(E2497&lt;=6,5,IF(E2497&lt;=9,4,IF(E2497&lt;=12,3,IF(E2497&lt;=15,2,0))))))</f>
        <v/>
      </c>
      <c r="G2497" s="3" t="n"/>
      <c r="H2497" s="4">
        <f>IF(I2497="Штраф -2",-2,IF(OR(F2497="",G2497=""),"",F2497*G2497+IF(J2497="",0,J2497)))</f>
        <v/>
      </c>
      <c r="I2497" s="3" t="n"/>
      <c r="J2497" s="3" t="n"/>
      <c r="K2497" s="3" t="n"/>
    </row>
    <row r="2498">
      <c r="A2498" s="3" t="n"/>
      <c r="B2498" s="3" t="n"/>
      <c r="C2498" s="3" t="n"/>
      <c r="D2498" s="3" t="n"/>
      <c r="E2498" s="4">
        <f>IF(A2498="","",COUNTIFS($A$4:A2498,A2498,$I$4:I2498,"&lt;&gt;Штраф -2",$I$4:I2498,"&lt;&gt;ушел на базу"))</f>
        <v/>
      </c>
      <c r="F2498" s="4">
        <f>IF(E2498="","",IF(E2498&lt;=3,6,IF(E2498&lt;=6,5,IF(E2498&lt;=9,4,IF(E2498&lt;=12,3,IF(E2498&lt;=15,2,0))))))</f>
        <v/>
      </c>
      <c r="G2498" s="3" t="n"/>
      <c r="H2498" s="4">
        <f>IF(I2498="Штраф -2",-2,IF(OR(F2498="",G2498=""),"",F2498*G2498+IF(J2498="",0,J2498)))</f>
        <v/>
      </c>
      <c r="I2498" s="3" t="n"/>
      <c r="J2498" s="3" t="n"/>
      <c r="K2498" s="3" t="n"/>
    </row>
    <row r="2499">
      <c r="A2499" s="3" t="n"/>
      <c r="B2499" s="3" t="n"/>
      <c r="C2499" s="3" t="n"/>
      <c r="D2499" s="3" t="n"/>
      <c r="E2499" s="4">
        <f>IF(A2499="","",COUNTIFS($A$4:A2499,A2499,$I$4:I2499,"&lt;&gt;Штраф -2",$I$4:I2499,"&lt;&gt;ушел на базу"))</f>
        <v/>
      </c>
      <c r="F2499" s="4">
        <f>IF(E2499="","",IF(E2499&lt;=3,6,IF(E2499&lt;=6,5,IF(E2499&lt;=9,4,IF(E2499&lt;=12,3,IF(E2499&lt;=15,2,0))))))</f>
        <v/>
      </c>
      <c r="G2499" s="3" t="n"/>
      <c r="H2499" s="4">
        <f>IF(I2499="Штраф -2",-2,IF(OR(F2499="",G2499=""),"",F2499*G2499+IF(J2499="",0,J2499)))</f>
        <v/>
      </c>
      <c r="I2499" s="3" t="n"/>
      <c r="J2499" s="3" t="n"/>
      <c r="K2499" s="3" t="n"/>
    </row>
    <row r="2500">
      <c r="A2500" s="3" t="n"/>
      <c r="B2500" s="3" t="n"/>
      <c r="C2500" s="3" t="n"/>
      <c r="D2500" s="3" t="n"/>
      <c r="E2500" s="4">
        <f>IF(A2500="","",COUNTIFS($A$4:A2500,A2500,$I$4:I2500,"&lt;&gt;Штраф -2",$I$4:I2500,"&lt;&gt;ушел на базу"))</f>
        <v/>
      </c>
      <c r="F2500" s="4">
        <f>IF(E2500="","",IF(E2500&lt;=3,6,IF(E2500&lt;=6,5,IF(E2500&lt;=9,4,IF(E2500&lt;=12,3,IF(E2500&lt;=15,2,0))))))</f>
        <v/>
      </c>
      <c r="G2500" s="3" t="n"/>
      <c r="H2500" s="4">
        <f>IF(I2500="Штраф -2",-2,IF(OR(F2500="",G2500=""),"",F2500*G2500+IF(J2500="",0,J2500)))</f>
        <v/>
      </c>
      <c r="I2500" s="3" t="n"/>
      <c r="J2500" s="3" t="n"/>
      <c r="K2500" s="3" t="n"/>
    </row>
    <row r="2501">
      <c r="A2501" s="3" t="n"/>
      <c r="B2501" s="3" t="n"/>
      <c r="C2501" s="3" t="n"/>
      <c r="D2501" s="3" t="n"/>
      <c r="E2501" s="4">
        <f>IF(A2501="","",COUNTIFS($A$4:A2501,A2501,$I$4:I2501,"&lt;&gt;Штраф -2",$I$4:I2501,"&lt;&gt;ушел на базу"))</f>
        <v/>
      </c>
      <c r="F2501" s="4">
        <f>IF(E2501="","",IF(E2501&lt;=3,6,IF(E2501&lt;=6,5,IF(E2501&lt;=9,4,IF(E2501&lt;=12,3,IF(E2501&lt;=15,2,0))))))</f>
        <v/>
      </c>
      <c r="G2501" s="3" t="n"/>
      <c r="H2501" s="4">
        <f>IF(I2501="Штраф -2",-2,IF(OR(F2501="",G2501=""),"",F2501*G2501+IF(J2501="",0,J2501)))</f>
        <v/>
      </c>
      <c r="I2501" s="3" t="n"/>
      <c r="J2501" s="3" t="n"/>
      <c r="K2501" s="3" t="n"/>
    </row>
    <row r="2502">
      <c r="A2502" s="3" t="n"/>
      <c r="B2502" s="3" t="n"/>
      <c r="C2502" s="3" t="n"/>
      <c r="D2502" s="3" t="n"/>
      <c r="E2502" s="4">
        <f>IF(A2502="","",COUNTIFS($A$4:A2502,A2502,$I$4:I2502,"&lt;&gt;Штраф -2",$I$4:I2502,"&lt;&gt;ушел на базу"))</f>
        <v/>
      </c>
      <c r="F2502" s="4">
        <f>IF(E2502="","",IF(E2502&lt;=3,6,IF(E2502&lt;=6,5,IF(E2502&lt;=9,4,IF(E2502&lt;=12,3,IF(E2502&lt;=15,2,0))))))</f>
        <v/>
      </c>
      <c r="G2502" s="3" t="n"/>
      <c r="H2502" s="4">
        <f>IF(I2502="Штраф -2",-2,IF(OR(F2502="",G2502=""),"",F2502*G2502+IF(J2502="",0,J2502)))</f>
        <v/>
      </c>
      <c r="I2502" s="3" t="n"/>
      <c r="J2502" s="3" t="n"/>
      <c r="K2502" s="3" t="n"/>
    </row>
    <row r="2503">
      <c r="A2503" s="3" t="n"/>
      <c r="B2503" s="3" t="n"/>
      <c r="C2503" s="3" t="n"/>
      <c r="D2503" s="3" t="n"/>
      <c r="E2503" s="4">
        <f>IF(A2503="","",COUNTIFS($A$4:A2503,A2503,$I$4:I2503,"&lt;&gt;Штраф -2",$I$4:I2503,"&lt;&gt;ушел на базу"))</f>
        <v/>
      </c>
      <c r="F2503" s="4">
        <f>IF(E2503="","",IF(E2503&lt;=3,6,IF(E2503&lt;=6,5,IF(E2503&lt;=9,4,IF(E2503&lt;=12,3,IF(E2503&lt;=15,2,0))))))</f>
        <v/>
      </c>
      <c r="G2503" s="3" t="n"/>
      <c r="H2503" s="4">
        <f>IF(I2503="Штраф -2",-2,IF(OR(F2503="",G2503=""),"",F2503*G2503+IF(J2503="",0,J2503)))</f>
        <v/>
      </c>
      <c r="I2503" s="3" t="n"/>
      <c r="J2503" s="3" t="n"/>
      <c r="K2503" s="3" t="n"/>
    </row>
    <row r="2504">
      <c r="A2504" s="3" t="n"/>
      <c r="B2504" s="3" t="n"/>
      <c r="C2504" s="3" t="n"/>
      <c r="D2504" s="3" t="n"/>
      <c r="E2504" s="4">
        <f>IF(A2504="","",COUNTIFS($A$4:A2504,A2504,$I$4:I2504,"&lt;&gt;Штраф -2",$I$4:I2504,"&lt;&gt;ушел на базу"))</f>
        <v/>
      </c>
      <c r="F2504" s="4">
        <f>IF(E2504="","",IF(E2504&lt;=3,6,IF(E2504&lt;=6,5,IF(E2504&lt;=9,4,IF(E2504&lt;=12,3,IF(E2504&lt;=15,2,0))))))</f>
        <v/>
      </c>
      <c r="G2504" s="3" t="n"/>
      <c r="H2504" s="4">
        <f>IF(I2504="Штраф -2",-2,IF(OR(F2504="",G2504=""),"",F2504*G2504+IF(J2504="",0,J2504)))</f>
        <v/>
      </c>
      <c r="I2504" s="3" t="n"/>
      <c r="J2504" s="3" t="n"/>
      <c r="K2504" s="3" t="n"/>
    </row>
    <row r="2505">
      <c r="A2505" s="3" t="n"/>
      <c r="B2505" s="3" t="n"/>
      <c r="C2505" s="3" t="n"/>
      <c r="D2505" s="3" t="n"/>
      <c r="E2505" s="4">
        <f>IF(A2505="","",COUNTIFS($A$4:A2505,A2505,$I$4:I2505,"&lt;&gt;Штраф -2",$I$4:I2505,"&lt;&gt;ушел на базу"))</f>
        <v/>
      </c>
      <c r="F2505" s="4">
        <f>IF(E2505="","",IF(E2505&lt;=3,6,IF(E2505&lt;=6,5,IF(E2505&lt;=9,4,IF(E2505&lt;=12,3,IF(E2505&lt;=15,2,0))))))</f>
        <v/>
      </c>
      <c r="G2505" s="3" t="n"/>
      <c r="H2505" s="4">
        <f>IF(I2505="Штраф -2",-2,IF(OR(F2505="",G2505=""),"",F2505*G2505+IF(J2505="",0,J2505)))</f>
        <v/>
      </c>
      <c r="I2505" s="3" t="n"/>
      <c r="J2505" s="3" t="n"/>
      <c r="K2505" s="3" t="n"/>
    </row>
    <row r="2506">
      <c r="A2506" s="3" t="n"/>
      <c r="B2506" s="3" t="n"/>
      <c r="C2506" s="3" t="n"/>
      <c r="D2506" s="3" t="n"/>
      <c r="E2506" s="4">
        <f>IF(A2506="","",COUNTIFS($A$4:A2506,A2506,$I$4:I2506,"&lt;&gt;Штраф -2",$I$4:I2506,"&lt;&gt;ушел на базу"))</f>
        <v/>
      </c>
      <c r="F2506" s="4">
        <f>IF(E2506="","",IF(E2506&lt;=3,6,IF(E2506&lt;=6,5,IF(E2506&lt;=9,4,IF(E2506&lt;=12,3,IF(E2506&lt;=15,2,0))))))</f>
        <v/>
      </c>
      <c r="G2506" s="3" t="n"/>
      <c r="H2506" s="4">
        <f>IF(I2506="Штраф -2",-2,IF(OR(F2506="",G2506=""),"",F2506*G2506+IF(J2506="",0,J2506)))</f>
        <v/>
      </c>
      <c r="I2506" s="3" t="n"/>
      <c r="J2506" s="3" t="n"/>
      <c r="K2506" s="3" t="n"/>
    </row>
    <row r="2507">
      <c r="A2507" s="3" t="n"/>
      <c r="B2507" s="3" t="n"/>
      <c r="C2507" s="3" t="n"/>
      <c r="D2507" s="3" t="n"/>
      <c r="E2507" s="4">
        <f>IF(A2507="","",COUNTIFS($A$4:A2507,A2507,$I$4:I2507,"&lt;&gt;Штраф -2",$I$4:I2507,"&lt;&gt;ушел на базу"))</f>
        <v/>
      </c>
      <c r="F2507" s="4">
        <f>IF(E2507="","",IF(E2507&lt;=3,6,IF(E2507&lt;=6,5,IF(E2507&lt;=9,4,IF(E2507&lt;=12,3,IF(E2507&lt;=15,2,0))))))</f>
        <v/>
      </c>
      <c r="G2507" s="3" t="n"/>
      <c r="H2507" s="4">
        <f>IF(I2507="Штраф -2",-2,IF(OR(F2507="",G2507=""),"",F2507*G2507+IF(J2507="",0,J2507)))</f>
        <v/>
      </c>
      <c r="I2507" s="3" t="n"/>
      <c r="J2507" s="3" t="n"/>
      <c r="K2507" s="3" t="n"/>
    </row>
    <row r="2508">
      <c r="A2508" s="3" t="n"/>
      <c r="B2508" s="3" t="n"/>
      <c r="C2508" s="3" t="n"/>
      <c r="D2508" s="3" t="n"/>
      <c r="E2508" s="4">
        <f>IF(A2508="","",COUNTIFS($A$4:A2508,A2508,$I$4:I2508,"&lt;&gt;Штраф -2",$I$4:I2508,"&lt;&gt;ушел на базу"))</f>
        <v/>
      </c>
      <c r="F2508" s="4">
        <f>IF(E2508="","",IF(E2508&lt;=3,6,IF(E2508&lt;=6,5,IF(E2508&lt;=9,4,IF(E2508&lt;=12,3,IF(E2508&lt;=15,2,0))))))</f>
        <v/>
      </c>
      <c r="G2508" s="3" t="n"/>
      <c r="H2508" s="4">
        <f>IF(I2508="Штраф -2",-2,IF(OR(F2508="",G2508=""),"",F2508*G2508+IF(J2508="",0,J2508)))</f>
        <v/>
      </c>
      <c r="I2508" s="3" t="n"/>
      <c r="J2508" s="3" t="n"/>
      <c r="K2508" s="3" t="n"/>
    </row>
    <row r="2509">
      <c r="A2509" s="3" t="n"/>
      <c r="B2509" s="3" t="n"/>
      <c r="C2509" s="3" t="n"/>
      <c r="D2509" s="3" t="n"/>
      <c r="E2509" s="4">
        <f>IF(A2509="","",COUNTIFS($A$4:A2509,A2509,$I$4:I2509,"&lt;&gt;Штраф -2",$I$4:I2509,"&lt;&gt;ушел на базу"))</f>
        <v/>
      </c>
      <c r="F2509" s="4">
        <f>IF(E2509="","",IF(E2509&lt;=3,6,IF(E2509&lt;=6,5,IF(E2509&lt;=9,4,IF(E2509&lt;=12,3,IF(E2509&lt;=15,2,0))))))</f>
        <v/>
      </c>
      <c r="G2509" s="3" t="n"/>
      <c r="H2509" s="4">
        <f>IF(I2509="Штраф -2",-2,IF(OR(F2509="",G2509=""),"",F2509*G2509+IF(J2509="",0,J2509)))</f>
        <v/>
      </c>
      <c r="I2509" s="3" t="n"/>
      <c r="J2509" s="3" t="n"/>
      <c r="K2509" s="3" t="n"/>
    </row>
    <row r="2510">
      <c r="A2510" s="3" t="n"/>
      <c r="B2510" s="3" t="n"/>
      <c r="C2510" s="3" t="n"/>
      <c r="D2510" s="3" t="n"/>
      <c r="E2510" s="4">
        <f>IF(A2510="","",COUNTIFS($A$4:A2510,A2510,$I$4:I2510,"&lt;&gt;Штраф -2",$I$4:I2510,"&lt;&gt;ушел на базу"))</f>
        <v/>
      </c>
      <c r="F2510" s="4">
        <f>IF(E2510="","",IF(E2510&lt;=3,6,IF(E2510&lt;=6,5,IF(E2510&lt;=9,4,IF(E2510&lt;=12,3,IF(E2510&lt;=15,2,0))))))</f>
        <v/>
      </c>
      <c r="G2510" s="3" t="n"/>
      <c r="H2510" s="4">
        <f>IF(I2510="Штраф -2",-2,IF(OR(F2510="",G2510=""),"",F2510*G2510+IF(J2510="",0,J2510)))</f>
        <v/>
      </c>
      <c r="I2510" s="3" t="n"/>
      <c r="J2510" s="3" t="n"/>
      <c r="K2510" s="3" t="n"/>
    </row>
    <row r="2511">
      <c r="A2511" s="3" t="n"/>
      <c r="B2511" s="3" t="n"/>
      <c r="C2511" s="3" t="n"/>
      <c r="D2511" s="3" t="n"/>
      <c r="E2511" s="4">
        <f>IF(A2511="","",COUNTIFS($A$4:A2511,A2511,$I$4:I2511,"&lt;&gt;Штраф -2",$I$4:I2511,"&lt;&gt;ушел на базу"))</f>
        <v/>
      </c>
      <c r="F2511" s="4">
        <f>IF(E2511="","",IF(E2511&lt;=3,6,IF(E2511&lt;=6,5,IF(E2511&lt;=9,4,IF(E2511&lt;=12,3,IF(E2511&lt;=15,2,0))))))</f>
        <v/>
      </c>
      <c r="G2511" s="3" t="n"/>
      <c r="H2511" s="4">
        <f>IF(I2511="Штраф -2",-2,IF(OR(F2511="",G2511=""),"",F2511*G2511+IF(J2511="",0,J2511)))</f>
        <v/>
      </c>
      <c r="I2511" s="3" t="n"/>
      <c r="J2511" s="3" t="n"/>
      <c r="K2511" s="3" t="n"/>
    </row>
    <row r="2512">
      <c r="A2512" s="3" t="n"/>
      <c r="B2512" s="3" t="n"/>
      <c r="C2512" s="3" t="n"/>
      <c r="D2512" s="3" t="n"/>
      <c r="E2512" s="4">
        <f>IF(A2512="","",COUNTIFS($A$4:A2512,A2512,$I$4:I2512,"&lt;&gt;Штраф -2",$I$4:I2512,"&lt;&gt;ушел на базу"))</f>
        <v/>
      </c>
      <c r="F2512" s="4">
        <f>IF(E2512="","",IF(E2512&lt;=3,6,IF(E2512&lt;=6,5,IF(E2512&lt;=9,4,IF(E2512&lt;=12,3,IF(E2512&lt;=15,2,0))))))</f>
        <v/>
      </c>
      <c r="G2512" s="3" t="n"/>
      <c r="H2512" s="4">
        <f>IF(I2512="Штраф -2",-2,IF(OR(F2512="",G2512=""),"",F2512*G2512+IF(J2512="",0,J2512)))</f>
        <v/>
      </c>
      <c r="I2512" s="3" t="n"/>
      <c r="J2512" s="3" t="n"/>
      <c r="K2512" s="3" t="n"/>
    </row>
    <row r="2513">
      <c r="A2513" s="3" t="n"/>
      <c r="B2513" s="3" t="n"/>
      <c r="C2513" s="3" t="n"/>
      <c r="D2513" s="3" t="n"/>
      <c r="E2513" s="4">
        <f>IF(A2513="","",COUNTIFS($A$4:A2513,A2513,$I$4:I2513,"&lt;&gt;Штраф -2",$I$4:I2513,"&lt;&gt;ушел на базу"))</f>
        <v/>
      </c>
      <c r="F2513" s="4">
        <f>IF(E2513="","",IF(E2513&lt;=3,6,IF(E2513&lt;=6,5,IF(E2513&lt;=9,4,IF(E2513&lt;=12,3,IF(E2513&lt;=15,2,0))))))</f>
        <v/>
      </c>
      <c r="G2513" s="3" t="n"/>
      <c r="H2513" s="4">
        <f>IF(I2513="Штраф -2",-2,IF(OR(F2513="",G2513=""),"",F2513*G2513+IF(J2513="",0,J2513)))</f>
        <v/>
      </c>
      <c r="I2513" s="3" t="n"/>
      <c r="J2513" s="3" t="n"/>
      <c r="K2513" s="3" t="n"/>
    </row>
    <row r="2514">
      <c r="A2514" s="3" t="n"/>
      <c r="B2514" s="3" t="n"/>
      <c r="C2514" s="3" t="n"/>
      <c r="D2514" s="3" t="n"/>
      <c r="E2514" s="4">
        <f>IF(A2514="","",COUNTIFS($A$4:A2514,A2514,$I$4:I2514,"&lt;&gt;Штраф -2",$I$4:I2514,"&lt;&gt;ушел на базу"))</f>
        <v/>
      </c>
      <c r="F2514" s="4">
        <f>IF(E2514="","",IF(E2514&lt;=3,6,IF(E2514&lt;=6,5,IF(E2514&lt;=9,4,IF(E2514&lt;=12,3,IF(E2514&lt;=15,2,0))))))</f>
        <v/>
      </c>
      <c r="G2514" s="3" t="n"/>
      <c r="H2514" s="4">
        <f>IF(I2514="Штраф -2",-2,IF(OR(F2514="",G2514=""),"",F2514*G2514+IF(J2514="",0,J2514)))</f>
        <v/>
      </c>
      <c r="I2514" s="3" t="n"/>
      <c r="J2514" s="3" t="n"/>
      <c r="K2514" s="3" t="n"/>
    </row>
    <row r="2515">
      <c r="A2515" s="3" t="n"/>
      <c r="B2515" s="3" t="n"/>
      <c r="C2515" s="3" t="n"/>
      <c r="D2515" s="3" t="n"/>
      <c r="E2515" s="4">
        <f>IF(A2515="","",COUNTIFS($A$4:A2515,A2515,$I$4:I2515,"&lt;&gt;Штраф -2",$I$4:I2515,"&lt;&gt;ушел на базу"))</f>
        <v/>
      </c>
      <c r="F2515" s="4">
        <f>IF(E2515="","",IF(E2515&lt;=3,6,IF(E2515&lt;=6,5,IF(E2515&lt;=9,4,IF(E2515&lt;=12,3,IF(E2515&lt;=15,2,0))))))</f>
        <v/>
      </c>
      <c r="G2515" s="3" t="n"/>
      <c r="H2515" s="4">
        <f>IF(I2515="Штраф -2",-2,IF(OR(F2515="",G2515=""),"",F2515*G2515+IF(J2515="",0,J2515)))</f>
        <v/>
      </c>
      <c r="I2515" s="3" t="n"/>
      <c r="J2515" s="3" t="n"/>
      <c r="K2515" s="3" t="n"/>
    </row>
    <row r="2516">
      <c r="A2516" s="3" t="n"/>
      <c r="B2516" s="3" t="n"/>
      <c r="C2516" s="3" t="n"/>
      <c r="D2516" s="3" t="n"/>
      <c r="E2516" s="4">
        <f>IF(A2516="","",COUNTIFS($A$4:A2516,A2516,$I$4:I2516,"&lt;&gt;Штраф -2",$I$4:I2516,"&lt;&gt;ушел на базу"))</f>
        <v/>
      </c>
      <c r="F2516" s="4">
        <f>IF(E2516="","",IF(E2516&lt;=3,6,IF(E2516&lt;=6,5,IF(E2516&lt;=9,4,IF(E2516&lt;=12,3,IF(E2516&lt;=15,2,0))))))</f>
        <v/>
      </c>
      <c r="G2516" s="3" t="n"/>
      <c r="H2516" s="4">
        <f>IF(I2516="Штраф -2",-2,IF(OR(F2516="",G2516=""),"",F2516*G2516+IF(J2516="",0,J2516)))</f>
        <v/>
      </c>
      <c r="I2516" s="3" t="n"/>
      <c r="J2516" s="3" t="n"/>
      <c r="K2516" s="3" t="n"/>
    </row>
    <row r="2517">
      <c r="A2517" s="3" t="n"/>
      <c r="B2517" s="3" t="n"/>
      <c r="C2517" s="3" t="n"/>
      <c r="D2517" s="3" t="n"/>
      <c r="E2517" s="4">
        <f>IF(A2517="","",COUNTIFS($A$4:A2517,A2517,$I$4:I2517,"&lt;&gt;Штраф -2",$I$4:I2517,"&lt;&gt;ушел на базу"))</f>
        <v/>
      </c>
      <c r="F2517" s="4">
        <f>IF(E2517="","",IF(E2517&lt;=3,6,IF(E2517&lt;=6,5,IF(E2517&lt;=9,4,IF(E2517&lt;=12,3,IF(E2517&lt;=15,2,0))))))</f>
        <v/>
      </c>
      <c r="G2517" s="3" t="n"/>
      <c r="H2517" s="4">
        <f>IF(I2517="Штраф -2",-2,IF(OR(F2517="",G2517=""),"",F2517*G2517+IF(J2517="",0,J2517)))</f>
        <v/>
      </c>
      <c r="I2517" s="3" t="n"/>
      <c r="J2517" s="3" t="n"/>
      <c r="K2517" s="3" t="n"/>
    </row>
    <row r="2518">
      <c r="A2518" s="3" t="n"/>
      <c r="B2518" s="3" t="n"/>
      <c r="C2518" s="3" t="n"/>
      <c r="D2518" s="3" t="n"/>
      <c r="E2518" s="4">
        <f>IF(A2518="","",COUNTIFS($A$4:A2518,A2518,$I$4:I2518,"&lt;&gt;Штраф -2",$I$4:I2518,"&lt;&gt;ушел на базу"))</f>
        <v/>
      </c>
      <c r="F2518" s="4">
        <f>IF(E2518="","",IF(E2518&lt;=3,6,IF(E2518&lt;=6,5,IF(E2518&lt;=9,4,IF(E2518&lt;=12,3,IF(E2518&lt;=15,2,0))))))</f>
        <v/>
      </c>
      <c r="G2518" s="3" t="n"/>
      <c r="H2518" s="4">
        <f>IF(I2518="Штраф -2",-2,IF(OR(F2518="",G2518=""),"",F2518*G2518+IF(J2518="",0,J2518)))</f>
        <v/>
      </c>
      <c r="I2518" s="3" t="n"/>
      <c r="J2518" s="3" t="n"/>
      <c r="K2518" s="3" t="n"/>
    </row>
    <row r="2519">
      <c r="A2519" s="3" t="n"/>
      <c r="B2519" s="3" t="n"/>
      <c r="C2519" s="3" t="n"/>
      <c r="D2519" s="3" t="n"/>
      <c r="E2519" s="4">
        <f>IF(A2519="","",COUNTIFS($A$4:A2519,A2519,$I$4:I2519,"&lt;&gt;Штраф -2",$I$4:I2519,"&lt;&gt;ушел на базу"))</f>
        <v/>
      </c>
      <c r="F2519" s="4">
        <f>IF(E2519="","",IF(E2519&lt;=3,6,IF(E2519&lt;=6,5,IF(E2519&lt;=9,4,IF(E2519&lt;=12,3,IF(E2519&lt;=15,2,0))))))</f>
        <v/>
      </c>
      <c r="G2519" s="3" t="n"/>
      <c r="H2519" s="4">
        <f>IF(I2519="Штраф -2",-2,IF(OR(F2519="",G2519=""),"",F2519*G2519+IF(J2519="",0,J2519)))</f>
        <v/>
      </c>
      <c r="I2519" s="3" t="n"/>
      <c r="J2519" s="3" t="n"/>
      <c r="K2519" s="3" t="n"/>
    </row>
    <row r="2520">
      <c r="A2520" s="3" t="n"/>
      <c r="B2520" s="3" t="n"/>
      <c r="C2520" s="3" t="n"/>
      <c r="D2520" s="3" t="n"/>
      <c r="E2520" s="4">
        <f>IF(A2520="","",COUNTIFS($A$4:A2520,A2520,$I$4:I2520,"&lt;&gt;Штраф -2",$I$4:I2520,"&lt;&gt;ушел на базу"))</f>
        <v/>
      </c>
      <c r="F2520" s="4">
        <f>IF(E2520="","",IF(E2520&lt;=3,6,IF(E2520&lt;=6,5,IF(E2520&lt;=9,4,IF(E2520&lt;=12,3,IF(E2520&lt;=15,2,0))))))</f>
        <v/>
      </c>
      <c r="G2520" s="3" t="n"/>
      <c r="H2520" s="4">
        <f>IF(I2520="Штраф -2",-2,IF(OR(F2520="",G2520=""),"",F2520*G2520+IF(J2520="",0,J2520)))</f>
        <v/>
      </c>
      <c r="I2520" s="3" t="n"/>
      <c r="J2520" s="3" t="n"/>
      <c r="K2520" s="3" t="n"/>
    </row>
    <row r="2521">
      <c r="A2521" s="3" t="n"/>
      <c r="B2521" s="3" t="n"/>
      <c r="C2521" s="3" t="n"/>
      <c r="D2521" s="3" t="n"/>
      <c r="E2521" s="4">
        <f>IF(A2521="","",COUNTIFS($A$4:A2521,A2521,$I$4:I2521,"&lt;&gt;Штраф -2",$I$4:I2521,"&lt;&gt;ушел на базу"))</f>
        <v/>
      </c>
      <c r="F2521" s="4">
        <f>IF(E2521="","",IF(E2521&lt;=3,6,IF(E2521&lt;=6,5,IF(E2521&lt;=9,4,IF(E2521&lt;=12,3,IF(E2521&lt;=15,2,0))))))</f>
        <v/>
      </c>
      <c r="G2521" s="3" t="n"/>
      <c r="H2521" s="4">
        <f>IF(I2521="Штраф -2",-2,IF(OR(F2521="",G2521=""),"",F2521*G2521+IF(J2521="",0,J2521)))</f>
        <v/>
      </c>
      <c r="I2521" s="3" t="n"/>
      <c r="J2521" s="3" t="n"/>
      <c r="K2521" s="3" t="n"/>
    </row>
    <row r="2522">
      <c r="A2522" s="3" t="n"/>
      <c r="B2522" s="3" t="n"/>
      <c r="C2522" s="3" t="n"/>
      <c r="D2522" s="3" t="n"/>
      <c r="E2522" s="4">
        <f>IF(A2522="","",COUNTIFS($A$4:A2522,A2522,$I$4:I2522,"&lt;&gt;Штраф -2",$I$4:I2522,"&lt;&gt;ушел на базу"))</f>
        <v/>
      </c>
      <c r="F2522" s="4">
        <f>IF(E2522="","",IF(E2522&lt;=3,6,IF(E2522&lt;=6,5,IF(E2522&lt;=9,4,IF(E2522&lt;=12,3,IF(E2522&lt;=15,2,0))))))</f>
        <v/>
      </c>
      <c r="G2522" s="3" t="n"/>
      <c r="H2522" s="4">
        <f>IF(I2522="Штраф -2",-2,IF(OR(F2522="",G2522=""),"",F2522*G2522+IF(J2522="",0,J2522)))</f>
        <v/>
      </c>
      <c r="I2522" s="3" t="n"/>
      <c r="J2522" s="3" t="n"/>
      <c r="K2522" s="3" t="n"/>
    </row>
    <row r="2523">
      <c r="A2523" s="3" t="n"/>
      <c r="B2523" s="3" t="n"/>
      <c r="C2523" s="3" t="n"/>
      <c r="D2523" s="3" t="n"/>
      <c r="E2523" s="4">
        <f>IF(A2523="","",COUNTIFS($A$4:A2523,A2523,$I$4:I2523,"&lt;&gt;Штраф -2",$I$4:I2523,"&lt;&gt;ушел на базу"))</f>
        <v/>
      </c>
      <c r="F2523" s="4">
        <f>IF(E2523="","",IF(E2523&lt;=3,6,IF(E2523&lt;=6,5,IF(E2523&lt;=9,4,IF(E2523&lt;=12,3,IF(E2523&lt;=15,2,0))))))</f>
        <v/>
      </c>
      <c r="G2523" s="3" t="n"/>
      <c r="H2523" s="4">
        <f>IF(I2523="Штраф -2",-2,IF(OR(F2523="",G2523=""),"",F2523*G2523+IF(J2523="",0,J2523)))</f>
        <v/>
      </c>
      <c r="I2523" s="3" t="n"/>
      <c r="J2523" s="3" t="n"/>
      <c r="K2523" s="3" t="n"/>
    </row>
    <row r="2524">
      <c r="A2524" s="3" t="n"/>
      <c r="B2524" s="3" t="n"/>
      <c r="C2524" s="3" t="n"/>
      <c r="D2524" s="3" t="n"/>
      <c r="E2524" s="4">
        <f>IF(A2524="","",COUNTIFS($A$4:A2524,A2524,$I$4:I2524,"&lt;&gt;Штраф -2",$I$4:I2524,"&lt;&gt;ушел на базу"))</f>
        <v/>
      </c>
      <c r="F2524" s="4">
        <f>IF(E2524="","",IF(E2524&lt;=3,6,IF(E2524&lt;=6,5,IF(E2524&lt;=9,4,IF(E2524&lt;=12,3,IF(E2524&lt;=15,2,0))))))</f>
        <v/>
      </c>
      <c r="G2524" s="3" t="n"/>
      <c r="H2524" s="4">
        <f>IF(I2524="Штраф -2",-2,IF(OR(F2524="",G2524=""),"",F2524*G2524+IF(J2524="",0,J2524)))</f>
        <v/>
      </c>
      <c r="I2524" s="3" t="n"/>
      <c r="J2524" s="3" t="n"/>
      <c r="K2524" s="3" t="n"/>
    </row>
    <row r="2525">
      <c r="A2525" s="3" t="n"/>
      <c r="B2525" s="3" t="n"/>
      <c r="C2525" s="3" t="n"/>
      <c r="D2525" s="3" t="n"/>
      <c r="E2525" s="4">
        <f>IF(A2525="","",COUNTIFS($A$4:A2525,A2525,$I$4:I2525,"&lt;&gt;Штраф -2",$I$4:I2525,"&lt;&gt;ушел на базу"))</f>
        <v/>
      </c>
      <c r="F2525" s="4">
        <f>IF(E2525="","",IF(E2525&lt;=3,6,IF(E2525&lt;=6,5,IF(E2525&lt;=9,4,IF(E2525&lt;=12,3,IF(E2525&lt;=15,2,0))))))</f>
        <v/>
      </c>
      <c r="G2525" s="3" t="n"/>
      <c r="H2525" s="4">
        <f>IF(I2525="Штраф -2",-2,IF(OR(F2525="",G2525=""),"",F2525*G2525+IF(J2525="",0,J2525)))</f>
        <v/>
      </c>
      <c r="I2525" s="3" t="n"/>
      <c r="J2525" s="3" t="n"/>
      <c r="K2525" s="3" t="n"/>
    </row>
    <row r="2526">
      <c r="A2526" s="3" t="n"/>
      <c r="B2526" s="3" t="n"/>
      <c r="C2526" s="3" t="n"/>
      <c r="D2526" s="3" t="n"/>
      <c r="E2526" s="4">
        <f>IF(A2526="","",COUNTIFS($A$4:A2526,A2526,$I$4:I2526,"&lt;&gt;Штраф -2",$I$4:I2526,"&lt;&gt;ушел на базу"))</f>
        <v/>
      </c>
      <c r="F2526" s="4">
        <f>IF(E2526="","",IF(E2526&lt;=3,6,IF(E2526&lt;=6,5,IF(E2526&lt;=9,4,IF(E2526&lt;=12,3,IF(E2526&lt;=15,2,0))))))</f>
        <v/>
      </c>
      <c r="G2526" s="3" t="n"/>
      <c r="H2526" s="4">
        <f>IF(I2526="Штраф -2",-2,IF(OR(F2526="",G2526=""),"",F2526*G2526+IF(J2526="",0,J2526)))</f>
        <v/>
      </c>
      <c r="I2526" s="3" t="n"/>
      <c r="J2526" s="3" t="n"/>
      <c r="K2526" s="3" t="n"/>
    </row>
    <row r="2527">
      <c r="A2527" s="3" t="n"/>
      <c r="B2527" s="3" t="n"/>
      <c r="C2527" s="3" t="n"/>
      <c r="D2527" s="3" t="n"/>
      <c r="E2527" s="4">
        <f>IF(A2527="","",COUNTIFS($A$4:A2527,A2527,$I$4:I2527,"&lt;&gt;Штраф -2",$I$4:I2527,"&lt;&gt;ушел на базу"))</f>
        <v/>
      </c>
      <c r="F2527" s="4">
        <f>IF(E2527="","",IF(E2527&lt;=3,6,IF(E2527&lt;=6,5,IF(E2527&lt;=9,4,IF(E2527&lt;=12,3,IF(E2527&lt;=15,2,0))))))</f>
        <v/>
      </c>
      <c r="G2527" s="3" t="n"/>
      <c r="H2527" s="4">
        <f>IF(I2527="Штраф -2",-2,IF(OR(F2527="",G2527=""),"",F2527*G2527+IF(J2527="",0,J2527)))</f>
        <v/>
      </c>
      <c r="I2527" s="3" t="n"/>
      <c r="J2527" s="3" t="n"/>
      <c r="K2527" s="3" t="n"/>
    </row>
    <row r="2528">
      <c r="A2528" s="3" t="n"/>
      <c r="B2528" s="3" t="n"/>
      <c r="C2528" s="3" t="n"/>
      <c r="D2528" s="3" t="n"/>
      <c r="E2528" s="4">
        <f>IF(A2528="","",COUNTIFS($A$4:A2528,A2528,$I$4:I2528,"&lt;&gt;Штраф -2",$I$4:I2528,"&lt;&gt;ушел на базу"))</f>
        <v/>
      </c>
      <c r="F2528" s="4">
        <f>IF(E2528="","",IF(E2528&lt;=3,6,IF(E2528&lt;=6,5,IF(E2528&lt;=9,4,IF(E2528&lt;=12,3,IF(E2528&lt;=15,2,0))))))</f>
        <v/>
      </c>
      <c r="G2528" s="3" t="n"/>
      <c r="H2528" s="4">
        <f>IF(I2528="Штраф -2",-2,IF(OR(F2528="",G2528=""),"",F2528*G2528+IF(J2528="",0,J2528)))</f>
        <v/>
      </c>
      <c r="I2528" s="3" t="n"/>
      <c r="J2528" s="3" t="n"/>
      <c r="K2528" s="3" t="n"/>
    </row>
    <row r="2529">
      <c r="A2529" s="3" t="n"/>
      <c r="B2529" s="3" t="n"/>
      <c r="C2529" s="3" t="n"/>
      <c r="D2529" s="3" t="n"/>
      <c r="E2529" s="4">
        <f>IF(A2529="","",COUNTIFS($A$4:A2529,A2529,$I$4:I2529,"&lt;&gt;Штраф -2",$I$4:I2529,"&lt;&gt;ушел на базу"))</f>
        <v/>
      </c>
      <c r="F2529" s="4">
        <f>IF(E2529="","",IF(E2529&lt;=3,6,IF(E2529&lt;=6,5,IF(E2529&lt;=9,4,IF(E2529&lt;=12,3,IF(E2529&lt;=15,2,0))))))</f>
        <v/>
      </c>
      <c r="G2529" s="3" t="n"/>
      <c r="H2529" s="4">
        <f>IF(I2529="Штраф -2",-2,IF(OR(F2529="",G2529=""),"",F2529*G2529+IF(J2529="",0,J2529)))</f>
        <v/>
      </c>
      <c r="I2529" s="3" t="n"/>
      <c r="J2529" s="3" t="n"/>
      <c r="K2529" s="3" t="n"/>
    </row>
    <row r="2530">
      <c r="A2530" s="3" t="n"/>
      <c r="B2530" s="3" t="n"/>
      <c r="C2530" s="3" t="n"/>
      <c r="D2530" s="3" t="n"/>
      <c r="E2530" s="4">
        <f>IF(A2530="","",COUNTIFS($A$4:A2530,A2530,$I$4:I2530,"&lt;&gt;Штраф -2",$I$4:I2530,"&lt;&gt;ушел на базу"))</f>
        <v/>
      </c>
      <c r="F2530" s="4">
        <f>IF(E2530="","",IF(E2530&lt;=3,6,IF(E2530&lt;=6,5,IF(E2530&lt;=9,4,IF(E2530&lt;=12,3,IF(E2530&lt;=15,2,0))))))</f>
        <v/>
      </c>
      <c r="G2530" s="3" t="n"/>
      <c r="H2530" s="4">
        <f>IF(I2530="Штраф -2",-2,IF(OR(F2530="",G2530=""),"",F2530*G2530+IF(J2530="",0,J2530)))</f>
        <v/>
      </c>
      <c r="I2530" s="3" t="n"/>
      <c r="J2530" s="3" t="n"/>
      <c r="K2530" s="3" t="n"/>
    </row>
    <row r="2531">
      <c r="A2531" s="3" t="n"/>
      <c r="B2531" s="3" t="n"/>
      <c r="C2531" s="3" t="n"/>
      <c r="D2531" s="3" t="n"/>
      <c r="E2531" s="4">
        <f>IF(A2531="","",COUNTIFS($A$4:A2531,A2531,$I$4:I2531,"&lt;&gt;Штраф -2",$I$4:I2531,"&lt;&gt;ушел на базу"))</f>
        <v/>
      </c>
      <c r="F2531" s="4">
        <f>IF(E2531="","",IF(E2531&lt;=3,6,IF(E2531&lt;=6,5,IF(E2531&lt;=9,4,IF(E2531&lt;=12,3,IF(E2531&lt;=15,2,0))))))</f>
        <v/>
      </c>
      <c r="G2531" s="3" t="n"/>
      <c r="H2531" s="4">
        <f>IF(I2531="Штраф -2",-2,IF(OR(F2531="",G2531=""),"",F2531*G2531+IF(J2531="",0,J2531)))</f>
        <v/>
      </c>
      <c r="I2531" s="3" t="n"/>
      <c r="J2531" s="3" t="n"/>
      <c r="K2531" s="3" t="n"/>
    </row>
    <row r="2532">
      <c r="A2532" s="3" t="n"/>
      <c r="B2532" s="3" t="n"/>
      <c r="C2532" s="3" t="n"/>
      <c r="D2532" s="3" t="n"/>
      <c r="E2532" s="4">
        <f>IF(A2532="","",COUNTIFS($A$4:A2532,A2532,$I$4:I2532,"&lt;&gt;Штраф -2",$I$4:I2532,"&lt;&gt;ушел на базу"))</f>
        <v/>
      </c>
      <c r="F2532" s="4">
        <f>IF(E2532="","",IF(E2532&lt;=3,6,IF(E2532&lt;=6,5,IF(E2532&lt;=9,4,IF(E2532&lt;=12,3,IF(E2532&lt;=15,2,0))))))</f>
        <v/>
      </c>
      <c r="G2532" s="3" t="n"/>
      <c r="H2532" s="4">
        <f>IF(I2532="Штраф -2",-2,IF(OR(F2532="",G2532=""),"",F2532*G2532+IF(J2532="",0,J2532)))</f>
        <v/>
      </c>
      <c r="I2532" s="3" t="n"/>
      <c r="J2532" s="3" t="n"/>
      <c r="K2532" s="3" t="n"/>
    </row>
    <row r="2533">
      <c r="A2533" s="3" t="n"/>
      <c r="B2533" s="3" t="n"/>
      <c r="C2533" s="3" t="n"/>
      <c r="D2533" s="3" t="n"/>
      <c r="E2533" s="4">
        <f>IF(A2533="","",COUNTIFS($A$4:A2533,A2533,$I$4:I2533,"&lt;&gt;Штраф -2",$I$4:I2533,"&lt;&gt;ушел на базу"))</f>
        <v/>
      </c>
      <c r="F2533" s="4">
        <f>IF(E2533="","",IF(E2533&lt;=3,6,IF(E2533&lt;=6,5,IF(E2533&lt;=9,4,IF(E2533&lt;=12,3,IF(E2533&lt;=15,2,0))))))</f>
        <v/>
      </c>
      <c r="G2533" s="3" t="n"/>
      <c r="H2533" s="4">
        <f>IF(I2533="Штраф -2",-2,IF(OR(F2533="",G2533=""),"",F2533*G2533+IF(J2533="",0,J2533)))</f>
        <v/>
      </c>
      <c r="I2533" s="3" t="n"/>
      <c r="J2533" s="3" t="n"/>
      <c r="K2533" s="3" t="n"/>
    </row>
    <row r="2534">
      <c r="A2534" s="3" t="n"/>
      <c r="B2534" s="3" t="n"/>
      <c r="C2534" s="3" t="n"/>
      <c r="D2534" s="3" t="n"/>
      <c r="E2534" s="4">
        <f>IF(A2534="","",COUNTIFS($A$4:A2534,A2534,$I$4:I2534,"&lt;&gt;Штраф -2",$I$4:I2534,"&lt;&gt;ушел на базу"))</f>
        <v/>
      </c>
      <c r="F2534" s="4">
        <f>IF(E2534="","",IF(E2534&lt;=3,6,IF(E2534&lt;=6,5,IF(E2534&lt;=9,4,IF(E2534&lt;=12,3,IF(E2534&lt;=15,2,0))))))</f>
        <v/>
      </c>
      <c r="G2534" s="3" t="n"/>
      <c r="H2534" s="4">
        <f>IF(I2534="Штраф -2",-2,IF(OR(F2534="",G2534=""),"",F2534*G2534+IF(J2534="",0,J2534)))</f>
        <v/>
      </c>
      <c r="I2534" s="3" t="n"/>
      <c r="J2534" s="3" t="n"/>
      <c r="K2534" s="3" t="n"/>
    </row>
    <row r="2535">
      <c r="A2535" s="3" t="n"/>
      <c r="B2535" s="3" t="n"/>
      <c r="C2535" s="3" t="n"/>
      <c r="D2535" s="3" t="n"/>
      <c r="E2535" s="4">
        <f>IF(A2535="","",COUNTIFS($A$4:A2535,A2535,$I$4:I2535,"&lt;&gt;Штраф -2",$I$4:I2535,"&lt;&gt;ушел на базу"))</f>
        <v/>
      </c>
      <c r="F2535" s="4">
        <f>IF(E2535="","",IF(E2535&lt;=3,6,IF(E2535&lt;=6,5,IF(E2535&lt;=9,4,IF(E2535&lt;=12,3,IF(E2535&lt;=15,2,0))))))</f>
        <v/>
      </c>
      <c r="G2535" s="3" t="n"/>
      <c r="H2535" s="4">
        <f>IF(I2535="Штраф -2",-2,IF(OR(F2535="",G2535=""),"",F2535*G2535+IF(J2535="",0,J2535)))</f>
        <v/>
      </c>
      <c r="I2535" s="3" t="n"/>
      <c r="J2535" s="3" t="n"/>
      <c r="K2535" s="3" t="n"/>
    </row>
    <row r="2536">
      <c r="A2536" s="3" t="n"/>
      <c r="B2536" s="3" t="n"/>
      <c r="C2536" s="3" t="n"/>
      <c r="D2536" s="3" t="n"/>
      <c r="E2536" s="4">
        <f>IF(A2536="","",COUNTIFS($A$4:A2536,A2536,$I$4:I2536,"&lt;&gt;Штраф -2",$I$4:I2536,"&lt;&gt;ушел на базу"))</f>
        <v/>
      </c>
      <c r="F2536" s="4">
        <f>IF(E2536="","",IF(E2536&lt;=3,6,IF(E2536&lt;=6,5,IF(E2536&lt;=9,4,IF(E2536&lt;=12,3,IF(E2536&lt;=15,2,0))))))</f>
        <v/>
      </c>
      <c r="G2536" s="3" t="n"/>
      <c r="H2536" s="4">
        <f>IF(I2536="Штраф -2",-2,IF(OR(F2536="",G2536=""),"",F2536*G2536+IF(J2536="",0,J2536)))</f>
        <v/>
      </c>
      <c r="I2536" s="3" t="n"/>
      <c r="J2536" s="3" t="n"/>
      <c r="K2536" s="3" t="n"/>
    </row>
    <row r="2537">
      <c r="A2537" s="3" t="n"/>
      <c r="B2537" s="3" t="n"/>
      <c r="C2537" s="3" t="n"/>
      <c r="D2537" s="3" t="n"/>
      <c r="E2537" s="4">
        <f>IF(A2537="","",COUNTIFS($A$4:A2537,A2537,$I$4:I2537,"&lt;&gt;Штраф -2",$I$4:I2537,"&lt;&gt;ушел на базу"))</f>
        <v/>
      </c>
      <c r="F2537" s="4">
        <f>IF(E2537="","",IF(E2537&lt;=3,6,IF(E2537&lt;=6,5,IF(E2537&lt;=9,4,IF(E2537&lt;=12,3,IF(E2537&lt;=15,2,0))))))</f>
        <v/>
      </c>
      <c r="G2537" s="3" t="n"/>
      <c r="H2537" s="4">
        <f>IF(I2537="Штраф -2",-2,IF(OR(F2537="",G2537=""),"",F2537*G2537+IF(J2537="",0,J2537)))</f>
        <v/>
      </c>
      <c r="I2537" s="3" t="n"/>
      <c r="J2537" s="3" t="n"/>
      <c r="K2537" s="3" t="n"/>
    </row>
    <row r="2538">
      <c r="A2538" s="3" t="n"/>
      <c r="B2538" s="3" t="n"/>
      <c r="C2538" s="3" t="n"/>
      <c r="D2538" s="3" t="n"/>
      <c r="E2538" s="4">
        <f>IF(A2538="","",COUNTIFS($A$4:A2538,A2538,$I$4:I2538,"&lt;&gt;Штраф -2",$I$4:I2538,"&lt;&gt;ушел на базу"))</f>
        <v/>
      </c>
      <c r="F2538" s="4">
        <f>IF(E2538="","",IF(E2538&lt;=3,6,IF(E2538&lt;=6,5,IF(E2538&lt;=9,4,IF(E2538&lt;=12,3,IF(E2538&lt;=15,2,0))))))</f>
        <v/>
      </c>
      <c r="G2538" s="3" t="n"/>
      <c r="H2538" s="4">
        <f>IF(I2538="Штраф -2",-2,IF(OR(F2538="",G2538=""),"",F2538*G2538+IF(J2538="",0,J2538)))</f>
        <v/>
      </c>
      <c r="I2538" s="3" t="n"/>
      <c r="J2538" s="3" t="n"/>
      <c r="K2538" s="3" t="n"/>
    </row>
    <row r="2539">
      <c r="A2539" s="3" t="n"/>
      <c r="B2539" s="3" t="n"/>
      <c r="C2539" s="3" t="n"/>
      <c r="D2539" s="3" t="n"/>
      <c r="E2539" s="4">
        <f>IF(A2539="","",COUNTIFS($A$4:A2539,A2539,$I$4:I2539,"&lt;&gt;Штраф -2",$I$4:I2539,"&lt;&gt;ушел на базу"))</f>
        <v/>
      </c>
      <c r="F2539" s="4">
        <f>IF(E2539="","",IF(E2539&lt;=3,6,IF(E2539&lt;=6,5,IF(E2539&lt;=9,4,IF(E2539&lt;=12,3,IF(E2539&lt;=15,2,0))))))</f>
        <v/>
      </c>
      <c r="G2539" s="3" t="n"/>
      <c r="H2539" s="4">
        <f>IF(I2539="Штраф -2",-2,IF(OR(F2539="",G2539=""),"",F2539*G2539+IF(J2539="",0,J2539)))</f>
        <v/>
      </c>
      <c r="I2539" s="3" t="n"/>
      <c r="J2539" s="3" t="n"/>
      <c r="K2539" s="3" t="n"/>
    </row>
    <row r="2540">
      <c r="A2540" s="3" t="n"/>
      <c r="B2540" s="3" t="n"/>
      <c r="C2540" s="3" t="n"/>
      <c r="D2540" s="3" t="n"/>
      <c r="E2540" s="4">
        <f>IF(A2540="","",COUNTIFS($A$4:A2540,A2540,$I$4:I2540,"&lt;&gt;Штраф -2",$I$4:I2540,"&lt;&gt;ушел на базу"))</f>
        <v/>
      </c>
      <c r="F2540" s="4">
        <f>IF(E2540="","",IF(E2540&lt;=3,6,IF(E2540&lt;=6,5,IF(E2540&lt;=9,4,IF(E2540&lt;=12,3,IF(E2540&lt;=15,2,0))))))</f>
        <v/>
      </c>
      <c r="G2540" s="3" t="n"/>
      <c r="H2540" s="4">
        <f>IF(I2540="Штраф -2",-2,IF(OR(F2540="",G2540=""),"",F2540*G2540+IF(J2540="",0,J2540)))</f>
        <v/>
      </c>
      <c r="I2540" s="3" t="n"/>
      <c r="J2540" s="3" t="n"/>
      <c r="K2540" s="3" t="n"/>
    </row>
    <row r="2541">
      <c r="A2541" s="3" t="n"/>
      <c r="B2541" s="3" t="n"/>
      <c r="C2541" s="3" t="n"/>
      <c r="D2541" s="3" t="n"/>
      <c r="E2541" s="4">
        <f>IF(A2541="","",COUNTIFS($A$4:A2541,A2541,$I$4:I2541,"&lt;&gt;Штраф -2",$I$4:I2541,"&lt;&gt;ушел на базу"))</f>
        <v/>
      </c>
      <c r="F2541" s="4">
        <f>IF(E2541="","",IF(E2541&lt;=3,6,IF(E2541&lt;=6,5,IF(E2541&lt;=9,4,IF(E2541&lt;=12,3,IF(E2541&lt;=15,2,0))))))</f>
        <v/>
      </c>
      <c r="G2541" s="3" t="n"/>
      <c r="H2541" s="4">
        <f>IF(I2541="Штраф -2",-2,IF(OR(F2541="",G2541=""),"",F2541*G2541+IF(J2541="",0,J2541)))</f>
        <v/>
      </c>
      <c r="I2541" s="3" t="n"/>
      <c r="J2541" s="3" t="n"/>
      <c r="K2541" s="3" t="n"/>
    </row>
    <row r="2542">
      <c r="A2542" s="3" t="n"/>
      <c r="B2542" s="3" t="n"/>
      <c r="C2542" s="3" t="n"/>
      <c r="D2542" s="3" t="n"/>
      <c r="E2542" s="4">
        <f>IF(A2542="","",COUNTIFS($A$4:A2542,A2542,$I$4:I2542,"&lt;&gt;Штраф -2",$I$4:I2542,"&lt;&gt;ушел на базу"))</f>
        <v/>
      </c>
      <c r="F2542" s="4">
        <f>IF(E2542="","",IF(E2542&lt;=3,6,IF(E2542&lt;=6,5,IF(E2542&lt;=9,4,IF(E2542&lt;=12,3,IF(E2542&lt;=15,2,0))))))</f>
        <v/>
      </c>
      <c r="G2542" s="3" t="n"/>
      <c r="H2542" s="4">
        <f>IF(I2542="Штраф -2",-2,IF(OR(F2542="",G2542=""),"",F2542*G2542+IF(J2542="",0,J2542)))</f>
        <v/>
      </c>
      <c r="I2542" s="3" t="n"/>
      <c r="J2542" s="3" t="n"/>
      <c r="K2542" s="3" t="n"/>
    </row>
    <row r="2543">
      <c r="A2543" s="3" t="n"/>
      <c r="B2543" s="3" t="n"/>
      <c r="C2543" s="3" t="n"/>
      <c r="D2543" s="3" t="n"/>
      <c r="E2543" s="4">
        <f>IF(A2543="","",COUNTIFS($A$4:A2543,A2543,$I$4:I2543,"&lt;&gt;Штраф -2",$I$4:I2543,"&lt;&gt;ушел на базу"))</f>
        <v/>
      </c>
      <c r="F2543" s="4">
        <f>IF(E2543="","",IF(E2543&lt;=3,6,IF(E2543&lt;=6,5,IF(E2543&lt;=9,4,IF(E2543&lt;=12,3,IF(E2543&lt;=15,2,0))))))</f>
        <v/>
      </c>
      <c r="G2543" s="3" t="n"/>
      <c r="H2543" s="4">
        <f>IF(I2543="Штраф -2",-2,IF(OR(F2543="",G2543=""),"",F2543*G2543+IF(J2543="",0,J2543)))</f>
        <v/>
      </c>
      <c r="I2543" s="3" t="n"/>
      <c r="J2543" s="3" t="n"/>
      <c r="K2543" s="3" t="n"/>
    </row>
    <row r="2544">
      <c r="A2544" s="3" t="n"/>
      <c r="B2544" s="3" t="n"/>
      <c r="C2544" s="3" t="n"/>
      <c r="D2544" s="3" t="n"/>
      <c r="E2544" s="4">
        <f>IF(A2544="","",COUNTIFS($A$4:A2544,A2544,$I$4:I2544,"&lt;&gt;Штраф -2",$I$4:I2544,"&lt;&gt;ушел на базу"))</f>
        <v/>
      </c>
      <c r="F2544" s="4">
        <f>IF(E2544="","",IF(E2544&lt;=3,6,IF(E2544&lt;=6,5,IF(E2544&lt;=9,4,IF(E2544&lt;=12,3,IF(E2544&lt;=15,2,0))))))</f>
        <v/>
      </c>
      <c r="G2544" s="3" t="n"/>
      <c r="H2544" s="4">
        <f>IF(I2544="Штраф -2",-2,IF(OR(F2544="",G2544=""),"",F2544*G2544+IF(J2544="",0,J2544)))</f>
        <v/>
      </c>
      <c r="I2544" s="3" t="n"/>
      <c r="J2544" s="3" t="n"/>
      <c r="K2544" s="3" t="n"/>
    </row>
    <row r="2545">
      <c r="A2545" s="3" t="n"/>
      <c r="B2545" s="3" t="n"/>
      <c r="C2545" s="3" t="n"/>
      <c r="D2545" s="3" t="n"/>
      <c r="E2545" s="4">
        <f>IF(A2545="","",COUNTIFS($A$4:A2545,A2545,$I$4:I2545,"&lt;&gt;Штраф -2",$I$4:I2545,"&lt;&gt;ушел на базу"))</f>
        <v/>
      </c>
      <c r="F2545" s="4">
        <f>IF(E2545="","",IF(E2545&lt;=3,6,IF(E2545&lt;=6,5,IF(E2545&lt;=9,4,IF(E2545&lt;=12,3,IF(E2545&lt;=15,2,0))))))</f>
        <v/>
      </c>
      <c r="G2545" s="3" t="n"/>
      <c r="H2545" s="4">
        <f>IF(I2545="Штраф -2",-2,IF(OR(F2545="",G2545=""),"",F2545*G2545+IF(J2545="",0,J2545)))</f>
        <v/>
      </c>
      <c r="I2545" s="3" t="n"/>
      <c r="J2545" s="3" t="n"/>
      <c r="K2545" s="3" t="n"/>
    </row>
    <row r="2546">
      <c r="A2546" s="3" t="n"/>
      <c r="B2546" s="3" t="n"/>
      <c r="C2546" s="3" t="n"/>
      <c r="D2546" s="3" t="n"/>
      <c r="E2546" s="4">
        <f>IF(A2546="","",COUNTIFS($A$4:A2546,A2546,$I$4:I2546,"&lt;&gt;Штраф -2",$I$4:I2546,"&lt;&gt;ушел на базу"))</f>
        <v/>
      </c>
      <c r="F2546" s="4">
        <f>IF(E2546="","",IF(E2546&lt;=3,6,IF(E2546&lt;=6,5,IF(E2546&lt;=9,4,IF(E2546&lt;=12,3,IF(E2546&lt;=15,2,0))))))</f>
        <v/>
      </c>
      <c r="G2546" s="3" t="n"/>
      <c r="H2546" s="4">
        <f>IF(I2546="Штраф -2",-2,IF(OR(F2546="",G2546=""),"",F2546*G2546+IF(J2546="",0,J2546)))</f>
        <v/>
      </c>
      <c r="I2546" s="3" t="n"/>
      <c r="J2546" s="3" t="n"/>
      <c r="K2546" s="3" t="n"/>
    </row>
    <row r="2547">
      <c r="A2547" s="3" t="n"/>
      <c r="B2547" s="3" t="n"/>
      <c r="C2547" s="3" t="n"/>
      <c r="D2547" s="3" t="n"/>
      <c r="E2547" s="4">
        <f>IF(A2547="","",COUNTIFS($A$4:A2547,A2547,$I$4:I2547,"&lt;&gt;Штраф -2",$I$4:I2547,"&lt;&gt;ушел на базу"))</f>
        <v/>
      </c>
      <c r="F2547" s="4">
        <f>IF(E2547="","",IF(E2547&lt;=3,6,IF(E2547&lt;=6,5,IF(E2547&lt;=9,4,IF(E2547&lt;=12,3,IF(E2547&lt;=15,2,0))))))</f>
        <v/>
      </c>
      <c r="G2547" s="3" t="n"/>
      <c r="H2547" s="4">
        <f>IF(I2547="Штраф -2",-2,IF(OR(F2547="",G2547=""),"",F2547*G2547+IF(J2547="",0,J2547)))</f>
        <v/>
      </c>
      <c r="I2547" s="3" t="n"/>
      <c r="J2547" s="3" t="n"/>
      <c r="K2547" s="3" t="n"/>
    </row>
    <row r="2548">
      <c r="A2548" s="3" t="n"/>
      <c r="B2548" s="3" t="n"/>
      <c r="C2548" s="3" t="n"/>
      <c r="D2548" s="3" t="n"/>
      <c r="E2548" s="4">
        <f>IF(A2548="","",COUNTIFS($A$4:A2548,A2548,$I$4:I2548,"&lt;&gt;Штраф -2",$I$4:I2548,"&lt;&gt;ушел на базу"))</f>
        <v/>
      </c>
      <c r="F2548" s="4">
        <f>IF(E2548="","",IF(E2548&lt;=3,6,IF(E2548&lt;=6,5,IF(E2548&lt;=9,4,IF(E2548&lt;=12,3,IF(E2548&lt;=15,2,0))))))</f>
        <v/>
      </c>
      <c r="G2548" s="3" t="n"/>
      <c r="H2548" s="4">
        <f>IF(I2548="Штраф -2",-2,IF(OR(F2548="",G2548=""),"",F2548*G2548+IF(J2548="",0,J2548)))</f>
        <v/>
      </c>
      <c r="I2548" s="3" t="n"/>
      <c r="J2548" s="3" t="n"/>
      <c r="K2548" s="3" t="n"/>
    </row>
    <row r="2549">
      <c r="A2549" s="3" t="n"/>
      <c r="B2549" s="3" t="n"/>
      <c r="C2549" s="3" t="n"/>
      <c r="D2549" s="3" t="n"/>
      <c r="E2549" s="4">
        <f>IF(A2549="","",COUNTIFS($A$4:A2549,A2549,$I$4:I2549,"&lt;&gt;Штраф -2",$I$4:I2549,"&lt;&gt;ушел на базу"))</f>
        <v/>
      </c>
      <c r="F2549" s="4">
        <f>IF(E2549="","",IF(E2549&lt;=3,6,IF(E2549&lt;=6,5,IF(E2549&lt;=9,4,IF(E2549&lt;=12,3,IF(E2549&lt;=15,2,0))))))</f>
        <v/>
      </c>
      <c r="G2549" s="3" t="n"/>
      <c r="H2549" s="4">
        <f>IF(I2549="Штраф -2",-2,IF(OR(F2549="",G2549=""),"",F2549*G2549+IF(J2549="",0,J2549)))</f>
        <v/>
      </c>
      <c r="I2549" s="3" t="n"/>
      <c r="J2549" s="3" t="n"/>
      <c r="K2549" s="3" t="n"/>
    </row>
    <row r="2550">
      <c r="A2550" s="3" t="n"/>
      <c r="B2550" s="3" t="n"/>
      <c r="C2550" s="3" t="n"/>
      <c r="D2550" s="3" t="n"/>
      <c r="E2550" s="4">
        <f>IF(A2550="","",COUNTIFS($A$4:A2550,A2550,$I$4:I2550,"&lt;&gt;Штраф -2",$I$4:I2550,"&lt;&gt;ушел на базу"))</f>
        <v/>
      </c>
      <c r="F2550" s="4">
        <f>IF(E2550="","",IF(E2550&lt;=3,6,IF(E2550&lt;=6,5,IF(E2550&lt;=9,4,IF(E2550&lt;=12,3,IF(E2550&lt;=15,2,0))))))</f>
        <v/>
      </c>
      <c r="G2550" s="3" t="n"/>
      <c r="H2550" s="4">
        <f>IF(I2550="Штраф -2",-2,IF(OR(F2550="",G2550=""),"",F2550*G2550+IF(J2550="",0,J2550)))</f>
        <v/>
      </c>
      <c r="I2550" s="3" t="n"/>
      <c r="J2550" s="3" t="n"/>
      <c r="K2550" s="3" t="n"/>
    </row>
    <row r="2551">
      <c r="A2551" s="3" t="n"/>
      <c r="B2551" s="3" t="n"/>
      <c r="C2551" s="3" t="n"/>
      <c r="D2551" s="3" t="n"/>
      <c r="E2551" s="4">
        <f>IF(A2551="","",COUNTIFS($A$4:A2551,A2551,$I$4:I2551,"&lt;&gt;Штраф -2",$I$4:I2551,"&lt;&gt;ушел на базу"))</f>
        <v/>
      </c>
      <c r="F2551" s="4">
        <f>IF(E2551="","",IF(E2551&lt;=3,6,IF(E2551&lt;=6,5,IF(E2551&lt;=9,4,IF(E2551&lt;=12,3,IF(E2551&lt;=15,2,0))))))</f>
        <v/>
      </c>
      <c r="G2551" s="3" t="n"/>
      <c r="H2551" s="4">
        <f>IF(I2551="Штраф -2",-2,IF(OR(F2551="",G2551=""),"",F2551*G2551+IF(J2551="",0,J2551)))</f>
        <v/>
      </c>
      <c r="I2551" s="3" t="n"/>
      <c r="J2551" s="3" t="n"/>
      <c r="K2551" s="3" t="n"/>
    </row>
    <row r="2552">
      <c r="A2552" s="3" t="n"/>
      <c r="B2552" s="3" t="n"/>
      <c r="C2552" s="3" t="n"/>
      <c r="D2552" s="3" t="n"/>
      <c r="E2552" s="4">
        <f>IF(A2552="","",COUNTIFS($A$4:A2552,A2552,$I$4:I2552,"&lt;&gt;Штраф -2",$I$4:I2552,"&lt;&gt;ушел на базу"))</f>
        <v/>
      </c>
      <c r="F2552" s="4">
        <f>IF(E2552="","",IF(E2552&lt;=3,6,IF(E2552&lt;=6,5,IF(E2552&lt;=9,4,IF(E2552&lt;=12,3,IF(E2552&lt;=15,2,0))))))</f>
        <v/>
      </c>
      <c r="G2552" s="3" t="n"/>
      <c r="H2552" s="4">
        <f>IF(I2552="Штраф -2",-2,IF(OR(F2552="",G2552=""),"",F2552*G2552+IF(J2552="",0,J2552)))</f>
        <v/>
      </c>
      <c r="I2552" s="3" t="n"/>
      <c r="J2552" s="3" t="n"/>
      <c r="K2552" s="3" t="n"/>
    </row>
    <row r="2553">
      <c r="A2553" s="3" t="n"/>
      <c r="B2553" s="3" t="n"/>
      <c r="C2553" s="3" t="n"/>
      <c r="D2553" s="3" t="n"/>
      <c r="E2553" s="4">
        <f>IF(A2553="","",COUNTIFS($A$4:A2553,A2553,$I$4:I2553,"&lt;&gt;Штраф -2",$I$4:I2553,"&lt;&gt;ушел на базу"))</f>
        <v/>
      </c>
      <c r="F2553" s="4">
        <f>IF(E2553="","",IF(E2553&lt;=3,6,IF(E2553&lt;=6,5,IF(E2553&lt;=9,4,IF(E2553&lt;=12,3,IF(E2553&lt;=15,2,0))))))</f>
        <v/>
      </c>
      <c r="G2553" s="3" t="n"/>
      <c r="H2553" s="4">
        <f>IF(I2553="Штраф -2",-2,IF(OR(F2553="",G2553=""),"",F2553*G2553+IF(J2553="",0,J2553)))</f>
        <v/>
      </c>
      <c r="I2553" s="3" t="n"/>
      <c r="J2553" s="3" t="n"/>
      <c r="K2553" s="3" t="n"/>
    </row>
    <row r="2554">
      <c r="A2554" s="3" t="n"/>
      <c r="B2554" s="3" t="n"/>
      <c r="C2554" s="3" t="n"/>
      <c r="D2554" s="3" t="n"/>
      <c r="E2554" s="4">
        <f>IF(A2554="","",COUNTIFS($A$4:A2554,A2554,$I$4:I2554,"&lt;&gt;Штраф -2",$I$4:I2554,"&lt;&gt;ушел на базу"))</f>
        <v/>
      </c>
      <c r="F2554" s="4">
        <f>IF(E2554="","",IF(E2554&lt;=3,6,IF(E2554&lt;=6,5,IF(E2554&lt;=9,4,IF(E2554&lt;=12,3,IF(E2554&lt;=15,2,0))))))</f>
        <v/>
      </c>
      <c r="G2554" s="3" t="n"/>
      <c r="H2554" s="4">
        <f>IF(I2554="Штраф -2",-2,IF(OR(F2554="",G2554=""),"",F2554*G2554+IF(J2554="",0,J2554)))</f>
        <v/>
      </c>
      <c r="I2554" s="3" t="n"/>
      <c r="J2554" s="3" t="n"/>
      <c r="K2554" s="3" t="n"/>
    </row>
    <row r="2555">
      <c r="A2555" s="3" t="n"/>
      <c r="B2555" s="3" t="n"/>
      <c r="C2555" s="3" t="n"/>
      <c r="D2555" s="3" t="n"/>
      <c r="E2555" s="4">
        <f>IF(A2555="","",COUNTIFS($A$4:A2555,A2555,$I$4:I2555,"&lt;&gt;Штраф -2",$I$4:I2555,"&lt;&gt;ушел на базу"))</f>
        <v/>
      </c>
      <c r="F2555" s="4">
        <f>IF(E2555="","",IF(E2555&lt;=3,6,IF(E2555&lt;=6,5,IF(E2555&lt;=9,4,IF(E2555&lt;=12,3,IF(E2555&lt;=15,2,0))))))</f>
        <v/>
      </c>
      <c r="G2555" s="3" t="n"/>
      <c r="H2555" s="4">
        <f>IF(I2555="Штраф -2",-2,IF(OR(F2555="",G2555=""),"",F2555*G2555+IF(J2555="",0,J2555)))</f>
        <v/>
      </c>
      <c r="I2555" s="3" t="n"/>
      <c r="J2555" s="3" t="n"/>
      <c r="K2555" s="3" t="n"/>
    </row>
    <row r="2556">
      <c r="A2556" s="3" t="n"/>
      <c r="B2556" s="3" t="n"/>
      <c r="C2556" s="3" t="n"/>
      <c r="D2556" s="3" t="n"/>
      <c r="E2556" s="4">
        <f>IF(A2556="","",COUNTIFS($A$4:A2556,A2556,$I$4:I2556,"&lt;&gt;Штраф -2",$I$4:I2556,"&lt;&gt;ушел на базу"))</f>
        <v/>
      </c>
      <c r="F2556" s="4">
        <f>IF(E2556="","",IF(E2556&lt;=3,6,IF(E2556&lt;=6,5,IF(E2556&lt;=9,4,IF(E2556&lt;=12,3,IF(E2556&lt;=15,2,0))))))</f>
        <v/>
      </c>
      <c r="G2556" s="3" t="n"/>
      <c r="H2556" s="4">
        <f>IF(I2556="Штраф -2",-2,IF(OR(F2556="",G2556=""),"",F2556*G2556+IF(J2556="",0,J2556)))</f>
        <v/>
      </c>
      <c r="I2556" s="3" t="n"/>
      <c r="J2556" s="3" t="n"/>
      <c r="K2556" s="3" t="n"/>
    </row>
    <row r="2557">
      <c r="A2557" s="3" t="n"/>
      <c r="B2557" s="3" t="n"/>
      <c r="C2557" s="3" t="n"/>
      <c r="D2557" s="3" t="n"/>
      <c r="E2557" s="4">
        <f>IF(A2557="","",COUNTIFS($A$4:A2557,A2557,$I$4:I2557,"&lt;&gt;Штраф -2",$I$4:I2557,"&lt;&gt;ушел на базу"))</f>
        <v/>
      </c>
      <c r="F2557" s="4">
        <f>IF(E2557="","",IF(E2557&lt;=3,6,IF(E2557&lt;=6,5,IF(E2557&lt;=9,4,IF(E2557&lt;=12,3,IF(E2557&lt;=15,2,0))))))</f>
        <v/>
      </c>
      <c r="G2557" s="3" t="n"/>
      <c r="H2557" s="4">
        <f>IF(I2557="Штраф -2",-2,IF(OR(F2557="",G2557=""),"",F2557*G2557+IF(J2557="",0,J2557)))</f>
        <v/>
      </c>
      <c r="I2557" s="3" t="n"/>
      <c r="J2557" s="3" t="n"/>
      <c r="K2557" s="3" t="n"/>
    </row>
    <row r="2558">
      <c r="A2558" s="3" t="n"/>
      <c r="B2558" s="3" t="n"/>
      <c r="C2558" s="3" t="n"/>
      <c r="D2558" s="3" t="n"/>
      <c r="E2558" s="4">
        <f>IF(A2558="","",COUNTIFS($A$4:A2558,A2558,$I$4:I2558,"&lt;&gt;Штраф -2",$I$4:I2558,"&lt;&gt;ушел на базу"))</f>
        <v/>
      </c>
      <c r="F2558" s="4">
        <f>IF(E2558="","",IF(E2558&lt;=3,6,IF(E2558&lt;=6,5,IF(E2558&lt;=9,4,IF(E2558&lt;=12,3,IF(E2558&lt;=15,2,0))))))</f>
        <v/>
      </c>
      <c r="G2558" s="3" t="n"/>
      <c r="H2558" s="4">
        <f>IF(I2558="Штраф -2",-2,IF(OR(F2558="",G2558=""),"",F2558*G2558+IF(J2558="",0,J2558)))</f>
        <v/>
      </c>
      <c r="I2558" s="3" t="n"/>
      <c r="J2558" s="3" t="n"/>
      <c r="K2558" s="3" t="n"/>
    </row>
    <row r="2559">
      <c r="A2559" s="3" t="n"/>
      <c r="B2559" s="3" t="n"/>
      <c r="C2559" s="3" t="n"/>
      <c r="D2559" s="3" t="n"/>
      <c r="E2559" s="4">
        <f>IF(A2559="","",COUNTIFS($A$4:A2559,A2559,$I$4:I2559,"&lt;&gt;Штраф -2",$I$4:I2559,"&lt;&gt;ушел на базу"))</f>
        <v/>
      </c>
      <c r="F2559" s="4">
        <f>IF(E2559="","",IF(E2559&lt;=3,6,IF(E2559&lt;=6,5,IF(E2559&lt;=9,4,IF(E2559&lt;=12,3,IF(E2559&lt;=15,2,0))))))</f>
        <v/>
      </c>
      <c r="G2559" s="3" t="n"/>
      <c r="H2559" s="4">
        <f>IF(I2559="Штраф -2",-2,IF(OR(F2559="",G2559=""),"",F2559*G2559+IF(J2559="",0,J2559)))</f>
        <v/>
      </c>
      <c r="I2559" s="3" t="n"/>
      <c r="J2559" s="3" t="n"/>
      <c r="K2559" s="3" t="n"/>
    </row>
    <row r="2560">
      <c r="A2560" s="3" t="n"/>
      <c r="B2560" s="3" t="n"/>
      <c r="C2560" s="3" t="n"/>
      <c r="D2560" s="3" t="n"/>
      <c r="E2560" s="4">
        <f>IF(A2560="","",COUNTIFS($A$4:A2560,A2560,$I$4:I2560,"&lt;&gt;Штраф -2",$I$4:I2560,"&lt;&gt;ушел на базу"))</f>
        <v/>
      </c>
      <c r="F2560" s="4">
        <f>IF(E2560="","",IF(E2560&lt;=3,6,IF(E2560&lt;=6,5,IF(E2560&lt;=9,4,IF(E2560&lt;=12,3,IF(E2560&lt;=15,2,0))))))</f>
        <v/>
      </c>
      <c r="G2560" s="3" t="n"/>
      <c r="H2560" s="4">
        <f>IF(I2560="Штраф -2",-2,IF(OR(F2560="",G2560=""),"",F2560*G2560+IF(J2560="",0,J2560)))</f>
        <v/>
      </c>
      <c r="I2560" s="3" t="n"/>
      <c r="J2560" s="3" t="n"/>
      <c r="K2560" s="3" t="n"/>
    </row>
    <row r="2561">
      <c r="A2561" s="3" t="n"/>
      <c r="B2561" s="3" t="n"/>
      <c r="C2561" s="3" t="n"/>
      <c r="D2561" s="3" t="n"/>
      <c r="E2561" s="4">
        <f>IF(A2561="","",COUNTIFS($A$4:A2561,A2561,$I$4:I2561,"&lt;&gt;Штраф -2",$I$4:I2561,"&lt;&gt;ушел на базу"))</f>
        <v/>
      </c>
      <c r="F2561" s="4">
        <f>IF(E2561="","",IF(E2561&lt;=3,6,IF(E2561&lt;=6,5,IF(E2561&lt;=9,4,IF(E2561&lt;=12,3,IF(E2561&lt;=15,2,0))))))</f>
        <v/>
      </c>
      <c r="G2561" s="3" t="n"/>
      <c r="H2561" s="4">
        <f>IF(I2561="Штраф -2",-2,IF(OR(F2561="",G2561=""),"",F2561*G2561+IF(J2561="",0,J2561)))</f>
        <v/>
      </c>
      <c r="I2561" s="3" t="n"/>
      <c r="J2561" s="3" t="n"/>
      <c r="K2561" s="3" t="n"/>
    </row>
    <row r="2562">
      <c r="A2562" s="3" t="n"/>
      <c r="B2562" s="3" t="n"/>
      <c r="C2562" s="3" t="n"/>
      <c r="D2562" s="3" t="n"/>
      <c r="E2562" s="4">
        <f>IF(A2562="","",COUNTIFS($A$4:A2562,A2562,$I$4:I2562,"&lt;&gt;Штраф -2",$I$4:I2562,"&lt;&gt;ушел на базу"))</f>
        <v/>
      </c>
      <c r="F2562" s="4">
        <f>IF(E2562="","",IF(E2562&lt;=3,6,IF(E2562&lt;=6,5,IF(E2562&lt;=9,4,IF(E2562&lt;=12,3,IF(E2562&lt;=15,2,0))))))</f>
        <v/>
      </c>
      <c r="G2562" s="3" t="n"/>
      <c r="H2562" s="4">
        <f>IF(I2562="Штраф -2",-2,IF(OR(F2562="",G2562=""),"",F2562*G2562+IF(J2562="",0,J2562)))</f>
        <v/>
      </c>
      <c r="I2562" s="3" t="n"/>
      <c r="J2562" s="3" t="n"/>
      <c r="K2562" s="3" t="n"/>
    </row>
    <row r="2563">
      <c r="A2563" s="3" t="n"/>
      <c r="B2563" s="3" t="n"/>
      <c r="C2563" s="3" t="n"/>
      <c r="D2563" s="3" t="n"/>
      <c r="E2563" s="4">
        <f>IF(A2563="","",COUNTIFS($A$4:A2563,A2563,$I$4:I2563,"&lt;&gt;Штраф -2",$I$4:I2563,"&lt;&gt;ушел на базу"))</f>
        <v/>
      </c>
      <c r="F2563" s="4">
        <f>IF(E2563="","",IF(E2563&lt;=3,6,IF(E2563&lt;=6,5,IF(E2563&lt;=9,4,IF(E2563&lt;=12,3,IF(E2563&lt;=15,2,0))))))</f>
        <v/>
      </c>
      <c r="G2563" s="3" t="n"/>
      <c r="H2563" s="4">
        <f>IF(I2563="Штраф -2",-2,IF(OR(F2563="",G2563=""),"",F2563*G2563+IF(J2563="",0,J2563)))</f>
        <v/>
      </c>
      <c r="I2563" s="3" t="n"/>
      <c r="J2563" s="3" t="n"/>
      <c r="K2563" s="3" t="n"/>
    </row>
    <row r="2564">
      <c r="A2564" s="3" t="n"/>
      <c r="B2564" s="3" t="n"/>
      <c r="C2564" s="3" t="n"/>
      <c r="D2564" s="3" t="n"/>
      <c r="E2564" s="4">
        <f>IF(A2564="","",COUNTIFS($A$4:A2564,A2564,$I$4:I2564,"&lt;&gt;Штраф -2",$I$4:I2564,"&lt;&gt;ушел на базу"))</f>
        <v/>
      </c>
      <c r="F2564" s="4">
        <f>IF(E2564="","",IF(E2564&lt;=3,6,IF(E2564&lt;=6,5,IF(E2564&lt;=9,4,IF(E2564&lt;=12,3,IF(E2564&lt;=15,2,0))))))</f>
        <v/>
      </c>
      <c r="G2564" s="3" t="n"/>
      <c r="H2564" s="4">
        <f>IF(I2564="Штраф -2",-2,IF(OR(F2564="",G2564=""),"",F2564*G2564+IF(J2564="",0,J2564)))</f>
        <v/>
      </c>
      <c r="I2564" s="3" t="n"/>
      <c r="J2564" s="3" t="n"/>
      <c r="K2564" s="3" t="n"/>
    </row>
    <row r="2565">
      <c r="A2565" s="3" t="n"/>
      <c r="B2565" s="3" t="n"/>
      <c r="C2565" s="3" t="n"/>
      <c r="D2565" s="3" t="n"/>
      <c r="E2565" s="4">
        <f>IF(A2565="","",COUNTIFS($A$4:A2565,A2565,$I$4:I2565,"&lt;&gt;Штраф -2",$I$4:I2565,"&lt;&gt;ушел на базу"))</f>
        <v/>
      </c>
      <c r="F2565" s="4">
        <f>IF(E2565="","",IF(E2565&lt;=3,6,IF(E2565&lt;=6,5,IF(E2565&lt;=9,4,IF(E2565&lt;=12,3,IF(E2565&lt;=15,2,0))))))</f>
        <v/>
      </c>
      <c r="G2565" s="3" t="n"/>
      <c r="H2565" s="4">
        <f>IF(I2565="Штраф -2",-2,IF(OR(F2565="",G2565=""),"",F2565*G2565+IF(J2565="",0,J2565)))</f>
        <v/>
      </c>
      <c r="I2565" s="3" t="n"/>
      <c r="J2565" s="3" t="n"/>
      <c r="K2565" s="3" t="n"/>
    </row>
    <row r="2566">
      <c r="A2566" s="3" t="n"/>
      <c r="B2566" s="3" t="n"/>
      <c r="C2566" s="3" t="n"/>
      <c r="D2566" s="3" t="n"/>
      <c r="E2566" s="4">
        <f>IF(A2566="","",COUNTIFS($A$4:A2566,A2566,$I$4:I2566,"&lt;&gt;Штраф -2",$I$4:I2566,"&lt;&gt;ушел на базу"))</f>
        <v/>
      </c>
      <c r="F2566" s="4">
        <f>IF(E2566="","",IF(E2566&lt;=3,6,IF(E2566&lt;=6,5,IF(E2566&lt;=9,4,IF(E2566&lt;=12,3,IF(E2566&lt;=15,2,0))))))</f>
        <v/>
      </c>
      <c r="G2566" s="3" t="n"/>
      <c r="H2566" s="4">
        <f>IF(I2566="Штраф -2",-2,IF(OR(F2566="",G2566=""),"",F2566*G2566+IF(J2566="",0,J2566)))</f>
        <v/>
      </c>
      <c r="I2566" s="3" t="n"/>
      <c r="J2566" s="3" t="n"/>
      <c r="K2566" s="3" t="n"/>
    </row>
    <row r="2567">
      <c r="A2567" s="3" t="n"/>
      <c r="B2567" s="3" t="n"/>
      <c r="C2567" s="3" t="n"/>
      <c r="D2567" s="3" t="n"/>
      <c r="E2567" s="4">
        <f>IF(A2567="","",COUNTIFS($A$4:A2567,A2567,$I$4:I2567,"&lt;&gt;Штраф -2",$I$4:I2567,"&lt;&gt;ушел на базу"))</f>
        <v/>
      </c>
      <c r="F2567" s="4">
        <f>IF(E2567="","",IF(E2567&lt;=3,6,IF(E2567&lt;=6,5,IF(E2567&lt;=9,4,IF(E2567&lt;=12,3,IF(E2567&lt;=15,2,0))))))</f>
        <v/>
      </c>
      <c r="G2567" s="3" t="n"/>
      <c r="H2567" s="4">
        <f>IF(I2567="Штраф -2",-2,IF(OR(F2567="",G2567=""),"",F2567*G2567+IF(J2567="",0,J2567)))</f>
        <v/>
      </c>
      <c r="I2567" s="3" t="n"/>
      <c r="J2567" s="3" t="n"/>
      <c r="K2567" s="3" t="n"/>
    </row>
    <row r="2568">
      <c r="A2568" s="3" t="n"/>
      <c r="B2568" s="3" t="n"/>
      <c r="C2568" s="3" t="n"/>
      <c r="D2568" s="3" t="n"/>
      <c r="E2568" s="4">
        <f>IF(A2568="","",COUNTIFS($A$4:A2568,A2568,$I$4:I2568,"&lt;&gt;Штраф -2",$I$4:I2568,"&lt;&gt;ушел на базу"))</f>
        <v/>
      </c>
      <c r="F2568" s="4">
        <f>IF(E2568="","",IF(E2568&lt;=3,6,IF(E2568&lt;=6,5,IF(E2568&lt;=9,4,IF(E2568&lt;=12,3,IF(E2568&lt;=15,2,0))))))</f>
        <v/>
      </c>
      <c r="G2568" s="3" t="n"/>
      <c r="H2568" s="4">
        <f>IF(I2568="Штраф -2",-2,IF(OR(F2568="",G2568=""),"",F2568*G2568+IF(J2568="",0,J2568)))</f>
        <v/>
      </c>
      <c r="I2568" s="3" t="n"/>
      <c r="J2568" s="3" t="n"/>
      <c r="K2568" s="3" t="n"/>
    </row>
    <row r="2569">
      <c r="A2569" s="3" t="n"/>
      <c r="B2569" s="3" t="n"/>
      <c r="C2569" s="3" t="n"/>
      <c r="D2569" s="3" t="n"/>
      <c r="E2569" s="4">
        <f>IF(A2569="","",COUNTIFS($A$4:A2569,A2569,$I$4:I2569,"&lt;&gt;Штраф -2",$I$4:I2569,"&lt;&gt;ушел на базу"))</f>
        <v/>
      </c>
      <c r="F2569" s="4">
        <f>IF(E2569="","",IF(E2569&lt;=3,6,IF(E2569&lt;=6,5,IF(E2569&lt;=9,4,IF(E2569&lt;=12,3,IF(E2569&lt;=15,2,0))))))</f>
        <v/>
      </c>
      <c r="G2569" s="3" t="n"/>
      <c r="H2569" s="4">
        <f>IF(I2569="Штраф -2",-2,IF(OR(F2569="",G2569=""),"",F2569*G2569+IF(J2569="",0,J2569)))</f>
        <v/>
      </c>
      <c r="I2569" s="3" t="n"/>
      <c r="J2569" s="3" t="n"/>
      <c r="K2569" s="3" t="n"/>
    </row>
    <row r="2570">
      <c r="A2570" s="3" t="n"/>
      <c r="B2570" s="3" t="n"/>
      <c r="C2570" s="3" t="n"/>
      <c r="D2570" s="3" t="n"/>
      <c r="E2570" s="4">
        <f>IF(A2570="","",COUNTIFS($A$4:A2570,A2570,$I$4:I2570,"&lt;&gt;Штраф -2",$I$4:I2570,"&lt;&gt;ушел на базу"))</f>
        <v/>
      </c>
      <c r="F2570" s="4">
        <f>IF(E2570="","",IF(E2570&lt;=3,6,IF(E2570&lt;=6,5,IF(E2570&lt;=9,4,IF(E2570&lt;=12,3,IF(E2570&lt;=15,2,0))))))</f>
        <v/>
      </c>
      <c r="G2570" s="3" t="n"/>
      <c r="H2570" s="4">
        <f>IF(I2570="Штраф -2",-2,IF(OR(F2570="",G2570=""),"",F2570*G2570+IF(J2570="",0,J2570)))</f>
        <v/>
      </c>
      <c r="I2570" s="3" t="n"/>
      <c r="J2570" s="3" t="n"/>
      <c r="K2570" s="3" t="n"/>
    </row>
    <row r="2571">
      <c r="A2571" s="3" t="n"/>
      <c r="B2571" s="3" t="n"/>
      <c r="C2571" s="3" t="n"/>
      <c r="D2571" s="3" t="n"/>
      <c r="E2571" s="4">
        <f>IF(A2571="","",COUNTIFS($A$4:A2571,A2571,$I$4:I2571,"&lt;&gt;Штраф -2",$I$4:I2571,"&lt;&gt;ушел на базу"))</f>
        <v/>
      </c>
      <c r="F2571" s="4">
        <f>IF(E2571="","",IF(E2571&lt;=3,6,IF(E2571&lt;=6,5,IF(E2571&lt;=9,4,IF(E2571&lt;=12,3,IF(E2571&lt;=15,2,0))))))</f>
        <v/>
      </c>
      <c r="G2571" s="3" t="n"/>
      <c r="H2571" s="4">
        <f>IF(I2571="Штраф -2",-2,IF(OR(F2571="",G2571=""),"",F2571*G2571+IF(J2571="",0,J2571)))</f>
        <v/>
      </c>
      <c r="I2571" s="3" t="n"/>
      <c r="J2571" s="3" t="n"/>
      <c r="K2571" s="3" t="n"/>
    </row>
    <row r="2572">
      <c r="A2572" s="3" t="n"/>
      <c r="B2572" s="3" t="n"/>
      <c r="C2572" s="3" t="n"/>
      <c r="D2572" s="3" t="n"/>
      <c r="E2572" s="4">
        <f>IF(A2572="","",COUNTIFS($A$4:A2572,A2572,$I$4:I2572,"&lt;&gt;Штраф -2",$I$4:I2572,"&lt;&gt;ушел на базу"))</f>
        <v/>
      </c>
      <c r="F2572" s="4">
        <f>IF(E2572="","",IF(E2572&lt;=3,6,IF(E2572&lt;=6,5,IF(E2572&lt;=9,4,IF(E2572&lt;=12,3,IF(E2572&lt;=15,2,0))))))</f>
        <v/>
      </c>
      <c r="G2572" s="3" t="n"/>
      <c r="H2572" s="4">
        <f>IF(I2572="Штраф -2",-2,IF(OR(F2572="",G2572=""),"",F2572*G2572+IF(J2572="",0,J2572)))</f>
        <v/>
      </c>
      <c r="I2572" s="3" t="n"/>
      <c r="J2572" s="3" t="n"/>
      <c r="K2572" s="3" t="n"/>
    </row>
    <row r="2573">
      <c r="A2573" s="3" t="n"/>
      <c r="B2573" s="3" t="n"/>
      <c r="C2573" s="3" t="n"/>
      <c r="D2573" s="3" t="n"/>
      <c r="E2573" s="4">
        <f>IF(A2573="","",COUNTIFS($A$4:A2573,A2573,$I$4:I2573,"&lt;&gt;Штраф -2",$I$4:I2573,"&lt;&gt;ушел на базу"))</f>
        <v/>
      </c>
      <c r="F2573" s="4">
        <f>IF(E2573="","",IF(E2573&lt;=3,6,IF(E2573&lt;=6,5,IF(E2573&lt;=9,4,IF(E2573&lt;=12,3,IF(E2573&lt;=15,2,0))))))</f>
        <v/>
      </c>
      <c r="G2573" s="3" t="n"/>
      <c r="H2573" s="4">
        <f>IF(I2573="Штраф -2",-2,IF(OR(F2573="",G2573=""),"",F2573*G2573+IF(J2573="",0,J2573)))</f>
        <v/>
      </c>
      <c r="I2573" s="3" t="n"/>
      <c r="J2573" s="3" t="n"/>
      <c r="K2573" s="3" t="n"/>
    </row>
    <row r="2574">
      <c r="A2574" s="3" t="n"/>
      <c r="B2574" s="3" t="n"/>
      <c r="C2574" s="3" t="n"/>
      <c r="D2574" s="3" t="n"/>
      <c r="E2574" s="4">
        <f>IF(A2574="","",COUNTIFS($A$4:A2574,A2574,$I$4:I2574,"&lt;&gt;Штраф -2",$I$4:I2574,"&lt;&gt;ушел на базу"))</f>
        <v/>
      </c>
      <c r="F2574" s="4">
        <f>IF(E2574="","",IF(E2574&lt;=3,6,IF(E2574&lt;=6,5,IF(E2574&lt;=9,4,IF(E2574&lt;=12,3,IF(E2574&lt;=15,2,0))))))</f>
        <v/>
      </c>
      <c r="G2574" s="3" t="n"/>
      <c r="H2574" s="4">
        <f>IF(I2574="Штраф -2",-2,IF(OR(F2574="",G2574=""),"",F2574*G2574+IF(J2574="",0,J2574)))</f>
        <v/>
      </c>
      <c r="I2574" s="3" t="n"/>
      <c r="J2574" s="3" t="n"/>
      <c r="K2574" s="3" t="n"/>
    </row>
    <row r="2575">
      <c r="A2575" s="3" t="n"/>
      <c r="B2575" s="3" t="n"/>
      <c r="C2575" s="3" t="n"/>
      <c r="D2575" s="3" t="n"/>
      <c r="E2575" s="4">
        <f>IF(A2575="","",COUNTIFS($A$4:A2575,A2575,$I$4:I2575,"&lt;&gt;Штраф -2",$I$4:I2575,"&lt;&gt;ушел на базу"))</f>
        <v/>
      </c>
      <c r="F2575" s="4">
        <f>IF(E2575="","",IF(E2575&lt;=3,6,IF(E2575&lt;=6,5,IF(E2575&lt;=9,4,IF(E2575&lt;=12,3,IF(E2575&lt;=15,2,0))))))</f>
        <v/>
      </c>
      <c r="G2575" s="3" t="n"/>
      <c r="H2575" s="4">
        <f>IF(I2575="Штраф -2",-2,IF(OR(F2575="",G2575=""),"",F2575*G2575+IF(J2575="",0,J2575)))</f>
        <v/>
      </c>
      <c r="I2575" s="3" t="n"/>
      <c r="J2575" s="3" t="n"/>
      <c r="K2575" s="3" t="n"/>
    </row>
    <row r="2576">
      <c r="A2576" s="3" t="n"/>
      <c r="B2576" s="3" t="n"/>
      <c r="C2576" s="3" t="n"/>
      <c r="D2576" s="3" t="n"/>
      <c r="E2576" s="4">
        <f>IF(A2576="","",COUNTIFS($A$4:A2576,A2576,$I$4:I2576,"&lt;&gt;Штраф -2",$I$4:I2576,"&lt;&gt;ушел на базу"))</f>
        <v/>
      </c>
      <c r="F2576" s="4">
        <f>IF(E2576="","",IF(E2576&lt;=3,6,IF(E2576&lt;=6,5,IF(E2576&lt;=9,4,IF(E2576&lt;=12,3,IF(E2576&lt;=15,2,0))))))</f>
        <v/>
      </c>
      <c r="G2576" s="3" t="n"/>
      <c r="H2576" s="4">
        <f>IF(I2576="Штраф -2",-2,IF(OR(F2576="",G2576=""),"",F2576*G2576+IF(J2576="",0,J2576)))</f>
        <v/>
      </c>
      <c r="I2576" s="3" t="n"/>
      <c r="J2576" s="3" t="n"/>
      <c r="K2576" s="3" t="n"/>
    </row>
    <row r="2577">
      <c r="A2577" s="3" t="n"/>
      <c r="B2577" s="3" t="n"/>
      <c r="C2577" s="3" t="n"/>
      <c r="D2577" s="3" t="n"/>
      <c r="E2577" s="4">
        <f>IF(A2577="","",COUNTIFS($A$4:A2577,A2577,$I$4:I2577,"&lt;&gt;Штраф -2",$I$4:I2577,"&lt;&gt;ушел на базу"))</f>
        <v/>
      </c>
      <c r="F2577" s="4">
        <f>IF(E2577="","",IF(E2577&lt;=3,6,IF(E2577&lt;=6,5,IF(E2577&lt;=9,4,IF(E2577&lt;=12,3,IF(E2577&lt;=15,2,0))))))</f>
        <v/>
      </c>
      <c r="G2577" s="3" t="n"/>
      <c r="H2577" s="4">
        <f>IF(I2577="Штраф -2",-2,IF(OR(F2577="",G2577=""),"",F2577*G2577+IF(J2577="",0,J2577)))</f>
        <v/>
      </c>
      <c r="I2577" s="3" t="n"/>
      <c r="J2577" s="3" t="n"/>
      <c r="K2577" s="3" t="n"/>
    </row>
    <row r="2578">
      <c r="A2578" s="3" t="n"/>
      <c r="B2578" s="3" t="n"/>
      <c r="C2578" s="3" t="n"/>
      <c r="D2578" s="3" t="n"/>
      <c r="E2578" s="4">
        <f>IF(A2578="","",COUNTIFS($A$4:A2578,A2578,$I$4:I2578,"&lt;&gt;Штраф -2",$I$4:I2578,"&lt;&gt;ушел на базу"))</f>
        <v/>
      </c>
      <c r="F2578" s="4">
        <f>IF(E2578="","",IF(E2578&lt;=3,6,IF(E2578&lt;=6,5,IF(E2578&lt;=9,4,IF(E2578&lt;=12,3,IF(E2578&lt;=15,2,0))))))</f>
        <v/>
      </c>
      <c r="G2578" s="3" t="n"/>
      <c r="H2578" s="4">
        <f>IF(I2578="Штраф -2",-2,IF(OR(F2578="",G2578=""),"",F2578*G2578+IF(J2578="",0,J2578)))</f>
        <v/>
      </c>
      <c r="I2578" s="3" t="n"/>
      <c r="J2578" s="3" t="n"/>
      <c r="K2578" s="3" t="n"/>
    </row>
    <row r="2579">
      <c r="A2579" s="3" t="n"/>
      <c r="B2579" s="3" t="n"/>
      <c r="C2579" s="3" t="n"/>
      <c r="D2579" s="3" t="n"/>
      <c r="E2579" s="4">
        <f>IF(A2579="","",COUNTIFS($A$4:A2579,A2579,$I$4:I2579,"&lt;&gt;Штраф -2",$I$4:I2579,"&lt;&gt;ушел на базу"))</f>
        <v/>
      </c>
      <c r="F2579" s="4">
        <f>IF(E2579="","",IF(E2579&lt;=3,6,IF(E2579&lt;=6,5,IF(E2579&lt;=9,4,IF(E2579&lt;=12,3,IF(E2579&lt;=15,2,0))))))</f>
        <v/>
      </c>
      <c r="G2579" s="3" t="n"/>
      <c r="H2579" s="4">
        <f>IF(I2579="Штраф -2",-2,IF(OR(F2579="",G2579=""),"",F2579*G2579+IF(J2579="",0,J2579)))</f>
        <v/>
      </c>
      <c r="I2579" s="3" t="n"/>
      <c r="J2579" s="3" t="n"/>
      <c r="K2579" s="3" t="n"/>
    </row>
    <row r="2580">
      <c r="A2580" s="3" t="n"/>
      <c r="B2580" s="3" t="n"/>
      <c r="C2580" s="3" t="n"/>
      <c r="D2580" s="3" t="n"/>
      <c r="E2580" s="4">
        <f>IF(A2580="","",COUNTIFS($A$4:A2580,A2580,$I$4:I2580,"&lt;&gt;Штраф -2",$I$4:I2580,"&lt;&gt;ушел на базу"))</f>
        <v/>
      </c>
      <c r="F2580" s="4">
        <f>IF(E2580="","",IF(E2580&lt;=3,6,IF(E2580&lt;=6,5,IF(E2580&lt;=9,4,IF(E2580&lt;=12,3,IF(E2580&lt;=15,2,0))))))</f>
        <v/>
      </c>
      <c r="G2580" s="3" t="n"/>
      <c r="H2580" s="4">
        <f>IF(I2580="Штраф -2",-2,IF(OR(F2580="",G2580=""),"",F2580*G2580+IF(J2580="",0,J2580)))</f>
        <v/>
      </c>
      <c r="I2580" s="3" t="n"/>
      <c r="J2580" s="3" t="n"/>
      <c r="K2580" s="3" t="n"/>
    </row>
    <row r="2581">
      <c r="A2581" s="3" t="n"/>
      <c r="B2581" s="3" t="n"/>
      <c r="C2581" s="3" t="n"/>
      <c r="D2581" s="3" t="n"/>
      <c r="E2581" s="4">
        <f>IF(A2581="","",COUNTIFS($A$4:A2581,A2581,$I$4:I2581,"&lt;&gt;Штраф -2",$I$4:I2581,"&lt;&gt;ушел на базу"))</f>
        <v/>
      </c>
      <c r="F2581" s="4">
        <f>IF(E2581="","",IF(E2581&lt;=3,6,IF(E2581&lt;=6,5,IF(E2581&lt;=9,4,IF(E2581&lt;=12,3,IF(E2581&lt;=15,2,0))))))</f>
        <v/>
      </c>
      <c r="G2581" s="3" t="n"/>
      <c r="H2581" s="4">
        <f>IF(I2581="Штраф -2",-2,IF(OR(F2581="",G2581=""),"",F2581*G2581+IF(J2581="",0,J2581)))</f>
        <v/>
      </c>
      <c r="I2581" s="3" t="n"/>
      <c r="J2581" s="3" t="n"/>
      <c r="K2581" s="3" t="n"/>
    </row>
    <row r="2582">
      <c r="A2582" s="3" t="n"/>
      <c r="B2582" s="3" t="n"/>
      <c r="C2582" s="3" t="n"/>
      <c r="D2582" s="3" t="n"/>
      <c r="E2582" s="4">
        <f>IF(A2582="","",COUNTIFS($A$4:A2582,A2582,$I$4:I2582,"&lt;&gt;Штраф -2",$I$4:I2582,"&lt;&gt;ушел на базу"))</f>
        <v/>
      </c>
      <c r="F2582" s="4">
        <f>IF(E2582="","",IF(E2582&lt;=3,6,IF(E2582&lt;=6,5,IF(E2582&lt;=9,4,IF(E2582&lt;=12,3,IF(E2582&lt;=15,2,0))))))</f>
        <v/>
      </c>
      <c r="G2582" s="3" t="n"/>
      <c r="H2582" s="4">
        <f>IF(I2582="Штраф -2",-2,IF(OR(F2582="",G2582=""),"",F2582*G2582+IF(J2582="",0,J2582)))</f>
        <v/>
      </c>
      <c r="I2582" s="3" t="n"/>
      <c r="J2582" s="3" t="n"/>
      <c r="K2582" s="3" t="n"/>
    </row>
    <row r="2583">
      <c r="A2583" s="3" t="n"/>
      <c r="B2583" s="3" t="n"/>
      <c r="C2583" s="3" t="n"/>
      <c r="D2583" s="3" t="n"/>
      <c r="E2583" s="4">
        <f>IF(A2583="","",COUNTIFS($A$4:A2583,A2583,$I$4:I2583,"&lt;&gt;Штраф -2",$I$4:I2583,"&lt;&gt;ушел на базу"))</f>
        <v/>
      </c>
      <c r="F2583" s="4">
        <f>IF(E2583="","",IF(E2583&lt;=3,6,IF(E2583&lt;=6,5,IF(E2583&lt;=9,4,IF(E2583&lt;=12,3,IF(E2583&lt;=15,2,0))))))</f>
        <v/>
      </c>
      <c r="G2583" s="3" t="n"/>
      <c r="H2583" s="4">
        <f>IF(I2583="Штраф -2",-2,IF(OR(F2583="",G2583=""),"",F2583*G2583+IF(J2583="",0,J2583)))</f>
        <v/>
      </c>
      <c r="I2583" s="3" t="n"/>
      <c r="J2583" s="3" t="n"/>
      <c r="K2583" s="3" t="n"/>
    </row>
    <row r="2584">
      <c r="A2584" s="3" t="n"/>
      <c r="B2584" s="3" t="n"/>
      <c r="C2584" s="3" t="n"/>
      <c r="D2584" s="3" t="n"/>
      <c r="E2584" s="4">
        <f>IF(A2584="","",COUNTIFS($A$4:A2584,A2584,$I$4:I2584,"&lt;&gt;Штраф -2",$I$4:I2584,"&lt;&gt;ушел на базу"))</f>
        <v/>
      </c>
      <c r="F2584" s="4">
        <f>IF(E2584="","",IF(E2584&lt;=3,6,IF(E2584&lt;=6,5,IF(E2584&lt;=9,4,IF(E2584&lt;=12,3,IF(E2584&lt;=15,2,0))))))</f>
        <v/>
      </c>
      <c r="G2584" s="3" t="n"/>
      <c r="H2584" s="4">
        <f>IF(I2584="Штраф -2",-2,IF(OR(F2584="",G2584=""),"",F2584*G2584+IF(J2584="",0,J2584)))</f>
        <v/>
      </c>
      <c r="I2584" s="3" t="n"/>
      <c r="J2584" s="3" t="n"/>
      <c r="K2584" s="3" t="n"/>
    </row>
    <row r="2585">
      <c r="A2585" s="3" t="n"/>
      <c r="B2585" s="3" t="n"/>
      <c r="C2585" s="3" t="n"/>
      <c r="D2585" s="3" t="n"/>
      <c r="E2585" s="4">
        <f>IF(A2585="","",COUNTIFS($A$4:A2585,A2585,$I$4:I2585,"&lt;&gt;Штраф -2",$I$4:I2585,"&lt;&gt;ушел на базу"))</f>
        <v/>
      </c>
      <c r="F2585" s="4">
        <f>IF(E2585="","",IF(E2585&lt;=3,6,IF(E2585&lt;=6,5,IF(E2585&lt;=9,4,IF(E2585&lt;=12,3,IF(E2585&lt;=15,2,0))))))</f>
        <v/>
      </c>
      <c r="G2585" s="3" t="n"/>
      <c r="H2585" s="4">
        <f>IF(I2585="Штраф -2",-2,IF(OR(F2585="",G2585=""),"",F2585*G2585+IF(J2585="",0,J2585)))</f>
        <v/>
      </c>
      <c r="I2585" s="3" t="n"/>
      <c r="J2585" s="3" t="n"/>
      <c r="K2585" s="3" t="n"/>
    </row>
    <row r="2586">
      <c r="A2586" s="3" t="n"/>
      <c r="B2586" s="3" t="n"/>
      <c r="C2586" s="3" t="n"/>
      <c r="D2586" s="3" t="n"/>
      <c r="E2586" s="4">
        <f>IF(A2586="","",COUNTIFS($A$4:A2586,A2586,$I$4:I2586,"&lt;&gt;Штраф -2",$I$4:I2586,"&lt;&gt;ушел на базу"))</f>
        <v/>
      </c>
      <c r="F2586" s="4">
        <f>IF(E2586="","",IF(E2586&lt;=3,6,IF(E2586&lt;=6,5,IF(E2586&lt;=9,4,IF(E2586&lt;=12,3,IF(E2586&lt;=15,2,0))))))</f>
        <v/>
      </c>
      <c r="G2586" s="3" t="n"/>
      <c r="H2586" s="4">
        <f>IF(I2586="Штраф -2",-2,IF(OR(F2586="",G2586=""),"",F2586*G2586+IF(J2586="",0,J2586)))</f>
        <v/>
      </c>
      <c r="I2586" s="3" t="n"/>
      <c r="J2586" s="3" t="n"/>
      <c r="K2586" s="3" t="n"/>
    </row>
    <row r="2587">
      <c r="A2587" s="3" t="n"/>
      <c r="B2587" s="3" t="n"/>
      <c r="C2587" s="3" t="n"/>
      <c r="D2587" s="3" t="n"/>
      <c r="E2587" s="4">
        <f>IF(A2587="","",COUNTIFS($A$4:A2587,A2587,$I$4:I2587,"&lt;&gt;Штраф -2",$I$4:I2587,"&lt;&gt;ушел на базу"))</f>
        <v/>
      </c>
      <c r="F2587" s="4">
        <f>IF(E2587="","",IF(E2587&lt;=3,6,IF(E2587&lt;=6,5,IF(E2587&lt;=9,4,IF(E2587&lt;=12,3,IF(E2587&lt;=15,2,0))))))</f>
        <v/>
      </c>
      <c r="G2587" s="3" t="n"/>
      <c r="H2587" s="4">
        <f>IF(I2587="Штраф -2",-2,IF(OR(F2587="",G2587=""),"",F2587*G2587+IF(J2587="",0,J2587)))</f>
        <v/>
      </c>
      <c r="I2587" s="3" t="n"/>
      <c r="J2587" s="3" t="n"/>
      <c r="K2587" s="3" t="n"/>
    </row>
    <row r="2588">
      <c r="A2588" s="3" t="n"/>
      <c r="B2588" s="3" t="n"/>
      <c r="C2588" s="3" t="n"/>
      <c r="D2588" s="3" t="n"/>
      <c r="E2588" s="4">
        <f>IF(A2588="","",COUNTIFS($A$4:A2588,A2588,$I$4:I2588,"&lt;&gt;Штраф -2",$I$4:I2588,"&lt;&gt;ушел на базу"))</f>
        <v/>
      </c>
      <c r="F2588" s="4">
        <f>IF(E2588="","",IF(E2588&lt;=3,6,IF(E2588&lt;=6,5,IF(E2588&lt;=9,4,IF(E2588&lt;=12,3,IF(E2588&lt;=15,2,0))))))</f>
        <v/>
      </c>
      <c r="G2588" s="3" t="n"/>
      <c r="H2588" s="4">
        <f>IF(I2588="Штраф -2",-2,IF(OR(F2588="",G2588=""),"",F2588*G2588+IF(J2588="",0,J2588)))</f>
        <v/>
      </c>
      <c r="I2588" s="3" t="n"/>
      <c r="J2588" s="3" t="n"/>
      <c r="K2588" s="3" t="n"/>
    </row>
    <row r="2589">
      <c r="A2589" s="3" t="n"/>
      <c r="B2589" s="3" t="n"/>
      <c r="C2589" s="3" t="n"/>
      <c r="D2589" s="3" t="n"/>
      <c r="E2589" s="4">
        <f>IF(A2589="","",COUNTIFS($A$4:A2589,A2589,$I$4:I2589,"&lt;&gt;Штраф -2",$I$4:I2589,"&lt;&gt;ушел на базу"))</f>
        <v/>
      </c>
      <c r="F2589" s="4">
        <f>IF(E2589="","",IF(E2589&lt;=3,6,IF(E2589&lt;=6,5,IF(E2589&lt;=9,4,IF(E2589&lt;=12,3,IF(E2589&lt;=15,2,0))))))</f>
        <v/>
      </c>
      <c r="G2589" s="3" t="n"/>
      <c r="H2589" s="4">
        <f>IF(I2589="Штраф -2",-2,IF(OR(F2589="",G2589=""),"",F2589*G2589+IF(J2589="",0,J2589)))</f>
        <v/>
      </c>
      <c r="I2589" s="3" t="n"/>
      <c r="J2589" s="3" t="n"/>
      <c r="K2589" s="3" t="n"/>
    </row>
    <row r="2590">
      <c r="A2590" s="3" t="n"/>
      <c r="B2590" s="3" t="n"/>
      <c r="C2590" s="3" t="n"/>
      <c r="D2590" s="3" t="n"/>
      <c r="E2590" s="4">
        <f>IF(A2590="","",COUNTIFS($A$4:A2590,A2590,$I$4:I2590,"&lt;&gt;Штраф -2",$I$4:I2590,"&lt;&gt;ушел на базу"))</f>
        <v/>
      </c>
      <c r="F2590" s="4">
        <f>IF(E2590="","",IF(E2590&lt;=3,6,IF(E2590&lt;=6,5,IF(E2590&lt;=9,4,IF(E2590&lt;=12,3,IF(E2590&lt;=15,2,0))))))</f>
        <v/>
      </c>
      <c r="G2590" s="3" t="n"/>
      <c r="H2590" s="4">
        <f>IF(I2590="Штраф -2",-2,IF(OR(F2590="",G2590=""),"",F2590*G2590+IF(J2590="",0,J2590)))</f>
        <v/>
      </c>
      <c r="I2590" s="3" t="n"/>
      <c r="J2590" s="3" t="n"/>
      <c r="K2590" s="3" t="n"/>
    </row>
    <row r="2591">
      <c r="A2591" s="3" t="n"/>
      <c r="B2591" s="3" t="n"/>
      <c r="C2591" s="3" t="n"/>
      <c r="D2591" s="3" t="n"/>
      <c r="E2591" s="4">
        <f>IF(A2591="","",COUNTIFS($A$4:A2591,A2591,$I$4:I2591,"&lt;&gt;Штраф -2",$I$4:I2591,"&lt;&gt;ушел на базу"))</f>
        <v/>
      </c>
      <c r="F2591" s="4">
        <f>IF(E2591="","",IF(E2591&lt;=3,6,IF(E2591&lt;=6,5,IF(E2591&lt;=9,4,IF(E2591&lt;=12,3,IF(E2591&lt;=15,2,0))))))</f>
        <v/>
      </c>
      <c r="G2591" s="3" t="n"/>
      <c r="H2591" s="4">
        <f>IF(I2591="Штраф -2",-2,IF(OR(F2591="",G2591=""),"",F2591*G2591+IF(J2591="",0,J2591)))</f>
        <v/>
      </c>
      <c r="I2591" s="3" t="n"/>
      <c r="J2591" s="3" t="n"/>
      <c r="K2591" s="3" t="n"/>
    </row>
    <row r="2592">
      <c r="A2592" s="3" t="n"/>
      <c r="B2592" s="3" t="n"/>
      <c r="C2592" s="3" t="n"/>
      <c r="D2592" s="3" t="n"/>
      <c r="E2592" s="4">
        <f>IF(A2592="","",COUNTIFS($A$4:A2592,A2592,$I$4:I2592,"&lt;&gt;Штраф -2",$I$4:I2592,"&lt;&gt;ушел на базу"))</f>
        <v/>
      </c>
      <c r="F2592" s="4">
        <f>IF(E2592="","",IF(E2592&lt;=3,6,IF(E2592&lt;=6,5,IF(E2592&lt;=9,4,IF(E2592&lt;=12,3,IF(E2592&lt;=15,2,0))))))</f>
        <v/>
      </c>
      <c r="G2592" s="3" t="n"/>
      <c r="H2592" s="4">
        <f>IF(I2592="Штраф -2",-2,IF(OR(F2592="",G2592=""),"",F2592*G2592+IF(J2592="",0,J2592)))</f>
        <v/>
      </c>
      <c r="I2592" s="3" t="n"/>
      <c r="J2592" s="3" t="n"/>
      <c r="K2592" s="3" t="n"/>
    </row>
    <row r="2593">
      <c r="A2593" s="3" t="n"/>
      <c r="B2593" s="3" t="n"/>
      <c r="C2593" s="3" t="n"/>
      <c r="D2593" s="3" t="n"/>
      <c r="E2593" s="4">
        <f>IF(A2593="","",COUNTIFS($A$4:A2593,A2593,$I$4:I2593,"&lt;&gt;Штраф -2",$I$4:I2593,"&lt;&gt;ушел на базу"))</f>
        <v/>
      </c>
      <c r="F2593" s="4">
        <f>IF(E2593="","",IF(E2593&lt;=3,6,IF(E2593&lt;=6,5,IF(E2593&lt;=9,4,IF(E2593&lt;=12,3,IF(E2593&lt;=15,2,0))))))</f>
        <v/>
      </c>
      <c r="G2593" s="3" t="n"/>
      <c r="H2593" s="4">
        <f>IF(I2593="Штраф -2",-2,IF(OR(F2593="",G2593=""),"",F2593*G2593+IF(J2593="",0,J2593)))</f>
        <v/>
      </c>
      <c r="I2593" s="3" t="n"/>
      <c r="J2593" s="3" t="n"/>
      <c r="K2593" s="3" t="n"/>
    </row>
    <row r="2594">
      <c r="A2594" s="3" t="n"/>
      <c r="B2594" s="3" t="n"/>
      <c r="C2594" s="3" t="n"/>
      <c r="D2594" s="3" t="n"/>
      <c r="E2594" s="4">
        <f>IF(A2594="","",COUNTIFS($A$4:A2594,A2594,$I$4:I2594,"&lt;&gt;Штраф -2",$I$4:I2594,"&lt;&gt;ушел на базу"))</f>
        <v/>
      </c>
      <c r="F2594" s="4">
        <f>IF(E2594="","",IF(E2594&lt;=3,6,IF(E2594&lt;=6,5,IF(E2594&lt;=9,4,IF(E2594&lt;=12,3,IF(E2594&lt;=15,2,0))))))</f>
        <v/>
      </c>
      <c r="G2594" s="3" t="n"/>
      <c r="H2594" s="4">
        <f>IF(I2594="Штраф -2",-2,IF(OR(F2594="",G2594=""),"",F2594*G2594+IF(J2594="",0,J2594)))</f>
        <v/>
      </c>
      <c r="I2594" s="3" t="n"/>
      <c r="J2594" s="3" t="n"/>
      <c r="K2594" s="3" t="n"/>
    </row>
    <row r="2595">
      <c r="A2595" s="3" t="n"/>
      <c r="B2595" s="3" t="n"/>
      <c r="C2595" s="3" t="n"/>
      <c r="D2595" s="3" t="n"/>
      <c r="E2595" s="4">
        <f>IF(A2595="","",COUNTIFS($A$4:A2595,A2595,$I$4:I2595,"&lt;&gt;Штраф -2",$I$4:I2595,"&lt;&gt;ушел на базу"))</f>
        <v/>
      </c>
      <c r="F2595" s="4">
        <f>IF(E2595="","",IF(E2595&lt;=3,6,IF(E2595&lt;=6,5,IF(E2595&lt;=9,4,IF(E2595&lt;=12,3,IF(E2595&lt;=15,2,0))))))</f>
        <v/>
      </c>
      <c r="G2595" s="3" t="n"/>
      <c r="H2595" s="4">
        <f>IF(I2595="Штраф -2",-2,IF(OR(F2595="",G2595=""),"",F2595*G2595+IF(J2595="",0,J2595)))</f>
        <v/>
      </c>
      <c r="I2595" s="3" t="n"/>
      <c r="J2595" s="3" t="n"/>
      <c r="K2595" s="3" t="n"/>
    </row>
    <row r="2596">
      <c r="A2596" s="3" t="n"/>
      <c r="B2596" s="3" t="n"/>
      <c r="C2596" s="3" t="n"/>
      <c r="D2596" s="3" t="n"/>
      <c r="E2596" s="4">
        <f>IF(A2596="","",COUNTIFS($A$4:A2596,A2596,$I$4:I2596,"&lt;&gt;Штраф -2",$I$4:I2596,"&lt;&gt;ушел на базу"))</f>
        <v/>
      </c>
      <c r="F2596" s="4">
        <f>IF(E2596="","",IF(E2596&lt;=3,6,IF(E2596&lt;=6,5,IF(E2596&lt;=9,4,IF(E2596&lt;=12,3,IF(E2596&lt;=15,2,0))))))</f>
        <v/>
      </c>
      <c r="G2596" s="3" t="n"/>
      <c r="H2596" s="4">
        <f>IF(I2596="Штраф -2",-2,IF(OR(F2596="",G2596=""),"",F2596*G2596+IF(J2596="",0,J2596)))</f>
        <v/>
      </c>
      <c r="I2596" s="3" t="n"/>
      <c r="J2596" s="3" t="n"/>
      <c r="K2596" s="3" t="n"/>
    </row>
    <row r="2597">
      <c r="A2597" s="3" t="n"/>
      <c r="B2597" s="3" t="n"/>
      <c r="C2597" s="3" t="n"/>
      <c r="D2597" s="3" t="n"/>
      <c r="E2597" s="4">
        <f>IF(A2597="","",COUNTIFS($A$4:A2597,A2597,$I$4:I2597,"&lt;&gt;Штраф -2",$I$4:I2597,"&lt;&gt;ушел на базу"))</f>
        <v/>
      </c>
      <c r="F2597" s="4">
        <f>IF(E2597="","",IF(E2597&lt;=3,6,IF(E2597&lt;=6,5,IF(E2597&lt;=9,4,IF(E2597&lt;=12,3,IF(E2597&lt;=15,2,0))))))</f>
        <v/>
      </c>
      <c r="G2597" s="3" t="n"/>
      <c r="H2597" s="4">
        <f>IF(I2597="Штраф -2",-2,IF(OR(F2597="",G2597=""),"",F2597*G2597+IF(J2597="",0,J2597)))</f>
        <v/>
      </c>
      <c r="I2597" s="3" t="n"/>
      <c r="J2597" s="3" t="n"/>
      <c r="K2597" s="3" t="n"/>
    </row>
    <row r="2598">
      <c r="A2598" s="3" t="n"/>
      <c r="B2598" s="3" t="n"/>
      <c r="C2598" s="3" t="n"/>
      <c r="D2598" s="3" t="n"/>
      <c r="E2598" s="4">
        <f>IF(A2598="","",COUNTIFS($A$4:A2598,A2598,$I$4:I2598,"&lt;&gt;Штраф -2",$I$4:I2598,"&lt;&gt;ушел на базу"))</f>
        <v/>
      </c>
      <c r="F2598" s="4">
        <f>IF(E2598="","",IF(E2598&lt;=3,6,IF(E2598&lt;=6,5,IF(E2598&lt;=9,4,IF(E2598&lt;=12,3,IF(E2598&lt;=15,2,0))))))</f>
        <v/>
      </c>
      <c r="G2598" s="3" t="n"/>
      <c r="H2598" s="4">
        <f>IF(I2598="Штраф -2",-2,IF(OR(F2598="",G2598=""),"",F2598*G2598+IF(J2598="",0,J2598)))</f>
        <v/>
      </c>
      <c r="I2598" s="3" t="n"/>
      <c r="J2598" s="3" t="n"/>
      <c r="K2598" s="3" t="n"/>
    </row>
    <row r="2599">
      <c r="A2599" s="3" t="n"/>
      <c r="B2599" s="3" t="n"/>
      <c r="C2599" s="3" t="n"/>
      <c r="D2599" s="3" t="n"/>
      <c r="E2599" s="4">
        <f>IF(A2599="","",COUNTIFS($A$4:A2599,A2599,$I$4:I2599,"&lt;&gt;Штраф -2",$I$4:I2599,"&lt;&gt;ушел на базу"))</f>
        <v/>
      </c>
      <c r="F2599" s="4">
        <f>IF(E2599="","",IF(E2599&lt;=3,6,IF(E2599&lt;=6,5,IF(E2599&lt;=9,4,IF(E2599&lt;=12,3,IF(E2599&lt;=15,2,0))))))</f>
        <v/>
      </c>
      <c r="G2599" s="3" t="n"/>
      <c r="H2599" s="4">
        <f>IF(I2599="Штраф -2",-2,IF(OR(F2599="",G2599=""),"",F2599*G2599+IF(J2599="",0,J2599)))</f>
        <v/>
      </c>
      <c r="I2599" s="3" t="n"/>
      <c r="J2599" s="3" t="n"/>
      <c r="K2599" s="3" t="n"/>
    </row>
    <row r="2600">
      <c r="A2600" s="3" t="n"/>
      <c r="B2600" s="3" t="n"/>
      <c r="C2600" s="3" t="n"/>
      <c r="D2600" s="3" t="n"/>
      <c r="E2600" s="4">
        <f>IF(A2600="","",COUNTIFS($A$4:A2600,A2600,$I$4:I2600,"&lt;&gt;Штраф -2",$I$4:I2600,"&lt;&gt;ушел на базу"))</f>
        <v/>
      </c>
      <c r="F2600" s="4">
        <f>IF(E2600="","",IF(E2600&lt;=3,6,IF(E2600&lt;=6,5,IF(E2600&lt;=9,4,IF(E2600&lt;=12,3,IF(E2600&lt;=15,2,0))))))</f>
        <v/>
      </c>
      <c r="G2600" s="3" t="n"/>
      <c r="H2600" s="4">
        <f>IF(I2600="Штраф -2",-2,IF(OR(F2600="",G2600=""),"",F2600*G2600+IF(J2600="",0,J2600)))</f>
        <v/>
      </c>
      <c r="I2600" s="3" t="n"/>
      <c r="J2600" s="3" t="n"/>
      <c r="K2600" s="3" t="n"/>
    </row>
    <row r="2601">
      <c r="A2601" s="3" t="n"/>
      <c r="B2601" s="3" t="n"/>
      <c r="C2601" s="3" t="n"/>
      <c r="D2601" s="3" t="n"/>
      <c r="E2601" s="4">
        <f>IF(A2601="","",COUNTIFS($A$4:A2601,A2601,$I$4:I2601,"&lt;&gt;Штраф -2",$I$4:I2601,"&lt;&gt;ушел на базу"))</f>
        <v/>
      </c>
      <c r="F2601" s="4">
        <f>IF(E2601="","",IF(E2601&lt;=3,6,IF(E2601&lt;=6,5,IF(E2601&lt;=9,4,IF(E2601&lt;=12,3,IF(E2601&lt;=15,2,0))))))</f>
        <v/>
      </c>
      <c r="G2601" s="3" t="n"/>
      <c r="H2601" s="4">
        <f>IF(I2601="Штраф -2",-2,IF(OR(F2601="",G2601=""),"",F2601*G2601+IF(J2601="",0,J2601)))</f>
        <v/>
      </c>
      <c r="I2601" s="3" t="n"/>
      <c r="J2601" s="3" t="n"/>
      <c r="K2601" s="3" t="n"/>
    </row>
    <row r="2602">
      <c r="A2602" s="3" t="n"/>
      <c r="B2602" s="3" t="n"/>
      <c r="C2602" s="3" t="n"/>
      <c r="D2602" s="3" t="n"/>
      <c r="E2602" s="4">
        <f>IF(A2602="","",COUNTIFS($A$4:A2602,A2602,$I$4:I2602,"&lt;&gt;Штраф -2",$I$4:I2602,"&lt;&gt;ушел на базу"))</f>
        <v/>
      </c>
      <c r="F2602" s="4">
        <f>IF(E2602="","",IF(E2602&lt;=3,6,IF(E2602&lt;=6,5,IF(E2602&lt;=9,4,IF(E2602&lt;=12,3,IF(E2602&lt;=15,2,0))))))</f>
        <v/>
      </c>
      <c r="G2602" s="3" t="n"/>
      <c r="H2602" s="4">
        <f>IF(I2602="Штраф -2",-2,IF(OR(F2602="",G2602=""),"",F2602*G2602+IF(J2602="",0,J2602)))</f>
        <v/>
      </c>
      <c r="I2602" s="3" t="n"/>
      <c r="J2602" s="3" t="n"/>
      <c r="K2602" s="3" t="n"/>
    </row>
    <row r="2603">
      <c r="A2603" s="3" t="n"/>
      <c r="B2603" s="3" t="n"/>
      <c r="C2603" s="3" t="n"/>
      <c r="D2603" s="3" t="n"/>
      <c r="E2603" s="4">
        <f>IF(A2603="","",COUNTIFS($A$4:A2603,A2603,$I$4:I2603,"&lt;&gt;Штраф -2",$I$4:I2603,"&lt;&gt;ушел на базу"))</f>
        <v/>
      </c>
      <c r="F2603" s="4">
        <f>IF(E2603="","",IF(E2603&lt;=3,6,IF(E2603&lt;=6,5,IF(E2603&lt;=9,4,IF(E2603&lt;=12,3,IF(E2603&lt;=15,2,0))))))</f>
        <v/>
      </c>
      <c r="G2603" s="3" t="n"/>
      <c r="H2603" s="4">
        <f>IF(I2603="Штраф -2",-2,IF(OR(F2603="",G2603=""),"",F2603*G2603+IF(J2603="",0,J2603)))</f>
        <v/>
      </c>
      <c r="I2603" s="3" t="n"/>
      <c r="J2603" s="3" t="n"/>
      <c r="K2603" s="3" t="n"/>
    </row>
    <row r="2604">
      <c r="A2604" s="3" t="n"/>
      <c r="B2604" s="3" t="n"/>
      <c r="C2604" s="3" t="n"/>
      <c r="D2604" s="3" t="n"/>
      <c r="E2604" s="4">
        <f>IF(A2604="","",COUNTIFS($A$4:A2604,A2604,$I$4:I2604,"&lt;&gt;Штраф -2",$I$4:I2604,"&lt;&gt;ушел на базу"))</f>
        <v/>
      </c>
      <c r="F2604" s="4">
        <f>IF(E2604="","",IF(E2604&lt;=3,6,IF(E2604&lt;=6,5,IF(E2604&lt;=9,4,IF(E2604&lt;=12,3,IF(E2604&lt;=15,2,0))))))</f>
        <v/>
      </c>
      <c r="G2604" s="3" t="n"/>
      <c r="H2604" s="4">
        <f>IF(I2604="Штраф -2",-2,IF(OR(F2604="",G2604=""),"",F2604*G2604+IF(J2604="",0,J2604)))</f>
        <v/>
      </c>
      <c r="I2604" s="3" t="n"/>
      <c r="J2604" s="3" t="n"/>
      <c r="K2604" s="3" t="n"/>
    </row>
    <row r="2605">
      <c r="A2605" s="3" t="n"/>
      <c r="B2605" s="3" t="n"/>
      <c r="C2605" s="3" t="n"/>
      <c r="D2605" s="3" t="n"/>
      <c r="E2605" s="4">
        <f>IF(A2605="","",COUNTIFS($A$4:A2605,A2605,$I$4:I2605,"&lt;&gt;Штраф -2",$I$4:I2605,"&lt;&gt;ушел на базу"))</f>
        <v/>
      </c>
      <c r="F2605" s="4">
        <f>IF(E2605="","",IF(E2605&lt;=3,6,IF(E2605&lt;=6,5,IF(E2605&lt;=9,4,IF(E2605&lt;=12,3,IF(E2605&lt;=15,2,0))))))</f>
        <v/>
      </c>
      <c r="G2605" s="3" t="n"/>
      <c r="H2605" s="4">
        <f>IF(I2605="Штраф -2",-2,IF(OR(F2605="",G2605=""),"",F2605*G2605+IF(J2605="",0,J2605)))</f>
        <v/>
      </c>
      <c r="I2605" s="3" t="n"/>
      <c r="J2605" s="3" t="n"/>
      <c r="K2605" s="3" t="n"/>
    </row>
    <row r="2606">
      <c r="A2606" s="3" t="n"/>
      <c r="B2606" s="3" t="n"/>
      <c r="C2606" s="3" t="n"/>
      <c r="D2606" s="3" t="n"/>
      <c r="E2606" s="4">
        <f>IF(A2606="","",COUNTIFS($A$4:A2606,A2606,$I$4:I2606,"&lt;&gt;Штраф -2",$I$4:I2606,"&lt;&gt;ушел на базу"))</f>
        <v/>
      </c>
      <c r="F2606" s="4">
        <f>IF(E2606="","",IF(E2606&lt;=3,6,IF(E2606&lt;=6,5,IF(E2606&lt;=9,4,IF(E2606&lt;=12,3,IF(E2606&lt;=15,2,0))))))</f>
        <v/>
      </c>
      <c r="G2606" s="3" t="n"/>
      <c r="H2606" s="4">
        <f>IF(I2606="Штраф -2",-2,IF(OR(F2606="",G2606=""),"",F2606*G2606+IF(J2606="",0,J2606)))</f>
        <v/>
      </c>
      <c r="I2606" s="3" t="n"/>
      <c r="J2606" s="3" t="n"/>
      <c r="K2606" s="3" t="n"/>
    </row>
    <row r="2607">
      <c r="A2607" s="3" t="n"/>
      <c r="B2607" s="3" t="n"/>
      <c r="C2607" s="3" t="n"/>
      <c r="D2607" s="3" t="n"/>
      <c r="E2607" s="4">
        <f>IF(A2607="","",COUNTIFS($A$4:A2607,A2607,$I$4:I2607,"&lt;&gt;Штраф -2",$I$4:I2607,"&lt;&gt;ушел на базу"))</f>
        <v/>
      </c>
      <c r="F2607" s="4">
        <f>IF(E2607="","",IF(E2607&lt;=3,6,IF(E2607&lt;=6,5,IF(E2607&lt;=9,4,IF(E2607&lt;=12,3,IF(E2607&lt;=15,2,0))))))</f>
        <v/>
      </c>
      <c r="G2607" s="3" t="n"/>
      <c r="H2607" s="4">
        <f>IF(I2607="Штраф -2",-2,IF(OR(F2607="",G2607=""),"",F2607*G2607+IF(J2607="",0,J2607)))</f>
        <v/>
      </c>
      <c r="I2607" s="3" t="n"/>
      <c r="J2607" s="3" t="n"/>
      <c r="K2607" s="3" t="n"/>
    </row>
    <row r="2608">
      <c r="A2608" s="3" t="n"/>
      <c r="B2608" s="3" t="n"/>
      <c r="C2608" s="3" t="n"/>
      <c r="D2608" s="3" t="n"/>
      <c r="E2608" s="4">
        <f>IF(A2608="","",COUNTIFS($A$4:A2608,A2608,$I$4:I2608,"&lt;&gt;Штраф -2",$I$4:I2608,"&lt;&gt;ушел на базу"))</f>
        <v/>
      </c>
      <c r="F2608" s="4">
        <f>IF(E2608="","",IF(E2608&lt;=3,6,IF(E2608&lt;=6,5,IF(E2608&lt;=9,4,IF(E2608&lt;=12,3,IF(E2608&lt;=15,2,0))))))</f>
        <v/>
      </c>
      <c r="G2608" s="3" t="n"/>
      <c r="H2608" s="4">
        <f>IF(I2608="Штраф -2",-2,IF(OR(F2608="",G2608=""),"",F2608*G2608+IF(J2608="",0,J2608)))</f>
        <v/>
      </c>
      <c r="I2608" s="3" t="n"/>
      <c r="J2608" s="3" t="n"/>
      <c r="K2608" s="3" t="n"/>
    </row>
    <row r="2609">
      <c r="A2609" s="3" t="n"/>
      <c r="B2609" s="3" t="n"/>
      <c r="C2609" s="3" t="n"/>
      <c r="D2609" s="3" t="n"/>
      <c r="E2609" s="4">
        <f>IF(A2609="","",COUNTIFS($A$4:A2609,A2609,$I$4:I2609,"&lt;&gt;Штраф -2",$I$4:I2609,"&lt;&gt;ушел на базу"))</f>
        <v/>
      </c>
      <c r="F2609" s="4">
        <f>IF(E2609="","",IF(E2609&lt;=3,6,IF(E2609&lt;=6,5,IF(E2609&lt;=9,4,IF(E2609&lt;=12,3,IF(E2609&lt;=15,2,0))))))</f>
        <v/>
      </c>
      <c r="G2609" s="3" t="n"/>
      <c r="H2609" s="4">
        <f>IF(I2609="Штраф -2",-2,IF(OR(F2609="",G2609=""),"",F2609*G2609+IF(J2609="",0,J2609)))</f>
        <v/>
      </c>
      <c r="I2609" s="3" t="n"/>
      <c r="J2609" s="3" t="n"/>
      <c r="K2609" s="3" t="n"/>
    </row>
    <row r="2610">
      <c r="A2610" s="3" t="n"/>
      <c r="B2610" s="3" t="n"/>
      <c r="C2610" s="3" t="n"/>
      <c r="D2610" s="3" t="n"/>
      <c r="E2610" s="4">
        <f>IF(A2610="","",COUNTIFS($A$4:A2610,A2610,$I$4:I2610,"&lt;&gt;Штраф -2",$I$4:I2610,"&lt;&gt;ушел на базу"))</f>
        <v/>
      </c>
      <c r="F2610" s="4">
        <f>IF(E2610="","",IF(E2610&lt;=3,6,IF(E2610&lt;=6,5,IF(E2610&lt;=9,4,IF(E2610&lt;=12,3,IF(E2610&lt;=15,2,0))))))</f>
        <v/>
      </c>
      <c r="G2610" s="3" t="n"/>
      <c r="H2610" s="4">
        <f>IF(I2610="Штраф -2",-2,IF(OR(F2610="",G2610=""),"",F2610*G2610+IF(J2610="",0,J2610)))</f>
        <v/>
      </c>
      <c r="I2610" s="3" t="n"/>
      <c r="J2610" s="3" t="n"/>
      <c r="K2610" s="3" t="n"/>
    </row>
    <row r="2611">
      <c r="A2611" s="3" t="n"/>
      <c r="B2611" s="3" t="n"/>
      <c r="C2611" s="3" t="n"/>
      <c r="D2611" s="3" t="n"/>
      <c r="E2611" s="4">
        <f>IF(A2611="","",COUNTIFS($A$4:A2611,A2611,$I$4:I2611,"&lt;&gt;Штраф -2",$I$4:I2611,"&lt;&gt;ушел на базу"))</f>
        <v/>
      </c>
      <c r="F2611" s="4">
        <f>IF(E2611="","",IF(E2611&lt;=3,6,IF(E2611&lt;=6,5,IF(E2611&lt;=9,4,IF(E2611&lt;=12,3,IF(E2611&lt;=15,2,0))))))</f>
        <v/>
      </c>
      <c r="G2611" s="3" t="n"/>
      <c r="H2611" s="4">
        <f>IF(I2611="Штраф -2",-2,IF(OR(F2611="",G2611=""),"",F2611*G2611+IF(J2611="",0,J2611)))</f>
        <v/>
      </c>
      <c r="I2611" s="3" t="n"/>
      <c r="J2611" s="3" t="n"/>
      <c r="K2611" s="3" t="n"/>
    </row>
    <row r="2612">
      <c r="A2612" s="3" t="n"/>
      <c r="B2612" s="3" t="n"/>
      <c r="C2612" s="3" t="n"/>
      <c r="D2612" s="3" t="n"/>
      <c r="E2612" s="4">
        <f>IF(A2612="","",COUNTIFS($A$4:A2612,A2612,$I$4:I2612,"&lt;&gt;Штраф -2",$I$4:I2612,"&lt;&gt;ушел на базу"))</f>
        <v/>
      </c>
      <c r="F2612" s="4">
        <f>IF(E2612="","",IF(E2612&lt;=3,6,IF(E2612&lt;=6,5,IF(E2612&lt;=9,4,IF(E2612&lt;=12,3,IF(E2612&lt;=15,2,0))))))</f>
        <v/>
      </c>
      <c r="G2612" s="3" t="n"/>
      <c r="H2612" s="4">
        <f>IF(I2612="Штраф -2",-2,IF(OR(F2612="",G2612=""),"",F2612*G2612+IF(J2612="",0,J2612)))</f>
        <v/>
      </c>
      <c r="I2612" s="3" t="n"/>
      <c r="J2612" s="3" t="n"/>
      <c r="K2612" s="3" t="n"/>
    </row>
    <row r="2613">
      <c r="A2613" s="3" t="n"/>
      <c r="B2613" s="3" t="n"/>
      <c r="C2613" s="3" t="n"/>
      <c r="D2613" s="3" t="n"/>
      <c r="E2613" s="4">
        <f>IF(A2613="","",COUNTIFS($A$4:A2613,A2613,$I$4:I2613,"&lt;&gt;Штраф -2",$I$4:I2613,"&lt;&gt;ушел на базу"))</f>
        <v/>
      </c>
      <c r="F2613" s="4">
        <f>IF(E2613="","",IF(E2613&lt;=3,6,IF(E2613&lt;=6,5,IF(E2613&lt;=9,4,IF(E2613&lt;=12,3,IF(E2613&lt;=15,2,0))))))</f>
        <v/>
      </c>
      <c r="G2613" s="3" t="n"/>
      <c r="H2613" s="4">
        <f>IF(I2613="Штраф -2",-2,IF(OR(F2613="",G2613=""),"",F2613*G2613+IF(J2613="",0,J2613)))</f>
        <v/>
      </c>
      <c r="I2613" s="3" t="n"/>
      <c r="J2613" s="3" t="n"/>
      <c r="K2613" s="3" t="n"/>
    </row>
    <row r="2614">
      <c r="A2614" s="3" t="n"/>
      <c r="B2614" s="3" t="n"/>
      <c r="C2614" s="3" t="n"/>
      <c r="D2614" s="3" t="n"/>
      <c r="E2614" s="4">
        <f>IF(A2614="","",COUNTIFS($A$4:A2614,A2614,$I$4:I2614,"&lt;&gt;Штраф -2",$I$4:I2614,"&lt;&gt;ушел на базу"))</f>
        <v/>
      </c>
      <c r="F2614" s="4">
        <f>IF(E2614="","",IF(E2614&lt;=3,6,IF(E2614&lt;=6,5,IF(E2614&lt;=9,4,IF(E2614&lt;=12,3,IF(E2614&lt;=15,2,0))))))</f>
        <v/>
      </c>
      <c r="G2614" s="3" t="n"/>
      <c r="H2614" s="4">
        <f>IF(I2614="Штраф -2",-2,IF(OR(F2614="",G2614=""),"",F2614*G2614+IF(J2614="",0,J2614)))</f>
        <v/>
      </c>
      <c r="I2614" s="3" t="n"/>
      <c r="J2614" s="3" t="n"/>
      <c r="K2614" s="3" t="n"/>
    </row>
    <row r="2615">
      <c r="A2615" s="3" t="n"/>
      <c r="B2615" s="3" t="n"/>
      <c r="C2615" s="3" t="n"/>
      <c r="D2615" s="3" t="n"/>
      <c r="E2615" s="4">
        <f>IF(A2615="","",COUNTIFS($A$4:A2615,A2615,$I$4:I2615,"&lt;&gt;Штраф -2",$I$4:I2615,"&lt;&gt;ушел на базу"))</f>
        <v/>
      </c>
      <c r="F2615" s="4">
        <f>IF(E2615="","",IF(E2615&lt;=3,6,IF(E2615&lt;=6,5,IF(E2615&lt;=9,4,IF(E2615&lt;=12,3,IF(E2615&lt;=15,2,0))))))</f>
        <v/>
      </c>
      <c r="G2615" s="3" t="n"/>
      <c r="H2615" s="4">
        <f>IF(I2615="Штраф -2",-2,IF(OR(F2615="",G2615=""),"",F2615*G2615+IF(J2615="",0,J2615)))</f>
        <v/>
      </c>
      <c r="I2615" s="3" t="n"/>
      <c r="J2615" s="3" t="n"/>
      <c r="K2615" s="3" t="n"/>
    </row>
    <row r="2616">
      <c r="A2616" s="3" t="n"/>
      <c r="B2616" s="3" t="n"/>
      <c r="C2616" s="3" t="n"/>
      <c r="D2616" s="3" t="n"/>
      <c r="E2616" s="4">
        <f>IF(A2616="","",COUNTIFS($A$4:A2616,A2616,$I$4:I2616,"&lt;&gt;Штраф -2",$I$4:I2616,"&lt;&gt;ушел на базу"))</f>
        <v/>
      </c>
      <c r="F2616" s="4">
        <f>IF(E2616="","",IF(E2616&lt;=3,6,IF(E2616&lt;=6,5,IF(E2616&lt;=9,4,IF(E2616&lt;=12,3,IF(E2616&lt;=15,2,0))))))</f>
        <v/>
      </c>
      <c r="G2616" s="3" t="n"/>
      <c r="H2616" s="4">
        <f>IF(I2616="Штраф -2",-2,IF(OR(F2616="",G2616=""),"",F2616*G2616+IF(J2616="",0,J2616)))</f>
        <v/>
      </c>
      <c r="I2616" s="3" t="n"/>
      <c r="J2616" s="3" t="n"/>
      <c r="K2616" s="3" t="n"/>
    </row>
    <row r="2617">
      <c r="A2617" s="3" t="n"/>
      <c r="B2617" s="3" t="n"/>
      <c r="C2617" s="3" t="n"/>
      <c r="D2617" s="3" t="n"/>
      <c r="E2617" s="4">
        <f>IF(A2617="","",COUNTIFS($A$4:A2617,A2617,$I$4:I2617,"&lt;&gt;Штраф -2",$I$4:I2617,"&lt;&gt;ушел на базу"))</f>
        <v/>
      </c>
      <c r="F2617" s="4">
        <f>IF(E2617="","",IF(E2617&lt;=3,6,IF(E2617&lt;=6,5,IF(E2617&lt;=9,4,IF(E2617&lt;=12,3,IF(E2617&lt;=15,2,0))))))</f>
        <v/>
      </c>
      <c r="G2617" s="3" t="n"/>
      <c r="H2617" s="4">
        <f>IF(I2617="Штраф -2",-2,IF(OR(F2617="",G2617=""),"",F2617*G2617+IF(J2617="",0,J2617)))</f>
        <v/>
      </c>
      <c r="I2617" s="3" t="n"/>
      <c r="J2617" s="3" t="n"/>
      <c r="K2617" s="3" t="n"/>
    </row>
    <row r="2618">
      <c r="A2618" s="3" t="n"/>
      <c r="B2618" s="3" t="n"/>
      <c r="C2618" s="3" t="n"/>
      <c r="D2618" s="3" t="n"/>
      <c r="E2618" s="4">
        <f>IF(A2618="","",COUNTIFS($A$4:A2618,A2618,$I$4:I2618,"&lt;&gt;Штраф -2",$I$4:I2618,"&lt;&gt;ушел на базу"))</f>
        <v/>
      </c>
      <c r="F2618" s="4">
        <f>IF(E2618="","",IF(E2618&lt;=3,6,IF(E2618&lt;=6,5,IF(E2618&lt;=9,4,IF(E2618&lt;=12,3,IF(E2618&lt;=15,2,0))))))</f>
        <v/>
      </c>
      <c r="G2618" s="3" t="n"/>
      <c r="H2618" s="4">
        <f>IF(I2618="Штраф -2",-2,IF(OR(F2618="",G2618=""),"",F2618*G2618+IF(J2618="",0,J2618)))</f>
        <v/>
      </c>
      <c r="I2618" s="3" t="n"/>
      <c r="J2618" s="3" t="n"/>
      <c r="K2618" s="3" t="n"/>
    </row>
    <row r="2619">
      <c r="A2619" s="3" t="n"/>
      <c r="B2619" s="3" t="n"/>
      <c r="C2619" s="3" t="n"/>
      <c r="D2619" s="3" t="n"/>
      <c r="E2619" s="4">
        <f>IF(A2619="","",COUNTIFS($A$4:A2619,A2619,$I$4:I2619,"&lt;&gt;Штраф -2",$I$4:I2619,"&lt;&gt;ушел на базу"))</f>
        <v/>
      </c>
      <c r="F2619" s="4">
        <f>IF(E2619="","",IF(E2619&lt;=3,6,IF(E2619&lt;=6,5,IF(E2619&lt;=9,4,IF(E2619&lt;=12,3,IF(E2619&lt;=15,2,0))))))</f>
        <v/>
      </c>
      <c r="G2619" s="3" t="n"/>
      <c r="H2619" s="4">
        <f>IF(I2619="Штраф -2",-2,IF(OR(F2619="",G2619=""),"",F2619*G2619+IF(J2619="",0,J2619)))</f>
        <v/>
      </c>
      <c r="I2619" s="3" t="n"/>
      <c r="J2619" s="3" t="n"/>
      <c r="K2619" s="3" t="n"/>
    </row>
    <row r="2620">
      <c r="A2620" s="3" t="n"/>
      <c r="B2620" s="3" t="n"/>
      <c r="C2620" s="3" t="n"/>
      <c r="D2620" s="3" t="n"/>
      <c r="E2620" s="4">
        <f>IF(A2620="","",COUNTIFS($A$4:A2620,A2620,$I$4:I2620,"&lt;&gt;Штраф -2",$I$4:I2620,"&lt;&gt;ушел на базу"))</f>
        <v/>
      </c>
      <c r="F2620" s="4">
        <f>IF(E2620="","",IF(E2620&lt;=3,6,IF(E2620&lt;=6,5,IF(E2620&lt;=9,4,IF(E2620&lt;=12,3,IF(E2620&lt;=15,2,0))))))</f>
        <v/>
      </c>
      <c r="G2620" s="3" t="n"/>
      <c r="H2620" s="4">
        <f>IF(I2620="Штраф -2",-2,IF(OR(F2620="",G2620=""),"",F2620*G2620+IF(J2620="",0,J2620)))</f>
        <v/>
      </c>
      <c r="I2620" s="3" t="n"/>
      <c r="J2620" s="3" t="n"/>
      <c r="K2620" s="3" t="n"/>
    </row>
    <row r="2621">
      <c r="A2621" s="3" t="n"/>
      <c r="B2621" s="3" t="n"/>
      <c r="C2621" s="3" t="n"/>
      <c r="D2621" s="3" t="n"/>
      <c r="E2621" s="4">
        <f>IF(A2621="","",COUNTIFS($A$4:A2621,A2621,$I$4:I2621,"&lt;&gt;Штраф -2",$I$4:I2621,"&lt;&gt;ушел на базу"))</f>
        <v/>
      </c>
      <c r="F2621" s="4">
        <f>IF(E2621="","",IF(E2621&lt;=3,6,IF(E2621&lt;=6,5,IF(E2621&lt;=9,4,IF(E2621&lt;=12,3,IF(E2621&lt;=15,2,0))))))</f>
        <v/>
      </c>
      <c r="G2621" s="3" t="n"/>
      <c r="H2621" s="4">
        <f>IF(I2621="Штраф -2",-2,IF(OR(F2621="",G2621=""),"",F2621*G2621+IF(J2621="",0,J2621)))</f>
        <v/>
      </c>
      <c r="I2621" s="3" t="n"/>
      <c r="J2621" s="3" t="n"/>
      <c r="K2621" s="3" t="n"/>
    </row>
    <row r="2622">
      <c r="A2622" s="3" t="n"/>
      <c r="B2622" s="3" t="n"/>
      <c r="C2622" s="3" t="n"/>
      <c r="D2622" s="3" t="n"/>
      <c r="E2622" s="4">
        <f>IF(A2622="","",COUNTIFS($A$4:A2622,A2622,$I$4:I2622,"&lt;&gt;Штраф -2",$I$4:I2622,"&lt;&gt;ушел на базу"))</f>
        <v/>
      </c>
      <c r="F2622" s="4">
        <f>IF(E2622="","",IF(E2622&lt;=3,6,IF(E2622&lt;=6,5,IF(E2622&lt;=9,4,IF(E2622&lt;=12,3,IF(E2622&lt;=15,2,0))))))</f>
        <v/>
      </c>
      <c r="G2622" s="3" t="n"/>
      <c r="H2622" s="4">
        <f>IF(I2622="Штраф -2",-2,IF(OR(F2622="",G2622=""),"",F2622*G2622+IF(J2622="",0,J2622)))</f>
        <v/>
      </c>
      <c r="I2622" s="3" t="n"/>
      <c r="J2622" s="3" t="n"/>
      <c r="K2622" s="3" t="n"/>
    </row>
    <row r="2623">
      <c r="A2623" s="3" t="n"/>
      <c r="B2623" s="3" t="n"/>
      <c r="C2623" s="3" t="n"/>
      <c r="D2623" s="3" t="n"/>
      <c r="E2623" s="4">
        <f>IF(A2623="","",COUNTIFS($A$4:A2623,A2623,$I$4:I2623,"&lt;&gt;Штраф -2",$I$4:I2623,"&lt;&gt;ушел на базу"))</f>
        <v/>
      </c>
      <c r="F2623" s="4">
        <f>IF(E2623="","",IF(E2623&lt;=3,6,IF(E2623&lt;=6,5,IF(E2623&lt;=9,4,IF(E2623&lt;=12,3,IF(E2623&lt;=15,2,0))))))</f>
        <v/>
      </c>
      <c r="G2623" s="3" t="n"/>
      <c r="H2623" s="4">
        <f>IF(I2623="Штраф -2",-2,IF(OR(F2623="",G2623=""),"",F2623*G2623+IF(J2623="",0,J2623)))</f>
        <v/>
      </c>
      <c r="I2623" s="3" t="n"/>
      <c r="J2623" s="3" t="n"/>
      <c r="K2623" s="3" t="n"/>
    </row>
    <row r="2624">
      <c r="A2624" s="3" t="n"/>
      <c r="B2624" s="3" t="n"/>
      <c r="C2624" s="3" t="n"/>
      <c r="D2624" s="3" t="n"/>
      <c r="E2624" s="4">
        <f>IF(A2624="","",COUNTIFS($A$4:A2624,A2624,$I$4:I2624,"&lt;&gt;Штраф -2",$I$4:I2624,"&lt;&gt;ушел на базу"))</f>
        <v/>
      </c>
      <c r="F2624" s="4">
        <f>IF(E2624="","",IF(E2624&lt;=3,6,IF(E2624&lt;=6,5,IF(E2624&lt;=9,4,IF(E2624&lt;=12,3,IF(E2624&lt;=15,2,0))))))</f>
        <v/>
      </c>
      <c r="G2624" s="3" t="n"/>
      <c r="H2624" s="4">
        <f>IF(I2624="Штраф -2",-2,IF(OR(F2624="",G2624=""),"",F2624*G2624+IF(J2624="",0,J2624)))</f>
        <v/>
      </c>
      <c r="I2624" s="3" t="n"/>
      <c r="J2624" s="3" t="n"/>
      <c r="K2624" s="3" t="n"/>
    </row>
    <row r="2625">
      <c r="A2625" s="3" t="n"/>
      <c r="B2625" s="3" t="n"/>
      <c r="C2625" s="3" t="n"/>
      <c r="D2625" s="3" t="n"/>
      <c r="E2625" s="4">
        <f>IF(A2625="","",COUNTIFS($A$4:A2625,A2625,$I$4:I2625,"&lt;&gt;Штраф -2",$I$4:I2625,"&lt;&gt;ушел на базу"))</f>
        <v/>
      </c>
      <c r="F2625" s="4">
        <f>IF(E2625="","",IF(E2625&lt;=3,6,IF(E2625&lt;=6,5,IF(E2625&lt;=9,4,IF(E2625&lt;=12,3,IF(E2625&lt;=15,2,0))))))</f>
        <v/>
      </c>
      <c r="G2625" s="3" t="n"/>
      <c r="H2625" s="4">
        <f>IF(I2625="Штраф -2",-2,IF(OR(F2625="",G2625=""),"",F2625*G2625+IF(J2625="",0,J2625)))</f>
        <v/>
      </c>
      <c r="I2625" s="3" t="n"/>
      <c r="J2625" s="3" t="n"/>
      <c r="K2625" s="3" t="n"/>
    </row>
    <row r="2626">
      <c r="A2626" s="3" t="n"/>
      <c r="B2626" s="3" t="n"/>
      <c r="C2626" s="3" t="n"/>
      <c r="D2626" s="3" t="n"/>
      <c r="E2626" s="4">
        <f>IF(A2626="","",COUNTIFS($A$4:A2626,A2626,$I$4:I2626,"&lt;&gt;Штраф -2",$I$4:I2626,"&lt;&gt;ушел на базу"))</f>
        <v/>
      </c>
      <c r="F2626" s="4">
        <f>IF(E2626="","",IF(E2626&lt;=3,6,IF(E2626&lt;=6,5,IF(E2626&lt;=9,4,IF(E2626&lt;=12,3,IF(E2626&lt;=15,2,0))))))</f>
        <v/>
      </c>
      <c r="G2626" s="3" t="n"/>
      <c r="H2626" s="4">
        <f>IF(I2626="Штраф -2",-2,IF(OR(F2626="",G2626=""),"",F2626*G2626+IF(J2626="",0,J2626)))</f>
        <v/>
      </c>
      <c r="I2626" s="3" t="n"/>
      <c r="J2626" s="3" t="n"/>
      <c r="K2626" s="3" t="n"/>
    </row>
    <row r="2627">
      <c r="A2627" s="3" t="n"/>
      <c r="B2627" s="3" t="n"/>
      <c r="C2627" s="3" t="n"/>
      <c r="D2627" s="3" t="n"/>
      <c r="E2627" s="4">
        <f>IF(A2627="","",COUNTIFS($A$4:A2627,A2627,$I$4:I2627,"&lt;&gt;Штраф -2",$I$4:I2627,"&lt;&gt;ушел на базу"))</f>
        <v/>
      </c>
      <c r="F2627" s="4">
        <f>IF(E2627="","",IF(E2627&lt;=3,6,IF(E2627&lt;=6,5,IF(E2627&lt;=9,4,IF(E2627&lt;=12,3,IF(E2627&lt;=15,2,0))))))</f>
        <v/>
      </c>
      <c r="G2627" s="3" t="n"/>
      <c r="H2627" s="4">
        <f>IF(I2627="Штраф -2",-2,IF(OR(F2627="",G2627=""),"",F2627*G2627+IF(J2627="",0,J2627)))</f>
        <v/>
      </c>
      <c r="I2627" s="3" t="n"/>
      <c r="J2627" s="3" t="n"/>
      <c r="K2627" s="3" t="n"/>
    </row>
    <row r="2628">
      <c r="A2628" s="3" t="n"/>
      <c r="B2628" s="3" t="n"/>
      <c r="C2628" s="3" t="n"/>
      <c r="D2628" s="3" t="n"/>
      <c r="E2628" s="4">
        <f>IF(A2628="","",COUNTIFS($A$4:A2628,A2628,$I$4:I2628,"&lt;&gt;Штраф -2",$I$4:I2628,"&lt;&gt;ушел на базу"))</f>
        <v/>
      </c>
      <c r="F2628" s="4">
        <f>IF(E2628="","",IF(E2628&lt;=3,6,IF(E2628&lt;=6,5,IF(E2628&lt;=9,4,IF(E2628&lt;=12,3,IF(E2628&lt;=15,2,0))))))</f>
        <v/>
      </c>
      <c r="G2628" s="3" t="n"/>
      <c r="H2628" s="4">
        <f>IF(I2628="Штраф -2",-2,IF(OR(F2628="",G2628=""),"",F2628*G2628+IF(J2628="",0,J2628)))</f>
        <v/>
      </c>
      <c r="I2628" s="3" t="n"/>
      <c r="J2628" s="3" t="n"/>
      <c r="K2628" s="3" t="n"/>
    </row>
    <row r="2629">
      <c r="A2629" s="3" t="n"/>
      <c r="B2629" s="3" t="n"/>
      <c r="C2629" s="3" t="n"/>
      <c r="D2629" s="3" t="n"/>
      <c r="E2629" s="4">
        <f>IF(A2629="","",COUNTIFS($A$4:A2629,A2629,$I$4:I2629,"&lt;&gt;Штраф -2",$I$4:I2629,"&lt;&gt;ушел на базу"))</f>
        <v/>
      </c>
      <c r="F2629" s="4">
        <f>IF(E2629="","",IF(E2629&lt;=3,6,IF(E2629&lt;=6,5,IF(E2629&lt;=9,4,IF(E2629&lt;=12,3,IF(E2629&lt;=15,2,0))))))</f>
        <v/>
      </c>
      <c r="G2629" s="3" t="n"/>
      <c r="H2629" s="4">
        <f>IF(I2629="Штраф -2",-2,IF(OR(F2629="",G2629=""),"",F2629*G2629+IF(J2629="",0,J2629)))</f>
        <v/>
      </c>
      <c r="I2629" s="3" t="n"/>
      <c r="J2629" s="3" t="n"/>
      <c r="K2629" s="3" t="n"/>
    </row>
    <row r="2630">
      <c r="A2630" s="3" t="n"/>
      <c r="B2630" s="3" t="n"/>
      <c r="C2630" s="3" t="n"/>
      <c r="D2630" s="3" t="n"/>
      <c r="E2630" s="4">
        <f>IF(A2630="","",COUNTIFS($A$4:A2630,A2630,$I$4:I2630,"&lt;&gt;Штраф -2",$I$4:I2630,"&lt;&gt;ушел на базу"))</f>
        <v/>
      </c>
      <c r="F2630" s="4">
        <f>IF(E2630="","",IF(E2630&lt;=3,6,IF(E2630&lt;=6,5,IF(E2630&lt;=9,4,IF(E2630&lt;=12,3,IF(E2630&lt;=15,2,0))))))</f>
        <v/>
      </c>
      <c r="G2630" s="3" t="n"/>
      <c r="H2630" s="4">
        <f>IF(I2630="Штраф -2",-2,IF(OR(F2630="",G2630=""),"",F2630*G2630+IF(J2630="",0,J2630)))</f>
        <v/>
      </c>
      <c r="I2630" s="3" t="n"/>
      <c r="J2630" s="3" t="n"/>
      <c r="K2630" s="3" t="n"/>
    </row>
    <row r="2631">
      <c r="A2631" s="3" t="n"/>
      <c r="B2631" s="3" t="n"/>
      <c r="C2631" s="3" t="n"/>
      <c r="D2631" s="3" t="n"/>
      <c r="E2631" s="4">
        <f>IF(A2631="","",COUNTIFS($A$4:A2631,A2631,$I$4:I2631,"&lt;&gt;Штраф -2",$I$4:I2631,"&lt;&gt;ушел на базу"))</f>
        <v/>
      </c>
      <c r="F2631" s="4">
        <f>IF(E2631="","",IF(E2631&lt;=3,6,IF(E2631&lt;=6,5,IF(E2631&lt;=9,4,IF(E2631&lt;=12,3,IF(E2631&lt;=15,2,0))))))</f>
        <v/>
      </c>
      <c r="G2631" s="3" t="n"/>
      <c r="H2631" s="4">
        <f>IF(I2631="Штраф -2",-2,IF(OR(F2631="",G2631=""),"",F2631*G2631+IF(J2631="",0,J2631)))</f>
        <v/>
      </c>
      <c r="I2631" s="3" t="n"/>
      <c r="J2631" s="3" t="n"/>
      <c r="K2631" s="3" t="n"/>
    </row>
    <row r="2632">
      <c r="A2632" s="3" t="n"/>
      <c r="B2632" s="3" t="n"/>
      <c r="C2632" s="3" t="n"/>
      <c r="D2632" s="3" t="n"/>
      <c r="E2632" s="4">
        <f>IF(A2632="","",COUNTIFS($A$4:A2632,A2632,$I$4:I2632,"&lt;&gt;Штраф -2",$I$4:I2632,"&lt;&gt;ушел на базу"))</f>
        <v/>
      </c>
      <c r="F2632" s="4">
        <f>IF(E2632="","",IF(E2632&lt;=3,6,IF(E2632&lt;=6,5,IF(E2632&lt;=9,4,IF(E2632&lt;=12,3,IF(E2632&lt;=15,2,0))))))</f>
        <v/>
      </c>
      <c r="G2632" s="3" t="n"/>
      <c r="H2632" s="4">
        <f>IF(I2632="Штраф -2",-2,IF(OR(F2632="",G2632=""),"",F2632*G2632+IF(J2632="",0,J2632)))</f>
        <v/>
      </c>
      <c r="I2632" s="3" t="n"/>
      <c r="J2632" s="3" t="n"/>
      <c r="K2632" s="3" t="n"/>
    </row>
    <row r="2633">
      <c r="A2633" s="3" t="n"/>
      <c r="B2633" s="3" t="n"/>
      <c r="C2633" s="3" t="n"/>
      <c r="D2633" s="3" t="n"/>
      <c r="E2633" s="4">
        <f>IF(A2633="","",COUNTIFS($A$4:A2633,A2633,$I$4:I2633,"&lt;&gt;Штраф -2",$I$4:I2633,"&lt;&gt;ушел на базу"))</f>
        <v/>
      </c>
      <c r="F2633" s="4">
        <f>IF(E2633="","",IF(E2633&lt;=3,6,IF(E2633&lt;=6,5,IF(E2633&lt;=9,4,IF(E2633&lt;=12,3,IF(E2633&lt;=15,2,0))))))</f>
        <v/>
      </c>
      <c r="G2633" s="3" t="n"/>
      <c r="H2633" s="4">
        <f>IF(I2633="Штраф -2",-2,IF(OR(F2633="",G2633=""),"",F2633*G2633+IF(J2633="",0,J2633)))</f>
        <v/>
      </c>
      <c r="I2633" s="3" t="n"/>
      <c r="J2633" s="3" t="n"/>
      <c r="K2633" s="3" t="n"/>
    </row>
    <row r="2634">
      <c r="A2634" s="3" t="n"/>
      <c r="B2634" s="3" t="n"/>
      <c r="C2634" s="3" t="n"/>
      <c r="D2634" s="3" t="n"/>
      <c r="E2634" s="4">
        <f>IF(A2634="","",COUNTIFS($A$4:A2634,A2634,$I$4:I2634,"&lt;&gt;Штраф -2",$I$4:I2634,"&lt;&gt;ушел на базу"))</f>
        <v/>
      </c>
      <c r="F2634" s="4">
        <f>IF(E2634="","",IF(E2634&lt;=3,6,IF(E2634&lt;=6,5,IF(E2634&lt;=9,4,IF(E2634&lt;=12,3,IF(E2634&lt;=15,2,0))))))</f>
        <v/>
      </c>
      <c r="G2634" s="3" t="n"/>
      <c r="H2634" s="4">
        <f>IF(I2634="Штраф -2",-2,IF(OR(F2634="",G2634=""),"",F2634*G2634+IF(J2634="",0,J2634)))</f>
        <v/>
      </c>
      <c r="I2634" s="3" t="n"/>
      <c r="J2634" s="3" t="n"/>
      <c r="K2634" s="3" t="n"/>
    </row>
    <row r="2635">
      <c r="A2635" s="3" t="n"/>
      <c r="B2635" s="3" t="n"/>
      <c r="C2635" s="3" t="n"/>
      <c r="D2635" s="3" t="n"/>
      <c r="E2635" s="4">
        <f>IF(A2635="","",COUNTIFS($A$4:A2635,A2635,$I$4:I2635,"&lt;&gt;Штраф -2",$I$4:I2635,"&lt;&gt;ушел на базу"))</f>
        <v/>
      </c>
      <c r="F2635" s="4">
        <f>IF(E2635="","",IF(E2635&lt;=3,6,IF(E2635&lt;=6,5,IF(E2635&lt;=9,4,IF(E2635&lt;=12,3,IF(E2635&lt;=15,2,0))))))</f>
        <v/>
      </c>
      <c r="G2635" s="3" t="n"/>
      <c r="H2635" s="4">
        <f>IF(I2635="Штраф -2",-2,IF(OR(F2635="",G2635=""),"",F2635*G2635+IF(J2635="",0,J2635)))</f>
        <v/>
      </c>
      <c r="I2635" s="3" t="n"/>
      <c r="J2635" s="3" t="n"/>
      <c r="K2635" s="3" t="n"/>
    </row>
    <row r="2636">
      <c r="A2636" s="3" t="n"/>
      <c r="B2636" s="3" t="n"/>
      <c r="C2636" s="3" t="n"/>
      <c r="D2636" s="3" t="n"/>
      <c r="E2636" s="4">
        <f>IF(A2636="","",COUNTIFS($A$4:A2636,A2636,$I$4:I2636,"&lt;&gt;Штраф -2",$I$4:I2636,"&lt;&gt;ушел на базу"))</f>
        <v/>
      </c>
      <c r="F2636" s="4">
        <f>IF(E2636="","",IF(E2636&lt;=3,6,IF(E2636&lt;=6,5,IF(E2636&lt;=9,4,IF(E2636&lt;=12,3,IF(E2636&lt;=15,2,0))))))</f>
        <v/>
      </c>
      <c r="G2636" s="3" t="n"/>
      <c r="H2636" s="4">
        <f>IF(I2636="Штраф -2",-2,IF(OR(F2636="",G2636=""),"",F2636*G2636+IF(J2636="",0,J2636)))</f>
        <v/>
      </c>
      <c r="I2636" s="3" t="n"/>
      <c r="J2636" s="3" t="n"/>
      <c r="K2636" s="3" t="n"/>
    </row>
    <row r="2637">
      <c r="A2637" s="3" t="n"/>
      <c r="B2637" s="3" t="n"/>
      <c r="C2637" s="3" t="n"/>
      <c r="D2637" s="3" t="n"/>
      <c r="E2637" s="4">
        <f>IF(A2637="","",COUNTIFS($A$4:A2637,A2637,$I$4:I2637,"&lt;&gt;Штраф -2",$I$4:I2637,"&lt;&gt;ушел на базу"))</f>
        <v/>
      </c>
      <c r="F2637" s="4">
        <f>IF(E2637="","",IF(E2637&lt;=3,6,IF(E2637&lt;=6,5,IF(E2637&lt;=9,4,IF(E2637&lt;=12,3,IF(E2637&lt;=15,2,0))))))</f>
        <v/>
      </c>
      <c r="G2637" s="3" t="n"/>
      <c r="H2637" s="4">
        <f>IF(I2637="Штраф -2",-2,IF(OR(F2637="",G2637=""),"",F2637*G2637+IF(J2637="",0,J2637)))</f>
        <v/>
      </c>
      <c r="I2637" s="3" t="n"/>
      <c r="J2637" s="3" t="n"/>
      <c r="K2637" s="3" t="n"/>
    </row>
    <row r="2638">
      <c r="A2638" s="3" t="n"/>
      <c r="B2638" s="3" t="n"/>
      <c r="C2638" s="3" t="n"/>
      <c r="D2638" s="3" t="n"/>
      <c r="E2638" s="4">
        <f>IF(A2638="","",COUNTIFS($A$4:A2638,A2638,$I$4:I2638,"&lt;&gt;Штраф -2",$I$4:I2638,"&lt;&gt;ушел на базу"))</f>
        <v/>
      </c>
      <c r="F2638" s="4">
        <f>IF(E2638="","",IF(E2638&lt;=3,6,IF(E2638&lt;=6,5,IF(E2638&lt;=9,4,IF(E2638&lt;=12,3,IF(E2638&lt;=15,2,0))))))</f>
        <v/>
      </c>
      <c r="G2638" s="3" t="n"/>
      <c r="H2638" s="4">
        <f>IF(I2638="Штраф -2",-2,IF(OR(F2638="",G2638=""),"",F2638*G2638+IF(J2638="",0,J2638)))</f>
        <v/>
      </c>
      <c r="I2638" s="3" t="n"/>
      <c r="J2638" s="3" t="n"/>
      <c r="K2638" s="3" t="n"/>
    </row>
    <row r="2639">
      <c r="A2639" s="3" t="n"/>
      <c r="B2639" s="3" t="n"/>
      <c r="C2639" s="3" t="n"/>
      <c r="D2639" s="3" t="n"/>
      <c r="E2639" s="4">
        <f>IF(A2639="","",COUNTIFS($A$4:A2639,A2639,$I$4:I2639,"&lt;&gt;Штраф -2",$I$4:I2639,"&lt;&gt;ушел на базу"))</f>
        <v/>
      </c>
      <c r="F2639" s="4">
        <f>IF(E2639="","",IF(E2639&lt;=3,6,IF(E2639&lt;=6,5,IF(E2639&lt;=9,4,IF(E2639&lt;=12,3,IF(E2639&lt;=15,2,0))))))</f>
        <v/>
      </c>
      <c r="G2639" s="3" t="n"/>
      <c r="H2639" s="4">
        <f>IF(I2639="Штраф -2",-2,IF(OR(F2639="",G2639=""),"",F2639*G2639+IF(J2639="",0,J2639)))</f>
        <v/>
      </c>
      <c r="I2639" s="3" t="n"/>
      <c r="J2639" s="3" t="n"/>
      <c r="K2639" s="3" t="n"/>
    </row>
    <row r="2640">
      <c r="A2640" s="3" t="n"/>
      <c r="B2640" s="3" t="n"/>
      <c r="C2640" s="3" t="n"/>
      <c r="D2640" s="3" t="n"/>
      <c r="E2640" s="4">
        <f>IF(A2640="","",COUNTIFS($A$4:A2640,A2640,$I$4:I2640,"&lt;&gt;Штраф -2",$I$4:I2640,"&lt;&gt;ушел на базу"))</f>
        <v/>
      </c>
      <c r="F2640" s="4">
        <f>IF(E2640="","",IF(E2640&lt;=3,6,IF(E2640&lt;=6,5,IF(E2640&lt;=9,4,IF(E2640&lt;=12,3,IF(E2640&lt;=15,2,0))))))</f>
        <v/>
      </c>
      <c r="G2640" s="3" t="n"/>
      <c r="H2640" s="4">
        <f>IF(I2640="Штраф -2",-2,IF(OR(F2640="",G2640=""),"",F2640*G2640+IF(J2640="",0,J2640)))</f>
        <v/>
      </c>
      <c r="I2640" s="3" t="n"/>
      <c r="J2640" s="3" t="n"/>
      <c r="K2640" s="3" t="n"/>
    </row>
    <row r="2641">
      <c r="A2641" s="3" t="n"/>
      <c r="B2641" s="3" t="n"/>
      <c r="C2641" s="3" t="n"/>
      <c r="D2641" s="3" t="n"/>
      <c r="E2641" s="4">
        <f>IF(A2641="","",COUNTIFS($A$4:A2641,A2641,$I$4:I2641,"&lt;&gt;Штраф -2",$I$4:I2641,"&lt;&gt;ушел на базу"))</f>
        <v/>
      </c>
      <c r="F2641" s="4">
        <f>IF(E2641="","",IF(E2641&lt;=3,6,IF(E2641&lt;=6,5,IF(E2641&lt;=9,4,IF(E2641&lt;=12,3,IF(E2641&lt;=15,2,0))))))</f>
        <v/>
      </c>
      <c r="G2641" s="3" t="n"/>
      <c r="H2641" s="4">
        <f>IF(I2641="Штраф -2",-2,IF(OR(F2641="",G2641=""),"",F2641*G2641+IF(J2641="",0,J2641)))</f>
        <v/>
      </c>
      <c r="I2641" s="3" t="n"/>
      <c r="J2641" s="3" t="n"/>
      <c r="K2641" s="3" t="n"/>
    </row>
    <row r="2642">
      <c r="A2642" s="3" t="n"/>
      <c r="B2642" s="3" t="n"/>
      <c r="C2642" s="3" t="n"/>
      <c r="D2642" s="3" t="n"/>
      <c r="E2642" s="4">
        <f>IF(A2642="","",COUNTIFS($A$4:A2642,A2642,$I$4:I2642,"&lt;&gt;Штраф -2",$I$4:I2642,"&lt;&gt;ушел на базу"))</f>
        <v/>
      </c>
      <c r="F2642" s="4">
        <f>IF(E2642="","",IF(E2642&lt;=3,6,IF(E2642&lt;=6,5,IF(E2642&lt;=9,4,IF(E2642&lt;=12,3,IF(E2642&lt;=15,2,0))))))</f>
        <v/>
      </c>
      <c r="G2642" s="3" t="n"/>
      <c r="H2642" s="4">
        <f>IF(I2642="Штраф -2",-2,IF(OR(F2642="",G2642=""),"",F2642*G2642+IF(J2642="",0,J2642)))</f>
        <v/>
      </c>
      <c r="I2642" s="3" t="n"/>
      <c r="J2642" s="3" t="n"/>
      <c r="K2642" s="3" t="n"/>
    </row>
    <row r="2643">
      <c r="A2643" s="3" t="n"/>
      <c r="B2643" s="3" t="n"/>
      <c r="C2643" s="3" t="n"/>
      <c r="D2643" s="3" t="n"/>
      <c r="E2643" s="4">
        <f>IF(A2643="","",COUNTIFS($A$4:A2643,A2643,$I$4:I2643,"&lt;&gt;Штраф -2",$I$4:I2643,"&lt;&gt;ушел на базу"))</f>
        <v/>
      </c>
      <c r="F2643" s="4">
        <f>IF(E2643="","",IF(E2643&lt;=3,6,IF(E2643&lt;=6,5,IF(E2643&lt;=9,4,IF(E2643&lt;=12,3,IF(E2643&lt;=15,2,0))))))</f>
        <v/>
      </c>
      <c r="G2643" s="3" t="n"/>
      <c r="H2643" s="4">
        <f>IF(I2643="Штраф -2",-2,IF(OR(F2643="",G2643=""),"",F2643*G2643+IF(J2643="",0,J2643)))</f>
        <v/>
      </c>
      <c r="I2643" s="3" t="n"/>
      <c r="J2643" s="3" t="n"/>
      <c r="K2643" s="3" t="n"/>
    </row>
    <row r="2644">
      <c r="A2644" s="3" t="n"/>
      <c r="B2644" s="3" t="n"/>
      <c r="C2644" s="3" t="n"/>
      <c r="D2644" s="3" t="n"/>
      <c r="E2644" s="4">
        <f>IF(A2644="","",COUNTIFS($A$4:A2644,A2644,$I$4:I2644,"&lt;&gt;Штраф -2",$I$4:I2644,"&lt;&gt;ушел на базу"))</f>
        <v/>
      </c>
      <c r="F2644" s="4">
        <f>IF(E2644="","",IF(E2644&lt;=3,6,IF(E2644&lt;=6,5,IF(E2644&lt;=9,4,IF(E2644&lt;=12,3,IF(E2644&lt;=15,2,0))))))</f>
        <v/>
      </c>
      <c r="G2644" s="3" t="n"/>
      <c r="H2644" s="4">
        <f>IF(I2644="Штраф -2",-2,IF(OR(F2644="",G2644=""),"",F2644*G2644+IF(J2644="",0,J2644)))</f>
        <v/>
      </c>
      <c r="I2644" s="3" t="n"/>
      <c r="J2644" s="3" t="n"/>
      <c r="K2644" s="3" t="n"/>
    </row>
    <row r="2645">
      <c r="A2645" s="3" t="n"/>
      <c r="B2645" s="3" t="n"/>
      <c r="C2645" s="3" t="n"/>
      <c r="D2645" s="3" t="n"/>
      <c r="E2645" s="4">
        <f>IF(A2645="","",COUNTIFS($A$4:A2645,A2645,$I$4:I2645,"&lt;&gt;Штраф -2",$I$4:I2645,"&lt;&gt;ушел на базу"))</f>
        <v/>
      </c>
      <c r="F2645" s="4">
        <f>IF(E2645="","",IF(E2645&lt;=3,6,IF(E2645&lt;=6,5,IF(E2645&lt;=9,4,IF(E2645&lt;=12,3,IF(E2645&lt;=15,2,0))))))</f>
        <v/>
      </c>
      <c r="G2645" s="3" t="n"/>
      <c r="H2645" s="4">
        <f>IF(I2645="Штраф -2",-2,IF(OR(F2645="",G2645=""),"",F2645*G2645+IF(J2645="",0,J2645)))</f>
        <v/>
      </c>
      <c r="I2645" s="3" t="n"/>
      <c r="J2645" s="3" t="n"/>
      <c r="K2645" s="3" t="n"/>
    </row>
    <row r="2646">
      <c r="A2646" s="3" t="n"/>
      <c r="B2646" s="3" t="n"/>
      <c r="C2646" s="3" t="n"/>
      <c r="D2646" s="3" t="n"/>
      <c r="E2646" s="4">
        <f>IF(A2646="","",COUNTIFS($A$4:A2646,A2646,$I$4:I2646,"&lt;&gt;Штраф -2",$I$4:I2646,"&lt;&gt;ушел на базу"))</f>
        <v/>
      </c>
      <c r="F2646" s="4">
        <f>IF(E2646="","",IF(E2646&lt;=3,6,IF(E2646&lt;=6,5,IF(E2646&lt;=9,4,IF(E2646&lt;=12,3,IF(E2646&lt;=15,2,0))))))</f>
        <v/>
      </c>
      <c r="G2646" s="3" t="n"/>
      <c r="H2646" s="4">
        <f>IF(I2646="Штраф -2",-2,IF(OR(F2646="",G2646=""),"",F2646*G2646+IF(J2646="",0,J2646)))</f>
        <v/>
      </c>
      <c r="I2646" s="3" t="n"/>
      <c r="J2646" s="3" t="n"/>
      <c r="K2646" s="3" t="n"/>
    </row>
    <row r="2647">
      <c r="A2647" s="3" t="n"/>
      <c r="B2647" s="3" t="n"/>
      <c r="C2647" s="3" t="n"/>
      <c r="D2647" s="3" t="n"/>
      <c r="E2647" s="4">
        <f>IF(A2647="","",COUNTIFS($A$4:A2647,A2647,$I$4:I2647,"&lt;&gt;Штраф -2",$I$4:I2647,"&lt;&gt;ушел на базу"))</f>
        <v/>
      </c>
      <c r="F2647" s="4">
        <f>IF(E2647="","",IF(E2647&lt;=3,6,IF(E2647&lt;=6,5,IF(E2647&lt;=9,4,IF(E2647&lt;=12,3,IF(E2647&lt;=15,2,0))))))</f>
        <v/>
      </c>
      <c r="G2647" s="3" t="n"/>
      <c r="H2647" s="4">
        <f>IF(I2647="Штраф -2",-2,IF(OR(F2647="",G2647=""),"",F2647*G2647+IF(J2647="",0,J2647)))</f>
        <v/>
      </c>
      <c r="I2647" s="3" t="n"/>
      <c r="J2647" s="3" t="n"/>
      <c r="K2647" s="3" t="n"/>
    </row>
    <row r="2648">
      <c r="A2648" s="3" t="n"/>
      <c r="B2648" s="3" t="n"/>
      <c r="C2648" s="3" t="n"/>
      <c r="D2648" s="3" t="n"/>
      <c r="E2648" s="4">
        <f>IF(A2648="","",COUNTIFS($A$4:A2648,A2648,$I$4:I2648,"&lt;&gt;Штраф -2",$I$4:I2648,"&lt;&gt;ушел на базу"))</f>
        <v/>
      </c>
      <c r="F2648" s="4">
        <f>IF(E2648="","",IF(E2648&lt;=3,6,IF(E2648&lt;=6,5,IF(E2648&lt;=9,4,IF(E2648&lt;=12,3,IF(E2648&lt;=15,2,0))))))</f>
        <v/>
      </c>
      <c r="G2648" s="3" t="n"/>
      <c r="H2648" s="4">
        <f>IF(I2648="Штраф -2",-2,IF(OR(F2648="",G2648=""),"",F2648*G2648+IF(J2648="",0,J2648)))</f>
        <v/>
      </c>
      <c r="I2648" s="3" t="n"/>
      <c r="J2648" s="3" t="n"/>
      <c r="K2648" s="3" t="n"/>
    </row>
    <row r="2649">
      <c r="A2649" s="3" t="n"/>
      <c r="B2649" s="3" t="n"/>
      <c r="C2649" s="3" t="n"/>
      <c r="D2649" s="3" t="n"/>
      <c r="E2649" s="4">
        <f>IF(A2649="","",COUNTIFS($A$4:A2649,A2649,$I$4:I2649,"&lt;&gt;Штраф -2",$I$4:I2649,"&lt;&gt;ушел на базу"))</f>
        <v/>
      </c>
      <c r="F2649" s="4">
        <f>IF(E2649="","",IF(E2649&lt;=3,6,IF(E2649&lt;=6,5,IF(E2649&lt;=9,4,IF(E2649&lt;=12,3,IF(E2649&lt;=15,2,0))))))</f>
        <v/>
      </c>
      <c r="G2649" s="3" t="n"/>
      <c r="H2649" s="4">
        <f>IF(I2649="Штраф -2",-2,IF(OR(F2649="",G2649=""),"",F2649*G2649+IF(J2649="",0,J2649)))</f>
        <v/>
      </c>
      <c r="I2649" s="3" t="n"/>
      <c r="J2649" s="3" t="n"/>
      <c r="K2649" s="3" t="n"/>
    </row>
    <row r="2650">
      <c r="A2650" s="3" t="n"/>
      <c r="B2650" s="3" t="n"/>
      <c r="C2650" s="3" t="n"/>
      <c r="D2650" s="3" t="n"/>
      <c r="E2650" s="4">
        <f>IF(A2650="","",COUNTIFS($A$4:A2650,A2650,$I$4:I2650,"&lt;&gt;Штраф -2",$I$4:I2650,"&lt;&gt;ушел на базу"))</f>
        <v/>
      </c>
      <c r="F2650" s="4">
        <f>IF(E2650="","",IF(E2650&lt;=3,6,IF(E2650&lt;=6,5,IF(E2650&lt;=9,4,IF(E2650&lt;=12,3,IF(E2650&lt;=15,2,0))))))</f>
        <v/>
      </c>
      <c r="G2650" s="3" t="n"/>
      <c r="H2650" s="4">
        <f>IF(I2650="Штраф -2",-2,IF(OR(F2650="",G2650=""),"",F2650*G2650+IF(J2650="",0,J2650)))</f>
        <v/>
      </c>
      <c r="I2650" s="3" t="n"/>
      <c r="J2650" s="3" t="n"/>
      <c r="K2650" s="3" t="n"/>
    </row>
    <row r="2651">
      <c r="A2651" s="3" t="n"/>
      <c r="B2651" s="3" t="n"/>
      <c r="C2651" s="3" t="n"/>
      <c r="D2651" s="3" t="n"/>
      <c r="E2651" s="4">
        <f>IF(A2651="","",COUNTIFS($A$4:A2651,A2651,$I$4:I2651,"&lt;&gt;Штраф -2",$I$4:I2651,"&lt;&gt;ушел на базу"))</f>
        <v/>
      </c>
      <c r="F2651" s="4">
        <f>IF(E2651="","",IF(E2651&lt;=3,6,IF(E2651&lt;=6,5,IF(E2651&lt;=9,4,IF(E2651&lt;=12,3,IF(E2651&lt;=15,2,0))))))</f>
        <v/>
      </c>
      <c r="G2651" s="3" t="n"/>
      <c r="H2651" s="4">
        <f>IF(I2651="Штраф -2",-2,IF(OR(F2651="",G2651=""),"",F2651*G2651+IF(J2651="",0,J2651)))</f>
        <v/>
      </c>
      <c r="I2651" s="3" t="n"/>
      <c r="J2651" s="3" t="n"/>
      <c r="K2651" s="3" t="n"/>
    </row>
    <row r="2652">
      <c r="A2652" s="3" t="n"/>
      <c r="B2652" s="3" t="n"/>
      <c r="C2652" s="3" t="n"/>
      <c r="D2652" s="3" t="n"/>
      <c r="E2652" s="4">
        <f>IF(A2652="","",COUNTIFS($A$4:A2652,A2652,$I$4:I2652,"&lt;&gt;Штраф -2",$I$4:I2652,"&lt;&gt;ушел на базу"))</f>
        <v/>
      </c>
      <c r="F2652" s="4">
        <f>IF(E2652="","",IF(E2652&lt;=3,6,IF(E2652&lt;=6,5,IF(E2652&lt;=9,4,IF(E2652&lt;=12,3,IF(E2652&lt;=15,2,0))))))</f>
        <v/>
      </c>
      <c r="G2652" s="3" t="n"/>
      <c r="H2652" s="4">
        <f>IF(I2652="Штраф -2",-2,IF(OR(F2652="",G2652=""),"",F2652*G2652+IF(J2652="",0,J2652)))</f>
        <v/>
      </c>
      <c r="I2652" s="3" t="n"/>
      <c r="J2652" s="3" t="n"/>
      <c r="K2652" s="3" t="n"/>
    </row>
    <row r="2653">
      <c r="A2653" s="3" t="n"/>
      <c r="B2653" s="3" t="n"/>
      <c r="C2653" s="3" t="n"/>
      <c r="D2653" s="3" t="n"/>
      <c r="E2653" s="4">
        <f>IF(A2653="","",COUNTIFS($A$4:A2653,A2653,$I$4:I2653,"&lt;&gt;Штраф -2",$I$4:I2653,"&lt;&gt;ушел на базу"))</f>
        <v/>
      </c>
      <c r="F2653" s="4">
        <f>IF(E2653="","",IF(E2653&lt;=3,6,IF(E2653&lt;=6,5,IF(E2653&lt;=9,4,IF(E2653&lt;=12,3,IF(E2653&lt;=15,2,0))))))</f>
        <v/>
      </c>
      <c r="G2653" s="3" t="n"/>
      <c r="H2653" s="4">
        <f>IF(I2653="Штраф -2",-2,IF(OR(F2653="",G2653=""),"",F2653*G2653+IF(J2653="",0,J2653)))</f>
        <v/>
      </c>
      <c r="I2653" s="3" t="n"/>
      <c r="J2653" s="3" t="n"/>
      <c r="K2653" s="3" t="n"/>
    </row>
    <row r="2654">
      <c r="A2654" s="3" t="n"/>
      <c r="B2654" s="3" t="n"/>
      <c r="C2654" s="3" t="n"/>
      <c r="D2654" s="3" t="n"/>
      <c r="E2654" s="4">
        <f>IF(A2654="","",COUNTIFS($A$4:A2654,A2654,$I$4:I2654,"&lt;&gt;Штраф -2",$I$4:I2654,"&lt;&gt;ушел на базу"))</f>
        <v/>
      </c>
      <c r="F2654" s="4">
        <f>IF(E2654="","",IF(E2654&lt;=3,6,IF(E2654&lt;=6,5,IF(E2654&lt;=9,4,IF(E2654&lt;=12,3,IF(E2654&lt;=15,2,0))))))</f>
        <v/>
      </c>
      <c r="G2654" s="3" t="n"/>
      <c r="H2654" s="4">
        <f>IF(I2654="Штраф -2",-2,IF(OR(F2654="",G2654=""),"",F2654*G2654+IF(J2654="",0,J2654)))</f>
        <v/>
      </c>
      <c r="I2654" s="3" t="n"/>
      <c r="J2654" s="3" t="n"/>
      <c r="K2654" s="3" t="n"/>
    </row>
    <row r="2655">
      <c r="A2655" s="3" t="n"/>
      <c r="B2655" s="3" t="n"/>
      <c r="C2655" s="3" t="n"/>
      <c r="D2655" s="3" t="n"/>
      <c r="E2655" s="4">
        <f>IF(A2655="","",COUNTIFS($A$4:A2655,A2655,$I$4:I2655,"&lt;&gt;Штраф -2",$I$4:I2655,"&lt;&gt;ушел на базу"))</f>
        <v/>
      </c>
      <c r="F2655" s="4">
        <f>IF(E2655="","",IF(E2655&lt;=3,6,IF(E2655&lt;=6,5,IF(E2655&lt;=9,4,IF(E2655&lt;=12,3,IF(E2655&lt;=15,2,0))))))</f>
        <v/>
      </c>
      <c r="G2655" s="3" t="n"/>
      <c r="H2655" s="4">
        <f>IF(I2655="Штраф -2",-2,IF(OR(F2655="",G2655=""),"",F2655*G2655+IF(J2655="",0,J2655)))</f>
        <v/>
      </c>
      <c r="I2655" s="3" t="n"/>
      <c r="J2655" s="3" t="n"/>
      <c r="K2655" s="3" t="n"/>
    </row>
    <row r="2656">
      <c r="A2656" s="3" t="n"/>
      <c r="B2656" s="3" t="n"/>
      <c r="C2656" s="3" t="n"/>
      <c r="D2656" s="3" t="n"/>
      <c r="E2656" s="4">
        <f>IF(A2656="","",COUNTIFS($A$4:A2656,A2656,$I$4:I2656,"&lt;&gt;Штраф -2",$I$4:I2656,"&lt;&gt;ушел на базу"))</f>
        <v/>
      </c>
      <c r="F2656" s="4">
        <f>IF(E2656="","",IF(E2656&lt;=3,6,IF(E2656&lt;=6,5,IF(E2656&lt;=9,4,IF(E2656&lt;=12,3,IF(E2656&lt;=15,2,0))))))</f>
        <v/>
      </c>
      <c r="G2656" s="3" t="n"/>
      <c r="H2656" s="4">
        <f>IF(I2656="Штраф -2",-2,IF(OR(F2656="",G2656=""),"",F2656*G2656+IF(J2656="",0,J2656)))</f>
        <v/>
      </c>
      <c r="I2656" s="3" t="n"/>
      <c r="J2656" s="3" t="n"/>
      <c r="K2656" s="3" t="n"/>
    </row>
    <row r="2657">
      <c r="A2657" s="3" t="n"/>
      <c r="B2657" s="3" t="n"/>
      <c r="C2657" s="3" t="n"/>
      <c r="D2657" s="3" t="n"/>
      <c r="E2657" s="4">
        <f>IF(A2657="","",COUNTIFS($A$4:A2657,A2657,$I$4:I2657,"&lt;&gt;Штраф -2",$I$4:I2657,"&lt;&gt;ушел на базу"))</f>
        <v/>
      </c>
      <c r="F2657" s="4">
        <f>IF(E2657="","",IF(E2657&lt;=3,6,IF(E2657&lt;=6,5,IF(E2657&lt;=9,4,IF(E2657&lt;=12,3,IF(E2657&lt;=15,2,0))))))</f>
        <v/>
      </c>
      <c r="G2657" s="3" t="n"/>
      <c r="H2657" s="4">
        <f>IF(I2657="Штраф -2",-2,IF(OR(F2657="",G2657=""),"",F2657*G2657+IF(J2657="",0,J2657)))</f>
        <v/>
      </c>
      <c r="I2657" s="3" t="n"/>
      <c r="J2657" s="3" t="n"/>
      <c r="K2657" s="3" t="n"/>
    </row>
    <row r="2658">
      <c r="A2658" s="3" t="n"/>
      <c r="B2658" s="3" t="n"/>
      <c r="C2658" s="3" t="n"/>
      <c r="D2658" s="3" t="n"/>
      <c r="E2658" s="4">
        <f>IF(A2658="","",COUNTIFS($A$4:A2658,A2658,$I$4:I2658,"&lt;&gt;Штраф -2",$I$4:I2658,"&lt;&gt;ушел на базу"))</f>
        <v/>
      </c>
      <c r="F2658" s="4">
        <f>IF(E2658="","",IF(E2658&lt;=3,6,IF(E2658&lt;=6,5,IF(E2658&lt;=9,4,IF(E2658&lt;=12,3,IF(E2658&lt;=15,2,0))))))</f>
        <v/>
      </c>
      <c r="G2658" s="3" t="n"/>
      <c r="H2658" s="4">
        <f>IF(I2658="Штраф -2",-2,IF(OR(F2658="",G2658=""),"",F2658*G2658+IF(J2658="",0,J2658)))</f>
        <v/>
      </c>
      <c r="I2658" s="3" t="n"/>
      <c r="J2658" s="3" t="n"/>
      <c r="K2658" s="3" t="n"/>
    </row>
    <row r="2659">
      <c r="A2659" s="3" t="n"/>
      <c r="B2659" s="3" t="n"/>
      <c r="C2659" s="3" t="n"/>
      <c r="D2659" s="3" t="n"/>
      <c r="E2659" s="4">
        <f>IF(A2659="","",COUNTIFS($A$4:A2659,A2659,$I$4:I2659,"&lt;&gt;Штраф -2",$I$4:I2659,"&lt;&gt;ушел на базу"))</f>
        <v/>
      </c>
      <c r="F2659" s="4">
        <f>IF(E2659="","",IF(E2659&lt;=3,6,IF(E2659&lt;=6,5,IF(E2659&lt;=9,4,IF(E2659&lt;=12,3,IF(E2659&lt;=15,2,0))))))</f>
        <v/>
      </c>
      <c r="G2659" s="3" t="n"/>
      <c r="H2659" s="4">
        <f>IF(I2659="Штраф -2",-2,IF(OR(F2659="",G2659=""),"",F2659*G2659+IF(J2659="",0,J2659)))</f>
        <v/>
      </c>
      <c r="I2659" s="3" t="n"/>
      <c r="J2659" s="3" t="n"/>
      <c r="K2659" s="3" t="n"/>
    </row>
    <row r="2660">
      <c r="A2660" s="3" t="n"/>
      <c r="B2660" s="3" t="n"/>
      <c r="C2660" s="3" t="n"/>
      <c r="D2660" s="3" t="n"/>
      <c r="E2660" s="4">
        <f>IF(A2660="","",COUNTIFS($A$4:A2660,A2660,$I$4:I2660,"&lt;&gt;Штраф -2",$I$4:I2660,"&lt;&gt;ушел на базу"))</f>
        <v/>
      </c>
      <c r="F2660" s="4">
        <f>IF(E2660="","",IF(E2660&lt;=3,6,IF(E2660&lt;=6,5,IF(E2660&lt;=9,4,IF(E2660&lt;=12,3,IF(E2660&lt;=15,2,0))))))</f>
        <v/>
      </c>
      <c r="G2660" s="3" t="n"/>
      <c r="H2660" s="4">
        <f>IF(I2660="Штраф -2",-2,IF(OR(F2660="",G2660=""),"",F2660*G2660+IF(J2660="",0,J2660)))</f>
        <v/>
      </c>
      <c r="I2660" s="3" t="n"/>
      <c r="J2660" s="3" t="n"/>
      <c r="K2660" s="3" t="n"/>
    </row>
    <row r="2661">
      <c r="A2661" s="3" t="n"/>
      <c r="B2661" s="3" t="n"/>
      <c r="C2661" s="3" t="n"/>
      <c r="D2661" s="3" t="n"/>
      <c r="E2661" s="4">
        <f>IF(A2661="","",COUNTIFS($A$4:A2661,A2661,$I$4:I2661,"&lt;&gt;Штраф -2",$I$4:I2661,"&lt;&gt;ушел на базу"))</f>
        <v/>
      </c>
      <c r="F2661" s="4">
        <f>IF(E2661="","",IF(E2661&lt;=3,6,IF(E2661&lt;=6,5,IF(E2661&lt;=9,4,IF(E2661&lt;=12,3,IF(E2661&lt;=15,2,0))))))</f>
        <v/>
      </c>
      <c r="G2661" s="3" t="n"/>
      <c r="H2661" s="4">
        <f>IF(I2661="Штраф -2",-2,IF(OR(F2661="",G2661=""),"",F2661*G2661+IF(J2661="",0,J2661)))</f>
        <v/>
      </c>
      <c r="I2661" s="3" t="n"/>
      <c r="J2661" s="3" t="n"/>
      <c r="K2661" s="3" t="n"/>
    </row>
    <row r="2662">
      <c r="A2662" s="3" t="n"/>
      <c r="B2662" s="3" t="n"/>
      <c r="C2662" s="3" t="n"/>
      <c r="D2662" s="3" t="n"/>
      <c r="E2662" s="4">
        <f>IF(A2662="","",COUNTIFS($A$4:A2662,A2662,$I$4:I2662,"&lt;&gt;Штраф -2",$I$4:I2662,"&lt;&gt;ушел на базу"))</f>
        <v/>
      </c>
      <c r="F2662" s="4">
        <f>IF(E2662="","",IF(E2662&lt;=3,6,IF(E2662&lt;=6,5,IF(E2662&lt;=9,4,IF(E2662&lt;=12,3,IF(E2662&lt;=15,2,0))))))</f>
        <v/>
      </c>
      <c r="G2662" s="3" t="n"/>
      <c r="H2662" s="4">
        <f>IF(I2662="Штраф -2",-2,IF(OR(F2662="",G2662=""),"",F2662*G2662+IF(J2662="",0,J2662)))</f>
        <v/>
      </c>
      <c r="I2662" s="3" t="n"/>
      <c r="J2662" s="3" t="n"/>
      <c r="K2662" s="3" t="n"/>
    </row>
    <row r="2663">
      <c r="A2663" s="3" t="n"/>
      <c r="B2663" s="3" t="n"/>
      <c r="C2663" s="3" t="n"/>
      <c r="D2663" s="3" t="n"/>
      <c r="E2663" s="4">
        <f>IF(A2663="","",COUNTIFS($A$4:A2663,A2663,$I$4:I2663,"&lt;&gt;Штраф -2",$I$4:I2663,"&lt;&gt;ушел на базу"))</f>
        <v/>
      </c>
      <c r="F2663" s="4">
        <f>IF(E2663="","",IF(E2663&lt;=3,6,IF(E2663&lt;=6,5,IF(E2663&lt;=9,4,IF(E2663&lt;=12,3,IF(E2663&lt;=15,2,0))))))</f>
        <v/>
      </c>
      <c r="G2663" s="3" t="n"/>
      <c r="H2663" s="4">
        <f>IF(I2663="Штраф -2",-2,IF(OR(F2663="",G2663=""),"",F2663*G2663+IF(J2663="",0,J2663)))</f>
        <v/>
      </c>
      <c r="I2663" s="3" t="n"/>
      <c r="J2663" s="3" t="n"/>
      <c r="K2663" s="3" t="n"/>
    </row>
    <row r="2664">
      <c r="A2664" s="3" t="n"/>
      <c r="B2664" s="3" t="n"/>
      <c r="C2664" s="3" t="n"/>
      <c r="D2664" s="3" t="n"/>
      <c r="E2664" s="4">
        <f>IF(A2664="","",COUNTIFS($A$4:A2664,A2664,$I$4:I2664,"&lt;&gt;Штраф -2",$I$4:I2664,"&lt;&gt;ушел на базу"))</f>
        <v/>
      </c>
      <c r="F2664" s="4">
        <f>IF(E2664="","",IF(E2664&lt;=3,6,IF(E2664&lt;=6,5,IF(E2664&lt;=9,4,IF(E2664&lt;=12,3,IF(E2664&lt;=15,2,0))))))</f>
        <v/>
      </c>
      <c r="G2664" s="3" t="n"/>
      <c r="H2664" s="4">
        <f>IF(I2664="Штраф -2",-2,IF(OR(F2664="",G2664=""),"",F2664*G2664+IF(J2664="",0,J2664)))</f>
        <v/>
      </c>
      <c r="I2664" s="3" t="n"/>
      <c r="J2664" s="3" t="n"/>
      <c r="K2664" s="3" t="n"/>
    </row>
    <row r="2665">
      <c r="A2665" s="3" t="n"/>
      <c r="B2665" s="3" t="n"/>
      <c r="C2665" s="3" t="n"/>
      <c r="D2665" s="3" t="n"/>
      <c r="E2665" s="4">
        <f>IF(A2665="","",COUNTIFS($A$4:A2665,A2665,$I$4:I2665,"&lt;&gt;Штраф -2",$I$4:I2665,"&lt;&gt;ушел на базу"))</f>
        <v/>
      </c>
      <c r="F2665" s="4">
        <f>IF(E2665="","",IF(E2665&lt;=3,6,IF(E2665&lt;=6,5,IF(E2665&lt;=9,4,IF(E2665&lt;=12,3,IF(E2665&lt;=15,2,0))))))</f>
        <v/>
      </c>
      <c r="G2665" s="3" t="n"/>
      <c r="H2665" s="4">
        <f>IF(I2665="Штраф -2",-2,IF(OR(F2665="",G2665=""),"",F2665*G2665+IF(J2665="",0,J2665)))</f>
        <v/>
      </c>
      <c r="I2665" s="3" t="n"/>
      <c r="J2665" s="3" t="n"/>
      <c r="K2665" s="3" t="n"/>
    </row>
    <row r="2666">
      <c r="A2666" s="3" t="n"/>
      <c r="B2666" s="3" t="n"/>
      <c r="C2666" s="3" t="n"/>
      <c r="D2666" s="3" t="n"/>
      <c r="E2666" s="4">
        <f>IF(A2666="","",COUNTIFS($A$4:A2666,A2666,$I$4:I2666,"&lt;&gt;Штраф -2",$I$4:I2666,"&lt;&gt;ушел на базу"))</f>
        <v/>
      </c>
      <c r="F2666" s="4">
        <f>IF(E2666="","",IF(E2666&lt;=3,6,IF(E2666&lt;=6,5,IF(E2666&lt;=9,4,IF(E2666&lt;=12,3,IF(E2666&lt;=15,2,0))))))</f>
        <v/>
      </c>
      <c r="G2666" s="3" t="n"/>
      <c r="H2666" s="4">
        <f>IF(I2666="Штраф -2",-2,IF(OR(F2666="",G2666=""),"",F2666*G2666+IF(J2666="",0,J2666)))</f>
        <v/>
      </c>
      <c r="I2666" s="3" t="n"/>
      <c r="J2666" s="3" t="n"/>
      <c r="K2666" s="3" t="n"/>
    </row>
    <row r="2667">
      <c r="A2667" s="3" t="n"/>
      <c r="B2667" s="3" t="n"/>
      <c r="C2667" s="3" t="n"/>
      <c r="D2667" s="3" t="n"/>
      <c r="E2667" s="4">
        <f>IF(A2667="","",COUNTIFS($A$4:A2667,A2667,$I$4:I2667,"&lt;&gt;Штраф -2",$I$4:I2667,"&lt;&gt;ушел на базу"))</f>
        <v/>
      </c>
      <c r="F2667" s="4">
        <f>IF(E2667="","",IF(E2667&lt;=3,6,IF(E2667&lt;=6,5,IF(E2667&lt;=9,4,IF(E2667&lt;=12,3,IF(E2667&lt;=15,2,0))))))</f>
        <v/>
      </c>
      <c r="G2667" s="3" t="n"/>
      <c r="H2667" s="4">
        <f>IF(I2667="Штраф -2",-2,IF(OR(F2667="",G2667=""),"",F2667*G2667+IF(J2667="",0,J2667)))</f>
        <v/>
      </c>
      <c r="I2667" s="3" t="n"/>
      <c r="J2667" s="3" t="n"/>
      <c r="K2667" s="3" t="n"/>
    </row>
    <row r="2668">
      <c r="A2668" s="3" t="n"/>
      <c r="B2668" s="3" t="n"/>
      <c r="C2668" s="3" t="n"/>
      <c r="D2668" s="3" t="n"/>
      <c r="E2668" s="4">
        <f>IF(A2668="","",COUNTIFS($A$4:A2668,A2668,$I$4:I2668,"&lt;&gt;Штраф -2",$I$4:I2668,"&lt;&gt;ушел на базу"))</f>
        <v/>
      </c>
      <c r="F2668" s="4">
        <f>IF(E2668="","",IF(E2668&lt;=3,6,IF(E2668&lt;=6,5,IF(E2668&lt;=9,4,IF(E2668&lt;=12,3,IF(E2668&lt;=15,2,0))))))</f>
        <v/>
      </c>
      <c r="G2668" s="3" t="n"/>
      <c r="H2668" s="4">
        <f>IF(I2668="Штраф -2",-2,IF(OR(F2668="",G2668=""),"",F2668*G2668+IF(J2668="",0,J2668)))</f>
        <v/>
      </c>
      <c r="I2668" s="3" t="n"/>
      <c r="J2668" s="3" t="n"/>
      <c r="K2668" s="3" t="n"/>
    </row>
    <row r="2669">
      <c r="A2669" s="3" t="n"/>
      <c r="B2669" s="3" t="n"/>
      <c r="C2669" s="3" t="n"/>
      <c r="D2669" s="3" t="n"/>
      <c r="E2669" s="4">
        <f>IF(A2669="","",COUNTIFS($A$4:A2669,A2669,$I$4:I2669,"&lt;&gt;Штраф -2",$I$4:I2669,"&lt;&gt;ушел на базу"))</f>
        <v/>
      </c>
      <c r="F2669" s="4">
        <f>IF(E2669="","",IF(E2669&lt;=3,6,IF(E2669&lt;=6,5,IF(E2669&lt;=9,4,IF(E2669&lt;=12,3,IF(E2669&lt;=15,2,0))))))</f>
        <v/>
      </c>
      <c r="G2669" s="3" t="n"/>
      <c r="H2669" s="4">
        <f>IF(I2669="Штраф -2",-2,IF(OR(F2669="",G2669=""),"",F2669*G2669+IF(J2669="",0,J2669)))</f>
        <v/>
      </c>
      <c r="I2669" s="3" t="n"/>
      <c r="J2669" s="3" t="n"/>
      <c r="K2669" s="3" t="n"/>
    </row>
    <row r="2670">
      <c r="A2670" s="3" t="n"/>
      <c r="B2670" s="3" t="n"/>
      <c r="C2670" s="3" t="n"/>
      <c r="D2670" s="3" t="n"/>
      <c r="E2670" s="4">
        <f>IF(A2670="","",COUNTIFS($A$4:A2670,A2670,$I$4:I2670,"&lt;&gt;Штраф -2",$I$4:I2670,"&lt;&gt;ушел на базу"))</f>
        <v/>
      </c>
      <c r="F2670" s="4">
        <f>IF(E2670="","",IF(E2670&lt;=3,6,IF(E2670&lt;=6,5,IF(E2670&lt;=9,4,IF(E2670&lt;=12,3,IF(E2670&lt;=15,2,0))))))</f>
        <v/>
      </c>
      <c r="G2670" s="3" t="n"/>
      <c r="H2670" s="4">
        <f>IF(I2670="Штраф -2",-2,IF(OR(F2670="",G2670=""),"",F2670*G2670+IF(J2670="",0,J2670)))</f>
        <v/>
      </c>
      <c r="I2670" s="3" t="n"/>
      <c r="J2670" s="3" t="n"/>
      <c r="K2670" s="3" t="n"/>
    </row>
    <row r="2671">
      <c r="A2671" s="3" t="n"/>
      <c r="B2671" s="3" t="n"/>
      <c r="C2671" s="3" t="n"/>
      <c r="D2671" s="3" t="n"/>
      <c r="E2671" s="4">
        <f>IF(A2671="","",COUNTIFS($A$4:A2671,A2671,$I$4:I2671,"&lt;&gt;Штраф -2",$I$4:I2671,"&lt;&gt;ушел на базу"))</f>
        <v/>
      </c>
      <c r="F2671" s="4">
        <f>IF(E2671="","",IF(E2671&lt;=3,6,IF(E2671&lt;=6,5,IF(E2671&lt;=9,4,IF(E2671&lt;=12,3,IF(E2671&lt;=15,2,0))))))</f>
        <v/>
      </c>
      <c r="G2671" s="3" t="n"/>
      <c r="H2671" s="4">
        <f>IF(I2671="Штраф -2",-2,IF(OR(F2671="",G2671=""),"",F2671*G2671+IF(J2671="",0,J2671)))</f>
        <v/>
      </c>
      <c r="I2671" s="3" t="n"/>
      <c r="J2671" s="3" t="n"/>
      <c r="K2671" s="3" t="n"/>
    </row>
    <row r="2672">
      <c r="A2672" s="3" t="n"/>
      <c r="B2672" s="3" t="n"/>
      <c r="C2672" s="3" t="n"/>
      <c r="D2672" s="3" t="n"/>
      <c r="E2672" s="4">
        <f>IF(A2672="","",COUNTIFS($A$4:A2672,A2672,$I$4:I2672,"&lt;&gt;Штраф -2",$I$4:I2672,"&lt;&gt;ушел на базу"))</f>
        <v/>
      </c>
      <c r="F2672" s="4">
        <f>IF(E2672="","",IF(E2672&lt;=3,6,IF(E2672&lt;=6,5,IF(E2672&lt;=9,4,IF(E2672&lt;=12,3,IF(E2672&lt;=15,2,0))))))</f>
        <v/>
      </c>
      <c r="G2672" s="3" t="n"/>
      <c r="H2672" s="4">
        <f>IF(I2672="Штраф -2",-2,IF(OR(F2672="",G2672=""),"",F2672*G2672+IF(J2672="",0,J2672)))</f>
        <v/>
      </c>
      <c r="I2672" s="3" t="n"/>
      <c r="J2672" s="3" t="n"/>
      <c r="K2672" s="3" t="n"/>
    </row>
    <row r="2673">
      <c r="A2673" s="3" t="n"/>
      <c r="B2673" s="3" t="n"/>
      <c r="C2673" s="3" t="n"/>
      <c r="D2673" s="3" t="n"/>
      <c r="E2673" s="4">
        <f>IF(A2673="","",COUNTIFS($A$4:A2673,A2673,$I$4:I2673,"&lt;&gt;Штраф -2",$I$4:I2673,"&lt;&gt;ушел на базу"))</f>
        <v/>
      </c>
      <c r="F2673" s="4">
        <f>IF(E2673="","",IF(E2673&lt;=3,6,IF(E2673&lt;=6,5,IF(E2673&lt;=9,4,IF(E2673&lt;=12,3,IF(E2673&lt;=15,2,0))))))</f>
        <v/>
      </c>
      <c r="G2673" s="3" t="n"/>
      <c r="H2673" s="4">
        <f>IF(I2673="Штраф -2",-2,IF(OR(F2673="",G2673=""),"",F2673*G2673+IF(J2673="",0,J2673)))</f>
        <v/>
      </c>
      <c r="I2673" s="3" t="n"/>
      <c r="J2673" s="3" t="n"/>
      <c r="K2673" s="3" t="n"/>
    </row>
    <row r="2674">
      <c r="A2674" s="3" t="n"/>
      <c r="B2674" s="3" t="n"/>
      <c r="C2674" s="3" t="n"/>
      <c r="D2674" s="3" t="n"/>
      <c r="E2674" s="4">
        <f>IF(A2674="","",COUNTIFS($A$4:A2674,A2674,$I$4:I2674,"&lt;&gt;Штраф -2",$I$4:I2674,"&lt;&gt;ушел на базу"))</f>
        <v/>
      </c>
      <c r="F2674" s="4">
        <f>IF(E2674="","",IF(E2674&lt;=3,6,IF(E2674&lt;=6,5,IF(E2674&lt;=9,4,IF(E2674&lt;=12,3,IF(E2674&lt;=15,2,0))))))</f>
        <v/>
      </c>
      <c r="G2674" s="3" t="n"/>
      <c r="H2674" s="4">
        <f>IF(I2674="Штраф -2",-2,IF(OR(F2674="",G2674=""),"",F2674*G2674+IF(J2674="",0,J2674)))</f>
        <v/>
      </c>
      <c r="I2674" s="3" t="n"/>
      <c r="J2674" s="3" t="n"/>
      <c r="K2674" s="3" t="n"/>
    </row>
    <row r="2675">
      <c r="A2675" s="3" t="n"/>
      <c r="B2675" s="3" t="n"/>
      <c r="C2675" s="3" t="n"/>
      <c r="D2675" s="3" t="n"/>
      <c r="E2675" s="4">
        <f>IF(A2675="","",COUNTIFS($A$4:A2675,A2675,$I$4:I2675,"&lt;&gt;Штраф -2",$I$4:I2675,"&lt;&gt;ушел на базу"))</f>
        <v/>
      </c>
      <c r="F2675" s="4">
        <f>IF(E2675="","",IF(E2675&lt;=3,6,IF(E2675&lt;=6,5,IF(E2675&lt;=9,4,IF(E2675&lt;=12,3,IF(E2675&lt;=15,2,0))))))</f>
        <v/>
      </c>
      <c r="G2675" s="3" t="n"/>
      <c r="H2675" s="4">
        <f>IF(I2675="Штраф -2",-2,IF(OR(F2675="",G2675=""),"",F2675*G2675+IF(J2675="",0,J2675)))</f>
        <v/>
      </c>
      <c r="I2675" s="3" t="n"/>
      <c r="J2675" s="3" t="n"/>
      <c r="K2675" s="3" t="n"/>
    </row>
    <row r="2676">
      <c r="A2676" s="3" t="n"/>
      <c r="B2676" s="3" t="n"/>
      <c r="C2676" s="3" t="n"/>
      <c r="D2676" s="3" t="n"/>
      <c r="E2676" s="4">
        <f>IF(A2676="","",COUNTIFS($A$4:A2676,A2676,$I$4:I2676,"&lt;&gt;Штраф -2",$I$4:I2676,"&lt;&gt;ушел на базу"))</f>
        <v/>
      </c>
      <c r="F2676" s="4">
        <f>IF(E2676="","",IF(E2676&lt;=3,6,IF(E2676&lt;=6,5,IF(E2676&lt;=9,4,IF(E2676&lt;=12,3,IF(E2676&lt;=15,2,0))))))</f>
        <v/>
      </c>
      <c r="G2676" s="3" t="n"/>
      <c r="H2676" s="4">
        <f>IF(I2676="Штраф -2",-2,IF(OR(F2676="",G2676=""),"",F2676*G2676+IF(J2676="",0,J2676)))</f>
        <v/>
      </c>
      <c r="I2676" s="3" t="n"/>
      <c r="J2676" s="3" t="n"/>
      <c r="K2676" s="3" t="n"/>
    </row>
    <row r="2677">
      <c r="A2677" s="3" t="n"/>
      <c r="B2677" s="3" t="n"/>
      <c r="C2677" s="3" t="n"/>
      <c r="D2677" s="3" t="n"/>
      <c r="E2677" s="4">
        <f>IF(A2677="","",COUNTIFS($A$4:A2677,A2677,$I$4:I2677,"&lt;&gt;Штраф -2",$I$4:I2677,"&lt;&gt;ушел на базу"))</f>
        <v/>
      </c>
      <c r="F2677" s="4">
        <f>IF(E2677="","",IF(E2677&lt;=3,6,IF(E2677&lt;=6,5,IF(E2677&lt;=9,4,IF(E2677&lt;=12,3,IF(E2677&lt;=15,2,0))))))</f>
        <v/>
      </c>
      <c r="G2677" s="3" t="n"/>
      <c r="H2677" s="4">
        <f>IF(I2677="Штраф -2",-2,IF(OR(F2677="",G2677=""),"",F2677*G2677+IF(J2677="",0,J2677)))</f>
        <v/>
      </c>
      <c r="I2677" s="3" t="n"/>
      <c r="J2677" s="3" t="n"/>
      <c r="K2677" s="3" t="n"/>
    </row>
    <row r="2678">
      <c r="A2678" s="3" t="n"/>
      <c r="B2678" s="3" t="n"/>
      <c r="C2678" s="3" t="n"/>
      <c r="D2678" s="3" t="n"/>
      <c r="E2678" s="4">
        <f>IF(A2678="","",COUNTIFS($A$4:A2678,A2678,$I$4:I2678,"&lt;&gt;Штраф -2",$I$4:I2678,"&lt;&gt;ушел на базу"))</f>
        <v/>
      </c>
      <c r="F2678" s="4">
        <f>IF(E2678="","",IF(E2678&lt;=3,6,IF(E2678&lt;=6,5,IF(E2678&lt;=9,4,IF(E2678&lt;=12,3,IF(E2678&lt;=15,2,0))))))</f>
        <v/>
      </c>
      <c r="G2678" s="3" t="n"/>
      <c r="H2678" s="4">
        <f>IF(I2678="Штраф -2",-2,IF(OR(F2678="",G2678=""),"",F2678*G2678+IF(J2678="",0,J2678)))</f>
        <v/>
      </c>
      <c r="I2678" s="3" t="n"/>
      <c r="J2678" s="3" t="n"/>
      <c r="K2678" s="3" t="n"/>
    </row>
    <row r="2679">
      <c r="A2679" s="3" t="n"/>
      <c r="B2679" s="3" t="n"/>
      <c r="C2679" s="3" t="n"/>
      <c r="D2679" s="3" t="n"/>
      <c r="E2679" s="4">
        <f>IF(A2679="","",COUNTIFS($A$4:A2679,A2679,$I$4:I2679,"&lt;&gt;Штраф -2",$I$4:I2679,"&lt;&gt;ушел на базу"))</f>
        <v/>
      </c>
      <c r="F2679" s="4">
        <f>IF(E2679="","",IF(E2679&lt;=3,6,IF(E2679&lt;=6,5,IF(E2679&lt;=9,4,IF(E2679&lt;=12,3,IF(E2679&lt;=15,2,0))))))</f>
        <v/>
      </c>
      <c r="G2679" s="3" t="n"/>
      <c r="H2679" s="4">
        <f>IF(I2679="Штраф -2",-2,IF(OR(F2679="",G2679=""),"",F2679*G2679+IF(J2679="",0,J2679)))</f>
        <v/>
      </c>
      <c r="I2679" s="3" t="n"/>
      <c r="J2679" s="3" t="n"/>
      <c r="K2679" s="3" t="n"/>
    </row>
    <row r="2680">
      <c r="A2680" s="3" t="n"/>
      <c r="B2680" s="3" t="n"/>
      <c r="C2680" s="3" t="n"/>
      <c r="D2680" s="3" t="n"/>
      <c r="E2680" s="4">
        <f>IF(A2680="","",COUNTIFS($A$4:A2680,A2680,$I$4:I2680,"&lt;&gt;Штраф -2",$I$4:I2680,"&lt;&gt;ушел на базу"))</f>
        <v/>
      </c>
      <c r="F2680" s="4">
        <f>IF(E2680="","",IF(E2680&lt;=3,6,IF(E2680&lt;=6,5,IF(E2680&lt;=9,4,IF(E2680&lt;=12,3,IF(E2680&lt;=15,2,0))))))</f>
        <v/>
      </c>
      <c r="G2680" s="3" t="n"/>
      <c r="H2680" s="4">
        <f>IF(I2680="Штраф -2",-2,IF(OR(F2680="",G2680=""),"",F2680*G2680+IF(J2680="",0,J2680)))</f>
        <v/>
      </c>
      <c r="I2680" s="3" t="n"/>
      <c r="J2680" s="3" t="n"/>
      <c r="K2680" s="3" t="n"/>
    </row>
    <row r="2681">
      <c r="A2681" s="3" t="n"/>
      <c r="B2681" s="3" t="n"/>
      <c r="C2681" s="3" t="n"/>
      <c r="D2681" s="3" t="n"/>
      <c r="E2681" s="4">
        <f>IF(A2681="","",COUNTIFS($A$4:A2681,A2681,$I$4:I2681,"&lt;&gt;Штраф -2",$I$4:I2681,"&lt;&gt;ушел на базу"))</f>
        <v/>
      </c>
      <c r="F2681" s="4">
        <f>IF(E2681="","",IF(E2681&lt;=3,6,IF(E2681&lt;=6,5,IF(E2681&lt;=9,4,IF(E2681&lt;=12,3,IF(E2681&lt;=15,2,0))))))</f>
        <v/>
      </c>
      <c r="G2681" s="3" t="n"/>
      <c r="H2681" s="4">
        <f>IF(I2681="Штраф -2",-2,IF(OR(F2681="",G2681=""),"",F2681*G2681+IF(J2681="",0,J2681)))</f>
        <v/>
      </c>
      <c r="I2681" s="3" t="n"/>
      <c r="J2681" s="3" t="n"/>
      <c r="K2681" s="3" t="n"/>
    </row>
    <row r="2682">
      <c r="A2682" s="3" t="n"/>
      <c r="B2682" s="3" t="n"/>
      <c r="C2682" s="3" t="n"/>
      <c r="D2682" s="3" t="n"/>
      <c r="E2682" s="4">
        <f>IF(A2682="","",COUNTIFS($A$4:A2682,A2682,$I$4:I2682,"&lt;&gt;Штраф -2",$I$4:I2682,"&lt;&gt;ушел на базу"))</f>
        <v/>
      </c>
      <c r="F2682" s="4">
        <f>IF(E2682="","",IF(E2682&lt;=3,6,IF(E2682&lt;=6,5,IF(E2682&lt;=9,4,IF(E2682&lt;=12,3,IF(E2682&lt;=15,2,0))))))</f>
        <v/>
      </c>
      <c r="G2682" s="3" t="n"/>
      <c r="H2682" s="4">
        <f>IF(I2682="Штраф -2",-2,IF(OR(F2682="",G2682=""),"",F2682*G2682+IF(J2682="",0,J2682)))</f>
        <v/>
      </c>
      <c r="I2682" s="3" t="n"/>
      <c r="J2682" s="3" t="n"/>
      <c r="K2682" s="3" t="n"/>
    </row>
    <row r="2683">
      <c r="A2683" s="3" t="n"/>
      <c r="B2683" s="3" t="n"/>
      <c r="C2683" s="3" t="n"/>
      <c r="D2683" s="3" t="n"/>
      <c r="E2683" s="4">
        <f>IF(A2683="","",COUNTIFS($A$4:A2683,A2683,$I$4:I2683,"&lt;&gt;Штраф -2",$I$4:I2683,"&lt;&gt;ушел на базу"))</f>
        <v/>
      </c>
      <c r="F2683" s="4">
        <f>IF(E2683="","",IF(E2683&lt;=3,6,IF(E2683&lt;=6,5,IF(E2683&lt;=9,4,IF(E2683&lt;=12,3,IF(E2683&lt;=15,2,0))))))</f>
        <v/>
      </c>
      <c r="G2683" s="3" t="n"/>
      <c r="H2683" s="4">
        <f>IF(I2683="Штраф -2",-2,IF(OR(F2683="",G2683=""),"",F2683*G2683+IF(J2683="",0,J2683)))</f>
        <v/>
      </c>
      <c r="I2683" s="3" t="n"/>
      <c r="J2683" s="3" t="n"/>
      <c r="K2683" s="3" t="n"/>
    </row>
    <row r="2684">
      <c r="A2684" s="3" t="n"/>
      <c r="B2684" s="3" t="n"/>
      <c r="C2684" s="3" t="n"/>
      <c r="D2684" s="3" t="n"/>
      <c r="E2684" s="4">
        <f>IF(A2684="","",COUNTIFS($A$4:A2684,A2684,$I$4:I2684,"&lt;&gt;Штраф -2",$I$4:I2684,"&lt;&gt;ушел на базу"))</f>
        <v/>
      </c>
      <c r="F2684" s="4">
        <f>IF(E2684="","",IF(E2684&lt;=3,6,IF(E2684&lt;=6,5,IF(E2684&lt;=9,4,IF(E2684&lt;=12,3,IF(E2684&lt;=15,2,0))))))</f>
        <v/>
      </c>
      <c r="G2684" s="3" t="n"/>
      <c r="H2684" s="4">
        <f>IF(I2684="Штраф -2",-2,IF(OR(F2684="",G2684=""),"",F2684*G2684+IF(J2684="",0,J2684)))</f>
        <v/>
      </c>
      <c r="I2684" s="3" t="n"/>
      <c r="J2684" s="3" t="n"/>
      <c r="K2684" s="3" t="n"/>
    </row>
    <row r="2685">
      <c r="A2685" s="3" t="n"/>
      <c r="B2685" s="3" t="n"/>
      <c r="C2685" s="3" t="n"/>
      <c r="D2685" s="3" t="n"/>
      <c r="E2685" s="4">
        <f>IF(A2685="","",COUNTIFS($A$4:A2685,A2685,$I$4:I2685,"&lt;&gt;Штраф -2",$I$4:I2685,"&lt;&gt;ушел на базу"))</f>
        <v/>
      </c>
      <c r="F2685" s="4">
        <f>IF(E2685="","",IF(E2685&lt;=3,6,IF(E2685&lt;=6,5,IF(E2685&lt;=9,4,IF(E2685&lt;=12,3,IF(E2685&lt;=15,2,0))))))</f>
        <v/>
      </c>
      <c r="G2685" s="3" t="n"/>
      <c r="H2685" s="4">
        <f>IF(I2685="Штраф -2",-2,IF(OR(F2685="",G2685=""),"",F2685*G2685+IF(J2685="",0,J2685)))</f>
        <v/>
      </c>
      <c r="I2685" s="3" t="n"/>
      <c r="J2685" s="3" t="n"/>
      <c r="K2685" s="3" t="n"/>
    </row>
    <row r="2686">
      <c r="A2686" s="3" t="n"/>
      <c r="B2686" s="3" t="n"/>
      <c r="C2686" s="3" t="n"/>
      <c r="D2686" s="3" t="n"/>
      <c r="E2686" s="4">
        <f>IF(A2686="","",COUNTIFS($A$4:A2686,A2686,$I$4:I2686,"&lt;&gt;Штраф -2",$I$4:I2686,"&lt;&gt;ушел на базу"))</f>
        <v/>
      </c>
      <c r="F2686" s="4">
        <f>IF(E2686="","",IF(E2686&lt;=3,6,IF(E2686&lt;=6,5,IF(E2686&lt;=9,4,IF(E2686&lt;=12,3,IF(E2686&lt;=15,2,0))))))</f>
        <v/>
      </c>
      <c r="G2686" s="3" t="n"/>
      <c r="H2686" s="4">
        <f>IF(I2686="Штраф -2",-2,IF(OR(F2686="",G2686=""),"",F2686*G2686+IF(J2686="",0,J2686)))</f>
        <v/>
      </c>
      <c r="I2686" s="3" t="n"/>
      <c r="J2686" s="3" t="n"/>
      <c r="K2686" s="3" t="n"/>
    </row>
    <row r="2687">
      <c r="A2687" s="3" t="n"/>
      <c r="B2687" s="3" t="n"/>
      <c r="C2687" s="3" t="n"/>
      <c r="D2687" s="3" t="n"/>
      <c r="E2687" s="4">
        <f>IF(A2687="","",COUNTIFS($A$4:A2687,A2687,$I$4:I2687,"&lt;&gt;Штраф -2",$I$4:I2687,"&lt;&gt;ушел на базу"))</f>
        <v/>
      </c>
      <c r="F2687" s="4">
        <f>IF(E2687="","",IF(E2687&lt;=3,6,IF(E2687&lt;=6,5,IF(E2687&lt;=9,4,IF(E2687&lt;=12,3,IF(E2687&lt;=15,2,0))))))</f>
        <v/>
      </c>
      <c r="G2687" s="3" t="n"/>
      <c r="H2687" s="4">
        <f>IF(I2687="Штраф -2",-2,IF(OR(F2687="",G2687=""),"",F2687*G2687+IF(J2687="",0,J2687)))</f>
        <v/>
      </c>
      <c r="I2687" s="3" t="n"/>
      <c r="J2687" s="3" t="n"/>
      <c r="K2687" s="3" t="n"/>
    </row>
    <row r="2688">
      <c r="A2688" s="3" t="n"/>
      <c r="B2688" s="3" t="n"/>
      <c r="C2688" s="3" t="n"/>
      <c r="D2688" s="3" t="n"/>
      <c r="E2688" s="4">
        <f>IF(A2688="","",COUNTIFS($A$4:A2688,A2688,$I$4:I2688,"&lt;&gt;Штраф -2",$I$4:I2688,"&lt;&gt;ушел на базу"))</f>
        <v/>
      </c>
      <c r="F2688" s="4">
        <f>IF(E2688="","",IF(E2688&lt;=3,6,IF(E2688&lt;=6,5,IF(E2688&lt;=9,4,IF(E2688&lt;=12,3,IF(E2688&lt;=15,2,0))))))</f>
        <v/>
      </c>
      <c r="G2688" s="3" t="n"/>
      <c r="H2688" s="4">
        <f>IF(I2688="Штраф -2",-2,IF(OR(F2688="",G2688=""),"",F2688*G2688+IF(J2688="",0,J2688)))</f>
        <v/>
      </c>
      <c r="I2688" s="3" t="n"/>
      <c r="J2688" s="3" t="n"/>
      <c r="K2688" s="3" t="n"/>
    </row>
    <row r="2689">
      <c r="A2689" s="3" t="n"/>
      <c r="B2689" s="3" t="n"/>
      <c r="C2689" s="3" t="n"/>
      <c r="D2689" s="3" t="n"/>
      <c r="E2689" s="4">
        <f>IF(A2689="","",COUNTIFS($A$4:A2689,A2689,$I$4:I2689,"&lt;&gt;Штраф -2",$I$4:I2689,"&lt;&gt;ушел на базу"))</f>
        <v/>
      </c>
      <c r="F2689" s="4">
        <f>IF(E2689="","",IF(E2689&lt;=3,6,IF(E2689&lt;=6,5,IF(E2689&lt;=9,4,IF(E2689&lt;=12,3,IF(E2689&lt;=15,2,0))))))</f>
        <v/>
      </c>
      <c r="G2689" s="3" t="n"/>
      <c r="H2689" s="4">
        <f>IF(I2689="Штраф -2",-2,IF(OR(F2689="",G2689=""),"",F2689*G2689+IF(J2689="",0,J2689)))</f>
        <v/>
      </c>
      <c r="I2689" s="3" t="n"/>
      <c r="J2689" s="3" t="n"/>
      <c r="K2689" s="3" t="n"/>
    </row>
    <row r="2690">
      <c r="A2690" s="3" t="n"/>
      <c r="B2690" s="3" t="n"/>
      <c r="C2690" s="3" t="n"/>
      <c r="D2690" s="3" t="n"/>
      <c r="E2690" s="4">
        <f>IF(A2690="","",COUNTIFS($A$4:A2690,A2690,$I$4:I2690,"&lt;&gt;Штраф -2",$I$4:I2690,"&lt;&gt;ушел на базу"))</f>
        <v/>
      </c>
      <c r="F2690" s="4">
        <f>IF(E2690="","",IF(E2690&lt;=3,6,IF(E2690&lt;=6,5,IF(E2690&lt;=9,4,IF(E2690&lt;=12,3,IF(E2690&lt;=15,2,0))))))</f>
        <v/>
      </c>
      <c r="G2690" s="3" t="n"/>
      <c r="H2690" s="4">
        <f>IF(I2690="Штраф -2",-2,IF(OR(F2690="",G2690=""),"",F2690*G2690+IF(J2690="",0,J2690)))</f>
        <v/>
      </c>
      <c r="I2690" s="3" t="n"/>
      <c r="J2690" s="3" t="n"/>
      <c r="K2690" s="3" t="n"/>
    </row>
    <row r="2691">
      <c r="A2691" s="3" t="n"/>
      <c r="B2691" s="3" t="n"/>
      <c r="C2691" s="3" t="n"/>
      <c r="D2691" s="3" t="n"/>
      <c r="E2691" s="4">
        <f>IF(A2691="","",COUNTIFS($A$4:A2691,A2691,$I$4:I2691,"&lt;&gt;Штраф -2",$I$4:I2691,"&lt;&gt;ушел на базу"))</f>
        <v/>
      </c>
      <c r="F2691" s="4">
        <f>IF(E2691="","",IF(E2691&lt;=3,6,IF(E2691&lt;=6,5,IF(E2691&lt;=9,4,IF(E2691&lt;=12,3,IF(E2691&lt;=15,2,0))))))</f>
        <v/>
      </c>
      <c r="G2691" s="3" t="n"/>
      <c r="H2691" s="4">
        <f>IF(I2691="Штраф -2",-2,IF(OR(F2691="",G2691=""),"",F2691*G2691+IF(J2691="",0,J2691)))</f>
        <v/>
      </c>
      <c r="I2691" s="3" t="n"/>
      <c r="J2691" s="3" t="n"/>
      <c r="K2691" s="3" t="n"/>
    </row>
    <row r="2692">
      <c r="A2692" s="3" t="n"/>
      <c r="B2692" s="3" t="n"/>
      <c r="C2692" s="3" t="n"/>
      <c r="D2692" s="3" t="n"/>
      <c r="E2692" s="4">
        <f>IF(A2692="","",COUNTIFS($A$4:A2692,A2692,$I$4:I2692,"&lt;&gt;Штраф -2",$I$4:I2692,"&lt;&gt;ушел на базу"))</f>
        <v/>
      </c>
      <c r="F2692" s="4">
        <f>IF(E2692="","",IF(E2692&lt;=3,6,IF(E2692&lt;=6,5,IF(E2692&lt;=9,4,IF(E2692&lt;=12,3,IF(E2692&lt;=15,2,0))))))</f>
        <v/>
      </c>
      <c r="G2692" s="3" t="n"/>
      <c r="H2692" s="4">
        <f>IF(I2692="Штраф -2",-2,IF(OR(F2692="",G2692=""),"",F2692*G2692+IF(J2692="",0,J2692)))</f>
        <v/>
      </c>
      <c r="I2692" s="3" t="n"/>
      <c r="J2692" s="3" t="n"/>
      <c r="K2692" s="3" t="n"/>
    </row>
    <row r="2693">
      <c r="A2693" s="3" t="n"/>
      <c r="B2693" s="3" t="n"/>
      <c r="C2693" s="3" t="n"/>
      <c r="D2693" s="3" t="n"/>
      <c r="E2693" s="4">
        <f>IF(A2693="","",COUNTIFS($A$4:A2693,A2693,$I$4:I2693,"&lt;&gt;Штраф -2",$I$4:I2693,"&lt;&gt;ушел на базу"))</f>
        <v/>
      </c>
      <c r="F2693" s="4">
        <f>IF(E2693="","",IF(E2693&lt;=3,6,IF(E2693&lt;=6,5,IF(E2693&lt;=9,4,IF(E2693&lt;=12,3,IF(E2693&lt;=15,2,0))))))</f>
        <v/>
      </c>
      <c r="G2693" s="3" t="n"/>
      <c r="H2693" s="4">
        <f>IF(I2693="Штраф -2",-2,IF(OR(F2693="",G2693=""),"",F2693*G2693+IF(J2693="",0,J2693)))</f>
        <v/>
      </c>
      <c r="I2693" s="3" t="n"/>
      <c r="J2693" s="3" t="n"/>
      <c r="K2693" s="3" t="n"/>
    </row>
    <row r="2694">
      <c r="A2694" s="3" t="n"/>
      <c r="B2694" s="3" t="n"/>
      <c r="C2694" s="3" t="n"/>
      <c r="D2694" s="3" t="n"/>
      <c r="E2694" s="4">
        <f>IF(A2694="","",COUNTIFS($A$4:A2694,A2694,$I$4:I2694,"&lt;&gt;Штраф -2",$I$4:I2694,"&lt;&gt;ушел на базу"))</f>
        <v/>
      </c>
      <c r="F2694" s="4">
        <f>IF(E2694="","",IF(E2694&lt;=3,6,IF(E2694&lt;=6,5,IF(E2694&lt;=9,4,IF(E2694&lt;=12,3,IF(E2694&lt;=15,2,0))))))</f>
        <v/>
      </c>
      <c r="G2694" s="3" t="n"/>
      <c r="H2694" s="4">
        <f>IF(I2694="Штраф -2",-2,IF(OR(F2694="",G2694=""),"",F2694*G2694+IF(J2694="",0,J2694)))</f>
        <v/>
      </c>
      <c r="I2694" s="3" t="n"/>
      <c r="J2694" s="3" t="n"/>
      <c r="K2694" s="3" t="n"/>
    </row>
    <row r="2695">
      <c r="A2695" s="3" t="n"/>
      <c r="B2695" s="3" t="n"/>
      <c r="C2695" s="3" t="n"/>
      <c r="D2695" s="3" t="n"/>
      <c r="E2695" s="4">
        <f>IF(A2695="","",COUNTIFS($A$4:A2695,A2695,$I$4:I2695,"&lt;&gt;Штраф -2",$I$4:I2695,"&lt;&gt;ушел на базу"))</f>
        <v/>
      </c>
      <c r="F2695" s="4">
        <f>IF(E2695="","",IF(E2695&lt;=3,6,IF(E2695&lt;=6,5,IF(E2695&lt;=9,4,IF(E2695&lt;=12,3,IF(E2695&lt;=15,2,0))))))</f>
        <v/>
      </c>
      <c r="G2695" s="3" t="n"/>
      <c r="H2695" s="4">
        <f>IF(I2695="Штраф -2",-2,IF(OR(F2695="",G2695=""),"",F2695*G2695+IF(J2695="",0,J2695)))</f>
        <v/>
      </c>
      <c r="I2695" s="3" t="n"/>
      <c r="J2695" s="3" t="n"/>
      <c r="K2695" s="3" t="n"/>
    </row>
    <row r="2696">
      <c r="A2696" s="3" t="n"/>
      <c r="B2696" s="3" t="n"/>
      <c r="C2696" s="3" t="n"/>
      <c r="D2696" s="3" t="n"/>
      <c r="E2696" s="4">
        <f>IF(A2696="","",COUNTIFS($A$4:A2696,A2696,$I$4:I2696,"&lt;&gt;Штраф -2",$I$4:I2696,"&lt;&gt;ушел на базу"))</f>
        <v/>
      </c>
      <c r="F2696" s="4">
        <f>IF(E2696="","",IF(E2696&lt;=3,6,IF(E2696&lt;=6,5,IF(E2696&lt;=9,4,IF(E2696&lt;=12,3,IF(E2696&lt;=15,2,0))))))</f>
        <v/>
      </c>
      <c r="G2696" s="3" t="n"/>
      <c r="H2696" s="4">
        <f>IF(I2696="Штраф -2",-2,IF(OR(F2696="",G2696=""),"",F2696*G2696+IF(J2696="",0,J2696)))</f>
        <v/>
      </c>
      <c r="I2696" s="3" t="n"/>
      <c r="J2696" s="3" t="n"/>
      <c r="K2696" s="3" t="n"/>
    </row>
    <row r="2697">
      <c r="A2697" s="3" t="n"/>
      <c r="B2697" s="3" t="n"/>
      <c r="C2697" s="3" t="n"/>
      <c r="D2697" s="3" t="n"/>
      <c r="E2697" s="4">
        <f>IF(A2697="","",COUNTIFS($A$4:A2697,A2697,$I$4:I2697,"&lt;&gt;Штраф -2",$I$4:I2697,"&lt;&gt;ушел на базу"))</f>
        <v/>
      </c>
      <c r="F2697" s="4">
        <f>IF(E2697="","",IF(E2697&lt;=3,6,IF(E2697&lt;=6,5,IF(E2697&lt;=9,4,IF(E2697&lt;=12,3,IF(E2697&lt;=15,2,0))))))</f>
        <v/>
      </c>
      <c r="G2697" s="3" t="n"/>
      <c r="H2697" s="4">
        <f>IF(I2697="Штраф -2",-2,IF(OR(F2697="",G2697=""),"",F2697*G2697+IF(J2697="",0,J2697)))</f>
        <v/>
      </c>
      <c r="I2697" s="3" t="n"/>
      <c r="J2697" s="3" t="n"/>
      <c r="K2697" s="3" t="n"/>
    </row>
    <row r="2698">
      <c r="A2698" s="3" t="n"/>
      <c r="B2698" s="3" t="n"/>
      <c r="C2698" s="3" t="n"/>
      <c r="D2698" s="3" t="n"/>
      <c r="E2698" s="4">
        <f>IF(A2698="","",COUNTIFS($A$4:A2698,A2698,$I$4:I2698,"&lt;&gt;Штраф -2",$I$4:I2698,"&lt;&gt;ушел на базу"))</f>
        <v/>
      </c>
      <c r="F2698" s="4">
        <f>IF(E2698="","",IF(E2698&lt;=3,6,IF(E2698&lt;=6,5,IF(E2698&lt;=9,4,IF(E2698&lt;=12,3,IF(E2698&lt;=15,2,0))))))</f>
        <v/>
      </c>
      <c r="G2698" s="3" t="n"/>
      <c r="H2698" s="4">
        <f>IF(I2698="Штраф -2",-2,IF(OR(F2698="",G2698=""),"",F2698*G2698+IF(J2698="",0,J2698)))</f>
        <v/>
      </c>
      <c r="I2698" s="3" t="n"/>
      <c r="J2698" s="3" t="n"/>
      <c r="K2698" s="3" t="n"/>
    </row>
    <row r="2699">
      <c r="A2699" s="3" t="n"/>
      <c r="B2699" s="3" t="n"/>
      <c r="C2699" s="3" t="n"/>
      <c r="D2699" s="3" t="n"/>
      <c r="E2699" s="4">
        <f>IF(A2699="","",COUNTIFS($A$4:A2699,A2699,$I$4:I2699,"&lt;&gt;Штраф -2",$I$4:I2699,"&lt;&gt;ушел на базу"))</f>
        <v/>
      </c>
      <c r="F2699" s="4">
        <f>IF(E2699="","",IF(E2699&lt;=3,6,IF(E2699&lt;=6,5,IF(E2699&lt;=9,4,IF(E2699&lt;=12,3,IF(E2699&lt;=15,2,0))))))</f>
        <v/>
      </c>
      <c r="G2699" s="3" t="n"/>
      <c r="H2699" s="4">
        <f>IF(I2699="Штраф -2",-2,IF(OR(F2699="",G2699=""),"",F2699*G2699+IF(J2699="",0,J2699)))</f>
        <v/>
      </c>
      <c r="I2699" s="3" t="n"/>
      <c r="J2699" s="3" t="n"/>
      <c r="K2699" s="3" t="n"/>
    </row>
    <row r="2700">
      <c r="A2700" s="3" t="n"/>
      <c r="B2700" s="3" t="n"/>
      <c r="C2700" s="3" t="n"/>
      <c r="D2700" s="3" t="n"/>
      <c r="E2700" s="4">
        <f>IF(A2700="","",COUNTIFS($A$4:A2700,A2700,$I$4:I2700,"&lt;&gt;Штраф -2",$I$4:I2700,"&lt;&gt;ушел на базу"))</f>
        <v/>
      </c>
      <c r="F2700" s="4">
        <f>IF(E2700="","",IF(E2700&lt;=3,6,IF(E2700&lt;=6,5,IF(E2700&lt;=9,4,IF(E2700&lt;=12,3,IF(E2700&lt;=15,2,0))))))</f>
        <v/>
      </c>
      <c r="G2700" s="3" t="n"/>
      <c r="H2700" s="4">
        <f>IF(I2700="Штраф -2",-2,IF(OR(F2700="",G2700=""),"",F2700*G2700+IF(J2700="",0,J2700)))</f>
        <v/>
      </c>
      <c r="I2700" s="3" t="n"/>
      <c r="J2700" s="3" t="n"/>
      <c r="K2700" s="3" t="n"/>
    </row>
    <row r="2701">
      <c r="A2701" s="3" t="n"/>
      <c r="B2701" s="3" t="n"/>
      <c r="C2701" s="3" t="n"/>
      <c r="D2701" s="3" t="n"/>
      <c r="E2701" s="4">
        <f>IF(A2701="","",COUNTIFS($A$4:A2701,A2701,$I$4:I2701,"&lt;&gt;Штраф -2",$I$4:I2701,"&lt;&gt;ушел на базу"))</f>
        <v/>
      </c>
      <c r="F2701" s="4">
        <f>IF(E2701="","",IF(E2701&lt;=3,6,IF(E2701&lt;=6,5,IF(E2701&lt;=9,4,IF(E2701&lt;=12,3,IF(E2701&lt;=15,2,0))))))</f>
        <v/>
      </c>
      <c r="G2701" s="3" t="n"/>
      <c r="H2701" s="4">
        <f>IF(I2701="Штраф -2",-2,IF(OR(F2701="",G2701=""),"",F2701*G2701+IF(J2701="",0,J2701)))</f>
        <v/>
      </c>
      <c r="I2701" s="3" t="n"/>
      <c r="J2701" s="3" t="n"/>
      <c r="K2701" s="3" t="n"/>
    </row>
    <row r="2702">
      <c r="A2702" s="3" t="n"/>
      <c r="B2702" s="3" t="n"/>
      <c r="C2702" s="3" t="n"/>
      <c r="D2702" s="3" t="n"/>
      <c r="E2702" s="4">
        <f>IF(A2702="","",COUNTIFS($A$4:A2702,A2702,$I$4:I2702,"&lt;&gt;Штраф -2",$I$4:I2702,"&lt;&gt;ушел на базу"))</f>
        <v/>
      </c>
      <c r="F2702" s="4">
        <f>IF(E2702="","",IF(E2702&lt;=3,6,IF(E2702&lt;=6,5,IF(E2702&lt;=9,4,IF(E2702&lt;=12,3,IF(E2702&lt;=15,2,0))))))</f>
        <v/>
      </c>
      <c r="G2702" s="3" t="n"/>
      <c r="H2702" s="4">
        <f>IF(I2702="Штраф -2",-2,IF(OR(F2702="",G2702=""),"",F2702*G2702+IF(J2702="",0,J2702)))</f>
        <v/>
      </c>
      <c r="I2702" s="3" t="n"/>
      <c r="J2702" s="3" t="n"/>
      <c r="K2702" s="3" t="n"/>
    </row>
    <row r="2703">
      <c r="A2703" s="3" t="n"/>
      <c r="B2703" s="3" t="n"/>
      <c r="C2703" s="3" t="n"/>
      <c r="D2703" s="3" t="n"/>
      <c r="E2703" s="4">
        <f>IF(A2703="","",COUNTIFS($A$4:A2703,A2703,$I$4:I2703,"&lt;&gt;Штраф -2",$I$4:I2703,"&lt;&gt;ушел на базу"))</f>
        <v/>
      </c>
      <c r="F2703" s="4">
        <f>IF(E2703="","",IF(E2703&lt;=3,6,IF(E2703&lt;=6,5,IF(E2703&lt;=9,4,IF(E2703&lt;=12,3,IF(E2703&lt;=15,2,0))))))</f>
        <v/>
      </c>
      <c r="G2703" s="3" t="n"/>
      <c r="H2703" s="4">
        <f>IF(I2703="Штраф -2",-2,IF(OR(F2703="",G2703=""),"",F2703*G2703+IF(J2703="",0,J2703)))</f>
        <v/>
      </c>
      <c r="I2703" s="3" t="n"/>
      <c r="J2703" s="3" t="n"/>
      <c r="K2703" s="3" t="n"/>
    </row>
    <row r="2704">
      <c r="A2704" s="3" t="n"/>
      <c r="B2704" s="3" t="n"/>
      <c r="C2704" s="3" t="n"/>
      <c r="D2704" s="3" t="n"/>
      <c r="E2704" s="4">
        <f>IF(A2704="","",COUNTIFS($A$4:A2704,A2704,$I$4:I2704,"&lt;&gt;Штраф -2",$I$4:I2704,"&lt;&gt;ушел на базу"))</f>
        <v/>
      </c>
      <c r="F2704" s="4">
        <f>IF(E2704="","",IF(E2704&lt;=3,6,IF(E2704&lt;=6,5,IF(E2704&lt;=9,4,IF(E2704&lt;=12,3,IF(E2704&lt;=15,2,0))))))</f>
        <v/>
      </c>
      <c r="G2704" s="3" t="n"/>
      <c r="H2704" s="4">
        <f>IF(I2704="Штраф -2",-2,IF(OR(F2704="",G2704=""),"",F2704*G2704+IF(J2704="",0,J2704)))</f>
        <v/>
      </c>
      <c r="I2704" s="3" t="n"/>
      <c r="J2704" s="3" t="n"/>
      <c r="K2704" s="3" t="n"/>
    </row>
    <row r="2705">
      <c r="A2705" s="3" t="n"/>
      <c r="B2705" s="3" t="n"/>
      <c r="C2705" s="3" t="n"/>
      <c r="D2705" s="3" t="n"/>
      <c r="E2705" s="4">
        <f>IF(A2705="","",COUNTIFS($A$4:A2705,A2705,$I$4:I2705,"&lt;&gt;Штраф -2",$I$4:I2705,"&lt;&gt;ушел на базу"))</f>
        <v/>
      </c>
      <c r="F2705" s="4">
        <f>IF(E2705="","",IF(E2705&lt;=3,6,IF(E2705&lt;=6,5,IF(E2705&lt;=9,4,IF(E2705&lt;=12,3,IF(E2705&lt;=15,2,0))))))</f>
        <v/>
      </c>
      <c r="G2705" s="3" t="n"/>
      <c r="H2705" s="4">
        <f>IF(I2705="Штраф -2",-2,IF(OR(F2705="",G2705=""),"",F2705*G2705+IF(J2705="",0,J2705)))</f>
        <v/>
      </c>
      <c r="I2705" s="3" t="n"/>
      <c r="J2705" s="3" t="n"/>
      <c r="K2705" s="3" t="n"/>
    </row>
    <row r="2706">
      <c r="A2706" s="3" t="n"/>
      <c r="B2706" s="3" t="n"/>
      <c r="C2706" s="3" t="n"/>
      <c r="D2706" s="3" t="n"/>
      <c r="E2706" s="4">
        <f>IF(A2706="","",COUNTIFS($A$4:A2706,A2706,$I$4:I2706,"&lt;&gt;Штраф -2",$I$4:I2706,"&lt;&gt;ушел на базу"))</f>
        <v/>
      </c>
      <c r="F2706" s="4">
        <f>IF(E2706="","",IF(E2706&lt;=3,6,IF(E2706&lt;=6,5,IF(E2706&lt;=9,4,IF(E2706&lt;=12,3,IF(E2706&lt;=15,2,0))))))</f>
        <v/>
      </c>
      <c r="G2706" s="3" t="n"/>
      <c r="H2706" s="4">
        <f>IF(I2706="Штраф -2",-2,IF(OR(F2706="",G2706=""),"",F2706*G2706+IF(J2706="",0,J2706)))</f>
        <v/>
      </c>
      <c r="I2706" s="3" t="n"/>
      <c r="J2706" s="3" t="n"/>
      <c r="K2706" s="3" t="n"/>
    </row>
    <row r="2707">
      <c r="A2707" s="3" t="n"/>
      <c r="B2707" s="3" t="n"/>
      <c r="C2707" s="3" t="n"/>
      <c r="D2707" s="3" t="n"/>
      <c r="E2707" s="4">
        <f>IF(A2707="","",COUNTIFS($A$4:A2707,A2707,$I$4:I2707,"&lt;&gt;Штраф -2",$I$4:I2707,"&lt;&gt;ушел на базу"))</f>
        <v/>
      </c>
      <c r="F2707" s="4">
        <f>IF(E2707="","",IF(E2707&lt;=3,6,IF(E2707&lt;=6,5,IF(E2707&lt;=9,4,IF(E2707&lt;=12,3,IF(E2707&lt;=15,2,0))))))</f>
        <v/>
      </c>
      <c r="G2707" s="3" t="n"/>
      <c r="H2707" s="4">
        <f>IF(I2707="Штраф -2",-2,IF(OR(F2707="",G2707=""),"",F2707*G2707+IF(J2707="",0,J2707)))</f>
        <v/>
      </c>
      <c r="I2707" s="3" t="n"/>
      <c r="J2707" s="3" t="n"/>
      <c r="K2707" s="3" t="n"/>
    </row>
    <row r="2708">
      <c r="A2708" s="3" t="n"/>
      <c r="B2708" s="3" t="n"/>
      <c r="C2708" s="3" t="n"/>
      <c r="D2708" s="3" t="n"/>
      <c r="E2708" s="4">
        <f>IF(A2708="","",COUNTIFS($A$4:A2708,A2708,$I$4:I2708,"&lt;&gt;Штраф -2",$I$4:I2708,"&lt;&gt;ушел на базу"))</f>
        <v/>
      </c>
      <c r="F2708" s="4">
        <f>IF(E2708="","",IF(E2708&lt;=3,6,IF(E2708&lt;=6,5,IF(E2708&lt;=9,4,IF(E2708&lt;=12,3,IF(E2708&lt;=15,2,0))))))</f>
        <v/>
      </c>
      <c r="G2708" s="3" t="n"/>
      <c r="H2708" s="4">
        <f>IF(I2708="Штраф -2",-2,IF(OR(F2708="",G2708=""),"",F2708*G2708+IF(J2708="",0,J2708)))</f>
        <v/>
      </c>
      <c r="I2708" s="3" t="n"/>
      <c r="J2708" s="3" t="n"/>
      <c r="K2708" s="3" t="n"/>
    </row>
    <row r="2709">
      <c r="A2709" s="3" t="n"/>
      <c r="B2709" s="3" t="n"/>
      <c r="C2709" s="3" t="n"/>
      <c r="D2709" s="3" t="n"/>
      <c r="E2709" s="4">
        <f>IF(A2709="","",COUNTIFS($A$4:A2709,A2709,$I$4:I2709,"&lt;&gt;Штраф -2",$I$4:I2709,"&lt;&gt;ушел на базу"))</f>
        <v/>
      </c>
      <c r="F2709" s="4">
        <f>IF(E2709="","",IF(E2709&lt;=3,6,IF(E2709&lt;=6,5,IF(E2709&lt;=9,4,IF(E2709&lt;=12,3,IF(E2709&lt;=15,2,0))))))</f>
        <v/>
      </c>
      <c r="G2709" s="3" t="n"/>
      <c r="H2709" s="4">
        <f>IF(I2709="Штраф -2",-2,IF(OR(F2709="",G2709=""),"",F2709*G2709+IF(J2709="",0,J2709)))</f>
        <v/>
      </c>
      <c r="I2709" s="3" t="n"/>
      <c r="J2709" s="3" t="n"/>
      <c r="K2709" s="3" t="n"/>
    </row>
    <row r="2710">
      <c r="A2710" s="3" t="n"/>
      <c r="B2710" s="3" t="n"/>
      <c r="C2710" s="3" t="n"/>
      <c r="D2710" s="3" t="n"/>
      <c r="E2710" s="4">
        <f>IF(A2710="","",COUNTIFS($A$4:A2710,A2710,$I$4:I2710,"&lt;&gt;Штраф -2",$I$4:I2710,"&lt;&gt;ушел на базу"))</f>
        <v/>
      </c>
      <c r="F2710" s="4">
        <f>IF(E2710="","",IF(E2710&lt;=3,6,IF(E2710&lt;=6,5,IF(E2710&lt;=9,4,IF(E2710&lt;=12,3,IF(E2710&lt;=15,2,0))))))</f>
        <v/>
      </c>
      <c r="G2710" s="3" t="n"/>
      <c r="H2710" s="4">
        <f>IF(I2710="Штраф -2",-2,IF(OR(F2710="",G2710=""),"",F2710*G2710+IF(J2710="",0,J2710)))</f>
        <v/>
      </c>
      <c r="I2710" s="3" t="n"/>
      <c r="J2710" s="3" t="n"/>
      <c r="K2710" s="3" t="n"/>
    </row>
    <row r="2711">
      <c r="A2711" s="3" t="n"/>
      <c r="B2711" s="3" t="n"/>
      <c r="C2711" s="3" t="n"/>
      <c r="D2711" s="3" t="n"/>
      <c r="E2711" s="4">
        <f>IF(A2711="","",COUNTIFS($A$4:A2711,A2711,$I$4:I2711,"&lt;&gt;Штраф -2",$I$4:I2711,"&lt;&gt;ушел на базу"))</f>
        <v/>
      </c>
      <c r="F2711" s="4">
        <f>IF(E2711="","",IF(E2711&lt;=3,6,IF(E2711&lt;=6,5,IF(E2711&lt;=9,4,IF(E2711&lt;=12,3,IF(E2711&lt;=15,2,0))))))</f>
        <v/>
      </c>
      <c r="G2711" s="3" t="n"/>
      <c r="H2711" s="4">
        <f>IF(I2711="Штраф -2",-2,IF(OR(F2711="",G2711=""),"",F2711*G2711+IF(J2711="",0,J2711)))</f>
        <v/>
      </c>
      <c r="I2711" s="3" t="n"/>
      <c r="J2711" s="3" t="n"/>
      <c r="K2711" s="3" t="n"/>
    </row>
    <row r="2712">
      <c r="A2712" s="3" t="n"/>
      <c r="B2712" s="3" t="n"/>
      <c r="C2712" s="3" t="n"/>
      <c r="D2712" s="3" t="n"/>
      <c r="E2712" s="4">
        <f>IF(A2712="","",COUNTIFS($A$4:A2712,A2712,$I$4:I2712,"&lt;&gt;Штраф -2",$I$4:I2712,"&lt;&gt;ушел на базу"))</f>
        <v/>
      </c>
      <c r="F2712" s="4">
        <f>IF(E2712="","",IF(E2712&lt;=3,6,IF(E2712&lt;=6,5,IF(E2712&lt;=9,4,IF(E2712&lt;=12,3,IF(E2712&lt;=15,2,0))))))</f>
        <v/>
      </c>
      <c r="G2712" s="3" t="n"/>
      <c r="H2712" s="4">
        <f>IF(I2712="Штраф -2",-2,IF(OR(F2712="",G2712=""),"",F2712*G2712+IF(J2712="",0,J2712)))</f>
        <v/>
      </c>
      <c r="I2712" s="3" t="n"/>
      <c r="J2712" s="3" t="n"/>
      <c r="K2712" s="3" t="n"/>
    </row>
    <row r="2713">
      <c r="A2713" s="3" t="n"/>
      <c r="B2713" s="3" t="n"/>
      <c r="C2713" s="3" t="n"/>
      <c r="D2713" s="3" t="n"/>
      <c r="E2713" s="4">
        <f>IF(A2713="","",COUNTIFS($A$4:A2713,A2713,$I$4:I2713,"&lt;&gt;Штраф -2",$I$4:I2713,"&lt;&gt;ушел на базу"))</f>
        <v/>
      </c>
      <c r="F2713" s="4">
        <f>IF(E2713="","",IF(E2713&lt;=3,6,IF(E2713&lt;=6,5,IF(E2713&lt;=9,4,IF(E2713&lt;=12,3,IF(E2713&lt;=15,2,0))))))</f>
        <v/>
      </c>
      <c r="G2713" s="3" t="n"/>
      <c r="H2713" s="4">
        <f>IF(I2713="Штраф -2",-2,IF(OR(F2713="",G2713=""),"",F2713*G2713+IF(J2713="",0,J2713)))</f>
        <v/>
      </c>
      <c r="I2713" s="3" t="n"/>
      <c r="J2713" s="3" t="n"/>
      <c r="K2713" s="3" t="n"/>
    </row>
    <row r="2714">
      <c r="A2714" s="3" t="n"/>
      <c r="B2714" s="3" t="n"/>
      <c r="C2714" s="3" t="n"/>
      <c r="D2714" s="3" t="n"/>
      <c r="E2714" s="4">
        <f>IF(A2714="","",COUNTIFS($A$4:A2714,A2714,$I$4:I2714,"&lt;&gt;Штраф -2",$I$4:I2714,"&lt;&gt;ушел на базу"))</f>
        <v/>
      </c>
      <c r="F2714" s="4">
        <f>IF(E2714="","",IF(E2714&lt;=3,6,IF(E2714&lt;=6,5,IF(E2714&lt;=9,4,IF(E2714&lt;=12,3,IF(E2714&lt;=15,2,0))))))</f>
        <v/>
      </c>
      <c r="G2714" s="3" t="n"/>
      <c r="H2714" s="4">
        <f>IF(I2714="Штраф -2",-2,IF(OR(F2714="",G2714=""),"",F2714*G2714+IF(J2714="",0,J2714)))</f>
        <v/>
      </c>
      <c r="I2714" s="3" t="n"/>
      <c r="J2714" s="3" t="n"/>
      <c r="K2714" s="3" t="n"/>
    </row>
    <row r="2715">
      <c r="A2715" s="3" t="n"/>
      <c r="B2715" s="3" t="n"/>
      <c r="C2715" s="3" t="n"/>
      <c r="D2715" s="3" t="n"/>
      <c r="E2715" s="4">
        <f>IF(A2715="","",COUNTIFS($A$4:A2715,A2715,$I$4:I2715,"&lt;&gt;Штраф -2",$I$4:I2715,"&lt;&gt;ушел на базу"))</f>
        <v/>
      </c>
      <c r="F2715" s="4">
        <f>IF(E2715="","",IF(E2715&lt;=3,6,IF(E2715&lt;=6,5,IF(E2715&lt;=9,4,IF(E2715&lt;=12,3,IF(E2715&lt;=15,2,0))))))</f>
        <v/>
      </c>
      <c r="G2715" s="3" t="n"/>
      <c r="H2715" s="4">
        <f>IF(I2715="Штраф -2",-2,IF(OR(F2715="",G2715=""),"",F2715*G2715+IF(J2715="",0,J2715)))</f>
        <v/>
      </c>
      <c r="I2715" s="3" t="n"/>
      <c r="J2715" s="3" t="n"/>
      <c r="K2715" s="3" t="n"/>
    </row>
    <row r="2716">
      <c r="A2716" s="3" t="n"/>
      <c r="B2716" s="3" t="n"/>
      <c r="C2716" s="3" t="n"/>
      <c r="D2716" s="3" t="n"/>
      <c r="E2716" s="4">
        <f>IF(A2716="","",COUNTIFS($A$4:A2716,A2716,$I$4:I2716,"&lt;&gt;Штраф -2",$I$4:I2716,"&lt;&gt;ушел на базу"))</f>
        <v/>
      </c>
      <c r="F2716" s="4">
        <f>IF(E2716="","",IF(E2716&lt;=3,6,IF(E2716&lt;=6,5,IF(E2716&lt;=9,4,IF(E2716&lt;=12,3,IF(E2716&lt;=15,2,0))))))</f>
        <v/>
      </c>
      <c r="G2716" s="3" t="n"/>
      <c r="H2716" s="4">
        <f>IF(I2716="Штраф -2",-2,IF(OR(F2716="",G2716=""),"",F2716*G2716+IF(J2716="",0,J2716)))</f>
        <v/>
      </c>
      <c r="I2716" s="3" t="n"/>
      <c r="J2716" s="3" t="n"/>
      <c r="K2716" s="3" t="n"/>
    </row>
    <row r="2717">
      <c r="A2717" s="3" t="n"/>
      <c r="B2717" s="3" t="n"/>
      <c r="C2717" s="3" t="n"/>
      <c r="D2717" s="3" t="n"/>
      <c r="E2717" s="4">
        <f>IF(A2717="","",COUNTIFS($A$4:A2717,A2717,$I$4:I2717,"&lt;&gt;Штраф -2",$I$4:I2717,"&lt;&gt;ушел на базу"))</f>
        <v/>
      </c>
      <c r="F2717" s="4">
        <f>IF(E2717="","",IF(E2717&lt;=3,6,IF(E2717&lt;=6,5,IF(E2717&lt;=9,4,IF(E2717&lt;=12,3,IF(E2717&lt;=15,2,0))))))</f>
        <v/>
      </c>
      <c r="G2717" s="3" t="n"/>
      <c r="H2717" s="4">
        <f>IF(I2717="Штраф -2",-2,IF(OR(F2717="",G2717=""),"",F2717*G2717+IF(J2717="",0,J2717)))</f>
        <v/>
      </c>
      <c r="I2717" s="3" t="n"/>
      <c r="J2717" s="3" t="n"/>
      <c r="K2717" s="3" t="n"/>
    </row>
    <row r="2718">
      <c r="A2718" s="3" t="n"/>
      <c r="B2718" s="3" t="n"/>
      <c r="C2718" s="3" t="n"/>
      <c r="D2718" s="3" t="n"/>
      <c r="E2718" s="4">
        <f>IF(A2718="","",COUNTIFS($A$4:A2718,A2718,$I$4:I2718,"&lt;&gt;Штраф -2",$I$4:I2718,"&lt;&gt;ушел на базу"))</f>
        <v/>
      </c>
      <c r="F2718" s="4">
        <f>IF(E2718="","",IF(E2718&lt;=3,6,IF(E2718&lt;=6,5,IF(E2718&lt;=9,4,IF(E2718&lt;=12,3,IF(E2718&lt;=15,2,0))))))</f>
        <v/>
      </c>
      <c r="G2718" s="3" t="n"/>
      <c r="H2718" s="4">
        <f>IF(I2718="Штраф -2",-2,IF(OR(F2718="",G2718=""),"",F2718*G2718+IF(J2718="",0,J2718)))</f>
        <v/>
      </c>
      <c r="I2718" s="3" t="n"/>
      <c r="J2718" s="3" t="n"/>
      <c r="K2718" s="3" t="n"/>
    </row>
    <row r="2719">
      <c r="A2719" s="3" t="n"/>
      <c r="B2719" s="3" t="n"/>
      <c r="C2719" s="3" t="n"/>
      <c r="D2719" s="3" t="n"/>
      <c r="E2719" s="4">
        <f>IF(A2719="","",COUNTIFS($A$4:A2719,A2719,$I$4:I2719,"&lt;&gt;Штраф -2",$I$4:I2719,"&lt;&gt;ушел на базу"))</f>
        <v/>
      </c>
      <c r="F2719" s="4">
        <f>IF(E2719="","",IF(E2719&lt;=3,6,IF(E2719&lt;=6,5,IF(E2719&lt;=9,4,IF(E2719&lt;=12,3,IF(E2719&lt;=15,2,0))))))</f>
        <v/>
      </c>
      <c r="G2719" s="3" t="n"/>
      <c r="H2719" s="4">
        <f>IF(I2719="Штраф -2",-2,IF(OR(F2719="",G2719=""),"",F2719*G2719+IF(J2719="",0,J2719)))</f>
        <v/>
      </c>
      <c r="I2719" s="3" t="n"/>
      <c r="J2719" s="3" t="n"/>
      <c r="K2719" s="3" t="n"/>
    </row>
    <row r="2720">
      <c r="A2720" s="3" t="n"/>
      <c r="B2720" s="3" t="n"/>
      <c r="C2720" s="3" t="n"/>
      <c r="D2720" s="3" t="n"/>
      <c r="E2720" s="4">
        <f>IF(A2720="","",COUNTIFS($A$4:A2720,A2720,$I$4:I2720,"&lt;&gt;Штраф -2",$I$4:I2720,"&lt;&gt;ушел на базу"))</f>
        <v/>
      </c>
      <c r="F2720" s="4">
        <f>IF(E2720="","",IF(E2720&lt;=3,6,IF(E2720&lt;=6,5,IF(E2720&lt;=9,4,IF(E2720&lt;=12,3,IF(E2720&lt;=15,2,0))))))</f>
        <v/>
      </c>
      <c r="G2720" s="3" t="n"/>
      <c r="H2720" s="4">
        <f>IF(I2720="Штраф -2",-2,IF(OR(F2720="",G2720=""),"",F2720*G2720+IF(J2720="",0,J2720)))</f>
        <v/>
      </c>
      <c r="I2720" s="3" t="n"/>
      <c r="J2720" s="3" t="n"/>
      <c r="K2720" s="3" t="n"/>
    </row>
    <row r="2721">
      <c r="A2721" s="3" t="n"/>
      <c r="B2721" s="3" t="n"/>
      <c r="C2721" s="3" t="n"/>
      <c r="D2721" s="3" t="n"/>
      <c r="E2721" s="4">
        <f>IF(A2721="","",COUNTIFS($A$4:A2721,A2721,$I$4:I2721,"&lt;&gt;Штраф -2",$I$4:I2721,"&lt;&gt;ушел на базу"))</f>
        <v/>
      </c>
      <c r="F2721" s="4">
        <f>IF(E2721="","",IF(E2721&lt;=3,6,IF(E2721&lt;=6,5,IF(E2721&lt;=9,4,IF(E2721&lt;=12,3,IF(E2721&lt;=15,2,0))))))</f>
        <v/>
      </c>
      <c r="G2721" s="3" t="n"/>
      <c r="H2721" s="4">
        <f>IF(I2721="Штраф -2",-2,IF(OR(F2721="",G2721=""),"",F2721*G2721+IF(J2721="",0,J2721)))</f>
        <v/>
      </c>
      <c r="I2721" s="3" t="n"/>
      <c r="J2721" s="3" t="n"/>
      <c r="K2721" s="3" t="n"/>
    </row>
    <row r="2722">
      <c r="A2722" s="3" t="n"/>
      <c r="B2722" s="3" t="n"/>
      <c r="C2722" s="3" t="n"/>
      <c r="D2722" s="3" t="n"/>
      <c r="E2722" s="4">
        <f>IF(A2722="","",COUNTIFS($A$4:A2722,A2722,$I$4:I2722,"&lt;&gt;Штраф -2",$I$4:I2722,"&lt;&gt;ушел на базу"))</f>
        <v/>
      </c>
      <c r="F2722" s="4">
        <f>IF(E2722="","",IF(E2722&lt;=3,6,IF(E2722&lt;=6,5,IF(E2722&lt;=9,4,IF(E2722&lt;=12,3,IF(E2722&lt;=15,2,0))))))</f>
        <v/>
      </c>
      <c r="G2722" s="3" t="n"/>
      <c r="H2722" s="4">
        <f>IF(I2722="Штраф -2",-2,IF(OR(F2722="",G2722=""),"",F2722*G2722+IF(J2722="",0,J2722)))</f>
        <v/>
      </c>
      <c r="I2722" s="3" t="n"/>
      <c r="J2722" s="3" t="n"/>
      <c r="K2722" s="3" t="n"/>
    </row>
    <row r="2723">
      <c r="A2723" s="3" t="n"/>
      <c r="B2723" s="3" t="n"/>
      <c r="C2723" s="3" t="n"/>
      <c r="D2723" s="3" t="n"/>
      <c r="E2723" s="4">
        <f>IF(A2723="","",COUNTIFS($A$4:A2723,A2723,$I$4:I2723,"&lt;&gt;Штраф -2",$I$4:I2723,"&lt;&gt;ушел на базу"))</f>
        <v/>
      </c>
      <c r="F2723" s="4">
        <f>IF(E2723="","",IF(E2723&lt;=3,6,IF(E2723&lt;=6,5,IF(E2723&lt;=9,4,IF(E2723&lt;=12,3,IF(E2723&lt;=15,2,0))))))</f>
        <v/>
      </c>
      <c r="G2723" s="3" t="n"/>
      <c r="H2723" s="4">
        <f>IF(I2723="Штраф -2",-2,IF(OR(F2723="",G2723=""),"",F2723*G2723+IF(J2723="",0,J2723)))</f>
        <v/>
      </c>
      <c r="I2723" s="3" t="n"/>
      <c r="J2723" s="3" t="n"/>
      <c r="K2723" s="3" t="n"/>
    </row>
    <row r="2724">
      <c r="A2724" s="3" t="n"/>
      <c r="B2724" s="3" t="n"/>
      <c r="C2724" s="3" t="n"/>
      <c r="D2724" s="3" t="n"/>
      <c r="E2724" s="4">
        <f>IF(A2724="","",COUNTIFS($A$4:A2724,A2724,$I$4:I2724,"&lt;&gt;Штраф -2",$I$4:I2724,"&lt;&gt;ушел на базу"))</f>
        <v/>
      </c>
      <c r="F2724" s="4">
        <f>IF(E2724="","",IF(E2724&lt;=3,6,IF(E2724&lt;=6,5,IF(E2724&lt;=9,4,IF(E2724&lt;=12,3,IF(E2724&lt;=15,2,0))))))</f>
        <v/>
      </c>
      <c r="G2724" s="3" t="n"/>
      <c r="H2724" s="4">
        <f>IF(I2724="Штраф -2",-2,IF(OR(F2724="",G2724=""),"",F2724*G2724+IF(J2724="",0,J2724)))</f>
        <v/>
      </c>
      <c r="I2724" s="3" t="n"/>
      <c r="J2724" s="3" t="n"/>
      <c r="K2724" s="3" t="n"/>
    </row>
    <row r="2725">
      <c r="A2725" s="3" t="n"/>
      <c r="B2725" s="3" t="n"/>
      <c r="C2725" s="3" t="n"/>
      <c r="D2725" s="3" t="n"/>
      <c r="E2725" s="4">
        <f>IF(A2725="","",COUNTIFS($A$4:A2725,A2725,$I$4:I2725,"&lt;&gt;Штраф -2",$I$4:I2725,"&lt;&gt;ушел на базу"))</f>
        <v/>
      </c>
      <c r="F2725" s="4">
        <f>IF(E2725="","",IF(E2725&lt;=3,6,IF(E2725&lt;=6,5,IF(E2725&lt;=9,4,IF(E2725&lt;=12,3,IF(E2725&lt;=15,2,0))))))</f>
        <v/>
      </c>
      <c r="G2725" s="3" t="n"/>
      <c r="H2725" s="4">
        <f>IF(I2725="Штраф -2",-2,IF(OR(F2725="",G2725=""),"",F2725*G2725+IF(J2725="",0,J2725)))</f>
        <v/>
      </c>
      <c r="I2725" s="3" t="n"/>
      <c r="J2725" s="3" t="n"/>
      <c r="K2725" s="3" t="n"/>
    </row>
    <row r="2726">
      <c r="A2726" s="3" t="n"/>
      <c r="B2726" s="3" t="n"/>
      <c r="C2726" s="3" t="n"/>
      <c r="D2726" s="3" t="n"/>
      <c r="E2726" s="4">
        <f>IF(A2726="","",COUNTIFS($A$4:A2726,A2726,$I$4:I2726,"&lt;&gt;Штраф -2",$I$4:I2726,"&lt;&gt;ушел на базу"))</f>
        <v/>
      </c>
      <c r="F2726" s="4">
        <f>IF(E2726="","",IF(E2726&lt;=3,6,IF(E2726&lt;=6,5,IF(E2726&lt;=9,4,IF(E2726&lt;=12,3,IF(E2726&lt;=15,2,0))))))</f>
        <v/>
      </c>
      <c r="G2726" s="3" t="n"/>
      <c r="H2726" s="4">
        <f>IF(I2726="Штраф -2",-2,IF(OR(F2726="",G2726=""),"",F2726*G2726+IF(J2726="",0,J2726)))</f>
        <v/>
      </c>
      <c r="I2726" s="3" t="n"/>
      <c r="J2726" s="3" t="n"/>
      <c r="K2726" s="3" t="n"/>
    </row>
    <row r="2727">
      <c r="A2727" s="3" t="n"/>
      <c r="B2727" s="3" t="n"/>
      <c r="C2727" s="3" t="n"/>
      <c r="D2727" s="3" t="n"/>
      <c r="E2727" s="4">
        <f>IF(A2727="","",COUNTIFS($A$4:A2727,A2727,$I$4:I2727,"&lt;&gt;Штраф -2",$I$4:I2727,"&lt;&gt;ушел на базу"))</f>
        <v/>
      </c>
      <c r="F2727" s="4">
        <f>IF(E2727="","",IF(E2727&lt;=3,6,IF(E2727&lt;=6,5,IF(E2727&lt;=9,4,IF(E2727&lt;=12,3,IF(E2727&lt;=15,2,0))))))</f>
        <v/>
      </c>
      <c r="G2727" s="3" t="n"/>
      <c r="H2727" s="4">
        <f>IF(I2727="Штраф -2",-2,IF(OR(F2727="",G2727=""),"",F2727*G2727+IF(J2727="",0,J2727)))</f>
        <v/>
      </c>
      <c r="I2727" s="3" t="n"/>
      <c r="J2727" s="3" t="n"/>
      <c r="K2727" s="3" t="n"/>
    </row>
    <row r="2728">
      <c r="A2728" s="3" t="n"/>
      <c r="B2728" s="3" t="n"/>
      <c r="C2728" s="3" t="n"/>
      <c r="D2728" s="3" t="n"/>
      <c r="E2728" s="4">
        <f>IF(A2728="","",COUNTIFS($A$4:A2728,A2728,$I$4:I2728,"&lt;&gt;Штраф -2",$I$4:I2728,"&lt;&gt;ушел на базу"))</f>
        <v/>
      </c>
      <c r="F2728" s="4">
        <f>IF(E2728="","",IF(E2728&lt;=3,6,IF(E2728&lt;=6,5,IF(E2728&lt;=9,4,IF(E2728&lt;=12,3,IF(E2728&lt;=15,2,0))))))</f>
        <v/>
      </c>
      <c r="G2728" s="3" t="n"/>
      <c r="H2728" s="4">
        <f>IF(I2728="Штраф -2",-2,IF(OR(F2728="",G2728=""),"",F2728*G2728+IF(J2728="",0,J2728)))</f>
        <v/>
      </c>
      <c r="I2728" s="3" t="n"/>
      <c r="J2728" s="3" t="n"/>
      <c r="K2728" s="3" t="n"/>
    </row>
    <row r="2729">
      <c r="A2729" s="3" t="n"/>
      <c r="B2729" s="3" t="n"/>
      <c r="C2729" s="3" t="n"/>
      <c r="D2729" s="3" t="n"/>
      <c r="E2729" s="4">
        <f>IF(A2729="","",COUNTIFS($A$4:A2729,A2729,$I$4:I2729,"&lt;&gt;Штраф -2",$I$4:I2729,"&lt;&gt;ушел на базу"))</f>
        <v/>
      </c>
      <c r="F2729" s="4">
        <f>IF(E2729="","",IF(E2729&lt;=3,6,IF(E2729&lt;=6,5,IF(E2729&lt;=9,4,IF(E2729&lt;=12,3,IF(E2729&lt;=15,2,0))))))</f>
        <v/>
      </c>
      <c r="G2729" s="3" t="n"/>
      <c r="H2729" s="4">
        <f>IF(I2729="Штраф -2",-2,IF(OR(F2729="",G2729=""),"",F2729*G2729+IF(J2729="",0,J2729)))</f>
        <v/>
      </c>
      <c r="I2729" s="3" t="n"/>
      <c r="J2729" s="3" t="n"/>
      <c r="K2729" s="3" t="n"/>
    </row>
    <row r="2730">
      <c r="A2730" s="3" t="n"/>
      <c r="B2730" s="3" t="n"/>
      <c r="C2730" s="3" t="n"/>
      <c r="D2730" s="3" t="n"/>
      <c r="E2730" s="4">
        <f>IF(A2730="","",COUNTIFS($A$4:A2730,A2730,$I$4:I2730,"&lt;&gt;Штраф -2",$I$4:I2730,"&lt;&gt;ушел на базу"))</f>
        <v/>
      </c>
      <c r="F2730" s="4">
        <f>IF(E2730="","",IF(E2730&lt;=3,6,IF(E2730&lt;=6,5,IF(E2730&lt;=9,4,IF(E2730&lt;=12,3,IF(E2730&lt;=15,2,0))))))</f>
        <v/>
      </c>
      <c r="G2730" s="3" t="n"/>
      <c r="H2730" s="4">
        <f>IF(I2730="Штраф -2",-2,IF(OR(F2730="",G2730=""),"",F2730*G2730+IF(J2730="",0,J2730)))</f>
        <v/>
      </c>
      <c r="I2730" s="3" t="n"/>
      <c r="J2730" s="3" t="n"/>
      <c r="K2730" s="3" t="n"/>
    </row>
    <row r="2731">
      <c r="A2731" s="3" t="n"/>
      <c r="B2731" s="3" t="n"/>
      <c r="C2731" s="3" t="n"/>
      <c r="D2731" s="3" t="n"/>
      <c r="E2731" s="4">
        <f>IF(A2731="","",COUNTIFS($A$4:A2731,A2731,$I$4:I2731,"&lt;&gt;Штраф -2",$I$4:I2731,"&lt;&gt;ушел на базу"))</f>
        <v/>
      </c>
      <c r="F2731" s="4">
        <f>IF(E2731="","",IF(E2731&lt;=3,6,IF(E2731&lt;=6,5,IF(E2731&lt;=9,4,IF(E2731&lt;=12,3,IF(E2731&lt;=15,2,0))))))</f>
        <v/>
      </c>
      <c r="G2731" s="3" t="n"/>
      <c r="H2731" s="4">
        <f>IF(I2731="Штраф -2",-2,IF(OR(F2731="",G2731=""),"",F2731*G2731+IF(J2731="",0,J2731)))</f>
        <v/>
      </c>
      <c r="I2731" s="3" t="n"/>
      <c r="J2731" s="3" t="n"/>
      <c r="K2731" s="3" t="n"/>
    </row>
    <row r="2732">
      <c r="A2732" s="3" t="n"/>
      <c r="B2732" s="3" t="n"/>
      <c r="C2732" s="3" t="n"/>
      <c r="D2732" s="3" t="n"/>
      <c r="E2732" s="4">
        <f>IF(A2732="","",COUNTIFS($A$4:A2732,A2732,$I$4:I2732,"&lt;&gt;Штраф -2",$I$4:I2732,"&lt;&gt;ушел на базу"))</f>
        <v/>
      </c>
      <c r="F2732" s="4">
        <f>IF(E2732="","",IF(E2732&lt;=3,6,IF(E2732&lt;=6,5,IF(E2732&lt;=9,4,IF(E2732&lt;=12,3,IF(E2732&lt;=15,2,0))))))</f>
        <v/>
      </c>
      <c r="G2732" s="3" t="n"/>
      <c r="H2732" s="4">
        <f>IF(I2732="Штраф -2",-2,IF(OR(F2732="",G2732=""),"",F2732*G2732+IF(J2732="",0,J2732)))</f>
        <v/>
      </c>
      <c r="I2732" s="3" t="n"/>
      <c r="J2732" s="3" t="n"/>
      <c r="K2732" s="3" t="n"/>
    </row>
    <row r="2733">
      <c r="A2733" s="3" t="n"/>
      <c r="B2733" s="3" t="n"/>
      <c r="C2733" s="3" t="n"/>
      <c r="D2733" s="3" t="n"/>
      <c r="E2733" s="4">
        <f>IF(A2733="","",COUNTIFS($A$4:A2733,A2733,$I$4:I2733,"&lt;&gt;Штраф -2",$I$4:I2733,"&lt;&gt;ушел на базу"))</f>
        <v/>
      </c>
      <c r="F2733" s="4">
        <f>IF(E2733="","",IF(E2733&lt;=3,6,IF(E2733&lt;=6,5,IF(E2733&lt;=9,4,IF(E2733&lt;=12,3,IF(E2733&lt;=15,2,0))))))</f>
        <v/>
      </c>
      <c r="G2733" s="3" t="n"/>
      <c r="H2733" s="4">
        <f>IF(I2733="Штраф -2",-2,IF(OR(F2733="",G2733=""),"",F2733*G2733+IF(J2733="",0,J2733)))</f>
        <v/>
      </c>
      <c r="I2733" s="3" t="n"/>
      <c r="J2733" s="3" t="n"/>
      <c r="K2733" s="3" t="n"/>
    </row>
    <row r="2734">
      <c r="A2734" s="3" t="n"/>
      <c r="B2734" s="3" t="n"/>
      <c r="C2734" s="3" t="n"/>
      <c r="D2734" s="3" t="n"/>
      <c r="E2734" s="4">
        <f>IF(A2734="","",COUNTIFS($A$4:A2734,A2734,$I$4:I2734,"&lt;&gt;Штраф -2",$I$4:I2734,"&lt;&gt;ушел на базу"))</f>
        <v/>
      </c>
      <c r="F2734" s="4">
        <f>IF(E2734="","",IF(E2734&lt;=3,6,IF(E2734&lt;=6,5,IF(E2734&lt;=9,4,IF(E2734&lt;=12,3,IF(E2734&lt;=15,2,0))))))</f>
        <v/>
      </c>
      <c r="G2734" s="3" t="n"/>
      <c r="H2734" s="4">
        <f>IF(I2734="Штраф -2",-2,IF(OR(F2734="",G2734=""),"",F2734*G2734+IF(J2734="",0,J2734)))</f>
        <v/>
      </c>
      <c r="I2734" s="3" t="n"/>
      <c r="J2734" s="3" t="n"/>
      <c r="K2734" s="3" t="n"/>
    </row>
    <row r="2735">
      <c r="A2735" s="3" t="n"/>
      <c r="B2735" s="3" t="n"/>
      <c r="C2735" s="3" t="n"/>
      <c r="D2735" s="3" t="n"/>
      <c r="E2735" s="4">
        <f>IF(A2735="","",COUNTIFS($A$4:A2735,A2735,$I$4:I2735,"&lt;&gt;Штраф -2",$I$4:I2735,"&lt;&gt;ушел на базу"))</f>
        <v/>
      </c>
      <c r="F2735" s="4">
        <f>IF(E2735="","",IF(E2735&lt;=3,6,IF(E2735&lt;=6,5,IF(E2735&lt;=9,4,IF(E2735&lt;=12,3,IF(E2735&lt;=15,2,0))))))</f>
        <v/>
      </c>
      <c r="G2735" s="3" t="n"/>
      <c r="H2735" s="4">
        <f>IF(I2735="Штраф -2",-2,IF(OR(F2735="",G2735=""),"",F2735*G2735+IF(J2735="",0,J2735)))</f>
        <v/>
      </c>
      <c r="I2735" s="3" t="n"/>
      <c r="J2735" s="3" t="n"/>
      <c r="K2735" s="3" t="n"/>
    </row>
    <row r="2736">
      <c r="A2736" s="3" t="n"/>
      <c r="B2736" s="3" t="n"/>
      <c r="C2736" s="3" t="n"/>
      <c r="D2736" s="3" t="n"/>
      <c r="E2736" s="4">
        <f>IF(A2736="","",COUNTIFS($A$4:A2736,A2736,$I$4:I2736,"&lt;&gt;Штраф -2",$I$4:I2736,"&lt;&gt;ушел на базу"))</f>
        <v/>
      </c>
      <c r="F2736" s="4">
        <f>IF(E2736="","",IF(E2736&lt;=3,6,IF(E2736&lt;=6,5,IF(E2736&lt;=9,4,IF(E2736&lt;=12,3,IF(E2736&lt;=15,2,0))))))</f>
        <v/>
      </c>
      <c r="G2736" s="3" t="n"/>
      <c r="H2736" s="4">
        <f>IF(I2736="Штраф -2",-2,IF(OR(F2736="",G2736=""),"",F2736*G2736+IF(J2736="",0,J2736)))</f>
        <v/>
      </c>
      <c r="I2736" s="3" t="n"/>
      <c r="J2736" s="3" t="n"/>
      <c r="K2736" s="3" t="n"/>
    </row>
    <row r="2737">
      <c r="A2737" s="3" t="n"/>
      <c r="B2737" s="3" t="n"/>
      <c r="C2737" s="3" t="n"/>
      <c r="D2737" s="3" t="n"/>
      <c r="E2737" s="4">
        <f>IF(A2737="","",COUNTIFS($A$4:A2737,A2737,$I$4:I2737,"&lt;&gt;Штраф -2",$I$4:I2737,"&lt;&gt;ушел на базу"))</f>
        <v/>
      </c>
      <c r="F2737" s="4">
        <f>IF(E2737="","",IF(E2737&lt;=3,6,IF(E2737&lt;=6,5,IF(E2737&lt;=9,4,IF(E2737&lt;=12,3,IF(E2737&lt;=15,2,0))))))</f>
        <v/>
      </c>
      <c r="G2737" s="3" t="n"/>
      <c r="H2737" s="4">
        <f>IF(I2737="Штраф -2",-2,IF(OR(F2737="",G2737=""),"",F2737*G2737+IF(J2737="",0,J2737)))</f>
        <v/>
      </c>
      <c r="I2737" s="3" t="n"/>
      <c r="J2737" s="3" t="n"/>
      <c r="K2737" s="3" t="n"/>
    </row>
    <row r="2738">
      <c r="A2738" s="3" t="n"/>
      <c r="B2738" s="3" t="n"/>
      <c r="C2738" s="3" t="n"/>
      <c r="D2738" s="3" t="n"/>
      <c r="E2738" s="4">
        <f>IF(A2738="","",COUNTIFS($A$4:A2738,A2738,$I$4:I2738,"&lt;&gt;Штраф -2",$I$4:I2738,"&lt;&gt;ушел на базу"))</f>
        <v/>
      </c>
      <c r="F2738" s="4">
        <f>IF(E2738="","",IF(E2738&lt;=3,6,IF(E2738&lt;=6,5,IF(E2738&lt;=9,4,IF(E2738&lt;=12,3,IF(E2738&lt;=15,2,0))))))</f>
        <v/>
      </c>
      <c r="G2738" s="3" t="n"/>
      <c r="H2738" s="4">
        <f>IF(I2738="Штраф -2",-2,IF(OR(F2738="",G2738=""),"",F2738*G2738+IF(J2738="",0,J2738)))</f>
        <v/>
      </c>
      <c r="I2738" s="3" t="n"/>
      <c r="J2738" s="3" t="n"/>
      <c r="K2738" s="3" t="n"/>
    </row>
    <row r="2739">
      <c r="A2739" s="3" t="n"/>
      <c r="B2739" s="3" t="n"/>
      <c r="C2739" s="3" t="n"/>
      <c r="D2739" s="3" t="n"/>
      <c r="E2739" s="4">
        <f>IF(A2739="","",COUNTIFS($A$4:A2739,A2739,$I$4:I2739,"&lt;&gt;Штраф -2",$I$4:I2739,"&lt;&gt;ушел на базу"))</f>
        <v/>
      </c>
      <c r="F2739" s="4">
        <f>IF(E2739="","",IF(E2739&lt;=3,6,IF(E2739&lt;=6,5,IF(E2739&lt;=9,4,IF(E2739&lt;=12,3,IF(E2739&lt;=15,2,0))))))</f>
        <v/>
      </c>
      <c r="G2739" s="3" t="n"/>
      <c r="H2739" s="4">
        <f>IF(I2739="Штраф -2",-2,IF(OR(F2739="",G2739=""),"",F2739*G2739+IF(J2739="",0,J2739)))</f>
        <v/>
      </c>
      <c r="I2739" s="3" t="n"/>
      <c r="J2739" s="3" t="n"/>
      <c r="K2739" s="3" t="n"/>
    </row>
    <row r="2740">
      <c r="A2740" s="3" t="n"/>
      <c r="B2740" s="3" t="n"/>
      <c r="C2740" s="3" t="n"/>
      <c r="D2740" s="3" t="n"/>
      <c r="E2740" s="4">
        <f>IF(A2740="","",COUNTIFS($A$4:A2740,A2740,$I$4:I2740,"&lt;&gt;Штраф -2",$I$4:I2740,"&lt;&gt;ушел на базу"))</f>
        <v/>
      </c>
      <c r="F2740" s="4">
        <f>IF(E2740="","",IF(E2740&lt;=3,6,IF(E2740&lt;=6,5,IF(E2740&lt;=9,4,IF(E2740&lt;=12,3,IF(E2740&lt;=15,2,0))))))</f>
        <v/>
      </c>
      <c r="G2740" s="3" t="n"/>
      <c r="H2740" s="4">
        <f>IF(I2740="Штраф -2",-2,IF(OR(F2740="",G2740=""),"",F2740*G2740+IF(J2740="",0,J2740)))</f>
        <v/>
      </c>
      <c r="I2740" s="3" t="n"/>
      <c r="J2740" s="3" t="n"/>
      <c r="K2740" s="3" t="n"/>
    </row>
    <row r="2741">
      <c r="A2741" s="3" t="n"/>
      <c r="B2741" s="3" t="n"/>
      <c r="C2741" s="3" t="n"/>
      <c r="D2741" s="3" t="n"/>
      <c r="E2741" s="4">
        <f>IF(A2741="","",COUNTIFS($A$4:A2741,A2741,$I$4:I2741,"&lt;&gt;Штраф -2",$I$4:I2741,"&lt;&gt;ушел на базу"))</f>
        <v/>
      </c>
      <c r="F2741" s="4">
        <f>IF(E2741="","",IF(E2741&lt;=3,6,IF(E2741&lt;=6,5,IF(E2741&lt;=9,4,IF(E2741&lt;=12,3,IF(E2741&lt;=15,2,0))))))</f>
        <v/>
      </c>
      <c r="G2741" s="3" t="n"/>
      <c r="H2741" s="4">
        <f>IF(I2741="Штраф -2",-2,IF(OR(F2741="",G2741=""),"",F2741*G2741+IF(J2741="",0,J2741)))</f>
        <v/>
      </c>
      <c r="I2741" s="3" t="n"/>
      <c r="J2741" s="3" t="n"/>
      <c r="K2741" s="3" t="n"/>
    </row>
    <row r="2742">
      <c r="A2742" s="3" t="n"/>
      <c r="B2742" s="3" t="n"/>
      <c r="C2742" s="3" t="n"/>
      <c r="D2742" s="3" t="n"/>
      <c r="E2742" s="4">
        <f>IF(A2742="","",COUNTIFS($A$4:A2742,A2742,$I$4:I2742,"&lt;&gt;Штраф -2",$I$4:I2742,"&lt;&gt;ушел на базу"))</f>
        <v/>
      </c>
      <c r="F2742" s="4">
        <f>IF(E2742="","",IF(E2742&lt;=3,6,IF(E2742&lt;=6,5,IF(E2742&lt;=9,4,IF(E2742&lt;=12,3,IF(E2742&lt;=15,2,0))))))</f>
        <v/>
      </c>
      <c r="G2742" s="3" t="n"/>
      <c r="H2742" s="4">
        <f>IF(I2742="Штраф -2",-2,IF(OR(F2742="",G2742=""),"",F2742*G2742+IF(J2742="",0,J2742)))</f>
        <v/>
      </c>
      <c r="I2742" s="3" t="n"/>
      <c r="J2742" s="3" t="n"/>
      <c r="K2742" s="3" t="n"/>
    </row>
    <row r="2743">
      <c r="A2743" s="3" t="n"/>
      <c r="B2743" s="3" t="n"/>
      <c r="C2743" s="3" t="n"/>
      <c r="D2743" s="3" t="n"/>
      <c r="E2743" s="4">
        <f>IF(A2743="","",COUNTIFS($A$4:A2743,A2743,$I$4:I2743,"&lt;&gt;Штраф -2",$I$4:I2743,"&lt;&gt;ушел на базу"))</f>
        <v/>
      </c>
      <c r="F2743" s="4">
        <f>IF(E2743="","",IF(E2743&lt;=3,6,IF(E2743&lt;=6,5,IF(E2743&lt;=9,4,IF(E2743&lt;=12,3,IF(E2743&lt;=15,2,0))))))</f>
        <v/>
      </c>
      <c r="G2743" s="3" t="n"/>
      <c r="H2743" s="4">
        <f>IF(I2743="Штраф -2",-2,IF(OR(F2743="",G2743=""),"",F2743*G2743+IF(J2743="",0,J2743)))</f>
        <v/>
      </c>
      <c r="I2743" s="3" t="n"/>
      <c r="J2743" s="3" t="n"/>
      <c r="K2743" s="3" t="n"/>
    </row>
    <row r="2744">
      <c r="A2744" s="3" t="n"/>
      <c r="B2744" s="3" t="n"/>
      <c r="C2744" s="3" t="n"/>
      <c r="D2744" s="3" t="n"/>
      <c r="E2744" s="4">
        <f>IF(A2744="","",COUNTIFS($A$4:A2744,A2744,$I$4:I2744,"&lt;&gt;Штраф -2",$I$4:I2744,"&lt;&gt;ушел на базу"))</f>
        <v/>
      </c>
      <c r="F2744" s="4">
        <f>IF(E2744="","",IF(E2744&lt;=3,6,IF(E2744&lt;=6,5,IF(E2744&lt;=9,4,IF(E2744&lt;=12,3,IF(E2744&lt;=15,2,0))))))</f>
        <v/>
      </c>
      <c r="G2744" s="3" t="n"/>
      <c r="H2744" s="4">
        <f>IF(I2744="Штраф -2",-2,IF(OR(F2744="",G2744=""),"",F2744*G2744+IF(J2744="",0,J2744)))</f>
        <v/>
      </c>
      <c r="I2744" s="3" t="n"/>
      <c r="J2744" s="3" t="n"/>
      <c r="K2744" s="3" t="n"/>
    </row>
    <row r="2745">
      <c r="A2745" s="3" t="n"/>
      <c r="B2745" s="3" t="n"/>
      <c r="C2745" s="3" t="n"/>
      <c r="D2745" s="3" t="n"/>
      <c r="E2745" s="4">
        <f>IF(A2745="","",COUNTIFS($A$4:A2745,A2745,$I$4:I2745,"&lt;&gt;Штраф -2",$I$4:I2745,"&lt;&gt;ушел на базу"))</f>
        <v/>
      </c>
      <c r="F2745" s="4">
        <f>IF(E2745="","",IF(E2745&lt;=3,6,IF(E2745&lt;=6,5,IF(E2745&lt;=9,4,IF(E2745&lt;=12,3,IF(E2745&lt;=15,2,0))))))</f>
        <v/>
      </c>
      <c r="G2745" s="3" t="n"/>
      <c r="H2745" s="4">
        <f>IF(I2745="Штраф -2",-2,IF(OR(F2745="",G2745=""),"",F2745*G2745+IF(J2745="",0,J2745)))</f>
        <v/>
      </c>
      <c r="I2745" s="3" t="n"/>
      <c r="J2745" s="3" t="n"/>
      <c r="K2745" s="3" t="n"/>
    </row>
    <row r="2746">
      <c r="A2746" s="3" t="n"/>
      <c r="B2746" s="3" t="n"/>
      <c r="C2746" s="3" t="n"/>
      <c r="D2746" s="3" t="n"/>
      <c r="E2746" s="4">
        <f>IF(A2746="","",COUNTIFS($A$4:A2746,A2746,$I$4:I2746,"&lt;&gt;Штраф -2",$I$4:I2746,"&lt;&gt;ушел на базу"))</f>
        <v/>
      </c>
      <c r="F2746" s="4">
        <f>IF(E2746="","",IF(E2746&lt;=3,6,IF(E2746&lt;=6,5,IF(E2746&lt;=9,4,IF(E2746&lt;=12,3,IF(E2746&lt;=15,2,0))))))</f>
        <v/>
      </c>
      <c r="G2746" s="3" t="n"/>
      <c r="H2746" s="4">
        <f>IF(I2746="Штраф -2",-2,IF(OR(F2746="",G2746=""),"",F2746*G2746+IF(J2746="",0,J2746)))</f>
        <v/>
      </c>
      <c r="I2746" s="3" t="n"/>
      <c r="J2746" s="3" t="n"/>
      <c r="K2746" s="3" t="n"/>
    </row>
    <row r="2747">
      <c r="A2747" s="3" t="n"/>
      <c r="B2747" s="3" t="n"/>
      <c r="C2747" s="3" t="n"/>
      <c r="D2747" s="3" t="n"/>
      <c r="E2747" s="4">
        <f>IF(A2747="","",COUNTIFS($A$4:A2747,A2747,$I$4:I2747,"&lt;&gt;Штраф -2",$I$4:I2747,"&lt;&gt;ушел на базу"))</f>
        <v/>
      </c>
      <c r="F2747" s="4">
        <f>IF(E2747="","",IF(E2747&lt;=3,6,IF(E2747&lt;=6,5,IF(E2747&lt;=9,4,IF(E2747&lt;=12,3,IF(E2747&lt;=15,2,0))))))</f>
        <v/>
      </c>
      <c r="G2747" s="3" t="n"/>
      <c r="H2747" s="4">
        <f>IF(I2747="Штраф -2",-2,IF(OR(F2747="",G2747=""),"",F2747*G2747+IF(J2747="",0,J2747)))</f>
        <v/>
      </c>
      <c r="I2747" s="3" t="n"/>
      <c r="J2747" s="3" t="n"/>
      <c r="K2747" s="3" t="n"/>
    </row>
    <row r="2748">
      <c r="A2748" s="3" t="n"/>
      <c r="B2748" s="3" t="n"/>
      <c r="C2748" s="3" t="n"/>
      <c r="D2748" s="3" t="n"/>
      <c r="E2748" s="4">
        <f>IF(A2748="","",COUNTIFS($A$4:A2748,A2748,$I$4:I2748,"&lt;&gt;Штраф -2",$I$4:I2748,"&lt;&gt;ушел на базу"))</f>
        <v/>
      </c>
      <c r="F2748" s="4">
        <f>IF(E2748="","",IF(E2748&lt;=3,6,IF(E2748&lt;=6,5,IF(E2748&lt;=9,4,IF(E2748&lt;=12,3,IF(E2748&lt;=15,2,0))))))</f>
        <v/>
      </c>
      <c r="G2748" s="3" t="n"/>
      <c r="H2748" s="4">
        <f>IF(I2748="Штраф -2",-2,IF(OR(F2748="",G2748=""),"",F2748*G2748+IF(J2748="",0,J2748)))</f>
        <v/>
      </c>
      <c r="I2748" s="3" t="n"/>
      <c r="J2748" s="3" t="n"/>
      <c r="K2748" s="3" t="n"/>
    </row>
    <row r="2749">
      <c r="A2749" s="3" t="n"/>
      <c r="B2749" s="3" t="n"/>
      <c r="C2749" s="3" t="n"/>
      <c r="D2749" s="3" t="n"/>
      <c r="E2749" s="4">
        <f>IF(A2749="","",COUNTIFS($A$4:A2749,A2749,$I$4:I2749,"&lt;&gt;Штраф -2",$I$4:I2749,"&lt;&gt;ушел на базу"))</f>
        <v/>
      </c>
      <c r="F2749" s="4">
        <f>IF(E2749="","",IF(E2749&lt;=3,6,IF(E2749&lt;=6,5,IF(E2749&lt;=9,4,IF(E2749&lt;=12,3,IF(E2749&lt;=15,2,0))))))</f>
        <v/>
      </c>
      <c r="G2749" s="3" t="n"/>
      <c r="H2749" s="4">
        <f>IF(I2749="Штраф -2",-2,IF(OR(F2749="",G2749=""),"",F2749*G2749+IF(J2749="",0,J2749)))</f>
        <v/>
      </c>
      <c r="I2749" s="3" t="n"/>
      <c r="J2749" s="3" t="n"/>
      <c r="K2749" s="3" t="n"/>
    </row>
    <row r="2750">
      <c r="A2750" s="3" t="n"/>
      <c r="B2750" s="3" t="n"/>
      <c r="C2750" s="3" t="n"/>
      <c r="D2750" s="3" t="n"/>
      <c r="E2750" s="4">
        <f>IF(A2750="","",COUNTIFS($A$4:A2750,A2750,$I$4:I2750,"&lt;&gt;Штраф -2",$I$4:I2750,"&lt;&gt;ушел на базу"))</f>
        <v/>
      </c>
      <c r="F2750" s="4">
        <f>IF(E2750="","",IF(E2750&lt;=3,6,IF(E2750&lt;=6,5,IF(E2750&lt;=9,4,IF(E2750&lt;=12,3,IF(E2750&lt;=15,2,0))))))</f>
        <v/>
      </c>
      <c r="G2750" s="3" t="n"/>
      <c r="H2750" s="4">
        <f>IF(I2750="Штраф -2",-2,IF(OR(F2750="",G2750=""),"",F2750*G2750+IF(J2750="",0,J2750)))</f>
        <v/>
      </c>
      <c r="I2750" s="3" t="n"/>
      <c r="J2750" s="3" t="n"/>
      <c r="K2750" s="3" t="n"/>
    </row>
    <row r="2751">
      <c r="A2751" s="3" t="n"/>
      <c r="B2751" s="3" t="n"/>
      <c r="C2751" s="3" t="n"/>
      <c r="D2751" s="3" t="n"/>
      <c r="E2751" s="4">
        <f>IF(A2751="","",COUNTIFS($A$4:A2751,A2751,$I$4:I2751,"&lt;&gt;Штраф -2",$I$4:I2751,"&lt;&gt;ушел на базу"))</f>
        <v/>
      </c>
      <c r="F2751" s="4">
        <f>IF(E2751="","",IF(E2751&lt;=3,6,IF(E2751&lt;=6,5,IF(E2751&lt;=9,4,IF(E2751&lt;=12,3,IF(E2751&lt;=15,2,0))))))</f>
        <v/>
      </c>
      <c r="G2751" s="3" t="n"/>
      <c r="H2751" s="4">
        <f>IF(I2751="Штраф -2",-2,IF(OR(F2751="",G2751=""),"",F2751*G2751+IF(J2751="",0,J2751)))</f>
        <v/>
      </c>
      <c r="I2751" s="3" t="n"/>
      <c r="J2751" s="3" t="n"/>
      <c r="K2751" s="3" t="n"/>
    </row>
    <row r="2752">
      <c r="A2752" s="3" t="n"/>
      <c r="B2752" s="3" t="n"/>
      <c r="C2752" s="3" t="n"/>
      <c r="D2752" s="3" t="n"/>
      <c r="E2752" s="4">
        <f>IF(A2752="","",COUNTIFS($A$4:A2752,A2752,$I$4:I2752,"&lt;&gt;Штраф -2",$I$4:I2752,"&lt;&gt;ушел на базу"))</f>
        <v/>
      </c>
      <c r="F2752" s="4">
        <f>IF(E2752="","",IF(E2752&lt;=3,6,IF(E2752&lt;=6,5,IF(E2752&lt;=9,4,IF(E2752&lt;=12,3,IF(E2752&lt;=15,2,0))))))</f>
        <v/>
      </c>
      <c r="G2752" s="3" t="n"/>
      <c r="H2752" s="4">
        <f>IF(I2752="Штраф -2",-2,IF(OR(F2752="",G2752=""),"",F2752*G2752+IF(J2752="",0,J2752)))</f>
        <v/>
      </c>
      <c r="I2752" s="3" t="n"/>
      <c r="J2752" s="3" t="n"/>
      <c r="K2752" s="3" t="n"/>
    </row>
    <row r="2753">
      <c r="A2753" s="3" t="n"/>
      <c r="B2753" s="3" t="n"/>
      <c r="C2753" s="3" t="n"/>
      <c r="D2753" s="3" t="n"/>
      <c r="E2753" s="4">
        <f>IF(A2753="","",COUNTIFS($A$4:A2753,A2753,$I$4:I2753,"&lt;&gt;Штраф -2",$I$4:I2753,"&lt;&gt;ушел на базу"))</f>
        <v/>
      </c>
      <c r="F2753" s="4">
        <f>IF(E2753="","",IF(E2753&lt;=3,6,IF(E2753&lt;=6,5,IF(E2753&lt;=9,4,IF(E2753&lt;=12,3,IF(E2753&lt;=15,2,0))))))</f>
        <v/>
      </c>
      <c r="G2753" s="3" t="n"/>
      <c r="H2753" s="4">
        <f>IF(I2753="Штраф -2",-2,IF(OR(F2753="",G2753=""),"",F2753*G2753+IF(J2753="",0,J2753)))</f>
        <v/>
      </c>
      <c r="I2753" s="3" t="n"/>
      <c r="J2753" s="3" t="n"/>
      <c r="K2753" s="3" t="n"/>
    </row>
    <row r="2754">
      <c r="A2754" s="3" t="n"/>
      <c r="B2754" s="3" t="n"/>
      <c r="C2754" s="3" t="n"/>
      <c r="D2754" s="3" t="n"/>
      <c r="E2754" s="4">
        <f>IF(A2754="","",COUNTIFS($A$4:A2754,A2754,$I$4:I2754,"&lt;&gt;Штраф -2",$I$4:I2754,"&lt;&gt;ушел на базу"))</f>
        <v/>
      </c>
      <c r="F2754" s="4">
        <f>IF(E2754="","",IF(E2754&lt;=3,6,IF(E2754&lt;=6,5,IF(E2754&lt;=9,4,IF(E2754&lt;=12,3,IF(E2754&lt;=15,2,0))))))</f>
        <v/>
      </c>
      <c r="G2754" s="3" t="n"/>
      <c r="H2754" s="4">
        <f>IF(I2754="Штраф -2",-2,IF(OR(F2754="",G2754=""),"",F2754*G2754+IF(J2754="",0,J2754)))</f>
        <v/>
      </c>
      <c r="I2754" s="3" t="n"/>
      <c r="J2754" s="3" t="n"/>
      <c r="K2754" s="3" t="n"/>
    </row>
    <row r="2755">
      <c r="A2755" s="3" t="n"/>
      <c r="B2755" s="3" t="n"/>
      <c r="C2755" s="3" t="n"/>
      <c r="D2755" s="3" t="n"/>
      <c r="E2755" s="4">
        <f>IF(A2755="","",COUNTIFS($A$4:A2755,A2755,$I$4:I2755,"&lt;&gt;Штраф -2",$I$4:I2755,"&lt;&gt;ушел на базу"))</f>
        <v/>
      </c>
      <c r="F2755" s="4">
        <f>IF(E2755="","",IF(E2755&lt;=3,6,IF(E2755&lt;=6,5,IF(E2755&lt;=9,4,IF(E2755&lt;=12,3,IF(E2755&lt;=15,2,0))))))</f>
        <v/>
      </c>
      <c r="G2755" s="3" t="n"/>
      <c r="H2755" s="4">
        <f>IF(I2755="Штраф -2",-2,IF(OR(F2755="",G2755=""),"",F2755*G2755+IF(J2755="",0,J2755)))</f>
        <v/>
      </c>
      <c r="I2755" s="3" t="n"/>
      <c r="J2755" s="3" t="n"/>
      <c r="K2755" s="3" t="n"/>
    </row>
    <row r="2756">
      <c r="A2756" s="3" t="n"/>
      <c r="B2756" s="3" t="n"/>
      <c r="C2756" s="3" t="n"/>
      <c r="D2756" s="3" t="n"/>
      <c r="E2756" s="4">
        <f>IF(A2756="","",COUNTIFS($A$4:A2756,A2756,$I$4:I2756,"&lt;&gt;Штраф -2",$I$4:I2756,"&lt;&gt;ушел на базу"))</f>
        <v/>
      </c>
      <c r="F2756" s="4">
        <f>IF(E2756="","",IF(E2756&lt;=3,6,IF(E2756&lt;=6,5,IF(E2756&lt;=9,4,IF(E2756&lt;=12,3,IF(E2756&lt;=15,2,0))))))</f>
        <v/>
      </c>
      <c r="G2756" s="3" t="n"/>
      <c r="H2756" s="4">
        <f>IF(I2756="Штраф -2",-2,IF(OR(F2756="",G2756=""),"",F2756*G2756+IF(J2756="",0,J2756)))</f>
        <v/>
      </c>
      <c r="I2756" s="3" t="n"/>
      <c r="J2756" s="3" t="n"/>
      <c r="K2756" s="3" t="n"/>
    </row>
    <row r="2757">
      <c r="A2757" s="3" t="n"/>
      <c r="B2757" s="3" t="n"/>
      <c r="C2757" s="3" t="n"/>
      <c r="D2757" s="3" t="n"/>
      <c r="E2757" s="4">
        <f>IF(A2757="","",COUNTIFS($A$4:A2757,A2757,$I$4:I2757,"&lt;&gt;Штраф -2",$I$4:I2757,"&lt;&gt;ушел на базу"))</f>
        <v/>
      </c>
      <c r="F2757" s="4">
        <f>IF(E2757="","",IF(E2757&lt;=3,6,IF(E2757&lt;=6,5,IF(E2757&lt;=9,4,IF(E2757&lt;=12,3,IF(E2757&lt;=15,2,0))))))</f>
        <v/>
      </c>
      <c r="G2757" s="3" t="n"/>
      <c r="H2757" s="4">
        <f>IF(I2757="Штраф -2",-2,IF(OR(F2757="",G2757=""),"",F2757*G2757+IF(J2757="",0,J2757)))</f>
        <v/>
      </c>
      <c r="I2757" s="3" t="n"/>
      <c r="J2757" s="3" t="n"/>
      <c r="K2757" s="3" t="n"/>
    </row>
    <row r="2758">
      <c r="A2758" s="3" t="n"/>
      <c r="B2758" s="3" t="n"/>
      <c r="C2758" s="3" t="n"/>
      <c r="D2758" s="3" t="n"/>
      <c r="E2758" s="4">
        <f>IF(A2758="","",COUNTIFS($A$4:A2758,A2758,$I$4:I2758,"&lt;&gt;Штраф -2",$I$4:I2758,"&lt;&gt;ушел на базу"))</f>
        <v/>
      </c>
      <c r="F2758" s="4">
        <f>IF(E2758="","",IF(E2758&lt;=3,6,IF(E2758&lt;=6,5,IF(E2758&lt;=9,4,IF(E2758&lt;=12,3,IF(E2758&lt;=15,2,0))))))</f>
        <v/>
      </c>
      <c r="G2758" s="3" t="n"/>
      <c r="H2758" s="4">
        <f>IF(I2758="Штраф -2",-2,IF(OR(F2758="",G2758=""),"",F2758*G2758+IF(J2758="",0,J2758)))</f>
        <v/>
      </c>
      <c r="I2758" s="3" t="n"/>
      <c r="J2758" s="3" t="n"/>
      <c r="K2758" s="3" t="n"/>
    </row>
    <row r="2759">
      <c r="A2759" s="3" t="n"/>
      <c r="B2759" s="3" t="n"/>
      <c r="C2759" s="3" t="n"/>
      <c r="D2759" s="3" t="n"/>
      <c r="E2759" s="4">
        <f>IF(A2759="","",COUNTIFS($A$4:A2759,A2759,$I$4:I2759,"&lt;&gt;Штраф -2",$I$4:I2759,"&lt;&gt;ушел на базу"))</f>
        <v/>
      </c>
      <c r="F2759" s="4">
        <f>IF(E2759="","",IF(E2759&lt;=3,6,IF(E2759&lt;=6,5,IF(E2759&lt;=9,4,IF(E2759&lt;=12,3,IF(E2759&lt;=15,2,0))))))</f>
        <v/>
      </c>
      <c r="G2759" s="3" t="n"/>
      <c r="H2759" s="4">
        <f>IF(I2759="Штраф -2",-2,IF(OR(F2759="",G2759=""),"",F2759*G2759+IF(J2759="",0,J2759)))</f>
        <v/>
      </c>
      <c r="I2759" s="3" t="n"/>
      <c r="J2759" s="3" t="n"/>
      <c r="K2759" s="3" t="n"/>
    </row>
    <row r="2760">
      <c r="A2760" s="3" t="n"/>
      <c r="B2760" s="3" t="n"/>
      <c r="C2760" s="3" t="n"/>
      <c r="D2760" s="3" t="n"/>
      <c r="E2760" s="4">
        <f>IF(A2760="","",COUNTIFS($A$4:A2760,A2760,$I$4:I2760,"&lt;&gt;Штраф -2",$I$4:I2760,"&lt;&gt;ушел на базу"))</f>
        <v/>
      </c>
      <c r="F2760" s="4">
        <f>IF(E2760="","",IF(E2760&lt;=3,6,IF(E2760&lt;=6,5,IF(E2760&lt;=9,4,IF(E2760&lt;=12,3,IF(E2760&lt;=15,2,0))))))</f>
        <v/>
      </c>
      <c r="G2760" s="3" t="n"/>
      <c r="H2760" s="4">
        <f>IF(I2760="Штраф -2",-2,IF(OR(F2760="",G2760=""),"",F2760*G2760+IF(J2760="",0,J2760)))</f>
        <v/>
      </c>
      <c r="I2760" s="3" t="n"/>
      <c r="J2760" s="3" t="n"/>
      <c r="K2760" s="3" t="n"/>
    </row>
    <row r="2761">
      <c r="A2761" s="3" t="n"/>
      <c r="B2761" s="3" t="n"/>
      <c r="C2761" s="3" t="n"/>
      <c r="D2761" s="3" t="n"/>
      <c r="E2761" s="4">
        <f>IF(A2761="","",COUNTIFS($A$4:A2761,A2761,$I$4:I2761,"&lt;&gt;Штраф -2",$I$4:I2761,"&lt;&gt;ушел на базу"))</f>
        <v/>
      </c>
      <c r="F2761" s="4">
        <f>IF(E2761="","",IF(E2761&lt;=3,6,IF(E2761&lt;=6,5,IF(E2761&lt;=9,4,IF(E2761&lt;=12,3,IF(E2761&lt;=15,2,0))))))</f>
        <v/>
      </c>
      <c r="G2761" s="3" t="n"/>
      <c r="H2761" s="4">
        <f>IF(I2761="Штраф -2",-2,IF(OR(F2761="",G2761=""),"",F2761*G2761+IF(J2761="",0,J2761)))</f>
        <v/>
      </c>
      <c r="I2761" s="3" t="n"/>
      <c r="J2761" s="3" t="n"/>
      <c r="K2761" s="3" t="n"/>
    </row>
    <row r="2762">
      <c r="A2762" s="3" t="n"/>
      <c r="B2762" s="3" t="n"/>
      <c r="C2762" s="3" t="n"/>
      <c r="D2762" s="3" t="n"/>
      <c r="E2762" s="4">
        <f>IF(A2762="","",COUNTIFS($A$4:A2762,A2762,$I$4:I2762,"&lt;&gt;Штраф -2",$I$4:I2762,"&lt;&gt;ушел на базу"))</f>
        <v/>
      </c>
      <c r="F2762" s="4">
        <f>IF(E2762="","",IF(E2762&lt;=3,6,IF(E2762&lt;=6,5,IF(E2762&lt;=9,4,IF(E2762&lt;=12,3,IF(E2762&lt;=15,2,0))))))</f>
        <v/>
      </c>
      <c r="G2762" s="3" t="n"/>
      <c r="H2762" s="4">
        <f>IF(I2762="Штраф -2",-2,IF(OR(F2762="",G2762=""),"",F2762*G2762+IF(J2762="",0,J2762)))</f>
        <v/>
      </c>
      <c r="I2762" s="3" t="n"/>
      <c r="J2762" s="3" t="n"/>
      <c r="K2762" s="3" t="n"/>
    </row>
    <row r="2763">
      <c r="A2763" s="3" t="n"/>
      <c r="B2763" s="3" t="n"/>
      <c r="C2763" s="3" t="n"/>
      <c r="D2763" s="3" t="n"/>
      <c r="E2763" s="4">
        <f>IF(A2763="","",COUNTIFS($A$4:A2763,A2763,$I$4:I2763,"&lt;&gt;Штраф -2",$I$4:I2763,"&lt;&gt;ушел на базу"))</f>
        <v/>
      </c>
      <c r="F2763" s="4">
        <f>IF(E2763="","",IF(E2763&lt;=3,6,IF(E2763&lt;=6,5,IF(E2763&lt;=9,4,IF(E2763&lt;=12,3,IF(E2763&lt;=15,2,0))))))</f>
        <v/>
      </c>
      <c r="G2763" s="3" t="n"/>
      <c r="H2763" s="4">
        <f>IF(I2763="Штраф -2",-2,IF(OR(F2763="",G2763=""),"",F2763*G2763+IF(J2763="",0,J2763)))</f>
        <v/>
      </c>
      <c r="I2763" s="3" t="n"/>
      <c r="J2763" s="3" t="n"/>
      <c r="K2763" s="3" t="n"/>
    </row>
    <row r="2764">
      <c r="A2764" s="3" t="n"/>
      <c r="B2764" s="3" t="n"/>
      <c r="C2764" s="3" t="n"/>
      <c r="D2764" s="3" t="n"/>
      <c r="E2764" s="4">
        <f>IF(A2764="","",COUNTIFS($A$4:A2764,A2764,$I$4:I2764,"&lt;&gt;Штраф -2",$I$4:I2764,"&lt;&gt;ушел на базу"))</f>
        <v/>
      </c>
      <c r="F2764" s="4">
        <f>IF(E2764="","",IF(E2764&lt;=3,6,IF(E2764&lt;=6,5,IF(E2764&lt;=9,4,IF(E2764&lt;=12,3,IF(E2764&lt;=15,2,0))))))</f>
        <v/>
      </c>
      <c r="G2764" s="3" t="n"/>
      <c r="H2764" s="4">
        <f>IF(I2764="Штраф -2",-2,IF(OR(F2764="",G2764=""),"",F2764*G2764+IF(J2764="",0,J2764)))</f>
        <v/>
      </c>
      <c r="I2764" s="3" t="n"/>
      <c r="J2764" s="3" t="n"/>
      <c r="K2764" s="3" t="n"/>
    </row>
    <row r="2765">
      <c r="A2765" s="3" t="n"/>
      <c r="B2765" s="3" t="n"/>
      <c r="C2765" s="3" t="n"/>
      <c r="D2765" s="3" t="n"/>
      <c r="E2765" s="4">
        <f>IF(A2765="","",COUNTIFS($A$4:A2765,A2765,$I$4:I2765,"&lt;&gt;Штраф -2",$I$4:I2765,"&lt;&gt;ушел на базу"))</f>
        <v/>
      </c>
      <c r="F2765" s="4">
        <f>IF(E2765="","",IF(E2765&lt;=3,6,IF(E2765&lt;=6,5,IF(E2765&lt;=9,4,IF(E2765&lt;=12,3,IF(E2765&lt;=15,2,0))))))</f>
        <v/>
      </c>
      <c r="G2765" s="3" t="n"/>
      <c r="H2765" s="4">
        <f>IF(I2765="Штраф -2",-2,IF(OR(F2765="",G2765=""),"",F2765*G2765+IF(J2765="",0,J2765)))</f>
        <v/>
      </c>
      <c r="I2765" s="3" t="n"/>
      <c r="J2765" s="3" t="n"/>
      <c r="K2765" s="3" t="n"/>
    </row>
    <row r="2766">
      <c r="A2766" s="3" t="n"/>
      <c r="B2766" s="3" t="n"/>
      <c r="C2766" s="3" t="n"/>
      <c r="D2766" s="3" t="n"/>
      <c r="E2766" s="4">
        <f>IF(A2766="","",COUNTIFS($A$4:A2766,A2766,$I$4:I2766,"&lt;&gt;Штраф -2",$I$4:I2766,"&lt;&gt;ушел на базу"))</f>
        <v/>
      </c>
      <c r="F2766" s="4">
        <f>IF(E2766="","",IF(E2766&lt;=3,6,IF(E2766&lt;=6,5,IF(E2766&lt;=9,4,IF(E2766&lt;=12,3,IF(E2766&lt;=15,2,0))))))</f>
        <v/>
      </c>
      <c r="G2766" s="3" t="n"/>
      <c r="H2766" s="4">
        <f>IF(I2766="Штраф -2",-2,IF(OR(F2766="",G2766=""),"",F2766*G2766+IF(J2766="",0,J2766)))</f>
        <v/>
      </c>
      <c r="I2766" s="3" t="n"/>
      <c r="J2766" s="3" t="n"/>
      <c r="K2766" s="3" t="n"/>
    </row>
    <row r="2767">
      <c r="A2767" s="3" t="n"/>
      <c r="B2767" s="3" t="n"/>
      <c r="C2767" s="3" t="n"/>
      <c r="D2767" s="3" t="n"/>
      <c r="E2767" s="4">
        <f>IF(A2767="","",COUNTIFS($A$4:A2767,A2767,$I$4:I2767,"&lt;&gt;Штраф -2",$I$4:I2767,"&lt;&gt;ушел на базу"))</f>
        <v/>
      </c>
      <c r="F2767" s="4">
        <f>IF(E2767="","",IF(E2767&lt;=3,6,IF(E2767&lt;=6,5,IF(E2767&lt;=9,4,IF(E2767&lt;=12,3,IF(E2767&lt;=15,2,0))))))</f>
        <v/>
      </c>
      <c r="G2767" s="3" t="n"/>
      <c r="H2767" s="4">
        <f>IF(I2767="Штраф -2",-2,IF(OR(F2767="",G2767=""),"",F2767*G2767+IF(J2767="",0,J2767)))</f>
        <v/>
      </c>
      <c r="I2767" s="3" t="n"/>
      <c r="J2767" s="3" t="n"/>
      <c r="K2767" s="3" t="n"/>
    </row>
    <row r="2768">
      <c r="A2768" s="3" t="n"/>
      <c r="B2768" s="3" t="n"/>
      <c r="C2768" s="3" t="n"/>
      <c r="D2768" s="3" t="n"/>
      <c r="E2768" s="4">
        <f>IF(A2768="","",COUNTIFS($A$4:A2768,A2768,$I$4:I2768,"&lt;&gt;Штраф -2",$I$4:I2768,"&lt;&gt;ушел на базу"))</f>
        <v/>
      </c>
      <c r="F2768" s="4">
        <f>IF(E2768="","",IF(E2768&lt;=3,6,IF(E2768&lt;=6,5,IF(E2768&lt;=9,4,IF(E2768&lt;=12,3,IF(E2768&lt;=15,2,0))))))</f>
        <v/>
      </c>
      <c r="G2768" s="3" t="n"/>
      <c r="H2768" s="4">
        <f>IF(I2768="Штраф -2",-2,IF(OR(F2768="",G2768=""),"",F2768*G2768+IF(J2768="",0,J2768)))</f>
        <v/>
      </c>
      <c r="I2768" s="3" t="n"/>
      <c r="J2768" s="3" t="n"/>
      <c r="K2768" s="3" t="n"/>
    </row>
    <row r="2769">
      <c r="A2769" s="3" t="n"/>
      <c r="B2769" s="3" t="n"/>
      <c r="C2769" s="3" t="n"/>
      <c r="D2769" s="3" t="n"/>
      <c r="E2769" s="4">
        <f>IF(A2769="","",COUNTIFS($A$4:A2769,A2769,$I$4:I2769,"&lt;&gt;Штраф -2",$I$4:I2769,"&lt;&gt;ушел на базу"))</f>
        <v/>
      </c>
      <c r="F2769" s="4">
        <f>IF(E2769="","",IF(E2769&lt;=3,6,IF(E2769&lt;=6,5,IF(E2769&lt;=9,4,IF(E2769&lt;=12,3,IF(E2769&lt;=15,2,0))))))</f>
        <v/>
      </c>
      <c r="G2769" s="3" t="n"/>
      <c r="H2769" s="4">
        <f>IF(I2769="Штраф -2",-2,IF(OR(F2769="",G2769=""),"",F2769*G2769+IF(J2769="",0,J2769)))</f>
        <v/>
      </c>
      <c r="I2769" s="3" t="n"/>
      <c r="J2769" s="3" t="n"/>
      <c r="K2769" s="3" t="n"/>
    </row>
    <row r="2770">
      <c r="A2770" s="3" t="n"/>
      <c r="B2770" s="3" t="n"/>
      <c r="C2770" s="3" t="n"/>
      <c r="D2770" s="3" t="n"/>
      <c r="E2770" s="4">
        <f>IF(A2770="","",COUNTIFS($A$4:A2770,A2770,$I$4:I2770,"&lt;&gt;Штраф -2",$I$4:I2770,"&lt;&gt;ушел на базу"))</f>
        <v/>
      </c>
      <c r="F2770" s="4">
        <f>IF(E2770="","",IF(E2770&lt;=3,6,IF(E2770&lt;=6,5,IF(E2770&lt;=9,4,IF(E2770&lt;=12,3,IF(E2770&lt;=15,2,0))))))</f>
        <v/>
      </c>
      <c r="G2770" s="3" t="n"/>
      <c r="H2770" s="4">
        <f>IF(I2770="Штраф -2",-2,IF(OR(F2770="",G2770=""),"",F2770*G2770+IF(J2770="",0,J2770)))</f>
        <v/>
      </c>
      <c r="I2770" s="3" t="n"/>
      <c r="J2770" s="3" t="n"/>
      <c r="K2770" s="3" t="n"/>
    </row>
    <row r="2771">
      <c r="A2771" s="3" t="n"/>
      <c r="B2771" s="3" t="n"/>
      <c r="C2771" s="3" t="n"/>
      <c r="D2771" s="3" t="n"/>
      <c r="E2771" s="4">
        <f>IF(A2771="","",COUNTIFS($A$4:A2771,A2771,$I$4:I2771,"&lt;&gt;Штраф -2",$I$4:I2771,"&lt;&gt;ушел на базу"))</f>
        <v/>
      </c>
      <c r="F2771" s="4">
        <f>IF(E2771="","",IF(E2771&lt;=3,6,IF(E2771&lt;=6,5,IF(E2771&lt;=9,4,IF(E2771&lt;=12,3,IF(E2771&lt;=15,2,0))))))</f>
        <v/>
      </c>
      <c r="G2771" s="3" t="n"/>
      <c r="H2771" s="4">
        <f>IF(I2771="Штраф -2",-2,IF(OR(F2771="",G2771=""),"",F2771*G2771+IF(J2771="",0,J2771)))</f>
        <v/>
      </c>
      <c r="I2771" s="3" t="n"/>
      <c r="J2771" s="3" t="n"/>
      <c r="K2771" s="3" t="n"/>
    </row>
    <row r="2772">
      <c r="A2772" s="3" t="n"/>
      <c r="B2772" s="3" t="n"/>
      <c r="C2772" s="3" t="n"/>
      <c r="D2772" s="3" t="n"/>
      <c r="E2772" s="4">
        <f>IF(A2772="","",COUNTIFS($A$4:A2772,A2772,$I$4:I2772,"&lt;&gt;Штраф -2",$I$4:I2772,"&lt;&gt;ушел на базу"))</f>
        <v/>
      </c>
      <c r="F2772" s="4">
        <f>IF(E2772="","",IF(E2772&lt;=3,6,IF(E2772&lt;=6,5,IF(E2772&lt;=9,4,IF(E2772&lt;=12,3,IF(E2772&lt;=15,2,0))))))</f>
        <v/>
      </c>
      <c r="G2772" s="3" t="n"/>
      <c r="H2772" s="4">
        <f>IF(I2772="Штраф -2",-2,IF(OR(F2772="",G2772=""),"",F2772*G2772+IF(J2772="",0,J2772)))</f>
        <v/>
      </c>
      <c r="I2772" s="3" t="n"/>
      <c r="J2772" s="3" t="n"/>
      <c r="K2772" s="3" t="n"/>
    </row>
    <row r="2773">
      <c r="A2773" s="3" t="n"/>
      <c r="B2773" s="3" t="n"/>
      <c r="C2773" s="3" t="n"/>
      <c r="D2773" s="3" t="n"/>
      <c r="E2773" s="4">
        <f>IF(A2773="","",COUNTIFS($A$4:A2773,A2773,$I$4:I2773,"&lt;&gt;Штраф -2",$I$4:I2773,"&lt;&gt;ушел на базу"))</f>
        <v/>
      </c>
      <c r="F2773" s="4">
        <f>IF(E2773="","",IF(E2773&lt;=3,6,IF(E2773&lt;=6,5,IF(E2773&lt;=9,4,IF(E2773&lt;=12,3,IF(E2773&lt;=15,2,0))))))</f>
        <v/>
      </c>
      <c r="G2773" s="3" t="n"/>
      <c r="H2773" s="4">
        <f>IF(I2773="Штраф -2",-2,IF(OR(F2773="",G2773=""),"",F2773*G2773+IF(J2773="",0,J2773)))</f>
        <v/>
      </c>
      <c r="I2773" s="3" t="n"/>
      <c r="J2773" s="3" t="n"/>
      <c r="K2773" s="3" t="n"/>
    </row>
    <row r="2774">
      <c r="A2774" s="3" t="n"/>
      <c r="B2774" s="3" t="n"/>
      <c r="C2774" s="3" t="n"/>
      <c r="D2774" s="3" t="n"/>
      <c r="E2774" s="4">
        <f>IF(A2774="","",COUNTIFS($A$4:A2774,A2774,$I$4:I2774,"&lt;&gt;Штраф -2",$I$4:I2774,"&lt;&gt;ушел на базу"))</f>
        <v/>
      </c>
      <c r="F2774" s="4">
        <f>IF(E2774="","",IF(E2774&lt;=3,6,IF(E2774&lt;=6,5,IF(E2774&lt;=9,4,IF(E2774&lt;=12,3,IF(E2774&lt;=15,2,0))))))</f>
        <v/>
      </c>
      <c r="G2774" s="3" t="n"/>
      <c r="H2774" s="4">
        <f>IF(I2774="Штраф -2",-2,IF(OR(F2774="",G2774=""),"",F2774*G2774+IF(J2774="",0,J2774)))</f>
        <v/>
      </c>
      <c r="I2774" s="3" t="n"/>
      <c r="J2774" s="3" t="n"/>
      <c r="K2774" s="3" t="n"/>
    </row>
    <row r="2775">
      <c r="A2775" s="3" t="n"/>
      <c r="B2775" s="3" t="n"/>
      <c r="C2775" s="3" t="n"/>
      <c r="D2775" s="3" t="n"/>
      <c r="E2775" s="4">
        <f>IF(A2775="","",COUNTIFS($A$4:A2775,A2775,$I$4:I2775,"&lt;&gt;Штраф -2",$I$4:I2775,"&lt;&gt;ушел на базу"))</f>
        <v/>
      </c>
      <c r="F2775" s="4">
        <f>IF(E2775="","",IF(E2775&lt;=3,6,IF(E2775&lt;=6,5,IF(E2775&lt;=9,4,IF(E2775&lt;=12,3,IF(E2775&lt;=15,2,0))))))</f>
        <v/>
      </c>
      <c r="G2775" s="3" t="n"/>
      <c r="H2775" s="4">
        <f>IF(I2775="Штраф -2",-2,IF(OR(F2775="",G2775=""),"",F2775*G2775+IF(J2775="",0,J2775)))</f>
        <v/>
      </c>
      <c r="I2775" s="3" t="n"/>
      <c r="J2775" s="3" t="n"/>
      <c r="K2775" s="3" t="n"/>
    </row>
    <row r="2776">
      <c r="A2776" s="3" t="n"/>
      <c r="B2776" s="3" t="n"/>
      <c r="C2776" s="3" t="n"/>
      <c r="D2776" s="3" t="n"/>
      <c r="E2776" s="4">
        <f>IF(A2776="","",COUNTIFS($A$4:A2776,A2776,$I$4:I2776,"&lt;&gt;Штраф -2",$I$4:I2776,"&lt;&gt;ушел на базу"))</f>
        <v/>
      </c>
      <c r="F2776" s="4">
        <f>IF(E2776="","",IF(E2776&lt;=3,6,IF(E2776&lt;=6,5,IF(E2776&lt;=9,4,IF(E2776&lt;=12,3,IF(E2776&lt;=15,2,0))))))</f>
        <v/>
      </c>
      <c r="G2776" s="3" t="n"/>
      <c r="H2776" s="4">
        <f>IF(I2776="Штраф -2",-2,IF(OR(F2776="",G2776=""),"",F2776*G2776+IF(J2776="",0,J2776)))</f>
        <v/>
      </c>
      <c r="I2776" s="3" t="n"/>
      <c r="J2776" s="3" t="n"/>
      <c r="K2776" s="3" t="n"/>
    </row>
    <row r="2777">
      <c r="A2777" s="3" t="n"/>
      <c r="B2777" s="3" t="n"/>
      <c r="C2777" s="3" t="n"/>
      <c r="D2777" s="3" t="n"/>
      <c r="E2777" s="4">
        <f>IF(A2777="","",COUNTIFS($A$4:A2777,A2777,$I$4:I2777,"&lt;&gt;Штраф -2",$I$4:I2777,"&lt;&gt;ушел на базу"))</f>
        <v/>
      </c>
      <c r="F2777" s="4">
        <f>IF(E2777="","",IF(E2777&lt;=3,6,IF(E2777&lt;=6,5,IF(E2777&lt;=9,4,IF(E2777&lt;=12,3,IF(E2777&lt;=15,2,0))))))</f>
        <v/>
      </c>
      <c r="G2777" s="3" t="n"/>
      <c r="H2777" s="4">
        <f>IF(I2777="Штраф -2",-2,IF(OR(F2777="",G2777=""),"",F2777*G2777+IF(J2777="",0,J2777)))</f>
        <v/>
      </c>
      <c r="I2777" s="3" t="n"/>
      <c r="J2777" s="3" t="n"/>
      <c r="K2777" s="3" t="n"/>
    </row>
    <row r="2778">
      <c r="A2778" s="3" t="n"/>
      <c r="B2778" s="3" t="n"/>
      <c r="C2778" s="3" t="n"/>
      <c r="D2778" s="3" t="n"/>
      <c r="E2778" s="4">
        <f>IF(A2778="","",COUNTIFS($A$4:A2778,A2778,$I$4:I2778,"&lt;&gt;Штраф -2",$I$4:I2778,"&lt;&gt;ушел на базу"))</f>
        <v/>
      </c>
      <c r="F2778" s="4">
        <f>IF(E2778="","",IF(E2778&lt;=3,6,IF(E2778&lt;=6,5,IF(E2778&lt;=9,4,IF(E2778&lt;=12,3,IF(E2778&lt;=15,2,0))))))</f>
        <v/>
      </c>
      <c r="G2778" s="3" t="n"/>
      <c r="H2778" s="4">
        <f>IF(I2778="Штраф -2",-2,IF(OR(F2778="",G2778=""),"",F2778*G2778+IF(J2778="",0,J2778)))</f>
        <v/>
      </c>
      <c r="I2778" s="3" t="n"/>
      <c r="J2778" s="3" t="n"/>
      <c r="K2778" s="3" t="n"/>
    </row>
    <row r="2779">
      <c r="A2779" s="3" t="n"/>
      <c r="B2779" s="3" t="n"/>
      <c r="C2779" s="3" t="n"/>
      <c r="D2779" s="3" t="n"/>
      <c r="E2779" s="4">
        <f>IF(A2779="","",COUNTIFS($A$4:A2779,A2779,$I$4:I2779,"&lt;&gt;Штраф -2",$I$4:I2779,"&lt;&gt;ушел на базу"))</f>
        <v/>
      </c>
      <c r="F2779" s="4">
        <f>IF(E2779="","",IF(E2779&lt;=3,6,IF(E2779&lt;=6,5,IF(E2779&lt;=9,4,IF(E2779&lt;=12,3,IF(E2779&lt;=15,2,0))))))</f>
        <v/>
      </c>
      <c r="G2779" s="3" t="n"/>
      <c r="H2779" s="4">
        <f>IF(I2779="Штраф -2",-2,IF(OR(F2779="",G2779=""),"",F2779*G2779+IF(J2779="",0,J2779)))</f>
        <v/>
      </c>
      <c r="I2779" s="3" t="n"/>
      <c r="J2779" s="3" t="n"/>
      <c r="K2779" s="3" t="n"/>
    </row>
    <row r="2780">
      <c r="A2780" s="3" t="n"/>
      <c r="B2780" s="3" t="n"/>
      <c r="C2780" s="3" t="n"/>
      <c r="D2780" s="3" t="n"/>
      <c r="E2780" s="4">
        <f>IF(A2780="","",COUNTIFS($A$4:A2780,A2780,$I$4:I2780,"&lt;&gt;Штраф -2",$I$4:I2780,"&lt;&gt;ушел на базу"))</f>
        <v/>
      </c>
      <c r="F2780" s="4">
        <f>IF(E2780="","",IF(E2780&lt;=3,6,IF(E2780&lt;=6,5,IF(E2780&lt;=9,4,IF(E2780&lt;=12,3,IF(E2780&lt;=15,2,0))))))</f>
        <v/>
      </c>
      <c r="G2780" s="3" t="n"/>
      <c r="H2780" s="4">
        <f>IF(I2780="Штраф -2",-2,IF(OR(F2780="",G2780=""),"",F2780*G2780+IF(J2780="",0,J2780)))</f>
        <v/>
      </c>
      <c r="I2780" s="3" t="n"/>
      <c r="J2780" s="3" t="n"/>
      <c r="K2780" s="3" t="n"/>
    </row>
    <row r="2781">
      <c r="A2781" s="3" t="n"/>
      <c r="B2781" s="3" t="n"/>
      <c r="C2781" s="3" t="n"/>
      <c r="D2781" s="3" t="n"/>
      <c r="E2781" s="4">
        <f>IF(A2781="","",COUNTIFS($A$4:A2781,A2781,$I$4:I2781,"&lt;&gt;Штраф -2",$I$4:I2781,"&lt;&gt;ушел на базу"))</f>
        <v/>
      </c>
      <c r="F2781" s="4">
        <f>IF(E2781="","",IF(E2781&lt;=3,6,IF(E2781&lt;=6,5,IF(E2781&lt;=9,4,IF(E2781&lt;=12,3,IF(E2781&lt;=15,2,0))))))</f>
        <v/>
      </c>
      <c r="G2781" s="3" t="n"/>
      <c r="H2781" s="4">
        <f>IF(I2781="Штраф -2",-2,IF(OR(F2781="",G2781=""),"",F2781*G2781+IF(J2781="",0,J2781)))</f>
        <v/>
      </c>
      <c r="I2781" s="3" t="n"/>
      <c r="J2781" s="3" t="n"/>
      <c r="K2781" s="3" t="n"/>
    </row>
    <row r="2782">
      <c r="A2782" s="3" t="n"/>
      <c r="B2782" s="3" t="n"/>
      <c r="C2782" s="3" t="n"/>
      <c r="D2782" s="3" t="n"/>
      <c r="E2782" s="4">
        <f>IF(A2782="","",COUNTIFS($A$4:A2782,A2782,$I$4:I2782,"&lt;&gt;Штраф -2",$I$4:I2782,"&lt;&gt;ушел на базу"))</f>
        <v/>
      </c>
      <c r="F2782" s="4">
        <f>IF(E2782="","",IF(E2782&lt;=3,6,IF(E2782&lt;=6,5,IF(E2782&lt;=9,4,IF(E2782&lt;=12,3,IF(E2782&lt;=15,2,0))))))</f>
        <v/>
      </c>
      <c r="G2782" s="3" t="n"/>
      <c r="H2782" s="4">
        <f>IF(I2782="Штраф -2",-2,IF(OR(F2782="",G2782=""),"",F2782*G2782+IF(J2782="",0,J2782)))</f>
        <v/>
      </c>
      <c r="I2782" s="3" t="n"/>
      <c r="J2782" s="3" t="n"/>
      <c r="K2782" s="3" t="n"/>
    </row>
    <row r="2783">
      <c r="A2783" s="3" t="n"/>
      <c r="B2783" s="3" t="n"/>
      <c r="C2783" s="3" t="n"/>
      <c r="D2783" s="3" t="n"/>
      <c r="E2783" s="4">
        <f>IF(A2783="","",COUNTIFS($A$4:A2783,A2783,$I$4:I2783,"&lt;&gt;Штраф -2",$I$4:I2783,"&lt;&gt;ушел на базу"))</f>
        <v/>
      </c>
      <c r="F2783" s="4">
        <f>IF(E2783="","",IF(E2783&lt;=3,6,IF(E2783&lt;=6,5,IF(E2783&lt;=9,4,IF(E2783&lt;=12,3,IF(E2783&lt;=15,2,0))))))</f>
        <v/>
      </c>
      <c r="G2783" s="3" t="n"/>
      <c r="H2783" s="4">
        <f>IF(I2783="Штраф -2",-2,IF(OR(F2783="",G2783=""),"",F2783*G2783+IF(J2783="",0,J2783)))</f>
        <v/>
      </c>
      <c r="I2783" s="3" t="n"/>
      <c r="J2783" s="3" t="n"/>
      <c r="K2783" s="3" t="n"/>
    </row>
    <row r="2784">
      <c r="A2784" s="3" t="n"/>
      <c r="B2784" s="3" t="n"/>
      <c r="C2784" s="3" t="n"/>
      <c r="D2784" s="3" t="n"/>
      <c r="E2784" s="4">
        <f>IF(A2784="","",COUNTIFS($A$4:A2784,A2784,$I$4:I2784,"&lt;&gt;Штраф -2",$I$4:I2784,"&lt;&gt;ушел на базу"))</f>
        <v/>
      </c>
      <c r="F2784" s="4">
        <f>IF(E2784="","",IF(E2784&lt;=3,6,IF(E2784&lt;=6,5,IF(E2784&lt;=9,4,IF(E2784&lt;=12,3,IF(E2784&lt;=15,2,0))))))</f>
        <v/>
      </c>
      <c r="G2784" s="3" t="n"/>
      <c r="H2784" s="4">
        <f>IF(I2784="Штраф -2",-2,IF(OR(F2784="",G2784=""),"",F2784*G2784+IF(J2784="",0,J2784)))</f>
        <v/>
      </c>
      <c r="I2784" s="3" t="n"/>
      <c r="J2784" s="3" t="n"/>
      <c r="K2784" s="3" t="n"/>
    </row>
    <row r="2785">
      <c r="A2785" s="3" t="n"/>
      <c r="B2785" s="3" t="n"/>
      <c r="C2785" s="3" t="n"/>
      <c r="D2785" s="3" t="n"/>
      <c r="E2785" s="4">
        <f>IF(A2785="","",COUNTIFS($A$4:A2785,A2785,$I$4:I2785,"&lt;&gt;Штраф -2",$I$4:I2785,"&lt;&gt;ушел на базу"))</f>
        <v/>
      </c>
      <c r="F2785" s="4">
        <f>IF(E2785="","",IF(E2785&lt;=3,6,IF(E2785&lt;=6,5,IF(E2785&lt;=9,4,IF(E2785&lt;=12,3,IF(E2785&lt;=15,2,0))))))</f>
        <v/>
      </c>
      <c r="G2785" s="3" t="n"/>
      <c r="H2785" s="4">
        <f>IF(I2785="Штраф -2",-2,IF(OR(F2785="",G2785=""),"",F2785*G2785+IF(J2785="",0,J2785)))</f>
        <v/>
      </c>
      <c r="I2785" s="3" t="n"/>
      <c r="J2785" s="3" t="n"/>
      <c r="K2785" s="3" t="n"/>
    </row>
    <row r="2786">
      <c r="A2786" s="3" t="n"/>
      <c r="B2786" s="3" t="n"/>
      <c r="C2786" s="3" t="n"/>
      <c r="D2786" s="3" t="n"/>
      <c r="E2786" s="4">
        <f>IF(A2786="","",COUNTIFS($A$4:A2786,A2786,$I$4:I2786,"&lt;&gt;Штраф -2",$I$4:I2786,"&lt;&gt;ушел на базу"))</f>
        <v/>
      </c>
      <c r="F2786" s="4">
        <f>IF(E2786="","",IF(E2786&lt;=3,6,IF(E2786&lt;=6,5,IF(E2786&lt;=9,4,IF(E2786&lt;=12,3,IF(E2786&lt;=15,2,0))))))</f>
        <v/>
      </c>
      <c r="G2786" s="3" t="n"/>
      <c r="H2786" s="4">
        <f>IF(I2786="Штраф -2",-2,IF(OR(F2786="",G2786=""),"",F2786*G2786+IF(J2786="",0,J2786)))</f>
        <v/>
      </c>
      <c r="I2786" s="3" t="n"/>
      <c r="J2786" s="3" t="n"/>
      <c r="K2786" s="3" t="n"/>
    </row>
    <row r="2787">
      <c r="A2787" s="3" t="n"/>
      <c r="B2787" s="3" t="n"/>
      <c r="C2787" s="3" t="n"/>
      <c r="D2787" s="3" t="n"/>
      <c r="E2787" s="4">
        <f>IF(A2787="","",COUNTIFS($A$4:A2787,A2787,$I$4:I2787,"&lt;&gt;Штраф -2",$I$4:I2787,"&lt;&gt;ушел на базу"))</f>
        <v/>
      </c>
      <c r="F2787" s="4">
        <f>IF(E2787="","",IF(E2787&lt;=3,6,IF(E2787&lt;=6,5,IF(E2787&lt;=9,4,IF(E2787&lt;=12,3,IF(E2787&lt;=15,2,0))))))</f>
        <v/>
      </c>
      <c r="G2787" s="3" t="n"/>
      <c r="H2787" s="4">
        <f>IF(I2787="Штраф -2",-2,IF(OR(F2787="",G2787=""),"",F2787*G2787+IF(J2787="",0,J2787)))</f>
        <v/>
      </c>
      <c r="I2787" s="3" t="n"/>
      <c r="J2787" s="3" t="n"/>
      <c r="K2787" s="3" t="n"/>
    </row>
    <row r="2788">
      <c r="A2788" s="3" t="n"/>
      <c r="B2788" s="3" t="n"/>
      <c r="C2788" s="3" t="n"/>
      <c r="D2788" s="3" t="n"/>
      <c r="E2788" s="4">
        <f>IF(A2788="","",COUNTIFS($A$4:A2788,A2788,$I$4:I2788,"&lt;&gt;Штраф -2",$I$4:I2788,"&lt;&gt;ушел на базу"))</f>
        <v/>
      </c>
      <c r="F2788" s="4">
        <f>IF(E2788="","",IF(E2788&lt;=3,6,IF(E2788&lt;=6,5,IF(E2788&lt;=9,4,IF(E2788&lt;=12,3,IF(E2788&lt;=15,2,0))))))</f>
        <v/>
      </c>
      <c r="G2788" s="3" t="n"/>
      <c r="H2788" s="4">
        <f>IF(I2788="Штраф -2",-2,IF(OR(F2788="",G2788=""),"",F2788*G2788+IF(J2788="",0,J2788)))</f>
        <v/>
      </c>
      <c r="I2788" s="3" t="n"/>
      <c r="J2788" s="3" t="n"/>
      <c r="K2788" s="3" t="n"/>
    </row>
    <row r="2789">
      <c r="A2789" s="3" t="n"/>
      <c r="B2789" s="3" t="n"/>
      <c r="C2789" s="3" t="n"/>
      <c r="D2789" s="3" t="n"/>
      <c r="E2789" s="4">
        <f>IF(A2789="","",COUNTIFS($A$4:A2789,A2789,$I$4:I2789,"&lt;&gt;Штраф -2",$I$4:I2789,"&lt;&gt;ушел на базу"))</f>
        <v/>
      </c>
      <c r="F2789" s="4">
        <f>IF(E2789="","",IF(E2789&lt;=3,6,IF(E2789&lt;=6,5,IF(E2789&lt;=9,4,IF(E2789&lt;=12,3,IF(E2789&lt;=15,2,0))))))</f>
        <v/>
      </c>
      <c r="G2789" s="3" t="n"/>
      <c r="H2789" s="4">
        <f>IF(I2789="Штраф -2",-2,IF(OR(F2789="",G2789=""),"",F2789*G2789+IF(J2789="",0,J2789)))</f>
        <v/>
      </c>
      <c r="I2789" s="3" t="n"/>
      <c r="J2789" s="3" t="n"/>
      <c r="K2789" s="3" t="n"/>
    </row>
    <row r="2790">
      <c r="A2790" s="3" t="n"/>
      <c r="B2790" s="3" t="n"/>
      <c r="C2790" s="3" t="n"/>
      <c r="D2790" s="3" t="n"/>
      <c r="E2790" s="4">
        <f>IF(A2790="","",COUNTIFS($A$4:A2790,A2790,$I$4:I2790,"&lt;&gt;Штраф -2",$I$4:I2790,"&lt;&gt;ушел на базу"))</f>
        <v/>
      </c>
      <c r="F2790" s="4">
        <f>IF(E2790="","",IF(E2790&lt;=3,6,IF(E2790&lt;=6,5,IF(E2790&lt;=9,4,IF(E2790&lt;=12,3,IF(E2790&lt;=15,2,0))))))</f>
        <v/>
      </c>
      <c r="G2790" s="3" t="n"/>
      <c r="H2790" s="4">
        <f>IF(I2790="Штраф -2",-2,IF(OR(F2790="",G2790=""),"",F2790*G2790+IF(J2790="",0,J2790)))</f>
        <v/>
      </c>
      <c r="I2790" s="3" t="n"/>
      <c r="J2790" s="3" t="n"/>
      <c r="K2790" s="3" t="n"/>
    </row>
    <row r="2791">
      <c r="A2791" s="3" t="n"/>
      <c r="B2791" s="3" t="n"/>
      <c r="C2791" s="3" t="n"/>
      <c r="D2791" s="3" t="n"/>
      <c r="E2791" s="4">
        <f>IF(A2791="","",COUNTIFS($A$4:A2791,A2791,$I$4:I2791,"&lt;&gt;Штраф -2",$I$4:I2791,"&lt;&gt;ушел на базу"))</f>
        <v/>
      </c>
      <c r="F2791" s="4">
        <f>IF(E2791="","",IF(E2791&lt;=3,6,IF(E2791&lt;=6,5,IF(E2791&lt;=9,4,IF(E2791&lt;=12,3,IF(E2791&lt;=15,2,0))))))</f>
        <v/>
      </c>
      <c r="G2791" s="3" t="n"/>
      <c r="H2791" s="4">
        <f>IF(I2791="Штраф -2",-2,IF(OR(F2791="",G2791=""),"",F2791*G2791+IF(J2791="",0,J2791)))</f>
        <v/>
      </c>
      <c r="I2791" s="3" t="n"/>
      <c r="J2791" s="3" t="n"/>
      <c r="K2791" s="3" t="n"/>
    </row>
    <row r="2792">
      <c r="A2792" s="3" t="n"/>
      <c r="B2792" s="3" t="n"/>
      <c r="C2792" s="3" t="n"/>
      <c r="D2792" s="3" t="n"/>
      <c r="E2792" s="4">
        <f>IF(A2792="","",COUNTIFS($A$4:A2792,A2792,$I$4:I2792,"&lt;&gt;Штраф -2",$I$4:I2792,"&lt;&gt;ушел на базу"))</f>
        <v/>
      </c>
      <c r="F2792" s="4">
        <f>IF(E2792="","",IF(E2792&lt;=3,6,IF(E2792&lt;=6,5,IF(E2792&lt;=9,4,IF(E2792&lt;=12,3,IF(E2792&lt;=15,2,0))))))</f>
        <v/>
      </c>
      <c r="G2792" s="3" t="n"/>
      <c r="H2792" s="4">
        <f>IF(I2792="Штраф -2",-2,IF(OR(F2792="",G2792=""),"",F2792*G2792+IF(J2792="",0,J2792)))</f>
        <v/>
      </c>
      <c r="I2792" s="3" t="n"/>
      <c r="J2792" s="3" t="n"/>
      <c r="K2792" s="3" t="n"/>
    </row>
    <row r="2793">
      <c r="A2793" s="3" t="n"/>
      <c r="B2793" s="3" t="n"/>
      <c r="C2793" s="3" t="n"/>
      <c r="D2793" s="3" t="n"/>
      <c r="E2793" s="4">
        <f>IF(A2793="","",COUNTIFS($A$4:A2793,A2793,$I$4:I2793,"&lt;&gt;Штраф -2",$I$4:I2793,"&lt;&gt;ушел на базу"))</f>
        <v/>
      </c>
      <c r="F2793" s="4">
        <f>IF(E2793="","",IF(E2793&lt;=3,6,IF(E2793&lt;=6,5,IF(E2793&lt;=9,4,IF(E2793&lt;=12,3,IF(E2793&lt;=15,2,0))))))</f>
        <v/>
      </c>
      <c r="G2793" s="3" t="n"/>
      <c r="H2793" s="4">
        <f>IF(I2793="Штраф -2",-2,IF(OR(F2793="",G2793=""),"",F2793*G2793+IF(J2793="",0,J2793)))</f>
        <v/>
      </c>
      <c r="I2793" s="3" t="n"/>
      <c r="J2793" s="3" t="n"/>
      <c r="K2793" s="3" t="n"/>
    </row>
    <row r="2794">
      <c r="A2794" s="3" t="n"/>
      <c r="B2794" s="3" t="n"/>
      <c r="C2794" s="3" t="n"/>
      <c r="D2794" s="3" t="n"/>
      <c r="E2794" s="4">
        <f>IF(A2794="","",COUNTIFS($A$4:A2794,A2794,$I$4:I2794,"&lt;&gt;Штраф -2",$I$4:I2794,"&lt;&gt;ушел на базу"))</f>
        <v/>
      </c>
      <c r="F2794" s="4">
        <f>IF(E2794="","",IF(E2794&lt;=3,6,IF(E2794&lt;=6,5,IF(E2794&lt;=9,4,IF(E2794&lt;=12,3,IF(E2794&lt;=15,2,0))))))</f>
        <v/>
      </c>
      <c r="G2794" s="3" t="n"/>
      <c r="H2794" s="4">
        <f>IF(I2794="Штраф -2",-2,IF(OR(F2794="",G2794=""),"",F2794*G2794+IF(J2794="",0,J2794)))</f>
        <v/>
      </c>
      <c r="I2794" s="3" t="n"/>
      <c r="J2794" s="3" t="n"/>
      <c r="K2794" s="3" t="n"/>
    </row>
    <row r="2795">
      <c r="A2795" s="3" t="n"/>
      <c r="B2795" s="3" t="n"/>
      <c r="C2795" s="3" t="n"/>
      <c r="D2795" s="3" t="n"/>
      <c r="E2795" s="4">
        <f>IF(A2795="","",COUNTIFS($A$4:A2795,A2795,$I$4:I2795,"&lt;&gt;Штраф -2",$I$4:I2795,"&lt;&gt;ушел на базу"))</f>
        <v/>
      </c>
      <c r="F2795" s="4">
        <f>IF(E2795="","",IF(E2795&lt;=3,6,IF(E2795&lt;=6,5,IF(E2795&lt;=9,4,IF(E2795&lt;=12,3,IF(E2795&lt;=15,2,0))))))</f>
        <v/>
      </c>
      <c r="G2795" s="3" t="n"/>
      <c r="H2795" s="4">
        <f>IF(I2795="Штраф -2",-2,IF(OR(F2795="",G2795=""),"",F2795*G2795+IF(J2795="",0,J2795)))</f>
        <v/>
      </c>
      <c r="I2795" s="3" t="n"/>
      <c r="J2795" s="3" t="n"/>
      <c r="K2795" s="3" t="n"/>
    </row>
    <row r="2796">
      <c r="A2796" s="3" t="n"/>
      <c r="B2796" s="3" t="n"/>
      <c r="C2796" s="3" t="n"/>
      <c r="D2796" s="3" t="n"/>
      <c r="E2796" s="4">
        <f>IF(A2796="","",COUNTIFS($A$4:A2796,A2796,$I$4:I2796,"&lt;&gt;Штраф -2",$I$4:I2796,"&lt;&gt;ушел на базу"))</f>
        <v/>
      </c>
      <c r="F2796" s="4">
        <f>IF(E2796="","",IF(E2796&lt;=3,6,IF(E2796&lt;=6,5,IF(E2796&lt;=9,4,IF(E2796&lt;=12,3,IF(E2796&lt;=15,2,0))))))</f>
        <v/>
      </c>
      <c r="G2796" s="3" t="n"/>
      <c r="H2796" s="4">
        <f>IF(I2796="Штраф -2",-2,IF(OR(F2796="",G2796=""),"",F2796*G2796+IF(J2796="",0,J2796)))</f>
        <v/>
      </c>
      <c r="I2796" s="3" t="n"/>
      <c r="J2796" s="3" t="n"/>
      <c r="K2796" s="3" t="n"/>
    </row>
    <row r="2797">
      <c r="A2797" s="3" t="n"/>
      <c r="B2797" s="3" t="n"/>
      <c r="C2797" s="3" t="n"/>
      <c r="D2797" s="3" t="n"/>
      <c r="E2797" s="4">
        <f>IF(A2797="","",COUNTIFS($A$4:A2797,A2797,$I$4:I2797,"&lt;&gt;Штраф -2",$I$4:I2797,"&lt;&gt;ушел на базу"))</f>
        <v/>
      </c>
      <c r="F2797" s="4">
        <f>IF(E2797="","",IF(E2797&lt;=3,6,IF(E2797&lt;=6,5,IF(E2797&lt;=9,4,IF(E2797&lt;=12,3,IF(E2797&lt;=15,2,0))))))</f>
        <v/>
      </c>
      <c r="G2797" s="3" t="n"/>
      <c r="H2797" s="4">
        <f>IF(I2797="Штраф -2",-2,IF(OR(F2797="",G2797=""),"",F2797*G2797+IF(J2797="",0,J2797)))</f>
        <v/>
      </c>
      <c r="I2797" s="3" t="n"/>
      <c r="J2797" s="3" t="n"/>
      <c r="K2797" s="3" t="n"/>
    </row>
    <row r="2798">
      <c r="A2798" s="3" t="n"/>
      <c r="B2798" s="3" t="n"/>
      <c r="C2798" s="3" t="n"/>
      <c r="D2798" s="3" t="n"/>
      <c r="E2798" s="4">
        <f>IF(A2798="","",COUNTIFS($A$4:A2798,A2798,$I$4:I2798,"&lt;&gt;Штраф -2",$I$4:I2798,"&lt;&gt;ушел на базу"))</f>
        <v/>
      </c>
      <c r="F2798" s="4">
        <f>IF(E2798="","",IF(E2798&lt;=3,6,IF(E2798&lt;=6,5,IF(E2798&lt;=9,4,IF(E2798&lt;=12,3,IF(E2798&lt;=15,2,0))))))</f>
        <v/>
      </c>
      <c r="G2798" s="3" t="n"/>
      <c r="H2798" s="4">
        <f>IF(I2798="Штраф -2",-2,IF(OR(F2798="",G2798=""),"",F2798*G2798+IF(J2798="",0,J2798)))</f>
        <v/>
      </c>
      <c r="I2798" s="3" t="n"/>
      <c r="J2798" s="3" t="n"/>
      <c r="K2798" s="3" t="n"/>
    </row>
    <row r="2799">
      <c r="A2799" s="3" t="n"/>
      <c r="B2799" s="3" t="n"/>
      <c r="C2799" s="3" t="n"/>
      <c r="D2799" s="3" t="n"/>
      <c r="E2799" s="4">
        <f>IF(A2799="","",COUNTIFS($A$4:A2799,A2799,$I$4:I2799,"&lt;&gt;Штраф -2",$I$4:I2799,"&lt;&gt;ушел на базу"))</f>
        <v/>
      </c>
      <c r="F2799" s="4">
        <f>IF(E2799="","",IF(E2799&lt;=3,6,IF(E2799&lt;=6,5,IF(E2799&lt;=9,4,IF(E2799&lt;=12,3,IF(E2799&lt;=15,2,0))))))</f>
        <v/>
      </c>
      <c r="G2799" s="3" t="n"/>
      <c r="H2799" s="4">
        <f>IF(I2799="Штраф -2",-2,IF(OR(F2799="",G2799=""),"",F2799*G2799+IF(J2799="",0,J2799)))</f>
        <v/>
      </c>
      <c r="I2799" s="3" t="n"/>
      <c r="J2799" s="3" t="n"/>
      <c r="K2799" s="3" t="n"/>
    </row>
    <row r="2800">
      <c r="A2800" s="3" t="n"/>
      <c r="B2800" s="3" t="n"/>
      <c r="C2800" s="3" t="n"/>
      <c r="D2800" s="3" t="n"/>
      <c r="E2800" s="4">
        <f>IF(A2800="","",COUNTIFS($A$4:A2800,A2800,$I$4:I2800,"&lt;&gt;Штраф -2",$I$4:I2800,"&lt;&gt;ушел на базу"))</f>
        <v/>
      </c>
      <c r="F2800" s="4">
        <f>IF(E2800="","",IF(E2800&lt;=3,6,IF(E2800&lt;=6,5,IF(E2800&lt;=9,4,IF(E2800&lt;=12,3,IF(E2800&lt;=15,2,0))))))</f>
        <v/>
      </c>
      <c r="G2800" s="3" t="n"/>
      <c r="H2800" s="4">
        <f>IF(I2800="Штраф -2",-2,IF(OR(F2800="",G2800=""),"",F2800*G2800+IF(J2800="",0,J2800)))</f>
        <v/>
      </c>
      <c r="I2800" s="3" t="n"/>
      <c r="J2800" s="3" t="n"/>
      <c r="K2800" s="3" t="n"/>
    </row>
    <row r="2801">
      <c r="A2801" s="3" t="n"/>
      <c r="B2801" s="3" t="n"/>
      <c r="C2801" s="3" t="n"/>
      <c r="D2801" s="3" t="n"/>
      <c r="E2801" s="4">
        <f>IF(A2801="","",COUNTIFS($A$4:A2801,A2801,$I$4:I2801,"&lt;&gt;Штраф -2",$I$4:I2801,"&lt;&gt;ушел на базу"))</f>
        <v/>
      </c>
      <c r="F2801" s="4">
        <f>IF(E2801="","",IF(E2801&lt;=3,6,IF(E2801&lt;=6,5,IF(E2801&lt;=9,4,IF(E2801&lt;=12,3,IF(E2801&lt;=15,2,0))))))</f>
        <v/>
      </c>
      <c r="G2801" s="3" t="n"/>
      <c r="H2801" s="4">
        <f>IF(I2801="Штраф -2",-2,IF(OR(F2801="",G2801=""),"",F2801*G2801+IF(J2801="",0,J2801)))</f>
        <v/>
      </c>
      <c r="I2801" s="3" t="n"/>
      <c r="J2801" s="3" t="n"/>
      <c r="K2801" s="3" t="n"/>
    </row>
    <row r="2802">
      <c r="A2802" s="3" t="n"/>
      <c r="B2802" s="3" t="n"/>
      <c r="C2802" s="3" t="n"/>
      <c r="D2802" s="3" t="n"/>
      <c r="E2802" s="4">
        <f>IF(A2802="","",COUNTIFS($A$4:A2802,A2802,$I$4:I2802,"&lt;&gt;Штраф -2",$I$4:I2802,"&lt;&gt;ушел на базу"))</f>
        <v/>
      </c>
      <c r="F2802" s="4">
        <f>IF(E2802="","",IF(E2802&lt;=3,6,IF(E2802&lt;=6,5,IF(E2802&lt;=9,4,IF(E2802&lt;=12,3,IF(E2802&lt;=15,2,0))))))</f>
        <v/>
      </c>
      <c r="G2802" s="3" t="n"/>
      <c r="H2802" s="4">
        <f>IF(I2802="Штраф -2",-2,IF(OR(F2802="",G2802=""),"",F2802*G2802+IF(J2802="",0,J2802)))</f>
        <v/>
      </c>
      <c r="I2802" s="3" t="n"/>
      <c r="J2802" s="3" t="n"/>
      <c r="K2802" s="3" t="n"/>
    </row>
    <row r="2803">
      <c r="A2803" s="3" t="n"/>
      <c r="B2803" s="3" t="n"/>
      <c r="C2803" s="3" t="n"/>
      <c r="D2803" s="3" t="n"/>
      <c r="E2803" s="4">
        <f>IF(A2803="","",COUNTIFS($A$4:A2803,A2803,$I$4:I2803,"&lt;&gt;Штраф -2",$I$4:I2803,"&lt;&gt;ушел на базу"))</f>
        <v/>
      </c>
      <c r="F2803" s="4">
        <f>IF(E2803="","",IF(E2803&lt;=3,6,IF(E2803&lt;=6,5,IF(E2803&lt;=9,4,IF(E2803&lt;=12,3,IF(E2803&lt;=15,2,0))))))</f>
        <v/>
      </c>
      <c r="G2803" s="3" t="n"/>
      <c r="H2803" s="4">
        <f>IF(I2803="Штраф -2",-2,IF(OR(F2803="",G2803=""),"",F2803*G2803+IF(J2803="",0,J2803)))</f>
        <v/>
      </c>
      <c r="I2803" s="3" t="n"/>
      <c r="J2803" s="3" t="n"/>
      <c r="K2803" s="3" t="n"/>
    </row>
    <row r="2804">
      <c r="A2804" s="3" t="n"/>
      <c r="B2804" s="3" t="n"/>
      <c r="C2804" s="3" t="n"/>
      <c r="D2804" s="3" t="n"/>
      <c r="E2804" s="4">
        <f>IF(A2804="","",COUNTIFS($A$4:A2804,A2804,$I$4:I2804,"&lt;&gt;Штраф -2",$I$4:I2804,"&lt;&gt;ушел на базу"))</f>
        <v/>
      </c>
      <c r="F2804" s="4">
        <f>IF(E2804="","",IF(E2804&lt;=3,6,IF(E2804&lt;=6,5,IF(E2804&lt;=9,4,IF(E2804&lt;=12,3,IF(E2804&lt;=15,2,0))))))</f>
        <v/>
      </c>
      <c r="G2804" s="3" t="n"/>
      <c r="H2804" s="4">
        <f>IF(I2804="Штраф -2",-2,IF(OR(F2804="",G2804=""),"",F2804*G2804+IF(J2804="",0,J2804)))</f>
        <v/>
      </c>
      <c r="I2804" s="3" t="n"/>
      <c r="J2804" s="3" t="n"/>
      <c r="K2804" s="3" t="n"/>
    </row>
    <row r="2805">
      <c r="A2805" s="3" t="n"/>
      <c r="B2805" s="3" t="n"/>
      <c r="C2805" s="3" t="n"/>
      <c r="D2805" s="3" t="n"/>
      <c r="E2805" s="4">
        <f>IF(A2805="","",COUNTIFS($A$4:A2805,A2805,$I$4:I2805,"&lt;&gt;Штраф -2",$I$4:I2805,"&lt;&gt;ушел на базу"))</f>
        <v/>
      </c>
      <c r="F2805" s="4">
        <f>IF(E2805="","",IF(E2805&lt;=3,6,IF(E2805&lt;=6,5,IF(E2805&lt;=9,4,IF(E2805&lt;=12,3,IF(E2805&lt;=15,2,0))))))</f>
        <v/>
      </c>
      <c r="G2805" s="3" t="n"/>
      <c r="H2805" s="4">
        <f>IF(I2805="Штраф -2",-2,IF(OR(F2805="",G2805=""),"",F2805*G2805+IF(J2805="",0,J2805)))</f>
        <v/>
      </c>
      <c r="I2805" s="3" t="n"/>
      <c r="J2805" s="3" t="n"/>
      <c r="K2805" s="3" t="n"/>
    </row>
    <row r="2806">
      <c r="A2806" s="3" t="n"/>
      <c r="B2806" s="3" t="n"/>
      <c r="C2806" s="3" t="n"/>
      <c r="D2806" s="3" t="n"/>
      <c r="E2806" s="4">
        <f>IF(A2806="","",COUNTIFS($A$4:A2806,A2806,$I$4:I2806,"&lt;&gt;Штраф -2",$I$4:I2806,"&lt;&gt;ушел на базу"))</f>
        <v/>
      </c>
      <c r="F2806" s="4">
        <f>IF(E2806="","",IF(E2806&lt;=3,6,IF(E2806&lt;=6,5,IF(E2806&lt;=9,4,IF(E2806&lt;=12,3,IF(E2806&lt;=15,2,0))))))</f>
        <v/>
      </c>
      <c r="G2806" s="3" t="n"/>
      <c r="H2806" s="4">
        <f>IF(I2806="Штраф -2",-2,IF(OR(F2806="",G2806=""),"",F2806*G2806+IF(J2806="",0,J2806)))</f>
        <v/>
      </c>
      <c r="I2806" s="3" t="n"/>
      <c r="J2806" s="3" t="n"/>
      <c r="K2806" s="3" t="n"/>
    </row>
    <row r="2807">
      <c r="A2807" s="3" t="n"/>
      <c r="B2807" s="3" t="n"/>
      <c r="C2807" s="3" t="n"/>
      <c r="D2807" s="3" t="n"/>
      <c r="E2807" s="4">
        <f>IF(A2807="","",COUNTIFS($A$4:A2807,A2807,$I$4:I2807,"&lt;&gt;Штраф -2",$I$4:I2807,"&lt;&gt;ушел на базу"))</f>
        <v/>
      </c>
      <c r="F2807" s="4">
        <f>IF(E2807="","",IF(E2807&lt;=3,6,IF(E2807&lt;=6,5,IF(E2807&lt;=9,4,IF(E2807&lt;=12,3,IF(E2807&lt;=15,2,0))))))</f>
        <v/>
      </c>
      <c r="G2807" s="3" t="n"/>
      <c r="H2807" s="4">
        <f>IF(I2807="Штраф -2",-2,IF(OR(F2807="",G2807=""),"",F2807*G2807+IF(J2807="",0,J2807)))</f>
        <v/>
      </c>
      <c r="I2807" s="3" t="n"/>
      <c r="J2807" s="3" t="n"/>
      <c r="K2807" s="3" t="n"/>
    </row>
    <row r="2808">
      <c r="A2808" s="3" t="n"/>
      <c r="B2808" s="3" t="n"/>
      <c r="C2808" s="3" t="n"/>
      <c r="D2808" s="3" t="n"/>
      <c r="E2808" s="4">
        <f>IF(A2808="","",COUNTIFS($A$4:A2808,A2808,$I$4:I2808,"&lt;&gt;Штраф -2",$I$4:I2808,"&lt;&gt;ушел на базу"))</f>
        <v/>
      </c>
      <c r="F2808" s="4">
        <f>IF(E2808="","",IF(E2808&lt;=3,6,IF(E2808&lt;=6,5,IF(E2808&lt;=9,4,IF(E2808&lt;=12,3,IF(E2808&lt;=15,2,0))))))</f>
        <v/>
      </c>
      <c r="G2808" s="3" t="n"/>
      <c r="H2808" s="4">
        <f>IF(I2808="Штраф -2",-2,IF(OR(F2808="",G2808=""),"",F2808*G2808+IF(J2808="",0,J2808)))</f>
        <v/>
      </c>
      <c r="I2808" s="3" t="n"/>
      <c r="J2808" s="3" t="n"/>
      <c r="K2808" s="3" t="n"/>
    </row>
    <row r="2809">
      <c r="A2809" s="3" t="n"/>
      <c r="B2809" s="3" t="n"/>
      <c r="C2809" s="3" t="n"/>
      <c r="D2809" s="3" t="n"/>
      <c r="E2809" s="4">
        <f>IF(A2809="","",COUNTIFS($A$4:A2809,A2809,$I$4:I2809,"&lt;&gt;Штраф -2",$I$4:I2809,"&lt;&gt;ушел на базу"))</f>
        <v/>
      </c>
      <c r="F2809" s="4">
        <f>IF(E2809="","",IF(E2809&lt;=3,6,IF(E2809&lt;=6,5,IF(E2809&lt;=9,4,IF(E2809&lt;=12,3,IF(E2809&lt;=15,2,0))))))</f>
        <v/>
      </c>
      <c r="G2809" s="3" t="n"/>
      <c r="H2809" s="4">
        <f>IF(I2809="Штраф -2",-2,IF(OR(F2809="",G2809=""),"",F2809*G2809+IF(J2809="",0,J2809)))</f>
        <v/>
      </c>
      <c r="I2809" s="3" t="n"/>
      <c r="J2809" s="3" t="n"/>
      <c r="K2809" s="3" t="n"/>
    </row>
    <row r="2810">
      <c r="A2810" s="3" t="n"/>
      <c r="B2810" s="3" t="n"/>
      <c r="C2810" s="3" t="n"/>
      <c r="D2810" s="3" t="n"/>
      <c r="E2810" s="4">
        <f>IF(A2810="","",COUNTIFS($A$4:A2810,A2810,$I$4:I2810,"&lt;&gt;Штраф -2",$I$4:I2810,"&lt;&gt;ушел на базу"))</f>
        <v/>
      </c>
      <c r="F2810" s="4">
        <f>IF(E2810="","",IF(E2810&lt;=3,6,IF(E2810&lt;=6,5,IF(E2810&lt;=9,4,IF(E2810&lt;=12,3,IF(E2810&lt;=15,2,0))))))</f>
        <v/>
      </c>
      <c r="G2810" s="3" t="n"/>
      <c r="H2810" s="4">
        <f>IF(I2810="Штраф -2",-2,IF(OR(F2810="",G2810=""),"",F2810*G2810+IF(J2810="",0,J2810)))</f>
        <v/>
      </c>
      <c r="I2810" s="3" t="n"/>
      <c r="J2810" s="3" t="n"/>
      <c r="K2810" s="3" t="n"/>
    </row>
    <row r="2811">
      <c r="A2811" s="3" t="n"/>
      <c r="B2811" s="3" t="n"/>
      <c r="C2811" s="3" t="n"/>
      <c r="D2811" s="3" t="n"/>
      <c r="E2811" s="4">
        <f>IF(A2811="","",COUNTIFS($A$4:A2811,A2811,$I$4:I2811,"&lt;&gt;Штраф -2",$I$4:I2811,"&lt;&gt;ушел на базу"))</f>
        <v/>
      </c>
      <c r="F2811" s="4">
        <f>IF(E2811="","",IF(E2811&lt;=3,6,IF(E2811&lt;=6,5,IF(E2811&lt;=9,4,IF(E2811&lt;=12,3,IF(E2811&lt;=15,2,0))))))</f>
        <v/>
      </c>
      <c r="G2811" s="3" t="n"/>
      <c r="H2811" s="4">
        <f>IF(I2811="Штраф -2",-2,IF(OR(F2811="",G2811=""),"",F2811*G2811+IF(J2811="",0,J2811)))</f>
        <v/>
      </c>
      <c r="I2811" s="3" t="n"/>
      <c r="J2811" s="3" t="n"/>
      <c r="K2811" s="3" t="n"/>
    </row>
    <row r="2812">
      <c r="A2812" s="3" t="n"/>
      <c r="B2812" s="3" t="n"/>
      <c r="C2812" s="3" t="n"/>
      <c r="D2812" s="3" t="n"/>
      <c r="E2812" s="4">
        <f>IF(A2812="","",COUNTIFS($A$4:A2812,A2812,$I$4:I2812,"&lt;&gt;Штраф -2",$I$4:I2812,"&lt;&gt;ушел на базу"))</f>
        <v/>
      </c>
      <c r="F2812" s="4">
        <f>IF(E2812="","",IF(E2812&lt;=3,6,IF(E2812&lt;=6,5,IF(E2812&lt;=9,4,IF(E2812&lt;=12,3,IF(E2812&lt;=15,2,0))))))</f>
        <v/>
      </c>
      <c r="G2812" s="3" t="n"/>
      <c r="H2812" s="4">
        <f>IF(I2812="Штраф -2",-2,IF(OR(F2812="",G2812=""),"",F2812*G2812+IF(J2812="",0,J2812)))</f>
        <v/>
      </c>
      <c r="I2812" s="3" t="n"/>
      <c r="J2812" s="3" t="n"/>
      <c r="K2812" s="3" t="n"/>
    </row>
    <row r="2813">
      <c r="A2813" s="3" t="n"/>
      <c r="B2813" s="3" t="n"/>
      <c r="C2813" s="3" t="n"/>
      <c r="D2813" s="3" t="n"/>
      <c r="E2813" s="4">
        <f>IF(A2813="","",COUNTIFS($A$4:A2813,A2813,$I$4:I2813,"&lt;&gt;Штраф -2",$I$4:I2813,"&lt;&gt;ушел на базу"))</f>
        <v/>
      </c>
      <c r="F2813" s="4">
        <f>IF(E2813="","",IF(E2813&lt;=3,6,IF(E2813&lt;=6,5,IF(E2813&lt;=9,4,IF(E2813&lt;=12,3,IF(E2813&lt;=15,2,0))))))</f>
        <v/>
      </c>
      <c r="G2813" s="3" t="n"/>
      <c r="H2813" s="4">
        <f>IF(I2813="Штраф -2",-2,IF(OR(F2813="",G2813=""),"",F2813*G2813+IF(J2813="",0,J2813)))</f>
        <v/>
      </c>
      <c r="I2813" s="3" t="n"/>
      <c r="J2813" s="3" t="n"/>
      <c r="K2813" s="3" t="n"/>
    </row>
    <row r="2814">
      <c r="A2814" s="3" t="n"/>
      <c r="B2814" s="3" t="n"/>
      <c r="C2814" s="3" t="n"/>
      <c r="D2814" s="3" t="n"/>
      <c r="E2814" s="4">
        <f>IF(A2814="","",COUNTIFS($A$4:A2814,A2814,$I$4:I2814,"&lt;&gt;Штраф -2",$I$4:I2814,"&lt;&gt;ушел на базу"))</f>
        <v/>
      </c>
      <c r="F2814" s="4">
        <f>IF(E2814="","",IF(E2814&lt;=3,6,IF(E2814&lt;=6,5,IF(E2814&lt;=9,4,IF(E2814&lt;=12,3,IF(E2814&lt;=15,2,0))))))</f>
        <v/>
      </c>
      <c r="G2814" s="3" t="n"/>
      <c r="H2814" s="4">
        <f>IF(I2814="Штраф -2",-2,IF(OR(F2814="",G2814=""),"",F2814*G2814+IF(J2814="",0,J2814)))</f>
        <v/>
      </c>
      <c r="I2814" s="3" t="n"/>
      <c r="J2814" s="3" t="n"/>
      <c r="K2814" s="3" t="n"/>
    </row>
    <row r="2815">
      <c r="A2815" s="3" t="n"/>
      <c r="B2815" s="3" t="n"/>
      <c r="C2815" s="3" t="n"/>
      <c r="D2815" s="3" t="n"/>
      <c r="E2815" s="4">
        <f>IF(A2815="","",COUNTIFS($A$4:A2815,A2815,$I$4:I2815,"&lt;&gt;Штраф -2",$I$4:I2815,"&lt;&gt;ушел на базу"))</f>
        <v/>
      </c>
      <c r="F2815" s="4">
        <f>IF(E2815="","",IF(E2815&lt;=3,6,IF(E2815&lt;=6,5,IF(E2815&lt;=9,4,IF(E2815&lt;=12,3,IF(E2815&lt;=15,2,0))))))</f>
        <v/>
      </c>
      <c r="G2815" s="3" t="n"/>
      <c r="H2815" s="4">
        <f>IF(I2815="Штраф -2",-2,IF(OR(F2815="",G2815=""),"",F2815*G2815+IF(J2815="",0,J2815)))</f>
        <v/>
      </c>
      <c r="I2815" s="3" t="n"/>
      <c r="J2815" s="3" t="n"/>
      <c r="K2815" s="3" t="n"/>
    </row>
    <row r="2816">
      <c r="A2816" s="3" t="n"/>
      <c r="B2816" s="3" t="n"/>
      <c r="C2816" s="3" t="n"/>
      <c r="D2816" s="3" t="n"/>
      <c r="E2816" s="4">
        <f>IF(A2816="","",COUNTIFS($A$4:A2816,A2816,$I$4:I2816,"&lt;&gt;Штраф -2",$I$4:I2816,"&lt;&gt;ушел на базу"))</f>
        <v/>
      </c>
      <c r="F2816" s="4">
        <f>IF(E2816="","",IF(E2816&lt;=3,6,IF(E2816&lt;=6,5,IF(E2816&lt;=9,4,IF(E2816&lt;=12,3,IF(E2816&lt;=15,2,0))))))</f>
        <v/>
      </c>
      <c r="G2816" s="3" t="n"/>
      <c r="H2816" s="4">
        <f>IF(I2816="Штраф -2",-2,IF(OR(F2816="",G2816=""),"",F2816*G2816+IF(J2816="",0,J2816)))</f>
        <v/>
      </c>
      <c r="I2816" s="3" t="n"/>
      <c r="J2816" s="3" t="n"/>
      <c r="K2816" s="3" t="n"/>
    </row>
    <row r="2817">
      <c r="A2817" s="3" t="n"/>
      <c r="B2817" s="3" t="n"/>
      <c r="C2817" s="3" t="n"/>
      <c r="D2817" s="3" t="n"/>
      <c r="E2817" s="4">
        <f>IF(A2817="","",COUNTIFS($A$4:A2817,A2817,$I$4:I2817,"&lt;&gt;Штраф -2",$I$4:I2817,"&lt;&gt;ушел на базу"))</f>
        <v/>
      </c>
      <c r="F2817" s="4">
        <f>IF(E2817="","",IF(E2817&lt;=3,6,IF(E2817&lt;=6,5,IF(E2817&lt;=9,4,IF(E2817&lt;=12,3,IF(E2817&lt;=15,2,0))))))</f>
        <v/>
      </c>
      <c r="G2817" s="3" t="n"/>
      <c r="H2817" s="4">
        <f>IF(I2817="Штраф -2",-2,IF(OR(F2817="",G2817=""),"",F2817*G2817+IF(J2817="",0,J2817)))</f>
        <v/>
      </c>
      <c r="I2817" s="3" t="n"/>
      <c r="J2817" s="3" t="n"/>
      <c r="K2817" s="3" t="n"/>
    </row>
    <row r="2818">
      <c r="A2818" s="3" t="n"/>
      <c r="B2818" s="3" t="n"/>
      <c r="C2818" s="3" t="n"/>
      <c r="D2818" s="3" t="n"/>
      <c r="E2818" s="4">
        <f>IF(A2818="","",COUNTIFS($A$4:A2818,A2818,$I$4:I2818,"&lt;&gt;Штраф -2",$I$4:I2818,"&lt;&gt;ушел на базу"))</f>
        <v/>
      </c>
      <c r="F2818" s="4">
        <f>IF(E2818="","",IF(E2818&lt;=3,6,IF(E2818&lt;=6,5,IF(E2818&lt;=9,4,IF(E2818&lt;=12,3,IF(E2818&lt;=15,2,0))))))</f>
        <v/>
      </c>
      <c r="G2818" s="3" t="n"/>
      <c r="H2818" s="4">
        <f>IF(I2818="Штраф -2",-2,IF(OR(F2818="",G2818=""),"",F2818*G2818+IF(J2818="",0,J2818)))</f>
        <v/>
      </c>
      <c r="I2818" s="3" t="n"/>
      <c r="J2818" s="3" t="n"/>
      <c r="K2818" s="3" t="n"/>
    </row>
    <row r="2819">
      <c r="A2819" s="3" t="n"/>
      <c r="B2819" s="3" t="n"/>
      <c r="C2819" s="3" t="n"/>
      <c r="D2819" s="3" t="n"/>
      <c r="E2819" s="4">
        <f>IF(A2819="","",COUNTIFS($A$4:A2819,A2819,$I$4:I2819,"&lt;&gt;Штраф -2",$I$4:I2819,"&lt;&gt;ушел на базу"))</f>
        <v/>
      </c>
      <c r="F2819" s="4">
        <f>IF(E2819="","",IF(E2819&lt;=3,6,IF(E2819&lt;=6,5,IF(E2819&lt;=9,4,IF(E2819&lt;=12,3,IF(E2819&lt;=15,2,0))))))</f>
        <v/>
      </c>
      <c r="G2819" s="3" t="n"/>
      <c r="H2819" s="4">
        <f>IF(I2819="Штраф -2",-2,IF(OR(F2819="",G2819=""),"",F2819*G2819+IF(J2819="",0,J2819)))</f>
        <v/>
      </c>
      <c r="I2819" s="3" t="n"/>
      <c r="J2819" s="3" t="n"/>
      <c r="K2819" s="3" t="n"/>
    </row>
    <row r="2820">
      <c r="A2820" s="3" t="n"/>
      <c r="B2820" s="3" t="n"/>
      <c r="C2820" s="3" t="n"/>
      <c r="D2820" s="3" t="n"/>
      <c r="E2820" s="4">
        <f>IF(A2820="","",COUNTIFS($A$4:A2820,A2820,$I$4:I2820,"&lt;&gt;Штраф -2",$I$4:I2820,"&lt;&gt;ушел на базу"))</f>
        <v/>
      </c>
      <c r="F2820" s="4">
        <f>IF(E2820="","",IF(E2820&lt;=3,6,IF(E2820&lt;=6,5,IF(E2820&lt;=9,4,IF(E2820&lt;=12,3,IF(E2820&lt;=15,2,0))))))</f>
        <v/>
      </c>
      <c r="G2820" s="3" t="n"/>
      <c r="H2820" s="4">
        <f>IF(I2820="Штраф -2",-2,IF(OR(F2820="",G2820=""),"",F2820*G2820+IF(J2820="",0,J2820)))</f>
        <v/>
      </c>
      <c r="I2820" s="3" t="n"/>
      <c r="J2820" s="3" t="n"/>
      <c r="K2820" s="3" t="n"/>
    </row>
    <row r="2821">
      <c r="A2821" s="3" t="n"/>
      <c r="B2821" s="3" t="n"/>
      <c r="C2821" s="3" t="n"/>
      <c r="D2821" s="3" t="n"/>
      <c r="E2821" s="4">
        <f>IF(A2821="","",COUNTIFS($A$4:A2821,A2821,$I$4:I2821,"&lt;&gt;Штраф -2",$I$4:I2821,"&lt;&gt;ушел на базу"))</f>
        <v/>
      </c>
      <c r="F2821" s="4">
        <f>IF(E2821="","",IF(E2821&lt;=3,6,IF(E2821&lt;=6,5,IF(E2821&lt;=9,4,IF(E2821&lt;=12,3,IF(E2821&lt;=15,2,0))))))</f>
        <v/>
      </c>
      <c r="G2821" s="3" t="n"/>
      <c r="H2821" s="4">
        <f>IF(I2821="Штраф -2",-2,IF(OR(F2821="",G2821=""),"",F2821*G2821+IF(J2821="",0,J2821)))</f>
        <v/>
      </c>
      <c r="I2821" s="3" t="n"/>
      <c r="J2821" s="3" t="n"/>
      <c r="K2821" s="3" t="n"/>
    </row>
    <row r="2822">
      <c r="A2822" s="3" t="n"/>
      <c r="B2822" s="3" t="n"/>
      <c r="C2822" s="3" t="n"/>
      <c r="D2822" s="3" t="n"/>
      <c r="E2822" s="4">
        <f>IF(A2822="","",COUNTIFS($A$4:A2822,A2822,$I$4:I2822,"&lt;&gt;Штраф -2",$I$4:I2822,"&lt;&gt;ушел на базу"))</f>
        <v/>
      </c>
      <c r="F2822" s="4">
        <f>IF(E2822="","",IF(E2822&lt;=3,6,IF(E2822&lt;=6,5,IF(E2822&lt;=9,4,IF(E2822&lt;=12,3,IF(E2822&lt;=15,2,0))))))</f>
        <v/>
      </c>
      <c r="G2822" s="3" t="n"/>
      <c r="H2822" s="4">
        <f>IF(I2822="Штраф -2",-2,IF(OR(F2822="",G2822=""),"",F2822*G2822+IF(J2822="",0,J2822)))</f>
        <v/>
      </c>
      <c r="I2822" s="3" t="n"/>
      <c r="J2822" s="3" t="n"/>
      <c r="K2822" s="3" t="n"/>
    </row>
    <row r="2823">
      <c r="A2823" s="3" t="n"/>
      <c r="B2823" s="3" t="n"/>
      <c r="C2823" s="3" t="n"/>
      <c r="D2823" s="3" t="n"/>
      <c r="E2823" s="4">
        <f>IF(A2823="","",COUNTIFS($A$4:A2823,A2823,$I$4:I2823,"&lt;&gt;Штраф -2",$I$4:I2823,"&lt;&gt;ушел на базу"))</f>
        <v/>
      </c>
      <c r="F2823" s="4">
        <f>IF(E2823="","",IF(E2823&lt;=3,6,IF(E2823&lt;=6,5,IF(E2823&lt;=9,4,IF(E2823&lt;=12,3,IF(E2823&lt;=15,2,0))))))</f>
        <v/>
      </c>
      <c r="G2823" s="3" t="n"/>
      <c r="H2823" s="4">
        <f>IF(I2823="Штраф -2",-2,IF(OR(F2823="",G2823=""),"",F2823*G2823+IF(J2823="",0,J2823)))</f>
        <v/>
      </c>
      <c r="I2823" s="3" t="n"/>
      <c r="J2823" s="3" t="n"/>
      <c r="K2823" s="3" t="n"/>
    </row>
    <row r="2824">
      <c r="A2824" s="3" t="n"/>
      <c r="B2824" s="3" t="n"/>
      <c r="C2824" s="3" t="n"/>
      <c r="D2824" s="3" t="n"/>
      <c r="E2824" s="4">
        <f>IF(A2824="","",COUNTIFS($A$4:A2824,A2824,$I$4:I2824,"&lt;&gt;Штраф -2",$I$4:I2824,"&lt;&gt;ушел на базу"))</f>
        <v/>
      </c>
      <c r="F2824" s="4">
        <f>IF(E2824="","",IF(E2824&lt;=3,6,IF(E2824&lt;=6,5,IF(E2824&lt;=9,4,IF(E2824&lt;=12,3,IF(E2824&lt;=15,2,0))))))</f>
        <v/>
      </c>
      <c r="G2824" s="3" t="n"/>
      <c r="H2824" s="4">
        <f>IF(I2824="Штраф -2",-2,IF(OR(F2824="",G2824=""),"",F2824*G2824+IF(J2824="",0,J2824)))</f>
        <v/>
      </c>
      <c r="I2824" s="3" t="n"/>
      <c r="J2824" s="3" t="n"/>
      <c r="K2824" s="3" t="n"/>
    </row>
    <row r="2825">
      <c r="A2825" s="3" t="n"/>
      <c r="B2825" s="3" t="n"/>
      <c r="C2825" s="3" t="n"/>
      <c r="D2825" s="3" t="n"/>
      <c r="E2825" s="4">
        <f>IF(A2825="","",COUNTIFS($A$4:A2825,A2825,$I$4:I2825,"&lt;&gt;Штраф -2",$I$4:I2825,"&lt;&gt;ушел на базу"))</f>
        <v/>
      </c>
      <c r="F2825" s="4">
        <f>IF(E2825="","",IF(E2825&lt;=3,6,IF(E2825&lt;=6,5,IF(E2825&lt;=9,4,IF(E2825&lt;=12,3,IF(E2825&lt;=15,2,0))))))</f>
        <v/>
      </c>
      <c r="G2825" s="3" t="n"/>
      <c r="H2825" s="4">
        <f>IF(I2825="Штраф -2",-2,IF(OR(F2825="",G2825=""),"",F2825*G2825+IF(J2825="",0,J2825)))</f>
        <v/>
      </c>
      <c r="I2825" s="3" t="n"/>
      <c r="J2825" s="3" t="n"/>
      <c r="K2825" s="3" t="n"/>
    </row>
    <row r="2826">
      <c r="A2826" s="3" t="n"/>
      <c r="B2826" s="3" t="n"/>
      <c r="C2826" s="3" t="n"/>
      <c r="D2826" s="3" t="n"/>
      <c r="E2826" s="4">
        <f>IF(A2826="","",COUNTIFS($A$4:A2826,A2826,$I$4:I2826,"&lt;&gt;Штраф -2",$I$4:I2826,"&lt;&gt;ушел на базу"))</f>
        <v/>
      </c>
      <c r="F2826" s="4">
        <f>IF(E2826="","",IF(E2826&lt;=3,6,IF(E2826&lt;=6,5,IF(E2826&lt;=9,4,IF(E2826&lt;=12,3,IF(E2826&lt;=15,2,0))))))</f>
        <v/>
      </c>
      <c r="G2826" s="3" t="n"/>
      <c r="H2826" s="4">
        <f>IF(I2826="Штраф -2",-2,IF(OR(F2826="",G2826=""),"",F2826*G2826+IF(J2826="",0,J2826)))</f>
        <v/>
      </c>
      <c r="I2826" s="3" t="n"/>
      <c r="J2826" s="3" t="n"/>
      <c r="K2826" s="3" t="n"/>
    </row>
    <row r="2827">
      <c r="A2827" s="3" t="n"/>
      <c r="B2827" s="3" t="n"/>
      <c r="C2827" s="3" t="n"/>
      <c r="D2827" s="3" t="n"/>
      <c r="E2827" s="4">
        <f>IF(A2827="","",COUNTIFS($A$4:A2827,A2827,$I$4:I2827,"&lt;&gt;Штраф -2",$I$4:I2827,"&lt;&gt;ушел на базу"))</f>
        <v/>
      </c>
      <c r="F2827" s="4">
        <f>IF(E2827="","",IF(E2827&lt;=3,6,IF(E2827&lt;=6,5,IF(E2827&lt;=9,4,IF(E2827&lt;=12,3,IF(E2827&lt;=15,2,0))))))</f>
        <v/>
      </c>
      <c r="G2827" s="3" t="n"/>
      <c r="H2827" s="4">
        <f>IF(I2827="Штраф -2",-2,IF(OR(F2827="",G2827=""),"",F2827*G2827+IF(J2827="",0,J2827)))</f>
        <v/>
      </c>
      <c r="I2827" s="3" t="n"/>
      <c r="J2827" s="3" t="n"/>
      <c r="K2827" s="3" t="n"/>
    </row>
    <row r="2828">
      <c r="A2828" s="3" t="n"/>
      <c r="B2828" s="3" t="n"/>
      <c r="C2828" s="3" t="n"/>
      <c r="D2828" s="3" t="n"/>
      <c r="E2828" s="4">
        <f>IF(A2828="","",COUNTIFS($A$4:A2828,A2828,$I$4:I2828,"&lt;&gt;Штраф -2",$I$4:I2828,"&lt;&gt;ушел на базу"))</f>
        <v/>
      </c>
      <c r="F2828" s="4">
        <f>IF(E2828="","",IF(E2828&lt;=3,6,IF(E2828&lt;=6,5,IF(E2828&lt;=9,4,IF(E2828&lt;=12,3,IF(E2828&lt;=15,2,0))))))</f>
        <v/>
      </c>
      <c r="G2828" s="3" t="n"/>
      <c r="H2828" s="4">
        <f>IF(I2828="Штраф -2",-2,IF(OR(F2828="",G2828=""),"",F2828*G2828+IF(J2828="",0,J2828)))</f>
        <v/>
      </c>
      <c r="I2828" s="3" t="n"/>
      <c r="J2828" s="3" t="n"/>
      <c r="K2828" s="3" t="n"/>
    </row>
    <row r="2829">
      <c r="A2829" s="3" t="n"/>
      <c r="B2829" s="3" t="n"/>
      <c r="C2829" s="3" t="n"/>
      <c r="D2829" s="3" t="n"/>
      <c r="E2829" s="4">
        <f>IF(A2829="","",COUNTIFS($A$4:A2829,A2829,$I$4:I2829,"&lt;&gt;Штраф -2",$I$4:I2829,"&lt;&gt;ушел на базу"))</f>
        <v/>
      </c>
      <c r="F2829" s="4">
        <f>IF(E2829="","",IF(E2829&lt;=3,6,IF(E2829&lt;=6,5,IF(E2829&lt;=9,4,IF(E2829&lt;=12,3,IF(E2829&lt;=15,2,0))))))</f>
        <v/>
      </c>
      <c r="G2829" s="3" t="n"/>
      <c r="H2829" s="4">
        <f>IF(I2829="Штраф -2",-2,IF(OR(F2829="",G2829=""),"",F2829*G2829+IF(J2829="",0,J2829)))</f>
        <v/>
      </c>
      <c r="I2829" s="3" t="n"/>
      <c r="J2829" s="3" t="n"/>
      <c r="K2829" s="3" t="n"/>
    </row>
    <row r="2830">
      <c r="A2830" s="3" t="n"/>
      <c r="B2830" s="3" t="n"/>
      <c r="C2830" s="3" t="n"/>
      <c r="D2830" s="3" t="n"/>
      <c r="E2830" s="4">
        <f>IF(A2830="","",COUNTIFS($A$4:A2830,A2830,$I$4:I2830,"&lt;&gt;Штраф -2",$I$4:I2830,"&lt;&gt;ушел на базу"))</f>
        <v/>
      </c>
      <c r="F2830" s="4">
        <f>IF(E2830="","",IF(E2830&lt;=3,6,IF(E2830&lt;=6,5,IF(E2830&lt;=9,4,IF(E2830&lt;=12,3,IF(E2830&lt;=15,2,0))))))</f>
        <v/>
      </c>
      <c r="G2830" s="3" t="n"/>
      <c r="H2830" s="4">
        <f>IF(I2830="Штраф -2",-2,IF(OR(F2830="",G2830=""),"",F2830*G2830+IF(J2830="",0,J2830)))</f>
        <v/>
      </c>
      <c r="I2830" s="3" t="n"/>
      <c r="J2830" s="3" t="n"/>
      <c r="K2830" s="3" t="n"/>
    </row>
    <row r="2831">
      <c r="A2831" s="3" t="n"/>
      <c r="B2831" s="3" t="n"/>
      <c r="C2831" s="3" t="n"/>
      <c r="D2831" s="3" t="n"/>
      <c r="E2831" s="4">
        <f>IF(A2831="","",COUNTIFS($A$4:A2831,A2831,$I$4:I2831,"&lt;&gt;Штраф -2",$I$4:I2831,"&lt;&gt;ушел на базу"))</f>
        <v/>
      </c>
      <c r="F2831" s="4">
        <f>IF(E2831="","",IF(E2831&lt;=3,6,IF(E2831&lt;=6,5,IF(E2831&lt;=9,4,IF(E2831&lt;=12,3,IF(E2831&lt;=15,2,0))))))</f>
        <v/>
      </c>
      <c r="G2831" s="3" t="n"/>
      <c r="H2831" s="4">
        <f>IF(I2831="Штраф -2",-2,IF(OR(F2831="",G2831=""),"",F2831*G2831+IF(J2831="",0,J2831)))</f>
        <v/>
      </c>
      <c r="I2831" s="3" t="n"/>
      <c r="J2831" s="3" t="n"/>
      <c r="K2831" s="3" t="n"/>
    </row>
    <row r="2832">
      <c r="A2832" s="3" t="n"/>
      <c r="B2832" s="3" t="n"/>
      <c r="C2832" s="3" t="n"/>
      <c r="D2832" s="3" t="n"/>
      <c r="E2832" s="4">
        <f>IF(A2832="","",COUNTIFS($A$4:A2832,A2832,$I$4:I2832,"&lt;&gt;Штраф -2",$I$4:I2832,"&lt;&gt;ушел на базу"))</f>
        <v/>
      </c>
      <c r="F2832" s="4">
        <f>IF(E2832="","",IF(E2832&lt;=3,6,IF(E2832&lt;=6,5,IF(E2832&lt;=9,4,IF(E2832&lt;=12,3,IF(E2832&lt;=15,2,0))))))</f>
        <v/>
      </c>
      <c r="G2832" s="3" t="n"/>
      <c r="H2832" s="4">
        <f>IF(I2832="Штраф -2",-2,IF(OR(F2832="",G2832=""),"",F2832*G2832+IF(J2832="",0,J2832)))</f>
        <v/>
      </c>
      <c r="I2832" s="3" t="n"/>
      <c r="J2832" s="3" t="n"/>
      <c r="K2832" s="3" t="n"/>
    </row>
    <row r="2833">
      <c r="A2833" s="3" t="n"/>
      <c r="B2833" s="3" t="n"/>
      <c r="C2833" s="3" t="n"/>
      <c r="D2833" s="3" t="n"/>
      <c r="E2833" s="4">
        <f>IF(A2833="","",COUNTIFS($A$4:A2833,A2833,$I$4:I2833,"&lt;&gt;Штраф -2",$I$4:I2833,"&lt;&gt;ушел на базу"))</f>
        <v/>
      </c>
      <c r="F2833" s="4">
        <f>IF(E2833="","",IF(E2833&lt;=3,6,IF(E2833&lt;=6,5,IF(E2833&lt;=9,4,IF(E2833&lt;=12,3,IF(E2833&lt;=15,2,0))))))</f>
        <v/>
      </c>
      <c r="G2833" s="3" t="n"/>
      <c r="H2833" s="4">
        <f>IF(I2833="Штраф -2",-2,IF(OR(F2833="",G2833=""),"",F2833*G2833+IF(J2833="",0,J2833)))</f>
        <v/>
      </c>
      <c r="I2833" s="3" t="n"/>
      <c r="J2833" s="3" t="n"/>
      <c r="K2833" s="3" t="n"/>
    </row>
    <row r="2834">
      <c r="A2834" s="3" t="n"/>
      <c r="B2834" s="3" t="n"/>
      <c r="C2834" s="3" t="n"/>
      <c r="D2834" s="3" t="n"/>
      <c r="E2834" s="4">
        <f>IF(A2834="","",COUNTIFS($A$4:A2834,A2834,$I$4:I2834,"&lt;&gt;Штраф -2",$I$4:I2834,"&lt;&gt;ушел на базу"))</f>
        <v/>
      </c>
      <c r="F2834" s="4">
        <f>IF(E2834="","",IF(E2834&lt;=3,6,IF(E2834&lt;=6,5,IF(E2834&lt;=9,4,IF(E2834&lt;=12,3,IF(E2834&lt;=15,2,0))))))</f>
        <v/>
      </c>
      <c r="G2834" s="3" t="n"/>
      <c r="H2834" s="4">
        <f>IF(I2834="Штраф -2",-2,IF(OR(F2834="",G2834=""),"",F2834*G2834+IF(J2834="",0,J2834)))</f>
        <v/>
      </c>
      <c r="I2834" s="3" t="n"/>
      <c r="J2834" s="3" t="n"/>
      <c r="K2834" s="3" t="n"/>
    </row>
    <row r="2835">
      <c r="A2835" s="3" t="n"/>
      <c r="B2835" s="3" t="n"/>
      <c r="C2835" s="3" t="n"/>
      <c r="D2835" s="3" t="n"/>
      <c r="E2835" s="4">
        <f>IF(A2835="","",COUNTIFS($A$4:A2835,A2835,$I$4:I2835,"&lt;&gt;Штраф -2",$I$4:I2835,"&lt;&gt;ушел на базу"))</f>
        <v/>
      </c>
      <c r="F2835" s="4">
        <f>IF(E2835="","",IF(E2835&lt;=3,6,IF(E2835&lt;=6,5,IF(E2835&lt;=9,4,IF(E2835&lt;=12,3,IF(E2835&lt;=15,2,0))))))</f>
        <v/>
      </c>
      <c r="G2835" s="3" t="n"/>
      <c r="H2835" s="4">
        <f>IF(I2835="Штраф -2",-2,IF(OR(F2835="",G2835=""),"",F2835*G2835+IF(J2835="",0,J2835)))</f>
        <v/>
      </c>
      <c r="I2835" s="3" t="n"/>
      <c r="J2835" s="3" t="n"/>
      <c r="K2835" s="3" t="n"/>
    </row>
    <row r="2836">
      <c r="A2836" s="3" t="n"/>
      <c r="B2836" s="3" t="n"/>
      <c r="C2836" s="3" t="n"/>
      <c r="D2836" s="3" t="n"/>
      <c r="E2836" s="4">
        <f>IF(A2836="","",COUNTIFS($A$4:A2836,A2836,$I$4:I2836,"&lt;&gt;Штраф -2",$I$4:I2836,"&lt;&gt;ушел на базу"))</f>
        <v/>
      </c>
      <c r="F2836" s="4">
        <f>IF(E2836="","",IF(E2836&lt;=3,6,IF(E2836&lt;=6,5,IF(E2836&lt;=9,4,IF(E2836&lt;=12,3,IF(E2836&lt;=15,2,0))))))</f>
        <v/>
      </c>
      <c r="G2836" s="3" t="n"/>
      <c r="H2836" s="4">
        <f>IF(I2836="Штраф -2",-2,IF(OR(F2836="",G2836=""),"",F2836*G2836+IF(J2836="",0,J2836)))</f>
        <v/>
      </c>
      <c r="I2836" s="3" t="n"/>
      <c r="J2836" s="3" t="n"/>
      <c r="K2836" s="3" t="n"/>
    </row>
    <row r="2837">
      <c r="A2837" s="3" t="n"/>
      <c r="B2837" s="3" t="n"/>
      <c r="C2837" s="3" t="n"/>
      <c r="D2837" s="3" t="n"/>
      <c r="E2837" s="4">
        <f>IF(A2837="","",COUNTIFS($A$4:A2837,A2837,$I$4:I2837,"&lt;&gt;Штраф -2",$I$4:I2837,"&lt;&gt;ушел на базу"))</f>
        <v/>
      </c>
      <c r="F2837" s="4">
        <f>IF(E2837="","",IF(E2837&lt;=3,6,IF(E2837&lt;=6,5,IF(E2837&lt;=9,4,IF(E2837&lt;=12,3,IF(E2837&lt;=15,2,0))))))</f>
        <v/>
      </c>
      <c r="G2837" s="3" t="n"/>
      <c r="H2837" s="4">
        <f>IF(I2837="Штраф -2",-2,IF(OR(F2837="",G2837=""),"",F2837*G2837+IF(J2837="",0,J2837)))</f>
        <v/>
      </c>
      <c r="I2837" s="3" t="n"/>
      <c r="J2837" s="3" t="n"/>
      <c r="K2837" s="3" t="n"/>
    </row>
    <row r="2838">
      <c r="A2838" s="3" t="n"/>
      <c r="B2838" s="3" t="n"/>
      <c r="C2838" s="3" t="n"/>
      <c r="D2838" s="3" t="n"/>
      <c r="E2838" s="4">
        <f>IF(A2838="","",COUNTIFS($A$4:A2838,A2838,$I$4:I2838,"&lt;&gt;Штраф -2",$I$4:I2838,"&lt;&gt;ушел на базу"))</f>
        <v/>
      </c>
      <c r="F2838" s="4">
        <f>IF(E2838="","",IF(E2838&lt;=3,6,IF(E2838&lt;=6,5,IF(E2838&lt;=9,4,IF(E2838&lt;=12,3,IF(E2838&lt;=15,2,0))))))</f>
        <v/>
      </c>
      <c r="G2838" s="3" t="n"/>
      <c r="H2838" s="4">
        <f>IF(I2838="Штраф -2",-2,IF(OR(F2838="",G2838=""),"",F2838*G2838+IF(J2838="",0,J2838)))</f>
        <v/>
      </c>
      <c r="I2838" s="3" t="n"/>
      <c r="J2838" s="3" t="n"/>
      <c r="K2838" s="3" t="n"/>
    </row>
    <row r="2839">
      <c r="A2839" s="3" t="n"/>
      <c r="B2839" s="3" t="n"/>
      <c r="C2839" s="3" t="n"/>
      <c r="D2839" s="3" t="n"/>
      <c r="E2839" s="4">
        <f>IF(A2839="","",COUNTIFS($A$4:A2839,A2839,$I$4:I2839,"&lt;&gt;Штраф -2",$I$4:I2839,"&lt;&gt;ушел на базу"))</f>
        <v/>
      </c>
      <c r="F2839" s="4">
        <f>IF(E2839="","",IF(E2839&lt;=3,6,IF(E2839&lt;=6,5,IF(E2839&lt;=9,4,IF(E2839&lt;=12,3,IF(E2839&lt;=15,2,0))))))</f>
        <v/>
      </c>
      <c r="G2839" s="3" t="n"/>
      <c r="H2839" s="4">
        <f>IF(I2839="Штраф -2",-2,IF(OR(F2839="",G2839=""),"",F2839*G2839+IF(J2839="",0,J2839)))</f>
        <v/>
      </c>
      <c r="I2839" s="3" t="n"/>
      <c r="J2839" s="3" t="n"/>
      <c r="K2839" s="3" t="n"/>
    </row>
    <row r="2840">
      <c r="A2840" s="3" t="n"/>
      <c r="B2840" s="3" t="n"/>
      <c r="C2840" s="3" t="n"/>
      <c r="D2840" s="3" t="n"/>
      <c r="E2840" s="4">
        <f>IF(A2840="","",COUNTIFS($A$4:A2840,A2840,$I$4:I2840,"&lt;&gt;Штраф -2",$I$4:I2840,"&lt;&gt;ушел на базу"))</f>
        <v/>
      </c>
      <c r="F2840" s="4">
        <f>IF(E2840="","",IF(E2840&lt;=3,6,IF(E2840&lt;=6,5,IF(E2840&lt;=9,4,IF(E2840&lt;=12,3,IF(E2840&lt;=15,2,0))))))</f>
        <v/>
      </c>
      <c r="G2840" s="3" t="n"/>
      <c r="H2840" s="4">
        <f>IF(I2840="Штраф -2",-2,IF(OR(F2840="",G2840=""),"",F2840*G2840+IF(J2840="",0,J2840)))</f>
        <v/>
      </c>
      <c r="I2840" s="3" t="n"/>
      <c r="J2840" s="3" t="n"/>
      <c r="K2840" s="3" t="n"/>
    </row>
    <row r="2841">
      <c r="A2841" s="3" t="n"/>
      <c r="B2841" s="3" t="n"/>
      <c r="C2841" s="3" t="n"/>
      <c r="D2841" s="3" t="n"/>
      <c r="E2841" s="4">
        <f>IF(A2841="","",COUNTIFS($A$4:A2841,A2841,$I$4:I2841,"&lt;&gt;Штраф -2",$I$4:I2841,"&lt;&gt;ушел на базу"))</f>
        <v/>
      </c>
      <c r="F2841" s="4">
        <f>IF(E2841="","",IF(E2841&lt;=3,6,IF(E2841&lt;=6,5,IF(E2841&lt;=9,4,IF(E2841&lt;=12,3,IF(E2841&lt;=15,2,0))))))</f>
        <v/>
      </c>
      <c r="G2841" s="3" t="n"/>
      <c r="H2841" s="4">
        <f>IF(I2841="Штраф -2",-2,IF(OR(F2841="",G2841=""),"",F2841*G2841+IF(J2841="",0,J2841)))</f>
        <v/>
      </c>
      <c r="I2841" s="3" t="n"/>
      <c r="J2841" s="3" t="n"/>
      <c r="K2841" s="3" t="n"/>
    </row>
    <row r="2842">
      <c r="A2842" s="3" t="n"/>
      <c r="B2842" s="3" t="n"/>
      <c r="C2842" s="3" t="n"/>
      <c r="D2842" s="3" t="n"/>
      <c r="E2842" s="4">
        <f>IF(A2842="","",COUNTIFS($A$4:A2842,A2842,$I$4:I2842,"&lt;&gt;Штраф -2",$I$4:I2842,"&lt;&gt;ушел на базу"))</f>
        <v/>
      </c>
      <c r="F2842" s="4">
        <f>IF(E2842="","",IF(E2842&lt;=3,6,IF(E2842&lt;=6,5,IF(E2842&lt;=9,4,IF(E2842&lt;=12,3,IF(E2842&lt;=15,2,0))))))</f>
        <v/>
      </c>
      <c r="G2842" s="3" t="n"/>
      <c r="H2842" s="4">
        <f>IF(I2842="Штраф -2",-2,IF(OR(F2842="",G2842=""),"",F2842*G2842+IF(J2842="",0,J2842)))</f>
        <v/>
      </c>
      <c r="I2842" s="3" t="n"/>
      <c r="J2842" s="3" t="n"/>
      <c r="K2842" s="3" t="n"/>
    </row>
    <row r="2843">
      <c r="A2843" s="3" t="n"/>
      <c r="B2843" s="3" t="n"/>
      <c r="C2843" s="3" t="n"/>
      <c r="D2843" s="3" t="n"/>
      <c r="E2843" s="4">
        <f>IF(A2843="","",COUNTIFS($A$4:A2843,A2843,$I$4:I2843,"&lt;&gt;Штраф -2",$I$4:I2843,"&lt;&gt;ушел на базу"))</f>
        <v/>
      </c>
      <c r="F2843" s="4">
        <f>IF(E2843="","",IF(E2843&lt;=3,6,IF(E2843&lt;=6,5,IF(E2843&lt;=9,4,IF(E2843&lt;=12,3,IF(E2843&lt;=15,2,0))))))</f>
        <v/>
      </c>
      <c r="G2843" s="3" t="n"/>
      <c r="H2843" s="4">
        <f>IF(I2843="Штраф -2",-2,IF(OR(F2843="",G2843=""),"",F2843*G2843+IF(J2843="",0,J2843)))</f>
        <v/>
      </c>
      <c r="I2843" s="3" t="n"/>
      <c r="J2843" s="3" t="n"/>
      <c r="K2843" s="3" t="n"/>
    </row>
    <row r="2844">
      <c r="A2844" s="3" t="n"/>
      <c r="B2844" s="3" t="n"/>
      <c r="C2844" s="3" t="n"/>
      <c r="D2844" s="3" t="n"/>
      <c r="E2844" s="4">
        <f>IF(A2844="","",COUNTIFS($A$4:A2844,A2844,$I$4:I2844,"&lt;&gt;Штраф -2",$I$4:I2844,"&lt;&gt;ушел на базу"))</f>
        <v/>
      </c>
      <c r="F2844" s="4">
        <f>IF(E2844="","",IF(E2844&lt;=3,6,IF(E2844&lt;=6,5,IF(E2844&lt;=9,4,IF(E2844&lt;=12,3,IF(E2844&lt;=15,2,0))))))</f>
        <v/>
      </c>
      <c r="G2844" s="3" t="n"/>
      <c r="H2844" s="4">
        <f>IF(I2844="Штраф -2",-2,IF(OR(F2844="",G2844=""),"",F2844*G2844+IF(J2844="",0,J2844)))</f>
        <v/>
      </c>
      <c r="I2844" s="3" t="n"/>
      <c r="J2844" s="3" t="n"/>
      <c r="K2844" s="3" t="n"/>
    </row>
    <row r="2845">
      <c r="A2845" s="3" t="n"/>
      <c r="B2845" s="3" t="n"/>
      <c r="C2845" s="3" t="n"/>
      <c r="D2845" s="3" t="n"/>
      <c r="E2845" s="4">
        <f>IF(A2845="","",COUNTIFS($A$4:A2845,A2845,$I$4:I2845,"&lt;&gt;Штраф -2",$I$4:I2845,"&lt;&gt;ушел на базу"))</f>
        <v/>
      </c>
      <c r="F2845" s="4">
        <f>IF(E2845="","",IF(E2845&lt;=3,6,IF(E2845&lt;=6,5,IF(E2845&lt;=9,4,IF(E2845&lt;=12,3,IF(E2845&lt;=15,2,0))))))</f>
        <v/>
      </c>
      <c r="G2845" s="3" t="n"/>
      <c r="H2845" s="4">
        <f>IF(I2845="Штраф -2",-2,IF(OR(F2845="",G2845=""),"",F2845*G2845+IF(J2845="",0,J2845)))</f>
        <v/>
      </c>
      <c r="I2845" s="3" t="n"/>
      <c r="J2845" s="3" t="n"/>
      <c r="K2845" s="3" t="n"/>
    </row>
    <row r="2846">
      <c r="A2846" s="3" t="n"/>
      <c r="B2846" s="3" t="n"/>
      <c r="C2846" s="3" t="n"/>
      <c r="D2846" s="3" t="n"/>
      <c r="E2846" s="4">
        <f>IF(A2846="","",COUNTIFS($A$4:A2846,A2846,$I$4:I2846,"&lt;&gt;Штраф -2",$I$4:I2846,"&lt;&gt;ушел на базу"))</f>
        <v/>
      </c>
      <c r="F2846" s="4">
        <f>IF(E2846="","",IF(E2846&lt;=3,6,IF(E2846&lt;=6,5,IF(E2846&lt;=9,4,IF(E2846&lt;=12,3,IF(E2846&lt;=15,2,0))))))</f>
        <v/>
      </c>
      <c r="G2846" s="3" t="n"/>
      <c r="H2846" s="4">
        <f>IF(I2846="Штраф -2",-2,IF(OR(F2846="",G2846=""),"",F2846*G2846+IF(J2846="",0,J2846)))</f>
        <v/>
      </c>
      <c r="I2846" s="3" t="n"/>
      <c r="J2846" s="3" t="n"/>
      <c r="K2846" s="3" t="n"/>
    </row>
    <row r="2847">
      <c r="A2847" s="3" t="n"/>
      <c r="B2847" s="3" t="n"/>
      <c r="C2847" s="3" t="n"/>
      <c r="D2847" s="3" t="n"/>
      <c r="E2847" s="4">
        <f>IF(A2847="","",COUNTIFS($A$4:A2847,A2847,$I$4:I2847,"&lt;&gt;Штраф -2",$I$4:I2847,"&lt;&gt;ушел на базу"))</f>
        <v/>
      </c>
      <c r="F2847" s="4">
        <f>IF(E2847="","",IF(E2847&lt;=3,6,IF(E2847&lt;=6,5,IF(E2847&lt;=9,4,IF(E2847&lt;=12,3,IF(E2847&lt;=15,2,0))))))</f>
        <v/>
      </c>
      <c r="G2847" s="3" t="n"/>
      <c r="H2847" s="4">
        <f>IF(I2847="Штраф -2",-2,IF(OR(F2847="",G2847=""),"",F2847*G2847+IF(J2847="",0,J2847)))</f>
        <v/>
      </c>
      <c r="I2847" s="3" t="n"/>
      <c r="J2847" s="3" t="n"/>
      <c r="K2847" s="3" t="n"/>
    </row>
    <row r="2848">
      <c r="A2848" s="3" t="n"/>
      <c r="B2848" s="3" t="n"/>
      <c r="C2848" s="3" t="n"/>
      <c r="D2848" s="3" t="n"/>
      <c r="E2848" s="4">
        <f>IF(A2848="","",COUNTIFS($A$4:A2848,A2848,$I$4:I2848,"&lt;&gt;Штраф -2",$I$4:I2848,"&lt;&gt;ушел на базу"))</f>
        <v/>
      </c>
      <c r="F2848" s="4">
        <f>IF(E2848="","",IF(E2848&lt;=3,6,IF(E2848&lt;=6,5,IF(E2848&lt;=9,4,IF(E2848&lt;=12,3,IF(E2848&lt;=15,2,0))))))</f>
        <v/>
      </c>
      <c r="G2848" s="3" t="n"/>
      <c r="H2848" s="4">
        <f>IF(I2848="Штраф -2",-2,IF(OR(F2848="",G2848=""),"",F2848*G2848+IF(J2848="",0,J2848)))</f>
        <v/>
      </c>
      <c r="I2848" s="3" t="n"/>
      <c r="J2848" s="3" t="n"/>
      <c r="K2848" s="3" t="n"/>
    </row>
    <row r="2849">
      <c r="A2849" s="3" t="n"/>
      <c r="B2849" s="3" t="n"/>
      <c r="C2849" s="3" t="n"/>
      <c r="D2849" s="3" t="n"/>
      <c r="E2849" s="4">
        <f>IF(A2849="","",COUNTIFS($A$4:A2849,A2849,$I$4:I2849,"&lt;&gt;Штраф -2",$I$4:I2849,"&lt;&gt;ушел на базу"))</f>
        <v/>
      </c>
      <c r="F2849" s="4">
        <f>IF(E2849="","",IF(E2849&lt;=3,6,IF(E2849&lt;=6,5,IF(E2849&lt;=9,4,IF(E2849&lt;=12,3,IF(E2849&lt;=15,2,0))))))</f>
        <v/>
      </c>
      <c r="G2849" s="3" t="n"/>
      <c r="H2849" s="4">
        <f>IF(I2849="Штраф -2",-2,IF(OR(F2849="",G2849=""),"",F2849*G2849+IF(J2849="",0,J2849)))</f>
        <v/>
      </c>
      <c r="I2849" s="3" t="n"/>
      <c r="J2849" s="3" t="n"/>
      <c r="K2849" s="3" t="n"/>
    </row>
    <row r="2850">
      <c r="A2850" s="3" t="n"/>
      <c r="B2850" s="3" t="n"/>
      <c r="C2850" s="3" t="n"/>
      <c r="D2850" s="3" t="n"/>
      <c r="E2850" s="4">
        <f>IF(A2850="","",COUNTIFS($A$4:A2850,A2850,$I$4:I2850,"&lt;&gt;Штраф -2",$I$4:I2850,"&lt;&gt;ушел на базу"))</f>
        <v/>
      </c>
      <c r="F2850" s="4">
        <f>IF(E2850="","",IF(E2850&lt;=3,6,IF(E2850&lt;=6,5,IF(E2850&lt;=9,4,IF(E2850&lt;=12,3,IF(E2850&lt;=15,2,0))))))</f>
        <v/>
      </c>
      <c r="G2850" s="3" t="n"/>
      <c r="H2850" s="4">
        <f>IF(I2850="Штраф -2",-2,IF(OR(F2850="",G2850=""),"",F2850*G2850+IF(J2850="",0,J2850)))</f>
        <v/>
      </c>
      <c r="I2850" s="3" t="n"/>
      <c r="J2850" s="3" t="n"/>
      <c r="K2850" s="3" t="n"/>
    </row>
    <row r="2851">
      <c r="A2851" s="3" t="n"/>
      <c r="B2851" s="3" t="n"/>
      <c r="C2851" s="3" t="n"/>
      <c r="D2851" s="3" t="n"/>
      <c r="E2851" s="4">
        <f>IF(A2851="","",COUNTIFS($A$4:A2851,A2851,$I$4:I2851,"&lt;&gt;Штраф -2",$I$4:I2851,"&lt;&gt;ушел на базу"))</f>
        <v/>
      </c>
      <c r="F2851" s="4">
        <f>IF(E2851="","",IF(E2851&lt;=3,6,IF(E2851&lt;=6,5,IF(E2851&lt;=9,4,IF(E2851&lt;=12,3,IF(E2851&lt;=15,2,0))))))</f>
        <v/>
      </c>
      <c r="G2851" s="3" t="n"/>
      <c r="H2851" s="4">
        <f>IF(I2851="Штраф -2",-2,IF(OR(F2851="",G2851=""),"",F2851*G2851+IF(J2851="",0,J2851)))</f>
        <v/>
      </c>
      <c r="I2851" s="3" t="n"/>
      <c r="J2851" s="3" t="n"/>
      <c r="K2851" s="3" t="n"/>
    </row>
    <row r="2852">
      <c r="A2852" s="3" t="n"/>
      <c r="B2852" s="3" t="n"/>
      <c r="C2852" s="3" t="n"/>
      <c r="D2852" s="3" t="n"/>
      <c r="E2852" s="4">
        <f>IF(A2852="","",COUNTIFS($A$4:A2852,A2852,$I$4:I2852,"&lt;&gt;Штраф -2",$I$4:I2852,"&lt;&gt;ушел на базу"))</f>
        <v/>
      </c>
      <c r="F2852" s="4">
        <f>IF(E2852="","",IF(E2852&lt;=3,6,IF(E2852&lt;=6,5,IF(E2852&lt;=9,4,IF(E2852&lt;=12,3,IF(E2852&lt;=15,2,0))))))</f>
        <v/>
      </c>
      <c r="G2852" s="3" t="n"/>
      <c r="H2852" s="4">
        <f>IF(I2852="Штраф -2",-2,IF(OR(F2852="",G2852=""),"",F2852*G2852+IF(J2852="",0,J2852)))</f>
        <v/>
      </c>
      <c r="I2852" s="3" t="n"/>
      <c r="J2852" s="3" t="n"/>
      <c r="K2852" s="3" t="n"/>
    </row>
    <row r="2853">
      <c r="A2853" s="3" t="n"/>
      <c r="B2853" s="3" t="n"/>
      <c r="C2853" s="3" t="n"/>
      <c r="D2853" s="3" t="n"/>
      <c r="E2853" s="4">
        <f>IF(A2853="","",COUNTIFS($A$4:A2853,A2853,$I$4:I2853,"&lt;&gt;Штраф -2",$I$4:I2853,"&lt;&gt;ушел на базу"))</f>
        <v/>
      </c>
      <c r="F2853" s="4">
        <f>IF(E2853="","",IF(E2853&lt;=3,6,IF(E2853&lt;=6,5,IF(E2853&lt;=9,4,IF(E2853&lt;=12,3,IF(E2853&lt;=15,2,0))))))</f>
        <v/>
      </c>
      <c r="G2853" s="3" t="n"/>
      <c r="H2853" s="4">
        <f>IF(I2853="Штраф -2",-2,IF(OR(F2853="",G2853=""),"",F2853*G2853+IF(J2853="",0,J2853)))</f>
        <v/>
      </c>
      <c r="I2853" s="3" t="n"/>
      <c r="J2853" s="3" t="n"/>
      <c r="K2853" s="3" t="n"/>
    </row>
    <row r="2854">
      <c r="A2854" s="3" t="n"/>
      <c r="B2854" s="3" t="n"/>
      <c r="C2854" s="3" t="n"/>
      <c r="D2854" s="3" t="n"/>
      <c r="E2854" s="4">
        <f>IF(A2854="","",COUNTIFS($A$4:A2854,A2854,$I$4:I2854,"&lt;&gt;Штраф -2",$I$4:I2854,"&lt;&gt;ушел на базу"))</f>
        <v/>
      </c>
      <c r="F2854" s="4">
        <f>IF(E2854="","",IF(E2854&lt;=3,6,IF(E2854&lt;=6,5,IF(E2854&lt;=9,4,IF(E2854&lt;=12,3,IF(E2854&lt;=15,2,0))))))</f>
        <v/>
      </c>
      <c r="G2854" s="3" t="n"/>
      <c r="H2854" s="4">
        <f>IF(I2854="Штраф -2",-2,IF(OR(F2854="",G2854=""),"",F2854*G2854+IF(J2854="",0,J2854)))</f>
        <v/>
      </c>
      <c r="I2854" s="3" t="n"/>
      <c r="J2854" s="3" t="n"/>
      <c r="K2854" s="3" t="n"/>
    </row>
    <row r="2855">
      <c r="A2855" s="3" t="n"/>
      <c r="B2855" s="3" t="n"/>
      <c r="C2855" s="3" t="n"/>
      <c r="D2855" s="3" t="n"/>
      <c r="E2855" s="4">
        <f>IF(A2855="","",COUNTIFS($A$4:A2855,A2855,$I$4:I2855,"&lt;&gt;Штраф -2",$I$4:I2855,"&lt;&gt;ушел на базу"))</f>
        <v/>
      </c>
      <c r="F2855" s="4">
        <f>IF(E2855="","",IF(E2855&lt;=3,6,IF(E2855&lt;=6,5,IF(E2855&lt;=9,4,IF(E2855&lt;=12,3,IF(E2855&lt;=15,2,0))))))</f>
        <v/>
      </c>
      <c r="G2855" s="3" t="n"/>
      <c r="H2855" s="4">
        <f>IF(I2855="Штраф -2",-2,IF(OR(F2855="",G2855=""),"",F2855*G2855+IF(J2855="",0,J2855)))</f>
        <v/>
      </c>
      <c r="I2855" s="3" t="n"/>
      <c r="J2855" s="3" t="n"/>
      <c r="K2855" s="3" t="n"/>
    </row>
    <row r="2856">
      <c r="A2856" s="3" t="n"/>
      <c r="B2856" s="3" t="n"/>
      <c r="C2856" s="3" t="n"/>
      <c r="D2856" s="3" t="n"/>
      <c r="E2856" s="4">
        <f>IF(A2856="","",COUNTIFS($A$4:A2856,A2856,$I$4:I2856,"&lt;&gt;Штраф -2",$I$4:I2856,"&lt;&gt;ушел на базу"))</f>
        <v/>
      </c>
      <c r="F2856" s="4">
        <f>IF(E2856="","",IF(E2856&lt;=3,6,IF(E2856&lt;=6,5,IF(E2856&lt;=9,4,IF(E2856&lt;=12,3,IF(E2856&lt;=15,2,0))))))</f>
        <v/>
      </c>
      <c r="G2856" s="3" t="n"/>
      <c r="H2856" s="4">
        <f>IF(I2856="Штраф -2",-2,IF(OR(F2856="",G2856=""),"",F2856*G2856+IF(J2856="",0,J2856)))</f>
        <v/>
      </c>
      <c r="I2856" s="3" t="n"/>
      <c r="J2856" s="3" t="n"/>
      <c r="K2856" s="3" t="n"/>
    </row>
    <row r="2857">
      <c r="A2857" s="3" t="n"/>
      <c r="B2857" s="3" t="n"/>
      <c r="C2857" s="3" t="n"/>
      <c r="D2857" s="3" t="n"/>
      <c r="E2857" s="4">
        <f>IF(A2857="","",COUNTIFS($A$4:A2857,A2857,$I$4:I2857,"&lt;&gt;Штраф -2",$I$4:I2857,"&lt;&gt;ушел на базу"))</f>
        <v/>
      </c>
      <c r="F2857" s="4">
        <f>IF(E2857="","",IF(E2857&lt;=3,6,IF(E2857&lt;=6,5,IF(E2857&lt;=9,4,IF(E2857&lt;=12,3,IF(E2857&lt;=15,2,0))))))</f>
        <v/>
      </c>
      <c r="G2857" s="3" t="n"/>
      <c r="H2857" s="4">
        <f>IF(I2857="Штраф -2",-2,IF(OR(F2857="",G2857=""),"",F2857*G2857+IF(J2857="",0,J2857)))</f>
        <v/>
      </c>
      <c r="I2857" s="3" t="n"/>
      <c r="J2857" s="3" t="n"/>
      <c r="K2857" s="3" t="n"/>
    </row>
    <row r="2858">
      <c r="A2858" s="3" t="n"/>
      <c r="B2858" s="3" t="n"/>
      <c r="C2858" s="3" t="n"/>
      <c r="D2858" s="3" t="n"/>
      <c r="E2858" s="4">
        <f>IF(A2858="","",COUNTIFS($A$4:A2858,A2858,$I$4:I2858,"&lt;&gt;Штраф -2",$I$4:I2858,"&lt;&gt;ушел на базу"))</f>
        <v/>
      </c>
      <c r="F2858" s="4">
        <f>IF(E2858="","",IF(E2858&lt;=3,6,IF(E2858&lt;=6,5,IF(E2858&lt;=9,4,IF(E2858&lt;=12,3,IF(E2858&lt;=15,2,0))))))</f>
        <v/>
      </c>
      <c r="G2858" s="3" t="n"/>
      <c r="H2858" s="4">
        <f>IF(I2858="Штраф -2",-2,IF(OR(F2858="",G2858=""),"",F2858*G2858+IF(J2858="",0,J2858)))</f>
        <v/>
      </c>
      <c r="I2858" s="3" t="n"/>
      <c r="J2858" s="3" t="n"/>
      <c r="K2858" s="3" t="n"/>
    </row>
    <row r="2859">
      <c r="A2859" s="3" t="n"/>
      <c r="B2859" s="3" t="n"/>
      <c r="C2859" s="3" t="n"/>
      <c r="D2859" s="3" t="n"/>
      <c r="E2859" s="4">
        <f>IF(A2859="","",COUNTIFS($A$4:A2859,A2859,$I$4:I2859,"&lt;&gt;Штраф -2",$I$4:I2859,"&lt;&gt;ушел на базу"))</f>
        <v/>
      </c>
      <c r="F2859" s="4">
        <f>IF(E2859="","",IF(E2859&lt;=3,6,IF(E2859&lt;=6,5,IF(E2859&lt;=9,4,IF(E2859&lt;=12,3,IF(E2859&lt;=15,2,0))))))</f>
        <v/>
      </c>
      <c r="G2859" s="3" t="n"/>
      <c r="H2859" s="4">
        <f>IF(I2859="Штраф -2",-2,IF(OR(F2859="",G2859=""),"",F2859*G2859+IF(J2859="",0,J2859)))</f>
        <v/>
      </c>
      <c r="I2859" s="3" t="n"/>
      <c r="J2859" s="3" t="n"/>
      <c r="K2859" s="3" t="n"/>
    </row>
    <row r="2860">
      <c r="A2860" s="3" t="n"/>
      <c r="B2860" s="3" t="n"/>
      <c r="C2860" s="3" t="n"/>
      <c r="D2860" s="3" t="n"/>
      <c r="E2860" s="4">
        <f>IF(A2860="","",COUNTIFS($A$4:A2860,A2860,$I$4:I2860,"&lt;&gt;Штраф -2",$I$4:I2860,"&lt;&gt;ушел на базу"))</f>
        <v/>
      </c>
      <c r="F2860" s="4">
        <f>IF(E2860="","",IF(E2860&lt;=3,6,IF(E2860&lt;=6,5,IF(E2860&lt;=9,4,IF(E2860&lt;=12,3,IF(E2860&lt;=15,2,0))))))</f>
        <v/>
      </c>
      <c r="G2860" s="3" t="n"/>
      <c r="H2860" s="4">
        <f>IF(I2860="Штраф -2",-2,IF(OR(F2860="",G2860=""),"",F2860*G2860+IF(J2860="",0,J2860)))</f>
        <v/>
      </c>
      <c r="I2860" s="3" t="n"/>
      <c r="J2860" s="3" t="n"/>
      <c r="K2860" s="3" t="n"/>
    </row>
    <row r="2861">
      <c r="A2861" s="3" t="n"/>
      <c r="B2861" s="3" t="n"/>
      <c r="C2861" s="3" t="n"/>
      <c r="D2861" s="3" t="n"/>
      <c r="E2861" s="4">
        <f>IF(A2861="","",COUNTIFS($A$4:A2861,A2861,$I$4:I2861,"&lt;&gt;Штраф -2",$I$4:I2861,"&lt;&gt;ушел на базу"))</f>
        <v/>
      </c>
      <c r="F2861" s="4">
        <f>IF(E2861="","",IF(E2861&lt;=3,6,IF(E2861&lt;=6,5,IF(E2861&lt;=9,4,IF(E2861&lt;=12,3,IF(E2861&lt;=15,2,0))))))</f>
        <v/>
      </c>
      <c r="G2861" s="3" t="n"/>
      <c r="H2861" s="4">
        <f>IF(I2861="Штраф -2",-2,IF(OR(F2861="",G2861=""),"",F2861*G2861+IF(J2861="",0,J2861)))</f>
        <v/>
      </c>
      <c r="I2861" s="3" t="n"/>
      <c r="J2861" s="3" t="n"/>
      <c r="K2861" s="3" t="n"/>
    </row>
    <row r="2862">
      <c r="A2862" s="3" t="n"/>
      <c r="B2862" s="3" t="n"/>
      <c r="C2862" s="3" t="n"/>
      <c r="D2862" s="3" t="n"/>
      <c r="E2862" s="4">
        <f>IF(A2862="","",COUNTIFS($A$4:A2862,A2862,$I$4:I2862,"&lt;&gt;Штраф -2",$I$4:I2862,"&lt;&gt;ушел на базу"))</f>
        <v/>
      </c>
      <c r="F2862" s="4">
        <f>IF(E2862="","",IF(E2862&lt;=3,6,IF(E2862&lt;=6,5,IF(E2862&lt;=9,4,IF(E2862&lt;=12,3,IF(E2862&lt;=15,2,0))))))</f>
        <v/>
      </c>
      <c r="G2862" s="3" t="n"/>
      <c r="H2862" s="4">
        <f>IF(I2862="Штраф -2",-2,IF(OR(F2862="",G2862=""),"",F2862*G2862+IF(J2862="",0,J2862)))</f>
        <v/>
      </c>
      <c r="I2862" s="3" t="n"/>
      <c r="J2862" s="3" t="n"/>
      <c r="K2862" s="3" t="n"/>
    </row>
    <row r="2863">
      <c r="A2863" s="3" t="n"/>
      <c r="B2863" s="3" t="n"/>
      <c r="C2863" s="3" t="n"/>
      <c r="D2863" s="3" t="n"/>
      <c r="E2863" s="4">
        <f>IF(A2863="","",COUNTIFS($A$4:A2863,A2863,$I$4:I2863,"&lt;&gt;Штраф -2",$I$4:I2863,"&lt;&gt;ушел на базу"))</f>
        <v/>
      </c>
      <c r="F2863" s="4">
        <f>IF(E2863="","",IF(E2863&lt;=3,6,IF(E2863&lt;=6,5,IF(E2863&lt;=9,4,IF(E2863&lt;=12,3,IF(E2863&lt;=15,2,0))))))</f>
        <v/>
      </c>
      <c r="G2863" s="3" t="n"/>
      <c r="H2863" s="4">
        <f>IF(I2863="Штраф -2",-2,IF(OR(F2863="",G2863=""),"",F2863*G2863+IF(J2863="",0,J2863)))</f>
        <v/>
      </c>
      <c r="I2863" s="3" t="n"/>
      <c r="J2863" s="3" t="n"/>
      <c r="K2863" s="3" t="n"/>
    </row>
    <row r="2864">
      <c r="A2864" s="3" t="n"/>
      <c r="B2864" s="3" t="n"/>
      <c r="C2864" s="3" t="n"/>
      <c r="D2864" s="3" t="n"/>
      <c r="E2864" s="4">
        <f>IF(A2864="","",COUNTIFS($A$4:A2864,A2864,$I$4:I2864,"&lt;&gt;Штраф -2",$I$4:I2864,"&lt;&gt;ушел на базу"))</f>
        <v/>
      </c>
      <c r="F2864" s="4">
        <f>IF(E2864="","",IF(E2864&lt;=3,6,IF(E2864&lt;=6,5,IF(E2864&lt;=9,4,IF(E2864&lt;=12,3,IF(E2864&lt;=15,2,0))))))</f>
        <v/>
      </c>
      <c r="G2864" s="3" t="n"/>
      <c r="H2864" s="4">
        <f>IF(I2864="Штраф -2",-2,IF(OR(F2864="",G2864=""),"",F2864*G2864+IF(J2864="",0,J2864)))</f>
        <v/>
      </c>
      <c r="I2864" s="3" t="n"/>
      <c r="J2864" s="3" t="n"/>
      <c r="K2864" s="3" t="n"/>
    </row>
    <row r="2865">
      <c r="A2865" s="3" t="n"/>
      <c r="B2865" s="3" t="n"/>
      <c r="C2865" s="3" t="n"/>
      <c r="D2865" s="3" t="n"/>
      <c r="E2865" s="4">
        <f>IF(A2865="","",COUNTIFS($A$4:A2865,A2865,$I$4:I2865,"&lt;&gt;Штраф -2",$I$4:I2865,"&lt;&gt;ушел на базу"))</f>
        <v/>
      </c>
      <c r="F2865" s="4">
        <f>IF(E2865="","",IF(E2865&lt;=3,6,IF(E2865&lt;=6,5,IF(E2865&lt;=9,4,IF(E2865&lt;=12,3,IF(E2865&lt;=15,2,0))))))</f>
        <v/>
      </c>
      <c r="G2865" s="3" t="n"/>
      <c r="H2865" s="4">
        <f>IF(I2865="Штраф -2",-2,IF(OR(F2865="",G2865=""),"",F2865*G2865+IF(J2865="",0,J2865)))</f>
        <v/>
      </c>
      <c r="I2865" s="3" t="n"/>
      <c r="J2865" s="3" t="n"/>
      <c r="K2865" s="3" t="n"/>
    </row>
    <row r="2866">
      <c r="A2866" s="3" t="n"/>
      <c r="B2866" s="3" t="n"/>
      <c r="C2866" s="3" t="n"/>
      <c r="D2866" s="3" t="n"/>
      <c r="E2866" s="4">
        <f>IF(A2866="","",COUNTIFS($A$4:A2866,A2866,$I$4:I2866,"&lt;&gt;Штраф -2",$I$4:I2866,"&lt;&gt;ушел на базу"))</f>
        <v/>
      </c>
      <c r="F2866" s="4">
        <f>IF(E2866="","",IF(E2866&lt;=3,6,IF(E2866&lt;=6,5,IF(E2866&lt;=9,4,IF(E2866&lt;=12,3,IF(E2866&lt;=15,2,0))))))</f>
        <v/>
      </c>
      <c r="G2866" s="3" t="n"/>
      <c r="H2866" s="4">
        <f>IF(I2866="Штраф -2",-2,IF(OR(F2866="",G2866=""),"",F2866*G2866+IF(J2866="",0,J2866)))</f>
        <v/>
      </c>
      <c r="I2866" s="3" t="n"/>
      <c r="J2866" s="3" t="n"/>
      <c r="K2866" s="3" t="n"/>
    </row>
    <row r="2867">
      <c r="A2867" s="3" t="n"/>
      <c r="B2867" s="3" t="n"/>
      <c r="C2867" s="3" t="n"/>
      <c r="D2867" s="3" t="n"/>
      <c r="E2867" s="4">
        <f>IF(A2867="","",COUNTIFS($A$4:A2867,A2867,$I$4:I2867,"&lt;&gt;Штраф -2",$I$4:I2867,"&lt;&gt;ушел на базу"))</f>
        <v/>
      </c>
      <c r="F2867" s="4">
        <f>IF(E2867="","",IF(E2867&lt;=3,6,IF(E2867&lt;=6,5,IF(E2867&lt;=9,4,IF(E2867&lt;=12,3,IF(E2867&lt;=15,2,0))))))</f>
        <v/>
      </c>
      <c r="G2867" s="3" t="n"/>
      <c r="H2867" s="4">
        <f>IF(I2867="Штраф -2",-2,IF(OR(F2867="",G2867=""),"",F2867*G2867+IF(J2867="",0,J2867)))</f>
        <v/>
      </c>
      <c r="I2867" s="3" t="n"/>
      <c r="J2867" s="3" t="n"/>
      <c r="K2867" s="3" t="n"/>
    </row>
    <row r="2868">
      <c r="A2868" s="3" t="n"/>
      <c r="B2868" s="3" t="n"/>
      <c r="C2868" s="3" t="n"/>
      <c r="D2868" s="3" t="n"/>
      <c r="E2868" s="4">
        <f>IF(A2868="","",COUNTIFS($A$4:A2868,A2868,$I$4:I2868,"&lt;&gt;Штраф -2",$I$4:I2868,"&lt;&gt;ушел на базу"))</f>
        <v/>
      </c>
      <c r="F2868" s="4">
        <f>IF(E2868="","",IF(E2868&lt;=3,6,IF(E2868&lt;=6,5,IF(E2868&lt;=9,4,IF(E2868&lt;=12,3,IF(E2868&lt;=15,2,0))))))</f>
        <v/>
      </c>
      <c r="G2868" s="3" t="n"/>
      <c r="H2868" s="4">
        <f>IF(I2868="Штраф -2",-2,IF(OR(F2868="",G2868=""),"",F2868*G2868+IF(J2868="",0,J2868)))</f>
        <v/>
      </c>
      <c r="I2868" s="3" t="n"/>
      <c r="J2868" s="3" t="n"/>
      <c r="K2868" s="3" t="n"/>
    </row>
    <row r="2869">
      <c r="A2869" s="3" t="n"/>
      <c r="B2869" s="3" t="n"/>
      <c r="C2869" s="3" t="n"/>
      <c r="D2869" s="3" t="n"/>
      <c r="E2869" s="4">
        <f>IF(A2869="","",COUNTIFS($A$4:A2869,A2869,$I$4:I2869,"&lt;&gt;Штраф -2",$I$4:I2869,"&lt;&gt;ушел на базу"))</f>
        <v/>
      </c>
      <c r="F2869" s="4">
        <f>IF(E2869="","",IF(E2869&lt;=3,6,IF(E2869&lt;=6,5,IF(E2869&lt;=9,4,IF(E2869&lt;=12,3,IF(E2869&lt;=15,2,0))))))</f>
        <v/>
      </c>
      <c r="G2869" s="3" t="n"/>
      <c r="H2869" s="4">
        <f>IF(I2869="Штраф -2",-2,IF(OR(F2869="",G2869=""),"",F2869*G2869+IF(J2869="",0,J2869)))</f>
        <v/>
      </c>
      <c r="I2869" s="3" t="n"/>
      <c r="J2869" s="3" t="n"/>
      <c r="K2869" s="3" t="n"/>
    </row>
    <row r="2870">
      <c r="A2870" s="3" t="n"/>
      <c r="B2870" s="3" t="n"/>
      <c r="C2870" s="3" t="n"/>
      <c r="D2870" s="3" t="n"/>
      <c r="E2870" s="4">
        <f>IF(A2870="","",COUNTIFS($A$4:A2870,A2870,$I$4:I2870,"&lt;&gt;Штраф -2",$I$4:I2870,"&lt;&gt;ушел на базу"))</f>
        <v/>
      </c>
      <c r="F2870" s="4">
        <f>IF(E2870="","",IF(E2870&lt;=3,6,IF(E2870&lt;=6,5,IF(E2870&lt;=9,4,IF(E2870&lt;=12,3,IF(E2870&lt;=15,2,0))))))</f>
        <v/>
      </c>
      <c r="G2870" s="3" t="n"/>
      <c r="H2870" s="4">
        <f>IF(I2870="Штраф -2",-2,IF(OR(F2870="",G2870=""),"",F2870*G2870+IF(J2870="",0,J2870)))</f>
        <v/>
      </c>
      <c r="I2870" s="3" t="n"/>
      <c r="J2870" s="3" t="n"/>
      <c r="K2870" s="3" t="n"/>
    </row>
    <row r="2871">
      <c r="A2871" s="3" t="n"/>
      <c r="B2871" s="3" t="n"/>
      <c r="C2871" s="3" t="n"/>
      <c r="D2871" s="3" t="n"/>
      <c r="E2871" s="4">
        <f>IF(A2871="","",COUNTIFS($A$4:A2871,A2871,$I$4:I2871,"&lt;&gt;Штраф -2",$I$4:I2871,"&lt;&gt;ушел на базу"))</f>
        <v/>
      </c>
      <c r="F2871" s="4">
        <f>IF(E2871="","",IF(E2871&lt;=3,6,IF(E2871&lt;=6,5,IF(E2871&lt;=9,4,IF(E2871&lt;=12,3,IF(E2871&lt;=15,2,0))))))</f>
        <v/>
      </c>
      <c r="G2871" s="3" t="n"/>
      <c r="H2871" s="4">
        <f>IF(I2871="Штраф -2",-2,IF(OR(F2871="",G2871=""),"",F2871*G2871+IF(J2871="",0,J2871)))</f>
        <v/>
      </c>
      <c r="I2871" s="3" t="n"/>
      <c r="J2871" s="3" t="n"/>
      <c r="K2871" s="3" t="n"/>
    </row>
    <row r="2872">
      <c r="A2872" s="3" t="n"/>
      <c r="B2872" s="3" t="n"/>
      <c r="C2872" s="3" t="n"/>
      <c r="D2872" s="3" t="n"/>
      <c r="E2872" s="4">
        <f>IF(A2872="","",COUNTIFS($A$4:A2872,A2872,$I$4:I2872,"&lt;&gt;Штраф -2",$I$4:I2872,"&lt;&gt;ушел на базу"))</f>
        <v/>
      </c>
      <c r="F2872" s="4">
        <f>IF(E2872="","",IF(E2872&lt;=3,6,IF(E2872&lt;=6,5,IF(E2872&lt;=9,4,IF(E2872&lt;=12,3,IF(E2872&lt;=15,2,0))))))</f>
        <v/>
      </c>
      <c r="G2872" s="3" t="n"/>
      <c r="H2872" s="4">
        <f>IF(I2872="Штраф -2",-2,IF(OR(F2872="",G2872=""),"",F2872*G2872+IF(J2872="",0,J2872)))</f>
        <v/>
      </c>
      <c r="I2872" s="3" t="n"/>
      <c r="J2872" s="3" t="n"/>
      <c r="K2872" s="3" t="n"/>
    </row>
    <row r="2873">
      <c r="A2873" s="3" t="n"/>
      <c r="B2873" s="3" t="n"/>
      <c r="C2873" s="3" t="n"/>
      <c r="D2873" s="3" t="n"/>
      <c r="E2873" s="4">
        <f>IF(A2873="","",COUNTIFS($A$4:A2873,A2873,$I$4:I2873,"&lt;&gt;Штраф -2",$I$4:I2873,"&lt;&gt;ушел на базу"))</f>
        <v/>
      </c>
      <c r="F2873" s="4">
        <f>IF(E2873="","",IF(E2873&lt;=3,6,IF(E2873&lt;=6,5,IF(E2873&lt;=9,4,IF(E2873&lt;=12,3,IF(E2873&lt;=15,2,0))))))</f>
        <v/>
      </c>
      <c r="G2873" s="3" t="n"/>
      <c r="H2873" s="4">
        <f>IF(I2873="Штраф -2",-2,IF(OR(F2873="",G2873=""),"",F2873*G2873+IF(J2873="",0,J2873)))</f>
        <v/>
      </c>
      <c r="I2873" s="3" t="n"/>
      <c r="J2873" s="3" t="n"/>
      <c r="K2873" s="3" t="n"/>
    </row>
    <row r="2874">
      <c r="A2874" s="3" t="n"/>
      <c r="B2874" s="3" t="n"/>
      <c r="C2874" s="3" t="n"/>
      <c r="D2874" s="3" t="n"/>
      <c r="E2874" s="4">
        <f>IF(A2874="","",COUNTIFS($A$4:A2874,A2874,$I$4:I2874,"&lt;&gt;Штраф -2",$I$4:I2874,"&lt;&gt;ушел на базу"))</f>
        <v/>
      </c>
      <c r="F2874" s="4">
        <f>IF(E2874="","",IF(E2874&lt;=3,6,IF(E2874&lt;=6,5,IF(E2874&lt;=9,4,IF(E2874&lt;=12,3,IF(E2874&lt;=15,2,0))))))</f>
        <v/>
      </c>
      <c r="G2874" s="3" t="n"/>
      <c r="H2874" s="4">
        <f>IF(I2874="Штраф -2",-2,IF(OR(F2874="",G2874=""),"",F2874*G2874+IF(J2874="",0,J2874)))</f>
        <v/>
      </c>
      <c r="I2874" s="3" t="n"/>
      <c r="J2874" s="3" t="n"/>
      <c r="K2874" s="3" t="n"/>
    </row>
    <row r="2875">
      <c r="A2875" s="3" t="n"/>
      <c r="B2875" s="3" t="n"/>
      <c r="C2875" s="3" t="n"/>
      <c r="D2875" s="3" t="n"/>
      <c r="E2875" s="4">
        <f>IF(A2875="","",COUNTIFS($A$4:A2875,A2875,$I$4:I2875,"&lt;&gt;Штраф -2",$I$4:I2875,"&lt;&gt;ушел на базу"))</f>
        <v/>
      </c>
      <c r="F2875" s="4">
        <f>IF(E2875="","",IF(E2875&lt;=3,6,IF(E2875&lt;=6,5,IF(E2875&lt;=9,4,IF(E2875&lt;=12,3,IF(E2875&lt;=15,2,0))))))</f>
        <v/>
      </c>
      <c r="G2875" s="3" t="n"/>
      <c r="H2875" s="4">
        <f>IF(I2875="Штраф -2",-2,IF(OR(F2875="",G2875=""),"",F2875*G2875+IF(J2875="",0,J2875)))</f>
        <v/>
      </c>
      <c r="I2875" s="3" t="n"/>
      <c r="J2875" s="3" t="n"/>
      <c r="K2875" s="3" t="n"/>
    </row>
    <row r="2876">
      <c r="A2876" s="3" t="n"/>
      <c r="B2876" s="3" t="n"/>
      <c r="C2876" s="3" t="n"/>
      <c r="D2876" s="3" t="n"/>
      <c r="E2876" s="4">
        <f>IF(A2876="","",COUNTIFS($A$4:A2876,A2876,$I$4:I2876,"&lt;&gt;Штраф -2",$I$4:I2876,"&lt;&gt;ушел на базу"))</f>
        <v/>
      </c>
      <c r="F2876" s="4">
        <f>IF(E2876="","",IF(E2876&lt;=3,6,IF(E2876&lt;=6,5,IF(E2876&lt;=9,4,IF(E2876&lt;=12,3,IF(E2876&lt;=15,2,0))))))</f>
        <v/>
      </c>
      <c r="G2876" s="3" t="n"/>
      <c r="H2876" s="4">
        <f>IF(I2876="Штраф -2",-2,IF(OR(F2876="",G2876=""),"",F2876*G2876+IF(J2876="",0,J2876)))</f>
        <v/>
      </c>
      <c r="I2876" s="3" t="n"/>
      <c r="J2876" s="3" t="n"/>
      <c r="K2876" s="3" t="n"/>
    </row>
    <row r="2877">
      <c r="A2877" s="3" t="n"/>
      <c r="B2877" s="3" t="n"/>
      <c r="C2877" s="3" t="n"/>
      <c r="D2877" s="3" t="n"/>
      <c r="E2877" s="4">
        <f>IF(A2877="","",COUNTIFS($A$4:A2877,A2877,$I$4:I2877,"&lt;&gt;Штраф -2",$I$4:I2877,"&lt;&gt;ушел на базу"))</f>
        <v/>
      </c>
      <c r="F2877" s="4">
        <f>IF(E2877="","",IF(E2877&lt;=3,6,IF(E2877&lt;=6,5,IF(E2877&lt;=9,4,IF(E2877&lt;=12,3,IF(E2877&lt;=15,2,0))))))</f>
        <v/>
      </c>
      <c r="G2877" s="3" t="n"/>
      <c r="H2877" s="4">
        <f>IF(I2877="Штраф -2",-2,IF(OR(F2877="",G2877=""),"",F2877*G2877+IF(J2877="",0,J2877)))</f>
        <v/>
      </c>
      <c r="I2877" s="3" t="n"/>
      <c r="J2877" s="3" t="n"/>
      <c r="K2877" s="3" t="n"/>
    </row>
    <row r="2878">
      <c r="A2878" s="3" t="n"/>
      <c r="B2878" s="3" t="n"/>
      <c r="C2878" s="3" t="n"/>
      <c r="D2878" s="3" t="n"/>
      <c r="E2878" s="4">
        <f>IF(A2878="","",COUNTIFS($A$4:A2878,A2878,$I$4:I2878,"&lt;&gt;Штраф -2",$I$4:I2878,"&lt;&gt;ушел на базу"))</f>
        <v/>
      </c>
      <c r="F2878" s="4">
        <f>IF(E2878="","",IF(E2878&lt;=3,6,IF(E2878&lt;=6,5,IF(E2878&lt;=9,4,IF(E2878&lt;=12,3,IF(E2878&lt;=15,2,0))))))</f>
        <v/>
      </c>
      <c r="G2878" s="3" t="n"/>
      <c r="H2878" s="4">
        <f>IF(I2878="Штраф -2",-2,IF(OR(F2878="",G2878=""),"",F2878*G2878+IF(J2878="",0,J2878)))</f>
        <v/>
      </c>
      <c r="I2878" s="3" t="n"/>
      <c r="J2878" s="3" t="n"/>
      <c r="K2878" s="3" t="n"/>
    </row>
    <row r="2879">
      <c r="A2879" s="3" t="n"/>
      <c r="B2879" s="3" t="n"/>
      <c r="C2879" s="3" t="n"/>
      <c r="D2879" s="3" t="n"/>
      <c r="E2879" s="4">
        <f>IF(A2879="","",COUNTIFS($A$4:A2879,A2879,$I$4:I2879,"&lt;&gt;Штраф -2",$I$4:I2879,"&lt;&gt;ушел на базу"))</f>
        <v/>
      </c>
      <c r="F2879" s="4">
        <f>IF(E2879="","",IF(E2879&lt;=3,6,IF(E2879&lt;=6,5,IF(E2879&lt;=9,4,IF(E2879&lt;=12,3,IF(E2879&lt;=15,2,0))))))</f>
        <v/>
      </c>
      <c r="G2879" s="3" t="n"/>
      <c r="H2879" s="4">
        <f>IF(I2879="Штраф -2",-2,IF(OR(F2879="",G2879=""),"",F2879*G2879+IF(J2879="",0,J2879)))</f>
        <v/>
      </c>
      <c r="I2879" s="3" t="n"/>
      <c r="J2879" s="3" t="n"/>
      <c r="K2879" s="3" t="n"/>
    </row>
    <row r="2880">
      <c r="A2880" s="3" t="n"/>
      <c r="B2880" s="3" t="n"/>
      <c r="C2880" s="3" t="n"/>
      <c r="D2880" s="3" t="n"/>
      <c r="E2880" s="4">
        <f>IF(A2880="","",COUNTIFS($A$4:A2880,A2880,$I$4:I2880,"&lt;&gt;Штраф -2",$I$4:I2880,"&lt;&gt;ушел на базу"))</f>
        <v/>
      </c>
      <c r="F2880" s="4">
        <f>IF(E2880="","",IF(E2880&lt;=3,6,IF(E2880&lt;=6,5,IF(E2880&lt;=9,4,IF(E2880&lt;=12,3,IF(E2880&lt;=15,2,0))))))</f>
        <v/>
      </c>
      <c r="G2880" s="3" t="n"/>
      <c r="H2880" s="4">
        <f>IF(I2880="Штраф -2",-2,IF(OR(F2880="",G2880=""),"",F2880*G2880+IF(J2880="",0,J2880)))</f>
        <v/>
      </c>
      <c r="I2880" s="3" t="n"/>
      <c r="J2880" s="3" t="n"/>
      <c r="K2880" s="3" t="n"/>
    </row>
    <row r="2881">
      <c r="A2881" s="3" t="n"/>
      <c r="B2881" s="3" t="n"/>
      <c r="C2881" s="3" t="n"/>
      <c r="D2881" s="3" t="n"/>
      <c r="E2881" s="4">
        <f>IF(A2881="","",COUNTIFS($A$4:A2881,A2881,$I$4:I2881,"&lt;&gt;Штраф -2",$I$4:I2881,"&lt;&gt;ушел на базу"))</f>
        <v/>
      </c>
      <c r="F2881" s="4">
        <f>IF(E2881="","",IF(E2881&lt;=3,6,IF(E2881&lt;=6,5,IF(E2881&lt;=9,4,IF(E2881&lt;=12,3,IF(E2881&lt;=15,2,0))))))</f>
        <v/>
      </c>
      <c r="G2881" s="3" t="n"/>
      <c r="H2881" s="4">
        <f>IF(I2881="Штраф -2",-2,IF(OR(F2881="",G2881=""),"",F2881*G2881+IF(J2881="",0,J2881)))</f>
        <v/>
      </c>
      <c r="I2881" s="3" t="n"/>
      <c r="J2881" s="3" t="n"/>
      <c r="K2881" s="3" t="n"/>
    </row>
    <row r="2882">
      <c r="A2882" s="3" t="n"/>
      <c r="B2882" s="3" t="n"/>
      <c r="C2882" s="3" t="n"/>
      <c r="D2882" s="3" t="n"/>
      <c r="E2882" s="4">
        <f>IF(A2882="","",COUNTIFS($A$4:A2882,A2882,$I$4:I2882,"&lt;&gt;Штраф -2",$I$4:I2882,"&lt;&gt;ушел на базу"))</f>
        <v/>
      </c>
      <c r="F2882" s="4">
        <f>IF(E2882="","",IF(E2882&lt;=3,6,IF(E2882&lt;=6,5,IF(E2882&lt;=9,4,IF(E2882&lt;=12,3,IF(E2882&lt;=15,2,0))))))</f>
        <v/>
      </c>
      <c r="G2882" s="3" t="n"/>
      <c r="H2882" s="4">
        <f>IF(I2882="Штраф -2",-2,IF(OR(F2882="",G2882=""),"",F2882*G2882+IF(J2882="",0,J2882)))</f>
        <v/>
      </c>
      <c r="I2882" s="3" t="n"/>
      <c r="J2882" s="3" t="n"/>
      <c r="K2882" s="3" t="n"/>
    </row>
    <row r="2883">
      <c r="A2883" s="3" t="n"/>
      <c r="B2883" s="3" t="n"/>
      <c r="C2883" s="3" t="n"/>
      <c r="D2883" s="3" t="n"/>
      <c r="E2883" s="4">
        <f>IF(A2883="","",COUNTIFS($A$4:A2883,A2883,$I$4:I2883,"&lt;&gt;Штраф -2",$I$4:I2883,"&lt;&gt;ушел на базу"))</f>
        <v/>
      </c>
      <c r="F2883" s="4">
        <f>IF(E2883="","",IF(E2883&lt;=3,6,IF(E2883&lt;=6,5,IF(E2883&lt;=9,4,IF(E2883&lt;=12,3,IF(E2883&lt;=15,2,0))))))</f>
        <v/>
      </c>
      <c r="G2883" s="3" t="n"/>
      <c r="H2883" s="4">
        <f>IF(I2883="Штраф -2",-2,IF(OR(F2883="",G2883=""),"",F2883*G2883+IF(J2883="",0,J2883)))</f>
        <v/>
      </c>
      <c r="I2883" s="3" t="n"/>
      <c r="J2883" s="3" t="n"/>
      <c r="K2883" s="3" t="n"/>
    </row>
    <row r="2884">
      <c r="A2884" s="3" t="n"/>
      <c r="B2884" s="3" t="n"/>
      <c r="C2884" s="3" t="n"/>
      <c r="D2884" s="3" t="n"/>
      <c r="E2884" s="4">
        <f>IF(A2884="","",COUNTIFS($A$4:A2884,A2884,$I$4:I2884,"&lt;&gt;Штраф -2",$I$4:I2884,"&lt;&gt;ушел на базу"))</f>
        <v/>
      </c>
      <c r="F2884" s="4">
        <f>IF(E2884="","",IF(E2884&lt;=3,6,IF(E2884&lt;=6,5,IF(E2884&lt;=9,4,IF(E2884&lt;=12,3,IF(E2884&lt;=15,2,0))))))</f>
        <v/>
      </c>
      <c r="G2884" s="3" t="n"/>
      <c r="H2884" s="4">
        <f>IF(I2884="Штраф -2",-2,IF(OR(F2884="",G2884=""),"",F2884*G2884+IF(J2884="",0,J2884)))</f>
        <v/>
      </c>
      <c r="I2884" s="3" t="n"/>
      <c r="J2884" s="3" t="n"/>
      <c r="K2884" s="3" t="n"/>
    </row>
    <row r="2885">
      <c r="A2885" s="3" t="n"/>
      <c r="B2885" s="3" t="n"/>
      <c r="C2885" s="3" t="n"/>
      <c r="D2885" s="3" t="n"/>
      <c r="E2885" s="4">
        <f>IF(A2885="","",COUNTIFS($A$4:A2885,A2885,$I$4:I2885,"&lt;&gt;Штраф -2",$I$4:I2885,"&lt;&gt;ушел на базу"))</f>
        <v/>
      </c>
      <c r="F2885" s="4">
        <f>IF(E2885="","",IF(E2885&lt;=3,6,IF(E2885&lt;=6,5,IF(E2885&lt;=9,4,IF(E2885&lt;=12,3,IF(E2885&lt;=15,2,0))))))</f>
        <v/>
      </c>
      <c r="G2885" s="3" t="n"/>
      <c r="H2885" s="4">
        <f>IF(I2885="Штраф -2",-2,IF(OR(F2885="",G2885=""),"",F2885*G2885+IF(J2885="",0,J2885)))</f>
        <v/>
      </c>
      <c r="I2885" s="3" t="n"/>
      <c r="J2885" s="3" t="n"/>
      <c r="K2885" s="3" t="n"/>
    </row>
    <row r="2886">
      <c r="A2886" s="3" t="n"/>
      <c r="B2886" s="3" t="n"/>
      <c r="C2886" s="3" t="n"/>
      <c r="D2886" s="3" t="n"/>
      <c r="E2886" s="4">
        <f>IF(A2886="","",COUNTIFS($A$4:A2886,A2886,$I$4:I2886,"&lt;&gt;Штраф -2",$I$4:I2886,"&lt;&gt;ушел на базу"))</f>
        <v/>
      </c>
      <c r="F2886" s="4">
        <f>IF(E2886="","",IF(E2886&lt;=3,6,IF(E2886&lt;=6,5,IF(E2886&lt;=9,4,IF(E2886&lt;=12,3,IF(E2886&lt;=15,2,0))))))</f>
        <v/>
      </c>
      <c r="G2886" s="3" t="n"/>
      <c r="H2886" s="4">
        <f>IF(I2886="Штраф -2",-2,IF(OR(F2886="",G2886=""),"",F2886*G2886+IF(J2886="",0,J2886)))</f>
        <v/>
      </c>
      <c r="I2886" s="3" t="n"/>
      <c r="J2886" s="3" t="n"/>
      <c r="K2886" s="3" t="n"/>
    </row>
    <row r="2887">
      <c r="A2887" s="3" t="n"/>
      <c r="B2887" s="3" t="n"/>
      <c r="C2887" s="3" t="n"/>
      <c r="D2887" s="3" t="n"/>
      <c r="E2887" s="4">
        <f>IF(A2887="","",COUNTIFS($A$4:A2887,A2887,$I$4:I2887,"&lt;&gt;Штраф -2",$I$4:I2887,"&lt;&gt;ушел на базу"))</f>
        <v/>
      </c>
      <c r="F2887" s="4">
        <f>IF(E2887="","",IF(E2887&lt;=3,6,IF(E2887&lt;=6,5,IF(E2887&lt;=9,4,IF(E2887&lt;=12,3,IF(E2887&lt;=15,2,0))))))</f>
        <v/>
      </c>
      <c r="G2887" s="3" t="n"/>
      <c r="H2887" s="4">
        <f>IF(I2887="Штраф -2",-2,IF(OR(F2887="",G2887=""),"",F2887*G2887+IF(J2887="",0,J2887)))</f>
        <v/>
      </c>
      <c r="I2887" s="3" t="n"/>
      <c r="J2887" s="3" t="n"/>
      <c r="K2887" s="3" t="n"/>
    </row>
    <row r="2888">
      <c r="A2888" s="3" t="n"/>
      <c r="B2888" s="3" t="n"/>
      <c r="C2888" s="3" t="n"/>
      <c r="D2888" s="3" t="n"/>
      <c r="E2888" s="4">
        <f>IF(A2888="","",COUNTIFS($A$4:A2888,A2888,$I$4:I2888,"&lt;&gt;Штраф -2",$I$4:I2888,"&lt;&gt;ушел на базу"))</f>
        <v/>
      </c>
      <c r="F2888" s="4">
        <f>IF(E2888="","",IF(E2888&lt;=3,6,IF(E2888&lt;=6,5,IF(E2888&lt;=9,4,IF(E2888&lt;=12,3,IF(E2888&lt;=15,2,0))))))</f>
        <v/>
      </c>
      <c r="G2888" s="3" t="n"/>
      <c r="H2888" s="4">
        <f>IF(I2888="Штраф -2",-2,IF(OR(F2888="",G2888=""),"",F2888*G2888+IF(J2888="",0,J2888)))</f>
        <v/>
      </c>
      <c r="I2888" s="3" t="n"/>
      <c r="J2888" s="3" t="n"/>
      <c r="K2888" s="3" t="n"/>
    </row>
    <row r="2889">
      <c r="A2889" s="3" t="n"/>
      <c r="B2889" s="3" t="n"/>
      <c r="C2889" s="3" t="n"/>
      <c r="D2889" s="3" t="n"/>
      <c r="E2889" s="4">
        <f>IF(A2889="","",COUNTIFS($A$4:A2889,A2889,$I$4:I2889,"&lt;&gt;Штраф -2",$I$4:I2889,"&lt;&gt;ушел на базу"))</f>
        <v/>
      </c>
      <c r="F2889" s="4">
        <f>IF(E2889="","",IF(E2889&lt;=3,6,IF(E2889&lt;=6,5,IF(E2889&lt;=9,4,IF(E2889&lt;=12,3,IF(E2889&lt;=15,2,0))))))</f>
        <v/>
      </c>
      <c r="G2889" s="3" t="n"/>
      <c r="H2889" s="4">
        <f>IF(I2889="Штраф -2",-2,IF(OR(F2889="",G2889=""),"",F2889*G2889+IF(J2889="",0,J2889)))</f>
        <v/>
      </c>
      <c r="I2889" s="3" t="n"/>
      <c r="J2889" s="3" t="n"/>
      <c r="K2889" s="3" t="n"/>
    </row>
    <row r="2890">
      <c r="A2890" s="3" t="n"/>
      <c r="B2890" s="3" t="n"/>
      <c r="C2890" s="3" t="n"/>
      <c r="D2890" s="3" t="n"/>
      <c r="E2890" s="4">
        <f>IF(A2890="","",COUNTIFS($A$4:A2890,A2890,$I$4:I2890,"&lt;&gt;Штраф -2",$I$4:I2890,"&lt;&gt;ушел на базу"))</f>
        <v/>
      </c>
      <c r="F2890" s="4">
        <f>IF(E2890="","",IF(E2890&lt;=3,6,IF(E2890&lt;=6,5,IF(E2890&lt;=9,4,IF(E2890&lt;=12,3,IF(E2890&lt;=15,2,0))))))</f>
        <v/>
      </c>
      <c r="G2890" s="3" t="n"/>
      <c r="H2890" s="4">
        <f>IF(I2890="Штраф -2",-2,IF(OR(F2890="",G2890=""),"",F2890*G2890+IF(J2890="",0,J2890)))</f>
        <v/>
      </c>
      <c r="I2890" s="3" t="n"/>
      <c r="J2890" s="3" t="n"/>
      <c r="K2890" s="3" t="n"/>
    </row>
    <row r="2891">
      <c r="A2891" s="3" t="n"/>
      <c r="B2891" s="3" t="n"/>
      <c r="C2891" s="3" t="n"/>
      <c r="D2891" s="3" t="n"/>
      <c r="E2891" s="4">
        <f>IF(A2891="","",COUNTIFS($A$4:A2891,A2891,$I$4:I2891,"&lt;&gt;Штраф -2",$I$4:I2891,"&lt;&gt;ушел на базу"))</f>
        <v/>
      </c>
      <c r="F2891" s="4">
        <f>IF(E2891="","",IF(E2891&lt;=3,6,IF(E2891&lt;=6,5,IF(E2891&lt;=9,4,IF(E2891&lt;=12,3,IF(E2891&lt;=15,2,0))))))</f>
        <v/>
      </c>
      <c r="G2891" s="3" t="n"/>
      <c r="H2891" s="4">
        <f>IF(I2891="Штраф -2",-2,IF(OR(F2891="",G2891=""),"",F2891*G2891+IF(J2891="",0,J2891)))</f>
        <v/>
      </c>
      <c r="I2891" s="3" t="n"/>
      <c r="J2891" s="3" t="n"/>
      <c r="K2891" s="3" t="n"/>
    </row>
    <row r="2892">
      <c r="A2892" s="3" t="n"/>
      <c r="B2892" s="3" t="n"/>
      <c r="C2892" s="3" t="n"/>
      <c r="D2892" s="3" t="n"/>
      <c r="E2892" s="4">
        <f>IF(A2892="","",COUNTIFS($A$4:A2892,A2892,$I$4:I2892,"&lt;&gt;Штраф -2",$I$4:I2892,"&lt;&gt;ушел на базу"))</f>
        <v/>
      </c>
      <c r="F2892" s="4">
        <f>IF(E2892="","",IF(E2892&lt;=3,6,IF(E2892&lt;=6,5,IF(E2892&lt;=9,4,IF(E2892&lt;=12,3,IF(E2892&lt;=15,2,0))))))</f>
        <v/>
      </c>
      <c r="G2892" s="3" t="n"/>
      <c r="H2892" s="4">
        <f>IF(I2892="Штраф -2",-2,IF(OR(F2892="",G2892=""),"",F2892*G2892+IF(J2892="",0,J2892)))</f>
        <v/>
      </c>
      <c r="I2892" s="3" t="n"/>
      <c r="J2892" s="3" t="n"/>
      <c r="K2892" s="3" t="n"/>
    </row>
    <row r="2893">
      <c r="A2893" s="3" t="n"/>
      <c r="B2893" s="3" t="n"/>
      <c r="C2893" s="3" t="n"/>
      <c r="D2893" s="3" t="n"/>
      <c r="E2893" s="4">
        <f>IF(A2893="","",COUNTIFS($A$4:A2893,A2893,$I$4:I2893,"&lt;&gt;Штраф -2",$I$4:I2893,"&lt;&gt;ушел на базу"))</f>
        <v/>
      </c>
      <c r="F2893" s="4">
        <f>IF(E2893="","",IF(E2893&lt;=3,6,IF(E2893&lt;=6,5,IF(E2893&lt;=9,4,IF(E2893&lt;=12,3,IF(E2893&lt;=15,2,0))))))</f>
        <v/>
      </c>
      <c r="G2893" s="3" t="n"/>
      <c r="H2893" s="4">
        <f>IF(I2893="Штраф -2",-2,IF(OR(F2893="",G2893=""),"",F2893*G2893+IF(J2893="",0,J2893)))</f>
        <v/>
      </c>
      <c r="I2893" s="3" t="n"/>
      <c r="J2893" s="3" t="n"/>
      <c r="K2893" s="3" t="n"/>
    </row>
    <row r="2894">
      <c r="A2894" s="3" t="n"/>
      <c r="B2894" s="3" t="n"/>
      <c r="C2894" s="3" t="n"/>
      <c r="D2894" s="3" t="n"/>
      <c r="E2894" s="4">
        <f>IF(A2894="","",COUNTIFS($A$4:A2894,A2894,$I$4:I2894,"&lt;&gt;Штраф -2",$I$4:I2894,"&lt;&gt;ушел на базу"))</f>
        <v/>
      </c>
      <c r="F2894" s="4">
        <f>IF(E2894="","",IF(E2894&lt;=3,6,IF(E2894&lt;=6,5,IF(E2894&lt;=9,4,IF(E2894&lt;=12,3,IF(E2894&lt;=15,2,0))))))</f>
        <v/>
      </c>
      <c r="G2894" s="3" t="n"/>
      <c r="H2894" s="4">
        <f>IF(I2894="Штраф -2",-2,IF(OR(F2894="",G2894=""),"",F2894*G2894+IF(J2894="",0,J2894)))</f>
        <v/>
      </c>
      <c r="I2894" s="3" t="n"/>
      <c r="J2894" s="3" t="n"/>
      <c r="K2894" s="3" t="n"/>
    </row>
    <row r="2895">
      <c r="A2895" s="3" t="n"/>
      <c r="B2895" s="3" t="n"/>
      <c r="C2895" s="3" t="n"/>
      <c r="D2895" s="3" t="n"/>
      <c r="E2895" s="4">
        <f>IF(A2895="","",COUNTIFS($A$4:A2895,A2895,$I$4:I2895,"&lt;&gt;Штраф -2",$I$4:I2895,"&lt;&gt;ушел на базу"))</f>
        <v/>
      </c>
      <c r="F2895" s="4">
        <f>IF(E2895="","",IF(E2895&lt;=3,6,IF(E2895&lt;=6,5,IF(E2895&lt;=9,4,IF(E2895&lt;=12,3,IF(E2895&lt;=15,2,0))))))</f>
        <v/>
      </c>
      <c r="G2895" s="3" t="n"/>
      <c r="H2895" s="4">
        <f>IF(I2895="Штраф -2",-2,IF(OR(F2895="",G2895=""),"",F2895*G2895+IF(J2895="",0,J2895)))</f>
        <v/>
      </c>
      <c r="I2895" s="3" t="n"/>
      <c r="J2895" s="3" t="n"/>
      <c r="K2895" s="3" t="n"/>
    </row>
    <row r="2896">
      <c r="A2896" s="3" t="n"/>
      <c r="B2896" s="3" t="n"/>
      <c r="C2896" s="3" t="n"/>
      <c r="D2896" s="3" t="n"/>
      <c r="E2896" s="4">
        <f>IF(A2896="","",COUNTIFS($A$4:A2896,A2896,$I$4:I2896,"&lt;&gt;Штраф -2",$I$4:I2896,"&lt;&gt;ушел на базу"))</f>
        <v/>
      </c>
      <c r="F2896" s="4">
        <f>IF(E2896="","",IF(E2896&lt;=3,6,IF(E2896&lt;=6,5,IF(E2896&lt;=9,4,IF(E2896&lt;=12,3,IF(E2896&lt;=15,2,0))))))</f>
        <v/>
      </c>
      <c r="G2896" s="3" t="n"/>
      <c r="H2896" s="4">
        <f>IF(I2896="Штраф -2",-2,IF(OR(F2896="",G2896=""),"",F2896*G2896+IF(J2896="",0,J2896)))</f>
        <v/>
      </c>
      <c r="I2896" s="3" t="n"/>
      <c r="J2896" s="3" t="n"/>
      <c r="K2896" s="3" t="n"/>
    </row>
    <row r="2897">
      <c r="A2897" s="3" t="n"/>
      <c r="B2897" s="3" t="n"/>
      <c r="C2897" s="3" t="n"/>
      <c r="D2897" s="3" t="n"/>
      <c r="E2897" s="4">
        <f>IF(A2897="","",COUNTIFS($A$4:A2897,A2897,$I$4:I2897,"&lt;&gt;Штраф -2",$I$4:I2897,"&lt;&gt;ушел на базу"))</f>
        <v/>
      </c>
      <c r="F2897" s="4">
        <f>IF(E2897="","",IF(E2897&lt;=3,6,IF(E2897&lt;=6,5,IF(E2897&lt;=9,4,IF(E2897&lt;=12,3,IF(E2897&lt;=15,2,0))))))</f>
        <v/>
      </c>
      <c r="G2897" s="3" t="n"/>
      <c r="H2897" s="4">
        <f>IF(I2897="Штраф -2",-2,IF(OR(F2897="",G2897=""),"",F2897*G2897+IF(J2897="",0,J2897)))</f>
        <v/>
      </c>
      <c r="I2897" s="3" t="n"/>
      <c r="J2897" s="3" t="n"/>
      <c r="K2897" s="3" t="n"/>
    </row>
    <row r="2898">
      <c r="A2898" s="3" t="n"/>
      <c r="B2898" s="3" t="n"/>
      <c r="C2898" s="3" t="n"/>
      <c r="D2898" s="3" t="n"/>
      <c r="E2898" s="4">
        <f>IF(A2898="","",COUNTIFS($A$4:A2898,A2898,$I$4:I2898,"&lt;&gt;Штраф -2",$I$4:I2898,"&lt;&gt;ушел на базу"))</f>
        <v/>
      </c>
      <c r="F2898" s="4">
        <f>IF(E2898="","",IF(E2898&lt;=3,6,IF(E2898&lt;=6,5,IF(E2898&lt;=9,4,IF(E2898&lt;=12,3,IF(E2898&lt;=15,2,0))))))</f>
        <v/>
      </c>
      <c r="G2898" s="3" t="n"/>
      <c r="H2898" s="4">
        <f>IF(I2898="Штраф -2",-2,IF(OR(F2898="",G2898=""),"",F2898*G2898+IF(J2898="",0,J2898)))</f>
        <v/>
      </c>
      <c r="I2898" s="3" t="n"/>
      <c r="J2898" s="3" t="n"/>
      <c r="K2898" s="3" t="n"/>
    </row>
    <row r="2899">
      <c r="A2899" s="3" t="n"/>
      <c r="B2899" s="3" t="n"/>
      <c r="C2899" s="3" t="n"/>
      <c r="D2899" s="3" t="n"/>
      <c r="E2899" s="4">
        <f>IF(A2899="","",COUNTIFS($A$4:A2899,A2899,$I$4:I2899,"&lt;&gt;Штраф -2",$I$4:I2899,"&lt;&gt;ушел на базу"))</f>
        <v/>
      </c>
      <c r="F2899" s="4">
        <f>IF(E2899="","",IF(E2899&lt;=3,6,IF(E2899&lt;=6,5,IF(E2899&lt;=9,4,IF(E2899&lt;=12,3,IF(E2899&lt;=15,2,0))))))</f>
        <v/>
      </c>
      <c r="G2899" s="3" t="n"/>
      <c r="H2899" s="4">
        <f>IF(I2899="Штраф -2",-2,IF(OR(F2899="",G2899=""),"",F2899*G2899+IF(J2899="",0,J2899)))</f>
        <v/>
      </c>
      <c r="I2899" s="3" t="n"/>
      <c r="J2899" s="3" t="n"/>
      <c r="K2899" s="3" t="n"/>
    </row>
    <row r="2900">
      <c r="A2900" s="3" t="n"/>
      <c r="B2900" s="3" t="n"/>
      <c r="C2900" s="3" t="n"/>
      <c r="D2900" s="3" t="n"/>
      <c r="E2900" s="4">
        <f>IF(A2900="","",COUNTIFS($A$4:A2900,A2900,$I$4:I2900,"&lt;&gt;Штраф -2",$I$4:I2900,"&lt;&gt;ушел на базу"))</f>
        <v/>
      </c>
      <c r="F2900" s="4">
        <f>IF(E2900="","",IF(E2900&lt;=3,6,IF(E2900&lt;=6,5,IF(E2900&lt;=9,4,IF(E2900&lt;=12,3,IF(E2900&lt;=15,2,0))))))</f>
        <v/>
      </c>
      <c r="G2900" s="3" t="n"/>
      <c r="H2900" s="4">
        <f>IF(I2900="Штраф -2",-2,IF(OR(F2900="",G2900=""),"",F2900*G2900+IF(J2900="",0,J2900)))</f>
        <v/>
      </c>
      <c r="I2900" s="3" t="n"/>
      <c r="J2900" s="3" t="n"/>
      <c r="K2900" s="3" t="n"/>
    </row>
    <row r="2901">
      <c r="A2901" s="3" t="n"/>
      <c r="B2901" s="3" t="n"/>
      <c r="C2901" s="3" t="n"/>
      <c r="D2901" s="3" t="n"/>
      <c r="E2901" s="4">
        <f>IF(A2901="","",COUNTIFS($A$4:A2901,A2901,$I$4:I2901,"&lt;&gt;Штраф -2",$I$4:I2901,"&lt;&gt;ушел на базу"))</f>
        <v/>
      </c>
      <c r="F2901" s="4">
        <f>IF(E2901="","",IF(E2901&lt;=3,6,IF(E2901&lt;=6,5,IF(E2901&lt;=9,4,IF(E2901&lt;=12,3,IF(E2901&lt;=15,2,0))))))</f>
        <v/>
      </c>
      <c r="G2901" s="3" t="n"/>
      <c r="H2901" s="4">
        <f>IF(I2901="Штраф -2",-2,IF(OR(F2901="",G2901=""),"",F2901*G2901+IF(J2901="",0,J2901)))</f>
        <v/>
      </c>
      <c r="I2901" s="3" t="n"/>
      <c r="J2901" s="3" t="n"/>
      <c r="K2901" s="3" t="n"/>
    </row>
    <row r="2902">
      <c r="A2902" s="3" t="n"/>
      <c r="B2902" s="3" t="n"/>
      <c r="C2902" s="3" t="n"/>
      <c r="D2902" s="3" t="n"/>
      <c r="E2902" s="4">
        <f>IF(A2902="","",COUNTIFS($A$4:A2902,A2902,$I$4:I2902,"&lt;&gt;Штраф -2",$I$4:I2902,"&lt;&gt;ушел на базу"))</f>
        <v/>
      </c>
      <c r="F2902" s="4">
        <f>IF(E2902="","",IF(E2902&lt;=3,6,IF(E2902&lt;=6,5,IF(E2902&lt;=9,4,IF(E2902&lt;=12,3,IF(E2902&lt;=15,2,0))))))</f>
        <v/>
      </c>
      <c r="G2902" s="3" t="n"/>
      <c r="H2902" s="4">
        <f>IF(I2902="Штраф -2",-2,IF(OR(F2902="",G2902=""),"",F2902*G2902+IF(J2902="",0,J2902)))</f>
        <v/>
      </c>
      <c r="I2902" s="3" t="n"/>
      <c r="J2902" s="3" t="n"/>
      <c r="K2902" s="3" t="n"/>
    </row>
    <row r="2903">
      <c r="A2903" s="3" t="n"/>
      <c r="B2903" s="3" t="n"/>
      <c r="C2903" s="3" t="n"/>
      <c r="D2903" s="3" t="n"/>
      <c r="E2903" s="4">
        <f>IF(A2903="","",COUNTIFS($A$4:A2903,A2903,$I$4:I2903,"&lt;&gt;Штраф -2",$I$4:I2903,"&lt;&gt;ушел на базу"))</f>
        <v/>
      </c>
      <c r="F2903" s="4">
        <f>IF(E2903="","",IF(E2903&lt;=3,6,IF(E2903&lt;=6,5,IF(E2903&lt;=9,4,IF(E2903&lt;=12,3,IF(E2903&lt;=15,2,0))))))</f>
        <v/>
      </c>
      <c r="G2903" s="3" t="n"/>
      <c r="H2903" s="4">
        <f>IF(I2903="Штраф -2",-2,IF(OR(F2903="",G2903=""),"",F2903*G2903+IF(J2903="",0,J2903)))</f>
        <v/>
      </c>
      <c r="I2903" s="3" t="n"/>
      <c r="J2903" s="3" t="n"/>
      <c r="K2903" s="3" t="n"/>
    </row>
    <row r="2904">
      <c r="A2904" s="3" t="n"/>
      <c r="B2904" s="3" t="n"/>
      <c r="C2904" s="3" t="n"/>
      <c r="D2904" s="3" t="n"/>
      <c r="E2904" s="4">
        <f>IF(A2904="","",COUNTIFS($A$4:A2904,A2904,$I$4:I2904,"&lt;&gt;Штраф -2",$I$4:I2904,"&lt;&gt;ушел на базу"))</f>
        <v/>
      </c>
      <c r="F2904" s="4">
        <f>IF(E2904="","",IF(E2904&lt;=3,6,IF(E2904&lt;=6,5,IF(E2904&lt;=9,4,IF(E2904&lt;=12,3,IF(E2904&lt;=15,2,0))))))</f>
        <v/>
      </c>
      <c r="G2904" s="3" t="n"/>
      <c r="H2904" s="4">
        <f>IF(I2904="Штраф -2",-2,IF(OR(F2904="",G2904=""),"",F2904*G2904+IF(J2904="",0,J2904)))</f>
        <v/>
      </c>
      <c r="I2904" s="3" t="n"/>
      <c r="J2904" s="3" t="n"/>
      <c r="K2904" s="3" t="n"/>
    </row>
    <row r="2905">
      <c r="A2905" s="3" t="n"/>
      <c r="B2905" s="3" t="n"/>
      <c r="C2905" s="3" t="n"/>
      <c r="D2905" s="3" t="n"/>
      <c r="E2905" s="4">
        <f>IF(A2905="","",COUNTIFS($A$4:A2905,A2905,$I$4:I2905,"&lt;&gt;Штраф -2",$I$4:I2905,"&lt;&gt;ушел на базу"))</f>
        <v/>
      </c>
      <c r="F2905" s="4">
        <f>IF(E2905="","",IF(E2905&lt;=3,6,IF(E2905&lt;=6,5,IF(E2905&lt;=9,4,IF(E2905&lt;=12,3,IF(E2905&lt;=15,2,0))))))</f>
        <v/>
      </c>
      <c r="G2905" s="3" t="n"/>
      <c r="H2905" s="4">
        <f>IF(I2905="Штраф -2",-2,IF(OR(F2905="",G2905=""),"",F2905*G2905+IF(J2905="",0,J2905)))</f>
        <v/>
      </c>
      <c r="I2905" s="3" t="n"/>
      <c r="J2905" s="3" t="n"/>
      <c r="K2905" s="3" t="n"/>
    </row>
    <row r="2906">
      <c r="A2906" s="3" t="n"/>
      <c r="B2906" s="3" t="n"/>
      <c r="C2906" s="3" t="n"/>
      <c r="D2906" s="3" t="n"/>
      <c r="E2906" s="4">
        <f>IF(A2906="","",COUNTIFS($A$4:A2906,A2906,$I$4:I2906,"&lt;&gt;Штраф -2",$I$4:I2906,"&lt;&gt;ушел на базу"))</f>
        <v/>
      </c>
      <c r="F2906" s="4">
        <f>IF(E2906="","",IF(E2906&lt;=3,6,IF(E2906&lt;=6,5,IF(E2906&lt;=9,4,IF(E2906&lt;=12,3,IF(E2906&lt;=15,2,0))))))</f>
        <v/>
      </c>
      <c r="G2906" s="3" t="n"/>
      <c r="H2906" s="4">
        <f>IF(I2906="Штраф -2",-2,IF(OR(F2906="",G2906=""),"",F2906*G2906+IF(J2906="",0,J2906)))</f>
        <v/>
      </c>
      <c r="I2906" s="3" t="n"/>
      <c r="J2906" s="3" t="n"/>
      <c r="K2906" s="3" t="n"/>
    </row>
    <row r="2907">
      <c r="A2907" s="3" t="n"/>
      <c r="B2907" s="3" t="n"/>
      <c r="C2907" s="3" t="n"/>
      <c r="D2907" s="3" t="n"/>
      <c r="E2907" s="4">
        <f>IF(A2907="","",COUNTIFS($A$4:A2907,A2907,$I$4:I2907,"&lt;&gt;Штраф -2",$I$4:I2907,"&lt;&gt;ушел на базу"))</f>
        <v/>
      </c>
      <c r="F2907" s="4">
        <f>IF(E2907="","",IF(E2907&lt;=3,6,IF(E2907&lt;=6,5,IF(E2907&lt;=9,4,IF(E2907&lt;=12,3,IF(E2907&lt;=15,2,0))))))</f>
        <v/>
      </c>
      <c r="G2907" s="3" t="n"/>
      <c r="H2907" s="4">
        <f>IF(I2907="Штраф -2",-2,IF(OR(F2907="",G2907=""),"",F2907*G2907+IF(J2907="",0,J2907)))</f>
        <v/>
      </c>
      <c r="I2907" s="3" t="n"/>
      <c r="J2907" s="3" t="n"/>
      <c r="K2907" s="3" t="n"/>
    </row>
    <row r="2908">
      <c r="A2908" s="3" t="n"/>
      <c r="B2908" s="3" t="n"/>
      <c r="C2908" s="3" t="n"/>
      <c r="D2908" s="3" t="n"/>
      <c r="E2908" s="4">
        <f>IF(A2908="","",COUNTIFS($A$4:A2908,A2908,$I$4:I2908,"&lt;&gt;Штраф -2",$I$4:I2908,"&lt;&gt;ушел на базу"))</f>
        <v/>
      </c>
      <c r="F2908" s="4">
        <f>IF(E2908="","",IF(E2908&lt;=3,6,IF(E2908&lt;=6,5,IF(E2908&lt;=9,4,IF(E2908&lt;=12,3,IF(E2908&lt;=15,2,0))))))</f>
        <v/>
      </c>
      <c r="G2908" s="3" t="n"/>
      <c r="H2908" s="4">
        <f>IF(I2908="Штраф -2",-2,IF(OR(F2908="",G2908=""),"",F2908*G2908+IF(J2908="",0,J2908)))</f>
        <v/>
      </c>
      <c r="I2908" s="3" t="n"/>
      <c r="J2908" s="3" t="n"/>
      <c r="K2908" s="3" t="n"/>
    </row>
    <row r="2909">
      <c r="A2909" s="3" t="n"/>
      <c r="B2909" s="3" t="n"/>
      <c r="C2909" s="3" t="n"/>
      <c r="D2909" s="3" t="n"/>
      <c r="E2909" s="4">
        <f>IF(A2909="","",COUNTIFS($A$4:A2909,A2909,$I$4:I2909,"&lt;&gt;Штраф -2",$I$4:I2909,"&lt;&gt;ушел на базу"))</f>
        <v/>
      </c>
      <c r="F2909" s="4">
        <f>IF(E2909="","",IF(E2909&lt;=3,6,IF(E2909&lt;=6,5,IF(E2909&lt;=9,4,IF(E2909&lt;=12,3,IF(E2909&lt;=15,2,0))))))</f>
        <v/>
      </c>
      <c r="G2909" s="3" t="n"/>
      <c r="H2909" s="4">
        <f>IF(I2909="Штраф -2",-2,IF(OR(F2909="",G2909=""),"",F2909*G2909+IF(J2909="",0,J2909)))</f>
        <v/>
      </c>
      <c r="I2909" s="3" t="n"/>
      <c r="J2909" s="3" t="n"/>
      <c r="K2909" s="3" t="n"/>
    </row>
    <row r="2910">
      <c r="A2910" s="3" t="n"/>
      <c r="B2910" s="3" t="n"/>
      <c r="C2910" s="3" t="n"/>
      <c r="D2910" s="3" t="n"/>
      <c r="E2910" s="4">
        <f>IF(A2910="","",COUNTIFS($A$4:A2910,A2910,$I$4:I2910,"&lt;&gt;Штраф -2",$I$4:I2910,"&lt;&gt;ушел на базу"))</f>
        <v/>
      </c>
      <c r="F2910" s="4">
        <f>IF(E2910="","",IF(E2910&lt;=3,6,IF(E2910&lt;=6,5,IF(E2910&lt;=9,4,IF(E2910&lt;=12,3,IF(E2910&lt;=15,2,0))))))</f>
        <v/>
      </c>
      <c r="G2910" s="3" t="n"/>
      <c r="H2910" s="4">
        <f>IF(I2910="Штраф -2",-2,IF(OR(F2910="",G2910=""),"",F2910*G2910+IF(J2910="",0,J2910)))</f>
        <v/>
      </c>
      <c r="I2910" s="3" t="n"/>
      <c r="J2910" s="3" t="n"/>
      <c r="K2910" s="3" t="n"/>
    </row>
    <row r="2911">
      <c r="A2911" s="3" t="n"/>
      <c r="B2911" s="3" t="n"/>
      <c r="C2911" s="3" t="n"/>
      <c r="D2911" s="3" t="n"/>
      <c r="E2911" s="4">
        <f>IF(A2911="","",COUNTIFS($A$4:A2911,A2911,$I$4:I2911,"&lt;&gt;Штраф -2",$I$4:I2911,"&lt;&gt;ушел на базу"))</f>
        <v/>
      </c>
      <c r="F2911" s="4">
        <f>IF(E2911="","",IF(E2911&lt;=3,6,IF(E2911&lt;=6,5,IF(E2911&lt;=9,4,IF(E2911&lt;=12,3,IF(E2911&lt;=15,2,0))))))</f>
        <v/>
      </c>
      <c r="G2911" s="3" t="n"/>
      <c r="H2911" s="4">
        <f>IF(I2911="Штраф -2",-2,IF(OR(F2911="",G2911=""),"",F2911*G2911+IF(J2911="",0,J2911)))</f>
        <v/>
      </c>
      <c r="I2911" s="3" t="n"/>
      <c r="J2911" s="3" t="n"/>
      <c r="K2911" s="3" t="n"/>
    </row>
    <row r="2912">
      <c r="A2912" s="3" t="n"/>
      <c r="B2912" s="3" t="n"/>
      <c r="C2912" s="3" t="n"/>
      <c r="D2912" s="3" t="n"/>
      <c r="E2912" s="4">
        <f>IF(A2912="","",COUNTIFS($A$4:A2912,A2912,$I$4:I2912,"&lt;&gt;Штраф -2",$I$4:I2912,"&lt;&gt;ушел на базу"))</f>
        <v/>
      </c>
      <c r="F2912" s="4">
        <f>IF(E2912="","",IF(E2912&lt;=3,6,IF(E2912&lt;=6,5,IF(E2912&lt;=9,4,IF(E2912&lt;=12,3,IF(E2912&lt;=15,2,0))))))</f>
        <v/>
      </c>
      <c r="G2912" s="3" t="n"/>
      <c r="H2912" s="4">
        <f>IF(I2912="Штраф -2",-2,IF(OR(F2912="",G2912=""),"",F2912*G2912+IF(J2912="",0,J2912)))</f>
        <v/>
      </c>
      <c r="I2912" s="3" t="n"/>
      <c r="J2912" s="3" t="n"/>
      <c r="K2912" s="3" t="n"/>
    </row>
    <row r="2913">
      <c r="A2913" s="3" t="n"/>
      <c r="B2913" s="3" t="n"/>
      <c r="C2913" s="3" t="n"/>
      <c r="D2913" s="3" t="n"/>
      <c r="E2913" s="4">
        <f>IF(A2913="","",COUNTIFS($A$4:A2913,A2913,$I$4:I2913,"&lt;&gt;Штраф -2",$I$4:I2913,"&lt;&gt;ушел на базу"))</f>
        <v/>
      </c>
      <c r="F2913" s="4">
        <f>IF(E2913="","",IF(E2913&lt;=3,6,IF(E2913&lt;=6,5,IF(E2913&lt;=9,4,IF(E2913&lt;=12,3,IF(E2913&lt;=15,2,0))))))</f>
        <v/>
      </c>
      <c r="G2913" s="3" t="n"/>
      <c r="H2913" s="4">
        <f>IF(I2913="Штраф -2",-2,IF(OR(F2913="",G2913=""),"",F2913*G2913+IF(J2913="",0,J2913)))</f>
        <v/>
      </c>
      <c r="I2913" s="3" t="n"/>
      <c r="J2913" s="3" t="n"/>
      <c r="K2913" s="3" t="n"/>
    </row>
    <row r="2914">
      <c r="A2914" s="3" t="n"/>
      <c r="B2914" s="3" t="n"/>
      <c r="C2914" s="3" t="n"/>
      <c r="D2914" s="3" t="n"/>
      <c r="E2914" s="4">
        <f>IF(A2914="","",COUNTIFS($A$4:A2914,A2914,$I$4:I2914,"&lt;&gt;Штраф -2",$I$4:I2914,"&lt;&gt;ушел на базу"))</f>
        <v/>
      </c>
      <c r="F2914" s="4">
        <f>IF(E2914="","",IF(E2914&lt;=3,6,IF(E2914&lt;=6,5,IF(E2914&lt;=9,4,IF(E2914&lt;=12,3,IF(E2914&lt;=15,2,0))))))</f>
        <v/>
      </c>
      <c r="G2914" s="3" t="n"/>
      <c r="H2914" s="4">
        <f>IF(I2914="Штраф -2",-2,IF(OR(F2914="",G2914=""),"",F2914*G2914+IF(J2914="",0,J2914)))</f>
        <v/>
      </c>
      <c r="I2914" s="3" t="n"/>
      <c r="J2914" s="3" t="n"/>
      <c r="K2914" s="3" t="n"/>
    </row>
    <row r="2915">
      <c r="A2915" s="3" t="n"/>
      <c r="B2915" s="3" t="n"/>
      <c r="C2915" s="3" t="n"/>
      <c r="D2915" s="3" t="n"/>
      <c r="E2915" s="4">
        <f>IF(A2915="","",COUNTIFS($A$4:A2915,A2915,$I$4:I2915,"&lt;&gt;Штраф -2",$I$4:I2915,"&lt;&gt;ушел на базу"))</f>
        <v/>
      </c>
      <c r="F2915" s="4">
        <f>IF(E2915="","",IF(E2915&lt;=3,6,IF(E2915&lt;=6,5,IF(E2915&lt;=9,4,IF(E2915&lt;=12,3,IF(E2915&lt;=15,2,0))))))</f>
        <v/>
      </c>
      <c r="G2915" s="3" t="n"/>
      <c r="H2915" s="4">
        <f>IF(I2915="Штраф -2",-2,IF(OR(F2915="",G2915=""),"",F2915*G2915+IF(J2915="",0,J2915)))</f>
        <v/>
      </c>
      <c r="I2915" s="3" t="n"/>
      <c r="J2915" s="3" t="n"/>
      <c r="K2915" s="3" t="n"/>
    </row>
    <row r="2916">
      <c r="A2916" s="3" t="n"/>
      <c r="B2916" s="3" t="n"/>
      <c r="C2916" s="3" t="n"/>
      <c r="D2916" s="3" t="n"/>
      <c r="E2916" s="4">
        <f>IF(A2916="","",COUNTIFS($A$4:A2916,A2916,$I$4:I2916,"&lt;&gt;Штраф -2",$I$4:I2916,"&lt;&gt;ушел на базу"))</f>
        <v/>
      </c>
      <c r="F2916" s="4">
        <f>IF(E2916="","",IF(E2916&lt;=3,6,IF(E2916&lt;=6,5,IF(E2916&lt;=9,4,IF(E2916&lt;=12,3,IF(E2916&lt;=15,2,0))))))</f>
        <v/>
      </c>
      <c r="G2916" s="3" t="n"/>
      <c r="H2916" s="4">
        <f>IF(I2916="Штраф -2",-2,IF(OR(F2916="",G2916=""),"",F2916*G2916+IF(J2916="",0,J2916)))</f>
        <v/>
      </c>
      <c r="I2916" s="3" t="n"/>
      <c r="J2916" s="3" t="n"/>
      <c r="K2916" s="3" t="n"/>
    </row>
    <row r="2917">
      <c r="A2917" s="3" t="n"/>
      <c r="B2917" s="3" t="n"/>
      <c r="C2917" s="3" t="n"/>
      <c r="D2917" s="3" t="n"/>
      <c r="E2917" s="4">
        <f>IF(A2917="","",COUNTIFS($A$4:A2917,A2917,$I$4:I2917,"&lt;&gt;Штраф -2",$I$4:I2917,"&lt;&gt;ушел на базу"))</f>
        <v/>
      </c>
      <c r="F2917" s="4">
        <f>IF(E2917="","",IF(E2917&lt;=3,6,IF(E2917&lt;=6,5,IF(E2917&lt;=9,4,IF(E2917&lt;=12,3,IF(E2917&lt;=15,2,0))))))</f>
        <v/>
      </c>
      <c r="G2917" s="3" t="n"/>
      <c r="H2917" s="4">
        <f>IF(I2917="Штраф -2",-2,IF(OR(F2917="",G2917=""),"",F2917*G2917+IF(J2917="",0,J2917)))</f>
        <v/>
      </c>
      <c r="I2917" s="3" t="n"/>
      <c r="J2917" s="3" t="n"/>
      <c r="K2917" s="3" t="n"/>
    </row>
    <row r="2918">
      <c r="A2918" s="3" t="n"/>
      <c r="B2918" s="3" t="n"/>
      <c r="C2918" s="3" t="n"/>
      <c r="D2918" s="3" t="n"/>
      <c r="E2918" s="4">
        <f>IF(A2918="","",COUNTIFS($A$4:A2918,A2918,$I$4:I2918,"&lt;&gt;Штраф -2",$I$4:I2918,"&lt;&gt;ушел на базу"))</f>
        <v/>
      </c>
      <c r="F2918" s="4">
        <f>IF(E2918="","",IF(E2918&lt;=3,6,IF(E2918&lt;=6,5,IF(E2918&lt;=9,4,IF(E2918&lt;=12,3,IF(E2918&lt;=15,2,0))))))</f>
        <v/>
      </c>
      <c r="G2918" s="3" t="n"/>
      <c r="H2918" s="4">
        <f>IF(I2918="Штраф -2",-2,IF(OR(F2918="",G2918=""),"",F2918*G2918+IF(J2918="",0,J2918)))</f>
        <v/>
      </c>
      <c r="I2918" s="3" t="n"/>
      <c r="J2918" s="3" t="n"/>
      <c r="K2918" s="3" t="n"/>
    </row>
    <row r="2919">
      <c r="A2919" s="3" t="n"/>
      <c r="B2919" s="3" t="n"/>
      <c r="C2919" s="3" t="n"/>
      <c r="D2919" s="3" t="n"/>
      <c r="E2919" s="4">
        <f>IF(A2919="","",COUNTIFS($A$4:A2919,A2919,$I$4:I2919,"&lt;&gt;Штраф -2",$I$4:I2919,"&lt;&gt;ушел на базу"))</f>
        <v/>
      </c>
      <c r="F2919" s="4">
        <f>IF(E2919="","",IF(E2919&lt;=3,6,IF(E2919&lt;=6,5,IF(E2919&lt;=9,4,IF(E2919&lt;=12,3,IF(E2919&lt;=15,2,0))))))</f>
        <v/>
      </c>
      <c r="G2919" s="3" t="n"/>
      <c r="H2919" s="4">
        <f>IF(I2919="Штраф -2",-2,IF(OR(F2919="",G2919=""),"",F2919*G2919+IF(J2919="",0,J2919)))</f>
        <v/>
      </c>
      <c r="I2919" s="3" t="n"/>
      <c r="J2919" s="3" t="n"/>
      <c r="K2919" s="3" t="n"/>
    </row>
    <row r="2920">
      <c r="A2920" s="3" t="n"/>
      <c r="B2920" s="3" t="n"/>
      <c r="C2920" s="3" t="n"/>
      <c r="D2920" s="3" t="n"/>
      <c r="E2920" s="4">
        <f>IF(A2920="","",COUNTIFS($A$4:A2920,A2920,$I$4:I2920,"&lt;&gt;Штраф -2",$I$4:I2920,"&lt;&gt;ушел на базу"))</f>
        <v/>
      </c>
      <c r="F2920" s="4">
        <f>IF(E2920="","",IF(E2920&lt;=3,6,IF(E2920&lt;=6,5,IF(E2920&lt;=9,4,IF(E2920&lt;=12,3,IF(E2920&lt;=15,2,0))))))</f>
        <v/>
      </c>
      <c r="G2920" s="3" t="n"/>
      <c r="H2920" s="4">
        <f>IF(I2920="Штраф -2",-2,IF(OR(F2920="",G2920=""),"",F2920*G2920+IF(J2920="",0,J2920)))</f>
        <v/>
      </c>
      <c r="I2920" s="3" t="n"/>
      <c r="J2920" s="3" t="n"/>
      <c r="K2920" s="3" t="n"/>
    </row>
    <row r="2921">
      <c r="A2921" s="3" t="n"/>
      <c r="B2921" s="3" t="n"/>
      <c r="C2921" s="3" t="n"/>
      <c r="D2921" s="3" t="n"/>
      <c r="E2921" s="4">
        <f>IF(A2921="","",COUNTIFS($A$4:A2921,A2921,$I$4:I2921,"&lt;&gt;Штраф -2",$I$4:I2921,"&lt;&gt;ушел на базу"))</f>
        <v/>
      </c>
      <c r="F2921" s="4">
        <f>IF(E2921="","",IF(E2921&lt;=3,6,IF(E2921&lt;=6,5,IF(E2921&lt;=9,4,IF(E2921&lt;=12,3,IF(E2921&lt;=15,2,0))))))</f>
        <v/>
      </c>
      <c r="G2921" s="3" t="n"/>
      <c r="H2921" s="4">
        <f>IF(I2921="Штраф -2",-2,IF(OR(F2921="",G2921=""),"",F2921*G2921+IF(J2921="",0,J2921)))</f>
        <v/>
      </c>
      <c r="I2921" s="3" t="n"/>
      <c r="J2921" s="3" t="n"/>
      <c r="K2921" s="3" t="n"/>
    </row>
    <row r="2922">
      <c r="A2922" s="3" t="n"/>
      <c r="B2922" s="3" t="n"/>
      <c r="C2922" s="3" t="n"/>
      <c r="D2922" s="3" t="n"/>
      <c r="E2922" s="4">
        <f>IF(A2922="","",COUNTIFS($A$4:A2922,A2922,$I$4:I2922,"&lt;&gt;Штраф -2",$I$4:I2922,"&lt;&gt;ушел на базу"))</f>
        <v/>
      </c>
      <c r="F2922" s="4">
        <f>IF(E2922="","",IF(E2922&lt;=3,6,IF(E2922&lt;=6,5,IF(E2922&lt;=9,4,IF(E2922&lt;=12,3,IF(E2922&lt;=15,2,0))))))</f>
        <v/>
      </c>
      <c r="G2922" s="3" t="n"/>
      <c r="H2922" s="4">
        <f>IF(I2922="Штраф -2",-2,IF(OR(F2922="",G2922=""),"",F2922*G2922+IF(J2922="",0,J2922)))</f>
        <v/>
      </c>
      <c r="I2922" s="3" t="n"/>
      <c r="J2922" s="3" t="n"/>
      <c r="K2922" s="3" t="n"/>
    </row>
    <row r="2923">
      <c r="A2923" s="3" t="n"/>
      <c r="B2923" s="3" t="n"/>
      <c r="C2923" s="3" t="n"/>
      <c r="D2923" s="3" t="n"/>
      <c r="E2923" s="4">
        <f>IF(A2923="","",COUNTIFS($A$4:A2923,A2923,$I$4:I2923,"&lt;&gt;Штраф -2",$I$4:I2923,"&lt;&gt;ушел на базу"))</f>
        <v/>
      </c>
      <c r="F2923" s="4">
        <f>IF(E2923="","",IF(E2923&lt;=3,6,IF(E2923&lt;=6,5,IF(E2923&lt;=9,4,IF(E2923&lt;=12,3,IF(E2923&lt;=15,2,0))))))</f>
        <v/>
      </c>
      <c r="G2923" s="3" t="n"/>
      <c r="H2923" s="4">
        <f>IF(I2923="Штраф -2",-2,IF(OR(F2923="",G2923=""),"",F2923*G2923+IF(J2923="",0,J2923)))</f>
        <v/>
      </c>
      <c r="I2923" s="3" t="n"/>
      <c r="J2923" s="3" t="n"/>
      <c r="K2923" s="3" t="n"/>
    </row>
    <row r="2924">
      <c r="A2924" s="3" t="n"/>
      <c r="B2924" s="3" t="n"/>
      <c r="C2924" s="3" t="n"/>
      <c r="D2924" s="3" t="n"/>
      <c r="E2924" s="4">
        <f>IF(A2924="","",COUNTIFS($A$4:A2924,A2924,$I$4:I2924,"&lt;&gt;Штраф -2",$I$4:I2924,"&lt;&gt;ушел на базу"))</f>
        <v/>
      </c>
      <c r="F2924" s="4">
        <f>IF(E2924="","",IF(E2924&lt;=3,6,IF(E2924&lt;=6,5,IF(E2924&lt;=9,4,IF(E2924&lt;=12,3,IF(E2924&lt;=15,2,0))))))</f>
        <v/>
      </c>
      <c r="G2924" s="3" t="n"/>
      <c r="H2924" s="4">
        <f>IF(I2924="Штраф -2",-2,IF(OR(F2924="",G2924=""),"",F2924*G2924+IF(J2924="",0,J2924)))</f>
        <v/>
      </c>
      <c r="I2924" s="3" t="n"/>
      <c r="J2924" s="3" t="n"/>
      <c r="K2924" s="3" t="n"/>
    </row>
    <row r="2925">
      <c r="A2925" s="3" t="n"/>
      <c r="B2925" s="3" t="n"/>
      <c r="C2925" s="3" t="n"/>
      <c r="D2925" s="3" t="n"/>
      <c r="E2925" s="4">
        <f>IF(A2925="","",COUNTIFS($A$4:A2925,A2925,$I$4:I2925,"&lt;&gt;Штраф -2",$I$4:I2925,"&lt;&gt;ушел на базу"))</f>
        <v/>
      </c>
      <c r="F2925" s="4">
        <f>IF(E2925="","",IF(E2925&lt;=3,6,IF(E2925&lt;=6,5,IF(E2925&lt;=9,4,IF(E2925&lt;=12,3,IF(E2925&lt;=15,2,0))))))</f>
        <v/>
      </c>
      <c r="G2925" s="3" t="n"/>
      <c r="H2925" s="4">
        <f>IF(I2925="Штраф -2",-2,IF(OR(F2925="",G2925=""),"",F2925*G2925+IF(J2925="",0,J2925)))</f>
        <v/>
      </c>
      <c r="I2925" s="3" t="n"/>
      <c r="J2925" s="3" t="n"/>
      <c r="K2925" s="3" t="n"/>
    </row>
    <row r="2926">
      <c r="A2926" s="3" t="n"/>
      <c r="B2926" s="3" t="n"/>
      <c r="C2926" s="3" t="n"/>
      <c r="D2926" s="3" t="n"/>
      <c r="E2926" s="4">
        <f>IF(A2926="","",COUNTIFS($A$4:A2926,A2926,$I$4:I2926,"&lt;&gt;Штраф -2",$I$4:I2926,"&lt;&gt;ушел на базу"))</f>
        <v/>
      </c>
      <c r="F2926" s="4">
        <f>IF(E2926="","",IF(E2926&lt;=3,6,IF(E2926&lt;=6,5,IF(E2926&lt;=9,4,IF(E2926&lt;=12,3,IF(E2926&lt;=15,2,0))))))</f>
        <v/>
      </c>
      <c r="G2926" s="3" t="n"/>
      <c r="H2926" s="4">
        <f>IF(I2926="Штраф -2",-2,IF(OR(F2926="",G2926=""),"",F2926*G2926+IF(J2926="",0,J2926)))</f>
        <v/>
      </c>
      <c r="I2926" s="3" t="n"/>
      <c r="J2926" s="3" t="n"/>
      <c r="K2926" s="3" t="n"/>
    </row>
    <row r="2927">
      <c r="A2927" s="3" t="n"/>
      <c r="B2927" s="3" t="n"/>
      <c r="C2927" s="3" t="n"/>
      <c r="D2927" s="3" t="n"/>
      <c r="E2927" s="4">
        <f>IF(A2927="","",COUNTIFS($A$4:A2927,A2927,$I$4:I2927,"&lt;&gt;Штраф -2",$I$4:I2927,"&lt;&gt;ушел на базу"))</f>
        <v/>
      </c>
      <c r="F2927" s="4">
        <f>IF(E2927="","",IF(E2927&lt;=3,6,IF(E2927&lt;=6,5,IF(E2927&lt;=9,4,IF(E2927&lt;=12,3,IF(E2927&lt;=15,2,0))))))</f>
        <v/>
      </c>
      <c r="G2927" s="3" t="n"/>
      <c r="H2927" s="4">
        <f>IF(I2927="Штраф -2",-2,IF(OR(F2927="",G2927=""),"",F2927*G2927+IF(J2927="",0,J2927)))</f>
        <v/>
      </c>
      <c r="I2927" s="3" t="n"/>
      <c r="J2927" s="3" t="n"/>
      <c r="K2927" s="3" t="n"/>
    </row>
    <row r="2928">
      <c r="A2928" s="3" t="n"/>
      <c r="B2928" s="3" t="n"/>
      <c r="C2928" s="3" t="n"/>
      <c r="D2928" s="3" t="n"/>
      <c r="E2928" s="4">
        <f>IF(A2928="","",COUNTIFS($A$4:A2928,A2928,$I$4:I2928,"&lt;&gt;Штраф -2",$I$4:I2928,"&lt;&gt;ушел на базу"))</f>
        <v/>
      </c>
      <c r="F2928" s="4">
        <f>IF(E2928="","",IF(E2928&lt;=3,6,IF(E2928&lt;=6,5,IF(E2928&lt;=9,4,IF(E2928&lt;=12,3,IF(E2928&lt;=15,2,0))))))</f>
        <v/>
      </c>
      <c r="G2928" s="3" t="n"/>
      <c r="H2928" s="4">
        <f>IF(I2928="Штраф -2",-2,IF(OR(F2928="",G2928=""),"",F2928*G2928+IF(J2928="",0,J2928)))</f>
        <v/>
      </c>
      <c r="I2928" s="3" t="n"/>
      <c r="J2928" s="3" t="n"/>
      <c r="K2928" s="3" t="n"/>
    </row>
    <row r="2929">
      <c r="A2929" s="3" t="n"/>
      <c r="B2929" s="3" t="n"/>
      <c r="C2929" s="3" t="n"/>
      <c r="D2929" s="3" t="n"/>
      <c r="E2929" s="4">
        <f>IF(A2929="","",COUNTIFS($A$4:A2929,A2929,$I$4:I2929,"&lt;&gt;Штраф -2",$I$4:I2929,"&lt;&gt;ушел на базу"))</f>
        <v/>
      </c>
      <c r="F2929" s="4">
        <f>IF(E2929="","",IF(E2929&lt;=3,6,IF(E2929&lt;=6,5,IF(E2929&lt;=9,4,IF(E2929&lt;=12,3,IF(E2929&lt;=15,2,0))))))</f>
        <v/>
      </c>
      <c r="G2929" s="3" t="n"/>
      <c r="H2929" s="4">
        <f>IF(I2929="Штраф -2",-2,IF(OR(F2929="",G2929=""),"",F2929*G2929+IF(J2929="",0,J2929)))</f>
        <v/>
      </c>
      <c r="I2929" s="3" t="n"/>
      <c r="J2929" s="3" t="n"/>
      <c r="K2929" s="3" t="n"/>
    </row>
    <row r="2930">
      <c r="A2930" s="3" t="n"/>
      <c r="B2930" s="3" t="n"/>
      <c r="C2930" s="3" t="n"/>
      <c r="D2930" s="3" t="n"/>
      <c r="E2930" s="4">
        <f>IF(A2930="","",COUNTIFS($A$4:A2930,A2930,$I$4:I2930,"&lt;&gt;Штраф -2",$I$4:I2930,"&lt;&gt;ушел на базу"))</f>
        <v/>
      </c>
      <c r="F2930" s="4">
        <f>IF(E2930="","",IF(E2930&lt;=3,6,IF(E2930&lt;=6,5,IF(E2930&lt;=9,4,IF(E2930&lt;=12,3,IF(E2930&lt;=15,2,0))))))</f>
        <v/>
      </c>
      <c r="G2930" s="3" t="n"/>
      <c r="H2930" s="4">
        <f>IF(I2930="Штраф -2",-2,IF(OR(F2930="",G2930=""),"",F2930*G2930+IF(J2930="",0,J2930)))</f>
        <v/>
      </c>
      <c r="I2930" s="3" t="n"/>
      <c r="J2930" s="3" t="n"/>
      <c r="K2930" s="3" t="n"/>
    </row>
    <row r="2931">
      <c r="A2931" s="3" t="n"/>
      <c r="B2931" s="3" t="n"/>
      <c r="C2931" s="3" t="n"/>
      <c r="D2931" s="3" t="n"/>
      <c r="E2931" s="4">
        <f>IF(A2931="","",COUNTIFS($A$4:A2931,A2931,$I$4:I2931,"&lt;&gt;Штраф -2",$I$4:I2931,"&lt;&gt;ушел на базу"))</f>
        <v/>
      </c>
      <c r="F2931" s="4">
        <f>IF(E2931="","",IF(E2931&lt;=3,6,IF(E2931&lt;=6,5,IF(E2931&lt;=9,4,IF(E2931&lt;=12,3,IF(E2931&lt;=15,2,0))))))</f>
        <v/>
      </c>
      <c r="G2931" s="3" t="n"/>
      <c r="H2931" s="4">
        <f>IF(I2931="Штраф -2",-2,IF(OR(F2931="",G2931=""),"",F2931*G2931+IF(J2931="",0,J2931)))</f>
        <v/>
      </c>
      <c r="I2931" s="3" t="n"/>
      <c r="J2931" s="3" t="n"/>
      <c r="K2931" s="3" t="n"/>
    </row>
    <row r="2932">
      <c r="A2932" s="3" t="n"/>
      <c r="B2932" s="3" t="n"/>
      <c r="C2932" s="3" t="n"/>
      <c r="D2932" s="3" t="n"/>
      <c r="E2932" s="4">
        <f>IF(A2932="","",COUNTIFS($A$4:A2932,A2932,$I$4:I2932,"&lt;&gt;Штраф -2",$I$4:I2932,"&lt;&gt;ушел на базу"))</f>
        <v/>
      </c>
      <c r="F2932" s="4">
        <f>IF(E2932="","",IF(E2932&lt;=3,6,IF(E2932&lt;=6,5,IF(E2932&lt;=9,4,IF(E2932&lt;=12,3,IF(E2932&lt;=15,2,0))))))</f>
        <v/>
      </c>
      <c r="G2932" s="3" t="n"/>
      <c r="H2932" s="4">
        <f>IF(I2932="Штраф -2",-2,IF(OR(F2932="",G2932=""),"",F2932*G2932+IF(J2932="",0,J2932)))</f>
        <v/>
      </c>
      <c r="I2932" s="3" t="n"/>
      <c r="J2932" s="3" t="n"/>
      <c r="K2932" s="3" t="n"/>
    </row>
    <row r="2933">
      <c r="A2933" s="3" t="n"/>
      <c r="B2933" s="3" t="n"/>
      <c r="C2933" s="3" t="n"/>
      <c r="D2933" s="3" t="n"/>
      <c r="E2933" s="4">
        <f>IF(A2933="","",COUNTIFS($A$4:A2933,A2933,$I$4:I2933,"&lt;&gt;Штраф -2",$I$4:I2933,"&lt;&gt;ушел на базу"))</f>
        <v/>
      </c>
      <c r="F2933" s="4">
        <f>IF(E2933="","",IF(E2933&lt;=3,6,IF(E2933&lt;=6,5,IF(E2933&lt;=9,4,IF(E2933&lt;=12,3,IF(E2933&lt;=15,2,0))))))</f>
        <v/>
      </c>
      <c r="G2933" s="3" t="n"/>
      <c r="H2933" s="4">
        <f>IF(I2933="Штраф -2",-2,IF(OR(F2933="",G2933=""),"",F2933*G2933+IF(J2933="",0,J2933)))</f>
        <v/>
      </c>
      <c r="I2933" s="3" t="n"/>
      <c r="J2933" s="3" t="n"/>
      <c r="K2933" s="3" t="n"/>
    </row>
    <row r="2934">
      <c r="A2934" s="3" t="n"/>
      <c r="B2934" s="3" t="n"/>
      <c r="C2934" s="3" t="n"/>
      <c r="D2934" s="3" t="n"/>
      <c r="E2934" s="4">
        <f>IF(A2934="","",COUNTIFS($A$4:A2934,A2934,$I$4:I2934,"&lt;&gt;Штраф -2",$I$4:I2934,"&lt;&gt;ушел на базу"))</f>
        <v/>
      </c>
      <c r="F2934" s="4">
        <f>IF(E2934="","",IF(E2934&lt;=3,6,IF(E2934&lt;=6,5,IF(E2934&lt;=9,4,IF(E2934&lt;=12,3,IF(E2934&lt;=15,2,0))))))</f>
        <v/>
      </c>
      <c r="G2934" s="3" t="n"/>
      <c r="H2934" s="4">
        <f>IF(I2934="Штраф -2",-2,IF(OR(F2934="",G2934=""),"",F2934*G2934+IF(J2934="",0,J2934)))</f>
        <v/>
      </c>
      <c r="I2934" s="3" t="n"/>
      <c r="J2934" s="3" t="n"/>
      <c r="K2934" s="3" t="n"/>
    </row>
    <row r="2935">
      <c r="A2935" s="3" t="n"/>
      <c r="B2935" s="3" t="n"/>
      <c r="C2935" s="3" t="n"/>
      <c r="D2935" s="3" t="n"/>
      <c r="E2935" s="4">
        <f>IF(A2935="","",COUNTIFS($A$4:A2935,A2935,$I$4:I2935,"&lt;&gt;Штраф -2",$I$4:I2935,"&lt;&gt;ушел на базу"))</f>
        <v/>
      </c>
      <c r="F2935" s="4">
        <f>IF(E2935="","",IF(E2935&lt;=3,6,IF(E2935&lt;=6,5,IF(E2935&lt;=9,4,IF(E2935&lt;=12,3,IF(E2935&lt;=15,2,0))))))</f>
        <v/>
      </c>
      <c r="G2935" s="3" t="n"/>
      <c r="H2935" s="4">
        <f>IF(I2935="Штраф -2",-2,IF(OR(F2935="",G2935=""),"",F2935*G2935+IF(J2935="",0,J2935)))</f>
        <v/>
      </c>
      <c r="I2935" s="3" t="n"/>
      <c r="J2935" s="3" t="n"/>
      <c r="K2935" s="3" t="n"/>
    </row>
    <row r="2936">
      <c r="A2936" s="3" t="n"/>
      <c r="B2936" s="3" t="n"/>
      <c r="C2936" s="3" t="n"/>
      <c r="D2936" s="3" t="n"/>
      <c r="E2936" s="4">
        <f>IF(A2936="","",COUNTIFS($A$4:A2936,A2936,$I$4:I2936,"&lt;&gt;Штраф -2",$I$4:I2936,"&lt;&gt;ушел на базу"))</f>
        <v/>
      </c>
      <c r="F2936" s="4">
        <f>IF(E2936="","",IF(E2936&lt;=3,6,IF(E2936&lt;=6,5,IF(E2936&lt;=9,4,IF(E2936&lt;=12,3,IF(E2936&lt;=15,2,0))))))</f>
        <v/>
      </c>
      <c r="G2936" s="3" t="n"/>
      <c r="H2936" s="4">
        <f>IF(I2936="Штраф -2",-2,IF(OR(F2936="",G2936=""),"",F2936*G2936+IF(J2936="",0,J2936)))</f>
        <v/>
      </c>
      <c r="I2936" s="3" t="n"/>
      <c r="J2936" s="3" t="n"/>
      <c r="K2936" s="3" t="n"/>
    </row>
    <row r="2937">
      <c r="A2937" s="3" t="n"/>
      <c r="B2937" s="3" t="n"/>
      <c r="C2937" s="3" t="n"/>
      <c r="D2937" s="3" t="n"/>
      <c r="E2937" s="4">
        <f>IF(A2937="","",COUNTIFS($A$4:A2937,A2937,$I$4:I2937,"&lt;&gt;Штраф -2",$I$4:I2937,"&lt;&gt;ушел на базу"))</f>
        <v/>
      </c>
      <c r="F2937" s="4">
        <f>IF(E2937="","",IF(E2937&lt;=3,6,IF(E2937&lt;=6,5,IF(E2937&lt;=9,4,IF(E2937&lt;=12,3,IF(E2937&lt;=15,2,0))))))</f>
        <v/>
      </c>
      <c r="G2937" s="3" t="n"/>
      <c r="H2937" s="4">
        <f>IF(I2937="Штраф -2",-2,IF(OR(F2937="",G2937=""),"",F2937*G2937+IF(J2937="",0,J2937)))</f>
        <v/>
      </c>
      <c r="I2937" s="3" t="n"/>
      <c r="J2937" s="3" t="n"/>
      <c r="K2937" s="3" t="n"/>
    </row>
    <row r="2938">
      <c r="A2938" s="3" t="n"/>
      <c r="B2938" s="3" t="n"/>
      <c r="C2938" s="3" t="n"/>
      <c r="D2938" s="3" t="n"/>
      <c r="E2938" s="4">
        <f>IF(A2938="","",COUNTIFS($A$4:A2938,A2938,$I$4:I2938,"&lt;&gt;Штраф -2",$I$4:I2938,"&lt;&gt;ушел на базу"))</f>
        <v/>
      </c>
      <c r="F2938" s="4">
        <f>IF(E2938="","",IF(E2938&lt;=3,6,IF(E2938&lt;=6,5,IF(E2938&lt;=9,4,IF(E2938&lt;=12,3,IF(E2938&lt;=15,2,0))))))</f>
        <v/>
      </c>
      <c r="G2938" s="3" t="n"/>
      <c r="H2938" s="4">
        <f>IF(I2938="Штраф -2",-2,IF(OR(F2938="",G2938=""),"",F2938*G2938+IF(J2938="",0,J2938)))</f>
        <v/>
      </c>
      <c r="I2938" s="3" t="n"/>
      <c r="J2938" s="3" t="n"/>
      <c r="K2938" s="3" t="n"/>
    </row>
    <row r="2939">
      <c r="A2939" s="3" t="n"/>
      <c r="B2939" s="3" t="n"/>
      <c r="C2939" s="3" t="n"/>
      <c r="D2939" s="3" t="n"/>
      <c r="E2939" s="4">
        <f>IF(A2939="","",COUNTIFS($A$4:A2939,A2939,$I$4:I2939,"&lt;&gt;Штраф -2",$I$4:I2939,"&lt;&gt;ушел на базу"))</f>
        <v/>
      </c>
      <c r="F2939" s="4">
        <f>IF(E2939="","",IF(E2939&lt;=3,6,IF(E2939&lt;=6,5,IF(E2939&lt;=9,4,IF(E2939&lt;=12,3,IF(E2939&lt;=15,2,0))))))</f>
        <v/>
      </c>
      <c r="G2939" s="3" t="n"/>
      <c r="H2939" s="4">
        <f>IF(I2939="Штраф -2",-2,IF(OR(F2939="",G2939=""),"",F2939*G2939+IF(J2939="",0,J2939)))</f>
        <v/>
      </c>
      <c r="I2939" s="3" t="n"/>
      <c r="J2939" s="3" t="n"/>
      <c r="K2939" s="3" t="n"/>
    </row>
    <row r="2940">
      <c r="A2940" s="3" t="n"/>
      <c r="B2940" s="3" t="n"/>
      <c r="C2940" s="3" t="n"/>
      <c r="D2940" s="3" t="n"/>
      <c r="E2940" s="4">
        <f>IF(A2940="","",COUNTIFS($A$4:A2940,A2940,$I$4:I2940,"&lt;&gt;Штраф -2",$I$4:I2940,"&lt;&gt;ушел на базу"))</f>
        <v/>
      </c>
      <c r="F2940" s="4">
        <f>IF(E2940="","",IF(E2940&lt;=3,6,IF(E2940&lt;=6,5,IF(E2940&lt;=9,4,IF(E2940&lt;=12,3,IF(E2940&lt;=15,2,0))))))</f>
        <v/>
      </c>
      <c r="G2940" s="3" t="n"/>
      <c r="H2940" s="4">
        <f>IF(I2940="Штраф -2",-2,IF(OR(F2940="",G2940=""),"",F2940*G2940+IF(J2940="",0,J2940)))</f>
        <v/>
      </c>
      <c r="I2940" s="3" t="n"/>
      <c r="J2940" s="3" t="n"/>
      <c r="K2940" s="3" t="n"/>
    </row>
    <row r="2941">
      <c r="A2941" s="3" t="n"/>
      <c r="B2941" s="3" t="n"/>
      <c r="C2941" s="3" t="n"/>
      <c r="D2941" s="3" t="n"/>
      <c r="E2941" s="4">
        <f>IF(A2941="","",COUNTIFS($A$4:A2941,A2941,$I$4:I2941,"&lt;&gt;Штраф -2",$I$4:I2941,"&lt;&gt;ушел на базу"))</f>
        <v/>
      </c>
      <c r="F2941" s="4">
        <f>IF(E2941="","",IF(E2941&lt;=3,6,IF(E2941&lt;=6,5,IF(E2941&lt;=9,4,IF(E2941&lt;=12,3,IF(E2941&lt;=15,2,0))))))</f>
        <v/>
      </c>
      <c r="G2941" s="3" t="n"/>
      <c r="H2941" s="4">
        <f>IF(I2941="Штраф -2",-2,IF(OR(F2941="",G2941=""),"",F2941*G2941+IF(J2941="",0,J2941)))</f>
        <v/>
      </c>
      <c r="I2941" s="3" t="n"/>
      <c r="J2941" s="3" t="n"/>
      <c r="K2941" s="3" t="n"/>
    </row>
    <row r="2942">
      <c r="A2942" s="3" t="n"/>
      <c r="B2942" s="3" t="n"/>
      <c r="C2942" s="3" t="n"/>
      <c r="D2942" s="3" t="n"/>
      <c r="E2942" s="4">
        <f>IF(A2942="","",COUNTIFS($A$4:A2942,A2942,$I$4:I2942,"&lt;&gt;Штраф -2",$I$4:I2942,"&lt;&gt;ушел на базу"))</f>
        <v/>
      </c>
      <c r="F2942" s="4">
        <f>IF(E2942="","",IF(E2942&lt;=3,6,IF(E2942&lt;=6,5,IF(E2942&lt;=9,4,IF(E2942&lt;=12,3,IF(E2942&lt;=15,2,0))))))</f>
        <v/>
      </c>
      <c r="G2942" s="3" t="n"/>
      <c r="H2942" s="4">
        <f>IF(I2942="Штраф -2",-2,IF(OR(F2942="",G2942=""),"",F2942*G2942+IF(J2942="",0,J2942)))</f>
        <v/>
      </c>
      <c r="I2942" s="3" t="n"/>
      <c r="J2942" s="3" t="n"/>
      <c r="K2942" s="3" t="n"/>
    </row>
    <row r="2943">
      <c r="A2943" s="3" t="n"/>
      <c r="B2943" s="3" t="n"/>
      <c r="C2943" s="3" t="n"/>
      <c r="D2943" s="3" t="n"/>
      <c r="E2943" s="4">
        <f>IF(A2943="","",COUNTIFS($A$4:A2943,A2943,$I$4:I2943,"&lt;&gt;Штраф -2",$I$4:I2943,"&lt;&gt;ушел на базу"))</f>
        <v/>
      </c>
      <c r="F2943" s="4">
        <f>IF(E2943="","",IF(E2943&lt;=3,6,IF(E2943&lt;=6,5,IF(E2943&lt;=9,4,IF(E2943&lt;=12,3,IF(E2943&lt;=15,2,0))))))</f>
        <v/>
      </c>
      <c r="G2943" s="3" t="n"/>
      <c r="H2943" s="4">
        <f>IF(I2943="Штраф -2",-2,IF(OR(F2943="",G2943=""),"",F2943*G2943+IF(J2943="",0,J2943)))</f>
        <v/>
      </c>
      <c r="I2943" s="3" t="n"/>
      <c r="J2943" s="3" t="n"/>
      <c r="K2943" s="3" t="n"/>
    </row>
    <row r="2944">
      <c r="A2944" s="3" t="n"/>
      <c r="B2944" s="3" t="n"/>
      <c r="C2944" s="3" t="n"/>
      <c r="D2944" s="3" t="n"/>
      <c r="E2944" s="4">
        <f>IF(A2944="","",COUNTIFS($A$4:A2944,A2944,$I$4:I2944,"&lt;&gt;Штраф -2",$I$4:I2944,"&lt;&gt;ушел на базу"))</f>
        <v/>
      </c>
      <c r="F2944" s="4">
        <f>IF(E2944="","",IF(E2944&lt;=3,6,IF(E2944&lt;=6,5,IF(E2944&lt;=9,4,IF(E2944&lt;=12,3,IF(E2944&lt;=15,2,0))))))</f>
        <v/>
      </c>
      <c r="G2944" s="3" t="n"/>
      <c r="H2944" s="4">
        <f>IF(I2944="Штраф -2",-2,IF(OR(F2944="",G2944=""),"",F2944*G2944+IF(J2944="",0,J2944)))</f>
        <v/>
      </c>
      <c r="I2944" s="3" t="n"/>
      <c r="J2944" s="3" t="n"/>
      <c r="K2944" s="3" t="n"/>
    </row>
    <row r="2945">
      <c r="A2945" s="3" t="n"/>
      <c r="B2945" s="3" t="n"/>
      <c r="C2945" s="3" t="n"/>
      <c r="D2945" s="3" t="n"/>
      <c r="E2945" s="4">
        <f>IF(A2945="","",COUNTIFS($A$4:A2945,A2945,$I$4:I2945,"&lt;&gt;Штраф -2",$I$4:I2945,"&lt;&gt;ушел на базу"))</f>
        <v/>
      </c>
      <c r="F2945" s="4">
        <f>IF(E2945="","",IF(E2945&lt;=3,6,IF(E2945&lt;=6,5,IF(E2945&lt;=9,4,IF(E2945&lt;=12,3,IF(E2945&lt;=15,2,0))))))</f>
        <v/>
      </c>
      <c r="G2945" s="3" t="n"/>
      <c r="H2945" s="4">
        <f>IF(I2945="Штраф -2",-2,IF(OR(F2945="",G2945=""),"",F2945*G2945+IF(J2945="",0,J2945)))</f>
        <v/>
      </c>
      <c r="I2945" s="3" t="n"/>
      <c r="J2945" s="3" t="n"/>
      <c r="K2945" s="3" t="n"/>
    </row>
    <row r="2946">
      <c r="A2946" s="3" t="n"/>
      <c r="B2946" s="3" t="n"/>
      <c r="C2946" s="3" t="n"/>
      <c r="D2946" s="3" t="n"/>
      <c r="E2946" s="4">
        <f>IF(A2946="","",COUNTIFS($A$4:A2946,A2946,$I$4:I2946,"&lt;&gt;Штраф -2",$I$4:I2946,"&lt;&gt;ушел на базу"))</f>
        <v/>
      </c>
      <c r="F2946" s="4">
        <f>IF(E2946="","",IF(E2946&lt;=3,6,IF(E2946&lt;=6,5,IF(E2946&lt;=9,4,IF(E2946&lt;=12,3,IF(E2946&lt;=15,2,0))))))</f>
        <v/>
      </c>
      <c r="G2946" s="3" t="n"/>
      <c r="H2946" s="4">
        <f>IF(I2946="Штраф -2",-2,IF(OR(F2946="",G2946=""),"",F2946*G2946+IF(J2946="",0,J2946)))</f>
        <v/>
      </c>
      <c r="I2946" s="3" t="n"/>
      <c r="J2946" s="3" t="n"/>
      <c r="K2946" s="3" t="n"/>
    </row>
    <row r="2947">
      <c r="A2947" s="3" t="n"/>
      <c r="B2947" s="3" t="n"/>
      <c r="C2947" s="3" t="n"/>
      <c r="D2947" s="3" t="n"/>
      <c r="E2947" s="4">
        <f>IF(A2947="","",COUNTIFS($A$4:A2947,A2947,$I$4:I2947,"&lt;&gt;Штраф -2",$I$4:I2947,"&lt;&gt;ушел на базу"))</f>
        <v/>
      </c>
      <c r="F2947" s="4">
        <f>IF(E2947="","",IF(E2947&lt;=3,6,IF(E2947&lt;=6,5,IF(E2947&lt;=9,4,IF(E2947&lt;=12,3,IF(E2947&lt;=15,2,0))))))</f>
        <v/>
      </c>
      <c r="G2947" s="3" t="n"/>
      <c r="H2947" s="4">
        <f>IF(I2947="Штраф -2",-2,IF(OR(F2947="",G2947=""),"",F2947*G2947+IF(J2947="",0,J2947)))</f>
        <v/>
      </c>
      <c r="I2947" s="3" t="n"/>
      <c r="J2947" s="3" t="n"/>
      <c r="K2947" s="3" t="n"/>
    </row>
    <row r="2948">
      <c r="A2948" s="3" t="n"/>
      <c r="B2948" s="3" t="n"/>
      <c r="C2948" s="3" t="n"/>
      <c r="D2948" s="3" t="n"/>
      <c r="E2948" s="4">
        <f>IF(A2948="","",COUNTIFS($A$4:A2948,A2948,$I$4:I2948,"&lt;&gt;Штраф -2",$I$4:I2948,"&lt;&gt;ушел на базу"))</f>
        <v/>
      </c>
      <c r="F2948" s="4">
        <f>IF(E2948="","",IF(E2948&lt;=3,6,IF(E2948&lt;=6,5,IF(E2948&lt;=9,4,IF(E2948&lt;=12,3,IF(E2948&lt;=15,2,0))))))</f>
        <v/>
      </c>
      <c r="G2948" s="3" t="n"/>
      <c r="H2948" s="4">
        <f>IF(I2948="Штраф -2",-2,IF(OR(F2948="",G2948=""),"",F2948*G2948+IF(J2948="",0,J2948)))</f>
        <v/>
      </c>
      <c r="I2948" s="3" t="n"/>
      <c r="J2948" s="3" t="n"/>
      <c r="K2948" s="3" t="n"/>
    </row>
    <row r="2949">
      <c r="A2949" s="3" t="n"/>
      <c r="B2949" s="3" t="n"/>
      <c r="C2949" s="3" t="n"/>
      <c r="D2949" s="3" t="n"/>
      <c r="E2949" s="4">
        <f>IF(A2949="","",COUNTIFS($A$4:A2949,A2949,$I$4:I2949,"&lt;&gt;Штраф -2",$I$4:I2949,"&lt;&gt;ушел на базу"))</f>
        <v/>
      </c>
      <c r="F2949" s="4">
        <f>IF(E2949="","",IF(E2949&lt;=3,6,IF(E2949&lt;=6,5,IF(E2949&lt;=9,4,IF(E2949&lt;=12,3,IF(E2949&lt;=15,2,0))))))</f>
        <v/>
      </c>
      <c r="G2949" s="3" t="n"/>
      <c r="H2949" s="4">
        <f>IF(I2949="Штраф -2",-2,IF(OR(F2949="",G2949=""),"",F2949*G2949+IF(J2949="",0,J2949)))</f>
        <v/>
      </c>
      <c r="I2949" s="3" t="n"/>
      <c r="J2949" s="3" t="n"/>
      <c r="K2949" s="3" t="n"/>
    </row>
    <row r="2950">
      <c r="A2950" s="3" t="n"/>
      <c r="B2950" s="3" t="n"/>
      <c r="C2950" s="3" t="n"/>
      <c r="D2950" s="3" t="n"/>
      <c r="E2950" s="4">
        <f>IF(A2950="","",COUNTIFS($A$4:A2950,A2950,$I$4:I2950,"&lt;&gt;Штраф -2",$I$4:I2950,"&lt;&gt;ушел на базу"))</f>
        <v/>
      </c>
      <c r="F2950" s="4">
        <f>IF(E2950="","",IF(E2950&lt;=3,6,IF(E2950&lt;=6,5,IF(E2950&lt;=9,4,IF(E2950&lt;=12,3,IF(E2950&lt;=15,2,0))))))</f>
        <v/>
      </c>
      <c r="G2950" s="3" t="n"/>
      <c r="H2950" s="4">
        <f>IF(I2950="Штраф -2",-2,IF(OR(F2950="",G2950=""),"",F2950*G2950+IF(J2950="",0,J2950)))</f>
        <v/>
      </c>
      <c r="I2950" s="3" t="n"/>
      <c r="J2950" s="3" t="n"/>
      <c r="K2950" s="3" t="n"/>
    </row>
    <row r="2951">
      <c r="A2951" s="3" t="n"/>
      <c r="B2951" s="3" t="n"/>
      <c r="C2951" s="3" t="n"/>
      <c r="D2951" s="3" t="n"/>
      <c r="E2951" s="4">
        <f>IF(A2951="","",COUNTIFS($A$4:A2951,A2951,$I$4:I2951,"&lt;&gt;Штраф -2",$I$4:I2951,"&lt;&gt;ушел на базу"))</f>
        <v/>
      </c>
      <c r="F2951" s="4">
        <f>IF(E2951="","",IF(E2951&lt;=3,6,IF(E2951&lt;=6,5,IF(E2951&lt;=9,4,IF(E2951&lt;=12,3,IF(E2951&lt;=15,2,0))))))</f>
        <v/>
      </c>
      <c r="G2951" s="3" t="n"/>
      <c r="H2951" s="4">
        <f>IF(I2951="Штраф -2",-2,IF(OR(F2951="",G2951=""),"",F2951*G2951+IF(J2951="",0,J2951)))</f>
        <v/>
      </c>
      <c r="I2951" s="3" t="n"/>
      <c r="J2951" s="3" t="n"/>
      <c r="K2951" s="3" t="n"/>
    </row>
    <row r="2952">
      <c r="A2952" s="3" t="n"/>
      <c r="B2952" s="3" t="n"/>
      <c r="C2952" s="3" t="n"/>
      <c r="D2952" s="3" t="n"/>
      <c r="E2952" s="4">
        <f>IF(A2952="","",COUNTIFS($A$4:A2952,A2952,$I$4:I2952,"&lt;&gt;Штраф -2",$I$4:I2952,"&lt;&gt;ушел на базу"))</f>
        <v/>
      </c>
      <c r="F2952" s="4">
        <f>IF(E2952="","",IF(E2952&lt;=3,6,IF(E2952&lt;=6,5,IF(E2952&lt;=9,4,IF(E2952&lt;=12,3,IF(E2952&lt;=15,2,0))))))</f>
        <v/>
      </c>
      <c r="G2952" s="3" t="n"/>
      <c r="H2952" s="4">
        <f>IF(I2952="Штраф -2",-2,IF(OR(F2952="",G2952=""),"",F2952*G2952+IF(J2952="",0,J2952)))</f>
        <v/>
      </c>
      <c r="I2952" s="3" t="n"/>
      <c r="J2952" s="3" t="n"/>
      <c r="K2952" s="3" t="n"/>
    </row>
    <row r="2953">
      <c r="A2953" s="3" t="n"/>
      <c r="B2953" s="3" t="n"/>
      <c r="C2953" s="3" t="n"/>
      <c r="D2953" s="3" t="n"/>
      <c r="E2953" s="4">
        <f>IF(A2953="","",COUNTIFS($A$4:A2953,A2953,$I$4:I2953,"&lt;&gt;Штраф -2",$I$4:I2953,"&lt;&gt;ушел на базу"))</f>
        <v/>
      </c>
      <c r="F2953" s="4">
        <f>IF(E2953="","",IF(E2953&lt;=3,6,IF(E2953&lt;=6,5,IF(E2953&lt;=9,4,IF(E2953&lt;=12,3,IF(E2953&lt;=15,2,0))))))</f>
        <v/>
      </c>
      <c r="G2953" s="3" t="n"/>
      <c r="H2953" s="4">
        <f>IF(I2953="Штраф -2",-2,IF(OR(F2953="",G2953=""),"",F2953*G2953+IF(J2953="",0,J2953)))</f>
        <v/>
      </c>
      <c r="I2953" s="3" t="n"/>
      <c r="J2953" s="3" t="n"/>
      <c r="K2953" s="3" t="n"/>
    </row>
    <row r="2954">
      <c r="A2954" s="3" t="n"/>
      <c r="B2954" s="3" t="n"/>
      <c r="C2954" s="3" t="n"/>
      <c r="D2954" s="3" t="n"/>
      <c r="E2954" s="4">
        <f>IF(A2954="","",COUNTIFS($A$4:A2954,A2954,$I$4:I2954,"&lt;&gt;Штраф -2",$I$4:I2954,"&lt;&gt;ушел на базу"))</f>
        <v/>
      </c>
      <c r="F2954" s="4">
        <f>IF(E2954="","",IF(E2954&lt;=3,6,IF(E2954&lt;=6,5,IF(E2954&lt;=9,4,IF(E2954&lt;=12,3,IF(E2954&lt;=15,2,0))))))</f>
        <v/>
      </c>
      <c r="G2954" s="3" t="n"/>
      <c r="H2954" s="4">
        <f>IF(I2954="Штраф -2",-2,IF(OR(F2954="",G2954=""),"",F2954*G2954+IF(J2954="",0,J2954)))</f>
        <v/>
      </c>
      <c r="I2954" s="3" t="n"/>
      <c r="J2954" s="3" t="n"/>
      <c r="K2954" s="3" t="n"/>
    </row>
    <row r="2955">
      <c r="A2955" s="3" t="n"/>
      <c r="B2955" s="3" t="n"/>
      <c r="C2955" s="3" t="n"/>
      <c r="D2955" s="3" t="n"/>
      <c r="E2955" s="4">
        <f>IF(A2955="","",COUNTIFS($A$4:A2955,A2955,$I$4:I2955,"&lt;&gt;Штраф -2",$I$4:I2955,"&lt;&gt;ушел на базу"))</f>
        <v/>
      </c>
      <c r="F2955" s="4">
        <f>IF(E2955="","",IF(E2955&lt;=3,6,IF(E2955&lt;=6,5,IF(E2955&lt;=9,4,IF(E2955&lt;=12,3,IF(E2955&lt;=15,2,0))))))</f>
        <v/>
      </c>
      <c r="G2955" s="3" t="n"/>
      <c r="H2955" s="4">
        <f>IF(I2955="Штраф -2",-2,IF(OR(F2955="",G2955=""),"",F2955*G2955+IF(J2955="",0,J2955)))</f>
        <v/>
      </c>
      <c r="I2955" s="3" t="n"/>
      <c r="J2955" s="3" t="n"/>
      <c r="K2955" s="3" t="n"/>
    </row>
    <row r="2956">
      <c r="A2956" s="3" t="n"/>
      <c r="B2956" s="3" t="n"/>
      <c r="C2956" s="3" t="n"/>
      <c r="D2956" s="3" t="n"/>
      <c r="E2956" s="4">
        <f>IF(A2956="","",COUNTIFS($A$4:A2956,A2956,$I$4:I2956,"&lt;&gt;Штраф -2",$I$4:I2956,"&lt;&gt;ушел на базу"))</f>
        <v/>
      </c>
      <c r="F2956" s="4">
        <f>IF(E2956="","",IF(E2956&lt;=3,6,IF(E2956&lt;=6,5,IF(E2956&lt;=9,4,IF(E2956&lt;=12,3,IF(E2956&lt;=15,2,0))))))</f>
        <v/>
      </c>
      <c r="G2956" s="3" t="n"/>
      <c r="H2956" s="4">
        <f>IF(I2956="Штраф -2",-2,IF(OR(F2956="",G2956=""),"",F2956*G2956+IF(J2956="",0,J2956)))</f>
        <v/>
      </c>
      <c r="I2956" s="3" t="n"/>
      <c r="J2956" s="3" t="n"/>
      <c r="K2956" s="3" t="n"/>
    </row>
    <row r="2957">
      <c r="A2957" s="3" t="n"/>
      <c r="B2957" s="3" t="n"/>
      <c r="C2957" s="3" t="n"/>
      <c r="D2957" s="3" t="n"/>
      <c r="E2957" s="4">
        <f>IF(A2957="","",COUNTIFS($A$4:A2957,A2957,$I$4:I2957,"&lt;&gt;Штраф -2",$I$4:I2957,"&lt;&gt;ушел на базу"))</f>
        <v/>
      </c>
      <c r="F2957" s="4">
        <f>IF(E2957="","",IF(E2957&lt;=3,6,IF(E2957&lt;=6,5,IF(E2957&lt;=9,4,IF(E2957&lt;=12,3,IF(E2957&lt;=15,2,0))))))</f>
        <v/>
      </c>
      <c r="G2957" s="3" t="n"/>
      <c r="H2957" s="4">
        <f>IF(I2957="Штраф -2",-2,IF(OR(F2957="",G2957=""),"",F2957*G2957+IF(J2957="",0,J2957)))</f>
        <v/>
      </c>
      <c r="I2957" s="3" t="n"/>
      <c r="J2957" s="3" t="n"/>
      <c r="K2957" s="3" t="n"/>
    </row>
    <row r="2958">
      <c r="A2958" s="3" t="n"/>
      <c r="B2958" s="3" t="n"/>
      <c r="C2958" s="3" t="n"/>
      <c r="D2958" s="3" t="n"/>
      <c r="E2958" s="4">
        <f>IF(A2958="","",COUNTIFS($A$4:A2958,A2958,$I$4:I2958,"&lt;&gt;Штраф -2",$I$4:I2958,"&lt;&gt;ушел на базу"))</f>
        <v/>
      </c>
      <c r="F2958" s="4">
        <f>IF(E2958="","",IF(E2958&lt;=3,6,IF(E2958&lt;=6,5,IF(E2958&lt;=9,4,IF(E2958&lt;=12,3,IF(E2958&lt;=15,2,0))))))</f>
        <v/>
      </c>
      <c r="G2958" s="3" t="n"/>
      <c r="H2958" s="4">
        <f>IF(I2958="Штраф -2",-2,IF(OR(F2958="",G2958=""),"",F2958*G2958+IF(J2958="",0,J2958)))</f>
        <v/>
      </c>
      <c r="I2958" s="3" t="n"/>
      <c r="J2958" s="3" t="n"/>
      <c r="K2958" s="3" t="n"/>
    </row>
    <row r="2959">
      <c r="A2959" s="3" t="n"/>
      <c r="B2959" s="3" t="n"/>
      <c r="C2959" s="3" t="n"/>
      <c r="D2959" s="3" t="n"/>
      <c r="E2959" s="4">
        <f>IF(A2959="","",COUNTIFS($A$4:A2959,A2959,$I$4:I2959,"&lt;&gt;Штраф -2",$I$4:I2959,"&lt;&gt;ушел на базу"))</f>
        <v/>
      </c>
      <c r="F2959" s="4">
        <f>IF(E2959="","",IF(E2959&lt;=3,6,IF(E2959&lt;=6,5,IF(E2959&lt;=9,4,IF(E2959&lt;=12,3,IF(E2959&lt;=15,2,0))))))</f>
        <v/>
      </c>
      <c r="G2959" s="3" t="n"/>
      <c r="H2959" s="4">
        <f>IF(I2959="Штраф -2",-2,IF(OR(F2959="",G2959=""),"",F2959*G2959+IF(J2959="",0,J2959)))</f>
        <v/>
      </c>
      <c r="I2959" s="3" t="n"/>
      <c r="J2959" s="3" t="n"/>
      <c r="K2959" s="3" t="n"/>
    </row>
    <row r="2960">
      <c r="A2960" s="3" t="n"/>
      <c r="B2960" s="3" t="n"/>
      <c r="C2960" s="3" t="n"/>
      <c r="D2960" s="3" t="n"/>
      <c r="E2960" s="4">
        <f>IF(A2960="","",COUNTIFS($A$4:A2960,A2960,$I$4:I2960,"&lt;&gt;Штраф -2",$I$4:I2960,"&lt;&gt;ушел на базу"))</f>
        <v/>
      </c>
      <c r="F2960" s="4">
        <f>IF(E2960="","",IF(E2960&lt;=3,6,IF(E2960&lt;=6,5,IF(E2960&lt;=9,4,IF(E2960&lt;=12,3,IF(E2960&lt;=15,2,0))))))</f>
        <v/>
      </c>
      <c r="G2960" s="3" t="n"/>
      <c r="H2960" s="4">
        <f>IF(I2960="Штраф -2",-2,IF(OR(F2960="",G2960=""),"",F2960*G2960+IF(J2960="",0,J2960)))</f>
        <v/>
      </c>
      <c r="I2960" s="3" t="n"/>
      <c r="J2960" s="3" t="n"/>
      <c r="K2960" s="3" t="n"/>
    </row>
    <row r="2961">
      <c r="A2961" s="3" t="n"/>
      <c r="B2961" s="3" t="n"/>
      <c r="C2961" s="3" t="n"/>
      <c r="D2961" s="3" t="n"/>
      <c r="E2961" s="4">
        <f>IF(A2961="","",COUNTIFS($A$4:A2961,A2961,$I$4:I2961,"&lt;&gt;Штраф -2",$I$4:I2961,"&lt;&gt;ушел на базу"))</f>
        <v/>
      </c>
      <c r="F2961" s="4">
        <f>IF(E2961="","",IF(E2961&lt;=3,6,IF(E2961&lt;=6,5,IF(E2961&lt;=9,4,IF(E2961&lt;=12,3,IF(E2961&lt;=15,2,0))))))</f>
        <v/>
      </c>
      <c r="G2961" s="3" t="n"/>
      <c r="H2961" s="4">
        <f>IF(I2961="Штраф -2",-2,IF(OR(F2961="",G2961=""),"",F2961*G2961+IF(J2961="",0,J2961)))</f>
        <v/>
      </c>
      <c r="I2961" s="3" t="n"/>
      <c r="J2961" s="3" t="n"/>
      <c r="K2961" s="3" t="n"/>
    </row>
    <row r="2962">
      <c r="A2962" s="3" t="n"/>
      <c r="B2962" s="3" t="n"/>
      <c r="C2962" s="3" t="n"/>
      <c r="D2962" s="3" t="n"/>
      <c r="E2962" s="4">
        <f>IF(A2962="","",COUNTIFS($A$4:A2962,A2962,$I$4:I2962,"&lt;&gt;Штраф -2",$I$4:I2962,"&lt;&gt;ушел на базу"))</f>
        <v/>
      </c>
      <c r="F2962" s="4">
        <f>IF(E2962="","",IF(E2962&lt;=3,6,IF(E2962&lt;=6,5,IF(E2962&lt;=9,4,IF(E2962&lt;=12,3,IF(E2962&lt;=15,2,0))))))</f>
        <v/>
      </c>
      <c r="G2962" s="3" t="n"/>
      <c r="H2962" s="4">
        <f>IF(I2962="Штраф -2",-2,IF(OR(F2962="",G2962=""),"",F2962*G2962+IF(J2962="",0,J2962)))</f>
        <v/>
      </c>
      <c r="I2962" s="3" t="n"/>
      <c r="J2962" s="3" t="n"/>
      <c r="K2962" s="3" t="n"/>
    </row>
    <row r="2963">
      <c r="A2963" s="3" t="n"/>
      <c r="B2963" s="3" t="n"/>
      <c r="C2963" s="3" t="n"/>
      <c r="D2963" s="3" t="n"/>
      <c r="E2963" s="4">
        <f>IF(A2963="","",COUNTIFS($A$4:A2963,A2963,$I$4:I2963,"&lt;&gt;Штраф -2",$I$4:I2963,"&lt;&gt;ушел на базу"))</f>
        <v/>
      </c>
      <c r="F2963" s="4">
        <f>IF(E2963="","",IF(E2963&lt;=3,6,IF(E2963&lt;=6,5,IF(E2963&lt;=9,4,IF(E2963&lt;=12,3,IF(E2963&lt;=15,2,0))))))</f>
        <v/>
      </c>
      <c r="G2963" s="3" t="n"/>
      <c r="H2963" s="4">
        <f>IF(I2963="Штраф -2",-2,IF(OR(F2963="",G2963=""),"",F2963*G2963+IF(J2963="",0,J2963)))</f>
        <v/>
      </c>
      <c r="I2963" s="3" t="n"/>
      <c r="J2963" s="3" t="n"/>
      <c r="K2963" s="3" t="n"/>
    </row>
    <row r="2964">
      <c r="A2964" s="3" t="n"/>
      <c r="B2964" s="3" t="n"/>
      <c r="C2964" s="3" t="n"/>
      <c r="D2964" s="3" t="n"/>
      <c r="E2964" s="4">
        <f>IF(A2964="","",COUNTIFS($A$4:A2964,A2964,$I$4:I2964,"&lt;&gt;Штраф -2",$I$4:I2964,"&lt;&gt;ушел на базу"))</f>
        <v/>
      </c>
      <c r="F2964" s="4">
        <f>IF(E2964="","",IF(E2964&lt;=3,6,IF(E2964&lt;=6,5,IF(E2964&lt;=9,4,IF(E2964&lt;=12,3,IF(E2964&lt;=15,2,0))))))</f>
        <v/>
      </c>
      <c r="G2964" s="3" t="n"/>
      <c r="H2964" s="4">
        <f>IF(I2964="Штраф -2",-2,IF(OR(F2964="",G2964=""),"",F2964*G2964+IF(J2964="",0,J2964)))</f>
        <v/>
      </c>
      <c r="I2964" s="3" t="n"/>
      <c r="J2964" s="3" t="n"/>
      <c r="K2964" s="3" t="n"/>
    </row>
    <row r="2965">
      <c r="A2965" s="3" t="n"/>
      <c r="B2965" s="3" t="n"/>
      <c r="C2965" s="3" t="n"/>
      <c r="D2965" s="3" t="n"/>
      <c r="E2965" s="4">
        <f>IF(A2965="","",COUNTIFS($A$4:A2965,A2965,$I$4:I2965,"&lt;&gt;Штраф -2",$I$4:I2965,"&lt;&gt;ушел на базу"))</f>
        <v/>
      </c>
      <c r="F2965" s="4">
        <f>IF(E2965="","",IF(E2965&lt;=3,6,IF(E2965&lt;=6,5,IF(E2965&lt;=9,4,IF(E2965&lt;=12,3,IF(E2965&lt;=15,2,0))))))</f>
        <v/>
      </c>
      <c r="G2965" s="3" t="n"/>
      <c r="H2965" s="4">
        <f>IF(I2965="Штраф -2",-2,IF(OR(F2965="",G2965=""),"",F2965*G2965+IF(J2965="",0,J2965)))</f>
        <v/>
      </c>
      <c r="I2965" s="3" t="n"/>
      <c r="J2965" s="3" t="n"/>
      <c r="K2965" s="3" t="n"/>
    </row>
    <row r="2966">
      <c r="A2966" s="3" t="n"/>
      <c r="B2966" s="3" t="n"/>
      <c r="C2966" s="3" t="n"/>
      <c r="D2966" s="3" t="n"/>
      <c r="E2966" s="4">
        <f>IF(A2966="","",COUNTIFS($A$4:A2966,A2966,$I$4:I2966,"&lt;&gt;Штраф -2",$I$4:I2966,"&lt;&gt;ушел на базу"))</f>
        <v/>
      </c>
      <c r="F2966" s="4">
        <f>IF(E2966="","",IF(E2966&lt;=3,6,IF(E2966&lt;=6,5,IF(E2966&lt;=9,4,IF(E2966&lt;=12,3,IF(E2966&lt;=15,2,0))))))</f>
        <v/>
      </c>
      <c r="G2966" s="3" t="n"/>
      <c r="H2966" s="4">
        <f>IF(I2966="Штраф -2",-2,IF(OR(F2966="",G2966=""),"",F2966*G2966+IF(J2966="",0,J2966)))</f>
        <v/>
      </c>
      <c r="I2966" s="3" t="n"/>
      <c r="J2966" s="3" t="n"/>
      <c r="K2966" s="3" t="n"/>
    </row>
    <row r="2967">
      <c r="A2967" s="3" t="n"/>
      <c r="B2967" s="3" t="n"/>
      <c r="C2967" s="3" t="n"/>
      <c r="D2967" s="3" t="n"/>
      <c r="E2967" s="4">
        <f>IF(A2967="","",COUNTIFS($A$4:A2967,A2967,$I$4:I2967,"&lt;&gt;Штраф -2",$I$4:I2967,"&lt;&gt;ушел на базу"))</f>
        <v/>
      </c>
      <c r="F2967" s="4">
        <f>IF(E2967="","",IF(E2967&lt;=3,6,IF(E2967&lt;=6,5,IF(E2967&lt;=9,4,IF(E2967&lt;=12,3,IF(E2967&lt;=15,2,0))))))</f>
        <v/>
      </c>
      <c r="G2967" s="3" t="n"/>
      <c r="H2967" s="4">
        <f>IF(I2967="Штраф -2",-2,IF(OR(F2967="",G2967=""),"",F2967*G2967+IF(J2967="",0,J2967)))</f>
        <v/>
      </c>
      <c r="I2967" s="3" t="n"/>
      <c r="J2967" s="3" t="n"/>
      <c r="K2967" s="3" t="n"/>
    </row>
    <row r="2968">
      <c r="A2968" s="3" t="n"/>
      <c r="B2968" s="3" t="n"/>
      <c r="C2968" s="3" t="n"/>
      <c r="D2968" s="3" t="n"/>
      <c r="E2968" s="4">
        <f>IF(A2968="","",COUNTIFS($A$4:A2968,A2968,$I$4:I2968,"&lt;&gt;Штраф -2",$I$4:I2968,"&lt;&gt;ушел на базу"))</f>
        <v/>
      </c>
      <c r="F2968" s="4">
        <f>IF(E2968="","",IF(E2968&lt;=3,6,IF(E2968&lt;=6,5,IF(E2968&lt;=9,4,IF(E2968&lt;=12,3,IF(E2968&lt;=15,2,0))))))</f>
        <v/>
      </c>
      <c r="G2968" s="3" t="n"/>
      <c r="H2968" s="4">
        <f>IF(I2968="Штраф -2",-2,IF(OR(F2968="",G2968=""),"",F2968*G2968+IF(J2968="",0,J2968)))</f>
        <v/>
      </c>
      <c r="I2968" s="3" t="n"/>
      <c r="J2968" s="3" t="n"/>
      <c r="K2968" s="3" t="n"/>
    </row>
    <row r="2969">
      <c r="A2969" s="3" t="n"/>
      <c r="B2969" s="3" t="n"/>
      <c r="C2969" s="3" t="n"/>
      <c r="D2969" s="3" t="n"/>
      <c r="E2969" s="4">
        <f>IF(A2969="","",COUNTIFS($A$4:A2969,A2969,$I$4:I2969,"&lt;&gt;Штраф -2",$I$4:I2969,"&lt;&gt;ушел на базу"))</f>
        <v/>
      </c>
      <c r="F2969" s="4">
        <f>IF(E2969="","",IF(E2969&lt;=3,6,IF(E2969&lt;=6,5,IF(E2969&lt;=9,4,IF(E2969&lt;=12,3,IF(E2969&lt;=15,2,0))))))</f>
        <v/>
      </c>
      <c r="G2969" s="3" t="n"/>
      <c r="H2969" s="4">
        <f>IF(I2969="Штраф -2",-2,IF(OR(F2969="",G2969=""),"",F2969*G2969+IF(J2969="",0,J2969)))</f>
        <v/>
      </c>
      <c r="I2969" s="3" t="n"/>
      <c r="J2969" s="3" t="n"/>
      <c r="K2969" s="3" t="n"/>
    </row>
    <row r="2970">
      <c r="A2970" s="3" t="n"/>
      <c r="B2970" s="3" t="n"/>
      <c r="C2970" s="3" t="n"/>
      <c r="D2970" s="3" t="n"/>
      <c r="E2970" s="4">
        <f>IF(A2970="","",COUNTIFS($A$4:A2970,A2970,$I$4:I2970,"&lt;&gt;Штраф -2",$I$4:I2970,"&lt;&gt;ушел на базу"))</f>
        <v/>
      </c>
      <c r="F2970" s="4">
        <f>IF(E2970="","",IF(E2970&lt;=3,6,IF(E2970&lt;=6,5,IF(E2970&lt;=9,4,IF(E2970&lt;=12,3,IF(E2970&lt;=15,2,0))))))</f>
        <v/>
      </c>
      <c r="G2970" s="3" t="n"/>
      <c r="H2970" s="4">
        <f>IF(I2970="Штраф -2",-2,IF(OR(F2970="",G2970=""),"",F2970*G2970+IF(J2970="",0,J2970)))</f>
        <v/>
      </c>
      <c r="I2970" s="3" t="n"/>
      <c r="J2970" s="3" t="n"/>
      <c r="K2970" s="3" t="n"/>
    </row>
    <row r="2971">
      <c r="A2971" s="3" t="n"/>
      <c r="B2971" s="3" t="n"/>
      <c r="C2971" s="3" t="n"/>
      <c r="D2971" s="3" t="n"/>
      <c r="E2971" s="4">
        <f>IF(A2971="","",COUNTIFS($A$4:A2971,A2971,$I$4:I2971,"&lt;&gt;Штраф -2",$I$4:I2971,"&lt;&gt;ушел на базу"))</f>
        <v/>
      </c>
      <c r="F2971" s="4">
        <f>IF(E2971="","",IF(E2971&lt;=3,6,IF(E2971&lt;=6,5,IF(E2971&lt;=9,4,IF(E2971&lt;=12,3,IF(E2971&lt;=15,2,0))))))</f>
        <v/>
      </c>
      <c r="G2971" s="3" t="n"/>
      <c r="H2971" s="4">
        <f>IF(I2971="Штраф -2",-2,IF(OR(F2971="",G2971=""),"",F2971*G2971+IF(J2971="",0,J2971)))</f>
        <v/>
      </c>
      <c r="I2971" s="3" t="n"/>
      <c r="J2971" s="3" t="n"/>
      <c r="K2971" s="3" t="n"/>
    </row>
    <row r="2972">
      <c r="A2972" s="3" t="n"/>
      <c r="B2972" s="3" t="n"/>
      <c r="C2972" s="3" t="n"/>
      <c r="D2972" s="3" t="n"/>
      <c r="E2972" s="4">
        <f>IF(A2972="","",COUNTIFS($A$4:A2972,A2972,$I$4:I2972,"&lt;&gt;Штраф -2",$I$4:I2972,"&lt;&gt;ушел на базу"))</f>
        <v/>
      </c>
      <c r="F2972" s="4">
        <f>IF(E2972="","",IF(E2972&lt;=3,6,IF(E2972&lt;=6,5,IF(E2972&lt;=9,4,IF(E2972&lt;=12,3,IF(E2972&lt;=15,2,0))))))</f>
        <v/>
      </c>
      <c r="G2972" s="3" t="n"/>
      <c r="H2972" s="4">
        <f>IF(I2972="Штраф -2",-2,IF(OR(F2972="",G2972=""),"",F2972*G2972+IF(J2972="",0,J2972)))</f>
        <v/>
      </c>
      <c r="I2972" s="3" t="n"/>
      <c r="J2972" s="3" t="n"/>
      <c r="K2972" s="3" t="n"/>
    </row>
    <row r="2973">
      <c r="A2973" s="3" t="n"/>
      <c r="B2973" s="3" t="n"/>
      <c r="C2973" s="3" t="n"/>
      <c r="D2973" s="3" t="n"/>
      <c r="E2973" s="4">
        <f>IF(A2973="","",COUNTIFS($A$4:A2973,A2973,$I$4:I2973,"&lt;&gt;Штраф -2",$I$4:I2973,"&lt;&gt;ушел на базу"))</f>
        <v/>
      </c>
      <c r="F2973" s="4">
        <f>IF(E2973="","",IF(E2973&lt;=3,6,IF(E2973&lt;=6,5,IF(E2973&lt;=9,4,IF(E2973&lt;=12,3,IF(E2973&lt;=15,2,0))))))</f>
        <v/>
      </c>
      <c r="G2973" s="3" t="n"/>
      <c r="H2973" s="4">
        <f>IF(I2973="Штраф -2",-2,IF(OR(F2973="",G2973=""),"",F2973*G2973+IF(J2973="",0,J2973)))</f>
        <v/>
      </c>
      <c r="I2973" s="3" t="n"/>
      <c r="J2973" s="3" t="n"/>
      <c r="K2973" s="3" t="n"/>
    </row>
    <row r="2974">
      <c r="A2974" s="3" t="n"/>
      <c r="B2974" s="3" t="n"/>
      <c r="C2974" s="3" t="n"/>
      <c r="D2974" s="3" t="n"/>
      <c r="E2974" s="4">
        <f>IF(A2974="","",COUNTIFS($A$4:A2974,A2974,$I$4:I2974,"&lt;&gt;Штраф -2",$I$4:I2974,"&lt;&gt;ушел на базу"))</f>
        <v/>
      </c>
      <c r="F2974" s="4">
        <f>IF(E2974="","",IF(E2974&lt;=3,6,IF(E2974&lt;=6,5,IF(E2974&lt;=9,4,IF(E2974&lt;=12,3,IF(E2974&lt;=15,2,0))))))</f>
        <v/>
      </c>
      <c r="G2974" s="3" t="n"/>
      <c r="H2974" s="4">
        <f>IF(I2974="Штраф -2",-2,IF(OR(F2974="",G2974=""),"",F2974*G2974+IF(J2974="",0,J2974)))</f>
        <v/>
      </c>
      <c r="I2974" s="3" t="n"/>
      <c r="J2974" s="3" t="n"/>
      <c r="K2974" s="3" t="n"/>
    </row>
    <row r="2975">
      <c r="A2975" s="3" t="n"/>
      <c r="B2975" s="3" t="n"/>
      <c r="C2975" s="3" t="n"/>
      <c r="D2975" s="3" t="n"/>
      <c r="E2975" s="4">
        <f>IF(A2975="","",COUNTIFS($A$4:A2975,A2975,$I$4:I2975,"&lt;&gt;Штраф -2",$I$4:I2975,"&lt;&gt;ушел на базу"))</f>
        <v/>
      </c>
      <c r="F2975" s="4">
        <f>IF(E2975="","",IF(E2975&lt;=3,6,IF(E2975&lt;=6,5,IF(E2975&lt;=9,4,IF(E2975&lt;=12,3,IF(E2975&lt;=15,2,0))))))</f>
        <v/>
      </c>
      <c r="G2975" s="3" t="n"/>
      <c r="H2975" s="4">
        <f>IF(I2975="Штраф -2",-2,IF(OR(F2975="",G2975=""),"",F2975*G2975+IF(J2975="",0,J2975)))</f>
        <v/>
      </c>
      <c r="I2975" s="3" t="n"/>
      <c r="J2975" s="3" t="n"/>
      <c r="K2975" s="3" t="n"/>
    </row>
    <row r="2976">
      <c r="A2976" s="3" t="n"/>
      <c r="B2976" s="3" t="n"/>
      <c r="C2976" s="3" t="n"/>
      <c r="D2976" s="3" t="n"/>
      <c r="E2976" s="4">
        <f>IF(A2976="","",COUNTIFS($A$4:A2976,A2976,$I$4:I2976,"&lt;&gt;Штраф -2",$I$4:I2976,"&lt;&gt;ушел на базу"))</f>
        <v/>
      </c>
      <c r="F2976" s="4">
        <f>IF(E2976="","",IF(E2976&lt;=3,6,IF(E2976&lt;=6,5,IF(E2976&lt;=9,4,IF(E2976&lt;=12,3,IF(E2976&lt;=15,2,0))))))</f>
        <v/>
      </c>
      <c r="G2976" s="3" t="n"/>
      <c r="H2976" s="4">
        <f>IF(I2976="Штраф -2",-2,IF(OR(F2976="",G2976=""),"",F2976*G2976+IF(J2976="",0,J2976)))</f>
        <v/>
      </c>
      <c r="I2976" s="3" t="n"/>
      <c r="J2976" s="3" t="n"/>
      <c r="K2976" s="3" t="n"/>
    </row>
    <row r="2977">
      <c r="A2977" s="3" t="n"/>
      <c r="B2977" s="3" t="n"/>
      <c r="C2977" s="3" t="n"/>
      <c r="D2977" s="3" t="n"/>
      <c r="E2977" s="4">
        <f>IF(A2977="","",COUNTIFS($A$4:A2977,A2977,$I$4:I2977,"&lt;&gt;Штраф -2",$I$4:I2977,"&lt;&gt;ушел на базу"))</f>
        <v/>
      </c>
      <c r="F2977" s="4">
        <f>IF(E2977="","",IF(E2977&lt;=3,6,IF(E2977&lt;=6,5,IF(E2977&lt;=9,4,IF(E2977&lt;=12,3,IF(E2977&lt;=15,2,0))))))</f>
        <v/>
      </c>
      <c r="G2977" s="3" t="n"/>
      <c r="H2977" s="4">
        <f>IF(I2977="Штраф -2",-2,IF(OR(F2977="",G2977=""),"",F2977*G2977+IF(J2977="",0,J2977)))</f>
        <v/>
      </c>
      <c r="I2977" s="3" t="n"/>
      <c r="J2977" s="3" t="n"/>
      <c r="K2977" s="3" t="n"/>
    </row>
    <row r="2978">
      <c r="A2978" s="3" t="n"/>
      <c r="B2978" s="3" t="n"/>
      <c r="C2978" s="3" t="n"/>
      <c r="D2978" s="3" t="n"/>
      <c r="E2978" s="4">
        <f>IF(A2978="","",COUNTIFS($A$4:A2978,A2978,$I$4:I2978,"&lt;&gt;Штраф -2",$I$4:I2978,"&lt;&gt;ушел на базу"))</f>
        <v/>
      </c>
      <c r="F2978" s="4">
        <f>IF(E2978="","",IF(E2978&lt;=3,6,IF(E2978&lt;=6,5,IF(E2978&lt;=9,4,IF(E2978&lt;=12,3,IF(E2978&lt;=15,2,0))))))</f>
        <v/>
      </c>
      <c r="G2978" s="3" t="n"/>
      <c r="H2978" s="4">
        <f>IF(I2978="Штраф -2",-2,IF(OR(F2978="",G2978=""),"",F2978*G2978+IF(J2978="",0,J2978)))</f>
        <v/>
      </c>
      <c r="I2978" s="3" t="n"/>
      <c r="J2978" s="3" t="n"/>
      <c r="K2978" s="3" t="n"/>
    </row>
    <row r="2979">
      <c r="A2979" s="3" t="n"/>
      <c r="B2979" s="3" t="n"/>
      <c r="C2979" s="3" t="n"/>
      <c r="D2979" s="3" t="n"/>
      <c r="E2979" s="4">
        <f>IF(A2979="","",COUNTIFS($A$4:A2979,A2979,$I$4:I2979,"&lt;&gt;Штраф -2",$I$4:I2979,"&lt;&gt;ушел на базу"))</f>
        <v/>
      </c>
      <c r="F2979" s="4">
        <f>IF(E2979="","",IF(E2979&lt;=3,6,IF(E2979&lt;=6,5,IF(E2979&lt;=9,4,IF(E2979&lt;=12,3,IF(E2979&lt;=15,2,0))))))</f>
        <v/>
      </c>
      <c r="G2979" s="3" t="n"/>
      <c r="H2979" s="4">
        <f>IF(I2979="Штраф -2",-2,IF(OR(F2979="",G2979=""),"",F2979*G2979+IF(J2979="",0,J2979)))</f>
        <v/>
      </c>
      <c r="I2979" s="3" t="n"/>
      <c r="J2979" s="3" t="n"/>
      <c r="K2979" s="3" t="n"/>
    </row>
    <row r="2980">
      <c r="A2980" s="3" t="n"/>
      <c r="B2980" s="3" t="n"/>
      <c r="C2980" s="3" t="n"/>
      <c r="D2980" s="3" t="n"/>
      <c r="E2980" s="4">
        <f>IF(A2980="","",COUNTIFS($A$4:A2980,A2980,$I$4:I2980,"&lt;&gt;Штраф -2",$I$4:I2980,"&lt;&gt;ушел на базу"))</f>
        <v/>
      </c>
      <c r="F2980" s="4">
        <f>IF(E2980="","",IF(E2980&lt;=3,6,IF(E2980&lt;=6,5,IF(E2980&lt;=9,4,IF(E2980&lt;=12,3,IF(E2980&lt;=15,2,0))))))</f>
        <v/>
      </c>
      <c r="G2980" s="3" t="n"/>
      <c r="H2980" s="4">
        <f>IF(I2980="Штраф -2",-2,IF(OR(F2980="",G2980=""),"",F2980*G2980+IF(J2980="",0,J2980)))</f>
        <v/>
      </c>
      <c r="I2980" s="3" t="n"/>
      <c r="J2980" s="3" t="n"/>
      <c r="K2980" s="3" t="n"/>
    </row>
    <row r="2981">
      <c r="A2981" s="3" t="n"/>
      <c r="B2981" s="3" t="n"/>
      <c r="C2981" s="3" t="n"/>
      <c r="D2981" s="3" t="n"/>
      <c r="E2981" s="4">
        <f>IF(A2981="","",COUNTIFS($A$4:A2981,A2981,$I$4:I2981,"&lt;&gt;Штраф -2",$I$4:I2981,"&lt;&gt;ушел на базу"))</f>
        <v/>
      </c>
      <c r="F2981" s="4">
        <f>IF(E2981="","",IF(E2981&lt;=3,6,IF(E2981&lt;=6,5,IF(E2981&lt;=9,4,IF(E2981&lt;=12,3,IF(E2981&lt;=15,2,0))))))</f>
        <v/>
      </c>
      <c r="G2981" s="3" t="n"/>
      <c r="H2981" s="4">
        <f>IF(I2981="Штраф -2",-2,IF(OR(F2981="",G2981=""),"",F2981*G2981+IF(J2981="",0,J2981)))</f>
        <v/>
      </c>
      <c r="I2981" s="3" t="n"/>
      <c r="J2981" s="3" t="n"/>
      <c r="K2981" s="3" t="n"/>
    </row>
    <row r="2982">
      <c r="A2982" s="3" t="n"/>
      <c r="B2982" s="3" t="n"/>
      <c r="C2982" s="3" t="n"/>
      <c r="D2982" s="3" t="n"/>
      <c r="E2982" s="4">
        <f>IF(A2982="","",COUNTIFS($A$4:A2982,A2982,$I$4:I2982,"&lt;&gt;Штраф -2",$I$4:I2982,"&lt;&gt;ушел на базу"))</f>
        <v/>
      </c>
      <c r="F2982" s="4">
        <f>IF(E2982="","",IF(E2982&lt;=3,6,IF(E2982&lt;=6,5,IF(E2982&lt;=9,4,IF(E2982&lt;=12,3,IF(E2982&lt;=15,2,0))))))</f>
        <v/>
      </c>
      <c r="G2982" s="3" t="n"/>
      <c r="H2982" s="4">
        <f>IF(I2982="Штраф -2",-2,IF(OR(F2982="",G2982=""),"",F2982*G2982+IF(J2982="",0,J2982)))</f>
        <v/>
      </c>
      <c r="I2982" s="3" t="n"/>
      <c r="J2982" s="3" t="n"/>
      <c r="K2982" s="3" t="n"/>
    </row>
    <row r="2983">
      <c r="A2983" s="3" t="n"/>
      <c r="B2983" s="3" t="n"/>
      <c r="C2983" s="3" t="n"/>
      <c r="D2983" s="3" t="n"/>
      <c r="E2983" s="4">
        <f>IF(A2983="","",COUNTIFS($A$4:A2983,A2983,$I$4:I2983,"&lt;&gt;Штраф -2",$I$4:I2983,"&lt;&gt;ушел на базу"))</f>
        <v/>
      </c>
      <c r="F2983" s="4">
        <f>IF(E2983="","",IF(E2983&lt;=3,6,IF(E2983&lt;=6,5,IF(E2983&lt;=9,4,IF(E2983&lt;=12,3,IF(E2983&lt;=15,2,0))))))</f>
        <v/>
      </c>
      <c r="G2983" s="3" t="n"/>
      <c r="H2983" s="4">
        <f>IF(I2983="Штраф -2",-2,IF(OR(F2983="",G2983=""),"",F2983*G2983+IF(J2983="",0,J2983)))</f>
        <v/>
      </c>
      <c r="I2983" s="3" t="n"/>
      <c r="J2983" s="3" t="n"/>
      <c r="K2983" s="3" t="n"/>
    </row>
    <row r="2984">
      <c r="A2984" s="3" t="n"/>
      <c r="B2984" s="3" t="n"/>
      <c r="C2984" s="3" t="n"/>
      <c r="D2984" s="3" t="n"/>
      <c r="E2984" s="4">
        <f>IF(A2984="","",COUNTIFS($A$4:A2984,A2984,$I$4:I2984,"&lt;&gt;Штраф -2",$I$4:I2984,"&lt;&gt;ушел на базу"))</f>
        <v/>
      </c>
      <c r="F2984" s="4">
        <f>IF(E2984="","",IF(E2984&lt;=3,6,IF(E2984&lt;=6,5,IF(E2984&lt;=9,4,IF(E2984&lt;=12,3,IF(E2984&lt;=15,2,0))))))</f>
        <v/>
      </c>
      <c r="G2984" s="3" t="n"/>
      <c r="H2984" s="4">
        <f>IF(I2984="Штраф -2",-2,IF(OR(F2984="",G2984=""),"",F2984*G2984+IF(J2984="",0,J2984)))</f>
        <v/>
      </c>
      <c r="I2984" s="3" t="n"/>
      <c r="J2984" s="3" t="n"/>
      <c r="K2984" s="3" t="n"/>
    </row>
    <row r="2985">
      <c r="A2985" s="3" t="n"/>
      <c r="B2985" s="3" t="n"/>
      <c r="C2985" s="3" t="n"/>
      <c r="D2985" s="3" t="n"/>
      <c r="E2985" s="4">
        <f>IF(A2985="","",COUNTIFS($A$4:A2985,A2985,$I$4:I2985,"&lt;&gt;Штраф -2",$I$4:I2985,"&lt;&gt;ушел на базу"))</f>
        <v/>
      </c>
      <c r="F2985" s="4">
        <f>IF(E2985="","",IF(E2985&lt;=3,6,IF(E2985&lt;=6,5,IF(E2985&lt;=9,4,IF(E2985&lt;=12,3,IF(E2985&lt;=15,2,0))))))</f>
        <v/>
      </c>
      <c r="G2985" s="3" t="n"/>
      <c r="H2985" s="4">
        <f>IF(I2985="Штраф -2",-2,IF(OR(F2985="",G2985=""),"",F2985*G2985+IF(J2985="",0,J2985)))</f>
        <v/>
      </c>
      <c r="I2985" s="3" t="n"/>
      <c r="J2985" s="3" t="n"/>
      <c r="K2985" s="3" t="n"/>
    </row>
    <row r="2986">
      <c r="A2986" s="3" t="n"/>
      <c r="B2986" s="3" t="n"/>
      <c r="C2986" s="3" t="n"/>
      <c r="D2986" s="3" t="n"/>
      <c r="E2986" s="4">
        <f>IF(A2986="","",COUNTIFS($A$4:A2986,A2986,$I$4:I2986,"&lt;&gt;Штраф -2",$I$4:I2986,"&lt;&gt;ушел на базу"))</f>
        <v/>
      </c>
      <c r="F2986" s="4">
        <f>IF(E2986="","",IF(E2986&lt;=3,6,IF(E2986&lt;=6,5,IF(E2986&lt;=9,4,IF(E2986&lt;=12,3,IF(E2986&lt;=15,2,0))))))</f>
        <v/>
      </c>
      <c r="G2986" s="3" t="n"/>
      <c r="H2986" s="4">
        <f>IF(I2986="Штраф -2",-2,IF(OR(F2986="",G2986=""),"",F2986*G2986+IF(J2986="",0,J2986)))</f>
        <v/>
      </c>
      <c r="I2986" s="3" t="n"/>
      <c r="J2986" s="3" t="n"/>
      <c r="K2986" s="3" t="n"/>
    </row>
    <row r="2987">
      <c r="A2987" s="3" t="n"/>
      <c r="B2987" s="3" t="n"/>
      <c r="C2987" s="3" t="n"/>
      <c r="D2987" s="3" t="n"/>
      <c r="E2987" s="4">
        <f>IF(A2987="","",COUNTIFS($A$4:A2987,A2987,$I$4:I2987,"&lt;&gt;Штраф -2",$I$4:I2987,"&lt;&gt;ушел на базу"))</f>
        <v/>
      </c>
      <c r="F2987" s="4">
        <f>IF(E2987="","",IF(E2987&lt;=3,6,IF(E2987&lt;=6,5,IF(E2987&lt;=9,4,IF(E2987&lt;=12,3,IF(E2987&lt;=15,2,0))))))</f>
        <v/>
      </c>
      <c r="G2987" s="3" t="n"/>
      <c r="H2987" s="4">
        <f>IF(I2987="Штраф -2",-2,IF(OR(F2987="",G2987=""),"",F2987*G2987+IF(J2987="",0,J2987)))</f>
        <v/>
      </c>
      <c r="I2987" s="3" t="n"/>
      <c r="J2987" s="3" t="n"/>
      <c r="K2987" s="3" t="n"/>
    </row>
    <row r="2988">
      <c r="A2988" s="3" t="n"/>
      <c r="B2988" s="3" t="n"/>
      <c r="C2988" s="3" t="n"/>
      <c r="D2988" s="3" t="n"/>
      <c r="E2988" s="4">
        <f>IF(A2988="","",COUNTIFS($A$4:A2988,A2988,$I$4:I2988,"&lt;&gt;Штраф -2",$I$4:I2988,"&lt;&gt;ушел на базу"))</f>
        <v/>
      </c>
      <c r="F2988" s="4">
        <f>IF(E2988="","",IF(E2988&lt;=3,6,IF(E2988&lt;=6,5,IF(E2988&lt;=9,4,IF(E2988&lt;=12,3,IF(E2988&lt;=15,2,0))))))</f>
        <v/>
      </c>
      <c r="G2988" s="3" t="n"/>
      <c r="H2988" s="4">
        <f>IF(I2988="Штраф -2",-2,IF(OR(F2988="",G2988=""),"",F2988*G2988+IF(J2988="",0,J2988)))</f>
        <v/>
      </c>
      <c r="I2988" s="3" t="n"/>
      <c r="J2988" s="3" t="n"/>
      <c r="K2988" s="3" t="n"/>
    </row>
    <row r="2989">
      <c r="A2989" s="3" t="n"/>
      <c r="B2989" s="3" t="n"/>
      <c r="C2989" s="3" t="n"/>
      <c r="D2989" s="3" t="n"/>
      <c r="E2989" s="4">
        <f>IF(A2989="","",COUNTIFS($A$4:A2989,A2989,$I$4:I2989,"&lt;&gt;Штраф -2",$I$4:I2989,"&lt;&gt;ушел на базу"))</f>
        <v/>
      </c>
      <c r="F2989" s="4">
        <f>IF(E2989="","",IF(E2989&lt;=3,6,IF(E2989&lt;=6,5,IF(E2989&lt;=9,4,IF(E2989&lt;=12,3,IF(E2989&lt;=15,2,0))))))</f>
        <v/>
      </c>
      <c r="G2989" s="3" t="n"/>
      <c r="H2989" s="4">
        <f>IF(I2989="Штраф -2",-2,IF(OR(F2989="",G2989=""),"",F2989*G2989+IF(J2989="",0,J2989)))</f>
        <v/>
      </c>
      <c r="I2989" s="3" t="n"/>
      <c r="J2989" s="3" t="n"/>
      <c r="K2989" s="3" t="n"/>
    </row>
    <row r="2990">
      <c r="A2990" s="3" t="n"/>
      <c r="B2990" s="3" t="n"/>
      <c r="C2990" s="3" t="n"/>
      <c r="D2990" s="3" t="n"/>
      <c r="E2990" s="4">
        <f>IF(A2990="","",COUNTIFS($A$4:A2990,A2990,$I$4:I2990,"&lt;&gt;Штраф -2",$I$4:I2990,"&lt;&gt;ушел на базу"))</f>
        <v/>
      </c>
      <c r="F2990" s="4">
        <f>IF(E2990="","",IF(E2990&lt;=3,6,IF(E2990&lt;=6,5,IF(E2990&lt;=9,4,IF(E2990&lt;=12,3,IF(E2990&lt;=15,2,0))))))</f>
        <v/>
      </c>
      <c r="G2990" s="3" t="n"/>
      <c r="H2990" s="4">
        <f>IF(I2990="Штраф -2",-2,IF(OR(F2990="",G2990=""),"",F2990*G2990+IF(J2990="",0,J2990)))</f>
        <v/>
      </c>
      <c r="I2990" s="3" t="n"/>
      <c r="J2990" s="3" t="n"/>
      <c r="K2990" s="3" t="n"/>
    </row>
    <row r="2991">
      <c r="A2991" s="3" t="n"/>
      <c r="B2991" s="3" t="n"/>
      <c r="C2991" s="3" t="n"/>
      <c r="D2991" s="3" t="n"/>
      <c r="E2991" s="4">
        <f>IF(A2991="","",COUNTIFS($A$4:A2991,A2991,$I$4:I2991,"&lt;&gt;Штраф -2",$I$4:I2991,"&lt;&gt;ушел на базу"))</f>
        <v/>
      </c>
      <c r="F2991" s="4">
        <f>IF(E2991="","",IF(E2991&lt;=3,6,IF(E2991&lt;=6,5,IF(E2991&lt;=9,4,IF(E2991&lt;=12,3,IF(E2991&lt;=15,2,0))))))</f>
        <v/>
      </c>
      <c r="G2991" s="3" t="n"/>
      <c r="H2991" s="4">
        <f>IF(I2991="Штраф -2",-2,IF(OR(F2991="",G2991=""),"",F2991*G2991+IF(J2991="",0,J2991)))</f>
        <v/>
      </c>
      <c r="I2991" s="3" t="n"/>
      <c r="J2991" s="3" t="n"/>
      <c r="K2991" s="3" t="n"/>
    </row>
    <row r="2992">
      <c r="A2992" s="3" t="n"/>
      <c r="B2992" s="3" t="n"/>
      <c r="C2992" s="3" t="n"/>
      <c r="D2992" s="3" t="n"/>
      <c r="E2992" s="4">
        <f>IF(A2992="","",COUNTIFS($A$4:A2992,A2992,$I$4:I2992,"&lt;&gt;Штраф -2",$I$4:I2992,"&lt;&gt;ушел на базу"))</f>
        <v/>
      </c>
      <c r="F2992" s="4">
        <f>IF(E2992="","",IF(E2992&lt;=3,6,IF(E2992&lt;=6,5,IF(E2992&lt;=9,4,IF(E2992&lt;=12,3,IF(E2992&lt;=15,2,0))))))</f>
        <v/>
      </c>
      <c r="G2992" s="3" t="n"/>
      <c r="H2992" s="4">
        <f>IF(I2992="Штраф -2",-2,IF(OR(F2992="",G2992=""),"",F2992*G2992+IF(J2992="",0,J2992)))</f>
        <v/>
      </c>
      <c r="I2992" s="3" t="n"/>
      <c r="J2992" s="3" t="n"/>
      <c r="K2992" s="3" t="n"/>
    </row>
    <row r="2993">
      <c r="A2993" s="3" t="n"/>
      <c r="B2993" s="3" t="n"/>
      <c r="C2993" s="3" t="n"/>
      <c r="D2993" s="3" t="n"/>
      <c r="E2993" s="4">
        <f>IF(A2993="","",COUNTIFS($A$4:A2993,A2993,$I$4:I2993,"&lt;&gt;Штраф -2",$I$4:I2993,"&lt;&gt;ушел на базу"))</f>
        <v/>
      </c>
      <c r="F2993" s="4">
        <f>IF(E2993="","",IF(E2993&lt;=3,6,IF(E2993&lt;=6,5,IF(E2993&lt;=9,4,IF(E2993&lt;=12,3,IF(E2993&lt;=15,2,0))))))</f>
        <v/>
      </c>
      <c r="G2993" s="3" t="n"/>
      <c r="H2993" s="4">
        <f>IF(I2993="Штраф -2",-2,IF(OR(F2993="",G2993=""),"",F2993*G2993+IF(J2993="",0,J2993)))</f>
        <v/>
      </c>
      <c r="I2993" s="3" t="n"/>
      <c r="J2993" s="3" t="n"/>
      <c r="K2993" s="3" t="n"/>
    </row>
    <row r="2994">
      <c r="A2994" s="3" t="n"/>
      <c r="B2994" s="3" t="n"/>
      <c r="C2994" s="3" t="n"/>
      <c r="D2994" s="3" t="n"/>
      <c r="E2994" s="4">
        <f>IF(A2994="","",COUNTIFS($A$4:A2994,A2994,$I$4:I2994,"&lt;&gt;Штраф -2",$I$4:I2994,"&lt;&gt;ушел на базу"))</f>
        <v/>
      </c>
      <c r="F2994" s="4">
        <f>IF(E2994="","",IF(E2994&lt;=3,6,IF(E2994&lt;=6,5,IF(E2994&lt;=9,4,IF(E2994&lt;=12,3,IF(E2994&lt;=15,2,0))))))</f>
        <v/>
      </c>
      <c r="G2994" s="3" t="n"/>
      <c r="H2994" s="4">
        <f>IF(I2994="Штраф -2",-2,IF(OR(F2994="",G2994=""),"",F2994*G2994+IF(J2994="",0,J2994)))</f>
        <v/>
      </c>
      <c r="I2994" s="3" t="n"/>
      <c r="J2994" s="3" t="n"/>
      <c r="K2994" s="3" t="n"/>
    </row>
    <row r="2995">
      <c r="A2995" s="3" t="n"/>
      <c r="B2995" s="3" t="n"/>
      <c r="C2995" s="3" t="n"/>
      <c r="D2995" s="3" t="n"/>
      <c r="E2995" s="4">
        <f>IF(A2995="","",COUNTIFS($A$4:A2995,A2995,$I$4:I2995,"&lt;&gt;Штраф -2",$I$4:I2995,"&lt;&gt;ушел на базу"))</f>
        <v/>
      </c>
      <c r="F2995" s="4">
        <f>IF(E2995="","",IF(E2995&lt;=3,6,IF(E2995&lt;=6,5,IF(E2995&lt;=9,4,IF(E2995&lt;=12,3,IF(E2995&lt;=15,2,0))))))</f>
        <v/>
      </c>
      <c r="G2995" s="3" t="n"/>
      <c r="H2995" s="4">
        <f>IF(I2995="Штраф -2",-2,IF(OR(F2995="",G2995=""),"",F2995*G2995+IF(J2995="",0,J2995)))</f>
        <v/>
      </c>
      <c r="I2995" s="3" t="n"/>
      <c r="J2995" s="3" t="n"/>
      <c r="K2995" s="3" t="n"/>
    </row>
    <row r="2996">
      <c r="A2996" s="3" t="n"/>
      <c r="B2996" s="3" t="n"/>
      <c r="C2996" s="3" t="n"/>
      <c r="D2996" s="3" t="n"/>
      <c r="E2996" s="4">
        <f>IF(A2996="","",COUNTIFS($A$4:A2996,A2996,$I$4:I2996,"&lt;&gt;Штраф -2",$I$4:I2996,"&lt;&gt;ушел на базу"))</f>
        <v/>
      </c>
      <c r="F2996" s="4">
        <f>IF(E2996="","",IF(E2996&lt;=3,6,IF(E2996&lt;=6,5,IF(E2996&lt;=9,4,IF(E2996&lt;=12,3,IF(E2996&lt;=15,2,0))))))</f>
        <v/>
      </c>
      <c r="G2996" s="3" t="n"/>
      <c r="H2996" s="4">
        <f>IF(I2996="Штраф -2",-2,IF(OR(F2996="",G2996=""),"",F2996*G2996+IF(J2996="",0,J2996)))</f>
        <v/>
      </c>
      <c r="I2996" s="3" t="n"/>
      <c r="J2996" s="3" t="n"/>
      <c r="K2996" s="3" t="n"/>
    </row>
    <row r="2997">
      <c r="A2997" s="3" t="n"/>
      <c r="B2997" s="3" t="n"/>
      <c r="C2997" s="3" t="n"/>
      <c r="D2997" s="3" t="n"/>
      <c r="E2997" s="4">
        <f>IF(A2997="","",COUNTIFS($A$4:A2997,A2997,$I$4:I2997,"&lt;&gt;Штраф -2",$I$4:I2997,"&lt;&gt;ушел на базу"))</f>
        <v/>
      </c>
      <c r="F2997" s="4">
        <f>IF(E2997="","",IF(E2997&lt;=3,6,IF(E2997&lt;=6,5,IF(E2997&lt;=9,4,IF(E2997&lt;=12,3,IF(E2997&lt;=15,2,0))))))</f>
        <v/>
      </c>
      <c r="G2997" s="3" t="n"/>
      <c r="H2997" s="4">
        <f>IF(I2997="Штраф -2",-2,IF(OR(F2997="",G2997=""),"",F2997*G2997+IF(J2997="",0,J2997)))</f>
        <v/>
      </c>
      <c r="I2997" s="3" t="n"/>
      <c r="J2997" s="3" t="n"/>
      <c r="K2997" s="3" t="n"/>
    </row>
    <row r="2998">
      <c r="A2998" s="3" t="n"/>
      <c r="B2998" s="3" t="n"/>
      <c r="C2998" s="3" t="n"/>
      <c r="D2998" s="3" t="n"/>
      <c r="E2998" s="4">
        <f>IF(A2998="","",COUNTIFS($A$4:A2998,A2998,$I$4:I2998,"&lt;&gt;Штраф -2",$I$4:I2998,"&lt;&gt;ушел на базу"))</f>
        <v/>
      </c>
      <c r="F2998" s="4">
        <f>IF(E2998="","",IF(E2998&lt;=3,6,IF(E2998&lt;=6,5,IF(E2998&lt;=9,4,IF(E2998&lt;=12,3,IF(E2998&lt;=15,2,0))))))</f>
        <v/>
      </c>
      <c r="G2998" s="3" t="n"/>
      <c r="H2998" s="4">
        <f>IF(I2998="Штраф -2",-2,IF(OR(F2998="",G2998=""),"",F2998*G2998+IF(J2998="",0,J2998)))</f>
        <v/>
      </c>
      <c r="I2998" s="3" t="n"/>
      <c r="J2998" s="3" t="n"/>
      <c r="K2998" s="3" t="n"/>
    </row>
    <row r="2999">
      <c r="A2999" s="3" t="n"/>
      <c r="B2999" s="3" t="n"/>
      <c r="C2999" s="3" t="n"/>
      <c r="D2999" s="3" t="n"/>
      <c r="E2999" s="4">
        <f>IF(A2999="","",COUNTIFS($A$4:A2999,A2999,$I$4:I2999,"&lt;&gt;Штраф -2",$I$4:I2999,"&lt;&gt;ушел на базу"))</f>
        <v/>
      </c>
      <c r="F2999" s="4">
        <f>IF(E2999="","",IF(E2999&lt;=3,6,IF(E2999&lt;=6,5,IF(E2999&lt;=9,4,IF(E2999&lt;=12,3,IF(E2999&lt;=15,2,0))))))</f>
        <v/>
      </c>
      <c r="G2999" s="3" t="n"/>
      <c r="H2999" s="4">
        <f>IF(I2999="Штраф -2",-2,IF(OR(F2999="",G2999=""),"",F2999*G2999+IF(J2999="",0,J2999)))</f>
        <v/>
      </c>
      <c r="I2999" s="3" t="n"/>
      <c r="J2999" s="3" t="n"/>
      <c r="K2999" s="3" t="n"/>
    </row>
    <row r="3000">
      <c r="A3000" s="3" t="n"/>
      <c r="B3000" s="3" t="n"/>
      <c r="C3000" s="3" t="n"/>
      <c r="D3000" s="3" t="n"/>
      <c r="E3000" s="4">
        <f>IF(A3000="","",COUNTIFS($A$4:A3000,A3000,$I$4:I3000,"&lt;&gt;Штраф -2",$I$4:I3000,"&lt;&gt;ушел на базу"))</f>
        <v/>
      </c>
      <c r="F3000" s="4">
        <f>IF(E3000="","",IF(E3000&lt;=3,6,IF(E3000&lt;=6,5,IF(E3000&lt;=9,4,IF(E3000&lt;=12,3,IF(E3000&lt;=15,2,0))))))</f>
        <v/>
      </c>
      <c r="G3000" s="3" t="n"/>
      <c r="H3000" s="4">
        <f>IF(I3000="Штраф -2",-2,IF(OR(F3000="",G3000=""),"",F3000*G3000+IF(J3000="",0,J3000)))</f>
        <v/>
      </c>
      <c r="I3000" s="3" t="n"/>
      <c r="J3000" s="3" t="n"/>
      <c r="K3000" s="3" t="n"/>
    </row>
    <row r="3001">
      <c r="A3001" s="3" t="n"/>
      <c r="B3001" s="3" t="n"/>
      <c r="C3001" s="3" t="n"/>
      <c r="D3001" s="3" t="n"/>
      <c r="E3001" s="4">
        <f>IF(A3001="","",COUNTIFS($A$4:A3001,A3001,$I$4:I3001,"&lt;&gt;Штраф -2",$I$4:I3001,"&lt;&gt;ушел на базу"))</f>
        <v/>
      </c>
      <c r="F3001" s="4">
        <f>IF(E3001="","",IF(E3001&lt;=3,6,IF(E3001&lt;=6,5,IF(E3001&lt;=9,4,IF(E3001&lt;=12,3,IF(E3001&lt;=15,2,0))))))</f>
        <v/>
      </c>
      <c r="G3001" s="3" t="n"/>
      <c r="H3001" s="4">
        <f>IF(I3001="Штраф -2",-2,IF(OR(F3001="",G3001=""),"",F3001*G3001+IF(J3001="",0,J3001)))</f>
        <v/>
      </c>
      <c r="I3001" s="3" t="n"/>
      <c r="J3001" s="3" t="n"/>
      <c r="K3001" s="3" t="n"/>
    </row>
    <row r="3002">
      <c r="A3002" s="3" t="n"/>
      <c r="B3002" s="3" t="n"/>
      <c r="C3002" s="3" t="n"/>
      <c r="D3002" s="3" t="n"/>
      <c r="E3002" s="4">
        <f>IF(A3002="","",COUNTIFS($A$4:A3002,A3002,$I$4:I3002,"&lt;&gt;Штраф -2",$I$4:I3002,"&lt;&gt;ушел на базу"))</f>
        <v/>
      </c>
      <c r="F3002" s="4">
        <f>IF(E3002="","",IF(E3002&lt;=3,6,IF(E3002&lt;=6,5,IF(E3002&lt;=9,4,IF(E3002&lt;=12,3,IF(E3002&lt;=15,2,0))))))</f>
        <v/>
      </c>
      <c r="G3002" s="3" t="n"/>
      <c r="H3002" s="4">
        <f>IF(I3002="Штраф -2",-2,IF(OR(F3002="",G3002=""),"",F3002*G3002+IF(J3002="",0,J3002)))</f>
        <v/>
      </c>
      <c r="I3002" s="3" t="n"/>
      <c r="J3002" s="3" t="n"/>
      <c r="K3002" s="3" t="n"/>
    </row>
    <row r="3003">
      <c r="A3003" s="3" t="n"/>
      <c r="B3003" s="3" t="n"/>
      <c r="C3003" s="3" t="n"/>
      <c r="D3003" s="3" t="n"/>
      <c r="E3003" s="4">
        <f>IF(A3003="","",COUNTIFS($A$4:A3003,A3003,$I$4:I3003,"&lt;&gt;Штраф -2",$I$4:I3003,"&lt;&gt;ушел на базу"))</f>
        <v/>
      </c>
      <c r="F3003" s="4">
        <f>IF(E3003="","",IF(E3003&lt;=3,6,IF(E3003&lt;=6,5,IF(E3003&lt;=9,4,IF(E3003&lt;=12,3,IF(E3003&lt;=15,2,0))))))</f>
        <v/>
      </c>
      <c r="G3003" s="3" t="n"/>
      <c r="H3003" s="4">
        <f>IF(I3003="Штраф -2",-2,IF(OR(F3003="",G3003=""),"",F3003*G3003+IF(J3003="",0,J3003)))</f>
        <v/>
      </c>
      <c r="I3003" s="3" t="n"/>
      <c r="J3003" s="3" t="n"/>
      <c r="K3003" s="3" t="n"/>
    </row>
    <row r="3004">
      <c r="A3004" s="3" t="n"/>
      <c r="B3004" s="3" t="n"/>
      <c r="C3004" s="3" t="n"/>
      <c r="D3004" s="3" t="n"/>
      <c r="E3004" s="4">
        <f>IF(A3004="","",COUNTIFS($A$4:A3004,A3004,$I$4:I3004,"&lt;&gt;Штраф -2",$I$4:I3004,"&lt;&gt;ушел на базу"))</f>
        <v/>
      </c>
      <c r="F3004" s="4">
        <f>IF(E3004="","",IF(E3004&lt;=3,6,IF(E3004&lt;=6,5,IF(E3004&lt;=9,4,IF(E3004&lt;=12,3,IF(E3004&lt;=15,2,0))))))</f>
        <v/>
      </c>
      <c r="G3004" s="3" t="n"/>
      <c r="H3004" s="4">
        <f>IF(I3004="Штраф -2",-2,IF(OR(F3004="",G3004=""),"",F3004*G3004+IF(J3004="",0,J3004)))</f>
        <v/>
      </c>
      <c r="I3004" s="3" t="n"/>
      <c r="J3004" s="3" t="n"/>
      <c r="K3004" s="3" t="n"/>
    </row>
    <row r="3005">
      <c r="A3005" s="3" t="n"/>
      <c r="B3005" s="3" t="n"/>
      <c r="C3005" s="3" t="n"/>
      <c r="D3005" s="3" t="n"/>
      <c r="E3005" s="4">
        <f>IF(A3005="","",COUNTIFS($A$4:A3005,A3005,$I$4:I3005,"&lt;&gt;Штраф -2",$I$4:I3005,"&lt;&gt;ушел на базу"))</f>
        <v/>
      </c>
      <c r="F3005" s="4">
        <f>IF(E3005="","",IF(E3005&lt;=3,6,IF(E3005&lt;=6,5,IF(E3005&lt;=9,4,IF(E3005&lt;=12,3,IF(E3005&lt;=15,2,0))))))</f>
        <v/>
      </c>
      <c r="G3005" s="3" t="n"/>
      <c r="H3005" s="4">
        <f>IF(I3005="Штраф -2",-2,IF(OR(F3005="",G3005=""),"",F3005*G3005+IF(J3005="",0,J3005)))</f>
        <v/>
      </c>
      <c r="I3005" s="3" t="n"/>
      <c r="J3005" s="3" t="n"/>
      <c r="K3005" s="3" t="n"/>
    </row>
    <row r="3006">
      <c r="A3006" s="3" t="n"/>
      <c r="B3006" s="3" t="n"/>
      <c r="C3006" s="3" t="n"/>
      <c r="D3006" s="3" t="n"/>
      <c r="E3006" s="4">
        <f>IF(A3006="","",COUNTIFS($A$4:A3006,A3006,$I$4:I3006,"&lt;&gt;Штраф -2",$I$4:I3006,"&lt;&gt;ушел на базу"))</f>
        <v/>
      </c>
      <c r="F3006" s="4">
        <f>IF(E3006="","",IF(E3006&lt;=3,6,IF(E3006&lt;=6,5,IF(E3006&lt;=9,4,IF(E3006&lt;=12,3,IF(E3006&lt;=15,2,0))))))</f>
        <v/>
      </c>
      <c r="G3006" s="3" t="n"/>
      <c r="H3006" s="4">
        <f>IF(I3006="Штраф -2",-2,IF(OR(F3006="",G3006=""),"",F3006*G3006+IF(J3006="",0,J3006)))</f>
        <v/>
      </c>
      <c r="I3006" s="3" t="n"/>
      <c r="J3006" s="3" t="n"/>
      <c r="K3006" s="3" t="n"/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020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>
      <c r="A1" s="1" t="inlineStr">
        <is>
          <t>Плюсы — Артём</t>
        </is>
      </c>
    </row>
    <row r="2" ht="8" customHeight="1"/>
    <row r="4">
      <c r="A4" s="13" t="inlineStr">
        <is>
          <t>Практика 1 — плюсы</t>
        </is>
      </c>
    </row>
    <row r="5" ht="28" customHeight="1">
      <c r="A5" s="7" t="inlineStr">
        <is>
          <t>Имя</t>
        </is>
      </c>
      <c r="B5" s="9" t="inlineStr">
        <is>
          <t>TG</t>
        </is>
      </c>
      <c r="C5" s="10" t="inlineStr">
        <is>
          <t>S</t>
        </is>
      </c>
      <c r="D5" s="8" t="inlineStr">
        <is>
          <t>Коэффициент</t>
        </is>
      </c>
      <c r="E5" s="14" t="inlineStr">
        <is>
          <t>D за практику</t>
        </is>
      </c>
      <c r="F5" s="11" t="inlineStr">
        <is>
          <t>1.0</t>
        </is>
      </c>
      <c r="G5" s="11" t="inlineStr">
        <is>
          <t>2.0</t>
        </is>
      </c>
      <c r="H5" s="11" t="inlineStr">
        <is>
          <t>3.0</t>
        </is>
      </c>
      <c r="I5" s="11" t="inlineStr">
        <is>
          <t>4.0</t>
        </is>
      </c>
      <c r="J5" s="11" t="inlineStr">
        <is>
          <t>5.0</t>
        </is>
      </c>
      <c r="K5" s="11" t="inlineStr">
        <is>
          <t>6</t>
        </is>
      </c>
      <c r="L5" s="11" t="inlineStr">
        <is>
          <t>7</t>
        </is>
      </c>
      <c r="M5" s="11" t="inlineStr">
        <is>
          <t>8</t>
        </is>
      </c>
      <c r="N5" s="11" t="inlineStr">
        <is>
          <t>9</t>
        </is>
      </c>
      <c r="O5" s="11" t="inlineStr">
        <is>
          <t>10</t>
        </is>
      </c>
      <c r="P5" s="11" t="inlineStr">
        <is>
          <t>11</t>
        </is>
      </c>
      <c r="Q5" s="11" t="inlineStr">
        <is>
          <t>12</t>
        </is>
      </c>
      <c r="R5" s="11" t="inlineStr">
        <is>
          <t>13</t>
        </is>
      </c>
      <c r="S5" s="11" t="inlineStr">
        <is>
          <t>14</t>
        </is>
      </c>
      <c r="T5" s="11" t="inlineStr">
        <is>
          <t>15</t>
        </is>
      </c>
      <c r="U5" s="11" t="inlineStr">
        <is>
          <t>16</t>
        </is>
      </c>
      <c r="V5" s="11" t="inlineStr">
        <is>
          <t>17</t>
        </is>
      </c>
      <c r="W5" s="11" t="inlineStr">
        <is>
          <t>18</t>
        </is>
      </c>
      <c r="X5" s="11" t="inlineStr">
        <is>
          <t>19</t>
        </is>
      </c>
      <c r="Y5" s="11" t="inlineStr">
        <is>
          <t>20</t>
        </is>
      </c>
      <c r="Z5" s="11" t="inlineStr">
        <is>
          <t>21</t>
        </is>
      </c>
      <c r="AA5" s="11" t="inlineStr">
        <is>
          <t>22</t>
        </is>
      </c>
      <c r="AB5" s="11" t="inlineStr">
        <is>
          <t>23</t>
        </is>
      </c>
      <c r="AC5" s="11" t="inlineStr">
        <is>
          <t>24</t>
        </is>
      </c>
      <c r="AD5" s="11" t="inlineStr">
        <is>
          <t>25</t>
        </is>
      </c>
      <c r="AE5" s="11" t="inlineStr">
        <is>
          <t>26</t>
        </is>
      </c>
      <c r="AF5" s="11" t="inlineStr">
        <is>
          <t>27</t>
        </is>
      </c>
      <c r="AG5" s="11" t="inlineStr">
        <is>
          <t>28</t>
        </is>
      </c>
      <c r="AH5" s="11" t="inlineStr">
        <is>
          <t>29</t>
        </is>
      </c>
      <c r="AI5" s="11" t="inlineStr">
        <is>
          <t>30</t>
        </is>
      </c>
    </row>
    <row r="6">
      <c r="A6" s="4" t="inlineStr">
        <is>
          <t>Студент1.1</t>
        </is>
      </c>
      <c r="B6" s="4" t="inlineStr"/>
      <c r="C6" s="4">
        <f>IF(A6="","",COUNTIF(F6:AI6,"+")+COUNTIF(F6:AI6,"1"))</f>
        <v/>
      </c>
      <c r="D6" s="4">
        <f>IF(A6="","",IF(C6&gt;2*COUNTA(F$5:AI$5)/3,1,IF(C6&gt;=COUNTA(F$5:AI$5)/2,0.8,0.5)))</f>
        <v/>
      </c>
      <c r="E6" s="4">
        <f>IF(A6="","",SUMIFS('Логи'!$H$4:$H$3006,'Логи'!$A$4:$A$3006,A6,'Логи'!$C$4:$C$3006,1))</f>
        <v/>
      </c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</row>
    <row r="7">
      <c r="A7" s="4" t="inlineStr">
        <is>
          <t>Студент1.2</t>
        </is>
      </c>
      <c r="B7" s="4" t="inlineStr"/>
      <c r="C7" s="4">
        <f>IF(A7="","",COUNTIF(F7:AI7,"+")+COUNTIF(F7:AI7,"1"))</f>
        <v/>
      </c>
      <c r="D7" s="4">
        <f>IF(A7="","",IF(C7&gt;2*COUNTA(F$5:AI$5)/3,1,IF(C7&gt;=COUNTA(F$5:AI$5)/2,0.8,0.5)))</f>
        <v/>
      </c>
      <c r="E7" s="4">
        <f>IF(A7="","",SUMIFS('Логи'!$H$4:$H$3006,'Логи'!$A$4:$A$3006,A7,'Логи'!$C$4:$C$3006,1))</f>
        <v/>
      </c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</row>
    <row r="8">
      <c r="A8" s="4" t="inlineStr">
        <is>
          <t>Студент1.3</t>
        </is>
      </c>
      <c r="B8" s="4" t="inlineStr"/>
      <c r="C8" s="4">
        <f>IF(A8="","",COUNTIF(F8:AI8,"+")+COUNTIF(F8:AI8,"1"))</f>
        <v/>
      </c>
      <c r="D8" s="4">
        <f>IF(A8="","",IF(C8&gt;2*COUNTA(F$5:AI$5)/3,1,IF(C8&gt;=COUNTA(F$5:AI$5)/2,0.8,0.5)))</f>
        <v/>
      </c>
      <c r="E8" s="4">
        <f>IF(A8="","",SUMIFS('Логи'!$H$4:$H$3006,'Логи'!$A$4:$A$3006,A8,'Логи'!$C$4:$C$3006,1))</f>
        <v/>
      </c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</row>
    <row r="9">
      <c r="A9" s="4" t="inlineStr">
        <is>
          <t>Студент1.4</t>
        </is>
      </c>
      <c r="B9" s="4" t="inlineStr"/>
      <c r="C9" s="4">
        <f>IF(A9="","",COUNTIF(F9:AI9,"+")+COUNTIF(F9:AI9,"1"))</f>
        <v/>
      </c>
      <c r="D9" s="4">
        <f>IF(A9="","",IF(C9&gt;2*COUNTA(F$5:AI$5)/3,1,IF(C9&gt;=COUNTA(F$5:AI$5)/2,0.8,0.5)))</f>
        <v/>
      </c>
      <c r="E9" s="4">
        <f>IF(A9="","",SUMIFS('Логи'!$H$4:$H$3006,'Логи'!$A$4:$A$3006,A9,'Логи'!$C$4:$C$3006,1))</f>
        <v/>
      </c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</row>
    <row r="10">
      <c r="A10" s="4" t="inlineStr">
        <is>
          <t>Студент1.5</t>
        </is>
      </c>
      <c r="B10" s="4" t="inlineStr"/>
      <c r="C10" s="4">
        <f>IF(A10="","",COUNTIF(F10:AI10,"+")+COUNTIF(F10:AI10,"1"))</f>
        <v/>
      </c>
      <c r="D10" s="4">
        <f>IF(A10="","",IF(C10&gt;2*COUNTA(F$5:AI$5)/3,1,IF(C10&gt;=COUNTA(F$5:AI$5)/2,0.8,0.5)))</f>
        <v/>
      </c>
      <c r="E10" s="4">
        <f>IF(A10="","",SUMIFS('Логи'!$H$4:$H$3006,'Логи'!$A$4:$A$3006,A10,'Логи'!$C$4:$C$3006,1))</f>
        <v/>
      </c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</row>
    <row r="11">
      <c r="A11" s="4" t="inlineStr">
        <is>
          <t>Студент1.6</t>
        </is>
      </c>
      <c r="B11" s="4" t="inlineStr"/>
      <c r="C11" s="4">
        <f>IF(A11="","",COUNTIF(F11:AI11,"+")+COUNTIF(F11:AI11,"1"))</f>
        <v/>
      </c>
      <c r="D11" s="4">
        <f>IF(A11="","",IF(C11&gt;2*COUNTA(F$5:AI$5)/3,1,IF(C11&gt;=COUNTA(F$5:AI$5)/2,0.8,0.5)))</f>
        <v/>
      </c>
      <c r="E11" s="4">
        <f>IF(A11="","",SUMIFS('Логи'!$H$4:$H$3006,'Логи'!$A$4:$A$3006,A11,'Логи'!$C$4:$C$3006,1))</f>
        <v/>
      </c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</row>
    <row r="12">
      <c r="A12" s="4" t="inlineStr">
        <is>
          <t>Студент1.7</t>
        </is>
      </c>
      <c r="B12" s="4" t="inlineStr"/>
      <c r="C12" s="4">
        <f>IF(A12="","",COUNTIF(F12:AI12,"+")+COUNTIF(F12:AI12,"1"))</f>
        <v/>
      </c>
      <c r="D12" s="4">
        <f>IF(A12="","",IF(C12&gt;2*COUNTA(F$5:AI$5)/3,1,IF(C12&gt;=COUNTA(F$5:AI$5)/2,0.8,0.5)))</f>
        <v/>
      </c>
      <c r="E12" s="4">
        <f>IF(A12="","",SUMIFS('Логи'!$H$4:$H$3006,'Логи'!$A$4:$A$3006,A12,'Логи'!$C$4:$C$3006,1))</f>
        <v/>
      </c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</row>
    <row r="13">
      <c r="A13" s="4" t="inlineStr">
        <is>
          <t>Студент1.8</t>
        </is>
      </c>
      <c r="B13" s="4" t="inlineStr"/>
      <c r="C13" s="4">
        <f>IF(A13="","",COUNTIF(F13:AI13,"+")+COUNTIF(F13:AI13,"1"))</f>
        <v/>
      </c>
      <c r="D13" s="4">
        <f>IF(A13="","",IF(C13&gt;2*COUNTA(F$5:AI$5)/3,1,IF(C13&gt;=COUNTA(F$5:AI$5)/2,0.8,0.5)))</f>
        <v/>
      </c>
      <c r="E13" s="4">
        <f>IF(A13="","",SUMIFS('Логи'!$H$4:$H$3006,'Логи'!$A$4:$A$3006,A13,'Логи'!$C$4:$C$3006,1))</f>
        <v/>
      </c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</row>
    <row r="14">
      <c r="A14" s="4" t="inlineStr">
        <is>
          <t>Студент1.9</t>
        </is>
      </c>
      <c r="B14" s="4" t="inlineStr"/>
      <c r="C14" s="4">
        <f>IF(A14="","",COUNTIF(F14:AI14,"+")+COUNTIF(F14:AI14,"1"))</f>
        <v/>
      </c>
      <c r="D14" s="4">
        <f>IF(A14="","",IF(C14&gt;2*COUNTA(F$5:AI$5)/3,1,IF(C14&gt;=COUNTA(F$5:AI$5)/2,0.8,0.5)))</f>
        <v/>
      </c>
      <c r="E14" s="4">
        <f>IF(A14="","",SUMIFS('Логи'!$H$4:$H$3006,'Логи'!$A$4:$A$3006,A14,'Логи'!$C$4:$C$3006,1))</f>
        <v/>
      </c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</row>
    <row r="15">
      <c r="A15" s="4" t="inlineStr">
        <is>
          <t>Студент1.10</t>
        </is>
      </c>
      <c r="B15" s="4" t="inlineStr"/>
      <c r="C15" s="4">
        <f>IF(A15="","",COUNTIF(F15:AI15,"+")+COUNTIF(F15:AI15,"1"))</f>
        <v/>
      </c>
      <c r="D15" s="4">
        <f>IF(A15="","",IF(C15&gt;2*COUNTA(F$5:AI$5)/3,1,IF(C15&gt;=COUNTA(F$5:AI$5)/2,0.8,0.5)))</f>
        <v/>
      </c>
      <c r="E15" s="4">
        <f>IF(A15="","",SUMIFS('Логи'!$H$4:$H$3006,'Логи'!$A$4:$A$3006,A15,'Логи'!$C$4:$C$3006,1))</f>
        <v/>
      </c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</row>
    <row r="16">
      <c r="A16" s="4" t="inlineStr">
        <is>
          <t>Студент1.11</t>
        </is>
      </c>
      <c r="B16" s="4" t="inlineStr"/>
      <c r="C16" s="4">
        <f>IF(A16="","",COUNTIF(F16:AI16,"+")+COUNTIF(F16:AI16,"1"))</f>
        <v/>
      </c>
      <c r="D16" s="4">
        <f>IF(A16="","",IF(C16&gt;2*COUNTA(F$5:AI$5)/3,1,IF(C16&gt;=COUNTA(F$5:AI$5)/2,0.8,0.5)))</f>
        <v/>
      </c>
      <c r="E16" s="4">
        <f>IF(A16="","",SUMIFS('Логи'!$H$4:$H$3006,'Логи'!$A$4:$A$3006,A16,'Логи'!$C$4:$C$3006,1))</f>
        <v/>
      </c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</row>
    <row r="17">
      <c r="A17" s="4" t="inlineStr">
        <is>
          <t>Студент1.12</t>
        </is>
      </c>
      <c r="B17" s="4" t="inlineStr"/>
      <c r="C17" s="4">
        <f>IF(A17="","",COUNTIF(F17:AI17,"+")+COUNTIF(F17:AI17,"1"))</f>
        <v/>
      </c>
      <c r="D17" s="4">
        <f>IF(A17="","",IF(C17&gt;2*COUNTA(F$5:AI$5)/3,1,IF(C17&gt;=COUNTA(F$5:AI$5)/2,0.8,0.5)))</f>
        <v/>
      </c>
      <c r="E17" s="4">
        <f>IF(A17="","",SUMIFS('Логи'!$H$4:$H$3006,'Логи'!$A$4:$A$3006,A17,'Логи'!$C$4:$C$3006,1))</f>
        <v/>
      </c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</row>
    <row r="18">
      <c r="A18" s="4" t="inlineStr">
        <is>
          <t>Студент1.13</t>
        </is>
      </c>
      <c r="B18" s="4" t="inlineStr"/>
      <c r="C18" s="4">
        <f>IF(A18="","",COUNTIF(F18:AI18,"+")+COUNTIF(F18:AI18,"1"))</f>
        <v/>
      </c>
      <c r="D18" s="4">
        <f>IF(A18="","",IF(C18&gt;2*COUNTA(F$5:AI$5)/3,1,IF(C18&gt;=COUNTA(F$5:AI$5)/2,0.8,0.5)))</f>
        <v/>
      </c>
      <c r="E18" s="4">
        <f>IF(A18="","",SUMIFS('Логи'!$H$4:$H$3006,'Логи'!$A$4:$A$3006,A18,'Логи'!$C$4:$C$3006,1))</f>
        <v/>
      </c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</row>
    <row r="19">
      <c r="A19" s="4" t="inlineStr">
        <is>
          <t>Студент1.14</t>
        </is>
      </c>
      <c r="B19" s="4" t="inlineStr"/>
      <c r="C19" s="4">
        <f>IF(A19="","",COUNTIF(F19:AI19,"+")+COUNTIF(F19:AI19,"1"))</f>
        <v/>
      </c>
      <c r="D19" s="4">
        <f>IF(A19="","",IF(C19&gt;2*COUNTA(F$5:AI$5)/3,1,IF(C19&gt;=COUNTA(F$5:AI$5)/2,0.8,0.5)))</f>
        <v/>
      </c>
      <c r="E19" s="4">
        <f>IF(A19="","",SUMIFS('Логи'!$H$4:$H$3006,'Логи'!$A$4:$A$3006,A19,'Логи'!$C$4:$C$3006,1))</f>
        <v/>
      </c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</row>
    <row r="20">
      <c r="A20" s="4" t="inlineStr">
        <is>
          <t>Студент1.15</t>
        </is>
      </c>
      <c r="B20" s="4" t="inlineStr"/>
      <c r="C20" s="4">
        <f>IF(A20="","",COUNTIF(F20:AI20,"+")+COUNTIF(F20:AI20,"1"))</f>
        <v/>
      </c>
      <c r="D20" s="4">
        <f>IF(A20="","",IF(C20&gt;2*COUNTA(F$5:AI$5)/3,1,IF(C20&gt;=COUNTA(F$5:AI$5)/2,0.8,0.5)))</f>
        <v/>
      </c>
      <c r="E20" s="4">
        <f>IF(A20="","",SUMIFS('Логи'!$H$4:$H$3006,'Логи'!$A$4:$A$3006,A20,'Логи'!$C$4:$C$3006,1))</f>
        <v/>
      </c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</row>
    <row r="21">
      <c r="A21" s="4" t="inlineStr">
        <is>
          <t>Студент1.16</t>
        </is>
      </c>
      <c r="B21" s="4" t="inlineStr"/>
      <c r="C21" s="4">
        <f>IF(A21="","",COUNTIF(F21:AI21,"+")+COUNTIF(F21:AI21,"1"))</f>
        <v/>
      </c>
      <c r="D21" s="4">
        <f>IF(A21="","",IF(C21&gt;2*COUNTA(F$5:AI$5)/3,1,IF(C21&gt;=COUNTA(F$5:AI$5)/2,0.8,0.5)))</f>
        <v/>
      </c>
      <c r="E21" s="4">
        <f>IF(A21="","",SUMIFS('Логи'!$H$4:$H$3006,'Логи'!$A$4:$A$3006,A21,'Логи'!$C$4:$C$3006,1))</f>
        <v/>
      </c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</row>
    <row r="22">
      <c r="A22" s="4" t="inlineStr">
        <is>
          <t>Студент1.17</t>
        </is>
      </c>
      <c r="B22" s="4" t="inlineStr"/>
      <c r="C22" s="4">
        <f>IF(A22="","",COUNTIF(F22:AI22,"+")+COUNTIF(F22:AI22,"1"))</f>
        <v/>
      </c>
      <c r="D22" s="4">
        <f>IF(A22="","",IF(C22&gt;2*COUNTA(F$5:AI$5)/3,1,IF(C22&gt;=COUNTA(F$5:AI$5)/2,0.8,0.5)))</f>
        <v/>
      </c>
      <c r="E22" s="4">
        <f>IF(A22="","",SUMIFS('Логи'!$H$4:$H$3006,'Логи'!$A$4:$A$3006,A22,'Логи'!$C$4:$C$3006,1))</f>
        <v/>
      </c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</row>
    <row r="23">
      <c r="A23" s="4" t="inlineStr">
        <is>
          <t>Студент1.18</t>
        </is>
      </c>
      <c r="B23" s="4" t="inlineStr"/>
      <c r="C23" s="4">
        <f>IF(A23="","",COUNTIF(F23:AI23,"+")+COUNTIF(F23:AI23,"1"))</f>
        <v/>
      </c>
      <c r="D23" s="4">
        <f>IF(A23="","",IF(C23&gt;2*COUNTA(F$5:AI$5)/3,1,IF(C23&gt;=COUNTA(F$5:AI$5)/2,0.8,0.5)))</f>
        <v/>
      </c>
      <c r="E23" s="4">
        <f>IF(A23="","",SUMIFS('Логи'!$H$4:$H$3006,'Логи'!$A$4:$A$3006,A23,'Логи'!$C$4:$C$3006,1))</f>
        <v/>
      </c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</row>
    <row r="24">
      <c r="A24" s="4" t="inlineStr">
        <is>
          <t>Студент1.19</t>
        </is>
      </c>
      <c r="B24" s="4" t="inlineStr"/>
      <c r="C24" s="4">
        <f>IF(A24="","",COUNTIF(F24:AI24,"+")+COUNTIF(F24:AI24,"1"))</f>
        <v/>
      </c>
      <c r="D24" s="4">
        <f>IF(A24="","",IF(C24&gt;2*COUNTA(F$5:AI$5)/3,1,IF(C24&gt;=COUNTA(F$5:AI$5)/2,0.8,0.5)))</f>
        <v/>
      </c>
      <c r="E24" s="4">
        <f>IF(A24="","",SUMIFS('Логи'!$H$4:$H$3006,'Логи'!$A$4:$A$3006,A24,'Логи'!$C$4:$C$3006,1))</f>
        <v/>
      </c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</row>
    <row r="25">
      <c r="A25" s="4" t="inlineStr">
        <is>
          <t>Студент1.20</t>
        </is>
      </c>
      <c r="B25" s="4" t="inlineStr"/>
      <c r="C25" s="4">
        <f>IF(A25="","",COUNTIF(F25:AI25,"+")+COUNTIF(F25:AI25,"1"))</f>
        <v/>
      </c>
      <c r="D25" s="4">
        <f>IF(A25="","",IF(C25&gt;2*COUNTA(F$5:AI$5)/3,1,IF(C25&gt;=COUNTA(F$5:AI$5)/2,0.8,0.5)))</f>
        <v/>
      </c>
      <c r="E25" s="4">
        <f>IF(A25="","",SUMIFS('Логи'!$H$4:$H$3006,'Логи'!$A$4:$A$3006,A25,'Логи'!$C$4:$C$3006,1))</f>
        <v/>
      </c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</row>
    <row r="26">
      <c r="A26" s="4" t="inlineStr">
        <is>
          <t>Студент1.21</t>
        </is>
      </c>
      <c r="B26" s="4" t="inlineStr"/>
      <c r="C26" s="4">
        <f>IF(A26="","",COUNTIF(F26:AI26,"+")+COUNTIF(F26:AI26,"1"))</f>
        <v/>
      </c>
      <c r="D26" s="4">
        <f>IF(A26="","",IF(C26&gt;2*COUNTA(F$5:AI$5)/3,1,IF(C26&gt;=COUNTA(F$5:AI$5)/2,0.8,0.5)))</f>
        <v/>
      </c>
      <c r="E26" s="4">
        <f>IF(A26="","",SUMIFS('Логи'!$H$4:$H$3006,'Логи'!$A$4:$A$3006,A26,'Логи'!$C$4:$C$3006,1))</f>
        <v/>
      </c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</row>
    <row r="27">
      <c r="A27" s="4" t="inlineStr">
        <is>
          <t>Студент1.22</t>
        </is>
      </c>
      <c r="B27" s="4" t="inlineStr"/>
      <c r="C27" s="4">
        <f>IF(A27="","",COUNTIF(F27:AI27,"+")+COUNTIF(F27:AI27,"1"))</f>
        <v/>
      </c>
      <c r="D27" s="4">
        <f>IF(A27="","",IF(C27&gt;2*COUNTA(F$5:AI$5)/3,1,IF(C27&gt;=COUNTA(F$5:AI$5)/2,0.8,0.5)))</f>
        <v/>
      </c>
      <c r="E27" s="4">
        <f>IF(A27="","",SUMIFS('Логи'!$H$4:$H$3006,'Логи'!$A$4:$A$3006,A27,'Логи'!$C$4:$C$3006,1))</f>
        <v/>
      </c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</row>
    <row r="28">
      <c r="A28" s="4" t="inlineStr">
        <is>
          <t>Студент1.23</t>
        </is>
      </c>
      <c r="B28" s="4" t="inlineStr"/>
      <c r="C28" s="4">
        <f>IF(A28="","",COUNTIF(F28:AI28,"+")+COUNTIF(F28:AI28,"1"))</f>
        <v/>
      </c>
      <c r="D28" s="4">
        <f>IF(A28="","",IF(C28&gt;2*COUNTA(F$5:AI$5)/3,1,IF(C28&gt;=COUNTA(F$5:AI$5)/2,0.8,0.5)))</f>
        <v/>
      </c>
      <c r="E28" s="4">
        <f>IF(A28="","",SUMIFS('Логи'!$H$4:$H$3006,'Логи'!$A$4:$A$3006,A28,'Логи'!$C$4:$C$3006,1))</f>
        <v/>
      </c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</row>
    <row r="29">
      <c r="A29" s="4" t="inlineStr">
        <is>
          <t>Студент1.24</t>
        </is>
      </c>
      <c r="B29" s="4" t="inlineStr"/>
      <c r="C29" s="4">
        <f>IF(A29="","",COUNTIF(F29:AI29,"+")+COUNTIF(F29:AI29,"1"))</f>
        <v/>
      </c>
      <c r="D29" s="4">
        <f>IF(A29="","",IF(C29&gt;2*COUNTA(F$5:AI$5)/3,1,IF(C29&gt;=COUNTA(F$5:AI$5)/2,0.8,0.5)))</f>
        <v/>
      </c>
      <c r="E29" s="4">
        <f>IF(A29="","",SUMIFS('Логи'!$H$4:$H$3006,'Логи'!$A$4:$A$3006,A29,'Логи'!$C$4:$C$3006,1))</f>
        <v/>
      </c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</row>
    <row r="30">
      <c r="A30" s="4" t="inlineStr">
        <is>
          <t>Студент1.25</t>
        </is>
      </c>
      <c r="B30" s="4" t="inlineStr"/>
      <c r="C30" s="4">
        <f>IF(A30="","",COUNTIF(F30:AI30,"+")+COUNTIF(F30:AI30,"1"))</f>
        <v/>
      </c>
      <c r="D30" s="4">
        <f>IF(A30="","",IF(C30&gt;2*COUNTA(F$5:AI$5)/3,1,IF(C30&gt;=COUNTA(F$5:AI$5)/2,0.8,0.5)))</f>
        <v/>
      </c>
      <c r="E30" s="4">
        <f>IF(A30="","",SUMIFS('Логи'!$H$4:$H$3006,'Логи'!$A$4:$A$3006,A30,'Логи'!$C$4:$C$3006,1))</f>
        <v/>
      </c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</row>
    <row r="31">
      <c r="A31" s="4" t="inlineStr">
        <is>
          <t>Студент1.26</t>
        </is>
      </c>
      <c r="B31" s="4" t="inlineStr"/>
      <c r="C31" s="4">
        <f>IF(A31="","",COUNTIF(F31:AI31,"+")+COUNTIF(F31:AI31,"1"))</f>
        <v/>
      </c>
      <c r="D31" s="4">
        <f>IF(A31="","",IF(C31&gt;2*COUNTA(F$5:AI$5)/3,1,IF(C31&gt;=COUNTA(F$5:AI$5)/2,0.8,0.5)))</f>
        <v/>
      </c>
      <c r="E31" s="4">
        <f>IF(A31="","",SUMIFS('Логи'!$H$4:$H$3006,'Логи'!$A$4:$A$3006,A31,'Логи'!$C$4:$C$3006,1))</f>
        <v/>
      </c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</row>
    <row r="32">
      <c r="A32" s="4" t="inlineStr">
        <is>
          <t>Студент1.27</t>
        </is>
      </c>
      <c r="B32" s="4" t="inlineStr"/>
      <c r="C32" s="4">
        <f>IF(A32="","",COUNTIF(F32:AI32,"+")+COUNTIF(F32:AI32,"1"))</f>
        <v/>
      </c>
      <c r="D32" s="4">
        <f>IF(A32="","",IF(C32&gt;2*COUNTA(F$5:AI$5)/3,1,IF(C32&gt;=COUNTA(F$5:AI$5)/2,0.8,0.5)))</f>
        <v/>
      </c>
      <c r="E32" s="4">
        <f>IF(A32="","",SUMIFS('Логи'!$H$4:$H$3006,'Логи'!$A$4:$A$3006,A32,'Логи'!$C$4:$C$3006,1))</f>
        <v/>
      </c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</row>
    <row r="33">
      <c r="A33" s="4" t="inlineStr">
        <is>
          <t>Студент1.28</t>
        </is>
      </c>
      <c r="B33" s="4" t="inlineStr"/>
      <c r="C33" s="4">
        <f>IF(A33="","",COUNTIF(F33:AI33,"+")+COUNTIF(F33:AI33,"1"))</f>
        <v/>
      </c>
      <c r="D33" s="4">
        <f>IF(A33="","",IF(C33&gt;2*COUNTA(F$5:AI$5)/3,1,IF(C33&gt;=COUNTA(F$5:AI$5)/2,0.8,0.5)))</f>
        <v/>
      </c>
      <c r="E33" s="4">
        <f>IF(A33="","",SUMIFS('Логи'!$H$4:$H$3006,'Логи'!$A$4:$A$3006,A33,'Логи'!$C$4:$C$3006,1))</f>
        <v/>
      </c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</row>
    <row r="34">
      <c r="A34" s="4" t="inlineStr">
        <is>
          <t>Студент1.29</t>
        </is>
      </c>
      <c r="B34" s="4" t="inlineStr"/>
      <c r="C34" s="4">
        <f>IF(A34="","",COUNTIF(F34:AI34,"+")+COUNTIF(F34:AI34,"1"))</f>
        <v/>
      </c>
      <c r="D34" s="4">
        <f>IF(A34="","",IF(C34&gt;2*COUNTA(F$5:AI$5)/3,1,IF(C34&gt;=COUNTA(F$5:AI$5)/2,0.8,0.5)))</f>
        <v/>
      </c>
      <c r="E34" s="4">
        <f>IF(A34="","",SUMIFS('Логи'!$H$4:$H$3006,'Логи'!$A$4:$A$3006,A34,'Логи'!$C$4:$C$3006,1))</f>
        <v/>
      </c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</row>
    <row r="35">
      <c r="A35" s="4" t="inlineStr">
        <is>
          <t>Студент1.30</t>
        </is>
      </c>
      <c r="B35" s="4" t="inlineStr"/>
      <c r="C35" s="4">
        <f>IF(A35="","",COUNTIF(F35:AI35,"+")+COUNTIF(F35:AI35,"1"))</f>
        <v/>
      </c>
      <c r="D35" s="4">
        <f>IF(A35="","",IF(C35&gt;2*COUNTA(F$5:AI$5)/3,1,IF(C35&gt;=COUNTA(F$5:AI$5)/2,0.8,0.5)))</f>
        <v/>
      </c>
      <c r="E35" s="4">
        <f>IF(A35="","",SUMIFS('Логи'!$H$4:$H$3006,'Логи'!$A$4:$A$3006,A35,'Логи'!$C$4:$C$3006,1))</f>
        <v/>
      </c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</row>
    <row r="37">
      <c r="A37" s="16" t="inlineStr">
        <is>
          <t>Практика 1 — результаты рассказа</t>
        </is>
      </c>
    </row>
    <row r="38" ht="28" customHeight="1">
      <c r="A38" s="7" t="inlineStr">
        <is>
          <t>Имя</t>
        </is>
      </c>
      <c r="B38" s="9" t="inlineStr">
        <is>
          <t>TG</t>
        </is>
      </c>
      <c r="C38" s="10" t="inlineStr"/>
      <c r="D38" s="2" t="inlineStr"/>
      <c r="E38" s="2" t="inlineStr"/>
      <c r="F38" s="11" t="inlineStr">
        <is>
          <t>1.0</t>
        </is>
      </c>
      <c r="G38" s="11" t="inlineStr">
        <is>
          <t>2.0</t>
        </is>
      </c>
      <c r="H38" s="11" t="inlineStr">
        <is>
          <t>3.0</t>
        </is>
      </c>
      <c r="I38" s="11" t="inlineStr">
        <is>
          <t>4.0</t>
        </is>
      </c>
      <c r="J38" s="11" t="inlineStr">
        <is>
          <t>5.0</t>
        </is>
      </c>
      <c r="K38" s="11" t="inlineStr">
        <is>
          <t>6</t>
        </is>
      </c>
      <c r="L38" s="11" t="inlineStr">
        <is>
          <t>7</t>
        </is>
      </c>
      <c r="M38" s="11" t="inlineStr">
        <is>
          <t>8</t>
        </is>
      </c>
      <c r="N38" s="11" t="inlineStr">
        <is>
          <t>9</t>
        </is>
      </c>
      <c r="O38" s="11" t="inlineStr">
        <is>
          <t>10</t>
        </is>
      </c>
      <c r="P38" s="11" t="inlineStr">
        <is>
          <t>11</t>
        </is>
      </c>
      <c r="Q38" s="11" t="inlineStr">
        <is>
          <t>12</t>
        </is>
      </c>
      <c r="R38" s="11" t="inlineStr">
        <is>
          <t>13</t>
        </is>
      </c>
      <c r="S38" s="11" t="inlineStr">
        <is>
          <t>14</t>
        </is>
      </c>
      <c r="T38" s="11" t="inlineStr">
        <is>
          <t>15</t>
        </is>
      </c>
      <c r="U38" s="11" t="inlineStr">
        <is>
          <t>16</t>
        </is>
      </c>
      <c r="V38" s="11" t="inlineStr">
        <is>
          <t>17</t>
        </is>
      </c>
      <c r="W38" s="11" t="inlineStr">
        <is>
          <t>18</t>
        </is>
      </c>
      <c r="X38" s="11" t="inlineStr">
        <is>
          <t>19</t>
        </is>
      </c>
      <c r="Y38" s="11" t="inlineStr">
        <is>
          <t>20</t>
        </is>
      </c>
      <c r="Z38" s="11" t="inlineStr">
        <is>
          <t>21</t>
        </is>
      </c>
      <c r="AA38" s="11" t="inlineStr">
        <is>
          <t>22</t>
        </is>
      </c>
      <c r="AB38" s="11" t="inlineStr">
        <is>
          <t>23</t>
        </is>
      </c>
      <c r="AC38" s="11" t="inlineStr">
        <is>
          <t>24</t>
        </is>
      </c>
      <c r="AD38" s="11" t="inlineStr">
        <is>
          <t>25</t>
        </is>
      </c>
      <c r="AE38" s="11" t="inlineStr">
        <is>
          <t>26</t>
        </is>
      </c>
      <c r="AF38" s="11" t="inlineStr">
        <is>
          <t>27</t>
        </is>
      </c>
      <c r="AG38" s="11" t="inlineStr">
        <is>
          <t>28</t>
        </is>
      </c>
      <c r="AH38" s="11" t="inlineStr">
        <is>
          <t>29</t>
        </is>
      </c>
      <c r="AI38" s="11" t="inlineStr">
        <is>
          <t>30</t>
        </is>
      </c>
    </row>
    <row r="39">
      <c r="A39" s="4" t="inlineStr">
        <is>
          <t>Студент1.1</t>
        </is>
      </c>
      <c r="B39" s="4" t="inlineStr"/>
      <c r="C39" s="4" t="n"/>
      <c r="D39" s="4" t="n"/>
      <c r="E39" s="4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</row>
    <row r="40">
      <c r="A40" s="4" t="inlineStr">
        <is>
          <t>Студент1.2</t>
        </is>
      </c>
      <c r="B40" s="4" t="inlineStr"/>
      <c r="C40" s="4" t="n"/>
      <c r="D40" s="4" t="n"/>
      <c r="E40" s="4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</row>
    <row r="41">
      <c r="A41" s="4" t="inlineStr">
        <is>
          <t>Студент1.3</t>
        </is>
      </c>
      <c r="B41" s="4" t="inlineStr"/>
      <c r="C41" s="4" t="n"/>
      <c r="D41" s="4" t="n"/>
      <c r="E41" s="4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</row>
    <row r="42">
      <c r="A42" s="4" t="inlineStr">
        <is>
          <t>Студент1.4</t>
        </is>
      </c>
      <c r="B42" s="4" t="inlineStr"/>
      <c r="C42" s="4" t="n"/>
      <c r="D42" s="4" t="n"/>
      <c r="E42" s="4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</row>
    <row r="43">
      <c r="A43" s="4" t="inlineStr">
        <is>
          <t>Студент1.5</t>
        </is>
      </c>
      <c r="B43" s="4" t="inlineStr"/>
      <c r="C43" s="4" t="n"/>
      <c r="D43" s="4" t="n"/>
      <c r="E43" s="4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</row>
    <row r="44">
      <c r="A44" s="4" t="inlineStr">
        <is>
          <t>Студент1.6</t>
        </is>
      </c>
      <c r="B44" s="4" t="inlineStr"/>
      <c r="C44" s="4" t="n"/>
      <c r="D44" s="4" t="n"/>
      <c r="E44" s="4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</row>
    <row r="45">
      <c r="A45" s="4" t="inlineStr">
        <is>
          <t>Студент1.7</t>
        </is>
      </c>
      <c r="B45" s="4" t="inlineStr"/>
      <c r="C45" s="4" t="n"/>
      <c r="D45" s="4" t="n"/>
      <c r="E45" s="4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</row>
    <row r="46">
      <c r="A46" s="4" t="inlineStr">
        <is>
          <t>Студент1.8</t>
        </is>
      </c>
      <c r="B46" s="4" t="inlineStr"/>
      <c r="C46" s="4" t="n"/>
      <c r="D46" s="4" t="n"/>
      <c r="E46" s="4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</row>
    <row r="47">
      <c r="A47" s="4" t="inlineStr">
        <is>
          <t>Студент1.9</t>
        </is>
      </c>
      <c r="B47" s="4" t="inlineStr"/>
      <c r="C47" s="4" t="n"/>
      <c r="D47" s="4" t="n"/>
      <c r="E47" s="4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</row>
    <row r="48">
      <c r="A48" s="4" t="inlineStr">
        <is>
          <t>Студент1.10</t>
        </is>
      </c>
      <c r="B48" s="4" t="inlineStr"/>
      <c r="C48" s="4" t="n"/>
      <c r="D48" s="4" t="n"/>
      <c r="E48" s="4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</row>
    <row r="49">
      <c r="A49" s="4" t="inlineStr">
        <is>
          <t>Студент1.11</t>
        </is>
      </c>
      <c r="B49" s="4" t="inlineStr"/>
      <c r="C49" s="4" t="n"/>
      <c r="D49" s="4" t="n"/>
      <c r="E49" s="4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</row>
    <row r="50">
      <c r="A50" s="4" t="inlineStr">
        <is>
          <t>Студент1.12</t>
        </is>
      </c>
      <c r="B50" s="4" t="inlineStr"/>
      <c r="C50" s="4" t="n"/>
      <c r="D50" s="4" t="n"/>
      <c r="E50" s="4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</row>
    <row r="51">
      <c r="A51" s="4" t="inlineStr">
        <is>
          <t>Студент1.13</t>
        </is>
      </c>
      <c r="B51" s="4" t="inlineStr"/>
      <c r="C51" s="4" t="n"/>
      <c r="D51" s="4" t="n"/>
      <c r="E51" s="4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</row>
    <row r="52">
      <c r="A52" s="4" t="inlineStr">
        <is>
          <t>Студент1.14</t>
        </is>
      </c>
      <c r="B52" s="4" t="inlineStr"/>
      <c r="C52" s="4" t="n"/>
      <c r="D52" s="4" t="n"/>
      <c r="E52" s="4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</row>
    <row r="53">
      <c r="A53" s="4" t="inlineStr">
        <is>
          <t>Студент1.15</t>
        </is>
      </c>
      <c r="B53" s="4" t="inlineStr"/>
      <c r="C53" s="4" t="n"/>
      <c r="D53" s="4" t="n"/>
      <c r="E53" s="4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</row>
    <row r="54">
      <c r="A54" s="4" t="inlineStr">
        <is>
          <t>Студент1.16</t>
        </is>
      </c>
      <c r="B54" s="4" t="inlineStr"/>
      <c r="C54" s="4" t="n"/>
      <c r="D54" s="4" t="n"/>
      <c r="E54" s="4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</row>
    <row r="55">
      <c r="A55" s="4" t="inlineStr">
        <is>
          <t>Студент1.17</t>
        </is>
      </c>
      <c r="B55" s="4" t="inlineStr"/>
      <c r="C55" s="4" t="n"/>
      <c r="D55" s="4" t="n"/>
      <c r="E55" s="4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</row>
    <row r="56">
      <c r="A56" s="4" t="inlineStr">
        <is>
          <t>Студент1.18</t>
        </is>
      </c>
      <c r="B56" s="4" t="inlineStr"/>
      <c r="C56" s="4" t="n"/>
      <c r="D56" s="4" t="n"/>
      <c r="E56" s="4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</row>
    <row r="57">
      <c r="A57" s="4" t="inlineStr">
        <is>
          <t>Студент1.19</t>
        </is>
      </c>
      <c r="B57" s="4" t="inlineStr"/>
      <c r="C57" s="4" t="n"/>
      <c r="D57" s="4" t="n"/>
      <c r="E57" s="4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</row>
    <row r="58">
      <c r="A58" s="4" t="inlineStr">
        <is>
          <t>Студент1.20</t>
        </is>
      </c>
      <c r="B58" s="4" t="inlineStr"/>
      <c r="C58" s="4" t="n"/>
      <c r="D58" s="4" t="n"/>
      <c r="E58" s="4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</row>
    <row r="59">
      <c r="A59" s="4" t="inlineStr">
        <is>
          <t>Студент1.21</t>
        </is>
      </c>
      <c r="B59" s="4" t="inlineStr"/>
      <c r="C59" s="4" t="n"/>
      <c r="D59" s="4" t="n"/>
      <c r="E59" s="4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</row>
    <row r="60">
      <c r="A60" s="4" t="inlineStr">
        <is>
          <t>Студент1.22</t>
        </is>
      </c>
      <c r="B60" s="4" t="inlineStr"/>
      <c r="C60" s="4" t="n"/>
      <c r="D60" s="4" t="n"/>
      <c r="E60" s="4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</row>
    <row r="61">
      <c r="A61" s="4" t="inlineStr">
        <is>
          <t>Студент1.23</t>
        </is>
      </c>
      <c r="B61" s="4" t="inlineStr"/>
      <c r="C61" s="4" t="n"/>
      <c r="D61" s="4" t="n"/>
      <c r="E61" s="4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</row>
    <row r="62">
      <c r="A62" s="4" t="inlineStr">
        <is>
          <t>Студент1.24</t>
        </is>
      </c>
      <c r="B62" s="4" t="inlineStr"/>
      <c r="C62" s="4" t="n"/>
      <c r="D62" s="4" t="n"/>
      <c r="E62" s="4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</row>
    <row r="63">
      <c r="A63" s="4" t="inlineStr">
        <is>
          <t>Студент1.25</t>
        </is>
      </c>
      <c r="B63" s="4" t="inlineStr"/>
      <c r="C63" s="4" t="n"/>
      <c r="D63" s="4" t="n"/>
      <c r="E63" s="4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</row>
    <row r="64">
      <c r="A64" s="4" t="inlineStr">
        <is>
          <t>Студент1.26</t>
        </is>
      </c>
      <c r="B64" s="4" t="inlineStr"/>
      <c r="C64" s="4" t="n"/>
      <c r="D64" s="4" t="n"/>
      <c r="E64" s="4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</row>
    <row r="65">
      <c r="A65" s="4" t="inlineStr">
        <is>
          <t>Студент1.27</t>
        </is>
      </c>
      <c r="B65" s="4" t="inlineStr"/>
      <c r="C65" s="4" t="n"/>
      <c r="D65" s="4" t="n"/>
      <c r="E65" s="4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</row>
    <row r="66">
      <c r="A66" s="4" t="inlineStr">
        <is>
          <t>Студент1.28</t>
        </is>
      </c>
      <c r="B66" s="4" t="inlineStr"/>
      <c r="C66" s="4" t="n"/>
      <c r="D66" s="4" t="n"/>
      <c r="E66" s="4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</row>
    <row r="67">
      <c r="A67" s="4" t="inlineStr">
        <is>
          <t>Студент1.29</t>
        </is>
      </c>
      <c r="B67" s="4" t="inlineStr"/>
      <c r="C67" s="4" t="n"/>
      <c r="D67" s="4" t="n"/>
      <c r="E67" s="4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</row>
    <row r="68">
      <c r="A68" s="4" t="inlineStr">
        <is>
          <t>Студент1.30</t>
        </is>
      </c>
      <c r="B68" s="4" t="inlineStr"/>
      <c r="C68" s="4" t="n"/>
      <c r="D68" s="4" t="n"/>
      <c r="E68" s="4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</row>
    <row r="72">
      <c r="A72" s="13" t="inlineStr">
        <is>
          <t>Практика 2 — плюсы</t>
        </is>
      </c>
    </row>
    <row r="73" ht="28" customHeight="1">
      <c r="A73" s="7" t="inlineStr">
        <is>
          <t>Имя</t>
        </is>
      </c>
      <c r="B73" s="9" t="inlineStr">
        <is>
          <t>TG</t>
        </is>
      </c>
      <c r="C73" s="10" t="inlineStr">
        <is>
          <t>S</t>
        </is>
      </c>
      <c r="D73" s="8" t="inlineStr">
        <is>
          <t>Коэффициент</t>
        </is>
      </c>
      <c r="E73" s="14" t="inlineStr">
        <is>
          <t>D за практику</t>
        </is>
      </c>
      <c r="F73" s="11" t="inlineStr">
        <is>
          <t>1.0</t>
        </is>
      </c>
      <c r="G73" s="11" t="inlineStr">
        <is>
          <t>2.0</t>
        </is>
      </c>
      <c r="H73" s="11" t="inlineStr">
        <is>
          <t>3.0</t>
        </is>
      </c>
      <c r="I73" s="11" t="inlineStr">
        <is>
          <t>4.0</t>
        </is>
      </c>
      <c r="J73" s="11" t="inlineStr">
        <is>
          <t>5.0</t>
        </is>
      </c>
      <c r="K73" s="11" t="inlineStr">
        <is>
          <t>6</t>
        </is>
      </c>
      <c r="L73" s="11" t="inlineStr">
        <is>
          <t>7</t>
        </is>
      </c>
      <c r="M73" s="11" t="inlineStr">
        <is>
          <t>8</t>
        </is>
      </c>
      <c r="N73" s="11" t="inlineStr">
        <is>
          <t>9</t>
        </is>
      </c>
      <c r="O73" s="11" t="inlineStr">
        <is>
          <t>10</t>
        </is>
      </c>
      <c r="P73" s="11" t="inlineStr">
        <is>
          <t>11</t>
        </is>
      </c>
      <c r="Q73" s="11" t="inlineStr">
        <is>
          <t>12</t>
        </is>
      </c>
      <c r="R73" s="11" t="inlineStr">
        <is>
          <t>13</t>
        </is>
      </c>
      <c r="S73" s="11" t="inlineStr">
        <is>
          <t>14</t>
        </is>
      </c>
      <c r="T73" s="11" t="inlineStr">
        <is>
          <t>15</t>
        </is>
      </c>
      <c r="U73" s="11" t="inlineStr">
        <is>
          <t>16</t>
        </is>
      </c>
      <c r="V73" s="11" t="inlineStr">
        <is>
          <t>17</t>
        </is>
      </c>
      <c r="W73" s="11" t="inlineStr">
        <is>
          <t>18</t>
        </is>
      </c>
      <c r="X73" s="11" t="inlineStr">
        <is>
          <t>19</t>
        </is>
      </c>
      <c r="Y73" s="11" t="inlineStr">
        <is>
          <t>20</t>
        </is>
      </c>
      <c r="Z73" s="11" t="inlineStr">
        <is>
          <t>21</t>
        </is>
      </c>
      <c r="AA73" s="11" t="inlineStr">
        <is>
          <t>22</t>
        </is>
      </c>
      <c r="AB73" s="11" t="inlineStr">
        <is>
          <t>23</t>
        </is>
      </c>
      <c r="AC73" s="11" t="inlineStr">
        <is>
          <t>24</t>
        </is>
      </c>
      <c r="AD73" s="11" t="inlineStr">
        <is>
          <t>25</t>
        </is>
      </c>
      <c r="AE73" s="11" t="inlineStr">
        <is>
          <t>26</t>
        </is>
      </c>
      <c r="AF73" s="11" t="inlineStr">
        <is>
          <t>27</t>
        </is>
      </c>
      <c r="AG73" s="11" t="inlineStr">
        <is>
          <t>28</t>
        </is>
      </c>
      <c r="AH73" s="11" t="inlineStr">
        <is>
          <t>29</t>
        </is>
      </c>
      <c r="AI73" s="11" t="inlineStr">
        <is>
          <t>30</t>
        </is>
      </c>
    </row>
    <row r="74">
      <c r="A74" s="4" t="inlineStr">
        <is>
          <t>Студент1.1</t>
        </is>
      </c>
      <c r="B74" s="4" t="inlineStr"/>
      <c r="C74" s="4">
        <f>IF(A74="","",COUNTIF(F74:AI74,"+")+COUNTIF(F74:AI74,"1"))</f>
        <v/>
      </c>
      <c r="D74" s="4">
        <f>IF(A74="","",IF(C74&gt;2*COUNTA(F$73:AI$73)/3,1,IF(C74&gt;=COUNTA(F$73:AI$73)/2,0.8,0.5)))</f>
        <v/>
      </c>
      <c r="E74" s="4">
        <f>IF(A74="","",SUMIFS('Логи'!$H$4:$H$3006,'Логи'!$A$4:$A$3006,A74,'Логи'!$C$4:$C$3006,2))</f>
        <v/>
      </c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</row>
    <row r="75">
      <c r="A75" s="4" t="inlineStr">
        <is>
          <t>Студент1.2</t>
        </is>
      </c>
      <c r="B75" s="4" t="inlineStr"/>
      <c r="C75" s="4">
        <f>IF(A75="","",COUNTIF(F75:AI75,"+")+COUNTIF(F75:AI75,"1"))</f>
        <v/>
      </c>
      <c r="D75" s="4">
        <f>IF(A75="","",IF(C75&gt;2*COUNTA(F$73:AI$73)/3,1,IF(C75&gt;=COUNTA(F$73:AI$73)/2,0.8,0.5)))</f>
        <v/>
      </c>
      <c r="E75" s="4">
        <f>IF(A75="","",SUMIFS('Логи'!$H$4:$H$3006,'Логи'!$A$4:$A$3006,A75,'Логи'!$C$4:$C$3006,2))</f>
        <v/>
      </c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</row>
    <row r="76">
      <c r="A76" s="4" t="inlineStr">
        <is>
          <t>Студент1.3</t>
        </is>
      </c>
      <c r="B76" s="4" t="inlineStr"/>
      <c r="C76" s="4">
        <f>IF(A76="","",COUNTIF(F76:AI76,"+")+COUNTIF(F76:AI76,"1"))</f>
        <v/>
      </c>
      <c r="D76" s="4">
        <f>IF(A76="","",IF(C76&gt;2*COUNTA(F$73:AI$73)/3,1,IF(C76&gt;=COUNTA(F$73:AI$73)/2,0.8,0.5)))</f>
        <v/>
      </c>
      <c r="E76" s="4">
        <f>IF(A76="","",SUMIFS('Логи'!$H$4:$H$3006,'Логи'!$A$4:$A$3006,A76,'Логи'!$C$4:$C$3006,2))</f>
        <v/>
      </c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</row>
    <row r="77">
      <c r="A77" s="4" t="inlineStr">
        <is>
          <t>Студент1.4</t>
        </is>
      </c>
      <c r="B77" s="4" t="inlineStr"/>
      <c r="C77" s="4">
        <f>IF(A77="","",COUNTIF(F77:AI77,"+")+COUNTIF(F77:AI77,"1"))</f>
        <v/>
      </c>
      <c r="D77" s="4">
        <f>IF(A77="","",IF(C77&gt;2*COUNTA(F$73:AI$73)/3,1,IF(C77&gt;=COUNTA(F$73:AI$73)/2,0.8,0.5)))</f>
        <v/>
      </c>
      <c r="E77" s="4">
        <f>IF(A77="","",SUMIFS('Логи'!$H$4:$H$3006,'Логи'!$A$4:$A$3006,A77,'Логи'!$C$4:$C$3006,2))</f>
        <v/>
      </c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</row>
    <row r="78">
      <c r="A78" s="4" t="inlineStr">
        <is>
          <t>Студент1.5</t>
        </is>
      </c>
      <c r="B78" s="4" t="inlineStr"/>
      <c r="C78" s="4">
        <f>IF(A78="","",COUNTIF(F78:AI78,"+")+COUNTIF(F78:AI78,"1"))</f>
        <v/>
      </c>
      <c r="D78" s="4">
        <f>IF(A78="","",IF(C78&gt;2*COUNTA(F$73:AI$73)/3,1,IF(C78&gt;=COUNTA(F$73:AI$73)/2,0.8,0.5)))</f>
        <v/>
      </c>
      <c r="E78" s="4">
        <f>IF(A78="","",SUMIFS('Логи'!$H$4:$H$3006,'Логи'!$A$4:$A$3006,A78,'Логи'!$C$4:$C$3006,2))</f>
        <v/>
      </c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</row>
    <row r="79">
      <c r="A79" s="4" t="inlineStr">
        <is>
          <t>Студент1.6</t>
        </is>
      </c>
      <c r="B79" s="4" t="inlineStr"/>
      <c r="C79" s="4">
        <f>IF(A79="","",COUNTIF(F79:AI79,"+")+COUNTIF(F79:AI79,"1"))</f>
        <v/>
      </c>
      <c r="D79" s="4">
        <f>IF(A79="","",IF(C79&gt;2*COUNTA(F$73:AI$73)/3,1,IF(C79&gt;=COUNTA(F$73:AI$73)/2,0.8,0.5)))</f>
        <v/>
      </c>
      <c r="E79" s="4">
        <f>IF(A79="","",SUMIFS('Логи'!$H$4:$H$3006,'Логи'!$A$4:$A$3006,A79,'Логи'!$C$4:$C$3006,2))</f>
        <v/>
      </c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</row>
    <row r="80">
      <c r="A80" s="4" t="inlineStr">
        <is>
          <t>Студент1.7</t>
        </is>
      </c>
      <c r="B80" s="4" t="inlineStr"/>
      <c r="C80" s="4">
        <f>IF(A80="","",COUNTIF(F80:AI80,"+")+COUNTIF(F80:AI80,"1"))</f>
        <v/>
      </c>
      <c r="D80" s="4">
        <f>IF(A80="","",IF(C80&gt;2*COUNTA(F$73:AI$73)/3,1,IF(C80&gt;=COUNTA(F$73:AI$73)/2,0.8,0.5)))</f>
        <v/>
      </c>
      <c r="E80" s="4">
        <f>IF(A80="","",SUMIFS('Логи'!$H$4:$H$3006,'Логи'!$A$4:$A$3006,A80,'Логи'!$C$4:$C$3006,2))</f>
        <v/>
      </c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</row>
    <row r="81">
      <c r="A81" s="4" t="inlineStr">
        <is>
          <t>Студент1.8</t>
        </is>
      </c>
      <c r="B81" s="4" t="inlineStr"/>
      <c r="C81" s="4">
        <f>IF(A81="","",COUNTIF(F81:AI81,"+")+COUNTIF(F81:AI81,"1"))</f>
        <v/>
      </c>
      <c r="D81" s="4">
        <f>IF(A81="","",IF(C81&gt;2*COUNTA(F$73:AI$73)/3,1,IF(C81&gt;=COUNTA(F$73:AI$73)/2,0.8,0.5)))</f>
        <v/>
      </c>
      <c r="E81" s="4">
        <f>IF(A81="","",SUMIFS('Логи'!$H$4:$H$3006,'Логи'!$A$4:$A$3006,A81,'Логи'!$C$4:$C$3006,2))</f>
        <v/>
      </c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</row>
    <row r="82">
      <c r="A82" s="4" t="inlineStr">
        <is>
          <t>Студент1.9</t>
        </is>
      </c>
      <c r="B82" s="4" t="inlineStr"/>
      <c r="C82" s="4">
        <f>IF(A82="","",COUNTIF(F82:AI82,"+")+COUNTIF(F82:AI82,"1"))</f>
        <v/>
      </c>
      <c r="D82" s="4">
        <f>IF(A82="","",IF(C82&gt;2*COUNTA(F$73:AI$73)/3,1,IF(C82&gt;=COUNTA(F$73:AI$73)/2,0.8,0.5)))</f>
        <v/>
      </c>
      <c r="E82" s="4">
        <f>IF(A82="","",SUMIFS('Логи'!$H$4:$H$3006,'Логи'!$A$4:$A$3006,A82,'Логи'!$C$4:$C$3006,2))</f>
        <v/>
      </c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</row>
    <row r="83">
      <c r="A83" s="4" t="inlineStr">
        <is>
          <t>Студент1.10</t>
        </is>
      </c>
      <c r="B83" s="4" t="inlineStr"/>
      <c r="C83" s="4">
        <f>IF(A83="","",COUNTIF(F83:AI83,"+")+COUNTIF(F83:AI83,"1"))</f>
        <v/>
      </c>
      <c r="D83" s="4">
        <f>IF(A83="","",IF(C83&gt;2*COUNTA(F$73:AI$73)/3,1,IF(C83&gt;=COUNTA(F$73:AI$73)/2,0.8,0.5)))</f>
        <v/>
      </c>
      <c r="E83" s="4">
        <f>IF(A83="","",SUMIFS('Логи'!$H$4:$H$3006,'Логи'!$A$4:$A$3006,A83,'Логи'!$C$4:$C$3006,2))</f>
        <v/>
      </c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</row>
    <row r="84">
      <c r="A84" s="4" t="inlineStr">
        <is>
          <t>Студент1.11</t>
        </is>
      </c>
      <c r="B84" s="4" t="inlineStr"/>
      <c r="C84" s="4">
        <f>IF(A84="","",COUNTIF(F84:AI84,"+")+COUNTIF(F84:AI84,"1"))</f>
        <v/>
      </c>
      <c r="D84" s="4">
        <f>IF(A84="","",IF(C84&gt;2*COUNTA(F$73:AI$73)/3,1,IF(C84&gt;=COUNTA(F$73:AI$73)/2,0.8,0.5)))</f>
        <v/>
      </c>
      <c r="E84" s="4">
        <f>IF(A84="","",SUMIFS('Логи'!$H$4:$H$3006,'Логи'!$A$4:$A$3006,A84,'Логи'!$C$4:$C$3006,2))</f>
        <v/>
      </c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</row>
    <row r="85">
      <c r="A85" s="4" t="inlineStr">
        <is>
          <t>Студент1.12</t>
        </is>
      </c>
      <c r="B85" s="4" t="inlineStr"/>
      <c r="C85" s="4">
        <f>IF(A85="","",COUNTIF(F85:AI85,"+")+COUNTIF(F85:AI85,"1"))</f>
        <v/>
      </c>
      <c r="D85" s="4">
        <f>IF(A85="","",IF(C85&gt;2*COUNTA(F$73:AI$73)/3,1,IF(C85&gt;=COUNTA(F$73:AI$73)/2,0.8,0.5)))</f>
        <v/>
      </c>
      <c r="E85" s="4">
        <f>IF(A85="","",SUMIFS('Логи'!$H$4:$H$3006,'Логи'!$A$4:$A$3006,A85,'Логи'!$C$4:$C$3006,2))</f>
        <v/>
      </c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</row>
    <row r="86">
      <c r="A86" s="4" t="inlineStr">
        <is>
          <t>Студент1.13</t>
        </is>
      </c>
      <c r="B86" s="4" t="inlineStr"/>
      <c r="C86" s="4">
        <f>IF(A86="","",COUNTIF(F86:AI86,"+")+COUNTIF(F86:AI86,"1"))</f>
        <v/>
      </c>
      <c r="D86" s="4">
        <f>IF(A86="","",IF(C86&gt;2*COUNTA(F$73:AI$73)/3,1,IF(C86&gt;=COUNTA(F$73:AI$73)/2,0.8,0.5)))</f>
        <v/>
      </c>
      <c r="E86" s="4">
        <f>IF(A86="","",SUMIFS('Логи'!$H$4:$H$3006,'Логи'!$A$4:$A$3006,A86,'Логи'!$C$4:$C$3006,2))</f>
        <v/>
      </c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</row>
    <row r="87">
      <c r="A87" s="4" t="inlineStr">
        <is>
          <t>Студент1.14</t>
        </is>
      </c>
      <c r="B87" s="4" t="inlineStr"/>
      <c r="C87" s="4">
        <f>IF(A87="","",COUNTIF(F87:AI87,"+")+COUNTIF(F87:AI87,"1"))</f>
        <v/>
      </c>
      <c r="D87" s="4">
        <f>IF(A87="","",IF(C87&gt;2*COUNTA(F$73:AI$73)/3,1,IF(C87&gt;=COUNTA(F$73:AI$73)/2,0.8,0.5)))</f>
        <v/>
      </c>
      <c r="E87" s="4">
        <f>IF(A87="","",SUMIFS('Логи'!$H$4:$H$3006,'Логи'!$A$4:$A$3006,A87,'Логи'!$C$4:$C$3006,2))</f>
        <v/>
      </c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</row>
    <row r="88">
      <c r="A88" s="4" t="inlineStr">
        <is>
          <t>Студент1.15</t>
        </is>
      </c>
      <c r="B88" s="4" t="inlineStr"/>
      <c r="C88" s="4">
        <f>IF(A88="","",COUNTIF(F88:AI88,"+")+COUNTIF(F88:AI88,"1"))</f>
        <v/>
      </c>
      <c r="D88" s="4">
        <f>IF(A88="","",IF(C88&gt;2*COUNTA(F$73:AI$73)/3,1,IF(C88&gt;=COUNTA(F$73:AI$73)/2,0.8,0.5)))</f>
        <v/>
      </c>
      <c r="E88" s="4">
        <f>IF(A88="","",SUMIFS('Логи'!$H$4:$H$3006,'Логи'!$A$4:$A$3006,A88,'Логи'!$C$4:$C$3006,2))</f>
        <v/>
      </c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</row>
    <row r="89">
      <c r="A89" s="4" t="inlineStr">
        <is>
          <t>Студент1.16</t>
        </is>
      </c>
      <c r="B89" s="4" t="inlineStr"/>
      <c r="C89" s="4">
        <f>IF(A89="","",COUNTIF(F89:AI89,"+")+COUNTIF(F89:AI89,"1"))</f>
        <v/>
      </c>
      <c r="D89" s="4">
        <f>IF(A89="","",IF(C89&gt;2*COUNTA(F$73:AI$73)/3,1,IF(C89&gt;=COUNTA(F$73:AI$73)/2,0.8,0.5)))</f>
        <v/>
      </c>
      <c r="E89" s="4">
        <f>IF(A89="","",SUMIFS('Логи'!$H$4:$H$3006,'Логи'!$A$4:$A$3006,A89,'Логи'!$C$4:$C$3006,2))</f>
        <v/>
      </c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</row>
    <row r="90">
      <c r="A90" s="4" t="inlineStr">
        <is>
          <t>Студент1.17</t>
        </is>
      </c>
      <c r="B90" s="4" t="inlineStr"/>
      <c r="C90" s="4">
        <f>IF(A90="","",COUNTIF(F90:AI90,"+")+COUNTIF(F90:AI90,"1"))</f>
        <v/>
      </c>
      <c r="D90" s="4">
        <f>IF(A90="","",IF(C90&gt;2*COUNTA(F$73:AI$73)/3,1,IF(C90&gt;=COUNTA(F$73:AI$73)/2,0.8,0.5)))</f>
        <v/>
      </c>
      <c r="E90" s="4">
        <f>IF(A90="","",SUMIFS('Логи'!$H$4:$H$3006,'Логи'!$A$4:$A$3006,A90,'Логи'!$C$4:$C$3006,2))</f>
        <v/>
      </c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</row>
    <row r="91">
      <c r="A91" s="4" t="inlineStr">
        <is>
          <t>Студент1.18</t>
        </is>
      </c>
      <c r="B91" s="4" t="inlineStr"/>
      <c r="C91" s="4">
        <f>IF(A91="","",COUNTIF(F91:AI91,"+")+COUNTIF(F91:AI91,"1"))</f>
        <v/>
      </c>
      <c r="D91" s="4">
        <f>IF(A91="","",IF(C91&gt;2*COUNTA(F$73:AI$73)/3,1,IF(C91&gt;=COUNTA(F$73:AI$73)/2,0.8,0.5)))</f>
        <v/>
      </c>
      <c r="E91" s="4">
        <f>IF(A91="","",SUMIFS('Логи'!$H$4:$H$3006,'Логи'!$A$4:$A$3006,A91,'Логи'!$C$4:$C$3006,2))</f>
        <v/>
      </c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</row>
    <row r="92">
      <c r="A92" s="4" t="inlineStr">
        <is>
          <t>Студент1.19</t>
        </is>
      </c>
      <c r="B92" s="4" t="inlineStr"/>
      <c r="C92" s="4">
        <f>IF(A92="","",COUNTIF(F92:AI92,"+")+COUNTIF(F92:AI92,"1"))</f>
        <v/>
      </c>
      <c r="D92" s="4">
        <f>IF(A92="","",IF(C92&gt;2*COUNTA(F$73:AI$73)/3,1,IF(C92&gt;=COUNTA(F$73:AI$73)/2,0.8,0.5)))</f>
        <v/>
      </c>
      <c r="E92" s="4">
        <f>IF(A92="","",SUMIFS('Логи'!$H$4:$H$3006,'Логи'!$A$4:$A$3006,A92,'Логи'!$C$4:$C$3006,2))</f>
        <v/>
      </c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</row>
    <row r="93">
      <c r="A93" s="4" t="inlineStr">
        <is>
          <t>Студент1.20</t>
        </is>
      </c>
      <c r="B93" s="4" t="inlineStr"/>
      <c r="C93" s="4">
        <f>IF(A93="","",COUNTIF(F93:AI93,"+")+COUNTIF(F93:AI93,"1"))</f>
        <v/>
      </c>
      <c r="D93" s="4">
        <f>IF(A93="","",IF(C93&gt;2*COUNTA(F$73:AI$73)/3,1,IF(C93&gt;=COUNTA(F$73:AI$73)/2,0.8,0.5)))</f>
        <v/>
      </c>
      <c r="E93" s="4">
        <f>IF(A93="","",SUMIFS('Логи'!$H$4:$H$3006,'Логи'!$A$4:$A$3006,A93,'Логи'!$C$4:$C$3006,2))</f>
        <v/>
      </c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</row>
    <row r="94">
      <c r="A94" s="4" t="inlineStr">
        <is>
          <t>Студент1.21</t>
        </is>
      </c>
      <c r="B94" s="4" t="inlineStr"/>
      <c r="C94" s="4">
        <f>IF(A94="","",COUNTIF(F94:AI94,"+")+COUNTIF(F94:AI94,"1"))</f>
        <v/>
      </c>
      <c r="D94" s="4">
        <f>IF(A94="","",IF(C94&gt;2*COUNTA(F$73:AI$73)/3,1,IF(C94&gt;=COUNTA(F$73:AI$73)/2,0.8,0.5)))</f>
        <v/>
      </c>
      <c r="E94" s="4">
        <f>IF(A94="","",SUMIFS('Логи'!$H$4:$H$3006,'Логи'!$A$4:$A$3006,A94,'Логи'!$C$4:$C$3006,2))</f>
        <v/>
      </c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</row>
    <row r="95">
      <c r="A95" s="4" t="inlineStr">
        <is>
          <t>Студент1.22</t>
        </is>
      </c>
      <c r="B95" s="4" t="inlineStr"/>
      <c r="C95" s="4">
        <f>IF(A95="","",COUNTIF(F95:AI95,"+")+COUNTIF(F95:AI95,"1"))</f>
        <v/>
      </c>
      <c r="D95" s="4">
        <f>IF(A95="","",IF(C95&gt;2*COUNTA(F$73:AI$73)/3,1,IF(C95&gt;=COUNTA(F$73:AI$73)/2,0.8,0.5)))</f>
        <v/>
      </c>
      <c r="E95" s="4">
        <f>IF(A95="","",SUMIFS('Логи'!$H$4:$H$3006,'Логи'!$A$4:$A$3006,A95,'Логи'!$C$4:$C$3006,2))</f>
        <v/>
      </c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</row>
    <row r="96">
      <c r="A96" s="4" t="inlineStr">
        <is>
          <t>Студент1.23</t>
        </is>
      </c>
      <c r="B96" s="4" t="inlineStr"/>
      <c r="C96" s="4">
        <f>IF(A96="","",COUNTIF(F96:AI96,"+")+COUNTIF(F96:AI96,"1"))</f>
        <v/>
      </c>
      <c r="D96" s="4">
        <f>IF(A96="","",IF(C96&gt;2*COUNTA(F$73:AI$73)/3,1,IF(C96&gt;=COUNTA(F$73:AI$73)/2,0.8,0.5)))</f>
        <v/>
      </c>
      <c r="E96" s="4">
        <f>IF(A96="","",SUMIFS('Логи'!$H$4:$H$3006,'Логи'!$A$4:$A$3006,A96,'Логи'!$C$4:$C$3006,2))</f>
        <v/>
      </c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</row>
    <row r="97">
      <c r="A97" s="4" t="inlineStr">
        <is>
          <t>Студент1.24</t>
        </is>
      </c>
      <c r="B97" s="4" t="inlineStr"/>
      <c r="C97" s="4">
        <f>IF(A97="","",COUNTIF(F97:AI97,"+")+COUNTIF(F97:AI97,"1"))</f>
        <v/>
      </c>
      <c r="D97" s="4">
        <f>IF(A97="","",IF(C97&gt;2*COUNTA(F$73:AI$73)/3,1,IF(C97&gt;=COUNTA(F$73:AI$73)/2,0.8,0.5)))</f>
        <v/>
      </c>
      <c r="E97" s="4">
        <f>IF(A97="","",SUMIFS('Логи'!$H$4:$H$3006,'Логи'!$A$4:$A$3006,A97,'Логи'!$C$4:$C$3006,2))</f>
        <v/>
      </c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</row>
    <row r="98">
      <c r="A98" s="4" t="inlineStr">
        <is>
          <t>Студент1.25</t>
        </is>
      </c>
      <c r="B98" s="4" t="inlineStr"/>
      <c r="C98" s="4">
        <f>IF(A98="","",COUNTIF(F98:AI98,"+")+COUNTIF(F98:AI98,"1"))</f>
        <v/>
      </c>
      <c r="D98" s="4">
        <f>IF(A98="","",IF(C98&gt;2*COUNTA(F$73:AI$73)/3,1,IF(C98&gt;=COUNTA(F$73:AI$73)/2,0.8,0.5)))</f>
        <v/>
      </c>
      <c r="E98" s="4">
        <f>IF(A98="","",SUMIFS('Логи'!$H$4:$H$3006,'Логи'!$A$4:$A$3006,A98,'Логи'!$C$4:$C$3006,2))</f>
        <v/>
      </c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</row>
    <row r="99">
      <c r="A99" s="4" t="inlineStr">
        <is>
          <t>Студент1.26</t>
        </is>
      </c>
      <c r="B99" s="4" t="inlineStr"/>
      <c r="C99" s="4">
        <f>IF(A99="","",COUNTIF(F99:AI99,"+")+COUNTIF(F99:AI99,"1"))</f>
        <v/>
      </c>
      <c r="D99" s="4">
        <f>IF(A99="","",IF(C99&gt;2*COUNTA(F$73:AI$73)/3,1,IF(C99&gt;=COUNTA(F$73:AI$73)/2,0.8,0.5)))</f>
        <v/>
      </c>
      <c r="E99" s="4">
        <f>IF(A99="","",SUMIFS('Логи'!$H$4:$H$3006,'Логи'!$A$4:$A$3006,A99,'Логи'!$C$4:$C$3006,2))</f>
        <v/>
      </c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</row>
    <row r="100">
      <c r="A100" s="4" t="inlineStr">
        <is>
          <t>Студент1.27</t>
        </is>
      </c>
      <c r="B100" s="4" t="inlineStr"/>
      <c r="C100" s="4">
        <f>IF(A100="","",COUNTIF(F100:AI100,"+")+COUNTIF(F100:AI100,"1"))</f>
        <v/>
      </c>
      <c r="D100" s="4">
        <f>IF(A100="","",IF(C100&gt;2*COUNTA(F$73:AI$73)/3,1,IF(C100&gt;=COUNTA(F$73:AI$73)/2,0.8,0.5)))</f>
        <v/>
      </c>
      <c r="E100" s="4">
        <f>IF(A100="","",SUMIFS('Логи'!$H$4:$H$3006,'Логи'!$A$4:$A$3006,A100,'Логи'!$C$4:$C$3006,2))</f>
        <v/>
      </c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</row>
    <row r="101">
      <c r="A101" s="4" t="inlineStr">
        <is>
          <t>Студент1.28</t>
        </is>
      </c>
      <c r="B101" s="4" t="inlineStr"/>
      <c r="C101" s="4">
        <f>IF(A101="","",COUNTIF(F101:AI101,"+")+COUNTIF(F101:AI101,"1"))</f>
        <v/>
      </c>
      <c r="D101" s="4">
        <f>IF(A101="","",IF(C101&gt;2*COUNTA(F$73:AI$73)/3,1,IF(C101&gt;=COUNTA(F$73:AI$73)/2,0.8,0.5)))</f>
        <v/>
      </c>
      <c r="E101" s="4">
        <f>IF(A101="","",SUMIFS('Логи'!$H$4:$H$3006,'Логи'!$A$4:$A$3006,A101,'Логи'!$C$4:$C$3006,2))</f>
        <v/>
      </c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</row>
    <row r="102">
      <c r="A102" s="4" t="inlineStr">
        <is>
          <t>Студент1.29</t>
        </is>
      </c>
      <c r="B102" s="4" t="inlineStr"/>
      <c r="C102" s="4">
        <f>IF(A102="","",COUNTIF(F102:AI102,"+")+COUNTIF(F102:AI102,"1"))</f>
        <v/>
      </c>
      <c r="D102" s="4">
        <f>IF(A102="","",IF(C102&gt;2*COUNTA(F$73:AI$73)/3,1,IF(C102&gt;=COUNTA(F$73:AI$73)/2,0.8,0.5)))</f>
        <v/>
      </c>
      <c r="E102" s="4">
        <f>IF(A102="","",SUMIFS('Логи'!$H$4:$H$3006,'Логи'!$A$4:$A$3006,A102,'Логи'!$C$4:$C$3006,2))</f>
        <v/>
      </c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</row>
    <row r="103">
      <c r="A103" s="4" t="inlineStr">
        <is>
          <t>Студент1.30</t>
        </is>
      </c>
      <c r="B103" s="4" t="inlineStr"/>
      <c r="C103" s="4">
        <f>IF(A103="","",COUNTIF(F103:AI103,"+")+COUNTIF(F103:AI103,"1"))</f>
        <v/>
      </c>
      <c r="D103" s="4">
        <f>IF(A103="","",IF(C103&gt;2*COUNTA(F$73:AI$73)/3,1,IF(C103&gt;=COUNTA(F$73:AI$73)/2,0.8,0.5)))</f>
        <v/>
      </c>
      <c r="E103" s="4">
        <f>IF(A103="","",SUMIFS('Логи'!$H$4:$H$3006,'Логи'!$A$4:$A$3006,A103,'Логи'!$C$4:$C$3006,2))</f>
        <v/>
      </c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</row>
    <row r="105">
      <c r="A105" s="16" t="inlineStr">
        <is>
          <t>Практика 2 — результаты рассказа</t>
        </is>
      </c>
    </row>
    <row r="106" ht="28" customHeight="1">
      <c r="A106" s="7" t="inlineStr">
        <is>
          <t>Имя</t>
        </is>
      </c>
      <c r="B106" s="9" t="inlineStr">
        <is>
          <t>TG</t>
        </is>
      </c>
      <c r="C106" s="10" t="inlineStr"/>
      <c r="D106" s="2" t="inlineStr"/>
      <c r="E106" s="2" t="inlineStr"/>
      <c r="F106" s="11" t="inlineStr">
        <is>
          <t>1.0</t>
        </is>
      </c>
      <c r="G106" s="11" t="inlineStr">
        <is>
          <t>2.0</t>
        </is>
      </c>
      <c r="H106" s="11" t="inlineStr">
        <is>
          <t>3.0</t>
        </is>
      </c>
      <c r="I106" s="11" t="inlineStr">
        <is>
          <t>4.0</t>
        </is>
      </c>
      <c r="J106" s="11" t="inlineStr">
        <is>
          <t>5.0</t>
        </is>
      </c>
      <c r="K106" s="11" t="inlineStr">
        <is>
          <t>6</t>
        </is>
      </c>
      <c r="L106" s="11" t="inlineStr">
        <is>
          <t>7</t>
        </is>
      </c>
      <c r="M106" s="11" t="inlineStr">
        <is>
          <t>8</t>
        </is>
      </c>
      <c r="N106" s="11" t="inlineStr">
        <is>
          <t>9</t>
        </is>
      </c>
      <c r="O106" s="11" t="inlineStr">
        <is>
          <t>10</t>
        </is>
      </c>
      <c r="P106" s="11" t="inlineStr">
        <is>
          <t>11</t>
        </is>
      </c>
      <c r="Q106" s="11" t="inlineStr">
        <is>
          <t>12</t>
        </is>
      </c>
      <c r="R106" s="11" t="inlineStr">
        <is>
          <t>13</t>
        </is>
      </c>
      <c r="S106" s="11" t="inlineStr">
        <is>
          <t>14</t>
        </is>
      </c>
      <c r="T106" s="11" t="inlineStr">
        <is>
          <t>15</t>
        </is>
      </c>
      <c r="U106" s="11" t="inlineStr">
        <is>
          <t>16</t>
        </is>
      </c>
      <c r="V106" s="11" t="inlineStr">
        <is>
          <t>17</t>
        </is>
      </c>
      <c r="W106" s="11" t="inlineStr">
        <is>
          <t>18</t>
        </is>
      </c>
      <c r="X106" s="11" t="inlineStr">
        <is>
          <t>19</t>
        </is>
      </c>
      <c r="Y106" s="11" t="inlineStr">
        <is>
          <t>20</t>
        </is>
      </c>
      <c r="Z106" s="11" t="inlineStr">
        <is>
          <t>21</t>
        </is>
      </c>
      <c r="AA106" s="11" t="inlineStr">
        <is>
          <t>22</t>
        </is>
      </c>
      <c r="AB106" s="11" t="inlineStr">
        <is>
          <t>23</t>
        </is>
      </c>
      <c r="AC106" s="11" t="inlineStr">
        <is>
          <t>24</t>
        </is>
      </c>
      <c r="AD106" s="11" t="inlineStr">
        <is>
          <t>25</t>
        </is>
      </c>
      <c r="AE106" s="11" t="inlineStr">
        <is>
          <t>26</t>
        </is>
      </c>
      <c r="AF106" s="11" t="inlineStr">
        <is>
          <t>27</t>
        </is>
      </c>
      <c r="AG106" s="11" t="inlineStr">
        <is>
          <t>28</t>
        </is>
      </c>
      <c r="AH106" s="11" t="inlineStr">
        <is>
          <t>29</t>
        </is>
      </c>
      <c r="AI106" s="11" t="inlineStr">
        <is>
          <t>30</t>
        </is>
      </c>
    </row>
    <row r="107">
      <c r="A107" s="4" t="inlineStr">
        <is>
          <t>Студент1.1</t>
        </is>
      </c>
      <c r="B107" s="4" t="inlineStr"/>
      <c r="C107" s="4" t="n"/>
      <c r="D107" s="4" t="n"/>
      <c r="E107" s="4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  <c r="AG107" s="15" t="n"/>
      <c r="AH107" s="15" t="n"/>
      <c r="AI107" s="15" t="n"/>
    </row>
    <row r="108">
      <c r="A108" s="4" t="inlineStr">
        <is>
          <t>Студент1.2</t>
        </is>
      </c>
      <c r="B108" s="4" t="inlineStr"/>
      <c r="C108" s="4" t="n"/>
      <c r="D108" s="4" t="n"/>
      <c r="E108" s="4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  <c r="AG108" s="15" t="n"/>
      <c r="AH108" s="15" t="n"/>
      <c r="AI108" s="15" t="n"/>
    </row>
    <row r="109">
      <c r="A109" s="4" t="inlineStr">
        <is>
          <t>Студент1.3</t>
        </is>
      </c>
      <c r="B109" s="4" t="inlineStr"/>
      <c r="C109" s="4" t="n"/>
      <c r="D109" s="4" t="n"/>
      <c r="E109" s="4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5" t="n"/>
    </row>
    <row r="110">
      <c r="A110" s="4" t="inlineStr">
        <is>
          <t>Студент1.4</t>
        </is>
      </c>
      <c r="B110" s="4" t="inlineStr"/>
      <c r="C110" s="4" t="n"/>
      <c r="D110" s="4" t="n"/>
      <c r="E110" s="4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  <c r="AF110" s="15" t="n"/>
      <c r="AG110" s="15" t="n"/>
      <c r="AH110" s="15" t="n"/>
      <c r="AI110" s="15" t="n"/>
    </row>
    <row r="111">
      <c r="A111" s="4" t="inlineStr">
        <is>
          <t>Студент1.5</t>
        </is>
      </c>
      <c r="B111" s="4" t="inlineStr"/>
      <c r="C111" s="4" t="n"/>
      <c r="D111" s="4" t="n"/>
      <c r="E111" s="4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  <c r="AG111" s="15" t="n"/>
      <c r="AH111" s="15" t="n"/>
      <c r="AI111" s="15" t="n"/>
    </row>
    <row r="112">
      <c r="A112" s="4" t="inlineStr">
        <is>
          <t>Студент1.6</t>
        </is>
      </c>
      <c r="B112" s="4" t="inlineStr"/>
      <c r="C112" s="4" t="n"/>
      <c r="D112" s="4" t="n"/>
      <c r="E112" s="4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  <c r="AG112" s="15" t="n"/>
      <c r="AH112" s="15" t="n"/>
      <c r="AI112" s="15" t="n"/>
    </row>
    <row r="113">
      <c r="A113" s="4" t="inlineStr">
        <is>
          <t>Студент1.7</t>
        </is>
      </c>
      <c r="B113" s="4" t="inlineStr"/>
      <c r="C113" s="4" t="n"/>
      <c r="D113" s="4" t="n"/>
      <c r="E113" s="4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  <c r="AH113" s="15" t="n"/>
      <c r="AI113" s="15" t="n"/>
    </row>
    <row r="114">
      <c r="A114" s="4" t="inlineStr">
        <is>
          <t>Студент1.8</t>
        </is>
      </c>
      <c r="B114" s="4" t="inlineStr"/>
      <c r="C114" s="4" t="n"/>
      <c r="D114" s="4" t="n"/>
      <c r="E114" s="4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  <c r="AH114" s="15" t="n"/>
      <c r="AI114" s="15" t="n"/>
    </row>
    <row r="115">
      <c r="A115" s="4" t="inlineStr">
        <is>
          <t>Студент1.9</t>
        </is>
      </c>
      <c r="B115" s="4" t="inlineStr"/>
      <c r="C115" s="4" t="n"/>
      <c r="D115" s="4" t="n"/>
      <c r="E115" s="4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</row>
    <row r="116">
      <c r="A116" s="4" t="inlineStr">
        <is>
          <t>Студент1.10</t>
        </is>
      </c>
      <c r="B116" s="4" t="inlineStr"/>
      <c r="C116" s="4" t="n"/>
      <c r="D116" s="4" t="n"/>
      <c r="E116" s="4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5" t="n"/>
    </row>
    <row r="117">
      <c r="A117" s="4" t="inlineStr">
        <is>
          <t>Студент1.11</t>
        </is>
      </c>
      <c r="B117" s="4" t="inlineStr"/>
      <c r="C117" s="4" t="n"/>
      <c r="D117" s="4" t="n"/>
      <c r="E117" s="4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</row>
    <row r="118">
      <c r="A118" s="4" t="inlineStr">
        <is>
          <t>Студент1.12</t>
        </is>
      </c>
      <c r="B118" s="4" t="inlineStr"/>
      <c r="C118" s="4" t="n"/>
      <c r="D118" s="4" t="n"/>
      <c r="E118" s="4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</row>
    <row r="119">
      <c r="A119" s="4" t="inlineStr">
        <is>
          <t>Студент1.13</t>
        </is>
      </c>
      <c r="B119" s="4" t="inlineStr"/>
      <c r="C119" s="4" t="n"/>
      <c r="D119" s="4" t="n"/>
      <c r="E119" s="4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5" t="n"/>
    </row>
    <row r="120">
      <c r="A120" s="4" t="inlineStr">
        <is>
          <t>Студент1.14</t>
        </is>
      </c>
      <c r="B120" s="4" t="inlineStr"/>
      <c r="C120" s="4" t="n"/>
      <c r="D120" s="4" t="n"/>
      <c r="E120" s="4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5" t="n"/>
    </row>
    <row r="121">
      <c r="A121" s="4" t="inlineStr">
        <is>
          <t>Студент1.15</t>
        </is>
      </c>
      <c r="B121" s="4" t="inlineStr"/>
      <c r="C121" s="4" t="n"/>
      <c r="D121" s="4" t="n"/>
      <c r="E121" s="4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  <c r="AG121" s="15" t="n"/>
      <c r="AH121" s="15" t="n"/>
      <c r="AI121" s="15" t="n"/>
    </row>
    <row r="122">
      <c r="A122" s="4" t="inlineStr">
        <is>
          <t>Студент1.16</t>
        </is>
      </c>
      <c r="B122" s="4" t="inlineStr"/>
      <c r="C122" s="4" t="n"/>
      <c r="D122" s="4" t="n"/>
      <c r="E122" s="4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  <c r="AG122" s="15" t="n"/>
      <c r="AH122" s="15" t="n"/>
      <c r="AI122" s="15" t="n"/>
    </row>
    <row r="123">
      <c r="A123" s="4" t="inlineStr">
        <is>
          <t>Студент1.17</t>
        </is>
      </c>
      <c r="B123" s="4" t="inlineStr"/>
      <c r="C123" s="4" t="n"/>
      <c r="D123" s="4" t="n"/>
      <c r="E123" s="4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5" t="n"/>
    </row>
    <row r="124">
      <c r="A124" s="4" t="inlineStr">
        <is>
          <t>Студент1.18</t>
        </is>
      </c>
      <c r="B124" s="4" t="inlineStr"/>
      <c r="C124" s="4" t="n"/>
      <c r="D124" s="4" t="n"/>
      <c r="E124" s="4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  <c r="AG124" s="15" t="n"/>
      <c r="AH124" s="15" t="n"/>
      <c r="AI124" s="15" t="n"/>
    </row>
    <row r="125">
      <c r="A125" s="4" t="inlineStr">
        <is>
          <t>Студент1.19</t>
        </is>
      </c>
      <c r="B125" s="4" t="inlineStr"/>
      <c r="C125" s="4" t="n"/>
      <c r="D125" s="4" t="n"/>
      <c r="E125" s="4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5" t="n"/>
    </row>
    <row r="126">
      <c r="A126" s="4" t="inlineStr">
        <is>
          <t>Студент1.20</t>
        </is>
      </c>
      <c r="B126" s="4" t="inlineStr"/>
      <c r="C126" s="4" t="n"/>
      <c r="D126" s="4" t="n"/>
      <c r="E126" s="4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  <c r="AG126" s="15" t="n"/>
      <c r="AH126" s="15" t="n"/>
      <c r="AI126" s="15" t="n"/>
    </row>
    <row r="127">
      <c r="A127" s="4" t="inlineStr">
        <is>
          <t>Студент1.21</t>
        </is>
      </c>
      <c r="B127" s="4" t="inlineStr"/>
      <c r="C127" s="4" t="n"/>
      <c r="D127" s="4" t="n"/>
      <c r="E127" s="4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</row>
    <row r="128">
      <c r="A128" s="4" t="inlineStr">
        <is>
          <t>Студент1.22</t>
        </is>
      </c>
      <c r="B128" s="4" t="inlineStr"/>
      <c r="C128" s="4" t="n"/>
      <c r="D128" s="4" t="n"/>
      <c r="E128" s="4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5" t="n"/>
    </row>
    <row r="129">
      <c r="A129" s="4" t="inlineStr">
        <is>
          <t>Студент1.23</t>
        </is>
      </c>
      <c r="B129" s="4" t="inlineStr"/>
      <c r="C129" s="4" t="n"/>
      <c r="D129" s="4" t="n"/>
      <c r="E129" s="4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5" t="n"/>
    </row>
    <row r="130">
      <c r="A130" s="4" t="inlineStr">
        <is>
          <t>Студент1.24</t>
        </is>
      </c>
      <c r="B130" s="4" t="inlineStr"/>
      <c r="C130" s="4" t="n"/>
      <c r="D130" s="4" t="n"/>
      <c r="E130" s="4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  <c r="AG130" s="15" t="n"/>
      <c r="AH130" s="15" t="n"/>
      <c r="AI130" s="15" t="n"/>
    </row>
    <row r="131">
      <c r="A131" s="4" t="inlineStr">
        <is>
          <t>Студент1.25</t>
        </is>
      </c>
      <c r="B131" s="4" t="inlineStr"/>
      <c r="C131" s="4" t="n"/>
      <c r="D131" s="4" t="n"/>
      <c r="E131" s="4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5" t="n"/>
    </row>
    <row r="132">
      <c r="A132" s="4" t="inlineStr">
        <is>
          <t>Студент1.26</t>
        </is>
      </c>
      <c r="B132" s="4" t="inlineStr"/>
      <c r="C132" s="4" t="n"/>
      <c r="D132" s="4" t="n"/>
      <c r="E132" s="4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  <c r="AF132" s="15" t="n"/>
      <c r="AG132" s="15" t="n"/>
      <c r="AH132" s="15" t="n"/>
      <c r="AI132" s="15" t="n"/>
    </row>
    <row r="133">
      <c r="A133" s="4" t="inlineStr">
        <is>
          <t>Студент1.27</t>
        </is>
      </c>
      <c r="B133" s="4" t="inlineStr"/>
      <c r="C133" s="4" t="n"/>
      <c r="D133" s="4" t="n"/>
      <c r="E133" s="4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</row>
    <row r="134">
      <c r="A134" s="4" t="inlineStr">
        <is>
          <t>Студент1.28</t>
        </is>
      </c>
      <c r="B134" s="4" t="inlineStr"/>
      <c r="C134" s="4" t="n"/>
      <c r="D134" s="4" t="n"/>
      <c r="E134" s="4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  <c r="AG134" s="15" t="n"/>
      <c r="AH134" s="15" t="n"/>
      <c r="AI134" s="15" t="n"/>
    </row>
    <row r="135">
      <c r="A135" s="4" t="inlineStr">
        <is>
          <t>Студент1.29</t>
        </is>
      </c>
      <c r="B135" s="4" t="inlineStr"/>
      <c r="C135" s="4" t="n"/>
      <c r="D135" s="4" t="n"/>
      <c r="E135" s="4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5" t="n"/>
    </row>
    <row r="136">
      <c r="A136" s="4" t="inlineStr">
        <is>
          <t>Студент1.30</t>
        </is>
      </c>
      <c r="B136" s="4" t="inlineStr"/>
      <c r="C136" s="4" t="n"/>
      <c r="D136" s="4" t="n"/>
      <c r="E136" s="4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</row>
    <row r="140">
      <c r="A140" s="13" t="inlineStr">
        <is>
          <t>Практика 3 — плюсы</t>
        </is>
      </c>
    </row>
    <row r="141" ht="28" customHeight="1">
      <c r="A141" s="7" t="inlineStr">
        <is>
          <t>Имя</t>
        </is>
      </c>
      <c r="B141" s="9" t="inlineStr">
        <is>
          <t>TG</t>
        </is>
      </c>
      <c r="C141" s="10" t="inlineStr">
        <is>
          <t>S</t>
        </is>
      </c>
      <c r="D141" s="8" t="inlineStr">
        <is>
          <t>Коэффициент</t>
        </is>
      </c>
      <c r="E141" s="14" t="inlineStr">
        <is>
          <t>D за практику</t>
        </is>
      </c>
      <c r="F141" s="11" t="inlineStr">
        <is>
          <t>1.0</t>
        </is>
      </c>
      <c r="G141" s="11" t="inlineStr">
        <is>
          <t>2.0</t>
        </is>
      </c>
      <c r="H141" s="11" t="inlineStr">
        <is>
          <t>3.0</t>
        </is>
      </c>
      <c r="I141" s="11" t="inlineStr">
        <is>
          <t>4.0</t>
        </is>
      </c>
      <c r="J141" s="11" t="inlineStr">
        <is>
          <t>5.0</t>
        </is>
      </c>
      <c r="K141" s="11" t="inlineStr">
        <is>
          <t>6</t>
        </is>
      </c>
      <c r="L141" s="11" t="inlineStr">
        <is>
          <t>7</t>
        </is>
      </c>
      <c r="M141" s="11" t="inlineStr">
        <is>
          <t>8</t>
        </is>
      </c>
      <c r="N141" s="11" t="inlineStr">
        <is>
          <t>9</t>
        </is>
      </c>
      <c r="O141" s="11" t="inlineStr">
        <is>
          <t>10</t>
        </is>
      </c>
      <c r="P141" s="11" t="inlineStr">
        <is>
          <t>11</t>
        </is>
      </c>
      <c r="Q141" s="11" t="inlineStr">
        <is>
          <t>12</t>
        </is>
      </c>
      <c r="R141" s="11" t="inlineStr">
        <is>
          <t>13</t>
        </is>
      </c>
      <c r="S141" s="11" t="inlineStr">
        <is>
          <t>14</t>
        </is>
      </c>
      <c r="T141" s="11" t="inlineStr">
        <is>
          <t>15</t>
        </is>
      </c>
      <c r="U141" s="11" t="inlineStr">
        <is>
          <t>16</t>
        </is>
      </c>
      <c r="V141" s="11" t="inlineStr">
        <is>
          <t>17</t>
        </is>
      </c>
      <c r="W141" s="11" t="inlineStr">
        <is>
          <t>18</t>
        </is>
      </c>
      <c r="X141" s="11" t="inlineStr">
        <is>
          <t>19</t>
        </is>
      </c>
      <c r="Y141" s="11" t="inlineStr">
        <is>
          <t>20</t>
        </is>
      </c>
      <c r="Z141" s="11" t="inlineStr">
        <is>
          <t>21</t>
        </is>
      </c>
      <c r="AA141" s="11" t="inlineStr">
        <is>
          <t>22</t>
        </is>
      </c>
      <c r="AB141" s="11" t="inlineStr">
        <is>
          <t>23</t>
        </is>
      </c>
      <c r="AC141" s="11" t="inlineStr">
        <is>
          <t>24</t>
        </is>
      </c>
      <c r="AD141" s="11" t="inlineStr">
        <is>
          <t>25</t>
        </is>
      </c>
      <c r="AE141" s="11" t="inlineStr">
        <is>
          <t>26</t>
        </is>
      </c>
      <c r="AF141" s="11" t="inlineStr">
        <is>
          <t>27</t>
        </is>
      </c>
      <c r="AG141" s="11" t="inlineStr">
        <is>
          <t>28</t>
        </is>
      </c>
      <c r="AH141" s="11" t="inlineStr">
        <is>
          <t>29</t>
        </is>
      </c>
      <c r="AI141" s="11" t="inlineStr">
        <is>
          <t>30</t>
        </is>
      </c>
    </row>
    <row r="142">
      <c r="A142" s="4" t="inlineStr">
        <is>
          <t>Студент1.1</t>
        </is>
      </c>
      <c r="B142" s="4" t="inlineStr"/>
      <c r="C142" s="4">
        <f>IF(A142="","",COUNTIF(F142:AI142,"+")+COUNTIF(F142:AI142,"1"))</f>
        <v/>
      </c>
      <c r="D142" s="4">
        <f>IF(A142="","",IF(C142&gt;2*COUNTA(F$141:AI$141)/3,1,IF(C142&gt;=COUNTA(F$141:AI$141)/2,0.8,0.5)))</f>
        <v/>
      </c>
      <c r="E142" s="4">
        <f>IF(A142="","",SUMIFS('Логи'!$H$4:$H$3006,'Логи'!$A$4:$A$3006,A142,'Логи'!$C$4:$C$3006,3))</f>
        <v/>
      </c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  <c r="AG142" s="15" t="n"/>
      <c r="AH142" s="15" t="n"/>
      <c r="AI142" s="15" t="n"/>
    </row>
    <row r="143">
      <c r="A143" s="4" t="inlineStr">
        <is>
          <t>Студент1.2</t>
        </is>
      </c>
      <c r="B143" s="4" t="inlineStr"/>
      <c r="C143" s="4">
        <f>IF(A143="","",COUNTIF(F143:AI143,"+")+COUNTIF(F143:AI143,"1"))</f>
        <v/>
      </c>
      <c r="D143" s="4">
        <f>IF(A143="","",IF(C143&gt;2*COUNTA(F$141:AI$141)/3,1,IF(C143&gt;=COUNTA(F$141:AI$141)/2,0.8,0.5)))</f>
        <v/>
      </c>
      <c r="E143" s="4">
        <f>IF(A143="","",SUMIFS('Логи'!$H$4:$H$3006,'Логи'!$A$4:$A$3006,A143,'Логи'!$C$4:$C$3006,3))</f>
        <v/>
      </c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  <c r="AG143" s="15" t="n"/>
      <c r="AH143" s="15" t="n"/>
      <c r="AI143" s="15" t="n"/>
    </row>
    <row r="144">
      <c r="A144" s="4" t="inlineStr">
        <is>
          <t>Студент1.3</t>
        </is>
      </c>
      <c r="B144" s="4" t="inlineStr"/>
      <c r="C144" s="4">
        <f>IF(A144="","",COUNTIF(F144:AI144,"+")+COUNTIF(F144:AI144,"1"))</f>
        <v/>
      </c>
      <c r="D144" s="4">
        <f>IF(A144="","",IF(C144&gt;2*COUNTA(F$141:AI$141)/3,1,IF(C144&gt;=COUNTA(F$141:AI$141)/2,0.8,0.5)))</f>
        <v/>
      </c>
      <c r="E144" s="4">
        <f>IF(A144="","",SUMIFS('Логи'!$H$4:$H$3006,'Логи'!$A$4:$A$3006,A144,'Логи'!$C$4:$C$3006,3))</f>
        <v/>
      </c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  <c r="AG144" s="15" t="n"/>
      <c r="AH144" s="15" t="n"/>
      <c r="AI144" s="15" t="n"/>
    </row>
    <row r="145">
      <c r="A145" s="4" t="inlineStr">
        <is>
          <t>Студент1.4</t>
        </is>
      </c>
      <c r="B145" s="4" t="inlineStr"/>
      <c r="C145" s="4">
        <f>IF(A145="","",COUNTIF(F145:AI145,"+")+COUNTIF(F145:AI145,"1"))</f>
        <v/>
      </c>
      <c r="D145" s="4">
        <f>IF(A145="","",IF(C145&gt;2*COUNTA(F$141:AI$141)/3,1,IF(C145&gt;=COUNTA(F$141:AI$141)/2,0.8,0.5)))</f>
        <v/>
      </c>
      <c r="E145" s="4">
        <f>IF(A145="","",SUMIFS('Логи'!$H$4:$H$3006,'Логи'!$A$4:$A$3006,A145,'Логи'!$C$4:$C$3006,3))</f>
        <v/>
      </c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  <c r="AG145" s="15" t="n"/>
      <c r="AH145" s="15" t="n"/>
      <c r="AI145" s="15" t="n"/>
    </row>
    <row r="146">
      <c r="A146" s="4" t="inlineStr">
        <is>
          <t>Студент1.5</t>
        </is>
      </c>
      <c r="B146" s="4" t="inlineStr"/>
      <c r="C146" s="4">
        <f>IF(A146="","",COUNTIF(F146:AI146,"+")+COUNTIF(F146:AI146,"1"))</f>
        <v/>
      </c>
      <c r="D146" s="4">
        <f>IF(A146="","",IF(C146&gt;2*COUNTA(F$141:AI$141)/3,1,IF(C146&gt;=COUNTA(F$141:AI$141)/2,0.8,0.5)))</f>
        <v/>
      </c>
      <c r="E146" s="4">
        <f>IF(A146="","",SUMIFS('Логи'!$H$4:$H$3006,'Логи'!$A$4:$A$3006,A146,'Логи'!$C$4:$C$3006,3))</f>
        <v/>
      </c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  <c r="AG146" s="15" t="n"/>
      <c r="AH146" s="15" t="n"/>
      <c r="AI146" s="15" t="n"/>
    </row>
    <row r="147">
      <c r="A147" s="4" t="inlineStr">
        <is>
          <t>Студент1.6</t>
        </is>
      </c>
      <c r="B147" s="4" t="inlineStr"/>
      <c r="C147" s="4">
        <f>IF(A147="","",COUNTIF(F147:AI147,"+")+COUNTIF(F147:AI147,"1"))</f>
        <v/>
      </c>
      <c r="D147" s="4">
        <f>IF(A147="","",IF(C147&gt;2*COUNTA(F$141:AI$141)/3,1,IF(C147&gt;=COUNTA(F$141:AI$141)/2,0.8,0.5)))</f>
        <v/>
      </c>
      <c r="E147" s="4">
        <f>IF(A147="","",SUMIFS('Логи'!$H$4:$H$3006,'Логи'!$A$4:$A$3006,A147,'Логи'!$C$4:$C$3006,3))</f>
        <v/>
      </c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  <c r="AG147" s="15" t="n"/>
      <c r="AH147" s="15" t="n"/>
      <c r="AI147" s="15" t="n"/>
    </row>
    <row r="148">
      <c r="A148" s="4" t="inlineStr">
        <is>
          <t>Студент1.7</t>
        </is>
      </c>
      <c r="B148" s="4" t="inlineStr"/>
      <c r="C148" s="4">
        <f>IF(A148="","",COUNTIF(F148:AI148,"+")+COUNTIF(F148:AI148,"1"))</f>
        <v/>
      </c>
      <c r="D148" s="4">
        <f>IF(A148="","",IF(C148&gt;2*COUNTA(F$141:AI$141)/3,1,IF(C148&gt;=COUNTA(F$141:AI$141)/2,0.8,0.5)))</f>
        <v/>
      </c>
      <c r="E148" s="4">
        <f>IF(A148="","",SUMIFS('Логи'!$H$4:$H$3006,'Логи'!$A$4:$A$3006,A148,'Логи'!$C$4:$C$3006,3))</f>
        <v/>
      </c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  <c r="AF148" s="15" t="n"/>
      <c r="AG148" s="15" t="n"/>
      <c r="AH148" s="15" t="n"/>
      <c r="AI148" s="15" t="n"/>
    </row>
    <row r="149">
      <c r="A149" s="4" t="inlineStr">
        <is>
          <t>Студент1.8</t>
        </is>
      </c>
      <c r="B149" s="4" t="inlineStr"/>
      <c r="C149" s="4">
        <f>IF(A149="","",COUNTIF(F149:AI149,"+")+COUNTIF(F149:AI149,"1"))</f>
        <v/>
      </c>
      <c r="D149" s="4">
        <f>IF(A149="","",IF(C149&gt;2*COUNTA(F$141:AI$141)/3,1,IF(C149&gt;=COUNTA(F$141:AI$141)/2,0.8,0.5)))</f>
        <v/>
      </c>
      <c r="E149" s="4">
        <f>IF(A149="","",SUMIFS('Логи'!$H$4:$H$3006,'Логи'!$A$4:$A$3006,A149,'Логи'!$C$4:$C$3006,3))</f>
        <v/>
      </c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  <c r="AF149" s="15" t="n"/>
      <c r="AG149" s="15" t="n"/>
      <c r="AH149" s="15" t="n"/>
      <c r="AI149" s="15" t="n"/>
    </row>
    <row r="150">
      <c r="A150" s="4" t="inlineStr">
        <is>
          <t>Студент1.9</t>
        </is>
      </c>
      <c r="B150" s="4" t="inlineStr"/>
      <c r="C150" s="4">
        <f>IF(A150="","",COUNTIF(F150:AI150,"+")+COUNTIF(F150:AI150,"1"))</f>
        <v/>
      </c>
      <c r="D150" s="4">
        <f>IF(A150="","",IF(C150&gt;2*COUNTA(F$141:AI$141)/3,1,IF(C150&gt;=COUNTA(F$141:AI$141)/2,0.8,0.5)))</f>
        <v/>
      </c>
      <c r="E150" s="4">
        <f>IF(A150="","",SUMIFS('Логи'!$H$4:$H$3006,'Логи'!$A$4:$A$3006,A150,'Логи'!$C$4:$C$3006,3))</f>
        <v/>
      </c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  <c r="AG150" s="15" t="n"/>
      <c r="AH150" s="15" t="n"/>
      <c r="AI150" s="15" t="n"/>
    </row>
    <row r="151">
      <c r="A151" s="4" t="inlineStr">
        <is>
          <t>Студент1.10</t>
        </is>
      </c>
      <c r="B151" s="4" t="inlineStr"/>
      <c r="C151" s="4">
        <f>IF(A151="","",COUNTIF(F151:AI151,"+")+COUNTIF(F151:AI151,"1"))</f>
        <v/>
      </c>
      <c r="D151" s="4">
        <f>IF(A151="","",IF(C151&gt;2*COUNTA(F$141:AI$141)/3,1,IF(C151&gt;=COUNTA(F$141:AI$141)/2,0.8,0.5)))</f>
        <v/>
      </c>
      <c r="E151" s="4">
        <f>IF(A151="","",SUMIFS('Логи'!$H$4:$H$3006,'Логи'!$A$4:$A$3006,A151,'Логи'!$C$4:$C$3006,3))</f>
        <v/>
      </c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  <c r="AG151" s="15" t="n"/>
      <c r="AH151" s="15" t="n"/>
      <c r="AI151" s="15" t="n"/>
    </row>
    <row r="152">
      <c r="A152" s="4" t="inlineStr">
        <is>
          <t>Студент1.11</t>
        </is>
      </c>
      <c r="B152" s="4" t="inlineStr"/>
      <c r="C152" s="4">
        <f>IF(A152="","",COUNTIF(F152:AI152,"+")+COUNTIF(F152:AI152,"1"))</f>
        <v/>
      </c>
      <c r="D152" s="4">
        <f>IF(A152="","",IF(C152&gt;2*COUNTA(F$141:AI$141)/3,1,IF(C152&gt;=COUNTA(F$141:AI$141)/2,0.8,0.5)))</f>
        <v/>
      </c>
      <c r="E152" s="4">
        <f>IF(A152="","",SUMIFS('Логи'!$H$4:$H$3006,'Логи'!$A$4:$A$3006,A152,'Логи'!$C$4:$C$3006,3))</f>
        <v/>
      </c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  <c r="AG152" s="15" t="n"/>
      <c r="AH152" s="15" t="n"/>
      <c r="AI152" s="15" t="n"/>
    </row>
    <row r="153">
      <c r="A153" s="4" t="inlineStr">
        <is>
          <t>Студент1.12</t>
        </is>
      </c>
      <c r="B153" s="4" t="inlineStr"/>
      <c r="C153" s="4">
        <f>IF(A153="","",COUNTIF(F153:AI153,"+")+COUNTIF(F153:AI153,"1"))</f>
        <v/>
      </c>
      <c r="D153" s="4">
        <f>IF(A153="","",IF(C153&gt;2*COUNTA(F$141:AI$141)/3,1,IF(C153&gt;=COUNTA(F$141:AI$141)/2,0.8,0.5)))</f>
        <v/>
      </c>
      <c r="E153" s="4">
        <f>IF(A153="","",SUMIFS('Логи'!$H$4:$H$3006,'Логи'!$A$4:$A$3006,A153,'Логи'!$C$4:$C$3006,3))</f>
        <v/>
      </c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  <c r="AG153" s="15" t="n"/>
      <c r="AH153" s="15" t="n"/>
      <c r="AI153" s="15" t="n"/>
    </row>
    <row r="154">
      <c r="A154" s="4" t="inlineStr">
        <is>
          <t>Студент1.13</t>
        </is>
      </c>
      <c r="B154" s="4" t="inlineStr"/>
      <c r="C154" s="4">
        <f>IF(A154="","",COUNTIF(F154:AI154,"+")+COUNTIF(F154:AI154,"1"))</f>
        <v/>
      </c>
      <c r="D154" s="4">
        <f>IF(A154="","",IF(C154&gt;2*COUNTA(F$141:AI$141)/3,1,IF(C154&gt;=COUNTA(F$141:AI$141)/2,0.8,0.5)))</f>
        <v/>
      </c>
      <c r="E154" s="4">
        <f>IF(A154="","",SUMIFS('Логи'!$H$4:$H$3006,'Логи'!$A$4:$A$3006,A154,'Логи'!$C$4:$C$3006,3))</f>
        <v/>
      </c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  <c r="AG154" s="15" t="n"/>
      <c r="AH154" s="15" t="n"/>
      <c r="AI154" s="15" t="n"/>
    </row>
    <row r="155">
      <c r="A155" s="4" t="inlineStr">
        <is>
          <t>Студент1.14</t>
        </is>
      </c>
      <c r="B155" s="4" t="inlineStr"/>
      <c r="C155" s="4">
        <f>IF(A155="","",COUNTIF(F155:AI155,"+")+COUNTIF(F155:AI155,"1"))</f>
        <v/>
      </c>
      <c r="D155" s="4">
        <f>IF(A155="","",IF(C155&gt;2*COUNTA(F$141:AI$141)/3,1,IF(C155&gt;=COUNTA(F$141:AI$141)/2,0.8,0.5)))</f>
        <v/>
      </c>
      <c r="E155" s="4">
        <f>IF(A155="","",SUMIFS('Логи'!$H$4:$H$3006,'Логи'!$A$4:$A$3006,A155,'Логи'!$C$4:$C$3006,3))</f>
        <v/>
      </c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  <c r="AH155" s="15" t="n"/>
      <c r="AI155" s="15" t="n"/>
    </row>
    <row r="156">
      <c r="A156" s="4" t="inlineStr">
        <is>
          <t>Студент1.15</t>
        </is>
      </c>
      <c r="B156" s="4" t="inlineStr"/>
      <c r="C156" s="4">
        <f>IF(A156="","",COUNTIF(F156:AI156,"+")+COUNTIF(F156:AI156,"1"))</f>
        <v/>
      </c>
      <c r="D156" s="4">
        <f>IF(A156="","",IF(C156&gt;2*COUNTA(F$141:AI$141)/3,1,IF(C156&gt;=COUNTA(F$141:AI$141)/2,0.8,0.5)))</f>
        <v/>
      </c>
      <c r="E156" s="4">
        <f>IF(A156="","",SUMIFS('Логи'!$H$4:$H$3006,'Логи'!$A$4:$A$3006,A156,'Логи'!$C$4:$C$3006,3))</f>
        <v/>
      </c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  <c r="AG156" s="15" t="n"/>
      <c r="AH156" s="15" t="n"/>
      <c r="AI156" s="15" t="n"/>
    </row>
    <row r="157">
      <c r="A157" s="4" t="inlineStr">
        <is>
          <t>Студент1.16</t>
        </is>
      </c>
      <c r="B157" s="4" t="inlineStr"/>
      <c r="C157" s="4">
        <f>IF(A157="","",COUNTIF(F157:AI157,"+")+COUNTIF(F157:AI157,"1"))</f>
        <v/>
      </c>
      <c r="D157" s="4">
        <f>IF(A157="","",IF(C157&gt;2*COUNTA(F$141:AI$141)/3,1,IF(C157&gt;=COUNTA(F$141:AI$141)/2,0.8,0.5)))</f>
        <v/>
      </c>
      <c r="E157" s="4">
        <f>IF(A157="","",SUMIFS('Логи'!$H$4:$H$3006,'Логи'!$A$4:$A$3006,A157,'Логи'!$C$4:$C$3006,3))</f>
        <v/>
      </c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5" t="n"/>
    </row>
    <row r="158">
      <c r="A158" s="4" t="inlineStr">
        <is>
          <t>Студент1.17</t>
        </is>
      </c>
      <c r="B158" s="4" t="inlineStr"/>
      <c r="C158" s="4">
        <f>IF(A158="","",COUNTIF(F158:AI158,"+")+COUNTIF(F158:AI158,"1"))</f>
        <v/>
      </c>
      <c r="D158" s="4">
        <f>IF(A158="","",IF(C158&gt;2*COUNTA(F$141:AI$141)/3,1,IF(C158&gt;=COUNTA(F$141:AI$141)/2,0.8,0.5)))</f>
        <v/>
      </c>
      <c r="E158" s="4">
        <f>IF(A158="","",SUMIFS('Логи'!$H$4:$H$3006,'Логи'!$A$4:$A$3006,A158,'Логи'!$C$4:$C$3006,3))</f>
        <v/>
      </c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  <c r="AG158" s="15" t="n"/>
      <c r="AH158" s="15" t="n"/>
      <c r="AI158" s="15" t="n"/>
    </row>
    <row r="159">
      <c r="A159" s="4" t="inlineStr">
        <is>
          <t>Студент1.18</t>
        </is>
      </c>
      <c r="B159" s="4" t="inlineStr"/>
      <c r="C159" s="4">
        <f>IF(A159="","",COUNTIF(F159:AI159,"+")+COUNTIF(F159:AI159,"1"))</f>
        <v/>
      </c>
      <c r="D159" s="4">
        <f>IF(A159="","",IF(C159&gt;2*COUNTA(F$141:AI$141)/3,1,IF(C159&gt;=COUNTA(F$141:AI$141)/2,0.8,0.5)))</f>
        <v/>
      </c>
      <c r="E159" s="4">
        <f>IF(A159="","",SUMIFS('Логи'!$H$4:$H$3006,'Логи'!$A$4:$A$3006,A159,'Логи'!$C$4:$C$3006,3))</f>
        <v/>
      </c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5" t="n"/>
    </row>
    <row r="160">
      <c r="A160" s="4" t="inlineStr">
        <is>
          <t>Студент1.19</t>
        </is>
      </c>
      <c r="B160" s="4" t="inlineStr"/>
      <c r="C160" s="4">
        <f>IF(A160="","",COUNTIF(F160:AI160,"+")+COUNTIF(F160:AI160,"1"))</f>
        <v/>
      </c>
      <c r="D160" s="4">
        <f>IF(A160="","",IF(C160&gt;2*COUNTA(F$141:AI$141)/3,1,IF(C160&gt;=COUNTA(F$141:AI$141)/2,0.8,0.5)))</f>
        <v/>
      </c>
      <c r="E160" s="4">
        <f>IF(A160="","",SUMIFS('Логи'!$H$4:$H$3006,'Логи'!$A$4:$A$3006,A160,'Логи'!$C$4:$C$3006,3))</f>
        <v/>
      </c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  <c r="AF160" s="15" t="n"/>
      <c r="AG160" s="15" t="n"/>
      <c r="AH160" s="15" t="n"/>
      <c r="AI160" s="15" t="n"/>
    </row>
    <row r="161">
      <c r="A161" s="4" t="inlineStr">
        <is>
          <t>Студент1.20</t>
        </is>
      </c>
      <c r="B161" s="4" t="inlineStr"/>
      <c r="C161" s="4">
        <f>IF(A161="","",COUNTIF(F161:AI161,"+")+COUNTIF(F161:AI161,"1"))</f>
        <v/>
      </c>
      <c r="D161" s="4">
        <f>IF(A161="","",IF(C161&gt;2*COUNTA(F$141:AI$141)/3,1,IF(C161&gt;=COUNTA(F$141:AI$141)/2,0.8,0.5)))</f>
        <v/>
      </c>
      <c r="E161" s="4">
        <f>IF(A161="","",SUMIFS('Логи'!$H$4:$H$3006,'Логи'!$A$4:$A$3006,A161,'Логи'!$C$4:$C$3006,3))</f>
        <v/>
      </c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  <c r="AG161" s="15" t="n"/>
      <c r="AH161" s="15" t="n"/>
      <c r="AI161" s="15" t="n"/>
    </row>
    <row r="162">
      <c r="A162" s="4" t="inlineStr">
        <is>
          <t>Студент1.21</t>
        </is>
      </c>
      <c r="B162" s="4" t="inlineStr"/>
      <c r="C162" s="4">
        <f>IF(A162="","",COUNTIF(F162:AI162,"+")+COUNTIF(F162:AI162,"1"))</f>
        <v/>
      </c>
      <c r="D162" s="4">
        <f>IF(A162="","",IF(C162&gt;2*COUNTA(F$141:AI$141)/3,1,IF(C162&gt;=COUNTA(F$141:AI$141)/2,0.8,0.5)))</f>
        <v/>
      </c>
      <c r="E162" s="4">
        <f>IF(A162="","",SUMIFS('Логи'!$H$4:$H$3006,'Логи'!$A$4:$A$3006,A162,'Логи'!$C$4:$C$3006,3))</f>
        <v/>
      </c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  <c r="AF162" s="15" t="n"/>
      <c r="AG162" s="15" t="n"/>
      <c r="AH162" s="15" t="n"/>
      <c r="AI162" s="15" t="n"/>
    </row>
    <row r="163">
      <c r="A163" s="4" t="inlineStr">
        <is>
          <t>Студент1.22</t>
        </is>
      </c>
      <c r="B163" s="4" t="inlineStr"/>
      <c r="C163" s="4">
        <f>IF(A163="","",COUNTIF(F163:AI163,"+")+COUNTIF(F163:AI163,"1"))</f>
        <v/>
      </c>
      <c r="D163" s="4">
        <f>IF(A163="","",IF(C163&gt;2*COUNTA(F$141:AI$141)/3,1,IF(C163&gt;=COUNTA(F$141:AI$141)/2,0.8,0.5)))</f>
        <v/>
      </c>
      <c r="E163" s="4">
        <f>IF(A163="","",SUMIFS('Логи'!$H$4:$H$3006,'Логи'!$A$4:$A$3006,A163,'Логи'!$C$4:$C$3006,3))</f>
        <v/>
      </c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  <c r="AF163" s="15" t="n"/>
      <c r="AG163" s="15" t="n"/>
      <c r="AH163" s="15" t="n"/>
      <c r="AI163" s="15" t="n"/>
    </row>
    <row r="164">
      <c r="A164" s="4" t="inlineStr">
        <is>
          <t>Студент1.23</t>
        </is>
      </c>
      <c r="B164" s="4" t="inlineStr"/>
      <c r="C164" s="4">
        <f>IF(A164="","",COUNTIF(F164:AI164,"+")+COUNTIF(F164:AI164,"1"))</f>
        <v/>
      </c>
      <c r="D164" s="4">
        <f>IF(A164="","",IF(C164&gt;2*COUNTA(F$141:AI$141)/3,1,IF(C164&gt;=COUNTA(F$141:AI$141)/2,0.8,0.5)))</f>
        <v/>
      </c>
      <c r="E164" s="4">
        <f>IF(A164="","",SUMIFS('Логи'!$H$4:$H$3006,'Логи'!$A$4:$A$3006,A164,'Логи'!$C$4:$C$3006,3))</f>
        <v/>
      </c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  <c r="AG164" s="15" t="n"/>
      <c r="AH164" s="15" t="n"/>
      <c r="AI164" s="15" t="n"/>
    </row>
    <row r="165">
      <c r="A165" s="4" t="inlineStr">
        <is>
          <t>Студент1.24</t>
        </is>
      </c>
      <c r="B165" s="4" t="inlineStr"/>
      <c r="C165" s="4">
        <f>IF(A165="","",COUNTIF(F165:AI165,"+")+COUNTIF(F165:AI165,"1"))</f>
        <v/>
      </c>
      <c r="D165" s="4">
        <f>IF(A165="","",IF(C165&gt;2*COUNTA(F$141:AI$141)/3,1,IF(C165&gt;=COUNTA(F$141:AI$141)/2,0.8,0.5)))</f>
        <v/>
      </c>
      <c r="E165" s="4">
        <f>IF(A165="","",SUMIFS('Логи'!$H$4:$H$3006,'Логи'!$A$4:$A$3006,A165,'Логи'!$C$4:$C$3006,3))</f>
        <v/>
      </c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  <c r="AF165" s="15" t="n"/>
      <c r="AG165" s="15" t="n"/>
      <c r="AH165" s="15" t="n"/>
      <c r="AI165" s="15" t="n"/>
    </row>
    <row r="166">
      <c r="A166" s="4" t="inlineStr">
        <is>
          <t>Студент1.25</t>
        </is>
      </c>
      <c r="B166" s="4" t="inlineStr"/>
      <c r="C166" s="4">
        <f>IF(A166="","",COUNTIF(F166:AI166,"+")+COUNTIF(F166:AI166,"1"))</f>
        <v/>
      </c>
      <c r="D166" s="4">
        <f>IF(A166="","",IF(C166&gt;2*COUNTA(F$141:AI$141)/3,1,IF(C166&gt;=COUNTA(F$141:AI$141)/2,0.8,0.5)))</f>
        <v/>
      </c>
      <c r="E166" s="4">
        <f>IF(A166="","",SUMIFS('Логи'!$H$4:$H$3006,'Логи'!$A$4:$A$3006,A166,'Логи'!$C$4:$C$3006,3))</f>
        <v/>
      </c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  <c r="AF166" s="15" t="n"/>
      <c r="AG166" s="15" t="n"/>
      <c r="AH166" s="15" t="n"/>
      <c r="AI166" s="15" t="n"/>
    </row>
    <row r="167">
      <c r="A167" s="4" t="inlineStr">
        <is>
          <t>Студент1.26</t>
        </is>
      </c>
      <c r="B167" s="4" t="inlineStr"/>
      <c r="C167" s="4">
        <f>IF(A167="","",COUNTIF(F167:AI167,"+")+COUNTIF(F167:AI167,"1"))</f>
        <v/>
      </c>
      <c r="D167" s="4">
        <f>IF(A167="","",IF(C167&gt;2*COUNTA(F$141:AI$141)/3,1,IF(C167&gt;=COUNTA(F$141:AI$141)/2,0.8,0.5)))</f>
        <v/>
      </c>
      <c r="E167" s="4">
        <f>IF(A167="","",SUMIFS('Логи'!$H$4:$H$3006,'Логи'!$A$4:$A$3006,A167,'Логи'!$C$4:$C$3006,3))</f>
        <v/>
      </c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  <c r="AG167" s="15" t="n"/>
      <c r="AH167" s="15" t="n"/>
      <c r="AI167" s="15" t="n"/>
    </row>
    <row r="168">
      <c r="A168" s="4" t="inlineStr">
        <is>
          <t>Студент1.27</t>
        </is>
      </c>
      <c r="B168" s="4" t="inlineStr"/>
      <c r="C168" s="4">
        <f>IF(A168="","",COUNTIF(F168:AI168,"+")+COUNTIF(F168:AI168,"1"))</f>
        <v/>
      </c>
      <c r="D168" s="4">
        <f>IF(A168="","",IF(C168&gt;2*COUNTA(F$141:AI$141)/3,1,IF(C168&gt;=COUNTA(F$141:AI$141)/2,0.8,0.5)))</f>
        <v/>
      </c>
      <c r="E168" s="4">
        <f>IF(A168="","",SUMIFS('Логи'!$H$4:$H$3006,'Логи'!$A$4:$A$3006,A168,'Логи'!$C$4:$C$3006,3))</f>
        <v/>
      </c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  <c r="AG168" s="15" t="n"/>
      <c r="AH168" s="15" t="n"/>
      <c r="AI168" s="15" t="n"/>
    </row>
    <row r="169">
      <c r="A169" s="4" t="inlineStr">
        <is>
          <t>Студент1.28</t>
        </is>
      </c>
      <c r="B169" s="4" t="inlineStr"/>
      <c r="C169" s="4">
        <f>IF(A169="","",COUNTIF(F169:AI169,"+")+COUNTIF(F169:AI169,"1"))</f>
        <v/>
      </c>
      <c r="D169" s="4">
        <f>IF(A169="","",IF(C169&gt;2*COUNTA(F$141:AI$141)/3,1,IF(C169&gt;=COUNTA(F$141:AI$141)/2,0.8,0.5)))</f>
        <v/>
      </c>
      <c r="E169" s="4">
        <f>IF(A169="","",SUMIFS('Логи'!$H$4:$H$3006,'Логи'!$A$4:$A$3006,A169,'Логи'!$C$4:$C$3006,3))</f>
        <v/>
      </c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  <c r="AG169" s="15" t="n"/>
      <c r="AH169" s="15" t="n"/>
      <c r="AI169" s="15" t="n"/>
    </row>
    <row r="170">
      <c r="A170" s="4" t="inlineStr">
        <is>
          <t>Студент1.29</t>
        </is>
      </c>
      <c r="B170" s="4" t="inlineStr"/>
      <c r="C170" s="4">
        <f>IF(A170="","",COUNTIF(F170:AI170,"+")+COUNTIF(F170:AI170,"1"))</f>
        <v/>
      </c>
      <c r="D170" s="4">
        <f>IF(A170="","",IF(C170&gt;2*COUNTA(F$141:AI$141)/3,1,IF(C170&gt;=COUNTA(F$141:AI$141)/2,0.8,0.5)))</f>
        <v/>
      </c>
      <c r="E170" s="4">
        <f>IF(A170="","",SUMIFS('Логи'!$H$4:$H$3006,'Логи'!$A$4:$A$3006,A170,'Логи'!$C$4:$C$3006,3))</f>
        <v/>
      </c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  <c r="AG170" s="15" t="n"/>
      <c r="AH170" s="15" t="n"/>
      <c r="AI170" s="15" t="n"/>
    </row>
    <row r="171">
      <c r="A171" s="4" t="inlineStr">
        <is>
          <t>Студент1.30</t>
        </is>
      </c>
      <c r="B171" s="4" t="inlineStr"/>
      <c r="C171" s="4">
        <f>IF(A171="","",COUNTIF(F171:AI171,"+")+COUNTIF(F171:AI171,"1"))</f>
        <v/>
      </c>
      <c r="D171" s="4">
        <f>IF(A171="","",IF(C171&gt;2*COUNTA(F$141:AI$141)/3,1,IF(C171&gt;=COUNTA(F$141:AI$141)/2,0.8,0.5)))</f>
        <v/>
      </c>
      <c r="E171" s="4">
        <f>IF(A171="","",SUMIFS('Логи'!$H$4:$H$3006,'Логи'!$A$4:$A$3006,A171,'Логи'!$C$4:$C$3006,3))</f>
        <v/>
      </c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  <c r="AG171" s="15" t="n"/>
      <c r="AH171" s="15" t="n"/>
      <c r="AI171" s="15" t="n"/>
    </row>
    <row r="173">
      <c r="A173" s="16" t="inlineStr">
        <is>
          <t>Практика 3 — результаты рассказа</t>
        </is>
      </c>
    </row>
    <row r="174" ht="28" customHeight="1">
      <c r="A174" s="7" t="inlineStr">
        <is>
          <t>Имя</t>
        </is>
      </c>
      <c r="B174" s="9" t="inlineStr">
        <is>
          <t>TG</t>
        </is>
      </c>
      <c r="C174" s="10" t="inlineStr"/>
      <c r="D174" s="2" t="inlineStr"/>
      <c r="E174" s="2" t="inlineStr"/>
      <c r="F174" s="11" t="inlineStr">
        <is>
          <t>1.0</t>
        </is>
      </c>
      <c r="G174" s="11" t="inlineStr">
        <is>
          <t>2.0</t>
        </is>
      </c>
      <c r="H174" s="11" t="inlineStr">
        <is>
          <t>3.0</t>
        </is>
      </c>
      <c r="I174" s="11" t="inlineStr">
        <is>
          <t>4.0</t>
        </is>
      </c>
      <c r="J174" s="11" t="inlineStr">
        <is>
          <t>5.0</t>
        </is>
      </c>
      <c r="K174" s="11" t="inlineStr">
        <is>
          <t>6</t>
        </is>
      </c>
      <c r="L174" s="11" t="inlineStr">
        <is>
          <t>7</t>
        </is>
      </c>
      <c r="M174" s="11" t="inlineStr">
        <is>
          <t>8</t>
        </is>
      </c>
      <c r="N174" s="11" t="inlineStr">
        <is>
          <t>9</t>
        </is>
      </c>
      <c r="O174" s="11" t="inlineStr">
        <is>
          <t>10</t>
        </is>
      </c>
      <c r="P174" s="11" t="inlineStr">
        <is>
          <t>11</t>
        </is>
      </c>
      <c r="Q174" s="11" t="inlineStr">
        <is>
          <t>12</t>
        </is>
      </c>
      <c r="R174" s="11" t="inlineStr">
        <is>
          <t>13</t>
        </is>
      </c>
      <c r="S174" s="11" t="inlineStr">
        <is>
          <t>14</t>
        </is>
      </c>
      <c r="T174" s="11" t="inlineStr">
        <is>
          <t>15</t>
        </is>
      </c>
      <c r="U174" s="11" t="inlineStr">
        <is>
          <t>16</t>
        </is>
      </c>
      <c r="V174" s="11" t="inlineStr">
        <is>
          <t>17</t>
        </is>
      </c>
      <c r="W174" s="11" t="inlineStr">
        <is>
          <t>18</t>
        </is>
      </c>
      <c r="X174" s="11" t="inlineStr">
        <is>
          <t>19</t>
        </is>
      </c>
      <c r="Y174" s="11" t="inlineStr">
        <is>
          <t>20</t>
        </is>
      </c>
      <c r="Z174" s="11" t="inlineStr">
        <is>
          <t>21</t>
        </is>
      </c>
      <c r="AA174" s="11" t="inlineStr">
        <is>
          <t>22</t>
        </is>
      </c>
      <c r="AB174" s="11" t="inlineStr">
        <is>
          <t>23</t>
        </is>
      </c>
      <c r="AC174" s="11" t="inlineStr">
        <is>
          <t>24</t>
        </is>
      </c>
      <c r="AD174" s="11" t="inlineStr">
        <is>
          <t>25</t>
        </is>
      </c>
      <c r="AE174" s="11" t="inlineStr">
        <is>
          <t>26</t>
        </is>
      </c>
      <c r="AF174" s="11" t="inlineStr">
        <is>
          <t>27</t>
        </is>
      </c>
      <c r="AG174" s="11" t="inlineStr">
        <is>
          <t>28</t>
        </is>
      </c>
      <c r="AH174" s="11" t="inlineStr">
        <is>
          <t>29</t>
        </is>
      </c>
      <c r="AI174" s="11" t="inlineStr">
        <is>
          <t>30</t>
        </is>
      </c>
    </row>
    <row r="175">
      <c r="A175" s="4" t="inlineStr">
        <is>
          <t>Студент1.1</t>
        </is>
      </c>
      <c r="B175" s="4" t="inlineStr"/>
      <c r="C175" s="4" t="n"/>
      <c r="D175" s="4" t="n"/>
      <c r="E175" s="4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</row>
    <row r="176">
      <c r="A176" s="4" t="inlineStr">
        <is>
          <t>Студент1.2</t>
        </is>
      </c>
      <c r="B176" s="4" t="inlineStr"/>
      <c r="C176" s="4" t="n"/>
      <c r="D176" s="4" t="n"/>
      <c r="E176" s="4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  <c r="AG176" s="15" t="n"/>
      <c r="AH176" s="15" t="n"/>
      <c r="AI176" s="15" t="n"/>
    </row>
    <row r="177">
      <c r="A177" s="4" t="inlineStr">
        <is>
          <t>Студент1.3</t>
        </is>
      </c>
      <c r="B177" s="4" t="inlineStr"/>
      <c r="C177" s="4" t="n"/>
      <c r="D177" s="4" t="n"/>
      <c r="E177" s="4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5" t="n"/>
    </row>
    <row r="178">
      <c r="A178" s="4" t="inlineStr">
        <is>
          <t>Студент1.4</t>
        </is>
      </c>
      <c r="B178" s="4" t="inlineStr"/>
      <c r="C178" s="4" t="n"/>
      <c r="D178" s="4" t="n"/>
      <c r="E178" s="4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  <c r="AG178" s="15" t="n"/>
      <c r="AH178" s="15" t="n"/>
      <c r="AI178" s="15" t="n"/>
    </row>
    <row r="179">
      <c r="A179" s="4" t="inlineStr">
        <is>
          <t>Студент1.5</t>
        </is>
      </c>
      <c r="B179" s="4" t="inlineStr"/>
      <c r="C179" s="4" t="n"/>
      <c r="D179" s="4" t="n"/>
      <c r="E179" s="4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  <c r="AG179" s="15" t="n"/>
      <c r="AH179" s="15" t="n"/>
      <c r="AI179" s="15" t="n"/>
    </row>
    <row r="180">
      <c r="A180" s="4" t="inlineStr">
        <is>
          <t>Студент1.6</t>
        </is>
      </c>
      <c r="B180" s="4" t="inlineStr"/>
      <c r="C180" s="4" t="n"/>
      <c r="D180" s="4" t="n"/>
      <c r="E180" s="4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  <c r="AH180" s="15" t="n"/>
      <c r="AI180" s="15" t="n"/>
    </row>
    <row r="181">
      <c r="A181" s="4" t="inlineStr">
        <is>
          <t>Студент1.7</t>
        </is>
      </c>
      <c r="B181" s="4" t="inlineStr"/>
      <c r="C181" s="4" t="n"/>
      <c r="D181" s="4" t="n"/>
      <c r="E181" s="4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  <c r="AG181" s="15" t="n"/>
      <c r="AH181" s="15" t="n"/>
      <c r="AI181" s="15" t="n"/>
    </row>
    <row r="182">
      <c r="A182" s="4" t="inlineStr">
        <is>
          <t>Студент1.8</t>
        </is>
      </c>
      <c r="B182" s="4" t="inlineStr"/>
      <c r="C182" s="4" t="n"/>
      <c r="D182" s="4" t="n"/>
      <c r="E182" s="4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  <c r="AH182" s="15" t="n"/>
      <c r="AI182" s="15" t="n"/>
    </row>
    <row r="183">
      <c r="A183" s="4" t="inlineStr">
        <is>
          <t>Студент1.9</t>
        </is>
      </c>
      <c r="B183" s="4" t="inlineStr"/>
      <c r="C183" s="4" t="n"/>
      <c r="D183" s="4" t="n"/>
      <c r="E183" s="4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  <c r="AG183" s="15" t="n"/>
      <c r="AH183" s="15" t="n"/>
      <c r="AI183" s="15" t="n"/>
    </row>
    <row r="184">
      <c r="A184" s="4" t="inlineStr">
        <is>
          <t>Студент1.10</t>
        </is>
      </c>
      <c r="B184" s="4" t="inlineStr"/>
      <c r="C184" s="4" t="n"/>
      <c r="D184" s="4" t="n"/>
      <c r="E184" s="4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  <c r="AG184" s="15" t="n"/>
      <c r="AH184" s="15" t="n"/>
      <c r="AI184" s="15" t="n"/>
    </row>
    <row r="185">
      <c r="A185" s="4" t="inlineStr">
        <is>
          <t>Студент1.11</t>
        </is>
      </c>
      <c r="B185" s="4" t="inlineStr"/>
      <c r="C185" s="4" t="n"/>
      <c r="D185" s="4" t="n"/>
      <c r="E185" s="4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  <c r="AG185" s="15" t="n"/>
      <c r="AH185" s="15" t="n"/>
      <c r="AI185" s="15" t="n"/>
    </row>
    <row r="186">
      <c r="A186" s="4" t="inlineStr">
        <is>
          <t>Студент1.12</t>
        </is>
      </c>
      <c r="B186" s="4" t="inlineStr"/>
      <c r="C186" s="4" t="n"/>
      <c r="D186" s="4" t="n"/>
      <c r="E186" s="4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  <c r="AG186" s="15" t="n"/>
      <c r="AH186" s="15" t="n"/>
      <c r="AI186" s="15" t="n"/>
    </row>
    <row r="187">
      <c r="A187" s="4" t="inlineStr">
        <is>
          <t>Студент1.13</t>
        </is>
      </c>
      <c r="B187" s="4" t="inlineStr"/>
      <c r="C187" s="4" t="n"/>
      <c r="D187" s="4" t="n"/>
      <c r="E187" s="4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  <c r="AH187" s="15" t="n"/>
      <c r="AI187" s="15" t="n"/>
    </row>
    <row r="188">
      <c r="A188" s="4" t="inlineStr">
        <is>
          <t>Студент1.14</t>
        </is>
      </c>
      <c r="B188" s="4" t="inlineStr"/>
      <c r="C188" s="4" t="n"/>
      <c r="D188" s="4" t="n"/>
      <c r="E188" s="4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  <c r="AH188" s="15" t="n"/>
      <c r="AI188" s="15" t="n"/>
    </row>
    <row r="189">
      <c r="A189" s="4" t="inlineStr">
        <is>
          <t>Студент1.15</t>
        </is>
      </c>
      <c r="B189" s="4" t="inlineStr"/>
      <c r="C189" s="4" t="n"/>
      <c r="D189" s="4" t="n"/>
      <c r="E189" s="4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5" t="n"/>
    </row>
    <row r="190">
      <c r="A190" s="4" t="inlineStr">
        <is>
          <t>Студент1.16</t>
        </is>
      </c>
      <c r="B190" s="4" t="inlineStr"/>
      <c r="C190" s="4" t="n"/>
      <c r="D190" s="4" t="n"/>
      <c r="E190" s="4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  <c r="AG190" s="15" t="n"/>
      <c r="AH190" s="15" t="n"/>
      <c r="AI190" s="15" t="n"/>
    </row>
    <row r="191">
      <c r="A191" s="4" t="inlineStr">
        <is>
          <t>Студент1.17</t>
        </is>
      </c>
      <c r="B191" s="4" t="inlineStr"/>
      <c r="C191" s="4" t="n"/>
      <c r="D191" s="4" t="n"/>
      <c r="E191" s="4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  <c r="AF191" s="15" t="n"/>
      <c r="AG191" s="15" t="n"/>
      <c r="AH191" s="15" t="n"/>
      <c r="AI191" s="15" t="n"/>
    </row>
    <row r="192">
      <c r="A192" s="4" t="inlineStr">
        <is>
          <t>Студент1.18</t>
        </is>
      </c>
      <c r="B192" s="4" t="inlineStr"/>
      <c r="C192" s="4" t="n"/>
      <c r="D192" s="4" t="n"/>
      <c r="E192" s="4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  <c r="AG192" s="15" t="n"/>
      <c r="AH192" s="15" t="n"/>
      <c r="AI192" s="15" t="n"/>
    </row>
    <row r="193">
      <c r="A193" s="4" t="inlineStr">
        <is>
          <t>Студент1.19</t>
        </is>
      </c>
      <c r="B193" s="4" t="inlineStr"/>
      <c r="C193" s="4" t="n"/>
      <c r="D193" s="4" t="n"/>
      <c r="E193" s="4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  <c r="AF193" s="15" t="n"/>
      <c r="AG193" s="15" t="n"/>
      <c r="AH193" s="15" t="n"/>
      <c r="AI193" s="15" t="n"/>
    </row>
    <row r="194">
      <c r="A194" s="4" t="inlineStr">
        <is>
          <t>Студент1.20</t>
        </is>
      </c>
      <c r="B194" s="4" t="inlineStr"/>
      <c r="C194" s="4" t="n"/>
      <c r="D194" s="4" t="n"/>
      <c r="E194" s="4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  <c r="AG194" s="15" t="n"/>
      <c r="AH194" s="15" t="n"/>
      <c r="AI194" s="15" t="n"/>
    </row>
    <row r="195">
      <c r="A195" s="4" t="inlineStr">
        <is>
          <t>Студент1.21</t>
        </is>
      </c>
      <c r="B195" s="4" t="inlineStr"/>
      <c r="C195" s="4" t="n"/>
      <c r="D195" s="4" t="n"/>
      <c r="E195" s="4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  <c r="AG195" s="15" t="n"/>
      <c r="AH195" s="15" t="n"/>
      <c r="AI195" s="15" t="n"/>
    </row>
    <row r="196">
      <c r="A196" s="4" t="inlineStr">
        <is>
          <t>Студент1.22</t>
        </is>
      </c>
      <c r="B196" s="4" t="inlineStr"/>
      <c r="C196" s="4" t="n"/>
      <c r="D196" s="4" t="n"/>
      <c r="E196" s="4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  <c r="AG196" s="15" t="n"/>
      <c r="AH196" s="15" t="n"/>
      <c r="AI196" s="15" t="n"/>
    </row>
    <row r="197">
      <c r="A197" s="4" t="inlineStr">
        <is>
          <t>Студент1.23</t>
        </is>
      </c>
      <c r="B197" s="4" t="inlineStr"/>
      <c r="C197" s="4" t="n"/>
      <c r="D197" s="4" t="n"/>
      <c r="E197" s="4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  <c r="AF197" s="15" t="n"/>
      <c r="AG197" s="15" t="n"/>
      <c r="AH197" s="15" t="n"/>
      <c r="AI197" s="15" t="n"/>
    </row>
    <row r="198">
      <c r="A198" s="4" t="inlineStr">
        <is>
          <t>Студент1.24</t>
        </is>
      </c>
      <c r="B198" s="4" t="inlineStr"/>
      <c r="C198" s="4" t="n"/>
      <c r="D198" s="4" t="n"/>
      <c r="E198" s="4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  <c r="AF198" s="15" t="n"/>
      <c r="AG198" s="15" t="n"/>
      <c r="AH198" s="15" t="n"/>
      <c r="AI198" s="15" t="n"/>
    </row>
    <row r="199">
      <c r="A199" s="4" t="inlineStr">
        <is>
          <t>Студент1.25</t>
        </is>
      </c>
      <c r="B199" s="4" t="inlineStr"/>
      <c r="C199" s="4" t="n"/>
      <c r="D199" s="4" t="n"/>
      <c r="E199" s="4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  <c r="AF199" s="15" t="n"/>
      <c r="AG199" s="15" t="n"/>
      <c r="AH199" s="15" t="n"/>
      <c r="AI199" s="15" t="n"/>
    </row>
    <row r="200">
      <c r="A200" s="4" t="inlineStr">
        <is>
          <t>Студент1.26</t>
        </is>
      </c>
      <c r="B200" s="4" t="inlineStr"/>
      <c r="C200" s="4" t="n"/>
      <c r="D200" s="4" t="n"/>
      <c r="E200" s="4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  <c r="AF200" s="15" t="n"/>
      <c r="AG200" s="15" t="n"/>
      <c r="AH200" s="15" t="n"/>
      <c r="AI200" s="15" t="n"/>
    </row>
    <row r="201">
      <c r="A201" s="4" t="inlineStr">
        <is>
          <t>Студент1.27</t>
        </is>
      </c>
      <c r="B201" s="4" t="inlineStr"/>
      <c r="C201" s="4" t="n"/>
      <c r="D201" s="4" t="n"/>
      <c r="E201" s="4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  <c r="AG201" s="15" t="n"/>
      <c r="AH201" s="15" t="n"/>
      <c r="AI201" s="15" t="n"/>
    </row>
    <row r="202">
      <c r="A202" s="4" t="inlineStr">
        <is>
          <t>Студент1.28</t>
        </is>
      </c>
      <c r="B202" s="4" t="inlineStr"/>
      <c r="C202" s="4" t="n"/>
      <c r="D202" s="4" t="n"/>
      <c r="E202" s="4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  <c r="AF202" s="15" t="n"/>
      <c r="AG202" s="15" t="n"/>
      <c r="AH202" s="15" t="n"/>
      <c r="AI202" s="15" t="n"/>
    </row>
    <row r="203">
      <c r="A203" s="4" t="inlineStr">
        <is>
          <t>Студент1.29</t>
        </is>
      </c>
      <c r="B203" s="4" t="inlineStr"/>
      <c r="C203" s="4" t="n"/>
      <c r="D203" s="4" t="n"/>
      <c r="E203" s="4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  <c r="AG203" s="15" t="n"/>
      <c r="AH203" s="15" t="n"/>
      <c r="AI203" s="15" t="n"/>
    </row>
    <row r="204">
      <c r="A204" s="4" t="inlineStr">
        <is>
          <t>Студент1.30</t>
        </is>
      </c>
      <c r="B204" s="4" t="inlineStr"/>
      <c r="C204" s="4" t="n"/>
      <c r="D204" s="4" t="n"/>
      <c r="E204" s="4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  <c r="AF204" s="15" t="n"/>
      <c r="AG204" s="15" t="n"/>
      <c r="AH204" s="15" t="n"/>
      <c r="AI204" s="15" t="n"/>
    </row>
    <row r="208">
      <c r="A208" s="13" t="inlineStr">
        <is>
          <t>Практика 4 — плюсы</t>
        </is>
      </c>
    </row>
    <row r="209" ht="28" customHeight="1">
      <c r="A209" s="7" t="inlineStr">
        <is>
          <t>Имя</t>
        </is>
      </c>
      <c r="B209" s="9" t="inlineStr">
        <is>
          <t>TG</t>
        </is>
      </c>
      <c r="C209" s="10" t="inlineStr">
        <is>
          <t>S</t>
        </is>
      </c>
      <c r="D209" s="8" t="inlineStr">
        <is>
          <t>Коэффициент</t>
        </is>
      </c>
      <c r="E209" s="14" t="inlineStr">
        <is>
          <t>D за практику</t>
        </is>
      </c>
      <c r="F209" s="11" t="inlineStr">
        <is>
          <t>1.0</t>
        </is>
      </c>
      <c r="G209" s="11" t="inlineStr">
        <is>
          <t>2.0</t>
        </is>
      </c>
      <c r="H209" s="11" t="inlineStr">
        <is>
          <t>3.0</t>
        </is>
      </c>
      <c r="I209" s="11" t="inlineStr">
        <is>
          <t>4.0</t>
        </is>
      </c>
      <c r="J209" s="11" t="inlineStr">
        <is>
          <t>5.0</t>
        </is>
      </c>
      <c r="K209" s="11" t="inlineStr">
        <is>
          <t>6</t>
        </is>
      </c>
      <c r="L209" s="11" t="inlineStr">
        <is>
          <t>7</t>
        </is>
      </c>
      <c r="M209" s="11" t="inlineStr">
        <is>
          <t>8</t>
        </is>
      </c>
      <c r="N209" s="11" t="inlineStr">
        <is>
          <t>9</t>
        </is>
      </c>
      <c r="O209" s="11" t="inlineStr">
        <is>
          <t>10</t>
        </is>
      </c>
      <c r="P209" s="11" t="inlineStr">
        <is>
          <t>11</t>
        </is>
      </c>
      <c r="Q209" s="11" t="inlineStr">
        <is>
          <t>12</t>
        </is>
      </c>
      <c r="R209" s="11" t="inlineStr">
        <is>
          <t>13</t>
        </is>
      </c>
      <c r="S209" s="11" t="inlineStr">
        <is>
          <t>14</t>
        </is>
      </c>
      <c r="T209" s="11" t="inlineStr">
        <is>
          <t>15</t>
        </is>
      </c>
      <c r="U209" s="11" t="inlineStr">
        <is>
          <t>16</t>
        </is>
      </c>
      <c r="V209" s="11" t="inlineStr">
        <is>
          <t>17</t>
        </is>
      </c>
      <c r="W209" s="11" t="inlineStr">
        <is>
          <t>18</t>
        </is>
      </c>
      <c r="X209" s="11" t="inlineStr">
        <is>
          <t>19</t>
        </is>
      </c>
      <c r="Y209" s="11" t="inlineStr">
        <is>
          <t>20</t>
        </is>
      </c>
      <c r="Z209" s="11" t="inlineStr">
        <is>
          <t>21</t>
        </is>
      </c>
      <c r="AA209" s="11" t="inlineStr">
        <is>
          <t>22</t>
        </is>
      </c>
      <c r="AB209" s="11" t="inlineStr">
        <is>
          <t>23</t>
        </is>
      </c>
      <c r="AC209" s="11" t="inlineStr">
        <is>
          <t>24</t>
        </is>
      </c>
      <c r="AD209" s="11" t="inlineStr">
        <is>
          <t>25</t>
        </is>
      </c>
      <c r="AE209" s="11" t="inlineStr">
        <is>
          <t>26</t>
        </is>
      </c>
      <c r="AF209" s="11" t="inlineStr">
        <is>
          <t>27</t>
        </is>
      </c>
      <c r="AG209" s="11" t="inlineStr">
        <is>
          <t>28</t>
        </is>
      </c>
      <c r="AH209" s="11" t="inlineStr">
        <is>
          <t>29</t>
        </is>
      </c>
      <c r="AI209" s="11" t="inlineStr">
        <is>
          <t>30</t>
        </is>
      </c>
    </row>
    <row r="210">
      <c r="A210" s="4" t="inlineStr">
        <is>
          <t>Студент1.1</t>
        </is>
      </c>
      <c r="B210" s="4" t="inlineStr"/>
      <c r="C210" s="4">
        <f>IF(A210="","",COUNTIF(F210:AI210,"+")+COUNTIF(F210:AI210,"1"))</f>
        <v/>
      </c>
      <c r="D210" s="4">
        <f>IF(A210="","",IF(C210&gt;2*COUNTA(F$209:AI$209)/3,1,IF(C210&gt;=COUNTA(F$209:AI$209)/2,0.8,0.5)))</f>
        <v/>
      </c>
      <c r="E210" s="4">
        <f>IF(A210="","",SUMIFS('Логи'!$H$4:$H$3006,'Логи'!$A$4:$A$3006,A210,'Логи'!$C$4:$C$3006,4))</f>
        <v/>
      </c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  <c r="AF210" s="15" t="n"/>
      <c r="AG210" s="15" t="n"/>
      <c r="AH210" s="15" t="n"/>
      <c r="AI210" s="15" t="n"/>
    </row>
    <row r="211">
      <c r="A211" s="4" t="inlineStr">
        <is>
          <t>Студент1.2</t>
        </is>
      </c>
      <c r="B211" s="4" t="inlineStr"/>
      <c r="C211" s="4">
        <f>IF(A211="","",COUNTIF(F211:AI211,"+")+COUNTIF(F211:AI211,"1"))</f>
        <v/>
      </c>
      <c r="D211" s="4">
        <f>IF(A211="","",IF(C211&gt;2*COUNTA(F$209:AI$209)/3,1,IF(C211&gt;=COUNTA(F$209:AI$209)/2,0.8,0.5)))</f>
        <v/>
      </c>
      <c r="E211" s="4">
        <f>IF(A211="","",SUMIFS('Логи'!$H$4:$H$3006,'Логи'!$A$4:$A$3006,A211,'Логи'!$C$4:$C$3006,4))</f>
        <v/>
      </c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  <c r="AF211" s="15" t="n"/>
      <c r="AG211" s="15" t="n"/>
      <c r="AH211" s="15" t="n"/>
      <c r="AI211" s="15" t="n"/>
    </row>
    <row r="212">
      <c r="A212" s="4" t="inlineStr">
        <is>
          <t>Студент1.3</t>
        </is>
      </c>
      <c r="B212" s="4" t="inlineStr"/>
      <c r="C212" s="4">
        <f>IF(A212="","",COUNTIF(F212:AI212,"+")+COUNTIF(F212:AI212,"1"))</f>
        <v/>
      </c>
      <c r="D212" s="4">
        <f>IF(A212="","",IF(C212&gt;2*COUNTA(F$209:AI$209)/3,1,IF(C212&gt;=COUNTA(F$209:AI$209)/2,0.8,0.5)))</f>
        <v/>
      </c>
      <c r="E212" s="4">
        <f>IF(A212="","",SUMIFS('Логи'!$H$4:$H$3006,'Логи'!$A$4:$A$3006,A212,'Логи'!$C$4:$C$3006,4))</f>
        <v/>
      </c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  <c r="AF212" s="15" t="n"/>
      <c r="AG212" s="15" t="n"/>
      <c r="AH212" s="15" t="n"/>
      <c r="AI212" s="15" t="n"/>
    </row>
    <row r="213">
      <c r="A213" s="4" t="inlineStr">
        <is>
          <t>Студент1.4</t>
        </is>
      </c>
      <c r="B213" s="4" t="inlineStr"/>
      <c r="C213" s="4">
        <f>IF(A213="","",COUNTIF(F213:AI213,"+")+COUNTIF(F213:AI213,"1"))</f>
        <v/>
      </c>
      <c r="D213" s="4">
        <f>IF(A213="","",IF(C213&gt;2*COUNTA(F$209:AI$209)/3,1,IF(C213&gt;=COUNTA(F$209:AI$209)/2,0.8,0.5)))</f>
        <v/>
      </c>
      <c r="E213" s="4">
        <f>IF(A213="","",SUMIFS('Логи'!$H$4:$H$3006,'Логи'!$A$4:$A$3006,A213,'Логи'!$C$4:$C$3006,4))</f>
        <v/>
      </c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  <c r="AF213" s="15" t="n"/>
      <c r="AG213" s="15" t="n"/>
      <c r="AH213" s="15" t="n"/>
      <c r="AI213" s="15" t="n"/>
    </row>
    <row r="214">
      <c r="A214" s="4" t="inlineStr">
        <is>
          <t>Студент1.5</t>
        </is>
      </c>
      <c r="B214" s="4" t="inlineStr"/>
      <c r="C214" s="4">
        <f>IF(A214="","",COUNTIF(F214:AI214,"+")+COUNTIF(F214:AI214,"1"))</f>
        <v/>
      </c>
      <c r="D214" s="4">
        <f>IF(A214="","",IF(C214&gt;2*COUNTA(F$209:AI$209)/3,1,IF(C214&gt;=COUNTA(F$209:AI$209)/2,0.8,0.5)))</f>
        <v/>
      </c>
      <c r="E214" s="4">
        <f>IF(A214="","",SUMIFS('Логи'!$H$4:$H$3006,'Логи'!$A$4:$A$3006,A214,'Логи'!$C$4:$C$3006,4))</f>
        <v/>
      </c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  <c r="AF214" s="15" t="n"/>
      <c r="AG214" s="15" t="n"/>
      <c r="AH214" s="15" t="n"/>
      <c r="AI214" s="15" t="n"/>
    </row>
    <row r="215">
      <c r="A215" s="4" t="inlineStr">
        <is>
          <t>Студент1.6</t>
        </is>
      </c>
      <c r="B215" s="4" t="inlineStr"/>
      <c r="C215" s="4">
        <f>IF(A215="","",COUNTIF(F215:AI215,"+")+COUNTIF(F215:AI215,"1"))</f>
        <v/>
      </c>
      <c r="D215" s="4">
        <f>IF(A215="","",IF(C215&gt;2*COUNTA(F$209:AI$209)/3,1,IF(C215&gt;=COUNTA(F$209:AI$209)/2,0.8,0.5)))</f>
        <v/>
      </c>
      <c r="E215" s="4">
        <f>IF(A215="","",SUMIFS('Логи'!$H$4:$H$3006,'Логи'!$A$4:$A$3006,A215,'Логи'!$C$4:$C$3006,4))</f>
        <v/>
      </c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  <c r="AG215" s="15" t="n"/>
      <c r="AH215" s="15" t="n"/>
      <c r="AI215" s="15" t="n"/>
    </row>
    <row r="216">
      <c r="A216" s="4" t="inlineStr">
        <is>
          <t>Студент1.7</t>
        </is>
      </c>
      <c r="B216" s="4" t="inlineStr"/>
      <c r="C216" s="4">
        <f>IF(A216="","",COUNTIF(F216:AI216,"+")+COUNTIF(F216:AI216,"1"))</f>
        <v/>
      </c>
      <c r="D216" s="4">
        <f>IF(A216="","",IF(C216&gt;2*COUNTA(F$209:AI$209)/3,1,IF(C216&gt;=COUNTA(F$209:AI$209)/2,0.8,0.5)))</f>
        <v/>
      </c>
      <c r="E216" s="4">
        <f>IF(A216="","",SUMIFS('Логи'!$H$4:$H$3006,'Логи'!$A$4:$A$3006,A216,'Логи'!$C$4:$C$3006,4))</f>
        <v/>
      </c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  <c r="AG216" s="15" t="n"/>
      <c r="AH216" s="15" t="n"/>
      <c r="AI216" s="15" t="n"/>
    </row>
    <row r="217">
      <c r="A217" s="4" t="inlineStr">
        <is>
          <t>Студент1.8</t>
        </is>
      </c>
      <c r="B217" s="4" t="inlineStr"/>
      <c r="C217" s="4">
        <f>IF(A217="","",COUNTIF(F217:AI217,"+")+COUNTIF(F217:AI217,"1"))</f>
        <v/>
      </c>
      <c r="D217" s="4">
        <f>IF(A217="","",IF(C217&gt;2*COUNTA(F$209:AI$209)/3,1,IF(C217&gt;=COUNTA(F$209:AI$209)/2,0.8,0.5)))</f>
        <v/>
      </c>
      <c r="E217" s="4">
        <f>IF(A217="","",SUMIFS('Логи'!$H$4:$H$3006,'Логи'!$A$4:$A$3006,A217,'Логи'!$C$4:$C$3006,4))</f>
        <v/>
      </c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</row>
    <row r="218">
      <c r="A218" s="4" t="inlineStr">
        <is>
          <t>Студент1.9</t>
        </is>
      </c>
      <c r="B218" s="4" t="inlineStr"/>
      <c r="C218" s="4">
        <f>IF(A218="","",COUNTIF(F218:AI218,"+")+COUNTIF(F218:AI218,"1"))</f>
        <v/>
      </c>
      <c r="D218" s="4">
        <f>IF(A218="","",IF(C218&gt;2*COUNTA(F$209:AI$209)/3,1,IF(C218&gt;=COUNTA(F$209:AI$209)/2,0.8,0.5)))</f>
        <v/>
      </c>
      <c r="E218" s="4">
        <f>IF(A218="","",SUMIFS('Логи'!$H$4:$H$3006,'Логи'!$A$4:$A$3006,A218,'Логи'!$C$4:$C$3006,4))</f>
        <v/>
      </c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  <c r="AG218" s="15" t="n"/>
      <c r="AH218" s="15" t="n"/>
      <c r="AI218" s="15" t="n"/>
    </row>
    <row r="219">
      <c r="A219" s="4" t="inlineStr">
        <is>
          <t>Студент1.10</t>
        </is>
      </c>
      <c r="B219" s="4" t="inlineStr"/>
      <c r="C219" s="4">
        <f>IF(A219="","",COUNTIF(F219:AI219,"+")+COUNTIF(F219:AI219,"1"))</f>
        <v/>
      </c>
      <c r="D219" s="4">
        <f>IF(A219="","",IF(C219&gt;2*COUNTA(F$209:AI$209)/3,1,IF(C219&gt;=COUNTA(F$209:AI$209)/2,0.8,0.5)))</f>
        <v/>
      </c>
      <c r="E219" s="4">
        <f>IF(A219="","",SUMIFS('Логи'!$H$4:$H$3006,'Логи'!$A$4:$A$3006,A219,'Логи'!$C$4:$C$3006,4))</f>
        <v/>
      </c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  <c r="AG219" s="15" t="n"/>
      <c r="AH219" s="15" t="n"/>
      <c r="AI219" s="15" t="n"/>
    </row>
    <row r="220">
      <c r="A220" s="4" t="inlineStr">
        <is>
          <t>Студент1.11</t>
        </is>
      </c>
      <c r="B220" s="4" t="inlineStr"/>
      <c r="C220" s="4">
        <f>IF(A220="","",COUNTIF(F220:AI220,"+")+COUNTIF(F220:AI220,"1"))</f>
        <v/>
      </c>
      <c r="D220" s="4">
        <f>IF(A220="","",IF(C220&gt;2*COUNTA(F$209:AI$209)/3,1,IF(C220&gt;=COUNTA(F$209:AI$209)/2,0.8,0.5)))</f>
        <v/>
      </c>
      <c r="E220" s="4">
        <f>IF(A220="","",SUMIFS('Логи'!$H$4:$H$3006,'Логи'!$A$4:$A$3006,A220,'Логи'!$C$4:$C$3006,4))</f>
        <v/>
      </c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  <c r="AG220" s="15" t="n"/>
      <c r="AH220" s="15" t="n"/>
      <c r="AI220" s="15" t="n"/>
    </row>
    <row r="221">
      <c r="A221" s="4" t="inlineStr">
        <is>
          <t>Студент1.12</t>
        </is>
      </c>
      <c r="B221" s="4" t="inlineStr"/>
      <c r="C221" s="4">
        <f>IF(A221="","",COUNTIF(F221:AI221,"+")+COUNTIF(F221:AI221,"1"))</f>
        <v/>
      </c>
      <c r="D221" s="4">
        <f>IF(A221="","",IF(C221&gt;2*COUNTA(F$209:AI$209)/3,1,IF(C221&gt;=COUNTA(F$209:AI$209)/2,0.8,0.5)))</f>
        <v/>
      </c>
      <c r="E221" s="4">
        <f>IF(A221="","",SUMIFS('Логи'!$H$4:$H$3006,'Логи'!$A$4:$A$3006,A221,'Логи'!$C$4:$C$3006,4))</f>
        <v/>
      </c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  <c r="AG221" s="15" t="n"/>
      <c r="AH221" s="15" t="n"/>
      <c r="AI221" s="15" t="n"/>
    </row>
    <row r="222">
      <c r="A222" s="4" t="inlineStr">
        <is>
          <t>Студент1.13</t>
        </is>
      </c>
      <c r="B222" s="4" t="inlineStr"/>
      <c r="C222" s="4">
        <f>IF(A222="","",COUNTIF(F222:AI222,"+")+COUNTIF(F222:AI222,"1"))</f>
        <v/>
      </c>
      <c r="D222" s="4">
        <f>IF(A222="","",IF(C222&gt;2*COUNTA(F$209:AI$209)/3,1,IF(C222&gt;=COUNTA(F$209:AI$209)/2,0.8,0.5)))</f>
        <v/>
      </c>
      <c r="E222" s="4">
        <f>IF(A222="","",SUMIFS('Логи'!$H$4:$H$3006,'Логи'!$A$4:$A$3006,A222,'Логи'!$C$4:$C$3006,4))</f>
        <v/>
      </c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  <c r="AG222" s="15" t="n"/>
      <c r="AH222" s="15" t="n"/>
      <c r="AI222" s="15" t="n"/>
    </row>
    <row r="223">
      <c r="A223" s="4" t="inlineStr">
        <is>
          <t>Студент1.14</t>
        </is>
      </c>
      <c r="B223" s="4" t="inlineStr"/>
      <c r="C223" s="4">
        <f>IF(A223="","",COUNTIF(F223:AI223,"+")+COUNTIF(F223:AI223,"1"))</f>
        <v/>
      </c>
      <c r="D223" s="4">
        <f>IF(A223="","",IF(C223&gt;2*COUNTA(F$209:AI$209)/3,1,IF(C223&gt;=COUNTA(F$209:AI$209)/2,0.8,0.5)))</f>
        <v/>
      </c>
      <c r="E223" s="4">
        <f>IF(A223="","",SUMIFS('Логи'!$H$4:$H$3006,'Логи'!$A$4:$A$3006,A223,'Логи'!$C$4:$C$3006,4))</f>
        <v/>
      </c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  <c r="AG223" s="15" t="n"/>
      <c r="AH223" s="15" t="n"/>
      <c r="AI223" s="15" t="n"/>
    </row>
    <row r="224">
      <c r="A224" s="4" t="inlineStr">
        <is>
          <t>Студент1.15</t>
        </is>
      </c>
      <c r="B224" s="4" t="inlineStr"/>
      <c r="C224" s="4">
        <f>IF(A224="","",COUNTIF(F224:AI224,"+")+COUNTIF(F224:AI224,"1"))</f>
        <v/>
      </c>
      <c r="D224" s="4">
        <f>IF(A224="","",IF(C224&gt;2*COUNTA(F$209:AI$209)/3,1,IF(C224&gt;=COUNTA(F$209:AI$209)/2,0.8,0.5)))</f>
        <v/>
      </c>
      <c r="E224" s="4">
        <f>IF(A224="","",SUMIFS('Логи'!$H$4:$H$3006,'Логи'!$A$4:$A$3006,A224,'Логи'!$C$4:$C$3006,4))</f>
        <v/>
      </c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  <c r="AG224" s="15" t="n"/>
      <c r="AH224" s="15" t="n"/>
      <c r="AI224" s="15" t="n"/>
    </row>
    <row r="225">
      <c r="A225" s="4" t="inlineStr">
        <is>
          <t>Студент1.16</t>
        </is>
      </c>
      <c r="B225" s="4" t="inlineStr"/>
      <c r="C225" s="4">
        <f>IF(A225="","",COUNTIF(F225:AI225,"+")+COUNTIF(F225:AI225,"1"))</f>
        <v/>
      </c>
      <c r="D225" s="4">
        <f>IF(A225="","",IF(C225&gt;2*COUNTA(F$209:AI$209)/3,1,IF(C225&gt;=COUNTA(F$209:AI$209)/2,0.8,0.5)))</f>
        <v/>
      </c>
      <c r="E225" s="4">
        <f>IF(A225="","",SUMIFS('Логи'!$H$4:$H$3006,'Логи'!$A$4:$A$3006,A225,'Логи'!$C$4:$C$3006,4))</f>
        <v/>
      </c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  <c r="AG225" s="15" t="n"/>
      <c r="AH225" s="15" t="n"/>
      <c r="AI225" s="15" t="n"/>
    </row>
    <row r="226">
      <c r="A226" s="4" t="inlineStr">
        <is>
          <t>Студент1.17</t>
        </is>
      </c>
      <c r="B226" s="4" t="inlineStr"/>
      <c r="C226" s="4">
        <f>IF(A226="","",COUNTIF(F226:AI226,"+")+COUNTIF(F226:AI226,"1"))</f>
        <v/>
      </c>
      <c r="D226" s="4">
        <f>IF(A226="","",IF(C226&gt;2*COUNTA(F$209:AI$209)/3,1,IF(C226&gt;=COUNTA(F$209:AI$209)/2,0.8,0.5)))</f>
        <v/>
      </c>
      <c r="E226" s="4">
        <f>IF(A226="","",SUMIFS('Логи'!$H$4:$H$3006,'Логи'!$A$4:$A$3006,A226,'Логи'!$C$4:$C$3006,4))</f>
        <v/>
      </c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  <c r="AG226" s="15" t="n"/>
      <c r="AH226" s="15" t="n"/>
      <c r="AI226" s="15" t="n"/>
    </row>
    <row r="227">
      <c r="A227" s="4" t="inlineStr">
        <is>
          <t>Студент1.18</t>
        </is>
      </c>
      <c r="B227" s="4" t="inlineStr"/>
      <c r="C227" s="4">
        <f>IF(A227="","",COUNTIF(F227:AI227,"+")+COUNTIF(F227:AI227,"1"))</f>
        <v/>
      </c>
      <c r="D227" s="4">
        <f>IF(A227="","",IF(C227&gt;2*COUNTA(F$209:AI$209)/3,1,IF(C227&gt;=COUNTA(F$209:AI$209)/2,0.8,0.5)))</f>
        <v/>
      </c>
      <c r="E227" s="4">
        <f>IF(A227="","",SUMIFS('Логи'!$H$4:$H$3006,'Логи'!$A$4:$A$3006,A227,'Логи'!$C$4:$C$3006,4))</f>
        <v/>
      </c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  <c r="AG227" s="15" t="n"/>
      <c r="AH227" s="15" t="n"/>
      <c r="AI227" s="15" t="n"/>
    </row>
    <row r="228">
      <c r="A228" s="4" t="inlineStr">
        <is>
          <t>Студент1.19</t>
        </is>
      </c>
      <c r="B228" s="4" t="inlineStr"/>
      <c r="C228" s="4">
        <f>IF(A228="","",COUNTIF(F228:AI228,"+")+COUNTIF(F228:AI228,"1"))</f>
        <v/>
      </c>
      <c r="D228" s="4">
        <f>IF(A228="","",IF(C228&gt;2*COUNTA(F$209:AI$209)/3,1,IF(C228&gt;=COUNTA(F$209:AI$209)/2,0.8,0.5)))</f>
        <v/>
      </c>
      <c r="E228" s="4">
        <f>IF(A228="","",SUMIFS('Логи'!$H$4:$H$3006,'Логи'!$A$4:$A$3006,A228,'Логи'!$C$4:$C$3006,4))</f>
        <v/>
      </c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  <c r="AG228" s="15" t="n"/>
      <c r="AH228" s="15" t="n"/>
      <c r="AI228" s="15" t="n"/>
    </row>
    <row r="229">
      <c r="A229" s="4" t="inlineStr">
        <is>
          <t>Студент1.20</t>
        </is>
      </c>
      <c r="B229" s="4" t="inlineStr"/>
      <c r="C229" s="4">
        <f>IF(A229="","",COUNTIF(F229:AI229,"+")+COUNTIF(F229:AI229,"1"))</f>
        <v/>
      </c>
      <c r="D229" s="4">
        <f>IF(A229="","",IF(C229&gt;2*COUNTA(F$209:AI$209)/3,1,IF(C229&gt;=COUNTA(F$209:AI$209)/2,0.8,0.5)))</f>
        <v/>
      </c>
      <c r="E229" s="4">
        <f>IF(A229="","",SUMIFS('Логи'!$H$4:$H$3006,'Логи'!$A$4:$A$3006,A229,'Логи'!$C$4:$C$3006,4))</f>
        <v/>
      </c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</row>
    <row r="230">
      <c r="A230" s="4" t="inlineStr">
        <is>
          <t>Студент1.21</t>
        </is>
      </c>
      <c r="B230" s="4" t="inlineStr"/>
      <c r="C230" s="4">
        <f>IF(A230="","",COUNTIF(F230:AI230,"+")+COUNTIF(F230:AI230,"1"))</f>
        <v/>
      </c>
      <c r="D230" s="4">
        <f>IF(A230="","",IF(C230&gt;2*COUNTA(F$209:AI$209)/3,1,IF(C230&gt;=COUNTA(F$209:AI$209)/2,0.8,0.5)))</f>
        <v/>
      </c>
      <c r="E230" s="4">
        <f>IF(A230="","",SUMIFS('Логи'!$H$4:$H$3006,'Логи'!$A$4:$A$3006,A230,'Логи'!$C$4:$C$3006,4))</f>
        <v/>
      </c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  <c r="AG230" s="15" t="n"/>
      <c r="AH230" s="15" t="n"/>
      <c r="AI230" s="15" t="n"/>
    </row>
    <row r="231">
      <c r="A231" s="4" t="inlineStr">
        <is>
          <t>Студент1.22</t>
        </is>
      </c>
      <c r="B231" s="4" t="inlineStr"/>
      <c r="C231" s="4">
        <f>IF(A231="","",COUNTIF(F231:AI231,"+")+COUNTIF(F231:AI231,"1"))</f>
        <v/>
      </c>
      <c r="D231" s="4">
        <f>IF(A231="","",IF(C231&gt;2*COUNTA(F$209:AI$209)/3,1,IF(C231&gt;=COUNTA(F$209:AI$209)/2,0.8,0.5)))</f>
        <v/>
      </c>
      <c r="E231" s="4">
        <f>IF(A231="","",SUMIFS('Логи'!$H$4:$H$3006,'Логи'!$A$4:$A$3006,A231,'Логи'!$C$4:$C$3006,4))</f>
        <v/>
      </c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</row>
    <row r="232">
      <c r="A232" s="4" t="inlineStr">
        <is>
          <t>Студент1.23</t>
        </is>
      </c>
      <c r="B232" s="4" t="inlineStr"/>
      <c r="C232" s="4">
        <f>IF(A232="","",COUNTIF(F232:AI232,"+")+COUNTIF(F232:AI232,"1"))</f>
        <v/>
      </c>
      <c r="D232" s="4">
        <f>IF(A232="","",IF(C232&gt;2*COUNTA(F$209:AI$209)/3,1,IF(C232&gt;=COUNTA(F$209:AI$209)/2,0.8,0.5)))</f>
        <v/>
      </c>
      <c r="E232" s="4">
        <f>IF(A232="","",SUMIFS('Логи'!$H$4:$H$3006,'Логи'!$A$4:$A$3006,A232,'Логи'!$C$4:$C$3006,4))</f>
        <v/>
      </c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  <c r="AG232" s="15" t="n"/>
      <c r="AH232" s="15" t="n"/>
      <c r="AI232" s="15" t="n"/>
    </row>
    <row r="233">
      <c r="A233" s="4" t="inlineStr">
        <is>
          <t>Студент1.24</t>
        </is>
      </c>
      <c r="B233" s="4" t="inlineStr"/>
      <c r="C233" s="4">
        <f>IF(A233="","",COUNTIF(F233:AI233,"+")+COUNTIF(F233:AI233,"1"))</f>
        <v/>
      </c>
      <c r="D233" s="4">
        <f>IF(A233="","",IF(C233&gt;2*COUNTA(F$209:AI$209)/3,1,IF(C233&gt;=COUNTA(F$209:AI$209)/2,0.8,0.5)))</f>
        <v/>
      </c>
      <c r="E233" s="4">
        <f>IF(A233="","",SUMIFS('Логи'!$H$4:$H$3006,'Логи'!$A$4:$A$3006,A233,'Логи'!$C$4:$C$3006,4))</f>
        <v/>
      </c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  <c r="AG233" s="15" t="n"/>
      <c r="AH233" s="15" t="n"/>
      <c r="AI233" s="15" t="n"/>
    </row>
    <row r="234">
      <c r="A234" s="4" t="inlineStr">
        <is>
          <t>Студент1.25</t>
        </is>
      </c>
      <c r="B234" s="4" t="inlineStr"/>
      <c r="C234" s="4">
        <f>IF(A234="","",COUNTIF(F234:AI234,"+")+COUNTIF(F234:AI234,"1"))</f>
        <v/>
      </c>
      <c r="D234" s="4">
        <f>IF(A234="","",IF(C234&gt;2*COUNTA(F$209:AI$209)/3,1,IF(C234&gt;=COUNTA(F$209:AI$209)/2,0.8,0.5)))</f>
        <v/>
      </c>
      <c r="E234" s="4">
        <f>IF(A234="","",SUMIFS('Логи'!$H$4:$H$3006,'Логи'!$A$4:$A$3006,A234,'Логи'!$C$4:$C$3006,4))</f>
        <v/>
      </c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  <c r="AG234" s="15" t="n"/>
      <c r="AH234" s="15" t="n"/>
      <c r="AI234" s="15" t="n"/>
    </row>
    <row r="235">
      <c r="A235" s="4" t="inlineStr">
        <is>
          <t>Студент1.26</t>
        </is>
      </c>
      <c r="B235" s="4" t="inlineStr"/>
      <c r="C235" s="4">
        <f>IF(A235="","",COUNTIF(F235:AI235,"+")+COUNTIF(F235:AI235,"1"))</f>
        <v/>
      </c>
      <c r="D235" s="4">
        <f>IF(A235="","",IF(C235&gt;2*COUNTA(F$209:AI$209)/3,1,IF(C235&gt;=COUNTA(F$209:AI$209)/2,0.8,0.5)))</f>
        <v/>
      </c>
      <c r="E235" s="4">
        <f>IF(A235="","",SUMIFS('Логи'!$H$4:$H$3006,'Логи'!$A$4:$A$3006,A235,'Логи'!$C$4:$C$3006,4))</f>
        <v/>
      </c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  <c r="AG235" s="15" t="n"/>
      <c r="AH235" s="15" t="n"/>
      <c r="AI235" s="15" t="n"/>
    </row>
    <row r="236">
      <c r="A236" s="4" t="inlineStr">
        <is>
          <t>Студент1.27</t>
        </is>
      </c>
      <c r="B236" s="4" t="inlineStr"/>
      <c r="C236" s="4">
        <f>IF(A236="","",COUNTIF(F236:AI236,"+")+COUNTIF(F236:AI236,"1"))</f>
        <v/>
      </c>
      <c r="D236" s="4">
        <f>IF(A236="","",IF(C236&gt;2*COUNTA(F$209:AI$209)/3,1,IF(C236&gt;=COUNTA(F$209:AI$209)/2,0.8,0.5)))</f>
        <v/>
      </c>
      <c r="E236" s="4">
        <f>IF(A236="","",SUMIFS('Логи'!$H$4:$H$3006,'Логи'!$A$4:$A$3006,A236,'Логи'!$C$4:$C$3006,4))</f>
        <v/>
      </c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  <c r="AG236" s="15" t="n"/>
      <c r="AH236" s="15" t="n"/>
      <c r="AI236" s="15" t="n"/>
    </row>
    <row r="237">
      <c r="A237" s="4" t="inlineStr">
        <is>
          <t>Студент1.28</t>
        </is>
      </c>
      <c r="B237" s="4" t="inlineStr"/>
      <c r="C237" s="4">
        <f>IF(A237="","",COUNTIF(F237:AI237,"+")+COUNTIF(F237:AI237,"1"))</f>
        <v/>
      </c>
      <c r="D237" s="4">
        <f>IF(A237="","",IF(C237&gt;2*COUNTA(F$209:AI$209)/3,1,IF(C237&gt;=COUNTA(F$209:AI$209)/2,0.8,0.5)))</f>
        <v/>
      </c>
      <c r="E237" s="4">
        <f>IF(A237="","",SUMIFS('Логи'!$H$4:$H$3006,'Логи'!$A$4:$A$3006,A237,'Логи'!$C$4:$C$3006,4))</f>
        <v/>
      </c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  <c r="AG237" s="15" t="n"/>
      <c r="AH237" s="15" t="n"/>
      <c r="AI237" s="15" t="n"/>
    </row>
    <row r="238">
      <c r="A238" s="4" t="inlineStr">
        <is>
          <t>Студент1.29</t>
        </is>
      </c>
      <c r="B238" s="4" t="inlineStr"/>
      <c r="C238" s="4">
        <f>IF(A238="","",COUNTIF(F238:AI238,"+")+COUNTIF(F238:AI238,"1"))</f>
        <v/>
      </c>
      <c r="D238" s="4">
        <f>IF(A238="","",IF(C238&gt;2*COUNTA(F$209:AI$209)/3,1,IF(C238&gt;=COUNTA(F$209:AI$209)/2,0.8,0.5)))</f>
        <v/>
      </c>
      <c r="E238" s="4">
        <f>IF(A238="","",SUMIFS('Логи'!$H$4:$H$3006,'Логи'!$A$4:$A$3006,A238,'Логи'!$C$4:$C$3006,4))</f>
        <v/>
      </c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  <c r="AG238" s="15" t="n"/>
      <c r="AH238" s="15" t="n"/>
      <c r="AI238" s="15" t="n"/>
    </row>
    <row r="239">
      <c r="A239" s="4" t="inlineStr">
        <is>
          <t>Студент1.30</t>
        </is>
      </c>
      <c r="B239" s="4" t="inlineStr"/>
      <c r="C239" s="4">
        <f>IF(A239="","",COUNTIF(F239:AI239,"+")+COUNTIF(F239:AI239,"1"))</f>
        <v/>
      </c>
      <c r="D239" s="4">
        <f>IF(A239="","",IF(C239&gt;2*COUNTA(F$209:AI$209)/3,1,IF(C239&gt;=COUNTA(F$209:AI$209)/2,0.8,0.5)))</f>
        <v/>
      </c>
      <c r="E239" s="4">
        <f>IF(A239="","",SUMIFS('Логи'!$H$4:$H$3006,'Логи'!$A$4:$A$3006,A239,'Логи'!$C$4:$C$3006,4))</f>
        <v/>
      </c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  <c r="AF239" s="15" t="n"/>
      <c r="AG239" s="15" t="n"/>
      <c r="AH239" s="15" t="n"/>
      <c r="AI239" s="15" t="n"/>
    </row>
    <row r="241">
      <c r="A241" s="16" t="inlineStr">
        <is>
          <t>Практика 4 — результаты рассказа</t>
        </is>
      </c>
    </row>
    <row r="242" ht="28" customHeight="1">
      <c r="A242" s="7" t="inlineStr">
        <is>
          <t>Имя</t>
        </is>
      </c>
      <c r="B242" s="9" t="inlineStr">
        <is>
          <t>TG</t>
        </is>
      </c>
      <c r="C242" s="10" t="inlineStr"/>
      <c r="D242" s="2" t="inlineStr"/>
      <c r="E242" s="2" t="inlineStr"/>
      <c r="F242" s="11" t="inlineStr">
        <is>
          <t>1.0</t>
        </is>
      </c>
      <c r="G242" s="11" t="inlineStr">
        <is>
          <t>2.0</t>
        </is>
      </c>
      <c r="H242" s="11" t="inlineStr">
        <is>
          <t>3.0</t>
        </is>
      </c>
      <c r="I242" s="11" t="inlineStr">
        <is>
          <t>4.0</t>
        </is>
      </c>
      <c r="J242" s="11" t="inlineStr">
        <is>
          <t>5.0</t>
        </is>
      </c>
      <c r="K242" s="11" t="inlineStr">
        <is>
          <t>6</t>
        </is>
      </c>
      <c r="L242" s="11" t="inlineStr">
        <is>
          <t>7</t>
        </is>
      </c>
      <c r="M242" s="11" t="inlineStr">
        <is>
          <t>8</t>
        </is>
      </c>
      <c r="N242" s="11" t="inlineStr">
        <is>
          <t>9</t>
        </is>
      </c>
      <c r="O242" s="11" t="inlineStr">
        <is>
          <t>10</t>
        </is>
      </c>
      <c r="P242" s="11" t="inlineStr">
        <is>
          <t>11</t>
        </is>
      </c>
      <c r="Q242" s="11" t="inlineStr">
        <is>
          <t>12</t>
        </is>
      </c>
      <c r="R242" s="11" t="inlineStr">
        <is>
          <t>13</t>
        </is>
      </c>
      <c r="S242" s="11" t="inlineStr">
        <is>
          <t>14</t>
        </is>
      </c>
      <c r="T242" s="11" t="inlineStr">
        <is>
          <t>15</t>
        </is>
      </c>
      <c r="U242" s="11" t="inlineStr">
        <is>
          <t>16</t>
        </is>
      </c>
      <c r="V242" s="11" t="inlineStr">
        <is>
          <t>17</t>
        </is>
      </c>
      <c r="W242" s="11" t="inlineStr">
        <is>
          <t>18</t>
        </is>
      </c>
      <c r="X242" s="11" t="inlineStr">
        <is>
          <t>19</t>
        </is>
      </c>
      <c r="Y242" s="11" t="inlineStr">
        <is>
          <t>20</t>
        </is>
      </c>
      <c r="Z242" s="11" t="inlineStr">
        <is>
          <t>21</t>
        </is>
      </c>
      <c r="AA242" s="11" t="inlineStr">
        <is>
          <t>22</t>
        </is>
      </c>
      <c r="AB242" s="11" t="inlineStr">
        <is>
          <t>23</t>
        </is>
      </c>
      <c r="AC242" s="11" t="inlineStr">
        <is>
          <t>24</t>
        </is>
      </c>
      <c r="AD242" s="11" t="inlineStr">
        <is>
          <t>25</t>
        </is>
      </c>
      <c r="AE242" s="11" t="inlineStr">
        <is>
          <t>26</t>
        </is>
      </c>
      <c r="AF242" s="11" t="inlineStr">
        <is>
          <t>27</t>
        </is>
      </c>
      <c r="AG242" s="11" t="inlineStr">
        <is>
          <t>28</t>
        </is>
      </c>
      <c r="AH242" s="11" t="inlineStr">
        <is>
          <t>29</t>
        </is>
      </c>
      <c r="AI242" s="11" t="inlineStr">
        <is>
          <t>30</t>
        </is>
      </c>
    </row>
    <row r="243">
      <c r="A243" s="4" t="inlineStr">
        <is>
          <t>Студент1.1</t>
        </is>
      </c>
      <c r="B243" s="4" t="inlineStr"/>
      <c r="C243" s="4" t="n"/>
      <c r="D243" s="4" t="n"/>
      <c r="E243" s="4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5" t="n"/>
    </row>
    <row r="244">
      <c r="A244" s="4" t="inlineStr">
        <is>
          <t>Студент1.2</t>
        </is>
      </c>
      <c r="B244" s="4" t="inlineStr"/>
      <c r="C244" s="4" t="n"/>
      <c r="D244" s="4" t="n"/>
      <c r="E244" s="4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  <c r="AG244" s="15" t="n"/>
      <c r="AH244" s="15" t="n"/>
      <c r="AI244" s="15" t="n"/>
    </row>
    <row r="245">
      <c r="A245" s="4" t="inlineStr">
        <is>
          <t>Студент1.3</t>
        </is>
      </c>
      <c r="B245" s="4" t="inlineStr"/>
      <c r="C245" s="4" t="n"/>
      <c r="D245" s="4" t="n"/>
      <c r="E245" s="4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  <c r="AG245" s="15" t="n"/>
      <c r="AH245" s="15" t="n"/>
      <c r="AI245" s="15" t="n"/>
    </row>
    <row r="246">
      <c r="A246" s="4" t="inlineStr">
        <is>
          <t>Студент1.4</t>
        </is>
      </c>
      <c r="B246" s="4" t="inlineStr"/>
      <c r="C246" s="4" t="n"/>
      <c r="D246" s="4" t="n"/>
      <c r="E246" s="4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  <c r="AF246" s="15" t="n"/>
      <c r="AG246" s="15" t="n"/>
      <c r="AH246" s="15" t="n"/>
      <c r="AI246" s="15" t="n"/>
    </row>
    <row r="247">
      <c r="A247" s="4" t="inlineStr">
        <is>
          <t>Студент1.5</t>
        </is>
      </c>
      <c r="B247" s="4" t="inlineStr"/>
      <c r="C247" s="4" t="n"/>
      <c r="D247" s="4" t="n"/>
      <c r="E247" s="4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  <c r="AF247" s="15" t="n"/>
      <c r="AG247" s="15" t="n"/>
      <c r="AH247" s="15" t="n"/>
      <c r="AI247" s="15" t="n"/>
    </row>
    <row r="248">
      <c r="A248" s="4" t="inlineStr">
        <is>
          <t>Студент1.6</t>
        </is>
      </c>
      <c r="B248" s="4" t="inlineStr"/>
      <c r="C248" s="4" t="n"/>
      <c r="D248" s="4" t="n"/>
      <c r="E248" s="4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  <c r="AF248" s="15" t="n"/>
      <c r="AG248" s="15" t="n"/>
      <c r="AH248" s="15" t="n"/>
      <c r="AI248" s="15" t="n"/>
    </row>
    <row r="249">
      <c r="A249" s="4" t="inlineStr">
        <is>
          <t>Студент1.7</t>
        </is>
      </c>
      <c r="B249" s="4" t="inlineStr"/>
      <c r="C249" s="4" t="n"/>
      <c r="D249" s="4" t="n"/>
      <c r="E249" s="4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  <c r="AF249" s="15" t="n"/>
      <c r="AG249" s="15" t="n"/>
      <c r="AH249" s="15" t="n"/>
      <c r="AI249" s="15" t="n"/>
    </row>
    <row r="250">
      <c r="A250" s="4" t="inlineStr">
        <is>
          <t>Студент1.8</t>
        </is>
      </c>
      <c r="B250" s="4" t="inlineStr"/>
      <c r="C250" s="4" t="n"/>
      <c r="D250" s="4" t="n"/>
      <c r="E250" s="4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  <c r="AF250" s="15" t="n"/>
      <c r="AG250" s="15" t="n"/>
      <c r="AH250" s="15" t="n"/>
      <c r="AI250" s="15" t="n"/>
    </row>
    <row r="251">
      <c r="A251" s="4" t="inlineStr">
        <is>
          <t>Студент1.9</t>
        </is>
      </c>
      <c r="B251" s="4" t="inlineStr"/>
      <c r="C251" s="4" t="n"/>
      <c r="D251" s="4" t="n"/>
      <c r="E251" s="4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  <c r="AF251" s="15" t="n"/>
      <c r="AG251" s="15" t="n"/>
      <c r="AH251" s="15" t="n"/>
      <c r="AI251" s="15" t="n"/>
    </row>
    <row r="252">
      <c r="A252" s="4" t="inlineStr">
        <is>
          <t>Студент1.10</t>
        </is>
      </c>
      <c r="B252" s="4" t="inlineStr"/>
      <c r="C252" s="4" t="n"/>
      <c r="D252" s="4" t="n"/>
      <c r="E252" s="4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5" t="n"/>
      <c r="AE252" s="15" t="n"/>
      <c r="AF252" s="15" t="n"/>
      <c r="AG252" s="15" t="n"/>
      <c r="AH252" s="15" t="n"/>
      <c r="AI252" s="15" t="n"/>
    </row>
    <row r="253">
      <c r="A253" s="4" t="inlineStr">
        <is>
          <t>Студент1.11</t>
        </is>
      </c>
      <c r="B253" s="4" t="inlineStr"/>
      <c r="C253" s="4" t="n"/>
      <c r="D253" s="4" t="n"/>
      <c r="E253" s="4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  <c r="AC253" s="15" t="n"/>
      <c r="AD253" s="15" t="n"/>
      <c r="AE253" s="15" t="n"/>
      <c r="AF253" s="15" t="n"/>
      <c r="AG253" s="15" t="n"/>
      <c r="AH253" s="15" t="n"/>
      <c r="AI253" s="15" t="n"/>
    </row>
    <row r="254">
      <c r="A254" s="4" t="inlineStr">
        <is>
          <t>Студент1.12</t>
        </is>
      </c>
      <c r="B254" s="4" t="inlineStr"/>
      <c r="C254" s="4" t="n"/>
      <c r="D254" s="4" t="n"/>
      <c r="E254" s="4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  <c r="AF254" s="15" t="n"/>
      <c r="AG254" s="15" t="n"/>
      <c r="AH254" s="15" t="n"/>
      <c r="AI254" s="15" t="n"/>
    </row>
    <row r="255">
      <c r="A255" s="4" t="inlineStr">
        <is>
          <t>Студент1.13</t>
        </is>
      </c>
      <c r="B255" s="4" t="inlineStr"/>
      <c r="C255" s="4" t="n"/>
      <c r="D255" s="4" t="n"/>
      <c r="E255" s="4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5" t="n"/>
      <c r="AE255" s="15" t="n"/>
      <c r="AF255" s="15" t="n"/>
      <c r="AG255" s="15" t="n"/>
      <c r="AH255" s="15" t="n"/>
      <c r="AI255" s="15" t="n"/>
    </row>
    <row r="256">
      <c r="A256" s="4" t="inlineStr">
        <is>
          <t>Студент1.14</t>
        </is>
      </c>
      <c r="B256" s="4" t="inlineStr"/>
      <c r="C256" s="4" t="n"/>
      <c r="D256" s="4" t="n"/>
      <c r="E256" s="4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  <c r="AF256" s="15" t="n"/>
      <c r="AG256" s="15" t="n"/>
      <c r="AH256" s="15" t="n"/>
      <c r="AI256" s="15" t="n"/>
    </row>
    <row r="257">
      <c r="A257" s="4" t="inlineStr">
        <is>
          <t>Студент1.15</t>
        </is>
      </c>
      <c r="B257" s="4" t="inlineStr"/>
      <c r="C257" s="4" t="n"/>
      <c r="D257" s="4" t="n"/>
      <c r="E257" s="4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  <c r="AG257" s="15" t="n"/>
      <c r="AH257" s="15" t="n"/>
      <c r="AI257" s="15" t="n"/>
    </row>
    <row r="258">
      <c r="A258" s="4" t="inlineStr">
        <is>
          <t>Студент1.16</t>
        </is>
      </c>
      <c r="B258" s="4" t="inlineStr"/>
      <c r="C258" s="4" t="n"/>
      <c r="D258" s="4" t="n"/>
      <c r="E258" s="4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  <c r="AF258" s="15" t="n"/>
      <c r="AG258" s="15" t="n"/>
      <c r="AH258" s="15" t="n"/>
      <c r="AI258" s="15" t="n"/>
    </row>
    <row r="259">
      <c r="A259" s="4" t="inlineStr">
        <is>
          <t>Студент1.17</t>
        </is>
      </c>
      <c r="B259" s="4" t="inlineStr"/>
      <c r="C259" s="4" t="n"/>
      <c r="D259" s="4" t="n"/>
      <c r="E259" s="4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  <c r="AG259" s="15" t="n"/>
      <c r="AH259" s="15" t="n"/>
      <c r="AI259" s="15" t="n"/>
    </row>
    <row r="260">
      <c r="A260" s="4" t="inlineStr">
        <is>
          <t>Студент1.18</t>
        </is>
      </c>
      <c r="B260" s="4" t="inlineStr"/>
      <c r="C260" s="4" t="n"/>
      <c r="D260" s="4" t="n"/>
      <c r="E260" s="4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  <c r="AF260" s="15" t="n"/>
      <c r="AG260" s="15" t="n"/>
      <c r="AH260" s="15" t="n"/>
      <c r="AI260" s="15" t="n"/>
    </row>
    <row r="261">
      <c r="A261" s="4" t="inlineStr">
        <is>
          <t>Студент1.19</t>
        </is>
      </c>
      <c r="B261" s="4" t="inlineStr"/>
      <c r="C261" s="4" t="n"/>
      <c r="D261" s="4" t="n"/>
      <c r="E261" s="4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  <c r="AF261" s="15" t="n"/>
      <c r="AG261" s="15" t="n"/>
      <c r="AH261" s="15" t="n"/>
      <c r="AI261" s="15" t="n"/>
    </row>
    <row r="262">
      <c r="A262" s="4" t="inlineStr">
        <is>
          <t>Студент1.20</t>
        </is>
      </c>
      <c r="B262" s="4" t="inlineStr"/>
      <c r="C262" s="4" t="n"/>
      <c r="D262" s="4" t="n"/>
      <c r="E262" s="4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  <c r="AF262" s="15" t="n"/>
      <c r="AG262" s="15" t="n"/>
      <c r="AH262" s="15" t="n"/>
      <c r="AI262" s="15" t="n"/>
    </row>
    <row r="263">
      <c r="A263" s="4" t="inlineStr">
        <is>
          <t>Студент1.21</t>
        </is>
      </c>
      <c r="B263" s="4" t="inlineStr"/>
      <c r="C263" s="4" t="n"/>
      <c r="D263" s="4" t="n"/>
      <c r="E263" s="4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  <c r="AF263" s="15" t="n"/>
      <c r="AG263" s="15" t="n"/>
      <c r="AH263" s="15" t="n"/>
      <c r="AI263" s="15" t="n"/>
    </row>
    <row r="264">
      <c r="A264" s="4" t="inlineStr">
        <is>
          <t>Студент1.22</t>
        </is>
      </c>
      <c r="B264" s="4" t="inlineStr"/>
      <c r="C264" s="4" t="n"/>
      <c r="D264" s="4" t="n"/>
      <c r="E264" s="4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  <c r="AF264" s="15" t="n"/>
      <c r="AG264" s="15" t="n"/>
      <c r="AH264" s="15" t="n"/>
      <c r="AI264" s="15" t="n"/>
    </row>
    <row r="265">
      <c r="A265" s="4" t="inlineStr">
        <is>
          <t>Студент1.23</t>
        </is>
      </c>
      <c r="B265" s="4" t="inlineStr"/>
      <c r="C265" s="4" t="n"/>
      <c r="D265" s="4" t="n"/>
      <c r="E265" s="4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  <c r="AF265" s="15" t="n"/>
      <c r="AG265" s="15" t="n"/>
      <c r="AH265" s="15" t="n"/>
      <c r="AI265" s="15" t="n"/>
    </row>
    <row r="266">
      <c r="A266" s="4" t="inlineStr">
        <is>
          <t>Студент1.24</t>
        </is>
      </c>
      <c r="B266" s="4" t="inlineStr"/>
      <c r="C266" s="4" t="n"/>
      <c r="D266" s="4" t="n"/>
      <c r="E266" s="4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  <c r="AF266" s="15" t="n"/>
      <c r="AG266" s="15" t="n"/>
      <c r="AH266" s="15" t="n"/>
      <c r="AI266" s="15" t="n"/>
    </row>
    <row r="267">
      <c r="A267" s="4" t="inlineStr">
        <is>
          <t>Студент1.25</t>
        </is>
      </c>
      <c r="B267" s="4" t="inlineStr"/>
      <c r="C267" s="4" t="n"/>
      <c r="D267" s="4" t="n"/>
      <c r="E267" s="4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  <c r="AG267" s="15" t="n"/>
      <c r="AH267" s="15" t="n"/>
      <c r="AI267" s="15" t="n"/>
    </row>
    <row r="268">
      <c r="A268" s="4" t="inlineStr">
        <is>
          <t>Студент1.26</t>
        </is>
      </c>
      <c r="B268" s="4" t="inlineStr"/>
      <c r="C268" s="4" t="n"/>
      <c r="D268" s="4" t="n"/>
      <c r="E268" s="4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  <c r="AG268" s="15" t="n"/>
      <c r="AH268" s="15" t="n"/>
      <c r="AI268" s="15" t="n"/>
    </row>
    <row r="269">
      <c r="A269" s="4" t="inlineStr">
        <is>
          <t>Студент1.27</t>
        </is>
      </c>
      <c r="B269" s="4" t="inlineStr"/>
      <c r="C269" s="4" t="n"/>
      <c r="D269" s="4" t="n"/>
      <c r="E269" s="4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  <c r="AG269" s="15" t="n"/>
      <c r="AH269" s="15" t="n"/>
      <c r="AI269" s="15" t="n"/>
    </row>
    <row r="270">
      <c r="A270" s="4" t="inlineStr">
        <is>
          <t>Студент1.28</t>
        </is>
      </c>
      <c r="B270" s="4" t="inlineStr"/>
      <c r="C270" s="4" t="n"/>
      <c r="D270" s="4" t="n"/>
      <c r="E270" s="4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  <c r="AF270" s="15" t="n"/>
      <c r="AG270" s="15" t="n"/>
      <c r="AH270" s="15" t="n"/>
      <c r="AI270" s="15" t="n"/>
    </row>
    <row r="271">
      <c r="A271" s="4" t="inlineStr">
        <is>
          <t>Студент1.29</t>
        </is>
      </c>
      <c r="B271" s="4" t="inlineStr"/>
      <c r="C271" s="4" t="n"/>
      <c r="D271" s="4" t="n"/>
      <c r="E271" s="4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  <c r="AG271" s="15" t="n"/>
      <c r="AH271" s="15" t="n"/>
      <c r="AI271" s="15" t="n"/>
    </row>
    <row r="272">
      <c r="A272" s="4" t="inlineStr">
        <is>
          <t>Студент1.30</t>
        </is>
      </c>
      <c r="B272" s="4" t="inlineStr"/>
      <c r="C272" s="4" t="n"/>
      <c r="D272" s="4" t="n"/>
      <c r="E272" s="4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  <c r="AF272" s="15" t="n"/>
      <c r="AG272" s="15" t="n"/>
      <c r="AH272" s="15" t="n"/>
      <c r="AI272" s="15" t="n"/>
    </row>
    <row r="276">
      <c r="A276" s="13" t="inlineStr">
        <is>
          <t>Практика 5 — плюсы</t>
        </is>
      </c>
    </row>
    <row r="277" ht="28" customHeight="1">
      <c r="A277" s="7" t="inlineStr">
        <is>
          <t>Имя</t>
        </is>
      </c>
      <c r="B277" s="9" t="inlineStr">
        <is>
          <t>TG</t>
        </is>
      </c>
      <c r="C277" s="10" t="inlineStr">
        <is>
          <t>S</t>
        </is>
      </c>
      <c r="D277" s="8" t="inlineStr">
        <is>
          <t>Коэффициент</t>
        </is>
      </c>
      <c r="E277" s="14" t="inlineStr">
        <is>
          <t>D за практику</t>
        </is>
      </c>
      <c r="F277" s="11" t="inlineStr">
        <is>
          <t>1.0</t>
        </is>
      </c>
      <c r="G277" s="11" t="inlineStr">
        <is>
          <t>2.0</t>
        </is>
      </c>
      <c r="H277" s="11" t="inlineStr">
        <is>
          <t>3.0</t>
        </is>
      </c>
      <c r="I277" s="11" t="inlineStr">
        <is>
          <t>4.0</t>
        </is>
      </c>
      <c r="J277" s="11" t="inlineStr">
        <is>
          <t>5.0</t>
        </is>
      </c>
      <c r="K277" s="11" t="inlineStr">
        <is>
          <t>6</t>
        </is>
      </c>
      <c r="L277" s="11" t="inlineStr">
        <is>
          <t>7</t>
        </is>
      </c>
      <c r="M277" s="11" t="inlineStr">
        <is>
          <t>8</t>
        </is>
      </c>
      <c r="N277" s="11" t="inlineStr">
        <is>
          <t>9</t>
        </is>
      </c>
      <c r="O277" s="11" t="inlineStr">
        <is>
          <t>10</t>
        </is>
      </c>
      <c r="P277" s="11" t="inlineStr">
        <is>
          <t>11</t>
        </is>
      </c>
      <c r="Q277" s="11" t="inlineStr">
        <is>
          <t>12</t>
        </is>
      </c>
      <c r="R277" s="11" t="inlineStr">
        <is>
          <t>13</t>
        </is>
      </c>
      <c r="S277" s="11" t="inlineStr">
        <is>
          <t>14</t>
        </is>
      </c>
      <c r="T277" s="11" t="inlineStr">
        <is>
          <t>15</t>
        </is>
      </c>
      <c r="U277" s="11" t="inlineStr">
        <is>
          <t>16</t>
        </is>
      </c>
      <c r="V277" s="11" t="inlineStr">
        <is>
          <t>17</t>
        </is>
      </c>
      <c r="W277" s="11" t="inlineStr">
        <is>
          <t>18</t>
        </is>
      </c>
      <c r="X277" s="11" t="inlineStr">
        <is>
          <t>19</t>
        </is>
      </c>
      <c r="Y277" s="11" t="inlineStr">
        <is>
          <t>20</t>
        </is>
      </c>
      <c r="Z277" s="11" t="inlineStr">
        <is>
          <t>21</t>
        </is>
      </c>
      <c r="AA277" s="11" t="inlineStr">
        <is>
          <t>22</t>
        </is>
      </c>
      <c r="AB277" s="11" t="inlineStr">
        <is>
          <t>23</t>
        </is>
      </c>
      <c r="AC277" s="11" t="inlineStr">
        <is>
          <t>24</t>
        </is>
      </c>
      <c r="AD277" s="11" t="inlineStr">
        <is>
          <t>25</t>
        </is>
      </c>
      <c r="AE277" s="11" t="inlineStr">
        <is>
          <t>26</t>
        </is>
      </c>
      <c r="AF277" s="11" t="inlineStr">
        <is>
          <t>27</t>
        </is>
      </c>
      <c r="AG277" s="11" t="inlineStr">
        <is>
          <t>28</t>
        </is>
      </c>
      <c r="AH277" s="11" t="inlineStr">
        <is>
          <t>29</t>
        </is>
      </c>
      <c r="AI277" s="11" t="inlineStr">
        <is>
          <t>30</t>
        </is>
      </c>
    </row>
    <row r="278">
      <c r="A278" s="4" t="inlineStr">
        <is>
          <t>Студент1.1</t>
        </is>
      </c>
      <c r="B278" s="4" t="inlineStr"/>
      <c r="C278" s="4">
        <f>IF(A278="","",COUNTIF(F278:AI278,"+")+COUNTIF(F278:AI278,"1"))</f>
        <v/>
      </c>
      <c r="D278" s="4">
        <f>IF(A278="","",IF(C278&gt;2*COUNTA(F$277:AI$277)/3,1,IF(C278&gt;=COUNTA(F$277:AI$277)/2,0.8,0.5)))</f>
        <v/>
      </c>
      <c r="E278" s="4">
        <f>IF(A278="","",SUMIFS('Логи'!$H$4:$H$3006,'Логи'!$A$4:$A$3006,A278,'Логи'!$C$4:$C$3006,5))</f>
        <v/>
      </c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  <c r="AF278" s="15" t="n"/>
      <c r="AG278" s="15" t="n"/>
      <c r="AH278" s="15" t="n"/>
      <c r="AI278" s="15" t="n"/>
    </row>
    <row r="279">
      <c r="A279" s="4" t="inlineStr">
        <is>
          <t>Студент1.2</t>
        </is>
      </c>
      <c r="B279" s="4" t="inlineStr"/>
      <c r="C279" s="4">
        <f>IF(A279="","",COUNTIF(F279:AI279,"+")+COUNTIF(F279:AI279,"1"))</f>
        <v/>
      </c>
      <c r="D279" s="4">
        <f>IF(A279="","",IF(C279&gt;2*COUNTA(F$277:AI$277)/3,1,IF(C279&gt;=COUNTA(F$277:AI$277)/2,0.8,0.5)))</f>
        <v/>
      </c>
      <c r="E279" s="4">
        <f>IF(A279="","",SUMIFS('Логи'!$H$4:$H$3006,'Логи'!$A$4:$A$3006,A279,'Логи'!$C$4:$C$3006,5))</f>
        <v/>
      </c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  <c r="AF279" s="15" t="n"/>
      <c r="AG279" s="15" t="n"/>
      <c r="AH279" s="15" t="n"/>
      <c r="AI279" s="15" t="n"/>
    </row>
    <row r="280">
      <c r="A280" s="4" t="inlineStr">
        <is>
          <t>Студент1.3</t>
        </is>
      </c>
      <c r="B280" s="4" t="inlineStr"/>
      <c r="C280" s="4">
        <f>IF(A280="","",COUNTIF(F280:AI280,"+")+COUNTIF(F280:AI280,"1"))</f>
        <v/>
      </c>
      <c r="D280" s="4">
        <f>IF(A280="","",IF(C280&gt;2*COUNTA(F$277:AI$277)/3,1,IF(C280&gt;=COUNTA(F$277:AI$277)/2,0.8,0.5)))</f>
        <v/>
      </c>
      <c r="E280" s="4">
        <f>IF(A280="","",SUMIFS('Логи'!$H$4:$H$3006,'Логи'!$A$4:$A$3006,A280,'Логи'!$C$4:$C$3006,5))</f>
        <v/>
      </c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  <c r="AF280" s="15" t="n"/>
      <c r="AG280" s="15" t="n"/>
      <c r="AH280" s="15" t="n"/>
      <c r="AI280" s="15" t="n"/>
    </row>
    <row r="281">
      <c r="A281" s="4" t="inlineStr">
        <is>
          <t>Студент1.4</t>
        </is>
      </c>
      <c r="B281" s="4" t="inlineStr"/>
      <c r="C281" s="4">
        <f>IF(A281="","",COUNTIF(F281:AI281,"+")+COUNTIF(F281:AI281,"1"))</f>
        <v/>
      </c>
      <c r="D281" s="4">
        <f>IF(A281="","",IF(C281&gt;2*COUNTA(F$277:AI$277)/3,1,IF(C281&gt;=COUNTA(F$277:AI$277)/2,0.8,0.5)))</f>
        <v/>
      </c>
      <c r="E281" s="4">
        <f>IF(A281="","",SUMIFS('Логи'!$H$4:$H$3006,'Логи'!$A$4:$A$3006,A281,'Логи'!$C$4:$C$3006,5))</f>
        <v/>
      </c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  <c r="AF281" s="15" t="n"/>
      <c r="AG281" s="15" t="n"/>
      <c r="AH281" s="15" t="n"/>
      <c r="AI281" s="15" t="n"/>
    </row>
    <row r="282">
      <c r="A282" s="4" t="inlineStr">
        <is>
          <t>Студент1.5</t>
        </is>
      </c>
      <c r="B282" s="4" t="inlineStr"/>
      <c r="C282" s="4">
        <f>IF(A282="","",COUNTIF(F282:AI282,"+")+COUNTIF(F282:AI282,"1"))</f>
        <v/>
      </c>
      <c r="D282" s="4">
        <f>IF(A282="","",IF(C282&gt;2*COUNTA(F$277:AI$277)/3,1,IF(C282&gt;=COUNTA(F$277:AI$277)/2,0.8,0.5)))</f>
        <v/>
      </c>
      <c r="E282" s="4">
        <f>IF(A282="","",SUMIFS('Логи'!$H$4:$H$3006,'Логи'!$A$4:$A$3006,A282,'Логи'!$C$4:$C$3006,5))</f>
        <v/>
      </c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  <c r="AF282" s="15" t="n"/>
      <c r="AG282" s="15" t="n"/>
      <c r="AH282" s="15" t="n"/>
      <c r="AI282" s="15" t="n"/>
    </row>
    <row r="283">
      <c r="A283" s="4" t="inlineStr">
        <is>
          <t>Студент1.6</t>
        </is>
      </c>
      <c r="B283" s="4" t="inlineStr"/>
      <c r="C283" s="4">
        <f>IF(A283="","",COUNTIF(F283:AI283,"+")+COUNTIF(F283:AI283,"1"))</f>
        <v/>
      </c>
      <c r="D283" s="4">
        <f>IF(A283="","",IF(C283&gt;2*COUNTA(F$277:AI$277)/3,1,IF(C283&gt;=COUNTA(F$277:AI$277)/2,0.8,0.5)))</f>
        <v/>
      </c>
      <c r="E283" s="4">
        <f>IF(A283="","",SUMIFS('Логи'!$H$4:$H$3006,'Логи'!$A$4:$A$3006,A283,'Логи'!$C$4:$C$3006,5))</f>
        <v/>
      </c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  <c r="AF283" s="15" t="n"/>
      <c r="AG283" s="15" t="n"/>
      <c r="AH283" s="15" t="n"/>
      <c r="AI283" s="15" t="n"/>
    </row>
    <row r="284">
      <c r="A284" s="4" t="inlineStr">
        <is>
          <t>Студент1.7</t>
        </is>
      </c>
      <c r="B284" s="4" t="inlineStr"/>
      <c r="C284" s="4">
        <f>IF(A284="","",COUNTIF(F284:AI284,"+")+COUNTIF(F284:AI284,"1"))</f>
        <v/>
      </c>
      <c r="D284" s="4">
        <f>IF(A284="","",IF(C284&gt;2*COUNTA(F$277:AI$277)/3,1,IF(C284&gt;=COUNTA(F$277:AI$277)/2,0.8,0.5)))</f>
        <v/>
      </c>
      <c r="E284" s="4">
        <f>IF(A284="","",SUMIFS('Логи'!$H$4:$H$3006,'Логи'!$A$4:$A$3006,A284,'Логи'!$C$4:$C$3006,5))</f>
        <v/>
      </c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  <c r="AF284" s="15" t="n"/>
      <c r="AG284" s="15" t="n"/>
      <c r="AH284" s="15" t="n"/>
      <c r="AI284" s="15" t="n"/>
    </row>
    <row r="285">
      <c r="A285" s="4" t="inlineStr">
        <is>
          <t>Студент1.8</t>
        </is>
      </c>
      <c r="B285" s="4" t="inlineStr"/>
      <c r="C285" s="4">
        <f>IF(A285="","",COUNTIF(F285:AI285,"+")+COUNTIF(F285:AI285,"1"))</f>
        <v/>
      </c>
      <c r="D285" s="4">
        <f>IF(A285="","",IF(C285&gt;2*COUNTA(F$277:AI$277)/3,1,IF(C285&gt;=COUNTA(F$277:AI$277)/2,0.8,0.5)))</f>
        <v/>
      </c>
      <c r="E285" s="4">
        <f>IF(A285="","",SUMIFS('Логи'!$H$4:$H$3006,'Логи'!$A$4:$A$3006,A285,'Логи'!$C$4:$C$3006,5))</f>
        <v/>
      </c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  <c r="AF285" s="15" t="n"/>
      <c r="AG285" s="15" t="n"/>
      <c r="AH285" s="15" t="n"/>
      <c r="AI285" s="15" t="n"/>
    </row>
    <row r="286">
      <c r="A286" s="4" t="inlineStr">
        <is>
          <t>Студент1.9</t>
        </is>
      </c>
      <c r="B286" s="4" t="inlineStr"/>
      <c r="C286" s="4">
        <f>IF(A286="","",COUNTIF(F286:AI286,"+")+COUNTIF(F286:AI286,"1"))</f>
        <v/>
      </c>
      <c r="D286" s="4">
        <f>IF(A286="","",IF(C286&gt;2*COUNTA(F$277:AI$277)/3,1,IF(C286&gt;=COUNTA(F$277:AI$277)/2,0.8,0.5)))</f>
        <v/>
      </c>
      <c r="E286" s="4">
        <f>IF(A286="","",SUMIFS('Логи'!$H$4:$H$3006,'Логи'!$A$4:$A$3006,A286,'Логи'!$C$4:$C$3006,5))</f>
        <v/>
      </c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  <c r="AG286" s="15" t="n"/>
      <c r="AH286" s="15" t="n"/>
      <c r="AI286" s="15" t="n"/>
    </row>
    <row r="287">
      <c r="A287" s="4" t="inlineStr">
        <is>
          <t>Студент1.10</t>
        </is>
      </c>
      <c r="B287" s="4" t="inlineStr"/>
      <c r="C287" s="4">
        <f>IF(A287="","",COUNTIF(F287:AI287,"+")+COUNTIF(F287:AI287,"1"))</f>
        <v/>
      </c>
      <c r="D287" s="4">
        <f>IF(A287="","",IF(C287&gt;2*COUNTA(F$277:AI$277)/3,1,IF(C287&gt;=COUNTA(F$277:AI$277)/2,0.8,0.5)))</f>
        <v/>
      </c>
      <c r="E287" s="4">
        <f>IF(A287="","",SUMIFS('Логи'!$H$4:$H$3006,'Логи'!$A$4:$A$3006,A287,'Логи'!$C$4:$C$3006,5))</f>
        <v/>
      </c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  <c r="AF287" s="15" t="n"/>
      <c r="AG287" s="15" t="n"/>
      <c r="AH287" s="15" t="n"/>
      <c r="AI287" s="15" t="n"/>
    </row>
    <row r="288">
      <c r="A288" s="4" t="inlineStr">
        <is>
          <t>Студент1.11</t>
        </is>
      </c>
      <c r="B288" s="4" t="inlineStr"/>
      <c r="C288" s="4">
        <f>IF(A288="","",COUNTIF(F288:AI288,"+")+COUNTIF(F288:AI288,"1"))</f>
        <v/>
      </c>
      <c r="D288" s="4">
        <f>IF(A288="","",IF(C288&gt;2*COUNTA(F$277:AI$277)/3,1,IF(C288&gt;=COUNTA(F$277:AI$277)/2,0.8,0.5)))</f>
        <v/>
      </c>
      <c r="E288" s="4">
        <f>IF(A288="","",SUMIFS('Логи'!$H$4:$H$3006,'Логи'!$A$4:$A$3006,A288,'Логи'!$C$4:$C$3006,5))</f>
        <v/>
      </c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  <c r="AG288" s="15" t="n"/>
      <c r="AH288" s="15" t="n"/>
      <c r="AI288" s="15" t="n"/>
    </row>
    <row r="289">
      <c r="A289" s="4" t="inlineStr">
        <is>
          <t>Студент1.12</t>
        </is>
      </c>
      <c r="B289" s="4" t="inlineStr"/>
      <c r="C289" s="4">
        <f>IF(A289="","",COUNTIF(F289:AI289,"+")+COUNTIF(F289:AI289,"1"))</f>
        <v/>
      </c>
      <c r="D289" s="4">
        <f>IF(A289="","",IF(C289&gt;2*COUNTA(F$277:AI$277)/3,1,IF(C289&gt;=COUNTA(F$277:AI$277)/2,0.8,0.5)))</f>
        <v/>
      </c>
      <c r="E289" s="4">
        <f>IF(A289="","",SUMIFS('Логи'!$H$4:$H$3006,'Логи'!$A$4:$A$3006,A289,'Логи'!$C$4:$C$3006,5))</f>
        <v/>
      </c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  <c r="AF289" s="15" t="n"/>
      <c r="AG289" s="15" t="n"/>
      <c r="AH289" s="15" t="n"/>
      <c r="AI289" s="15" t="n"/>
    </row>
    <row r="290">
      <c r="A290" s="4" t="inlineStr">
        <is>
          <t>Студент1.13</t>
        </is>
      </c>
      <c r="B290" s="4" t="inlineStr"/>
      <c r="C290" s="4">
        <f>IF(A290="","",COUNTIF(F290:AI290,"+")+COUNTIF(F290:AI290,"1"))</f>
        <v/>
      </c>
      <c r="D290" s="4">
        <f>IF(A290="","",IF(C290&gt;2*COUNTA(F$277:AI$277)/3,1,IF(C290&gt;=COUNTA(F$277:AI$277)/2,0.8,0.5)))</f>
        <v/>
      </c>
      <c r="E290" s="4">
        <f>IF(A290="","",SUMIFS('Логи'!$H$4:$H$3006,'Логи'!$A$4:$A$3006,A290,'Логи'!$C$4:$C$3006,5))</f>
        <v/>
      </c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  <c r="AF290" s="15" t="n"/>
      <c r="AG290" s="15" t="n"/>
      <c r="AH290" s="15" t="n"/>
      <c r="AI290" s="15" t="n"/>
    </row>
    <row r="291">
      <c r="A291" s="4" t="inlineStr">
        <is>
          <t>Студент1.14</t>
        </is>
      </c>
      <c r="B291" s="4" t="inlineStr"/>
      <c r="C291" s="4">
        <f>IF(A291="","",COUNTIF(F291:AI291,"+")+COUNTIF(F291:AI291,"1"))</f>
        <v/>
      </c>
      <c r="D291" s="4">
        <f>IF(A291="","",IF(C291&gt;2*COUNTA(F$277:AI$277)/3,1,IF(C291&gt;=COUNTA(F$277:AI$277)/2,0.8,0.5)))</f>
        <v/>
      </c>
      <c r="E291" s="4">
        <f>IF(A291="","",SUMIFS('Логи'!$H$4:$H$3006,'Логи'!$A$4:$A$3006,A291,'Логи'!$C$4:$C$3006,5))</f>
        <v/>
      </c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  <c r="AF291" s="15" t="n"/>
      <c r="AG291" s="15" t="n"/>
      <c r="AH291" s="15" t="n"/>
      <c r="AI291" s="15" t="n"/>
    </row>
    <row r="292">
      <c r="A292" s="4" t="inlineStr">
        <is>
          <t>Студент1.15</t>
        </is>
      </c>
      <c r="B292" s="4" t="inlineStr"/>
      <c r="C292" s="4">
        <f>IF(A292="","",COUNTIF(F292:AI292,"+")+COUNTIF(F292:AI292,"1"))</f>
        <v/>
      </c>
      <c r="D292" s="4">
        <f>IF(A292="","",IF(C292&gt;2*COUNTA(F$277:AI$277)/3,1,IF(C292&gt;=COUNTA(F$277:AI$277)/2,0.8,0.5)))</f>
        <v/>
      </c>
      <c r="E292" s="4">
        <f>IF(A292="","",SUMIFS('Логи'!$H$4:$H$3006,'Логи'!$A$4:$A$3006,A292,'Логи'!$C$4:$C$3006,5))</f>
        <v/>
      </c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  <c r="AF292" s="15" t="n"/>
      <c r="AG292" s="15" t="n"/>
      <c r="AH292" s="15" t="n"/>
      <c r="AI292" s="15" t="n"/>
    </row>
    <row r="293">
      <c r="A293" s="4" t="inlineStr">
        <is>
          <t>Студент1.16</t>
        </is>
      </c>
      <c r="B293" s="4" t="inlineStr"/>
      <c r="C293" s="4">
        <f>IF(A293="","",COUNTIF(F293:AI293,"+")+COUNTIF(F293:AI293,"1"))</f>
        <v/>
      </c>
      <c r="D293" s="4">
        <f>IF(A293="","",IF(C293&gt;2*COUNTA(F$277:AI$277)/3,1,IF(C293&gt;=COUNTA(F$277:AI$277)/2,0.8,0.5)))</f>
        <v/>
      </c>
      <c r="E293" s="4">
        <f>IF(A293="","",SUMIFS('Логи'!$H$4:$H$3006,'Логи'!$A$4:$A$3006,A293,'Логи'!$C$4:$C$3006,5))</f>
        <v/>
      </c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  <c r="AF293" s="15" t="n"/>
      <c r="AG293" s="15" t="n"/>
      <c r="AH293" s="15" t="n"/>
      <c r="AI293" s="15" t="n"/>
    </row>
    <row r="294">
      <c r="A294" s="4" t="inlineStr">
        <is>
          <t>Студент1.17</t>
        </is>
      </c>
      <c r="B294" s="4" t="inlineStr"/>
      <c r="C294" s="4">
        <f>IF(A294="","",COUNTIF(F294:AI294,"+")+COUNTIF(F294:AI294,"1"))</f>
        <v/>
      </c>
      <c r="D294" s="4">
        <f>IF(A294="","",IF(C294&gt;2*COUNTA(F$277:AI$277)/3,1,IF(C294&gt;=COUNTA(F$277:AI$277)/2,0.8,0.5)))</f>
        <v/>
      </c>
      <c r="E294" s="4">
        <f>IF(A294="","",SUMIFS('Логи'!$H$4:$H$3006,'Логи'!$A$4:$A$3006,A294,'Логи'!$C$4:$C$3006,5))</f>
        <v/>
      </c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  <c r="AF294" s="15" t="n"/>
      <c r="AG294" s="15" t="n"/>
      <c r="AH294" s="15" t="n"/>
      <c r="AI294" s="15" t="n"/>
    </row>
    <row r="295">
      <c r="A295" s="4" t="inlineStr">
        <is>
          <t>Студент1.18</t>
        </is>
      </c>
      <c r="B295" s="4" t="inlineStr"/>
      <c r="C295" s="4">
        <f>IF(A295="","",COUNTIF(F295:AI295,"+")+COUNTIF(F295:AI295,"1"))</f>
        <v/>
      </c>
      <c r="D295" s="4">
        <f>IF(A295="","",IF(C295&gt;2*COUNTA(F$277:AI$277)/3,1,IF(C295&gt;=COUNTA(F$277:AI$277)/2,0.8,0.5)))</f>
        <v/>
      </c>
      <c r="E295" s="4">
        <f>IF(A295="","",SUMIFS('Логи'!$H$4:$H$3006,'Логи'!$A$4:$A$3006,A295,'Логи'!$C$4:$C$3006,5))</f>
        <v/>
      </c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  <c r="AG295" s="15" t="n"/>
      <c r="AH295" s="15" t="n"/>
      <c r="AI295" s="15" t="n"/>
    </row>
    <row r="296">
      <c r="A296" s="4" t="inlineStr">
        <is>
          <t>Студент1.19</t>
        </is>
      </c>
      <c r="B296" s="4" t="inlineStr"/>
      <c r="C296" s="4">
        <f>IF(A296="","",COUNTIF(F296:AI296,"+")+COUNTIF(F296:AI296,"1"))</f>
        <v/>
      </c>
      <c r="D296" s="4">
        <f>IF(A296="","",IF(C296&gt;2*COUNTA(F$277:AI$277)/3,1,IF(C296&gt;=COUNTA(F$277:AI$277)/2,0.8,0.5)))</f>
        <v/>
      </c>
      <c r="E296" s="4">
        <f>IF(A296="","",SUMIFS('Логи'!$H$4:$H$3006,'Логи'!$A$4:$A$3006,A296,'Логи'!$C$4:$C$3006,5))</f>
        <v/>
      </c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  <c r="AG296" s="15" t="n"/>
      <c r="AH296" s="15" t="n"/>
      <c r="AI296" s="15" t="n"/>
    </row>
    <row r="297">
      <c r="A297" s="4" t="inlineStr">
        <is>
          <t>Студент1.20</t>
        </is>
      </c>
      <c r="B297" s="4" t="inlineStr"/>
      <c r="C297" s="4">
        <f>IF(A297="","",COUNTIF(F297:AI297,"+")+COUNTIF(F297:AI297,"1"))</f>
        <v/>
      </c>
      <c r="D297" s="4">
        <f>IF(A297="","",IF(C297&gt;2*COUNTA(F$277:AI$277)/3,1,IF(C297&gt;=COUNTA(F$277:AI$277)/2,0.8,0.5)))</f>
        <v/>
      </c>
      <c r="E297" s="4">
        <f>IF(A297="","",SUMIFS('Логи'!$H$4:$H$3006,'Логи'!$A$4:$A$3006,A297,'Логи'!$C$4:$C$3006,5))</f>
        <v/>
      </c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  <c r="AF297" s="15" t="n"/>
      <c r="AG297" s="15" t="n"/>
      <c r="AH297" s="15" t="n"/>
      <c r="AI297" s="15" t="n"/>
    </row>
    <row r="298">
      <c r="A298" s="4" t="inlineStr">
        <is>
          <t>Студент1.21</t>
        </is>
      </c>
      <c r="B298" s="4" t="inlineStr"/>
      <c r="C298" s="4">
        <f>IF(A298="","",COUNTIF(F298:AI298,"+")+COUNTIF(F298:AI298,"1"))</f>
        <v/>
      </c>
      <c r="D298" s="4">
        <f>IF(A298="","",IF(C298&gt;2*COUNTA(F$277:AI$277)/3,1,IF(C298&gt;=COUNTA(F$277:AI$277)/2,0.8,0.5)))</f>
        <v/>
      </c>
      <c r="E298" s="4">
        <f>IF(A298="","",SUMIFS('Логи'!$H$4:$H$3006,'Логи'!$A$4:$A$3006,A298,'Логи'!$C$4:$C$3006,5))</f>
        <v/>
      </c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  <c r="AF298" s="15" t="n"/>
      <c r="AG298" s="15" t="n"/>
      <c r="AH298" s="15" t="n"/>
      <c r="AI298" s="15" t="n"/>
    </row>
    <row r="299">
      <c r="A299" s="4" t="inlineStr">
        <is>
          <t>Студент1.22</t>
        </is>
      </c>
      <c r="B299" s="4" t="inlineStr"/>
      <c r="C299" s="4">
        <f>IF(A299="","",COUNTIF(F299:AI299,"+")+COUNTIF(F299:AI299,"1"))</f>
        <v/>
      </c>
      <c r="D299" s="4">
        <f>IF(A299="","",IF(C299&gt;2*COUNTA(F$277:AI$277)/3,1,IF(C299&gt;=COUNTA(F$277:AI$277)/2,0.8,0.5)))</f>
        <v/>
      </c>
      <c r="E299" s="4">
        <f>IF(A299="","",SUMIFS('Логи'!$H$4:$H$3006,'Логи'!$A$4:$A$3006,A299,'Логи'!$C$4:$C$3006,5))</f>
        <v/>
      </c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  <c r="AF299" s="15" t="n"/>
      <c r="AG299" s="15" t="n"/>
      <c r="AH299" s="15" t="n"/>
      <c r="AI299" s="15" t="n"/>
    </row>
    <row r="300">
      <c r="A300" s="4" t="inlineStr">
        <is>
          <t>Студент1.23</t>
        </is>
      </c>
      <c r="B300" s="4" t="inlineStr"/>
      <c r="C300" s="4">
        <f>IF(A300="","",COUNTIF(F300:AI300,"+")+COUNTIF(F300:AI300,"1"))</f>
        <v/>
      </c>
      <c r="D300" s="4">
        <f>IF(A300="","",IF(C300&gt;2*COUNTA(F$277:AI$277)/3,1,IF(C300&gt;=COUNTA(F$277:AI$277)/2,0.8,0.5)))</f>
        <v/>
      </c>
      <c r="E300" s="4">
        <f>IF(A300="","",SUMIFS('Логи'!$H$4:$H$3006,'Логи'!$A$4:$A$3006,A300,'Логи'!$C$4:$C$3006,5))</f>
        <v/>
      </c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5" t="n"/>
    </row>
    <row r="301">
      <c r="A301" s="4" t="inlineStr">
        <is>
          <t>Студент1.24</t>
        </is>
      </c>
      <c r="B301" s="4" t="inlineStr"/>
      <c r="C301" s="4">
        <f>IF(A301="","",COUNTIF(F301:AI301,"+")+COUNTIF(F301:AI301,"1"))</f>
        <v/>
      </c>
      <c r="D301" s="4">
        <f>IF(A301="","",IF(C301&gt;2*COUNTA(F$277:AI$277)/3,1,IF(C301&gt;=COUNTA(F$277:AI$277)/2,0.8,0.5)))</f>
        <v/>
      </c>
      <c r="E301" s="4">
        <f>IF(A301="","",SUMIFS('Логи'!$H$4:$H$3006,'Логи'!$A$4:$A$3006,A301,'Логи'!$C$4:$C$3006,5))</f>
        <v/>
      </c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  <c r="AF301" s="15" t="n"/>
      <c r="AG301" s="15" t="n"/>
      <c r="AH301" s="15" t="n"/>
      <c r="AI301" s="15" t="n"/>
    </row>
    <row r="302">
      <c r="A302" s="4" t="inlineStr">
        <is>
          <t>Студент1.25</t>
        </is>
      </c>
      <c r="B302" s="4" t="inlineStr"/>
      <c r="C302" s="4">
        <f>IF(A302="","",COUNTIF(F302:AI302,"+")+COUNTIF(F302:AI302,"1"))</f>
        <v/>
      </c>
      <c r="D302" s="4">
        <f>IF(A302="","",IF(C302&gt;2*COUNTA(F$277:AI$277)/3,1,IF(C302&gt;=COUNTA(F$277:AI$277)/2,0.8,0.5)))</f>
        <v/>
      </c>
      <c r="E302" s="4">
        <f>IF(A302="","",SUMIFS('Логи'!$H$4:$H$3006,'Логи'!$A$4:$A$3006,A302,'Логи'!$C$4:$C$3006,5))</f>
        <v/>
      </c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  <c r="AG302" s="15" t="n"/>
      <c r="AH302" s="15" t="n"/>
      <c r="AI302" s="15" t="n"/>
    </row>
    <row r="303">
      <c r="A303" s="4" t="inlineStr">
        <is>
          <t>Студент1.26</t>
        </is>
      </c>
      <c r="B303" s="4" t="inlineStr"/>
      <c r="C303" s="4">
        <f>IF(A303="","",COUNTIF(F303:AI303,"+")+COUNTIF(F303:AI303,"1"))</f>
        <v/>
      </c>
      <c r="D303" s="4">
        <f>IF(A303="","",IF(C303&gt;2*COUNTA(F$277:AI$277)/3,1,IF(C303&gt;=COUNTA(F$277:AI$277)/2,0.8,0.5)))</f>
        <v/>
      </c>
      <c r="E303" s="4">
        <f>IF(A303="","",SUMIFS('Логи'!$H$4:$H$3006,'Логи'!$A$4:$A$3006,A303,'Логи'!$C$4:$C$3006,5))</f>
        <v/>
      </c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  <c r="AF303" s="15" t="n"/>
      <c r="AG303" s="15" t="n"/>
      <c r="AH303" s="15" t="n"/>
      <c r="AI303" s="15" t="n"/>
    </row>
    <row r="304">
      <c r="A304" s="4" t="inlineStr">
        <is>
          <t>Студент1.27</t>
        </is>
      </c>
      <c r="B304" s="4" t="inlineStr"/>
      <c r="C304" s="4">
        <f>IF(A304="","",COUNTIF(F304:AI304,"+")+COUNTIF(F304:AI304,"1"))</f>
        <v/>
      </c>
      <c r="D304" s="4">
        <f>IF(A304="","",IF(C304&gt;2*COUNTA(F$277:AI$277)/3,1,IF(C304&gt;=COUNTA(F$277:AI$277)/2,0.8,0.5)))</f>
        <v/>
      </c>
      <c r="E304" s="4">
        <f>IF(A304="","",SUMIFS('Логи'!$H$4:$H$3006,'Логи'!$A$4:$A$3006,A304,'Логи'!$C$4:$C$3006,5))</f>
        <v/>
      </c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  <c r="AF304" s="15" t="n"/>
      <c r="AG304" s="15" t="n"/>
      <c r="AH304" s="15" t="n"/>
      <c r="AI304" s="15" t="n"/>
    </row>
    <row r="305">
      <c r="A305" s="4" t="inlineStr">
        <is>
          <t>Студент1.28</t>
        </is>
      </c>
      <c r="B305" s="4" t="inlineStr"/>
      <c r="C305" s="4">
        <f>IF(A305="","",COUNTIF(F305:AI305,"+")+COUNTIF(F305:AI305,"1"))</f>
        <v/>
      </c>
      <c r="D305" s="4">
        <f>IF(A305="","",IF(C305&gt;2*COUNTA(F$277:AI$277)/3,1,IF(C305&gt;=COUNTA(F$277:AI$277)/2,0.8,0.5)))</f>
        <v/>
      </c>
      <c r="E305" s="4">
        <f>IF(A305="","",SUMIFS('Логи'!$H$4:$H$3006,'Логи'!$A$4:$A$3006,A305,'Логи'!$C$4:$C$3006,5))</f>
        <v/>
      </c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  <c r="AF305" s="15" t="n"/>
      <c r="AG305" s="15" t="n"/>
      <c r="AH305" s="15" t="n"/>
      <c r="AI305" s="15" t="n"/>
    </row>
    <row r="306">
      <c r="A306" s="4" t="inlineStr">
        <is>
          <t>Студент1.29</t>
        </is>
      </c>
      <c r="B306" s="4" t="inlineStr"/>
      <c r="C306" s="4">
        <f>IF(A306="","",COUNTIF(F306:AI306,"+")+COUNTIF(F306:AI306,"1"))</f>
        <v/>
      </c>
      <c r="D306" s="4">
        <f>IF(A306="","",IF(C306&gt;2*COUNTA(F$277:AI$277)/3,1,IF(C306&gt;=COUNTA(F$277:AI$277)/2,0.8,0.5)))</f>
        <v/>
      </c>
      <c r="E306" s="4">
        <f>IF(A306="","",SUMIFS('Логи'!$H$4:$H$3006,'Логи'!$A$4:$A$3006,A306,'Логи'!$C$4:$C$3006,5))</f>
        <v/>
      </c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  <c r="AF306" s="15" t="n"/>
      <c r="AG306" s="15" t="n"/>
      <c r="AH306" s="15" t="n"/>
      <c r="AI306" s="15" t="n"/>
    </row>
    <row r="307">
      <c r="A307" s="4" t="inlineStr">
        <is>
          <t>Студент1.30</t>
        </is>
      </c>
      <c r="B307" s="4" t="inlineStr"/>
      <c r="C307" s="4">
        <f>IF(A307="","",COUNTIF(F307:AI307,"+")+COUNTIF(F307:AI307,"1"))</f>
        <v/>
      </c>
      <c r="D307" s="4">
        <f>IF(A307="","",IF(C307&gt;2*COUNTA(F$277:AI$277)/3,1,IF(C307&gt;=COUNTA(F$277:AI$277)/2,0.8,0.5)))</f>
        <v/>
      </c>
      <c r="E307" s="4">
        <f>IF(A307="","",SUMIFS('Логи'!$H$4:$H$3006,'Логи'!$A$4:$A$3006,A307,'Логи'!$C$4:$C$3006,5))</f>
        <v/>
      </c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  <c r="AF307" s="15" t="n"/>
      <c r="AG307" s="15" t="n"/>
      <c r="AH307" s="15" t="n"/>
      <c r="AI307" s="15" t="n"/>
    </row>
    <row r="309">
      <c r="A309" s="16" t="inlineStr">
        <is>
          <t>Практика 5 — результаты рассказа</t>
        </is>
      </c>
    </row>
    <row r="310" ht="28" customHeight="1">
      <c r="A310" s="7" t="inlineStr">
        <is>
          <t>Имя</t>
        </is>
      </c>
      <c r="B310" s="9" t="inlineStr">
        <is>
          <t>TG</t>
        </is>
      </c>
      <c r="C310" s="10" t="inlineStr"/>
      <c r="D310" s="2" t="inlineStr"/>
      <c r="E310" s="2" t="inlineStr"/>
      <c r="F310" s="11" t="inlineStr">
        <is>
          <t>1.0</t>
        </is>
      </c>
      <c r="G310" s="11" t="inlineStr">
        <is>
          <t>2.0</t>
        </is>
      </c>
      <c r="H310" s="11" t="inlineStr">
        <is>
          <t>3.0</t>
        </is>
      </c>
      <c r="I310" s="11" t="inlineStr">
        <is>
          <t>4.0</t>
        </is>
      </c>
      <c r="J310" s="11" t="inlineStr">
        <is>
          <t>5.0</t>
        </is>
      </c>
      <c r="K310" s="11" t="inlineStr">
        <is>
          <t>6</t>
        </is>
      </c>
      <c r="L310" s="11" t="inlineStr">
        <is>
          <t>7</t>
        </is>
      </c>
      <c r="M310" s="11" t="inlineStr">
        <is>
          <t>8</t>
        </is>
      </c>
      <c r="N310" s="11" t="inlineStr">
        <is>
          <t>9</t>
        </is>
      </c>
      <c r="O310" s="11" t="inlineStr">
        <is>
          <t>10</t>
        </is>
      </c>
      <c r="P310" s="11" t="inlineStr">
        <is>
          <t>11</t>
        </is>
      </c>
      <c r="Q310" s="11" t="inlineStr">
        <is>
          <t>12</t>
        </is>
      </c>
      <c r="R310" s="11" t="inlineStr">
        <is>
          <t>13</t>
        </is>
      </c>
      <c r="S310" s="11" t="inlineStr">
        <is>
          <t>14</t>
        </is>
      </c>
      <c r="T310" s="11" t="inlineStr">
        <is>
          <t>15</t>
        </is>
      </c>
      <c r="U310" s="11" t="inlineStr">
        <is>
          <t>16</t>
        </is>
      </c>
      <c r="V310" s="11" t="inlineStr">
        <is>
          <t>17</t>
        </is>
      </c>
      <c r="W310" s="11" t="inlineStr">
        <is>
          <t>18</t>
        </is>
      </c>
      <c r="X310" s="11" t="inlineStr">
        <is>
          <t>19</t>
        </is>
      </c>
      <c r="Y310" s="11" t="inlineStr">
        <is>
          <t>20</t>
        </is>
      </c>
      <c r="Z310" s="11" t="inlineStr">
        <is>
          <t>21</t>
        </is>
      </c>
      <c r="AA310" s="11" t="inlineStr">
        <is>
          <t>22</t>
        </is>
      </c>
      <c r="AB310" s="11" t="inlineStr">
        <is>
          <t>23</t>
        </is>
      </c>
      <c r="AC310" s="11" t="inlineStr">
        <is>
          <t>24</t>
        </is>
      </c>
      <c r="AD310" s="11" t="inlineStr">
        <is>
          <t>25</t>
        </is>
      </c>
      <c r="AE310" s="11" t="inlineStr">
        <is>
          <t>26</t>
        </is>
      </c>
      <c r="AF310" s="11" t="inlineStr">
        <is>
          <t>27</t>
        </is>
      </c>
      <c r="AG310" s="11" t="inlineStr">
        <is>
          <t>28</t>
        </is>
      </c>
      <c r="AH310" s="11" t="inlineStr">
        <is>
          <t>29</t>
        </is>
      </c>
      <c r="AI310" s="11" t="inlineStr">
        <is>
          <t>30</t>
        </is>
      </c>
    </row>
    <row r="311">
      <c r="A311" s="4" t="inlineStr">
        <is>
          <t>Студент1.1</t>
        </is>
      </c>
      <c r="B311" s="4" t="inlineStr"/>
      <c r="C311" s="4" t="n"/>
      <c r="D311" s="4" t="n"/>
      <c r="E311" s="4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  <c r="AF311" s="15" t="n"/>
      <c r="AG311" s="15" t="n"/>
      <c r="AH311" s="15" t="n"/>
      <c r="AI311" s="15" t="n"/>
    </row>
    <row r="312">
      <c r="A312" s="4" t="inlineStr">
        <is>
          <t>Студент1.2</t>
        </is>
      </c>
      <c r="B312" s="4" t="inlineStr"/>
      <c r="C312" s="4" t="n"/>
      <c r="D312" s="4" t="n"/>
      <c r="E312" s="4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  <c r="AF312" s="15" t="n"/>
      <c r="AG312" s="15" t="n"/>
      <c r="AH312" s="15" t="n"/>
      <c r="AI312" s="15" t="n"/>
    </row>
    <row r="313">
      <c r="A313" s="4" t="inlineStr">
        <is>
          <t>Студент1.3</t>
        </is>
      </c>
      <c r="B313" s="4" t="inlineStr"/>
      <c r="C313" s="4" t="n"/>
      <c r="D313" s="4" t="n"/>
      <c r="E313" s="4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  <c r="AF313" s="15" t="n"/>
      <c r="AG313" s="15" t="n"/>
      <c r="AH313" s="15" t="n"/>
      <c r="AI313" s="15" t="n"/>
    </row>
    <row r="314">
      <c r="A314" s="4" t="inlineStr">
        <is>
          <t>Студент1.4</t>
        </is>
      </c>
      <c r="B314" s="4" t="inlineStr"/>
      <c r="C314" s="4" t="n"/>
      <c r="D314" s="4" t="n"/>
      <c r="E314" s="4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  <c r="AG314" s="15" t="n"/>
      <c r="AH314" s="15" t="n"/>
      <c r="AI314" s="15" t="n"/>
    </row>
    <row r="315">
      <c r="A315" s="4" t="inlineStr">
        <is>
          <t>Студент1.5</t>
        </is>
      </c>
      <c r="B315" s="4" t="inlineStr"/>
      <c r="C315" s="4" t="n"/>
      <c r="D315" s="4" t="n"/>
      <c r="E315" s="4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  <c r="AG315" s="15" t="n"/>
      <c r="AH315" s="15" t="n"/>
      <c r="AI315" s="15" t="n"/>
    </row>
    <row r="316">
      <c r="A316" s="4" t="inlineStr">
        <is>
          <t>Студент1.6</t>
        </is>
      </c>
      <c r="B316" s="4" t="inlineStr"/>
      <c r="C316" s="4" t="n"/>
      <c r="D316" s="4" t="n"/>
      <c r="E316" s="4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5" t="n"/>
    </row>
    <row r="317">
      <c r="A317" s="4" t="inlineStr">
        <is>
          <t>Студент1.7</t>
        </is>
      </c>
      <c r="B317" s="4" t="inlineStr"/>
      <c r="C317" s="4" t="n"/>
      <c r="D317" s="4" t="n"/>
      <c r="E317" s="4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  <c r="AG317" s="15" t="n"/>
      <c r="AH317" s="15" t="n"/>
      <c r="AI317" s="15" t="n"/>
    </row>
    <row r="318">
      <c r="A318" s="4" t="inlineStr">
        <is>
          <t>Студент1.8</t>
        </is>
      </c>
      <c r="B318" s="4" t="inlineStr"/>
      <c r="C318" s="4" t="n"/>
      <c r="D318" s="4" t="n"/>
      <c r="E318" s="4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  <c r="AF318" s="15" t="n"/>
      <c r="AG318" s="15" t="n"/>
      <c r="AH318" s="15" t="n"/>
      <c r="AI318" s="15" t="n"/>
    </row>
    <row r="319">
      <c r="A319" s="4" t="inlineStr">
        <is>
          <t>Студент1.9</t>
        </is>
      </c>
      <c r="B319" s="4" t="inlineStr"/>
      <c r="C319" s="4" t="n"/>
      <c r="D319" s="4" t="n"/>
      <c r="E319" s="4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  <c r="AF319" s="15" t="n"/>
      <c r="AG319" s="15" t="n"/>
      <c r="AH319" s="15" t="n"/>
      <c r="AI319" s="15" t="n"/>
    </row>
    <row r="320">
      <c r="A320" s="4" t="inlineStr">
        <is>
          <t>Студент1.10</t>
        </is>
      </c>
      <c r="B320" s="4" t="inlineStr"/>
      <c r="C320" s="4" t="n"/>
      <c r="D320" s="4" t="n"/>
      <c r="E320" s="4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  <c r="AF320" s="15" t="n"/>
      <c r="AG320" s="15" t="n"/>
      <c r="AH320" s="15" t="n"/>
      <c r="AI320" s="15" t="n"/>
    </row>
    <row r="321">
      <c r="A321" s="4" t="inlineStr">
        <is>
          <t>Студент1.11</t>
        </is>
      </c>
      <c r="B321" s="4" t="inlineStr"/>
      <c r="C321" s="4" t="n"/>
      <c r="D321" s="4" t="n"/>
      <c r="E321" s="4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  <c r="AF321" s="15" t="n"/>
      <c r="AG321" s="15" t="n"/>
      <c r="AH321" s="15" t="n"/>
      <c r="AI321" s="15" t="n"/>
    </row>
    <row r="322">
      <c r="A322" s="4" t="inlineStr">
        <is>
          <t>Студент1.12</t>
        </is>
      </c>
      <c r="B322" s="4" t="inlineStr"/>
      <c r="C322" s="4" t="n"/>
      <c r="D322" s="4" t="n"/>
      <c r="E322" s="4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  <c r="AF322" s="15" t="n"/>
      <c r="AG322" s="15" t="n"/>
      <c r="AH322" s="15" t="n"/>
      <c r="AI322" s="15" t="n"/>
    </row>
    <row r="323">
      <c r="A323" s="4" t="inlineStr">
        <is>
          <t>Студент1.13</t>
        </is>
      </c>
      <c r="B323" s="4" t="inlineStr"/>
      <c r="C323" s="4" t="n"/>
      <c r="D323" s="4" t="n"/>
      <c r="E323" s="4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  <c r="AF323" s="15" t="n"/>
      <c r="AG323" s="15" t="n"/>
      <c r="AH323" s="15" t="n"/>
      <c r="AI323" s="15" t="n"/>
    </row>
    <row r="324">
      <c r="A324" s="4" t="inlineStr">
        <is>
          <t>Студент1.14</t>
        </is>
      </c>
      <c r="B324" s="4" t="inlineStr"/>
      <c r="C324" s="4" t="n"/>
      <c r="D324" s="4" t="n"/>
      <c r="E324" s="4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  <c r="AF324" s="15" t="n"/>
      <c r="AG324" s="15" t="n"/>
      <c r="AH324" s="15" t="n"/>
      <c r="AI324" s="15" t="n"/>
    </row>
    <row r="325">
      <c r="A325" s="4" t="inlineStr">
        <is>
          <t>Студент1.15</t>
        </is>
      </c>
      <c r="B325" s="4" t="inlineStr"/>
      <c r="C325" s="4" t="n"/>
      <c r="D325" s="4" t="n"/>
      <c r="E325" s="4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  <c r="AF325" s="15" t="n"/>
      <c r="AG325" s="15" t="n"/>
      <c r="AH325" s="15" t="n"/>
      <c r="AI325" s="15" t="n"/>
    </row>
    <row r="326">
      <c r="A326" s="4" t="inlineStr">
        <is>
          <t>Студент1.16</t>
        </is>
      </c>
      <c r="B326" s="4" t="inlineStr"/>
      <c r="C326" s="4" t="n"/>
      <c r="D326" s="4" t="n"/>
      <c r="E326" s="4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  <c r="AF326" s="15" t="n"/>
      <c r="AG326" s="15" t="n"/>
      <c r="AH326" s="15" t="n"/>
      <c r="AI326" s="15" t="n"/>
    </row>
    <row r="327">
      <c r="A327" s="4" t="inlineStr">
        <is>
          <t>Студент1.17</t>
        </is>
      </c>
      <c r="B327" s="4" t="inlineStr"/>
      <c r="C327" s="4" t="n"/>
      <c r="D327" s="4" t="n"/>
      <c r="E327" s="4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  <c r="AG327" s="15" t="n"/>
      <c r="AH327" s="15" t="n"/>
      <c r="AI327" s="15" t="n"/>
    </row>
    <row r="328">
      <c r="A328" s="4" t="inlineStr">
        <is>
          <t>Студент1.18</t>
        </is>
      </c>
      <c r="B328" s="4" t="inlineStr"/>
      <c r="C328" s="4" t="n"/>
      <c r="D328" s="4" t="n"/>
      <c r="E328" s="4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  <c r="AG328" s="15" t="n"/>
      <c r="AH328" s="15" t="n"/>
      <c r="AI328" s="15" t="n"/>
    </row>
    <row r="329">
      <c r="A329" s="4" t="inlineStr">
        <is>
          <t>Студент1.19</t>
        </is>
      </c>
      <c r="B329" s="4" t="inlineStr"/>
      <c r="C329" s="4" t="n"/>
      <c r="D329" s="4" t="n"/>
      <c r="E329" s="4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  <c r="AF329" s="15" t="n"/>
      <c r="AG329" s="15" t="n"/>
      <c r="AH329" s="15" t="n"/>
      <c r="AI329" s="15" t="n"/>
    </row>
    <row r="330">
      <c r="A330" s="4" t="inlineStr">
        <is>
          <t>Студент1.20</t>
        </is>
      </c>
      <c r="B330" s="4" t="inlineStr"/>
      <c r="C330" s="4" t="n"/>
      <c r="D330" s="4" t="n"/>
      <c r="E330" s="4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  <c r="AG330" s="15" t="n"/>
      <c r="AH330" s="15" t="n"/>
      <c r="AI330" s="15" t="n"/>
    </row>
    <row r="331">
      <c r="A331" s="4" t="inlineStr">
        <is>
          <t>Студент1.21</t>
        </is>
      </c>
      <c r="B331" s="4" t="inlineStr"/>
      <c r="C331" s="4" t="n"/>
      <c r="D331" s="4" t="n"/>
      <c r="E331" s="4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  <c r="AG331" s="15" t="n"/>
      <c r="AH331" s="15" t="n"/>
      <c r="AI331" s="15" t="n"/>
    </row>
    <row r="332">
      <c r="A332" s="4" t="inlineStr">
        <is>
          <t>Студент1.22</t>
        </is>
      </c>
      <c r="B332" s="4" t="inlineStr"/>
      <c r="C332" s="4" t="n"/>
      <c r="D332" s="4" t="n"/>
      <c r="E332" s="4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  <c r="AF332" s="15" t="n"/>
      <c r="AG332" s="15" t="n"/>
      <c r="AH332" s="15" t="n"/>
      <c r="AI332" s="15" t="n"/>
    </row>
    <row r="333">
      <c r="A333" s="4" t="inlineStr">
        <is>
          <t>Студент1.23</t>
        </is>
      </c>
      <c r="B333" s="4" t="inlineStr"/>
      <c r="C333" s="4" t="n"/>
      <c r="D333" s="4" t="n"/>
      <c r="E333" s="4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  <c r="AG333" s="15" t="n"/>
      <c r="AH333" s="15" t="n"/>
      <c r="AI333" s="15" t="n"/>
    </row>
    <row r="334">
      <c r="A334" s="4" t="inlineStr">
        <is>
          <t>Студент1.24</t>
        </is>
      </c>
      <c r="B334" s="4" t="inlineStr"/>
      <c r="C334" s="4" t="n"/>
      <c r="D334" s="4" t="n"/>
      <c r="E334" s="4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  <c r="AG334" s="15" t="n"/>
      <c r="AH334" s="15" t="n"/>
      <c r="AI334" s="15" t="n"/>
    </row>
    <row r="335">
      <c r="A335" s="4" t="inlineStr">
        <is>
          <t>Студент1.25</t>
        </is>
      </c>
      <c r="B335" s="4" t="inlineStr"/>
      <c r="C335" s="4" t="n"/>
      <c r="D335" s="4" t="n"/>
      <c r="E335" s="4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  <c r="AG335" s="15" t="n"/>
      <c r="AH335" s="15" t="n"/>
      <c r="AI335" s="15" t="n"/>
    </row>
    <row r="336">
      <c r="A336" s="4" t="inlineStr">
        <is>
          <t>Студент1.26</t>
        </is>
      </c>
      <c r="B336" s="4" t="inlineStr"/>
      <c r="C336" s="4" t="n"/>
      <c r="D336" s="4" t="n"/>
      <c r="E336" s="4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  <c r="AG336" s="15" t="n"/>
      <c r="AH336" s="15" t="n"/>
      <c r="AI336" s="15" t="n"/>
    </row>
    <row r="337">
      <c r="A337" s="4" t="inlineStr">
        <is>
          <t>Студент1.27</t>
        </is>
      </c>
      <c r="B337" s="4" t="inlineStr"/>
      <c r="C337" s="4" t="n"/>
      <c r="D337" s="4" t="n"/>
      <c r="E337" s="4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  <c r="AG337" s="15" t="n"/>
      <c r="AH337" s="15" t="n"/>
      <c r="AI337" s="15" t="n"/>
    </row>
    <row r="338">
      <c r="A338" s="4" t="inlineStr">
        <is>
          <t>Студент1.28</t>
        </is>
      </c>
      <c r="B338" s="4" t="inlineStr"/>
      <c r="C338" s="4" t="n"/>
      <c r="D338" s="4" t="n"/>
      <c r="E338" s="4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  <c r="AG338" s="15" t="n"/>
      <c r="AH338" s="15" t="n"/>
      <c r="AI338" s="15" t="n"/>
    </row>
    <row r="339">
      <c r="A339" s="4" t="inlineStr">
        <is>
          <t>Студент1.29</t>
        </is>
      </c>
      <c r="B339" s="4" t="inlineStr"/>
      <c r="C339" s="4" t="n"/>
      <c r="D339" s="4" t="n"/>
      <c r="E339" s="4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  <c r="AF339" s="15" t="n"/>
      <c r="AG339" s="15" t="n"/>
      <c r="AH339" s="15" t="n"/>
      <c r="AI339" s="15" t="n"/>
    </row>
    <row r="340">
      <c r="A340" s="4" t="inlineStr">
        <is>
          <t>Студент1.30</t>
        </is>
      </c>
      <c r="B340" s="4" t="inlineStr"/>
      <c r="C340" s="4" t="n"/>
      <c r="D340" s="4" t="n"/>
      <c r="E340" s="4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  <c r="AF340" s="15" t="n"/>
      <c r="AG340" s="15" t="n"/>
      <c r="AH340" s="15" t="n"/>
      <c r="AI340" s="15" t="n"/>
    </row>
    <row r="344">
      <c r="A344" s="13" t="inlineStr">
        <is>
          <t>Практика 6 — плюсы</t>
        </is>
      </c>
    </row>
    <row r="345" ht="28" customHeight="1">
      <c r="A345" s="7" t="inlineStr">
        <is>
          <t>Имя</t>
        </is>
      </c>
      <c r="B345" s="9" t="inlineStr">
        <is>
          <t>TG</t>
        </is>
      </c>
      <c r="C345" s="10" t="inlineStr">
        <is>
          <t>S</t>
        </is>
      </c>
      <c r="D345" s="8" t="inlineStr">
        <is>
          <t>Коэффициент</t>
        </is>
      </c>
      <c r="E345" s="14" t="inlineStr">
        <is>
          <t>D за практику</t>
        </is>
      </c>
      <c r="F345" s="11" t="inlineStr">
        <is>
          <t>1.0</t>
        </is>
      </c>
      <c r="G345" s="11" t="inlineStr">
        <is>
          <t>2.0</t>
        </is>
      </c>
      <c r="H345" s="11" t="inlineStr">
        <is>
          <t>3.0</t>
        </is>
      </c>
      <c r="I345" s="11" t="inlineStr">
        <is>
          <t>4.0</t>
        </is>
      </c>
      <c r="J345" s="11" t="inlineStr">
        <is>
          <t>5.0</t>
        </is>
      </c>
      <c r="K345" s="11" t="inlineStr">
        <is>
          <t>6</t>
        </is>
      </c>
      <c r="L345" s="11" t="inlineStr">
        <is>
          <t>7</t>
        </is>
      </c>
      <c r="M345" s="11" t="inlineStr">
        <is>
          <t>8</t>
        </is>
      </c>
      <c r="N345" s="11" t="inlineStr">
        <is>
          <t>9</t>
        </is>
      </c>
      <c r="O345" s="11" t="inlineStr">
        <is>
          <t>10</t>
        </is>
      </c>
      <c r="P345" s="11" t="inlineStr">
        <is>
          <t>11</t>
        </is>
      </c>
      <c r="Q345" s="11" t="inlineStr">
        <is>
          <t>12</t>
        </is>
      </c>
      <c r="R345" s="11" t="inlineStr">
        <is>
          <t>13</t>
        </is>
      </c>
      <c r="S345" s="11" t="inlineStr">
        <is>
          <t>14</t>
        </is>
      </c>
      <c r="T345" s="11" t="inlineStr">
        <is>
          <t>15</t>
        </is>
      </c>
      <c r="U345" s="11" t="inlineStr">
        <is>
          <t>16</t>
        </is>
      </c>
      <c r="V345" s="11" t="inlineStr">
        <is>
          <t>17</t>
        </is>
      </c>
      <c r="W345" s="11" t="inlineStr">
        <is>
          <t>18</t>
        </is>
      </c>
      <c r="X345" s="11" t="inlineStr">
        <is>
          <t>19</t>
        </is>
      </c>
      <c r="Y345" s="11" t="inlineStr">
        <is>
          <t>20</t>
        </is>
      </c>
      <c r="Z345" s="11" t="inlineStr">
        <is>
          <t>21</t>
        </is>
      </c>
      <c r="AA345" s="11" t="inlineStr">
        <is>
          <t>22</t>
        </is>
      </c>
      <c r="AB345" s="11" t="inlineStr">
        <is>
          <t>23</t>
        </is>
      </c>
      <c r="AC345" s="11" t="inlineStr">
        <is>
          <t>24</t>
        </is>
      </c>
      <c r="AD345" s="11" t="inlineStr">
        <is>
          <t>25</t>
        </is>
      </c>
      <c r="AE345" s="11" t="inlineStr">
        <is>
          <t>26</t>
        </is>
      </c>
      <c r="AF345" s="11" t="inlineStr">
        <is>
          <t>27</t>
        </is>
      </c>
      <c r="AG345" s="11" t="inlineStr">
        <is>
          <t>28</t>
        </is>
      </c>
      <c r="AH345" s="11" t="inlineStr">
        <is>
          <t>29</t>
        </is>
      </c>
      <c r="AI345" s="11" t="inlineStr">
        <is>
          <t>30</t>
        </is>
      </c>
    </row>
    <row r="346">
      <c r="A346" s="4" t="inlineStr">
        <is>
          <t>Студент1.1</t>
        </is>
      </c>
      <c r="B346" s="4" t="inlineStr"/>
      <c r="C346" s="4">
        <f>IF(A346="","",COUNTIF(F346:AI346,"+")+COUNTIF(F346:AI346,"1"))</f>
        <v/>
      </c>
      <c r="D346" s="4">
        <f>IF(A346="","",IF(C346&gt;2*COUNTA(F$345:AI$345)/3,1,IF(C346&gt;=COUNTA(F$345:AI$345)/2,0.8,0.5)))</f>
        <v/>
      </c>
      <c r="E346" s="4">
        <f>IF(A346="","",SUMIFS('Логи'!$H$4:$H$3006,'Логи'!$A$4:$A$3006,A346,'Логи'!$C$4:$C$3006,6))</f>
        <v/>
      </c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  <c r="AF346" s="15" t="n"/>
      <c r="AG346" s="15" t="n"/>
      <c r="AH346" s="15" t="n"/>
      <c r="AI346" s="15" t="n"/>
    </row>
    <row r="347">
      <c r="A347" s="4" t="inlineStr">
        <is>
          <t>Студент1.2</t>
        </is>
      </c>
      <c r="B347" s="4" t="inlineStr"/>
      <c r="C347" s="4">
        <f>IF(A347="","",COUNTIF(F347:AI347,"+")+COUNTIF(F347:AI347,"1"))</f>
        <v/>
      </c>
      <c r="D347" s="4">
        <f>IF(A347="","",IF(C347&gt;2*COUNTA(F$345:AI$345)/3,1,IF(C347&gt;=COUNTA(F$345:AI$345)/2,0.8,0.5)))</f>
        <v/>
      </c>
      <c r="E347" s="4">
        <f>IF(A347="","",SUMIFS('Логи'!$H$4:$H$3006,'Логи'!$A$4:$A$3006,A347,'Логи'!$C$4:$C$3006,6))</f>
        <v/>
      </c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  <c r="AF347" s="15" t="n"/>
      <c r="AG347" s="15" t="n"/>
      <c r="AH347" s="15" t="n"/>
      <c r="AI347" s="15" t="n"/>
    </row>
    <row r="348">
      <c r="A348" s="4" t="inlineStr">
        <is>
          <t>Студент1.3</t>
        </is>
      </c>
      <c r="B348" s="4" t="inlineStr"/>
      <c r="C348" s="4">
        <f>IF(A348="","",COUNTIF(F348:AI348,"+")+COUNTIF(F348:AI348,"1"))</f>
        <v/>
      </c>
      <c r="D348" s="4">
        <f>IF(A348="","",IF(C348&gt;2*COUNTA(F$345:AI$345)/3,1,IF(C348&gt;=COUNTA(F$345:AI$345)/2,0.8,0.5)))</f>
        <v/>
      </c>
      <c r="E348" s="4">
        <f>IF(A348="","",SUMIFS('Логи'!$H$4:$H$3006,'Логи'!$A$4:$A$3006,A348,'Логи'!$C$4:$C$3006,6))</f>
        <v/>
      </c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  <c r="AF348" s="15" t="n"/>
      <c r="AG348" s="15" t="n"/>
      <c r="AH348" s="15" t="n"/>
      <c r="AI348" s="15" t="n"/>
    </row>
    <row r="349">
      <c r="A349" s="4" t="inlineStr">
        <is>
          <t>Студент1.4</t>
        </is>
      </c>
      <c r="B349" s="4" t="inlineStr"/>
      <c r="C349" s="4">
        <f>IF(A349="","",COUNTIF(F349:AI349,"+")+COUNTIF(F349:AI349,"1"))</f>
        <v/>
      </c>
      <c r="D349" s="4">
        <f>IF(A349="","",IF(C349&gt;2*COUNTA(F$345:AI$345)/3,1,IF(C349&gt;=COUNTA(F$345:AI$345)/2,0.8,0.5)))</f>
        <v/>
      </c>
      <c r="E349" s="4">
        <f>IF(A349="","",SUMIFS('Логи'!$H$4:$H$3006,'Логи'!$A$4:$A$3006,A349,'Логи'!$C$4:$C$3006,6))</f>
        <v/>
      </c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  <c r="AF349" s="15" t="n"/>
      <c r="AG349" s="15" t="n"/>
      <c r="AH349" s="15" t="n"/>
      <c r="AI349" s="15" t="n"/>
    </row>
    <row r="350">
      <c r="A350" s="4" t="inlineStr">
        <is>
          <t>Студент1.5</t>
        </is>
      </c>
      <c r="B350" s="4" t="inlineStr"/>
      <c r="C350" s="4">
        <f>IF(A350="","",COUNTIF(F350:AI350,"+")+COUNTIF(F350:AI350,"1"))</f>
        <v/>
      </c>
      <c r="D350" s="4">
        <f>IF(A350="","",IF(C350&gt;2*COUNTA(F$345:AI$345)/3,1,IF(C350&gt;=COUNTA(F$345:AI$345)/2,0.8,0.5)))</f>
        <v/>
      </c>
      <c r="E350" s="4">
        <f>IF(A350="","",SUMIFS('Логи'!$H$4:$H$3006,'Логи'!$A$4:$A$3006,A350,'Логи'!$C$4:$C$3006,6))</f>
        <v/>
      </c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  <c r="AF350" s="15" t="n"/>
      <c r="AG350" s="15" t="n"/>
      <c r="AH350" s="15" t="n"/>
      <c r="AI350" s="15" t="n"/>
    </row>
    <row r="351">
      <c r="A351" s="4" t="inlineStr">
        <is>
          <t>Студент1.6</t>
        </is>
      </c>
      <c r="B351" s="4" t="inlineStr"/>
      <c r="C351" s="4">
        <f>IF(A351="","",COUNTIF(F351:AI351,"+")+COUNTIF(F351:AI351,"1"))</f>
        <v/>
      </c>
      <c r="D351" s="4">
        <f>IF(A351="","",IF(C351&gt;2*COUNTA(F$345:AI$345)/3,1,IF(C351&gt;=COUNTA(F$345:AI$345)/2,0.8,0.5)))</f>
        <v/>
      </c>
      <c r="E351" s="4">
        <f>IF(A351="","",SUMIFS('Логи'!$H$4:$H$3006,'Логи'!$A$4:$A$3006,A351,'Логи'!$C$4:$C$3006,6))</f>
        <v/>
      </c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  <c r="AF351" s="15" t="n"/>
      <c r="AG351" s="15" t="n"/>
      <c r="AH351" s="15" t="n"/>
      <c r="AI351" s="15" t="n"/>
    </row>
    <row r="352">
      <c r="A352" s="4" t="inlineStr">
        <is>
          <t>Студент1.7</t>
        </is>
      </c>
      <c r="B352" s="4" t="inlineStr"/>
      <c r="C352" s="4">
        <f>IF(A352="","",COUNTIF(F352:AI352,"+")+COUNTIF(F352:AI352,"1"))</f>
        <v/>
      </c>
      <c r="D352" s="4">
        <f>IF(A352="","",IF(C352&gt;2*COUNTA(F$345:AI$345)/3,1,IF(C352&gt;=COUNTA(F$345:AI$345)/2,0.8,0.5)))</f>
        <v/>
      </c>
      <c r="E352" s="4">
        <f>IF(A352="","",SUMIFS('Логи'!$H$4:$H$3006,'Логи'!$A$4:$A$3006,A352,'Логи'!$C$4:$C$3006,6))</f>
        <v/>
      </c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  <c r="AF352" s="15" t="n"/>
      <c r="AG352" s="15" t="n"/>
      <c r="AH352" s="15" t="n"/>
      <c r="AI352" s="15" t="n"/>
    </row>
    <row r="353">
      <c r="A353" s="4" t="inlineStr">
        <is>
          <t>Студент1.8</t>
        </is>
      </c>
      <c r="B353" s="4" t="inlineStr"/>
      <c r="C353" s="4">
        <f>IF(A353="","",COUNTIF(F353:AI353,"+")+COUNTIF(F353:AI353,"1"))</f>
        <v/>
      </c>
      <c r="D353" s="4">
        <f>IF(A353="","",IF(C353&gt;2*COUNTA(F$345:AI$345)/3,1,IF(C353&gt;=COUNTA(F$345:AI$345)/2,0.8,0.5)))</f>
        <v/>
      </c>
      <c r="E353" s="4">
        <f>IF(A353="","",SUMIFS('Логи'!$H$4:$H$3006,'Логи'!$A$4:$A$3006,A353,'Логи'!$C$4:$C$3006,6))</f>
        <v/>
      </c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  <c r="AF353" s="15" t="n"/>
      <c r="AG353" s="15" t="n"/>
      <c r="AH353" s="15" t="n"/>
      <c r="AI353" s="15" t="n"/>
    </row>
    <row r="354">
      <c r="A354" s="4" t="inlineStr">
        <is>
          <t>Студент1.9</t>
        </is>
      </c>
      <c r="B354" s="4" t="inlineStr"/>
      <c r="C354" s="4">
        <f>IF(A354="","",COUNTIF(F354:AI354,"+")+COUNTIF(F354:AI354,"1"))</f>
        <v/>
      </c>
      <c r="D354" s="4">
        <f>IF(A354="","",IF(C354&gt;2*COUNTA(F$345:AI$345)/3,1,IF(C354&gt;=COUNTA(F$345:AI$345)/2,0.8,0.5)))</f>
        <v/>
      </c>
      <c r="E354" s="4">
        <f>IF(A354="","",SUMIFS('Логи'!$H$4:$H$3006,'Логи'!$A$4:$A$3006,A354,'Логи'!$C$4:$C$3006,6))</f>
        <v/>
      </c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  <c r="AG354" s="15" t="n"/>
      <c r="AH354" s="15" t="n"/>
      <c r="AI354" s="15" t="n"/>
    </row>
    <row r="355">
      <c r="A355" s="4" t="inlineStr">
        <is>
          <t>Студент1.10</t>
        </is>
      </c>
      <c r="B355" s="4" t="inlineStr"/>
      <c r="C355" s="4">
        <f>IF(A355="","",COUNTIF(F355:AI355,"+")+COUNTIF(F355:AI355,"1"))</f>
        <v/>
      </c>
      <c r="D355" s="4">
        <f>IF(A355="","",IF(C355&gt;2*COUNTA(F$345:AI$345)/3,1,IF(C355&gt;=COUNTA(F$345:AI$345)/2,0.8,0.5)))</f>
        <v/>
      </c>
      <c r="E355" s="4">
        <f>IF(A355="","",SUMIFS('Логи'!$H$4:$H$3006,'Логи'!$A$4:$A$3006,A355,'Логи'!$C$4:$C$3006,6))</f>
        <v/>
      </c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  <c r="AG355" s="15" t="n"/>
      <c r="AH355" s="15" t="n"/>
      <c r="AI355" s="15" t="n"/>
    </row>
    <row r="356">
      <c r="A356" s="4" t="inlineStr">
        <is>
          <t>Студент1.11</t>
        </is>
      </c>
      <c r="B356" s="4" t="inlineStr"/>
      <c r="C356" s="4">
        <f>IF(A356="","",COUNTIF(F356:AI356,"+")+COUNTIF(F356:AI356,"1"))</f>
        <v/>
      </c>
      <c r="D356" s="4">
        <f>IF(A356="","",IF(C356&gt;2*COUNTA(F$345:AI$345)/3,1,IF(C356&gt;=COUNTA(F$345:AI$345)/2,0.8,0.5)))</f>
        <v/>
      </c>
      <c r="E356" s="4">
        <f>IF(A356="","",SUMIFS('Логи'!$H$4:$H$3006,'Логи'!$A$4:$A$3006,A356,'Логи'!$C$4:$C$3006,6))</f>
        <v/>
      </c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</row>
    <row r="357">
      <c r="A357" s="4" t="inlineStr">
        <is>
          <t>Студент1.12</t>
        </is>
      </c>
      <c r="B357" s="4" t="inlineStr"/>
      <c r="C357" s="4">
        <f>IF(A357="","",COUNTIF(F357:AI357,"+")+COUNTIF(F357:AI357,"1"))</f>
        <v/>
      </c>
      <c r="D357" s="4">
        <f>IF(A357="","",IF(C357&gt;2*COUNTA(F$345:AI$345)/3,1,IF(C357&gt;=COUNTA(F$345:AI$345)/2,0.8,0.5)))</f>
        <v/>
      </c>
      <c r="E357" s="4">
        <f>IF(A357="","",SUMIFS('Логи'!$H$4:$H$3006,'Логи'!$A$4:$A$3006,A357,'Логи'!$C$4:$C$3006,6))</f>
        <v/>
      </c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  <c r="AG357" s="15" t="n"/>
      <c r="AH357" s="15" t="n"/>
      <c r="AI357" s="15" t="n"/>
    </row>
    <row r="358">
      <c r="A358" s="4" t="inlineStr">
        <is>
          <t>Студент1.13</t>
        </is>
      </c>
      <c r="B358" s="4" t="inlineStr"/>
      <c r="C358" s="4">
        <f>IF(A358="","",COUNTIF(F358:AI358,"+")+COUNTIF(F358:AI358,"1"))</f>
        <v/>
      </c>
      <c r="D358" s="4">
        <f>IF(A358="","",IF(C358&gt;2*COUNTA(F$345:AI$345)/3,1,IF(C358&gt;=COUNTA(F$345:AI$345)/2,0.8,0.5)))</f>
        <v/>
      </c>
      <c r="E358" s="4">
        <f>IF(A358="","",SUMIFS('Логи'!$H$4:$H$3006,'Логи'!$A$4:$A$3006,A358,'Логи'!$C$4:$C$3006,6))</f>
        <v/>
      </c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5" t="n"/>
    </row>
    <row r="359">
      <c r="A359" s="4" t="inlineStr">
        <is>
          <t>Студент1.14</t>
        </is>
      </c>
      <c r="B359" s="4" t="inlineStr"/>
      <c r="C359" s="4">
        <f>IF(A359="","",COUNTIF(F359:AI359,"+")+COUNTIF(F359:AI359,"1"))</f>
        <v/>
      </c>
      <c r="D359" s="4">
        <f>IF(A359="","",IF(C359&gt;2*COUNTA(F$345:AI$345)/3,1,IF(C359&gt;=COUNTA(F$345:AI$345)/2,0.8,0.5)))</f>
        <v/>
      </c>
      <c r="E359" s="4">
        <f>IF(A359="","",SUMIFS('Логи'!$H$4:$H$3006,'Логи'!$A$4:$A$3006,A359,'Логи'!$C$4:$C$3006,6))</f>
        <v/>
      </c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  <c r="AF359" s="15" t="n"/>
      <c r="AG359" s="15" t="n"/>
      <c r="AH359" s="15" t="n"/>
      <c r="AI359" s="15" t="n"/>
    </row>
    <row r="360">
      <c r="A360" s="4" t="inlineStr">
        <is>
          <t>Студент1.15</t>
        </is>
      </c>
      <c r="B360" s="4" t="inlineStr"/>
      <c r="C360" s="4">
        <f>IF(A360="","",COUNTIF(F360:AI360,"+")+COUNTIF(F360:AI360,"1"))</f>
        <v/>
      </c>
      <c r="D360" s="4">
        <f>IF(A360="","",IF(C360&gt;2*COUNTA(F$345:AI$345)/3,1,IF(C360&gt;=COUNTA(F$345:AI$345)/2,0.8,0.5)))</f>
        <v/>
      </c>
      <c r="E360" s="4">
        <f>IF(A360="","",SUMIFS('Логи'!$H$4:$H$3006,'Логи'!$A$4:$A$3006,A360,'Логи'!$C$4:$C$3006,6))</f>
        <v/>
      </c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  <c r="AF360" s="15" t="n"/>
      <c r="AG360" s="15" t="n"/>
      <c r="AH360" s="15" t="n"/>
      <c r="AI360" s="15" t="n"/>
    </row>
    <row r="361">
      <c r="A361" s="4" t="inlineStr">
        <is>
          <t>Студент1.16</t>
        </is>
      </c>
      <c r="B361" s="4" t="inlineStr"/>
      <c r="C361" s="4">
        <f>IF(A361="","",COUNTIF(F361:AI361,"+")+COUNTIF(F361:AI361,"1"))</f>
        <v/>
      </c>
      <c r="D361" s="4">
        <f>IF(A361="","",IF(C361&gt;2*COUNTA(F$345:AI$345)/3,1,IF(C361&gt;=COUNTA(F$345:AI$345)/2,0.8,0.5)))</f>
        <v/>
      </c>
      <c r="E361" s="4">
        <f>IF(A361="","",SUMIFS('Логи'!$H$4:$H$3006,'Логи'!$A$4:$A$3006,A361,'Логи'!$C$4:$C$3006,6))</f>
        <v/>
      </c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  <c r="AG361" s="15" t="n"/>
      <c r="AH361" s="15" t="n"/>
      <c r="AI361" s="15" t="n"/>
    </row>
    <row r="362">
      <c r="A362" s="4" t="inlineStr">
        <is>
          <t>Студент1.17</t>
        </is>
      </c>
      <c r="B362" s="4" t="inlineStr"/>
      <c r="C362" s="4">
        <f>IF(A362="","",COUNTIF(F362:AI362,"+")+COUNTIF(F362:AI362,"1"))</f>
        <v/>
      </c>
      <c r="D362" s="4">
        <f>IF(A362="","",IF(C362&gt;2*COUNTA(F$345:AI$345)/3,1,IF(C362&gt;=COUNTA(F$345:AI$345)/2,0.8,0.5)))</f>
        <v/>
      </c>
      <c r="E362" s="4">
        <f>IF(A362="","",SUMIFS('Логи'!$H$4:$H$3006,'Логи'!$A$4:$A$3006,A362,'Логи'!$C$4:$C$3006,6))</f>
        <v/>
      </c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  <c r="AG362" s="15" t="n"/>
      <c r="AH362" s="15" t="n"/>
      <c r="AI362" s="15" t="n"/>
    </row>
    <row r="363">
      <c r="A363" s="4" t="inlineStr">
        <is>
          <t>Студент1.18</t>
        </is>
      </c>
      <c r="B363" s="4" t="inlineStr"/>
      <c r="C363" s="4">
        <f>IF(A363="","",COUNTIF(F363:AI363,"+")+COUNTIF(F363:AI363,"1"))</f>
        <v/>
      </c>
      <c r="D363" s="4">
        <f>IF(A363="","",IF(C363&gt;2*COUNTA(F$345:AI$345)/3,1,IF(C363&gt;=COUNTA(F$345:AI$345)/2,0.8,0.5)))</f>
        <v/>
      </c>
      <c r="E363" s="4">
        <f>IF(A363="","",SUMIFS('Логи'!$H$4:$H$3006,'Логи'!$A$4:$A$3006,A363,'Логи'!$C$4:$C$3006,6))</f>
        <v/>
      </c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  <c r="AG363" s="15" t="n"/>
      <c r="AH363" s="15" t="n"/>
      <c r="AI363" s="15" t="n"/>
    </row>
    <row r="364">
      <c r="A364" s="4" t="inlineStr">
        <is>
          <t>Студент1.19</t>
        </is>
      </c>
      <c r="B364" s="4" t="inlineStr"/>
      <c r="C364" s="4">
        <f>IF(A364="","",COUNTIF(F364:AI364,"+")+COUNTIF(F364:AI364,"1"))</f>
        <v/>
      </c>
      <c r="D364" s="4">
        <f>IF(A364="","",IF(C364&gt;2*COUNTA(F$345:AI$345)/3,1,IF(C364&gt;=COUNTA(F$345:AI$345)/2,0.8,0.5)))</f>
        <v/>
      </c>
      <c r="E364" s="4">
        <f>IF(A364="","",SUMIFS('Логи'!$H$4:$H$3006,'Логи'!$A$4:$A$3006,A364,'Логи'!$C$4:$C$3006,6))</f>
        <v/>
      </c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  <c r="AG364" s="15" t="n"/>
      <c r="AH364" s="15" t="n"/>
      <c r="AI364" s="15" t="n"/>
    </row>
    <row r="365">
      <c r="A365" s="4" t="inlineStr">
        <is>
          <t>Студент1.20</t>
        </is>
      </c>
      <c r="B365" s="4" t="inlineStr"/>
      <c r="C365" s="4">
        <f>IF(A365="","",COUNTIF(F365:AI365,"+")+COUNTIF(F365:AI365,"1"))</f>
        <v/>
      </c>
      <c r="D365" s="4">
        <f>IF(A365="","",IF(C365&gt;2*COUNTA(F$345:AI$345)/3,1,IF(C365&gt;=COUNTA(F$345:AI$345)/2,0.8,0.5)))</f>
        <v/>
      </c>
      <c r="E365" s="4">
        <f>IF(A365="","",SUMIFS('Логи'!$H$4:$H$3006,'Логи'!$A$4:$A$3006,A365,'Логи'!$C$4:$C$3006,6))</f>
        <v/>
      </c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  <c r="AG365" s="15" t="n"/>
      <c r="AH365" s="15" t="n"/>
      <c r="AI365" s="15" t="n"/>
    </row>
    <row r="366">
      <c r="A366" s="4" t="inlineStr">
        <is>
          <t>Студент1.21</t>
        </is>
      </c>
      <c r="B366" s="4" t="inlineStr"/>
      <c r="C366" s="4">
        <f>IF(A366="","",COUNTIF(F366:AI366,"+")+COUNTIF(F366:AI366,"1"))</f>
        <v/>
      </c>
      <c r="D366" s="4">
        <f>IF(A366="","",IF(C366&gt;2*COUNTA(F$345:AI$345)/3,1,IF(C366&gt;=COUNTA(F$345:AI$345)/2,0.8,0.5)))</f>
        <v/>
      </c>
      <c r="E366" s="4">
        <f>IF(A366="","",SUMIFS('Логи'!$H$4:$H$3006,'Логи'!$A$4:$A$3006,A366,'Логи'!$C$4:$C$3006,6))</f>
        <v/>
      </c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  <c r="AF366" s="15" t="n"/>
      <c r="AG366" s="15" t="n"/>
      <c r="AH366" s="15" t="n"/>
      <c r="AI366" s="15" t="n"/>
    </row>
    <row r="367">
      <c r="A367" s="4" t="inlineStr">
        <is>
          <t>Студент1.22</t>
        </is>
      </c>
      <c r="B367" s="4" t="inlineStr"/>
      <c r="C367" s="4">
        <f>IF(A367="","",COUNTIF(F367:AI367,"+")+COUNTIF(F367:AI367,"1"))</f>
        <v/>
      </c>
      <c r="D367" s="4">
        <f>IF(A367="","",IF(C367&gt;2*COUNTA(F$345:AI$345)/3,1,IF(C367&gt;=COUNTA(F$345:AI$345)/2,0.8,0.5)))</f>
        <v/>
      </c>
      <c r="E367" s="4">
        <f>IF(A367="","",SUMIFS('Логи'!$H$4:$H$3006,'Логи'!$A$4:$A$3006,A367,'Логи'!$C$4:$C$3006,6))</f>
        <v/>
      </c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  <c r="AF367" s="15" t="n"/>
      <c r="AG367" s="15" t="n"/>
      <c r="AH367" s="15" t="n"/>
      <c r="AI367" s="15" t="n"/>
    </row>
    <row r="368">
      <c r="A368" s="4" t="inlineStr">
        <is>
          <t>Студент1.23</t>
        </is>
      </c>
      <c r="B368" s="4" t="inlineStr"/>
      <c r="C368" s="4">
        <f>IF(A368="","",COUNTIF(F368:AI368,"+")+COUNTIF(F368:AI368,"1"))</f>
        <v/>
      </c>
      <c r="D368" s="4">
        <f>IF(A368="","",IF(C368&gt;2*COUNTA(F$345:AI$345)/3,1,IF(C368&gt;=COUNTA(F$345:AI$345)/2,0.8,0.5)))</f>
        <v/>
      </c>
      <c r="E368" s="4">
        <f>IF(A368="","",SUMIFS('Логи'!$H$4:$H$3006,'Логи'!$A$4:$A$3006,A368,'Логи'!$C$4:$C$3006,6))</f>
        <v/>
      </c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  <c r="AF368" s="15" t="n"/>
      <c r="AG368" s="15" t="n"/>
      <c r="AH368" s="15" t="n"/>
      <c r="AI368" s="15" t="n"/>
    </row>
    <row r="369">
      <c r="A369" s="4" t="inlineStr">
        <is>
          <t>Студент1.24</t>
        </is>
      </c>
      <c r="B369" s="4" t="inlineStr"/>
      <c r="C369" s="4">
        <f>IF(A369="","",COUNTIF(F369:AI369,"+")+COUNTIF(F369:AI369,"1"))</f>
        <v/>
      </c>
      <c r="D369" s="4">
        <f>IF(A369="","",IF(C369&gt;2*COUNTA(F$345:AI$345)/3,1,IF(C369&gt;=COUNTA(F$345:AI$345)/2,0.8,0.5)))</f>
        <v/>
      </c>
      <c r="E369" s="4">
        <f>IF(A369="","",SUMIFS('Логи'!$H$4:$H$3006,'Логи'!$A$4:$A$3006,A369,'Логи'!$C$4:$C$3006,6))</f>
        <v/>
      </c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  <c r="AF369" s="15" t="n"/>
      <c r="AG369" s="15" t="n"/>
      <c r="AH369" s="15" t="n"/>
      <c r="AI369" s="15" t="n"/>
    </row>
    <row r="370">
      <c r="A370" s="4" t="inlineStr">
        <is>
          <t>Студент1.25</t>
        </is>
      </c>
      <c r="B370" s="4" t="inlineStr"/>
      <c r="C370" s="4">
        <f>IF(A370="","",COUNTIF(F370:AI370,"+")+COUNTIF(F370:AI370,"1"))</f>
        <v/>
      </c>
      <c r="D370" s="4">
        <f>IF(A370="","",IF(C370&gt;2*COUNTA(F$345:AI$345)/3,1,IF(C370&gt;=COUNTA(F$345:AI$345)/2,0.8,0.5)))</f>
        <v/>
      </c>
      <c r="E370" s="4">
        <f>IF(A370="","",SUMIFS('Логи'!$H$4:$H$3006,'Логи'!$A$4:$A$3006,A370,'Логи'!$C$4:$C$3006,6))</f>
        <v/>
      </c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5" t="n"/>
    </row>
    <row r="371">
      <c r="A371" s="4" t="inlineStr">
        <is>
          <t>Студент1.26</t>
        </is>
      </c>
      <c r="B371" s="4" t="inlineStr"/>
      <c r="C371" s="4">
        <f>IF(A371="","",COUNTIF(F371:AI371,"+")+COUNTIF(F371:AI371,"1"))</f>
        <v/>
      </c>
      <c r="D371" s="4">
        <f>IF(A371="","",IF(C371&gt;2*COUNTA(F$345:AI$345)/3,1,IF(C371&gt;=COUNTA(F$345:AI$345)/2,0.8,0.5)))</f>
        <v/>
      </c>
      <c r="E371" s="4">
        <f>IF(A371="","",SUMIFS('Логи'!$H$4:$H$3006,'Логи'!$A$4:$A$3006,A371,'Логи'!$C$4:$C$3006,6))</f>
        <v/>
      </c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  <c r="AF371" s="15" t="n"/>
      <c r="AG371" s="15" t="n"/>
      <c r="AH371" s="15" t="n"/>
      <c r="AI371" s="15" t="n"/>
    </row>
    <row r="372">
      <c r="A372" s="4" t="inlineStr">
        <is>
          <t>Студент1.27</t>
        </is>
      </c>
      <c r="B372" s="4" t="inlineStr"/>
      <c r="C372" s="4">
        <f>IF(A372="","",COUNTIF(F372:AI372,"+")+COUNTIF(F372:AI372,"1"))</f>
        <v/>
      </c>
      <c r="D372" s="4">
        <f>IF(A372="","",IF(C372&gt;2*COUNTA(F$345:AI$345)/3,1,IF(C372&gt;=COUNTA(F$345:AI$345)/2,0.8,0.5)))</f>
        <v/>
      </c>
      <c r="E372" s="4">
        <f>IF(A372="","",SUMIFS('Логи'!$H$4:$H$3006,'Логи'!$A$4:$A$3006,A372,'Логи'!$C$4:$C$3006,6))</f>
        <v/>
      </c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  <c r="AG372" s="15" t="n"/>
      <c r="AH372" s="15" t="n"/>
      <c r="AI372" s="15" t="n"/>
    </row>
    <row r="373">
      <c r="A373" s="4" t="inlineStr">
        <is>
          <t>Студент1.28</t>
        </is>
      </c>
      <c r="B373" s="4" t="inlineStr"/>
      <c r="C373" s="4">
        <f>IF(A373="","",COUNTIF(F373:AI373,"+")+COUNTIF(F373:AI373,"1"))</f>
        <v/>
      </c>
      <c r="D373" s="4">
        <f>IF(A373="","",IF(C373&gt;2*COUNTA(F$345:AI$345)/3,1,IF(C373&gt;=COUNTA(F$345:AI$345)/2,0.8,0.5)))</f>
        <v/>
      </c>
      <c r="E373" s="4">
        <f>IF(A373="","",SUMIFS('Логи'!$H$4:$H$3006,'Логи'!$A$4:$A$3006,A373,'Логи'!$C$4:$C$3006,6))</f>
        <v/>
      </c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  <c r="AF373" s="15" t="n"/>
      <c r="AG373" s="15" t="n"/>
      <c r="AH373" s="15" t="n"/>
      <c r="AI373" s="15" t="n"/>
    </row>
    <row r="374">
      <c r="A374" s="4" t="inlineStr">
        <is>
          <t>Студент1.29</t>
        </is>
      </c>
      <c r="B374" s="4" t="inlineStr"/>
      <c r="C374" s="4">
        <f>IF(A374="","",COUNTIF(F374:AI374,"+")+COUNTIF(F374:AI374,"1"))</f>
        <v/>
      </c>
      <c r="D374" s="4">
        <f>IF(A374="","",IF(C374&gt;2*COUNTA(F$345:AI$345)/3,1,IF(C374&gt;=COUNTA(F$345:AI$345)/2,0.8,0.5)))</f>
        <v/>
      </c>
      <c r="E374" s="4">
        <f>IF(A374="","",SUMIFS('Логи'!$H$4:$H$3006,'Логи'!$A$4:$A$3006,A374,'Логи'!$C$4:$C$3006,6))</f>
        <v/>
      </c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  <c r="AF374" s="15" t="n"/>
      <c r="AG374" s="15" t="n"/>
      <c r="AH374" s="15" t="n"/>
      <c r="AI374" s="15" t="n"/>
    </row>
    <row r="375">
      <c r="A375" s="4" t="inlineStr">
        <is>
          <t>Студент1.30</t>
        </is>
      </c>
      <c r="B375" s="4" t="inlineStr"/>
      <c r="C375" s="4">
        <f>IF(A375="","",COUNTIF(F375:AI375,"+")+COUNTIF(F375:AI375,"1"))</f>
        <v/>
      </c>
      <c r="D375" s="4">
        <f>IF(A375="","",IF(C375&gt;2*COUNTA(F$345:AI$345)/3,1,IF(C375&gt;=COUNTA(F$345:AI$345)/2,0.8,0.5)))</f>
        <v/>
      </c>
      <c r="E375" s="4">
        <f>IF(A375="","",SUMIFS('Логи'!$H$4:$H$3006,'Логи'!$A$4:$A$3006,A375,'Логи'!$C$4:$C$3006,6))</f>
        <v/>
      </c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  <c r="AF375" s="15" t="n"/>
      <c r="AG375" s="15" t="n"/>
      <c r="AH375" s="15" t="n"/>
      <c r="AI375" s="15" t="n"/>
    </row>
    <row r="377">
      <c r="A377" s="16" t="inlineStr">
        <is>
          <t>Практика 6 — результаты рассказа</t>
        </is>
      </c>
    </row>
    <row r="378" ht="28" customHeight="1">
      <c r="A378" s="7" t="inlineStr">
        <is>
          <t>Имя</t>
        </is>
      </c>
      <c r="B378" s="9" t="inlineStr">
        <is>
          <t>TG</t>
        </is>
      </c>
      <c r="C378" s="10" t="inlineStr"/>
      <c r="D378" s="2" t="inlineStr"/>
      <c r="E378" s="2" t="inlineStr"/>
      <c r="F378" s="11" t="inlineStr">
        <is>
          <t>1.0</t>
        </is>
      </c>
      <c r="G378" s="11" t="inlineStr">
        <is>
          <t>2.0</t>
        </is>
      </c>
      <c r="H378" s="11" t="inlineStr">
        <is>
          <t>3.0</t>
        </is>
      </c>
      <c r="I378" s="11" t="inlineStr">
        <is>
          <t>4.0</t>
        </is>
      </c>
      <c r="J378" s="11" t="inlineStr">
        <is>
          <t>5.0</t>
        </is>
      </c>
      <c r="K378" s="11" t="inlineStr">
        <is>
          <t>6</t>
        </is>
      </c>
      <c r="L378" s="11" t="inlineStr">
        <is>
          <t>7</t>
        </is>
      </c>
      <c r="M378" s="11" t="inlineStr">
        <is>
          <t>8</t>
        </is>
      </c>
      <c r="N378" s="11" t="inlineStr">
        <is>
          <t>9</t>
        </is>
      </c>
      <c r="O378" s="11" t="inlineStr">
        <is>
          <t>10</t>
        </is>
      </c>
      <c r="P378" s="11" t="inlineStr">
        <is>
          <t>11</t>
        </is>
      </c>
      <c r="Q378" s="11" t="inlineStr">
        <is>
          <t>12</t>
        </is>
      </c>
      <c r="R378" s="11" t="inlineStr">
        <is>
          <t>13</t>
        </is>
      </c>
      <c r="S378" s="11" t="inlineStr">
        <is>
          <t>14</t>
        </is>
      </c>
      <c r="T378" s="11" t="inlineStr">
        <is>
          <t>15</t>
        </is>
      </c>
      <c r="U378" s="11" t="inlineStr">
        <is>
          <t>16</t>
        </is>
      </c>
      <c r="V378" s="11" t="inlineStr">
        <is>
          <t>17</t>
        </is>
      </c>
      <c r="W378" s="11" t="inlineStr">
        <is>
          <t>18</t>
        </is>
      </c>
      <c r="X378" s="11" t="inlineStr">
        <is>
          <t>19</t>
        </is>
      </c>
      <c r="Y378" s="11" t="inlineStr">
        <is>
          <t>20</t>
        </is>
      </c>
      <c r="Z378" s="11" t="inlineStr">
        <is>
          <t>21</t>
        </is>
      </c>
      <c r="AA378" s="11" t="inlineStr">
        <is>
          <t>22</t>
        </is>
      </c>
      <c r="AB378" s="11" t="inlineStr">
        <is>
          <t>23</t>
        </is>
      </c>
      <c r="AC378" s="11" t="inlineStr">
        <is>
          <t>24</t>
        </is>
      </c>
      <c r="AD378" s="11" t="inlineStr">
        <is>
          <t>25</t>
        </is>
      </c>
      <c r="AE378" s="11" t="inlineStr">
        <is>
          <t>26</t>
        </is>
      </c>
      <c r="AF378" s="11" t="inlineStr">
        <is>
          <t>27</t>
        </is>
      </c>
      <c r="AG378" s="11" t="inlineStr">
        <is>
          <t>28</t>
        </is>
      </c>
      <c r="AH378" s="11" t="inlineStr">
        <is>
          <t>29</t>
        </is>
      </c>
      <c r="AI378" s="11" t="inlineStr">
        <is>
          <t>30</t>
        </is>
      </c>
    </row>
    <row r="379">
      <c r="A379" s="4" t="inlineStr">
        <is>
          <t>Студент1.1</t>
        </is>
      </c>
      <c r="B379" s="4" t="inlineStr"/>
      <c r="C379" s="4" t="n"/>
      <c r="D379" s="4" t="n"/>
      <c r="E379" s="4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  <c r="AF379" s="15" t="n"/>
      <c r="AG379" s="15" t="n"/>
      <c r="AH379" s="15" t="n"/>
      <c r="AI379" s="15" t="n"/>
    </row>
    <row r="380">
      <c r="A380" s="4" t="inlineStr">
        <is>
          <t>Студент1.2</t>
        </is>
      </c>
      <c r="B380" s="4" t="inlineStr"/>
      <c r="C380" s="4" t="n"/>
      <c r="D380" s="4" t="n"/>
      <c r="E380" s="4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  <c r="AF380" s="15" t="n"/>
      <c r="AG380" s="15" t="n"/>
      <c r="AH380" s="15" t="n"/>
      <c r="AI380" s="15" t="n"/>
    </row>
    <row r="381">
      <c r="A381" s="4" t="inlineStr">
        <is>
          <t>Студент1.3</t>
        </is>
      </c>
      <c r="B381" s="4" t="inlineStr"/>
      <c r="C381" s="4" t="n"/>
      <c r="D381" s="4" t="n"/>
      <c r="E381" s="4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  <c r="AF381" s="15" t="n"/>
      <c r="AG381" s="15" t="n"/>
      <c r="AH381" s="15" t="n"/>
      <c r="AI381" s="15" t="n"/>
    </row>
    <row r="382">
      <c r="A382" s="4" t="inlineStr">
        <is>
          <t>Студент1.4</t>
        </is>
      </c>
      <c r="B382" s="4" t="inlineStr"/>
      <c r="C382" s="4" t="n"/>
      <c r="D382" s="4" t="n"/>
      <c r="E382" s="4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  <c r="AF382" s="15" t="n"/>
      <c r="AG382" s="15" t="n"/>
      <c r="AH382" s="15" t="n"/>
      <c r="AI382" s="15" t="n"/>
    </row>
    <row r="383">
      <c r="A383" s="4" t="inlineStr">
        <is>
          <t>Студент1.5</t>
        </is>
      </c>
      <c r="B383" s="4" t="inlineStr"/>
      <c r="C383" s="4" t="n"/>
      <c r="D383" s="4" t="n"/>
      <c r="E383" s="4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  <c r="AF383" s="15" t="n"/>
      <c r="AG383" s="15" t="n"/>
      <c r="AH383" s="15" t="n"/>
      <c r="AI383" s="15" t="n"/>
    </row>
    <row r="384">
      <c r="A384" s="4" t="inlineStr">
        <is>
          <t>Студент1.6</t>
        </is>
      </c>
      <c r="B384" s="4" t="inlineStr"/>
      <c r="C384" s="4" t="n"/>
      <c r="D384" s="4" t="n"/>
      <c r="E384" s="4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  <c r="AG384" s="15" t="n"/>
      <c r="AH384" s="15" t="n"/>
      <c r="AI384" s="15" t="n"/>
    </row>
    <row r="385">
      <c r="A385" s="4" t="inlineStr">
        <is>
          <t>Студент1.7</t>
        </is>
      </c>
      <c r="B385" s="4" t="inlineStr"/>
      <c r="C385" s="4" t="n"/>
      <c r="D385" s="4" t="n"/>
      <c r="E385" s="4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  <c r="AF385" s="15" t="n"/>
      <c r="AG385" s="15" t="n"/>
      <c r="AH385" s="15" t="n"/>
      <c r="AI385" s="15" t="n"/>
    </row>
    <row r="386">
      <c r="A386" s="4" t="inlineStr">
        <is>
          <t>Студент1.8</t>
        </is>
      </c>
      <c r="B386" s="4" t="inlineStr"/>
      <c r="C386" s="4" t="n"/>
      <c r="D386" s="4" t="n"/>
      <c r="E386" s="4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  <c r="AG386" s="15" t="n"/>
      <c r="AH386" s="15" t="n"/>
      <c r="AI386" s="15" t="n"/>
    </row>
    <row r="387">
      <c r="A387" s="4" t="inlineStr">
        <is>
          <t>Студент1.9</t>
        </is>
      </c>
      <c r="B387" s="4" t="inlineStr"/>
      <c r="C387" s="4" t="n"/>
      <c r="D387" s="4" t="n"/>
      <c r="E387" s="4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  <c r="AF387" s="15" t="n"/>
      <c r="AG387" s="15" t="n"/>
      <c r="AH387" s="15" t="n"/>
      <c r="AI387" s="15" t="n"/>
    </row>
    <row r="388">
      <c r="A388" s="4" t="inlineStr">
        <is>
          <t>Студент1.10</t>
        </is>
      </c>
      <c r="B388" s="4" t="inlineStr"/>
      <c r="C388" s="4" t="n"/>
      <c r="D388" s="4" t="n"/>
      <c r="E388" s="4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  <c r="AF388" s="15" t="n"/>
      <c r="AG388" s="15" t="n"/>
      <c r="AH388" s="15" t="n"/>
      <c r="AI388" s="15" t="n"/>
    </row>
    <row r="389">
      <c r="A389" s="4" t="inlineStr">
        <is>
          <t>Студент1.11</t>
        </is>
      </c>
      <c r="B389" s="4" t="inlineStr"/>
      <c r="C389" s="4" t="n"/>
      <c r="D389" s="4" t="n"/>
      <c r="E389" s="4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  <c r="AF389" s="15" t="n"/>
      <c r="AG389" s="15" t="n"/>
      <c r="AH389" s="15" t="n"/>
      <c r="AI389" s="15" t="n"/>
    </row>
    <row r="390">
      <c r="A390" s="4" t="inlineStr">
        <is>
          <t>Студент1.12</t>
        </is>
      </c>
      <c r="B390" s="4" t="inlineStr"/>
      <c r="C390" s="4" t="n"/>
      <c r="D390" s="4" t="n"/>
      <c r="E390" s="4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  <c r="AF390" s="15" t="n"/>
      <c r="AG390" s="15" t="n"/>
      <c r="AH390" s="15" t="n"/>
      <c r="AI390" s="15" t="n"/>
    </row>
    <row r="391">
      <c r="A391" s="4" t="inlineStr">
        <is>
          <t>Студент1.13</t>
        </is>
      </c>
      <c r="B391" s="4" t="inlineStr"/>
      <c r="C391" s="4" t="n"/>
      <c r="D391" s="4" t="n"/>
      <c r="E391" s="4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  <c r="AF391" s="15" t="n"/>
      <c r="AG391" s="15" t="n"/>
      <c r="AH391" s="15" t="n"/>
      <c r="AI391" s="15" t="n"/>
    </row>
    <row r="392">
      <c r="A392" s="4" t="inlineStr">
        <is>
          <t>Студент1.14</t>
        </is>
      </c>
      <c r="B392" s="4" t="inlineStr"/>
      <c r="C392" s="4" t="n"/>
      <c r="D392" s="4" t="n"/>
      <c r="E392" s="4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  <c r="AF392" s="15" t="n"/>
      <c r="AG392" s="15" t="n"/>
      <c r="AH392" s="15" t="n"/>
      <c r="AI392" s="15" t="n"/>
    </row>
    <row r="393">
      <c r="A393" s="4" t="inlineStr">
        <is>
          <t>Студент1.15</t>
        </is>
      </c>
      <c r="B393" s="4" t="inlineStr"/>
      <c r="C393" s="4" t="n"/>
      <c r="D393" s="4" t="n"/>
      <c r="E393" s="4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  <c r="AF393" s="15" t="n"/>
      <c r="AG393" s="15" t="n"/>
      <c r="AH393" s="15" t="n"/>
      <c r="AI393" s="15" t="n"/>
    </row>
    <row r="394">
      <c r="A394" s="4" t="inlineStr">
        <is>
          <t>Студент1.16</t>
        </is>
      </c>
      <c r="B394" s="4" t="inlineStr"/>
      <c r="C394" s="4" t="n"/>
      <c r="D394" s="4" t="n"/>
      <c r="E394" s="4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  <c r="AF394" s="15" t="n"/>
      <c r="AG394" s="15" t="n"/>
      <c r="AH394" s="15" t="n"/>
      <c r="AI394" s="15" t="n"/>
    </row>
    <row r="395">
      <c r="A395" s="4" t="inlineStr">
        <is>
          <t>Студент1.17</t>
        </is>
      </c>
      <c r="B395" s="4" t="inlineStr"/>
      <c r="C395" s="4" t="n"/>
      <c r="D395" s="4" t="n"/>
      <c r="E395" s="4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  <c r="AF395" s="15" t="n"/>
      <c r="AG395" s="15" t="n"/>
      <c r="AH395" s="15" t="n"/>
      <c r="AI395" s="15" t="n"/>
    </row>
    <row r="396">
      <c r="A396" s="4" t="inlineStr">
        <is>
          <t>Студент1.18</t>
        </is>
      </c>
      <c r="B396" s="4" t="inlineStr"/>
      <c r="C396" s="4" t="n"/>
      <c r="D396" s="4" t="n"/>
      <c r="E396" s="4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  <c r="AF396" s="15" t="n"/>
      <c r="AG396" s="15" t="n"/>
      <c r="AH396" s="15" t="n"/>
      <c r="AI396" s="15" t="n"/>
    </row>
    <row r="397">
      <c r="A397" s="4" t="inlineStr">
        <is>
          <t>Студент1.19</t>
        </is>
      </c>
      <c r="B397" s="4" t="inlineStr"/>
      <c r="C397" s="4" t="n"/>
      <c r="D397" s="4" t="n"/>
      <c r="E397" s="4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  <c r="AF397" s="15" t="n"/>
      <c r="AG397" s="15" t="n"/>
      <c r="AH397" s="15" t="n"/>
      <c r="AI397" s="15" t="n"/>
    </row>
    <row r="398">
      <c r="A398" s="4" t="inlineStr">
        <is>
          <t>Студент1.20</t>
        </is>
      </c>
      <c r="B398" s="4" t="inlineStr"/>
      <c r="C398" s="4" t="n"/>
      <c r="D398" s="4" t="n"/>
      <c r="E398" s="4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  <c r="AF398" s="15" t="n"/>
      <c r="AG398" s="15" t="n"/>
      <c r="AH398" s="15" t="n"/>
      <c r="AI398" s="15" t="n"/>
    </row>
    <row r="399">
      <c r="A399" s="4" t="inlineStr">
        <is>
          <t>Студент1.21</t>
        </is>
      </c>
      <c r="B399" s="4" t="inlineStr"/>
      <c r="C399" s="4" t="n"/>
      <c r="D399" s="4" t="n"/>
      <c r="E399" s="4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  <c r="AF399" s="15" t="n"/>
      <c r="AG399" s="15" t="n"/>
      <c r="AH399" s="15" t="n"/>
      <c r="AI399" s="15" t="n"/>
    </row>
    <row r="400">
      <c r="A400" s="4" t="inlineStr">
        <is>
          <t>Студент1.22</t>
        </is>
      </c>
      <c r="B400" s="4" t="inlineStr"/>
      <c r="C400" s="4" t="n"/>
      <c r="D400" s="4" t="n"/>
      <c r="E400" s="4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  <c r="AF400" s="15" t="n"/>
      <c r="AG400" s="15" t="n"/>
      <c r="AH400" s="15" t="n"/>
      <c r="AI400" s="15" t="n"/>
    </row>
    <row r="401">
      <c r="A401" s="4" t="inlineStr">
        <is>
          <t>Студент1.23</t>
        </is>
      </c>
      <c r="B401" s="4" t="inlineStr"/>
      <c r="C401" s="4" t="n"/>
      <c r="D401" s="4" t="n"/>
      <c r="E401" s="4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  <c r="AF401" s="15" t="n"/>
      <c r="AG401" s="15" t="n"/>
      <c r="AH401" s="15" t="n"/>
      <c r="AI401" s="15" t="n"/>
    </row>
    <row r="402">
      <c r="A402" s="4" t="inlineStr">
        <is>
          <t>Студент1.24</t>
        </is>
      </c>
      <c r="B402" s="4" t="inlineStr"/>
      <c r="C402" s="4" t="n"/>
      <c r="D402" s="4" t="n"/>
      <c r="E402" s="4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5" t="n"/>
      <c r="AE402" s="15" t="n"/>
      <c r="AF402" s="15" t="n"/>
      <c r="AG402" s="15" t="n"/>
      <c r="AH402" s="15" t="n"/>
      <c r="AI402" s="15" t="n"/>
    </row>
    <row r="403">
      <c r="A403" s="4" t="inlineStr">
        <is>
          <t>Студент1.25</t>
        </is>
      </c>
      <c r="B403" s="4" t="inlineStr"/>
      <c r="C403" s="4" t="n"/>
      <c r="D403" s="4" t="n"/>
      <c r="E403" s="4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5" t="n"/>
      <c r="AE403" s="15" t="n"/>
      <c r="AF403" s="15" t="n"/>
      <c r="AG403" s="15" t="n"/>
      <c r="AH403" s="15" t="n"/>
      <c r="AI403" s="15" t="n"/>
    </row>
    <row r="404">
      <c r="A404" s="4" t="inlineStr">
        <is>
          <t>Студент1.26</t>
        </is>
      </c>
      <c r="B404" s="4" t="inlineStr"/>
      <c r="C404" s="4" t="n"/>
      <c r="D404" s="4" t="n"/>
      <c r="E404" s="4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5" t="n"/>
      <c r="AE404" s="15" t="n"/>
      <c r="AF404" s="15" t="n"/>
      <c r="AG404" s="15" t="n"/>
      <c r="AH404" s="15" t="n"/>
      <c r="AI404" s="15" t="n"/>
    </row>
    <row r="405">
      <c r="A405" s="4" t="inlineStr">
        <is>
          <t>Студент1.27</t>
        </is>
      </c>
      <c r="B405" s="4" t="inlineStr"/>
      <c r="C405" s="4" t="n"/>
      <c r="D405" s="4" t="n"/>
      <c r="E405" s="4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5" t="n"/>
      <c r="AE405" s="15" t="n"/>
      <c r="AF405" s="15" t="n"/>
      <c r="AG405" s="15" t="n"/>
      <c r="AH405" s="15" t="n"/>
      <c r="AI405" s="15" t="n"/>
    </row>
    <row r="406">
      <c r="A406" s="4" t="inlineStr">
        <is>
          <t>Студент1.28</t>
        </is>
      </c>
      <c r="B406" s="4" t="inlineStr"/>
      <c r="C406" s="4" t="n"/>
      <c r="D406" s="4" t="n"/>
      <c r="E406" s="4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5" t="n"/>
      <c r="AE406" s="15" t="n"/>
      <c r="AF406" s="15" t="n"/>
      <c r="AG406" s="15" t="n"/>
      <c r="AH406" s="15" t="n"/>
      <c r="AI406" s="15" t="n"/>
    </row>
    <row r="407">
      <c r="A407" s="4" t="inlineStr">
        <is>
          <t>Студент1.29</t>
        </is>
      </c>
      <c r="B407" s="4" t="inlineStr"/>
      <c r="C407" s="4" t="n"/>
      <c r="D407" s="4" t="n"/>
      <c r="E407" s="4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5" t="n"/>
      <c r="AE407" s="15" t="n"/>
      <c r="AF407" s="15" t="n"/>
      <c r="AG407" s="15" t="n"/>
      <c r="AH407" s="15" t="n"/>
      <c r="AI407" s="15" t="n"/>
    </row>
    <row r="408">
      <c r="A408" s="4" t="inlineStr">
        <is>
          <t>Студент1.30</t>
        </is>
      </c>
      <c r="B408" s="4" t="inlineStr"/>
      <c r="C408" s="4" t="n"/>
      <c r="D408" s="4" t="n"/>
      <c r="E408" s="4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5" t="n"/>
      <c r="AE408" s="15" t="n"/>
      <c r="AF408" s="15" t="n"/>
      <c r="AG408" s="15" t="n"/>
      <c r="AH408" s="15" t="n"/>
      <c r="AI408" s="15" t="n"/>
    </row>
    <row r="412">
      <c r="A412" s="13" t="inlineStr">
        <is>
          <t>Практика 7 — плюсы</t>
        </is>
      </c>
    </row>
    <row r="413" ht="28" customHeight="1">
      <c r="A413" s="7" t="inlineStr">
        <is>
          <t>Имя</t>
        </is>
      </c>
      <c r="B413" s="9" t="inlineStr">
        <is>
          <t>TG</t>
        </is>
      </c>
      <c r="C413" s="10" t="inlineStr">
        <is>
          <t>S</t>
        </is>
      </c>
      <c r="D413" s="8" t="inlineStr">
        <is>
          <t>Коэффициент</t>
        </is>
      </c>
      <c r="E413" s="14" t="inlineStr">
        <is>
          <t>D за практику</t>
        </is>
      </c>
      <c r="F413" s="11" t="inlineStr">
        <is>
          <t>1.0</t>
        </is>
      </c>
      <c r="G413" s="11" t="inlineStr">
        <is>
          <t>2.0</t>
        </is>
      </c>
      <c r="H413" s="11" t="inlineStr">
        <is>
          <t>3.0</t>
        </is>
      </c>
      <c r="I413" s="11" t="inlineStr">
        <is>
          <t>4.0</t>
        </is>
      </c>
      <c r="J413" s="11" t="inlineStr">
        <is>
          <t>5.0</t>
        </is>
      </c>
      <c r="K413" s="11" t="inlineStr">
        <is>
          <t>6</t>
        </is>
      </c>
      <c r="L413" s="11" t="inlineStr">
        <is>
          <t>7</t>
        </is>
      </c>
      <c r="M413" s="11" t="inlineStr">
        <is>
          <t>8</t>
        </is>
      </c>
      <c r="N413" s="11" t="inlineStr">
        <is>
          <t>9</t>
        </is>
      </c>
      <c r="O413" s="11" t="inlineStr">
        <is>
          <t>10</t>
        </is>
      </c>
      <c r="P413" s="11" t="inlineStr">
        <is>
          <t>11</t>
        </is>
      </c>
      <c r="Q413" s="11" t="inlineStr">
        <is>
          <t>12</t>
        </is>
      </c>
      <c r="R413" s="11" t="inlineStr">
        <is>
          <t>13</t>
        </is>
      </c>
      <c r="S413" s="11" t="inlineStr">
        <is>
          <t>14</t>
        </is>
      </c>
      <c r="T413" s="11" t="inlineStr">
        <is>
          <t>15</t>
        </is>
      </c>
      <c r="U413" s="11" t="inlineStr">
        <is>
          <t>16</t>
        </is>
      </c>
      <c r="V413" s="11" t="inlineStr">
        <is>
          <t>17</t>
        </is>
      </c>
      <c r="W413" s="11" t="inlineStr">
        <is>
          <t>18</t>
        </is>
      </c>
      <c r="X413" s="11" t="inlineStr">
        <is>
          <t>19</t>
        </is>
      </c>
      <c r="Y413" s="11" t="inlineStr">
        <is>
          <t>20</t>
        </is>
      </c>
      <c r="Z413" s="11" t="inlineStr">
        <is>
          <t>21</t>
        </is>
      </c>
      <c r="AA413" s="11" t="inlineStr">
        <is>
          <t>22</t>
        </is>
      </c>
      <c r="AB413" s="11" t="inlineStr">
        <is>
          <t>23</t>
        </is>
      </c>
      <c r="AC413" s="11" t="inlineStr">
        <is>
          <t>24</t>
        </is>
      </c>
      <c r="AD413" s="11" t="inlineStr">
        <is>
          <t>25</t>
        </is>
      </c>
      <c r="AE413" s="11" t="inlineStr">
        <is>
          <t>26</t>
        </is>
      </c>
      <c r="AF413" s="11" t="inlineStr">
        <is>
          <t>27</t>
        </is>
      </c>
      <c r="AG413" s="11" t="inlineStr">
        <is>
          <t>28</t>
        </is>
      </c>
      <c r="AH413" s="11" t="inlineStr">
        <is>
          <t>29</t>
        </is>
      </c>
      <c r="AI413" s="11" t="inlineStr">
        <is>
          <t>30</t>
        </is>
      </c>
    </row>
    <row r="414">
      <c r="A414" s="4" t="inlineStr">
        <is>
          <t>Студент1.1</t>
        </is>
      </c>
      <c r="B414" s="4" t="inlineStr"/>
      <c r="C414" s="4">
        <f>IF(A414="","",COUNTIF(F414:AI414,"+")+COUNTIF(F414:AI414,"1"))</f>
        <v/>
      </c>
      <c r="D414" s="4">
        <f>IF(A414="","",IF(C414&gt;2*COUNTA(F$413:AI$413)/3,1,IF(C414&gt;=COUNTA(F$413:AI$413)/2,0.8,0.5)))</f>
        <v/>
      </c>
      <c r="E414" s="4">
        <f>IF(A414="","",SUMIFS('Логи'!$H$4:$H$3006,'Логи'!$A$4:$A$3006,A414,'Логи'!$C$4:$C$3006,7))</f>
        <v/>
      </c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  <c r="AF414" s="15" t="n"/>
      <c r="AG414" s="15" t="n"/>
      <c r="AH414" s="15" t="n"/>
      <c r="AI414" s="15" t="n"/>
    </row>
    <row r="415">
      <c r="A415" s="4" t="inlineStr">
        <is>
          <t>Студент1.2</t>
        </is>
      </c>
      <c r="B415" s="4" t="inlineStr"/>
      <c r="C415" s="4">
        <f>IF(A415="","",COUNTIF(F415:AI415,"+")+COUNTIF(F415:AI415,"1"))</f>
        <v/>
      </c>
      <c r="D415" s="4">
        <f>IF(A415="","",IF(C415&gt;2*COUNTA(F$413:AI$413)/3,1,IF(C415&gt;=COUNTA(F$413:AI$413)/2,0.8,0.5)))</f>
        <v/>
      </c>
      <c r="E415" s="4">
        <f>IF(A415="","",SUMIFS('Логи'!$H$4:$H$3006,'Логи'!$A$4:$A$3006,A415,'Логи'!$C$4:$C$3006,7))</f>
        <v/>
      </c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  <c r="AF415" s="15" t="n"/>
      <c r="AG415" s="15" t="n"/>
      <c r="AH415" s="15" t="n"/>
      <c r="AI415" s="15" t="n"/>
    </row>
    <row r="416">
      <c r="A416" s="4" t="inlineStr">
        <is>
          <t>Студент1.3</t>
        </is>
      </c>
      <c r="B416" s="4" t="inlineStr"/>
      <c r="C416" s="4">
        <f>IF(A416="","",COUNTIF(F416:AI416,"+")+COUNTIF(F416:AI416,"1"))</f>
        <v/>
      </c>
      <c r="D416" s="4">
        <f>IF(A416="","",IF(C416&gt;2*COUNTA(F$413:AI$413)/3,1,IF(C416&gt;=COUNTA(F$413:AI$413)/2,0.8,0.5)))</f>
        <v/>
      </c>
      <c r="E416" s="4">
        <f>IF(A416="","",SUMIFS('Логи'!$H$4:$H$3006,'Логи'!$A$4:$A$3006,A416,'Логи'!$C$4:$C$3006,7))</f>
        <v/>
      </c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  <c r="AF416" s="15" t="n"/>
      <c r="AG416" s="15" t="n"/>
      <c r="AH416" s="15" t="n"/>
      <c r="AI416" s="15" t="n"/>
    </row>
    <row r="417">
      <c r="A417" s="4" t="inlineStr">
        <is>
          <t>Студент1.4</t>
        </is>
      </c>
      <c r="B417" s="4" t="inlineStr"/>
      <c r="C417" s="4">
        <f>IF(A417="","",COUNTIF(F417:AI417,"+")+COUNTIF(F417:AI417,"1"))</f>
        <v/>
      </c>
      <c r="D417" s="4">
        <f>IF(A417="","",IF(C417&gt;2*COUNTA(F$413:AI$413)/3,1,IF(C417&gt;=COUNTA(F$413:AI$413)/2,0.8,0.5)))</f>
        <v/>
      </c>
      <c r="E417" s="4">
        <f>IF(A417="","",SUMIFS('Логи'!$H$4:$H$3006,'Логи'!$A$4:$A$3006,A417,'Логи'!$C$4:$C$3006,7))</f>
        <v/>
      </c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  <c r="AF417" s="15" t="n"/>
      <c r="AG417" s="15" t="n"/>
      <c r="AH417" s="15" t="n"/>
      <c r="AI417" s="15" t="n"/>
    </row>
    <row r="418">
      <c r="A418" s="4" t="inlineStr">
        <is>
          <t>Студент1.5</t>
        </is>
      </c>
      <c r="B418" s="4" t="inlineStr"/>
      <c r="C418" s="4">
        <f>IF(A418="","",COUNTIF(F418:AI418,"+")+COUNTIF(F418:AI418,"1"))</f>
        <v/>
      </c>
      <c r="D418" s="4">
        <f>IF(A418="","",IF(C418&gt;2*COUNTA(F$413:AI$413)/3,1,IF(C418&gt;=COUNTA(F$413:AI$413)/2,0.8,0.5)))</f>
        <v/>
      </c>
      <c r="E418" s="4">
        <f>IF(A418="","",SUMIFS('Логи'!$H$4:$H$3006,'Логи'!$A$4:$A$3006,A418,'Логи'!$C$4:$C$3006,7))</f>
        <v/>
      </c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  <c r="AF418" s="15" t="n"/>
      <c r="AG418" s="15" t="n"/>
      <c r="AH418" s="15" t="n"/>
      <c r="AI418" s="15" t="n"/>
    </row>
    <row r="419">
      <c r="A419" s="4" t="inlineStr">
        <is>
          <t>Студент1.6</t>
        </is>
      </c>
      <c r="B419" s="4" t="inlineStr"/>
      <c r="C419" s="4">
        <f>IF(A419="","",COUNTIF(F419:AI419,"+")+COUNTIF(F419:AI419,"1"))</f>
        <v/>
      </c>
      <c r="D419" s="4">
        <f>IF(A419="","",IF(C419&gt;2*COUNTA(F$413:AI$413)/3,1,IF(C419&gt;=COUNTA(F$413:AI$413)/2,0.8,0.5)))</f>
        <v/>
      </c>
      <c r="E419" s="4">
        <f>IF(A419="","",SUMIFS('Логи'!$H$4:$H$3006,'Логи'!$A$4:$A$3006,A419,'Логи'!$C$4:$C$3006,7))</f>
        <v/>
      </c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  <c r="AF419" s="15" t="n"/>
      <c r="AG419" s="15" t="n"/>
      <c r="AH419" s="15" t="n"/>
      <c r="AI419" s="15" t="n"/>
    </row>
    <row r="420">
      <c r="A420" s="4" t="inlineStr">
        <is>
          <t>Студент1.7</t>
        </is>
      </c>
      <c r="B420" s="4" t="inlineStr"/>
      <c r="C420" s="4">
        <f>IF(A420="","",COUNTIF(F420:AI420,"+")+COUNTIF(F420:AI420,"1"))</f>
        <v/>
      </c>
      <c r="D420" s="4">
        <f>IF(A420="","",IF(C420&gt;2*COUNTA(F$413:AI$413)/3,1,IF(C420&gt;=COUNTA(F$413:AI$413)/2,0.8,0.5)))</f>
        <v/>
      </c>
      <c r="E420" s="4">
        <f>IF(A420="","",SUMIFS('Логи'!$H$4:$H$3006,'Логи'!$A$4:$A$3006,A420,'Логи'!$C$4:$C$3006,7))</f>
        <v/>
      </c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  <c r="AF420" s="15" t="n"/>
      <c r="AG420" s="15" t="n"/>
      <c r="AH420" s="15" t="n"/>
      <c r="AI420" s="15" t="n"/>
    </row>
    <row r="421">
      <c r="A421" s="4" t="inlineStr">
        <is>
          <t>Студент1.8</t>
        </is>
      </c>
      <c r="B421" s="4" t="inlineStr"/>
      <c r="C421" s="4">
        <f>IF(A421="","",COUNTIF(F421:AI421,"+")+COUNTIF(F421:AI421,"1"))</f>
        <v/>
      </c>
      <c r="D421" s="4">
        <f>IF(A421="","",IF(C421&gt;2*COUNTA(F$413:AI$413)/3,1,IF(C421&gt;=COUNTA(F$413:AI$413)/2,0.8,0.5)))</f>
        <v/>
      </c>
      <c r="E421" s="4">
        <f>IF(A421="","",SUMIFS('Логи'!$H$4:$H$3006,'Логи'!$A$4:$A$3006,A421,'Логи'!$C$4:$C$3006,7))</f>
        <v/>
      </c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  <c r="AF421" s="15" t="n"/>
      <c r="AG421" s="15" t="n"/>
      <c r="AH421" s="15" t="n"/>
      <c r="AI421" s="15" t="n"/>
    </row>
    <row r="422">
      <c r="A422" s="4" t="inlineStr">
        <is>
          <t>Студент1.9</t>
        </is>
      </c>
      <c r="B422" s="4" t="inlineStr"/>
      <c r="C422" s="4">
        <f>IF(A422="","",COUNTIF(F422:AI422,"+")+COUNTIF(F422:AI422,"1"))</f>
        <v/>
      </c>
      <c r="D422" s="4">
        <f>IF(A422="","",IF(C422&gt;2*COUNTA(F$413:AI$413)/3,1,IF(C422&gt;=COUNTA(F$413:AI$413)/2,0.8,0.5)))</f>
        <v/>
      </c>
      <c r="E422" s="4">
        <f>IF(A422="","",SUMIFS('Логи'!$H$4:$H$3006,'Логи'!$A$4:$A$3006,A422,'Логи'!$C$4:$C$3006,7))</f>
        <v/>
      </c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  <c r="AF422" s="15" t="n"/>
      <c r="AG422" s="15" t="n"/>
      <c r="AH422" s="15" t="n"/>
      <c r="AI422" s="15" t="n"/>
    </row>
    <row r="423">
      <c r="A423" s="4" t="inlineStr">
        <is>
          <t>Студент1.10</t>
        </is>
      </c>
      <c r="B423" s="4" t="inlineStr"/>
      <c r="C423" s="4">
        <f>IF(A423="","",COUNTIF(F423:AI423,"+")+COUNTIF(F423:AI423,"1"))</f>
        <v/>
      </c>
      <c r="D423" s="4">
        <f>IF(A423="","",IF(C423&gt;2*COUNTA(F$413:AI$413)/3,1,IF(C423&gt;=COUNTA(F$413:AI$413)/2,0.8,0.5)))</f>
        <v/>
      </c>
      <c r="E423" s="4">
        <f>IF(A423="","",SUMIFS('Логи'!$H$4:$H$3006,'Логи'!$A$4:$A$3006,A423,'Логи'!$C$4:$C$3006,7))</f>
        <v/>
      </c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  <c r="AF423" s="15" t="n"/>
      <c r="AG423" s="15" t="n"/>
      <c r="AH423" s="15" t="n"/>
      <c r="AI423" s="15" t="n"/>
    </row>
    <row r="424">
      <c r="A424" s="4" t="inlineStr">
        <is>
          <t>Студент1.11</t>
        </is>
      </c>
      <c r="B424" s="4" t="inlineStr"/>
      <c r="C424" s="4">
        <f>IF(A424="","",COUNTIF(F424:AI424,"+")+COUNTIF(F424:AI424,"1"))</f>
        <v/>
      </c>
      <c r="D424" s="4">
        <f>IF(A424="","",IF(C424&gt;2*COUNTA(F$413:AI$413)/3,1,IF(C424&gt;=COUNTA(F$413:AI$413)/2,0.8,0.5)))</f>
        <v/>
      </c>
      <c r="E424" s="4">
        <f>IF(A424="","",SUMIFS('Логи'!$H$4:$H$3006,'Логи'!$A$4:$A$3006,A424,'Логи'!$C$4:$C$3006,7))</f>
        <v/>
      </c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  <c r="AF424" s="15" t="n"/>
      <c r="AG424" s="15" t="n"/>
      <c r="AH424" s="15" t="n"/>
      <c r="AI424" s="15" t="n"/>
    </row>
    <row r="425">
      <c r="A425" s="4" t="inlineStr">
        <is>
          <t>Студент1.12</t>
        </is>
      </c>
      <c r="B425" s="4" t="inlineStr"/>
      <c r="C425" s="4">
        <f>IF(A425="","",COUNTIF(F425:AI425,"+")+COUNTIF(F425:AI425,"1"))</f>
        <v/>
      </c>
      <c r="D425" s="4">
        <f>IF(A425="","",IF(C425&gt;2*COUNTA(F$413:AI$413)/3,1,IF(C425&gt;=COUNTA(F$413:AI$413)/2,0.8,0.5)))</f>
        <v/>
      </c>
      <c r="E425" s="4">
        <f>IF(A425="","",SUMIFS('Логи'!$H$4:$H$3006,'Логи'!$A$4:$A$3006,A425,'Логи'!$C$4:$C$3006,7))</f>
        <v/>
      </c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  <c r="AF425" s="15" t="n"/>
      <c r="AG425" s="15" t="n"/>
      <c r="AH425" s="15" t="n"/>
      <c r="AI425" s="15" t="n"/>
    </row>
    <row r="426">
      <c r="A426" s="4" t="inlineStr">
        <is>
          <t>Студент1.13</t>
        </is>
      </c>
      <c r="B426" s="4" t="inlineStr"/>
      <c r="C426" s="4">
        <f>IF(A426="","",COUNTIF(F426:AI426,"+")+COUNTIF(F426:AI426,"1"))</f>
        <v/>
      </c>
      <c r="D426" s="4">
        <f>IF(A426="","",IF(C426&gt;2*COUNTA(F$413:AI$413)/3,1,IF(C426&gt;=COUNTA(F$413:AI$413)/2,0.8,0.5)))</f>
        <v/>
      </c>
      <c r="E426" s="4">
        <f>IF(A426="","",SUMIFS('Логи'!$H$4:$H$3006,'Логи'!$A$4:$A$3006,A426,'Логи'!$C$4:$C$3006,7))</f>
        <v/>
      </c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  <c r="AF426" s="15" t="n"/>
      <c r="AG426" s="15" t="n"/>
      <c r="AH426" s="15" t="n"/>
      <c r="AI426" s="15" t="n"/>
    </row>
    <row r="427">
      <c r="A427" s="4" t="inlineStr">
        <is>
          <t>Студент1.14</t>
        </is>
      </c>
      <c r="B427" s="4" t="inlineStr"/>
      <c r="C427" s="4">
        <f>IF(A427="","",COUNTIF(F427:AI427,"+")+COUNTIF(F427:AI427,"1"))</f>
        <v/>
      </c>
      <c r="D427" s="4">
        <f>IF(A427="","",IF(C427&gt;2*COUNTA(F$413:AI$413)/3,1,IF(C427&gt;=COUNTA(F$413:AI$413)/2,0.8,0.5)))</f>
        <v/>
      </c>
      <c r="E427" s="4">
        <f>IF(A427="","",SUMIFS('Логи'!$H$4:$H$3006,'Логи'!$A$4:$A$3006,A427,'Логи'!$C$4:$C$3006,7))</f>
        <v/>
      </c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  <c r="AF427" s="15" t="n"/>
      <c r="AG427" s="15" t="n"/>
      <c r="AH427" s="15" t="n"/>
      <c r="AI427" s="15" t="n"/>
    </row>
    <row r="428">
      <c r="A428" s="4" t="inlineStr">
        <is>
          <t>Студент1.15</t>
        </is>
      </c>
      <c r="B428" s="4" t="inlineStr"/>
      <c r="C428" s="4">
        <f>IF(A428="","",COUNTIF(F428:AI428,"+")+COUNTIF(F428:AI428,"1"))</f>
        <v/>
      </c>
      <c r="D428" s="4">
        <f>IF(A428="","",IF(C428&gt;2*COUNTA(F$413:AI$413)/3,1,IF(C428&gt;=COUNTA(F$413:AI$413)/2,0.8,0.5)))</f>
        <v/>
      </c>
      <c r="E428" s="4">
        <f>IF(A428="","",SUMIFS('Логи'!$H$4:$H$3006,'Логи'!$A$4:$A$3006,A428,'Логи'!$C$4:$C$3006,7))</f>
        <v/>
      </c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  <c r="AF428" s="15" t="n"/>
      <c r="AG428" s="15" t="n"/>
      <c r="AH428" s="15" t="n"/>
      <c r="AI428" s="15" t="n"/>
    </row>
    <row r="429">
      <c r="A429" s="4" t="inlineStr">
        <is>
          <t>Студент1.16</t>
        </is>
      </c>
      <c r="B429" s="4" t="inlineStr"/>
      <c r="C429" s="4">
        <f>IF(A429="","",COUNTIF(F429:AI429,"+")+COUNTIF(F429:AI429,"1"))</f>
        <v/>
      </c>
      <c r="D429" s="4">
        <f>IF(A429="","",IF(C429&gt;2*COUNTA(F$413:AI$413)/3,1,IF(C429&gt;=COUNTA(F$413:AI$413)/2,0.8,0.5)))</f>
        <v/>
      </c>
      <c r="E429" s="4">
        <f>IF(A429="","",SUMIFS('Логи'!$H$4:$H$3006,'Логи'!$A$4:$A$3006,A429,'Логи'!$C$4:$C$3006,7))</f>
        <v/>
      </c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  <c r="AF429" s="15" t="n"/>
      <c r="AG429" s="15" t="n"/>
      <c r="AH429" s="15" t="n"/>
      <c r="AI429" s="15" t="n"/>
    </row>
    <row r="430">
      <c r="A430" s="4" t="inlineStr">
        <is>
          <t>Студент1.17</t>
        </is>
      </c>
      <c r="B430" s="4" t="inlineStr"/>
      <c r="C430" s="4">
        <f>IF(A430="","",COUNTIF(F430:AI430,"+")+COUNTIF(F430:AI430,"1"))</f>
        <v/>
      </c>
      <c r="D430" s="4">
        <f>IF(A430="","",IF(C430&gt;2*COUNTA(F$413:AI$413)/3,1,IF(C430&gt;=COUNTA(F$413:AI$413)/2,0.8,0.5)))</f>
        <v/>
      </c>
      <c r="E430" s="4">
        <f>IF(A430="","",SUMIFS('Логи'!$H$4:$H$3006,'Логи'!$A$4:$A$3006,A430,'Логи'!$C$4:$C$3006,7))</f>
        <v/>
      </c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  <c r="AF430" s="15" t="n"/>
      <c r="AG430" s="15" t="n"/>
      <c r="AH430" s="15" t="n"/>
      <c r="AI430" s="15" t="n"/>
    </row>
    <row r="431">
      <c r="A431" s="4" t="inlineStr">
        <is>
          <t>Студент1.18</t>
        </is>
      </c>
      <c r="B431" s="4" t="inlineStr"/>
      <c r="C431" s="4">
        <f>IF(A431="","",COUNTIF(F431:AI431,"+")+COUNTIF(F431:AI431,"1"))</f>
        <v/>
      </c>
      <c r="D431" s="4">
        <f>IF(A431="","",IF(C431&gt;2*COUNTA(F$413:AI$413)/3,1,IF(C431&gt;=COUNTA(F$413:AI$413)/2,0.8,0.5)))</f>
        <v/>
      </c>
      <c r="E431" s="4">
        <f>IF(A431="","",SUMIFS('Логи'!$H$4:$H$3006,'Логи'!$A$4:$A$3006,A431,'Логи'!$C$4:$C$3006,7))</f>
        <v/>
      </c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  <c r="AF431" s="15" t="n"/>
      <c r="AG431" s="15" t="n"/>
      <c r="AH431" s="15" t="n"/>
      <c r="AI431" s="15" t="n"/>
    </row>
    <row r="432">
      <c r="A432" s="4" t="inlineStr">
        <is>
          <t>Студент1.19</t>
        </is>
      </c>
      <c r="B432" s="4" t="inlineStr"/>
      <c r="C432" s="4">
        <f>IF(A432="","",COUNTIF(F432:AI432,"+")+COUNTIF(F432:AI432,"1"))</f>
        <v/>
      </c>
      <c r="D432" s="4">
        <f>IF(A432="","",IF(C432&gt;2*COUNTA(F$413:AI$413)/3,1,IF(C432&gt;=COUNTA(F$413:AI$413)/2,0.8,0.5)))</f>
        <v/>
      </c>
      <c r="E432" s="4">
        <f>IF(A432="","",SUMIFS('Логи'!$H$4:$H$3006,'Логи'!$A$4:$A$3006,A432,'Логи'!$C$4:$C$3006,7))</f>
        <v/>
      </c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  <c r="AF432" s="15" t="n"/>
      <c r="AG432" s="15" t="n"/>
      <c r="AH432" s="15" t="n"/>
      <c r="AI432" s="15" t="n"/>
    </row>
    <row r="433">
      <c r="A433" s="4" t="inlineStr">
        <is>
          <t>Студент1.20</t>
        </is>
      </c>
      <c r="B433" s="4" t="inlineStr"/>
      <c r="C433" s="4">
        <f>IF(A433="","",COUNTIF(F433:AI433,"+")+COUNTIF(F433:AI433,"1"))</f>
        <v/>
      </c>
      <c r="D433" s="4">
        <f>IF(A433="","",IF(C433&gt;2*COUNTA(F$413:AI$413)/3,1,IF(C433&gt;=COUNTA(F$413:AI$413)/2,0.8,0.5)))</f>
        <v/>
      </c>
      <c r="E433" s="4">
        <f>IF(A433="","",SUMIFS('Логи'!$H$4:$H$3006,'Логи'!$A$4:$A$3006,A433,'Логи'!$C$4:$C$3006,7))</f>
        <v/>
      </c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  <c r="AF433" s="15" t="n"/>
      <c r="AG433" s="15" t="n"/>
      <c r="AH433" s="15" t="n"/>
      <c r="AI433" s="15" t="n"/>
    </row>
    <row r="434">
      <c r="A434" s="4" t="inlineStr">
        <is>
          <t>Студент1.21</t>
        </is>
      </c>
      <c r="B434" s="4" t="inlineStr"/>
      <c r="C434" s="4">
        <f>IF(A434="","",COUNTIF(F434:AI434,"+")+COUNTIF(F434:AI434,"1"))</f>
        <v/>
      </c>
      <c r="D434" s="4">
        <f>IF(A434="","",IF(C434&gt;2*COUNTA(F$413:AI$413)/3,1,IF(C434&gt;=COUNTA(F$413:AI$413)/2,0.8,0.5)))</f>
        <v/>
      </c>
      <c r="E434" s="4">
        <f>IF(A434="","",SUMIFS('Логи'!$H$4:$H$3006,'Логи'!$A$4:$A$3006,A434,'Логи'!$C$4:$C$3006,7))</f>
        <v/>
      </c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  <c r="AG434" s="15" t="n"/>
      <c r="AH434" s="15" t="n"/>
      <c r="AI434" s="15" t="n"/>
    </row>
    <row r="435">
      <c r="A435" s="4" t="inlineStr">
        <is>
          <t>Студент1.22</t>
        </is>
      </c>
      <c r="B435" s="4" t="inlineStr"/>
      <c r="C435" s="4">
        <f>IF(A435="","",COUNTIF(F435:AI435,"+")+COUNTIF(F435:AI435,"1"))</f>
        <v/>
      </c>
      <c r="D435" s="4">
        <f>IF(A435="","",IF(C435&gt;2*COUNTA(F$413:AI$413)/3,1,IF(C435&gt;=COUNTA(F$413:AI$413)/2,0.8,0.5)))</f>
        <v/>
      </c>
      <c r="E435" s="4">
        <f>IF(A435="","",SUMIFS('Логи'!$H$4:$H$3006,'Логи'!$A$4:$A$3006,A435,'Логи'!$C$4:$C$3006,7))</f>
        <v/>
      </c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  <c r="AF435" s="15" t="n"/>
      <c r="AG435" s="15" t="n"/>
      <c r="AH435" s="15" t="n"/>
      <c r="AI435" s="15" t="n"/>
    </row>
    <row r="436">
      <c r="A436" s="4" t="inlineStr">
        <is>
          <t>Студент1.23</t>
        </is>
      </c>
      <c r="B436" s="4" t="inlineStr"/>
      <c r="C436" s="4">
        <f>IF(A436="","",COUNTIF(F436:AI436,"+")+COUNTIF(F436:AI436,"1"))</f>
        <v/>
      </c>
      <c r="D436" s="4">
        <f>IF(A436="","",IF(C436&gt;2*COUNTA(F$413:AI$413)/3,1,IF(C436&gt;=COUNTA(F$413:AI$413)/2,0.8,0.5)))</f>
        <v/>
      </c>
      <c r="E436" s="4">
        <f>IF(A436="","",SUMIFS('Логи'!$H$4:$H$3006,'Логи'!$A$4:$A$3006,A436,'Логи'!$C$4:$C$3006,7))</f>
        <v/>
      </c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5" t="n"/>
      <c r="AE436" s="15" t="n"/>
      <c r="AF436" s="15" t="n"/>
      <c r="AG436" s="15" t="n"/>
      <c r="AH436" s="15" t="n"/>
      <c r="AI436" s="15" t="n"/>
    </row>
    <row r="437">
      <c r="A437" s="4" t="inlineStr">
        <is>
          <t>Студент1.24</t>
        </is>
      </c>
      <c r="B437" s="4" t="inlineStr"/>
      <c r="C437" s="4">
        <f>IF(A437="","",COUNTIF(F437:AI437,"+")+COUNTIF(F437:AI437,"1"))</f>
        <v/>
      </c>
      <c r="D437" s="4">
        <f>IF(A437="","",IF(C437&gt;2*COUNTA(F$413:AI$413)/3,1,IF(C437&gt;=COUNTA(F$413:AI$413)/2,0.8,0.5)))</f>
        <v/>
      </c>
      <c r="E437" s="4">
        <f>IF(A437="","",SUMIFS('Логи'!$H$4:$H$3006,'Логи'!$A$4:$A$3006,A437,'Логи'!$C$4:$C$3006,7))</f>
        <v/>
      </c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5" t="n"/>
      <c r="AE437" s="15" t="n"/>
      <c r="AF437" s="15" t="n"/>
      <c r="AG437" s="15" t="n"/>
      <c r="AH437" s="15" t="n"/>
      <c r="AI437" s="15" t="n"/>
    </row>
    <row r="438">
      <c r="A438" s="4" t="inlineStr">
        <is>
          <t>Студент1.25</t>
        </is>
      </c>
      <c r="B438" s="4" t="inlineStr"/>
      <c r="C438" s="4">
        <f>IF(A438="","",COUNTIF(F438:AI438,"+")+COUNTIF(F438:AI438,"1"))</f>
        <v/>
      </c>
      <c r="D438" s="4">
        <f>IF(A438="","",IF(C438&gt;2*COUNTA(F$413:AI$413)/3,1,IF(C438&gt;=COUNTA(F$413:AI$413)/2,0.8,0.5)))</f>
        <v/>
      </c>
      <c r="E438" s="4">
        <f>IF(A438="","",SUMIFS('Логи'!$H$4:$H$3006,'Логи'!$A$4:$A$3006,A438,'Логи'!$C$4:$C$3006,7))</f>
        <v/>
      </c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  <c r="AF438" s="15" t="n"/>
      <c r="AG438" s="15" t="n"/>
      <c r="AH438" s="15" t="n"/>
      <c r="AI438" s="15" t="n"/>
    </row>
    <row r="439">
      <c r="A439" s="4" t="inlineStr">
        <is>
          <t>Студент1.26</t>
        </is>
      </c>
      <c r="B439" s="4" t="inlineStr"/>
      <c r="C439" s="4">
        <f>IF(A439="","",COUNTIF(F439:AI439,"+")+COUNTIF(F439:AI439,"1"))</f>
        <v/>
      </c>
      <c r="D439" s="4">
        <f>IF(A439="","",IF(C439&gt;2*COUNTA(F$413:AI$413)/3,1,IF(C439&gt;=COUNTA(F$413:AI$413)/2,0.8,0.5)))</f>
        <v/>
      </c>
      <c r="E439" s="4">
        <f>IF(A439="","",SUMIFS('Логи'!$H$4:$H$3006,'Логи'!$A$4:$A$3006,A439,'Логи'!$C$4:$C$3006,7))</f>
        <v/>
      </c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  <c r="AF439" s="15" t="n"/>
      <c r="AG439" s="15" t="n"/>
      <c r="AH439" s="15" t="n"/>
      <c r="AI439" s="15" t="n"/>
    </row>
    <row r="440">
      <c r="A440" s="4" t="inlineStr">
        <is>
          <t>Студент1.27</t>
        </is>
      </c>
      <c r="B440" s="4" t="inlineStr"/>
      <c r="C440" s="4">
        <f>IF(A440="","",COUNTIF(F440:AI440,"+")+COUNTIF(F440:AI440,"1"))</f>
        <v/>
      </c>
      <c r="D440" s="4">
        <f>IF(A440="","",IF(C440&gt;2*COUNTA(F$413:AI$413)/3,1,IF(C440&gt;=COUNTA(F$413:AI$413)/2,0.8,0.5)))</f>
        <v/>
      </c>
      <c r="E440" s="4">
        <f>IF(A440="","",SUMIFS('Логи'!$H$4:$H$3006,'Логи'!$A$4:$A$3006,A440,'Логи'!$C$4:$C$3006,7))</f>
        <v/>
      </c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  <c r="AC440" s="15" t="n"/>
      <c r="AD440" s="15" t="n"/>
      <c r="AE440" s="15" t="n"/>
      <c r="AF440" s="15" t="n"/>
      <c r="AG440" s="15" t="n"/>
      <c r="AH440" s="15" t="n"/>
      <c r="AI440" s="15" t="n"/>
    </row>
    <row r="441">
      <c r="A441" s="4" t="inlineStr">
        <is>
          <t>Студент1.28</t>
        </is>
      </c>
      <c r="B441" s="4" t="inlineStr"/>
      <c r="C441" s="4">
        <f>IF(A441="","",COUNTIF(F441:AI441,"+")+COUNTIF(F441:AI441,"1"))</f>
        <v/>
      </c>
      <c r="D441" s="4">
        <f>IF(A441="","",IF(C441&gt;2*COUNTA(F$413:AI$413)/3,1,IF(C441&gt;=COUNTA(F$413:AI$413)/2,0.8,0.5)))</f>
        <v/>
      </c>
      <c r="E441" s="4">
        <f>IF(A441="","",SUMIFS('Логи'!$H$4:$H$3006,'Логи'!$A$4:$A$3006,A441,'Логи'!$C$4:$C$3006,7))</f>
        <v/>
      </c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  <c r="AC441" s="15" t="n"/>
      <c r="AD441" s="15" t="n"/>
      <c r="AE441" s="15" t="n"/>
      <c r="AF441" s="15" t="n"/>
      <c r="AG441" s="15" t="n"/>
      <c r="AH441" s="15" t="n"/>
      <c r="AI441" s="15" t="n"/>
    </row>
    <row r="442">
      <c r="A442" s="4" t="inlineStr">
        <is>
          <t>Студент1.29</t>
        </is>
      </c>
      <c r="B442" s="4" t="inlineStr"/>
      <c r="C442" s="4">
        <f>IF(A442="","",COUNTIF(F442:AI442,"+")+COUNTIF(F442:AI442,"1"))</f>
        <v/>
      </c>
      <c r="D442" s="4">
        <f>IF(A442="","",IF(C442&gt;2*COUNTA(F$413:AI$413)/3,1,IF(C442&gt;=COUNTA(F$413:AI$413)/2,0.8,0.5)))</f>
        <v/>
      </c>
      <c r="E442" s="4">
        <f>IF(A442="","",SUMIFS('Логи'!$H$4:$H$3006,'Логи'!$A$4:$A$3006,A442,'Логи'!$C$4:$C$3006,7))</f>
        <v/>
      </c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  <c r="AC442" s="15" t="n"/>
      <c r="AD442" s="15" t="n"/>
      <c r="AE442" s="15" t="n"/>
      <c r="AF442" s="15" t="n"/>
      <c r="AG442" s="15" t="n"/>
      <c r="AH442" s="15" t="n"/>
      <c r="AI442" s="15" t="n"/>
    </row>
    <row r="443">
      <c r="A443" s="4" t="inlineStr">
        <is>
          <t>Студент1.30</t>
        </is>
      </c>
      <c r="B443" s="4" t="inlineStr"/>
      <c r="C443" s="4">
        <f>IF(A443="","",COUNTIF(F443:AI443,"+")+COUNTIF(F443:AI443,"1"))</f>
        <v/>
      </c>
      <c r="D443" s="4">
        <f>IF(A443="","",IF(C443&gt;2*COUNTA(F$413:AI$413)/3,1,IF(C443&gt;=COUNTA(F$413:AI$413)/2,0.8,0.5)))</f>
        <v/>
      </c>
      <c r="E443" s="4">
        <f>IF(A443="","",SUMIFS('Логи'!$H$4:$H$3006,'Логи'!$A$4:$A$3006,A443,'Логи'!$C$4:$C$3006,7))</f>
        <v/>
      </c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  <c r="AC443" s="15" t="n"/>
      <c r="AD443" s="15" t="n"/>
      <c r="AE443" s="15" t="n"/>
      <c r="AF443" s="15" t="n"/>
      <c r="AG443" s="15" t="n"/>
      <c r="AH443" s="15" t="n"/>
      <c r="AI443" s="15" t="n"/>
    </row>
    <row r="445">
      <c r="A445" s="16" t="inlineStr">
        <is>
          <t>Практика 7 — результаты рассказа</t>
        </is>
      </c>
    </row>
    <row r="446" ht="28" customHeight="1">
      <c r="A446" s="7" t="inlineStr">
        <is>
          <t>Имя</t>
        </is>
      </c>
      <c r="B446" s="9" t="inlineStr">
        <is>
          <t>TG</t>
        </is>
      </c>
      <c r="C446" s="10" t="inlineStr"/>
      <c r="D446" s="2" t="inlineStr"/>
      <c r="E446" s="2" t="inlineStr"/>
      <c r="F446" s="11" t="inlineStr">
        <is>
          <t>1.0</t>
        </is>
      </c>
      <c r="G446" s="11" t="inlineStr">
        <is>
          <t>2.0</t>
        </is>
      </c>
      <c r="H446" s="11" t="inlineStr">
        <is>
          <t>3.0</t>
        </is>
      </c>
      <c r="I446" s="11" t="inlineStr">
        <is>
          <t>4.0</t>
        </is>
      </c>
      <c r="J446" s="11" t="inlineStr">
        <is>
          <t>5.0</t>
        </is>
      </c>
      <c r="K446" s="11" t="inlineStr">
        <is>
          <t>6</t>
        </is>
      </c>
      <c r="L446" s="11" t="inlineStr">
        <is>
          <t>7</t>
        </is>
      </c>
      <c r="M446" s="11" t="inlineStr">
        <is>
          <t>8</t>
        </is>
      </c>
      <c r="N446" s="11" t="inlineStr">
        <is>
          <t>9</t>
        </is>
      </c>
      <c r="O446" s="11" t="inlineStr">
        <is>
          <t>10</t>
        </is>
      </c>
      <c r="P446" s="11" t="inlineStr">
        <is>
          <t>11</t>
        </is>
      </c>
      <c r="Q446" s="11" t="inlineStr">
        <is>
          <t>12</t>
        </is>
      </c>
      <c r="R446" s="11" t="inlineStr">
        <is>
          <t>13</t>
        </is>
      </c>
      <c r="S446" s="11" t="inlineStr">
        <is>
          <t>14</t>
        </is>
      </c>
      <c r="T446" s="11" t="inlineStr">
        <is>
          <t>15</t>
        </is>
      </c>
      <c r="U446" s="11" t="inlineStr">
        <is>
          <t>16</t>
        </is>
      </c>
      <c r="V446" s="11" t="inlineStr">
        <is>
          <t>17</t>
        </is>
      </c>
      <c r="W446" s="11" t="inlineStr">
        <is>
          <t>18</t>
        </is>
      </c>
      <c r="X446" s="11" t="inlineStr">
        <is>
          <t>19</t>
        </is>
      </c>
      <c r="Y446" s="11" t="inlineStr">
        <is>
          <t>20</t>
        </is>
      </c>
      <c r="Z446" s="11" t="inlineStr">
        <is>
          <t>21</t>
        </is>
      </c>
      <c r="AA446" s="11" t="inlineStr">
        <is>
          <t>22</t>
        </is>
      </c>
      <c r="AB446" s="11" t="inlineStr">
        <is>
          <t>23</t>
        </is>
      </c>
      <c r="AC446" s="11" t="inlineStr">
        <is>
          <t>24</t>
        </is>
      </c>
      <c r="AD446" s="11" t="inlineStr">
        <is>
          <t>25</t>
        </is>
      </c>
      <c r="AE446" s="11" t="inlineStr">
        <is>
          <t>26</t>
        </is>
      </c>
      <c r="AF446" s="11" t="inlineStr">
        <is>
          <t>27</t>
        </is>
      </c>
      <c r="AG446" s="11" t="inlineStr">
        <is>
          <t>28</t>
        </is>
      </c>
      <c r="AH446" s="11" t="inlineStr">
        <is>
          <t>29</t>
        </is>
      </c>
      <c r="AI446" s="11" t="inlineStr">
        <is>
          <t>30</t>
        </is>
      </c>
    </row>
    <row r="447">
      <c r="A447" s="4" t="inlineStr">
        <is>
          <t>Студент1.1</t>
        </is>
      </c>
      <c r="B447" s="4" t="inlineStr"/>
      <c r="C447" s="4" t="n"/>
      <c r="D447" s="4" t="n"/>
      <c r="E447" s="4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5" t="n"/>
      <c r="AE447" s="15" t="n"/>
      <c r="AF447" s="15" t="n"/>
      <c r="AG447" s="15" t="n"/>
      <c r="AH447" s="15" t="n"/>
      <c r="AI447" s="15" t="n"/>
    </row>
    <row r="448">
      <c r="A448" s="4" t="inlineStr">
        <is>
          <t>Студент1.2</t>
        </is>
      </c>
      <c r="B448" s="4" t="inlineStr"/>
      <c r="C448" s="4" t="n"/>
      <c r="D448" s="4" t="n"/>
      <c r="E448" s="4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5" t="n"/>
      <c r="AE448" s="15" t="n"/>
      <c r="AF448" s="15" t="n"/>
      <c r="AG448" s="15" t="n"/>
      <c r="AH448" s="15" t="n"/>
      <c r="AI448" s="15" t="n"/>
    </row>
    <row r="449">
      <c r="A449" s="4" t="inlineStr">
        <is>
          <t>Студент1.3</t>
        </is>
      </c>
      <c r="B449" s="4" t="inlineStr"/>
      <c r="C449" s="4" t="n"/>
      <c r="D449" s="4" t="n"/>
      <c r="E449" s="4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  <c r="AC449" s="15" t="n"/>
      <c r="AD449" s="15" t="n"/>
      <c r="AE449" s="15" t="n"/>
      <c r="AF449" s="15" t="n"/>
      <c r="AG449" s="15" t="n"/>
      <c r="AH449" s="15" t="n"/>
      <c r="AI449" s="15" t="n"/>
    </row>
    <row r="450">
      <c r="A450" s="4" t="inlineStr">
        <is>
          <t>Студент1.4</t>
        </is>
      </c>
      <c r="B450" s="4" t="inlineStr"/>
      <c r="C450" s="4" t="n"/>
      <c r="D450" s="4" t="n"/>
      <c r="E450" s="4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5" t="n"/>
      <c r="AE450" s="15" t="n"/>
      <c r="AF450" s="15" t="n"/>
      <c r="AG450" s="15" t="n"/>
      <c r="AH450" s="15" t="n"/>
      <c r="AI450" s="15" t="n"/>
    </row>
    <row r="451">
      <c r="A451" s="4" t="inlineStr">
        <is>
          <t>Студент1.5</t>
        </is>
      </c>
      <c r="B451" s="4" t="inlineStr"/>
      <c r="C451" s="4" t="n"/>
      <c r="D451" s="4" t="n"/>
      <c r="E451" s="4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5" t="n"/>
      <c r="AE451" s="15" t="n"/>
      <c r="AF451" s="15" t="n"/>
      <c r="AG451" s="15" t="n"/>
      <c r="AH451" s="15" t="n"/>
      <c r="AI451" s="15" t="n"/>
    </row>
    <row r="452">
      <c r="A452" s="4" t="inlineStr">
        <is>
          <t>Студент1.6</t>
        </is>
      </c>
      <c r="B452" s="4" t="inlineStr"/>
      <c r="C452" s="4" t="n"/>
      <c r="D452" s="4" t="n"/>
      <c r="E452" s="4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5" t="n"/>
      <c r="AE452" s="15" t="n"/>
      <c r="AF452" s="15" t="n"/>
      <c r="AG452" s="15" t="n"/>
      <c r="AH452" s="15" t="n"/>
      <c r="AI452" s="15" t="n"/>
    </row>
    <row r="453">
      <c r="A453" s="4" t="inlineStr">
        <is>
          <t>Студент1.7</t>
        </is>
      </c>
      <c r="B453" s="4" t="inlineStr"/>
      <c r="C453" s="4" t="n"/>
      <c r="D453" s="4" t="n"/>
      <c r="E453" s="4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5" t="n"/>
      <c r="AE453" s="15" t="n"/>
      <c r="AF453" s="15" t="n"/>
      <c r="AG453" s="15" t="n"/>
      <c r="AH453" s="15" t="n"/>
      <c r="AI453" s="15" t="n"/>
    </row>
    <row r="454">
      <c r="A454" s="4" t="inlineStr">
        <is>
          <t>Студент1.8</t>
        </is>
      </c>
      <c r="B454" s="4" t="inlineStr"/>
      <c r="C454" s="4" t="n"/>
      <c r="D454" s="4" t="n"/>
      <c r="E454" s="4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5" t="n"/>
      <c r="AE454" s="15" t="n"/>
      <c r="AF454" s="15" t="n"/>
      <c r="AG454" s="15" t="n"/>
      <c r="AH454" s="15" t="n"/>
      <c r="AI454" s="15" t="n"/>
    </row>
    <row r="455">
      <c r="A455" s="4" t="inlineStr">
        <is>
          <t>Студент1.9</t>
        </is>
      </c>
      <c r="B455" s="4" t="inlineStr"/>
      <c r="C455" s="4" t="n"/>
      <c r="D455" s="4" t="n"/>
      <c r="E455" s="4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5" t="n"/>
      <c r="AE455" s="15" t="n"/>
      <c r="AF455" s="15" t="n"/>
      <c r="AG455" s="15" t="n"/>
      <c r="AH455" s="15" t="n"/>
      <c r="AI455" s="15" t="n"/>
    </row>
    <row r="456">
      <c r="A456" s="4" t="inlineStr">
        <is>
          <t>Студент1.10</t>
        </is>
      </c>
      <c r="B456" s="4" t="inlineStr"/>
      <c r="C456" s="4" t="n"/>
      <c r="D456" s="4" t="n"/>
      <c r="E456" s="4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  <c r="AC456" s="15" t="n"/>
      <c r="AD456" s="15" t="n"/>
      <c r="AE456" s="15" t="n"/>
      <c r="AF456" s="15" t="n"/>
      <c r="AG456" s="15" t="n"/>
      <c r="AH456" s="15" t="n"/>
      <c r="AI456" s="15" t="n"/>
    </row>
    <row r="457">
      <c r="A457" s="4" t="inlineStr">
        <is>
          <t>Студент1.11</t>
        </is>
      </c>
      <c r="B457" s="4" t="inlineStr"/>
      <c r="C457" s="4" t="n"/>
      <c r="D457" s="4" t="n"/>
      <c r="E457" s="4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  <c r="AC457" s="15" t="n"/>
      <c r="AD457" s="15" t="n"/>
      <c r="AE457" s="15" t="n"/>
      <c r="AF457" s="15" t="n"/>
      <c r="AG457" s="15" t="n"/>
      <c r="AH457" s="15" t="n"/>
      <c r="AI457" s="15" t="n"/>
    </row>
    <row r="458">
      <c r="A458" s="4" t="inlineStr">
        <is>
          <t>Студент1.12</t>
        </is>
      </c>
      <c r="B458" s="4" t="inlineStr"/>
      <c r="C458" s="4" t="n"/>
      <c r="D458" s="4" t="n"/>
      <c r="E458" s="4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  <c r="AF458" s="15" t="n"/>
      <c r="AG458" s="15" t="n"/>
      <c r="AH458" s="15" t="n"/>
      <c r="AI458" s="15" t="n"/>
    </row>
    <row r="459">
      <c r="A459" s="4" t="inlineStr">
        <is>
          <t>Студент1.13</t>
        </is>
      </c>
      <c r="B459" s="4" t="inlineStr"/>
      <c r="C459" s="4" t="n"/>
      <c r="D459" s="4" t="n"/>
      <c r="E459" s="4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  <c r="AF459" s="15" t="n"/>
      <c r="AG459" s="15" t="n"/>
      <c r="AH459" s="15" t="n"/>
      <c r="AI459" s="15" t="n"/>
    </row>
    <row r="460">
      <c r="A460" s="4" t="inlineStr">
        <is>
          <t>Студент1.14</t>
        </is>
      </c>
      <c r="B460" s="4" t="inlineStr"/>
      <c r="C460" s="4" t="n"/>
      <c r="D460" s="4" t="n"/>
      <c r="E460" s="4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5" t="n"/>
      <c r="AE460" s="15" t="n"/>
      <c r="AF460" s="15" t="n"/>
      <c r="AG460" s="15" t="n"/>
      <c r="AH460" s="15" t="n"/>
      <c r="AI460" s="15" t="n"/>
    </row>
    <row r="461">
      <c r="A461" s="4" t="inlineStr">
        <is>
          <t>Студент1.15</t>
        </is>
      </c>
      <c r="B461" s="4" t="inlineStr"/>
      <c r="C461" s="4" t="n"/>
      <c r="D461" s="4" t="n"/>
      <c r="E461" s="4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  <c r="AC461" s="15" t="n"/>
      <c r="AD461" s="15" t="n"/>
      <c r="AE461" s="15" t="n"/>
      <c r="AF461" s="15" t="n"/>
      <c r="AG461" s="15" t="n"/>
      <c r="AH461" s="15" t="n"/>
      <c r="AI461" s="15" t="n"/>
    </row>
    <row r="462">
      <c r="A462" s="4" t="inlineStr">
        <is>
          <t>Студент1.16</t>
        </is>
      </c>
      <c r="B462" s="4" t="inlineStr"/>
      <c r="C462" s="4" t="n"/>
      <c r="D462" s="4" t="n"/>
      <c r="E462" s="4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5" t="n"/>
      <c r="AE462" s="15" t="n"/>
      <c r="AF462" s="15" t="n"/>
      <c r="AG462" s="15" t="n"/>
      <c r="AH462" s="15" t="n"/>
      <c r="AI462" s="15" t="n"/>
    </row>
    <row r="463">
      <c r="A463" s="4" t="inlineStr">
        <is>
          <t>Студент1.17</t>
        </is>
      </c>
      <c r="B463" s="4" t="inlineStr"/>
      <c r="C463" s="4" t="n"/>
      <c r="D463" s="4" t="n"/>
      <c r="E463" s="4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5" t="n"/>
      <c r="AE463" s="15" t="n"/>
      <c r="AF463" s="15" t="n"/>
      <c r="AG463" s="15" t="n"/>
      <c r="AH463" s="15" t="n"/>
      <c r="AI463" s="15" t="n"/>
    </row>
    <row r="464">
      <c r="A464" s="4" t="inlineStr">
        <is>
          <t>Студент1.18</t>
        </is>
      </c>
      <c r="B464" s="4" t="inlineStr"/>
      <c r="C464" s="4" t="n"/>
      <c r="D464" s="4" t="n"/>
      <c r="E464" s="4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  <c r="AC464" s="15" t="n"/>
      <c r="AD464" s="15" t="n"/>
      <c r="AE464" s="15" t="n"/>
      <c r="AF464" s="15" t="n"/>
      <c r="AG464" s="15" t="n"/>
      <c r="AH464" s="15" t="n"/>
      <c r="AI464" s="15" t="n"/>
    </row>
    <row r="465">
      <c r="A465" s="4" t="inlineStr">
        <is>
          <t>Студент1.19</t>
        </is>
      </c>
      <c r="B465" s="4" t="inlineStr"/>
      <c r="C465" s="4" t="n"/>
      <c r="D465" s="4" t="n"/>
      <c r="E465" s="4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5" t="n"/>
      <c r="AE465" s="15" t="n"/>
      <c r="AF465" s="15" t="n"/>
      <c r="AG465" s="15" t="n"/>
      <c r="AH465" s="15" t="n"/>
      <c r="AI465" s="15" t="n"/>
    </row>
    <row r="466">
      <c r="A466" s="4" t="inlineStr">
        <is>
          <t>Студент1.20</t>
        </is>
      </c>
      <c r="B466" s="4" t="inlineStr"/>
      <c r="C466" s="4" t="n"/>
      <c r="D466" s="4" t="n"/>
      <c r="E466" s="4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5" t="n"/>
      <c r="AE466" s="15" t="n"/>
      <c r="AF466" s="15" t="n"/>
      <c r="AG466" s="15" t="n"/>
      <c r="AH466" s="15" t="n"/>
      <c r="AI466" s="15" t="n"/>
    </row>
    <row r="467">
      <c r="A467" s="4" t="inlineStr">
        <is>
          <t>Студент1.21</t>
        </is>
      </c>
      <c r="B467" s="4" t="inlineStr"/>
      <c r="C467" s="4" t="n"/>
      <c r="D467" s="4" t="n"/>
      <c r="E467" s="4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5" t="n"/>
      <c r="AE467" s="15" t="n"/>
      <c r="AF467" s="15" t="n"/>
      <c r="AG467" s="15" t="n"/>
      <c r="AH467" s="15" t="n"/>
      <c r="AI467" s="15" t="n"/>
    </row>
    <row r="468">
      <c r="A468" s="4" t="inlineStr">
        <is>
          <t>Студент1.22</t>
        </is>
      </c>
      <c r="B468" s="4" t="inlineStr"/>
      <c r="C468" s="4" t="n"/>
      <c r="D468" s="4" t="n"/>
      <c r="E468" s="4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  <c r="AC468" s="15" t="n"/>
      <c r="AD468" s="15" t="n"/>
      <c r="AE468" s="15" t="n"/>
      <c r="AF468" s="15" t="n"/>
      <c r="AG468" s="15" t="n"/>
      <c r="AH468" s="15" t="n"/>
      <c r="AI468" s="15" t="n"/>
    </row>
    <row r="469">
      <c r="A469" s="4" t="inlineStr">
        <is>
          <t>Студент1.23</t>
        </is>
      </c>
      <c r="B469" s="4" t="inlineStr"/>
      <c r="C469" s="4" t="n"/>
      <c r="D469" s="4" t="n"/>
      <c r="E469" s="4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5" t="n"/>
      <c r="AE469" s="15" t="n"/>
      <c r="AF469" s="15" t="n"/>
      <c r="AG469" s="15" t="n"/>
      <c r="AH469" s="15" t="n"/>
      <c r="AI469" s="15" t="n"/>
    </row>
    <row r="470">
      <c r="A470" s="4" t="inlineStr">
        <is>
          <t>Студент1.24</t>
        </is>
      </c>
      <c r="B470" s="4" t="inlineStr"/>
      <c r="C470" s="4" t="n"/>
      <c r="D470" s="4" t="n"/>
      <c r="E470" s="4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5" t="n"/>
      <c r="AE470" s="15" t="n"/>
      <c r="AF470" s="15" t="n"/>
      <c r="AG470" s="15" t="n"/>
      <c r="AH470" s="15" t="n"/>
      <c r="AI470" s="15" t="n"/>
    </row>
    <row r="471">
      <c r="A471" s="4" t="inlineStr">
        <is>
          <t>Студент1.25</t>
        </is>
      </c>
      <c r="B471" s="4" t="inlineStr"/>
      <c r="C471" s="4" t="n"/>
      <c r="D471" s="4" t="n"/>
      <c r="E471" s="4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  <c r="AC471" s="15" t="n"/>
      <c r="AD471" s="15" t="n"/>
      <c r="AE471" s="15" t="n"/>
      <c r="AF471" s="15" t="n"/>
      <c r="AG471" s="15" t="n"/>
      <c r="AH471" s="15" t="n"/>
      <c r="AI471" s="15" t="n"/>
    </row>
    <row r="472">
      <c r="A472" s="4" t="inlineStr">
        <is>
          <t>Студент1.26</t>
        </is>
      </c>
      <c r="B472" s="4" t="inlineStr"/>
      <c r="C472" s="4" t="n"/>
      <c r="D472" s="4" t="n"/>
      <c r="E472" s="4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5" t="n"/>
      <c r="AE472" s="15" t="n"/>
      <c r="AF472" s="15" t="n"/>
      <c r="AG472" s="15" t="n"/>
      <c r="AH472" s="15" t="n"/>
      <c r="AI472" s="15" t="n"/>
    </row>
    <row r="473">
      <c r="A473" s="4" t="inlineStr">
        <is>
          <t>Студент1.27</t>
        </is>
      </c>
      <c r="B473" s="4" t="inlineStr"/>
      <c r="C473" s="4" t="n"/>
      <c r="D473" s="4" t="n"/>
      <c r="E473" s="4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5" t="n"/>
      <c r="AE473" s="15" t="n"/>
      <c r="AF473" s="15" t="n"/>
      <c r="AG473" s="15" t="n"/>
      <c r="AH473" s="15" t="n"/>
      <c r="AI473" s="15" t="n"/>
    </row>
    <row r="474">
      <c r="A474" s="4" t="inlineStr">
        <is>
          <t>Студент1.28</t>
        </is>
      </c>
      <c r="B474" s="4" t="inlineStr"/>
      <c r="C474" s="4" t="n"/>
      <c r="D474" s="4" t="n"/>
      <c r="E474" s="4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  <c r="AC474" s="15" t="n"/>
      <c r="AD474" s="15" t="n"/>
      <c r="AE474" s="15" t="n"/>
      <c r="AF474" s="15" t="n"/>
      <c r="AG474" s="15" t="n"/>
      <c r="AH474" s="15" t="n"/>
      <c r="AI474" s="15" t="n"/>
    </row>
    <row r="475">
      <c r="A475" s="4" t="inlineStr">
        <is>
          <t>Студент1.29</t>
        </is>
      </c>
      <c r="B475" s="4" t="inlineStr"/>
      <c r="C475" s="4" t="n"/>
      <c r="D475" s="4" t="n"/>
      <c r="E475" s="4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  <c r="AC475" s="15" t="n"/>
      <c r="AD475" s="15" t="n"/>
      <c r="AE475" s="15" t="n"/>
      <c r="AF475" s="15" t="n"/>
      <c r="AG475" s="15" t="n"/>
      <c r="AH475" s="15" t="n"/>
      <c r="AI475" s="15" t="n"/>
    </row>
    <row r="476">
      <c r="A476" s="4" t="inlineStr">
        <is>
          <t>Студент1.30</t>
        </is>
      </c>
      <c r="B476" s="4" t="inlineStr"/>
      <c r="C476" s="4" t="n"/>
      <c r="D476" s="4" t="n"/>
      <c r="E476" s="4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  <c r="AC476" s="15" t="n"/>
      <c r="AD476" s="15" t="n"/>
      <c r="AE476" s="15" t="n"/>
      <c r="AF476" s="15" t="n"/>
      <c r="AG476" s="15" t="n"/>
      <c r="AH476" s="15" t="n"/>
      <c r="AI476" s="15" t="n"/>
    </row>
    <row r="480">
      <c r="A480" s="13" t="inlineStr">
        <is>
          <t>Практика 8 — плюсы</t>
        </is>
      </c>
    </row>
    <row r="481" ht="28" customHeight="1">
      <c r="A481" s="7" t="inlineStr">
        <is>
          <t>Имя</t>
        </is>
      </c>
      <c r="B481" s="9" t="inlineStr">
        <is>
          <t>TG</t>
        </is>
      </c>
      <c r="C481" s="10" t="inlineStr">
        <is>
          <t>S</t>
        </is>
      </c>
      <c r="D481" s="8" t="inlineStr">
        <is>
          <t>Коэффициент</t>
        </is>
      </c>
      <c r="E481" s="14" t="inlineStr">
        <is>
          <t>D за практику</t>
        </is>
      </c>
      <c r="F481" s="11" t="inlineStr">
        <is>
          <t>1.0</t>
        </is>
      </c>
      <c r="G481" s="11" t="inlineStr">
        <is>
          <t>2.0</t>
        </is>
      </c>
      <c r="H481" s="11" t="inlineStr">
        <is>
          <t>3.0</t>
        </is>
      </c>
      <c r="I481" s="11" t="inlineStr">
        <is>
          <t>4.0</t>
        </is>
      </c>
      <c r="J481" s="11" t="inlineStr">
        <is>
          <t>5.0</t>
        </is>
      </c>
      <c r="K481" s="11" t="inlineStr">
        <is>
          <t>6</t>
        </is>
      </c>
      <c r="L481" s="11" t="inlineStr">
        <is>
          <t>7</t>
        </is>
      </c>
      <c r="M481" s="11" t="inlineStr">
        <is>
          <t>8</t>
        </is>
      </c>
      <c r="N481" s="11" t="inlineStr">
        <is>
          <t>9</t>
        </is>
      </c>
      <c r="O481" s="11" t="inlineStr">
        <is>
          <t>10</t>
        </is>
      </c>
      <c r="P481" s="11" t="inlineStr">
        <is>
          <t>11</t>
        </is>
      </c>
      <c r="Q481" s="11" t="inlineStr">
        <is>
          <t>12</t>
        </is>
      </c>
      <c r="R481" s="11" t="inlineStr">
        <is>
          <t>13</t>
        </is>
      </c>
      <c r="S481" s="11" t="inlineStr">
        <is>
          <t>14</t>
        </is>
      </c>
      <c r="T481" s="11" t="inlineStr">
        <is>
          <t>15</t>
        </is>
      </c>
      <c r="U481" s="11" t="inlineStr">
        <is>
          <t>16</t>
        </is>
      </c>
      <c r="V481" s="11" t="inlineStr">
        <is>
          <t>17</t>
        </is>
      </c>
      <c r="W481" s="11" t="inlineStr">
        <is>
          <t>18</t>
        </is>
      </c>
      <c r="X481" s="11" t="inlineStr">
        <is>
          <t>19</t>
        </is>
      </c>
      <c r="Y481" s="11" t="inlineStr">
        <is>
          <t>20</t>
        </is>
      </c>
      <c r="Z481" s="11" t="inlineStr">
        <is>
          <t>21</t>
        </is>
      </c>
      <c r="AA481" s="11" t="inlineStr">
        <is>
          <t>22</t>
        </is>
      </c>
      <c r="AB481" s="11" t="inlineStr">
        <is>
          <t>23</t>
        </is>
      </c>
      <c r="AC481" s="11" t="inlineStr">
        <is>
          <t>24</t>
        </is>
      </c>
      <c r="AD481" s="11" t="inlineStr">
        <is>
          <t>25</t>
        </is>
      </c>
      <c r="AE481" s="11" t="inlineStr">
        <is>
          <t>26</t>
        </is>
      </c>
      <c r="AF481" s="11" t="inlineStr">
        <is>
          <t>27</t>
        </is>
      </c>
      <c r="AG481" s="11" t="inlineStr">
        <is>
          <t>28</t>
        </is>
      </c>
      <c r="AH481" s="11" t="inlineStr">
        <is>
          <t>29</t>
        </is>
      </c>
      <c r="AI481" s="11" t="inlineStr">
        <is>
          <t>30</t>
        </is>
      </c>
    </row>
    <row r="482">
      <c r="A482" s="4" t="inlineStr">
        <is>
          <t>Студент1.1</t>
        </is>
      </c>
      <c r="B482" s="4" t="inlineStr"/>
      <c r="C482" s="4">
        <f>IF(A482="","",COUNTIF(F482:AI482,"+")+COUNTIF(F482:AI482,"1"))</f>
        <v/>
      </c>
      <c r="D482" s="4">
        <f>IF(A482="","",IF(C482&gt;2*COUNTA(F$481:AI$481)/3,1,IF(C482&gt;=COUNTA(F$481:AI$481)/2,0.8,0.5)))</f>
        <v/>
      </c>
      <c r="E482" s="4">
        <f>IF(A482="","",SUMIFS('Логи'!$H$4:$H$3006,'Логи'!$A$4:$A$3006,A482,'Логи'!$C$4:$C$3006,8))</f>
        <v/>
      </c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n"/>
      <c r="AE482" s="15" t="n"/>
      <c r="AF482" s="15" t="n"/>
      <c r="AG482" s="15" t="n"/>
      <c r="AH482" s="15" t="n"/>
      <c r="AI482" s="15" t="n"/>
    </row>
    <row r="483">
      <c r="A483" s="4" t="inlineStr">
        <is>
          <t>Студент1.2</t>
        </is>
      </c>
      <c r="B483" s="4" t="inlineStr"/>
      <c r="C483" s="4">
        <f>IF(A483="","",COUNTIF(F483:AI483,"+")+COUNTIF(F483:AI483,"1"))</f>
        <v/>
      </c>
      <c r="D483" s="4">
        <f>IF(A483="","",IF(C483&gt;2*COUNTA(F$481:AI$481)/3,1,IF(C483&gt;=COUNTA(F$481:AI$481)/2,0.8,0.5)))</f>
        <v/>
      </c>
      <c r="E483" s="4">
        <f>IF(A483="","",SUMIFS('Логи'!$H$4:$H$3006,'Логи'!$A$4:$A$3006,A483,'Логи'!$C$4:$C$3006,8))</f>
        <v/>
      </c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n"/>
      <c r="AE483" s="15" t="n"/>
      <c r="AF483" s="15" t="n"/>
      <c r="AG483" s="15" t="n"/>
      <c r="AH483" s="15" t="n"/>
      <c r="AI483" s="15" t="n"/>
    </row>
    <row r="484">
      <c r="A484" s="4" t="inlineStr">
        <is>
          <t>Студент1.3</t>
        </is>
      </c>
      <c r="B484" s="4" t="inlineStr"/>
      <c r="C484" s="4">
        <f>IF(A484="","",COUNTIF(F484:AI484,"+")+COUNTIF(F484:AI484,"1"))</f>
        <v/>
      </c>
      <c r="D484" s="4">
        <f>IF(A484="","",IF(C484&gt;2*COUNTA(F$481:AI$481)/3,1,IF(C484&gt;=COUNTA(F$481:AI$481)/2,0.8,0.5)))</f>
        <v/>
      </c>
      <c r="E484" s="4">
        <f>IF(A484="","",SUMIFS('Логи'!$H$4:$H$3006,'Логи'!$A$4:$A$3006,A484,'Логи'!$C$4:$C$3006,8))</f>
        <v/>
      </c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n"/>
      <c r="AE484" s="15" t="n"/>
      <c r="AF484" s="15" t="n"/>
      <c r="AG484" s="15" t="n"/>
      <c r="AH484" s="15" t="n"/>
      <c r="AI484" s="15" t="n"/>
    </row>
    <row r="485">
      <c r="A485" s="4" t="inlineStr">
        <is>
          <t>Студент1.4</t>
        </is>
      </c>
      <c r="B485" s="4" t="inlineStr"/>
      <c r="C485" s="4">
        <f>IF(A485="","",COUNTIF(F485:AI485,"+")+COUNTIF(F485:AI485,"1"))</f>
        <v/>
      </c>
      <c r="D485" s="4">
        <f>IF(A485="","",IF(C485&gt;2*COUNTA(F$481:AI$481)/3,1,IF(C485&gt;=COUNTA(F$481:AI$481)/2,0.8,0.5)))</f>
        <v/>
      </c>
      <c r="E485" s="4">
        <f>IF(A485="","",SUMIFS('Логи'!$H$4:$H$3006,'Логи'!$A$4:$A$3006,A485,'Логи'!$C$4:$C$3006,8))</f>
        <v/>
      </c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n"/>
      <c r="AE485" s="15" t="n"/>
      <c r="AF485" s="15" t="n"/>
      <c r="AG485" s="15" t="n"/>
      <c r="AH485" s="15" t="n"/>
      <c r="AI485" s="15" t="n"/>
    </row>
    <row r="486">
      <c r="A486" s="4" t="inlineStr">
        <is>
          <t>Студент1.5</t>
        </is>
      </c>
      <c r="B486" s="4" t="inlineStr"/>
      <c r="C486" s="4">
        <f>IF(A486="","",COUNTIF(F486:AI486,"+")+COUNTIF(F486:AI486,"1"))</f>
        <v/>
      </c>
      <c r="D486" s="4">
        <f>IF(A486="","",IF(C486&gt;2*COUNTA(F$481:AI$481)/3,1,IF(C486&gt;=COUNTA(F$481:AI$481)/2,0.8,0.5)))</f>
        <v/>
      </c>
      <c r="E486" s="4">
        <f>IF(A486="","",SUMIFS('Логи'!$H$4:$H$3006,'Логи'!$A$4:$A$3006,A486,'Логи'!$C$4:$C$3006,8))</f>
        <v/>
      </c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n"/>
      <c r="AE486" s="15" t="n"/>
      <c r="AF486" s="15" t="n"/>
      <c r="AG486" s="15" t="n"/>
      <c r="AH486" s="15" t="n"/>
      <c r="AI486" s="15" t="n"/>
    </row>
    <row r="487">
      <c r="A487" s="4" t="inlineStr">
        <is>
          <t>Студент1.6</t>
        </is>
      </c>
      <c r="B487" s="4" t="inlineStr"/>
      <c r="C487" s="4">
        <f>IF(A487="","",COUNTIF(F487:AI487,"+")+COUNTIF(F487:AI487,"1"))</f>
        <v/>
      </c>
      <c r="D487" s="4">
        <f>IF(A487="","",IF(C487&gt;2*COUNTA(F$481:AI$481)/3,1,IF(C487&gt;=COUNTA(F$481:AI$481)/2,0.8,0.5)))</f>
        <v/>
      </c>
      <c r="E487" s="4">
        <f>IF(A487="","",SUMIFS('Логи'!$H$4:$H$3006,'Логи'!$A$4:$A$3006,A487,'Логи'!$C$4:$C$3006,8))</f>
        <v/>
      </c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n"/>
      <c r="AE487" s="15" t="n"/>
      <c r="AF487" s="15" t="n"/>
      <c r="AG487" s="15" t="n"/>
      <c r="AH487" s="15" t="n"/>
      <c r="AI487" s="15" t="n"/>
    </row>
    <row r="488">
      <c r="A488" s="4" t="inlineStr">
        <is>
          <t>Студент1.7</t>
        </is>
      </c>
      <c r="B488" s="4" t="inlineStr"/>
      <c r="C488" s="4">
        <f>IF(A488="","",COUNTIF(F488:AI488,"+")+COUNTIF(F488:AI488,"1"))</f>
        <v/>
      </c>
      <c r="D488" s="4">
        <f>IF(A488="","",IF(C488&gt;2*COUNTA(F$481:AI$481)/3,1,IF(C488&gt;=COUNTA(F$481:AI$481)/2,0.8,0.5)))</f>
        <v/>
      </c>
      <c r="E488" s="4">
        <f>IF(A488="","",SUMIFS('Логи'!$H$4:$H$3006,'Логи'!$A$4:$A$3006,A488,'Логи'!$C$4:$C$3006,8))</f>
        <v/>
      </c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n"/>
      <c r="AE488" s="15" t="n"/>
      <c r="AF488" s="15" t="n"/>
      <c r="AG488" s="15" t="n"/>
      <c r="AH488" s="15" t="n"/>
      <c r="AI488" s="15" t="n"/>
    </row>
    <row r="489">
      <c r="A489" s="4" t="inlineStr">
        <is>
          <t>Студент1.8</t>
        </is>
      </c>
      <c r="B489" s="4" t="inlineStr"/>
      <c r="C489" s="4">
        <f>IF(A489="","",COUNTIF(F489:AI489,"+")+COUNTIF(F489:AI489,"1"))</f>
        <v/>
      </c>
      <c r="D489" s="4">
        <f>IF(A489="","",IF(C489&gt;2*COUNTA(F$481:AI$481)/3,1,IF(C489&gt;=COUNTA(F$481:AI$481)/2,0.8,0.5)))</f>
        <v/>
      </c>
      <c r="E489" s="4">
        <f>IF(A489="","",SUMIFS('Логи'!$H$4:$H$3006,'Логи'!$A$4:$A$3006,A489,'Логи'!$C$4:$C$3006,8))</f>
        <v/>
      </c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n"/>
      <c r="AE489" s="15" t="n"/>
      <c r="AF489" s="15" t="n"/>
      <c r="AG489" s="15" t="n"/>
      <c r="AH489" s="15" t="n"/>
      <c r="AI489" s="15" t="n"/>
    </row>
    <row r="490">
      <c r="A490" s="4" t="inlineStr">
        <is>
          <t>Студент1.9</t>
        </is>
      </c>
      <c r="B490" s="4" t="inlineStr"/>
      <c r="C490" s="4">
        <f>IF(A490="","",COUNTIF(F490:AI490,"+")+COUNTIF(F490:AI490,"1"))</f>
        <v/>
      </c>
      <c r="D490" s="4">
        <f>IF(A490="","",IF(C490&gt;2*COUNTA(F$481:AI$481)/3,1,IF(C490&gt;=COUNTA(F$481:AI$481)/2,0.8,0.5)))</f>
        <v/>
      </c>
      <c r="E490" s="4">
        <f>IF(A490="","",SUMIFS('Логи'!$H$4:$H$3006,'Логи'!$A$4:$A$3006,A490,'Логи'!$C$4:$C$3006,8))</f>
        <v/>
      </c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n"/>
      <c r="AE490" s="15" t="n"/>
      <c r="AF490" s="15" t="n"/>
      <c r="AG490" s="15" t="n"/>
      <c r="AH490" s="15" t="n"/>
      <c r="AI490" s="15" t="n"/>
    </row>
    <row r="491">
      <c r="A491" s="4" t="inlineStr">
        <is>
          <t>Студент1.10</t>
        </is>
      </c>
      <c r="B491" s="4" t="inlineStr"/>
      <c r="C491" s="4">
        <f>IF(A491="","",COUNTIF(F491:AI491,"+")+COUNTIF(F491:AI491,"1"))</f>
        <v/>
      </c>
      <c r="D491" s="4">
        <f>IF(A491="","",IF(C491&gt;2*COUNTA(F$481:AI$481)/3,1,IF(C491&gt;=COUNTA(F$481:AI$481)/2,0.8,0.5)))</f>
        <v/>
      </c>
      <c r="E491" s="4">
        <f>IF(A491="","",SUMIFS('Логи'!$H$4:$H$3006,'Логи'!$A$4:$A$3006,A491,'Логи'!$C$4:$C$3006,8))</f>
        <v/>
      </c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n"/>
      <c r="AE491" s="15" t="n"/>
      <c r="AF491" s="15" t="n"/>
      <c r="AG491" s="15" t="n"/>
      <c r="AH491" s="15" t="n"/>
      <c r="AI491" s="15" t="n"/>
    </row>
    <row r="492">
      <c r="A492" s="4" t="inlineStr">
        <is>
          <t>Студент1.11</t>
        </is>
      </c>
      <c r="B492" s="4" t="inlineStr"/>
      <c r="C492" s="4">
        <f>IF(A492="","",COUNTIF(F492:AI492,"+")+COUNTIF(F492:AI492,"1"))</f>
        <v/>
      </c>
      <c r="D492" s="4">
        <f>IF(A492="","",IF(C492&gt;2*COUNTA(F$481:AI$481)/3,1,IF(C492&gt;=COUNTA(F$481:AI$481)/2,0.8,0.5)))</f>
        <v/>
      </c>
      <c r="E492" s="4">
        <f>IF(A492="","",SUMIFS('Логи'!$H$4:$H$3006,'Логи'!$A$4:$A$3006,A492,'Логи'!$C$4:$C$3006,8))</f>
        <v/>
      </c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n"/>
      <c r="AE492" s="15" t="n"/>
      <c r="AF492" s="15" t="n"/>
      <c r="AG492" s="15" t="n"/>
      <c r="AH492" s="15" t="n"/>
      <c r="AI492" s="15" t="n"/>
    </row>
    <row r="493">
      <c r="A493" s="4" t="inlineStr">
        <is>
          <t>Студент1.12</t>
        </is>
      </c>
      <c r="B493" s="4" t="inlineStr"/>
      <c r="C493" s="4">
        <f>IF(A493="","",COUNTIF(F493:AI493,"+")+COUNTIF(F493:AI493,"1"))</f>
        <v/>
      </c>
      <c r="D493" s="4">
        <f>IF(A493="","",IF(C493&gt;2*COUNTA(F$481:AI$481)/3,1,IF(C493&gt;=COUNTA(F$481:AI$481)/2,0.8,0.5)))</f>
        <v/>
      </c>
      <c r="E493" s="4">
        <f>IF(A493="","",SUMIFS('Логи'!$H$4:$H$3006,'Логи'!$A$4:$A$3006,A493,'Логи'!$C$4:$C$3006,8))</f>
        <v/>
      </c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n"/>
      <c r="AE493" s="15" t="n"/>
      <c r="AF493" s="15" t="n"/>
      <c r="AG493" s="15" t="n"/>
      <c r="AH493" s="15" t="n"/>
      <c r="AI493" s="15" t="n"/>
    </row>
    <row r="494">
      <c r="A494" s="4" t="inlineStr">
        <is>
          <t>Студент1.13</t>
        </is>
      </c>
      <c r="B494" s="4" t="inlineStr"/>
      <c r="C494" s="4">
        <f>IF(A494="","",COUNTIF(F494:AI494,"+")+COUNTIF(F494:AI494,"1"))</f>
        <v/>
      </c>
      <c r="D494" s="4">
        <f>IF(A494="","",IF(C494&gt;2*COUNTA(F$481:AI$481)/3,1,IF(C494&gt;=COUNTA(F$481:AI$481)/2,0.8,0.5)))</f>
        <v/>
      </c>
      <c r="E494" s="4">
        <f>IF(A494="","",SUMIFS('Логи'!$H$4:$H$3006,'Логи'!$A$4:$A$3006,A494,'Логи'!$C$4:$C$3006,8))</f>
        <v/>
      </c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n"/>
      <c r="AE494" s="15" t="n"/>
      <c r="AF494" s="15" t="n"/>
      <c r="AG494" s="15" t="n"/>
      <c r="AH494" s="15" t="n"/>
      <c r="AI494" s="15" t="n"/>
    </row>
    <row r="495">
      <c r="A495" s="4" t="inlineStr">
        <is>
          <t>Студент1.14</t>
        </is>
      </c>
      <c r="B495" s="4" t="inlineStr"/>
      <c r="C495" s="4">
        <f>IF(A495="","",COUNTIF(F495:AI495,"+")+COUNTIF(F495:AI495,"1"))</f>
        <v/>
      </c>
      <c r="D495" s="4">
        <f>IF(A495="","",IF(C495&gt;2*COUNTA(F$481:AI$481)/3,1,IF(C495&gt;=COUNTA(F$481:AI$481)/2,0.8,0.5)))</f>
        <v/>
      </c>
      <c r="E495" s="4">
        <f>IF(A495="","",SUMIFS('Логи'!$H$4:$H$3006,'Логи'!$A$4:$A$3006,A495,'Логи'!$C$4:$C$3006,8))</f>
        <v/>
      </c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n"/>
      <c r="AE495" s="15" t="n"/>
      <c r="AF495" s="15" t="n"/>
      <c r="AG495" s="15" t="n"/>
      <c r="AH495" s="15" t="n"/>
      <c r="AI495" s="15" t="n"/>
    </row>
    <row r="496">
      <c r="A496" s="4" t="inlineStr">
        <is>
          <t>Студент1.15</t>
        </is>
      </c>
      <c r="B496" s="4" t="inlineStr"/>
      <c r="C496" s="4">
        <f>IF(A496="","",COUNTIF(F496:AI496,"+")+COUNTIF(F496:AI496,"1"))</f>
        <v/>
      </c>
      <c r="D496" s="4">
        <f>IF(A496="","",IF(C496&gt;2*COUNTA(F$481:AI$481)/3,1,IF(C496&gt;=COUNTA(F$481:AI$481)/2,0.8,0.5)))</f>
        <v/>
      </c>
      <c r="E496" s="4">
        <f>IF(A496="","",SUMIFS('Логи'!$H$4:$H$3006,'Логи'!$A$4:$A$3006,A496,'Логи'!$C$4:$C$3006,8))</f>
        <v/>
      </c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5" t="n"/>
      <c r="AE496" s="15" t="n"/>
      <c r="AF496" s="15" t="n"/>
      <c r="AG496" s="15" t="n"/>
      <c r="AH496" s="15" t="n"/>
      <c r="AI496" s="15" t="n"/>
    </row>
    <row r="497">
      <c r="A497" s="4" t="inlineStr">
        <is>
          <t>Студент1.16</t>
        </is>
      </c>
      <c r="B497" s="4" t="inlineStr"/>
      <c r="C497" s="4">
        <f>IF(A497="","",COUNTIF(F497:AI497,"+")+COUNTIF(F497:AI497,"1"))</f>
        <v/>
      </c>
      <c r="D497" s="4">
        <f>IF(A497="","",IF(C497&gt;2*COUNTA(F$481:AI$481)/3,1,IF(C497&gt;=COUNTA(F$481:AI$481)/2,0.8,0.5)))</f>
        <v/>
      </c>
      <c r="E497" s="4">
        <f>IF(A497="","",SUMIFS('Логи'!$H$4:$H$3006,'Логи'!$A$4:$A$3006,A497,'Логи'!$C$4:$C$3006,8))</f>
        <v/>
      </c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5" t="n"/>
      <c r="AE497" s="15" t="n"/>
      <c r="AF497" s="15" t="n"/>
      <c r="AG497" s="15" t="n"/>
      <c r="AH497" s="15" t="n"/>
      <c r="AI497" s="15" t="n"/>
    </row>
    <row r="498">
      <c r="A498" s="4" t="inlineStr">
        <is>
          <t>Студент1.17</t>
        </is>
      </c>
      <c r="B498" s="4" t="inlineStr"/>
      <c r="C498" s="4">
        <f>IF(A498="","",COUNTIF(F498:AI498,"+")+COUNTIF(F498:AI498,"1"))</f>
        <v/>
      </c>
      <c r="D498" s="4">
        <f>IF(A498="","",IF(C498&gt;2*COUNTA(F$481:AI$481)/3,1,IF(C498&gt;=COUNTA(F$481:AI$481)/2,0.8,0.5)))</f>
        <v/>
      </c>
      <c r="E498" s="4">
        <f>IF(A498="","",SUMIFS('Логи'!$H$4:$H$3006,'Логи'!$A$4:$A$3006,A498,'Логи'!$C$4:$C$3006,8))</f>
        <v/>
      </c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  <c r="AF498" s="15" t="n"/>
      <c r="AG498" s="15" t="n"/>
      <c r="AH498" s="15" t="n"/>
      <c r="AI498" s="15" t="n"/>
    </row>
    <row r="499">
      <c r="A499" s="4" t="inlineStr">
        <is>
          <t>Студент1.18</t>
        </is>
      </c>
      <c r="B499" s="4" t="inlineStr"/>
      <c r="C499" s="4">
        <f>IF(A499="","",COUNTIF(F499:AI499,"+")+COUNTIF(F499:AI499,"1"))</f>
        <v/>
      </c>
      <c r="D499" s="4">
        <f>IF(A499="","",IF(C499&gt;2*COUNTA(F$481:AI$481)/3,1,IF(C499&gt;=COUNTA(F$481:AI$481)/2,0.8,0.5)))</f>
        <v/>
      </c>
      <c r="E499" s="4">
        <f>IF(A499="","",SUMIFS('Логи'!$H$4:$H$3006,'Логи'!$A$4:$A$3006,A499,'Логи'!$C$4:$C$3006,8))</f>
        <v/>
      </c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  <c r="AF499" s="15" t="n"/>
      <c r="AG499" s="15" t="n"/>
      <c r="AH499" s="15" t="n"/>
      <c r="AI499" s="15" t="n"/>
    </row>
    <row r="500">
      <c r="A500" s="4" t="inlineStr">
        <is>
          <t>Студент1.19</t>
        </is>
      </c>
      <c r="B500" s="4" t="inlineStr"/>
      <c r="C500" s="4">
        <f>IF(A500="","",COUNTIF(F500:AI500,"+")+COUNTIF(F500:AI500,"1"))</f>
        <v/>
      </c>
      <c r="D500" s="4">
        <f>IF(A500="","",IF(C500&gt;2*COUNTA(F$481:AI$481)/3,1,IF(C500&gt;=COUNTA(F$481:AI$481)/2,0.8,0.5)))</f>
        <v/>
      </c>
      <c r="E500" s="4">
        <f>IF(A500="","",SUMIFS('Логи'!$H$4:$H$3006,'Логи'!$A$4:$A$3006,A500,'Логи'!$C$4:$C$3006,8))</f>
        <v/>
      </c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5" t="n"/>
      <c r="AE500" s="15" t="n"/>
      <c r="AF500" s="15" t="n"/>
      <c r="AG500" s="15" t="n"/>
      <c r="AH500" s="15" t="n"/>
      <c r="AI500" s="15" t="n"/>
    </row>
    <row r="501">
      <c r="A501" s="4" t="inlineStr">
        <is>
          <t>Студент1.20</t>
        </is>
      </c>
      <c r="B501" s="4" t="inlineStr"/>
      <c r="C501" s="4">
        <f>IF(A501="","",COUNTIF(F501:AI501,"+")+COUNTIF(F501:AI501,"1"))</f>
        <v/>
      </c>
      <c r="D501" s="4">
        <f>IF(A501="","",IF(C501&gt;2*COUNTA(F$481:AI$481)/3,1,IF(C501&gt;=COUNTA(F$481:AI$481)/2,0.8,0.5)))</f>
        <v/>
      </c>
      <c r="E501" s="4">
        <f>IF(A501="","",SUMIFS('Логи'!$H$4:$H$3006,'Логи'!$A$4:$A$3006,A501,'Логи'!$C$4:$C$3006,8))</f>
        <v/>
      </c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5" t="n"/>
      <c r="AE501" s="15" t="n"/>
      <c r="AF501" s="15" t="n"/>
      <c r="AG501" s="15" t="n"/>
      <c r="AH501" s="15" t="n"/>
      <c r="AI501" s="15" t="n"/>
    </row>
    <row r="502">
      <c r="A502" s="4" t="inlineStr">
        <is>
          <t>Студент1.21</t>
        </is>
      </c>
      <c r="B502" s="4" t="inlineStr"/>
      <c r="C502" s="4">
        <f>IF(A502="","",COUNTIF(F502:AI502,"+")+COUNTIF(F502:AI502,"1"))</f>
        <v/>
      </c>
      <c r="D502" s="4">
        <f>IF(A502="","",IF(C502&gt;2*COUNTA(F$481:AI$481)/3,1,IF(C502&gt;=COUNTA(F$481:AI$481)/2,0.8,0.5)))</f>
        <v/>
      </c>
      <c r="E502" s="4">
        <f>IF(A502="","",SUMIFS('Логи'!$H$4:$H$3006,'Логи'!$A$4:$A$3006,A502,'Логи'!$C$4:$C$3006,8))</f>
        <v/>
      </c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15" t="n"/>
      <c r="O502" s="15" t="n"/>
      <c r="P502" s="15" t="n"/>
      <c r="Q502" s="15" t="n"/>
      <c r="R502" s="15" t="n"/>
      <c r="S502" s="15" t="n"/>
      <c r="T502" s="15" t="n"/>
      <c r="U502" s="15" t="n"/>
      <c r="V502" s="15" t="n"/>
      <c r="W502" s="15" t="n"/>
      <c r="X502" s="15" t="n"/>
      <c r="Y502" s="15" t="n"/>
      <c r="Z502" s="15" t="n"/>
      <c r="AA502" s="15" t="n"/>
      <c r="AB502" s="15" t="n"/>
      <c r="AC502" s="15" t="n"/>
      <c r="AD502" s="15" t="n"/>
      <c r="AE502" s="15" t="n"/>
      <c r="AF502" s="15" t="n"/>
      <c r="AG502" s="15" t="n"/>
      <c r="AH502" s="15" t="n"/>
      <c r="AI502" s="15" t="n"/>
    </row>
    <row r="503">
      <c r="A503" s="4" t="inlineStr">
        <is>
          <t>Студент1.22</t>
        </is>
      </c>
      <c r="B503" s="4" t="inlineStr"/>
      <c r="C503" s="4">
        <f>IF(A503="","",COUNTIF(F503:AI503,"+")+COUNTIF(F503:AI503,"1"))</f>
        <v/>
      </c>
      <c r="D503" s="4">
        <f>IF(A503="","",IF(C503&gt;2*COUNTA(F$481:AI$481)/3,1,IF(C503&gt;=COUNTA(F$481:AI$481)/2,0.8,0.5)))</f>
        <v/>
      </c>
      <c r="E503" s="4">
        <f>IF(A503="","",SUMIFS('Логи'!$H$4:$H$3006,'Логи'!$A$4:$A$3006,A503,'Логи'!$C$4:$C$3006,8))</f>
        <v/>
      </c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15" t="n"/>
      <c r="O503" s="15" t="n"/>
      <c r="P503" s="15" t="n"/>
      <c r="Q503" s="15" t="n"/>
      <c r="R503" s="15" t="n"/>
      <c r="S503" s="15" t="n"/>
      <c r="T503" s="15" t="n"/>
      <c r="U503" s="15" t="n"/>
      <c r="V503" s="15" t="n"/>
      <c r="W503" s="15" t="n"/>
      <c r="X503" s="15" t="n"/>
      <c r="Y503" s="15" t="n"/>
      <c r="Z503" s="15" t="n"/>
      <c r="AA503" s="15" t="n"/>
      <c r="AB503" s="15" t="n"/>
      <c r="AC503" s="15" t="n"/>
      <c r="AD503" s="15" t="n"/>
      <c r="AE503" s="15" t="n"/>
      <c r="AF503" s="15" t="n"/>
      <c r="AG503" s="15" t="n"/>
      <c r="AH503" s="15" t="n"/>
      <c r="AI503" s="15" t="n"/>
    </row>
    <row r="504">
      <c r="A504" s="4" t="inlineStr">
        <is>
          <t>Студент1.23</t>
        </is>
      </c>
      <c r="B504" s="4" t="inlineStr"/>
      <c r="C504" s="4">
        <f>IF(A504="","",COUNTIF(F504:AI504,"+")+COUNTIF(F504:AI504,"1"))</f>
        <v/>
      </c>
      <c r="D504" s="4">
        <f>IF(A504="","",IF(C504&gt;2*COUNTA(F$481:AI$481)/3,1,IF(C504&gt;=COUNTA(F$481:AI$481)/2,0.8,0.5)))</f>
        <v/>
      </c>
      <c r="E504" s="4">
        <f>IF(A504="","",SUMIFS('Логи'!$H$4:$H$3006,'Логи'!$A$4:$A$3006,A504,'Логи'!$C$4:$C$3006,8))</f>
        <v/>
      </c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  <c r="O504" s="15" t="n"/>
      <c r="P504" s="15" t="n"/>
      <c r="Q504" s="15" t="n"/>
      <c r="R504" s="15" t="n"/>
      <c r="S504" s="15" t="n"/>
      <c r="T504" s="15" t="n"/>
      <c r="U504" s="15" t="n"/>
      <c r="V504" s="15" t="n"/>
      <c r="W504" s="15" t="n"/>
      <c r="X504" s="15" t="n"/>
      <c r="Y504" s="15" t="n"/>
      <c r="Z504" s="15" t="n"/>
      <c r="AA504" s="15" t="n"/>
      <c r="AB504" s="15" t="n"/>
      <c r="AC504" s="15" t="n"/>
      <c r="AD504" s="15" t="n"/>
      <c r="AE504" s="15" t="n"/>
      <c r="AF504" s="15" t="n"/>
      <c r="AG504" s="15" t="n"/>
      <c r="AH504" s="15" t="n"/>
      <c r="AI504" s="15" t="n"/>
    </row>
    <row r="505">
      <c r="A505" s="4" t="inlineStr">
        <is>
          <t>Студент1.24</t>
        </is>
      </c>
      <c r="B505" s="4" t="inlineStr"/>
      <c r="C505" s="4">
        <f>IF(A505="","",COUNTIF(F505:AI505,"+")+COUNTIF(F505:AI505,"1"))</f>
        <v/>
      </c>
      <c r="D505" s="4">
        <f>IF(A505="","",IF(C505&gt;2*COUNTA(F$481:AI$481)/3,1,IF(C505&gt;=COUNTA(F$481:AI$481)/2,0.8,0.5)))</f>
        <v/>
      </c>
      <c r="E505" s="4">
        <f>IF(A505="","",SUMIFS('Логи'!$H$4:$H$3006,'Логи'!$A$4:$A$3006,A505,'Логи'!$C$4:$C$3006,8))</f>
        <v/>
      </c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  <c r="O505" s="15" t="n"/>
      <c r="P505" s="15" t="n"/>
      <c r="Q505" s="15" t="n"/>
      <c r="R505" s="15" t="n"/>
      <c r="S505" s="15" t="n"/>
      <c r="T505" s="15" t="n"/>
      <c r="U505" s="15" t="n"/>
      <c r="V505" s="15" t="n"/>
      <c r="W505" s="15" t="n"/>
      <c r="X505" s="15" t="n"/>
      <c r="Y505" s="15" t="n"/>
      <c r="Z505" s="15" t="n"/>
      <c r="AA505" s="15" t="n"/>
      <c r="AB505" s="15" t="n"/>
      <c r="AC505" s="15" t="n"/>
      <c r="AD505" s="15" t="n"/>
      <c r="AE505" s="15" t="n"/>
      <c r="AF505" s="15" t="n"/>
      <c r="AG505" s="15" t="n"/>
      <c r="AH505" s="15" t="n"/>
      <c r="AI505" s="15" t="n"/>
    </row>
    <row r="506">
      <c r="A506" s="4" t="inlineStr">
        <is>
          <t>Студент1.25</t>
        </is>
      </c>
      <c r="B506" s="4" t="inlineStr"/>
      <c r="C506" s="4">
        <f>IF(A506="","",COUNTIF(F506:AI506,"+")+COUNTIF(F506:AI506,"1"))</f>
        <v/>
      </c>
      <c r="D506" s="4">
        <f>IF(A506="","",IF(C506&gt;2*COUNTA(F$481:AI$481)/3,1,IF(C506&gt;=COUNTA(F$481:AI$481)/2,0.8,0.5)))</f>
        <v/>
      </c>
      <c r="E506" s="4">
        <f>IF(A506="","",SUMIFS('Логи'!$H$4:$H$3006,'Логи'!$A$4:$A$3006,A506,'Логи'!$C$4:$C$3006,8))</f>
        <v/>
      </c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  <c r="O506" s="15" t="n"/>
      <c r="P506" s="15" t="n"/>
      <c r="Q506" s="15" t="n"/>
      <c r="R506" s="15" t="n"/>
      <c r="S506" s="15" t="n"/>
      <c r="T506" s="15" t="n"/>
      <c r="U506" s="15" t="n"/>
      <c r="V506" s="15" t="n"/>
      <c r="W506" s="15" t="n"/>
      <c r="X506" s="15" t="n"/>
      <c r="Y506" s="15" t="n"/>
      <c r="Z506" s="15" t="n"/>
      <c r="AA506" s="15" t="n"/>
      <c r="AB506" s="15" t="n"/>
      <c r="AC506" s="15" t="n"/>
      <c r="AD506" s="15" t="n"/>
      <c r="AE506" s="15" t="n"/>
      <c r="AF506" s="15" t="n"/>
      <c r="AG506" s="15" t="n"/>
      <c r="AH506" s="15" t="n"/>
      <c r="AI506" s="15" t="n"/>
    </row>
    <row r="507">
      <c r="A507" s="4" t="inlineStr">
        <is>
          <t>Студент1.26</t>
        </is>
      </c>
      <c r="B507" s="4" t="inlineStr"/>
      <c r="C507" s="4">
        <f>IF(A507="","",COUNTIF(F507:AI507,"+")+COUNTIF(F507:AI507,"1"))</f>
        <v/>
      </c>
      <c r="D507" s="4">
        <f>IF(A507="","",IF(C507&gt;2*COUNTA(F$481:AI$481)/3,1,IF(C507&gt;=COUNTA(F$481:AI$481)/2,0.8,0.5)))</f>
        <v/>
      </c>
      <c r="E507" s="4">
        <f>IF(A507="","",SUMIFS('Логи'!$H$4:$H$3006,'Логи'!$A$4:$A$3006,A507,'Логи'!$C$4:$C$3006,8))</f>
        <v/>
      </c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  <c r="O507" s="15" t="n"/>
      <c r="P507" s="15" t="n"/>
      <c r="Q507" s="15" t="n"/>
      <c r="R507" s="15" t="n"/>
      <c r="S507" s="15" t="n"/>
      <c r="T507" s="15" t="n"/>
      <c r="U507" s="15" t="n"/>
      <c r="V507" s="15" t="n"/>
      <c r="W507" s="15" t="n"/>
      <c r="X507" s="15" t="n"/>
      <c r="Y507" s="15" t="n"/>
      <c r="Z507" s="15" t="n"/>
      <c r="AA507" s="15" t="n"/>
      <c r="AB507" s="15" t="n"/>
      <c r="AC507" s="15" t="n"/>
      <c r="AD507" s="15" t="n"/>
      <c r="AE507" s="15" t="n"/>
      <c r="AF507" s="15" t="n"/>
      <c r="AG507" s="15" t="n"/>
      <c r="AH507" s="15" t="n"/>
      <c r="AI507" s="15" t="n"/>
    </row>
    <row r="508">
      <c r="A508" s="4" t="inlineStr">
        <is>
          <t>Студент1.27</t>
        </is>
      </c>
      <c r="B508" s="4" t="inlineStr"/>
      <c r="C508" s="4">
        <f>IF(A508="","",COUNTIF(F508:AI508,"+")+COUNTIF(F508:AI508,"1"))</f>
        <v/>
      </c>
      <c r="D508" s="4">
        <f>IF(A508="","",IF(C508&gt;2*COUNTA(F$481:AI$481)/3,1,IF(C508&gt;=COUNTA(F$481:AI$481)/2,0.8,0.5)))</f>
        <v/>
      </c>
      <c r="E508" s="4">
        <f>IF(A508="","",SUMIFS('Логи'!$H$4:$H$3006,'Логи'!$A$4:$A$3006,A508,'Логи'!$C$4:$C$3006,8))</f>
        <v/>
      </c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  <c r="O508" s="15" t="n"/>
      <c r="P508" s="15" t="n"/>
      <c r="Q508" s="15" t="n"/>
      <c r="R508" s="15" t="n"/>
      <c r="S508" s="15" t="n"/>
      <c r="T508" s="15" t="n"/>
      <c r="U508" s="15" t="n"/>
      <c r="V508" s="15" t="n"/>
      <c r="W508" s="15" t="n"/>
      <c r="X508" s="15" t="n"/>
      <c r="Y508" s="15" t="n"/>
      <c r="Z508" s="15" t="n"/>
      <c r="AA508" s="15" t="n"/>
      <c r="AB508" s="15" t="n"/>
      <c r="AC508" s="15" t="n"/>
      <c r="AD508" s="15" t="n"/>
      <c r="AE508" s="15" t="n"/>
      <c r="AF508" s="15" t="n"/>
      <c r="AG508" s="15" t="n"/>
      <c r="AH508" s="15" t="n"/>
      <c r="AI508" s="15" t="n"/>
    </row>
    <row r="509">
      <c r="A509" s="4" t="inlineStr">
        <is>
          <t>Студент1.28</t>
        </is>
      </c>
      <c r="B509" s="4" t="inlineStr"/>
      <c r="C509" s="4">
        <f>IF(A509="","",COUNTIF(F509:AI509,"+")+COUNTIF(F509:AI509,"1"))</f>
        <v/>
      </c>
      <c r="D509" s="4">
        <f>IF(A509="","",IF(C509&gt;2*COUNTA(F$481:AI$481)/3,1,IF(C509&gt;=COUNTA(F$481:AI$481)/2,0.8,0.5)))</f>
        <v/>
      </c>
      <c r="E509" s="4">
        <f>IF(A509="","",SUMIFS('Логи'!$H$4:$H$3006,'Логи'!$A$4:$A$3006,A509,'Логи'!$C$4:$C$3006,8))</f>
        <v/>
      </c>
      <c r="F509" s="15" t="n"/>
      <c r="G509" s="15" t="n"/>
      <c r="H509" s="15" t="n"/>
      <c r="I509" s="15" t="n"/>
      <c r="J509" s="15" t="n"/>
      <c r="K509" s="15" t="n"/>
      <c r="L509" s="15" t="n"/>
      <c r="M509" s="15" t="n"/>
      <c r="N509" s="15" t="n"/>
      <c r="O509" s="15" t="n"/>
      <c r="P509" s="15" t="n"/>
      <c r="Q509" s="15" t="n"/>
      <c r="R509" s="15" t="n"/>
      <c r="S509" s="15" t="n"/>
      <c r="T509" s="15" t="n"/>
      <c r="U509" s="15" t="n"/>
      <c r="V509" s="15" t="n"/>
      <c r="W509" s="15" t="n"/>
      <c r="X509" s="15" t="n"/>
      <c r="Y509" s="15" t="n"/>
      <c r="Z509" s="15" t="n"/>
      <c r="AA509" s="15" t="n"/>
      <c r="AB509" s="15" t="n"/>
      <c r="AC509" s="15" t="n"/>
      <c r="AD509" s="15" t="n"/>
      <c r="AE509" s="15" t="n"/>
      <c r="AF509" s="15" t="n"/>
      <c r="AG509" s="15" t="n"/>
      <c r="AH509" s="15" t="n"/>
      <c r="AI509" s="15" t="n"/>
    </row>
    <row r="510">
      <c r="A510" s="4" t="inlineStr">
        <is>
          <t>Студент1.29</t>
        </is>
      </c>
      <c r="B510" s="4" t="inlineStr"/>
      <c r="C510" s="4">
        <f>IF(A510="","",COUNTIF(F510:AI510,"+")+COUNTIF(F510:AI510,"1"))</f>
        <v/>
      </c>
      <c r="D510" s="4">
        <f>IF(A510="","",IF(C510&gt;2*COUNTA(F$481:AI$481)/3,1,IF(C510&gt;=COUNTA(F$481:AI$481)/2,0.8,0.5)))</f>
        <v/>
      </c>
      <c r="E510" s="4">
        <f>IF(A510="","",SUMIFS('Логи'!$H$4:$H$3006,'Логи'!$A$4:$A$3006,A510,'Логи'!$C$4:$C$3006,8))</f>
        <v/>
      </c>
      <c r="F510" s="15" t="n"/>
      <c r="G510" s="15" t="n"/>
      <c r="H510" s="15" t="n"/>
      <c r="I510" s="15" t="n"/>
      <c r="J510" s="15" t="n"/>
      <c r="K510" s="15" t="n"/>
      <c r="L510" s="15" t="n"/>
      <c r="M510" s="15" t="n"/>
      <c r="N510" s="15" t="n"/>
      <c r="O510" s="15" t="n"/>
      <c r="P510" s="15" t="n"/>
      <c r="Q510" s="15" t="n"/>
      <c r="R510" s="15" t="n"/>
      <c r="S510" s="15" t="n"/>
      <c r="T510" s="15" t="n"/>
      <c r="U510" s="15" t="n"/>
      <c r="V510" s="15" t="n"/>
      <c r="W510" s="15" t="n"/>
      <c r="X510" s="15" t="n"/>
      <c r="Y510" s="15" t="n"/>
      <c r="Z510" s="15" t="n"/>
      <c r="AA510" s="15" t="n"/>
      <c r="AB510" s="15" t="n"/>
      <c r="AC510" s="15" t="n"/>
      <c r="AD510" s="15" t="n"/>
      <c r="AE510" s="15" t="n"/>
      <c r="AF510" s="15" t="n"/>
      <c r="AG510" s="15" t="n"/>
      <c r="AH510" s="15" t="n"/>
      <c r="AI510" s="15" t="n"/>
    </row>
    <row r="511">
      <c r="A511" s="4" t="inlineStr">
        <is>
          <t>Студент1.30</t>
        </is>
      </c>
      <c r="B511" s="4" t="inlineStr"/>
      <c r="C511" s="4">
        <f>IF(A511="","",COUNTIF(F511:AI511,"+")+COUNTIF(F511:AI511,"1"))</f>
        <v/>
      </c>
      <c r="D511" s="4">
        <f>IF(A511="","",IF(C511&gt;2*COUNTA(F$481:AI$481)/3,1,IF(C511&gt;=COUNTA(F$481:AI$481)/2,0.8,0.5)))</f>
        <v/>
      </c>
      <c r="E511" s="4">
        <f>IF(A511="","",SUMIFS('Логи'!$H$4:$H$3006,'Логи'!$A$4:$A$3006,A511,'Логи'!$C$4:$C$3006,8))</f>
        <v/>
      </c>
      <c r="F511" s="15" t="n"/>
      <c r="G511" s="15" t="n"/>
      <c r="H511" s="15" t="n"/>
      <c r="I511" s="15" t="n"/>
      <c r="J511" s="15" t="n"/>
      <c r="K511" s="15" t="n"/>
      <c r="L511" s="15" t="n"/>
      <c r="M511" s="15" t="n"/>
      <c r="N511" s="15" t="n"/>
      <c r="O511" s="15" t="n"/>
      <c r="P511" s="15" t="n"/>
      <c r="Q511" s="15" t="n"/>
      <c r="R511" s="15" t="n"/>
      <c r="S511" s="15" t="n"/>
      <c r="T511" s="15" t="n"/>
      <c r="U511" s="15" t="n"/>
      <c r="V511" s="15" t="n"/>
      <c r="W511" s="15" t="n"/>
      <c r="X511" s="15" t="n"/>
      <c r="Y511" s="15" t="n"/>
      <c r="Z511" s="15" t="n"/>
      <c r="AA511" s="15" t="n"/>
      <c r="AB511" s="15" t="n"/>
      <c r="AC511" s="15" t="n"/>
      <c r="AD511" s="15" t="n"/>
      <c r="AE511" s="15" t="n"/>
      <c r="AF511" s="15" t="n"/>
      <c r="AG511" s="15" t="n"/>
      <c r="AH511" s="15" t="n"/>
      <c r="AI511" s="15" t="n"/>
    </row>
    <row r="513">
      <c r="A513" s="16" t="inlineStr">
        <is>
          <t>Практика 8 — результаты рассказа</t>
        </is>
      </c>
    </row>
    <row r="514" ht="28" customHeight="1">
      <c r="A514" s="7" t="inlineStr">
        <is>
          <t>Имя</t>
        </is>
      </c>
      <c r="B514" s="9" t="inlineStr">
        <is>
          <t>TG</t>
        </is>
      </c>
      <c r="C514" s="10" t="inlineStr"/>
      <c r="D514" s="2" t="inlineStr"/>
      <c r="E514" s="2" t="inlineStr"/>
      <c r="F514" s="11" t="inlineStr">
        <is>
          <t>1.0</t>
        </is>
      </c>
      <c r="G514" s="11" t="inlineStr">
        <is>
          <t>2.0</t>
        </is>
      </c>
      <c r="H514" s="11" t="inlineStr">
        <is>
          <t>3.0</t>
        </is>
      </c>
      <c r="I514" s="11" t="inlineStr">
        <is>
          <t>4.0</t>
        </is>
      </c>
      <c r="J514" s="11" t="inlineStr">
        <is>
          <t>5.0</t>
        </is>
      </c>
      <c r="K514" s="11" t="inlineStr">
        <is>
          <t>6</t>
        </is>
      </c>
      <c r="L514" s="11" t="inlineStr">
        <is>
          <t>7</t>
        </is>
      </c>
      <c r="M514" s="11" t="inlineStr">
        <is>
          <t>8</t>
        </is>
      </c>
      <c r="N514" s="11" t="inlineStr">
        <is>
          <t>9</t>
        </is>
      </c>
      <c r="O514" s="11" t="inlineStr">
        <is>
          <t>10</t>
        </is>
      </c>
      <c r="P514" s="11" t="inlineStr">
        <is>
          <t>11</t>
        </is>
      </c>
      <c r="Q514" s="11" t="inlineStr">
        <is>
          <t>12</t>
        </is>
      </c>
      <c r="R514" s="11" t="inlineStr">
        <is>
          <t>13</t>
        </is>
      </c>
      <c r="S514" s="11" t="inlineStr">
        <is>
          <t>14</t>
        </is>
      </c>
      <c r="T514" s="11" t="inlineStr">
        <is>
          <t>15</t>
        </is>
      </c>
      <c r="U514" s="11" t="inlineStr">
        <is>
          <t>16</t>
        </is>
      </c>
      <c r="V514" s="11" t="inlineStr">
        <is>
          <t>17</t>
        </is>
      </c>
      <c r="W514" s="11" t="inlineStr">
        <is>
          <t>18</t>
        </is>
      </c>
      <c r="X514" s="11" t="inlineStr">
        <is>
          <t>19</t>
        </is>
      </c>
      <c r="Y514" s="11" t="inlineStr">
        <is>
          <t>20</t>
        </is>
      </c>
      <c r="Z514" s="11" t="inlineStr">
        <is>
          <t>21</t>
        </is>
      </c>
      <c r="AA514" s="11" t="inlineStr">
        <is>
          <t>22</t>
        </is>
      </c>
      <c r="AB514" s="11" t="inlineStr">
        <is>
          <t>23</t>
        </is>
      </c>
      <c r="AC514" s="11" t="inlineStr">
        <is>
          <t>24</t>
        </is>
      </c>
      <c r="AD514" s="11" t="inlineStr">
        <is>
          <t>25</t>
        </is>
      </c>
      <c r="AE514" s="11" t="inlineStr">
        <is>
          <t>26</t>
        </is>
      </c>
      <c r="AF514" s="11" t="inlineStr">
        <is>
          <t>27</t>
        </is>
      </c>
      <c r="AG514" s="11" t="inlineStr">
        <is>
          <t>28</t>
        </is>
      </c>
      <c r="AH514" s="11" t="inlineStr">
        <is>
          <t>29</t>
        </is>
      </c>
      <c r="AI514" s="11" t="inlineStr">
        <is>
          <t>30</t>
        </is>
      </c>
    </row>
    <row r="515">
      <c r="A515" s="4" t="inlineStr">
        <is>
          <t>Студент1.1</t>
        </is>
      </c>
      <c r="B515" s="4" t="inlineStr"/>
      <c r="C515" s="4" t="n"/>
      <c r="D515" s="4" t="n"/>
      <c r="E515" s="4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  <c r="O515" s="15" t="n"/>
      <c r="P515" s="15" t="n"/>
      <c r="Q515" s="15" t="n"/>
      <c r="R515" s="15" t="n"/>
      <c r="S515" s="15" t="n"/>
      <c r="T515" s="15" t="n"/>
      <c r="U515" s="15" t="n"/>
      <c r="V515" s="15" t="n"/>
      <c r="W515" s="15" t="n"/>
      <c r="X515" s="15" t="n"/>
      <c r="Y515" s="15" t="n"/>
      <c r="Z515" s="15" t="n"/>
      <c r="AA515" s="15" t="n"/>
      <c r="AB515" s="15" t="n"/>
      <c r="AC515" s="15" t="n"/>
      <c r="AD515" s="15" t="n"/>
      <c r="AE515" s="15" t="n"/>
      <c r="AF515" s="15" t="n"/>
      <c r="AG515" s="15" t="n"/>
      <c r="AH515" s="15" t="n"/>
      <c r="AI515" s="15" t="n"/>
    </row>
    <row r="516">
      <c r="A516" s="4" t="inlineStr">
        <is>
          <t>Студент1.2</t>
        </is>
      </c>
      <c r="B516" s="4" t="inlineStr"/>
      <c r="C516" s="4" t="n"/>
      <c r="D516" s="4" t="n"/>
      <c r="E516" s="4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  <c r="O516" s="15" t="n"/>
      <c r="P516" s="15" t="n"/>
      <c r="Q516" s="15" t="n"/>
      <c r="R516" s="15" t="n"/>
      <c r="S516" s="15" t="n"/>
      <c r="T516" s="15" t="n"/>
      <c r="U516" s="15" t="n"/>
      <c r="V516" s="15" t="n"/>
      <c r="W516" s="15" t="n"/>
      <c r="X516" s="15" t="n"/>
      <c r="Y516" s="15" t="n"/>
      <c r="Z516" s="15" t="n"/>
      <c r="AA516" s="15" t="n"/>
      <c r="AB516" s="15" t="n"/>
      <c r="AC516" s="15" t="n"/>
      <c r="AD516" s="15" t="n"/>
      <c r="AE516" s="15" t="n"/>
      <c r="AF516" s="15" t="n"/>
      <c r="AG516" s="15" t="n"/>
      <c r="AH516" s="15" t="n"/>
      <c r="AI516" s="15" t="n"/>
    </row>
    <row r="517">
      <c r="A517" s="4" t="inlineStr">
        <is>
          <t>Студент1.3</t>
        </is>
      </c>
      <c r="B517" s="4" t="inlineStr"/>
      <c r="C517" s="4" t="n"/>
      <c r="D517" s="4" t="n"/>
      <c r="E517" s="4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  <c r="O517" s="15" t="n"/>
      <c r="P517" s="15" t="n"/>
      <c r="Q517" s="15" t="n"/>
      <c r="R517" s="15" t="n"/>
      <c r="S517" s="15" t="n"/>
      <c r="T517" s="15" t="n"/>
      <c r="U517" s="15" t="n"/>
      <c r="V517" s="15" t="n"/>
      <c r="W517" s="15" t="n"/>
      <c r="X517" s="15" t="n"/>
      <c r="Y517" s="15" t="n"/>
      <c r="Z517" s="15" t="n"/>
      <c r="AA517" s="15" t="n"/>
      <c r="AB517" s="15" t="n"/>
      <c r="AC517" s="15" t="n"/>
      <c r="AD517" s="15" t="n"/>
      <c r="AE517" s="15" t="n"/>
      <c r="AF517" s="15" t="n"/>
      <c r="AG517" s="15" t="n"/>
      <c r="AH517" s="15" t="n"/>
      <c r="AI517" s="15" t="n"/>
    </row>
    <row r="518">
      <c r="A518" s="4" t="inlineStr">
        <is>
          <t>Студент1.4</t>
        </is>
      </c>
      <c r="B518" s="4" t="inlineStr"/>
      <c r="C518" s="4" t="n"/>
      <c r="D518" s="4" t="n"/>
      <c r="E518" s="4" t="n"/>
      <c r="F518" s="15" t="n"/>
      <c r="G518" s="15" t="n"/>
      <c r="H518" s="15" t="n"/>
      <c r="I518" s="15" t="n"/>
      <c r="J518" s="15" t="n"/>
      <c r="K518" s="15" t="n"/>
      <c r="L518" s="15" t="n"/>
      <c r="M518" s="15" t="n"/>
      <c r="N518" s="15" t="n"/>
      <c r="O518" s="15" t="n"/>
      <c r="P518" s="15" t="n"/>
      <c r="Q518" s="15" t="n"/>
      <c r="R518" s="15" t="n"/>
      <c r="S518" s="15" t="n"/>
      <c r="T518" s="15" t="n"/>
      <c r="U518" s="15" t="n"/>
      <c r="V518" s="15" t="n"/>
      <c r="W518" s="15" t="n"/>
      <c r="X518" s="15" t="n"/>
      <c r="Y518" s="15" t="n"/>
      <c r="Z518" s="15" t="n"/>
      <c r="AA518" s="15" t="n"/>
      <c r="AB518" s="15" t="n"/>
      <c r="AC518" s="15" t="n"/>
      <c r="AD518" s="15" t="n"/>
      <c r="AE518" s="15" t="n"/>
      <c r="AF518" s="15" t="n"/>
      <c r="AG518" s="15" t="n"/>
      <c r="AH518" s="15" t="n"/>
      <c r="AI518" s="15" t="n"/>
    </row>
    <row r="519">
      <c r="A519" s="4" t="inlineStr">
        <is>
          <t>Студент1.5</t>
        </is>
      </c>
      <c r="B519" s="4" t="inlineStr"/>
      <c r="C519" s="4" t="n"/>
      <c r="D519" s="4" t="n"/>
      <c r="E519" s="4" t="n"/>
      <c r="F519" s="15" t="n"/>
      <c r="G519" s="15" t="n"/>
      <c r="H519" s="15" t="n"/>
      <c r="I519" s="15" t="n"/>
      <c r="J519" s="15" t="n"/>
      <c r="K519" s="15" t="n"/>
      <c r="L519" s="15" t="n"/>
      <c r="M519" s="15" t="n"/>
      <c r="N519" s="15" t="n"/>
      <c r="O519" s="15" t="n"/>
      <c r="P519" s="15" t="n"/>
      <c r="Q519" s="15" t="n"/>
      <c r="R519" s="15" t="n"/>
      <c r="S519" s="15" t="n"/>
      <c r="T519" s="15" t="n"/>
      <c r="U519" s="15" t="n"/>
      <c r="V519" s="15" t="n"/>
      <c r="W519" s="15" t="n"/>
      <c r="X519" s="15" t="n"/>
      <c r="Y519" s="15" t="n"/>
      <c r="Z519" s="15" t="n"/>
      <c r="AA519" s="15" t="n"/>
      <c r="AB519" s="15" t="n"/>
      <c r="AC519" s="15" t="n"/>
      <c r="AD519" s="15" t="n"/>
      <c r="AE519" s="15" t="n"/>
      <c r="AF519" s="15" t="n"/>
      <c r="AG519" s="15" t="n"/>
      <c r="AH519" s="15" t="n"/>
      <c r="AI519" s="15" t="n"/>
    </row>
    <row r="520">
      <c r="A520" s="4" t="inlineStr">
        <is>
          <t>Студент1.6</t>
        </is>
      </c>
      <c r="B520" s="4" t="inlineStr"/>
      <c r="C520" s="4" t="n"/>
      <c r="D520" s="4" t="n"/>
      <c r="E520" s="4" t="n"/>
      <c r="F520" s="15" t="n"/>
      <c r="G520" s="15" t="n"/>
      <c r="H520" s="15" t="n"/>
      <c r="I520" s="15" t="n"/>
      <c r="J520" s="15" t="n"/>
      <c r="K520" s="15" t="n"/>
      <c r="L520" s="15" t="n"/>
      <c r="M520" s="15" t="n"/>
      <c r="N520" s="15" t="n"/>
      <c r="O520" s="15" t="n"/>
      <c r="P520" s="15" t="n"/>
      <c r="Q520" s="15" t="n"/>
      <c r="R520" s="15" t="n"/>
      <c r="S520" s="15" t="n"/>
      <c r="T520" s="15" t="n"/>
      <c r="U520" s="15" t="n"/>
      <c r="V520" s="15" t="n"/>
      <c r="W520" s="15" t="n"/>
      <c r="X520" s="15" t="n"/>
      <c r="Y520" s="15" t="n"/>
      <c r="Z520" s="15" t="n"/>
      <c r="AA520" s="15" t="n"/>
      <c r="AB520" s="15" t="n"/>
      <c r="AC520" s="15" t="n"/>
      <c r="AD520" s="15" t="n"/>
      <c r="AE520" s="15" t="n"/>
      <c r="AF520" s="15" t="n"/>
      <c r="AG520" s="15" t="n"/>
      <c r="AH520" s="15" t="n"/>
      <c r="AI520" s="15" t="n"/>
    </row>
    <row r="521">
      <c r="A521" s="4" t="inlineStr">
        <is>
          <t>Студент1.7</t>
        </is>
      </c>
      <c r="B521" s="4" t="inlineStr"/>
      <c r="C521" s="4" t="n"/>
      <c r="D521" s="4" t="n"/>
      <c r="E521" s="4" t="n"/>
      <c r="F521" s="15" t="n"/>
      <c r="G521" s="15" t="n"/>
      <c r="H521" s="15" t="n"/>
      <c r="I521" s="15" t="n"/>
      <c r="J521" s="15" t="n"/>
      <c r="K521" s="15" t="n"/>
      <c r="L521" s="15" t="n"/>
      <c r="M521" s="15" t="n"/>
      <c r="N521" s="15" t="n"/>
      <c r="O521" s="15" t="n"/>
      <c r="P521" s="15" t="n"/>
      <c r="Q521" s="15" t="n"/>
      <c r="R521" s="15" t="n"/>
      <c r="S521" s="15" t="n"/>
      <c r="T521" s="15" t="n"/>
      <c r="U521" s="15" t="n"/>
      <c r="V521" s="15" t="n"/>
      <c r="W521" s="15" t="n"/>
      <c r="X521" s="15" t="n"/>
      <c r="Y521" s="15" t="n"/>
      <c r="Z521" s="15" t="n"/>
      <c r="AA521" s="15" t="n"/>
      <c r="AB521" s="15" t="n"/>
      <c r="AC521" s="15" t="n"/>
      <c r="AD521" s="15" t="n"/>
      <c r="AE521" s="15" t="n"/>
      <c r="AF521" s="15" t="n"/>
      <c r="AG521" s="15" t="n"/>
      <c r="AH521" s="15" t="n"/>
      <c r="AI521" s="15" t="n"/>
    </row>
    <row r="522">
      <c r="A522" s="4" t="inlineStr">
        <is>
          <t>Студент1.8</t>
        </is>
      </c>
      <c r="B522" s="4" t="inlineStr"/>
      <c r="C522" s="4" t="n"/>
      <c r="D522" s="4" t="n"/>
      <c r="E522" s="4" t="n"/>
      <c r="F522" s="15" t="n"/>
      <c r="G522" s="15" t="n"/>
      <c r="H522" s="15" t="n"/>
      <c r="I522" s="15" t="n"/>
      <c r="J522" s="15" t="n"/>
      <c r="K522" s="15" t="n"/>
      <c r="L522" s="15" t="n"/>
      <c r="M522" s="15" t="n"/>
      <c r="N522" s="15" t="n"/>
      <c r="O522" s="15" t="n"/>
      <c r="P522" s="15" t="n"/>
      <c r="Q522" s="15" t="n"/>
      <c r="R522" s="15" t="n"/>
      <c r="S522" s="15" t="n"/>
      <c r="T522" s="15" t="n"/>
      <c r="U522" s="15" t="n"/>
      <c r="V522" s="15" t="n"/>
      <c r="W522" s="15" t="n"/>
      <c r="X522" s="15" t="n"/>
      <c r="Y522" s="15" t="n"/>
      <c r="Z522" s="15" t="n"/>
      <c r="AA522" s="15" t="n"/>
      <c r="AB522" s="15" t="n"/>
      <c r="AC522" s="15" t="n"/>
      <c r="AD522" s="15" t="n"/>
      <c r="AE522" s="15" t="n"/>
      <c r="AF522" s="15" t="n"/>
      <c r="AG522" s="15" t="n"/>
      <c r="AH522" s="15" t="n"/>
      <c r="AI522" s="15" t="n"/>
    </row>
    <row r="523">
      <c r="A523" s="4" t="inlineStr">
        <is>
          <t>Студент1.9</t>
        </is>
      </c>
      <c r="B523" s="4" t="inlineStr"/>
      <c r="C523" s="4" t="n"/>
      <c r="D523" s="4" t="n"/>
      <c r="E523" s="4" t="n"/>
      <c r="F523" s="15" t="n"/>
      <c r="G523" s="15" t="n"/>
      <c r="H523" s="15" t="n"/>
      <c r="I523" s="15" t="n"/>
      <c r="J523" s="15" t="n"/>
      <c r="K523" s="15" t="n"/>
      <c r="L523" s="15" t="n"/>
      <c r="M523" s="15" t="n"/>
      <c r="N523" s="15" t="n"/>
      <c r="O523" s="15" t="n"/>
      <c r="P523" s="15" t="n"/>
      <c r="Q523" s="15" t="n"/>
      <c r="R523" s="15" t="n"/>
      <c r="S523" s="15" t="n"/>
      <c r="T523" s="15" t="n"/>
      <c r="U523" s="15" t="n"/>
      <c r="V523" s="15" t="n"/>
      <c r="W523" s="15" t="n"/>
      <c r="X523" s="15" t="n"/>
      <c r="Y523" s="15" t="n"/>
      <c r="Z523" s="15" t="n"/>
      <c r="AA523" s="15" t="n"/>
      <c r="AB523" s="15" t="n"/>
      <c r="AC523" s="15" t="n"/>
      <c r="AD523" s="15" t="n"/>
      <c r="AE523" s="15" t="n"/>
      <c r="AF523" s="15" t="n"/>
      <c r="AG523" s="15" t="n"/>
      <c r="AH523" s="15" t="n"/>
      <c r="AI523" s="15" t="n"/>
    </row>
    <row r="524">
      <c r="A524" s="4" t="inlineStr">
        <is>
          <t>Студент1.10</t>
        </is>
      </c>
      <c r="B524" s="4" t="inlineStr"/>
      <c r="C524" s="4" t="n"/>
      <c r="D524" s="4" t="n"/>
      <c r="E524" s="4" t="n"/>
      <c r="F524" s="15" t="n"/>
      <c r="G524" s="15" t="n"/>
      <c r="H524" s="15" t="n"/>
      <c r="I524" s="15" t="n"/>
      <c r="J524" s="15" t="n"/>
      <c r="K524" s="15" t="n"/>
      <c r="L524" s="15" t="n"/>
      <c r="M524" s="15" t="n"/>
      <c r="N524" s="15" t="n"/>
      <c r="O524" s="15" t="n"/>
      <c r="P524" s="15" t="n"/>
      <c r="Q524" s="15" t="n"/>
      <c r="R524" s="15" t="n"/>
      <c r="S524" s="15" t="n"/>
      <c r="T524" s="15" t="n"/>
      <c r="U524" s="15" t="n"/>
      <c r="V524" s="15" t="n"/>
      <c r="W524" s="15" t="n"/>
      <c r="X524" s="15" t="n"/>
      <c r="Y524" s="15" t="n"/>
      <c r="Z524" s="15" t="n"/>
      <c r="AA524" s="15" t="n"/>
      <c r="AB524" s="15" t="n"/>
      <c r="AC524" s="15" t="n"/>
      <c r="AD524" s="15" t="n"/>
      <c r="AE524" s="15" t="n"/>
      <c r="AF524" s="15" t="n"/>
      <c r="AG524" s="15" t="n"/>
      <c r="AH524" s="15" t="n"/>
      <c r="AI524" s="15" t="n"/>
    </row>
    <row r="525">
      <c r="A525" s="4" t="inlineStr">
        <is>
          <t>Студент1.11</t>
        </is>
      </c>
      <c r="B525" s="4" t="inlineStr"/>
      <c r="C525" s="4" t="n"/>
      <c r="D525" s="4" t="n"/>
      <c r="E525" s="4" t="n"/>
      <c r="F525" s="15" t="n"/>
      <c r="G525" s="15" t="n"/>
      <c r="H525" s="15" t="n"/>
      <c r="I525" s="15" t="n"/>
      <c r="J525" s="15" t="n"/>
      <c r="K525" s="15" t="n"/>
      <c r="L525" s="15" t="n"/>
      <c r="M525" s="15" t="n"/>
      <c r="N525" s="15" t="n"/>
      <c r="O525" s="15" t="n"/>
      <c r="P525" s="15" t="n"/>
      <c r="Q525" s="15" t="n"/>
      <c r="R525" s="15" t="n"/>
      <c r="S525" s="15" t="n"/>
      <c r="T525" s="15" t="n"/>
      <c r="U525" s="15" t="n"/>
      <c r="V525" s="15" t="n"/>
      <c r="W525" s="15" t="n"/>
      <c r="X525" s="15" t="n"/>
      <c r="Y525" s="15" t="n"/>
      <c r="Z525" s="15" t="n"/>
      <c r="AA525" s="15" t="n"/>
      <c r="AB525" s="15" t="n"/>
      <c r="AC525" s="15" t="n"/>
      <c r="AD525" s="15" t="n"/>
      <c r="AE525" s="15" t="n"/>
      <c r="AF525" s="15" t="n"/>
      <c r="AG525" s="15" t="n"/>
      <c r="AH525" s="15" t="n"/>
      <c r="AI525" s="15" t="n"/>
    </row>
    <row r="526">
      <c r="A526" s="4" t="inlineStr">
        <is>
          <t>Студент1.12</t>
        </is>
      </c>
      <c r="B526" s="4" t="inlineStr"/>
      <c r="C526" s="4" t="n"/>
      <c r="D526" s="4" t="n"/>
      <c r="E526" s="4" t="n"/>
      <c r="F526" s="15" t="n"/>
      <c r="G526" s="15" t="n"/>
      <c r="H526" s="15" t="n"/>
      <c r="I526" s="15" t="n"/>
      <c r="J526" s="15" t="n"/>
      <c r="K526" s="15" t="n"/>
      <c r="L526" s="15" t="n"/>
      <c r="M526" s="15" t="n"/>
      <c r="N526" s="15" t="n"/>
      <c r="O526" s="15" t="n"/>
      <c r="P526" s="15" t="n"/>
      <c r="Q526" s="15" t="n"/>
      <c r="R526" s="15" t="n"/>
      <c r="S526" s="15" t="n"/>
      <c r="T526" s="15" t="n"/>
      <c r="U526" s="15" t="n"/>
      <c r="V526" s="15" t="n"/>
      <c r="W526" s="15" t="n"/>
      <c r="X526" s="15" t="n"/>
      <c r="Y526" s="15" t="n"/>
      <c r="Z526" s="15" t="n"/>
      <c r="AA526" s="15" t="n"/>
      <c r="AB526" s="15" t="n"/>
      <c r="AC526" s="15" t="n"/>
      <c r="AD526" s="15" t="n"/>
      <c r="AE526" s="15" t="n"/>
      <c r="AF526" s="15" t="n"/>
      <c r="AG526" s="15" t="n"/>
      <c r="AH526" s="15" t="n"/>
      <c r="AI526" s="15" t="n"/>
    </row>
    <row r="527">
      <c r="A527" s="4" t="inlineStr">
        <is>
          <t>Студент1.13</t>
        </is>
      </c>
      <c r="B527" s="4" t="inlineStr"/>
      <c r="C527" s="4" t="n"/>
      <c r="D527" s="4" t="n"/>
      <c r="E527" s="4" t="n"/>
      <c r="F527" s="15" t="n"/>
      <c r="G527" s="15" t="n"/>
      <c r="H527" s="15" t="n"/>
      <c r="I527" s="15" t="n"/>
      <c r="J527" s="15" t="n"/>
      <c r="K527" s="15" t="n"/>
      <c r="L527" s="15" t="n"/>
      <c r="M527" s="15" t="n"/>
      <c r="N527" s="15" t="n"/>
      <c r="O527" s="15" t="n"/>
      <c r="P527" s="15" t="n"/>
      <c r="Q527" s="15" t="n"/>
      <c r="R527" s="15" t="n"/>
      <c r="S527" s="15" t="n"/>
      <c r="T527" s="15" t="n"/>
      <c r="U527" s="15" t="n"/>
      <c r="V527" s="15" t="n"/>
      <c r="W527" s="15" t="n"/>
      <c r="X527" s="15" t="n"/>
      <c r="Y527" s="15" t="n"/>
      <c r="Z527" s="15" t="n"/>
      <c r="AA527" s="15" t="n"/>
      <c r="AB527" s="15" t="n"/>
      <c r="AC527" s="15" t="n"/>
      <c r="AD527" s="15" t="n"/>
      <c r="AE527" s="15" t="n"/>
      <c r="AF527" s="15" t="n"/>
      <c r="AG527" s="15" t="n"/>
      <c r="AH527" s="15" t="n"/>
      <c r="AI527" s="15" t="n"/>
    </row>
    <row r="528">
      <c r="A528" s="4" t="inlineStr">
        <is>
          <t>Студент1.14</t>
        </is>
      </c>
      <c r="B528" s="4" t="inlineStr"/>
      <c r="C528" s="4" t="n"/>
      <c r="D528" s="4" t="n"/>
      <c r="E528" s="4" t="n"/>
      <c r="F528" s="15" t="n"/>
      <c r="G528" s="15" t="n"/>
      <c r="H528" s="15" t="n"/>
      <c r="I528" s="15" t="n"/>
      <c r="J528" s="15" t="n"/>
      <c r="K528" s="15" t="n"/>
      <c r="L528" s="15" t="n"/>
      <c r="M528" s="15" t="n"/>
      <c r="N528" s="15" t="n"/>
      <c r="O528" s="15" t="n"/>
      <c r="P528" s="15" t="n"/>
      <c r="Q528" s="15" t="n"/>
      <c r="R528" s="15" t="n"/>
      <c r="S528" s="15" t="n"/>
      <c r="T528" s="15" t="n"/>
      <c r="U528" s="15" t="n"/>
      <c r="V528" s="15" t="n"/>
      <c r="W528" s="15" t="n"/>
      <c r="X528" s="15" t="n"/>
      <c r="Y528" s="15" t="n"/>
      <c r="Z528" s="15" t="n"/>
      <c r="AA528" s="15" t="n"/>
      <c r="AB528" s="15" t="n"/>
      <c r="AC528" s="15" t="n"/>
      <c r="AD528" s="15" t="n"/>
      <c r="AE528" s="15" t="n"/>
      <c r="AF528" s="15" t="n"/>
      <c r="AG528" s="15" t="n"/>
      <c r="AH528" s="15" t="n"/>
      <c r="AI528" s="15" t="n"/>
    </row>
    <row r="529">
      <c r="A529" s="4" t="inlineStr">
        <is>
          <t>Студент1.15</t>
        </is>
      </c>
      <c r="B529" s="4" t="inlineStr"/>
      <c r="C529" s="4" t="n"/>
      <c r="D529" s="4" t="n"/>
      <c r="E529" s="4" t="n"/>
      <c r="F529" s="15" t="n"/>
      <c r="G529" s="15" t="n"/>
      <c r="H529" s="15" t="n"/>
      <c r="I529" s="15" t="n"/>
      <c r="J529" s="15" t="n"/>
      <c r="K529" s="15" t="n"/>
      <c r="L529" s="15" t="n"/>
      <c r="M529" s="15" t="n"/>
      <c r="N529" s="15" t="n"/>
      <c r="O529" s="15" t="n"/>
      <c r="P529" s="15" t="n"/>
      <c r="Q529" s="15" t="n"/>
      <c r="R529" s="15" t="n"/>
      <c r="S529" s="15" t="n"/>
      <c r="T529" s="15" t="n"/>
      <c r="U529" s="15" t="n"/>
      <c r="V529" s="15" t="n"/>
      <c r="W529" s="15" t="n"/>
      <c r="X529" s="15" t="n"/>
      <c r="Y529" s="15" t="n"/>
      <c r="Z529" s="15" t="n"/>
      <c r="AA529" s="15" t="n"/>
      <c r="AB529" s="15" t="n"/>
      <c r="AC529" s="15" t="n"/>
      <c r="AD529" s="15" t="n"/>
      <c r="AE529" s="15" t="n"/>
      <c r="AF529" s="15" t="n"/>
      <c r="AG529" s="15" t="n"/>
      <c r="AH529" s="15" t="n"/>
      <c r="AI529" s="15" t="n"/>
    </row>
    <row r="530">
      <c r="A530" s="4" t="inlineStr">
        <is>
          <t>Студент1.16</t>
        </is>
      </c>
      <c r="B530" s="4" t="inlineStr"/>
      <c r="C530" s="4" t="n"/>
      <c r="D530" s="4" t="n"/>
      <c r="E530" s="4" t="n"/>
      <c r="F530" s="15" t="n"/>
      <c r="G530" s="15" t="n"/>
      <c r="H530" s="15" t="n"/>
      <c r="I530" s="15" t="n"/>
      <c r="J530" s="15" t="n"/>
      <c r="K530" s="15" t="n"/>
      <c r="L530" s="15" t="n"/>
      <c r="M530" s="15" t="n"/>
      <c r="N530" s="15" t="n"/>
      <c r="O530" s="15" t="n"/>
      <c r="P530" s="15" t="n"/>
      <c r="Q530" s="15" t="n"/>
      <c r="R530" s="15" t="n"/>
      <c r="S530" s="15" t="n"/>
      <c r="T530" s="15" t="n"/>
      <c r="U530" s="15" t="n"/>
      <c r="V530" s="15" t="n"/>
      <c r="W530" s="15" t="n"/>
      <c r="X530" s="15" t="n"/>
      <c r="Y530" s="15" t="n"/>
      <c r="Z530" s="15" t="n"/>
      <c r="AA530" s="15" t="n"/>
      <c r="AB530" s="15" t="n"/>
      <c r="AC530" s="15" t="n"/>
      <c r="AD530" s="15" t="n"/>
      <c r="AE530" s="15" t="n"/>
      <c r="AF530" s="15" t="n"/>
      <c r="AG530" s="15" t="n"/>
      <c r="AH530" s="15" t="n"/>
      <c r="AI530" s="15" t="n"/>
    </row>
    <row r="531">
      <c r="A531" s="4" t="inlineStr">
        <is>
          <t>Студент1.17</t>
        </is>
      </c>
      <c r="B531" s="4" t="inlineStr"/>
      <c r="C531" s="4" t="n"/>
      <c r="D531" s="4" t="n"/>
      <c r="E531" s="4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  <c r="P531" s="15" t="n"/>
      <c r="Q531" s="15" t="n"/>
      <c r="R531" s="15" t="n"/>
      <c r="S531" s="15" t="n"/>
      <c r="T531" s="15" t="n"/>
      <c r="U531" s="15" t="n"/>
      <c r="V531" s="15" t="n"/>
      <c r="W531" s="15" t="n"/>
      <c r="X531" s="15" t="n"/>
      <c r="Y531" s="15" t="n"/>
      <c r="Z531" s="15" t="n"/>
      <c r="AA531" s="15" t="n"/>
      <c r="AB531" s="15" t="n"/>
      <c r="AC531" s="15" t="n"/>
      <c r="AD531" s="15" t="n"/>
      <c r="AE531" s="15" t="n"/>
      <c r="AF531" s="15" t="n"/>
      <c r="AG531" s="15" t="n"/>
      <c r="AH531" s="15" t="n"/>
      <c r="AI531" s="15" t="n"/>
    </row>
    <row r="532">
      <c r="A532" s="4" t="inlineStr">
        <is>
          <t>Студент1.18</t>
        </is>
      </c>
      <c r="B532" s="4" t="inlineStr"/>
      <c r="C532" s="4" t="n"/>
      <c r="D532" s="4" t="n"/>
      <c r="E532" s="4" t="n"/>
      <c r="F532" s="15" t="n"/>
      <c r="G532" s="15" t="n"/>
      <c r="H532" s="15" t="n"/>
      <c r="I532" s="15" t="n"/>
      <c r="J532" s="15" t="n"/>
      <c r="K532" s="15" t="n"/>
      <c r="L532" s="15" t="n"/>
      <c r="M532" s="15" t="n"/>
      <c r="N532" s="15" t="n"/>
      <c r="O532" s="15" t="n"/>
      <c r="P532" s="15" t="n"/>
      <c r="Q532" s="15" t="n"/>
      <c r="R532" s="15" t="n"/>
      <c r="S532" s="15" t="n"/>
      <c r="T532" s="15" t="n"/>
      <c r="U532" s="15" t="n"/>
      <c r="V532" s="15" t="n"/>
      <c r="W532" s="15" t="n"/>
      <c r="X532" s="15" t="n"/>
      <c r="Y532" s="15" t="n"/>
      <c r="Z532" s="15" t="n"/>
      <c r="AA532" s="15" t="n"/>
      <c r="AB532" s="15" t="n"/>
      <c r="AC532" s="15" t="n"/>
      <c r="AD532" s="15" t="n"/>
      <c r="AE532" s="15" t="n"/>
      <c r="AF532" s="15" t="n"/>
      <c r="AG532" s="15" t="n"/>
      <c r="AH532" s="15" t="n"/>
      <c r="AI532" s="15" t="n"/>
    </row>
    <row r="533">
      <c r="A533" s="4" t="inlineStr">
        <is>
          <t>Студент1.19</t>
        </is>
      </c>
      <c r="B533" s="4" t="inlineStr"/>
      <c r="C533" s="4" t="n"/>
      <c r="D533" s="4" t="n"/>
      <c r="E533" s="4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  <c r="O533" s="15" t="n"/>
      <c r="P533" s="15" t="n"/>
      <c r="Q533" s="15" t="n"/>
      <c r="R533" s="15" t="n"/>
      <c r="S533" s="15" t="n"/>
      <c r="T533" s="15" t="n"/>
      <c r="U533" s="15" t="n"/>
      <c r="V533" s="15" t="n"/>
      <c r="W533" s="15" t="n"/>
      <c r="X533" s="15" t="n"/>
      <c r="Y533" s="15" t="n"/>
      <c r="Z533" s="15" t="n"/>
      <c r="AA533" s="15" t="n"/>
      <c r="AB533" s="15" t="n"/>
      <c r="AC533" s="15" t="n"/>
      <c r="AD533" s="15" t="n"/>
      <c r="AE533" s="15" t="n"/>
      <c r="AF533" s="15" t="n"/>
      <c r="AG533" s="15" t="n"/>
      <c r="AH533" s="15" t="n"/>
      <c r="AI533" s="15" t="n"/>
    </row>
    <row r="534">
      <c r="A534" s="4" t="inlineStr">
        <is>
          <t>Студент1.20</t>
        </is>
      </c>
      <c r="B534" s="4" t="inlineStr"/>
      <c r="C534" s="4" t="n"/>
      <c r="D534" s="4" t="n"/>
      <c r="E534" s="4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  <c r="O534" s="15" t="n"/>
      <c r="P534" s="15" t="n"/>
      <c r="Q534" s="15" t="n"/>
      <c r="R534" s="15" t="n"/>
      <c r="S534" s="15" t="n"/>
      <c r="T534" s="15" t="n"/>
      <c r="U534" s="15" t="n"/>
      <c r="V534" s="15" t="n"/>
      <c r="W534" s="15" t="n"/>
      <c r="X534" s="15" t="n"/>
      <c r="Y534" s="15" t="n"/>
      <c r="Z534" s="15" t="n"/>
      <c r="AA534" s="15" t="n"/>
      <c r="AB534" s="15" t="n"/>
      <c r="AC534" s="15" t="n"/>
      <c r="AD534" s="15" t="n"/>
      <c r="AE534" s="15" t="n"/>
      <c r="AF534" s="15" t="n"/>
      <c r="AG534" s="15" t="n"/>
      <c r="AH534" s="15" t="n"/>
      <c r="AI534" s="15" t="n"/>
    </row>
    <row r="535">
      <c r="A535" s="4" t="inlineStr">
        <is>
          <t>Студент1.21</t>
        </is>
      </c>
      <c r="B535" s="4" t="inlineStr"/>
      <c r="C535" s="4" t="n"/>
      <c r="D535" s="4" t="n"/>
      <c r="E535" s="4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  <c r="O535" s="15" t="n"/>
      <c r="P535" s="15" t="n"/>
      <c r="Q535" s="15" t="n"/>
      <c r="R535" s="15" t="n"/>
      <c r="S535" s="15" t="n"/>
      <c r="T535" s="15" t="n"/>
      <c r="U535" s="15" t="n"/>
      <c r="V535" s="15" t="n"/>
      <c r="W535" s="15" t="n"/>
      <c r="X535" s="15" t="n"/>
      <c r="Y535" s="15" t="n"/>
      <c r="Z535" s="15" t="n"/>
      <c r="AA535" s="15" t="n"/>
      <c r="AB535" s="15" t="n"/>
      <c r="AC535" s="15" t="n"/>
      <c r="AD535" s="15" t="n"/>
      <c r="AE535" s="15" t="n"/>
      <c r="AF535" s="15" t="n"/>
      <c r="AG535" s="15" t="n"/>
      <c r="AH535" s="15" t="n"/>
      <c r="AI535" s="15" t="n"/>
    </row>
    <row r="536">
      <c r="A536" s="4" t="inlineStr">
        <is>
          <t>Студент1.22</t>
        </is>
      </c>
      <c r="B536" s="4" t="inlineStr"/>
      <c r="C536" s="4" t="n"/>
      <c r="D536" s="4" t="n"/>
      <c r="E536" s="4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5" t="n"/>
      <c r="P536" s="15" t="n"/>
      <c r="Q536" s="15" t="n"/>
      <c r="R536" s="15" t="n"/>
      <c r="S536" s="15" t="n"/>
      <c r="T536" s="15" t="n"/>
      <c r="U536" s="15" t="n"/>
      <c r="V536" s="15" t="n"/>
      <c r="W536" s="15" t="n"/>
      <c r="X536" s="15" t="n"/>
      <c r="Y536" s="15" t="n"/>
      <c r="Z536" s="15" t="n"/>
      <c r="AA536" s="15" t="n"/>
      <c r="AB536" s="15" t="n"/>
      <c r="AC536" s="15" t="n"/>
      <c r="AD536" s="15" t="n"/>
      <c r="AE536" s="15" t="n"/>
      <c r="AF536" s="15" t="n"/>
      <c r="AG536" s="15" t="n"/>
      <c r="AH536" s="15" t="n"/>
      <c r="AI536" s="15" t="n"/>
    </row>
    <row r="537">
      <c r="A537" s="4" t="inlineStr">
        <is>
          <t>Студент1.23</t>
        </is>
      </c>
      <c r="B537" s="4" t="inlineStr"/>
      <c r="C537" s="4" t="n"/>
      <c r="D537" s="4" t="n"/>
      <c r="E537" s="4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  <c r="O537" s="15" t="n"/>
      <c r="P537" s="15" t="n"/>
      <c r="Q537" s="15" t="n"/>
      <c r="R537" s="15" t="n"/>
      <c r="S537" s="15" t="n"/>
      <c r="T537" s="15" t="n"/>
      <c r="U537" s="15" t="n"/>
      <c r="V537" s="15" t="n"/>
      <c r="W537" s="15" t="n"/>
      <c r="X537" s="15" t="n"/>
      <c r="Y537" s="15" t="n"/>
      <c r="Z537" s="15" t="n"/>
      <c r="AA537" s="15" t="n"/>
      <c r="AB537" s="15" t="n"/>
      <c r="AC537" s="15" t="n"/>
      <c r="AD537" s="15" t="n"/>
      <c r="AE537" s="15" t="n"/>
      <c r="AF537" s="15" t="n"/>
      <c r="AG537" s="15" t="n"/>
      <c r="AH537" s="15" t="n"/>
      <c r="AI537" s="15" t="n"/>
    </row>
    <row r="538">
      <c r="A538" s="4" t="inlineStr">
        <is>
          <t>Студент1.24</t>
        </is>
      </c>
      <c r="B538" s="4" t="inlineStr"/>
      <c r="C538" s="4" t="n"/>
      <c r="D538" s="4" t="n"/>
      <c r="E538" s="4" t="n"/>
      <c r="F538" s="15" t="n"/>
      <c r="G538" s="15" t="n"/>
      <c r="H538" s="15" t="n"/>
      <c r="I538" s="15" t="n"/>
      <c r="J538" s="15" t="n"/>
      <c r="K538" s="15" t="n"/>
      <c r="L538" s="15" t="n"/>
      <c r="M538" s="15" t="n"/>
      <c r="N538" s="15" t="n"/>
      <c r="O538" s="15" t="n"/>
      <c r="P538" s="15" t="n"/>
      <c r="Q538" s="15" t="n"/>
      <c r="R538" s="15" t="n"/>
      <c r="S538" s="15" t="n"/>
      <c r="T538" s="15" t="n"/>
      <c r="U538" s="15" t="n"/>
      <c r="V538" s="15" t="n"/>
      <c r="W538" s="15" t="n"/>
      <c r="X538" s="15" t="n"/>
      <c r="Y538" s="15" t="n"/>
      <c r="Z538" s="15" t="n"/>
      <c r="AA538" s="15" t="n"/>
      <c r="AB538" s="15" t="n"/>
      <c r="AC538" s="15" t="n"/>
      <c r="AD538" s="15" t="n"/>
      <c r="AE538" s="15" t="n"/>
      <c r="AF538" s="15" t="n"/>
      <c r="AG538" s="15" t="n"/>
      <c r="AH538" s="15" t="n"/>
      <c r="AI538" s="15" t="n"/>
    </row>
    <row r="539">
      <c r="A539" s="4" t="inlineStr">
        <is>
          <t>Студент1.25</t>
        </is>
      </c>
      <c r="B539" s="4" t="inlineStr"/>
      <c r="C539" s="4" t="n"/>
      <c r="D539" s="4" t="n"/>
      <c r="E539" s="4" t="n"/>
      <c r="F539" s="15" t="n"/>
      <c r="G539" s="15" t="n"/>
      <c r="H539" s="15" t="n"/>
      <c r="I539" s="15" t="n"/>
      <c r="J539" s="15" t="n"/>
      <c r="K539" s="15" t="n"/>
      <c r="L539" s="15" t="n"/>
      <c r="M539" s="15" t="n"/>
      <c r="N539" s="15" t="n"/>
      <c r="O539" s="15" t="n"/>
      <c r="P539" s="15" t="n"/>
      <c r="Q539" s="15" t="n"/>
      <c r="R539" s="15" t="n"/>
      <c r="S539" s="15" t="n"/>
      <c r="T539" s="15" t="n"/>
      <c r="U539" s="15" t="n"/>
      <c r="V539" s="15" t="n"/>
      <c r="W539" s="15" t="n"/>
      <c r="X539" s="15" t="n"/>
      <c r="Y539" s="15" t="n"/>
      <c r="Z539" s="15" t="n"/>
      <c r="AA539" s="15" t="n"/>
      <c r="AB539" s="15" t="n"/>
      <c r="AC539" s="15" t="n"/>
      <c r="AD539" s="15" t="n"/>
      <c r="AE539" s="15" t="n"/>
      <c r="AF539" s="15" t="n"/>
      <c r="AG539" s="15" t="n"/>
      <c r="AH539" s="15" t="n"/>
      <c r="AI539" s="15" t="n"/>
    </row>
    <row r="540">
      <c r="A540" s="4" t="inlineStr">
        <is>
          <t>Студент1.26</t>
        </is>
      </c>
      <c r="B540" s="4" t="inlineStr"/>
      <c r="C540" s="4" t="n"/>
      <c r="D540" s="4" t="n"/>
      <c r="E540" s="4" t="n"/>
      <c r="F540" s="15" t="n"/>
      <c r="G540" s="15" t="n"/>
      <c r="H540" s="15" t="n"/>
      <c r="I540" s="15" t="n"/>
      <c r="J540" s="15" t="n"/>
      <c r="K540" s="15" t="n"/>
      <c r="L540" s="15" t="n"/>
      <c r="M540" s="15" t="n"/>
      <c r="N540" s="15" t="n"/>
      <c r="O540" s="15" t="n"/>
      <c r="P540" s="15" t="n"/>
      <c r="Q540" s="15" t="n"/>
      <c r="R540" s="15" t="n"/>
      <c r="S540" s="15" t="n"/>
      <c r="T540" s="15" t="n"/>
      <c r="U540" s="15" t="n"/>
      <c r="V540" s="15" t="n"/>
      <c r="W540" s="15" t="n"/>
      <c r="X540" s="15" t="n"/>
      <c r="Y540" s="15" t="n"/>
      <c r="Z540" s="15" t="n"/>
      <c r="AA540" s="15" t="n"/>
      <c r="AB540" s="15" t="n"/>
      <c r="AC540" s="15" t="n"/>
      <c r="AD540" s="15" t="n"/>
      <c r="AE540" s="15" t="n"/>
      <c r="AF540" s="15" t="n"/>
      <c r="AG540" s="15" t="n"/>
      <c r="AH540" s="15" t="n"/>
      <c r="AI540" s="15" t="n"/>
    </row>
    <row r="541">
      <c r="A541" s="4" t="inlineStr">
        <is>
          <t>Студент1.27</t>
        </is>
      </c>
      <c r="B541" s="4" t="inlineStr"/>
      <c r="C541" s="4" t="n"/>
      <c r="D541" s="4" t="n"/>
      <c r="E541" s="4" t="n"/>
      <c r="F541" s="15" t="n"/>
      <c r="G541" s="15" t="n"/>
      <c r="H541" s="15" t="n"/>
      <c r="I541" s="15" t="n"/>
      <c r="J541" s="15" t="n"/>
      <c r="K541" s="15" t="n"/>
      <c r="L541" s="15" t="n"/>
      <c r="M541" s="15" t="n"/>
      <c r="N541" s="15" t="n"/>
      <c r="O541" s="15" t="n"/>
      <c r="P541" s="15" t="n"/>
      <c r="Q541" s="15" t="n"/>
      <c r="R541" s="15" t="n"/>
      <c r="S541" s="15" t="n"/>
      <c r="T541" s="15" t="n"/>
      <c r="U541" s="15" t="n"/>
      <c r="V541" s="15" t="n"/>
      <c r="W541" s="15" t="n"/>
      <c r="X541" s="15" t="n"/>
      <c r="Y541" s="15" t="n"/>
      <c r="Z541" s="15" t="n"/>
      <c r="AA541" s="15" t="n"/>
      <c r="AB541" s="15" t="n"/>
      <c r="AC541" s="15" t="n"/>
      <c r="AD541" s="15" t="n"/>
      <c r="AE541" s="15" t="n"/>
      <c r="AF541" s="15" t="n"/>
      <c r="AG541" s="15" t="n"/>
      <c r="AH541" s="15" t="n"/>
      <c r="AI541" s="15" t="n"/>
    </row>
    <row r="542">
      <c r="A542" s="4" t="inlineStr">
        <is>
          <t>Студент1.28</t>
        </is>
      </c>
      <c r="B542" s="4" t="inlineStr"/>
      <c r="C542" s="4" t="n"/>
      <c r="D542" s="4" t="n"/>
      <c r="E542" s="4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  <c r="O542" s="15" t="n"/>
      <c r="P542" s="15" t="n"/>
      <c r="Q542" s="15" t="n"/>
      <c r="R542" s="15" t="n"/>
      <c r="S542" s="15" t="n"/>
      <c r="T542" s="15" t="n"/>
      <c r="U542" s="15" t="n"/>
      <c r="V542" s="15" t="n"/>
      <c r="W542" s="15" t="n"/>
      <c r="X542" s="15" t="n"/>
      <c r="Y542" s="15" t="n"/>
      <c r="Z542" s="15" t="n"/>
      <c r="AA542" s="15" t="n"/>
      <c r="AB542" s="15" t="n"/>
      <c r="AC542" s="15" t="n"/>
      <c r="AD542" s="15" t="n"/>
      <c r="AE542" s="15" t="n"/>
      <c r="AF542" s="15" t="n"/>
      <c r="AG542" s="15" t="n"/>
      <c r="AH542" s="15" t="n"/>
      <c r="AI542" s="15" t="n"/>
    </row>
    <row r="543">
      <c r="A543" s="4" t="inlineStr">
        <is>
          <t>Студент1.29</t>
        </is>
      </c>
      <c r="B543" s="4" t="inlineStr"/>
      <c r="C543" s="4" t="n"/>
      <c r="D543" s="4" t="n"/>
      <c r="E543" s="4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  <c r="O543" s="15" t="n"/>
      <c r="P543" s="15" t="n"/>
      <c r="Q543" s="15" t="n"/>
      <c r="R543" s="15" t="n"/>
      <c r="S543" s="15" t="n"/>
      <c r="T543" s="15" t="n"/>
      <c r="U543" s="15" t="n"/>
      <c r="V543" s="15" t="n"/>
      <c r="W543" s="15" t="n"/>
      <c r="X543" s="15" t="n"/>
      <c r="Y543" s="15" t="n"/>
      <c r="Z543" s="15" t="n"/>
      <c r="AA543" s="15" t="n"/>
      <c r="AB543" s="15" t="n"/>
      <c r="AC543" s="15" t="n"/>
      <c r="AD543" s="15" t="n"/>
      <c r="AE543" s="15" t="n"/>
      <c r="AF543" s="15" t="n"/>
      <c r="AG543" s="15" t="n"/>
      <c r="AH543" s="15" t="n"/>
      <c r="AI543" s="15" t="n"/>
    </row>
    <row r="544">
      <c r="A544" s="4" t="inlineStr">
        <is>
          <t>Студент1.30</t>
        </is>
      </c>
      <c r="B544" s="4" t="inlineStr"/>
      <c r="C544" s="4" t="n"/>
      <c r="D544" s="4" t="n"/>
      <c r="E544" s="4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  <c r="O544" s="15" t="n"/>
      <c r="P544" s="15" t="n"/>
      <c r="Q544" s="15" t="n"/>
      <c r="R544" s="15" t="n"/>
      <c r="S544" s="15" t="n"/>
      <c r="T544" s="15" t="n"/>
      <c r="U544" s="15" t="n"/>
      <c r="V544" s="15" t="n"/>
      <c r="W544" s="15" t="n"/>
      <c r="X544" s="15" t="n"/>
      <c r="Y544" s="15" t="n"/>
      <c r="Z544" s="15" t="n"/>
      <c r="AA544" s="15" t="n"/>
      <c r="AB544" s="15" t="n"/>
      <c r="AC544" s="15" t="n"/>
      <c r="AD544" s="15" t="n"/>
      <c r="AE544" s="15" t="n"/>
      <c r="AF544" s="15" t="n"/>
      <c r="AG544" s="15" t="n"/>
      <c r="AH544" s="15" t="n"/>
      <c r="AI544" s="15" t="n"/>
    </row>
    <row r="548">
      <c r="A548" s="13" t="inlineStr">
        <is>
          <t>Практика 9 — плюсы</t>
        </is>
      </c>
    </row>
    <row r="549" ht="28" customHeight="1">
      <c r="A549" s="7" t="inlineStr">
        <is>
          <t>Имя</t>
        </is>
      </c>
      <c r="B549" s="9" t="inlineStr">
        <is>
          <t>TG</t>
        </is>
      </c>
      <c r="C549" s="10" t="inlineStr">
        <is>
          <t>S</t>
        </is>
      </c>
      <c r="D549" s="8" t="inlineStr">
        <is>
          <t>Коэффициент</t>
        </is>
      </c>
      <c r="E549" s="14" t="inlineStr">
        <is>
          <t>D за практику</t>
        </is>
      </c>
      <c r="F549" s="11" t="inlineStr">
        <is>
          <t>1.0</t>
        </is>
      </c>
      <c r="G549" s="11" t="inlineStr">
        <is>
          <t>2.0</t>
        </is>
      </c>
      <c r="H549" s="11" t="inlineStr">
        <is>
          <t>3.0</t>
        </is>
      </c>
      <c r="I549" s="11" t="inlineStr">
        <is>
          <t>4.0</t>
        </is>
      </c>
      <c r="J549" s="11" t="inlineStr">
        <is>
          <t>5.0</t>
        </is>
      </c>
      <c r="K549" s="11" t="inlineStr">
        <is>
          <t>6</t>
        </is>
      </c>
      <c r="L549" s="11" t="inlineStr">
        <is>
          <t>7</t>
        </is>
      </c>
      <c r="M549" s="11" t="inlineStr">
        <is>
          <t>8</t>
        </is>
      </c>
      <c r="N549" s="11" t="inlineStr">
        <is>
          <t>9</t>
        </is>
      </c>
      <c r="O549" s="11" t="inlineStr">
        <is>
          <t>10</t>
        </is>
      </c>
      <c r="P549" s="11" t="inlineStr">
        <is>
          <t>11</t>
        </is>
      </c>
      <c r="Q549" s="11" t="inlineStr">
        <is>
          <t>12</t>
        </is>
      </c>
      <c r="R549" s="11" t="inlineStr">
        <is>
          <t>13</t>
        </is>
      </c>
      <c r="S549" s="11" t="inlineStr">
        <is>
          <t>14</t>
        </is>
      </c>
      <c r="T549" s="11" t="inlineStr">
        <is>
          <t>15</t>
        </is>
      </c>
      <c r="U549" s="11" t="inlineStr">
        <is>
          <t>16</t>
        </is>
      </c>
      <c r="V549" s="11" t="inlineStr">
        <is>
          <t>17</t>
        </is>
      </c>
      <c r="W549" s="11" t="inlineStr">
        <is>
          <t>18</t>
        </is>
      </c>
      <c r="X549" s="11" t="inlineStr">
        <is>
          <t>19</t>
        </is>
      </c>
      <c r="Y549" s="11" t="inlineStr">
        <is>
          <t>20</t>
        </is>
      </c>
      <c r="Z549" s="11" t="inlineStr">
        <is>
          <t>21</t>
        </is>
      </c>
      <c r="AA549" s="11" t="inlineStr">
        <is>
          <t>22</t>
        </is>
      </c>
      <c r="AB549" s="11" t="inlineStr">
        <is>
          <t>23</t>
        </is>
      </c>
      <c r="AC549" s="11" t="inlineStr">
        <is>
          <t>24</t>
        </is>
      </c>
      <c r="AD549" s="11" t="inlineStr">
        <is>
          <t>25</t>
        </is>
      </c>
      <c r="AE549" s="11" t="inlineStr">
        <is>
          <t>26</t>
        </is>
      </c>
      <c r="AF549" s="11" t="inlineStr">
        <is>
          <t>27</t>
        </is>
      </c>
      <c r="AG549" s="11" t="inlineStr">
        <is>
          <t>28</t>
        </is>
      </c>
      <c r="AH549" s="11" t="inlineStr">
        <is>
          <t>29</t>
        </is>
      </c>
      <c r="AI549" s="11" t="inlineStr">
        <is>
          <t>30</t>
        </is>
      </c>
    </row>
    <row r="550">
      <c r="A550" s="4" t="inlineStr">
        <is>
          <t>Студент1.1</t>
        </is>
      </c>
      <c r="B550" s="4" t="inlineStr"/>
      <c r="C550" s="4">
        <f>IF(A550="","",COUNTIF(F550:AI550,"+")+COUNTIF(F550:AI550,"1"))</f>
        <v/>
      </c>
      <c r="D550" s="4">
        <f>IF(A550="","",IF(C550&gt;2*COUNTA(F$549:AI$549)/3,1,IF(C550&gt;=COUNTA(F$549:AI$549)/2,0.8,0.5)))</f>
        <v/>
      </c>
      <c r="E550" s="4">
        <f>IF(A550="","",SUMIFS('Логи'!$H$4:$H$3006,'Логи'!$A$4:$A$3006,A550,'Логи'!$C$4:$C$3006,9))</f>
        <v/>
      </c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5" t="n"/>
      <c r="P550" s="15" t="n"/>
      <c r="Q550" s="15" t="n"/>
      <c r="R550" s="15" t="n"/>
      <c r="S550" s="15" t="n"/>
      <c r="T550" s="15" t="n"/>
      <c r="U550" s="15" t="n"/>
      <c r="V550" s="15" t="n"/>
      <c r="W550" s="15" t="n"/>
      <c r="X550" s="15" t="n"/>
      <c r="Y550" s="15" t="n"/>
      <c r="Z550" s="15" t="n"/>
      <c r="AA550" s="15" t="n"/>
      <c r="AB550" s="15" t="n"/>
      <c r="AC550" s="15" t="n"/>
      <c r="AD550" s="15" t="n"/>
      <c r="AE550" s="15" t="n"/>
      <c r="AF550" s="15" t="n"/>
      <c r="AG550" s="15" t="n"/>
      <c r="AH550" s="15" t="n"/>
      <c r="AI550" s="15" t="n"/>
    </row>
    <row r="551">
      <c r="A551" s="4" t="inlineStr">
        <is>
          <t>Студент1.2</t>
        </is>
      </c>
      <c r="B551" s="4" t="inlineStr"/>
      <c r="C551" s="4">
        <f>IF(A551="","",COUNTIF(F551:AI551,"+")+COUNTIF(F551:AI551,"1"))</f>
        <v/>
      </c>
      <c r="D551" s="4">
        <f>IF(A551="","",IF(C551&gt;2*COUNTA(F$549:AI$549)/3,1,IF(C551&gt;=COUNTA(F$549:AI$549)/2,0.8,0.5)))</f>
        <v/>
      </c>
      <c r="E551" s="4">
        <f>IF(A551="","",SUMIFS('Логи'!$H$4:$H$3006,'Логи'!$A$4:$A$3006,A551,'Логи'!$C$4:$C$3006,9))</f>
        <v/>
      </c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  <c r="O551" s="15" t="n"/>
      <c r="P551" s="15" t="n"/>
      <c r="Q551" s="15" t="n"/>
      <c r="R551" s="15" t="n"/>
      <c r="S551" s="15" t="n"/>
      <c r="T551" s="15" t="n"/>
      <c r="U551" s="15" t="n"/>
      <c r="V551" s="15" t="n"/>
      <c r="W551" s="15" t="n"/>
      <c r="X551" s="15" t="n"/>
      <c r="Y551" s="15" t="n"/>
      <c r="Z551" s="15" t="n"/>
      <c r="AA551" s="15" t="n"/>
      <c r="AB551" s="15" t="n"/>
      <c r="AC551" s="15" t="n"/>
      <c r="AD551" s="15" t="n"/>
      <c r="AE551" s="15" t="n"/>
      <c r="AF551" s="15" t="n"/>
      <c r="AG551" s="15" t="n"/>
      <c r="AH551" s="15" t="n"/>
      <c r="AI551" s="15" t="n"/>
    </row>
    <row r="552">
      <c r="A552" s="4" t="inlineStr">
        <is>
          <t>Студент1.3</t>
        </is>
      </c>
      <c r="B552" s="4" t="inlineStr"/>
      <c r="C552" s="4">
        <f>IF(A552="","",COUNTIF(F552:AI552,"+")+COUNTIF(F552:AI552,"1"))</f>
        <v/>
      </c>
      <c r="D552" s="4">
        <f>IF(A552="","",IF(C552&gt;2*COUNTA(F$549:AI$549)/3,1,IF(C552&gt;=COUNTA(F$549:AI$549)/2,0.8,0.5)))</f>
        <v/>
      </c>
      <c r="E552" s="4">
        <f>IF(A552="","",SUMIFS('Логи'!$H$4:$H$3006,'Логи'!$A$4:$A$3006,A552,'Логи'!$C$4:$C$3006,9))</f>
        <v/>
      </c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  <c r="O552" s="15" t="n"/>
      <c r="P552" s="15" t="n"/>
      <c r="Q552" s="15" t="n"/>
      <c r="R552" s="15" t="n"/>
      <c r="S552" s="15" t="n"/>
      <c r="T552" s="15" t="n"/>
      <c r="U552" s="15" t="n"/>
      <c r="V552" s="15" t="n"/>
      <c r="W552" s="15" t="n"/>
      <c r="X552" s="15" t="n"/>
      <c r="Y552" s="15" t="n"/>
      <c r="Z552" s="15" t="n"/>
      <c r="AA552" s="15" t="n"/>
      <c r="AB552" s="15" t="n"/>
      <c r="AC552" s="15" t="n"/>
      <c r="AD552" s="15" t="n"/>
      <c r="AE552" s="15" t="n"/>
      <c r="AF552" s="15" t="n"/>
      <c r="AG552" s="15" t="n"/>
      <c r="AH552" s="15" t="n"/>
      <c r="AI552" s="15" t="n"/>
    </row>
    <row r="553">
      <c r="A553" s="4" t="inlineStr">
        <is>
          <t>Студент1.4</t>
        </is>
      </c>
      <c r="B553" s="4" t="inlineStr"/>
      <c r="C553" s="4">
        <f>IF(A553="","",COUNTIF(F553:AI553,"+")+COUNTIF(F553:AI553,"1"))</f>
        <v/>
      </c>
      <c r="D553" s="4">
        <f>IF(A553="","",IF(C553&gt;2*COUNTA(F$549:AI$549)/3,1,IF(C553&gt;=COUNTA(F$549:AI$549)/2,0.8,0.5)))</f>
        <v/>
      </c>
      <c r="E553" s="4">
        <f>IF(A553="","",SUMIFS('Логи'!$H$4:$H$3006,'Логи'!$A$4:$A$3006,A553,'Логи'!$C$4:$C$3006,9))</f>
        <v/>
      </c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  <c r="O553" s="15" t="n"/>
      <c r="P553" s="15" t="n"/>
      <c r="Q553" s="15" t="n"/>
      <c r="R553" s="15" t="n"/>
      <c r="S553" s="15" t="n"/>
      <c r="T553" s="15" t="n"/>
      <c r="U553" s="15" t="n"/>
      <c r="V553" s="15" t="n"/>
      <c r="W553" s="15" t="n"/>
      <c r="X553" s="15" t="n"/>
      <c r="Y553" s="15" t="n"/>
      <c r="Z553" s="15" t="n"/>
      <c r="AA553" s="15" t="n"/>
      <c r="AB553" s="15" t="n"/>
      <c r="AC553" s="15" t="n"/>
      <c r="AD553" s="15" t="n"/>
      <c r="AE553" s="15" t="n"/>
      <c r="AF553" s="15" t="n"/>
      <c r="AG553" s="15" t="n"/>
      <c r="AH553" s="15" t="n"/>
      <c r="AI553" s="15" t="n"/>
    </row>
    <row r="554">
      <c r="A554" s="4" t="inlineStr">
        <is>
          <t>Студент1.5</t>
        </is>
      </c>
      <c r="B554" s="4" t="inlineStr"/>
      <c r="C554" s="4">
        <f>IF(A554="","",COUNTIF(F554:AI554,"+")+COUNTIF(F554:AI554,"1"))</f>
        <v/>
      </c>
      <c r="D554" s="4">
        <f>IF(A554="","",IF(C554&gt;2*COUNTA(F$549:AI$549)/3,1,IF(C554&gt;=COUNTA(F$549:AI$549)/2,0.8,0.5)))</f>
        <v/>
      </c>
      <c r="E554" s="4">
        <f>IF(A554="","",SUMIFS('Логи'!$H$4:$H$3006,'Логи'!$A$4:$A$3006,A554,'Логи'!$C$4:$C$3006,9))</f>
        <v/>
      </c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  <c r="O554" s="15" t="n"/>
      <c r="P554" s="15" t="n"/>
      <c r="Q554" s="15" t="n"/>
      <c r="R554" s="15" t="n"/>
      <c r="S554" s="15" t="n"/>
      <c r="T554" s="15" t="n"/>
      <c r="U554" s="15" t="n"/>
      <c r="V554" s="15" t="n"/>
      <c r="W554" s="15" t="n"/>
      <c r="X554" s="15" t="n"/>
      <c r="Y554" s="15" t="n"/>
      <c r="Z554" s="15" t="n"/>
      <c r="AA554" s="15" t="n"/>
      <c r="AB554" s="15" t="n"/>
      <c r="AC554" s="15" t="n"/>
      <c r="AD554" s="15" t="n"/>
      <c r="AE554" s="15" t="n"/>
      <c r="AF554" s="15" t="n"/>
      <c r="AG554" s="15" t="n"/>
      <c r="AH554" s="15" t="n"/>
      <c r="AI554" s="15" t="n"/>
    </row>
    <row r="555">
      <c r="A555" s="4" t="inlineStr">
        <is>
          <t>Студент1.6</t>
        </is>
      </c>
      <c r="B555" s="4" t="inlineStr"/>
      <c r="C555" s="4">
        <f>IF(A555="","",COUNTIF(F555:AI555,"+")+COUNTIF(F555:AI555,"1"))</f>
        <v/>
      </c>
      <c r="D555" s="4">
        <f>IF(A555="","",IF(C555&gt;2*COUNTA(F$549:AI$549)/3,1,IF(C555&gt;=COUNTA(F$549:AI$549)/2,0.8,0.5)))</f>
        <v/>
      </c>
      <c r="E555" s="4">
        <f>IF(A555="","",SUMIFS('Логи'!$H$4:$H$3006,'Логи'!$A$4:$A$3006,A555,'Логи'!$C$4:$C$3006,9))</f>
        <v/>
      </c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  <c r="O555" s="15" t="n"/>
      <c r="P555" s="15" t="n"/>
      <c r="Q555" s="15" t="n"/>
      <c r="R555" s="15" t="n"/>
      <c r="S555" s="15" t="n"/>
      <c r="T555" s="15" t="n"/>
      <c r="U555" s="15" t="n"/>
      <c r="V555" s="15" t="n"/>
      <c r="W555" s="15" t="n"/>
      <c r="X555" s="15" t="n"/>
      <c r="Y555" s="15" t="n"/>
      <c r="Z555" s="15" t="n"/>
      <c r="AA555" s="15" t="n"/>
      <c r="AB555" s="15" t="n"/>
      <c r="AC555" s="15" t="n"/>
      <c r="AD555" s="15" t="n"/>
      <c r="AE555" s="15" t="n"/>
      <c r="AF555" s="15" t="n"/>
      <c r="AG555" s="15" t="n"/>
      <c r="AH555" s="15" t="n"/>
      <c r="AI555" s="15" t="n"/>
    </row>
    <row r="556">
      <c r="A556" s="4" t="inlineStr">
        <is>
          <t>Студент1.7</t>
        </is>
      </c>
      <c r="B556" s="4" t="inlineStr"/>
      <c r="C556" s="4">
        <f>IF(A556="","",COUNTIF(F556:AI556,"+")+COUNTIF(F556:AI556,"1"))</f>
        <v/>
      </c>
      <c r="D556" s="4">
        <f>IF(A556="","",IF(C556&gt;2*COUNTA(F$549:AI$549)/3,1,IF(C556&gt;=COUNTA(F$549:AI$549)/2,0.8,0.5)))</f>
        <v/>
      </c>
      <c r="E556" s="4">
        <f>IF(A556="","",SUMIFS('Логи'!$H$4:$H$3006,'Логи'!$A$4:$A$3006,A556,'Логи'!$C$4:$C$3006,9))</f>
        <v/>
      </c>
      <c r="F556" s="15" t="n"/>
      <c r="G556" s="15" t="n"/>
      <c r="H556" s="15" t="n"/>
      <c r="I556" s="15" t="n"/>
      <c r="J556" s="15" t="n"/>
      <c r="K556" s="15" t="n"/>
      <c r="L556" s="15" t="n"/>
      <c r="M556" s="15" t="n"/>
      <c r="N556" s="15" t="n"/>
      <c r="O556" s="15" t="n"/>
      <c r="P556" s="15" t="n"/>
      <c r="Q556" s="15" t="n"/>
      <c r="R556" s="15" t="n"/>
      <c r="S556" s="15" t="n"/>
      <c r="T556" s="15" t="n"/>
      <c r="U556" s="15" t="n"/>
      <c r="V556" s="15" t="n"/>
      <c r="W556" s="15" t="n"/>
      <c r="X556" s="15" t="n"/>
      <c r="Y556" s="15" t="n"/>
      <c r="Z556" s="15" t="n"/>
      <c r="AA556" s="15" t="n"/>
      <c r="AB556" s="15" t="n"/>
      <c r="AC556" s="15" t="n"/>
      <c r="AD556" s="15" t="n"/>
      <c r="AE556" s="15" t="n"/>
      <c r="AF556" s="15" t="n"/>
      <c r="AG556" s="15" t="n"/>
      <c r="AH556" s="15" t="n"/>
      <c r="AI556" s="15" t="n"/>
    </row>
    <row r="557">
      <c r="A557" s="4" t="inlineStr">
        <is>
          <t>Студент1.8</t>
        </is>
      </c>
      <c r="B557" s="4" t="inlineStr"/>
      <c r="C557" s="4">
        <f>IF(A557="","",COUNTIF(F557:AI557,"+")+COUNTIF(F557:AI557,"1"))</f>
        <v/>
      </c>
      <c r="D557" s="4">
        <f>IF(A557="","",IF(C557&gt;2*COUNTA(F$549:AI$549)/3,1,IF(C557&gt;=COUNTA(F$549:AI$549)/2,0.8,0.5)))</f>
        <v/>
      </c>
      <c r="E557" s="4">
        <f>IF(A557="","",SUMIFS('Логи'!$H$4:$H$3006,'Логи'!$A$4:$A$3006,A557,'Логи'!$C$4:$C$3006,9))</f>
        <v/>
      </c>
      <c r="F557" s="15" t="n"/>
      <c r="G557" s="15" t="n"/>
      <c r="H557" s="15" t="n"/>
      <c r="I557" s="15" t="n"/>
      <c r="J557" s="15" t="n"/>
      <c r="K557" s="15" t="n"/>
      <c r="L557" s="15" t="n"/>
      <c r="M557" s="15" t="n"/>
      <c r="N557" s="15" t="n"/>
      <c r="O557" s="15" t="n"/>
      <c r="P557" s="15" t="n"/>
      <c r="Q557" s="15" t="n"/>
      <c r="R557" s="15" t="n"/>
      <c r="S557" s="15" t="n"/>
      <c r="T557" s="15" t="n"/>
      <c r="U557" s="15" t="n"/>
      <c r="V557" s="15" t="n"/>
      <c r="W557" s="15" t="n"/>
      <c r="X557" s="15" t="n"/>
      <c r="Y557" s="15" t="n"/>
      <c r="Z557" s="15" t="n"/>
      <c r="AA557" s="15" t="n"/>
      <c r="AB557" s="15" t="n"/>
      <c r="AC557" s="15" t="n"/>
      <c r="AD557" s="15" t="n"/>
      <c r="AE557" s="15" t="n"/>
      <c r="AF557" s="15" t="n"/>
      <c r="AG557" s="15" t="n"/>
      <c r="AH557" s="15" t="n"/>
      <c r="AI557" s="15" t="n"/>
    </row>
    <row r="558">
      <c r="A558" s="4" t="inlineStr">
        <is>
          <t>Студент1.9</t>
        </is>
      </c>
      <c r="B558" s="4" t="inlineStr"/>
      <c r="C558" s="4">
        <f>IF(A558="","",COUNTIF(F558:AI558,"+")+COUNTIF(F558:AI558,"1"))</f>
        <v/>
      </c>
      <c r="D558" s="4">
        <f>IF(A558="","",IF(C558&gt;2*COUNTA(F$549:AI$549)/3,1,IF(C558&gt;=COUNTA(F$549:AI$549)/2,0.8,0.5)))</f>
        <v/>
      </c>
      <c r="E558" s="4">
        <f>IF(A558="","",SUMIFS('Логи'!$H$4:$H$3006,'Логи'!$A$4:$A$3006,A558,'Логи'!$C$4:$C$3006,9))</f>
        <v/>
      </c>
      <c r="F558" s="15" t="n"/>
      <c r="G558" s="15" t="n"/>
      <c r="H558" s="15" t="n"/>
      <c r="I558" s="15" t="n"/>
      <c r="J558" s="15" t="n"/>
      <c r="K558" s="15" t="n"/>
      <c r="L558" s="15" t="n"/>
      <c r="M558" s="15" t="n"/>
      <c r="N558" s="15" t="n"/>
      <c r="O558" s="15" t="n"/>
      <c r="P558" s="15" t="n"/>
      <c r="Q558" s="15" t="n"/>
      <c r="R558" s="15" t="n"/>
      <c r="S558" s="15" t="n"/>
      <c r="T558" s="15" t="n"/>
      <c r="U558" s="15" t="n"/>
      <c r="V558" s="15" t="n"/>
      <c r="W558" s="15" t="n"/>
      <c r="X558" s="15" t="n"/>
      <c r="Y558" s="15" t="n"/>
      <c r="Z558" s="15" t="n"/>
      <c r="AA558" s="15" t="n"/>
      <c r="AB558" s="15" t="n"/>
      <c r="AC558" s="15" t="n"/>
      <c r="AD558" s="15" t="n"/>
      <c r="AE558" s="15" t="n"/>
      <c r="AF558" s="15" t="n"/>
      <c r="AG558" s="15" t="n"/>
      <c r="AH558" s="15" t="n"/>
      <c r="AI558" s="15" t="n"/>
    </row>
    <row r="559">
      <c r="A559" s="4" t="inlineStr">
        <is>
          <t>Студент1.10</t>
        </is>
      </c>
      <c r="B559" s="4" t="inlineStr"/>
      <c r="C559" s="4">
        <f>IF(A559="","",COUNTIF(F559:AI559,"+")+COUNTIF(F559:AI559,"1"))</f>
        <v/>
      </c>
      <c r="D559" s="4">
        <f>IF(A559="","",IF(C559&gt;2*COUNTA(F$549:AI$549)/3,1,IF(C559&gt;=COUNTA(F$549:AI$549)/2,0.8,0.5)))</f>
        <v/>
      </c>
      <c r="E559" s="4">
        <f>IF(A559="","",SUMIFS('Логи'!$H$4:$H$3006,'Логи'!$A$4:$A$3006,A559,'Логи'!$C$4:$C$3006,9))</f>
        <v/>
      </c>
      <c r="F559" s="15" t="n"/>
      <c r="G559" s="15" t="n"/>
      <c r="H559" s="15" t="n"/>
      <c r="I559" s="15" t="n"/>
      <c r="J559" s="15" t="n"/>
      <c r="K559" s="15" t="n"/>
      <c r="L559" s="15" t="n"/>
      <c r="M559" s="15" t="n"/>
      <c r="N559" s="15" t="n"/>
      <c r="O559" s="15" t="n"/>
      <c r="P559" s="15" t="n"/>
      <c r="Q559" s="15" t="n"/>
      <c r="R559" s="15" t="n"/>
      <c r="S559" s="15" t="n"/>
      <c r="T559" s="15" t="n"/>
      <c r="U559" s="15" t="n"/>
      <c r="V559" s="15" t="n"/>
      <c r="W559" s="15" t="n"/>
      <c r="X559" s="15" t="n"/>
      <c r="Y559" s="15" t="n"/>
      <c r="Z559" s="15" t="n"/>
      <c r="AA559" s="15" t="n"/>
      <c r="AB559" s="15" t="n"/>
      <c r="AC559" s="15" t="n"/>
      <c r="AD559" s="15" t="n"/>
      <c r="AE559" s="15" t="n"/>
      <c r="AF559" s="15" t="n"/>
      <c r="AG559" s="15" t="n"/>
      <c r="AH559" s="15" t="n"/>
      <c r="AI559" s="15" t="n"/>
    </row>
    <row r="560">
      <c r="A560" s="4" t="inlineStr">
        <is>
          <t>Студент1.11</t>
        </is>
      </c>
      <c r="B560" s="4" t="inlineStr"/>
      <c r="C560" s="4">
        <f>IF(A560="","",COUNTIF(F560:AI560,"+")+COUNTIF(F560:AI560,"1"))</f>
        <v/>
      </c>
      <c r="D560" s="4">
        <f>IF(A560="","",IF(C560&gt;2*COUNTA(F$549:AI$549)/3,1,IF(C560&gt;=COUNTA(F$549:AI$549)/2,0.8,0.5)))</f>
        <v/>
      </c>
      <c r="E560" s="4">
        <f>IF(A560="","",SUMIFS('Логи'!$H$4:$H$3006,'Логи'!$A$4:$A$3006,A560,'Логи'!$C$4:$C$3006,9))</f>
        <v/>
      </c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  <c r="O560" s="15" t="n"/>
      <c r="P560" s="15" t="n"/>
      <c r="Q560" s="15" t="n"/>
      <c r="R560" s="15" t="n"/>
      <c r="S560" s="15" t="n"/>
      <c r="T560" s="15" t="n"/>
      <c r="U560" s="15" t="n"/>
      <c r="V560" s="15" t="n"/>
      <c r="W560" s="15" t="n"/>
      <c r="X560" s="15" t="n"/>
      <c r="Y560" s="15" t="n"/>
      <c r="Z560" s="15" t="n"/>
      <c r="AA560" s="15" t="n"/>
      <c r="AB560" s="15" t="n"/>
      <c r="AC560" s="15" t="n"/>
      <c r="AD560" s="15" t="n"/>
      <c r="AE560" s="15" t="n"/>
      <c r="AF560" s="15" t="n"/>
      <c r="AG560" s="15" t="n"/>
      <c r="AH560" s="15" t="n"/>
      <c r="AI560" s="15" t="n"/>
    </row>
    <row r="561">
      <c r="A561" s="4" t="inlineStr">
        <is>
          <t>Студент1.12</t>
        </is>
      </c>
      <c r="B561" s="4" t="inlineStr"/>
      <c r="C561" s="4">
        <f>IF(A561="","",COUNTIF(F561:AI561,"+")+COUNTIF(F561:AI561,"1"))</f>
        <v/>
      </c>
      <c r="D561" s="4">
        <f>IF(A561="","",IF(C561&gt;2*COUNTA(F$549:AI$549)/3,1,IF(C561&gt;=COUNTA(F$549:AI$549)/2,0.8,0.5)))</f>
        <v/>
      </c>
      <c r="E561" s="4">
        <f>IF(A561="","",SUMIFS('Логи'!$H$4:$H$3006,'Логи'!$A$4:$A$3006,A561,'Логи'!$C$4:$C$3006,9))</f>
        <v/>
      </c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5" t="n"/>
      <c r="P561" s="15" t="n"/>
      <c r="Q561" s="15" t="n"/>
      <c r="R561" s="15" t="n"/>
      <c r="S561" s="15" t="n"/>
      <c r="T561" s="15" t="n"/>
      <c r="U561" s="15" t="n"/>
      <c r="V561" s="15" t="n"/>
      <c r="W561" s="15" t="n"/>
      <c r="X561" s="15" t="n"/>
      <c r="Y561" s="15" t="n"/>
      <c r="Z561" s="15" t="n"/>
      <c r="AA561" s="15" t="n"/>
      <c r="AB561" s="15" t="n"/>
      <c r="AC561" s="15" t="n"/>
      <c r="AD561" s="15" t="n"/>
      <c r="AE561" s="15" t="n"/>
      <c r="AF561" s="15" t="n"/>
      <c r="AG561" s="15" t="n"/>
      <c r="AH561" s="15" t="n"/>
      <c r="AI561" s="15" t="n"/>
    </row>
    <row r="562">
      <c r="A562" s="4" t="inlineStr">
        <is>
          <t>Студент1.13</t>
        </is>
      </c>
      <c r="B562" s="4" t="inlineStr"/>
      <c r="C562" s="4">
        <f>IF(A562="","",COUNTIF(F562:AI562,"+")+COUNTIF(F562:AI562,"1"))</f>
        <v/>
      </c>
      <c r="D562" s="4">
        <f>IF(A562="","",IF(C562&gt;2*COUNTA(F$549:AI$549)/3,1,IF(C562&gt;=COUNTA(F$549:AI$549)/2,0.8,0.5)))</f>
        <v/>
      </c>
      <c r="E562" s="4">
        <f>IF(A562="","",SUMIFS('Логи'!$H$4:$H$3006,'Логи'!$A$4:$A$3006,A562,'Логи'!$C$4:$C$3006,9))</f>
        <v/>
      </c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  <c r="O562" s="15" t="n"/>
      <c r="P562" s="15" t="n"/>
      <c r="Q562" s="15" t="n"/>
      <c r="R562" s="15" t="n"/>
      <c r="S562" s="15" t="n"/>
      <c r="T562" s="15" t="n"/>
      <c r="U562" s="15" t="n"/>
      <c r="V562" s="15" t="n"/>
      <c r="W562" s="15" t="n"/>
      <c r="X562" s="15" t="n"/>
      <c r="Y562" s="15" t="n"/>
      <c r="Z562" s="15" t="n"/>
      <c r="AA562" s="15" t="n"/>
      <c r="AB562" s="15" t="n"/>
      <c r="AC562" s="15" t="n"/>
      <c r="AD562" s="15" t="n"/>
      <c r="AE562" s="15" t="n"/>
      <c r="AF562" s="15" t="n"/>
      <c r="AG562" s="15" t="n"/>
      <c r="AH562" s="15" t="n"/>
      <c r="AI562" s="15" t="n"/>
    </row>
    <row r="563">
      <c r="A563" s="4" t="inlineStr">
        <is>
          <t>Студент1.14</t>
        </is>
      </c>
      <c r="B563" s="4" t="inlineStr"/>
      <c r="C563" s="4">
        <f>IF(A563="","",COUNTIF(F563:AI563,"+")+COUNTIF(F563:AI563,"1"))</f>
        <v/>
      </c>
      <c r="D563" s="4">
        <f>IF(A563="","",IF(C563&gt;2*COUNTA(F$549:AI$549)/3,1,IF(C563&gt;=COUNTA(F$549:AI$549)/2,0.8,0.5)))</f>
        <v/>
      </c>
      <c r="E563" s="4">
        <f>IF(A563="","",SUMIFS('Логи'!$H$4:$H$3006,'Логи'!$A$4:$A$3006,A563,'Логи'!$C$4:$C$3006,9))</f>
        <v/>
      </c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  <c r="O563" s="15" t="n"/>
      <c r="P563" s="15" t="n"/>
      <c r="Q563" s="15" t="n"/>
      <c r="R563" s="15" t="n"/>
      <c r="S563" s="15" t="n"/>
      <c r="T563" s="15" t="n"/>
      <c r="U563" s="15" t="n"/>
      <c r="V563" s="15" t="n"/>
      <c r="W563" s="15" t="n"/>
      <c r="X563" s="15" t="n"/>
      <c r="Y563" s="15" t="n"/>
      <c r="Z563" s="15" t="n"/>
      <c r="AA563" s="15" t="n"/>
      <c r="AB563" s="15" t="n"/>
      <c r="AC563" s="15" t="n"/>
      <c r="AD563" s="15" t="n"/>
      <c r="AE563" s="15" t="n"/>
      <c r="AF563" s="15" t="n"/>
      <c r="AG563" s="15" t="n"/>
      <c r="AH563" s="15" t="n"/>
      <c r="AI563" s="15" t="n"/>
    </row>
    <row r="564">
      <c r="A564" s="4" t="inlineStr">
        <is>
          <t>Студент1.15</t>
        </is>
      </c>
      <c r="B564" s="4" t="inlineStr"/>
      <c r="C564" s="4">
        <f>IF(A564="","",COUNTIF(F564:AI564,"+")+COUNTIF(F564:AI564,"1"))</f>
        <v/>
      </c>
      <c r="D564" s="4">
        <f>IF(A564="","",IF(C564&gt;2*COUNTA(F$549:AI$549)/3,1,IF(C564&gt;=COUNTA(F$549:AI$549)/2,0.8,0.5)))</f>
        <v/>
      </c>
      <c r="E564" s="4">
        <f>IF(A564="","",SUMIFS('Логи'!$H$4:$H$3006,'Логи'!$A$4:$A$3006,A564,'Логи'!$C$4:$C$3006,9))</f>
        <v/>
      </c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5" t="n"/>
      <c r="P564" s="15" t="n"/>
      <c r="Q564" s="15" t="n"/>
      <c r="R564" s="15" t="n"/>
      <c r="S564" s="15" t="n"/>
      <c r="T564" s="15" t="n"/>
      <c r="U564" s="15" t="n"/>
      <c r="V564" s="15" t="n"/>
      <c r="W564" s="15" t="n"/>
      <c r="X564" s="15" t="n"/>
      <c r="Y564" s="15" t="n"/>
      <c r="Z564" s="15" t="n"/>
      <c r="AA564" s="15" t="n"/>
      <c r="AB564" s="15" t="n"/>
      <c r="AC564" s="15" t="n"/>
      <c r="AD564" s="15" t="n"/>
      <c r="AE564" s="15" t="n"/>
      <c r="AF564" s="15" t="n"/>
      <c r="AG564" s="15" t="n"/>
      <c r="AH564" s="15" t="n"/>
      <c r="AI564" s="15" t="n"/>
    </row>
    <row r="565">
      <c r="A565" s="4" t="inlineStr">
        <is>
          <t>Студент1.16</t>
        </is>
      </c>
      <c r="B565" s="4" t="inlineStr"/>
      <c r="C565" s="4">
        <f>IF(A565="","",COUNTIF(F565:AI565,"+")+COUNTIF(F565:AI565,"1"))</f>
        <v/>
      </c>
      <c r="D565" s="4">
        <f>IF(A565="","",IF(C565&gt;2*COUNTA(F$549:AI$549)/3,1,IF(C565&gt;=COUNTA(F$549:AI$549)/2,0.8,0.5)))</f>
        <v/>
      </c>
      <c r="E565" s="4">
        <f>IF(A565="","",SUMIFS('Логи'!$H$4:$H$3006,'Логи'!$A$4:$A$3006,A565,'Логи'!$C$4:$C$3006,9))</f>
        <v/>
      </c>
      <c r="F565" s="15" t="n"/>
      <c r="G565" s="15" t="n"/>
      <c r="H565" s="15" t="n"/>
      <c r="I565" s="15" t="n"/>
      <c r="J565" s="15" t="n"/>
      <c r="K565" s="15" t="n"/>
      <c r="L565" s="15" t="n"/>
      <c r="M565" s="15" t="n"/>
      <c r="N565" s="15" t="n"/>
      <c r="O565" s="15" t="n"/>
      <c r="P565" s="15" t="n"/>
      <c r="Q565" s="15" t="n"/>
      <c r="R565" s="15" t="n"/>
      <c r="S565" s="15" t="n"/>
      <c r="T565" s="15" t="n"/>
      <c r="U565" s="15" t="n"/>
      <c r="V565" s="15" t="n"/>
      <c r="W565" s="15" t="n"/>
      <c r="X565" s="15" t="n"/>
      <c r="Y565" s="15" t="n"/>
      <c r="Z565" s="15" t="n"/>
      <c r="AA565" s="15" t="n"/>
      <c r="AB565" s="15" t="n"/>
      <c r="AC565" s="15" t="n"/>
      <c r="AD565" s="15" t="n"/>
      <c r="AE565" s="15" t="n"/>
      <c r="AF565" s="15" t="n"/>
      <c r="AG565" s="15" t="n"/>
      <c r="AH565" s="15" t="n"/>
      <c r="AI565" s="15" t="n"/>
    </row>
    <row r="566">
      <c r="A566" s="4" t="inlineStr">
        <is>
          <t>Студент1.17</t>
        </is>
      </c>
      <c r="B566" s="4" t="inlineStr"/>
      <c r="C566" s="4">
        <f>IF(A566="","",COUNTIF(F566:AI566,"+")+COUNTIF(F566:AI566,"1"))</f>
        <v/>
      </c>
      <c r="D566" s="4">
        <f>IF(A566="","",IF(C566&gt;2*COUNTA(F$549:AI$549)/3,1,IF(C566&gt;=COUNTA(F$549:AI$549)/2,0.8,0.5)))</f>
        <v/>
      </c>
      <c r="E566" s="4">
        <f>IF(A566="","",SUMIFS('Логи'!$H$4:$H$3006,'Логи'!$A$4:$A$3006,A566,'Логи'!$C$4:$C$3006,9))</f>
        <v/>
      </c>
      <c r="F566" s="15" t="n"/>
      <c r="G566" s="15" t="n"/>
      <c r="H566" s="15" t="n"/>
      <c r="I566" s="15" t="n"/>
      <c r="J566" s="15" t="n"/>
      <c r="K566" s="15" t="n"/>
      <c r="L566" s="15" t="n"/>
      <c r="M566" s="15" t="n"/>
      <c r="N566" s="15" t="n"/>
      <c r="O566" s="15" t="n"/>
      <c r="P566" s="15" t="n"/>
      <c r="Q566" s="15" t="n"/>
      <c r="R566" s="15" t="n"/>
      <c r="S566" s="15" t="n"/>
      <c r="T566" s="15" t="n"/>
      <c r="U566" s="15" t="n"/>
      <c r="V566" s="15" t="n"/>
      <c r="W566" s="15" t="n"/>
      <c r="X566" s="15" t="n"/>
      <c r="Y566" s="15" t="n"/>
      <c r="Z566" s="15" t="n"/>
      <c r="AA566" s="15" t="n"/>
      <c r="AB566" s="15" t="n"/>
      <c r="AC566" s="15" t="n"/>
      <c r="AD566" s="15" t="n"/>
      <c r="AE566" s="15" t="n"/>
      <c r="AF566" s="15" t="n"/>
      <c r="AG566" s="15" t="n"/>
      <c r="AH566" s="15" t="n"/>
      <c r="AI566" s="15" t="n"/>
    </row>
    <row r="567">
      <c r="A567" s="4" t="inlineStr">
        <is>
          <t>Студент1.18</t>
        </is>
      </c>
      <c r="B567" s="4" t="inlineStr"/>
      <c r="C567" s="4">
        <f>IF(A567="","",COUNTIF(F567:AI567,"+")+COUNTIF(F567:AI567,"1"))</f>
        <v/>
      </c>
      <c r="D567" s="4">
        <f>IF(A567="","",IF(C567&gt;2*COUNTA(F$549:AI$549)/3,1,IF(C567&gt;=COUNTA(F$549:AI$549)/2,0.8,0.5)))</f>
        <v/>
      </c>
      <c r="E567" s="4">
        <f>IF(A567="","",SUMIFS('Логи'!$H$4:$H$3006,'Логи'!$A$4:$A$3006,A567,'Логи'!$C$4:$C$3006,9))</f>
        <v/>
      </c>
      <c r="F567" s="15" t="n"/>
      <c r="G567" s="15" t="n"/>
      <c r="H567" s="15" t="n"/>
      <c r="I567" s="15" t="n"/>
      <c r="J567" s="15" t="n"/>
      <c r="K567" s="15" t="n"/>
      <c r="L567" s="15" t="n"/>
      <c r="M567" s="15" t="n"/>
      <c r="N567" s="15" t="n"/>
      <c r="O567" s="15" t="n"/>
      <c r="P567" s="15" t="n"/>
      <c r="Q567" s="15" t="n"/>
      <c r="R567" s="15" t="n"/>
      <c r="S567" s="15" t="n"/>
      <c r="T567" s="15" t="n"/>
      <c r="U567" s="15" t="n"/>
      <c r="V567" s="15" t="n"/>
      <c r="W567" s="15" t="n"/>
      <c r="X567" s="15" t="n"/>
      <c r="Y567" s="15" t="n"/>
      <c r="Z567" s="15" t="n"/>
      <c r="AA567" s="15" t="n"/>
      <c r="AB567" s="15" t="n"/>
      <c r="AC567" s="15" t="n"/>
      <c r="AD567" s="15" t="n"/>
      <c r="AE567" s="15" t="n"/>
      <c r="AF567" s="15" t="n"/>
      <c r="AG567" s="15" t="n"/>
      <c r="AH567" s="15" t="n"/>
      <c r="AI567" s="15" t="n"/>
    </row>
    <row r="568">
      <c r="A568" s="4" t="inlineStr">
        <is>
          <t>Студент1.19</t>
        </is>
      </c>
      <c r="B568" s="4" t="inlineStr"/>
      <c r="C568" s="4">
        <f>IF(A568="","",COUNTIF(F568:AI568,"+")+COUNTIF(F568:AI568,"1"))</f>
        <v/>
      </c>
      <c r="D568" s="4">
        <f>IF(A568="","",IF(C568&gt;2*COUNTA(F$549:AI$549)/3,1,IF(C568&gt;=COUNTA(F$549:AI$549)/2,0.8,0.5)))</f>
        <v/>
      </c>
      <c r="E568" s="4">
        <f>IF(A568="","",SUMIFS('Логи'!$H$4:$H$3006,'Логи'!$A$4:$A$3006,A568,'Логи'!$C$4:$C$3006,9))</f>
        <v/>
      </c>
      <c r="F568" s="15" t="n"/>
      <c r="G568" s="15" t="n"/>
      <c r="H568" s="15" t="n"/>
      <c r="I568" s="15" t="n"/>
      <c r="J568" s="15" t="n"/>
      <c r="K568" s="15" t="n"/>
      <c r="L568" s="15" t="n"/>
      <c r="M568" s="15" t="n"/>
      <c r="N568" s="15" t="n"/>
      <c r="O568" s="15" t="n"/>
      <c r="P568" s="15" t="n"/>
      <c r="Q568" s="15" t="n"/>
      <c r="R568" s="15" t="n"/>
      <c r="S568" s="15" t="n"/>
      <c r="T568" s="15" t="n"/>
      <c r="U568" s="15" t="n"/>
      <c r="V568" s="15" t="n"/>
      <c r="W568" s="15" t="n"/>
      <c r="X568" s="15" t="n"/>
      <c r="Y568" s="15" t="n"/>
      <c r="Z568" s="15" t="n"/>
      <c r="AA568" s="15" t="n"/>
      <c r="AB568" s="15" t="n"/>
      <c r="AC568" s="15" t="n"/>
      <c r="AD568" s="15" t="n"/>
      <c r="AE568" s="15" t="n"/>
      <c r="AF568" s="15" t="n"/>
      <c r="AG568" s="15" t="n"/>
      <c r="AH568" s="15" t="n"/>
      <c r="AI568" s="15" t="n"/>
    </row>
    <row r="569">
      <c r="A569" s="4" t="inlineStr">
        <is>
          <t>Студент1.20</t>
        </is>
      </c>
      <c r="B569" s="4" t="inlineStr"/>
      <c r="C569" s="4">
        <f>IF(A569="","",COUNTIF(F569:AI569,"+")+COUNTIF(F569:AI569,"1"))</f>
        <v/>
      </c>
      <c r="D569" s="4">
        <f>IF(A569="","",IF(C569&gt;2*COUNTA(F$549:AI$549)/3,1,IF(C569&gt;=COUNTA(F$549:AI$549)/2,0.8,0.5)))</f>
        <v/>
      </c>
      <c r="E569" s="4">
        <f>IF(A569="","",SUMIFS('Логи'!$H$4:$H$3006,'Логи'!$A$4:$A$3006,A569,'Логи'!$C$4:$C$3006,9))</f>
        <v/>
      </c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5" t="n"/>
      <c r="P569" s="15" t="n"/>
      <c r="Q569" s="15" t="n"/>
      <c r="R569" s="15" t="n"/>
      <c r="S569" s="15" t="n"/>
      <c r="T569" s="15" t="n"/>
      <c r="U569" s="15" t="n"/>
      <c r="V569" s="15" t="n"/>
      <c r="W569" s="15" t="n"/>
      <c r="X569" s="15" t="n"/>
      <c r="Y569" s="15" t="n"/>
      <c r="Z569" s="15" t="n"/>
      <c r="AA569" s="15" t="n"/>
      <c r="AB569" s="15" t="n"/>
      <c r="AC569" s="15" t="n"/>
      <c r="AD569" s="15" t="n"/>
      <c r="AE569" s="15" t="n"/>
      <c r="AF569" s="15" t="n"/>
      <c r="AG569" s="15" t="n"/>
      <c r="AH569" s="15" t="n"/>
      <c r="AI569" s="15" t="n"/>
    </row>
    <row r="570">
      <c r="A570" s="4" t="inlineStr">
        <is>
          <t>Студент1.21</t>
        </is>
      </c>
      <c r="B570" s="4" t="inlineStr"/>
      <c r="C570" s="4">
        <f>IF(A570="","",COUNTIF(F570:AI570,"+")+COUNTIF(F570:AI570,"1"))</f>
        <v/>
      </c>
      <c r="D570" s="4">
        <f>IF(A570="","",IF(C570&gt;2*COUNTA(F$549:AI$549)/3,1,IF(C570&gt;=COUNTA(F$549:AI$549)/2,0.8,0.5)))</f>
        <v/>
      </c>
      <c r="E570" s="4">
        <f>IF(A570="","",SUMIFS('Логи'!$H$4:$H$3006,'Логи'!$A$4:$A$3006,A570,'Логи'!$C$4:$C$3006,9))</f>
        <v/>
      </c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5" t="n"/>
      <c r="P570" s="15" t="n"/>
      <c r="Q570" s="15" t="n"/>
      <c r="R570" s="15" t="n"/>
      <c r="S570" s="15" t="n"/>
      <c r="T570" s="15" t="n"/>
      <c r="U570" s="15" t="n"/>
      <c r="V570" s="15" t="n"/>
      <c r="W570" s="15" t="n"/>
      <c r="X570" s="15" t="n"/>
      <c r="Y570" s="15" t="n"/>
      <c r="Z570" s="15" t="n"/>
      <c r="AA570" s="15" t="n"/>
      <c r="AB570" s="15" t="n"/>
      <c r="AC570" s="15" t="n"/>
      <c r="AD570" s="15" t="n"/>
      <c r="AE570" s="15" t="n"/>
      <c r="AF570" s="15" t="n"/>
      <c r="AG570" s="15" t="n"/>
      <c r="AH570" s="15" t="n"/>
      <c r="AI570" s="15" t="n"/>
    </row>
    <row r="571">
      <c r="A571" s="4" t="inlineStr">
        <is>
          <t>Студент1.22</t>
        </is>
      </c>
      <c r="B571" s="4" t="inlineStr"/>
      <c r="C571" s="4">
        <f>IF(A571="","",COUNTIF(F571:AI571,"+")+COUNTIF(F571:AI571,"1"))</f>
        <v/>
      </c>
      <c r="D571" s="4">
        <f>IF(A571="","",IF(C571&gt;2*COUNTA(F$549:AI$549)/3,1,IF(C571&gt;=COUNTA(F$549:AI$549)/2,0.8,0.5)))</f>
        <v/>
      </c>
      <c r="E571" s="4">
        <f>IF(A571="","",SUMIFS('Логи'!$H$4:$H$3006,'Логи'!$A$4:$A$3006,A571,'Логи'!$C$4:$C$3006,9))</f>
        <v/>
      </c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  <c r="O571" s="15" t="n"/>
      <c r="P571" s="15" t="n"/>
      <c r="Q571" s="15" t="n"/>
      <c r="R571" s="15" t="n"/>
      <c r="S571" s="15" t="n"/>
      <c r="T571" s="15" t="n"/>
      <c r="U571" s="15" t="n"/>
      <c r="V571" s="15" t="n"/>
      <c r="W571" s="15" t="n"/>
      <c r="X571" s="15" t="n"/>
      <c r="Y571" s="15" t="n"/>
      <c r="Z571" s="15" t="n"/>
      <c r="AA571" s="15" t="n"/>
      <c r="AB571" s="15" t="n"/>
      <c r="AC571" s="15" t="n"/>
      <c r="AD571" s="15" t="n"/>
      <c r="AE571" s="15" t="n"/>
      <c r="AF571" s="15" t="n"/>
      <c r="AG571" s="15" t="n"/>
      <c r="AH571" s="15" t="n"/>
      <c r="AI571" s="15" t="n"/>
    </row>
    <row r="572">
      <c r="A572" s="4" t="inlineStr">
        <is>
          <t>Студент1.23</t>
        </is>
      </c>
      <c r="B572" s="4" t="inlineStr"/>
      <c r="C572" s="4">
        <f>IF(A572="","",COUNTIF(F572:AI572,"+")+COUNTIF(F572:AI572,"1"))</f>
        <v/>
      </c>
      <c r="D572" s="4">
        <f>IF(A572="","",IF(C572&gt;2*COUNTA(F$549:AI$549)/3,1,IF(C572&gt;=COUNTA(F$549:AI$549)/2,0.8,0.5)))</f>
        <v/>
      </c>
      <c r="E572" s="4">
        <f>IF(A572="","",SUMIFS('Логи'!$H$4:$H$3006,'Логи'!$A$4:$A$3006,A572,'Логи'!$C$4:$C$3006,9))</f>
        <v/>
      </c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  <c r="O572" s="15" t="n"/>
      <c r="P572" s="15" t="n"/>
      <c r="Q572" s="15" t="n"/>
      <c r="R572" s="15" t="n"/>
      <c r="S572" s="15" t="n"/>
      <c r="T572" s="15" t="n"/>
      <c r="U572" s="15" t="n"/>
      <c r="V572" s="15" t="n"/>
      <c r="W572" s="15" t="n"/>
      <c r="X572" s="15" t="n"/>
      <c r="Y572" s="15" t="n"/>
      <c r="Z572" s="15" t="n"/>
      <c r="AA572" s="15" t="n"/>
      <c r="AB572" s="15" t="n"/>
      <c r="AC572" s="15" t="n"/>
      <c r="AD572" s="15" t="n"/>
      <c r="AE572" s="15" t="n"/>
      <c r="AF572" s="15" t="n"/>
      <c r="AG572" s="15" t="n"/>
      <c r="AH572" s="15" t="n"/>
      <c r="AI572" s="15" t="n"/>
    </row>
    <row r="573">
      <c r="A573" s="4" t="inlineStr">
        <is>
          <t>Студент1.24</t>
        </is>
      </c>
      <c r="B573" s="4" t="inlineStr"/>
      <c r="C573" s="4">
        <f>IF(A573="","",COUNTIF(F573:AI573,"+")+COUNTIF(F573:AI573,"1"))</f>
        <v/>
      </c>
      <c r="D573" s="4">
        <f>IF(A573="","",IF(C573&gt;2*COUNTA(F$549:AI$549)/3,1,IF(C573&gt;=COUNTA(F$549:AI$549)/2,0.8,0.5)))</f>
        <v/>
      </c>
      <c r="E573" s="4">
        <f>IF(A573="","",SUMIFS('Логи'!$H$4:$H$3006,'Логи'!$A$4:$A$3006,A573,'Логи'!$C$4:$C$3006,9))</f>
        <v/>
      </c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  <c r="O573" s="15" t="n"/>
      <c r="P573" s="15" t="n"/>
      <c r="Q573" s="15" t="n"/>
      <c r="R573" s="15" t="n"/>
      <c r="S573" s="15" t="n"/>
      <c r="T573" s="15" t="n"/>
      <c r="U573" s="15" t="n"/>
      <c r="V573" s="15" t="n"/>
      <c r="W573" s="15" t="n"/>
      <c r="X573" s="15" t="n"/>
      <c r="Y573" s="15" t="n"/>
      <c r="Z573" s="15" t="n"/>
      <c r="AA573" s="15" t="n"/>
      <c r="AB573" s="15" t="n"/>
      <c r="AC573" s="15" t="n"/>
      <c r="AD573" s="15" t="n"/>
      <c r="AE573" s="15" t="n"/>
      <c r="AF573" s="15" t="n"/>
      <c r="AG573" s="15" t="n"/>
      <c r="AH573" s="15" t="n"/>
      <c r="AI573" s="15" t="n"/>
    </row>
    <row r="574">
      <c r="A574" s="4" t="inlineStr">
        <is>
          <t>Студент1.25</t>
        </is>
      </c>
      <c r="B574" s="4" t="inlineStr"/>
      <c r="C574" s="4">
        <f>IF(A574="","",COUNTIF(F574:AI574,"+")+COUNTIF(F574:AI574,"1"))</f>
        <v/>
      </c>
      <c r="D574" s="4">
        <f>IF(A574="","",IF(C574&gt;2*COUNTA(F$549:AI$549)/3,1,IF(C574&gt;=COUNTA(F$549:AI$549)/2,0.8,0.5)))</f>
        <v/>
      </c>
      <c r="E574" s="4">
        <f>IF(A574="","",SUMIFS('Логи'!$H$4:$H$3006,'Логи'!$A$4:$A$3006,A574,'Логи'!$C$4:$C$3006,9))</f>
        <v/>
      </c>
      <c r="F574" s="15" t="n"/>
      <c r="G574" s="15" t="n"/>
      <c r="H574" s="15" t="n"/>
      <c r="I574" s="15" t="n"/>
      <c r="J574" s="15" t="n"/>
      <c r="K574" s="15" t="n"/>
      <c r="L574" s="15" t="n"/>
      <c r="M574" s="15" t="n"/>
      <c r="N574" s="15" t="n"/>
      <c r="O574" s="15" t="n"/>
      <c r="P574" s="15" t="n"/>
      <c r="Q574" s="15" t="n"/>
      <c r="R574" s="15" t="n"/>
      <c r="S574" s="15" t="n"/>
      <c r="T574" s="15" t="n"/>
      <c r="U574" s="15" t="n"/>
      <c r="V574" s="15" t="n"/>
      <c r="W574" s="15" t="n"/>
      <c r="X574" s="15" t="n"/>
      <c r="Y574" s="15" t="n"/>
      <c r="Z574" s="15" t="n"/>
      <c r="AA574" s="15" t="n"/>
      <c r="AB574" s="15" t="n"/>
      <c r="AC574" s="15" t="n"/>
      <c r="AD574" s="15" t="n"/>
      <c r="AE574" s="15" t="n"/>
      <c r="AF574" s="15" t="n"/>
      <c r="AG574" s="15" t="n"/>
      <c r="AH574" s="15" t="n"/>
      <c r="AI574" s="15" t="n"/>
    </row>
    <row r="575">
      <c r="A575" s="4" t="inlineStr">
        <is>
          <t>Студент1.26</t>
        </is>
      </c>
      <c r="B575" s="4" t="inlineStr"/>
      <c r="C575" s="4">
        <f>IF(A575="","",COUNTIF(F575:AI575,"+")+COUNTIF(F575:AI575,"1"))</f>
        <v/>
      </c>
      <c r="D575" s="4">
        <f>IF(A575="","",IF(C575&gt;2*COUNTA(F$549:AI$549)/3,1,IF(C575&gt;=COUNTA(F$549:AI$549)/2,0.8,0.5)))</f>
        <v/>
      </c>
      <c r="E575" s="4">
        <f>IF(A575="","",SUMIFS('Логи'!$H$4:$H$3006,'Логи'!$A$4:$A$3006,A575,'Логи'!$C$4:$C$3006,9))</f>
        <v/>
      </c>
      <c r="F575" s="15" t="n"/>
      <c r="G575" s="15" t="n"/>
      <c r="H575" s="15" t="n"/>
      <c r="I575" s="15" t="n"/>
      <c r="J575" s="15" t="n"/>
      <c r="K575" s="15" t="n"/>
      <c r="L575" s="15" t="n"/>
      <c r="M575" s="15" t="n"/>
      <c r="N575" s="15" t="n"/>
      <c r="O575" s="15" t="n"/>
      <c r="P575" s="15" t="n"/>
      <c r="Q575" s="15" t="n"/>
      <c r="R575" s="15" t="n"/>
      <c r="S575" s="15" t="n"/>
      <c r="T575" s="15" t="n"/>
      <c r="U575" s="15" t="n"/>
      <c r="V575" s="15" t="n"/>
      <c r="W575" s="15" t="n"/>
      <c r="X575" s="15" t="n"/>
      <c r="Y575" s="15" t="n"/>
      <c r="Z575" s="15" t="n"/>
      <c r="AA575" s="15" t="n"/>
      <c r="AB575" s="15" t="n"/>
      <c r="AC575" s="15" t="n"/>
      <c r="AD575" s="15" t="n"/>
      <c r="AE575" s="15" t="n"/>
      <c r="AF575" s="15" t="n"/>
      <c r="AG575" s="15" t="n"/>
      <c r="AH575" s="15" t="n"/>
      <c r="AI575" s="15" t="n"/>
    </row>
    <row r="576">
      <c r="A576" s="4" t="inlineStr">
        <is>
          <t>Студент1.27</t>
        </is>
      </c>
      <c r="B576" s="4" t="inlineStr"/>
      <c r="C576" s="4">
        <f>IF(A576="","",COUNTIF(F576:AI576,"+")+COUNTIF(F576:AI576,"1"))</f>
        <v/>
      </c>
      <c r="D576" s="4">
        <f>IF(A576="","",IF(C576&gt;2*COUNTA(F$549:AI$549)/3,1,IF(C576&gt;=COUNTA(F$549:AI$549)/2,0.8,0.5)))</f>
        <v/>
      </c>
      <c r="E576" s="4">
        <f>IF(A576="","",SUMIFS('Логи'!$H$4:$H$3006,'Логи'!$A$4:$A$3006,A576,'Логи'!$C$4:$C$3006,9))</f>
        <v/>
      </c>
      <c r="F576" s="15" t="n"/>
      <c r="G576" s="15" t="n"/>
      <c r="H576" s="15" t="n"/>
      <c r="I576" s="15" t="n"/>
      <c r="J576" s="15" t="n"/>
      <c r="K576" s="15" t="n"/>
      <c r="L576" s="15" t="n"/>
      <c r="M576" s="15" t="n"/>
      <c r="N576" s="15" t="n"/>
      <c r="O576" s="15" t="n"/>
      <c r="P576" s="15" t="n"/>
      <c r="Q576" s="15" t="n"/>
      <c r="R576" s="15" t="n"/>
      <c r="S576" s="15" t="n"/>
      <c r="T576" s="15" t="n"/>
      <c r="U576" s="15" t="n"/>
      <c r="V576" s="15" t="n"/>
      <c r="W576" s="15" t="n"/>
      <c r="X576" s="15" t="n"/>
      <c r="Y576" s="15" t="n"/>
      <c r="Z576" s="15" t="n"/>
      <c r="AA576" s="15" t="n"/>
      <c r="AB576" s="15" t="n"/>
      <c r="AC576" s="15" t="n"/>
      <c r="AD576" s="15" t="n"/>
      <c r="AE576" s="15" t="n"/>
      <c r="AF576" s="15" t="n"/>
      <c r="AG576" s="15" t="n"/>
      <c r="AH576" s="15" t="n"/>
      <c r="AI576" s="15" t="n"/>
    </row>
    <row r="577">
      <c r="A577" s="4" t="inlineStr">
        <is>
          <t>Студент1.28</t>
        </is>
      </c>
      <c r="B577" s="4" t="inlineStr"/>
      <c r="C577" s="4">
        <f>IF(A577="","",COUNTIF(F577:AI577,"+")+COUNTIF(F577:AI577,"1"))</f>
        <v/>
      </c>
      <c r="D577" s="4">
        <f>IF(A577="","",IF(C577&gt;2*COUNTA(F$549:AI$549)/3,1,IF(C577&gt;=COUNTA(F$549:AI$549)/2,0.8,0.5)))</f>
        <v/>
      </c>
      <c r="E577" s="4">
        <f>IF(A577="","",SUMIFS('Логи'!$H$4:$H$3006,'Логи'!$A$4:$A$3006,A577,'Логи'!$C$4:$C$3006,9))</f>
        <v/>
      </c>
      <c r="F577" s="15" t="n"/>
      <c r="G577" s="15" t="n"/>
      <c r="H577" s="15" t="n"/>
      <c r="I577" s="15" t="n"/>
      <c r="J577" s="15" t="n"/>
      <c r="K577" s="15" t="n"/>
      <c r="L577" s="15" t="n"/>
      <c r="M577" s="15" t="n"/>
      <c r="N577" s="15" t="n"/>
      <c r="O577" s="15" t="n"/>
      <c r="P577" s="15" t="n"/>
      <c r="Q577" s="15" t="n"/>
      <c r="R577" s="15" t="n"/>
      <c r="S577" s="15" t="n"/>
      <c r="T577" s="15" t="n"/>
      <c r="U577" s="15" t="n"/>
      <c r="V577" s="15" t="n"/>
      <c r="W577" s="15" t="n"/>
      <c r="X577" s="15" t="n"/>
      <c r="Y577" s="15" t="n"/>
      <c r="Z577" s="15" t="n"/>
      <c r="AA577" s="15" t="n"/>
      <c r="AB577" s="15" t="n"/>
      <c r="AC577" s="15" t="n"/>
      <c r="AD577" s="15" t="n"/>
      <c r="AE577" s="15" t="n"/>
      <c r="AF577" s="15" t="n"/>
      <c r="AG577" s="15" t="n"/>
      <c r="AH577" s="15" t="n"/>
      <c r="AI577" s="15" t="n"/>
    </row>
    <row r="578">
      <c r="A578" s="4" t="inlineStr">
        <is>
          <t>Студент1.29</t>
        </is>
      </c>
      <c r="B578" s="4" t="inlineStr"/>
      <c r="C578" s="4">
        <f>IF(A578="","",COUNTIF(F578:AI578,"+")+COUNTIF(F578:AI578,"1"))</f>
        <v/>
      </c>
      <c r="D578" s="4">
        <f>IF(A578="","",IF(C578&gt;2*COUNTA(F$549:AI$549)/3,1,IF(C578&gt;=COUNTA(F$549:AI$549)/2,0.8,0.5)))</f>
        <v/>
      </c>
      <c r="E578" s="4">
        <f>IF(A578="","",SUMIFS('Логи'!$H$4:$H$3006,'Логи'!$A$4:$A$3006,A578,'Логи'!$C$4:$C$3006,9))</f>
        <v/>
      </c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5" t="n"/>
      <c r="P578" s="15" t="n"/>
      <c r="Q578" s="15" t="n"/>
      <c r="R578" s="15" t="n"/>
      <c r="S578" s="15" t="n"/>
      <c r="T578" s="15" t="n"/>
      <c r="U578" s="15" t="n"/>
      <c r="V578" s="15" t="n"/>
      <c r="W578" s="15" t="n"/>
      <c r="X578" s="15" t="n"/>
      <c r="Y578" s="15" t="n"/>
      <c r="Z578" s="15" t="n"/>
      <c r="AA578" s="15" t="n"/>
      <c r="AB578" s="15" t="n"/>
      <c r="AC578" s="15" t="n"/>
      <c r="AD578" s="15" t="n"/>
      <c r="AE578" s="15" t="n"/>
      <c r="AF578" s="15" t="n"/>
      <c r="AG578" s="15" t="n"/>
      <c r="AH578" s="15" t="n"/>
      <c r="AI578" s="15" t="n"/>
    </row>
    <row r="579">
      <c r="A579" s="4" t="inlineStr">
        <is>
          <t>Студент1.30</t>
        </is>
      </c>
      <c r="B579" s="4" t="inlineStr"/>
      <c r="C579" s="4">
        <f>IF(A579="","",COUNTIF(F579:AI579,"+")+COUNTIF(F579:AI579,"1"))</f>
        <v/>
      </c>
      <c r="D579" s="4">
        <f>IF(A579="","",IF(C579&gt;2*COUNTA(F$549:AI$549)/3,1,IF(C579&gt;=COUNTA(F$549:AI$549)/2,0.8,0.5)))</f>
        <v/>
      </c>
      <c r="E579" s="4">
        <f>IF(A579="","",SUMIFS('Логи'!$H$4:$H$3006,'Логи'!$A$4:$A$3006,A579,'Логи'!$C$4:$C$3006,9))</f>
        <v/>
      </c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  <c r="O579" s="15" t="n"/>
      <c r="P579" s="15" t="n"/>
      <c r="Q579" s="15" t="n"/>
      <c r="R579" s="15" t="n"/>
      <c r="S579" s="15" t="n"/>
      <c r="T579" s="15" t="n"/>
      <c r="U579" s="15" t="n"/>
      <c r="V579" s="15" t="n"/>
      <c r="W579" s="15" t="n"/>
      <c r="X579" s="15" t="n"/>
      <c r="Y579" s="15" t="n"/>
      <c r="Z579" s="15" t="n"/>
      <c r="AA579" s="15" t="n"/>
      <c r="AB579" s="15" t="n"/>
      <c r="AC579" s="15" t="n"/>
      <c r="AD579" s="15" t="n"/>
      <c r="AE579" s="15" t="n"/>
      <c r="AF579" s="15" t="n"/>
      <c r="AG579" s="15" t="n"/>
      <c r="AH579" s="15" t="n"/>
      <c r="AI579" s="15" t="n"/>
    </row>
    <row r="581">
      <c r="A581" s="16" t="inlineStr">
        <is>
          <t>Практика 9 — результаты рассказа</t>
        </is>
      </c>
    </row>
    <row r="582" ht="28" customHeight="1">
      <c r="A582" s="7" t="inlineStr">
        <is>
          <t>Имя</t>
        </is>
      </c>
      <c r="B582" s="9" t="inlineStr">
        <is>
          <t>TG</t>
        </is>
      </c>
      <c r="C582" s="10" t="inlineStr"/>
      <c r="D582" s="2" t="inlineStr"/>
      <c r="E582" s="2" t="inlineStr"/>
      <c r="F582" s="11" t="inlineStr">
        <is>
          <t>1.0</t>
        </is>
      </c>
      <c r="G582" s="11" t="inlineStr">
        <is>
          <t>2.0</t>
        </is>
      </c>
      <c r="H582" s="11" t="inlineStr">
        <is>
          <t>3.0</t>
        </is>
      </c>
      <c r="I582" s="11" t="inlineStr">
        <is>
          <t>4.0</t>
        </is>
      </c>
      <c r="J582" s="11" t="inlineStr">
        <is>
          <t>5.0</t>
        </is>
      </c>
      <c r="K582" s="11" t="inlineStr">
        <is>
          <t>6</t>
        </is>
      </c>
      <c r="L582" s="11" t="inlineStr">
        <is>
          <t>7</t>
        </is>
      </c>
      <c r="M582" s="11" t="inlineStr">
        <is>
          <t>8</t>
        </is>
      </c>
      <c r="N582" s="11" t="inlineStr">
        <is>
          <t>9</t>
        </is>
      </c>
      <c r="O582" s="11" t="inlineStr">
        <is>
          <t>10</t>
        </is>
      </c>
      <c r="P582" s="11" t="inlineStr">
        <is>
          <t>11</t>
        </is>
      </c>
      <c r="Q582" s="11" t="inlineStr">
        <is>
          <t>12</t>
        </is>
      </c>
      <c r="R582" s="11" t="inlineStr">
        <is>
          <t>13</t>
        </is>
      </c>
      <c r="S582" s="11" t="inlineStr">
        <is>
          <t>14</t>
        </is>
      </c>
      <c r="T582" s="11" t="inlineStr">
        <is>
          <t>15</t>
        </is>
      </c>
      <c r="U582" s="11" t="inlineStr">
        <is>
          <t>16</t>
        </is>
      </c>
      <c r="V582" s="11" t="inlineStr">
        <is>
          <t>17</t>
        </is>
      </c>
      <c r="W582" s="11" t="inlineStr">
        <is>
          <t>18</t>
        </is>
      </c>
      <c r="X582" s="11" t="inlineStr">
        <is>
          <t>19</t>
        </is>
      </c>
      <c r="Y582" s="11" t="inlineStr">
        <is>
          <t>20</t>
        </is>
      </c>
      <c r="Z582" s="11" t="inlineStr">
        <is>
          <t>21</t>
        </is>
      </c>
      <c r="AA582" s="11" t="inlineStr">
        <is>
          <t>22</t>
        </is>
      </c>
      <c r="AB582" s="11" t="inlineStr">
        <is>
          <t>23</t>
        </is>
      </c>
      <c r="AC582" s="11" t="inlineStr">
        <is>
          <t>24</t>
        </is>
      </c>
      <c r="AD582" s="11" t="inlineStr">
        <is>
          <t>25</t>
        </is>
      </c>
      <c r="AE582" s="11" t="inlineStr">
        <is>
          <t>26</t>
        </is>
      </c>
      <c r="AF582" s="11" t="inlineStr">
        <is>
          <t>27</t>
        </is>
      </c>
      <c r="AG582" s="11" t="inlineStr">
        <is>
          <t>28</t>
        </is>
      </c>
      <c r="AH582" s="11" t="inlineStr">
        <is>
          <t>29</t>
        </is>
      </c>
      <c r="AI582" s="11" t="inlineStr">
        <is>
          <t>30</t>
        </is>
      </c>
    </row>
    <row r="583">
      <c r="A583" s="4" t="inlineStr">
        <is>
          <t>Студент1.1</t>
        </is>
      </c>
      <c r="B583" s="4" t="inlineStr"/>
      <c r="C583" s="4" t="n"/>
      <c r="D583" s="4" t="n"/>
      <c r="E583" s="4" t="n"/>
      <c r="F583" s="15" t="n"/>
      <c r="G583" s="15" t="n"/>
      <c r="H583" s="15" t="n"/>
      <c r="I583" s="15" t="n"/>
      <c r="J583" s="15" t="n"/>
      <c r="K583" s="15" t="n"/>
      <c r="L583" s="15" t="n"/>
      <c r="M583" s="15" t="n"/>
      <c r="N583" s="15" t="n"/>
      <c r="O583" s="15" t="n"/>
      <c r="P583" s="15" t="n"/>
      <c r="Q583" s="15" t="n"/>
      <c r="R583" s="15" t="n"/>
      <c r="S583" s="15" t="n"/>
      <c r="T583" s="15" t="n"/>
      <c r="U583" s="15" t="n"/>
      <c r="V583" s="15" t="n"/>
      <c r="W583" s="15" t="n"/>
      <c r="X583" s="15" t="n"/>
      <c r="Y583" s="15" t="n"/>
      <c r="Z583" s="15" t="n"/>
      <c r="AA583" s="15" t="n"/>
      <c r="AB583" s="15" t="n"/>
      <c r="AC583" s="15" t="n"/>
      <c r="AD583" s="15" t="n"/>
      <c r="AE583" s="15" t="n"/>
      <c r="AF583" s="15" t="n"/>
      <c r="AG583" s="15" t="n"/>
      <c r="AH583" s="15" t="n"/>
      <c r="AI583" s="15" t="n"/>
    </row>
    <row r="584">
      <c r="A584" s="4" t="inlineStr">
        <is>
          <t>Студент1.2</t>
        </is>
      </c>
      <c r="B584" s="4" t="inlineStr"/>
      <c r="C584" s="4" t="n"/>
      <c r="D584" s="4" t="n"/>
      <c r="E584" s="4" t="n"/>
      <c r="F584" s="15" t="n"/>
      <c r="G584" s="15" t="n"/>
      <c r="H584" s="15" t="n"/>
      <c r="I584" s="15" t="n"/>
      <c r="J584" s="15" t="n"/>
      <c r="K584" s="15" t="n"/>
      <c r="L584" s="15" t="n"/>
      <c r="M584" s="15" t="n"/>
      <c r="N584" s="15" t="n"/>
      <c r="O584" s="15" t="n"/>
      <c r="P584" s="15" t="n"/>
      <c r="Q584" s="15" t="n"/>
      <c r="R584" s="15" t="n"/>
      <c r="S584" s="15" t="n"/>
      <c r="T584" s="15" t="n"/>
      <c r="U584" s="15" t="n"/>
      <c r="V584" s="15" t="n"/>
      <c r="W584" s="15" t="n"/>
      <c r="X584" s="15" t="n"/>
      <c r="Y584" s="15" t="n"/>
      <c r="Z584" s="15" t="n"/>
      <c r="AA584" s="15" t="n"/>
      <c r="AB584" s="15" t="n"/>
      <c r="AC584" s="15" t="n"/>
      <c r="AD584" s="15" t="n"/>
      <c r="AE584" s="15" t="n"/>
      <c r="AF584" s="15" t="n"/>
      <c r="AG584" s="15" t="n"/>
      <c r="AH584" s="15" t="n"/>
      <c r="AI584" s="15" t="n"/>
    </row>
    <row r="585">
      <c r="A585" s="4" t="inlineStr">
        <is>
          <t>Студент1.3</t>
        </is>
      </c>
      <c r="B585" s="4" t="inlineStr"/>
      <c r="C585" s="4" t="n"/>
      <c r="D585" s="4" t="n"/>
      <c r="E585" s="4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5" t="n"/>
      <c r="P585" s="15" t="n"/>
      <c r="Q585" s="15" t="n"/>
      <c r="R585" s="15" t="n"/>
      <c r="S585" s="15" t="n"/>
      <c r="T585" s="15" t="n"/>
      <c r="U585" s="15" t="n"/>
      <c r="V585" s="15" t="n"/>
      <c r="W585" s="15" t="n"/>
      <c r="X585" s="15" t="n"/>
      <c r="Y585" s="15" t="n"/>
      <c r="Z585" s="15" t="n"/>
      <c r="AA585" s="15" t="n"/>
      <c r="AB585" s="15" t="n"/>
      <c r="AC585" s="15" t="n"/>
      <c r="AD585" s="15" t="n"/>
      <c r="AE585" s="15" t="n"/>
      <c r="AF585" s="15" t="n"/>
      <c r="AG585" s="15" t="n"/>
      <c r="AH585" s="15" t="n"/>
      <c r="AI585" s="15" t="n"/>
    </row>
    <row r="586">
      <c r="A586" s="4" t="inlineStr">
        <is>
          <t>Студент1.4</t>
        </is>
      </c>
      <c r="B586" s="4" t="inlineStr"/>
      <c r="C586" s="4" t="n"/>
      <c r="D586" s="4" t="n"/>
      <c r="E586" s="4" t="n"/>
      <c r="F586" s="15" t="n"/>
      <c r="G586" s="15" t="n"/>
      <c r="H586" s="15" t="n"/>
      <c r="I586" s="15" t="n"/>
      <c r="J586" s="15" t="n"/>
      <c r="K586" s="15" t="n"/>
      <c r="L586" s="15" t="n"/>
      <c r="M586" s="15" t="n"/>
      <c r="N586" s="15" t="n"/>
      <c r="O586" s="15" t="n"/>
      <c r="P586" s="15" t="n"/>
      <c r="Q586" s="15" t="n"/>
      <c r="R586" s="15" t="n"/>
      <c r="S586" s="15" t="n"/>
      <c r="T586" s="15" t="n"/>
      <c r="U586" s="15" t="n"/>
      <c r="V586" s="15" t="n"/>
      <c r="W586" s="15" t="n"/>
      <c r="X586" s="15" t="n"/>
      <c r="Y586" s="15" t="n"/>
      <c r="Z586" s="15" t="n"/>
      <c r="AA586" s="15" t="n"/>
      <c r="AB586" s="15" t="n"/>
      <c r="AC586" s="15" t="n"/>
      <c r="AD586" s="15" t="n"/>
      <c r="AE586" s="15" t="n"/>
      <c r="AF586" s="15" t="n"/>
      <c r="AG586" s="15" t="n"/>
      <c r="AH586" s="15" t="n"/>
      <c r="AI586" s="15" t="n"/>
    </row>
    <row r="587">
      <c r="A587" s="4" t="inlineStr">
        <is>
          <t>Студент1.5</t>
        </is>
      </c>
      <c r="B587" s="4" t="inlineStr"/>
      <c r="C587" s="4" t="n"/>
      <c r="D587" s="4" t="n"/>
      <c r="E587" s="4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5" t="n"/>
      <c r="P587" s="15" t="n"/>
      <c r="Q587" s="15" t="n"/>
      <c r="R587" s="15" t="n"/>
      <c r="S587" s="15" t="n"/>
      <c r="T587" s="15" t="n"/>
      <c r="U587" s="15" t="n"/>
      <c r="V587" s="15" t="n"/>
      <c r="W587" s="15" t="n"/>
      <c r="X587" s="15" t="n"/>
      <c r="Y587" s="15" t="n"/>
      <c r="Z587" s="15" t="n"/>
      <c r="AA587" s="15" t="n"/>
      <c r="AB587" s="15" t="n"/>
      <c r="AC587" s="15" t="n"/>
      <c r="AD587" s="15" t="n"/>
      <c r="AE587" s="15" t="n"/>
      <c r="AF587" s="15" t="n"/>
      <c r="AG587" s="15" t="n"/>
      <c r="AH587" s="15" t="n"/>
      <c r="AI587" s="15" t="n"/>
    </row>
    <row r="588">
      <c r="A588" s="4" t="inlineStr">
        <is>
          <t>Студент1.6</t>
        </is>
      </c>
      <c r="B588" s="4" t="inlineStr"/>
      <c r="C588" s="4" t="n"/>
      <c r="D588" s="4" t="n"/>
      <c r="E588" s="4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  <c r="O588" s="15" t="n"/>
      <c r="P588" s="15" t="n"/>
      <c r="Q588" s="15" t="n"/>
      <c r="R588" s="15" t="n"/>
      <c r="S588" s="15" t="n"/>
      <c r="T588" s="15" t="n"/>
      <c r="U588" s="15" t="n"/>
      <c r="V588" s="15" t="n"/>
      <c r="W588" s="15" t="n"/>
      <c r="X588" s="15" t="n"/>
      <c r="Y588" s="15" t="n"/>
      <c r="Z588" s="15" t="n"/>
      <c r="AA588" s="15" t="n"/>
      <c r="AB588" s="15" t="n"/>
      <c r="AC588" s="15" t="n"/>
      <c r="AD588" s="15" t="n"/>
      <c r="AE588" s="15" t="n"/>
      <c r="AF588" s="15" t="n"/>
      <c r="AG588" s="15" t="n"/>
      <c r="AH588" s="15" t="n"/>
      <c r="AI588" s="15" t="n"/>
    </row>
    <row r="589">
      <c r="A589" s="4" t="inlineStr">
        <is>
          <t>Студент1.7</t>
        </is>
      </c>
      <c r="B589" s="4" t="inlineStr"/>
      <c r="C589" s="4" t="n"/>
      <c r="D589" s="4" t="n"/>
      <c r="E589" s="4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  <c r="O589" s="15" t="n"/>
      <c r="P589" s="15" t="n"/>
      <c r="Q589" s="15" t="n"/>
      <c r="R589" s="15" t="n"/>
      <c r="S589" s="15" t="n"/>
      <c r="T589" s="15" t="n"/>
      <c r="U589" s="15" t="n"/>
      <c r="V589" s="15" t="n"/>
      <c r="W589" s="15" t="n"/>
      <c r="X589" s="15" t="n"/>
      <c r="Y589" s="15" t="n"/>
      <c r="Z589" s="15" t="n"/>
      <c r="AA589" s="15" t="n"/>
      <c r="AB589" s="15" t="n"/>
      <c r="AC589" s="15" t="n"/>
      <c r="AD589" s="15" t="n"/>
      <c r="AE589" s="15" t="n"/>
      <c r="AF589" s="15" t="n"/>
      <c r="AG589" s="15" t="n"/>
      <c r="AH589" s="15" t="n"/>
      <c r="AI589" s="15" t="n"/>
    </row>
    <row r="590">
      <c r="A590" s="4" t="inlineStr">
        <is>
          <t>Студент1.8</t>
        </is>
      </c>
      <c r="B590" s="4" t="inlineStr"/>
      <c r="C590" s="4" t="n"/>
      <c r="D590" s="4" t="n"/>
      <c r="E590" s="4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  <c r="O590" s="15" t="n"/>
      <c r="P590" s="15" t="n"/>
      <c r="Q590" s="15" t="n"/>
      <c r="R590" s="15" t="n"/>
      <c r="S590" s="15" t="n"/>
      <c r="T590" s="15" t="n"/>
      <c r="U590" s="15" t="n"/>
      <c r="V590" s="15" t="n"/>
      <c r="W590" s="15" t="n"/>
      <c r="X590" s="15" t="n"/>
      <c r="Y590" s="15" t="n"/>
      <c r="Z590" s="15" t="n"/>
      <c r="AA590" s="15" t="n"/>
      <c r="AB590" s="15" t="n"/>
      <c r="AC590" s="15" t="n"/>
      <c r="AD590" s="15" t="n"/>
      <c r="AE590" s="15" t="n"/>
      <c r="AF590" s="15" t="n"/>
      <c r="AG590" s="15" t="n"/>
      <c r="AH590" s="15" t="n"/>
      <c r="AI590" s="15" t="n"/>
    </row>
    <row r="591">
      <c r="A591" s="4" t="inlineStr">
        <is>
          <t>Студент1.9</t>
        </is>
      </c>
      <c r="B591" s="4" t="inlineStr"/>
      <c r="C591" s="4" t="n"/>
      <c r="D591" s="4" t="n"/>
      <c r="E591" s="4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  <c r="O591" s="15" t="n"/>
      <c r="P591" s="15" t="n"/>
      <c r="Q591" s="15" t="n"/>
      <c r="R591" s="15" t="n"/>
      <c r="S591" s="15" t="n"/>
      <c r="T591" s="15" t="n"/>
      <c r="U591" s="15" t="n"/>
      <c r="V591" s="15" t="n"/>
      <c r="W591" s="15" t="n"/>
      <c r="X591" s="15" t="n"/>
      <c r="Y591" s="15" t="n"/>
      <c r="Z591" s="15" t="n"/>
      <c r="AA591" s="15" t="n"/>
      <c r="AB591" s="15" t="n"/>
      <c r="AC591" s="15" t="n"/>
      <c r="AD591" s="15" t="n"/>
      <c r="AE591" s="15" t="n"/>
      <c r="AF591" s="15" t="n"/>
      <c r="AG591" s="15" t="n"/>
      <c r="AH591" s="15" t="n"/>
      <c r="AI591" s="15" t="n"/>
    </row>
    <row r="592">
      <c r="A592" s="4" t="inlineStr">
        <is>
          <t>Студент1.10</t>
        </is>
      </c>
      <c r="B592" s="4" t="inlineStr"/>
      <c r="C592" s="4" t="n"/>
      <c r="D592" s="4" t="n"/>
      <c r="E592" s="4" t="n"/>
      <c r="F592" s="15" t="n"/>
      <c r="G592" s="15" t="n"/>
      <c r="H592" s="15" t="n"/>
      <c r="I592" s="15" t="n"/>
      <c r="J592" s="15" t="n"/>
      <c r="K592" s="15" t="n"/>
      <c r="L592" s="15" t="n"/>
      <c r="M592" s="15" t="n"/>
      <c r="N592" s="15" t="n"/>
      <c r="O592" s="15" t="n"/>
      <c r="P592" s="15" t="n"/>
      <c r="Q592" s="15" t="n"/>
      <c r="R592" s="15" t="n"/>
      <c r="S592" s="15" t="n"/>
      <c r="T592" s="15" t="n"/>
      <c r="U592" s="15" t="n"/>
      <c r="V592" s="15" t="n"/>
      <c r="W592" s="15" t="n"/>
      <c r="X592" s="15" t="n"/>
      <c r="Y592" s="15" t="n"/>
      <c r="Z592" s="15" t="n"/>
      <c r="AA592" s="15" t="n"/>
      <c r="AB592" s="15" t="n"/>
      <c r="AC592" s="15" t="n"/>
      <c r="AD592" s="15" t="n"/>
      <c r="AE592" s="15" t="n"/>
      <c r="AF592" s="15" t="n"/>
      <c r="AG592" s="15" t="n"/>
      <c r="AH592" s="15" t="n"/>
      <c r="AI592" s="15" t="n"/>
    </row>
    <row r="593">
      <c r="A593" s="4" t="inlineStr">
        <is>
          <t>Студент1.11</t>
        </is>
      </c>
      <c r="B593" s="4" t="inlineStr"/>
      <c r="C593" s="4" t="n"/>
      <c r="D593" s="4" t="n"/>
      <c r="E593" s="4" t="n"/>
      <c r="F593" s="15" t="n"/>
      <c r="G593" s="15" t="n"/>
      <c r="H593" s="15" t="n"/>
      <c r="I593" s="15" t="n"/>
      <c r="J593" s="15" t="n"/>
      <c r="K593" s="15" t="n"/>
      <c r="L593" s="15" t="n"/>
      <c r="M593" s="15" t="n"/>
      <c r="N593" s="15" t="n"/>
      <c r="O593" s="15" t="n"/>
      <c r="P593" s="15" t="n"/>
      <c r="Q593" s="15" t="n"/>
      <c r="R593" s="15" t="n"/>
      <c r="S593" s="15" t="n"/>
      <c r="T593" s="15" t="n"/>
      <c r="U593" s="15" t="n"/>
      <c r="V593" s="15" t="n"/>
      <c r="W593" s="15" t="n"/>
      <c r="X593" s="15" t="n"/>
      <c r="Y593" s="15" t="n"/>
      <c r="Z593" s="15" t="n"/>
      <c r="AA593" s="15" t="n"/>
      <c r="AB593" s="15" t="n"/>
      <c r="AC593" s="15" t="n"/>
      <c r="AD593" s="15" t="n"/>
      <c r="AE593" s="15" t="n"/>
      <c r="AF593" s="15" t="n"/>
      <c r="AG593" s="15" t="n"/>
      <c r="AH593" s="15" t="n"/>
      <c r="AI593" s="15" t="n"/>
    </row>
    <row r="594">
      <c r="A594" s="4" t="inlineStr">
        <is>
          <t>Студент1.12</t>
        </is>
      </c>
      <c r="B594" s="4" t="inlineStr"/>
      <c r="C594" s="4" t="n"/>
      <c r="D594" s="4" t="n"/>
      <c r="E594" s="4" t="n"/>
      <c r="F594" s="15" t="n"/>
      <c r="G594" s="15" t="n"/>
      <c r="H594" s="15" t="n"/>
      <c r="I594" s="15" t="n"/>
      <c r="J594" s="15" t="n"/>
      <c r="K594" s="15" t="n"/>
      <c r="L594" s="15" t="n"/>
      <c r="M594" s="15" t="n"/>
      <c r="N594" s="15" t="n"/>
      <c r="O594" s="15" t="n"/>
      <c r="P594" s="15" t="n"/>
      <c r="Q594" s="15" t="n"/>
      <c r="R594" s="15" t="n"/>
      <c r="S594" s="15" t="n"/>
      <c r="T594" s="15" t="n"/>
      <c r="U594" s="15" t="n"/>
      <c r="V594" s="15" t="n"/>
      <c r="W594" s="15" t="n"/>
      <c r="X594" s="15" t="n"/>
      <c r="Y594" s="15" t="n"/>
      <c r="Z594" s="15" t="n"/>
      <c r="AA594" s="15" t="n"/>
      <c r="AB594" s="15" t="n"/>
      <c r="AC594" s="15" t="n"/>
      <c r="AD594" s="15" t="n"/>
      <c r="AE594" s="15" t="n"/>
      <c r="AF594" s="15" t="n"/>
      <c r="AG594" s="15" t="n"/>
      <c r="AH594" s="15" t="n"/>
      <c r="AI594" s="15" t="n"/>
    </row>
    <row r="595">
      <c r="A595" s="4" t="inlineStr">
        <is>
          <t>Студент1.13</t>
        </is>
      </c>
      <c r="B595" s="4" t="inlineStr"/>
      <c r="C595" s="4" t="n"/>
      <c r="D595" s="4" t="n"/>
      <c r="E595" s="4" t="n"/>
      <c r="F595" s="15" t="n"/>
      <c r="G595" s="15" t="n"/>
      <c r="H595" s="15" t="n"/>
      <c r="I595" s="15" t="n"/>
      <c r="J595" s="15" t="n"/>
      <c r="K595" s="15" t="n"/>
      <c r="L595" s="15" t="n"/>
      <c r="M595" s="15" t="n"/>
      <c r="N595" s="15" t="n"/>
      <c r="O595" s="15" t="n"/>
      <c r="P595" s="15" t="n"/>
      <c r="Q595" s="15" t="n"/>
      <c r="R595" s="15" t="n"/>
      <c r="S595" s="15" t="n"/>
      <c r="T595" s="15" t="n"/>
      <c r="U595" s="15" t="n"/>
      <c r="V595" s="15" t="n"/>
      <c r="W595" s="15" t="n"/>
      <c r="X595" s="15" t="n"/>
      <c r="Y595" s="15" t="n"/>
      <c r="Z595" s="15" t="n"/>
      <c r="AA595" s="15" t="n"/>
      <c r="AB595" s="15" t="n"/>
      <c r="AC595" s="15" t="n"/>
      <c r="AD595" s="15" t="n"/>
      <c r="AE595" s="15" t="n"/>
      <c r="AF595" s="15" t="n"/>
      <c r="AG595" s="15" t="n"/>
      <c r="AH595" s="15" t="n"/>
      <c r="AI595" s="15" t="n"/>
    </row>
    <row r="596">
      <c r="A596" s="4" t="inlineStr">
        <is>
          <t>Студент1.14</t>
        </is>
      </c>
      <c r="B596" s="4" t="inlineStr"/>
      <c r="C596" s="4" t="n"/>
      <c r="D596" s="4" t="n"/>
      <c r="E596" s="4" t="n"/>
      <c r="F596" s="15" t="n"/>
      <c r="G596" s="15" t="n"/>
      <c r="H596" s="15" t="n"/>
      <c r="I596" s="15" t="n"/>
      <c r="J596" s="15" t="n"/>
      <c r="K596" s="15" t="n"/>
      <c r="L596" s="15" t="n"/>
      <c r="M596" s="15" t="n"/>
      <c r="N596" s="15" t="n"/>
      <c r="O596" s="15" t="n"/>
      <c r="P596" s="15" t="n"/>
      <c r="Q596" s="15" t="n"/>
      <c r="R596" s="15" t="n"/>
      <c r="S596" s="15" t="n"/>
      <c r="T596" s="15" t="n"/>
      <c r="U596" s="15" t="n"/>
      <c r="V596" s="15" t="n"/>
      <c r="W596" s="15" t="n"/>
      <c r="X596" s="15" t="n"/>
      <c r="Y596" s="15" t="n"/>
      <c r="Z596" s="15" t="n"/>
      <c r="AA596" s="15" t="n"/>
      <c r="AB596" s="15" t="n"/>
      <c r="AC596" s="15" t="n"/>
      <c r="AD596" s="15" t="n"/>
      <c r="AE596" s="15" t="n"/>
      <c r="AF596" s="15" t="n"/>
      <c r="AG596" s="15" t="n"/>
      <c r="AH596" s="15" t="n"/>
      <c r="AI596" s="15" t="n"/>
    </row>
    <row r="597">
      <c r="A597" s="4" t="inlineStr">
        <is>
          <t>Студент1.15</t>
        </is>
      </c>
      <c r="B597" s="4" t="inlineStr"/>
      <c r="C597" s="4" t="n"/>
      <c r="D597" s="4" t="n"/>
      <c r="E597" s="4" t="n"/>
      <c r="F597" s="15" t="n"/>
      <c r="G597" s="15" t="n"/>
      <c r="H597" s="15" t="n"/>
      <c r="I597" s="15" t="n"/>
      <c r="J597" s="15" t="n"/>
      <c r="K597" s="15" t="n"/>
      <c r="L597" s="15" t="n"/>
      <c r="M597" s="15" t="n"/>
      <c r="N597" s="15" t="n"/>
      <c r="O597" s="15" t="n"/>
      <c r="P597" s="15" t="n"/>
      <c r="Q597" s="15" t="n"/>
      <c r="R597" s="15" t="n"/>
      <c r="S597" s="15" t="n"/>
      <c r="T597" s="15" t="n"/>
      <c r="U597" s="15" t="n"/>
      <c r="V597" s="15" t="n"/>
      <c r="W597" s="15" t="n"/>
      <c r="X597" s="15" t="n"/>
      <c r="Y597" s="15" t="n"/>
      <c r="Z597" s="15" t="n"/>
      <c r="AA597" s="15" t="n"/>
      <c r="AB597" s="15" t="n"/>
      <c r="AC597" s="15" t="n"/>
      <c r="AD597" s="15" t="n"/>
      <c r="AE597" s="15" t="n"/>
      <c r="AF597" s="15" t="n"/>
      <c r="AG597" s="15" t="n"/>
      <c r="AH597" s="15" t="n"/>
      <c r="AI597" s="15" t="n"/>
    </row>
    <row r="598">
      <c r="A598" s="4" t="inlineStr">
        <is>
          <t>Студент1.16</t>
        </is>
      </c>
      <c r="B598" s="4" t="inlineStr"/>
      <c r="C598" s="4" t="n"/>
      <c r="D598" s="4" t="n"/>
      <c r="E598" s="4" t="n"/>
      <c r="F598" s="15" t="n"/>
      <c r="G598" s="15" t="n"/>
      <c r="H598" s="15" t="n"/>
      <c r="I598" s="15" t="n"/>
      <c r="J598" s="15" t="n"/>
      <c r="K598" s="15" t="n"/>
      <c r="L598" s="15" t="n"/>
      <c r="M598" s="15" t="n"/>
      <c r="N598" s="15" t="n"/>
      <c r="O598" s="15" t="n"/>
      <c r="P598" s="15" t="n"/>
      <c r="Q598" s="15" t="n"/>
      <c r="R598" s="15" t="n"/>
      <c r="S598" s="15" t="n"/>
      <c r="T598" s="15" t="n"/>
      <c r="U598" s="15" t="n"/>
      <c r="V598" s="15" t="n"/>
      <c r="W598" s="15" t="n"/>
      <c r="X598" s="15" t="n"/>
      <c r="Y598" s="15" t="n"/>
      <c r="Z598" s="15" t="n"/>
      <c r="AA598" s="15" t="n"/>
      <c r="AB598" s="15" t="n"/>
      <c r="AC598" s="15" t="n"/>
      <c r="AD598" s="15" t="n"/>
      <c r="AE598" s="15" t="n"/>
      <c r="AF598" s="15" t="n"/>
      <c r="AG598" s="15" t="n"/>
      <c r="AH598" s="15" t="n"/>
      <c r="AI598" s="15" t="n"/>
    </row>
    <row r="599">
      <c r="A599" s="4" t="inlineStr">
        <is>
          <t>Студент1.17</t>
        </is>
      </c>
      <c r="B599" s="4" t="inlineStr"/>
      <c r="C599" s="4" t="n"/>
      <c r="D599" s="4" t="n"/>
      <c r="E599" s="4" t="n"/>
      <c r="F599" s="15" t="n"/>
      <c r="G599" s="15" t="n"/>
      <c r="H599" s="15" t="n"/>
      <c r="I599" s="15" t="n"/>
      <c r="J599" s="15" t="n"/>
      <c r="K599" s="15" t="n"/>
      <c r="L599" s="15" t="n"/>
      <c r="M599" s="15" t="n"/>
      <c r="N599" s="15" t="n"/>
      <c r="O599" s="15" t="n"/>
      <c r="P599" s="15" t="n"/>
      <c r="Q599" s="15" t="n"/>
      <c r="R599" s="15" t="n"/>
      <c r="S599" s="15" t="n"/>
      <c r="T599" s="15" t="n"/>
      <c r="U599" s="15" t="n"/>
      <c r="V599" s="15" t="n"/>
      <c r="W599" s="15" t="n"/>
      <c r="X599" s="15" t="n"/>
      <c r="Y599" s="15" t="n"/>
      <c r="Z599" s="15" t="n"/>
      <c r="AA599" s="15" t="n"/>
      <c r="AB599" s="15" t="n"/>
      <c r="AC599" s="15" t="n"/>
      <c r="AD599" s="15" t="n"/>
      <c r="AE599" s="15" t="n"/>
      <c r="AF599" s="15" t="n"/>
      <c r="AG599" s="15" t="n"/>
      <c r="AH599" s="15" t="n"/>
      <c r="AI599" s="15" t="n"/>
    </row>
    <row r="600">
      <c r="A600" s="4" t="inlineStr">
        <is>
          <t>Студент1.18</t>
        </is>
      </c>
      <c r="B600" s="4" t="inlineStr"/>
      <c r="C600" s="4" t="n"/>
      <c r="D600" s="4" t="n"/>
      <c r="E600" s="4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5" t="n"/>
      <c r="P600" s="15" t="n"/>
      <c r="Q600" s="15" t="n"/>
      <c r="R600" s="15" t="n"/>
      <c r="S600" s="15" t="n"/>
      <c r="T600" s="15" t="n"/>
      <c r="U600" s="15" t="n"/>
      <c r="V600" s="15" t="n"/>
      <c r="W600" s="15" t="n"/>
      <c r="X600" s="15" t="n"/>
      <c r="Y600" s="15" t="n"/>
      <c r="Z600" s="15" t="n"/>
      <c r="AA600" s="15" t="n"/>
      <c r="AB600" s="15" t="n"/>
      <c r="AC600" s="15" t="n"/>
      <c r="AD600" s="15" t="n"/>
      <c r="AE600" s="15" t="n"/>
      <c r="AF600" s="15" t="n"/>
      <c r="AG600" s="15" t="n"/>
      <c r="AH600" s="15" t="n"/>
      <c r="AI600" s="15" t="n"/>
    </row>
    <row r="601">
      <c r="A601" s="4" t="inlineStr">
        <is>
          <t>Студент1.19</t>
        </is>
      </c>
      <c r="B601" s="4" t="inlineStr"/>
      <c r="C601" s="4" t="n"/>
      <c r="D601" s="4" t="n"/>
      <c r="E601" s="4" t="n"/>
      <c r="F601" s="15" t="n"/>
      <c r="G601" s="15" t="n"/>
      <c r="H601" s="15" t="n"/>
      <c r="I601" s="15" t="n"/>
      <c r="J601" s="15" t="n"/>
      <c r="K601" s="15" t="n"/>
      <c r="L601" s="15" t="n"/>
      <c r="M601" s="15" t="n"/>
      <c r="N601" s="15" t="n"/>
      <c r="O601" s="15" t="n"/>
      <c r="P601" s="15" t="n"/>
      <c r="Q601" s="15" t="n"/>
      <c r="R601" s="15" t="n"/>
      <c r="S601" s="15" t="n"/>
      <c r="T601" s="15" t="n"/>
      <c r="U601" s="15" t="n"/>
      <c r="V601" s="15" t="n"/>
      <c r="W601" s="15" t="n"/>
      <c r="X601" s="15" t="n"/>
      <c r="Y601" s="15" t="n"/>
      <c r="Z601" s="15" t="n"/>
      <c r="AA601" s="15" t="n"/>
      <c r="AB601" s="15" t="n"/>
      <c r="AC601" s="15" t="n"/>
      <c r="AD601" s="15" t="n"/>
      <c r="AE601" s="15" t="n"/>
      <c r="AF601" s="15" t="n"/>
      <c r="AG601" s="15" t="n"/>
      <c r="AH601" s="15" t="n"/>
      <c r="AI601" s="15" t="n"/>
    </row>
    <row r="602">
      <c r="A602" s="4" t="inlineStr">
        <is>
          <t>Студент1.20</t>
        </is>
      </c>
      <c r="B602" s="4" t="inlineStr"/>
      <c r="C602" s="4" t="n"/>
      <c r="D602" s="4" t="n"/>
      <c r="E602" s="4" t="n"/>
      <c r="F602" s="15" t="n"/>
      <c r="G602" s="15" t="n"/>
      <c r="H602" s="15" t="n"/>
      <c r="I602" s="15" t="n"/>
      <c r="J602" s="15" t="n"/>
      <c r="K602" s="15" t="n"/>
      <c r="L602" s="15" t="n"/>
      <c r="M602" s="15" t="n"/>
      <c r="N602" s="15" t="n"/>
      <c r="O602" s="15" t="n"/>
      <c r="P602" s="15" t="n"/>
      <c r="Q602" s="15" t="n"/>
      <c r="R602" s="15" t="n"/>
      <c r="S602" s="15" t="n"/>
      <c r="T602" s="15" t="n"/>
      <c r="U602" s="15" t="n"/>
      <c r="V602" s="15" t="n"/>
      <c r="W602" s="15" t="n"/>
      <c r="X602" s="15" t="n"/>
      <c r="Y602" s="15" t="n"/>
      <c r="Z602" s="15" t="n"/>
      <c r="AA602" s="15" t="n"/>
      <c r="AB602" s="15" t="n"/>
      <c r="AC602" s="15" t="n"/>
      <c r="AD602" s="15" t="n"/>
      <c r="AE602" s="15" t="n"/>
      <c r="AF602" s="15" t="n"/>
      <c r="AG602" s="15" t="n"/>
      <c r="AH602" s="15" t="n"/>
      <c r="AI602" s="15" t="n"/>
    </row>
    <row r="603">
      <c r="A603" s="4" t="inlineStr">
        <is>
          <t>Студент1.21</t>
        </is>
      </c>
      <c r="B603" s="4" t="inlineStr"/>
      <c r="C603" s="4" t="n"/>
      <c r="D603" s="4" t="n"/>
      <c r="E603" s="4" t="n"/>
      <c r="F603" s="15" t="n"/>
      <c r="G603" s="15" t="n"/>
      <c r="H603" s="15" t="n"/>
      <c r="I603" s="15" t="n"/>
      <c r="J603" s="15" t="n"/>
      <c r="K603" s="15" t="n"/>
      <c r="L603" s="15" t="n"/>
      <c r="M603" s="15" t="n"/>
      <c r="N603" s="15" t="n"/>
      <c r="O603" s="15" t="n"/>
      <c r="P603" s="15" t="n"/>
      <c r="Q603" s="15" t="n"/>
      <c r="R603" s="15" t="n"/>
      <c r="S603" s="15" t="n"/>
      <c r="T603" s="15" t="n"/>
      <c r="U603" s="15" t="n"/>
      <c r="V603" s="15" t="n"/>
      <c r="W603" s="15" t="n"/>
      <c r="X603" s="15" t="n"/>
      <c r="Y603" s="15" t="n"/>
      <c r="Z603" s="15" t="n"/>
      <c r="AA603" s="15" t="n"/>
      <c r="AB603" s="15" t="n"/>
      <c r="AC603" s="15" t="n"/>
      <c r="AD603" s="15" t="n"/>
      <c r="AE603" s="15" t="n"/>
      <c r="AF603" s="15" t="n"/>
      <c r="AG603" s="15" t="n"/>
      <c r="AH603" s="15" t="n"/>
      <c r="AI603" s="15" t="n"/>
    </row>
    <row r="604">
      <c r="A604" s="4" t="inlineStr">
        <is>
          <t>Студент1.22</t>
        </is>
      </c>
      <c r="B604" s="4" t="inlineStr"/>
      <c r="C604" s="4" t="n"/>
      <c r="D604" s="4" t="n"/>
      <c r="E604" s="4" t="n"/>
      <c r="F604" s="15" t="n"/>
      <c r="G604" s="15" t="n"/>
      <c r="H604" s="15" t="n"/>
      <c r="I604" s="15" t="n"/>
      <c r="J604" s="15" t="n"/>
      <c r="K604" s="15" t="n"/>
      <c r="L604" s="15" t="n"/>
      <c r="M604" s="15" t="n"/>
      <c r="N604" s="15" t="n"/>
      <c r="O604" s="15" t="n"/>
      <c r="P604" s="15" t="n"/>
      <c r="Q604" s="15" t="n"/>
      <c r="R604" s="15" t="n"/>
      <c r="S604" s="15" t="n"/>
      <c r="T604" s="15" t="n"/>
      <c r="U604" s="15" t="n"/>
      <c r="V604" s="15" t="n"/>
      <c r="W604" s="15" t="n"/>
      <c r="X604" s="15" t="n"/>
      <c r="Y604" s="15" t="n"/>
      <c r="Z604" s="15" t="n"/>
      <c r="AA604" s="15" t="n"/>
      <c r="AB604" s="15" t="n"/>
      <c r="AC604" s="15" t="n"/>
      <c r="AD604" s="15" t="n"/>
      <c r="AE604" s="15" t="n"/>
      <c r="AF604" s="15" t="n"/>
      <c r="AG604" s="15" t="n"/>
      <c r="AH604" s="15" t="n"/>
      <c r="AI604" s="15" t="n"/>
    </row>
    <row r="605">
      <c r="A605" s="4" t="inlineStr">
        <is>
          <t>Студент1.23</t>
        </is>
      </c>
      <c r="B605" s="4" t="inlineStr"/>
      <c r="C605" s="4" t="n"/>
      <c r="D605" s="4" t="n"/>
      <c r="E605" s="4" t="n"/>
      <c r="F605" s="15" t="n"/>
      <c r="G605" s="15" t="n"/>
      <c r="H605" s="15" t="n"/>
      <c r="I605" s="15" t="n"/>
      <c r="J605" s="15" t="n"/>
      <c r="K605" s="15" t="n"/>
      <c r="L605" s="15" t="n"/>
      <c r="M605" s="15" t="n"/>
      <c r="N605" s="15" t="n"/>
      <c r="O605" s="15" t="n"/>
      <c r="P605" s="15" t="n"/>
      <c r="Q605" s="15" t="n"/>
      <c r="R605" s="15" t="n"/>
      <c r="S605" s="15" t="n"/>
      <c r="T605" s="15" t="n"/>
      <c r="U605" s="15" t="n"/>
      <c r="V605" s="15" t="n"/>
      <c r="W605" s="15" t="n"/>
      <c r="X605" s="15" t="n"/>
      <c r="Y605" s="15" t="n"/>
      <c r="Z605" s="15" t="n"/>
      <c r="AA605" s="15" t="n"/>
      <c r="AB605" s="15" t="n"/>
      <c r="AC605" s="15" t="n"/>
      <c r="AD605" s="15" t="n"/>
      <c r="AE605" s="15" t="n"/>
      <c r="AF605" s="15" t="n"/>
      <c r="AG605" s="15" t="n"/>
      <c r="AH605" s="15" t="n"/>
      <c r="AI605" s="15" t="n"/>
    </row>
    <row r="606">
      <c r="A606" s="4" t="inlineStr">
        <is>
          <t>Студент1.24</t>
        </is>
      </c>
      <c r="B606" s="4" t="inlineStr"/>
      <c r="C606" s="4" t="n"/>
      <c r="D606" s="4" t="n"/>
      <c r="E606" s="4" t="n"/>
      <c r="F606" s="15" t="n"/>
      <c r="G606" s="15" t="n"/>
      <c r="H606" s="15" t="n"/>
      <c r="I606" s="15" t="n"/>
      <c r="J606" s="15" t="n"/>
      <c r="K606" s="15" t="n"/>
      <c r="L606" s="15" t="n"/>
      <c r="M606" s="15" t="n"/>
      <c r="N606" s="15" t="n"/>
      <c r="O606" s="15" t="n"/>
      <c r="P606" s="15" t="n"/>
      <c r="Q606" s="15" t="n"/>
      <c r="R606" s="15" t="n"/>
      <c r="S606" s="15" t="n"/>
      <c r="T606" s="15" t="n"/>
      <c r="U606" s="15" t="n"/>
      <c r="V606" s="15" t="n"/>
      <c r="W606" s="15" t="n"/>
      <c r="X606" s="15" t="n"/>
      <c r="Y606" s="15" t="n"/>
      <c r="Z606" s="15" t="n"/>
      <c r="AA606" s="15" t="n"/>
      <c r="AB606" s="15" t="n"/>
      <c r="AC606" s="15" t="n"/>
      <c r="AD606" s="15" t="n"/>
      <c r="AE606" s="15" t="n"/>
      <c r="AF606" s="15" t="n"/>
      <c r="AG606" s="15" t="n"/>
      <c r="AH606" s="15" t="n"/>
      <c r="AI606" s="15" t="n"/>
    </row>
    <row r="607">
      <c r="A607" s="4" t="inlineStr">
        <is>
          <t>Студент1.25</t>
        </is>
      </c>
      <c r="B607" s="4" t="inlineStr"/>
      <c r="C607" s="4" t="n"/>
      <c r="D607" s="4" t="n"/>
      <c r="E607" s="4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5" t="n"/>
      <c r="P607" s="15" t="n"/>
      <c r="Q607" s="15" t="n"/>
      <c r="R607" s="15" t="n"/>
      <c r="S607" s="15" t="n"/>
      <c r="T607" s="15" t="n"/>
      <c r="U607" s="15" t="n"/>
      <c r="V607" s="15" t="n"/>
      <c r="W607" s="15" t="n"/>
      <c r="X607" s="15" t="n"/>
      <c r="Y607" s="15" t="n"/>
      <c r="Z607" s="15" t="n"/>
      <c r="AA607" s="15" t="n"/>
      <c r="AB607" s="15" t="n"/>
      <c r="AC607" s="15" t="n"/>
      <c r="AD607" s="15" t="n"/>
      <c r="AE607" s="15" t="n"/>
      <c r="AF607" s="15" t="n"/>
      <c r="AG607" s="15" t="n"/>
      <c r="AH607" s="15" t="n"/>
      <c r="AI607" s="15" t="n"/>
    </row>
    <row r="608">
      <c r="A608" s="4" t="inlineStr">
        <is>
          <t>Студент1.26</t>
        </is>
      </c>
      <c r="B608" s="4" t="inlineStr"/>
      <c r="C608" s="4" t="n"/>
      <c r="D608" s="4" t="n"/>
      <c r="E608" s="4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  <c r="O608" s="15" t="n"/>
      <c r="P608" s="15" t="n"/>
      <c r="Q608" s="15" t="n"/>
      <c r="R608" s="15" t="n"/>
      <c r="S608" s="15" t="n"/>
      <c r="T608" s="15" t="n"/>
      <c r="U608" s="15" t="n"/>
      <c r="V608" s="15" t="n"/>
      <c r="W608" s="15" t="n"/>
      <c r="X608" s="15" t="n"/>
      <c r="Y608" s="15" t="n"/>
      <c r="Z608" s="15" t="n"/>
      <c r="AA608" s="15" t="n"/>
      <c r="AB608" s="15" t="n"/>
      <c r="AC608" s="15" t="n"/>
      <c r="AD608" s="15" t="n"/>
      <c r="AE608" s="15" t="n"/>
      <c r="AF608" s="15" t="n"/>
      <c r="AG608" s="15" t="n"/>
      <c r="AH608" s="15" t="n"/>
      <c r="AI608" s="15" t="n"/>
    </row>
    <row r="609">
      <c r="A609" s="4" t="inlineStr">
        <is>
          <t>Студент1.27</t>
        </is>
      </c>
      <c r="B609" s="4" t="inlineStr"/>
      <c r="C609" s="4" t="n"/>
      <c r="D609" s="4" t="n"/>
      <c r="E609" s="4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  <c r="O609" s="15" t="n"/>
      <c r="P609" s="15" t="n"/>
      <c r="Q609" s="15" t="n"/>
      <c r="R609" s="15" t="n"/>
      <c r="S609" s="15" t="n"/>
      <c r="T609" s="15" t="n"/>
      <c r="U609" s="15" t="n"/>
      <c r="V609" s="15" t="n"/>
      <c r="W609" s="15" t="n"/>
      <c r="X609" s="15" t="n"/>
      <c r="Y609" s="15" t="n"/>
      <c r="Z609" s="15" t="n"/>
      <c r="AA609" s="15" t="n"/>
      <c r="AB609" s="15" t="n"/>
      <c r="AC609" s="15" t="n"/>
      <c r="AD609" s="15" t="n"/>
      <c r="AE609" s="15" t="n"/>
      <c r="AF609" s="15" t="n"/>
      <c r="AG609" s="15" t="n"/>
      <c r="AH609" s="15" t="n"/>
      <c r="AI609" s="15" t="n"/>
    </row>
    <row r="610">
      <c r="A610" s="4" t="inlineStr">
        <is>
          <t>Студент1.28</t>
        </is>
      </c>
      <c r="B610" s="4" t="inlineStr"/>
      <c r="C610" s="4" t="n"/>
      <c r="D610" s="4" t="n"/>
      <c r="E610" s="4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  <c r="O610" s="15" t="n"/>
      <c r="P610" s="15" t="n"/>
      <c r="Q610" s="15" t="n"/>
      <c r="R610" s="15" t="n"/>
      <c r="S610" s="15" t="n"/>
      <c r="T610" s="15" t="n"/>
      <c r="U610" s="15" t="n"/>
      <c r="V610" s="15" t="n"/>
      <c r="W610" s="15" t="n"/>
      <c r="X610" s="15" t="n"/>
      <c r="Y610" s="15" t="n"/>
      <c r="Z610" s="15" t="n"/>
      <c r="AA610" s="15" t="n"/>
      <c r="AB610" s="15" t="n"/>
      <c r="AC610" s="15" t="n"/>
      <c r="AD610" s="15" t="n"/>
      <c r="AE610" s="15" t="n"/>
      <c r="AF610" s="15" t="n"/>
      <c r="AG610" s="15" t="n"/>
      <c r="AH610" s="15" t="n"/>
      <c r="AI610" s="15" t="n"/>
    </row>
    <row r="611">
      <c r="A611" s="4" t="inlineStr">
        <is>
          <t>Студент1.29</t>
        </is>
      </c>
      <c r="B611" s="4" t="inlineStr"/>
      <c r="C611" s="4" t="n"/>
      <c r="D611" s="4" t="n"/>
      <c r="E611" s="4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  <c r="O611" s="15" t="n"/>
      <c r="P611" s="15" t="n"/>
      <c r="Q611" s="15" t="n"/>
      <c r="R611" s="15" t="n"/>
      <c r="S611" s="15" t="n"/>
      <c r="T611" s="15" t="n"/>
      <c r="U611" s="15" t="n"/>
      <c r="V611" s="15" t="n"/>
      <c r="W611" s="15" t="n"/>
      <c r="X611" s="15" t="n"/>
      <c r="Y611" s="15" t="n"/>
      <c r="Z611" s="15" t="n"/>
      <c r="AA611" s="15" t="n"/>
      <c r="AB611" s="15" t="n"/>
      <c r="AC611" s="15" t="n"/>
      <c r="AD611" s="15" t="n"/>
      <c r="AE611" s="15" t="n"/>
      <c r="AF611" s="15" t="n"/>
      <c r="AG611" s="15" t="n"/>
      <c r="AH611" s="15" t="n"/>
      <c r="AI611" s="15" t="n"/>
    </row>
    <row r="612">
      <c r="A612" s="4" t="inlineStr">
        <is>
          <t>Студент1.30</t>
        </is>
      </c>
      <c r="B612" s="4" t="inlineStr"/>
      <c r="C612" s="4" t="n"/>
      <c r="D612" s="4" t="n"/>
      <c r="E612" s="4" t="n"/>
      <c r="F612" s="15" t="n"/>
      <c r="G612" s="15" t="n"/>
      <c r="H612" s="15" t="n"/>
      <c r="I612" s="15" t="n"/>
      <c r="J612" s="15" t="n"/>
      <c r="K612" s="15" t="n"/>
      <c r="L612" s="15" t="n"/>
      <c r="M612" s="15" t="n"/>
      <c r="N612" s="15" t="n"/>
      <c r="O612" s="15" t="n"/>
      <c r="P612" s="15" t="n"/>
      <c r="Q612" s="15" t="n"/>
      <c r="R612" s="15" t="n"/>
      <c r="S612" s="15" t="n"/>
      <c r="T612" s="15" t="n"/>
      <c r="U612" s="15" t="n"/>
      <c r="V612" s="15" t="n"/>
      <c r="W612" s="15" t="n"/>
      <c r="X612" s="15" t="n"/>
      <c r="Y612" s="15" t="n"/>
      <c r="Z612" s="15" t="n"/>
      <c r="AA612" s="15" t="n"/>
      <c r="AB612" s="15" t="n"/>
      <c r="AC612" s="15" t="n"/>
      <c r="AD612" s="15" t="n"/>
      <c r="AE612" s="15" t="n"/>
      <c r="AF612" s="15" t="n"/>
      <c r="AG612" s="15" t="n"/>
      <c r="AH612" s="15" t="n"/>
      <c r="AI612" s="15" t="n"/>
    </row>
    <row r="616">
      <c r="A616" s="13" t="inlineStr">
        <is>
          <t>Практика 10 — плюсы</t>
        </is>
      </c>
    </row>
    <row r="617" ht="28" customHeight="1">
      <c r="A617" s="7" t="inlineStr">
        <is>
          <t>Имя</t>
        </is>
      </c>
      <c r="B617" s="9" t="inlineStr">
        <is>
          <t>TG</t>
        </is>
      </c>
      <c r="C617" s="10" t="inlineStr">
        <is>
          <t>S</t>
        </is>
      </c>
      <c r="D617" s="8" t="inlineStr">
        <is>
          <t>Коэффициент</t>
        </is>
      </c>
      <c r="E617" s="14" t="inlineStr">
        <is>
          <t>D за практику</t>
        </is>
      </c>
      <c r="F617" s="11" t="inlineStr">
        <is>
          <t>1.0</t>
        </is>
      </c>
      <c r="G617" s="11" t="inlineStr">
        <is>
          <t>2.0</t>
        </is>
      </c>
      <c r="H617" s="11" t="inlineStr">
        <is>
          <t>3.0</t>
        </is>
      </c>
      <c r="I617" s="11" t="inlineStr">
        <is>
          <t>4.0</t>
        </is>
      </c>
      <c r="J617" s="11" t="inlineStr">
        <is>
          <t>5.0</t>
        </is>
      </c>
      <c r="K617" s="11" t="inlineStr">
        <is>
          <t>6</t>
        </is>
      </c>
      <c r="L617" s="11" t="inlineStr">
        <is>
          <t>7</t>
        </is>
      </c>
      <c r="M617" s="11" t="inlineStr">
        <is>
          <t>8</t>
        </is>
      </c>
      <c r="N617" s="11" t="inlineStr">
        <is>
          <t>9</t>
        </is>
      </c>
      <c r="O617" s="11" t="inlineStr">
        <is>
          <t>10</t>
        </is>
      </c>
      <c r="P617" s="11" t="inlineStr">
        <is>
          <t>11</t>
        </is>
      </c>
      <c r="Q617" s="11" t="inlineStr">
        <is>
          <t>12</t>
        </is>
      </c>
      <c r="R617" s="11" t="inlineStr">
        <is>
          <t>13</t>
        </is>
      </c>
      <c r="S617" s="11" t="inlineStr">
        <is>
          <t>14</t>
        </is>
      </c>
      <c r="T617" s="11" t="inlineStr">
        <is>
          <t>15</t>
        </is>
      </c>
      <c r="U617" s="11" t="inlineStr">
        <is>
          <t>16</t>
        </is>
      </c>
      <c r="V617" s="11" t="inlineStr">
        <is>
          <t>17</t>
        </is>
      </c>
      <c r="W617" s="11" t="inlineStr">
        <is>
          <t>18</t>
        </is>
      </c>
      <c r="X617" s="11" t="inlineStr">
        <is>
          <t>19</t>
        </is>
      </c>
      <c r="Y617" s="11" t="inlineStr">
        <is>
          <t>20</t>
        </is>
      </c>
      <c r="Z617" s="11" t="inlineStr">
        <is>
          <t>21</t>
        </is>
      </c>
      <c r="AA617" s="11" t="inlineStr">
        <is>
          <t>22</t>
        </is>
      </c>
      <c r="AB617" s="11" t="inlineStr">
        <is>
          <t>23</t>
        </is>
      </c>
      <c r="AC617" s="11" t="inlineStr">
        <is>
          <t>24</t>
        </is>
      </c>
      <c r="AD617" s="11" t="inlineStr">
        <is>
          <t>25</t>
        </is>
      </c>
      <c r="AE617" s="11" t="inlineStr">
        <is>
          <t>26</t>
        </is>
      </c>
      <c r="AF617" s="11" t="inlineStr">
        <is>
          <t>27</t>
        </is>
      </c>
      <c r="AG617" s="11" t="inlineStr">
        <is>
          <t>28</t>
        </is>
      </c>
      <c r="AH617" s="11" t="inlineStr">
        <is>
          <t>29</t>
        </is>
      </c>
      <c r="AI617" s="11" t="inlineStr">
        <is>
          <t>30</t>
        </is>
      </c>
    </row>
    <row r="618">
      <c r="A618" s="4" t="inlineStr">
        <is>
          <t>Студент1.1</t>
        </is>
      </c>
      <c r="B618" s="4" t="inlineStr"/>
      <c r="C618" s="4">
        <f>IF(A618="","",COUNTIF(F618:AI618,"+")+COUNTIF(F618:AI618,"1"))</f>
        <v/>
      </c>
      <c r="D618" s="4">
        <f>IF(A618="","",IF(C618&gt;2*COUNTA(F$617:AI$617)/3,1,IF(C618&gt;=COUNTA(F$617:AI$617)/2,0.8,0.5)))</f>
        <v/>
      </c>
      <c r="E618" s="4">
        <f>IF(A618="","",SUMIFS('Логи'!$H$4:$H$3006,'Логи'!$A$4:$A$3006,A618,'Логи'!$C$4:$C$3006,10))</f>
        <v/>
      </c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  <c r="O618" s="15" t="n"/>
      <c r="P618" s="15" t="n"/>
      <c r="Q618" s="15" t="n"/>
      <c r="R618" s="15" t="n"/>
      <c r="S618" s="15" t="n"/>
      <c r="T618" s="15" t="n"/>
      <c r="U618" s="15" t="n"/>
      <c r="V618" s="15" t="n"/>
      <c r="W618" s="15" t="n"/>
      <c r="X618" s="15" t="n"/>
      <c r="Y618" s="15" t="n"/>
      <c r="Z618" s="15" t="n"/>
      <c r="AA618" s="15" t="n"/>
      <c r="AB618" s="15" t="n"/>
      <c r="AC618" s="15" t="n"/>
      <c r="AD618" s="15" t="n"/>
      <c r="AE618" s="15" t="n"/>
      <c r="AF618" s="15" t="n"/>
      <c r="AG618" s="15" t="n"/>
      <c r="AH618" s="15" t="n"/>
      <c r="AI618" s="15" t="n"/>
    </row>
    <row r="619">
      <c r="A619" s="4" t="inlineStr">
        <is>
          <t>Студент1.2</t>
        </is>
      </c>
      <c r="B619" s="4" t="inlineStr"/>
      <c r="C619" s="4">
        <f>IF(A619="","",COUNTIF(F619:AI619,"+")+COUNTIF(F619:AI619,"1"))</f>
        <v/>
      </c>
      <c r="D619" s="4">
        <f>IF(A619="","",IF(C619&gt;2*COUNTA(F$617:AI$617)/3,1,IF(C619&gt;=COUNTA(F$617:AI$617)/2,0.8,0.5)))</f>
        <v/>
      </c>
      <c r="E619" s="4">
        <f>IF(A619="","",SUMIFS('Логи'!$H$4:$H$3006,'Логи'!$A$4:$A$3006,A619,'Логи'!$C$4:$C$3006,10))</f>
        <v/>
      </c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5" t="n"/>
      <c r="P619" s="15" t="n"/>
      <c r="Q619" s="15" t="n"/>
      <c r="R619" s="15" t="n"/>
      <c r="S619" s="15" t="n"/>
      <c r="T619" s="15" t="n"/>
      <c r="U619" s="15" t="n"/>
      <c r="V619" s="15" t="n"/>
      <c r="W619" s="15" t="n"/>
      <c r="X619" s="15" t="n"/>
      <c r="Y619" s="15" t="n"/>
      <c r="Z619" s="15" t="n"/>
      <c r="AA619" s="15" t="n"/>
      <c r="AB619" s="15" t="n"/>
      <c r="AC619" s="15" t="n"/>
      <c r="AD619" s="15" t="n"/>
      <c r="AE619" s="15" t="n"/>
      <c r="AF619" s="15" t="n"/>
      <c r="AG619" s="15" t="n"/>
      <c r="AH619" s="15" t="n"/>
      <c r="AI619" s="15" t="n"/>
    </row>
    <row r="620">
      <c r="A620" s="4" t="inlineStr">
        <is>
          <t>Студент1.3</t>
        </is>
      </c>
      <c r="B620" s="4" t="inlineStr"/>
      <c r="C620" s="4">
        <f>IF(A620="","",COUNTIF(F620:AI620,"+")+COUNTIF(F620:AI620,"1"))</f>
        <v/>
      </c>
      <c r="D620" s="4">
        <f>IF(A620="","",IF(C620&gt;2*COUNTA(F$617:AI$617)/3,1,IF(C620&gt;=COUNTA(F$617:AI$617)/2,0.8,0.5)))</f>
        <v/>
      </c>
      <c r="E620" s="4">
        <f>IF(A620="","",SUMIFS('Логи'!$H$4:$H$3006,'Логи'!$A$4:$A$3006,A620,'Логи'!$C$4:$C$3006,10))</f>
        <v/>
      </c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5" t="n"/>
      <c r="P620" s="15" t="n"/>
      <c r="Q620" s="15" t="n"/>
      <c r="R620" s="15" t="n"/>
      <c r="S620" s="15" t="n"/>
      <c r="T620" s="15" t="n"/>
      <c r="U620" s="15" t="n"/>
      <c r="V620" s="15" t="n"/>
      <c r="W620" s="15" t="n"/>
      <c r="X620" s="15" t="n"/>
      <c r="Y620" s="15" t="n"/>
      <c r="Z620" s="15" t="n"/>
      <c r="AA620" s="15" t="n"/>
      <c r="AB620" s="15" t="n"/>
      <c r="AC620" s="15" t="n"/>
      <c r="AD620" s="15" t="n"/>
      <c r="AE620" s="15" t="n"/>
      <c r="AF620" s="15" t="n"/>
      <c r="AG620" s="15" t="n"/>
      <c r="AH620" s="15" t="n"/>
      <c r="AI620" s="15" t="n"/>
    </row>
    <row r="621">
      <c r="A621" s="4" t="inlineStr">
        <is>
          <t>Студент1.4</t>
        </is>
      </c>
      <c r="B621" s="4" t="inlineStr"/>
      <c r="C621" s="4">
        <f>IF(A621="","",COUNTIF(F621:AI621,"+")+COUNTIF(F621:AI621,"1"))</f>
        <v/>
      </c>
      <c r="D621" s="4">
        <f>IF(A621="","",IF(C621&gt;2*COUNTA(F$617:AI$617)/3,1,IF(C621&gt;=COUNTA(F$617:AI$617)/2,0.8,0.5)))</f>
        <v/>
      </c>
      <c r="E621" s="4">
        <f>IF(A621="","",SUMIFS('Логи'!$H$4:$H$3006,'Логи'!$A$4:$A$3006,A621,'Логи'!$C$4:$C$3006,10))</f>
        <v/>
      </c>
      <c r="F621" s="15" t="n"/>
      <c r="G621" s="15" t="n"/>
      <c r="H621" s="15" t="n"/>
      <c r="I621" s="15" t="n"/>
      <c r="J621" s="15" t="n"/>
      <c r="K621" s="15" t="n"/>
      <c r="L621" s="15" t="n"/>
      <c r="M621" s="15" t="n"/>
      <c r="N621" s="15" t="n"/>
      <c r="O621" s="15" t="n"/>
      <c r="P621" s="15" t="n"/>
      <c r="Q621" s="15" t="n"/>
      <c r="R621" s="15" t="n"/>
      <c r="S621" s="15" t="n"/>
      <c r="T621" s="15" t="n"/>
      <c r="U621" s="15" t="n"/>
      <c r="V621" s="15" t="n"/>
      <c r="W621" s="15" t="n"/>
      <c r="X621" s="15" t="n"/>
      <c r="Y621" s="15" t="n"/>
      <c r="Z621" s="15" t="n"/>
      <c r="AA621" s="15" t="n"/>
      <c r="AB621" s="15" t="n"/>
      <c r="AC621" s="15" t="n"/>
      <c r="AD621" s="15" t="n"/>
      <c r="AE621" s="15" t="n"/>
      <c r="AF621" s="15" t="n"/>
      <c r="AG621" s="15" t="n"/>
      <c r="AH621" s="15" t="n"/>
      <c r="AI621" s="15" t="n"/>
    </row>
    <row r="622">
      <c r="A622" s="4" t="inlineStr">
        <is>
          <t>Студент1.5</t>
        </is>
      </c>
      <c r="B622" s="4" t="inlineStr"/>
      <c r="C622" s="4">
        <f>IF(A622="","",COUNTIF(F622:AI622,"+")+COUNTIF(F622:AI622,"1"))</f>
        <v/>
      </c>
      <c r="D622" s="4">
        <f>IF(A622="","",IF(C622&gt;2*COUNTA(F$617:AI$617)/3,1,IF(C622&gt;=COUNTA(F$617:AI$617)/2,0.8,0.5)))</f>
        <v/>
      </c>
      <c r="E622" s="4">
        <f>IF(A622="","",SUMIFS('Логи'!$H$4:$H$3006,'Логи'!$A$4:$A$3006,A622,'Логи'!$C$4:$C$3006,10))</f>
        <v/>
      </c>
      <c r="F622" s="15" t="n"/>
      <c r="G622" s="15" t="n"/>
      <c r="H622" s="15" t="n"/>
      <c r="I622" s="15" t="n"/>
      <c r="J622" s="15" t="n"/>
      <c r="K622" s="15" t="n"/>
      <c r="L622" s="15" t="n"/>
      <c r="M622" s="15" t="n"/>
      <c r="N622" s="15" t="n"/>
      <c r="O622" s="15" t="n"/>
      <c r="P622" s="15" t="n"/>
      <c r="Q622" s="15" t="n"/>
      <c r="R622" s="15" t="n"/>
      <c r="S622" s="15" t="n"/>
      <c r="T622" s="15" t="n"/>
      <c r="U622" s="15" t="n"/>
      <c r="V622" s="15" t="n"/>
      <c r="W622" s="15" t="n"/>
      <c r="X622" s="15" t="n"/>
      <c r="Y622" s="15" t="n"/>
      <c r="Z622" s="15" t="n"/>
      <c r="AA622" s="15" t="n"/>
      <c r="AB622" s="15" t="n"/>
      <c r="AC622" s="15" t="n"/>
      <c r="AD622" s="15" t="n"/>
      <c r="AE622" s="15" t="n"/>
      <c r="AF622" s="15" t="n"/>
      <c r="AG622" s="15" t="n"/>
      <c r="AH622" s="15" t="n"/>
      <c r="AI622" s="15" t="n"/>
    </row>
    <row r="623">
      <c r="A623" s="4" t="inlineStr">
        <is>
          <t>Студент1.6</t>
        </is>
      </c>
      <c r="B623" s="4" t="inlineStr"/>
      <c r="C623" s="4">
        <f>IF(A623="","",COUNTIF(F623:AI623,"+")+COUNTIF(F623:AI623,"1"))</f>
        <v/>
      </c>
      <c r="D623" s="4">
        <f>IF(A623="","",IF(C623&gt;2*COUNTA(F$617:AI$617)/3,1,IF(C623&gt;=COUNTA(F$617:AI$617)/2,0.8,0.5)))</f>
        <v/>
      </c>
      <c r="E623" s="4">
        <f>IF(A623="","",SUMIFS('Логи'!$H$4:$H$3006,'Логи'!$A$4:$A$3006,A623,'Логи'!$C$4:$C$3006,10))</f>
        <v/>
      </c>
      <c r="F623" s="15" t="n"/>
      <c r="G623" s="15" t="n"/>
      <c r="H623" s="15" t="n"/>
      <c r="I623" s="15" t="n"/>
      <c r="J623" s="15" t="n"/>
      <c r="K623" s="15" t="n"/>
      <c r="L623" s="15" t="n"/>
      <c r="M623" s="15" t="n"/>
      <c r="N623" s="15" t="n"/>
      <c r="O623" s="15" t="n"/>
      <c r="P623" s="15" t="n"/>
      <c r="Q623" s="15" t="n"/>
      <c r="R623" s="15" t="n"/>
      <c r="S623" s="15" t="n"/>
      <c r="T623" s="15" t="n"/>
      <c r="U623" s="15" t="n"/>
      <c r="V623" s="15" t="n"/>
      <c r="W623" s="15" t="n"/>
      <c r="X623" s="15" t="n"/>
      <c r="Y623" s="15" t="n"/>
      <c r="Z623" s="15" t="n"/>
      <c r="AA623" s="15" t="n"/>
      <c r="AB623" s="15" t="n"/>
      <c r="AC623" s="15" t="n"/>
      <c r="AD623" s="15" t="n"/>
      <c r="AE623" s="15" t="n"/>
      <c r="AF623" s="15" t="n"/>
      <c r="AG623" s="15" t="n"/>
      <c r="AH623" s="15" t="n"/>
      <c r="AI623" s="15" t="n"/>
    </row>
    <row r="624">
      <c r="A624" s="4" t="inlineStr">
        <is>
          <t>Студент1.7</t>
        </is>
      </c>
      <c r="B624" s="4" t="inlineStr"/>
      <c r="C624" s="4">
        <f>IF(A624="","",COUNTIF(F624:AI624,"+")+COUNTIF(F624:AI624,"1"))</f>
        <v/>
      </c>
      <c r="D624" s="4">
        <f>IF(A624="","",IF(C624&gt;2*COUNTA(F$617:AI$617)/3,1,IF(C624&gt;=COUNTA(F$617:AI$617)/2,0.8,0.5)))</f>
        <v/>
      </c>
      <c r="E624" s="4">
        <f>IF(A624="","",SUMIFS('Логи'!$H$4:$H$3006,'Логи'!$A$4:$A$3006,A624,'Логи'!$C$4:$C$3006,10))</f>
        <v/>
      </c>
      <c r="F624" s="15" t="n"/>
      <c r="G624" s="15" t="n"/>
      <c r="H624" s="15" t="n"/>
      <c r="I624" s="15" t="n"/>
      <c r="J624" s="15" t="n"/>
      <c r="K624" s="15" t="n"/>
      <c r="L624" s="15" t="n"/>
      <c r="M624" s="15" t="n"/>
      <c r="N624" s="15" t="n"/>
      <c r="O624" s="15" t="n"/>
      <c r="P624" s="15" t="n"/>
      <c r="Q624" s="15" t="n"/>
      <c r="R624" s="15" t="n"/>
      <c r="S624" s="15" t="n"/>
      <c r="T624" s="15" t="n"/>
      <c r="U624" s="15" t="n"/>
      <c r="V624" s="15" t="n"/>
      <c r="W624" s="15" t="n"/>
      <c r="X624" s="15" t="n"/>
      <c r="Y624" s="15" t="n"/>
      <c r="Z624" s="15" t="n"/>
      <c r="AA624" s="15" t="n"/>
      <c r="AB624" s="15" t="n"/>
      <c r="AC624" s="15" t="n"/>
      <c r="AD624" s="15" t="n"/>
      <c r="AE624" s="15" t="n"/>
      <c r="AF624" s="15" t="n"/>
      <c r="AG624" s="15" t="n"/>
      <c r="AH624" s="15" t="n"/>
      <c r="AI624" s="15" t="n"/>
    </row>
    <row r="625">
      <c r="A625" s="4" t="inlineStr">
        <is>
          <t>Студент1.8</t>
        </is>
      </c>
      <c r="B625" s="4" t="inlineStr"/>
      <c r="C625" s="4">
        <f>IF(A625="","",COUNTIF(F625:AI625,"+")+COUNTIF(F625:AI625,"1"))</f>
        <v/>
      </c>
      <c r="D625" s="4">
        <f>IF(A625="","",IF(C625&gt;2*COUNTA(F$617:AI$617)/3,1,IF(C625&gt;=COUNTA(F$617:AI$617)/2,0.8,0.5)))</f>
        <v/>
      </c>
      <c r="E625" s="4">
        <f>IF(A625="","",SUMIFS('Логи'!$H$4:$H$3006,'Логи'!$A$4:$A$3006,A625,'Логи'!$C$4:$C$3006,10))</f>
        <v/>
      </c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  <c r="O625" s="15" t="n"/>
      <c r="P625" s="15" t="n"/>
      <c r="Q625" s="15" t="n"/>
      <c r="R625" s="15" t="n"/>
      <c r="S625" s="15" t="n"/>
      <c r="T625" s="15" t="n"/>
      <c r="U625" s="15" t="n"/>
      <c r="V625" s="15" t="n"/>
      <c r="W625" s="15" t="n"/>
      <c r="X625" s="15" t="n"/>
      <c r="Y625" s="15" t="n"/>
      <c r="Z625" s="15" t="n"/>
      <c r="AA625" s="15" t="n"/>
      <c r="AB625" s="15" t="n"/>
      <c r="AC625" s="15" t="n"/>
      <c r="AD625" s="15" t="n"/>
      <c r="AE625" s="15" t="n"/>
      <c r="AF625" s="15" t="n"/>
      <c r="AG625" s="15" t="n"/>
      <c r="AH625" s="15" t="n"/>
      <c r="AI625" s="15" t="n"/>
    </row>
    <row r="626">
      <c r="A626" s="4" t="inlineStr">
        <is>
          <t>Студент1.9</t>
        </is>
      </c>
      <c r="B626" s="4" t="inlineStr"/>
      <c r="C626" s="4">
        <f>IF(A626="","",COUNTIF(F626:AI626,"+")+COUNTIF(F626:AI626,"1"))</f>
        <v/>
      </c>
      <c r="D626" s="4">
        <f>IF(A626="","",IF(C626&gt;2*COUNTA(F$617:AI$617)/3,1,IF(C626&gt;=COUNTA(F$617:AI$617)/2,0.8,0.5)))</f>
        <v/>
      </c>
      <c r="E626" s="4">
        <f>IF(A626="","",SUMIFS('Логи'!$H$4:$H$3006,'Логи'!$A$4:$A$3006,A626,'Логи'!$C$4:$C$3006,10))</f>
        <v/>
      </c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  <c r="O626" s="15" t="n"/>
      <c r="P626" s="15" t="n"/>
      <c r="Q626" s="15" t="n"/>
      <c r="R626" s="15" t="n"/>
      <c r="S626" s="15" t="n"/>
      <c r="T626" s="15" t="n"/>
      <c r="U626" s="15" t="n"/>
      <c r="V626" s="15" t="n"/>
      <c r="W626" s="15" t="n"/>
      <c r="X626" s="15" t="n"/>
      <c r="Y626" s="15" t="n"/>
      <c r="Z626" s="15" t="n"/>
      <c r="AA626" s="15" t="n"/>
      <c r="AB626" s="15" t="n"/>
      <c r="AC626" s="15" t="n"/>
      <c r="AD626" s="15" t="n"/>
      <c r="AE626" s="15" t="n"/>
      <c r="AF626" s="15" t="n"/>
      <c r="AG626" s="15" t="n"/>
      <c r="AH626" s="15" t="n"/>
      <c r="AI626" s="15" t="n"/>
    </row>
    <row r="627">
      <c r="A627" s="4" t="inlineStr">
        <is>
          <t>Студент1.10</t>
        </is>
      </c>
      <c r="B627" s="4" t="inlineStr"/>
      <c r="C627" s="4">
        <f>IF(A627="","",COUNTIF(F627:AI627,"+")+COUNTIF(F627:AI627,"1"))</f>
        <v/>
      </c>
      <c r="D627" s="4">
        <f>IF(A627="","",IF(C627&gt;2*COUNTA(F$617:AI$617)/3,1,IF(C627&gt;=COUNTA(F$617:AI$617)/2,0.8,0.5)))</f>
        <v/>
      </c>
      <c r="E627" s="4">
        <f>IF(A627="","",SUMIFS('Логи'!$H$4:$H$3006,'Логи'!$A$4:$A$3006,A627,'Логи'!$C$4:$C$3006,10))</f>
        <v/>
      </c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  <c r="O627" s="15" t="n"/>
      <c r="P627" s="15" t="n"/>
      <c r="Q627" s="15" t="n"/>
      <c r="R627" s="15" t="n"/>
      <c r="S627" s="15" t="n"/>
      <c r="T627" s="15" t="n"/>
      <c r="U627" s="15" t="n"/>
      <c r="V627" s="15" t="n"/>
      <c r="W627" s="15" t="n"/>
      <c r="X627" s="15" t="n"/>
      <c r="Y627" s="15" t="n"/>
      <c r="Z627" s="15" t="n"/>
      <c r="AA627" s="15" t="n"/>
      <c r="AB627" s="15" t="n"/>
      <c r="AC627" s="15" t="n"/>
      <c r="AD627" s="15" t="n"/>
      <c r="AE627" s="15" t="n"/>
      <c r="AF627" s="15" t="n"/>
      <c r="AG627" s="15" t="n"/>
      <c r="AH627" s="15" t="n"/>
      <c r="AI627" s="15" t="n"/>
    </row>
    <row r="628">
      <c r="A628" s="4" t="inlineStr">
        <is>
          <t>Студент1.11</t>
        </is>
      </c>
      <c r="B628" s="4" t="inlineStr"/>
      <c r="C628" s="4">
        <f>IF(A628="","",COUNTIF(F628:AI628,"+")+COUNTIF(F628:AI628,"1"))</f>
        <v/>
      </c>
      <c r="D628" s="4">
        <f>IF(A628="","",IF(C628&gt;2*COUNTA(F$617:AI$617)/3,1,IF(C628&gt;=COUNTA(F$617:AI$617)/2,0.8,0.5)))</f>
        <v/>
      </c>
      <c r="E628" s="4">
        <f>IF(A628="","",SUMIFS('Логи'!$H$4:$H$3006,'Логи'!$A$4:$A$3006,A628,'Логи'!$C$4:$C$3006,10))</f>
        <v/>
      </c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  <c r="O628" s="15" t="n"/>
      <c r="P628" s="15" t="n"/>
      <c r="Q628" s="15" t="n"/>
      <c r="R628" s="15" t="n"/>
      <c r="S628" s="15" t="n"/>
      <c r="T628" s="15" t="n"/>
      <c r="U628" s="15" t="n"/>
      <c r="V628" s="15" t="n"/>
      <c r="W628" s="15" t="n"/>
      <c r="X628" s="15" t="n"/>
      <c r="Y628" s="15" t="n"/>
      <c r="Z628" s="15" t="n"/>
      <c r="AA628" s="15" t="n"/>
      <c r="AB628" s="15" t="n"/>
      <c r="AC628" s="15" t="n"/>
      <c r="AD628" s="15" t="n"/>
      <c r="AE628" s="15" t="n"/>
      <c r="AF628" s="15" t="n"/>
      <c r="AG628" s="15" t="n"/>
      <c r="AH628" s="15" t="n"/>
      <c r="AI628" s="15" t="n"/>
    </row>
    <row r="629">
      <c r="A629" s="4" t="inlineStr">
        <is>
          <t>Студент1.12</t>
        </is>
      </c>
      <c r="B629" s="4" t="inlineStr"/>
      <c r="C629" s="4">
        <f>IF(A629="","",COUNTIF(F629:AI629,"+")+COUNTIF(F629:AI629,"1"))</f>
        <v/>
      </c>
      <c r="D629" s="4">
        <f>IF(A629="","",IF(C629&gt;2*COUNTA(F$617:AI$617)/3,1,IF(C629&gt;=COUNTA(F$617:AI$617)/2,0.8,0.5)))</f>
        <v/>
      </c>
      <c r="E629" s="4">
        <f>IF(A629="","",SUMIFS('Логи'!$H$4:$H$3006,'Логи'!$A$4:$A$3006,A629,'Логи'!$C$4:$C$3006,10))</f>
        <v/>
      </c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  <c r="O629" s="15" t="n"/>
      <c r="P629" s="15" t="n"/>
      <c r="Q629" s="15" t="n"/>
      <c r="R629" s="15" t="n"/>
      <c r="S629" s="15" t="n"/>
      <c r="T629" s="15" t="n"/>
      <c r="U629" s="15" t="n"/>
      <c r="V629" s="15" t="n"/>
      <c r="W629" s="15" t="n"/>
      <c r="X629" s="15" t="n"/>
      <c r="Y629" s="15" t="n"/>
      <c r="Z629" s="15" t="n"/>
      <c r="AA629" s="15" t="n"/>
      <c r="AB629" s="15" t="n"/>
      <c r="AC629" s="15" t="n"/>
      <c r="AD629" s="15" t="n"/>
      <c r="AE629" s="15" t="n"/>
      <c r="AF629" s="15" t="n"/>
      <c r="AG629" s="15" t="n"/>
      <c r="AH629" s="15" t="n"/>
      <c r="AI629" s="15" t="n"/>
    </row>
    <row r="630">
      <c r="A630" s="4" t="inlineStr">
        <is>
          <t>Студент1.13</t>
        </is>
      </c>
      <c r="B630" s="4" t="inlineStr"/>
      <c r="C630" s="4">
        <f>IF(A630="","",COUNTIF(F630:AI630,"+")+COUNTIF(F630:AI630,"1"))</f>
        <v/>
      </c>
      <c r="D630" s="4">
        <f>IF(A630="","",IF(C630&gt;2*COUNTA(F$617:AI$617)/3,1,IF(C630&gt;=COUNTA(F$617:AI$617)/2,0.8,0.5)))</f>
        <v/>
      </c>
      <c r="E630" s="4">
        <f>IF(A630="","",SUMIFS('Логи'!$H$4:$H$3006,'Логи'!$A$4:$A$3006,A630,'Логи'!$C$4:$C$3006,10))</f>
        <v/>
      </c>
      <c r="F630" s="15" t="n"/>
      <c r="G630" s="15" t="n"/>
      <c r="H630" s="15" t="n"/>
      <c r="I630" s="15" t="n"/>
      <c r="J630" s="15" t="n"/>
      <c r="K630" s="15" t="n"/>
      <c r="L630" s="15" t="n"/>
      <c r="M630" s="15" t="n"/>
      <c r="N630" s="15" t="n"/>
      <c r="O630" s="15" t="n"/>
      <c r="P630" s="15" t="n"/>
      <c r="Q630" s="15" t="n"/>
      <c r="R630" s="15" t="n"/>
      <c r="S630" s="15" t="n"/>
      <c r="T630" s="15" t="n"/>
      <c r="U630" s="15" t="n"/>
      <c r="V630" s="15" t="n"/>
      <c r="W630" s="15" t="n"/>
      <c r="X630" s="15" t="n"/>
      <c r="Y630" s="15" t="n"/>
      <c r="Z630" s="15" t="n"/>
      <c r="AA630" s="15" t="n"/>
      <c r="AB630" s="15" t="n"/>
      <c r="AC630" s="15" t="n"/>
      <c r="AD630" s="15" t="n"/>
      <c r="AE630" s="15" t="n"/>
      <c r="AF630" s="15" t="n"/>
      <c r="AG630" s="15" t="n"/>
      <c r="AH630" s="15" t="n"/>
      <c r="AI630" s="15" t="n"/>
    </row>
    <row r="631">
      <c r="A631" s="4" t="inlineStr">
        <is>
          <t>Студент1.14</t>
        </is>
      </c>
      <c r="B631" s="4" t="inlineStr"/>
      <c r="C631" s="4">
        <f>IF(A631="","",COUNTIF(F631:AI631,"+")+COUNTIF(F631:AI631,"1"))</f>
        <v/>
      </c>
      <c r="D631" s="4">
        <f>IF(A631="","",IF(C631&gt;2*COUNTA(F$617:AI$617)/3,1,IF(C631&gt;=COUNTA(F$617:AI$617)/2,0.8,0.5)))</f>
        <v/>
      </c>
      <c r="E631" s="4">
        <f>IF(A631="","",SUMIFS('Логи'!$H$4:$H$3006,'Логи'!$A$4:$A$3006,A631,'Логи'!$C$4:$C$3006,10))</f>
        <v/>
      </c>
      <c r="F631" s="15" t="n"/>
      <c r="G631" s="15" t="n"/>
      <c r="H631" s="15" t="n"/>
      <c r="I631" s="15" t="n"/>
      <c r="J631" s="15" t="n"/>
      <c r="K631" s="15" t="n"/>
      <c r="L631" s="15" t="n"/>
      <c r="M631" s="15" t="n"/>
      <c r="N631" s="15" t="n"/>
      <c r="O631" s="15" t="n"/>
      <c r="P631" s="15" t="n"/>
      <c r="Q631" s="15" t="n"/>
      <c r="R631" s="15" t="n"/>
      <c r="S631" s="15" t="n"/>
      <c r="T631" s="15" t="n"/>
      <c r="U631" s="15" t="n"/>
      <c r="V631" s="15" t="n"/>
      <c r="W631" s="15" t="n"/>
      <c r="X631" s="15" t="n"/>
      <c r="Y631" s="15" t="n"/>
      <c r="Z631" s="15" t="n"/>
      <c r="AA631" s="15" t="n"/>
      <c r="AB631" s="15" t="n"/>
      <c r="AC631" s="15" t="n"/>
      <c r="AD631" s="15" t="n"/>
      <c r="AE631" s="15" t="n"/>
      <c r="AF631" s="15" t="n"/>
      <c r="AG631" s="15" t="n"/>
      <c r="AH631" s="15" t="n"/>
      <c r="AI631" s="15" t="n"/>
    </row>
    <row r="632">
      <c r="A632" s="4" t="inlineStr">
        <is>
          <t>Студент1.15</t>
        </is>
      </c>
      <c r="B632" s="4" t="inlineStr"/>
      <c r="C632" s="4">
        <f>IF(A632="","",COUNTIF(F632:AI632,"+")+COUNTIF(F632:AI632,"1"))</f>
        <v/>
      </c>
      <c r="D632" s="4">
        <f>IF(A632="","",IF(C632&gt;2*COUNTA(F$617:AI$617)/3,1,IF(C632&gt;=COUNTA(F$617:AI$617)/2,0.8,0.5)))</f>
        <v/>
      </c>
      <c r="E632" s="4">
        <f>IF(A632="","",SUMIFS('Логи'!$H$4:$H$3006,'Логи'!$A$4:$A$3006,A632,'Логи'!$C$4:$C$3006,10))</f>
        <v/>
      </c>
      <c r="F632" s="15" t="n"/>
      <c r="G632" s="15" t="n"/>
      <c r="H632" s="15" t="n"/>
      <c r="I632" s="15" t="n"/>
      <c r="J632" s="15" t="n"/>
      <c r="K632" s="15" t="n"/>
      <c r="L632" s="15" t="n"/>
      <c r="M632" s="15" t="n"/>
      <c r="N632" s="15" t="n"/>
      <c r="O632" s="15" t="n"/>
      <c r="P632" s="15" t="n"/>
      <c r="Q632" s="15" t="n"/>
      <c r="R632" s="15" t="n"/>
      <c r="S632" s="15" t="n"/>
      <c r="T632" s="15" t="n"/>
      <c r="U632" s="15" t="n"/>
      <c r="V632" s="15" t="n"/>
      <c r="W632" s="15" t="n"/>
      <c r="X632" s="15" t="n"/>
      <c r="Y632" s="15" t="n"/>
      <c r="Z632" s="15" t="n"/>
      <c r="AA632" s="15" t="n"/>
      <c r="AB632" s="15" t="n"/>
      <c r="AC632" s="15" t="n"/>
      <c r="AD632" s="15" t="n"/>
      <c r="AE632" s="15" t="n"/>
      <c r="AF632" s="15" t="n"/>
      <c r="AG632" s="15" t="n"/>
      <c r="AH632" s="15" t="n"/>
      <c r="AI632" s="15" t="n"/>
    </row>
    <row r="633">
      <c r="A633" s="4" t="inlineStr">
        <is>
          <t>Студент1.16</t>
        </is>
      </c>
      <c r="B633" s="4" t="inlineStr"/>
      <c r="C633" s="4">
        <f>IF(A633="","",COUNTIF(F633:AI633,"+")+COUNTIF(F633:AI633,"1"))</f>
        <v/>
      </c>
      <c r="D633" s="4">
        <f>IF(A633="","",IF(C633&gt;2*COUNTA(F$617:AI$617)/3,1,IF(C633&gt;=COUNTA(F$617:AI$617)/2,0.8,0.5)))</f>
        <v/>
      </c>
      <c r="E633" s="4">
        <f>IF(A633="","",SUMIFS('Логи'!$H$4:$H$3006,'Логи'!$A$4:$A$3006,A633,'Логи'!$C$4:$C$3006,10))</f>
        <v/>
      </c>
      <c r="F633" s="15" t="n"/>
      <c r="G633" s="15" t="n"/>
      <c r="H633" s="15" t="n"/>
      <c r="I633" s="15" t="n"/>
      <c r="J633" s="15" t="n"/>
      <c r="K633" s="15" t="n"/>
      <c r="L633" s="15" t="n"/>
      <c r="M633" s="15" t="n"/>
      <c r="N633" s="15" t="n"/>
      <c r="O633" s="15" t="n"/>
      <c r="P633" s="15" t="n"/>
      <c r="Q633" s="15" t="n"/>
      <c r="R633" s="15" t="n"/>
      <c r="S633" s="15" t="n"/>
      <c r="T633" s="15" t="n"/>
      <c r="U633" s="15" t="n"/>
      <c r="V633" s="15" t="n"/>
      <c r="W633" s="15" t="n"/>
      <c r="X633" s="15" t="n"/>
      <c r="Y633" s="15" t="n"/>
      <c r="Z633" s="15" t="n"/>
      <c r="AA633" s="15" t="n"/>
      <c r="AB633" s="15" t="n"/>
      <c r="AC633" s="15" t="n"/>
      <c r="AD633" s="15" t="n"/>
      <c r="AE633" s="15" t="n"/>
      <c r="AF633" s="15" t="n"/>
      <c r="AG633" s="15" t="n"/>
      <c r="AH633" s="15" t="n"/>
      <c r="AI633" s="15" t="n"/>
    </row>
    <row r="634">
      <c r="A634" s="4" t="inlineStr">
        <is>
          <t>Студент1.17</t>
        </is>
      </c>
      <c r="B634" s="4" t="inlineStr"/>
      <c r="C634" s="4">
        <f>IF(A634="","",COUNTIF(F634:AI634,"+")+COUNTIF(F634:AI634,"1"))</f>
        <v/>
      </c>
      <c r="D634" s="4">
        <f>IF(A634="","",IF(C634&gt;2*COUNTA(F$617:AI$617)/3,1,IF(C634&gt;=COUNTA(F$617:AI$617)/2,0.8,0.5)))</f>
        <v/>
      </c>
      <c r="E634" s="4">
        <f>IF(A634="","",SUMIFS('Логи'!$H$4:$H$3006,'Логи'!$A$4:$A$3006,A634,'Логи'!$C$4:$C$3006,10))</f>
        <v/>
      </c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  <c r="O634" s="15" t="n"/>
      <c r="P634" s="15" t="n"/>
      <c r="Q634" s="15" t="n"/>
      <c r="R634" s="15" t="n"/>
      <c r="S634" s="15" t="n"/>
      <c r="T634" s="15" t="n"/>
      <c r="U634" s="15" t="n"/>
      <c r="V634" s="15" t="n"/>
      <c r="W634" s="15" t="n"/>
      <c r="X634" s="15" t="n"/>
      <c r="Y634" s="15" t="n"/>
      <c r="Z634" s="15" t="n"/>
      <c r="AA634" s="15" t="n"/>
      <c r="AB634" s="15" t="n"/>
      <c r="AC634" s="15" t="n"/>
      <c r="AD634" s="15" t="n"/>
      <c r="AE634" s="15" t="n"/>
      <c r="AF634" s="15" t="n"/>
      <c r="AG634" s="15" t="n"/>
      <c r="AH634" s="15" t="n"/>
      <c r="AI634" s="15" t="n"/>
    </row>
    <row r="635">
      <c r="A635" s="4" t="inlineStr">
        <is>
          <t>Студент1.18</t>
        </is>
      </c>
      <c r="B635" s="4" t="inlineStr"/>
      <c r="C635" s="4">
        <f>IF(A635="","",COUNTIF(F635:AI635,"+")+COUNTIF(F635:AI635,"1"))</f>
        <v/>
      </c>
      <c r="D635" s="4">
        <f>IF(A635="","",IF(C635&gt;2*COUNTA(F$617:AI$617)/3,1,IF(C635&gt;=COUNTA(F$617:AI$617)/2,0.8,0.5)))</f>
        <v/>
      </c>
      <c r="E635" s="4">
        <f>IF(A635="","",SUMIFS('Логи'!$H$4:$H$3006,'Логи'!$A$4:$A$3006,A635,'Логи'!$C$4:$C$3006,10))</f>
        <v/>
      </c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  <c r="O635" s="15" t="n"/>
      <c r="P635" s="15" t="n"/>
      <c r="Q635" s="15" t="n"/>
      <c r="R635" s="15" t="n"/>
      <c r="S635" s="15" t="n"/>
      <c r="T635" s="15" t="n"/>
      <c r="U635" s="15" t="n"/>
      <c r="V635" s="15" t="n"/>
      <c r="W635" s="15" t="n"/>
      <c r="X635" s="15" t="n"/>
      <c r="Y635" s="15" t="n"/>
      <c r="Z635" s="15" t="n"/>
      <c r="AA635" s="15" t="n"/>
      <c r="AB635" s="15" t="n"/>
      <c r="AC635" s="15" t="n"/>
      <c r="AD635" s="15" t="n"/>
      <c r="AE635" s="15" t="n"/>
      <c r="AF635" s="15" t="n"/>
      <c r="AG635" s="15" t="n"/>
      <c r="AH635" s="15" t="n"/>
      <c r="AI635" s="15" t="n"/>
    </row>
    <row r="636">
      <c r="A636" s="4" t="inlineStr">
        <is>
          <t>Студент1.19</t>
        </is>
      </c>
      <c r="B636" s="4" t="inlineStr"/>
      <c r="C636" s="4">
        <f>IF(A636="","",COUNTIF(F636:AI636,"+")+COUNTIF(F636:AI636,"1"))</f>
        <v/>
      </c>
      <c r="D636" s="4">
        <f>IF(A636="","",IF(C636&gt;2*COUNTA(F$617:AI$617)/3,1,IF(C636&gt;=COUNTA(F$617:AI$617)/2,0.8,0.5)))</f>
        <v/>
      </c>
      <c r="E636" s="4">
        <f>IF(A636="","",SUMIFS('Логи'!$H$4:$H$3006,'Логи'!$A$4:$A$3006,A636,'Логи'!$C$4:$C$3006,10))</f>
        <v/>
      </c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  <c r="O636" s="15" t="n"/>
      <c r="P636" s="15" t="n"/>
      <c r="Q636" s="15" t="n"/>
      <c r="R636" s="15" t="n"/>
      <c r="S636" s="15" t="n"/>
      <c r="T636" s="15" t="n"/>
      <c r="U636" s="15" t="n"/>
      <c r="V636" s="15" t="n"/>
      <c r="W636" s="15" t="n"/>
      <c r="X636" s="15" t="n"/>
      <c r="Y636" s="15" t="n"/>
      <c r="Z636" s="15" t="n"/>
      <c r="AA636" s="15" t="n"/>
      <c r="AB636" s="15" t="n"/>
      <c r="AC636" s="15" t="n"/>
      <c r="AD636" s="15" t="n"/>
      <c r="AE636" s="15" t="n"/>
      <c r="AF636" s="15" t="n"/>
      <c r="AG636" s="15" t="n"/>
      <c r="AH636" s="15" t="n"/>
      <c r="AI636" s="15" t="n"/>
    </row>
    <row r="637">
      <c r="A637" s="4" t="inlineStr">
        <is>
          <t>Студент1.20</t>
        </is>
      </c>
      <c r="B637" s="4" t="inlineStr"/>
      <c r="C637" s="4">
        <f>IF(A637="","",COUNTIF(F637:AI637,"+")+COUNTIF(F637:AI637,"1"))</f>
        <v/>
      </c>
      <c r="D637" s="4">
        <f>IF(A637="","",IF(C637&gt;2*COUNTA(F$617:AI$617)/3,1,IF(C637&gt;=COUNTA(F$617:AI$617)/2,0.8,0.5)))</f>
        <v/>
      </c>
      <c r="E637" s="4">
        <f>IF(A637="","",SUMIFS('Логи'!$H$4:$H$3006,'Логи'!$A$4:$A$3006,A637,'Логи'!$C$4:$C$3006,10))</f>
        <v/>
      </c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  <c r="O637" s="15" t="n"/>
      <c r="P637" s="15" t="n"/>
      <c r="Q637" s="15" t="n"/>
      <c r="R637" s="15" t="n"/>
      <c r="S637" s="15" t="n"/>
      <c r="T637" s="15" t="n"/>
      <c r="U637" s="15" t="n"/>
      <c r="V637" s="15" t="n"/>
      <c r="W637" s="15" t="n"/>
      <c r="X637" s="15" t="n"/>
      <c r="Y637" s="15" t="n"/>
      <c r="Z637" s="15" t="n"/>
      <c r="AA637" s="15" t="n"/>
      <c r="AB637" s="15" t="n"/>
      <c r="AC637" s="15" t="n"/>
      <c r="AD637" s="15" t="n"/>
      <c r="AE637" s="15" t="n"/>
      <c r="AF637" s="15" t="n"/>
      <c r="AG637" s="15" t="n"/>
      <c r="AH637" s="15" t="n"/>
      <c r="AI637" s="15" t="n"/>
    </row>
    <row r="638">
      <c r="A638" s="4" t="inlineStr">
        <is>
          <t>Студент1.21</t>
        </is>
      </c>
      <c r="B638" s="4" t="inlineStr"/>
      <c r="C638" s="4">
        <f>IF(A638="","",COUNTIF(F638:AI638,"+")+COUNTIF(F638:AI638,"1"))</f>
        <v/>
      </c>
      <c r="D638" s="4">
        <f>IF(A638="","",IF(C638&gt;2*COUNTA(F$617:AI$617)/3,1,IF(C638&gt;=COUNTA(F$617:AI$617)/2,0.8,0.5)))</f>
        <v/>
      </c>
      <c r="E638" s="4">
        <f>IF(A638="","",SUMIFS('Логи'!$H$4:$H$3006,'Логи'!$A$4:$A$3006,A638,'Логи'!$C$4:$C$3006,10))</f>
        <v/>
      </c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  <c r="O638" s="15" t="n"/>
      <c r="P638" s="15" t="n"/>
      <c r="Q638" s="15" t="n"/>
      <c r="R638" s="15" t="n"/>
      <c r="S638" s="15" t="n"/>
      <c r="T638" s="15" t="n"/>
      <c r="U638" s="15" t="n"/>
      <c r="V638" s="15" t="n"/>
      <c r="W638" s="15" t="n"/>
      <c r="X638" s="15" t="n"/>
      <c r="Y638" s="15" t="n"/>
      <c r="Z638" s="15" t="n"/>
      <c r="AA638" s="15" t="n"/>
      <c r="AB638" s="15" t="n"/>
      <c r="AC638" s="15" t="n"/>
      <c r="AD638" s="15" t="n"/>
      <c r="AE638" s="15" t="n"/>
      <c r="AF638" s="15" t="n"/>
      <c r="AG638" s="15" t="n"/>
      <c r="AH638" s="15" t="n"/>
      <c r="AI638" s="15" t="n"/>
    </row>
    <row r="639">
      <c r="A639" s="4" t="inlineStr">
        <is>
          <t>Студент1.22</t>
        </is>
      </c>
      <c r="B639" s="4" t="inlineStr"/>
      <c r="C639" s="4">
        <f>IF(A639="","",COUNTIF(F639:AI639,"+")+COUNTIF(F639:AI639,"1"))</f>
        <v/>
      </c>
      <c r="D639" s="4">
        <f>IF(A639="","",IF(C639&gt;2*COUNTA(F$617:AI$617)/3,1,IF(C639&gt;=COUNTA(F$617:AI$617)/2,0.8,0.5)))</f>
        <v/>
      </c>
      <c r="E639" s="4">
        <f>IF(A639="","",SUMIFS('Логи'!$H$4:$H$3006,'Логи'!$A$4:$A$3006,A639,'Логи'!$C$4:$C$3006,10))</f>
        <v/>
      </c>
      <c r="F639" s="15" t="n"/>
      <c r="G639" s="15" t="n"/>
      <c r="H639" s="15" t="n"/>
      <c r="I639" s="15" t="n"/>
      <c r="J639" s="15" t="n"/>
      <c r="K639" s="15" t="n"/>
      <c r="L639" s="15" t="n"/>
      <c r="M639" s="15" t="n"/>
      <c r="N639" s="15" t="n"/>
      <c r="O639" s="15" t="n"/>
      <c r="P639" s="15" t="n"/>
      <c r="Q639" s="15" t="n"/>
      <c r="R639" s="15" t="n"/>
      <c r="S639" s="15" t="n"/>
      <c r="T639" s="15" t="n"/>
      <c r="U639" s="15" t="n"/>
      <c r="V639" s="15" t="n"/>
      <c r="W639" s="15" t="n"/>
      <c r="X639" s="15" t="n"/>
      <c r="Y639" s="15" t="n"/>
      <c r="Z639" s="15" t="n"/>
      <c r="AA639" s="15" t="n"/>
      <c r="AB639" s="15" t="n"/>
      <c r="AC639" s="15" t="n"/>
      <c r="AD639" s="15" t="n"/>
      <c r="AE639" s="15" t="n"/>
      <c r="AF639" s="15" t="n"/>
      <c r="AG639" s="15" t="n"/>
      <c r="AH639" s="15" t="n"/>
      <c r="AI639" s="15" t="n"/>
    </row>
    <row r="640">
      <c r="A640" s="4" t="inlineStr">
        <is>
          <t>Студент1.23</t>
        </is>
      </c>
      <c r="B640" s="4" t="inlineStr"/>
      <c r="C640" s="4">
        <f>IF(A640="","",COUNTIF(F640:AI640,"+")+COUNTIF(F640:AI640,"1"))</f>
        <v/>
      </c>
      <c r="D640" s="4">
        <f>IF(A640="","",IF(C640&gt;2*COUNTA(F$617:AI$617)/3,1,IF(C640&gt;=COUNTA(F$617:AI$617)/2,0.8,0.5)))</f>
        <v/>
      </c>
      <c r="E640" s="4">
        <f>IF(A640="","",SUMIFS('Логи'!$H$4:$H$3006,'Логи'!$A$4:$A$3006,A640,'Логи'!$C$4:$C$3006,10))</f>
        <v/>
      </c>
      <c r="F640" s="15" t="n"/>
      <c r="G640" s="15" t="n"/>
      <c r="H640" s="15" t="n"/>
      <c r="I640" s="15" t="n"/>
      <c r="J640" s="15" t="n"/>
      <c r="K640" s="15" t="n"/>
      <c r="L640" s="15" t="n"/>
      <c r="M640" s="15" t="n"/>
      <c r="N640" s="15" t="n"/>
      <c r="O640" s="15" t="n"/>
      <c r="P640" s="15" t="n"/>
      <c r="Q640" s="15" t="n"/>
      <c r="R640" s="15" t="n"/>
      <c r="S640" s="15" t="n"/>
      <c r="T640" s="15" t="n"/>
      <c r="U640" s="15" t="n"/>
      <c r="V640" s="15" t="n"/>
      <c r="W640" s="15" t="n"/>
      <c r="X640" s="15" t="n"/>
      <c r="Y640" s="15" t="n"/>
      <c r="Z640" s="15" t="n"/>
      <c r="AA640" s="15" t="n"/>
      <c r="AB640" s="15" t="n"/>
      <c r="AC640" s="15" t="n"/>
      <c r="AD640" s="15" t="n"/>
      <c r="AE640" s="15" t="n"/>
      <c r="AF640" s="15" t="n"/>
      <c r="AG640" s="15" t="n"/>
      <c r="AH640" s="15" t="n"/>
      <c r="AI640" s="15" t="n"/>
    </row>
    <row r="641">
      <c r="A641" s="4" t="inlineStr">
        <is>
          <t>Студент1.24</t>
        </is>
      </c>
      <c r="B641" s="4" t="inlineStr"/>
      <c r="C641" s="4">
        <f>IF(A641="","",COUNTIF(F641:AI641,"+")+COUNTIF(F641:AI641,"1"))</f>
        <v/>
      </c>
      <c r="D641" s="4">
        <f>IF(A641="","",IF(C641&gt;2*COUNTA(F$617:AI$617)/3,1,IF(C641&gt;=COUNTA(F$617:AI$617)/2,0.8,0.5)))</f>
        <v/>
      </c>
      <c r="E641" s="4">
        <f>IF(A641="","",SUMIFS('Логи'!$H$4:$H$3006,'Логи'!$A$4:$A$3006,A641,'Логи'!$C$4:$C$3006,10))</f>
        <v/>
      </c>
      <c r="F641" s="15" t="n"/>
      <c r="G641" s="15" t="n"/>
      <c r="H641" s="15" t="n"/>
      <c r="I641" s="15" t="n"/>
      <c r="J641" s="15" t="n"/>
      <c r="K641" s="15" t="n"/>
      <c r="L641" s="15" t="n"/>
      <c r="M641" s="15" t="n"/>
      <c r="N641" s="15" t="n"/>
      <c r="O641" s="15" t="n"/>
      <c r="P641" s="15" t="n"/>
      <c r="Q641" s="15" t="n"/>
      <c r="R641" s="15" t="n"/>
      <c r="S641" s="15" t="n"/>
      <c r="T641" s="15" t="n"/>
      <c r="U641" s="15" t="n"/>
      <c r="V641" s="15" t="n"/>
      <c r="W641" s="15" t="n"/>
      <c r="X641" s="15" t="n"/>
      <c r="Y641" s="15" t="n"/>
      <c r="Z641" s="15" t="n"/>
      <c r="AA641" s="15" t="n"/>
      <c r="AB641" s="15" t="n"/>
      <c r="AC641" s="15" t="n"/>
      <c r="AD641" s="15" t="n"/>
      <c r="AE641" s="15" t="n"/>
      <c r="AF641" s="15" t="n"/>
      <c r="AG641" s="15" t="n"/>
      <c r="AH641" s="15" t="n"/>
      <c r="AI641" s="15" t="n"/>
    </row>
    <row r="642">
      <c r="A642" s="4" t="inlineStr">
        <is>
          <t>Студент1.25</t>
        </is>
      </c>
      <c r="B642" s="4" t="inlineStr"/>
      <c r="C642" s="4">
        <f>IF(A642="","",COUNTIF(F642:AI642,"+")+COUNTIF(F642:AI642,"1"))</f>
        <v/>
      </c>
      <c r="D642" s="4">
        <f>IF(A642="","",IF(C642&gt;2*COUNTA(F$617:AI$617)/3,1,IF(C642&gt;=COUNTA(F$617:AI$617)/2,0.8,0.5)))</f>
        <v/>
      </c>
      <c r="E642" s="4">
        <f>IF(A642="","",SUMIFS('Логи'!$H$4:$H$3006,'Логи'!$A$4:$A$3006,A642,'Логи'!$C$4:$C$3006,10))</f>
        <v/>
      </c>
      <c r="F642" s="15" t="n"/>
      <c r="G642" s="15" t="n"/>
      <c r="H642" s="15" t="n"/>
      <c r="I642" s="15" t="n"/>
      <c r="J642" s="15" t="n"/>
      <c r="K642" s="15" t="n"/>
      <c r="L642" s="15" t="n"/>
      <c r="M642" s="15" t="n"/>
      <c r="N642" s="15" t="n"/>
      <c r="O642" s="15" t="n"/>
      <c r="P642" s="15" t="n"/>
      <c r="Q642" s="15" t="n"/>
      <c r="R642" s="15" t="n"/>
      <c r="S642" s="15" t="n"/>
      <c r="T642" s="15" t="n"/>
      <c r="U642" s="15" t="n"/>
      <c r="V642" s="15" t="n"/>
      <c r="W642" s="15" t="n"/>
      <c r="X642" s="15" t="n"/>
      <c r="Y642" s="15" t="n"/>
      <c r="Z642" s="15" t="n"/>
      <c r="AA642" s="15" t="n"/>
      <c r="AB642" s="15" t="n"/>
      <c r="AC642" s="15" t="n"/>
      <c r="AD642" s="15" t="n"/>
      <c r="AE642" s="15" t="n"/>
      <c r="AF642" s="15" t="n"/>
      <c r="AG642" s="15" t="n"/>
      <c r="AH642" s="15" t="n"/>
      <c r="AI642" s="15" t="n"/>
    </row>
    <row r="643">
      <c r="A643" s="4" t="inlineStr">
        <is>
          <t>Студент1.26</t>
        </is>
      </c>
      <c r="B643" s="4" t="inlineStr"/>
      <c r="C643" s="4">
        <f>IF(A643="","",COUNTIF(F643:AI643,"+")+COUNTIF(F643:AI643,"1"))</f>
        <v/>
      </c>
      <c r="D643" s="4">
        <f>IF(A643="","",IF(C643&gt;2*COUNTA(F$617:AI$617)/3,1,IF(C643&gt;=COUNTA(F$617:AI$617)/2,0.8,0.5)))</f>
        <v/>
      </c>
      <c r="E643" s="4">
        <f>IF(A643="","",SUMIFS('Логи'!$H$4:$H$3006,'Логи'!$A$4:$A$3006,A643,'Логи'!$C$4:$C$3006,10))</f>
        <v/>
      </c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  <c r="O643" s="15" t="n"/>
      <c r="P643" s="15" t="n"/>
      <c r="Q643" s="15" t="n"/>
      <c r="R643" s="15" t="n"/>
      <c r="S643" s="15" t="n"/>
      <c r="T643" s="15" t="n"/>
      <c r="U643" s="15" t="n"/>
      <c r="V643" s="15" t="n"/>
      <c r="W643" s="15" t="n"/>
      <c r="X643" s="15" t="n"/>
      <c r="Y643" s="15" t="n"/>
      <c r="Z643" s="15" t="n"/>
      <c r="AA643" s="15" t="n"/>
      <c r="AB643" s="15" t="n"/>
      <c r="AC643" s="15" t="n"/>
      <c r="AD643" s="15" t="n"/>
      <c r="AE643" s="15" t="n"/>
      <c r="AF643" s="15" t="n"/>
      <c r="AG643" s="15" t="n"/>
      <c r="AH643" s="15" t="n"/>
      <c r="AI643" s="15" t="n"/>
    </row>
    <row r="644">
      <c r="A644" s="4" t="inlineStr">
        <is>
          <t>Студент1.27</t>
        </is>
      </c>
      <c r="B644" s="4" t="inlineStr"/>
      <c r="C644" s="4">
        <f>IF(A644="","",COUNTIF(F644:AI644,"+")+COUNTIF(F644:AI644,"1"))</f>
        <v/>
      </c>
      <c r="D644" s="4">
        <f>IF(A644="","",IF(C644&gt;2*COUNTA(F$617:AI$617)/3,1,IF(C644&gt;=COUNTA(F$617:AI$617)/2,0.8,0.5)))</f>
        <v/>
      </c>
      <c r="E644" s="4">
        <f>IF(A644="","",SUMIFS('Логи'!$H$4:$H$3006,'Логи'!$A$4:$A$3006,A644,'Логи'!$C$4:$C$3006,10))</f>
        <v/>
      </c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  <c r="O644" s="15" t="n"/>
      <c r="P644" s="15" t="n"/>
      <c r="Q644" s="15" t="n"/>
      <c r="R644" s="15" t="n"/>
      <c r="S644" s="15" t="n"/>
      <c r="T644" s="15" t="n"/>
      <c r="U644" s="15" t="n"/>
      <c r="V644" s="15" t="n"/>
      <c r="W644" s="15" t="n"/>
      <c r="X644" s="15" t="n"/>
      <c r="Y644" s="15" t="n"/>
      <c r="Z644" s="15" t="n"/>
      <c r="AA644" s="15" t="n"/>
      <c r="AB644" s="15" t="n"/>
      <c r="AC644" s="15" t="n"/>
      <c r="AD644" s="15" t="n"/>
      <c r="AE644" s="15" t="n"/>
      <c r="AF644" s="15" t="n"/>
      <c r="AG644" s="15" t="n"/>
      <c r="AH644" s="15" t="n"/>
      <c r="AI644" s="15" t="n"/>
    </row>
    <row r="645">
      <c r="A645" s="4" t="inlineStr">
        <is>
          <t>Студент1.28</t>
        </is>
      </c>
      <c r="B645" s="4" t="inlineStr"/>
      <c r="C645" s="4">
        <f>IF(A645="","",COUNTIF(F645:AI645,"+")+COUNTIF(F645:AI645,"1"))</f>
        <v/>
      </c>
      <c r="D645" s="4">
        <f>IF(A645="","",IF(C645&gt;2*COUNTA(F$617:AI$617)/3,1,IF(C645&gt;=COUNTA(F$617:AI$617)/2,0.8,0.5)))</f>
        <v/>
      </c>
      <c r="E645" s="4">
        <f>IF(A645="","",SUMIFS('Логи'!$H$4:$H$3006,'Логи'!$A$4:$A$3006,A645,'Логи'!$C$4:$C$3006,10))</f>
        <v/>
      </c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  <c r="P645" s="15" t="n"/>
      <c r="Q645" s="15" t="n"/>
      <c r="R645" s="15" t="n"/>
      <c r="S645" s="15" t="n"/>
      <c r="T645" s="15" t="n"/>
      <c r="U645" s="15" t="n"/>
      <c r="V645" s="15" t="n"/>
      <c r="W645" s="15" t="n"/>
      <c r="X645" s="15" t="n"/>
      <c r="Y645" s="15" t="n"/>
      <c r="Z645" s="15" t="n"/>
      <c r="AA645" s="15" t="n"/>
      <c r="AB645" s="15" t="n"/>
      <c r="AC645" s="15" t="n"/>
      <c r="AD645" s="15" t="n"/>
      <c r="AE645" s="15" t="n"/>
      <c r="AF645" s="15" t="n"/>
      <c r="AG645" s="15" t="n"/>
      <c r="AH645" s="15" t="n"/>
      <c r="AI645" s="15" t="n"/>
    </row>
    <row r="646">
      <c r="A646" s="4" t="inlineStr">
        <is>
          <t>Студент1.29</t>
        </is>
      </c>
      <c r="B646" s="4" t="inlineStr"/>
      <c r="C646" s="4">
        <f>IF(A646="","",COUNTIF(F646:AI646,"+")+COUNTIF(F646:AI646,"1"))</f>
        <v/>
      </c>
      <c r="D646" s="4">
        <f>IF(A646="","",IF(C646&gt;2*COUNTA(F$617:AI$617)/3,1,IF(C646&gt;=COUNTA(F$617:AI$617)/2,0.8,0.5)))</f>
        <v/>
      </c>
      <c r="E646" s="4">
        <f>IF(A646="","",SUMIFS('Логи'!$H$4:$H$3006,'Логи'!$A$4:$A$3006,A646,'Логи'!$C$4:$C$3006,10))</f>
        <v/>
      </c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  <c r="O646" s="15" t="n"/>
      <c r="P646" s="15" t="n"/>
      <c r="Q646" s="15" t="n"/>
      <c r="R646" s="15" t="n"/>
      <c r="S646" s="15" t="n"/>
      <c r="T646" s="15" t="n"/>
      <c r="U646" s="15" t="n"/>
      <c r="V646" s="15" t="n"/>
      <c r="W646" s="15" t="n"/>
      <c r="X646" s="15" t="n"/>
      <c r="Y646" s="15" t="n"/>
      <c r="Z646" s="15" t="n"/>
      <c r="AA646" s="15" t="n"/>
      <c r="AB646" s="15" t="n"/>
      <c r="AC646" s="15" t="n"/>
      <c r="AD646" s="15" t="n"/>
      <c r="AE646" s="15" t="n"/>
      <c r="AF646" s="15" t="n"/>
      <c r="AG646" s="15" t="n"/>
      <c r="AH646" s="15" t="n"/>
      <c r="AI646" s="15" t="n"/>
    </row>
    <row r="647">
      <c r="A647" s="4" t="inlineStr">
        <is>
          <t>Студент1.30</t>
        </is>
      </c>
      <c r="B647" s="4" t="inlineStr"/>
      <c r="C647" s="4">
        <f>IF(A647="","",COUNTIF(F647:AI647,"+")+COUNTIF(F647:AI647,"1"))</f>
        <v/>
      </c>
      <c r="D647" s="4">
        <f>IF(A647="","",IF(C647&gt;2*COUNTA(F$617:AI$617)/3,1,IF(C647&gt;=COUNTA(F$617:AI$617)/2,0.8,0.5)))</f>
        <v/>
      </c>
      <c r="E647" s="4">
        <f>IF(A647="","",SUMIFS('Логи'!$H$4:$H$3006,'Логи'!$A$4:$A$3006,A647,'Логи'!$C$4:$C$3006,10))</f>
        <v/>
      </c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  <c r="O647" s="15" t="n"/>
      <c r="P647" s="15" t="n"/>
      <c r="Q647" s="15" t="n"/>
      <c r="R647" s="15" t="n"/>
      <c r="S647" s="15" t="n"/>
      <c r="T647" s="15" t="n"/>
      <c r="U647" s="15" t="n"/>
      <c r="V647" s="15" t="n"/>
      <c r="W647" s="15" t="n"/>
      <c r="X647" s="15" t="n"/>
      <c r="Y647" s="15" t="n"/>
      <c r="Z647" s="15" t="n"/>
      <c r="AA647" s="15" t="n"/>
      <c r="AB647" s="15" t="n"/>
      <c r="AC647" s="15" t="n"/>
      <c r="AD647" s="15" t="n"/>
      <c r="AE647" s="15" t="n"/>
      <c r="AF647" s="15" t="n"/>
      <c r="AG647" s="15" t="n"/>
      <c r="AH647" s="15" t="n"/>
      <c r="AI647" s="15" t="n"/>
    </row>
    <row r="649">
      <c r="A649" s="16" t="inlineStr">
        <is>
          <t>Практика 10 — результаты рассказа</t>
        </is>
      </c>
    </row>
    <row r="650" ht="28" customHeight="1">
      <c r="A650" s="7" t="inlineStr">
        <is>
          <t>Имя</t>
        </is>
      </c>
      <c r="B650" s="9" t="inlineStr">
        <is>
          <t>TG</t>
        </is>
      </c>
      <c r="C650" s="10" t="inlineStr"/>
      <c r="D650" s="2" t="inlineStr"/>
      <c r="E650" s="2" t="inlineStr"/>
      <c r="F650" s="11" t="inlineStr">
        <is>
          <t>1.0</t>
        </is>
      </c>
      <c r="G650" s="11" t="inlineStr">
        <is>
          <t>2.0</t>
        </is>
      </c>
      <c r="H650" s="11" t="inlineStr">
        <is>
          <t>3.0</t>
        </is>
      </c>
      <c r="I650" s="11" t="inlineStr">
        <is>
          <t>4.0</t>
        </is>
      </c>
      <c r="J650" s="11" t="inlineStr">
        <is>
          <t>5.0</t>
        </is>
      </c>
      <c r="K650" s="11" t="inlineStr">
        <is>
          <t>6</t>
        </is>
      </c>
      <c r="L650" s="11" t="inlineStr">
        <is>
          <t>7</t>
        </is>
      </c>
      <c r="M650" s="11" t="inlineStr">
        <is>
          <t>8</t>
        </is>
      </c>
      <c r="N650" s="11" t="inlineStr">
        <is>
          <t>9</t>
        </is>
      </c>
      <c r="O650" s="11" t="inlineStr">
        <is>
          <t>10</t>
        </is>
      </c>
      <c r="P650" s="11" t="inlineStr">
        <is>
          <t>11</t>
        </is>
      </c>
      <c r="Q650" s="11" t="inlineStr">
        <is>
          <t>12</t>
        </is>
      </c>
      <c r="R650" s="11" t="inlineStr">
        <is>
          <t>13</t>
        </is>
      </c>
      <c r="S650" s="11" t="inlineStr">
        <is>
          <t>14</t>
        </is>
      </c>
      <c r="T650" s="11" t="inlineStr">
        <is>
          <t>15</t>
        </is>
      </c>
      <c r="U650" s="11" t="inlineStr">
        <is>
          <t>16</t>
        </is>
      </c>
      <c r="V650" s="11" t="inlineStr">
        <is>
          <t>17</t>
        </is>
      </c>
      <c r="W650" s="11" t="inlineStr">
        <is>
          <t>18</t>
        </is>
      </c>
      <c r="X650" s="11" t="inlineStr">
        <is>
          <t>19</t>
        </is>
      </c>
      <c r="Y650" s="11" t="inlineStr">
        <is>
          <t>20</t>
        </is>
      </c>
      <c r="Z650" s="11" t="inlineStr">
        <is>
          <t>21</t>
        </is>
      </c>
      <c r="AA650" s="11" t="inlineStr">
        <is>
          <t>22</t>
        </is>
      </c>
      <c r="AB650" s="11" t="inlineStr">
        <is>
          <t>23</t>
        </is>
      </c>
      <c r="AC650" s="11" t="inlineStr">
        <is>
          <t>24</t>
        </is>
      </c>
      <c r="AD650" s="11" t="inlineStr">
        <is>
          <t>25</t>
        </is>
      </c>
      <c r="AE650" s="11" t="inlineStr">
        <is>
          <t>26</t>
        </is>
      </c>
      <c r="AF650" s="11" t="inlineStr">
        <is>
          <t>27</t>
        </is>
      </c>
      <c r="AG650" s="11" t="inlineStr">
        <is>
          <t>28</t>
        </is>
      </c>
      <c r="AH650" s="11" t="inlineStr">
        <is>
          <t>29</t>
        </is>
      </c>
      <c r="AI650" s="11" t="inlineStr">
        <is>
          <t>30</t>
        </is>
      </c>
    </row>
    <row r="651">
      <c r="A651" s="4" t="inlineStr">
        <is>
          <t>Студент1.1</t>
        </is>
      </c>
      <c r="B651" s="4" t="inlineStr"/>
      <c r="C651" s="4" t="n"/>
      <c r="D651" s="4" t="n"/>
      <c r="E651" s="4" t="n"/>
      <c r="F651" s="15" t="n"/>
      <c r="G651" s="15" t="n"/>
      <c r="H651" s="15" t="n"/>
      <c r="I651" s="15" t="n"/>
      <c r="J651" s="15" t="n"/>
      <c r="K651" s="15" t="n"/>
      <c r="L651" s="15" t="n"/>
      <c r="M651" s="15" t="n"/>
      <c r="N651" s="15" t="n"/>
      <c r="O651" s="15" t="n"/>
      <c r="P651" s="15" t="n"/>
      <c r="Q651" s="15" t="n"/>
      <c r="R651" s="15" t="n"/>
      <c r="S651" s="15" t="n"/>
      <c r="T651" s="15" t="n"/>
      <c r="U651" s="15" t="n"/>
      <c r="V651" s="15" t="n"/>
      <c r="W651" s="15" t="n"/>
      <c r="X651" s="15" t="n"/>
      <c r="Y651" s="15" t="n"/>
      <c r="Z651" s="15" t="n"/>
      <c r="AA651" s="15" t="n"/>
      <c r="AB651" s="15" t="n"/>
      <c r="AC651" s="15" t="n"/>
      <c r="AD651" s="15" t="n"/>
      <c r="AE651" s="15" t="n"/>
      <c r="AF651" s="15" t="n"/>
      <c r="AG651" s="15" t="n"/>
      <c r="AH651" s="15" t="n"/>
      <c r="AI651" s="15" t="n"/>
    </row>
    <row r="652">
      <c r="A652" s="4" t="inlineStr">
        <is>
          <t>Студент1.2</t>
        </is>
      </c>
      <c r="B652" s="4" t="inlineStr"/>
      <c r="C652" s="4" t="n"/>
      <c r="D652" s="4" t="n"/>
      <c r="E652" s="4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  <c r="O652" s="15" t="n"/>
      <c r="P652" s="15" t="n"/>
      <c r="Q652" s="15" t="n"/>
      <c r="R652" s="15" t="n"/>
      <c r="S652" s="15" t="n"/>
      <c r="T652" s="15" t="n"/>
      <c r="U652" s="15" t="n"/>
      <c r="V652" s="15" t="n"/>
      <c r="W652" s="15" t="n"/>
      <c r="X652" s="15" t="n"/>
      <c r="Y652" s="15" t="n"/>
      <c r="Z652" s="15" t="n"/>
      <c r="AA652" s="15" t="n"/>
      <c r="AB652" s="15" t="n"/>
      <c r="AC652" s="15" t="n"/>
      <c r="AD652" s="15" t="n"/>
      <c r="AE652" s="15" t="n"/>
      <c r="AF652" s="15" t="n"/>
      <c r="AG652" s="15" t="n"/>
      <c r="AH652" s="15" t="n"/>
      <c r="AI652" s="15" t="n"/>
    </row>
    <row r="653">
      <c r="A653" s="4" t="inlineStr">
        <is>
          <t>Студент1.3</t>
        </is>
      </c>
      <c r="B653" s="4" t="inlineStr"/>
      <c r="C653" s="4" t="n"/>
      <c r="D653" s="4" t="n"/>
      <c r="E653" s="4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  <c r="O653" s="15" t="n"/>
      <c r="P653" s="15" t="n"/>
      <c r="Q653" s="15" t="n"/>
      <c r="R653" s="15" t="n"/>
      <c r="S653" s="15" t="n"/>
      <c r="T653" s="15" t="n"/>
      <c r="U653" s="15" t="n"/>
      <c r="V653" s="15" t="n"/>
      <c r="W653" s="15" t="n"/>
      <c r="X653" s="15" t="n"/>
      <c r="Y653" s="15" t="n"/>
      <c r="Z653" s="15" t="n"/>
      <c r="AA653" s="15" t="n"/>
      <c r="AB653" s="15" t="n"/>
      <c r="AC653" s="15" t="n"/>
      <c r="AD653" s="15" t="n"/>
      <c r="AE653" s="15" t="n"/>
      <c r="AF653" s="15" t="n"/>
      <c r="AG653" s="15" t="n"/>
      <c r="AH653" s="15" t="n"/>
      <c r="AI653" s="15" t="n"/>
    </row>
    <row r="654">
      <c r="A654" s="4" t="inlineStr">
        <is>
          <t>Студент1.4</t>
        </is>
      </c>
      <c r="B654" s="4" t="inlineStr"/>
      <c r="C654" s="4" t="n"/>
      <c r="D654" s="4" t="n"/>
      <c r="E654" s="4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  <c r="O654" s="15" t="n"/>
      <c r="P654" s="15" t="n"/>
      <c r="Q654" s="15" t="n"/>
      <c r="R654" s="15" t="n"/>
      <c r="S654" s="15" t="n"/>
      <c r="T654" s="15" t="n"/>
      <c r="U654" s="15" t="n"/>
      <c r="V654" s="15" t="n"/>
      <c r="W654" s="15" t="n"/>
      <c r="X654" s="15" t="n"/>
      <c r="Y654" s="15" t="n"/>
      <c r="Z654" s="15" t="n"/>
      <c r="AA654" s="15" t="n"/>
      <c r="AB654" s="15" t="n"/>
      <c r="AC654" s="15" t="n"/>
      <c r="AD654" s="15" t="n"/>
      <c r="AE654" s="15" t="n"/>
      <c r="AF654" s="15" t="n"/>
      <c r="AG654" s="15" t="n"/>
      <c r="AH654" s="15" t="n"/>
      <c r="AI654" s="15" t="n"/>
    </row>
    <row r="655">
      <c r="A655" s="4" t="inlineStr">
        <is>
          <t>Студент1.5</t>
        </is>
      </c>
      <c r="B655" s="4" t="inlineStr"/>
      <c r="C655" s="4" t="n"/>
      <c r="D655" s="4" t="n"/>
      <c r="E655" s="4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  <c r="O655" s="15" t="n"/>
      <c r="P655" s="15" t="n"/>
      <c r="Q655" s="15" t="n"/>
      <c r="R655" s="15" t="n"/>
      <c r="S655" s="15" t="n"/>
      <c r="T655" s="15" t="n"/>
      <c r="U655" s="15" t="n"/>
      <c r="V655" s="15" t="n"/>
      <c r="W655" s="15" t="n"/>
      <c r="X655" s="15" t="n"/>
      <c r="Y655" s="15" t="n"/>
      <c r="Z655" s="15" t="n"/>
      <c r="AA655" s="15" t="n"/>
      <c r="AB655" s="15" t="n"/>
      <c r="AC655" s="15" t="n"/>
      <c r="AD655" s="15" t="n"/>
      <c r="AE655" s="15" t="n"/>
      <c r="AF655" s="15" t="n"/>
      <c r="AG655" s="15" t="n"/>
      <c r="AH655" s="15" t="n"/>
      <c r="AI655" s="15" t="n"/>
    </row>
    <row r="656">
      <c r="A656" s="4" t="inlineStr">
        <is>
          <t>Студент1.6</t>
        </is>
      </c>
      <c r="B656" s="4" t="inlineStr"/>
      <c r="C656" s="4" t="n"/>
      <c r="D656" s="4" t="n"/>
      <c r="E656" s="4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  <c r="O656" s="15" t="n"/>
      <c r="P656" s="15" t="n"/>
      <c r="Q656" s="15" t="n"/>
      <c r="R656" s="15" t="n"/>
      <c r="S656" s="15" t="n"/>
      <c r="T656" s="15" t="n"/>
      <c r="U656" s="15" t="n"/>
      <c r="V656" s="15" t="n"/>
      <c r="W656" s="15" t="n"/>
      <c r="X656" s="15" t="n"/>
      <c r="Y656" s="15" t="n"/>
      <c r="Z656" s="15" t="n"/>
      <c r="AA656" s="15" t="n"/>
      <c r="AB656" s="15" t="n"/>
      <c r="AC656" s="15" t="n"/>
      <c r="AD656" s="15" t="n"/>
      <c r="AE656" s="15" t="n"/>
      <c r="AF656" s="15" t="n"/>
      <c r="AG656" s="15" t="n"/>
      <c r="AH656" s="15" t="n"/>
      <c r="AI656" s="15" t="n"/>
    </row>
    <row r="657">
      <c r="A657" s="4" t="inlineStr">
        <is>
          <t>Студент1.7</t>
        </is>
      </c>
      <c r="B657" s="4" t="inlineStr"/>
      <c r="C657" s="4" t="n"/>
      <c r="D657" s="4" t="n"/>
      <c r="E657" s="4" t="n"/>
      <c r="F657" s="15" t="n"/>
      <c r="G657" s="15" t="n"/>
      <c r="H657" s="15" t="n"/>
      <c r="I657" s="15" t="n"/>
      <c r="J657" s="15" t="n"/>
      <c r="K657" s="15" t="n"/>
      <c r="L657" s="15" t="n"/>
      <c r="M657" s="15" t="n"/>
      <c r="N657" s="15" t="n"/>
      <c r="O657" s="15" t="n"/>
      <c r="P657" s="15" t="n"/>
      <c r="Q657" s="15" t="n"/>
      <c r="R657" s="15" t="n"/>
      <c r="S657" s="15" t="n"/>
      <c r="T657" s="15" t="n"/>
      <c r="U657" s="15" t="n"/>
      <c r="V657" s="15" t="n"/>
      <c r="W657" s="15" t="n"/>
      <c r="X657" s="15" t="n"/>
      <c r="Y657" s="15" t="n"/>
      <c r="Z657" s="15" t="n"/>
      <c r="AA657" s="15" t="n"/>
      <c r="AB657" s="15" t="n"/>
      <c r="AC657" s="15" t="n"/>
      <c r="AD657" s="15" t="n"/>
      <c r="AE657" s="15" t="n"/>
      <c r="AF657" s="15" t="n"/>
      <c r="AG657" s="15" t="n"/>
      <c r="AH657" s="15" t="n"/>
      <c r="AI657" s="15" t="n"/>
    </row>
    <row r="658">
      <c r="A658" s="4" t="inlineStr">
        <is>
          <t>Студент1.8</t>
        </is>
      </c>
      <c r="B658" s="4" t="inlineStr"/>
      <c r="C658" s="4" t="n"/>
      <c r="D658" s="4" t="n"/>
      <c r="E658" s="4" t="n"/>
      <c r="F658" s="15" t="n"/>
      <c r="G658" s="15" t="n"/>
      <c r="H658" s="15" t="n"/>
      <c r="I658" s="15" t="n"/>
      <c r="J658" s="15" t="n"/>
      <c r="K658" s="15" t="n"/>
      <c r="L658" s="15" t="n"/>
      <c r="M658" s="15" t="n"/>
      <c r="N658" s="15" t="n"/>
      <c r="O658" s="15" t="n"/>
      <c r="P658" s="15" t="n"/>
      <c r="Q658" s="15" t="n"/>
      <c r="R658" s="15" t="n"/>
      <c r="S658" s="15" t="n"/>
      <c r="T658" s="15" t="n"/>
      <c r="U658" s="15" t="n"/>
      <c r="V658" s="15" t="n"/>
      <c r="W658" s="15" t="n"/>
      <c r="X658" s="15" t="n"/>
      <c r="Y658" s="15" t="n"/>
      <c r="Z658" s="15" t="n"/>
      <c r="AA658" s="15" t="n"/>
      <c r="AB658" s="15" t="n"/>
      <c r="AC658" s="15" t="n"/>
      <c r="AD658" s="15" t="n"/>
      <c r="AE658" s="15" t="n"/>
      <c r="AF658" s="15" t="n"/>
      <c r="AG658" s="15" t="n"/>
      <c r="AH658" s="15" t="n"/>
      <c r="AI658" s="15" t="n"/>
    </row>
    <row r="659">
      <c r="A659" s="4" t="inlineStr">
        <is>
          <t>Студент1.9</t>
        </is>
      </c>
      <c r="B659" s="4" t="inlineStr"/>
      <c r="C659" s="4" t="n"/>
      <c r="D659" s="4" t="n"/>
      <c r="E659" s="4" t="n"/>
      <c r="F659" s="15" t="n"/>
      <c r="G659" s="15" t="n"/>
      <c r="H659" s="15" t="n"/>
      <c r="I659" s="15" t="n"/>
      <c r="J659" s="15" t="n"/>
      <c r="K659" s="15" t="n"/>
      <c r="L659" s="15" t="n"/>
      <c r="M659" s="15" t="n"/>
      <c r="N659" s="15" t="n"/>
      <c r="O659" s="15" t="n"/>
      <c r="P659" s="15" t="n"/>
      <c r="Q659" s="15" t="n"/>
      <c r="R659" s="15" t="n"/>
      <c r="S659" s="15" t="n"/>
      <c r="T659" s="15" t="n"/>
      <c r="U659" s="15" t="n"/>
      <c r="V659" s="15" t="n"/>
      <c r="W659" s="15" t="n"/>
      <c r="X659" s="15" t="n"/>
      <c r="Y659" s="15" t="n"/>
      <c r="Z659" s="15" t="n"/>
      <c r="AA659" s="15" t="n"/>
      <c r="AB659" s="15" t="n"/>
      <c r="AC659" s="15" t="n"/>
      <c r="AD659" s="15" t="n"/>
      <c r="AE659" s="15" t="n"/>
      <c r="AF659" s="15" t="n"/>
      <c r="AG659" s="15" t="n"/>
      <c r="AH659" s="15" t="n"/>
      <c r="AI659" s="15" t="n"/>
    </row>
    <row r="660">
      <c r="A660" s="4" t="inlineStr">
        <is>
          <t>Студент1.10</t>
        </is>
      </c>
      <c r="B660" s="4" t="inlineStr"/>
      <c r="C660" s="4" t="n"/>
      <c r="D660" s="4" t="n"/>
      <c r="E660" s="4" t="n"/>
      <c r="F660" s="15" t="n"/>
      <c r="G660" s="15" t="n"/>
      <c r="H660" s="15" t="n"/>
      <c r="I660" s="15" t="n"/>
      <c r="J660" s="15" t="n"/>
      <c r="K660" s="15" t="n"/>
      <c r="L660" s="15" t="n"/>
      <c r="M660" s="15" t="n"/>
      <c r="N660" s="15" t="n"/>
      <c r="O660" s="15" t="n"/>
      <c r="P660" s="15" t="n"/>
      <c r="Q660" s="15" t="n"/>
      <c r="R660" s="15" t="n"/>
      <c r="S660" s="15" t="n"/>
      <c r="T660" s="15" t="n"/>
      <c r="U660" s="15" t="n"/>
      <c r="V660" s="15" t="n"/>
      <c r="W660" s="15" t="n"/>
      <c r="X660" s="15" t="n"/>
      <c r="Y660" s="15" t="n"/>
      <c r="Z660" s="15" t="n"/>
      <c r="AA660" s="15" t="n"/>
      <c r="AB660" s="15" t="n"/>
      <c r="AC660" s="15" t="n"/>
      <c r="AD660" s="15" t="n"/>
      <c r="AE660" s="15" t="n"/>
      <c r="AF660" s="15" t="n"/>
      <c r="AG660" s="15" t="n"/>
      <c r="AH660" s="15" t="n"/>
      <c r="AI660" s="15" t="n"/>
    </row>
    <row r="661">
      <c r="A661" s="4" t="inlineStr">
        <is>
          <t>Студент1.11</t>
        </is>
      </c>
      <c r="B661" s="4" t="inlineStr"/>
      <c r="C661" s="4" t="n"/>
      <c r="D661" s="4" t="n"/>
      <c r="E661" s="4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  <c r="O661" s="15" t="n"/>
      <c r="P661" s="15" t="n"/>
      <c r="Q661" s="15" t="n"/>
      <c r="R661" s="15" t="n"/>
      <c r="S661" s="15" t="n"/>
      <c r="T661" s="15" t="n"/>
      <c r="U661" s="15" t="n"/>
      <c r="V661" s="15" t="n"/>
      <c r="W661" s="15" t="n"/>
      <c r="X661" s="15" t="n"/>
      <c r="Y661" s="15" t="n"/>
      <c r="Z661" s="15" t="n"/>
      <c r="AA661" s="15" t="n"/>
      <c r="AB661" s="15" t="n"/>
      <c r="AC661" s="15" t="n"/>
      <c r="AD661" s="15" t="n"/>
      <c r="AE661" s="15" t="n"/>
      <c r="AF661" s="15" t="n"/>
      <c r="AG661" s="15" t="n"/>
      <c r="AH661" s="15" t="n"/>
      <c r="AI661" s="15" t="n"/>
    </row>
    <row r="662">
      <c r="A662" s="4" t="inlineStr">
        <is>
          <t>Студент1.12</t>
        </is>
      </c>
      <c r="B662" s="4" t="inlineStr"/>
      <c r="C662" s="4" t="n"/>
      <c r="D662" s="4" t="n"/>
      <c r="E662" s="4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  <c r="O662" s="15" t="n"/>
      <c r="P662" s="15" t="n"/>
      <c r="Q662" s="15" t="n"/>
      <c r="R662" s="15" t="n"/>
      <c r="S662" s="15" t="n"/>
      <c r="T662" s="15" t="n"/>
      <c r="U662" s="15" t="n"/>
      <c r="V662" s="15" t="n"/>
      <c r="W662" s="15" t="n"/>
      <c r="X662" s="15" t="n"/>
      <c r="Y662" s="15" t="n"/>
      <c r="Z662" s="15" t="n"/>
      <c r="AA662" s="15" t="n"/>
      <c r="AB662" s="15" t="n"/>
      <c r="AC662" s="15" t="n"/>
      <c r="AD662" s="15" t="n"/>
      <c r="AE662" s="15" t="n"/>
      <c r="AF662" s="15" t="n"/>
      <c r="AG662" s="15" t="n"/>
      <c r="AH662" s="15" t="n"/>
      <c r="AI662" s="15" t="n"/>
    </row>
    <row r="663">
      <c r="A663" s="4" t="inlineStr">
        <is>
          <t>Студент1.13</t>
        </is>
      </c>
      <c r="B663" s="4" t="inlineStr"/>
      <c r="C663" s="4" t="n"/>
      <c r="D663" s="4" t="n"/>
      <c r="E663" s="4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  <c r="O663" s="15" t="n"/>
      <c r="P663" s="15" t="n"/>
      <c r="Q663" s="15" t="n"/>
      <c r="R663" s="15" t="n"/>
      <c r="S663" s="15" t="n"/>
      <c r="T663" s="15" t="n"/>
      <c r="U663" s="15" t="n"/>
      <c r="V663" s="15" t="n"/>
      <c r="W663" s="15" t="n"/>
      <c r="X663" s="15" t="n"/>
      <c r="Y663" s="15" t="n"/>
      <c r="Z663" s="15" t="n"/>
      <c r="AA663" s="15" t="n"/>
      <c r="AB663" s="15" t="n"/>
      <c r="AC663" s="15" t="n"/>
      <c r="AD663" s="15" t="n"/>
      <c r="AE663" s="15" t="n"/>
      <c r="AF663" s="15" t="n"/>
      <c r="AG663" s="15" t="n"/>
      <c r="AH663" s="15" t="n"/>
      <c r="AI663" s="15" t="n"/>
    </row>
    <row r="664">
      <c r="A664" s="4" t="inlineStr">
        <is>
          <t>Студент1.14</t>
        </is>
      </c>
      <c r="B664" s="4" t="inlineStr"/>
      <c r="C664" s="4" t="n"/>
      <c r="D664" s="4" t="n"/>
      <c r="E664" s="4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  <c r="O664" s="15" t="n"/>
      <c r="P664" s="15" t="n"/>
      <c r="Q664" s="15" t="n"/>
      <c r="R664" s="15" t="n"/>
      <c r="S664" s="15" t="n"/>
      <c r="T664" s="15" t="n"/>
      <c r="U664" s="15" t="n"/>
      <c r="V664" s="15" t="n"/>
      <c r="W664" s="15" t="n"/>
      <c r="X664" s="15" t="n"/>
      <c r="Y664" s="15" t="n"/>
      <c r="Z664" s="15" t="n"/>
      <c r="AA664" s="15" t="n"/>
      <c r="AB664" s="15" t="n"/>
      <c r="AC664" s="15" t="n"/>
      <c r="AD664" s="15" t="n"/>
      <c r="AE664" s="15" t="n"/>
      <c r="AF664" s="15" t="n"/>
      <c r="AG664" s="15" t="n"/>
      <c r="AH664" s="15" t="n"/>
      <c r="AI664" s="15" t="n"/>
    </row>
    <row r="665">
      <c r="A665" s="4" t="inlineStr">
        <is>
          <t>Студент1.15</t>
        </is>
      </c>
      <c r="B665" s="4" t="inlineStr"/>
      <c r="C665" s="4" t="n"/>
      <c r="D665" s="4" t="n"/>
      <c r="E665" s="4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  <c r="O665" s="15" t="n"/>
      <c r="P665" s="15" t="n"/>
      <c r="Q665" s="15" t="n"/>
      <c r="R665" s="15" t="n"/>
      <c r="S665" s="15" t="n"/>
      <c r="T665" s="15" t="n"/>
      <c r="U665" s="15" t="n"/>
      <c r="V665" s="15" t="n"/>
      <c r="W665" s="15" t="n"/>
      <c r="X665" s="15" t="n"/>
      <c r="Y665" s="15" t="n"/>
      <c r="Z665" s="15" t="n"/>
      <c r="AA665" s="15" t="n"/>
      <c r="AB665" s="15" t="n"/>
      <c r="AC665" s="15" t="n"/>
      <c r="AD665" s="15" t="n"/>
      <c r="AE665" s="15" t="n"/>
      <c r="AF665" s="15" t="n"/>
      <c r="AG665" s="15" t="n"/>
      <c r="AH665" s="15" t="n"/>
      <c r="AI665" s="15" t="n"/>
    </row>
    <row r="666">
      <c r="A666" s="4" t="inlineStr">
        <is>
          <t>Студент1.16</t>
        </is>
      </c>
      <c r="B666" s="4" t="inlineStr"/>
      <c r="C666" s="4" t="n"/>
      <c r="D666" s="4" t="n"/>
      <c r="E666" s="4" t="n"/>
      <c r="F666" s="15" t="n"/>
      <c r="G666" s="15" t="n"/>
      <c r="H666" s="15" t="n"/>
      <c r="I666" s="15" t="n"/>
      <c r="J666" s="15" t="n"/>
      <c r="K666" s="15" t="n"/>
      <c r="L666" s="15" t="n"/>
      <c r="M666" s="15" t="n"/>
      <c r="N666" s="15" t="n"/>
      <c r="O666" s="15" t="n"/>
      <c r="P666" s="15" t="n"/>
      <c r="Q666" s="15" t="n"/>
      <c r="R666" s="15" t="n"/>
      <c r="S666" s="15" t="n"/>
      <c r="T666" s="15" t="n"/>
      <c r="U666" s="15" t="n"/>
      <c r="V666" s="15" t="n"/>
      <c r="W666" s="15" t="n"/>
      <c r="X666" s="15" t="n"/>
      <c r="Y666" s="15" t="n"/>
      <c r="Z666" s="15" t="n"/>
      <c r="AA666" s="15" t="n"/>
      <c r="AB666" s="15" t="n"/>
      <c r="AC666" s="15" t="n"/>
      <c r="AD666" s="15" t="n"/>
      <c r="AE666" s="15" t="n"/>
      <c r="AF666" s="15" t="n"/>
      <c r="AG666" s="15" t="n"/>
      <c r="AH666" s="15" t="n"/>
      <c r="AI666" s="15" t="n"/>
    </row>
    <row r="667">
      <c r="A667" s="4" t="inlineStr">
        <is>
          <t>Студент1.17</t>
        </is>
      </c>
      <c r="B667" s="4" t="inlineStr"/>
      <c r="C667" s="4" t="n"/>
      <c r="D667" s="4" t="n"/>
      <c r="E667" s="4" t="n"/>
      <c r="F667" s="15" t="n"/>
      <c r="G667" s="15" t="n"/>
      <c r="H667" s="15" t="n"/>
      <c r="I667" s="15" t="n"/>
      <c r="J667" s="15" t="n"/>
      <c r="K667" s="15" t="n"/>
      <c r="L667" s="15" t="n"/>
      <c r="M667" s="15" t="n"/>
      <c r="N667" s="15" t="n"/>
      <c r="O667" s="15" t="n"/>
      <c r="P667" s="15" t="n"/>
      <c r="Q667" s="15" t="n"/>
      <c r="R667" s="15" t="n"/>
      <c r="S667" s="15" t="n"/>
      <c r="T667" s="15" t="n"/>
      <c r="U667" s="15" t="n"/>
      <c r="V667" s="15" t="n"/>
      <c r="W667" s="15" t="n"/>
      <c r="X667" s="15" t="n"/>
      <c r="Y667" s="15" t="n"/>
      <c r="Z667" s="15" t="n"/>
      <c r="AA667" s="15" t="n"/>
      <c r="AB667" s="15" t="n"/>
      <c r="AC667" s="15" t="n"/>
      <c r="AD667" s="15" t="n"/>
      <c r="AE667" s="15" t="n"/>
      <c r="AF667" s="15" t="n"/>
      <c r="AG667" s="15" t="n"/>
      <c r="AH667" s="15" t="n"/>
      <c r="AI667" s="15" t="n"/>
    </row>
    <row r="668">
      <c r="A668" s="4" t="inlineStr">
        <is>
          <t>Студент1.18</t>
        </is>
      </c>
      <c r="B668" s="4" t="inlineStr"/>
      <c r="C668" s="4" t="n"/>
      <c r="D668" s="4" t="n"/>
      <c r="E668" s="4" t="n"/>
      <c r="F668" s="15" t="n"/>
      <c r="G668" s="15" t="n"/>
      <c r="H668" s="15" t="n"/>
      <c r="I668" s="15" t="n"/>
      <c r="J668" s="15" t="n"/>
      <c r="K668" s="15" t="n"/>
      <c r="L668" s="15" t="n"/>
      <c r="M668" s="15" t="n"/>
      <c r="N668" s="15" t="n"/>
      <c r="O668" s="15" t="n"/>
      <c r="P668" s="15" t="n"/>
      <c r="Q668" s="15" t="n"/>
      <c r="R668" s="15" t="n"/>
      <c r="S668" s="15" t="n"/>
      <c r="T668" s="15" t="n"/>
      <c r="U668" s="15" t="n"/>
      <c r="V668" s="15" t="n"/>
      <c r="W668" s="15" t="n"/>
      <c r="X668" s="15" t="n"/>
      <c r="Y668" s="15" t="n"/>
      <c r="Z668" s="15" t="n"/>
      <c r="AA668" s="15" t="n"/>
      <c r="AB668" s="15" t="n"/>
      <c r="AC668" s="15" t="n"/>
      <c r="AD668" s="15" t="n"/>
      <c r="AE668" s="15" t="n"/>
      <c r="AF668" s="15" t="n"/>
      <c r="AG668" s="15" t="n"/>
      <c r="AH668" s="15" t="n"/>
      <c r="AI668" s="15" t="n"/>
    </row>
    <row r="669">
      <c r="A669" s="4" t="inlineStr">
        <is>
          <t>Студент1.19</t>
        </is>
      </c>
      <c r="B669" s="4" t="inlineStr"/>
      <c r="C669" s="4" t="n"/>
      <c r="D669" s="4" t="n"/>
      <c r="E669" s="4" t="n"/>
      <c r="F669" s="15" t="n"/>
      <c r="G669" s="15" t="n"/>
      <c r="H669" s="15" t="n"/>
      <c r="I669" s="15" t="n"/>
      <c r="J669" s="15" t="n"/>
      <c r="K669" s="15" t="n"/>
      <c r="L669" s="15" t="n"/>
      <c r="M669" s="15" t="n"/>
      <c r="N669" s="15" t="n"/>
      <c r="O669" s="15" t="n"/>
      <c r="P669" s="15" t="n"/>
      <c r="Q669" s="15" t="n"/>
      <c r="R669" s="15" t="n"/>
      <c r="S669" s="15" t="n"/>
      <c r="T669" s="15" t="n"/>
      <c r="U669" s="15" t="n"/>
      <c r="V669" s="15" t="n"/>
      <c r="W669" s="15" t="n"/>
      <c r="X669" s="15" t="n"/>
      <c r="Y669" s="15" t="n"/>
      <c r="Z669" s="15" t="n"/>
      <c r="AA669" s="15" t="n"/>
      <c r="AB669" s="15" t="n"/>
      <c r="AC669" s="15" t="n"/>
      <c r="AD669" s="15" t="n"/>
      <c r="AE669" s="15" t="n"/>
      <c r="AF669" s="15" t="n"/>
      <c r="AG669" s="15" t="n"/>
      <c r="AH669" s="15" t="n"/>
      <c r="AI669" s="15" t="n"/>
    </row>
    <row r="670">
      <c r="A670" s="4" t="inlineStr">
        <is>
          <t>Студент1.20</t>
        </is>
      </c>
      <c r="B670" s="4" t="inlineStr"/>
      <c r="C670" s="4" t="n"/>
      <c r="D670" s="4" t="n"/>
      <c r="E670" s="4" t="n"/>
      <c r="F670" s="15" t="n"/>
      <c r="G670" s="15" t="n"/>
      <c r="H670" s="15" t="n"/>
      <c r="I670" s="15" t="n"/>
      <c r="J670" s="15" t="n"/>
      <c r="K670" s="15" t="n"/>
      <c r="L670" s="15" t="n"/>
      <c r="M670" s="15" t="n"/>
      <c r="N670" s="15" t="n"/>
      <c r="O670" s="15" t="n"/>
      <c r="P670" s="15" t="n"/>
      <c r="Q670" s="15" t="n"/>
      <c r="R670" s="15" t="n"/>
      <c r="S670" s="15" t="n"/>
      <c r="T670" s="15" t="n"/>
      <c r="U670" s="15" t="n"/>
      <c r="V670" s="15" t="n"/>
      <c r="W670" s="15" t="n"/>
      <c r="X670" s="15" t="n"/>
      <c r="Y670" s="15" t="n"/>
      <c r="Z670" s="15" t="n"/>
      <c r="AA670" s="15" t="n"/>
      <c r="AB670" s="15" t="n"/>
      <c r="AC670" s="15" t="n"/>
      <c r="AD670" s="15" t="n"/>
      <c r="AE670" s="15" t="n"/>
      <c r="AF670" s="15" t="n"/>
      <c r="AG670" s="15" t="n"/>
      <c r="AH670" s="15" t="n"/>
      <c r="AI670" s="15" t="n"/>
    </row>
    <row r="671">
      <c r="A671" s="4" t="inlineStr">
        <is>
          <t>Студент1.21</t>
        </is>
      </c>
      <c r="B671" s="4" t="inlineStr"/>
      <c r="C671" s="4" t="n"/>
      <c r="D671" s="4" t="n"/>
      <c r="E671" s="4" t="n"/>
      <c r="F671" s="15" t="n"/>
      <c r="G671" s="15" t="n"/>
      <c r="H671" s="15" t="n"/>
      <c r="I671" s="15" t="n"/>
      <c r="J671" s="15" t="n"/>
      <c r="K671" s="15" t="n"/>
      <c r="L671" s="15" t="n"/>
      <c r="M671" s="15" t="n"/>
      <c r="N671" s="15" t="n"/>
      <c r="O671" s="15" t="n"/>
      <c r="P671" s="15" t="n"/>
      <c r="Q671" s="15" t="n"/>
      <c r="R671" s="15" t="n"/>
      <c r="S671" s="15" t="n"/>
      <c r="T671" s="15" t="n"/>
      <c r="U671" s="15" t="n"/>
      <c r="V671" s="15" t="n"/>
      <c r="W671" s="15" t="n"/>
      <c r="X671" s="15" t="n"/>
      <c r="Y671" s="15" t="n"/>
      <c r="Z671" s="15" t="n"/>
      <c r="AA671" s="15" t="n"/>
      <c r="AB671" s="15" t="n"/>
      <c r="AC671" s="15" t="n"/>
      <c r="AD671" s="15" t="n"/>
      <c r="AE671" s="15" t="n"/>
      <c r="AF671" s="15" t="n"/>
      <c r="AG671" s="15" t="n"/>
      <c r="AH671" s="15" t="n"/>
      <c r="AI671" s="15" t="n"/>
    </row>
    <row r="672">
      <c r="A672" s="4" t="inlineStr">
        <is>
          <t>Студент1.22</t>
        </is>
      </c>
      <c r="B672" s="4" t="inlineStr"/>
      <c r="C672" s="4" t="n"/>
      <c r="D672" s="4" t="n"/>
      <c r="E672" s="4" t="n"/>
      <c r="F672" s="15" t="n"/>
      <c r="G672" s="15" t="n"/>
      <c r="H672" s="15" t="n"/>
      <c r="I672" s="15" t="n"/>
      <c r="J672" s="15" t="n"/>
      <c r="K672" s="15" t="n"/>
      <c r="L672" s="15" t="n"/>
      <c r="M672" s="15" t="n"/>
      <c r="N672" s="15" t="n"/>
      <c r="O672" s="15" t="n"/>
      <c r="P672" s="15" t="n"/>
      <c r="Q672" s="15" t="n"/>
      <c r="R672" s="15" t="n"/>
      <c r="S672" s="15" t="n"/>
      <c r="T672" s="15" t="n"/>
      <c r="U672" s="15" t="n"/>
      <c r="V672" s="15" t="n"/>
      <c r="W672" s="15" t="n"/>
      <c r="X672" s="15" t="n"/>
      <c r="Y672" s="15" t="n"/>
      <c r="Z672" s="15" t="n"/>
      <c r="AA672" s="15" t="n"/>
      <c r="AB672" s="15" t="n"/>
      <c r="AC672" s="15" t="n"/>
      <c r="AD672" s="15" t="n"/>
      <c r="AE672" s="15" t="n"/>
      <c r="AF672" s="15" t="n"/>
      <c r="AG672" s="15" t="n"/>
      <c r="AH672" s="15" t="n"/>
      <c r="AI672" s="15" t="n"/>
    </row>
    <row r="673">
      <c r="A673" s="4" t="inlineStr">
        <is>
          <t>Студент1.23</t>
        </is>
      </c>
      <c r="B673" s="4" t="inlineStr"/>
      <c r="C673" s="4" t="n"/>
      <c r="D673" s="4" t="n"/>
      <c r="E673" s="4" t="n"/>
      <c r="F673" s="15" t="n"/>
      <c r="G673" s="15" t="n"/>
      <c r="H673" s="15" t="n"/>
      <c r="I673" s="15" t="n"/>
      <c r="J673" s="15" t="n"/>
      <c r="K673" s="15" t="n"/>
      <c r="L673" s="15" t="n"/>
      <c r="M673" s="15" t="n"/>
      <c r="N673" s="15" t="n"/>
      <c r="O673" s="15" t="n"/>
      <c r="P673" s="15" t="n"/>
      <c r="Q673" s="15" t="n"/>
      <c r="R673" s="15" t="n"/>
      <c r="S673" s="15" t="n"/>
      <c r="T673" s="15" t="n"/>
      <c r="U673" s="15" t="n"/>
      <c r="V673" s="15" t="n"/>
      <c r="W673" s="15" t="n"/>
      <c r="X673" s="15" t="n"/>
      <c r="Y673" s="15" t="n"/>
      <c r="Z673" s="15" t="n"/>
      <c r="AA673" s="15" t="n"/>
      <c r="AB673" s="15" t="n"/>
      <c r="AC673" s="15" t="n"/>
      <c r="AD673" s="15" t="n"/>
      <c r="AE673" s="15" t="n"/>
      <c r="AF673" s="15" t="n"/>
      <c r="AG673" s="15" t="n"/>
      <c r="AH673" s="15" t="n"/>
      <c r="AI673" s="15" t="n"/>
    </row>
    <row r="674">
      <c r="A674" s="4" t="inlineStr">
        <is>
          <t>Студент1.24</t>
        </is>
      </c>
      <c r="B674" s="4" t="inlineStr"/>
      <c r="C674" s="4" t="n"/>
      <c r="D674" s="4" t="n"/>
      <c r="E674" s="4" t="n"/>
      <c r="F674" s="15" t="n"/>
      <c r="G674" s="15" t="n"/>
      <c r="H674" s="15" t="n"/>
      <c r="I674" s="15" t="n"/>
      <c r="J674" s="15" t="n"/>
      <c r="K674" s="15" t="n"/>
      <c r="L674" s="15" t="n"/>
      <c r="M674" s="15" t="n"/>
      <c r="N674" s="15" t="n"/>
      <c r="O674" s="15" t="n"/>
      <c r="P674" s="15" t="n"/>
      <c r="Q674" s="15" t="n"/>
      <c r="R674" s="15" t="n"/>
      <c r="S674" s="15" t="n"/>
      <c r="T674" s="15" t="n"/>
      <c r="U674" s="15" t="n"/>
      <c r="V674" s="15" t="n"/>
      <c r="W674" s="15" t="n"/>
      <c r="X674" s="15" t="n"/>
      <c r="Y674" s="15" t="n"/>
      <c r="Z674" s="15" t="n"/>
      <c r="AA674" s="15" t="n"/>
      <c r="AB674" s="15" t="n"/>
      <c r="AC674" s="15" t="n"/>
      <c r="AD674" s="15" t="n"/>
      <c r="AE674" s="15" t="n"/>
      <c r="AF674" s="15" t="n"/>
      <c r="AG674" s="15" t="n"/>
      <c r="AH674" s="15" t="n"/>
      <c r="AI674" s="15" t="n"/>
    </row>
    <row r="675">
      <c r="A675" s="4" t="inlineStr">
        <is>
          <t>Студент1.25</t>
        </is>
      </c>
      <c r="B675" s="4" t="inlineStr"/>
      <c r="C675" s="4" t="n"/>
      <c r="D675" s="4" t="n"/>
      <c r="E675" s="4" t="n"/>
      <c r="F675" s="15" t="n"/>
      <c r="G675" s="15" t="n"/>
      <c r="H675" s="15" t="n"/>
      <c r="I675" s="15" t="n"/>
      <c r="J675" s="15" t="n"/>
      <c r="K675" s="15" t="n"/>
      <c r="L675" s="15" t="n"/>
      <c r="M675" s="15" t="n"/>
      <c r="N675" s="15" t="n"/>
      <c r="O675" s="15" t="n"/>
      <c r="P675" s="15" t="n"/>
      <c r="Q675" s="15" t="n"/>
      <c r="R675" s="15" t="n"/>
      <c r="S675" s="15" t="n"/>
      <c r="T675" s="15" t="n"/>
      <c r="U675" s="15" t="n"/>
      <c r="V675" s="15" t="n"/>
      <c r="W675" s="15" t="n"/>
      <c r="X675" s="15" t="n"/>
      <c r="Y675" s="15" t="n"/>
      <c r="Z675" s="15" t="n"/>
      <c r="AA675" s="15" t="n"/>
      <c r="AB675" s="15" t="n"/>
      <c r="AC675" s="15" t="n"/>
      <c r="AD675" s="15" t="n"/>
      <c r="AE675" s="15" t="n"/>
      <c r="AF675" s="15" t="n"/>
      <c r="AG675" s="15" t="n"/>
      <c r="AH675" s="15" t="n"/>
      <c r="AI675" s="15" t="n"/>
    </row>
    <row r="676">
      <c r="A676" s="4" t="inlineStr">
        <is>
          <t>Студент1.26</t>
        </is>
      </c>
      <c r="B676" s="4" t="inlineStr"/>
      <c r="C676" s="4" t="n"/>
      <c r="D676" s="4" t="n"/>
      <c r="E676" s="4" t="n"/>
      <c r="F676" s="15" t="n"/>
      <c r="G676" s="15" t="n"/>
      <c r="H676" s="15" t="n"/>
      <c r="I676" s="15" t="n"/>
      <c r="J676" s="15" t="n"/>
      <c r="K676" s="15" t="n"/>
      <c r="L676" s="15" t="n"/>
      <c r="M676" s="15" t="n"/>
      <c r="N676" s="15" t="n"/>
      <c r="O676" s="15" t="n"/>
      <c r="P676" s="15" t="n"/>
      <c r="Q676" s="15" t="n"/>
      <c r="R676" s="15" t="n"/>
      <c r="S676" s="15" t="n"/>
      <c r="T676" s="15" t="n"/>
      <c r="U676" s="15" t="n"/>
      <c r="V676" s="15" t="n"/>
      <c r="W676" s="15" t="n"/>
      <c r="X676" s="15" t="n"/>
      <c r="Y676" s="15" t="n"/>
      <c r="Z676" s="15" t="n"/>
      <c r="AA676" s="15" t="n"/>
      <c r="AB676" s="15" t="n"/>
      <c r="AC676" s="15" t="n"/>
      <c r="AD676" s="15" t="n"/>
      <c r="AE676" s="15" t="n"/>
      <c r="AF676" s="15" t="n"/>
      <c r="AG676" s="15" t="n"/>
      <c r="AH676" s="15" t="n"/>
      <c r="AI676" s="15" t="n"/>
    </row>
    <row r="677">
      <c r="A677" s="4" t="inlineStr">
        <is>
          <t>Студент1.27</t>
        </is>
      </c>
      <c r="B677" s="4" t="inlineStr"/>
      <c r="C677" s="4" t="n"/>
      <c r="D677" s="4" t="n"/>
      <c r="E677" s="4" t="n"/>
      <c r="F677" s="15" t="n"/>
      <c r="G677" s="15" t="n"/>
      <c r="H677" s="15" t="n"/>
      <c r="I677" s="15" t="n"/>
      <c r="J677" s="15" t="n"/>
      <c r="K677" s="15" t="n"/>
      <c r="L677" s="15" t="n"/>
      <c r="M677" s="15" t="n"/>
      <c r="N677" s="15" t="n"/>
      <c r="O677" s="15" t="n"/>
      <c r="P677" s="15" t="n"/>
      <c r="Q677" s="15" t="n"/>
      <c r="R677" s="15" t="n"/>
      <c r="S677" s="15" t="n"/>
      <c r="T677" s="15" t="n"/>
      <c r="U677" s="15" t="n"/>
      <c r="V677" s="15" t="n"/>
      <c r="W677" s="15" t="n"/>
      <c r="X677" s="15" t="n"/>
      <c r="Y677" s="15" t="n"/>
      <c r="Z677" s="15" t="n"/>
      <c r="AA677" s="15" t="n"/>
      <c r="AB677" s="15" t="n"/>
      <c r="AC677" s="15" t="n"/>
      <c r="AD677" s="15" t="n"/>
      <c r="AE677" s="15" t="n"/>
      <c r="AF677" s="15" t="n"/>
      <c r="AG677" s="15" t="n"/>
      <c r="AH677" s="15" t="n"/>
      <c r="AI677" s="15" t="n"/>
    </row>
    <row r="678">
      <c r="A678" s="4" t="inlineStr">
        <is>
          <t>Студент1.28</t>
        </is>
      </c>
      <c r="B678" s="4" t="inlineStr"/>
      <c r="C678" s="4" t="n"/>
      <c r="D678" s="4" t="n"/>
      <c r="E678" s="4" t="n"/>
      <c r="F678" s="15" t="n"/>
      <c r="G678" s="15" t="n"/>
      <c r="H678" s="15" t="n"/>
      <c r="I678" s="15" t="n"/>
      <c r="J678" s="15" t="n"/>
      <c r="K678" s="15" t="n"/>
      <c r="L678" s="15" t="n"/>
      <c r="M678" s="15" t="n"/>
      <c r="N678" s="15" t="n"/>
      <c r="O678" s="15" t="n"/>
      <c r="P678" s="15" t="n"/>
      <c r="Q678" s="15" t="n"/>
      <c r="R678" s="15" t="n"/>
      <c r="S678" s="15" t="n"/>
      <c r="T678" s="15" t="n"/>
      <c r="U678" s="15" t="n"/>
      <c r="V678" s="15" t="n"/>
      <c r="W678" s="15" t="n"/>
      <c r="X678" s="15" t="n"/>
      <c r="Y678" s="15" t="n"/>
      <c r="Z678" s="15" t="n"/>
      <c r="AA678" s="15" t="n"/>
      <c r="AB678" s="15" t="n"/>
      <c r="AC678" s="15" t="n"/>
      <c r="AD678" s="15" t="n"/>
      <c r="AE678" s="15" t="n"/>
      <c r="AF678" s="15" t="n"/>
      <c r="AG678" s="15" t="n"/>
      <c r="AH678" s="15" t="n"/>
      <c r="AI678" s="15" t="n"/>
    </row>
    <row r="679">
      <c r="A679" s="4" t="inlineStr">
        <is>
          <t>Студент1.29</t>
        </is>
      </c>
      <c r="B679" s="4" t="inlineStr"/>
      <c r="C679" s="4" t="n"/>
      <c r="D679" s="4" t="n"/>
      <c r="E679" s="4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5" t="n"/>
      <c r="P679" s="15" t="n"/>
      <c r="Q679" s="15" t="n"/>
      <c r="R679" s="15" t="n"/>
      <c r="S679" s="15" t="n"/>
      <c r="T679" s="15" t="n"/>
      <c r="U679" s="15" t="n"/>
      <c r="V679" s="15" t="n"/>
      <c r="W679" s="15" t="n"/>
      <c r="X679" s="15" t="n"/>
      <c r="Y679" s="15" t="n"/>
      <c r="Z679" s="15" t="n"/>
      <c r="AA679" s="15" t="n"/>
      <c r="AB679" s="15" t="n"/>
      <c r="AC679" s="15" t="n"/>
      <c r="AD679" s="15" t="n"/>
      <c r="AE679" s="15" t="n"/>
      <c r="AF679" s="15" t="n"/>
      <c r="AG679" s="15" t="n"/>
      <c r="AH679" s="15" t="n"/>
      <c r="AI679" s="15" t="n"/>
    </row>
    <row r="680">
      <c r="A680" s="4" t="inlineStr">
        <is>
          <t>Студент1.30</t>
        </is>
      </c>
      <c r="B680" s="4" t="inlineStr"/>
      <c r="C680" s="4" t="n"/>
      <c r="D680" s="4" t="n"/>
      <c r="E680" s="4" t="n"/>
      <c r="F680" s="15" t="n"/>
      <c r="G680" s="15" t="n"/>
      <c r="H680" s="15" t="n"/>
      <c r="I680" s="15" t="n"/>
      <c r="J680" s="15" t="n"/>
      <c r="K680" s="15" t="n"/>
      <c r="L680" s="15" t="n"/>
      <c r="M680" s="15" t="n"/>
      <c r="N680" s="15" t="n"/>
      <c r="O680" s="15" t="n"/>
      <c r="P680" s="15" t="n"/>
      <c r="Q680" s="15" t="n"/>
      <c r="R680" s="15" t="n"/>
      <c r="S680" s="15" t="n"/>
      <c r="T680" s="15" t="n"/>
      <c r="U680" s="15" t="n"/>
      <c r="V680" s="15" t="n"/>
      <c r="W680" s="15" t="n"/>
      <c r="X680" s="15" t="n"/>
      <c r="Y680" s="15" t="n"/>
      <c r="Z680" s="15" t="n"/>
      <c r="AA680" s="15" t="n"/>
      <c r="AB680" s="15" t="n"/>
      <c r="AC680" s="15" t="n"/>
      <c r="AD680" s="15" t="n"/>
      <c r="AE680" s="15" t="n"/>
      <c r="AF680" s="15" t="n"/>
      <c r="AG680" s="15" t="n"/>
      <c r="AH680" s="15" t="n"/>
      <c r="AI680" s="15" t="n"/>
    </row>
    <row r="684">
      <c r="A684" s="13" t="inlineStr">
        <is>
          <t>Практика 11 — плюсы</t>
        </is>
      </c>
    </row>
    <row r="685" ht="28" customHeight="1">
      <c r="A685" s="7" t="inlineStr">
        <is>
          <t>Имя</t>
        </is>
      </c>
      <c r="B685" s="9" t="inlineStr">
        <is>
          <t>TG</t>
        </is>
      </c>
      <c r="C685" s="10" t="inlineStr">
        <is>
          <t>S</t>
        </is>
      </c>
      <c r="D685" s="8" t="inlineStr">
        <is>
          <t>Коэффициент</t>
        </is>
      </c>
      <c r="E685" s="14" t="inlineStr">
        <is>
          <t>D за практику</t>
        </is>
      </c>
      <c r="F685" s="11" t="inlineStr">
        <is>
          <t>1.0</t>
        </is>
      </c>
      <c r="G685" s="11" t="inlineStr">
        <is>
          <t>2.0</t>
        </is>
      </c>
      <c r="H685" s="11" t="inlineStr">
        <is>
          <t>3.0</t>
        </is>
      </c>
      <c r="I685" s="11" t="inlineStr">
        <is>
          <t>4.0</t>
        </is>
      </c>
      <c r="J685" s="11" t="inlineStr">
        <is>
          <t>5.0</t>
        </is>
      </c>
      <c r="K685" s="11" t="inlineStr">
        <is>
          <t>6</t>
        </is>
      </c>
      <c r="L685" s="11" t="inlineStr">
        <is>
          <t>7</t>
        </is>
      </c>
      <c r="M685" s="11" t="inlineStr">
        <is>
          <t>8</t>
        </is>
      </c>
      <c r="N685" s="11" t="inlineStr">
        <is>
          <t>9</t>
        </is>
      </c>
      <c r="O685" s="11" t="inlineStr">
        <is>
          <t>10</t>
        </is>
      </c>
      <c r="P685" s="11" t="inlineStr">
        <is>
          <t>11</t>
        </is>
      </c>
      <c r="Q685" s="11" t="inlineStr">
        <is>
          <t>12</t>
        </is>
      </c>
      <c r="R685" s="11" t="inlineStr">
        <is>
          <t>13</t>
        </is>
      </c>
      <c r="S685" s="11" t="inlineStr">
        <is>
          <t>14</t>
        </is>
      </c>
      <c r="T685" s="11" t="inlineStr">
        <is>
          <t>15</t>
        </is>
      </c>
      <c r="U685" s="11" t="inlineStr">
        <is>
          <t>16</t>
        </is>
      </c>
      <c r="V685" s="11" t="inlineStr">
        <is>
          <t>17</t>
        </is>
      </c>
      <c r="W685" s="11" t="inlineStr">
        <is>
          <t>18</t>
        </is>
      </c>
      <c r="X685" s="11" t="inlineStr">
        <is>
          <t>19</t>
        </is>
      </c>
      <c r="Y685" s="11" t="inlineStr">
        <is>
          <t>20</t>
        </is>
      </c>
      <c r="Z685" s="11" t="inlineStr">
        <is>
          <t>21</t>
        </is>
      </c>
      <c r="AA685" s="11" t="inlineStr">
        <is>
          <t>22</t>
        </is>
      </c>
      <c r="AB685" s="11" t="inlineStr">
        <is>
          <t>23</t>
        </is>
      </c>
      <c r="AC685" s="11" t="inlineStr">
        <is>
          <t>24</t>
        </is>
      </c>
      <c r="AD685" s="11" t="inlineStr">
        <is>
          <t>25</t>
        </is>
      </c>
      <c r="AE685" s="11" t="inlineStr">
        <is>
          <t>26</t>
        </is>
      </c>
      <c r="AF685" s="11" t="inlineStr">
        <is>
          <t>27</t>
        </is>
      </c>
      <c r="AG685" s="11" t="inlineStr">
        <is>
          <t>28</t>
        </is>
      </c>
      <c r="AH685" s="11" t="inlineStr">
        <is>
          <t>29</t>
        </is>
      </c>
      <c r="AI685" s="11" t="inlineStr">
        <is>
          <t>30</t>
        </is>
      </c>
    </row>
    <row r="686">
      <c r="A686" s="4" t="inlineStr">
        <is>
          <t>Студент1.1</t>
        </is>
      </c>
      <c r="B686" s="4" t="inlineStr"/>
      <c r="C686" s="4">
        <f>IF(A686="","",COUNTIF(F686:AI686,"+")+COUNTIF(F686:AI686,"1"))</f>
        <v/>
      </c>
      <c r="D686" s="4">
        <f>IF(A686="","",IF(C686&gt;2*COUNTA(F$685:AI$685)/3,1,IF(C686&gt;=COUNTA(F$685:AI$685)/2,0.8,0.5)))</f>
        <v/>
      </c>
      <c r="E686" s="4">
        <f>IF(A686="","",SUMIFS('Логи'!$H$4:$H$3006,'Логи'!$A$4:$A$3006,A686,'Логи'!$C$4:$C$3006,11))</f>
        <v/>
      </c>
      <c r="F686" s="15" t="n"/>
      <c r="G686" s="15" t="n"/>
      <c r="H686" s="15" t="n"/>
      <c r="I686" s="15" t="n"/>
      <c r="J686" s="15" t="n"/>
      <c r="K686" s="15" t="n"/>
      <c r="L686" s="15" t="n"/>
      <c r="M686" s="15" t="n"/>
      <c r="N686" s="15" t="n"/>
      <c r="O686" s="15" t="n"/>
      <c r="P686" s="15" t="n"/>
      <c r="Q686" s="15" t="n"/>
      <c r="R686" s="15" t="n"/>
      <c r="S686" s="15" t="n"/>
      <c r="T686" s="15" t="n"/>
      <c r="U686" s="15" t="n"/>
      <c r="V686" s="15" t="n"/>
      <c r="W686" s="15" t="n"/>
      <c r="X686" s="15" t="n"/>
      <c r="Y686" s="15" t="n"/>
      <c r="Z686" s="15" t="n"/>
      <c r="AA686" s="15" t="n"/>
      <c r="AB686" s="15" t="n"/>
      <c r="AC686" s="15" t="n"/>
      <c r="AD686" s="15" t="n"/>
      <c r="AE686" s="15" t="n"/>
      <c r="AF686" s="15" t="n"/>
      <c r="AG686" s="15" t="n"/>
      <c r="AH686" s="15" t="n"/>
      <c r="AI686" s="15" t="n"/>
    </row>
    <row r="687">
      <c r="A687" s="4" t="inlineStr">
        <is>
          <t>Студент1.2</t>
        </is>
      </c>
      <c r="B687" s="4" t="inlineStr"/>
      <c r="C687" s="4">
        <f>IF(A687="","",COUNTIF(F687:AI687,"+")+COUNTIF(F687:AI687,"1"))</f>
        <v/>
      </c>
      <c r="D687" s="4">
        <f>IF(A687="","",IF(C687&gt;2*COUNTA(F$685:AI$685)/3,1,IF(C687&gt;=COUNTA(F$685:AI$685)/2,0.8,0.5)))</f>
        <v/>
      </c>
      <c r="E687" s="4">
        <f>IF(A687="","",SUMIFS('Логи'!$H$4:$H$3006,'Логи'!$A$4:$A$3006,A687,'Логи'!$C$4:$C$3006,11))</f>
        <v/>
      </c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5" t="n"/>
      <c r="P687" s="15" t="n"/>
      <c r="Q687" s="15" t="n"/>
      <c r="R687" s="15" t="n"/>
      <c r="S687" s="15" t="n"/>
      <c r="T687" s="15" t="n"/>
      <c r="U687" s="15" t="n"/>
      <c r="V687" s="15" t="n"/>
      <c r="W687" s="15" t="n"/>
      <c r="X687" s="15" t="n"/>
      <c r="Y687" s="15" t="n"/>
      <c r="Z687" s="15" t="n"/>
      <c r="AA687" s="15" t="n"/>
      <c r="AB687" s="15" t="n"/>
      <c r="AC687" s="15" t="n"/>
      <c r="AD687" s="15" t="n"/>
      <c r="AE687" s="15" t="n"/>
      <c r="AF687" s="15" t="n"/>
      <c r="AG687" s="15" t="n"/>
      <c r="AH687" s="15" t="n"/>
      <c r="AI687" s="15" t="n"/>
    </row>
    <row r="688">
      <c r="A688" s="4" t="inlineStr">
        <is>
          <t>Студент1.3</t>
        </is>
      </c>
      <c r="B688" s="4" t="inlineStr"/>
      <c r="C688" s="4">
        <f>IF(A688="","",COUNTIF(F688:AI688,"+")+COUNTIF(F688:AI688,"1"))</f>
        <v/>
      </c>
      <c r="D688" s="4">
        <f>IF(A688="","",IF(C688&gt;2*COUNTA(F$685:AI$685)/3,1,IF(C688&gt;=COUNTA(F$685:AI$685)/2,0.8,0.5)))</f>
        <v/>
      </c>
      <c r="E688" s="4">
        <f>IF(A688="","",SUMIFS('Логи'!$H$4:$H$3006,'Логи'!$A$4:$A$3006,A688,'Логи'!$C$4:$C$3006,11))</f>
        <v/>
      </c>
      <c r="F688" s="15" t="n"/>
      <c r="G688" s="15" t="n"/>
      <c r="H688" s="15" t="n"/>
      <c r="I688" s="15" t="n"/>
      <c r="J688" s="15" t="n"/>
      <c r="K688" s="15" t="n"/>
      <c r="L688" s="15" t="n"/>
      <c r="M688" s="15" t="n"/>
      <c r="N688" s="15" t="n"/>
      <c r="O688" s="15" t="n"/>
      <c r="P688" s="15" t="n"/>
      <c r="Q688" s="15" t="n"/>
      <c r="R688" s="15" t="n"/>
      <c r="S688" s="15" t="n"/>
      <c r="T688" s="15" t="n"/>
      <c r="U688" s="15" t="n"/>
      <c r="V688" s="15" t="n"/>
      <c r="W688" s="15" t="n"/>
      <c r="X688" s="15" t="n"/>
      <c r="Y688" s="15" t="n"/>
      <c r="Z688" s="15" t="n"/>
      <c r="AA688" s="15" t="n"/>
      <c r="AB688" s="15" t="n"/>
      <c r="AC688" s="15" t="n"/>
      <c r="AD688" s="15" t="n"/>
      <c r="AE688" s="15" t="n"/>
      <c r="AF688" s="15" t="n"/>
      <c r="AG688" s="15" t="n"/>
      <c r="AH688" s="15" t="n"/>
      <c r="AI688" s="15" t="n"/>
    </row>
    <row r="689">
      <c r="A689" s="4" t="inlineStr">
        <is>
          <t>Студент1.4</t>
        </is>
      </c>
      <c r="B689" s="4" t="inlineStr"/>
      <c r="C689" s="4">
        <f>IF(A689="","",COUNTIF(F689:AI689,"+")+COUNTIF(F689:AI689,"1"))</f>
        <v/>
      </c>
      <c r="D689" s="4">
        <f>IF(A689="","",IF(C689&gt;2*COUNTA(F$685:AI$685)/3,1,IF(C689&gt;=COUNTA(F$685:AI$685)/2,0.8,0.5)))</f>
        <v/>
      </c>
      <c r="E689" s="4">
        <f>IF(A689="","",SUMIFS('Логи'!$H$4:$H$3006,'Логи'!$A$4:$A$3006,A689,'Логи'!$C$4:$C$3006,11))</f>
        <v/>
      </c>
      <c r="F689" s="15" t="n"/>
      <c r="G689" s="15" t="n"/>
      <c r="H689" s="15" t="n"/>
      <c r="I689" s="15" t="n"/>
      <c r="J689" s="15" t="n"/>
      <c r="K689" s="15" t="n"/>
      <c r="L689" s="15" t="n"/>
      <c r="M689" s="15" t="n"/>
      <c r="N689" s="15" t="n"/>
      <c r="O689" s="15" t="n"/>
      <c r="P689" s="15" t="n"/>
      <c r="Q689" s="15" t="n"/>
      <c r="R689" s="15" t="n"/>
      <c r="S689" s="15" t="n"/>
      <c r="T689" s="15" t="n"/>
      <c r="U689" s="15" t="n"/>
      <c r="V689" s="15" t="n"/>
      <c r="W689" s="15" t="n"/>
      <c r="X689" s="15" t="n"/>
      <c r="Y689" s="15" t="n"/>
      <c r="Z689" s="15" t="n"/>
      <c r="AA689" s="15" t="n"/>
      <c r="AB689" s="15" t="n"/>
      <c r="AC689" s="15" t="n"/>
      <c r="AD689" s="15" t="n"/>
      <c r="AE689" s="15" t="n"/>
      <c r="AF689" s="15" t="n"/>
      <c r="AG689" s="15" t="n"/>
      <c r="AH689" s="15" t="n"/>
      <c r="AI689" s="15" t="n"/>
    </row>
    <row r="690">
      <c r="A690" s="4" t="inlineStr">
        <is>
          <t>Студент1.5</t>
        </is>
      </c>
      <c r="B690" s="4" t="inlineStr"/>
      <c r="C690" s="4">
        <f>IF(A690="","",COUNTIF(F690:AI690,"+")+COUNTIF(F690:AI690,"1"))</f>
        <v/>
      </c>
      <c r="D690" s="4">
        <f>IF(A690="","",IF(C690&gt;2*COUNTA(F$685:AI$685)/3,1,IF(C690&gt;=COUNTA(F$685:AI$685)/2,0.8,0.5)))</f>
        <v/>
      </c>
      <c r="E690" s="4">
        <f>IF(A690="","",SUMIFS('Логи'!$H$4:$H$3006,'Логи'!$A$4:$A$3006,A690,'Логи'!$C$4:$C$3006,11))</f>
        <v/>
      </c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  <c r="O690" s="15" t="n"/>
      <c r="P690" s="15" t="n"/>
      <c r="Q690" s="15" t="n"/>
      <c r="R690" s="15" t="n"/>
      <c r="S690" s="15" t="n"/>
      <c r="T690" s="15" t="n"/>
      <c r="U690" s="15" t="n"/>
      <c r="V690" s="15" t="n"/>
      <c r="W690" s="15" t="n"/>
      <c r="X690" s="15" t="n"/>
      <c r="Y690" s="15" t="n"/>
      <c r="Z690" s="15" t="n"/>
      <c r="AA690" s="15" t="n"/>
      <c r="AB690" s="15" t="n"/>
      <c r="AC690" s="15" t="n"/>
      <c r="AD690" s="15" t="n"/>
      <c r="AE690" s="15" t="n"/>
      <c r="AF690" s="15" t="n"/>
      <c r="AG690" s="15" t="n"/>
      <c r="AH690" s="15" t="n"/>
      <c r="AI690" s="15" t="n"/>
    </row>
    <row r="691">
      <c r="A691" s="4" t="inlineStr">
        <is>
          <t>Студент1.6</t>
        </is>
      </c>
      <c r="B691" s="4" t="inlineStr"/>
      <c r="C691" s="4">
        <f>IF(A691="","",COUNTIF(F691:AI691,"+")+COUNTIF(F691:AI691,"1"))</f>
        <v/>
      </c>
      <c r="D691" s="4">
        <f>IF(A691="","",IF(C691&gt;2*COUNTA(F$685:AI$685)/3,1,IF(C691&gt;=COUNTA(F$685:AI$685)/2,0.8,0.5)))</f>
        <v/>
      </c>
      <c r="E691" s="4">
        <f>IF(A691="","",SUMIFS('Логи'!$H$4:$H$3006,'Логи'!$A$4:$A$3006,A691,'Логи'!$C$4:$C$3006,11))</f>
        <v/>
      </c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  <c r="O691" s="15" t="n"/>
      <c r="P691" s="15" t="n"/>
      <c r="Q691" s="15" t="n"/>
      <c r="R691" s="15" t="n"/>
      <c r="S691" s="15" t="n"/>
      <c r="T691" s="15" t="n"/>
      <c r="U691" s="15" t="n"/>
      <c r="V691" s="15" t="n"/>
      <c r="W691" s="15" t="n"/>
      <c r="X691" s="15" t="n"/>
      <c r="Y691" s="15" t="n"/>
      <c r="Z691" s="15" t="n"/>
      <c r="AA691" s="15" t="n"/>
      <c r="AB691" s="15" t="n"/>
      <c r="AC691" s="15" t="n"/>
      <c r="AD691" s="15" t="n"/>
      <c r="AE691" s="15" t="n"/>
      <c r="AF691" s="15" t="n"/>
      <c r="AG691" s="15" t="n"/>
      <c r="AH691" s="15" t="n"/>
      <c r="AI691" s="15" t="n"/>
    </row>
    <row r="692">
      <c r="A692" s="4" t="inlineStr">
        <is>
          <t>Студент1.7</t>
        </is>
      </c>
      <c r="B692" s="4" t="inlineStr"/>
      <c r="C692" s="4">
        <f>IF(A692="","",COUNTIF(F692:AI692,"+")+COUNTIF(F692:AI692,"1"))</f>
        <v/>
      </c>
      <c r="D692" s="4">
        <f>IF(A692="","",IF(C692&gt;2*COUNTA(F$685:AI$685)/3,1,IF(C692&gt;=COUNTA(F$685:AI$685)/2,0.8,0.5)))</f>
        <v/>
      </c>
      <c r="E692" s="4">
        <f>IF(A692="","",SUMIFS('Логи'!$H$4:$H$3006,'Логи'!$A$4:$A$3006,A692,'Логи'!$C$4:$C$3006,11))</f>
        <v/>
      </c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  <c r="O692" s="15" t="n"/>
      <c r="P692" s="15" t="n"/>
      <c r="Q692" s="15" t="n"/>
      <c r="R692" s="15" t="n"/>
      <c r="S692" s="15" t="n"/>
      <c r="T692" s="15" t="n"/>
      <c r="U692" s="15" t="n"/>
      <c r="V692" s="15" t="n"/>
      <c r="W692" s="15" t="n"/>
      <c r="X692" s="15" t="n"/>
      <c r="Y692" s="15" t="n"/>
      <c r="Z692" s="15" t="n"/>
      <c r="AA692" s="15" t="n"/>
      <c r="AB692" s="15" t="n"/>
      <c r="AC692" s="15" t="n"/>
      <c r="AD692" s="15" t="n"/>
      <c r="AE692" s="15" t="n"/>
      <c r="AF692" s="15" t="n"/>
      <c r="AG692" s="15" t="n"/>
      <c r="AH692" s="15" t="n"/>
      <c r="AI692" s="15" t="n"/>
    </row>
    <row r="693">
      <c r="A693" s="4" t="inlineStr">
        <is>
          <t>Студент1.8</t>
        </is>
      </c>
      <c r="B693" s="4" t="inlineStr"/>
      <c r="C693" s="4">
        <f>IF(A693="","",COUNTIF(F693:AI693,"+")+COUNTIF(F693:AI693,"1"))</f>
        <v/>
      </c>
      <c r="D693" s="4">
        <f>IF(A693="","",IF(C693&gt;2*COUNTA(F$685:AI$685)/3,1,IF(C693&gt;=COUNTA(F$685:AI$685)/2,0.8,0.5)))</f>
        <v/>
      </c>
      <c r="E693" s="4">
        <f>IF(A693="","",SUMIFS('Логи'!$H$4:$H$3006,'Логи'!$A$4:$A$3006,A693,'Логи'!$C$4:$C$3006,11))</f>
        <v/>
      </c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  <c r="O693" s="15" t="n"/>
      <c r="P693" s="15" t="n"/>
      <c r="Q693" s="15" t="n"/>
      <c r="R693" s="15" t="n"/>
      <c r="S693" s="15" t="n"/>
      <c r="T693" s="15" t="n"/>
      <c r="U693" s="15" t="n"/>
      <c r="V693" s="15" t="n"/>
      <c r="W693" s="15" t="n"/>
      <c r="X693" s="15" t="n"/>
      <c r="Y693" s="15" t="n"/>
      <c r="Z693" s="15" t="n"/>
      <c r="AA693" s="15" t="n"/>
      <c r="AB693" s="15" t="n"/>
      <c r="AC693" s="15" t="n"/>
      <c r="AD693" s="15" t="n"/>
      <c r="AE693" s="15" t="n"/>
      <c r="AF693" s="15" t="n"/>
      <c r="AG693" s="15" t="n"/>
      <c r="AH693" s="15" t="n"/>
      <c r="AI693" s="15" t="n"/>
    </row>
    <row r="694">
      <c r="A694" s="4" t="inlineStr">
        <is>
          <t>Студент1.9</t>
        </is>
      </c>
      <c r="B694" s="4" t="inlineStr"/>
      <c r="C694" s="4">
        <f>IF(A694="","",COUNTIF(F694:AI694,"+")+COUNTIF(F694:AI694,"1"))</f>
        <v/>
      </c>
      <c r="D694" s="4">
        <f>IF(A694="","",IF(C694&gt;2*COUNTA(F$685:AI$685)/3,1,IF(C694&gt;=COUNTA(F$685:AI$685)/2,0.8,0.5)))</f>
        <v/>
      </c>
      <c r="E694" s="4">
        <f>IF(A694="","",SUMIFS('Логи'!$H$4:$H$3006,'Логи'!$A$4:$A$3006,A694,'Логи'!$C$4:$C$3006,11))</f>
        <v/>
      </c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  <c r="O694" s="15" t="n"/>
      <c r="P694" s="15" t="n"/>
      <c r="Q694" s="15" t="n"/>
      <c r="R694" s="15" t="n"/>
      <c r="S694" s="15" t="n"/>
      <c r="T694" s="15" t="n"/>
      <c r="U694" s="15" t="n"/>
      <c r="V694" s="15" t="n"/>
      <c r="W694" s="15" t="n"/>
      <c r="X694" s="15" t="n"/>
      <c r="Y694" s="15" t="n"/>
      <c r="Z694" s="15" t="n"/>
      <c r="AA694" s="15" t="n"/>
      <c r="AB694" s="15" t="n"/>
      <c r="AC694" s="15" t="n"/>
      <c r="AD694" s="15" t="n"/>
      <c r="AE694" s="15" t="n"/>
      <c r="AF694" s="15" t="n"/>
      <c r="AG694" s="15" t="n"/>
      <c r="AH694" s="15" t="n"/>
      <c r="AI694" s="15" t="n"/>
    </row>
    <row r="695">
      <c r="A695" s="4" t="inlineStr">
        <is>
          <t>Студент1.10</t>
        </is>
      </c>
      <c r="B695" s="4" t="inlineStr"/>
      <c r="C695" s="4">
        <f>IF(A695="","",COUNTIF(F695:AI695,"+")+COUNTIF(F695:AI695,"1"))</f>
        <v/>
      </c>
      <c r="D695" s="4">
        <f>IF(A695="","",IF(C695&gt;2*COUNTA(F$685:AI$685)/3,1,IF(C695&gt;=COUNTA(F$685:AI$685)/2,0.8,0.5)))</f>
        <v/>
      </c>
      <c r="E695" s="4">
        <f>IF(A695="","",SUMIFS('Логи'!$H$4:$H$3006,'Логи'!$A$4:$A$3006,A695,'Логи'!$C$4:$C$3006,11))</f>
        <v/>
      </c>
      <c r="F695" s="15" t="n"/>
      <c r="G695" s="15" t="n"/>
      <c r="H695" s="15" t="n"/>
      <c r="I695" s="15" t="n"/>
      <c r="J695" s="15" t="n"/>
      <c r="K695" s="15" t="n"/>
      <c r="L695" s="15" t="n"/>
      <c r="M695" s="15" t="n"/>
      <c r="N695" s="15" t="n"/>
      <c r="O695" s="15" t="n"/>
      <c r="P695" s="15" t="n"/>
      <c r="Q695" s="15" t="n"/>
      <c r="R695" s="15" t="n"/>
      <c r="S695" s="15" t="n"/>
      <c r="T695" s="15" t="n"/>
      <c r="U695" s="15" t="n"/>
      <c r="V695" s="15" t="n"/>
      <c r="W695" s="15" t="n"/>
      <c r="X695" s="15" t="n"/>
      <c r="Y695" s="15" t="n"/>
      <c r="Z695" s="15" t="n"/>
      <c r="AA695" s="15" t="n"/>
      <c r="AB695" s="15" t="n"/>
      <c r="AC695" s="15" t="n"/>
      <c r="AD695" s="15" t="n"/>
      <c r="AE695" s="15" t="n"/>
      <c r="AF695" s="15" t="n"/>
      <c r="AG695" s="15" t="n"/>
      <c r="AH695" s="15" t="n"/>
      <c r="AI695" s="15" t="n"/>
    </row>
    <row r="696">
      <c r="A696" s="4" t="inlineStr">
        <is>
          <t>Студент1.11</t>
        </is>
      </c>
      <c r="B696" s="4" t="inlineStr"/>
      <c r="C696" s="4">
        <f>IF(A696="","",COUNTIF(F696:AI696,"+")+COUNTIF(F696:AI696,"1"))</f>
        <v/>
      </c>
      <c r="D696" s="4">
        <f>IF(A696="","",IF(C696&gt;2*COUNTA(F$685:AI$685)/3,1,IF(C696&gt;=COUNTA(F$685:AI$685)/2,0.8,0.5)))</f>
        <v/>
      </c>
      <c r="E696" s="4">
        <f>IF(A696="","",SUMIFS('Логи'!$H$4:$H$3006,'Логи'!$A$4:$A$3006,A696,'Логи'!$C$4:$C$3006,11))</f>
        <v/>
      </c>
      <c r="F696" s="15" t="n"/>
      <c r="G696" s="15" t="n"/>
      <c r="H696" s="15" t="n"/>
      <c r="I696" s="15" t="n"/>
      <c r="J696" s="15" t="n"/>
      <c r="K696" s="15" t="n"/>
      <c r="L696" s="15" t="n"/>
      <c r="M696" s="15" t="n"/>
      <c r="N696" s="15" t="n"/>
      <c r="O696" s="15" t="n"/>
      <c r="P696" s="15" t="n"/>
      <c r="Q696" s="15" t="n"/>
      <c r="R696" s="15" t="n"/>
      <c r="S696" s="15" t="n"/>
      <c r="T696" s="15" t="n"/>
      <c r="U696" s="15" t="n"/>
      <c r="V696" s="15" t="n"/>
      <c r="W696" s="15" t="n"/>
      <c r="X696" s="15" t="n"/>
      <c r="Y696" s="15" t="n"/>
      <c r="Z696" s="15" t="n"/>
      <c r="AA696" s="15" t="n"/>
      <c r="AB696" s="15" t="n"/>
      <c r="AC696" s="15" t="n"/>
      <c r="AD696" s="15" t="n"/>
      <c r="AE696" s="15" t="n"/>
      <c r="AF696" s="15" t="n"/>
      <c r="AG696" s="15" t="n"/>
      <c r="AH696" s="15" t="n"/>
      <c r="AI696" s="15" t="n"/>
    </row>
    <row r="697">
      <c r="A697" s="4" t="inlineStr">
        <is>
          <t>Студент1.12</t>
        </is>
      </c>
      <c r="B697" s="4" t="inlineStr"/>
      <c r="C697" s="4">
        <f>IF(A697="","",COUNTIF(F697:AI697,"+")+COUNTIF(F697:AI697,"1"))</f>
        <v/>
      </c>
      <c r="D697" s="4">
        <f>IF(A697="","",IF(C697&gt;2*COUNTA(F$685:AI$685)/3,1,IF(C697&gt;=COUNTA(F$685:AI$685)/2,0.8,0.5)))</f>
        <v/>
      </c>
      <c r="E697" s="4">
        <f>IF(A697="","",SUMIFS('Логи'!$H$4:$H$3006,'Логи'!$A$4:$A$3006,A697,'Логи'!$C$4:$C$3006,11))</f>
        <v/>
      </c>
      <c r="F697" s="15" t="n"/>
      <c r="G697" s="15" t="n"/>
      <c r="H697" s="15" t="n"/>
      <c r="I697" s="15" t="n"/>
      <c r="J697" s="15" t="n"/>
      <c r="K697" s="15" t="n"/>
      <c r="L697" s="15" t="n"/>
      <c r="M697" s="15" t="n"/>
      <c r="N697" s="15" t="n"/>
      <c r="O697" s="15" t="n"/>
      <c r="P697" s="15" t="n"/>
      <c r="Q697" s="15" t="n"/>
      <c r="R697" s="15" t="n"/>
      <c r="S697" s="15" t="n"/>
      <c r="T697" s="15" t="n"/>
      <c r="U697" s="15" t="n"/>
      <c r="V697" s="15" t="n"/>
      <c r="W697" s="15" t="n"/>
      <c r="X697" s="15" t="n"/>
      <c r="Y697" s="15" t="n"/>
      <c r="Z697" s="15" t="n"/>
      <c r="AA697" s="15" t="n"/>
      <c r="AB697" s="15" t="n"/>
      <c r="AC697" s="15" t="n"/>
      <c r="AD697" s="15" t="n"/>
      <c r="AE697" s="15" t="n"/>
      <c r="AF697" s="15" t="n"/>
      <c r="AG697" s="15" t="n"/>
      <c r="AH697" s="15" t="n"/>
      <c r="AI697" s="15" t="n"/>
    </row>
    <row r="698">
      <c r="A698" s="4" t="inlineStr">
        <is>
          <t>Студент1.13</t>
        </is>
      </c>
      <c r="B698" s="4" t="inlineStr"/>
      <c r="C698" s="4">
        <f>IF(A698="","",COUNTIF(F698:AI698,"+")+COUNTIF(F698:AI698,"1"))</f>
        <v/>
      </c>
      <c r="D698" s="4">
        <f>IF(A698="","",IF(C698&gt;2*COUNTA(F$685:AI$685)/3,1,IF(C698&gt;=COUNTA(F$685:AI$685)/2,0.8,0.5)))</f>
        <v/>
      </c>
      <c r="E698" s="4">
        <f>IF(A698="","",SUMIFS('Логи'!$H$4:$H$3006,'Логи'!$A$4:$A$3006,A698,'Логи'!$C$4:$C$3006,11))</f>
        <v/>
      </c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5" t="n"/>
      <c r="P698" s="15" t="n"/>
      <c r="Q698" s="15" t="n"/>
      <c r="R698" s="15" t="n"/>
      <c r="S698" s="15" t="n"/>
      <c r="T698" s="15" t="n"/>
      <c r="U698" s="15" t="n"/>
      <c r="V698" s="15" t="n"/>
      <c r="W698" s="15" t="n"/>
      <c r="X698" s="15" t="n"/>
      <c r="Y698" s="15" t="n"/>
      <c r="Z698" s="15" t="n"/>
      <c r="AA698" s="15" t="n"/>
      <c r="AB698" s="15" t="n"/>
      <c r="AC698" s="15" t="n"/>
      <c r="AD698" s="15" t="n"/>
      <c r="AE698" s="15" t="n"/>
      <c r="AF698" s="15" t="n"/>
      <c r="AG698" s="15" t="n"/>
      <c r="AH698" s="15" t="n"/>
      <c r="AI698" s="15" t="n"/>
    </row>
    <row r="699">
      <c r="A699" s="4" t="inlineStr">
        <is>
          <t>Студент1.14</t>
        </is>
      </c>
      <c r="B699" s="4" t="inlineStr"/>
      <c r="C699" s="4">
        <f>IF(A699="","",COUNTIF(F699:AI699,"+")+COUNTIF(F699:AI699,"1"))</f>
        <v/>
      </c>
      <c r="D699" s="4">
        <f>IF(A699="","",IF(C699&gt;2*COUNTA(F$685:AI$685)/3,1,IF(C699&gt;=COUNTA(F$685:AI$685)/2,0.8,0.5)))</f>
        <v/>
      </c>
      <c r="E699" s="4">
        <f>IF(A699="","",SUMIFS('Логи'!$H$4:$H$3006,'Логи'!$A$4:$A$3006,A699,'Логи'!$C$4:$C$3006,11))</f>
        <v/>
      </c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  <c r="O699" s="15" t="n"/>
      <c r="P699" s="15" t="n"/>
      <c r="Q699" s="15" t="n"/>
      <c r="R699" s="15" t="n"/>
      <c r="S699" s="15" t="n"/>
      <c r="T699" s="15" t="n"/>
      <c r="U699" s="15" t="n"/>
      <c r="V699" s="15" t="n"/>
      <c r="W699" s="15" t="n"/>
      <c r="X699" s="15" t="n"/>
      <c r="Y699" s="15" t="n"/>
      <c r="Z699" s="15" t="n"/>
      <c r="AA699" s="15" t="n"/>
      <c r="AB699" s="15" t="n"/>
      <c r="AC699" s="15" t="n"/>
      <c r="AD699" s="15" t="n"/>
      <c r="AE699" s="15" t="n"/>
      <c r="AF699" s="15" t="n"/>
      <c r="AG699" s="15" t="n"/>
      <c r="AH699" s="15" t="n"/>
      <c r="AI699" s="15" t="n"/>
    </row>
    <row r="700">
      <c r="A700" s="4" t="inlineStr">
        <is>
          <t>Студент1.15</t>
        </is>
      </c>
      <c r="B700" s="4" t="inlineStr"/>
      <c r="C700" s="4">
        <f>IF(A700="","",COUNTIF(F700:AI700,"+")+COUNTIF(F700:AI700,"1"))</f>
        <v/>
      </c>
      <c r="D700" s="4">
        <f>IF(A700="","",IF(C700&gt;2*COUNTA(F$685:AI$685)/3,1,IF(C700&gt;=COUNTA(F$685:AI$685)/2,0.8,0.5)))</f>
        <v/>
      </c>
      <c r="E700" s="4">
        <f>IF(A700="","",SUMIFS('Логи'!$H$4:$H$3006,'Логи'!$A$4:$A$3006,A700,'Логи'!$C$4:$C$3006,11))</f>
        <v/>
      </c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  <c r="O700" s="15" t="n"/>
      <c r="P700" s="15" t="n"/>
      <c r="Q700" s="15" t="n"/>
      <c r="R700" s="15" t="n"/>
      <c r="S700" s="15" t="n"/>
      <c r="T700" s="15" t="n"/>
      <c r="U700" s="15" t="n"/>
      <c r="V700" s="15" t="n"/>
      <c r="W700" s="15" t="n"/>
      <c r="X700" s="15" t="n"/>
      <c r="Y700" s="15" t="n"/>
      <c r="Z700" s="15" t="n"/>
      <c r="AA700" s="15" t="n"/>
      <c r="AB700" s="15" t="n"/>
      <c r="AC700" s="15" t="n"/>
      <c r="AD700" s="15" t="n"/>
      <c r="AE700" s="15" t="n"/>
      <c r="AF700" s="15" t="n"/>
      <c r="AG700" s="15" t="n"/>
      <c r="AH700" s="15" t="n"/>
      <c r="AI700" s="15" t="n"/>
    </row>
    <row r="701">
      <c r="A701" s="4" t="inlineStr">
        <is>
          <t>Студент1.16</t>
        </is>
      </c>
      <c r="B701" s="4" t="inlineStr"/>
      <c r="C701" s="4">
        <f>IF(A701="","",COUNTIF(F701:AI701,"+")+COUNTIF(F701:AI701,"1"))</f>
        <v/>
      </c>
      <c r="D701" s="4">
        <f>IF(A701="","",IF(C701&gt;2*COUNTA(F$685:AI$685)/3,1,IF(C701&gt;=COUNTA(F$685:AI$685)/2,0.8,0.5)))</f>
        <v/>
      </c>
      <c r="E701" s="4">
        <f>IF(A701="","",SUMIFS('Логи'!$H$4:$H$3006,'Логи'!$A$4:$A$3006,A701,'Логи'!$C$4:$C$3006,11))</f>
        <v/>
      </c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  <c r="O701" s="15" t="n"/>
      <c r="P701" s="15" t="n"/>
      <c r="Q701" s="15" t="n"/>
      <c r="R701" s="15" t="n"/>
      <c r="S701" s="15" t="n"/>
      <c r="T701" s="15" t="n"/>
      <c r="U701" s="15" t="n"/>
      <c r="V701" s="15" t="n"/>
      <c r="W701" s="15" t="n"/>
      <c r="X701" s="15" t="n"/>
      <c r="Y701" s="15" t="n"/>
      <c r="Z701" s="15" t="n"/>
      <c r="AA701" s="15" t="n"/>
      <c r="AB701" s="15" t="n"/>
      <c r="AC701" s="15" t="n"/>
      <c r="AD701" s="15" t="n"/>
      <c r="AE701" s="15" t="n"/>
      <c r="AF701" s="15" t="n"/>
      <c r="AG701" s="15" t="n"/>
      <c r="AH701" s="15" t="n"/>
      <c r="AI701" s="15" t="n"/>
    </row>
    <row r="702">
      <c r="A702" s="4" t="inlineStr">
        <is>
          <t>Студент1.17</t>
        </is>
      </c>
      <c r="B702" s="4" t="inlineStr"/>
      <c r="C702" s="4">
        <f>IF(A702="","",COUNTIF(F702:AI702,"+")+COUNTIF(F702:AI702,"1"))</f>
        <v/>
      </c>
      <c r="D702" s="4">
        <f>IF(A702="","",IF(C702&gt;2*COUNTA(F$685:AI$685)/3,1,IF(C702&gt;=COUNTA(F$685:AI$685)/2,0.8,0.5)))</f>
        <v/>
      </c>
      <c r="E702" s="4">
        <f>IF(A702="","",SUMIFS('Логи'!$H$4:$H$3006,'Логи'!$A$4:$A$3006,A702,'Логи'!$C$4:$C$3006,11))</f>
        <v/>
      </c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  <c r="O702" s="15" t="n"/>
      <c r="P702" s="15" t="n"/>
      <c r="Q702" s="15" t="n"/>
      <c r="R702" s="15" t="n"/>
      <c r="S702" s="15" t="n"/>
      <c r="T702" s="15" t="n"/>
      <c r="U702" s="15" t="n"/>
      <c r="V702" s="15" t="n"/>
      <c r="W702" s="15" t="n"/>
      <c r="X702" s="15" t="n"/>
      <c r="Y702" s="15" t="n"/>
      <c r="Z702" s="15" t="n"/>
      <c r="AA702" s="15" t="n"/>
      <c r="AB702" s="15" t="n"/>
      <c r="AC702" s="15" t="n"/>
      <c r="AD702" s="15" t="n"/>
      <c r="AE702" s="15" t="n"/>
      <c r="AF702" s="15" t="n"/>
      <c r="AG702" s="15" t="n"/>
      <c r="AH702" s="15" t="n"/>
      <c r="AI702" s="15" t="n"/>
    </row>
    <row r="703">
      <c r="A703" s="4" t="inlineStr">
        <is>
          <t>Студент1.18</t>
        </is>
      </c>
      <c r="B703" s="4" t="inlineStr"/>
      <c r="C703" s="4">
        <f>IF(A703="","",COUNTIF(F703:AI703,"+")+COUNTIF(F703:AI703,"1"))</f>
        <v/>
      </c>
      <c r="D703" s="4">
        <f>IF(A703="","",IF(C703&gt;2*COUNTA(F$685:AI$685)/3,1,IF(C703&gt;=COUNTA(F$685:AI$685)/2,0.8,0.5)))</f>
        <v/>
      </c>
      <c r="E703" s="4">
        <f>IF(A703="","",SUMIFS('Логи'!$H$4:$H$3006,'Логи'!$A$4:$A$3006,A703,'Логи'!$C$4:$C$3006,11))</f>
        <v/>
      </c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  <c r="O703" s="15" t="n"/>
      <c r="P703" s="15" t="n"/>
      <c r="Q703" s="15" t="n"/>
      <c r="R703" s="15" t="n"/>
      <c r="S703" s="15" t="n"/>
      <c r="T703" s="15" t="n"/>
      <c r="U703" s="15" t="n"/>
      <c r="V703" s="15" t="n"/>
      <c r="W703" s="15" t="n"/>
      <c r="X703" s="15" t="n"/>
      <c r="Y703" s="15" t="n"/>
      <c r="Z703" s="15" t="n"/>
      <c r="AA703" s="15" t="n"/>
      <c r="AB703" s="15" t="n"/>
      <c r="AC703" s="15" t="n"/>
      <c r="AD703" s="15" t="n"/>
      <c r="AE703" s="15" t="n"/>
      <c r="AF703" s="15" t="n"/>
      <c r="AG703" s="15" t="n"/>
      <c r="AH703" s="15" t="n"/>
      <c r="AI703" s="15" t="n"/>
    </row>
    <row r="704">
      <c r="A704" s="4" t="inlineStr">
        <is>
          <t>Студент1.19</t>
        </is>
      </c>
      <c r="B704" s="4" t="inlineStr"/>
      <c r="C704" s="4">
        <f>IF(A704="","",COUNTIF(F704:AI704,"+")+COUNTIF(F704:AI704,"1"))</f>
        <v/>
      </c>
      <c r="D704" s="4">
        <f>IF(A704="","",IF(C704&gt;2*COUNTA(F$685:AI$685)/3,1,IF(C704&gt;=COUNTA(F$685:AI$685)/2,0.8,0.5)))</f>
        <v/>
      </c>
      <c r="E704" s="4">
        <f>IF(A704="","",SUMIFS('Логи'!$H$4:$H$3006,'Логи'!$A$4:$A$3006,A704,'Логи'!$C$4:$C$3006,11))</f>
        <v/>
      </c>
      <c r="F704" s="15" t="n"/>
      <c r="G704" s="15" t="n"/>
      <c r="H704" s="15" t="n"/>
      <c r="I704" s="15" t="n"/>
      <c r="J704" s="15" t="n"/>
      <c r="K704" s="15" t="n"/>
      <c r="L704" s="15" t="n"/>
      <c r="M704" s="15" t="n"/>
      <c r="N704" s="15" t="n"/>
      <c r="O704" s="15" t="n"/>
      <c r="P704" s="15" t="n"/>
      <c r="Q704" s="15" t="n"/>
      <c r="R704" s="15" t="n"/>
      <c r="S704" s="15" t="n"/>
      <c r="T704" s="15" t="n"/>
      <c r="U704" s="15" t="n"/>
      <c r="V704" s="15" t="n"/>
      <c r="W704" s="15" t="n"/>
      <c r="X704" s="15" t="n"/>
      <c r="Y704" s="15" t="n"/>
      <c r="Z704" s="15" t="n"/>
      <c r="AA704" s="15" t="n"/>
      <c r="AB704" s="15" t="n"/>
      <c r="AC704" s="15" t="n"/>
      <c r="AD704" s="15" t="n"/>
      <c r="AE704" s="15" t="n"/>
      <c r="AF704" s="15" t="n"/>
      <c r="AG704" s="15" t="n"/>
      <c r="AH704" s="15" t="n"/>
      <c r="AI704" s="15" t="n"/>
    </row>
    <row r="705">
      <c r="A705" s="4" t="inlineStr">
        <is>
          <t>Студент1.20</t>
        </is>
      </c>
      <c r="B705" s="4" t="inlineStr"/>
      <c r="C705" s="4">
        <f>IF(A705="","",COUNTIF(F705:AI705,"+")+COUNTIF(F705:AI705,"1"))</f>
        <v/>
      </c>
      <c r="D705" s="4">
        <f>IF(A705="","",IF(C705&gt;2*COUNTA(F$685:AI$685)/3,1,IF(C705&gt;=COUNTA(F$685:AI$685)/2,0.8,0.5)))</f>
        <v/>
      </c>
      <c r="E705" s="4">
        <f>IF(A705="","",SUMIFS('Логи'!$H$4:$H$3006,'Логи'!$A$4:$A$3006,A705,'Логи'!$C$4:$C$3006,11))</f>
        <v/>
      </c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5" t="n"/>
      <c r="P705" s="15" t="n"/>
      <c r="Q705" s="15" t="n"/>
      <c r="R705" s="15" t="n"/>
      <c r="S705" s="15" t="n"/>
      <c r="T705" s="15" t="n"/>
      <c r="U705" s="15" t="n"/>
      <c r="V705" s="15" t="n"/>
      <c r="W705" s="15" t="n"/>
      <c r="X705" s="15" t="n"/>
      <c r="Y705" s="15" t="n"/>
      <c r="Z705" s="15" t="n"/>
      <c r="AA705" s="15" t="n"/>
      <c r="AB705" s="15" t="n"/>
      <c r="AC705" s="15" t="n"/>
      <c r="AD705" s="15" t="n"/>
      <c r="AE705" s="15" t="n"/>
      <c r="AF705" s="15" t="n"/>
      <c r="AG705" s="15" t="n"/>
      <c r="AH705" s="15" t="n"/>
      <c r="AI705" s="15" t="n"/>
    </row>
    <row r="706">
      <c r="A706" s="4" t="inlineStr">
        <is>
          <t>Студент1.21</t>
        </is>
      </c>
      <c r="B706" s="4" t="inlineStr"/>
      <c r="C706" s="4">
        <f>IF(A706="","",COUNTIF(F706:AI706,"+")+COUNTIF(F706:AI706,"1"))</f>
        <v/>
      </c>
      <c r="D706" s="4">
        <f>IF(A706="","",IF(C706&gt;2*COUNTA(F$685:AI$685)/3,1,IF(C706&gt;=COUNTA(F$685:AI$685)/2,0.8,0.5)))</f>
        <v/>
      </c>
      <c r="E706" s="4">
        <f>IF(A706="","",SUMIFS('Логи'!$H$4:$H$3006,'Логи'!$A$4:$A$3006,A706,'Логи'!$C$4:$C$3006,11))</f>
        <v/>
      </c>
      <c r="F706" s="15" t="n"/>
      <c r="G706" s="15" t="n"/>
      <c r="H706" s="15" t="n"/>
      <c r="I706" s="15" t="n"/>
      <c r="J706" s="15" t="n"/>
      <c r="K706" s="15" t="n"/>
      <c r="L706" s="15" t="n"/>
      <c r="M706" s="15" t="n"/>
      <c r="N706" s="15" t="n"/>
      <c r="O706" s="15" t="n"/>
      <c r="P706" s="15" t="n"/>
      <c r="Q706" s="15" t="n"/>
      <c r="R706" s="15" t="n"/>
      <c r="S706" s="15" t="n"/>
      <c r="T706" s="15" t="n"/>
      <c r="U706" s="15" t="n"/>
      <c r="V706" s="15" t="n"/>
      <c r="W706" s="15" t="n"/>
      <c r="X706" s="15" t="n"/>
      <c r="Y706" s="15" t="n"/>
      <c r="Z706" s="15" t="n"/>
      <c r="AA706" s="15" t="n"/>
      <c r="AB706" s="15" t="n"/>
      <c r="AC706" s="15" t="n"/>
      <c r="AD706" s="15" t="n"/>
      <c r="AE706" s="15" t="n"/>
      <c r="AF706" s="15" t="n"/>
      <c r="AG706" s="15" t="n"/>
      <c r="AH706" s="15" t="n"/>
      <c r="AI706" s="15" t="n"/>
    </row>
    <row r="707">
      <c r="A707" s="4" t="inlineStr">
        <is>
          <t>Студент1.22</t>
        </is>
      </c>
      <c r="B707" s="4" t="inlineStr"/>
      <c r="C707" s="4">
        <f>IF(A707="","",COUNTIF(F707:AI707,"+")+COUNTIF(F707:AI707,"1"))</f>
        <v/>
      </c>
      <c r="D707" s="4">
        <f>IF(A707="","",IF(C707&gt;2*COUNTA(F$685:AI$685)/3,1,IF(C707&gt;=COUNTA(F$685:AI$685)/2,0.8,0.5)))</f>
        <v/>
      </c>
      <c r="E707" s="4">
        <f>IF(A707="","",SUMIFS('Логи'!$H$4:$H$3006,'Логи'!$A$4:$A$3006,A707,'Логи'!$C$4:$C$3006,11))</f>
        <v/>
      </c>
      <c r="F707" s="15" t="n"/>
      <c r="G707" s="15" t="n"/>
      <c r="H707" s="15" t="n"/>
      <c r="I707" s="15" t="n"/>
      <c r="J707" s="15" t="n"/>
      <c r="K707" s="15" t="n"/>
      <c r="L707" s="15" t="n"/>
      <c r="M707" s="15" t="n"/>
      <c r="N707" s="15" t="n"/>
      <c r="O707" s="15" t="n"/>
      <c r="P707" s="15" t="n"/>
      <c r="Q707" s="15" t="n"/>
      <c r="R707" s="15" t="n"/>
      <c r="S707" s="15" t="n"/>
      <c r="T707" s="15" t="n"/>
      <c r="U707" s="15" t="n"/>
      <c r="V707" s="15" t="n"/>
      <c r="W707" s="15" t="n"/>
      <c r="X707" s="15" t="n"/>
      <c r="Y707" s="15" t="n"/>
      <c r="Z707" s="15" t="n"/>
      <c r="AA707" s="15" t="n"/>
      <c r="AB707" s="15" t="n"/>
      <c r="AC707" s="15" t="n"/>
      <c r="AD707" s="15" t="n"/>
      <c r="AE707" s="15" t="n"/>
      <c r="AF707" s="15" t="n"/>
      <c r="AG707" s="15" t="n"/>
      <c r="AH707" s="15" t="n"/>
      <c r="AI707" s="15" t="n"/>
    </row>
    <row r="708">
      <c r="A708" s="4" t="inlineStr">
        <is>
          <t>Студент1.23</t>
        </is>
      </c>
      <c r="B708" s="4" t="inlineStr"/>
      <c r="C708" s="4">
        <f>IF(A708="","",COUNTIF(F708:AI708,"+")+COUNTIF(F708:AI708,"1"))</f>
        <v/>
      </c>
      <c r="D708" s="4">
        <f>IF(A708="","",IF(C708&gt;2*COUNTA(F$685:AI$685)/3,1,IF(C708&gt;=COUNTA(F$685:AI$685)/2,0.8,0.5)))</f>
        <v/>
      </c>
      <c r="E708" s="4">
        <f>IF(A708="","",SUMIFS('Логи'!$H$4:$H$3006,'Логи'!$A$4:$A$3006,A708,'Логи'!$C$4:$C$3006,11))</f>
        <v/>
      </c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  <c r="O708" s="15" t="n"/>
      <c r="P708" s="15" t="n"/>
      <c r="Q708" s="15" t="n"/>
      <c r="R708" s="15" t="n"/>
      <c r="S708" s="15" t="n"/>
      <c r="T708" s="15" t="n"/>
      <c r="U708" s="15" t="n"/>
      <c r="V708" s="15" t="n"/>
      <c r="W708" s="15" t="n"/>
      <c r="X708" s="15" t="n"/>
      <c r="Y708" s="15" t="n"/>
      <c r="Z708" s="15" t="n"/>
      <c r="AA708" s="15" t="n"/>
      <c r="AB708" s="15" t="n"/>
      <c r="AC708" s="15" t="n"/>
      <c r="AD708" s="15" t="n"/>
      <c r="AE708" s="15" t="n"/>
      <c r="AF708" s="15" t="n"/>
      <c r="AG708" s="15" t="n"/>
      <c r="AH708" s="15" t="n"/>
      <c r="AI708" s="15" t="n"/>
    </row>
    <row r="709">
      <c r="A709" s="4" t="inlineStr">
        <is>
          <t>Студент1.24</t>
        </is>
      </c>
      <c r="B709" s="4" t="inlineStr"/>
      <c r="C709" s="4">
        <f>IF(A709="","",COUNTIF(F709:AI709,"+")+COUNTIF(F709:AI709,"1"))</f>
        <v/>
      </c>
      <c r="D709" s="4">
        <f>IF(A709="","",IF(C709&gt;2*COUNTA(F$685:AI$685)/3,1,IF(C709&gt;=COUNTA(F$685:AI$685)/2,0.8,0.5)))</f>
        <v/>
      </c>
      <c r="E709" s="4">
        <f>IF(A709="","",SUMIFS('Логи'!$H$4:$H$3006,'Логи'!$A$4:$A$3006,A709,'Логи'!$C$4:$C$3006,11))</f>
        <v/>
      </c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5" t="n"/>
      <c r="P709" s="15" t="n"/>
      <c r="Q709" s="15" t="n"/>
      <c r="R709" s="15" t="n"/>
      <c r="S709" s="15" t="n"/>
      <c r="T709" s="15" t="n"/>
      <c r="U709" s="15" t="n"/>
      <c r="V709" s="15" t="n"/>
      <c r="W709" s="15" t="n"/>
      <c r="X709" s="15" t="n"/>
      <c r="Y709" s="15" t="n"/>
      <c r="Z709" s="15" t="n"/>
      <c r="AA709" s="15" t="n"/>
      <c r="AB709" s="15" t="n"/>
      <c r="AC709" s="15" t="n"/>
      <c r="AD709" s="15" t="n"/>
      <c r="AE709" s="15" t="n"/>
      <c r="AF709" s="15" t="n"/>
      <c r="AG709" s="15" t="n"/>
      <c r="AH709" s="15" t="n"/>
      <c r="AI709" s="15" t="n"/>
    </row>
    <row r="710">
      <c r="A710" s="4" t="inlineStr">
        <is>
          <t>Студент1.25</t>
        </is>
      </c>
      <c r="B710" s="4" t="inlineStr"/>
      <c r="C710" s="4">
        <f>IF(A710="","",COUNTIF(F710:AI710,"+")+COUNTIF(F710:AI710,"1"))</f>
        <v/>
      </c>
      <c r="D710" s="4">
        <f>IF(A710="","",IF(C710&gt;2*COUNTA(F$685:AI$685)/3,1,IF(C710&gt;=COUNTA(F$685:AI$685)/2,0.8,0.5)))</f>
        <v/>
      </c>
      <c r="E710" s="4">
        <f>IF(A710="","",SUMIFS('Логи'!$H$4:$H$3006,'Логи'!$A$4:$A$3006,A710,'Логи'!$C$4:$C$3006,11))</f>
        <v/>
      </c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  <c r="O710" s="15" t="n"/>
      <c r="P710" s="15" t="n"/>
      <c r="Q710" s="15" t="n"/>
      <c r="R710" s="15" t="n"/>
      <c r="S710" s="15" t="n"/>
      <c r="T710" s="15" t="n"/>
      <c r="U710" s="15" t="n"/>
      <c r="V710" s="15" t="n"/>
      <c r="W710" s="15" t="n"/>
      <c r="X710" s="15" t="n"/>
      <c r="Y710" s="15" t="n"/>
      <c r="Z710" s="15" t="n"/>
      <c r="AA710" s="15" t="n"/>
      <c r="AB710" s="15" t="n"/>
      <c r="AC710" s="15" t="n"/>
      <c r="AD710" s="15" t="n"/>
      <c r="AE710" s="15" t="n"/>
      <c r="AF710" s="15" t="n"/>
      <c r="AG710" s="15" t="n"/>
      <c r="AH710" s="15" t="n"/>
      <c r="AI710" s="15" t="n"/>
    </row>
    <row r="711">
      <c r="A711" s="4" t="inlineStr">
        <is>
          <t>Студент1.26</t>
        </is>
      </c>
      <c r="B711" s="4" t="inlineStr"/>
      <c r="C711" s="4">
        <f>IF(A711="","",COUNTIF(F711:AI711,"+")+COUNTIF(F711:AI711,"1"))</f>
        <v/>
      </c>
      <c r="D711" s="4">
        <f>IF(A711="","",IF(C711&gt;2*COUNTA(F$685:AI$685)/3,1,IF(C711&gt;=COUNTA(F$685:AI$685)/2,0.8,0.5)))</f>
        <v/>
      </c>
      <c r="E711" s="4">
        <f>IF(A711="","",SUMIFS('Логи'!$H$4:$H$3006,'Логи'!$A$4:$A$3006,A711,'Логи'!$C$4:$C$3006,11))</f>
        <v/>
      </c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  <c r="O711" s="15" t="n"/>
      <c r="P711" s="15" t="n"/>
      <c r="Q711" s="15" t="n"/>
      <c r="R711" s="15" t="n"/>
      <c r="S711" s="15" t="n"/>
      <c r="T711" s="15" t="n"/>
      <c r="U711" s="15" t="n"/>
      <c r="V711" s="15" t="n"/>
      <c r="W711" s="15" t="n"/>
      <c r="X711" s="15" t="n"/>
      <c r="Y711" s="15" t="n"/>
      <c r="Z711" s="15" t="n"/>
      <c r="AA711" s="15" t="n"/>
      <c r="AB711" s="15" t="n"/>
      <c r="AC711" s="15" t="n"/>
      <c r="AD711" s="15" t="n"/>
      <c r="AE711" s="15" t="n"/>
      <c r="AF711" s="15" t="n"/>
      <c r="AG711" s="15" t="n"/>
      <c r="AH711" s="15" t="n"/>
      <c r="AI711" s="15" t="n"/>
    </row>
    <row r="712">
      <c r="A712" s="4" t="inlineStr">
        <is>
          <t>Студент1.27</t>
        </is>
      </c>
      <c r="B712" s="4" t="inlineStr"/>
      <c r="C712" s="4">
        <f>IF(A712="","",COUNTIF(F712:AI712,"+")+COUNTIF(F712:AI712,"1"))</f>
        <v/>
      </c>
      <c r="D712" s="4">
        <f>IF(A712="","",IF(C712&gt;2*COUNTA(F$685:AI$685)/3,1,IF(C712&gt;=COUNTA(F$685:AI$685)/2,0.8,0.5)))</f>
        <v/>
      </c>
      <c r="E712" s="4">
        <f>IF(A712="","",SUMIFS('Логи'!$H$4:$H$3006,'Логи'!$A$4:$A$3006,A712,'Логи'!$C$4:$C$3006,11))</f>
        <v/>
      </c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  <c r="O712" s="15" t="n"/>
      <c r="P712" s="15" t="n"/>
      <c r="Q712" s="15" t="n"/>
      <c r="R712" s="15" t="n"/>
      <c r="S712" s="15" t="n"/>
      <c r="T712" s="15" t="n"/>
      <c r="U712" s="15" t="n"/>
      <c r="V712" s="15" t="n"/>
      <c r="W712" s="15" t="n"/>
      <c r="X712" s="15" t="n"/>
      <c r="Y712" s="15" t="n"/>
      <c r="Z712" s="15" t="n"/>
      <c r="AA712" s="15" t="n"/>
      <c r="AB712" s="15" t="n"/>
      <c r="AC712" s="15" t="n"/>
      <c r="AD712" s="15" t="n"/>
      <c r="AE712" s="15" t="n"/>
      <c r="AF712" s="15" t="n"/>
      <c r="AG712" s="15" t="n"/>
      <c r="AH712" s="15" t="n"/>
      <c r="AI712" s="15" t="n"/>
    </row>
    <row r="713">
      <c r="A713" s="4" t="inlineStr">
        <is>
          <t>Студент1.28</t>
        </is>
      </c>
      <c r="B713" s="4" t="inlineStr"/>
      <c r="C713" s="4">
        <f>IF(A713="","",COUNTIF(F713:AI713,"+")+COUNTIF(F713:AI713,"1"))</f>
        <v/>
      </c>
      <c r="D713" s="4">
        <f>IF(A713="","",IF(C713&gt;2*COUNTA(F$685:AI$685)/3,1,IF(C713&gt;=COUNTA(F$685:AI$685)/2,0.8,0.5)))</f>
        <v/>
      </c>
      <c r="E713" s="4">
        <f>IF(A713="","",SUMIFS('Логи'!$H$4:$H$3006,'Логи'!$A$4:$A$3006,A713,'Логи'!$C$4:$C$3006,11))</f>
        <v/>
      </c>
      <c r="F713" s="15" t="n"/>
      <c r="G713" s="15" t="n"/>
      <c r="H713" s="15" t="n"/>
      <c r="I713" s="15" t="n"/>
      <c r="J713" s="15" t="n"/>
      <c r="K713" s="15" t="n"/>
      <c r="L713" s="15" t="n"/>
      <c r="M713" s="15" t="n"/>
      <c r="N713" s="15" t="n"/>
      <c r="O713" s="15" t="n"/>
      <c r="P713" s="15" t="n"/>
      <c r="Q713" s="15" t="n"/>
      <c r="R713" s="15" t="n"/>
      <c r="S713" s="15" t="n"/>
      <c r="T713" s="15" t="n"/>
      <c r="U713" s="15" t="n"/>
      <c r="V713" s="15" t="n"/>
      <c r="W713" s="15" t="n"/>
      <c r="X713" s="15" t="n"/>
      <c r="Y713" s="15" t="n"/>
      <c r="Z713" s="15" t="n"/>
      <c r="AA713" s="15" t="n"/>
      <c r="AB713" s="15" t="n"/>
      <c r="AC713" s="15" t="n"/>
      <c r="AD713" s="15" t="n"/>
      <c r="AE713" s="15" t="n"/>
      <c r="AF713" s="15" t="n"/>
      <c r="AG713" s="15" t="n"/>
      <c r="AH713" s="15" t="n"/>
      <c r="AI713" s="15" t="n"/>
    </row>
    <row r="714">
      <c r="A714" s="4" t="inlineStr">
        <is>
          <t>Студент1.29</t>
        </is>
      </c>
      <c r="B714" s="4" t="inlineStr"/>
      <c r="C714" s="4">
        <f>IF(A714="","",COUNTIF(F714:AI714,"+")+COUNTIF(F714:AI714,"1"))</f>
        <v/>
      </c>
      <c r="D714" s="4">
        <f>IF(A714="","",IF(C714&gt;2*COUNTA(F$685:AI$685)/3,1,IF(C714&gt;=COUNTA(F$685:AI$685)/2,0.8,0.5)))</f>
        <v/>
      </c>
      <c r="E714" s="4">
        <f>IF(A714="","",SUMIFS('Логи'!$H$4:$H$3006,'Логи'!$A$4:$A$3006,A714,'Логи'!$C$4:$C$3006,11))</f>
        <v/>
      </c>
      <c r="F714" s="15" t="n"/>
      <c r="G714" s="15" t="n"/>
      <c r="H714" s="15" t="n"/>
      <c r="I714" s="15" t="n"/>
      <c r="J714" s="15" t="n"/>
      <c r="K714" s="15" t="n"/>
      <c r="L714" s="15" t="n"/>
      <c r="M714" s="15" t="n"/>
      <c r="N714" s="15" t="n"/>
      <c r="O714" s="15" t="n"/>
      <c r="P714" s="15" t="n"/>
      <c r="Q714" s="15" t="n"/>
      <c r="R714" s="15" t="n"/>
      <c r="S714" s="15" t="n"/>
      <c r="T714" s="15" t="n"/>
      <c r="U714" s="15" t="n"/>
      <c r="V714" s="15" t="n"/>
      <c r="W714" s="15" t="n"/>
      <c r="X714" s="15" t="n"/>
      <c r="Y714" s="15" t="n"/>
      <c r="Z714" s="15" t="n"/>
      <c r="AA714" s="15" t="n"/>
      <c r="AB714" s="15" t="n"/>
      <c r="AC714" s="15" t="n"/>
      <c r="AD714" s="15" t="n"/>
      <c r="AE714" s="15" t="n"/>
      <c r="AF714" s="15" t="n"/>
      <c r="AG714" s="15" t="n"/>
      <c r="AH714" s="15" t="n"/>
      <c r="AI714" s="15" t="n"/>
    </row>
    <row r="715">
      <c r="A715" s="4" t="inlineStr">
        <is>
          <t>Студент1.30</t>
        </is>
      </c>
      <c r="B715" s="4" t="inlineStr"/>
      <c r="C715" s="4">
        <f>IF(A715="","",COUNTIF(F715:AI715,"+")+COUNTIF(F715:AI715,"1"))</f>
        <v/>
      </c>
      <c r="D715" s="4">
        <f>IF(A715="","",IF(C715&gt;2*COUNTA(F$685:AI$685)/3,1,IF(C715&gt;=COUNTA(F$685:AI$685)/2,0.8,0.5)))</f>
        <v/>
      </c>
      <c r="E715" s="4">
        <f>IF(A715="","",SUMIFS('Логи'!$H$4:$H$3006,'Логи'!$A$4:$A$3006,A715,'Логи'!$C$4:$C$3006,11))</f>
        <v/>
      </c>
      <c r="F715" s="15" t="n"/>
      <c r="G715" s="15" t="n"/>
      <c r="H715" s="15" t="n"/>
      <c r="I715" s="15" t="n"/>
      <c r="J715" s="15" t="n"/>
      <c r="K715" s="15" t="n"/>
      <c r="L715" s="15" t="n"/>
      <c r="M715" s="15" t="n"/>
      <c r="N715" s="15" t="n"/>
      <c r="O715" s="15" t="n"/>
      <c r="P715" s="15" t="n"/>
      <c r="Q715" s="15" t="n"/>
      <c r="R715" s="15" t="n"/>
      <c r="S715" s="15" t="n"/>
      <c r="T715" s="15" t="n"/>
      <c r="U715" s="15" t="n"/>
      <c r="V715" s="15" t="n"/>
      <c r="W715" s="15" t="n"/>
      <c r="X715" s="15" t="n"/>
      <c r="Y715" s="15" t="n"/>
      <c r="Z715" s="15" t="n"/>
      <c r="AA715" s="15" t="n"/>
      <c r="AB715" s="15" t="n"/>
      <c r="AC715" s="15" t="n"/>
      <c r="AD715" s="15" t="n"/>
      <c r="AE715" s="15" t="n"/>
      <c r="AF715" s="15" t="n"/>
      <c r="AG715" s="15" t="n"/>
      <c r="AH715" s="15" t="n"/>
      <c r="AI715" s="15" t="n"/>
    </row>
    <row r="717">
      <c r="A717" s="16" t="inlineStr">
        <is>
          <t>Практика 11 — результаты рассказа</t>
        </is>
      </c>
    </row>
    <row r="718" ht="28" customHeight="1">
      <c r="A718" s="7" t="inlineStr">
        <is>
          <t>Имя</t>
        </is>
      </c>
      <c r="B718" s="9" t="inlineStr">
        <is>
          <t>TG</t>
        </is>
      </c>
      <c r="C718" s="10" t="inlineStr"/>
      <c r="D718" s="2" t="inlineStr"/>
      <c r="E718" s="2" t="inlineStr"/>
      <c r="F718" s="11" t="inlineStr">
        <is>
          <t>1.0</t>
        </is>
      </c>
      <c r="G718" s="11" t="inlineStr">
        <is>
          <t>2.0</t>
        </is>
      </c>
      <c r="H718" s="11" t="inlineStr">
        <is>
          <t>3.0</t>
        </is>
      </c>
      <c r="I718" s="11" t="inlineStr">
        <is>
          <t>4.0</t>
        </is>
      </c>
      <c r="J718" s="11" t="inlineStr">
        <is>
          <t>5.0</t>
        </is>
      </c>
      <c r="K718" s="11" t="inlineStr">
        <is>
          <t>6</t>
        </is>
      </c>
      <c r="L718" s="11" t="inlineStr">
        <is>
          <t>7</t>
        </is>
      </c>
      <c r="M718" s="11" t="inlineStr">
        <is>
          <t>8</t>
        </is>
      </c>
      <c r="N718" s="11" t="inlineStr">
        <is>
          <t>9</t>
        </is>
      </c>
      <c r="O718" s="11" t="inlineStr">
        <is>
          <t>10</t>
        </is>
      </c>
      <c r="P718" s="11" t="inlineStr">
        <is>
          <t>11</t>
        </is>
      </c>
      <c r="Q718" s="11" t="inlineStr">
        <is>
          <t>12</t>
        </is>
      </c>
      <c r="R718" s="11" t="inlineStr">
        <is>
          <t>13</t>
        </is>
      </c>
      <c r="S718" s="11" t="inlineStr">
        <is>
          <t>14</t>
        </is>
      </c>
      <c r="T718" s="11" t="inlineStr">
        <is>
          <t>15</t>
        </is>
      </c>
      <c r="U718" s="11" t="inlineStr">
        <is>
          <t>16</t>
        </is>
      </c>
      <c r="V718" s="11" t="inlineStr">
        <is>
          <t>17</t>
        </is>
      </c>
      <c r="W718" s="11" t="inlineStr">
        <is>
          <t>18</t>
        </is>
      </c>
      <c r="X718" s="11" t="inlineStr">
        <is>
          <t>19</t>
        </is>
      </c>
      <c r="Y718" s="11" t="inlineStr">
        <is>
          <t>20</t>
        </is>
      </c>
      <c r="Z718" s="11" t="inlineStr">
        <is>
          <t>21</t>
        </is>
      </c>
      <c r="AA718" s="11" t="inlineStr">
        <is>
          <t>22</t>
        </is>
      </c>
      <c r="AB718" s="11" t="inlineStr">
        <is>
          <t>23</t>
        </is>
      </c>
      <c r="AC718" s="11" t="inlineStr">
        <is>
          <t>24</t>
        </is>
      </c>
      <c r="AD718" s="11" t="inlineStr">
        <is>
          <t>25</t>
        </is>
      </c>
      <c r="AE718" s="11" t="inlineStr">
        <is>
          <t>26</t>
        </is>
      </c>
      <c r="AF718" s="11" t="inlineStr">
        <is>
          <t>27</t>
        </is>
      </c>
      <c r="AG718" s="11" t="inlineStr">
        <is>
          <t>28</t>
        </is>
      </c>
      <c r="AH718" s="11" t="inlineStr">
        <is>
          <t>29</t>
        </is>
      </c>
      <c r="AI718" s="11" t="inlineStr">
        <is>
          <t>30</t>
        </is>
      </c>
    </row>
    <row r="719">
      <c r="A719" s="4" t="inlineStr">
        <is>
          <t>Студент1.1</t>
        </is>
      </c>
      <c r="B719" s="4" t="inlineStr"/>
      <c r="C719" s="4" t="n"/>
      <c r="D719" s="4" t="n"/>
      <c r="E719" s="4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  <c r="O719" s="15" t="n"/>
      <c r="P719" s="15" t="n"/>
      <c r="Q719" s="15" t="n"/>
      <c r="R719" s="15" t="n"/>
      <c r="S719" s="15" t="n"/>
      <c r="T719" s="15" t="n"/>
      <c r="U719" s="15" t="n"/>
      <c r="V719" s="15" t="n"/>
      <c r="W719" s="15" t="n"/>
      <c r="X719" s="15" t="n"/>
      <c r="Y719" s="15" t="n"/>
      <c r="Z719" s="15" t="n"/>
      <c r="AA719" s="15" t="n"/>
      <c r="AB719" s="15" t="n"/>
      <c r="AC719" s="15" t="n"/>
      <c r="AD719" s="15" t="n"/>
      <c r="AE719" s="15" t="n"/>
      <c r="AF719" s="15" t="n"/>
      <c r="AG719" s="15" t="n"/>
      <c r="AH719" s="15" t="n"/>
      <c r="AI719" s="15" t="n"/>
    </row>
    <row r="720">
      <c r="A720" s="4" t="inlineStr">
        <is>
          <t>Студент1.2</t>
        </is>
      </c>
      <c r="B720" s="4" t="inlineStr"/>
      <c r="C720" s="4" t="n"/>
      <c r="D720" s="4" t="n"/>
      <c r="E720" s="4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  <c r="O720" s="15" t="n"/>
      <c r="P720" s="15" t="n"/>
      <c r="Q720" s="15" t="n"/>
      <c r="R720" s="15" t="n"/>
      <c r="S720" s="15" t="n"/>
      <c r="T720" s="15" t="n"/>
      <c r="U720" s="15" t="n"/>
      <c r="V720" s="15" t="n"/>
      <c r="W720" s="15" t="n"/>
      <c r="X720" s="15" t="n"/>
      <c r="Y720" s="15" t="n"/>
      <c r="Z720" s="15" t="n"/>
      <c r="AA720" s="15" t="n"/>
      <c r="AB720" s="15" t="n"/>
      <c r="AC720" s="15" t="n"/>
      <c r="AD720" s="15" t="n"/>
      <c r="AE720" s="15" t="n"/>
      <c r="AF720" s="15" t="n"/>
      <c r="AG720" s="15" t="n"/>
      <c r="AH720" s="15" t="n"/>
      <c r="AI720" s="15" t="n"/>
    </row>
    <row r="721">
      <c r="A721" s="4" t="inlineStr">
        <is>
          <t>Студент1.3</t>
        </is>
      </c>
      <c r="B721" s="4" t="inlineStr"/>
      <c r="C721" s="4" t="n"/>
      <c r="D721" s="4" t="n"/>
      <c r="E721" s="4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  <c r="O721" s="15" t="n"/>
      <c r="P721" s="15" t="n"/>
      <c r="Q721" s="15" t="n"/>
      <c r="R721" s="15" t="n"/>
      <c r="S721" s="15" t="n"/>
      <c r="T721" s="15" t="n"/>
      <c r="U721" s="15" t="n"/>
      <c r="V721" s="15" t="n"/>
      <c r="W721" s="15" t="n"/>
      <c r="X721" s="15" t="n"/>
      <c r="Y721" s="15" t="n"/>
      <c r="Z721" s="15" t="n"/>
      <c r="AA721" s="15" t="n"/>
      <c r="AB721" s="15" t="n"/>
      <c r="AC721" s="15" t="n"/>
      <c r="AD721" s="15" t="n"/>
      <c r="AE721" s="15" t="n"/>
      <c r="AF721" s="15" t="n"/>
      <c r="AG721" s="15" t="n"/>
      <c r="AH721" s="15" t="n"/>
      <c r="AI721" s="15" t="n"/>
    </row>
    <row r="722">
      <c r="A722" s="4" t="inlineStr">
        <is>
          <t>Студент1.4</t>
        </is>
      </c>
      <c r="B722" s="4" t="inlineStr"/>
      <c r="C722" s="4" t="n"/>
      <c r="D722" s="4" t="n"/>
      <c r="E722" s="4" t="n"/>
      <c r="F722" s="15" t="n"/>
      <c r="G722" s="15" t="n"/>
      <c r="H722" s="15" t="n"/>
      <c r="I722" s="15" t="n"/>
      <c r="J722" s="15" t="n"/>
      <c r="K722" s="15" t="n"/>
      <c r="L722" s="15" t="n"/>
      <c r="M722" s="15" t="n"/>
      <c r="N722" s="15" t="n"/>
      <c r="O722" s="15" t="n"/>
      <c r="P722" s="15" t="n"/>
      <c r="Q722" s="15" t="n"/>
      <c r="R722" s="15" t="n"/>
      <c r="S722" s="15" t="n"/>
      <c r="T722" s="15" t="n"/>
      <c r="U722" s="15" t="n"/>
      <c r="V722" s="15" t="n"/>
      <c r="W722" s="15" t="n"/>
      <c r="X722" s="15" t="n"/>
      <c r="Y722" s="15" t="n"/>
      <c r="Z722" s="15" t="n"/>
      <c r="AA722" s="15" t="n"/>
      <c r="AB722" s="15" t="n"/>
      <c r="AC722" s="15" t="n"/>
      <c r="AD722" s="15" t="n"/>
      <c r="AE722" s="15" t="n"/>
      <c r="AF722" s="15" t="n"/>
      <c r="AG722" s="15" t="n"/>
      <c r="AH722" s="15" t="n"/>
      <c r="AI722" s="15" t="n"/>
    </row>
    <row r="723">
      <c r="A723" s="4" t="inlineStr">
        <is>
          <t>Студент1.5</t>
        </is>
      </c>
      <c r="B723" s="4" t="inlineStr"/>
      <c r="C723" s="4" t="n"/>
      <c r="D723" s="4" t="n"/>
      <c r="E723" s="4" t="n"/>
      <c r="F723" s="15" t="n"/>
      <c r="G723" s="15" t="n"/>
      <c r="H723" s="15" t="n"/>
      <c r="I723" s="15" t="n"/>
      <c r="J723" s="15" t="n"/>
      <c r="K723" s="15" t="n"/>
      <c r="L723" s="15" t="n"/>
      <c r="M723" s="15" t="n"/>
      <c r="N723" s="15" t="n"/>
      <c r="O723" s="15" t="n"/>
      <c r="P723" s="15" t="n"/>
      <c r="Q723" s="15" t="n"/>
      <c r="R723" s="15" t="n"/>
      <c r="S723" s="15" t="n"/>
      <c r="T723" s="15" t="n"/>
      <c r="U723" s="15" t="n"/>
      <c r="V723" s="15" t="n"/>
      <c r="W723" s="15" t="n"/>
      <c r="X723" s="15" t="n"/>
      <c r="Y723" s="15" t="n"/>
      <c r="Z723" s="15" t="n"/>
      <c r="AA723" s="15" t="n"/>
      <c r="AB723" s="15" t="n"/>
      <c r="AC723" s="15" t="n"/>
      <c r="AD723" s="15" t="n"/>
      <c r="AE723" s="15" t="n"/>
      <c r="AF723" s="15" t="n"/>
      <c r="AG723" s="15" t="n"/>
      <c r="AH723" s="15" t="n"/>
      <c r="AI723" s="15" t="n"/>
    </row>
    <row r="724">
      <c r="A724" s="4" t="inlineStr">
        <is>
          <t>Студент1.6</t>
        </is>
      </c>
      <c r="B724" s="4" t="inlineStr"/>
      <c r="C724" s="4" t="n"/>
      <c r="D724" s="4" t="n"/>
      <c r="E724" s="4" t="n"/>
      <c r="F724" s="15" t="n"/>
      <c r="G724" s="15" t="n"/>
      <c r="H724" s="15" t="n"/>
      <c r="I724" s="15" t="n"/>
      <c r="J724" s="15" t="n"/>
      <c r="K724" s="15" t="n"/>
      <c r="L724" s="15" t="n"/>
      <c r="M724" s="15" t="n"/>
      <c r="N724" s="15" t="n"/>
      <c r="O724" s="15" t="n"/>
      <c r="P724" s="15" t="n"/>
      <c r="Q724" s="15" t="n"/>
      <c r="R724" s="15" t="n"/>
      <c r="S724" s="15" t="n"/>
      <c r="T724" s="15" t="n"/>
      <c r="U724" s="15" t="n"/>
      <c r="V724" s="15" t="n"/>
      <c r="W724" s="15" t="n"/>
      <c r="X724" s="15" t="n"/>
      <c r="Y724" s="15" t="n"/>
      <c r="Z724" s="15" t="n"/>
      <c r="AA724" s="15" t="n"/>
      <c r="AB724" s="15" t="n"/>
      <c r="AC724" s="15" t="n"/>
      <c r="AD724" s="15" t="n"/>
      <c r="AE724" s="15" t="n"/>
      <c r="AF724" s="15" t="n"/>
      <c r="AG724" s="15" t="n"/>
      <c r="AH724" s="15" t="n"/>
      <c r="AI724" s="15" t="n"/>
    </row>
    <row r="725">
      <c r="A725" s="4" t="inlineStr">
        <is>
          <t>Студент1.7</t>
        </is>
      </c>
      <c r="B725" s="4" t="inlineStr"/>
      <c r="C725" s="4" t="n"/>
      <c r="D725" s="4" t="n"/>
      <c r="E725" s="4" t="n"/>
      <c r="F725" s="15" t="n"/>
      <c r="G725" s="15" t="n"/>
      <c r="H725" s="15" t="n"/>
      <c r="I725" s="15" t="n"/>
      <c r="J725" s="15" t="n"/>
      <c r="K725" s="15" t="n"/>
      <c r="L725" s="15" t="n"/>
      <c r="M725" s="15" t="n"/>
      <c r="N725" s="15" t="n"/>
      <c r="O725" s="15" t="n"/>
      <c r="P725" s="15" t="n"/>
      <c r="Q725" s="15" t="n"/>
      <c r="R725" s="15" t="n"/>
      <c r="S725" s="15" t="n"/>
      <c r="T725" s="15" t="n"/>
      <c r="U725" s="15" t="n"/>
      <c r="V725" s="15" t="n"/>
      <c r="W725" s="15" t="n"/>
      <c r="X725" s="15" t="n"/>
      <c r="Y725" s="15" t="n"/>
      <c r="Z725" s="15" t="n"/>
      <c r="AA725" s="15" t="n"/>
      <c r="AB725" s="15" t="n"/>
      <c r="AC725" s="15" t="n"/>
      <c r="AD725" s="15" t="n"/>
      <c r="AE725" s="15" t="n"/>
      <c r="AF725" s="15" t="n"/>
      <c r="AG725" s="15" t="n"/>
      <c r="AH725" s="15" t="n"/>
      <c r="AI725" s="15" t="n"/>
    </row>
    <row r="726">
      <c r="A726" s="4" t="inlineStr">
        <is>
          <t>Студент1.8</t>
        </is>
      </c>
      <c r="B726" s="4" t="inlineStr"/>
      <c r="C726" s="4" t="n"/>
      <c r="D726" s="4" t="n"/>
      <c r="E726" s="4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  <c r="O726" s="15" t="n"/>
      <c r="P726" s="15" t="n"/>
      <c r="Q726" s="15" t="n"/>
      <c r="R726" s="15" t="n"/>
      <c r="S726" s="15" t="n"/>
      <c r="T726" s="15" t="n"/>
      <c r="U726" s="15" t="n"/>
      <c r="V726" s="15" t="n"/>
      <c r="W726" s="15" t="n"/>
      <c r="X726" s="15" t="n"/>
      <c r="Y726" s="15" t="n"/>
      <c r="Z726" s="15" t="n"/>
      <c r="AA726" s="15" t="n"/>
      <c r="AB726" s="15" t="n"/>
      <c r="AC726" s="15" t="n"/>
      <c r="AD726" s="15" t="n"/>
      <c r="AE726" s="15" t="n"/>
      <c r="AF726" s="15" t="n"/>
      <c r="AG726" s="15" t="n"/>
      <c r="AH726" s="15" t="n"/>
      <c r="AI726" s="15" t="n"/>
    </row>
    <row r="727">
      <c r="A727" s="4" t="inlineStr">
        <is>
          <t>Студент1.9</t>
        </is>
      </c>
      <c r="B727" s="4" t="inlineStr"/>
      <c r="C727" s="4" t="n"/>
      <c r="D727" s="4" t="n"/>
      <c r="E727" s="4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  <c r="O727" s="15" t="n"/>
      <c r="P727" s="15" t="n"/>
      <c r="Q727" s="15" t="n"/>
      <c r="R727" s="15" t="n"/>
      <c r="S727" s="15" t="n"/>
      <c r="T727" s="15" t="n"/>
      <c r="U727" s="15" t="n"/>
      <c r="V727" s="15" t="n"/>
      <c r="W727" s="15" t="n"/>
      <c r="X727" s="15" t="n"/>
      <c r="Y727" s="15" t="n"/>
      <c r="Z727" s="15" t="n"/>
      <c r="AA727" s="15" t="n"/>
      <c r="AB727" s="15" t="n"/>
      <c r="AC727" s="15" t="n"/>
      <c r="AD727" s="15" t="n"/>
      <c r="AE727" s="15" t="n"/>
      <c r="AF727" s="15" t="n"/>
      <c r="AG727" s="15" t="n"/>
      <c r="AH727" s="15" t="n"/>
      <c r="AI727" s="15" t="n"/>
    </row>
    <row r="728">
      <c r="A728" s="4" t="inlineStr">
        <is>
          <t>Студент1.10</t>
        </is>
      </c>
      <c r="B728" s="4" t="inlineStr"/>
      <c r="C728" s="4" t="n"/>
      <c r="D728" s="4" t="n"/>
      <c r="E728" s="4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5" t="n"/>
      <c r="P728" s="15" t="n"/>
      <c r="Q728" s="15" t="n"/>
      <c r="R728" s="15" t="n"/>
      <c r="S728" s="15" t="n"/>
      <c r="T728" s="15" t="n"/>
      <c r="U728" s="15" t="n"/>
      <c r="V728" s="15" t="n"/>
      <c r="W728" s="15" t="n"/>
      <c r="X728" s="15" t="n"/>
      <c r="Y728" s="15" t="n"/>
      <c r="Z728" s="15" t="n"/>
      <c r="AA728" s="15" t="n"/>
      <c r="AB728" s="15" t="n"/>
      <c r="AC728" s="15" t="n"/>
      <c r="AD728" s="15" t="n"/>
      <c r="AE728" s="15" t="n"/>
      <c r="AF728" s="15" t="n"/>
      <c r="AG728" s="15" t="n"/>
      <c r="AH728" s="15" t="n"/>
      <c r="AI728" s="15" t="n"/>
    </row>
    <row r="729">
      <c r="A729" s="4" t="inlineStr">
        <is>
          <t>Студент1.11</t>
        </is>
      </c>
      <c r="B729" s="4" t="inlineStr"/>
      <c r="C729" s="4" t="n"/>
      <c r="D729" s="4" t="n"/>
      <c r="E729" s="4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  <c r="O729" s="15" t="n"/>
      <c r="P729" s="15" t="n"/>
      <c r="Q729" s="15" t="n"/>
      <c r="R729" s="15" t="n"/>
      <c r="S729" s="15" t="n"/>
      <c r="T729" s="15" t="n"/>
      <c r="U729" s="15" t="n"/>
      <c r="V729" s="15" t="n"/>
      <c r="W729" s="15" t="n"/>
      <c r="X729" s="15" t="n"/>
      <c r="Y729" s="15" t="n"/>
      <c r="Z729" s="15" t="n"/>
      <c r="AA729" s="15" t="n"/>
      <c r="AB729" s="15" t="n"/>
      <c r="AC729" s="15" t="n"/>
      <c r="AD729" s="15" t="n"/>
      <c r="AE729" s="15" t="n"/>
      <c r="AF729" s="15" t="n"/>
      <c r="AG729" s="15" t="n"/>
      <c r="AH729" s="15" t="n"/>
      <c r="AI729" s="15" t="n"/>
    </row>
    <row r="730">
      <c r="A730" s="4" t="inlineStr">
        <is>
          <t>Студент1.12</t>
        </is>
      </c>
      <c r="B730" s="4" t="inlineStr"/>
      <c r="C730" s="4" t="n"/>
      <c r="D730" s="4" t="n"/>
      <c r="E730" s="4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  <c r="O730" s="15" t="n"/>
      <c r="P730" s="15" t="n"/>
      <c r="Q730" s="15" t="n"/>
      <c r="R730" s="15" t="n"/>
      <c r="S730" s="15" t="n"/>
      <c r="T730" s="15" t="n"/>
      <c r="U730" s="15" t="n"/>
      <c r="V730" s="15" t="n"/>
      <c r="W730" s="15" t="n"/>
      <c r="X730" s="15" t="n"/>
      <c r="Y730" s="15" t="n"/>
      <c r="Z730" s="15" t="n"/>
      <c r="AA730" s="15" t="n"/>
      <c r="AB730" s="15" t="n"/>
      <c r="AC730" s="15" t="n"/>
      <c r="AD730" s="15" t="n"/>
      <c r="AE730" s="15" t="n"/>
      <c r="AF730" s="15" t="n"/>
      <c r="AG730" s="15" t="n"/>
      <c r="AH730" s="15" t="n"/>
      <c r="AI730" s="15" t="n"/>
    </row>
    <row r="731">
      <c r="A731" s="4" t="inlineStr">
        <is>
          <t>Студент1.13</t>
        </is>
      </c>
      <c r="B731" s="4" t="inlineStr"/>
      <c r="C731" s="4" t="n"/>
      <c r="D731" s="4" t="n"/>
      <c r="E731" s="4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5" t="n"/>
      <c r="P731" s="15" t="n"/>
      <c r="Q731" s="15" t="n"/>
      <c r="R731" s="15" t="n"/>
      <c r="S731" s="15" t="n"/>
      <c r="T731" s="15" t="n"/>
      <c r="U731" s="15" t="n"/>
      <c r="V731" s="15" t="n"/>
      <c r="W731" s="15" t="n"/>
      <c r="X731" s="15" t="n"/>
      <c r="Y731" s="15" t="n"/>
      <c r="Z731" s="15" t="n"/>
      <c r="AA731" s="15" t="n"/>
      <c r="AB731" s="15" t="n"/>
      <c r="AC731" s="15" t="n"/>
      <c r="AD731" s="15" t="n"/>
      <c r="AE731" s="15" t="n"/>
      <c r="AF731" s="15" t="n"/>
      <c r="AG731" s="15" t="n"/>
      <c r="AH731" s="15" t="n"/>
      <c r="AI731" s="15" t="n"/>
    </row>
    <row r="732">
      <c r="A732" s="4" t="inlineStr">
        <is>
          <t>Студент1.14</t>
        </is>
      </c>
      <c r="B732" s="4" t="inlineStr"/>
      <c r="C732" s="4" t="n"/>
      <c r="D732" s="4" t="n"/>
      <c r="E732" s="4" t="n"/>
      <c r="F732" s="15" t="n"/>
      <c r="G732" s="15" t="n"/>
      <c r="H732" s="15" t="n"/>
      <c r="I732" s="15" t="n"/>
      <c r="J732" s="15" t="n"/>
      <c r="K732" s="15" t="n"/>
      <c r="L732" s="15" t="n"/>
      <c r="M732" s="15" t="n"/>
      <c r="N732" s="15" t="n"/>
      <c r="O732" s="15" t="n"/>
      <c r="P732" s="15" t="n"/>
      <c r="Q732" s="15" t="n"/>
      <c r="R732" s="15" t="n"/>
      <c r="S732" s="15" t="n"/>
      <c r="T732" s="15" t="n"/>
      <c r="U732" s="15" t="n"/>
      <c r="V732" s="15" t="n"/>
      <c r="W732" s="15" t="n"/>
      <c r="X732" s="15" t="n"/>
      <c r="Y732" s="15" t="n"/>
      <c r="Z732" s="15" t="n"/>
      <c r="AA732" s="15" t="n"/>
      <c r="AB732" s="15" t="n"/>
      <c r="AC732" s="15" t="n"/>
      <c r="AD732" s="15" t="n"/>
      <c r="AE732" s="15" t="n"/>
      <c r="AF732" s="15" t="n"/>
      <c r="AG732" s="15" t="n"/>
      <c r="AH732" s="15" t="n"/>
      <c r="AI732" s="15" t="n"/>
    </row>
    <row r="733">
      <c r="A733" s="4" t="inlineStr">
        <is>
          <t>Студент1.15</t>
        </is>
      </c>
      <c r="B733" s="4" t="inlineStr"/>
      <c r="C733" s="4" t="n"/>
      <c r="D733" s="4" t="n"/>
      <c r="E733" s="4" t="n"/>
      <c r="F733" s="15" t="n"/>
      <c r="G733" s="15" t="n"/>
      <c r="H733" s="15" t="n"/>
      <c r="I733" s="15" t="n"/>
      <c r="J733" s="15" t="n"/>
      <c r="K733" s="15" t="n"/>
      <c r="L733" s="15" t="n"/>
      <c r="M733" s="15" t="n"/>
      <c r="N733" s="15" t="n"/>
      <c r="O733" s="15" t="n"/>
      <c r="P733" s="15" t="n"/>
      <c r="Q733" s="15" t="n"/>
      <c r="R733" s="15" t="n"/>
      <c r="S733" s="15" t="n"/>
      <c r="T733" s="15" t="n"/>
      <c r="U733" s="15" t="n"/>
      <c r="V733" s="15" t="n"/>
      <c r="W733" s="15" t="n"/>
      <c r="X733" s="15" t="n"/>
      <c r="Y733" s="15" t="n"/>
      <c r="Z733" s="15" t="n"/>
      <c r="AA733" s="15" t="n"/>
      <c r="AB733" s="15" t="n"/>
      <c r="AC733" s="15" t="n"/>
      <c r="AD733" s="15" t="n"/>
      <c r="AE733" s="15" t="n"/>
      <c r="AF733" s="15" t="n"/>
      <c r="AG733" s="15" t="n"/>
      <c r="AH733" s="15" t="n"/>
      <c r="AI733" s="15" t="n"/>
    </row>
    <row r="734">
      <c r="A734" s="4" t="inlineStr">
        <is>
          <t>Студент1.16</t>
        </is>
      </c>
      <c r="B734" s="4" t="inlineStr"/>
      <c r="C734" s="4" t="n"/>
      <c r="D734" s="4" t="n"/>
      <c r="E734" s="4" t="n"/>
      <c r="F734" s="15" t="n"/>
      <c r="G734" s="15" t="n"/>
      <c r="H734" s="15" t="n"/>
      <c r="I734" s="15" t="n"/>
      <c r="J734" s="15" t="n"/>
      <c r="K734" s="15" t="n"/>
      <c r="L734" s="15" t="n"/>
      <c r="M734" s="15" t="n"/>
      <c r="N734" s="15" t="n"/>
      <c r="O734" s="15" t="n"/>
      <c r="P734" s="15" t="n"/>
      <c r="Q734" s="15" t="n"/>
      <c r="R734" s="15" t="n"/>
      <c r="S734" s="15" t="n"/>
      <c r="T734" s="15" t="n"/>
      <c r="U734" s="15" t="n"/>
      <c r="V734" s="15" t="n"/>
      <c r="W734" s="15" t="n"/>
      <c r="X734" s="15" t="n"/>
      <c r="Y734" s="15" t="n"/>
      <c r="Z734" s="15" t="n"/>
      <c r="AA734" s="15" t="n"/>
      <c r="AB734" s="15" t="n"/>
      <c r="AC734" s="15" t="n"/>
      <c r="AD734" s="15" t="n"/>
      <c r="AE734" s="15" t="n"/>
      <c r="AF734" s="15" t="n"/>
      <c r="AG734" s="15" t="n"/>
      <c r="AH734" s="15" t="n"/>
      <c r="AI734" s="15" t="n"/>
    </row>
    <row r="735">
      <c r="A735" s="4" t="inlineStr">
        <is>
          <t>Студент1.17</t>
        </is>
      </c>
      <c r="B735" s="4" t="inlineStr"/>
      <c r="C735" s="4" t="n"/>
      <c r="D735" s="4" t="n"/>
      <c r="E735" s="4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5" t="n"/>
      <c r="P735" s="15" t="n"/>
      <c r="Q735" s="15" t="n"/>
      <c r="R735" s="15" t="n"/>
      <c r="S735" s="15" t="n"/>
      <c r="T735" s="15" t="n"/>
      <c r="U735" s="15" t="n"/>
      <c r="V735" s="15" t="n"/>
      <c r="W735" s="15" t="n"/>
      <c r="X735" s="15" t="n"/>
      <c r="Y735" s="15" t="n"/>
      <c r="Z735" s="15" t="n"/>
      <c r="AA735" s="15" t="n"/>
      <c r="AB735" s="15" t="n"/>
      <c r="AC735" s="15" t="n"/>
      <c r="AD735" s="15" t="n"/>
      <c r="AE735" s="15" t="n"/>
      <c r="AF735" s="15" t="n"/>
      <c r="AG735" s="15" t="n"/>
      <c r="AH735" s="15" t="n"/>
      <c r="AI735" s="15" t="n"/>
    </row>
    <row r="736">
      <c r="A736" s="4" t="inlineStr">
        <is>
          <t>Студент1.18</t>
        </is>
      </c>
      <c r="B736" s="4" t="inlineStr"/>
      <c r="C736" s="4" t="n"/>
      <c r="D736" s="4" t="n"/>
      <c r="E736" s="4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  <c r="O736" s="15" t="n"/>
      <c r="P736" s="15" t="n"/>
      <c r="Q736" s="15" t="n"/>
      <c r="R736" s="15" t="n"/>
      <c r="S736" s="15" t="n"/>
      <c r="T736" s="15" t="n"/>
      <c r="U736" s="15" t="n"/>
      <c r="V736" s="15" t="n"/>
      <c r="W736" s="15" t="n"/>
      <c r="X736" s="15" t="n"/>
      <c r="Y736" s="15" t="n"/>
      <c r="Z736" s="15" t="n"/>
      <c r="AA736" s="15" t="n"/>
      <c r="AB736" s="15" t="n"/>
      <c r="AC736" s="15" t="n"/>
      <c r="AD736" s="15" t="n"/>
      <c r="AE736" s="15" t="n"/>
      <c r="AF736" s="15" t="n"/>
      <c r="AG736" s="15" t="n"/>
      <c r="AH736" s="15" t="n"/>
      <c r="AI736" s="15" t="n"/>
    </row>
    <row r="737">
      <c r="A737" s="4" t="inlineStr">
        <is>
          <t>Студент1.19</t>
        </is>
      </c>
      <c r="B737" s="4" t="inlineStr"/>
      <c r="C737" s="4" t="n"/>
      <c r="D737" s="4" t="n"/>
      <c r="E737" s="4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  <c r="O737" s="15" t="n"/>
      <c r="P737" s="15" t="n"/>
      <c r="Q737" s="15" t="n"/>
      <c r="R737" s="15" t="n"/>
      <c r="S737" s="15" t="n"/>
      <c r="T737" s="15" t="n"/>
      <c r="U737" s="15" t="n"/>
      <c r="V737" s="15" t="n"/>
      <c r="W737" s="15" t="n"/>
      <c r="X737" s="15" t="n"/>
      <c r="Y737" s="15" t="n"/>
      <c r="Z737" s="15" t="n"/>
      <c r="AA737" s="15" t="n"/>
      <c r="AB737" s="15" t="n"/>
      <c r="AC737" s="15" t="n"/>
      <c r="AD737" s="15" t="n"/>
      <c r="AE737" s="15" t="n"/>
      <c r="AF737" s="15" t="n"/>
      <c r="AG737" s="15" t="n"/>
      <c r="AH737" s="15" t="n"/>
      <c r="AI737" s="15" t="n"/>
    </row>
    <row r="738">
      <c r="A738" s="4" t="inlineStr">
        <is>
          <t>Студент1.20</t>
        </is>
      </c>
      <c r="B738" s="4" t="inlineStr"/>
      <c r="C738" s="4" t="n"/>
      <c r="D738" s="4" t="n"/>
      <c r="E738" s="4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5" t="n"/>
      <c r="P738" s="15" t="n"/>
      <c r="Q738" s="15" t="n"/>
      <c r="R738" s="15" t="n"/>
      <c r="S738" s="15" t="n"/>
      <c r="T738" s="15" t="n"/>
      <c r="U738" s="15" t="n"/>
      <c r="V738" s="15" t="n"/>
      <c r="W738" s="15" t="n"/>
      <c r="X738" s="15" t="n"/>
      <c r="Y738" s="15" t="n"/>
      <c r="Z738" s="15" t="n"/>
      <c r="AA738" s="15" t="n"/>
      <c r="AB738" s="15" t="n"/>
      <c r="AC738" s="15" t="n"/>
      <c r="AD738" s="15" t="n"/>
      <c r="AE738" s="15" t="n"/>
      <c r="AF738" s="15" t="n"/>
      <c r="AG738" s="15" t="n"/>
      <c r="AH738" s="15" t="n"/>
      <c r="AI738" s="15" t="n"/>
    </row>
    <row r="739">
      <c r="A739" s="4" t="inlineStr">
        <is>
          <t>Студент1.21</t>
        </is>
      </c>
      <c r="B739" s="4" t="inlineStr"/>
      <c r="C739" s="4" t="n"/>
      <c r="D739" s="4" t="n"/>
      <c r="E739" s="4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  <c r="O739" s="15" t="n"/>
      <c r="P739" s="15" t="n"/>
      <c r="Q739" s="15" t="n"/>
      <c r="R739" s="15" t="n"/>
      <c r="S739" s="15" t="n"/>
      <c r="T739" s="15" t="n"/>
      <c r="U739" s="15" t="n"/>
      <c r="V739" s="15" t="n"/>
      <c r="W739" s="15" t="n"/>
      <c r="X739" s="15" t="n"/>
      <c r="Y739" s="15" t="n"/>
      <c r="Z739" s="15" t="n"/>
      <c r="AA739" s="15" t="n"/>
      <c r="AB739" s="15" t="n"/>
      <c r="AC739" s="15" t="n"/>
      <c r="AD739" s="15" t="n"/>
      <c r="AE739" s="15" t="n"/>
      <c r="AF739" s="15" t="n"/>
      <c r="AG739" s="15" t="n"/>
      <c r="AH739" s="15" t="n"/>
      <c r="AI739" s="15" t="n"/>
    </row>
    <row r="740">
      <c r="A740" s="4" t="inlineStr">
        <is>
          <t>Студент1.22</t>
        </is>
      </c>
      <c r="B740" s="4" t="inlineStr"/>
      <c r="C740" s="4" t="n"/>
      <c r="D740" s="4" t="n"/>
      <c r="E740" s="4" t="n"/>
      <c r="F740" s="15" t="n"/>
      <c r="G740" s="15" t="n"/>
      <c r="H740" s="15" t="n"/>
      <c r="I740" s="15" t="n"/>
      <c r="J740" s="15" t="n"/>
      <c r="K740" s="15" t="n"/>
      <c r="L740" s="15" t="n"/>
      <c r="M740" s="15" t="n"/>
      <c r="N740" s="15" t="n"/>
      <c r="O740" s="15" t="n"/>
      <c r="P740" s="15" t="n"/>
      <c r="Q740" s="15" t="n"/>
      <c r="R740" s="15" t="n"/>
      <c r="S740" s="15" t="n"/>
      <c r="T740" s="15" t="n"/>
      <c r="U740" s="15" t="n"/>
      <c r="V740" s="15" t="n"/>
      <c r="W740" s="15" t="n"/>
      <c r="X740" s="15" t="n"/>
      <c r="Y740" s="15" t="n"/>
      <c r="Z740" s="15" t="n"/>
      <c r="AA740" s="15" t="n"/>
      <c r="AB740" s="15" t="n"/>
      <c r="AC740" s="15" t="n"/>
      <c r="AD740" s="15" t="n"/>
      <c r="AE740" s="15" t="n"/>
      <c r="AF740" s="15" t="n"/>
      <c r="AG740" s="15" t="n"/>
      <c r="AH740" s="15" t="n"/>
      <c r="AI740" s="15" t="n"/>
    </row>
    <row r="741">
      <c r="A741" s="4" t="inlineStr">
        <is>
          <t>Студент1.23</t>
        </is>
      </c>
      <c r="B741" s="4" t="inlineStr"/>
      <c r="C741" s="4" t="n"/>
      <c r="D741" s="4" t="n"/>
      <c r="E741" s="4" t="n"/>
      <c r="F741" s="15" t="n"/>
      <c r="G741" s="15" t="n"/>
      <c r="H741" s="15" t="n"/>
      <c r="I741" s="15" t="n"/>
      <c r="J741" s="15" t="n"/>
      <c r="K741" s="15" t="n"/>
      <c r="L741" s="15" t="n"/>
      <c r="M741" s="15" t="n"/>
      <c r="N741" s="15" t="n"/>
      <c r="O741" s="15" t="n"/>
      <c r="P741" s="15" t="n"/>
      <c r="Q741" s="15" t="n"/>
      <c r="R741" s="15" t="n"/>
      <c r="S741" s="15" t="n"/>
      <c r="T741" s="15" t="n"/>
      <c r="U741" s="15" t="n"/>
      <c r="V741" s="15" t="n"/>
      <c r="W741" s="15" t="n"/>
      <c r="X741" s="15" t="n"/>
      <c r="Y741" s="15" t="n"/>
      <c r="Z741" s="15" t="n"/>
      <c r="AA741" s="15" t="n"/>
      <c r="AB741" s="15" t="n"/>
      <c r="AC741" s="15" t="n"/>
      <c r="AD741" s="15" t="n"/>
      <c r="AE741" s="15" t="n"/>
      <c r="AF741" s="15" t="n"/>
      <c r="AG741" s="15" t="n"/>
      <c r="AH741" s="15" t="n"/>
      <c r="AI741" s="15" t="n"/>
    </row>
    <row r="742">
      <c r="A742" s="4" t="inlineStr">
        <is>
          <t>Студент1.24</t>
        </is>
      </c>
      <c r="B742" s="4" t="inlineStr"/>
      <c r="C742" s="4" t="n"/>
      <c r="D742" s="4" t="n"/>
      <c r="E742" s="4" t="n"/>
      <c r="F742" s="15" t="n"/>
      <c r="G742" s="15" t="n"/>
      <c r="H742" s="15" t="n"/>
      <c r="I742" s="15" t="n"/>
      <c r="J742" s="15" t="n"/>
      <c r="K742" s="15" t="n"/>
      <c r="L742" s="15" t="n"/>
      <c r="M742" s="15" t="n"/>
      <c r="N742" s="15" t="n"/>
      <c r="O742" s="15" t="n"/>
      <c r="P742" s="15" t="n"/>
      <c r="Q742" s="15" t="n"/>
      <c r="R742" s="15" t="n"/>
      <c r="S742" s="15" t="n"/>
      <c r="T742" s="15" t="n"/>
      <c r="U742" s="15" t="n"/>
      <c r="V742" s="15" t="n"/>
      <c r="W742" s="15" t="n"/>
      <c r="X742" s="15" t="n"/>
      <c r="Y742" s="15" t="n"/>
      <c r="Z742" s="15" t="n"/>
      <c r="AA742" s="15" t="n"/>
      <c r="AB742" s="15" t="n"/>
      <c r="AC742" s="15" t="n"/>
      <c r="AD742" s="15" t="n"/>
      <c r="AE742" s="15" t="n"/>
      <c r="AF742" s="15" t="n"/>
      <c r="AG742" s="15" t="n"/>
      <c r="AH742" s="15" t="n"/>
      <c r="AI742" s="15" t="n"/>
    </row>
    <row r="743">
      <c r="A743" s="4" t="inlineStr">
        <is>
          <t>Студент1.25</t>
        </is>
      </c>
      <c r="B743" s="4" t="inlineStr"/>
      <c r="C743" s="4" t="n"/>
      <c r="D743" s="4" t="n"/>
      <c r="E743" s="4" t="n"/>
      <c r="F743" s="15" t="n"/>
      <c r="G743" s="15" t="n"/>
      <c r="H743" s="15" t="n"/>
      <c r="I743" s="15" t="n"/>
      <c r="J743" s="15" t="n"/>
      <c r="K743" s="15" t="n"/>
      <c r="L743" s="15" t="n"/>
      <c r="M743" s="15" t="n"/>
      <c r="N743" s="15" t="n"/>
      <c r="O743" s="15" t="n"/>
      <c r="P743" s="15" t="n"/>
      <c r="Q743" s="15" t="n"/>
      <c r="R743" s="15" t="n"/>
      <c r="S743" s="15" t="n"/>
      <c r="T743" s="15" t="n"/>
      <c r="U743" s="15" t="n"/>
      <c r="V743" s="15" t="n"/>
      <c r="W743" s="15" t="n"/>
      <c r="X743" s="15" t="n"/>
      <c r="Y743" s="15" t="n"/>
      <c r="Z743" s="15" t="n"/>
      <c r="AA743" s="15" t="n"/>
      <c r="AB743" s="15" t="n"/>
      <c r="AC743" s="15" t="n"/>
      <c r="AD743" s="15" t="n"/>
      <c r="AE743" s="15" t="n"/>
      <c r="AF743" s="15" t="n"/>
      <c r="AG743" s="15" t="n"/>
      <c r="AH743" s="15" t="n"/>
      <c r="AI743" s="15" t="n"/>
    </row>
    <row r="744">
      <c r="A744" s="4" t="inlineStr">
        <is>
          <t>Студент1.26</t>
        </is>
      </c>
      <c r="B744" s="4" t="inlineStr"/>
      <c r="C744" s="4" t="n"/>
      <c r="D744" s="4" t="n"/>
      <c r="E744" s="4" t="n"/>
      <c r="F744" s="15" t="n"/>
      <c r="G744" s="15" t="n"/>
      <c r="H744" s="15" t="n"/>
      <c r="I744" s="15" t="n"/>
      <c r="J744" s="15" t="n"/>
      <c r="K744" s="15" t="n"/>
      <c r="L744" s="15" t="n"/>
      <c r="M744" s="15" t="n"/>
      <c r="N744" s="15" t="n"/>
      <c r="O744" s="15" t="n"/>
      <c r="P744" s="15" t="n"/>
      <c r="Q744" s="15" t="n"/>
      <c r="R744" s="15" t="n"/>
      <c r="S744" s="15" t="n"/>
      <c r="T744" s="15" t="n"/>
      <c r="U744" s="15" t="n"/>
      <c r="V744" s="15" t="n"/>
      <c r="W744" s="15" t="n"/>
      <c r="X744" s="15" t="n"/>
      <c r="Y744" s="15" t="n"/>
      <c r="Z744" s="15" t="n"/>
      <c r="AA744" s="15" t="n"/>
      <c r="AB744" s="15" t="n"/>
      <c r="AC744" s="15" t="n"/>
      <c r="AD744" s="15" t="n"/>
      <c r="AE744" s="15" t="n"/>
      <c r="AF744" s="15" t="n"/>
      <c r="AG744" s="15" t="n"/>
      <c r="AH744" s="15" t="n"/>
      <c r="AI744" s="15" t="n"/>
    </row>
    <row r="745">
      <c r="A745" s="4" t="inlineStr">
        <is>
          <t>Студент1.27</t>
        </is>
      </c>
      <c r="B745" s="4" t="inlineStr"/>
      <c r="C745" s="4" t="n"/>
      <c r="D745" s="4" t="n"/>
      <c r="E745" s="4" t="n"/>
      <c r="F745" s="15" t="n"/>
      <c r="G745" s="15" t="n"/>
      <c r="H745" s="15" t="n"/>
      <c r="I745" s="15" t="n"/>
      <c r="J745" s="15" t="n"/>
      <c r="K745" s="15" t="n"/>
      <c r="L745" s="15" t="n"/>
      <c r="M745" s="15" t="n"/>
      <c r="N745" s="15" t="n"/>
      <c r="O745" s="15" t="n"/>
      <c r="P745" s="15" t="n"/>
      <c r="Q745" s="15" t="n"/>
      <c r="R745" s="15" t="n"/>
      <c r="S745" s="15" t="n"/>
      <c r="T745" s="15" t="n"/>
      <c r="U745" s="15" t="n"/>
      <c r="V745" s="15" t="n"/>
      <c r="W745" s="15" t="n"/>
      <c r="X745" s="15" t="n"/>
      <c r="Y745" s="15" t="n"/>
      <c r="Z745" s="15" t="n"/>
      <c r="AA745" s="15" t="n"/>
      <c r="AB745" s="15" t="n"/>
      <c r="AC745" s="15" t="n"/>
      <c r="AD745" s="15" t="n"/>
      <c r="AE745" s="15" t="n"/>
      <c r="AF745" s="15" t="n"/>
      <c r="AG745" s="15" t="n"/>
      <c r="AH745" s="15" t="n"/>
      <c r="AI745" s="15" t="n"/>
    </row>
    <row r="746">
      <c r="A746" s="4" t="inlineStr">
        <is>
          <t>Студент1.28</t>
        </is>
      </c>
      <c r="B746" s="4" t="inlineStr"/>
      <c r="C746" s="4" t="n"/>
      <c r="D746" s="4" t="n"/>
      <c r="E746" s="4" t="n"/>
      <c r="F746" s="15" t="n"/>
      <c r="G746" s="15" t="n"/>
      <c r="H746" s="15" t="n"/>
      <c r="I746" s="15" t="n"/>
      <c r="J746" s="15" t="n"/>
      <c r="K746" s="15" t="n"/>
      <c r="L746" s="15" t="n"/>
      <c r="M746" s="15" t="n"/>
      <c r="N746" s="15" t="n"/>
      <c r="O746" s="15" t="n"/>
      <c r="P746" s="15" t="n"/>
      <c r="Q746" s="15" t="n"/>
      <c r="R746" s="15" t="n"/>
      <c r="S746" s="15" t="n"/>
      <c r="T746" s="15" t="n"/>
      <c r="U746" s="15" t="n"/>
      <c r="V746" s="15" t="n"/>
      <c r="W746" s="15" t="n"/>
      <c r="X746" s="15" t="n"/>
      <c r="Y746" s="15" t="n"/>
      <c r="Z746" s="15" t="n"/>
      <c r="AA746" s="15" t="n"/>
      <c r="AB746" s="15" t="n"/>
      <c r="AC746" s="15" t="n"/>
      <c r="AD746" s="15" t="n"/>
      <c r="AE746" s="15" t="n"/>
      <c r="AF746" s="15" t="n"/>
      <c r="AG746" s="15" t="n"/>
      <c r="AH746" s="15" t="n"/>
      <c r="AI746" s="15" t="n"/>
    </row>
    <row r="747">
      <c r="A747" s="4" t="inlineStr">
        <is>
          <t>Студент1.29</t>
        </is>
      </c>
      <c r="B747" s="4" t="inlineStr"/>
      <c r="C747" s="4" t="n"/>
      <c r="D747" s="4" t="n"/>
      <c r="E747" s="4" t="n"/>
      <c r="F747" s="15" t="n"/>
      <c r="G747" s="15" t="n"/>
      <c r="H747" s="15" t="n"/>
      <c r="I747" s="15" t="n"/>
      <c r="J747" s="15" t="n"/>
      <c r="K747" s="15" t="n"/>
      <c r="L747" s="15" t="n"/>
      <c r="M747" s="15" t="n"/>
      <c r="N747" s="15" t="n"/>
      <c r="O747" s="15" t="n"/>
      <c r="P747" s="15" t="n"/>
      <c r="Q747" s="15" t="n"/>
      <c r="R747" s="15" t="n"/>
      <c r="S747" s="15" t="n"/>
      <c r="T747" s="15" t="n"/>
      <c r="U747" s="15" t="n"/>
      <c r="V747" s="15" t="n"/>
      <c r="W747" s="15" t="n"/>
      <c r="X747" s="15" t="n"/>
      <c r="Y747" s="15" t="n"/>
      <c r="Z747" s="15" t="n"/>
      <c r="AA747" s="15" t="n"/>
      <c r="AB747" s="15" t="n"/>
      <c r="AC747" s="15" t="n"/>
      <c r="AD747" s="15" t="n"/>
      <c r="AE747" s="15" t="n"/>
      <c r="AF747" s="15" t="n"/>
      <c r="AG747" s="15" t="n"/>
      <c r="AH747" s="15" t="n"/>
      <c r="AI747" s="15" t="n"/>
    </row>
    <row r="748">
      <c r="A748" s="4" t="inlineStr">
        <is>
          <t>Студент1.30</t>
        </is>
      </c>
      <c r="B748" s="4" t="inlineStr"/>
      <c r="C748" s="4" t="n"/>
      <c r="D748" s="4" t="n"/>
      <c r="E748" s="4" t="n"/>
      <c r="F748" s="15" t="n"/>
      <c r="G748" s="15" t="n"/>
      <c r="H748" s="15" t="n"/>
      <c r="I748" s="15" t="n"/>
      <c r="J748" s="15" t="n"/>
      <c r="K748" s="15" t="n"/>
      <c r="L748" s="15" t="n"/>
      <c r="M748" s="15" t="n"/>
      <c r="N748" s="15" t="n"/>
      <c r="O748" s="15" t="n"/>
      <c r="P748" s="15" t="n"/>
      <c r="Q748" s="15" t="n"/>
      <c r="R748" s="15" t="n"/>
      <c r="S748" s="15" t="n"/>
      <c r="T748" s="15" t="n"/>
      <c r="U748" s="15" t="n"/>
      <c r="V748" s="15" t="n"/>
      <c r="W748" s="15" t="n"/>
      <c r="X748" s="15" t="n"/>
      <c r="Y748" s="15" t="n"/>
      <c r="Z748" s="15" t="n"/>
      <c r="AA748" s="15" t="n"/>
      <c r="AB748" s="15" t="n"/>
      <c r="AC748" s="15" t="n"/>
      <c r="AD748" s="15" t="n"/>
      <c r="AE748" s="15" t="n"/>
      <c r="AF748" s="15" t="n"/>
      <c r="AG748" s="15" t="n"/>
      <c r="AH748" s="15" t="n"/>
      <c r="AI748" s="15" t="n"/>
    </row>
    <row r="752">
      <c r="A752" s="13" t="inlineStr">
        <is>
          <t>Практика 12 — плюсы</t>
        </is>
      </c>
    </row>
    <row r="753" ht="28" customHeight="1">
      <c r="A753" s="7" t="inlineStr">
        <is>
          <t>Имя</t>
        </is>
      </c>
      <c r="B753" s="9" t="inlineStr">
        <is>
          <t>TG</t>
        </is>
      </c>
      <c r="C753" s="10" t="inlineStr">
        <is>
          <t>S</t>
        </is>
      </c>
      <c r="D753" s="8" t="inlineStr">
        <is>
          <t>Коэффициент</t>
        </is>
      </c>
      <c r="E753" s="14" t="inlineStr">
        <is>
          <t>D за практику</t>
        </is>
      </c>
      <c r="F753" s="11" t="inlineStr">
        <is>
          <t>1.0</t>
        </is>
      </c>
      <c r="G753" s="11" t="inlineStr">
        <is>
          <t>2.0</t>
        </is>
      </c>
      <c r="H753" s="11" t="inlineStr">
        <is>
          <t>3.0</t>
        </is>
      </c>
      <c r="I753" s="11" t="inlineStr">
        <is>
          <t>4.0</t>
        </is>
      </c>
      <c r="J753" s="11" t="inlineStr">
        <is>
          <t>5.0</t>
        </is>
      </c>
      <c r="K753" s="11" t="inlineStr">
        <is>
          <t>6</t>
        </is>
      </c>
      <c r="L753" s="11" t="inlineStr">
        <is>
          <t>7</t>
        </is>
      </c>
      <c r="M753" s="11" t="inlineStr">
        <is>
          <t>8</t>
        </is>
      </c>
      <c r="N753" s="11" t="inlineStr">
        <is>
          <t>9</t>
        </is>
      </c>
      <c r="O753" s="11" t="inlineStr">
        <is>
          <t>10</t>
        </is>
      </c>
      <c r="P753" s="11" t="inlineStr">
        <is>
          <t>11</t>
        </is>
      </c>
      <c r="Q753" s="11" t="inlineStr">
        <is>
          <t>12</t>
        </is>
      </c>
      <c r="R753" s="11" t="inlineStr">
        <is>
          <t>13</t>
        </is>
      </c>
      <c r="S753" s="11" t="inlineStr">
        <is>
          <t>14</t>
        </is>
      </c>
      <c r="T753" s="11" t="inlineStr">
        <is>
          <t>15</t>
        </is>
      </c>
      <c r="U753" s="11" t="inlineStr">
        <is>
          <t>16</t>
        </is>
      </c>
      <c r="V753" s="11" t="inlineStr">
        <is>
          <t>17</t>
        </is>
      </c>
      <c r="W753" s="11" t="inlineStr">
        <is>
          <t>18</t>
        </is>
      </c>
      <c r="X753" s="11" t="inlineStr">
        <is>
          <t>19</t>
        </is>
      </c>
      <c r="Y753" s="11" t="inlineStr">
        <is>
          <t>20</t>
        </is>
      </c>
      <c r="Z753" s="11" t="inlineStr">
        <is>
          <t>21</t>
        </is>
      </c>
      <c r="AA753" s="11" t="inlineStr">
        <is>
          <t>22</t>
        </is>
      </c>
      <c r="AB753" s="11" t="inlineStr">
        <is>
          <t>23</t>
        </is>
      </c>
      <c r="AC753" s="11" t="inlineStr">
        <is>
          <t>24</t>
        </is>
      </c>
      <c r="AD753" s="11" t="inlineStr">
        <is>
          <t>25</t>
        </is>
      </c>
      <c r="AE753" s="11" t="inlineStr">
        <is>
          <t>26</t>
        </is>
      </c>
      <c r="AF753" s="11" t="inlineStr">
        <is>
          <t>27</t>
        </is>
      </c>
      <c r="AG753" s="11" t="inlineStr">
        <is>
          <t>28</t>
        </is>
      </c>
      <c r="AH753" s="11" t="inlineStr">
        <is>
          <t>29</t>
        </is>
      </c>
      <c r="AI753" s="11" t="inlineStr">
        <is>
          <t>30</t>
        </is>
      </c>
    </row>
    <row r="754">
      <c r="A754" s="4" t="inlineStr">
        <is>
          <t>Студент1.1</t>
        </is>
      </c>
      <c r="B754" s="4" t="inlineStr"/>
      <c r="C754" s="4">
        <f>IF(A754="","",COUNTIF(F754:AI754,"+")+COUNTIF(F754:AI754,"1"))</f>
        <v/>
      </c>
      <c r="D754" s="4">
        <f>IF(A754="","",IF(C754&gt;2*COUNTA(F$753:AI$753)/3,1,IF(C754&gt;=COUNTA(F$753:AI$753)/2,0.8,0.5)))</f>
        <v/>
      </c>
      <c r="E754" s="4">
        <f>IF(A754="","",SUMIFS('Логи'!$H$4:$H$3006,'Логи'!$A$4:$A$3006,A754,'Логи'!$C$4:$C$3006,12))</f>
        <v/>
      </c>
      <c r="F754" s="15" t="n"/>
      <c r="G754" s="15" t="n"/>
      <c r="H754" s="15" t="n"/>
      <c r="I754" s="15" t="n"/>
      <c r="J754" s="15" t="n"/>
      <c r="K754" s="15" t="n"/>
      <c r="L754" s="15" t="n"/>
      <c r="M754" s="15" t="n"/>
      <c r="N754" s="15" t="n"/>
      <c r="O754" s="15" t="n"/>
      <c r="P754" s="15" t="n"/>
      <c r="Q754" s="15" t="n"/>
      <c r="R754" s="15" t="n"/>
      <c r="S754" s="15" t="n"/>
      <c r="T754" s="15" t="n"/>
      <c r="U754" s="15" t="n"/>
      <c r="V754" s="15" t="n"/>
      <c r="W754" s="15" t="n"/>
      <c r="X754" s="15" t="n"/>
      <c r="Y754" s="15" t="n"/>
      <c r="Z754" s="15" t="n"/>
      <c r="AA754" s="15" t="n"/>
      <c r="AB754" s="15" t="n"/>
      <c r="AC754" s="15" t="n"/>
      <c r="AD754" s="15" t="n"/>
      <c r="AE754" s="15" t="n"/>
      <c r="AF754" s="15" t="n"/>
      <c r="AG754" s="15" t="n"/>
      <c r="AH754" s="15" t="n"/>
      <c r="AI754" s="15" t="n"/>
    </row>
    <row r="755">
      <c r="A755" s="4" t="inlineStr">
        <is>
          <t>Студент1.2</t>
        </is>
      </c>
      <c r="B755" s="4" t="inlineStr"/>
      <c r="C755" s="4">
        <f>IF(A755="","",COUNTIF(F755:AI755,"+")+COUNTIF(F755:AI755,"1"))</f>
        <v/>
      </c>
      <c r="D755" s="4">
        <f>IF(A755="","",IF(C755&gt;2*COUNTA(F$753:AI$753)/3,1,IF(C755&gt;=COUNTA(F$753:AI$753)/2,0.8,0.5)))</f>
        <v/>
      </c>
      <c r="E755" s="4">
        <f>IF(A755="","",SUMIFS('Логи'!$H$4:$H$3006,'Логи'!$A$4:$A$3006,A755,'Логи'!$C$4:$C$3006,12))</f>
        <v/>
      </c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  <c r="O755" s="15" t="n"/>
      <c r="P755" s="15" t="n"/>
      <c r="Q755" s="15" t="n"/>
      <c r="R755" s="15" t="n"/>
      <c r="S755" s="15" t="n"/>
      <c r="T755" s="15" t="n"/>
      <c r="U755" s="15" t="n"/>
      <c r="V755" s="15" t="n"/>
      <c r="W755" s="15" t="n"/>
      <c r="X755" s="15" t="n"/>
      <c r="Y755" s="15" t="n"/>
      <c r="Z755" s="15" t="n"/>
      <c r="AA755" s="15" t="n"/>
      <c r="AB755" s="15" t="n"/>
      <c r="AC755" s="15" t="n"/>
      <c r="AD755" s="15" t="n"/>
      <c r="AE755" s="15" t="n"/>
      <c r="AF755" s="15" t="n"/>
      <c r="AG755" s="15" t="n"/>
      <c r="AH755" s="15" t="n"/>
      <c r="AI755" s="15" t="n"/>
    </row>
    <row r="756">
      <c r="A756" s="4" t="inlineStr">
        <is>
          <t>Студент1.3</t>
        </is>
      </c>
      <c r="B756" s="4" t="inlineStr"/>
      <c r="C756" s="4">
        <f>IF(A756="","",COUNTIF(F756:AI756,"+")+COUNTIF(F756:AI756,"1"))</f>
        <v/>
      </c>
      <c r="D756" s="4">
        <f>IF(A756="","",IF(C756&gt;2*COUNTA(F$753:AI$753)/3,1,IF(C756&gt;=COUNTA(F$753:AI$753)/2,0.8,0.5)))</f>
        <v/>
      </c>
      <c r="E756" s="4">
        <f>IF(A756="","",SUMIFS('Логи'!$H$4:$H$3006,'Логи'!$A$4:$A$3006,A756,'Логи'!$C$4:$C$3006,12))</f>
        <v/>
      </c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  <c r="O756" s="15" t="n"/>
      <c r="P756" s="15" t="n"/>
      <c r="Q756" s="15" t="n"/>
      <c r="R756" s="15" t="n"/>
      <c r="S756" s="15" t="n"/>
      <c r="T756" s="15" t="n"/>
      <c r="U756" s="15" t="n"/>
      <c r="V756" s="15" t="n"/>
      <c r="W756" s="15" t="n"/>
      <c r="X756" s="15" t="n"/>
      <c r="Y756" s="15" t="n"/>
      <c r="Z756" s="15" t="n"/>
      <c r="AA756" s="15" t="n"/>
      <c r="AB756" s="15" t="n"/>
      <c r="AC756" s="15" t="n"/>
      <c r="AD756" s="15" t="n"/>
      <c r="AE756" s="15" t="n"/>
      <c r="AF756" s="15" t="n"/>
      <c r="AG756" s="15" t="n"/>
      <c r="AH756" s="15" t="n"/>
      <c r="AI756" s="15" t="n"/>
    </row>
    <row r="757">
      <c r="A757" s="4" t="inlineStr">
        <is>
          <t>Студент1.4</t>
        </is>
      </c>
      <c r="B757" s="4" t="inlineStr"/>
      <c r="C757" s="4">
        <f>IF(A757="","",COUNTIF(F757:AI757,"+")+COUNTIF(F757:AI757,"1"))</f>
        <v/>
      </c>
      <c r="D757" s="4">
        <f>IF(A757="","",IF(C757&gt;2*COUNTA(F$753:AI$753)/3,1,IF(C757&gt;=COUNTA(F$753:AI$753)/2,0.8,0.5)))</f>
        <v/>
      </c>
      <c r="E757" s="4">
        <f>IF(A757="","",SUMIFS('Логи'!$H$4:$H$3006,'Логи'!$A$4:$A$3006,A757,'Логи'!$C$4:$C$3006,12))</f>
        <v/>
      </c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  <c r="O757" s="15" t="n"/>
      <c r="P757" s="15" t="n"/>
      <c r="Q757" s="15" t="n"/>
      <c r="R757" s="15" t="n"/>
      <c r="S757" s="15" t="n"/>
      <c r="T757" s="15" t="n"/>
      <c r="U757" s="15" t="n"/>
      <c r="V757" s="15" t="n"/>
      <c r="W757" s="15" t="n"/>
      <c r="X757" s="15" t="n"/>
      <c r="Y757" s="15" t="n"/>
      <c r="Z757" s="15" t="n"/>
      <c r="AA757" s="15" t="n"/>
      <c r="AB757" s="15" t="n"/>
      <c r="AC757" s="15" t="n"/>
      <c r="AD757" s="15" t="n"/>
      <c r="AE757" s="15" t="n"/>
      <c r="AF757" s="15" t="n"/>
      <c r="AG757" s="15" t="n"/>
      <c r="AH757" s="15" t="n"/>
      <c r="AI757" s="15" t="n"/>
    </row>
    <row r="758">
      <c r="A758" s="4" t="inlineStr">
        <is>
          <t>Студент1.5</t>
        </is>
      </c>
      <c r="B758" s="4" t="inlineStr"/>
      <c r="C758" s="4">
        <f>IF(A758="","",COUNTIF(F758:AI758,"+")+COUNTIF(F758:AI758,"1"))</f>
        <v/>
      </c>
      <c r="D758" s="4">
        <f>IF(A758="","",IF(C758&gt;2*COUNTA(F$753:AI$753)/3,1,IF(C758&gt;=COUNTA(F$753:AI$753)/2,0.8,0.5)))</f>
        <v/>
      </c>
      <c r="E758" s="4">
        <f>IF(A758="","",SUMIFS('Логи'!$H$4:$H$3006,'Логи'!$A$4:$A$3006,A758,'Логи'!$C$4:$C$3006,12))</f>
        <v/>
      </c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  <c r="O758" s="15" t="n"/>
      <c r="P758" s="15" t="n"/>
      <c r="Q758" s="15" t="n"/>
      <c r="R758" s="15" t="n"/>
      <c r="S758" s="15" t="n"/>
      <c r="T758" s="15" t="n"/>
      <c r="U758" s="15" t="n"/>
      <c r="V758" s="15" t="n"/>
      <c r="W758" s="15" t="n"/>
      <c r="X758" s="15" t="n"/>
      <c r="Y758" s="15" t="n"/>
      <c r="Z758" s="15" t="n"/>
      <c r="AA758" s="15" t="n"/>
      <c r="AB758" s="15" t="n"/>
      <c r="AC758" s="15" t="n"/>
      <c r="AD758" s="15" t="n"/>
      <c r="AE758" s="15" t="n"/>
      <c r="AF758" s="15" t="n"/>
      <c r="AG758" s="15" t="n"/>
      <c r="AH758" s="15" t="n"/>
      <c r="AI758" s="15" t="n"/>
    </row>
    <row r="759">
      <c r="A759" s="4" t="inlineStr">
        <is>
          <t>Студент1.6</t>
        </is>
      </c>
      <c r="B759" s="4" t="inlineStr"/>
      <c r="C759" s="4">
        <f>IF(A759="","",COUNTIF(F759:AI759,"+")+COUNTIF(F759:AI759,"1"))</f>
        <v/>
      </c>
      <c r="D759" s="4">
        <f>IF(A759="","",IF(C759&gt;2*COUNTA(F$753:AI$753)/3,1,IF(C759&gt;=COUNTA(F$753:AI$753)/2,0.8,0.5)))</f>
        <v/>
      </c>
      <c r="E759" s="4">
        <f>IF(A759="","",SUMIFS('Логи'!$H$4:$H$3006,'Логи'!$A$4:$A$3006,A759,'Логи'!$C$4:$C$3006,12))</f>
        <v/>
      </c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  <c r="O759" s="15" t="n"/>
      <c r="P759" s="15" t="n"/>
      <c r="Q759" s="15" t="n"/>
      <c r="R759" s="15" t="n"/>
      <c r="S759" s="15" t="n"/>
      <c r="T759" s="15" t="n"/>
      <c r="U759" s="15" t="n"/>
      <c r="V759" s="15" t="n"/>
      <c r="W759" s="15" t="n"/>
      <c r="X759" s="15" t="n"/>
      <c r="Y759" s="15" t="n"/>
      <c r="Z759" s="15" t="n"/>
      <c r="AA759" s="15" t="n"/>
      <c r="AB759" s="15" t="n"/>
      <c r="AC759" s="15" t="n"/>
      <c r="AD759" s="15" t="n"/>
      <c r="AE759" s="15" t="n"/>
      <c r="AF759" s="15" t="n"/>
      <c r="AG759" s="15" t="n"/>
      <c r="AH759" s="15" t="n"/>
      <c r="AI759" s="15" t="n"/>
    </row>
    <row r="760">
      <c r="A760" s="4" t="inlineStr">
        <is>
          <t>Студент1.7</t>
        </is>
      </c>
      <c r="B760" s="4" t="inlineStr"/>
      <c r="C760" s="4">
        <f>IF(A760="","",COUNTIF(F760:AI760,"+")+COUNTIF(F760:AI760,"1"))</f>
        <v/>
      </c>
      <c r="D760" s="4">
        <f>IF(A760="","",IF(C760&gt;2*COUNTA(F$753:AI$753)/3,1,IF(C760&gt;=COUNTA(F$753:AI$753)/2,0.8,0.5)))</f>
        <v/>
      </c>
      <c r="E760" s="4">
        <f>IF(A760="","",SUMIFS('Логи'!$H$4:$H$3006,'Логи'!$A$4:$A$3006,A760,'Логи'!$C$4:$C$3006,12))</f>
        <v/>
      </c>
      <c r="F760" s="15" t="n"/>
      <c r="G760" s="15" t="n"/>
      <c r="H760" s="15" t="n"/>
      <c r="I760" s="15" t="n"/>
      <c r="J760" s="15" t="n"/>
      <c r="K760" s="15" t="n"/>
      <c r="L760" s="15" t="n"/>
      <c r="M760" s="15" t="n"/>
      <c r="N760" s="15" t="n"/>
      <c r="O760" s="15" t="n"/>
      <c r="P760" s="15" t="n"/>
      <c r="Q760" s="15" t="n"/>
      <c r="R760" s="15" t="n"/>
      <c r="S760" s="15" t="n"/>
      <c r="T760" s="15" t="n"/>
      <c r="U760" s="15" t="n"/>
      <c r="V760" s="15" t="n"/>
      <c r="W760" s="15" t="n"/>
      <c r="X760" s="15" t="n"/>
      <c r="Y760" s="15" t="n"/>
      <c r="Z760" s="15" t="n"/>
      <c r="AA760" s="15" t="n"/>
      <c r="AB760" s="15" t="n"/>
      <c r="AC760" s="15" t="n"/>
      <c r="AD760" s="15" t="n"/>
      <c r="AE760" s="15" t="n"/>
      <c r="AF760" s="15" t="n"/>
      <c r="AG760" s="15" t="n"/>
      <c r="AH760" s="15" t="n"/>
      <c r="AI760" s="15" t="n"/>
    </row>
    <row r="761">
      <c r="A761" s="4" t="inlineStr">
        <is>
          <t>Студент1.8</t>
        </is>
      </c>
      <c r="B761" s="4" t="inlineStr"/>
      <c r="C761" s="4">
        <f>IF(A761="","",COUNTIF(F761:AI761,"+")+COUNTIF(F761:AI761,"1"))</f>
        <v/>
      </c>
      <c r="D761" s="4">
        <f>IF(A761="","",IF(C761&gt;2*COUNTA(F$753:AI$753)/3,1,IF(C761&gt;=COUNTA(F$753:AI$753)/2,0.8,0.5)))</f>
        <v/>
      </c>
      <c r="E761" s="4">
        <f>IF(A761="","",SUMIFS('Логи'!$H$4:$H$3006,'Логи'!$A$4:$A$3006,A761,'Логи'!$C$4:$C$3006,12))</f>
        <v/>
      </c>
      <c r="F761" s="15" t="n"/>
      <c r="G761" s="15" t="n"/>
      <c r="H761" s="15" t="n"/>
      <c r="I761" s="15" t="n"/>
      <c r="J761" s="15" t="n"/>
      <c r="K761" s="15" t="n"/>
      <c r="L761" s="15" t="n"/>
      <c r="M761" s="15" t="n"/>
      <c r="N761" s="15" t="n"/>
      <c r="O761" s="15" t="n"/>
      <c r="P761" s="15" t="n"/>
      <c r="Q761" s="15" t="n"/>
      <c r="R761" s="15" t="n"/>
      <c r="S761" s="15" t="n"/>
      <c r="T761" s="15" t="n"/>
      <c r="U761" s="15" t="n"/>
      <c r="V761" s="15" t="n"/>
      <c r="W761" s="15" t="n"/>
      <c r="X761" s="15" t="n"/>
      <c r="Y761" s="15" t="n"/>
      <c r="Z761" s="15" t="n"/>
      <c r="AA761" s="15" t="n"/>
      <c r="AB761" s="15" t="n"/>
      <c r="AC761" s="15" t="n"/>
      <c r="AD761" s="15" t="n"/>
      <c r="AE761" s="15" t="n"/>
      <c r="AF761" s="15" t="n"/>
      <c r="AG761" s="15" t="n"/>
      <c r="AH761" s="15" t="n"/>
      <c r="AI761" s="15" t="n"/>
    </row>
    <row r="762">
      <c r="A762" s="4" t="inlineStr">
        <is>
          <t>Студент1.9</t>
        </is>
      </c>
      <c r="B762" s="4" t="inlineStr"/>
      <c r="C762" s="4">
        <f>IF(A762="","",COUNTIF(F762:AI762,"+")+COUNTIF(F762:AI762,"1"))</f>
        <v/>
      </c>
      <c r="D762" s="4">
        <f>IF(A762="","",IF(C762&gt;2*COUNTA(F$753:AI$753)/3,1,IF(C762&gt;=COUNTA(F$753:AI$753)/2,0.8,0.5)))</f>
        <v/>
      </c>
      <c r="E762" s="4">
        <f>IF(A762="","",SUMIFS('Логи'!$H$4:$H$3006,'Логи'!$A$4:$A$3006,A762,'Логи'!$C$4:$C$3006,12))</f>
        <v/>
      </c>
      <c r="F762" s="15" t="n"/>
      <c r="G762" s="15" t="n"/>
      <c r="H762" s="15" t="n"/>
      <c r="I762" s="15" t="n"/>
      <c r="J762" s="15" t="n"/>
      <c r="K762" s="15" t="n"/>
      <c r="L762" s="15" t="n"/>
      <c r="M762" s="15" t="n"/>
      <c r="N762" s="15" t="n"/>
      <c r="O762" s="15" t="n"/>
      <c r="P762" s="15" t="n"/>
      <c r="Q762" s="15" t="n"/>
      <c r="R762" s="15" t="n"/>
      <c r="S762" s="15" t="n"/>
      <c r="T762" s="15" t="n"/>
      <c r="U762" s="15" t="n"/>
      <c r="V762" s="15" t="n"/>
      <c r="W762" s="15" t="n"/>
      <c r="X762" s="15" t="n"/>
      <c r="Y762" s="15" t="n"/>
      <c r="Z762" s="15" t="n"/>
      <c r="AA762" s="15" t="n"/>
      <c r="AB762" s="15" t="n"/>
      <c r="AC762" s="15" t="n"/>
      <c r="AD762" s="15" t="n"/>
      <c r="AE762" s="15" t="n"/>
      <c r="AF762" s="15" t="n"/>
      <c r="AG762" s="15" t="n"/>
      <c r="AH762" s="15" t="n"/>
      <c r="AI762" s="15" t="n"/>
    </row>
    <row r="763">
      <c r="A763" s="4" t="inlineStr">
        <is>
          <t>Студент1.10</t>
        </is>
      </c>
      <c r="B763" s="4" t="inlineStr"/>
      <c r="C763" s="4">
        <f>IF(A763="","",COUNTIF(F763:AI763,"+")+COUNTIF(F763:AI763,"1"))</f>
        <v/>
      </c>
      <c r="D763" s="4">
        <f>IF(A763="","",IF(C763&gt;2*COUNTA(F$753:AI$753)/3,1,IF(C763&gt;=COUNTA(F$753:AI$753)/2,0.8,0.5)))</f>
        <v/>
      </c>
      <c r="E763" s="4">
        <f>IF(A763="","",SUMIFS('Логи'!$H$4:$H$3006,'Логи'!$A$4:$A$3006,A763,'Логи'!$C$4:$C$3006,12))</f>
        <v/>
      </c>
      <c r="F763" s="15" t="n"/>
      <c r="G763" s="15" t="n"/>
      <c r="H763" s="15" t="n"/>
      <c r="I763" s="15" t="n"/>
      <c r="J763" s="15" t="n"/>
      <c r="K763" s="15" t="n"/>
      <c r="L763" s="15" t="n"/>
      <c r="M763" s="15" t="n"/>
      <c r="N763" s="15" t="n"/>
      <c r="O763" s="15" t="n"/>
      <c r="P763" s="15" t="n"/>
      <c r="Q763" s="15" t="n"/>
      <c r="R763" s="15" t="n"/>
      <c r="S763" s="15" t="n"/>
      <c r="T763" s="15" t="n"/>
      <c r="U763" s="15" t="n"/>
      <c r="V763" s="15" t="n"/>
      <c r="W763" s="15" t="n"/>
      <c r="X763" s="15" t="n"/>
      <c r="Y763" s="15" t="n"/>
      <c r="Z763" s="15" t="n"/>
      <c r="AA763" s="15" t="n"/>
      <c r="AB763" s="15" t="n"/>
      <c r="AC763" s="15" t="n"/>
      <c r="AD763" s="15" t="n"/>
      <c r="AE763" s="15" t="n"/>
      <c r="AF763" s="15" t="n"/>
      <c r="AG763" s="15" t="n"/>
      <c r="AH763" s="15" t="n"/>
      <c r="AI763" s="15" t="n"/>
    </row>
    <row r="764">
      <c r="A764" s="4" t="inlineStr">
        <is>
          <t>Студент1.11</t>
        </is>
      </c>
      <c r="B764" s="4" t="inlineStr"/>
      <c r="C764" s="4">
        <f>IF(A764="","",COUNTIF(F764:AI764,"+")+COUNTIF(F764:AI764,"1"))</f>
        <v/>
      </c>
      <c r="D764" s="4">
        <f>IF(A764="","",IF(C764&gt;2*COUNTA(F$753:AI$753)/3,1,IF(C764&gt;=COUNTA(F$753:AI$753)/2,0.8,0.5)))</f>
        <v/>
      </c>
      <c r="E764" s="4">
        <f>IF(A764="","",SUMIFS('Логи'!$H$4:$H$3006,'Логи'!$A$4:$A$3006,A764,'Логи'!$C$4:$C$3006,12))</f>
        <v/>
      </c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  <c r="O764" s="15" t="n"/>
      <c r="P764" s="15" t="n"/>
      <c r="Q764" s="15" t="n"/>
      <c r="R764" s="15" t="n"/>
      <c r="S764" s="15" t="n"/>
      <c r="T764" s="15" t="n"/>
      <c r="U764" s="15" t="n"/>
      <c r="V764" s="15" t="n"/>
      <c r="W764" s="15" t="n"/>
      <c r="X764" s="15" t="n"/>
      <c r="Y764" s="15" t="n"/>
      <c r="Z764" s="15" t="n"/>
      <c r="AA764" s="15" t="n"/>
      <c r="AB764" s="15" t="n"/>
      <c r="AC764" s="15" t="n"/>
      <c r="AD764" s="15" t="n"/>
      <c r="AE764" s="15" t="n"/>
      <c r="AF764" s="15" t="n"/>
      <c r="AG764" s="15" t="n"/>
      <c r="AH764" s="15" t="n"/>
      <c r="AI764" s="15" t="n"/>
    </row>
    <row r="765">
      <c r="A765" s="4" t="inlineStr">
        <is>
          <t>Студент1.12</t>
        </is>
      </c>
      <c r="B765" s="4" t="inlineStr"/>
      <c r="C765" s="4">
        <f>IF(A765="","",COUNTIF(F765:AI765,"+")+COUNTIF(F765:AI765,"1"))</f>
        <v/>
      </c>
      <c r="D765" s="4">
        <f>IF(A765="","",IF(C765&gt;2*COUNTA(F$753:AI$753)/3,1,IF(C765&gt;=COUNTA(F$753:AI$753)/2,0.8,0.5)))</f>
        <v/>
      </c>
      <c r="E765" s="4">
        <f>IF(A765="","",SUMIFS('Логи'!$H$4:$H$3006,'Логи'!$A$4:$A$3006,A765,'Логи'!$C$4:$C$3006,12))</f>
        <v/>
      </c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  <c r="O765" s="15" t="n"/>
      <c r="P765" s="15" t="n"/>
      <c r="Q765" s="15" t="n"/>
      <c r="R765" s="15" t="n"/>
      <c r="S765" s="15" t="n"/>
      <c r="T765" s="15" t="n"/>
      <c r="U765" s="15" t="n"/>
      <c r="V765" s="15" t="n"/>
      <c r="W765" s="15" t="n"/>
      <c r="X765" s="15" t="n"/>
      <c r="Y765" s="15" t="n"/>
      <c r="Z765" s="15" t="n"/>
      <c r="AA765" s="15" t="n"/>
      <c r="AB765" s="15" t="n"/>
      <c r="AC765" s="15" t="n"/>
      <c r="AD765" s="15" t="n"/>
      <c r="AE765" s="15" t="n"/>
      <c r="AF765" s="15" t="n"/>
      <c r="AG765" s="15" t="n"/>
      <c r="AH765" s="15" t="n"/>
      <c r="AI765" s="15" t="n"/>
    </row>
    <row r="766">
      <c r="A766" s="4" t="inlineStr">
        <is>
          <t>Студент1.13</t>
        </is>
      </c>
      <c r="B766" s="4" t="inlineStr"/>
      <c r="C766" s="4">
        <f>IF(A766="","",COUNTIF(F766:AI766,"+")+COUNTIF(F766:AI766,"1"))</f>
        <v/>
      </c>
      <c r="D766" s="4">
        <f>IF(A766="","",IF(C766&gt;2*COUNTA(F$753:AI$753)/3,1,IF(C766&gt;=COUNTA(F$753:AI$753)/2,0.8,0.5)))</f>
        <v/>
      </c>
      <c r="E766" s="4">
        <f>IF(A766="","",SUMIFS('Логи'!$H$4:$H$3006,'Логи'!$A$4:$A$3006,A766,'Логи'!$C$4:$C$3006,12))</f>
        <v/>
      </c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  <c r="O766" s="15" t="n"/>
      <c r="P766" s="15" t="n"/>
      <c r="Q766" s="15" t="n"/>
      <c r="R766" s="15" t="n"/>
      <c r="S766" s="15" t="n"/>
      <c r="T766" s="15" t="n"/>
      <c r="U766" s="15" t="n"/>
      <c r="V766" s="15" t="n"/>
      <c r="W766" s="15" t="n"/>
      <c r="X766" s="15" t="n"/>
      <c r="Y766" s="15" t="n"/>
      <c r="Z766" s="15" t="n"/>
      <c r="AA766" s="15" t="n"/>
      <c r="AB766" s="15" t="n"/>
      <c r="AC766" s="15" t="n"/>
      <c r="AD766" s="15" t="n"/>
      <c r="AE766" s="15" t="n"/>
      <c r="AF766" s="15" t="n"/>
      <c r="AG766" s="15" t="n"/>
      <c r="AH766" s="15" t="n"/>
      <c r="AI766" s="15" t="n"/>
    </row>
    <row r="767">
      <c r="A767" s="4" t="inlineStr">
        <is>
          <t>Студент1.14</t>
        </is>
      </c>
      <c r="B767" s="4" t="inlineStr"/>
      <c r="C767" s="4">
        <f>IF(A767="","",COUNTIF(F767:AI767,"+")+COUNTIF(F767:AI767,"1"))</f>
        <v/>
      </c>
      <c r="D767" s="4">
        <f>IF(A767="","",IF(C767&gt;2*COUNTA(F$753:AI$753)/3,1,IF(C767&gt;=COUNTA(F$753:AI$753)/2,0.8,0.5)))</f>
        <v/>
      </c>
      <c r="E767" s="4">
        <f>IF(A767="","",SUMIFS('Логи'!$H$4:$H$3006,'Логи'!$A$4:$A$3006,A767,'Логи'!$C$4:$C$3006,12))</f>
        <v/>
      </c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  <c r="O767" s="15" t="n"/>
      <c r="P767" s="15" t="n"/>
      <c r="Q767" s="15" t="n"/>
      <c r="R767" s="15" t="n"/>
      <c r="S767" s="15" t="n"/>
      <c r="T767" s="15" t="n"/>
      <c r="U767" s="15" t="n"/>
      <c r="V767" s="15" t="n"/>
      <c r="W767" s="15" t="n"/>
      <c r="X767" s="15" t="n"/>
      <c r="Y767" s="15" t="n"/>
      <c r="Z767" s="15" t="n"/>
      <c r="AA767" s="15" t="n"/>
      <c r="AB767" s="15" t="n"/>
      <c r="AC767" s="15" t="n"/>
      <c r="AD767" s="15" t="n"/>
      <c r="AE767" s="15" t="n"/>
      <c r="AF767" s="15" t="n"/>
      <c r="AG767" s="15" t="n"/>
      <c r="AH767" s="15" t="n"/>
      <c r="AI767" s="15" t="n"/>
    </row>
    <row r="768">
      <c r="A768" s="4" t="inlineStr">
        <is>
          <t>Студент1.15</t>
        </is>
      </c>
      <c r="B768" s="4" t="inlineStr"/>
      <c r="C768" s="4">
        <f>IF(A768="","",COUNTIF(F768:AI768,"+")+COUNTIF(F768:AI768,"1"))</f>
        <v/>
      </c>
      <c r="D768" s="4">
        <f>IF(A768="","",IF(C768&gt;2*COUNTA(F$753:AI$753)/3,1,IF(C768&gt;=COUNTA(F$753:AI$753)/2,0.8,0.5)))</f>
        <v/>
      </c>
      <c r="E768" s="4">
        <f>IF(A768="","",SUMIFS('Логи'!$H$4:$H$3006,'Логи'!$A$4:$A$3006,A768,'Логи'!$C$4:$C$3006,12))</f>
        <v/>
      </c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  <c r="O768" s="15" t="n"/>
      <c r="P768" s="15" t="n"/>
      <c r="Q768" s="15" t="n"/>
      <c r="R768" s="15" t="n"/>
      <c r="S768" s="15" t="n"/>
      <c r="T768" s="15" t="n"/>
      <c r="U768" s="15" t="n"/>
      <c r="V768" s="15" t="n"/>
      <c r="W768" s="15" t="n"/>
      <c r="X768" s="15" t="n"/>
      <c r="Y768" s="15" t="n"/>
      <c r="Z768" s="15" t="n"/>
      <c r="AA768" s="15" t="n"/>
      <c r="AB768" s="15" t="n"/>
      <c r="AC768" s="15" t="n"/>
      <c r="AD768" s="15" t="n"/>
      <c r="AE768" s="15" t="n"/>
      <c r="AF768" s="15" t="n"/>
      <c r="AG768" s="15" t="n"/>
      <c r="AH768" s="15" t="n"/>
      <c r="AI768" s="15" t="n"/>
    </row>
    <row r="769">
      <c r="A769" s="4" t="inlineStr">
        <is>
          <t>Студент1.16</t>
        </is>
      </c>
      <c r="B769" s="4" t="inlineStr"/>
      <c r="C769" s="4">
        <f>IF(A769="","",COUNTIF(F769:AI769,"+")+COUNTIF(F769:AI769,"1"))</f>
        <v/>
      </c>
      <c r="D769" s="4">
        <f>IF(A769="","",IF(C769&gt;2*COUNTA(F$753:AI$753)/3,1,IF(C769&gt;=COUNTA(F$753:AI$753)/2,0.8,0.5)))</f>
        <v/>
      </c>
      <c r="E769" s="4">
        <f>IF(A769="","",SUMIFS('Логи'!$H$4:$H$3006,'Логи'!$A$4:$A$3006,A769,'Логи'!$C$4:$C$3006,12))</f>
        <v/>
      </c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5" t="n"/>
      <c r="P769" s="15" t="n"/>
      <c r="Q769" s="15" t="n"/>
      <c r="R769" s="15" t="n"/>
      <c r="S769" s="15" t="n"/>
      <c r="T769" s="15" t="n"/>
      <c r="U769" s="15" t="n"/>
      <c r="V769" s="15" t="n"/>
      <c r="W769" s="15" t="n"/>
      <c r="X769" s="15" t="n"/>
      <c r="Y769" s="15" t="n"/>
      <c r="Z769" s="15" t="n"/>
      <c r="AA769" s="15" t="n"/>
      <c r="AB769" s="15" t="n"/>
      <c r="AC769" s="15" t="n"/>
      <c r="AD769" s="15" t="n"/>
      <c r="AE769" s="15" t="n"/>
      <c r="AF769" s="15" t="n"/>
      <c r="AG769" s="15" t="n"/>
      <c r="AH769" s="15" t="n"/>
      <c r="AI769" s="15" t="n"/>
    </row>
    <row r="770">
      <c r="A770" s="4" t="inlineStr">
        <is>
          <t>Студент1.17</t>
        </is>
      </c>
      <c r="B770" s="4" t="inlineStr"/>
      <c r="C770" s="4">
        <f>IF(A770="","",COUNTIF(F770:AI770,"+")+COUNTIF(F770:AI770,"1"))</f>
        <v/>
      </c>
      <c r="D770" s="4">
        <f>IF(A770="","",IF(C770&gt;2*COUNTA(F$753:AI$753)/3,1,IF(C770&gt;=COUNTA(F$753:AI$753)/2,0.8,0.5)))</f>
        <v/>
      </c>
      <c r="E770" s="4">
        <f>IF(A770="","",SUMIFS('Логи'!$H$4:$H$3006,'Логи'!$A$4:$A$3006,A770,'Логи'!$C$4:$C$3006,12))</f>
        <v/>
      </c>
      <c r="F770" s="15" t="n"/>
      <c r="G770" s="15" t="n"/>
      <c r="H770" s="15" t="n"/>
      <c r="I770" s="15" t="n"/>
      <c r="J770" s="15" t="n"/>
      <c r="K770" s="15" t="n"/>
      <c r="L770" s="15" t="n"/>
      <c r="M770" s="15" t="n"/>
      <c r="N770" s="15" t="n"/>
      <c r="O770" s="15" t="n"/>
      <c r="P770" s="15" t="n"/>
      <c r="Q770" s="15" t="n"/>
      <c r="R770" s="15" t="n"/>
      <c r="S770" s="15" t="n"/>
      <c r="T770" s="15" t="n"/>
      <c r="U770" s="15" t="n"/>
      <c r="V770" s="15" t="n"/>
      <c r="W770" s="15" t="n"/>
      <c r="X770" s="15" t="n"/>
      <c r="Y770" s="15" t="n"/>
      <c r="Z770" s="15" t="n"/>
      <c r="AA770" s="15" t="n"/>
      <c r="AB770" s="15" t="n"/>
      <c r="AC770" s="15" t="n"/>
      <c r="AD770" s="15" t="n"/>
      <c r="AE770" s="15" t="n"/>
      <c r="AF770" s="15" t="n"/>
      <c r="AG770" s="15" t="n"/>
      <c r="AH770" s="15" t="n"/>
      <c r="AI770" s="15" t="n"/>
    </row>
    <row r="771">
      <c r="A771" s="4" t="inlineStr">
        <is>
          <t>Студент1.18</t>
        </is>
      </c>
      <c r="B771" s="4" t="inlineStr"/>
      <c r="C771" s="4">
        <f>IF(A771="","",COUNTIF(F771:AI771,"+")+COUNTIF(F771:AI771,"1"))</f>
        <v/>
      </c>
      <c r="D771" s="4">
        <f>IF(A771="","",IF(C771&gt;2*COUNTA(F$753:AI$753)/3,1,IF(C771&gt;=COUNTA(F$753:AI$753)/2,0.8,0.5)))</f>
        <v/>
      </c>
      <c r="E771" s="4">
        <f>IF(A771="","",SUMIFS('Логи'!$H$4:$H$3006,'Логи'!$A$4:$A$3006,A771,'Логи'!$C$4:$C$3006,12))</f>
        <v/>
      </c>
      <c r="F771" s="15" t="n"/>
      <c r="G771" s="15" t="n"/>
      <c r="H771" s="15" t="n"/>
      <c r="I771" s="15" t="n"/>
      <c r="J771" s="15" t="n"/>
      <c r="K771" s="15" t="n"/>
      <c r="L771" s="15" t="n"/>
      <c r="M771" s="15" t="n"/>
      <c r="N771" s="15" t="n"/>
      <c r="O771" s="15" t="n"/>
      <c r="P771" s="15" t="n"/>
      <c r="Q771" s="15" t="n"/>
      <c r="R771" s="15" t="n"/>
      <c r="S771" s="15" t="n"/>
      <c r="T771" s="15" t="n"/>
      <c r="U771" s="15" t="n"/>
      <c r="V771" s="15" t="n"/>
      <c r="W771" s="15" t="n"/>
      <c r="X771" s="15" t="n"/>
      <c r="Y771" s="15" t="n"/>
      <c r="Z771" s="15" t="n"/>
      <c r="AA771" s="15" t="n"/>
      <c r="AB771" s="15" t="n"/>
      <c r="AC771" s="15" t="n"/>
      <c r="AD771" s="15" t="n"/>
      <c r="AE771" s="15" t="n"/>
      <c r="AF771" s="15" t="n"/>
      <c r="AG771" s="15" t="n"/>
      <c r="AH771" s="15" t="n"/>
      <c r="AI771" s="15" t="n"/>
    </row>
    <row r="772">
      <c r="A772" s="4" t="inlineStr">
        <is>
          <t>Студент1.19</t>
        </is>
      </c>
      <c r="B772" s="4" t="inlineStr"/>
      <c r="C772" s="4">
        <f>IF(A772="","",COUNTIF(F772:AI772,"+")+COUNTIF(F772:AI772,"1"))</f>
        <v/>
      </c>
      <c r="D772" s="4">
        <f>IF(A772="","",IF(C772&gt;2*COUNTA(F$753:AI$753)/3,1,IF(C772&gt;=COUNTA(F$753:AI$753)/2,0.8,0.5)))</f>
        <v/>
      </c>
      <c r="E772" s="4">
        <f>IF(A772="","",SUMIFS('Логи'!$H$4:$H$3006,'Логи'!$A$4:$A$3006,A772,'Логи'!$C$4:$C$3006,12))</f>
        <v/>
      </c>
      <c r="F772" s="15" t="n"/>
      <c r="G772" s="15" t="n"/>
      <c r="H772" s="15" t="n"/>
      <c r="I772" s="15" t="n"/>
      <c r="J772" s="15" t="n"/>
      <c r="K772" s="15" t="n"/>
      <c r="L772" s="15" t="n"/>
      <c r="M772" s="15" t="n"/>
      <c r="N772" s="15" t="n"/>
      <c r="O772" s="15" t="n"/>
      <c r="P772" s="15" t="n"/>
      <c r="Q772" s="15" t="n"/>
      <c r="R772" s="15" t="n"/>
      <c r="S772" s="15" t="n"/>
      <c r="T772" s="15" t="n"/>
      <c r="U772" s="15" t="n"/>
      <c r="V772" s="15" t="n"/>
      <c r="W772" s="15" t="n"/>
      <c r="X772" s="15" t="n"/>
      <c r="Y772" s="15" t="n"/>
      <c r="Z772" s="15" t="n"/>
      <c r="AA772" s="15" t="n"/>
      <c r="AB772" s="15" t="n"/>
      <c r="AC772" s="15" t="n"/>
      <c r="AD772" s="15" t="n"/>
      <c r="AE772" s="15" t="n"/>
      <c r="AF772" s="15" t="n"/>
      <c r="AG772" s="15" t="n"/>
      <c r="AH772" s="15" t="n"/>
      <c r="AI772" s="15" t="n"/>
    </row>
    <row r="773">
      <c r="A773" s="4" t="inlineStr">
        <is>
          <t>Студент1.20</t>
        </is>
      </c>
      <c r="B773" s="4" t="inlineStr"/>
      <c r="C773" s="4">
        <f>IF(A773="","",COUNTIF(F773:AI773,"+")+COUNTIF(F773:AI773,"1"))</f>
        <v/>
      </c>
      <c r="D773" s="4">
        <f>IF(A773="","",IF(C773&gt;2*COUNTA(F$753:AI$753)/3,1,IF(C773&gt;=COUNTA(F$753:AI$753)/2,0.8,0.5)))</f>
        <v/>
      </c>
      <c r="E773" s="4">
        <f>IF(A773="","",SUMIFS('Логи'!$H$4:$H$3006,'Логи'!$A$4:$A$3006,A773,'Логи'!$C$4:$C$3006,12))</f>
        <v/>
      </c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  <c r="O773" s="15" t="n"/>
      <c r="P773" s="15" t="n"/>
      <c r="Q773" s="15" t="n"/>
      <c r="R773" s="15" t="n"/>
      <c r="S773" s="15" t="n"/>
      <c r="T773" s="15" t="n"/>
      <c r="U773" s="15" t="n"/>
      <c r="V773" s="15" t="n"/>
      <c r="W773" s="15" t="n"/>
      <c r="X773" s="15" t="n"/>
      <c r="Y773" s="15" t="n"/>
      <c r="Z773" s="15" t="n"/>
      <c r="AA773" s="15" t="n"/>
      <c r="AB773" s="15" t="n"/>
      <c r="AC773" s="15" t="n"/>
      <c r="AD773" s="15" t="n"/>
      <c r="AE773" s="15" t="n"/>
      <c r="AF773" s="15" t="n"/>
      <c r="AG773" s="15" t="n"/>
      <c r="AH773" s="15" t="n"/>
      <c r="AI773" s="15" t="n"/>
    </row>
    <row r="774">
      <c r="A774" s="4" t="inlineStr">
        <is>
          <t>Студент1.21</t>
        </is>
      </c>
      <c r="B774" s="4" t="inlineStr"/>
      <c r="C774" s="4">
        <f>IF(A774="","",COUNTIF(F774:AI774,"+")+COUNTIF(F774:AI774,"1"))</f>
        <v/>
      </c>
      <c r="D774" s="4">
        <f>IF(A774="","",IF(C774&gt;2*COUNTA(F$753:AI$753)/3,1,IF(C774&gt;=COUNTA(F$753:AI$753)/2,0.8,0.5)))</f>
        <v/>
      </c>
      <c r="E774" s="4">
        <f>IF(A774="","",SUMIFS('Логи'!$H$4:$H$3006,'Логи'!$A$4:$A$3006,A774,'Логи'!$C$4:$C$3006,12))</f>
        <v/>
      </c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  <c r="O774" s="15" t="n"/>
      <c r="P774" s="15" t="n"/>
      <c r="Q774" s="15" t="n"/>
      <c r="R774" s="15" t="n"/>
      <c r="S774" s="15" t="n"/>
      <c r="T774" s="15" t="n"/>
      <c r="U774" s="15" t="n"/>
      <c r="V774" s="15" t="n"/>
      <c r="W774" s="15" t="n"/>
      <c r="X774" s="15" t="n"/>
      <c r="Y774" s="15" t="n"/>
      <c r="Z774" s="15" t="n"/>
      <c r="AA774" s="15" t="n"/>
      <c r="AB774" s="15" t="n"/>
      <c r="AC774" s="15" t="n"/>
      <c r="AD774" s="15" t="n"/>
      <c r="AE774" s="15" t="n"/>
      <c r="AF774" s="15" t="n"/>
      <c r="AG774" s="15" t="n"/>
      <c r="AH774" s="15" t="n"/>
      <c r="AI774" s="15" t="n"/>
    </row>
    <row r="775">
      <c r="A775" s="4" t="inlineStr">
        <is>
          <t>Студент1.22</t>
        </is>
      </c>
      <c r="B775" s="4" t="inlineStr"/>
      <c r="C775" s="4">
        <f>IF(A775="","",COUNTIF(F775:AI775,"+")+COUNTIF(F775:AI775,"1"))</f>
        <v/>
      </c>
      <c r="D775" s="4">
        <f>IF(A775="","",IF(C775&gt;2*COUNTA(F$753:AI$753)/3,1,IF(C775&gt;=COUNTA(F$753:AI$753)/2,0.8,0.5)))</f>
        <v/>
      </c>
      <c r="E775" s="4">
        <f>IF(A775="","",SUMIFS('Логи'!$H$4:$H$3006,'Логи'!$A$4:$A$3006,A775,'Логи'!$C$4:$C$3006,12))</f>
        <v/>
      </c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  <c r="O775" s="15" t="n"/>
      <c r="P775" s="15" t="n"/>
      <c r="Q775" s="15" t="n"/>
      <c r="R775" s="15" t="n"/>
      <c r="S775" s="15" t="n"/>
      <c r="T775" s="15" t="n"/>
      <c r="U775" s="15" t="n"/>
      <c r="V775" s="15" t="n"/>
      <c r="W775" s="15" t="n"/>
      <c r="X775" s="15" t="n"/>
      <c r="Y775" s="15" t="n"/>
      <c r="Z775" s="15" t="n"/>
      <c r="AA775" s="15" t="n"/>
      <c r="AB775" s="15" t="n"/>
      <c r="AC775" s="15" t="n"/>
      <c r="AD775" s="15" t="n"/>
      <c r="AE775" s="15" t="n"/>
      <c r="AF775" s="15" t="n"/>
      <c r="AG775" s="15" t="n"/>
      <c r="AH775" s="15" t="n"/>
      <c r="AI775" s="15" t="n"/>
    </row>
    <row r="776">
      <c r="A776" s="4" t="inlineStr">
        <is>
          <t>Студент1.23</t>
        </is>
      </c>
      <c r="B776" s="4" t="inlineStr"/>
      <c r="C776" s="4">
        <f>IF(A776="","",COUNTIF(F776:AI776,"+")+COUNTIF(F776:AI776,"1"))</f>
        <v/>
      </c>
      <c r="D776" s="4">
        <f>IF(A776="","",IF(C776&gt;2*COUNTA(F$753:AI$753)/3,1,IF(C776&gt;=COUNTA(F$753:AI$753)/2,0.8,0.5)))</f>
        <v/>
      </c>
      <c r="E776" s="4">
        <f>IF(A776="","",SUMIFS('Логи'!$H$4:$H$3006,'Логи'!$A$4:$A$3006,A776,'Логи'!$C$4:$C$3006,12))</f>
        <v/>
      </c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  <c r="O776" s="15" t="n"/>
      <c r="P776" s="15" t="n"/>
      <c r="Q776" s="15" t="n"/>
      <c r="R776" s="15" t="n"/>
      <c r="S776" s="15" t="n"/>
      <c r="T776" s="15" t="n"/>
      <c r="U776" s="15" t="n"/>
      <c r="V776" s="15" t="n"/>
      <c r="W776" s="15" t="n"/>
      <c r="X776" s="15" t="n"/>
      <c r="Y776" s="15" t="n"/>
      <c r="Z776" s="15" t="n"/>
      <c r="AA776" s="15" t="n"/>
      <c r="AB776" s="15" t="n"/>
      <c r="AC776" s="15" t="n"/>
      <c r="AD776" s="15" t="n"/>
      <c r="AE776" s="15" t="n"/>
      <c r="AF776" s="15" t="n"/>
      <c r="AG776" s="15" t="n"/>
      <c r="AH776" s="15" t="n"/>
      <c r="AI776" s="15" t="n"/>
    </row>
    <row r="777">
      <c r="A777" s="4" t="inlineStr">
        <is>
          <t>Студент1.24</t>
        </is>
      </c>
      <c r="B777" s="4" t="inlineStr"/>
      <c r="C777" s="4">
        <f>IF(A777="","",COUNTIF(F777:AI777,"+")+COUNTIF(F777:AI777,"1"))</f>
        <v/>
      </c>
      <c r="D777" s="4">
        <f>IF(A777="","",IF(C777&gt;2*COUNTA(F$753:AI$753)/3,1,IF(C777&gt;=COUNTA(F$753:AI$753)/2,0.8,0.5)))</f>
        <v/>
      </c>
      <c r="E777" s="4">
        <f>IF(A777="","",SUMIFS('Логи'!$H$4:$H$3006,'Логи'!$A$4:$A$3006,A777,'Логи'!$C$4:$C$3006,12))</f>
        <v/>
      </c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  <c r="O777" s="15" t="n"/>
      <c r="P777" s="15" t="n"/>
      <c r="Q777" s="15" t="n"/>
      <c r="R777" s="15" t="n"/>
      <c r="S777" s="15" t="n"/>
      <c r="T777" s="15" t="n"/>
      <c r="U777" s="15" t="n"/>
      <c r="V777" s="15" t="n"/>
      <c r="W777" s="15" t="n"/>
      <c r="X777" s="15" t="n"/>
      <c r="Y777" s="15" t="n"/>
      <c r="Z777" s="15" t="n"/>
      <c r="AA777" s="15" t="n"/>
      <c r="AB777" s="15" t="n"/>
      <c r="AC777" s="15" t="n"/>
      <c r="AD777" s="15" t="n"/>
      <c r="AE777" s="15" t="n"/>
      <c r="AF777" s="15" t="n"/>
      <c r="AG777" s="15" t="n"/>
      <c r="AH777" s="15" t="n"/>
      <c r="AI777" s="15" t="n"/>
    </row>
    <row r="778">
      <c r="A778" s="4" t="inlineStr">
        <is>
          <t>Студент1.25</t>
        </is>
      </c>
      <c r="B778" s="4" t="inlineStr"/>
      <c r="C778" s="4">
        <f>IF(A778="","",COUNTIF(F778:AI778,"+")+COUNTIF(F778:AI778,"1"))</f>
        <v/>
      </c>
      <c r="D778" s="4">
        <f>IF(A778="","",IF(C778&gt;2*COUNTA(F$753:AI$753)/3,1,IF(C778&gt;=COUNTA(F$753:AI$753)/2,0.8,0.5)))</f>
        <v/>
      </c>
      <c r="E778" s="4">
        <f>IF(A778="","",SUMIFS('Логи'!$H$4:$H$3006,'Логи'!$A$4:$A$3006,A778,'Логи'!$C$4:$C$3006,12))</f>
        <v/>
      </c>
      <c r="F778" s="15" t="n"/>
      <c r="G778" s="15" t="n"/>
      <c r="H778" s="15" t="n"/>
      <c r="I778" s="15" t="n"/>
      <c r="J778" s="15" t="n"/>
      <c r="K778" s="15" t="n"/>
      <c r="L778" s="15" t="n"/>
      <c r="M778" s="15" t="n"/>
      <c r="N778" s="15" t="n"/>
      <c r="O778" s="15" t="n"/>
      <c r="P778" s="15" t="n"/>
      <c r="Q778" s="15" t="n"/>
      <c r="R778" s="15" t="n"/>
      <c r="S778" s="15" t="n"/>
      <c r="T778" s="15" t="n"/>
      <c r="U778" s="15" t="n"/>
      <c r="V778" s="15" t="n"/>
      <c r="W778" s="15" t="n"/>
      <c r="X778" s="15" t="n"/>
      <c r="Y778" s="15" t="n"/>
      <c r="Z778" s="15" t="n"/>
      <c r="AA778" s="15" t="n"/>
      <c r="AB778" s="15" t="n"/>
      <c r="AC778" s="15" t="n"/>
      <c r="AD778" s="15" t="n"/>
      <c r="AE778" s="15" t="n"/>
      <c r="AF778" s="15" t="n"/>
      <c r="AG778" s="15" t="n"/>
      <c r="AH778" s="15" t="n"/>
      <c r="AI778" s="15" t="n"/>
    </row>
    <row r="779">
      <c r="A779" s="4" t="inlineStr">
        <is>
          <t>Студент1.26</t>
        </is>
      </c>
      <c r="B779" s="4" t="inlineStr"/>
      <c r="C779" s="4">
        <f>IF(A779="","",COUNTIF(F779:AI779,"+")+COUNTIF(F779:AI779,"1"))</f>
        <v/>
      </c>
      <c r="D779" s="4">
        <f>IF(A779="","",IF(C779&gt;2*COUNTA(F$753:AI$753)/3,1,IF(C779&gt;=COUNTA(F$753:AI$753)/2,0.8,0.5)))</f>
        <v/>
      </c>
      <c r="E779" s="4">
        <f>IF(A779="","",SUMIFS('Логи'!$H$4:$H$3006,'Логи'!$A$4:$A$3006,A779,'Логи'!$C$4:$C$3006,12))</f>
        <v/>
      </c>
      <c r="F779" s="15" t="n"/>
      <c r="G779" s="15" t="n"/>
      <c r="H779" s="15" t="n"/>
      <c r="I779" s="15" t="n"/>
      <c r="J779" s="15" t="n"/>
      <c r="K779" s="15" t="n"/>
      <c r="L779" s="15" t="n"/>
      <c r="M779" s="15" t="n"/>
      <c r="N779" s="15" t="n"/>
      <c r="O779" s="15" t="n"/>
      <c r="P779" s="15" t="n"/>
      <c r="Q779" s="15" t="n"/>
      <c r="R779" s="15" t="n"/>
      <c r="S779" s="15" t="n"/>
      <c r="T779" s="15" t="n"/>
      <c r="U779" s="15" t="n"/>
      <c r="V779" s="15" t="n"/>
      <c r="W779" s="15" t="n"/>
      <c r="X779" s="15" t="n"/>
      <c r="Y779" s="15" t="n"/>
      <c r="Z779" s="15" t="n"/>
      <c r="AA779" s="15" t="n"/>
      <c r="AB779" s="15" t="n"/>
      <c r="AC779" s="15" t="n"/>
      <c r="AD779" s="15" t="n"/>
      <c r="AE779" s="15" t="n"/>
      <c r="AF779" s="15" t="n"/>
      <c r="AG779" s="15" t="n"/>
      <c r="AH779" s="15" t="n"/>
      <c r="AI779" s="15" t="n"/>
    </row>
    <row r="780">
      <c r="A780" s="4" t="inlineStr">
        <is>
          <t>Студент1.27</t>
        </is>
      </c>
      <c r="B780" s="4" t="inlineStr"/>
      <c r="C780" s="4">
        <f>IF(A780="","",COUNTIF(F780:AI780,"+")+COUNTIF(F780:AI780,"1"))</f>
        <v/>
      </c>
      <c r="D780" s="4">
        <f>IF(A780="","",IF(C780&gt;2*COUNTA(F$753:AI$753)/3,1,IF(C780&gt;=COUNTA(F$753:AI$753)/2,0.8,0.5)))</f>
        <v/>
      </c>
      <c r="E780" s="4">
        <f>IF(A780="","",SUMIFS('Логи'!$H$4:$H$3006,'Логи'!$A$4:$A$3006,A780,'Логи'!$C$4:$C$3006,12))</f>
        <v/>
      </c>
      <c r="F780" s="15" t="n"/>
      <c r="G780" s="15" t="n"/>
      <c r="H780" s="15" t="n"/>
      <c r="I780" s="15" t="n"/>
      <c r="J780" s="15" t="n"/>
      <c r="K780" s="15" t="n"/>
      <c r="L780" s="15" t="n"/>
      <c r="M780" s="15" t="n"/>
      <c r="N780" s="15" t="n"/>
      <c r="O780" s="15" t="n"/>
      <c r="P780" s="15" t="n"/>
      <c r="Q780" s="15" t="n"/>
      <c r="R780" s="15" t="n"/>
      <c r="S780" s="15" t="n"/>
      <c r="T780" s="15" t="n"/>
      <c r="U780" s="15" t="n"/>
      <c r="V780" s="15" t="n"/>
      <c r="W780" s="15" t="n"/>
      <c r="X780" s="15" t="n"/>
      <c r="Y780" s="15" t="n"/>
      <c r="Z780" s="15" t="n"/>
      <c r="AA780" s="15" t="n"/>
      <c r="AB780" s="15" t="n"/>
      <c r="AC780" s="15" t="n"/>
      <c r="AD780" s="15" t="n"/>
      <c r="AE780" s="15" t="n"/>
      <c r="AF780" s="15" t="n"/>
      <c r="AG780" s="15" t="n"/>
      <c r="AH780" s="15" t="n"/>
      <c r="AI780" s="15" t="n"/>
    </row>
    <row r="781">
      <c r="A781" s="4" t="inlineStr">
        <is>
          <t>Студент1.28</t>
        </is>
      </c>
      <c r="B781" s="4" t="inlineStr"/>
      <c r="C781" s="4">
        <f>IF(A781="","",COUNTIF(F781:AI781,"+")+COUNTIF(F781:AI781,"1"))</f>
        <v/>
      </c>
      <c r="D781" s="4">
        <f>IF(A781="","",IF(C781&gt;2*COUNTA(F$753:AI$753)/3,1,IF(C781&gt;=COUNTA(F$753:AI$753)/2,0.8,0.5)))</f>
        <v/>
      </c>
      <c r="E781" s="4">
        <f>IF(A781="","",SUMIFS('Логи'!$H$4:$H$3006,'Логи'!$A$4:$A$3006,A781,'Логи'!$C$4:$C$3006,12))</f>
        <v/>
      </c>
      <c r="F781" s="15" t="n"/>
      <c r="G781" s="15" t="n"/>
      <c r="H781" s="15" t="n"/>
      <c r="I781" s="15" t="n"/>
      <c r="J781" s="15" t="n"/>
      <c r="K781" s="15" t="n"/>
      <c r="L781" s="15" t="n"/>
      <c r="M781" s="15" t="n"/>
      <c r="N781" s="15" t="n"/>
      <c r="O781" s="15" t="n"/>
      <c r="P781" s="15" t="n"/>
      <c r="Q781" s="15" t="n"/>
      <c r="R781" s="15" t="n"/>
      <c r="S781" s="15" t="n"/>
      <c r="T781" s="15" t="n"/>
      <c r="U781" s="15" t="n"/>
      <c r="V781" s="15" t="n"/>
      <c r="W781" s="15" t="n"/>
      <c r="X781" s="15" t="n"/>
      <c r="Y781" s="15" t="n"/>
      <c r="Z781" s="15" t="n"/>
      <c r="AA781" s="15" t="n"/>
      <c r="AB781" s="15" t="n"/>
      <c r="AC781" s="15" t="n"/>
      <c r="AD781" s="15" t="n"/>
      <c r="AE781" s="15" t="n"/>
      <c r="AF781" s="15" t="n"/>
      <c r="AG781" s="15" t="n"/>
      <c r="AH781" s="15" t="n"/>
      <c r="AI781" s="15" t="n"/>
    </row>
    <row r="782">
      <c r="A782" s="4" t="inlineStr">
        <is>
          <t>Студент1.29</t>
        </is>
      </c>
      <c r="B782" s="4" t="inlineStr"/>
      <c r="C782" s="4">
        <f>IF(A782="","",COUNTIF(F782:AI782,"+")+COUNTIF(F782:AI782,"1"))</f>
        <v/>
      </c>
      <c r="D782" s="4">
        <f>IF(A782="","",IF(C782&gt;2*COUNTA(F$753:AI$753)/3,1,IF(C782&gt;=COUNTA(F$753:AI$753)/2,0.8,0.5)))</f>
        <v/>
      </c>
      <c r="E782" s="4">
        <f>IF(A782="","",SUMIFS('Логи'!$H$4:$H$3006,'Логи'!$A$4:$A$3006,A782,'Логи'!$C$4:$C$3006,12))</f>
        <v/>
      </c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  <c r="O782" s="15" t="n"/>
      <c r="P782" s="15" t="n"/>
      <c r="Q782" s="15" t="n"/>
      <c r="R782" s="15" t="n"/>
      <c r="S782" s="15" t="n"/>
      <c r="T782" s="15" t="n"/>
      <c r="U782" s="15" t="n"/>
      <c r="V782" s="15" t="n"/>
      <c r="W782" s="15" t="n"/>
      <c r="X782" s="15" t="n"/>
      <c r="Y782" s="15" t="n"/>
      <c r="Z782" s="15" t="n"/>
      <c r="AA782" s="15" t="n"/>
      <c r="AB782" s="15" t="n"/>
      <c r="AC782" s="15" t="n"/>
      <c r="AD782" s="15" t="n"/>
      <c r="AE782" s="15" t="n"/>
      <c r="AF782" s="15" t="n"/>
      <c r="AG782" s="15" t="n"/>
      <c r="AH782" s="15" t="n"/>
      <c r="AI782" s="15" t="n"/>
    </row>
    <row r="783">
      <c r="A783" s="4" t="inlineStr">
        <is>
          <t>Студент1.30</t>
        </is>
      </c>
      <c r="B783" s="4" t="inlineStr"/>
      <c r="C783" s="4">
        <f>IF(A783="","",COUNTIF(F783:AI783,"+")+COUNTIF(F783:AI783,"1"))</f>
        <v/>
      </c>
      <c r="D783" s="4">
        <f>IF(A783="","",IF(C783&gt;2*COUNTA(F$753:AI$753)/3,1,IF(C783&gt;=COUNTA(F$753:AI$753)/2,0.8,0.5)))</f>
        <v/>
      </c>
      <c r="E783" s="4">
        <f>IF(A783="","",SUMIFS('Логи'!$H$4:$H$3006,'Логи'!$A$4:$A$3006,A783,'Логи'!$C$4:$C$3006,12))</f>
        <v/>
      </c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  <c r="O783" s="15" t="n"/>
      <c r="P783" s="15" t="n"/>
      <c r="Q783" s="15" t="n"/>
      <c r="R783" s="15" t="n"/>
      <c r="S783" s="15" t="n"/>
      <c r="T783" s="15" t="n"/>
      <c r="U783" s="15" t="n"/>
      <c r="V783" s="15" t="n"/>
      <c r="W783" s="15" t="n"/>
      <c r="X783" s="15" t="n"/>
      <c r="Y783" s="15" t="n"/>
      <c r="Z783" s="15" t="n"/>
      <c r="AA783" s="15" t="n"/>
      <c r="AB783" s="15" t="n"/>
      <c r="AC783" s="15" t="n"/>
      <c r="AD783" s="15" t="n"/>
      <c r="AE783" s="15" t="n"/>
      <c r="AF783" s="15" t="n"/>
      <c r="AG783" s="15" t="n"/>
      <c r="AH783" s="15" t="n"/>
      <c r="AI783" s="15" t="n"/>
    </row>
    <row r="785">
      <c r="A785" s="16" t="inlineStr">
        <is>
          <t>Практика 12 — результаты рассказа</t>
        </is>
      </c>
    </row>
    <row r="786" ht="28" customHeight="1">
      <c r="A786" s="7" t="inlineStr">
        <is>
          <t>Имя</t>
        </is>
      </c>
      <c r="B786" s="9" t="inlineStr">
        <is>
          <t>TG</t>
        </is>
      </c>
      <c r="C786" s="10" t="inlineStr"/>
      <c r="D786" s="2" t="inlineStr"/>
      <c r="E786" s="2" t="inlineStr"/>
      <c r="F786" s="11" t="inlineStr">
        <is>
          <t>1.0</t>
        </is>
      </c>
      <c r="G786" s="11" t="inlineStr">
        <is>
          <t>2.0</t>
        </is>
      </c>
      <c r="H786" s="11" t="inlineStr">
        <is>
          <t>3.0</t>
        </is>
      </c>
      <c r="I786" s="11" t="inlineStr">
        <is>
          <t>4.0</t>
        </is>
      </c>
      <c r="J786" s="11" t="inlineStr">
        <is>
          <t>5.0</t>
        </is>
      </c>
      <c r="K786" s="11" t="inlineStr">
        <is>
          <t>6</t>
        </is>
      </c>
      <c r="L786" s="11" t="inlineStr">
        <is>
          <t>7</t>
        </is>
      </c>
      <c r="M786" s="11" t="inlineStr">
        <is>
          <t>8</t>
        </is>
      </c>
      <c r="N786" s="11" t="inlineStr">
        <is>
          <t>9</t>
        </is>
      </c>
      <c r="O786" s="11" t="inlineStr">
        <is>
          <t>10</t>
        </is>
      </c>
      <c r="P786" s="11" t="inlineStr">
        <is>
          <t>11</t>
        </is>
      </c>
      <c r="Q786" s="11" t="inlineStr">
        <is>
          <t>12</t>
        </is>
      </c>
      <c r="R786" s="11" t="inlineStr">
        <is>
          <t>13</t>
        </is>
      </c>
      <c r="S786" s="11" t="inlineStr">
        <is>
          <t>14</t>
        </is>
      </c>
      <c r="T786" s="11" t="inlineStr">
        <is>
          <t>15</t>
        </is>
      </c>
      <c r="U786" s="11" t="inlineStr">
        <is>
          <t>16</t>
        </is>
      </c>
      <c r="V786" s="11" t="inlineStr">
        <is>
          <t>17</t>
        </is>
      </c>
      <c r="W786" s="11" t="inlineStr">
        <is>
          <t>18</t>
        </is>
      </c>
      <c r="X786" s="11" t="inlineStr">
        <is>
          <t>19</t>
        </is>
      </c>
      <c r="Y786" s="11" t="inlineStr">
        <is>
          <t>20</t>
        </is>
      </c>
      <c r="Z786" s="11" t="inlineStr">
        <is>
          <t>21</t>
        </is>
      </c>
      <c r="AA786" s="11" t="inlineStr">
        <is>
          <t>22</t>
        </is>
      </c>
      <c r="AB786" s="11" t="inlineStr">
        <is>
          <t>23</t>
        </is>
      </c>
      <c r="AC786" s="11" t="inlineStr">
        <is>
          <t>24</t>
        </is>
      </c>
      <c r="AD786" s="11" t="inlineStr">
        <is>
          <t>25</t>
        </is>
      </c>
      <c r="AE786" s="11" t="inlineStr">
        <is>
          <t>26</t>
        </is>
      </c>
      <c r="AF786" s="11" t="inlineStr">
        <is>
          <t>27</t>
        </is>
      </c>
      <c r="AG786" s="11" t="inlineStr">
        <is>
          <t>28</t>
        </is>
      </c>
      <c r="AH786" s="11" t="inlineStr">
        <is>
          <t>29</t>
        </is>
      </c>
      <c r="AI786" s="11" t="inlineStr">
        <is>
          <t>30</t>
        </is>
      </c>
    </row>
    <row r="787">
      <c r="A787" s="4" t="inlineStr">
        <is>
          <t>Студент1.1</t>
        </is>
      </c>
      <c r="B787" s="4" t="inlineStr"/>
      <c r="C787" s="4" t="n"/>
      <c r="D787" s="4" t="n"/>
      <c r="E787" s="4" t="n"/>
      <c r="F787" s="15" t="n"/>
      <c r="G787" s="15" t="n"/>
      <c r="H787" s="15" t="n"/>
      <c r="I787" s="15" t="n"/>
      <c r="J787" s="15" t="n"/>
      <c r="K787" s="15" t="n"/>
      <c r="L787" s="15" t="n"/>
      <c r="M787" s="15" t="n"/>
      <c r="N787" s="15" t="n"/>
      <c r="O787" s="15" t="n"/>
      <c r="P787" s="15" t="n"/>
      <c r="Q787" s="15" t="n"/>
      <c r="R787" s="15" t="n"/>
      <c r="S787" s="15" t="n"/>
      <c r="T787" s="15" t="n"/>
      <c r="U787" s="15" t="n"/>
      <c r="V787" s="15" t="n"/>
      <c r="W787" s="15" t="n"/>
      <c r="X787" s="15" t="n"/>
      <c r="Y787" s="15" t="n"/>
      <c r="Z787" s="15" t="n"/>
      <c r="AA787" s="15" t="n"/>
      <c r="AB787" s="15" t="n"/>
      <c r="AC787" s="15" t="n"/>
      <c r="AD787" s="15" t="n"/>
      <c r="AE787" s="15" t="n"/>
      <c r="AF787" s="15" t="n"/>
      <c r="AG787" s="15" t="n"/>
      <c r="AH787" s="15" t="n"/>
      <c r="AI787" s="15" t="n"/>
    </row>
    <row r="788">
      <c r="A788" s="4" t="inlineStr">
        <is>
          <t>Студент1.2</t>
        </is>
      </c>
      <c r="B788" s="4" t="inlineStr"/>
      <c r="C788" s="4" t="n"/>
      <c r="D788" s="4" t="n"/>
      <c r="E788" s="4" t="n"/>
      <c r="F788" s="15" t="n"/>
      <c r="G788" s="15" t="n"/>
      <c r="H788" s="15" t="n"/>
      <c r="I788" s="15" t="n"/>
      <c r="J788" s="15" t="n"/>
      <c r="K788" s="15" t="n"/>
      <c r="L788" s="15" t="n"/>
      <c r="M788" s="15" t="n"/>
      <c r="N788" s="15" t="n"/>
      <c r="O788" s="15" t="n"/>
      <c r="P788" s="15" t="n"/>
      <c r="Q788" s="15" t="n"/>
      <c r="R788" s="15" t="n"/>
      <c r="S788" s="15" t="n"/>
      <c r="T788" s="15" t="n"/>
      <c r="U788" s="15" t="n"/>
      <c r="V788" s="15" t="n"/>
      <c r="W788" s="15" t="n"/>
      <c r="X788" s="15" t="n"/>
      <c r="Y788" s="15" t="n"/>
      <c r="Z788" s="15" t="n"/>
      <c r="AA788" s="15" t="n"/>
      <c r="AB788" s="15" t="n"/>
      <c r="AC788" s="15" t="n"/>
      <c r="AD788" s="15" t="n"/>
      <c r="AE788" s="15" t="n"/>
      <c r="AF788" s="15" t="n"/>
      <c r="AG788" s="15" t="n"/>
      <c r="AH788" s="15" t="n"/>
      <c r="AI788" s="15" t="n"/>
    </row>
    <row r="789">
      <c r="A789" s="4" t="inlineStr">
        <is>
          <t>Студент1.3</t>
        </is>
      </c>
      <c r="B789" s="4" t="inlineStr"/>
      <c r="C789" s="4" t="n"/>
      <c r="D789" s="4" t="n"/>
      <c r="E789" s="4" t="n"/>
      <c r="F789" s="15" t="n"/>
      <c r="G789" s="15" t="n"/>
      <c r="H789" s="15" t="n"/>
      <c r="I789" s="15" t="n"/>
      <c r="J789" s="15" t="n"/>
      <c r="K789" s="15" t="n"/>
      <c r="L789" s="15" t="n"/>
      <c r="M789" s="15" t="n"/>
      <c r="N789" s="15" t="n"/>
      <c r="O789" s="15" t="n"/>
      <c r="P789" s="15" t="n"/>
      <c r="Q789" s="15" t="n"/>
      <c r="R789" s="15" t="n"/>
      <c r="S789" s="15" t="n"/>
      <c r="T789" s="15" t="n"/>
      <c r="U789" s="15" t="n"/>
      <c r="V789" s="15" t="n"/>
      <c r="W789" s="15" t="n"/>
      <c r="X789" s="15" t="n"/>
      <c r="Y789" s="15" t="n"/>
      <c r="Z789" s="15" t="n"/>
      <c r="AA789" s="15" t="n"/>
      <c r="AB789" s="15" t="n"/>
      <c r="AC789" s="15" t="n"/>
      <c r="AD789" s="15" t="n"/>
      <c r="AE789" s="15" t="n"/>
      <c r="AF789" s="15" t="n"/>
      <c r="AG789" s="15" t="n"/>
      <c r="AH789" s="15" t="n"/>
      <c r="AI789" s="15" t="n"/>
    </row>
    <row r="790">
      <c r="A790" s="4" t="inlineStr">
        <is>
          <t>Студент1.4</t>
        </is>
      </c>
      <c r="B790" s="4" t="inlineStr"/>
      <c r="C790" s="4" t="n"/>
      <c r="D790" s="4" t="n"/>
      <c r="E790" s="4" t="n"/>
      <c r="F790" s="15" t="n"/>
      <c r="G790" s="15" t="n"/>
      <c r="H790" s="15" t="n"/>
      <c r="I790" s="15" t="n"/>
      <c r="J790" s="15" t="n"/>
      <c r="K790" s="15" t="n"/>
      <c r="L790" s="15" t="n"/>
      <c r="M790" s="15" t="n"/>
      <c r="N790" s="15" t="n"/>
      <c r="O790" s="15" t="n"/>
      <c r="P790" s="15" t="n"/>
      <c r="Q790" s="15" t="n"/>
      <c r="R790" s="15" t="n"/>
      <c r="S790" s="15" t="n"/>
      <c r="T790" s="15" t="n"/>
      <c r="U790" s="15" t="n"/>
      <c r="V790" s="15" t="n"/>
      <c r="W790" s="15" t="n"/>
      <c r="X790" s="15" t="n"/>
      <c r="Y790" s="15" t="n"/>
      <c r="Z790" s="15" t="n"/>
      <c r="AA790" s="15" t="n"/>
      <c r="AB790" s="15" t="n"/>
      <c r="AC790" s="15" t="n"/>
      <c r="AD790" s="15" t="n"/>
      <c r="AE790" s="15" t="n"/>
      <c r="AF790" s="15" t="n"/>
      <c r="AG790" s="15" t="n"/>
      <c r="AH790" s="15" t="n"/>
      <c r="AI790" s="15" t="n"/>
    </row>
    <row r="791">
      <c r="A791" s="4" t="inlineStr">
        <is>
          <t>Студент1.5</t>
        </is>
      </c>
      <c r="B791" s="4" t="inlineStr"/>
      <c r="C791" s="4" t="n"/>
      <c r="D791" s="4" t="n"/>
      <c r="E791" s="4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  <c r="O791" s="15" t="n"/>
      <c r="P791" s="15" t="n"/>
      <c r="Q791" s="15" t="n"/>
      <c r="R791" s="15" t="n"/>
      <c r="S791" s="15" t="n"/>
      <c r="T791" s="15" t="n"/>
      <c r="U791" s="15" t="n"/>
      <c r="V791" s="15" t="n"/>
      <c r="W791" s="15" t="n"/>
      <c r="X791" s="15" t="n"/>
      <c r="Y791" s="15" t="n"/>
      <c r="Z791" s="15" t="n"/>
      <c r="AA791" s="15" t="n"/>
      <c r="AB791" s="15" t="n"/>
      <c r="AC791" s="15" t="n"/>
      <c r="AD791" s="15" t="n"/>
      <c r="AE791" s="15" t="n"/>
      <c r="AF791" s="15" t="n"/>
      <c r="AG791" s="15" t="n"/>
      <c r="AH791" s="15" t="n"/>
      <c r="AI791" s="15" t="n"/>
    </row>
    <row r="792">
      <c r="A792" s="4" t="inlineStr">
        <is>
          <t>Студент1.6</t>
        </is>
      </c>
      <c r="B792" s="4" t="inlineStr"/>
      <c r="C792" s="4" t="n"/>
      <c r="D792" s="4" t="n"/>
      <c r="E792" s="4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  <c r="O792" s="15" t="n"/>
      <c r="P792" s="15" t="n"/>
      <c r="Q792" s="15" t="n"/>
      <c r="R792" s="15" t="n"/>
      <c r="S792" s="15" t="n"/>
      <c r="T792" s="15" t="n"/>
      <c r="U792" s="15" t="n"/>
      <c r="V792" s="15" t="n"/>
      <c r="W792" s="15" t="n"/>
      <c r="X792" s="15" t="n"/>
      <c r="Y792" s="15" t="n"/>
      <c r="Z792" s="15" t="n"/>
      <c r="AA792" s="15" t="n"/>
      <c r="AB792" s="15" t="n"/>
      <c r="AC792" s="15" t="n"/>
      <c r="AD792" s="15" t="n"/>
      <c r="AE792" s="15" t="n"/>
      <c r="AF792" s="15" t="n"/>
      <c r="AG792" s="15" t="n"/>
      <c r="AH792" s="15" t="n"/>
      <c r="AI792" s="15" t="n"/>
    </row>
    <row r="793">
      <c r="A793" s="4" t="inlineStr">
        <is>
          <t>Студент1.7</t>
        </is>
      </c>
      <c r="B793" s="4" t="inlineStr"/>
      <c r="C793" s="4" t="n"/>
      <c r="D793" s="4" t="n"/>
      <c r="E793" s="4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  <c r="O793" s="15" t="n"/>
      <c r="P793" s="15" t="n"/>
      <c r="Q793" s="15" t="n"/>
      <c r="R793" s="15" t="n"/>
      <c r="S793" s="15" t="n"/>
      <c r="T793" s="15" t="n"/>
      <c r="U793" s="15" t="n"/>
      <c r="V793" s="15" t="n"/>
      <c r="W793" s="15" t="n"/>
      <c r="X793" s="15" t="n"/>
      <c r="Y793" s="15" t="n"/>
      <c r="Z793" s="15" t="n"/>
      <c r="AA793" s="15" t="n"/>
      <c r="AB793" s="15" t="n"/>
      <c r="AC793" s="15" t="n"/>
      <c r="AD793" s="15" t="n"/>
      <c r="AE793" s="15" t="n"/>
      <c r="AF793" s="15" t="n"/>
      <c r="AG793" s="15" t="n"/>
      <c r="AH793" s="15" t="n"/>
      <c r="AI793" s="15" t="n"/>
    </row>
    <row r="794">
      <c r="A794" s="4" t="inlineStr">
        <is>
          <t>Студент1.8</t>
        </is>
      </c>
      <c r="B794" s="4" t="inlineStr"/>
      <c r="C794" s="4" t="n"/>
      <c r="D794" s="4" t="n"/>
      <c r="E794" s="4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  <c r="O794" s="15" t="n"/>
      <c r="P794" s="15" t="n"/>
      <c r="Q794" s="15" t="n"/>
      <c r="R794" s="15" t="n"/>
      <c r="S794" s="15" t="n"/>
      <c r="T794" s="15" t="n"/>
      <c r="U794" s="15" t="n"/>
      <c r="V794" s="15" t="n"/>
      <c r="W794" s="15" t="n"/>
      <c r="X794" s="15" t="n"/>
      <c r="Y794" s="15" t="n"/>
      <c r="Z794" s="15" t="n"/>
      <c r="AA794" s="15" t="n"/>
      <c r="AB794" s="15" t="n"/>
      <c r="AC794" s="15" t="n"/>
      <c r="AD794" s="15" t="n"/>
      <c r="AE794" s="15" t="n"/>
      <c r="AF794" s="15" t="n"/>
      <c r="AG794" s="15" t="n"/>
      <c r="AH794" s="15" t="n"/>
      <c r="AI794" s="15" t="n"/>
    </row>
    <row r="795">
      <c r="A795" s="4" t="inlineStr">
        <is>
          <t>Студент1.9</t>
        </is>
      </c>
      <c r="B795" s="4" t="inlineStr"/>
      <c r="C795" s="4" t="n"/>
      <c r="D795" s="4" t="n"/>
      <c r="E795" s="4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  <c r="O795" s="15" t="n"/>
      <c r="P795" s="15" t="n"/>
      <c r="Q795" s="15" t="n"/>
      <c r="R795" s="15" t="n"/>
      <c r="S795" s="15" t="n"/>
      <c r="T795" s="15" t="n"/>
      <c r="U795" s="15" t="n"/>
      <c r="V795" s="15" t="n"/>
      <c r="W795" s="15" t="n"/>
      <c r="X795" s="15" t="n"/>
      <c r="Y795" s="15" t="n"/>
      <c r="Z795" s="15" t="n"/>
      <c r="AA795" s="15" t="n"/>
      <c r="AB795" s="15" t="n"/>
      <c r="AC795" s="15" t="n"/>
      <c r="AD795" s="15" t="n"/>
      <c r="AE795" s="15" t="n"/>
      <c r="AF795" s="15" t="n"/>
      <c r="AG795" s="15" t="n"/>
      <c r="AH795" s="15" t="n"/>
      <c r="AI795" s="15" t="n"/>
    </row>
    <row r="796">
      <c r="A796" s="4" t="inlineStr">
        <is>
          <t>Студент1.10</t>
        </is>
      </c>
      <c r="B796" s="4" t="inlineStr"/>
      <c r="C796" s="4" t="n"/>
      <c r="D796" s="4" t="n"/>
      <c r="E796" s="4" t="n"/>
      <c r="F796" s="15" t="n"/>
      <c r="G796" s="15" t="n"/>
      <c r="H796" s="15" t="n"/>
      <c r="I796" s="15" t="n"/>
      <c r="J796" s="15" t="n"/>
      <c r="K796" s="15" t="n"/>
      <c r="L796" s="15" t="n"/>
      <c r="M796" s="15" t="n"/>
      <c r="N796" s="15" t="n"/>
      <c r="O796" s="15" t="n"/>
      <c r="P796" s="15" t="n"/>
      <c r="Q796" s="15" t="n"/>
      <c r="R796" s="15" t="n"/>
      <c r="S796" s="15" t="n"/>
      <c r="T796" s="15" t="n"/>
      <c r="U796" s="15" t="n"/>
      <c r="V796" s="15" t="n"/>
      <c r="W796" s="15" t="n"/>
      <c r="X796" s="15" t="n"/>
      <c r="Y796" s="15" t="n"/>
      <c r="Z796" s="15" t="n"/>
      <c r="AA796" s="15" t="n"/>
      <c r="AB796" s="15" t="n"/>
      <c r="AC796" s="15" t="n"/>
      <c r="AD796" s="15" t="n"/>
      <c r="AE796" s="15" t="n"/>
      <c r="AF796" s="15" t="n"/>
      <c r="AG796" s="15" t="n"/>
      <c r="AH796" s="15" t="n"/>
      <c r="AI796" s="15" t="n"/>
    </row>
    <row r="797">
      <c r="A797" s="4" t="inlineStr">
        <is>
          <t>Студент1.11</t>
        </is>
      </c>
      <c r="B797" s="4" t="inlineStr"/>
      <c r="C797" s="4" t="n"/>
      <c r="D797" s="4" t="n"/>
      <c r="E797" s="4" t="n"/>
      <c r="F797" s="15" t="n"/>
      <c r="G797" s="15" t="n"/>
      <c r="H797" s="15" t="n"/>
      <c r="I797" s="15" t="n"/>
      <c r="J797" s="15" t="n"/>
      <c r="K797" s="15" t="n"/>
      <c r="L797" s="15" t="n"/>
      <c r="M797" s="15" t="n"/>
      <c r="N797" s="15" t="n"/>
      <c r="O797" s="15" t="n"/>
      <c r="P797" s="15" t="n"/>
      <c r="Q797" s="15" t="n"/>
      <c r="R797" s="15" t="n"/>
      <c r="S797" s="15" t="n"/>
      <c r="T797" s="15" t="n"/>
      <c r="U797" s="15" t="n"/>
      <c r="V797" s="15" t="n"/>
      <c r="W797" s="15" t="n"/>
      <c r="X797" s="15" t="n"/>
      <c r="Y797" s="15" t="n"/>
      <c r="Z797" s="15" t="n"/>
      <c r="AA797" s="15" t="n"/>
      <c r="AB797" s="15" t="n"/>
      <c r="AC797" s="15" t="n"/>
      <c r="AD797" s="15" t="n"/>
      <c r="AE797" s="15" t="n"/>
      <c r="AF797" s="15" t="n"/>
      <c r="AG797" s="15" t="n"/>
      <c r="AH797" s="15" t="n"/>
      <c r="AI797" s="15" t="n"/>
    </row>
    <row r="798">
      <c r="A798" s="4" t="inlineStr">
        <is>
          <t>Студент1.12</t>
        </is>
      </c>
      <c r="B798" s="4" t="inlineStr"/>
      <c r="C798" s="4" t="n"/>
      <c r="D798" s="4" t="n"/>
      <c r="E798" s="4" t="n"/>
      <c r="F798" s="15" t="n"/>
      <c r="G798" s="15" t="n"/>
      <c r="H798" s="15" t="n"/>
      <c r="I798" s="15" t="n"/>
      <c r="J798" s="15" t="n"/>
      <c r="K798" s="15" t="n"/>
      <c r="L798" s="15" t="n"/>
      <c r="M798" s="15" t="n"/>
      <c r="N798" s="15" t="n"/>
      <c r="O798" s="15" t="n"/>
      <c r="P798" s="15" t="n"/>
      <c r="Q798" s="15" t="n"/>
      <c r="R798" s="15" t="n"/>
      <c r="S798" s="15" t="n"/>
      <c r="T798" s="15" t="n"/>
      <c r="U798" s="15" t="n"/>
      <c r="V798" s="15" t="n"/>
      <c r="W798" s="15" t="n"/>
      <c r="X798" s="15" t="n"/>
      <c r="Y798" s="15" t="n"/>
      <c r="Z798" s="15" t="n"/>
      <c r="AA798" s="15" t="n"/>
      <c r="AB798" s="15" t="n"/>
      <c r="AC798" s="15" t="n"/>
      <c r="AD798" s="15" t="n"/>
      <c r="AE798" s="15" t="n"/>
      <c r="AF798" s="15" t="n"/>
      <c r="AG798" s="15" t="n"/>
      <c r="AH798" s="15" t="n"/>
      <c r="AI798" s="15" t="n"/>
    </row>
    <row r="799">
      <c r="A799" s="4" t="inlineStr">
        <is>
          <t>Студент1.13</t>
        </is>
      </c>
      <c r="B799" s="4" t="inlineStr"/>
      <c r="C799" s="4" t="n"/>
      <c r="D799" s="4" t="n"/>
      <c r="E799" s="4" t="n"/>
      <c r="F799" s="15" t="n"/>
      <c r="G799" s="15" t="n"/>
      <c r="H799" s="15" t="n"/>
      <c r="I799" s="15" t="n"/>
      <c r="J799" s="15" t="n"/>
      <c r="K799" s="15" t="n"/>
      <c r="L799" s="15" t="n"/>
      <c r="M799" s="15" t="n"/>
      <c r="N799" s="15" t="n"/>
      <c r="O799" s="15" t="n"/>
      <c r="P799" s="15" t="n"/>
      <c r="Q799" s="15" t="n"/>
      <c r="R799" s="15" t="n"/>
      <c r="S799" s="15" t="n"/>
      <c r="T799" s="15" t="n"/>
      <c r="U799" s="15" t="n"/>
      <c r="V799" s="15" t="n"/>
      <c r="W799" s="15" t="n"/>
      <c r="X799" s="15" t="n"/>
      <c r="Y799" s="15" t="n"/>
      <c r="Z799" s="15" t="n"/>
      <c r="AA799" s="15" t="n"/>
      <c r="AB799" s="15" t="n"/>
      <c r="AC799" s="15" t="n"/>
      <c r="AD799" s="15" t="n"/>
      <c r="AE799" s="15" t="n"/>
      <c r="AF799" s="15" t="n"/>
      <c r="AG799" s="15" t="n"/>
      <c r="AH799" s="15" t="n"/>
      <c r="AI799" s="15" t="n"/>
    </row>
    <row r="800">
      <c r="A800" s="4" t="inlineStr">
        <is>
          <t>Студент1.14</t>
        </is>
      </c>
      <c r="B800" s="4" t="inlineStr"/>
      <c r="C800" s="4" t="n"/>
      <c r="D800" s="4" t="n"/>
      <c r="E800" s="4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  <c r="O800" s="15" t="n"/>
      <c r="P800" s="15" t="n"/>
      <c r="Q800" s="15" t="n"/>
      <c r="R800" s="15" t="n"/>
      <c r="S800" s="15" t="n"/>
      <c r="T800" s="15" t="n"/>
      <c r="U800" s="15" t="n"/>
      <c r="V800" s="15" t="n"/>
      <c r="W800" s="15" t="n"/>
      <c r="X800" s="15" t="n"/>
      <c r="Y800" s="15" t="n"/>
      <c r="Z800" s="15" t="n"/>
      <c r="AA800" s="15" t="n"/>
      <c r="AB800" s="15" t="n"/>
      <c r="AC800" s="15" t="n"/>
      <c r="AD800" s="15" t="n"/>
      <c r="AE800" s="15" t="n"/>
      <c r="AF800" s="15" t="n"/>
      <c r="AG800" s="15" t="n"/>
      <c r="AH800" s="15" t="n"/>
      <c r="AI800" s="15" t="n"/>
    </row>
    <row r="801">
      <c r="A801" s="4" t="inlineStr">
        <is>
          <t>Студент1.15</t>
        </is>
      </c>
      <c r="B801" s="4" t="inlineStr"/>
      <c r="C801" s="4" t="n"/>
      <c r="D801" s="4" t="n"/>
      <c r="E801" s="4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  <c r="O801" s="15" t="n"/>
      <c r="P801" s="15" t="n"/>
      <c r="Q801" s="15" t="n"/>
      <c r="R801" s="15" t="n"/>
      <c r="S801" s="15" t="n"/>
      <c r="T801" s="15" t="n"/>
      <c r="U801" s="15" t="n"/>
      <c r="V801" s="15" t="n"/>
      <c r="W801" s="15" t="n"/>
      <c r="X801" s="15" t="n"/>
      <c r="Y801" s="15" t="n"/>
      <c r="Z801" s="15" t="n"/>
      <c r="AA801" s="15" t="n"/>
      <c r="AB801" s="15" t="n"/>
      <c r="AC801" s="15" t="n"/>
      <c r="AD801" s="15" t="n"/>
      <c r="AE801" s="15" t="n"/>
      <c r="AF801" s="15" t="n"/>
      <c r="AG801" s="15" t="n"/>
      <c r="AH801" s="15" t="n"/>
      <c r="AI801" s="15" t="n"/>
    </row>
    <row r="802">
      <c r="A802" s="4" t="inlineStr">
        <is>
          <t>Студент1.16</t>
        </is>
      </c>
      <c r="B802" s="4" t="inlineStr"/>
      <c r="C802" s="4" t="n"/>
      <c r="D802" s="4" t="n"/>
      <c r="E802" s="4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  <c r="O802" s="15" t="n"/>
      <c r="P802" s="15" t="n"/>
      <c r="Q802" s="15" t="n"/>
      <c r="R802" s="15" t="n"/>
      <c r="S802" s="15" t="n"/>
      <c r="T802" s="15" t="n"/>
      <c r="U802" s="15" t="n"/>
      <c r="V802" s="15" t="n"/>
      <c r="W802" s="15" t="n"/>
      <c r="X802" s="15" t="n"/>
      <c r="Y802" s="15" t="n"/>
      <c r="Z802" s="15" t="n"/>
      <c r="AA802" s="15" t="n"/>
      <c r="AB802" s="15" t="n"/>
      <c r="AC802" s="15" t="n"/>
      <c r="AD802" s="15" t="n"/>
      <c r="AE802" s="15" t="n"/>
      <c r="AF802" s="15" t="n"/>
      <c r="AG802" s="15" t="n"/>
      <c r="AH802" s="15" t="n"/>
      <c r="AI802" s="15" t="n"/>
    </row>
    <row r="803">
      <c r="A803" s="4" t="inlineStr">
        <is>
          <t>Студент1.17</t>
        </is>
      </c>
      <c r="B803" s="4" t="inlineStr"/>
      <c r="C803" s="4" t="n"/>
      <c r="D803" s="4" t="n"/>
      <c r="E803" s="4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  <c r="O803" s="15" t="n"/>
      <c r="P803" s="15" t="n"/>
      <c r="Q803" s="15" t="n"/>
      <c r="R803" s="15" t="n"/>
      <c r="S803" s="15" t="n"/>
      <c r="T803" s="15" t="n"/>
      <c r="U803" s="15" t="n"/>
      <c r="V803" s="15" t="n"/>
      <c r="W803" s="15" t="n"/>
      <c r="X803" s="15" t="n"/>
      <c r="Y803" s="15" t="n"/>
      <c r="Z803" s="15" t="n"/>
      <c r="AA803" s="15" t="n"/>
      <c r="AB803" s="15" t="n"/>
      <c r="AC803" s="15" t="n"/>
      <c r="AD803" s="15" t="n"/>
      <c r="AE803" s="15" t="n"/>
      <c r="AF803" s="15" t="n"/>
      <c r="AG803" s="15" t="n"/>
      <c r="AH803" s="15" t="n"/>
      <c r="AI803" s="15" t="n"/>
    </row>
    <row r="804">
      <c r="A804" s="4" t="inlineStr">
        <is>
          <t>Студент1.18</t>
        </is>
      </c>
      <c r="B804" s="4" t="inlineStr"/>
      <c r="C804" s="4" t="n"/>
      <c r="D804" s="4" t="n"/>
      <c r="E804" s="4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  <c r="O804" s="15" t="n"/>
      <c r="P804" s="15" t="n"/>
      <c r="Q804" s="15" t="n"/>
      <c r="R804" s="15" t="n"/>
      <c r="S804" s="15" t="n"/>
      <c r="T804" s="15" t="n"/>
      <c r="U804" s="15" t="n"/>
      <c r="V804" s="15" t="n"/>
      <c r="W804" s="15" t="n"/>
      <c r="X804" s="15" t="n"/>
      <c r="Y804" s="15" t="n"/>
      <c r="Z804" s="15" t="n"/>
      <c r="AA804" s="15" t="n"/>
      <c r="AB804" s="15" t="n"/>
      <c r="AC804" s="15" t="n"/>
      <c r="AD804" s="15" t="n"/>
      <c r="AE804" s="15" t="n"/>
      <c r="AF804" s="15" t="n"/>
      <c r="AG804" s="15" t="n"/>
      <c r="AH804" s="15" t="n"/>
      <c r="AI804" s="15" t="n"/>
    </row>
    <row r="805">
      <c r="A805" s="4" t="inlineStr">
        <is>
          <t>Студент1.19</t>
        </is>
      </c>
      <c r="B805" s="4" t="inlineStr"/>
      <c r="C805" s="4" t="n"/>
      <c r="D805" s="4" t="n"/>
      <c r="E805" s="4" t="n"/>
      <c r="F805" s="15" t="n"/>
      <c r="G805" s="15" t="n"/>
      <c r="H805" s="15" t="n"/>
      <c r="I805" s="15" t="n"/>
      <c r="J805" s="15" t="n"/>
      <c r="K805" s="15" t="n"/>
      <c r="L805" s="15" t="n"/>
      <c r="M805" s="15" t="n"/>
      <c r="N805" s="15" t="n"/>
      <c r="O805" s="15" t="n"/>
      <c r="P805" s="15" t="n"/>
      <c r="Q805" s="15" t="n"/>
      <c r="R805" s="15" t="n"/>
      <c r="S805" s="15" t="n"/>
      <c r="T805" s="15" t="n"/>
      <c r="U805" s="15" t="n"/>
      <c r="V805" s="15" t="n"/>
      <c r="W805" s="15" t="n"/>
      <c r="X805" s="15" t="n"/>
      <c r="Y805" s="15" t="n"/>
      <c r="Z805" s="15" t="n"/>
      <c r="AA805" s="15" t="n"/>
      <c r="AB805" s="15" t="n"/>
      <c r="AC805" s="15" t="n"/>
      <c r="AD805" s="15" t="n"/>
      <c r="AE805" s="15" t="n"/>
      <c r="AF805" s="15" t="n"/>
      <c r="AG805" s="15" t="n"/>
      <c r="AH805" s="15" t="n"/>
      <c r="AI805" s="15" t="n"/>
    </row>
    <row r="806">
      <c r="A806" s="4" t="inlineStr">
        <is>
          <t>Студент1.20</t>
        </is>
      </c>
      <c r="B806" s="4" t="inlineStr"/>
      <c r="C806" s="4" t="n"/>
      <c r="D806" s="4" t="n"/>
      <c r="E806" s="4" t="n"/>
      <c r="F806" s="15" t="n"/>
      <c r="G806" s="15" t="n"/>
      <c r="H806" s="15" t="n"/>
      <c r="I806" s="15" t="n"/>
      <c r="J806" s="15" t="n"/>
      <c r="K806" s="15" t="n"/>
      <c r="L806" s="15" t="n"/>
      <c r="M806" s="15" t="n"/>
      <c r="N806" s="15" t="n"/>
      <c r="O806" s="15" t="n"/>
      <c r="P806" s="15" t="n"/>
      <c r="Q806" s="15" t="n"/>
      <c r="R806" s="15" t="n"/>
      <c r="S806" s="15" t="n"/>
      <c r="T806" s="15" t="n"/>
      <c r="U806" s="15" t="n"/>
      <c r="V806" s="15" t="n"/>
      <c r="W806" s="15" t="n"/>
      <c r="X806" s="15" t="n"/>
      <c r="Y806" s="15" t="n"/>
      <c r="Z806" s="15" t="n"/>
      <c r="AA806" s="15" t="n"/>
      <c r="AB806" s="15" t="n"/>
      <c r="AC806" s="15" t="n"/>
      <c r="AD806" s="15" t="n"/>
      <c r="AE806" s="15" t="n"/>
      <c r="AF806" s="15" t="n"/>
      <c r="AG806" s="15" t="n"/>
      <c r="AH806" s="15" t="n"/>
      <c r="AI806" s="15" t="n"/>
    </row>
    <row r="807">
      <c r="A807" s="4" t="inlineStr">
        <is>
          <t>Студент1.21</t>
        </is>
      </c>
      <c r="B807" s="4" t="inlineStr"/>
      <c r="C807" s="4" t="n"/>
      <c r="D807" s="4" t="n"/>
      <c r="E807" s="4" t="n"/>
      <c r="F807" s="15" t="n"/>
      <c r="G807" s="15" t="n"/>
      <c r="H807" s="15" t="n"/>
      <c r="I807" s="15" t="n"/>
      <c r="J807" s="15" t="n"/>
      <c r="K807" s="15" t="n"/>
      <c r="L807" s="15" t="n"/>
      <c r="M807" s="15" t="n"/>
      <c r="N807" s="15" t="n"/>
      <c r="O807" s="15" t="n"/>
      <c r="P807" s="15" t="n"/>
      <c r="Q807" s="15" t="n"/>
      <c r="R807" s="15" t="n"/>
      <c r="S807" s="15" t="n"/>
      <c r="T807" s="15" t="n"/>
      <c r="U807" s="15" t="n"/>
      <c r="V807" s="15" t="n"/>
      <c r="W807" s="15" t="n"/>
      <c r="X807" s="15" t="n"/>
      <c r="Y807" s="15" t="n"/>
      <c r="Z807" s="15" t="n"/>
      <c r="AA807" s="15" t="n"/>
      <c r="AB807" s="15" t="n"/>
      <c r="AC807" s="15" t="n"/>
      <c r="AD807" s="15" t="n"/>
      <c r="AE807" s="15" t="n"/>
      <c r="AF807" s="15" t="n"/>
      <c r="AG807" s="15" t="n"/>
      <c r="AH807" s="15" t="n"/>
      <c r="AI807" s="15" t="n"/>
    </row>
    <row r="808">
      <c r="A808" s="4" t="inlineStr">
        <is>
          <t>Студент1.22</t>
        </is>
      </c>
      <c r="B808" s="4" t="inlineStr"/>
      <c r="C808" s="4" t="n"/>
      <c r="D808" s="4" t="n"/>
      <c r="E808" s="4" t="n"/>
      <c r="F808" s="15" t="n"/>
      <c r="G808" s="15" t="n"/>
      <c r="H808" s="15" t="n"/>
      <c r="I808" s="15" t="n"/>
      <c r="J808" s="15" t="n"/>
      <c r="K808" s="15" t="n"/>
      <c r="L808" s="15" t="n"/>
      <c r="M808" s="15" t="n"/>
      <c r="N808" s="15" t="n"/>
      <c r="O808" s="15" t="n"/>
      <c r="P808" s="15" t="n"/>
      <c r="Q808" s="15" t="n"/>
      <c r="R808" s="15" t="n"/>
      <c r="S808" s="15" t="n"/>
      <c r="T808" s="15" t="n"/>
      <c r="U808" s="15" t="n"/>
      <c r="V808" s="15" t="n"/>
      <c r="W808" s="15" t="n"/>
      <c r="X808" s="15" t="n"/>
      <c r="Y808" s="15" t="n"/>
      <c r="Z808" s="15" t="n"/>
      <c r="AA808" s="15" t="n"/>
      <c r="AB808" s="15" t="n"/>
      <c r="AC808" s="15" t="n"/>
      <c r="AD808" s="15" t="n"/>
      <c r="AE808" s="15" t="n"/>
      <c r="AF808" s="15" t="n"/>
      <c r="AG808" s="15" t="n"/>
      <c r="AH808" s="15" t="n"/>
      <c r="AI808" s="15" t="n"/>
    </row>
    <row r="809">
      <c r="A809" s="4" t="inlineStr">
        <is>
          <t>Студент1.23</t>
        </is>
      </c>
      <c r="B809" s="4" t="inlineStr"/>
      <c r="C809" s="4" t="n"/>
      <c r="D809" s="4" t="n"/>
      <c r="E809" s="4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  <c r="O809" s="15" t="n"/>
      <c r="P809" s="15" t="n"/>
      <c r="Q809" s="15" t="n"/>
      <c r="R809" s="15" t="n"/>
      <c r="S809" s="15" t="n"/>
      <c r="T809" s="15" t="n"/>
      <c r="U809" s="15" t="n"/>
      <c r="V809" s="15" t="n"/>
      <c r="W809" s="15" t="n"/>
      <c r="X809" s="15" t="n"/>
      <c r="Y809" s="15" t="n"/>
      <c r="Z809" s="15" t="n"/>
      <c r="AA809" s="15" t="n"/>
      <c r="AB809" s="15" t="n"/>
      <c r="AC809" s="15" t="n"/>
      <c r="AD809" s="15" t="n"/>
      <c r="AE809" s="15" t="n"/>
      <c r="AF809" s="15" t="n"/>
      <c r="AG809" s="15" t="n"/>
      <c r="AH809" s="15" t="n"/>
      <c r="AI809" s="15" t="n"/>
    </row>
    <row r="810">
      <c r="A810" s="4" t="inlineStr">
        <is>
          <t>Студент1.24</t>
        </is>
      </c>
      <c r="B810" s="4" t="inlineStr"/>
      <c r="C810" s="4" t="n"/>
      <c r="D810" s="4" t="n"/>
      <c r="E810" s="4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  <c r="O810" s="15" t="n"/>
      <c r="P810" s="15" t="n"/>
      <c r="Q810" s="15" t="n"/>
      <c r="R810" s="15" t="n"/>
      <c r="S810" s="15" t="n"/>
      <c r="T810" s="15" t="n"/>
      <c r="U810" s="15" t="n"/>
      <c r="V810" s="15" t="n"/>
      <c r="W810" s="15" t="n"/>
      <c r="X810" s="15" t="n"/>
      <c r="Y810" s="15" t="n"/>
      <c r="Z810" s="15" t="n"/>
      <c r="AA810" s="15" t="n"/>
      <c r="AB810" s="15" t="n"/>
      <c r="AC810" s="15" t="n"/>
      <c r="AD810" s="15" t="n"/>
      <c r="AE810" s="15" t="n"/>
      <c r="AF810" s="15" t="n"/>
      <c r="AG810" s="15" t="n"/>
      <c r="AH810" s="15" t="n"/>
      <c r="AI810" s="15" t="n"/>
    </row>
    <row r="811">
      <c r="A811" s="4" t="inlineStr">
        <is>
          <t>Студент1.25</t>
        </is>
      </c>
      <c r="B811" s="4" t="inlineStr"/>
      <c r="C811" s="4" t="n"/>
      <c r="D811" s="4" t="n"/>
      <c r="E811" s="4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  <c r="O811" s="15" t="n"/>
      <c r="P811" s="15" t="n"/>
      <c r="Q811" s="15" t="n"/>
      <c r="R811" s="15" t="n"/>
      <c r="S811" s="15" t="n"/>
      <c r="T811" s="15" t="n"/>
      <c r="U811" s="15" t="n"/>
      <c r="V811" s="15" t="n"/>
      <c r="W811" s="15" t="n"/>
      <c r="X811" s="15" t="n"/>
      <c r="Y811" s="15" t="n"/>
      <c r="Z811" s="15" t="n"/>
      <c r="AA811" s="15" t="n"/>
      <c r="AB811" s="15" t="n"/>
      <c r="AC811" s="15" t="n"/>
      <c r="AD811" s="15" t="n"/>
      <c r="AE811" s="15" t="n"/>
      <c r="AF811" s="15" t="n"/>
      <c r="AG811" s="15" t="n"/>
      <c r="AH811" s="15" t="n"/>
      <c r="AI811" s="15" t="n"/>
    </row>
    <row r="812">
      <c r="A812" s="4" t="inlineStr">
        <is>
          <t>Студент1.26</t>
        </is>
      </c>
      <c r="B812" s="4" t="inlineStr"/>
      <c r="C812" s="4" t="n"/>
      <c r="D812" s="4" t="n"/>
      <c r="E812" s="4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  <c r="O812" s="15" t="n"/>
      <c r="P812" s="15" t="n"/>
      <c r="Q812" s="15" t="n"/>
      <c r="R812" s="15" t="n"/>
      <c r="S812" s="15" t="n"/>
      <c r="T812" s="15" t="n"/>
      <c r="U812" s="15" t="n"/>
      <c r="V812" s="15" t="n"/>
      <c r="W812" s="15" t="n"/>
      <c r="X812" s="15" t="n"/>
      <c r="Y812" s="15" t="n"/>
      <c r="Z812" s="15" t="n"/>
      <c r="AA812" s="15" t="n"/>
      <c r="AB812" s="15" t="n"/>
      <c r="AC812" s="15" t="n"/>
      <c r="AD812" s="15" t="n"/>
      <c r="AE812" s="15" t="n"/>
      <c r="AF812" s="15" t="n"/>
      <c r="AG812" s="15" t="n"/>
      <c r="AH812" s="15" t="n"/>
      <c r="AI812" s="15" t="n"/>
    </row>
    <row r="813">
      <c r="A813" s="4" t="inlineStr">
        <is>
          <t>Студент1.27</t>
        </is>
      </c>
      <c r="B813" s="4" t="inlineStr"/>
      <c r="C813" s="4" t="n"/>
      <c r="D813" s="4" t="n"/>
      <c r="E813" s="4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  <c r="O813" s="15" t="n"/>
      <c r="P813" s="15" t="n"/>
      <c r="Q813" s="15" t="n"/>
      <c r="R813" s="15" t="n"/>
      <c r="S813" s="15" t="n"/>
      <c r="T813" s="15" t="n"/>
      <c r="U813" s="15" t="n"/>
      <c r="V813" s="15" t="n"/>
      <c r="W813" s="15" t="n"/>
      <c r="X813" s="15" t="n"/>
      <c r="Y813" s="15" t="n"/>
      <c r="Z813" s="15" t="n"/>
      <c r="AA813" s="15" t="n"/>
      <c r="AB813" s="15" t="n"/>
      <c r="AC813" s="15" t="n"/>
      <c r="AD813" s="15" t="n"/>
      <c r="AE813" s="15" t="n"/>
      <c r="AF813" s="15" t="n"/>
      <c r="AG813" s="15" t="n"/>
      <c r="AH813" s="15" t="n"/>
      <c r="AI813" s="15" t="n"/>
    </row>
    <row r="814">
      <c r="A814" s="4" t="inlineStr">
        <is>
          <t>Студент1.28</t>
        </is>
      </c>
      <c r="B814" s="4" t="inlineStr"/>
      <c r="C814" s="4" t="n"/>
      <c r="D814" s="4" t="n"/>
      <c r="E814" s="4" t="n"/>
      <c r="F814" s="15" t="n"/>
      <c r="G814" s="15" t="n"/>
      <c r="H814" s="15" t="n"/>
      <c r="I814" s="15" t="n"/>
      <c r="J814" s="15" t="n"/>
      <c r="K814" s="15" t="n"/>
      <c r="L814" s="15" t="n"/>
      <c r="M814" s="15" t="n"/>
      <c r="N814" s="15" t="n"/>
      <c r="O814" s="15" t="n"/>
      <c r="P814" s="15" t="n"/>
      <c r="Q814" s="15" t="n"/>
      <c r="R814" s="15" t="n"/>
      <c r="S814" s="15" t="n"/>
      <c r="T814" s="15" t="n"/>
      <c r="U814" s="15" t="n"/>
      <c r="V814" s="15" t="n"/>
      <c r="W814" s="15" t="n"/>
      <c r="X814" s="15" t="n"/>
      <c r="Y814" s="15" t="n"/>
      <c r="Z814" s="15" t="n"/>
      <c r="AA814" s="15" t="n"/>
      <c r="AB814" s="15" t="n"/>
      <c r="AC814" s="15" t="n"/>
      <c r="AD814" s="15" t="n"/>
      <c r="AE814" s="15" t="n"/>
      <c r="AF814" s="15" t="n"/>
      <c r="AG814" s="15" t="n"/>
      <c r="AH814" s="15" t="n"/>
      <c r="AI814" s="15" t="n"/>
    </row>
    <row r="815">
      <c r="A815" s="4" t="inlineStr">
        <is>
          <t>Студент1.29</t>
        </is>
      </c>
      <c r="B815" s="4" t="inlineStr"/>
      <c r="C815" s="4" t="n"/>
      <c r="D815" s="4" t="n"/>
      <c r="E815" s="4" t="n"/>
      <c r="F815" s="15" t="n"/>
      <c r="G815" s="15" t="n"/>
      <c r="H815" s="15" t="n"/>
      <c r="I815" s="15" t="n"/>
      <c r="J815" s="15" t="n"/>
      <c r="K815" s="15" t="n"/>
      <c r="L815" s="15" t="n"/>
      <c r="M815" s="15" t="n"/>
      <c r="N815" s="15" t="n"/>
      <c r="O815" s="15" t="n"/>
      <c r="P815" s="15" t="n"/>
      <c r="Q815" s="15" t="n"/>
      <c r="R815" s="15" t="n"/>
      <c r="S815" s="15" t="n"/>
      <c r="T815" s="15" t="n"/>
      <c r="U815" s="15" t="n"/>
      <c r="V815" s="15" t="n"/>
      <c r="W815" s="15" t="n"/>
      <c r="X815" s="15" t="n"/>
      <c r="Y815" s="15" t="n"/>
      <c r="Z815" s="15" t="n"/>
      <c r="AA815" s="15" t="n"/>
      <c r="AB815" s="15" t="n"/>
      <c r="AC815" s="15" t="n"/>
      <c r="AD815" s="15" t="n"/>
      <c r="AE815" s="15" t="n"/>
      <c r="AF815" s="15" t="n"/>
      <c r="AG815" s="15" t="n"/>
      <c r="AH815" s="15" t="n"/>
      <c r="AI815" s="15" t="n"/>
    </row>
    <row r="816">
      <c r="A816" s="4" t="inlineStr">
        <is>
          <t>Студент1.30</t>
        </is>
      </c>
      <c r="B816" s="4" t="inlineStr"/>
      <c r="C816" s="4" t="n"/>
      <c r="D816" s="4" t="n"/>
      <c r="E816" s="4" t="n"/>
      <c r="F816" s="15" t="n"/>
      <c r="G816" s="15" t="n"/>
      <c r="H816" s="15" t="n"/>
      <c r="I816" s="15" t="n"/>
      <c r="J816" s="15" t="n"/>
      <c r="K816" s="15" t="n"/>
      <c r="L816" s="15" t="n"/>
      <c r="M816" s="15" t="n"/>
      <c r="N816" s="15" t="n"/>
      <c r="O816" s="15" t="n"/>
      <c r="P816" s="15" t="n"/>
      <c r="Q816" s="15" t="n"/>
      <c r="R816" s="15" t="n"/>
      <c r="S816" s="15" t="n"/>
      <c r="T816" s="15" t="n"/>
      <c r="U816" s="15" t="n"/>
      <c r="V816" s="15" t="n"/>
      <c r="W816" s="15" t="n"/>
      <c r="X816" s="15" t="n"/>
      <c r="Y816" s="15" t="n"/>
      <c r="Z816" s="15" t="n"/>
      <c r="AA816" s="15" t="n"/>
      <c r="AB816" s="15" t="n"/>
      <c r="AC816" s="15" t="n"/>
      <c r="AD816" s="15" t="n"/>
      <c r="AE816" s="15" t="n"/>
      <c r="AF816" s="15" t="n"/>
      <c r="AG816" s="15" t="n"/>
      <c r="AH816" s="15" t="n"/>
      <c r="AI816" s="15" t="n"/>
    </row>
    <row r="820">
      <c r="A820" s="13" t="inlineStr">
        <is>
          <t>Практика 13 — плюсы</t>
        </is>
      </c>
    </row>
    <row r="821" ht="28" customHeight="1">
      <c r="A821" s="7" t="inlineStr">
        <is>
          <t>Имя</t>
        </is>
      </c>
      <c r="B821" s="9" t="inlineStr">
        <is>
          <t>TG</t>
        </is>
      </c>
      <c r="C821" s="10" t="inlineStr">
        <is>
          <t>S</t>
        </is>
      </c>
      <c r="D821" s="8" t="inlineStr">
        <is>
          <t>Коэффициент</t>
        </is>
      </c>
      <c r="E821" s="14" t="inlineStr">
        <is>
          <t>D за практику</t>
        </is>
      </c>
      <c r="F821" s="11" t="inlineStr">
        <is>
          <t>1.0</t>
        </is>
      </c>
      <c r="G821" s="11" t="inlineStr">
        <is>
          <t>2.0</t>
        </is>
      </c>
      <c r="H821" s="11" t="inlineStr">
        <is>
          <t>3.0</t>
        </is>
      </c>
      <c r="I821" s="11" t="inlineStr">
        <is>
          <t>4.0</t>
        </is>
      </c>
      <c r="J821" s="11" t="inlineStr">
        <is>
          <t>5.0</t>
        </is>
      </c>
      <c r="K821" s="11" t="inlineStr">
        <is>
          <t>6</t>
        </is>
      </c>
      <c r="L821" s="11" t="inlineStr">
        <is>
          <t>7</t>
        </is>
      </c>
      <c r="M821" s="11" t="inlineStr">
        <is>
          <t>8</t>
        </is>
      </c>
      <c r="N821" s="11" t="inlineStr">
        <is>
          <t>9</t>
        </is>
      </c>
      <c r="O821" s="11" t="inlineStr">
        <is>
          <t>10</t>
        </is>
      </c>
      <c r="P821" s="11" t="inlineStr">
        <is>
          <t>11</t>
        </is>
      </c>
      <c r="Q821" s="11" t="inlineStr">
        <is>
          <t>12</t>
        </is>
      </c>
      <c r="R821" s="11" t="inlineStr">
        <is>
          <t>13</t>
        </is>
      </c>
      <c r="S821" s="11" t="inlineStr">
        <is>
          <t>14</t>
        </is>
      </c>
      <c r="T821" s="11" t="inlineStr">
        <is>
          <t>15</t>
        </is>
      </c>
      <c r="U821" s="11" t="inlineStr">
        <is>
          <t>16</t>
        </is>
      </c>
      <c r="V821" s="11" t="inlineStr">
        <is>
          <t>17</t>
        </is>
      </c>
      <c r="W821" s="11" t="inlineStr">
        <is>
          <t>18</t>
        </is>
      </c>
      <c r="X821" s="11" t="inlineStr">
        <is>
          <t>19</t>
        </is>
      </c>
      <c r="Y821" s="11" t="inlineStr">
        <is>
          <t>20</t>
        </is>
      </c>
      <c r="Z821" s="11" t="inlineStr">
        <is>
          <t>21</t>
        </is>
      </c>
      <c r="AA821" s="11" t="inlineStr">
        <is>
          <t>22</t>
        </is>
      </c>
      <c r="AB821" s="11" t="inlineStr">
        <is>
          <t>23</t>
        </is>
      </c>
      <c r="AC821" s="11" t="inlineStr">
        <is>
          <t>24</t>
        </is>
      </c>
      <c r="AD821" s="11" t="inlineStr">
        <is>
          <t>25</t>
        </is>
      </c>
      <c r="AE821" s="11" t="inlineStr">
        <is>
          <t>26</t>
        </is>
      </c>
      <c r="AF821" s="11" t="inlineStr">
        <is>
          <t>27</t>
        </is>
      </c>
      <c r="AG821" s="11" t="inlineStr">
        <is>
          <t>28</t>
        </is>
      </c>
      <c r="AH821" s="11" t="inlineStr">
        <is>
          <t>29</t>
        </is>
      </c>
      <c r="AI821" s="11" t="inlineStr">
        <is>
          <t>30</t>
        </is>
      </c>
    </row>
    <row r="822">
      <c r="A822" s="4" t="inlineStr">
        <is>
          <t>Студент1.1</t>
        </is>
      </c>
      <c r="B822" s="4" t="inlineStr"/>
      <c r="C822" s="4">
        <f>IF(A822="","",COUNTIF(F822:AI822,"+")+COUNTIF(F822:AI822,"1"))</f>
        <v/>
      </c>
      <c r="D822" s="4">
        <f>IF(A822="","",IF(C822&gt;2*COUNTA(F$821:AI$821)/3,1,IF(C822&gt;=COUNTA(F$821:AI$821)/2,0.8,0.5)))</f>
        <v/>
      </c>
      <c r="E822" s="4">
        <f>IF(A822="","",SUMIFS('Логи'!$H$4:$H$3006,'Логи'!$A$4:$A$3006,A822,'Логи'!$C$4:$C$3006,13))</f>
        <v/>
      </c>
      <c r="F822" s="15" t="n"/>
      <c r="G822" s="15" t="n"/>
      <c r="H822" s="15" t="n"/>
      <c r="I822" s="15" t="n"/>
      <c r="J822" s="15" t="n"/>
      <c r="K822" s="15" t="n"/>
      <c r="L822" s="15" t="n"/>
      <c r="M822" s="15" t="n"/>
      <c r="N822" s="15" t="n"/>
      <c r="O822" s="15" t="n"/>
      <c r="P822" s="15" t="n"/>
      <c r="Q822" s="15" t="n"/>
      <c r="R822" s="15" t="n"/>
      <c r="S822" s="15" t="n"/>
      <c r="T822" s="15" t="n"/>
      <c r="U822" s="15" t="n"/>
      <c r="V822" s="15" t="n"/>
      <c r="W822" s="15" t="n"/>
      <c r="X822" s="15" t="n"/>
      <c r="Y822" s="15" t="n"/>
      <c r="Z822" s="15" t="n"/>
      <c r="AA822" s="15" t="n"/>
      <c r="AB822" s="15" t="n"/>
      <c r="AC822" s="15" t="n"/>
      <c r="AD822" s="15" t="n"/>
      <c r="AE822" s="15" t="n"/>
      <c r="AF822" s="15" t="n"/>
      <c r="AG822" s="15" t="n"/>
      <c r="AH822" s="15" t="n"/>
      <c r="AI822" s="15" t="n"/>
    </row>
    <row r="823">
      <c r="A823" s="4" t="inlineStr">
        <is>
          <t>Студент1.2</t>
        </is>
      </c>
      <c r="B823" s="4" t="inlineStr"/>
      <c r="C823" s="4">
        <f>IF(A823="","",COUNTIF(F823:AI823,"+")+COUNTIF(F823:AI823,"1"))</f>
        <v/>
      </c>
      <c r="D823" s="4">
        <f>IF(A823="","",IF(C823&gt;2*COUNTA(F$821:AI$821)/3,1,IF(C823&gt;=COUNTA(F$821:AI$821)/2,0.8,0.5)))</f>
        <v/>
      </c>
      <c r="E823" s="4">
        <f>IF(A823="","",SUMIFS('Логи'!$H$4:$H$3006,'Логи'!$A$4:$A$3006,A823,'Логи'!$C$4:$C$3006,13))</f>
        <v/>
      </c>
      <c r="F823" s="15" t="n"/>
      <c r="G823" s="15" t="n"/>
      <c r="H823" s="15" t="n"/>
      <c r="I823" s="15" t="n"/>
      <c r="J823" s="15" t="n"/>
      <c r="K823" s="15" t="n"/>
      <c r="L823" s="15" t="n"/>
      <c r="M823" s="15" t="n"/>
      <c r="N823" s="15" t="n"/>
      <c r="O823" s="15" t="n"/>
      <c r="P823" s="15" t="n"/>
      <c r="Q823" s="15" t="n"/>
      <c r="R823" s="15" t="n"/>
      <c r="S823" s="15" t="n"/>
      <c r="T823" s="15" t="n"/>
      <c r="U823" s="15" t="n"/>
      <c r="V823" s="15" t="n"/>
      <c r="W823" s="15" t="n"/>
      <c r="X823" s="15" t="n"/>
      <c r="Y823" s="15" t="n"/>
      <c r="Z823" s="15" t="n"/>
      <c r="AA823" s="15" t="n"/>
      <c r="AB823" s="15" t="n"/>
      <c r="AC823" s="15" t="n"/>
      <c r="AD823" s="15" t="n"/>
      <c r="AE823" s="15" t="n"/>
      <c r="AF823" s="15" t="n"/>
      <c r="AG823" s="15" t="n"/>
      <c r="AH823" s="15" t="n"/>
      <c r="AI823" s="15" t="n"/>
    </row>
    <row r="824">
      <c r="A824" s="4" t="inlineStr">
        <is>
          <t>Студент1.3</t>
        </is>
      </c>
      <c r="B824" s="4" t="inlineStr"/>
      <c r="C824" s="4">
        <f>IF(A824="","",COUNTIF(F824:AI824,"+")+COUNTIF(F824:AI824,"1"))</f>
        <v/>
      </c>
      <c r="D824" s="4">
        <f>IF(A824="","",IF(C824&gt;2*COUNTA(F$821:AI$821)/3,1,IF(C824&gt;=COUNTA(F$821:AI$821)/2,0.8,0.5)))</f>
        <v/>
      </c>
      <c r="E824" s="4">
        <f>IF(A824="","",SUMIFS('Логи'!$H$4:$H$3006,'Логи'!$A$4:$A$3006,A824,'Логи'!$C$4:$C$3006,13))</f>
        <v/>
      </c>
      <c r="F824" s="15" t="n"/>
      <c r="G824" s="15" t="n"/>
      <c r="H824" s="15" t="n"/>
      <c r="I824" s="15" t="n"/>
      <c r="J824" s="15" t="n"/>
      <c r="K824" s="15" t="n"/>
      <c r="L824" s="15" t="n"/>
      <c r="M824" s="15" t="n"/>
      <c r="N824" s="15" t="n"/>
      <c r="O824" s="15" t="n"/>
      <c r="P824" s="15" t="n"/>
      <c r="Q824" s="15" t="n"/>
      <c r="R824" s="15" t="n"/>
      <c r="S824" s="15" t="n"/>
      <c r="T824" s="15" t="n"/>
      <c r="U824" s="15" t="n"/>
      <c r="V824" s="15" t="n"/>
      <c r="W824" s="15" t="n"/>
      <c r="X824" s="15" t="n"/>
      <c r="Y824" s="15" t="n"/>
      <c r="Z824" s="15" t="n"/>
      <c r="AA824" s="15" t="n"/>
      <c r="AB824" s="15" t="n"/>
      <c r="AC824" s="15" t="n"/>
      <c r="AD824" s="15" t="n"/>
      <c r="AE824" s="15" t="n"/>
      <c r="AF824" s="15" t="n"/>
      <c r="AG824" s="15" t="n"/>
      <c r="AH824" s="15" t="n"/>
      <c r="AI824" s="15" t="n"/>
    </row>
    <row r="825">
      <c r="A825" s="4" t="inlineStr">
        <is>
          <t>Студент1.4</t>
        </is>
      </c>
      <c r="B825" s="4" t="inlineStr"/>
      <c r="C825" s="4">
        <f>IF(A825="","",COUNTIF(F825:AI825,"+")+COUNTIF(F825:AI825,"1"))</f>
        <v/>
      </c>
      <c r="D825" s="4">
        <f>IF(A825="","",IF(C825&gt;2*COUNTA(F$821:AI$821)/3,1,IF(C825&gt;=COUNTA(F$821:AI$821)/2,0.8,0.5)))</f>
        <v/>
      </c>
      <c r="E825" s="4">
        <f>IF(A825="","",SUMIFS('Логи'!$H$4:$H$3006,'Логи'!$A$4:$A$3006,A825,'Логи'!$C$4:$C$3006,13))</f>
        <v/>
      </c>
      <c r="F825" s="15" t="n"/>
      <c r="G825" s="15" t="n"/>
      <c r="H825" s="15" t="n"/>
      <c r="I825" s="15" t="n"/>
      <c r="J825" s="15" t="n"/>
      <c r="K825" s="15" t="n"/>
      <c r="L825" s="15" t="n"/>
      <c r="M825" s="15" t="n"/>
      <c r="N825" s="15" t="n"/>
      <c r="O825" s="15" t="n"/>
      <c r="P825" s="15" t="n"/>
      <c r="Q825" s="15" t="n"/>
      <c r="R825" s="15" t="n"/>
      <c r="S825" s="15" t="n"/>
      <c r="T825" s="15" t="n"/>
      <c r="U825" s="15" t="n"/>
      <c r="V825" s="15" t="n"/>
      <c r="W825" s="15" t="n"/>
      <c r="X825" s="15" t="n"/>
      <c r="Y825" s="15" t="n"/>
      <c r="Z825" s="15" t="n"/>
      <c r="AA825" s="15" t="n"/>
      <c r="AB825" s="15" t="n"/>
      <c r="AC825" s="15" t="n"/>
      <c r="AD825" s="15" t="n"/>
      <c r="AE825" s="15" t="n"/>
      <c r="AF825" s="15" t="n"/>
      <c r="AG825" s="15" t="n"/>
      <c r="AH825" s="15" t="n"/>
      <c r="AI825" s="15" t="n"/>
    </row>
    <row r="826">
      <c r="A826" s="4" t="inlineStr">
        <is>
          <t>Студент1.5</t>
        </is>
      </c>
      <c r="B826" s="4" t="inlineStr"/>
      <c r="C826" s="4">
        <f>IF(A826="","",COUNTIF(F826:AI826,"+")+COUNTIF(F826:AI826,"1"))</f>
        <v/>
      </c>
      <c r="D826" s="4">
        <f>IF(A826="","",IF(C826&gt;2*COUNTA(F$821:AI$821)/3,1,IF(C826&gt;=COUNTA(F$821:AI$821)/2,0.8,0.5)))</f>
        <v/>
      </c>
      <c r="E826" s="4">
        <f>IF(A826="","",SUMIFS('Логи'!$H$4:$H$3006,'Логи'!$A$4:$A$3006,A826,'Логи'!$C$4:$C$3006,13))</f>
        <v/>
      </c>
      <c r="F826" s="15" t="n"/>
      <c r="G826" s="15" t="n"/>
      <c r="H826" s="15" t="n"/>
      <c r="I826" s="15" t="n"/>
      <c r="J826" s="15" t="n"/>
      <c r="K826" s="15" t="n"/>
      <c r="L826" s="15" t="n"/>
      <c r="M826" s="15" t="n"/>
      <c r="N826" s="15" t="n"/>
      <c r="O826" s="15" t="n"/>
      <c r="P826" s="15" t="n"/>
      <c r="Q826" s="15" t="n"/>
      <c r="R826" s="15" t="n"/>
      <c r="S826" s="15" t="n"/>
      <c r="T826" s="15" t="n"/>
      <c r="U826" s="15" t="n"/>
      <c r="V826" s="15" t="n"/>
      <c r="W826" s="15" t="n"/>
      <c r="X826" s="15" t="n"/>
      <c r="Y826" s="15" t="n"/>
      <c r="Z826" s="15" t="n"/>
      <c r="AA826" s="15" t="n"/>
      <c r="AB826" s="15" t="n"/>
      <c r="AC826" s="15" t="n"/>
      <c r="AD826" s="15" t="n"/>
      <c r="AE826" s="15" t="n"/>
      <c r="AF826" s="15" t="n"/>
      <c r="AG826" s="15" t="n"/>
      <c r="AH826" s="15" t="n"/>
      <c r="AI826" s="15" t="n"/>
    </row>
    <row r="827">
      <c r="A827" s="4" t="inlineStr">
        <is>
          <t>Студент1.6</t>
        </is>
      </c>
      <c r="B827" s="4" t="inlineStr"/>
      <c r="C827" s="4">
        <f>IF(A827="","",COUNTIF(F827:AI827,"+")+COUNTIF(F827:AI827,"1"))</f>
        <v/>
      </c>
      <c r="D827" s="4">
        <f>IF(A827="","",IF(C827&gt;2*COUNTA(F$821:AI$821)/3,1,IF(C827&gt;=COUNTA(F$821:AI$821)/2,0.8,0.5)))</f>
        <v/>
      </c>
      <c r="E827" s="4">
        <f>IF(A827="","",SUMIFS('Логи'!$H$4:$H$3006,'Логи'!$A$4:$A$3006,A827,'Логи'!$C$4:$C$3006,13))</f>
        <v/>
      </c>
      <c r="F827" s="15" t="n"/>
      <c r="G827" s="15" t="n"/>
      <c r="H827" s="15" t="n"/>
      <c r="I827" s="15" t="n"/>
      <c r="J827" s="15" t="n"/>
      <c r="K827" s="15" t="n"/>
      <c r="L827" s="15" t="n"/>
      <c r="M827" s="15" t="n"/>
      <c r="N827" s="15" t="n"/>
      <c r="O827" s="15" t="n"/>
      <c r="P827" s="15" t="n"/>
      <c r="Q827" s="15" t="n"/>
      <c r="R827" s="15" t="n"/>
      <c r="S827" s="15" t="n"/>
      <c r="T827" s="15" t="n"/>
      <c r="U827" s="15" t="n"/>
      <c r="V827" s="15" t="n"/>
      <c r="W827" s="15" t="n"/>
      <c r="X827" s="15" t="n"/>
      <c r="Y827" s="15" t="n"/>
      <c r="Z827" s="15" t="n"/>
      <c r="AA827" s="15" t="n"/>
      <c r="AB827" s="15" t="n"/>
      <c r="AC827" s="15" t="n"/>
      <c r="AD827" s="15" t="n"/>
      <c r="AE827" s="15" t="n"/>
      <c r="AF827" s="15" t="n"/>
      <c r="AG827" s="15" t="n"/>
      <c r="AH827" s="15" t="n"/>
      <c r="AI827" s="15" t="n"/>
    </row>
    <row r="828">
      <c r="A828" s="4" t="inlineStr">
        <is>
          <t>Студент1.7</t>
        </is>
      </c>
      <c r="B828" s="4" t="inlineStr"/>
      <c r="C828" s="4">
        <f>IF(A828="","",COUNTIF(F828:AI828,"+")+COUNTIF(F828:AI828,"1"))</f>
        <v/>
      </c>
      <c r="D828" s="4">
        <f>IF(A828="","",IF(C828&gt;2*COUNTA(F$821:AI$821)/3,1,IF(C828&gt;=COUNTA(F$821:AI$821)/2,0.8,0.5)))</f>
        <v/>
      </c>
      <c r="E828" s="4">
        <f>IF(A828="","",SUMIFS('Логи'!$H$4:$H$3006,'Логи'!$A$4:$A$3006,A828,'Логи'!$C$4:$C$3006,13))</f>
        <v/>
      </c>
      <c r="F828" s="15" t="n"/>
      <c r="G828" s="15" t="n"/>
      <c r="H828" s="15" t="n"/>
      <c r="I828" s="15" t="n"/>
      <c r="J828" s="15" t="n"/>
      <c r="K828" s="15" t="n"/>
      <c r="L828" s="15" t="n"/>
      <c r="M828" s="15" t="n"/>
      <c r="N828" s="15" t="n"/>
      <c r="O828" s="15" t="n"/>
      <c r="P828" s="15" t="n"/>
      <c r="Q828" s="15" t="n"/>
      <c r="R828" s="15" t="n"/>
      <c r="S828" s="15" t="n"/>
      <c r="T828" s="15" t="n"/>
      <c r="U828" s="15" t="n"/>
      <c r="V828" s="15" t="n"/>
      <c r="W828" s="15" t="n"/>
      <c r="X828" s="15" t="n"/>
      <c r="Y828" s="15" t="n"/>
      <c r="Z828" s="15" t="n"/>
      <c r="AA828" s="15" t="n"/>
      <c r="AB828" s="15" t="n"/>
      <c r="AC828" s="15" t="n"/>
      <c r="AD828" s="15" t="n"/>
      <c r="AE828" s="15" t="n"/>
      <c r="AF828" s="15" t="n"/>
      <c r="AG828" s="15" t="n"/>
      <c r="AH828" s="15" t="n"/>
      <c r="AI828" s="15" t="n"/>
    </row>
    <row r="829">
      <c r="A829" s="4" t="inlineStr">
        <is>
          <t>Студент1.8</t>
        </is>
      </c>
      <c r="B829" s="4" t="inlineStr"/>
      <c r="C829" s="4">
        <f>IF(A829="","",COUNTIF(F829:AI829,"+")+COUNTIF(F829:AI829,"1"))</f>
        <v/>
      </c>
      <c r="D829" s="4">
        <f>IF(A829="","",IF(C829&gt;2*COUNTA(F$821:AI$821)/3,1,IF(C829&gt;=COUNTA(F$821:AI$821)/2,0.8,0.5)))</f>
        <v/>
      </c>
      <c r="E829" s="4">
        <f>IF(A829="","",SUMIFS('Логи'!$H$4:$H$3006,'Логи'!$A$4:$A$3006,A829,'Логи'!$C$4:$C$3006,13))</f>
        <v/>
      </c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  <c r="O829" s="15" t="n"/>
      <c r="P829" s="15" t="n"/>
      <c r="Q829" s="15" t="n"/>
      <c r="R829" s="15" t="n"/>
      <c r="S829" s="15" t="n"/>
      <c r="T829" s="15" t="n"/>
      <c r="U829" s="15" t="n"/>
      <c r="V829" s="15" t="n"/>
      <c r="W829" s="15" t="n"/>
      <c r="X829" s="15" t="n"/>
      <c r="Y829" s="15" t="n"/>
      <c r="Z829" s="15" t="n"/>
      <c r="AA829" s="15" t="n"/>
      <c r="AB829" s="15" t="n"/>
      <c r="AC829" s="15" t="n"/>
      <c r="AD829" s="15" t="n"/>
      <c r="AE829" s="15" t="n"/>
      <c r="AF829" s="15" t="n"/>
      <c r="AG829" s="15" t="n"/>
      <c r="AH829" s="15" t="n"/>
      <c r="AI829" s="15" t="n"/>
    </row>
    <row r="830">
      <c r="A830" s="4" t="inlineStr">
        <is>
          <t>Студент1.9</t>
        </is>
      </c>
      <c r="B830" s="4" t="inlineStr"/>
      <c r="C830" s="4">
        <f>IF(A830="","",COUNTIF(F830:AI830,"+")+COUNTIF(F830:AI830,"1"))</f>
        <v/>
      </c>
      <c r="D830" s="4">
        <f>IF(A830="","",IF(C830&gt;2*COUNTA(F$821:AI$821)/3,1,IF(C830&gt;=COUNTA(F$821:AI$821)/2,0.8,0.5)))</f>
        <v/>
      </c>
      <c r="E830" s="4">
        <f>IF(A830="","",SUMIFS('Логи'!$H$4:$H$3006,'Логи'!$A$4:$A$3006,A830,'Логи'!$C$4:$C$3006,13))</f>
        <v/>
      </c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  <c r="O830" s="15" t="n"/>
      <c r="P830" s="15" t="n"/>
      <c r="Q830" s="15" t="n"/>
      <c r="R830" s="15" t="n"/>
      <c r="S830" s="15" t="n"/>
      <c r="T830" s="15" t="n"/>
      <c r="U830" s="15" t="n"/>
      <c r="V830" s="15" t="n"/>
      <c r="W830" s="15" t="n"/>
      <c r="X830" s="15" t="n"/>
      <c r="Y830" s="15" t="n"/>
      <c r="Z830" s="15" t="n"/>
      <c r="AA830" s="15" t="n"/>
      <c r="AB830" s="15" t="n"/>
      <c r="AC830" s="15" t="n"/>
      <c r="AD830" s="15" t="n"/>
      <c r="AE830" s="15" t="n"/>
      <c r="AF830" s="15" t="n"/>
      <c r="AG830" s="15" t="n"/>
      <c r="AH830" s="15" t="n"/>
      <c r="AI830" s="15" t="n"/>
    </row>
    <row r="831">
      <c r="A831" s="4" t="inlineStr">
        <is>
          <t>Студент1.10</t>
        </is>
      </c>
      <c r="B831" s="4" t="inlineStr"/>
      <c r="C831" s="4">
        <f>IF(A831="","",COUNTIF(F831:AI831,"+")+COUNTIF(F831:AI831,"1"))</f>
        <v/>
      </c>
      <c r="D831" s="4">
        <f>IF(A831="","",IF(C831&gt;2*COUNTA(F$821:AI$821)/3,1,IF(C831&gt;=COUNTA(F$821:AI$821)/2,0.8,0.5)))</f>
        <v/>
      </c>
      <c r="E831" s="4">
        <f>IF(A831="","",SUMIFS('Логи'!$H$4:$H$3006,'Логи'!$A$4:$A$3006,A831,'Логи'!$C$4:$C$3006,13))</f>
        <v/>
      </c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  <c r="O831" s="15" t="n"/>
      <c r="P831" s="15" t="n"/>
      <c r="Q831" s="15" t="n"/>
      <c r="R831" s="15" t="n"/>
      <c r="S831" s="15" t="n"/>
      <c r="T831" s="15" t="n"/>
      <c r="U831" s="15" t="n"/>
      <c r="V831" s="15" t="n"/>
      <c r="W831" s="15" t="n"/>
      <c r="X831" s="15" t="n"/>
      <c r="Y831" s="15" t="n"/>
      <c r="Z831" s="15" t="n"/>
      <c r="AA831" s="15" t="n"/>
      <c r="AB831" s="15" t="n"/>
      <c r="AC831" s="15" t="n"/>
      <c r="AD831" s="15" t="n"/>
      <c r="AE831" s="15" t="n"/>
      <c r="AF831" s="15" t="n"/>
      <c r="AG831" s="15" t="n"/>
      <c r="AH831" s="15" t="n"/>
      <c r="AI831" s="15" t="n"/>
    </row>
    <row r="832">
      <c r="A832" s="4" t="inlineStr">
        <is>
          <t>Студент1.11</t>
        </is>
      </c>
      <c r="B832" s="4" t="inlineStr"/>
      <c r="C832" s="4">
        <f>IF(A832="","",COUNTIF(F832:AI832,"+")+COUNTIF(F832:AI832,"1"))</f>
        <v/>
      </c>
      <c r="D832" s="4">
        <f>IF(A832="","",IF(C832&gt;2*COUNTA(F$821:AI$821)/3,1,IF(C832&gt;=COUNTA(F$821:AI$821)/2,0.8,0.5)))</f>
        <v/>
      </c>
      <c r="E832" s="4">
        <f>IF(A832="","",SUMIFS('Логи'!$H$4:$H$3006,'Логи'!$A$4:$A$3006,A832,'Логи'!$C$4:$C$3006,13))</f>
        <v/>
      </c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  <c r="O832" s="15" t="n"/>
      <c r="P832" s="15" t="n"/>
      <c r="Q832" s="15" t="n"/>
      <c r="R832" s="15" t="n"/>
      <c r="S832" s="15" t="n"/>
      <c r="T832" s="15" t="n"/>
      <c r="U832" s="15" t="n"/>
      <c r="V832" s="15" t="n"/>
      <c r="W832" s="15" t="n"/>
      <c r="X832" s="15" t="n"/>
      <c r="Y832" s="15" t="n"/>
      <c r="Z832" s="15" t="n"/>
      <c r="AA832" s="15" t="n"/>
      <c r="AB832" s="15" t="n"/>
      <c r="AC832" s="15" t="n"/>
      <c r="AD832" s="15" t="n"/>
      <c r="AE832" s="15" t="n"/>
      <c r="AF832" s="15" t="n"/>
      <c r="AG832" s="15" t="n"/>
      <c r="AH832" s="15" t="n"/>
      <c r="AI832" s="15" t="n"/>
    </row>
    <row r="833">
      <c r="A833" s="4" t="inlineStr">
        <is>
          <t>Студент1.12</t>
        </is>
      </c>
      <c r="B833" s="4" t="inlineStr"/>
      <c r="C833" s="4">
        <f>IF(A833="","",COUNTIF(F833:AI833,"+")+COUNTIF(F833:AI833,"1"))</f>
        <v/>
      </c>
      <c r="D833" s="4">
        <f>IF(A833="","",IF(C833&gt;2*COUNTA(F$821:AI$821)/3,1,IF(C833&gt;=COUNTA(F$821:AI$821)/2,0.8,0.5)))</f>
        <v/>
      </c>
      <c r="E833" s="4">
        <f>IF(A833="","",SUMIFS('Логи'!$H$4:$H$3006,'Логи'!$A$4:$A$3006,A833,'Логи'!$C$4:$C$3006,13))</f>
        <v/>
      </c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  <c r="O833" s="15" t="n"/>
      <c r="P833" s="15" t="n"/>
      <c r="Q833" s="15" t="n"/>
      <c r="R833" s="15" t="n"/>
      <c r="S833" s="15" t="n"/>
      <c r="T833" s="15" t="n"/>
      <c r="U833" s="15" t="n"/>
      <c r="V833" s="15" t="n"/>
      <c r="W833" s="15" t="n"/>
      <c r="X833" s="15" t="n"/>
      <c r="Y833" s="15" t="n"/>
      <c r="Z833" s="15" t="n"/>
      <c r="AA833" s="15" t="n"/>
      <c r="AB833" s="15" t="n"/>
      <c r="AC833" s="15" t="n"/>
      <c r="AD833" s="15" t="n"/>
      <c r="AE833" s="15" t="n"/>
      <c r="AF833" s="15" t="n"/>
      <c r="AG833" s="15" t="n"/>
      <c r="AH833" s="15" t="n"/>
      <c r="AI833" s="15" t="n"/>
    </row>
    <row r="834">
      <c r="A834" s="4" t="inlineStr">
        <is>
          <t>Студент1.13</t>
        </is>
      </c>
      <c r="B834" s="4" t="inlineStr"/>
      <c r="C834" s="4">
        <f>IF(A834="","",COUNTIF(F834:AI834,"+")+COUNTIF(F834:AI834,"1"))</f>
        <v/>
      </c>
      <c r="D834" s="4">
        <f>IF(A834="","",IF(C834&gt;2*COUNTA(F$821:AI$821)/3,1,IF(C834&gt;=COUNTA(F$821:AI$821)/2,0.8,0.5)))</f>
        <v/>
      </c>
      <c r="E834" s="4">
        <f>IF(A834="","",SUMIFS('Логи'!$H$4:$H$3006,'Логи'!$A$4:$A$3006,A834,'Логи'!$C$4:$C$3006,13))</f>
        <v/>
      </c>
      <c r="F834" s="15" t="n"/>
      <c r="G834" s="15" t="n"/>
      <c r="H834" s="15" t="n"/>
      <c r="I834" s="15" t="n"/>
      <c r="J834" s="15" t="n"/>
      <c r="K834" s="15" t="n"/>
      <c r="L834" s="15" t="n"/>
      <c r="M834" s="15" t="n"/>
      <c r="N834" s="15" t="n"/>
      <c r="O834" s="15" t="n"/>
      <c r="P834" s="15" t="n"/>
      <c r="Q834" s="15" t="n"/>
      <c r="R834" s="15" t="n"/>
      <c r="S834" s="15" t="n"/>
      <c r="T834" s="15" t="n"/>
      <c r="U834" s="15" t="n"/>
      <c r="V834" s="15" t="n"/>
      <c r="W834" s="15" t="n"/>
      <c r="X834" s="15" t="n"/>
      <c r="Y834" s="15" t="n"/>
      <c r="Z834" s="15" t="n"/>
      <c r="AA834" s="15" t="n"/>
      <c r="AB834" s="15" t="n"/>
      <c r="AC834" s="15" t="n"/>
      <c r="AD834" s="15" t="n"/>
      <c r="AE834" s="15" t="n"/>
      <c r="AF834" s="15" t="n"/>
      <c r="AG834" s="15" t="n"/>
      <c r="AH834" s="15" t="n"/>
      <c r="AI834" s="15" t="n"/>
    </row>
    <row r="835">
      <c r="A835" s="4" t="inlineStr">
        <is>
          <t>Студент1.14</t>
        </is>
      </c>
      <c r="B835" s="4" t="inlineStr"/>
      <c r="C835" s="4">
        <f>IF(A835="","",COUNTIF(F835:AI835,"+")+COUNTIF(F835:AI835,"1"))</f>
        <v/>
      </c>
      <c r="D835" s="4">
        <f>IF(A835="","",IF(C835&gt;2*COUNTA(F$821:AI$821)/3,1,IF(C835&gt;=COUNTA(F$821:AI$821)/2,0.8,0.5)))</f>
        <v/>
      </c>
      <c r="E835" s="4">
        <f>IF(A835="","",SUMIFS('Логи'!$H$4:$H$3006,'Логи'!$A$4:$A$3006,A835,'Логи'!$C$4:$C$3006,13))</f>
        <v/>
      </c>
      <c r="F835" s="15" t="n"/>
      <c r="G835" s="15" t="n"/>
      <c r="H835" s="15" t="n"/>
      <c r="I835" s="15" t="n"/>
      <c r="J835" s="15" t="n"/>
      <c r="K835" s="15" t="n"/>
      <c r="L835" s="15" t="n"/>
      <c r="M835" s="15" t="n"/>
      <c r="N835" s="15" t="n"/>
      <c r="O835" s="15" t="n"/>
      <c r="P835" s="15" t="n"/>
      <c r="Q835" s="15" t="n"/>
      <c r="R835" s="15" t="n"/>
      <c r="S835" s="15" t="n"/>
      <c r="T835" s="15" t="n"/>
      <c r="U835" s="15" t="n"/>
      <c r="V835" s="15" t="n"/>
      <c r="W835" s="15" t="n"/>
      <c r="X835" s="15" t="n"/>
      <c r="Y835" s="15" t="n"/>
      <c r="Z835" s="15" t="n"/>
      <c r="AA835" s="15" t="n"/>
      <c r="AB835" s="15" t="n"/>
      <c r="AC835" s="15" t="n"/>
      <c r="AD835" s="15" t="n"/>
      <c r="AE835" s="15" t="n"/>
      <c r="AF835" s="15" t="n"/>
      <c r="AG835" s="15" t="n"/>
      <c r="AH835" s="15" t="n"/>
      <c r="AI835" s="15" t="n"/>
    </row>
    <row r="836">
      <c r="A836" s="4" t="inlineStr">
        <is>
          <t>Студент1.15</t>
        </is>
      </c>
      <c r="B836" s="4" t="inlineStr"/>
      <c r="C836" s="4">
        <f>IF(A836="","",COUNTIF(F836:AI836,"+")+COUNTIF(F836:AI836,"1"))</f>
        <v/>
      </c>
      <c r="D836" s="4">
        <f>IF(A836="","",IF(C836&gt;2*COUNTA(F$821:AI$821)/3,1,IF(C836&gt;=COUNTA(F$821:AI$821)/2,0.8,0.5)))</f>
        <v/>
      </c>
      <c r="E836" s="4">
        <f>IF(A836="","",SUMIFS('Логи'!$H$4:$H$3006,'Логи'!$A$4:$A$3006,A836,'Логи'!$C$4:$C$3006,13))</f>
        <v/>
      </c>
      <c r="F836" s="15" t="n"/>
      <c r="G836" s="15" t="n"/>
      <c r="H836" s="15" t="n"/>
      <c r="I836" s="15" t="n"/>
      <c r="J836" s="15" t="n"/>
      <c r="K836" s="15" t="n"/>
      <c r="L836" s="15" t="n"/>
      <c r="M836" s="15" t="n"/>
      <c r="N836" s="15" t="n"/>
      <c r="O836" s="15" t="n"/>
      <c r="P836" s="15" t="n"/>
      <c r="Q836" s="15" t="n"/>
      <c r="R836" s="15" t="n"/>
      <c r="S836" s="15" t="n"/>
      <c r="T836" s="15" t="n"/>
      <c r="U836" s="15" t="n"/>
      <c r="V836" s="15" t="n"/>
      <c r="W836" s="15" t="n"/>
      <c r="X836" s="15" t="n"/>
      <c r="Y836" s="15" t="n"/>
      <c r="Z836" s="15" t="n"/>
      <c r="AA836" s="15" t="n"/>
      <c r="AB836" s="15" t="n"/>
      <c r="AC836" s="15" t="n"/>
      <c r="AD836" s="15" t="n"/>
      <c r="AE836" s="15" t="n"/>
      <c r="AF836" s="15" t="n"/>
      <c r="AG836" s="15" t="n"/>
      <c r="AH836" s="15" t="n"/>
      <c r="AI836" s="15" t="n"/>
    </row>
    <row r="837">
      <c r="A837" s="4" t="inlineStr">
        <is>
          <t>Студент1.16</t>
        </is>
      </c>
      <c r="B837" s="4" t="inlineStr"/>
      <c r="C837" s="4">
        <f>IF(A837="","",COUNTIF(F837:AI837,"+")+COUNTIF(F837:AI837,"1"))</f>
        <v/>
      </c>
      <c r="D837" s="4">
        <f>IF(A837="","",IF(C837&gt;2*COUNTA(F$821:AI$821)/3,1,IF(C837&gt;=COUNTA(F$821:AI$821)/2,0.8,0.5)))</f>
        <v/>
      </c>
      <c r="E837" s="4">
        <f>IF(A837="","",SUMIFS('Логи'!$H$4:$H$3006,'Логи'!$A$4:$A$3006,A837,'Логи'!$C$4:$C$3006,13))</f>
        <v/>
      </c>
      <c r="F837" s="15" t="n"/>
      <c r="G837" s="15" t="n"/>
      <c r="H837" s="15" t="n"/>
      <c r="I837" s="15" t="n"/>
      <c r="J837" s="15" t="n"/>
      <c r="K837" s="15" t="n"/>
      <c r="L837" s="15" t="n"/>
      <c r="M837" s="15" t="n"/>
      <c r="N837" s="15" t="n"/>
      <c r="O837" s="15" t="n"/>
      <c r="P837" s="15" t="n"/>
      <c r="Q837" s="15" t="n"/>
      <c r="R837" s="15" t="n"/>
      <c r="S837" s="15" t="n"/>
      <c r="T837" s="15" t="n"/>
      <c r="U837" s="15" t="n"/>
      <c r="V837" s="15" t="n"/>
      <c r="W837" s="15" t="n"/>
      <c r="X837" s="15" t="n"/>
      <c r="Y837" s="15" t="n"/>
      <c r="Z837" s="15" t="n"/>
      <c r="AA837" s="15" t="n"/>
      <c r="AB837" s="15" t="n"/>
      <c r="AC837" s="15" t="n"/>
      <c r="AD837" s="15" t="n"/>
      <c r="AE837" s="15" t="n"/>
      <c r="AF837" s="15" t="n"/>
      <c r="AG837" s="15" t="n"/>
      <c r="AH837" s="15" t="n"/>
      <c r="AI837" s="15" t="n"/>
    </row>
    <row r="838">
      <c r="A838" s="4" t="inlineStr">
        <is>
          <t>Студент1.17</t>
        </is>
      </c>
      <c r="B838" s="4" t="inlineStr"/>
      <c r="C838" s="4">
        <f>IF(A838="","",COUNTIF(F838:AI838,"+")+COUNTIF(F838:AI838,"1"))</f>
        <v/>
      </c>
      <c r="D838" s="4">
        <f>IF(A838="","",IF(C838&gt;2*COUNTA(F$821:AI$821)/3,1,IF(C838&gt;=COUNTA(F$821:AI$821)/2,0.8,0.5)))</f>
        <v/>
      </c>
      <c r="E838" s="4">
        <f>IF(A838="","",SUMIFS('Логи'!$H$4:$H$3006,'Логи'!$A$4:$A$3006,A838,'Логи'!$C$4:$C$3006,13))</f>
        <v/>
      </c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  <c r="O838" s="15" t="n"/>
      <c r="P838" s="15" t="n"/>
      <c r="Q838" s="15" t="n"/>
      <c r="R838" s="15" t="n"/>
      <c r="S838" s="15" t="n"/>
      <c r="T838" s="15" t="n"/>
      <c r="U838" s="15" t="n"/>
      <c r="V838" s="15" t="n"/>
      <c r="W838" s="15" t="n"/>
      <c r="X838" s="15" t="n"/>
      <c r="Y838" s="15" t="n"/>
      <c r="Z838" s="15" t="n"/>
      <c r="AA838" s="15" t="n"/>
      <c r="AB838" s="15" t="n"/>
      <c r="AC838" s="15" t="n"/>
      <c r="AD838" s="15" t="n"/>
      <c r="AE838" s="15" t="n"/>
      <c r="AF838" s="15" t="n"/>
      <c r="AG838" s="15" t="n"/>
      <c r="AH838" s="15" t="n"/>
      <c r="AI838" s="15" t="n"/>
    </row>
    <row r="839">
      <c r="A839" s="4" t="inlineStr">
        <is>
          <t>Студент1.18</t>
        </is>
      </c>
      <c r="B839" s="4" t="inlineStr"/>
      <c r="C839" s="4">
        <f>IF(A839="","",COUNTIF(F839:AI839,"+")+COUNTIF(F839:AI839,"1"))</f>
        <v/>
      </c>
      <c r="D839" s="4">
        <f>IF(A839="","",IF(C839&gt;2*COUNTA(F$821:AI$821)/3,1,IF(C839&gt;=COUNTA(F$821:AI$821)/2,0.8,0.5)))</f>
        <v/>
      </c>
      <c r="E839" s="4">
        <f>IF(A839="","",SUMIFS('Логи'!$H$4:$H$3006,'Логи'!$A$4:$A$3006,A839,'Логи'!$C$4:$C$3006,13))</f>
        <v/>
      </c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  <c r="O839" s="15" t="n"/>
      <c r="P839" s="15" t="n"/>
      <c r="Q839" s="15" t="n"/>
      <c r="R839" s="15" t="n"/>
      <c r="S839" s="15" t="n"/>
      <c r="T839" s="15" t="n"/>
      <c r="U839" s="15" t="n"/>
      <c r="V839" s="15" t="n"/>
      <c r="W839" s="15" t="n"/>
      <c r="X839" s="15" t="n"/>
      <c r="Y839" s="15" t="n"/>
      <c r="Z839" s="15" t="n"/>
      <c r="AA839" s="15" t="n"/>
      <c r="AB839" s="15" t="n"/>
      <c r="AC839" s="15" t="n"/>
      <c r="AD839" s="15" t="n"/>
      <c r="AE839" s="15" t="n"/>
      <c r="AF839" s="15" t="n"/>
      <c r="AG839" s="15" t="n"/>
      <c r="AH839" s="15" t="n"/>
      <c r="AI839" s="15" t="n"/>
    </row>
    <row r="840">
      <c r="A840" s="4" t="inlineStr">
        <is>
          <t>Студент1.19</t>
        </is>
      </c>
      <c r="B840" s="4" t="inlineStr"/>
      <c r="C840" s="4">
        <f>IF(A840="","",COUNTIF(F840:AI840,"+")+COUNTIF(F840:AI840,"1"))</f>
        <v/>
      </c>
      <c r="D840" s="4">
        <f>IF(A840="","",IF(C840&gt;2*COUNTA(F$821:AI$821)/3,1,IF(C840&gt;=COUNTA(F$821:AI$821)/2,0.8,0.5)))</f>
        <v/>
      </c>
      <c r="E840" s="4">
        <f>IF(A840="","",SUMIFS('Логи'!$H$4:$H$3006,'Логи'!$A$4:$A$3006,A840,'Логи'!$C$4:$C$3006,13))</f>
        <v/>
      </c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  <c r="O840" s="15" t="n"/>
      <c r="P840" s="15" t="n"/>
      <c r="Q840" s="15" t="n"/>
      <c r="R840" s="15" t="n"/>
      <c r="S840" s="15" t="n"/>
      <c r="T840" s="15" t="n"/>
      <c r="U840" s="15" t="n"/>
      <c r="V840" s="15" t="n"/>
      <c r="W840" s="15" t="n"/>
      <c r="X840" s="15" t="n"/>
      <c r="Y840" s="15" t="n"/>
      <c r="Z840" s="15" t="n"/>
      <c r="AA840" s="15" t="n"/>
      <c r="AB840" s="15" t="n"/>
      <c r="AC840" s="15" t="n"/>
      <c r="AD840" s="15" t="n"/>
      <c r="AE840" s="15" t="n"/>
      <c r="AF840" s="15" t="n"/>
      <c r="AG840" s="15" t="n"/>
      <c r="AH840" s="15" t="n"/>
      <c r="AI840" s="15" t="n"/>
    </row>
    <row r="841">
      <c r="A841" s="4" t="inlineStr">
        <is>
          <t>Студент1.20</t>
        </is>
      </c>
      <c r="B841" s="4" t="inlineStr"/>
      <c r="C841" s="4">
        <f>IF(A841="","",COUNTIF(F841:AI841,"+")+COUNTIF(F841:AI841,"1"))</f>
        <v/>
      </c>
      <c r="D841" s="4">
        <f>IF(A841="","",IF(C841&gt;2*COUNTA(F$821:AI$821)/3,1,IF(C841&gt;=COUNTA(F$821:AI$821)/2,0.8,0.5)))</f>
        <v/>
      </c>
      <c r="E841" s="4">
        <f>IF(A841="","",SUMIFS('Логи'!$H$4:$H$3006,'Логи'!$A$4:$A$3006,A841,'Логи'!$C$4:$C$3006,13))</f>
        <v/>
      </c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  <c r="O841" s="15" t="n"/>
      <c r="P841" s="15" t="n"/>
      <c r="Q841" s="15" t="n"/>
      <c r="R841" s="15" t="n"/>
      <c r="S841" s="15" t="n"/>
      <c r="T841" s="15" t="n"/>
      <c r="U841" s="15" t="n"/>
      <c r="V841" s="15" t="n"/>
      <c r="W841" s="15" t="n"/>
      <c r="X841" s="15" t="n"/>
      <c r="Y841" s="15" t="n"/>
      <c r="Z841" s="15" t="n"/>
      <c r="AA841" s="15" t="n"/>
      <c r="AB841" s="15" t="n"/>
      <c r="AC841" s="15" t="n"/>
      <c r="AD841" s="15" t="n"/>
      <c r="AE841" s="15" t="n"/>
      <c r="AF841" s="15" t="n"/>
      <c r="AG841" s="15" t="n"/>
      <c r="AH841" s="15" t="n"/>
      <c r="AI841" s="15" t="n"/>
    </row>
    <row r="842">
      <c r="A842" s="4" t="inlineStr">
        <is>
          <t>Студент1.21</t>
        </is>
      </c>
      <c r="B842" s="4" t="inlineStr"/>
      <c r="C842" s="4">
        <f>IF(A842="","",COUNTIF(F842:AI842,"+")+COUNTIF(F842:AI842,"1"))</f>
        <v/>
      </c>
      <c r="D842" s="4">
        <f>IF(A842="","",IF(C842&gt;2*COUNTA(F$821:AI$821)/3,1,IF(C842&gt;=COUNTA(F$821:AI$821)/2,0.8,0.5)))</f>
        <v/>
      </c>
      <c r="E842" s="4">
        <f>IF(A842="","",SUMIFS('Логи'!$H$4:$H$3006,'Логи'!$A$4:$A$3006,A842,'Логи'!$C$4:$C$3006,13))</f>
        <v/>
      </c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  <c r="O842" s="15" t="n"/>
      <c r="P842" s="15" t="n"/>
      <c r="Q842" s="15" t="n"/>
      <c r="R842" s="15" t="n"/>
      <c r="S842" s="15" t="n"/>
      <c r="T842" s="15" t="n"/>
      <c r="U842" s="15" t="n"/>
      <c r="V842" s="15" t="n"/>
      <c r="W842" s="15" t="n"/>
      <c r="X842" s="15" t="n"/>
      <c r="Y842" s="15" t="n"/>
      <c r="Z842" s="15" t="n"/>
      <c r="AA842" s="15" t="n"/>
      <c r="AB842" s="15" t="n"/>
      <c r="AC842" s="15" t="n"/>
      <c r="AD842" s="15" t="n"/>
      <c r="AE842" s="15" t="n"/>
      <c r="AF842" s="15" t="n"/>
      <c r="AG842" s="15" t="n"/>
      <c r="AH842" s="15" t="n"/>
      <c r="AI842" s="15" t="n"/>
    </row>
    <row r="843">
      <c r="A843" s="4" t="inlineStr">
        <is>
          <t>Студент1.22</t>
        </is>
      </c>
      <c r="B843" s="4" t="inlineStr"/>
      <c r="C843" s="4">
        <f>IF(A843="","",COUNTIF(F843:AI843,"+")+COUNTIF(F843:AI843,"1"))</f>
        <v/>
      </c>
      <c r="D843" s="4">
        <f>IF(A843="","",IF(C843&gt;2*COUNTA(F$821:AI$821)/3,1,IF(C843&gt;=COUNTA(F$821:AI$821)/2,0.8,0.5)))</f>
        <v/>
      </c>
      <c r="E843" s="4">
        <f>IF(A843="","",SUMIFS('Логи'!$H$4:$H$3006,'Логи'!$A$4:$A$3006,A843,'Логи'!$C$4:$C$3006,13))</f>
        <v/>
      </c>
      <c r="F843" s="15" t="n"/>
      <c r="G843" s="15" t="n"/>
      <c r="H843" s="15" t="n"/>
      <c r="I843" s="15" t="n"/>
      <c r="J843" s="15" t="n"/>
      <c r="K843" s="15" t="n"/>
      <c r="L843" s="15" t="n"/>
      <c r="M843" s="15" t="n"/>
      <c r="N843" s="15" t="n"/>
      <c r="O843" s="15" t="n"/>
      <c r="P843" s="15" t="n"/>
      <c r="Q843" s="15" t="n"/>
      <c r="R843" s="15" t="n"/>
      <c r="S843" s="15" t="n"/>
      <c r="T843" s="15" t="n"/>
      <c r="U843" s="15" t="n"/>
      <c r="V843" s="15" t="n"/>
      <c r="W843" s="15" t="n"/>
      <c r="X843" s="15" t="n"/>
      <c r="Y843" s="15" t="n"/>
      <c r="Z843" s="15" t="n"/>
      <c r="AA843" s="15" t="n"/>
      <c r="AB843" s="15" t="n"/>
      <c r="AC843" s="15" t="n"/>
      <c r="AD843" s="15" t="n"/>
      <c r="AE843" s="15" t="n"/>
      <c r="AF843" s="15" t="n"/>
      <c r="AG843" s="15" t="n"/>
      <c r="AH843" s="15" t="n"/>
      <c r="AI843" s="15" t="n"/>
    </row>
    <row r="844">
      <c r="A844" s="4" t="inlineStr">
        <is>
          <t>Студент1.23</t>
        </is>
      </c>
      <c r="B844" s="4" t="inlineStr"/>
      <c r="C844" s="4">
        <f>IF(A844="","",COUNTIF(F844:AI844,"+")+COUNTIF(F844:AI844,"1"))</f>
        <v/>
      </c>
      <c r="D844" s="4">
        <f>IF(A844="","",IF(C844&gt;2*COUNTA(F$821:AI$821)/3,1,IF(C844&gt;=COUNTA(F$821:AI$821)/2,0.8,0.5)))</f>
        <v/>
      </c>
      <c r="E844" s="4">
        <f>IF(A844="","",SUMIFS('Логи'!$H$4:$H$3006,'Логи'!$A$4:$A$3006,A844,'Логи'!$C$4:$C$3006,13))</f>
        <v/>
      </c>
      <c r="F844" s="15" t="n"/>
      <c r="G844" s="15" t="n"/>
      <c r="H844" s="15" t="n"/>
      <c r="I844" s="15" t="n"/>
      <c r="J844" s="15" t="n"/>
      <c r="K844" s="15" t="n"/>
      <c r="L844" s="15" t="n"/>
      <c r="M844" s="15" t="n"/>
      <c r="N844" s="15" t="n"/>
      <c r="O844" s="15" t="n"/>
      <c r="P844" s="15" t="n"/>
      <c r="Q844" s="15" t="n"/>
      <c r="R844" s="15" t="n"/>
      <c r="S844" s="15" t="n"/>
      <c r="T844" s="15" t="n"/>
      <c r="U844" s="15" t="n"/>
      <c r="V844" s="15" t="n"/>
      <c r="W844" s="15" t="n"/>
      <c r="X844" s="15" t="n"/>
      <c r="Y844" s="15" t="n"/>
      <c r="Z844" s="15" t="n"/>
      <c r="AA844" s="15" t="n"/>
      <c r="AB844" s="15" t="n"/>
      <c r="AC844" s="15" t="n"/>
      <c r="AD844" s="15" t="n"/>
      <c r="AE844" s="15" t="n"/>
      <c r="AF844" s="15" t="n"/>
      <c r="AG844" s="15" t="n"/>
      <c r="AH844" s="15" t="n"/>
      <c r="AI844" s="15" t="n"/>
    </row>
    <row r="845">
      <c r="A845" s="4" t="inlineStr">
        <is>
          <t>Студент1.24</t>
        </is>
      </c>
      <c r="B845" s="4" t="inlineStr"/>
      <c r="C845" s="4">
        <f>IF(A845="","",COUNTIF(F845:AI845,"+")+COUNTIF(F845:AI845,"1"))</f>
        <v/>
      </c>
      <c r="D845" s="4">
        <f>IF(A845="","",IF(C845&gt;2*COUNTA(F$821:AI$821)/3,1,IF(C845&gt;=COUNTA(F$821:AI$821)/2,0.8,0.5)))</f>
        <v/>
      </c>
      <c r="E845" s="4">
        <f>IF(A845="","",SUMIFS('Логи'!$H$4:$H$3006,'Логи'!$A$4:$A$3006,A845,'Логи'!$C$4:$C$3006,13))</f>
        <v/>
      </c>
      <c r="F845" s="15" t="n"/>
      <c r="G845" s="15" t="n"/>
      <c r="H845" s="15" t="n"/>
      <c r="I845" s="15" t="n"/>
      <c r="J845" s="15" t="n"/>
      <c r="K845" s="15" t="n"/>
      <c r="L845" s="15" t="n"/>
      <c r="M845" s="15" t="n"/>
      <c r="N845" s="15" t="n"/>
      <c r="O845" s="15" t="n"/>
      <c r="P845" s="15" t="n"/>
      <c r="Q845" s="15" t="n"/>
      <c r="R845" s="15" t="n"/>
      <c r="S845" s="15" t="n"/>
      <c r="T845" s="15" t="n"/>
      <c r="U845" s="15" t="n"/>
      <c r="V845" s="15" t="n"/>
      <c r="W845" s="15" t="n"/>
      <c r="X845" s="15" t="n"/>
      <c r="Y845" s="15" t="n"/>
      <c r="Z845" s="15" t="n"/>
      <c r="AA845" s="15" t="n"/>
      <c r="AB845" s="15" t="n"/>
      <c r="AC845" s="15" t="n"/>
      <c r="AD845" s="15" t="n"/>
      <c r="AE845" s="15" t="n"/>
      <c r="AF845" s="15" t="n"/>
      <c r="AG845" s="15" t="n"/>
      <c r="AH845" s="15" t="n"/>
      <c r="AI845" s="15" t="n"/>
    </row>
    <row r="846">
      <c r="A846" s="4" t="inlineStr">
        <is>
          <t>Студент1.25</t>
        </is>
      </c>
      <c r="B846" s="4" t="inlineStr"/>
      <c r="C846" s="4">
        <f>IF(A846="","",COUNTIF(F846:AI846,"+")+COUNTIF(F846:AI846,"1"))</f>
        <v/>
      </c>
      <c r="D846" s="4">
        <f>IF(A846="","",IF(C846&gt;2*COUNTA(F$821:AI$821)/3,1,IF(C846&gt;=COUNTA(F$821:AI$821)/2,0.8,0.5)))</f>
        <v/>
      </c>
      <c r="E846" s="4">
        <f>IF(A846="","",SUMIFS('Логи'!$H$4:$H$3006,'Логи'!$A$4:$A$3006,A846,'Логи'!$C$4:$C$3006,13))</f>
        <v/>
      </c>
      <c r="F846" s="15" t="n"/>
      <c r="G846" s="15" t="n"/>
      <c r="H846" s="15" t="n"/>
      <c r="I846" s="15" t="n"/>
      <c r="J846" s="15" t="n"/>
      <c r="K846" s="15" t="n"/>
      <c r="L846" s="15" t="n"/>
      <c r="M846" s="15" t="n"/>
      <c r="N846" s="15" t="n"/>
      <c r="O846" s="15" t="n"/>
      <c r="P846" s="15" t="n"/>
      <c r="Q846" s="15" t="n"/>
      <c r="R846" s="15" t="n"/>
      <c r="S846" s="15" t="n"/>
      <c r="T846" s="15" t="n"/>
      <c r="U846" s="15" t="n"/>
      <c r="V846" s="15" t="n"/>
      <c r="W846" s="15" t="n"/>
      <c r="X846" s="15" t="n"/>
      <c r="Y846" s="15" t="n"/>
      <c r="Z846" s="15" t="n"/>
      <c r="AA846" s="15" t="n"/>
      <c r="AB846" s="15" t="n"/>
      <c r="AC846" s="15" t="n"/>
      <c r="AD846" s="15" t="n"/>
      <c r="AE846" s="15" t="n"/>
      <c r="AF846" s="15" t="n"/>
      <c r="AG846" s="15" t="n"/>
      <c r="AH846" s="15" t="n"/>
      <c r="AI846" s="15" t="n"/>
    </row>
    <row r="847">
      <c r="A847" s="4" t="inlineStr">
        <is>
          <t>Студент1.26</t>
        </is>
      </c>
      <c r="B847" s="4" t="inlineStr"/>
      <c r="C847" s="4">
        <f>IF(A847="","",COUNTIF(F847:AI847,"+")+COUNTIF(F847:AI847,"1"))</f>
        <v/>
      </c>
      <c r="D847" s="4">
        <f>IF(A847="","",IF(C847&gt;2*COUNTA(F$821:AI$821)/3,1,IF(C847&gt;=COUNTA(F$821:AI$821)/2,0.8,0.5)))</f>
        <v/>
      </c>
      <c r="E847" s="4">
        <f>IF(A847="","",SUMIFS('Логи'!$H$4:$H$3006,'Логи'!$A$4:$A$3006,A847,'Логи'!$C$4:$C$3006,13))</f>
        <v/>
      </c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  <c r="O847" s="15" t="n"/>
      <c r="P847" s="15" t="n"/>
      <c r="Q847" s="15" t="n"/>
      <c r="R847" s="15" t="n"/>
      <c r="S847" s="15" t="n"/>
      <c r="T847" s="15" t="n"/>
      <c r="U847" s="15" t="n"/>
      <c r="V847" s="15" t="n"/>
      <c r="W847" s="15" t="n"/>
      <c r="X847" s="15" t="n"/>
      <c r="Y847" s="15" t="n"/>
      <c r="Z847" s="15" t="n"/>
      <c r="AA847" s="15" t="n"/>
      <c r="AB847" s="15" t="n"/>
      <c r="AC847" s="15" t="n"/>
      <c r="AD847" s="15" t="n"/>
      <c r="AE847" s="15" t="n"/>
      <c r="AF847" s="15" t="n"/>
      <c r="AG847" s="15" t="n"/>
      <c r="AH847" s="15" t="n"/>
      <c r="AI847" s="15" t="n"/>
    </row>
    <row r="848">
      <c r="A848" s="4" t="inlineStr">
        <is>
          <t>Студент1.27</t>
        </is>
      </c>
      <c r="B848" s="4" t="inlineStr"/>
      <c r="C848" s="4">
        <f>IF(A848="","",COUNTIF(F848:AI848,"+")+COUNTIF(F848:AI848,"1"))</f>
        <v/>
      </c>
      <c r="D848" s="4">
        <f>IF(A848="","",IF(C848&gt;2*COUNTA(F$821:AI$821)/3,1,IF(C848&gt;=COUNTA(F$821:AI$821)/2,0.8,0.5)))</f>
        <v/>
      </c>
      <c r="E848" s="4">
        <f>IF(A848="","",SUMIFS('Логи'!$H$4:$H$3006,'Логи'!$A$4:$A$3006,A848,'Логи'!$C$4:$C$3006,13))</f>
        <v/>
      </c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  <c r="O848" s="15" t="n"/>
      <c r="P848" s="15" t="n"/>
      <c r="Q848" s="15" t="n"/>
      <c r="R848" s="15" t="n"/>
      <c r="S848" s="15" t="n"/>
      <c r="T848" s="15" t="n"/>
      <c r="U848" s="15" t="n"/>
      <c r="V848" s="15" t="n"/>
      <c r="W848" s="15" t="n"/>
      <c r="X848" s="15" t="n"/>
      <c r="Y848" s="15" t="n"/>
      <c r="Z848" s="15" t="n"/>
      <c r="AA848" s="15" t="n"/>
      <c r="AB848" s="15" t="n"/>
      <c r="AC848" s="15" t="n"/>
      <c r="AD848" s="15" t="n"/>
      <c r="AE848" s="15" t="n"/>
      <c r="AF848" s="15" t="n"/>
      <c r="AG848" s="15" t="n"/>
      <c r="AH848" s="15" t="n"/>
      <c r="AI848" s="15" t="n"/>
    </row>
    <row r="849">
      <c r="A849" s="4" t="inlineStr">
        <is>
          <t>Студент1.28</t>
        </is>
      </c>
      <c r="B849" s="4" t="inlineStr"/>
      <c r="C849" s="4">
        <f>IF(A849="","",COUNTIF(F849:AI849,"+")+COUNTIF(F849:AI849,"1"))</f>
        <v/>
      </c>
      <c r="D849" s="4">
        <f>IF(A849="","",IF(C849&gt;2*COUNTA(F$821:AI$821)/3,1,IF(C849&gt;=COUNTA(F$821:AI$821)/2,0.8,0.5)))</f>
        <v/>
      </c>
      <c r="E849" s="4">
        <f>IF(A849="","",SUMIFS('Логи'!$H$4:$H$3006,'Логи'!$A$4:$A$3006,A849,'Логи'!$C$4:$C$3006,13))</f>
        <v/>
      </c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  <c r="O849" s="15" t="n"/>
      <c r="P849" s="15" t="n"/>
      <c r="Q849" s="15" t="n"/>
      <c r="R849" s="15" t="n"/>
      <c r="S849" s="15" t="n"/>
      <c r="T849" s="15" t="n"/>
      <c r="U849" s="15" t="n"/>
      <c r="V849" s="15" t="n"/>
      <c r="W849" s="15" t="n"/>
      <c r="X849" s="15" t="n"/>
      <c r="Y849" s="15" t="n"/>
      <c r="Z849" s="15" t="n"/>
      <c r="AA849" s="15" t="n"/>
      <c r="AB849" s="15" t="n"/>
      <c r="AC849" s="15" t="n"/>
      <c r="AD849" s="15" t="n"/>
      <c r="AE849" s="15" t="n"/>
      <c r="AF849" s="15" t="n"/>
      <c r="AG849" s="15" t="n"/>
      <c r="AH849" s="15" t="n"/>
      <c r="AI849" s="15" t="n"/>
    </row>
    <row r="850">
      <c r="A850" s="4" t="inlineStr">
        <is>
          <t>Студент1.29</t>
        </is>
      </c>
      <c r="B850" s="4" t="inlineStr"/>
      <c r="C850" s="4">
        <f>IF(A850="","",COUNTIF(F850:AI850,"+")+COUNTIF(F850:AI850,"1"))</f>
        <v/>
      </c>
      <c r="D850" s="4">
        <f>IF(A850="","",IF(C850&gt;2*COUNTA(F$821:AI$821)/3,1,IF(C850&gt;=COUNTA(F$821:AI$821)/2,0.8,0.5)))</f>
        <v/>
      </c>
      <c r="E850" s="4">
        <f>IF(A850="","",SUMIFS('Логи'!$H$4:$H$3006,'Логи'!$A$4:$A$3006,A850,'Логи'!$C$4:$C$3006,13))</f>
        <v/>
      </c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5" t="n"/>
      <c r="P850" s="15" t="n"/>
      <c r="Q850" s="15" t="n"/>
      <c r="R850" s="15" t="n"/>
      <c r="S850" s="15" t="n"/>
      <c r="T850" s="15" t="n"/>
      <c r="U850" s="15" t="n"/>
      <c r="V850" s="15" t="n"/>
      <c r="W850" s="15" t="n"/>
      <c r="X850" s="15" t="n"/>
      <c r="Y850" s="15" t="n"/>
      <c r="Z850" s="15" t="n"/>
      <c r="AA850" s="15" t="n"/>
      <c r="AB850" s="15" t="n"/>
      <c r="AC850" s="15" t="n"/>
      <c r="AD850" s="15" t="n"/>
      <c r="AE850" s="15" t="n"/>
      <c r="AF850" s="15" t="n"/>
      <c r="AG850" s="15" t="n"/>
      <c r="AH850" s="15" t="n"/>
      <c r="AI850" s="15" t="n"/>
    </row>
    <row r="851">
      <c r="A851" s="4" t="inlineStr">
        <is>
          <t>Студент1.30</t>
        </is>
      </c>
      <c r="B851" s="4" t="inlineStr"/>
      <c r="C851" s="4">
        <f>IF(A851="","",COUNTIF(F851:AI851,"+")+COUNTIF(F851:AI851,"1"))</f>
        <v/>
      </c>
      <c r="D851" s="4">
        <f>IF(A851="","",IF(C851&gt;2*COUNTA(F$821:AI$821)/3,1,IF(C851&gt;=COUNTA(F$821:AI$821)/2,0.8,0.5)))</f>
        <v/>
      </c>
      <c r="E851" s="4">
        <f>IF(A851="","",SUMIFS('Логи'!$H$4:$H$3006,'Логи'!$A$4:$A$3006,A851,'Логи'!$C$4:$C$3006,13))</f>
        <v/>
      </c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  <c r="O851" s="15" t="n"/>
      <c r="P851" s="15" t="n"/>
      <c r="Q851" s="15" t="n"/>
      <c r="R851" s="15" t="n"/>
      <c r="S851" s="15" t="n"/>
      <c r="T851" s="15" t="n"/>
      <c r="U851" s="15" t="n"/>
      <c r="V851" s="15" t="n"/>
      <c r="W851" s="15" t="n"/>
      <c r="X851" s="15" t="n"/>
      <c r="Y851" s="15" t="n"/>
      <c r="Z851" s="15" t="n"/>
      <c r="AA851" s="15" t="n"/>
      <c r="AB851" s="15" t="n"/>
      <c r="AC851" s="15" t="n"/>
      <c r="AD851" s="15" t="n"/>
      <c r="AE851" s="15" t="n"/>
      <c r="AF851" s="15" t="n"/>
      <c r="AG851" s="15" t="n"/>
      <c r="AH851" s="15" t="n"/>
      <c r="AI851" s="15" t="n"/>
    </row>
    <row r="853">
      <c r="A853" s="16" t="inlineStr">
        <is>
          <t>Практика 13 — результаты рассказа</t>
        </is>
      </c>
    </row>
    <row r="854" ht="28" customHeight="1">
      <c r="A854" s="7" t="inlineStr">
        <is>
          <t>Имя</t>
        </is>
      </c>
      <c r="B854" s="9" t="inlineStr">
        <is>
          <t>TG</t>
        </is>
      </c>
      <c r="C854" s="10" t="inlineStr"/>
      <c r="D854" s="2" t="inlineStr"/>
      <c r="E854" s="2" t="inlineStr"/>
      <c r="F854" s="11" t="inlineStr">
        <is>
          <t>1.0</t>
        </is>
      </c>
      <c r="G854" s="11" t="inlineStr">
        <is>
          <t>2.0</t>
        </is>
      </c>
      <c r="H854" s="11" t="inlineStr">
        <is>
          <t>3.0</t>
        </is>
      </c>
      <c r="I854" s="11" t="inlineStr">
        <is>
          <t>4.0</t>
        </is>
      </c>
      <c r="J854" s="11" t="inlineStr">
        <is>
          <t>5.0</t>
        </is>
      </c>
      <c r="K854" s="11" t="inlineStr">
        <is>
          <t>6</t>
        </is>
      </c>
      <c r="L854" s="11" t="inlineStr">
        <is>
          <t>7</t>
        </is>
      </c>
      <c r="M854" s="11" t="inlineStr">
        <is>
          <t>8</t>
        </is>
      </c>
      <c r="N854" s="11" t="inlineStr">
        <is>
          <t>9</t>
        </is>
      </c>
      <c r="O854" s="11" t="inlineStr">
        <is>
          <t>10</t>
        </is>
      </c>
      <c r="P854" s="11" t="inlineStr">
        <is>
          <t>11</t>
        </is>
      </c>
      <c r="Q854" s="11" t="inlineStr">
        <is>
          <t>12</t>
        </is>
      </c>
      <c r="R854" s="11" t="inlineStr">
        <is>
          <t>13</t>
        </is>
      </c>
      <c r="S854" s="11" t="inlineStr">
        <is>
          <t>14</t>
        </is>
      </c>
      <c r="T854" s="11" t="inlineStr">
        <is>
          <t>15</t>
        </is>
      </c>
      <c r="U854" s="11" t="inlineStr">
        <is>
          <t>16</t>
        </is>
      </c>
      <c r="V854" s="11" t="inlineStr">
        <is>
          <t>17</t>
        </is>
      </c>
      <c r="W854" s="11" t="inlineStr">
        <is>
          <t>18</t>
        </is>
      </c>
      <c r="X854" s="11" t="inlineStr">
        <is>
          <t>19</t>
        </is>
      </c>
      <c r="Y854" s="11" t="inlineStr">
        <is>
          <t>20</t>
        </is>
      </c>
      <c r="Z854" s="11" t="inlineStr">
        <is>
          <t>21</t>
        </is>
      </c>
      <c r="AA854" s="11" t="inlineStr">
        <is>
          <t>22</t>
        </is>
      </c>
      <c r="AB854" s="11" t="inlineStr">
        <is>
          <t>23</t>
        </is>
      </c>
      <c r="AC854" s="11" t="inlineStr">
        <is>
          <t>24</t>
        </is>
      </c>
      <c r="AD854" s="11" t="inlineStr">
        <is>
          <t>25</t>
        </is>
      </c>
      <c r="AE854" s="11" t="inlineStr">
        <is>
          <t>26</t>
        </is>
      </c>
      <c r="AF854" s="11" t="inlineStr">
        <is>
          <t>27</t>
        </is>
      </c>
      <c r="AG854" s="11" t="inlineStr">
        <is>
          <t>28</t>
        </is>
      </c>
      <c r="AH854" s="11" t="inlineStr">
        <is>
          <t>29</t>
        </is>
      </c>
      <c r="AI854" s="11" t="inlineStr">
        <is>
          <t>30</t>
        </is>
      </c>
    </row>
    <row r="855">
      <c r="A855" s="4" t="inlineStr">
        <is>
          <t>Студент1.1</t>
        </is>
      </c>
      <c r="B855" s="4" t="inlineStr"/>
      <c r="C855" s="4" t="n"/>
      <c r="D855" s="4" t="n"/>
      <c r="E855" s="4" t="n"/>
      <c r="F855" s="15" t="n"/>
      <c r="G855" s="15" t="n"/>
      <c r="H855" s="15" t="n"/>
      <c r="I855" s="15" t="n"/>
      <c r="J855" s="15" t="n"/>
      <c r="K855" s="15" t="n"/>
      <c r="L855" s="15" t="n"/>
      <c r="M855" s="15" t="n"/>
      <c r="N855" s="15" t="n"/>
      <c r="O855" s="15" t="n"/>
      <c r="P855" s="15" t="n"/>
      <c r="Q855" s="15" t="n"/>
      <c r="R855" s="15" t="n"/>
      <c r="S855" s="15" t="n"/>
      <c r="T855" s="15" t="n"/>
      <c r="U855" s="15" t="n"/>
      <c r="V855" s="15" t="n"/>
      <c r="W855" s="15" t="n"/>
      <c r="X855" s="15" t="n"/>
      <c r="Y855" s="15" t="n"/>
      <c r="Z855" s="15" t="n"/>
      <c r="AA855" s="15" t="n"/>
      <c r="AB855" s="15" t="n"/>
      <c r="AC855" s="15" t="n"/>
      <c r="AD855" s="15" t="n"/>
      <c r="AE855" s="15" t="n"/>
      <c r="AF855" s="15" t="n"/>
      <c r="AG855" s="15" t="n"/>
      <c r="AH855" s="15" t="n"/>
      <c r="AI855" s="15" t="n"/>
    </row>
    <row r="856">
      <c r="A856" s="4" t="inlineStr">
        <is>
          <t>Студент1.2</t>
        </is>
      </c>
      <c r="B856" s="4" t="inlineStr"/>
      <c r="C856" s="4" t="n"/>
      <c r="D856" s="4" t="n"/>
      <c r="E856" s="4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5" t="n"/>
      <c r="P856" s="15" t="n"/>
      <c r="Q856" s="15" t="n"/>
      <c r="R856" s="15" t="n"/>
      <c r="S856" s="15" t="n"/>
      <c r="T856" s="15" t="n"/>
      <c r="U856" s="15" t="n"/>
      <c r="V856" s="15" t="n"/>
      <c r="W856" s="15" t="n"/>
      <c r="X856" s="15" t="n"/>
      <c r="Y856" s="15" t="n"/>
      <c r="Z856" s="15" t="n"/>
      <c r="AA856" s="15" t="n"/>
      <c r="AB856" s="15" t="n"/>
      <c r="AC856" s="15" t="n"/>
      <c r="AD856" s="15" t="n"/>
      <c r="AE856" s="15" t="n"/>
      <c r="AF856" s="15" t="n"/>
      <c r="AG856" s="15" t="n"/>
      <c r="AH856" s="15" t="n"/>
      <c r="AI856" s="15" t="n"/>
    </row>
    <row r="857">
      <c r="A857" s="4" t="inlineStr">
        <is>
          <t>Студент1.3</t>
        </is>
      </c>
      <c r="B857" s="4" t="inlineStr"/>
      <c r="C857" s="4" t="n"/>
      <c r="D857" s="4" t="n"/>
      <c r="E857" s="4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  <c r="O857" s="15" t="n"/>
      <c r="P857" s="15" t="n"/>
      <c r="Q857" s="15" t="n"/>
      <c r="R857" s="15" t="n"/>
      <c r="S857" s="15" t="n"/>
      <c r="T857" s="15" t="n"/>
      <c r="U857" s="15" t="n"/>
      <c r="V857" s="15" t="n"/>
      <c r="W857" s="15" t="n"/>
      <c r="X857" s="15" t="n"/>
      <c r="Y857" s="15" t="n"/>
      <c r="Z857" s="15" t="n"/>
      <c r="AA857" s="15" t="n"/>
      <c r="AB857" s="15" t="n"/>
      <c r="AC857" s="15" t="n"/>
      <c r="AD857" s="15" t="n"/>
      <c r="AE857" s="15" t="n"/>
      <c r="AF857" s="15" t="n"/>
      <c r="AG857" s="15" t="n"/>
      <c r="AH857" s="15" t="n"/>
      <c r="AI857" s="15" t="n"/>
    </row>
    <row r="858">
      <c r="A858" s="4" t="inlineStr">
        <is>
          <t>Студент1.4</t>
        </is>
      </c>
      <c r="B858" s="4" t="inlineStr"/>
      <c r="C858" s="4" t="n"/>
      <c r="D858" s="4" t="n"/>
      <c r="E858" s="4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  <c r="O858" s="15" t="n"/>
      <c r="P858" s="15" t="n"/>
      <c r="Q858" s="15" t="n"/>
      <c r="R858" s="15" t="n"/>
      <c r="S858" s="15" t="n"/>
      <c r="T858" s="15" t="n"/>
      <c r="U858" s="15" t="n"/>
      <c r="V858" s="15" t="n"/>
      <c r="W858" s="15" t="n"/>
      <c r="X858" s="15" t="n"/>
      <c r="Y858" s="15" t="n"/>
      <c r="Z858" s="15" t="n"/>
      <c r="AA858" s="15" t="n"/>
      <c r="AB858" s="15" t="n"/>
      <c r="AC858" s="15" t="n"/>
      <c r="AD858" s="15" t="n"/>
      <c r="AE858" s="15" t="n"/>
      <c r="AF858" s="15" t="n"/>
      <c r="AG858" s="15" t="n"/>
      <c r="AH858" s="15" t="n"/>
      <c r="AI858" s="15" t="n"/>
    </row>
    <row r="859">
      <c r="A859" s="4" t="inlineStr">
        <is>
          <t>Студент1.5</t>
        </is>
      </c>
      <c r="B859" s="4" t="inlineStr"/>
      <c r="C859" s="4" t="n"/>
      <c r="D859" s="4" t="n"/>
      <c r="E859" s="4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  <c r="O859" s="15" t="n"/>
      <c r="P859" s="15" t="n"/>
      <c r="Q859" s="15" t="n"/>
      <c r="R859" s="15" t="n"/>
      <c r="S859" s="15" t="n"/>
      <c r="T859" s="15" t="n"/>
      <c r="U859" s="15" t="n"/>
      <c r="V859" s="15" t="n"/>
      <c r="W859" s="15" t="n"/>
      <c r="X859" s="15" t="n"/>
      <c r="Y859" s="15" t="n"/>
      <c r="Z859" s="15" t="n"/>
      <c r="AA859" s="15" t="n"/>
      <c r="AB859" s="15" t="n"/>
      <c r="AC859" s="15" t="n"/>
      <c r="AD859" s="15" t="n"/>
      <c r="AE859" s="15" t="n"/>
      <c r="AF859" s="15" t="n"/>
      <c r="AG859" s="15" t="n"/>
      <c r="AH859" s="15" t="n"/>
      <c r="AI859" s="15" t="n"/>
    </row>
    <row r="860">
      <c r="A860" s="4" t="inlineStr">
        <is>
          <t>Студент1.6</t>
        </is>
      </c>
      <c r="B860" s="4" t="inlineStr"/>
      <c r="C860" s="4" t="n"/>
      <c r="D860" s="4" t="n"/>
      <c r="E860" s="4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  <c r="O860" s="15" t="n"/>
      <c r="P860" s="15" t="n"/>
      <c r="Q860" s="15" t="n"/>
      <c r="R860" s="15" t="n"/>
      <c r="S860" s="15" t="n"/>
      <c r="T860" s="15" t="n"/>
      <c r="U860" s="15" t="n"/>
      <c r="V860" s="15" t="n"/>
      <c r="W860" s="15" t="n"/>
      <c r="X860" s="15" t="n"/>
      <c r="Y860" s="15" t="n"/>
      <c r="Z860" s="15" t="n"/>
      <c r="AA860" s="15" t="n"/>
      <c r="AB860" s="15" t="n"/>
      <c r="AC860" s="15" t="n"/>
      <c r="AD860" s="15" t="n"/>
      <c r="AE860" s="15" t="n"/>
      <c r="AF860" s="15" t="n"/>
      <c r="AG860" s="15" t="n"/>
      <c r="AH860" s="15" t="n"/>
      <c r="AI860" s="15" t="n"/>
    </row>
    <row r="861">
      <c r="A861" s="4" t="inlineStr">
        <is>
          <t>Студент1.7</t>
        </is>
      </c>
      <c r="B861" s="4" t="inlineStr"/>
      <c r="C861" s="4" t="n"/>
      <c r="D861" s="4" t="n"/>
      <c r="E861" s="4" t="n"/>
      <c r="F861" s="15" t="n"/>
      <c r="G861" s="15" t="n"/>
      <c r="H861" s="15" t="n"/>
      <c r="I861" s="15" t="n"/>
      <c r="J861" s="15" t="n"/>
      <c r="K861" s="15" t="n"/>
      <c r="L861" s="15" t="n"/>
      <c r="M861" s="15" t="n"/>
      <c r="N861" s="15" t="n"/>
      <c r="O861" s="15" t="n"/>
      <c r="P861" s="15" t="n"/>
      <c r="Q861" s="15" t="n"/>
      <c r="R861" s="15" t="n"/>
      <c r="S861" s="15" t="n"/>
      <c r="T861" s="15" t="n"/>
      <c r="U861" s="15" t="n"/>
      <c r="V861" s="15" t="n"/>
      <c r="W861" s="15" t="n"/>
      <c r="X861" s="15" t="n"/>
      <c r="Y861" s="15" t="n"/>
      <c r="Z861" s="15" t="n"/>
      <c r="AA861" s="15" t="n"/>
      <c r="AB861" s="15" t="n"/>
      <c r="AC861" s="15" t="n"/>
      <c r="AD861" s="15" t="n"/>
      <c r="AE861" s="15" t="n"/>
      <c r="AF861" s="15" t="n"/>
      <c r="AG861" s="15" t="n"/>
      <c r="AH861" s="15" t="n"/>
      <c r="AI861" s="15" t="n"/>
    </row>
    <row r="862">
      <c r="A862" s="4" t="inlineStr">
        <is>
          <t>Студент1.8</t>
        </is>
      </c>
      <c r="B862" s="4" t="inlineStr"/>
      <c r="C862" s="4" t="n"/>
      <c r="D862" s="4" t="n"/>
      <c r="E862" s="4" t="n"/>
      <c r="F862" s="15" t="n"/>
      <c r="G862" s="15" t="n"/>
      <c r="H862" s="15" t="n"/>
      <c r="I862" s="15" t="n"/>
      <c r="J862" s="15" t="n"/>
      <c r="K862" s="15" t="n"/>
      <c r="L862" s="15" t="n"/>
      <c r="M862" s="15" t="n"/>
      <c r="N862" s="15" t="n"/>
      <c r="O862" s="15" t="n"/>
      <c r="P862" s="15" t="n"/>
      <c r="Q862" s="15" t="n"/>
      <c r="R862" s="15" t="n"/>
      <c r="S862" s="15" t="n"/>
      <c r="T862" s="15" t="n"/>
      <c r="U862" s="15" t="n"/>
      <c r="V862" s="15" t="n"/>
      <c r="W862" s="15" t="n"/>
      <c r="X862" s="15" t="n"/>
      <c r="Y862" s="15" t="n"/>
      <c r="Z862" s="15" t="n"/>
      <c r="AA862" s="15" t="n"/>
      <c r="AB862" s="15" t="n"/>
      <c r="AC862" s="15" t="n"/>
      <c r="AD862" s="15" t="n"/>
      <c r="AE862" s="15" t="n"/>
      <c r="AF862" s="15" t="n"/>
      <c r="AG862" s="15" t="n"/>
      <c r="AH862" s="15" t="n"/>
      <c r="AI862" s="15" t="n"/>
    </row>
    <row r="863">
      <c r="A863" s="4" t="inlineStr">
        <is>
          <t>Студент1.9</t>
        </is>
      </c>
      <c r="B863" s="4" t="inlineStr"/>
      <c r="C863" s="4" t="n"/>
      <c r="D863" s="4" t="n"/>
      <c r="E863" s="4" t="n"/>
      <c r="F863" s="15" t="n"/>
      <c r="G863" s="15" t="n"/>
      <c r="H863" s="15" t="n"/>
      <c r="I863" s="15" t="n"/>
      <c r="J863" s="15" t="n"/>
      <c r="K863" s="15" t="n"/>
      <c r="L863" s="15" t="n"/>
      <c r="M863" s="15" t="n"/>
      <c r="N863" s="15" t="n"/>
      <c r="O863" s="15" t="n"/>
      <c r="P863" s="15" t="n"/>
      <c r="Q863" s="15" t="n"/>
      <c r="R863" s="15" t="n"/>
      <c r="S863" s="15" t="n"/>
      <c r="T863" s="15" t="n"/>
      <c r="U863" s="15" t="n"/>
      <c r="V863" s="15" t="n"/>
      <c r="W863" s="15" t="n"/>
      <c r="X863" s="15" t="n"/>
      <c r="Y863" s="15" t="n"/>
      <c r="Z863" s="15" t="n"/>
      <c r="AA863" s="15" t="n"/>
      <c r="AB863" s="15" t="n"/>
      <c r="AC863" s="15" t="n"/>
      <c r="AD863" s="15" t="n"/>
      <c r="AE863" s="15" t="n"/>
      <c r="AF863" s="15" t="n"/>
      <c r="AG863" s="15" t="n"/>
      <c r="AH863" s="15" t="n"/>
      <c r="AI863" s="15" t="n"/>
    </row>
    <row r="864">
      <c r="A864" s="4" t="inlineStr">
        <is>
          <t>Студент1.10</t>
        </is>
      </c>
      <c r="B864" s="4" t="inlineStr"/>
      <c r="C864" s="4" t="n"/>
      <c r="D864" s="4" t="n"/>
      <c r="E864" s="4" t="n"/>
      <c r="F864" s="15" t="n"/>
      <c r="G864" s="15" t="n"/>
      <c r="H864" s="15" t="n"/>
      <c r="I864" s="15" t="n"/>
      <c r="J864" s="15" t="n"/>
      <c r="K864" s="15" t="n"/>
      <c r="L864" s="15" t="n"/>
      <c r="M864" s="15" t="n"/>
      <c r="N864" s="15" t="n"/>
      <c r="O864" s="15" t="n"/>
      <c r="P864" s="15" t="n"/>
      <c r="Q864" s="15" t="n"/>
      <c r="R864" s="15" t="n"/>
      <c r="S864" s="15" t="n"/>
      <c r="T864" s="15" t="n"/>
      <c r="U864" s="15" t="n"/>
      <c r="V864" s="15" t="n"/>
      <c r="W864" s="15" t="n"/>
      <c r="X864" s="15" t="n"/>
      <c r="Y864" s="15" t="n"/>
      <c r="Z864" s="15" t="n"/>
      <c r="AA864" s="15" t="n"/>
      <c r="AB864" s="15" t="n"/>
      <c r="AC864" s="15" t="n"/>
      <c r="AD864" s="15" t="n"/>
      <c r="AE864" s="15" t="n"/>
      <c r="AF864" s="15" t="n"/>
      <c r="AG864" s="15" t="n"/>
      <c r="AH864" s="15" t="n"/>
      <c r="AI864" s="15" t="n"/>
    </row>
    <row r="865">
      <c r="A865" s="4" t="inlineStr">
        <is>
          <t>Студент1.11</t>
        </is>
      </c>
      <c r="B865" s="4" t="inlineStr"/>
      <c r="C865" s="4" t="n"/>
      <c r="D865" s="4" t="n"/>
      <c r="E865" s="4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  <c r="O865" s="15" t="n"/>
      <c r="P865" s="15" t="n"/>
      <c r="Q865" s="15" t="n"/>
      <c r="R865" s="15" t="n"/>
      <c r="S865" s="15" t="n"/>
      <c r="T865" s="15" t="n"/>
      <c r="U865" s="15" t="n"/>
      <c r="V865" s="15" t="n"/>
      <c r="W865" s="15" t="n"/>
      <c r="X865" s="15" t="n"/>
      <c r="Y865" s="15" t="n"/>
      <c r="Z865" s="15" t="n"/>
      <c r="AA865" s="15" t="n"/>
      <c r="AB865" s="15" t="n"/>
      <c r="AC865" s="15" t="n"/>
      <c r="AD865" s="15" t="n"/>
      <c r="AE865" s="15" t="n"/>
      <c r="AF865" s="15" t="n"/>
      <c r="AG865" s="15" t="n"/>
      <c r="AH865" s="15" t="n"/>
      <c r="AI865" s="15" t="n"/>
    </row>
    <row r="866">
      <c r="A866" s="4" t="inlineStr">
        <is>
          <t>Студент1.12</t>
        </is>
      </c>
      <c r="B866" s="4" t="inlineStr"/>
      <c r="C866" s="4" t="n"/>
      <c r="D866" s="4" t="n"/>
      <c r="E866" s="4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  <c r="O866" s="15" t="n"/>
      <c r="P866" s="15" t="n"/>
      <c r="Q866" s="15" t="n"/>
      <c r="R866" s="15" t="n"/>
      <c r="S866" s="15" t="n"/>
      <c r="T866" s="15" t="n"/>
      <c r="U866" s="15" t="n"/>
      <c r="V866" s="15" t="n"/>
      <c r="W866" s="15" t="n"/>
      <c r="X866" s="15" t="n"/>
      <c r="Y866" s="15" t="n"/>
      <c r="Z866" s="15" t="n"/>
      <c r="AA866" s="15" t="n"/>
      <c r="AB866" s="15" t="n"/>
      <c r="AC866" s="15" t="n"/>
      <c r="AD866" s="15" t="n"/>
      <c r="AE866" s="15" t="n"/>
      <c r="AF866" s="15" t="n"/>
      <c r="AG866" s="15" t="n"/>
      <c r="AH866" s="15" t="n"/>
      <c r="AI866" s="15" t="n"/>
    </row>
    <row r="867">
      <c r="A867" s="4" t="inlineStr">
        <is>
          <t>Студент1.13</t>
        </is>
      </c>
      <c r="B867" s="4" t="inlineStr"/>
      <c r="C867" s="4" t="n"/>
      <c r="D867" s="4" t="n"/>
      <c r="E867" s="4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  <c r="O867" s="15" t="n"/>
      <c r="P867" s="15" t="n"/>
      <c r="Q867" s="15" t="n"/>
      <c r="R867" s="15" t="n"/>
      <c r="S867" s="15" t="n"/>
      <c r="T867" s="15" t="n"/>
      <c r="U867" s="15" t="n"/>
      <c r="V867" s="15" t="n"/>
      <c r="W867" s="15" t="n"/>
      <c r="X867" s="15" t="n"/>
      <c r="Y867" s="15" t="n"/>
      <c r="Z867" s="15" t="n"/>
      <c r="AA867" s="15" t="n"/>
      <c r="AB867" s="15" t="n"/>
      <c r="AC867" s="15" t="n"/>
      <c r="AD867" s="15" t="n"/>
      <c r="AE867" s="15" t="n"/>
      <c r="AF867" s="15" t="n"/>
      <c r="AG867" s="15" t="n"/>
      <c r="AH867" s="15" t="n"/>
      <c r="AI867" s="15" t="n"/>
    </row>
    <row r="868">
      <c r="A868" s="4" t="inlineStr">
        <is>
          <t>Студент1.14</t>
        </is>
      </c>
      <c r="B868" s="4" t="inlineStr"/>
      <c r="C868" s="4" t="n"/>
      <c r="D868" s="4" t="n"/>
      <c r="E868" s="4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  <c r="O868" s="15" t="n"/>
      <c r="P868" s="15" t="n"/>
      <c r="Q868" s="15" t="n"/>
      <c r="R868" s="15" t="n"/>
      <c r="S868" s="15" t="n"/>
      <c r="T868" s="15" t="n"/>
      <c r="U868" s="15" t="n"/>
      <c r="V868" s="15" t="n"/>
      <c r="W868" s="15" t="n"/>
      <c r="X868" s="15" t="n"/>
      <c r="Y868" s="15" t="n"/>
      <c r="Z868" s="15" t="n"/>
      <c r="AA868" s="15" t="n"/>
      <c r="AB868" s="15" t="n"/>
      <c r="AC868" s="15" t="n"/>
      <c r="AD868" s="15" t="n"/>
      <c r="AE868" s="15" t="n"/>
      <c r="AF868" s="15" t="n"/>
      <c r="AG868" s="15" t="n"/>
      <c r="AH868" s="15" t="n"/>
      <c r="AI868" s="15" t="n"/>
    </row>
    <row r="869">
      <c r="A869" s="4" t="inlineStr">
        <is>
          <t>Студент1.15</t>
        </is>
      </c>
      <c r="B869" s="4" t="inlineStr"/>
      <c r="C869" s="4" t="n"/>
      <c r="D869" s="4" t="n"/>
      <c r="E869" s="4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  <c r="O869" s="15" t="n"/>
      <c r="P869" s="15" t="n"/>
      <c r="Q869" s="15" t="n"/>
      <c r="R869" s="15" t="n"/>
      <c r="S869" s="15" t="n"/>
      <c r="T869" s="15" t="n"/>
      <c r="U869" s="15" t="n"/>
      <c r="V869" s="15" t="n"/>
      <c r="W869" s="15" t="n"/>
      <c r="X869" s="15" t="n"/>
      <c r="Y869" s="15" t="n"/>
      <c r="Z869" s="15" t="n"/>
      <c r="AA869" s="15" t="n"/>
      <c r="AB869" s="15" t="n"/>
      <c r="AC869" s="15" t="n"/>
      <c r="AD869" s="15" t="n"/>
      <c r="AE869" s="15" t="n"/>
      <c r="AF869" s="15" t="n"/>
      <c r="AG869" s="15" t="n"/>
      <c r="AH869" s="15" t="n"/>
      <c r="AI869" s="15" t="n"/>
    </row>
    <row r="870">
      <c r="A870" s="4" t="inlineStr">
        <is>
          <t>Студент1.16</t>
        </is>
      </c>
      <c r="B870" s="4" t="inlineStr"/>
      <c r="C870" s="4" t="n"/>
      <c r="D870" s="4" t="n"/>
      <c r="E870" s="4" t="n"/>
      <c r="F870" s="15" t="n"/>
      <c r="G870" s="15" t="n"/>
      <c r="H870" s="15" t="n"/>
      <c r="I870" s="15" t="n"/>
      <c r="J870" s="15" t="n"/>
      <c r="K870" s="15" t="n"/>
      <c r="L870" s="15" t="n"/>
      <c r="M870" s="15" t="n"/>
      <c r="N870" s="15" t="n"/>
      <c r="O870" s="15" t="n"/>
      <c r="P870" s="15" t="n"/>
      <c r="Q870" s="15" t="n"/>
      <c r="R870" s="15" t="n"/>
      <c r="S870" s="15" t="n"/>
      <c r="T870" s="15" t="n"/>
      <c r="U870" s="15" t="n"/>
      <c r="V870" s="15" t="n"/>
      <c r="W870" s="15" t="n"/>
      <c r="X870" s="15" t="n"/>
      <c r="Y870" s="15" t="n"/>
      <c r="Z870" s="15" t="n"/>
      <c r="AA870" s="15" t="n"/>
      <c r="AB870" s="15" t="n"/>
      <c r="AC870" s="15" t="n"/>
      <c r="AD870" s="15" t="n"/>
      <c r="AE870" s="15" t="n"/>
      <c r="AF870" s="15" t="n"/>
      <c r="AG870" s="15" t="n"/>
      <c r="AH870" s="15" t="n"/>
      <c r="AI870" s="15" t="n"/>
    </row>
    <row r="871">
      <c r="A871" s="4" t="inlineStr">
        <is>
          <t>Студент1.17</t>
        </is>
      </c>
      <c r="B871" s="4" t="inlineStr"/>
      <c r="C871" s="4" t="n"/>
      <c r="D871" s="4" t="n"/>
      <c r="E871" s="4" t="n"/>
      <c r="F871" s="15" t="n"/>
      <c r="G871" s="15" t="n"/>
      <c r="H871" s="15" t="n"/>
      <c r="I871" s="15" t="n"/>
      <c r="J871" s="15" t="n"/>
      <c r="K871" s="15" t="n"/>
      <c r="L871" s="15" t="n"/>
      <c r="M871" s="15" t="n"/>
      <c r="N871" s="15" t="n"/>
      <c r="O871" s="15" t="n"/>
      <c r="P871" s="15" t="n"/>
      <c r="Q871" s="15" t="n"/>
      <c r="R871" s="15" t="n"/>
      <c r="S871" s="15" t="n"/>
      <c r="T871" s="15" t="n"/>
      <c r="U871" s="15" t="n"/>
      <c r="V871" s="15" t="n"/>
      <c r="W871" s="15" t="n"/>
      <c r="X871" s="15" t="n"/>
      <c r="Y871" s="15" t="n"/>
      <c r="Z871" s="15" t="n"/>
      <c r="AA871" s="15" t="n"/>
      <c r="AB871" s="15" t="n"/>
      <c r="AC871" s="15" t="n"/>
      <c r="AD871" s="15" t="n"/>
      <c r="AE871" s="15" t="n"/>
      <c r="AF871" s="15" t="n"/>
      <c r="AG871" s="15" t="n"/>
      <c r="AH871" s="15" t="n"/>
      <c r="AI871" s="15" t="n"/>
    </row>
    <row r="872">
      <c r="A872" s="4" t="inlineStr">
        <is>
          <t>Студент1.18</t>
        </is>
      </c>
      <c r="B872" s="4" t="inlineStr"/>
      <c r="C872" s="4" t="n"/>
      <c r="D872" s="4" t="n"/>
      <c r="E872" s="4" t="n"/>
      <c r="F872" s="15" t="n"/>
      <c r="G872" s="15" t="n"/>
      <c r="H872" s="15" t="n"/>
      <c r="I872" s="15" t="n"/>
      <c r="J872" s="15" t="n"/>
      <c r="K872" s="15" t="n"/>
      <c r="L872" s="15" t="n"/>
      <c r="M872" s="15" t="n"/>
      <c r="N872" s="15" t="n"/>
      <c r="O872" s="15" t="n"/>
      <c r="P872" s="15" t="n"/>
      <c r="Q872" s="15" t="n"/>
      <c r="R872" s="15" t="n"/>
      <c r="S872" s="15" t="n"/>
      <c r="T872" s="15" t="n"/>
      <c r="U872" s="15" t="n"/>
      <c r="V872" s="15" t="n"/>
      <c r="W872" s="15" t="n"/>
      <c r="X872" s="15" t="n"/>
      <c r="Y872" s="15" t="n"/>
      <c r="Z872" s="15" t="n"/>
      <c r="AA872" s="15" t="n"/>
      <c r="AB872" s="15" t="n"/>
      <c r="AC872" s="15" t="n"/>
      <c r="AD872" s="15" t="n"/>
      <c r="AE872" s="15" t="n"/>
      <c r="AF872" s="15" t="n"/>
      <c r="AG872" s="15" t="n"/>
      <c r="AH872" s="15" t="n"/>
      <c r="AI872" s="15" t="n"/>
    </row>
    <row r="873">
      <c r="A873" s="4" t="inlineStr">
        <is>
          <t>Студент1.19</t>
        </is>
      </c>
      <c r="B873" s="4" t="inlineStr"/>
      <c r="C873" s="4" t="n"/>
      <c r="D873" s="4" t="n"/>
      <c r="E873" s="4" t="n"/>
      <c r="F873" s="15" t="n"/>
      <c r="G873" s="15" t="n"/>
      <c r="H873" s="15" t="n"/>
      <c r="I873" s="15" t="n"/>
      <c r="J873" s="15" t="n"/>
      <c r="K873" s="15" t="n"/>
      <c r="L873" s="15" t="n"/>
      <c r="M873" s="15" t="n"/>
      <c r="N873" s="15" t="n"/>
      <c r="O873" s="15" t="n"/>
      <c r="P873" s="15" t="n"/>
      <c r="Q873" s="15" t="n"/>
      <c r="R873" s="15" t="n"/>
      <c r="S873" s="15" t="n"/>
      <c r="T873" s="15" t="n"/>
      <c r="U873" s="15" t="n"/>
      <c r="V873" s="15" t="n"/>
      <c r="W873" s="15" t="n"/>
      <c r="X873" s="15" t="n"/>
      <c r="Y873" s="15" t="n"/>
      <c r="Z873" s="15" t="n"/>
      <c r="AA873" s="15" t="n"/>
      <c r="AB873" s="15" t="n"/>
      <c r="AC873" s="15" t="n"/>
      <c r="AD873" s="15" t="n"/>
      <c r="AE873" s="15" t="n"/>
      <c r="AF873" s="15" t="n"/>
      <c r="AG873" s="15" t="n"/>
      <c r="AH873" s="15" t="n"/>
      <c r="AI873" s="15" t="n"/>
    </row>
    <row r="874">
      <c r="A874" s="4" t="inlineStr">
        <is>
          <t>Студент1.20</t>
        </is>
      </c>
      <c r="B874" s="4" t="inlineStr"/>
      <c r="C874" s="4" t="n"/>
      <c r="D874" s="4" t="n"/>
      <c r="E874" s="4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  <c r="O874" s="15" t="n"/>
      <c r="P874" s="15" t="n"/>
      <c r="Q874" s="15" t="n"/>
      <c r="R874" s="15" t="n"/>
      <c r="S874" s="15" t="n"/>
      <c r="T874" s="15" t="n"/>
      <c r="U874" s="15" t="n"/>
      <c r="V874" s="15" t="n"/>
      <c r="W874" s="15" t="n"/>
      <c r="X874" s="15" t="n"/>
      <c r="Y874" s="15" t="n"/>
      <c r="Z874" s="15" t="n"/>
      <c r="AA874" s="15" t="n"/>
      <c r="AB874" s="15" t="n"/>
      <c r="AC874" s="15" t="n"/>
      <c r="AD874" s="15" t="n"/>
      <c r="AE874" s="15" t="n"/>
      <c r="AF874" s="15" t="n"/>
      <c r="AG874" s="15" t="n"/>
      <c r="AH874" s="15" t="n"/>
      <c r="AI874" s="15" t="n"/>
    </row>
    <row r="875">
      <c r="A875" s="4" t="inlineStr">
        <is>
          <t>Студент1.21</t>
        </is>
      </c>
      <c r="B875" s="4" t="inlineStr"/>
      <c r="C875" s="4" t="n"/>
      <c r="D875" s="4" t="n"/>
      <c r="E875" s="4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  <c r="O875" s="15" t="n"/>
      <c r="P875" s="15" t="n"/>
      <c r="Q875" s="15" t="n"/>
      <c r="R875" s="15" t="n"/>
      <c r="S875" s="15" t="n"/>
      <c r="T875" s="15" t="n"/>
      <c r="U875" s="15" t="n"/>
      <c r="V875" s="15" t="n"/>
      <c r="W875" s="15" t="n"/>
      <c r="X875" s="15" t="n"/>
      <c r="Y875" s="15" t="n"/>
      <c r="Z875" s="15" t="n"/>
      <c r="AA875" s="15" t="n"/>
      <c r="AB875" s="15" t="n"/>
      <c r="AC875" s="15" t="n"/>
      <c r="AD875" s="15" t="n"/>
      <c r="AE875" s="15" t="n"/>
      <c r="AF875" s="15" t="n"/>
      <c r="AG875" s="15" t="n"/>
      <c r="AH875" s="15" t="n"/>
      <c r="AI875" s="15" t="n"/>
    </row>
    <row r="876">
      <c r="A876" s="4" t="inlineStr">
        <is>
          <t>Студент1.22</t>
        </is>
      </c>
      <c r="B876" s="4" t="inlineStr"/>
      <c r="C876" s="4" t="n"/>
      <c r="D876" s="4" t="n"/>
      <c r="E876" s="4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  <c r="O876" s="15" t="n"/>
      <c r="P876" s="15" t="n"/>
      <c r="Q876" s="15" t="n"/>
      <c r="R876" s="15" t="n"/>
      <c r="S876" s="15" t="n"/>
      <c r="T876" s="15" t="n"/>
      <c r="U876" s="15" t="n"/>
      <c r="V876" s="15" t="n"/>
      <c r="W876" s="15" t="n"/>
      <c r="X876" s="15" t="n"/>
      <c r="Y876" s="15" t="n"/>
      <c r="Z876" s="15" t="n"/>
      <c r="AA876" s="15" t="n"/>
      <c r="AB876" s="15" t="n"/>
      <c r="AC876" s="15" t="n"/>
      <c r="AD876" s="15" t="n"/>
      <c r="AE876" s="15" t="n"/>
      <c r="AF876" s="15" t="n"/>
      <c r="AG876" s="15" t="n"/>
      <c r="AH876" s="15" t="n"/>
      <c r="AI876" s="15" t="n"/>
    </row>
    <row r="877">
      <c r="A877" s="4" t="inlineStr">
        <is>
          <t>Студент1.23</t>
        </is>
      </c>
      <c r="B877" s="4" t="inlineStr"/>
      <c r="C877" s="4" t="n"/>
      <c r="D877" s="4" t="n"/>
      <c r="E877" s="4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  <c r="O877" s="15" t="n"/>
      <c r="P877" s="15" t="n"/>
      <c r="Q877" s="15" t="n"/>
      <c r="R877" s="15" t="n"/>
      <c r="S877" s="15" t="n"/>
      <c r="T877" s="15" t="n"/>
      <c r="U877" s="15" t="n"/>
      <c r="V877" s="15" t="n"/>
      <c r="W877" s="15" t="n"/>
      <c r="X877" s="15" t="n"/>
      <c r="Y877" s="15" t="n"/>
      <c r="Z877" s="15" t="n"/>
      <c r="AA877" s="15" t="n"/>
      <c r="AB877" s="15" t="n"/>
      <c r="AC877" s="15" t="n"/>
      <c r="AD877" s="15" t="n"/>
      <c r="AE877" s="15" t="n"/>
      <c r="AF877" s="15" t="n"/>
      <c r="AG877" s="15" t="n"/>
      <c r="AH877" s="15" t="n"/>
      <c r="AI877" s="15" t="n"/>
    </row>
    <row r="878">
      <c r="A878" s="4" t="inlineStr">
        <is>
          <t>Студент1.24</t>
        </is>
      </c>
      <c r="B878" s="4" t="inlineStr"/>
      <c r="C878" s="4" t="n"/>
      <c r="D878" s="4" t="n"/>
      <c r="E878" s="4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  <c r="O878" s="15" t="n"/>
      <c r="P878" s="15" t="n"/>
      <c r="Q878" s="15" t="n"/>
      <c r="R878" s="15" t="n"/>
      <c r="S878" s="15" t="n"/>
      <c r="T878" s="15" t="n"/>
      <c r="U878" s="15" t="n"/>
      <c r="V878" s="15" t="n"/>
      <c r="W878" s="15" t="n"/>
      <c r="X878" s="15" t="n"/>
      <c r="Y878" s="15" t="n"/>
      <c r="Z878" s="15" t="n"/>
      <c r="AA878" s="15" t="n"/>
      <c r="AB878" s="15" t="n"/>
      <c r="AC878" s="15" t="n"/>
      <c r="AD878" s="15" t="n"/>
      <c r="AE878" s="15" t="n"/>
      <c r="AF878" s="15" t="n"/>
      <c r="AG878" s="15" t="n"/>
      <c r="AH878" s="15" t="n"/>
      <c r="AI878" s="15" t="n"/>
    </row>
    <row r="879">
      <c r="A879" s="4" t="inlineStr">
        <is>
          <t>Студент1.25</t>
        </is>
      </c>
      <c r="B879" s="4" t="inlineStr"/>
      <c r="C879" s="4" t="n"/>
      <c r="D879" s="4" t="n"/>
      <c r="E879" s="4" t="n"/>
      <c r="F879" s="15" t="n"/>
      <c r="G879" s="15" t="n"/>
      <c r="H879" s="15" t="n"/>
      <c r="I879" s="15" t="n"/>
      <c r="J879" s="15" t="n"/>
      <c r="K879" s="15" t="n"/>
      <c r="L879" s="15" t="n"/>
      <c r="M879" s="15" t="n"/>
      <c r="N879" s="15" t="n"/>
      <c r="O879" s="15" t="n"/>
      <c r="P879" s="15" t="n"/>
      <c r="Q879" s="15" t="n"/>
      <c r="R879" s="15" t="n"/>
      <c r="S879" s="15" t="n"/>
      <c r="T879" s="15" t="n"/>
      <c r="U879" s="15" t="n"/>
      <c r="V879" s="15" t="n"/>
      <c r="W879" s="15" t="n"/>
      <c r="X879" s="15" t="n"/>
      <c r="Y879" s="15" t="n"/>
      <c r="Z879" s="15" t="n"/>
      <c r="AA879" s="15" t="n"/>
      <c r="AB879" s="15" t="n"/>
      <c r="AC879" s="15" t="n"/>
      <c r="AD879" s="15" t="n"/>
      <c r="AE879" s="15" t="n"/>
      <c r="AF879" s="15" t="n"/>
      <c r="AG879" s="15" t="n"/>
      <c r="AH879" s="15" t="n"/>
      <c r="AI879" s="15" t="n"/>
    </row>
    <row r="880">
      <c r="A880" s="4" t="inlineStr">
        <is>
          <t>Студент1.26</t>
        </is>
      </c>
      <c r="B880" s="4" t="inlineStr"/>
      <c r="C880" s="4" t="n"/>
      <c r="D880" s="4" t="n"/>
      <c r="E880" s="4" t="n"/>
      <c r="F880" s="15" t="n"/>
      <c r="G880" s="15" t="n"/>
      <c r="H880" s="15" t="n"/>
      <c r="I880" s="15" t="n"/>
      <c r="J880" s="15" t="n"/>
      <c r="K880" s="15" t="n"/>
      <c r="L880" s="15" t="n"/>
      <c r="M880" s="15" t="n"/>
      <c r="N880" s="15" t="n"/>
      <c r="O880" s="15" t="n"/>
      <c r="P880" s="15" t="n"/>
      <c r="Q880" s="15" t="n"/>
      <c r="R880" s="15" t="n"/>
      <c r="S880" s="15" t="n"/>
      <c r="T880" s="15" t="n"/>
      <c r="U880" s="15" t="n"/>
      <c r="V880" s="15" t="n"/>
      <c r="W880" s="15" t="n"/>
      <c r="X880" s="15" t="n"/>
      <c r="Y880" s="15" t="n"/>
      <c r="Z880" s="15" t="n"/>
      <c r="AA880" s="15" t="n"/>
      <c r="AB880" s="15" t="n"/>
      <c r="AC880" s="15" t="n"/>
      <c r="AD880" s="15" t="n"/>
      <c r="AE880" s="15" t="n"/>
      <c r="AF880" s="15" t="n"/>
      <c r="AG880" s="15" t="n"/>
      <c r="AH880" s="15" t="n"/>
      <c r="AI880" s="15" t="n"/>
    </row>
    <row r="881">
      <c r="A881" s="4" t="inlineStr">
        <is>
          <t>Студент1.27</t>
        </is>
      </c>
      <c r="B881" s="4" t="inlineStr"/>
      <c r="C881" s="4" t="n"/>
      <c r="D881" s="4" t="n"/>
      <c r="E881" s="4" t="n"/>
      <c r="F881" s="15" t="n"/>
      <c r="G881" s="15" t="n"/>
      <c r="H881" s="15" t="n"/>
      <c r="I881" s="15" t="n"/>
      <c r="J881" s="15" t="n"/>
      <c r="K881" s="15" t="n"/>
      <c r="L881" s="15" t="n"/>
      <c r="M881" s="15" t="n"/>
      <c r="N881" s="15" t="n"/>
      <c r="O881" s="15" t="n"/>
      <c r="P881" s="15" t="n"/>
      <c r="Q881" s="15" t="n"/>
      <c r="R881" s="15" t="n"/>
      <c r="S881" s="15" t="n"/>
      <c r="T881" s="15" t="n"/>
      <c r="U881" s="15" t="n"/>
      <c r="V881" s="15" t="n"/>
      <c r="W881" s="15" t="n"/>
      <c r="X881" s="15" t="n"/>
      <c r="Y881" s="15" t="n"/>
      <c r="Z881" s="15" t="n"/>
      <c r="AA881" s="15" t="n"/>
      <c r="AB881" s="15" t="n"/>
      <c r="AC881" s="15" t="n"/>
      <c r="AD881" s="15" t="n"/>
      <c r="AE881" s="15" t="n"/>
      <c r="AF881" s="15" t="n"/>
      <c r="AG881" s="15" t="n"/>
      <c r="AH881" s="15" t="n"/>
      <c r="AI881" s="15" t="n"/>
    </row>
    <row r="882">
      <c r="A882" s="4" t="inlineStr">
        <is>
          <t>Студент1.28</t>
        </is>
      </c>
      <c r="B882" s="4" t="inlineStr"/>
      <c r="C882" s="4" t="n"/>
      <c r="D882" s="4" t="n"/>
      <c r="E882" s="4" t="n"/>
      <c r="F882" s="15" t="n"/>
      <c r="G882" s="15" t="n"/>
      <c r="H882" s="15" t="n"/>
      <c r="I882" s="15" t="n"/>
      <c r="J882" s="15" t="n"/>
      <c r="K882" s="15" t="n"/>
      <c r="L882" s="15" t="n"/>
      <c r="M882" s="15" t="n"/>
      <c r="N882" s="15" t="n"/>
      <c r="O882" s="15" t="n"/>
      <c r="P882" s="15" t="n"/>
      <c r="Q882" s="15" t="n"/>
      <c r="R882" s="15" t="n"/>
      <c r="S882" s="15" t="n"/>
      <c r="T882" s="15" t="n"/>
      <c r="U882" s="15" t="n"/>
      <c r="V882" s="15" t="n"/>
      <c r="W882" s="15" t="n"/>
      <c r="X882" s="15" t="n"/>
      <c r="Y882" s="15" t="n"/>
      <c r="Z882" s="15" t="n"/>
      <c r="AA882" s="15" t="n"/>
      <c r="AB882" s="15" t="n"/>
      <c r="AC882" s="15" t="n"/>
      <c r="AD882" s="15" t="n"/>
      <c r="AE882" s="15" t="n"/>
      <c r="AF882" s="15" t="n"/>
      <c r="AG882" s="15" t="n"/>
      <c r="AH882" s="15" t="n"/>
      <c r="AI882" s="15" t="n"/>
    </row>
    <row r="883">
      <c r="A883" s="4" t="inlineStr">
        <is>
          <t>Студент1.29</t>
        </is>
      </c>
      <c r="B883" s="4" t="inlineStr"/>
      <c r="C883" s="4" t="n"/>
      <c r="D883" s="4" t="n"/>
      <c r="E883" s="4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  <c r="O883" s="15" t="n"/>
      <c r="P883" s="15" t="n"/>
      <c r="Q883" s="15" t="n"/>
      <c r="R883" s="15" t="n"/>
      <c r="S883" s="15" t="n"/>
      <c r="T883" s="15" t="n"/>
      <c r="U883" s="15" t="n"/>
      <c r="V883" s="15" t="n"/>
      <c r="W883" s="15" t="n"/>
      <c r="X883" s="15" t="n"/>
      <c r="Y883" s="15" t="n"/>
      <c r="Z883" s="15" t="n"/>
      <c r="AA883" s="15" t="n"/>
      <c r="AB883" s="15" t="n"/>
      <c r="AC883" s="15" t="n"/>
      <c r="AD883" s="15" t="n"/>
      <c r="AE883" s="15" t="n"/>
      <c r="AF883" s="15" t="n"/>
      <c r="AG883" s="15" t="n"/>
      <c r="AH883" s="15" t="n"/>
      <c r="AI883" s="15" t="n"/>
    </row>
    <row r="884">
      <c r="A884" s="4" t="inlineStr">
        <is>
          <t>Студент1.30</t>
        </is>
      </c>
      <c r="B884" s="4" t="inlineStr"/>
      <c r="C884" s="4" t="n"/>
      <c r="D884" s="4" t="n"/>
      <c r="E884" s="4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  <c r="O884" s="15" t="n"/>
      <c r="P884" s="15" t="n"/>
      <c r="Q884" s="15" t="n"/>
      <c r="R884" s="15" t="n"/>
      <c r="S884" s="15" t="n"/>
      <c r="T884" s="15" t="n"/>
      <c r="U884" s="15" t="n"/>
      <c r="V884" s="15" t="n"/>
      <c r="W884" s="15" t="n"/>
      <c r="X884" s="15" t="n"/>
      <c r="Y884" s="15" t="n"/>
      <c r="Z884" s="15" t="n"/>
      <c r="AA884" s="15" t="n"/>
      <c r="AB884" s="15" t="n"/>
      <c r="AC884" s="15" t="n"/>
      <c r="AD884" s="15" t="n"/>
      <c r="AE884" s="15" t="n"/>
      <c r="AF884" s="15" t="n"/>
      <c r="AG884" s="15" t="n"/>
      <c r="AH884" s="15" t="n"/>
      <c r="AI884" s="15" t="n"/>
    </row>
    <row r="888">
      <c r="A888" s="13" t="inlineStr">
        <is>
          <t>Практика 14 — плюсы</t>
        </is>
      </c>
    </row>
    <row r="889" ht="28" customHeight="1">
      <c r="A889" s="7" t="inlineStr">
        <is>
          <t>Имя</t>
        </is>
      </c>
      <c r="B889" s="9" t="inlineStr">
        <is>
          <t>TG</t>
        </is>
      </c>
      <c r="C889" s="10" t="inlineStr">
        <is>
          <t>S</t>
        </is>
      </c>
      <c r="D889" s="8" t="inlineStr">
        <is>
          <t>Коэффициент</t>
        </is>
      </c>
      <c r="E889" s="14" t="inlineStr">
        <is>
          <t>D за практику</t>
        </is>
      </c>
      <c r="F889" s="11" t="inlineStr">
        <is>
          <t>1.0</t>
        </is>
      </c>
      <c r="G889" s="11" t="inlineStr">
        <is>
          <t>2.0</t>
        </is>
      </c>
      <c r="H889" s="11" t="inlineStr">
        <is>
          <t>3.0</t>
        </is>
      </c>
      <c r="I889" s="11" t="inlineStr">
        <is>
          <t>4.0</t>
        </is>
      </c>
      <c r="J889" s="11" t="inlineStr">
        <is>
          <t>5.0</t>
        </is>
      </c>
      <c r="K889" s="11" t="inlineStr">
        <is>
          <t>6</t>
        </is>
      </c>
      <c r="L889" s="11" t="inlineStr">
        <is>
          <t>7</t>
        </is>
      </c>
      <c r="M889" s="11" t="inlineStr">
        <is>
          <t>8</t>
        </is>
      </c>
      <c r="N889" s="11" t="inlineStr">
        <is>
          <t>9</t>
        </is>
      </c>
      <c r="O889" s="11" t="inlineStr">
        <is>
          <t>10</t>
        </is>
      </c>
      <c r="P889" s="11" t="inlineStr">
        <is>
          <t>11</t>
        </is>
      </c>
      <c r="Q889" s="11" t="inlineStr">
        <is>
          <t>12</t>
        </is>
      </c>
      <c r="R889" s="11" t="inlineStr">
        <is>
          <t>13</t>
        </is>
      </c>
      <c r="S889" s="11" t="inlineStr">
        <is>
          <t>14</t>
        </is>
      </c>
      <c r="T889" s="11" t="inlineStr">
        <is>
          <t>15</t>
        </is>
      </c>
      <c r="U889" s="11" t="inlineStr">
        <is>
          <t>16</t>
        </is>
      </c>
      <c r="V889" s="11" t="inlineStr">
        <is>
          <t>17</t>
        </is>
      </c>
      <c r="W889" s="11" t="inlineStr">
        <is>
          <t>18</t>
        </is>
      </c>
      <c r="X889" s="11" t="inlineStr">
        <is>
          <t>19</t>
        </is>
      </c>
      <c r="Y889" s="11" t="inlineStr">
        <is>
          <t>20</t>
        </is>
      </c>
      <c r="Z889" s="11" t="inlineStr">
        <is>
          <t>21</t>
        </is>
      </c>
      <c r="AA889" s="11" t="inlineStr">
        <is>
          <t>22</t>
        </is>
      </c>
      <c r="AB889" s="11" t="inlineStr">
        <is>
          <t>23</t>
        </is>
      </c>
      <c r="AC889" s="11" t="inlineStr">
        <is>
          <t>24</t>
        </is>
      </c>
      <c r="AD889" s="11" t="inlineStr">
        <is>
          <t>25</t>
        </is>
      </c>
      <c r="AE889" s="11" t="inlineStr">
        <is>
          <t>26</t>
        </is>
      </c>
      <c r="AF889" s="11" t="inlineStr">
        <is>
          <t>27</t>
        </is>
      </c>
      <c r="AG889" s="11" t="inlineStr">
        <is>
          <t>28</t>
        </is>
      </c>
      <c r="AH889" s="11" t="inlineStr">
        <is>
          <t>29</t>
        </is>
      </c>
      <c r="AI889" s="11" t="inlineStr">
        <is>
          <t>30</t>
        </is>
      </c>
    </row>
    <row r="890">
      <c r="A890" s="4" t="inlineStr">
        <is>
          <t>Студент1.1</t>
        </is>
      </c>
      <c r="B890" s="4" t="inlineStr"/>
      <c r="C890" s="4">
        <f>IF(A890="","",COUNTIF(F890:AI890,"+")+COUNTIF(F890:AI890,"1"))</f>
        <v/>
      </c>
      <c r="D890" s="4">
        <f>IF(A890="","",IF(C890&gt;2*COUNTA(F$889:AI$889)/3,1,IF(C890&gt;=COUNTA(F$889:AI$889)/2,0.8,0.5)))</f>
        <v/>
      </c>
      <c r="E890" s="4">
        <f>IF(A890="","",SUMIFS('Логи'!$H$4:$H$3006,'Логи'!$A$4:$A$3006,A890,'Логи'!$C$4:$C$3006,14))</f>
        <v/>
      </c>
      <c r="F890" s="15" t="n"/>
      <c r="G890" s="15" t="n"/>
      <c r="H890" s="15" t="n"/>
      <c r="I890" s="15" t="n"/>
      <c r="J890" s="15" t="n"/>
      <c r="K890" s="15" t="n"/>
      <c r="L890" s="15" t="n"/>
      <c r="M890" s="15" t="n"/>
      <c r="N890" s="15" t="n"/>
      <c r="O890" s="15" t="n"/>
      <c r="P890" s="15" t="n"/>
      <c r="Q890" s="15" t="n"/>
      <c r="R890" s="15" t="n"/>
      <c r="S890" s="15" t="n"/>
      <c r="T890" s="15" t="n"/>
      <c r="U890" s="15" t="n"/>
      <c r="V890" s="15" t="n"/>
      <c r="W890" s="15" t="n"/>
      <c r="X890" s="15" t="n"/>
      <c r="Y890" s="15" t="n"/>
      <c r="Z890" s="15" t="n"/>
      <c r="AA890" s="15" t="n"/>
      <c r="AB890" s="15" t="n"/>
      <c r="AC890" s="15" t="n"/>
      <c r="AD890" s="15" t="n"/>
      <c r="AE890" s="15" t="n"/>
      <c r="AF890" s="15" t="n"/>
      <c r="AG890" s="15" t="n"/>
      <c r="AH890" s="15" t="n"/>
      <c r="AI890" s="15" t="n"/>
    </row>
    <row r="891">
      <c r="A891" s="4" t="inlineStr">
        <is>
          <t>Студент1.2</t>
        </is>
      </c>
      <c r="B891" s="4" t="inlineStr"/>
      <c r="C891" s="4">
        <f>IF(A891="","",COUNTIF(F891:AI891,"+")+COUNTIF(F891:AI891,"1"))</f>
        <v/>
      </c>
      <c r="D891" s="4">
        <f>IF(A891="","",IF(C891&gt;2*COUNTA(F$889:AI$889)/3,1,IF(C891&gt;=COUNTA(F$889:AI$889)/2,0.8,0.5)))</f>
        <v/>
      </c>
      <c r="E891" s="4">
        <f>IF(A891="","",SUMIFS('Логи'!$H$4:$H$3006,'Логи'!$A$4:$A$3006,A891,'Логи'!$C$4:$C$3006,14))</f>
        <v/>
      </c>
      <c r="F891" s="15" t="n"/>
      <c r="G891" s="15" t="n"/>
      <c r="H891" s="15" t="n"/>
      <c r="I891" s="15" t="n"/>
      <c r="J891" s="15" t="n"/>
      <c r="K891" s="15" t="n"/>
      <c r="L891" s="15" t="n"/>
      <c r="M891" s="15" t="n"/>
      <c r="N891" s="15" t="n"/>
      <c r="O891" s="15" t="n"/>
      <c r="P891" s="15" t="n"/>
      <c r="Q891" s="15" t="n"/>
      <c r="R891" s="15" t="n"/>
      <c r="S891" s="15" t="n"/>
      <c r="T891" s="15" t="n"/>
      <c r="U891" s="15" t="n"/>
      <c r="V891" s="15" t="n"/>
      <c r="W891" s="15" t="n"/>
      <c r="X891" s="15" t="n"/>
      <c r="Y891" s="15" t="n"/>
      <c r="Z891" s="15" t="n"/>
      <c r="AA891" s="15" t="n"/>
      <c r="AB891" s="15" t="n"/>
      <c r="AC891" s="15" t="n"/>
      <c r="AD891" s="15" t="n"/>
      <c r="AE891" s="15" t="n"/>
      <c r="AF891" s="15" t="n"/>
      <c r="AG891" s="15" t="n"/>
      <c r="AH891" s="15" t="n"/>
      <c r="AI891" s="15" t="n"/>
    </row>
    <row r="892">
      <c r="A892" s="4" t="inlineStr">
        <is>
          <t>Студент1.3</t>
        </is>
      </c>
      <c r="B892" s="4" t="inlineStr"/>
      <c r="C892" s="4">
        <f>IF(A892="","",COUNTIF(F892:AI892,"+")+COUNTIF(F892:AI892,"1"))</f>
        <v/>
      </c>
      <c r="D892" s="4">
        <f>IF(A892="","",IF(C892&gt;2*COUNTA(F$889:AI$889)/3,1,IF(C892&gt;=COUNTA(F$889:AI$889)/2,0.8,0.5)))</f>
        <v/>
      </c>
      <c r="E892" s="4">
        <f>IF(A892="","",SUMIFS('Логи'!$H$4:$H$3006,'Логи'!$A$4:$A$3006,A892,'Логи'!$C$4:$C$3006,14))</f>
        <v/>
      </c>
      <c r="F892" s="15" t="n"/>
      <c r="G892" s="15" t="n"/>
      <c r="H892" s="15" t="n"/>
      <c r="I892" s="15" t="n"/>
      <c r="J892" s="15" t="n"/>
      <c r="K892" s="15" t="n"/>
      <c r="L892" s="15" t="n"/>
      <c r="M892" s="15" t="n"/>
      <c r="N892" s="15" t="n"/>
      <c r="O892" s="15" t="n"/>
      <c r="P892" s="15" t="n"/>
      <c r="Q892" s="15" t="n"/>
      <c r="R892" s="15" t="n"/>
      <c r="S892" s="15" t="n"/>
      <c r="T892" s="15" t="n"/>
      <c r="U892" s="15" t="n"/>
      <c r="V892" s="15" t="n"/>
      <c r="W892" s="15" t="n"/>
      <c r="X892" s="15" t="n"/>
      <c r="Y892" s="15" t="n"/>
      <c r="Z892" s="15" t="n"/>
      <c r="AA892" s="15" t="n"/>
      <c r="AB892" s="15" t="n"/>
      <c r="AC892" s="15" t="n"/>
      <c r="AD892" s="15" t="n"/>
      <c r="AE892" s="15" t="n"/>
      <c r="AF892" s="15" t="n"/>
      <c r="AG892" s="15" t="n"/>
      <c r="AH892" s="15" t="n"/>
      <c r="AI892" s="15" t="n"/>
    </row>
    <row r="893">
      <c r="A893" s="4" t="inlineStr">
        <is>
          <t>Студент1.4</t>
        </is>
      </c>
      <c r="B893" s="4" t="inlineStr"/>
      <c r="C893" s="4">
        <f>IF(A893="","",COUNTIF(F893:AI893,"+")+COUNTIF(F893:AI893,"1"))</f>
        <v/>
      </c>
      <c r="D893" s="4">
        <f>IF(A893="","",IF(C893&gt;2*COUNTA(F$889:AI$889)/3,1,IF(C893&gt;=COUNTA(F$889:AI$889)/2,0.8,0.5)))</f>
        <v/>
      </c>
      <c r="E893" s="4">
        <f>IF(A893="","",SUMIFS('Логи'!$H$4:$H$3006,'Логи'!$A$4:$A$3006,A893,'Логи'!$C$4:$C$3006,14))</f>
        <v/>
      </c>
      <c r="F893" s="15" t="n"/>
      <c r="G893" s="15" t="n"/>
      <c r="H893" s="15" t="n"/>
      <c r="I893" s="15" t="n"/>
      <c r="J893" s="15" t="n"/>
      <c r="K893" s="15" t="n"/>
      <c r="L893" s="15" t="n"/>
      <c r="M893" s="15" t="n"/>
      <c r="N893" s="15" t="n"/>
      <c r="O893" s="15" t="n"/>
      <c r="P893" s="15" t="n"/>
      <c r="Q893" s="15" t="n"/>
      <c r="R893" s="15" t="n"/>
      <c r="S893" s="15" t="n"/>
      <c r="T893" s="15" t="n"/>
      <c r="U893" s="15" t="n"/>
      <c r="V893" s="15" t="n"/>
      <c r="W893" s="15" t="n"/>
      <c r="X893" s="15" t="n"/>
      <c r="Y893" s="15" t="n"/>
      <c r="Z893" s="15" t="n"/>
      <c r="AA893" s="15" t="n"/>
      <c r="AB893" s="15" t="n"/>
      <c r="AC893" s="15" t="n"/>
      <c r="AD893" s="15" t="n"/>
      <c r="AE893" s="15" t="n"/>
      <c r="AF893" s="15" t="n"/>
      <c r="AG893" s="15" t="n"/>
      <c r="AH893" s="15" t="n"/>
      <c r="AI893" s="15" t="n"/>
    </row>
    <row r="894">
      <c r="A894" s="4" t="inlineStr">
        <is>
          <t>Студент1.5</t>
        </is>
      </c>
      <c r="B894" s="4" t="inlineStr"/>
      <c r="C894" s="4">
        <f>IF(A894="","",COUNTIF(F894:AI894,"+")+COUNTIF(F894:AI894,"1"))</f>
        <v/>
      </c>
      <c r="D894" s="4">
        <f>IF(A894="","",IF(C894&gt;2*COUNTA(F$889:AI$889)/3,1,IF(C894&gt;=COUNTA(F$889:AI$889)/2,0.8,0.5)))</f>
        <v/>
      </c>
      <c r="E894" s="4">
        <f>IF(A894="","",SUMIFS('Логи'!$H$4:$H$3006,'Логи'!$A$4:$A$3006,A894,'Логи'!$C$4:$C$3006,14))</f>
        <v/>
      </c>
      <c r="F894" s="15" t="n"/>
      <c r="G894" s="15" t="n"/>
      <c r="H894" s="15" t="n"/>
      <c r="I894" s="15" t="n"/>
      <c r="J894" s="15" t="n"/>
      <c r="K894" s="15" t="n"/>
      <c r="L894" s="15" t="n"/>
      <c r="M894" s="15" t="n"/>
      <c r="N894" s="15" t="n"/>
      <c r="O894" s="15" t="n"/>
      <c r="P894" s="15" t="n"/>
      <c r="Q894" s="15" t="n"/>
      <c r="R894" s="15" t="n"/>
      <c r="S894" s="15" t="n"/>
      <c r="T894" s="15" t="n"/>
      <c r="U894" s="15" t="n"/>
      <c r="V894" s="15" t="n"/>
      <c r="W894" s="15" t="n"/>
      <c r="X894" s="15" t="n"/>
      <c r="Y894" s="15" t="n"/>
      <c r="Z894" s="15" t="n"/>
      <c r="AA894" s="15" t="n"/>
      <c r="AB894" s="15" t="n"/>
      <c r="AC894" s="15" t="n"/>
      <c r="AD894" s="15" t="n"/>
      <c r="AE894" s="15" t="n"/>
      <c r="AF894" s="15" t="n"/>
      <c r="AG894" s="15" t="n"/>
      <c r="AH894" s="15" t="n"/>
      <c r="AI894" s="15" t="n"/>
    </row>
    <row r="895">
      <c r="A895" s="4" t="inlineStr">
        <is>
          <t>Студент1.6</t>
        </is>
      </c>
      <c r="B895" s="4" t="inlineStr"/>
      <c r="C895" s="4">
        <f>IF(A895="","",COUNTIF(F895:AI895,"+")+COUNTIF(F895:AI895,"1"))</f>
        <v/>
      </c>
      <c r="D895" s="4">
        <f>IF(A895="","",IF(C895&gt;2*COUNTA(F$889:AI$889)/3,1,IF(C895&gt;=COUNTA(F$889:AI$889)/2,0.8,0.5)))</f>
        <v/>
      </c>
      <c r="E895" s="4">
        <f>IF(A895="","",SUMIFS('Логи'!$H$4:$H$3006,'Логи'!$A$4:$A$3006,A895,'Логи'!$C$4:$C$3006,14))</f>
        <v/>
      </c>
      <c r="F895" s="15" t="n"/>
      <c r="G895" s="15" t="n"/>
      <c r="H895" s="15" t="n"/>
      <c r="I895" s="15" t="n"/>
      <c r="J895" s="15" t="n"/>
      <c r="K895" s="15" t="n"/>
      <c r="L895" s="15" t="n"/>
      <c r="M895" s="15" t="n"/>
      <c r="N895" s="15" t="n"/>
      <c r="O895" s="15" t="n"/>
      <c r="P895" s="15" t="n"/>
      <c r="Q895" s="15" t="n"/>
      <c r="R895" s="15" t="n"/>
      <c r="S895" s="15" t="n"/>
      <c r="T895" s="15" t="n"/>
      <c r="U895" s="15" t="n"/>
      <c r="V895" s="15" t="n"/>
      <c r="W895" s="15" t="n"/>
      <c r="X895" s="15" t="n"/>
      <c r="Y895" s="15" t="n"/>
      <c r="Z895" s="15" t="n"/>
      <c r="AA895" s="15" t="n"/>
      <c r="AB895" s="15" t="n"/>
      <c r="AC895" s="15" t="n"/>
      <c r="AD895" s="15" t="n"/>
      <c r="AE895" s="15" t="n"/>
      <c r="AF895" s="15" t="n"/>
      <c r="AG895" s="15" t="n"/>
      <c r="AH895" s="15" t="n"/>
      <c r="AI895" s="15" t="n"/>
    </row>
    <row r="896">
      <c r="A896" s="4" t="inlineStr">
        <is>
          <t>Студент1.7</t>
        </is>
      </c>
      <c r="B896" s="4" t="inlineStr"/>
      <c r="C896" s="4">
        <f>IF(A896="","",COUNTIF(F896:AI896,"+")+COUNTIF(F896:AI896,"1"))</f>
        <v/>
      </c>
      <c r="D896" s="4">
        <f>IF(A896="","",IF(C896&gt;2*COUNTA(F$889:AI$889)/3,1,IF(C896&gt;=COUNTA(F$889:AI$889)/2,0.8,0.5)))</f>
        <v/>
      </c>
      <c r="E896" s="4">
        <f>IF(A896="","",SUMIFS('Логи'!$H$4:$H$3006,'Логи'!$A$4:$A$3006,A896,'Логи'!$C$4:$C$3006,14))</f>
        <v/>
      </c>
      <c r="F896" s="15" t="n"/>
      <c r="G896" s="15" t="n"/>
      <c r="H896" s="15" t="n"/>
      <c r="I896" s="15" t="n"/>
      <c r="J896" s="15" t="n"/>
      <c r="K896" s="15" t="n"/>
      <c r="L896" s="15" t="n"/>
      <c r="M896" s="15" t="n"/>
      <c r="N896" s="15" t="n"/>
      <c r="O896" s="15" t="n"/>
      <c r="P896" s="15" t="n"/>
      <c r="Q896" s="15" t="n"/>
      <c r="R896" s="15" t="n"/>
      <c r="S896" s="15" t="n"/>
      <c r="T896" s="15" t="n"/>
      <c r="U896" s="15" t="n"/>
      <c r="V896" s="15" t="n"/>
      <c r="W896" s="15" t="n"/>
      <c r="X896" s="15" t="n"/>
      <c r="Y896" s="15" t="n"/>
      <c r="Z896" s="15" t="n"/>
      <c r="AA896" s="15" t="n"/>
      <c r="AB896" s="15" t="n"/>
      <c r="AC896" s="15" t="n"/>
      <c r="AD896" s="15" t="n"/>
      <c r="AE896" s="15" t="n"/>
      <c r="AF896" s="15" t="n"/>
      <c r="AG896" s="15" t="n"/>
      <c r="AH896" s="15" t="n"/>
      <c r="AI896" s="15" t="n"/>
    </row>
    <row r="897">
      <c r="A897" s="4" t="inlineStr">
        <is>
          <t>Студент1.8</t>
        </is>
      </c>
      <c r="B897" s="4" t="inlineStr"/>
      <c r="C897" s="4">
        <f>IF(A897="","",COUNTIF(F897:AI897,"+")+COUNTIF(F897:AI897,"1"))</f>
        <v/>
      </c>
      <c r="D897" s="4">
        <f>IF(A897="","",IF(C897&gt;2*COUNTA(F$889:AI$889)/3,1,IF(C897&gt;=COUNTA(F$889:AI$889)/2,0.8,0.5)))</f>
        <v/>
      </c>
      <c r="E897" s="4">
        <f>IF(A897="","",SUMIFS('Логи'!$H$4:$H$3006,'Логи'!$A$4:$A$3006,A897,'Логи'!$C$4:$C$3006,14))</f>
        <v/>
      </c>
      <c r="F897" s="15" t="n"/>
      <c r="G897" s="15" t="n"/>
      <c r="H897" s="15" t="n"/>
      <c r="I897" s="15" t="n"/>
      <c r="J897" s="15" t="n"/>
      <c r="K897" s="15" t="n"/>
      <c r="L897" s="15" t="n"/>
      <c r="M897" s="15" t="n"/>
      <c r="N897" s="15" t="n"/>
      <c r="O897" s="15" t="n"/>
      <c r="P897" s="15" t="n"/>
      <c r="Q897" s="15" t="n"/>
      <c r="R897" s="15" t="n"/>
      <c r="S897" s="15" t="n"/>
      <c r="T897" s="15" t="n"/>
      <c r="U897" s="15" t="n"/>
      <c r="V897" s="15" t="n"/>
      <c r="W897" s="15" t="n"/>
      <c r="X897" s="15" t="n"/>
      <c r="Y897" s="15" t="n"/>
      <c r="Z897" s="15" t="n"/>
      <c r="AA897" s="15" t="n"/>
      <c r="AB897" s="15" t="n"/>
      <c r="AC897" s="15" t="n"/>
      <c r="AD897" s="15" t="n"/>
      <c r="AE897" s="15" t="n"/>
      <c r="AF897" s="15" t="n"/>
      <c r="AG897" s="15" t="n"/>
      <c r="AH897" s="15" t="n"/>
      <c r="AI897" s="15" t="n"/>
    </row>
    <row r="898">
      <c r="A898" s="4" t="inlineStr">
        <is>
          <t>Студент1.9</t>
        </is>
      </c>
      <c r="B898" s="4" t="inlineStr"/>
      <c r="C898" s="4">
        <f>IF(A898="","",COUNTIF(F898:AI898,"+")+COUNTIF(F898:AI898,"1"))</f>
        <v/>
      </c>
      <c r="D898" s="4">
        <f>IF(A898="","",IF(C898&gt;2*COUNTA(F$889:AI$889)/3,1,IF(C898&gt;=COUNTA(F$889:AI$889)/2,0.8,0.5)))</f>
        <v/>
      </c>
      <c r="E898" s="4">
        <f>IF(A898="","",SUMIFS('Логи'!$H$4:$H$3006,'Логи'!$A$4:$A$3006,A898,'Логи'!$C$4:$C$3006,14))</f>
        <v/>
      </c>
      <c r="F898" s="15" t="n"/>
      <c r="G898" s="15" t="n"/>
      <c r="H898" s="15" t="n"/>
      <c r="I898" s="15" t="n"/>
      <c r="J898" s="15" t="n"/>
      <c r="K898" s="15" t="n"/>
      <c r="L898" s="15" t="n"/>
      <c r="M898" s="15" t="n"/>
      <c r="N898" s="15" t="n"/>
      <c r="O898" s="15" t="n"/>
      <c r="P898" s="15" t="n"/>
      <c r="Q898" s="15" t="n"/>
      <c r="R898" s="15" t="n"/>
      <c r="S898" s="15" t="n"/>
      <c r="T898" s="15" t="n"/>
      <c r="U898" s="15" t="n"/>
      <c r="V898" s="15" t="n"/>
      <c r="W898" s="15" t="n"/>
      <c r="X898" s="15" t="n"/>
      <c r="Y898" s="15" t="n"/>
      <c r="Z898" s="15" t="n"/>
      <c r="AA898" s="15" t="n"/>
      <c r="AB898" s="15" t="n"/>
      <c r="AC898" s="15" t="n"/>
      <c r="AD898" s="15" t="n"/>
      <c r="AE898" s="15" t="n"/>
      <c r="AF898" s="15" t="n"/>
      <c r="AG898" s="15" t="n"/>
      <c r="AH898" s="15" t="n"/>
      <c r="AI898" s="15" t="n"/>
    </row>
    <row r="899">
      <c r="A899" s="4" t="inlineStr">
        <is>
          <t>Студент1.10</t>
        </is>
      </c>
      <c r="B899" s="4" t="inlineStr"/>
      <c r="C899" s="4">
        <f>IF(A899="","",COUNTIF(F899:AI899,"+")+COUNTIF(F899:AI899,"1"))</f>
        <v/>
      </c>
      <c r="D899" s="4">
        <f>IF(A899="","",IF(C899&gt;2*COUNTA(F$889:AI$889)/3,1,IF(C899&gt;=COUNTA(F$889:AI$889)/2,0.8,0.5)))</f>
        <v/>
      </c>
      <c r="E899" s="4">
        <f>IF(A899="","",SUMIFS('Логи'!$H$4:$H$3006,'Логи'!$A$4:$A$3006,A899,'Логи'!$C$4:$C$3006,14))</f>
        <v/>
      </c>
      <c r="F899" s="15" t="n"/>
      <c r="G899" s="15" t="n"/>
      <c r="H899" s="15" t="n"/>
      <c r="I899" s="15" t="n"/>
      <c r="J899" s="15" t="n"/>
      <c r="K899" s="15" t="n"/>
      <c r="L899" s="15" t="n"/>
      <c r="M899" s="15" t="n"/>
      <c r="N899" s="15" t="n"/>
      <c r="O899" s="15" t="n"/>
      <c r="P899" s="15" t="n"/>
      <c r="Q899" s="15" t="n"/>
      <c r="R899" s="15" t="n"/>
      <c r="S899" s="15" t="n"/>
      <c r="T899" s="15" t="n"/>
      <c r="U899" s="15" t="n"/>
      <c r="V899" s="15" t="n"/>
      <c r="W899" s="15" t="n"/>
      <c r="X899" s="15" t="n"/>
      <c r="Y899" s="15" t="n"/>
      <c r="Z899" s="15" t="n"/>
      <c r="AA899" s="15" t="n"/>
      <c r="AB899" s="15" t="n"/>
      <c r="AC899" s="15" t="n"/>
      <c r="AD899" s="15" t="n"/>
      <c r="AE899" s="15" t="n"/>
      <c r="AF899" s="15" t="n"/>
      <c r="AG899" s="15" t="n"/>
      <c r="AH899" s="15" t="n"/>
      <c r="AI899" s="15" t="n"/>
    </row>
    <row r="900">
      <c r="A900" s="4" t="inlineStr">
        <is>
          <t>Студент1.11</t>
        </is>
      </c>
      <c r="B900" s="4" t="inlineStr"/>
      <c r="C900" s="4">
        <f>IF(A900="","",COUNTIF(F900:AI900,"+")+COUNTIF(F900:AI900,"1"))</f>
        <v/>
      </c>
      <c r="D900" s="4">
        <f>IF(A900="","",IF(C900&gt;2*COUNTA(F$889:AI$889)/3,1,IF(C900&gt;=COUNTA(F$889:AI$889)/2,0.8,0.5)))</f>
        <v/>
      </c>
      <c r="E900" s="4">
        <f>IF(A900="","",SUMIFS('Логи'!$H$4:$H$3006,'Логи'!$A$4:$A$3006,A900,'Логи'!$C$4:$C$3006,14))</f>
        <v/>
      </c>
      <c r="F900" s="15" t="n"/>
      <c r="G900" s="15" t="n"/>
      <c r="H900" s="15" t="n"/>
      <c r="I900" s="15" t="n"/>
      <c r="J900" s="15" t="n"/>
      <c r="K900" s="15" t="n"/>
      <c r="L900" s="15" t="n"/>
      <c r="M900" s="15" t="n"/>
      <c r="N900" s="15" t="n"/>
      <c r="O900" s="15" t="n"/>
      <c r="P900" s="15" t="n"/>
      <c r="Q900" s="15" t="n"/>
      <c r="R900" s="15" t="n"/>
      <c r="S900" s="15" t="n"/>
      <c r="T900" s="15" t="n"/>
      <c r="U900" s="15" t="n"/>
      <c r="V900" s="15" t="n"/>
      <c r="W900" s="15" t="n"/>
      <c r="X900" s="15" t="n"/>
      <c r="Y900" s="15" t="n"/>
      <c r="Z900" s="15" t="n"/>
      <c r="AA900" s="15" t="n"/>
      <c r="AB900" s="15" t="n"/>
      <c r="AC900" s="15" t="n"/>
      <c r="AD900" s="15" t="n"/>
      <c r="AE900" s="15" t="n"/>
      <c r="AF900" s="15" t="n"/>
      <c r="AG900" s="15" t="n"/>
      <c r="AH900" s="15" t="n"/>
      <c r="AI900" s="15" t="n"/>
    </row>
    <row r="901">
      <c r="A901" s="4" t="inlineStr">
        <is>
          <t>Студент1.12</t>
        </is>
      </c>
      <c r="B901" s="4" t="inlineStr"/>
      <c r="C901" s="4">
        <f>IF(A901="","",COUNTIF(F901:AI901,"+")+COUNTIF(F901:AI901,"1"))</f>
        <v/>
      </c>
      <c r="D901" s="4">
        <f>IF(A901="","",IF(C901&gt;2*COUNTA(F$889:AI$889)/3,1,IF(C901&gt;=COUNTA(F$889:AI$889)/2,0.8,0.5)))</f>
        <v/>
      </c>
      <c r="E901" s="4">
        <f>IF(A901="","",SUMIFS('Логи'!$H$4:$H$3006,'Логи'!$A$4:$A$3006,A901,'Логи'!$C$4:$C$3006,14))</f>
        <v/>
      </c>
      <c r="F901" s="15" t="n"/>
      <c r="G901" s="15" t="n"/>
      <c r="H901" s="15" t="n"/>
      <c r="I901" s="15" t="n"/>
      <c r="J901" s="15" t="n"/>
      <c r="K901" s="15" t="n"/>
      <c r="L901" s="15" t="n"/>
      <c r="M901" s="15" t="n"/>
      <c r="N901" s="15" t="n"/>
      <c r="O901" s="15" t="n"/>
      <c r="P901" s="15" t="n"/>
      <c r="Q901" s="15" t="n"/>
      <c r="R901" s="15" t="n"/>
      <c r="S901" s="15" t="n"/>
      <c r="T901" s="15" t="n"/>
      <c r="U901" s="15" t="n"/>
      <c r="V901" s="15" t="n"/>
      <c r="W901" s="15" t="n"/>
      <c r="X901" s="15" t="n"/>
      <c r="Y901" s="15" t="n"/>
      <c r="Z901" s="15" t="n"/>
      <c r="AA901" s="15" t="n"/>
      <c r="AB901" s="15" t="n"/>
      <c r="AC901" s="15" t="n"/>
      <c r="AD901" s="15" t="n"/>
      <c r="AE901" s="15" t="n"/>
      <c r="AF901" s="15" t="n"/>
      <c r="AG901" s="15" t="n"/>
      <c r="AH901" s="15" t="n"/>
      <c r="AI901" s="15" t="n"/>
    </row>
    <row r="902">
      <c r="A902" s="4" t="inlineStr">
        <is>
          <t>Студент1.13</t>
        </is>
      </c>
      <c r="B902" s="4" t="inlineStr"/>
      <c r="C902" s="4">
        <f>IF(A902="","",COUNTIF(F902:AI902,"+")+COUNTIF(F902:AI902,"1"))</f>
        <v/>
      </c>
      <c r="D902" s="4">
        <f>IF(A902="","",IF(C902&gt;2*COUNTA(F$889:AI$889)/3,1,IF(C902&gt;=COUNTA(F$889:AI$889)/2,0.8,0.5)))</f>
        <v/>
      </c>
      <c r="E902" s="4">
        <f>IF(A902="","",SUMIFS('Логи'!$H$4:$H$3006,'Логи'!$A$4:$A$3006,A902,'Логи'!$C$4:$C$3006,14))</f>
        <v/>
      </c>
      <c r="F902" s="15" t="n"/>
      <c r="G902" s="15" t="n"/>
      <c r="H902" s="15" t="n"/>
      <c r="I902" s="15" t="n"/>
      <c r="J902" s="15" t="n"/>
      <c r="K902" s="15" t="n"/>
      <c r="L902" s="15" t="n"/>
      <c r="M902" s="15" t="n"/>
      <c r="N902" s="15" t="n"/>
      <c r="O902" s="15" t="n"/>
      <c r="P902" s="15" t="n"/>
      <c r="Q902" s="15" t="n"/>
      <c r="R902" s="15" t="n"/>
      <c r="S902" s="15" t="n"/>
      <c r="T902" s="15" t="n"/>
      <c r="U902" s="15" t="n"/>
      <c r="V902" s="15" t="n"/>
      <c r="W902" s="15" t="n"/>
      <c r="X902" s="15" t="n"/>
      <c r="Y902" s="15" t="n"/>
      <c r="Z902" s="15" t="n"/>
      <c r="AA902" s="15" t="n"/>
      <c r="AB902" s="15" t="n"/>
      <c r="AC902" s="15" t="n"/>
      <c r="AD902" s="15" t="n"/>
      <c r="AE902" s="15" t="n"/>
      <c r="AF902" s="15" t="n"/>
      <c r="AG902" s="15" t="n"/>
      <c r="AH902" s="15" t="n"/>
      <c r="AI902" s="15" t="n"/>
    </row>
    <row r="903">
      <c r="A903" s="4" t="inlineStr">
        <is>
          <t>Студент1.14</t>
        </is>
      </c>
      <c r="B903" s="4" t="inlineStr"/>
      <c r="C903" s="4">
        <f>IF(A903="","",COUNTIF(F903:AI903,"+")+COUNTIF(F903:AI903,"1"))</f>
        <v/>
      </c>
      <c r="D903" s="4">
        <f>IF(A903="","",IF(C903&gt;2*COUNTA(F$889:AI$889)/3,1,IF(C903&gt;=COUNTA(F$889:AI$889)/2,0.8,0.5)))</f>
        <v/>
      </c>
      <c r="E903" s="4">
        <f>IF(A903="","",SUMIFS('Логи'!$H$4:$H$3006,'Логи'!$A$4:$A$3006,A903,'Логи'!$C$4:$C$3006,14))</f>
        <v/>
      </c>
      <c r="F903" s="15" t="n"/>
      <c r="G903" s="15" t="n"/>
      <c r="H903" s="15" t="n"/>
      <c r="I903" s="15" t="n"/>
      <c r="J903" s="15" t="n"/>
      <c r="K903" s="15" t="n"/>
      <c r="L903" s="15" t="n"/>
      <c r="M903" s="15" t="n"/>
      <c r="N903" s="15" t="n"/>
      <c r="O903" s="15" t="n"/>
      <c r="P903" s="15" t="n"/>
      <c r="Q903" s="15" t="n"/>
      <c r="R903" s="15" t="n"/>
      <c r="S903" s="15" t="n"/>
      <c r="T903" s="15" t="n"/>
      <c r="U903" s="15" t="n"/>
      <c r="V903" s="15" t="n"/>
      <c r="W903" s="15" t="n"/>
      <c r="X903" s="15" t="n"/>
      <c r="Y903" s="15" t="n"/>
      <c r="Z903" s="15" t="n"/>
      <c r="AA903" s="15" t="n"/>
      <c r="AB903" s="15" t="n"/>
      <c r="AC903" s="15" t="n"/>
      <c r="AD903" s="15" t="n"/>
      <c r="AE903" s="15" t="n"/>
      <c r="AF903" s="15" t="n"/>
      <c r="AG903" s="15" t="n"/>
      <c r="AH903" s="15" t="n"/>
      <c r="AI903" s="15" t="n"/>
    </row>
    <row r="904">
      <c r="A904" s="4" t="inlineStr">
        <is>
          <t>Студент1.15</t>
        </is>
      </c>
      <c r="B904" s="4" t="inlineStr"/>
      <c r="C904" s="4">
        <f>IF(A904="","",COUNTIF(F904:AI904,"+")+COUNTIF(F904:AI904,"1"))</f>
        <v/>
      </c>
      <c r="D904" s="4">
        <f>IF(A904="","",IF(C904&gt;2*COUNTA(F$889:AI$889)/3,1,IF(C904&gt;=COUNTA(F$889:AI$889)/2,0.8,0.5)))</f>
        <v/>
      </c>
      <c r="E904" s="4">
        <f>IF(A904="","",SUMIFS('Логи'!$H$4:$H$3006,'Логи'!$A$4:$A$3006,A904,'Логи'!$C$4:$C$3006,14))</f>
        <v/>
      </c>
      <c r="F904" s="15" t="n"/>
      <c r="G904" s="15" t="n"/>
      <c r="H904" s="15" t="n"/>
      <c r="I904" s="15" t="n"/>
      <c r="J904" s="15" t="n"/>
      <c r="K904" s="15" t="n"/>
      <c r="L904" s="15" t="n"/>
      <c r="M904" s="15" t="n"/>
      <c r="N904" s="15" t="n"/>
      <c r="O904" s="15" t="n"/>
      <c r="P904" s="15" t="n"/>
      <c r="Q904" s="15" t="n"/>
      <c r="R904" s="15" t="n"/>
      <c r="S904" s="15" t="n"/>
      <c r="T904" s="15" t="n"/>
      <c r="U904" s="15" t="n"/>
      <c r="V904" s="15" t="n"/>
      <c r="W904" s="15" t="n"/>
      <c r="X904" s="15" t="n"/>
      <c r="Y904" s="15" t="n"/>
      <c r="Z904" s="15" t="n"/>
      <c r="AA904" s="15" t="n"/>
      <c r="AB904" s="15" t="n"/>
      <c r="AC904" s="15" t="n"/>
      <c r="AD904" s="15" t="n"/>
      <c r="AE904" s="15" t="n"/>
      <c r="AF904" s="15" t="n"/>
      <c r="AG904" s="15" t="n"/>
      <c r="AH904" s="15" t="n"/>
      <c r="AI904" s="15" t="n"/>
    </row>
    <row r="905">
      <c r="A905" s="4" t="inlineStr">
        <is>
          <t>Студент1.16</t>
        </is>
      </c>
      <c r="B905" s="4" t="inlineStr"/>
      <c r="C905" s="4">
        <f>IF(A905="","",COUNTIF(F905:AI905,"+")+COUNTIF(F905:AI905,"1"))</f>
        <v/>
      </c>
      <c r="D905" s="4">
        <f>IF(A905="","",IF(C905&gt;2*COUNTA(F$889:AI$889)/3,1,IF(C905&gt;=COUNTA(F$889:AI$889)/2,0.8,0.5)))</f>
        <v/>
      </c>
      <c r="E905" s="4">
        <f>IF(A905="","",SUMIFS('Логи'!$H$4:$H$3006,'Логи'!$A$4:$A$3006,A905,'Логи'!$C$4:$C$3006,14))</f>
        <v/>
      </c>
      <c r="F905" s="15" t="n"/>
      <c r="G905" s="15" t="n"/>
      <c r="H905" s="15" t="n"/>
      <c r="I905" s="15" t="n"/>
      <c r="J905" s="15" t="n"/>
      <c r="K905" s="15" t="n"/>
      <c r="L905" s="15" t="n"/>
      <c r="M905" s="15" t="n"/>
      <c r="N905" s="15" t="n"/>
      <c r="O905" s="15" t="n"/>
      <c r="P905" s="15" t="n"/>
      <c r="Q905" s="15" t="n"/>
      <c r="R905" s="15" t="n"/>
      <c r="S905" s="15" t="n"/>
      <c r="T905" s="15" t="n"/>
      <c r="U905" s="15" t="n"/>
      <c r="V905" s="15" t="n"/>
      <c r="W905" s="15" t="n"/>
      <c r="X905" s="15" t="n"/>
      <c r="Y905" s="15" t="n"/>
      <c r="Z905" s="15" t="n"/>
      <c r="AA905" s="15" t="n"/>
      <c r="AB905" s="15" t="n"/>
      <c r="AC905" s="15" t="n"/>
      <c r="AD905" s="15" t="n"/>
      <c r="AE905" s="15" t="n"/>
      <c r="AF905" s="15" t="n"/>
      <c r="AG905" s="15" t="n"/>
      <c r="AH905" s="15" t="n"/>
      <c r="AI905" s="15" t="n"/>
    </row>
    <row r="906">
      <c r="A906" s="4" t="inlineStr">
        <is>
          <t>Студент1.17</t>
        </is>
      </c>
      <c r="B906" s="4" t="inlineStr"/>
      <c r="C906" s="4">
        <f>IF(A906="","",COUNTIF(F906:AI906,"+")+COUNTIF(F906:AI906,"1"))</f>
        <v/>
      </c>
      <c r="D906" s="4">
        <f>IF(A906="","",IF(C906&gt;2*COUNTA(F$889:AI$889)/3,1,IF(C906&gt;=COUNTA(F$889:AI$889)/2,0.8,0.5)))</f>
        <v/>
      </c>
      <c r="E906" s="4">
        <f>IF(A906="","",SUMIFS('Логи'!$H$4:$H$3006,'Логи'!$A$4:$A$3006,A906,'Логи'!$C$4:$C$3006,14))</f>
        <v/>
      </c>
      <c r="F906" s="15" t="n"/>
      <c r="G906" s="15" t="n"/>
      <c r="H906" s="15" t="n"/>
      <c r="I906" s="15" t="n"/>
      <c r="J906" s="15" t="n"/>
      <c r="K906" s="15" t="n"/>
      <c r="L906" s="15" t="n"/>
      <c r="M906" s="15" t="n"/>
      <c r="N906" s="15" t="n"/>
      <c r="O906" s="15" t="n"/>
      <c r="P906" s="15" t="n"/>
      <c r="Q906" s="15" t="n"/>
      <c r="R906" s="15" t="n"/>
      <c r="S906" s="15" t="n"/>
      <c r="T906" s="15" t="n"/>
      <c r="U906" s="15" t="n"/>
      <c r="V906" s="15" t="n"/>
      <c r="W906" s="15" t="n"/>
      <c r="X906" s="15" t="n"/>
      <c r="Y906" s="15" t="n"/>
      <c r="Z906" s="15" t="n"/>
      <c r="AA906" s="15" t="n"/>
      <c r="AB906" s="15" t="n"/>
      <c r="AC906" s="15" t="n"/>
      <c r="AD906" s="15" t="n"/>
      <c r="AE906" s="15" t="n"/>
      <c r="AF906" s="15" t="n"/>
      <c r="AG906" s="15" t="n"/>
      <c r="AH906" s="15" t="n"/>
      <c r="AI906" s="15" t="n"/>
    </row>
    <row r="907">
      <c r="A907" s="4" t="inlineStr">
        <is>
          <t>Студент1.18</t>
        </is>
      </c>
      <c r="B907" s="4" t="inlineStr"/>
      <c r="C907" s="4">
        <f>IF(A907="","",COUNTIF(F907:AI907,"+")+COUNTIF(F907:AI907,"1"))</f>
        <v/>
      </c>
      <c r="D907" s="4">
        <f>IF(A907="","",IF(C907&gt;2*COUNTA(F$889:AI$889)/3,1,IF(C907&gt;=COUNTA(F$889:AI$889)/2,0.8,0.5)))</f>
        <v/>
      </c>
      <c r="E907" s="4">
        <f>IF(A907="","",SUMIFS('Логи'!$H$4:$H$3006,'Логи'!$A$4:$A$3006,A907,'Логи'!$C$4:$C$3006,14))</f>
        <v/>
      </c>
      <c r="F907" s="15" t="n"/>
      <c r="G907" s="15" t="n"/>
      <c r="H907" s="15" t="n"/>
      <c r="I907" s="15" t="n"/>
      <c r="J907" s="15" t="n"/>
      <c r="K907" s="15" t="n"/>
      <c r="L907" s="15" t="n"/>
      <c r="M907" s="15" t="n"/>
      <c r="N907" s="15" t="n"/>
      <c r="O907" s="15" t="n"/>
      <c r="P907" s="15" t="n"/>
      <c r="Q907" s="15" t="n"/>
      <c r="R907" s="15" t="n"/>
      <c r="S907" s="15" t="n"/>
      <c r="T907" s="15" t="n"/>
      <c r="U907" s="15" t="n"/>
      <c r="V907" s="15" t="n"/>
      <c r="W907" s="15" t="n"/>
      <c r="X907" s="15" t="n"/>
      <c r="Y907" s="15" t="n"/>
      <c r="Z907" s="15" t="n"/>
      <c r="AA907" s="15" t="n"/>
      <c r="AB907" s="15" t="n"/>
      <c r="AC907" s="15" t="n"/>
      <c r="AD907" s="15" t="n"/>
      <c r="AE907" s="15" t="n"/>
      <c r="AF907" s="15" t="n"/>
      <c r="AG907" s="15" t="n"/>
      <c r="AH907" s="15" t="n"/>
      <c r="AI907" s="15" t="n"/>
    </row>
    <row r="908">
      <c r="A908" s="4" t="inlineStr">
        <is>
          <t>Студент1.19</t>
        </is>
      </c>
      <c r="B908" s="4" t="inlineStr"/>
      <c r="C908" s="4">
        <f>IF(A908="","",COUNTIF(F908:AI908,"+")+COUNTIF(F908:AI908,"1"))</f>
        <v/>
      </c>
      <c r="D908" s="4">
        <f>IF(A908="","",IF(C908&gt;2*COUNTA(F$889:AI$889)/3,1,IF(C908&gt;=COUNTA(F$889:AI$889)/2,0.8,0.5)))</f>
        <v/>
      </c>
      <c r="E908" s="4">
        <f>IF(A908="","",SUMIFS('Логи'!$H$4:$H$3006,'Логи'!$A$4:$A$3006,A908,'Логи'!$C$4:$C$3006,14))</f>
        <v/>
      </c>
      <c r="F908" s="15" t="n"/>
      <c r="G908" s="15" t="n"/>
      <c r="H908" s="15" t="n"/>
      <c r="I908" s="15" t="n"/>
      <c r="J908" s="15" t="n"/>
      <c r="K908" s="15" t="n"/>
      <c r="L908" s="15" t="n"/>
      <c r="M908" s="15" t="n"/>
      <c r="N908" s="15" t="n"/>
      <c r="O908" s="15" t="n"/>
      <c r="P908" s="15" t="n"/>
      <c r="Q908" s="15" t="n"/>
      <c r="R908" s="15" t="n"/>
      <c r="S908" s="15" t="n"/>
      <c r="T908" s="15" t="n"/>
      <c r="U908" s="15" t="n"/>
      <c r="V908" s="15" t="n"/>
      <c r="W908" s="15" t="n"/>
      <c r="X908" s="15" t="n"/>
      <c r="Y908" s="15" t="n"/>
      <c r="Z908" s="15" t="n"/>
      <c r="AA908" s="15" t="n"/>
      <c r="AB908" s="15" t="n"/>
      <c r="AC908" s="15" t="n"/>
      <c r="AD908" s="15" t="n"/>
      <c r="AE908" s="15" t="n"/>
      <c r="AF908" s="15" t="n"/>
      <c r="AG908" s="15" t="n"/>
      <c r="AH908" s="15" t="n"/>
      <c r="AI908" s="15" t="n"/>
    </row>
    <row r="909">
      <c r="A909" s="4" t="inlineStr">
        <is>
          <t>Студент1.20</t>
        </is>
      </c>
      <c r="B909" s="4" t="inlineStr"/>
      <c r="C909" s="4">
        <f>IF(A909="","",COUNTIF(F909:AI909,"+")+COUNTIF(F909:AI909,"1"))</f>
        <v/>
      </c>
      <c r="D909" s="4">
        <f>IF(A909="","",IF(C909&gt;2*COUNTA(F$889:AI$889)/3,1,IF(C909&gt;=COUNTA(F$889:AI$889)/2,0.8,0.5)))</f>
        <v/>
      </c>
      <c r="E909" s="4">
        <f>IF(A909="","",SUMIFS('Логи'!$H$4:$H$3006,'Логи'!$A$4:$A$3006,A909,'Логи'!$C$4:$C$3006,14))</f>
        <v/>
      </c>
      <c r="F909" s="15" t="n"/>
      <c r="G909" s="15" t="n"/>
      <c r="H909" s="15" t="n"/>
      <c r="I909" s="15" t="n"/>
      <c r="J909" s="15" t="n"/>
      <c r="K909" s="15" t="n"/>
      <c r="L909" s="15" t="n"/>
      <c r="M909" s="15" t="n"/>
      <c r="N909" s="15" t="n"/>
      <c r="O909" s="15" t="n"/>
      <c r="P909" s="15" t="n"/>
      <c r="Q909" s="15" t="n"/>
      <c r="R909" s="15" t="n"/>
      <c r="S909" s="15" t="n"/>
      <c r="T909" s="15" t="n"/>
      <c r="U909" s="15" t="n"/>
      <c r="V909" s="15" t="n"/>
      <c r="W909" s="15" t="n"/>
      <c r="X909" s="15" t="n"/>
      <c r="Y909" s="15" t="n"/>
      <c r="Z909" s="15" t="n"/>
      <c r="AA909" s="15" t="n"/>
      <c r="AB909" s="15" t="n"/>
      <c r="AC909" s="15" t="n"/>
      <c r="AD909" s="15" t="n"/>
      <c r="AE909" s="15" t="n"/>
      <c r="AF909" s="15" t="n"/>
      <c r="AG909" s="15" t="n"/>
      <c r="AH909" s="15" t="n"/>
      <c r="AI909" s="15" t="n"/>
    </row>
    <row r="910">
      <c r="A910" s="4" t="inlineStr">
        <is>
          <t>Студент1.21</t>
        </is>
      </c>
      <c r="B910" s="4" t="inlineStr"/>
      <c r="C910" s="4">
        <f>IF(A910="","",COUNTIF(F910:AI910,"+")+COUNTIF(F910:AI910,"1"))</f>
        <v/>
      </c>
      <c r="D910" s="4">
        <f>IF(A910="","",IF(C910&gt;2*COUNTA(F$889:AI$889)/3,1,IF(C910&gt;=COUNTA(F$889:AI$889)/2,0.8,0.5)))</f>
        <v/>
      </c>
      <c r="E910" s="4">
        <f>IF(A910="","",SUMIFS('Логи'!$H$4:$H$3006,'Логи'!$A$4:$A$3006,A910,'Логи'!$C$4:$C$3006,14))</f>
        <v/>
      </c>
      <c r="F910" s="15" t="n"/>
      <c r="G910" s="15" t="n"/>
      <c r="H910" s="15" t="n"/>
      <c r="I910" s="15" t="n"/>
      <c r="J910" s="15" t="n"/>
      <c r="K910" s="15" t="n"/>
      <c r="L910" s="15" t="n"/>
      <c r="M910" s="15" t="n"/>
      <c r="N910" s="15" t="n"/>
      <c r="O910" s="15" t="n"/>
      <c r="P910" s="15" t="n"/>
      <c r="Q910" s="15" t="n"/>
      <c r="R910" s="15" t="n"/>
      <c r="S910" s="15" t="n"/>
      <c r="T910" s="15" t="n"/>
      <c r="U910" s="15" t="n"/>
      <c r="V910" s="15" t="n"/>
      <c r="W910" s="15" t="n"/>
      <c r="X910" s="15" t="n"/>
      <c r="Y910" s="15" t="n"/>
      <c r="Z910" s="15" t="n"/>
      <c r="AA910" s="15" t="n"/>
      <c r="AB910" s="15" t="n"/>
      <c r="AC910" s="15" t="n"/>
      <c r="AD910" s="15" t="n"/>
      <c r="AE910" s="15" t="n"/>
      <c r="AF910" s="15" t="n"/>
      <c r="AG910" s="15" t="n"/>
      <c r="AH910" s="15" t="n"/>
      <c r="AI910" s="15" t="n"/>
    </row>
    <row r="911">
      <c r="A911" s="4" t="inlineStr">
        <is>
          <t>Студент1.22</t>
        </is>
      </c>
      <c r="B911" s="4" t="inlineStr"/>
      <c r="C911" s="4">
        <f>IF(A911="","",COUNTIF(F911:AI911,"+")+COUNTIF(F911:AI911,"1"))</f>
        <v/>
      </c>
      <c r="D911" s="4">
        <f>IF(A911="","",IF(C911&gt;2*COUNTA(F$889:AI$889)/3,1,IF(C911&gt;=COUNTA(F$889:AI$889)/2,0.8,0.5)))</f>
        <v/>
      </c>
      <c r="E911" s="4">
        <f>IF(A911="","",SUMIFS('Логи'!$H$4:$H$3006,'Логи'!$A$4:$A$3006,A911,'Логи'!$C$4:$C$3006,14))</f>
        <v/>
      </c>
      <c r="F911" s="15" t="n"/>
      <c r="G911" s="15" t="n"/>
      <c r="H911" s="15" t="n"/>
      <c r="I911" s="15" t="n"/>
      <c r="J911" s="15" t="n"/>
      <c r="K911" s="15" t="n"/>
      <c r="L911" s="15" t="n"/>
      <c r="M911" s="15" t="n"/>
      <c r="N911" s="15" t="n"/>
      <c r="O911" s="15" t="n"/>
      <c r="P911" s="15" t="n"/>
      <c r="Q911" s="15" t="n"/>
      <c r="R911" s="15" t="n"/>
      <c r="S911" s="15" t="n"/>
      <c r="T911" s="15" t="n"/>
      <c r="U911" s="15" t="n"/>
      <c r="V911" s="15" t="n"/>
      <c r="W911" s="15" t="n"/>
      <c r="X911" s="15" t="n"/>
      <c r="Y911" s="15" t="n"/>
      <c r="Z911" s="15" t="n"/>
      <c r="AA911" s="15" t="n"/>
      <c r="AB911" s="15" t="n"/>
      <c r="AC911" s="15" t="n"/>
      <c r="AD911" s="15" t="n"/>
      <c r="AE911" s="15" t="n"/>
      <c r="AF911" s="15" t="n"/>
      <c r="AG911" s="15" t="n"/>
      <c r="AH911" s="15" t="n"/>
      <c r="AI911" s="15" t="n"/>
    </row>
    <row r="912">
      <c r="A912" s="4" t="inlineStr">
        <is>
          <t>Студент1.23</t>
        </is>
      </c>
      <c r="B912" s="4" t="inlineStr"/>
      <c r="C912" s="4">
        <f>IF(A912="","",COUNTIF(F912:AI912,"+")+COUNTIF(F912:AI912,"1"))</f>
        <v/>
      </c>
      <c r="D912" s="4">
        <f>IF(A912="","",IF(C912&gt;2*COUNTA(F$889:AI$889)/3,1,IF(C912&gt;=COUNTA(F$889:AI$889)/2,0.8,0.5)))</f>
        <v/>
      </c>
      <c r="E912" s="4">
        <f>IF(A912="","",SUMIFS('Логи'!$H$4:$H$3006,'Логи'!$A$4:$A$3006,A912,'Логи'!$C$4:$C$3006,14))</f>
        <v/>
      </c>
      <c r="F912" s="15" t="n"/>
      <c r="G912" s="15" t="n"/>
      <c r="H912" s="15" t="n"/>
      <c r="I912" s="15" t="n"/>
      <c r="J912" s="15" t="n"/>
      <c r="K912" s="15" t="n"/>
      <c r="L912" s="15" t="n"/>
      <c r="M912" s="15" t="n"/>
      <c r="N912" s="15" t="n"/>
      <c r="O912" s="15" t="n"/>
      <c r="P912" s="15" t="n"/>
      <c r="Q912" s="15" t="n"/>
      <c r="R912" s="15" t="n"/>
      <c r="S912" s="15" t="n"/>
      <c r="T912" s="15" t="n"/>
      <c r="U912" s="15" t="n"/>
      <c r="V912" s="15" t="n"/>
      <c r="W912" s="15" t="n"/>
      <c r="X912" s="15" t="n"/>
      <c r="Y912" s="15" t="n"/>
      <c r="Z912" s="15" t="n"/>
      <c r="AA912" s="15" t="n"/>
      <c r="AB912" s="15" t="n"/>
      <c r="AC912" s="15" t="n"/>
      <c r="AD912" s="15" t="n"/>
      <c r="AE912" s="15" t="n"/>
      <c r="AF912" s="15" t="n"/>
      <c r="AG912" s="15" t="n"/>
      <c r="AH912" s="15" t="n"/>
      <c r="AI912" s="15" t="n"/>
    </row>
    <row r="913">
      <c r="A913" s="4" t="inlineStr">
        <is>
          <t>Студент1.24</t>
        </is>
      </c>
      <c r="B913" s="4" t="inlineStr"/>
      <c r="C913" s="4">
        <f>IF(A913="","",COUNTIF(F913:AI913,"+")+COUNTIF(F913:AI913,"1"))</f>
        <v/>
      </c>
      <c r="D913" s="4">
        <f>IF(A913="","",IF(C913&gt;2*COUNTA(F$889:AI$889)/3,1,IF(C913&gt;=COUNTA(F$889:AI$889)/2,0.8,0.5)))</f>
        <v/>
      </c>
      <c r="E913" s="4">
        <f>IF(A913="","",SUMIFS('Логи'!$H$4:$H$3006,'Логи'!$A$4:$A$3006,A913,'Логи'!$C$4:$C$3006,14))</f>
        <v/>
      </c>
      <c r="F913" s="15" t="n"/>
      <c r="G913" s="15" t="n"/>
      <c r="H913" s="15" t="n"/>
      <c r="I913" s="15" t="n"/>
      <c r="J913" s="15" t="n"/>
      <c r="K913" s="15" t="n"/>
      <c r="L913" s="15" t="n"/>
      <c r="M913" s="15" t="n"/>
      <c r="N913" s="15" t="n"/>
      <c r="O913" s="15" t="n"/>
      <c r="P913" s="15" t="n"/>
      <c r="Q913" s="15" t="n"/>
      <c r="R913" s="15" t="n"/>
      <c r="S913" s="15" t="n"/>
      <c r="T913" s="15" t="n"/>
      <c r="U913" s="15" t="n"/>
      <c r="V913" s="15" t="n"/>
      <c r="W913" s="15" t="n"/>
      <c r="X913" s="15" t="n"/>
      <c r="Y913" s="15" t="n"/>
      <c r="Z913" s="15" t="n"/>
      <c r="AA913" s="15" t="n"/>
      <c r="AB913" s="15" t="n"/>
      <c r="AC913" s="15" t="n"/>
      <c r="AD913" s="15" t="n"/>
      <c r="AE913" s="15" t="n"/>
      <c r="AF913" s="15" t="n"/>
      <c r="AG913" s="15" t="n"/>
      <c r="AH913" s="15" t="n"/>
      <c r="AI913" s="15" t="n"/>
    </row>
    <row r="914">
      <c r="A914" s="4" t="inlineStr">
        <is>
          <t>Студент1.25</t>
        </is>
      </c>
      <c r="B914" s="4" t="inlineStr"/>
      <c r="C914" s="4">
        <f>IF(A914="","",COUNTIF(F914:AI914,"+")+COUNTIF(F914:AI914,"1"))</f>
        <v/>
      </c>
      <c r="D914" s="4">
        <f>IF(A914="","",IF(C914&gt;2*COUNTA(F$889:AI$889)/3,1,IF(C914&gt;=COUNTA(F$889:AI$889)/2,0.8,0.5)))</f>
        <v/>
      </c>
      <c r="E914" s="4">
        <f>IF(A914="","",SUMIFS('Логи'!$H$4:$H$3006,'Логи'!$A$4:$A$3006,A914,'Логи'!$C$4:$C$3006,14))</f>
        <v/>
      </c>
      <c r="F914" s="15" t="n"/>
      <c r="G914" s="15" t="n"/>
      <c r="H914" s="15" t="n"/>
      <c r="I914" s="15" t="n"/>
      <c r="J914" s="15" t="n"/>
      <c r="K914" s="15" t="n"/>
      <c r="L914" s="15" t="n"/>
      <c r="M914" s="15" t="n"/>
      <c r="N914" s="15" t="n"/>
      <c r="O914" s="15" t="n"/>
      <c r="P914" s="15" t="n"/>
      <c r="Q914" s="15" t="n"/>
      <c r="R914" s="15" t="n"/>
      <c r="S914" s="15" t="n"/>
      <c r="T914" s="15" t="n"/>
      <c r="U914" s="15" t="n"/>
      <c r="V914" s="15" t="n"/>
      <c r="W914" s="15" t="n"/>
      <c r="X914" s="15" t="n"/>
      <c r="Y914" s="15" t="n"/>
      <c r="Z914" s="15" t="n"/>
      <c r="AA914" s="15" t="n"/>
      <c r="AB914" s="15" t="n"/>
      <c r="AC914" s="15" t="n"/>
      <c r="AD914" s="15" t="n"/>
      <c r="AE914" s="15" t="n"/>
      <c r="AF914" s="15" t="n"/>
      <c r="AG914" s="15" t="n"/>
      <c r="AH914" s="15" t="n"/>
      <c r="AI914" s="15" t="n"/>
    </row>
    <row r="915">
      <c r="A915" s="4" t="inlineStr">
        <is>
          <t>Студент1.26</t>
        </is>
      </c>
      <c r="B915" s="4" t="inlineStr"/>
      <c r="C915" s="4">
        <f>IF(A915="","",COUNTIF(F915:AI915,"+")+COUNTIF(F915:AI915,"1"))</f>
        <v/>
      </c>
      <c r="D915" s="4">
        <f>IF(A915="","",IF(C915&gt;2*COUNTA(F$889:AI$889)/3,1,IF(C915&gt;=COUNTA(F$889:AI$889)/2,0.8,0.5)))</f>
        <v/>
      </c>
      <c r="E915" s="4">
        <f>IF(A915="","",SUMIFS('Логи'!$H$4:$H$3006,'Логи'!$A$4:$A$3006,A915,'Логи'!$C$4:$C$3006,14))</f>
        <v/>
      </c>
      <c r="F915" s="15" t="n"/>
      <c r="G915" s="15" t="n"/>
      <c r="H915" s="15" t="n"/>
      <c r="I915" s="15" t="n"/>
      <c r="J915" s="15" t="n"/>
      <c r="K915" s="15" t="n"/>
      <c r="L915" s="15" t="n"/>
      <c r="M915" s="15" t="n"/>
      <c r="N915" s="15" t="n"/>
      <c r="O915" s="15" t="n"/>
      <c r="P915" s="15" t="n"/>
      <c r="Q915" s="15" t="n"/>
      <c r="R915" s="15" t="n"/>
      <c r="S915" s="15" t="n"/>
      <c r="T915" s="15" t="n"/>
      <c r="U915" s="15" t="n"/>
      <c r="V915" s="15" t="n"/>
      <c r="W915" s="15" t="n"/>
      <c r="X915" s="15" t="n"/>
      <c r="Y915" s="15" t="n"/>
      <c r="Z915" s="15" t="n"/>
      <c r="AA915" s="15" t="n"/>
      <c r="AB915" s="15" t="n"/>
      <c r="AC915" s="15" t="n"/>
      <c r="AD915" s="15" t="n"/>
      <c r="AE915" s="15" t="n"/>
      <c r="AF915" s="15" t="n"/>
      <c r="AG915" s="15" t="n"/>
      <c r="AH915" s="15" t="n"/>
      <c r="AI915" s="15" t="n"/>
    </row>
    <row r="916">
      <c r="A916" s="4" t="inlineStr">
        <is>
          <t>Студент1.27</t>
        </is>
      </c>
      <c r="B916" s="4" t="inlineStr"/>
      <c r="C916" s="4">
        <f>IF(A916="","",COUNTIF(F916:AI916,"+")+COUNTIF(F916:AI916,"1"))</f>
        <v/>
      </c>
      <c r="D916" s="4">
        <f>IF(A916="","",IF(C916&gt;2*COUNTA(F$889:AI$889)/3,1,IF(C916&gt;=COUNTA(F$889:AI$889)/2,0.8,0.5)))</f>
        <v/>
      </c>
      <c r="E916" s="4">
        <f>IF(A916="","",SUMIFS('Логи'!$H$4:$H$3006,'Логи'!$A$4:$A$3006,A916,'Логи'!$C$4:$C$3006,14))</f>
        <v/>
      </c>
      <c r="F916" s="15" t="n"/>
      <c r="G916" s="15" t="n"/>
      <c r="H916" s="15" t="n"/>
      <c r="I916" s="15" t="n"/>
      <c r="J916" s="15" t="n"/>
      <c r="K916" s="15" t="n"/>
      <c r="L916" s="15" t="n"/>
      <c r="M916" s="15" t="n"/>
      <c r="N916" s="15" t="n"/>
      <c r="O916" s="15" t="n"/>
      <c r="P916" s="15" t="n"/>
      <c r="Q916" s="15" t="n"/>
      <c r="R916" s="15" t="n"/>
      <c r="S916" s="15" t="n"/>
      <c r="T916" s="15" t="n"/>
      <c r="U916" s="15" t="n"/>
      <c r="V916" s="15" t="n"/>
      <c r="W916" s="15" t="n"/>
      <c r="X916" s="15" t="n"/>
      <c r="Y916" s="15" t="n"/>
      <c r="Z916" s="15" t="n"/>
      <c r="AA916" s="15" t="n"/>
      <c r="AB916" s="15" t="n"/>
      <c r="AC916" s="15" t="n"/>
      <c r="AD916" s="15" t="n"/>
      <c r="AE916" s="15" t="n"/>
      <c r="AF916" s="15" t="n"/>
      <c r="AG916" s="15" t="n"/>
      <c r="AH916" s="15" t="n"/>
      <c r="AI916" s="15" t="n"/>
    </row>
    <row r="917">
      <c r="A917" s="4" t="inlineStr">
        <is>
          <t>Студент1.28</t>
        </is>
      </c>
      <c r="B917" s="4" t="inlineStr"/>
      <c r="C917" s="4">
        <f>IF(A917="","",COUNTIF(F917:AI917,"+")+COUNTIF(F917:AI917,"1"))</f>
        <v/>
      </c>
      <c r="D917" s="4">
        <f>IF(A917="","",IF(C917&gt;2*COUNTA(F$889:AI$889)/3,1,IF(C917&gt;=COUNTA(F$889:AI$889)/2,0.8,0.5)))</f>
        <v/>
      </c>
      <c r="E917" s="4">
        <f>IF(A917="","",SUMIFS('Логи'!$H$4:$H$3006,'Логи'!$A$4:$A$3006,A917,'Логи'!$C$4:$C$3006,14))</f>
        <v/>
      </c>
      <c r="F917" s="15" t="n"/>
      <c r="G917" s="15" t="n"/>
      <c r="H917" s="15" t="n"/>
      <c r="I917" s="15" t="n"/>
      <c r="J917" s="15" t="n"/>
      <c r="K917" s="15" t="n"/>
      <c r="L917" s="15" t="n"/>
      <c r="M917" s="15" t="n"/>
      <c r="N917" s="15" t="n"/>
      <c r="O917" s="15" t="n"/>
      <c r="P917" s="15" t="n"/>
      <c r="Q917" s="15" t="n"/>
      <c r="R917" s="15" t="n"/>
      <c r="S917" s="15" t="n"/>
      <c r="T917" s="15" t="n"/>
      <c r="U917" s="15" t="n"/>
      <c r="V917" s="15" t="n"/>
      <c r="W917" s="15" t="n"/>
      <c r="X917" s="15" t="n"/>
      <c r="Y917" s="15" t="n"/>
      <c r="Z917" s="15" t="n"/>
      <c r="AA917" s="15" t="n"/>
      <c r="AB917" s="15" t="n"/>
      <c r="AC917" s="15" t="n"/>
      <c r="AD917" s="15" t="n"/>
      <c r="AE917" s="15" t="n"/>
      <c r="AF917" s="15" t="n"/>
      <c r="AG917" s="15" t="n"/>
      <c r="AH917" s="15" t="n"/>
      <c r="AI917" s="15" t="n"/>
    </row>
    <row r="918">
      <c r="A918" s="4" t="inlineStr">
        <is>
          <t>Студент1.29</t>
        </is>
      </c>
      <c r="B918" s="4" t="inlineStr"/>
      <c r="C918" s="4">
        <f>IF(A918="","",COUNTIF(F918:AI918,"+")+COUNTIF(F918:AI918,"1"))</f>
        <v/>
      </c>
      <c r="D918" s="4">
        <f>IF(A918="","",IF(C918&gt;2*COUNTA(F$889:AI$889)/3,1,IF(C918&gt;=COUNTA(F$889:AI$889)/2,0.8,0.5)))</f>
        <v/>
      </c>
      <c r="E918" s="4">
        <f>IF(A918="","",SUMIFS('Логи'!$H$4:$H$3006,'Логи'!$A$4:$A$3006,A918,'Логи'!$C$4:$C$3006,14))</f>
        <v/>
      </c>
      <c r="F918" s="15" t="n"/>
      <c r="G918" s="15" t="n"/>
      <c r="H918" s="15" t="n"/>
      <c r="I918" s="15" t="n"/>
      <c r="J918" s="15" t="n"/>
      <c r="K918" s="15" t="n"/>
      <c r="L918" s="15" t="n"/>
      <c r="M918" s="15" t="n"/>
      <c r="N918" s="15" t="n"/>
      <c r="O918" s="15" t="n"/>
      <c r="P918" s="15" t="n"/>
      <c r="Q918" s="15" t="n"/>
      <c r="R918" s="15" t="n"/>
      <c r="S918" s="15" t="n"/>
      <c r="T918" s="15" t="n"/>
      <c r="U918" s="15" t="n"/>
      <c r="V918" s="15" t="n"/>
      <c r="W918" s="15" t="n"/>
      <c r="X918" s="15" t="n"/>
      <c r="Y918" s="15" t="n"/>
      <c r="Z918" s="15" t="n"/>
      <c r="AA918" s="15" t="n"/>
      <c r="AB918" s="15" t="n"/>
      <c r="AC918" s="15" t="n"/>
      <c r="AD918" s="15" t="n"/>
      <c r="AE918" s="15" t="n"/>
      <c r="AF918" s="15" t="n"/>
      <c r="AG918" s="15" t="n"/>
      <c r="AH918" s="15" t="n"/>
      <c r="AI918" s="15" t="n"/>
    </row>
    <row r="919">
      <c r="A919" s="4" t="inlineStr">
        <is>
          <t>Студент1.30</t>
        </is>
      </c>
      <c r="B919" s="4" t="inlineStr"/>
      <c r="C919" s="4">
        <f>IF(A919="","",COUNTIF(F919:AI919,"+")+COUNTIF(F919:AI919,"1"))</f>
        <v/>
      </c>
      <c r="D919" s="4">
        <f>IF(A919="","",IF(C919&gt;2*COUNTA(F$889:AI$889)/3,1,IF(C919&gt;=COUNTA(F$889:AI$889)/2,0.8,0.5)))</f>
        <v/>
      </c>
      <c r="E919" s="4">
        <f>IF(A919="","",SUMIFS('Логи'!$H$4:$H$3006,'Логи'!$A$4:$A$3006,A919,'Логи'!$C$4:$C$3006,14))</f>
        <v/>
      </c>
      <c r="F919" s="15" t="n"/>
      <c r="G919" s="15" t="n"/>
      <c r="H919" s="15" t="n"/>
      <c r="I919" s="15" t="n"/>
      <c r="J919" s="15" t="n"/>
      <c r="K919" s="15" t="n"/>
      <c r="L919" s="15" t="n"/>
      <c r="M919" s="15" t="n"/>
      <c r="N919" s="15" t="n"/>
      <c r="O919" s="15" t="n"/>
      <c r="P919" s="15" t="n"/>
      <c r="Q919" s="15" t="n"/>
      <c r="R919" s="15" t="n"/>
      <c r="S919" s="15" t="n"/>
      <c r="T919" s="15" t="n"/>
      <c r="U919" s="15" t="n"/>
      <c r="V919" s="15" t="n"/>
      <c r="W919" s="15" t="n"/>
      <c r="X919" s="15" t="n"/>
      <c r="Y919" s="15" t="n"/>
      <c r="Z919" s="15" t="n"/>
      <c r="AA919" s="15" t="n"/>
      <c r="AB919" s="15" t="n"/>
      <c r="AC919" s="15" t="n"/>
      <c r="AD919" s="15" t="n"/>
      <c r="AE919" s="15" t="n"/>
      <c r="AF919" s="15" t="n"/>
      <c r="AG919" s="15" t="n"/>
      <c r="AH919" s="15" t="n"/>
      <c r="AI919" s="15" t="n"/>
    </row>
    <row r="921">
      <c r="A921" s="16" t="inlineStr">
        <is>
          <t>Практика 14 — результаты рассказа</t>
        </is>
      </c>
    </row>
    <row r="922" ht="28" customHeight="1">
      <c r="A922" s="7" t="inlineStr">
        <is>
          <t>Имя</t>
        </is>
      </c>
      <c r="B922" s="9" t="inlineStr">
        <is>
          <t>TG</t>
        </is>
      </c>
      <c r="C922" s="10" t="inlineStr"/>
      <c r="D922" s="2" t="inlineStr"/>
      <c r="E922" s="2" t="inlineStr"/>
      <c r="F922" s="11" t="inlineStr">
        <is>
          <t>1.0</t>
        </is>
      </c>
      <c r="G922" s="11" t="inlineStr">
        <is>
          <t>2.0</t>
        </is>
      </c>
      <c r="H922" s="11" t="inlineStr">
        <is>
          <t>3.0</t>
        </is>
      </c>
      <c r="I922" s="11" t="inlineStr">
        <is>
          <t>4.0</t>
        </is>
      </c>
      <c r="J922" s="11" t="inlineStr">
        <is>
          <t>5.0</t>
        </is>
      </c>
      <c r="K922" s="11" t="inlineStr">
        <is>
          <t>6</t>
        </is>
      </c>
      <c r="L922" s="11" t="inlineStr">
        <is>
          <t>7</t>
        </is>
      </c>
      <c r="M922" s="11" t="inlineStr">
        <is>
          <t>8</t>
        </is>
      </c>
      <c r="N922" s="11" t="inlineStr">
        <is>
          <t>9</t>
        </is>
      </c>
      <c r="O922" s="11" t="inlineStr">
        <is>
          <t>10</t>
        </is>
      </c>
      <c r="P922" s="11" t="inlineStr">
        <is>
          <t>11</t>
        </is>
      </c>
      <c r="Q922" s="11" t="inlineStr">
        <is>
          <t>12</t>
        </is>
      </c>
      <c r="R922" s="11" t="inlineStr">
        <is>
          <t>13</t>
        </is>
      </c>
      <c r="S922" s="11" t="inlineStr">
        <is>
          <t>14</t>
        </is>
      </c>
      <c r="T922" s="11" t="inlineStr">
        <is>
          <t>15</t>
        </is>
      </c>
      <c r="U922" s="11" t="inlineStr">
        <is>
          <t>16</t>
        </is>
      </c>
      <c r="V922" s="11" t="inlineStr">
        <is>
          <t>17</t>
        </is>
      </c>
      <c r="W922" s="11" t="inlineStr">
        <is>
          <t>18</t>
        </is>
      </c>
      <c r="X922" s="11" t="inlineStr">
        <is>
          <t>19</t>
        </is>
      </c>
      <c r="Y922" s="11" t="inlineStr">
        <is>
          <t>20</t>
        </is>
      </c>
      <c r="Z922" s="11" t="inlineStr">
        <is>
          <t>21</t>
        </is>
      </c>
      <c r="AA922" s="11" t="inlineStr">
        <is>
          <t>22</t>
        </is>
      </c>
      <c r="AB922" s="11" t="inlineStr">
        <is>
          <t>23</t>
        </is>
      </c>
      <c r="AC922" s="11" t="inlineStr">
        <is>
          <t>24</t>
        </is>
      </c>
      <c r="AD922" s="11" t="inlineStr">
        <is>
          <t>25</t>
        </is>
      </c>
      <c r="AE922" s="11" t="inlineStr">
        <is>
          <t>26</t>
        </is>
      </c>
      <c r="AF922" s="11" t="inlineStr">
        <is>
          <t>27</t>
        </is>
      </c>
      <c r="AG922" s="11" t="inlineStr">
        <is>
          <t>28</t>
        </is>
      </c>
      <c r="AH922" s="11" t="inlineStr">
        <is>
          <t>29</t>
        </is>
      </c>
      <c r="AI922" s="11" t="inlineStr">
        <is>
          <t>30</t>
        </is>
      </c>
    </row>
    <row r="923">
      <c r="A923" s="4" t="inlineStr">
        <is>
          <t>Студент1.1</t>
        </is>
      </c>
      <c r="B923" s="4" t="inlineStr"/>
      <c r="C923" s="4" t="n"/>
      <c r="D923" s="4" t="n"/>
      <c r="E923" s="4" t="n"/>
      <c r="F923" s="15" t="n"/>
      <c r="G923" s="15" t="n"/>
      <c r="H923" s="15" t="n"/>
      <c r="I923" s="15" t="n"/>
      <c r="J923" s="15" t="n"/>
      <c r="K923" s="15" t="n"/>
      <c r="L923" s="15" t="n"/>
      <c r="M923" s="15" t="n"/>
      <c r="N923" s="15" t="n"/>
      <c r="O923" s="15" t="n"/>
      <c r="P923" s="15" t="n"/>
      <c r="Q923" s="15" t="n"/>
      <c r="R923" s="15" t="n"/>
      <c r="S923" s="15" t="n"/>
      <c r="T923" s="15" t="n"/>
      <c r="U923" s="15" t="n"/>
      <c r="V923" s="15" t="n"/>
      <c r="W923" s="15" t="n"/>
      <c r="X923" s="15" t="n"/>
      <c r="Y923" s="15" t="n"/>
      <c r="Z923" s="15" t="n"/>
      <c r="AA923" s="15" t="n"/>
      <c r="AB923" s="15" t="n"/>
      <c r="AC923" s="15" t="n"/>
      <c r="AD923" s="15" t="n"/>
      <c r="AE923" s="15" t="n"/>
      <c r="AF923" s="15" t="n"/>
      <c r="AG923" s="15" t="n"/>
      <c r="AH923" s="15" t="n"/>
      <c r="AI923" s="15" t="n"/>
    </row>
    <row r="924">
      <c r="A924" s="4" t="inlineStr">
        <is>
          <t>Студент1.2</t>
        </is>
      </c>
      <c r="B924" s="4" t="inlineStr"/>
      <c r="C924" s="4" t="n"/>
      <c r="D924" s="4" t="n"/>
      <c r="E924" s="4" t="n"/>
      <c r="F924" s="15" t="n"/>
      <c r="G924" s="15" t="n"/>
      <c r="H924" s="15" t="n"/>
      <c r="I924" s="15" t="n"/>
      <c r="J924" s="15" t="n"/>
      <c r="K924" s="15" t="n"/>
      <c r="L924" s="15" t="n"/>
      <c r="M924" s="15" t="n"/>
      <c r="N924" s="15" t="n"/>
      <c r="O924" s="15" t="n"/>
      <c r="P924" s="15" t="n"/>
      <c r="Q924" s="15" t="n"/>
      <c r="R924" s="15" t="n"/>
      <c r="S924" s="15" t="n"/>
      <c r="T924" s="15" t="n"/>
      <c r="U924" s="15" t="n"/>
      <c r="V924" s="15" t="n"/>
      <c r="W924" s="15" t="n"/>
      <c r="X924" s="15" t="n"/>
      <c r="Y924" s="15" t="n"/>
      <c r="Z924" s="15" t="n"/>
      <c r="AA924" s="15" t="n"/>
      <c r="AB924" s="15" t="n"/>
      <c r="AC924" s="15" t="n"/>
      <c r="AD924" s="15" t="n"/>
      <c r="AE924" s="15" t="n"/>
      <c r="AF924" s="15" t="n"/>
      <c r="AG924" s="15" t="n"/>
      <c r="AH924" s="15" t="n"/>
      <c r="AI924" s="15" t="n"/>
    </row>
    <row r="925">
      <c r="A925" s="4" t="inlineStr">
        <is>
          <t>Студент1.3</t>
        </is>
      </c>
      <c r="B925" s="4" t="inlineStr"/>
      <c r="C925" s="4" t="n"/>
      <c r="D925" s="4" t="n"/>
      <c r="E925" s="4" t="n"/>
      <c r="F925" s="15" t="n"/>
      <c r="G925" s="15" t="n"/>
      <c r="H925" s="15" t="n"/>
      <c r="I925" s="15" t="n"/>
      <c r="J925" s="15" t="n"/>
      <c r="K925" s="15" t="n"/>
      <c r="L925" s="15" t="n"/>
      <c r="M925" s="15" t="n"/>
      <c r="N925" s="15" t="n"/>
      <c r="O925" s="15" t="n"/>
      <c r="P925" s="15" t="n"/>
      <c r="Q925" s="15" t="n"/>
      <c r="R925" s="15" t="n"/>
      <c r="S925" s="15" t="n"/>
      <c r="T925" s="15" t="n"/>
      <c r="U925" s="15" t="n"/>
      <c r="V925" s="15" t="n"/>
      <c r="W925" s="15" t="n"/>
      <c r="X925" s="15" t="n"/>
      <c r="Y925" s="15" t="n"/>
      <c r="Z925" s="15" t="n"/>
      <c r="AA925" s="15" t="n"/>
      <c r="AB925" s="15" t="n"/>
      <c r="AC925" s="15" t="n"/>
      <c r="AD925" s="15" t="n"/>
      <c r="AE925" s="15" t="n"/>
      <c r="AF925" s="15" t="n"/>
      <c r="AG925" s="15" t="n"/>
      <c r="AH925" s="15" t="n"/>
      <c r="AI925" s="15" t="n"/>
    </row>
    <row r="926">
      <c r="A926" s="4" t="inlineStr">
        <is>
          <t>Студент1.4</t>
        </is>
      </c>
      <c r="B926" s="4" t="inlineStr"/>
      <c r="C926" s="4" t="n"/>
      <c r="D926" s="4" t="n"/>
      <c r="E926" s="4" t="n"/>
      <c r="F926" s="15" t="n"/>
      <c r="G926" s="15" t="n"/>
      <c r="H926" s="15" t="n"/>
      <c r="I926" s="15" t="n"/>
      <c r="J926" s="15" t="n"/>
      <c r="K926" s="15" t="n"/>
      <c r="L926" s="15" t="n"/>
      <c r="M926" s="15" t="n"/>
      <c r="N926" s="15" t="n"/>
      <c r="O926" s="15" t="n"/>
      <c r="P926" s="15" t="n"/>
      <c r="Q926" s="15" t="n"/>
      <c r="R926" s="15" t="n"/>
      <c r="S926" s="15" t="n"/>
      <c r="T926" s="15" t="n"/>
      <c r="U926" s="15" t="n"/>
      <c r="V926" s="15" t="n"/>
      <c r="W926" s="15" t="n"/>
      <c r="X926" s="15" t="n"/>
      <c r="Y926" s="15" t="n"/>
      <c r="Z926" s="15" t="n"/>
      <c r="AA926" s="15" t="n"/>
      <c r="AB926" s="15" t="n"/>
      <c r="AC926" s="15" t="n"/>
      <c r="AD926" s="15" t="n"/>
      <c r="AE926" s="15" t="n"/>
      <c r="AF926" s="15" t="n"/>
      <c r="AG926" s="15" t="n"/>
      <c r="AH926" s="15" t="n"/>
      <c r="AI926" s="15" t="n"/>
    </row>
    <row r="927">
      <c r="A927" s="4" t="inlineStr">
        <is>
          <t>Студент1.5</t>
        </is>
      </c>
      <c r="B927" s="4" t="inlineStr"/>
      <c r="C927" s="4" t="n"/>
      <c r="D927" s="4" t="n"/>
      <c r="E927" s="4" t="n"/>
      <c r="F927" s="15" t="n"/>
      <c r="G927" s="15" t="n"/>
      <c r="H927" s="15" t="n"/>
      <c r="I927" s="15" t="n"/>
      <c r="J927" s="15" t="n"/>
      <c r="K927" s="15" t="n"/>
      <c r="L927" s="15" t="n"/>
      <c r="M927" s="15" t="n"/>
      <c r="N927" s="15" t="n"/>
      <c r="O927" s="15" t="n"/>
      <c r="P927" s="15" t="n"/>
      <c r="Q927" s="15" t="n"/>
      <c r="R927" s="15" t="n"/>
      <c r="S927" s="15" t="n"/>
      <c r="T927" s="15" t="n"/>
      <c r="U927" s="15" t="n"/>
      <c r="V927" s="15" t="n"/>
      <c r="W927" s="15" t="n"/>
      <c r="X927" s="15" t="n"/>
      <c r="Y927" s="15" t="n"/>
      <c r="Z927" s="15" t="n"/>
      <c r="AA927" s="15" t="n"/>
      <c r="AB927" s="15" t="n"/>
      <c r="AC927" s="15" t="n"/>
      <c r="AD927" s="15" t="n"/>
      <c r="AE927" s="15" t="n"/>
      <c r="AF927" s="15" t="n"/>
      <c r="AG927" s="15" t="n"/>
      <c r="AH927" s="15" t="n"/>
      <c r="AI927" s="15" t="n"/>
    </row>
    <row r="928">
      <c r="A928" s="4" t="inlineStr">
        <is>
          <t>Студент1.6</t>
        </is>
      </c>
      <c r="B928" s="4" t="inlineStr"/>
      <c r="C928" s="4" t="n"/>
      <c r="D928" s="4" t="n"/>
      <c r="E928" s="4" t="n"/>
      <c r="F928" s="15" t="n"/>
      <c r="G928" s="15" t="n"/>
      <c r="H928" s="15" t="n"/>
      <c r="I928" s="15" t="n"/>
      <c r="J928" s="15" t="n"/>
      <c r="K928" s="15" t="n"/>
      <c r="L928" s="15" t="n"/>
      <c r="M928" s="15" t="n"/>
      <c r="N928" s="15" t="n"/>
      <c r="O928" s="15" t="n"/>
      <c r="P928" s="15" t="n"/>
      <c r="Q928" s="15" t="n"/>
      <c r="R928" s="15" t="n"/>
      <c r="S928" s="15" t="n"/>
      <c r="T928" s="15" t="n"/>
      <c r="U928" s="15" t="n"/>
      <c r="V928" s="15" t="n"/>
      <c r="W928" s="15" t="n"/>
      <c r="X928" s="15" t="n"/>
      <c r="Y928" s="15" t="n"/>
      <c r="Z928" s="15" t="n"/>
      <c r="AA928" s="15" t="n"/>
      <c r="AB928" s="15" t="n"/>
      <c r="AC928" s="15" t="n"/>
      <c r="AD928" s="15" t="n"/>
      <c r="AE928" s="15" t="n"/>
      <c r="AF928" s="15" t="n"/>
      <c r="AG928" s="15" t="n"/>
      <c r="AH928" s="15" t="n"/>
      <c r="AI928" s="15" t="n"/>
    </row>
    <row r="929">
      <c r="A929" s="4" t="inlineStr">
        <is>
          <t>Студент1.7</t>
        </is>
      </c>
      <c r="B929" s="4" t="inlineStr"/>
      <c r="C929" s="4" t="n"/>
      <c r="D929" s="4" t="n"/>
      <c r="E929" s="4" t="n"/>
      <c r="F929" s="15" t="n"/>
      <c r="G929" s="15" t="n"/>
      <c r="H929" s="15" t="n"/>
      <c r="I929" s="15" t="n"/>
      <c r="J929" s="15" t="n"/>
      <c r="K929" s="15" t="n"/>
      <c r="L929" s="15" t="n"/>
      <c r="M929" s="15" t="n"/>
      <c r="N929" s="15" t="n"/>
      <c r="O929" s="15" t="n"/>
      <c r="P929" s="15" t="n"/>
      <c r="Q929" s="15" t="n"/>
      <c r="R929" s="15" t="n"/>
      <c r="S929" s="15" t="n"/>
      <c r="T929" s="15" t="n"/>
      <c r="U929" s="15" t="n"/>
      <c r="V929" s="15" t="n"/>
      <c r="W929" s="15" t="n"/>
      <c r="X929" s="15" t="n"/>
      <c r="Y929" s="15" t="n"/>
      <c r="Z929" s="15" t="n"/>
      <c r="AA929" s="15" t="n"/>
      <c r="AB929" s="15" t="n"/>
      <c r="AC929" s="15" t="n"/>
      <c r="AD929" s="15" t="n"/>
      <c r="AE929" s="15" t="n"/>
      <c r="AF929" s="15" t="n"/>
      <c r="AG929" s="15" t="n"/>
      <c r="AH929" s="15" t="n"/>
      <c r="AI929" s="15" t="n"/>
    </row>
    <row r="930">
      <c r="A930" s="4" t="inlineStr">
        <is>
          <t>Студент1.8</t>
        </is>
      </c>
      <c r="B930" s="4" t="inlineStr"/>
      <c r="C930" s="4" t="n"/>
      <c r="D930" s="4" t="n"/>
      <c r="E930" s="4" t="n"/>
      <c r="F930" s="15" t="n"/>
      <c r="G930" s="15" t="n"/>
      <c r="H930" s="15" t="n"/>
      <c r="I930" s="15" t="n"/>
      <c r="J930" s="15" t="n"/>
      <c r="K930" s="15" t="n"/>
      <c r="L930" s="15" t="n"/>
      <c r="M930" s="15" t="n"/>
      <c r="N930" s="15" t="n"/>
      <c r="O930" s="15" t="n"/>
      <c r="P930" s="15" t="n"/>
      <c r="Q930" s="15" t="n"/>
      <c r="R930" s="15" t="n"/>
      <c r="S930" s="15" t="n"/>
      <c r="T930" s="15" t="n"/>
      <c r="U930" s="15" t="n"/>
      <c r="V930" s="15" t="n"/>
      <c r="W930" s="15" t="n"/>
      <c r="X930" s="15" t="n"/>
      <c r="Y930" s="15" t="n"/>
      <c r="Z930" s="15" t="n"/>
      <c r="AA930" s="15" t="n"/>
      <c r="AB930" s="15" t="n"/>
      <c r="AC930" s="15" t="n"/>
      <c r="AD930" s="15" t="n"/>
      <c r="AE930" s="15" t="n"/>
      <c r="AF930" s="15" t="n"/>
      <c r="AG930" s="15" t="n"/>
      <c r="AH930" s="15" t="n"/>
      <c r="AI930" s="15" t="n"/>
    </row>
    <row r="931">
      <c r="A931" s="4" t="inlineStr">
        <is>
          <t>Студент1.9</t>
        </is>
      </c>
      <c r="B931" s="4" t="inlineStr"/>
      <c r="C931" s="4" t="n"/>
      <c r="D931" s="4" t="n"/>
      <c r="E931" s="4" t="n"/>
      <c r="F931" s="15" t="n"/>
      <c r="G931" s="15" t="n"/>
      <c r="H931" s="15" t="n"/>
      <c r="I931" s="15" t="n"/>
      <c r="J931" s="15" t="n"/>
      <c r="K931" s="15" t="n"/>
      <c r="L931" s="15" t="n"/>
      <c r="M931" s="15" t="n"/>
      <c r="N931" s="15" t="n"/>
      <c r="O931" s="15" t="n"/>
      <c r="P931" s="15" t="n"/>
      <c r="Q931" s="15" t="n"/>
      <c r="R931" s="15" t="n"/>
      <c r="S931" s="15" t="n"/>
      <c r="T931" s="15" t="n"/>
      <c r="U931" s="15" t="n"/>
      <c r="V931" s="15" t="n"/>
      <c r="W931" s="15" t="n"/>
      <c r="X931" s="15" t="n"/>
      <c r="Y931" s="15" t="n"/>
      <c r="Z931" s="15" t="n"/>
      <c r="AA931" s="15" t="n"/>
      <c r="AB931" s="15" t="n"/>
      <c r="AC931" s="15" t="n"/>
      <c r="AD931" s="15" t="n"/>
      <c r="AE931" s="15" t="n"/>
      <c r="AF931" s="15" t="n"/>
      <c r="AG931" s="15" t="n"/>
      <c r="AH931" s="15" t="n"/>
      <c r="AI931" s="15" t="n"/>
    </row>
    <row r="932">
      <c r="A932" s="4" t="inlineStr">
        <is>
          <t>Студент1.10</t>
        </is>
      </c>
      <c r="B932" s="4" t="inlineStr"/>
      <c r="C932" s="4" t="n"/>
      <c r="D932" s="4" t="n"/>
      <c r="E932" s="4" t="n"/>
      <c r="F932" s="15" t="n"/>
      <c r="G932" s="15" t="n"/>
      <c r="H932" s="15" t="n"/>
      <c r="I932" s="15" t="n"/>
      <c r="J932" s="15" t="n"/>
      <c r="K932" s="15" t="n"/>
      <c r="L932" s="15" t="n"/>
      <c r="M932" s="15" t="n"/>
      <c r="N932" s="15" t="n"/>
      <c r="O932" s="15" t="n"/>
      <c r="P932" s="15" t="n"/>
      <c r="Q932" s="15" t="n"/>
      <c r="R932" s="15" t="n"/>
      <c r="S932" s="15" t="n"/>
      <c r="T932" s="15" t="n"/>
      <c r="U932" s="15" t="n"/>
      <c r="V932" s="15" t="n"/>
      <c r="W932" s="15" t="n"/>
      <c r="X932" s="15" t="n"/>
      <c r="Y932" s="15" t="n"/>
      <c r="Z932" s="15" t="n"/>
      <c r="AA932" s="15" t="n"/>
      <c r="AB932" s="15" t="n"/>
      <c r="AC932" s="15" t="n"/>
      <c r="AD932" s="15" t="n"/>
      <c r="AE932" s="15" t="n"/>
      <c r="AF932" s="15" t="n"/>
      <c r="AG932" s="15" t="n"/>
      <c r="AH932" s="15" t="n"/>
      <c r="AI932" s="15" t="n"/>
    </row>
    <row r="933">
      <c r="A933" s="4" t="inlineStr">
        <is>
          <t>Студент1.11</t>
        </is>
      </c>
      <c r="B933" s="4" t="inlineStr"/>
      <c r="C933" s="4" t="n"/>
      <c r="D933" s="4" t="n"/>
      <c r="E933" s="4" t="n"/>
      <c r="F933" s="15" t="n"/>
      <c r="G933" s="15" t="n"/>
      <c r="H933" s="15" t="n"/>
      <c r="I933" s="15" t="n"/>
      <c r="J933" s="15" t="n"/>
      <c r="K933" s="15" t="n"/>
      <c r="L933" s="15" t="n"/>
      <c r="M933" s="15" t="n"/>
      <c r="N933" s="15" t="n"/>
      <c r="O933" s="15" t="n"/>
      <c r="P933" s="15" t="n"/>
      <c r="Q933" s="15" t="n"/>
      <c r="R933" s="15" t="n"/>
      <c r="S933" s="15" t="n"/>
      <c r="T933" s="15" t="n"/>
      <c r="U933" s="15" t="n"/>
      <c r="V933" s="15" t="n"/>
      <c r="W933" s="15" t="n"/>
      <c r="X933" s="15" t="n"/>
      <c r="Y933" s="15" t="n"/>
      <c r="Z933" s="15" t="n"/>
      <c r="AA933" s="15" t="n"/>
      <c r="AB933" s="15" t="n"/>
      <c r="AC933" s="15" t="n"/>
      <c r="AD933" s="15" t="n"/>
      <c r="AE933" s="15" t="n"/>
      <c r="AF933" s="15" t="n"/>
      <c r="AG933" s="15" t="n"/>
      <c r="AH933" s="15" t="n"/>
      <c r="AI933" s="15" t="n"/>
    </row>
    <row r="934">
      <c r="A934" s="4" t="inlineStr">
        <is>
          <t>Студент1.12</t>
        </is>
      </c>
      <c r="B934" s="4" t="inlineStr"/>
      <c r="C934" s="4" t="n"/>
      <c r="D934" s="4" t="n"/>
      <c r="E934" s="4" t="n"/>
      <c r="F934" s="15" t="n"/>
      <c r="G934" s="15" t="n"/>
      <c r="H934" s="15" t="n"/>
      <c r="I934" s="15" t="n"/>
      <c r="J934" s="15" t="n"/>
      <c r="K934" s="15" t="n"/>
      <c r="L934" s="15" t="n"/>
      <c r="M934" s="15" t="n"/>
      <c r="N934" s="15" t="n"/>
      <c r="O934" s="15" t="n"/>
      <c r="P934" s="15" t="n"/>
      <c r="Q934" s="15" t="n"/>
      <c r="R934" s="15" t="n"/>
      <c r="S934" s="15" t="n"/>
      <c r="T934" s="15" t="n"/>
      <c r="U934" s="15" t="n"/>
      <c r="V934" s="15" t="n"/>
      <c r="W934" s="15" t="n"/>
      <c r="X934" s="15" t="n"/>
      <c r="Y934" s="15" t="n"/>
      <c r="Z934" s="15" t="n"/>
      <c r="AA934" s="15" t="n"/>
      <c r="AB934" s="15" t="n"/>
      <c r="AC934" s="15" t="n"/>
      <c r="AD934" s="15" t="n"/>
      <c r="AE934" s="15" t="n"/>
      <c r="AF934" s="15" t="n"/>
      <c r="AG934" s="15" t="n"/>
      <c r="AH934" s="15" t="n"/>
      <c r="AI934" s="15" t="n"/>
    </row>
    <row r="935">
      <c r="A935" s="4" t="inlineStr">
        <is>
          <t>Студент1.13</t>
        </is>
      </c>
      <c r="B935" s="4" t="inlineStr"/>
      <c r="C935" s="4" t="n"/>
      <c r="D935" s="4" t="n"/>
      <c r="E935" s="4" t="n"/>
      <c r="F935" s="15" t="n"/>
      <c r="G935" s="15" t="n"/>
      <c r="H935" s="15" t="n"/>
      <c r="I935" s="15" t="n"/>
      <c r="J935" s="15" t="n"/>
      <c r="K935" s="15" t="n"/>
      <c r="L935" s="15" t="n"/>
      <c r="M935" s="15" t="n"/>
      <c r="N935" s="15" t="n"/>
      <c r="O935" s="15" t="n"/>
      <c r="P935" s="15" t="n"/>
      <c r="Q935" s="15" t="n"/>
      <c r="R935" s="15" t="n"/>
      <c r="S935" s="15" t="n"/>
      <c r="T935" s="15" t="n"/>
      <c r="U935" s="15" t="n"/>
      <c r="V935" s="15" t="n"/>
      <c r="W935" s="15" t="n"/>
      <c r="X935" s="15" t="n"/>
      <c r="Y935" s="15" t="n"/>
      <c r="Z935" s="15" t="n"/>
      <c r="AA935" s="15" t="n"/>
      <c r="AB935" s="15" t="n"/>
      <c r="AC935" s="15" t="n"/>
      <c r="AD935" s="15" t="n"/>
      <c r="AE935" s="15" t="n"/>
      <c r="AF935" s="15" t="n"/>
      <c r="AG935" s="15" t="n"/>
      <c r="AH935" s="15" t="n"/>
      <c r="AI935" s="15" t="n"/>
    </row>
    <row r="936">
      <c r="A936" s="4" t="inlineStr">
        <is>
          <t>Студент1.14</t>
        </is>
      </c>
      <c r="B936" s="4" t="inlineStr"/>
      <c r="C936" s="4" t="n"/>
      <c r="D936" s="4" t="n"/>
      <c r="E936" s="4" t="n"/>
      <c r="F936" s="15" t="n"/>
      <c r="G936" s="15" t="n"/>
      <c r="H936" s="15" t="n"/>
      <c r="I936" s="15" t="n"/>
      <c r="J936" s="15" t="n"/>
      <c r="K936" s="15" t="n"/>
      <c r="L936" s="15" t="n"/>
      <c r="M936" s="15" t="n"/>
      <c r="N936" s="15" t="n"/>
      <c r="O936" s="15" t="n"/>
      <c r="P936" s="15" t="n"/>
      <c r="Q936" s="15" t="n"/>
      <c r="R936" s="15" t="n"/>
      <c r="S936" s="15" t="n"/>
      <c r="T936" s="15" t="n"/>
      <c r="U936" s="15" t="n"/>
      <c r="V936" s="15" t="n"/>
      <c r="W936" s="15" t="n"/>
      <c r="X936" s="15" t="n"/>
      <c r="Y936" s="15" t="n"/>
      <c r="Z936" s="15" t="n"/>
      <c r="AA936" s="15" t="n"/>
      <c r="AB936" s="15" t="n"/>
      <c r="AC936" s="15" t="n"/>
      <c r="AD936" s="15" t="n"/>
      <c r="AE936" s="15" t="n"/>
      <c r="AF936" s="15" t="n"/>
      <c r="AG936" s="15" t="n"/>
      <c r="AH936" s="15" t="n"/>
      <c r="AI936" s="15" t="n"/>
    </row>
    <row r="937">
      <c r="A937" s="4" t="inlineStr">
        <is>
          <t>Студент1.15</t>
        </is>
      </c>
      <c r="B937" s="4" t="inlineStr"/>
      <c r="C937" s="4" t="n"/>
      <c r="D937" s="4" t="n"/>
      <c r="E937" s="4" t="n"/>
      <c r="F937" s="15" t="n"/>
      <c r="G937" s="15" t="n"/>
      <c r="H937" s="15" t="n"/>
      <c r="I937" s="15" t="n"/>
      <c r="J937" s="15" t="n"/>
      <c r="K937" s="15" t="n"/>
      <c r="L937" s="15" t="n"/>
      <c r="M937" s="15" t="n"/>
      <c r="N937" s="15" t="n"/>
      <c r="O937" s="15" t="n"/>
      <c r="P937" s="15" t="n"/>
      <c r="Q937" s="15" t="n"/>
      <c r="R937" s="15" t="n"/>
      <c r="S937" s="15" t="n"/>
      <c r="T937" s="15" t="n"/>
      <c r="U937" s="15" t="n"/>
      <c r="V937" s="15" t="n"/>
      <c r="W937" s="15" t="n"/>
      <c r="X937" s="15" t="n"/>
      <c r="Y937" s="15" t="n"/>
      <c r="Z937" s="15" t="n"/>
      <c r="AA937" s="15" t="n"/>
      <c r="AB937" s="15" t="n"/>
      <c r="AC937" s="15" t="n"/>
      <c r="AD937" s="15" t="n"/>
      <c r="AE937" s="15" t="n"/>
      <c r="AF937" s="15" t="n"/>
      <c r="AG937" s="15" t="n"/>
      <c r="AH937" s="15" t="n"/>
      <c r="AI937" s="15" t="n"/>
    </row>
    <row r="938">
      <c r="A938" s="4" t="inlineStr">
        <is>
          <t>Студент1.16</t>
        </is>
      </c>
      <c r="B938" s="4" t="inlineStr"/>
      <c r="C938" s="4" t="n"/>
      <c r="D938" s="4" t="n"/>
      <c r="E938" s="4" t="n"/>
      <c r="F938" s="15" t="n"/>
      <c r="G938" s="15" t="n"/>
      <c r="H938" s="15" t="n"/>
      <c r="I938" s="15" t="n"/>
      <c r="J938" s="15" t="n"/>
      <c r="K938" s="15" t="n"/>
      <c r="L938" s="15" t="n"/>
      <c r="M938" s="15" t="n"/>
      <c r="N938" s="15" t="n"/>
      <c r="O938" s="15" t="n"/>
      <c r="P938" s="15" t="n"/>
      <c r="Q938" s="15" t="n"/>
      <c r="R938" s="15" t="n"/>
      <c r="S938" s="15" t="n"/>
      <c r="T938" s="15" t="n"/>
      <c r="U938" s="15" t="n"/>
      <c r="V938" s="15" t="n"/>
      <c r="W938" s="15" t="n"/>
      <c r="X938" s="15" t="n"/>
      <c r="Y938" s="15" t="n"/>
      <c r="Z938" s="15" t="n"/>
      <c r="AA938" s="15" t="n"/>
      <c r="AB938" s="15" t="n"/>
      <c r="AC938" s="15" t="n"/>
      <c r="AD938" s="15" t="n"/>
      <c r="AE938" s="15" t="n"/>
      <c r="AF938" s="15" t="n"/>
      <c r="AG938" s="15" t="n"/>
      <c r="AH938" s="15" t="n"/>
      <c r="AI938" s="15" t="n"/>
    </row>
    <row r="939">
      <c r="A939" s="4" t="inlineStr">
        <is>
          <t>Студент1.17</t>
        </is>
      </c>
      <c r="B939" s="4" t="inlineStr"/>
      <c r="C939" s="4" t="n"/>
      <c r="D939" s="4" t="n"/>
      <c r="E939" s="4" t="n"/>
      <c r="F939" s="15" t="n"/>
      <c r="G939" s="15" t="n"/>
      <c r="H939" s="15" t="n"/>
      <c r="I939" s="15" t="n"/>
      <c r="J939" s="15" t="n"/>
      <c r="K939" s="15" t="n"/>
      <c r="L939" s="15" t="n"/>
      <c r="M939" s="15" t="n"/>
      <c r="N939" s="15" t="n"/>
      <c r="O939" s="15" t="n"/>
      <c r="P939" s="15" t="n"/>
      <c r="Q939" s="15" t="n"/>
      <c r="R939" s="15" t="n"/>
      <c r="S939" s="15" t="n"/>
      <c r="T939" s="15" t="n"/>
      <c r="U939" s="15" t="n"/>
      <c r="V939" s="15" t="n"/>
      <c r="W939" s="15" t="n"/>
      <c r="X939" s="15" t="n"/>
      <c r="Y939" s="15" t="n"/>
      <c r="Z939" s="15" t="n"/>
      <c r="AA939" s="15" t="n"/>
      <c r="AB939" s="15" t="n"/>
      <c r="AC939" s="15" t="n"/>
      <c r="AD939" s="15" t="n"/>
      <c r="AE939" s="15" t="n"/>
      <c r="AF939" s="15" t="n"/>
      <c r="AG939" s="15" t="n"/>
      <c r="AH939" s="15" t="n"/>
      <c r="AI939" s="15" t="n"/>
    </row>
    <row r="940">
      <c r="A940" s="4" t="inlineStr">
        <is>
          <t>Студент1.18</t>
        </is>
      </c>
      <c r="B940" s="4" t="inlineStr"/>
      <c r="C940" s="4" t="n"/>
      <c r="D940" s="4" t="n"/>
      <c r="E940" s="4" t="n"/>
      <c r="F940" s="15" t="n"/>
      <c r="G940" s="15" t="n"/>
      <c r="H940" s="15" t="n"/>
      <c r="I940" s="15" t="n"/>
      <c r="J940" s="15" t="n"/>
      <c r="K940" s="15" t="n"/>
      <c r="L940" s="15" t="n"/>
      <c r="M940" s="15" t="n"/>
      <c r="N940" s="15" t="n"/>
      <c r="O940" s="15" t="n"/>
      <c r="P940" s="15" t="n"/>
      <c r="Q940" s="15" t="n"/>
      <c r="R940" s="15" t="n"/>
      <c r="S940" s="15" t="n"/>
      <c r="T940" s="15" t="n"/>
      <c r="U940" s="15" t="n"/>
      <c r="V940" s="15" t="n"/>
      <c r="W940" s="15" t="n"/>
      <c r="X940" s="15" t="n"/>
      <c r="Y940" s="15" t="n"/>
      <c r="Z940" s="15" t="n"/>
      <c r="AA940" s="15" t="n"/>
      <c r="AB940" s="15" t="n"/>
      <c r="AC940" s="15" t="n"/>
      <c r="AD940" s="15" t="n"/>
      <c r="AE940" s="15" t="n"/>
      <c r="AF940" s="15" t="n"/>
      <c r="AG940" s="15" t="n"/>
      <c r="AH940" s="15" t="n"/>
      <c r="AI940" s="15" t="n"/>
    </row>
    <row r="941">
      <c r="A941" s="4" t="inlineStr">
        <is>
          <t>Студент1.19</t>
        </is>
      </c>
      <c r="B941" s="4" t="inlineStr"/>
      <c r="C941" s="4" t="n"/>
      <c r="D941" s="4" t="n"/>
      <c r="E941" s="4" t="n"/>
      <c r="F941" s="15" t="n"/>
      <c r="G941" s="15" t="n"/>
      <c r="H941" s="15" t="n"/>
      <c r="I941" s="15" t="n"/>
      <c r="J941" s="15" t="n"/>
      <c r="K941" s="15" t="n"/>
      <c r="L941" s="15" t="n"/>
      <c r="M941" s="15" t="n"/>
      <c r="N941" s="15" t="n"/>
      <c r="O941" s="15" t="n"/>
      <c r="P941" s="15" t="n"/>
      <c r="Q941" s="15" t="n"/>
      <c r="R941" s="15" t="n"/>
      <c r="S941" s="15" t="n"/>
      <c r="T941" s="15" t="n"/>
      <c r="U941" s="15" t="n"/>
      <c r="V941" s="15" t="n"/>
      <c r="W941" s="15" t="n"/>
      <c r="X941" s="15" t="n"/>
      <c r="Y941" s="15" t="n"/>
      <c r="Z941" s="15" t="n"/>
      <c r="AA941" s="15" t="n"/>
      <c r="AB941" s="15" t="n"/>
      <c r="AC941" s="15" t="n"/>
      <c r="AD941" s="15" t="n"/>
      <c r="AE941" s="15" t="n"/>
      <c r="AF941" s="15" t="n"/>
      <c r="AG941" s="15" t="n"/>
      <c r="AH941" s="15" t="n"/>
      <c r="AI941" s="15" t="n"/>
    </row>
    <row r="942">
      <c r="A942" s="4" t="inlineStr">
        <is>
          <t>Студент1.20</t>
        </is>
      </c>
      <c r="B942" s="4" t="inlineStr"/>
      <c r="C942" s="4" t="n"/>
      <c r="D942" s="4" t="n"/>
      <c r="E942" s="4" t="n"/>
      <c r="F942" s="15" t="n"/>
      <c r="G942" s="15" t="n"/>
      <c r="H942" s="15" t="n"/>
      <c r="I942" s="15" t="n"/>
      <c r="J942" s="15" t="n"/>
      <c r="K942" s="15" t="n"/>
      <c r="L942" s="15" t="n"/>
      <c r="M942" s="15" t="n"/>
      <c r="N942" s="15" t="n"/>
      <c r="O942" s="15" t="n"/>
      <c r="P942" s="15" t="n"/>
      <c r="Q942" s="15" t="n"/>
      <c r="R942" s="15" t="n"/>
      <c r="S942" s="15" t="n"/>
      <c r="T942" s="15" t="n"/>
      <c r="U942" s="15" t="n"/>
      <c r="V942" s="15" t="n"/>
      <c r="W942" s="15" t="n"/>
      <c r="X942" s="15" t="n"/>
      <c r="Y942" s="15" t="n"/>
      <c r="Z942" s="15" t="n"/>
      <c r="AA942" s="15" t="n"/>
      <c r="AB942" s="15" t="n"/>
      <c r="AC942" s="15" t="n"/>
      <c r="AD942" s="15" t="n"/>
      <c r="AE942" s="15" t="n"/>
      <c r="AF942" s="15" t="n"/>
      <c r="AG942" s="15" t="n"/>
      <c r="AH942" s="15" t="n"/>
      <c r="AI942" s="15" t="n"/>
    </row>
    <row r="943">
      <c r="A943" s="4" t="inlineStr">
        <is>
          <t>Студент1.21</t>
        </is>
      </c>
      <c r="B943" s="4" t="inlineStr"/>
      <c r="C943" s="4" t="n"/>
      <c r="D943" s="4" t="n"/>
      <c r="E943" s="4" t="n"/>
      <c r="F943" s="15" t="n"/>
      <c r="G943" s="15" t="n"/>
      <c r="H943" s="15" t="n"/>
      <c r="I943" s="15" t="n"/>
      <c r="J943" s="15" t="n"/>
      <c r="K943" s="15" t="n"/>
      <c r="L943" s="15" t="n"/>
      <c r="M943" s="15" t="n"/>
      <c r="N943" s="15" t="n"/>
      <c r="O943" s="15" t="n"/>
      <c r="P943" s="15" t="n"/>
      <c r="Q943" s="15" t="n"/>
      <c r="R943" s="15" t="n"/>
      <c r="S943" s="15" t="n"/>
      <c r="T943" s="15" t="n"/>
      <c r="U943" s="15" t="n"/>
      <c r="V943" s="15" t="n"/>
      <c r="W943" s="15" t="n"/>
      <c r="X943" s="15" t="n"/>
      <c r="Y943" s="15" t="n"/>
      <c r="Z943" s="15" t="n"/>
      <c r="AA943" s="15" t="n"/>
      <c r="AB943" s="15" t="n"/>
      <c r="AC943" s="15" t="n"/>
      <c r="AD943" s="15" t="n"/>
      <c r="AE943" s="15" t="n"/>
      <c r="AF943" s="15" t="n"/>
      <c r="AG943" s="15" t="n"/>
      <c r="AH943" s="15" t="n"/>
      <c r="AI943" s="15" t="n"/>
    </row>
    <row r="944">
      <c r="A944" s="4" t="inlineStr">
        <is>
          <t>Студент1.22</t>
        </is>
      </c>
      <c r="B944" s="4" t="inlineStr"/>
      <c r="C944" s="4" t="n"/>
      <c r="D944" s="4" t="n"/>
      <c r="E944" s="4" t="n"/>
      <c r="F944" s="15" t="n"/>
      <c r="G944" s="15" t="n"/>
      <c r="H944" s="15" t="n"/>
      <c r="I944" s="15" t="n"/>
      <c r="J944" s="15" t="n"/>
      <c r="K944" s="15" t="n"/>
      <c r="L944" s="15" t="n"/>
      <c r="M944" s="15" t="n"/>
      <c r="N944" s="15" t="n"/>
      <c r="O944" s="15" t="n"/>
      <c r="P944" s="15" t="n"/>
      <c r="Q944" s="15" t="n"/>
      <c r="R944" s="15" t="n"/>
      <c r="S944" s="15" t="n"/>
      <c r="T944" s="15" t="n"/>
      <c r="U944" s="15" t="n"/>
      <c r="V944" s="15" t="n"/>
      <c r="W944" s="15" t="n"/>
      <c r="X944" s="15" t="n"/>
      <c r="Y944" s="15" t="n"/>
      <c r="Z944" s="15" t="n"/>
      <c r="AA944" s="15" t="n"/>
      <c r="AB944" s="15" t="n"/>
      <c r="AC944" s="15" t="n"/>
      <c r="AD944" s="15" t="n"/>
      <c r="AE944" s="15" t="n"/>
      <c r="AF944" s="15" t="n"/>
      <c r="AG944" s="15" t="n"/>
      <c r="AH944" s="15" t="n"/>
      <c r="AI944" s="15" t="n"/>
    </row>
    <row r="945">
      <c r="A945" s="4" t="inlineStr">
        <is>
          <t>Студент1.23</t>
        </is>
      </c>
      <c r="B945" s="4" t="inlineStr"/>
      <c r="C945" s="4" t="n"/>
      <c r="D945" s="4" t="n"/>
      <c r="E945" s="4" t="n"/>
      <c r="F945" s="15" t="n"/>
      <c r="G945" s="15" t="n"/>
      <c r="H945" s="15" t="n"/>
      <c r="I945" s="15" t="n"/>
      <c r="J945" s="15" t="n"/>
      <c r="K945" s="15" t="n"/>
      <c r="L945" s="15" t="n"/>
      <c r="M945" s="15" t="n"/>
      <c r="N945" s="15" t="n"/>
      <c r="O945" s="15" t="n"/>
      <c r="P945" s="15" t="n"/>
      <c r="Q945" s="15" t="n"/>
      <c r="R945" s="15" t="n"/>
      <c r="S945" s="15" t="n"/>
      <c r="T945" s="15" t="n"/>
      <c r="U945" s="15" t="n"/>
      <c r="V945" s="15" t="n"/>
      <c r="W945" s="15" t="n"/>
      <c r="X945" s="15" t="n"/>
      <c r="Y945" s="15" t="n"/>
      <c r="Z945" s="15" t="n"/>
      <c r="AA945" s="15" t="n"/>
      <c r="AB945" s="15" t="n"/>
      <c r="AC945" s="15" t="n"/>
      <c r="AD945" s="15" t="n"/>
      <c r="AE945" s="15" t="n"/>
      <c r="AF945" s="15" t="n"/>
      <c r="AG945" s="15" t="n"/>
      <c r="AH945" s="15" t="n"/>
      <c r="AI945" s="15" t="n"/>
    </row>
    <row r="946">
      <c r="A946" s="4" t="inlineStr">
        <is>
          <t>Студент1.24</t>
        </is>
      </c>
      <c r="B946" s="4" t="inlineStr"/>
      <c r="C946" s="4" t="n"/>
      <c r="D946" s="4" t="n"/>
      <c r="E946" s="4" t="n"/>
      <c r="F946" s="15" t="n"/>
      <c r="G946" s="15" t="n"/>
      <c r="H946" s="15" t="n"/>
      <c r="I946" s="15" t="n"/>
      <c r="J946" s="15" t="n"/>
      <c r="K946" s="15" t="n"/>
      <c r="L946" s="15" t="n"/>
      <c r="M946" s="15" t="n"/>
      <c r="N946" s="15" t="n"/>
      <c r="O946" s="15" t="n"/>
      <c r="P946" s="15" t="n"/>
      <c r="Q946" s="15" t="n"/>
      <c r="R946" s="15" t="n"/>
      <c r="S946" s="15" t="n"/>
      <c r="T946" s="15" t="n"/>
      <c r="U946" s="15" t="n"/>
      <c r="V946" s="15" t="n"/>
      <c r="W946" s="15" t="n"/>
      <c r="X946" s="15" t="n"/>
      <c r="Y946" s="15" t="n"/>
      <c r="Z946" s="15" t="n"/>
      <c r="AA946" s="15" t="n"/>
      <c r="AB946" s="15" t="n"/>
      <c r="AC946" s="15" t="n"/>
      <c r="AD946" s="15" t="n"/>
      <c r="AE946" s="15" t="n"/>
      <c r="AF946" s="15" t="n"/>
      <c r="AG946" s="15" t="n"/>
      <c r="AH946" s="15" t="n"/>
      <c r="AI946" s="15" t="n"/>
    </row>
    <row r="947">
      <c r="A947" s="4" t="inlineStr">
        <is>
          <t>Студент1.25</t>
        </is>
      </c>
      <c r="B947" s="4" t="inlineStr"/>
      <c r="C947" s="4" t="n"/>
      <c r="D947" s="4" t="n"/>
      <c r="E947" s="4" t="n"/>
      <c r="F947" s="15" t="n"/>
      <c r="G947" s="15" t="n"/>
      <c r="H947" s="15" t="n"/>
      <c r="I947" s="15" t="n"/>
      <c r="J947" s="15" t="n"/>
      <c r="K947" s="15" t="n"/>
      <c r="L947" s="15" t="n"/>
      <c r="M947" s="15" t="n"/>
      <c r="N947" s="15" t="n"/>
      <c r="O947" s="15" t="n"/>
      <c r="P947" s="15" t="n"/>
      <c r="Q947" s="15" t="n"/>
      <c r="R947" s="15" t="n"/>
      <c r="S947" s="15" t="n"/>
      <c r="T947" s="15" t="n"/>
      <c r="U947" s="15" t="n"/>
      <c r="V947" s="15" t="n"/>
      <c r="W947" s="15" t="n"/>
      <c r="X947" s="15" t="n"/>
      <c r="Y947" s="15" t="n"/>
      <c r="Z947" s="15" t="n"/>
      <c r="AA947" s="15" t="n"/>
      <c r="AB947" s="15" t="n"/>
      <c r="AC947" s="15" t="n"/>
      <c r="AD947" s="15" t="n"/>
      <c r="AE947" s="15" t="n"/>
      <c r="AF947" s="15" t="n"/>
      <c r="AG947" s="15" t="n"/>
      <c r="AH947" s="15" t="n"/>
      <c r="AI947" s="15" t="n"/>
    </row>
    <row r="948">
      <c r="A948" s="4" t="inlineStr">
        <is>
          <t>Студент1.26</t>
        </is>
      </c>
      <c r="B948" s="4" t="inlineStr"/>
      <c r="C948" s="4" t="n"/>
      <c r="D948" s="4" t="n"/>
      <c r="E948" s="4" t="n"/>
      <c r="F948" s="15" t="n"/>
      <c r="G948" s="15" t="n"/>
      <c r="H948" s="15" t="n"/>
      <c r="I948" s="15" t="n"/>
      <c r="J948" s="15" t="n"/>
      <c r="K948" s="15" t="n"/>
      <c r="L948" s="15" t="n"/>
      <c r="M948" s="15" t="n"/>
      <c r="N948" s="15" t="n"/>
      <c r="O948" s="15" t="n"/>
      <c r="P948" s="15" t="n"/>
      <c r="Q948" s="15" t="n"/>
      <c r="R948" s="15" t="n"/>
      <c r="S948" s="15" t="n"/>
      <c r="T948" s="15" t="n"/>
      <c r="U948" s="15" t="n"/>
      <c r="V948" s="15" t="n"/>
      <c r="W948" s="15" t="n"/>
      <c r="X948" s="15" t="n"/>
      <c r="Y948" s="15" t="n"/>
      <c r="Z948" s="15" t="n"/>
      <c r="AA948" s="15" t="n"/>
      <c r="AB948" s="15" t="n"/>
      <c r="AC948" s="15" t="n"/>
      <c r="AD948" s="15" t="n"/>
      <c r="AE948" s="15" t="n"/>
      <c r="AF948" s="15" t="n"/>
      <c r="AG948" s="15" t="n"/>
      <c r="AH948" s="15" t="n"/>
      <c r="AI948" s="15" t="n"/>
    </row>
    <row r="949">
      <c r="A949" s="4" t="inlineStr">
        <is>
          <t>Студент1.27</t>
        </is>
      </c>
      <c r="B949" s="4" t="inlineStr"/>
      <c r="C949" s="4" t="n"/>
      <c r="D949" s="4" t="n"/>
      <c r="E949" s="4" t="n"/>
      <c r="F949" s="15" t="n"/>
      <c r="G949" s="15" t="n"/>
      <c r="H949" s="15" t="n"/>
      <c r="I949" s="15" t="n"/>
      <c r="J949" s="15" t="n"/>
      <c r="K949" s="15" t="n"/>
      <c r="L949" s="15" t="n"/>
      <c r="M949" s="15" t="n"/>
      <c r="N949" s="15" t="n"/>
      <c r="O949" s="15" t="n"/>
      <c r="P949" s="15" t="n"/>
      <c r="Q949" s="15" t="n"/>
      <c r="R949" s="15" t="n"/>
      <c r="S949" s="15" t="n"/>
      <c r="T949" s="15" t="n"/>
      <c r="U949" s="15" t="n"/>
      <c r="V949" s="15" t="n"/>
      <c r="W949" s="15" t="n"/>
      <c r="X949" s="15" t="n"/>
      <c r="Y949" s="15" t="n"/>
      <c r="Z949" s="15" t="n"/>
      <c r="AA949" s="15" t="n"/>
      <c r="AB949" s="15" t="n"/>
      <c r="AC949" s="15" t="n"/>
      <c r="AD949" s="15" t="n"/>
      <c r="AE949" s="15" t="n"/>
      <c r="AF949" s="15" t="n"/>
      <c r="AG949" s="15" t="n"/>
      <c r="AH949" s="15" t="n"/>
      <c r="AI949" s="15" t="n"/>
    </row>
    <row r="950">
      <c r="A950" s="4" t="inlineStr">
        <is>
          <t>Студент1.28</t>
        </is>
      </c>
      <c r="B950" s="4" t="inlineStr"/>
      <c r="C950" s="4" t="n"/>
      <c r="D950" s="4" t="n"/>
      <c r="E950" s="4" t="n"/>
      <c r="F950" s="15" t="n"/>
      <c r="G950" s="15" t="n"/>
      <c r="H950" s="15" t="n"/>
      <c r="I950" s="15" t="n"/>
      <c r="J950" s="15" t="n"/>
      <c r="K950" s="15" t="n"/>
      <c r="L950" s="15" t="n"/>
      <c r="M950" s="15" t="n"/>
      <c r="N950" s="15" t="n"/>
      <c r="O950" s="15" t="n"/>
      <c r="P950" s="15" t="n"/>
      <c r="Q950" s="15" t="n"/>
      <c r="R950" s="15" t="n"/>
      <c r="S950" s="15" t="n"/>
      <c r="T950" s="15" t="n"/>
      <c r="U950" s="15" t="n"/>
      <c r="V950" s="15" t="n"/>
      <c r="W950" s="15" t="n"/>
      <c r="X950" s="15" t="n"/>
      <c r="Y950" s="15" t="n"/>
      <c r="Z950" s="15" t="n"/>
      <c r="AA950" s="15" t="n"/>
      <c r="AB950" s="15" t="n"/>
      <c r="AC950" s="15" t="n"/>
      <c r="AD950" s="15" t="n"/>
      <c r="AE950" s="15" t="n"/>
      <c r="AF950" s="15" t="n"/>
      <c r="AG950" s="15" t="n"/>
      <c r="AH950" s="15" t="n"/>
      <c r="AI950" s="15" t="n"/>
    </row>
    <row r="951">
      <c r="A951" s="4" t="inlineStr">
        <is>
          <t>Студент1.29</t>
        </is>
      </c>
      <c r="B951" s="4" t="inlineStr"/>
      <c r="C951" s="4" t="n"/>
      <c r="D951" s="4" t="n"/>
      <c r="E951" s="4" t="n"/>
      <c r="F951" s="15" t="n"/>
      <c r="G951" s="15" t="n"/>
      <c r="H951" s="15" t="n"/>
      <c r="I951" s="15" t="n"/>
      <c r="J951" s="15" t="n"/>
      <c r="K951" s="15" t="n"/>
      <c r="L951" s="15" t="n"/>
      <c r="M951" s="15" t="n"/>
      <c r="N951" s="15" t="n"/>
      <c r="O951" s="15" t="n"/>
      <c r="P951" s="15" t="n"/>
      <c r="Q951" s="15" t="n"/>
      <c r="R951" s="15" t="n"/>
      <c r="S951" s="15" t="n"/>
      <c r="T951" s="15" t="n"/>
      <c r="U951" s="15" t="n"/>
      <c r="V951" s="15" t="n"/>
      <c r="W951" s="15" t="n"/>
      <c r="X951" s="15" t="n"/>
      <c r="Y951" s="15" t="n"/>
      <c r="Z951" s="15" t="n"/>
      <c r="AA951" s="15" t="n"/>
      <c r="AB951" s="15" t="n"/>
      <c r="AC951" s="15" t="n"/>
      <c r="AD951" s="15" t="n"/>
      <c r="AE951" s="15" t="n"/>
      <c r="AF951" s="15" t="n"/>
      <c r="AG951" s="15" t="n"/>
      <c r="AH951" s="15" t="n"/>
      <c r="AI951" s="15" t="n"/>
    </row>
    <row r="952">
      <c r="A952" s="4" t="inlineStr">
        <is>
          <t>Студент1.30</t>
        </is>
      </c>
      <c r="B952" s="4" t="inlineStr"/>
      <c r="C952" s="4" t="n"/>
      <c r="D952" s="4" t="n"/>
      <c r="E952" s="4" t="n"/>
      <c r="F952" s="15" t="n"/>
      <c r="G952" s="15" t="n"/>
      <c r="H952" s="15" t="n"/>
      <c r="I952" s="15" t="n"/>
      <c r="J952" s="15" t="n"/>
      <c r="K952" s="15" t="n"/>
      <c r="L952" s="15" t="n"/>
      <c r="M952" s="15" t="n"/>
      <c r="N952" s="15" t="n"/>
      <c r="O952" s="15" t="n"/>
      <c r="P952" s="15" t="n"/>
      <c r="Q952" s="15" t="n"/>
      <c r="R952" s="15" t="n"/>
      <c r="S952" s="15" t="n"/>
      <c r="T952" s="15" t="n"/>
      <c r="U952" s="15" t="n"/>
      <c r="V952" s="15" t="n"/>
      <c r="W952" s="15" t="n"/>
      <c r="X952" s="15" t="n"/>
      <c r="Y952" s="15" t="n"/>
      <c r="Z952" s="15" t="n"/>
      <c r="AA952" s="15" t="n"/>
      <c r="AB952" s="15" t="n"/>
      <c r="AC952" s="15" t="n"/>
      <c r="AD952" s="15" t="n"/>
      <c r="AE952" s="15" t="n"/>
      <c r="AF952" s="15" t="n"/>
      <c r="AG952" s="15" t="n"/>
      <c r="AH952" s="15" t="n"/>
      <c r="AI952" s="15" t="n"/>
    </row>
    <row r="956">
      <c r="A956" s="13" t="inlineStr">
        <is>
          <t>Практика 15 — плюсы</t>
        </is>
      </c>
    </row>
    <row r="957" ht="28" customHeight="1">
      <c r="A957" s="7" t="inlineStr">
        <is>
          <t>Имя</t>
        </is>
      </c>
      <c r="B957" s="9" t="inlineStr">
        <is>
          <t>TG</t>
        </is>
      </c>
      <c r="C957" s="10" t="inlineStr">
        <is>
          <t>S</t>
        </is>
      </c>
      <c r="D957" s="8" t="inlineStr">
        <is>
          <t>Коэффициент</t>
        </is>
      </c>
      <c r="E957" s="14" t="inlineStr">
        <is>
          <t>D за практику</t>
        </is>
      </c>
      <c r="F957" s="11" t="inlineStr">
        <is>
          <t>1.0</t>
        </is>
      </c>
      <c r="G957" s="11" t="inlineStr">
        <is>
          <t>2.0</t>
        </is>
      </c>
      <c r="H957" s="11" t="inlineStr">
        <is>
          <t>3.0</t>
        </is>
      </c>
      <c r="I957" s="11" t="inlineStr">
        <is>
          <t>4.0</t>
        </is>
      </c>
      <c r="J957" s="11" t="inlineStr">
        <is>
          <t>5.0</t>
        </is>
      </c>
      <c r="K957" s="11" t="inlineStr">
        <is>
          <t>6</t>
        </is>
      </c>
      <c r="L957" s="11" t="inlineStr">
        <is>
          <t>7</t>
        </is>
      </c>
      <c r="M957" s="11" t="inlineStr">
        <is>
          <t>8</t>
        </is>
      </c>
      <c r="N957" s="11" t="inlineStr">
        <is>
          <t>9</t>
        </is>
      </c>
      <c r="O957" s="11" t="inlineStr">
        <is>
          <t>10</t>
        </is>
      </c>
      <c r="P957" s="11" t="inlineStr">
        <is>
          <t>11</t>
        </is>
      </c>
      <c r="Q957" s="11" t="inlineStr">
        <is>
          <t>12</t>
        </is>
      </c>
      <c r="R957" s="11" t="inlineStr">
        <is>
          <t>13</t>
        </is>
      </c>
      <c r="S957" s="11" t="inlineStr">
        <is>
          <t>14</t>
        </is>
      </c>
      <c r="T957" s="11" t="inlineStr">
        <is>
          <t>15</t>
        </is>
      </c>
      <c r="U957" s="11" t="inlineStr">
        <is>
          <t>16</t>
        </is>
      </c>
      <c r="V957" s="11" t="inlineStr">
        <is>
          <t>17</t>
        </is>
      </c>
      <c r="W957" s="11" t="inlineStr">
        <is>
          <t>18</t>
        </is>
      </c>
      <c r="X957" s="11" t="inlineStr">
        <is>
          <t>19</t>
        </is>
      </c>
      <c r="Y957" s="11" t="inlineStr">
        <is>
          <t>20</t>
        </is>
      </c>
      <c r="Z957" s="11" t="inlineStr">
        <is>
          <t>21</t>
        </is>
      </c>
      <c r="AA957" s="11" t="inlineStr">
        <is>
          <t>22</t>
        </is>
      </c>
      <c r="AB957" s="11" t="inlineStr">
        <is>
          <t>23</t>
        </is>
      </c>
      <c r="AC957" s="11" t="inlineStr">
        <is>
          <t>24</t>
        </is>
      </c>
      <c r="AD957" s="11" t="inlineStr">
        <is>
          <t>25</t>
        </is>
      </c>
      <c r="AE957" s="11" t="inlineStr">
        <is>
          <t>26</t>
        </is>
      </c>
      <c r="AF957" s="11" t="inlineStr">
        <is>
          <t>27</t>
        </is>
      </c>
      <c r="AG957" s="11" t="inlineStr">
        <is>
          <t>28</t>
        </is>
      </c>
      <c r="AH957" s="11" t="inlineStr">
        <is>
          <t>29</t>
        </is>
      </c>
      <c r="AI957" s="11" t="inlineStr">
        <is>
          <t>30</t>
        </is>
      </c>
    </row>
    <row r="958">
      <c r="A958" s="4" t="inlineStr">
        <is>
          <t>Студент1.1</t>
        </is>
      </c>
      <c r="B958" s="4" t="inlineStr"/>
      <c r="C958" s="4">
        <f>IF(A958="","",COUNTIF(F958:AI958,"+")+COUNTIF(F958:AI958,"1"))</f>
        <v/>
      </c>
      <c r="D958" s="4">
        <f>IF(A958="","",IF(C958&gt;2*COUNTA(F$957:AI$957)/3,1,IF(C958&gt;=COUNTA(F$957:AI$957)/2,0.8,0.5)))</f>
        <v/>
      </c>
      <c r="E958" s="4">
        <f>IF(A958="","",SUMIFS('Логи'!$H$4:$H$3006,'Логи'!$A$4:$A$3006,A958,'Логи'!$C$4:$C$3006,15))</f>
        <v/>
      </c>
      <c r="F958" s="15" t="n"/>
      <c r="G958" s="15" t="n"/>
      <c r="H958" s="15" t="n"/>
      <c r="I958" s="15" t="n"/>
      <c r="J958" s="15" t="n"/>
      <c r="K958" s="15" t="n"/>
      <c r="L958" s="15" t="n"/>
      <c r="M958" s="15" t="n"/>
      <c r="N958" s="15" t="n"/>
      <c r="O958" s="15" t="n"/>
      <c r="P958" s="15" t="n"/>
      <c r="Q958" s="15" t="n"/>
      <c r="R958" s="15" t="n"/>
      <c r="S958" s="15" t="n"/>
      <c r="T958" s="15" t="n"/>
      <c r="U958" s="15" t="n"/>
      <c r="V958" s="15" t="n"/>
      <c r="W958" s="15" t="n"/>
      <c r="X958" s="15" t="n"/>
      <c r="Y958" s="15" t="n"/>
      <c r="Z958" s="15" t="n"/>
      <c r="AA958" s="15" t="n"/>
      <c r="AB958" s="15" t="n"/>
      <c r="AC958" s="15" t="n"/>
      <c r="AD958" s="15" t="n"/>
      <c r="AE958" s="15" t="n"/>
      <c r="AF958" s="15" t="n"/>
      <c r="AG958" s="15" t="n"/>
      <c r="AH958" s="15" t="n"/>
      <c r="AI958" s="15" t="n"/>
    </row>
    <row r="959">
      <c r="A959" s="4" t="inlineStr">
        <is>
          <t>Студент1.2</t>
        </is>
      </c>
      <c r="B959" s="4" t="inlineStr"/>
      <c r="C959" s="4">
        <f>IF(A959="","",COUNTIF(F959:AI959,"+")+COUNTIF(F959:AI959,"1"))</f>
        <v/>
      </c>
      <c r="D959" s="4">
        <f>IF(A959="","",IF(C959&gt;2*COUNTA(F$957:AI$957)/3,1,IF(C959&gt;=COUNTA(F$957:AI$957)/2,0.8,0.5)))</f>
        <v/>
      </c>
      <c r="E959" s="4">
        <f>IF(A959="","",SUMIFS('Логи'!$H$4:$H$3006,'Логи'!$A$4:$A$3006,A959,'Логи'!$C$4:$C$3006,15))</f>
        <v/>
      </c>
      <c r="F959" s="15" t="n"/>
      <c r="G959" s="15" t="n"/>
      <c r="H959" s="15" t="n"/>
      <c r="I959" s="15" t="n"/>
      <c r="J959" s="15" t="n"/>
      <c r="K959" s="15" t="n"/>
      <c r="L959" s="15" t="n"/>
      <c r="M959" s="15" t="n"/>
      <c r="N959" s="15" t="n"/>
      <c r="O959" s="15" t="n"/>
      <c r="P959" s="15" t="n"/>
      <c r="Q959" s="15" t="n"/>
      <c r="R959" s="15" t="n"/>
      <c r="S959" s="15" t="n"/>
      <c r="T959" s="15" t="n"/>
      <c r="U959" s="15" t="n"/>
      <c r="V959" s="15" t="n"/>
      <c r="W959" s="15" t="n"/>
      <c r="X959" s="15" t="n"/>
      <c r="Y959" s="15" t="n"/>
      <c r="Z959" s="15" t="n"/>
      <c r="AA959" s="15" t="n"/>
      <c r="AB959" s="15" t="n"/>
      <c r="AC959" s="15" t="n"/>
      <c r="AD959" s="15" t="n"/>
      <c r="AE959" s="15" t="n"/>
      <c r="AF959" s="15" t="n"/>
      <c r="AG959" s="15" t="n"/>
      <c r="AH959" s="15" t="n"/>
      <c r="AI959" s="15" t="n"/>
    </row>
    <row r="960">
      <c r="A960" s="4" t="inlineStr">
        <is>
          <t>Студент1.3</t>
        </is>
      </c>
      <c r="B960" s="4" t="inlineStr"/>
      <c r="C960" s="4">
        <f>IF(A960="","",COUNTIF(F960:AI960,"+")+COUNTIF(F960:AI960,"1"))</f>
        <v/>
      </c>
      <c r="D960" s="4">
        <f>IF(A960="","",IF(C960&gt;2*COUNTA(F$957:AI$957)/3,1,IF(C960&gt;=COUNTA(F$957:AI$957)/2,0.8,0.5)))</f>
        <v/>
      </c>
      <c r="E960" s="4">
        <f>IF(A960="","",SUMIFS('Логи'!$H$4:$H$3006,'Логи'!$A$4:$A$3006,A960,'Логи'!$C$4:$C$3006,15))</f>
        <v/>
      </c>
      <c r="F960" s="15" t="n"/>
      <c r="G960" s="15" t="n"/>
      <c r="H960" s="15" t="n"/>
      <c r="I960" s="15" t="n"/>
      <c r="J960" s="15" t="n"/>
      <c r="K960" s="15" t="n"/>
      <c r="L960" s="15" t="n"/>
      <c r="M960" s="15" t="n"/>
      <c r="N960" s="15" t="n"/>
      <c r="O960" s="15" t="n"/>
      <c r="P960" s="15" t="n"/>
      <c r="Q960" s="15" t="n"/>
      <c r="R960" s="15" t="n"/>
      <c r="S960" s="15" t="n"/>
      <c r="T960" s="15" t="n"/>
      <c r="U960" s="15" t="n"/>
      <c r="V960" s="15" t="n"/>
      <c r="W960" s="15" t="n"/>
      <c r="X960" s="15" t="n"/>
      <c r="Y960" s="15" t="n"/>
      <c r="Z960" s="15" t="n"/>
      <c r="AA960" s="15" t="n"/>
      <c r="AB960" s="15" t="n"/>
      <c r="AC960" s="15" t="n"/>
      <c r="AD960" s="15" t="n"/>
      <c r="AE960" s="15" t="n"/>
      <c r="AF960" s="15" t="n"/>
      <c r="AG960" s="15" t="n"/>
      <c r="AH960" s="15" t="n"/>
      <c r="AI960" s="15" t="n"/>
    </row>
    <row r="961">
      <c r="A961" s="4" t="inlineStr">
        <is>
          <t>Студент1.4</t>
        </is>
      </c>
      <c r="B961" s="4" t="inlineStr"/>
      <c r="C961" s="4">
        <f>IF(A961="","",COUNTIF(F961:AI961,"+")+COUNTIF(F961:AI961,"1"))</f>
        <v/>
      </c>
      <c r="D961" s="4">
        <f>IF(A961="","",IF(C961&gt;2*COUNTA(F$957:AI$957)/3,1,IF(C961&gt;=COUNTA(F$957:AI$957)/2,0.8,0.5)))</f>
        <v/>
      </c>
      <c r="E961" s="4">
        <f>IF(A961="","",SUMIFS('Логи'!$H$4:$H$3006,'Логи'!$A$4:$A$3006,A961,'Логи'!$C$4:$C$3006,15))</f>
        <v/>
      </c>
      <c r="F961" s="15" t="n"/>
      <c r="G961" s="15" t="n"/>
      <c r="H961" s="15" t="n"/>
      <c r="I961" s="15" t="n"/>
      <c r="J961" s="15" t="n"/>
      <c r="K961" s="15" t="n"/>
      <c r="L961" s="15" t="n"/>
      <c r="M961" s="15" t="n"/>
      <c r="N961" s="15" t="n"/>
      <c r="O961" s="15" t="n"/>
      <c r="P961" s="15" t="n"/>
      <c r="Q961" s="15" t="n"/>
      <c r="R961" s="15" t="n"/>
      <c r="S961" s="15" t="n"/>
      <c r="T961" s="15" t="n"/>
      <c r="U961" s="15" t="n"/>
      <c r="V961" s="15" t="n"/>
      <c r="W961" s="15" t="n"/>
      <c r="X961" s="15" t="n"/>
      <c r="Y961" s="15" t="n"/>
      <c r="Z961" s="15" t="n"/>
      <c r="AA961" s="15" t="n"/>
      <c r="AB961" s="15" t="n"/>
      <c r="AC961" s="15" t="n"/>
      <c r="AD961" s="15" t="n"/>
      <c r="AE961" s="15" t="n"/>
      <c r="AF961" s="15" t="n"/>
      <c r="AG961" s="15" t="n"/>
      <c r="AH961" s="15" t="n"/>
      <c r="AI961" s="15" t="n"/>
    </row>
    <row r="962">
      <c r="A962" s="4" t="inlineStr">
        <is>
          <t>Студент1.5</t>
        </is>
      </c>
      <c r="B962" s="4" t="inlineStr"/>
      <c r="C962" s="4">
        <f>IF(A962="","",COUNTIF(F962:AI962,"+")+COUNTIF(F962:AI962,"1"))</f>
        <v/>
      </c>
      <c r="D962" s="4">
        <f>IF(A962="","",IF(C962&gt;2*COUNTA(F$957:AI$957)/3,1,IF(C962&gt;=COUNTA(F$957:AI$957)/2,0.8,0.5)))</f>
        <v/>
      </c>
      <c r="E962" s="4">
        <f>IF(A962="","",SUMIFS('Логи'!$H$4:$H$3006,'Логи'!$A$4:$A$3006,A962,'Логи'!$C$4:$C$3006,15))</f>
        <v/>
      </c>
      <c r="F962" s="15" t="n"/>
      <c r="G962" s="15" t="n"/>
      <c r="H962" s="15" t="n"/>
      <c r="I962" s="15" t="n"/>
      <c r="J962" s="15" t="n"/>
      <c r="K962" s="15" t="n"/>
      <c r="L962" s="15" t="n"/>
      <c r="M962" s="15" t="n"/>
      <c r="N962" s="15" t="n"/>
      <c r="O962" s="15" t="n"/>
      <c r="P962" s="15" t="n"/>
      <c r="Q962" s="15" t="n"/>
      <c r="R962" s="15" t="n"/>
      <c r="S962" s="15" t="n"/>
      <c r="T962" s="15" t="n"/>
      <c r="U962" s="15" t="n"/>
      <c r="V962" s="15" t="n"/>
      <c r="W962" s="15" t="n"/>
      <c r="X962" s="15" t="n"/>
      <c r="Y962" s="15" t="n"/>
      <c r="Z962" s="15" t="n"/>
      <c r="AA962" s="15" t="n"/>
      <c r="AB962" s="15" t="n"/>
      <c r="AC962" s="15" t="n"/>
      <c r="AD962" s="15" t="n"/>
      <c r="AE962" s="15" t="n"/>
      <c r="AF962" s="15" t="n"/>
      <c r="AG962" s="15" t="n"/>
      <c r="AH962" s="15" t="n"/>
      <c r="AI962" s="15" t="n"/>
    </row>
    <row r="963">
      <c r="A963" s="4" t="inlineStr">
        <is>
          <t>Студент1.6</t>
        </is>
      </c>
      <c r="B963" s="4" t="inlineStr"/>
      <c r="C963" s="4">
        <f>IF(A963="","",COUNTIF(F963:AI963,"+")+COUNTIF(F963:AI963,"1"))</f>
        <v/>
      </c>
      <c r="D963" s="4">
        <f>IF(A963="","",IF(C963&gt;2*COUNTA(F$957:AI$957)/3,1,IF(C963&gt;=COUNTA(F$957:AI$957)/2,0.8,0.5)))</f>
        <v/>
      </c>
      <c r="E963" s="4">
        <f>IF(A963="","",SUMIFS('Логи'!$H$4:$H$3006,'Логи'!$A$4:$A$3006,A963,'Логи'!$C$4:$C$3006,15))</f>
        <v/>
      </c>
      <c r="F963" s="15" t="n"/>
      <c r="G963" s="15" t="n"/>
      <c r="H963" s="15" t="n"/>
      <c r="I963" s="15" t="n"/>
      <c r="J963" s="15" t="n"/>
      <c r="K963" s="15" t="n"/>
      <c r="L963" s="15" t="n"/>
      <c r="M963" s="15" t="n"/>
      <c r="N963" s="15" t="n"/>
      <c r="O963" s="15" t="n"/>
      <c r="P963" s="15" t="n"/>
      <c r="Q963" s="15" t="n"/>
      <c r="R963" s="15" t="n"/>
      <c r="S963" s="15" t="n"/>
      <c r="T963" s="15" t="n"/>
      <c r="U963" s="15" t="n"/>
      <c r="V963" s="15" t="n"/>
      <c r="W963" s="15" t="n"/>
      <c r="X963" s="15" t="n"/>
      <c r="Y963" s="15" t="n"/>
      <c r="Z963" s="15" t="n"/>
      <c r="AA963" s="15" t="n"/>
      <c r="AB963" s="15" t="n"/>
      <c r="AC963" s="15" t="n"/>
      <c r="AD963" s="15" t="n"/>
      <c r="AE963" s="15" t="n"/>
      <c r="AF963" s="15" t="n"/>
      <c r="AG963" s="15" t="n"/>
      <c r="AH963" s="15" t="n"/>
      <c r="AI963" s="15" t="n"/>
    </row>
    <row r="964">
      <c r="A964" s="4" t="inlineStr">
        <is>
          <t>Студент1.7</t>
        </is>
      </c>
      <c r="B964" s="4" t="inlineStr"/>
      <c r="C964" s="4">
        <f>IF(A964="","",COUNTIF(F964:AI964,"+")+COUNTIF(F964:AI964,"1"))</f>
        <v/>
      </c>
      <c r="D964" s="4">
        <f>IF(A964="","",IF(C964&gt;2*COUNTA(F$957:AI$957)/3,1,IF(C964&gt;=COUNTA(F$957:AI$957)/2,0.8,0.5)))</f>
        <v/>
      </c>
      <c r="E964" s="4">
        <f>IF(A964="","",SUMIFS('Логи'!$H$4:$H$3006,'Логи'!$A$4:$A$3006,A964,'Логи'!$C$4:$C$3006,15))</f>
        <v/>
      </c>
      <c r="F964" s="15" t="n"/>
      <c r="G964" s="15" t="n"/>
      <c r="H964" s="15" t="n"/>
      <c r="I964" s="15" t="n"/>
      <c r="J964" s="15" t="n"/>
      <c r="K964" s="15" t="n"/>
      <c r="L964" s="15" t="n"/>
      <c r="M964" s="15" t="n"/>
      <c r="N964" s="15" t="n"/>
      <c r="O964" s="15" t="n"/>
      <c r="P964" s="15" t="n"/>
      <c r="Q964" s="15" t="n"/>
      <c r="R964" s="15" t="n"/>
      <c r="S964" s="15" t="n"/>
      <c r="T964" s="15" t="n"/>
      <c r="U964" s="15" t="n"/>
      <c r="V964" s="15" t="n"/>
      <c r="W964" s="15" t="n"/>
      <c r="X964" s="15" t="n"/>
      <c r="Y964" s="15" t="n"/>
      <c r="Z964" s="15" t="n"/>
      <c r="AA964" s="15" t="n"/>
      <c r="AB964" s="15" t="n"/>
      <c r="AC964" s="15" t="n"/>
      <c r="AD964" s="15" t="n"/>
      <c r="AE964" s="15" t="n"/>
      <c r="AF964" s="15" t="n"/>
      <c r="AG964" s="15" t="n"/>
      <c r="AH964" s="15" t="n"/>
      <c r="AI964" s="15" t="n"/>
    </row>
    <row r="965">
      <c r="A965" s="4" t="inlineStr">
        <is>
          <t>Студент1.8</t>
        </is>
      </c>
      <c r="B965" s="4" t="inlineStr"/>
      <c r="C965" s="4">
        <f>IF(A965="","",COUNTIF(F965:AI965,"+")+COUNTIF(F965:AI965,"1"))</f>
        <v/>
      </c>
      <c r="D965" s="4">
        <f>IF(A965="","",IF(C965&gt;2*COUNTA(F$957:AI$957)/3,1,IF(C965&gt;=COUNTA(F$957:AI$957)/2,0.8,0.5)))</f>
        <v/>
      </c>
      <c r="E965" s="4">
        <f>IF(A965="","",SUMIFS('Логи'!$H$4:$H$3006,'Логи'!$A$4:$A$3006,A965,'Логи'!$C$4:$C$3006,15))</f>
        <v/>
      </c>
      <c r="F965" s="15" t="n"/>
      <c r="G965" s="15" t="n"/>
      <c r="H965" s="15" t="n"/>
      <c r="I965" s="15" t="n"/>
      <c r="J965" s="15" t="n"/>
      <c r="K965" s="15" t="n"/>
      <c r="L965" s="15" t="n"/>
      <c r="M965" s="15" t="n"/>
      <c r="N965" s="15" t="n"/>
      <c r="O965" s="15" t="n"/>
      <c r="P965" s="15" t="n"/>
      <c r="Q965" s="15" t="n"/>
      <c r="R965" s="15" t="n"/>
      <c r="S965" s="15" t="n"/>
      <c r="T965" s="15" t="n"/>
      <c r="U965" s="15" t="n"/>
      <c r="V965" s="15" t="n"/>
      <c r="W965" s="15" t="n"/>
      <c r="X965" s="15" t="n"/>
      <c r="Y965" s="15" t="n"/>
      <c r="Z965" s="15" t="n"/>
      <c r="AA965" s="15" t="n"/>
      <c r="AB965" s="15" t="n"/>
      <c r="AC965" s="15" t="n"/>
      <c r="AD965" s="15" t="n"/>
      <c r="AE965" s="15" t="n"/>
      <c r="AF965" s="15" t="n"/>
      <c r="AG965" s="15" t="n"/>
      <c r="AH965" s="15" t="n"/>
      <c r="AI965" s="15" t="n"/>
    </row>
    <row r="966">
      <c r="A966" s="4" t="inlineStr">
        <is>
          <t>Студент1.9</t>
        </is>
      </c>
      <c r="B966" s="4" t="inlineStr"/>
      <c r="C966" s="4">
        <f>IF(A966="","",COUNTIF(F966:AI966,"+")+COUNTIF(F966:AI966,"1"))</f>
        <v/>
      </c>
      <c r="D966" s="4">
        <f>IF(A966="","",IF(C966&gt;2*COUNTA(F$957:AI$957)/3,1,IF(C966&gt;=COUNTA(F$957:AI$957)/2,0.8,0.5)))</f>
        <v/>
      </c>
      <c r="E966" s="4">
        <f>IF(A966="","",SUMIFS('Логи'!$H$4:$H$3006,'Логи'!$A$4:$A$3006,A966,'Логи'!$C$4:$C$3006,15))</f>
        <v/>
      </c>
      <c r="F966" s="15" t="n"/>
      <c r="G966" s="15" t="n"/>
      <c r="H966" s="15" t="n"/>
      <c r="I966" s="15" t="n"/>
      <c r="J966" s="15" t="n"/>
      <c r="K966" s="15" t="n"/>
      <c r="L966" s="15" t="n"/>
      <c r="M966" s="15" t="n"/>
      <c r="N966" s="15" t="n"/>
      <c r="O966" s="15" t="n"/>
      <c r="P966" s="15" t="n"/>
      <c r="Q966" s="15" t="n"/>
      <c r="R966" s="15" t="n"/>
      <c r="S966" s="15" t="n"/>
      <c r="T966" s="15" t="n"/>
      <c r="U966" s="15" t="n"/>
      <c r="V966" s="15" t="n"/>
      <c r="W966" s="15" t="n"/>
      <c r="X966" s="15" t="n"/>
      <c r="Y966" s="15" t="n"/>
      <c r="Z966" s="15" t="n"/>
      <c r="AA966" s="15" t="n"/>
      <c r="AB966" s="15" t="n"/>
      <c r="AC966" s="15" t="n"/>
      <c r="AD966" s="15" t="n"/>
      <c r="AE966" s="15" t="n"/>
      <c r="AF966" s="15" t="n"/>
      <c r="AG966" s="15" t="n"/>
      <c r="AH966" s="15" t="n"/>
      <c r="AI966" s="15" t="n"/>
    </row>
    <row r="967">
      <c r="A967" s="4" t="inlineStr">
        <is>
          <t>Студент1.10</t>
        </is>
      </c>
      <c r="B967" s="4" t="inlineStr"/>
      <c r="C967" s="4">
        <f>IF(A967="","",COUNTIF(F967:AI967,"+")+COUNTIF(F967:AI967,"1"))</f>
        <v/>
      </c>
      <c r="D967" s="4">
        <f>IF(A967="","",IF(C967&gt;2*COUNTA(F$957:AI$957)/3,1,IF(C967&gt;=COUNTA(F$957:AI$957)/2,0.8,0.5)))</f>
        <v/>
      </c>
      <c r="E967" s="4">
        <f>IF(A967="","",SUMIFS('Логи'!$H$4:$H$3006,'Логи'!$A$4:$A$3006,A967,'Логи'!$C$4:$C$3006,15))</f>
        <v/>
      </c>
      <c r="F967" s="15" t="n"/>
      <c r="G967" s="15" t="n"/>
      <c r="H967" s="15" t="n"/>
      <c r="I967" s="15" t="n"/>
      <c r="J967" s="15" t="n"/>
      <c r="K967" s="15" t="n"/>
      <c r="L967" s="15" t="n"/>
      <c r="M967" s="15" t="n"/>
      <c r="N967" s="15" t="n"/>
      <c r="O967" s="15" t="n"/>
      <c r="P967" s="15" t="n"/>
      <c r="Q967" s="15" t="n"/>
      <c r="R967" s="15" t="n"/>
      <c r="S967" s="15" t="n"/>
      <c r="T967" s="15" t="n"/>
      <c r="U967" s="15" t="n"/>
      <c r="V967" s="15" t="n"/>
      <c r="W967" s="15" t="n"/>
      <c r="X967" s="15" t="n"/>
      <c r="Y967" s="15" t="n"/>
      <c r="Z967" s="15" t="n"/>
      <c r="AA967" s="15" t="n"/>
      <c r="AB967" s="15" t="n"/>
      <c r="AC967" s="15" t="n"/>
      <c r="AD967" s="15" t="n"/>
      <c r="AE967" s="15" t="n"/>
      <c r="AF967" s="15" t="n"/>
      <c r="AG967" s="15" t="n"/>
      <c r="AH967" s="15" t="n"/>
      <c r="AI967" s="15" t="n"/>
    </row>
    <row r="968">
      <c r="A968" s="4" t="inlineStr">
        <is>
          <t>Студент1.11</t>
        </is>
      </c>
      <c r="B968" s="4" t="inlineStr"/>
      <c r="C968" s="4">
        <f>IF(A968="","",COUNTIF(F968:AI968,"+")+COUNTIF(F968:AI968,"1"))</f>
        <v/>
      </c>
      <c r="D968" s="4">
        <f>IF(A968="","",IF(C968&gt;2*COUNTA(F$957:AI$957)/3,1,IF(C968&gt;=COUNTA(F$957:AI$957)/2,0.8,0.5)))</f>
        <v/>
      </c>
      <c r="E968" s="4">
        <f>IF(A968="","",SUMIFS('Логи'!$H$4:$H$3006,'Логи'!$A$4:$A$3006,A968,'Логи'!$C$4:$C$3006,15))</f>
        <v/>
      </c>
      <c r="F968" s="15" t="n"/>
      <c r="G968" s="15" t="n"/>
      <c r="H968" s="15" t="n"/>
      <c r="I968" s="15" t="n"/>
      <c r="J968" s="15" t="n"/>
      <c r="K968" s="15" t="n"/>
      <c r="L968" s="15" t="n"/>
      <c r="M968" s="15" t="n"/>
      <c r="N968" s="15" t="n"/>
      <c r="O968" s="15" t="n"/>
      <c r="P968" s="15" t="n"/>
      <c r="Q968" s="15" t="n"/>
      <c r="R968" s="15" t="n"/>
      <c r="S968" s="15" t="n"/>
      <c r="T968" s="15" t="n"/>
      <c r="U968" s="15" t="n"/>
      <c r="V968" s="15" t="n"/>
      <c r="W968" s="15" t="n"/>
      <c r="X968" s="15" t="n"/>
      <c r="Y968" s="15" t="n"/>
      <c r="Z968" s="15" t="n"/>
      <c r="AA968" s="15" t="n"/>
      <c r="AB968" s="15" t="n"/>
      <c r="AC968" s="15" t="n"/>
      <c r="AD968" s="15" t="n"/>
      <c r="AE968" s="15" t="n"/>
      <c r="AF968" s="15" t="n"/>
      <c r="AG968" s="15" t="n"/>
      <c r="AH968" s="15" t="n"/>
      <c r="AI968" s="15" t="n"/>
    </row>
    <row r="969">
      <c r="A969" s="4" t="inlineStr">
        <is>
          <t>Студент1.12</t>
        </is>
      </c>
      <c r="B969" s="4" t="inlineStr"/>
      <c r="C969" s="4">
        <f>IF(A969="","",COUNTIF(F969:AI969,"+")+COUNTIF(F969:AI969,"1"))</f>
        <v/>
      </c>
      <c r="D969" s="4">
        <f>IF(A969="","",IF(C969&gt;2*COUNTA(F$957:AI$957)/3,1,IF(C969&gt;=COUNTA(F$957:AI$957)/2,0.8,0.5)))</f>
        <v/>
      </c>
      <c r="E969" s="4">
        <f>IF(A969="","",SUMIFS('Логи'!$H$4:$H$3006,'Логи'!$A$4:$A$3006,A969,'Логи'!$C$4:$C$3006,15))</f>
        <v/>
      </c>
      <c r="F969" s="15" t="n"/>
      <c r="G969" s="15" t="n"/>
      <c r="H969" s="15" t="n"/>
      <c r="I969" s="15" t="n"/>
      <c r="J969" s="15" t="n"/>
      <c r="K969" s="15" t="n"/>
      <c r="L969" s="15" t="n"/>
      <c r="M969" s="15" t="n"/>
      <c r="N969" s="15" t="n"/>
      <c r="O969" s="15" t="n"/>
      <c r="P969" s="15" t="n"/>
      <c r="Q969" s="15" t="n"/>
      <c r="R969" s="15" t="n"/>
      <c r="S969" s="15" t="n"/>
      <c r="T969" s="15" t="n"/>
      <c r="U969" s="15" t="n"/>
      <c r="V969" s="15" t="n"/>
      <c r="W969" s="15" t="n"/>
      <c r="X969" s="15" t="n"/>
      <c r="Y969" s="15" t="n"/>
      <c r="Z969" s="15" t="n"/>
      <c r="AA969" s="15" t="n"/>
      <c r="AB969" s="15" t="n"/>
      <c r="AC969" s="15" t="n"/>
      <c r="AD969" s="15" t="n"/>
      <c r="AE969" s="15" t="n"/>
      <c r="AF969" s="15" t="n"/>
      <c r="AG969" s="15" t="n"/>
      <c r="AH969" s="15" t="n"/>
      <c r="AI969" s="15" t="n"/>
    </row>
    <row r="970">
      <c r="A970" s="4" t="inlineStr">
        <is>
          <t>Студент1.13</t>
        </is>
      </c>
      <c r="B970" s="4" t="inlineStr"/>
      <c r="C970" s="4">
        <f>IF(A970="","",COUNTIF(F970:AI970,"+")+COUNTIF(F970:AI970,"1"))</f>
        <v/>
      </c>
      <c r="D970" s="4">
        <f>IF(A970="","",IF(C970&gt;2*COUNTA(F$957:AI$957)/3,1,IF(C970&gt;=COUNTA(F$957:AI$957)/2,0.8,0.5)))</f>
        <v/>
      </c>
      <c r="E970" s="4">
        <f>IF(A970="","",SUMIFS('Логи'!$H$4:$H$3006,'Логи'!$A$4:$A$3006,A970,'Логи'!$C$4:$C$3006,15))</f>
        <v/>
      </c>
      <c r="F970" s="15" t="n"/>
      <c r="G970" s="15" t="n"/>
      <c r="H970" s="15" t="n"/>
      <c r="I970" s="15" t="n"/>
      <c r="J970" s="15" t="n"/>
      <c r="K970" s="15" t="n"/>
      <c r="L970" s="15" t="n"/>
      <c r="M970" s="15" t="n"/>
      <c r="N970" s="15" t="n"/>
      <c r="O970" s="15" t="n"/>
      <c r="P970" s="15" t="n"/>
      <c r="Q970" s="15" t="n"/>
      <c r="R970" s="15" t="n"/>
      <c r="S970" s="15" t="n"/>
      <c r="T970" s="15" t="n"/>
      <c r="U970" s="15" t="n"/>
      <c r="V970" s="15" t="n"/>
      <c r="W970" s="15" t="n"/>
      <c r="X970" s="15" t="n"/>
      <c r="Y970" s="15" t="n"/>
      <c r="Z970" s="15" t="n"/>
      <c r="AA970" s="15" t="n"/>
      <c r="AB970" s="15" t="n"/>
      <c r="AC970" s="15" t="n"/>
      <c r="AD970" s="15" t="n"/>
      <c r="AE970" s="15" t="n"/>
      <c r="AF970" s="15" t="n"/>
      <c r="AG970" s="15" t="n"/>
      <c r="AH970" s="15" t="n"/>
      <c r="AI970" s="15" t="n"/>
    </row>
    <row r="971">
      <c r="A971" s="4" t="inlineStr">
        <is>
          <t>Студент1.14</t>
        </is>
      </c>
      <c r="B971" s="4" t="inlineStr"/>
      <c r="C971" s="4">
        <f>IF(A971="","",COUNTIF(F971:AI971,"+")+COUNTIF(F971:AI971,"1"))</f>
        <v/>
      </c>
      <c r="D971" s="4">
        <f>IF(A971="","",IF(C971&gt;2*COUNTA(F$957:AI$957)/3,1,IF(C971&gt;=COUNTA(F$957:AI$957)/2,0.8,0.5)))</f>
        <v/>
      </c>
      <c r="E971" s="4">
        <f>IF(A971="","",SUMIFS('Логи'!$H$4:$H$3006,'Логи'!$A$4:$A$3006,A971,'Логи'!$C$4:$C$3006,15))</f>
        <v/>
      </c>
      <c r="F971" s="15" t="n"/>
      <c r="G971" s="15" t="n"/>
      <c r="H971" s="15" t="n"/>
      <c r="I971" s="15" t="n"/>
      <c r="J971" s="15" t="n"/>
      <c r="K971" s="15" t="n"/>
      <c r="L971" s="15" t="n"/>
      <c r="M971" s="15" t="n"/>
      <c r="N971" s="15" t="n"/>
      <c r="O971" s="15" t="n"/>
      <c r="P971" s="15" t="n"/>
      <c r="Q971" s="15" t="n"/>
      <c r="R971" s="15" t="n"/>
      <c r="S971" s="15" t="n"/>
      <c r="T971" s="15" t="n"/>
      <c r="U971" s="15" t="n"/>
      <c r="V971" s="15" t="n"/>
      <c r="W971" s="15" t="n"/>
      <c r="X971" s="15" t="n"/>
      <c r="Y971" s="15" t="n"/>
      <c r="Z971" s="15" t="n"/>
      <c r="AA971" s="15" t="n"/>
      <c r="AB971" s="15" t="n"/>
      <c r="AC971" s="15" t="n"/>
      <c r="AD971" s="15" t="n"/>
      <c r="AE971" s="15" t="n"/>
      <c r="AF971" s="15" t="n"/>
      <c r="AG971" s="15" t="n"/>
      <c r="AH971" s="15" t="n"/>
      <c r="AI971" s="15" t="n"/>
    </row>
    <row r="972">
      <c r="A972" s="4" t="inlineStr">
        <is>
          <t>Студент1.15</t>
        </is>
      </c>
      <c r="B972" s="4" t="inlineStr"/>
      <c r="C972" s="4">
        <f>IF(A972="","",COUNTIF(F972:AI972,"+")+COUNTIF(F972:AI972,"1"))</f>
        <v/>
      </c>
      <c r="D972" s="4">
        <f>IF(A972="","",IF(C972&gt;2*COUNTA(F$957:AI$957)/3,1,IF(C972&gt;=COUNTA(F$957:AI$957)/2,0.8,0.5)))</f>
        <v/>
      </c>
      <c r="E972" s="4">
        <f>IF(A972="","",SUMIFS('Логи'!$H$4:$H$3006,'Логи'!$A$4:$A$3006,A972,'Логи'!$C$4:$C$3006,15))</f>
        <v/>
      </c>
      <c r="F972" s="15" t="n"/>
      <c r="G972" s="15" t="n"/>
      <c r="H972" s="15" t="n"/>
      <c r="I972" s="15" t="n"/>
      <c r="J972" s="15" t="n"/>
      <c r="K972" s="15" t="n"/>
      <c r="L972" s="15" t="n"/>
      <c r="M972" s="15" t="n"/>
      <c r="N972" s="15" t="n"/>
      <c r="O972" s="15" t="n"/>
      <c r="P972" s="15" t="n"/>
      <c r="Q972" s="15" t="n"/>
      <c r="R972" s="15" t="n"/>
      <c r="S972" s="15" t="n"/>
      <c r="T972" s="15" t="n"/>
      <c r="U972" s="15" t="n"/>
      <c r="V972" s="15" t="n"/>
      <c r="W972" s="15" t="n"/>
      <c r="X972" s="15" t="n"/>
      <c r="Y972" s="15" t="n"/>
      <c r="Z972" s="15" t="n"/>
      <c r="AA972" s="15" t="n"/>
      <c r="AB972" s="15" t="n"/>
      <c r="AC972" s="15" t="n"/>
      <c r="AD972" s="15" t="n"/>
      <c r="AE972" s="15" t="n"/>
      <c r="AF972" s="15" t="n"/>
      <c r="AG972" s="15" t="n"/>
      <c r="AH972" s="15" t="n"/>
      <c r="AI972" s="15" t="n"/>
    </row>
    <row r="973">
      <c r="A973" s="4" t="inlineStr">
        <is>
          <t>Студент1.16</t>
        </is>
      </c>
      <c r="B973" s="4" t="inlineStr"/>
      <c r="C973" s="4">
        <f>IF(A973="","",COUNTIF(F973:AI973,"+")+COUNTIF(F973:AI973,"1"))</f>
        <v/>
      </c>
      <c r="D973" s="4">
        <f>IF(A973="","",IF(C973&gt;2*COUNTA(F$957:AI$957)/3,1,IF(C973&gt;=COUNTA(F$957:AI$957)/2,0.8,0.5)))</f>
        <v/>
      </c>
      <c r="E973" s="4">
        <f>IF(A973="","",SUMIFS('Логи'!$H$4:$H$3006,'Логи'!$A$4:$A$3006,A973,'Логи'!$C$4:$C$3006,15))</f>
        <v/>
      </c>
      <c r="F973" s="15" t="n"/>
      <c r="G973" s="15" t="n"/>
      <c r="H973" s="15" t="n"/>
      <c r="I973" s="15" t="n"/>
      <c r="J973" s="15" t="n"/>
      <c r="K973" s="15" t="n"/>
      <c r="L973" s="15" t="n"/>
      <c r="M973" s="15" t="n"/>
      <c r="N973" s="15" t="n"/>
      <c r="O973" s="15" t="n"/>
      <c r="P973" s="15" t="n"/>
      <c r="Q973" s="15" t="n"/>
      <c r="R973" s="15" t="n"/>
      <c r="S973" s="15" t="n"/>
      <c r="T973" s="15" t="n"/>
      <c r="U973" s="15" t="n"/>
      <c r="V973" s="15" t="n"/>
      <c r="W973" s="15" t="n"/>
      <c r="X973" s="15" t="n"/>
      <c r="Y973" s="15" t="n"/>
      <c r="Z973" s="15" t="n"/>
      <c r="AA973" s="15" t="n"/>
      <c r="AB973" s="15" t="n"/>
      <c r="AC973" s="15" t="n"/>
      <c r="AD973" s="15" t="n"/>
      <c r="AE973" s="15" t="n"/>
      <c r="AF973" s="15" t="n"/>
      <c r="AG973" s="15" t="n"/>
      <c r="AH973" s="15" t="n"/>
      <c r="AI973" s="15" t="n"/>
    </row>
    <row r="974">
      <c r="A974" s="4" t="inlineStr">
        <is>
          <t>Студент1.17</t>
        </is>
      </c>
      <c r="B974" s="4" t="inlineStr"/>
      <c r="C974" s="4">
        <f>IF(A974="","",COUNTIF(F974:AI974,"+")+COUNTIF(F974:AI974,"1"))</f>
        <v/>
      </c>
      <c r="D974" s="4">
        <f>IF(A974="","",IF(C974&gt;2*COUNTA(F$957:AI$957)/3,1,IF(C974&gt;=COUNTA(F$957:AI$957)/2,0.8,0.5)))</f>
        <v/>
      </c>
      <c r="E974" s="4">
        <f>IF(A974="","",SUMIFS('Логи'!$H$4:$H$3006,'Логи'!$A$4:$A$3006,A974,'Логи'!$C$4:$C$3006,15))</f>
        <v/>
      </c>
      <c r="F974" s="15" t="n"/>
      <c r="G974" s="15" t="n"/>
      <c r="H974" s="15" t="n"/>
      <c r="I974" s="15" t="n"/>
      <c r="J974" s="15" t="n"/>
      <c r="K974" s="15" t="n"/>
      <c r="L974" s="15" t="n"/>
      <c r="M974" s="15" t="n"/>
      <c r="N974" s="15" t="n"/>
      <c r="O974" s="15" t="n"/>
      <c r="P974" s="15" t="n"/>
      <c r="Q974" s="15" t="n"/>
      <c r="R974" s="15" t="n"/>
      <c r="S974" s="15" t="n"/>
      <c r="T974" s="15" t="n"/>
      <c r="U974" s="15" t="n"/>
      <c r="V974" s="15" t="n"/>
      <c r="W974" s="15" t="n"/>
      <c r="X974" s="15" t="n"/>
      <c r="Y974" s="15" t="n"/>
      <c r="Z974" s="15" t="n"/>
      <c r="AA974" s="15" t="n"/>
      <c r="AB974" s="15" t="n"/>
      <c r="AC974" s="15" t="n"/>
      <c r="AD974" s="15" t="n"/>
      <c r="AE974" s="15" t="n"/>
      <c r="AF974" s="15" t="n"/>
      <c r="AG974" s="15" t="n"/>
      <c r="AH974" s="15" t="n"/>
      <c r="AI974" s="15" t="n"/>
    </row>
    <row r="975">
      <c r="A975" s="4" t="inlineStr">
        <is>
          <t>Студент1.18</t>
        </is>
      </c>
      <c r="B975" s="4" t="inlineStr"/>
      <c r="C975" s="4">
        <f>IF(A975="","",COUNTIF(F975:AI975,"+")+COUNTIF(F975:AI975,"1"))</f>
        <v/>
      </c>
      <c r="D975" s="4">
        <f>IF(A975="","",IF(C975&gt;2*COUNTA(F$957:AI$957)/3,1,IF(C975&gt;=COUNTA(F$957:AI$957)/2,0.8,0.5)))</f>
        <v/>
      </c>
      <c r="E975" s="4">
        <f>IF(A975="","",SUMIFS('Логи'!$H$4:$H$3006,'Логи'!$A$4:$A$3006,A975,'Логи'!$C$4:$C$3006,15))</f>
        <v/>
      </c>
      <c r="F975" s="15" t="n"/>
      <c r="G975" s="15" t="n"/>
      <c r="H975" s="15" t="n"/>
      <c r="I975" s="15" t="n"/>
      <c r="J975" s="15" t="n"/>
      <c r="K975" s="15" t="n"/>
      <c r="L975" s="15" t="n"/>
      <c r="M975" s="15" t="n"/>
      <c r="N975" s="15" t="n"/>
      <c r="O975" s="15" t="n"/>
      <c r="P975" s="15" t="n"/>
      <c r="Q975" s="15" t="n"/>
      <c r="R975" s="15" t="n"/>
      <c r="S975" s="15" t="n"/>
      <c r="T975" s="15" t="n"/>
      <c r="U975" s="15" t="n"/>
      <c r="V975" s="15" t="n"/>
      <c r="W975" s="15" t="n"/>
      <c r="X975" s="15" t="n"/>
      <c r="Y975" s="15" t="n"/>
      <c r="Z975" s="15" t="n"/>
      <c r="AA975" s="15" t="n"/>
      <c r="AB975" s="15" t="n"/>
      <c r="AC975" s="15" t="n"/>
      <c r="AD975" s="15" t="n"/>
      <c r="AE975" s="15" t="n"/>
      <c r="AF975" s="15" t="n"/>
      <c r="AG975" s="15" t="n"/>
      <c r="AH975" s="15" t="n"/>
      <c r="AI975" s="15" t="n"/>
    </row>
    <row r="976">
      <c r="A976" s="4" t="inlineStr">
        <is>
          <t>Студент1.19</t>
        </is>
      </c>
      <c r="B976" s="4" t="inlineStr"/>
      <c r="C976" s="4">
        <f>IF(A976="","",COUNTIF(F976:AI976,"+")+COUNTIF(F976:AI976,"1"))</f>
        <v/>
      </c>
      <c r="D976" s="4">
        <f>IF(A976="","",IF(C976&gt;2*COUNTA(F$957:AI$957)/3,1,IF(C976&gt;=COUNTA(F$957:AI$957)/2,0.8,0.5)))</f>
        <v/>
      </c>
      <c r="E976" s="4">
        <f>IF(A976="","",SUMIFS('Логи'!$H$4:$H$3006,'Логи'!$A$4:$A$3006,A976,'Логи'!$C$4:$C$3006,15))</f>
        <v/>
      </c>
      <c r="F976" s="15" t="n"/>
      <c r="G976" s="15" t="n"/>
      <c r="H976" s="15" t="n"/>
      <c r="I976" s="15" t="n"/>
      <c r="J976" s="15" t="n"/>
      <c r="K976" s="15" t="n"/>
      <c r="L976" s="15" t="n"/>
      <c r="M976" s="15" t="n"/>
      <c r="N976" s="15" t="n"/>
      <c r="O976" s="15" t="n"/>
      <c r="P976" s="15" t="n"/>
      <c r="Q976" s="15" t="n"/>
      <c r="R976" s="15" t="n"/>
      <c r="S976" s="15" t="n"/>
      <c r="T976" s="15" t="n"/>
      <c r="U976" s="15" t="n"/>
      <c r="V976" s="15" t="n"/>
      <c r="W976" s="15" t="n"/>
      <c r="X976" s="15" t="n"/>
      <c r="Y976" s="15" t="n"/>
      <c r="Z976" s="15" t="n"/>
      <c r="AA976" s="15" t="n"/>
      <c r="AB976" s="15" t="n"/>
      <c r="AC976" s="15" t="n"/>
      <c r="AD976" s="15" t="n"/>
      <c r="AE976" s="15" t="n"/>
      <c r="AF976" s="15" t="n"/>
      <c r="AG976" s="15" t="n"/>
      <c r="AH976" s="15" t="n"/>
      <c r="AI976" s="15" t="n"/>
    </row>
    <row r="977">
      <c r="A977" s="4" t="inlineStr">
        <is>
          <t>Студент1.20</t>
        </is>
      </c>
      <c r="B977" s="4" t="inlineStr"/>
      <c r="C977" s="4">
        <f>IF(A977="","",COUNTIF(F977:AI977,"+")+COUNTIF(F977:AI977,"1"))</f>
        <v/>
      </c>
      <c r="D977" s="4">
        <f>IF(A977="","",IF(C977&gt;2*COUNTA(F$957:AI$957)/3,1,IF(C977&gt;=COUNTA(F$957:AI$957)/2,0.8,0.5)))</f>
        <v/>
      </c>
      <c r="E977" s="4">
        <f>IF(A977="","",SUMIFS('Логи'!$H$4:$H$3006,'Логи'!$A$4:$A$3006,A977,'Логи'!$C$4:$C$3006,15))</f>
        <v/>
      </c>
      <c r="F977" s="15" t="n"/>
      <c r="G977" s="15" t="n"/>
      <c r="H977" s="15" t="n"/>
      <c r="I977" s="15" t="n"/>
      <c r="J977" s="15" t="n"/>
      <c r="K977" s="15" t="n"/>
      <c r="L977" s="15" t="n"/>
      <c r="M977" s="15" t="n"/>
      <c r="N977" s="15" t="n"/>
      <c r="O977" s="15" t="n"/>
      <c r="P977" s="15" t="n"/>
      <c r="Q977" s="15" t="n"/>
      <c r="R977" s="15" t="n"/>
      <c r="S977" s="15" t="n"/>
      <c r="T977" s="15" t="n"/>
      <c r="U977" s="15" t="n"/>
      <c r="V977" s="15" t="n"/>
      <c r="W977" s="15" t="n"/>
      <c r="X977" s="15" t="n"/>
      <c r="Y977" s="15" t="n"/>
      <c r="Z977" s="15" t="n"/>
      <c r="AA977" s="15" t="n"/>
      <c r="AB977" s="15" t="n"/>
      <c r="AC977" s="15" t="n"/>
      <c r="AD977" s="15" t="n"/>
      <c r="AE977" s="15" t="n"/>
      <c r="AF977" s="15" t="n"/>
      <c r="AG977" s="15" t="n"/>
      <c r="AH977" s="15" t="n"/>
      <c r="AI977" s="15" t="n"/>
    </row>
    <row r="978">
      <c r="A978" s="4" t="inlineStr">
        <is>
          <t>Студент1.21</t>
        </is>
      </c>
      <c r="B978" s="4" t="inlineStr"/>
      <c r="C978" s="4">
        <f>IF(A978="","",COUNTIF(F978:AI978,"+")+COUNTIF(F978:AI978,"1"))</f>
        <v/>
      </c>
      <c r="D978" s="4">
        <f>IF(A978="","",IF(C978&gt;2*COUNTA(F$957:AI$957)/3,1,IF(C978&gt;=COUNTA(F$957:AI$957)/2,0.8,0.5)))</f>
        <v/>
      </c>
      <c r="E978" s="4">
        <f>IF(A978="","",SUMIFS('Логи'!$H$4:$H$3006,'Логи'!$A$4:$A$3006,A978,'Логи'!$C$4:$C$3006,15))</f>
        <v/>
      </c>
      <c r="F978" s="15" t="n"/>
      <c r="G978" s="15" t="n"/>
      <c r="H978" s="15" t="n"/>
      <c r="I978" s="15" t="n"/>
      <c r="J978" s="15" t="n"/>
      <c r="K978" s="15" t="n"/>
      <c r="L978" s="15" t="n"/>
      <c r="M978" s="15" t="n"/>
      <c r="N978" s="15" t="n"/>
      <c r="O978" s="15" t="n"/>
      <c r="P978" s="15" t="n"/>
      <c r="Q978" s="15" t="n"/>
      <c r="R978" s="15" t="n"/>
      <c r="S978" s="15" t="n"/>
      <c r="T978" s="15" t="n"/>
      <c r="U978" s="15" t="n"/>
      <c r="V978" s="15" t="n"/>
      <c r="W978" s="15" t="n"/>
      <c r="X978" s="15" t="n"/>
      <c r="Y978" s="15" t="n"/>
      <c r="Z978" s="15" t="n"/>
      <c r="AA978" s="15" t="n"/>
      <c r="AB978" s="15" t="n"/>
      <c r="AC978" s="15" t="n"/>
      <c r="AD978" s="15" t="n"/>
      <c r="AE978" s="15" t="n"/>
      <c r="AF978" s="15" t="n"/>
      <c r="AG978" s="15" t="n"/>
      <c r="AH978" s="15" t="n"/>
      <c r="AI978" s="15" t="n"/>
    </row>
    <row r="979">
      <c r="A979" s="4" t="inlineStr">
        <is>
          <t>Студент1.22</t>
        </is>
      </c>
      <c r="B979" s="4" t="inlineStr"/>
      <c r="C979" s="4">
        <f>IF(A979="","",COUNTIF(F979:AI979,"+")+COUNTIF(F979:AI979,"1"))</f>
        <v/>
      </c>
      <c r="D979" s="4">
        <f>IF(A979="","",IF(C979&gt;2*COUNTA(F$957:AI$957)/3,1,IF(C979&gt;=COUNTA(F$957:AI$957)/2,0.8,0.5)))</f>
        <v/>
      </c>
      <c r="E979" s="4">
        <f>IF(A979="","",SUMIFS('Логи'!$H$4:$H$3006,'Логи'!$A$4:$A$3006,A979,'Логи'!$C$4:$C$3006,15))</f>
        <v/>
      </c>
      <c r="F979" s="15" t="n"/>
      <c r="G979" s="15" t="n"/>
      <c r="H979" s="15" t="n"/>
      <c r="I979" s="15" t="n"/>
      <c r="J979" s="15" t="n"/>
      <c r="K979" s="15" t="n"/>
      <c r="L979" s="15" t="n"/>
      <c r="M979" s="15" t="n"/>
      <c r="N979" s="15" t="n"/>
      <c r="O979" s="15" t="n"/>
      <c r="P979" s="15" t="n"/>
      <c r="Q979" s="15" t="n"/>
      <c r="R979" s="15" t="n"/>
      <c r="S979" s="15" t="n"/>
      <c r="T979" s="15" t="n"/>
      <c r="U979" s="15" t="n"/>
      <c r="V979" s="15" t="n"/>
      <c r="W979" s="15" t="n"/>
      <c r="X979" s="15" t="n"/>
      <c r="Y979" s="15" t="n"/>
      <c r="Z979" s="15" t="n"/>
      <c r="AA979" s="15" t="n"/>
      <c r="AB979" s="15" t="n"/>
      <c r="AC979" s="15" t="n"/>
      <c r="AD979" s="15" t="n"/>
      <c r="AE979" s="15" t="n"/>
      <c r="AF979" s="15" t="n"/>
      <c r="AG979" s="15" t="n"/>
      <c r="AH979" s="15" t="n"/>
      <c r="AI979" s="15" t="n"/>
    </row>
    <row r="980">
      <c r="A980" s="4" t="inlineStr">
        <is>
          <t>Студент1.23</t>
        </is>
      </c>
      <c r="B980" s="4" t="inlineStr"/>
      <c r="C980" s="4">
        <f>IF(A980="","",COUNTIF(F980:AI980,"+")+COUNTIF(F980:AI980,"1"))</f>
        <v/>
      </c>
      <c r="D980" s="4">
        <f>IF(A980="","",IF(C980&gt;2*COUNTA(F$957:AI$957)/3,1,IF(C980&gt;=COUNTA(F$957:AI$957)/2,0.8,0.5)))</f>
        <v/>
      </c>
      <c r="E980" s="4">
        <f>IF(A980="","",SUMIFS('Логи'!$H$4:$H$3006,'Логи'!$A$4:$A$3006,A980,'Логи'!$C$4:$C$3006,15))</f>
        <v/>
      </c>
      <c r="F980" s="15" t="n"/>
      <c r="G980" s="15" t="n"/>
      <c r="H980" s="15" t="n"/>
      <c r="I980" s="15" t="n"/>
      <c r="J980" s="15" t="n"/>
      <c r="K980" s="15" t="n"/>
      <c r="L980" s="15" t="n"/>
      <c r="M980" s="15" t="n"/>
      <c r="N980" s="15" t="n"/>
      <c r="O980" s="15" t="n"/>
      <c r="P980" s="15" t="n"/>
      <c r="Q980" s="15" t="n"/>
      <c r="R980" s="15" t="n"/>
      <c r="S980" s="15" t="n"/>
      <c r="T980" s="15" t="n"/>
      <c r="U980" s="15" t="n"/>
      <c r="V980" s="15" t="n"/>
      <c r="W980" s="15" t="n"/>
      <c r="X980" s="15" t="n"/>
      <c r="Y980" s="15" t="n"/>
      <c r="Z980" s="15" t="n"/>
      <c r="AA980" s="15" t="n"/>
      <c r="AB980" s="15" t="n"/>
      <c r="AC980" s="15" t="n"/>
      <c r="AD980" s="15" t="n"/>
      <c r="AE980" s="15" t="n"/>
      <c r="AF980" s="15" t="n"/>
      <c r="AG980" s="15" t="n"/>
      <c r="AH980" s="15" t="n"/>
      <c r="AI980" s="15" t="n"/>
    </row>
    <row r="981">
      <c r="A981" s="4" t="inlineStr">
        <is>
          <t>Студент1.24</t>
        </is>
      </c>
      <c r="B981" s="4" t="inlineStr"/>
      <c r="C981" s="4">
        <f>IF(A981="","",COUNTIF(F981:AI981,"+")+COUNTIF(F981:AI981,"1"))</f>
        <v/>
      </c>
      <c r="D981" s="4">
        <f>IF(A981="","",IF(C981&gt;2*COUNTA(F$957:AI$957)/3,1,IF(C981&gt;=COUNTA(F$957:AI$957)/2,0.8,0.5)))</f>
        <v/>
      </c>
      <c r="E981" s="4">
        <f>IF(A981="","",SUMIFS('Логи'!$H$4:$H$3006,'Логи'!$A$4:$A$3006,A981,'Логи'!$C$4:$C$3006,15))</f>
        <v/>
      </c>
      <c r="F981" s="15" t="n"/>
      <c r="G981" s="15" t="n"/>
      <c r="H981" s="15" t="n"/>
      <c r="I981" s="15" t="n"/>
      <c r="J981" s="15" t="n"/>
      <c r="K981" s="15" t="n"/>
      <c r="L981" s="15" t="n"/>
      <c r="M981" s="15" t="n"/>
      <c r="N981" s="15" t="n"/>
      <c r="O981" s="15" t="n"/>
      <c r="P981" s="15" t="n"/>
      <c r="Q981" s="15" t="n"/>
      <c r="R981" s="15" t="n"/>
      <c r="S981" s="15" t="n"/>
      <c r="T981" s="15" t="n"/>
      <c r="U981" s="15" t="n"/>
      <c r="V981" s="15" t="n"/>
      <c r="W981" s="15" t="n"/>
      <c r="X981" s="15" t="n"/>
      <c r="Y981" s="15" t="n"/>
      <c r="Z981" s="15" t="n"/>
      <c r="AA981" s="15" t="n"/>
      <c r="AB981" s="15" t="n"/>
      <c r="AC981" s="15" t="n"/>
      <c r="AD981" s="15" t="n"/>
      <c r="AE981" s="15" t="n"/>
      <c r="AF981" s="15" t="n"/>
      <c r="AG981" s="15" t="n"/>
      <c r="AH981" s="15" t="n"/>
      <c r="AI981" s="15" t="n"/>
    </row>
    <row r="982">
      <c r="A982" s="4" t="inlineStr">
        <is>
          <t>Студент1.25</t>
        </is>
      </c>
      <c r="B982" s="4" t="inlineStr"/>
      <c r="C982" s="4">
        <f>IF(A982="","",COUNTIF(F982:AI982,"+")+COUNTIF(F982:AI982,"1"))</f>
        <v/>
      </c>
      <c r="D982" s="4">
        <f>IF(A982="","",IF(C982&gt;2*COUNTA(F$957:AI$957)/3,1,IF(C982&gt;=COUNTA(F$957:AI$957)/2,0.8,0.5)))</f>
        <v/>
      </c>
      <c r="E982" s="4">
        <f>IF(A982="","",SUMIFS('Логи'!$H$4:$H$3006,'Логи'!$A$4:$A$3006,A982,'Логи'!$C$4:$C$3006,15))</f>
        <v/>
      </c>
      <c r="F982" s="15" t="n"/>
      <c r="G982" s="15" t="n"/>
      <c r="H982" s="15" t="n"/>
      <c r="I982" s="15" t="n"/>
      <c r="J982" s="15" t="n"/>
      <c r="K982" s="15" t="n"/>
      <c r="L982" s="15" t="n"/>
      <c r="M982" s="15" t="n"/>
      <c r="N982" s="15" t="n"/>
      <c r="O982" s="15" t="n"/>
      <c r="P982" s="15" t="n"/>
      <c r="Q982" s="15" t="n"/>
      <c r="R982" s="15" t="n"/>
      <c r="S982" s="15" t="n"/>
      <c r="T982" s="15" t="n"/>
      <c r="U982" s="15" t="n"/>
      <c r="V982" s="15" t="n"/>
      <c r="W982" s="15" t="n"/>
      <c r="X982" s="15" t="n"/>
      <c r="Y982" s="15" t="n"/>
      <c r="Z982" s="15" t="n"/>
      <c r="AA982" s="15" t="n"/>
      <c r="AB982" s="15" t="n"/>
      <c r="AC982" s="15" t="n"/>
      <c r="AD982" s="15" t="n"/>
      <c r="AE982" s="15" t="n"/>
      <c r="AF982" s="15" t="n"/>
      <c r="AG982" s="15" t="n"/>
      <c r="AH982" s="15" t="n"/>
      <c r="AI982" s="15" t="n"/>
    </row>
    <row r="983">
      <c r="A983" s="4" t="inlineStr">
        <is>
          <t>Студент1.26</t>
        </is>
      </c>
      <c r="B983" s="4" t="inlineStr"/>
      <c r="C983" s="4">
        <f>IF(A983="","",COUNTIF(F983:AI983,"+")+COUNTIF(F983:AI983,"1"))</f>
        <v/>
      </c>
      <c r="D983" s="4">
        <f>IF(A983="","",IF(C983&gt;2*COUNTA(F$957:AI$957)/3,1,IF(C983&gt;=COUNTA(F$957:AI$957)/2,0.8,0.5)))</f>
        <v/>
      </c>
      <c r="E983" s="4">
        <f>IF(A983="","",SUMIFS('Логи'!$H$4:$H$3006,'Логи'!$A$4:$A$3006,A983,'Логи'!$C$4:$C$3006,15))</f>
        <v/>
      </c>
      <c r="F983" s="15" t="n"/>
      <c r="G983" s="15" t="n"/>
      <c r="H983" s="15" t="n"/>
      <c r="I983" s="15" t="n"/>
      <c r="J983" s="15" t="n"/>
      <c r="K983" s="15" t="n"/>
      <c r="L983" s="15" t="n"/>
      <c r="M983" s="15" t="n"/>
      <c r="N983" s="15" t="n"/>
      <c r="O983" s="15" t="n"/>
      <c r="P983" s="15" t="n"/>
      <c r="Q983" s="15" t="n"/>
      <c r="R983" s="15" t="n"/>
      <c r="S983" s="15" t="n"/>
      <c r="T983" s="15" t="n"/>
      <c r="U983" s="15" t="n"/>
      <c r="V983" s="15" t="n"/>
      <c r="W983" s="15" t="n"/>
      <c r="X983" s="15" t="n"/>
      <c r="Y983" s="15" t="n"/>
      <c r="Z983" s="15" t="n"/>
      <c r="AA983" s="15" t="n"/>
      <c r="AB983" s="15" t="n"/>
      <c r="AC983" s="15" t="n"/>
      <c r="AD983" s="15" t="n"/>
      <c r="AE983" s="15" t="n"/>
      <c r="AF983" s="15" t="n"/>
      <c r="AG983" s="15" t="n"/>
      <c r="AH983" s="15" t="n"/>
      <c r="AI983" s="15" t="n"/>
    </row>
    <row r="984">
      <c r="A984" s="4" t="inlineStr">
        <is>
          <t>Студент1.27</t>
        </is>
      </c>
      <c r="B984" s="4" t="inlineStr"/>
      <c r="C984" s="4">
        <f>IF(A984="","",COUNTIF(F984:AI984,"+")+COUNTIF(F984:AI984,"1"))</f>
        <v/>
      </c>
      <c r="D984" s="4">
        <f>IF(A984="","",IF(C984&gt;2*COUNTA(F$957:AI$957)/3,1,IF(C984&gt;=COUNTA(F$957:AI$957)/2,0.8,0.5)))</f>
        <v/>
      </c>
      <c r="E984" s="4">
        <f>IF(A984="","",SUMIFS('Логи'!$H$4:$H$3006,'Логи'!$A$4:$A$3006,A984,'Логи'!$C$4:$C$3006,15))</f>
        <v/>
      </c>
      <c r="F984" s="15" t="n"/>
      <c r="G984" s="15" t="n"/>
      <c r="H984" s="15" t="n"/>
      <c r="I984" s="15" t="n"/>
      <c r="J984" s="15" t="n"/>
      <c r="K984" s="15" t="n"/>
      <c r="L984" s="15" t="n"/>
      <c r="M984" s="15" t="n"/>
      <c r="N984" s="15" t="n"/>
      <c r="O984" s="15" t="n"/>
      <c r="P984" s="15" t="n"/>
      <c r="Q984" s="15" t="n"/>
      <c r="R984" s="15" t="n"/>
      <c r="S984" s="15" t="n"/>
      <c r="T984" s="15" t="n"/>
      <c r="U984" s="15" t="n"/>
      <c r="V984" s="15" t="n"/>
      <c r="W984" s="15" t="n"/>
      <c r="X984" s="15" t="n"/>
      <c r="Y984" s="15" t="n"/>
      <c r="Z984" s="15" t="n"/>
      <c r="AA984" s="15" t="n"/>
      <c r="AB984" s="15" t="n"/>
      <c r="AC984" s="15" t="n"/>
      <c r="AD984" s="15" t="n"/>
      <c r="AE984" s="15" t="n"/>
      <c r="AF984" s="15" t="n"/>
      <c r="AG984" s="15" t="n"/>
      <c r="AH984" s="15" t="n"/>
      <c r="AI984" s="15" t="n"/>
    </row>
    <row r="985">
      <c r="A985" s="4" t="inlineStr">
        <is>
          <t>Студент1.28</t>
        </is>
      </c>
      <c r="B985" s="4" t="inlineStr"/>
      <c r="C985" s="4">
        <f>IF(A985="","",COUNTIF(F985:AI985,"+")+COUNTIF(F985:AI985,"1"))</f>
        <v/>
      </c>
      <c r="D985" s="4">
        <f>IF(A985="","",IF(C985&gt;2*COUNTA(F$957:AI$957)/3,1,IF(C985&gt;=COUNTA(F$957:AI$957)/2,0.8,0.5)))</f>
        <v/>
      </c>
      <c r="E985" s="4">
        <f>IF(A985="","",SUMIFS('Логи'!$H$4:$H$3006,'Логи'!$A$4:$A$3006,A985,'Логи'!$C$4:$C$3006,15))</f>
        <v/>
      </c>
      <c r="F985" s="15" t="n"/>
      <c r="G985" s="15" t="n"/>
      <c r="H985" s="15" t="n"/>
      <c r="I985" s="15" t="n"/>
      <c r="J985" s="15" t="n"/>
      <c r="K985" s="15" t="n"/>
      <c r="L985" s="15" t="n"/>
      <c r="M985" s="15" t="n"/>
      <c r="N985" s="15" t="n"/>
      <c r="O985" s="15" t="n"/>
      <c r="P985" s="15" t="n"/>
      <c r="Q985" s="15" t="n"/>
      <c r="R985" s="15" t="n"/>
      <c r="S985" s="15" t="n"/>
      <c r="T985" s="15" t="n"/>
      <c r="U985" s="15" t="n"/>
      <c r="V985" s="15" t="n"/>
      <c r="W985" s="15" t="n"/>
      <c r="X985" s="15" t="n"/>
      <c r="Y985" s="15" t="n"/>
      <c r="Z985" s="15" t="n"/>
      <c r="AA985" s="15" t="n"/>
      <c r="AB985" s="15" t="n"/>
      <c r="AC985" s="15" t="n"/>
      <c r="AD985" s="15" t="n"/>
      <c r="AE985" s="15" t="n"/>
      <c r="AF985" s="15" t="n"/>
      <c r="AG985" s="15" t="n"/>
      <c r="AH985" s="15" t="n"/>
      <c r="AI985" s="15" t="n"/>
    </row>
    <row r="986">
      <c r="A986" s="4" t="inlineStr">
        <is>
          <t>Студент1.29</t>
        </is>
      </c>
      <c r="B986" s="4" t="inlineStr"/>
      <c r="C986" s="4">
        <f>IF(A986="","",COUNTIF(F986:AI986,"+")+COUNTIF(F986:AI986,"1"))</f>
        <v/>
      </c>
      <c r="D986" s="4">
        <f>IF(A986="","",IF(C986&gt;2*COUNTA(F$957:AI$957)/3,1,IF(C986&gt;=COUNTA(F$957:AI$957)/2,0.8,0.5)))</f>
        <v/>
      </c>
      <c r="E986" s="4">
        <f>IF(A986="","",SUMIFS('Логи'!$H$4:$H$3006,'Логи'!$A$4:$A$3006,A986,'Логи'!$C$4:$C$3006,15))</f>
        <v/>
      </c>
      <c r="F986" s="15" t="n"/>
      <c r="G986" s="15" t="n"/>
      <c r="H986" s="15" t="n"/>
      <c r="I986" s="15" t="n"/>
      <c r="J986" s="15" t="n"/>
      <c r="K986" s="15" t="n"/>
      <c r="L986" s="15" t="n"/>
      <c r="M986" s="15" t="n"/>
      <c r="N986" s="15" t="n"/>
      <c r="O986" s="15" t="n"/>
      <c r="P986" s="15" t="n"/>
      <c r="Q986" s="15" t="n"/>
      <c r="R986" s="15" t="n"/>
      <c r="S986" s="15" t="n"/>
      <c r="T986" s="15" t="n"/>
      <c r="U986" s="15" t="n"/>
      <c r="V986" s="15" t="n"/>
      <c r="W986" s="15" t="n"/>
      <c r="X986" s="15" t="n"/>
      <c r="Y986" s="15" t="n"/>
      <c r="Z986" s="15" t="n"/>
      <c r="AA986" s="15" t="n"/>
      <c r="AB986" s="15" t="n"/>
      <c r="AC986" s="15" t="n"/>
      <c r="AD986" s="15" t="n"/>
      <c r="AE986" s="15" t="n"/>
      <c r="AF986" s="15" t="n"/>
      <c r="AG986" s="15" t="n"/>
      <c r="AH986" s="15" t="n"/>
      <c r="AI986" s="15" t="n"/>
    </row>
    <row r="987">
      <c r="A987" s="4" t="inlineStr">
        <is>
          <t>Студент1.30</t>
        </is>
      </c>
      <c r="B987" s="4" t="inlineStr"/>
      <c r="C987" s="4">
        <f>IF(A987="","",COUNTIF(F987:AI987,"+")+COUNTIF(F987:AI987,"1"))</f>
        <v/>
      </c>
      <c r="D987" s="4">
        <f>IF(A987="","",IF(C987&gt;2*COUNTA(F$957:AI$957)/3,1,IF(C987&gt;=COUNTA(F$957:AI$957)/2,0.8,0.5)))</f>
        <v/>
      </c>
      <c r="E987" s="4">
        <f>IF(A987="","",SUMIFS('Логи'!$H$4:$H$3006,'Логи'!$A$4:$A$3006,A987,'Логи'!$C$4:$C$3006,15))</f>
        <v/>
      </c>
      <c r="F987" s="15" t="n"/>
      <c r="G987" s="15" t="n"/>
      <c r="H987" s="15" t="n"/>
      <c r="I987" s="15" t="n"/>
      <c r="J987" s="15" t="n"/>
      <c r="K987" s="15" t="n"/>
      <c r="L987" s="15" t="n"/>
      <c r="M987" s="15" t="n"/>
      <c r="N987" s="15" t="n"/>
      <c r="O987" s="15" t="n"/>
      <c r="P987" s="15" t="n"/>
      <c r="Q987" s="15" t="n"/>
      <c r="R987" s="15" t="n"/>
      <c r="S987" s="15" t="n"/>
      <c r="T987" s="15" t="n"/>
      <c r="U987" s="15" t="n"/>
      <c r="V987" s="15" t="n"/>
      <c r="W987" s="15" t="n"/>
      <c r="X987" s="15" t="n"/>
      <c r="Y987" s="15" t="n"/>
      <c r="Z987" s="15" t="n"/>
      <c r="AA987" s="15" t="n"/>
      <c r="AB987" s="15" t="n"/>
      <c r="AC987" s="15" t="n"/>
      <c r="AD987" s="15" t="n"/>
      <c r="AE987" s="15" t="n"/>
      <c r="AF987" s="15" t="n"/>
      <c r="AG987" s="15" t="n"/>
      <c r="AH987" s="15" t="n"/>
      <c r="AI987" s="15" t="n"/>
    </row>
    <row r="989">
      <c r="A989" s="16" t="inlineStr">
        <is>
          <t>Практика 15 — результаты рассказа</t>
        </is>
      </c>
    </row>
    <row r="990" ht="28" customHeight="1">
      <c r="A990" s="7" t="inlineStr">
        <is>
          <t>Имя</t>
        </is>
      </c>
      <c r="B990" s="9" t="inlineStr">
        <is>
          <t>TG</t>
        </is>
      </c>
      <c r="C990" s="10" t="inlineStr"/>
      <c r="D990" s="2" t="inlineStr"/>
      <c r="E990" s="2" t="inlineStr"/>
      <c r="F990" s="11" t="inlineStr">
        <is>
          <t>1.0</t>
        </is>
      </c>
      <c r="G990" s="11" t="inlineStr">
        <is>
          <t>2.0</t>
        </is>
      </c>
      <c r="H990" s="11" t="inlineStr">
        <is>
          <t>3.0</t>
        </is>
      </c>
      <c r="I990" s="11" t="inlineStr">
        <is>
          <t>4.0</t>
        </is>
      </c>
      <c r="J990" s="11" t="inlineStr">
        <is>
          <t>5.0</t>
        </is>
      </c>
      <c r="K990" s="11" t="inlineStr">
        <is>
          <t>6</t>
        </is>
      </c>
      <c r="L990" s="11" t="inlineStr">
        <is>
          <t>7</t>
        </is>
      </c>
      <c r="M990" s="11" t="inlineStr">
        <is>
          <t>8</t>
        </is>
      </c>
      <c r="N990" s="11" t="inlineStr">
        <is>
          <t>9</t>
        </is>
      </c>
      <c r="O990" s="11" t="inlineStr">
        <is>
          <t>10</t>
        </is>
      </c>
      <c r="P990" s="11" t="inlineStr">
        <is>
          <t>11</t>
        </is>
      </c>
      <c r="Q990" s="11" t="inlineStr">
        <is>
          <t>12</t>
        </is>
      </c>
      <c r="R990" s="11" t="inlineStr">
        <is>
          <t>13</t>
        </is>
      </c>
      <c r="S990" s="11" t="inlineStr">
        <is>
          <t>14</t>
        </is>
      </c>
      <c r="T990" s="11" t="inlineStr">
        <is>
          <t>15</t>
        </is>
      </c>
      <c r="U990" s="11" t="inlineStr">
        <is>
          <t>16</t>
        </is>
      </c>
      <c r="V990" s="11" t="inlineStr">
        <is>
          <t>17</t>
        </is>
      </c>
      <c r="W990" s="11" t="inlineStr">
        <is>
          <t>18</t>
        </is>
      </c>
      <c r="X990" s="11" t="inlineStr">
        <is>
          <t>19</t>
        </is>
      </c>
      <c r="Y990" s="11" t="inlineStr">
        <is>
          <t>20</t>
        </is>
      </c>
      <c r="Z990" s="11" t="inlineStr">
        <is>
          <t>21</t>
        </is>
      </c>
      <c r="AA990" s="11" t="inlineStr">
        <is>
          <t>22</t>
        </is>
      </c>
      <c r="AB990" s="11" t="inlineStr">
        <is>
          <t>23</t>
        </is>
      </c>
      <c r="AC990" s="11" t="inlineStr">
        <is>
          <t>24</t>
        </is>
      </c>
      <c r="AD990" s="11" t="inlineStr">
        <is>
          <t>25</t>
        </is>
      </c>
      <c r="AE990" s="11" t="inlineStr">
        <is>
          <t>26</t>
        </is>
      </c>
      <c r="AF990" s="11" t="inlineStr">
        <is>
          <t>27</t>
        </is>
      </c>
      <c r="AG990" s="11" t="inlineStr">
        <is>
          <t>28</t>
        </is>
      </c>
      <c r="AH990" s="11" t="inlineStr">
        <is>
          <t>29</t>
        </is>
      </c>
      <c r="AI990" s="11" t="inlineStr">
        <is>
          <t>30</t>
        </is>
      </c>
    </row>
    <row r="991">
      <c r="A991" s="4" t="inlineStr">
        <is>
          <t>Студент1.1</t>
        </is>
      </c>
      <c r="B991" s="4" t="inlineStr"/>
      <c r="C991" s="4" t="n"/>
      <c r="D991" s="4" t="n"/>
      <c r="E991" s="4" t="n"/>
      <c r="F991" s="15" t="n"/>
      <c r="G991" s="15" t="n"/>
      <c r="H991" s="15" t="n"/>
      <c r="I991" s="15" t="n"/>
      <c r="J991" s="15" t="n"/>
      <c r="K991" s="15" t="n"/>
      <c r="L991" s="15" t="n"/>
      <c r="M991" s="15" t="n"/>
      <c r="N991" s="15" t="n"/>
      <c r="O991" s="15" t="n"/>
      <c r="P991" s="15" t="n"/>
      <c r="Q991" s="15" t="n"/>
      <c r="R991" s="15" t="n"/>
      <c r="S991" s="15" t="n"/>
      <c r="T991" s="15" t="n"/>
      <c r="U991" s="15" t="n"/>
      <c r="V991" s="15" t="n"/>
      <c r="W991" s="15" t="n"/>
      <c r="X991" s="15" t="n"/>
      <c r="Y991" s="15" t="n"/>
      <c r="Z991" s="15" t="n"/>
      <c r="AA991" s="15" t="n"/>
      <c r="AB991" s="15" t="n"/>
      <c r="AC991" s="15" t="n"/>
      <c r="AD991" s="15" t="n"/>
      <c r="AE991" s="15" t="n"/>
      <c r="AF991" s="15" t="n"/>
      <c r="AG991" s="15" t="n"/>
      <c r="AH991" s="15" t="n"/>
      <c r="AI991" s="15" t="n"/>
    </row>
    <row r="992">
      <c r="A992" s="4" t="inlineStr">
        <is>
          <t>Студент1.2</t>
        </is>
      </c>
      <c r="B992" s="4" t="inlineStr"/>
      <c r="C992" s="4" t="n"/>
      <c r="D992" s="4" t="n"/>
      <c r="E992" s="4" t="n"/>
      <c r="F992" s="15" t="n"/>
      <c r="G992" s="15" t="n"/>
      <c r="H992" s="15" t="n"/>
      <c r="I992" s="15" t="n"/>
      <c r="J992" s="15" t="n"/>
      <c r="K992" s="15" t="n"/>
      <c r="L992" s="15" t="n"/>
      <c r="M992" s="15" t="n"/>
      <c r="N992" s="15" t="n"/>
      <c r="O992" s="15" t="n"/>
      <c r="P992" s="15" t="n"/>
      <c r="Q992" s="15" t="n"/>
      <c r="R992" s="15" t="n"/>
      <c r="S992" s="15" t="n"/>
      <c r="T992" s="15" t="n"/>
      <c r="U992" s="15" t="n"/>
      <c r="V992" s="15" t="n"/>
      <c r="W992" s="15" t="n"/>
      <c r="X992" s="15" t="n"/>
      <c r="Y992" s="15" t="n"/>
      <c r="Z992" s="15" t="n"/>
      <c r="AA992" s="15" t="n"/>
      <c r="AB992" s="15" t="n"/>
      <c r="AC992" s="15" t="n"/>
      <c r="AD992" s="15" t="n"/>
      <c r="AE992" s="15" t="n"/>
      <c r="AF992" s="15" t="n"/>
      <c r="AG992" s="15" t="n"/>
      <c r="AH992" s="15" t="n"/>
      <c r="AI992" s="15" t="n"/>
    </row>
    <row r="993">
      <c r="A993" s="4" t="inlineStr">
        <is>
          <t>Студент1.3</t>
        </is>
      </c>
      <c r="B993" s="4" t="inlineStr"/>
      <c r="C993" s="4" t="n"/>
      <c r="D993" s="4" t="n"/>
      <c r="E993" s="4" t="n"/>
      <c r="F993" s="15" t="n"/>
      <c r="G993" s="15" t="n"/>
      <c r="H993" s="15" t="n"/>
      <c r="I993" s="15" t="n"/>
      <c r="J993" s="15" t="n"/>
      <c r="K993" s="15" t="n"/>
      <c r="L993" s="15" t="n"/>
      <c r="M993" s="15" t="n"/>
      <c r="N993" s="15" t="n"/>
      <c r="O993" s="15" t="n"/>
      <c r="P993" s="15" t="n"/>
      <c r="Q993" s="15" t="n"/>
      <c r="R993" s="15" t="n"/>
      <c r="S993" s="15" t="n"/>
      <c r="T993" s="15" t="n"/>
      <c r="U993" s="15" t="n"/>
      <c r="V993" s="15" t="n"/>
      <c r="W993" s="15" t="n"/>
      <c r="X993" s="15" t="n"/>
      <c r="Y993" s="15" t="n"/>
      <c r="Z993" s="15" t="n"/>
      <c r="AA993" s="15" t="n"/>
      <c r="AB993" s="15" t="n"/>
      <c r="AC993" s="15" t="n"/>
      <c r="AD993" s="15" t="n"/>
      <c r="AE993" s="15" t="n"/>
      <c r="AF993" s="15" t="n"/>
      <c r="AG993" s="15" t="n"/>
      <c r="AH993" s="15" t="n"/>
      <c r="AI993" s="15" t="n"/>
    </row>
    <row r="994">
      <c r="A994" s="4" t="inlineStr">
        <is>
          <t>Студент1.4</t>
        </is>
      </c>
      <c r="B994" s="4" t="inlineStr"/>
      <c r="C994" s="4" t="n"/>
      <c r="D994" s="4" t="n"/>
      <c r="E994" s="4" t="n"/>
      <c r="F994" s="15" t="n"/>
      <c r="G994" s="15" t="n"/>
      <c r="H994" s="15" t="n"/>
      <c r="I994" s="15" t="n"/>
      <c r="J994" s="15" t="n"/>
      <c r="K994" s="15" t="n"/>
      <c r="L994" s="15" t="n"/>
      <c r="M994" s="15" t="n"/>
      <c r="N994" s="15" t="n"/>
      <c r="O994" s="15" t="n"/>
      <c r="P994" s="15" t="n"/>
      <c r="Q994" s="15" t="n"/>
      <c r="R994" s="15" t="n"/>
      <c r="S994" s="15" t="n"/>
      <c r="T994" s="15" t="n"/>
      <c r="U994" s="15" t="n"/>
      <c r="V994" s="15" t="n"/>
      <c r="W994" s="15" t="n"/>
      <c r="X994" s="15" t="n"/>
      <c r="Y994" s="15" t="n"/>
      <c r="Z994" s="15" t="n"/>
      <c r="AA994" s="15" t="n"/>
      <c r="AB994" s="15" t="n"/>
      <c r="AC994" s="15" t="n"/>
      <c r="AD994" s="15" t="n"/>
      <c r="AE994" s="15" t="n"/>
      <c r="AF994" s="15" t="n"/>
      <c r="AG994" s="15" t="n"/>
      <c r="AH994" s="15" t="n"/>
      <c r="AI994" s="15" t="n"/>
    </row>
    <row r="995">
      <c r="A995" s="4" t="inlineStr">
        <is>
          <t>Студент1.5</t>
        </is>
      </c>
      <c r="B995" s="4" t="inlineStr"/>
      <c r="C995" s="4" t="n"/>
      <c r="D995" s="4" t="n"/>
      <c r="E995" s="4" t="n"/>
      <c r="F995" s="15" t="n"/>
      <c r="G995" s="15" t="n"/>
      <c r="H995" s="15" t="n"/>
      <c r="I995" s="15" t="n"/>
      <c r="J995" s="15" t="n"/>
      <c r="K995" s="15" t="n"/>
      <c r="L995" s="15" t="n"/>
      <c r="M995" s="15" t="n"/>
      <c r="N995" s="15" t="n"/>
      <c r="O995" s="15" t="n"/>
      <c r="P995" s="15" t="n"/>
      <c r="Q995" s="15" t="n"/>
      <c r="R995" s="15" t="n"/>
      <c r="S995" s="15" t="n"/>
      <c r="T995" s="15" t="n"/>
      <c r="U995" s="15" t="n"/>
      <c r="V995" s="15" t="n"/>
      <c r="W995" s="15" t="n"/>
      <c r="X995" s="15" t="n"/>
      <c r="Y995" s="15" t="n"/>
      <c r="Z995" s="15" t="n"/>
      <c r="AA995" s="15" t="n"/>
      <c r="AB995" s="15" t="n"/>
      <c r="AC995" s="15" t="n"/>
      <c r="AD995" s="15" t="n"/>
      <c r="AE995" s="15" t="n"/>
      <c r="AF995" s="15" t="n"/>
      <c r="AG995" s="15" t="n"/>
      <c r="AH995" s="15" t="n"/>
      <c r="AI995" s="15" t="n"/>
    </row>
    <row r="996">
      <c r="A996" s="4" t="inlineStr">
        <is>
          <t>Студент1.6</t>
        </is>
      </c>
      <c r="B996" s="4" t="inlineStr"/>
      <c r="C996" s="4" t="n"/>
      <c r="D996" s="4" t="n"/>
      <c r="E996" s="4" t="n"/>
      <c r="F996" s="15" t="n"/>
      <c r="G996" s="15" t="n"/>
      <c r="H996" s="15" t="n"/>
      <c r="I996" s="15" t="n"/>
      <c r="J996" s="15" t="n"/>
      <c r="K996" s="15" t="n"/>
      <c r="L996" s="15" t="n"/>
      <c r="M996" s="15" t="n"/>
      <c r="N996" s="15" t="n"/>
      <c r="O996" s="15" t="n"/>
      <c r="P996" s="15" t="n"/>
      <c r="Q996" s="15" t="n"/>
      <c r="R996" s="15" t="n"/>
      <c r="S996" s="15" t="n"/>
      <c r="T996" s="15" t="n"/>
      <c r="U996" s="15" t="n"/>
      <c r="V996" s="15" t="n"/>
      <c r="W996" s="15" t="n"/>
      <c r="X996" s="15" t="n"/>
      <c r="Y996" s="15" t="n"/>
      <c r="Z996" s="15" t="n"/>
      <c r="AA996" s="15" t="n"/>
      <c r="AB996" s="15" t="n"/>
      <c r="AC996" s="15" t="n"/>
      <c r="AD996" s="15" t="n"/>
      <c r="AE996" s="15" t="n"/>
      <c r="AF996" s="15" t="n"/>
      <c r="AG996" s="15" t="n"/>
      <c r="AH996" s="15" t="n"/>
      <c r="AI996" s="15" t="n"/>
    </row>
    <row r="997">
      <c r="A997" s="4" t="inlineStr">
        <is>
          <t>Студент1.7</t>
        </is>
      </c>
      <c r="B997" s="4" t="inlineStr"/>
      <c r="C997" s="4" t="n"/>
      <c r="D997" s="4" t="n"/>
      <c r="E997" s="4" t="n"/>
      <c r="F997" s="15" t="n"/>
      <c r="G997" s="15" t="n"/>
      <c r="H997" s="15" t="n"/>
      <c r="I997" s="15" t="n"/>
      <c r="J997" s="15" t="n"/>
      <c r="K997" s="15" t="n"/>
      <c r="L997" s="15" t="n"/>
      <c r="M997" s="15" t="n"/>
      <c r="N997" s="15" t="n"/>
      <c r="O997" s="15" t="n"/>
      <c r="P997" s="15" t="n"/>
      <c r="Q997" s="15" t="n"/>
      <c r="R997" s="15" t="n"/>
      <c r="S997" s="15" t="n"/>
      <c r="T997" s="15" t="n"/>
      <c r="U997" s="15" t="n"/>
      <c r="V997" s="15" t="n"/>
      <c r="W997" s="15" t="n"/>
      <c r="X997" s="15" t="n"/>
      <c r="Y997" s="15" t="n"/>
      <c r="Z997" s="15" t="n"/>
      <c r="AA997" s="15" t="n"/>
      <c r="AB997" s="15" t="n"/>
      <c r="AC997" s="15" t="n"/>
      <c r="AD997" s="15" t="n"/>
      <c r="AE997" s="15" t="n"/>
      <c r="AF997" s="15" t="n"/>
      <c r="AG997" s="15" t="n"/>
      <c r="AH997" s="15" t="n"/>
      <c r="AI997" s="15" t="n"/>
    </row>
    <row r="998">
      <c r="A998" s="4" t="inlineStr">
        <is>
          <t>Студент1.8</t>
        </is>
      </c>
      <c r="B998" s="4" t="inlineStr"/>
      <c r="C998" s="4" t="n"/>
      <c r="D998" s="4" t="n"/>
      <c r="E998" s="4" t="n"/>
      <c r="F998" s="15" t="n"/>
      <c r="G998" s="15" t="n"/>
      <c r="H998" s="15" t="n"/>
      <c r="I998" s="15" t="n"/>
      <c r="J998" s="15" t="n"/>
      <c r="K998" s="15" t="n"/>
      <c r="L998" s="15" t="n"/>
      <c r="M998" s="15" t="n"/>
      <c r="N998" s="15" t="n"/>
      <c r="O998" s="15" t="n"/>
      <c r="P998" s="15" t="n"/>
      <c r="Q998" s="15" t="n"/>
      <c r="R998" s="15" t="n"/>
      <c r="S998" s="15" t="n"/>
      <c r="T998" s="15" t="n"/>
      <c r="U998" s="15" t="n"/>
      <c r="V998" s="15" t="n"/>
      <c r="W998" s="15" t="n"/>
      <c r="X998" s="15" t="n"/>
      <c r="Y998" s="15" t="n"/>
      <c r="Z998" s="15" t="n"/>
      <c r="AA998" s="15" t="n"/>
      <c r="AB998" s="15" t="n"/>
      <c r="AC998" s="15" t="n"/>
      <c r="AD998" s="15" t="n"/>
      <c r="AE998" s="15" t="n"/>
      <c r="AF998" s="15" t="n"/>
      <c r="AG998" s="15" t="n"/>
      <c r="AH998" s="15" t="n"/>
      <c r="AI998" s="15" t="n"/>
    </row>
    <row r="999">
      <c r="A999" s="4" t="inlineStr">
        <is>
          <t>Студент1.9</t>
        </is>
      </c>
      <c r="B999" s="4" t="inlineStr"/>
      <c r="C999" s="4" t="n"/>
      <c r="D999" s="4" t="n"/>
      <c r="E999" s="4" t="n"/>
      <c r="F999" s="15" t="n"/>
      <c r="G999" s="15" t="n"/>
      <c r="H999" s="15" t="n"/>
      <c r="I999" s="15" t="n"/>
      <c r="J999" s="15" t="n"/>
      <c r="K999" s="15" t="n"/>
      <c r="L999" s="15" t="n"/>
      <c r="M999" s="15" t="n"/>
      <c r="N999" s="15" t="n"/>
      <c r="O999" s="15" t="n"/>
      <c r="P999" s="15" t="n"/>
      <c r="Q999" s="15" t="n"/>
      <c r="R999" s="15" t="n"/>
      <c r="S999" s="15" t="n"/>
      <c r="T999" s="15" t="n"/>
      <c r="U999" s="15" t="n"/>
      <c r="V999" s="15" t="n"/>
      <c r="W999" s="15" t="n"/>
      <c r="X999" s="15" t="n"/>
      <c r="Y999" s="15" t="n"/>
      <c r="Z999" s="15" t="n"/>
      <c r="AA999" s="15" t="n"/>
      <c r="AB999" s="15" t="n"/>
      <c r="AC999" s="15" t="n"/>
      <c r="AD999" s="15" t="n"/>
      <c r="AE999" s="15" t="n"/>
      <c r="AF999" s="15" t="n"/>
      <c r="AG999" s="15" t="n"/>
      <c r="AH999" s="15" t="n"/>
      <c r="AI999" s="15" t="n"/>
    </row>
    <row r="1000">
      <c r="A1000" s="4" t="inlineStr">
        <is>
          <t>Студент1.10</t>
        </is>
      </c>
      <c r="B1000" s="4" t="inlineStr"/>
      <c r="C1000" s="4" t="n"/>
      <c r="D1000" s="4" t="n"/>
      <c r="E1000" s="4" t="n"/>
      <c r="F1000" s="15" t="n"/>
      <c r="G1000" s="15" t="n"/>
      <c r="H1000" s="15" t="n"/>
      <c r="I1000" s="15" t="n"/>
      <c r="J1000" s="15" t="n"/>
      <c r="K1000" s="15" t="n"/>
      <c r="L1000" s="15" t="n"/>
      <c r="M1000" s="15" t="n"/>
      <c r="N1000" s="15" t="n"/>
      <c r="O1000" s="15" t="n"/>
      <c r="P1000" s="15" t="n"/>
      <c r="Q1000" s="15" t="n"/>
      <c r="R1000" s="15" t="n"/>
      <c r="S1000" s="15" t="n"/>
      <c r="T1000" s="15" t="n"/>
      <c r="U1000" s="15" t="n"/>
      <c r="V1000" s="15" t="n"/>
      <c r="W1000" s="15" t="n"/>
      <c r="X1000" s="15" t="n"/>
      <c r="Y1000" s="15" t="n"/>
      <c r="Z1000" s="15" t="n"/>
      <c r="AA1000" s="15" t="n"/>
      <c r="AB1000" s="15" t="n"/>
      <c r="AC1000" s="15" t="n"/>
      <c r="AD1000" s="15" t="n"/>
      <c r="AE1000" s="15" t="n"/>
      <c r="AF1000" s="15" t="n"/>
      <c r="AG1000" s="15" t="n"/>
      <c r="AH1000" s="15" t="n"/>
      <c r="AI1000" s="15" t="n"/>
    </row>
    <row r="1001">
      <c r="A1001" s="4" t="inlineStr">
        <is>
          <t>Студент1.11</t>
        </is>
      </c>
      <c r="B1001" s="4" t="inlineStr"/>
      <c r="C1001" s="4" t="n"/>
      <c r="D1001" s="4" t="n"/>
      <c r="E1001" s="4" t="n"/>
      <c r="F1001" s="15" t="n"/>
      <c r="G1001" s="15" t="n"/>
      <c r="H1001" s="15" t="n"/>
      <c r="I1001" s="15" t="n"/>
      <c r="J1001" s="15" t="n"/>
      <c r="K1001" s="15" t="n"/>
      <c r="L1001" s="15" t="n"/>
      <c r="M1001" s="15" t="n"/>
      <c r="N1001" s="15" t="n"/>
      <c r="O1001" s="15" t="n"/>
      <c r="P1001" s="15" t="n"/>
      <c r="Q1001" s="15" t="n"/>
      <c r="R1001" s="15" t="n"/>
      <c r="S1001" s="15" t="n"/>
      <c r="T1001" s="15" t="n"/>
      <c r="U1001" s="15" t="n"/>
      <c r="V1001" s="15" t="n"/>
      <c r="W1001" s="15" t="n"/>
      <c r="X1001" s="15" t="n"/>
      <c r="Y1001" s="15" t="n"/>
      <c r="Z1001" s="15" t="n"/>
      <c r="AA1001" s="15" t="n"/>
      <c r="AB1001" s="15" t="n"/>
      <c r="AC1001" s="15" t="n"/>
      <c r="AD1001" s="15" t="n"/>
      <c r="AE1001" s="15" t="n"/>
      <c r="AF1001" s="15" t="n"/>
      <c r="AG1001" s="15" t="n"/>
      <c r="AH1001" s="15" t="n"/>
      <c r="AI1001" s="15" t="n"/>
    </row>
    <row r="1002">
      <c r="A1002" s="4" t="inlineStr">
        <is>
          <t>Студент1.12</t>
        </is>
      </c>
      <c r="B1002" s="4" t="inlineStr"/>
      <c r="C1002" s="4" t="n"/>
      <c r="D1002" s="4" t="n"/>
      <c r="E1002" s="4" t="n"/>
      <c r="F1002" s="15" t="n"/>
      <c r="G1002" s="15" t="n"/>
      <c r="H1002" s="15" t="n"/>
      <c r="I1002" s="15" t="n"/>
      <c r="J1002" s="15" t="n"/>
      <c r="K1002" s="15" t="n"/>
      <c r="L1002" s="15" t="n"/>
      <c r="M1002" s="15" t="n"/>
      <c r="N1002" s="15" t="n"/>
      <c r="O1002" s="15" t="n"/>
      <c r="P1002" s="15" t="n"/>
      <c r="Q1002" s="15" t="n"/>
      <c r="R1002" s="15" t="n"/>
      <c r="S1002" s="15" t="n"/>
      <c r="T1002" s="15" t="n"/>
      <c r="U1002" s="15" t="n"/>
      <c r="V1002" s="15" t="n"/>
      <c r="W1002" s="15" t="n"/>
      <c r="X1002" s="15" t="n"/>
      <c r="Y1002" s="15" t="n"/>
      <c r="Z1002" s="15" t="n"/>
      <c r="AA1002" s="15" t="n"/>
      <c r="AB1002" s="15" t="n"/>
      <c r="AC1002" s="15" t="n"/>
      <c r="AD1002" s="15" t="n"/>
      <c r="AE1002" s="15" t="n"/>
      <c r="AF1002" s="15" t="n"/>
      <c r="AG1002" s="15" t="n"/>
      <c r="AH1002" s="15" t="n"/>
      <c r="AI1002" s="15" t="n"/>
    </row>
    <row r="1003">
      <c r="A1003" s="4" t="inlineStr">
        <is>
          <t>Студент1.13</t>
        </is>
      </c>
      <c r="B1003" s="4" t="inlineStr"/>
      <c r="C1003" s="4" t="n"/>
      <c r="D1003" s="4" t="n"/>
      <c r="E1003" s="4" t="n"/>
      <c r="F1003" s="15" t="n"/>
      <c r="G1003" s="15" t="n"/>
      <c r="H1003" s="15" t="n"/>
      <c r="I1003" s="15" t="n"/>
      <c r="J1003" s="15" t="n"/>
      <c r="K1003" s="15" t="n"/>
      <c r="L1003" s="15" t="n"/>
      <c r="M1003" s="15" t="n"/>
      <c r="N1003" s="15" t="n"/>
      <c r="O1003" s="15" t="n"/>
      <c r="P1003" s="15" t="n"/>
      <c r="Q1003" s="15" t="n"/>
      <c r="R1003" s="15" t="n"/>
      <c r="S1003" s="15" t="n"/>
      <c r="T1003" s="15" t="n"/>
      <c r="U1003" s="15" t="n"/>
      <c r="V1003" s="15" t="n"/>
      <c r="W1003" s="15" t="n"/>
      <c r="X1003" s="15" t="n"/>
      <c r="Y1003" s="15" t="n"/>
      <c r="Z1003" s="15" t="n"/>
      <c r="AA1003" s="15" t="n"/>
      <c r="AB1003" s="15" t="n"/>
      <c r="AC1003" s="15" t="n"/>
      <c r="AD1003" s="15" t="n"/>
      <c r="AE1003" s="15" t="n"/>
      <c r="AF1003" s="15" t="n"/>
      <c r="AG1003" s="15" t="n"/>
      <c r="AH1003" s="15" t="n"/>
      <c r="AI1003" s="15" t="n"/>
    </row>
    <row r="1004">
      <c r="A1004" s="4" t="inlineStr">
        <is>
          <t>Студент1.14</t>
        </is>
      </c>
      <c r="B1004" s="4" t="inlineStr"/>
      <c r="C1004" s="4" t="n"/>
      <c r="D1004" s="4" t="n"/>
      <c r="E1004" s="4" t="n"/>
      <c r="F1004" s="15" t="n"/>
      <c r="G1004" s="15" t="n"/>
      <c r="H1004" s="15" t="n"/>
      <c r="I1004" s="15" t="n"/>
      <c r="J1004" s="15" t="n"/>
      <c r="K1004" s="15" t="n"/>
      <c r="L1004" s="15" t="n"/>
      <c r="M1004" s="15" t="n"/>
      <c r="N1004" s="15" t="n"/>
      <c r="O1004" s="15" t="n"/>
      <c r="P1004" s="15" t="n"/>
      <c r="Q1004" s="15" t="n"/>
      <c r="R1004" s="15" t="n"/>
      <c r="S1004" s="15" t="n"/>
      <c r="T1004" s="15" t="n"/>
      <c r="U1004" s="15" t="n"/>
      <c r="V1004" s="15" t="n"/>
      <c r="W1004" s="15" t="n"/>
      <c r="X1004" s="15" t="n"/>
      <c r="Y1004" s="15" t="n"/>
      <c r="Z1004" s="15" t="n"/>
      <c r="AA1004" s="15" t="n"/>
      <c r="AB1004" s="15" t="n"/>
      <c r="AC1004" s="15" t="n"/>
      <c r="AD1004" s="15" t="n"/>
      <c r="AE1004" s="15" t="n"/>
      <c r="AF1004" s="15" t="n"/>
      <c r="AG1004" s="15" t="n"/>
      <c r="AH1004" s="15" t="n"/>
      <c r="AI1004" s="15" t="n"/>
    </row>
    <row r="1005">
      <c r="A1005" s="4" t="inlineStr">
        <is>
          <t>Студент1.15</t>
        </is>
      </c>
      <c r="B1005" s="4" t="inlineStr"/>
      <c r="C1005" s="4" t="n"/>
      <c r="D1005" s="4" t="n"/>
      <c r="E1005" s="4" t="n"/>
      <c r="F1005" s="15" t="n"/>
      <c r="G1005" s="15" t="n"/>
      <c r="H1005" s="15" t="n"/>
      <c r="I1005" s="15" t="n"/>
      <c r="J1005" s="15" t="n"/>
      <c r="K1005" s="15" t="n"/>
      <c r="L1005" s="15" t="n"/>
      <c r="M1005" s="15" t="n"/>
      <c r="N1005" s="15" t="n"/>
      <c r="O1005" s="15" t="n"/>
      <c r="P1005" s="15" t="n"/>
      <c r="Q1005" s="15" t="n"/>
      <c r="R1005" s="15" t="n"/>
      <c r="S1005" s="15" t="n"/>
      <c r="T1005" s="15" t="n"/>
      <c r="U1005" s="15" t="n"/>
      <c r="V1005" s="15" t="n"/>
      <c r="W1005" s="15" t="n"/>
      <c r="X1005" s="15" t="n"/>
      <c r="Y1005" s="15" t="n"/>
      <c r="Z1005" s="15" t="n"/>
      <c r="AA1005" s="15" t="n"/>
      <c r="AB1005" s="15" t="n"/>
      <c r="AC1005" s="15" t="n"/>
      <c r="AD1005" s="15" t="n"/>
      <c r="AE1005" s="15" t="n"/>
      <c r="AF1005" s="15" t="n"/>
      <c r="AG1005" s="15" t="n"/>
      <c r="AH1005" s="15" t="n"/>
      <c r="AI1005" s="15" t="n"/>
    </row>
    <row r="1006">
      <c r="A1006" s="4" t="inlineStr">
        <is>
          <t>Студент1.16</t>
        </is>
      </c>
      <c r="B1006" s="4" t="inlineStr"/>
      <c r="C1006" s="4" t="n"/>
      <c r="D1006" s="4" t="n"/>
      <c r="E1006" s="4" t="n"/>
      <c r="F1006" s="15" t="n"/>
      <c r="G1006" s="15" t="n"/>
      <c r="H1006" s="15" t="n"/>
      <c r="I1006" s="15" t="n"/>
      <c r="J1006" s="15" t="n"/>
      <c r="K1006" s="15" t="n"/>
      <c r="L1006" s="15" t="n"/>
      <c r="M1006" s="15" t="n"/>
      <c r="N1006" s="15" t="n"/>
      <c r="O1006" s="15" t="n"/>
      <c r="P1006" s="15" t="n"/>
      <c r="Q1006" s="15" t="n"/>
      <c r="R1006" s="15" t="n"/>
      <c r="S1006" s="15" t="n"/>
      <c r="T1006" s="15" t="n"/>
      <c r="U1006" s="15" t="n"/>
      <c r="V1006" s="15" t="n"/>
      <c r="W1006" s="15" t="n"/>
      <c r="X1006" s="15" t="n"/>
      <c r="Y1006" s="15" t="n"/>
      <c r="Z1006" s="15" t="n"/>
      <c r="AA1006" s="15" t="n"/>
      <c r="AB1006" s="15" t="n"/>
      <c r="AC1006" s="15" t="n"/>
      <c r="AD1006" s="15" t="n"/>
      <c r="AE1006" s="15" t="n"/>
      <c r="AF1006" s="15" t="n"/>
      <c r="AG1006" s="15" t="n"/>
      <c r="AH1006" s="15" t="n"/>
      <c r="AI1006" s="15" t="n"/>
    </row>
    <row r="1007">
      <c r="A1007" s="4" t="inlineStr">
        <is>
          <t>Студент1.17</t>
        </is>
      </c>
      <c r="B1007" s="4" t="inlineStr"/>
      <c r="C1007" s="4" t="n"/>
      <c r="D1007" s="4" t="n"/>
      <c r="E1007" s="4" t="n"/>
      <c r="F1007" s="15" t="n"/>
      <c r="G1007" s="15" t="n"/>
      <c r="H1007" s="15" t="n"/>
      <c r="I1007" s="15" t="n"/>
      <c r="J1007" s="15" t="n"/>
      <c r="K1007" s="15" t="n"/>
      <c r="L1007" s="15" t="n"/>
      <c r="M1007" s="15" t="n"/>
      <c r="N1007" s="15" t="n"/>
      <c r="O1007" s="15" t="n"/>
      <c r="P1007" s="15" t="n"/>
      <c r="Q1007" s="15" t="n"/>
      <c r="R1007" s="15" t="n"/>
      <c r="S1007" s="15" t="n"/>
      <c r="T1007" s="15" t="n"/>
      <c r="U1007" s="15" t="n"/>
      <c r="V1007" s="15" t="n"/>
      <c r="W1007" s="15" t="n"/>
      <c r="X1007" s="15" t="n"/>
      <c r="Y1007" s="15" t="n"/>
      <c r="Z1007" s="15" t="n"/>
      <c r="AA1007" s="15" t="n"/>
      <c r="AB1007" s="15" t="n"/>
      <c r="AC1007" s="15" t="n"/>
      <c r="AD1007" s="15" t="n"/>
      <c r="AE1007" s="15" t="n"/>
      <c r="AF1007" s="15" t="n"/>
      <c r="AG1007" s="15" t="n"/>
      <c r="AH1007" s="15" t="n"/>
      <c r="AI1007" s="15" t="n"/>
    </row>
    <row r="1008">
      <c r="A1008" s="4" t="inlineStr">
        <is>
          <t>Студент1.18</t>
        </is>
      </c>
      <c r="B1008" s="4" t="inlineStr"/>
      <c r="C1008" s="4" t="n"/>
      <c r="D1008" s="4" t="n"/>
      <c r="E1008" s="4" t="n"/>
      <c r="F1008" s="15" t="n"/>
      <c r="G1008" s="15" t="n"/>
      <c r="H1008" s="15" t="n"/>
      <c r="I1008" s="15" t="n"/>
      <c r="J1008" s="15" t="n"/>
      <c r="K1008" s="15" t="n"/>
      <c r="L1008" s="15" t="n"/>
      <c r="M1008" s="15" t="n"/>
      <c r="N1008" s="15" t="n"/>
      <c r="O1008" s="15" t="n"/>
      <c r="P1008" s="15" t="n"/>
      <c r="Q1008" s="15" t="n"/>
      <c r="R1008" s="15" t="n"/>
      <c r="S1008" s="15" t="n"/>
      <c r="T1008" s="15" t="n"/>
      <c r="U1008" s="15" t="n"/>
      <c r="V1008" s="15" t="n"/>
      <c r="W1008" s="15" t="n"/>
      <c r="X1008" s="15" t="n"/>
      <c r="Y1008" s="15" t="n"/>
      <c r="Z1008" s="15" t="n"/>
      <c r="AA1008" s="15" t="n"/>
      <c r="AB1008" s="15" t="n"/>
      <c r="AC1008" s="15" t="n"/>
      <c r="AD1008" s="15" t="n"/>
      <c r="AE1008" s="15" t="n"/>
      <c r="AF1008" s="15" t="n"/>
      <c r="AG1008" s="15" t="n"/>
      <c r="AH1008" s="15" t="n"/>
      <c r="AI1008" s="15" t="n"/>
    </row>
    <row r="1009">
      <c r="A1009" s="4" t="inlineStr">
        <is>
          <t>Студент1.19</t>
        </is>
      </c>
      <c r="B1009" s="4" t="inlineStr"/>
      <c r="C1009" s="4" t="n"/>
      <c r="D1009" s="4" t="n"/>
      <c r="E1009" s="4" t="n"/>
      <c r="F1009" s="15" t="n"/>
      <c r="G1009" s="15" t="n"/>
      <c r="H1009" s="15" t="n"/>
      <c r="I1009" s="15" t="n"/>
      <c r="J1009" s="15" t="n"/>
      <c r="K1009" s="15" t="n"/>
      <c r="L1009" s="15" t="n"/>
      <c r="M1009" s="15" t="n"/>
      <c r="N1009" s="15" t="n"/>
      <c r="O1009" s="15" t="n"/>
      <c r="P1009" s="15" t="n"/>
      <c r="Q1009" s="15" t="n"/>
      <c r="R1009" s="15" t="n"/>
      <c r="S1009" s="15" t="n"/>
      <c r="T1009" s="15" t="n"/>
      <c r="U1009" s="15" t="n"/>
      <c r="V1009" s="15" t="n"/>
      <c r="W1009" s="15" t="n"/>
      <c r="X1009" s="15" t="n"/>
      <c r="Y1009" s="15" t="n"/>
      <c r="Z1009" s="15" t="n"/>
      <c r="AA1009" s="15" t="n"/>
      <c r="AB1009" s="15" t="n"/>
      <c r="AC1009" s="15" t="n"/>
      <c r="AD1009" s="15" t="n"/>
      <c r="AE1009" s="15" t="n"/>
      <c r="AF1009" s="15" t="n"/>
      <c r="AG1009" s="15" t="n"/>
      <c r="AH1009" s="15" t="n"/>
      <c r="AI1009" s="15" t="n"/>
    </row>
    <row r="1010">
      <c r="A1010" s="4" t="inlineStr">
        <is>
          <t>Студент1.20</t>
        </is>
      </c>
      <c r="B1010" s="4" t="inlineStr"/>
      <c r="C1010" s="4" t="n"/>
      <c r="D1010" s="4" t="n"/>
      <c r="E1010" s="4" t="n"/>
      <c r="F1010" s="15" t="n"/>
      <c r="G1010" s="15" t="n"/>
      <c r="H1010" s="15" t="n"/>
      <c r="I1010" s="15" t="n"/>
      <c r="J1010" s="15" t="n"/>
      <c r="K1010" s="15" t="n"/>
      <c r="L1010" s="15" t="n"/>
      <c r="M1010" s="15" t="n"/>
      <c r="N1010" s="15" t="n"/>
      <c r="O1010" s="15" t="n"/>
      <c r="P1010" s="15" t="n"/>
      <c r="Q1010" s="15" t="n"/>
      <c r="R1010" s="15" t="n"/>
      <c r="S1010" s="15" t="n"/>
      <c r="T1010" s="15" t="n"/>
      <c r="U1010" s="15" t="n"/>
      <c r="V1010" s="15" t="n"/>
      <c r="W1010" s="15" t="n"/>
      <c r="X1010" s="15" t="n"/>
      <c r="Y1010" s="15" t="n"/>
      <c r="Z1010" s="15" t="n"/>
      <c r="AA1010" s="15" t="n"/>
      <c r="AB1010" s="15" t="n"/>
      <c r="AC1010" s="15" t="n"/>
      <c r="AD1010" s="15" t="n"/>
      <c r="AE1010" s="15" t="n"/>
      <c r="AF1010" s="15" t="n"/>
      <c r="AG1010" s="15" t="n"/>
      <c r="AH1010" s="15" t="n"/>
      <c r="AI1010" s="15" t="n"/>
    </row>
    <row r="1011">
      <c r="A1011" s="4" t="inlineStr">
        <is>
          <t>Студент1.21</t>
        </is>
      </c>
      <c r="B1011" s="4" t="inlineStr"/>
      <c r="C1011" s="4" t="n"/>
      <c r="D1011" s="4" t="n"/>
      <c r="E1011" s="4" t="n"/>
      <c r="F1011" s="15" t="n"/>
      <c r="G1011" s="15" t="n"/>
      <c r="H1011" s="15" t="n"/>
      <c r="I1011" s="15" t="n"/>
      <c r="J1011" s="15" t="n"/>
      <c r="K1011" s="15" t="n"/>
      <c r="L1011" s="15" t="n"/>
      <c r="M1011" s="15" t="n"/>
      <c r="N1011" s="15" t="n"/>
      <c r="O1011" s="15" t="n"/>
      <c r="P1011" s="15" t="n"/>
      <c r="Q1011" s="15" t="n"/>
      <c r="R1011" s="15" t="n"/>
      <c r="S1011" s="15" t="n"/>
      <c r="T1011" s="15" t="n"/>
      <c r="U1011" s="15" t="n"/>
      <c r="V1011" s="15" t="n"/>
      <c r="W1011" s="15" t="n"/>
      <c r="X1011" s="15" t="n"/>
      <c r="Y1011" s="15" t="n"/>
      <c r="Z1011" s="15" t="n"/>
      <c r="AA1011" s="15" t="n"/>
      <c r="AB1011" s="15" t="n"/>
      <c r="AC1011" s="15" t="n"/>
      <c r="AD1011" s="15" t="n"/>
      <c r="AE1011" s="15" t="n"/>
      <c r="AF1011" s="15" t="n"/>
      <c r="AG1011" s="15" t="n"/>
      <c r="AH1011" s="15" t="n"/>
      <c r="AI1011" s="15" t="n"/>
    </row>
    <row r="1012">
      <c r="A1012" s="4" t="inlineStr">
        <is>
          <t>Студент1.22</t>
        </is>
      </c>
      <c r="B1012" s="4" t="inlineStr"/>
      <c r="C1012" s="4" t="n"/>
      <c r="D1012" s="4" t="n"/>
      <c r="E1012" s="4" t="n"/>
      <c r="F1012" s="15" t="n"/>
      <c r="G1012" s="15" t="n"/>
      <c r="H1012" s="15" t="n"/>
      <c r="I1012" s="15" t="n"/>
      <c r="J1012" s="15" t="n"/>
      <c r="K1012" s="15" t="n"/>
      <c r="L1012" s="15" t="n"/>
      <c r="M1012" s="15" t="n"/>
      <c r="N1012" s="15" t="n"/>
      <c r="O1012" s="15" t="n"/>
      <c r="P1012" s="15" t="n"/>
      <c r="Q1012" s="15" t="n"/>
      <c r="R1012" s="15" t="n"/>
      <c r="S1012" s="15" t="n"/>
      <c r="T1012" s="15" t="n"/>
      <c r="U1012" s="15" t="n"/>
      <c r="V1012" s="15" t="n"/>
      <c r="W1012" s="15" t="n"/>
      <c r="X1012" s="15" t="n"/>
      <c r="Y1012" s="15" t="n"/>
      <c r="Z1012" s="15" t="n"/>
      <c r="AA1012" s="15" t="n"/>
      <c r="AB1012" s="15" t="n"/>
      <c r="AC1012" s="15" t="n"/>
      <c r="AD1012" s="15" t="n"/>
      <c r="AE1012" s="15" t="n"/>
      <c r="AF1012" s="15" t="n"/>
      <c r="AG1012" s="15" t="n"/>
      <c r="AH1012" s="15" t="n"/>
      <c r="AI1012" s="15" t="n"/>
    </row>
    <row r="1013">
      <c r="A1013" s="4" t="inlineStr">
        <is>
          <t>Студент1.23</t>
        </is>
      </c>
      <c r="B1013" s="4" t="inlineStr"/>
      <c r="C1013" s="4" t="n"/>
      <c r="D1013" s="4" t="n"/>
      <c r="E1013" s="4" t="n"/>
      <c r="F1013" s="15" t="n"/>
      <c r="G1013" s="15" t="n"/>
      <c r="H1013" s="15" t="n"/>
      <c r="I1013" s="15" t="n"/>
      <c r="J1013" s="15" t="n"/>
      <c r="K1013" s="15" t="n"/>
      <c r="L1013" s="15" t="n"/>
      <c r="M1013" s="15" t="n"/>
      <c r="N1013" s="15" t="n"/>
      <c r="O1013" s="15" t="n"/>
      <c r="P1013" s="15" t="n"/>
      <c r="Q1013" s="15" t="n"/>
      <c r="R1013" s="15" t="n"/>
      <c r="S1013" s="15" t="n"/>
      <c r="T1013" s="15" t="n"/>
      <c r="U1013" s="15" t="n"/>
      <c r="V1013" s="15" t="n"/>
      <c r="W1013" s="15" t="n"/>
      <c r="X1013" s="15" t="n"/>
      <c r="Y1013" s="15" t="n"/>
      <c r="Z1013" s="15" t="n"/>
      <c r="AA1013" s="15" t="n"/>
      <c r="AB1013" s="15" t="n"/>
      <c r="AC1013" s="15" t="n"/>
      <c r="AD1013" s="15" t="n"/>
      <c r="AE1013" s="15" t="n"/>
      <c r="AF1013" s="15" t="n"/>
      <c r="AG1013" s="15" t="n"/>
      <c r="AH1013" s="15" t="n"/>
      <c r="AI1013" s="15" t="n"/>
    </row>
    <row r="1014">
      <c r="A1014" s="4" t="inlineStr">
        <is>
          <t>Студент1.24</t>
        </is>
      </c>
      <c r="B1014" s="4" t="inlineStr"/>
      <c r="C1014" s="4" t="n"/>
      <c r="D1014" s="4" t="n"/>
      <c r="E1014" s="4" t="n"/>
      <c r="F1014" s="15" t="n"/>
      <c r="G1014" s="15" t="n"/>
      <c r="H1014" s="15" t="n"/>
      <c r="I1014" s="15" t="n"/>
      <c r="J1014" s="15" t="n"/>
      <c r="K1014" s="15" t="n"/>
      <c r="L1014" s="15" t="n"/>
      <c r="M1014" s="15" t="n"/>
      <c r="N1014" s="15" t="n"/>
      <c r="O1014" s="15" t="n"/>
      <c r="P1014" s="15" t="n"/>
      <c r="Q1014" s="15" t="n"/>
      <c r="R1014" s="15" t="n"/>
      <c r="S1014" s="15" t="n"/>
      <c r="T1014" s="15" t="n"/>
      <c r="U1014" s="15" t="n"/>
      <c r="V1014" s="15" t="n"/>
      <c r="W1014" s="15" t="n"/>
      <c r="X1014" s="15" t="n"/>
      <c r="Y1014" s="15" t="n"/>
      <c r="Z1014" s="15" t="n"/>
      <c r="AA1014" s="15" t="n"/>
      <c r="AB1014" s="15" t="n"/>
      <c r="AC1014" s="15" t="n"/>
      <c r="AD1014" s="15" t="n"/>
      <c r="AE1014" s="15" t="n"/>
      <c r="AF1014" s="15" t="n"/>
      <c r="AG1014" s="15" t="n"/>
      <c r="AH1014" s="15" t="n"/>
      <c r="AI1014" s="15" t="n"/>
    </row>
    <row r="1015">
      <c r="A1015" s="4" t="inlineStr">
        <is>
          <t>Студент1.25</t>
        </is>
      </c>
      <c r="B1015" s="4" t="inlineStr"/>
      <c r="C1015" s="4" t="n"/>
      <c r="D1015" s="4" t="n"/>
      <c r="E1015" s="4" t="n"/>
      <c r="F1015" s="15" t="n"/>
      <c r="G1015" s="15" t="n"/>
      <c r="H1015" s="15" t="n"/>
      <c r="I1015" s="15" t="n"/>
      <c r="J1015" s="15" t="n"/>
      <c r="K1015" s="15" t="n"/>
      <c r="L1015" s="15" t="n"/>
      <c r="M1015" s="15" t="n"/>
      <c r="N1015" s="15" t="n"/>
      <c r="O1015" s="15" t="n"/>
      <c r="P1015" s="15" t="n"/>
      <c r="Q1015" s="15" t="n"/>
      <c r="R1015" s="15" t="n"/>
      <c r="S1015" s="15" t="n"/>
      <c r="T1015" s="15" t="n"/>
      <c r="U1015" s="15" t="n"/>
      <c r="V1015" s="15" t="n"/>
      <c r="W1015" s="15" t="n"/>
      <c r="X1015" s="15" t="n"/>
      <c r="Y1015" s="15" t="n"/>
      <c r="Z1015" s="15" t="n"/>
      <c r="AA1015" s="15" t="n"/>
      <c r="AB1015" s="15" t="n"/>
      <c r="AC1015" s="15" t="n"/>
      <c r="AD1015" s="15" t="n"/>
      <c r="AE1015" s="15" t="n"/>
      <c r="AF1015" s="15" t="n"/>
      <c r="AG1015" s="15" t="n"/>
      <c r="AH1015" s="15" t="n"/>
      <c r="AI1015" s="15" t="n"/>
    </row>
    <row r="1016">
      <c r="A1016" s="4" t="inlineStr">
        <is>
          <t>Студент1.26</t>
        </is>
      </c>
      <c r="B1016" s="4" t="inlineStr"/>
      <c r="C1016" s="4" t="n"/>
      <c r="D1016" s="4" t="n"/>
      <c r="E1016" s="4" t="n"/>
      <c r="F1016" s="15" t="n"/>
      <c r="G1016" s="15" t="n"/>
      <c r="H1016" s="15" t="n"/>
      <c r="I1016" s="15" t="n"/>
      <c r="J1016" s="15" t="n"/>
      <c r="K1016" s="15" t="n"/>
      <c r="L1016" s="15" t="n"/>
      <c r="M1016" s="15" t="n"/>
      <c r="N1016" s="15" t="n"/>
      <c r="O1016" s="15" t="n"/>
      <c r="P1016" s="15" t="n"/>
      <c r="Q1016" s="15" t="n"/>
      <c r="R1016" s="15" t="n"/>
      <c r="S1016" s="15" t="n"/>
      <c r="T1016" s="15" t="n"/>
      <c r="U1016" s="15" t="n"/>
      <c r="V1016" s="15" t="n"/>
      <c r="W1016" s="15" t="n"/>
      <c r="X1016" s="15" t="n"/>
      <c r="Y1016" s="15" t="n"/>
      <c r="Z1016" s="15" t="n"/>
      <c r="AA1016" s="15" t="n"/>
      <c r="AB1016" s="15" t="n"/>
      <c r="AC1016" s="15" t="n"/>
      <c r="AD1016" s="15" t="n"/>
      <c r="AE1016" s="15" t="n"/>
      <c r="AF1016" s="15" t="n"/>
      <c r="AG1016" s="15" t="n"/>
      <c r="AH1016" s="15" t="n"/>
      <c r="AI1016" s="15" t="n"/>
    </row>
    <row r="1017">
      <c r="A1017" s="4" t="inlineStr">
        <is>
          <t>Студент1.27</t>
        </is>
      </c>
      <c r="B1017" s="4" t="inlineStr"/>
      <c r="C1017" s="4" t="n"/>
      <c r="D1017" s="4" t="n"/>
      <c r="E1017" s="4" t="n"/>
      <c r="F1017" s="15" t="n"/>
      <c r="G1017" s="15" t="n"/>
      <c r="H1017" s="15" t="n"/>
      <c r="I1017" s="15" t="n"/>
      <c r="J1017" s="15" t="n"/>
      <c r="K1017" s="15" t="n"/>
      <c r="L1017" s="15" t="n"/>
      <c r="M1017" s="15" t="n"/>
      <c r="N1017" s="15" t="n"/>
      <c r="O1017" s="15" t="n"/>
      <c r="P1017" s="15" t="n"/>
      <c r="Q1017" s="15" t="n"/>
      <c r="R1017" s="15" t="n"/>
      <c r="S1017" s="15" t="n"/>
      <c r="T1017" s="15" t="n"/>
      <c r="U1017" s="15" t="n"/>
      <c r="V1017" s="15" t="n"/>
      <c r="W1017" s="15" t="n"/>
      <c r="X1017" s="15" t="n"/>
      <c r="Y1017" s="15" t="n"/>
      <c r="Z1017" s="15" t="n"/>
      <c r="AA1017" s="15" t="n"/>
      <c r="AB1017" s="15" t="n"/>
      <c r="AC1017" s="15" t="n"/>
      <c r="AD1017" s="15" t="n"/>
      <c r="AE1017" s="15" t="n"/>
      <c r="AF1017" s="15" t="n"/>
      <c r="AG1017" s="15" t="n"/>
      <c r="AH1017" s="15" t="n"/>
      <c r="AI1017" s="15" t="n"/>
    </row>
    <row r="1018">
      <c r="A1018" s="4" t="inlineStr">
        <is>
          <t>Студент1.28</t>
        </is>
      </c>
      <c r="B1018" s="4" t="inlineStr"/>
      <c r="C1018" s="4" t="n"/>
      <c r="D1018" s="4" t="n"/>
      <c r="E1018" s="4" t="n"/>
      <c r="F1018" s="15" t="n"/>
      <c r="G1018" s="15" t="n"/>
      <c r="H1018" s="15" t="n"/>
      <c r="I1018" s="15" t="n"/>
      <c r="J1018" s="15" t="n"/>
      <c r="K1018" s="15" t="n"/>
      <c r="L1018" s="15" t="n"/>
      <c r="M1018" s="15" t="n"/>
      <c r="N1018" s="15" t="n"/>
      <c r="O1018" s="15" t="n"/>
      <c r="P1018" s="15" t="n"/>
      <c r="Q1018" s="15" t="n"/>
      <c r="R1018" s="15" t="n"/>
      <c r="S1018" s="15" t="n"/>
      <c r="T1018" s="15" t="n"/>
      <c r="U1018" s="15" t="n"/>
      <c r="V1018" s="15" t="n"/>
      <c r="W1018" s="15" t="n"/>
      <c r="X1018" s="15" t="n"/>
      <c r="Y1018" s="15" t="n"/>
      <c r="Z1018" s="15" t="n"/>
      <c r="AA1018" s="15" t="n"/>
      <c r="AB1018" s="15" t="n"/>
      <c r="AC1018" s="15" t="n"/>
      <c r="AD1018" s="15" t="n"/>
      <c r="AE1018" s="15" t="n"/>
      <c r="AF1018" s="15" t="n"/>
      <c r="AG1018" s="15" t="n"/>
      <c r="AH1018" s="15" t="n"/>
      <c r="AI1018" s="15" t="n"/>
    </row>
    <row r="1019">
      <c r="A1019" s="4" t="inlineStr">
        <is>
          <t>Студент1.29</t>
        </is>
      </c>
      <c r="B1019" s="4" t="inlineStr"/>
      <c r="C1019" s="4" t="n"/>
      <c r="D1019" s="4" t="n"/>
      <c r="E1019" s="4" t="n"/>
      <c r="F1019" s="15" t="n"/>
      <c r="G1019" s="15" t="n"/>
      <c r="H1019" s="15" t="n"/>
      <c r="I1019" s="15" t="n"/>
      <c r="J1019" s="15" t="n"/>
      <c r="K1019" s="15" t="n"/>
      <c r="L1019" s="15" t="n"/>
      <c r="M1019" s="15" t="n"/>
      <c r="N1019" s="15" t="n"/>
      <c r="O1019" s="15" t="n"/>
      <c r="P1019" s="15" t="n"/>
      <c r="Q1019" s="15" t="n"/>
      <c r="R1019" s="15" t="n"/>
      <c r="S1019" s="15" t="n"/>
      <c r="T1019" s="15" t="n"/>
      <c r="U1019" s="15" t="n"/>
      <c r="V1019" s="15" t="n"/>
      <c r="W1019" s="15" t="n"/>
      <c r="X1019" s="15" t="n"/>
      <c r="Y1019" s="15" t="n"/>
      <c r="Z1019" s="15" t="n"/>
      <c r="AA1019" s="15" t="n"/>
      <c r="AB1019" s="15" t="n"/>
      <c r="AC1019" s="15" t="n"/>
      <c r="AD1019" s="15" t="n"/>
      <c r="AE1019" s="15" t="n"/>
      <c r="AF1019" s="15" t="n"/>
      <c r="AG1019" s="15" t="n"/>
      <c r="AH1019" s="15" t="n"/>
      <c r="AI1019" s="15" t="n"/>
    </row>
    <row r="1020">
      <c r="A1020" s="4" t="inlineStr">
        <is>
          <t>Студент1.30</t>
        </is>
      </c>
      <c r="B1020" s="4" t="inlineStr"/>
      <c r="C1020" s="4" t="n"/>
      <c r="D1020" s="4" t="n"/>
      <c r="E1020" s="4" t="n"/>
      <c r="F1020" s="15" t="n"/>
      <c r="G1020" s="15" t="n"/>
      <c r="H1020" s="15" t="n"/>
      <c r="I1020" s="15" t="n"/>
      <c r="J1020" s="15" t="n"/>
      <c r="K1020" s="15" t="n"/>
      <c r="L1020" s="15" t="n"/>
      <c r="M1020" s="15" t="n"/>
      <c r="N1020" s="15" t="n"/>
      <c r="O1020" s="15" t="n"/>
      <c r="P1020" s="15" t="n"/>
      <c r="Q1020" s="15" t="n"/>
      <c r="R1020" s="15" t="n"/>
      <c r="S1020" s="15" t="n"/>
      <c r="T1020" s="15" t="n"/>
      <c r="U1020" s="15" t="n"/>
      <c r="V1020" s="15" t="n"/>
      <c r="W1020" s="15" t="n"/>
      <c r="X1020" s="15" t="n"/>
      <c r="Y1020" s="15" t="n"/>
      <c r="Z1020" s="15" t="n"/>
      <c r="AA1020" s="15" t="n"/>
      <c r="AB1020" s="15" t="n"/>
      <c r="AC1020" s="15" t="n"/>
      <c r="AD1020" s="15" t="n"/>
      <c r="AE1020" s="15" t="n"/>
      <c r="AF1020" s="15" t="n"/>
      <c r="AG1020" s="15" t="n"/>
      <c r="AH1020" s="15" t="n"/>
      <c r="AI1020" s="15" t="n"/>
    </row>
  </sheetData>
  <mergeCells count="32">
    <mergeCell ref="A173:AI173"/>
    <mergeCell ref="A344:AI344"/>
    <mergeCell ref="A820:AI820"/>
    <mergeCell ref="A480:AI480"/>
    <mergeCell ref="A785:AI785"/>
    <mergeCell ref="A412:AI412"/>
    <mergeCell ref="A276:AI276"/>
    <mergeCell ref="A956:AI956"/>
    <mergeCell ref="A888:AI888"/>
    <mergeCell ref="A1:AI1"/>
    <mergeCell ref="A921:AI921"/>
    <mergeCell ref="A241:AI241"/>
    <mergeCell ref="A548:AI548"/>
    <mergeCell ref="A649:AI649"/>
    <mergeCell ref="A581:AI581"/>
    <mergeCell ref="A37:AI37"/>
    <mergeCell ref="A208:AI208"/>
    <mergeCell ref="A752:AI752"/>
    <mergeCell ref="A717:AI717"/>
    <mergeCell ref="A105:AI105"/>
    <mergeCell ref="A2:AI2"/>
    <mergeCell ref="A309:AI309"/>
    <mergeCell ref="A616:AI616"/>
    <mergeCell ref="A989:AI989"/>
    <mergeCell ref="A377:AI377"/>
    <mergeCell ref="A513:AI513"/>
    <mergeCell ref="A4:AI4"/>
    <mergeCell ref="A684:AI684"/>
    <mergeCell ref="A140:AI140"/>
    <mergeCell ref="A72:AI72"/>
    <mergeCell ref="A853:AI853"/>
    <mergeCell ref="A445:AI445"/>
  </mergeCells>
  <conditionalFormatting sqref="C6:C35">
    <cfRule type="cellIs" priority="1" operator="greaterThanOrEqual" dxfId="0">
      <formula>21</formula>
    </cfRule>
    <cfRule type="cellIs" priority="2" operator="between" dxfId="1">
      <formula>15</formula>
      <formula>20</formula>
    </cfRule>
    <cfRule type="cellIs" priority="3" operator="lessThan" dxfId="2">
      <formula>15</formula>
    </cfRule>
  </conditionalFormatting>
  <conditionalFormatting sqref="F6:AI35">
    <cfRule type="expression" priority="4" dxfId="3">
      <formula>F6="+"</formula>
    </cfRule>
    <cfRule type="expression" priority="5" dxfId="4">
      <formula>F6="1"</formula>
    </cfRule>
    <cfRule type="expression" priority="6" dxfId="5">
      <formula>F6="-"</formula>
    </cfRule>
  </conditionalFormatting>
  <conditionalFormatting sqref="F39:AI68">
    <cfRule type="expression" priority="7" dxfId="3">
      <formula>F39="+"</formula>
    </cfRule>
    <cfRule type="expression" priority="8" dxfId="4">
      <formula>F39="1"</formula>
    </cfRule>
    <cfRule type="expression" priority="9" dxfId="5">
      <formula>F39="-"</formula>
    </cfRule>
  </conditionalFormatting>
  <conditionalFormatting sqref="C74:C103">
    <cfRule type="cellIs" priority="10" operator="greaterThanOrEqual" dxfId="0">
      <formula>21</formula>
    </cfRule>
    <cfRule type="cellIs" priority="11" operator="between" dxfId="1">
      <formula>15</formula>
      <formula>20</formula>
    </cfRule>
    <cfRule type="cellIs" priority="12" operator="lessThan" dxfId="2">
      <formula>15</formula>
    </cfRule>
  </conditionalFormatting>
  <conditionalFormatting sqref="F74:AI103">
    <cfRule type="expression" priority="13" dxfId="3">
      <formula>F74="+"</formula>
    </cfRule>
    <cfRule type="expression" priority="14" dxfId="4">
      <formula>F74="1"</formula>
    </cfRule>
    <cfRule type="expression" priority="15" dxfId="5">
      <formula>F74="-"</formula>
    </cfRule>
  </conditionalFormatting>
  <conditionalFormatting sqref="F107:AI136">
    <cfRule type="expression" priority="16" dxfId="3">
      <formula>F107="+"</formula>
    </cfRule>
    <cfRule type="expression" priority="17" dxfId="4">
      <formula>F107="1"</formula>
    </cfRule>
    <cfRule type="expression" priority="18" dxfId="5">
      <formula>F107="-"</formula>
    </cfRule>
  </conditionalFormatting>
  <conditionalFormatting sqref="C142:C171">
    <cfRule type="cellIs" priority="19" operator="greaterThanOrEqual" dxfId="0">
      <formula>21</formula>
    </cfRule>
    <cfRule type="cellIs" priority="20" operator="between" dxfId="1">
      <formula>15</formula>
      <formula>20</formula>
    </cfRule>
    <cfRule type="cellIs" priority="21" operator="lessThan" dxfId="2">
      <formula>15</formula>
    </cfRule>
  </conditionalFormatting>
  <conditionalFormatting sqref="F142:AI171">
    <cfRule type="expression" priority="22" dxfId="3">
      <formula>F142="+"</formula>
    </cfRule>
    <cfRule type="expression" priority="23" dxfId="4">
      <formula>F142="1"</formula>
    </cfRule>
    <cfRule type="expression" priority="24" dxfId="5">
      <formula>F142="-"</formula>
    </cfRule>
  </conditionalFormatting>
  <conditionalFormatting sqref="F175:AI204">
    <cfRule type="expression" priority="25" dxfId="3">
      <formula>F175="+"</formula>
    </cfRule>
    <cfRule type="expression" priority="26" dxfId="4">
      <formula>F175="1"</formula>
    </cfRule>
    <cfRule type="expression" priority="27" dxfId="5">
      <formula>F175="-"</formula>
    </cfRule>
  </conditionalFormatting>
  <conditionalFormatting sqref="C210:C239">
    <cfRule type="cellIs" priority="28" operator="greaterThanOrEqual" dxfId="0">
      <formula>21</formula>
    </cfRule>
    <cfRule type="cellIs" priority="29" operator="between" dxfId="1">
      <formula>15</formula>
      <formula>20</formula>
    </cfRule>
    <cfRule type="cellIs" priority="30" operator="lessThan" dxfId="2">
      <formula>15</formula>
    </cfRule>
  </conditionalFormatting>
  <conditionalFormatting sqref="F210:AI239">
    <cfRule type="expression" priority="31" dxfId="3">
      <formula>F210="+"</formula>
    </cfRule>
    <cfRule type="expression" priority="32" dxfId="4">
      <formula>F210="1"</formula>
    </cfRule>
    <cfRule type="expression" priority="33" dxfId="5">
      <formula>F210="-"</formula>
    </cfRule>
  </conditionalFormatting>
  <conditionalFormatting sqref="F243:AI272">
    <cfRule type="expression" priority="34" dxfId="3">
      <formula>F243="+"</formula>
    </cfRule>
    <cfRule type="expression" priority="35" dxfId="4">
      <formula>F243="1"</formula>
    </cfRule>
    <cfRule type="expression" priority="36" dxfId="5">
      <formula>F243="-"</formula>
    </cfRule>
  </conditionalFormatting>
  <conditionalFormatting sqref="C278:C307">
    <cfRule type="cellIs" priority="37" operator="greaterThanOrEqual" dxfId="0">
      <formula>21</formula>
    </cfRule>
    <cfRule type="cellIs" priority="38" operator="between" dxfId="1">
      <formula>15</formula>
      <formula>20</formula>
    </cfRule>
    <cfRule type="cellIs" priority="39" operator="lessThan" dxfId="2">
      <formula>15</formula>
    </cfRule>
  </conditionalFormatting>
  <conditionalFormatting sqref="F278:AI307">
    <cfRule type="expression" priority="40" dxfId="3">
      <formula>F278="+"</formula>
    </cfRule>
    <cfRule type="expression" priority="41" dxfId="4">
      <formula>F278="1"</formula>
    </cfRule>
    <cfRule type="expression" priority="42" dxfId="5">
      <formula>F278="-"</formula>
    </cfRule>
  </conditionalFormatting>
  <conditionalFormatting sqref="F311:AI340">
    <cfRule type="expression" priority="43" dxfId="3">
      <formula>F311="+"</formula>
    </cfRule>
    <cfRule type="expression" priority="44" dxfId="4">
      <formula>F311="1"</formula>
    </cfRule>
    <cfRule type="expression" priority="45" dxfId="5">
      <formula>F311="-"</formula>
    </cfRule>
  </conditionalFormatting>
  <conditionalFormatting sqref="C346:C375">
    <cfRule type="cellIs" priority="46" operator="greaterThanOrEqual" dxfId="0">
      <formula>21</formula>
    </cfRule>
    <cfRule type="cellIs" priority="47" operator="between" dxfId="1">
      <formula>15</formula>
      <formula>20</formula>
    </cfRule>
    <cfRule type="cellIs" priority="48" operator="lessThan" dxfId="2">
      <formula>15</formula>
    </cfRule>
  </conditionalFormatting>
  <conditionalFormatting sqref="F346:AI375">
    <cfRule type="expression" priority="49" dxfId="3">
      <formula>F346="+"</formula>
    </cfRule>
    <cfRule type="expression" priority="50" dxfId="4">
      <formula>F346="1"</formula>
    </cfRule>
    <cfRule type="expression" priority="51" dxfId="5">
      <formula>F346="-"</formula>
    </cfRule>
  </conditionalFormatting>
  <conditionalFormatting sqref="F379:AI408">
    <cfRule type="expression" priority="52" dxfId="3">
      <formula>F379="+"</formula>
    </cfRule>
    <cfRule type="expression" priority="53" dxfId="4">
      <formula>F379="1"</formula>
    </cfRule>
    <cfRule type="expression" priority="54" dxfId="5">
      <formula>F379="-"</formula>
    </cfRule>
  </conditionalFormatting>
  <conditionalFormatting sqref="C414:C443">
    <cfRule type="cellIs" priority="55" operator="greaterThanOrEqual" dxfId="0">
      <formula>21</formula>
    </cfRule>
    <cfRule type="cellIs" priority="56" operator="between" dxfId="1">
      <formula>15</formula>
      <formula>20</formula>
    </cfRule>
    <cfRule type="cellIs" priority="57" operator="lessThan" dxfId="2">
      <formula>15</formula>
    </cfRule>
  </conditionalFormatting>
  <conditionalFormatting sqref="F414:AI443">
    <cfRule type="expression" priority="58" dxfId="3">
      <formula>F414="+"</formula>
    </cfRule>
    <cfRule type="expression" priority="59" dxfId="4">
      <formula>F414="1"</formula>
    </cfRule>
    <cfRule type="expression" priority="60" dxfId="5">
      <formula>F414="-"</formula>
    </cfRule>
  </conditionalFormatting>
  <conditionalFormatting sqref="F447:AI476">
    <cfRule type="expression" priority="61" dxfId="3">
      <formula>F447="+"</formula>
    </cfRule>
    <cfRule type="expression" priority="62" dxfId="4">
      <formula>F447="1"</formula>
    </cfRule>
    <cfRule type="expression" priority="63" dxfId="5">
      <formula>F447="-"</formula>
    </cfRule>
  </conditionalFormatting>
  <conditionalFormatting sqref="C482:C511">
    <cfRule type="cellIs" priority="64" operator="greaterThanOrEqual" dxfId="0">
      <formula>21</formula>
    </cfRule>
    <cfRule type="cellIs" priority="65" operator="between" dxfId="1">
      <formula>15</formula>
      <formula>20</formula>
    </cfRule>
    <cfRule type="cellIs" priority="66" operator="lessThan" dxfId="2">
      <formula>15</formula>
    </cfRule>
  </conditionalFormatting>
  <conditionalFormatting sqref="F482:AI511">
    <cfRule type="expression" priority="67" dxfId="3">
      <formula>F482="+"</formula>
    </cfRule>
    <cfRule type="expression" priority="68" dxfId="4">
      <formula>F482="1"</formula>
    </cfRule>
    <cfRule type="expression" priority="69" dxfId="5">
      <formula>F482="-"</formula>
    </cfRule>
  </conditionalFormatting>
  <conditionalFormatting sqref="F515:AI544">
    <cfRule type="expression" priority="70" dxfId="3">
      <formula>F515="+"</formula>
    </cfRule>
    <cfRule type="expression" priority="71" dxfId="4">
      <formula>F515="1"</formula>
    </cfRule>
    <cfRule type="expression" priority="72" dxfId="5">
      <formula>F515="-"</formula>
    </cfRule>
  </conditionalFormatting>
  <conditionalFormatting sqref="C550:C579">
    <cfRule type="cellIs" priority="73" operator="greaterThanOrEqual" dxfId="0">
      <formula>21</formula>
    </cfRule>
    <cfRule type="cellIs" priority="74" operator="between" dxfId="1">
      <formula>15</formula>
      <formula>20</formula>
    </cfRule>
    <cfRule type="cellIs" priority="75" operator="lessThan" dxfId="2">
      <formula>15</formula>
    </cfRule>
  </conditionalFormatting>
  <conditionalFormatting sqref="F550:AI579">
    <cfRule type="expression" priority="76" dxfId="3">
      <formula>F550="+"</formula>
    </cfRule>
    <cfRule type="expression" priority="77" dxfId="4">
      <formula>F550="1"</formula>
    </cfRule>
    <cfRule type="expression" priority="78" dxfId="5">
      <formula>F550="-"</formula>
    </cfRule>
  </conditionalFormatting>
  <conditionalFormatting sqref="F583:AI612">
    <cfRule type="expression" priority="79" dxfId="3">
      <formula>F583="+"</formula>
    </cfRule>
    <cfRule type="expression" priority="80" dxfId="4">
      <formula>F583="1"</formula>
    </cfRule>
    <cfRule type="expression" priority="81" dxfId="5">
      <formula>F583="-"</formula>
    </cfRule>
  </conditionalFormatting>
  <conditionalFormatting sqref="C618:C647">
    <cfRule type="cellIs" priority="82" operator="greaterThanOrEqual" dxfId="0">
      <formula>21</formula>
    </cfRule>
    <cfRule type="cellIs" priority="83" operator="between" dxfId="1">
      <formula>15</formula>
      <formula>20</formula>
    </cfRule>
    <cfRule type="cellIs" priority="84" operator="lessThan" dxfId="2">
      <formula>15</formula>
    </cfRule>
  </conditionalFormatting>
  <conditionalFormatting sqref="F618:AI647">
    <cfRule type="expression" priority="85" dxfId="3">
      <formula>F618="+"</formula>
    </cfRule>
    <cfRule type="expression" priority="86" dxfId="4">
      <formula>F618="1"</formula>
    </cfRule>
    <cfRule type="expression" priority="87" dxfId="5">
      <formula>F618="-"</formula>
    </cfRule>
  </conditionalFormatting>
  <conditionalFormatting sqref="F651:AI680">
    <cfRule type="expression" priority="88" dxfId="3">
      <formula>F651="+"</formula>
    </cfRule>
    <cfRule type="expression" priority="89" dxfId="4">
      <formula>F651="1"</formula>
    </cfRule>
    <cfRule type="expression" priority="90" dxfId="5">
      <formula>F651="-"</formula>
    </cfRule>
  </conditionalFormatting>
  <conditionalFormatting sqref="C686:C715">
    <cfRule type="cellIs" priority="91" operator="greaterThanOrEqual" dxfId="0">
      <formula>21</formula>
    </cfRule>
    <cfRule type="cellIs" priority="92" operator="between" dxfId="1">
      <formula>15</formula>
      <formula>20</formula>
    </cfRule>
    <cfRule type="cellIs" priority="93" operator="lessThan" dxfId="2">
      <formula>15</formula>
    </cfRule>
  </conditionalFormatting>
  <conditionalFormatting sqref="F686:AI715">
    <cfRule type="expression" priority="94" dxfId="3">
      <formula>F686="+"</formula>
    </cfRule>
    <cfRule type="expression" priority="95" dxfId="4">
      <formula>F686="1"</formula>
    </cfRule>
    <cfRule type="expression" priority="96" dxfId="5">
      <formula>F686="-"</formula>
    </cfRule>
  </conditionalFormatting>
  <conditionalFormatting sqref="F719:AI748">
    <cfRule type="expression" priority="97" dxfId="3">
      <formula>F719="+"</formula>
    </cfRule>
    <cfRule type="expression" priority="98" dxfId="4">
      <formula>F719="1"</formula>
    </cfRule>
    <cfRule type="expression" priority="99" dxfId="5">
      <formula>F719="-"</formula>
    </cfRule>
  </conditionalFormatting>
  <conditionalFormatting sqref="C754:C783">
    <cfRule type="cellIs" priority="100" operator="greaterThanOrEqual" dxfId="0">
      <formula>21</formula>
    </cfRule>
    <cfRule type="cellIs" priority="101" operator="between" dxfId="1">
      <formula>15</formula>
      <formula>20</formula>
    </cfRule>
    <cfRule type="cellIs" priority="102" operator="lessThan" dxfId="2">
      <formula>15</formula>
    </cfRule>
  </conditionalFormatting>
  <conditionalFormatting sqref="F754:AI783">
    <cfRule type="expression" priority="103" dxfId="3">
      <formula>F754="+"</formula>
    </cfRule>
    <cfRule type="expression" priority="104" dxfId="4">
      <formula>F754="1"</formula>
    </cfRule>
    <cfRule type="expression" priority="105" dxfId="5">
      <formula>F754="-"</formula>
    </cfRule>
  </conditionalFormatting>
  <conditionalFormatting sqref="F787:AI816">
    <cfRule type="expression" priority="106" dxfId="3">
      <formula>F787="+"</formula>
    </cfRule>
    <cfRule type="expression" priority="107" dxfId="4">
      <formula>F787="1"</formula>
    </cfRule>
    <cfRule type="expression" priority="108" dxfId="5">
      <formula>F787="-"</formula>
    </cfRule>
  </conditionalFormatting>
  <conditionalFormatting sqref="C822:C851">
    <cfRule type="cellIs" priority="109" operator="greaterThanOrEqual" dxfId="0">
      <formula>21</formula>
    </cfRule>
    <cfRule type="cellIs" priority="110" operator="between" dxfId="1">
      <formula>15</formula>
      <formula>20</formula>
    </cfRule>
    <cfRule type="cellIs" priority="111" operator="lessThan" dxfId="2">
      <formula>15</formula>
    </cfRule>
  </conditionalFormatting>
  <conditionalFormatting sqref="F822:AI851">
    <cfRule type="expression" priority="112" dxfId="3">
      <formula>F822="+"</formula>
    </cfRule>
    <cfRule type="expression" priority="113" dxfId="4">
      <formula>F822="1"</formula>
    </cfRule>
    <cfRule type="expression" priority="114" dxfId="5">
      <formula>F822="-"</formula>
    </cfRule>
  </conditionalFormatting>
  <conditionalFormatting sqref="F855:AI884">
    <cfRule type="expression" priority="115" dxfId="3">
      <formula>F855="+"</formula>
    </cfRule>
    <cfRule type="expression" priority="116" dxfId="4">
      <formula>F855="1"</formula>
    </cfRule>
    <cfRule type="expression" priority="117" dxfId="5">
      <formula>F855="-"</formula>
    </cfRule>
  </conditionalFormatting>
  <conditionalFormatting sqref="C890:C919">
    <cfRule type="cellIs" priority="118" operator="greaterThanOrEqual" dxfId="0">
      <formula>21</formula>
    </cfRule>
    <cfRule type="cellIs" priority="119" operator="between" dxfId="1">
      <formula>15</formula>
      <formula>20</formula>
    </cfRule>
    <cfRule type="cellIs" priority="120" operator="lessThan" dxfId="2">
      <formula>15</formula>
    </cfRule>
  </conditionalFormatting>
  <conditionalFormatting sqref="F890:AI919">
    <cfRule type="expression" priority="121" dxfId="3">
      <formula>F890="+"</formula>
    </cfRule>
    <cfRule type="expression" priority="122" dxfId="4">
      <formula>F890="1"</formula>
    </cfRule>
    <cfRule type="expression" priority="123" dxfId="5">
      <formula>F890="-"</formula>
    </cfRule>
  </conditionalFormatting>
  <conditionalFormatting sqref="F923:AI952">
    <cfRule type="expression" priority="124" dxfId="3">
      <formula>F923="+"</formula>
    </cfRule>
    <cfRule type="expression" priority="125" dxfId="4">
      <formula>F923="1"</formula>
    </cfRule>
    <cfRule type="expression" priority="126" dxfId="5">
      <formula>F923="-"</formula>
    </cfRule>
  </conditionalFormatting>
  <conditionalFormatting sqref="C958:C987">
    <cfRule type="cellIs" priority="127" operator="greaterThanOrEqual" dxfId="0">
      <formula>21</formula>
    </cfRule>
    <cfRule type="cellIs" priority="128" operator="between" dxfId="1">
      <formula>15</formula>
      <formula>20</formula>
    </cfRule>
    <cfRule type="cellIs" priority="129" operator="lessThan" dxfId="2">
      <formula>15</formula>
    </cfRule>
  </conditionalFormatting>
  <conditionalFormatting sqref="F958:AI987">
    <cfRule type="expression" priority="130" dxfId="3">
      <formula>F958="+"</formula>
    </cfRule>
    <cfRule type="expression" priority="131" dxfId="4">
      <formula>F958="1"</formula>
    </cfRule>
    <cfRule type="expression" priority="132" dxfId="5">
      <formula>F958="-"</formula>
    </cfRule>
  </conditionalFormatting>
  <conditionalFormatting sqref="F991:AI1020">
    <cfRule type="expression" priority="133" dxfId="3">
      <formula>F991="+"</formula>
    </cfRule>
    <cfRule type="expression" priority="134" dxfId="4">
      <formula>F991="1"</formula>
    </cfRule>
    <cfRule type="expression" priority="135" dxfId="5">
      <formula>F991="-"</formula>
    </cfRule>
  </conditionalFormatting>
  <dataValidations count="30">
    <dataValidation sqref="F6:AI35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39:AI68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74:AI103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107:AI136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142:AI171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175:AI204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210:AI239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243:AI272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278:AI307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311:AI340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346:AI375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379:AI408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414:AI443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447:AI476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482:AI511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515:AI544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550:AI579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583:AI612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618:AI647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651:AI680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686:AI715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719:AI748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754:AI783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787:AI816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822:AI851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855:AI884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890:AI919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923:AI952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958:AI987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991:AI1020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020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>
      <c r="A1" s="1" t="inlineStr">
        <is>
          <t>Плюсы — Рами</t>
        </is>
      </c>
    </row>
    <row r="2" ht="8" customHeight="1"/>
    <row r="4">
      <c r="A4" s="13" t="inlineStr">
        <is>
          <t>Практика 1 — плюсы</t>
        </is>
      </c>
    </row>
    <row r="5" ht="28" customHeight="1">
      <c r="A5" s="7" t="inlineStr">
        <is>
          <t>Имя</t>
        </is>
      </c>
      <c r="B5" s="9" t="inlineStr">
        <is>
          <t>TG</t>
        </is>
      </c>
      <c r="C5" s="10" t="inlineStr">
        <is>
          <t>S</t>
        </is>
      </c>
      <c r="D5" s="8" t="inlineStr">
        <is>
          <t>Коэффициент</t>
        </is>
      </c>
      <c r="E5" s="14" t="inlineStr">
        <is>
          <t>D за практику</t>
        </is>
      </c>
      <c r="F5" s="11" t="inlineStr">
        <is>
          <t>1.0</t>
        </is>
      </c>
      <c r="G5" s="11" t="inlineStr">
        <is>
          <t>2.0</t>
        </is>
      </c>
      <c r="H5" s="11" t="inlineStr">
        <is>
          <t>3.0</t>
        </is>
      </c>
      <c r="I5" s="11" t="inlineStr">
        <is>
          <t>4.0</t>
        </is>
      </c>
      <c r="J5" s="11" t="inlineStr">
        <is>
          <t>5.0</t>
        </is>
      </c>
      <c r="K5" s="11" t="inlineStr">
        <is>
          <t>6</t>
        </is>
      </c>
      <c r="L5" s="11" t="inlineStr">
        <is>
          <t>7</t>
        </is>
      </c>
      <c r="M5" s="11" t="inlineStr">
        <is>
          <t>8</t>
        </is>
      </c>
      <c r="N5" s="11" t="inlineStr">
        <is>
          <t>9</t>
        </is>
      </c>
      <c r="O5" s="11" t="inlineStr">
        <is>
          <t>10</t>
        </is>
      </c>
      <c r="P5" s="11" t="inlineStr">
        <is>
          <t>11</t>
        </is>
      </c>
      <c r="Q5" s="11" t="inlineStr">
        <is>
          <t>12</t>
        </is>
      </c>
      <c r="R5" s="11" t="inlineStr">
        <is>
          <t>13</t>
        </is>
      </c>
      <c r="S5" s="11" t="inlineStr">
        <is>
          <t>14</t>
        </is>
      </c>
      <c r="T5" s="11" t="inlineStr">
        <is>
          <t>15</t>
        </is>
      </c>
      <c r="U5" s="11" t="inlineStr">
        <is>
          <t>16</t>
        </is>
      </c>
      <c r="V5" s="11" t="inlineStr">
        <is>
          <t>17</t>
        </is>
      </c>
      <c r="W5" s="11" t="inlineStr">
        <is>
          <t>18</t>
        </is>
      </c>
      <c r="X5" s="11" t="inlineStr">
        <is>
          <t>19</t>
        </is>
      </c>
      <c r="Y5" s="11" t="inlineStr">
        <is>
          <t>20</t>
        </is>
      </c>
      <c r="Z5" s="11" t="inlineStr">
        <is>
          <t>21</t>
        </is>
      </c>
      <c r="AA5" s="11" t="inlineStr">
        <is>
          <t>22</t>
        </is>
      </c>
      <c r="AB5" s="11" t="inlineStr">
        <is>
          <t>23</t>
        </is>
      </c>
      <c r="AC5" s="11" t="inlineStr">
        <is>
          <t>24</t>
        </is>
      </c>
      <c r="AD5" s="11" t="inlineStr">
        <is>
          <t>25</t>
        </is>
      </c>
      <c r="AE5" s="11" t="inlineStr">
        <is>
          <t>26</t>
        </is>
      </c>
      <c r="AF5" s="11" t="inlineStr">
        <is>
          <t>27</t>
        </is>
      </c>
      <c r="AG5" s="11" t="inlineStr">
        <is>
          <t>28</t>
        </is>
      </c>
      <c r="AH5" s="11" t="inlineStr">
        <is>
          <t>29</t>
        </is>
      </c>
      <c r="AI5" s="11" t="inlineStr">
        <is>
          <t>30</t>
        </is>
      </c>
    </row>
    <row r="6">
      <c r="A6" s="4" t="inlineStr">
        <is>
          <t>Студент2.1</t>
        </is>
      </c>
      <c r="B6" s="4" t="inlineStr"/>
      <c r="C6" s="4">
        <f>IF(A6="","",COUNTIF(F6:AI6,"+")+COUNTIF(F6:AI6,"1"))</f>
        <v/>
      </c>
      <c r="D6" s="4">
        <f>IF(A6="","",IF(C6&gt;2*COUNTA(F$5:AI$5)/3,1,IF(C6&gt;=COUNTA(F$5:AI$5)/2,0.8,0.5)))</f>
        <v/>
      </c>
      <c r="E6" s="4">
        <f>IF(A6="","",SUMIFS('Логи'!$H$4:$H$3006,'Логи'!$A$4:$A$3006,A6,'Логи'!$C$4:$C$3006,1))</f>
        <v/>
      </c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</row>
    <row r="7">
      <c r="A7" s="4" t="inlineStr">
        <is>
          <t>Студент2.2</t>
        </is>
      </c>
      <c r="B7" s="4" t="inlineStr"/>
      <c r="C7" s="4">
        <f>IF(A7="","",COUNTIF(F7:AI7,"+")+COUNTIF(F7:AI7,"1"))</f>
        <v/>
      </c>
      <c r="D7" s="4">
        <f>IF(A7="","",IF(C7&gt;2*COUNTA(F$5:AI$5)/3,1,IF(C7&gt;=COUNTA(F$5:AI$5)/2,0.8,0.5)))</f>
        <v/>
      </c>
      <c r="E7" s="4">
        <f>IF(A7="","",SUMIFS('Логи'!$H$4:$H$3006,'Логи'!$A$4:$A$3006,A7,'Логи'!$C$4:$C$3006,1))</f>
        <v/>
      </c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</row>
    <row r="8">
      <c r="A8" s="4" t="inlineStr">
        <is>
          <t>Студент2.3</t>
        </is>
      </c>
      <c r="B8" s="4" t="inlineStr"/>
      <c r="C8" s="4">
        <f>IF(A8="","",COUNTIF(F8:AI8,"+")+COUNTIF(F8:AI8,"1"))</f>
        <v/>
      </c>
      <c r="D8" s="4">
        <f>IF(A8="","",IF(C8&gt;2*COUNTA(F$5:AI$5)/3,1,IF(C8&gt;=COUNTA(F$5:AI$5)/2,0.8,0.5)))</f>
        <v/>
      </c>
      <c r="E8" s="4">
        <f>IF(A8="","",SUMIFS('Логи'!$H$4:$H$3006,'Логи'!$A$4:$A$3006,A8,'Логи'!$C$4:$C$3006,1))</f>
        <v/>
      </c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</row>
    <row r="9">
      <c r="A9" s="4" t="inlineStr">
        <is>
          <t>Студент2.4</t>
        </is>
      </c>
      <c r="B9" s="4" t="inlineStr"/>
      <c r="C9" s="4">
        <f>IF(A9="","",COUNTIF(F9:AI9,"+")+COUNTIF(F9:AI9,"1"))</f>
        <v/>
      </c>
      <c r="D9" s="4">
        <f>IF(A9="","",IF(C9&gt;2*COUNTA(F$5:AI$5)/3,1,IF(C9&gt;=COUNTA(F$5:AI$5)/2,0.8,0.5)))</f>
        <v/>
      </c>
      <c r="E9" s="4">
        <f>IF(A9="","",SUMIFS('Логи'!$H$4:$H$3006,'Логи'!$A$4:$A$3006,A9,'Логи'!$C$4:$C$3006,1))</f>
        <v/>
      </c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</row>
    <row r="10">
      <c r="A10" s="4" t="inlineStr">
        <is>
          <t>Студент2.5</t>
        </is>
      </c>
      <c r="B10" s="4" t="inlineStr"/>
      <c r="C10" s="4">
        <f>IF(A10="","",COUNTIF(F10:AI10,"+")+COUNTIF(F10:AI10,"1"))</f>
        <v/>
      </c>
      <c r="D10" s="4">
        <f>IF(A10="","",IF(C10&gt;2*COUNTA(F$5:AI$5)/3,1,IF(C10&gt;=COUNTA(F$5:AI$5)/2,0.8,0.5)))</f>
        <v/>
      </c>
      <c r="E10" s="4">
        <f>IF(A10="","",SUMIFS('Логи'!$H$4:$H$3006,'Логи'!$A$4:$A$3006,A10,'Логи'!$C$4:$C$3006,1))</f>
        <v/>
      </c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</row>
    <row r="11">
      <c r="A11" s="4" t="inlineStr">
        <is>
          <t>Студент2.6</t>
        </is>
      </c>
      <c r="B11" s="4" t="inlineStr"/>
      <c r="C11" s="4">
        <f>IF(A11="","",COUNTIF(F11:AI11,"+")+COUNTIF(F11:AI11,"1"))</f>
        <v/>
      </c>
      <c r="D11" s="4">
        <f>IF(A11="","",IF(C11&gt;2*COUNTA(F$5:AI$5)/3,1,IF(C11&gt;=COUNTA(F$5:AI$5)/2,0.8,0.5)))</f>
        <v/>
      </c>
      <c r="E11" s="4">
        <f>IF(A11="","",SUMIFS('Логи'!$H$4:$H$3006,'Логи'!$A$4:$A$3006,A11,'Логи'!$C$4:$C$3006,1))</f>
        <v/>
      </c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</row>
    <row r="12">
      <c r="A12" s="4" t="inlineStr">
        <is>
          <t>Студент2.7</t>
        </is>
      </c>
      <c r="B12" s="4" t="inlineStr"/>
      <c r="C12" s="4">
        <f>IF(A12="","",COUNTIF(F12:AI12,"+")+COUNTIF(F12:AI12,"1"))</f>
        <v/>
      </c>
      <c r="D12" s="4">
        <f>IF(A12="","",IF(C12&gt;2*COUNTA(F$5:AI$5)/3,1,IF(C12&gt;=COUNTA(F$5:AI$5)/2,0.8,0.5)))</f>
        <v/>
      </c>
      <c r="E12" s="4">
        <f>IF(A12="","",SUMIFS('Логи'!$H$4:$H$3006,'Логи'!$A$4:$A$3006,A12,'Логи'!$C$4:$C$3006,1))</f>
        <v/>
      </c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</row>
    <row r="13">
      <c r="A13" s="4" t="inlineStr">
        <is>
          <t>Студент2.8</t>
        </is>
      </c>
      <c r="B13" s="4" t="inlineStr"/>
      <c r="C13" s="4">
        <f>IF(A13="","",COUNTIF(F13:AI13,"+")+COUNTIF(F13:AI13,"1"))</f>
        <v/>
      </c>
      <c r="D13" s="4">
        <f>IF(A13="","",IF(C13&gt;2*COUNTA(F$5:AI$5)/3,1,IF(C13&gt;=COUNTA(F$5:AI$5)/2,0.8,0.5)))</f>
        <v/>
      </c>
      <c r="E13" s="4">
        <f>IF(A13="","",SUMIFS('Логи'!$H$4:$H$3006,'Логи'!$A$4:$A$3006,A13,'Логи'!$C$4:$C$3006,1))</f>
        <v/>
      </c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</row>
    <row r="14">
      <c r="A14" s="4" t="inlineStr">
        <is>
          <t>Студент2.9</t>
        </is>
      </c>
      <c r="B14" s="4" t="inlineStr"/>
      <c r="C14" s="4">
        <f>IF(A14="","",COUNTIF(F14:AI14,"+")+COUNTIF(F14:AI14,"1"))</f>
        <v/>
      </c>
      <c r="D14" s="4">
        <f>IF(A14="","",IF(C14&gt;2*COUNTA(F$5:AI$5)/3,1,IF(C14&gt;=COUNTA(F$5:AI$5)/2,0.8,0.5)))</f>
        <v/>
      </c>
      <c r="E14" s="4">
        <f>IF(A14="","",SUMIFS('Логи'!$H$4:$H$3006,'Логи'!$A$4:$A$3006,A14,'Логи'!$C$4:$C$3006,1))</f>
        <v/>
      </c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</row>
    <row r="15">
      <c r="A15" s="4" t="inlineStr">
        <is>
          <t>Студент2.10</t>
        </is>
      </c>
      <c r="B15" s="4" t="inlineStr"/>
      <c r="C15" s="4">
        <f>IF(A15="","",COUNTIF(F15:AI15,"+")+COUNTIF(F15:AI15,"1"))</f>
        <v/>
      </c>
      <c r="D15" s="4">
        <f>IF(A15="","",IF(C15&gt;2*COUNTA(F$5:AI$5)/3,1,IF(C15&gt;=COUNTA(F$5:AI$5)/2,0.8,0.5)))</f>
        <v/>
      </c>
      <c r="E15" s="4">
        <f>IF(A15="","",SUMIFS('Логи'!$H$4:$H$3006,'Логи'!$A$4:$A$3006,A15,'Логи'!$C$4:$C$3006,1))</f>
        <v/>
      </c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</row>
    <row r="16">
      <c r="A16" s="4" t="inlineStr">
        <is>
          <t>Студент2.11</t>
        </is>
      </c>
      <c r="B16" s="4" t="inlineStr"/>
      <c r="C16" s="4">
        <f>IF(A16="","",COUNTIF(F16:AI16,"+")+COUNTIF(F16:AI16,"1"))</f>
        <v/>
      </c>
      <c r="D16" s="4">
        <f>IF(A16="","",IF(C16&gt;2*COUNTA(F$5:AI$5)/3,1,IF(C16&gt;=COUNTA(F$5:AI$5)/2,0.8,0.5)))</f>
        <v/>
      </c>
      <c r="E16" s="4">
        <f>IF(A16="","",SUMIFS('Логи'!$H$4:$H$3006,'Логи'!$A$4:$A$3006,A16,'Логи'!$C$4:$C$3006,1))</f>
        <v/>
      </c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</row>
    <row r="17">
      <c r="A17" s="4" t="inlineStr">
        <is>
          <t>Студент2.12</t>
        </is>
      </c>
      <c r="B17" s="4" t="inlineStr"/>
      <c r="C17" s="4">
        <f>IF(A17="","",COUNTIF(F17:AI17,"+")+COUNTIF(F17:AI17,"1"))</f>
        <v/>
      </c>
      <c r="D17" s="4">
        <f>IF(A17="","",IF(C17&gt;2*COUNTA(F$5:AI$5)/3,1,IF(C17&gt;=COUNTA(F$5:AI$5)/2,0.8,0.5)))</f>
        <v/>
      </c>
      <c r="E17" s="4">
        <f>IF(A17="","",SUMIFS('Логи'!$H$4:$H$3006,'Логи'!$A$4:$A$3006,A17,'Логи'!$C$4:$C$3006,1))</f>
        <v/>
      </c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</row>
    <row r="18">
      <c r="A18" s="4" t="inlineStr">
        <is>
          <t>Студент2.13</t>
        </is>
      </c>
      <c r="B18" s="4" t="inlineStr"/>
      <c r="C18" s="4">
        <f>IF(A18="","",COUNTIF(F18:AI18,"+")+COUNTIF(F18:AI18,"1"))</f>
        <v/>
      </c>
      <c r="D18" s="4">
        <f>IF(A18="","",IF(C18&gt;2*COUNTA(F$5:AI$5)/3,1,IF(C18&gt;=COUNTA(F$5:AI$5)/2,0.8,0.5)))</f>
        <v/>
      </c>
      <c r="E18" s="4">
        <f>IF(A18="","",SUMIFS('Логи'!$H$4:$H$3006,'Логи'!$A$4:$A$3006,A18,'Логи'!$C$4:$C$3006,1))</f>
        <v/>
      </c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</row>
    <row r="19">
      <c r="A19" s="4" t="inlineStr">
        <is>
          <t>Студент2.14</t>
        </is>
      </c>
      <c r="B19" s="4" t="inlineStr"/>
      <c r="C19" s="4">
        <f>IF(A19="","",COUNTIF(F19:AI19,"+")+COUNTIF(F19:AI19,"1"))</f>
        <v/>
      </c>
      <c r="D19" s="4">
        <f>IF(A19="","",IF(C19&gt;2*COUNTA(F$5:AI$5)/3,1,IF(C19&gt;=COUNTA(F$5:AI$5)/2,0.8,0.5)))</f>
        <v/>
      </c>
      <c r="E19" s="4">
        <f>IF(A19="","",SUMIFS('Логи'!$H$4:$H$3006,'Логи'!$A$4:$A$3006,A19,'Логи'!$C$4:$C$3006,1))</f>
        <v/>
      </c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</row>
    <row r="20">
      <c r="A20" s="4" t="inlineStr">
        <is>
          <t>Студент2.15</t>
        </is>
      </c>
      <c r="B20" s="4" t="inlineStr"/>
      <c r="C20" s="4">
        <f>IF(A20="","",COUNTIF(F20:AI20,"+")+COUNTIF(F20:AI20,"1"))</f>
        <v/>
      </c>
      <c r="D20" s="4">
        <f>IF(A20="","",IF(C20&gt;2*COUNTA(F$5:AI$5)/3,1,IF(C20&gt;=COUNTA(F$5:AI$5)/2,0.8,0.5)))</f>
        <v/>
      </c>
      <c r="E20" s="4">
        <f>IF(A20="","",SUMIFS('Логи'!$H$4:$H$3006,'Логи'!$A$4:$A$3006,A20,'Логи'!$C$4:$C$3006,1))</f>
        <v/>
      </c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</row>
    <row r="21">
      <c r="A21" s="4" t="inlineStr">
        <is>
          <t>Студент2.16</t>
        </is>
      </c>
      <c r="B21" s="4" t="inlineStr"/>
      <c r="C21" s="4">
        <f>IF(A21="","",COUNTIF(F21:AI21,"+")+COUNTIF(F21:AI21,"1"))</f>
        <v/>
      </c>
      <c r="D21" s="4">
        <f>IF(A21="","",IF(C21&gt;2*COUNTA(F$5:AI$5)/3,1,IF(C21&gt;=COUNTA(F$5:AI$5)/2,0.8,0.5)))</f>
        <v/>
      </c>
      <c r="E21" s="4">
        <f>IF(A21="","",SUMIFS('Логи'!$H$4:$H$3006,'Логи'!$A$4:$A$3006,A21,'Логи'!$C$4:$C$3006,1))</f>
        <v/>
      </c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</row>
    <row r="22">
      <c r="A22" s="4" t="inlineStr">
        <is>
          <t>Студент2.17</t>
        </is>
      </c>
      <c r="B22" s="4" t="inlineStr"/>
      <c r="C22" s="4">
        <f>IF(A22="","",COUNTIF(F22:AI22,"+")+COUNTIF(F22:AI22,"1"))</f>
        <v/>
      </c>
      <c r="D22" s="4">
        <f>IF(A22="","",IF(C22&gt;2*COUNTA(F$5:AI$5)/3,1,IF(C22&gt;=COUNTA(F$5:AI$5)/2,0.8,0.5)))</f>
        <v/>
      </c>
      <c r="E22" s="4">
        <f>IF(A22="","",SUMIFS('Логи'!$H$4:$H$3006,'Логи'!$A$4:$A$3006,A22,'Логи'!$C$4:$C$3006,1))</f>
        <v/>
      </c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</row>
    <row r="23">
      <c r="A23" s="4" t="inlineStr">
        <is>
          <t>Студент2.18</t>
        </is>
      </c>
      <c r="B23" s="4" t="inlineStr"/>
      <c r="C23" s="4">
        <f>IF(A23="","",COUNTIF(F23:AI23,"+")+COUNTIF(F23:AI23,"1"))</f>
        <v/>
      </c>
      <c r="D23" s="4">
        <f>IF(A23="","",IF(C23&gt;2*COUNTA(F$5:AI$5)/3,1,IF(C23&gt;=COUNTA(F$5:AI$5)/2,0.8,0.5)))</f>
        <v/>
      </c>
      <c r="E23" s="4">
        <f>IF(A23="","",SUMIFS('Логи'!$H$4:$H$3006,'Логи'!$A$4:$A$3006,A23,'Логи'!$C$4:$C$3006,1))</f>
        <v/>
      </c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</row>
    <row r="24">
      <c r="A24" s="4" t="inlineStr">
        <is>
          <t>Студент2.19</t>
        </is>
      </c>
      <c r="B24" s="4" t="inlineStr"/>
      <c r="C24" s="4">
        <f>IF(A24="","",COUNTIF(F24:AI24,"+")+COUNTIF(F24:AI24,"1"))</f>
        <v/>
      </c>
      <c r="D24" s="4">
        <f>IF(A24="","",IF(C24&gt;2*COUNTA(F$5:AI$5)/3,1,IF(C24&gt;=COUNTA(F$5:AI$5)/2,0.8,0.5)))</f>
        <v/>
      </c>
      <c r="E24" s="4">
        <f>IF(A24="","",SUMIFS('Логи'!$H$4:$H$3006,'Логи'!$A$4:$A$3006,A24,'Логи'!$C$4:$C$3006,1))</f>
        <v/>
      </c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</row>
    <row r="25">
      <c r="A25" s="4" t="inlineStr">
        <is>
          <t>Студент2.20</t>
        </is>
      </c>
      <c r="B25" s="4" t="inlineStr"/>
      <c r="C25" s="4">
        <f>IF(A25="","",COUNTIF(F25:AI25,"+")+COUNTIF(F25:AI25,"1"))</f>
        <v/>
      </c>
      <c r="D25" s="4">
        <f>IF(A25="","",IF(C25&gt;2*COUNTA(F$5:AI$5)/3,1,IF(C25&gt;=COUNTA(F$5:AI$5)/2,0.8,0.5)))</f>
        <v/>
      </c>
      <c r="E25" s="4">
        <f>IF(A25="","",SUMIFS('Логи'!$H$4:$H$3006,'Логи'!$A$4:$A$3006,A25,'Логи'!$C$4:$C$3006,1))</f>
        <v/>
      </c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</row>
    <row r="26">
      <c r="A26" s="4" t="inlineStr">
        <is>
          <t>Студент2.21</t>
        </is>
      </c>
      <c r="B26" s="4" t="inlineStr"/>
      <c r="C26" s="4">
        <f>IF(A26="","",COUNTIF(F26:AI26,"+")+COUNTIF(F26:AI26,"1"))</f>
        <v/>
      </c>
      <c r="D26" s="4">
        <f>IF(A26="","",IF(C26&gt;2*COUNTA(F$5:AI$5)/3,1,IF(C26&gt;=COUNTA(F$5:AI$5)/2,0.8,0.5)))</f>
        <v/>
      </c>
      <c r="E26" s="4">
        <f>IF(A26="","",SUMIFS('Логи'!$H$4:$H$3006,'Логи'!$A$4:$A$3006,A26,'Логи'!$C$4:$C$3006,1))</f>
        <v/>
      </c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</row>
    <row r="27">
      <c r="A27" s="4" t="inlineStr">
        <is>
          <t>Студент2.22</t>
        </is>
      </c>
      <c r="B27" s="4" t="inlineStr"/>
      <c r="C27" s="4">
        <f>IF(A27="","",COUNTIF(F27:AI27,"+")+COUNTIF(F27:AI27,"1"))</f>
        <v/>
      </c>
      <c r="D27" s="4">
        <f>IF(A27="","",IF(C27&gt;2*COUNTA(F$5:AI$5)/3,1,IF(C27&gt;=COUNTA(F$5:AI$5)/2,0.8,0.5)))</f>
        <v/>
      </c>
      <c r="E27" s="4">
        <f>IF(A27="","",SUMIFS('Логи'!$H$4:$H$3006,'Логи'!$A$4:$A$3006,A27,'Логи'!$C$4:$C$3006,1))</f>
        <v/>
      </c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</row>
    <row r="28">
      <c r="A28" s="4" t="inlineStr">
        <is>
          <t>Студент2.23</t>
        </is>
      </c>
      <c r="B28" s="4" t="inlineStr"/>
      <c r="C28" s="4">
        <f>IF(A28="","",COUNTIF(F28:AI28,"+")+COUNTIF(F28:AI28,"1"))</f>
        <v/>
      </c>
      <c r="D28" s="4">
        <f>IF(A28="","",IF(C28&gt;2*COUNTA(F$5:AI$5)/3,1,IF(C28&gt;=COUNTA(F$5:AI$5)/2,0.8,0.5)))</f>
        <v/>
      </c>
      <c r="E28" s="4">
        <f>IF(A28="","",SUMIFS('Логи'!$H$4:$H$3006,'Логи'!$A$4:$A$3006,A28,'Логи'!$C$4:$C$3006,1))</f>
        <v/>
      </c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</row>
    <row r="29">
      <c r="A29" s="4" t="inlineStr">
        <is>
          <t>Студент2.24</t>
        </is>
      </c>
      <c r="B29" s="4" t="inlineStr"/>
      <c r="C29" s="4">
        <f>IF(A29="","",COUNTIF(F29:AI29,"+")+COUNTIF(F29:AI29,"1"))</f>
        <v/>
      </c>
      <c r="D29" s="4">
        <f>IF(A29="","",IF(C29&gt;2*COUNTA(F$5:AI$5)/3,1,IF(C29&gt;=COUNTA(F$5:AI$5)/2,0.8,0.5)))</f>
        <v/>
      </c>
      <c r="E29" s="4">
        <f>IF(A29="","",SUMIFS('Логи'!$H$4:$H$3006,'Логи'!$A$4:$A$3006,A29,'Логи'!$C$4:$C$3006,1))</f>
        <v/>
      </c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</row>
    <row r="30">
      <c r="A30" s="4" t="inlineStr">
        <is>
          <t>Студент2.25</t>
        </is>
      </c>
      <c r="B30" s="4" t="inlineStr"/>
      <c r="C30" s="4">
        <f>IF(A30="","",COUNTIF(F30:AI30,"+")+COUNTIF(F30:AI30,"1"))</f>
        <v/>
      </c>
      <c r="D30" s="4">
        <f>IF(A30="","",IF(C30&gt;2*COUNTA(F$5:AI$5)/3,1,IF(C30&gt;=COUNTA(F$5:AI$5)/2,0.8,0.5)))</f>
        <v/>
      </c>
      <c r="E30" s="4">
        <f>IF(A30="","",SUMIFS('Логи'!$H$4:$H$3006,'Логи'!$A$4:$A$3006,A30,'Логи'!$C$4:$C$3006,1))</f>
        <v/>
      </c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</row>
    <row r="31">
      <c r="A31" s="4" t="inlineStr">
        <is>
          <t>Студент2.26</t>
        </is>
      </c>
      <c r="B31" s="4" t="inlineStr"/>
      <c r="C31" s="4">
        <f>IF(A31="","",COUNTIF(F31:AI31,"+")+COUNTIF(F31:AI31,"1"))</f>
        <v/>
      </c>
      <c r="D31" s="4">
        <f>IF(A31="","",IF(C31&gt;2*COUNTA(F$5:AI$5)/3,1,IF(C31&gt;=COUNTA(F$5:AI$5)/2,0.8,0.5)))</f>
        <v/>
      </c>
      <c r="E31" s="4">
        <f>IF(A31="","",SUMIFS('Логи'!$H$4:$H$3006,'Логи'!$A$4:$A$3006,A31,'Логи'!$C$4:$C$3006,1))</f>
        <v/>
      </c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</row>
    <row r="32">
      <c r="A32" s="4" t="inlineStr">
        <is>
          <t>Студент2.27</t>
        </is>
      </c>
      <c r="B32" s="4" t="inlineStr"/>
      <c r="C32" s="4">
        <f>IF(A32="","",COUNTIF(F32:AI32,"+")+COUNTIF(F32:AI32,"1"))</f>
        <v/>
      </c>
      <c r="D32" s="4">
        <f>IF(A32="","",IF(C32&gt;2*COUNTA(F$5:AI$5)/3,1,IF(C32&gt;=COUNTA(F$5:AI$5)/2,0.8,0.5)))</f>
        <v/>
      </c>
      <c r="E32" s="4">
        <f>IF(A32="","",SUMIFS('Логи'!$H$4:$H$3006,'Логи'!$A$4:$A$3006,A32,'Логи'!$C$4:$C$3006,1))</f>
        <v/>
      </c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</row>
    <row r="33">
      <c r="A33" s="4" t="inlineStr">
        <is>
          <t>Студент2.28</t>
        </is>
      </c>
      <c r="B33" s="4" t="inlineStr"/>
      <c r="C33" s="4">
        <f>IF(A33="","",COUNTIF(F33:AI33,"+")+COUNTIF(F33:AI33,"1"))</f>
        <v/>
      </c>
      <c r="D33" s="4">
        <f>IF(A33="","",IF(C33&gt;2*COUNTA(F$5:AI$5)/3,1,IF(C33&gt;=COUNTA(F$5:AI$5)/2,0.8,0.5)))</f>
        <v/>
      </c>
      <c r="E33" s="4">
        <f>IF(A33="","",SUMIFS('Логи'!$H$4:$H$3006,'Логи'!$A$4:$A$3006,A33,'Логи'!$C$4:$C$3006,1))</f>
        <v/>
      </c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</row>
    <row r="34">
      <c r="A34" s="4" t="inlineStr">
        <is>
          <t>Студент2.29</t>
        </is>
      </c>
      <c r="B34" s="4" t="inlineStr"/>
      <c r="C34" s="4">
        <f>IF(A34="","",COUNTIF(F34:AI34,"+")+COUNTIF(F34:AI34,"1"))</f>
        <v/>
      </c>
      <c r="D34" s="4">
        <f>IF(A34="","",IF(C34&gt;2*COUNTA(F$5:AI$5)/3,1,IF(C34&gt;=COUNTA(F$5:AI$5)/2,0.8,0.5)))</f>
        <v/>
      </c>
      <c r="E34" s="4">
        <f>IF(A34="","",SUMIFS('Логи'!$H$4:$H$3006,'Логи'!$A$4:$A$3006,A34,'Логи'!$C$4:$C$3006,1))</f>
        <v/>
      </c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</row>
    <row r="35">
      <c r="A35" s="4" t="inlineStr">
        <is>
          <t>Студент2.30</t>
        </is>
      </c>
      <c r="B35" s="4" t="inlineStr"/>
      <c r="C35" s="4">
        <f>IF(A35="","",COUNTIF(F35:AI35,"+")+COUNTIF(F35:AI35,"1"))</f>
        <v/>
      </c>
      <c r="D35" s="4">
        <f>IF(A35="","",IF(C35&gt;2*COUNTA(F$5:AI$5)/3,1,IF(C35&gt;=COUNTA(F$5:AI$5)/2,0.8,0.5)))</f>
        <v/>
      </c>
      <c r="E35" s="4">
        <f>IF(A35="","",SUMIFS('Логи'!$H$4:$H$3006,'Логи'!$A$4:$A$3006,A35,'Логи'!$C$4:$C$3006,1))</f>
        <v/>
      </c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</row>
    <row r="37">
      <c r="A37" s="16" t="inlineStr">
        <is>
          <t>Практика 1 — результаты рассказа</t>
        </is>
      </c>
    </row>
    <row r="38" ht="28" customHeight="1">
      <c r="A38" s="7" t="inlineStr">
        <is>
          <t>Имя</t>
        </is>
      </c>
      <c r="B38" s="9" t="inlineStr">
        <is>
          <t>TG</t>
        </is>
      </c>
      <c r="C38" s="10" t="inlineStr"/>
      <c r="D38" s="2" t="inlineStr"/>
      <c r="E38" s="2" t="inlineStr"/>
      <c r="F38" s="11" t="inlineStr">
        <is>
          <t>1.0</t>
        </is>
      </c>
      <c r="G38" s="11" t="inlineStr">
        <is>
          <t>2.0</t>
        </is>
      </c>
      <c r="H38" s="11" t="inlineStr">
        <is>
          <t>3.0</t>
        </is>
      </c>
      <c r="I38" s="11" t="inlineStr">
        <is>
          <t>4.0</t>
        </is>
      </c>
      <c r="J38" s="11" t="inlineStr">
        <is>
          <t>5.0</t>
        </is>
      </c>
      <c r="K38" s="11" t="inlineStr">
        <is>
          <t>6</t>
        </is>
      </c>
      <c r="L38" s="11" t="inlineStr">
        <is>
          <t>7</t>
        </is>
      </c>
      <c r="M38" s="11" t="inlineStr">
        <is>
          <t>8</t>
        </is>
      </c>
      <c r="N38" s="11" t="inlineStr">
        <is>
          <t>9</t>
        </is>
      </c>
      <c r="O38" s="11" t="inlineStr">
        <is>
          <t>10</t>
        </is>
      </c>
      <c r="P38" s="11" t="inlineStr">
        <is>
          <t>11</t>
        </is>
      </c>
      <c r="Q38" s="11" t="inlineStr">
        <is>
          <t>12</t>
        </is>
      </c>
      <c r="R38" s="11" t="inlineStr">
        <is>
          <t>13</t>
        </is>
      </c>
      <c r="S38" s="11" t="inlineStr">
        <is>
          <t>14</t>
        </is>
      </c>
      <c r="T38" s="11" t="inlineStr">
        <is>
          <t>15</t>
        </is>
      </c>
      <c r="U38" s="11" t="inlineStr">
        <is>
          <t>16</t>
        </is>
      </c>
      <c r="V38" s="11" t="inlineStr">
        <is>
          <t>17</t>
        </is>
      </c>
      <c r="W38" s="11" t="inlineStr">
        <is>
          <t>18</t>
        </is>
      </c>
      <c r="X38" s="11" t="inlineStr">
        <is>
          <t>19</t>
        </is>
      </c>
      <c r="Y38" s="11" t="inlineStr">
        <is>
          <t>20</t>
        </is>
      </c>
      <c r="Z38" s="11" t="inlineStr">
        <is>
          <t>21</t>
        </is>
      </c>
      <c r="AA38" s="11" t="inlineStr">
        <is>
          <t>22</t>
        </is>
      </c>
      <c r="AB38" s="11" t="inlineStr">
        <is>
          <t>23</t>
        </is>
      </c>
      <c r="AC38" s="11" t="inlineStr">
        <is>
          <t>24</t>
        </is>
      </c>
      <c r="AD38" s="11" t="inlineStr">
        <is>
          <t>25</t>
        </is>
      </c>
      <c r="AE38" s="11" t="inlineStr">
        <is>
          <t>26</t>
        </is>
      </c>
      <c r="AF38" s="11" t="inlineStr">
        <is>
          <t>27</t>
        </is>
      </c>
      <c r="AG38" s="11" t="inlineStr">
        <is>
          <t>28</t>
        </is>
      </c>
      <c r="AH38" s="11" t="inlineStr">
        <is>
          <t>29</t>
        </is>
      </c>
      <c r="AI38" s="11" t="inlineStr">
        <is>
          <t>30</t>
        </is>
      </c>
    </row>
    <row r="39">
      <c r="A39" s="4" t="inlineStr">
        <is>
          <t>Студент2.1</t>
        </is>
      </c>
      <c r="B39" s="4" t="inlineStr"/>
      <c r="C39" s="4" t="n"/>
      <c r="D39" s="4" t="n"/>
      <c r="E39" s="4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</row>
    <row r="40">
      <c r="A40" s="4" t="inlineStr">
        <is>
          <t>Студент2.2</t>
        </is>
      </c>
      <c r="B40" s="4" t="inlineStr"/>
      <c r="C40" s="4" t="n"/>
      <c r="D40" s="4" t="n"/>
      <c r="E40" s="4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</row>
    <row r="41">
      <c r="A41" s="4" t="inlineStr">
        <is>
          <t>Студент2.3</t>
        </is>
      </c>
      <c r="B41" s="4" t="inlineStr"/>
      <c r="C41" s="4" t="n"/>
      <c r="D41" s="4" t="n"/>
      <c r="E41" s="4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</row>
    <row r="42">
      <c r="A42" s="4" t="inlineStr">
        <is>
          <t>Студент2.4</t>
        </is>
      </c>
      <c r="B42" s="4" t="inlineStr"/>
      <c r="C42" s="4" t="n"/>
      <c r="D42" s="4" t="n"/>
      <c r="E42" s="4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</row>
    <row r="43">
      <c r="A43" s="4" t="inlineStr">
        <is>
          <t>Студент2.5</t>
        </is>
      </c>
      <c r="B43" s="4" t="inlineStr"/>
      <c r="C43" s="4" t="n"/>
      <c r="D43" s="4" t="n"/>
      <c r="E43" s="4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</row>
    <row r="44">
      <c r="A44" s="4" t="inlineStr">
        <is>
          <t>Студент2.6</t>
        </is>
      </c>
      <c r="B44" s="4" t="inlineStr"/>
      <c r="C44" s="4" t="n"/>
      <c r="D44" s="4" t="n"/>
      <c r="E44" s="4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</row>
    <row r="45">
      <c r="A45" s="4" t="inlineStr">
        <is>
          <t>Студент2.7</t>
        </is>
      </c>
      <c r="B45" s="4" t="inlineStr"/>
      <c r="C45" s="4" t="n"/>
      <c r="D45" s="4" t="n"/>
      <c r="E45" s="4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</row>
    <row r="46">
      <c r="A46" s="4" t="inlineStr">
        <is>
          <t>Студент2.8</t>
        </is>
      </c>
      <c r="B46" s="4" t="inlineStr"/>
      <c r="C46" s="4" t="n"/>
      <c r="D46" s="4" t="n"/>
      <c r="E46" s="4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</row>
    <row r="47">
      <c r="A47" s="4" t="inlineStr">
        <is>
          <t>Студент2.9</t>
        </is>
      </c>
      <c r="B47" s="4" t="inlineStr"/>
      <c r="C47" s="4" t="n"/>
      <c r="D47" s="4" t="n"/>
      <c r="E47" s="4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</row>
    <row r="48">
      <c r="A48" s="4" t="inlineStr">
        <is>
          <t>Студент2.10</t>
        </is>
      </c>
      <c r="B48" s="4" t="inlineStr"/>
      <c r="C48" s="4" t="n"/>
      <c r="D48" s="4" t="n"/>
      <c r="E48" s="4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</row>
    <row r="49">
      <c r="A49" s="4" t="inlineStr">
        <is>
          <t>Студент2.11</t>
        </is>
      </c>
      <c r="B49" s="4" t="inlineStr"/>
      <c r="C49" s="4" t="n"/>
      <c r="D49" s="4" t="n"/>
      <c r="E49" s="4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</row>
    <row r="50">
      <c r="A50" s="4" t="inlineStr">
        <is>
          <t>Студент2.12</t>
        </is>
      </c>
      <c r="B50" s="4" t="inlineStr"/>
      <c r="C50" s="4" t="n"/>
      <c r="D50" s="4" t="n"/>
      <c r="E50" s="4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</row>
    <row r="51">
      <c r="A51" s="4" t="inlineStr">
        <is>
          <t>Студент2.13</t>
        </is>
      </c>
      <c r="B51" s="4" t="inlineStr"/>
      <c r="C51" s="4" t="n"/>
      <c r="D51" s="4" t="n"/>
      <c r="E51" s="4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</row>
    <row r="52">
      <c r="A52" s="4" t="inlineStr">
        <is>
          <t>Студент2.14</t>
        </is>
      </c>
      <c r="B52" s="4" t="inlineStr"/>
      <c r="C52" s="4" t="n"/>
      <c r="D52" s="4" t="n"/>
      <c r="E52" s="4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</row>
    <row r="53">
      <c r="A53" s="4" t="inlineStr">
        <is>
          <t>Студент2.15</t>
        </is>
      </c>
      <c r="B53" s="4" t="inlineStr"/>
      <c r="C53" s="4" t="n"/>
      <c r="D53" s="4" t="n"/>
      <c r="E53" s="4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</row>
    <row r="54">
      <c r="A54" s="4" t="inlineStr">
        <is>
          <t>Студент2.16</t>
        </is>
      </c>
      <c r="B54" s="4" t="inlineStr"/>
      <c r="C54" s="4" t="n"/>
      <c r="D54" s="4" t="n"/>
      <c r="E54" s="4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</row>
    <row r="55">
      <c r="A55" s="4" t="inlineStr">
        <is>
          <t>Студент2.17</t>
        </is>
      </c>
      <c r="B55" s="4" t="inlineStr"/>
      <c r="C55" s="4" t="n"/>
      <c r="D55" s="4" t="n"/>
      <c r="E55" s="4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</row>
    <row r="56">
      <c r="A56" s="4" t="inlineStr">
        <is>
          <t>Студент2.18</t>
        </is>
      </c>
      <c r="B56" s="4" t="inlineStr"/>
      <c r="C56" s="4" t="n"/>
      <c r="D56" s="4" t="n"/>
      <c r="E56" s="4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</row>
    <row r="57">
      <c r="A57" s="4" t="inlineStr">
        <is>
          <t>Студент2.19</t>
        </is>
      </c>
      <c r="B57" s="4" t="inlineStr"/>
      <c r="C57" s="4" t="n"/>
      <c r="D57" s="4" t="n"/>
      <c r="E57" s="4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</row>
    <row r="58">
      <c r="A58" s="4" t="inlineStr">
        <is>
          <t>Студент2.20</t>
        </is>
      </c>
      <c r="B58" s="4" t="inlineStr"/>
      <c r="C58" s="4" t="n"/>
      <c r="D58" s="4" t="n"/>
      <c r="E58" s="4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</row>
    <row r="59">
      <c r="A59" s="4" t="inlineStr">
        <is>
          <t>Студент2.21</t>
        </is>
      </c>
      <c r="B59" s="4" t="inlineStr"/>
      <c r="C59" s="4" t="n"/>
      <c r="D59" s="4" t="n"/>
      <c r="E59" s="4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</row>
    <row r="60">
      <c r="A60" s="4" t="inlineStr">
        <is>
          <t>Студент2.22</t>
        </is>
      </c>
      <c r="B60" s="4" t="inlineStr"/>
      <c r="C60" s="4" t="n"/>
      <c r="D60" s="4" t="n"/>
      <c r="E60" s="4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</row>
    <row r="61">
      <c r="A61" s="4" t="inlineStr">
        <is>
          <t>Студент2.23</t>
        </is>
      </c>
      <c r="B61" s="4" t="inlineStr"/>
      <c r="C61" s="4" t="n"/>
      <c r="D61" s="4" t="n"/>
      <c r="E61" s="4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</row>
    <row r="62">
      <c r="A62" s="4" t="inlineStr">
        <is>
          <t>Студент2.24</t>
        </is>
      </c>
      <c r="B62" s="4" t="inlineStr"/>
      <c r="C62" s="4" t="n"/>
      <c r="D62" s="4" t="n"/>
      <c r="E62" s="4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</row>
    <row r="63">
      <c r="A63" s="4" t="inlineStr">
        <is>
          <t>Студент2.25</t>
        </is>
      </c>
      <c r="B63" s="4" t="inlineStr"/>
      <c r="C63" s="4" t="n"/>
      <c r="D63" s="4" t="n"/>
      <c r="E63" s="4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</row>
    <row r="64">
      <c r="A64" s="4" t="inlineStr">
        <is>
          <t>Студент2.26</t>
        </is>
      </c>
      <c r="B64" s="4" t="inlineStr"/>
      <c r="C64" s="4" t="n"/>
      <c r="D64" s="4" t="n"/>
      <c r="E64" s="4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</row>
    <row r="65">
      <c r="A65" s="4" t="inlineStr">
        <is>
          <t>Студент2.27</t>
        </is>
      </c>
      <c r="B65" s="4" t="inlineStr"/>
      <c r="C65" s="4" t="n"/>
      <c r="D65" s="4" t="n"/>
      <c r="E65" s="4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</row>
    <row r="66">
      <c r="A66" s="4" t="inlineStr">
        <is>
          <t>Студент2.28</t>
        </is>
      </c>
      <c r="B66" s="4" t="inlineStr"/>
      <c r="C66" s="4" t="n"/>
      <c r="D66" s="4" t="n"/>
      <c r="E66" s="4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</row>
    <row r="67">
      <c r="A67" s="4" t="inlineStr">
        <is>
          <t>Студент2.29</t>
        </is>
      </c>
      <c r="B67" s="4" t="inlineStr"/>
      <c r="C67" s="4" t="n"/>
      <c r="D67" s="4" t="n"/>
      <c r="E67" s="4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</row>
    <row r="68">
      <c r="A68" s="4" t="inlineStr">
        <is>
          <t>Студент2.30</t>
        </is>
      </c>
      <c r="B68" s="4" t="inlineStr"/>
      <c r="C68" s="4" t="n"/>
      <c r="D68" s="4" t="n"/>
      <c r="E68" s="4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</row>
    <row r="72">
      <c r="A72" s="13" t="inlineStr">
        <is>
          <t>Практика 2 — плюсы</t>
        </is>
      </c>
    </row>
    <row r="73" ht="28" customHeight="1">
      <c r="A73" s="7" t="inlineStr">
        <is>
          <t>Имя</t>
        </is>
      </c>
      <c r="B73" s="9" t="inlineStr">
        <is>
          <t>TG</t>
        </is>
      </c>
      <c r="C73" s="10" t="inlineStr">
        <is>
          <t>S</t>
        </is>
      </c>
      <c r="D73" s="8" t="inlineStr">
        <is>
          <t>Коэффициент</t>
        </is>
      </c>
      <c r="E73" s="14" t="inlineStr">
        <is>
          <t>D за практику</t>
        </is>
      </c>
      <c r="F73" s="11" t="inlineStr">
        <is>
          <t>1.0</t>
        </is>
      </c>
      <c r="G73" s="11" t="inlineStr">
        <is>
          <t>2.0</t>
        </is>
      </c>
      <c r="H73" s="11" t="inlineStr">
        <is>
          <t>3.0</t>
        </is>
      </c>
      <c r="I73" s="11" t="inlineStr">
        <is>
          <t>4.0</t>
        </is>
      </c>
      <c r="J73" s="11" t="inlineStr">
        <is>
          <t>5.0</t>
        </is>
      </c>
      <c r="K73" s="11" t="inlineStr">
        <is>
          <t>6</t>
        </is>
      </c>
      <c r="L73" s="11" t="inlineStr">
        <is>
          <t>7</t>
        </is>
      </c>
      <c r="M73" s="11" t="inlineStr">
        <is>
          <t>8</t>
        </is>
      </c>
      <c r="N73" s="11" t="inlineStr">
        <is>
          <t>9</t>
        </is>
      </c>
      <c r="O73" s="11" t="inlineStr">
        <is>
          <t>10</t>
        </is>
      </c>
      <c r="P73" s="11" t="inlineStr">
        <is>
          <t>11</t>
        </is>
      </c>
      <c r="Q73" s="11" t="inlineStr">
        <is>
          <t>12</t>
        </is>
      </c>
      <c r="R73" s="11" t="inlineStr">
        <is>
          <t>13</t>
        </is>
      </c>
      <c r="S73" s="11" t="inlineStr">
        <is>
          <t>14</t>
        </is>
      </c>
      <c r="T73" s="11" t="inlineStr">
        <is>
          <t>15</t>
        </is>
      </c>
      <c r="U73" s="11" t="inlineStr">
        <is>
          <t>16</t>
        </is>
      </c>
      <c r="V73" s="11" t="inlineStr">
        <is>
          <t>17</t>
        </is>
      </c>
      <c r="W73" s="11" t="inlineStr">
        <is>
          <t>18</t>
        </is>
      </c>
      <c r="X73" s="11" t="inlineStr">
        <is>
          <t>19</t>
        </is>
      </c>
      <c r="Y73" s="11" t="inlineStr">
        <is>
          <t>20</t>
        </is>
      </c>
      <c r="Z73" s="11" t="inlineStr">
        <is>
          <t>21</t>
        </is>
      </c>
      <c r="AA73" s="11" t="inlineStr">
        <is>
          <t>22</t>
        </is>
      </c>
      <c r="AB73" s="11" t="inlineStr">
        <is>
          <t>23</t>
        </is>
      </c>
      <c r="AC73" s="11" t="inlineStr">
        <is>
          <t>24</t>
        </is>
      </c>
      <c r="AD73" s="11" t="inlineStr">
        <is>
          <t>25</t>
        </is>
      </c>
      <c r="AE73" s="11" t="inlineStr">
        <is>
          <t>26</t>
        </is>
      </c>
      <c r="AF73" s="11" t="inlineStr">
        <is>
          <t>27</t>
        </is>
      </c>
      <c r="AG73" s="11" t="inlineStr">
        <is>
          <t>28</t>
        </is>
      </c>
      <c r="AH73" s="11" t="inlineStr">
        <is>
          <t>29</t>
        </is>
      </c>
      <c r="AI73" s="11" t="inlineStr">
        <is>
          <t>30</t>
        </is>
      </c>
    </row>
    <row r="74">
      <c r="A74" s="4" t="inlineStr">
        <is>
          <t>Студент2.1</t>
        </is>
      </c>
      <c r="B74" s="4" t="inlineStr"/>
      <c r="C74" s="4">
        <f>IF(A74="","",COUNTIF(F74:AI74,"+")+COUNTIF(F74:AI74,"1"))</f>
        <v/>
      </c>
      <c r="D74" s="4">
        <f>IF(A74="","",IF(C74&gt;2*COUNTA(F$73:AI$73)/3,1,IF(C74&gt;=COUNTA(F$73:AI$73)/2,0.8,0.5)))</f>
        <v/>
      </c>
      <c r="E74" s="4">
        <f>IF(A74="","",SUMIFS('Логи'!$H$4:$H$3006,'Логи'!$A$4:$A$3006,A74,'Логи'!$C$4:$C$3006,2))</f>
        <v/>
      </c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</row>
    <row r="75">
      <c r="A75" s="4" t="inlineStr">
        <is>
          <t>Студент2.2</t>
        </is>
      </c>
      <c r="B75" s="4" t="inlineStr"/>
      <c r="C75" s="4">
        <f>IF(A75="","",COUNTIF(F75:AI75,"+")+COUNTIF(F75:AI75,"1"))</f>
        <v/>
      </c>
      <c r="D75" s="4">
        <f>IF(A75="","",IF(C75&gt;2*COUNTA(F$73:AI$73)/3,1,IF(C75&gt;=COUNTA(F$73:AI$73)/2,0.8,0.5)))</f>
        <v/>
      </c>
      <c r="E75" s="4">
        <f>IF(A75="","",SUMIFS('Логи'!$H$4:$H$3006,'Логи'!$A$4:$A$3006,A75,'Логи'!$C$4:$C$3006,2))</f>
        <v/>
      </c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</row>
    <row r="76">
      <c r="A76" s="4" t="inlineStr">
        <is>
          <t>Студент2.3</t>
        </is>
      </c>
      <c r="B76" s="4" t="inlineStr"/>
      <c r="C76" s="4">
        <f>IF(A76="","",COUNTIF(F76:AI76,"+")+COUNTIF(F76:AI76,"1"))</f>
        <v/>
      </c>
      <c r="D76" s="4">
        <f>IF(A76="","",IF(C76&gt;2*COUNTA(F$73:AI$73)/3,1,IF(C76&gt;=COUNTA(F$73:AI$73)/2,0.8,0.5)))</f>
        <v/>
      </c>
      <c r="E76" s="4">
        <f>IF(A76="","",SUMIFS('Логи'!$H$4:$H$3006,'Логи'!$A$4:$A$3006,A76,'Логи'!$C$4:$C$3006,2))</f>
        <v/>
      </c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</row>
    <row r="77">
      <c r="A77" s="4" t="inlineStr">
        <is>
          <t>Студент2.4</t>
        </is>
      </c>
      <c r="B77" s="4" t="inlineStr"/>
      <c r="C77" s="4">
        <f>IF(A77="","",COUNTIF(F77:AI77,"+")+COUNTIF(F77:AI77,"1"))</f>
        <v/>
      </c>
      <c r="D77" s="4">
        <f>IF(A77="","",IF(C77&gt;2*COUNTA(F$73:AI$73)/3,1,IF(C77&gt;=COUNTA(F$73:AI$73)/2,0.8,0.5)))</f>
        <v/>
      </c>
      <c r="E77" s="4">
        <f>IF(A77="","",SUMIFS('Логи'!$H$4:$H$3006,'Логи'!$A$4:$A$3006,A77,'Логи'!$C$4:$C$3006,2))</f>
        <v/>
      </c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</row>
    <row r="78">
      <c r="A78" s="4" t="inlineStr">
        <is>
          <t>Студент2.5</t>
        </is>
      </c>
      <c r="B78" s="4" t="inlineStr"/>
      <c r="C78" s="4">
        <f>IF(A78="","",COUNTIF(F78:AI78,"+")+COUNTIF(F78:AI78,"1"))</f>
        <v/>
      </c>
      <c r="D78" s="4">
        <f>IF(A78="","",IF(C78&gt;2*COUNTA(F$73:AI$73)/3,1,IF(C78&gt;=COUNTA(F$73:AI$73)/2,0.8,0.5)))</f>
        <v/>
      </c>
      <c r="E78" s="4">
        <f>IF(A78="","",SUMIFS('Логи'!$H$4:$H$3006,'Логи'!$A$4:$A$3006,A78,'Логи'!$C$4:$C$3006,2))</f>
        <v/>
      </c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</row>
    <row r="79">
      <c r="A79" s="4" t="inlineStr">
        <is>
          <t>Студент2.6</t>
        </is>
      </c>
      <c r="B79" s="4" t="inlineStr"/>
      <c r="C79" s="4">
        <f>IF(A79="","",COUNTIF(F79:AI79,"+")+COUNTIF(F79:AI79,"1"))</f>
        <v/>
      </c>
      <c r="D79" s="4">
        <f>IF(A79="","",IF(C79&gt;2*COUNTA(F$73:AI$73)/3,1,IF(C79&gt;=COUNTA(F$73:AI$73)/2,0.8,0.5)))</f>
        <v/>
      </c>
      <c r="E79" s="4">
        <f>IF(A79="","",SUMIFS('Логи'!$H$4:$H$3006,'Логи'!$A$4:$A$3006,A79,'Логи'!$C$4:$C$3006,2))</f>
        <v/>
      </c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</row>
    <row r="80">
      <c r="A80" s="4" t="inlineStr">
        <is>
          <t>Студент2.7</t>
        </is>
      </c>
      <c r="B80" s="4" t="inlineStr"/>
      <c r="C80" s="4">
        <f>IF(A80="","",COUNTIF(F80:AI80,"+")+COUNTIF(F80:AI80,"1"))</f>
        <v/>
      </c>
      <c r="D80" s="4">
        <f>IF(A80="","",IF(C80&gt;2*COUNTA(F$73:AI$73)/3,1,IF(C80&gt;=COUNTA(F$73:AI$73)/2,0.8,0.5)))</f>
        <v/>
      </c>
      <c r="E80" s="4">
        <f>IF(A80="","",SUMIFS('Логи'!$H$4:$H$3006,'Логи'!$A$4:$A$3006,A80,'Логи'!$C$4:$C$3006,2))</f>
        <v/>
      </c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</row>
    <row r="81">
      <c r="A81" s="4" t="inlineStr">
        <is>
          <t>Студент2.8</t>
        </is>
      </c>
      <c r="B81" s="4" t="inlineStr"/>
      <c r="C81" s="4">
        <f>IF(A81="","",COUNTIF(F81:AI81,"+")+COUNTIF(F81:AI81,"1"))</f>
        <v/>
      </c>
      <c r="D81" s="4">
        <f>IF(A81="","",IF(C81&gt;2*COUNTA(F$73:AI$73)/3,1,IF(C81&gt;=COUNTA(F$73:AI$73)/2,0.8,0.5)))</f>
        <v/>
      </c>
      <c r="E81" s="4">
        <f>IF(A81="","",SUMIFS('Логи'!$H$4:$H$3006,'Логи'!$A$4:$A$3006,A81,'Логи'!$C$4:$C$3006,2))</f>
        <v/>
      </c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</row>
    <row r="82">
      <c r="A82" s="4" t="inlineStr">
        <is>
          <t>Студент2.9</t>
        </is>
      </c>
      <c r="B82" s="4" t="inlineStr"/>
      <c r="C82" s="4">
        <f>IF(A82="","",COUNTIF(F82:AI82,"+")+COUNTIF(F82:AI82,"1"))</f>
        <v/>
      </c>
      <c r="D82" s="4">
        <f>IF(A82="","",IF(C82&gt;2*COUNTA(F$73:AI$73)/3,1,IF(C82&gt;=COUNTA(F$73:AI$73)/2,0.8,0.5)))</f>
        <v/>
      </c>
      <c r="E82" s="4">
        <f>IF(A82="","",SUMIFS('Логи'!$H$4:$H$3006,'Логи'!$A$4:$A$3006,A82,'Логи'!$C$4:$C$3006,2))</f>
        <v/>
      </c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</row>
    <row r="83">
      <c r="A83" s="4" t="inlineStr">
        <is>
          <t>Студент2.10</t>
        </is>
      </c>
      <c r="B83" s="4" t="inlineStr"/>
      <c r="C83" s="4">
        <f>IF(A83="","",COUNTIF(F83:AI83,"+")+COUNTIF(F83:AI83,"1"))</f>
        <v/>
      </c>
      <c r="D83" s="4">
        <f>IF(A83="","",IF(C83&gt;2*COUNTA(F$73:AI$73)/3,1,IF(C83&gt;=COUNTA(F$73:AI$73)/2,0.8,0.5)))</f>
        <v/>
      </c>
      <c r="E83" s="4">
        <f>IF(A83="","",SUMIFS('Логи'!$H$4:$H$3006,'Логи'!$A$4:$A$3006,A83,'Логи'!$C$4:$C$3006,2))</f>
        <v/>
      </c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</row>
    <row r="84">
      <c r="A84" s="4" t="inlineStr">
        <is>
          <t>Студент2.11</t>
        </is>
      </c>
      <c r="B84" s="4" t="inlineStr"/>
      <c r="C84" s="4">
        <f>IF(A84="","",COUNTIF(F84:AI84,"+")+COUNTIF(F84:AI84,"1"))</f>
        <v/>
      </c>
      <c r="D84" s="4">
        <f>IF(A84="","",IF(C84&gt;2*COUNTA(F$73:AI$73)/3,1,IF(C84&gt;=COUNTA(F$73:AI$73)/2,0.8,0.5)))</f>
        <v/>
      </c>
      <c r="E84" s="4">
        <f>IF(A84="","",SUMIFS('Логи'!$H$4:$H$3006,'Логи'!$A$4:$A$3006,A84,'Логи'!$C$4:$C$3006,2))</f>
        <v/>
      </c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</row>
    <row r="85">
      <c r="A85" s="4" t="inlineStr">
        <is>
          <t>Студент2.12</t>
        </is>
      </c>
      <c r="B85" s="4" t="inlineStr"/>
      <c r="C85" s="4">
        <f>IF(A85="","",COUNTIF(F85:AI85,"+")+COUNTIF(F85:AI85,"1"))</f>
        <v/>
      </c>
      <c r="D85" s="4">
        <f>IF(A85="","",IF(C85&gt;2*COUNTA(F$73:AI$73)/3,1,IF(C85&gt;=COUNTA(F$73:AI$73)/2,0.8,0.5)))</f>
        <v/>
      </c>
      <c r="E85" s="4">
        <f>IF(A85="","",SUMIFS('Логи'!$H$4:$H$3006,'Логи'!$A$4:$A$3006,A85,'Логи'!$C$4:$C$3006,2))</f>
        <v/>
      </c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</row>
    <row r="86">
      <c r="A86" s="4" t="inlineStr">
        <is>
          <t>Студент2.13</t>
        </is>
      </c>
      <c r="B86" s="4" t="inlineStr"/>
      <c r="C86" s="4">
        <f>IF(A86="","",COUNTIF(F86:AI86,"+")+COUNTIF(F86:AI86,"1"))</f>
        <v/>
      </c>
      <c r="D86" s="4">
        <f>IF(A86="","",IF(C86&gt;2*COUNTA(F$73:AI$73)/3,1,IF(C86&gt;=COUNTA(F$73:AI$73)/2,0.8,0.5)))</f>
        <v/>
      </c>
      <c r="E86" s="4">
        <f>IF(A86="","",SUMIFS('Логи'!$H$4:$H$3006,'Логи'!$A$4:$A$3006,A86,'Логи'!$C$4:$C$3006,2))</f>
        <v/>
      </c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</row>
    <row r="87">
      <c r="A87" s="4" t="inlineStr">
        <is>
          <t>Студент2.14</t>
        </is>
      </c>
      <c r="B87" s="4" t="inlineStr"/>
      <c r="C87" s="4">
        <f>IF(A87="","",COUNTIF(F87:AI87,"+")+COUNTIF(F87:AI87,"1"))</f>
        <v/>
      </c>
      <c r="D87" s="4">
        <f>IF(A87="","",IF(C87&gt;2*COUNTA(F$73:AI$73)/3,1,IF(C87&gt;=COUNTA(F$73:AI$73)/2,0.8,0.5)))</f>
        <v/>
      </c>
      <c r="E87" s="4">
        <f>IF(A87="","",SUMIFS('Логи'!$H$4:$H$3006,'Логи'!$A$4:$A$3006,A87,'Логи'!$C$4:$C$3006,2))</f>
        <v/>
      </c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</row>
    <row r="88">
      <c r="A88" s="4" t="inlineStr">
        <is>
          <t>Студент2.15</t>
        </is>
      </c>
      <c r="B88" s="4" t="inlineStr"/>
      <c r="C88" s="4">
        <f>IF(A88="","",COUNTIF(F88:AI88,"+")+COUNTIF(F88:AI88,"1"))</f>
        <v/>
      </c>
      <c r="D88" s="4">
        <f>IF(A88="","",IF(C88&gt;2*COUNTA(F$73:AI$73)/3,1,IF(C88&gt;=COUNTA(F$73:AI$73)/2,0.8,0.5)))</f>
        <v/>
      </c>
      <c r="E88" s="4">
        <f>IF(A88="","",SUMIFS('Логи'!$H$4:$H$3006,'Логи'!$A$4:$A$3006,A88,'Логи'!$C$4:$C$3006,2))</f>
        <v/>
      </c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</row>
    <row r="89">
      <c r="A89" s="4" t="inlineStr">
        <is>
          <t>Студент2.16</t>
        </is>
      </c>
      <c r="B89" s="4" t="inlineStr"/>
      <c r="C89" s="4">
        <f>IF(A89="","",COUNTIF(F89:AI89,"+")+COUNTIF(F89:AI89,"1"))</f>
        <v/>
      </c>
      <c r="D89" s="4">
        <f>IF(A89="","",IF(C89&gt;2*COUNTA(F$73:AI$73)/3,1,IF(C89&gt;=COUNTA(F$73:AI$73)/2,0.8,0.5)))</f>
        <v/>
      </c>
      <c r="E89" s="4">
        <f>IF(A89="","",SUMIFS('Логи'!$H$4:$H$3006,'Логи'!$A$4:$A$3006,A89,'Логи'!$C$4:$C$3006,2))</f>
        <v/>
      </c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</row>
    <row r="90">
      <c r="A90" s="4" t="inlineStr">
        <is>
          <t>Студент2.17</t>
        </is>
      </c>
      <c r="B90" s="4" t="inlineStr"/>
      <c r="C90" s="4">
        <f>IF(A90="","",COUNTIF(F90:AI90,"+")+COUNTIF(F90:AI90,"1"))</f>
        <v/>
      </c>
      <c r="D90" s="4">
        <f>IF(A90="","",IF(C90&gt;2*COUNTA(F$73:AI$73)/3,1,IF(C90&gt;=COUNTA(F$73:AI$73)/2,0.8,0.5)))</f>
        <v/>
      </c>
      <c r="E90" s="4">
        <f>IF(A90="","",SUMIFS('Логи'!$H$4:$H$3006,'Логи'!$A$4:$A$3006,A90,'Логи'!$C$4:$C$3006,2))</f>
        <v/>
      </c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</row>
    <row r="91">
      <c r="A91" s="4" t="inlineStr">
        <is>
          <t>Студент2.18</t>
        </is>
      </c>
      <c r="B91" s="4" t="inlineStr"/>
      <c r="C91" s="4">
        <f>IF(A91="","",COUNTIF(F91:AI91,"+")+COUNTIF(F91:AI91,"1"))</f>
        <v/>
      </c>
      <c r="D91" s="4">
        <f>IF(A91="","",IF(C91&gt;2*COUNTA(F$73:AI$73)/3,1,IF(C91&gt;=COUNTA(F$73:AI$73)/2,0.8,0.5)))</f>
        <v/>
      </c>
      <c r="E91" s="4">
        <f>IF(A91="","",SUMIFS('Логи'!$H$4:$H$3006,'Логи'!$A$4:$A$3006,A91,'Логи'!$C$4:$C$3006,2))</f>
        <v/>
      </c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</row>
    <row r="92">
      <c r="A92" s="4" t="inlineStr">
        <is>
          <t>Студент2.19</t>
        </is>
      </c>
      <c r="B92" s="4" t="inlineStr"/>
      <c r="C92" s="4">
        <f>IF(A92="","",COUNTIF(F92:AI92,"+")+COUNTIF(F92:AI92,"1"))</f>
        <v/>
      </c>
      <c r="D92" s="4">
        <f>IF(A92="","",IF(C92&gt;2*COUNTA(F$73:AI$73)/3,1,IF(C92&gt;=COUNTA(F$73:AI$73)/2,0.8,0.5)))</f>
        <v/>
      </c>
      <c r="E92" s="4">
        <f>IF(A92="","",SUMIFS('Логи'!$H$4:$H$3006,'Логи'!$A$4:$A$3006,A92,'Логи'!$C$4:$C$3006,2))</f>
        <v/>
      </c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</row>
    <row r="93">
      <c r="A93" s="4" t="inlineStr">
        <is>
          <t>Студент2.20</t>
        </is>
      </c>
      <c r="B93" s="4" t="inlineStr"/>
      <c r="C93" s="4">
        <f>IF(A93="","",COUNTIF(F93:AI93,"+")+COUNTIF(F93:AI93,"1"))</f>
        <v/>
      </c>
      <c r="D93" s="4">
        <f>IF(A93="","",IF(C93&gt;2*COUNTA(F$73:AI$73)/3,1,IF(C93&gt;=COUNTA(F$73:AI$73)/2,0.8,0.5)))</f>
        <v/>
      </c>
      <c r="E93" s="4">
        <f>IF(A93="","",SUMIFS('Логи'!$H$4:$H$3006,'Логи'!$A$4:$A$3006,A93,'Логи'!$C$4:$C$3006,2))</f>
        <v/>
      </c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</row>
    <row r="94">
      <c r="A94" s="4" t="inlineStr">
        <is>
          <t>Студент2.21</t>
        </is>
      </c>
      <c r="B94" s="4" t="inlineStr"/>
      <c r="C94" s="4">
        <f>IF(A94="","",COUNTIF(F94:AI94,"+")+COUNTIF(F94:AI94,"1"))</f>
        <v/>
      </c>
      <c r="D94" s="4">
        <f>IF(A94="","",IF(C94&gt;2*COUNTA(F$73:AI$73)/3,1,IF(C94&gt;=COUNTA(F$73:AI$73)/2,0.8,0.5)))</f>
        <v/>
      </c>
      <c r="E94" s="4">
        <f>IF(A94="","",SUMIFS('Логи'!$H$4:$H$3006,'Логи'!$A$4:$A$3006,A94,'Логи'!$C$4:$C$3006,2))</f>
        <v/>
      </c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</row>
    <row r="95">
      <c r="A95" s="4" t="inlineStr">
        <is>
          <t>Студент2.22</t>
        </is>
      </c>
      <c r="B95" s="4" t="inlineStr"/>
      <c r="C95" s="4">
        <f>IF(A95="","",COUNTIF(F95:AI95,"+")+COUNTIF(F95:AI95,"1"))</f>
        <v/>
      </c>
      <c r="D95" s="4">
        <f>IF(A95="","",IF(C95&gt;2*COUNTA(F$73:AI$73)/3,1,IF(C95&gt;=COUNTA(F$73:AI$73)/2,0.8,0.5)))</f>
        <v/>
      </c>
      <c r="E95" s="4">
        <f>IF(A95="","",SUMIFS('Логи'!$H$4:$H$3006,'Логи'!$A$4:$A$3006,A95,'Логи'!$C$4:$C$3006,2))</f>
        <v/>
      </c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</row>
    <row r="96">
      <c r="A96" s="4" t="inlineStr">
        <is>
          <t>Студент2.23</t>
        </is>
      </c>
      <c r="B96" s="4" t="inlineStr"/>
      <c r="C96" s="4">
        <f>IF(A96="","",COUNTIF(F96:AI96,"+")+COUNTIF(F96:AI96,"1"))</f>
        <v/>
      </c>
      <c r="D96" s="4">
        <f>IF(A96="","",IF(C96&gt;2*COUNTA(F$73:AI$73)/3,1,IF(C96&gt;=COUNTA(F$73:AI$73)/2,0.8,0.5)))</f>
        <v/>
      </c>
      <c r="E96" s="4">
        <f>IF(A96="","",SUMIFS('Логи'!$H$4:$H$3006,'Логи'!$A$4:$A$3006,A96,'Логи'!$C$4:$C$3006,2))</f>
        <v/>
      </c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</row>
    <row r="97">
      <c r="A97" s="4" t="inlineStr">
        <is>
          <t>Студент2.24</t>
        </is>
      </c>
      <c r="B97" s="4" t="inlineStr"/>
      <c r="C97" s="4">
        <f>IF(A97="","",COUNTIF(F97:AI97,"+")+COUNTIF(F97:AI97,"1"))</f>
        <v/>
      </c>
      <c r="D97" s="4">
        <f>IF(A97="","",IF(C97&gt;2*COUNTA(F$73:AI$73)/3,1,IF(C97&gt;=COUNTA(F$73:AI$73)/2,0.8,0.5)))</f>
        <v/>
      </c>
      <c r="E97" s="4">
        <f>IF(A97="","",SUMIFS('Логи'!$H$4:$H$3006,'Логи'!$A$4:$A$3006,A97,'Логи'!$C$4:$C$3006,2))</f>
        <v/>
      </c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</row>
    <row r="98">
      <c r="A98" s="4" t="inlineStr">
        <is>
          <t>Студент2.25</t>
        </is>
      </c>
      <c r="B98" s="4" t="inlineStr"/>
      <c r="C98" s="4">
        <f>IF(A98="","",COUNTIF(F98:AI98,"+")+COUNTIF(F98:AI98,"1"))</f>
        <v/>
      </c>
      <c r="D98" s="4">
        <f>IF(A98="","",IF(C98&gt;2*COUNTA(F$73:AI$73)/3,1,IF(C98&gt;=COUNTA(F$73:AI$73)/2,0.8,0.5)))</f>
        <v/>
      </c>
      <c r="E98" s="4">
        <f>IF(A98="","",SUMIFS('Логи'!$H$4:$H$3006,'Логи'!$A$4:$A$3006,A98,'Логи'!$C$4:$C$3006,2))</f>
        <v/>
      </c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</row>
    <row r="99">
      <c r="A99" s="4" t="inlineStr">
        <is>
          <t>Студент2.26</t>
        </is>
      </c>
      <c r="B99" s="4" t="inlineStr"/>
      <c r="C99" s="4">
        <f>IF(A99="","",COUNTIF(F99:AI99,"+")+COUNTIF(F99:AI99,"1"))</f>
        <v/>
      </c>
      <c r="D99" s="4">
        <f>IF(A99="","",IF(C99&gt;2*COUNTA(F$73:AI$73)/3,1,IF(C99&gt;=COUNTA(F$73:AI$73)/2,0.8,0.5)))</f>
        <v/>
      </c>
      <c r="E99" s="4">
        <f>IF(A99="","",SUMIFS('Логи'!$H$4:$H$3006,'Логи'!$A$4:$A$3006,A99,'Логи'!$C$4:$C$3006,2))</f>
        <v/>
      </c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</row>
    <row r="100">
      <c r="A100" s="4" t="inlineStr">
        <is>
          <t>Студент2.27</t>
        </is>
      </c>
      <c r="B100" s="4" t="inlineStr"/>
      <c r="C100" s="4">
        <f>IF(A100="","",COUNTIF(F100:AI100,"+")+COUNTIF(F100:AI100,"1"))</f>
        <v/>
      </c>
      <c r="D100" s="4">
        <f>IF(A100="","",IF(C100&gt;2*COUNTA(F$73:AI$73)/3,1,IF(C100&gt;=COUNTA(F$73:AI$73)/2,0.8,0.5)))</f>
        <v/>
      </c>
      <c r="E100" s="4">
        <f>IF(A100="","",SUMIFS('Логи'!$H$4:$H$3006,'Логи'!$A$4:$A$3006,A100,'Логи'!$C$4:$C$3006,2))</f>
        <v/>
      </c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</row>
    <row r="101">
      <c r="A101" s="4" t="inlineStr">
        <is>
          <t>Студент2.28</t>
        </is>
      </c>
      <c r="B101" s="4" t="inlineStr"/>
      <c r="C101" s="4">
        <f>IF(A101="","",COUNTIF(F101:AI101,"+")+COUNTIF(F101:AI101,"1"))</f>
        <v/>
      </c>
      <c r="D101" s="4">
        <f>IF(A101="","",IF(C101&gt;2*COUNTA(F$73:AI$73)/3,1,IF(C101&gt;=COUNTA(F$73:AI$73)/2,0.8,0.5)))</f>
        <v/>
      </c>
      <c r="E101" s="4">
        <f>IF(A101="","",SUMIFS('Логи'!$H$4:$H$3006,'Логи'!$A$4:$A$3006,A101,'Логи'!$C$4:$C$3006,2))</f>
        <v/>
      </c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</row>
    <row r="102">
      <c r="A102" s="4" t="inlineStr">
        <is>
          <t>Студент2.29</t>
        </is>
      </c>
      <c r="B102" s="4" t="inlineStr"/>
      <c r="C102" s="4">
        <f>IF(A102="","",COUNTIF(F102:AI102,"+")+COUNTIF(F102:AI102,"1"))</f>
        <v/>
      </c>
      <c r="D102" s="4">
        <f>IF(A102="","",IF(C102&gt;2*COUNTA(F$73:AI$73)/3,1,IF(C102&gt;=COUNTA(F$73:AI$73)/2,0.8,0.5)))</f>
        <v/>
      </c>
      <c r="E102" s="4">
        <f>IF(A102="","",SUMIFS('Логи'!$H$4:$H$3006,'Логи'!$A$4:$A$3006,A102,'Логи'!$C$4:$C$3006,2))</f>
        <v/>
      </c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</row>
    <row r="103">
      <c r="A103" s="4" t="inlineStr">
        <is>
          <t>Студент2.30</t>
        </is>
      </c>
      <c r="B103" s="4" t="inlineStr"/>
      <c r="C103" s="4">
        <f>IF(A103="","",COUNTIF(F103:AI103,"+")+COUNTIF(F103:AI103,"1"))</f>
        <v/>
      </c>
      <c r="D103" s="4">
        <f>IF(A103="","",IF(C103&gt;2*COUNTA(F$73:AI$73)/3,1,IF(C103&gt;=COUNTA(F$73:AI$73)/2,0.8,0.5)))</f>
        <v/>
      </c>
      <c r="E103" s="4">
        <f>IF(A103="","",SUMIFS('Логи'!$H$4:$H$3006,'Логи'!$A$4:$A$3006,A103,'Логи'!$C$4:$C$3006,2))</f>
        <v/>
      </c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</row>
    <row r="105">
      <c r="A105" s="16" t="inlineStr">
        <is>
          <t>Практика 2 — результаты рассказа</t>
        </is>
      </c>
    </row>
    <row r="106" ht="28" customHeight="1">
      <c r="A106" s="7" t="inlineStr">
        <is>
          <t>Имя</t>
        </is>
      </c>
      <c r="B106" s="9" t="inlineStr">
        <is>
          <t>TG</t>
        </is>
      </c>
      <c r="C106" s="10" t="inlineStr"/>
      <c r="D106" s="2" t="inlineStr"/>
      <c r="E106" s="2" t="inlineStr"/>
      <c r="F106" s="11" t="inlineStr">
        <is>
          <t>1.0</t>
        </is>
      </c>
      <c r="G106" s="11" t="inlineStr">
        <is>
          <t>2.0</t>
        </is>
      </c>
      <c r="H106" s="11" t="inlineStr">
        <is>
          <t>3.0</t>
        </is>
      </c>
      <c r="I106" s="11" t="inlineStr">
        <is>
          <t>4.0</t>
        </is>
      </c>
      <c r="J106" s="11" t="inlineStr">
        <is>
          <t>5.0</t>
        </is>
      </c>
      <c r="K106" s="11" t="inlineStr">
        <is>
          <t>6</t>
        </is>
      </c>
      <c r="L106" s="11" t="inlineStr">
        <is>
          <t>7</t>
        </is>
      </c>
      <c r="M106" s="11" t="inlineStr">
        <is>
          <t>8</t>
        </is>
      </c>
      <c r="N106" s="11" t="inlineStr">
        <is>
          <t>9</t>
        </is>
      </c>
      <c r="O106" s="11" t="inlineStr">
        <is>
          <t>10</t>
        </is>
      </c>
      <c r="P106" s="11" t="inlineStr">
        <is>
          <t>11</t>
        </is>
      </c>
      <c r="Q106" s="11" t="inlineStr">
        <is>
          <t>12</t>
        </is>
      </c>
      <c r="R106" s="11" t="inlineStr">
        <is>
          <t>13</t>
        </is>
      </c>
      <c r="S106" s="11" t="inlineStr">
        <is>
          <t>14</t>
        </is>
      </c>
      <c r="T106" s="11" t="inlineStr">
        <is>
          <t>15</t>
        </is>
      </c>
      <c r="U106" s="11" t="inlineStr">
        <is>
          <t>16</t>
        </is>
      </c>
      <c r="V106" s="11" t="inlineStr">
        <is>
          <t>17</t>
        </is>
      </c>
      <c r="W106" s="11" t="inlineStr">
        <is>
          <t>18</t>
        </is>
      </c>
      <c r="X106" s="11" t="inlineStr">
        <is>
          <t>19</t>
        </is>
      </c>
      <c r="Y106" s="11" t="inlineStr">
        <is>
          <t>20</t>
        </is>
      </c>
      <c r="Z106" s="11" t="inlineStr">
        <is>
          <t>21</t>
        </is>
      </c>
      <c r="AA106" s="11" t="inlineStr">
        <is>
          <t>22</t>
        </is>
      </c>
      <c r="AB106" s="11" t="inlineStr">
        <is>
          <t>23</t>
        </is>
      </c>
      <c r="AC106" s="11" t="inlineStr">
        <is>
          <t>24</t>
        </is>
      </c>
      <c r="AD106" s="11" t="inlineStr">
        <is>
          <t>25</t>
        </is>
      </c>
      <c r="AE106" s="11" t="inlineStr">
        <is>
          <t>26</t>
        </is>
      </c>
      <c r="AF106" s="11" t="inlineStr">
        <is>
          <t>27</t>
        </is>
      </c>
      <c r="AG106" s="11" t="inlineStr">
        <is>
          <t>28</t>
        </is>
      </c>
      <c r="AH106" s="11" t="inlineStr">
        <is>
          <t>29</t>
        </is>
      </c>
      <c r="AI106" s="11" t="inlineStr">
        <is>
          <t>30</t>
        </is>
      </c>
    </row>
    <row r="107">
      <c r="A107" s="4" t="inlineStr">
        <is>
          <t>Студент2.1</t>
        </is>
      </c>
      <c r="B107" s="4" t="inlineStr"/>
      <c r="C107" s="4" t="n"/>
      <c r="D107" s="4" t="n"/>
      <c r="E107" s="4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  <c r="AG107" s="15" t="n"/>
      <c r="AH107" s="15" t="n"/>
      <c r="AI107" s="15" t="n"/>
    </row>
    <row r="108">
      <c r="A108" s="4" t="inlineStr">
        <is>
          <t>Студент2.2</t>
        </is>
      </c>
      <c r="B108" s="4" t="inlineStr"/>
      <c r="C108" s="4" t="n"/>
      <c r="D108" s="4" t="n"/>
      <c r="E108" s="4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  <c r="AG108" s="15" t="n"/>
      <c r="AH108" s="15" t="n"/>
      <c r="AI108" s="15" t="n"/>
    </row>
    <row r="109">
      <c r="A109" s="4" t="inlineStr">
        <is>
          <t>Студент2.3</t>
        </is>
      </c>
      <c r="B109" s="4" t="inlineStr"/>
      <c r="C109" s="4" t="n"/>
      <c r="D109" s="4" t="n"/>
      <c r="E109" s="4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5" t="n"/>
    </row>
    <row r="110">
      <c r="A110" s="4" t="inlineStr">
        <is>
          <t>Студент2.4</t>
        </is>
      </c>
      <c r="B110" s="4" t="inlineStr"/>
      <c r="C110" s="4" t="n"/>
      <c r="D110" s="4" t="n"/>
      <c r="E110" s="4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  <c r="AF110" s="15" t="n"/>
      <c r="AG110" s="15" t="n"/>
      <c r="AH110" s="15" t="n"/>
      <c r="AI110" s="15" t="n"/>
    </row>
    <row r="111">
      <c r="A111" s="4" t="inlineStr">
        <is>
          <t>Студент2.5</t>
        </is>
      </c>
      <c r="B111" s="4" t="inlineStr"/>
      <c r="C111" s="4" t="n"/>
      <c r="D111" s="4" t="n"/>
      <c r="E111" s="4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  <c r="AG111" s="15" t="n"/>
      <c r="AH111" s="15" t="n"/>
      <c r="AI111" s="15" t="n"/>
    </row>
    <row r="112">
      <c r="A112" s="4" t="inlineStr">
        <is>
          <t>Студент2.6</t>
        </is>
      </c>
      <c r="B112" s="4" t="inlineStr"/>
      <c r="C112" s="4" t="n"/>
      <c r="D112" s="4" t="n"/>
      <c r="E112" s="4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  <c r="AG112" s="15" t="n"/>
      <c r="AH112" s="15" t="n"/>
      <c r="AI112" s="15" t="n"/>
    </row>
    <row r="113">
      <c r="A113" s="4" t="inlineStr">
        <is>
          <t>Студент2.7</t>
        </is>
      </c>
      <c r="B113" s="4" t="inlineStr"/>
      <c r="C113" s="4" t="n"/>
      <c r="D113" s="4" t="n"/>
      <c r="E113" s="4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  <c r="AH113" s="15" t="n"/>
      <c r="AI113" s="15" t="n"/>
    </row>
    <row r="114">
      <c r="A114" s="4" t="inlineStr">
        <is>
          <t>Студент2.8</t>
        </is>
      </c>
      <c r="B114" s="4" t="inlineStr"/>
      <c r="C114" s="4" t="n"/>
      <c r="D114" s="4" t="n"/>
      <c r="E114" s="4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  <c r="AH114" s="15" t="n"/>
      <c r="AI114" s="15" t="n"/>
    </row>
    <row r="115">
      <c r="A115" s="4" t="inlineStr">
        <is>
          <t>Студент2.9</t>
        </is>
      </c>
      <c r="B115" s="4" t="inlineStr"/>
      <c r="C115" s="4" t="n"/>
      <c r="D115" s="4" t="n"/>
      <c r="E115" s="4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</row>
    <row r="116">
      <c r="A116" s="4" t="inlineStr">
        <is>
          <t>Студент2.10</t>
        </is>
      </c>
      <c r="B116" s="4" t="inlineStr"/>
      <c r="C116" s="4" t="n"/>
      <c r="D116" s="4" t="n"/>
      <c r="E116" s="4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5" t="n"/>
    </row>
    <row r="117">
      <c r="A117" s="4" t="inlineStr">
        <is>
          <t>Студент2.11</t>
        </is>
      </c>
      <c r="B117" s="4" t="inlineStr"/>
      <c r="C117" s="4" t="n"/>
      <c r="D117" s="4" t="n"/>
      <c r="E117" s="4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</row>
    <row r="118">
      <c r="A118" s="4" t="inlineStr">
        <is>
          <t>Студент2.12</t>
        </is>
      </c>
      <c r="B118" s="4" t="inlineStr"/>
      <c r="C118" s="4" t="n"/>
      <c r="D118" s="4" t="n"/>
      <c r="E118" s="4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</row>
    <row r="119">
      <c r="A119" s="4" t="inlineStr">
        <is>
          <t>Студент2.13</t>
        </is>
      </c>
      <c r="B119" s="4" t="inlineStr"/>
      <c r="C119" s="4" t="n"/>
      <c r="D119" s="4" t="n"/>
      <c r="E119" s="4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5" t="n"/>
    </row>
    <row r="120">
      <c r="A120" s="4" t="inlineStr">
        <is>
          <t>Студент2.14</t>
        </is>
      </c>
      <c r="B120" s="4" t="inlineStr"/>
      <c r="C120" s="4" t="n"/>
      <c r="D120" s="4" t="n"/>
      <c r="E120" s="4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5" t="n"/>
    </row>
    <row r="121">
      <c r="A121" s="4" t="inlineStr">
        <is>
          <t>Студент2.15</t>
        </is>
      </c>
      <c r="B121" s="4" t="inlineStr"/>
      <c r="C121" s="4" t="n"/>
      <c r="D121" s="4" t="n"/>
      <c r="E121" s="4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  <c r="AG121" s="15" t="n"/>
      <c r="AH121" s="15" t="n"/>
      <c r="AI121" s="15" t="n"/>
    </row>
    <row r="122">
      <c r="A122" s="4" t="inlineStr">
        <is>
          <t>Студент2.16</t>
        </is>
      </c>
      <c r="B122" s="4" t="inlineStr"/>
      <c r="C122" s="4" t="n"/>
      <c r="D122" s="4" t="n"/>
      <c r="E122" s="4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  <c r="AG122" s="15" t="n"/>
      <c r="AH122" s="15" t="n"/>
      <c r="AI122" s="15" t="n"/>
    </row>
    <row r="123">
      <c r="A123" s="4" t="inlineStr">
        <is>
          <t>Студент2.17</t>
        </is>
      </c>
      <c r="B123" s="4" t="inlineStr"/>
      <c r="C123" s="4" t="n"/>
      <c r="D123" s="4" t="n"/>
      <c r="E123" s="4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5" t="n"/>
    </row>
    <row r="124">
      <c r="A124" s="4" t="inlineStr">
        <is>
          <t>Студент2.18</t>
        </is>
      </c>
      <c r="B124" s="4" t="inlineStr"/>
      <c r="C124" s="4" t="n"/>
      <c r="D124" s="4" t="n"/>
      <c r="E124" s="4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  <c r="AG124" s="15" t="n"/>
      <c r="AH124" s="15" t="n"/>
      <c r="AI124" s="15" t="n"/>
    </row>
    <row r="125">
      <c r="A125" s="4" t="inlineStr">
        <is>
          <t>Студент2.19</t>
        </is>
      </c>
      <c r="B125" s="4" t="inlineStr"/>
      <c r="C125" s="4" t="n"/>
      <c r="D125" s="4" t="n"/>
      <c r="E125" s="4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5" t="n"/>
    </row>
    <row r="126">
      <c r="A126" s="4" t="inlineStr">
        <is>
          <t>Студент2.20</t>
        </is>
      </c>
      <c r="B126" s="4" t="inlineStr"/>
      <c r="C126" s="4" t="n"/>
      <c r="D126" s="4" t="n"/>
      <c r="E126" s="4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  <c r="AG126" s="15" t="n"/>
      <c r="AH126" s="15" t="n"/>
      <c r="AI126" s="15" t="n"/>
    </row>
    <row r="127">
      <c r="A127" s="4" t="inlineStr">
        <is>
          <t>Студент2.21</t>
        </is>
      </c>
      <c r="B127" s="4" t="inlineStr"/>
      <c r="C127" s="4" t="n"/>
      <c r="D127" s="4" t="n"/>
      <c r="E127" s="4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</row>
    <row r="128">
      <c r="A128" s="4" t="inlineStr">
        <is>
          <t>Студент2.22</t>
        </is>
      </c>
      <c r="B128" s="4" t="inlineStr"/>
      <c r="C128" s="4" t="n"/>
      <c r="D128" s="4" t="n"/>
      <c r="E128" s="4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5" t="n"/>
    </row>
    <row r="129">
      <c r="A129" s="4" t="inlineStr">
        <is>
          <t>Студент2.23</t>
        </is>
      </c>
      <c r="B129" s="4" t="inlineStr"/>
      <c r="C129" s="4" t="n"/>
      <c r="D129" s="4" t="n"/>
      <c r="E129" s="4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5" t="n"/>
    </row>
    <row r="130">
      <c r="A130" s="4" t="inlineStr">
        <is>
          <t>Студент2.24</t>
        </is>
      </c>
      <c r="B130" s="4" t="inlineStr"/>
      <c r="C130" s="4" t="n"/>
      <c r="D130" s="4" t="n"/>
      <c r="E130" s="4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  <c r="AG130" s="15" t="n"/>
      <c r="AH130" s="15" t="n"/>
      <c r="AI130" s="15" t="n"/>
    </row>
    <row r="131">
      <c r="A131" s="4" t="inlineStr">
        <is>
          <t>Студент2.25</t>
        </is>
      </c>
      <c r="B131" s="4" t="inlineStr"/>
      <c r="C131" s="4" t="n"/>
      <c r="D131" s="4" t="n"/>
      <c r="E131" s="4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5" t="n"/>
    </row>
    <row r="132">
      <c r="A132" s="4" t="inlineStr">
        <is>
          <t>Студент2.26</t>
        </is>
      </c>
      <c r="B132" s="4" t="inlineStr"/>
      <c r="C132" s="4" t="n"/>
      <c r="D132" s="4" t="n"/>
      <c r="E132" s="4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  <c r="AF132" s="15" t="n"/>
      <c r="AG132" s="15" t="n"/>
      <c r="AH132" s="15" t="n"/>
      <c r="AI132" s="15" t="n"/>
    </row>
    <row r="133">
      <c r="A133" s="4" t="inlineStr">
        <is>
          <t>Студент2.27</t>
        </is>
      </c>
      <c r="B133" s="4" t="inlineStr"/>
      <c r="C133" s="4" t="n"/>
      <c r="D133" s="4" t="n"/>
      <c r="E133" s="4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</row>
    <row r="134">
      <c r="A134" s="4" t="inlineStr">
        <is>
          <t>Студент2.28</t>
        </is>
      </c>
      <c r="B134" s="4" t="inlineStr"/>
      <c r="C134" s="4" t="n"/>
      <c r="D134" s="4" t="n"/>
      <c r="E134" s="4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  <c r="AG134" s="15" t="n"/>
      <c r="AH134" s="15" t="n"/>
      <c r="AI134" s="15" t="n"/>
    </row>
    <row r="135">
      <c r="A135" s="4" t="inlineStr">
        <is>
          <t>Студент2.29</t>
        </is>
      </c>
      <c r="B135" s="4" t="inlineStr"/>
      <c r="C135" s="4" t="n"/>
      <c r="D135" s="4" t="n"/>
      <c r="E135" s="4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5" t="n"/>
    </row>
    <row r="136">
      <c r="A136" s="4" t="inlineStr">
        <is>
          <t>Студент2.30</t>
        </is>
      </c>
      <c r="B136" s="4" t="inlineStr"/>
      <c r="C136" s="4" t="n"/>
      <c r="D136" s="4" t="n"/>
      <c r="E136" s="4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</row>
    <row r="140">
      <c r="A140" s="13" t="inlineStr">
        <is>
          <t>Практика 3 — плюсы</t>
        </is>
      </c>
    </row>
    <row r="141" ht="28" customHeight="1">
      <c r="A141" s="7" t="inlineStr">
        <is>
          <t>Имя</t>
        </is>
      </c>
      <c r="B141" s="9" t="inlineStr">
        <is>
          <t>TG</t>
        </is>
      </c>
      <c r="C141" s="10" t="inlineStr">
        <is>
          <t>S</t>
        </is>
      </c>
      <c r="D141" s="8" t="inlineStr">
        <is>
          <t>Коэффициент</t>
        </is>
      </c>
      <c r="E141" s="14" t="inlineStr">
        <is>
          <t>D за практику</t>
        </is>
      </c>
      <c r="F141" s="11" t="inlineStr">
        <is>
          <t>1.0</t>
        </is>
      </c>
      <c r="G141" s="11" t="inlineStr">
        <is>
          <t>2.0</t>
        </is>
      </c>
      <c r="H141" s="11" t="inlineStr">
        <is>
          <t>3.0</t>
        </is>
      </c>
      <c r="I141" s="11" t="inlineStr">
        <is>
          <t>4.0</t>
        </is>
      </c>
      <c r="J141" s="11" t="inlineStr">
        <is>
          <t>5.0</t>
        </is>
      </c>
      <c r="K141" s="11" t="inlineStr">
        <is>
          <t>6</t>
        </is>
      </c>
      <c r="L141" s="11" t="inlineStr">
        <is>
          <t>7</t>
        </is>
      </c>
      <c r="M141" s="11" t="inlineStr">
        <is>
          <t>8</t>
        </is>
      </c>
      <c r="N141" s="11" t="inlineStr">
        <is>
          <t>9</t>
        </is>
      </c>
      <c r="O141" s="11" t="inlineStr">
        <is>
          <t>10</t>
        </is>
      </c>
      <c r="P141" s="11" t="inlineStr">
        <is>
          <t>11</t>
        </is>
      </c>
      <c r="Q141" s="11" t="inlineStr">
        <is>
          <t>12</t>
        </is>
      </c>
      <c r="R141" s="11" t="inlineStr">
        <is>
          <t>13</t>
        </is>
      </c>
      <c r="S141" s="11" t="inlineStr">
        <is>
          <t>14</t>
        </is>
      </c>
      <c r="T141" s="11" t="inlineStr">
        <is>
          <t>15</t>
        </is>
      </c>
      <c r="U141" s="11" t="inlineStr">
        <is>
          <t>16</t>
        </is>
      </c>
      <c r="V141" s="11" t="inlineStr">
        <is>
          <t>17</t>
        </is>
      </c>
      <c r="W141" s="11" t="inlineStr">
        <is>
          <t>18</t>
        </is>
      </c>
      <c r="X141" s="11" t="inlineStr">
        <is>
          <t>19</t>
        </is>
      </c>
      <c r="Y141" s="11" t="inlineStr">
        <is>
          <t>20</t>
        </is>
      </c>
      <c r="Z141" s="11" t="inlineStr">
        <is>
          <t>21</t>
        </is>
      </c>
      <c r="AA141" s="11" t="inlineStr">
        <is>
          <t>22</t>
        </is>
      </c>
      <c r="AB141" s="11" t="inlineStr">
        <is>
          <t>23</t>
        </is>
      </c>
      <c r="AC141" s="11" t="inlineStr">
        <is>
          <t>24</t>
        </is>
      </c>
      <c r="AD141" s="11" t="inlineStr">
        <is>
          <t>25</t>
        </is>
      </c>
      <c r="AE141" s="11" t="inlineStr">
        <is>
          <t>26</t>
        </is>
      </c>
      <c r="AF141" s="11" t="inlineStr">
        <is>
          <t>27</t>
        </is>
      </c>
      <c r="AG141" s="11" t="inlineStr">
        <is>
          <t>28</t>
        </is>
      </c>
      <c r="AH141" s="11" t="inlineStr">
        <is>
          <t>29</t>
        </is>
      </c>
      <c r="AI141" s="11" t="inlineStr">
        <is>
          <t>30</t>
        </is>
      </c>
    </row>
    <row r="142">
      <c r="A142" s="4" t="inlineStr">
        <is>
          <t>Студент2.1</t>
        </is>
      </c>
      <c r="B142" s="4" t="inlineStr"/>
      <c r="C142" s="4">
        <f>IF(A142="","",COUNTIF(F142:AI142,"+")+COUNTIF(F142:AI142,"1"))</f>
        <v/>
      </c>
      <c r="D142" s="4">
        <f>IF(A142="","",IF(C142&gt;2*COUNTA(F$141:AI$141)/3,1,IF(C142&gt;=COUNTA(F$141:AI$141)/2,0.8,0.5)))</f>
        <v/>
      </c>
      <c r="E142" s="4">
        <f>IF(A142="","",SUMIFS('Логи'!$H$4:$H$3006,'Логи'!$A$4:$A$3006,A142,'Логи'!$C$4:$C$3006,3))</f>
        <v/>
      </c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  <c r="AG142" s="15" t="n"/>
      <c r="AH142" s="15" t="n"/>
      <c r="AI142" s="15" t="n"/>
    </row>
    <row r="143">
      <c r="A143" s="4" t="inlineStr">
        <is>
          <t>Студент2.2</t>
        </is>
      </c>
      <c r="B143" s="4" t="inlineStr"/>
      <c r="C143" s="4">
        <f>IF(A143="","",COUNTIF(F143:AI143,"+")+COUNTIF(F143:AI143,"1"))</f>
        <v/>
      </c>
      <c r="D143" s="4">
        <f>IF(A143="","",IF(C143&gt;2*COUNTA(F$141:AI$141)/3,1,IF(C143&gt;=COUNTA(F$141:AI$141)/2,0.8,0.5)))</f>
        <v/>
      </c>
      <c r="E143" s="4">
        <f>IF(A143="","",SUMIFS('Логи'!$H$4:$H$3006,'Логи'!$A$4:$A$3006,A143,'Логи'!$C$4:$C$3006,3))</f>
        <v/>
      </c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  <c r="AG143" s="15" t="n"/>
      <c r="AH143" s="15" t="n"/>
      <c r="AI143" s="15" t="n"/>
    </row>
    <row r="144">
      <c r="A144" s="4" t="inlineStr">
        <is>
          <t>Студент2.3</t>
        </is>
      </c>
      <c r="B144" s="4" t="inlineStr"/>
      <c r="C144" s="4">
        <f>IF(A144="","",COUNTIF(F144:AI144,"+")+COUNTIF(F144:AI144,"1"))</f>
        <v/>
      </c>
      <c r="D144" s="4">
        <f>IF(A144="","",IF(C144&gt;2*COUNTA(F$141:AI$141)/3,1,IF(C144&gt;=COUNTA(F$141:AI$141)/2,0.8,0.5)))</f>
        <v/>
      </c>
      <c r="E144" s="4">
        <f>IF(A144="","",SUMIFS('Логи'!$H$4:$H$3006,'Логи'!$A$4:$A$3006,A144,'Логи'!$C$4:$C$3006,3))</f>
        <v/>
      </c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  <c r="AG144" s="15" t="n"/>
      <c r="AH144" s="15" t="n"/>
      <c r="AI144" s="15" t="n"/>
    </row>
    <row r="145">
      <c r="A145" s="4" t="inlineStr">
        <is>
          <t>Студент2.4</t>
        </is>
      </c>
      <c r="B145" s="4" t="inlineStr"/>
      <c r="C145" s="4">
        <f>IF(A145="","",COUNTIF(F145:AI145,"+")+COUNTIF(F145:AI145,"1"))</f>
        <v/>
      </c>
      <c r="D145" s="4">
        <f>IF(A145="","",IF(C145&gt;2*COUNTA(F$141:AI$141)/3,1,IF(C145&gt;=COUNTA(F$141:AI$141)/2,0.8,0.5)))</f>
        <v/>
      </c>
      <c r="E145" s="4">
        <f>IF(A145="","",SUMIFS('Логи'!$H$4:$H$3006,'Логи'!$A$4:$A$3006,A145,'Логи'!$C$4:$C$3006,3))</f>
        <v/>
      </c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  <c r="AG145" s="15" t="n"/>
      <c r="AH145" s="15" t="n"/>
      <c r="AI145" s="15" t="n"/>
    </row>
    <row r="146">
      <c r="A146" s="4" t="inlineStr">
        <is>
          <t>Студент2.5</t>
        </is>
      </c>
      <c r="B146" s="4" t="inlineStr"/>
      <c r="C146" s="4">
        <f>IF(A146="","",COUNTIF(F146:AI146,"+")+COUNTIF(F146:AI146,"1"))</f>
        <v/>
      </c>
      <c r="D146" s="4">
        <f>IF(A146="","",IF(C146&gt;2*COUNTA(F$141:AI$141)/3,1,IF(C146&gt;=COUNTA(F$141:AI$141)/2,0.8,0.5)))</f>
        <v/>
      </c>
      <c r="E146" s="4">
        <f>IF(A146="","",SUMIFS('Логи'!$H$4:$H$3006,'Логи'!$A$4:$A$3006,A146,'Логи'!$C$4:$C$3006,3))</f>
        <v/>
      </c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  <c r="AG146" s="15" t="n"/>
      <c r="AH146" s="15" t="n"/>
      <c r="AI146" s="15" t="n"/>
    </row>
    <row r="147">
      <c r="A147" s="4" t="inlineStr">
        <is>
          <t>Студент2.6</t>
        </is>
      </c>
      <c r="B147" s="4" t="inlineStr"/>
      <c r="C147" s="4">
        <f>IF(A147="","",COUNTIF(F147:AI147,"+")+COUNTIF(F147:AI147,"1"))</f>
        <v/>
      </c>
      <c r="D147" s="4">
        <f>IF(A147="","",IF(C147&gt;2*COUNTA(F$141:AI$141)/3,1,IF(C147&gt;=COUNTA(F$141:AI$141)/2,0.8,0.5)))</f>
        <v/>
      </c>
      <c r="E147" s="4">
        <f>IF(A147="","",SUMIFS('Логи'!$H$4:$H$3006,'Логи'!$A$4:$A$3006,A147,'Логи'!$C$4:$C$3006,3))</f>
        <v/>
      </c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  <c r="AG147" s="15" t="n"/>
      <c r="AH147" s="15" t="n"/>
      <c r="AI147" s="15" t="n"/>
    </row>
    <row r="148">
      <c r="A148" s="4" t="inlineStr">
        <is>
          <t>Студент2.7</t>
        </is>
      </c>
      <c r="B148" s="4" t="inlineStr"/>
      <c r="C148" s="4">
        <f>IF(A148="","",COUNTIF(F148:AI148,"+")+COUNTIF(F148:AI148,"1"))</f>
        <v/>
      </c>
      <c r="D148" s="4">
        <f>IF(A148="","",IF(C148&gt;2*COUNTA(F$141:AI$141)/3,1,IF(C148&gt;=COUNTA(F$141:AI$141)/2,0.8,0.5)))</f>
        <v/>
      </c>
      <c r="E148" s="4">
        <f>IF(A148="","",SUMIFS('Логи'!$H$4:$H$3006,'Логи'!$A$4:$A$3006,A148,'Логи'!$C$4:$C$3006,3))</f>
        <v/>
      </c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  <c r="AF148" s="15" t="n"/>
      <c r="AG148" s="15" t="n"/>
      <c r="AH148" s="15" t="n"/>
      <c r="AI148" s="15" t="n"/>
    </row>
    <row r="149">
      <c r="A149" s="4" t="inlineStr">
        <is>
          <t>Студент2.8</t>
        </is>
      </c>
      <c r="B149" s="4" t="inlineStr"/>
      <c r="C149" s="4">
        <f>IF(A149="","",COUNTIF(F149:AI149,"+")+COUNTIF(F149:AI149,"1"))</f>
        <v/>
      </c>
      <c r="D149" s="4">
        <f>IF(A149="","",IF(C149&gt;2*COUNTA(F$141:AI$141)/3,1,IF(C149&gt;=COUNTA(F$141:AI$141)/2,0.8,0.5)))</f>
        <v/>
      </c>
      <c r="E149" s="4">
        <f>IF(A149="","",SUMIFS('Логи'!$H$4:$H$3006,'Логи'!$A$4:$A$3006,A149,'Логи'!$C$4:$C$3006,3))</f>
        <v/>
      </c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  <c r="AF149" s="15" t="n"/>
      <c r="AG149" s="15" t="n"/>
      <c r="AH149" s="15" t="n"/>
      <c r="AI149" s="15" t="n"/>
    </row>
    <row r="150">
      <c r="A150" s="4" t="inlineStr">
        <is>
          <t>Студент2.9</t>
        </is>
      </c>
      <c r="B150" s="4" t="inlineStr"/>
      <c r="C150" s="4">
        <f>IF(A150="","",COUNTIF(F150:AI150,"+")+COUNTIF(F150:AI150,"1"))</f>
        <v/>
      </c>
      <c r="D150" s="4">
        <f>IF(A150="","",IF(C150&gt;2*COUNTA(F$141:AI$141)/3,1,IF(C150&gt;=COUNTA(F$141:AI$141)/2,0.8,0.5)))</f>
        <v/>
      </c>
      <c r="E150" s="4">
        <f>IF(A150="","",SUMIFS('Логи'!$H$4:$H$3006,'Логи'!$A$4:$A$3006,A150,'Логи'!$C$4:$C$3006,3))</f>
        <v/>
      </c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  <c r="AG150" s="15" t="n"/>
      <c r="AH150" s="15" t="n"/>
      <c r="AI150" s="15" t="n"/>
    </row>
    <row r="151">
      <c r="A151" s="4" t="inlineStr">
        <is>
          <t>Студент2.10</t>
        </is>
      </c>
      <c r="B151" s="4" t="inlineStr"/>
      <c r="C151" s="4">
        <f>IF(A151="","",COUNTIF(F151:AI151,"+")+COUNTIF(F151:AI151,"1"))</f>
        <v/>
      </c>
      <c r="D151" s="4">
        <f>IF(A151="","",IF(C151&gt;2*COUNTA(F$141:AI$141)/3,1,IF(C151&gt;=COUNTA(F$141:AI$141)/2,0.8,0.5)))</f>
        <v/>
      </c>
      <c r="E151" s="4">
        <f>IF(A151="","",SUMIFS('Логи'!$H$4:$H$3006,'Логи'!$A$4:$A$3006,A151,'Логи'!$C$4:$C$3006,3))</f>
        <v/>
      </c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  <c r="AG151" s="15" t="n"/>
      <c r="AH151" s="15" t="n"/>
      <c r="AI151" s="15" t="n"/>
    </row>
    <row r="152">
      <c r="A152" s="4" t="inlineStr">
        <is>
          <t>Студент2.11</t>
        </is>
      </c>
      <c r="B152" s="4" t="inlineStr"/>
      <c r="C152" s="4">
        <f>IF(A152="","",COUNTIF(F152:AI152,"+")+COUNTIF(F152:AI152,"1"))</f>
        <v/>
      </c>
      <c r="D152" s="4">
        <f>IF(A152="","",IF(C152&gt;2*COUNTA(F$141:AI$141)/3,1,IF(C152&gt;=COUNTA(F$141:AI$141)/2,0.8,0.5)))</f>
        <v/>
      </c>
      <c r="E152" s="4">
        <f>IF(A152="","",SUMIFS('Логи'!$H$4:$H$3006,'Логи'!$A$4:$A$3006,A152,'Логи'!$C$4:$C$3006,3))</f>
        <v/>
      </c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  <c r="AG152" s="15" t="n"/>
      <c r="AH152" s="15" t="n"/>
      <c r="AI152" s="15" t="n"/>
    </row>
    <row r="153">
      <c r="A153" s="4" t="inlineStr">
        <is>
          <t>Студент2.12</t>
        </is>
      </c>
      <c r="B153" s="4" t="inlineStr"/>
      <c r="C153" s="4">
        <f>IF(A153="","",COUNTIF(F153:AI153,"+")+COUNTIF(F153:AI153,"1"))</f>
        <v/>
      </c>
      <c r="D153" s="4">
        <f>IF(A153="","",IF(C153&gt;2*COUNTA(F$141:AI$141)/3,1,IF(C153&gt;=COUNTA(F$141:AI$141)/2,0.8,0.5)))</f>
        <v/>
      </c>
      <c r="E153" s="4">
        <f>IF(A153="","",SUMIFS('Логи'!$H$4:$H$3006,'Логи'!$A$4:$A$3006,A153,'Логи'!$C$4:$C$3006,3))</f>
        <v/>
      </c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  <c r="AG153" s="15" t="n"/>
      <c r="AH153" s="15" t="n"/>
      <c r="AI153" s="15" t="n"/>
    </row>
    <row r="154">
      <c r="A154" s="4" t="inlineStr">
        <is>
          <t>Студент2.13</t>
        </is>
      </c>
      <c r="B154" s="4" t="inlineStr"/>
      <c r="C154" s="4">
        <f>IF(A154="","",COUNTIF(F154:AI154,"+")+COUNTIF(F154:AI154,"1"))</f>
        <v/>
      </c>
      <c r="D154" s="4">
        <f>IF(A154="","",IF(C154&gt;2*COUNTA(F$141:AI$141)/3,1,IF(C154&gt;=COUNTA(F$141:AI$141)/2,0.8,0.5)))</f>
        <v/>
      </c>
      <c r="E154" s="4">
        <f>IF(A154="","",SUMIFS('Логи'!$H$4:$H$3006,'Логи'!$A$4:$A$3006,A154,'Логи'!$C$4:$C$3006,3))</f>
        <v/>
      </c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  <c r="AG154" s="15" t="n"/>
      <c r="AH154" s="15" t="n"/>
      <c r="AI154" s="15" t="n"/>
    </row>
    <row r="155">
      <c r="A155" s="4" t="inlineStr">
        <is>
          <t>Студент2.14</t>
        </is>
      </c>
      <c r="B155" s="4" t="inlineStr"/>
      <c r="C155" s="4">
        <f>IF(A155="","",COUNTIF(F155:AI155,"+")+COUNTIF(F155:AI155,"1"))</f>
        <v/>
      </c>
      <c r="D155" s="4">
        <f>IF(A155="","",IF(C155&gt;2*COUNTA(F$141:AI$141)/3,1,IF(C155&gt;=COUNTA(F$141:AI$141)/2,0.8,0.5)))</f>
        <v/>
      </c>
      <c r="E155" s="4">
        <f>IF(A155="","",SUMIFS('Логи'!$H$4:$H$3006,'Логи'!$A$4:$A$3006,A155,'Логи'!$C$4:$C$3006,3))</f>
        <v/>
      </c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  <c r="AH155" s="15" t="n"/>
      <c r="AI155" s="15" t="n"/>
    </row>
    <row r="156">
      <c r="A156" s="4" t="inlineStr">
        <is>
          <t>Студент2.15</t>
        </is>
      </c>
      <c r="B156" s="4" t="inlineStr"/>
      <c r="C156" s="4">
        <f>IF(A156="","",COUNTIF(F156:AI156,"+")+COUNTIF(F156:AI156,"1"))</f>
        <v/>
      </c>
      <c r="D156" s="4">
        <f>IF(A156="","",IF(C156&gt;2*COUNTA(F$141:AI$141)/3,1,IF(C156&gt;=COUNTA(F$141:AI$141)/2,0.8,0.5)))</f>
        <v/>
      </c>
      <c r="E156" s="4">
        <f>IF(A156="","",SUMIFS('Логи'!$H$4:$H$3006,'Логи'!$A$4:$A$3006,A156,'Логи'!$C$4:$C$3006,3))</f>
        <v/>
      </c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  <c r="AG156" s="15" t="n"/>
      <c r="AH156" s="15" t="n"/>
      <c r="AI156" s="15" t="n"/>
    </row>
    <row r="157">
      <c r="A157" s="4" t="inlineStr">
        <is>
          <t>Студент2.16</t>
        </is>
      </c>
      <c r="B157" s="4" t="inlineStr"/>
      <c r="C157" s="4">
        <f>IF(A157="","",COUNTIF(F157:AI157,"+")+COUNTIF(F157:AI157,"1"))</f>
        <v/>
      </c>
      <c r="D157" s="4">
        <f>IF(A157="","",IF(C157&gt;2*COUNTA(F$141:AI$141)/3,1,IF(C157&gt;=COUNTA(F$141:AI$141)/2,0.8,0.5)))</f>
        <v/>
      </c>
      <c r="E157" s="4">
        <f>IF(A157="","",SUMIFS('Логи'!$H$4:$H$3006,'Логи'!$A$4:$A$3006,A157,'Логи'!$C$4:$C$3006,3))</f>
        <v/>
      </c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5" t="n"/>
    </row>
    <row r="158">
      <c r="A158" s="4" t="inlineStr">
        <is>
          <t>Студент2.17</t>
        </is>
      </c>
      <c r="B158" s="4" t="inlineStr"/>
      <c r="C158" s="4">
        <f>IF(A158="","",COUNTIF(F158:AI158,"+")+COUNTIF(F158:AI158,"1"))</f>
        <v/>
      </c>
      <c r="D158" s="4">
        <f>IF(A158="","",IF(C158&gt;2*COUNTA(F$141:AI$141)/3,1,IF(C158&gt;=COUNTA(F$141:AI$141)/2,0.8,0.5)))</f>
        <v/>
      </c>
      <c r="E158" s="4">
        <f>IF(A158="","",SUMIFS('Логи'!$H$4:$H$3006,'Логи'!$A$4:$A$3006,A158,'Логи'!$C$4:$C$3006,3))</f>
        <v/>
      </c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  <c r="AG158" s="15" t="n"/>
      <c r="AH158" s="15" t="n"/>
      <c r="AI158" s="15" t="n"/>
    </row>
    <row r="159">
      <c r="A159" s="4" t="inlineStr">
        <is>
          <t>Студент2.18</t>
        </is>
      </c>
      <c r="B159" s="4" t="inlineStr"/>
      <c r="C159" s="4">
        <f>IF(A159="","",COUNTIF(F159:AI159,"+")+COUNTIF(F159:AI159,"1"))</f>
        <v/>
      </c>
      <c r="D159" s="4">
        <f>IF(A159="","",IF(C159&gt;2*COUNTA(F$141:AI$141)/3,1,IF(C159&gt;=COUNTA(F$141:AI$141)/2,0.8,0.5)))</f>
        <v/>
      </c>
      <c r="E159" s="4">
        <f>IF(A159="","",SUMIFS('Логи'!$H$4:$H$3006,'Логи'!$A$4:$A$3006,A159,'Логи'!$C$4:$C$3006,3))</f>
        <v/>
      </c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5" t="n"/>
    </row>
    <row r="160">
      <c r="A160" s="4" t="inlineStr">
        <is>
          <t>Студент2.19</t>
        </is>
      </c>
      <c r="B160" s="4" t="inlineStr"/>
      <c r="C160" s="4">
        <f>IF(A160="","",COUNTIF(F160:AI160,"+")+COUNTIF(F160:AI160,"1"))</f>
        <v/>
      </c>
      <c r="D160" s="4">
        <f>IF(A160="","",IF(C160&gt;2*COUNTA(F$141:AI$141)/3,1,IF(C160&gt;=COUNTA(F$141:AI$141)/2,0.8,0.5)))</f>
        <v/>
      </c>
      <c r="E160" s="4">
        <f>IF(A160="","",SUMIFS('Логи'!$H$4:$H$3006,'Логи'!$A$4:$A$3006,A160,'Логи'!$C$4:$C$3006,3))</f>
        <v/>
      </c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  <c r="AF160" s="15" t="n"/>
      <c r="AG160" s="15" t="n"/>
      <c r="AH160" s="15" t="n"/>
      <c r="AI160" s="15" t="n"/>
    </row>
    <row r="161">
      <c r="A161" s="4" t="inlineStr">
        <is>
          <t>Студент2.20</t>
        </is>
      </c>
      <c r="B161" s="4" t="inlineStr"/>
      <c r="C161" s="4">
        <f>IF(A161="","",COUNTIF(F161:AI161,"+")+COUNTIF(F161:AI161,"1"))</f>
        <v/>
      </c>
      <c r="D161" s="4">
        <f>IF(A161="","",IF(C161&gt;2*COUNTA(F$141:AI$141)/3,1,IF(C161&gt;=COUNTA(F$141:AI$141)/2,0.8,0.5)))</f>
        <v/>
      </c>
      <c r="E161" s="4">
        <f>IF(A161="","",SUMIFS('Логи'!$H$4:$H$3006,'Логи'!$A$4:$A$3006,A161,'Логи'!$C$4:$C$3006,3))</f>
        <v/>
      </c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  <c r="AG161" s="15" t="n"/>
      <c r="AH161" s="15" t="n"/>
      <c r="AI161" s="15" t="n"/>
    </row>
    <row r="162">
      <c r="A162" s="4" t="inlineStr">
        <is>
          <t>Студент2.21</t>
        </is>
      </c>
      <c r="B162" s="4" t="inlineStr"/>
      <c r="C162" s="4">
        <f>IF(A162="","",COUNTIF(F162:AI162,"+")+COUNTIF(F162:AI162,"1"))</f>
        <v/>
      </c>
      <c r="D162" s="4">
        <f>IF(A162="","",IF(C162&gt;2*COUNTA(F$141:AI$141)/3,1,IF(C162&gt;=COUNTA(F$141:AI$141)/2,0.8,0.5)))</f>
        <v/>
      </c>
      <c r="E162" s="4">
        <f>IF(A162="","",SUMIFS('Логи'!$H$4:$H$3006,'Логи'!$A$4:$A$3006,A162,'Логи'!$C$4:$C$3006,3))</f>
        <v/>
      </c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  <c r="AF162" s="15" t="n"/>
      <c r="AG162" s="15" t="n"/>
      <c r="AH162" s="15" t="n"/>
      <c r="AI162" s="15" t="n"/>
    </row>
    <row r="163">
      <c r="A163" s="4" t="inlineStr">
        <is>
          <t>Студент2.22</t>
        </is>
      </c>
      <c r="B163" s="4" t="inlineStr"/>
      <c r="C163" s="4">
        <f>IF(A163="","",COUNTIF(F163:AI163,"+")+COUNTIF(F163:AI163,"1"))</f>
        <v/>
      </c>
      <c r="D163" s="4">
        <f>IF(A163="","",IF(C163&gt;2*COUNTA(F$141:AI$141)/3,1,IF(C163&gt;=COUNTA(F$141:AI$141)/2,0.8,0.5)))</f>
        <v/>
      </c>
      <c r="E163" s="4">
        <f>IF(A163="","",SUMIFS('Логи'!$H$4:$H$3006,'Логи'!$A$4:$A$3006,A163,'Логи'!$C$4:$C$3006,3))</f>
        <v/>
      </c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  <c r="AF163" s="15" t="n"/>
      <c r="AG163" s="15" t="n"/>
      <c r="AH163" s="15" t="n"/>
      <c r="AI163" s="15" t="n"/>
    </row>
    <row r="164">
      <c r="A164" s="4" t="inlineStr">
        <is>
          <t>Студент2.23</t>
        </is>
      </c>
      <c r="B164" s="4" t="inlineStr"/>
      <c r="C164" s="4">
        <f>IF(A164="","",COUNTIF(F164:AI164,"+")+COUNTIF(F164:AI164,"1"))</f>
        <v/>
      </c>
      <c r="D164" s="4">
        <f>IF(A164="","",IF(C164&gt;2*COUNTA(F$141:AI$141)/3,1,IF(C164&gt;=COUNTA(F$141:AI$141)/2,0.8,0.5)))</f>
        <v/>
      </c>
      <c r="E164" s="4">
        <f>IF(A164="","",SUMIFS('Логи'!$H$4:$H$3006,'Логи'!$A$4:$A$3006,A164,'Логи'!$C$4:$C$3006,3))</f>
        <v/>
      </c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  <c r="AG164" s="15" t="n"/>
      <c r="AH164" s="15" t="n"/>
      <c r="AI164" s="15" t="n"/>
    </row>
    <row r="165">
      <c r="A165" s="4" t="inlineStr">
        <is>
          <t>Студент2.24</t>
        </is>
      </c>
      <c r="B165" s="4" t="inlineStr"/>
      <c r="C165" s="4">
        <f>IF(A165="","",COUNTIF(F165:AI165,"+")+COUNTIF(F165:AI165,"1"))</f>
        <v/>
      </c>
      <c r="D165" s="4">
        <f>IF(A165="","",IF(C165&gt;2*COUNTA(F$141:AI$141)/3,1,IF(C165&gt;=COUNTA(F$141:AI$141)/2,0.8,0.5)))</f>
        <v/>
      </c>
      <c r="E165" s="4">
        <f>IF(A165="","",SUMIFS('Логи'!$H$4:$H$3006,'Логи'!$A$4:$A$3006,A165,'Логи'!$C$4:$C$3006,3))</f>
        <v/>
      </c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  <c r="AF165" s="15" t="n"/>
      <c r="AG165" s="15" t="n"/>
      <c r="AH165" s="15" t="n"/>
      <c r="AI165" s="15" t="n"/>
    </row>
    <row r="166">
      <c r="A166" s="4" t="inlineStr">
        <is>
          <t>Студент2.25</t>
        </is>
      </c>
      <c r="B166" s="4" t="inlineStr"/>
      <c r="C166" s="4">
        <f>IF(A166="","",COUNTIF(F166:AI166,"+")+COUNTIF(F166:AI166,"1"))</f>
        <v/>
      </c>
      <c r="D166" s="4">
        <f>IF(A166="","",IF(C166&gt;2*COUNTA(F$141:AI$141)/3,1,IF(C166&gt;=COUNTA(F$141:AI$141)/2,0.8,0.5)))</f>
        <v/>
      </c>
      <c r="E166" s="4">
        <f>IF(A166="","",SUMIFS('Логи'!$H$4:$H$3006,'Логи'!$A$4:$A$3006,A166,'Логи'!$C$4:$C$3006,3))</f>
        <v/>
      </c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  <c r="AF166" s="15" t="n"/>
      <c r="AG166" s="15" t="n"/>
      <c r="AH166" s="15" t="n"/>
      <c r="AI166" s="15" t="n"/>
    </row>
    <row r="167">
      <c r="A167" s="4" t="inlineStr">
        <is>
          <t>Студент2.26</t>
        </is>
      </c>
      <c r="B167" s="4" t="inlineStr"/>
      <c r="C167" s="4">
        <f>IF(A167="","",COUNTIF(F167:AI167,"+")+COUNTIF(F167:AI167,"1"))</f>
        <v/>
      </c>
      <c r="D167" s="4">
        <f>IF(A167="","",IF(C167&gt;2*COUNTA(F$141:AI$141)/3,1,IF(C167&gt;=COUNTA(F$141:AI$141)/2,0.8,0.5)))</f>
        <v/>
      </c>
      <c r="E167" s="4">
        <f>IF(A167="","",SUMIFS('Логи'!$H$4:$H$3006,'Логи'!$A$4:$A$3006,A167,'Логи'!$C$4:$C$3006,3))</f>
        <v/>
      </c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  <c r="AG167" s="15" t="n"/>
      <c r="AH167" s="15" t="n"/>
      <c r="AI167" s="15" t="n"/>
    </row>
    <row r="168">
      <c r="A168" s="4" t="inlineStr">
        <is>
          <t>Студент2.27</t>
        </is>
      </c>
      <c r="B168" s="4" t="inlineStr"/>
      <c r="C168" s="4">
        <f>IF(A168="","",COUNTIF(F168:AI168,"+")+COUNTIF(F168:AI168,"1"))</f>
        <v/>
      </c>
      <c r="D168" s="4">
        <f>IF(A168="","",IF(C168&gt;2*COUNTA(F$141:AI$141)/3,1,IF(C168&gt;=COUNTA(F$141:AI$141)/2,0.8,0.5)))</f>
        <v/>
      </c>
      <c r="E168" s="4">
        <f>IF(A168="","",SUMIFS('Логи'!$H$4:$H$3006,'Логи'!$A$4:$A$3006,A168,'Логи'!$C$4:$C$3006,3))</f>
        <v/>
      </c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  <c r="AG168" s="15" t="n"/>
      <c r="AH168" s="15" t="n"/>
      <c r="AI168" s="15" t="n"/>
    </row>
    <row r="169">
      <c r="A169" s="4" t="inlineStr">
        <is>
          <t>Студент2.28</t>
        </is>
      </c>
      <c r="B169" s="4" t="inlineStr"/>
      <c r="C169" s="4">
        <f>IF(A169="","",COUNTIF(F169:AI169,"+")+COUNTIF(F169:AI169,"1"))</f>
        <v/>
      </c>
      <c r="D169" s="4">
        <f>IF(A169="","",IF(C169&gt;2*COUNTA(F$141:AI$141)/3,1,IF(C169&gt;=COUNTA(F$141:AI$141)/2,0.8,0.5)))</f>
        <v/>
      </c>
      <c r="E169" s="4">
        <f>IF(A169="","",SUMIFS('Логи'!$H$4:$H$3006,'Логи'!$A$4:$A$3006,A169,'Логи'!$C$4:$C$3006,3))</f>
        <v/>
      </c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  <c r="AG169" s="15" t="n"/>
      <c r="AH169" s="15" t="n"/>
      <c r="AI169" s="15" t="n"/>
    </row>
    <row r="170">
      <c r="A170" s="4" t="inlineStr">
        <is>
          <t>Студент2.29</t>
        </is>
      </c>
      <c r="B170" s="4" t="inlineStr"/>
      <c r="C170" s="4">
        <f>IF(A170="","",COUNTIF(F170:AI170,"+")+COUNTIF(F170:AI170,"1"))</f>
        <v/>
      </c>
      <c r="D170" s="4">
        <f>IF(A170="","",IF(C170&gt;2*COUNTA(F$141:AI$141)/3,1,IF(C170&gt;=COUNTA(F$141:AI$141)/2,0.8,0.5)))</f>
        <v/>
      </c>
      <c r="E170" s="4">
        <f>IF(A170="","",SUMIFS('Логи'!$H$4:$H$3006,'Логи'!$A$4:$A$3006,A170,'Логи'!$C$4:$C$3006,3))</f>
        <v/>
      </c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  <c r="AG170" s="15" t="n"/>
      <c r="AH170" s="15" t="n"/>
      <c r="AI170" s="15" t="n"/>
    </row>
    <row r="171">
      <c r="A171" s="4" t="inlineStr">
        <is>
          <t>Студент2.30</t>
        </is>
      </c>
      <c r="B171" s="4" t="inlineStr"/>
      <c r="C171" s="4">
        <f>IF(A171="","",COUNTIF(F171:AI171,"+")+COUNTIF(F171:AI171,"1"))</f>
        <v/>
      </c>
      <c r="D171" s="4">
        <f>IF(A171="","",IF(C171&gt;2*COUNTA(F$141:AI$141)/3,1,IF(C171&gt;=COUNTA(F$141:AI$141)/2,0.8,0.5)))</f>
        <v/>
      </c>
      <c r="E171" s="4">
        <f>IF(A171="","",SUMIFS('Логи'!$H$4:$H$3006,'Логи'!$A$4:$A$3006,A171,'Логи'!$C$4:$C$3006,3))</f>
        <v/>
      </c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  <c r="AG171" s="15" t="n"/>
      <c r="AH171" s="15" t="n"/>
      <c r="AI171" s="15" t="n"/>
    </row>
    <row r="173">
      <c r="A173" s="16" t="inlineStr">
        <is>
          <t>Практика 3 — результаты рассказа</t>
        </is>
      </c>
    </row>
    <row r="174" ht="28" customHeight="1">
      <c r="A174" s="7" t="inlineStr">
        <is>
          <t>Имя</t>
        </is>
      </c>
      <c r="B174" s="9" t="inlineStr">
        <is>
          <t>TG</t>
        </is>
      </c>
      <c r="C174" s="10" t="inlineStr"/>
      <c r="D174" s="2" t="inlineStr"/>
      <c r="E174" s="2" t="inlineStr"/>
      <c r="F174" s="11" t="inlineStr">
        <is>
          <t>1.0</t>
        </is>
      </c>
      <c r="G174" s="11" t="inlineStr">
        <is>
          <t>2.0</t>
        </is>
      </c>
      <c r="H174" s="11" t="inlineStr">
        <is>
          <t>3.0</t>
        </is>
      </c>
      <c r="I174" s="11" t="inlineStr">
        <is>
          <t>4.0</t>
        </is>
      </c>
      <c r="J174" s="11" t="inlineStr">
        <is>
          <t>5.0</t>
        </is>
      </c>
      <c r="K174" s="11" t="inlineStr">
        <is>
          <t>6</t>
        </is>
      </c>
      <c r="L174" s="11" t="inlineStr">
        <is>
          <t>7</t>
        </is>
      </c>
      <c r="M174" s="11" t="inlineStr">
        <is>
          <t>8</t>
        </is>
      </c>
      <c r="N174" s="11" t="inlineStr">
        <is>
          <t>9</t>
        </is>
      </c>
      <c r="O174" s="11" t="inlineStr">
        <is>
          <t>10</t>
        </is>
      </c>
      <c r="P174" s="11" t="inlineStr">
        <is>
          <t>11</t>
        </is>
      </c>
      <c r="Q174" s="11" t="inlineStr">
        <is>
          <t>12</t>
        </is>
      </c>
      <c r="R174" s="11" t="inlineStr">
        <is>
          <t>13</t>
        </is>
      </c>
      <c r="S174" s="11" t="inlineStr">
        <is>
          <t>14</t>
        </is>
      </c>
      <c r="T174" s="11" t="inlineStr">
        <is>
          <t>15</t>
        </is>
      </c>
      <c r="U174" s="11" t="inlineStr">
        <is>
          <t>16</t>
        </is>
      </c>
      <c r="V174" s="11" t="inlineStr">
        <is>
          <t>17</t>
        </is>
      </c>
      <c r="W174" s="11" t="inlineStr">
        <is>
          <t>18</t>
        </is>
      </c>
      <c r="X174" s="11" t="inlineStr">
        <is>
          <t>19</t>
        </is>
      </c>
      <c r="Y174" s="11" t="inlineStr">
        <is>
          <t>20</t>
        </is>
      </c>
      <c r="Z174" s="11" t="inlineStr">
        <is>
          <t>21</t>
        </is>
      </c>
      <c r="AA174" s="11" t="inlineStr">
        <is>
          <t>22</t>
        </is>
      </c>
      <c r="AB174" s="11" t="inlineStr">
        <is>
          <t>23</t>
        </is>
      </c>
      <c r="AC174" s="11" t="inlineStr">
        <is>
          <t>24</t>
        </is>
      </c>
      <c r="AD174" s="11" t="inlineStr">
        <is>
          <t>25</t>
        </is>
      </c>
      <c r="AE174" s="11" t="inlineStr">
        <is>
          <t>26</t>
        </is>
      </c>
      <c r="AF174" s="11" t="inlineStr">
        <is>
          <t>27</t>
        </is>
      </c>
      <c r="AG174" s="11" t="inlineStr">
        <is>
          <t>28</t>
        </is>
      </c>
      <c r="AH174" s="11" t="inlineStr">
        <is>
          <t>29</t>
        </is>
      </c>
      <c r="AI174" s="11" t="inlineStr">
        <is>
          <t>30</t>
        </is>
      </c>
    </row>
    <row r="175">
      <c r="A175" s="4" t="inlineStr">
        <is>
          <t>Студент2.1</t>
        </is>
      </c>
      <c r="B175" s="4" t="inlineStr"/>
      <c r="C175" s="4" t="n"/>
      <c r="D175" s="4" t="n"/>
      <c r="E175" s="4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</row>
    <row r="176">
      <c r="A176" s="4" t="inlineStr">
        <is>
          <t>Студент2.2</t>
        </is>
      </c>
      <c r="B176" s="4" t="inlineStr"/>
      <c r="C176" s="4" t="n"/>
      <c r="D176" s="4" t="n"/>
      <c r="E176" s="4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  <c r="AG176" s="15" t="n"/>
      <c r="AH176" s="15" t="n"/>
      <c r="AI176" s="15" t="n"/>
    </row>
    <row r="177">
      <c r="A177" s="4" t="inlineStr">
        <is>
          <t>Студент2.3</t>
        </is>
      </c>
      <c r="B177" s="4" t="inlineStr"/>
      <c r="C177" s="4" t="n"/>
      <c r="D177" s="4" t="n"/>
      <c r="E177" s="4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5" t="n"/>
    </row>
    <row r="178">
      <c r="A178" s="4" t="inlineStr">
        <is>
          <t>Студент2.4</t>
        </is>
      </c>
      <c r="B178" s="4" t="inlineStr"/>
      <c r="C178" s="4" t="n"/>
      <c r="D178" s="4" t="n"/>
      <c r="E178" s="4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  <c r="AG178" s="15" t="n"/>
      <c r="AH178" s="15" t="n"/>
      <c r="AI178" s="15" t="n"/>
    </row>
    <row r="179">
      <c r="A179" s="4" t="inlineStr">
        <is>
          <t>Студент2.5</t>
        </is>
      </c>
      <c r="B179" s="4" t="inlineStr"/>
      <c r="C179" s="4" t="n"/>
      <c r="D179" s="4" t="n"/>
      <c r="E179" s="4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  <c r="AG179" s="15" t="n"/>
      <c r="AH179" s="15" t="n"/>
      <c r="AI179" s="15" t="n"/>
    </row>
    <row r="180">
      <c r="A180" s="4" t="inlineStr">
        <is>
          <t>Студент2.6</t>
        </is>
      </c>
      <c r="B180" s="4" t="inlineStr"/>
      <c r="C180" s="4" t="n"/>
      <c r="D180" s="4" t="n"/>
      <c r="E180" s="4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  <c r="AH180" s="15" t="n"/>
      <c r="AI180" s="15" t="n"/>
    </row>
    <row r="181">
      <c r="A181" s="4" t="inlineStr">
        <is>
          <t>Студент2.7</t>
        </is>
      </c>
      <c r="B181" s="4" t="inlineStr"/>
      <c r="C181" s="4" t="n"/>
      <c r="D181" s="4" t="n"/>
      <c r="E181" s="4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  <c r="AG181" s="15" t="n"/>
      <c r="AH181" s="15" t="n"/>
      <c r="AI181" s="15" t="n"/>
    </row>
    <row r="182">
      <c r="A182" s="4" t="inlineStr">
        <is>
          <t>Студент2.8</t>
        </is>
      </c>
      <c r="B182" s="4" t="inlineStr"/>
      <c r="C182" s="4" t="n"/>
      <c r="D182" s="4" t="n"/>
      <c r="E182" s="4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  <c r="AH182" s="15" t="n"/>
      <c r="AI182" s="15" t="n"/>
    </row>
    <row r="183">
      <c r="A183" s="4" t="inlineStr">
        <is>
          <t>Студент2.9</t>
        </is>
      </c>
      <c r="B183" s="4" t="inlineStr"/>
      <c r="C183" s="4" t="n"/>
      <c r="D183" s="4" t="n"/>
      <c r="E183" s="4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  <c r="AG183" s="15" t="n"/>
      <c r="AH183" s="15" t="n"/>
      <c r="AI183" s="15" t="n"/>
    </row>
    <row r="184">
      <c r="A184" s="4" t="inlineStr">
        <is>
          <t>Студент2.10</t>
        </is>
      </c>
      <c r="B184" s="4" t="inlineStr"/>
      <c r="C184" s="4" t="n"/>
      <c r="D184" s="4" t="n"/>
      <c r="E184" s="4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  <c r="AG184" s="15" t="n"/>
      <c r="AH184" s="15" t="n"/>
      <c r="AI184" s="15" t="n"/>
    </row>
    <row r="185">
      <c r="A185" s="4" t="inlineStr">
        <is>
          <t>Студент2.11</t>
        </is>
      </c>
      <c r="B185" s="4" t="inlineStr"/>
      <c r="C185" s="4" t="n"/>
      <c r="D185" s="4" t="n"/>
      <c r="E185" s="4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  <c r="AG185" s="15" t="n"/>
      <c r="AH185" s="15" t="n"/>
      <c r="AI185" s="15" t="n"/>
    </row>
    <row r="186">
      <c r="A186" s="4" t="inlineStr">
        <is>
          <t>Студент2.12</t>
        </is>
      </c>
      <c r="B186" s="4" t="inlineStr"/>
      <c r="C186" s="4" t="n"/>
      <c r="D186" s="4" t="n"/>
      <c r="E186" s="4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  <c r="AG186" s="15" t="n"/>
      <c r="AH186" s="15" t="n"/>
      <c r="AI186" s="15" t="n"/>
    </row>
    <row r="187">
      <c r="A187" s="4" t="inlineStr">
        <is>
          <t>Студент2.13</t>
        </is>
      </c>
      <c r="B187" s="4" t="inlineStr"/>
      <c r="C187" s="4" t="n"/>
      <c r="D187" s="4" t="n"/>
      <c r="E187" s="4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  <c r="AH187" s="15" t="n"/>
      <c r="AI187" s="15" t="n"/>
    </row>
    <row r="188">
      <c r="A188" s="4" t="inlineStr">
        <is>
          <t>Студент2.14</t>
        </is>
      </c>
      <c r="B188" s="4" t="inlineStr"/>
      <c r="C188" s="4" t="n"/>
      <c r="D188" s="4" t="n"/>
      <c r="E188" s="4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  <c r="AH188" s="15" t="n"/>
      <c r="AI188" s="15" t="n"/>
    </row>
    <row r="189">
      <c r="A189" s="4" t="inlineStr">
        <is>
          <t>Студент2.15</t>
        </is>
      </c>
      <c r="B189" s="4" t="inlineStr"/>
      <c r="C189" s="4" t="n"/>
      <c r="D189" s="4" t="n"/>
      <c r="E189" s="4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5" t="n"/>
    </row>
    <row r="190">
      <c r="A190" s="4" t="inlineStr">
        <is>
          <t>Студент2.16</t>
        </is>
      </c>
      <c r="B190" s="4" t="inlineStr"/>
      <c r="C190" s="4" t="n"/>
      <c r="D190" s="4" t="n"/>
      <c r="E190" s="4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  <c r="AG190" s="15" t="n"/>
      <c r="AH190" s="15" t="n"/>
      <c r="AI190" s="15" t="n"/>
    </row>
    <row r="191">
      <c r="A191" s="4" t="inlineStr">
        <is>
          <t>Студент2.17</t>
        </is>
      </c>
      <c r="B191" s="4" t="inlineStr"/>
      <c r="C191" s="4" t="n"/>
      <c r="D191" s="4" t="n"/>
      <c r="E191" s="4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  <c r="AF191" s="15" t="n"/>
      <c r="AG191" s="15" t="n"/>
      <c r="AH191" s="15" t="n"/>
      <c r="AI191" s="15" t="n"/>
    </row>
    <row r="192">
      <c r="A192" s="4" t="inlineStr">
        <is>
          <t>Студент2.18</t>
        </is>
      </c>
      <c r="B192" s="4" t="inlineStr"/>
      <c r="C192" s="4" t="n"/>
      <c r="D192" s="4" t="n"/>
      <c r="E192" s="4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  <c r="AG192" s="15" t="n"/>
      <c r="AH192" s="15" t="n"/>
      <c r="AI192" s="15" t="n"/>
    </row>
    <row r="193">
      <c r="A193" s="4" t="inlineStr">
        <is>
          <t>Студент2.19</t>
        </is>
      </c>
      <c r="B193" s="4" t="inlineStr"/>
      <c r="C193" s="4" t="n"/>
      <c r="D193" s="4" t="n"/>
      <c r="E193" s="4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  <c r="AF193" s="15" t="n"/>
      <c r="AG193" s="15" t="n"/>
      <c r="AH193" s="15" t="n"/>
      <c r="AI193" s="15" t="n"/>
    </row>
    <row r="194">
      <c r="A194" s="4" t="inlineStr">
        <is>
          <t>Студент2.20</t>
        </is>
      </c>
      <c r="B194" s="4" t="inlineStr"/>
      <c r="C194" s="4" t="n"/>
      <c r="D194" s="4" t="n"/>
      <c r="E194" s="4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  <c r="AG194" s="15" t="n"/>
      <c r="AH194" s="15" t="n"/>
      <c r="AI194" s="15" t="n"/>
    </row>
    <row r="195">
      <c r="A195" s="4" t="inlineStr">
        <is>
          <t>Студент2.21</t>
        </is>
      </c>
      <c r="B195" s="4" t="inlineStr"/>
      <c r="C195" s="4" t="n"/>
      <c r="D195" s="4" t="n"/>
      <c r="E195" s="4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  <c r="AG195" s="15" t="n"/>
      <c r="AH195" s="15" t="n"/>
      <c r="AI195" s="15" t="n"/>
    </row>
    <row r="196">
      <c r="A196" s="4" t="inlineStr">
        <is>
          <t>Студент2.22</t>
        </is>
      </c>
      <c r="B196" s="4" t="inlineStr"/>
      <c r="C196" s="4" t="n"/>
      <c r="D196" s="4" t="n"/>
      <c r="E196" s="4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  <c r="AG196" s="15" t="n"/>
      <c r="AH196" s="15" t="n"/>
      <c r="AI196" s="15" t="n"/>
    </row>
    <row r="197">
      <c r="A197" s="4" t="inlineStr">
        <is>
          <t>Студент2.23</t>
        </is>
      </c>
      <c r="B197" s="4" t="inlineStr"/>
      <c r="C197" s="4" t="n"/>
      <c r="D197" s="4" t="n"/>
      <c r="E197" s="4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  <c r="AF197" s="15" t="n"/>
      <c r="AG197" s="15" t="n"/>
      <c r="AH197" s="15" t="n"/>
      <c r="AI197" s="15" t="n"/>
    </row>
    <row r="198">
      <c r="A198" s="4" t="inlineStr">
        <is>
          <t>Студент2.24</t>
        </is>
      </c>
      <c r="B198" s="4" t="inlineStr"/>
      <c r="C198" s="4" t="n"/>
      <c r="D198" s="4" t="n"/>
      <c r="E198" s="4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  <c r="AF198" s="15" t="n"/>
      <c r="AG198" s="15" t="n"/>
      <c r="AH198" s="15" t="n"/>
      <c r="AI198" s="15" t="n"/>
    </row>
    <row r="199">
      <c r="A199" s="4" t="inlineStr">
        <is>
          <t>Студент2.25</t>
        </is>
      </c>
      <c r="B199" s="4" t="inlineStr"/>
      <c r="C199" s="4" t="n"/>
      <c r="D199" s="4" t="n"/>
      <c r="E199" s="4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  <c r="AF199" s="15" t="n"/>
      <c r="AG199" s="15" t="n"/>
      <c r="AH199" s="15" t="n"/>
      <c r="AI199" s="15" t="n"/>
    </row>
    <row r="200">
      <c r="A200" s="4" t="inlineStr">
        <is>
          <t>Студент2.26</t>
        </is>
      </c>
      <c r="B200" s="4" t="inlineStr"/>
      <c r="C200" s="4" t="n"/>
      <c r="D200" s="4" t="n"/>
      <c r="E200" s="4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  <c r="AF200" s="15" t="n"/>
      <c r="AG200" s="15" t="n"/>
      <c r="AH200" s="15" t="n"/>
      <c r="AI200" s="15" t="n"/>
    </row>
    <row r="201">
      <c r="A201" s="4" t="inlineStr">
        <is>
          <t>Студент2.27</t>
        </is>
      </c>
      <c r="B201" s="4" t="inlineStr"/>
      <c r="C201" s="4" t="n"/>
      <c r="D201" s="4" t="n"/>
      <c r="E201" s="4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  <c r="AG201" s="15" t="n"/>
      <c r="AH201" s="15" t="n"/>
      <c r="AI201" s="15" t="n"/>
    </row>
    <row r="202">
      <c r="A202" s="4" t="inlineStr">
        <is>
          <t>Студент2.28</t>
        </is>
      </c>
      <c r="B202" s="4" t="inlineStr"/>
      <c r="C202" s="4" t="n"/>
      <c r="D202" s="4" t="n"/>
      <c r="E202" s="4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  <c r="AF202" s="15" t="n"/>
      <c r="AG202" s="15" t="n"/>
      <c r="AH202" s="15" t="n"/>
      <c r="AI202" s="15" t="n"/>
    </row>
    <row r="203">
      <c r="A203" s="4" t="inlineStr">
        <is>
          <t>Студент2.29</t>
        </is>
      </c>
      <c r="B203" s="4" t="inlineStr"/>
      <c r="C203" s="4" t="n"/>
      <c r="D203" s="4" t="n"/>
      <c r="E203" s="4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  <c r="AG203" s="15" t="n"/>
      <c r="AH203" s="15" t="n"/>
      <c r="AI203" s="15" t="n"/>
    </row>
    <row r="204">
      <c r="A204" s="4" t="inlineStr">
        <is>
          <t>Студент2.30</t>
        </is>
      </c>
      <c r="B204" s="4" t="inlineStr"/>
      <c r="C204" s="4" t="n"/>
      <c r="D204" s="4" t="n"/>
      <c r="E204" s="4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  <c r="AF204" s="15" t="n"/>
      <c r="AG204" s="15" t="n"/>
      <c r="AH204" s="15" t="n"/>
      <c r="AI204" s="15" t="n"/>
    </row>
    <row r="208">
      <c r="A208" s="13" t="inlineStr">
        <is>
          <t>Практика 4 — плюсы</t>
        </is>
      </c>
    </row>
    <row r="209" ht="28" customHeight="1">
      <c r="A209" s="7" t="inlineStr">
        <is>
          <t>Имя</t>
        </is>
      </c>
      <c r="B209" s="9" t="inlineStr">
        <is>
          <t>TG</t>
        </is>
      </c>
      <c r="C209" s="10" t="inlineStr">
        <is>
          <t>S</t>
        </is>
      </c>
      <c r="D209" s="8" t="inlineStr">
        <is>
          <t>Коэффициент</t>
        </is>
      </c>
      <c r="E209" s="14" t="inlineStr">
        <is>
          <t>D за практику</t>
        </is>
      </c>
      <c r="F209" s="11" t="inlineStr">
        <is>
          <t>1.0</t>
        </is>
      </c>
      <c r="G209" s="11" t="inlineStr">
        <is>
          <t>2.0</t>
        </is>
      </c>
      <c r="H209" s="11" t="inlineStr">
        <is>
          <t>3.0</t>
        </is>
      </c>
      <c r="I209" s="11" t="inlineStr">
        <is>
          <t>4.0</t>
        </is>
      </c>
      <c r="J209" s="11" t="inlineStr">
        <is>
          <t>5.0</t>
        </is>
      </c>
      <c r="K209" s="11" t="inlineStr">
        <is>
          <t>6</t>
        </is>
      </c>
      <c r="L209" s="11" t="inlineStr">
        <is>
          <t>7</t>
        </is>
      </c>
      <c r="M209" s="11" t="inlineStr">
        <is>
          <t>8</t>
        </is>
      </c>
      <c r="N209" s="11" t="inlineStr">
        <is>
          <t>9</t>
        </is>
      </c>
      <c r="O209" s="11" t="inlineStr">
        <is>
          <t>10</t>
        </is>
      </c>
      <c r="P209" s="11" t="inlineStr">
        <is>
          <t>11</t>
        </is>
      </c>
      <c r="Q209" s="11" t="inlineStr">
        <is>
          <t>12</t>
        </is>
      </c>
      <c r="R209" s="11" t="inlineStr">
        <is>
          <t>13</t>
        </is>
      </c>
      <c r="S209" s="11" t="inlineStr">
        <is>
          <t>14</t>
        </is>
      </c>
      <c r="T209" s="11" t="inlineStr">
        <is>
          <t>15</t>
        </is>
      </c>
      <c r="U209" s="11" t="inlineStr">
        <is>
          <t>16</t>
        </is>
      </c>
      <c r="V209" s="11" t="inlineStr">
        <is>
          <t>17</t>
        </is>
      </c>
      <c r="W209" s="11" t="inlineStr">
        <is>
          <t>18</t>
        </is>
      </c>
      <c r="X209" s="11" t="inlineStr">
        <is>
          <t>19</t>
        </is>
      </c>
      <c r="Y209" s="11" t="inlineStr">
        <is>
          <t>20</t>
        </is>
      </c>
      <c r="Z209" s="11" t="inlineStr">
        <is>
          <t>21</t>
        </is>
      </c>
      <c r="AA209" s="11" t="inlineStr">
        <is>
          <t>22</t>
        </is>
      </c>
      <c r="AB209" s="11" t="inlineStr">
        <is>
          <t>23</t>
        </is>
      </c>
      <c r="AC209" s="11" t="inlineStr">
        <is>
          <t>24</t>
        </is>
      </c>
      <c r="AD209" s="11" t="inlineStr">
        <is>
          <t>25</t>
        </is>
      </c>
      <c r="AE209" s="11" t="inlineStr">
        <is>
          <t>26</t>
        </is>
      </c>
      <c r="AF209" s="11" t="inlineStr">
        <is>
          <t>27</t>
        </is>
      </c>
      <c r="AG209" s="11" t="inlineStr">
        <is>
          <t>28</t>
        </is>
      </c>
      <c r="AH209" s="11" t="inlineStr">
        <is>
          <t>29</t>
        </is>
      </c>
      <c r="AI209" s="11" t="inlineStr">
        <is>
          <t>30</t>
        </is>
      </c>
    </row>
    <row r="210">
      <c r="A210" s="4" t="inlineStr">
        <is>
          <t>Студент2.1</t>
        </is>
      </c>
      <c r="B210" s="4" t="inlineStr"/>
      <c r="C210" s="4">
        <f>IF(A210="","",COUNTIF(F210:AI210,"+")+COUNTIF(F210:AI210,"1"))</f>
        <v/>
      </c>
      <c r="D210" s="4">
        <f>IF(A210="","",IF(C210&gt;2*COUNTA(F$209:AI$209)/3,1,IF(C210&gt;=COUNTA(F$209:AI$209)/2,0.8,0.5)))</f>
        <v/>
      </c>
      <c r="E210" s="4">
        <f>IF(A210="","",SUMIFS('Логи'!$H$4:$H$3006,'Логи'!$A$4:$A$3006,A210,'Логи'!$C$4:$C$3006,4))</f>
        <v/>
      </c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  <c r="AF210" s="15" t="n"/>
      <c r="AG210" s="15" t="n"/>
      <c r="AH210" s="15" t="n"/>
      <c r="AI210" s="15" t="n"/>
    </row>
    <row r="211">
      <c r="A211" s="4" t="inlineStr">
        <is>
          <t>Студент2.2</t>
        </is>
      </c>
      <c r="B211" s="4" t="inlineStr"/>
      <c r="C211" s="4">
        <f>IF(A211="","",COUNTIF(F211:AI211,"+")+COUNTIF(F211:AI211,"1"))</f>
        <v/>
      </c>
      <c r="D211" s="4">
        <f>IF(A211="","",IF(C211&gt;2*COUNTA(F$209:AI$209)/3,1,IF(C211&gt;=COUNTA(F$209:AI$209)/2,0.8,0.5)))</f>
        <v/>
      </c>
      <c r="E211" s="4">
        <f>IF(A211="","",SUMIFS('Логи'!$H$4:$H$3006,'Логи'!$A$4:$A$3006,A211,'Логи'!$C$4:$C$3006,4))</f>
        <v/>
      </c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  <c r="AF211" s="15" t="n"/>
      <c r="AG211" s="15" t="n"/>
      <c r="AH211" s="15" t="n"/>
      <c r="AI211" s="15" t="n"/>
    </row>
    <row r="212">
      <c r="A212" s="4" t="inlineStr">
        <is>
          <t>Студент2.3</t>
        </is>
      </c>
      <c r="B212" s="4" t="inlineStr"/>
      <c r="C212" s="4">
        <f>IF(A212="","",COUNTIF(F212:AI212,"+")+COUNTIF(F212:AI212,"1"))</f>
        <v/>
      </c>
      <c r="D212" s="4">
        <f>IF(A212="","",IF(C212&gt;2*COUNTA(F$209:AI$209)/3,1,IF(C212&gt;=COUNTA(F$209:AI$209)/2,0.8,0.5)))</f>
        <v/>
      </c>
      <c r="E212" s="4">
        <f>IF(A212="","",SUMIFS('Логи'!$H$4:$H$3006,'Логи'!$A$4:$A$3006,A212,'Логи'!$C$4:$C$3006,4))</f>
        <v/>
      </c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  <c r="AF212" s="15" t="n"/>
      <c r="AG212" s="15" t="n"/>
      <c r="AH212" s="15" t="n"/>
      <c r="AI212" s="15" t="n"/>
    </row>
    <row r="213">
      <c r="A213" s="4" t="inlineStr">
        <is>
          <t>Студент2.4</t>
        </is>
      </c>
      <c r="B213" s="4" t="inlineStr"/>
      <c r="C213" s="4">
        <f>IF(A213="","",COUNTIF(F213:AI213,"+")+COUNTIF(F213:AI213,"1"))</f>
        <v/>
      </c>
      <c r="D213" s="4">
        <f>IF(A213="","",IF(C213&gt;2*COUNTA(F$209:AI$209)/3,1,IF(C213&gt;=COUNTA(F$209:AI$209)/2,0.8,0.5)))</f>
        <v/>
      </c>
      <c r="E213" s="4">
        <f>IF(A213="","",SUMIFS('Логи'!$H$4:$H$3006,'Логи'!$A$4:$A$3006,A213,'Логи'!$C$4:$C$3006,4))</f>
        <v/>
      </c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  <c r="AF213" s="15" t="n"/>
      <c r="AG213" s="15" t="n"/>
      <c r="AH213" s="15" t="n"/>
      <c r="AI213" s="15" t="n"/>
    </row>
    <row r="214">
      <c r="A214" s="4" t="inlineStr">
        <is>
          <t>Студент2.5</t>
        </is>
      </c>
      <c r="B214" s="4" t="inlineStr"/>
      <c r="C214" s="4">
        <f>IF(A214="","",COUNTIF(F214:AI214,"+")+COUNTIF(F214:AI214,"1"))</f>
        <v/>
      </c>
      <c r="D214" s="4">
        <f>IF(A214="","",IF(C214&gt;2*COUNTA(F$209:AI$209)/3,1,IF(C214&gt;=COUNTA(F$209:AI$209)/2,0.8,0.5)))</f>
        <v/>
      </c>
      <c r="E214" s="4">
        <f>IF(A214="","",SUMIFS('Логи'!$H$4:$H$3006,'Логи'!$A$4:$A$3006,A214,'Логи'!$C$4:$C$3006,4))</f>
        <v/>
      </c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  <c r="AF214" s="15" t="n"/>
      <c r="AG214" s="15" t="n"/>
      <c r="AH214" s="15" t="n"/>
      <c r="AI214" s="15" t="n"/>
    </row>
    <row r="215">
      <c r="A215" s="4" t="inlineStr">
        <is>
          <t>Студент2.6</t>
        </is>
      </c>
      <c r="B215" s="4" t="inlineStr"/>
      <c r="C215" s="4">
        <f>IF(A215="","",COUNTIF(F215:AI215,"+")+COUNTIF(F215:AI215,"1"))</f>
        <v/>
      </c>
      <c r="D215" s="4">
        <f>IF(A215="","",IF(C215&gt;2*COUNTA(F$209:AI$209)/3,1,IF(C215&gt;=COUNTA(F$209:AI$209)/2,0.8,0.5)))</f>
        <v/>
      </c>
      <c r="E215" s="4">
        <f>IF(A215="","",SUMIFS('Логи'!$H$4:$H$3006,'Логи'!$A$4:$A$3006,A215,'Логи'!$C$4:$C$3006,4))</f>
        <v/>
      </c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  <c r="AG215" s="15" t="n"/>
      <c r="AH215" s="15" t="n"/>
      <c r="AI215" s="15" t="n"/>
    </row>
    <row r="216">
      <c r="A216" s="4" t="inlineStr">
        <is>
          <t>Студент2.7</t>
        </is>
      </c>
      <c r="B216" s="4" t="inlineStr"/>
      <c r="C216" s="4">
        <f>IF(A216="","",COUNTIF(F216:AI216,"+")+COUNTIF(F216:AI216,"1"))</f>
        <v/>
      </c>
      <c r="D216" s="4">
        <f>IF(A216="","",IF(C216&gt;2*COUNTA(F$209:AI$209)/3,1,IF(C216&gt;=COUNTA(F$209:AI$209)/2,0.8,0.5)))</f>
        <v/>
      </c>
      <c r="E216" s="4">
        <f>IF(A216="","",SUMIFS('Логи'!$H$4:$H$3006,'Логи'!$A$4:$A$3006,A216,'Логи'!$C$4:$C$3006,4))</f>
        <v/>
      </c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  <c r="AG216" s="15" t="n"/>
      <c r="AH216" s="15" t="n"/>
      <c r="AI216" s="15" t="n"/>
    </row>
    <row r="217">
      <c r="A217" s="4" t="inlineStr">
        <is>
          <t>Студент2.8</t>
        </is>
      </c>
      <c r="B217" s="4" t="inlineStr"/>
      <c r="C217" s="4">
        <f>IF(A217="","",COUNTIF(F217:AI217,"+")+COUNTIF(F217:AI217,"1"))</f>
        <v/>
      </c>
      <c r="D217" s="4">
        <f>IF(A217="","",IF(C217&gt;2*COUNTA(F$209:AI$209)/3,1,IF(C217&gt;=COUNTA(F$209:AI$209)/2,0.8,0.5)))</f>
        <v/>
      </c>
      <c r="E217" s="4">
        <f>IF(A217="","",SUMIFS('Логи'!$H$4:$H$3006,'Логи'!$A$4:$A$3006,A217,'Логи'!$C$4:$C$3006,4))</f>
        <v/>
      </c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</row>
    <row r="218">
      <c r="A218" s="4" t="inlineStr">
        <is>
          <t>Студент2.9</t>
        </is>
      </c>
      <c r="B218" s="4" t="inlineStr"/>
      <c r="C218" s="4">
        <f>IF(A218="","",COUNTIF(F218:AI218,"+")+COUNTIF(F218:AI218,"1"))</f>
        <v/>
      </c>
      <c r="D218" s="4">
        <f>IF(A218="","",IF(C218&gt;2*COUNTA(F$209:AI$209)/3,1,IF(C218&gt;=COUNTA(F$209:AI$209)/2,0.8,0.5)))</f>
        <v/>
      </c>
      <c r="E218" s="4">
        <f>IF(A218="","",SUMIFS('Логи'!$H$4:$H$3006,'Логи'!$A$4:$A$3006,A218,'Логи'!$C$4:$C$3006,4))</f>
        <v/>
      </c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  <c r="AG218" s="15" t="n"/>
      <c r="AH218" s="15" t="n"/>
      <c r="AI218" s="15" t="n"/>
    </row>
    <row r="219">
      <c r="A219" s="4" t="inlineStr">
        <is>
          <t>Студент2.10</t>
        </is>
      </c>
      <c r="B219" s="4" t="inlineStr"/>
      <c r="C219" s="4">
        <f>IF(A219="","",COUNTIF(F219:AI219,"+")+COUNTIF(F219:AI219,"1"))</f>
        <v/>
      </c>
      <c r="D219" s="4">
        <f>IF(A219="","",IF(C219&gt;2*COUNTA(F$209:AI$209)/3,1,IF(C219&gt;=COUNTA(F$209:AI$209)/2,0.8,0.5)))</f>
        <v/>
      </c>
      <c r="E219" s="4">
        <f>IF(A219="","",SUMIFS('Логи'!$H$4:$H$3006,'Логи'!$A$4:$A$3006,A219,'Логи'!$C$4:$C$3006,4))</f>
        <v/>
      </c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  <c r="AG219" s="15" t="n"/>
      <c r="AH219" s="15" t="n"/>
      <c r="AI219" s="15" t="n"/>
    </row>
    <row r="220">
      <c r="A220" s="4" t="inlineStr">
        <is>
          <t>Студент2.11</t>
        </is>
      </c>
      <c r="B220" s="4" t="inlineStr"/>
      <c r="C220" s="4">
        <f>IF(A220="","",COUNTIF(F220:AI220,"+")+COUNTIF(F220:AI220,"1"))</f>
        <v/>
      </c>
      <c r="D220" s="4">
        <f>IF(A220="","",IF(C220&gt;2*COUNTA(F$209:AI$209)/3,1,IF(C220&gt;=COUNTA(F$209:AI$209)/2,0.8,0.5)))</f>
        <v/>
      </c>
      <c r="E220" s="4">
        <f>IF(A220="","",SUMIFS('Логи'!$H$4:$H$3006,'Логи'!$A$4:$A$3006,A220,'Логи'!$C$4:$C$3006,4))</f>
        <v/>
      </c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  <c r="AG220" s="15" t="n"/>
      <c r="AH220" s="15" t="n"/>
      <c r="AI220" s="15" t="n"/>
    </row>
    <row r="221">
      <c r="A221" s="4" t="inlineStr">
        <is>
          <t>Студент2.12</t>
        </is>
      </c>
      <c r="B221" s="4" t="inlineStr"/>
      <c r="C221" s="4">
        <f>IF(A221="","",COUNTIF(F221:AI221,"+")+COUNTIF(F221:AI221,"1"))</f>
        <v/>
      </c>
      <c r="D221" s="4">
        <f>IF(A221="","",IF(C221&gt;2*COUNTA(F$209:AI$209)/3,1,IF(C221&gt;=COUNTA(F$209:AI$209)/2,0.8,0.5)))</f>
        <v/>
      </c>
      <c r="E221" s="4">
        <f>IF(A221="","",SUMIFS('Логи'!$H$4:$H$3006,'Логи'!$A$4:$A$3006,A221,'Логи'!$C$4:$C$3006,4))</f>
        <v/>
      </c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  <c r="AG221" s="15" t="n"/>
      <c r="AH221" s="15" t="n"/>
      <c r="AI221" s="15" t="n"/>
    </row>
    <row r="222">
      <c r="A222" s="4" t="inlineStr">
        <is>
          <t>Студент2.13</t>
        </is>
      </c>
      <c r="B222" s="4" t="inlineStr"/>
      <c r="C222" s="4">
        <f>IF(A222="","",COUNTIF(F222:AI222,"+")+COUNTIF(F222:AI222,"1"))</f>
        <v/>
      </c>
      <c r="D222" s="4">
        <f>IF(A222="","",IF(C222&gt;2*COUNTA(F$209:AI$209)/3,1,IF(C222&gt;=COUNTA(F$209:AI$209)/2,0.8,0.5)))</f>
        <v/>
      </c>
      <c r="E222" s="4">
        <f>IF(A222="","",SUMIFS('Логи'!$H$4:$H$3006,'Логи'!$A$4:$A$3006,A222,'Логи'!$C$4:$C$3006,4))</f>
        <v/>
      </c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  <c r="AG222" s="15" t="n"/>
      <c r="AH222" s="15" t="n"/>
      <c r="AI222" s="15" t="n"/>
    </row>
    <row r="223">
      <c r="A223" s="4" t="inlineStr">
        <is>
          <t>Студент2.14</t>
        </is>
      </c>
      <c r="B223" s="4" t="inlineStr"/>
      <c r="C223" s="4">
        <f>IF(A223="","",COUNTIF(F223:AI223,"+")+COUNTIF(F223:AI223,"1"))</f>
        <v/>
      </c>
      <c r="D223" s="4">
        <f>IF(A223="","",IF(C223&gt;2*COUNTA(F$209:AI$209)/3,1,IF(C223&gt;=COUNTA(F$209:AI$209)/2,0.8,0.5)))</f>
        <v/>
      </c>
      <c r="E223" s="4">
        <f>IF(A223="","",SUMIFS('Логи'!$H$4:$H$3006,'Логи'!$A$4:$A$3006,A223,'Логи'!$C$4:$C$3006,4))</f>
        <v/>
      </c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  <c r="AG223" s="15" t="n"/>
      <c r="AH223" s="15" t="n"/>
      <c r="AI223" s="15" t="n"/>
    </row>
    <row r="224">
      <c r="A224" s="4" t="inlineStr">
        <is>
          <t>Студент2.15</t>
        </is>
      </c>
      <c r="B224" s="4" t="inlineStr"/>
      <c r="C224" s="4">
        <f>IF(A224="","",COUNTIF(F224:AI224,"+")+COUNTIF(F224:AI224,"1"))</f>
        <v/>
      </c>
      <c r="D224" s="4">
        <f>IF(A224="","",IF(C224&gt;2*COUNTA(F$209:AI$209)/3,1,IF(C224&gt;=COUNTA(F$209:AI$209)/2,0.8,0.5)))</f>
        <v/>
      </c>
      <c r="E224" s="4">
        <f>IF(A224="","",SUMIFS('Логи'!$H$4:$H$3006,'Логи'!$A$4:$A$3006,A224,'Логи'!$C$4:$C$3006,4))</f>
        <v/>
      </c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  <c r="AG224" s="15" t="n"/>
      <c r="AH224" s="15" t="n"/>
      <c r="AI224" s="15" t="n"/>
    </row>
    <row r="225">
      <c r="A225" s="4" t="inlineStr">
        <is>
          <t>Студент2.16</t>
        </is>
      </c>
      <c r="B225" s="4" t="inlineStr"/>
      <c r="C225" s="4">
        <f>IF(A225="","",COUNTIF(F225:AI225,"+")+COUNTIF(F225:AI225,"1"))</f>
        <v/>
      </c>
      <c r="D225" s="4">
        <f>IF(A225="","",IF(C225&gt;2*COUNTA(F$209:AI$209)/3,1,IF(C225&gt;=COUNTA(F$209:AI$209)/2,0.8,0.5)))</f>
        <v/>
      </c>
      <c r="E225" s="4">
        <f>IF(A225="","",SUMIFS('Логи'!$H$4:$H$3006,'Логи'!$A$4:$A$3006,A225,'Логи'!$C$4:$C$3006,4))</f>
        <v/>
      </c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  <c r="AG225" s="15" t="n"/>
      <c r="AH225" s="15" t="n"/>
      <c r="AI225" s="15" t="n"/>
    </row>
    <row r="226">
      <c r="A226" s="4" t="inlineStr">
        <is>
          <t>Студент2.17</t>
        </is>
      </c>
      <c r="B226" s="4" t="inlineStr"/>
      <c r="C226" s="4">
        <f>IF(A226="","",COUNTIF(F226:AI226,"+")+COUNTIF(F226:AI226,"1"))</f>
        <v/>
      </c>
      <c r="D226" s="4">
        <f>IF(A226="","",IF(C226&gt;2*COUNTA(F$209:AI$209)/3,1,IF(C226&gt;=COUNTA(F$209:AI$209)/2,0.8,0.5)))</f>
        <v/>
      </c>
      <c r="E226" s="4">
        <f>IF(A226="","",SUMIFS('Логи'!$H$4:$H$3006,'Логи'!$A$4:$A$3006,A226,'Логи'!$C$4:$C$3006,4))</f>
        <v/>
      </c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  <c r="AG226" s="15" t="n"/>
      <c r="AH226" s="15" t="n"/>
      <c r="AI226" s="15" t="n"/>
    </row>
    <row r="227">
      <c r="A227" s="4" t="inlineStr">
        <is>
          <t>Студент2.18</t>
        </is>
      </c>
      <c r="B227" s="4" t="inlineStr"/>
      <c r="C227" s="4">
        <f>IF(A227="","",COUNTIF(F227:AI227,"+")+COUNTIF(F227:AI227,"1"))</f>
        <v/>
      </c>
      <c r="D227" s="4">
        <f>IF(A227="","",IF(C227&gt;2*COUNTA(F$209:AI$209)/3,1,IF(C227&gt;=COUNTA(F$209:AI$209)/2,0.8,0.5)))</f>
        <v/>
      </c>
      <c r="E227" s="4">
        <f>IF(A227="","",SUMIFS('Логи'!$H$4:$H$3006,'Логи'!$A$4:$A$3006,A227,'Логи'!$C$4:$C$3006,4))</f>
        <v/>
      </c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  <c r="AG227" s="15" t="n"/>
      <c r="AH227" s="15" t="n"/>
      <c r="AI227" s="15" t="n"/>
    </row>
    <row r="228">
      <c r="A228" s="4" t="inlineStr">
        <is>
          <t>Студент2.19</t>
        </is>
      </c>
      <c r="B228" s="4" t="inlineStr"/>
      <c r="C228" s="4">
        <f>IF(A228="","",COUNTIF(F228:AI228,"+")+COUNTIF(F228:AI228,"1"))</f>
        <v/>
      </c>
      <c r="D228" s="4">
        <f>IF(A228="","",IF(C228&gt;2*COUNTA(F$209:AI$209)/3,1,IF(C228&gt;=COUNTA(F$209:AI$209)/2,0.8,0.5)))</f>
        <v/>
      </c>
      <c r="E228" s="4">
        <f>IF(A228="","",SUMIFS('Логи'!$H$4:$H$3006,'Логи'!$A$4:$A$3006,A228,'Логи'!$C$4:$C$3006,4))</f>
        <v/>
      </c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  <c r="AG228" s="15" t="n"/>
      <c r="AH228" s="15" t="n"/>
      <c r="AI228" s="15" t="n"/>
    </row>
    <row r="229">
      <c r="A229" s="4" t="inlineStr">
        <is>
          <t>Студент2.20</t>
        </is>
      </c>
      <c r="B229" s="4" t="inlineStr"/>
      <c r="C229" s="4">
        <f>IF(A229="","",COUNTIF(F229:AI229,"+")+COUNTIF(F229:AI229,"1"))</f>
        <v/>
      </c>
      <c r="D229" s="4">
        <f>IF(A229="","",IF(C229&gt;2*COUNTA(F$209:AI$209)/3,1,IF(C229&gt;=COUNTA(F$209:AI$209)/2,0.8,0.5)))</f>
        <v/>
      </c>
      <c r="E229" s="4">
        <f>IF(A229="","",SUMIFS('Логи'!$H$4:$H$3006,'Логи'!$A$4:$A$3006,A229,'Логи'!$C$4:$C$3006,4))</f>
        <v/>
      </c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</row>
    <row r="230">
      <c r="A230" s="4" t="inlineStr">
        <is>
          <t>Студент2.21</t>
        </is>
      </c>
      <c r="B230" s="4" t="inlineStr"/>
      <c r="C230" s="4">
        <f>IF(A230="","",COUNTIF(F230:AI230,"+")+COUNTIF(F230:AI230,"1"))</f>
        <v/>
      </c>
      <c r="D230" s="4">
        <f>IF(A230="","",IF(C230&gt;2*COUNTA(F$209:AI$209)/3,1,IF(C230&gt;=COUNTA(F$209:AI$209)/2,0.8,0.5)))</f>
        <v/>
      </c>
      <c r="E230" s="4">
        <f>IF(A230="","",SUMIFS('Логи'!$H$4:$H$3006,'Логи'!$A$4:$A$3006,A230,'Логи'!$C$4:$C$3006,4))</f>
        <v/>
      </c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  <c r="AG230" s="15" t="n"/>
      <c r="AH230" s="15" t="n"/>
      <c r="AI230" s="15" t="n"/>
    </row>
    <row r="231">
      <c r="A231" s="4" t="inlineStr">
        <is>
          <t>Студент2.22</t>
        </is>
      </c>
      <c r="B231" s="4" t="inlineStr"/>
      <c r="C231" s="4">
        <f>IF(A231="","",COUNTIF(F231:AI231,"+")+COUNTIF(F231:AI231,"1"))</f>
        <v/>
      </c>
      <c r="D231" s="4">
        <f>IF(A231="","",IF(C231&gt;2*COUNTA(F$209:AI$209)/3,1,IF(C231&gt;=COUNTA(F$209:AI$209)/2,0.8,0.5)))</f>
        <v/>
      </c>
      <c r="E231" s="4">
        <f>IF(A231="","",SUMIFS('Логи'!$H$4:$H$3006,'Логи'!$A$4:$A$3006,A231,'Логи'!$C$4:$C$3006,4))</f>
        <v/>
      </c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</row>
    <row r="232">
      <c r="A232" s="4" t="inlineStr">
        <is>
          <t>Студент2.23</t>
        </is>
      </c>
      <c r="B232" s="4" t="inlineStr"/>
      <c r="C232" s="4">
        <f>IF(A232="","",COUNTIF(F232:AI232,"+")+COUNTIF(F232:AI232,"1"))</f>
        <v/>
      </c>
      <c r="D232" s="4">
        <f>IF(A232="","",IF(C232&gt;2*COUNTA(F$209:AI$209)/3,1,IF(C232&gt;=COUNTA(F$209:AI$209)/2,0.8,0.5)))</f>
        <v/>
      </c>
      <c r="E232" s="4">
        <f>IF(A232="","",SUMIFS('Логи'!$H$4:$H$3006,'Логи'!$A$4:$A$3006,A232,'Логи'!$C$4:$C$3006,4))</f>
        <v/>
      </c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  <c r="AG232" s="15" t="n"/>
      <c r="AH232" s="15" t="n"/>
      <c r="AI232" s="15" t="n"/>
    </row>
    <row r="233">
      <c r="A233" s="4" t="inlineStr">
        <is>
          <t>Студент2.24</t>
        </is>
      </c>
      <c r="B233" s="4" t="inlineStr"/>
      <c r="C233" s="4">
        <f>IF(A233="","",COUNTIF(F233:AI233,"+")+COUNTIF(F233:AI233,"1"))</f>
        <v/>
      </c>
      <c r="D233" s="4">
        <f>IF(A233="","",IF(C233&gt;2*COUNTA(F$209:AI$209)/3,1,IF(C233&gt;=COUNTA(F$209:AI$209)/2,0.8,0.5)))</f>
        <v/>
      </c>
      <c r="E233" s="4">
        <f>IF(A233="","",SUMIFS('Логи'!$H$4:$H$3006,'Логи'!$A$4:$A$3006,A233,'Логи'!$C$4:$C$3006,4))</f>
        <v/>
      </c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  <c r="AG233" s="15" t="n"/>
      <c r="AH233" s="15" t="n"/>
      <c r="AI233" s="15" t="n"/>
    </row>
    <row r="234">
      <c r="A234" s="4" t="inlineStr">
        <is>
          <t>Студент2.25</t>
        </is>
      </c>
      <c r="B234" s="4" t="inlineStr"/>
      <c r="C234" s="4">
        <f>IF(A234="","",COUNTIF(F234:AI234,"+")+COUNTIF(F234:AI234,"1"))</f>
        <v/>
      </c>
      <c r="D234" s="4">
        <f>IF(A234="","",IF(C234&gt;2*COUNTA(F$209:AI$209)/3,1,IF(C234&gt;=COUNTA(F$209:AI$209)/2,0.8,0.5)))</f>
        <v/>
      </c>
      <c r="E234" s="4">
        <f>IF(A234="","",SUMIFS('Логи'!$H$4:$H$3006,'Логи'!$A$4:$A$3006,A234,'Логи'!$C$4:$C$3006,4))</f>
        <v/>
      </c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  <c r="AG234" s="15" t="n"/>
      <c r="AH234" s="15" t="n"/>
      <c r="AI234" s="15" t="n"/>
    </row>
    <row r="235">
      <c r="A235" s="4" t="inlineStr">
        <is>
          <t>Студент2.26</t>
        </is>
      </c>
      <c r="B235" s="4" t="inlineStr"/>
      <c r="C235" s="4">
        <f>IF(A235="","",COUNTIF(F235:AI235,"+")+COUNTIF(F235:AI235,"1"))</f>
        <v/>
      </c>
      <c r="D235" s="4">
        <f>IF(A235="","",IF(C235&gt;2*COUNTA(F$209:AI$209)/3,1,IF(C235&gt;=COUNTA(F$209:AI$209)/2,0.8,0.5)))</f>
        <v/>
      </c>
      <c r="E235" s="4">
        <f>IF(A235="","",SUMIFS('Логи'!$H$4:$H$3006,'Логи'!$A$4:$A$3006,A235,'Логи'!$C$4:$C$3006,4))</f>
        <v/>
      </c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  <c r="AG235" s="15" t="n"/>
      <c r="AH235" s="15" t="n"/>
      <c r="AI235" s="15" t="n"/>
    </row>
    <row r="236">
      <c r="A236" s="4" t="inlineStr">
        <is>
          <t>Студент2.27</t>
        </is>
      </c>
      <c r="B236" s="4" t="inlineStr"/>
      <c r="C236" s="4">
        <f>IF(A236="","",COUNTIF(F236:AI236,"+")+COUNTIF(F236:AI236,"1"))</f>
        <v/>
      </c>
      <c r="D236" s="4">
        <f>IF(A236="","",IF(C236&gt;2*COUNTA(F$209:AI$209)/3,1,IF(C236&gt;=COUNTA(F$209:AI$209)/2,0.8,0.5)))</f>
        <v/>
      </c>
      <c r="E236" s="4">
        <f>IF(A236="","",SUMIFS('Логи'!$H$4:$H$3006,'Логи'!$A$4:$A$3006,A236,'Логи'!$C$4:$C$3006,4))</f>
        <v/>
      </c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  <c r="AG236" s="15" t="n"/>
      <c r="AH236" s="15" t="n"/>
      <c r="AI236" s="15" t="n"/>
    </row>
    <row r="237">
      <c r="A237" s="4" t="inlineStr">
        <is>
          <t>Студент2.28</t>
        </is>
      </c>
      <c r="B237" s="4" t="inlineStr"/>
      <c r="C237" s="4">
        <f>IF(A237="","",COUNTIF(F237:AI237,"+")+COUNTIF(F237:AI237,"1"))</f>
        <v/>
      </c>
      <c r="D237" s="4">
        <f>IF(A237="","",IF(C237&gt;2*COUNTA(F$209:AI$209)/3,1,IF(C237&gt;=COUNTA(F$209:AI$209)/2,0.8,0.5)))</f>
        <v/>
      </c>
      <c r="E237" s="4">
        <f>IF(A237="","",SUMIFS('Логи'!$H$4:$H$3006,'Логи'!$A$4:$A$3006,A237,'Логи'!$C$4:$C$3006,4))</f>
        <v/>
      </c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  <c r="AG237" s="15" t="n"/>
      <c r="AH237" s="15" t="n"/>
      <c r="AI237" s="15" t="n"/>
    </row>
    <row r="238">
      <c r="A238" s="4" t="inlineStr">
        <is>
          <t>Студент2.29</t>
        </is>
      </c>
      <c r="B238" s="4" t="inlineStr"/>
      <c r="C238" s="4">
        <f>IF(A238="","",COUNTIF(F238:AI238,"+")+COUNTIF(F238:AI238,"1"))</f>
        <v/>
      </c>
      <c r="D238" s="4">
        <f>IF(A238="","",IF(C238&gt;2*COUNTA(F$209:AI$209)/3,1,IF(C238&gt;=COUNTA(F$209:AI$209)/2,0.8,0.5)))</f>
        <v/>
      </c>
      <c r="E238" s="4">
        <f>IF(A238="","",SUMIFS('Логи'!$H$4:$H$3006,'Логи'!$A$4:$A$3006,A238,'Логи'!$C$4:$C$3006,4))</f>
        <v/>
      </c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  <c r="AG238" s="15" t="n"/>
      <c r="AH238" s="15" t="n"/>
      <c r="AI238" s="15" t="n"/>
    </row>
    <row r="239">
      <c r="A239" s="4" t="inlineStr">
        <is>
          <t>Студент2.30</t>
        </is>
      </c>
      <c r="B239" s="4" t="inlineStr"/>
      <c r="C239" s="4">
        <f>IF(A239="","",COUNTIF(F239:AI239,"+")+COUNTIF(F239:AI239,"1"))</f>
        <v/>
      </c>
      <c r="D239" s="4">
        <f>IF(A239="","",IF(C239&gt;2*COUNTA(F$209:AI$209)/3,1,IF(C239&gt;=COUNTA(F$209:AI$209)/2,0.8,0.5)))</f>
        <v/>
      </c>
      <c r="E239" s="4">
        <f>IF(A239="","",SUMIFS('Логи'!$H$4:$H$3006,'Логи'!$A$4:$A$3006,A239,'Логи'!$C$4:$C$3006,4))</f>
        <v/>
      </c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  <c r="AF239" s="15" t="n"/>
      <c r="AG239" s="15" t="n"/>
      <c r="AH239" s="15" t="n"/>
      <c r="AI239" s="15" t="n"/>
    </row>
    <row r="241">
      <c r="A241" s="16" t="inlineStr">
        <is>
          <t>Практика 4 — результаты рассказа</t>
        </is>
      </c>
    </row>
    <row r="242" ht="28" customHeight="1">
      <c r="A242" s="7" t="inlineStr">
        <is>
          <t>Имя</t>
        </is>
      </c>
      <c r="B242" s="9" t="inlineStr">
        <is>
          <t>TG</t>
        </is>
      </c>
      <c r="C242" s="10" t="inlineStr"/>
      <c r="D242" s="2" t="inlineStr"/>
      <c r="E242" s="2" t="inlineStr"/>
      <c r="F242" s="11" t="inlineStr">
        <is>
          <t>1.0</t>
        </is>
      </c>
      <c r="G242" s="11" t="inlineStr">
        <is>
          <t>2.0</t>
        </is>
      </c>
      <c r="H242" s="11" t="inlineStr">
        <is>
          <t>3.0</t>
        </is>
      </c>
      <c r="I242" s="11" t="inlineStr">
        <is>
          <t>4.0</t>
        </is>
      </c>
      <c r="J242" s="11" t="inlineStr">
        <is>
          <t>5.0</t>
        </is>
      </c>
      <c r="K242" s="11" t="inlineStr">
        <is>
          <t>6</t>
        </is>
      </c>
      <c r="L242" s="11" t="inlineStr">
        <is>
          <t>7</t>
        </is>
      </c>
      <c r="M242" s="11" t="inlineStr">
        <is>
          <t>8</t>
        </is>
      </c>
      <c r="N242" s="11" t="inlineStr">
        <is>
          <t>9</t>
        </is>
      </c>
      <c r="O242" s="11" t="inlineStr">
        <is>
          <t>10</t>
        </is>
      </c>
      <c r="P242" s="11" t="inlineStr">
        <is>
          <t>11</t>
        </is>
      </c>
      <c r="Q242" s="11" t="inlineStr">
        <is>
          <t>12</t>
        </is>
      </c>
      <c r="R242" s="11" t="inlineStr">
        <is>
          <t>13</t>
        </is>
      </c>
      <c r="S242" s="11" t="inlineStr">
        <is>
          <t>14</t>
        </is>
      </c>
      <c r="T242" s="11" t="inlineStr">
        <is>
          <t>15</t>
        </is>
      </c>
      <c r="U242" s="11" t="inlineStr">
        <is>
          <t>16</t>
        </is>
      </c>
      <c r="V242" s="11" t="inlineStr">
        <is>
          <t>17</t>
        </is>
      </c>
      <c r="W242" s="11" t="inlineStr">
        <is>
          <t>18</t>
        </is>
      </c>
      <c r="X242" s="11" t="inlineStr">
        <is>
          <t>19</t>
        </is>
      </c>
      <c r="Y242" s="11" t="inlineStr">
        <is>
          <t>20</t>
        </is>
      </c>
      <c r="Z242" s="11" t="inlineStr">
        <is>
          <t>21</t>
        </is>
      </c>
      <c r="AA242" s="11" t="inlineStr">
        <is>
          <t>22</t>
        </is>
      </c>
      <c r="AB242" s="11" t="inlineStr">
        <is>
          <t>23</t>
        </is>
      </c>
      <c r="AC242" s="11" t="inlineStr">
        <is>
          <t>24</t>
        </is>
      </c>
      <c r="AD242" s="11" t="inlineStr">
        <is>
          <t>25</t>
        </is>
      </c>
      <c r="AE242" s="11" t="inlineStr">
        <is>
          <t>26</t>
        </is>
      </c>
      <c r="AF242" s="11" t="inlineStr">
        <is>
          <t>27</t>
        </is>
      </c>
      <c r="AG242" s="11" t="inlineStr">
        <is>
          <t>28</t>
        </is>
      </c>
      <c r="AH242" s="11" t="inlineStr">
        <is>
          <t>29</t>
        </is>
      </c>
      <c r="AI242" s="11" t="inlineStr">
        <is>
          <t>30</t>
        </is>
      </c>
    </row>
    <row r="243">
      <c r="A243" s="4" t="inlineStr">
        <is>
          <t>Студент2.1</t>
        </is>
      </c>
      <c r="B243" s="4" t="inlineStr"/>
      <c r="C243" s="4" t="n"/>
      <c r="D243" s="4" t="n"/>
      <c r="E243" s="4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5" t="n"/>
    </row>
    <row r="244">
      <c r="A244" s="4" t="inlineStr">
        <is>
          <t>Студент2.2</t>
        </is>
      </c>
      <c r="B244" s="4" t="inlineStr"/>
      <c r="C244" s="4" t="n"/>
      <c r="D244" s="4" t="n"/>
      <c r="E244" s="4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  <c r="AG244" s="15" t="n"/>
      <c r="AH244" s="15" t="n"/>
      <c r="AI244" s="15" t="n"/>
    </row>
    <row r="245">
      <c r="A245" s="4" t="inlineStr">
        <is>
          <t>Студент2.3</t>
        </is>
      </c>
      <c r="B245" s="4" t="inlineStr"/>
      <c r="C245" s="4" t="n"/>
      <c r="D245" s="4" t="n"/>
      <c r="E245" s="4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  <c r="AG245" s="15" t="n"/>
      <c r="AH245" s="15" t="n"/>
      <c r="AI245" s="15" t="n"/>
    </row>
    <row r="246">
      <c r="A246" s="4" t="inlineStr">
        <is>
          <t>Студент2.4</t>
        </is>
      </c>
      <c r="B246" s="4" t="inlineStr"/>
      <c r="C246" s="4" t="n"/>
      <c r="D246" s="4" t="n"/>
      <c r="E246" s="4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  <c r="AF246" s="15" t="n"/>
      <c r="AG246" s="15" t="n"/>
      <c r="AH246" s="15" t="n"/>
      <c r="AI246" s="15" t="n"/>
    </row>
    <row r="247">
      <c r="A247" s="4" t="inlineStr">
        <is>
          <t>Студент2.5</t>
        </is>
      </c>
      <c r="B247" s="4" t="inlineStr"/>
      <c r="C247" s="4" t="n"/>
      <c r="D247" s="4" t="n"/>
      <c r="E247" s="4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  <c r="AF247" s="15" t="n"/>
      <c r="AG247" s="15" t="n"/>
      <c r="AH247" s="15" t="n"/>
      <c r="AI247" s="15" t="n"/>
    </row>
    <row r="248">
      <c r="A248" s="4" t="inlineStr">
        <is>
          <t>Студент2.6</t>
        </is>
      </c>
      <c r="B248" s="4" t="inlineStr"/>
      <c r="C248" s="4" t="n"/>
      <c r="D248" s="4" t="n"/>
      <c r="E248" s="4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  <c r="AF248" s="15" t="n"/>
      <c r="AG248" s="15" t="n"/>
      <c r="AH248" s="15" t="n"/>
      <c r="AI248" s="15" t="n"/>
    </row>
    <row r="249">
      <c r="A249" s="4" t="inlineStr">
        <is>
          <t>Студент2.7</t>
        </is>
      </c>
      <c r="B249" s="4" t="inlineStr"/>
      <c r="C249" s="4" t="n"/>
      <c r="D249" s="4" t="n"/>
      <c r="E249" s="4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  <c r="AF249" s="15" t="n"/>
      <c r="AG249" s="15" t="n"/>
      <c r="AH249" s="15" t="n"/>
      <c r="AI249" s="15" t="n"/>
    </row>
    <row r="250">
      <c r="A250" s="4" t="inlineStr">
        <is>
          <t>Студент2.8</t>
        </is>
      </c>
      <c r="B250" s="4" t="inlineStr"/>
      <c r="C250" s="4" t="n"/>
      <c r="D250" s="4" t="n"/>
      <c r="E250" s="4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  <c r="AF250" s="15" t="n"/>
      <c r="AG250" s="15" t="n"/>
      <c r="AH250" s="15" t="n"/>
      <c r="AI250" s="15" t="n"/>
    </row>
    <row r="251">
      <c r="A251" s="4" t="inlineStr">
        <is>
          <t>Студент2.9</t>
        </is>
      </c>
      <c r="B251" s="4" t="inlineStr"/>
      <c r="C251" s="4" t="n"/>
      <c r="D251" s="4" t="n"/>
      <c r="E251" s="4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  <c r="AF251" s="15" t="n"/>
      <c r="AG251" s="15" t="n"/>
      <c r="AH251" s="15" t="n"/>
      <c r="AI251" s="15" t="n"/>
    </row>
    <row r="252">
      <c r="A252" s="4" t="inlineStr">
        <is>
          <t>Студент2.10</t>
        </is>
      </c>
      <c r="B252" s="4" t="inlineStr"/>
      <c r="C252" s="4" t="n"/>
      <c r="D252" s="4" t="n"/>
      <c r="E252" s="4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5" t="n"/>
      <c r="AE252" s="15" t="n"/>
      <c r="AF252" s="15" t="n"/>
      <c r="AG252" s="15" t="n"/>
      <c r="AH252" s="15" t="n"/>
      <c r="AI252" s="15" t="n"/>
    </row>
    <row r="253">
      <c r="A253" s="4" t="inlineStr">
        <is>
          <t>Студент2.11</t>
        </is>
      </c>
      <c r="B253" s="4" t="inlineStr"/>
      <c r="C253" s="4" t="n"/>
      <c r="D253" s="4" t="n"/>
      <c r="E253" s="4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  <c r="AC253" s="15" t="n"/>
      <c r="AD253" s="15" t="n"/>
      <c r="AE253" s="15" t="n"/>
      <c r="AF253" s="15" t="n"/>
      <c r="AG253" s="15" t="n"/>
      <c r="AH253" s="15" t="n"/>
      <c r="AI253" s="15" t="n"/>
    </row>
    <row r="254">
      <c r="A254" s="4" t="inlineStr">
        <is>
          <t>Студент2.12</t>
        </is>
      </c>
      <c r="B254" s="4" t="inlineStr"/>
      <c r="C254" s="4" t="n"/>
      <c r="D254" s="4" t="n"/>
      <c r="E254" s="4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  <c r="AF254" s="15" t="n"/>
      <c r="AG254" s="15" t="n"/>
      <c r="AH254" s="15" t="n"/>
      <c r="AI254" s="15" t="n"/>
    </row>
    <row r="255">
      <c r="A255" s="4" t="inlineStr">
        <is>
          <t>Студент2.13</t>
        </is>
      </c>
      <c r="B255" s="4" t="inlineStr"/>
      <c r="C255" s="4" t="n"/>
      <c r="D255" s="4" t="n"/>
      <c r="E255" s="4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5" t="n"/>
      <c r="AE255" s="15" t="n"/>
      <c r="AF255" s="15" t="n"/>
      <c r="AG255" s="15" t="n"/>
      <c r="AH255" s="15" t="n"/>
      <c r="AI255" s="15" t="n"/>
    </row>
    <row r="256">
      <c r="A256" s="4" t="inlineStr">
        <is>
          <t>Студент2.14</t>
        </is>
      </c>
      <c r="B256" s="4" t="inlineStr"/>
      <c r="C256" s="4" t="n"/>
      <c r="D256" s="4" t="n"/>
      <c r="E256" s="4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  <c r="AF256" s="15" t="n"/>
      <c r="AG256" s="15" t="n"/>
      <c r="AH256" s="15" t="n"/>
      <c r="AI256" s="15" t="n"/>
    </row>
    <row r="257">
      <c r="A257" s="4" t="inlineStr">
        <is>
          <t>Студент2.15</t>
        </is>
      </c>
      <c r="B257" s="4" t="inlineStr"/>
      <c r="C257" s="4" t="n"/>
      <c r="D257" s="4" t="n"/>
      <c r="E257" s="4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  <c r="AG257" s="15" t="n"/>
      <c r="AH257" s="15" t="n"/>
      <c r="AI257" s="15" t="n"/>
    </row>
    <row r="258">
      <c r="A258" s="4" t="inlineStr">
        <is>
          <t>Студент2.16</t>
        </is>
      </c>
      <c r="B258" s="4" t="inlineStr"/>
      <c r="C258" s="4" t="n"/>
      <c r="D258" s="4" t="n"/>
      <c r="E258" s="4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  <c r="AF258" s="15" t="n"/>
      <c r="AG258" s="15" t="n"/>
      <c r="AH258" s="15" t="n"/>
      <c r="AI258" s="15" t="n"/>
    </row>
    <row r="259">
      <c r="A259" s="4" t="inlineStr">
        <is>
          <t>Студент2.17</t>
        </is>
      </c>
      <c r="B259" s="4" t="inlineStr"/>
      <c r="C259" s="4" t="n"/>
      <c r="D259" s="4" t="n"/>
      <c r="E259" s="4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  <c r="AG259" s="15" t="n"/>
      <c r="AH259" s="15" t="n"/>
      <c r="AI259" s="15" t="n"/>
    </row>
    <row r="260">
      <c r="A260" s="4" t="inlineStr">
        <is>
          <t>Студент2.18</t>
        </is>
      </c>
      <c r="B260" s="4" t="inlineStr"/>
      <c r="C260" s="4" t="n"/>
      <c r="D260" s="4" t="n"/>
      <c r="E260" s="4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  <c r="AF260" s="15" t="n"/>
      <c r="AG260" s="15" t="n"/>
      <c r="AH260" s="15" t="n"/>
      <c r="AI260" s="15" t="n"/>
    </row>
    <row r="261">
      <c r="A261" s="4" t="inlineStr">
        <is>
          <t>Студент2.19</t>
        </is>
      </c>
      <c r="B261" s="4" t="inlineStr"/>
      <c r="C261" s="4" t="n"/>
      <c r="D261" s="4" t="n"/>
      <c r="E261" s="4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  <c r="AF261" s="15" t="n"/>
      <c r="AG261" s="15" t="n"/>
      <c r="AH261" s="15" t="n"/>
      <c r="AI261" s="15" t="n"/>
    </row>
    <row r="262">
      <c r="A262" s="4" t="inlineStr">
        <is>
          <t>Студент2.20</t>
        </is>
      </c>
      <c r="B262" s="4" t="inlineStr"/>
      <c r="C262" s="4" t="n"/>
      <c r="D262" s="4" t="n"/>
      <c r="E262" s="4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  <c r="AF262" s="15" t="n"/>
      <c r="AG262" s="15" t="n"/>
      <c r="AH262" s="15" t="n"/>
      <c r="AI262" s="15" t="n"/>
    </row>
    <row r="263">
      <c r="A263" s="4" t="inlineStr">
        <is>
          <t>Студент2.21</t>
        </is>
      </c>
      <c r="B263" s="4" t="inlineStr"/>
      <c r="C263" s="4" t="n"/>
      <c r="D263" s="4" t="n"/>
      <c r="E263" s="4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  <c r="AF263" s="15" t="n"/>
      <c r="AG263" s="15" t="n"/>
      <c r="AH263" s="15" t="n"/>
      <c r="AI263" s="15" t="n"/>
    </row>
    <row r="264">
      <c r="A264" s="4" t="inlineStr">
        <is>
          <t>Студент2.22</t>
        </is>
      </c>
      <c r="B264" s="4" t="inlineStr"/>
      <c r="C264" s="4" t="n"/>
      <c r="D264" s="4" t="n"/>
      <c r="E264" s="4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  <c r="AF264" s="15" t="n"/>
      <c r="AG264" s="15" t="n"/>
      <c r="AH264" s="15" t="n"/>
      <c r="AI264" s="15" t="n"/>
    </row>
    <row r="265">
      <c r="A265" s="4" t="inlineStr">
        <is>
          <t>Студент2.23</t>
        </is>
      </c>
      <c r="B265" s="4" t="inlineStr"/>
      <c r="C265" s="4" t="n"/>
      <c r="D265" s="4" t="n"/>
      <c r="E265" s="4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  <c r="AF265" s="15" t="n"/>
      <c r="AG265" s="15" t="n"/>
      <c r="AH265" s="15" t="n"/>
      <c r="AI265" s="15" t="n"/>
    </row>
    <row r="266">
      <c r="A266" s="4" t="inlineStr">
        <is>
          <t>Студент2.24</t>
        </is>
      </c>
      <c r="B266" s="4" t="inlineStr"/>
      <c r="C266" s="4" t="n"/>
      <c r="D266" s="4" t="n"/>
      <c r="E266" s="4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  <c r="AF266" s="15" t="n"/>
      <c r="AG266" s="15" t="n"/>
      <c r="AH266" s="15" t="n"/>
      <c r="AI266" s="15" t="n"/>
    </row>
    <row r="267">
      <c r="A267" s="4" t="inlineStr">
        <is>
          <t>Студент2.25</t>
        </is>
      </c>
      <c r="B267" s="4" t="inlineStr"/>
      <c r="C267" s="4" t="n"/>
      <c r="D267" s="4" t="n"/>
      <c r="E267" s="4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  <c r="AG267" s="15" t="n"/>
      <c r="AH267" s="15" t="n"/>
      <c r="AI267" s="15" t="n"/>
    </row>
    <row r="268">
      <c r="A268" s="4" t="inlineStr">
        <is>
          <t>Студент2.26</t>
        </is>
      </c>
      <c r="B268" s="4" t="inlineStr"/>
      <c r="C268" s="4" t="n"/>
      <c r="D268" s="4" t="n"/>
      <c r="E268" s="4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  <c r="AG268" s="15" t="n"/>
      <c r="AH268" s="15" t="n"/>
      <c r="AI268" s="15" t="n"/>
    </row>
    <row r="269">
      <c r="A269" s="4" t="inlineStr">
        <is>
          <t>Студент2.27</t>
        </is>
      </c>
      <c r="B269" s="4" t="inlineStr"/>
      <c r="C269" s="4" t="n"/>
      <c r="D269" s="4" t="n"/>
      <c r="E269" s="4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  <c r="AG269" s="15" t="n"/>
      <c r="AH269" s="15" t="n"/>
      <c r="AI269" s="15" t="n"/>
    </row>
    <row r="270">
      <c r="A270" s="4" t="inlineStr">
        <is>
          <t>Студент2.28</t>
        </is>
      </c>
      <c r="B270" s="4" t="inlineStr"/>
      <c r="C270" s="4" t="n"/>
      <c r="D270" s="4" t="n"/>
      <c r="E270" s="4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  <c r="AF270" s="15" t="n"/>
      <c r="AG270" s="15" t="n"/>
      <c r="AH270" s="15" t="n"/>
      <c r="AI270" s="15" t="n"/>
    </row>
    <row r="271">
      <c r="A271" s="4" t="inlineStr">
        <is>
          <t>Студент2.29</t>
        </is>
      </c>
      <c r="B271" s="4" t="inlineStr"/>
      <c r="C271" s="4" t="n"/>
      <c r="D271" s="4" t="n"/>
      <c r="E271" s="4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  <c r="AG271" s="15" t="n"/>
      <c r="AH271" s="15" t="n"/>
      <c r="AI271" s="15" t="n"/>
    </row>
    <row r="272">
      <c r="A272" s="4" t="inlineStr">
        <is>
          <t>Студент2.30</t>
        </is>
      </c>
      <c r="B272" s="4" t="inlineStr"/>
      <c r="C272" s="4" t="n"/>
      <c r="D272" s="4" t="n"/>
      <c r="E272" s="4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  <c r="AF272" s="15" t="n"/>
      <c r="AG272" s="15" t="n"/>
      <c r="AH272" s="15" t="n"/>
      <c r="AI272" s="15" t="n"/>
    </row>
    <row r="276">
      <c r="A276" s="13" t="inlineStr">
        <is>
          <t>Практика 5 — плюсы</t>
        </is>
      </c>
    </row>
    <row r="277" ht="28" customHeight="1">
      <c r="A277" s="7" t="inlineStr">
        <is>
          <t>Имя</t>
        </is>
      </c>
      <c r="B277" s="9" t="inlineStr">
        <is>
          <t>TG</t>
        </is>
      </c>
      <c r="C277" s="10" t="inlineStr">
        <is>
          <t>S</t>
        </is>
      </c>
      <c r="D277" s="8" t="inlineStr">
        <is>
          <t>Коэффициент</t>
        </is>
      </c>
      <c r="E277" s="14" t="inlineStr">
        <is>
          <t>D за практику</t>
        </is>
      </c>
      <c r="F277" s="11" t="inlineStr">
        <is>
          <t>1.0</t>
        </is>
      </c>
      <c r="G277" s="11" t="inlineStr">
        <is>
          <t>2.0</t>
        </is>
      </c>
      <c r="H277" s="11" t="inlineStr">
        <is>
          <t>3.0</t>
        </is>
      </c>
      <c r="I277" s="11" t="inlineStr">
        <is>
          <t>4.0</t>
        </is>
      </c>
      <c r="J277" s="11" t="inlineStr">
        <is>
          <t>5.0</t>
        </is>
      </c>
      <c r="K277" s="11" t="inlineStr">
        <is>
          <t>6</t>
        </is>
      </c>
      <c r="L277" s="11" t="inlineStr">
        <is>
          <t>7</t>
        </is>
      </c>
      <c r="M277" s="11" t="inlineStr">
        <is>
          <t>8</t>
        </is>
      </c>
      <c r="N277" s="11" t="inlineStr">
        <is>
          <t>9</t>
        </is>
      </c>
      <c r="O277" s="11" t="inlineStr">
        <is>
          <t>10</t>
        </is>
      </c>
      <c r="P277" s="11" t="inlineStr">
        <is>
          <t>11</t>
        </is>
      </c>
      <c r="Q277" s="11" t="inlineStr">
        <is>
          <t>12</t>
        </is>
      </c>
      <c r="R277" s="11" t="inlineStr">
        <is>
          <t>13</t>
        </is>
      </c>
      <c r="S277" s="11" t="inlineStr">
        <is>
          <t>14</t>
        </is>
      </c>
      <c r="T277" s="11" t="inlineStr">
        <is>
          <t>15</t>
        </is>
      </c>
      <c r="U277" s="11" t="inlineStr">
        <is>
          <t>16</t>
        </is>
      </c>
      <c r="V277" s="11" t="inlineStr">
        <is>
          <t>17</t>
        </is>
      </c>
      <c r="W277" s="11" t="inlineStr">
        <is>
          <t>18</t>
        </is>
      </c>
      <c r="X277" s="11" t="inlineStr">
        <is>
          <t>19</t>
        </is>
      </c>
      <c r="Y277" s="11" t="inlineStr">
        <is>
          <t>20</t>
        </is>
      </c>
      <c r="Z277" s="11" t="inlineStr">
        <is>
          <t>21</t>
        </is>
      </c>
      <c r="AA277" s="11" t="inlineStr">
        <is>
          <t>22</t>
        </is>
      </c>
      <c r="AB277" s="11" t="inlineStr">
        <is>
          <t>23</t>
        </is>
      </c>
      <c r="AC277" s="11" t="inlineStr">
        <is>
          <t>24</t>
        </is>
      </c>
      <c r="AD277" s="11" t="inlineStr">
        <is>
          <t>25</t>
        </is>
      </c>
      <c r="AE277" s="11" t="inlineStr">
        <is>
          <t>26</t>
        </is>
      </c>
      <c r="AF277" s="11" t="inlineStr">
        <is>
          <t>27</t>
        </is>
      </c>
      <c r="AG277" s="11" t="inlineStr">
        <is>
          <t>28</t>
        </is>
      </c>
      <c r="AH277" s="11" t="inlineStr">
        <is>
          <t>29</t>
        </is>
      </c>
      <c r="AI277" s="11" t="inlineStr">
        <is>
          <t>30</t>
        </is>
      </c>
    </row>
    <row r="278">
      <c r="A278" s="4" t="inlineStr">
        <is>
          <t>Студент2.1</t>
        </is>
      </c>
      <c r="B278" s="4" t="inlineStr"/>
      <c r="C278" s="4">
        <f>IF(A278="","",COUNTIF(F278:AI278,"+")+COUNTIF(F278:AI278,"1"))</f>
        <v/>
      </c>
      <c r="D278" s="4">
        <f>IF(A278="","",IF(C278&gt;2*COUNTA(F$277:AI$277)/3,1,IF(C278&gt;=COUNTA(F$277:AI$277)/2,0.8,0.5)))</f>
        <v/>
      </c>
      <c r="E278" s="4">
        <f>IF(A278="","",SUMIFS('Логи'!$H$4:$H$3006,'Логи'!$A$4:$A$3006,A278,'Логи'!$C$4:$C$3006,5))</f>
        <v/>
      </c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  <c r="AF278" s="15" t="n"/>
      <c r="AG278" s="15" t="n"/>
      <c r="AH278" s="15" t="n"/>
      <c r="AI278" s="15" t="n"/>
    </row>
    <row r="279">
      <c r="A279" s="4" t="inlineStr">
        <is>
          <t>Студент2.2</t>
        </is>
      </c>
      <c r="B279" s="4" t="inlineStr"/>
      <c r="C279" s="4">
        <f>IF(A279="","",COUNTIF(F279:AI279,"+")+COUNTIF(F279:AI279,"1"))</f>
        <v/>
      </c>
      <c r="D279" s="4">
        <f>IF(A279="","",IF(C279&gt;2*COUNTA(F$277:AI$277)/3,1,IF(C279&gt;=COUNTA(F$277:AI$277)/2,0.8,0.5)))</f>
        <v/>
      </c>
      <c r="E279" s="4">
        <f>IF(A279="","",SUMIFS('Логи'!$H$4:$H$3006,'Логи'!$A$4:$A$3006,A279,'Логи'!$C$4:$C$3006,5))</f>
        <v/>
      </c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  <c r="AF279" s="15" t="n"/>
      <c r="AG279" s="15" t="n"/>
      <c r="AH279" s="15" t="n"/>
      <c r="AI279" s="15" t="n"/>
    </row>
    <row r="280">
      <c r="A280" s="4" t="inlineStr">
        <is>
          <t>Студент2.3</t>
        </is>
      </c>
      <c r="B280" s="4" t="inlineStr"/>
      <c r="C280" s="4">
        <f>IF(A280="","",COUNTIF(F280:AI280,"+")+COUNTIF(F280:AI280,"1"))</f>
        <v/>
      </c>
      <c r="D280" s="4">
        <f>IF(A280="","",IF(C280&gt;2*COUNTA(F$277:AI$277)/3,1,IF(C280&gt;=COUNTA(F$277:AI$277)/2,0.8,0.5)))</f>
        <v/>
      </c>
      <c r="E280" s="4">
        <f>IF(A280="","",SUMIFS('Логи'!$H$4:$H$3006,'Логи'!$A$4:$A$3006,A280,'Логи'!$C$4:$C$3006,5))</f>
        <v/>
      </c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  <c r="AF280" s="15" t="n"/>
      <c r="AG280" s="15" t="n"/>
      <c r="AH280" s="15" t="n"/>
      <c r="AI280" s="15" t="n"/>
    </row>
    <row r="281">
      <c r="A281" s="4" t="inlineStr">
        <is>
          <t>Студент2.4</t>
        </is>
      </c>
      <c r="B281" s="4" t="inlineStr"/>
      <c r="C281" s="4">
        <f>IF(A281="","",COUNTIF(F281:AI281,"+")+COUNTIF(F281:AI281,"1"))</f>
        <v/>
      </c>
      <c r="D281" s="4">
        <f>IF(A281="","",IF(C281&gt;2*COUNTA(F$277:AI$277)/3,1,IF(C281&gt;=COUNTA(F$277:AI$277)/2,0.8,0.5)))</f>
        <v/>
      </c>
      <c r="E281" s="4">
        <f>IF(A281="","",SUMIFS('Логи'!$H$4:$H$3006,'Логи'!$A$4:$A$3006,A281,'Логи'!$C$4:$C$3006,5))</f>
        <v/>
      </c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  <c r="AF281" s="15" t="n"/>
      <c r="AG281" s="15" t="n"/>
      <c r="AH281" s="15" t="n"/>
      <c r="AI281" s="15" t="n"/>
    </row>
    <row r="282">
      <c r="A282" s="4" t="inlineStr">
        <is>
          <t>Студент2.5</t>
        </is>
      </c>
      <c r="B282" s="4" t="inlineStr"/>
      <c r="C282" s="4">
        <f>IF(A282="","",COUNTIF(F282:AI282,"+")+COUNTIF(F282:AI282,"1"))</f>
        <v/>
      </c>
      <c r="D282" s="4">
        <f>IF(A282="","",IF(C282&gt;2*COUNTA(F$277:AI$277)/3,1,IF(C282&gt;=COUNTA(F$277:AI$277)/2,0.8,0.5)))</f>
        <v/>
      </c>
      <c r="E282" s="4">
        <f>IF(A282="","",SUMIFS('Логи'!$H$4:$H$3006,'Логи'!$A$4:$A$3006,A282,'Логи'!$C$4:$C$3006,5))</f>
        <v/>
      </c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  <c r="AF282" s="15" t="n"/>
      <c r="AG282" s="15" t="n"/>
      <c r="AH282" s="15" t="n"/>
      <c r="AI282" s="15" t="n"/>
    </row>
    <row r="283">
      <c r="A283" s="4" t="inlineStr">
        <is>
          <t>Студент2.6</t>
        </is>
      </c>
      <c r="B283" s="4" t="inlineStr"/>
      <c r="C283" s="4">
        <f>IF(A283="","",COUNTIF(F283:AI283,"+")+COUNTIF(F283:AI283,"1"))</f>
        <v/>
      </c>
      <c r="D283" s="4">
        <f>IF(A283="","",IF(C283&gt;2*COUNTA(F$277:AI$277)/3,1,IF(C283&gt;=COUNTA(F$277:AI$277)/2,0.8,0.5)))</f>
        <v/>
      </c>
      <c r="E283" s="4">
        <f>IF(A283="","",SUMIFS('Логи'!$H$4:$H$3006,'Логи'!$A$4:$A$3006,A283,'Логи'!$C$4:$C$3006,5))</f>
        <v/>
      </c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  <c r="AF283" s="15" t="n"/>
      <c r="AG283" s="15" t="n"/>
      <c r="AH283" s="15" t="n"/>
      <c r="AI283" s="15" t="n"/>
    </row>
    <row r="284">
      <c r="A284" s="4" t="inlineStr">
        <is>
          <t>Студент2.7</t>
        </is>
      </c>
      <c r="B284" s="4" t="inlineStr"/>
      <c r="C284" s="4">
        <f>IF(A284="","",COUNTIF(F284:AI284,"+")+COUNTIF(F284:AI284,"1"))</f>
        <v/>
      </c>
      <c r="D284" s="4">
        <f>IF(A284="","",IF(C284&gt;2*COUNTA(F$277:AI$277)/3,1,IF(C284&gt;=COUNTA(F$277:AI$277)/2,0.8,0.5)))</f>
        <v/>
      </c>
      <c r="E284" s="4">
        <f>IF(A284="","",SUMIFS('Логи'!$H$4:$H$3006,'Логи'!$A$4:$A$3006,A284,'Логи'!$C$4:$C$3006,5))</f>
        <v/>
      </c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  <c r="AF284" s="15" t="n"/>
      <c r="AG284" s="15" t="n"/>
      <c r="AH284" s="15" t="n"/>
      <c r="AI284" s="15" t="n"/>
    </row>
    <row r="285">
      <c r="A285" s="4" t="inlineStr">
        <is>
          <t>Студент2.8</t>
        </is>
      </c>
      <c r="B285" s="4" t="inlineStr"/>
      <c r="C285" s="4">
        <f>IF(A285="","",COUNTIF(F285:AI285,"+")+COUNTIF(F285:AI285,"1"))</f>
        <v/>
      </c>
      <c r="D285" s="4">
        <f>IF(A285="","",IF(C285&gt;2*COUNTA(F$277:AI$277)/3,1,IF(C285&gt;=COUNTA(F$277:AI$277)/2,0.8,0.5)))</f>
        <v/>
      </c>
      <c r="E285" s="4">
        <f>IF(A285="","",SUMIFS('Логи'!$H$4:$H$3006,'Логи'!$A$4:$A$3006,A285,'Логи'!$C$4:$C$3006,5))</f>
        <v/>
      </c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  <c r="AF285" s="15" t="n"/>
      <c r="AG285" s="15" t="n"/>
      <c r="AH285" s="15" t="n"/>
      <c r="AI285" s="15" t="n"/>
    </row>
    <row r="286">
      <c r="A286" s="4" t="inlineStr">
        <is>
          <t>Студент2.9</t>
        </is>
      </c>
      <c r="B286" s="4" t="inlineStr"/>
      <c r="C286" s="4">
        <f>IF(A286="","",COUNTIF(F286:AI286,"+")+COUNTIF(F286:AI286,"1"))</f>
        <v/>
      </c>
      <c r="D286" s="4">
        <f>IF(A286="","",IF(C286&gt;2*COUNTA(F$277:AI$277)/3,1,IF(C286&gt;=COUNTA(F$277:AI$277)/2,0.8,0.5)))</f>
        <v/>
      </c>
      <c r="E286" s="4">
        <f>IF(A286="","",SUMIFS('Логи'!$H$4:$H$3006,'Логи'!$A$4:$A$3006,A286,'Логи'!$C$4:$C$3006,5))</f>
        <v/>
      </c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  <c r="AG286" s="15" t="n"/>
      <c r="AH286" s="15" t="n"/>
      <c r="AI286" s="15" t="n"/>
    </row>
    <row r="287">
      <c r="A287" s="4" t="inlineStr">
        <is>
          <t>Студент2.10</t>
        </is>
      </c>
      <c r="B287" s="4" t="inlineStr"/>
      <c r="C287" s="4">
        <f>IF(A287="","",COUNTIF(F287:AI287,"+")+COUNTIF(F287:AI287,"1"))</f>
        <v/>
      </c>
      <c r="D287" s="4">
        <f>IF(A287="","",IF(C287&gt;2*COUNTA(F$277:AI$277)/3,1,IF(C287&gt;=COUNTA(F$277:AI$277)/2,0.8,0.5)))</f>
        <v/>
      </c>
      <c r="E287" s="4">
        <f>IF(A287="","",SUMIFS('Логи'!$H$4:$H$3006,'Логи'!$A$4:$A$3006,A287,'Логи'!$C$4:$C$3006,5))</f>
        <v/>
      </c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  <c r="AF287" s="15" t="n"/>
      <c r="AG287" s="15" t="n"/>
      <c r="AH287" s="15" t="n"/>
      <c r="AI287" s="15" t="n"/>
    </row>
    <row r="288">
      <c r="A288" s="4" t="inlineStr">
        <is>
          <t>Студент2.11</t>
        </is>
      </c>
      <c r="B288" s="4" t="inlineStr"/>
      <c r="C288" s="4">
        <f>IF(A288="","",COUNTIF(F288:AI288,"+")+COUNTIF(F288:AI288,"1"))</f>
        <v/>
      </c>
      <c r="D288" s="4">
        <f>IF(A288="","",IF(C288&gt;2*COUNTA(F$277:AI$277)/3,1,IF(C288&gt;=COUNTA(F$277:AI$277)/2,0.8,0.5)))</f>
        <v/>
      </c>
      <c r="E288" s="4">
        <f>IF(A288="","",SUMIFS('Логи'!$H$4:$H$3006,'Логи'!$A$4:$A$3006,A288,'Логи'!$C$4:$C$3006,5))</f>
        <v/>
      </c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  <c r="AG288" s="15" t="n"/>
      <c r="AH288" s="15" t="n"/>
      <c r="AI288" s="15" t="n"/>
    </row>
    <row r="289">
      <c r="A289" s="4" t="inlineStr">
        <is>
          <t>Студент2.12</t>
        </is>
      </c>
      <c r="B289" s="4" t="inlineStr"/>
      <c r="C289" s="4">
        <f>IF(A289="","",COUNTIF(F289:AI289,"+")+COUNTIF(F289:AI289,"1"))</f>
        <v/>
      </c>
      <c r="D289" s="4">
        <f>IF(A289="","",IF(C289&gt;2*COUNTA(F$277:AI$277)/3,1,IF(C289&gt;=COUNTA(F$277:AI$277)/2,0.8,0.5)))</f>
        <v/>
      </c>
      <c r="E289" s="4">
        <f>IF(A289="","",SUMIFS('Логи'!$H$4:$H$3006,'Логи'!$A$4:$A$3006,A289,'Логи'!$C$4:$C$3006,5))</f>
        <v/>
      </c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  <c r="AF289" s="15" t="n"/>
      <c r="AG289" s="15" t="n"/>
      <c r="AH289" s="15" t="n"/>
      <c r="AI289" s="15" t="n"/>
    </row>
    <row r="290">
      <c r="A290" s="4" t="inlineStr">
        <is>
          <t>Студент2.13</t>
        </is>
      </c>
      <c r="B290" s="4" t="inlineStr"/>
      <c r="C290" s="4">
        <f>IF(A290="","",COUNTIF(F290:AI290,"+")+COUNTIF(F290:AI290,"1"))</f>
        <v/>
      </c>
      <c r="D290" s="4">
        <f>IF(A290="","",IF(C290&gt;2*COUNTA(F$277:AI$277)/3,1,IF(C290&gt;=COUNTA(F$277:AI$277)/2,0.8,0.5)))</f>
        <v/>
      </c>
      <c r="E290" s="4">
        <f>IF(A290="","",SUMIFS('Логи'!$H$4:$H$3006,'Логи'!$A$4:$A$3006,A290,'Логи'!$C$4:$C$3006,5))</f>
        <v/>
      </c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  <c r="AF290" s="15" t="n"/>
      <c r="AG290" s="15" t="n"/>
      <c r="AH290" s="15" t="n"/>
      <c r="AI290" s="15" t="n"/>
    </row>
    <row r="291">
      <c r="A291" s="4" t="inlineStr">
        <is>
          <t>Студент2.14</t>
        </is>
      </c>
      <c r="B291" s="4" t="inlineStr"/>
      <c r="C291" s="4">
        <f>IF(A291="","",COUNTIF(F291:AI291,"+")+COUNTIF(F291:AI291,"1"))</f>
        <v/>
      </c>
      <c r="D291" s="4">
        <f>IF(A291="","",IF(C291&gt;2*COUNTA(F$277:AI$277)/3,1,IF(C291&gt;=COUNTA(F$277:AI$277)/2,0.8,0.5)))</f>
        <v/>
      </c>
      <c r="E291" s="4">
        <f>IF(A291="","",SUMIFS('Логи'!$H$4:$H$3006,'Логи'!$A$4:$A$3006,A291,'Логи'!$C$4:$C$3006,5))</f>
        <v/>
      </c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  <c r="AF291" s="15" t="n"/>
      <c r="AG291" s="15" t="n"/>
      <c r="AH291" s="15" t="n"/>
      <c r="AI291" s="15" t="n"/>
    </row>
    <row r="292">
      <c r="A292" s="4" t="inlineStr">
        <is>
          <t>Студент2.15</t>
        </is>
      </c>
      <c r="B292" s="4" t="inlineStr"/>
      <c r="C292" s="4">
        <f>IF(A292="","",COUNTIF(F292:AI292,"+")+COUNTIF(F292:AI292,"1"))</f>
        <v/>
      </c>
      <c r="D292" s="4">
        <f>IF(A292="","",IF(C292&gt;2*COUNTA(F$277:AI$277)/3,1,IF(C292&gt;=COUNTA(F$277:AI$277)/2,0.8,0.5)))</f>
        <v/>
      </c>
      <c r="E292" s="4">
        <f>IF(A292="","",SUMIFS('Логи'!$H$4:$H$3006,'Логи'!$A$4:$A$3006,A292,'Логи'!$C$4:$C$3006,5))</f>
        <v/>
      </c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  <c r="AF292" s="15" t="n"/>
      <c r="AG292" s="15" t="n"/>
      <c r="AH292" s="15" t="n"/>
      <c r="AI292" s="15" t="n"/>
    </row>
    <row r="293">
      <c r="A293" s="4" t="inlineStr">
        <is>
          <t>Студент2.16</t>
        </is>
      </c>
      <c r="B293" s="4" t="inlineStr"/>
      <c r="C293" s="4">
        <f>IF(A293="","",COUNTIF(F293:AI293,"+")+COUNTIF(F293:AI293,"1"))</f>
        <v/>
      </c>
      <c r="D293" s="4">
        <f>IF(A293="","",IF(C293&gt;2*COUNTA(F$277:AI$277)/3,1,IF(C293&gt;=COUNTA(F$277:AI$277)/2,0.8,0.5)))</f>
        <v/>
      </c>
      <c r="E293" s="4">
        <f>IF(A293="","",SUMIFS('Логи'!$H$4:$H$3006,'Логи'!$A$4:$A$3006,A293,'Логи'!$C$4:$C$3006,5))</f>
        <v/>
      </c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  <c r="AF293" s="15" t="n"/>
      <c r="AG293" s="15" t="n"/>
      <c r="AH293" s="15" t="n"/>
      <c r="AI293" s="15" t="n"/>
    </row>
    <row r="294">
      <c r="A294" s="4" t="inlineStr">
        <is>
          <t>Студент2.17</t>
        </is>
      </c>
      <c r="B294" s="4" t="inlineStr"/>
      <c r="C294" s="4">
        <f>IF(A294="","",COUNTIF(F294:AI294,"+")+COUNTIF(F294:AI294,"1"))</f>
        <v/>
      </c>
      <c r="D294" s="4">
        <f>IF(A294="","",IF(C294&gt;2*COUNTA(F$277:AI$277)/3,1,IF(C294&gt;=COUNTA(F$277:AI$277)/2,0.8,0.5)))</f>
        <v/>
      </c>
      <c r="E294" s="4">
        <f>IF(A294="","",SUMIFS('Логи'!$H$4:$H$3006,'Логи'!$A$4:$A$3006,A294,'Логи'!$C$4:$C$3006,5))</f>
        <v/>
      </c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  <c r="AF294" s="15" t="n"/>
      <c r="AG294" s="15" t="n"/>
      <c r="AH294" s="15" t="n"/>
      <c r="AI294" s="15" t="n"/>
    </row>
    <row r="295">
      <c r="A295" s="4" t="inlineStr">
        <is>
          <t>Студент2.18</t>
        </is>
      </c>
      <c r="B295" s="4" t="inlineStr"/>
      <c r="C295" s="4">
        <f>IF(A295="","",COUNTIF(F295:AI295,"+")+COUNTIF(F295:AI295,"1"))</f>
        <v/>
      </c>
      <c r="D295" s="4">
        <f>IF(A295="","",IF(C295&gt;2*COUNTA(F$277:AI$277)/3,1,IF(C295&gt;=COUNTA(F$277:AI$277)/2,0.8,0.5)))</f>
        <v/>
      </c>
      <c r="E295" s="4">
        <f>IF(A295="","",SUMIFS('Логи'!$H$4:$H$3006,'Логи'!$A$4:$A$3006,A295,'Логи'!$C$4:$C$3006,5))</f>
        <v/>
      </c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  <c r="AG295" s="15" t="n"/>
      <c r="AH295" s="15" t="n"/>
      <c r="AI295" s="15" t="n"/>
    </row>
    <row r="296">
      <c r="A296" s="4" t="inlineStr">
        <is>
          <t>Студент2.19</t>
        </is>
      </c>
      <c r="B296" s="4" t="inlineStr"/>
      <c r="C296" s="4">
        <f>IF(A296="","",COUNTIF(F296:AI296,"+")+COUNTIF(F296:AI296,"1"))</f>
        <v/>
      </c>
      <c r="D296" s="4">
        <f>IF(A296="","",IF(C296&gt;2*COUNTA(F$277:AI$277)/3,1,IF(C296&gt;=COUNTA(F$277:AI$277)/2,0.8,0.5)))</f>
        <v/>
      </c>
      <c r="E296" s="4">
        <f>IF(A296="","",SUMIFS('Логи'!$H$4:$H$3006,'Логи'!$A$4:$A$3006,A296,'Логи'!$C$4:$C$3006,5))</f>
        <v/>
      </c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  <c r="AG296" s="15" t="n"/>
      <c r="AH296" s="15" t="n"/>
      <c r="AI296" s="15" t="n"/>
    </row>
    <row r="297">
      <c r="A297" s="4" t="inlineStr">
        <is>
          <t>Студент2.20</t>
        </is>
      </c>
      <c r="B297" s="4" t="inlineStr"/>
      <c r="C297" s="4">
        <f>IF(A297="","",COUNTIF(F297:AI297,"+")+COUNTIF(F297:AI297,"1"))</f>
        <v/>
      </c>
      <c r="D297" s="4">
        <f>IF(A297="","",IF(C297&gt;2*COUNTA(F$277:AI$277)/3,1,IF(C297&gt;=COUNTA(F$277:AI$277)/2,0.8,0.5)))</f>
        <v/>
      </c>
      <c r="E297" s="4">
        <f>IF(A297="","",SUMIFS('Логи'!$H$4:$H$3006,'Логи'!$A$4:$A$3006,A297,'Логи'!$C$4:$C$3006,5))</f>
        <v/>
      </c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  <c r="AF297" s="15" t="n"/>
      <c r="AG297" s="15" t="n"/>
      <c r="AH297" s="15" t="n"/>
      <c r="AI297" s="15" t="n"/>
    </row>
    <row r="298">
      <c r="A298" s="4" t="inlineStr">
        <is>
          <t>Студент2.21</t>
        </is>
      </c>
      <c r="B298" s="4" t="inlineStr"/>
      <c r="C298" s="4">
        <f>IF(A298="","",COUNTIF(F298:AI298,"+")+COUNTIF(F298:AI298,"1"))</f>
        <v/>
      </c>
      <c r="D298" s="4">
        <f>IF(A298="","",IF(C298&gt;2*COUNTA(F$277:AI$277)/3,1,IF(C298&gt;=COUNTA(F$277:AI$277)/2,0.8,0.5)))</f>
        <v/>
      </c>
      <c r="E298" s="4">
        <f>IF(A298="","",SUMIFS('Логи'!$H$4:$H$3006,'Логи'!$A$4:$A$3006,A298,'Логи'!$C$4:$C$3006,5))</f>
        <v/>
      </c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  <c r="AF298" s="15" t="n"/>
      <c r="AG298" s="15" t="n"/>
      <c r="AH298" s="15" t="n"/>
      <c r="AI298" s="15" t="n"/>
    </row>
    <row r="299">
      <c r="A299" s="4" t="inlineStr">
        <is>
          <t>Студент2.22</t>
        </is>
      </c>
      <c r="B299" s="4" t="inlineStr"/>
      <c r="C299" s="4">
        <f>IF(A299="","",COUNTIF(F299:AI299,"+")+COUNTIF(F299:AI299,"1"))</f>
        <v/>
      </c>
      <c r="D299" s="4">
        <f>IF(A299="","",IF(C299&gt;2*COUNTA(F$277:AI$277)/3,1,IF(C299&gt;=COUNTA(F$277:AI$277)/2,0.8,0.5)))</f>
        <v/>
      </c>
      <c r="E299" s="4">
        <f>IF(A299="","",SUMIFS('Логи'!$H$4:$H$3006,'Логи'!$A$4:$A$3006,A299,'Логи'!$C$4:$C$3006,5))</f>
        <v/>
      </c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  <c r="AF299" s="15" t="n"/>
      <c r="AG299" s="15" t="n"/>
      <c r="AH299" s="15" t="n"/>
      <c r="AI299" s="15" t="n"/>
    </row>
    <row r="300">
      <c r="A300" s="4" t="inlineStr">
        <is>
          <t>Студент2.23</t>
        </is>
      </c>
      <c r="B300" s="4" t="inlineStr"/>
      <c r="C300" s="4">
        <f>IF(A300="","",COUNTIF(F300:AI300,"+")+COUNTIF(F300:AI300,"1"))</f>
        <v/>
      </c>
      <c r="D300" s="4">
        <f>IF(A300="","",IF(C300&gt;2*COUNTA(F$277:AI$277)/3,1,IF(C300&gt;=COUNTA(F$277:AI$277)/2,0.8,0.5)))</f>
        <v/>
      </c>
      <c r="E300" s="4">
        <f>IF(A300="","",SUMIFS('Логи'!$H$4:$H$3006,'Логи'!$A$4:$A$3006,A300,'Логи'!$C$4:$C$3006,5))</f>
        <v/>
      </c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5" t="n"/>
    </row>
    <row r="301">
      <c r="A301" s="4" t="inlineStr">
        <is>
          <t>Студент2.24</t>
        </is>
      </c>
      <c r="B301" s="4" t="inlineStr"/>
      <c r="C301" s="4">
        <f>IF(A301="","",COUNTIF(F301:AI301,"+")+COUNTIF(F301:AI301,"1"))</f>
        <v/>
      </c>
      <c r="D301" s="4">
        <f>IF(A301="","",IF(C301&gt;2*COUNTA(F$277:AI$277)/3,1,IF(C301&gt;=COUNTA(F$277:AI$277)/2,0.8,0.5)))</f>
        <v/>
      </c>
      <c r="E301" s="4">
        <f>IF(A301="","",SUMIFS('Логи'!$H$4:$H$3006,'Логи'!$A$4:$A$3006,A301,'Логи'!$C$4:$C$3006,5))</f>
        <v/>
      </c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  <c r="AF301" s="15" t="n"/>
      <c r="AG301" s="15" t="n"/>
      <c r="AH301" s="15" t="n"/>
      <c r="AI301" s="15" t="n"/>
    </row>
    <row r="302">
      <c r="A302" s="4" t="inlineStr">
        <is>
          <t>Студент2.25</t>
        </is>
      </c>
      <c r="B302" s="4" t="inlineStr"/>
      <c r="C302" s="4">
        <f>IF(A302="","",COUNTIF(F302:AI302,"+")+COUNTIF(F302:AI302,"1"))</f>
        <v/>
      </c>
      <c r="D302" s="4">
        <f>IF(A302="","",IF(C302&gt;2*COUNTA(F$277:AI$277)/3,1,IF(C302&gt;=COUNTA(F$277:AI$277)/2,0.8,0.5)))</f>
        <v/>
      </c>
      <c r="E302" s="4">
        <f>IF(A302="","",SUMIFS('Логи'!$H$4:$H$3006,'Логи'!$A$4:$A$3006,A302,'Логи'!$C$4:$C$3006,5))</f>
        <v/>
      </c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  <c r="AG302" s="15" t="n"/>
      <c r="AH302" s="15" t="n"/>
      <c r="AI302" s="15" t="n"/>
    </row>
    <row r="303">
      <c r="A303" s="4" t="inlineStr">
        <is>
          <t>Студент2.26</t>
        </is>
      </c>
      <c r="B303" s="4" t="inlineStr"/>
      <c r="C303" s="4">
        <f>IF(A303="","",COUNTIF(F303:AI303,"+")+COUNTIF(F303:AI303,"1"))</f>
        <v/>
      </c>
      <c r="D303" s="4">
        <f>IF(A303="","",IF(C303&gt;2*COUNTA(F$277:AI$277)/3,1,IF(C303&gt;=COUNTA(F$277:AI$277)/2,0.8,0.5)))</f>
        <v/>
      </c>
      <c r="E303" s="4">
        <f>IF(A303="","",SUMIFS('Логи'!$H$4:$H$3006,'Логи'!$A$4:$A$3006,A303,'Логи'!$C$4:$C$3006,5))</f>
        <v/>
      </c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  <c r="AF303" s="15" t="n"/>
      <c r="AG303" s="15" t="n"/>
      <c r="AH303" s="15" t="n"/>
      <c r="AI303" s="15" t="n"/>
    </row>
    <row r="304">
      <c r="A304" s="4" t="inlineStr">
        <is>
          <t>Студент2.27</t>
        </is>
      </c>
      <c r="B304" s="4" t="inlineStr"/>
      <c r="C304" s="4">
        <f>IF(A304="","",COUNTIF(F304:AI304,"+")+COUNTIF(F304:AI304,"1"))</f>
        <v/>
      </c>
      <c r="D304" s="4">
        <f>IF(A304="","",IF(C304&gt;2*COUNTA(F$277:AI$277)/3,1,IF(C304&gt;=COUNTA(F$277:AI$277)/2,0.8,0.5)))</f>
        <v/>
      </c>
      <c r="E304" s="4">
        <f>IF(A304="","",SUMIFS('Логи'!$H$4:$H$3006,'Логи'!$A$4:$A$3006,A304,'Логи'!$C$4:$C$3006,5))</f>
        <v/>
      </c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  <c r="AF304" s="15" t="n"/>
      <c r="AG304" s="15" t="n"/>
      <c r="AH304" s="15" t="n"/>
      <c r="AI304" s="15" t="n"/>
    </row>
    <row r="305">
      <c r="A305" s="4" t="inlineStr">
        <is>
          <t>Студент2.28</t>
        </is>
      </c>
      <c r="B305" s="4" t="inlineStr"/>
      <c r="C305" s="4">
        <f>IF(A305="","",COUNTIF(F305:AI305,"+")+COUNTIF(F305:AI305,"1"))</f>
        <v/>
      </c>
      <c r="D305" s="4">
        <f>IF(A305="","",IF(C305&gt;2*COUNTA(F$277:AI$277)/3,1,IF(C305&gt;=COUNTA(F$277:AI$277)/2,0.8,0.5)))</f>
        <v/>
      </c>
      <c r="E305" s="4">
        <f>IF(A305="","",SUMIFS('Логи'!$H$4:$H$3006,'Логи'!$A$4:$A$3006,A305,'Логи'!$C$4:$C$3006,5))</f>
        <v/>
      </c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  <c r="AF305" s="15" t="n"/>
      <c r="AG305" s="15" t="n"/>
      <c r="AH305" s="15" t="n"/>
      <c r="AI305" s="15" t="n"/>
    </row>
    <row r="306">
      <c r="A306" s="4" t="inlineStr">
        <is>
          <t>Студент2.29</t>
        </is>
      </c>
      <c r="B306" s="4" t="inlineStr"/>
      <c r="C306" s="4">
        <f>IF(A306="","",COUNTIF(F306:AI306,"+")+COUNTIF(F306:AI306,"1"))</f>
        <v/>
      </c>
      <c r="D306" s="4">
        <f>IF(A306="","",IF(C306&gt;2*COUNTA(F$277:AI$277)/3,1,IF(C306&gt;=COUNTA(F$277:AI$277)/2,0.8,0.5)))</f>
        <v/>
      </c>
      <c r="E306" s="4">
        <f>IF(A306="","",SUMIFS('Логи'!$H$4:$H$3006,'Логи'!$A$4:$A$3006,A306,'Логи'!$C$4:$C$3006,5))</f>
        <v/>
      </c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  <c r="AF306" s="15" t="n"/>
      <c r="AG306" s="15" t="n"/>
      <c r="AH306" s="15" t="n"/>
      <c r="AI306" s="15" t="n"/>
    </row>
    <row r="307">
      <c r="A307" s="4" t="inlineStr">
        <is>
          <t>Студент2.30</t>
        </is>
      </c>
      <c r="B307" s="4" t="inlineStr"/>
      <c r="C307" s="4">
        <f>IF(A307="","",COUNTIF(F307:AI307,"+")+COUNTIF(F307:AI307,"1"))</f>
        <v/>
      </c>
      <c r="D307" s="4">
        <f>IF(A307="","",IF(C307&gt;2*COUNTA(F$277:AI$277)/3,1,IF(C307&gt;=COUNTA(F$277:AI$277)/2,0.8,0.5)))</f>
        <v/>
      </c>
      <c r="E307" s="4">
        <f>IF(A307="","",SUMIFS('Логи'!$H$4:$H$3006,'Логи'!$A$4:$A$3006,A307,'Логи'!$C$4:$C$3006,5))</f>
        <v/>
      </c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  <c r="AF307" s="15" t="n"/>
      <c r="AG307" s="15" t="n"/>
      <c r="AH307" s="15" t="n"/>
      <c r="AI307" s="15" t="n"/>
    </row>
    <row r="309">
      <c r="A309" s="16" t="inlineStr">
        <is>
          <t>Практика 5 — результаты рассказа</t>
        </is>
      </c>
    </row>
    <row r="310" ht="28" customHeight="1">
      <c r="A310" s="7" t="inlineStr">
        <is>
          <t>Имя</t>
        </is>
      </c>
      <c r="B310" s="9" t="inlineStr">
        <is>
          <t>TG</t>
        </is>
      </c>
      <c r="C310" s="10" t="inlineStr"/>
      <c r="D310" s="2" t="inlineStr"/>
      <c r="E310" s="2" t="inlineStr"/>
      <c r="F310" s="11" t="inlineStr">
        <is>
          <t>1.0</t>
        </is>
      </c>
      <c r="G310" s="11" t="inlineStr">
        <is>
          <t>2.0</t>
        </is>
      </c>
      <c r="H310" s="11" t="inlineStr">
        <is>
          <t>3.0</t>
        </is>
      </c>
      <c r="I310" s="11" t="inlineStr">
        <is>
          <t>4.0</t>
        </is>
      </c>
      <c r="J310" s="11" t="inlineStr">
        <is>
          <t>5.0</t>
        </is>
      </c>
      <c r="K310" s="11" t="inlineStr">
        <is>
          <t>6</t>
        </is>
      </c>
      <c r="L310" s="11" t="inlineStr">
        <is>
          <t>7</t>
        </is>
      </c>
      <c r="M310" s="11" t="inlineStr">
        <is>
          <t>8</t>
        </is>
      </c>
      <c r="N310" s="11" t="inlineStr">
        <is>
          <t>9</t>
        </is>
      </c>
      <c r="O310" s="11" t="inlineStr">
        <is>
          <t>10</t>
        </is>
      </c>
      <c r="P310" s="11" t="inlineStr">
        <is>
          <t>11</t>
        </is>
      </c>
      <c r="Q310" s="11" t="inlineStr">
        <is>
          <t>12</t>
        </is>
      </c>
      <c r="R310" s="11" t="inlineStr">
        <is>
          <t>13</t>
        </is>
      </c>
      <c r="S310" s="11" t="inlineStr">
        <is>
          <t>14</t>
        </is>
      </c>
      <c r="T310" s="11" t="inlineStr">
        <is>
          <t>15</t>
        </is>
      </c>
      <c r="U310" s="11" t="inlineStr">
        <is>
          <t>16</t>
        </is>
      </c>
      <c r="V310" s="11" t="inlineStr">
        <is>
          <t>17</t>
        </is>
      </c>
      <c r="W310" s="11" t="inlineStr">
        <is>
          <t>18</t>
        </is>
      </c>
      <c r="X310" s="11" t="inlineStr">
        <is>
          <t>19</t>
        </is>
      </c>
      <c r="Y310" s="11" t="inlineStr">
        <is>
          <t>20</t>
        </is>
      </c>
      <c r="Z310" s="11" t="inlineStr">
        <is>
          <t>21</t>
        </is>
      </c>
      <c r="AA310" s="11" t="inlineStr">
        <is>
          <t>22</t>
        </is>
      </c>
      <c r="AB310" s="11" t="inlineStr">
        <is>
          <t>23</t>
        </is>
      </c>
      <c r="AC310" s="11" t="inlineStr">
        <is>
          <t>24</t>
        </is>
      </c>
      <c r="AD310" s="11" t="inlineStr">
        <is>
          <t>25</t>
        </is>
      </c>
      <c r="AE310" s="11" t="inlineStr">
        <is>
          <t>26</t>
        </is>
      </c>
      <c r="AF310" s="11" t="inlineStr">
        <is>
          <t>27</t>
        </is>
      </c>
      <c r="AG310" s="11" t="inlineStr">
        <is>
          <t>28</t>
        </is>
      </c>
      <c r="AH310" s="11" t="inlineStr">
        <is>
          <t>29</t>
        </is>
      </c>
      <c r="AI310" s="11" t="inlineStr">
        <is>
          <t>30</t>
        </is>
      </c>
    </row>
    <row r="311">
      <c r="A311" s="4" t="inlineStr">
        <is>
          <t>Студент2.1</t>
        </is>
      </c>
      <c r="B311" s="4" t="inlineStr"/>
      <c r="C311" s="4" t="n"/>
      <c r="D311" s="4" t="n"/>
      <c r="E311" s="4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  <c r="AF311" s="15" t="n"/>
      <c r="AG311" s="15" t="n"/>
      <c r="AH311" s="15" t="n"/>
      <c r="AI311" s="15" t="n"/>
    </row>
    <row r="312">
      <c r="A312" s="4" t="inlineStr">
        <is>
          <t>Студент2.2</t>
        </is>
      </c>
      <c r="B312" s="4" t="inlineStr"/>
      <c r="C312" s="4" t="n"/>
      <c r="D312" s="4" t="n"/>
      <c r="E312" s="4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  <c r="AF312" s="15" t="n"/>
      <c r="AG312" s="15" t="n"/>
      <c r="AH312" s="15" t="n"/>
      <c r="AI312" s="15" t="n"/>
    </row>
    <row r="313">
      <c r="A313" s="4" t="inlineStr">
        <is>
          <t>Студент2.3</t>
        </is>
      </c>
      <c r="B313" s="4" t="inlineStr"/>
      <c r="C313" s="4" t="n"/>
      <c r="D313" s="4" t="n"/>
      <c r="E313" s="4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  <c r="AF313" s="15" t="n"/>
      <c r="AG313" s="15" t="n"/>
      <c r="AH313" s="15" t="n"/>
      <c r="AI313" s="15" t="n"/>
    </row>
    <row r="314">
      <c r="A314" s="4" t="inlineStr">
        <is>
          <t>Студент2.4</t>
        </is>
      </c>
      <c r="B314" s="4" t="inlineStr"/>
      <c r="C314" s="4" t="n"/>
      <c r="D314" s="4" t="n"/>
      <c r="E314" s="4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  <c r="AG314" s="15" t="n"/>
      <c r="AH314" s="15" t="n"/>
      <c r="AI314" s="15" t="n"/>
    </row>
    <row r="315">
      <c r="A315" s="4" t="inlineStr">
        <is>
          <t>Студент2.5</t>
        </is>
      </c>
      <c r="B315" s="4" t="inlineStr"/>
      <c r="C315" s="4" t="n"/>
      <c r="D315" s="4" t="n"/>
      <c r="E315" s="4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  <c r="AG315" s="15" t="n"/>
      <c r="AH315" s="15" t="n"/>
      <c r="AI315" s="15" t="n"/>
    </row>
    <row r="316">
      <c r="A316" s="4" t="inlineStr">
        <is>
          <t>Студент2.6</t>
        </is>
      </c>
      <c r="B316" s="4" t="inlineStr"/>
      <c r="C316" s="4" t="n"/>
      <c r="D316" s="4" t="n"/>
      <c r="E316" s="4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5" t="n"/>
    </row>
    <row r="317">
      <c r="A317" s="4" t="inlineStr">
        <is>
          <t>Студент2.7</t>
        </is>
      </c>
      <c r="B317" s="4" t="inlineStr"/>
      <c r="C317" s="4" t="n"/>
      <c r="D317" s="4" t="n"/>
      <c r="E317" s="4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  <c r="AG317" s="15" t="n"/>
      <c r="AH317" s="15" t="n"/>
      <c r="AI317" s="15" t="n"/>
    </row>
    <row r="318">
      <c r="A318" s="4" t="inlineStr">
        <is>
          <t>Студент2.8</t>
        </is>
      </c>
      <c r="B318" s="4" t="inlineStr"/>
      <c r="C318" s="4" t="n"/>
      <c r="D318" s="4" t="n"/>
      <c r="E318" s="4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  <c r="AF318" s="15" t="n"/>
      <c r="AG318" s="15" t="n"/>
      <c r="AH318" s="15" t="n"/>
      <c r="AI318" s="15" t="n"/>
    </row>
    <row r="319">
      <c r="A319" s="4" t="inlineStr">
        <is>
          <t>Студент2.9</t>
        </is>
      </c>
      <c r="B319" s="4" t="inlineStr"/>
      <c r="C319" s="4" t="n"/>
      <c r="D319" s="4" t="n"/>
      <c r="E319" s="4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  <c r="AF319" s="15" t="n"/>
      <c r="AG319" s="15" t="n"/>
      <c r="AH319" s="15" t="n"/>
      <c r="AI319" s="15" t="n"/>
    </row>
    <row r="320">
      <c r="A320" s="4" t="inlineStr">
        <is>
          <t>Студент2.10</t>
        </is>
      </c>
      <c r="B320" s="4" t="inlineStr"/>
      <c r="C320" s="4" t="n"/>
      <c r="D320" s="4" t="n"/>
      <c r="E320" s="4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  <c r="AF320" s="15" t="n"/>
      <c r="AG320" s="15" t="n"/>
      <c r="AH320" s="15" t="n"/>
      <c r="AI320" s="15" t="n"/>
    </row>
    <row r="321">
      <c r="A321" s="4" t="inlineStr">
        <is>
          <t>Студент2.11</t>
        </is>
      </c>
      <c r="B321" s="4" t="inlineStr"/>
      <c r="C321" s="4" t="n"/>
      <c r="D321" s="4" t="n"/>
      <c r="E321" s="4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  <c r="AF321" s="15" t="n"/>
      <c r="AG321" s="15" t="n"/>
      <c r="AH321" s="15" t="n"/>
      <c r="AI321" s="15" t="n"/>
    </row>
    <row r="322">
      <c r="A322" s="4" t="inlineStr">
        <is>
          <t>Студент2.12</t>
        </is>
      </c>
      <c r="B322" s="4" t="inlineStr"/>
      <c r="C322" s="4" t="n"/>
      <c r="D322" s="4" t="n"/>
      <c r="E322" s="4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  <c r="AF322" s="15" t="n"/>
      <c r="AG322" s="15" t="n"/>
      <c r="AH322" s="15" t="n"/>
      <c r="AI322" s="15" t="n"/>
    </row>
    <row r="323">
      <c r="A323" s="4" t="inlineStr">
        <is>
          <t>Студент2.13</t>
        </is>
      </c>
      <c r="B323" s="4" t="inlineStr"/>
      <c r="C323" s="4" t="n"/>
      <c r="D323" s="4" t="n"/>
      <c r="E323" s="4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  <c r="AF323" s="15" t="n"/>
      <c r="AG323" s="15" t="n"/>
      <c r="AH323" s="15" t="n"/>
      <c r="AI323" s="15" t="n"/>
    </row>
    <row r="324">
      <c r="A324" s="4" t="inlineStr">
        <is>
          <t>Студент2.14</t>
        </is>
      </c>
      <c r="B324" s="4" t="inlineStr"/>
      <c r="C324" s="4" t="n"/>
      <c r="D324" s="4" t="n"/>
      <c r="E324" s="4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  <c r="AF324" s="15" t="n"/>
      <c r="AG324" s="15" t="n"/>
      <c r="AH324" s="15" t="n"/>
      <c r="AI324" s="15" t="n"/>
    </row>
    <row r="325">
      <c r="A325" s="4" t="inlineStr">
        <is>
          <t>Студент2.15</t>
        </is>
      </c>
      <c r="B325" s="4" t="inlineStr"/>
      <c r="C325" s="4" t="n"/>
      <c r="D325" s="4" t="n"/>
      <c r="E325" s="4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  <c r="AF325" s="15" t="n"/>
      <c r="AG325" s="15" t="n"/>
      <c r="AH325" s="15" t="n"/>
      <c r="AI325" s="15" t="n"/>
    </row>
    <row r="326">
      <c r="A326" s="4" t="inlineStr">
        <is>
          <t>Студент2.16</t>
        </is>
      </c>
      <c r="B326" s="4" t="inlineStr"/>
      <c r="C326" s="4" t="n"/>
      <c r="D326" s="4" t="n"/>
      <c r="E326" s="4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  <c r="AF326" s="15" t="n"/>
      <c r="AG326" s="15" t="n"/>
      <c r="AH326" s="15" t="n"/>
      <c r="AI326" s="15" t="n"/>
    </row>
    <row r="327">
      <c r="A327" s="4" t="inlineStr">
        <is>
          <t>Студент2.17</t>
        </is>
      </c>
      <c r="B327" s="4" t="inlineStr"/>
      <c r="C327" s="4" t="n"/>
      <c r="D327" s="4" t="n"/>
      <c r="E327" s="4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  <c r="AG327" s="15" t="n"/>
      <c r="AH327" s="15" t="n"/>
      <c r="AI327" s="15" t="n"/>
    </row>
    <row r="328">
      <c r="A328" s="4" t="inlineStr">
        <is>
          <t>Студент2.18</t>
        </is>
      </c>
      <c r="B328" s="4" t="inlineStr"/>
      <c r="C328" s="4" t="n"/>
      <c r="D328" s="4" t="n"/>
      <c r="E328" s="4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  <c r="AG328" s="15" t="n"/>
      <c r="AH328" s="15" t="n"/>
      <c r="AI328" s="15" t="n"/>
    </row>
    <row r="329">
      <c r="A329" s="4" t="inlineStr">
        <is>
          <t>Студент2.19</t>
        </is>
      </c>
      <c r="B329" s="4" t="inlineStr"/>
      <c r="C329" s="4" t="n"/>
      <c r="D329" s="4" t="n"/>
      <c r="E329" s="4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  <c r="AF329" s="15" t="n"/>
      <c r="AG329" s="15" t="n"/>
      <c r="AH329" s="15" t="n"/>
      <c r="AI329" s="15" t="n"/>
    </row>
    <row r="330">
      <c r="A330" s="4" t="inlineStr">
        <is>
          <t>Студент2.20</t>
        </is>
      </c>
      <c r="B330" s="4" t="inlineStr"/>
      <c r="C330" s="4" t="n"/>
      <c r="D330" s="4" t="n"/>
      <c r="E330" s="4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  <c r="AG330" s="15" t="n"/>
      <c r="AH330" s="15" t="n"/>
      <c r="AI330" s="15" t="n"/>
    </row>
    <row r="331">
      <c r="A331" s="4" t="inlineStr">
        <is>
          <t>Студент2.21</t>
        </is>
      </c>
      <c r="B331" s="4" t="inlineStr"/>
      <c r="C331" s="4" t="n"/>
      <c r="D331" s="4" t="n"/>
      <c r="E331" s="4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  <c r="AG331" s="15" t="n"/>
      <c r="AH331" s="15" t="n"/>
      <c r="AI331" s="15" t="n"/>
    </row>
    <row r="332">
      <c r="A332" s="4" t="inlineStr">
        <is>
          <t>Студент2.22</t>
        </is>
      </c>
      <c r="B332" s="4" t="inlineStr"/>
      <c r="C332" s="4" t="n"/>
      <c r="D332" s="4" t="n"/>
      <c r="E332" s="4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  <c r="AF332" s="15" t="n"/>
      <c r="AG332" s="15" t="n"/>
      <c r="AH332" s="15" t="n"/>
      <c r="AI332" s="15" t="n"/>
    </row>
    <row r="333">
      <c r="A333" s="4" t="inlineStr">
        <is>
          <t>Студент2.23</t>
        </is>
      </c>
      <c r="B333" s="4" t="inlineStr"/>
      <c r="C333" s="4" t="n"/>
      <c r="D333" s="4" t="n"/>
      <c r="E333" s="4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  <c r="AG333" s="15" t="n"/>
      <c r="AH333" s="15" t="n"/>
      <c r="AI333" s="15" t="n"/>
    </row>
    <row r="334">
      <c r="A334" s="4" t="inlineStr">
        <is>
          <t>Студент2.24</t>
        </is>
      </c>
      <c r="B334" s="4" t="inlineStr"/>
      <c r="C334" s="4" t="n"/>
      <c r="D334" s="4" t="n"/>
      <c r="E334" s="4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  <c r="AG334" s="15" t="n"/>
      <c r="AH334" s="15" t="n"/>
      <c r="AI334" s="15" t="n"/>
    </row>
    <row r="335">
      <c r="A335" s="4" t="inlineStr">
        <is>
          <t>Студент2.25</t>
        </is>
      </c>
      <c r="B335" s="4" t="inlineStr"/>
      <c r="C335" s="4" t="n"/>
      <c r="D335" s="4" t="n"/>
      <c r="E335" s="4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  <c r="AG335" s="15" t="n"/>
      <c r="AH335" s="15" t="n"/>
      <c r="AI335" s="15" t="n"/>
    </row>
    <row r="336">
      <c r="A336" s="4" t="inlineStr">
        <is>
          <t>Студент2.26</t>
        </is>
      </c>
      <c r="B336" s="4" t="inlineStr"/>
      <c r="C336" s="4" t="n"/>
      <c r="D336" s="4" t="n"/>
      <c r="E336" s="4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  <c r="AG336" s="15" t="n"/>
      <c r="AH336" s="15" t="n"/>
      <c r="AI336" s="15" t="n"/>
    </row>
    <row r="337">
      <c r="A337" s="4" t="inlineStr">
        <is>
          <t>Студент2.27</t>
        </is>
      </c>
      <c r="B337" s="4" t="inlineStr"/>
      <c r="C337" s="4" t="n"/>
      <c r="D337" s="4" t="n"/>
      <c r="E337" s="4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  <c r="AG337" s="15" t="n"/>
      <c r="AH337" s="15" t="n"/>
      <c r="AI337" s="15" t="n"/>
    </row>
    <row r="338">
      <c r="A338" s="4" t="inlineStr">
        <is>
          <t>Студент2.28</t>
        </is>
      </c>
      <c r="B338" s="4" t="inlineStr"/>
      <c r="C338" s="4" t="n"/>
      <c r="D338" s="4" t="n"/>
      <c r="E338" s="4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  <c r="AG338" s="15" t="n"/>
      <c r="AH338" s="15" t="n"/>
      <c r="AI338" s="15" t="n"/>
    </row>
    <row r="339">
      <c r="A339" s="4" t="inlineStr">
        <is>
          <t>Студент2.29</t>
        </is>
      </c>
      <c r="B339" s="4" t="inlineStr"/>
      <c r="C339" s="4" t="n"/>
      <c r="D339" s="4" t="n"/>
      <c r="E339" s="4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  <c r="AF339" s="15" t="n"/>
      <c r="AG339" s="15" t="n"/>
      <c r="AH339" s="15" t="n"/>
      <c r="AI339" s="15" t="n"/>
    </row>
    <row r="340">
      <c r="A340" s="4" t="inlineStr">
        <is>
          <t>Студент2.30</t>
        </is>
      </c>
      <c r="B340" s="4" t="inlineStr"/>
      <c r="C340" s="4" t="n"/>
      <c r="D340" s="4" t="n"/>
      <c r="E340" s="4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  <c r="AF340" s="15" t="n"/>
      <c r="AG340" s="15" t="n"/>
      <c r="AH340" s="15" t="n"/>
      <c r="AI340" s="15" t="n"/>
    </row>
    <row r="344">
      <c r="A344" s="13" t="inlineStr">
        <is>
          <t>Практика 6 — плюсы</t>
        </is>
      </c>
    </row>
    <row r="345" ht="28" customHeight="1">
      <c r="A345" s="7" t="inlineStr">
        <is>
          <t>Имя</t>
        </is>
      </c>
      <c r="B345" s="9" t="inlineStr">
        <is>
          <t>TG</t>
        </is>
      </c>
      <c r="C345" s="10" t="inlineStr">
        <is>
          <t>S</t>
        </is>
      </c>
      <c r="D345" s="8" t="inlineStr">
        <is>
          <t>Коэффициент</t>
        </is>
      </c>
      <c r="E345" s="14" t="inlineStr">
        <is>
          <t>D за практику</t>
        </is>
      </c>
      <c r="F345" s="11" t="inlineStr">
        <is>
          <t>1.0</t>
        </is>
      </c>
      <c r="G345" s="11" t="inlineStr">
        <is>
          <t>2.0</t>
        </is>
      </c>
      <c r="H345" s="11" t="inlineStr">
        <is>
          <t>3.0</t>
        </is>
      </c>
      <c r="I345" s="11" t="inlineStr">
        <is>
          <t>4.0</t>
        </is>
      </c>
      <c r="J345" s="11" t="inlineStr">
        <is>
          <t>5.0</t>
        </is>
      </c>
      <c r="K345" s="11" t="inlineStr">
        <is>
          <t>6</t>
        </is>
      </c>
      <c r="L345" s="11" t="inlineStr">
        <is>
          <t>7</t>
        </is>
      </c>
      <c r="M345" s="11" t="inlineStr">
        <is>
          <t>8</t>
        </is>
      </c>
      <c r="N345" s="11" t="inlineStr">
        <is>
          <t>9</t>
        </is>
      </c>
      <c r="O345" s="11" t="inlineStr">
        <is>
          <t>10</t>
        </is>
      </c>
      <c r="P345" s="11" t="inlineStr">
        <is>
          <t>11</t>
        </is>
      </c>
      <c r="Q345" s="11" t="inlineStr">
        <is>
          <t>12</t>
        </is>
      </c>
      <c r="R345" s="11" t="inlineStr">
        <is>
          <t>13</t>
        </is>
      </c>
      <c r="S345" s="11" t="inlineStr">
        <is>
          <t>14</t>
        </is>
      </c>
      <c r="T345" s="11" t="inlineStr">
        <is>
          <t>15</t>
        </is>
      </c>
      <c r="U345" s="11" t="inlineStr">
        <is>
          <t>16</t>
        </is>
      </c>
      <c r="V345" s="11" t="inlineStr">
        <is>
          <t>17</t>
        </is>
      </c>
      <c r="W345" s="11" t="inlineStr">
        <is>
          <t>18</t>
        </is>
      </c>
      <c r="X345" s="11" t="inlineStr">
        <is>
          <t>19</t>
        </is>
      </c>
      <c r="Y345" s="11" t="inlineStr">
        <is>
          <t>20</t>
        </is>
      </c>
      <c r="Z345" s="11" t="inlineStr">
        <is>
          <t>21</t>
        </is>
      </c>
      <c r="AA345" s="11" t="inlineStr">
        <is>
          <t>22</t>
        </is>
      </c>
      <c r="AB345" s="11" t="inlineStr">
        <is>
          <t>23</t>
        </is>
      </c>
      <c r="AC345" s="11" t="inlineStr">
        <is>
          <t>24</t>
        </is>
      </c>
      <c r="AD345" s="11" t="inlineStr">
        <is>
          <t>25</t>
        </is>
      </c>
      <c r="AE345" s="11" t="inlineStr">
        <is>
          <t>26</t>
        </is>
      </c>
      <c r="AF345" s="11" t="inlineStr">
        <is>
          <t>27</t>
        </is>
      </c>
      <c r="AG345" s="11" t="inlineStr">
        <is>
          <t>28</t>
        </is>
      </c>
      <c r="AH345" s="11" t="inlineStr">
        <is>
          <t>29</t>
        </is>
      </c>
      <c r="AI345" s="11" t="inlineStr">
        <is>
          <t>30</t>
        </is>
      </c>
    </row>
    <row r="346">
      <c r="A346" s="4" t="inlineStr">
        <is>
          <t>Студент2.1</t>
        </is>
      </c>
      <c r="B346" s="4" t="inlineStr"/>
      <c r="C346" s="4">
        <f>IF(A346="","",COUNTIF(F346:AI346,"+")+COUNTIF(F346:AI346,"1"))</f>
        <v/>
      </c>
      <c r="D346" s="4">
        <f>IF(A346="","",IF(C346&gt;2*COUNTA(F$345:AI$345)/3,1,IF(C346&gt;=COUNTA(F$345:AI$345)/2,0.8,0.5)))</f>
        <v/>
      </c>
      <c r="E346" s="4">
        <f>IF(A346="","",SUMIFS('Логи'!$H$4:$H$3006,'Логи'!$A$4:$A$3006,A346,'Логи'!$C$4:$C$3006,6))</f>
        <v/>
      </c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  <c r="AF346" s="15" t="n"/>
      <c r="AG346" s="15" t="n"/>
      <c r="AH346" s="15" t="n"/>
      <c r="AI346" s="15" t="n"/>
    </row>
    <row r="347">
      <c r="A347" s="4" t="inlineStr">
        <is>
          <t>Студент2.2</t>
        </is>
      </c>
      <c r="B347" s="4" t="inlineStr"/>
      <c r="C347" s="4">
        <f>IF(A347="","",COUNTIF(F347:AI347,"+")+COUNTIF(F347:AI347,"1"))</f>
        <v/>
      </c>
      <c r="D347" s="4">
        <f>IF(A347="","",IF(C347&gt;2*COUNTA(F$345:AI$345)/3,1,IF(C347&gt;=COUNTA(F$345:AI$345)/2,0.8,0.5)))</f>
        <v/>
      </c>
      <c r="E347" s="4">
        <f>IF(A347="","",SUMIFS('Логи'!$H$4:$H$3006,'Логи'!$A$4:$A$3006,A347,'Логи'!$C$4:$C$3006,6))</f>
        <v/>
      </c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  <c r="AF347" s="15" t="n"/>
      <c r="AG347" s="15" t="n"/>
      <c r="AH347" s="15" t="n"/>
      <c r="AI347" s="15" t="n"/>
    </row>
    <row r="348">
      <c r="A348" s="4" t="inlineStr">
        <is>
          <t>Студент2.3</t>
        </is>
      </c>
      <c r="B348" s="4" t="inlineStr"/>
      <c r="C348" s="4">
        <f>IF(A348="","",COUNTIF(F348:AI348,"+")+COUNTIF(F348:AI348,"1"))</f>
        <v/>
      </c>
      <c r="D348" s="4">
        <f>IF(A348="","",IF(C348&gt;2*COUNTA(F$345:AI$345)/3,1,IF(C348&gt;=COUNTA(F$345:AI$345)/2,0.8,0.5)))</f>
        <v/>
      </c>
      <c r="E348" s="4">
        <f>IF(A348="","",SUMIFS('Логи'!$H$4:$H$3006,'Логи'!$A$4:$A$3006,A348,'Логи'!$C$4:$C$3006,6))</f>
        <v/>
      </c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  <c r="AF348" s="15" t="n"/>
      <c r="AG348" s="15" t="n"/>
      <c r="AH348" s="15" t="n"/>
      <c r="AI348" s="15" t="n"/>
    </row>
    <row r="349">
      <c r="A349" s="4" t="inlineStr">
        <is>
          <t>Студент2.4</t>
        </is>
      </c>
      <c r="B349" s="4" t="inlineStr"/>
      <c r="C349" s="4">
        <f>IF(A349="","",COUNTIF(F349:AI349,"+")+COUNTIF(F349:AI349,"1"))</f>
        <v/>
      </c>
      <c r="D349" s="4">
        <f>IF(A349="","",IF(C349&gt;2*COUNTA(F$345:AI$345)/3,1,IF(C349&gt;=COUNTA(F$345:AI$345)/2,0.8,0.5)))</f>
        <v/>
      </c>
      <c r="E349" s="4">
        <f>IF(A349="","",SUMIFS('Логи'!$H$4:$H$3006,'Логи'!$A$4:$A$3006,A349,'Логи'!$C$4:$C$3006,6))</f>
        <v/>
      </c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  <c r="AF349" s="15" t="n"/>
      <c r="AG349" s="15" t="n"/>
      <c r="AH349" s="15" t="n"/>
      <c r="AI349" s="15" t="n"/>
    </row>
    <row r="350">
      <c r="A350" s="4" t="inlineStr">
        <is>
          <t>Студент2.5</t>
        </is>
      </c>
      <c r="B350" s="4" t="inlineStr"/>
      <c r="C350" s="4">
        <f>IF(A350="","",COUNTIF(F350:AI350,"+")+COUNTIF(F350:AI350,"1"))</f>
        <v/>
      </c>
      <c r="D350" s="4">
        <f>IF(A350="","",IF(C350&gt;2*COUNTA(F$345:AI$345)/3,1,IF(C350&gt;=COUNTA(F$345:AI$345)/2,0.8,0.5)))</f>
        <v/>
      </c>
      <c r="E350" s="4">
        <f>IF(A350="","",SUMIFS('Логи'!$H$4:$H$3006,'Логи'!$A$4:$A$3006,A350,'Логи'!$C$4:$C$3006,6))</f>
        <v/>
      </c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  <c r="AF350" s="15" t="n"/>
      <c r="AG350" s="15" t="n"/>
      <c r="AH350" s="15" t="n"/>
      <c r="AI350" s="15" t="n"/>
    </row>
    <row r="351">
      <c r="A351" s="4" t="inlineStr">
        <is>
          <t>Студент2.6</t>
        </is>
      </c>
      <c r="B351" s="4" t="inlineStr"/>
      <c r="C351" s="4">
        <f>IF(A351="","",COUNTIF(F351:AI351,"+")+COUNTIF(F351:AI351,"1"))</f>
        <v/>
      </c>
      <c r="D351" s="4">
        <f>IF(A351="","",IF(C351&gt;2*COUNTA(F$345:AI$345)/3,1,IF(C351&gt;=COUNTA(F$345:AI$345)/2,0.8,0.5)))</f>
        <v/>
      </c>
      <c r="E351" s="4">
        <f>IF(A351="","",SUMIFS('Логи'!$H$4:$H$3006,'Логи'!$A$4:$A$3006,A351,'Логи'!$C$4:$C$3006,6))</f>
        <v/>
      </c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  <c r="AF351" s="15" t="n"/>
      <c r="AG351" s="15" t="n"/>
      <c r="AH351" s="15" t="n"/>
      <c r="AI351" s="15" t="n"/>
    </row>
    <row r="352">
      <c r="A352" s="4" t="inlineStr">
        <is>
          <t>Студент2.7</t>
        </is>
      </c>
      <c r="B352" s="4" t="inlineStr"/>
      <c r="C352" s="4">
        <f>IF(A352="","",COUNTIF(F352:AI352,"+")+COUNTIF(F352:AI352,"1"))</f>
        <v/>
      </c>
      <c r="D352" s="4">
        <f>IF(A352="","",IF(C352&gt;2*COUNTA(F$345:AI$345)/3,1,IF(C352&gt;=COUNTA(F$345:AI$345)/2,0.8,0.5)))</f>
        <v/>
      </c>
      <c r="E352" s="4">
        <f>IF(A352="","",SUMIFS('Логи'!$H$4:$H$3006,'Логи'!$A$4:$A$3006,A352,'Логи'!$C$4:$C$3006,6))</f>
        <v/>
      </c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  <c r="AF352" s="15" t="n"/>
      <c r="AG352" s="15" t="n"/>
      <c r="AH352" s="15" t="n"/>
      <c r="AI352" s="15" t="n"/>
    </row>
    <row r="353">
      <c r="A353" s="4" t="inlineStr">
        <is>
          <t>Студент2.8</t>
        </is>
      </c>
      <c r="B353" s="4" t="inlineStr"/>
      <c r="C353" s="4">
        <f>IF(A353="","",COUNTIF(F353:AI353,"+")+COUNTIF(F353:AI353,"1"))</f>
        <v/>
      </c>
      <c r="D353" s="4">
        <f>IF(A353="","",IF(C353&gt;2*COUNTA(F$345:AI$345)/3,1,IF(C353&gt;=COUNTA(F$345:AI$345)/2,0.8,0.5)))</f>
        <v/>
      </c>
      <c r="E353" s="4">
        <f>IF(A353="","",SUMIFS('Логи'!$H$4:$H$3006,'Логи'!$A$4:$A$3006,A353,'Логи'!$C$4:$C$3006,6))</f>
        <v/>
      </c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  <c r="AF353" s="15" t="n"/>
      <c r="AG353" s="15" t="n"/>
      <c r="AH353" s="15" t="n"/>
      <c r="AI353" s="15" t="n"/>
    </row>
    <row r="354">
      <c r="A354" s="4" t="inlineStr">
        <is>
          <t>Студент2.9</t>
        </is>
      </c>
      <c r="B354" s="4" t="inlineStr"/>
      <c r="C354" s="4">
        <f>IF(A354="","",COUNTIF(F354:AI354,"+")+COUNTIF(F354:AI354,"1"))</f>
        <v/>
      </c>
      <c r="D354" s="4">
        <f>IF(A354="","",IF(C354&gt;2*COUNTA(F$345:AI$345)/3,1,IF(C354&gt;=COUNTA(F$345:AI$345)/2,0.8,0.5)))</f>
        <v/>
      </c>
      <c r="E354" s="4">
        <f>IF(A354="","",SUMIFS('Логи'!$H$4:$H$3006,'Логи'!$A$4:$A$3006,A354,'Логи'!$C$4:$C$3006,6))</f>
        <v/>
      </c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  <c r="AG354" s="15" t="n"/>
      <c r="AH354" s="15" t="n"/>
      <c r="AI354" s="15" t="n"/>
    </row>
    <row r="355">
      <c r="A355" s="4" t="inlineStr">
        <is>
          <t>Студент2.10</t>
        </is>
      </c>
      <c r="B355" s="4" t="inlineStr"/>
      <c r="C355" s="4">
        <f>IF(A355="","",COUNTIF(F355:AI355,"+")+COUNTIF(F355:AI355,"1"))</f>
        <v/>
      </c>
      <c r="D355" s="4">
        <f>IF(A355="","",IF(C355&gt;2*COUNTA(F$345:AI$345)/3,1,IF(C355&gt;=COUNTA(F$345:AI$345)/2,0.8,0.5)))</f>
        <v/>
      </c>
      <c r="E355" s="4">
        <f>IF(A355="","",SUMIFS('Логи'!$H$4:$H$3006,'Логи'!$A$4:$A$3006,A355,'Логи'!$C$4:$C$3006,6))</f>
        <v/>
      </c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  <c r="AG355" s="15" t="n"/>
      <c r="AH355" s="15" t="n"/>
      <c r="AI355" s="15" t="n"/>
    </row>
    <row r="356">
      <c r="A356" s="4" t="inlineStr">
        <is>
          <t>Студент2.11</t>
        </is>
      </c>
      <c r="B356" s="4" t="inlineStr"/>
      <c r="C356" s="4">
        <f>IF(A356="","",COUNTIF(F356:AI356,"+")+COUNTIF(F356:AI356,"1"))</f>
        <v/>
      </c>
      <c r="D356" s="4">
        <f>IF(A356="","",IF(C356&gt;2*COUNTA(F$345:AI$345)/3,1,IF(C356&gt;=COUNTA(F$345:AI$345)/2,0.8,0.5)))</f>
        <v/>
      </c>
      <c r="E356" s="4">
        <f>IF(A356="","",SUMIFS('Логи'!$H$4:$H$3006,'Логи'!$A$4:$A$3006,A356,'Логи'!$C$4:$C$3006,6))</f>
        <v/>
      </c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</row>
    <row r="357">
      <c r="A357" s="4" t="inlineStr">
        <is>
          <t>Студент2.12</t>
        </is>
      </c>
      <c r="B357" s="4" t="inlineStr"/>
      <c r="C357" s="4">
        <f>IF(A357="","",COUNTIF(F357:AI357,"+")+COUNTIF(F357:AI357,"1"))</f>
        <v/>
      </c>
      <c r="D357" s="4">
        <f>IF(A357="","",IF(C357&gt;2*COUNTA(F$345:AI$345)/3,1,IF(C357&gt;=COUNTA(F$345:AI$345)/2,0.8,0.5)))</f>
        <v/>
      </c>
      <c r="E357" s="4">
        <f>IF(A357="","",SUMIFS('Логи'!$H$4:$H$3006,'Логи'!$A$4:$A$3006,A357,'Логи'!$C$4:$C$3006,6))</f>
        <v/>
      </c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  <c r="AG357" s="15" t="n"/>
      <c r="AH357" s="15" t="n"/>
      <c r="AI357" s="15" t="n"/>
    </row>
    <row r="358">
      <c r="A358" s="4" t="inlineStr">
        <is>
          <t>Студент2.13</t>
        </is>
      </c>
      <c r="B358" s="4" t="inlineStr"/>
      <c r="C358" s="4">
        <f>IF(A358="","",COUNTIF(F358:AI358,"+")+COUNTIF(F358:AI358,"1"))</f>
        <v/>
      </c>
      <c r="D358" s="4">
        <f>IF(A358="","",IF(C358&gt;2*COUNTA(F$345:AI$345)/3,1,IF(C358&gt;=COUNTA(F$345:AI$345)/2,0.8,0.5)))</f>
        <v/>
      </c>
      <c r="E358" s="4">
        <f>IF(A358="","",SUMIFS('Логи'!$H$4:$H$3006,'Логи'!$A$4:$A$3006,A358,'Логи'!$C$4:$C$3006,6))</f>
        <v/>
      </c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5" t="n"/>
    </row>
    <row r="359">
      <c r="A359" s="4" t="inlineStr">
        <is>
          <t>Студент2.14</t>
        </is>
      </c>
      <c r="B359" s="4" t="inlineStr"/>
      <c r="C359" s="4">
        <f>IF(A359="","",COUNTIF(F359:AI359,"+")+COUNTIF(F359:AI359,"1"))</f>
        <v/>
      </c>
      <c r="D359" s="4">
        <f>IF(A359="","",IF(C359&gt;2*COUNTA(F$345:AI$345)/3,1,IF(C359&gt;=COUNTA(F$345:AI$345)/2,0.8,0.5)))</f>
        <v/>
      </c>
      <c r="E359" s="4">
        <f>IF(A359="","",SUMIFS('Логи'!$H$4:$H$3006,'Логи'!$A$4:$A$3006,A359,'Логи'!$C$4:$C$3006,6))</f>
        <v/>
      </c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  <c r="AF359" s="15" t="n"/>
      <c r="AG359" s="15" t="n"/>
      <c r="AH359" s="15" t="n"/>
      <c r="AI359" s="15" t="n"/>
    </row>
    <row r="360">
      <c r="A360" s="4" t="inlineStr">
        <is>
          <t>Студент2.15</t>
        </is>
      </c>
      <c r="B360" s="4" t="inlineStr"/>
      <c r="C360" s="4">
        <f>IF(A360="","",COUNTIF(F360:AI360,"+")+COUNTIF(F360:AI360,"1"))</f>
        <v/>
      </c>
      <c r="D360" s="4">
        <f>IF(A360="","",IF(C360&gt;2*COUNTA(F$345:AI$345)/3,1,IF(C360&gt;=COUNTA(F$345:AI$345)/2,0.8,0.5)))</f>
        <v/>
      </c>
      <c r="E360" s="4">
        <f>IF(A360="","",SUMIFS('Логи'!$H$4:$H$3006,'Логи'!$A$4:$A$3006,A360,'Логи'!$C$4:$C$3006,6))</f>
        <v/>
      </c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  <c r="AF360" s="15" t="n"/>
      <c r="AG360" s="15" t="n"/>
      <c r="AH360" s="15" t="n"/>
      <c r="AI360" s="15" t="n"/>
    </row>
    <row r="361">
      <c r="A361" s="4" t="inlineStr">
        <is>
          <t>Студент2.16</t>
        </is>
      </c>
      <c r="B361" s="4" t="inlineStr"/>
      <c r="C361" s="4">
        <f>IF(A361="","",COUNTIF(F361:AI361,"+")+COUNTIF(F361:AI361,"1"))</f>
        <v/>
      </c>
      <c r="D361" s="4">
        <f>IF(A361="","",IF(C361&gt;2*COUNTA(F$345:AI$345)/3,1,IF(C361&gt;=COUNTA(F$345:AI$345)/2,0.8,0.5)))</f>
        <v/>
      </c>
      <c r="E361" s="4">
        <f>IF(A361="","",SUMIFS('Логи'!$H$4:$H$3006,'Логи'!$A$4:$A$3006,A361,'Логи'!$C$4:$C$3006,6))</f>
        <v/>
      </c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  <c r="AG361" s="15" t="n"/>
      <c r="AH361" s="15" t="n"/>
      <c r="AI361" s="15" t="n"/>
    </row>
    <row r="362">
      <c r="A362" s="4" t="inlineStr">
        <is>
          <t>Студент2.17</t>
        </is>
      </c>
      <c r="B362" s="4" t="inlineStr"/>
      <c r="C362" s="4">
        <f>IF(A362="","",COUNTIF(F362:AI362,"+")+COUNTIF(F362:AI362,"1"))</f>
        <v/>
      </c>
      <c r="D362" s="4">
        <f>IF(A362="","",IF(C362&gt;2*COUNTA(F$345:AI$345)/3,1,IF(C362&gt;=COUNTA(F$345:AI$345)/2,0.8,0.5)))</f>
        <v/>
      </c>
      <c r="E362" s="4">
        <f>IF(A362="","",SUMIFS('Логи'!$H$4:$H$3006,'Логи'!$A$4:$A$3006,A362,'Логи'!$C$4:$C$3006,6))</f>
        <v/>
      </c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  <c r="AG362" s="15" t="n"/>
      <c r="AH362" s="15" t="n"/>
      <c r="AI362" s="15" t="n"/>
    </row>
    <row r="363">
      <c r="A363" s="4" t="inlineStr">
        <is>
          <t>Студент2.18</t>
        </is>
      </c>
      <c r="B363" s="4" t="inlineStr"/>
      <c r="C363" s="4">
        <f>IF(A363="","",COUNTIF(F363:AI363,"+")+COUNTIF(F363:AI363,"1"))</f>
        <v/>
      </c>
      <c r="D363" s="4">
        <f>IF(A363="","",IF(C363&gt;2*COUNTA(F$345:AI$345)/3,1,IF(C363&gt;=COUNTA(F$345:AI$345)/2,0.8,0.5)))</f>
        <v/>
      </c>
      <c r="E363" s="4">
        <f>IF(A363="","",SUMIFS('Логи'!$H$4:$H$3006,'Логи'!$A$4:$A$3006,A363,'Логи'!$C$4:$C$3006,6))</f>
        <v/>
      </c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  <c r="AG363" s="15" t="n"/>
      <c r="AH363" s="15" t="n"/>
      <c r="AI363" s="15" t="n"/>
    </row>
    <row r="364">
      <c r="A364" s="4" t="inlineStr">
        <is>
          <t>Студент2.19</t>
        </is>
      </c>
      <c r="B364" s="4" t="inlineStr"/>
      <c r="C364" s="4">
        <f>IF(A364="","",COUNTIF(F364:AI364,"+")+COUNTIF(F364:AI364,"1"))</f>
        <v/>
      </c>
      <c r="D364" s="4">
        <f>IF(A364="","",IF(C364&gt;2*COUNTA(F$345:AI$345)/3,1,IF(C364&gt;=COUNTA(F$345:AI$345)/2,0.8,0.5)))</f>
        <v/>
      </c>
      <c r="E364" s="4">
        <f>IF(A364="","",SUMIFS('Логи'!$H$4:$H$3006,'Логи'!$A$4:$A$3006,A364,'Логи'!$C$4:$C$3006,6))</f>
        <v/>
      </c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  <c r="AG364" s="15" t="n"/>
      <c r="AH364" s="15" t="n"/>
      <c r="AI364" s="15" t="n"/>
    </row>
    <row r="365">
      <c r="A365" s="4" t="inlineStr">
        <is>
          <t>Студент2.20</t>
        </is>
      </c>
      <c r="B365" s="4" t="inlineStr"/>
      <c r="C365" s="4">
        <f>IF(A365="","",COUNTIF(F365:AI365,"+")+COUNTIF(F365:AI365,"1"))</f>
        <v/>
      </c>
      <c r="D365" s="4">
        <f>IF(A365="","",IF(C365&gt;2*COUNTA(F$345:AI$345)/3,1,IF(C365&gt;=COUNTA(F$345:AI$345)/2,0.8,0.5)))</f>
        <v/>
      </c>
      <c r="E365" s="4">
        <f>IF(A365="","",SUMIFS('Логи'!$H$4:$H$3006,'Логи'!$A$4:$A$3006,A365,'Логи'!$C$4:$C$3006,6))</f>
        <v/>
      </c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  <c r="AG365" s="15" t="n"/>
      <c r="AH365" s="15" t="n"/>
      <c r="AI365" s="15" t="n"/>
    </row>
    <row r="366">
      <c r="A366" s="4" t="inlineStr">
        <is>
          <t>Студент2.21</t>
        </is>
      </c>
      <c r="B366" s="4" t="inlineStr"/>
      <c r="C366" s="4">
        <f>IF(A366="","",COUNTIF(F366:AI366,"+")+COUNTIF(F366:AI366,"1"))</f>
        <v/>
      </c>
      <c r="D366" s="4">
        <f>IF(A366="","",IF(C366&gt;2*COUNTA(F$345:AI$345)/3,1,IF(C366&gt;=COUNTA(F$345:AI$345)/2,0.8,0.5)))</f>
        <v/>
      </c>
      <c r="E366" s="4">
        <f>IF(A366="","",SUMIFS('Логи'!$H$4:$H$3006,'Логи'!$A$4:$A$3006,A366,'Логи'!$C$4:$C$3006,6))</f>
        <v/>
      </c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  <c r="AF366" s="15" t="n"/>
      <c r="AG366" s="15" t="n"/>
      <c r="AH366" s="15" t="n"/>
      <c r="AI366" s="15" t="n"/>
    </row>
    <row r="367">
      <c r="A367" s="4" t="inlineStr">
        <is>
          <t>Студент2.22</t>
        </is>
      </c>
      <c r="B367" s="4" t="inlineStr"/>
      <c r="C367" s="4">
        <f>IF(A367="","",COUNTIF(F367:AI367,"+")+COUNTIF(F367:AI367,"1"))</f>
        <v/>
      </c>
      <c r="D367" s="4">
        <f>IF(A367="","",IF(C367&gt;2*COUNTA(F$345:AI$345)/3,1,IF(C367&gt;=COUNTA(F$345:AI$345)/2,0.8,0.5)))</f>
        <v/>
      </c>
      <c r="E367" s="4">
        <f>IF(A367="","",SUMIFS('Логи'!$H$4:$H$3006,'Логи'!$A$4:$A$3006,A367,'Логи'!$C$4:$C$3006,6))</f>
        <v/>
      </c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  <c r="AF367" s="15" t="n"/>
      <c r="AG367" s="15" t="n"/>
      <c r="AH367" s="15" t="n"/>
      <c r="AI367" s="15" t="n"/>
    </row>
    <row r="368">
      <c r="A368" s="4" t="inlineStr">
        <is>
          <t>Студент2.23</t>
        </is>
      </c>
      <c r="B368" s="4" t="inlineStr"/>
      <c r="C368" s="4">
        <f>IF(A368="","",COUNTIF(F368:AI368,"+")+COUNTIF(F368:AI368,"1"))</f>
        <v/>
      </c>
      <c r="D368" s="4">
        <f>IF(A368="","",IF(C368&gt;2*COUNTA(F$345:AI$345)/3,1,IF(C368&gt;=COUNTA(F$345:AI$345)/2,0.8,0.5)))</f>
        <v/>
      </c>
      <c r="E368" s="4">
        <f>IF(A368="","",SUMIFS('Логи'!$H$4:$H$3006,'Логи'!$A$4:$A$3006,A368,'Логи'!$C$4:$C$3006,6))</f>
        <v/>
      </c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  <c r="AF368" s="15" t="n"/>
      <c r="AG368" s="15" t="n"/>
      <c r="AH368" s="15" t="n"/>
      <c r="AI368" s="15" t="n"/>
    </row>
    <row r="369">
      <c r="A369" s="4" t="inlineStr">
        <is>
          <t>Студент2.24</t>
        </is>
      </c>
      <c r="B369" s="4" t="inlineStr"/>
      <c r="C369" s="4">
        <f>IF(A369="","",COUNTIF(F369:AI369,"+")+COUNTIF(F369:AI369,"1"))</f>
        <v/>
      </c>
      <c r="D369" s="4">
        <f>IF(A369="","",IF(C369&gt;2*COUNTA(F$345:AI$345)/3,1,IF(C369&gt;=COUNTA(F$345:AI$345)/2,0.8,0.5)))</f>
        <v/>
      </c>
      <c r="E369" s="4">
        <f>IF(A369="","",SUMIFS('Логи'!$H$4:$H$3006,'Логи'!$A$4:$A$3006,A369,'Логи'!$C$4:$C$3006,6))</f>
        <v/>
      </c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  <c r="AF369" s="15" t="n"/>
      <c r="AG369" s="15" t="n"/>
      <c r="AH369" s="15" t="n"/>
      <c r="AI369" s="15" t="n"/>
    </row>
    <row r="370">
      <c r="A370" s="4" t="inlineStr">
        <is>
          <t>Студент2.25</t>
        </is>
      </c>
      <c r="B370" s="4" t="inlineStr"/>
      <c r="C370" s="4">
        <f>IF(A370="","",COUNTIF(F370:AI370,"+")+COUNTIF(F370:AI370,"1"))</f>
        <v/>
      </c>
      <c r="D370" s="4">
        <f>IF(A370="","",IF(C370&gt;2*COUNTA(F$345:AI$345)/3,1,IF(C370&gt;=COUNTA(F$345:AI$345)/2,0.8,0.5)))</f>
        <v/>
      </c>
      <c r="E370" s="4">
        <f>IF(A370="","",SUMIFS('Логи'!$H$4:$H$3006,'Логи'!$A$4:$A$3006,A370,'Логи'!$C$4:$C$3006,6))</f>
        <v/>
      </c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5" t="n"/>
    </row>
    <row r="371">
      <c r="A371" s="4" t="inlineStr">
        <is>
          <t>Студент2.26</t>
        </is>
      </c>
      <c r="B371" s="4" t="inlineStr"/>
      <c r="C371" s="4">
        <f>IF(A371="","",COUNTIF(F371:AI371,"+")+COUNTIF(F371:AI371,"1"))</f>
        <v/>
      </c>
      <c r="D371" s="4">
        <f>IF(A371="","",IF(C371&gt;2*COUNTA(F$345:AI$345)/3,1,IF(C371&gt;=COUNTA(F$345:AI$345)/2,0.8,0.5)))</f>
        <v/>
      </c>
      <c r="E371" s="4">
        <f>IF(A371="","",SUMIFS('Логи'!$H$4:$H$3006,'Логи'!$A$4:$A$3006,A371,'Логи'!$C$4:$C$3006,6))</f>
        <v/>
      </c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  <c r="AF371" s="15" t="n"/>
      <c r="AG371" s="15" t="n"/>
      <c r="AH371" s="15" t="n"/>
      <c r="AI371" s="15" t="n"/>
    </row>
    <row r="372">
      <c r="A372" s="4" t="inlineStr">
        <is>
          <t>Студент2.27</t>
        </is>
      </c>
      <c r="B372" s="4" t="inlineStr"/>
      <c r="C372" s="4">
        <f>IF(A372="","",COUNTIF(F372:AI372,"+")+COUNTIF(F372:AI372,"1"))</f>
        <v/>
      </c>
      <c r="D372" s="4">
        <f>IF(A372="","",IF(C372&gt;2*COUNTA(F$345:AI$345)/3,1,IF(C372&gt;=COUNTA(F$345:AI$345)/2,0.8,0.5)))</f>
        <v/>
      </c>
      <c r="E372" s="4">
        <f>IF(A372="","",SUMIFS('Логи'!$H$4:$H$3006,'Логи'!$A$4:$A$3006,A372,'Логи'!$C$4:$C$3006,6))</f>
        <v/>
      </c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  <c r="AG372" s="15" t="n"/>
      <c r="AH372" s="15" t="n"/>
      <c r="AI372" s="15" t="n"/>
    </row>
    <row r="373">
      <c r="A373" s="4" t="inlineStr">
        <is>
          <t>Студент2.28</t>
        </is>
      </c>
      <c r="B373" s="4" t="inlineStr"/>
      <c r="C373" s="4">
        <f>IF(A373="","",COUNTIF(F373:AI373,"+")+COUNTIF(F373:AI373,"1"))</f>
        <v/>
      </c>
      <c r="D373" s="4">
        <f>IF(A373="","",IF(C373&gt;2*COUNTA(F$345:AI$345)/3,1,IF(C373&gt;=COUNTA(F$345:AI$345)/2,0.8,0.5)))</f>
        <v/>
      </c>
      <c r="E373" s="4">
        <f>IF(A373="","",SUMIFS('Логи'!$H$4:$H$3006,'Логи'!$A$4:$A$3006,A373,'Логи'!$C$4:$C$3006,6))</f>
        <v/>
      </c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  <c r="AF373" s="15" t="n"/>
      <c r="AG373" s="15" t="n"/>
      <c r="AH373" s="15" t="n"/>
      <c r="AI373" s="15" t="n"/>
    </row>
    <row r="374">
      <c r="A374" s="4" t="inlineStr">
        <is>
          <t>Студент2.29</t>
        </is>
      </c>
      <c r="B374" s="4" t="inlineStr"/>
      <c r="C374" s="4">
        <f>IF(A374="","",COUNTIF(F374:AI374,"+")+COUNTIF(F374:AI374,"1"))</f>
        <v/>
      </c>
      <c r="D374" s="4">
        <f>IF(A374="","",IF(C374&gt;2*COUNTA(F$345:AI$345)/3,1,IF(C374&gt;=COUNTA(F$345:AI$345)/2,0.8,0.5)))</f>
        <v/>
      </c>
      <c r="E374" s="4">
        <f>IF(A374="","",SUMIFS('Логи'!$H$4:$H$3006,'Логи'!$A$4:$A$3006,A374,'Логи'!$C$4:$C$3006,6))</f>
        <v/>
      </c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  <c r="AF374" s="15" t="n"/>
      <c r="AG374" s="15" t="n"/>
      <c r="AH374" s="15" t="n"/>
      <c r="AI374" s="15" t="n"/>
    </row>
    <row r="375">
      <c r="A375" s="4" t="inlineStr">
        <is>
          <t>Студент2.30</t>
        </is>
      </c>
      <c r="B375" s="4" t="inlineStr"/>
      <c r="C375" s="4">
        <f>IF(A375="","",COUNTIF(F375:AI375,"+")+COUNTIF(F375:AI375,"1"))</f>
        <v/>
      </c>
      <c r="D375" s="4">
        <f>IF(A375="","",IF(C375&gt;2*COUNTA(F$345:AI$345)/3,1,IF(C375&gt;=COUNTA(F$345:AI$345)/2,0.8,0.5)))</f>
        <v/>
      </c>
      <c r="E375" s="4">
        <f>IF(A375="","",SUMIFS('Логи'!$H$4:$H$3006,'Логи'!$A$4:$A$3006,A375,'Логи'!$C$4:$C$3006,6))</f>
        <v/>
      </c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  <c r="AF375" s="15" t="n"/>
      <c r="AG375" s="15" t="n"/>
      <c r="AH375" s="15" t="n"/>
      <c r="AI375" s="15" t="n"/>
    </row>
    <row r="377">
      <c r="A377" s="16" t="inlineStr">
        <is>
          <t>Практика 6 — результаты рассказа</t>
        </is>
      </c>
    </row>
    <row r="378" ht="28" customHeight="1">
      <c r="A378" s="7" t="inlineStr">
        <is>
          <t>Имя</t>
        </is>
      </c>
      <c r="B378" s="9" t="inlineStr">
        <is>
          <t>TG</t>
        </is>
      </c>
      <c r="C378" s="10" t="inlineStr"/>
      <c r="D378" s="2" t="inlineStr"/>
      <c r="E378" s="2" t="inlineStr"/>
      <c r="F378" s="11" t="inlineStr">
        <is>
          <t>1.0</t>
        </is>
      </c>
      <c r="G378" s="11" t="inlineStr">
        <is>
          <t>2.0</t>
        </is>
      </c>
      <c r="H378" s="11" t="inlineStr">
        <is>
          <t>3.0</t>
        </is>
      </c>
      <c r="I378" s="11" t="inlineStr">
        <is>
          <t>4.0</t>
        </is>
      </c>
      <c r="J378" s="11" t="inlineStr">
        <is>
          <t>5.0</t>
        </is>
      </c>
      <c r="K378" s="11" t="inlineStr">
        <is>
          <t>6</t>
        </is>
      </c>
      <c r="L378" s="11" t="inlineStr">
        <is>
          <t>7</t>
        </is>
      </c>
      <c r="M378" s="11" t="inlineStr">
        <is>
          <t>8</t>
        </is>
      </c>
      <c r="N378" s="11" t="inlineStr">
        <is>
          <t>9</t>
        </is>
      </c>
      <c r="O378" s="11" t="inlineStr">
        <is>
          <t>10</t>
        </is>
      </c>
      <c r="P378" s="11" t="inlineStr">
        <is>
          <t>11</t>
        </is>
      </c>
      <c r="Q378" s="11" t="inlineStr">
        <is>
          <t>12</t>
        </is>
      </c>
      <c r="R378" s="11" t="inlineStr">
        <is>
          <t>13</t>
        </is>
      </c>
      <c r="S378" s="11" t="inlineStr">
        <is>
          <t>14</t>
        </is>
      </c>
      <c r="T378" s="11" t="inlineStr">
        <is>
          <t>15</t>
        </is>
      </c>
      <c r="U378" s="11" t="inlineStr">
        <is>
          <t>16</t>
        </is>
      </c>
      <c r="V378" s="11" t="inlineStr">
        <is>
          <t>17</t>
        </is>
      </c>
      <c r="W378" s="11" t="inlineStr">
        <is>
          <t>18</t>
        </is>
      </c>
      <c r="X378" s="11" t="inlineStr">
        <is>
          <t>19</t>
        </is>
      </c>
      <c r="Y378" s="11" t="inlineStr">
        <is>
          <t>20</t>
        </is>
      </c>
      <c r="Z378" s="11" t="inlineStr">
        <is>
          <t>21</t>
        </is>
      </c>
      <c r="AA378" s="11" t="inlineStr">
        <is>
          <t>22</t>
        </is>
      </c>
      <c r="AB378" s="11" t="inlineStr">
        <is>
          <t>23</t>
        </is>
      </c>
      <c r="AC378" s="11" t="inlineStr">
        <is>
          <t>24</t>
        </is>
      </c>
      <c r="AD378" s="11" t="inlineStr">
        <is>
          <t>25</t>
        </is>
      </c>
      <c r="AE378" s="11" t="inlineStr">
        <is>
          <t>26</t>
        </is>
      </c>
      <c r="AF378" s="11" t="inlineStr">
        <is>
          <t>27</t>
        </is>
      </c>
      <c r="AG378" s="11" t="inlineStr">
        <is>
          <t>28</t>
        </is>
      </c>
      <c r="AH378" s="11" t="inlineStr">
        <is>
          <t>29</t>
        </is>
      </c>
      <c r="AI378" s="11" t="inlineStr">
        <is>
          <t>30</t>
        </is>
      </c>
    </row>
    <row r="379">
      <c r="A379" s="4" t="inlineStr">
        <is>
          <t>Студент2.1</t>
        </is>
      </c>
      <c r="B379" s="4" t="inlineStr"/>
      <c r="C379" s="4" t="n"/>
      <c r="D379" s="4" t="n"/>
      <c r="E379" s="4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  <c r="AF379" s="15" t="n"/>
      <c r="AG379" s="15" t="n"/>
      <c r="AH379" s="15" t="n"/>
      <c r="AI379" s="15" t="n"/>
    </row>
    <row r="380">
      <c r="A380" s="4" t="inlineStr">
        <is>
          <t>Студент2.2</t>
        </is>
      </c>
      <c r="B380" s="4" t="inlineStr"/>
      <c r="C380" s="4" t="n"/>
      <c r="D380" s="4" t="n"/>
      <c r="E380" s="4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  <c r="AF380" s="15" t="n"/>
      <c r="AG380" s="15" t="n"/>
      <c r="AH380" s="15" t="n"/>
      <c r="AI380" s="15" t="n"/>
    </row>
    <row r="381">
      <c r="A381" s="4" t="inlineStr">
        <is>
          <t>Студент2.3</t>
        </is>
      </c>
      <c r="B381" s="4" t="inlineStr"/>
      <c r="C381" s="4" t="n"/>
      <c r="D381" s="4" t="n"/>
      <c r="E381" s="4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  <c r="AF381" s="15" t="n"/>
      <c r="AG381" s="15" t="n"/>
      <c r="AH381" s="15" t="n"/>
      <c r="AI381" s="15" t="n"/>
    </row>
    <row r="382">
      <c r="A382" s="4" t="inlineStr">
        <is>
          <t>Студент2.4</t>
        </is>
      </c>
      <c r="B382" s="4" t="inlineStr"/>
      <c r="C382" s="4" t="n"/>
      <c r="D382" s="4" t="n"/>
      <c r="E382" s="4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  <c r="AF382" s="15" t="n"/>
      <c r="AG382" s="15" t="n"/>
      <c r="AH382" s="15" t="n"/>
      <c r="AI382" s="15" t="n"/>
    </row>
    <row r="383">
      <c r="A383" s="4" t="inlineStr">
        <is>
          <t>Студент2.5</t>
        </is>
      </c>
      <c r="B383" s="4" t="inlineStr"/>
      <c r="C383" s="4" t="n"/>
      <c r="D383" s="4" t="n"/>
      <c r="E383" s="4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  <c r="AF383" s="15" t="n"/>
      <c r="AG383" s="15" t="n"/>
      <c r="AH383" s="15" t="n"/>
      <c r="AI383" s="15" t="n"/>
    </row>
    <row r="384">
      <c r="A384" s="4" t="inlineStr">
        <is>
          <t>Студент2.6</t>
        </is>
      </c>
      <c r="B384" s="4" t="inlineStr"/>
      <c r="C384" s="4" t="n"/>
      <c r="D384" s="4" t="n"/>
      <c r="E384" s="4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  <c r="AG384" s="15" t="n"/>
      <c r="AH384" s="15" t="n"/>
      <c r="AI384" s="15" t="n"/>
    </row>
    <row r="385">
      <c r="A385" s="4" t="inlineStr">
        <is>
          <t>Студент2.7</t>
        </is>
      </c>
      <c r="B385" s="4" t="inlineStr"/>
      <c r="C385" s="4" t="n"/>
      <c r="D385" s="4" t="n"/>
      <c r="E385" s="4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  <c r="AF385" s="15" t="n"/>
      <c r="AG385" s="15" t="n"/>
      <c r="AH385" s="15" t="n"/>
      <c r="AI385" s="15" t="n"/>
    </row>
    <row r="386">
      <c r="A386" s="4" t="inlineStr">
        <is>
          <t>Студент2.8</t>
        </is>
      </c>
      <c r="B386" s="4" t="inlineStr"/>
      <c r="C386" s="4" t="n"/>
      <c r="D386" s="4" t="n"/>
      <c r="E386" s="4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  <c r="AG386" s="15" t="n"/>
      <c r="AH386" s="15" t="n"/>
      <c r="AI386" s="15" t="n"/>
    </row>
    <row r="387">
      <c r="A387" s="4" t="inlineStr">
        <is>
          <t>Студент2.9</t>
        </is>
      </c>
      <c r="B387" s="4" t="inlineStr"/>
      <c r="C387" s="4" t="n"/>
      <c r="D387" s="4" t="n"/>
      <c r="E387" s="4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  <c r="AF387" s="15" t="n"/>
      <c r="AG387" s="15" t="n"/>
      <c r="AH387" s="15" t="n"/>
      <c r="AI387" s="15" t="n"/>
    </row>
    <row r="388">
      <c r="A388" s="4" t="inlineStr">
        <is>
          <t>Студент2.10</t>
        </is>
      </c>
      <c r="B388" s="4" t="inlineStr"/>
      <c r="C388" s="4" t="n"/>
      <c r="D388" s="4" t="n"/>
      <c r="E388" s="4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  <c r="AF388" s="15" t="n"/>
      <c r="AG388" s="15" t="n"/>
      <c r="AH388" s="15" t="n"/>
      <c r="AI388" s="15" t="n"/>
    </row>
    <row r="389">
      <c r="A389" s="4" t="inlineStr">
        <is>
          <t>Студент2.11</t>
        </is>
      </c>
      <c r="B389" s="4" t="inlineStr"/>
      <c r="C389" s="4" t="n"/>
      <c r="D389" s="4" t="n"/>
      <c r="E389" s="4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  <c r="AF389" s="15" t="n"/>
      <c r="AG389" s="15" t="n"/>
      <c r="AH389" s="15" t="n"/>
      <c r="AI389" s="15" t="n"/>
    </row>
    <row r="390">
      <c r="A390" s="4" t="inlineStr">
        <is>
          <t>Студент2.12</t>
        </is>
      </c>
      <c r="B390" s="4" t="inlineStr"/>
      <c r="C390" s="4" t="n"/>
      <c r="D390" s="4" t="n"/>
      <c r="E390" s="4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  <c r="AF390" s="15" t="n"/>
      <c r="AG390" s="15" t="n"/>
      <c r="AH390" s="15" t="n"/>
      <c r="AI390" s="15" t="n"/>
    </row>
    <row r="391">
      <c r="A391" s="4" t="inlineStr">
        <is>
          <t>Студент2.13</t>
        </is>
      </c>
      <c r="B391" s="4" t="inlineStr"/>
      <c r="C391" s="4" t="n"/>
      <c r="D391" s="4" t="n"/>
      <c r="E391" s="4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  <c r="AF391" s="15" t="n"/>
      <c r="AG391" s="15" t="n"/>
      <c r="AH391" s="15" t="n"/>
      <c r="AI391" s="15" t="n"/>
    </row>
    <row r="392">
      <c r="A392" s="4" t="inlineStr">
        <is>
          <t>Студент2.14</t>
        </is>
      </c>
      <c r="B392" s="4" t="inlineStr"/>
      <c r="C392" s="4" t="n"/>
      <c r="D392" s="4" t="n"/>
      <c r="E392" s="4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  <c r="AF392" s="15" t="n"/>
      <c r="AG392" s="15" t="n"/>
      <c r="AH392" s="15" t="n"/>
      <c r="AI392" s="15" t="n"/>
    </row>
    <row r="393">
      <c r="A393" s="4" t="inlineStr">
        <is>
          <t>Студент2.15</t>
        </is>
      </c>
      <c r="B393" s="4" t="inlineStr"/>
      <c r="C393" s="4" t="n"/>
      <c r="D393" s="4" t="n"/>
      <c r="E393" s="4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  <c r="AF393" s="15" t="n"/>
      <c r="AG393" s="15" t="n"/>
      <c r="AH393" s="15" t="n"/>
      <c r="AI393" s="15" t="n"/>
    </row>
    <row r="394">
      <c r="A394" s="4" t="inlineStr">
        <is>
          <t>Студент2.16</t>
        </is>
      </c>
      <c r="B394" s="4" t="inlineStr"/>
      <c r="C394" s="4" t="n"/>
      <c r="D394" s="4" t="n"/>
      <c r="E394" s="4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  <c r="AF394" s="15" t="n"/>
      <c r="AG394" s="15" t="n"/>
      <c r="AH394" s="15" t="n"/>
      <c r="AI394" s="15" t="n"/>
    </row>
    <row r="395">
      <c r="A395" s="4" t="inlineStr">
        <is>
          <t>Студент2.17</t>
        </is>
      </c>
      <c r="B395" s="4" t="inlineStr"/>
      <c r="C395" s="4" t="n"/>
      <c r="D395" s="4" t="n"/>
      <c r="E395" s="4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  <c r="AF395" s="15" t="n"/>
      <c r="AG395" s="15" t="n"/>
      <c r="AH395" s="15" t="n"/>
      <c r="AI395" s="15" t="n"/>
    </row>
    <row r="396">
      <c r="A396" s="4" t="inlineStr">
        <is>
          <t>Студент2.18</t>
        </is>
      </c>
      <c r="B396" s="4" t="inlineStr"/>
      <c r="C396" s="4" t="n"/>
      <c r="D396" s="4" t="n"/>
      <c r="E396" s="4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  <c r="AF396" s="15" t="n"/>
      <c r="AG396" s="15" t="n"/>
      <c r="AH396" s="15" t="n"/>
      <c r="AI396" s="15" t="n"/>
    </row>
    <row r="397">
      <c r="A397" s="4" t="inlineStr">
        <is>
          <t>Студент2.19</t>
        </is>
      </c>
      <c r="B397" s="4" t="inlineStr"/>
      <c r="C397" s="4" t="n"/>
      <c r="D397" s="4" t="n"/>
      <c r="E397" s="4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  <c r="AF397" s="15" t="n"/>
      <c r="AG397" s="15" t="n"/>
      <c r="AH397" s="15" t="n"/>
      <c r="AI397" s="15" t="n"/>
    </row>
    <row r="398">
      <c r="A398" s="4" t="inlineStr">
        <is>
          <t>Студент2.20</t>
        </is>
      </c>
      <c r="B398" s="4" t="inlineStr"/>
      <c r="C398" s="4" t="n"/>
      <c r="D398" s="4" t="n"/>
      <c r="E398" s="4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  <c r="AF398" s="15" t="n"/>
      <c r="AG398" s="15" t="n"/>
      <c r="AH398" s="15" t="n"/>
      <c r="AI398" s="15" t="n"/>
    </row>
    <row r="399">
      <c r="A399" s="4" t="inlineStr">
        <is>
          <t>Студент2.21</t>
        </is>
      </c>
      <c r="B399" s="4" t="inlineStr"/>
      <c r="C399" s="4" t="n"/>
      <c r="D399" s="4" t="n"/>
      <c r="E399" s="4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  <c r="AF399" s="15" t="n"/>
      <c r="AG399" s="15" t="n"/>
      <c r="AH399" s="15" t="n"/>
      <c r="AI399" s="15" t="n"/>
    </row>
    <row r="400">
      <c r="A400" s="4" t="inlineStr">
        <is>
          <t>Студент2.22</t>
        </is>
      </c>
      <c r="B400" s="4" t="inlineStr"/>
      <c r="C400" s="4" t="n"/>
      <c r="D400" s="4" t="n"/>
      <c r="E400" s="4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  <c r="AF400" s="15" t="n"/>
      <c r="AG400" s="15" t="n"/>
      <c r="AH400" s="15" t="n"/>
      <c r="AI400" s="15" t="n"/>
    </row>
    <row r="401">
      <c r="A401" s="4" t="inlineStr">
        <is>
          <t>Студент2.23</t>
        </is>
      </c>
      <c r="B401" s="4" t="inlineStr"/>
      <c r="C401" s="4" t="n"/>
      <c r="D401" s="4" t="n"/>
      <c r="E401" s="4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  <c r="AF401" s="15" t="n"/>
      <c r="AG401" s="15" t="n"/>
      <c r="AH401" s="15" t="n"/>
      <c r="AI401" s="15" t="n"/>
    </row>
    <row r="402">
      <c r="A402" s="4" t="inlineStr">
        <is>
          <t>Студент2.24</t>
        </is>
      </c>
      <c r="B402" s="4" t="inlineStr"/>
      <c r="C402" s="4" t="n"/>
      <c r="D402" s="4" t="n"/>
      <c r="E402" s="4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5" t="n"/>
      <c r="AE402" s="15" t="n"/>
      <c r="AF402" s="15" t="n"/>
      <c r="AG402" s="15" t="n"/>
      <c r="AH402" s="15" t="n"/>
      <c r="AI402" s="15" t="n"/>
    </row>
    <row r="403">
      <c r="A403" s="4" t="inlineStr">
        <is>
          <t>Студент2.25</t>
        </is>
      </c>
      <c r="B403" s="4" t="inlineStr"/>
      <c r="C403" s="4" t="n"/>
      <c r="D403" s="4" t="n"/>
      <c r="E403" s="4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5" t="n"/>
      <c r="AE403" s="15" t="n"/>
      <c r="AF403" s="15" t="n"/>
      <c r="AG403" s="15" t="n"/>
      <c r="AH403" s="15" t="n"/>
      <c r="AI403" s="15" t="n"/>
    </row>
    <row r="404">
      <c r="A404" s="4" t="inlineStr">
        <is>
          <t>Студент2.26</t>
        </is>
      </c>
      <c r="B404" s="4" t="inlineStr"/>
      <c r="C404" s="4" t="n"/>
      <c r="D404" s="4" t="n"/>
      <c r="E404" s="4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5" t="n"/>
      <c r="AE404" s="15" t="n"/>
      <c r="AF404" s="15" t="n"/>
      <c r="AG404" s="15" t="n"/>
      <c r="AH404" s="15" t="n"/>
      <c r="AI404" s="15" t="n"/>
    </row>
    <row r="405">
      <c r="A405" s="4" t="inlineStr">
        <is>
          <t>Студент2.27</t>
        </is>
      </c>
      <c r="B405" s="4" t="inlineStr"/>
      <c r="C405" s="4" t="n"/>
      <c r="D405" s="4" t="n"/>
      <c r="E405" s="4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5" t="n"/>
      <c r="AE405" s="15" t="n"/>
      <c r="AF405" s="15" t="n"/>
      <c r="AG405" s="15" t="n"/>
      <c r="AH405" s="15" t="n"/>
      <c r="AI405" s="15" t="n"/>
    </row>
    <row r="406">
      <c r="A406" s="4" t="inlineStr">
        <is>
          <t>Студент2.28</t>
        </is>
      </c>
      <c r="B406" s="4" t="inlineStr"/>
      <c r="C406" s="4" t="n"/>
      <c r="D406" s="4" t="n"/>
      <c r="E406" s="4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5" t="n"/>
      <c r="AE406" s="15" t="n"/>
      <c r="AF406" s="15" t="n"/>
      <c r="AG406" s="15" t="n"/>
      <c r="AH406" s="15" t="n"/>
      <c r="AI406" s="15" t="n"/>
    </row>
    <row r="407">
      <c r="A407" s="4" t="inlineStr">
        <is>
          <t>Студент2.29</t>
        </is>
      </c>
      <c r="B407" s="4" t="inlineStr"/>
      <c r="C407" s="4" t="n"/>
      <c r="D407" s="4" t="n"/>
      <c r="E407" s="4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5" t="n"/>
      <c r="AE407" s="15" t="n"/>
      <c r="AF407" s="15" t="n"/>
      <c r="AG407" s="15" t="n"/>
      <c r="AH407" s="15" t="n"/>
      <c r="AI407" s="15" t="n"/>
    </row>
    <row r="408">
      <c r="A408" s="4" t="inlineStr">
        <is>
          <t>Студент2.30</t>
        </is>
      </c>
      <c r="B408" s="4" t="inlineStr"/>
      <c r="C408" s="4" t="n"/>
      <c r="D408" s="4" t="n"/>
      <c r="E408" s="4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5" t="n"/>
      <c r="AE408" s="15" t="n"/>
      <c r="AF408" s="15" t="n"/>
      <c r="AG408" s="15" t="n"/>
      <c r="AH408" s="15" t="n"/>
      <c r="AI408" s="15" t="n"/>
    </row>
    <row r="412">
      <c r="A412" s="13" t="inlineStr">
        <is>
          <t>Практика 7 — плюсы</t>
        </is>
      </c>
    </row>
    <row r="413" ht="28" customHeight="1">
      <c r="A413" s="7" t="inlineStr">
        <is>
          <t>Имя</t>
        </is>
      </c>
      <c r="B413" s="9" t="inlineStr">
        <is>
          <t>TG</t>
        </is>
      </c>
      <c r="C413" s="10" t="inlineStr">
        <is>
          <t>S</t>
        </is>
      </c>
      <c r="D413" s="8" t="inlineStr">
        <is>
          <t>Коэффициент</t>
        </is>
      </c>
      <c r="E413" s="14" t="inlineStr">
        <is>
          <t>D за практику</t>
        </is>
      </c>
      <c r="F413" s="11" t="inlineStr">
        <is>
          <t>1.0</t>
        </is>
      </c>
      <c r="G413" s="11" t="inlineStr">
        <is>
          <t>2.0</t>
        </is>
      </c>
      <c r="H413" s="11" t="inlineStr">
        <is>
          <t>3.0</t>
        </is>
      </c>
      <c r="I413" s="11" t="inlineStr">
        <is>
          <t>4.0</t>
        </is>
      </c>
      <c r="J413" s="11" t="inlineStr">
        <is>
          <t>5.0</t>
        </is>
      </c>
      <c r="K413" s="11" t="inlineStr">
        <is>
          <t>6</t>
        </is>
      </c>
      <c r="L413" s="11" t="inlineStr">
        <is>
          <t>7</t>
        </is>
      </c>
      <c r="M413" s="11" t="inlineStr">
        <is>
          <t>8</t>
        </is>
      </c>
      <c r="N413" s="11" t="inlineStr">
        <is>
          <t>9</t>
        </is>
      </c>
      <c r="O413" s="11" t="inlineStr">
        <is>
          <t>10</t>
        </is>
      </c>
      <c r="P413" s="11" t="inlineStr">
        <is>
          <t>11</t>
        </is>
      </c>
      <c r="Q413" s="11" t="inlineStr">
        <is>
          <t>12</t>
        </is>
      </c>
      <c r="R413" s="11" t="inlineStr">
        <is>
          <t>13</t>
        </is>
      </c>
      <c r="S413" s="11" t="inlineStr">
        <is>
          <t>14</t>
        </is>
      </c>
      <c r="T413" s="11" t="inlineStr">
        <is>
          <t>15</t>
        </is>
      </c>
      <c r="U413" s="11" t="inlineStr">
        <is>
          <t>16</t>
        </is>
      </c>
      <c r="V413" s="11" t="inlineStr">
        <is>
          <t>17</t>
        </is>
      </c>
      <c r="W413" s="11" t="inlineStr">
        <is>
          <t>18</t>
        </is>
      </c>
      <c r="X413" s="11" t="inlineStr">
        <is>
          <t>19</t>
        </is>
      </c>
      <c r="Y413" s="11" t="inlineStr">
        <is>
          <t>20</t>
        </is>
      </c>
      <c r="Z413" s="11" t="inlineStr">
        <is>
          <t>21</t>
        </is>
      </c>
      <c r="AA413" s="11" t="inlineStr">
        <is>
          <t>22</t>
        </is>
      </c>
      <c r="AB413" s="11" t="inlineStr">
        <is>
          <t>23</t>
        </is>
      </c>
      <c r="AC413" s="11" t="inlineStr">
        <is>
          <t>24</t>
        </is>
      </c>
      <c r="AD413" s="11" t="inlineStr">
        <is>
          <t>25</t>
        </is>
      </c>
      <c r="AE413" s="11" t="inlineStr">
        <is>
          <t>26</t>
        </is>
      </c>
      <c r="AF413" s="11" t="inlineStr">
        <is>
          <t>27</t>
        </is>
      </c>
      <c r="AG413" s="11" t="inlineStr">
        <is>
          <t>28</t>
        </is>
      </c>
      <c r="AH413" s="11" t="inlineStr">
        <is>
          <t>29</t>
        </is>
      </c>
      <c r="AI413" s="11" t="inlineStr">
        <is>
          <t>30</t>
        </is>
      </c>
    </row>
    <row r="414">
      <c r="A414" s="4" t="inlineStr">
        <is>
          <t>Студент2.1</t>
        </is>
      </c>
      <c r="B414" s="4" t="inlineStr"/>
      <c r="C414" s="4">
        <f>IF(A414="","",COUNTIF(F414:AI414,"+")+COUNTIF(F414:AI414,"1"))</f>
        <v/>
      </c>
      <c r="D414" s="4">
        <f>IF(A414="","",IF(C414&gt;2*COUNTA(F$413:AI$413)/3,1,IF(C414&gt;=COUNTA(F$413:AI$413)/2,0.8,0.5)))</f>
        <v/>
      </c>
      <c r="E414" s="4">
        <f>IF(A414="","",SUMIFS('Логи'!$H$4:$H$3006,'Логи'!$A$4:$A$3006,A414,'Логи'!$C$4:$C$3006,7))</f>
        <v/>
      </c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  <c r="AF414" s="15" t="n"/>
      <c r="AG414" s="15" t="n"/>
      <c r="AH414" s="15" t="n"/>
      <c r="AI414" s="15" t="n"/>
    </row>
    <row r="415">
      <c r="A415" s="4" t="inlineStr">
        <is>
          <t>Студент2.2</t>
        </is>
      </c>
      <c r="B415" s="4" t="inlineStr"/>
      <c r="C415" s="4">
        <f>IF(A415="","",COUNTIF(F415:AI415,"+")+COUNTIF(F415:AI415,"1"))</f>
        <v/>
      </c>
      <c r="D415" s="4">
        <f>IF(A415="","",IF(C415&gt;2*COUNTA(F$413:AI$413)/3,1,IF(C415&gt;=COUNTA(F$413:AI$413)/2,0.8,0.5)))</f>
        <v/>
      </c>
      <c r="E415" s="4">
        <f>IF(A415="","",SUMIFS('Логи'!$H$4:$H$3006,'Логи'!$A$4:$A$3006,A415,'Логи'!$C$4:$C$3006,7))</f>
        <v/>
      </c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  <c r="AF415" s="15" t="n"/>
      <c r="AG415" s="15" t="n"/>
      <c r="AH415" s="15" t="n"/>
      <c r="AI415" s="15" t="n"/>
    </row>
    <row r="416">
      <c r="A416" s="4" t="inlineStr">
        <is>
          <t>Студент2.3</t>
        </is>
      </c>
      <c r="B416" s="4" t="inlineStr"/>
      <c r="C416" s="4">
        <f>IF(A416="","",COUNTIF(F416:AI416,"+")+COUNTIF(F416:AI416,"1"))</f>
        <v/>
      </c>
      <c r="D416" s="4">
        <f>IF(A416="","",IF(C416&gt;2*COUNTA(F$413:AI$413)/3,1,IF(C416&gt;=COUNTA(F$413:AI$413)/2,0.8,0.5)))</f>
        <v/>
      </c>
      <c r="E416" s="4">
        <f>IF(A416="","",SUMIFS('Логи'!$H$4:$H$3006,'Логи'!$A$4:$A$3006,A416,'Логи'!$C$4:$C$3006,7))</f>
        <v/>
      </c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  <c r="AF416" s="15" t="n"/>
      <c r="AG416" s="15" t="n"/>
      <c r="AH416" s="15" t="n"/>
      <c r="AI416" s="15" t="n"/>
    </row>
    <row r="417">
      <c r="A417" s="4" t="inlineStr">
        <is>
          <t>Студент2.4</t>
        </is>
      </c>
      <c r="B417" s="4" t="inlineStr"/>
      <c r="C417" s="4">
        <f>IF(A417="","",COUNTIF(F417:AI417,"+")+COUNTIF(F417:AI417,"1"))</f>
        <v/>
      </c>
      <c r="D417" s="4">
        <f>IF(A417="","",IF(C417&gt;2*COUNTA(F$413:AI$413)/3,1,IF(C417&gt;=COUNTA(F$413:AI$413)/2,0.8,0.5)))</f>
        <v/>
      </c>
      <c r="E417" s="4">
        <f>IF(A417="","",SUMIFS('Логи'!$H$4:$H$3006,'Логи'!$A$4:$A$3006,A417,'Логи'!$C$4:$C$3006,7))</f>
        <v/>
      </c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  <c r="AF417" s="15" t="n"/>
      <c r="AG417" s="15" t="n"/>
      <c r="AH417" s="15" t="n"/>
      <c r="AI417" s="15" t="n"/>
    </row>
    <row r="418">
      <c r="A418" s="4" t="inlineStr">
        <is>
          <t>Студент2.5</t>
        </is>
      </c>
      <c r="B418" s="4" t="inlineStr"/>
      <c r="C418" s="4">
        <f>IF(A418="","",COUNTIF(F418:AI418,"+")+COUNTIF(F418:AI418,"1"))</f>
        <v/>
      </c>
      <c r="D418" s="4">
        <f>IF(A418="","",IF(C418&gt;2*COUNTA(F$413:AI$413)/3,1,IF(C418&gt;=COUNTA(F$413:AI$413)/2,0.8,0.5)))</f>
        <v/>
      </c>
      <c r="E418" s="4">
        <f>IF(A418="","",SUMIFS('Логи'!$H$4:$H$3006,'Логи'!$A$4:$A$3006,A418,'Логи'!$C$4:$C$3006,7))</f>
        <v/>
      </c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  <c r="AF418" s="15" t="n"/>
      <c r="AG418" s="15" t="n"/>
      <c r="AH418" s="15" t="n"/>
      <c r="AI418" s="15" t="n"/>
    </row>
    <row r="419">
      <c r="A419" s="4" t="inlineStr">
        <is>
          <t>Студент2.6</t>
        </is>
      </c>
      <c r="B419" s="4" t="inlineStr"/>
      <c r="C419" s="4">
        <f>IF(A419="","",COUNTIF(F419:AI419,"+")+COUNTIF(F419:AI419,"1"))</f>
        <v/>
      </c>
      <c r="D419" s="4">
        <f>IF(A419="","",IF(C419&gt;2*COUNTA(F$413:AI$413)/3,1,IF(C419&gt;=COUNTA(F$413:AI$413)/2,0.8,0.5)))</f>
        <v/>
      </c>
      <c r="E419" s="4">
        <f>IF(A419="","",SUMIFS('Логи'!$H$4:$H$3006,'Логи'!$A$4:$A$3006,A419,'Логи'!$C$4:$C$3006,7))</f>
        <v/>
      </c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  <c r="AF419" s="15" t="n"/>
      <c r="AG419" s="15" t="n"/>
      <c r="AH419" s="15" t="n"/>
      <c r="AI419" s="15" t="n"/>
    </row>
    <row r="420">
      <c r="A420" s="4" t="inlineStr">
        <is>
          <t>Студент2.7</t>
        </is>
      </c>
      <c r="B420" s="4" t="inlineStr"/>
      <c r="C420" s="4">
        <f>IF(A420="","",COUNTIF(F420:AI420,"+")+COUNTIF(F420:AI420,"1"))</f>
        <v/>
      </c>
      <c r="D420" s="4">
        <f>IF(A420="","",IF(C420&gt;2*COUNTA(F$413:AI$413)/3,1,IF(C420&gt;=COUNTA(F$413:AI$413)/2,0.8,0.5)))</f>
        <v/>
      </c>
      <c r="E420" s="4">
        <f>IF(A420="","",SUMIFS('Логи'!$H$4:$H$3006,'Логи'!$A$4:$A$3006,A420,'Логи'!$C$4:$C$3006,7))</f>
        <v/>
      </c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  <c r="AF420" s="15" t="n"/>
      <c r="AG420" s="15" t="n"/>
      <c r="AH420" s="15" t="n"/>
      <c r="AI420" s="15" t="n"/>
    </row>
    <row r="421">
      <c r="A421" s="4" t="inlineStr">
        <is>
          <t>Студент2.8</t>
        </is>
      </c>
      <c r="B421" s="4" t="inlineStr"/>
      <c r="C421" s="4">
        <f>IF(A421="","",COUNTIF(F421:AI421,"+")+COUNTIF(F421:AI421,"1"))</f>
        <v/>
      </c>
      <c r="D421" s="4">
        <f>IF(A421="","",IF(C421&gt;2*COUNTA(F$413:AI$413)/3,1,IF(C421&gt;=COUNTA(F$413:AI$413)/2,0.8,0.5)))</f>
        <v/>
      </c>
      <c r="E421" s="4">
        <f>IF(A421="","",SUMIFS('Логи'!$H$4:$H$3006,'Логи'!$A$4:$A$3006,A421,'Логи'!$C$4:$C$3006,7))</f>
        <v/>
      </c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  <c r="AF421" s="15" t="n"/>
      <c r="AG421" s="15" t="n"/>
      <c r="AH421" s="15" t="n"/>
      <c r="AI421" s="15" t="n"/>
    </row>
    <row r="422">
      <c r="A422" s="4" t="inlineStr">
        <is>
          <t>Студент2.9</t>
        </is>
      </c>
      <c r="B422" s="4" t="inlineStr"/>
      <c r="C422" s="4">
        <f>IF(A422="","",COUNTIF(F422:AI422,"+")+COUNTIF(F422:AI422,"1"))</f>
        <v/>
      </c>
      <c r="D422" s="4">
        <f>IF(A422="","",IF(C422&gt;2*COUNTA(F$413:AI$413)/3,1,IF(C422&gt;=COUNTA(F$413:AI$413)/2,0.8,0.5)))</f>
        <v/>
      </c>
      <c r="E422" s="4">
        <f>IF(A422="","",SUMIFS('Логи'!$H$4:$H$3006,'Логи'!$A$4:$A$3006,A422,'Логи'!$C$4:$C$3006,7))</f>
        <v/>
      </c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  <c r="AF422" s="15" t="n"/>
      <c r="AG422" s="15" t="n"/>
      <c r="AH422" s="15" t="n"/>
      <c r="AI422" s="15" t="n"/>
    </row>
    <row r="423">
      <c r="A423" s="4" t="inlineStr">
        <is>
          <t>Студент2.10</t>
        </is>
      </c>
      <c r="B423" s="4" t="inlineStr"/>
      <c r="C423" s="4">
        <f>IF(A423="","",COUNTIF(F423:AI423,"+")+COUNTIF(F423:AI423,"1"))</f>
        <v/>
      </c>
      <c r="D423" s="4">
        <f>IF(A423="","",IF(C423&gt;2*COUNTA(F$413:AI$413)/3,1,IF(C423&gt;=COUNTA(F$413:AI$413)/2,0.8,0.5)))</f>
        <v/>
      </c>
      <c r="E423" s="4">
        <f>IF(A423="","",SUMIFS('Логи'!$H$4:$H$3006,'Логи'!$A$4:$A$3006,A423,'Логи'!$C$4:$C$3006,7))</f>
        <v/>
      </c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  <c r="AF423" s="15" t="n"/>
      <c r="AG423" s="15" t="n"/>
      <c r="AH423" s="15" t="n"/>
      <c r="AI423" s="15" t="n"/>
    </row>
    <row r="424">
      <c r="A424" s="4" t="inlineStr">
        <is>
          <t>Студент2.11</t>
        </is>
      </c>
      <c r="B424" s="4" t="inlineStr"/>
      <c r="C424" s="4">
        <f>IF(A424="","",COUNTIF(F424:AI424,"+")+COUNTIF(F424:AI424,"1"))</f>
        <v/>
      </c>
      <c r="D424" s="4">
        <f>IF(A424="","",IF(C424&gt;2*COUNTA(F$413:AI$413)/3,1,IF(C424&gt;=COUNTA(F$413:AI$413)/2,0.8,0.5)))</f>
        <v/>
      </c>
      <c r="E424" s="4">
        <f>IF(A424="","",SUMIFS('Логи'!$H$4:$H$3006,'Логи'!$A$4:$A$3006,A424,'Логи'!$C$4:$C$3006,7))</f>
        <v/>
      </c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  <c r="AF424" s="15" t="n"/>
      <c r="AG424" s="15" t="n"/>
      <c r="AH424" s="15" t="n"/>
      <c r="AI424" s="15" t="n"/>
    </row>
    <row r="425">
      <c r="A425" s="4" t="inlineStr">
        <is>
          <t>Студент2.12</t>
        </is>
      </c>
      <c r="B425" s="4" t="inlineStr"/>
      <c r="C425" s="4">
        <f>IF(A425="","",COUNTIF(F425:AI425,"+")+COUNTIF(F425:AI425,"1"))</f>
        <v/>
      </c>
      <c r="D425" s="4">
        <f>IF(A425="","",IF(C425&gt;2*COUNTA(F$413:AI$413)/3,1,IF(C425&gt;=COUNTA(F$413:AI$413)/2,0.8,0.5)))</f>
        <v/>
      </c>
      <c r="E425" s="4">
        <f>IF(A425="","",SUMIFS('Логи'!$H$4:$H$3006,'Логи'!$A$4:$A$3006,A425,'Логи'!$C$4:$C$3006,7))</f>
        <v/>
      </c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  <c r="AF425" s="15" t="n"/>
      <c r="AG425" s="15" t="n"/>
      <c r="AH425" s="15" t="n"/>
      <c r="AI425" s="15" t="n"/>
    </row>
    <row r="426">
      <c r="A426" s="4" t="inlineStr">
        <is>
          <t>Студент2.13</t>
        </is>
      </c>
      <c r="B426" s="4" t="inlineStr"/>
      <c r="C426" s="4">
        <f>IF(A426="","",COUNTIF(F426:AI426,"+")+COUNTIF(F426:AI426,"1"))</f>
        <v/>
      </c>
      <c r="D426" s="4">
        <f>IF(A426="","",IF(C426&gt;2*COUNTA(F$413:AI$413)/3,1,IF(C426&gt;=COUNTA(F$413:AI$413)/2,0.8,0.5)))</f>
        <v/>
      </c>
      <c r="E426" s="4">
        <f>IF(A426="","",SUMIFS('Логи'!$H$4:$H$3006,'Логи'!$A$4:$A$3006,A426,'Логи'!$C$4:$C$3006,7))</f>
        <v/>
      </c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  <c r="AF426" s="15" t="n"/>
      <c r="AG426" s="15" t="n"/>
      <c r="AH426" s="15" t="n"/>
      <c r="AI426" s="15" t="n"/>
    </row>
    <row r="427">
      <c r="A427" s="4" t="inlineStr">
        <is>
          <t>Студент2.14</t>
        </is>
      </c>
      <c r="B427" s="4" t="inlineStr"/>
      <c r="C427" s="4">
        <f>IF(A427="","",COUNTIF(F427:AI427,"+")+COUNTIF(F427:AI427,"1"))</f>
        <v/>
      </c>
      <c r="D427" s="4">
        <f>IF(A427="","",IF(C427&gt;2*COUNTA(F$413:AI$413)/3,1,IF(C427&gt;=COUNTA(F$413:AI$413)/2,0.8,0.5)))</f>
        <v/>
      </c>
      <c r="E427" s="4">
        <f>IF(A427="","",SUMIFS('Логи'!$H$4:$H$3006,'Логи'!$A$4:$A$3006,A427,'Логи'!$C$4:$C$3006,7))</f>
        <v/>
      </c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  <c r="AF427" s="15" t="n"/>
      <c r="AG427" s="15" t="n"/>
      <c r="AH427" s="15" t="n"/>
      <c r="AI427" s="15" t="n"/>
    </row>
    <row r="428">
      <c r="A428" s="4" t="inlineStr">
        <is>
          <t>Студент2.15</t>
        </is>
      </c>
      <c r="B428" s="4" t="inlineStr"/>
      <c r="C428" s="4">
        <f>IF(A428="","",COUNTIF(F428:AI428,"+")+COUNTIF(F428:AI428,"1"))</f>
        <v/>
      </c>
      <c r="D428" s="4">
        <f>IF(A428="","",IF(C428&gt;2*COUNTA(F$413:AI$413)/3,1,IF(C428&gt;=COUNTA(F$413:AI$413)/2,0.8,0.5)))</f>
        <v/>
      </c>
      <c r="E428" s="4">
        <f>IF(A428="","",SUMIFS('Логи'!$H$4:$H$3006,'Логи'!$A$4:$A$3006,A428,'Логи'!$C$4:$C$3006,7))</f>
        <v/>
      </c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  <c r="AF428" s="15" t="n"/>
      <c r="AG428" s="15" t="n"/>
      <c r="AH428" s="15" t="n"/>
      <c r="AI428" s="15" t="n"/>
    </row>
    <row r="429">
      <c r="A429" s="4" t="inlineStr">
        <is>
          <t>Студент2.16</t>
        </is>
      </c>
      <c r="B429" s="4" t="inlineStr"/>
      <c r="C429" s="4">
        <f>IF(A429="","",COUNTIF(F429:AI429,"+")+COUNTIF(F429:AI429,"1"))</f>
        <v/>
      </c>
      <c r="D429" s="4">
        <f>IF(A429="","",IF(C429&gt;2*COUNTA(F$413:AI$413)/3,1,IF(C429&gt;=COUNTA(F$413:AI$413)/2,0.8,0.5)))</f>
        <v/>
      </c>
      <c r="E429" s="4">
        <f>IF(A429="","",SUMIFS('Логи'!$H$4:$H$3006,'Логи'!$A$4:$A$3006,A429,'Логи'!$C$4:$C$3006,7))</f>
        <v/>
      </c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  <c r="AF429" s="15" t="n"/>
      <c r="AG429" s="15" t="n"/>
      <c r="AH429" s="15" t="n"/>
      <c r="AI429" s="15" t="n"/>
    </row>
    <row r="430">
      <c r="A430" s="4" t="inlineStr">
        <is>
          <t>Студент2.17</t>
        </is>
      </c>
      <c r="B430" s="4" t="inlineStr"/>
      <c r="C430" s="4">
        <f>IF(A430="","",COUNTIF(F430:AI430,"+")+COUNTIF(F430:AI430,"1"))</f>
        <v/>
      </c>
      <c r="D430" s="4">
        <f>IF(A430="","",IF(C430&gt;2*COUNTA(F$413:AI$413)/3,1,IF(C430&gt;=COUNTA(F$413:AI$413)/2,0.8,0.5)))</f>
        <v/>
      </c>
      <c r="E430" s="4">
        <f>IF(A430="","",SUMIFS('Логи'!$H$4:$H$3006,'Логи'!$A$4:$A$3006,A430,'Логи'!$C$4:$C$3006,7))</f>
        <v/>
      </c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  <c r="AF430" s="15" t="n"/>
      <c r="AG430" s="15" t="n"/>
      <c r="AH430" s="15" t="n"/>
      <c r="AI430" s="15" t="n"/>
    </row>
    <row r="431">
      <c r="A431" s="4" t="inlineStr">
        <is>
          <t>Студент2.18</t>
        </is>
      </c>
      <c r="B431" s="4" t="inlineStr"/>
      <c r="C431" s="4">
        <f>IF(A431="","",COUNTIF(F431:AI431,"+")+COUNTIF(F431:AI431,"1"))</f>
        <v/>
      </c>
      <c r="D431" s="4">
        <f>IF(A431="","",IF(C431&gt;2*COUNTA(F$413:AI$413)/3,1,IF(C431&gt;=COUNTA(F$413:AI$413)/2,0.8,0.5)))</f>
        <v/>
      </c>
      <c r="E431" s="4">
        <f>IF(A431="","",SUMIFS('Логи'!$H$4:$H$3006,'Логи'!$A$4:$A$3006,A431,'Логи'!$C$4:$C$3006,7))</f>
        <v/>
      </c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  <c r="AF431" s="15" t="n"/>
      <c r="AG431" s="15" t="n"/>
      <c r="AH431" s="15" t="n"/>
      <c r="AI431" s="15" t="n"/>
    </row>
    <row r="432">
      <c r="A432" s="4" t="inlineStr">
        <is>
          <t>Студент2.19</t>
        </is>
      </c>
      <c r="B432" s="4" t="inlineStr"/>
      <c r="C432" s="4">
        <f>IF(A432="","",COUNTIF(F432:AI432,"+")+COUNTIF(F432:AI432,"1"))</f>
        <v/>
      </c>
      <c r="D432" s="4">
        <f>IF(A432="","",IF(C432&gt;2*COUNTA(F$413:AI$413)/3,1,IF(C432&gt;=COUNTA(F$413:AI$413)/2,0.8,0.5)))</f>
        <v/>
      </c>
      <c r="E432" s="4">
        <f>IF(A432="","",SUMIFS('Логи'!$H$4:$H$3006,'Логи'!$A$4:$A$3006,A432,'Логи'!$C$4:$C$3006,7))</f>
        <v/>
      </c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  <c r="AF432" s="15" t="n"/>
      <c r="AG432" s="15" t="n"/>
      <c r="AH432" s="15" t="n"/>
      <c r="AI432" s="15" t="n"/>
    </row>
    <row r="433">
      <c r="A433" s="4" t="inlineStr">
        <is>
          <t>Студент2.20</t>
        </is>
      </c>
      <c r="B433" s="4" t="inlineStr"/>
      <c r="C433" s="4">
        <f>IF(A433="","",COUNTIF(F433:AI433,"+")+COUNTIF(F433:AI433,"1"))</f>
        <v/>
      </c>
      <c r="D433" s="4">
        <f>IF(A433="","",IF(C433&gt;2*COUNTA(F$413:AI$413)/3,1,IF(C433&gt;=COUNTA(F$413:AI$413)/2,0.8,0.5)))</f>
        <v/>
      </c>
      <c r="E433" s="4">
        <f>IF(A433="","",SUMIFS('Логи'!$H$4:$H$3006,'Логи'!$A$4:$A$3006,A433,'Логи'!$C$4:$C$3006,7))</f>
        <v/>
      </c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  <c r="AF433" s="15" t="n"/>
      <c r="AG433" s="15" t="n"/>
      <c r="AH433" s="15" t="n"/>
      <c r="AI433" s="15" t="n"/>
    </row>
    <row r="434">
      <c r="A434" s="4" t="inlineStr">
        <is>
          <t>Студент2.21</t>
        </is>
      </c>
      <c r="B434" s="4" t="inlineStr"/>
      <c r="C434" s="4">
        <f>IF(A434="","",COUNTIF(F434:AI434,"+")+COUNTIF(F434:AI434,"1"))</f>
        <v/>
      </c>
      <c r="D434" s="4">
        <f>IF(A434="","",IF(C434&gt;2*COUNTA(F$413:AI$413)/3,1,IF(C434&gt;=COUNTA(F$413:AI$413)/2,0.8,0.5)))</f>
        <v/>
      </c>
      <c r="E434" s="4">
        <f>IF(A434="","",SUMIFS('Логи'!$H$4:$H$3006,'Логи'!$A$4:$A$3006,A434,'Логи'!$C$4:$C$3006,7))</f>
        <v/>
      </c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  <c r="AG434" s="15" t="n"/>
      <c r="AH434" s="15" t="n"/>
      <c r="AI434" s="15" t="n"/>
    </row>
    <row r="435">
      <c r="A435" s="4" t="inlineStr">
        <is>
          <t>Студент2.22</t>
        </is>
      </c>
      <c r="B435" s="4" t="inlineStr"/>
      <c r="C435" s="4">
        <f>IF(A435="","",COUNTIF(F435:AI435,"+")+COUNTIF(F435:AI435,"1"))</f>
        <v/>
      </c>
      <c r="D435" s="4">
        <f>IF(A435="","",IF(C435&gt;2*COUNTA(F$413:AI$413)/3,1,IF(C435&gt;=COUNTA(F$413:AI$413)/2,0.8,0.5)))</f>
        <v/>
      </c>
      <c r="E435" s="4">
        <f>IF(A435="","",SUMIFS('Логи'!$H$4:$H$3006,'Логи'!$A$4:$A$3006,A435,'Логи'!$C$4:$C$3006,7))</f>
        <v/>
      </c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  <c r="AF435" s="15" t="n"/>
      <c r="AG435" s="15" t="n"/>
      <c r="AH435" s="15" t="n"/>
      <c r="AI435" s="15" t="n"/>
    </row>
    <row r="436">
      <c r="A436" s="4" t="inlineStr">
        <is>
          <t>Студент2.23</t>
        </is>
      </c>
      <c r="B436" s="4" t="inlineStr"/>
      <c r="C436" s="4">
        <f>IF(A436="","",COUNTIF(F436:AI436,"+")+COUNTIF(F436:AI436,"1"))</f>
        <v/>
      </c>
      <c r="D436" s="4">
        <f>IF(A436="","",IF(C436&gt;2*COUNTA(F$413:AI$413)/3,1,IF(C436&gt;=COUNTA(F$413:AI$413)/2,0.8,0.5)))</f>
        <v/>
      </c>
      <c r="E436" s="4">
        <f>IF(A436="","",SUMIFS('Логи'!$H$4:$H$3006,'Логи'!$A$4:$A$3006,A436,'Логи'!$C$4:$C$3006,7))</f>
        <v/>
      </c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5" t="n"/>
      <c r="AE436" s="15" t="n"/>
      <c r="AF436" s="15" t="n"/>
      <c r="AG436" s="15" t="n"/>
      <c r="AH436" s="15" t="n"/>
      <c r="AI436" s="15" t="n"/>
    </row>
    <row r="437">
      <c r="A437" s="4" t="inlineStr">
        <is>
          <t>Студент2.24</t>
        </is>
      </c>
      <c r="B437" s="4" t="inlineStr"/>
      <c r="C437" s="4">
        <f>IF(A437="","",COUNTIF(F437:AI437,"+")+COUNTIF(F437:AI437,"1"))</f>
        <v/>
      </c>
      <c r="D437" s="4">
        <f>IF(A437="","",IF(C437&gt;2*COUNTA(F$413:AI$413)/3,1,IF(C437&gt;=COUNTA(F$413:AI$413)/2,0.8,0.5)))</f>
        <v/>
      </c>
      <c r="E437" s="4">
        <f>IF(A437="","",SUMIFS('Логи'!$H$4:$H$3006,'Логи'!$A$4:$A$3006,A437,'Логи'!$C$4:$C$3006,7))</f>
        <v/>
      </c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5" t="n"/>
      <c r="AE437" s="15" t="n"/>
      <c r="AF437" s="15" t="n"/>
      <c r="AG437" s="15" t="n"/>
      <c r="AH437" s="15" t="n"/>
      <c r="AI437" s="15" t="n"/>
    </row>
    <row r="438">
      <c r="A438" s="4" t="inlineStr">
        <is>
          <t>Студент2.25</t>
        </is>
      </c>
      <c r="B438" s="4" t="inlineStr"/>
      <c r="C438" s="4">
        <f>IF(A438="","",COUNTIF(F438:AI438,"+")+COUNTIF(F438:AI438,"1"))</f>
        <v/>
      </c>
      <c r="D438" s="4">
        <f>IF(A438="","",IF(C438&gt;2*COUNTA(F$413:AI$413)/3,1,IF(C438&gt;=COUNTA(F$413:AI$413)/2,0.8,0.5)))</f>
        <v/>
      </c>
      <c r="E438" s="4">
        <f>IF(A438="","",SUMIFS('Логи'!$H$4:$H$3006,'Логи'!$A$4:$A$3006,A438,'Логи'!$C$4:$C$3006,7))</f>
        <v/>
      </c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  <c r="AF438" s="15" t="n"/>
      <c r="AG438" s="15" t="n"/>
      <c r="AH438" s="15" t="n"/>
      <c r="AI438" s="15" t="n"/>
    </row>
    <row r="439">
      <c r="A439" s="4" t="inlineStr">
        <is>
          <t>Студент2.26</t>
        </is>
      </c>
      <c r="B439" s="4" t="inlineStr"/>
      <c r="C439" s="4">
        <f>IF(A439="","",COUNTIF(F439:AI439,"+")+COUNTIF(F439:AI439,"1"))</f>
        <v/>
      </c>
      <c r="D439" s="4">
        <f>IF(A439="","",IF(C439&gt;2*COUNTA(F$413:AI$413)/3,1,IF(C439&gt;=COUNTA(F$413:AI$413)/2,0.8,0.5)))</f>
        <v/>
      </c>
      <c r="E439" s="4">
        <f>IF(A439="","",SUMIFS('Логи'!$H$4:$H$3006,'Логи'!$A$4:$A$3006,A439,'Логи'!$C$4:$C$3006,7))</f>
        <v/>
      </c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  <c r="AF439" s="15" t="n"/>
      <c r="AG439" s="15" t="n"/>
      <c r="AH439" s="15" t="n"/>
      <c r="AI439" s="15" t="n"/>
    </row>
    <row r="440">
      <c r="A440" s="4" t="inlineStr">
        <is>
          <t>Студент2.27</t>
        </is>
      </c>
      <c r="B440" s="4" t="inlineStr"/>
      <c r="C440" s="4">
        <f>IF(A440="","",COUNTIF(F440:AI440,"+")+COUNTIF(F440:AI440,"1"))</f>
        <v/>
      </c>
      <c r="D440" s="4">
        <f>IF(A440="","",IF(C440&gt;2*COUNTA(F$413:AI$413)/3,1,IF(C440&gt;=COUNTA(F$413:AI$413)/2,0.8,0.5)))</f>
        <v/>
      </c>
      <c r="E440" s="4">
        <f>IF(A440="","",SUMIFS('Логи'!$H$4:$H$3006,'Логи'!$A$4:$A$3006,A440,'Логи'!$C$4:$C$3006,7))</f>
        <v/>
      </c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  <c r="AC440" s="15" t="n"/>
      <c r="AD440" s="15" t="n"/>
      <c r="AE440" s="15" t="n"/>
      <c r="AF440" s="15" t="n"/>
      <c r="AG440" s="15" t="n"/>
      <c r="AH440" s="15" t="n"/>
      <c r="AI440" s="15" t="n"/>
    </row>
    <row r="441">
      <c r="A441" s="4" t="inlineStr">
        <is>
          <t>Студент2.28</t>
        </is>
      </c>
      <c r="B441" s="4" t="inlineStr"/>
      <c r="C441" s="4">
        <f>IF(A441="","",COUNTIF(F441:AI441,"+")+COUNTIF(F441:AI441,"1"))</f>
        <v/>
      </c>
      <c r="D441" s="4">
        <f>IF(A441="","",IF(C441&gt;2*COUNTA(F$413:AI$413)/3,1,IF(C441&gt;=COUNTA(F$413:AI$413)/2,0.8,0.5)))</f>
        <v/>
      </c>
      <c r="E441" s="4">
        <f>IF(A441="","",SUMIFS('Логи'!$H$4:$H$3006,'Логи'!$A$4:$A$3006,A441,'Логи'!$C$4:$C$3006,7))</f>
        <v/>
      </c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  <c r="AC441" s="15" t="n"/>
      <c r="AD441" s="15" t="n"/>
      <c r="AE441" s="15" t="n"/>
      <c r="AF441" s="15" t="n"/>
      <c r="AG441" s="15" t="n"/>
      <c r="AH441" s="15" t="n"/>
      <c r="AI441" s="15" t="n"/>
    </row>
    <row r="442">
      <c r="A442" s="4" t="inlineStr">
        <is>
          <t>Студент2.29</t>
        </is>
      </c>
      <c r="B442" s="4" t="inlineStr"/>
      <c r="C442" s="4">
        <f>IF(A442="","",COUNTIF(F442:AI442,"+")+COUNTIF(F442:AI442,"1"))</f>
        <v/>
      </c>
      <c r="D442" s="4">
        <f>IF(A442="","",IF(C442&gt;2*COUNTA(F$413:AI$413)/3,1,IF(C442&gt;=COUNTA(F$413:AI$413)/2,0.8,0.5)))</f>
        <v/>
      </c>
      <c r="E442" s="4">
        <f>IF(A442="","",SUMIFS('Логи'!$H$4:$H$3006,'Логи'!$A$4:$A$3006,A442,'Логи'!$C$4:$C$3006,7))</f>
        <v/>
      </c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  <c r="AC442" s="15" t="n"/>
      <c r="AD442" s="15" t="n"/>
      <c r="AE442" s="15" t="n"/>
      <c r="AF442" s="15" t="n"/>
      <c r="AG442" s="15" t="n"/>
      <c r="AH442" s="15" t="n"/>
      <c r="AI442" s="15" t="n"/>
    </row>
    <row r="443">
      <c r="A443" s="4" t="inlineStr">
        <is>
          <t>Студент2.30</t>
        </is>
      </c>
      <c r="B443" s="4" t="inlineStr"/>
      <c r="C443" s="4">
        <f>IF(A443="","",COUNTIF(F443:AI443,"+")+COUNTIF(F443:AI443,"1"))</f>
        <v/>
      </c>
      <c r="D443" s="4">
        <f>IF(A443="","",IF(C443&gt;2*COUNTA(F$413:AI$413)/3,1,IF(C443&gt;=COUNTA(F$413:AI$413)/2,0.8,0.5)))</f>
        <v/>
      </c>
      <c r="E443" s="4">
        <f>IF(A443="","",SUMIFS('Логи'!$H$4:$H$3006,'Логи'!$A$4:$A$3006,A443,'Логи'!$C$4:$C$3006,7))</f>
        <v/>
      </c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  <c r="AC443" s="15" t="n"/>
      <c r="AD443" s="15" t="n"/>
      <c r="AE443" s="15" t="n"/>
      <c r="AF443" s="15" t="n"/>
      <c r="AG443" s="15" t="n"/>
      <c r="AH443" s="15" t="n"/>
      <c r="AI443" s="15" t="n"/>
    </row>
    <row r="445">
      <c r="A445" s="16" t="inlineStr">
        <is>
          <t>Практика 7 — результаты рассказа</t>
        </is>
      </c>
    </row>
    <row r="446" ht="28" customHeight="1">
      <c r="A446" s="7" t="inlineStr">
        <is>
          <t>Имя</t>
        </is>
      </c>
      <c r="B446" s="9" t="inlineStr">
        <is>
          <t>TG</t>
        </is>
      </c>
      <c r="C446" s="10" t="inlineStr"/>
      <c r="D446" s="2" t="inlineStr"/>
      <c r="E446" s="2" t="inlineStr"/>
      <c r="F446" s="11" t="inlineStr">
        <is>
          <t>1.0</t>
        </is>
      </c>
      <c r="G446" s="11" t="inlineStr">
        <is>
          <t>2.0</t>
        </is>
      </c>
      <c r="H446" s="11" t="inlineStr">
        <is>
          <t>3.0</t>
        </is>
      </c>
      <c r="I446" s="11" t="inlineStr">
        <is>
          <t>4.0</t>
        </is>
      </c>
      <c r="J446" s="11" t="inlineStr">
        <is>
          <t>5.0</t>
        </is>
      </c>
      <c r="K446" s="11" t="inlineStr">
        <is>
          <t>6</t>
        </is>
      </c>
      <c r="L446" s="11" t="inlineStr">
        <is>
          <t>7</t>
        </is>
      </c>
      <c r="M446" s="11" t="inlineStr">
        <is>
          <t>8</t>
        </is>
      </c>
      <c r="N446" s="11" t="inlineStr">
        <is>
          <t>9</t>
        </is>
      </c>
      <c r="O446" s="11" t="inlineStr">
        <is>
          <t>10</t>
        </is>
      </c>
      <c r="P446" s="11" t="inlineStr">
        <is>
          <t>11</t>
        </is>
      </c>
      <c r="Q446" s="11" t="inlineStr">
        <is>
          <t>12</t>
        </is>
      </c>
      <c r="R446" s="11" t="inlineStr">
        <is>
          <t>13</t>
        </is>
      </c>
      <c r="S446" s="11" t="inlineStr">
        <is>
          <t>14</t>
        </is>
      </c>
      <c r="T446" s="11" t="inlineStr">
        <is>
          <t>15</t>
        </is>
      </c>
      <c r="U446" s="11" t="inlineStr">
        <is>
          <t>16</t>
        </is>
      </c>
      <c r="V446" s="11" t="inlineStr">
        <is>
          <t>17</t>
        </is>
      </c>
      <c r="W446" s="11" t="inlineStr">
        <is>
          <t>18</t>
        </is>
      </c>
      <c r="X446" s="11" t="inlineStr">
        <is>
          <t>19</t>
        </is>
      </c>
      <c r="Y446" s="11" t="inlineStr">
        <is>
          <t>20</t>
        </is>
      </c>
      <c r="Z446" s="11" t="inlineStr">
        <is>
          <t>21</t>
        </is>
      </c>
      <c r="AA446" s="11" t="inlineStr">
        <is>
          <t>22</t>
        </is>
      </c>
      <c r="AB446" s="11" t="inlineStr">
        <is>
          <t>23</t>
        </is>
      </c>
      <c r="AC446" s="11" t="inlineStr">
        <is>
          <t>24</t>
        </is>
      </c>
      <c r="AD446" s="11" t="inlineStr">
        <is>
          <t>25</t>
        </is>
      </c>
      <c r="AE446" s="11" t="inlineStr">
        <is>
          <t>26</t>
        </is>
      </c>
      <c r="AF446" s="11" t="inlineStr">
        <is>
          <t>27</t>
        </is>
      </c>
      <c r="AG446" s="11" t="inlineStr">
        <is>
          <t>28</t>
        </is>
      </c>
      <c r="AH446" s="11" t="inlineStr">
        <is>
          <t>29</t>
        </is>
      </c>
      <c r="AI446" s="11" t="inlineStr">
        <is>
          <t>30</t>
        </is>
      </c>
    </row>
    <row r="447">
      <c r="A447" s="4" t="inlineStr">
        <is>
          <t>Студент2.1</t>
        </is>
      </c>
      <c r="B447" s="4" t="inlineStr"/>
      <c r="C447" s="4" t="n"/>
      <c r="D447" s="4" t="n"/>
      <c r="E447" s="4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5" t="n"/>
      <c r="AE447" s="15" t="n"/>
      <c r="AF447" s="15" t="n"/>
      <c r="AG447" s="15" t="n"/>
      <c r="AH447" s="15" t="n"/>
      <c r="AI447" s="15" t="n"/>
    </row>
    <row r="448">
      <c r="A448" s="4" t="inlineStr">
        <is>
          <t>Студент2.2</t>
        </is>
      </c>
      <c r="B448" s="4" t="inlineStr"/>
      <c r="C448" s="4" t="n"/>
      <c r="D448" s="4" t="n"/>
      <c r="E448" s="4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5" t="n"/>
      <c r="AE448" s="15" t="n"/>
      <c r="AF448" s="15" t="n"/>
      <c r="AG448" s="15" t="n"/>
      <c r="AH448" s="15" t="n"/>
      <c r="AI448" s="15" t="n"/>
    </row>
    <row r="449">
      <c r="A449" s="4" t="inlineStr">
        <is>
          <t>Студент2.3</t>
        </is>
      </c>
      <c r="B449" s="4" t="inlineStr"/>
      <c r="C449" s="4" t="n"/>
      <c r="D449" s="4" t="n"/>
      <c r="E449" s="4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  <c r="AC449" s="15" t="n"/>
      <c r="AD449" s="15" t="n"/>
      <c r="AE449" s="15" t="n"/>
      <c r="AF449" s="15" t="n"/>
      <c r="AG449" s="15" t="n"/>
      <c r="AH449" s="15" t="n"/>
      <c r="AI449" s="15" t="n"/>
    </row>
    <row r="450">
      <c r="A450" s="4" t="inlineStr">
        <is>
          <t>Студент2.4</t>
        </is>
      </c>
      <c r="B450" s="4" t="inlineStr"/>
      <c r="C450" s="4" t="n"/>
      <c r="D450" s="4" t="n"/>
      <c r="E450" s="4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5" t="n"/>
      <c r="AE450" s="15" t="n"/>
      <c r="AF450" s="15" t="n"/>
      <c r="AG450" s="15" t="n"/>
      <c r="AH450" s="15" t="n"/>
      <c r="AI450" s="15" t="n"/>
    </row>
    <row r="451">
      <c r="A451" s="4" t="inlineStr">
        <is>
          <t>Студент2.5</t>
        </is>
      </c>
      <c r="B451" s="4" t="inlineStr"/>
      <c r="C451" s="4" t="n"/>
      <c r="D451" s="4" t="n"/>
      <c r="E451" s="4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5" t="n"/>
      <c r="AE451" s="15" t="n"/>
      <c r="AF451" s="15" t="n"/>
      <c r="AG451" s="15" t="n"/>
      <c r="AH451" s="15" t="n"/>
      <c r="AI451" s="15" t="n"/>
    </row>
    <row r="452">
      <c r="A452" s="4" t="inlineStr">
        <is>
          <t>Студент2.6</t>
        </is>
      </c>
      <c r="B452" s="4" t="inlineStr"/>
      <c r="C452" s="4" t="n"/>
      <c r="D452" s="4" t="n"/>
      <c r="E452" s="4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5" t="n"/>
      <c r="AE452" s="15" t="n"/>
      <c r="AF452" s="15" t="n"/>
      <c r="AG452" s="15" t="n"/>
      <c r="AH452" s="15" t="n"/>
      <c r="AI452" s="15" t="n"/>
    </row>
    <row r="453">
      <c r="A453" s="4" t="inlineStr">
        <is>
          <t>Студент2.7</t>
        </is>
      </c>
      <c r="B453" s="4" t="inlineStr"/>
      <c r="C453" s="4" t="n"/>
      <c r="D453" s="4" t="n"/>
      <c r="E453" s="4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5" t="n"/>
      <c r="AE453" s="15" t="n"/>
      <c r="AF453" s="15" t="n"/>
      <c r="AG453" s="15" t="n"/>
      <c r="AH453" s="15" t="n"/>
      <c r="AI453" s="15" t="n"/>
    </row>
    <row r="454">
      <c r="A454" s="4" t="inlineStr">
        <is>
          <t>Студент2.8</t>
        </is>
      </c>
      <c r="B454" s="4" t="inlineStr"/>
      <c r="C454" s="4" t="n"/>
      <c r="D454" s="4" t="n"/>
      <c r="E454" s="4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5" t="n"/>
      <c r="AE454" s="15" t="n"/>
      <c r="AF454" s="15" t="n"/>
      <c r="AG454" s="15" t="n"/>
      <c r="AH454" s="15" t="n"/>
      <c r="AI454" s="15" t="n"/>
    </row>
    <row r="455">
      <c r="A455" s="4" t="inlineStr">
        <is>
          <t>Студент2.9</t>
        </is>
      </c>
      <c r="B455" s="4" t="inlineStr"/>
      <c r="C455" s="4" t="n"/>
      <c r="D455" s="4" t="n"/>
      <c r="E455" s="4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5" t="n"/>
      <c r="AE455" s="15" t="n"/>
      <c r="AF455" s="15" t="n"/>
      <c r="AG455" s="15" t="n"/>
      <c r="AH455" s="15" t="n"/>
      <c r="AI455" s="15" t="n"/>
    </row>
    <row r="456">
      <c r="A456" s="4" t="inlineStr">
        <is>
          <t>Студент2.10</t>
        </is>
      </c>
      <c r="B456" s="4" t="inlineStr"/>
      <c r="C456" s="4" t="n"/>
      <c r="D456" s="4" t="n"/>
      <c r="E456" s="4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  <c r="AC456" s="15" t="n"/>
      <c r="AD456" s="15" t="n"/>
      <c r="AE456" s="15" t="n"/>
      <c r="AF456" s="15" t="n"/>
      <c r="AG456" s="15" t="n"/>
      <c r="AH456" s="15" t="n"/>
      <c r="AI456" s="15" t="n"/>
    </row>
    <row r="457">
      <c r="A457" s="4" t="inlineStr">
        <is>
          <t>Студент2.11</t>
        </is>
      </c>
      <c r="B457" s="4" t="inlineStr"/>
      <c r="C457" s="4" t="n"/>
      <c r="D457" s="4" t="n"/>
      <c r="E457" s="4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  <c r="AC457" s="15" t="n"/>
      <c r="AD457" s="15" t="n"/>
      <c r="AE457" s="15" t="n"/>
      <c r="AF457" s="15" t="n"/>
      <c r="AG457" s="15" t="n"/>
      <c r="AH457" s="15" t="n"/>
      <c r="AI457" s="15" t="n"/>
    </row>
    <row r="458">
      <c r="A458" s="4" t="inlineStr">
        <is>
          <t>Студент2.12</t>
        </is>
      </c>
      <c r="B458" s="4" t="inlineStr"/>
      <c r="C458" s="4" t="n"/>
      <c r="D458" s="4" t="n"/>
      <c r="E458" s="4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  <c r="AF458" s="15" t="n"/>
      <c r="AG458" s="15" t="n"/>
      <c r="AH458" s="15" t="n"/>
      <c r="AI458" s="15" t="n"/>
    </row>
    <row r="459">
      <c r="A459" s="4" t="inlineStr">
        <is>
          <t>Студент2.13</t>
        </is>
      </c>
      <c r="B459" s="4" t="inlineStr"/>
      <c r="C459" s="4" t="n"/>
      <c r="D459" s="4" t="n"/>
      <c r="E459" s="4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  <c r="AF459" s="15" t="n"/>
      <c r="AG459" s="15" t="n"/>
      <c r="AH459" s="15" t="n"/>
      <c r="AI459" s="15" t="n"/>
    </row>
    <row r="460">
      <c r="A460" s="4" t="inlineStr">
        <is>
          <t>Студент2.14</t>
        </is>
      </c>
      <c r="B460" s="4" t="inlineStr"/>
      <c r="C460" s="4" t="n"/>
      <c r="D460" s="4" t="n"/>
      <c r="E460" s="4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5" t="n"/>
      <c r="AE460" s="15" t="n"/>
      <c r="AF460" s="15" t="n"/>
      <c r="AG460" s="15" t="n"/>
      <c r="AH460" s="15" t="n"/>
      <c r="AI460" s="15" t="n"/>
    </row>
    <row r="461">
      <c r="A461" s="4" t="inlineStr">
        <is>
          <t>Студент2.15</t>
        </is>
      </c>
      <c r="B461" s="4" t="inlineStr"/>
      <c r="C461" s="4" t="n"/>
      <c r="D461" s="4" t="n"/>
      <c r="E461" s="4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  <c r="AC461" s="15" t="n"/>
      <c r="AD461" s="15" t="n"/>
      <c r="AE461" s="15" t="n"/>
      <c r="AF461" s="15" t="n"/>
      <c r="AG461" s="15" t="n"/>
      <c r="AH461" s="15" t="n"/>
      <c r="AI461" s="15" t="n"/>
    </row>
    <row r="462">
      <c r="A462" s="4" t="inlineStr">
        <is>
          <t>Студент2.16</t>
        </is>
      </c>
      <c r="B462" s="4" t="inlineStr"/>
      <c r="C462" s="4" t="n"/>
      <c r="D462" s="4" t="n"/>
      <c r="E462" s="4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5" t="n"/>
      <c r="AE462" s="15" t="n"/>
      <c r="AF462" s="15" t="n"/>
      <c r="AG462" s="15" t="n"/>
      <c r="AH462" s="15" t="n"/>
      <c r="AI462" s="15" t="n"/>
    </row>
    <row r="463">
      <c r="A463" s="4" t="inlineStr">
        <is>
          <t>Студент2.17</t>
        </is>
      </c>
      <c r="B463" s="4" t="inlineStr"/>
      <c r="C463" s="4" t="n"/>
      <c r="D463" s="4" t="n"/>
      <c r="E463" s="4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5" t="n"/>
      <c r="AE463" s="15" t="n"/>
      <c r="AF463" s="15" t="n"/>
      <c r="AG463" s="15" t="n"/>
      <c r="AH463" s="15" t="n"/>
      <c r="AI463" s="15" t="n"/>
    </row>
    <row r="464">
      <c r="A464" s="4" t="inlineStr">
        <is>
          <t>Студент2.18</t>
        </is>
      </c>
      <c r="B464" s="4" t="inlineStr"/>
      <c r="C464" s="4" t="n"/>
      <c r="D464" s="4" t="n"/>
      <c r="E464" s="4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  <c r="AC464" s="15" t="n"/>
      <c r="AD464" s="15" t="n"/>
      <c r="AE464" s="15" t="n"/>
      <c r="AF464" s="15" t="n"/>
      <c r="AG464" s="15" t="n"/>
      <c r="AH464" s="15" t="n"/>
      <c r="AI464" s="15" t="n"/>
    </row>
    <row r="465">
      <c r="A465" s="4" t="inlineStr">
        <is>
          <t>Студент2.19</t>
        </is>
      </c>
      <c r="B465" s="4" t="inlineStr"/>
      <c r="C465" s="4" t="n"/>
      <c r="D465" s="4" t="n"/>
      <c r="E465" s="4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5" t="n"/>
      <c r="AE465" s="15" t="n"/>
      <c r="AF465" s="15" t="n"/>
      <c r="AG465" s="15" t="n"/>
      <c r="AH465" s="15" t="n"/>
      <c r="AI465" s="15" t="n"/>
    </row>
    <row r="466">
      <c r="A466" s="4" t="inlineStr">
        <is>
          <t>Студент2.20</t>
        </is>
      </c>
      <c r="B466" s="4" t="inlineStr"/>
      <c r="C466" s="4" t="n"/>
      <c r="D466" s="4" t="n"/>
      <c r="E466" s="4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5" t="n"/>
      <c r="AE466" s="15" t="n"/>
      <c r="AF466" s="15" t="n"/>
      <c r="AG466" s="15" t="n"/>
      <c r="AH466" s="15" t="n"/>
      <c r="AI466" s="15" t="n"/>
    </row>
    <row r="467">
      <c r="A467" s="4" t="inlineStr">
        <is>
          <t>Студент2.21</t>
        </is>
      </c>
      <c r="B467" s="4" t="inlineStr"/>
      <c r="C467" s="4" t="n"/>
      <c r="D467" s="4" t="n"/>
      <c r="E467" s="4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5" t="n"/>
      <c r="AE467" s="15" t="n"/>
      <c r="AF467" s="15" t="n"/>
      <c r="AG467" s="15" t="n"/>
      <c r="AH467" s="15" t="n"/>
      <c r="AI467" s="15" t="n"/>
    </row>
    <row r="468">
      <c r="A468" s="4" t="inlineStr">
        <is>
          <t>Студент2.22</t>
        </is>
      </c>
      <c r="B468" s="4" t="inlineStr"/>
      <c r="C468" s="4" t="n"/>
      <c r="D468" s="4" t="n"/>
      <c r="E468" s="4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  <c r="AC468" s="15" t="n"/>
      <c r="AD468" s="15" t="n"/>
      <c r="AE468" s="15" t="n"/>
      <c r="AF468" s="15" t="n"/>
      <c r="AG468" s="15" t="n"/>
      <c r="AH468" s="15" t="n"/>
      <c r="AI468" s="15" t="n"/>
    </row>
    <row r="469">
      <c r="A469" s="4" t="inlineStr">
        <is>
          <t>Студент2.23</t>
        </is>
      </c>
      <c r="B469" s="4" t="inlineStr"/>
      <c r="C469" s="4" t="n"/>
      <c r="D469" s="4" t="n"/>
      <c r="E469" s="4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5" t="n"/>
      <c r="AE469" s="15" t="n"/>
      <c r="AF469" s="15" t="n"/>
      <c r="AG469" s="15" t="n"/>
      <c r="AH469" s="15" t="n"/>
      <c r="AI469" s="15" t="n"/>
    </row>
    <row r="470">
      <c r="A470" s="4" t="inlineStr">
        <is>
          <t>Студент2.24</t>
        </is>
      </c>
      <c r="B470" s="4" t="inlineStr"/>
      <c r="C470" s="4" t="n"/>
      <c r="D470" s="4" t="n"/>
      <c r="E470" s="4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5" t="n"/>
      <c r="AE470" s="15" t="n"/>
      <c r="AF470" s="15" t="n"/>
      <c r="AG470" s="15" t="n"/>
      <c r="AH470" s="15" t="n"/>
      <c r="AI470" s="15" t="n"/>
    </row>
    <row r="471">
      <c r="A471" s="4" t="inlineStr">
        <is>
          <t>Студент2.25</t>
        </is>
      </c>
      <c r="B471" s="4" t="inlineStr"/>
      <c r="C471" s="4" t="n"/>
      <c r="D471" s="4" t="n"/>
      <c r="E471" s="4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  <c r="AC471" s="15" t="n"/>
      <c r="AD471" s="15" t="n"/>
      <c r="AE471" s="15" t="n"/>
      <c r="AF471" s="15" t="n"/>
      <c r="AG471" s="15" t="n"/>
      <c r="AH471" s="15" t="n"/>
      <c r="AI471" s="15" t="n"/>
    </row>
    <row r="472">
      <c r="A472" s="4" t="inlineStr">
        <is>
          <t>Студент2.26</t>
        </is>
      </c>
      <c r="B472" s="4" t="inlineStr"/>
      <c r="C472" s="4" t="n"/>
      <c r="D472" s="4" t="n"/>
      <c r="E472" s="4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5" t="n"/>
      <c r="AE472" s="15" t="n"/>
      <c r="AF472" s="15" t="n"/>
      <c r="AG472" s="15" t="n"/>
      <c r="AH472" s="15" t="n"/>
      <c r="AI472" s="15" t="n"/>
    </row>
    <row r="473">
      <c r="A473" s="4" t="inlineStr">
        <is>
          <t>Студент2.27</t>
        </is>
      </c>
      <c r="B473" s="4" t="inlineStr"/>
      <c r="C473" s="4" t="n"/>
      <c r="D473" s="4" t="n"/>
      <c r="E473" s="4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5" t="n"/>
      <c r="AE473" s="15" t="n"/>
      <c r="AF473" s="15" t="n"/>
      <c r="AG473" s="15" t="n"/>
      <c r="AH473" s="15" t="n"/>
      <c r="AI473" s="15" t="n"/>
    </row>
    <row r="474">
      <c r="A474" s="4" t="inlineStr">
        <is>
          <t>Студент2.28</t>
        </is>
      </c>
      <c r="B474" s="4" t="inlineStr"/>
      <c r="C474" s="4" t="n"/>
      <c r="D474" s="4" t="n"/>
      <c r="E474" s="4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  <c r="AC474" s="15" t="n"/>
      <c r="AD474" s="15" t="n"/>
      <c r="AE474" s="15" t="n"/>
      <c r="AF474" s="15" t="n"/>
      <c r="AG474" s="15" t="n"/>
      <c r="AH474" s="15" t="n"/>
      <c r="AI474" s="15" t="n"/>
    </row>
    <row r="475">
      <c r="A475" s="4" t="inlineStr">
        <is>
          <t>Студент2.29</t>
        </is>
      </c>
      <c r="B475" s="4" t="inlineStr"/>
      <c r="C475" s="4" t="n"/>
      <c r="D475" s="4" t="n"/>
      <c r="E475" s="4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  <c r="AC475" s="15" t="n"/>
      <c r="AD475" s="15" t="n"/>
      <c r="AE475" s="15" t="n"/>
      <c r="AF475" s="15" t="n"/>
      <c r="AG475" s="15" t="n"/>
      <c r="AH475" s="15" t="n"/>
      <c r="AI475" s="15" t="n"/>
    </row>
    <row r="476">
      <c r="A476" s="4" t="inlineStr">
        <is>
          <t>Студент2.30</t>
        </is>
      </c>
      <c r="B476" s="4" t="inlineStr"/>
      <c r="C476" s="4" t="n"/>
      <c r="D476" s="4" t="n"/>
      <c r="E476" s="4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  <c r="AC476" s="15" t="n"/>
      <c r="AD476" s="15" t="n"/>
      <c r="AE476" s="15" t="n"/>
      <c r="AF476" s="15" t="n"/>
      <c r="AG476" s="15" t="n"/>
      <c r="AH476" s="15" t="n"/>
      <c r="AI476" s="15" t="n"/>
    </row>
    <row r="480">
      <c r="A480" s="13" t="inlineStr">
        <is>
          <t>Практика 8 — плюсы</t>
        </is>
      </c>
    </row>
    <row r="481" ht="28" customHeight="1">
      <c r="A481" s="7" t="inlineStr">
        <is>
          <t>Имя</t>
        </is>
      </c>
      <c r="B481" s="9" t="inlineStr">
        <is>
          <t>TG</t>
        </is>
      </c>
      <c r="C481" s="10" t="inlineStr">
        <is>
          <t>S</t>
        </is>
      </c>
      <c r="D481" s="8" t="inlineStr">
        <is>
          <t>Коэффициент</t>
        </is>
      </c>
      <c r="E481" s="14" t="inlineStr">
        <is>
          <t>D за практику</t>
        </is>
      </c>
      <c r="F481" s="11" t="inlineStr">
        <is>
          <t>1.0</t>
        </is>
      </c>
      <c r="G481" s="11" t="inlineStr">
        <is>
          <t>2.0</t>
        </is>
      </c>
      <c r="H481" s="11" t="inlineStr">
        <is>
          <t>3.0</t>
        </is>
      </c>
      <c r="I481" s="11" t="inlineStr">
        <is>
          <t>4.0</t>
        </is>
      </c>
      <c r="J481" s="11" t="inlineStr">
        <is>
          <t>5.0</t>
        </is>
      </c>
      <c r="K481" s="11" t="inlineStr">
        <is>
          <t>6</t>
        </is>
      </c>
      <c r="L481" s="11" t="inlineStr">
        <is>
          <t>7</t>
        </is>
      </c>
      <c r="M481" s="11" t="inlineStr">
        <is>
          <t>8</t>
        </is>
      </c>
      <c r="N481" s="11" t="inlineStr">
        <is>
          <t>9</t>
        </is>
      </c>
      <c r="O481" s="11" t="inlineStr">
        <is>
          <t>10</t>
        </is>
      </c>
      <c r="P481" s="11" t="inlineStr">
        <is>
          <t>11</t>
        </is>
      </c>
      <c r="Q481" s="11" t="inlineStr">
        <is>
          <t>12</t>
        </is>
      </c>
      <c r="R481" s="11" t="inlineStr">
        <is>
          <t>13</t>
        </is>
      </c>
      <c r="S481" s="11" t="inlineStr">
        <is>
          <t>14</t>
        </is>
      </c>
      <c r="T481" s="11" t="inlineStr">
        <is>
          <t>15</t>
        </is>
      </c>
      <c r="U481" s="11" t="inlineStr">
        <is>
          <t>16</t>
        </is>
      </c>
      <c r="V481" s="11" t="inlineStr">
        <is>
          <t>17</t>
        </is>
      </c>
      <c r="W481" s="11" t="inlineStr">
        <is>
          <t>18</t>
        </is>
      </c>
      <c r="X481" s="11" t="inlineStr">
        <is>
          <t>19</t>
        </is>
      </c>
      <c r="Y481" s="11" t="inlineStr">
        <is>
          <t>20</t>
        </is>
      </c>
      <c r="Z481" s="11" t="inlineStr">
        <is>
          <t>21</t>
        </is>
      </c>
      <c r="AA481" s="11" t="inlineStr">
        <is>
          <t>22</t>
        </is>
      </c>
      <c r="AB481" s="11" t="inlineStr">
        <is>
          <t>23</t>
        </is>
      </c>
      <c r="AC481" s="11" t="inlineStr">
        <is>
          <t>24</t>
        </is>
      </c>
      <c r="AD481" s="11" t="inlineStr">
        <is>
          <t>25</t>
        </is>
      </c>
      <c r="AE481" s="11" t="inlineStr">
        <is>
          <t>26</t>
        </is>
      </c>
      <c r="AF481" s="11" t="inlineStr">
        <is>
          <t>27</t>
        </is>
      </c>
      <c r="AG481" s="11" t="inlineStr">
        <is>
          <t>28</t>
        </is>
      </c>
      <c r="AH481" s="11" t="inlineStr">
        <is>
          <t>29</t>
        </is>
      </c>
      <c r="AI481" s="11" t="inlineStr">
        <is>
          <t>30</t>
        </is>
      </c>
    </row>
    <row r="482">
      <c r="A482" s="4" t="inlineStr">
        <is>
          <t>Студент2.1</t>
        </is>
      </c>
      <c r="B482" s="4" t="inlineStr"/>
      <c r="C482" s="4">
        <f>IF(A482="","",COUNTIF(F482:AI482,"+")+COUNTIF(F482:AI482,"1"))</f>
        <v/>
      </c>
      <c r="D482" s="4">
        <f>IF(A482="","",IF(C482&gt;2*COUNTA(F$481:AI$481)/3,1,IF(C482&gt;=COUNTA(F$481:AI$481)/2,0.8,0.5)))</f>
        <v/>
      </c>
      <c r="E482" s="4">
        <f>IF(A482="","",SUMIFS('Логи'!$H$4:$H$3006,'Логи'!$A$4:$A$3006,A482,'Логи'!$C$4:$C$3006,8))</f>
        <v/>
      </c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n"/>
      <c r="AE482" s="15" t="n"/>
      <c r="AF482" s="15" t="n"/>
      <c r="AG482" s="15" t="n"/>
      <c r="AH482" s="15" t="n"/>
      <c r="AI482" s="15" t="n"/>
    </row>
    <row r="483">
      <c r="A483" s="4" t="inlineStr">
        <is>
          <t>Студент2.2</t>
        </is>
      </c>
      <c r="B483" s="4" t="inlineStr"/>
      <c r="C483" s="4">
        <f>IF(A483="","",COUNTIF(F483:AI483,"+")+COUNTIF(F483:AI483,"1"))</f>
        <v/>
      </c>
      <c r="D483" s="4">
        <f>IF(A483="","",IF(C483&gt;2*COUNTA(F$481:AI$481)/3,1,IF(C483&gt;=COUNTA(F$481:AI$481)/2,0.8,0.5)))</f>
        <v/>
      </c>
      <c r="E483" s="4">
        <f>IF(A483="","",SUMIFS('Логи'!$H$4:$H$3006,'Логи'!$A$4:$A$3006,A483,'Логи'!$C$4:$C$3006,8))</f>
        <v/>
      </c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n"/>
      <c r="AE483" s="15" t="n"/>
      <c r="AF483" s="15" t="n"/>
      <c r="AG483" s="15" t="n"/>
      <c r="AH483" s="15" t="n"/>
      <c r="AI483" s="15" t="n"/>
    </row>
    <row r="484">
      <c r="A484" s="4" t="inlineStr">
        <is>
          <t>Студент2.3</t>
        </is>
      </c>
      <c r="B484" s="4" t="inlineStr"/>
      <c r="C484" s="4">
        <f>IF(A484="","",COUNTIF(F484:AI484,"+")+COUNTIF(F484:AI484,"1"))</f>
        <v/>
      </c>
      <c r="D484" s="4">
        <f>IF(A484="","",IF(C484&gt;2*COUNTA(F$481:AI$481)/3,1,IF(C484&gt;=COUNTA(F$481:AI$481)/2,0.8,0.5)))</f>
        <v/>
      </c>
      <c r="E484" s="4">
        <f>IF(A484="","",SUMIFS('Логи'!$H$4:$H$3006,'Логи'!$A$4:$A$3006,A484,'Логи'!$C$4:$C$3006,8))</f>
        <v/>
      </c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n"/>
      <c r="AE484" s="15" t="n"/>
      <c r="AF484" s="15" t="n"/>
      <c r="AG484" s="15" t="n"/>
      <c r="AH484" s="15" t="n"/>
      <c r="AI484" s="15" t="n"/>
    </row>
    <row r="485">
      <c r="A485" s="4" t="inlineStr">
        <is>
          <t>Студент2.4</t>
        </is>
      </c>
      <c r="B485" s="4" t="inlineStr"/>
      <c r="C485" s="4">
        <f>IF(A485="","",COUNTIF(F485:AI485,"+")+COUNTIF(F485:AI485,"1"))</f>
        <v/>
      </c>
      <c r="D485" s="4">
        <f>IF(A485="","",IF(C485&gt;2*COUNTA(F$481:AI$481)/3,1,IF(C485&gt;=COUNTA(F$481:AI$481)/2,0.8,0.5)))</f>
        <v/>
      </c>
      <c r="E485" s="4">
        <f>IF(A485="","",SUMIFS('Логи'!$H$4:$H$3006,'Логи'!$A$4:$A$3006,A485,'Логи'!$C$4:$C$3006,8))</f>
        <v/>
      </c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n"/>
      <c r="AE485" s="15" t="n"/>
      <c r="AF485" s="15" t="n"/>
      <c r="AG485" s="15" t="n"/>
      <c r="AH485" s="15" t="n"/>
      <c r="AI485" s="15" t="n"/>
    </row>
    <row r="486">
      <c r="A486" s="4" t="inlineStr">
        <is>
          <t>Студент2.5</t>
        </is>
      </c>
      <c r="B486" s="4" t="inlineStr"/>
      <c r="C486" s="4">
        <f>IF(A486="","",COUNTIF(F486:AI486,"+")+COUNTIF(F486:AI486,"1"))</f>
        <v/>
      </c>
      <c r="D486" s="4">
        <f>IF(A486="","",IF(C486&gt;2*COUNTA(F$481:AI$481)/3,1,IF(C486&gt;=COUNTA(F$481:AI$481)/2,0.8,0.5)))</f>
        <v/>
      </c>
      <c r="E486" s="4">
        <f>IF(A486="","",SUMIFS('Логи'!$H$4:$H$3006,'Логи'!$A$4:$A$3006,A486,'Логи'!$C$4:$C$3006,8))</f>
        <v/>
      </c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n"/>
      <c r="AE486" s="15" t="n"/>
      <c r="AF486" s="15" t="n"/>
      <c r="AG486" s="15" t="n"/>
      <c r="AH486" s="15" t="n"/>
      <c r="AI486" s="15" t="n"/>
    </row>
    <row r="487">
      <c r="A487" s="4" t="inlineStr">
        <is>
          <t>Студент2.6</t>
        </is>
      </c>
      <c r="B487" s="4" t="inlineStr"/>
      <c r="C487" s="4">
        <f>IF(A487="","",COUNTIF(F487:AI487,"+")+COUNTIF(F487:AI487,"1"))</f>
        <v/>
      </c>
      <c r="D487" s="4">
        <f>IF(A487="","",IF(C487&gt;2*COUNTA(F$481:AI$481)/3,1,IF(C487&gt;=COUNTA(F$481:AI$481)/2,0.8,0.5)))</f>
        <v/>
      </c>
      <c r="E487" s="4">
        <f>IF(A487="","",SUMIFS('Логи'!$H$4:$H$3006,'Логи'!$A$4:$A$3006,A487,'Логи'!$C$4:$C$3006,8))</f>
        <v/>
      </c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n"/>
      <c r="AE487" s="15" t="n"/>
      <c r="AF487" s="15" t="n"/>
      <c r="AG487" s="15" t="n"/>
      <c r="AH487" s="15" t="n"/>
      <c r="AI487" s="15" t="n"/>
    </row>
    <row r="488">
      <c r="A488" s="4" t="inlineStr">
        <is>
          <t>Студент2.7</t>
        </is>
      </c>
      <c r="B488" s="4" t="inlineStr"/>
      <c r="C488" s="4">
        <f>IF(A488="","",COUNTIF(F488:AI488,"+")+COUNTIF(F488:AI488,"1"))</f>
        <v/>
      </c>
      <c r="D488" s="4">
        <f>IF(A488="","",IF(C488&gt;2*COUNTA(F$481:AI$481)/3,1,IF(C488&gt;=COUNTA(F$481:AI$481)/2,0.8,0.5)))</f>
        <v/>
      </c>
      <c r="E488" s="4">
        <f>IF(A488="","",SUMIFS('Логи'!$H$4:$H$3006,'Логи'!$A$4:$A$3006,A488,'Логи'!$C$4:$C$3006,8))</f>
        <v/>
      </c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n"/>
      <c r="AE488" s="15" t="n"/>
      <c r="AF488" s="15" t="n"/>
      <c r="AG488" s="15" t="n"/>
      <c r="AH488" s="15" t="n"/>
      <c r="AI488" s="15" t="n"/>
    </row>
    <row r="489">
      <c r="A489" s="4" t="inlineStr">
        <is>
          <t>Студент2.8</t>
        </is>
      </c>
      <c r="B489" s="4" t="inlineStr"/>
      <c r="C489" s="4">
        <f>IF(A489="","",COUNTIF(F489:AI489,"+")+COUNTIF(F489:AI489,"1"))</f>
        <v/>
      </c>
      <c r="D489" s="4">
        <f>IF(A489="","",IF(C489&gt;2*COUNTA(F$481:AI$481)/3,1,IF(C489&gt;=COUNTA(F$481:AI$481)/2,0.8,0.5)))</f>
        <v/>
      </c>
      <c r="E489" s="4">
        <f>IF(A489="","",SUMIFS('Логи'!$H$4:$H$3006,'Логи'!$A$4:$A$3006,A489,'Логи'!$C$4:$C$3006,8))</f>
        <v/>
      </c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n"/>
      <c r="AE489" s="15" t="n"/>
      <c r="AF489" s="15" t="n"/>
      <c r="AG489" s="15" t="n"/>
      <c r="AH489" s="15" t="n"/>
      <c r="AI489" s="15" t="n"/>
    </row>
    <row r="490">
      <c r="A490" s="4" t="inlineStr">
        <is>
          <t>Студент2.9</t>
        </is>
      </c>
      <c r="B490" s="4" t="inlineStr"/>
      <c r="C490" s="4">
        <f>IF(A490="","",COUNTIF(F490:AI490,"+")+COUNTIF(F490:AI490,"1"))</f>
        <v/>
      </c>
      <c r="D490" s="4">
        <f>IF(A490="","",IF(C490&gt;2*COUNTA(F$481:AI$481)/3,1,IF(C490&gt;=COUNTA(F$481:AI$481)/2,0.8,0.5)))</f>
        <v/>
      </c>
      <c r="E490" s="4">
        <f>IF(A490="","",SUMIFS('Логи'!$H$4:$H$3006,'Логи'!$A$4:$A$3006,A490,'Логи'!$C$4:$C$3006,8))</f>
        <v/>
      </c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n"/>
      <c r="AE490" s="15" t="n"/>
      <c r="AF490" s="15" t="n"/>
      <c r="AG490" s="15" t="n"/>
      <c r="AH490" s="15" t="n"/>
      <c r="AI490" s="15" t="n"/>
    </row>
    <row r="491">
      <c r="A491" s="4" t="inlineStr">
        <is>
          <t>Студент2.10</t>
        </is>
      </c>
      <c r="B491" s="4" t="inlineStr"/>
      <c r="C491" s="4">
        <f>IF(A491="","",COUNTIF(F491:AI491,"+")+COUNTIF(F491:AI491,"1"))</f>
        <v/>
      </c>
      <c r="D491" s="4">
        <f>IF(A491="","",IF(C491&gt;2*COUNTA(F$481:AI$481)/3,1,IF(C491&gt;=COUNTA(F$481:AI$481)/2,0.8,0.5)))</f>
        <v/>
      </c>
      <c r="E491" s="4">
        <f>IF(A491="","",SUMIFS('Логи'!$H$4:$H$3006,'Логи'!$A$4:$A$3006,A491,'Логи'!$C$4:$C$3006,8))</f>
        <v/>
      </c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n"/>
      <c r="AE491" s="15" t="n"/>
      <c r="AF491" s="15" t="n"/>
      <c r="AG491" s="15" t="n"/>
      <c r="AH491" s="15" t="n"/>
      <c r="AI491" s="15" t="n"/>
    </row>
    <row r="492">
      <c r="A492" s="4" t="inlineStr">
        <is>
          <t>Студент2.11</t>
        </is>
      </c>
      <c r="B492" s="4" t="inlineStr"/>
      <c r="C492" s="4">
        <f>IF(A492="","",COUNTIF(F492:AI492,"+")+COUNTIF(F492:AI492,"1"))</f>
        <v/>
      </c>
      <c r="D492" s="4">
        <f>IF(A492="","",IF(C492&gt;2*COUNTA(F$481:AI$481)/3,1,IF(C492&gt;=COUNTA(F$481:AI$481)/2,0.8,0.5)))</f>
        <v/>
      </c>
      <c r="E492" s="4">
        <f>IF(A492="","",SUMIFS('Логи'!$H$4:$H$3006,'Логи'!$A$4:$A$3006,A492,'Логи'!$C$4:$C$3006,8))</f>
        <v/>
      </c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n"/>
      <c r="AE492" s="15" t="n"/>
      <c r="AF492" s="15" t="n"/>
      <c r="AG492" s="15" t="n"/>
      <c r="AH492" s="15" t="n"/>
      <c r="AI492" s="15" t="n"/>
    </row>
    <row r="493">
      <c r="A493" s="4" t="inlineStr">
        <is>
          <t>Студент2.12</t>
        </is>
      </c>
      <c r="B493" s="4" t="inlineStr"/>
      <c r="C493" s="4">
        <f>IF(A493="","",COUNTIF(F493:AI493,"+")+COUNTIF(F493:AI493,"1"))</f>
        <v/>
      </c>
      <c r="D493" s="4">
        <f>IF(A493="","",IF(C493&gt;2*COUNTA(F$481:AI$481)/3,1,IF(C493&gt;=COUNTA(F$481:AI$481)/2,0.8,0.5)))</f>
        <v/>
      </c>
      <c r="E493" s="4">
        <f>IF(A493="","",SUMIFS('Логи'!$H$4:$H$3006,'Логи'!$A$4:$A$3006,A493,'Логи'!$C$4:$C$3006,8))</f>
        <v/>
      </c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n"/>
      <c r="AE493" s="15" t="n"/>
      <c r="AF493" s="15" t="n"/>
      <c r="AG493" s="15" t="n"/>
      <c r="AH493" s="15" t="n"/>
      <c r="AI493" s="15" t="n"/>
    </row>
    <row r="494">
      <c r="A494" s="4" t="inlineStr">
        <is>
          <t>Студент2.13</t>
        </is>
      </c>
      <c r="B494" s="4" t="inlineStr"/>
      <c r="C494" s="4">
        <f>IF(A494="","",COUNTIF(F494:AI494,"+")+COUNTIF(F494:AI494,"1"))</f>
        <v/>
      </c>
      <c r="D494" s="4">
        <f>IF(A494="","",IF(C494&gt;2*COUNTA(F$481:AI$481)/3,1,IF(C494&gt;=COUNTA(F$481:AI$481)/2,0.8,0.5)))</f>
        <v/>
      </c>
      <c r="E494" s="4">
        <f>IF(A494="","",SUMIFS('Логи'!$H$4:$H$3006,'Логи'!$A$4:$A$3006,A494,'Логи'!$C$4:$C$3006,8))</f>
        <v/>
      </c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n"/>
      <c r="AE494" s="15" t="n"/>
      <c r="AF494" s="15" t="n"/>
      <c r="AG494" s="15" t="n"/>
      <c r="AH494" s="15" t="n"/>
      <c r="AI494" s="15" t="n"/>
    </row>
    <row r="495">
      <c r="A495" s="4" t="inlineStr">
        <is>
          <t>Студент2.14</t>
        </is>
      </c>
      <c r="B495" s="4" t="inlineStr"/>
      <c r="C495" s="4">
        <f>IF(A495="","",COUNTIF(F495:AI495,"+")+COUNTIF(F495:AI495,"1"))</f>
        <v/>
      </c>
      <c r="D495" s="4">
        <f>IF(A495="","",IF(C495&gt;2*COUNTA(F$481:AI$481)/3,1,IF(C495&gt;=COUNTA(F$481:AI$481)/2,0.8,0.5)))</f>
        <v/>
      </c>
      <c r="E495" s="4">
        <f>IF(A495="","",SUMIFS('Логи'!$H$4:$H$3006,'Логи'!$A$4:$A$3006,A495,'Логи'!$C$4:$C$3006,8))</f>
        <v/>
      </c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n"/>
      <c r="AE495" s="15" t="n"/>
      <c r="AF495" s="15" t="n"/>
      <c r="AG495" s="15" t="n"/>
      <c r="AH495" s="15" t="n"/>
      <c r="AI495" s="15" t="n"/>
    </row>
    <row r="496">
      <c r="A496" s="4" t="inlineStr">
        <is>
          <t>Студент2.15</t>
        </is>
      </c>
      <c r="B496" s="4" t="inlineStr"/>
      <c r="C496" s="4">
        <f>IF(A496="","",COUNTIF(F496:AI496,"+")+COUNTIF(F496:AI496,"1"))</f>
        <v/>
      </c>
      <c r="D496" s="4">
        <f>IF(A496="","",IF(C496&gt;2*COUNTA(F$481:AI$481)/3,1,IF(C496&gt;=COUNTA(F$481:AI$481)/2,0.8,0.5)))</f>
        <v/>
      </c>
      <c r="E496" s="4">
        <f>IF(A496="","",SUMIFS('Логи'!$H$4:$H$3006,'Логи'!$A$4:$A$3006,A496,'Логи'!$C$4:$C$3006,8))</f>
        <v/>
      </c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5" t="n"/>
      <c r="AE496" s="15" t="n"/>
      <c r="AF496" s="15" t="n"/>
      <c r="AG496" s="15" t="n"/>
      <c r="AH496" s="15" t="n"/>
      <c r="AI496" s="15" t="n"/>
    </row>
    <row r="497">
      <c r="A497" s="4" t="inlineStr">
        <is>
          <t>Студент2.16</t>
        </is>
      </c>
      <c r="B497" s="4" t="inlineStr"/>
      <c r="C497" s="4">
        <f>IF(A497="","",COUNTIF(F497:AI497,"+")+COUNTIF(F497:AI497,"1"))</f>
        <v/>
      </c>
      <c r="D497" s="4">
        <f>IF(A497="","",IF(C497&gt;2*COUNTA(F$481:AI$481)/3,1,IF(C497&gt;=COUNTA(F$481:AI$481)/2,0.8,0.5)))</f>
        <v/>
      </c>
      <c r="E497" s="4">
        <f>IF(A497="","",SUMIFS('Логи'!$H$4:$H$3006,'Логи'!$A$4:$A$3006,A497,'Логи'!$C$4:$C$3006,8))</f>
        <v/>
      </c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5" t="n"/>
      <c r="AE497" s="15" t="n"/>
      <c r="AF497" s="15" t="n"/>
      <c r="AG497" s="15" t="n"/>
      <c r="AH497" s="15" t="n"/>
      <c r="AI497" s="15" t="n"/>
    </row>
    <row r="498">
      <c r="A498" s="4" t="inlineStr">
        <is>
          <t>Студент2.17</t>
        </is>
      </c>
      <c r="B498" s="4" t="inlineStr"/>
      <c r="C498" s="4">
        <f>IF(A498="","",COUNTIF(F498:AI498,"+")+COUNTIF(F498:AI498,"1"))</f>
        <v/>
      </c>
      <c r="D498" s="4">
        <f>IF(A498="","",IF(C498&gt;2*COUNTA(F$481:AI$481)/3,1,IF(C498&gt;=COUNTA(F$481:AI$481)/2,0.8,0.5)))</f>
        <v/>
      </c>
      <c r="E498" s="4">
        <f>IF(A498="","",SUMIFS('Логи'!$H$4:$H$3006,'Логи'!$A$4:$A$3006,A498,'Логи'!$C$4:$C$3006,8))</f>
        <v/>
      </c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  <c r="AF498" s="15" t="n"/>
      <c r="AG498" s="15" t="n"/>
      <c r="AH498" s="15" t="n"/>
      <c r="AI498" s="15" t="n"/>
    </row>
    <row r="499">
      <c r="A499" s="4" t="inlineStr">
        <is>
          <t>Студент2.18</t>
        </is>
      </c>
      <c r="B499" s="4" t="inlineStr"/>
      <c r="C499" s="4">
        <f>IF(A499="","",COUNTIF(F499:AI499,"+")+COUNTIF(F499:AI499,"1"))</f>
        <v/>
      </c>
      <c r="D499" s="4">
        <f>IF(A499="","",IF(C499&gt;2*COUNTA(F$481:AI$481)/3,1,IF(C499&gt;=COUNTA(F$481:AI$481)/2,0.8,0.5)))</f>
        <v/>
      </c>
      <c r="E499" s="4">
        <f>IF(A499="","",SUMIFS('Логи'!$H$4:$H$3006,'Логи'!$A$4:$A$3006,A499,'Логи'!$C$4:$C$3006,8))</f>
        <v/>
      </c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  <c r="AF499" s="15" t="n"/>
      <c r="AG499" s="15" t="n"/>
      <c r="AH499" s="15" t="n"/>
      <c r="AI499" s="15" t="n"/>
    </row>
    <row r="500">
      <c r="A500" s="4" t="inlineStr">
        <is>
          <t>Студент2.19</t>
        </is>
      </c>
      <c r="B500" s="4" t="inlineStr"/>
      <c r="C500" s="4">
        <f>IF(A500="","",COUNTIF(F500:AI500,"+")+COUNTIF(F500:AI500,"1"))</f>
        <v/>
      </c>
      <c r="D500" s="4">
        <f>IF(A500="","",IF(C500&gt;2*COUNTA(F$481:AI$481)/3,1,IF(C500&gt;=COUNTA(F$481:AI$481)/2,0.8,0.5)))</f>
        <v/>
      </c>
      <c r="E500" s="4">
        <f>IF(A500="","",SUMIFS('Логи'!$H$4:$H$3006,'Логи'!$A$4:$A$3006,A500,'Логи'!$C$4:$C$3006,8))</f>
        <v/>
      </c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5" t="n"/>
      <c r="AE500" s="15" t="n"/>
      <c r="AF500" s="15" t="n"/>
      <c r="AG500" s="15" t="n"/>
      <c r="AH500" s="15" t="n"/>
      <c r="AI500" s="15" t="n"/>
    </row>
    <row r="501">
      <c r="A501" s="4" t="inlineStr">
        <is>
          <t>Студент2.20</t>
        </is>
      </c>
      <c r="B501" s="4" t="inlineStr"/>
      <c r="C501" s="4">
        <f>IF(A501="","",COUNTIF(F501:AI501,"+")+COUNTIF(F501:AI501,"1"))</f>
        <v/>
      </c>
      <c r="D501" s="4">
        <f>IF(A501="","",IF(C501&gt;2*COUNTA(F$481:AI$481)/3,1,IF(C501&gt;=COUNTA(F$481:AI$481)/2,0.8,0.5)))</f>
        <v/>
      </c>
      <c r="E501" s="4">
        <f>IF(A501="","",SUMIFS('Логи'!$H$4:$H$3006,'Логи'!$A$4:$A$3006,A501,'Логи'!$C$4:$C$3006,8))</f>
        <v/>
      </c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5" t="n"/>
      <c r="AE501" s="15" t="n"/>
      <c r="AF501" s="15" t="n"/>
      <c r="AG501" s="15" t="n"/>
      <c r="AH501" s="15" t="n"/>
      <c r="AI501" s="15" t="n"/>
    </row>
    <row r="502">
      <c r="A502" s="4" t="inlineStr">
        <is>
          <t>Студент2.21</t>
        </is>
      </c>
      <c r="B502" s="4" t="inlineStr"/>
      <c r="C502" s="4">
        <f>IF(A502="","",COUNTIF(F502:AI502,"+")+COUNTIF(F502:AI502,"1"))</f>
        <v/>
      </c>
      <c r="D502" s="4">
        <f>IF(A502="","",IF(C502&gt;2*COUNTA(F$481:AI$481)/3,1,IF(C502&gt;=COUNTA(F$481:AI$481)/2,0.8,0.5)))</f>
        <v/>
      </c>
      <c r="E502" s="4">
        <f>IF(A502="","",SUMIFS('Логи'!$H$4:$H$3006,'Логи'!$A$4:$A$3006,A502,'Логи'!$C$4:$C$3006,8))</f>
        <v/>
      </c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15" t="n"/>
      <c r="O502" s="15" t="n"/>
      <c r="P502" s="15" t="n"/>
      <c r="Q502" s="15" t="n"/>
      <c r="R502" s="15" t="n"/>
      <c r="S502" s="15" t="n"/>
      <c r="T502" s="15" t="n"/>
      <c r="U502" s="15" t="n"/>
      <c r="V502" s="15" t="n"/>
      <c r="W502" s="15" t="n"/>
      <c r="X502" s="15" t="n"/>
      <c r="Y502" s="15" t="n"/>
      <c r="Z502" s="15" t="n"/>
      <c r="AA502" s="15" t="n"/>
      <c r="AB502" s="15" t="n"/>
      <c r="AC502" s="15" t="n"/>
      <c r="AD502" s="15" t="n"/>
      <c r="AE502" s="15" t="n"/>
      <c r="AF502" s="15" t="n"/>
      <c r="AG502" s="15" t="n"/>
      <c r="AH502" s="15" t="n"/>
      <c r="AI502" s="15" t="n"/>
    </row>
    <row r="503">
      <c r="A503" s="4" t="inlineStr">
        <is>
          <t>Студент2.22</t>
        </is>
      </c>
      <c r="B503" s="4" t="inlineStr"/>
      <c r="C503" s="4">
        <f>IF(A503="","",COUNTIF(F503:AI503,"+")+COUNTIF(F503:AI503,"1"))</f>
        <v/>
      </c>
      <c r="D503" s="4">
        <f>IF(A503="","",IF(C503&gt;2*COUNTA(F$481:AI$481)/3,1,IF(C503&gt;=COUNTA(F$481:AI$481)/2,0.8,0.5)))</f>
        <v/>
      </c>
      <c r="E503" s="4">
        <f>IF(A503="","",SUMIFS('Логи'!$H$4:$H$3006,'Логи'!$A$4:$A$3006,A503,'Логи'!$C$4:$C$3006,8))</f>
        <v/>
      </c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15" t="n"/>
      <c r="O503" s="15" t="n"/>
      <c r="P503" s="15" t="n"/>
      <c r="Q503" s="15" t="n"/>
      <c r="R503" s="15" t="n"/>
      <c r="S503" s="15" t="n"/>
      <c r="T503" s="15" t="n"/>
      <c r="U503" s="15" t="n"/>
      <c r="V503" s="15" t="n"/>
      <c r="W503" s="15" t="n"/>
      <c r="X503" s="15" t="n"/>
      <c r="Y503" s="15" t="n"/>
      <c r="Z503" s="15" t="n"/>
      <c r="AA503" s="15" t="n"/>
      <c r="AB503" s="15" t="n"/>
      <c r="AC503" s="15" t="n"/>
      <c r="AD503" s="15" t="n"/>
      <c r="AE503" s="15" t="n"/>
      <c r="AF503" s="15" t="n"/>
      <c r="AG503" s="15" t="n"/>
      <c r="AH503" s="15" t="n"/>
      <c r="AI503" s="15" t="n"/>
    </row>
    <row r="504">
      <c r="A504" s="4" t="inlineStr">
        <is>
          <t>Студент2.23</t>
        </is>
      </c>
      <c r="B504" s="4" t="inlineStr"/>
      <c r="C504" s="4">
        <f>IF(A504="","",COUNTIF(F504:AI504,"+")+COUNTIF(F504:AI504,"1"))</f>
        <v/>
      </c>
      <c r="D504" s="4">
        <f>IF(A504="","",IF(C504&gt;2*COUNTA(F$481:AI$481)/3,1,IF(C504&gt;=COUNTA(F$481:AI$481)/2,0.8,0.5)))</f>
        <v/>
      </c>
      <c r="E504" s="4">
        <f>IF(A504="","",SUMIFS('Логи'!$H$4:$H$3006,'Логи'!$A$4:$A$3006,A504,'Логи'!$C$4:$C$3006,8))</f>
        <v/>
      </c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  <c r="O504" s="15" t="n"/>
      <c r="P504" s="15" t="n"/>
      <c r="Q504" s="15" t="n"/>
      <c r="R504" s="15" t="n"/>
      <c r="S504" s="15" t="n"/>
      <c r="T504" s="15" t="n"/>
      <c r="U504" s="15" t="n"/>
      <c r="V504" s="15" t="n"/>
      <c r="W504" s="15" t="n"/>
      <c r="X504" s="15" t="n"/>
      <c r="Y504" s="15" t="n"/>
      <c r="Z504" s="15" t="n"/>
      <c r="AA504" s="15" t="n"/>
      <c r="AB504" s="15" t="n"/>
      <c r="AC504" s="15" t="n"/>
      <c r="AD504" s="15" t="n"/>
      <c r="AE504" s="15" t="n"/>
      <c r="AF504" s="15" t="n"/>
      <c r="AG504" s="15" t="n"/>
      <c r="AH504" s="15" t="n"/>
      <c r="AI504" s="15" t="n"/>
    </row>
    <row r="505">
      <c r="A505" s="4" t="inlineStr">
        <is>
          <t>Студент2.24</t>
        </is>
      </c>
      <c r="B505" s="4" t="inlineStr"/>
      <c r="C505" s="4">
        <f>IF(A505="","",COUNTIF(F505:AI505,"+")+COUNTIF(F505:AI505,"1"))</f>
        <v/>
      </c>
      <c r="D505" s="4">
        <f>IF(A505="","",IF(C505&gt;2*COUNTA(F$481:AI$481)/3,1,IF(C505&gt;=COUNTA(F$481:AI$481)/2,0.8,0.5)))</f>
        <v/>
      </c>
      <c r="E505" s="4">
        <f>IF(A505="","",SUMIFS('Логи'!$H$4:$H$3006,'Логи'!$A$4:$A$3006,A505,'Логи'!$C$4:$C$3006,8))</f>
        <v/>
      </c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  <c r="O505" s="15" t="n"/>
      <c r="P505" s="15" t="n"/>
      <c r="Q505" s="15" t="n"/>
      <c r="R505" s="15" t="n"/>
      <c r="S505" s="15" t="n"/>
      <c r="T505" s="15" t="n"/>
      <c r="U505" s="15" t="n"/>
      <c r="V505" s="15" t="n"/>
      <c r="W505" s="15" t="n"/>
      <c r="X505" s="15" t="n"/>
      <c r="Y505" s="15" t="n"/>
      <c r="Z505" s="15" t="n"/>
      <c r="AA505" s="15" t="n"/>
      <c r="AB505" s="15" t="n"/>
      <c r="AC505" s="15" t="n"/>
      <c r="AD505" s="15" t="n"/>
      <c r="AE505" s="15" t="n"/>
      <c r="AF505" s="15" t="n"/>
      <c r="AG505" s="15" t="n"/>
      <c r="AH505" s="15" t="n"/>
      <c r="AI505" s="15" t="n"/>
    </row>
    <row r="506">
      <c r="A506" s="4" t="inlineStr">
        <is>
          <t>Студент2.25</t>
        </is>
      </c>
      <c r="B506" s="4" t="inlineStr"/>
      <c r="C506" s="4">
        <f>IF(A506="","",COUNTIF(F506:AI506,"+")+COUNTIF(F506:AI506,"1"))</f>
        <v/>
      </c>
      <c r="D506" s="4">
        <f>IF(A506="","",IF(C506&gt;2*COUNTA(F$481:AI$481)/3,1,IF(C506&gt;=COUNTA(F$481:AI$481)/2,0.8,0.5)))</f>
        <v/>
      </c>
      <c r="E506" s="4">
        <f>IF(A506="","",SUMIFS('Логи'!$H$4:$H$3006,'Логи'!$A$4:$A$3006,A506,'Логи'!$C$4:$C$3006,8))</f>
        <v/>
      </c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  <c r="O506" s="15" t="n"/>
      <c r="P506" s="15" t="n"/>
      <c r="Q506" s="15" t="n"/>
      <c r="R506" s="15" t="n"/>
      <c r="S506" s="15" t="n"/>
      <c r="T506" s="15" t="n"/>
      <c r="U506" s="15" t="n"/>
      <c r="V506" s="15" t="n"/>
      <c r="W506" s="15" t="n"/>
      <c r="X506" s="15" t="n"/>
      <c r="Y506" s="15" t="n"/>
      <c r="Z506" s="15" t="n"/>
      <c r="AA506" s="15" t="n"/>
      <c r="AB506" s="15" t="n"/>
      <c r="AC506" s="15" t="n"/>
      <c r="AD506" s="15" t="n"/>
      <c r="AE506" s="15" t="n"/>
      <c r="AF506" s="15" t="n"/>
      <c r="AG506" s="15" t="n"/>
      <c r="AH506" s="15" t="n"/>
      <c r="AI506" s="15" t="n"/>
    </row>
    <row r="507">
      <c r="A507" s="4" t="inlineStr">
        <is>
          <t>Студент2.26</t>
        </is>
      </c>
      <c r="B507" s="4" t="inlineStr"/>
      <c r="C507" s="4">
        <f>IF(A507="","",COUNTIF(F507:AI507,"+")+COUNTIF(F507:AI507,"1"))</f>
        <v/>
      </c>
      <c r="D507" s="4">
        <f>IF(A507="","",IF(C507&gt;2*COUNTA(F$481:AI$481)/3,1,IF(C507&gt;=COUNTA(F$481:AI$481)/2,0.8,0.5)))</f>
        <v/>
      </c>
      <c r="E507" s="4">
        <f>IF(A507="","",SUMIFS('Логи'!$H$4:$H$3006,'Логи'!$A$4:$A$3006,A507,'Логи'!$C$4:$C$3006,8))</f>
        <v/>
      </c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  <c r="O507" s="15" t="n"/>
      <c r="P507" s="15" t="n"/>
      <c r="Q507" s="15" t="n"/>
      <c r="R507" s="15" t="n"/>
      <c r="S507" s="15" t="n"/>
      <c r="T507" s="15" t="n"/>
      <c r="U507" s="15" t="n"/>
      <c r="V507" s="15" t="n"/>
      <c r="W507" s="15" t="n"/>
      <c r="X507" s="15" t="n"/>
      <c r="Y507" s="15" t="n"/>
      <c r="Z507" s="15" t="n"/>
      <c r="AA507" s="15" t="n"/>
      <c r="AB507" s="15" t="n"/>
      <c r="AC507" s="15" t="n"/>
      <c r="AD507" s="15" t="n"/>
      <c r="AE507" s="15" t="n"/>
      <c r="AF507" s="15" t="n"/>
      <c r="AG507" s="15" t="n"/>
      <c r="AH507" s="15" t="n"/>
      <c r="AI507" s="15" t="n"/>
    </row>
    <row r="508">
      <c r="A508" s="4" t="inlineStr">
        <is>
          <t>Студент2.27</t>
        </is>
      </c>
      <c r="B508" s="4" t="inlineStr"/>
      <c r="C508" s="4">
        <f>IF(A508="","",COUNTIF(F508:AI508,"+")+COUNTIF(F508:AI508,"1"))</f>
        <v/>
      </c>
      <c r="D508" s="4">
        <f>IF(A508="","",IF(C508&gt;2*COUNTA(F$481:AI$481)/3,1,IF(C508&gt;=COUNTA(F$481:AI$481)/2,0.8,0.5)))</f>
        <v/>
      </c>
      <c r="E508" s="4">
        <f>IF(A508="","",SUMIFS('Логи'!$H$4:$H$3006,'Логи'!$A$4:$A$3006,A508,'Логи'!$C$4:$C$3006,8))</f>
        <v/>
      </c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  <c r="O508" s="15" t="n"/>
      <c r="P508" s="15" t="n"/>
      <c r="Q508" s="15" t="n"/>
      <c r="R508" s="15" t="n"/>
      <c r="S508" s="15" t="n"/>
      <c r="T508" s="15" t="n"/>
      <c r="U508" s="15" t="n"/>
      <c r="V508" s="15" t="n"/>
      <c r="W508" s="15" t="n"/>
      <c r="X508" s="15" t="n"/>
      <c r="Y508" s="15" t="n"/>
      <c r="Z508" s="15" t="n"/>
      <c r="AA508" s="15" t="n"/>
      <c r="AB508" s="15" t="n"/>
      <c r="AC508" s="15" t="n"/>
      <c r="AD508" s="15" t="n"/>
      <c r="AE508" s="15" t="n"/>
      <c r="AF508" s="15" t="n"/>
      <c r="AG508" s="15" t="n"/>
      <c r="AH508" s="15" t="n"/>
      <c r="AI508" s="15" t="n"/>
    </row>
    <row r="509">
      <c r="A509" s="4" t="inlineStr">
        <is>
          <t>Студент2.28</t>
        </is>
      </c>
      <c r="B509" s="4" t="inlineStr"/>
      <c r="C509" s="4">
        <f>IF(A509="","",COUNTIF(F509:AI509,"+")+COUNTIF(F509:AI509,"1"))</f>
        <v/>
      </c>
      <c r="D509" s="4">
        <f>IF(A509="","",IF(C509&gt;2*COUNTA(F$481:AI$481)/3,1,IF(C509&gt;=COUNTA(F$481:AI$481)/2,0.8,0.5)))</f>
        <v/>
      </c>
      <c r="E509" s="4">
        <f>IF(A509="","",SUMIFS('Логи'!$H$4:$H$3006,'Логи'!$A$4:$A$3006,A509,'Логи'!$C$4:$C$3006,8))</f>
        <v/>
      </c>
      <c r="F509" s="15" t="n"/>
      <c r="G509" s="15" t="n"/>
      <c r="H509" s="15" t="n"/>
      <c r="I509" s="15" t="n"/>
      <c r="J509" s="15" t="n"/>
      <c r="K509" s="15" t="n"/>
      <c r="L509" s="15" t="n"/>
      <c r="M509" s="15" t="n"/>
      <c r="N509" s="15" t="n"/>
      <c r="O509" s="15" t="n"/>
      <c r="P509" s="15" t="n"/>
      <c r="Q509" s="15" t="n"/>
      <c r="R509" s="15" t="n"/>
      <c r="S509" s="15" t="n"/>
      <c r="T509" s="15" t="n"/>
      <c r="U509" s="15" t="n"/>
      <c r="V509" s="15" t="n"/>
      <c r="W509" s="15" t="n"/>
      <c r="X509" s="15" t="n"/>
      <c r="Y509" s="15" t="n"/>
      <c r="Z509" s="15" t="n"/>
      <c r="AA509" s="15" t="n"/>
      <c r="AB509" s="15" t="n"/>
      <c r="AC509" s="15" t="n"/>
      <c r="AD509" s="15" t="n"/>
      <c r="AE509" s="15" t="n"/>
      <c r="AF509" s="15" t="n"/>
      <c r="AG509" s="15" t="n"/>
      <c r="AH509" s="15" t="n"/>
      <c r="AI509" s="15" t="n"/>
    </row>
    <row r="510">
      <c r="A510" s="4" t="inlineStr">
        <is>
          <t>Студент2.29</t>
        </is>
      </c>
      <c r="B510" s="4" t="inlineStr"/>
      <c r="C510" s="4">
        <f>IF(A510="","",COUNTIF(F510:AI510,"+")+COUNTIF(F510:AI510,"1"))</f>
        <v/>
      </c>
      <c r="D510" s="4">
        <f>IF(A510="","",IF(C510&gt;2*COUNTA(F$481:AI$481)/3,1,IF(C510&gt;=COUNTA(F$481:AI$481)/2,0.8,0.5)))</f>
        <v/>
      </c>
      <c r="E510" s="4">
        <f>IF(A510="","",SUMIFS('Логи'!$H$4:$H$3006,'Логи'!$A$4:$A$3006,A510,'Логи'!$C$4:$C$3006,8))</f>
        <v/>
      </c>
      <c r="F510" s="15" t="n"/>
      <c r="G510" s="15" t="n"/>
      <c r="H510" s="15" t="n"/>
      <c r="I510" s="15" t="n"/>
      <c r="J510" s="15" t="n"/>
      <c r="K510" s="15" t="n"/>
      <c r="L510" s="15" t="n"/>
      <c r="M510" s="15" t="n"/>
      <c r="N510" s="15" t="n"/>
      <c r="O510" s="15" t="n"/>
      <c r="P510" s="15" t="n"/>
      <c r="Q510" s="15" t="n"/>
      <c r="R510" s="15" t="n"/>
      <c r="S510" s="15" t="n"/>
      <c r="T510" s="15" t="n"/>
      <c r="U510" s="15" t="n"/>
      <c r="V510" s="15" t="n"/>
      <c r="W510" s="15" t="n"/>
      <c r="X510" s="15" t="n"/>
      <c r="Y510" s="15" t="n"/>
      <c r="Z510" s="15" t="n"/>
      <c r="AA510" s="15" t="n"/>
      <c r="AB510" s="15" t="n"/>
      <c r="AC510" s="15" t="n"/>
      <c r="AD510" s="15" t="n"/>
      <c r="AE510" s="15" t="n"/>
      <c r="AF510" s="15" t="n"/>
      <c r="AG510" s="15" t="n"/>
      <c r="AH510" s="15" t="n"/>
      <c r="AI510" s="15" t="n"/>
    </row>
    <row r="511">
      <c r="A511" s="4" t="inlineStr">
        <is>
          <t>Студент2.30</t>
        </is>
      </c>
      <c r="B511" s="4" t="inlineStr"/>
      <c r="C511" s="4">
        <f>IF(A511="","",COUNTIF(F511:AI511,"+")+COUNTIF(F511:AI511,"1"))</f>
        <v/>
      </c>
      <c r="D511" s="4">
        <f>IF(A511="","",IF(C511&gt;2*COUNTA(F$481:AI$481)/3,1,IF(C511&gt;=COUNTA(F$481:AI$481)/2,0.8,0.5)))</f>
        <v/>
      </c>
      <c r="E511" s="4">
        <f>IF(A511="","",SUMIFS('Логи'!$H$4:$H$3006,'Логи'!$A$4:$A$3006,A511,'Логи'!$C$4:$C$3006,8))</f>
        <v/>
      </c>
      <c r="F511" s="15" t="n"/>
      <c r="G511" s="15" t="n"/>
      <c r="H511" s="15" t="n"/>
      <c r="I511" s="15" t="n"/>
      <c r="J511" s="15" t="n"/>
      <c r="K511" s="15" t="n"/>
      <c r="L511" s="15" t="n"/>
      <c r="M511" s="15" t="n"/>
      <c r="N511" s="15" t="n"/>
      <c r="O511" s="15" t="n"/>
      <c r="P511" s="15" t="n"/>
      <c r="Q511" s="15" t="n"/>
      <c r="R511" s="15" t="n"/>
      <c r="S511" s="15" t="n"/>
      <c r="T511" s="15" t="n"/>
      <c r="U511" s="15" t="n"/>
      <c r="V511" s="15" t="n"/>
      <c r="W511" s="15" t="n"/>
      <c r="X511" s="15" t="n"/>
      <c r="Y511" s="15" t="n"/>
      <c r="Z511" s="15" t="n"/>
      <c r="AA511" s="15" t="n"/>
      <c r="AB511" s="15" t="n"/>
      <c r="AC511" s="15" t="n"/>
      <c r="AD511" s="15" t="n"/>
      <c r="AE511" s="15" t="n"/>
      <c r="AF511" s="15" t="n"/>
      <c r="AG511" s="15" t="n"/>
      <c r="AH511" s="15" t="n"/>
      <c r="AI511" s="15" t="n"/>
    </row>
    <row r="513">
      <c r="A513" s="16" t="inlineStr">
        <is>
          <t>Практика 8 — результаты рассказа</t>
        </is>
      </c>
    </row>
    <row r="514" ht="28" customHeight="1">
      <c r="A514" s="7" t="inlineStr">
        <is>
          <t>Имя</t>
        </is>
      </c>
      <c r="B514" s="9" t="inlineStr">
        <is>
          <t>TG</t>
        </is>
      </c>
      <c r="C514" s="10" t="inlineStr"/>
      <c r="D514" s="2" t="inlineStr"/>
      <c r="E514" s="2" t="inlineStr"/>
      <c r="F514" s="11" t="inlineStr">
        <is>
          <t>1.0</t>
        </is>
      </c>
      <c r="G514" s="11" t="inlineStr">
        <is>
          <t>2.0</t>
        </is>
      </c>
      <c r="H514" s="11" t="inlineStr">
        <is>
          <t>3.0</t>
        </is>
      </c>
      <c r="I514" s="11" t="inlineStr">
        <is>
          <t>4.0</t>
        </is>
      </c>
      <c r="J514" s="11" t="inlineStr">
        <is>
          <t>5.0</t>
        </is>
      </c>
      <c r="K514" s="11" t="inlineStr">
        <is>
          <t>6</t>
        </is>
      </c>
      <c r="L514" s="11" t="inlineStr">
        <is>
          <t>7</t>
        </is>
      </c>
      <c r="M514" s="11" t="inlineStr">
        <is>
          <t>8</t>
        </is>
      </c>
      <c r="N514" s="11" t="inlineStr">
        <is>
          <t>9</t>
        </is>
      </c>
      <c r="O514" s="11" t="inlineStr">
        <is>
          <t>10</t>
        </is>
      </c>
      <c r="P514" s="11" t="inlineStr">
        <is>
          <t>11</t>
        </is>
      </c>
      <c r="Q514" s="11" t="inlineStr">
        <is>
          <t>12</t>
        </is>
      </c>
      <c r="R514" s="11" t="inlineStr">
        <is>
          <t>13</t>
        </is>
      </c>
      <c r="S514" s="11" t="inlineStr">
        <is>
          <t>14</t>
        </is>
      </c>
      <c r="T514" s="11" t="inlineStr">
        <is>
          <t>15</t>
        </is>
      </c>
      <c r="U514" s="11" t="inlineStr">
        <is>
          <t>16</t>
        </is>
      </c>
      <c r="V514" s="11" t="inlineStr">
        <is>
          <t>17</t>
        </is>
      </c>
      <c r="W514" s="11" t="inlineStr">
        <is>
          <t>18</t>
        </is>
      </c>
      <c r="X514" s="11" t="inlineStr">
        <is>
          <t>19</t>
        </is>
      </c>
      <c r="Y514" s="11" t="inlineStr">
        <is>
          <t>20</t>
        </is>
      </c>
      <c r="Z514" s="11" t="inlineStr">
        <is>
          <t>21</t>
        </is>
      </c>
      <c r="AA514" s="11" t="inlineStr">
        <is>
          <t>22</t>
        </is>
      </c>
      <c r="AB514" s="11" t="inlineStr">
        <is>
          <t>23</t>
        </is>
      </c>
      <c r="AC514" s="11" t="inlineStr">
        <is>
          <t>24</t>
        </is>
      </c>
      <c r="AD514" s="11" t="inlineStr">
        <is>
          <t>25</t>
        </is>
      </c>
      <c r="AE514" s="11" t="inlineStr">
        <is>
          <t>26</t>
        </is>
      </c>
      <c r="AF514" s="11" t="inlineStr">
        <is>
          <t>27</t>
        </is>
      </c>
      <c r="AG514" s="11" t="inlineStr">
        <is>
          <t>28</t>
        </is>
      </c>
      <c r="AH514" s="11" t="inlineStr">
        <is>
          <t>29</t>
        </is>
      </c>
      <c r="AI514" s="11" t="inlineStr">
        <is>
          <t>30</t>
        </is>
      </c>
    </row>
    <row r="515">
      <c r="A515" s="4" t="inlineStr">
        <is>
          <t>Студент2.1</t>
        </is>
      </c>
      <c r="B515" s="4" t="inlineStr"/>
      <c r="C515" s="4" t="n"/>
      <c r="D515" s="4" t="n"/>
      <c r="E515" s="4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  <c r="O515" s="15" t="n"/>
      <c r="P515" s="15" t="n"/>
      <c r="Q515" s="15" t="n"/>
      <c r="R515" s="15" t="n"/>
      <c r="S515" s="15" t="n"/>
      <c r="T515" s="15" t="n"/>
      <c r="U515" s="15" t="n"/>
      <c r="V515" s="15" t="n"/>
      <c r="W515" s="15" t="n"/>
      <c r="X515" s="15" t="n"/>
      <c r="Y515" s="15" t="n"/>
      <c r="Z515" s="15" t="n"/>
      <c r="AA515" s="15" t="n"/>
      <c r="AB515" s="15" t="n"/>
      <c r="AC515" s="15" t="n"/>
      <c r="AD515" s="15" t="n"/>
      <c r="AE515" s="15" t="n"/>
      <c r="AF515" s="15" t="n"/>
      <c r="AG515" s="15" t="n"/>
      <c r="AH515" s="15" t="n"/>
      <c r="AI515" s="15" t="n"/>
    </row>
    <row r="516">
      <c r="A516" s="4" t="inlineStr">
        <is>
          <t>Студент2.2</t>
        </is>
      </c>
      <c r="B516" s="4" t="inlineStr"/>
      <c r="C516" s="4" t="n"/>
      <c r="D516" s="4" t="n"/>
      <c r="E516" s="4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  <c r="O516" s="15" t="n"/>
      <c r="P516" s="15" t="n"/>
      <c r="Q516" s="15" t="n"/>
      <c r="R516" s="15" t="n"/>
      <c r="S516" s="15" t="n"/>
      <c r="T516" s="15" t="n"/>
      <c r="U516" s="15" t="n"/>
      <c r="V516" s="15" t="n"/>
      <c r="W516" s="15" t="n"/>
      <c r="X516" s="15" t="n"/>
      <c r="Y516" s="15" t="n"/>
      <c r="Z516" s="15" t="n"/>
      <c r="AA516" s="15" t="n"/>
      <c r="AB516" s="15" t="n"/>
      <c r="AC516" s="15" t="n"/>
      <c r="AD516" s="15" t="n"/>
      <c r="AE516" s="15" t="n"/>
      <c r="AF516" s="15" t="n"/>
      <c r="AG516" s="15" t="n"/>
      <c r="AH516" s="15" t="n"/>
      <c r="AI516" s="15" t="n"/>
    </row>
    <row r="517">
      <c r="A517" s="4" t="inlineStr">
        <is>
          <t>Студент2.3</t>
        </is>
      </c>
      <c r="B517" s="4" t="inlineStr"/>
      <c r="C517" s="4" t="n"/>
      <c r="D517" s="4" t="n"/>
      <c r="E517" s="4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  <c r="O517" s="15" t="n"/>
      <c r="P517" s="15" t="n"/>
      <c r="Q517" s="15" t="n"/>
      <c r="R517" s="15" t="n"/>
      <c r="S517" s="15" t="n"/>
      <c r="T517" s="15" t="n"/>
      <c r="U517" s="15" t="n"/>
      <c r="V517" s="15" t="n"/>
      <c r="W517" s="15" t="n"/>
      <c r="X517" s="15" t="n"/>
      <c r="Y517" s="15" t="n"/>
      <c r="Z517" s="15" t="n"/>
      <c r="AA517" s="15" t="n"/>
      <c r="AB517" s="15" t="n"/>
      <c r="AC517" s="15" t="n"/>
      <c r="AD517" s="15" t="n"/>
      <c r="AE517" s="15" t="n"/>
      <c r="AF517" s="15" t="n"/>
      <c r="AG517" s="15" t="n"/>
      <c r="AH517" s="15" t="n"/>
      <c r="AI517" s="15" t="n"/>
    </row>
    <row r="518">
      <c r="A518" s="4" t="inlineStr">
        <is>
          <t>Студент2.4</t>
        </is>
      </c>
      <c r="B518" s="4" t="inlineStr"/>
      <c r="C518" s="4" t="n"/>
      <c r="D518" s="4" t="n"/>
      <c r="E518" s="4" t="n"/>
      <c r="F518" s="15" t="n"/>
      <c r="G518" s="15" t="n"/>
      <c r="H518" s="15" t="n"/>
      <c r="I518" s="15" t="n"/>
      <c r="J518" s="15" t="n"/>
      <c r="K518" s="15" t="n"/>
      <c r="L518" s="15" t="n"/>
      <c r="M518" s="15" t="n"/>
      <c r="N518" s="15" t="n"/>
      <c r="O518" s="15" t="n"/>
      <c r="P518" s="15" t="n"/>
      <c r="Q518" s="15" t="n"/>
      <c r="R518" s="15" t="n"/>
      <c r="S518" s="15" t="n"/>
      <c r="T518" s="15" t="n"/>
      <c r="U518" s="15" t="n"/>
      <c r="V518" s="15" t="n"/>
      <c r="W518" s="15" t="n"/>
      <c r="X518" s="15" t="n"/>
      <c r="Y518" s="15" t="n"/>
      <c r="Z518" s="15" t="n"/>
      <c r="AA518" s="15" t="n"/>
      <c r="AB518" s="15" t="n"/>
      <c r="AC518" s="15" t="n"/>
      <c r="AD518" s="15" t="n"/>
      <c r="AE518" s="15" t="n"/>
      <c r="AF518" s="15" t="n"/>
      <c r="AG518" s="15" t="n"/>
      <c r="AH518" s="15" t="n"/>
      <c r="AI518" s="15" t="n"/>
    </row>
    <row r="519">
      <c r="A519" s="4" t="inlineStr">
        <is>
          <t>Студент2.5</t>
        </is>
      </c>
      <c r="B519" s="4" t="inlineStr"/>
      <c r="C519" s="4" t="n"/>
      <c r="D519" s="4" t="n"/>
      <c r="E519" s="4" t="n"/>
      <c r="F519" s="15" t="n"/>
      <c r="G519" s="15" t="n"/>
      <c r="H519" s="15" t="n"/>
      <c r="I519" s="15" t="n"/>
      <c r="J519" s="15" t="n"/>
      <c r="K519" s="15" t="n"/>
      <c r="L519" s="15" t="n"/>
      <c r="M519" s="15" t="n"/>
      <c r="N519" s="15" t="n"/>
      <c r="O519" s="15" t="n"/>
      <c r="P519" s="15" t="n"/>
      <c r="Q519" s="15" t="n"/>
      <c r="R519" s="15" t="n"/>
      <c r="S519" s="15" t="n"/>
      <c r="T519" s="15" t="n"/>
      <c r="U519" s="15" t="n"/>
      <c r="V519" s="15" t="n"/>
      <c r="W519" s="15" t="n"/>
      <c r="X519" s="15" t="n"/>
      <c r="Y519" s="15" t="n"/>
      <c r="Z519" s="15" t="n"/>
      <c r="AA519" s="15" t="n"/>
      <c r="AB519" s="15" t="n"/>
      <c r="AC519" s="15" t="n"/>
      <c r="AD519" s="15" t="n"/>
      <c r="AE519" s="15" t="n"/>
      <c r="AF519" s="15" t="n"/>
      <c r="AG519" s="15" t="n"/>
      <c r="AH519" s="15" t="n"/>
      <c r="AI519" s="15" t="n"/>
    </row>
    <row r="520">
      <c r="A520" s="4" t="inlineStr">
        <is>
          <t>Студент2.6</t>
        </is>
      </c>
      <c r="B520" s="4" t="inlineStr"/>
      <c r="C520" s="4" t="n"/>
      <c r="D520" s="4" t="n"/>
      <c r="E520" s="4" t="n"/>
      <c r="F520" s="15" t="n"/>
      <c r="G520" s="15" t="n"/>
      <c r="H520" s="15" t="n"/>
      <c r="I520" s="15" t="n"/>
      <c r="J520" s="15" t="n"/>
      <c r="K520" s="15" t="n"/>
      <c r="L520" s="15" t="n"/>
      <c r="M520" s="15" t="n"/>
      <c r="N520" s="15" t="n"/>
      <c r="O520" s="15" t="n"/>
      <c r="P520" s="15" t="n"/>
      <c r="Q520" s="15" t="n"/>
      <c r="R520" s="15" t="n"/>
      <c r="S520" s="15" t="n"/>
      <c r="T520" s="15" t="n"/>
      <c r="U520" s="15" t="n"/>
      <c r="V520" s="15" t="n"/>
      <c r="W520" s="15" t="n"/>
      <c r="X520" s="15" t="n"/>
      <c r="Y520" s="15" t="n"/>
      <c r="Z520" s="15" t="n"/>
      <c r="AA520" s="15" t="n"/>
      <c r="AB520" s="15" t="n"/>
      <c r="AC520" s="15" t="n"/>
      <c r="AD520" s="15" t="n"/>
      <c r="AE520" s="15" t="n"/>
      <c r="AF520" s="15" t="n"/>
      <c r="AG520" s="15" t="n"/>
      <c r="AH520" s="15" t="n"/>
      <c r="AI520" s="15" t="n"/>
    </row>
    <row r="521">
      <c r="A521" s="4" t="inlineStr">
        <is>
          <t>Студент2.7</t>
        </is>
      </c>
      <c r="B521" s="4" t="inlineStr"/>
      <c r="C521" s="4" t="n"/>
      <c r="D521" s="4" t="n"/>
      <c r="E521" s="4" t="n"/>
      <c r="F521" s="15" t="n"/>
      <c r="G521" s="15" t="n"/>
      <c r="H521" s="15" t="n"/>
      <c r="I521" s="15" t="n"/>
      <c r="J521" s="15" t="n"/>
      <c r="K521" s="15" t="n"/>
      <c r="L521" s="15" t="n"/>
      <c r="M521" s="15" t="n"/>
      <c r="N521" s="15" t="n"/>
      <c r="O521" s="15" t="n"/>
      <c r="P521" s="15" t="n"/>
      <c r="Q521" s="15" t="n"/>
      <c r="R521" s="15" t="n"/>
      <c r="S521" s="15" t="n"/>
      <c r="T521" s="15" t="n"/>
      <c r="U521" s="15" t="n"/>
      <c r="V521" s="15" t="n"/>
      <c r="W521" s="15" t="n"/>
      <c r="X521" s="15" t="n"/>
      <c r="Y521" s="15" t="n"/>
      <c r="Z521" s="15" t="n"/>
      <c r="AA521" s="15" t="n"/>
      <c r="AB521" s="15" t="n"/>
      <c r="AC521" s="15" t="n"/>
      <c r="AD521" s="15" t="n"/>
      <c r="AE521" s="15" t="n"/>
      <c r="AF521" s="15" t="n"/>
      <c r="AG521" s="15" t="n"/>
      <c r="AH521" s="15" t="n"/>
      <c r="AI521" s="15" t="n"/>
    </row>
    <row r="522">
      <c r="A522" s="4" t="inlineStr">
        <is>
          <t>Студент2.8</t>
        </is>
      </c>
      <c r="B522" s="4" t="inlineStr"/>
      <c r="C522" s="4" t="n"/>
      <c r="D522" s="4" t="n"/>
      <c r="E522" s="4" t="n"/>
      <c r="F522" s="15" t="n"/>
      <c r="G522" s="15" t="n"/>
      <c r="H522" s="15" t="n"/>
      <c r="I522" s="15" t="n"/>
      <c r="J522" s="15" t="n"/>
      <c r="K522" s="15" t="n"/>
      <c r="L522" s="15" t="n"/>
      <c r="M522" s="15" t="n"/>
      <c r="N522" s="15" t="n"/>
      <c r="O522" s="15" t="n"/>
      <c r="P522" s="15" t="n"/>
      <c r="Q522" s="15" t="n"/>
      <c r="R522" s="15" t="n"/>
      <c r="S522" s="15" t="n"/>
      <c r="T522" s="15" t="n"/>
      <c r="U522" s="15" t="n"/>
      <c r="V522" s="15" t="n"/>
      <c r="W522" s="15" t="n"/>
      <c r="X522" s="15" t="n"/>
      <c r="Y522" s="15" t="n"/>
      <c r="Z522" s="15" t="n"/>
      <c r="AA522" s="15" t="n"/>
      <c r="AB522" s="15" t="n"/>
      <c r="AC522" s="15" t="n"/>
      <c r="AD522" s="15" t="n"/>
      <c r="AE522" s="15" t="n"/>
      <c r="AF522" s="15" t="n"/>
      <c r="AG522" s="15" t="n"/>
      <c r="AH522" s="15" t="n"/>
      <c r="AI522" s="15" t="n"/>
    </row>
    <row r="523">
      <c r="A523" s="4" t="inlineStr">
        <is>
          <t>Студент2.9</t>
        </is>
      </c>
      <c r="B523" s="4" t="inlineStr"/>
      <c r="C523" s="4" t="n"/>
      <c r="D523" s="4" t="n"/>
      <c r="E523" s="4" t="n"/>
      <c r="F523" s="15" t="n"/>
      <c r="G523" s="15" t="n"/>
      <c r="H523" s="15" t="n"/>
      <c r="I523" s="15" t="n"/>
      <c r="J523" s="15" t="n"/>
      <c r="K523" s="15" t="n"/>
      <c r="L523" s="15" t="n"/>
      <c r="M523" s="15" t="n"/>
      <c r="N523" s="15" t="n"/>
      <c r="O523" s="15" t="n"/>
      <c r="P523" s="15" t="n"/>
      <c r="Q523" s="15" t="n"/>
      <c r="R523" s="15" t="n"/>
      <c r="S523" s="15" t="n"/>
      <c r="T523" s="15" t="n"/>
      <c r="U523" s="15" t="n"/>
      <c r="V523" s="15" t="n"/>
      <c r="W523" s="15" t="n"/>
      <c r="X523" s="15" t="n"/>
      <c r="Y523" s="15" t="n"/>
      <c r="Z523" s="15" t="n"/>
      <c r="AA523" s="15" t="n"/>
      <c r="AB523" s="15" t="n"/>
      <c r="AC523" s="15" t="n"/>
      <c r="AD523" s="15" t="n"/>
      <c r="AE523" s="15" t="n"/>
      <c r="AF523" s="15" t="n"/>
      <c r="AG523" s="15" t="n"/>
      <c r="AH523" s="15" t="n"/>
      <c r="AI523" s="15" t="n"/>
    </row>
    <row r="524">
      <c r="A524" s="4" t="inlineStr">
        <is>
          <t>Студент2.10</t>
        </is>
      </c>
      <c r="B524" s="4" t="inlineStr"/>
      <c r="C524" s="4" t="n"/>
      <c r="D524" s="4" t="n"/>
      <c r="E524" s="4" t="n"/>
      <c r="F524" s="15" t="n"/>
      <c r="G524" s="15" t="n"/>
      <c r="H524" s="15" t="n"/>
      <c r="I524" s="15" t="n"/>
      <c r="J524" s="15" t="n"/>
      <c r="K524" s="15" t="n"/>
      <c r="L524" s="15" t="n"/>
      <c r="M524" s="15" t="n"/>
      <c r="N524" s="15" t="n"/>
      <c r="O524" s="15" t="n"/>
      <c r="P524" s="15" t="n"/>
      <c r="Q524" s="15" t="n"/>
      <c r="R524" s="15" t="n"/>
      <c r="S524" s="15" t="n"/>
      <c r="T524" s="15" t="n"/>
      <c r="U524" s="15" t="n"/>
      <c r="V524" s="15" t="n"/>
      <c r="W524" s="15" t="n"/>
      <c r="X524" s="15" t="n"/>
      <c r="Y524" s="15" t="n"/>
      <c r="Z524" s="15" t="n"/>
      <c r="AA524" s="15" t="n"/>
      <c r="AB524" s="15" t="n"/>
      <c r="AC524" s="15" t="n"/>
      <c r="AD524" s="15" t="n"/>
      <c r="AE524" s="15" t="n"/>
      <c r="AF524" s="15" t="n"/>
      <c r="AG524" s="15" t="n"/>
      <c r="AH524" s="15" t="n"/>
      <c r="AI524" s="15" t="n"/>
    </row>
    <row r="525">
      <c r="A525" s="4" t="inlineStr">
        <is>
          <t>Студент2.11</t>
        </is>
      </c>
      <c r="B525" s="4" t="inlineStr"/>
      <c r="C525" s="4" t="n"/>
      <c r="D525" s="4" t="n"/>
      <c r="E525" s="4" t="n"/>
      <c r="F525" s="15" t="n"/>
      <c r="G525" s="15" t="n"/>
      <c r="H525" s="15" t="n"/>
      <c r="I525" s="15" t="n"/>
      <c r="J525" s="15" t="n"/>
      <c r="K525" s="15" t="n"/>
      <c r="L525" s="15" t="n"/>
      <c r="M525" s="15" t="n"/>
      <c r="N525" s="15" t="n"/>
      <c r="O525" s="15" t="n"/>
      <c r="P525" s="15" t="n"/>
      <c r="Q525" s="15" t="n"/>
      <c r="R525" s="15" t="n"/>
      <c r="S525" s="15" t="n"/>
      <c r="T525" s="15" t="n"/>
      <c r="U525" s="15" t="n"/>
      <c r="V525" s="15" t="n"/>
      <c r="W525" s="15" t="n"/>
      <c r="X525" s="15" t="n"/>
      <c r="Y525" s="15" t="n"/>
      <c r="Z525" s="15" t="n"/>
      <c r="AA525" s="15" t="n"/>
      <c r="AB525" s="15" t="n"/>
      <c r="AC525" s="15" t="n"/>
      <c r="AD525" s="15" t="n"/>
      <c r="AE525" s="15" t="n"/>
      <c r="AF525" s="15" t="n"/>
      <c r="AG525" s="15" t="n"/>
      <c r="AH525" s="15" t="n"/>
      <c r="AI525" s="15" t="n"/>
    </row>
    <row r="526">
      <c r="A526" s="4" t="inlineStr">
        <is>
          <t>Студент2.12</t>
        </is>
      </c>
      <c r="B526" s="4" t="inlineStr"/>
      <c r="C526" s="4" t="n"/>
      <c r="D526" s="4" t="n"/>
      <c r="E526" s="4" t="n"/>
      <c r="F526" s="15" t="n"/>
      <c r="G526" s="15" t="n"/>
      <c r="H526" s="15" t="n"/>
      <c r="I526" s="15" t="n"/>
      <c r="J526" s="15" t="n"/>
      <c r="K526" s="15" t="n"/>
      <c r="L526" s="15" t="n"/>
      <c r="M526" s="15" t="n"/>
      <c r="N526" s="15" t="n"/>
      <c r="O526" s="15" t="n"/>
      <c r="P526" s="15" t="n"/>
      <c r="Q526" s="15" t="n"/>
      <c r="R526" s="15" t="n"/>
      <c r="S526" s="15" t="n"/>
      <c r="T526" s="15" t="n"/>
      <c r="U526" s="15" t="n"/>
      <c r="V526" s="15" t="n"/>
      <c r="W526" s="15" t="n"/>
      <c r="X526" s="15" t="n"/>
      <c r="Y526" s="15" t="n"/>
      <c r="Z526" s="15" t="n"/>
      <c r="AA526" s="15" t="n"/>
      <c r="AB526" s="15" t="n"/>
      <c r="AC526" s="15" t="n"/>
      <c r="AD526" s="15" t="n"/>
      <c r="AE526" s="15" t="n"/>
      <c r="AF526" s="15" t="n"/>
      <c r="AG526" s="15" t="n"/>
      <c r="AH526" s="15" t="n"/>
      <c r="AI526" s="15" t="n"/>
    </row>
    <row r="527">
      <c r="A527" s="4" t="inlineStr">
        <is>
          <t>Студент2.13</t>
        </is>
      </c>
      <c r="B527" s="4" t="inlineStr"/>
      <c r="C527" s="4" t="n"/>
      <c r="D527" s="4" t="n"/>
      <c r="E527" s="4" t="n"/>
      <c r="F527" s="15" t="n"/>
      <c r="G527" s="15" t="n"/>
      <c r="H527" s="15" t="n"/>
      <c r="I527" s="15" t="n"/>
      <c r="J527" s="15" t="n"/>
      <c r="K527" s="15" t="n"/>
      <c r="L527" s="15" t="n"/>
      <c r="M527" s="15" t="n"/>
      <c r="N527" s="15" t="n"/>
      <c r="O527" s="15" t="n"/>
      <c r="P527" s="15" t="n"/>
      <c r="Q527" s="15" t="n"/>
      <c r="R527" s="15" t="n"/>
      <c r="S527" s="15" t="n"/>
      <c r="T527" s="15" t="n"/>
      <c r="U527" s="15" t="n"/>
      <c r="V527" s="15" t="n"/>
      <c r="W527" s="15" t="n"/>
      <c r="X527" s="15" t="n"/>
      <c r="Y527" s="15" t="n"/>
      <c r="Z527" s="15" t="n"/>
      <c r="AA527" s="15" t="n"/>
      <c r="AB527" s="15" t="n"/>
      <c r="AC527" s="15" t="n"/>
      <c r="AD527" s="15" t="n"/>
      <c r="AE527" s="15" t="n"/>
      <c r="AF527" s="15" t="n"/>
      <c r="AG527" s="15" t="n"/>
      <c r="AH527" s="15" t="n"/>
      <c r="AI527" s="15" t="n"/>
    </row>
    <row r="528">
      <c r="A528" s="4" t="inlineStr">
        <is>
          <t>Студент2.14</t>
        </is>
      </c>
      <c r="B528" s="4" t="inlineStr"/>
      <c r="C528" s="4" t="n"/>
      <c r="D528" s="4" t="n"/>
      <c r="E528" s="4" t="n"/>
      <c r="F528" s="15" t="n"/>
      <c r="G528" s="15" t="n"/>
      <c r="H528" s="15" t="n"/>
      <c r="I528" s="15" t="n"/>
      <c r="J528" s="15" t="n"/>
      <c r="K528" s="15" t="n"/>
      <c r="L528" s="15" t="n"/>
      <c r="M528" s="15" t="n"/>
      <c r="N528" s="15" t="n"/>
      <c r="O528" s="15" t="n"/>
      <c r="P528" s="15" t="n"/>
      <c r="Q528" s="15" t="n"/>
      <c r="R528" s="15" t="n"/>
      <c r="S528" s="15" t="n"/>
      <c r="T528" s="15" t="n"/>
      <c r="U528" s="15" t="n"/>
      <c r="V528" s="15" t="n"/>
      <c r="W528" s="15" t="n"/>
      <c r="X528" s="15" t="n"/>
      <c r="Y528" s="15" t="n"/>
      <c r="Z528" s="15" t="n"/>
      <c r="AA528" s="15" t="n"/>
      <c r="AB528" s="15" t="n"/>
      <c r="AC528" s="15" t="n"/>
      <c r="AD528" s="15" t="n"/>
      <c r="AE528" s="15" t="n"/>
      <c r="AF528" s="15" t="n"/>
      <c r="AG528" s="15" t="n"/>
      <c r="AH528" s="15" t="n"/>
      <c r="AI528" s="15" t="n"/>
    </row>
    <row r="529">
      <c r="A529" s="4" t="inlineStr">
        <is>
          <t>Студент2.15</t>
        </is>
      </c>
      <c r="B529" s="4" t="inlineStr"/>
      <c r="C529" s="4" t="n"/>
      <c r="D529" s="4" t="n"/>
      <c r="E529" s="4" t="n"/>
      <c r="F529" s="15" t="n"/>
      <c r="G529" s="15" t="n"/>
      <c r="H529" s="15" t="n"/>
      <c r="I529" s="15" t="n"/>
      <c r="J529" s="15" t="n"/>
      <c r="K529" s="15" t="n"/>
      <c r="L529" s="15" t="n"/>
      <c r="M529" s="15" t="n"/>
      <c r="N529" s="15" t="n"/>
      <c r="O529" s="15" t="n"/>
      <c r="P529" s="15" t="n"/>
      <c r="Q529" s="15" t="n"/>
      <c r="R529" s="15" t="n"/>
      <c r="S529" s="15" t="n"/>
      <c r="T529" s="15" t="n"/>
      <c r="U529" s="15" t="n"/>
      <c r="V529" s="15" t="n"/>
      <c r="W529" s="15" t="n"/>
      <c r="X529" s="15" t="n"/>
      <c r="Y529" s="15" t="n"/>
      <c r="Z529" s="15" t="n"/>
      <c r="AA529" s="15" t="n"/>
      <c r="AB529" s="15" t="n"/>
      <c r="AC529" s="15" t="n"/>
      <c r="AD529" s="15" t="n"/>
      <c r="AE529" s="15" t="n"/>
      <c r="AF529" s="15" t="n"/>
      <c r="AG529" s="15" t="n"/>
      <c r="AH529" s="15" t="n"/>
      <c r="AI529" s="15" t="n"/>
    </row>
    <row r="530">
      <c r="A530" s="4" t="inlineStr">
        <is>
          <t>Студент2.16</t>
        </is>
      </c>
      <c r="B530" s="4" t="inlineStr"/>
      <c r="C530" s="4" t="n"/>
      <c r="D530" s="4" t="n"/>
      <c r="E530" s="4" t="n"/>
      <c r="F530" s="15" t="n"/>
      <c r="G530" s="15" t="n"/>
      <c r="H530" s="15" t="n"/>
      <c r="I530" s="15" t="n"/>
      <c r="J530" s="15" t="n"/>
      <c r="K530" s="15" t="n"/>
      <c r="L530" s="15" t="n"/>
      <c r="M530" s="15" t="n"/>
      <c r="N530" s="15" t="n"/>
      <c r="O530" s="15" t="n"/>
      <c r="P530" s="15" t="n"/>
      <c r="Q530" s="15" t="n"/>
      <c r="R530" s="15" t="n"/>
      <c r="S530" s="15" t="n"/>
      <c r="T530" s="15" t="n"/>
      <c r="U530" s="15" t="n"/>
      <c r="V530" s="15" t="n"/>
      <c r="W530" s="15" t="n"/>
      <c r="X530" s="15" t="n"/>
      <c r="Y530" s="15" t="n"/>
      <c r="Z530" s="15" t="n"/>
      <c r="AA530" s="15" t="n"/>
      <c r="AB530" s="15" t="n"/>
      <c r="AC530" s="15" t="n"/>
      <c r="AD530" s="15" t="n"/>
      <c r="AE530" s="15" t="n"/>
      <c r="AF530" s="15" t="n"/>
      <c r="AG530" s="15" t="n"/>
      <c r="AH530" s="15" t="n"/>
      <c r="AI530" s="15" t="n"/>
    </row>
    <row r="531">
      <c r="A531" s="4" t="inlineStr">
        <is>
          <t>Студент2.17</t>
        </is>
      </c>
      <c r="B531" s="4" t="inlineStr"/>
      <c r="C531" s="4" t="n"/>
      <c r="D531" s="4" t="n"/>
      <c r="E531" s="4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  <c r="P531" s="15" t="n"/>
      <c r="Q531" s="15" t="n"/>
      <c r="R531" s="15" t="n"/>
      <c r="S531" s="15" t="n"/>
      <c r="T531" s="15" t="n"/>
      <c r="U531" s="15" t="n"/>
      <c r="V531" s="15" t="n"/>
      <c r="W531" s="15" t="n"/>
      <c r="X531" s="15" t="n"/>
      <c r="Y531" s="15" t="n"/>
      <c r="Z531" s="15" t="n"/>
      <c r="AA531" s="15" t="n"/>
      <c r="AB531" s="15" t="n"/>
      <c r="AC531" s="15" t="n"/>
      <c r="AD531" s="15" t="n"/>
      <c r="AE531" s="15" t="n"/>
      <c r="AF531" s="15" t="n"/>
      <c r="AG531" s="15" t="n"/>
      <c r="AH531" s="15" t="n"/>
      <c r="AI531" s="15" t="n"/>
    </row>
    <row r="532">
      <c r="A532" s="4" t="inlineStr">
        <is>
          <t>Студент2.18</t>
        </is>
      </c>
      <c r="B532" s="4" t="inlineStr"/>
      <c r="C532" s="4" t="n"/>
      <c r="D532" s="4" t="n"/>
      <c r="E532" s="4" t="n"/>
      <c r="F532" s="15" t="n"/>
      <c r="G532" s="15" t="n"/>
      <c r="H532" s="15" t="n"/>
      <c r="I532" s="15" t="n"/>
      <c r="J532" s="15" t="n"/>
      <c r="K532" s="15" t="n"/>
      <c r="L532" s="15" t="n"/>
      <c r="M532" s="15" t="n"/>
      <c r="N532" s="15" t="n"/>
      <c r="O532" s="15" t="n"/>
      <c r="P532" s="15" t="n"/>
      <c r="Q532" s="15" t="n"/>
      <c r="R532" s="15" t="n"/>
      <c r="S532" s="15" t="n"/>
      <c r="T532" s="15" t="n"/>
      <c r="U532" s="15" t="n"/>
      <c r="V532" s="15" t="n"/>
      <c r="W532" s="15" t="n"/>
      <c r="X532" s="15" t="n"/>
      <c r="Y532" s="15" t="n"/>
      <c r="Z532" s="15" t="n"/>
      <c r="AA532" s="15" t="n"/>
      <c r="AB532" s="15" t="n"/>
      <c r="AC532" s="15" t="n"/>
      <c r="AD532" s="15" t="n"/>
      <c r="AE532" s="15" t="n"/>
      <c r="AF532" s="15" t="n"/>
      <c r="AG532" s="15" t="n"/>
      <c r="AH532" s="15" t="n"/>
      <c r="AI532" s="15" t="n"/>
    </row>
    <row r="533">
      <c r="A533" s="4" t="inlineStr">
        <is>
          <t>Студент2.19</t>
        </is>
      </c>
      <c r="B533" s="4" t="inlineStr"/>
      <c r="C533" s="4" t="n"/>
      <c r="D533" s="4" t="n"/>
      <c r="E533" s="4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  <c r="O533" s="15" t="n"/>
      <c r="P533" s="15" t="n"/>
      <c r="Q533" s="15" t="n"/>
      <c r="R533" s="15" t="n"/>
      <c r="S533" s="15" t="n"/>
      <c r="T533" s="15" t="n"/>
      <c r="U533" s="15" t="n"/>
      <c r="V533" s="15" t="n"/>
      <c r="W533" s="15" t="n"/>
      <c r="X533" s="15" t="n"/>
      <c r="Y533" s="15" t="n"/>
      <c r="Z533" s="15" t="n"/>
      <c r="AA533" s="15" t="n"/>
      <c r="AB533" s="15" t="n"/>
      <c r="AC533" s="15" t="n"/>
      <c r="AD533" s="15" t="n"/>
      <c r="AE533" s="15" t="n"/>
      <c r="AF533" s="15" t="n"/>
      <c r="AG533" s="15" t="n"/>
      <c r="AH533" s="15" t="n"/>
      <c r="AI533" s="15" t="n"/>
    </row>
    <row r="534">
      <c r="A534" s="4" t="inlineStr">
        <is>
          <t>Студент2.20</t>
        </is>
      </c>
      <c r="B534" s="4" t="inlineStr"/>
      <c r="C534" s="4" t="n"/>
      <c r="D534" s="4" t="n"/>
      <c r="E534" s="4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  <c r="O534" s="15" t="n"/>
      <c r="P534" s="15" t="n"/>
      <c r="Q534" s="15" t="n"/>
      <c r="R534" s="15" t="n"/>
      <c r="S534" s="15" t="n"/>
      <c r="T534" s="15" t="n"/>
      <c r="U534" s="15" t="n"/>
      <c r="V534" s="15" t="n"/>
      <c r="W534" s="15" t="n"/>
      <c r="X534" s="15" t="n"/>
      <c r="Y534" s="15" t="n"/>
      <c r="Z534" s="15" t="n"/>
      <c r="AA534" s="15" t="n"/>
      <c r="AB534" s="15" t="n"/>
      <c r="AC534" s="15" t="n"/>
      <c r="AD534" s="15" t="n"/>
      <c r="AE534" s="15" t="n"/>
      <c r="AF534" s="15" t="n"/>
      <c r="AG534" s="15" t="n"/>
      <c r="AH534" s="15" t="n"/>
      <c r="AI534" s="15" t="n"/>
    </row>
    <row r="535">
      <c r="A535" s="4" t="inlineStr">
        <is>
          <t>Студент2.21</t>
        </is>
      </c>
      <c r="B535" s="4" t="inlineStr"/>
      <c r="C535" s="4" t="n"/>
      <c r="D535" s="4" t="n"/>
      <c r="E535" s="4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  <c r="O535" s="15" t="n"/>
      <c r="P535" s="15" t="n"/>
      <c r="Q535" s="15" t="n"/>
      <c r="R535" s="15" t="n"/>
      <c r="S535" s="15" t="n"/>
      <c r="T535" s="15" t="n"/>
      <c r="U535" s="15" t="n"/>
      <c r="V535" s="15" t="n"/>
      <c r="W535" s="15" t="n"/>
      <c r="X535" s="15" t="n"/>
      <c r="Y535" s="15" t="n"/>
      <c r="Z535" s="15" t="n"/>
      <c r="AA535" s="15" t="n"/>
      <c r="AB535" s="15" t="n"/>
      <c r="AC535" s="15" t="n"/>
      <c r="AD535" s="15" t="n"/>
      <c r="AE535" s="15" t="n"/>
      <c r="AF535" s="15" t="n"/>
      <c r="AG535" s="15" t="n"/>
      <c r="AH535" s="15" t="n"/>
      <c r="AI535" s="15" t="n"/>
    </row>
    <row r="536">
      <c r="A536" s="4" t="inlineStr">
        <is>
          <t>Студент2.22</t>
        </is>
      </c>
      <c r="B536" s="4" t="inlineStr"/>
      <c r="C536" s="4" t="n"/>
      <c r="D536" s="4" t="n"/>
      <c r="E536" s="4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5" t="n"/>
      <c r="P536" s="15" t="n"/>
      <c r="Q536" s="15" t="n"/>
      <c r="R536" s="15" t="n"/>
      <c r="S536" s="15" t="n"/>
      <c r="T536" s="15" t="n"/>
      <c r="U536" s="15" t="n"/>
      <c r="V536" s="15" t="n"/>
      <c r="W536" s="15" t="n"/>
      <c r="X536" s="15" t="n"/>
      <c r="Y536" s="15" t="n"/>
      <c r="Z536" s="15" t="n"/>
      <c r="AA536" s="15" t="n"/>
      <c r="AB536" s="15" t="n"/>
      <c r="AC536" s="15" t="n"/>
      <c r="AD536" s="15" t="n"/>
      <c r="AE536" s="15" t="n"/>
      <c r="AF536" s="15" t="n"/>
      <c r="AG536" s="15" t="n"/>
      <c r="AH536" s="15" t="n"/>
      <c r="AI536" s="15" t="n"/>
    </row>
    <row r="537">
      <c r="A537" s="4" t="inlineStr">
        <is>
          <t>Студент2.23</t>
        </is>
      </c>
      <c r="B537" s="4" t="inlineStr"/>
      <c r="C537" s="4" t="n"/>
      <c r="D537" s="4" t="n"/>
      <c r="E537" s="4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  <c r="O537" s="15" t="n"/>
      <c r="P537" s="15" t="n"/>
      <c r="Q537" s="15" t="n"/>
      <c r="R537" s="15" t="n"/>
      <c r="S537" s="15" t="n"/>
      <c r="T537" s="15" t="n"/>
      <c r="U537" s="15" t="n"/>
      <c r="V537" s="15" t="n"/>
      <c r="W537" s="15" t="n"/>
      <c r="X537" s="15" t="n"/>
      <c r="Y537" s="15" t="n"/>
      <c r="Z537" s="15" t="n"/>
      <c r="AA537" s="15" t="n"/>
      <c r="AB537" s="15" t="n"/>
      <c r="AC537" s="15" t="n"/>
      <c r="AD537" s="15" t="n"/>
      <c r="AE537" s="15" t="n"/>
      <c r="AF537" s="15" t="n"/>
      <c r="AG537" s="15" t="n"/>
      <c r="AH537" s="15" t="n"/>
      <c r="AI537" s="15" t="n"/>
    </row>
    <row r="538">
      <c r="A538" s="4" t="inlineStr">
        <is>
          <t>Студент2.24</t>
        </is>
      </c>
      <c r="B538" s="4" t="inlineStr"/>
      <c r="C538" s="4" t="n"/>
      <c r="D538" s="4" t="n"/>
      <c r="E538" s="4" t="n"/>
      <c r="F538" s="15" t="n"/>
      <c r="G538" s="15" t="n"/>
      <c r="H538" s="15" t="n"/>
      <c r="I538" s="15" t="n"/>
      <c r="J538" s="15" t="n"/>
      <c r="K538" s="15" t="n"/>
      <c r="L538" s="15" t="n"/>
      <c r="M538" s="15" t="n"/>
      <c r="N538" s="15" t="n"/>
      <c r="O538" s="15" t="n"/>
      <c r="P538" s="15" t="n"/>
      <c r="Q538" s="15" t="n"/>
      <c r="R538" s="15" t="n"/>
      <c r="S538" s="15" t="n"/>
      <c r="T538" s="15" t="n"/>
      <c r="U538" s="15" t="n"/>
      <c r="V538" s="15" t="n"/>
      <c r="W538" s="15" t="n"/>
      <c r="X538" s="15" t="n"/>
      <c r="Y538" s="15" t="n"/>
      <c r="Z538" s="15" t="n"/>
      <c r="AA538" s="15" t="n"/>
      <c r="AB538" s="15" t="n"/>
      <c r="AC538" s="15" t="n"/>
      <c r="AD538" s="15" t="n"/>
      <c r="AE538" s="15" t="n"/>
      <c r="AF538" s="15" t="n"/>
      <c r="AG538" s="15" t="n"/>
      <c r="AH538" s="15" t="n"/>
      <c r="AI538" s="15" t="n"/>
    </row>
    <row r="539">
      <c r="A539" s="4" t="inlineStr">
        <is>
          <t>Студент2.25</t>
        </is>
      </c>
      <c r="B539" s="4" t="inlineStr"/>
      <c r="C539" s="4" t="n"/>
      <c r="D539" s="4" t="n"/>
      <c r="E539" s="4" t="n"/>
      <c r="F539" s="15" t="n"/>
      <c r="G539" s="15" t="n"/>
      <c r="H539" s="15" t="n"/>
      <c r="I539" s="15" t="n"/>
      <c r="J539" s="15" t="n"/>
      <c r="K539" s="15" t="n"/>
      <c r="L539" s="15" t="n"/>
      <c r="M539" s="15" t="n"/>
      <c r="N539" s="15" t="n"/>
      <c r="O539" s="15" t="n"/>
      <c r="P539" s="15" t="n"/>
      <c r="Q539" s="15" t="n"/>
      <c r="R539" s="15" t="n"/>
      <c r="S539" s="15" t="n"/>
      <c r="T539" s="15" t="n"/>
      <c r="U539" s="15" t="n"/>
      <c r="V539" s="15" t="n"/>
      <c r="W539" s="15" t="n"/>
      <c r="X539" s="15" t="n"/>
      <c r="Y539" s="15" t="n"/>
      <c r="Z539" s="15" t="n"/>
      <c r="AA539" s="15" t="n"/>
      <c r="AB539" s="15" t="n"/>
      <c r="AC539" s="15" t="n"/>
      <c r="AD539" s="15" t="n"/>
      <c r="AE539" s="15" t="n"/>
      <c r="AF539" s="15" t="n"/>
      <c r="AG539" s="15" t="n"/>
      <c r="AH539" s="15" t="n"/>
      <c r="AI539" s="15" t="n"/>
    </row>
    <row r="540">
      <c r="A540" s="4" t="inlineStr">
        <is>
          <t>Студент2.26</t>
        </is>
      </c>
      <c r="B540" s="4" t="inlineStr"/>
      <c r="C540" s="4" t="n"/>
      <c r="D540" s="4" t="n"/>
      <c r="E540" s="4" t="n"/>
      <c r="F540" s="15" t="n"/>
      <c r="G540" s="15" t="n"/>
      <c r="H540" s="15" t="n"/>
      <c r="I540" s="15" t="n"/>
      <c r="J540" s="15" t="n"/>
      <c r="K540" s="15" t="n"/>
      <c r="L540" s="15" t="n"/>
      <c r="M540" s="15" t="n"/>
      <c r="N540" s="15" t="n"/>
      <c r="O540" s="15" t="n"/>
      <c r="P540" s="15" t="n"/>
      <c r="Q540" s="15" t="n"/>
      <c r="R540" s="15" t="n"/>
      <c r="S540" s="15" t="n"/>
      <c r="T540" s="15" t="n"/>
      <c r="U540" s="15" t="n"/>
      <c r="V540" s="15" t="n"/>
      <c r="W540" s="15" t="n"/>
      <c r="X540" s="15" t="n"/>
      <c r="Y540" s="15" t="n"/>
      <c r="Z540" s="15" t="n"/>
      <c r="AA540" s="15" t="n"/>
      <c r="AB540" s="15" t="n"/>
      <c r="AC540" s="15" t="n"/>
      <c r="AD540" s="15" t="n"/>
      <c r="AE540" s="15" t="n"/>
      <c r="AF540" s="15" t="n"/>
      <c r="AG540" s="15" t="n"/>
      <c r="AH540" s="15" t="n"/>
      <c r="AI540" s="15" t="n"/>
    </row>
    <row r="541">
      <c r="A541" s="4" t="inlineStr">
        <is>
          <t>Студент2.27</t>
        </is>
      </c>
      <c r="B541" s="4" t="inlineStr"/>
      <c r="C541" s="4" t="n"/>
      <c r="D541" s="4" t="n"/>
      <c r="E541" s="4" t="n"/>
      <c r="F541" s="15" t="n"/>
      <c r="G541" s="15" t="n"/>
      <c r="H541" s="15" t="n"/>
      <c r="I541" s="15" t="n"/>
      <c r="J541" s="15" t="n"/>
      <c r="K541" s="15" t="n"/>
      <c r="L541" s="15" t="n"/>
      <c r="M541" s="15" t="n"/>
      <c r="N541" s="15" t="n"/>
      <c r="O541" s="15" t="n"/>
      <c r="P541" s="15" t="n"/>
      <c r="Q541" s="15" t="n"/>
      <c r="R541" s="15" t="n"/>
      <c r="S541" s="15" t="n"/>
      <c r="T541" s="15" t="n"/>
      <c r="U541" s="15" t="n"/>
      <c r="V541" s="15" t="n"/>
      <c r="W541" s="15" t="n"/>
      <c r="X541" s="15" t="n"/>
      <c r="Y541" s="15" t="n"/>
      <c r="Z541" s="15" t="n"/>
      <c r="AA541" s="15" t="n"/>
      <c r="AB541" s="15" t="n"/>
      <c r="AC541" s="15" t="n"/>
      <c r="AD541" s="15" t="n"/>
      <c r="AE541" s="15" t="n"/>
      <c r="AF541" s="15" t="n"/>
      <c r="AG541" s="15" t="n"/>
      <c r="AH541" s="15" t="n"/>
      <c r="AI541" s="15" t="n"/>
    </row>
    <row r="542">
      <c r="A542" s="4" t="inlineStr">
        <is>
          <t>Студент2.28</t>
        </is>
      </c>
      <c r="B542" s="4" t="inlineStr"/>
      <c r="C542" s="4" t="n"/>
      <c r="D542" s="4" t="n"/>
      <c r="E542" s="4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  <c r="O542" s="15" t="n"/>
      <c r="P542" s="15" t="n"/>
      <c r="Q542" s="15" t="n"/>
      <c r="R542" s="15" t="n"/>
      <c r="S542" s="15" t="n"/>
      <c r="T542" s="15" t="n"/>
      <c r="U542" s="15" t="n"/>
      <c r="V542" s="15" t="n"/>
      <c r="W542" s="15" t="n"/>
      <c r="X542" s="15" t="n"/>
      <c r="Y542" s="15" t="n"/>
      <c r="Z542" s="15" t="n"/>
      <c r="AA542" s="15" t="n"/>
      <c r="AB542" s="15" t="n"/>
      <c r="AC542" s="15" t="n"/>
      <c r="AD542" s="15" t="n"/>
      <c r="AE542" s="15" t="n"/>
      <c r="AF542" s="15" t="n"/>
      <c r="AG542" s="15" t="n"/>
      <c r="AH542" s="15" t="n"/>
      <c r="AI542" s="15" t="n"/>
    </row>
    <row r="543">
      <c r="A543" s="4" t="inlineStr">
        <is>
          <t>Студент2.29</t>
        </is>
      </c>
      <c r="B543" s="4" t="inlineStr"/>
      <c r="C543" s="4" t="n"/>
      <c r="D543" s="4" t="n"/>
      <c r="E543" s="4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  <c r="O543" s="15" t="n"/>
      <c r="P543" s="15" t="n"/>
      <c r="Q543" s="15" t="n"/>
      <c r="R543" s="15" t="n"/>
      <c r="S543" s="15" t="n"/>
      <c r="T543" s="15" t="n"/>
      <c r="U543" s="15" t="n"/>
      <c r="V543" s="15" t="n"/>
      <c r="W543" s="15" t="n"/>
      <c r="X543" s="15" t="n"/>
      <c r="Y543" s="15" t="n"/>
      <c r="Z543" s="15" t="n"/>
      <c r="AA543" s="15" t="n"/>
      <c r="AB543" s="15" t="n"/>
      <c r="AC543" s="15" t="n"/>
      <c r="AD543" s="15" t="n"/>
      <c r="AE543" s="15" t="n"/>
      <c r="AF543" s="15" t="n"/>
      <c r="AG543" s="15" t="n"/>
      <c r="AH543" s="15" t="n"/>
      <c r="AI543" s="15" t="n"/>
    </row>
    <row r="544">
      <c r="A544" s="4" t="inlineStr">
        <is>
          <t>Студент2.30</t>
        </is>
      </c>
      <c r="B544" s="4" t="inlineStr"/>
      <c r="C544" s="4" t="n"/>
      <c r="D544" s="4" t="n"/>
      <c r="E544" s="4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  <c r="O544" s="15" t="n"/>
      <c r="P544" s="15" t="n"/>
      <c r="Q544" s="15" t="n"/>
      <c r="R544" s="15" t="n"/>
      <c r="S544" s="15" t="n"/>
      <c r="T544" s="15" t="n"/>
      <c r="U544" s="15" t="n"/>
      <c r="V544" s="15" t="n"/>
      <c r="W544" s="15" t="n"/>
      <c r="X544" s="15" t="n"/>
      <c r="Y544" s="15" t="n"/>
      <c r="Z544" s="15" t="n"/>
      <c r="AA544" s="15" t="n"/>
      <c r="AB544" s="15" t="n"/>
      <c r="AC544" s="15" t="n"/>
      <c r="AD544" s="15" t="n"/>
      <c r="AE544" s="15" t="n"/>
      <c r="AF544" s="15" t="n"/>
      <c r="AG544" s="15" t="n"/>
      <c r="AH544" s="15" t="n"/>
      <c r="AI544" s="15" t="n"/>
    </row>
    <row r="548">
      <c r="A548" s="13" t="inlineStr">
        <is>
          <t>Практика 9 — плюсы</t>
        </is>
      </c>
    </row>
    <row r="549" ht="28" customHeight="1">
      <c r="A549" s="7" t="inlineStr">
        <is>
          <t>Имя</t>
        </is>
      </c>
      <c r="B549" s="9" t="inlineStr">
        <is>
          <t>TG</t>
        </is>
      </c>
      <c r="C549" s="10" t="inlineStr">
        <is>
          <t>S</t>
        </is>
      </c>
      <c r="D549" s="8" t="inlineStr">
        <is>
          <t>Коэффициент</t>
        </is>
      </c>
      <c r="E549" s="14" t="inlineStr">
        <is>
          <t>D за практику</t>
        </is>
      </c>
      <c r="F549" s="11" t="inlineStr">
        <is>
          <t>1.0</t>
        </is>
      </c>
      <c r="G549" s="11" t="inlineStr">
        <is>
          <t>2.0</t>
        </is>
      </c>
      <c r="H549" s="11" t="inlineStr">
        <is>
          <t>3.0</t>
        </is>
      </c>
      <c r="I549" s="11" t="inlineStr">
        <is>
          <t>4.0</t>
        </is>
      </c>
      <c r="J549" s="11" t="inlineStr">
        <is>
          <t>5.0</t>
        </is>
      </c>
      <c r="K549" s="11" t="inlineStr">
        <is>
          <t>6</t>
        </is>
      </c>
      <c r="L549" s="11" t="inlineStr">
        <is>
          <t>7</t>
        </is>
      </c>
      <c r="M549" s="11" t="inlineStr">
        <is>
          <t>8</t>
        </is>
      </c>
      <c r="N549" s="11" t="inlineStr">
        <is>
          <t>9</t>
        </is>
      </c>
      <c r="O549" s="11" t="inlineStr">
        <is>
          <t>10</t>
        </is>
      </c>
      <c r="P549" s="11" t="inlineStr">
        <is>
          <t>11</t>
        </is>
      </c>
      <c r="Q549" s="11" t="inlineStr">
        <is>
          <t>12</t>
        </is>
      </c>
      <c r="R549" s="11" t="inlineStr">
        <is>
          <t>13</t>
        </is>
      </c>
      <c r="S549" s="11" t="inlineStr">
        <is>
          <t>14</t>
        </is>
      </c>
      <c r="T549" s="11" t="inlineStr">
        <is>
          <t>15</t>
        </is>
      </c>
      <c r="U549" s="11" t="inlineStr">
        <is>
          <t>16</t>
        </is>
      </c>
      <c r="V549" s="11" t="inlineStr">
        <is>
          <t>17</t>
        </is>
      </c>
      <c r="W549" s="11" t="inlineStr">
        <is>
          <t>18</t>
        </is>
      </c>
      <c r="X549" s="11" t="inlineStr">
        <is>
          <t>19</t>
        </is>
      </c>
      <c r="Y549" s="11" t="inlineStr">
        <is>
          <t>20</t>
        </is>
      </c>
      <c r="Z549" s="11" t="inlineStr">
        <is>
          <t>21</t>
        </is>
      </c>
      <c r="AA549" s="11" t="inlineStr">
        <is>
          <t>22</t>
        </is>
      </c>
      <c r="AB549" s="11" t="inlineStr">
        <is>
          <t>23</t>
        </is>
      </c>
      <c r="AC549" s="11" t="inlineStr">
        <is>
          <t>24</t>
        </is>
      </c>
      <c r="AD549" s="11" t="inlineStr">
        <is>
          <t>25</t>
        </is>
      </c>
      <c r="AE549" s="11" t="inlineStr">
        <is>
          <t>26</t>
        </is>
      </c>
      <c r="AF549" s="11" t="inlineStr">
        <is>
          <t>27</t>
        </is>
      </c>
      <c r="AG549" s="11" t="inlineStr">
        <is>
          <t>28</t>
        </is>
      </c>
      <c r="AH549" s="11" t="inlineStr">
        <is>
          <t>29</t>
        </is>
      </c>
      <c r="AI549" s="11" t="inlineStr">
        <is>
          <t>30</t>
        </is>
      </c>
    </row>
    <row r="550">
      <c r="A550" s="4" t="inlineStr">
        <is>
          <t>Студент2.1</t>
        </is>
      </c>
      <c r="B550" s="4" t="inlineStr"/>
      <c r="C550" s="4">
        <f>IF(A550="","",COUNTIF(F550:AI550,"+")+COUNTIF(F550:AI550,"1"))</f>
        <v/>
      </c>
      <c r="D550" s="4">
        <f>IF(A550="","",IF(C550&gt;2*COUNTA(F$549:AI$549)/3,1,IF(C550&gt;=COUNTA(F$549:AI$549)/2,0.8,0.5)))</f>
        <v/>
      </c>
      <c r="E550" s="4">
        <f>IF(A550="","",SUMIFS('Логи'!$H$4:$H$3006,'Логи'!$A$4:$A$3006,A550,'Логи'!$C$4:$C$3006,9))</f>
        <v/>
      </c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5" t="n"/>
      <c r="P550" s="15" t="n"/>
      <c r="Q550" s="15" t="n"/>
      <c r="R550" s="15" t="n"/>
      <c r="S550" s="15" t="n"/>
      <c r="T550" s="15" t="n"/>
      <c r="U550" s="15" t="n"/>
      <c r="V550" s="15" t="n"/>
      <c r="W550" s="15" t="n"/>
      <c r="X550" s="15" t="n"/>
      <c r="Y550" s="15" t="n"/>
      <c r="Z550" s="15" t="n"/>
      <c r="AA550" s="15" t="n"/>
      <c r="AB550" s="15" t="n"/>
      <c r="AC550" s="15" t="n"/>
      <c r="AD550" s="15" t="n"/>
      <c r="AE550" s="15" t="n"/>
      <c r="AF550" s="15" t="n"/>
      <c r="AG550" s="15" t="n"/>
      <c r="AH550" s="15" t="n"/>
      <c r="AI550" s="15" t="n"/>
    </row>
    <row r="551">
      <c r="A551" s="4" t="inlineStr">
        <is>
          <t>Студент2.2</t>
        </is>
      </c>
      <c r="B551" s="4" t="inlineStr"/>
      <c r="C551" s="4">
        <f>IF(A551="","",COUNTIF(F551:AI551,"+")+COUNTIF(F551:AI551,"1"))</f>
        <v/>
      </c>
      <c r="D551" s="4">
        <f>IF(A551="","",IF(C551&gt;2*COUNTA(F$549:AI$549)/3,1,IF(C551&gt;=COUNTA(F$549:AI$549)/2,0.8,0.5)))</f>
        <v/>
      </c>
      <c r="E551" s="4">
        <f>IF(A551="","",SUMIFS('Логи'!$H$4:$H$3006,'Логи'!$A$4:$A$3006,A551,'Логи'!$C$4:$C$3006,9))</f>
        <v/>
      </c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  <c r="O551" s="15" t="n"/>
      <c r="P551" s="15" t="n"/>
      <c r="Q551" s="15" t="n"/>
      <c r="R551" s="15" t="n"/>
      <c r="S551" s="15" t="n"/>
      <c r="T551" s="15" t="n"/>
      <c r="U551" s="15" t="n"/>
      <c r="V551" s="15" t="n"/>
      <c r="W551" s="15" t="n"/>
      <c r="X551" s="15" t="n"/>
      <c r="Y551" s="15" t="n"/>
      <c r="Z551" s="15" t="n"/>
      <c r="AA551" s="15" t="n"/>
      <c r="AB551" s="15" t="n"/>
      <c r="AC551" s="15" t="n"/>
      <c r="AD551" s="15" t="n"/>
      <c r="AE551" s="15" t="n"/>
      <c r="AF551" s="15" t="n"/>
      <c r="AG551" s="15" t="n"/>
      <c r="AH551" s="15" t="n"/>
      <c r="AI551" s="15" t="n"/>
    </row>
    <row r="552">
      <c r="A552" s="4" t="inlineStr">
        <is>
          <t>Студент2.3</t>
        </is>
      </c>
      <c r="B552" s="4" t="inlineStr"/>
      <c r="C552" s="4">
        <f>IF(A552="","",COUNTIF(F552:AI552,"+")+COUNTIF(F552:AI552,"1"))</f>
        <v/>
      </c>
      <c r="D552" s="4">
        <f>IF(A552="","",IF(C552&gt;2*COUNTA(F$549:AI$549)/3,1,IF(C552&gt;=COUNTA(F$549:AI$549)/2,0.8,0.5)))</f>
        <v/>
      </c>
      <c r="E552" s="4">
        <f>IF(A552="","",SUMIFS('Логи'!$H$4:$H$3006,'Логи'!$A$4:$A$3006,A552,'Логи'!$C$4:$C$3006,9))</f>
        <v/>
      </c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  <c r="O552" s="15" t="n"/>
      <c r="P552" s="15" t="n"/>
      <c r="Q552" s="15" t="n"/>
      <c r="R552" s="15" t="n"/>
      <c r="S552" s="15" t="n"/>
      <c r="T552" s="15" t="n"/>
      <c r="U552" s="15" t="n"/>
      <c r="V552" s="15" t="n"/>
      <c r="W552" s="15" t="n"/>
      <c r="X552" s="15" t="n"/>
      <c r="Y552" s="15" t="n"/>
      <c r="Z552" s="15" t="n"/>
      <c r="AA552" s="15" t="n"/>
      <c r="AB552" s="15" t="n"/>
      <c r="AC552" s="15" t="n"/>
      <c r="AD552" s="15" t="n"/>
      <c r="AE552" s="15" t="n"/>
      <c r="AF552" s="15" t="n"/>
      <c r="AG552" s="15" t="n"/>
      <c r="AH552" s="15" t="n"/>
      <c r="AI552" s="15" t="n"/>
    </row>
    <row r="553">
      <c r="A553" s="4" t="inlineStr">
        <is>
          <t>Студент2.4</t>
        </is>
      </c>
      <c r="B553" s="4" t="inlineStr"/>
      <c r="C553" s="4">
        <f>IF(A553="","",COUNTIF(F553:AI553,"+")+COUNTIF(F553:AI553,"1"))</f>
        <v/>
      </c>
      <c r="D553" s="4">
        <f>IF(A553="","",IF(C553&gt;2*COUNTA(F$549:AI$549)/3,1,IF(C553&gt;=COUNTA(F$549:AI$549)/2,0.8,0.5)))</f>
        <v/>
      </c>
      <c r="E553" s="4">
        <f>IF(A553="","",SUMIFS('Логи'!$H$4:$H$3006,'Логи'!$A$4:$A$3006,A553,'Логи'!$C$4:$C$3006,9))</f>
        <v/>
      </c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  <c r="O553" s="15" t="n"/>
      <c r="P553" s="15" t="n"/>
      <c r="Q553" s="15" t="n"/>
      <c r="R553" s="15" t="n"/>
      <c r="S553" s="15" t="n"/>
      <c r="T553" s="15" t="n"/>
      <c r="U553" s="15" t="n"/>
      <c r="V553" s="15" t="n"/>
      <c r="W553" s="15" t="n"/>
      <c r="X553" s="15" t="n"/>
      <c r="Y553" s="15" t="n"/>
      <c r="Z553" s="15" t="n"/>
      <c r="AA553" s="15" t="n"/>
      <c r="AB553" s="15" t="n"/>
      <c r="AC553" s="15" t="n"/>
      <c r="AD553" s="15" t="n"/>
      <c r="AE553" s="15" t="n"/>
      <c r="AF553" s="15" t="n"/>
      <c r="AG553" s="15" t="n"/>
      <c r="AH553" s="15" t="n"/>
      <c r="AI553" s="15" t="n"/>
    </row>
    <row r="554">
      <c r="A554" s="4" t="inlineStr">
        <is>
          <t>Студент2.5</t>
        </is>
      </c>
      <c r="B554" s="4" t="inlineStr"/>
      <c r="C554" s="4">
        <f>IF(A554="","",COUNTIF(F554:AI554,"+")+COUNTIF(F554:AI554,"1"))</f>
        <v/>
      </c>
      <c r="D554" s="4">
        <f>IF(A554="","",IF(C554&gt;2*COUNTA(F$549:AI$549)/3,1,IF(C554&gt;=COUNTA(F$549:AI$549)/2,0.8,0.5)))</f>
        <v/>
      </c>
      <c r="E554" s="4">
        <f>IF(A554="","",SUMIFS('Логи'!$H$4:$H$3006,'Логи'!$A$4:$A$3006,A554,'Логи'!$C$4:$C$3006,9))</f>
        <v/>
      </c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  <c r="O554" s="15" t="n"/>
      <c r="P554" s="15" t="n"/>
      <c r="Q554" s="15" t="n"/>
      <c r="R554" s="15" t="n"/>
      <c r="S554" s="15" t="n"/>
      <c r="T554" s="15" t="n"/>
      <c r="U554" s="15" t="n"/>
      <c r="V554" s="15" t="n"/>
      <c r="W554" s="15" t="n"/>
      <c r="X554" s="15" t="n"/>
      <c r="Y554" s="15" t="n"/>
      <c r="Z554" s="15" t="n"/>
      <c r="AA554" s="15" t="n"/>
      <c r="AB554" s="15" t="n"/>
      <c r="AC554" s="15" t="n"/>
      <c r="AD554" s="15" t="n"/>
      <c r="AE554" s="15" t="n"/>
      <c r="AF554" s="15" t="n"/>
      <c r="AG554" s="15" t="n"/>
      <c r="AH554" s="15" t="n"/>
      <c r="AI554" s="15" t="n"/>
    </row>
    <row r="555">
      <c r="A555" s="4" t="inlineStr">
        <is>
          <t>Студент2.6</t>
        </is>
      </c>
      <c r="B555" s="4" t="inlineStr"/>
      <c r="C555" s="4">
        <f>IF(A555="","",COUNTIF(F555:AI555,"+")+COUNTIF(F555:AI555,"1"))</f>
        <v/>
      </c>
      <c r="D555" s="4">
        <f>IF(A555="","",IF(C555&gt;2*COUNTA(F$549:AI$549)/3,1,IF(C555&gt;=COUNTA(F$549:AI$549)/2,0.8,0.5)))</f>
        <v/>
      </c>
      <c r="E555" s="4">
        <f>IF(A555="","",SUMIFS('Логи'!$H$4:$H$3006,'Логи'!$A$4:$A$3006,A555,'Логи'!$C$4:$C$3006,9))</f>
        <v/>
      </c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  <c r="O555" s="15" t="n"/>
      <c r="P555" s="15" t="n"/>
      <c r="Q555" s="15" t="n"/>
      <c r="R555" s="15" t="n"/>
      <c r="S555" s="15" t="n"/>
      <c r="T555" s="15" t="n"/>
      <c r="U555" s="15" t="n"/>
      <c r="V555" s="15" t="n"/>
      <c r="W555" s="15" t="n"/>
      <c r="X555" s="15" t="n"/>
      <c r="Y555" s="15" t="n"/>
      <c r="Z555" s="15" t="n"/>
      <c r="AA555" s="15" t="n"/>
      <c r="AB555" s="15" t="n"/>
      <c r="AC555" s="15" t="n"/>
      <c r="AD555" s="15" t="n"/>
      <c r="AE555" s="15" t="n"/>
      <c r="AF555" s="15" t="n"/>
      <c r="AG555" s="15" t="n"/>
      <c r="AH555" s="15" t="n"/>
      <c r="AI555" s="15" t="n"/>
    </row>
    <row r="556">
      <c r="A556" s="4" t="inlineStr">
        <is>
          <t>Студент2.7</t>
        </is>
      </c>
      <c r="B556" s="4" t="inlineStr"/>
      <c r="C556" s="4">
        <f>IF(A556="","",COUNTIF(F556:AI556,"+")+COUNTIF(F556:AI556,"1"))</f>
        <v/>
      </c>
      <c r="D556" s="4">
        <f>IF(A556="","",IF(C556&gt;2*COUNTA(F$549:AI$549)/3,1,IF(C556&gt;=COUNTA(F$549:AI$549)/2,0.8,0.5)))</f>
        <v/>
      </c>
      <c r="E556" s="4">
        <f>IF(A556="","",SUMIFS('Логи'!$H$4:$H$3006,'Логи'!$A$4:$A$3006,A556,'Логи'!$C$4:$C$3006,9))</f>
        <v/>
      </c>
      <c r="F556" s="15" t="n"/>
      <c r="G556" s="15" t="n"/>
      <c r="H556" s="15" t="n"/>
      <c r="I556" s="15" t="n"/>
      <c r="J556" s="15" t="n"/>
      <c r="K556" s="15" t="n"/>
      <c r="L556" s="15" t="n"/>
      <c r="M556" s="15" t="n"/>
      <c r="N556" s="15" t="n"/>
      <c r="O556" s="15" t="n"/>
      <c r="P556" s="15" t="n"/>
      <c r="Q556" s="15" t="n"/>
      <c r="R556" s="15" t="n"/>
      <c r="S556" s="15" t="n"/>
      <c r="T556" s="15" t="n"/>
      <c r="U556" s="15" t="n"/>
      <c r="V556" s="15" t="n"/>
      <c r="W556" s="15" t="n"/>
      <c r="X556" s="15" t="n"/>
      <c r="Y556" s="15" t="n"/>
      <c r="Z556" s="15" t="n"/>
      <c r="AA556" s="15" t="n"/>
      <c r="AB556" s="15" t="n"/>
      <c r="AC556" s="15" t="n"/>
      <c r="AD556" s="15" t="n"/>
      <c r="AE556" s="15" t="n"/>
      <c r="AF556" s="15" t="n"/>
      <c r="AG556" s="15" t="n"/>
      <c r="AH556" s="15" t="n"/>
      <c r="AI556" s="15" t="n"/>
    </row>
    <row r="557">
      <c r="A557" s="4" t="inlineStr">
        <is>
          <t>Студент2.8</t>
        </is>
      </c>
      <c r="B557" s="4" t="inlineStr"/>
      <c r="C557" s="4">
        <f>IF(A557="","",COUNTIF(F557:AI557,"+")+COUNTIF(F557:AI557,"1"))</f>
        <v/>
      </c>
      <c r="D557" s="4">
        <f>IF(A557="","",IF(C557&gt;2*COUNTA(F$549:AI$549)/3,1,IF(C557&gt;=COUNTA(F$549:AI$549)/2,0.8,0.5)))</f>
        <v/>
      </c>
      <c r="E557" s="4">
        <f>IF(A557="","",SUMIFS('Логи'!$H$4:$H$3006,'Логи'!$A$4:$A$3006,A557,'Логи'!$C$4:$C$3006,9))</f>
        <v/>
      </c>
      <c r="F557" s="15" t="n"/>
      <c r="G557" s="15" t="n"/>
      <c r="H557" s="15" t="n"/>
      <c r="I557" s="15" t="n"/>
      <c r="J557" s="15" t="n"/>
      <c r="K557" s="15" t="n"/>
      <c r="L557" s="15" t="n"/>
      <c r="M557" s="15" t="n"/>
      <c r="N557" s="15" t="n"/>
      <c r="O557" s="15" t="n"/>
      <c r="P557" s="15" t="n"/>
      <c r="Q557" s="15" t="n"/>
      <c r="R557" s="15" t="n"/>
      <c r="S557" s="15" t="n"/>
      <c r="T557" s="15" t="n"/>
      <c r="U557" s="15" t="n"/>
      <c r="V557" s="15" t="n"/>
      <c r="W557" s="15" t="n"/>
      <c r="X557" s="15" t="n"/>
      <c r="Y557" s="15" t="n"/>
      <c r="Z557" s="15" t="n"/>
      <c r="AA557" s="15" t="n"/>
      <c r="AB557" s="15" t="n"/>
      <c r="AC557" s="15" t="n"/>
      <c r="AD557" s="15" t="n"/>
      <c r="AE557" s="15" t="n"/>
      <c r="AF557" s="15" t="n"/>
      <c r="AG557" s="15" t="n"/>
      <c r="AH557" s="15" t="n"/>
      <c r="AI557" s="15" t="n"/>
    </row>
    <row r="558">
      <c r="A558" s="4" t="inlineStr">
        <is>
          <t>Студент2.9</t>
        </is>
      </c>
      <c r="B558" s="4" t="inlineStr"/>
      <c r="C558" s="4">
        <f>IF(A558="","",COUNTIF(F558:AI558,"+")+COUNTIF(F558:AI558,"1"))</f>
        <v/>
      </c>
      <c r="D558" s="4">
        <f>IF(A558="","",IF(C558&gt;2*COUNTA(F$549:AI$549)/3,1,IF(C558&gt;=COUNTA(F$549:AI$549)/2,0.8,0.5)))</f>
        <v/>
      </c>
      <c r="E558" s="4">
        <f>IF(A558="","",SUMIFS('Логи'!$H$4:$H$3006,'Логи'!$A$4:$A$3006,A558,'Логи'!$C$4:$C$3006,9))</f>
        <v/>
      </c>
      <c r="F558" s="15" t="n"/>
      <c r="G558" s="15" t="n"/>
      <c r="H558" s="15" t="n"/>
      <c r="I558" s="15" t="n"/>
      <c r="J558" s="15" t="n"/>
      <c r="K558" s="15" t="n"/>
      <c r="L558" s="15" t="n"/>
      <c r="M558" s="15" t="n"/>
      <c r="N558" s="15" t="n"/>
      <c r="O558" s="15" t="n"/>
      <c r="P558" s="15" t="n"/>
      <c r="Q558" s="15" t="n"/>
      <c r="R558" s="15" t="n"/>
      <c r="S558" s="15" t="n"/>
      <c r="T558" s="15" t="n"/>
      <c r="U558" s="15" t="n"/>
      <c r="V558" s="15" t="n"/>
      <c r="W558" s="15" t="n"/>
      <c r="X558" s="15" t="n"/>
      <c r="Y558" s="15" t="n"/>
      <c r="Z558" s="15" t="n"/>
      <c r="AA558" s="15" t="n"/>
      <c r="AB558" s="15" t="n"/>
      <c r="AC558" s="15" t="n"/>
      <c r="AD558" s="15" t="n"/>
      <c r="AE558" s="15" t="n"/>
      <c r="AF558" s="15" t="n"/>
      <c r="AG558" s="15" t="n"/>
      <c r="AH558" s="15" t="n"/>
      <c r="AI558" s="15" t="n"/>
    </row>
    <row r="559">
      <c r="A559" s="4" t="inlineStr">
        <is>
          <t>Студент2.10</t>
        </is>
      </c>
      <c r="B559" s="4" t="inlineStr"/>
      <c r="C559" s="4">
        <f>IF(A559="","",COUNTIF(F559:AI559,"+")+COUNTIF(F559:AI559,"1"))</f>
        <v/>
      </c>
      <c r="D559" s="4">
        <f>IF(A559="","",IF(C559&gt;2*COUNTA(F$549:AI$549)/3,1,IF(C559&gt;=COUNTA(F$549:AI$549)/2,0.8,0.5)))</f>
        <v/>
      </c>
      <c r="E559" s="4">
        <f>IF(A559="","",SUMIFS('Логи'!$H$4:$H$3006,'Логи'!$A$4:$A$3006,A559,'Логи'!$C$4:$C$3006,9))</f>
        <v/>
      </c>
      <c r="F559" s="15" t="n"/>
      <c r="G559" s="15" t="n"/>
      <c r="H559" s="15" t="n"/>
      <c r="I559" s="15" t="n"/>
      <c r="J559" s="15" t="n"/>
      <c r="K559" s="15" t="n"/>
      <c r="L559" s="15" t="n"/>
      <c r="M559" s="15" t="n"/>
      <c r="N559" s="15" t="n"/>
      <c r="O559" s="15" t="n"/>
      <c r="P559" s="15" t="n"/>
      <c r="Q559" s="15" t="n"/>
      <c r="R559" s="15" t="n"/>
      <c r="S559" s="15" t="n"/>
      <c r="T559" s="15" t="n"/>
      <c r="U559" s="15" t="n"/>
      <c r="V559" s="15" t="n"/>
      <c r="W559" s="15" t="n"/>
      <c r="X559" s="15" t="n"/>
      <c r="Y559" s="15" t="n"/>
      <c r="Z559" s="15" t="n"/>
      <c r="AA559" s="15" t="n"/>
      <c r="AB559" s="15" t="n"/>
      <c r="AC559" s="15" t="n"/>
      <c r="AD559" s="15" t="n"/>
      <c r="AE559" s="15" t="n"/>
      <c r="AF559" s="15" t="n"/>
      <c r="AG559" s="15" t="n"/>
      <c r="AH559" s="15" t="n"/>
      <c r="AI559" s="15" t="n"/>
    </row>
    <row r="560">
      <c r="A560" s="4" t="inlineStr">
        <is>
          <t>Студент2.11</t>
        </is>
      </c>
      <c r="B560" s="4" t="inlineStr"/>
      <c r="C560" s="4">
        <f>IF(A560="","",COUNTIF(F560:AI560,"+")+COUNTIF(F560:AI560,"1"))</f>
        <v/>
      </c>
      <c r="D560" s="4">
        <f>IF(A560="","",IF(C560&gt;2*COUNTA(F$549:AI$549)/3,1,IF(C560&gt;=COUNTA(F$549:AI$549)/2,0.8,0.5)))</f>
        <v/>
      </c>
      <c r="E560" s="4">
        <f>IF(A560="","",SUMIFS('Логи'!$H$4:$H$3006,'Логи'!$A$4:$A$3006,A560,'Логи'!$C$4:$C$3006,9))</f>
        <v/>
      </c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  <c r="O560" s="15" t="n"/>
      <c r="P560" s="15" t="n"/>
      <c r="Q560" s="15" t="n"/>
      <c r="R560" s="15" t="n"/>
      <c r="S560" s="15" t="n"/>
      <c r="T560" s="15" t="n"/>
      <c r="U560" s="15" t="n"/>
      <c r="V560" s="15" t="n"/>
      <c r="W560" s="15" t="n"/>
      <c r="X560" s="15" t="n"/>
      <c r="Y560" s="15" t="n"/>
      <c r="Z560" s="15" t="n"/>
      <c r="AA560" s="15" t="n"/>
      <c r="AB560" s="15" t="n"/>
      <c r="AC560" s="15" t="n"/>
      <c r="AD560" s="15" t="n"/>
      <c r="AE560" s="15" t="n"/>
      <c r="AF560" s="15" t="n"/>
      <c r="AG560" s="15" t="n"/>
      <c r="AH560" s="15" t="n"/>
      <c r="AI560" s="15" t="n"/>
    </row>
    <row r="561">
      <c r="A561" s="4" t="inlineStr">
        <is>
          <t>Студент2.12</t>
        </is>
      </c>
      <c r="B561" s="4" t="inlineStr"/>
      <c r="C561" s="4">
        <f>IF(A561="","",COUNTIF(F561:AI561,"+")+COUNTIF(F561:AI561,"1"))</f>
        <v/>
      </c>
      <c r="D561" s="4">
        <f>IF(A561="","",IF(C561&gt;2*COUNTA(F$549:AI$549)/3,1,IF(C561&gt;=COUNTA(F$549:AI$549)/2,0.8,0.5)))</f>
        <v/>
      </c>
      <c r="E561" s="4">
        <f>IF(A561="","",SUMIFS('Логи'!$H$4:$H$3006,'Логи'!$A$4:$A$3006,A561,'Логи'!$C$4:$C$3006,9))</f>
        <v/>
      </c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5" t="n"/>
      <c r="P561" s="15" t="n"/>
      <c r="Q561" s="15" t="n"/>
      <c r="R561" s="15" t="n"/>
      <c r="S561" s="15" t="n"/>
      <c r="T561" s="15" t="n"/>
      <c r="U561" s="15" t="n"/>
      <c r="V561" s="15" t="n"/>
      <c r="W561" s="15" t="n"/>
      <c r="X561" s="15" t="n"/>
      <c r="Y561" s="15" t="n"/>
      <c r="Z561" s="15" t="n"/>
      <c r="AA561" s="15" t="n"/>
      <c r="AB561" s="15" t="n"/>
      <c r="AC561" s="15" t="n"/>
      <c r="AD561" s="15" t="n"/>
      <c r="AE561" s="15" t="n"/>
      <c r="AF561" s="15" t="n"/>
      <c r="AG561" s="15" t="n"/>
      <c r="AH561" s="15" t="n"/>
      <c r="AI561" s="15" t="n"/>
    </row>
    <row r="562">
      <c r="A562" s="4" t="inlineStr">
        <is>
          <t>Студент2.13</t>
        </is>
      </c>
      <c r="B562" s="4" t="inlineStr"/>
      <c r="C562" s="4">
        <f>IF(A562="","",COUNTIF(F562:AI562,"+")+COUNTIF(F562:AI562,"1"))</f>
        <v/>
      </c>
      <c r="D562" s="4">
        <f>IF(A562="","",IF(C562&gt;2*COUNTA(F$549:AI$549)/3,1,IF(C562&gt;=COUNTA(F$549:AI$549)/2,0.8,0.5)))</f>
        <v/>
      </c>
      <c r="E562" s="4">
        <f>IF(A562="","",SUMIFS('Логи'!$H$4:$H$3006,'Логи'!$A$4:$A$3006,A562,'Логи'!$C$4:$C$3006,9))</f>
        <v/>
      </c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  <c r="O562" s="15" t="n"/>
      <c r="P562" s="15" t="n"/>
      <c r="Q562" s="15" t="n"/>
      <c r="R562" s="15" t="n"/>
      <c r="S562" s="15" t="n"/>
      <c r="T562" s="15" t="n"/>
      <c r="U562" s="15" t="n"/>
      <c r="V562" s="15" t="n"/>
      <c r="W562" s="15" t="n"/>
      <c r="X562" s="15" t="n"/>
      <c r="Y562" s="15" t="n"/>
      <c r="Z562" s="15" t="n"/>
      <c r="AA562" s="15" t="n"/>
      <c r="AB562" s="15" t="n"/>
      <c r="AC562" s="15" t="n"/>
      <c r="AD562" s="15" t="n"/>
      <c r="AE562" s="15" t="n"/>
      <c r="AF562" s="15" t="n"/>
      <c r="AG562" s="15" t="n"/>
      <c r="AH562" s="15" t="n"/>
      <c r="AI562" s="15" t="n"/>
    </row>
    <row r="563">
      <c r="A563" s="4" t="inlineStr">
        <is>
          <t>Студент2.14</t>
        </is>
      </c>
      <c r="B563" s="4" t="inlineStr"/>
      <c r="C563" s="4">
        <f>IF(A563="","",COUNTIF(F563:AI563,"+")+COUNTIF(F563:AI563,"1"))</f>
        <v/>
      </c>
      <c r="D563" s="4">
        <f>IF(A563="","",IF(C563&gt;2*COUNTA(F$549:AI$549)/3,1,IF(C563&gt;=COUNTA(F$549:AI$549)/2,0.8,0.5)))</f>
        <v/>
      </c>
      <c r="E563" s="4">
        <f>IF(A563="","",SUMIFS('Логи'!$H$4:$H$3006,'Логи'!$A$4:$A$3006,A563,'Логи'!$C$4:$C$3006,9))</f>
        <v/>
      </c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  <c r="O563" s="15" t="n"/>
      <c r="P563" s="15" t="n"/>
      <c r="Q563" s="15" t="n"/>
      <c r="R563" s="15" t="n"/>
      <c r="S563" s="15" t="n"/>
      <c r="T563" s="15" t="n"/>
      <c r="U563" s="15" t="n"/>
      <c r="V563" s="15" t="n"/>
      <c r="W563" s="15" t="n"/>
      <c r="X563" s="15" t="n"/>
      <c r="Y563" s="15" t="n"/>
      <c r="Z563" s="15" t="n"/>
      <c r="AA563" s="15" t="n"/>
      <c r="AB563" s="15" t="n"/>
      <c r="AC563" s="15" t="n"/>
      <c r="AD563" s="15" t="n"/>
      <c r="AE563" s="15" t="n"/>
      <c r="AF563" s="15" t="n"/>
      <c r="AG563" s="15" t="n"/>
      <c r="AH563" s="15" t="n"/>
      <c r="AI563" s="15" t="n"/>
    </row>
    <row r="564">
      <c r="A564" s="4" t="inlineStr">
        <is>
          <t>Студент2.15</t>
        </is>
      </c>
      <c r="B564" s="4" t="inlineStr"/>
      <c r="C564" s="4">
        <f>IF(A564="","",COUNTIF(F564:AI564,"+")+COUNTIF(F564:AI564,"1"))</f>
        <v/>
      </c>
      <c r="D564" s="4">
        <f>IF(A564="","",IF(C564&gt;2*COUNTA(F$549:AI$549)/3,1,IF(C564&gt;=COUNTA(F$549:AI$549)/2,0.8,0.5)))</f>
        <v/>
      </c>
      <c r="E564" s="4">
        <f>IF(A564="","",SUMIFS('Логи'!$H$4:$H$3006,'Логи'!$A$4:$A$3006,A564,'Логи'!$C$4:$C$3006,9))</f>
        <v/>
      </c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5" t="n"/>
      <c r="P564" s="15" t="n"/>
      <c r="Q564" s="15" t="n"/>
      <c r="R564" s="15" t="n"/>
      <c r="S564" s="15" t="n"/>
      <c r="T564" s="15" t="n"/>
      <c r="U564" s="15" t="n"/>
      <c r="V564" s="15" t="n"/>
      <c r="W564" s="15" t="n"/>
      <c r="X564" s="15" t="n"/>
      <c r="Y564" s="15" t="n"/>
      <c r="Z564" s="15" t="n"/>
      <c r="AA564" s="15" t="n"/>
      <c r="AB564" s="15" t="n"/>
      <c r="AC564" s="15" t="n"/>
      <c r="AD564" s="15" t="n"/>
      <c r="AE564" s="15" t="n"/>
      <c r="AF564" s="15" t="n"/>
      <c r="AG564" s="15" t="n"/>
      <c r="AH564" s="15" t="n"/>
      <c r="AI564" s="15" t="n"/>
    </row>
    <row r="565">
      <c r="A565" s="4" t="inlineStr">
        <is>
          <t>Студент2.16</t>
        </is>
      </c>
      <c r="B565" s="4" t="inlineStr"/>
      <c r="C565" s="4">
        <f>IF(A565="","",COUNTIF(F565:AI565,"+")+COUNTIF(F565:AI565,"1"))</f>
        <v/>
      </c>
      <c r="D565" s="4">
        <f>IF(A565="","",IF(C565&gt;2*COUNTA(F$549:AI$549)/3,1,IF(C565&gt;=COUNTA(F$549:AI$549)/2,0.8,0.5)))</f>
        <v/>
      </c>
      <c r="E565" s="4">
        <f>IF(A565="","",SUMIFS('Логи'!$H$4:$H$3006,'Логи'!$A$4:$A$3006,A565,'Логи'!$C$4:$C$3006,9))</f>
        <v/>
      </c>
      <c r="F565" s="15" t="n"/>
      <c r="G565" s="15" t="n"/>
      <c r="H565" s="15" t="n"/>
      <c r="I565" s="15" t="n"/>
      <c r="J565" s="15" t="n"/>
      <c r="K565" s="15" t="n"/>
      <c r="L565" s="15" t="n"/>
      <c r="M565" s="15" t="n"/>
      <c r="N565" s="15" t="n"/>
      <c r="O565" s="15" t="n"/>
      <c r="P565" s="15" t="n"/>
      <c r="Q565" s="15" t="n"/>
      <c r="R565" s="15" t="n"/>
      <c r="S565" s="15" t="n"/>
      <c r="T565" s="15" t="n"/>
      <c r="U565" s="15" t="n"/>
      <c r="V565" s="15" t="n"/>
      <c r="W565" s="15" t="n"/>
      <c r="X565" s="15" t="n"/>
      <c r="Y565" s="15" t="n"/>
      <c r="Z565" s="15" t="n"/>
      <c r="AA565" s="15" t="n"/>
      <c r="AB565" s="15" t="n"/>
      <c r="AC565" s="15" t="n"/>
      <c r="AD565" s="15" t="n"/>
      <c r="AE565" s="15" t="n"/>
      <c r="AF565" s="15" t="n"/>
      <c r="AG565" s="15" t="n"/>
      <c r="AH565" s="15" t="n"/>
      <c r="AI565" s="15" t="n"/>
    </row>
    <row r="566">
      <c r="A566" s="4" t="inlineStr">
        <is>
          <t>Студент2.17</t>
        </is>
      </c>
      <c r="B566" s="4" t="inlineStr"/>
      <c r="C566" s="4">
        <f>IF(A566="","",COUNTIF(F566:AI566,"+")+COUNTIF(F566:AI566,"1"))</f>
        <v/>
      </c>
      <c r="D566" s="4">
        <f>IF(A566="","",IF(C566&gt;2*COUNTA(F$549:AI$549)/3,1,IF(C566&gt;=COUNTA(F$549:AI$549)/2,0.8,0.5)))</f>
        <v/>
      </c>
      <c r="E566" s="4">
        <f>IF(A566="","",SUMIFS('Логи'!$H$4:$H$3006,'Логи'!$A$4:$A$3006,A566,'Логи'!$C$4:$C$3006,9))</f>
        <v/>
      </c>
      <c r="F566" s="15" t="n"/>
      <c r="G566" s="15" t="n"/>
      <c r="H566" s="15" t="n"/>
      <c r="I566" s="15" t="n"/>
      <c r="J566" s="15" t="n"/>
      <c r="K566" s="15" t="n"/>
      <c r="L566" s="15" t="n"/>
      <c r="M566" s="15" t="n"/>
      <c r="N566" s="15" t="n"/>
      <c r="O566" s="15" t="n"/>
      <c r="P566" s="15" t="n"/>
      <c r="Q566" s="15" t="n"/>
      <c r="R566" s="15" t="n"/>
      <c r="S566" s="15" t="n"/>
      <c r="T566" s="15" t="n"/>
      <c r="U566" s="15" t="n"/>
      <c r="V566" s="15" t="n"/>
      <c r="W566" s="15" t="n"/>
      <c r="X566" s="15" t="n"/>
      <c r="Y566" s="15" t="n"/>
      <c r="Z566" s="15" t="n"/>
      <c r="AA566" s="15" t="n"/>
      <c r="AB566" s="15" t="n"/>
      <c r="AC566" s="15" t="n"/>
      <c r="AD566" s="15" t="n"/>
      <c r="AE566" s="15" t="n"/>
      <c r="AF566" s="15" t="n"/>
      <c r="AG566" s="15" t="n"/>
      <c r="AH566" s="15" t="n"/>
      <c r="AI566" s="15" t="n"/>
    </row>
    <row r="567">
      <c r="A567" s="4" t="inlineStr">
        <is>
          <t>Студент2.18</t>
        </is>
      </c>
      <c r="B567" s="4" t="inlineStr"/>
      <c r="C567" s="4">
        <f>IF(A567="","",COUNTIF(F567:AI567,"+")+COUNTIF(F567:AI567,"1"))</f>
        <v/>
      </c>
      <c r="D567" s="4">
        <f>IF(A567="","",IF(C567&gt;2*COUNTA(F$549:AI$549)/3,1,IF(C567&gt;=COUNTA(F$549:AI$549)/2,0.8,0.5)))</f>
        <v/>
      </c>
      <c r="E567" s="4">
        <f>IF(A567="","",SUMIFS('Логи'!$H$4:$H$3006,'Логи'!$A$4:$A$3006,A567,'Логи'!$C$4:$C$3006,9))</f>
        <v/>
      </c>
      <c r="F567" s="15" t="n"/>
      <c r="G567" s="15" t="n"/>
      <c r="H567" s="15" t="n"/>
      <c r="I567" s="15" t="n"/>
      <c r="J567" s="15" t="n"/>
      <c r="K567" s="15" t="n"/>
      <c r="L567" s="15" t="n"/>
      <c r="M567" s="15" t="n"/>
      <c r="N567" s="15" t="n"/>
      <c r="O567" s="15" t="n"/>
      <c r="P567" s="15" t="n"/>
      <c r="Q567" s="15" t="n"/>
      <c r="R567" s="15" t="n"/>
      <c r="S567" s="15" t="n"/>
      <c r="T567" s="15" t="n"/>
      <c r="U567" s="15" t="n"/>
      <c r="V567" s="15" t="n"/>
      <c r="W567" s="15" t="n"/>
      <c r="X567" s="15" t="n"/>
      <c r="Y567" s="15" t="n"/>
      <c r="Z567" s="15" t="n"/>
      <c r="AA567" s="15" t="n"/>
      <c r="AB567" s="15" t="n"/>
      <c r="AC567" s="15" t="n"/>
      <c r="AD567" s="15" t="n"/>
      <c r="AE567" s="15" t="n"/>
      <c r="AF567" s="15" t="n"/>
      <c r="AG567" s="15" t="n"/>
      <c r="AH567" s="15" t="n"/>
      <c r="AI567" s="15" t="n"/>
    </row>
    <row r="568">
      <c r="A568" s="4" t="inlineStr">
        <is>
          <t>Студент2.19</t>
        </is>
      </c>
      <c r="B568" s="4" t="inlineStr"/>
      <c r="C568" s="4">
        <f>IF(A568="","",COUNTIF(F568:AI568,"+")+COUNTIF(F568:AI568,"1"))</f>
        <v/>
      </c>
      <c r="D568" s="4">
        <f>IF(A568="","",IF(C568&gt;2*COUNTA(F$549:AI$549)/3,1,IF(C568&gt;=COUNTA(F$549:AI$549)/2,0.8,0.5)))</f>
        <v/>
      </c>
      <c r="E568" s="4">
        <f>IF(A568="","",SUMIFS('Логи'!$H$4:$H$3006,'Логи'!$A$4:$A$3006,A568,'Логи'!$C$4:$C$3006,9))</f>
        <v/>
      </c>
      <c r="F568" s="15" t="n"/>
      <c r="G568" s="15" t="n"/>
      <c r="H568" s="15" t="n"/>
      <c r="I568" s="15" t="n"/>
      <c r="J568" s="15" t="n"/>
      <c r="K568" s="15" t="n"/>
      <c r="L568" s="15" t="n"/>
      <c r="M568" s="15" t="n"/>
      <c r="N568" s="15" t="n"/>
      <c r="O568" s="15" t="n"/>
      <c r="P568" s="15" t="n"/>
      <c r="Q568" s="15" t="n"/>
      <c r="R568" s="15" t="n"/>
      <c r="S568" s="15" t="n"/>
      <c r="T568" s="15" t="n"/>
      <c r="U568" s="15" t="n"/>
      <c r="V568" s="15" t="n"/>
      <c r="W568" s="15" t="n"/>
      <c r="X568" s="15" t="n"/>
      <c r="Y568" s="15" t="n"/>
      <c r="Z568" s="15" t="n"/>
      <c r="AA568" s="15" t="n"/>
      <c r="AB568" s="15" t="n"/>
      <c r="AC568" s="15" t="n"/>
      <c r="AD568" s="15" t="n"/>
      <c r="AE568" s="15" t="n"/>
      <c r="AF568" s="15" t="n"/>
      <c r="AG568" s="15" t="n"/>
      <c r="AH568" s="15" t="n"/>
      <c r="AI568" s="15" t="n"/>
    </row>
    <row r="569">
      <c r="A569" s="4" t="inlineStr">
        <is>
          <t>Студент2.20</t>
        </is>
      </c>
      <c r="B569" s="4" t="inlineStr"/>
      <c r="C569" s="4">
        <f>IF(A569="","",COUNTIF(F569:AI569,"+")+COUNTIF(F569:AI569,"1"))</f>
        <v/>
      </c>
      <c r="D569" s="4">
        <f>IF(A569="","",IF(C569&gt;2*COUNTA(F$549:AI$549)/3,1,IF(C569&gt;=COUNTA(F$549:AI$549)/2,0.8,0.5)))</f>
        <v/>
      </c>
      <c r="E569" s="4">
        <f>IF(A569="","",SUMIFS('Логи'!$H$4:$H$3006,'Логи'!$A$4:$A$3006,A569,'Логи'!$C$4:$C$3006,9))</f>
        <v/>
      </c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5" t="n"/>
      <c r="P569" s="15" t="n"/>
      <c r="Q569" s="15" t="n"/>
      <c r="R569" s="15" t="n"/>
      <c r="S569" s="15" t="n"/>
      <c r="T569" s="15" t="n"/>
      <c r="U569" s="15" t="n"/>
      <c r="V569" s="15" t="n"/>
      <c r="W569" s="15" t="n"/>
      <c r="X569" s="15" t="n"/>
      <c r="Y569" s="15" t="n"/>
      <c r="Z569" s="15" t="n"/>
      <c r="AA569" s="15" t="n"/>
      <c r="AB569" s="15" t="n"/>
      <c r="AC569" s="15" t="n"/>
      <c r="AD569" s="15" t="n"/>
      <c r="AE569" s="15" t="n"/>
      <c r="AF569" s="15" t="n"/>
      <c r="AG569" s="15" t="n"/>
      <c r="AH569" s="15" t="n"/>
      <c r="AI569" s="15" t="n"/>
    </row>
    <row r="570">
      <c r="A570" s="4" t="inlineStr">
        <is>
          <t>Студент2.21</t>
        </is>
      </c>
      <c r="B570" s="4" t="inlineStr"/>
      <c r="C570" s="4">
        <f>IF(A570="","",COUNTIF(F570:AI570,"+")+COUNTIF(F570:AI570,"1"))</f>
        <v/>
      </c>
      <c r="D570" s="4">
        <f>IF(A570="","",IF(C570&gt;2*COUNTA(F$549:AI$549)/3,1,IF(C570&gt;=COUNTA(F$549:AI$549)/2,0.8,0.5)))</f>
        <v/>
      </c>
      <c r="E570" s="4">
        <f>IF(A570="","",SUMIFS('Логи'!$H$4:$H$3006,'Логи'!$A$4:$A$3006,A570,'Логи'!$C$4:$C$3006,9))</f>
        <v/>
      </c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5" t="n"/>
      <c r="P570" s="15" t="n"/>
      <c r="Q570" s="15" t="n"/>
      <c r="R570" s="15" t="n"/>
      <c r="S570" s="15" t="n"/>
      <c r="T570" s="15" t="n"/>
      <c r="U570" s="15" t="n"/>
      <c r="V570" s="15" t="n"/>
      <c r="W570" s="15" t="n"/>
      <c r="X570" s="15" t="n"/>
      <c r="Y570" s="15" t="n"/>
      <c r="Z570" s="15" t="n"/>
      <c r="AA570" s="15" t="n"/>
      <c r="AB570" s="15" t="n"/>
      <c r="AC570" s="15" t="n"/>
      <c r="AD570" s="15" t="n"/>
      <c r="AE570" s="15" t="n"/>
      <c r="AF570" s="15" t="n"/>
      <c r="AG570" s="15" t="n"/>
      <c r="AH570" s="15" t="n"/>
      <c r="AI570" s="15" t="n"/>
    </row>
    <row r="571">
      <c r="A571" s="4" t="inlineStr">
        <is>
          <t>Студент2.22</t>
        </is>
      </c>
      <c r="B571" s="4" t="inlineStr"/>
      <c r="C571" s="4">
        <f>IF(A571="","",COUNTIF(F571:AI571,"+")+COUNTIF(F571:AI571,"1"))</f>
        <v/>
      </c>
      <c r="D571" s="4">
        <f>IF(A571="","",IF(C571&gt;2*COUNTA(F$549:AI$549)/3,1,IF(C571&gt;=COUNTA(F$549:AI$549)/2,0.8,0.5)))</f>
        <v/>
      </c>
      <c r="E571" s="4">
        <f>IF(A571="","",SUMIFS('Логи'!$H$4:$H$3006,'Логи'!$A$4:$A$3006,A571,'Логи'!$C$4:$C$3006,9))</f>
        <v/>
      </c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  <c r="O571" s="15" t="n"/>
      <c r="P571" s="15" t="n"/>
      <c r="Q571" s="15" t="n"/>
      <c r="R571" s="15" t="n"/>
      <c r="S571" s="15" t="n"/>
      <c r="T571" s="15" t="n"/>
      <c r="U571" s="15" t="n"/>
      <c r="V571" s="15" t="n"/>
      <c r="W571" s="15" t="n"/>
      <c r="X571" s="15" t="n"/>
      <c r="Y571" s="15" t="n"/>
      <c r="Z571" s="15" t="n"/>
      <c r="AA571" s="15" t="n"/>
      <c r="AB571" s="15" t="n"/>
      <c r="AC571" s="15" t="n"/>
      <c r="AD571" s="15" t="n"/>
      <c r="AE571" s="15" t="n"/>
      <c r="AF571" s="15" t="n"/>
      <c r="AG571" s="15" t="n"/>
      <c r="AH571" s="15" t="n"/>
      <c r="AI571" s="15" t="n"/>
    </row>
    <row r="572">
      <c r="A572" s="4" t="inlineStr">
        <is>
          <t>Студент2.23</t>
        </is>
      </c>
      <c r="B572" s="4" t="inlineStr"/>
      <c r="C572" s="4">
        <f>IF(A572="","",COUNTIF(F572:AI572,"+")+COUNTIF(F572:AI572,"1"))</f>
        <v/>
      </c>
      <c r="D572" s="4">
        <f>IF(A572="","",IF(C572&gt;2*COUNTA(F$549:AI$549)/3,1,IF(C572&gt;=COUNTA(F$549:AI$549)/2,0.8,0.5)))</f>
        <v/>
      </c>
      <c r="E572" s="4">
        <f>IF(A572="","",SUMIFS('Логи'!$H$4:$H$3006,'Логи'!$A$4:$A$3006,A572,'Логи'!$C$4:$C$3006,9))</f>
        <v/>
      </c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  <c r="O572" s="15" t="n"/>
      <c r="P572" s="15" t="n"/>
      <c r="Q572" s="15" t="n"/>
      <c r="R572" s="15" t="n"/>
      <c r="S572" s="15" t="n"/>
      <c r="T572" s="15" t="n"/>
      <c r="U572" s="15" t="n"/>
      <c r="V572" s="15" t="n"/>
      <c r="W572" s="15" t="n"/>
      <c r="X572" s="15" t="n"/>
      <c r="Y572" s="15" t="n"/>
      <c r="Z572" s="15" t="n"/>
      <c r="AA572" s="15" t="n"/>
      <c r="AB572" s="15" t="n"/>
      <c r="AC572" s="15" t="n"/>
      <c r="AD572" s="15" t="n"/>
      <c r="AE572" s="15" t="n"/>
      <c r="AF572" s="15" t="n"/>
      <c r="AG572" s="15" t="n"/>
      <c r="AH572" s="15" t="n"/>
      <c r="AI572" s="15" t="n"/>
    </row>
    <row r="573">
      <c r="A573" s="4" t="inlineStr">
        <is>
          <t>Студент2.24</t>
        </is>
      </c>
      <c r="B573" s="4" t="inlineStr"/>
      <c r="C573" s="4">
        <f>IF(A573="","",COUNTIF(F573:AI573,"+")+COUNTIF(F573:AI573,"1"))</f>
        <v/>
      </c>
      <c r="D573" s="4">
        <f>IF(A573="","",IF(C573&gt;2*COUNTA(F$549:AI$549)/3,1,IF(C573&gt;=COUNTA(F$549:AI$549)/2,0.8,0.5)))</f>
        <v/>
      </c>
      <c r="E573" s="4">
        <f>IF(A573="","",SUMIFS('Логи'!$H$4:$H$3006,'Логи'!$A$4:$A$3006,A573,'Логи'!$C$4:$C$3006,9))</f>
        <v/>
      </c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  <c r="O573" s="15" t="n"/>
      <c r="P573" s="15" t="n"/>
      <c r="Q573" s="15" t="n"/>
      <c r="R573" s="15" t="n"/>
      <c r="S573" s="15" t="n"/>
      <c r="T573" s="15" t="n"/>
      <c r="U573" s="15" t="n"/>
      <c r="V573" s="15" t="n"/>
      <c r="W573" s="15" t="n"/>
      <c r="X573" s="15" t="n"/>
      <c r="Y573" s="15" t="n"/>
      <c r="Z573" s="15" t="n"/>
      <c r="AA573" s="15" t="n"/>
      <c r="AB573" s="15" t="n"/>
      <c r="AC573" s="15" t="n"/>
      <c r="AD573" s="15" t="n"/>
      <c r="AE573" s="15" t="n"/>
      <c r="AF573" s="15" t="n"/>
      <c r="AG573" s="15" t="n"/>
      <c r="AH573" s="15" t="n"/>
      <c r="AI573" s="15" t="n"/>
    </row>
    <row r="574">
      <c r="A574" s="4" t="inlineStr">
        <is>
          <t>Студент2.25</t>
        </is>
      </c>
      <c r="B574" s="4" t="inlineStr"/>
      <c r="C574" s="4">
        <f>IF(A574="","",COUNTIF(F574:AI574,"+")+COUNTIF(F574:AI574,"1"))</f>
        <v/>
      </c>
      <c r="D574" s="4">
        <f>IF(A574="","",IF(C574&gt;2*COUNTA(F$549:AI$549)/3,1,IF(C574&gt;=COUNTA(F$549:AI$549)/2,0.8,0.5)))</f>
        <v/>
      </c>
      <c r="E574" s="4">
        <f>IF(A574="","",SUMIFS('Логи'!$H$4:$H$3006,'Логи'!$A$4:$A$3006,A574,'Логи'!$C$4:$C$3006,9))</f>
        <v/>
      </c>
      <c r="F574" s="15" t="n"/>
      <c r="G574" s="15" t="n"/>
      <c r="H574" s="15" t="n"/>
      <c r="I574" s="15" t="n"/>
      <c r="J574" s="15" t="n"/>
      <c r="K574" s="15" t="n"/>
      <c r="L574" s="15" t="n"/>
      <c r="M574" s="15" t="n"/>
      <c r="N574" s="15" t="n"/>
      <c r="O574" s="15" t="n"/>
      <c r="P574" s="15" t="n"/>
      <c r="Q574" s="15" t="n"/>
      <c r="R574" s="15" t="n"/>
      <c r="S574" s="15" t="n"/>
      <c r="T574" s="15" t="n"/>
      <c r="U574" s="15" t="n"/>
      <c r="V574" s="15" t="n"/>
      <c r="W574" s="15" t="n"/>
      <c r="X574" s="15" t="n"/>
      <c r="Y574" s="15" t="n"/>
      <c r="Z574" s="15" t="n"/>
      <c r="AA574" s="15" t="n"/>
      <c r="AB574" s="15" t="n"/>
      <c r="AC574" s="15" t="n"/>
      <c r="AD574" s="15" t="n"/>
      <c r="AE574" s="15" t="n"/>
      <c r="AF574" s="15" t="n"/>
      <c r="AG574" s="15" t="n"/>
      <c r="AH574" s="15" t="n"/>
      <c r="AI574" s="15" t="n"/>
    </row>
    <row r="575">
      <c r="A575" s="4" t="inlineStr">
        <is>
          <t>Студент2.26</t>
        </is>
      </c>
      <c r="B575" s="4" t="inlineStr"/>
      <c r="C575" s="4">
        <f>IF(A575="","",COUNTIF(F575:AI575,"+")+COUNTIF(F575:AI575,"1"))</f>
        <v/>
      </c>
      <c r="D575" s="4">
        <f>IF(A575="","",IF(C575&gt;2*COUNTA(F$549:AI$549)/3,1,IF(C575&gt;=COUNTA(F$549:AI$549)/2,0.8,0.5)))</f>
        <v/>
      </c>
      <c r="E575" s="4">
        <f>IF(A575="","",SUMIFS('Логи'!$H$4:$H$3006,'Логи'!$A$4:$A$3006,A575,'Логи'!$C$4:$C$3006,9))</f>
        <v/>
      </c>
      <c r="F575" s="15" t="n"/>
      <c r="G575" s="15" t="n"/>
      <c r="H575" s="15" t="n"/>
      <c r="I575" s="15" t="n"/>
      <c r="J575" s="15" t="n"/>
      <c r="K575" s="15" t="n"/>
      <c r="L575" s="15" t="n"/>
      <c r="M575" s="15" t="n"/>
      <c r="N575" s="15" t="n"/>
      <c r="O575" s="15" t="n"/>
      <c r="P575" s="15" t="n"/>
      <c r="Q575" s="15" t="n"/>
      <c r="R575" s="15" t="n"/>
      <c r="S575" s="15" t="n"/>
      <c r="T575" s="15" t="n"/>
      <c r="U575" s="15" t="n"/>
      <c r="V575" s="15" t="n"/>
      <c r="W575" s="15" t="n"/>
      <c r="X575" s="15" t="n"/>
      <c r="Y575" s="15" t="n"/>
      <c r="Z575" s="15" t="n"/>
      <c r="AA575" s="15" t="n"/>
      <c r="AB575" s="15" t="n"/>
      <c r="AC575" s="15" t="n"/>
      <c r="AD575" s="15" t="n"/>
      <c r="AE575" s="15" t="n"/>
      <c r="AF575" s="15" t="n"/>
      <c r="AG575" s="15" t="n"/>
      <c r="AH575" s="15" t="n"/>
      <c r="AI575" s="15" t="n"/>
    </row>
    <row r="576">
      <c r="A576" s="4" t="inlineStr">
        <is>
          <t>Студент2.27</t>
        </is>
      </c>
      <c r="B576" s="4" t="inlineStr"/>
      <c r="C576" s="4">
        <f>IF(A576="","",COUNTIF(F576:AI576,"+")+COUNTIF(F576:AI576,"1"))</f>
        <v/>
      </c>
      <c r="D576" s="4">
        <f>IF(A576="","",IF(C576&gt;2*COUNTA(F$549:AI$549)/3,1,IF(C576&gt;=COUNTA(F$549:AI$549)/2,0.8,0.5)))</f>
        <v/>
      </c>
      <c r="E576" s="4">
        <f>IF(A576="","",SUMIFS('Логи'!$H$4:$H$3006,'Логи'!$A$4:$A$3006,A576,'Логи'!$C$4:$C$3006,9))</f>
        <v/>
      </c>
      <c r="F576" s="15" t="n"/>
      <c r="G576" s="15" t="n"/>
      <c r="H576" s="15" t="n"/>
      <c r="I576" s="15" t="n"/>
      <c r="J576" s="15" t="n"/>
      <c r="K576" s="15" t="n"/>
      <c r="L576" s="15" t="n"/>
      <c r="M576" s="15" t="n"/>
      <c r="N576" s="15" t="n"/>
      <c r="O576" s="15" t="n"/>
      <c r="P576" s="15" t="n"/>
      <c r="Q576" s="15" t="n"/>
      <c r="R576" s="15" t="n"/>
      <c r="S576" s="15" t="n"/>
      <c r="T576" s="15" t="n"/>
      <c r="U576" s="15" t="n"/>
      <c r="V576" s="15" t="n"/>
      <c r="W576" s="15" t="n"/>
      <c r="X576" s="15" t="n"/>
      <c r="Y576" s="15" t="n"/>
      <c r="Z576" s="15" t="n"/>
      <c r="AA576" s="15" t="n"/>
      <c r="AB576" s="15" t="n"/>
      <c r="AC576" s="15" t="n"/>
      <c r="AD576" s="15" t="n"/>
      <c r="AE576" s="15" t="n"/>
      <c r="AF576" s="15" t="n"/>
      <c r="AG576" s="15" t="n"/>
      <c r="AH576" s="15" t="n"/>
      <c r="AI576" s="15" t="n"/>
    </row>
    <row r="577">
      <c r="A577" s="4" t="inlineStr">
        <is>
          <t>Студент2.28</t>
        </is>
      </c>
      <c r="B577" s="4" t="inlineStr"/>
      <c r="C577" s="4">
        <f>IF(A577="","",COUNTIF(F577:AI577,"+")+COUNTIF(F577:AI577,"1"))</f>
        <v/>
      </c>
      <c r="D577" s="4">
        <f>IF(A577="","",IF(C577&gt;2*COUNTA(F$549:AI$549)/3,1,IF(C577&gt;=COUNTA(F$549:AI$549)/2,0.8,0.5)))</f>
        <v/>
      </c>
      <c r="E577" s="4">
        <f>IF(A577="","",SUMIFS('Логи'!$H$4:$H$3006,'Логи'!$A$4:$A$3006,A577,'Логи'!$C$4:$C$3006,9))</f>
        <v/>
      </c>
      <c r="F577" s="15" t="n"/>
      <c r="G577" s="15" t="n"/>
      <c r="H577" s="15" t="n"/>
      <c r="I577" s="15" t="n"/>
      <c r="J577" s="15" t="n"/>
      <c r="K577" s="15" t="n"/>
      <c r="L577" s="15" t="n"/>
      <c r="M577" s="15" t="n"/>
      <c r="N577" s="15" t="n"/>
      <c r="O577" s="15" t="n"/>
      <c r="P577" s="15" t="n"/>
      <c r="Q577" s="15" t="n"/>
      <c r="R577" s="15" t="n"/>
      <c r="S577" s="15" t="n"/>
      <c r="T577" s="15" t="n"/>
      <c r="U577" s="15" t="n"/>
      <c r="V577" s="15" t="n"/>
      <c r="W577" s="15" t="n"/>
      <c r="X577" s="15" t="n"/>
      <c r="Y577" s="15" t="n"/>
      <c r="Z577" s="15" t="n"/>
      <c r="AA577" s="15" t="n"/>
      <c r="AB577" s="15" t="n"/>
      <c r="AC577" s="15" t="n"/>
      <c r="AD577" s="15" t="n"/>
      <c r="AE577" s="15" t="n"/>
      <c r="AF577" s="15" t="n"/>
      <c r="AG577" s="15" t="n"/>
      <c r="AH577" s="15" t="n"/>
      <c r="AI577" s="15" t="n"/>
    </row>
    <row r="578">
      <c r="A578" s="4" t="inlineStr">
        <is>
          <t>Студент2.29</t>
        </is>
      </c>
      <c r="B578" s="4" t="inlineStr"/>
      <c r="C578" s="4">
        <f>IF(A578="","",COUNTIF(F578:AI578,"+")+COUNTIF(F578:AI578,"1"))</f>
        <v/>
      </c>
      <c r="D578" s="4">
        <f>IF(A578="","",IF(C578&gt;2*COUNTA(F$549:AI$549)/3,1,IF(C578&gt;=COUNTA(F$549:AI$549)/2,0.8,0.5)))</f>
        <v/>
      </c>
      <c r="E578" s="4">
        <f>IF(A578="","",SUMIFS('Логи'!$H$4:$H$3006,'Логи'!$A$4:$A$3006,A578,'Логи'!$C$4:$C$3006,9))</f>
        <v/>
      </c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5" t="n"/>
      <c r="P578" s="15" t="n"/>
      <c r="Q578" s="15" t="n"/>
      <c r="R578" s="15" t="n"/>
      <c r="S578" s="15" t="n"/>
      <c r="T578" s="15" t="n"/>
      <c r="U578" s="15" t="n"/>
      <c r="V578" s="15" t="n"/>
      <c r="W578" s="15" t="n"/>
      <c r="X578" s="15" t="n"/>
      <c r="Y578" s="15" t="n"/>
      <c r="Z578" s="15" t="n"/>
      <c r="AA578" s="15" t="n"/>
      <c r="AB578" s="15" t="n"/>
      <c r="AC578" s="15" t="n"/>
      <c r="AD578" s="15" t="n"/>
      <c r="AE578" s="15" t="n"/>
      <c r="AF578" s="15" t="n"/>
      <c r="AG578" s="15" t="n"/>
      <c r="AH578" s="15" t="n"/>
      <c r="AI578" s="15" t="n"/>
    </row>
    <row r="579">
      <c r="A579" s="4" t="inlineStr">
        <is>
          <t>Студент2.30</t>
        </is>
      </c>
      <c r="B579" s="4" t="inlineStr"/>
      <c r="C579" s="4">
        <f>IF(A579="","",COUNTIF(F579:AI579,"+")+COUNTIF(F579:AI579,"1"))</f>
        <v/>
      </c>
      <c r="D579" s="4">
        <f>IF(A579="","",IF(C579&gt;2*COUNTA(F$549:AI$549)/3,1,IF(C579&gt;=COUNTA(F$549:AI$549)/2,0.8,0.5)))</f>
        <v/>
      </c>
      <c r="E579" s="4">
        <f>IF(A579="","",SUMIFS('Логи'!$H$4:$H$3006,'Логи'!$A$4:$A$3006,A579,'Логи'!$C$4:$C$3006,9))</f>
        <v/>
      </c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  <c r="O579" s="15" t="n"/>
      <c r="P579" s="15" t="n"/>
      <c r="Q579" s="15" t="n"/>
      <c r="R579" s="15" t="n"/>
      <c r="S579" s="15" t="n"/>
      <c r="T579" s="15" t="n"/>
      <c r="U579" s="15" t="n"/>
      <c r="V579" s="15" t="n"/>
      <c r="W579" s="15" t="n"/>
      <c r="X579" s="15" t="n"/>
      <c r="Y579" s="15" t="n"/>
      <c r="Z579" s="15" t="n"/>
      <c r="AA579" s="15" t="n"/>
      <c r="AB579" s="15" t="n"/>
      <c r="AC579" s="15" t="n"/>
      <c r="AD579" s="15" t="n"/>
      <c r="AE579" s="15" t="n"/>
      <c r="AF579" s="15" t="n"/>
      <c r="AG579" s="15" t="n"/>
      <c r="AH579" s="15" t="n"/>
      <c r="AI579" s="15" t="n"/>
    </row>
    <row r="581">
      <c r="A581" s="16" t="inlineStr">
        <is>
          <t>Практика 9 — результаты рассказа</t>
        </is>
      </c>
    </row>
    <row r="582" ht="28" customHeight="1">
      <c r="A582" s="7" t="inlineStr">
        <is>
          <t>Имя</t>
        </is>
      </c>
      <c r="B582" s="9" t="inlineStr">
        <is>
          <t>TG</t>
        </is>
      </c>
      <c r="C582" s="10" t="inlineStr"/>
      <c r="D582" s="2" t="inlineStr"/>
      <c r="E582" s="2" t="inlineStr"/>
      <c r="F582" s="11" t="inlineStr">
        <is>
          <t>1.0</t>
        </is>
      </c>
      <c r="G582" s="11" t="inlineStr">
        <is>
          <t>2.0</t>
        </is>
      </c>
      <c r="H582" s="11" t="inlineStr">
        <is>
          <t>3.0</t>
        </is>
      </c>
      <c r="I582" s="11" t="inlineStr">
        <is>
          <t>4.0</t>
        </is>
      </c>
      <c r="J582" s="11" t="inlineStr">
        <is>
          <t>5.0</t>
        </is>
      </c>
      <c r="K582" s="11" t="inlineStr">
        <is>
          <t>6</t>
        </is>
      </c>
      <c r="L582" s="11" t="inlineStr">
        <is>
          <t>7</t>
        </is>
      </c>
      <c r="M582" s="11" t="inlineStr">
        <is>
          <t>8</t>
        </is>
      </c>
      <c r="N582" s="11" t="inlineStr">
        <is>
          <t>9</t>
        </is>
      </c>
      <c r="O582" s="11" t="inlineStr">
        <is>
          <t>10</t>
        </is>
      </c>
      <c r="P582" s="11" t="inlineStr">
        <is>
          <t>11</t>
        </is>
      </c>
      <c r="Q582" s="11" t="inlineStr">
        <is>
          <t>12</t>
        </is>
      </c>
      <c r="R582" s="11" t="inlineStr">
        <is>
          <t>13</t>
        </is>
      </c>
      <c r="S582" s="11" t="inlineStr">
        <is>
          <t>14</t>
        </is>
      </c>
      <c r="T582" s="11" t="inlineStr">
        <is>
          <t>15</t>
        </is>
      </c>
      <c r="U582" s="11" t="inlineStr">
        <is>
          <t>16</t>
        </is>
      </c>
      <c r="V582" s="11" t="inlineStr">
        <is>
          <t>17</t>
        </is>
      </c>
      <c r="W582" s="11" t="inlineStr">
        <is>
          <t>18</t>
        </is>
      </c>
      <c r="X582" s="11" t="inlineStr">
        <is>
          <t>19</t>
        </is>
      </c>
      <c r="Y582" s="11" t="inlineStr">
        <is>
          <t>20</t>
        </is>
      </c>
      <c r="Z582" s="11" t="inlineStr">
        <is>
          <t>21</t>
        </is>
      </c>
      <c r="AA582" s="11" t="inlineStr">
        <is>
          <t>22</t>
        </is>
      </c>
      <c r="AB582" s="11" t="inlineStr">
        <is>
          <t>23</t>
        </is>
      </c>
      <c r="AC582" s="11" t="inlineStr">
        <is>
          <t>24</t>
        </is>
      </c>
      <c r="AD582" s="11" t="inlineStr">
        <is>
          <t>25</t>
        </is>
      </c>
      <c r="AE582" s="11" t="inlineStr">
        <is>
          <t>26</t>
        </is>
      </c>
      <c r="AF582" s="11" t="inlineStr">
        <is>
          <t>27</t>
        </is>
      </c>
      <c r="AG582" s="11" t="inlineStr">
        <is>
          <t>28</t>
        </is>
      </c>
      <c r="AH582" s="11" t="inlineStr">
        <is>
          <t>29</t>
        </is>
      </c>
      <c r="AI582" s="11" t="inlineStr">
        <is>
          <t>30</t>
        </is>
      </c>
    </row>
    <row r="583">
      <c r="A583" s="4" t="inlineStr">
        <is>
          <t>Студент2.1</t>
        </is>
      </c>
      <c r="B583" s="4" t="inlineStr"/>
      <c r="C583" s="4" t="n"/>
      <c r="D583" s="4" t="n"/>
      <c r="E583" s="4" t="n"/>
      <c r="F583" s="15" t="n"/>
      <c r="G583" s="15" t="n"/>
      <c r="H583" s="15" t="n"/>
      <c r="I583" s="15" t="n"/>
      <c r="J583" s="15" t="n"/>
      <c r="K583" s="15" t="n"/>
      <c r="L583" s="15" t="n"/>
      <c r="M583" s="15" t="n"/>
      <c r="N583" s="15" t="n"/>
      <c r="O583" s="15" t="n"/>
      <c r="P583" s="15" t="n"/>
      <c r="Q583" s="15" t="n"/>
      <c r="R583" s="15" t="n"/>
      <c r="S583" s="15" t="n"/>
      <c r="T583" s="15" t="n"/>
      <c r="U583" s="15" t="n"/>
      <c r="V583" s="15" t="n"/>
      <c r="W583" s="15" t="n"/>
      <c r="X583" s="15" t="n"/>
      <c r="Y583" s="15" t="n"/>
      <c r="Z583" s="15" t="n"/>
      <c r="AA583" s="15" t="n"/>
      <c r="AB583" s="15" t="n"/>
      <c r="AC583" s="15" t="n"/>
      <c r="AD583" s="15" t="n"/>
      <c r="AE583" s="15" t="n"/>
      <c r="AF583" s="15" t="n"/>
      <c r="AG583" s="15" t="n"/>
      <c r="AH583" s="15" t="n"/>
      <c r="AI583" s="15" t="n"/>
    </row>
    <row r="584">
      <c r="A584" s="4" t="inlineStr">
        <is>
          <t>Студент2.2</t>
        </is>
      </c>
      <c r="B584" s="4" t="inlineStr"/>
      <c r="C584" s="4" t="n"/>
      <c r="D584" s="4" t="n"/>
      <c r="E584" s="4" t="n"/>
      <c r="F584" s="15" t="n"/>
      <c r="G584" s="15" t="n"/>
      <c r="H584" s="15" t="n"/>
      <c r="I584" s="15" t="n"/>
      <c r="J584" s="15" t="n"/>
      <c r="K584" s="15" t="n"/>
      <c r="L584" s="15" t="n"/>
      <c r="M584" s="15" t="n"/>
      <c r="N584" s="15" t="n"/>
      <c r="O584" s="15" t="n"/>
      <c r="P584" s="15" t="n"/>
      <c r="Q584" s="15" t="n"/>
      <c r="R584" s="15" t="n"/>
      <c r="S584" s="15" t="n"/>
      <c r="T584" s="15" t="n"/>
      <c r="U584" s="15" t="n"/>
      <c r="V584" s="15" t="n"/>
      <c r="W584" s="15" t="n"/>
      <c r="X584" s="15" t="n"/>
      <c r="Y584" s="15" t="n"/>
      <c r="Z584" s="15" t="n"/>
      <c r="AA584" s="15" t="n"/>
      <c r="AB584" s="15" t="n"/>
      <c r="AC584" s="15" t="n"/>
      <c r="AD584" s="15" t="n"/>
      <c r="AE584" s="15" t="n"/>
      <c r="AF584" s="15" t="n"/>
      <c r="AG584" s="15" t="n"/>
      <c r="AH584" s="15" t="n"/>
      <c r="AI584" s="15" t="n"/>
    </row>
    <row r="585">
      <c r="A585" s="4" t="inlineStr">
        <is>
          <t>Студент2.3</t>
        </is>
      </c>
      <c r="B585" s="4" t="inlineStr"/>
      <c r="C585" s="4" t="n"/>
      <c r="D585" s="4" t="n"/>
      <c r="E585" s="4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5" t="n"/>
      <c r="P585" s="15" t="n"/>
      <c r="Q585" s="15" t="n"/>
      <c r="R585" s="15" t="n"/>
      <c r="S585" s="15" t="n"/>
      <c r="T585" s="15" t="n"/>
      <c r="U585" s="15" t="n"/>
      <c r="V585" s="15" t="n"/>
      <c r="W585" s="15" t="n"/>
      <c r="X585" s="15" t="n"/>
      <c r="Y585" s="15" t="n"/>
      <c r="Z585" s="15" t="n"/>
      <c r="AA585" s="15" t="n"/>
      <c r="AB585" s="15" t="n"/>
      <c r="AC585" s="15" t="n"/>
      <c r="AD585" s="15" t="n"/>
      <c r="AE585" s="15" t="n"/>
      <c r="AF585" s="15" t="n"/>
      <c r="AG585" s="15" t="n"/>
      <c r="AH585" s="15" t="n"/>
      <c r="AI585" s="15" t="n"/>
    </row>
    <row r="586">
      <c r="A586" s="4" t="inlineStr">
        <is>
          <t>Студент2.4</t>
        </is>
      </c>
      <c r="B586" s="4" t="inlineStr"/>
      <c r="C586" s="4" t="n"/>
      <c r="D586" s="4" t="n"/>
      <c r="E586" s="4" t="n"/>
      <c r="F586" s="15" t="n"/>
      <c r="G586" s="15" t="n"/>
      <c r="H586" s="15" t="n"/>
      <c r="I586" s="15" t="n"/>
      <c r="J586" s="15" t="n"/>
      <c r="K586" s="15" t="n"/>
      <c r="L586" s="15" t="n"/>
      <c r="M586" s="15" t="n"/>
      <c r="N586" s="15" t="n"/>
      <c r="O586" s="15" t="n"/>
      <c r="P586" s="15" t="n"/>
      <c r="Q586" s="15" t="n"/>
      <c r="R586" s="15" t="n"/>
      <c r="S586" s="15" t="n"/>
      <c r="T586" s="15" t="n"/>
      <c r="U586" s="15" t="n"/>
      <c r="V586" s="15" t="n"/>
      <c r="W586" s="15" t="n"/>
      <c r="X586" s="15" t="n"/>
      <c r="Y586" s="15" t="n"/>
      <c r="Z586" s="15" t="n"/>
      <c r="AA586" s="15" t="n"/>
      <c r="AB586" s="15" t="n"/>
      <c r="AC586" s="15" t="n"/>
      <c r="AD586" s="15" t="n"/>
      <c r="AE586" s="15" t="n"/>
      <c r="AF586" s="15" t="n"/>
      <c r="AG586" s="15" t="n"/>
      <c r="AH586" s="15" t="n"/>
      <c r="AI586" s="15" t="n"/>
    </row>
    <row r="587">
      <c r="A587" s="4" t="inlineStr">
        <is>
          <t>Студент2.5</t>
        </is>
      </c>
      <c r="B587" s="4" t="inlineStr"/>
      <c r="C587" s="4" t="n"/>
      <c r="D587" s="4" t="n"/>
      <c r="E587" s="4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5" t="n"/>
      <c r="P587" s="15" t="n"/>
      <c r="Q587" s="15" t="n"/>
      <c r="R587" s="15" t="n"/>
      <c r="S587" s="15" t="n"/>
      <c r="T587" s="15" t="n"/>
      <c r="U587" s="15" t="n"/>
      <c r="V587" s="15" t="n"/>
      <c r="W587" s="15" t="n"/>
      <c r="X587" s="15" t="n"/>
      <c r="Y587" s="15" t="n"/>
      <c r="Z587" s="15" t="n"/>
      <c r="AA587" s="15" t="n"/>
      <c r="AB587" s="15" t="n"/>
      <c r="AC587" s="15" t="n"/>
      <c r="AD587" s="15" t="n"/>
      <c r="AE587" s="15" t="n"/>
      <c r="AF587" s="15" t="n"/>
      <c r="AG587" s="15" t="n"/>
      <c r="AH587" s="15" t="n"/>
      <c r="AI587" s="15" t="n"/>
    </row>
    <row r="588">
      <c r="A588" s="4" t="inlineStr">
        <is>
          <t>Студент2.6</t>
        </is>
      </c>
      <c r="B588" s="4" t="inlineStr"/>
      <c r="C588" s="4" t="n"/>
      <c r="D588" s="4" t="n"/>
      <c r="E588" s="4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  <c r="O588" s="15" t="n"/>
      <c r="P588" s="15" t="n"/>
      <c r="Q588" s="15" t="n"/>
      <c r="R588" s="15" t="n"/>
      <c r="S588" s="15" t="n"/>
      <c r="T588" s="15" t="n"/>
      <c r="U588" s="15" t="n"/>
      <c r="V588" s="15" t="n"/>
      <c r="W588" s="15" t="n"/>
      <c r="X588" s="15" t="n"/>
      <c r="Y588" s="15" t="n"/>
      <c r="Z588" s="15" t="n"/>
      <c r="AA588" s="15" t="n"/>
      <c r="AB588" s="15" t="n"/>
      <c r="AC588" s="15" t="n"/>
      <c r="AD588" s="15" t="n"/>
      <c r="AE588" s="15" t="n"/>
      <c r="AF588" s="15" t="n"/>
      <c r="AG588" s="15" t="n"/>
      <c r="AH588" s="15" t="n"/>
      <c r="AI588" s="15" t="n"/>
    </row>
    <row r="589">
      <c r="A589" s="4" t="inlineStr">
        <is>
          <t>Студент2.7</t>
        </is>
      </c>
      <c r="B589" s="4" t="inlineStr"/>
      <c r="C589" s="4" t="n"/>
      <c r="D589" s="4" t="n"/>
      <c r="E589" s="4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  <c r="O589" s="15" t="n"/>
      <c r="P589" s="15" t="n"/>
      <c r="Q589" s="15" t="n"/>
      <c r="R589" s="15" t="n"/>
      <c r="S589" s="15" t="n"/>
      <c r="T589" s="15" t="n"/>
      <c r="U589" s="15" t="n"/>
      <c r="V589" s="15" t="n"/>
      <c r="W589" s="15" t="n"/>
      <c r="X589" s="15" t="n"/>
      <c r="Y589" s="15" t="n"/>
      <c r="Z589" s="15" t="n"/>
      <c r="AA589" s="15" t="n"/>
      <c r="AB589" s="15" t="n"/>
      <c r="AC589" s="15" t="n"/>
      <c r="AD589" s="15" t="n"/>
      <c r="AE589" s="15" t="n"/>
      <c r="AF589" s="15" t="n"/>
      <c r="AG589" s="15" t="n"/>
      <c r="AH589" s="15" t="n"/>
      <c r="AI589" s="15" t="n"/>
    </row>
    <row r="590">
      <c r="A590" s="4" t="inlineStr">
        <is>
          <t>Студент2.8</t>
        </is>
      </c>
      <c r="B590" s="4" t="inlineStr"/>
      <c r="C590" s="4" t="n"/>
      <c r="D590" s="4" t="n"/>
      <c r="E590" s="4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  <c r="O590" s="15" t="n"/>
      <c r="P590" s="15" t="n"/>
      <c r="Q590" s="15" t="n"/>
      <c r="R590" s="15" t="n"/>
      <c r="S590" s="15" t="n"/>
      <c r="T590" s="15" t="n"/>
      <c r="U590" s="15" t="n"/>
      <c r="V590" s="15" t="n"/>
      <c r="W590" s="15" t="n"/>
      <c r="X590" s="15" t="n"/>
      <c r="Y590" s="15" t="n"/>
      <c r="Z590" s="15" t="n"/>
      <c r="AA590" s="15" t="n"/>
      <c r="AB590" s="15" t="n"/>
      <c r="AC590" s="15" t="n"/>
      <c r="AD590" s="15" t="n"/>
      <c r="AE590" s="15" t="n"/>
      <c r="AF590" s="15" t="n"/>
      <c r="AG590" s="15" t="n"/>
      <c r="AH590" s="15" t="n"/>
      <c r="AI590" s="15" t="n"/>
    </row>
    <row r="591">
      <c r="A591" s="4" t="inlineStr">
        <is>
          <t>Студент2.9</t>
        </is>
      </c>
      <c r="B591" s="4" t="inlineStr"/>
      <c r="C591" s="4" t="n"/>
      <c r="D591" s="4" t="n"/>
      <c r="E591" s="4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  <c r="O591" s="15" t="n"/>
      <c r="P591" s="15" t="n"/>
      <c r="Q591" s="15" t="n"/>
      <c r="R591" s="15" t="n"/>
      <c r="S591" s="15" t="n"/>
      <c r="T591" s="15" t="n"/>
      <c r="U591" s="15" t="n"/>
      <c r="V591" s="15" t="n"/>
      <c r="W591" s="15" t="n"/>
      <c r="X591" s="15" t="n"/>
      <c r="Y591" s="15" t="n"/>
      <c r="Z591" s="15" t="n"/>
      <c r="AA591" s="15" t="n"/>
      <c r="AB591" s="15" t="n"/>
      <c r="AC591" s="15" t="n"/>
      <c r="AD591" s="15" t="n"/>
      <c r="AE591" s="15" t="n"/>
      <c r="AF591" s="15" t="n"/>
      <c r="AG591" s="15" t="n"/>
      <c r="AH591" s="15" t="n"/>
      <c r="AI591" s="15" t="n"/>
    </row>
    <row r="592">
      <c r="A592" s="4" t="inlineStr">
        <is>
          <t>Студент2.10</t>
        </is>
      </c>
      <c r="B592" s="4" t="inlineStr"/>
      <c r="C592" s="4" t="n"/>
      <c r="D592" s="4" t="n"/>
      <c r="E592" s="4" t="n"/>
      <c r="F592" s="15" t="n"/>
      <c r="G592" s="15" t="n"/>
      <c r="H592" s="15" t="n"/>
      <c r="I592" s="15" t="n"/>
      <c r="J592" s="15" t="n"/>
      <c r="K592" s="15" t="n"/>
      <c r="L592" s="15" t="n"/>
      <c r="M592" s="15" t="n"/>
      <c r="N592" s="15" t="n"/>
      <c r="O592" s="15" t="n"/>
      <c r="P592" s="15" t="n"/>
      <c r="Q592" s="15" t="n"/>
      <c r="R592" s="15" t="n"/>
      <c r="S592" s="15" t="n"/>
      <c r="T592" s="15" t="n"/>
      <c r="U592" s="15" t="n"/>
      <c r="V592" s="15" t="n"/>
      <c r="W592" s="15" t="n"/>
      <c r="X592" s="15" t="n"/>
      <c r="Y592" s="15" t="n"/>
      <c r="Z592" s="15" t="n"/>
      <c r="AA592" s="15" t="n"/>
      <c r="AB592" s="15" t="n"/>
      <c r="AC592" s="15" t="n"/>
      <c r="AD592" s="15" t="n"/>
      <c r="AE592" s="15" t="n"/>
      <c r="AF592" s="15" t="n"/>
      <c r="AG592" s="15" t="n"/>
      <c r="AH592" s="15" t="n"/>
      <c r="AI592" s="15" t="n"/>
    </row>
    <row r="593">
      <c r="A593" s="4" t="inlineStr">
        <is>
          <t>Студент2.11</t>
        </is>
      </c>
      <c r="B593" s="4" t="inlineStr"/>
      <c r="C593" s="4" t="n"/>
      <c r="D593" s="4" t="n"/>
      <c r="E593" s="4" t="n"/>
      <c r="F593" s="15" t="n"/>
      <c r="G593" s="15" t="n"/>
      <c r="H593" s="15" t="n"/>
      <c r="I593" s="15" t="n"/>
      <c r="J593" s="15" t="n"/>
      <c r="K593" s="15" t="n"/>
      <c r="L593" s="15" t="n"/>
      <c r="M593" s="15" t="n"/>
      <c r="N593" s="15" t="n"/>
      <c r="O593" s="15" t="n"/>
      <c r="P593" s="15" t="n"/>
      <c r="Q593" s="15" t="n"/>
      <c r="R593" s="15" t="n"/>
      <c r="S593" s="15" t="n"/>
      <c r="T593" s="15" t="n"/>
      <c r="U593" s="15" t="n"/>
      <c r="V593" s="15" t="n"/>
      <c r="W593" s="15" t="n"/>
      <c r="X593" s="15" t="n"/>
      <c r="Y593" s="15" t="n"/>
      <c r="Z593" s="15" t="n"/>
      <c r="AA593" s="15" t="n"/>
      <c r="AB593" s="15" t="n"/>
      <c r="AC593" s="15" t="n"/>
      <c r="AD593" s="15" t="n"/>
      <c r="AE593" s="15" t="n"/>
      <c r="AF593" s="15" t="n"/>
      <c r="AG593" s="15" t="n"/>
      <c r="AH593" s="15" t="n"/>
      <c r="AI593" s="15" t="n"/>
    </row>
    <row r="594">
      <c r="A594" s="4" t="inlineStr">
        <is>
          <t>Студент2.12</t>
        </is>
      </c>
      <c r="B594" s="4" t="inlineStr"/>
      <c r="C594" s="4" t="n"/>
      <c r="D594" s="4" t="n"/>
      <c r="E594" s="4" t="n"/>
      <c r="F594" s="15" t="n"/>
      <c r="G594" s="15" t="n"/>
      <c r="H594" s="15" t="n"/>
      <c r="I594" s="15" t="n"/>
      <c r="J594" s="15" t="n"/>
      <c r="K594" s="15" t="n"/>
      <c r="L594" s="15" t="n"/>
      <c r="M594" s="15" t="n"/>
      <c r="N594" s="15" t="n"/>
      <c r="O594" s="15" t="n"/>
      <c r="P594" s="15" t="n"/>
      <c r="Q594" s="15" t="n"/>
      <c r="R594" s="15" t="n"/>
      <c r="S594" s="15" t="n"/>
      <c r="T594" s="15" t="n"/>
      <c r="U594" s="15" t="n"/>
      <c r="V594" s="15" t="n"/>
      <c r="W594" s="15" t="n"/>
      <c r="X594" s="15" t="n"/>
      <c r="Y594" s="15" t="n"/>
      <c r="Z594" s="15" t="n"/>
      <c r="AA594" s="15" t="n"/>
      <c r="AB594" s="15" t="n"/>
      <c r="AC594" s="15" t="n"/>
      <c r="AD594" s="15" t="n"/>
      <c r="AE594" s="15" t="n"/>
      <c r="AF594" s="15" t="n"/>
      <c r="AG594" s="15" t="n"/>
      <c r="AH594" s="15" t="n"/>
      <c r="AI594" s="15" t="n"/>
    </row>
    <row r="595">
      <c r="A595" s="4" t="inlineStr">
        <is>
          <t>Студент2.13</t>
        </is>
      </c>
      <c r="B595" s="4" t="inlineStr"/>
      <c r="C595" s="4" t="n"/>
      <c r="D595" s="4" t="n"/>
      <c r="E595" s="4" t="n"/>
      <c r="F595" s="15" t="n"/>
      <c r="G595" s="15" t="n"/>
      <c r="H595" s="15" t="n"/>
      <c r="I595" s="15" t="n"/>
      <c r="J595" s="15" t="n"/>
      <c r="K595" s="15" t="n"/>
      <c r="L595" s="15" t="n"/>
      <c r="M595" s="15" t="n"/>
      <c r="N595" s="15" t="n"/>
      <c r="O595" s="15" t="n"/>
      <c r="P595" s="15" t="n"/>
      <c r="Q595" s="15" t="n"/>
      <c r="R595" s="15" t="n"/>
      <c r="S595" s="15" t="n"/>
      <c r="T595" s="15" t="n"/>
      <c r="U595" s="15" t="n"/>
      <c r="V595" s="15" t="n"/>
      <c r="W595" s="15" t="n"/>
      <c r="X595" s="15" t="n"/>
      <c r="Y595" s="15" t="n"/>
      <c r="Z595" s="15" t="n"/>
      <c r="AA595" s="15" t="n"/>
      <c r="AB595" s="15" t="n"/>
      <c r="AC595" s="15" t="n"/>
      <c r="AD595" s="15" t="n"/>
      <c r="AE595" s="15" t="n"/>
      <c r="AF595" s="15" t="n"/>
      <c r="AG595" s="15" t="n"/>
      <c r="AH595" s="15" t="n"/>
      <c r="AI595" s="15" t="n"/>
    </row>
    <row r="596">
      <c r="A596" s="4" t="inlineStr">
        <is>
          <t>Студент2.14</t>
        </is>
      </c>
      <c r="B596" s="4" t="inlineStr"/>
      <c r="C596" s="4" t="n"/>
      <c r="D596" s="4" t="n"/>
      <c r="E596" s="4" t="n"/>
      <c r="F596" s="15" t="n"/>
      <c r="G596" s="15" t="n"/>
      <c r="H596" s="15" t="n"/>
      <c r="I596" s="15" t="n"/>
      <c r="J596" s="15" t="n"/>
      <c r="K596" s="15" t="n"/>
      <c r="L596" s="15" t="n"/>
      <c r="M596" s="15" t="n"/>
      <c r="N596" s="15" t="n"/>
      <c r="O596" s="15" t="n"/>
      <c r="P596" s="15" t="n"/>
      <c r="Q596" s="15" t="n"/>
      <c r="R596" s="15" t="n"/>
      <c r="S596" s="15" t="n"/>
      <c r="T596" s="15" t="n"/>
      <c r="U596" s="15" t="n"/>
      <c r="V596" s="15" t="n"/>
      <c r="W596" s="15" t="n"/>
      <c r="X596" s="15" t="n"/>
      <c r="Y596" s="15" t="n"/>
      <c r="Z596" s="15" t="n"/>
      <c r="AA596" s="15" t="n"/>
      <c r="AB596" s="15" t="n"/>
      <c r="AC596" s="15" t="n"/>
      <c r="AD596" s="15" t="n"/>
      <c r="AE596" s="15" t="n"/>
      <c r="AF596" s="15" t="n"/>
      <c r="AG596" s="15" t="n"/>
      <c r="AH596" s="15" t="n"/>
      <c r="AI596" s="15" t="n"/>
    </row>
    <row r="597">
      <c r="A597" s="4" t="inlineStr">
        <is>
          <t>Студент2.15</t>
        </is>
      </c>
      <c r="B597" s="4" t="inlineStr"/>
      <c r="C597" s="4" t="n"/>
      <c r="D597" s="4" t="n"/>
      <c r="E597" s="4" t="n"/>
      <c r="F597" s="15" t="n"/>
      <c r="G597" s="15" t="n"/>
      <c r="H597" s="15" t="n"/>
      <c r="I597" s="15" t="n"/>
      <c r="J597" s="15" t="n"/>
      <c r="K597" s="15" t="n"/>
      <c r="L597" s="15" t="n"/>
      <c r="M597" s="15" t="n"/>
      <c r="N597" s="15" t="n"/>
      <c r="O597" s="15" t="n"/>
      <c r="P597" s="15" t="n"/>
      <c r="Q597" s="15" t="n"/>
      <c r="R597" s="15" t="n"/>
      <c r="S597" s="15" t="n"/>
      <c r="T597" s="15" t="n"/>
      <c r="U597" s="15" t="n"/>
      <c r="V597" s="15" t="n"/>
      <c r="W597" s="15" t="n"/>
      <c r="X597" s="15" t="n"/>
      <c r="Y597" s="15" t="n"/>
      <c r="Z597" s="15" t="n"/>
      <c r="AA597" s="15" t="n"/>
      <c r="AB597" s="15" t="n"/>
      <c r="AC597" s="15" t="n"/>
      <c r="AD597" s="15" t="n"/>
      <c r="AE597" s="15" t="n"/>
      <c r="AF597" s="15" t="n"/>
      <c r="AG597" s="15" t="n"/>
      <c r="AH597" s="15" t="n"/>
      <c r="AI597" s="15" t="n"/>
    </row>
    <row r="598">
      <c r="A598" s="4" t="inlineStr">
        <is>
          <t>Студент2.16</t>
        </is>
      </c>
      <c r="B598" s="4" t="inlineStr"/>
      <c r="C598" s="4" t="n"/>
      <c r="D598" s="4" t="n"/>
      <c r="E598" s="4" t="n"/>
      <c r="F598" s="15" t="n"/>
      <c r="G598" s="15" t="n"/>
      <c r="H598" s="15" t="n"/>
      <c r="I598" s="15" t="n"/>
      <c r="J598" s="15" t="n"/>
      <c r="K598" s="15" t="n"/>
      <c r="L598" s="15" t="n"/>
      <c r="M598" s="15" t="n"/>
      <c r="N598" s="15" t="n"/>
      <c r="O598" s="15" t="n"/>
      <c r="P598" s="15" t="n"/>
      <c r="Q598" s="15" t="n"/>
      <c r="R598" s="15" t="n"/>
      <c r="S598" s="15" t="n"/>
      <c r="T598" s="15" t="n"/>
      <c r="U598" s="15" t="n"/>
      <c r="V598" s="15" t="n"/>
      <c r="W598" s="15" t="n"/>
      <c r="X598" s="15" t="n"/>
      <c r="Y598" s="15" t="n"/>
      <c r="Z598" s="15" t="n"/>
      <c r="AA598" s="15" t="n"/>
      <c r="AB598" s="15" t="n"/>
      <c r="AC598" s="15" t="n"/>
      <c r="AD598" s="15" t="n"/>
      <c r="AE598" s="15" t="n"/>
      <c r="AF598" s="15" t="n"/>
      <c r="AG598" s="15" t="n"/>
      <c r="AH598" s="15" t="n"/>
      <c r="AI598" s="15" t="n"/>
    </row>
    <row r="599">
      <c r="A599" s="4" t="inlineStr">
        <is>
          <t>Студент2.17</t>
        </is>
      </c>
      <c r="B599" s="4" t="inlineStr"/>
      <c r="C599" s="4" t="n"/>
      <c r="D599" s="4" t="n"/>
      <c r="E599" s="4" t="n"/>
      <c r="F599" s="15" t="n"/>
      <c r="G599" s="15" t="n"/>
      <c r="H599" s="15" t="n"/>
      <c r="I599" s="15" t="n"/>
      <c r="J599" s="15" t="n"/>
      <c r="K599" s="15" t="n"/>
      <c r="L599" s="15" t="n"/>
      <c r="M599" s="15" t="n"/>
      <c r="N599" s="15" t="n"/>
      <c r="O599" s="15" t="n"/>
      <c r="P599" s="15" t="n"/>
      <c r="Q599" s="15" t="n"/>
      <c r="R599" s="15" t="n"/>
      <c r="S599" s="15" t="n"/>
      <c r="T599" s="15" t="n"/>
      <c r="U599" s="15" t="n"/>
      <c r="V599" s="15" t="n"/>
      <c r="W599" s="15" t="n"/>
      <c r="X599" s="15" t="n"/>
      <c r="Y599" s="15" t="n"/>
      <c r="Z599" s="15" t="n"/>
      <c r="AA599" s="15" t="n"/>
      <c r="AB599" s="15" t="n"/>
      <c r="AC599" s="15" t="n"/>
      <c r="AD599" s="15" t="n"/>
      <c r="AE599" s="15" t="n"/>
      <c r="AF599" s="15" t="n"/>
      <c r="AG599" s="15" t="n"/>
      <c r="AH599" s="15" t="n"/>
      <c r="AI599" s="15" t="n"/>
    </row>
    <row r="600">
      <c r="A600" s="4" t="inlineStr">
        <is>
          <t>Студент2.18</t>
        </is>
      </c>
      <c r="B600" s="4" t="inlineStr"/>
      <c r="C600" s="4" t="n"/>
      <c r="D600" s="4" t="n"/>
      <c r="E600" s="4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5" t="n"/>
      <c r="P600" s="15" t="n"/>
      <c r="Q600" s="15" t="n"/>
      <c r="R600" s="15" t="n"/>
      <c r="S600" s="15" t="n"/>
      <c r="T600" s="15" t="n"/>
      <c r="U600" s="15" t="n"/>
      <c r="V600" s="15" t="n"/>
      <c r="W600" s="15" t="n"/>
      <c r="X600" s="15" t="n"/>
      <c r="Y600" s="15" t="n"/>
      <c r="Z600" s="15" t="n"/>
      <c r="AA600" s="15" t="n"/>
      <c r="AB600" s="15" t="n"/>
      <c r="AC600" s="15" t="n"/>
      <c r="AD600" s="15" t="n"/>
      <c r="AE600" s="15" t="n"/>
      <c r="AF600" s="15" t="n"/>
      <c r="AG600" s="15" t="n"/>
      <c r="AH600" s="15" t="n"/>
      <c r="AI600" s="15" t="n"/>
    </row>
    <row r="601">
      <c r="A601" s="4" t="inlineStr">
        <is>
          <t>Студент2.19</t>
        </is>
      </c>
      <c r="B601" s="4" t="inlineStr"/>
      <c r="C601" s="4" t="n"/>
      <c r="D601" s="4" t="n"/>
      <c r="E601" s="4" t="n"/>
      <c r="F601" s="15" t="n"/>
      <c r="G601" s="15" t="n"/>
      <c r="H601" s="15" t="n"/>
      <c r="I601" s="15" t="n"/>
      <c r="J601" s="15" t="n"/>
      <c r="K601" s="15" t="n"/>
      <c r="L601" s="15" t="n"/>
      <c r="M601" s="15" t="n"/>
      <c r="N601" s="15" t="n"/>
      <c r="O601" s="15" t="n"/>
      <c r="P601" s="15" t="n"/>
      <c r="Q601" s="15" t="n"/>
      <c r="R601" s="15" t="n"/>
      <c r="S601" s="15" t="n"/>
      <c r="T601" s="15" t="n"/>
      <c r="U601" s="15" t="n"/>
      <c r="V601" s="15" t="n"/>
      <c r="W601" s="15" t="n"/>
      <c r="X601" s="15" t="n"/>
      <c r="Y601" s="15" t="n"/>
      <c r="Z601" s="15" t="n"/>
      <c r="AA601" s="15" t="n"/>
      <c r="AB601" s="15" t="n"/>
      <c r="AC601" s="15" t="n"/>
      <c r="AD601" s="15" t="n"/>
      <c r="AE601" s="15" t="n"/>
      <c r="AF601" s="15" t="n"/>
      <c r="AG601" s="15" t="n"/>
      <c r="AH601" s="15" t="n"/>
      <c r="AI601" s="15" t="n"/>
    </row>
    <row r="602">
      <c r="A602" s="4" t="inlineStr">
        <is>
          <t>Студент2.20</t>
        </is>
      </c>
      <c r="B602" s="4" t="inlineStr"/>
      <c r="C602" s="4" t="n"/>
      <c r="D602" s="4" t="n"/>
      <c r="E602" s="4" t="n"/>
      <c r="F602" s="15" t="n"/>
      <c r="G602" s="15" t="n"/>
      <c r="H602" s="15" t="n"/>
      <c r="I602" s="15" t="n"/>
      <c r="J602" s="15" t="n"/>
      <c r="K602" s="15" t="n"/>
      <c r="L602" s="15" t="n"/>
      <c r="M602" s="15" t="n"/>
      <c r="N602" s="15" t="n"/>
      <c r="O602" s="15" t="n"/>
      <c r="P602" s="15" t="n"/>
      <c r="Q602" s="15" t="n"/>
      <c r="R602" s="15" t="n"/>
      <c r="S602" s="15" t="n"/>
      <c r="T602" s="15" t="n"/>
      <c r="U602" s="15" t="n"/>
      <c r="V602" s="15" t="n"/>
      <c r="W602" s="15" t="n"/>
      <c r="X602" s="15" t="n"/>
      <c r="Y602" s="15" t="n"/>
      <c r="Z602" s="15" t="n"/>
      <c r="AA602" s="15" t="n"/>
      <c r="AB602" s="15" t="n"/>
      <c r="AC602" s="15" t="n"/>
      <c r="AD602" s="15" t="n"/>
      <c r="AE602" s="15" t="n"/>
      <c r="AF602" s="15" t="n"/>
      <c r="AG602" s="15" t="n"/>
      <c r="AH602" s="15" t="n"/>
      <c r="AI602" s="15" t="n"/>
    </row>
    <row r="603">
      <c r="A603" s="4" t="inlineStr">
        <is>
          <t>Студент2.21</t>
        </is>
      </c>
      <c r="B603" s="4" t="inlineStr"/>
      <c r="C603" s="4" t="n"/>
      <c r="D603" s="4" t="n"/>
      <c r="E603" s="4" t="n"/>
      <c r="F603" s="15" t="n"/>
      <c r="G603" s="15" t="n"/>
      <c r="H603" s="15" t="n"/>
      <c r="I603" s="15" t="n"/>
      <c r="J603" s="15" t="n"/>
      <c r="K603" s="15" t="n"/>
      <c r="L603" s="15" t="n"/>
      <c r="M603" s="15" t="n"/>
      <c r="N603" s="15" t="n"/>
      <c r="O603" s="15" t="n"/>
      <c r="P603" s="15" t="n"/>
      <c r="Q603" s="15" t="n"/>
      <c r="R603" s="15" t="n"/>
      <c r="S603" s="15" t="n"/>
      <c r="T603" s="15" t="n"/>
      <c r="U603" s="15" t="n"/>
      <c r="V603" s="15" t="n"/>
      <c r="W603" s="15" t="n"/>
      <c r="X603" s="15" t="n"/>
      <c r="Y603" s="15" t="n"/>
      <c r="Z603" s="15" t="n"/>
      <c r="AA603" s="15" t="n"/>
      <c r="AB603" s="15" t="n"/>
      <c r="AC603" s="15" t="n"/>
      <c r="AD603" s="15" t="n"/>
      <c r="AE603" s="15" t="n"/>
      <c r="AF603" s="15" t="n"/>
      <c r="AG603" s="15" t="n"/>
      <c r="AH603" s="15" t="n"/>
      <c r="AI603" s="15" t="n"/>
    </row>
    <row r="604">
      <c r="A604" s="4" t="inlineStr">
        <is>
          <t>Студент2.22</t>
        </is>
      </c>
      <c r="B604" s="4" t="inlineStr"/>
      <c r="C604" s="4" t="n"/>
      <c r="D604" s="4" t="n"/>
      <c r="E604" s="4" t="n"/>
      <c r="F604" s="15" t="n"/>
      <c r="G604" s="15" t="n"/>
      <c r="H604" s="15" t="n"/>
      <c r="I604" s="15" t="n"/>
      <c r="J604" s="15" t="n"/>
      <c r="K604" s="15" t="n"/>
      <c r="L604" s="15" t="n"/>
      <c r="M604" s="15" t="n"/>
      <c r="N604" s="15" t="n"/>
      <c r="O604" s="15" t="n"/>
      <c r="P604" s="15" t="n"/>
      <c r="Q604" s="15" t="n"/>
      <c r="R604" s="15" t="n"/>
      <c r="S604" s="15" t="n"/>
      <c r="T604" s="15" t="n"/>
      <c r="U604" s="15" t="n"/>
      <c r="V604" s="15" t="n"/>
      <c r="W604" s="15" t="n"/>
      <c r="X604" s="15" t="n"/>
      <c r="Y604" s="15" t="n"/>
      <c r="Z604" s="15" t="n"/>
      <c r="AA604" s="15" t="n"/>
      <c r="AB604" s="15" t="n"/>
      <c r="AC604" s="15" t="n"/>
      <c r="AD604" s="15" t="n"/>
      <c r="AE604" s="15" t="n"/>
      <c r="AF604" s="15" t="n"/>
      <c r="AG604" s="15" t="n"/>
      <c r="AH604" s="15" t="n"/>
      <c r="AI604" s="15" t="n"/>
    </row>
    <row r="605">
      <c r="A605" s="4" t="inlineStr">
        <is>
          <t>Студент2.23</t>
        </is>
      </c>
      <c r="B605" s="4" t="inlineStr"/>
      <c r="C605" s="4" t="n"/>
      <c r="D605" s="4" t="n"/>
      <c r="E605" s="4" t="n"/>
      <c r="F605" s="15" t="n"/>
      <c r="G605" s="15" t="n"/>
      <c r="H605" s="15" t="n"/>
      <c r="I605" s="15" t="n"/>
      <c r="J605" s="15" t="n"/>
      <c r="K605" s="15" t="n"/>
      <c r="L605" s="15" t="n"/>
      <c r="M605" s="15" t="n"/>
      <c r="N605" s="15" t="n"/>
      <c r="O605" s="15" t="n"/>
      <c r="P605" s="15" t="n"/>
      <c r="Q605" s="15" t="n"/>
      <c r="R605" s="15" t="n"/>
      <c r="S605" s="15" t="n"/>
      <c r="T605" s="15" t="n"/>
      <c r="U605" s="15" t="n"/>
      <c r="V605" s="15" t="n"/>
      <c r="W605" s="15" t="n"/>
      <c r="X605" s="15" t="n"/>
      <c r="Y605" s="15" t="n"/>
      <c r="Z605" s="15" t="n"/>
      <c r="AA605" s="15" t="n"/>
      <c r="AB605" s="15" t="n"/>
      <c r="AC605" s="15" t="n"/>
      <c r="AD605" s="15" t="n"/>
      <c r="AE605" s="15" t="n"/>
      <c r="AF605" s="15" t="n"/>
      <c r="AG605" s="15" t="n"/>
      <c r="AH605" s="15" t="n"/>
      <c r="AI605" s="15" t="n"/>
    </row>
    <row r="606">
      <c r="A606" s="4" t="inlineStr">
        <is>
          <t>Студент2.24</t>
        </is>
      </c>
      <c r="B606" s="4" t="inlineStr"/>
      <c r="C606" s="4" t="n"/>
      <c r="D606" s="4" t="n"/>
      <c r="E606" s="4" t="n"/>
      <c r="F606" s="15" t="n"/>
      <c r="G606" s="15" t="n"/>
      <c r="H606" s="15" t="n"/>
      <c r="I606" s="15" t="n"/>
      <c r="J606" s="15" t="n"/>
      <c r="K606" s="15" t="n"/>
      <c r="L606" s="15" t="n"/>
      <c r="M606" s="15" t="n"/>
      <c r="N606" s="15" t="n"/>
      <c r="O606" s="15" t="n"/>
      <c r="P606" s="15" t="n"/>
      <c r="Q606" s="15" t="n"/>
      <c r="R606" s="15" t="n"/>
      <c r="S606" s="15" t="n"/>
      <c r="T606" s="15" t="n"/>
      <c r="U606" s="15" t="n"/>
      <c r="V606" s="15" t="n"/>
      <c r="W606" s="15" t="n"/>
      <c r="X606" s="15" t="n"/>
      <c r="Y606" s="15" t="n"/>
      <c r="Z606" s="15" t="n"/>
      <c r="AA606" s="15" t="n"/>
      <c r="AB606" s="15" t="n"/>
      <c r="AC606" s="15" t="n"/>
      <c r="AD606" s="15" t="n"/>
      <c r="AE606" s="15" t="n"/>
      <c r="AF606" s="15" t="n"/>
      <c r="AG606" s="15" t="n"/>
      <c r="AH606" s="15" t="n"/>
      <c r="AI606" s="15" t="n"/>
    </row>
    <row r="607">
      <c r="A607" s="4" t="inlineStr">
        <is>
          <t>Студент2.25</t>
        </is>
      </c>
      <c r="B607" s="4" t="inlineStr"/>
      <c r="C607" s="4" t="n"/>
      <c r="D607" s="4" t="n"/>
      <c r="E607" s="4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5" t="n"/>
      <c r="P607" s="15" t="n"/>
      <c r="Q607" s="15" t="n"/>
      <c r="R607" s="15" t="n"/>
      <c r="S607" s="15" t="n"/>
      <c r="T607" s="15" t="n"/>
      <c r="U607" s="15" t="n"/>
      <c r="V607" s="15" t="n"/>
      <c r="W607" s="15" t="n"/>
      <c r="X607" s="15" t="n"/>
      <c r="Y607" s="15" t="n"/>
      <c r="Z607" s="15" t="n"/>
      <c r="AA607" s="15" t="n"/>
      <c r="AB607" s="15" t="n"/>
      <c r="AC607" s="15" t="n"/>
      <c r="AD607" s="15" t="n"/>
      <c r="AE607" s="15" t="n"/>
      <c r="AF607" s="15" t="n"/>
      <c r="AG607" s="15" t="n"/>
      <c r="AH607" s="15" t="n"/>
      <c r="AI607" s="15" t="n"/>
    </row>
    <row r="608">
      <c r="A608" s="4" t="inlineStr">
        <is>
          <t>Студент2.26</t>
        </is>
      </c>
      <c r="B608" s="4" t="inlineStr"/>
      <c r="C608" s="4" t="n"/>
      <c r="D608" s="4" t="n"/>
      <c r="E608" s="4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  <c r="O608" s="15" t="n"/>
      <c r="P608" s="15" t="n"/>
      <c r="Q608" s="15" t="n"/>
      <c r="R608" s="15" t="n"/>
      <c r="S608" s="15" t="n"/>
      <c r="T608" s="15" t="n"/>
      <c r="U608" s="15" t="n"/>
      <c r="V608" s="15" t="n"/>
      <c r="W608" s="15" t="n"/>
      <c r="X608" s="15" t="n"/>
      <c r="Y608" s="15" t="n"/>
      <c r="Z608" s="15" t="n"/>
      <c r="AA608" s="15" t="n"/>
      <c r="AB608" s="15" t="n"/>
      <c r="AC608" s="15" t="n"/>
      <c r="AD608" s="15" t="n"/>
      <c r="AE608" s="15" t="n"/>
      <c r="AF608" s="15" t="n"/>
      <c r="AG608" s="15" t="n"/>
      <c r="AH608" s="15" t="n"/>
      <c r="AI608" s="15" t="n"/>
    </row>
    <row r="609">
      <c r="A609" s="4" t="inlineStr">
        <is>
          <t>Студент2.27</t>
        </is>
      </c>
      <c r="B609" s="4" t="inlineStr"/>
      <c r="C609" s="4" t="n"/>
      <c r="D609" s="4" t="n"/>
      <c r="E609" s="4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  <c r="O609" s="15" t="n"/>
      <c r="P609" s="15" t="n"/>
      <c r="Q609" s="15" t="n"/>
      <c r="R609" s="15" t="n"/>
      <c r="S609" s="15" t="n"/>
      <c r="T609" s="15" t="n"/>
      <c r="U609" s="15" t="n"/>
      <c r="V609" s="15" t="n"/>
      <c r="W609" s="15" t="n"/>
      <c r="X609" s="15" t="n"/>
      <c r="Y609" s="15" t="n"/>
      <c r="Z609" s="15" t="n"/>
      <c r="AA609" s="15" t="n"/>
      <c r="AB609" s="15" t="n"/>
      <c r="AC609" s="15" t="n"/>
      <c r="AD609" s="15" t="n"/>
      <c r="AE609" s="15" t="n"/>
      <c r="AF609" s="15" t="n"/>
      <c r="AG609" s="15" t="n"/>
      <c r="AH609" s="15" t="n"/>
      <c r="AI609" s="15" t="n"/>
    </row>
    <row r="610">
      <c r="A610" s="4" t="inlineStr">
        <is>
          <t>Студент2.28</t>
        </is>
      </c>
      <c r="B610" s="4" t="inlineStr"/>
      <c r="C610" s="4" t="n"/>
      <c r="D610" s="4" t="n"/>
      <c r="E610" s="4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  <c r="O610" s="15" t="n"/>
      <c r="P610" s="15" t="n"/>
      <c r="Q610" s="15" t="n"/>
      <c r="R610" s="15" t="n"/>
      <c r="S610" s="15" t="n"/>
      <c r="T610" s="15" t="n"/>
      <c r="U610" s="15" t="n"/>
      <c r="V610" s="15" t="n"/>
      <c r="W610" s="15" t="n"/>
      <c r="X610" s="15" t="n"/>
      <c r="Y610" s="15" t="n"/>
      <c r="Z610" s="15" t="n"/>
      <c r="AA610" s="15" t="n"/>
      <c r="AB610" s="15" t="n"/>
      <c r="AC610" s="15" t="n"/>
      <c r="AD610" s="15" t="n"/>
      <c r="AE610" s="15" t="n"/>
      <c r="AF610" s="15" t="n"/>
      <c r="AG610" s="15" t="n"/>
      <c r="AH610" s="15" t="n"/>
      <c r="AI610" s="15" t="n"/>
    </row>
    <row r="611">
      <c r="A611" s="4" t="inlineStr">
        <is>
          <t>Студент2.29</t>
        </is>
      </c>
      <c r="B611" s="4" t="inlineStr"/>
      <c r="C611" s="4" t="n"/>
      <c r="D611" s="4" t="n"/>
      <c r="E611" s="4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  <c r="O611" s="15" t="n"/>
      <c r="P611" s="15" t="n"/>
      <c r="Q611" s="15" t="n"/>
      <c r="R611" s="15" t="n"/>
      <c r="S611" s="15" t="n"/>
      <c r="T611" s="15" t="n"/>
      <c r="U611" s="15" t="n"/>
      <c r="V611" s="15" t="n"/>
      <c r="W611" s="15" t="n"/>
      <c r="X611" s="15" t="n"/>
      <c r="Y611" s="15" t="n"/>
      <c r="Z611" s="15" t="n"/>
      <c r="AA611" s="15" t="n"/>
      <c r="AB611" s="15" t="n"/>
      <c r="AC611" s="15" t="n"/>
      <c r="AD611" s="15" t="n"/>
      <c r="AE611" s="15" t="n"/>
      <c r="AF611" s="15" t="n"/>
      <c r="AG611" s="15" t="n"/>
      <c r="AH611" s="15" t="n"/>
      <c r="AI611" s="15" t="n"/>
    </row>
    <row r="612">
      <c r="A612" s="4" t="inlineStr">
        <is>
          <t>Студент2.30</t>
        </is>
      </c>
      <c r="B612" s="4" t="inlineStr"/>
      <c r="C612" s="4" t="n"/>
      <c r="D612" s="4" t="n"/>
      <c r="E612" s="4" t="n"/>
      <c r="F612" s="15" t="n"/>
      <c r="G612" s="15" t="n"/>
      <c r="H612" s="15" t="n"/>
      <c r="I612" s="15" t="n"/>
      <c r="J612" s="15" t="n"/>
      <c r="K612" s="15" t="n"/>
      <c r="L612" s="15" t="n"/>
      <c r="M612" s="15" t="n"/>
      <c r="N612" s="15" t="n"/>
      <c r="O612" s="15" t="n"/>
      <c r="P612" s="15" t="n"/>
      <c r="Q612" s="15" t="n"/>
      <c r="R612" s="15" t="n"/>
      <c r="S612" s="15" t="n"/>
      <c r="T612" s="15" t="n"/>
      <c r="U612" s="15" t="n"/>
      <c r="V612" s="15" t="n"/>
      <c r="W612" s="15" t="n"/>
      <c r="X612" s="15" t="n"/>
      <c r="Y612" s="15" t="n"/>
      <c r="Z612" s="15" t="n"/>
      <c r="AA612" s="15" t="n"/>
      <c r="AB612" s="15" t="n"/>
      <c r="AC612" s="15" t="n"/>
      <c r="AD612" s="15" t="n"/>
      <c r="AE612" s="15" t="n"/>
      <c r="AF612" s="15" t="n"/>
      <c r="AG612" s="15" t="n"/>
      <c r="AH612" s="15" t="n"/>
      <c r="AI612" s="15" t="n"/>
    </row>
    <row r="616">
      <c r="A616" s="13" t="inlineStr">
        <is>
          <t>Практика 10 — плюсы</t>
        </is>
      </c>
    </row>
    <row r="617" ht="28" customHeight="1">
      <c r="A617" s="7" t="inlineStr">
        <is>
          <t>Имя</t>
        </is>
      </c>
      <c r="B617" s="9" t="inlineStr">
        <is>
          <t>TG</t>
        </is>
      </c>
      <c r="C617" s="10" t="inlineStr">
        <is>
          <t>S</t>
        </is>
      </c>
      <c r="D617" s="8" t="inlineStr">
        <is>
          <t>Коэффициент</t>
        </is>
      </c>
      <c r="E617" s="14" t="inlineStr">
        <is>
          <t>D за практику</t>
        </is>
      </c>
      <c r="F617" s="11" t="inlineStr">
        <is>
          <t>1.0</t>
        </is>
      </c>
      <c r="G617" s="11" t="inlineStr">
        <is>
          <t>2.0</t>
        </is>
      </c>
      <c r="H617" s="11" t="inlineStr">
        <is>
          <t>3.0</t>
        </is>
      </c>
      <c r="I617" s="11" t="inlineStr">
        <is>
          <t>4.0</t>
        </is>
      </c>
      <c r="J617" s="11" t="inlineStr">
        <is>
          <t>5.0</t>
        </is>
      </c>
      <c r="K617" s="11" t="inlineStr">
        <is>
          <t>6</t>
        </is>
      </c>
      <c r="L617" s="11" t="inlineStr">
        <is>
          <t>7</t>
        </is>
      </c>
      <c r="M617" s="11" t="inlineStr">
        <is>
          <t>8</t>
        </is>
      </c>
      <c r="N617" s="11" t="inlineStr">
        <is>
          <t>9</t>
        </is>
      </c>
      <c r="O617" s="11" t="inlineStr">
        <is>
          <t>10</t>
        </is>
      </c>
      <c r="P617" s="11" t="inlineStr">
        <is>
          <t>11</t>
        </is>
      </c>
      <c r="Q617" s="11" t="inlineStr">
        <is>
          <t>12</t>
        </is>
      </c>
      <c r="R617" s="11" t="inlineStr">
        <is>
          <t>13</t>
        </is>
      </c>
      <c r="S617" s="11" t="inlineStr">
        <is>
          <t>14</t>
        </is>
      </c>
      <c r="T617" s="11" t="inlineStr">
        <is>
          <t>15</t>
        </is>
      </c>
      <c r="U617" s="11" t="inlineStr">
        <is>
          <t>16</t>
        </is>
      </c>
      <c r="V617" s="11" t="inlineStr">
        <is>
          <t>17</t>
        </is>
      </c>
      <c r="W617" s="11" t="inlineStr">
        <is>
          <t>18</t>
        </is>
      </c>
      <c r="X617" s="11" t="inlineStr">
        <is>
          <t>19</t>
        </is>
      </c>
      <c r="Y617" s="11" t="inlineStr">
        <is>
          <t>20</t>
        </is>
      </c>
      <c r="Z617" s="11" t="inlineStr">
        <is>
          <t>21</t>
        </is>
      </c>
      <c r="AA617" s="11" t="inlineStr">
        <is>
          <t>22</t>
        </is>
      </c>
      <c r="AB617" s="11" t="inlineStr">
        <is>
          <t>23</t>
        </is>
      </c>
      <c r="AC617" s="11" t="inlineStr">
        <is>
          <t>24</t>
        </is>
      </c>
      <c r="AD617" s="11" t="inlineStr">
        <is>
          <t>25</t>
        </is>
      </c>
      <c r="AE617" s="11" t="inlineStr">
        <is>
          <t>26</t>
        </is>
      </c>
      <c r="AF617" s="11" t="inlineStr">
        <is>
          <t>27</t>
        </is>
      </c>
      <c r="AG617" s="11" t="inlineStr">
        <is>
          <t>28</t>
        </is>
      </c>
      <c r="AH617" s="11" t="inlineStr">
        <is>
          <t>29</t>
        </is>
      </c>
      <c r="AI617" s="11" t="inlineStr">
        <is>
          <t>30</t>
        </is>
      </c>
    </row>
    <row r="618">
      <c r="A618" s="4" t="inlineStr">
        <is>
          <t>Студент2.1</t>
        </is>
      </c>
      <c r="B618" s="4" t="inlineStr"/>
      <c r="C618" s="4">
        <f>IF(A618="","",COUNTIF(F618:AI618,"+")+COUNTIF(F618:AI618,"1"))</f>
        <v/>
      </c>
      <c r="D618" s="4">
        <f>IF(A618="","",IF(C618&gt;2*COUNTA(F$617:AI$617)/3,1,IF(C618&gt;=COUNTA(F$617:AI$617)/2,0.8,0.5)))</f>
        <v/>
      </c>
      <c r="E618" s="4">
        <f>IF(A618="","",SUMIFS('Логи'!$H$4:$H$3006,'Логи'!$A$4:$A$3006,A618,'Логи'!$C$4:$C$3006,10))</f>
        <v/>
      </c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  <c r="O618" s="15" t="n"/>
      <c r="P618" s="15" t="n"/>
      <c r="Q618" s="15" t="n"/>
      <c r="R618" s="15" t="n"/>
      <c r="S618" s="15" t="n"/>
      <c r="T618" s="15" t="n"/>
      <c r="U618" s="15" t="n"/>
      <c r="V618" s="15" t="n"/>
      <c r="W618" s="15" t="n"/>
      <c r="X618" s="15" t="n"/>
      <c r="Y618" s="15" t="n"/>
      <c r="Z618" s="15" t="n"/>
      <c r="AA618" s="15" t="n"/>
      <c r="AB618" s="15" t="n"/>
      <c r="AC618" s="15" t="n"/>
      <c r="AD618" s="15" t="n"/>
      <c r="AE618" s="15" t="n"/>
      <c r="AF618" s="15" t="n"/>
      <c r="AG618" s="15" t="n"/>
      <c r="AH618" s="15" t="n"/>
      <c r="AI618" s="15" t="n"/>
    </row>
    <row r="619">
      <c r="A619" s="4" t="inlineStr">
        <is>
          <t>Студент2.2</t>
        </is>
      </c>
      <c r="B619" s="4" t="inlineStr"/>
      <c r="C619" s="4">
        <f>IF(A619="","",COUNTIF(F619:AI619,"+")+COUNTIF(F619:AI619,"1"))</f>
        <v/>
      </c>
      <c r="D619" s="4">
        <f>IF(A619="","",IF(C619&gt;2*COUNTA(F$617:AI$617)/3,1,IF(C619&gt;=COUNTA(F$617:AI$617)/2,0.8,0.5)))</f>
        <v/>
      </c>
      <c r="E619" s="4">
        <f>IF(A619="","",SUMIFS('Логи'!$H$4:$H$3006,'Логи'!$A$4:$A$3006,A619,'Логи'!$C$4:$C$3006,10))</f>
        <v/>
      </c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5" t="n"/>
      <c r="P619" s="15" t="n"/>
      <c r="Q619" s="15" t="n"/>
      <c r="R619" s="15" t="n"/>
      <c r="S619" s="15" t="n"/>
      <c r="T619" s="15" t="n"/>
      <c r="U619" s="15" t="n"/>
      <c r="V619" s="15" t="n"/>
      <c r="W619" s="15" t="n"/>
      <c r="X619" s="15" t="n"/>
      <c r="Y619" s="15" t="n"/>
      <c r="Z619" s="15" t="n"/>
      <c r="AA619" s="15" t="n"/>
      <c r="AB619" s="15" t="n"/>
      <c r="AC619" s="15" t="n"/>
      <c r="AD619" s="15" t="n"/>
      <c r="AE619" s="15" t="n"/>
      <c r="AF619" s="15" t="n"/>
      <c r="AG619" s="15" t="n"/>
      <c r="AH619" s="15" t="n"/>
      <c r="AI619" s="15" t="n"/>
    </row>
    <row r="620">
      <c r="A620" s="4" t="inlineStr">
        <is>
          <t>Студент2.3</t>
        </is>
      </c>
      <c r="B620" s="4" t="inlineStr"/>
      <c r="C620" s="4">
        <f>IF(A620="","",COUNTIF(F620:AI620,"+")+COUNTIF(F620:AI620,"1"))</f>
        <v/>
      </c>
      <c r="D620" s="4">
        <f>IF(A620="","",IF(C620&gt;2*COUNTA(F$617:AI$617)/3,1,IF(C620&gt;=COUNTA(F$617:AI$617)/2,0.8,0.5)))</f>
        <v/>
      </c>
      <c r="E620" s="4">
        <f>IF(A620="","",SUMIFS('Логи'!$H$4:$H$3006,'Логи'!$A$4:$A$3006,A620,'Логи'!$C$4:$C$3006,10))</f>
        <v/>
      </c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5" t="n"/>
      <c r="P620" s="15" t="n"/>
      <c r="Q620" s="15" t="n"/>
      <c r="R620" s="15" t="n"/>
      <c r="S620" s="15" t="n"/>
      <c r="T620" s="15" t="n"/>
      <c r="U620" s="15" t="n"/>
      <c r="V620" s="15" t="n"/>
      <c r="W620" s="15" t="n"/>
      <c r="X620" s="15" t="n"/>
      <c r="Y620" s="15" t="n"/>
      <c r="Z620" s="15" t="n"/>
      <c r="AA620" s="15" t="n"/>
      <c r="AB620" s="15" t="n"/>
      <c r="AC620" s="15" t="n"/>
      <c r="AD620" s="15" t="n"/>
      <c r="AE620" s="15" t="n"/>
      <c r="AF620" s="15" t="n"/>
      <c r="AG620" s="15" t="n"/>
      <c r="AH620" s="15" t="n"/>
      <c r="AI620" s="15" t="n"/>
    </row>
    <row r="621">
      <c r="A621" s="4" t="inlineStr">
        <is>
          <t>Студент2.4</t>
        </is>
      </c>
      <c r="B621" s="4" t="inlineStr"/>
      <c r="C621" s="4">
        <f>IF(A621="","",COUNTIF(F621:AI621,"+")+COUNTIF(F621:AI621,"1"))</f>
        <v/>
      </c>
      <c r="D621" s="4">
        <f>IF(A621="","",IF(C621&gt;2*COUNTA(F$617:AI$617)/3,1,IF(C621&gt;=COUNTA(F$617:AI$617)/2,0.8,0.5)))</f>
        <v/>
      </c>
      <c r="E621" s="4">
        <f>IF(A621="","",SUMIFS('Логи'!$H$4:$H$3006,'Логи'!$A$4:$A$3006,A621,'Логи'!$C$4:$C$3006,10))</f>
        <v/>
      </c>
      <c r="F621" s="15" t="n"/>
      <c r="G621" s="15" t="n"/>
      <c r="H621" s="15" t="n"/>
      <c r="I621" s="15" t="n"/>
      <c r="J621" s="15" t="n"/>
      <c r="K621" s="15" t="n"/>
      <c r="L621" s="15" t="n"/>
      <c r="M621" s="15" t="n"/>
      <c r="N621" s="15" t="n"/>
      <c r="O621" s="15" t="n"/>
      <c r="P621" s="15" t="n"/>
      <c r="Q621" s="15" t="n"/>
      <c r="R621" s="15" t="n"/>
      <c r="S621" s="15" t="n"/>
      <c r="T621" s="15" t="n"/>
      <c r="U621" s="15" t="n"/>
      <c r="V621" s="15" t="n"/>
      <c r="W621" s="15" t="n"/>
      <c r="X621" s="15" t="n"/>
      <c r="Y621" s="15" t="n"/>
      <c r="Z621" s="15" t="n"/>
      <c r="AA621" s="15" t="n"/>
      <c r="AB621" s="15" t="n"/>
      <c r="AC621" s="15" t="n"/>
      <c r="AD621" s="15" t="n"/>
      <c r="AE621" s="15" t="n"/>
      <c r="AF621" s="15" t="n"/>
      <c r="AG621" s="15" t="n"/>
      <c r="AH621" s="15" t="n"/>
      <c r="AI621" s="15" t="n"/>
    </row>
    <row r="622">
      <c r="A622" s="4" t="inlineStr">
        <is>
          <t>Студент2.5</t>
        </is>
      </c>
      <c r="B622" s="4" t="inlineStr"/>
      <c r="C622" s="4">
        <f>IF(A622="","",COUNTIF(F622:AI622,"+")+COUNTIF(F622:AI622,"1"))</f>
        <v/>
      </c>
      <c r="D622" s="4">
        <f>IF(A622="","",IF(C622&gt;2*COUNTA(F$617:AI$617)/3,1,IF(C622&gt;=COUNTA(F$617:AI$617)/2,0.8,0.5)))</f>
        <v/>
      </c>
      <c r="E622" s="4">
        <f>IF(A622="","",SUMIFS('Логи'!$H$4:$H$3006,'Логи'!$A$4:$A$3006,A622,'Логи'!$C$4:$C$3006,10))</f>
        <v/>
      </c>
      <c r="F622" s="15" t="n"/>
      <c r="G622" s="15" t="n"/>
      <c r="H622" s="15" t="n"/>
      <c r="I622" s="15" t="n"/>
      <c r="J622" s="15" t="n"/>
      <c r="K622" s="15" t="n"/>
      <c r="L622" s="15" t="n"/>
      <c r="M622" s="15" t="n"/>
      <c r="N622" s="15" t="n"/>
      <c r="O622" s="15" t="n"/>
      <c r="P622" s="15" t="n"/>
      <c r="Q622" s="15" t="n"/>
      <c r="R622" s="15" t="n"/>
      <c r="S622" s="15" t="n"/>
      <c r="T622" s="15" t="n"/>
      <c r="U622" s="15" t="n"/>
      <c r="V622" s="15" t="n"/>
      <c r="W622" s="15" t="n"/>
      <c r="X622" s="15" t="n"/>
      <c r="Y622" s="15" t="n"/>
      <c r="Z622" s="15" t="n"/>
      <c r="AA622" s="15" t="n"/>
      <c r="AB622" s="15" t="n"/>
      <c r="AC622" s="15" t="n"/>
      <c r="AD622" s="15" t="n"/>
      <c r="AE622" s="15" t="n"/>
      <c r="AF622" s="15" t="n"/>
      <c r="AG622" s="15" t="n"/>
      <c r="AH622" s="15" t="n"/>
      <c r="AI622" s="15" t="n"/>
    </row>
    <row r="623">
      <c r="A623" s="4" t="inlineStr">
        <is>
          <t>Студент2.6</t>
        </is>
      </c>
      <c r="B623" s="4" t="inlineStr"/>
      <c r="C623" s="4">
        <f>IF(A623="","",COUNTIF(F623:AI623,"+")+COUNTIF(F623:AI623,"1"))</f>
        <v/>
      </c>
      <c r="D623" s="4">
        <f>IF(A623="","",IF(C623&gt;2*COUNTA(F$617:AI$617)/3,1,IF(C623&gt;=COUNTA(F$617:AI$617)/2,0.8,0.5)))</f>
        <v/>
      </c>
      <c r="E623" s="4">
        <f>IF(A623="","",SUMIFS('Логи'!$H$4:$H$3006,'Логи'!$A$4:$A$3006,A623,'Логи'!$C$4:$C$3006,10))</f>
        <v/>
      </c>
      <c r="F623" s="15" t="n"/>
      <c r="G623" s="15" t="n"/>
      <c r="H623" s="15" t="n"/>
      <c r="I623" s="15" t="n"/>
      <c r="J623" s="15" t="n"/>
      <c r="K623" s="15" t="n"/>
      <c r="L623" s="15" t="n"/>
      <c r="M623" s="15" t="n"/>
      <c r="N623" s="15" t="n"/>
      <c r="O623" s="15" t="n"/>
      <c r="P623" s="15" t="n"/>
      <c r="Q623" s="15" t="n"/>
      <c r="R623" s="15" t="n"/>
      <c r="S623" s="15" t="n"/>
      <c r="T623" s="15" t="n"/>
      <c r="U623" s="15" t="n"/>
      <c r="V623" s="15" t="n"/>
      <c r="W623" s="15" t="n"/>
      <c r="X623" s="15" t="n"/>
      <c r="Y623" s="15" t="n"/>
      <c r="Z623" s="15" t="n"/>
      <c r="AA623" s="15" t="n"/>
      <c r="AB623" s="15" t="n"/>
      <c r="AC623" s="15" t="n"/>
      <c r="AD623" s="15" t="n"/>
      <c r="AE623" s="15" t="n"/>
      <c r="AF623" s="15" t="n"/>
      <c r="AG623" s="15" t="n"/>
      <c r="AH623" s="15" t="n"/>
      <c r="AI623" s="15" t="n"/>
    </row>
    <row r="624">
      <c r="A624" s="4" t="inlineStr">
        <is>
          <t>Студент2.7</t>
        </is>
      </c>
      <c r="B624" s="4" t="inlineStr"/>
      <c r="C624" s="4">
        <f>IF(A624="","",COUNTIF(F624:AI624,"+")+COUNTIF(F624:AI624,"1"))</f>
        <v/>
      </c>
      <c r="D624" s="4">
        <f>IF(A624="","",IF(C624&gt;2*COUNTA(F$617:AI$617)/3,1,IF(C624&gt;=COUNTA(F$617:AI$617)/2,0.8,0.5)))</f>
        <v/>
      </c>
      <c r="E624" s="4">
        <f>IF(A624="","",SUMIFS('Логи'!$H$4:$H$3006,'Логи'!$A$4:$A$3006,A624,'Логи'!$C$4:$C$3006,10))</f>
        <v/>
      </c>
      <c r="F624" s="15" t="n"/>
      <c r="G624" s="15" t="n"/>
      <c r="H624" s="15" t="n"/>
      <c r="I624" s="15" t="n"/>
      <c r="J624" s="15" t="n"/>
      <c r="K624" s="15" t="n"/>
      <c r="L624" s="15" t="n"/>
      <c r="M624" s="15" t="n"/>
      <c r="N624" s="15" t="n"/>
      <c r="O624" s="15" t="n"/>
      <c r="P624" s="15" t="n"/>
      <c r="Q624" s="15" t="n"/>
      <c r="R624" s="15" t="n"/>
      <c r="S624" s="15" t="n"/>
      <c r="T624" s="15" t="n"/>
      <c r="U624" s="15" t="n"/>
      <c r="V624" s="15" t="n"/>
      <c r="W624" s="15" t="n"/>
      <c r="X624" s="15" t="n"/>
      <c r="Y624" s="15" t="n"/>
      <c r="Z624" s="15" t="n"/>
      <c r="AA624" s="15" t="n"/>
      <c r="AB624" s="15" t="n"/>
      <c r="AC624" s="15" t="n"/>
      <c r="AD624" s="15" t="n"/>
      <c r="AE624" s="15" t="n"/>
      <c r="AF624" s="15" t="n"/>
      <c r="AG624" s="15" t="n"/>
      <c r="AH624" s="15" t="n"/>
      <c r="AI624" s="15" t="n"/>
    </row>
    <row r="625">
      <c r="A625" s="4" t="inlineStr">
        <is>
          <t>Студент2.8</t>
        </is>
      </c>
      <c r="B625" s="4" t="inlineStr"/>
      <c r="C625" s="4">
        <f>IF(A625="","",COUNTIF(F625:AI625,"+")+COUNTIF(F625:AI625,"1"))</f>
        <v/>
      </c>
      <c r="D625" s="4">
        <f>IF(A625="","",IF(C625&gt;2*COUNTA(F$617:AI$617)/3,1,IF(C625&gt;=COUNTA(F$617:AI$617)/2,0.8,0.5)))</f>
        <v/>
      </c>
      <c r="E625" s="4">
        <f>IF(A625="","",SUMIFS('Логи'!$H$4:$H$3006,'Логи'!$A$4:$A$3006,A625,'Логи'!$C$4:$C$3006,10))</f>
        <v/>
      </c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  <c r="O625" s="15" t="n"/>
      <c r="P625" s="15" t="n"/>
      <c r="Q625" s="15" t="n"/>
      <c r="R625" s="15" t="n"/>
      <c r="S625" s="15" t="n"/>
      <c r="T625" s="15" t="n"/>
      <c r="U625" s="15" t="n"/>
      <c r="V625" s="15" t="n"/>
      <c r="W625" s="15" t="n"/>
      <c r="X625" s="15" t="n"/>
      <c r="Y625" s="15" t="n"/>
      <c r="Z625" s="15" t="n"/>
      <c r="AA625" s="15" t="n"/>
      <c r="AB625" s="15" t="n"/>
      <c r="AC625" s="15" t="n"/>
      <c r="AD625" s="15" t="n"/>
      <c r="AE625" s="15" t="n"/>
      <c r="AF625" s="15" t="n"/>
      <c r="AG625" s="15" t="n"/>
      <c r="AH625" s="15" t="n"/>
      <c r="AI625" s="15" t="n"/>
    </row>
    <row r="626">
      <c r="A626" s="4" t="inlineStr">
        <is>
          <t>Студент2.9</t>
        </is>
      </c>
      <c r="B626" s="4" t="inlineStr"/>
      <c r="C626" s="4">
        <f>IF(A626="","",COUNTIF(F626:AI626,"+")+COUNTIF(F626:AI626,"1"))</f>
        <v/>
      </c>
      <c r="D626" s="4">
        <f>IF(A626="","",IF(C626&gt;2*COUNTA(F$617:AI$617)/3,1,IF(C626&gt;=COUNTA(F$617:AI$617)/2,0.8,0.5)))</f>
        <v/>
      </c>
      <c r="E626" s="4">
        <f>IF(A626="","",SUMIFS('Логи'!$H$4:$H$3006,'Логи'!$A$4:$A$3006,A626,'Логи'!$C$4:$C$3006,10))</f>
        <v/>
      </c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  <c r="O626" s="15" t="n"/>
      <c r="P626" s="15" t="n"/>
      <c r="Q626" s="15" t="n"/>
      <c r="R626" s="15" t="n"/>
      <c r="S626" s="15" t="n"/>
      <c r="T626" s="15" t="n"/>
      <c r="U626" s="15" t="n"/>
      <c r="V626" s="15" t="n"/>
      <c r="W626" s="15" t="n"/>
      <c r="X626" s="15" t="n"/>
      <c r="Y626" s="15" t="n"/>
      <c r="Z626" s="15" t="n"/>
      <c r="AA626" s="15" t="n"/>
      <c r="AB626" s="15" t="n"/>
      <c r="AC626" s="15" t="n"/>
      <c r="AD626" s="15" t="n"/>
      <c r="AE626" s="15" t="n"/>
      <c r="AF626" s="15" t="n"/>
      <c r="AG626" s="15" t="n"/>
      <c r="AH626" s="15" t="n"/>
      <c r="AI626" s="15" t="n"/>
    </row>
    <row r="627">
      <c r="A627" s="4" t="inlineStr">
        <is>
          <t>Студент2.10</t>
        </is>
      </c>
      <c r="B627" s="4" t="inlineStr"/>
      <c r="C627" s="4">
        <f>IF(A627="","",COUNTIF(F627:AI627,"+")+COUNTIF(F627:AI627,"1"))</f>
        <v/>
      </c>
      <c r="D627" s="4">
        <f>IF(A627="","",IF(C627&gt;2*COUNTA(F$617:AI$617)/3,1,IF(C627&gt;=COUNTA(F$617:AI$617)/2,0.8,0.5)))</f>
        <v/>
      </c>
      <c r="E627" s="4">
        <f>IF(A627="","",SUMIFS('Логи'!$H$4:$H$3006,'Логи'!$A$4:$A$3006,A627,'Логи'!$C$4:$C$3006,10))</f>
        <v/>
      </c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  <c r="O627" s="15" t="n"/>
      <c r="P627" s="15" t="n"/>
      <c r="Q627" s="15" t="n"/>
      <c r="R627" s="15" t="n"/>
      <c r="S627" s="15" t="n"/>
      <c r="T627" s="15" t="n"/>
      <c r="U627" s="15" t="n"/>
      <c r="V627" s="15" t="n"/>
      <c r="W627" s="15" t="n"/>
      <c r="X627" s="15" t="n"/>
      <c r="Y627" s="15" t="n"/>
      <c r="Z627" s="15" t="n"/>
      <c r="AA627" s="15" t="n"/>
      <c r="AB627" s="15" t="n"/>
      <c r="AC627" s="15" t="n"/>
      <c r="AD627" s="15" t="n"/>
      <c r="AE627" s="15" t="n"/>
      <c r="AF627" s="15" t="n"/>
      <c r="AG627" s="15" t="n"/>
      <c r="AH627" s="15" t="n"/>
      <c r="AI627" s="15" t="n"/>
    </row>
    <row r="628">
      <c r="A628" s="4" t="inlineStr">
        <is>
          <t>Студент2.11</t>
        </is>
      </c>
      <c r="B628" s="4" t="inlineStr"/>
      <c r="C628" s="4">
        <f>IF(A628="","",COUNTIF(F628:AI628,"+")+COUNTIF(F628:AI628,"1"))</f>
        <v/>
      </c>
      <c r="D628" s="4">
        <f>IF(A628="","",IF(C628&gt;2*COUNTA(F$617:AI$617)/3,1,IF(C628&gt;=COUNTA(F$617:AI$617)/2,0.8,0.5)))</f>
        <v/>
      </c>
      <c r="E628" s="4">
        <f>IF(A628="","",SUMIFS('Логи'!$H$4:$H$3006,'Логи'!$A$4:$A$3006,A628,'Логи'!$C$4:$C$3006,10))</f>
        <v/>
      </c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  <c r="O628" s="15" t="n"/>
      <c r="P628" s="15" t="n"/>
      <c r="Q628" s="15" t="n"/>
      <c r="R628" s="15" t="n"/>
      <c r="S628" s="15" t="n"/>
      <c r="T628" s="15" t="n"/>
      <c r="U628" s="15" t="n"/>
      <c r="V628" s="15" t="n"/>
      <c r="W628" s="15" t="n"/>
      <c r="X628" s="15" t="n"/>
      <c r="Y628" s="15" t="n"/>
      <c r="Z628" s="15" t="n"/>
      <c r="AA628" s="15" t="n"/>
      <c r="AB628" s="15" t="n"/>
      <c r="AC628" s="15" t="n"/>
      <c r="AD628" s="15" t="n"/>
      <c r="AE628" s="15" t="n"/>
      <c r="AF628" s="15" t="n"/>
      <c r="AG628" s="15" t="n"/>
      <c r="AH628" s="15" t="n"/>
      <c r="AI628" s="15" t="n"/>
    </row>
    <row r="629">
      <c r="A629" s="4" t="inlineStr">
        <is>
          <t>Студент2.12</t>
        </is>
      </c>
      <c r="B629" s="4" t="inlineStr"/>
      <c r="C629" s="4">
        <f>IF(A629="","",COUNTIF(F629:AI629,"+")+COUNTIF(F629:AI629,"1"))</f>
        <v/>
      </c>
      <c r="D629" s="4">
        <f>IF(A629="","",IF(C629&gt;2*COUNTA(F$617:AI$617)/3,1,IF(C629&gt;=COUNTA(F$617:AI$617)/2,0.8,0.5)))</f>
        <v/>
      </c>
      <c r="E629" s="4">
        <f>IF(A629="","",SUMIFS('Логи'!$H$4:$H$3006,'Логи'!$A$4:$A$3006,A629,'Логи'!$C$4:$C$3006,10))</f>
        <v/>
      </c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  <c r="O629" s="15" t="n"/>
      <c r="P629" s="15" t="n"/>
      <c r="Q629" s="15" t="n"/>
      <c r="R629" s="15" t="n"/>
      <c r="S629" s="15" t="n"/>
      <c r="T629" s="15" t="n"/>
      <c r="U629" s="15" t="n"/>
      <c r="V629" s="15" t="n"/>
      <c r="W629" s="15" t="n"/>
      <c r="X629" s="15" t="n"/>
      <c r="Y629" s="15" t="n"/>
      <c r="Z629" s="15" t="n"/>
      <c r="AA629" s="15" t="n"/>
      <c r="AB629" s="15" t="n"/>
      <c r="AC629" s="15" t="n"/>
      <c r="AD629" s="15" t="n"/>
      <c r="AE629" s="15" t="n"/>
      <c r="AF629" s="15" t="n"/>
      <c r="AG629" s="15" t="n"/>
      <c r="AH629" s="15" t="n"/>
      <c r="AI629" s="15" t="n"/>
    </row>
    <row r="630">
      <c r="A630" s="4" t="inlineStr">
        <is>
          <t>Студент2.13</t>
        </is>
      </c>
      <c r="B630" s="4" t="inlineStr"/>
      <c r="C630" s="4">
        <f>IF(A630="","",COUNTIF(F630:AI630,"+")+COUNTIF(F630:AI630,"1"))</f>
        <v/>
      </c>
      <c r="D630" s="4">
        <f>IF(A630="","",IF(C630&gt;2*COUNTA(F$617:AI$617)/3,1,IF(C630&gt;=COUNTA(F$617:AI$617)/2,0.8,0.5)))</f>
        <v/>
      </c>
      <c r="E630" s="4">
        <f>IF(A630="","",SUMIFS('Логи'!$H$4:$H$3006,'Логи'!$A$4:$A$3006,A630,'Логи'!$C$4:$C$3006,10))</f>
        <v/>
      </c>
      <c r="F630" s="15" t="n"/>
      <c r="G630" s="15" t="n"/>
      <c r="H630" s="15" t="n"/>
      <c r="I630" s="15" t="n"/>
      <c r="J630" s="15" t="n"/>
      <c r="K630" s="15" t="n"/>
      <c r="L630" s="15" t="n"/>
      <c r="M630" s="15" t="n"/>
      <c r="N630" s="15" t="n"/>
      <c r="O630" s="15" t="n"/>
      <c r="P630" s="15" t="n"/>
      <c r="Q630" s="15" t="n"/>
      <c r="R630" s="15" t="n"/>
      <c r="S630" s="15" t="n"/>
      <c r="T630" s="15" t="n"/>
      <c r="U630" s="15" t="n"/>
      <c r="V630" s="15" t="n"/>
      <c r="W630" s="15" t="n"/>
      <c r="X630" s="15" t="n"/>
      <c r="Y630" s="15" t="n"/>
      <c r="Z630" s="15" t="n"/>
      <c r="AA630" s="15" t="n"/>
      <c r="AB630" s="15" t="n"/>
      <c r="AC630" s="15" t="n"/>
      <c r="AD630" s="15" t="n"/>
      <c r="AE630" s="15" t="n"/>
      <c r="AF630" s="15" t="n"/>
      <c r="AG630" s="15" t="n"/>
      <c r="AH630" s="15" t="n"/>
      <c r="AI630" s="15" t="n"/>
    </row>
    <row r="631">
      <c r="A631" s="4" t="inlineStr">
        <is>
          <t>Студент2.14</t>
        </is>
      </c>
      <c r="B631" s="4" t="inlineStr"/>
      <c r="C631" s="4">
        <f>IF(A631="","",COUNTIF(F631:AI631,"+")+COUNTIF(F631:AI631,"1"))</f>
        <v/>
      </c>
      <c r="D631" s="4">
        <f>IF(A631="","",IF(C631&gt;2*COUNTA(F$617:AI$617)/3,1,IF(C631&gt;=COUNTA(F$617:AI$617)/2,0.8,0.5)))</f>
        <v/>
      </c>
      <c r="E631" s="4">
        <f>IF(A631="","",SUMIFS('Логи'!$H$4:$H$3006,'Логи'!$A$4:$A$3006,A631,'Логи'!$C$4:$C$3006,10))</f>
        <v/>
      </c>
      <c r="F631" s="15" t="n"/>
      <c r="G631" s="15" t="n"/>
      <c r="H631" s="15" t="n"/>
      <c r="I631" s="15" t="n"/>
      <c r="J631" s="15" t="n"/>
      <c r="K631" s="15" t="n"/>
      <c r="L631" s="15" t="n"/>
      <c r="M631" s="15" t="n"/>
      <c r="N631" s="15" t="n"/>
      <c r="O631" s="15" t="n"/>
      <c r="P631" s="15" t="n"/>
      <c r="Q631" s="15" t="n"/>
      <c r="R631" s="15" t="n"/>
      <c r="S631" s="15" t="n"/>
      <c r="T631" s="15" t="n"/>
      <c r="U631" s="15" t="n"/>
      <c r="V631" s="15" t="n"/>
      <c r="W631" s="15" t="n"/>
      <c r="X631" s="15" t="n"/>
      <c r="Y631" s="15" t="n"/>
      <c r="Z631" s="15" t="n"/>
      <c r="AA631" s="15" t="n"/>
      <c r="AB631" s="15" t="n"/>
      <c r="AC631" s="15" t="n"/>
      <c r="AD631" s="15" t="n"/>
      <c r="AE631" s="15" t="n"/>
      <c r="AF631" s="15" t="n"/>
      <c r="AG631" s="15" t="n"/>
      <c r="AH631" s="15" t="n"/>
      <c r="AI631" s="15" t="n"/>
    </row>
    <row r="632">
      <c r="A632" s="4" t="inlineStr">
        <is>
          <t>Студент2.15</t>
        </is>
      </c>
      <c r="B632" s="4" t="inlineStr"/>
      <c r="C632" s="4">
        <f>IF(A632="","",COUNTIF(F632:AI632,"+")+COUNTIF(F632:AI632,"1"))</f>
        <v/>
      </c>
      <c r="D632" s="4">
        <f>IF(A632="","",IF(C632&gt;2*COUNTA(F$617:AI$617)/3,1,IF(C632&gt;=COUNTA(F$617:AI$617)/2,0.8,0.5)))</f>
        <v/>
      </c>
      <c r="E632" s="4">
        <f>IF(A632="","",SUMIFS('Логи'!$H$4:$H$3006,'Логи'!$A$4:$A$3006,A632,'Логи'!$C$4:$C$3006,10))</f>
        <v/>
      </c>
      <c r="F632" s="15" t="n"/>
      <c r="G632" s="15" t="n"/>
      <c r="H632" s="15" t="n"/>
      <c r="I632" s="15" t="n"/>
      <c r="J632" s="15" t="n"/>
      <c r="K632" s="15" t="n"/>
      <c r="L632" s="15" t="n"/>
      <c r="M632" s="15" t="n"/>
      <c r="N632" s="15" t="n"/>
      <c r="O632" s="15" t="n"/>
      <c r="P632" s="15" t="n"/>
      <c r="Q632" s="15" t="n"/>
      <c r="R632" s="15" t="n"/>
      <c r="S632" s="15" t="n"/>
      <c r="T632" s="15" t="n"/>
      <c r="U632" s="15" t="n"/>
      <c r="V632" s="15" t="n"/>
      <c r="W632" s="15" t="n"/>
      <c r="X632" s="15" t="n"/>
      <c r="Y632" s="15" t="n"/>
      <c r="Z632" s="15" t="n"/>
      <c r="AA632" s="15" t="n"/>
      <c r="AB632" s="15" t="n"/>
      <c r="AC632" s="15" t="n"/>
      <c r="AD632" s="15" t="n"/>
      <c r="AE632" s="15" t="n"/>
      <c r="AF632" s="15" t="n"/>
      <c r="AG632" s="15" t="n"/>
      <c r="AH632" s="15" t="n"/>
      <c r="AI632" s="15" t="n"/>
    </row>
    <row r="633">
      <c r="A633" s="4" t="inlineStr">
        <is>
          <t>Студент2.16</t>
        </is>
      </c>
      <c r="B633" s="4" t="inlineStr"/>
      <c r="C633" s="4">
        <f>IF(A633="","",COUNTIF(F633:AI633,"+")+COUNTIF(F633:AI633,"1"))</f>
        <v/>
      </c>
      <c r="D633" s="4">
        <f>IF(A633="","",IF(C633&gt;2*COUNTA(F$617:AI$617)/3,1,IF(C633&gt;=COUNTA(F$617:AI$617)/2,0.8,0.5)))</f>
        <v/>
      </c>
      <c r="E633" s="4">
        <f>IF(A633="","",SUMIFS('Логи'!$H$4:$H$3006,'Логи'!$A$4:$A$3006,A633,'Логи'!$C$4:$C$3006,10))</f>
        <v/>
      </c>
      <c r="F633" s="15" t="n"/>
      <c r="G633" s="15" t="n"/>
      <c r="H633" s="15" t="n"/>
      <c r="I633" s="15" t="n"/>
      <c r="J633" s="15" t="n"/>
      <c r="K633" s="15" t="n"/>
      <c r="L633" s="15" t="n"/>
      <c r="M633" s="15" t="n"/>
      <c r="N633" s="15" t="n"/>
      <c r="O633" s="15" t="n"/>
      <c r="P633" s="15" t="n"/>
      <c r="Q633" s="15" t="n"/>
      <c r="R633" s="15" t="n"/>
      <c r="S633" s="15" t="n"/>
      <c r="T633" s="15" t="n"/>
      <c r="U633" s="15" t="n"/>
      <c r="V633" s="15" t="n"/>
      <c r="W633" s="15" t="n"/>
      <c r="X633" s="15" t="n"/>
      <c r="Y633" s="15" t="n"/>
      <c r="Z633" s="15" t="n"/>
      <c r="AA633" s="15" t="n"/>
      <c r="AB633" s="15" t="n"/>
      <c r="AC633" s="15" t="n"/>
      <c r="AD633" s="15" t="n"/>
      <c r="AE633" s="15" t="n"/>
      <c r="AF633" s="15" t="n"/>
      <c r="AG633" s="15" t="n"/>
      <c r="AH633" s="15" t="n"/>
      <c r="AI633" s="15" t="n"/>
    </row>
    <row r="634">
      <c r="A634" s="4" t="inlineStr">
        <is>
          <t>Студент2.17</t>
        </is>
      </c>
      <c r="B634" s="4" t="inlineStr"/>
      <c r="C634" s="4">
        <f>IF(A634="","",COUNTIF(F634:AI634,"+")+COUNTIF(F634:AI634,"1"))</f>
        <v/>
      </c>
      <c r="D634" s="4">
        <f>IF(A634="","",IF(C634&gt;2*COUNTA(F$617:AI$617)/3,1,IF(C634&gt;=COUNTA(F$617:AI$617)/2,0.8,0.5)))</f>
        <v/>
      </c>
      <c r="E634" s="4">
        <f>IF(A634="","",SUMIFS('Логи'!$H$4:$H$3006,'Логи'!$A$4:$A$3006,A634,'Логи'!$C$4:$C$3006,10))</f>
        <v/>
      </c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  <c r="O634" s="15" t="n"/>
      <c r="P634" s="15" t="n"/>
      <c r="Q634" s="15" t="n"/>
      <c r="R634" s="15" t="n"/>
      <c r="S634" s="15" t="n"/>
      <c r="T634" s="15" t="n"/>
      <c r="U634" s="15" t="n"/>
      <c r="V634" s="15" t="n"/>
      <c r="W634" s="15" t="n"/>
      <c r="X634" s="15" t="n"/>
      <c r="Y634" s="15" t="n"/>
      <c r="Z634" s="15" t="n"/>
      <c r="AA634" s="15" t="n"/>
      <c r="AB634" s="15" t="n"/>
      <c r="AC634" s="15" t="n"/>
      <c r="AD634" s="15" t="n"/>
      <c r="AE634" s="15" t="n"/>
      <c r="AF634" s="15" t="n"/>
      <c r="AG634" s="15" t="n"/>
      <c r="AH634" s="15" t="n"/>
      <c r="AI634" s="15" t="n"/>
    </row>
    <row r="635">
      <c r="A635" s="4" t="inlineStr">
        <is>
          <t>Студент2.18</t>
        </is>
      </c>
      <c r="B635" s="4" t="inlineStr"/>
      <c r="C635" s="4">
        <f>IF(A635="","",COUNTIF(F635:AI635,"+")+COUNTIF(F635:AI635,"1"))</f>
        <v/>
      </c>
      <c r="D635" s="4">
        <f>IF(A635="","",IF(C635&gt;2*COUNTA(F$617:AI$617)/3,1,IF(C635&gt;=COUNTA(F$617:AI$617)/2,0.8,0.5)))</f>
        <v/>
      </c>
      <c r="E635" s="4">
        <f>IF(A635="","",SUMIFS('Логи'!$H$4:$H$3006,'Логи'!$A$4:$A$3006,A635,'Логи'!$C$4:$C$3006,10))</f>
        <v/>
      </c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  <c r="O635" s="15" t="n"/>
      <c r="P635" s="15" t="n"/>
      <c r="Q635" s="15" t="n"/>
      <c r="R635" s="15" t="n"/>
      <c r="S635" s="15" t="n"/>
      <c r="T635" s="15" t="n"/>
      <c r="U635" s="15" t="n"/>
      <c r="V635" s="15" t="n"/>
      <c r="W635" s="15" t="n"/>
      <c r="X635" s="15" t="n"/>
      <c r="Y635" s="15" t="n"/>
      <c r="Z635" s="15" t="n"/>
      <c r="AA635" s="15" t="n"/>
      <c r="AB635" s="15" t="n"/>
      <c r="AC635" s="15" t="n"/>
      <c r="AD635" s="15" t="n"/>
      <c r="AE635" s="15" t="n"/>
      <c r="AF635" s="15" t="n"/>
      <c r="AG635" s="15" t="n"/>
      <c r="AH635" s="15" t="n"/>
      <c r="AI635" s="15" t="n"/>
    </row>
    <row r="636">
      <c r="A636" s="4" t="inlineStr">
        <is>
          <t>Студент2.19</t>
        </is>
      </c>
      <c r="B636" s="4" t="inlineStr"/>
      <c r="C636" s="4">
        <f>IF(A636="","",COUNTIF(F636:AI636,"+")+COUNTIF(F636:AI636,"1"))</f>
        <v/>
      </c>
      <c r="D636" s="4">
        <f>IF(A636="","",IF(C636&gt;2*COUNTA(F$617:AI$617)/3,1,IF(C636&gt;=COUNTA(F$617:AI$617)/2,0.8,0.5)))</f>
        <v/>
      </c>
      <c r="E636" s="4">
        <f>IF(A636="","",SUMIFS('Логи'!$H$4:$H$3006,'Логи'!$A$4:$A$3006,A636,'Логи'!$C$4:$C$3006,10))</f>
        <v/>
      </c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  <c r="O636" s="15" t="n"/>
      <c r="P636" s="15" t="n"/>
      <c r="Q636" s="15" t="n"/>
      <c r="R636" s="15" t="n"/>
      <c r="S636" s="15" t="n"/>
      <c r="T636" s="15" t="n"/>
      <c r="U636" s="15" t="n"/>
      <c r="V636" s="15" t="n"/>
      <c r="W636" s="15" t="n"/>
      <c r="X636" s="15" t="n"/>
      <c r="Y636" s="15" t="n"/>
      <c r="Z636" s="15" t="n"/>
      <c r="AA636" s="15" t="n"/>
      <c r="AB636" s="15" t="n"/>
      <c r="AC636" s="15" t="n"/>
      <c r="AD636" s="15" t="n"/>
      <c r="AE636" s="15" t="n"/>
      <c r="AF636" s="15" t="n"/>
      <c r="AG636" s="15" t="n"/>
      <c r="AH636" s="15" t="n"/>
      <c r="AI636" s="15" t="n"/>
    </row>
    <row r="637">
      <c r="A637" s="4" t="inlineStr">
        <is>
          <t>Студент2.20</t>
        </is>
      </c>
      <c r="B637" s="4" t="inlineStr"/>
      <c r="C637" s="4">
        <f>IF(A637="","",COUNTIF(F637:AI637,"+")+COUNTIF(F637:AI637,"1"))</f>
        <v/>
      </c>
      <c r="D637" s="4">
        <f>IF(A637="","",IF(C637&gt;2*COUNTA(F$617:AI$617)/3,1,IF(C637&gt;=COUNTA(F$617:AI$617)/2,0.8,0.5)))</f>
        <v/>
      </c>
      <c r="E637" s="4">
        <f>IF(A637="","",SUMIFS('Логи'!$H$4:$H$3006,'Логи'!$A$4:$A$3006,A637,'Логи'!$C$4:$C$3006,10))</f>
        <v/>
      </c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  <c r="O637" s="15" t="n"/>
      <c r="P637" s="15" t="n"/>
      <c r="Q637" s="15" t="n"/>
      <c r="R637" s="15" t="n"/>
      <c r="S637" s="15" t="n"/>
      <c r="T637" s="15" t="n"/>
      <c r="U637" s="15" t="n"/>
      <c r="V637" s="15" t="n"/>
      <c r="W637" s="15" t="n"/>
      <c r="X637" s="15" t="n"/>
      <c r="Y637" s="15" t="n"/>
      <c r="Z637" s="15" t="n"/>
      <c r="AA637" s="15" t="n"/>
      <c r="AB637" s="15" t="n"/>
      <c r="AC637" s="15" t="n"/>
      <c r="AD637" s="15" t="n"/>
      <c r="AE637" s="15" t="n"/>
      <c r="AF637" s="15" t="n"/>
      <c r="AG637" s="15" t="n"/>
      <c r="AH637" s="15" t="n"/>
      <c r="AI637" s="15" t="n"/>
    </row>
    <row r="638">
      <c r="A638" s="4" t="inlineStr">
        <is>
          <t>Студент2.21</t>
        </is>
      </c>
      <c r="B638" s="4" t="inlineStr"/>
      <c r="C638" s="4">
        <f>IF(A638="","",COUNTIF(F638:AI638,"+")+COUNTIF(F638:AI638,"1"))</f>
        <v/>
      </c>
      <c r="D638" s="4">
        <f>IF(A638="","",IF(C638&gt;2*COUNTA(F$617:AI$617)/3,1,IF(C638&gt;=COUNTA(F$617:AI$617)/2,0.8,0.5)))</f>
        <v/>
      </c>
      <c r="E638" s="4">
        <f>IF(A638="","",SUMIFS('Логи'!$H$4:$H$3006,'Логи'!$A$4:$A$3006,A638,'Логи'!$C$4:$C$3006,10))</f>
        <v/>
      </c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  <c r="O638" s="15" t="n"/>
      <c r="P638" s="15" t="n"/>
      <c r="Q638" s="15" t="n"/>
      <c r="R638" s="15" t="n"/>
      <c r="S638" s="15" t="n"/>
      <c r="T638" s="15" t="n"/>
      <c r="U638" s="15" t="n"/>
      <c r="V638" s="15" t="n"/>
      <c r="W638" s="15" t="n"/>
      <c r="X638" s="15" t="n"/>
      <c r="Y638" s="15" t="n"/>
      <c r="Z638" s="15" t="n"/>
      <c r="AA638" s="15" t="n"/>
      <c r="AB638" s="15" t="n"/>
      <c r="AC638" s="15" t="n"/>
      <c r="AD638" s="15" t="n"/>
      <c r="AE638" s="15" t="n"/>
      <c r="AF638" s="15" t="n"/>
      <c r="AG638" s="15" t="n"/>
      <c r="AH638" s="15" t="n"/>
      <c r="AI638" s="15" t="n"/>
    </row>
    <row r="639">
      <c r="A639" s="4" t="inlineStr">
        <is>
          <t>Студент2.22</t>
        </is>
      </c>
      <c r="B639" s="4" t="inlineStr"/>
      <c r="C639" s="4">
        <f>IF(A639="","",COUNTIF(F639:AI639,"+")+COUNTIF(F639:AI639,"1"))</f>
        <v/>
      </c>
      <c r="D639" s="4">
        <f>IF(A639="","",IF(C639&gt;2*COUNTA(F$617:AI$617)/3,1,IF(C639&gt;=COUNTA(F$617:AI$617)/2,0.8,0.5)))</f>
        <v/>
      </c>
      <c r="E639" s="4">
        <f>IF(A639="","",SUMIFS('Логи'!$H$4:$H$3006,'Логи'!$A$4:$A$3006,A639,'Логи'!$C$4:$C$3006,10))</f>
        <v/>
      </c>
      <c r="F639" s="15" t="n"/>
      <c r="G639" s="15" t="n"/>
      <c r="H639" s="15" t="n"/>
      <c r="I639" s="15" t="n"/>
      <c r="J639" s="15" t="n"/>
      <c r="K639" s="15" t="n"/>
      <c r="L639" s="15" t="n"/>
      <c r="M639" s="15" t="n"/>
      <c r="N639" s="15" t="n"/>
      <c r="O639" s="15" t="n"/>
      <c r="P639" s="15" t="n"/>
      <c r="Q639" s="15" t="n"/>
      <c r="R639" s="15" t="n"/>
      <c r="S639" s="15" t="n"/>
      <c r="T639" s="15" t="n"/>
      <c r="U639" s="15" t="n"/>
      <c r="V639" s="15" t="n"/>
      <c r="W639" s="15" t="n"/>
      <c r="X639" s="15" t="n"/>
      <c r="Y639" s="15" t="n"/>
      <c r="Z639" s="15" t="n"/>
      <c r="AA639" s="15" t="n"/>
      <c r="AB639" s="15" t="n"/>
      <c r="AC639" s="15" t="n"/>
      <c r="AD639" s="15" t="n"/>
      <c r="AE639" s="15" t="n"/>
      <c r="AF639" s="15" t="n"/>
      <c r="AG639" s="15" t="n"/>
      <c r="AH639" s="15" t="n"/>
      <c r="AI639" s="15" t="n"/>
    </row>
    <row r="640">
      <c r="A640" s="4" t="inlineStr">
        <is>
          <t>Студент2.23</t>
        </is>
      </c>
      <c r="B640" s="4" t="inlineStr"/>
      <c r="C640" s="4">
        <f>IF(A640="","",COUNTIF(F640:AI640,"+")+COUNTIF(F640:AI640,"1"))</f>
        <v/>
      </c>
      <c r="D640" s="4">
        <f>IF(A640="","",IF(C640&gt;2*COUNTA(F$617:AI$617)/3,1,IF(C640&gt;=COUNTA(F$617:AI$617)/2,0.8,0.5)))</f>
        <v/>
      </c>
      <c r="E640" s="4">
        <f>IF(A640="","",SUMIFS('Логи'!$H$4:$H$3006,'Логи'!$A$4:$A$3006,A640,'Логи'!$C$4:$C$3006,10))</f>
        <v/>
      </c>
      <c r="F640" s="15" t="n"/>
      <c r="G640" s="15" t="n"/>
      <c r="H640" s="15" t="n"/>
      <c r="I640" s="15" t="n"/>
      <c r="J640" s="15" t="n"/>
      <c r="K640" s="15" t="n"/>
      <c r="L640" s="15" t="n"/>
      <c r="M640" s="15" t="n"/>
      <c r="N640" s="15" t="n"/>
      <c r="O640" s="15" t="n"/>
      <c r="P640" s="15" t="n"/>
      <c r="Q640" s="15" t="n"/>
      <c r="R640" s="15" t="n"/>
      <c r="S640" s="15" t="n"/>
      <c r="T640" s="15" t="n"/>
      <c r="U640" s="15" t="n"/>
      <c r="V640" s="15" t="n"/>
      <c r="W640" s="15" t="n"/>
      <c r="X640" s="15" t="n"/>
      <c r="Y640" s="15" t="n"/>
      <c r="Z640" s="15" t="n"/>
      <c r="AA640" s="15" t="n"/>
      <c r="AB640" s="15" t="n"/>
      <c r="AC640" s="15" t="n"/>
      <c r="AD640" s="15" t="n"/>
      <c r="AE640" s="15" t="n"/>
      <c r="AF640" s="15" t="n"/>
      <c r="AG640" s="15" t="n"/>
      <c r="AH640" s="15" t="n"/>
      <c r="AI640" s="15" t="n"/>
    </row>
    <row r="641">
      <c r="A641" s="4" t="inlineStr">
        <is>
          <t>Студент2.24</t>
        </is>
      </c>
      <c r="B641" s="4" t="inlineStr"/>
      <c r="C641" s="4">
        <f>IF(A641="","",COUNTIF(F641:AI641,"+")+COUNTIF(F641:AI641,"1"))</f>
        <v/>
      </c>
      <c r="D641" s="4">
        <f>IF(A641="","",IF(C641&gt;2*COUNTA(F$617:AI$617)/3,1,IF(C641&gt;=COUNTA(F$617:AI$617)/2,0.8,0.5)))</f>
        <v/>
      </c>
      <c r="E641" s="4">
        <f>IF(A641="","",SUMIFS('Логи'!$H$4:$H$3006,'Логи'!$A$4:$A$3006,A641,'Логи'!$C$4:$C$3006,10))</f>
        <v/>
      </c>
      <c r="F641" s="15" t="n"/>
      <c r="G641" s="15" t="n"/>
      <c r="H641" s="15" t="n"/>
      <c r="I641" s="15" t="n"/>
      <c r="J641" s="15" t="n"/>
      <c r="K641" s="15" t="n"/>
      <c r="L641" s="15" t="n"/>
      <c r="M641" s="15" t="n"/>
      <c r="N641" s="15" t="n"/>
      <c r="O641" s="15" t="n"/>
      <c r="P641" s="15" t="n"/>
      <c r="Q641" s="15" t="n"/>
      <c r="R641" s="15" t="n"/>
      <c r="S641" s="15" t="n"/>
      <c r="T641" s="15" t="n"/>
      <c r="U641" s="15" t="n"/>
      <c r="V641" s="15" t="n"/>
      <c r="W641" s="15" t="n"/>
      <c r="X641" s="15" t="n"/>
      <c r="Y641" s="15" t="n"/>
      <c r="Z641" s="15" t="n"/>
      <c r="AA641" s="15" t="n"/>
      <c r="AB641" s="15" t="n"/>
      <c r="AC641" s="15" t="n"/>
      <c r="AD641" s="15" t="n"/>
      <c r="AE641" s="15" t="n"/>
      <c r="AF641" s="15" t="n"/>
      <c r="AG641" s="15" t="n"/>
      <c r="AH641" s="15" t="n"/>
      <c r="AI641" s="15" t="n"/>
    </row>
    <row r="642">
      <c r="A642" s="4" t="inlineStr">
        <is>
          <t>Студент2.25</t>
        </is>
      </c>
      <c r="B642" s="4" t="inlineStr"/>
      <c r="C642" s="4">
        <f>IF(A642="","",COUNTIF(F642:AI642,"+")+COUNTIF(F642:AI642,"1"))</f>
        <v/>
      </c>
      <c r="D642" s="4">
        <f>IF(A642="","",IF(C642&gt;2*COUNTA(F$617:AI$617)/3,1,IF(C642&gt;=COUNTA(F$617:AI$617)/2,0.8,0.5)))</f>
        <v/>
      </c>
      <c r="E642" s="4">
        <f>IF(A642="","",SUMIFS('Логи'!$H$4:$H$3006,'Логи'!$A$4:$A$3006,A642,'Логи'!$C$4:$C$3006,10))</f>
        <v/>
      </c>
      <c r="F642" s="15" t="n"/>
      <c r="G642" s="15" t="n"/>
      <c r="H642" s="15" t="n"/>
      <c r="I642" s="15" t="n"/>
      <c r="J642" s="15" t="n"/>
      <c r="K642" s="15" t="n"/>
      <c r="L642" s="15" t="n"/>
      <c r="M642" s="15" t="n"/>
      <c r="N642" s="15" t="n"/>
      <c r="O642" s="15" t="n"/>
      <c r="P642" s="15" t="n"/>
      <c r="Q642" s="15" t="n"/>
      <c r="R642" s="15" t="n"/>
      <c r="S642" s="15" t="n"/>
      <c r="T642" s="15" t="n"/>
      <c r="U642" s="15" t="n"/>
      <c r="V642" s="15" t="n"/>
      <c r="W642" s="15" t="n"/>
      <c r="X642" s="15" t="n"/>
      <c r="Y642" s="15" t="n"/>
      <c r="Z642" s="15" t="n"/>
      <c r="AA642" s="15" t="n"/>
      <c r="AB642" s="15" t="n"/>
      <c r="AC642" s="15" t="n"/>
      <c r="AD642" s="15" t="n"/>
      <c r="AE642" s="15" t="n"/>
      <c r="AF642" s="15" t="n"/>
      <c r="AG642" s="15" t="n"/>
      <c r="AH642" s="15" t="n"/>
      <c r="AI642" s="15" t="n"/>
    </row>
    <row r="643">
      <c r="A643" s="4" t="inlineStr">
        <is>
          <t>Студент2.26</t>
        </is>
      </c>
      <c r="B643" s="4" t="inlineStr"/>
      <c r="C643" s="4">
        <f>IF(A643="","",COUNTIF(F643:AI643,"+")+COUNTIF(F643:AI643,"1"))</f>
        <v/>
      </c>
      <c r="D643" s="4">
        <f>IF(A643="","",IF(C643&gt;2*COUNTA(F$617:AI$617)/3,1,IF(C643&gt;=COUNTA(F$617:AI$617)/2,0.8,0.5)))</f>
        <v/>
      </c>
      <c r="E643" s="4">
        <f>IF(A643="","",SUMIFS('Логи'!$H$4:$H$3006,'Логи'!$A$4:$A$3006,A643,'Логи'!$C$4:$C$3006,10))</f>
        <v/>
      </c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  <c r="O643" s="15" t="n"/>
      <c r="P643" s="15" t="n"/>
      <c r="Q643" s="15" t="n"/>
      <c r="R643" s="15" t="n"/>
      <c r="S643" s="15" t="n"/>
      <c r="T643" s="15" t="n"/>
      <c r="U643" s="15" t="n"/>
      <c r="V643" s="15" t="n"/>
      <c r="W643" s="15" t="n"/>
      <c r="X643" s="15" t="n"/>
      <c r="Y643" s="15" t="n"/>
      <c r="Z643" s="15" t="n"/>
      <c r="AA643" s="15" t="n"/>
      <c r="AB643" s="15" t="n"/>
      <c r="AC643" s="15" t="n"/>
      <c r="AD643" s="15" t="n"/>
      <c r="AE643" s="15" t="n"/>
      <c r="AF643" s="15" t="n"/>
      <c r="AG643" s="15" t="n"/>
      <c r="AH643" s="15" t="n"/>
      <c r="AI643" s="15" t="n"/>
    </row>
    <row r="644">
      <c r="A644" s="4" t="inlineStr">
        <is>
          <t>Студент2.27</t>
        </is>
      </c>
      <c r="B644" s="4" t="inlineStr"/>
      <c r="C644" s="4">
        <f>IF(A644="","",COUNTIF(F644:AI644,"+")+COUNTIF(F644:AI644,"1"))</f>
        <v/>
      </c>
      <c r="D644" s="4">
        <f>IF(A644="","",IF(C644&gt;2*COUNTA(F$617:AI$617)/3,1,IF(C644&gt;=COUNTA(F$617:AI$617)/2,0.8,0.5)))</f>
        <v/>
      </c>
      <c r="E644" s="4">
        <f>IF(A644="","",SUMIFS('Логи'!$H$4:$H$3006,'Логи'!$A$4:$A$3006,A644,'Логи'!$C$4:$C$3006,10))</f>
        <v/>
      </c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  <c r="O644" s="15" t="n"/>
      <c r="P644" s="15" t="n"/>
      <c r="Q644" s="15" t="n"/>
      <c r="R644" s="15" t="n"/>
      <c r="S644" s="15" t="n"/>
      <c r="T644" s="15" t="n"/>
      <c r="U644" s="15" t="n"/>
      <c r="V644" s="15" t="n"/>
      <c r="W644" s="15" t="n"/>
      <c r="X644" s="15" t="n"/>
      <c r="Y644" s="15" t="n"/>
      <c r="Z644" s="15" t="n"/>
      <c r="AA644" s="15" t="n"/>
      <c r="AB644" s="15" t="n"/>
      <c r="AC644" s="15" t="n"/>
      <c r="AD644" s="15" t="n"/>
      <c r="AE644" s="15" t="n"/>
      <c r="AF644" s="15" t="n"/>
      <c r="AG644" s="15" t="n"/>
      <c r="AH644" s="15" t="n"/>
      <c r="AI644" s="15" t="n"/>
    </row>
    <row r="645">
      <c r="A645" s="4" t="inlineStr">
        <is>
          <t>Студент2.28</t>
        </is>
      </c>
      <c r="B645" s="4" t="inlineStr"/>
      <c r="C645" s="4">
        <f>IF(A645="","",COUNTIF(F645:AI645,"+")+COUNTIF(F645:AI645,"1"))</f>
        <v/>
      </c>
      <c r="D645" s="4">
        <f>IF(A645="","",IF(C645&gt;2*COUNTA(F$617:AI$617)/3,1,IF(C645&gt;=COUNTA(F$617:AI$617)/2,0.8,0.5)))</f>
        <v/>
      </c>
      <c r="E645" s="4">
        <f>IF(A645="","",SUMIFS('Логи'!$H$4:$H$3006,'Логи'!$A$4:$A$3006,A645,'Логи'!$C$4:$C$3006,10))</f>
        <v/>
      </c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  <c r="P645" s="15" t="n"/>
      <c r="Q645" s="15" t="n"/>
      <c r="R645" s="15" t="n"/>
      <c r="S645" s="15" t="n"/>
      <c r="T645" s="15" t="n"/>
      <c r="U645" s="15" t="n"/>
      <c r="V645" s="15" t="n"/>
      <c r="W645" s="15" t="n"/>
      <c r="X645" s="15" t="n"/>
      <c r="Y645" s="15" t="n"/>
      <c r="Z645" s="15" t="n"/>
      <c r="AA645" s="15" t="n"/>
      <c r="AB645" s="15" t="n"/>
      <c r="AC645" s="15" t="n"/>
      <c r="AD645" s="15" t="n"/>
      <c r="AE645" s="15" t="n"/>
      <c r="AF645" s="15" t="n"/>
      <c r="AG645" s="15" t="n"/>
      <c r="AH645" s="15" t="n"/>
      <c r="AI645" s="15" t="n"/>
    </row>
    <row r="646">
      <c r="A646" s="4" t="inlineStr">
        <is>
          <t>Студент2.29</t>
        </is>
      </c>
      <c r="B646" s="4" t="inlineStr"/>
      <c r="C646" s="4">
        <f>IF(A646="","",COUNTIF(F646:AI646,"+")+COUNTIF(F646:AI646,"1"))</f>
        <v/>
      </c>
      <c r="D646" s="4">
        <f>IF(A646="","",IF(C646&gt;2*COUNTA(F$617:AI$617)/3,1,IF(C646&gt;=COUNTA(F$617:AI$617)/2,0.8,0.5)))</f>
        <v/>
      </c>
      <c r="E646" s="4">
        <f>IF(A646="","",SUMIFS('Логи'!$H$4:$H$3006,'Логи'!$A$4:$A$3006,A646,'Логи'!$C$4:$C$3006,10))</f>
        <v/>
      </c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  <c r="O646" s="15" t="n"/>
      <c r="P646" s="15" t="n"/>
      <c r="Q646" s="15" t="n"/>
      <c r="R646" s="15" t="n"/>
      <c r="S646" s="15" t="n"/>
      <c r="T646" s="15" t="n"/>
      <c r="U646" s="15" t="n"/>
      <c r="V646" s="15" t="n"/>
      <c r="W646" s="15" t="n"/>
      <c r="X646" s="15" t="n"/>
      <c r="Y646" s="15" t="n"/>
      <c r="Z646" s="15" t="n"/>
      <c r="AA646" s="15" t="n"/>
      <c r="AB646" s="15" t="n"/>
      <c r="AC646" s="15" t="n"/>
      <c r="AD646" s="15" t="n"/>
      <c r="AE646" s="15" t="n"/>
      <c r="AF646" s="15" t="n"/>
      <c r="AG646" s="15" t="n"/>
      <c r="AH646" s="15" t="n"/>
      <c r="AI646" s="15" t="n"/>
    </row>
    <row r="647">
      <c r="A647" s="4" t="inlineStr">
        <is>
          <t>Студент2.30</t>
        </is>
      </c>
      <c r="B647" s="4" t="inlineStr"/>
      <c r="C647" s="4">
        <f>IF(A647="","",COUNTIF(F647:AI647,"+")+COUNTIF(F647:AI647,"1"))</f>
        <v/>
      </c>
      <c r="D647" s="4">
        <f>IF(A647="","",IF(C647&gt;2*COUNTA(F$617:AI$617)/3,1,IF(C647&gt;=COUNTA(F$617:AI$617)/2,0.8,0.5)))</f>
        <v/>
      </c>
      <c r="E647" s="4">
        <f>IF(A647="","",SUMIFS('Логи'!$H$4:$H$3006,'Логи'!$A$4:$A$3006,A647,'Логи'!$C$4:$C$3006,10))</f>
        <v/>
      </c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  <c r="O647" s="15" t="n"/>
      <c r="P647" s="15" t="n"/>
      <c r="Q647" s="15" t="n"/>
      <c r="R647" s="15" t="n"/>
      <c r="S647" s="15" t="n"/>
      <c r="T647" s="15" t="n"/>
      <c r="U647" s="15" t="n"/>
      <c r="V647" s="15" t="n"/>
      <c r="W647" s="15" t="n"/>
      <c r="X647" s="15" t="n"/>
      <c r="Y647" s="15" t="n"/>
      <c r="Z647" s="15" t="n"/>
      <c r="AA647" s="15" t="n"/>
      <c r="AB647" s="15" t="n"/>
      <c r="AC647" s="15" t="n"/>
      <c r="AD647" s="15" t="n"/>
      <c r="AE647" s="15" t="n"/>
      <c r="AF647" s="15" t="n"/>
      <c r="AG647" s="15" t="n"/>
      <c r="AH647" s="15" t="n"/>
      <c r="AI647" s="15" t="n"/>
    </row>
    <row r="649">
      <c r="A649" s="16" t="inlineStr">
        <is>
          <t>Практика 10 — результаты рассказа</t>
        </is>
      </c>
    </row>
    <row r="650" ht="28" customHeight="1">
      <c r="A650" s="7" t="inlineStr">
        <is>
          <t>Имя</t>
        </is>
      </c>
      <c r="B650" s="9" t="inlineStr">
        <is>
          <t>TG</t>
        </is>
      </c>
      <c r="C650" s="10" t="inlineStr"/>
      <c r="D650" s="2" t="inlineStr"/>
      <c r="E650" s="2" t="inlineStr"/>
      <c r="F650" s="11" t="inlineStr">
        <is>
          <t>1.0</t>
        </is>
      </c>
      <c r="G650" s="11" t="inlineStr">
        <is>
          <t>2.0</t>
        </is>
      </c>
      <c r="H650" s="11" t="inlineStr">
        <is>
          <t>3.0</t>
        </is>
      </c>
      <c r="I650" s="11" t="inlineStr">
        <is>
          <t>4.0</t>
        </is>
      </c>
      <c r="J650" s="11" t="inlineStr">
        <is>
          <t>5.0</t>
        </is>
      </c>
      <c r="K650" s="11" t="inlineStr">
        <is>
          <t>6</t>
        </is>
      </c>
      <c r="L650" s="11" t="inlineStr">
        <is>
          <t>7</t>
        </is>
      </c>
      <c r="M650" s="11" t="inlineStr">
        <is>
          <t>8</t>
        </is>
      </c>
      <c r="N650" s="11" t="inlineStr">
        <is>
          <t>9</t>
        </is>
      </c>
      <c r="O650" s="11" t="inlineStr">
        <is>
          <t>10</t>
        </is>
      </c>
      <c r="P650" s="11" t="inlineStr">
        <is>
          <t>11</t>
        </is>
      </c>
      <c r="Q650" s="11" t="inlineStr">
        <is>
          <t>12</t>
        </is>
      </c>
      <c r="R650" s="11" t="inlineStr">
        <is>
          <t>13</t>
        </is>
      </c>
      <c r="S650" s="11" t="inlineStr">
        <is>
          <t>14</t>
        </is>
      </c>
      <c r="T650" s="11" t="inlineStr">
        <is>
          <t>15</t>
        </is>
      </c>
      <c r="U650" s="11" t="inlineStr">
        <is>
          <t>16</t>
        </is>
      </c>
      <c r="V650" s="11" t="inlineStr">
        <is>
          <t>17</t>
        </is>
      </c>
      <c r="W650" s="11" t="inlineStr">
        <is>
          <t>18</t>
        </is>
      </c>
      <c r="X650" s="11" t="inlineStr">
        <is>
          <t>19</t>
        </is>
      </c>
      <c r="Y650" s="11" t="inlineStr">
        <is>
          <t>20</t>
        </is>
      </c>
      <c r="Z650" s="11" t="inlineStr">
        <is>
          <t>21</t>
        </is>
      </c>
      <c r="AA650" s="11" t="inlineStr">
        <is>
          <t>22</t>
        </is>
      </c>
      <c r="AB650" s="11" t="inlineStr">
        <is>
          <t>23</t>
        </is>
      </c>
      <c r="AC650" s="11" t="inlineStr">
        <is>
          <t>24</t>
        </is>
      </c>
      <c r="AD650" s="11" t="inlineStr">
        <is>
          <t>25</t>
        </is>
      </c>
      <c r="AE650" s="11" t="inlineStr">
        <is>
          <t>26</t>
        </is>
      </c>
      <c r="AF650" s="11" t="inlineStr">
        <is>
          <t>27</t>
        </is>
      </c>
      <c r="AG650" s="11" t="inlineStr">
        <is>
          <t>28</t>
        </is>
      </c>
      <c r="AH650" s="11" t="inlineStr">
        <is>
          <t>29</t>
        </is>
      </c>
      <c r="AI650" s="11" t="inlineStr">
        <is>
          <t>30</t>
        </is>
      </c>
    </row>
    <row r="651">
      <c r="A651" s="4" t="inlineStr">
        <is>
          <t>Студент2.1</t>
        </is>
      </c>
      <c r="B651" s="4" t="inlineStr"/>
      <c r="C651" s="4" t="n"/>
      <c r="D651" s="4" t="n"/>
      <c r="E651" s="4" t="n"/>
      <c r="F651" s="15" t="n"/>
      <c r="G651" s="15" t="n"/>
      <c r="H651" s="15" t="n"/>
      <c r="I651" s="15" t="n"/>
      <c r="J651" s="15" t="n"/>
      <c r="K651" s="15" t="n"/>
      <c r="L651" s="15" t="n"/>
      <c r="M651" s="15" t="n"/>
      <c r="N651" s="15" t="n"/>
      <c r="O651" s="15" t="n"/>
      <c r="P651" s="15" t="n"/>
      <c r="Q651" s="15" t="n"/>
      <c r="R651" s="15" t="n"/>
      <c r="S651" s="15" t="n"/>
      <c r="T651" s="15" t="n"/>
      <c r="U651" s="15" t="n"/>
      <c r="V651" s="15" t="n"/>
      <c r="W651" s="15" t="n"/>
      <c r="X651" s="15" t="n"/>
      <c r="Y651" s="15" t="n"/>
      <c r="Z651" s="15" t="n"/>
      <c r="AA651" s="15" t="n"/>
      <c r="AB651" s="15" t="n"/>
      <c r="AC651" s="15" t="n"/>
      <c r="AD651" s="15" t="n"/>
      <c r="AE651" s="15" t="n"/>
      <c r="AF651" s="15" t="n"/>
      <c r="AG651" s="15" t="n"/>
      <c r="AH651" s="15" t="n"/>
      <c r="AI651" s="15" t="n"/>
    </row>
    <row r="652">
      <c r="A652" s="4" t="inlineStr">
        <is>
          <t>Студент2.2</t>
        </is>
      </c>
      <c r="B652" s="4" t="inlineStr"/>
      <c r="C652" s="4" t="n"/>
      <c r="D652" s="4" t="n"/>
      <c r="E652" s="4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  <c r="O652" s="15" t="n"/>
      <c r="P652" s="15" t="n"/>
      <c r="Q652" s="15" t="n"/>
      <c r="R652" s="15" t="n"/>
      <c r="S652" s="15" t="n"/>
      <c r="T652" s="15" t="n"/>
      <c r="U652" s="15" t="n"/>
      <c r="V652" s="15" t="n"/>
      <c r="W652" s="15" t="n"/>
      <c r="X652" s="15" t="n"/>
      <c r="Y652" s="15" t="n"/>
      <c r="Z652" s="15" t="n"/>
      <c r="AA652" s="15" t="n"/>
      <c r="AB652" s="15" t="n"/>
      <c r="AC652" s="15" t="n"/>
      <c r="AD652" s="15" t="n"/>
      <c r="AE652" s="15" t="n"/>
      <c r="AF652" s="15" t="n"/>
      <c r="AG652" s="15" t="n"/>
      <c r="AH652" s="15" t="n"/>
      <c r="AI652" s="15" t="n"/>
    </row>
    <row r="653">
      <c r="A653" s="4" t="inlineStr">
        <is>
          <t>Студент2.3</t>
        </is>
      </c>
      <c r="B653" s="4" t="inlineStr"/>
      <c r="C653" s="4" t="n"/>
      <c r="D653" s="4" t="n"/>
      <c r="E653" s="4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  <c r="O653" s="15" t="n"/>
      <c r="P653" s="15" t="n"/>
      <c r="Q653" s="15" t="n"/>
      <c r="R653" s="15" t="n"/>
      <c r="S653" s="15" t="n"/>
      <c r="T653" s="15" t="n"/>
      <c r="U653" s="15" t="n"/>
      <c r="V653" s="15" t="n"/>
      <c r="W653" s="15" t="n"/>
      <c r="X653" s="15" t="n"/>
      <c r="Y653" s="15" t="n"/>
      <c r="Z653" s="15" t="n"/>
      <c r="AA653" s="15" t="n"/>
      <c r="AB653" s="15" t="n"/>
      <c r="AC653" s="15" t="n"/>
      <c r="AD653" s="15" t="n"/>
      <c r="AE653" s="15" t="n"/>
      <c r="AF653" s="15" t="n"/>
      <c r="AG653" s="15" t="n"/>
      <c r="AH653" s="15" t="n"/>
      <c r="AI653" s="15" t="n"/>
    </row>
    <row r="654">
      <c r="A654" s="4" t="inlineStr">
        <is>
          <t>Студент2.4</t>
        </is>
      </c>
      <c r="B654" s="4" t="inlineStr"/>
      <c r="C654" s="4" t="n"/>
      <c r="D654" s="4" t="n"/>
      <c r="E654" s="4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  <c r="O654" s="15" t="n"/>
      <c r="P654" s="15" t="n"/>
      <c r="Q654" s="15" t="n"/>
      <c r="R654" s="15" t="n"/>
      <c r="S654" s="15" t="n"/>
      <c r="T654" s="15" t="n"/>
      <c r="U654" s="15" t="n"/>
      <c r="V654" s="15" t="n"/>
      <c r="W654" s="15" t="n"/>
      <c r="X654" s="15" t="n"/>
      <c r="Y654" s="15" t="n"/>
      <c r="Z654" s="15" t="n"/>
      <c r="AA654" s="15" t="n"/>
      <c r="AB654" s="15" t="n"/>
      <c r="AC654" s="15" t="n"/>
      <c r="AD654" s="15" t="n"/>
      <c r="AE654" s="15" t="n"/>
      <c r="AF654" s="15" t="n"/>
      <c r="AG654" s="15" t="n"/>
      <c r="AH654" s="15" t="n"/>
      <c r="AI654" s="15" t="n"/>
    </row>
    <row r="655">
      <c r="A655" s="4" t="inlineStr">
        <is>
          <t>Студент2.5</t>
        </is>
      </c>
      <c r="B655" s="4" t="inlineStr"/>
      <c r="C655" s="4" t="n"/>
      <c r="D655" s="4" t="n"/>
      <c r="E655" s="4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  <c r="O655" s="15" t="n"/>
      <c r="P655" s="15" t="n"/>
      <c r="Q655" s="15" t="n"/>
      <c r="R655" s="15" t="n"/>
      <c r="S655" s="15" t="n"/>
      <c r="T655" s="15" t="n"/>
      <c r="U655" s="15" t="n"/>
      <c r="V655" s="15" t="n"/>
      <c r="W655" s="15" t="n"/>
      <c r="X655" s="15" t="n"/>
      <c r="Y655" s="15" t="n"/>
      <c r="Z655" s="15" t="n"/>
      <c r="AA655" s="15" t="n"/>
      <c r="AB655" s="15" t="n"/>
      <c r="AC655" s="15" t="n"/>
      <c r="AD655" s="15" t="n"/>
      <c r="AE655" s="15" t="n"/>
      <c r="AF655" s="15" t="n"/>
      <c r="AG655" s="15" t="n"/>
      <c r="AH655" s="15" t="n"/>
      <c r="AI655" s="15" t="n"/>
    </row>
    <row r="656">
      <c r="A656" s="4" t="inlineStr">
        <is>
          <t>Студент2.6</t>
        </is>
      </c>
      <c r="B656" s="4" t="inlineStr"/>
      <c r="C656" s="4" t="n"/>
      <c r="D656" s="4" t="n"/>
      <c r="E656" s="4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  <c r="O656" s="15" t="n"/>
      <c r="P656" s="15" t="n"/>
      <c r="Q656" s="15" t="n"/>
      <c r="R656" s="15" t="n"/>
      <c r="S656" s="15" t="n"/>
      <c r="T656" s="15" t="n"/>
      <c r="U656" s="15" t="n"/>
      <c r="V656" s="15" t="n"/>
      <c r="W656" s="15" t="n"/>
      <c r="X656" s="15" t="n"/>
      <c r="Y656" s="15" t="n"/>
      <c r="Z656" s="15" t="n"/>
      <c r="AA656" s="15" t="n"/>
      <c r="AB656" s="15" t="n"/>
      <c r="AC656" s="15" t="n"/>
      <c r="AD656" s="15" t="n"/>
      <c r="AE656" s="15" t="n"/>
      <c r="AF656" s="15" t="n"/>
      <c r="AG656" s="15" t="n"/>
      <c r="AH656" s="15" t="n"/>
      <c r="AI656" s="15" t="n"/>
    </row>
    <row r="657">
      <c r="A657" s="4" t="inlineStr">
        <is>
          <t>Студент2.7</t>
        </is>
      </c>
      <c r="B657" s="4" t="inlineStr"/>
      <c r="C657" s="4" t="n"/>
      <c r="D657" s="4" t="n"/>
      <c r="E657" s="4" t="n"/>
      <c r="F657" s="15" t="n"/>
      <c r="G657" s="15" t="n"/>
      <c r="H657" s="15" t="n"/>
      <c r="I657" s="15" t="n"/>
      <c r="J657" s="15" t="n"/>
      <c r="K657" s="15" t="n"/>
      <c r="L657" s="15" t="n"/>
      <c r="M657" s="15" t="n"/>
      <c r="N657" s="15" t="n"/>
      <c r="O657" s="15" t="n"/>
      <c r="P657" s="15" t="n"/>
      <c r="Q657" s="15" t="n"/>
      <c r="R657" s="15" t="n"/>
      <c r="S657" s="15" t="n"/>
      <c r="T657" s="15" t="n"/>
      <c r="U657" s="15" t="n"/>
      <c r="V657" s="15" t="n"/>
      <c r="W657" s="15" t="n"/>
      <c r="X657" s="15" t="n"/>
      <c r="Y657" s="15" t="n"/>
      <c r="Z657" s="15" t="n"/>
      <c r="AA657" s="15" t="n"/>
      <c r="AB657" s="15" t="n"/>
      <c r="AC657" s="15" t="n"/>
      <c r="AD657" s="15" t="n"/>
      <c r="AE657" s="15" t="n"/>
      <c r="AF657" s="15" t="n"/>
      <c r="AG657" s="15" t="n"/>
      <c r="AH657" s="15" t="n"/>
      <c r="AI657" s="15" t="n"/>
    </row>
    <row r="658">
      <c r="A658" s="4" t="inlineStr">
        <is>
          <t>Студент2.8</t>
        </is>
      </c>
      <c r="B658" s="4" t="inlineStr"/>
      <c r="C658" s="4" t="n"/>
      <c r="D658" s="4" t="n"/>
      <c r="E658" s="4" t="n"/>
      <c r="F658" s="15" t="n"/>
      <c r="G658" s="15" t="n"/>
      <c r="H658" s="15" t="n"/>
      <c r="I658" s="15" t="n"/>
      <c r="J658" s="15" t="n"/>
      <c r="K658" s="15" t="n"/>
      <c r="L658" s="15" t="n"/>
      <c r="M658" s="15" t="n"/>
      <c r="N658" s="15" t="n"/>
      <c r="O658" s="15" t="n"/>
      <c r="P658" s="15" t="n"/>
      <c r="Q658" s="15" t="n"/>
      <c r="R658" s="15" t="n"/>
      <c r="S658" s="15" t="n"/>
      <c r="T658" s="15" t="n"/>
      <c r="U658" s="15" t="n"/>
      <c r="V658" s="15" t="n"/>
      <c r="W658" s="15" t="n"/>
      <c r="X658" s="15" t="n"/>
      <c r="Y658" s="15" t="n"/>
      <c r="Z658" s="15" t="n"/>
      <c r="AA658" s="15" t="n"/>
      <c r="AB658" s="15" t="n"/>
      <c r="AC658" s="15" t="n"/>
      <c r="AD658" s="15" t="n"/>
      <c r="AE658" s="15" t="n"/>
      <c r="AF658" s="15" t="n"/>
      <c r="AG658" s="15" t="n"/>
      <c r="AH658" s="15" t="n"/>
      <c r="AI658" s="15" t="n"/>
    </row>
    <row r="659">
      <c r="A659" s="4" t="inlineStr">
        <is>
          <t>Студент2.9</t>
        </is>
      </c>
      <c r="B659" s="4" t="inlineStr"/>
      <c r="C659" s="4" t="n"/>
      <c r="D659" s="4" t="n"/>
      <c r="E659" s="4" t="n"/>
      <c r="F659" s="15" t="n"/>
      <c r="G659" s="15" t="n"/>
      <c r="H659" s="15" t="n"/>
      <c r="I659" s="15" t="n"/>
      <c r="J659" s="15" t="n"/>
      <c r="K659" s="15" t="n"/>
      <c r="L659" s="15" t="n"/>
      <c r="M659" s="15" t="n"/>
      <c r="N659" s="15" t="n"/>
      <c r="O659" s="15" t="n"/>
      <c r="P659" s="15" t="n"/>
      <c r="Q659" s="15" t="n"/>
      <c r="R659" s="15" t="n"/>
      <c r="S659" s="15" t="n"/>
      <c r="T659" s="15" t="n"/>
      <c r="U659" s="15" t="n"/>
      <c r="V659" s="15" t="n"/>
      <c r="W659" s="15" t="n"/>
      <c r="X659" s="15" t="n"/>
      <c r="Y659" s="15" t="n"/>
      <c r="Z659" s="15" t="n"/>
      <c r="AA659" s="15" t="n"/>
      <c r="AB659" s="15" t="n"/>
      <c r="AC659" s="15" t="n"/>
      <c r="AD659" s="15" t="n"/>
      <c r="AE659" s="15" t="n"/>
      <c r="AF659" s="15" t="n"/>
      <c r="AG659" s="15" t="n"/>
      <c r="AH659" s="15" t="n"/>
      <c r="AI659" s="15" t="n"/>
    </row>
    <row r="660">
      <c r="A660" s="4" t="inlineStr">
        <is>
          <t>Студент2.10</t>
        </is>
      </c>
      <c r="B660" s="4" t="inlineStr"/>
      <c r="C660" s="4" t="n"/>
      <c r="D660" s="4" t="n"/>
      <c r="E660" s="4" t="n"/>
      <c r="F660" s="15" t="n"/>
      <c r="G660" s="15" t="n"/>
      <c r="H660" s="15" t="n"/>
      <c r="I660" s="15" t="n"/>
      <c r="J660" s="15" t="n"/>
      <c r="K660" s="15" t="n"/>
      <c r="L660" s="15" t="n"/>
      <c r="M660" s="15" t="n"/>
      <c r="N660" s="15" t="n"/>
      <c r="O660" s="15" t="n"/>
      <c r="P660" s="15" t="n"/>
      <c r="Q660" s="15" t="n"/>
      <c r="R660" s="15" t="n"/>
      <c r="S660" s="15" t="n"/>
      <c r="T660" s="15" t="n"/>
      <c r="U660" s="15" t="n"/>
      <c r="V660" s="15" t="n"/>
      <c r="W660" s="15" t="n"/>
      <c r="X660" s="15" t="n"/>
      <c r="Y660" s="15" t="n"/>
      <c r="Z660" s="15" t="n"/>
      <c r="AA660" s="15" t="n"/>
      <c r="AB660" s="15" t="n"/>
      <c r="AC660" s="15" t="n"/>
      <c r="AD660" s="15" t="n"/>
      <c r="AE660" s="15" t="n"/>
      <c r="AF660" s="15" t="n"/>
      <c r="AG660" s="15" t="n"/>
      <c r="AH660" s="15" t="n"/>
      <c r="AI660" s="15" t="n"/>
    </row>
    <row r="661">
      <c r="A661" s="4" t="inlineStr">
        <is>
          <t>Студент2.11</t>
        </is>
      </c>
      <c r="B661" s="4" t="inlineStr"/>
      <c r="C661" s="4" t="n"/>
      <c r="D661" s="4" t="n"/>
      <c r="E661" s="4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  <c r="O661" s="15" t="n"/>
      <c r="P661" s="15" t="n"/>
      <c r="Q661" s="15" t="n"/>
      <c r="R661" s="15" t="n"/>
      <c r="S661" s="15" t="n"/>
      <c r="T661" s="15" t="n"/>
      <c r="U661" s="15" t="n"/>
      <c r="V661" s="15" t="n"/>
      <c r="W661" s="15" t="n"/>
      <c r="X661" s="15" t="n"/>
      <c r="Y661" s="15" t="n"/>
      <c r="Z661" s="15" t="n"/>
      <c r="AA661" s="15" t="n"/>
      <c r="AB661" s="15" t="n"/>
      <c r="AC661" s="15" t="n"/>
      <c r="AD661" s="15" t="n"/>
      <c r="AE661" s="15" t="n"/>
      <c r="AF661" s="15" t="n"/>
      <c r="AG661" s="15" t="n"/>
      <c r="AH661" s="15" t="n"/>
      <c r="AI661" s="15" t="n"/>
    </row>
    <row r="662">
      <c r="A662" s="4" t="inlineStr">
        <is>
          <t>Студент2.12</t>
        </is>
      </c>
      <c r="B662" s="4" t="inlineStr"/>
      <c r="C662" s="4" t="n"/>
      <c r="D662" s="4" t="n"/>
      <c r="E662" s="4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  <c r="O662" s="15" t="n"/>
      <c r="P662" s="15" t="n"/>
      <c r="Q662" s="15" t="n"/>
      <c r="R662" s="15" t="n"/>
      <c r="S662" s="15" t="n"/>
      <c r="T662" s="15" t="n"/>
      <c r="U662" s="15" t="n"/>
      <c r="V662" s="15" t="n"/>
      <c r="W662" s="15" t="n"/>
      <c r="X662" s="15" t="n"/>
      <c r="Y662" s="15" t="n"/>
      <c r="Z662" s="15" t="n"/>
      <c r="AA662" s="15" t="n"/>
      <c r="AB662" s="15" t="n"/>
      <c r="AC662" s="15" t="n"/>
      <c r="AD662" s="15" t="n"/>
      <c r="AE662" s="15" t="n"/>
      <c r="AF662" s="15" t="n"/>
      <c r="AG662" s="15" t="n"/>
      <c r="AH662" s="15" t="n"/>
      <c r="AI662" s="15" t="n"/>
    </row>
    <row r="663">
      <c r="A663" s="4" t="inlineStr">
        <is>
          <t>Студент2.13</t>
        </is>
      </c>
      <c r="B663" s="4" t="inlineStr"/>
      <c r="C663" s="4" t="n"/>
      <c r="D663" s="4" t="n"/>
      <c r="E663" s="4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  <c r="O663" s="15" t="n"/>
      <c r="P663" s="15" t="n"/>
      <c r="Q663" s="15" t="n"/>
      <c r="R663" s="15" t="n"/>
      <c r="S663" s="15" t="n"/>
      <c r="T663" s="15" t="n"/>
      <c r="U663" s="15" t="n"/>
      <c r="V663" s="15" t="n"/>
      <c r="W663" s="15" t="n"/>
      <c r="X663" s="15" t="n"/>
      <c r="Y663" s="15" t="n"/>
      <c r="Z663" s="15" t="n"/>
      <c r="AA663" s="15" t="n"/>
      <c r="AB663" s="15" t="n"/>
      <c r="AC663" s="15" t="n"/>
      <c r="AD663" s="15" t="n"/>
      <c r="AE663" s="15" t="n"/>
      <c r="AF663" s="15" t="n"/>
      <c r="AG663" s="15" t="n"/>
      <c r="AH663" s="15" t="n"/>
      <c r="AI663" s="15" t="n"/>
    </row>
    <row r="664">
      <c r="A664" s="4" t="inlineStr">
        <is>
          <t>Студент2.14</t>
        </is>
      </c>
      <c r="B664" s="4" t="inlineStr"/>
      <c r="C664" s="4" t="n"/>
      <c r="D664" s="4" t="n"/>
      <c r="E664" s="4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  <c r="O664" s="15" t="n"/>
      <c r="P664" s="15" t="n"/>
      <c r="Q664" s="15" t="n"/>
      <c r="R664" s="15" t="n"/>
      <c r="S664" s="15" t="n"/>
      <c r="T664" s="15" t="n"/>
      <c r="U664" s="15" t="n"/>
      <c r="V664" s="15" t="n"/>
      <c r="W664" s="15" t="n"/>
      <c r="X664" s="15" t="n"/>
      <c r="Y664" s="15" t="n"/>
      <c r="Z664" s="15" t="n"/>
      <c r="AA664" s="15" t="n"/>
      <c r="AB664" s="15" t="n"/>
      <c r="AC664" s="15" t="n"/>
      <c r="AD664" s="15" t="n"/>
      <c r="AE664" s="15" t="n"/>
      <c r="AF664" s="15" t="n"/>
      <c r="AG664" s="15" t="n"/>
      <c r="AH664" s="15" t="n"/>
      <c r="AI664" s="15" t="n"/>
    </row>
    <row r="665">
      <c r="A665" s="4" t="inlineStr">
        <is>
          <t>Студент2.15</t>
        </is>
      </c>
      <c r="B665" s="4" t="inlineStr"/>
      <c r="C665" s="4" t="n"/>
      <c r="D665" s="4" t="n"/>
      <c r="E665" s="4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  <c r="O665" s="15" t="n"/>
      <c r="P665" s="15" t="n"/>
      <c r="Q665" s="15" t="n"/>
      <c r="R665" s="15" t="n"/>
      <c r="S665" s="15" t="n"/>
      <c r="T665" s="15" t="n"/>
      <c r="U665" s="15" t="n"/>
      <c r="V665" s="15" t="n"/>
      <c r="W665" s="15" t="n"/>
      <c r="X665" s="15" t="n"/>
      <c r="Y665" s="15" t="n"/>
      <c r="Z665" s="15" t="n"/>
      <c r="AA665" s="15" t="n"/>
      <c r="AB665" s="15" t="n"/>
      <c r="AC665" s="15" t="n"/>
      <c r="AD665" s="15" t="n"/>
      <c r="AE665" s="15" t="n"/>
      <c r="AF665" s="15" t="n"/>
      <c r="AG665" s="15" t="n"/>
      <c r="AH665" s="15" t="n"/>
      <c r="AI665" s="15" t="n"/>
    </row>
    <row r="666">
      <c r="A666" s="4" t="inlineStr">
        <is>
          <t>Студент2.16</t>
        </is>
      </c>
      <c r="B666" s="4" t="inlineStr"/>
      <c r="C666" s="4" t="n"/>
      <c r="D666" s="4" t="n"/>
      <c r="E666" s="4" t="n"/>
      <c r="F666" s="15" t="n"/>
      <c r="G666" s="15" t="n"/>
      <c r="H666" s="15" t="n"/>
      <c r="I666" s="15" t="n"/>
      <c r="J666" s="15" t="n"/>
      <c r="K666" s="15" t="n"/>
      <c r="L666" s="15" t="n"/>
      <c r="M666" s="15" t="n"/>
      <c r="N666" s="15" t="n"/>
      <c r="O666" s="15" t="n"/>
      <c r="P666" s="15" t="n"/>
      <c r="Q666" s="15" t="n"/>
      <c r="R666" s="15" t="n"/>
      <c r="S666" s="15" t="n"/>
      <c r="T666" s="15" t="n"/>
      <c r="U666" s="15" t="n"/>
      <c r="V666" s="15" t="n"/>
      <c r="W666" s="15" t="n"/>
      <c r="X666" s="15" t="n"/>
      <c r="Y666" s="15" t="n"/>
      <c r="Z666" s="15" t="n"/>
      <c r="AA666" s="15" t="n"/>
      <c r="AB666" s="15" t="n"/>
      <c r="AC666" s="15" t="n"/>
      <c r="AD666" s="15" t="n"/>
      <c r="AE666" s="15" t="n"/>
      <c r="AF666" s="15" t="n"/>
      <c r="AG666" s="15" t="n"/>
      <c r="AH666" s="15" t="n"/>
      <c r="AI666" s="15" t="n"/>
    </row>
    <row r="667">
      <c r="A667" s="4" t="inlineStr">
        <is>
          <t>Студент2.17</t>
        </is>
      </c>
      <c r="B667" s="4" t="inlineStr"/>
      <c r="C667" s="4" t="n"/>
      <c r="D667" s="4" t="n"/>
      <c r="E667" s="4" t="n"/>
      <c r="F667" s="15" t="n"/>
      <c r="G667" s="15" t="n"/>
      <c r="H667" s="15" t="n"/>
      <c r="I667" s="15" t="n"/>
      <c r="J667" s="15" t="n"/>
      <c r="K667" s="15" t="n"/>
      <c r="L667" s="15" t="n"/>
      <c r="M667" s="15" t="n"/>
      <c r="N667" s="15" t="n"/>
      <c r="O667" s="15" t="n"/>
      <c r="P667" s="15" t="n"/>
      <c r="Q667" s="15" t="n"/>
      <c r="R667" s="15" t="n"/>
      <c r="S667" s="15" t="n"/>
      <c r="T667" s="15" t="n"/>
      <c r="U667" s="15" t="n"/>
      <c r="V667" s="15" t="n"/>
      <c r="W667" s="15" t="n"/>
      <c r="X667" s="15" t="n"/>
      <c r="Y667" s="15" t="n"/>
      <c r="Z667" s="15" t="n"/>
      <c r="AA667" s="15" t="n"/>
      <c r="AB667" s="15" t="n"/>
      <c r="AC667" s="15" t="n"/>
      <c r="AD667" s="15" t="n"/>
      <c r="AE667" s="15" t="n"/>
      <c r="AF667" s="15" t="n"/>
      <c r="AG667" s="15" t="n"/>
      <c r="AH667" s="15" t="n"/>
      <c r="AI667" s="15" t="n"/>
    </row>
    <row r="668">
      <c r="A668" s="4" t="inlineStr">
        <is>
          <t>Студент2.18</t>
        </is>
      </c>
      <c r="B668" s="4" t="inlineStr"/>
      <c r="C668" s="4" t="n"/>
      <c r="D668" s="4" t="n"/>
      <c r="E668" s="4" t="n"/>
      <c r="F668" s="15" t="n"/>
      <c r="G668" s="15" t="n"/>
      <c r="H668" s="15" t="n"/>
      <c r="I668" s="15" t="n"/>
      <c r="J668" s="15" t="n"/>
      <c r="K668" s="15" t="n"/>
      <c r="L668" s="15" t="n"/>
      <c r="M668" s="15" t="n"/>
      <c r="N668" s="15" t="n"/>
      <c r="O668" s="15" t="n"/>
      <c r="P668" s="15" t="n"/>
      <c r="Q668" s="15" t="n"/>
      <c r="R668" s="15" t="n"/>
      <c r="S668" s="15" t="n"/>
      <c r="T668" s="15" t="n"/>
      <c r="U668" s="15" t="n"/>
      <c r="V668" s="15" t="n"/>
      <c r="W668" s="15" t="n"/>
      <c r="X668" s="15" t="n"/>
      <c r="Y668" s="15" t="n"/>
      <c r="Z668" s="15" t="n"/>
      <c r="AA668" s="15" t="n"/>
      <c r="AB668" s="15" t="n"/>
      <c r="AC668" s="15" t="n"/>
      <c r="AD668" s="15" t="n"/>
      <c r="AE668" s="15" t="n"/>
      <c r="AF668" s="15" t="n"/>
      <c r="AG668" s="15" t="n"/>
      <c r="AH668" s="15" t="n"/>
      <c r="AI668" s="15" t="n"/>
    </row>
    <row r="669">
      <c r="A669" s="4" t="inlineStr">
        <is>
          <t>Студент2.19</t>
        </is>
      </c>
      <c r="B669" s="4" t="inlineStr"/>
      <c r="C669" s="4" t="n"/>
      <c r="D669" s="4" t="n"/>
      <c r="E669" s="4" t="n"/>
      <c r="F669" s="15" t="n"/>
      <c r="G669" s="15" t="n"/>
      <c r="H669" s="15" t="n"/>
      <c r="I669" s="15" t="n"/>
      <c r="J669" s="15" t="n"/>
      <c r="K669" s="15" t="n"/>
      <c r="L669" s="15" t="n"/>
      <c r="M669" s="15" t="n"/>
      <c r="N669" s="15" t="n"/>
      <c r="O669" s="15" t="n"/>
      <c r="P669" s="15" t="n"/>
      <c r="Q669" s="15" t="n"/>
      <c r="R669" s="15" t="n"/>
      <c r="S669" s="15" t="n"/>
      <c r="T669" s="15" t="n"/>
      <c r="U669" s="15" t="n"/>
      <c r="V669" s="15" t="n"/>
      <c r="W669" s="15" t="n"/>
      <c r="X669" s="15" t="n"/>
      <c r="Y669" s="15" t="n"/>
      <c r="Z669" s="15" t="n"/>
      <c r="AA669" s="15" t="n"/>
      <c r="AB669" s="15" t="n"/>
      <c r="AC669" s="15" t="n"/>
      <c r="AD669" s="15" t="n"/>
      <c r="AE669" s="15" t="n"/>
      <c r="AF669" s="15" t="n"/>
      <c r="AG669" s="15" t="n"/>
      <c r="AH669" s="15" t="n"/>
      <c r="AI669" s="15" t="n"/>
    </row>
    <row r="670">
      <c r="A670" s="4" t="inlineStr">
        <is>
          <t>Студент2.20</t>
        </is>
      </c>
      <c r="B670" s="4" t="inlineStr"/>
      <c r="C670" s="4" t="n"/>
      <c r="D670" s="4" t="n"/>
      <c r="E670" s="4" t="n"/>
      <c r="F670" s="15" t="n"/>
      <c r="G670" s="15" t="n"/>
      <c r="H670" s="15" t="n"/>
      <c r="I670" s="15" t="n"/>
      <c r="J670" s="15" t="n"/>
      <c r="K670" s="15" t="n"/>
      <c r="L670" s="15" t="n"/>
      <c r="M670" s="15" t="n"/>
      <c r="N670" s="15" t="n"/>
      <c r="O670" s="15" t="n"/>
      <c r="P670" s="15" t="n"/>
      <c r="Q670" s="15" t="n"/>
      <c r="R670" s="15" t="n"/>
      <c r="S670" s="15" t="n"/>
      <c r="T670" s="15" t="n"/>
      <c r="U670" s="15" t="n"/>
      <c r="V670" s="15" t="n"/>
      <c r="W670" s="15" t="n"/>
      <c r="X670" s="15" t="n"/>
      <c r="Y670" s="15" t="n"/>
      <c r="Z670" s="15" t="n"/>
      <c r="AA670" s="15" t="n"/>
      <c r="AB670" s="15" t="n"/>
      <c r="AC670" s="15" t="n"/>
      <c r="AD670" s="15" t="n"/>
      <c r="AE670" s="15" t="n"/>
      <c r="AF670" s="15" t="n"/>
      <c r="AG670" s="15" t="n"/>
      <c r="AH670" s="15" t="n"/>
      <c r="AI670" s="15" t="n"/>
    </row>
    <row r="671">
      <c r="A671" s="4" t="inlineStr">
        <is>
          <t>Студент2.21</t>
        </is>
      </c>
      <c r="B671" s="4" t="inlineStr"/>
      <c r="C671" s="4" t="n"/>
      <c r="D671" s="4" t="n"/>
      <c r="E671" s="4" t="n"/>
      <c r="F671" s="15" t="n"/>
      <c r="G671" s="15" t="n"/>
      <c r="H671" s="15" t="n"/>
      <c r="I671" s="15" t="n"/>
      <c r="J671" s="15" t="n"/>
      <c r="K671" s="15" t="n"/>
      <c r="L671" s="15" t="n"/>
      <c r="M671" s="15" t="n"/>
      <c r="N671" s="15" t="n"/>
      <c r="O671" s="15" t="n"/>
      <c r="P671" s="15" t="n"/>
      <c r="Q671" s="15" t="n"/>
      <c r="R671" s="15" t="n"/>
      <c r="S671" s="15" t="n"/>
      <c r="T671" s="15" t="n"/>
      <c r="U671" s="15" t="n"/>
      <c r="V671" s="15" t="n"/>
      <c r="W671" s="15" t="n"/>
      <c r="X671" s="15" t="n"/>
      <c r="Y671" s="15" t="n"/>
      <c r="Z671" s="15" t="n"/>
      <c r="AA671" s="15" t="n"/>
      <c r="AB671" s="15" t="n"/>
      <c r="AC671" s="15" t="n"/>
      <c r="AD671" s="15" t="n"/>
      <c r="AE671" s="15" t="n"/>
      <c r="AF671" s="15" t="n"/>
      <c r="AG671" s="15" t="n"/>
      <c r="AH671" s="15" t="n"/>
      <c r="AI671" s="15" t="n"/>
    </row>
    <row r="672">
      <c r="A672" s="4" t="inlineStr">
        <is>
          <t>Студент2.22</t>
        </is>
      </c>
      <c r="B672" s="4" t="inlineStr"/>
      <c r="C672" s="4" t="n"/>
      <c r="D672" s="4" t="n"/>
      <c r="E672" s="4" t="n"/>
      <c r="F672" s="15" t="n"/>
      <c r="G672" s="15" t="n"/>
      <c r="H672" s="15" t="n"/>
      <c r="I672" s="15" t="n"/>
      <c r="J672" s="15" t="n"/>
      <c r="K672" s="15" t="n"/>
      <c r="L672" s="15" t="n"/>
      <c r="M672" s="15" t="n"/>
      <c r="N672" s="15" t="n"/>
      <c r="O672" s="15" t="n"/>
      <c r="P672" s="15" t="n"/>
      <c r="Q672" s="15" t="n"/>
      <c r="R672" s="15" t="n"/>
      <c r="S672" s="15" t="n"/>
      <c r="T672" s="15" t="n"/>
      <c r="U672" s="15" t="n"/>
      <c r="V672" s="15" t="n"/>
      <c r="W672" s="15" t="n"/>
      <c r="X672" s="15" t="n"/>
      <c r="Y672" s="15" t="n"/>
      <c r="Z672" s="15" t="n"/>
      <c r="AA672" s="15" t="n"/>
      <c r="AB672" s="15" t="n"/>
      <c r="AC672" s="15" t="n"/>
      <c r="AD672" s="15" t="n"/>
      <c r="AE672" s="15" t="n"/>
      <c r="AF672" s="15" t="n"/>
      <c r="AG672" s="15" t="n"/>
      <c r="AH672" s="15" t="n"/>
      <c r="AI672" s="15" t="n"/>
    </row>
    <row r="673">
      <c r="A673" s="4" t="inlineStr">
        <is>
          <t>Студент2.23</t>
        </is>
      </c>
      <c r="B673" s="4" t="inlineStr"/>
      <c r="C673" s="4" t="n"/>
      <c r="D673" s="4" t="n"/>
      <c r="E673" s="4" t="n"/>
      <c r="F673" s="15" t="n"/>
      <c r="G673" s="15" t="n"/>
      <c r="H673" s="15" t="n"/>
      <c r="I673" s="15" t="n"/>
      <c r="J673" s="15" t="n"/>
      <c r="K673" s="15" t="n"/>
      <c r="L673" s="15" t="n"/>
      <c r="M673" s="15" t="n"/>
      <c r="N673" s="15" t="n"/>
      <c r="O673" s="15" t="n"/>
      <c r="P673" s="15" t="n"/>
      <c r="Q673" s="15" t="n"/>
      <c r="R673" s="15" t="n"/>
      <c r="S673" s="15" t="n"/>
      <c r="T673" s="15" t="n"/>
      <c r="U673" s="15" t="n"/>
      <c r="V673" s="15" t="n"/>
      <c r="W673" s="15" t="n"/>
      <c r="X673" s="15" t="n"/>
      <c r="Y673" s="15" t="n"/>
      <c r="Z673" s="15" t="n"/>
      <c r="AA673" s="15" t="n"/>
      <c r="AB673" s="15" t="n"/>
      <c r="AC673" s="15" t="n"/>
      <c r="AD673" s="15" t="n"/>
      <c r="AE673" s="15" t="n"/>
      <c r="AF673" s="15" t="n"/>
      <c r="AG673" s="15" t="n"/>
      <c r="AH673" s="15" t="n"/>
      <c r="AI673" s="15" t="n"/>
    </row>
    <row r="674">
      <c r="A674" s="4" t="inlineStr">
        <is>
          <t>Студент2.24</t>
        </is>
      </c>
      <c r="B674" s="4" t="inlineStr"/>
      <c r="C674" s="4" t="n"/>
      <c r="D674" s="4" t="n"/>
      <c r="E674" s="4" t="n"/>
      <c r="F674" s="15" t="n"/>
      <c r="G674" s="15" t="n"/>
      <c r="H674" s="15" t="n"/>
      <c r="I674" s="15" t="n"/>
      <c r="J674" s="15" t="n"/>
      <c r="K674" s="15" t="n"/>
      <c r="L674" s="15" t="n"/>
      <c r="M674" s="15" t="n"/>
      <c r="N674" s="15" t="n"/>
      <c r="O674" s="15" t="n"/>
      <c r="P674" s="15" t="n"/>
      <c r="Q674" s="15" t="n"/>
      <c r="R674" s="15" t="n"/>
      <c r="S674" s="15" t="n"/>
      <c r="T674" s="15" t="n"/>
      <c r="U674" s="15" t="n"/>
      <c r="V674" s="15" t="n"/>
      <c r="W674" s="15" t="n"/>
      <c r="X674" s="15" t="n"/>
      <c r="Y674" s="15" t="n"/>
      <c r="Z674" s="15" t="n"/>
      <c r="AA674" s="15" t="n"/>
      <c r="AB674" s="15" t="n"/>
      <c r="AC674" s="15" t="n"/>
      <c r="AD674" s="15" t="n"/>
      <c r="AE674" s="15" t="n"/>
      <c r="AF674" s="15" t="n"/>
      <c r="AG674" s="15" t="n"/>
      <c r="AH674" s="15" t="n"/>
      <c r="AI674" s="15" t="n"/>
    </row>
    <row r="675">
      <c r="A675" s="4" t="inlineStr">
        <is>
          <t>Студент2.25</t>
        </is>
      </c>
      <c r="B675" s="4" t="inlineStr"/>
      <c r="C675" s="4" t="n"/>
      <c r="D675" s="4" t="n"/>
      <c r="E675" s="4" t="n"/>
      <c r="F675" s="15" t="n"/>
      <c r="G675" s="15" t="n"/>
      <c r="H675" s="15" t="n"/>
      <c r="I675" s="15" t="n"/>
      <c r="J675" s="15" t="n"/>
      <c r="K675" s="15" t="n"/>
      <c r="L675" s="15" t="n"/>
      <c r="M675" s="15" t="n"/>
      <c r="N675" s="15" t="n"/>
      <c r="O675" s="15" t="n"/>
      <c r="P675" s="15" t="n"/>
      <c r="Q675" s="15" t="n"/>
      <c r="R675" s="15" t="n"/>
      <c r="S675" s="15" t="n"/>
      <c r="T675" s="15" t="n"/>
      <c r="U675" s="15" t="n"/>
      <c r="V675" s="15" t="n"/>
      <c r="W675" s="15" t="n"/>
      <c r="X675" s="15" t="n"/>
      <c r="Y675" s="15" t="n"/>
      <c r="Z675" s="15" t="n"/>
      <c r="AA675" s="15" t="n"/>
      <c r="AB675" s="15" t="n"/>
      <c r="AC675" s="15" t="n"/>
      <c r="AD675" s="15" t="n"/>
      <c r="AE675" s="15" t="n"/>
      <c r="AF675" s="15" t="n"/>
      <c r="AG675" s="15" t="n"/>
      <c r="AH675" s="15" t="n"/>
      <c r="AI675" s="15" t="n"/>
    </row>
    <row r="676">
      <c r="A676" s="4" t="inlineStr">
        <is>
          <t>Студент2.26</t>
        </is>
      </c>
      <c r="B676" s="4" t="inlineStr"/>
      <c r="C676" s="4" t="n"/>
      <c r="D676" s="4" t="n"/>
      <c r="E676" s="4" t="n"/>
      <c r="F676" s="15" t="n"/>
      <c r="G676" s="15" t="n"/>
      <c r="H676" s="15" t="n"/>
      <c r="I676" s="15" t="n"/>
      <c r="J676" s="15" t="n"/>
      <c r="K676" s="15" t="n"/>
      <c r="L676" s="15" t="n"/>
      <c r="M676" s="15" t="n"/>
      <c r="N676" s="15" t="n"/>
      <c r="O676" s="15" t="n"/>
      <c r="P676" s="15" t="n"/>
      <c r="Q676" s="15" t="n"/>
      <c r="R676" s="15" t="n"/>
      <c r="S676" s="15" t="n"/>
      <c r="T676" s="15" t="n"/>
      <c r="U676" s="15" t="n"/>
      <c r="V676" s="15" t="n"/>
      <c r="W676" s="15" t="n"/>
      <c r="X676" s="15" t="n"/>
      <c r="Y676" s="15" t="n"/>
      <c r="Z676" s="15" t="n"/>
      <c r="AA676" s="15" t="n"/>
      <c r="AB676" s="15" t="n"/>
      <c r="AC676" s="15" t="n"/>
      <c r="AD676" s="15" t="n"/>
      <c r="AE676" s="15" t="n"/>
      <c r="AF676" s="15" t="n"/>
      <c r="AG676" s="15" t="n"/>
      <c r="AH676" s="15" t="n"/>
      <c r="AI676" s="15" t="n"/>
    </row>
    <row r="677">
      <c r="A677" s="4" t="inlineStr">
        <is>
          <t>Студент2.27</t>
        </is>
      </c>
      <c r="B677" s="4" t="inlineStr"/>
      <c r="C677" s="4" t="n"/>
      <c r="D677" s="4" t="n"/>
      <c r="E677" s="4" t="n"/>
      <c r="F677" s="15" t="n"/>
      <c r="G677" s="15" t="n"/>
      <c r="H677" s="15" t="n"/>
      <c r="I677" s="15" t="n"/>
      <c r="J677" s="15" t="n"/>
      <c r="K677" s="15" t="n"/>
      <c r="L677" s="15" t="n"/>
      <c r="M677" s="15" t="n"/>
      <c r="N677" s="15" t="n"/>
      <c r="O677" s="15" t="n"/>
      <c r="P677" s="15" t="n"/>
      <c r="Q677" s="15" t="n"/>
      <c r="R677" s="15" t="n"/>
      <c r="S677" s="15" t="n"/>
      <c r="T677" s="15" t="n"/>
      <c r="U677" s="15" t="n"/>
      <c r="V677" s="15" t="n"/>
      <c r="W677" s="15" t="n"/>
      <c r="X677" s="15" t="n"/>
      <c r="Y677" s="15" t="n"/>
      <c r="Z677" s="15" t="n"/>
      <c r="AA677" s="15" t="n"/>
      <c r="AB677" s="15" t="n"/>
      <c r="AC677" s="15" t="n"/>
      <c r="AD677" s="15" t="n"/>
      <c r="AE677" s="15" t="n"/>
      <c r="AF677" s="15" t="n"/>
      <c r="AG677" s="15" t="n"/>
      <c r="AH677" s="15" t="n"/>
      <c r="AI677" s="15" t="n"/>
    </row>
    <row r="678">
      <c r="A678" s="4" t="inlineStr">
        <is>
          <t>Студент2.28</t>
        </is>
      </c>
      <c r="B678" s="4" t="inlineStr"/>
      <c r="C678" s="4" t="n"/>
      <c r="D678" s="4" t="n"/>
      <c r="E678" s="4" t="n"/>
      <c r="F678" s="15" t="n"/>
      <c r="G678" s="15" t="n"/>
      <c r="H678" s="15" t="n"/>
      <c r="I678" s="15" t="n"/>
      <c r="J678" s="15" t="n"/>
      <c r="K678" s="15" t="n"/>
      <c r="L678" s="15" t="n"/>
      <c r="M678" s="15" t="n"/>
      <c r="N678" s="15" t="n"/>
      <c r="O678" s="15" t="n"/>
      <c r="P678" s="15" t="n"/>
      <c r="Q678" s="15" t="n"/>
      <c r="R678" s="15" t="n"/>
      <c r="S678" s="15" t="n"/>
      <c r="T678" s="15" t="n"/>
      <c r="U678" s="15" t="n"/>
      <c r="V678" s="15" t="n"/>
      <c r="W678" s="15" t="n"/>
      <c r="X678" s="15" t="n"/>
      <c r="Y678" s="15" t="n"/>
      <c r="Z678" s="15" t="n"/>
      <c r="AA678" s="15" t="n"/>
      <c r="AB678" s="15" t="n"/>
      <c r="AC678" s="15" t="n"/>
      <c r="AD678" s="15" t="n"/>
      <c r="AE678" s="15" t="n"/>
      <c r="AF678" s="15" t="n"/>
      <c r="AG678" s="15" t="n"/>
      <c r="AH678" s="15" t="n"/>
      <c r="AI678" s="15" t="n"/>
    </row>
    <row r="679">
      <c r="A679" s="4" t="inlineStr">
        <is>
          <t>Студент2.29</t>
        </is>
      </c>
      <c r="B679" s="4" t="inlineStr"/>
      <c r="C679" s="4" t="n"/>
      <c r="D679" s="4" t="n"/>
      <c r="E679" s="4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5" t="n"/>
      <c r="P679" s="15" t="n"/>
      <c r="Q679" s="15" t="n"/>
      <c r="R679" s="15" t="n"/>
      <c r="S679" s="15" t="n"/>
      <c r="T679" s="15" t="n"/>
      <c r="U679" s="15" t="n"/>
      <c r="V679" s="15" t="n"/>
      <c r="W679" s="15" t="n"/>
      <c r="X679" s="15" t="n"/>
      <c r="Y679" s="15" t="n"/>
      <c r="Z679" s="15" t="n"/>
      <c r="AA679" s="15" t="n"/>
      <c r="AB679" s="15" t="n"/>
      <c r="AC679" s="15" t="n"/>
      <c r="AD679" s="15" t="n"/>
      <c r="AE679" s="15" t="n"/>
      <c r="AF679" s="15" t="n"/>
      <c r="AG679" s="15" t="n"/>
      <c r="AH679" s="15" t="n"/>
      <c r="AI679" s="15" t="n"/>
    </row>
    <row r="680">
      <c r="A680" s="4" t="inlineStr">
        <is>
          <t>Студент2.30</t>
        </is>
      </c>
      <c r="B680" s="4" t="inlineStr"/>
      <c r="C680" s="4" t="n"/>
      <c r="D680" s="4" t="n"/>
      <c r="E680" s="4" t="n"/>
      <c r="F680" s="15" t="n"/>
      <c r="G680" s="15" t="n"/>
      <c r="H680" s="15" t="n"/>
      <c r="I680" s="15" t="n"/>
      <c r="J680" s="15" t="n"/>
      <c r="K680" s="15" t="n"/>
      <c r="L680" s="15" t="n"/>
      <c r="M680" s="15" t="n"/>
      <c r="N680" s="15" t="n"/>
      <c r="O680" s="15" t="n"/>
      <c r="P680" s="15" t="n"/>
      <c r="Q680" s="15" t="n"/>
      <c r="R680" s="15" t="n"/>
      <c r="S680" s="15" t="n"/>
      <c r="T680" s="15" t="n"/>
      <c r="U680" s="15" t="n"/>
      <c r="V680" s="15" t="n"/>
      <c r="W680" s="15" t="n"/>
      <c r="X680" s="15" t="n"/>
      <c r="Y680" s="15" t="n"/>
      <c r="Z680" s="15" t="n"/>
      <c r="AA680" s="15" t="n"/>
      <c r="AB680" s="15" t="n"/>
      <c r="AC680" s="15" t="n"/>
      <c r="AD680" s="15" t="n"/>
      <c r="AE680" s="15" t="n"/>
      <c r="AF680" s="15" t="n"/>
      <c r="AG680" s="15" t="n"/>
      <c r="AH680" s="15" t="n"/>
      <c r="AI680" s="15" t="n"/>
    </row>
    <row r="684">
      <c r="A684" s="13" t="inlineStr">
        <is>
          <t>Практика 11 — плюсы</t>
        </is>
      </c>
    </row>
    <row r="685" ht="28" customHeight="1">
      <c r="A685" s="7" t="inlineStr">
        <is>
          <t>Имя</t>
        </is>
      </c>
      <c r="B685" s="9" t="inlineStr">
        <is>
          <t>TG</t>
        </is>
      </c>
      <c r="C685" s="10" t="inlineStr">
        <is>
          <t>S</t>
        </is>
      </c>
      <c r="D685" s="8" t="inlineStr">
        <is>
          <t>Коэффициент</t>
        </is>
      </c>
      <c r="E685" s="14" t="inlineStr">
        <is>
          <t>D за практику</t>
        </is>
      </c>
      <c r="F685" s="11" t="inlineStr">
        <is>
          <t>1.0</t>
        </is>
      </c>
      <c r="G685" s="11" t="inlineStr">
        <is>
          <t>2.0</t>
        </is>
      </c>
      <c r="H685" s="11" t="inlineStr">
        <is>
          <t>3.0</t>
        </is>
      </c>
      <c r="I685" s="11" t="inlineStr">
        <is>
          <t>4.0</t>
        </is>
      </c>
      <c r="J685" s="11" t="inlineStr">
        <is>
          <t>5.0</t>
        </is>
      </c>
      <c r="K685" s="11" t="inlineStr">
        <is>
          <t>6</t>
        </is>
      </c>
      <c r="L685" s="11" t="inlineStr">
        <is>
          <t>7</t>
        </is>
      </c>
      <c r="M685" s="11" t="inlineStr">
        <is>
          <t>8</t>
        </is>
      </c>
      <c r="N685" s="11" t="inlineStr">
        <is>
          <t>9</t>
        </is>
      </c>
      <c r="O685" s="11" t="inlineStr">
        <is>
          <t>10</t>
        </is>
      </c>
      <c r="P685" s="11" t="inlineStr">
        <is>
          <t>11</t>
        </is>
      </c>
      <c r="Q685" s="11" t="inlineStr">
        <is>
          <t>12</t>
        </is>
      </c>
      <c r="R685" s="11" t="inlineStr">
        <is>
          <t>13</t>
        </is>
      </c>
      <c r="S685" s="11" t="inlineStr">
        <is>
          <t>14</t>
        </is>
      </c>
      <c r="T685" s="11" t="inlineStr">
        <is>
          <t>15</t>
        </is>
      </c>
      <c r="U685" s="11" t="inlineStr">
        <is>
          <t>16</t>
        </is>
      </c>
      <c r="V685" s="11" t="inlineStr">
        <is>
          <t>17</t>
        </is>
      </c>
      <c r="W685" s="11" t="inlineStr">
        <is>
          <t>18</t>
        </is>
      </c>
      <c r="X685" s="11" t="inlineStr">
        <is>
          <t>19</t>
        </is>
      </c>
      <c r="Y685" s="11" t="inlineStr">
        <is>
          <t>20</t>
        </is>
      </c>
      <c r="Z685" s="11" t="inlineStr">
        <is>
          <t>21</t>
        </is>
      </c>
      <c r="AA685" s="11" t="inlineStr">
        <is>
          <t>22</t>
        </is>
      </c>
      <c r="AB685" s="11" t="inlineStr">
        <is>
          <t>23</t>
        </is>
      </c>
      <c r="AC685" s="11" t="inlineStr">
        <is>
          <t>24</t>
        </is>
      </c>
      <c r="AD685" s="11" t="inlineStr">
        <is>
          <t>25</t>
        </is>
      </c>
      <c r="AE685" s="11" t="inlineStr">
        <is>
          <t>26</t>
        </is>
      </c>
      <c r="AF685" s="11" t="inlineStr">
        <is>
          <t>27</t>
        </is>
      </c>
      <c r="AG685" s="11" t="inlineStr">
        <is>
          <t>28</t>
        </is>
      </c>
      <c r="AH685" s="11" t="inlineStr">
        <is>
          <t>29</t>
        </is>
      </c>
      <c r="AI685" s="11" t="inlineStr">
        <is>
          <t>30</t>
        </is>
      </c>
    </row>
    <row r="686">
      <c r="A686" s="4" t="inlineStr">
        <is>
          <t>Студент2.1</t>
        </is>
      </c>
      <c r="B686" s="4" t="inlineStr"/>
      <c r="C686" s="4">
        <f>IF(A686="","",COUNTIF(F686:AI686,"+")+COUNTIF(F686:AI686,"1"))</f>
        <v/>
      </c>
      <c r="D686" s="4">
        <f>IF(A686="","",IF(C686&gt;2*COUNTA(F$685:AI$685)/3,1,IF(C686&gt;=COUNTA(F$685:AI$685)/2,0.8,0.5)))</f>
        <v/>
      </c>
      <c r="E686" s="4">
        <f>IF(A686="","",SUMIFS('Логи'!$H$4:$H$3006,'Логи'!$A$4:$A$3006,A686,'Логи'!$C$4:$C$3006,11))</f>
        <v/>
      </c>
      <c r="F686" s="15" t="n"/>
      <c r="G686" s="15" t="n"/>
      <c r="H686" s="15" t="n"/>
      <c r="I686" s="15" t="n"/>
      <c r="J686" s="15" t="n"/>
      <c r="K686" s="15" t="n"/>
      <c r="L686" s="15" t="n"/>
      <c r="M686" s="15" t="n"/>
      <c r="N686" s="15" t="n"/>
      <c r="O686" s="15" t="n"/>
      <c r="P686" s="15" t="n"/>
      <c r="Q686" s="15" t="n"/>
      <c r="R686" s="15" t="n"/>
      <c r="S686" s="15" t="n"/>
      <c r="T686" s="15" t="n"/>
      <c r="U686" s="15" t="n"/>
      <c r="V686" s="15" t="n"/>
      <c r="W686" s="15" t="n"/>
      <c r="X686" s="15" t="n"/>
      <c r="Y686" s="15" t="n"/>
      <c r="Z686" s="15" t="n"/>
      <c r="AA686" s="15" t="n"/>
      <c r="AB686" s="15" t="n"/>
      <c r="AC686" s="15" t="n"/>
      <c r="AD686" s="15" t="n"/>
      <c r="AE686" s="15" t="n"/>
      <c r="AF686" s="15" t="n"/>
      <c r="AG686" s="15" t="n"/>
      <c r="AH686" s="15" t="n"/>
      <c r="AI686" s="15" t="n"/>
    </row>
    <row r="687">
      <c r="A687" s="4" t="inlineStr">
        <is>
          <t>Студент2.2</t>
        </is>
      </c>
      <c r="B687" s="4" t="inlineStr"/>
      <c r="C687" s="4">
        <f>IF(A687="","",COUNTIF(F687:AI687,"+")+COUNTIF(F687:AI687,"1"))</f>
        <v/>
      </c>
      <c r="D687" s="4">
        <f>IF(A687="","",IF(C687&gt;2*COUNTA(F$685:AI$685)/3,1,IF(C687&gt;=COUNTA(F$685:AI$685)/2,0.8,0.5)))</f>
        <v/>
      </c>
      <c r="E687" s="4">
        <f>IF(A687="","",SUMIFS('Логи'!$H$4:$H$3006,'Логи'!$A$4:$A$3006,A687,'Логи'!$C$4:$C$3006,11))</f>
        <v/>
      </c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5" t="n"/>
      <c r="P687" s="15" t="n"/>
      <c r="Q687" s="15" t="n"/>
      <c r="R687" s="15" t="n"/>
      <c r="S687" s="15" t="n"/>
      <c r="T687" s="15" t="n"/>
      <c r="U687" s="15" t="n"/>
      <c r="V687" s="15" t="n"/>
      <c r="W687" s="15" t="n"/>
      <c r="X687" s="15" t="n"/>
      <c r="Y687" s="15" t="n"/>
      <c r="Z687" s="15" t="n"/>
      <c r="AA687" s="15" t="n"/>
      <c r="AB687" s="15" t="n"/>
      <c r="AC687" s="15" t="n"/>
      <c r="AD687" s="15" t="n"/>
      <c r="AE687" s="15" t="n"/>
      <c r="AF687" s="15" t="n"/>
      <c r="AG687" s="15" t="n"/>
      <c r="AH687" s="15" t="n"/>
      <c r="AI687" s="15" t="n"/>
    </row>
    <row r="688">
      <c r="A688" s="4" t="inlineStr">
        <is>
          <t>Студент2.3</t>
        </is>
      </c>
      <c r="B688" s="4" t="inlineStr"/>
      <c r="C688" s="4">
        <f>IF(A688="","",COUNTIF(F688:AI688,"+")+COUNTIF(F688:AI688,"1"))</f>
        <v/>
      </c>
      <c r="D688" s="4">
        <f>IF(A688="","",IF(C688&gt;2*COUNTA(F$685:AI$685)/3,1,IF(C688&gt;=COUNTA(F$685:AI$685)/2,0.8,0.5)))</f>
        <v/>
      </c>
      <c r="E688" s="4">
        <f>IF(A688="","",SUMIFS('Логи'!$H$4:$H$3006,'Логи'!$A$4:$A$3006,A688,'Логи'!$C$4:$C$3006,11))</f>
        <v/>
      </c>
      <c r="F688" s="15" t="n"/>
      <c r="G688" s="15" t="n"/>
      <c r="H688" s="15" t="n"/>
      <c r="I688" s="15" t="n"/>
      <c r="J688" s="15" t="n"/>
      <c r="K688" s="15" t="n"/>
      <c r="L688" s="15" t="n"/>
      <c r="M688" s="15" t="n"/>
      <c r="N688" s="15" t="n"/>
      <c r="O688" s="15" t="n"/>
      <c r="P688" s="15" t="n"/>
      <c r="Q688" s="15" t="n"/>
      <c r="R688" s="15" t="n"/>
      <c r="S688" s="15" t="n"/>
      <c r="T688" s="15" t="n"/>
      <c r="U688" s="15" t="n"/>
      <c r="V688" s="15" t="n"/>
      <c r="W688" s="15" t="n"/>
      <c r="X688" s="15" t="n"/>
      <c r="Y688" s="15" t="n"/>
      <c r="Z688" s="15" t="n"/>
      <c r="AA688" s="15" t="n"/>
      <c r="AB688" s="15" t="n"/>
      <c r="AC688" s="15" t="n"/>
      <c r="AD688" s="15" t="n"/>
      <c r="AE688" s="15" t="n"/>
      <c r="AF688" s="15" t="n"/>
      <c r="AG688" s="15" t="n"/>
      <c r="AH688" s="15" t="n"/>
      <c r="AI688" s="15" t="n"/>
    </row>
    <row r="689">
      <c r="A689" s="4" t="inlineStr">
        <is>
          <t>Студент2.4</t>
        </is>
      </c>
      <c r="B689" s="4" t="inlineStr"/>
      <c r="C689" s="4">
        <f>IF(A689="","",COUNTIF(F689:AI689,"+")+COUNTIF(F689:AI689,"1"))</f>
        <v/>
      </c>
      <c r="D689" s="4">
        <f>IF(A689="","",IF(C689&gt;2*COUNTA(F$685:AI$685)/3,1,IF(C689&gt;=COUNTA(F$685:AI$685)/2,0.8,0.5)))</f>
        <v/>
      </c>
      <c r="E689" s="4">
        <f>IF(A689="","",SUMIFS('Логи'!$H$4:$H$3006,'Логи'!$A$4:$A$3006,A689,'Логи'!$C$4:$C$3006,11))</f>
        <v/>
      </c>
      <c r="F689" s="15" t="n"/>
      <c r="G689" s="15" t="n"/>
      <c r="H689" s="15" t="n"/>
      <c r="I689" s="15" t="n"/>
      <c r="J689" s="15" t="n"/>
      <c r="K689" s="15" t="n"/>
      <c r="L689" s="15" t="n"/>
      <c r="M689" s="15" t="n"/>
      <c r="N689" s="15" t="n"/>
      <c r="O689" s="15" t="n"/>
      <c r="P689" s="15" t="n"/>
      <c r="Q689" s="15" t="n"/>
      <c r="R689" s="15" t="n"/>
      <c r="S689" s="15" t="n"/>
      <c r="T689" s="15" t="n"/>
      <c r="U689" s="15" t="n"/>
      <c r="V689" s="15" t="n"/>
      <c r="W689" s="15" t="n"/>
      <c r="X689" s="15" t="n"/>
      <c r="Y689" s="15" t="n"/>
      <c r="Z689" s="15" t="n"/>
      <c r="AA689" s="15" t="n"/>
      <c r="AB689" s="15" t="n"/>
      <c r="AC689" s="15" t="n"/>
      <c r="AD689" s="15" t="n"/>
      <c r="AE689" s="15" t="n"/>
      <c r="AF689" s="15" t="n"/>
      <c r="AG689" s="15" t="n"/>
      <c r="AH689" s="15" t="n"/>
      <c r="AI689" s="15" t="n"/>
    </row>
    <row r="690">
      <c r="A690" s="4" t="inlineStr">
        <is>
          <t>Студент2.5</t>
        </is>
      </c>
      <c r="B690" s="4" t="inlineStr"/>
      <c r="C690" s="4">
        <f>IF(A690="","",COUNTIF(F690:AI690,"+")+COUNTIF(F690:AI690,"1"))</f>
        <v/>
      </c>
      <c r="D690" s="4">
        <f>IF(A690="","",IF(C690&gt;2*COUNTA(F$685:AI$685)/3,1,IF(C690&gt;=COUNTA(F$685:AI$685)/2,0.8,0.5)))</f>
        <v/>
      </c>
      <c r="E690" s="4">
        <f>IF(A690="","",SUMIFS('Логи'!$H$4:$H$3006,'Логи'!$A$4:$A$3006,A690,'Логи'!$C$4:$C$3006,11))</f>
        <v/>
      </c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  <c r="O690" s="15" t="n"/>
      <c r="P690" s="15" t="n"/>
      <c r="Q690" s="15" t="n"/>
      <c r="R690" s="15" t="n"/>
      <c r="S690" s="15" t="n"/>
      <c r="T690" s="15" t="n"/>
      <c r="U690" s="15" t="n"/>
      <c r="V690" s="15" t="n"/>
      <c r="W690" s="15" t="n"/>
      <c r="X690" s="15" t="n"/>
      <c r="Y690" s="15" t="n"/>
      <c r="Z690" s="15" t="n"/>
      <c r="AA690" s="15" t="n"/>
      <c r="AB690" s="15" t="n"/>
      <c r="AC690" s="15" t="n"/>
      <c r="AD690" s="15" t="n"/>
      <c r="AE690" s="15" t="n"/>
      <c r="AF690" s="15" t="n"/>
      <c r="AG690" s="15" t="n"/>
      <c r="AH690" s="15" t="n"/>
      <c r="AI690" s="15" t="n"/>
    </row>
    <row r="691">
      <c r="A691" s="4" t="inlineStr">
        <is>
          <t>Студент2.6</t>
        </is>
      </c>
      <c r="B691" s="4" t="inlineStr"/>
      <c r="C691" s="4">
        <f>IF(A691="","",COUNTIF(F691:AI691,"+")+COUNTIF(F691:AI691,"1"))</f>
        <v/>
      </c>
      <c r="D691" s="4">
        <f>IF(A691="","",IF(C691&gt;2*COUNTA(F$685:AI$685)/3,1,IF(C691&gt;=COUNTA(F$685:AI$685)/2,0.8,0.5)))</f>
        <v/>
      </c>
      <c r="E691" s="4">
        <f>IF(A691="","",SUMIFS('Логи'!$H$4:$H$3006,'Логи'!$A$4:$A$3006,A691,'Логи'!$C$4:$C$3006,11))</f>
        <v/>
      </c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  <c r="O691" s="15" t="n"/>
      <c r="P691" s="15" t="n"/>
      <c r="Q691" s="15" t="n"/>
      <c r="R691" s="15" t="n"/>
      <c r="S691" s="15" t="n"/>
      <c r="T691" s="15" t="n"/>
      <c r="U691" s="15" t="n"/>
      <c r="V691" s="15" t="n"/>
      <c r="W691" s="15" t="n"/>
      <c r="X691" s="15" t="n"/>
      <c r="Y691" s="15" t="n"/>
      <c r="Z691" s="15" t="n"/>
      <c r="AA691" s="15" t="n"/>
      <c r="AB691" s="15" t="n"/>
      <c r="AC691" s="15" t="n"/>
      <c r="AD691" s="15" t="n"/>
      <c r="AE691" s="15" t="n"/>
      <c r="AF691" s="15" t="n"/>
      <c r="AG691" s="15" t="n"/>
      <c r="AH691" s="15" t="n"/>
      <c r="AI691" s="15" t="n"/>
    </row>
    <row r="692">
      <c r="A692" s="4" t="inlineStr">
        <is>
          <t>Студент2.7</t>
        </is>
      </c>
      <c r="B692" s="4" t="inlineStr"/>
      <c r="C692" s="4">
        <f>IF(A692="","",COUNTIF(F692:AI692,"+")+COUNTIF(F692:AI692,"1"))</f>
        <v/>
      </c>
      <c r="D692" s="4">
        <f>IF(A692="","",IF(C692&gt;2*COUNTA(F$685:AI$685)/3,1,IF(C692&gt;=COUNTA(F$685:AI$685)/2,0.8,0.5)))</f>
        <v/>
      </c>
      <c r="E692" s="4">
        <f>IF(A692="","",SUMIFS('Логи'!$H$4:$H$3006,'Логи'!$A$4:$A$3006,A692,'Логи'!$C$4:$C$3006,11))</f>
        <v/>
      </c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  <c r="O692" s="15" t="n"/>
      <c r="P692" s="15" t="n"/>
      <c r="Q692" s="15" t="n"/>
      <c r="R692" s="15" t="n"/>
      <c r="S692" s="15" t="n"/>
      <c r="T692" s="15" t="n"/>
      <c r="U692" s="15" t="n"/>
      <c r="V692" s="15" t="n"/>
      <c r="W692" s="15" t="n"/>
      <c r="X692" s="15" t="n"/>
      <c r="Y692" s="15" t="n"/>
      <c r="Z692" s="15" t="n"/>
      <c r="AA692" s="15" t="n"/>
      <c r="AB692" s="15" t="n"/>
      <c r="AC692" s="15" t="n"/>
      <c r="AD692" s="15" t="n"/>
      <c r="AE692" s="15" t="n"/>
      <c r="AF692" s="15" t="n"/>
      <c r="AG692" s="15" t="n"/>
      <c r="AH692" s="15" t="n"/>
      <c r="AI692" s="15" t="n"/>
    </row>
    <row r="693">
      <c r="A693" s="4" t="inlineStr">
        <is>
          <t>Студент2.8</t>
        </is>
      </c>
      <c r="B693" s="4" t="inlineStr"/>
      <c r="C693" s="4">
        <f>IF(A693="","",COUNTIF(F693:AI693,"+")+COUNTIF(F693:AI693,"1"))</f>
        <v/>
      </c>
      <c r="D693" s="4">
        <f>IF(A693="","",IF(C693&gt;2*COUNTA(F$685:AI$685)/3,1,IF(C693&gt;=COUNTA(F$685:AI$685)/2,0.8,0.5)))</f>
        <v/>
      </c>
      <c r="E693" s="4">
        <f>IF(A693="","",SUMIFS('Логи'!$H$4:$H$3006,'Логи'!$A$4:$A$3006,A693,'Логи'!$C$4:$C$3006,11))</f>
        <v/>
      </c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  <c r="O693" s="15" t="n"/>
      <c r="P693" s="15" t="n"/>
      <c r="Q693" s="15" t="n"/>
      <c r="R693" s="15" t="n"/>
      <c r="S693" s="15" t="n"/>
      <c r="T693" s="15" t="n"/>
      <c r="U693" s="15" t="n"/>
      <c r="V693" s="15" t="n"/>
      <c r="W693" s="15" t="n"/>
      <c r="X693" s="15" t="n"/>
      <c r="Y693" s="15" t="n"/>
      <c r="Z693" s="15" t="n"/>
      <c r="AA693" s="15" t="n"/>
      <c r="AB693" s="15" t="n"/>
      <c r="AC693" s="15" t="n"/>
      <c r="AD693" s="15" t="n"/>
      <c r="AE693" s="15" t="n"/>
      <c r="AF693" s="15" t="n"/>
      <c r="AG693" s="15" t="n"/>
      <c r="AH693" s="15" t="n"/>
      <c r="AI693" s="15" t="n"/>
    </row>
    <row r="694">
      <c r="A694" s="4" t="inlineStr">
        <is>
          <t>Студент2.9</t>
        </is>
      </c>
      <c r="B694" s="4" t="inlineStr"/>
      <c r="C694" s="4">
        <f>IF(A694="","",COUNTIF(F694:AI694,"+")+COUNTIF(F694:AI694,"1"))</f>
        <v/>
      </c>
      <c r="D694" s="4">
        <f>IF(A694="","",IF(C694&gt;2*COUNTA(F$685:AI$685)/3,1,IF(C694&gt;=COUNTA(F$685:AI$685)/2,0.8,0.5)))</f>
        <v/>
      </c>
      <c r="E694" s="4">
        <f>IF(A694="","",SUMIFS('Логи'!$H$4:$H$3006,'Логи'!$A$4:$A$3006,A694,'Логи'!$C$4:$C$3006,11))</f>
        <v/>
      </c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  <c r="O694" s="15" t="n"/>
      <c r="P694" s="15" t="n"/>
      <c r="Q694" s="15" t="n"/>
      <c r="R694" s="15" t="n"/>
      <c r="S694" s="15" t="n"/>
      <c r="T694" s="15" t="n"/>
      <c r="U694" s="15" t="n"/>
      <c r="V694" s="15" t="n"/>
      <c r="W694" s="15" t="n"/>
      <c r="X694" s="15" t="n"/>
      <c r="Y694" s="15" t="n"/>
      <c r="Z694" s="15" t="n"/>
      <c r="AA694" s="15" t="n"/>
      <c r="AB694" s="15" t="n"/>
      <c r="AC694" s="15" t="n"/>
      <c r="AD694" s="15" t="n"/>
      <c r="AE694" s="15" t="n"/>
      <c r="AF694" s="15" t="n"/>
      <c r="AG694" s="15" t="n"/>
      <c r="AH694" s="15" t="n"/>
      <c r="AI694" s="15" t="n"/>
    </row>
    <row r="695">
      <c r="A695" s="4" t="inlineStr">
        <is>
          <t>Студент2.10</t>
        </is>
      </c>
      <c r="B695" s="4" t="inlineStr"/>
      <c r="C695" s="4">
        <f>IF(A695="","",COUNTIF(F695:AI695,"+")+COUNTIF(F695:AI695,"1"))</f>
        <v/>
      </c>
      <c r="D695" s="4">
        <f>IF(A695="","",IF(C695&gt;2*COUNTA(F$685:AI$685)/3,1,IF(C695&gt;=COUNTA(F$685:AI$685)/2,0.8,0.5)))</f>
        <v/>
      </c>
      <c r="E695" s="4">
        <f>IF(A695="","",SUMIFS('Логи'!$H$4:$H$3006,'Логи'!$A$4:$A$3006,A695,'Логи'!$C$4:$C$3006,11))</f>
        <v/>
      </c>
      <c r="F695" s="15" t="n"/>
      <c r="G695" s="15" t="n"/>
      <c r="H695" s="15" t="n"/>
      <c r="I695" s="15" t="n"/>
      <c r="J695" s="15" t="n"/>
      <c r="K695" s="15" t="n"/>
      <c r="L695" s="15" t="n"/>
      <c r="M695" s="15" t="n"/>
      <c r="N695" s="15" t="n"/>
      <c r="O695" s="15" t="n"/>
      <c r="P695" s="15" t="n"/>
      <c r="Q695" s="15" t="n"/>
      <c r="R695" s="15" t="n"/>
      <c r="S695" s="15" t="n"/>
      <c r="T695" s="15" t="n"/>
      <c r="U695" s="15" t="n"/>
      <c r="V695" s="15" t="n"/>
      <c r="W695" s="15" t="n"/>
      <c r="X695" s="15" t="n"/>
      <c r="Y695" s="15" t="n"/>
      <c r="Z695" s="15" t="n"/>
      <c r="AA695" s="15" t="n"/>
      <c r="AB695" s="15" t="n"/>
      <c r="AC695" s="15" t="n"/>
      <c r="AD695" s="15" t="n"/>
      <c r="AE695" s="15" t="n"/>
      <c r="AF695" s="15" t="n"/>
      <c r="AG695" s="15" t="n"/>
      <c r="AH695" s="15" t="n"/>
      <c r="AI695" s="15" t="n"/>
    </row>
    <row r="696">
      <c r="A696" s="4" t="inlineStr">
        <is>
          <t>Студент2.11</t>
        </is>
      </c>
      <c r="B696" s="4" t="inlineStr"/>
      <c r="C696" s="4">
        <f>IF(A696="","",COUNTIF(F696:AI696,"+")+COUNTIF(F696:AI696,"1"))</f>
        <v/>
      </c>
      <c r="D696" s="4">
        <f>IF(A696="","",IF(C696&gt;2*COUNTA(F$685:AI$685)/3,1,IF(C696&gt;=COUNTA(F$685:AI$685)/2,0.8,0.5)))</f>
        <v/>
      </c>
      <c r="E696" s="4">
        <f>IF(A696="","",SUMIFS('Логи'!$H$4:$H$3006,'Логи'!$A$4:$A$3006,A696,'Логи'!$C$4:$C$3006,11))</f>
        <v/>
      </c>
      <c r="F696" s="15" t="n"/>
      <c r="G696" s="15" t="n"/>
      <c r="H696" s="15" t="n"/>
      <c r="I696" s="15" t="n"/>
      <c r="J696" s="15" t="n"/>
      <c r="K696" s="15" t="n"/>
      <c r="L696" s="15" t="n"/>
      <c r="M696" s="15" t="n"/>
      <c r="N696" s="15" t="n"/>
      <c r="O696" s="15" t="n"/>
      <c r="P696" s="15" t="n"/>
      <c r="Q696" s="15" t="n"/>
      <c r="R696" s="15" t="n"/>
      <c r="S696" s="15" t="n"/>
      <c r="T696" s="15" t="n"/>
      <c r="U696" s="15" t="n"/>
      <c r="V696" s="15" t="n"/>
      <c r="W696" s="15" t="n"/>
      <c r="X696" s="15" t="n"/>
      <c r="Y696" s="15" t="n"/>
      <c r="Z696" s="15" t="n"/>
      <c r="AA696" s="15" t="n"/>
      <c r="AB696" s="15" t="n"/>
      <c r="AC696" s="15" t="n"/>
      <c r="AD696" s="15" t="n"/>
      <c r="AE696" s="15" t="n"/>
      <c r="AF696" s="15" t="n"/>
      <c r="AG696" s="15" t="n"/>
      <c r="AH696" s="15" t="n"/>
      <c r="AI696" s="15" t="n"/>
    </row>
    <row r="697">
      <c r="A697" s="4" t="inlineStr">
        <is>
          <t>Студент2.12</t>
        </is>
      </c>
      <c r="B697" s="4" t="inlineStr"/>
      <c r="C697" s="4">
        <f>IF(A697="","",COUNTIF(F697:AI697,"+")+COUNTIF(F697:AI697,"1"))</f>
        <v/>
      </c>
      <c r="D697" s="4">
        <f>IF(A697="","",IF(C697&gt;2*COUNTA(F$685:AI$685)/3,1,IF(C697&gt;=COUNTA(F$685:AI$685)/2,0.8,0.5)))</f>
        <v/>
      </c>
      <c r="E697" s="4">
        <f>IF(A697="","",SUMIFS('Логи'!$H$4:$H$3006,'Логи'!$A$4:$A$3006,A697,'Логи'!$C$4:$C$3006,11))</f>
        <v/>
      </c>
      <c r="F697" s="15" t="n"/>
      <c r="G697" s="15" t="n"/>
      <c r="H697" s="15" t="n"/>
      <c r="I697" s="15" t="n"/>
      <c r="J697" s="15" t="n"/>
      <c r="K697" s="15" t="n"/>
      <c r="L697" s="15" t="n"/>
      <c r="M697" s="15" t="n"/>
      <c r="N697" s="15" t="n"/>
      <c r="O697" s="15" t="n"/>
      <c r="P697" s="15" t="n"/>
      <c r="Q697" s="15" t="n"/>
      <c r="R697" s="15" t="n"/>
      <c r="S697" s="15" t="n"/>
      <c r="T697" s="15" t="n"/>
      <c r="U697" s="15" t="n"/>
      <c r="V697" s="15" t="n"/>
      <c r="W697" s="15" t="n"/>
      <c r="X697" s="15" t="n"/>
      <c r="Y697" s="15" t="n"/>
      <c r="Z697" s="15" t="n"/>
      <c r="AA697" s="15" t="n"/>
      <c r="AB697" s="15" t="n"/>
      <c r="AC697" s="15" t="n"/>
      <c r="AD697" s="15" t="n"/>
      <c r="AE697" s="15" t="n"/>
      <c r="AF697" s="15" t="n"/>
      <c r="AG697" s="15" t="n"/>
      <c r="AH697" s="15" t="n"/>
      <c r="AI697" s="15" t="n"/>
    </row>
    <row r="698">
      <c r="A698" s="4" t="inlineStr">
        <is>
          <t>Студент2.13</t>
        </is>
      </c>
      <c r="B698" s="4" t="inlineStr"/>
      <c r="C698" s="4">
        <f>IF(A698="","",COUNTIF(F698:AI698,"+")+COUNTIF(F698:AI698,"1"))</f>
        <v/>
      </c>
      <c r="D698" s="4">
        <f>IF(A698="","",IF(C698&gt;2*COUNTA(F$685:AI$685)/3,1,IF(C698&gt;=COUNTA(F$685:AI$685)/2,0.8,0.5)))</f>
        <v/>
      </c>
      <c r="E698" s="4">
        <f>IF(A698="","",SUMIFS('Логи'!$H$4:$H$3006,'Логи'!$A$4:$A$3006,A698,'Логи'!$C$4:$C$3006,11))</f>
        <v/>
      </c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5" t="n"/>
      <c r="P698" s="15" t="n"/>
      <c r="Q698" s="15" t="n"/>
      <c r="R698" s="15" t="n"/>
      <c r="S698" s="15" t="n"/>
      <c r="T698" s="15" t="n"/>
      <c r="U698" s="15" t="n"/>
      <c r="V698" s="15" t="n"/>
      <c r="W698" s="15" t="n"/>
      <c r="X698" s="15" t="n"/>
      <c r="Y698" s="15" t="n"/>
      <c r="Z698" s="15" t="n"/>
      <c r="AA698" s="15" t="n"/>
      <c r="AB698" s="15" t="n"/>
      <c r="AC698" s="15" t="n"/>
      <c r="AD698" s="15" t="n"/>
      <c r="AE698" s="15" t="n"/>
      <c r="AF698" s="15" t="n"/>
      <c r="AG698" s="15" t="n"/>
      <c r="AH698" s="15" t="n"/>
      <c r="AI698" s="15" t="n"/>
    </row>
    <row r="699">
      <c r="A699" s="4" t="inlineStr">
        <is>
          <t>Студент2.14</t>
        </is>
      </c>
      <c r="B699" s="4" t="inlineStr"/>
      <c r="C699" s="4">
        <f>IF(A699="","",COUNTIF(F699:AI699,"+")+COUNTIF(F699:AI699,"1"))</f>
        <v/>
      </c>
      <c r="D699" s="4">
        <f>IF(A699="","",IF(C699&gt;2*COUNTA(F$685:AI$685)/3,1,IF(C699&gt;=COUNTA(F$685:AI$685)/2,0.8,0.5)))</f>
        <v/>
      </c>
      <c r="E699" s="4">
        <f>IF(A699="","",SUMIFS('Логи'!$H$4:$H$3006,'Логи'!$A$4:$A$3006,A699,'Логи'!$C$4:$C$3006,11))</f>
        <v/>
      </c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  <c r="O699" s="15" t="n"/>
      <c r="P699" s="15" t="n"/>
      <c r="Q699" s="15" t="n"/>
      <c r="R699" s="15" t="n"/>
      <c r="S699" s="15" t="n"/>
      <c r="T699" s="15" t="n"/>
      <c r="U699" s="15" t="n"/>
      <c r="V699" s="15" t="n"/>
      <c r="W699" s="15" t="n"/>
      <c r="X699" s="15" t="n"/>
      <c r="Y699" s="15" t="n"/>
      <c r="Z699" s="15" t="n"/>
      <c r="AA699" s="15" t="n"/>
      <c r="AB699" s="15" t="n"/>
      <c r="AC699" s="15" t="n"/>
      <c r="AD699" s="15" t="n"/>
      <c r="AE699" s="15" t="n"/>
      <c r="AF699" s="15" t="n"/>
      <c r="AG699" s="15" t="n"/>
      <c r="AH699" s="15" t="n"/>
      <c r="AI699" s="15" t="n"/>
    </row>
    <row r="700">
      <c r="A700" s="4" t="inlineStr">
        <is>
          <t>Студент2.15</t>
        </is>
      </c>
      <c r="B700" s="4" t="inlineStr"/>
      <c r="C700" s="4">
        <f>IF(A700="","",COUNTIF(F700:AI700,"+")+COUNTIF(F700:AI700,"1"))</f>
        <v/>
      </c>
      <c r="D700" s="4">
        <f>IF(A700="","",IF(C700&gt;2*COUNTA(F$685:AI$685)/3,1,IF(C700&gt;=COUNTA(F$685:AI$685)/2,0.8,0.5)))</f>
        <v/>
      </c>
      <c r="E700" s="4">
        <f>IF(A700="","",SUMIFS('Логи'!$H$4:$H$3006,'Логи'!$A$4:$A$3006,A700,'Логи'!$C$4:$C$3006,11))</f>
        <v/>
      </c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  <c r="O700" s="15" t="n"/>
      <c r="P700" s="15" t="n"/>
      <c r="Q700" s="15" t="n"/>
      <c r="R700" s="15" t="n"/>
      <c r="S700" s="15" t="n"/>
      <c r="T700" s="15" t="n"/>
      <c r="U700" s="15" t="n"/>
      <c r="V700" s="15" t="n"/>
      <c r="W700" s="15" t="n"/>
      <c r="X700" s="15" t="n"/>
      <c r="Y700" s="15" t="n"/>
      <c r="Z700" s="15" t="n"/>
      <c r="AA700" s="15" t="n"/>
      <c r="AB700" s="15" t="n"/>
      <c r="AC700" s="15" t="n"/>
      <c r="AD700" s="15" t="n"/>
      <c r="AE700" s="15" t="n"/>
      <c r="AF700" s="15" t="n"/>
      <c r="AG700" s="15" t="n"/>
      <c r="AH700" s="15" t="n"/>
      <c r="AI700" s="15" t="n"/>
    </row>
    <row r="701">
      <c r="A701" s="4" t="inlineStr">
        <is>
          <t>Студент2.16</t>
        </is>
      </c>
      <c r="B701" s="4" t="inlineStr"/>
      <c r="C701" s="4">
        <f>IF(A701="","",COUNTIF(F701:AI701,"+")+COUNTIF(F701:AI701,"1"))</f>
        <v/>
      </c>
      <c r="D701" s="4">
        <f>IF(A701="","",IF(C701&gt;2*COUNTA(F$685:AI$685)/3,1,IF(C701&gt;=COUNTA(F$685:AI$685)/2,0.8,0.5)))</f>
        <v/>
      </c>
      <c r="E701" s="4">
        <f>IF(A701="","",SUMIFS('Логи'!$H$4:$H$3006,'Логи'!$A$4:$A$3006,A701,'Логи'!$C$4:$C$3006,11))</f>
        <v/>
      </c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  <c r="O701" s="15" t="n"/>
      <c r="P701" s="15" t="n"/>
      <c r="Q701" s="15" t="n"/>
      <c r="R701" s="15" t="n"/>
      <c r="S701" s="15" t="n"/>
      <c r="T701" s="15" t="n"/>
      <c r="U701" s="15" t="n"/>
      <c r="V701" s="15" t="n"/>
      <c r="W701" s="15" t="n"/>
      <c r="X701" s="15" t="n"/>
      <c r="Y701" s="15" t="n"/>
      <c r="Z701" s="15" t="n"/>
      <c r="AA701" s="15" t="n"/>
      <c r="AB701" s="15" t="n"/>
      <c r="AC701" s="15" t="n"/>
      <c r="AD701" s="15" t="n"/>
      <c r="AE701" s="15" t="n"/>
      <c r="AF701" s="15" t="n"/>
      <c r="AG701" s="15" t="n"/>
      <c r="AH701" s="15" t="n"/>
      <c r="AI701" s="15" t="n"/>
    </row>
    <row r="702">
      <c r="A702" s="4" t="inlineStr">
        <is>
          <t>Студент2.17</t>
        </is>
      </c>
      <c r="B702" s="4" t="inlineStr"/>
      <c r="C702" s="4">
        <f>IF(A702="","",COUNTIF(F702:AI702,"+")+COUNTIF(F702:AI702,"1"))</f>
        <v/>
      </c>
      <c r="D702" s="4">
        <f>IF(A702="","",IF(C702&gt;2*COUNTA(F$685:AI$685)/3,1,IF(C702&gt;=COUNTA(F$685:AI$685)/2,0.8,0.5)))</f>
        <v/>
      </c>
      <c r="E702" s="4">
        <f>IF(A702="","",SUMIFS('Логи'!$H$4:$H$3006,'Логи'!$A$4:$A$3006,A702,'Логи'!$C$4:$C$3006,11))</f>
        <v/>
      </c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  <c r="O702" s="15" t="n"/>
      <c r="P702" s="15" t="n"/>
      <c r="Q702" s="15" t="n"/>
      <c r="R702" s="15" t="n"/>
      <c r="S702" s="15" t="n"/>
      <c r="T702" s="15" t="n"/>
      <c r="U702" s="15" t="n"/>
      <c r="V702" s="15" t="n"/>
      <c r="W702" s="15" t="n"/>
      <c r="X702" s="15" t="n"/>
      <c r="Y702" s="15" t="n"/>
      <c r="Z702" s="15" t="n"/>
      <c r="AA702" s="15" t="n"/>
      <c r="AB702" s="15" t="n"/>
      <c r="AC702" s="15" t="n"/>
      <c r="AD702" s="15" t="n"/>
      <c r="AE702" s="15" t="n"/>
      <c r="AF702" s="15" t="n"/>
      <c r="AG702" s="15" t="n"/>
      <c r="AH702" s="15" t="n"/>
      <c r="AI702" s="15" t="n"/>
    </row>
    <row r="703">
      <c r="A703" s="4" t="inlineStr">
        <is>
          <t>Студент2.18</t>
        </is>
      </c>
      <c r="B703" s="4" t="inlineStr"/>
      <c r="C703" s="4">
        <f>IF(A703="","",COUNTIF(F703:AI703,"+")+COUNTIF(F703:AI703,"1"))</f>
        <v/>
      </c>
      <c r="D703" s="4">
        <f>IF(A703="","",IF(C703&gt;2*COUNTA(F$685:AI$685)/3,1,IF(C703&gt;=COUNTA(F$685:AI$685)/2,0.8,0.5)))</f>
        <v/>
      </c>
      <c r="E703" s="4">
        <f>IF(A703="","",SUMIFS('Логи'!$H$4:$H$3006,'Логи'!$A$4:$A$3006,A703,'Логи'!$C$4:$C$3006,11))</f>
        <v/>
      </c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  <c r="O703" s="15" t="n"/>
      <c r="P703" s="15" t="n"/>
      <c r="Q703" s="15" t="n"/>
      <c r="R703" s="15" t="n"/>
      <c r="S703" s="15" t="n"/>
      <c r="T703" s="15" t="n"/>
      <c r="U703" s="15" t="n"/>
      <c r="V703" s="15" t="n"/>
      <c r="W703" s="15" t="n"/>
      <c r="X703" s="15" t="n"/>
      <c r="Y703" s="15" t="n"/>
      <c r="Z703" s="15" t="n"/>
      <c r="AA703" s="15" t="n"/>
      <c r="AB703" s="15" t="n"/>
      <c r="AC703" s="15" t="n"/>
      <c r="AD703" s="15" t="n"/>
      <c r="AE703" s="15" t="n"/>
      <c r="AF703" s="15" t="n"/>
      <c r="AG703" s="15" t="n"/>
      <c r="AH703" s="15" t="n"/>
      <c r="AI703" s="15" t="n"/>
    </row>
    <row r="704">
      <c r="A704" s="4" t="inlineStr">
        <is>
          <t>Студент2.19</t>
        </is>
      </c>
      <c r="B704" s="4" t="inlineStr"/>
      <c r="C704" s="4">
        <f>IF(A704="","",COUNTIF(F704:AI704,"+")+COUNTIF(F704:AI704,"1"))</f>
        <v/>
      </c>
      <c r="D704" s="4">
        <f>IF(A704="","",IF(C704&gt;2*COUNTA(F$685:AI$685)/3,1,IF(C704&gt;=COUNTA(F$685:AI$685)/2,0.8,0.5)))</f>
        <v/>
      </c>
      <c r="E704" s="4">
        <f>IF(A704="","",SUMIFS('Логи'!$H$4:$H$3006,'Логи'!$A$4:$A$3006,A704,'Логи'!$C$4:$C$3006,11))</f>
        <v/>
      </c>
      <c r="F704" s="15" t="n"/>
      <c r="G704" s="15" t="n"/>
      <c r="H704" s="15" t="n"/>
      <c r="I704" s="15" t="n"/>
      <c r="J704" s="15" t="n"/>
      <c r="K704" s="15" t="n"/>
      <c r="L704" s="15" t="n"/>
      <c r="M704" s="15" t="n"/>
      <c r="N704" s="15" t="n"/>
      <c r="O704" s="15" t="n"/>
      <c r="P704" s="15" t="n"/>
      <c r="Q704" s="15" t="n"/>
      <c r="R704" s="15" t="n"/>
      <c r="S704" s="15" t="n"/>
      <c r="T704" s="15" t="n"/>
      <c r="U704" s="15" t="n"/>
      <c r="V704" s="15" t="n"/>
      <c r="W704" s="15" t="n"/>
      <c r="X704" s="15" t="n"/>
      <c r="Y704" s="15" t="n"/>
      <c r="Z704" s="15" t="n"/>
      <c r="AA704" s="15" t="n"/>
      <c r="AB704" s="15" t="n"/>
      <c r="AC704" s="15" t="n"/>
      <c r="AD704" s="15" t="n"/>
      <c r="AE704" s="15" t="n"/>
      <c r="AF704" s="15" t="n"/>
      <c r="AG704" s="15" t="n"/>
      <c r="AH704" s="15" t="n"/>
      <c r="AI704" s="15" t="n"/>
    </row>
    <row r="705">
      <c r="A705" s="4" t="inlineStr">
        <is>
          <t>Студент2.20</t>
        </is>
      </c>
      <c r="B705" s="4" t="inlineStr"/>
      <c r="C705" s="4">
        <f>IF(A705="","",COUNTIF(F705:AI705,"+")+COUNTIF(F705:AI705,"1"))</f>
        <v/>
      </c>
      <c r="D705" s="4">
        <f>IF(A705="","",IF(C705&gt;2*COUNTA(F$685:AI$685)/3,1,IF(C705&gt;=COUNTA(F$685:AI$685)/2,0.8,0.5)))</f>
        <v/>
      </c>
      <c r="E705" s="4">
        <f>IF(A705="","",SUMIFS('Логи'!$H$4:$H$3006,'Логи'!$A$4:$A$3006,A705,'Логи'!$C$4:$C$3006,11))</f>
        <v/>
      </c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5" t="n"/>
      <c r="P705" s="15" t="n"/>
      <c r="Q705" s="15" t="n"/>
      <c r="R705" s="15" t="n"/>
      <c r="S705" s="15" t="n"/>
      <c r="T705" s="15" t="n"/>
      <c r="U705" s="15" t="n"/>
      <c r="V705" s="15" t="n"/>
      <c r="W705" s="15" t="n"/>
      <c r="X705" s="15" t="n"/>
      <c r="Y705" s="15" t="n"/>
      <c r="Z705" s="15" t="n"/>
      <c r="AA705" s="15" t="n"/>
      <c r="AB705" s="15" t="n"/>
      <c r="AC705" s="15" t="n"/>
      <c r="AD705" s="15" t="n"/>
      <c r="AE705" s="15" t="n"/>
      <c r="AF705" s="15" t="n"/>
      <c r="AG705" s="15" t="n"/>
      <c r="AH705" s="15" t="n"/>
      <c r="AI705" s="15" t="n"/>
    </row>
    <row r="706">
      <c r="A706" s="4" t="inlineStr">
        <is>
          <t>Студент2.21</t>
        </is>
      </c>
      <c r="B706" s="4" t="inlineStr"/>
      <c r="C706" s="4">
        <f>IF(A706="","",COUNTIF(F706:AI706,"+")+COUNTIF(F706:AI706,"1"))</f>
        <v/>
      </c>
      <c r="D706" s="4">
        <f>IF(A706="","",IF(C706&gt;2*COUNTA(F$685:AI$685)/3,1,IF(C706&gt;=COUNTA(F$685:AI$685)/2,0.8,0.5)))</f>
        <v/>
      </c>
      <c r="E706" s="4">
        <f>IF(A706="","",SUMIFS('Логи'!$H$4:$H$3006,'Логи'!$A$4:$A$3006,A706,'Логи'!$C$4:$C$3006,11))</f>
        <v/>
      </c>
      <c r="F706" s="15" t="n"/>
      <c r="G706" s="15" t="n"/>
      <c r="H706" s="15" t="n"/>
      <c r="I706" s="15" t="n"/>
      <c r="J706" s="15" t="n"/>
      <c r="K706" s="15" t="n"/>
      <c r="L706" s="15" t="n"/>
      <c r="M706" s="15" t="n"/>
      <c r="N706" s="15" t="n"/>
      <c r="O706" s="15" t="n"/>
      <c r="P706" s="15" t="n"/>
      <c r="Q706" s="15" t="n"/>
      <c r="R706" s="15" t="n"/>
      <c r="S706" s="15" t="n"/>
      <c r="T706" s="15" t="n"/>
      <c r="U706" s="15" t="n"/>
      <c r="V706" s="15" t="n"/>
      <c r="W706" s="15" t="n"/>
      <c r="X706" s="15" t="n"/>
      <c r="Y706" s="15" t="n"/>
      <c r="Z706" s="15" t="n"/>
      <c r="AA706" s="15" t="n"/>
      <c r="AB706" s="15" t="n"/>
      <c r="AC706" s="15" t="n"/>
      <c r="AD706" s="15" t="n"/>
      <c r="AE706" s="15" t="n"/>
      <c r="AF706" s="15" t="n"/>
      <c r="AG706" s="15" t="n"/>
      <c r="AH706" s="15" t="n"/>
      <c r="AI706" s="15" t="n"/>
    </row>
    <row r="707">
      <c r="A707" s="4" t="inlineStr">
        <is>
          <t>Студент2.22</t>
        </is>
      </c>
      <c r="B707" s="4" t="inlineStr"/>
      <c r="C707" s="4">
        <f>IF(A707="","",COUNTIF(F707:AI707,"+")+COUNTIF(F707:AI707,"1"))</f>
        <v/>
      </c>
      <c r="D707" s="4">
        <f>IF(A707="","",IF(C707&gt;2*COUNTA(F$685:AI$685)/3,1,IF(C707&gt;=COUNTA(F$685:AI$685)/2,0.8,0.5)))</f>
        <v/>
      </c>
      <c r="E707" s="4">
        <f>IF(A707="","",SUMIFS('Логи'!$H$4:$H$3006,'Логи'!$A$4:$A$3006,A707,'Логи'!$C$4:$C$3006,11))</f>
        <v/>
      </c>
      <c r="F707" s="15" t="n"/>
      <c r="G707" s="15" t="n"/>
      <c r="H707" s="15" t="n"/>
      <c r="I707" s="15" t="n"/>
      <c r="J707" s="15" t="n"/>
      <c r="K707" s="15" t="n"/>
      <c r="L707" s="15" t="n"/>
      <c r="M707" s="15" t="n"/>
      <c r="N707" s="15" t="n"/>
      <c r="O707" s="15" t="n"/>
      <c r="P707" s="15" t="n"/>
      <c r="Q707" s="15" t="n"/>
      <c r="R707" s="15" t="n"/>
      <c r="S707" s="15" t="n"/>
      <c r="T707" s="15" t="n"/>
      <c r="U707" s="15" t="n"/>
      <c r="V707" s="15" t="n"/>
      <c r="W707" s="15" t="n"/>
      <c r="X707" s="15" t="n"/>
      <c r="Y707" s="15" t="n"/>
      <c r="Z707" s="15" t="n"/>
      <c r="AA707" s="15" t="n"/>
      <c r="AB707" s="15" t="n"/>
      <c r="AC707" s="15" t="n"/>
      <c r="AD707" s="15" t="n"/>
      <c r="AE707" s="15" t="n"/>
      <c r="AF707" s="15" t="n"/>
      <c r="AG707" s="15" t="n"/>
      <c r="AH707" s="15" t="n"/>
      <c r="AI707" s="15" t="n"/>
    </row>
    <row r="708">
      <c r="A708" s="4" t="inlineStr">
        <is>
          <t>Студент2.23</t>
        </is>
      </c>
      <c r="B708" s="4" t="inlineStr"/>
      <c r="C708" s="4">
        <f>IF(A708="","",COUNTIF(F708:AI708,"+")+COUNTIF(F708:AI708,"1"))</f>
        <v/>
      </c>
      <c r="D708" s="4">
        <f>IF(A708="","",IF(C708&gt;2*COUNTA(F$685:AI$685)/3,1,IF(C708&gt;=COUNTA(F$685:AI$685)/2,0.8,0.5)))</f>
        <v/>
      </c>
      <c r="E708" s="4">
        <f>IF(A708="","",SUMIFS('Логи'!$H$4:$H$3006,'Логи'!$A$4:$A$3006,A708,'Логи'!$C$4:$C$3006,11))</f>
        <v/>
      </c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  <c r="O708" s="15" t="n"/>
      <c r="P708" s="15" t="n"/>
      <c r="Q708" s="15" t="n"/>
      <c r="R708" s="15" t="n"/>
      <c r="S708" s="15" t="n"/>
      <c r="T708" s="15" t="n"/>
      <c r="U708" s="15" t="n"/>
      <c r="V708" s="15" t="n"/>
      <c r="W708" s="15" t="n"/>
      <c r="X708" s="15" t="n"/>
      <c r="Y708" s="15" t="n"/>
      <c r="Z708" s="15" t="n"/>
      <c r="AA708" s="15" t="n"/>
      <c r="AB708" s="15" t="n"/>
      <c r="AC708" s="15" t="n"/>
      <c r="AD708" s="15" t="n"/>
      <c r="AE708" s="15" t="n"/>
      <c r="AF708" s="15" t="n"/>
      <c r="AG708" s="15" t="n"/>
      <c r="AH708" s="15" t="n"/>
      <c r="AI708" s="15" t="n"/>
    </row>
    <row r="709">
      <c r="A709" s="4" t="inlineStr">
        <is>
          <t>Студент2.24</t>
        </is>
      </c>
      <c r="B709" s="4" t="inlineStr"/>
      <c r="C709" s="4">
        <f>IF(A709="","",COUNTIF(F709:AI709,"+")+COUNTIF(F709:AI709,"1"))</f>
        <v/>
      </c>
      <c r="D709" s="4">
        <f>IF(A709="","",IF(C709&gt;2*COUNTA(F$685:AI$685)/3,1,IF(C709&gt;=COUNTA(F$685:AI$685)/2,0.8,0.5)))</f>
        <v/>
      </c>
      <c r="E709" s="4">
        <f>IF(A709="","",SUMIFS('Логи'!$H$4:$H$3006,'Логи'!$A$4:$A$3006,A709,'Логи'!$C$4:$C$3006,11))</f>
        <v/>
      </c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5" t="n"/>
      <c r="P709" s="15" t="n"/>
      <c r="Q709" s="15" t="n"/>
      <c r="R709" s="15" t="n"/>
      <c r="S709" s="15" t="n"/>
      <c r="T709" s="15" t="n"/>
      <c r="U709" s="15" t="n"/>
      <c r="V709" s="15" t="n"/>
      <c r="W709" s="15" t="n"/>
      <c r="X709" s="15" t="n"/>
      <c r="Y709" s="15" t="n"/>
      <c r="Z709" s="15" t="n"/>
      <c r="AA709" s="15" t="n"/>
      <c r="AB709" s="15" t="n"/>
      <c r="AC709" s="15" t="n"/>
      <c r="AD709" s="15" t="n"/>
      <c r="AE709" s="15" t="n"/>
      <c r="AF709" s="15" t="n"/>
      <c r="AG709" s="15" t="n"/>
      <c r="AH709" s="15" t="n"/>
      <c r="AI709" s="15" t="n"/>
    </row>
    <row r="710">
      <c r="A710" s="4" t="inlineStr">
        <is>
          <t>Студент2.25</t>
        </is>
      </c>
      <c r="B710" s="4" t="inlineStr"/>
      <c r="C710" s="4">
        <f>IF(A710="","",COUNTIF(F710:AI710,"+")+COUNTIF(F710:AI710,"1"))</f>
        <v/>
      </c>
      <c r="D710" s="4">
        <f>IF(A710="","",IF(C710&gt;2*COUNTA(F$685:AI$685)/3,1,IF(C710&gt;=COUNTA(F$685:AI$685)/2,0.8,0.5)))</f>
        <v/>
      </c>
      <c r="E710" s="4">
        <f>IF(A710="","",SUMIFS('Логи'!$H$4:$H$3006,'Логи'!$A$4:$A$3006,A710,'Логи'!$C$4:$C$3006,11))</f>
        <v/>
      </c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  <c r="O710" s="15" t="n"/>
      <c r="P710" s="15" t="n"/>
      <c r="Q710" s="15" t="n"/>
      <c r="R710" s="15" t="n"/>
      <c r="S710" s="15" t="n"/>
      <c r="T710" s="15" t="n"/>
      <c r="U710" s="15" t="n"/>
      <c r="V710" s="15" t="n"/>
      <c r="W710" s="15" t="n"/>
      <c r="X710" s="15" t="n"/>
      <c r="Y710" s="15" t="n"/>
      <c r="Z710" s="15" t="n"/>
      <c r="AA710" s="15" t="n"/>
      <c r="AB710" s="15" t="n"/>
      <c r="AC710" s="15" t="n"/>
      <c r="AD710" s="15" t="n"/>
      <c r="AE710" s="15" t="n"/>
      <c r="AF710" s="15" t="n"/>
      <c r="AG710" s="15" t="n"/>
      <c r="AH710" s="15" t="n"/>
      <c r="AI710" s="15" t="n"/>
    </row>
    <row r="711">
      <c r="A711" s="4" t="inlineStr">
        <is>
          <t>Студент2.26</t>
        </is>
      </c>
      <c r="B711" s="4" t="inlineStr"/>
      <c r="C711" s="4">
        <f>IF(A711="","",COUNTIF(F711:AI711,"+")+COUNTIF(F711:AI711,"1"))</f>
        <v/>
      </c>
      <c r="D711" s="4">
        <f>IF(A711="","",IF(C711&gt;2*COUNTA(F$685:AI$685)/3,1,IF(C711&gt;=COUNTA(F$685:AI$685)/2,0.8,0.5)))</f>
        <v/>
      </c>
      <c r="E711" s="4">
        <f>IF(A711="","",SUMIFS('Логи'!$H$4:$H$3006,'Логи'!$A$4:$A$3006,A711,'Логи'!$C$4:$C$3006,11))</f>
        <v/>
      </c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  <c r="O711" s="15" t="n"/>
      <c r="P711" s="15" t="n"/>
      <c r="Q711" s="15" t="n"/>
      <c r="R711" s="15" t="n"/>
      <c r="S711" s="15" t="n"/>
      <c r="T711" s="15" t="n"/>
      <c r="U711" s="15" t="n"/>
      <c r="V711" s="15" t="n"/>
      <c r="W711" s="15" t="n"/>
      <c r="X711" s="15" t="n"/>
      <c r="Y711" s="15" t="n"/>
      <c r="Z711" s="15" t="n"/>
      <c r="AA711" s="15" t="n"/>
      <c r="AB711" s="15" t="n"/>
      <c r="AC711" s="15" t="n"/>
      <c r="AD711" s="15" t="n"/>
      <c r="AE711" s="15" t="n"/>
      <c r="AF711" s="15" t="n"/>
      <c r="AG711" s="15" t="n"/>
      <c r="AH711" s="15" t="n"/>
      <c r="AI711" s="15" t="n"/>
    </row>
    <row r="712">
      <c r="A712" s="4" t="inlineStr">
        <is>
          <t>Студент2.27</t>
        </is>
      </c>
      <c r="B712" s="4" t="inlineStr"/>
      <c r="C712" s="4">
        <f>IF(A712="","",COUNTIF(F712:AI712,"+")+COUNTIF(F712:AI712,"1"))</f>
        <v/>
      </c>
      <c r="D712" s="4">
        <f>IF(A712="","",IF(C712&gt;2*COUNTA(F$685:AI$685)/3,1,IF(C712&gt;=COUNTA(F$685:AI$685)/2,0.8,0.5)))</f>
        <v/>
      </c>
      <c r="E712" s="4">
        <f>IF(A712="","",SUMIFS('Логи'!$H$4:$H$3006,'Логи'!$A$4:$A$3006,A712,'Логи'!$C$4:$C$3006,11))</f>
        <v/>
      </c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  <c r="O712" s="15" t="n"/>
      <c r="P712" s="15" t="n"/>
      <c r="Q712" s="15" t="n"/>
      <c r="R712" s="15" t="n"/>
      <c r="S712" s="15" t="n"/>
      <c r="T712" s="15" t="n"/>
      <c r="U712" s="15" t="n"/>
      <c r="V712" s="15" t="n"/>
      <c r="W712" s="15" t="n"/>
      <c r="X712" s="15" t="n"/>
      <c r="Y712" s="15" t="n"/>
      <c r="Z712" s="15" t="n"/>
      <c r="AA712" s="15" t="n"/>
      <c r="AB712" s="15" t="n"/>
      <c r="AC712" s="15" t="n"/>
      <c r="AD712" s="15" t="n"/>
      <c r="AE712" s="15" t="n"/>
      <c r="AF712" s="15" t="n"/>
      <c r="AG712" s="15" t="n"/>
      <c r="AH712" s="15" t="n"/>
      <c r="AI712" s="15" t="n"/>
    </row>
    <row r="713">
      <c r="A713" s="4" t="inlineStr">
        <is>
          <t>Студент2.28</t>
        </is>
      </c>
      <c r="B713" s="4" t="inlineStr"/>
      <c r="C713" s="4">
        <f>IF(A713="","",COUNTIF(F713:AI713,"+")+COUNTIF(F713:AI713,"1"))</f>
        <v/>
      </c>
      <c r="D713" s="4">
        <f>IF(A713="","",IF(C713&gt;2*COUNTA(F$685:AI$685)/3,1,IF(C713&gt;=COUNTA(F$685:AI$685)/2,0.8,0.5)))</f>
        <v/>
      </c>
      <c r="E713" s="4">
        <f>IF(A713="","",SUMIFS('Логи'!$H$4:$H$3006,'Логи'!$A$4:$A$3006,A713,'Логи'!$C$4:$C$3006,11))</f>
        <v/>
      </c>
      <c r="F713" s="15" t="n"/>
      <c r="G713" s="15" t="n"/>
      <c r="H713" s="15" t="n"/>
      <c r="I713" s="15" t="n"/>
      <c r="J713" s="15" t="n"/>
      <c r="K713" s="15" t="n"/>
      <c r="L713" s="15" t="n"/>
      <c r="M713" s="15" t="n"/>
      <c r="N713" s="15" t="n"/>
      <c r="O713" s="15" t="n"/>
      <c r="P713" s="15" t="n"/>
      <c r="Q713" s="15" t="n"/>
      <c r="R713" s="15" t="n"/>
      <c r="S713" s="15" t="n"/>
      <c r="T713" s="15" t="n"/>
      <c r="U713" s="15" t="n"/>
      <c r="V713" s="15" t="n"/>
      <c r="W713" s="15" t="n"/>
      <c r="X713" s="15" t="n"/>
      <c r="Y713" s="15" t="n"/>
      <c r="Z713" s="15" t="n"/>
      <c r="AA713" s="15" t="n"/>
      <c r="AB713" s="15" t="n"/>
      <c r="AC713" s="15" t="n"/>
      <c r="AD713" s="15" t="n"/>
      <c r="AE713" s="15" t="n"/>
      <c r="AF713" s="15" t="n"/>
      <c r="AG713" s="15" t="n"/>
      <c r="AH713" s="15" t="n"/>
      <c r="AI713" s="15" t="n"/>
    </row>
    <row r="714">
      <c r="A714" s="4" t="inlineStr">
        <is>
          <t>Студент2.29</t>
        </is>
      </c>
      <c r="B714" s="4" t="inlineStr"/>
      <c r="C714" s="4">
        <f>IF(A714="","",COUNTIF(F714:AI714,"+")+COUNTIF(F714:AI714,"1"))</f>
        <v/>
      </c>
      <c r="D714" s="4">
        <f>IF(A714="","",IF(C714&gt;2*COUNTA(F$685:AI$685)/3,1,IF(C714&gt;=COUNTA(F$685:AI$685)/2,0.8,0.5)))</f>
        <v/>
      </c>
      <c r="E714" s="4">
        <f>IF(A714="","",SUMIFS('Логи'!$H$4:$H$3006,'Логи'!$A$4:$A$3006,A714,'Логи'!$C$4:$C$3006,11))</f>
        <v/>
      </c>
      <c r="F714" s="15" t="n"/>
      <c r="G714" s="15" t="n"/>
      <c r="H714" s="15" t="n"/>
      <c r="I714" s="15" t="n"/>
      <c r="J714" s="15" t="n"/>
      <c r="K714" s="15" t="n"/>
      <c r="L714" s="15" t="n"/>
      <c r="M714" s="15" t="n"/>
      <c r="N714" s="15" t="n"/>
      <c r="O714" s="15" t="n"/>
      <c r="P714" s="15" t="n"/>
      <c r="Q714" s="15" t="n"/>
      <c r="R714" s="15" t="n"/>
      <c r="S714" s="15" t="n"/>
      <c r="T714" s="15" t="n"/>
      <c r="U714" s="15" t="n"/>
      <c r="V714" s="15" t="n"/>
      <c r="W714" s="15" t="n"/>
      <c r="X714" s="15" t="n"/>
      <c r="Y714" s="15" t="n"/>
      <c r="Z714" s="15" t="n"/>
      <c r="AA714" s="15" t="n"/>
      <c r="AB714" s="15" t="n"/>
      <c r="AC714" s="15" t="n"/>
      <c r="AD714" s="15" t="n"/>
      <c r="AE714" s="15" t="n"/>
      <c r="AF714" s="15" t="n"/>
      <c r="AG714" s="15" t="n"/>
      <c r="AH714" s="15" t="n"/>
      <c r="AI714" s="15" t="n"/>
    </row>
    <row r="715">
      <c r="A715" s="4" t="inlineStr">
        <is>
          <t>Студент2.30</t>
        </is>
      </c>
      <c r="B715" s="4" t="inlineStr"/>
      <c r="C715" s="4">
        <f>IF(A715="","",COUNTIF(F715:AI715,"+")+COUNTIF(F715:AI715,"1"))</f>
        <v/>
      </c>
      <c r="D715" s="4">
        <f>IF(A715="","",IF(C715&gt;2*COUNTA(F$685:AI$685)/3,1,IF(C715&gt;=COUNTA(F$685:AI$685)/2,0.8,0.5)))</f>
        <v/>
      </c>
      <c r="E715" s="4">
        <f>IF(A715="","",SUMIFS('Логи'!$H$4:$H$3006,'Логи'!$A$4:$A$3006,A715,'Логи'!$C$4:$C$3006,11))</f>
        <v/>
      </c>
      <c r="F715" s="15" t="n"/>
      <c r="G715" s="15" t="n"/>
      <c r="H715" s="15" t="n"/>
      <c r="I715" s="15" t="n"/>
      <c r="J715" s="15" t="n"/>
      <c r="K715" s="15" t="n"/>
      <c r="L715" s="15" t="n"/>
      <c r="M715" s="15" t="n"/>
      <c r="N715" s="15" t="n"/>
      <c r="O715" s="15" t="n"/>
      <c r="P715" s="15" t="n"/>
      <c r="Q715" s="15" t="n"/>
      <c r="R715" s="15" t="n"/>
      <c r="S715" s="15" t="n"/>
      <c r="T715" s="15" t="n"/>
      <c r="U715" s="15" t="n"/>
      <c r="V715" s="15" t="n"/>
      <c r="W715" s="15" t="n"/>
      <c r="X715" s="15" t="n"/>
      <c r="Y715" s="15" t="n"/>
      <c r="Z715" s="15" t="n"/>
      <c r="AA715" s="15" t="n"/>
      <c r="AB715" s="15" t="n"/>
      <c r="AC715" s="15" t="n"/>
      <c r="AD715" s="15" t="n"/>
      <c r="AE715" s="15" t="n"/>
      <c r="AF715" s="15" t="n"/>
      <c r="AG715" s="15" t="n"/>
      <c r="AH715" s="15" t="n"/>
      <c r="AI715" s="15" t="n"/>
    </row>
    <row r="717">
      <c r="A717" s="16" t="inlineStr">
        <is>
          <t>Практика 11 — результаты рассказа</t>
        </is>
      </c>
    </row>
    <row r="718" ht="28" customHeight="1">
      <c r="A718" s="7" t="inlineStr">
        <is>
          <t>Имя</t>
        </is>
      </c>
      <c r="B718" s="9" t="inlineStr">
        <is>
          <t>TG</t>
        </is>
      </c>
      <c r="C718" s="10" t="inlineStr"/>
      <c r="D718" s="2" t="inlineStr"/>
      <c r="E718" s="2" t="inlineStr"/>
      <c r="F718" s="11" t="inlineStr">
        <is>
          <t>1.0</t>
        </is>
      </c>
      <c r="G718" s="11" t="inlineStr">
        <is>
          <t>2.0</t>
        </is>
      </c>
      <c r="H718" s="11" t="inlineStr">
        <is>
          <t>3.0</t>
        </is>
      </c>
      <c r="I718" s="11" t="inlineStr">
        <is>
          <t>4.0</t>
        </is>
      </c>
      <c r="J718" s="11" t="inlineStr">
        <is>
          <t>5.0</t>
        </is>
      </c>
      <c r="K718" s="11" t="inlineStr">
        <is>
          <t>6</t>
        </is>
      </c>
      <c r="L718" s="11" t="inlineStr">
        <is>
          <t>7</t>
        </is>
      </c>
      <c r="M718" s="11" t="inlineStr">
        <is>
          <t>8</t>
        </is>
      </c>
      <c r="N718" s="11" t="inlineStr">
        <is>
          <t>9</t>
        </is>
      </c>
      <c r="O718" s="11" t="inlineStr">
        <is>
          <t>10</t>
        </is>
      </c>
      <c r="P718" s="11" t="inlineStr">
        <is>
          <t>11</t>
        </is>
      </c>
      <c r="Q718" s="11" t="inlineStr">
        <is>
          <t>12</t>
        </is>
      </c>
      <c r="R718" s="11" t="inlineStr">
        <is>
          <t>13</t>
        </is>
      </c>
      <c r="S718" s="11" t="inlineStr">
        <is>
          <t>14</t>
        </is>
      </c>
      <c r="T718" s="11" t="inlineStr">
        <is>
          <t>15</t>
        </is>
      </c>
      <c r="U718" s="11" t="inlineStr">
        <is>
          <t>16</t>
        </is>
      </c>
      <c r="V718" s="11" t="inlineStr">
        <is>
          <t>17</t>
        </is>
      </c>
      <c r="W718" s="11" t="inlineStr">
        <is>
          <t>18</t>
        </is>
      </c>
      <c r="X718" s="11" t="inlineStr">
        <is>
          <t>19</t>
        </is>
      </c>
      <c r="Y718" s="11" t="inlineStr">
        <is>
          <t>20</t>
        </is>
      </c>
      <c r="Z718" s="11" t="inlineStr">
        <is>
          <t>21</t>
        </is>
      </c>
      <c r="AA718" s="11" t="inlineStr">
        <is>
          <t>22</t>
        </is>
      </c>
      <c r="AB718" s="11" t="inlineStr">
        <is>
          <t>23</t>
        </is>
      </c>
      <c r="AC718" s="11" t="inlineStr">
        <is>
          <t>24</t>
        </is>
      </c>
      <c r="AD718" s="11" t="inlineStr">
        <is>
          <t>25</t>
        </is>
      </c>
      <c r="AE718" s="11" t="inlineStr">
        <is>
          <t>26</t>
        </is>
      </c>
      <c r="AF718" s="11" t="inlineStr">
        <is>
          <t>27</t>
        </is>
      </c>
      <c r="AG718" s="11" t="inlineStr">
        <is>
          <t>28</t>
        </is>
      </c>
      <c r="AH718" s="11" t="inlineStr">
        <is>
          <t>29</t>
        </is>
      </c>
      <c r="AI718" s="11" t="inlineStr">
        <is>
          <t>30</t>
        </is>
      </c>
    </row>
    <row r="719">
      <c r="A719" s="4" t="inlineStr">
        <is>
          <t>Студент2.1</t>
        </is>
      </c>
      <c r="B719" s="4" t="inlineStr"/>
      <c r="C719" s="4" t="n"/>
      <c r="D719" s="4" t="n"/>
      <c r="E719" s="4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  <c r="O719" s="15" t="n"/>
      <c r="P719" s="15" t="n"/>
      <c r="Q719" s="15" t="n"/>
      <c r="R719" s="15" t="n"/>
      <c r="S719" s="15" t="n"/>
      <c r="T719" s="15" t="n"/>
      <c r="U719" s="15" t="n"/>
      <c r="V719" s="15" t="n"/>
      <c r="W719" s="15" t="n"/>
      <c r="X719" s="15" t="n"/>
      <c r="Y719" s="15" t="n"/>
      <c r="Z719" s="15" t="n"/>
      <c r="AA719" s="15" t="n"/>
      <c r="AB719" s="15" t="n"/>
      <c r="AC719" s="15" t="n"/>
      <c r="AD719" s="15" t="n"/>
      <c r="AE719" s="15" t="n"/>
      <c r="AF719" s="15" t="n"/>
      <c r="AG719" s="15" t="n"/>
      <c r="AH719" s="15" t="n"/>
      <c r="AI719" s="15" t="n"/>
    </row>
    <row r="720">
      <c r="A720" s="4" t="inlineStr">
        <is>
          <t>Студент2.2</t>
        </is>
      </c>
      <c r="B720" s="4" t="inlineStr"/>
      <c r="C720" s="4" t="n"/>
      <c r="D720" s="4" t="n"/>
      <c r="E720" s="4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  <c r="O720" s="15" t="n"/>
      <c r="P720" s="15" t="n"/>
      <c r="Q720" s="15" t="n"/>
      <c r="R720" s="15" t="n"/>
      <c r="S720" s="15" t="n"/>
      <c r="T720" s="15" t="n"/>
      <c r="U720" s="15" t="n"/>
      <c r="V720" s="15" t="n"/>
      <c r="W720" s="15" t="n"/>
      <c r="X720" s="15" t="n"/>
      <c r="Y720" s="15" t="n"/>
      <c r="Z720" s="15" t="n"/>
      <c r="AA720" s="15" t="n"/>
      <c r="AB720" s="15" t="n"/>
      <c r="AC720" s="15" t="n"/>
      <c r="AD720" s="15" t="n"/>
      <c r="AE720" s="15" t="n"/>
      <c r="AF720" s="15" t="n"/>
      <c r="AG720" s="15" t="n"/>
      <c r="AH720" s="15" t="n"/>
      <c r="AI720" s="15" t="n"/>
    </row>
    <row r="721">
      <c r="A721" s="4" t="inlineStr">
        <is>
          <t>Студент2.3</t>
        </is>
      </c>
      <c r="B721" s="4" t="inlineStr"/>
      <c r="C721" s="4" t="n"/>
      <c r="D721" s="4" t="n"/>
      <c r="E721" s="4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  <c r="O721" s="15" t="n"/>
      <c r="P721" s="15" t="n"/>
      <c r="Q721" s="15" t="n"/>
      <c r="R721" s="15" t="n"/>
      <c r="S721" s="15" t="n"/>
      <c r="T721" s="15" t="n"/>
      <c r="U721" s="15" t="n"/>
      <c r="V721" s="15" t="n"/>
      <c r="W721" s="15" t="n"/>
      <c r="X721" s="15" t="n"/>
      <c r="Y721" s="15" t="n"/>
      <c r="Z721" s="15" t="n"/>
      <c r="AA721" s="15" t="n"/>
      <c r="AB721" s="15" t="n"/>
      <c r="AC721" s="15" t="n"/>
      <c r="AD721" s="15" t="n"/>
      <c r="AE721" s="15" t="n"/>
      <c r="AF721" s="15" t="n"/>
      <c r="AG721" s="15" t="n"/>
      <c r="AH721" s="15" t="n"/>
      <c r="AI721" s="15" t="n"/>
    </row>
    <row r="722">
      <c r="A722" s="4" t="inlineStr">
        <is>
          <t>Студент2.4</t>
        </is>
      </c>
      <c r="B722" s="4" t="inlineStr"/>
      <c r="C722" s="4" t="n"/>
      <c r="D722" s="4" t="n"/>
      <c r="E722" s="4" t="n"/>
      <c r="F722" s="15" t="n"/>
      <c r="G722" s="15" t="n"/>
      <c r="H722" s="15" t="n"/>
      <c r="I722" s="15" t="n"/>
      <c r="J722" s="15" t="n"/>
      <c r="K722" s="15" t="n"/>
      <c r="L722" s="15" t="n"/>
      <c r="M722" s="15" t="n"/>
      <c r="N722" s="15" t="n"/>
      <c r="O722" s="15" t="n"/>
      <c r="P722" s="15" t="n"/>
      <c r="Q722" s="15" t="n"/>
      <c r="R722" s="15" t="n"/>
      <c r="S722" s="15" t="n"/>
      <c r="T722" s="15" t="n"/>
      <c r="U722" s="15" t="n"/>
      <c r="V722" s="15" t="n"/>
      <c r="W722" s="15" t="n"/>
      <c r="X722" s="15" t="n"/>
      <c r="Y722" s="15" t="n"/>
      <c r="Z722" s="15" t="n"/>
      <c r="AA722" s="15" t="n"/>
      <c r="AB722" s="15" t="n"/>
      <c r="AC722" s="15" t="n"/>
      <c r="AD722" s="15" t="n"/>
      <c r="AE722" s="15" t="n"/>
      <c r="AF722" s="15" t="n"/>
      <c r="AG722" s="15" t="n"/>
      <c r="AH722" s="15" t="n"/>
      <c r="AI722" s="15" t="n"/>
    </row>
    <row r="723">
      <c r="A723" s="4" t="inlineStr">
        <is>
          <t>Студент2.5</t>
        </is>
      </c>
      <c r="B723" s="4" t="inlineStr"/>
      <c r="C723" s="4" t="n"/>
      <c r="D723" s="4" t="n"/>
      <c r="E723" s="4" t="n"/>
      <c r="F723" s="15" t="n"/>
      <c r="G723" s="15" t="n"/>
      <c r="H723" s="15" t="n"/>
      <c r="I723" s="15" t="n"/>
      <c r="J723" s="15" t="n"/>
      <c r="K723" s="15" t="n"/>
      <c r="L723" s="15" t="n"/>
      <c r="M723" s="15" t="n"/>
      <c r="N723" s="15" t="n"/>
      <c r="O723" s="15" t="n"/>
      <c r="P723" s="15" t="n"/>
      <c r="Q723" s="15" t="n"/>
      <c r="R723" s="15" t="n"/>
      <c r="S723" s="15" t="n"/>
      <c r="T723" s="15" t="n"/>
      <c r="U723" s="15" t="n"/>
      <c r="V723" s="15" t="n"/>
      <c r="W723" s="15" t="n"/>
      <c r="X723" s="15" t="n"/>
      <c r="Y723" s="15" t="n"/>
      <c r="Z723" s="15" t="n"/>
      <c r="AA723" s="15" t="n"/>
      <c r="AB723" s="15" t="n"/>
      <c r="AC723" s="15" t="n"/>
      <c r="AD723" s="15" t="n"/>
      <c r="AE723" s="15" t="n"/>
      <c r="AF723" s="15" t="n"/>
      <c r="AG723" s="15" t="n"/>
      <c r="AH723" s="15" t="n"/>
      <c r="AI723" s="15" t="n"/>
    </row>
    <row r="724">
      <c r="A724" s="4" t="inlineStr">
        <is>
          <t>Студент2.6</t>
        </is>
      </c>
      <c r="B724" s="4" t="inlineStr"/>
      <c r="C724" s="4" t="n"/>
      <c r="D724" s="4" t="n"/>
      <c r="E724" s="4" t="n"/>
      <c r="F724" s="15" t="n"/>
      <c r="G724" s="15" t="n"/>
      <c r="H724" s="15" t="n"/>
      <c r="I724" s="15" t="n"/>
      <c r="J724" s="15" t="n"/>
      <c r="K724" s="15" t="n"/>
      <c r="L724" s="15" t="n"/>
      <c r="M724" s="15" t="n"/>
      <c r="N724" s="15" t="n"/>
      <c r="O724" s="15" t="n"/>
      <c r="P724" s="15" t="n"/>
      <c r="Q724" s="15" t="n"/>
      <c r="R724" s="15" t="n"/>
      <c r="S724" s="15" t="n"/>
      <c r="T724" s="15" t="n"/>
      <c r="U724" s="15" t="n"/>
      <c r="V724" s="15" t="n"/>
      <c r="W724" s="15" t="n"/>
      <c r="X724" s="15" t="n"/>
      <c r="Y724" s="15" t="n"/>
      <c r="Z724" s="15" t="n"/>
      <c r="AA724" s="15" t="n"/>
      <c r="AB724" s="15" t="n"/>
      <c r="AC724" s="15" t="n"/>
      <c r="AD724" s="15" t="n"/>
      <c r="AE724" s="15" t="n"/>
      <c r="AF724" s="15" t="n"/>
      <c r="AG724" s="15" t="n"/>
      <c r="AH724" s="15" t="n"/>
      <c r="AI724" s="15" t="n"/>
    </row>
    <row r="725">
      <c r="A725" s="4" t="inlineStr">
        <is>
          <t>Студент2.7</t>
        </is>
      </c>
      <c r="B725" s="4" t="inlineStr"/>
      <c r="C725" s="4" t="n"/>
      <c r="D725" s="4" t="n"/>
      <c r="E725" s="4" t="n"/>
      <c r="F725" s="15" t="n"/>
      <c r="G725" s="15" t="n"/>
      <c r="H725" s="15" t="n"/>
      <c r="I725" s="15" t="n"/>
      <c r="J725" s="15" t="n"/>
      <c r="K725" s="15" t="n"/>
      <c r="L725" s="15" t="n"/>
      <c r="M725" s="15" t="n"/>
      <c r="N725" s="15" t="n"/>
      <c r="O725" s="15" t="n"/>
      <c r="P725" s="15" t="n"/>
      <c r="Q725" s="15" t="n"/>
      <c r="R725" s="15" t="n"/>
      <c r="S725" s="15" t="n"/>
      <c r="T725" s="15" t="n"/>
      <c r="U725" s="15" t="n"/>
      <c r="V725" s="15" t="n"/>
      <c r="W725" s="15" t="n"/>
      <c r="X725" s="15" t="n"/>
      <c r="Y725" s="15" t="n"/>
      <c r="Z725" s="15" t="n"/>
      <c r="AA725" s="15" t="n"/>
      <c r="AB725" s="15" t="n"/>
      <c r="AC725" s="15" t="n"/>
      <c r="AD725" s="15" t="n"/>
      <c r="AE725" s="15" t="n"/>
      <c r="AF725" s="15" t="n"/>
      <c r="AG725" s="15" t="n"/>
      <c r="AH725" s="15" t="n"/>
      <c r="AI725" s="15" t="n"/>
    </row>
    <row r="726">
      <c r="A726" s="4" t="inlineStr">
        <is>
          <t>Студент2.8</t>
        </is>
      </c>
      <c r="B726" s="4" t="inlineStr"/>
      <c r="C726" s="4" t="n"/>
      <c r="D726" s="4" t="n"/>
      <c r="E726" s="4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  <c r="O726" s="15" t="n"/>
      <c r="P726" s="15" t="n"/>
      <c r="Q726" s="15" t="n"/>
      <c r="R726" s="15" t="n"/>
      <c r="S726" s="15" t="n"/>
      <c r="T726" s="15" t="n"/>
      <c r="U726" s="15" t="n"/>
      <c r="V726" s="15" t="n"/>
      <c r="W726" s="15" t="n"/>
      <c r="X726" s="15" t="n"/>
      <c r="Y726" s="15" t="n"/>
      <c r="Z726" s="15" t="n"/>
      <c r="AA726" s="15" t="n"/>
      <c r="AB726" s="15" t="n"/>
      <c r="AC726" s="15" t="n"/>
      <c r="AD726" s="15" t="n"/>
      <c r="AE726" s="15" t="n"/>
      <c r="AF726" s="15" t="n"/>
      <c r="AG726" s="15" t="n"/>
      <c r="AH726" s="15" t="n"/>
      <c r="AI726" s="15" t="n"/>
    </row>
    <row r="727">
      <c r="A727" s="4" t="inlineStr">
        <is>
          <t>Студент2.9</t>
        </is>
      </c>
      <c r="B727" s="4" t="inlineStr"/>
      <c r="C727" s="4" t="n"/>
      <c r="D727" s="4" t="n"/>
      <c r="E727" s="4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  <c r="O727" s="15" t="n"/>
      <c r="P727" s="15" t="n"/>
      <c r="Q727" s="15" t="n"/>
      <c r="R727" s="15" t="n"/>
      <c r="S727" s="15" t="n"/>
      <c r="T727" s="15" t="n"/>
      <c r="U727" s="15" t="n"/>
      <c r="V727" s="15" t="n"/>
      <c r="W727" s="15" t="n"/>
      <c r="X727" s="15" t="n"/>
      <c r="Y727" s="15" t="n"/>
      <c r="Z727" s="15" t="n"/>
      <c r="AA727" s="15" t="n"/>
      <c r="AB727" s="15" t="n"/>
      <c r="AC727" s="15" t="n"/>
      <c r="AD727" s="15" t="n"/>
      <c r="AE727" s="15" t="n"/>
      <c r="AF727" s="15" t="n"/>
      <c r="AG727" s="15" t="n"/>
      <c r="AH727" s="15" t="n"/>
      <c r="AI727" s="15" t="n"/>
    </row>
    <row r="728">
      <c r="A728" s="4" t="inlineStr">
        <is>
          <t>Студент2.10</t>
        </is>
      </c>
      <c r="B728" s="4" t="inlineStr"/>
      <c r="C728" s="4" t="n"/>
      <c r="D728" s="4" t="n"/>
      <c r="E728" s="4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5" t="n"/>
      <c r="P728" s="15" t="n"/>
      <c r="Q728" s="15" t="n"/>
      <c r="R728" s="15" t="n"/>
      <c r="S728" s="15" t="n"/>
      <c r="T728" s="15" t="n"/>
      <c r="U728" s="15" t="n"/>
      <c r="V728" s="15" t="n"/>
      <c r="W728" s="15" t="n"/>
      <c r="X728" s="15" t="n"/>
      <c r="Y728" s="15" t="n"/>
      <c r="Z728" s="15" t="n"/>
      <c r="AA728" s="15" t="n"/>
      <c r="AB728" s="15" t="n"/>
      <c r="AC728" s="15" t="n"/>
      <c r="AD728" s="15" t="n"/>
      <c r="AE728" s="15" t="n"/>
      <c r="AF728" s="15" t="n"/>
      <c r="AG728" s="15" t="n"/>
      <c r="AH728" s="15" t="n"/>
      <c r="AI728" s="15" t="n"/>
    </row>
    <row r="729">
      <c r="A729" s="4" t="inlineStr">
        <is>
          <t>Студент2.11</t>
        </is>
      </c>
      <c r="B729" s="4" t="inlineStr"/>
      <c r="C729" s="4" t="n"/>
      <c r="D729" s="4" t="n"/>
      <c r="E729" s="4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  <c r="O729" s="15" t="n"/>
      <c r="P729" s="15" t="n"/>
      <c r="Q729" s="15" t="n"/>
      <c r="R729" s="15" t="n"/>
      <c r="S729" s="15" t="n"/>
      <c r="T729" s="15" t="n"/>
      <c r="U729" s="15" t="n"/>
      <c r="V729" s="15" t="n"/>
      <c r="W729" s="15" t="n"/>
      <c r="X729" s="15" t="n"/>
      <c r="Y729" s="15" t="n"/>
      <c r="Z729" s="15" t="n"/>
      <c r="AA729" s="15" t="n"/>
      <c r="AB729" s="15" t="n"/>
      <c r="AC729" s="15" t="n"/>
      <c r="AD729" s="15" t="n"/>
      <c r="AE729" s="15" t="n"/>
      <c r="AF729" s="15" t="n"/>
      <c r="AG729" s="15" t="n"/>
      <c r="AH729" s="15" t="n"/>
      <c r="AI729" s="15" t="n"/>
    </row>
    <row r="730">
      <c r="A730" s="4" t="inlineStr">
        <is>
          <t>Студент2.12</t>
        </is>
      </c>
      <c r="B730" s="4" t="inlineStr"/>
      <c r="C730" s="4" t="n"/>
      <c r="D730" s="4" t="n"/>
      <c r="E730" s="4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  <c r="O730" s="15" t="n"/>
      <c r="P730" s="15" t="n"/>
      <c r="Q730" s="15" t="n"/>
      <c r="R730" s="15" t="n"/>
      <c r="S730" s="15" t="n"/>
      <c r="T730" s="15" t="n"/>
      <c r="U730" s="15" t="n"/>
      <c r="V730" s="15" t="n"/>
      <c r="W730" s="15" t="n"/>
      <c r="X730" s="15" t="n"/>
      <c r="Y730" s="15" t="n"/>
      <c r="Z730" s="15" t="n"/>
      <c r="AA730" s="15" t="n"/>
      <c r="AB730" s="15" t="n"/>
      <c r="AC730" s="15" t="n"/>
      <c r="AD730" s="15" t="n"/>
      <c r="AE730" s="15" t="n"/>
      <c r="AF730" s="15" t="n"/>
      <c r="AG730" s="15" t="n"/>
      <c r="AH730" s="15" t="n"/>
      <c r="AI730" s="15" t="n"/>
    </row>
    <row r="731">
      <c r="A731" s="4" t="inlineStr">
        <is>
          <t>Студент2.13</t>
        </is>
      </c>
      <c r="B731" s="4" t="inlineStr"/>
      <c r="C731" s="4" t="n"/>
      <c r="D731" s="4" t="n"/>
      <c r="E731" s="4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5" t="n"/>
      <c r="P731" s="15" t="n"/>
      <c r="Q731" s="15" t="n"/>
      <c r="R731" s="15" t="n"/>
      <c r="S731" s="15" t="n"/>
      <c r="T731" s="15" t="n"/>
      <c r="U731" s="15" t="n"/>
      <c r="V731" s="15" t="n"/>
      <c r="W731" s="15" t="n"/>
      <c r="X731" s="15" t="n"/>
      <c r="Y731" s="15" t="n"/>
      <c r="Z731" s="15" t="n"/>
      <c r="AA731" s="15" t="n"/>
      <c r="AB731" s="15" t="n"/>
      <c r="AC731" s="15" t="n"/>
      <c r="AD731" s="15" t="n"/>
      <c r="AE731" s="15" t="n"/>
      <c r="AF731" s="15" t="n"/>
      <c r="AG731" s="15" t="n"/>
      <c r="AH731" s="15" t="n"/>
      <c r="AI731" s="15" t="n"/>
    </row>
    <row r="732">
      <c r="A732" s="4" t="inlineStr">
        <is>
          <t>Студент2.14</t>
        </is>
      </c>
      <c r="B732" s="4" t="inlineStr"/>
      <c r="C732" s="4" t="n"/>
      <c r="D732" s="4" t="n"/>
      <c r="E732" s="4" t="n"/>
      <c r="F732" s="15" t="n"/>
      <c r="G732" s="15" t="n"/>
      <c r="H732" s="15" t="n"/>
      <c r="I732" s="15" t="n"/>
      <c r="J732" s="15" t="n"/>
      <c r="K732" s="15" t="n"/>
      <c r="L732" s="15" t="n"/>
      <c r="M732" s="15" t="n"/>
      <c r="N732" s="15" t="n"/>
      <c r="O732" s="15" t="n"/>
      <c r="P732" s="15" t="n"/>
      <c r="Q732" s="15" t="n"/>
      <c r="R732" s="15" t="n"/>
      <c r="S732" s="15" t="n"/>
      <c r="T732" s="15" t="n"/>
      <c r="U732" s="15" t="n"/>
      <c r="V732" s="15" t="n"/>
      <c r="W732" s="15" t="n"/>
      <c r="X732" s="15" t="n"/>
      <c r="Y732" s="15" t="n"/>
      <c r="Z732" s="15" t="n"/>
      <c r="AA732" s="15" t="n"/>
      <c r="AB732" s="15" t="n"/>
      <c r="AC732" s="15" t="n"/>
      <c r="AD732" s="15" t="n"/>
      <c r="AE732" s="15" t="n"/>
      <c r="AF732" s="15" t="n"/>
      <c r="AG732" s="15" t="n"/>
      <c r="AH732" s="15" t="n"/>
      <c r="AI732" s="15" t="n"/>
    </row>
    <row r="733">
      <c r="A733" s="4" t="inlineStr">
        <is>
          <t>Студент2.15</t>
        </is>
      </c>
      <c r="B733" s="4" t="inlineStr"/>
      <c r="C733" s="4" t="n"/>
      <c r="D733" s="4" t="n"/>
      <c r="E733" s="4" t="n"/>
      <c r="F733" s="15" t="n"/>
      <c r="G733" s="15" t="n"/>
      <c r="H733" s="15" t="n"/>
      <c r="I733" s="15" t="n"/>
      <c r="J733" s="15" t="n"/>
      <c r="K733" s="15" t="n"/>
      <c r="L733" s="15" t="n"/>
      <c r="M733" s="15" t="n"/>
      <c r="N733" s="15" t="n"/>
      <c r="O733" s="15" t="n"/>
      <c r="P733" s="15" t="n"/>
      <c r="Q733" s="15" t="n"/>
      <c r="R733" s="15" t="n"/>
      <c r="S733" s="15" t="n"/>
      <c r="T733" s="15" t="n"/>
      <c r="U733" s="15" t="n"/>
      <c r="V733" s="15" t="n"/>
      <c r="W733" s="15" t="n"/>
      <c r="X733" s="15" t="n"/>
      <c r="Y733" s="15" t="n"/>
      <c r="Z733" s="15" t="n"/>
      <c r="AA733" s="15" t="n"/>
      <c r="AB733" s="15" t="n"/>
      <c r="AC733" s="15" t="n"/>
      <c r="AD733" s="15" t="n"/>
      <c r="AE733" s="15" t="n"/>
      <c r="AF733" s="15" t="n"/>
      <c r="AG733" s="15" t="n"/>
      <c r="AH733" s="15" t="n"/>
      <c r="AI733" s="15" t="n"/>
    </row>
    <row r="734">
      <c r="A734" s="4" t="inlineStr">
        <is>
          <t>Студент2.16</t>
        </is>
      </c>
      <c r="B734" s="4" t="inlineStr"/>
      <c r="C734" s="4" t="n"/>
      <c r="D734" s="4" t="n"/>
      <c r="E734" s="4" t="n"/>
      <c r="F734" s="15" t="n"/>
      <c r="G734" s="15" t="n"/>
      <c r="H734" s="15" t="n"/>
      <c r="I734" s="15" t="n"/>
      <c r="J734" s="15" t="n"/>
      <c r="K734" s="15" t="n"/>
      <c r="L734" s="15" t="n"/>
      <c r="M734" s="15" t="n"/>
      <c r="N734" s="15" t="n"/>
      <c r="O734" s="15" t="n"/>
      <c r="P734" s="15" t="n"/>
      <c r="Q734" s="15" t="n"/>
      <c r="R734" s="15" t="n"/>
      <c r="S734" s="15" t="n"/>
      <c r="T734" s="15" t="n"/>
      <c r="U734" s="15" t="n"/>
      <c r="V734" s="15" t="n"/>
      <c r="W734" s="15" t="n"/>
      <c r="X734" s="15" t="n"/>
      <c r="Y734" s="15" t="n"/>
      <c r="Z734" s="15" t="n"/>
      <c r="AA734" s="15" t="n"/>
      <c r="AB734" s="15" t="n"/>
      <c r="AC734" s="15" t="n"/>
      <c r="AD734" s="15" t="n"/>
      <c r="AE734" s="15" t="n"/>
      <c r="AF734" s="15" t="n"/>
      <c r="AG734" s="15" t="n"/>
      <c r="AH734" s="15" t="n"/>
      <c r="AI734" s="15" t="n"/>
    </row>
    <row r="735">
      <c r="A735" s="4" t="inlineStr">
        <is>
          <t>Студент2.17</t>
        </is>
      </c>
      <c r="B735" s="4" t="inlineStr"/>
      <c r="C735" s="4" t="n"/>
      <c r="D735" s="4" t="n"/>
      <c r="E735" s="4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5" t="n"/>
      <c r="P735" s="15" t="n"/>
      <c r="Q735" s="15" t="n"/>
      <c r="R735" s="15" t="n"/>
      <c r="S735" s="15" t="n"/>
      <c r="T735" s="15" t="n"/>
      <c r="U735" s="15" t="n"/>
      <c r="V735" s="15" t="n"/>
      <c r="W735" s="15" t="n"/>
      <c r="X735" s="15" t="n"/>
      <c r="Y735" s="15" t="n"/>
      <c r="Z735" s="15" t="n"/>
      <c r="AA735" s="15" t="n"/>
      <c r="AB735" s="15" t="n"/>
      <c r="AC735" s="15" t="n"/>
      <c r="AD735" s="15" t="n"/>
      <c r="AE735" s="15" t="n"/>
      <c r="AF735" s="15" t="n"/>
      <c r="AG735" s="15" t="n"/>
      <c r="AH735" s="15" t="n"/>
      <c r="AI735" s="15" t="n"/>
    </row>
    <row r="736">
      <c r="A736" s="4" t="inlineStr">
        <is>
          <t>Студент2.18</t>
        </is>
      </c>
      <c r="B736" s="4" t="inlineStr"/>
      <c r="C736" s="4" t="n"/>
      <c r="D736" s="4" t="n"/>
      <c r="E736" s="4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  <c r="O736" s="15" t="n"/>
      <c r="P736" s="15" t="n"/>
      <c r="Q736" s="15" t="n"/>
      <c r="R736" s="15" t="n"/>
      <c r="S736" s="15" t="n"/>
      <c r="T736" s="15" t="n"/>
      <c r="U736" s="15" t="n"/>
      <c r="V736" s="15" t="n"/>
      <c r="W736" s="15" t="n"/>
      <c r="X736" s="15" t="n"/>
      <c r="Y736" s="15" t="n"/>
      <c r="Z736" s="15" t="n"/>
      <c r="AA736" s="15" t="n"/>
      <c r="AB736" s="15" t="n"/>
      <c r="AC736" s="15" t="n"/>
      <c r="AD736" s="15" t="n"/>
      <c r="AE736" s="15" t="n"/>
      <c r="AF736" s="15" t="n"/>
      <c r="AG736" s="15" t="n"/>
      <c r="AH736" s="15" t="n"/>
      <c r="AI736" s="15" t="n"/>
    </row>
    <row r="737">
      <c r="A737" s="4" t="inlineStr">
        <is>
          <t>Студент2.19</t>
        </is>
      </c>
      <c r="B737" s="4" t="inlineStr"/>
      <c r="C737" s="4" t="n"/>
      <c r="D737" s="4" t="n"/>
      <c r="E737" s="4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  <c r="O737" s="15" t="n"/>
      <c r="P737" s="15" t="n"/>
      <c r="Q737" s="15" t="n"/>
      <c r="R737" s="15" t="n"/>
      <c r="S737" s="15" t="n"/>
      <c r="T737" s="15" t="n"/>
      <c r="U737" s="15" t="n"/>
      <c r="V737" s="15" t="n"/>
      <c r="W737" s="15" t="n"/>
      <c r="X737" s="15" t="n"/>
      <c r="Y737" s="15" t="n"/>
      <c r="Z737" s="15" t="n"/>
      <c r="AA737" s="15" t="n"/>
      <c r="AB737" s="15" t="n"/>
      <c r="AC737" s="15" t="n"/>
      <c r="AD737" s="15" t="n"/>
      <c r="AE737" s="15" t="n"/>
      <c r="AF737" s="15" t="n"/>
      <c r="AG737" s="15" t="n"/>
      <c r="AH737" s="15" t="n"/>
      <c r="AI737" s="15" t="n"/>
    </row>
    <row r="738">
      <c r="A738" s="4" t="inlineStr">
        <is>
          <t>Студент2.20</t>
        </is>
      </c>
      <c r="B738" s="4" t="inlineStr"/>
      <c r="C738" s="4" t="n"/>
      <c r="D738" s="4" t="n"/>
      <c r="E738" s="4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5" t="n"/>
      <c r="P738" s="15" t="n"/>
      <c r="Q738" s="15" t="n"/>
      <c r="R738" s="15" t="n"/>
      <c r="S738" s="15" t="n"/>
      <c r="T738" s="15" t="n"/>
      <c r="U738" s="15" t="n"/>
      <c r="V738" s="15" t="n"/>
      <c r="W738" s="15" t="n"/>
      <c r="X738" s="15" t="n"/>
      <c r="Y738" s="15" t="n"/>
      <c r="Z738" s="15" t="n"/>
      <c r="AA738" s="15" t="n"/>
      <c r="AB738" s="15" t="n"/>
      <c r="AC738" s="15" t="n"/>
      <c r="AD738" s="15" t="n"/>
      <c r="AE738" s="15" t="n"/>
      <c r="AF738" s="15" t="n"/>
      <c r="AG738" s="15" t="n"/>
      <c r="AH738" s="15" t="n"/>
      <c r="AI738" s="15" t="n"/>
    </row>
    <row r="739">
      <c r="A739" s="4" t="inlineStr">
        <is>
          <t>Студент2.21</t>
        </is>
      </c>
      <c r="B739" s="4" t="inlineStr"/>
      <c r="C739" s="4" t="n"/>
      <c r="D739" s="4" t="n"/>
      <c r="E739" s="4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  <c r="O739" s="15" t="n"/>
      <c r="P739" s="15" t="n"/>
      <c r="Q739" s="15" t="n"/>
      <c r="R739" s="15" t="n"/>
      <c r="S739" s="15" t="n"/>
      <c r="T739" s="15" t="n"/>
      <c r="U739" s="15" t="n"/>
      <c r="V739" s="15" t="n"/>
      <c r="W739" s="15" t="n"/>
      <c r="X739" s="15" t="n"/>
      <c r="Y739" s="15" t="n"/>
      <c r="Z739" s="15" t="n"/>
      <c r="AA739" s="15" t="n"/>
      <c r="AB739" s="15" t="n"/>
      <c r="AC739" s="15" t="n"/>
      <c r="AD739" s="15" t="n"/>
      <c r="AE739" s="15" t="n"/>
      <c r="AF739" s="15" t="n"/>
      <c r="AG739" s="15" t="n"/>
      <c r="AH739" s="15" t="n"/>
      <c r="AI739" s="15" t="n"/>
    </row>
    <row r="740">
      <c r="A740" s="4" t="inlineStr">
        <is>
          <t>Студент2.22</t>
        </is>
      </c>
      <c r="B740" s="4" t="inlineStr"/>
      <c r="C740" s="4" t="n"/>
      <c r="D740" s="4" t="n"/>
      <c r="E740" s="4" t="n"/>
      <c r="F740" s="15" t="n"/>
      <c r="G740" s="15" t="n"/>
      <c r="H740" s="15" t="n"/>
      <c r="I740" s="15" t="n"/>
      <c r="J740" s="15" t="n"/>
      <c r="K740" s="15" t="n"/>
      <c r="L740" s="15" t="n"/>
      <c r="M740" s="15" t="n"/>
      <c r="N740" s="15" t="n"/>
      <c r="O740" s="15" t="n"/>
      <c r="P740" s="15" t="n"/>
      <c r="Q740" s="15" t="n"/>
      <c r="R740" s="15" t="n"/>
      <c r="S740" s="15" t="n"/>
      <c r="T740" s="15" t="n"/>
      <c r="U740" s="15" t="n"/>
      <c r="V740" s="15" t="n"/>
      <c r="W740" s="15" t="n"/>
      <c r="X740" s="15" t="n"/>
      <c r="Y740" s="15" t="n"/>
      <c r="Z740" s="15" t="n"/>
      <c r="AA740" s="15" t="n"/>
      <c r="AB740" s="15" t="n"/>
      <c r="AC740" s="15" t="n"/>
      <c r="AD740" s="15" t="n"/>
      <c r="AE740" s="15" t="n"/>
      <c r="AF740" s="15" t="n"/>
      <c r="AG740" s="15" t="n"/>
      <c r="AH740" s="15" t="n"/>
      <c r="AI740" s="15" t="n"/>
    </row>
    <row r="741">
      <c r="A741" s="4" t="inlineStr">
        <is>
          <t>Студент2.23</t>
        </is>
      </c>
      <c r="B741" s="4" t="inlineStr"/>
      <c r="C741" s="4" t="n"/>
      <c r="D741" s="4" t="n"/>
      <c r="E741" s="4" t="n"/>
      <c r="F741" s="15" t="n"/>
      <c r="G741" s="15" t="n"/>
      <c r="H741" s="15" t="n"/>
      <c r="I741" s="15" t="n"/>
      <c r="J741" s="15" t="n"/>
      <c r="K741" s="15" t="n"/>
      <c r="L741" s="15" t="n"/>
      <c r="M741" s="15" t="n"/>
      <c r="N741" s="15" t="n"/>
      <c r="O741" s="15" t="n"/>
      <c r="P741" s="15" t="n"/>
      <c r="Q741" s="15" t="n"/>
      <c r="R741" s="15" t="n"/>
      <c r="S741" s="15" t="n"/>
      <c r="T741" s="15" t="n"/>
      <c r="U741" s="15" t="n"/>
      <c r="V741" s="15" t="n"/>
      <c r="W741" s="15" t="n"/>
      <c r="X741" s="15" t="n"/>
      <c r="Y741" s="15" t="n"/>
      <c r="Z741" s="15" t="n"/>
      <c r="AA741" s="15" t="n"/>
      <c r="AB741" s="15" t="n"/>
      <c r="AC741" s="15" t="n"/>
      <c r="AD741" s="15" t="n"/>
      <c r="AE741" s="15" t="n"/>
      <c r="AF741" s="15" t="n"/>
      <c r="AG741" s="15" t="n"/>
      <c r="AH741" s="15" t="n"/>
      <c r="AI741" s="15" t="n"/>
    </row>
    <row r="742">
      <c r="A742" s="4" t="inlineStr">
        <is>
          <t>Студент2.24</t>
        </is>
      </c>
      <c r="B742" s="4" t="inlineStr"/>
      <c r="C742" s="4" t="n"/>
      <c r="D742" s="4" t="n"/>
      <c r="E742" s="4" t="n"/>
      <c r="F742" s="15" t="n"/>
      <c r="G742" s="15" t="n"/>
      <c r="H742" s="15" t="n"/>
      <c r="I742" s="15" t="n"/>
      <c r="J742" s="15" t="n"/>
      <c r="K742" s="15" t="n"/>
      <c r="L742" s="15" t="n"/>
      <c r="M742" s="15" t="n"/>
      <c r="N742" s="15" t="n"/>
      <c r="O742" s="15" t="n"/>
      <c r="P742" s="15" t="n"/>
      <c r="Q742" s="15" t="n"/>
      <c r="R742" s="15" t="n"/>
      <c r="S742" s="15" t="n"/>
      <c r="T742" s="15" t="n"/>
      <c r="U742" s="15" t="n"/>
      <c r="V742" s="15" t="n"/>
      <c r="W742" s="15" t="n"/>
      <c r="X742" s="15" t="n"/>
      <c r="Y742" s="15" t="n"/>
      <c r="Z742" s="15" t="n"/>
      <c r="AA742" s="15" t="n"/>
      <c r="AB742" s="15" t="n"/>
      <c r="AC742" s="15" t="n"/>
      <c r="AD742" s="15" t="n"/>
      <c r="AE742" s="15" t="n"/>
      <c r="AF742" s="15" t="n"/>
      <c r="AG742" s="15" t="n"/>
      <c r="AH742" s="15" t="n"/>
      <c r="AI742" s="15" t="n"/>
    </row>
    <row r="743">
      <c r="A743" s="4" t="inlineStr">
        <is>
          <t>Студент2.25</t>
        </is>
      </c>
      <c r="B743" s="4" t="inlineStr"/>
      <c r="C743" s="4" t="n"/>
      <c r="D743" s="4" t="n"/>
      <c r="E743" s="4" t="n"/>
      <c r="F743" s="15" t="n"/>
      <c r="G743" s="15" t="n"/>
      <c r="H743" s="15" t="n"/>
      <c r="I743" s="15" t="n"/>
      <c r="J743" s="15" t="n"/>
      <c r="K743" s="15" t="n"/>
      <c r="L743" s="15" t="n"/>
      <c r="M743" s="15" t="n"/>
      <c r="N743" s="15" t="n"/>
      <c r="O743" s="15" t="n"/>
      <c r="P743" s="15" t="n"/>
      <c r="Q743" s="15" t="n"/>
      <c r="R743" s="15" t="n"/>
      <c r="S743" s="15" t="n"/>
      <c r="T743" s="15" t="n"/>
      <c r="U743" s="15" t="n"/>
      <c r="V743" s="15" t="n"/>
      <c r="W743" s="15" t="n"/>
      <c r="X743" s="15" t="n"/>
      <c r="Y743" s="15" t="n"/>
      <c r="Z743" s="15" t="n"/>
      <c r="AA743" s="15" t="n"/>
      <c r="AB743" s="15" t="n"/>
      <c r="AC743" s="15" t="n"/>
      <c r="AD743" s="15" t="n"/>
      <c r="AE743" s="15" t="n"/>
      <c r="AF743" s="15" t="n"/>
      <c r="AG743" s="15" t="n"/>
      <c r="AH743" s="15" t="n"/>
      <c r="AI743" s="15" t="n"/>
    </row>
    <row r="744">
      <c r="A744" s="4" t="inlineStr">
        <is>
          <t>Студент2.26</t>
        </is>
      </c>
      <c r="B744" s="4" t="inlineStr"/>
      <c r="C744" s="4" t="n"/>
      <c r="D744" s="4" t="n"/>
      <c r="E744" s="4" t="n"/>
      <c r="F744" s="15" t="n"/>
      <c r="G744" s="15" t="n"/>
      <c r="H744" s="15" t="n"/>
      <c r="I744" s="15" t="n"/>
      <c r="J744" s="15" t="n"/>
      <c r="K744" s="15" t="n"/>
      <c r="L744" s="15" t="n"/>
      <c r="M744" s="15" t="n"/>
      <c r="N744" s="15" t="n"/>
      <c r="O744" s="15" t="n"/>
      <c r="P744" s="15" t="n"/>
      <c r="Q744" s="15" t="n"/>
      <c r="R744" s="15" t="n"/>
      <c r="S744" s="15" t="n"/>
      <c r="T744" s="15" t="n"/>
      <c r="U744" s="15" t="n"/>
      <c r="V744" s="15" t="n"/>
      <c r="W744" s="15" t="n"/>
      <c r="X744" s="15" t="n"/>
      <c r="Y744" s="15" t="n"/>
      <c r="Z744" s="15" t="n"/>
      <c r="AA744" s="15" t="n"/>
      <c r="AB744" s="15" t="n"/>
      <c r="AC744" s="15" t="n"/>
      <c r="AD744" s="15" t="n"/>
      <c r="AE744" s="15" t="n"/>
      <c r="AF744" s="15" t="n"/>
      <c r="AG744" s="15" t="n"/>
      <c r="AH744" s="15" t="n"/>
      <c r="AI744" s="15" t="n"/>
    </row>
    <row r="745">
      <c r="A745" s="4" t="inlineStr">
        <is>
          <t>Студент2.27</t>
        </is>
      </c>
      <c r="B745" s="4" t="inlineStr"/>
      <c r="C745" s="4" t="n"/>
      <c r="D745" s="4" t="n"/>
      <c r="E745" s="4" t="n"/>
      <c r="F745" s="15" t="n"/>
      <c r="G745" s="15" t="n"/>
      <c r="H745" s="15" t="n"/>
      <c r="I745" s="15" t="n"/>
      <c r="J745" s="15" t="n"/>
      <c r="K745" s="15" t="n"/>
      <c r="L745" s="15" t="n"/>
      <c r="M745" s="15" t="n"/>
      <c r="N745" s="15" t="n"/>
      <c r="O745" s="15" t="n"/>
      <c r="P745" s="15" t="n"/>
      <c r="Q745" s="15" t="n"/>
      <c r="R745" s="15" t="n"/>
      <c r="S745" s="15" t="n"/>
      <c r="T745" s="15" t="n"/>
      <c r="U745" s="15" t="n"/>
      <c r="V745" s="15" t="n"/>
      <c r="W745" s="15" t="n"/>
      <c r="X745" s="15" t="n"/>
      <c r="Y745" s="15" t="n"/>
      <c r="Z745" s="15" t="n"/>
      <c r="AA745" s="15" t="n"/>
      <c r="AB745" s="15" t="n"/>
      <c r="AC745" s="15" t="n"/>
      <c r="AD745" s="15" t="n"/>
      <c r="AE745" s="15" t="n"/>
      <c r="AF745" s="15" t="n"/>
      <c r="AG745" s="15" t="n"/>
      <c r="AH745" s="15" t="n"/>
      <c r="AI745" s="15" t="n"/>
    </row>
    <row r="746">
      <c r="A746" s="4" t="inlineStr">
        <is>
          <t>Студент2.28</t>
        </is>
      </c>
      <c r="B746" s="4" t="inlineStr"/>
      <c r="C746" s="4" t="n"/>
      <c r="D746" s="4" t="n"/>
      <c r="E746" s="4" t="n"/>
      <c r="F746" s="15" t="n"/>
      <c r="G746" s="15" t="n"/>
      <c r="H746" s="15" t="n"/>
      <c r="I746" s="15" t="n"/>
      <c r="J746" s="15" t="n"/>
      <c r="K746" s="15" t="n"/>
      <c r="L746" s="15" t="n"/>
      <c r="M746" s="15" t="n"/>
      <c r="N746" s="15" t="n"/>
      <c r="O746" s="15" t="n"/>
      <c r="P746" s="15" t="n"/>
      <c r="Q746" s="15" t="n"/>
      <c r="R746" s="15" t="n"/>
      <c r="S746" s="15" t="n"/>
      <c r="T746" s="15" t="n"/>
      <c r="U746" s="15" t="n"/>
      <c r="V746" s="15" t="n"/>
      <c r="W746" s="15" t="n"/>
      <c r="X746" s="15" t="n"/>
      <c r="Y746" s="15" t="n"/>
      <c r="Z746" s="15" t="n"/>
      <c r="AA746" s="15" t="n"/>
      <c r="AB746" s="15" t="n"/>
      <c r="AC746" s="15" t="n"/>
      <c r="AD746" s="15" t="n"/>
      <c r="AE746" s="15" t="n"/>
      <c r="AF746" s="15" t="n"/>
      <c r="AG746" s="15" t="n"/>
      <c r="AH746" s="15" t="n"/>
      <c r="AI746" s="15" t="n"/>
    </row>
    <row r="747">
      <c r="A747" s="4" t="inlineStr">
        <is>
          <t>Студент2.29</t>
        </is>
      </c>
      <c r="B747" s="4" t="inlineStr"/>
      <c r="C747" s="4" t="n"/>
      <c r="D747" s="4" t="n"/>
      <c r="E747" s="4" t="n"/>
      <c r="F747" s="15" t="n"/>
      <c r="G747" s="15" t="n"/>
      <c r="H747" s="15" t="n"/>
      <c r="I747" s="15" t="n"/>
      <c r="J747" s="15" t="n"/>
      <c r="K747" s="15" t="n"/>
      <c r="L747" s="15" t="n"/>
      <c r="M747" s="15" t="n"/>
      <c r="N747" s="15" t="n"/>
      <c r="O747" s="15" t="n"/>
      <c r="P747" s="15" t="n"/>
      <c r="Q747" s="15" t="n"/>
      <c r="R747" s="15" t="n"/>
      <c r="S747" s="15" t="n"/>
      <c r="T747" s="15" t="n"/>
      <c r="U747" s="15" t="n"/>
      <c r="V747" s="15" t="n"/>
      <c r="W747" s="15" t="n"/>
      <c r="X747" s="15" t="n"/>
      <c r="Y747" s="15" t="n"/>
      <c r="Z747" s="15" t="n"/>
      <c r="AA747" s="15" t="n"/>
      <c r="AB747" s="15" t="n"/>
      <c r="AC747" s="15" t="n"/>
      <c r="AD747" s="15" t="n"/>
      <c r="AE747" s="15" t="n"/>
      <c r="AF747" s="15" t="n"/>
      <c r="AG747" s="15" t="n"/>
      <c r="AH747" s="15" t="n"/>
      <c r="AI747" s="15" t="n"/>
    </row>
    <row r="748">
      <c r="A748" s="4" t="inlineStr">
        <is>
          <t>Студент2.30</t>
        </is>
      </c>
      <c r="B748" s="4" t="inlineStr"/>
      <c r="C748" s="4" t="n"/>
      <c r="D748" s="4" t="n"/>
      <c r="E748" s="4" t="n"/>
      <c r="F748" s="15" t="n"/>
      <c r="G748" s="15" t="n"/>
      <c r="H748" s="15" t="n"/>
      <c r="I748" s="15" t="n"/>
      <c r="J748" s="15" t="n"/>
      <c r="K748" s="15" t="n"/>
      <c r="L748" s="15" t="n"/>
      <c r="M748" s="15" t="n"/>
      <c r="N748" s="15" t="n"/>
      <c r="O748" s="15" t="n"/>
      <c r="P748" s="15" t="n"/>
      <c r="Q748" s="15" t="n"/>
      <c r="R748" s="15" t="n"/>
      <c r="S748" s="15" t="n"/>
      <c r="T748" s="15" t="n"/>
      <c r="U748" s="15" t="n"/>
      <c r="V748" s="15" t="n"/>
      <c r="W748" s="15" t="n"/>
      <c r="X748" s="15" t="n"/>
      <c r="Y748" s="15" t="n"/>
      <c r="Z748" s="15" t="n"/>
      <c r="AA748" s="15" t="n"/>
      <c r="AB748" s="15" t="n"/>
      <c r="AC748" s="15" t="n"/>
      <c r="AD748" s="15" t="n"/>
      <c r="AE748" s="15" t="n"/>
      <c r="AF748" s="15" t="n"/>
      <c r="AG748" s="15" t="n"/>
      <c r="AH748" s="15" t="n"/>
      <c r="AI748" s="15" t="n"/>
    </row>
    <row r="752">
      <c r="A752" s="13" t="inlineStr">
        <is>
          <t>Практика 12 — плюсы</t>
        </is>
      </c>
    </row>
    <row r="753" ht="28" customHeight="1">
      <c r="A753" s="7" t="inlineStr">
        <is>
          <t>Имя</t>
        </is>
      </c>
      <c r="B753" s="9" t="inlineStr">
        <is>
          <t>TG</t>
        </is>
      </c>
      <c r="C753" s="10" t="inlineStr">
        <is>
          <t>S</t>
        </is>
      </c>
      <c r="D753" s="8" t="inlineStr">
        <is>
          <t>Коэффициент</t>
        </is>
      </c>
      <c r="E753" s="14" t="inlineStr">
        <is>
          <t>D за практику</t>
        </is>
      </c>
      <c r="F753" s="11" t="inlineStr">
        <is>
          <t>1.0</t>
        </is>
      </c>
      <c r="G753" s="11" t="inlineStr">
        <is>
          <t>2.0</t>
        </is>
      </c>
      <c r="H753" s="11" t="inlineStr">
        <is>
          <t>3.0</t>
        </is>
      </c>
      <c r="I753" s="11" t="inlineStr">
        <is>
          <t>4.0</t>
        </is>
      </c>
      <c r="J753" s="11" t="inlineStr">
        <is>
          <t>5.0</t>
        </is>
      </c>
      <c r="K753" s="11" t="inlineStr">
        <is>
          <t>6</t>
        </is>
      </c>
      <c r="L753" s="11" t="inlineStr">
        <is>
          <t>7</t>
        </is>
      </c>
      <c r="M753" s="11" t="inlineStr">
        <is>
          <t>8</t>
        </is>
      </c>
      <c r="N753" s="11" t="inlineStr">
        <is>
          <t>9</t>
        </is>
      </c>
      <c r="O753" s="11" t="inlineStr">
        <is>
          <t>10</t>
        </is>
      </c>
      <c r="P753" s="11" t="inlineStr">
        <is>
          <t>11</t>
        </is>
      </c>
      <c r="Q753" s="11" t="inlineStr">
        <is>
          <t>12</t>
        </is>
      </c>
      <c r="R753" s="11" t="inlineStr">
        <is>
          <t>13</t>
        </is>
      </c>
      <c r="S753" s="11" t="inlineStr">
        <is>
          <t>14</t>
        </is>
      </c>
      <c r="T753" s="11" t="inlineStr">
        <is>
          <t>15</t>
        </is>
      </c>
      <c r="U753" s="11" t="inlineStr">
        <is>
          <t>16</t>
        </is>
      </c>
      <c r="V753" s="11" t="inlineStr">
        <is>
          <t>17</t>
        </is>
      </c>
      <c r="W753" s="11" t="inlineStr">
        <is>
          <t>18</t>
        </is>
      </c>
      <c r="X753" s="11" t="inlineStr">
        <is>
          <t>19</t>
        </is>
      </c>
      <c r="Y753" s="11" t="inlineStr">
        <is>
          <t>20</t>
        </is>
      </c>
      <c r="Z753" s="11" t="inlineStr">
        <is>
          <t>21</t>
        </is>
      </c>
      <c r="AA753" s="11" t="inlineStr">
        <is>
          <t>22</t>
        </is>
      </c>
      <c r="AB753" s="11" t="inlineStr">
        <is>
          <t>23</t>
        </is>
      </c>
      <c r="AC753" s="11" t="inlineStr">
        <is>
          <t>24</t>
        </is>
      </c>
      <c r="AD753" s="11" t="inlineStr">
        <is>
          <t>25</t>
        </is>
      </c>
      <c r="AE753" s="11" t="inlineStr">
        <is>
          <t>26</t>
        </is>
      </c>
      <c r="AF753" s="11" t="inlineStr">
        <is>
          <t>27</t>
        </is>
      </c>
      <c r="AG753" s="11" t="inlineStr">
        <is>
          <t>28</t>
        </is>
      </c>
      <c r="AH753" s="11" t="inlineStr">
        <is>
          <t>29</t>
        </is>
      </c>
      <c r="AI753" s="11" t="inlineStr">
        <is>
          <t>30</t>
        </is>
      </c>
    </row>
    <row r="754">
      <c r="A754" s="4" t="inlineStr">
        <is>
          <t>Студент2.1</t>
        </is>
      </c>
      <c r="B754" s="4" t="inlineStr"/>
      <c r="C754" s="4">
        <f>IF(A754="","",COUNTIF(F754:AI754,"+")+COUNTIF(F754:AI754,"1"))</f>
        <v/>
      </c>
      <c r="D754" s="4">
        <f>IF(A754="","",IF(C754&gt;2*COUNTA(F$753:AI$753)/3,1,IF(C754&gt;=COUNTA(F$753:AI$753)/2,0.8,0.5)))</f>
        <v/>
      </c>
      <c r="E754" s="4">
        <f>IF(A754="","",SUMIFS('Логи'!$H$4:$H$3006,'Логи'!$A$4:$A$3006,A754,'Логи'!$C$4:$C$3006,12))</f>
        <v/>
      </c>
      <c r="F754" s="15" t="n"/>
      <c r="G754" s="15" t="n"/>
      <c r="H754" s="15" t="n"/>
      <c r="I754" s="15" t="n"/>
      <c r="J754" s="15" t="n"/>
      <c r="K754" s="15" t="n"/>
      <c r="L754" s="15" t="n"/>
      <c r="M754" s="15" t="n"/>
      <c r="N754" s="15" t="n"/>
      <c r="O754" s="15" t="n"/>
      <c r="P754" s="15" t="n"/>
      <c r="Q754" s="15" t="n"/>
      <c r="R754" s="15" t="n"/>
      <c r="S754" s="15" t="n"/>
      <c r="T754" s="15" t="n"/>
      <c r="U754" s="15" t="n"/>
      <c r="V754" s="15" t="n"/>
      <c r="W754" s="15" t="n"/>
      <c r="X754" s="15" t="n"/>
      <c r="Y754" s="15" t="n"/>
      <c r="Z754" s="15" t="n"/>
      <c r="AA754" s="15" t="n"/>
      <c r="AB754" s="15" t="n"/>
      <c r="AC754" s="15" t="n"/>
      <c r="AD754" s="15" t="n"/>
      <c r="AE754" s="15" t="n"/>
      <c r="AF754" s="15" t="n"/>
      <c r="AG754" s="15" t="n"/>
      <c r="AH754" s="15" t="n"/>
      <c r="AI754" s="15" t="n"/>
    </row>
    <row r="755">
      <c r="A755" s="4" t="inlineStr">
        <is>
          <t>Студент2.2</t>
        </is>
      </c>
      <c r="B755" s="4" t="inlineStr"/>
      <c r="C755" s="4">
        <f>IF(A755="","",COUNTIF(F755:AI755,"+")+COUNTIF(F755:AI755,"1"))</f>
        <v/>
      </c>
      <c r="D755" s="4">
        <f>IF(A755="","",IF(C755&gt;2*COUNTA(F$753:AI$753)/3,1,IF(C755&gt;=COUNTA(F$753:AI$753)/2,0.8,0.5)))</f>
        <v/>
      </c>
      <c r="E755" s="4">
        <f>IF(A755="","",SUMIFS('Логи'!$H$4:$H$3006,'Логи'!$A$4:$A$3006,A755,'Логи'!$C$4:$C$3006,12))</f>
        <v/>
      </c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  <c r="O755" s="15" t="n"/>
      <c r="P755" s="15" t="n"/>
      <c r="Q755" s="15" t="n"/>
      <c r="R755" s="15" t="n"/>
      <c r="S755" s="15" t="n"/>
      <c r="T755" s="15" t="n"/>
      <c r="U755" s="15" t="n"/>
      <c r="V755" s="15" t="n"/>
      <c r="W755" s="15" t="n"/>
      <c r="X755" s="15" t="n"/>
      <c r="Y755" s="15" t="n"/>
      <c r="Z755" s="15" t="n"/>
      <c r="AA755" s="15" t="n"/>
      <c r="AB755" s="15" t="n"/>
      <c r="AC755" s="15" t="n"/>
      <c r="AD755" s="15" t="n"/>
      <c r="AE755" s="15" t="n"/>
      <c r="AF755" s="15" t="n"/>
      <c r="AG755" s="15" t="n"/>
      <c r="AH755" s="15" t="n"/>
      <c r="AI755" s="15" t="n"/>
    </row>
    <row r="756">
      <c r="A756" s="4" t="inlineStr">
        <is>
          <t>Студент2.3</t>
        </is>
      </c>
      <c r="B756" s="4" t="inlineStr"/>
      <c r="C756" s="4">
        <f>IF(A756="","",COUNTIF(F756:AI756,"+")+COUNTIF(F756:AI756,"1"))</f>
        <v/>
      </c>
      <c r="D756" s="4">
        <f>IF(A756="","",IF(C756&gt;2*COUNTA(F$753:AI$753)/3,1,IF(C756&gt;=COUNTA(F$753:AI$753)/2,0.8,0.5)))</f>
        <v/>
      </c>
      <c r="E756" s="4">
        <f>IF(A756="","",SUMIFS('Логи'!$H$4:$H$3006,'Логи'!$A$4:$A$3006,A756,'Логи'!$C$4:$C$3006,12))</f>
        <v/>
      </c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  <c r="O756" s="15" t="n"/>
      <c r="P756" s="15" t="n"/>
      <c r="Q756" s="15" t="n"/>
      <c r="R756" s="15" t="n"/>
      <c r="S756" s="15" t="n"/>
      <c r="T756" s="15" t="n"/>
      <c r="U756" s="15" t="n"/>
      <c r="V756" s="15" t="n"/>
      <c r="W756" s="15" t="n"/>
      <c r="X756" s="15" t="n"/>
      <c r="Y756" s="15" t="n"/>
      <c r="Z756" s="15" t="n"/>
      <c r="AA756" s="15" t="n"/>
      <c r="AB756" s="15" t="n"/>
      <c r="AC756" s="15" t="n"/>
      <c r="AD756" s="15" t="n"/>
      <c r="AE756" s="15" t="n"/>
      <c r="AF756" s="15" t="n"/>
      <c r="AG756" s="15" t="n"/>
      <c r="AH756" s="15" t="n"/>
      <c r="AI756" s="15" t="n"/>
    </row>
    <row r="757">
      <c r="A757" s="4" t="inlineStr">
        <is>
          <t>Студент2.4</t>
        </is>
      </c>
      <c r="B757" s="4" t="inlineStr"/>
      <c r="C757" s="4">
        <f>IF(A757="","",COUNTIF(F757:AI757,"+")+COUNTIF(F757:AI757,"1"))</f>
        <v/>
      </c>
      <c r="D757" s="4">
        <f>IF(A757="","",IF(C757&gt;2*COUNTA(F$753:AI$753)/3,1,IF(C757&gt;=COUNTA(F$753:AI$753)/2,0.8,0.5)))</f>
        <v/>
      </c>
      <c r="E757" s="4">
        <f>IF(A757="","",SUMIFS('Логи'!$H$4:$H$3006,'Логи'!$A$4:$A$3006,A757,'Логи'!$C$4:$C$3006,12))</f>
        <v/>
      </c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  <c r="O757" s="15" t="n"/>
      <c r="P757" s="15" t="n"/>
      <c r="Q757" s="15" t="n"/>
      <c r="R757" s="15" t="n"/>
      <c r="S757" s="15" t="n"/>
      <c r="T757" s="15" t="n"/>
      <c r="U757" s="15" t="n"/>
      <c r="V757" s="15" t="n"/>
      <c r="W757" s="15" t="n"/>
      <c r="X757" s="15" t="n"/>
      <c r="Y757" s="15" t="n"/>
      <c r="Z757" s="15" t="n"/>
      <c r="AA757" s="15" t="n"/>
      <c r="AB757" s="15" t="n"/>
      <c r="AC757" s="15" t="n"/>
      <c r="AD757" s="15" t="n"/>
      <c r="AE757" s="15" t="n"/>
      <c r="AF757" s="15" t="n"/>
      <c r="AG757" s="15" t="n"/>
      <c r="AH757" s="15" t="n"/>
      <c r="AI757" s="15" t="n"/>
    </row>
    <row r="758">
      <c r="A758" s="4" t="inlineStr">
        <is>
          <t>Студент2.5</t>
        </is>
      </c>
      <c r="B758" s="4" t="inlineStr"/>
      <c r="C758" s="4">
        <f>IF(A758="","",COUNTIF(F758:AI758,"+")+COUNTIF(F758:AI758,"1"))</f>
        <v/>
      </c>
      <c r="D758" s="4">
        <f>IF(A758="","",IF(C758&gt;2*COUNTA(F$753:AI$753)/3,1,IF(C758&gt;=COUNTA(F$753:AI$753)/2,0.8,0.5)))</f>
        <v/>
      </c>
      <c r="E758" s="4">
        <f>IF(A758="","",SUMIFS('Логи'!$H$4:$H$3006,'Логи'!$A$4:$A$3006,A758,'Логи'!$C$4:$C$3006,12))</f>
        <v/>
      </c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  <c r="O758" s="15" t="n"/>
      <c r="P758" s="15" t="n"/>
      <c r="Q758" s="15" t="n"/>
      <c r="R758" s="15" t="n"/>
      <c r="S758" s="15" t="n"/>
      <c r="T758" s="15" t="n"/>
      <c r="U758" s="15" t="n"/>
      <c r="V758" s="15" t="n"/>
      <c r="W758" s="15" t="n"/>
      <c r="X758" s="15" t="n"/>
      <c r="Y758" s="15" t="n"/>
      <c r="Z758" s="15" t="n"/>
      <c r="AA758" s="15" t="n"/>
      <c r="AB758" s="15" t="n"/>
      <c r="AC758" s="15" t="n"/>
      <c r="AD758" s="15" t="n"/>
      <c r="AE758" s="15" t="n"/>
      <c r="AF758" s="15" t="n"/>
      <c r="AG758" s="15" t="n"/>
      <c r="AH758" s="15" t="n"/>
      <c r="AI758" s="15" t="n"/>
    </row>
    <row r="759">
      <c r="A759" s="4" t="inlineStr">
        <is>
          <t>Студент2.6</t>
        </is>
      </c>
      <c r="B759" s="4" t="inlineStr"/>
      <c r="C759" s="4">
        <f>IF(A759="","",COUNTIF(F759:AI759,"+")+COUNTIF(F759:AI759,"1"))</f>
        <v/>
      </c>
      <c r="D759" s="4">
        <f>IF(A759="","",IF(C759&gt;2*COUNTA(F$753:AI$753)/3,1,IF(C759&gt;=COUNTA(F$753:AI$753)/2,0.8,0.5)))</f>
        <v/>
      </c>
      <c r="E759" s="4">
        <f>IF(A759="","",SUMIFS('Логи'!$H$4:$H$3006,'Логи'!$A$4:$A$3006,A759,'Логи'!$C$4:$C$3006,12))</f>
        <v/>
      </c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  <c r="O759" s="15" t="n"/>
      <c r="P759" s="15" t="n"/>
      <c r="Q759" s="15" t="n"/>
      <c r="R759" s="15" t="n"/>
      <c r="S759" s="15" t="n"/>
      <c r="T759" s="15" t="n"/>
      <c r="U759" s="15" t="n"/>
      <c r="V759" s="15" t="n"/>
      <c r="W759" s="15" t="n"/>
      <c r="X759" s="15" t="n"/>
      <c r="Y759" s="15" t="n"/>
      <c r="Z759" s="15" t="n"/>
      <c r="AA759" s="15" t="n"/>
      <c r="AB759" s="15" t="n"/>
      <c r="AC759" s="15" t="n"/>
      <c r="AD759" s="15" t="n"/>
      <c r="AE759" s="15" t="n"/>
      <c r="AF759" s="15" t="n"/>
      <c r="AG759" s="15" t="n"/>
      <c r="AH759" s="15" t="n"/>
      <c r="AI759" s="15" t="n"/>
    </row>
    <row r="760">
      <c r="A760" s="4" t="inlineStr">
        <is>
          <t>Студент2.7</t>
        </is>
      </c>
      <c r="B760" s="4" t="inlineStr"/>
      <c r="C760" s="4">
        <f>IF(A760="","",COUNTIF(F760:AI760,"+")+COUNTIF(F760:AI760,"1"))</f>
        <v/>
      </c>
      <c r="D760" s="4">
        <f>IF(A760="","",IF(C760&gt;2*COUNTA(F$753:AI$753)/3,1,IF(C760&gt;=COUNTA(F$753:AI$753)/2,0.8,0.5)))</f>
        <v/>
      </c>
      <c r="E760" s="4">
        <f>IF(A760="","",SUMIFS('Логи'!$H$4:$H$3006,'Логи'!$A$4:$A$3006,A760,'Логи'!$C$4:$C$3006,12))</f>
        <v/>
      </c>
      <c r="F760" s="15" t="n"/>
      <c r="G760" s="15" t="n"/>
      <c r="H760" s="15" t="n"/>
      <c r="I760" s="15" t="n"/>
      <c r="J760" s="15" t="n"/>
      <c r="K760" s="15" t="n"/>
      <c r="L760" s="15" t="n"/>
      <c r="M760" s="15" t="n"/>
      <c r="N760" s="15" t="n"/>
      <c r="O760" s="15" t="n"/>
      <c r="P760" s="15" t="n"/>
      <c r="Q760" s="15" t="n"/>
      <c r="R760" s="15" t="n"/>
      <c r="S760" s="15" t="n"/>
      <c r="T760" s="15" t="n"/>
      <c r="U760" s="15" t="n"/>
      <c r="V760" s="15" t="n"/>
      <c r="W760" s="15" t="n"/>
      <c r="X760" s="15" t="n"/>
      <c r="Y760" s="15" t="n"/>
      <c r="Z760" s="15" t="n"/>
      <c r="AA760" s="15" t="n"/>
      <c r="AB760" s="15" t="n"/>
      <c r="AC760" s="15" t="n"/>
      <c r="AD760" s="15" t="n"/>
      <c r="AE760" s="15" t="n"/>
      <c r="AF760" s="15" t="n"/>
      <c r="AG760" s="15" t="n"/>
      <c r="AH760" s="15" t="n"/>
      <c r="AI760" s="15" t="n"/>
    </row>
    <row r="761">
      <c r="A761" s="4" t="inlineStr">
        <is>
          <t>Студент2.8</t>
        </is>
      </c>
      <c r="B761" s="4" t="inlineStr"/>
      <c r="C761" s="4">
        <f>IF(A761="","",COUNTIF(F761:AI761,"+")+COUNTIF(F761:AI761,"1"))</f>
        <v/>
      </c>
      <c r="D761" s="4">
        <f>IF(A761="","",IF(C761&gt;2*COUNTA(F$753:AI$753)/3,1,IF(C761&gt;=COUNTA(F$753:AI$753)/2,0.8,0.5)))</f>
        <v/>
      </c>
      <c r="E761" s="4">
        <f>IF(A761="","",SUMIFS('Логи'!$H$4:$H$3006,'Логи'!$A$4:$A$3006,A761,'Логи'!$C$4:$C$3006,12))</f>
        <v/>
      </c>
      <c r="F761" s="15" t="n"/>
      <c r="G761" s="15" t="n"/>
      <c r="H761" s="15" t="n"/>
      <c r="I761" s="15" t="n"/>
      <c r="J761" s="15" t="n"/>
      <c r="K761" s="15" t="n"/>
      <c r="L761" s="15" t="n"/>
      <c r="M761" s="15" t="n"/>
      <c r="N761" s="15" t="n"/>
      <c r="O761" s="15" t="n"/>
      <c r="P761" s="15" t="n"/>
      <c r="Q761" s="15" t="n"/>
      <c r="R761" s="15" t="n"/>
      <c r="S761" s="15" t="n"/>
      <c r="T761" s="15" t="n"/>
      <c r="U761" s="15" t="n"/>
      <c r="V761" s="15" t="n"/>
      <c r="W761" s="15" t="n"/>
      <c r="X761" s="15" t="n"/>
      <c r="Y761" s="15" t="n"/>
      <c r="Z761" s="15" t="n"/>
      <c r="AA761" s="15" t="n"/>
      <c r="AB761" s="15" t="n"/>
      <c r="AC761" s="15" t="n"/>
      <c r="AD761" s="15" t="n"/>
      <c r="AE761" s="15" t="n"/>
      <c r="AF761" s="15" t="n"/>
      <c r="AG761" s="15" t="n"/>
      <c r="AH761" s="15" t="n"/>
      <c r="AI761" s="15" t="n"/>
    </row>
    <row r="762">
      <c r="A762" s="4" t="inlineStr">
        <is>
          <t>Студент2.9</t>
        </is>
      </c>
      <c r="B762" s="4" t="inlineStr"/>
      <c r="C762" s="4">
        <f>IF(A762="","",COUNTIF(F762:AI762,"+")+COUNTIF(F762:AI762,"1"))</f>
        <v/>
      </c>
      <c r="D762" s="4">
        <f>IF(A762="","",IF(C762&gt;2*COUNTA(F$753:AI$753)/3,1,IF(C762&gt;=COUNTA(F$753:AI$753)/2,0.8,0.5)))</f>
        <v/>
      </c>
      <c r="E762" s="4">
        <f>IF(A762="","",SUMIFS('Логи'!$H$4:$H$3006,'Логи'!$A$4:$A$3006,A762,'Логи'!$C$4:$C$3006,12))</f>
        <v/>
      </c>
      <c r="F762" s="15" t="n"/>
      <c r="G762" s="15" t="n"/>
      <c r="H762" s="15" t="n"/>
      <c r="I762" s="15" t="n"/>
      <c r="J762" s="15" t="n"/>
      <c r="K762" s="15" t="n"/>
      <c r="L762" s="15" t="n"/>
      <c r="M762" s="15" t="n"/>
      <c r="N762" s="15" t="n"/>
      <c r="O762" s="15" t="n"/>
      <c r="P762" s="15" t="n"/>
      <c r="Q762" s="15" t="n"/>
      <c r="R762" s="15" t="n"/>
      <c r="S762" s="15" t="n"/>
      <c r="T762" s="15" t="n"/>
      <c r="U762" s="15" t="n"/>
      <c r="V762" s="15" t="n"/>
      <c r="W762" s="15" t="n"/>
      <c r="X762" s="15" t="n"/>
      <c r="Y762" s="15" t="n"/>
      <c r="Z762" s="15" t="n"/>
      <c r="AA762" s="15" t="n"/>
      <c r="AB762" s="15" t="n"/>
      <c r="AC762" s="15" t="n"/>
      <c r="AD762" s="15" t="n"/>
      <c r="AE762" s="15" t="n"/>
      <c r="AF762" s="15" t="n"/>
      <c r="AG762" s="15" t="n"/>
      <c r="AH762" s="15" t="n"/>
      <c r="AI762" s="15" t="n"/>
    </row>
    <row r="763">
      <c r="A763" s="4" t="inlineStr">
        <is>
          <t>Студент2.10</t>
        </is>
      </c>
      <c r="B763" s="4" t="inlineStr"/>
      <c r="C763" s="4">
        <f>IF(A763="","",COUNTIF(F763:AI763,"+")+COUNTIF(F763:AI763,"1"))</f>
        <v/>
      </c>
      <c r="D763" s="4">
        <f>IF(A763="","",IF(C763&gt;2*COUNTA(F$753:AI$753)/3,1,IF(C763&gt;=COUNTA(F$753:AI$753)/2,0.8,0.5)))</f>
        <v/>
      </c>
      <c r="E763" s="4">
        <f>IF(A763="","",SUMIFS('Логи'!$H$4:$H$3006,'Логи'!$A$4:$A$3006,A763,'Логи'!$C$4:$C$3006,12))</f>
        <v/>
      </c>
      <c r="F763" s="15" t="n"/>
      <c r="G763" s="15" t="n"/>
      <c r="H763" s="15" t="n"/>
      <c r="I763" s="15" t="n"/>
      <c r="J763" s="15" t="n"/>
      <c r="K763" s="15" t="n"/>
      <c r="L763" s="15" t="n"/>
      <c r="M763" s="15" t="n"/>
      <c r="N763" s="15" t="n"/>
      <c r="O763" s="15" t="n"/>
      <c r="P763" s="15" t="n"/>
      <c r="Q763" s="15" t="n"/>
      <c r="R763" s="15" t="n"/>
      <c r="S763" s="15" t="n"/>
      <c r="T763" s="15" t="n"/>
      <c r="U763" s="15" t="n"/>
      <c r="V763" s="15" t="n"/>
      <c r="W763" s="15" t="n"/>
      <c r="X763" s="15" t="n"/>
      <c r="Y763" s="15" t="n"/>
      <c r="Z763" s="15" t="n"/>
      <c r="AA763" s="15" t="n"/>
      <c r="AB763" s="15" t="n"/>
      <c r="AC763" s="15" t="n"/>
      <c r="AD763" s="15" t="n"/>
      <c r="AE763" s="15" t="n"/>
      <c r="AF763" s="15" t="n"/>
      <c r="AG763" s="15" t="n"/>
      <c r="AH763" s="15" t="n"/>
      <c r="AI763" s="15" t="n"/>
    </row>
    <row r="764">
      <c r="A764" s="4" t="inlineStr">
        <is>
          <t>Студент2.11</t>
        </is>
      </c>
      <c r="B764" s="4" t="inlineStr"/>
      <c r="C764" s="4">
        <f>IF(A764="","",COUNTIF(F764:AI764,"+")+COUNTIF(F764:AI764,"1"))</f>
        <v/>
      </c>
      <c r="D764" s="4">
        <f>IF(A764="","",IF(C764&gt;2*COUNTA(F$753:AI$753)/3,1,IF(C764&gt;=COUNTA(F$753:AI$753)/2,0.8,0.5)))</f>
        <v/>
      </c>
      <c r="E764" s="4">
        <f>IF(A764="","",SUMIFS('Логи'!$H$4:$H$3006,'Логи'!$A$4:$A$3006,A764,'Логи'!$C$4:$C$3006,12))</f>
        <v/>
      </c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  <c r="O764" s="15" t="n"/>
      <c r="P764" s="15" t="n"/>
      <c r="Q764" s="15" t="n"/>
      <c r="R764" s="15" t="n"/>
      <c r="S764" s="15" t="n"/>
      <c r="T764" s="15" t="n"/>
      <c r="U764" s="15" t="n"/>
      <c r="V764" s="15" t="n"/>
      <c r="W764" s="15" t="n"/>
      <c r="X764" s="15" t="n"/>
      <c r="Y764" s="15" t="n"/>
      <c r="Z764" s="15" t="n"/>
      <c r="AA764" s="15" t="n"/>
      <c r="AB764" s="15" t="n"/>
      <c r="AC764" s="15" t="n"/>
      <c r="AD764" s="15" t="n"/>
      <c r="AE764" s="15" t="n"/>
      <c r="AF764" s="15" t="n"/>
      <c r="AG764" s="15" t="n"/>
      <c r="AH764" s="15" t="n"/>
      <c r="AI764" s="15" t="n"/>
    </row>
    <row r="765">
      <c r="A765" s="4" t="inlineStr">
        <is>
          <t>Студент2.12</t>
        </is>
      </c>
      <c r="B765" s="4" t="inlineStr"/>
      <c r="C765" s="4">
        <f>IF(A765="","",COUNTIF(F765:AI765,"+")+COUNTIF(F765:AI765,"1"))</f>
        <v/>
      </c>
      <c r="D765" s="4">
        <f>IF(A765="","",IF(C765&gt;2*COUNTA(F$753:AI$753)/3,1,IF(C765&gt;=COUNTA(F$753:AI$753)/2,0.8,0.5)))</f>
        <v/>
      </c>
      <c r="E765" s="4">
        <f>IF(A765="","",SUMIFS('Логи'!$H$4:$H$3006,'Логи'!$A$4:$A$3006,A765,'Логи'!$C$4:$C$3006,12))</f>
        <v/>
      </c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  <c r="O765" s="15" t="n"/>
      <c r="P765" s="15" t="n"/>
      <c r="Q765" s="15" t="n"/>
      <c r="R765" s="15" t="n"/>
      <c r="S765" s="15" t="n"/>
      <c r="T765" s="15" t="n"/>
      <c r="U765" s="15" t="n"/>
      <c r="V765" s="15" t="n"/>
      <c r="W765" s="15" t="n"/>
      <c r="X765" s="15" t="n"/>
      <c r="Y765" s="15" t="n"/>
      <c r="Z765" s="15" t="n"/>
      <c r="AA765" s="15" t="n"/>
      <c r="AB765" s="15" t="n"/>
      <c r="AC765" s="15" t="n"/>
      <c r="AD765" s="15" t="n"/>
      <c r="AE765" s="15" t="n"/>
      <c r="AF765" s="15" t="n"/>
      <c r="AG765" s="15" t="n"/>
      <c r="AH765" s="15" t="n"/>
      <c r="AI765" s="15" t="n"/>
    </row>
    <row r="766">
      <c r="A766" s="4" t="inlineStr">
        <is>
          <t>Студент2.13</t>
        </is>
      </c>
      <c r="B766" s="4" t="inlineStr"/>
      <c r="C766" s="4">
        <f>IF(A766="","",COUNTIF(F766:AI766,"+")+COUNTIF(F766:AI766,"1"))</f>
        <v/>
      </c>
      <c r="D766" s="4">
        <f>IF(A766="","",IF(C766&gt;2*COUNTA(F$753:AI$753)/3,1,IF(C766&gt;=COUNTA(F$753:AI$753)/2,0.8,0.5)))</f>
        <v/>
      </c>
      <c r="E766" s="4">
        <f>IF(A766="","",SUMIFS('Логи'!$H$4:$H$3006,'Логи'!$A$4:$A$3006,A766,'Логи'!$C$4:$C$3006,12))</f>
        <v/>
      </c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  <c r="O766" s="15" t="n"/>
      <c r="P766" s="15" t="n"/>
      <c r="Q766" s="15" t="n"/>
      <c r="R766" s="15" t="n"/>
      <c r="S766" s="15" t="n"/>
      <c r="T766" s="15" t="n"/>
      <c r="U766" s="15" t="n"/>
      <c r="V766" s="15" t="n"/>
      <c r="W766" s="15" t="n"/>
      <c r="X766" s="15" t="n"/>
      <c r="Y766" s="15" t="n"/>
      <c r="Z766" s="15" t="n"/>
      <c r="AA766" s="15" t="n"/>
      <c r="AB766" s="15" t="n"/>
      <c r="AC766" s="15" t="n"/>
      <c r="AD766" s="15" t="n"/>
      <c r="AE766" s="15" t="n"/>
      <c r="AF766" s="15" t="n"/>
      <c r="AG766" s="15" t="n"/>
      <c r="AH766" s="15" t="n"/>
      <c r="AI766" s="15" t="n"/>
    </row>
    <row r="767">
      <c r="A767" s="4" t="inlineStr">
        <is>
          <t>Студент2.14</t>
        </is>
      </c>
      <c r="B767" s="4" t="inlineStr"/>
      <c r="C767" s="4">
        <f>IF(A767="","",COUNTIF(F767:AI767,"+")+COUNTIF(F767:AI767,"1"))</f>
        <v/>
      </c>
      <c r="D767" s="4">
        <f>IF(A767="","",IF(C767&gt;2*COUNTA(F$753:AI$753)/3,1,IF(C767&gt;=COUNTA(F$753:AI$753)/2,0.8,0.5)))</f>
        <v/>
      </c>
      <c r="E767" s="4">
        <f>IF(A767="","",SUMIFS('Логи'!$H$4:$H$3006,'Логи'!$A$4:$A$3006,A767,'Логи'!$C$4:$C$3006,12))</f>
        <v/>
      </c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  <c r="O767" s="15" t="n"/>
      <c r="P767" s="15" t="n"/>
      <c r="Q767" s="15" t="n"/>
      <c r="R767" s="15" t="n"/>
      <c r="S767" s="15" t="n"/>
      <c r="T767" s="15" t="n"/>
      <c r="U767" s="15" t="n"/>
      <c r="V767" s="15" t="n"/>
      <c r="W767" s="15" t="n"/>
      <c r="X767" s="15" t="n"/>
      <c r="Y767" s="15" t="n"/>
      <c r="Z767" s="15" t="n"/>
      <c r="AA767" s="15" t="n"/>
      <c r="AB767" s="15" t="n"/>
      <c r="AC767" s="15" t="n"/>
      <c r="AD767" s="15" t="n"/>
      <c r="AE767" s="15" t="n"/>
      <c r="AF767" s="15" t="n"/>
      <c r="AG767" s="15" t="n"/>
      <c r="AH767" s="15" t="n"/>
      <c r="AI767" s="15" t="n"/>
    </row>
    <row r="768">
      <c r="A768" s="4" t="inlineStr">
        <is>
          <t>Студент2.15</t>
        </is>
      </c>
      <c r="B768" s="4" t="inlineStr"/>
      <c r="C768" s="4">
        <f>IF(A768="","",COUNTIF(F768:AI768,"+")+COUNTIF(F768:AI768,"1"))</f>
        <v/>
      </c>
      <c r="D768" s="4">
        <f>IF(A768="","",IF(C768&gt;2*COUNTA(F$753:AI$753)/3,1,IF(C768&gt;=COUNTA(F$753:AI$753)/2,0.8,0.5)))</f>
        <v/>
      </c>
      <c r="E768" s="4">
        <f>IF(A768="","",SUMIFS('Логи'!$H$4:$H$3006,'Логи'!$A$4:$A$3006,A768,'Логи'!$C$4:$C$3006,12))</f>
        <v/>
      </c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  <c r="O768" s="15" t="n"/>
      <c r="P768" s="15" t="n"/>
      <c r="Q768" s="15" t="n"/>
      <c r="R768" s="15" t="n"/>
      <c r="S768" s="15" t="n"/>
      <c r="T768" s="15" t="n"/>
      <c r="U768" s="15" t="n"/>
      <c r="V768" s="15" t="n"/>
      <c r="W768" s="15" t="n"/>
      <c r="X768" s="15" t="n"/>
      <c r="Y768" s="15" t="n"/>
      <c r="Z768" s="15" t="n"/>
      <c r="AA768" s="15" t="n"/>
      <c r="AB768" s="15" t="n"/>
      <c r="AC768" s="15" t="n"/>
      <c r="AD768" s="15" t="n"/>
      <c r="AE768" s="15" t="n"/>
      <c r="AF768" s="15" t="n"/>
      <c r="AG768" s="15" t="n"/>
      <c r="AH768" s="15" t="n"/>
      <c r="AI768" s="15" t="n"/>
    </row>
    <row r="769">
      <c r="A769" s="4" t="inlineStr">
        <is>
          <t>Студент2.16</t>
        </is>
      </c>
      <c r="B769" s="4" t="inlineStr"/>
      <c r="C769" s="4">
        <f>IF(A769="","",COUNTIF(F769:AI769,"+")+COUNTIF(F769:AI769,"1"))</f>
        <v/>
      </c>
      <c r="D769" s="4">
        <f>IF(A769="","",IF(C769&gt;2*COUNTA(F$753:AI$753)/3,1,IF(C769&gt;=COUNTA(F$753:AI$753)/2,0.8,0.5)))</f>
        <v/>
      </c>
      <c r="E769" s="4">
        <f>IF(A769="","",SUMIFS('Логи'!$H$4:$H$3006,'Логи'!$A$4:$A$3006,A769,'Логи'!$C$4:$C$3006,12))</f>
        <v/>
      </c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5" t="n"/>
      <c r="P769" s="15" t="n"/>
      <c r="Q769" s="15" t="n"/>
      <c r="R769" s="15" t="n"/>
      <c r="S769" s="15" t="n"/>
      <c r="T769" s="15" t="n"/>
      <c r="U769" s="15" t="n"/>
      <c r="V769" s="15" t="n"/>
      <c r="W769" s="15" t="n"/>
      <c r="X769" s="15" t="n"/>
      <c r="Y769" s="15" t="n"/>
      <c r="Z769" s="15" t="n"/>
      <c r="AA769" s="15" t="n"/>
      <c r="AB769" s="15" t="n"/>
      <c r="AC769" s="15" t="n"/>
      <c r="AD769" s="15" t="n"/>
      <c r="AE769" s="15" t="n"/>
      <c r="AF769" s="15" t="n"/>
      <c r="AG769" s="15" t="n"/>
      <c r="AH769" s="15" t="n"/>
      <c r="AI769" s="15" t="n"/>
    </row>
    <row r="770">
      <c r="A770" s="4" t="inlineStr">
        <is>
          <t>Студент2.17</t>
        </is>
      </c>
      <c r="B770" s="4" t="inlineStr"/>
      <c r="C770" s="4">
        <f>IF(A770="","",COUNTIF(F770:AI770,"+")+COUNTIF(F770:AI770,"1"))</f>
        <v/>
      </c>
      <c r="D770" s="4">
        <f>IF(A770="","",IF(C770&gt;2*COUNTA(F$753:AI$753)/3,1,IF(C770&gt;=COUNTA(F$753:AI$753)/2,0.8,0.5)))</f>
        <v/>
      </c>
      <c r="E770" s="4">
        <f>IF(A770="","",SUMIFS('Логи'!$H$4:$H$3006,'Логи'!$A$4:$A$3006,A770,'Логи'!$C$4:$C$3006,12))</f>
        <v/>
      </c>
      <c r="F770" s="15" t="n"/>
      <c r="G770" s="15" t="n"/>
      <c r="H770" s="15" t="n"/>
      <c r="I770" s="15" t="n"/>
      <c r="J770" s="15" t="n"/>
      <c r="K770" s="15" t="n"/>
      <c r="L770" s="15" t="n"/>
      <c r="M770" s="15" t="n"/>
      <c r="N770" s="15" t="n"/>
      <c r="O770" s="15" t="n"/>
      <c r="P770" s="15" t="n"/>
      <c r="Q770" s="15" t="n"/>
      <c r="R770" s="15" t="n"/>
      <c r="S770" s="15" t="n"/>
      <c r="T770" s="15" t="n"/>
      <c r="U770" s="15" t="n"/>
      <c r="V770" s="15" t="n"/>
      <c r="W770" s="15" t="n"/>
      <c r="X770" s="15" t="n"/>
      <c r="Y770" s="15" t="n"/>
      <c r="Z770" s="15" t="n"/>
      <c r="AA770" s="15" t="n"/>
      <c r="AB770" s="15" t="n"/>
      <c r="AC770" s="15" t="n"/>
      <c r="AD770" s="15" t="n"/>
      <c r="AE770" s="15" t="n"/>
      <c r="AF770" s="15" t="n"/>
      <c r="AG770" s="15" t="n"/>
      <c r="AH770" s="15" t="n"/>
      <c r="AI770" s="15" t="n"/>
    </row>
    <row r="771">
      <c r="A771" s="4" t="inlineStr">
        <is>
          <t>Студент2.18</t>
        </is>
      </c>
      <c r="B771" s="4" t="inlineStr"/>
      <c r="C771" s="4">
        <f>IF(A771="","",COUNTIF(F771:AI771,"+")+COUNTIF(F771:AI771,"1"))</f>
        <v/>
      </c>
      <c r="D771" s="4">
        <f>IF(A771="","",IF(C771&gt;2*COUNTA(F$753:AI$753)/3,1,IF(C771&gt;=COUNTA(F$753:AI$753)/2,0.8,0.5)))</f>
        <v/>
      </c>
      <c r="E771" s="4">
        <f>IF(A771="","",SUMIFS('Логи'!$H$4:$H$3006,'Логи'!$A$4:$A$3006,A771,'Логи'!$C$4:$C$3006,12))</f>
        <v/>
      </c>
      <c r="F771" s="15" t="n"/>
      <c r="G771" s="15" t="n"/>
      <c r="H771" s="15" t="n"/>
      <c r="I771" s="15" t="n"/>
      <c r="J771" s="15" t="n"/>
      <c r="K771" s="15" t="n"/>
      <c r="L771" s="15" t="n"/>
      <c r="M771" s="15" t="n"/>
      <c r="N771" s="15" t="n"/>
      <c r="O771" s="15" t="n"/>
      <c r="P771" s="15" t="n"/>
      <c r="Q771" s="15" t="n"/>
      <c r="R771" s="15" t="n"/>
      <c r="S771" s="15" t="n"/>
      <c r="T771" s="15" t="n"/>
      <c r="U771" s="15" t="n"/>
      <c r="V771" s="15" t="n"/>
      <c r="W771" s="15" t="n"/>
      <c r="X771" s="15" t="n"/>
      <c r="Y771" s="15" t="n"/>
      <c r="Z771" s="15" t="n"/>
      <c r="AA771" s="15" t="n"/>
      <c r="AB771" s="15" t="n"/>
      <c r="AC771" s="15" t="n"/>
      <c r="AD771" s="15" t="n"/>
      <c r="AE771" s="15" t="n"/>
      <c r="AF771" s="15" t="n"/>
      <c r="AG771" s="15" t="n"/>
      <c r="AH771" s="15" t="n"/>
      <c r="AI771" s="15" t="n"/>
    </row>
    <row r="772">
      <c r="A772" s="4" t="inlineStr">
        <is>
          <t>Студент2.19</t>
        </is>
      </c>
      <c r="B772" s="4" t="inlineStr"/>
      <c r="C772" s="4">
        <f>IF(A772="","",COUNTIF(F772:AI772,"+")+COUNTIF(F772:AI772,"1"))</f>
        <v/>
      </c>
      <c r="D772" s="4">
        <f>IF(A772="","",IF(C772&gt;2*COUNTA(F$753:AI$753)/3,1,IF(C772&gt;=COUNTA(F$753:AI$753)/2,0.8,0.5)))</f>
        <v/>
      </c>
      <c r="E772" s="4">
        <f>IF(A772="","",SUMIFS('Логи'!$H$4:$H$3006,'Логи'!$A$4:$A$3006,A772,'Логи'!$C$4:$C$3006,12))</f>
        <v/>
      </c>
      <c r="F772" s="15" t="n"/>
      <c r="G772" s="15" t="n"/>
      <c r="H772" s="15" t="n"/>
      <c r="I772" s="15" t="n"/>
      <c r="J772" s="15" t="n"/>
      <c r="K772" s="15" t="n"/>
      <c r="L772" s="15" t="n"/>
      <c r="M772" s="15" t="n"/>
      <c r="N772" s="15" t="n"/>
      <c r="O772" s="15" t="n"/>
      <c r="P772" s="15" t="n"/>
      <c r="Q772" s="15" t="n"/>
      <c r="R772" s="15" t="n"/>
      <c r="S772" s="15" t="n"/>
      <c r="T772" s="15" t="n"/>
      <c r="U772" s="15" t="n"/>
      <c r="V772" s="15" t="n"/>
      <c r="W772" s="15" t="n"/>
      <c r="X772" s="15" t="n"/>
      <c r="Y772" s="15" t="n"/>
      <c r="Z772" s="15" t="n"/>
      <c r="AA772" s="15" t="n"/>
      <c r="AB772" s="15" t="n"/>
      <c r="AC772" s="15" t="n"/>
      <c r="AD772" s="15" t="n"/>
      <c r="AE772" s="15" t="n"/>
      <c r="AF772" s="15" t="n"/>
      <c r="AG772" s="15" t="n"/>
      <c r="AH772" s="15" t="n"/>
      <c r="AI772" s="15" t="n"/>
    </row>
    <row r="773">
      <c r="A773" s="4" t="inlineStr">
        <is>
          <t>Студент2.20</t>
        </is>
      </c>
      <c r="B773" s="4" t="inlineStr"/>
      <c r="C773" s="4">
        <f>IF(A773="","",COUNTIF(F773:AI773,"+")+COUNTIF(F773:AI773,"1"))</f>
        <v/>
      </c>
      <c r="D773" s="4">
        <f>IF(A773="","",IF(C773&gt;2*COUNTA(F$753:AI$753)/3,1,IF(C773&gt;=COUNTA(F$753:AI$753)/2,0.8,0.5)))</f>
        <v/>
      </c>
      <c r="E773" s="4">
        <f>IF(A773="","",SUMIFS('Логи'!$H$4:$H$3006,'Логи'!$A$4:$A$3006,A773,'Логи'!$C$4:$C$3006,12))</f>
        <v/>
      </c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  <c r="O773" s="15" t="n"/>
      <c r="P773" s="15" t="n"/>
      <c r="Q773" s="15" t="n"/>
      <c r="R773" s="15" t="n"/>
      <c r="S773" s="15" t="n"/>
      <c r="T773" s="15" t="n"/>
      <c r="U773" s="15" t="n"/>
      <c r="V773" s="15" t="n"/>
      <c r="W773" s="15" t="n"/>
      <c r="X773" s="15" t="n"/>
      <c r="Y773" s="15" t="n"/>
      <c r="Z773" s="15" t="n"/>
      <c r="AA773" s="15" t="n"/>
      <c r="AB773" s="15" t="n"/>
      <c r="AC773" s="15" t="n"/>
      <c r="AD773" s="15" t="n"/>
      <c r="AE773" s="15" t="n"/>
      <c r="AF773" s="15" t="n"/>
      <c r="AG773" s="15" t="n"/>
      <c r="AH773" s="15" t="n"/>
      <c r="AI773" s="15" t="n"/>
    </row>
    <row r="774">
      <c r="A774" s="4" t="inlineStr">
        <is>
          <t>Студент2.21</t>
        </is>
      </c>
      <c r="B774" s="4" t="inlineStr"/>
      <c r="C774" s="4">
        <f>IF(A774="","",COUNTIF(F774:AI774,"+")+COUNTIF(F774:AI774,"1"))</f>
        <v/>
      </c>
      <c r="D774" s="4">
        <f>IF(A774="","",IF(C774&gt;2*COUNTA(F$753:AI$753)/3,1,IF(C774&gt;=COUNTA(F$753:AI$753)/2,0.8,0.5)))</f>
        <v/>
      </c>
      <c r="E774" s="4">
        <f>IF(A774="","",SUMIFS('Логи'!$H$4:$H$3006,'Логи'!$A$4:$A$3006,A774,'Логи'!$C$4:$C$3006,12))</f>
        <v/>
      </c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  <c r="O774" s="15" t="n"/>
      <c r="P774" s="15" t="n"/>
      <c r="Q774" s="15" t="n"/>
      <c r="R774" s="15" t="n"/>
      <c r="S774" s="15" t="n"/>
      <c r="T774" s="15" t="n"/>
      <c r="U774" s="15" t="n"/>
      <c r="V774" s="15" t="n"/>
      <c r="W774" s="15" t="n"/>
      <c r="X774" s="15" t="n"/>
      <c r="Y774" s="15" t="n"/>
      <c r="Z774" s="15" t="n"/>
      <c r="AA774" s="15" t="n"/>
      <c r="AB774" s="15" t="n"/>
      <c r="AC774" s="15" t="n"/>
      <c r="AD774" s="15" t="n"/>
      <c r="AE774" s="15" t="n"/>
      <c r="AF774" s="15" t="n"/>
      <c r="AG774" s="15" t="n"/>
      <c r="AH774" s="15" t="n"/>
      <c r="AI774" s="15" t="n"/>
    </row>
    <row r="775">
      <c r="A775" s="4" t="inlineStr">
        <is>
          <t>Студент2.22</t>
        </is>
      </c>
      <c r="B775" s="4" t="inlineStr"/>
      <c r="C775" s="4">
        <f>IF(A775="","",COUNTIF(F775:AI775,"+")+COUNTIF(F775:AI775,"1"))</f>
        <v/>
      </c>
      <c r="D775" s="4">
        <f>IF(A775="","",IF(C775&gt;2*COUNTA(F$753:AI$753)/3,1,IF(C775&gt;=COUNTA(F$753:AI$753)/2,0.8,0.5)))</f>
        <v/>
      </c>
      <c r="E775" s="4">
        <f>IF(A775="","",SUMIFS('Логи'!$H$4:$H$3006,'Логи'!$A$4:$A$3006,A775,'Логи'!$C$4:$C$3006,12))</f>
        <v/>
      </c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  <c r="O775" s="15" t="n"/>
      <c r="P775" s="15" t="n"/>
      <c r="Q775" s="15" t="n"/>
      <c r="R775" s="15" t="n"/>
      <c r="S775" s="15" t="n"/>
      <c r="T775" s="15" t="n"/>
      <c r="U775" s="15" t="n"/>
      <c r="V775" s="15" t="n"/>
      <c r="W775" s="15" t="n"/>
      <c r="X775" s="15" t="n"/>
      <c r="Y775" s="15" t="n"/>
      <c r="Z775" s="15" t="n"/>
      <c r="AA775" s="15" t="n"/>
      <c r="AB775" s="15" t="n"/>
      <c r="AC775" s="15" t="n"/>
      <c r="AD775" s="15" t="n"/>
      <c r="AE775" s="15" t="n"/>
      <c r="AF775" s="15" t="n"/>
      <c r="AG775" s="15" t="n"/>
      <c r="AH775" s="15" t="n"/>
      <c r="AI775" s="15" t="n"/>
    </row>
    <row r="776">
      <c r="A776" s="4" t="inlineStr">
        <is>
          <t>Студент2.23</t>
        </is>
      </c>
      <c r="B776" s="4" t="inlineStr"/>
      <c r="C776" s="4">
        <f>IF(A776="","",COUNTIF(F776:AI776,"+")+COUNTIF(F776:AI776,"1"))</f>
        <v/>
      </c>
      <c r="D776" s="4">
        <f>IF(A776="","",IF(C776&gt;2*COUNTA(F$753:AI$753)/3,1,IF(C776&gt;=COUNTA(F$753:AI$753)/2,0.8,0.5)))</f>
        <v/>
      </c>
      <c r="E776" s="4">
        <f>IF(A776="","",SUMIFS('Логи'!$H$4:$H$3006,'Логи'!$A$4:$A$3006,A776,'Логи'!$C$4:$C$3006,12))</f>
        <v/>
      </c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  <c r="O776" s="15" t="n"/>
      <c r="P776" s="15" t="n"/>
      <c r="Q776" s="15" t="n"/>
      <c r="R776" s="15" t="n"/>
      <c r="S776" s="15" t="n"/>
      <c r="T776" s="15" t="n"/>
      <c r="U776" s="15" t="n"/>
      <c r="V776" s="15" t="n"/>
      <c r="W776" s="15" t="n"/>
      <c r="X776" s="15" t="n"/>
      <c r="Y776" s="15" t="n"/>
      <c r="Z776" s="15" t="n"/>
      <c r="AA776" s="15" t="n"/>
      <c r="AB776" s="15" t="n"/>
      <c r="AC776" s="15" t="n"/>
      <c r="AD776" s="15" t="n"/>
      <c r="AE776" s="15" t="n"/>
      <c r="AF776" s="15" t="n"/>
      <c r="AG776" s="15" t="n"/>
      <c r="AH776" s="15" t="n"/>
      <c r="AI776" s="15" t="n"/>
    </row>
    <row r="777">
      <c r="A777" s="4" t="inlineStr">
        <is>
          <t>Студент2.24</t>
        </is>
      </c>
      <c r="B777" s="4" t="inlineStr"/>
      <c r="C777" s="4">
        <f>IF(A777="","",COUNTIF(F777:AI777,"+")+COUNTIF(F777:AI777,"1"))</f>
        <v/>
      </c>
      <c r="D777" s="4">
        <f>IF(A777="","",IF(C777&gt;2*COUNTA(F$753:AI$753)/3,1,IF(C777&gt;=COUNTA(F$753:AI$753)/2,0.8,0.5)))</f>
        <v/>
      </c>
      <c r="E777" s="4">
        <f>IF(A777="","",SUMIFS('Логи'!$H$4:$H$3006,'Логи'!$A$4:$A$3006,A777,'Логи'!$C$4:$C$3006,12))</f>
        <v/>
      </c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  <c r="O777" s="15" t="n"/>
      <c r="P777" s="15" t="n"/>
      <c r="Q777" s="15" t="n"/>
      <c r="R777" s="15" t="n"/>
      <c r="S777" s="15" t="n"/>
      <c r="T777" s="15" t="n"/>
      <c r="U777" s="15" t="n"/>
      <c r="V777" s="15" t="n"/>
      <c r="W777" s="15" t="n"/>
      <c r="X777" s="15" t="n"/>
      <c r="Y777" s="15" t="n"/>
      <c r="Z777" s="15" t="n"/>
      <c r="AA777" s="15" t="n"/>
      <c r="AB777" s="15" t="n"/>
      <c r="AC777" s="15" t="n"/>
      <c r="AD777" s="15" t="n"/>
      <c r="AE777" s="15" t="n"/>
      <c r="AF777" s="15" t="n"/>
      <c r="AG777" s="15" t="n"/>
      <c r="AH777" s="15" t="n"/>
      <c r="AI777" s="15" t="n"/>
    </row>
    <row r="778">
      <c r="A778" s="4" t="inlineStr">
        <is>
          <t>Студент2.25</t>
        </is>
      </c>
      <c r="B778" s="4" t="inlineStr"/>
      <c r="C778" s="4">
        <f>IF(A778="","",COUNTIF(F778:AI778,"+")+COUNTIF(F778:AI778,"1"))</f>
        <v/>
      </c>
      <c r="D778" s="4">
        <f>IF(A778="","",IF(C778&gt;2*COUNTA(F$753:AI$753)/3,1,IF(C778&gt;=COUNTA(F$753:AI$753)/2,0.8,0.5)))</f>
        <v/>
      </c>
      <c r="E778" s="4">
        <f>IF(A778="","",SUMIFS('Логи'!$H$4:$H$3006,'Логи'!$A$4:$A$3006,A778,'Логи'!$C$4:$C$3006,12))</f>
        <v/>
      </c>
      <c r="F778" s="15" t="n"/>
      <c r="G778" s="15" t="n"/>
      <c r="H778" s="15" t="n"/>
      <c r="I778" s="15" t="n"/>
      <c r="J778" s="15" t="n"/>
      <c r="K778" s="15" t="n"/>
      <c r="L778" s="15" t="n"/>
      <c r="M778" s="15" t="n"/>
      <c r="N778" s="15" t="n"/>
      <c r="O778" s="15" t="n"/>
      <c r="P778" s="15" t="n"/>
      <c r="Q778" s="15" t="n"/>
      <c r="R778" s="15" t="n"/>
      <c r="S778" s="15" t="n"/>
      <c r="T778" s="15" t="n"/>
      <c r="U778" s="15" t="n"/>
      <c r="V778" s="15" t="n"/>
      <c r="W778" s="15" t="n"/>
      <c r="X778" s="15" t="n"/>
      <c r="Y778" s="15" t="n"/>
      <c r="Z778" s="15" t="n"/>
      <c r="AA778" s="15" t="n"/>
      <c r="AB778" s="15" t="n"/>
      <c r="AC778" s="15" t="n"/>
      <c r="AD778" s="15" t="n"/>
      <c r="AE778" s="15" t="n"/>
      <c r="AF778" s="15" t="n"/>
      <c r="AG778" s="15" t="n"/>
      <c r="AH778" s="15" t="n"/>
      <c r="AI778" s="15" t="n"/>
    </row>
    <row r="779">
      <c r="A779" s="4" t="inlineStr">
        <is>
          <t>Студент2.26</t>
        </is>
      </c>
      <c r="B779" s="4" t="inlineStr"/>
      <c r="C779" s="4">
        <f>IF(A779="","",COUNTIF(F779:AI779,"+")+COUNTIF(F779:AI779,"1"))</f>
        <v/>
      </c>
      <c r="D779" s="4">
        <f>IF(A779="","",IF(C779&gt;2*COUNTA(F$753:AI$753)/3,1,IF(C779&gt;=COUNTA(F$753:AI$753)/2,0.8,0.5)))</f>
        <v/>
      </c>
      <c r="E779" s="4">
        <f>IF(A779="","",SUMIFS('Логи'!$H$4:$H$3006,'Логи'!$A$4:$A$3006,A779,'Логи'!$C$4:$C$3006,12))</f>
        <v/>
      </c>
      <c r="F779" s="15" t="n"/>
      <c r="G779" s="15" t="n"/>
      <c r="H779" s="15" t="n"/>
      <c r="I779" s="15" t="n"/>
      <c r="J779" s="15" t="n"/>
      <c r="K779" s="15" t="n"/>
      <c r="L779" s="15" t="n"/>
      <c r="M779" s="15" t="n"/>
      <c r="N779" s="15" t="n"/>
      <c r="O779" s="15" t="n"/>
      <c r="P779" s="15" t="n"/>
      <c r="Q779" s="15" t="n"/>
      <c r="R779" s="15" t="n"/>
      <c r="S779" s="15" t="n"/>
      <c r="T779" s="15" t="n"/>
      <c r="U779" s="15" t="n"/>
      <c r="V779" s="15" t="n"/>
      <c r="W779" s="15" t="n"/>
      <c r="X779" s="15" t="n"/>
      <c r="Y779" s="15" t="n"/>
      <c r="Z779" s="15" t="n"/>
      <c r="AA779" s="15" t="n"/>
      <c r="AB779" s="15" t="n"/>
      <c r="AC779" s="15" t="n"/>
      <c r="AD779" s="15" t="n"/>
      <c r="AE779" s="15" t="n"/>
      <c r="AF779" s="15" t="n"/>
      <c r="AG779" s="15" t="n"/>
      <c r="AH779" s="15" t="n"/>
      <c r="AI779" s="15" t="n"/>
    </row>
    <row r="780">
      <c r="A780" s="4" t="inlineStr">
        <is>
          <t>Студент2.27</t>
        </is>
      </c>
      <c r="B780" s="4" t="inlineStr"/>
      <c r="C780" s="4">
        <f>IF(A780="","",COUNTIF(F780:AI780,"+")+COUNTIF(F780:AI780,"1"))</f>
        <v/>
      </c>
      <c r="D780" s="4">
        <f>IF(A780="","",IF(C780&gt;2*COUNTA(F$753:AI$753)/3,1,IF(C780&gt;=COUNTA(F$753:AI$753)/2,0.8,0.5)))</f>
        <v/>
      </c>
      <c r="E780" s="4">
        <f>IF(A780="","",SUMIFS('Логи'!$H$4:$H$3006,'Логи'!$A$4:$A$3006,A780,'Логи'!$C$4:$C$3006,12))</f>
        <v/>
      </c>
      <c r="F780" s="15" t="n"/>
      <c r="G780" s="15" t="n"/>
      <c r="H780" s="15" t="n"/>
      <c r="I780" s="15" t="n"/>
      <c r="J780" s="15" t="n"/>
      <c r="K780" s="15" t="n"/>
      <c r="L780" s="15" t="n"/>
      <c r="M780" s="15" t="n"/>
      <c r="N780" s="15" t="n"/>
      <c r="O780" s="15" t="n"/>
      <c r="P780" s="15" t="n"/>
      <c r="Q780" s="15" t="n"/>
      <c r="R780" s="15" t="n"/>
      <c r="S780" s="15" t="n"/>
      <c r="T780" s="15" t="n"/>
      <c r="U780" s="15" t="n"/>
      <c r="V780" s="15" t="n"/>
      <c r="W780" s="15" t="n"/>
      <c r="X780" s="15" t="n"/>
      <c r="Y780" s="15" t="n"/>
      <c r="Z780" s="15" t="n"/>
      <c r="AA780" s="15" t="n"/>
      <c r="AB780" s="15" t="n"/>
      <c r="AC780" s="15" t="n"/>
      <c r="AD780" s="15" t="n"/>
      <c r="AE780" s="15" t="n"/>
      <c r="AF780" s="15" t="n"/>
      <c r="AG780" s="15" t="n"/>
      <c r="AH780" s="15" t="n"/>
      <c r="AI780" s="15" t="n"/>
    </row>
    <row r="781">
      <c r="A781" s="4" t="inlineStr">
        <is>
          <t>Студент2.28</t>
        </is>
      </c>
      <c r="B781" s="4" t="inlineStr"/>
      <c r="C781" s="4">
        <f>IF(A781="","",COUNTIF(F781:AI781,"+")+COUNTIF(F781:AI781,"1"))</f>
        <v/>
      </c>
      <c r="D781" s="4">
        <f>IF(A781="","",IF(C781&gt;2*COUNTA(F$753:AI$753)/3,1,IF(C781&gt;=COUNTA(F$753:AI$753)/2,0.8,0.5)))</f>
        <v/>
      </c>
      <c r="E781" s="4">
        <f>IF(A781="","",SUMIFS('Логи'!$H$4:$H$3006,'Логи'!$A$4:$A$3006,A781,'Логи'!$C$4:$C$3006,12))</f>
        <v/>
      </c>
      <c r="F781" s="15" t="n"/>
      <c r="G781" s="15" t="n"/>
      <c r="H781" s="15" t="n"/>
      <c r="I781" s="15" t="n"/>
      <c r="J781" s="15" t="n"/>
      <c r="K781" s="15" t="n"/>
      <c r="L781" s="15" t="n"/>
      <c r="M781" s="15" t="n"/>
      <c r="N781" s="15" t="n"/>
      <c r="O781" s="15" t="n"/>
      <c r="P781" s="15" t="n"/>
      <c r="Q781" s="15" t="n"/>
      <c r="R781" s="15" t="n"/>
      <c r="S781" s="15" t="n"/>
      <c r="T781" s="15" t="n"/>
      <c r="U781" s="15" t="n"/>
      <c r="V781" s="15" t="n"/>
      <c r="W781" s="15" t="n"/>
      <c r="X781" s="15" t="n"/>
      <c r="Y781" s="15" t="n"/>
      <c r="Z781" s="15" t="n"/>
      <c r="AA781" s="15" t="n"/>
      <c r="AB781" s="15" t="n"/>
      <c r="AC781" s="15" t="n"/>
      <c r="AD781" s="15" t="n"/>
      <c r="AE781" s="15" t="n"/>
      <c r="AF781" s="15" t="n"/>
      <c r="AG781" s="15" t="n"/>
      <c r="AH781" s="15" t="n"/>
      <c r="AI781" s="15" t="n"/>
    </row>
    <row r="782">
      <c r="A782" s="4" t="inlineStr">
        <is>
          <t>Студент2.29</t>
        </is>
      </c>
      <c r="B782" s="4" t="inlineStr"/>
      <c r="C782" s="4">
        <f>IF(A782="","",COUNTIF(F782:AI782,"+")+COUNTIF(F782:AI782,"1"))</f>
        <v/>
      </c>
      <c r="D782" s="4">
        <f>IF(A782="","",IF(C782&gt;2*COUNTA(F$753:AI$753)/3,1,IF(C782&gt;=COUNTA(F$753:AI$753)/2,0.8,0.5)))</f>
        <v/>
      </c>
      <c r="E782" s="4">
        <f>IF(A782="","",SUMIFS('Логи'!$H$4:$H$3006,'Логи'!$A$4:$A$3006,A782,'Логи'!$C$4:$C$3006,12))</f>
        <v/>
      </c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  <c r="O782" s="15" t="n"/>
      <c r="P782" s="15" t="n"/>
      <c r="Q782" s="15" t="n"/>
      <c r="R782" s="15" t="n"/>
      <c r="S782" s="15" t="n"/>
      <c r="T782" s="15" t="n"/>
      <c r="U782" s="15" t="n"/>
      <c r="V782" s="15" t="n"/>
      <c r="W782" s="15" t="n"/>
      <c r="X782" s="15" t="n"/>
      <c r="Y782" s="15" t="n"/>
      <c r="Z782" s="15" t="n"/>
      <c r="AA782" s="15" t="n"/>
      <c r="AB782" s="15" t="n"/>
      <c r="AC782" s="15" t="n"/>
      <c r="AD782" s="15" t="n"/>
      <c r="AE782" s="15" t="n"/>
      <c r="AF782" s="15" t="n"/>
      <c r="AG782" s="15" t="n"/>
      <c r="AH782" s="15" t="n"/>
      <c r="AI782" s="15" t="n"/>
    </row>
    <row r="783">
      <c r="A783" s="4" t="inlineStr">
        <is>
          <t>Студент2.30</t>
        </is>
      </c>
      <c r="B783" s="4" t="inlineStr"/>
      <c r="C783" s="4">
        <f>IF(A783="","",COUNTIF(F783:AI783,"+")+COUNTIF(F783:AI783,"1"))</f>
        <v/>
      </c>
      <c r="D783" s="4">
        <f>IF(A783="","",IF(C783&gt;2*COUNTA(F$753:AI$753)/3,1,IF(C783&gt;=COUNTA(F$753:AI$753)/2,0.8,0.5)))</f>
        <v/>
      </c>
      <c r="E783" s="4">
        <f>IF(A783="","",SUMIFS('Логи'!$H$4:$H$3006,'Логи'!$A$4:$A$3006,A783,'Логи'!$C$4:$C$3006,12))</f>
        <v/>
      </c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  <c r="O783" s="15" t="n"/>
      <c r="P783" s="15" t="n"/>
      <c r="Q783" s="15" t="n"/>
      <c r="R783" s="15" t="n"/>
      <c r="S783" s="15" t="n"/>
      <c r="T783" s="15" t="n"/>
      <c r="U783" s="15" t="n"/>
      <c r="V783" s="15" t="n"/>
      <c r="W783" s="15" t="n"/>
      <c r="X783" s="15" t="n"/>
      <c r="Y783" s="15" t="n"/>
      <c r="Z783" s="15" t="n"/>
      <c r="AA783" s="15" t="n"/>
      <c r="AB783" s="15" t="n"/>
      <c r="AC783" s="15" t="n"/>
      <c r="AD783" s="15" t="n"/>
      <c r="AE783" s="15" t="n"/>
      <c r="AF783" s="15" t="n"/>
      <c r="AG783" s="15" t="n"/>
      <c r="AH783" s="15" t="n"/>
      <c r="AI783" s="15" t="n"/>
    </row>
    <row r="785">
      <c r="A785" s="16" t="inlineStr">
        <is>
          <t>Практика 12 — результаты рассказа</t>
        </is>
      </c>
    </row>
    <row r="786" ht="28" customHeight="1">
      <c r="A786" s="7" t="inlineStr">
        <is>
          <t>Имя</t>
        </is>
      </c>
      <c r="B786" s="9" t="inlineStr">
        <is>
          <t>TG</t>
        </is>
      </c>
      <c r="C786" s="10" t="inlineStr"/>
      <c r="D786" s="2" t="inlineStr"/>
      <c r="E786" s="2" t="inlineStr"/>
      <c r="F786" s="11" t="inlineStr">
        <is>
          <t>1.0</t>
        </is>
      </c>
      <c r="G786" s="11" t="inlineStr">
        <is>
          <t>2.0</t>
        </is>
      </c>
      <c r="H786" s="11" t="inlineStr">
        <is>
          <t>3.0</t>
        </is>
      </c>
      <c r="I786" s="11" t="inlineStr">
        <is>
          <t>4.0</t>
        </is>
      </c>
      <c r="J786" s="11" t="inlineStr">
        <is>
          <t>5.0</t>
        </is>
      </c>
      <c r="K786" s="11" t="inlineStr">
        <is>
          <t>6</t>
        </is>
      </c>
      <c r="L786" s="11" t="inlineStr">
        <is>
          <t>7</t>
        </is>
      </c>
      <c r="M786" s="11" t="inlineStr">
        <is>
          <t>8</t>
        </is>
      </c>
      <c r="N786" s="11" t="inlineStr">
        <is>
          <t>9</t>
        </is>
      </c>
      <c r="O786" s="11" t="inlineStr">
        <is>
          <t>10</t>
        </is>
      </c>
      <c r="P786" s="11" t="inlineStr">
        <is>
          <t>11</t>
        </is>
      </c>
      <c r="Q786" s="11" t="inlineStr">
        <is>
          <t>12</t>
        </is>
      </c>
      <c r="R786" s="11" t="inlineStr">
        <is>
          <t>13</t>
        </is>
      </c>
      <c r="S786" s="11" t="inlineStr">
        <is>
          <t>14</t>
        </is>
      </c>
      <c r="T786" s="11" t="inlineStr">
        <is>
          <t>15</t>
        </is>
      </c>
      <c r="U786" s="11" t="inlineStr">
        <is>
          <t>16</t>
        </is>
      </c>
      <c r="V786" s="11" t="inlineStr">
        <is>
          <t>17</t>
        </is>
      </c>
      <c r="W786" s="11" t="inlineStr">
        <is>
          <t>18</t>
        </is>
      </c>
      <c r="X786" s="11" t="inlineStr">
        <is>
          <t>19</t>
        </is>
      </c>
      <c r="Y786" s="11" t="inlineStr">
        <is>
          <t>20</t>
        </is>
      </c>
      <c r="Z786" s="11" t="inlineStr">
        <is>
          <t>21</t>
        </is>
      </c>
      <c r="AA786" s="11" t="inlineStr">
        <is>
          <t>22</t>
        </is>
      </c>
      <c r="AB786" s="11" t="inlineStr">
        <is>
          <t>23</t>
        </is>
      </c>
      <c r="AC786" s="11" t="inlineStr">
        <is>
          <t>24</t>
        </is>
      </c>
      <c r="AD786" s="11" t="inlineStr">
        <is>
          <t>25</t>
        </is>
      </c>
      <c r="AE786" s="11" t="inlineStr">
        <is>
          <t>26</t>
        </is>
      </c>
      <c r="AF786" s="11" t="inlineStr">
        <is>
          <t>27</t>
        </is>
      </c>
      <c r="AG786" s="11" t="inlineStr">
        <is>
          <t>28</t>
        </is>
      </c>
      <c r="AH786" s="11" t="inlineStr">
        <is>
          <t>29</t>
        </is>
      </c>
      <c r="AI786" s="11" t="inlineStr">
        <is>
          <t>30</t>
        </is>
      </c>
    </row>
    <row r="787">
      <c r="A787" s="4" t="inlineStr">
        <is>
          <t>Студент2.1</t>
        </is>
      </c>
      <c r="B787" s="4" t="inlineStr"/>
      <c r="C787" s="4" t="n"/>
      <c r="D787" s="4" t="n"/>
      <c r="E787" s="4" t="n"/>
      <c r="F787" s="15" t="n"/>
      <c r="G787" s="15" t="n"/>
      <c r="H787" s="15" t="n"/>
      <c r="I787" s="15" t="n"/>
      <c r="J787" s="15" t="n"/>
      <c r="K787" s="15" t="n"/>
      <c r="L787" s="15" t="n"/>
      <c r="M787" s="15" t="n"/>
      <c r="N787" s="15" t="n"/>
      <c r="O787" s="15" t="n"/>
      <c r="P787" s="15" t="n"/>
      <c r="Q787" s="15" t="n"/>
      <c r="R787" s="15" t="n"/>
      <c r="S787" s="15" t="n"/>
      <c r="T787" s="15" t="n"/>
      <c r="U787" s="15" t="n"/>
      <c r="V787" s="15" t="n"/>
      <c r="W787" s="15" t="n"/>
      <c r="X787" s="15" t="n"/>
      <c r="Y787" s="15" t="n"/>
      <c r="Z787" s="15" t="n"/>
      <c r="AA787" s="15" t="n"/>
      <c r="AB787" s="15" t="n"/>
      <c r="AC787" s="15" t="n"/>
      <c r="AD787" s="15" t="n"/>
      <c r="AE787" s="15" t="n"/>
      <c r="AF787" s="15" t="n"/>
      <c r="AG787" s="15" t="n"/>
      <c r="AH787" s="15" t="n"/>
      <c r="AI787" s="15" t="n"/>
    </row>
    <row r="788">
      <c r="A788" s="4" t="inlineStr">
        <is>
          <t>Студент2.2</t>
        </is>
      </c>
      <c r="B788" s="4" t="inlineStr"/>
      <c r="C788" s="4" t="n"/>
      <c r="D788" s="4" t="n"/>
      <c r="E788" s="4" t="n"/>
      <c r="F788" s="15" t="n"/>
      <c r="G788" s="15" t="n"/>
      <c r="H788" s="15" t="n"/>
      <c r="I788" s="15" t="n"/>
      <c r="J788" s="15" t="n"/>
      <c r="K788" s="15" t="n"/>
      <c r="L788" s="15" t="n"/>
      <c r="M788" s="15" t="n"/>
      <c r="N788" s="15" t="n"/>
      <c r="O788" s="15" t="n"/>
      <c r="P788" s="15" t="n"/>
      <c r="Q788" s="15" t="n"/>
      <c r="R788" s="15" t="n"/>
      <c r="S788" s="15" t="n"/>
      <c r="T788" s="15" t="n"/>
      <c r="U788" s="15" t="n"/>
      <c r="V788" s="15" t="n"/>
      <c r="W788" s="15" t="n"/>
      <c r="X788" s="15" t="n"/>
      <c r="Y788" s="15" t="n"/>
      <c r="Z788" s="15" t="n"/>
      <c r="AA788" s="15" t="n"/>
      <c r="AB788" s="15" t="n"/>
      <c r="AC788" s="15" t="n"/>
      <c r="AD788" s="15" t="n"/>
      <c r="AE788" s="15" t="n"/>
      <c r="AF788" s="15" t="n"/>
      <c r="AG788" s="15" t="n"/>
      <c r="AH788" s="15" t="n"/>
      <c r="AI788" s="15" t="n"/>
    </row>
    <row r="789">
      <c r="A789" s="4" t="inlineStr">
        <is>
          <t>Студент2.3</t>
        </is>
      </c>
      <c r="B789" s="4" t="inlineStr"/>
      <c r="C789" s="4" t="n"/>
      <c r="D789" s="4" t="n"/>
      <c r="E789" s="4" t="n"/>
      <c r="F789" s="15" t="n"/>
      <c r="G789" s="15" t="n"/>
      <c r="H789" s="15" t="n"/>
      <c r="I789" s="15" t="n"/>
      <c r="J789" s="15" t="n"/>
      <c r="K789" s="15" t="n"/>
      <c r="L789" s="15" t="n"/>
      <c r="M789" s="15" t="n"/>
      <c r="N789" s="15" t="n"/>
      <c r="O789" s="15" t="n"/>
      <c r="P789" s="15" t="n"/>
      <c r="Q789" s="15" t="n"/>
      <c r="R789" s="15" t="n"/>
      <c r="S789" s="15" t="n"/>
      <c r="T789" s="15" t="n"/>
      <c r="U789" s="15" t="n"/>
      <c r="V789" s="15" t="n"/>
      <c r="W789" s="15" t="n"/>
      <c r="X789" s="15" t="n"/>
      <c r="Y789" s="15" t="n"/>
      <c r="Z789" s="15" t="n"/>
      <c r="AA789" s="15" t="n"/>
      <c r="AB789" s="15" t="n"/>
      <c r="AC789" s="15" t="n"/>
      <c r="AD789" s="15" t="n"/>
      <c r="AE789" s="15" t="n"/>
      <c r="AF789" s="15" t="n"/>
      <c r="AG789" s="15" t="n"/>
      <c r="AH789" s="15" t="n"/>
      <c r="AI789" s="15" t="n"/>
    </row>
    <row r="790">
      <c r="A790" s="4" t="inlineStr">
        <is>
          <t>Студент2.4</t>
        </is>
      </c>
      <c r="B790" s="4" t="inlineStr"/>
      <c r="C790" s="4" t="n"/>
      <c r="D790" s="4" t="n"/>
      <c r="E790" s="4" t="n"/>
      <c r="F790" s="15" t="n"/>
      <c r="G790" s="15" t="n"/>
      <c r="H790" s="15" t="n"/>
      <c r="I790" s="15" t="n"/>
      <c r="J790" s="15" t="n"/>
      <c r="K790" s="15" t="n"/>
      <c r="L790" s="15" t="n"/>
      <c r="M790" s="15" t="n"/>
      <c r="N790" s="15" t="n"/>
      <c r="O790" s="15" t="n"/>
      <c r="P790" s="15" t="n"/>
      <c r="Q790" s="15" t="n"/>
      <c r="R790" s="15" t="n"/>
      <c r="S790" s="15" t="n"/>
      <c r="T790" s="15" t="n"/>
      <c r="U790" s="15" t="n"/>
      <c r="V790" s="15" t="n"/>
      <c r="W790" s="15" t="n"/>
      <c r="X790" s="15" t="n"/>
      <c r="Y790" s="15" t="n"/>
      <c r="Z790" s="15" t="n"/>
      <c r="AA790" s="15" t="n"/>
      <c r="AB790" s="15" t="n"/>
      <c r="AC790" s="15" t="n"/>
      <c r="AD790" s="15" t="n"/>
      <c r="AE790" s="15" t="n"/>
      <c r="AF790" s="15" t="n"/>
      <c r="AG790" s="15" t="n"/>
      <c r="AH790" s="15" t="n"/>
      <c r="AI790" s="15" t="n"/>
    </row>
    <row r="791">
      <c r="A791" s="4" t="inlineStr">
        <is>
          <t>Студент2.5</t>
        </is>
      </c>
      <c r="B791" s="4" t="inlineStr"/>
      <c r="C791" s="4" t="n"/>
      <c r="D791" s="4" t="n"/>
      <c r="E791" s="4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  <c r="O791" s="15" t="n"/>
      <c r="P791" s="15" t="n"/>
      <c r="Q791" s="15" t="n"/>
      <c r="R791" s="15" t="n"/>
      <c r="S791" s="15" t="n"/>
      <c r="T791" s="15" t="n"/>
      <c r="U791" s="15" t="n"/>
      <c r="V791" s="15" t="n"/>
      <c r="W791" s="15" t="n"/>
      <c r="X791" s="15" t="n"/>
      <c r="Y791" s="15" t="n"/>
      <c r="Z791" s="15" t="n"/>
      <c r="AA791" s="15" t="n"/>
      <c r="AB791" s="15" t="n"/>
      <c r="AC791" s="15" t="n"/>
      <c r="AD791" s="15" t="n"/>
      <c r="AE791" s="15" t="n"/>
      <c r="AF791" s="15" t="n"/>
      <c r="AG791" s="15" t="n"/>
      <c r="AH791" s="15" t="n"/>
      <c r="AI791" s="15" t="n"/>
    </row>
    <row r="792">
      <c r="A792" s="4" t="inlineStr">
        <is>
          <t>Студент2.6</t>
        </is>
      </c>
      <c r="B792" s="4" t="inlineStr"/>
      <c r="C792" s="4" t="n"/>
      <c r="D792" s="4" t="n"/>
      <c r="E792" s="4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  <c r="O792" s="15" t="n"/>
      <c r="P792" s="15" t="n"/>
      <c r="Q792" s="15" t="n"/>
      <c r="R792" s="15" t="n"/>
      <c r="S792" s="15" t="n"/>
      <c r="T792" s="15" t="n"/>
      <c r="U792" s="15" t="n"/>
      <c r="V792" s="15" t="n"/>
      <c r="W792" s="15" t="n"/>
      <c r="X792" s="15" t="n"/>
      <c r="Y792" s="15" t="n"/>
      <c r="Z792" s="15" t="n"/>
      <c r="AA792" s="15" t="n"/>
      <c r="AB792" s="15" t="n"/>
      <c r="AC792" s="15" t="n"/>
      <c r="AD792" s="15" t="n"/>
      <c r="AE792" s="15" t="n"/>
      <c r="AF792" s="15" t="n"/>
      <c r="AG792" s="15" t="n"/>
      <c r="AH792" s="15" t="n"/>
      <c r="AI792" s="15" t="n"/>
    </row>
    <row r="793">
      <c r="A793" s="4" t="inlineStr">
        <is>
          <t>Студент2.7</t>
        </is>
      </c>
      <c r="B793" s="4" t="inlineStr"/>
      <c r="C793" s="4" t="n"/>
      <c r="D793" s="4" t="n"/>
      <c r="E793" s="4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  <c r="O793" s="15" t="n"/>
      <c r="P793" s="15" t="n"/>
      <c r="Q793" s="15" t="n"/>
      <c r="R793" s="15" t="n"/>
      <c r="S793" s="15" t="n"/>
      <c r="T793" s="15" t="n"/>
      <c r="U793" s="15" t="n"/>
      <c r="V793" s="15" t="n"/>
      <c r="W793" s="15" t="n"/>
      <c r="X793" s="15" t="n"/>
      <c r="Y793" s="15" t="n"/>
      <c r="Z793" s="15" t="n"/>
      <c r="AA793" s="15" t="n"/>
      <c r="AB793" s="15" t="n"/>
      <c r="AC793" s="15" t="n"/>
      <c r="AD793" s="15" t="n"/>
      <c r="AE793" s="15" t="n"/>
      <c r="AF793" s="15" t="n"/>
      <c r="AG793" s="15" t="n"/>
      <c r="AH793" s="15" t="n"/>
      <c r="AI793" s="15" t="n"/>
    </row>
    <row r="794">
      <c r="A794" s="4" t="inlineStr">
        <is>
          <t>Студент2.8</t>
        </is>
      </c>
      <c r="B794" s="4" t="inlineStr"/>
      <c r="C794" s="4" t="n"/>
      <c r="D794" s="4" t="n"/>
      <c r="E794" s="4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  <c r="O794" s="15" t="n"/>
      <c r="P794" s="15" t="n"/>
      <c r="Q794" s="15" t="n"/>
      <c r="R794" s="15" t="n"/>
      <c r="S794" s="15" t="n"/>
      <c r="T794" s="15" t="n"/>
      <c r="U794" s="15" t="n"/>
      <c r="V794" s="15" t="n"/>
      <c r="W794" s="15" t="n"/>
      <c r="X794" s="15" t="n"/>
      <c r="Y794" s="15" t="n"/>
      <c r="Z794" s="15" t="n"/>
      <c r="AA794" s="15" t="n"/>
      <c r="AB794" s="15" t="n"/>
      <c r="AC794" s="15" t="n"/>
      <c r="AD794" s="15" t="n"/>
      <c r="AE794" s="15" t="n"/>
      <c r="AF794" s="15" t="n"/>
      <c r="AG794" s="15" t="n"/>
      <c r="AH794" s="15" t="n"/>
      <c r="AI794" s="15" t="n"/>
    </row>
    <row r="795">
      <c r="A795" s="4" t="inlineStr">
        <is>
          <t>Студент2.9</t>
        </is>
      </c>
      <c r="B795" s="4" t="inlineStr"/>
      <c r="C795" s="4" t="n"/>
      <c r="D795" s="4" t="n"/>
      <c r="E795" s="4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  <c r="O795" s="15" t="n"/>
      <c r="P795" s="15" t="n"/>
      <c r="Q795" s="15" t="n"/>
      <c r="R795" s="15" t="n"/>
      <c r="S795" s="15" t="n"/>
      <c r="T795" s="15" t="n"/>
      <c r="U795" s="15" t="n"/>
      <c r="V795" s="15" t="n"/>
      <c r="W795" s="15" t="n"/>
      <c r="X795" s="15" t="n"/>
      <c r="Y795" s="15" t="n"/>
      <c r="Z795" s="15" t="n"/>
      <c r="AA795" s="15" t="n"/>
      <c r="AB795" s="15" t="n"/>
      <c r="AC795" s="15" t="n"/>
      <c r="AD795" s="15" t="n"/>
      <c r="AE795" s="15" t="n"/>
      <c r="AF795" s="15" t="n"/>
      <c r="AG795" s="15" t="n"/>
      <c r="AH795" s="15" t="n"/>
      <c r="AI795" s="15" t="n"/>
    </row>
    <row r="796">
      <c r="A796" s="4" t="inlineStr">
        <is>
          <t>Студент2.10</t>
        </is>
      </c>
      <c r="B796" s="4" t="inlineStr"/>
      <c r="C796" s="4" t="n"/>
      <c r="D796" s="4" t="n"/>
      <c r="E796" s="4" t="n"/>
      <c r="F796" s="15" t="n"/>
      <c r="G796" s="15" t="n"/>
      <c r="H796" s="15" t="n"/>
      <c r="I796" s="15" t="n"/>
      <c r="J796" s="15" t="n"/>
      <c r="K796" s="15" t="n"/>
      <c r="L796" s="15" t="n"/>
      <c r="M796" s="15" t="n"/>
      <c r="N796" s="15" t="n"/>
      <c r="O796" s="15" t="n"/>
      <c r="P796" s="15" t="n"/>
      <c r="Q796" s="15" t="n"/>
      <c r="R796" s="15" t="n"/>
      <c r="S796" s="15" t="n"/>
      <c r="T796" s="15" t="n"/>
      <c r="U796" s="15" t="n"/>
      <c r="V796" s="15" t="n"/>
      <c r="W796" s="15" t="n"/>
      <c r="X796" s="15" t="n"/>
      <c r="Y796" s="15" t="n"/>
      <c r="Z796" s="15" t="n"/>
      <c r="AA796" s="15" t="n"/>
      <c r="AB796" s="15" t="n"/>
      <c r="AC796" s="15" t="n"/>
      <c r="AD796" s="15" t="n"/>
      <c r="AE796" s="15" t="n"/>
      <c r="AF796" s="15" t="n"/>
      <c r="AG796" s="15" t="n"/>
      <c r="AH796" s="15" t="n"/>
      <c r="AI796" s="15" t="n"/>
    </row>
    <row r="797">
      <c r="A797" s="4" t="inlineStr">
        <is>
          <t>Студент2.11</t>
        </is>
      </c>
      <c r="B797" s="4" t="inlineStr"/>
      <c r="C797" s="4" t="n"/>
      <c r="D797" s="4" t="n"/>
      <c r="E797" s="4" t="n"/>
      <c r="F797" s="15" t="n"/>
      <c r="G797" s="15" t="n"/>
      <c r="H797" s="15" t="n"/>
      <c r="I797" s="15" t="n"/>
      <c r="J797" s="15" t="n"/>
      <c r="K797" s="15" t="n"/>
      <c r="L797" s="15" t="n"/>
      <c r="M797" s="15" t="n"/>
      <c r="N797" s="15" t="n"/>
      <c r="O797" s="15" t="n"/>
      <c r="P797" s="15" t="n"/>
      <c r="Q797" s="15" t="n"/>
      <c r="R797" s="15" t="n"/>
      <c r="S797" s="15" t="n"/>
      <c r="T797" s="15" t="n"/>
      <c r="U797" s="15" t="n"/>
      <c r="V797" s="15" t="n"/>
      <c r="W797" s="15" t="n"/>
      <c r="X797" s="15" t="n"/>
      <c r="Y797" s="15" t="n"/>
      <c r="Z797" s="15" t="n"/>
      <c r="AA797" s="15" t="n"/>
      <c r="AB797" s="15" t="n"/>
      <c r="AC797" s="15" t="n"/>
      <c r="AD797" s="15" t="n"/>
      <c r="AE797" s="15" t="n"/>
      <c r="AF797" s="15" t="n"/>
      <c r="AG797" s="15" t="n"/>
      <c r="AH797" s="15" t="n"/>
      <c r="AI797" s="15" t="n"/>
    </row>
    <row r="798">
      <c r="A798" s="4" t="inlineStr">
        <is>
          <t>Студент2.12</t>
        </is>
      </c>
      <c r="B798" s="4" t="inlineStr"/>
      <c r="C798" s="4" t="n"/>
      <c r="D798" s="4" t="n"/>
      <c r="E798" s="4" t="n"/>
      <c r="F798" s="15" t="n"/>
      <c r="G798" s="15" t="n"/>
      <c r="H798" s="15" t="n"/>
      <c r="I798" s="15" t="n"/>
      <c r="J798" s="15" t="n"/>
      <c r="K798" s="15" t="n"/>
      <c r="L798" s="15" t="n"/>
      <c r="M798" s="15" t="n"/>
      <c r="N798" s="15" t="n"/>
      <c r="O798" s="15" t="n"/>
      <c r="P798" s="15" t="n"/>
      <c r="Q798" s="15" t="n"/>
      <c r="R798" s="15" t="n"/>
      <c r="S798" s="15" t="n"/>
      <c r="T798" s="15" t="n"/>
      <c r="U798" s="15" t="n"/>
      <c r="V798" s="15" t="n"/>
      <c r="W798" s="15" t="n"/>
      <c r="X798" s="15" t="n"/>
      <c r="Y798" s="15" t="n"/>
      <c r="Z798" s="15" t="n"/>
      <c r="AA798" s="15" t="n"/>
      <c r="AB798" s="15" t="n"/>
      <c r="AC798" s="15" t="n"/>
      <c r="AD798" s="15" t="n"/>
      <c r="AE798" s="15" t="n"/>
      <c r="AF798" s="15" t="n"/>
      <c r="AG798" s="15" t="n"/>
      <c r="AH798" s="15" t="n"/>
      <c r="AI798" s="15" t="n"/>
    </row>
    <row r="799">
      <c r="A799" s="4" t="inlineStr">
        <is>
          <t>Студент2.13</t>
        </is>
      </c>
      <c r="B799" s="4" t="inlineStr"/>
      <c r="C799" s="4" t="n"/>
      <c r="D799" s="4" t="n"/>
      <c r="E799" s="4" t="n"/>
      <c r="F799" s="15" t="n"/>
      <c r="G799" s="15" t="n"/>
      <c r="H799" s="15" t="n"/>
      <c r="I799" s="15" t="n"/>
      <c r="J799" s="15" t="n"/>
      <c r="K799" s="15" t="n"/>
      <c r="L799" s="15" t="n"/>
      <c r="M799" s="15" t="n"/>
      <c r="N799" s="15" t="n"/>
      <c r="O799" s="15" t="n"/>
      <c r="P799" s="15" t="n"/>
      <c r="Q799" s="15" t="n"/>
      <c r="R799" s="15" t="n"/>
      <c r="S799" s="15" t="n"/>
      <c r="T799" s="15" t="n"/>
      <c r="U799" s="15" t="n"/>
      <c r="V799" s="15" t="n"/>
      <c r="W799" s="15" t="n"/>
      <c r="X799" s="15" t="n"/>
      <c r="Y799" s="15" t="n"/>
      <c r="Z799" s="15" t="n"/>
      <c r="AA799" s="15" t="n"/>
      <c r="AB799" s="15" t="n"/>
      <c r="AC799" s="15" t="n"/>
      <c r="AD799" s="15" t="n"/>
      <c r="AE799" s="15" t="n"/>
      <c r="AF799" s="15" t="n"/>
      <c r="AG799" s="15" t="n"/>
      <c r="AH799" s="15" t="n"/>
      <c r="AI799" s="15" t="n"/>
    </row>
    <row r="800">
      <c r="A800" s="4" t="inlineStr">
        <is>
          <t>Студент2.14</t>
        </is>
      </c>
      <c r="B800" s="4" t="inlineStr"/>
      <c r="C800" s="4" t="n"/>
      <c r="D800" s="4" t="n"/>
      <c r="E800" s="4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  <c r="O800" s="15" t="n"/>
      <c r="P800" s="15" t="n"/>
      <c r="Q800" s="15" t="n"/>
      <c r="R800" s="15" t="n"/>
      <c r="S800" s="15" t="n"/>
      <c r="T800" s="15" t="n"/>
      <c r="U800" s="15" t="n"/>
      <c r="V800" s="15" t="n"/>
      <c r="W800" s="15" t="n"/>
      <c r="X800" s="15" t="n"/>
      <c r="Y800" s="15" t="n"/>
      <c r="Z800" s="15" t="n"/>
      <c r="AA800" s="15" t="n"/>
      <c r="AB800" s="15" t="n"/>
      <c r="AC800" s="15" t="n"/>
      <c r="AD800" s="15" t="n"/>
      <c r="AE800" s="15" t="n"/>
      <c r="AF800" s="15" t="n"/>
      <c r="AG800" s="15" t="n"/>
      <c r="AH800" s="15" t="n"/>
      <c r="AI800" s="15" t="n"/>
    </row>
    <row r="801">
      <c r="A801" s="4" t="inlineStr">
        <is>
          <t>Студент2.15</t>
        </is>
      </c>
      <c r="B801" s="4" t="inlineStr"/>
      <c r="C801" s="4" t="n"/>
      <c r="D801" s="4" t="n"/>
      <c r="E801" s="4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  <c r="O801" s="15" t="n"/>
      <c r="P801" s="15" t="n"/>
      <c r="Q801" s="15" t="n"/>
      <c r="R801" s="15" t="n"/>
      <c r="S801" s="15" t="n"/>
      <c r="T801" s="15" t="n"/>
      <c r="U801" s="15" t="n"/>
      <c r="V801" s="15" t="n"/>
      <c r="W801" s="15" t="n"/>
      <c r="X801" s="15" t="n"/>
      <c r="Y801" s="15" t="n"/>
      <c r="Z801" s="15" t="n"/>
      <c r="AA801" s="15" t="n"/>
      <c r="AB801" s="15" t="n"/>
      <c r="AC801" s="15" t="n"/>
      <c r="AD801" s="15" t="n"/>
      <c r="AE801" s="15" t="n"/>
      <c r="AF801" s="15" t="n"/>
      <c r="AG801" s="15" t="n"/>
      <c r="AH801" s="15" t="n"/>
      <c r="AI801" s="15" t="n"/>
    </row>
    <row r="802">
      <c r="A802" s="4" t="inlineStr">
        <is>
          <t>Студент2.16</t>
        </is>
      </c>
      <c r="B802" s="4" t="inlineStr"/>
      <c r="C802" s="4" t="n"/>
      <c r="D802" s="4" t="n"/>
      <c r="E802" s="4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  <c r="O802" s="15" t="n"/>
      <c r="P802" s="15" t="n"/>
      <c r="Q802" s="15" t="n"/>
      <c r="R802" s="15" t="n"/>
      <c r="S802" s="15" t="n"/>
      <c r="T802" s="15" t="n"/>
      <c r="U802" s="15" t="n"/>
      <c r="V802" s="15" t="n"/>
      <c r="W802" s="15" t="n"/>
      <c r="X802" s="15" t="n"/>
      <c r="Y802" s="15" t="n"/>
      <c r="Z802" s="15" t="n"/>
      <c r="AA802" s="15" t="n"/>
      <c r="AB802" s="15" t="n"/>
      <c r="AC802" s="15" t="n"/>
      <c r="AD802" s="15" t="n"/>
      <c r="AE802" s="15" t="n"/>
      <c r="AF802" s="15" t="n"/>
      <c r="AG802" s="15" t="n"/>
      <c r="AH802" s="15" t="n"/>
      <c r="AI802" s="15" t="n"/>
    </row>
    <row r="803">
      <c r="A803" s="4" t="inlineStr">
        <is>
          <t>Студент2.17</t>
        </is>
      </c>
      <c r="B803" s="4" t="inlineStr"/>
      <c r="C803" s="4" t="n"/>
      <c r="D803" s="4" t="n"/>
      <c r="E803" s="4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  <c r="O803" s="15" t="n"/>
      <c r="P803" s="15" t="n"/>
      <c r="Q803" s="15" t="n"/>
      <c r="R803" s="15" t="n"/>
      <c r="S803" s="15" t="n"/>
      <c r="T803" s="15" t="n"/>
      <c r="U803" s="15" t="n"/>
      <c r="V803" s="15" t="n"/>
      <c r="W803" s="15" t="n"/>
      <c r="X803" s="15" t="n"/>
      <c r="Y803" s="15" t="n"/>
      <c r="Z803" s="15" t="n"/>
      <c r="AA803" s="15" t="n"/>
      <c r="AB803" s="15" t="n"/>
      <c r="AC803" s="15" t="n"/>
      <c r="AD803" s="15" t="n"/>
      <c r="AE803" s="15" t="n"/>
      <c r="AF803" s="15" t="n"/>
      <c r="AG803" s="15" t="n"/>
      <c r="AH803" s="15" t="n"/>
      <c r="AI803" s="15" t="n"/>
    </row>
    <row r="804">
      <c r="A804" s="4" t="inlineStr">
        <is>
          <t>Студент2.18</t>
        </is>
      </c>
      <c r="B804" s="4" t="inlineStr"/>
      <c r="C804" s="4" t="n"/>
      <c r="D804" s="4" t="n"/>
      <c r="E804" s="4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  <c r="O804" s="15" t="n"/>
      <c r="P804" s="15" t="n"/>
      <c r="Q804" s="15" t="n"/>
      <c r="R804" s="15" t="n"/>
      <c r="S804" s="15" t="n"/>
      <c r="T804" s="15" t="n"/>
      <c r="U804" s="15" t="n"/>
      <c r="V804" s="15" t="n"/>
      <c r="W804" s="15" t="n"/>
      <c r="X804" s="15" t="n"/>
      <c r="Y804" s="15" t="n"/>
      <c r="Z804" s="15" t="n"/>
      <c r="AA804" s="15" t="n"/>
      <c r="AB804" s="15" t="n"/>
      <c r="AC804" s="15" t="n"/>
      <c r="AD804" s="15" t="n"/>
      <c r="AE804" s="15" t="n"/>
      <c r="AF804" s="15" t="n"/>
      <c r="AG804" s="15" t="n"/>
      <c r="AH804" s="15" t="n"/>
      <c r="AI804" s="15" t="n"/>
    </row>
    <row r="805">
      <c r="A805" s="4" t="inlineStr">
        <is>
          <t>Студент2.19</t>
        </is>
      </c>
      <c r="B805" s="4" t="inlineStr"/>
      <c r="C805" s="4" t="n"/>
      <c r="D805" s="4" t="n"/>
      <c r="E805" s="4" t="n"/>
      <c r="F805" s="15" t="n"/>
      <c r="G805" s="15" t="n"/>
      <c r="H805" s="15" t="n"/>
      <c r="I805" s="15" t="n"/>
      <c r="J805" s="15" t="n"/>
      <c r="K805" s="15" t="n"/>
      <c r="L805" s="15" t="n"/>
      <c r="M805" s="15" t="n"/>
      <c r="N805" s="15" t="n"/>
      <c r="O805" s="15" t="n"/>
      <c r="P805" s="15" t="n"/>
      <c r="Q805" s="15" t="n"/>
      <c r="R805" s="15" t="n"/>
      <c r="S805" s="15" t="n"/>
      <c r="T805" s="15" t="n"/>
      <c r="U805" s="15" t="n"/>
      <c r="V805" s="15" t="n"/>
      <c r="W805" s="15" t="n"/>
      <c r="X805" s="15" t="n"/>
      <c r="Y805" s="15" t="n"/>
      <c r="Z805" s="15" t="n"/>
      <c r="AA805" s="15" t="n"/>
      <c r="AB805" s="15" t="n"/>
      <c r="AC805" s="15" t="n"/>
      <c r="AD805" s="15" t="n"/>
      <c r="AE805" s="15" t="n"/>
      <c r="AF805" s="15" t="n"/>
      <c r="AG805" s="15" t="n"/>
      <c r="AH805" s="15" t="n"/>
      <c r="AI805" s="15" t="n"/>
    </row>
    <row r="806">
      <c r="A806" s="4" t="inlineStr">
        <is>
          <t>Студент2.20</t>
        </is>
      </c>
      <c r="B806" s="4" t="inlineStr"/>
      <c r="C806" s="4" t="n"/>
      <c r="D806" s="4" t="n"/>
      <c r="E806" s="4" t="n"/>
      <c r="F806" s="15" t="n"/>
      <c r="G806" s="15" t="n"/>
      <c r="H806" s="15" t="n"/>
      <c r="I806" s="15" t="n"/>
      <c r="J806" s="15" t="n"/>
      <c r="K806" s="15" t="n"/>
      <c r="L806" s="15" t="n"/>
      <c r="M806" s="15" t="n"/>
      <c r="N806" s="15" t="n"/>
      <c r="O806" s="15" t="n"/>
      <c r="P806" s="15" t="n"/>
      <c r="Q806" s="15" t="n"/>
      <c r="R806" s="15" t="n"/>
      <c r="S806" s="15" t="n"/>
      <c r="T806" s="15" t="n"/>
      <c r="U806" s="15" t="n"/>
      <c r="V806" s="15" t="n"/>
      <c r="W806" s="15" t="n"/>
      <c r="X806" s="15" t="n"/>
      <c r="Y806" s="15" t="n"/>
      <c r="Z806" s="15" t="n"/>
      <c r="AA806" s="15" t="n"/>
      <c r="AB806" s="15" t="n"/>
      <c r="AC806" s="15" t="n"/>
      <c r="AD806" s="15" t="n"/>
      <c r="AE806" s="15" t="n"/>
      <c r="AF806" s="15" t="n"/>
      <c r="AG806" s="15" t="n"/>
      <c r="AH806" s="15" t="n"/>
      <c r="AI806" s="15" t="n"/>
    </row>
    <row r="807">
      <c r="A807" s="4" t="inlineStr">
        <is>
          <t>Студент2.21</t>
        </is>
      </c>
      <c r="B807" s="4" t="inlineStr"/>
      <c r="C807" s="4" t="n"/>
      <c r="D807" s="4" t="n"/>
      <c r="E807" s="4" t="n"/>
      <c r="F807" s="15" t="n"/>
      <c r="G807" s="15" t="n"/>
      <c r="H807" s="15" t="n"/>
      <c r="I807" s="15" t="n"/>
      <c r="J807" s="15" t="n"/>
      <c r="K807" s="15" t="n"/>
      <c r="L807" s="15" t="n"/>
      <c r="M807" s="15" t="n"/>
      <c r="N807" s="15" t="n"/>
      <c r="O807" s="15" t="n"/>
      <c r="P807" s="15" t="n"/>
      <c r="Q807" s="15" t="n"/>
      <c r="R807" s="15" t="n"/>
      <c r="S807" s="15" t="n"/>
      <c r="T807" s="15" t="n"/>
      <c r="U807" s="15" t="n"/>
      <c r="V807" s="15" t="n"/>
      <c r="W807" s="15" t="n"/>
      <c r="X807" s="15" t="n"/>
      <c r="Y807" s="15" t="n"/>
      <c r="Z807" s="15" t="n"/>
      <c r="AA807" s="15" t="n"/>
      <c r="AB807" s="15" t="n"/>
      <c r="AC807" s="15" t="n"/>
      <c r="AD807" s="15" t="n"/>
      <c r="AE807" s="15" t="n"/>
      <c r="AF807" s="15" t="n"/>
      <c r="AG807" s="15" t="n"/>
      <c r="AH807" s="15" t="n"/>
      <c r="AI807" s="15" t="n"/>
    </row>
    <row r="808">
      <c r="A808" s="4" t="inlineStr">
        <is>
          <t>Студент2.22</t>
        </is>
      </c>
      <c r="B808" s="4" t="inlineStr"/>
      <c r="C808" s="4" t="n"/>
      <c r="D808" s="4" t="n"/>
      <c r="E808" s="4" t="n"/>
      <c r="F808" s="15" t="n"/>
      <c r="G808" s="15" t="n"/>
      <c r="H808" s="15" t="n"/>
      <c r="I808" s="15" t="n"/>
      <c r="J808" s="15" t="n"/>
      <c r="K808" s="15" t="n"/>
      <c r="L808" s="15" t="n"/>
      <c r="M808" s="15" t="n"/>
      <c r="N808" s="15" t="n"/>
      <c r="O808" s="15" t="n"/>
      <c r="P808" s="15" t="n"/>
      <c r="Q808" s="15" t="n"/>
      <c r="R808" s="15" t="n"/>
      <c r="S808" s="15" t="n"/>
      <c r="T808" s="15" t="n"/>
      <c r="U808" s="15" t="n"/>
      <c r="V808" s="15" t="n"/>
      <c r="W808" s="15" t="n"/>
      <c r="X808" s="15" t="n"/>
      <c r="Y808" s="15" t="n"/>
      <c r="Z808" s="15" t="n"/>
      <c r="AA808" s="15" t="n"/>
      <c r="AB808" s="15" t="n"/>
      <c r="AC808" s="15" t="n"/>
      <c r="AD808" s="15" t="n"/>
      <c r="AE808" s="15" t="n"/>
      <c r="AF808" s="15" t="n"/>
      <c r="AG808" s="15" t="n"/>
      <c r="AH808" s="15" t="n"/>
      <c r="AI808" s="15" t="n"/>
    </row>
    <row r="809">
      <c r="A809" s="4" t="inlineStr">
        <is>
          <t>Студент2.23</t>
        </is>
      </c>
      <c r="B809" s="4" t="inlineStr"/>
      <c r="C809" s="4" t="n"/>
      <c r="D809" s="4" t="n"/>
      <c r="E809" s="4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  <c r="O809" s="15" t="n"/>
      <c r="P809" s="15" t="n"/>
      <c r="Q809" s="15" t="n"/>
      <c r="R809" s="15" t="n"/>
      <c r="S809" s="15" t="n"/>
      <c r="T809" s="15" t="n"/>
      <c r="U809" s="15" t="n"/>
      <c r="V809" s="15" t="n"/>
      <c r="W809" s="15" t="n"/>
      <c r="X809" s="15" t="n"/>
      <c r="Y809" s="15" t="n"/>
      <c r="Z809" s="15" t="n"/>
      <c r="AA809" s="15" t="n"/>
      <c r="AB809" s="15" t="n"/>
      <c r="AC809" s="15" t="n"/>
      <c r="AD809" s="15" t="n"/>
      <c r="AE809" s="15" t="n"/>
      <c r="AF809" s="15" t="n"/>
      <c r="AG809" s="15" t="n"/>
      <c r="AH809" s="15" t="n"/>
      <c r="AI809" s="15" t="n"/>
    </row>
    <row r="810">
      <c r="A810" s="4" t="inlineStr">
        <is>
          <t>Студент2.24</t>
        </is>
      </c>
      <c r="B810" s="4" t="inlineStr"/>
      <c r="C810" s="4" t="n"/>
      <c r="D810" s="4" t="n"/>
      <c r="E810" s="4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  <c r="O810" s="15" t="n"/>
      <c r="P810" s="15" t="n"/>
      <c r="Q810" s="15" t="n"/>
      <c r="R810" s="15" t="n"/>
      <c r="S810" s="15" t="n"/>
      <c r="T810" s="15" t="n"/>
      <c r="U810" s="15" t="n"/>
      <c r="V810" s="15" t="n"/>
      <c r="W810" s="15" t="n"/>
      <c r="X810" s="15" t="n"/>
      <c r="Y810" s="15" t="n"/>
      <c r="Z810" s="15" t="n"/>
      <c r="AA810" s="15" t="n"/>
      <c r="AB810" s="15" t="n"/>
      <c r="AC810" s="15" t="n"/>
      <c r="AD810" s="15" t="n"/>
      <c r="AE810" s="15" t="n"/>
      <c r="AF810" s="15" t="n"/>
      <c r="AG810" s="15" t="n"/>
      <c r="AH810" s="15" t="n"/>
      <c r="AI810" s="15" t="n"/>
    </row>
    <row r="811">
      <c r="A811" s="4" t="inlineStr">
        <is>
          <t>Студент2.25</t>
        </is>
      </c>
      <c r="B811" s="4" t="inlineStr"/>
      <c r="C811" s="4" t="n"/>
      <c r="D811" s="4" t="n"/>
      <c r="E811" s="4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  <c r="O811" s="15" t="n"/>
      <c r="P811" s="15" t="n"/>
      <c r="Q811" s="15" t="n"/>
      <c r="R811" s="15" t="n"/>
      <c r="S811" s="15" t="n"/>
      <c r="T811" s="15" t="n"/>
      <c r="U811" s="15" t="n"/>
      <c r="V811" s="15" t="n"/>
      <c r="W811" s="15" t="n"/>
      <c r="X811" s="15" t="n"/>
      <c r="Y811" s="15" t="n"/>
      <c r="Z811" s="15" t="n"/>
      <c r="AA811" s="15" t="n"/>
      <c r="AB811" s="15" t="n"/>
      <c r="AC811" s="15" t="n"/>
      <c r="AD811" s="15" t="n"/>
      <c r="AE811" s="15" t="n"/>
      <c r="AF811" s="15" t="n"/>
      <c r="AG811" s="15" t="n"/>
      <c r="AH811" s="15" t="n"/>
      <c r="AI811" s="15" t="n"/>
    </row>
    <row r="812">
      <c r="A812" s="4" t="inlineStr">
        <is>
          <t>Студент2.26</t>
        </is>
      </c>
      <c r="B812" s="4" t="inlineStr"/>
      <c r="C812" s="4" t="n"/>
      <c r="D812" s="4" t="n"/>
      <c r="E812" s="4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  <c r="O812" s="15" t="n"/>
      <c r="P812" s="15" t="n"/>
      <c r="Q812" s="15" t="n"/>
      <c r="R812" s="15" t="n"/>
      <c r="S812" s="15" t="n"/>
      <c r="T812" s="15" t="n"/>
      <c r="U812" s="15" t="n"/>
      <c r="V812" s="15" t="n"/>
      <c r="W812" s="15" t="n"/>
      <c r="X812" s="15" t="n"/>
      <c r="Y812" s="15" t="n"/>
      <c r="Z812" s="15" t="n"/>
      <c r="AA812" s="15" t="n"/>
      <c r="AB812" s="15" t="n"/>
      <c r="AC812" s="15" t="n"/>
      <c r="AD812" s="15" t="n"/>
      <c r="AE812" s="15" t="n"/>
      <c r="AF812" s="15" t="n"/>
      <c r="AG812" s="15" t="n"/>
      <c r="AH812" s="15" t="n"/>
      <c r="AI812" s="15" t="n"/>
    </row>
    <row r="813">
      <c r="A813" s="4" t="inlineStr">
        <is>
          <t>Студент2.27</t>
        </is>
      </c>
      <c r="B813" s="4" t="inlineStr"/>
      <c r="C813" s="4" t="n"/>
      <c r="D813" s="4" t="n"/>
      <c r="E813" s="4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  <c r="O813" s="15" t="n"/>
      <c r="P813" s="15" t="n"/>
      <c r="Q813" s="15" t="n"/>
      <c r="R813" s="15" t="n"/>
      <c r="S813" s="15" t="n"/>
      <c r="T813" s="15" t="n"/>
      <c r="U813" s="15" t="n"/>
      <c r="V813" s="15" t="n"/>
      <c r="W813" s="15" t="n"/>
      <c r="X813" s="15" t="n"/>
      <c r="Y813" s="15" t="n"/>
      <c r="Z813" s="15" t="n"/>
      <c r="AA813" s="15" t="n"/>
      <c r="AB813" s="15" t="n"/>
      <c r="AC813" s="15" t="n"/>
      <c r="AD813" s="15" t="n"/>
      <c r="AE813" s="15" t="n"/>
      <c r="AF813" s="15" t="n"/>
      <c r="AG813" s="15" t="n"/>
      <c r="AH813" s="15" t="n"/>
      <c r="AI813" s="15" t="n"/>
    </row>
    <row r="814">
      <c r="A814" s="4" t="inlineStr">
        <is>
          <t>Студент2.28</t>
        </is>
      </c>
      <c r="B814" s="4" t="inlineStr"/>
      <c r="C814" s="4" t="n"/>
      <c r="D814" s="4" t="n"/>
      <c r="E814" s="4" t="n"/>
      <c r="F814" s="15" t="n"/>
      <c r="G814" s="15" t="n"/>
      <c r="H814" s="15" t="n"/>
      <c r="I814" s="15" t="n"/>
      <c r="J814" s="15" t="n"/>
      <c r="K814" s="15" t="n"/>
      <c r="L814" s="15" t="n"/>
      <c r="M814" s="15" t="n"/>
      <c r="N814" s="15" t="n"/>
      <c r="O814" s="15" t="n"/>
      <c r="P814" s="15" t="n"/>
      <c r="Q814" s="15" t="n"/>
      <c r="R814" s="15" t="n"/>
      <c r="S814" s="15" t="n"/>
      <c r="T814" s="15" t="n"/>
      <c r="U814" s="15" t="n"/>
      <c r="V814" s="15" t="n"/>
      <c r="W814" s="15" t="n"/>
      <c r="X814" s="15" t="n"/>
      <c r="Y814" s="15" t="n"/>
      <c r="Z814" s="15" t="n"/>
      <c r="AA814" s="15" t="n"/>
      <c r="AB814" s="15" t="n"/>
      <c r="AC814" s="15" t="n"/>
      <c r="AD814" s="15" t="n"/>
      <c r="AE814" s="15" t="n"/>
      <c r="AF814" s="15" t="n"/>
      <c r="AG814" s="15" t="n"/>
      <c r="AH814" s="15" t="n"/>
      <c r="AI814" s="15" t="n"/>
    </row>
    <row r="815">
      <c r="A815" s="4" t="inlineStr">
        <is>
          <t>Студент2.29</t>
        </is>
      </c>
      <c r="B815" s="4" t="inlineStr"/>
      <c r="C815" s="4" t="n"/>
      <c r="D815" s="4" t="n"/>
      <c r="E815" s="4" t="n"/>
      <c r="F815" s="15" t="n"/>
      <c r="G815" s="15" t="n"/>
      <c r="H815" s="15" t="n"/>
      <c r="I815" s="15" t="n"/>
      <c r="J815" s="15" t="n"/>
      <c r="K815" s="15" t="n"/>
      <c r="L815" s="15" t="n"/>
      <c r="M815" s="15" t="n"/>
      <c r="N815" s="15" t="n"/>
      <c r="O815" s="15" t="n"/>
      <c r="P815" s="15" t="n"/>
      <c r="Q815" s="15" t="n"/>
      <c r="R815" s="15" t="n"/>
      <c r="S815" s="15" t="n"/>
      <c r="T815" s="15" t="n"/>
      <c r="U815" s="15" t="n"/>
      <c r="V815" s="15" t="n"/>
      <c r="W815" s="15" t="n"/>
      <c r="X815" s="15" t="n"/>
      <c r="Y815" s="15" t="n"/>
      <c r="Z815" s="15" t="n"/>
      <c r="AA815" s="15" t="n"/>
      <c r="AB815" s="15" t="n"/>
      <c r="AC815" s="15" t="n"/>
      <c r="AD815" s="15" t="n"/>
      <c r="AE815" s="15" t="n"/>
      <c r="AF815" s="15" t="n"/>
      <c r="AG815" s="15" t="n"/>
      <c r="AH815" s="15" t="n"/>
      <c r="AI815" s="15" t="n"/>
    </row>
    <row r="816">
      <c r="A816" s="4" t="inlineStr">
        <is>
          <t>Студент2.30</t>
        </is>
      </c>
      <c r="B816" s="4" t="inlineStr"/>
      <c r="C816" s="4" t="n"/>
      <c r="D816" s="4" t="n"/>
      <c r="E816" s="4" t="n"/>
      <c r="F816" s="15" t="n"/>
      <c r="G816" s="15" t="n"/>
      <c r="H816" s="15" t="n"/>
      <c r="I816" s="15" t="n"/>
      <c r="J816" s="15" t="n"/>
      <c r="K816" s="15" t="n"/>
      <c r="L816" s="15" t="n"/>
      <c r="M816" s="15" t="n"/>
      <c r="N816" s="15" t="n"/>
      <c r="O816" s="15" t="n"/>
      <c r="P816" s="15" t="n"/>
      <c r="Q816" s="15" t="n"/>
      <c r="R816" s="15" t="n"/>
      <c r="S816" s="15" t="n"/>
      <c r="T816" s="15" t="n"/>
      <c r="U816" s="15" t="n"/>
      <c r="V816" s="15" t="n"/>
      <c r="W816" s="15" t="n"/>
      <c r="X816" s="15" t="n"/>
      <c r="Y816" s="15" t="n"/>
      <c r="Z816" s="15" t="n"/>
      <c r="AA816" s="15" t="n"/>
      <c r="AB816" s="15" t="n"/>
      <c r="AC816" s="15" t="n"/>
      <c r="AD816" s="15" t="n"/>
      <c r="AE816" s="15" t="n"/>
      <c r="AF816" s="15" t="n"/>
      <c r="AG816" s="15" t="n"/>
      <c r="AH816" s="15" t="n"/>
      <c r="AI816" s="15" t="n"/>
    </row>
    <row r="820">
      <c r="A820" s="13" t="inlineStr">
        <is>
          <t>Практика 13 — плюсы</t>
        </is>
      </c>
    </row>
    <row r="821" ht="28" customHeight="1">
      <c r="A821" s="7" t="inlineStr">
        <is>
          <t>Имя</t>
        </is>
      </c>
      <c r="B821" s="9" t="inlineStr">
        <is>
          <t>TG</t>
        </is>
      </c>
      <c r="C821" s="10" t="inlineStr">
        <is>
          <t>S</t>
        </is>
      </c>
      <c r="D821" s="8" t="inlineStr">
        <is>
          <t>Коэффициент</t>
        </is>
      </c>
      <c r="E821" s="14" t="inlineStr">
        <is>
          <t>D за практику</t>
        </is>
      </c>
      <c r="F821" s="11" t="inlineStr">
        <is>
          <t>1.0</t>
        </is>
      </c>
      <c r="G821" s="11" t="inlineStr">
        <is>
          <t>2.0</t>
        </is>
      </c>
      <c r="H821" s="11" t="inlineStr">
        <is>
          <t>3.0</t>
        </is>
      </c>
      <c r="I821" s="11" t="inlineStr">
        <is>
          <t>4.0</t>
        </is>
      </c>
      <c r="J821" s="11" t="inlineStr">
        <is>
          <t>5.0</t>
        </is>
      </c>
      <c r="K821" s="11" t="inlineStr">
        <is>
          <t>6</t>
        </is>
      </c>
      <c r="L821" s="11" t="inlineStr">
        <is>
          <t>7</t>
        </is>
      </c>
      <c r="M821" s="11" t="inlineStr">
        <is>
          <t>8</t>
        </is>
      </c>
      <c r="N821" s="11" t="inlineStr">
        <is>
          <t>9</t>
        </is>
      </c>
      <c r="O821" s="11" t="inlineStr">
        <is>
          <t>10</t>
        </is>
      </c>
      <c r="P821" s="11" t="inlineStr">
        <is>
          <t>11</t>
        </is>
      </c>
      <c r="Q821" s="11" t="inlineStr">
        <is>
          <t>12</t>
        </is>
      </c>
      <c r="R821" s="11" t="inlineStr">
        <is>
          <t>13</t>
        </is>
      </c>
      <c r="S821" s="11" t="inlineStr">
        <is>
          <t>14</t>
        </is>
      </c>
      <c r="T821" s="11" t="inlineStr">
        <is>
          <t>15</t>
        </is>
      </c>
      <c r="U821" s="11" t="inlineStr">
        <is>
          <t>16</t>
        </is>
      </c>
      <c r="V821" s="11" t="inlineStr">
        <is>
          <t>17</t>
        </is>
      </c>
      <c r="W821" s="11" t="inlineStr">
        <is>
          <t>18</t>
        </is>
      </c>
      <c r="X821" s="11" t="inlineStr">
        <is>
          <t>19</t>
        </is>
      </c>
      <c r="Y821" s="11" t="inlineStr">
        <is>
          <t>20</t>
        </is>
      </c>
      <c r="Z821" s="11" t="inlineStr">
        <is>
          <t>21</t>
        </is>
      </c>
      <c r="AA821" s="11" t="inlineStr">
        <is>
          <t>22</t>
        </is>
      </c>
      <c r="AB821" s="11" t="inlineStr">
        <is>
          <t>23</t>
        </is>
      </c>
      <c r="AC821" s="11" t="inlineStr">
        <is>
          <t>24</t>
        </is>
      </c>
      <c r="AD821" s="11" t="inlineStr">
        <is>
          <t>25</t>
        </is>
      </c>
      <c r="AE821" s="11" t="inlineStr">
        <is>
          <t>26</t>
        </is>
      </c>
      <c r="AF821" s="11" t="inlineStr">
        <is>
          <t>27</t>
        </is>
      </c>
      <c r="AG821" s="11" t="inlineStr">
        <is>
          <t>28</t>
        </is>
      </c>
      <c r="AH821" s="11" t="inlineStr">
        <is>
          <t>29</t>
        </is>
      </c>
      <c r="AI821" s="11" t="inlineStr">
        <is>
          <t>30</t>
        </is>
      </c>
    </row>
    <row r="822">
      <c r="A822" s="4" t="inlineStr">
        <is>
          <t>Студент2.1</t>
        </is>
      </c>
      <c r="B822" s="4" t="inlineStr"/>
      <c r="C822" s="4">
        <f>IF(A822="","",COUNTIF(F822:AI822,"+")+COUNTIF(F822:AI822,"1"))</f>
        <v/>
      </c>
      <c r="D822" s="4">
        <f>IF(A822="","",IF(C822&gt;2*COUNTA(F$821:AI$821)/3,1,IF(C822&gt;=COUNTA(F$821:AI$821)/2,0.8,0.5)))</f>
        <v/>
      </c>
      <c r="E822" s="4">
        <f>IF(A822="","",SUMIFS('Логи'!$H$4:$H$3006,'Логи'!$A$4:$A$3006,A822,'Логи'!$C$4:$C$3006,13))</f>
        <v/>
      </c>
      <c r="F822" s="15" t="n"/>
      <c r="G822" s="15" t="n"/>
      <c r="H822" s="15" t="n"/>
      <c r="I822" s="15" t="n"/>
      <c r="J822" s="15" t="n"/>
      <c r="K822" s="15" t="n"/>
      <c r="L822" s="15" t="n"/>
      <c r="M822" s="15" t="n"/>
      <c r="N822" s="15" t="n"/>
      <c r="O822" s="15" t="n"/>
      <c r="P822" s="15" t="n"/>
      <c r="Q822" s="15" t="n"/>
      <c r="R822" s="15" t="n"/>
      <c r="S822" s="15" t="n"/>
      <c r="T822" s="15" t="n"/>
      <c r="U822" s="15" t="n"/>
      <c r="V822" s="15" t="n"/>
      <c r="W822" s="15" t="n"/>
      <c r="X822" s="15" t="n"/>
      <c r="Y822" s="15" t="n"/>
      <c r="Z822" s="15" t="n"/>
      <c r="AA822" s="15" t="n"/>
      <c r="AB822" s="15" t="n"/>
      <c r="AC822" s="15" t="n"/>
      <c r="AD822" s="15" t="n"/>
      <c r="AE822" s="15" t="n"/>
      <c r="AF822" s="15" t="n"/>
      <c r="AG822" s="15" t="n"/>
      <c r="AH822" s="15" t="n"/>
      <c r="AI822" s="15" t="n"/>
    </row>
    <row r="823">
      <c r="A823" s="4" t="inlineStr">
        <is>
          <t>Студент2.2</t>
        </is>
      </c>
      <c r="B823" s="4" t="inlineStr"/>
      <c r="C823" s="4">
        <f>IF(A823="","",COUNTIF(F823:AI823,"+")+COUNTIF(F823:AI823,"1"))</f>
        <v/>
      </c>
      <c r="D823" s="4">
        <f>IF(A823="","",IF(C823&gt;2*COUNTA(F$821:AI$821)/3,1,IF(C823&gt;=COUNTA(F$821:AI$821)/2,0.8,0.5)))</f>
        <v/>
      </c>
      <c r="E823" s="4">
        <f>IF(A823="","",SUMIFS('Логи'!$H$4:$H$3006,'Логи'!$A$4:$A$3006,A823,'Логи'!$C$4:$C$3006,13))</f>
        <v/>
      </c>
      <c r="F823" s="15" t="n"/>
      <c r="G823" s="15" t="n"/>
      <c r="H823" s="15" t="n"/>
      <c r="I823" s="15" t="n"/>
      <c r="J823" s="15" t="n"/>
      <c r="K823" s="15" t="n"/>
      <c r="L823" s="15" t="n"/>
      <c r="M823" s="15" t="n"/>
      <c r="N823" s="15" t="n"/>
      <c r="O823" s="15" t="n"/>
      <c r="P823" s="15" t="n"/>
      <c r="Q823" s="15" t="n"/>
      <c r="R823" s="15" t="n"/>
      <c r="S823" s="15" t="n"/>
      <c r="T823" s="15" t="n"/>
      <c r="U823" s="15" t="n"/>
      <c r="V823" s="15" t="n"/>
      <c r="W823" s="15" t="n"/>
      <c r="X823" s="15" t="n"/>
      <c r="Y823" s="15" t="n"/>
      <c r="Z823" s="15" t="n"/>
      <c r="AA823" s="15" t="n"/>
      <c r="AB823" s="15" t="n"/>
      <c r="AC823" s="15" t="n"/>
      <c r="AD823" s="15" t="n"/>
      <c r="AE823" s="15" t="n"/>
      <c r="AF823" s="15" t="n"/>
      <c r="AG823" s="15" t="n"/>
      <c r="AH823" s="15" t="n"/>
      <c r="AI823" s="15" t="n"/>
    </row>
    <row r="824">
      <c r="A824" s="4" t="inlineStr">
        <is>
          <t>Студент2.3</t>
        </is>
      </c>
      <c r="B824" s="4" t="inlineStr"/>
      <c r="C824" s="4">
        <f>IF(A824="","",COUNTIF(F824:AI824,"+")+COUNTIF(F824:AI824,"1"))</f>
        <v/>
      </c>
      <c r="D824" s="4">
        <f>IF(A824="","",IF(C824&gt;2*COUNTA(F$821:AI$821)/3,1,IF(C824&gt;=COUNTA(F$821:AI$821)/2,0.8,0.5)))</f>
        <v/>
      </c>
      <c r="E824" s="4">
        <f>IF(A824="","",SUMIFS('Логи'!$H$4:$H$3006,'Логи'!$A$4:$A$3006,A824,'Логи'!$C$4:$C$3006,13))</f>
        <v/>
      </c>
      <c r="F824" s="15" t="n"/>
      <c r="G824" s="15" t="n"/>
      <c r="H824" s="15" t="n"/>
      <c r="I824" s="15" t="n"/>
      <c r="J824" s="15" t="n"/>
      <c r="K824" s="15" t="n"/>
      <c r="L824" s="15" t="n"/>
      <c r="M824" s="15" t="n"/>
      <c r="N824" s="15" t="n"/>
      <c r="O824" s="15" t="n"/>
      <c r="P824" s="15" t="n"/>
      <c r="Q824" s="15" t="n"/>
      <c r="R824" s="15" t="n"/>
      <c r="S824" s="15" t="n"/>
      <c r="T824" s="15" t="n"/>
      <c r="U824" s="15" t="n"/>
      <c r="V824" s="15" t="n"/>
      <c r="W824" s="15" t="n"/>
      <c r="X824" s="15" t="n"/>
      <c r="Y824" s="15" t="n"/>
      <c r="Z824" s="15" t="n"/>
      <c r="AA824" s="15" t="n"/>
      <c r="AB824" s="15" t="n"/>
      <c r="AC824" s="15" t="n"/>
      <c r="AD824" s="15" t="n"/>
      <c r="AE824" s="15" t="n"/>
      <c r="AF824" s="15" t="n"/>
      <c r="AG824" s="15" t="n"/>
      <c r="AH824" s="15" t="n"/>
      <c r="AI824" s="15" t="n"/>
    </row>
    <row r="825">
      <c r="A825" s="4" t="inlineStr">
        <is>
          <t>Студент2.4</t>
        </is>
      </c>
      <c r="B825" s="4" t="inlineStr"/>
      <c r="C825" s="4">
        <f>IF(A825="","",COUNTIF(F825:AI825,"+")+COUNTIF(F825:AI825,"1"))</f>
        <v/>
      </c>
      <c r="D825" s="4">
        <f>IF(A825="","",IF(C825&gt;2*COUNTA(F$821:AI$821)/3,1,IF(C825&gt;=COUNTA(F$821:AI$821)/2,0.8,0.5)))</f>
        <v/>
      </c>
      <c r="E825" s="4">
        <f>IF(A825="","",SUMIFS('Логи'!$H$4:$H$3006,'Логи'!$A$4:$A$3006,A825,'Логи'!$C$4:$C$3006,13))</f>
        <v/>
      </c>
      <c r="F825" s="15" t="n"/>
      <c r="G825" s="15" t="n"/>
      <c r="H825" s="15" t="n"/>
      <c r="I825" s="15" t="n"/>
      <c r="J825" s="15" t="n"/>
      <c r="K825" s="15" t="n"/>
      <c r="L825" s="15" t="n"/>
      <c r="M825" s="15" t="n"/>
      <c r="N825" s="15" t="n"/>
      <c r="O825" s="15" t="n"/>
      <c r="P825" s="15" t="n"/>
      <c r="Q825" s="15" t="n"/>
      <c r="R825" s="15" t="n"/>
      <c r="S825" s="15" t="n"/>
      <c r="T825" s="15" t="n"/>
      <c r="U825" s="15" t="n"/>
      <c r="V825" s="15" t="n"/>
      <c r="W825" s="15" t="n"/>
      <c r="X825" s="15" t="n"/>
      <c r="Y825" s="15" t="n"/>
      <c r="Z825" s="15" t="n"/>
      <c r="AA825" s="15" t="n"/>
      <c r="AB825" s="15" t="n"/>
      <c r="AC825" s="15" t="n"/>
      <c r="AD825" s="15" t="n"/>
      <c r="AE825" s="15" t="n"/>
      <c r="AF825" s="15" t="n"/>
      <c r="AG825" s="15" t="n"/>
      <c r="AH825" s="15" t="n"/>
      <c r="AI825" s="15" t="n"/>
    </row>
    <row r="826">
      <c r="A826" s="4" t="inlineStr">
        <is>
          <t>Студент2.5</t>
        </is>
      </c>
      <c r="B826" s="4" t="inlineStr"/>
      <c r="C826" s="4">
        <f>IF(A826="","",COUNTIF(F826:AI826,"+")+COUNTIF(F826:AI826,"1"))</f>
        <v/>
      </c>
      <c r="D826" s="4">
        <f>IF(A826="","",IF(C826&gt;2*COUNTA(F$821:AI$821)/3,1,IF(C826&gt;=COUNTA(F$821:AI$821)/2,0.8,0.5)))</f>
        <v/>
      </c>
      <c r="E826" s="4">
        <f>IF(A826="","",SUMIFS('Логи'!$H$4:$H$3006,'Логи'!$A$4:$A$3006,A826,'Логи'!$C$4:$C$3006,13))</f>
        <v/>
      </c>
      <c r="F826" s="15" t="n"/>
      <c r="G826" s="15" t="n"/>
      <c r="H826" s="15" t="n"/>
      <c r="I826" s="15" t="n"/>
      <c r="J826" s="15" t="n"/>
      <c r="K826" s="15" t="n"/>
      <c r="L826" s="15" t="n"/>
      <c r="M826" s="15" t="n"/>
      <c r="N826" s="15" t="n"/>
      <c r="O826" s="15" t="n"/>
      <c r="P826" s="15" t="n"/>
      <c r="Q826" s="15" t="n"/>
      <c r="R826" s="15" t="n"/>
      <c r="S826" s="15" t="n"/>
      <c r="T826" s="15" t="n"/>
      <c r="U826" s="15" t="n"/>
      <c r="V826" s="15" t="n"/>
      <c r="W826" s="15" t="n"/>
      <c r="X826" s="15" t="n"/>
      <c r="Y826" s="15" t="n"/>
      <c r="Z826" s="15" t="n"/>
      <c r="AA826" s="15" t="n"/>
      <c r="AB826" s="15" t="n"/>
      <c r="AC826" s="15" t="n"/>
      <c r="AD826" s="15" t="n"/>
      <c r="AE826" s="15" t="n"/>
      <c r="AF826" s="15" t="n"/>
      <c r="AG826" s="15" t="n"/>
      <c r="AH826" s="15" t="n"/>
      <c r="AI826" s="15" t="n"/>
    </row>
    <row r="827">
      <c r="A827" s="4" t="inlineStr">
        <is>
          <t>Студент2.6</t>
        </is>
      </c>
      <c r="B827" s="4" t="inlineStr"/>
      <c r="C827" s="4">
        <f>IF(A827="","",COUNTIF(F827:AI827,"+")+COUNTIF(F827:AI827,"1"))</f>
        <v/>
      </c>
      <c r="D827" s="4">
        <f>IF(A827="","",IF(C827&gt;2*COUNTA(F$821:AI$821)/3,1,IF(C827&gt;=COUNTA(F$821:AI$821)/2,0.8,0.5)))</f>
        <v/>
      </c>
      <c r="E827" s="4">
        <f>IF(A827="","",SUMIFS('Логи'!$H$4:$H$3006,'Логи'!$A$4:$A$3006,A827,'Логи'!$C$4:$C$3006,13))</f>
        <v/>
      </c>
      <c r="F827" s="15" t="n"/>
      <c r="G827" s="15" t="n"/>
      <c r="H827" s="15" t="n"/>
      <c r="I827" s="15" t="n"/>
      <c r="J827" s="15" t="n"/>
      <c r="K827" s="15" t="n"/>
      <c r="L827" s="15" t="n"/>
      <c r="M827" s="15" t="n"/>
      <c r="N827" s="15" t="n"/>
      <c r="O827" s="15" t="n"/>
      <c r="P827" s="15" t="n"/>
      <c r="Q827" s="15" t="n"/>
      <c r="R827" s="15" t="n"/>
      <c r="S827" s="15" t="n"/>
      <c r="T827" s="15" t="n"/>
      <c r="U827" s="15" t="n"/>
      <c r="V827" s="15" t="n"/>
      <c r="W827" s="15" t="n"/>
      <c r="X827" s="15" t="n"/>
      <c r="Y827" s="15" t="n"/>
      <c r="Z827" s="15" t="n"/>
      <c r="AA827" s="15" t="n"/>
      <c r="AB827" s="15" t="n"/>
      <c r="AC827" s="15" t="n"/>
      <c r="AD827" s="15" t="n"/>
      <c r="AE827" s="15" t="n"/>
      <c r="AF827" s="15" t="n"/>
      <c r="AG827" s="15" t="n"/>
      <c r="AH827" s="15" t="n"/>
      <c r="AI827" s="15" t="n"/>
    </row>
    <row r="828">
      <c r="A828" s="4" t="inlineStr">
        <is>
          <t>Студент2.7</t>
        </is>
      </c>
      <c r="B828" s="4" t="inlineStr"/>
      <c r="C828" s="4">
        <f>IF(A828="","",COUNTIF(F828:AI828,"+")+COUNTIF(F828:AI828,"1"))</f>
        <v/>
      </c>
      <c r="D828" s="4">
        <f>IF(A828="","",IF(C828&gt;2*COUNTA(F$821:AI$821)/3,1,IF(C828&gt;=COUNTA(F$821:AI$821)/2,0.8,0.5)))</f>
        <v/>
      </c>
      <c r="E828" s="4">
        <f>IF(A828="","",SUMIFS('Логи'!$H$4:$H$3006,'Логи'!$A$4:$A$3006,A828,'Логи'!$C$4:$C$3006,13))</f>
        <v/>
      </c>
      <c r="F828" s="15" t="n"/>
      <c r="G828" s="15" t="n"/>
      <c r="H828" s="15" t="n"/>
      <c r="I828" s="15" t="n"/>
      <c r="J828" s="15" t="n"/>
      <c r="K828" s="15" t="n"/>
      <c r="L828" s="15" t="n"/>
      <c r="M828" s="15" t="n"/>
      <c r="N828" s="15" t="n"/>
      <c r="O828" s="15" t="n"/>
      <c r="P828" s="15" t="n"/>
      <c r="Q828" s="15" t="n"/>
      <c r="R828" s="15" t="n"/>
      <c r="S828" s="15" t="n"/>
      <c r="T828" s="15" t="n"/>
      <c r="U828" s="15" t="n"/>
      <c r="V828" s="15" t="n"/>
      <c r="W828" s="15" t="n"/>
      <c r="X828" s="15" t="n"/>
      <c r="Y828" s="15" t="n"/>
      <c r="Z828" s="15" t="n"/>
      <c r="AA828" s="15" t="n"/>
      <c r="AB828" s="15" t="n"/>
      <c r="AC828" s="15" t="n"/>
      <c r="AD828" s="15" t="n"/>
      <c r="AE828" s="15" t="n"/>
      <c r="AF828" s="15" t="n"/>
      <c r="AG828" s="15" t="n"/>
      <c r="AH828" s="15" t="n"/>
      <c r="AI828" s="15" t="n"/>
    </row>
    <row r="829">
      <c r="A829" s="4" t="inlineStr">
        <is>
          <t>Студент2.8</t>
        </is>
      </c>
      <c r="B829" s="4" t="inlineStr"/>
      <c r="C829" s="4">
        <f>IF(A829="","",COUNTIF(F829:AI829,"+")+COUNTIF(F829:AI829,"1"))</f>
        <v/>
      </c>
      <c r="D829" s="4">
        <f>IF(A829="","",IF(C829&gt;2*COUNTA(F$821:AI$821)/3,1,IF(C829&gt;=COUNTA(F$821:AI$821)/2,0.8,0.5)))</f>
        <v/>
      </c>
      <c r="E829" s="4">
        <f>IF(A829="","",SUMIFS('Логи'!$H$4:$H$3006,'Логи'!$A$4:$A$3006,A829,'Логи'!$C$4:$C$3006,13))</f>
        <v/>
      </c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  <c r="O829" s="15" t="n"/>
      <c r="P829" s="15" t="n"/>
      <c r="Q829" s="15" t="n"/>
      <c r="R829" s="15" t="n"/>
      <c r="S829" s="15" t="n"/>
      <c r="T829" s="15" t="n"/>
      <c r="U829" s="15" t="n"/>
      <c r="V829" s="15" t="n"/>
      <c r="W829" s="15" t="n"/>
      <c r="X829" s="15" t="n"/>
      <c r="Y829" s="15" t="n"/>
      <c r="Z829" s="15" t="n"/>
      <c r="AA829" s="15" t="n"/>
      <c r="AB829" s="15" t="n"/>
      <c r="AC829" s="15" t="n"/>
      <c r="AD829" s="15" t="n"/>
      <c r="AE829" s="15" t="n"/>
      <c r="AF829" s="15" t="n"/>
      <c r="AG829" s="15" t="n"/>
      <c r="AH829" s="15" t="n"/>
      <c r="AI829" s="15" t="n"/>
    </row>
    <row r="830">
      <c r="A830" s="4" t="inlineStr">
        <is>
          <t>Студент2.9</t>
        </is>
      </c>
      <c r="B830" s="4" t="inlineStr"/>
      <c r="C830" s="4">
        <f>IF(A830="","",COUNTIF(F830:AI830,"+")+COUNTIF(F830:AI830,"1"))</f>
        <v/>
      </c>
      <c r="D830" s="4">
        <f>IF(A830="","",IF(C830&gt;2*COUNTA(F$821:AI$821)/3,1,IF(C830&gt;=COUNTA(F$821:AI$821)/2,0.8,0.5)))</f>
        <v/>
      </c>
      <c r="E830" s="4">
        <f>IF(A830="","",SUMIFS('Логи'!$H$4:$H$3006,'Логи'!$A$4:$A$3006,A830,'Логи'!$C$4:$C$3006,13))</f>
        <v/>
      </c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  <c r="O830" s="15" t="n"/>
      <c r="P830" s="15" t="n"/>
      <c r="Q830" s="15" t="n"/>
      <c r="R830" s="15" t="n"/>
      <c r="S830" s="15" t="n"/>
      <c r="T830" s="15" t="n"/>
      <c r="U830" s="15" t="n"/>
      <c r="V830" s="15" t="n"/>
      <c r="W830" s="15" t="n"/>
      <c r="X830" s="15" t="n"/>
      <c r="Y830" s="15" t="n"/>
      <c r="Z830" s="15" t="n"/>
      <c r="AA830" s="15" t="n"/>
      <c r="AB830" s="15" t="n"/>
      <c r="AC830" s="15" t="n"/>
      <c r="AD830" s="15" t="n"/>
      <c r="AE830" s="15" t="n"/>
      <c r="AF830" s="15" t="n"/>
      <c r="AG830" s="15" t="n"/>
      <c r="AH830" s="15" t="n"/>
      <c r="AI830" s="15" t="n"/>
    </row>
    <row r="831">
      <c r="A831" s="4" t="inlineStr">
        <is>
          <t>Студент2.10</t>
        </is>
      </c>
      <c r="B831" s="4" t="inlineStr"/>
      <c r="C831" s="4">
        <f>IF(A831="","",COUNTIF(F831:AI831,"+")+COUNTIF(F831:AI831,"1"))</f>
        <v/>
      </c>
      <c r="D831" s="4">
        <f>IF(A831="","",IF(C831&gt;2*COUNTA(F$821:AI$821)/3,1,IF(C831&gt;=COUNTA(F$821:AI$821)/2,0.8,0.5)))</f>
        <v/>
      </c>
      <c r="E831" s="4">
        <f>IF(A831="","",SUMIFS('Логи'!$H$4:$H$3006,'Логи'!$A$4:$A$3006,A831,'Логи'!$C$4:$C$3006,13))</f>
        <v/>
      </c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  <c r="O831" s="15" t="n"/>
      <c r="P831" s="15" t="n"/>
      <c r="Q831" s="15" t="n"/>
      <c r="R831" s="15" t="n"/>
      <c r="S831" s="15" t="n"/>
      <c r="T831" s="15" t="n"/>
      <c r="U831" s="15" t="n"/>
      <c r="V831" s="15" t="n"/>
      <c r="W831" s="15" t="n"/>
      <c r="X831" s="15" t="n"/>
      <c r="Y831" s="15" t="n"/>
      <c r="Z831" s="15" t="n"/>
      <c r="AA831" s="15" t="n"/>
      <c r="AB831" s="15" t="n"/>
      <c r="AC831" s="15" t="n"/>
      <c r="AD831" s="15" t="n"/>
      <c r="AE831" s="15" t="n"/>
      <c r="AF831" s="15" t="n"/>
      <c r="AG831" s="15" t="n"/>
      <c r="AH831" s="15" t="n"/>
      <c r="AI831" s="15" t="n"/>
    </row>
    <row r="832">
      <c r="A832" s="4" t="inlineStr">
        <is>
          <t>Студент2.11</t>
        </is>
      </c>
      <c r="B832" s="4" t="inlineStr"/>
      <c r="C832" s="4">
        <f>IF(A832="","",COUNTIF(F832:AI832,"+")+COUNTIF(F832:AI832,"1"))</f>
        <v/>
      </c>
      <c r="D832" s="4">
        <f>IF(A832="","",IF(C832&gt;2*COUNTA(F$821:AI$821)/3,1,IF(C832&gt;=COUNTA(F$821:AI$821)/2,0.8,0.5)))</f>
        <v/>
      </c>
      <c r="E832" s="4">
        <f>IF(A832="","",SUMIFS('Логи'!$H$4:$H$3006,'Логи'!$A$4:$A$3006,A832,'Логи'!$C$4:$C$3006,13))</f>
        <v/>
      </c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  <c r="O832" s="15" t="n"/>
      <c r="P832" s="15" t="n"/>
      <c r="Q832" s="15" t="n"/>
      <c r="R832" s="15" t="n"/>
      <c r="S832" s="15" t="n"/>
      <c r="T832" s="15" t="n"/>
      <c r="U832" s="15" t="n"/>
      <c r="V832" s="15" t="n"/>
      <c r="W832" s="15" t="n"/>
      <c r="X832" s="15" t="n"/>
      <c r="Y832" s="15" t="n"/>
      <c r="Z832" s="15" t="n"/>
      <c r="AA832" s="15" t="n"/>
      <c r="AB832" s="15" t="n"/>
      <c r="AC832" s="15" t="n"/>
      <c r="AD832" s="15" t="n"/>
      <c r="AE832" s="15" t="n"/>
      <c r="AF832" s="15" t="n"/>
      <c r="AG832" s="15" t="n"/>
      <c r="AH832" s="15" t="n"/>
      <c r="AI832" s="15" t="n"/>
    </row>
    <row r="833">
      <c r="A833" s="4" t="inlineStr">
        <is>
          <t>Студент2.12</t>
        </is>
      </c>
      <c r="B833" s="4" t="inlineStr"/>
      <c r="C833" s="4">
        <f>IF(A833="","",COUNTIF(F833:AI833,"+")+COUNTIF(F833:AI833,"1"))</f>
        <v/>
      </c>
      <c r="D833" s="4">
        <f>IF(A833="","",IF(C833&gt;2*COUNTA(F$821:AI$821)/3,1,IF(C833&gt;=COUNTA(F$821:AI$821)/2,0.8,0.5)))</f>
        <v/>
      </c>
      <c r="E833" s="4">
        <f>IF(A833="","",SUMIFS('Логи'!$H$4:$H$3006,'Логи'!$A$4:$A$3006,A833,'Логи'!$C$4:$C$3006,13))</f>
        <v/>
      </c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  <c r="O833" s="15" t="n"/>
      <c r="P833" s="15" t="n"/>
      <c r="Q833" s="15" t="n"/>
      <c r="R833" s="15" t="n"/>
      <c r="S833" s="15" t="n"/>
      <c r="T833" s="15" t="n"/>
      <c r="U833" s="15" t="n"/>
      <c r="V833" s="15" t="n"/>
      <c r="W833" s="15" t="n"/>
      <c r="X833" s="15" t="n"/>
      <c r="Y833" s="15" t="n"/>
      <c r="Z833" s="15" t="n"/>
      <c r="AA833" s="15" t="n"/>
      <c r="AB833" s="15" t="n"/>
      <c r="AC833" s="15" t="n"/>
      <c r="AD833" s="15" t="n"/>
      <c r="AE833" s="15" t="n"/>
      <c r="AF833" s="15" t="n"/>
      <c r="AG833" s="15" t="n"/>
      <c r="AH833" s="15" t="n"/>
      <c r="AI833" s="15" t="n"/>
    </row>
    <row r="834">
      <c r="A834" s="4" t="inlineStr">
        <is>
          <t>Студент2.13</t>
        </is>
      </c>
      <c r="B834" s="4" t="inlineStr"/>
      <c r="C834" s="4">
        <f>IF(A834="","",COUNTIF(F834:AI834,"+")+COUNTIF(F834:AI834,"1"))</f>
        <v/>
      </c>
      <c r="D834" s="4">
        <f>IF(A834="","",IF(C834&gt;2*COUNTA(F$821:AI$821)/3,1,IF(C834&gt;=COUNTA(F$821:AI$821)/2,0.8,0.5)))</f>
        <v/>
      </c>
      <c r="E834" s="4">
        <f>IF(A834="","",SUMIFS('Логи'!$H$4:$H$3006,'Логи'!$A$4:$A$3006,A834,'Логи'!$C$4:$C$3006,13))</f>
        <v/>
      </c>
      <c r="F834" s="15" t="n"/>
      <c r="G834" s="15" t="n"/>
      <c r="H834" s="15" t="n"/>
      <c r="I834" s="15" t="n"/>
      <c r="J834" s="15" t="n"/>
      <c r="K834" s="15" t="n"/>
      <c r="L834" s="15" t="n"/>
      <c r="M834" s="15" t="n"/>
      <c r="N834" s="15" t="n"/>
      <c r="O834" s="15" t="n"/>
      <c r="P834" s="15" t="n"/>
      <c r="Q834" s="15" t="n"/>
      <c r="R834" s="15" t="n"/>
      <c r="S834" s="15" t="n"/>
      <c r="T834" s="15" t="n"/>
      <c r="U834" s="15" t="n"/>
      <c r="V834" s="15" t="n"/>
      <c r="W834" s="15" t="n"/>
      <c r="X834" s="15" t="n"/>
      <c r="Y834" s="15" t="n"/>
      <c r="Z834" s="15" t="n"/>
      <c r="AA834" s="15" t="n"/>
      <c r="AB834" s="15" t="n"/>
      <c r="AC834" s="15" t="n"/>
      <c r="AD834" s="15" t="n"/>
      <c r="AE834" s="15" t="n"/>
      <c r="AF834" s="15" t="n"/>
      <c r="AG834" s="15" t="n"/>
      <c r="AH834" s="15" t="n"/>
      <c r="AI834" s="15" t="n"/>
    </row>
    <row r="835">
      <c r="A835" s="4" t="inlineStr">
        <is>
          <t>Студент2.14</t>
        </is>
      </c>
      <c r="B835" s="4" t="inlineStr"/>
      <c r="C835" s="4">
        <f>IF(A835="","",COUNTIF(F835:AI835,"+")+COUNTIF(F835:AI835,"1"))</f>
        <v/>
      </c>
      <c r="D835" s="4">
        <f>IF(A835="","",IF(C835&gt;2*COUNTA(F$821:AI$821)/3,1,IF(C835&gt;=COUNTA(F$821:AI$821)/2,0.8,0.5)))</f>
        <v/>
      </c>
      <c r="E835" s="4">
        <f>IF(A835="","",SUMIFS('Логи'!$H$4:$H$3006,'Логи'!$A$4:$A$3006,A835,'Логи'!$C$4:$C$3006,13))</f>
        <v/>
      </c>
      <c r="F835" s="15" t="n"/>
      <c r="G835" s="15" t="n"/>
      <c r="H835" s="15" t="n"/>
      <c r="I835" s="15" t="n"/>
      <c r="J835" s="15" t="n"/>
      <c r="K835" s="15" t="n"/>
      <c r="L835" s="15" t="n"/>
      <c r="M835" s="15" t="n"/>
      <c r="N835" s="15" t="n"/>
      <c r="O835" s="15" t="n"/>
      <c r="P835" s="15" t="n"/>
      <c r="Q835" s="15" t="n"/>
      <c r="R835" s="15" t="n"/>
      <c r="S835" s="15" t="n"/>
      <c r="T835" s="15" t="n"/>
      <c r="U835" s="15" t="n"/>
      <c r="V835" s="15" t="n"/>
      <c r="W835" s="15" t="n"/>
      <c r="X835" s="15" t="n"/>
      <c r="Y835" s="15" t="n"/>
      <c r="Z835" s="15" t="n"/>
      <c r="AA835" s="15" t="n"/>
      <c r="AB835" s="15" t="n"/>
      <c r="AC835" s="15" t="n"/>
      <c r="AD835" s="15" t="n"/>
      <c r="AE835" s="15" t="n"/>
      <c r="AF835" s="15" t="n"/>
      <c r="AG835" s="15" t="n"/>
      <c r="AH835" s="15" t="n"/>
      <c r="AI835" s="15" t="n"/>
    </row>
    <row r="836">
      <c r="A836" s="4" t="inlineStr">
        <is>
          <t>Студент2.15</t>
        </is>
      </c>
      <c r="B836" s="4" t="inlineStr"/>
      <c r="C836" s="4">
        <f>IF(A836="","",COUNTIF(F836:AI836,"+")+COUNTIF(F836:AI836,"1"))</f>
        <v/>
      </c>
      <c r="D836" s="4">
        <f>IF(A836="","",IF(C836&gt;2*COUNTA(F$821:AI$821)/3,1,IF(C836&gt;=COUNTA(F$821:AI$821)/2,0.8,0.5)))</f>
        <v/>
      </c>
      <c r="E836" s="4">
        <f>IF(A836="","",SUMIFS('Логи'!$H$4:$H$3006,'Логи'!$A$4:$A$3006,A836,'Логи'!$C$4:$C$3006,13))</f>
        <v/>
      </c>
      <c r="F836" s="15" t="n"/>
      <c r="G836" s="15" t="n"/>
      <c r="H836" s="15" t="n"/>
      <c r="I836" s="15" t="n"/>
      <c r="J836" s="15" t="n"/>
      <c r="K836" s="15" t="n"/>
      <c r="L836" s="15" t="n"/>
      <c r="M836" s="15" t="n"/>
      <c r="N836" s="15" t="n"/>
      <c r="O836" s="15" t="n"/>
      <c r="P836" s="15" t="n"/>
      <c r="Q836" s="15" t="n"/>
      <c r="R836" s="15" t="n"/>
      <c r="S836" s="15" t="n"/>
      <c r="T836" s="15" t="n"/>
      <c r="U836" s="15" t="n"/>
      <c r="V836" s="15" t="n"/>
      <c r="W836" s="15" t="n"/>
      <c r="X836" s="15" t="n"/>
      <c r="Y836" s="15" t="n"/>
      <c r="Z836" s="15" t="n"/>
      <c r="AA836" s="15" t="n"/>
      <c r="AB836" s="15" t="n"/>
      <c r="AC836" s="15" t="n"/>
      <c r="AD836" s="15" t="n"/>
      <c r="AE836" s="15" t="n"/>
      <c r="AF836" s="15" t="n"/>
      <c r="AG836" s="15" t="n"/>
      <c r="AH836" s="15" t="n"/>
      <c r="AI836" s="15" t="n"/>
    </row>
    <row r="837">
      <c r="A837" s="4" t="inlineStr">
        <is>
          <t>Студент2.16</t>
        </is>
      </c>
      <c r="B837" s="4" t="inlineStr"/>
      <c r="C837" s="4">
        <f>IF(A837="","",COUNTIF(F837:AI837,"+")+COUNTIF(F837:AI837,"1"))</f>
        <v/>
      </c>
      <c r="D837" s="4">
        <f>IF(A837="","",IF(C837&gt;2*COUNTA(F$821:AI$821)/3,1,IF(C837&gt;=COUNTA(F$821:AI$821)/2,0.8,0.5)))</f>
        <v/>
      </c>
      <c r="E837" s="4">
        <f>IF(A837="","",SUMIFS('Логи'!$H$4:$H$3006,'Логи'!$A$4:$A$3006,A837,'Логи'!$C$4:$C$3006,13))</f>
        <v/>
      </c>
      <c r="F837" s="15" t="n"/>
      <c r="G837" s="15" t="n"/>
      <c r="H837" s="15" t="n"/>
      <c r="I837" s="15" t="n"/>
      <c r="J837" s="15" t="n"/>
      <c r="K837" s="15" t="n"/>
      <c r="L837" s="15" t="n"/>
      <c r="M837" s="15" t="n"/>
      <c r="N837" s="15" t="n"/>
      <c r="O837" s="15" t="n"/>
      <c r="P837" s="15" t="n"/>
      <c r="Q837" s="15" t="n"/>
      <c r="R837" s="15" t="n"/>
      <c r="S837" s="15" t="n"/>
      <c r="T837" s="15" t="n"/>
      <c r="U837" s="15" t="n"/>
      <c r="V837" s="15" t="n"/>
      <c r="W837" s="15" t="n"/>
      <c r="X837" s="15" t="n"/>
      <c r="Y837" s="15" t="n"/>
      <c r="Z837" s="15" t="n"/>
      <c r="AA837" s="15" t="n"/>
      <c r="AB837" s="15" t="n"/>
      <c r="AC837" s="15" t="n"/>
      <c r="AD837" s="15" t="n"/>
      <c r="AE837" s="15" t="n"/>
      <c r="AF837" s="15" t="n"/>
      <c r="AG837" s="15" t="n"/>
      <c r="AH837" s="15" t="n"/>
      <c r="AI837" s="15" t="n"/>
    </row>
    <row r="838">
      <c r="A838" s="4" t="inlineStr">
        <is>
          <t>Студент2.17</t>
        </is>
      </c>
      <c r="B838" s="4" t="inlineStr"/>
      <c r="C838" s="4">
        <f>IF(A838="","",COUNTIF(F838:AI838,"+")+COUNTIF(F838:AI838,"1"))</f>
        <v/>
      </c>
      <c r="D838" s="4">
        <f>IF(A838="","",IF(C838&gt;2*COUNTA(F$821:AI$821)/3,1,IF(C838&gt;=COUNTA(F$821:AI$821)/2,0.8,0.5)))</f>
        <v/>
      </c>
      <c r="E838" s="4">
        <f>IF(A838="","",SUMIFS('Логи'!$H$4:$H$3006,'Логи'!$A$4:$A$3006,A838,'Логи'!$C$4:$C$3006,13))</f>
        <v/>
      </c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  <c r="O838" s="15" t="n"/>
      <c r="P838" s="15" t="n"/>
      <c r="Q838" s="15" t="n"/>
      <c r="R838" s="15" t="n"/>
      <c r="S838" s="15" t="n"/>
      <c r="T838" s="15" t="n"/>
      <c r="U838" s="15" t="n"/>
      <c r="V838" s="15" t="n"/>
      <c r="W838" s="15" t="n"/>
      <c r="X838" s="15" t="n"/>
      <c r="Y838" s="15" t="n"/>
      <c r="Z838" s="15" t="n"/>
      <c r="AA838" s="15" t="n"/>
      <c r="AB838" s="15" t="n"/>
      <c r="AC838" s="15" t="n"/>
      <c r="AD838" s="15" t="n"/>
      <c r="AE838" s="15" t="n"/>
      <c r="AF838" s="15" t="n"/>
      <c r="AG838" s="15" t="n"/>
      <c r="AH838" s="15" t="n"/>
      <c r="AI838" s="15" t="n"/>
    </row>
    <row r="839">
      <c r="A839" s="4" t="inlineStr">
        <is>
          <t>Студент2.18</t>
        </is>
      </c>
      <c r="B839" s="4" t="inlineStr"/>
      <c r="C839" s="4">
        <f>IF(A839="","",COUNTIF(F839:AI839,"+")+COUNTIF(F839:AI839,"1"))</f>
        <v/>
      </c>
      <c r="D839" s="4">
        <f>IF(A839="","",IF(C839&gt;2*COUNTA(F$821:AI$821)/3,1,IF(C839&gt;=COUNTA(F$821:AI$821)/2,0.8,0.5)))</f>
        <v/>
      </c>
      <c r="E839" s="4">
        <f>IF(A839="","",SUMIFS('Логи'!$H$4:$H$3006,'Логи'!$A$4:$A$3006,A839,'Логи'!$C$4:$C$3006,13))</f>
        <v/>
      </c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  <c r="O839" s="15" t="n"/>
      <c r="P839" s="15" t="n"/>
      <c r="Q839" s="15" t="n"/>
      <c r="R839" s="15" t="n"/>
      <c r="S839" s="15" t="n"/>
      <c r="T839" s="15" t="n"/>
      <c r="U839" s="15" t="n"/>
      <c r="V839" s="15" t="n"/>
      <c r="W839" s="15" t="n"/>
      <c r="X839" s="15" t="n"/>
      <c r="Y839" s="15" t="n"/>
      <c r="Z839" s="15" t="n"/>
      <c r="AA839" s="15" t="n"/>
      <c r="AB839" s="15" t="n"/>
      <c r="AC839" s="15" t="n"/>
      <c r="AD839" s="15" t="n"/>
      <c r="AE839" s="15" t="n"/>
      <c r="AF839" s="15" t="n"/>
      <c r="AG839" s="15" t="n"/>
      <c r="AH839" s="15" t="n"/>
      <c r="AI839" s="15" t="n"/>
    </row>
    <row r="840">
      <c r="A840" s="4" t="inlineStr">
        <is>
          <t>Студент2.19</t>
        </is>
      </c>
      <c r="B840" s="4" t="inlineStr"/>
      <c r="C840" s="4">
        <f>IF(A840="","",COUNTIF(F840:AI840,"+")+COUNTIF(F840:AI840,"1"))</f>
        <v/>
      </c>
      <c r="D840" s="4">
        <f>IF(A840="","",IF(C840&gt;2*COUNTA(F$821:AI$821)/3,1,IF(C840&gt;=COUNTA(F$821:AI$821)/2,0.8,0.5)))</f>
        <v/>
      </c>
      <c r="E840" s="4">
        <f>IF(A840="","",SUMIFS('Логи'!$H$4:$H$3006,'Логи'!$A$4:$A$3006,A840,'Логи'!$C$4:$C$3006,13))</f>
        <v/>
      </c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  <c r="O840" s="15" t="n"/>
      <c r="P840" s="15" t="n"/>
      <c r="Q840" s="15" t="n"/>
      <c r="R840" s="15" t="n"/>
      <c r="S840" s="15" t="n"/>
      <c r="T840" s="15" t="n"/>
      <c r="U840" s="15" t="n"/>
      <c r="V840" s="15" t="n"/>
      <c r="W840" s="15" t="n"/>
      <c r="X840" s="15" t="n"/>
      <c r="Y840" s="15" t="n"/>
      <c r="Z840" s="15" t="n"/>
      <c r="AA840" s="15" t="n"/>
      <c r="AB840" s="15" t="n"/>
      <c r="AC840" s="15" t="n"/>
      <c r="AD840" s="15" t="n"/>
      <c r="AE840" s="15" t="n"/>
      <c r="AF840" s="15" t="n"/>
      <c r="AG840" s="15" t="n"/>
      <c r="AH840" s="15" t="n"/>
      <c r="AI840" s="15" t="n"/>
    </row>
    <row r="841">
      <c r="A841" s="4" t="inlineStr">
        <is>
          <t>Студент2.20</t>
        </is>
      </c>
      <c r="B841" s="4" t="inlineStr"/>
      <c r="C841" s="4">
        <f>IF(A841="","",COUNTIF(F841:AI841,"+")+COUNTIF(F841:AI841,"1"))</f>
        <v/>
      </c>
      <c r="D841" s="4">
        <f>IF(A841="","",IF(C841&gt;2*COUNTA(F$821:AI$821)/3,1,IF(C841&gt;=COUNTA(F$821:AI$821)/2,0.8,0.5)))</f>
        <v/>
      </c>
      <c r="E841" s="4">
        <f>IF(A841="","",SUMIFS('Логи'!$H$4:$H$3006,'Логи'!$A$4:$A$3006,A841,'Логи'!$C$4:$C$3006,13))</f>
        <v/>
      </c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  <c r="O841" s="15" t="n"/>
      <c r="P841" s="15" t="n"/>
      <c r="Q841" s="15" t="n"/>
      <c r="R841" s="15" t="n"/>
      <c r="S841" s="15" t="n"/>
      <c r="T841" s="15" t="n"/>
      <c r="U841" s="15" t="n"/>
      <c r="V841" s="15" t="n"/>
      <c r="W841" s="15" t="n"/>
      <c r="X841" s="15" t="n"/>
      <c r="Y841" s="15" t="n"/>
      <c r="Z841" s="15" t="n"/>
      <c r="AA841" s="15" t="n"/>
      <c r="AB841" s="15" t="n"/>
      <c r="AC841" s="15" t="n"/>
      <c r="AD841" s="15" t="n"/>
      <c r="AE841" s="15" t="n"/>
      <c r="AF841" s="15" t="n"/>
      <c r="AG841" s="15" t="n"/>
      <c r="AH841" s="15" t="n"/>
      <c r="AI841" s="15" t="n"/>
    </row>
    <row r="842">
      <c r="A842" s="4" t="inlineStr">
        <is>
          <t>Студент2.21</t>
        </is>
      </c>
      <c r="B842" s="4" t="inlineStr"/>
      <c r="C842" s="4">
        <f>IF(A842="","",COUNTIF(F842:AI842,"+")+COUNTIF(F842:AI842,"1"))</f>
        <v/>
      </c>
      <c r="D842" s="4">
        <f>IF(A842="","",IF(C842&gt;2*COUNTA(F$821:AI$821)/3,1,IF(C842&gt;=COUNTA(F$821:AI$821)/2,0.8,0.5)))</f>
        <v/>
      </c>
      <c r="E842" s="4">
        <f>IF(A842="","",SUMIFS('Логи'!$H$4:$H$3006,'Логи'!$A$4:$A$3006,A842,'Логи'!$C$4:$C$3006,13))</f>
        <v/>
      </c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  <c r="O842" s="15" t="n"/>
      <c r="P842" s="15" t="n"/>
      <c r="Q842" s="15" t="n"/>
      <c r="R842" s="15" t="n"/>
      <c r="S842" s="15" t="n"/>
      <c r="T842" s="15" t="n"/>
      <c r="U842" s="15" t="n"/>
      <c r="V842" s="15" t="n"/>
      <c r="W842" s="15" t="n"/>
      <c r="X842" s="15" t="n"/>
      <c r="Y842" s="15" t="n"/>
      <c r="Z842" s="15" t="n"/>
      <c r="AA842" s="15" t="n"/>
      <c r="AB842" s="15" t="n"/>
      <c r="AC842" s="15" t="n"/>
      <c r="AD842" s="15" t="n"/>
      <c r="AE842" s="15" t="n"/>
      <c r="AF842" s="15" t="n"/>
      <c r="AG842" s="15" t="n"/>
      <c r="AH842" s="15" t="n"/>
      <c r="AI842" s="15" t="n"/>
    </row>
    <row r="843">
      <c r="A843" s="4" t="inlineStr">
        <is>
          <t>Студент2.22</t>
        </is>
      </c>
      <c r="B843" s="4" t="inlineStr"/>
      <c r="C843" s="4">
        <f>IF(A843="","",COUNTIF(F843:AI843,"+")+COUNTIF(F843:AI843,"1"))</f>
        <v/>
      </c>
      <c r="D843" s="4">
        <f>IF(A843="","",IF(C843&gt;2*COUNTA(F$821:AI$821)/3,1,IF(C843&gt;=COUNTA(F$821:AI$821)/2,0.8,0.5)))</f>
        <v/>
      </c>
      <c r="E843" s="4">
        <f>IF(A843="","",SUMIFS('Логи'!$H$4:$H$3006,'Логи'!$A$4:$A$3006,A843,'Логи'!$C$4:$C$3006,13))</f>
        <v/>
      </c>
      <c r="F843" s="15" t="n"/>
      <c r="G843" s="15" t="n"/>
      <c r="H843" s="15" t="n"/>
      <c r="I843" s="15" t="n"/>
      <c r="J843" s="15" t="n"/>
      <c r="K843" s="15" t="n"/>
      <c r="L843" s="15" t="n"/>
      <c r="M843" s="15" t="n"/>
      <c r="N843" s="15" t="n"/>
      <c r="O843" s="15" t="n"/>
      <c r="P843" s="15" t="n"/>
      <c r="Q843" s="15" t="n"/>
      <c r="R843" s="15" t="n"/>
      <c r="S843" s="15" t="n"/>
      <c r="T843" s="15" t="n"/>
      <c r="U843" s="15" t="n"/>
      <c r="V843" s="15" t="n"/>
      <c r="W843" s="15" t="n"/>
      <c r="X843" s="15" t="n"/>
      <c r="Y843" s="15" t="n"/>
      <c r="Z843" s="15" t="n"/>
      <c r="AA843" s="15" t="n"/>
      <c r="AB843" s="15" t="n"/>
      <c r="AC843" s="15" t="n"/>
      <c r="AD843" s="15" t="n"/>
      <c r="AE843" s="15" t="n"/>
      <c r="AF843" s="15" t="n"/>
      <c r="AG843" s="15" t="n"/>
      <c r="AH843" s="15" t="n"/>
      <c r="AI843" s="15" t="n"/>
    </row>
    <row r="844">
      <c r="A844" s="4" t="inlineStr">
        <is>
          <t>Студент2.23</t>
        </is>
      </c>
      <c r="B844" s="4" t="inlineStr"/>
      <c r="C844" s="4">
        <f>IF(A844="","",COUNTIF(F844:AI844,"+")+COUNTIF(F844:AI844,"1"))</f>
        <v/>
      </c>
      <c r="D844" s="4">
        <f>IF(A844="","",IF(C844&gt;2*COUNTA(F$821:AI$821)/3,1,IF(C844&gt;=COUNTA(F$821:AI$821)/2,0.8,0.5)))</f>
        <v/>
      </c>
      <c r="E844" s="4">
        <f>IF(A844="","",SUMIFS('Логи'!$H$4:$H$3006,'Логи'!$A$4:$A$3006,A844,'Логи'!$C$4:$C$3006,13))</f>
        <v/>
      </c>
      <c r="F844" s="15" t="n"/>
      <c r="G844" s="15" t="n"/>
      <c r="H844" s="15" t="n"/>
      <c r="I844" s="15" t="n"/>
      <c r="J844" s="15" t="n"/>
      <c r="K844" s="15" t="n"/>
      <c r="L844" s="15" t="n"/>
      <c r="M844" s="15" t="n"/>
      <c r="N844" s="15" t="n"/>
      <c r="O844" s="15" t="n"/>
      <c r="P844" s="15" t="n"/>
      <c r="Q844" s="15" t="n"/>
      <c r="R844" s="15" t="n"/>
      <c r="S844" s="15" t="n"/>
      <c r="T844" s="15" t="n"/>
      <c r="U844" s="15" t="n"/>
      <c r="V844" s="15" t="n"/>
      <c r="W844" s="15" t="n"/>
      <c r="X844" s="15" t="n"/>
      <c r="Y844" s="15" t="n"/>
      <c r="Z844" s="15" t="n"/>
      <c r="AA844" s="15" t="n"/>
      <c r="AB844" s="15" t="n"/>
      <c r="AC844" s="15" t="n"/>
      <c r="AD844" s="15" t="n"/>
      <c r="AE844" s="15" t="n"/>
      <c r="AF844" s="15" t="n"/>
      <c r="AG844" s="15" t="n"/>
      <c r="AH844" s="15" t="n"/>
      <c r="AI844" s="15" t="n"/>
    </row>
    <row r="845">
      <c r="A845" s="4" t="inlineStr">
        <is>
          <t>Студент2.24</t>
        </is>
      </c>
      <c r="B845" s="4" t="inlineStr"/>
      <c r="C845" s="4">
        <f>IF(A845="","",COUNTIF(F845:AI845,"+")+COUNTIF(F845:AI845,"1"))</f>
        <v/>
      </c>
      <c r="D845" s="4">
        <f>IF(A845="","",IF(C845&gt;2*COUNTA(F$821:AI$821)/3,1,IF(C845&gt;=COUNTA(F$821:AI$821)/2,0.8,0.5)))</f>
        <v/>
      </c>
      <c r="E845" s="4">
        <f>IF(A845="","",SUMIFS('Логи'!$H$4:$H$3006,'Логи'!$A$4:$A$3006,A845,'Логи'!$C$4:$C$3006,13))</f>
        <v/>
      </c>
      <c r="F845" s="15" t="n"/>
      <c r="G845" s="15" t="n"/>
      <c r="H845" s="15" t="n"/>
      <c r="I845" s="15" t="n"/>
      <c r="J845" s="15" t="n"/>
      <c r="K845" s="15" t="n"/>
      <c r="L845" s="15" t="n"/>
      <c r="M845" s="15" t="n"/>
      <c r="N845" s="15" t="n"/>
      <c r="O845" s="15" t="n"/>
      <c r="P845" s="15" t="n"/>
      <c r="Q845" s="15" t="n"/>
      <c r="R845" s="15" t="n"/>
      <c r="S845" s="15" t="n"/>
      <c r="T845" s="15" t="n"/>
      <c r="U845" s="15" t="n"/>
      <c r="V845" s="15" t="n"/>
      <c r="W845" s="15" t="n"/>
      <c r="X845" s="15" t="n"/>
      <c r="Y845" s="15" t="n"/>
      <c r="Z845" s="15" t="n"/>
      <c r="AA845" s="15" t="n"/>
      <c r="AB845" s="15" t="n"/>
      <c r="AC845" s="15" t="n"/>
      <c r="AD845" s="15" t="n"/>
      <c r="AE845" s="15" t="n"/>
      <c r="AF845" s="15" t="n"/>
      <c r="AG845" s="15" t="n"/>
      <c r="AH845" s="15" t="n"/>
      <c r="AI845" s="15" t="n"/>
    </row>
    <row r="846">
      <c r="A846" s="4" t="inlineStr">
        <is>
          <t>Студент2.25</t>
        </is>
      </c>
      <c r="B846" s="4" t="inlineStr"/>
      <c r="C846" s="4">
        <f>IF(A846="","",COUNTIF(F846:AI846,"+")+COUNTIF(F846:AI846,"1"))</f>
        <v/>
      </c>
      <c r="D846" s="4">
        <f>IF(A846="","",IF(C846&gt;2*COUNTA(F$821:AI$821)/3,1,IF(C846&gt;=COUNTA(F$821:AI$821)/2,0.8,0.5)))</f>
        <v/>
      </c>
      <c r="E846" s="4">
        <f>IF(A846="","",SUMIFS('Логи'!$H$4:$H$3006,'Логи'!$A$4:$A$3006,A846,'Логи'!$C$4:$C$3006,13))</f>
        <v/>
      </c>
      <c r="F846" s="15" t="n"/>
      <c r="G846" s="15" t="n"/>
      <c r="H846" s="15" t="n"/>
      <c r="I846" s="15" t="n"/>
      <c r="J846" s="15" t="n"/>
      <c r="K846" s="15" t="n"/>
      <c r="L846" s="15" t="n"/>
      <c r="M846" s="15" t="n"/>
      <c r="N846" s="15" t="n"/>
      <c r="O846" s="15" t="n"/>
      <c r="P846" s="15" t="n"/>
      <c r="Q846" s="15" t="n"/>
      <c r="R846" s="15" t="n"/>
      <c r="S846" s="15" t="n"/>
      <c r="T846" s="15" t="n"/>
      <c r="U846" s="15" t="n"/>
      <c r="V846" s="15" t="n"/>
      <c r="W846" s="15" t="n"/>
      <c r="X846" s="15" t="n"/>
      <c r="Y846" s="15" t="n"/>
      <c r="Z846" s="15" t="n"/>
      <c r="AA846" s="15" t="n"/>
      <c r="AB846" s="15" t="n"/>
      <c r="AC846" s="15" t="n"/>
      <c r="AD846" s="15" t="n"/>
      <c r="AE846" s="15" t="n"/>
      <c r="AF846" s="15" t="n"/>
      <c r="AG846" s="15" t="n"/>
      <c r="AH846" s="15" t="n"/>
      <c r="AI846" s="15" t="n"/>
    </row>
    <row r="847">
      <c r="A847" s="4" t="inlineStr">
        <is>
          <t>Студент2.26</t>
        </is>
      </c>
      <c r="B847" s="4" t="inlineStr"/>
      <c r="C847" s="4">
        <f>IF(A847="","",COUNTIF(F847:AI847,"+")+COUNTIF(F847:AI847,"1"))</f>
        <v/>
      </c>
      <c r="D847" s="4">
        <f>IF(A847="","",IF(C847&gt;2*COUNTA(F$821:AI$821)/3,1,IF(C847&gt;=COUNTA(F$821:AI$821)/2,0.8,0.5)))</f>
        <v/>
      </c>
      <c r="E847" s="4">
        <f>IF(A847="","",SUMIFS('Логи'!$H$4:$H$3006,'Логи'!$A$4:$A$3006,A847,'Логи'!$C$4:$C$3006,13))</f>
        <v/>
      </c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  <c r="O847" s="15" t="n"/>
      <c r="P847" s="15" t="n"/>
      <c r="Q847" s="15" t="n"/>
      <c r="R847" s="15" t="n"/>
      <c r="S847" s="15" t="n"/>
      <c r="T847" s="15" t="n"/>
      <c r="U847" s="15" t="n"/>
      <c r="V847" s="15" t="n"/>
      <c r="W847" s="15" t="n"/>
      <c r="X847" s="15" t="n"/>
      <c r="Y847" s="15" t="n"/>
      <c r="Z847" s="15" t="n"/>
      <c r="AA847" s="15" t="n"/>
      <c r="AB847" s="15" t="n"/>
      <c r="AC847" s="15" t="n"/>
      <c r="AD847" s="15" t="n"/>
      <c r="AE847" s="15" t="n"/>
      <c r="AF847" s="15" t="n"/>
      <c r="AG847" s="15" t="n"/>
      <c r="AH847" s="15" t="n"/>
      <c r="AI847" s="15" t="n"/>
    </row>
    <row r="848">
      <c r="A848" s="4" t="inlineStr">
        <is>
          <t>Студент2.27</t>
        </is>
      </c>
      <c r="B848" s="4" t="inlineStr"/>
      <c r="C848" s="4">
        <f>IF(A848="","",COUNTIF(F848:AI848,"+")+COUNTIF(F848:AI848,"1"))</f>
        <v/>
      </c>
      <c r="D848" s="4">
        <f>IF(A848="","",IF(C848&gt;2*COUNTA(F$821:AI$821)/3,1,IF(C848&gt;=COUNTA(F$821:AI$821)/2,0.8,0.5)))</f>
        <v/>
      </c>
      <c r="E848" s="4">
        <f>IF(A848="","",SUMIFS('Логи'!$H$4:$H$3006,'Логи'!$A$4:$A$3006,A848,'Логи'!$C$4:$C$3006,13))</f>
        <v/>
      </c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  <c r="O848" s="15" t="n"/>
      <c r="P848" s="15" t="n"/>
      <c r="Q848" s="15" t="n"/>
      <c r="R848" s="15" t="n"/>
      <c r="S848" s="15" t="n"/>
      <c r="T848" s="15" t="n"/>
      <c r="U848" s="15" t="n"/>
      <c r="V848" s="15" t="n"/>
      <c r="W848" s="15" t="n"/>
      <c r="X848" s="15" t="n"/>
      <c r="Y848" s="15" t="n"/>
      <c r="Z848" s="15" t="n"/>
      <c r="AA848" s="15" t="n"/>
      <c r="AB848" s="15" t="n"/>
      <c r="AC848" s="15" t="n"/>
      <c r="AD848" s="15" t="n"/>
      <c r="AE848" s="15" t="n"/>
      <c r="AF848" s="15" t="n"/>
      <c r="AG848" s="15" t="n"/>
      <c r="AH848" s="15" t="n"/>
      <c r="AI848" s="15" t="n"/>
    </row>
    <row r="849">
      <c r="A849" s="4" t="inlineStr">
        <is>
          <t>Студент2.28</t>
        </is>
      </c>
      <c r="B849" s="4" t="inlineStr"/>
      <c r="C849" s="4">
        <f>IF(A849="","",COUNTIF(F849:AI849,"+")+COUNTIF(F849:AI849,"1"))</f>
        <v/>
      </c>
      <c r="D849" s="4">
        <f>IF(A849="","",IF(C849&gt;2*COUNTA(F$821:AI$821)/3,1,IF(C849&gt;=COUNTA(F$821:AI$821)/2,0.8,0.5)))</f>
        <v/>
      </c>
      <c r="E849" s="4">
        <f>IF(A849="","",SUMIFS('Логи'!$H$4:$H$3006,'Логи'!$A$4:$A$3006,A849,'Логи'!$C$4:$C$3006,13))</f>
        <v/>
      </c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  <c r="O849" s="15" t="n"/>
      <c r="P849" s="15" t="n"/>
      <c r="Q849" s="15" t="n"/>
      <c r="R849" s="15" t="n"/>
      <c r="S849" s="15" t="n"/>
      <c r="T849" s="15" t="n"/>
      <c r="U849" s="15" t="n"/>
      <c r="V849" s="15" t="n"/>
      <c r="W849" s="15" t="n"/>
      <c r="X849" s="15" t="n"/>
      <c r="Y849" s="15" t="n"/>
      <c r="Z849" s="15" t="n"/>
      <c r="AA849" s="15" t="n"/>
      <c r="AB849" s="15" t="n"/>
      <c r="AC849" s="15" t="n"/>
      <c r="AD849" s="15" t="n"/>
      <c r="AE849" s="15" t="n"/>
      <c r="AF849" s="15" t="n"/>
      <c r="AG849" s="15" t="n"/>
      <c r="AH849" s="15" t="n"/>
      <c r="AI849" s="15" t="n"/>
    </row>
    <row r="850">
      <c r="A850" s="4" t="inlineStr">
        <is>
          <t>Студент2.29</t>
        </is>
      </c>
      <c r="B850" s="4" t="inlineStr"/>
      <c r="C850" s="4">
        <f>IF(A850="","",COUNTIF(F850:AI850,"+")+COUNTIF(F850:AI850,"1"))</f>
        <v/>
      </c>
      <c r="D850" s="4">
        <f>IF(A850="","",IF(C850&gt;2*COUNTA(F$821:AI$821)/3,1,IF(C850&gt;=COUNTA(F$821:AI$821)/2,0.8,0.5)))</f>
        <v/>
      </c>
      <c r="E850" s="4">
        <f>IF(A850="","",SUMIFS('Логи'!$H$4:$H$3006,'Логи'!$A$4:$A$3006,A850,'Логи'!$C$4:$C$3006,13))</f>
        <v/>
      </c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5" t="n"/>
      <c r="P850" s="15" t="n"/>
      <c r="Q850" s="15" t="n"/>
      <c r="R850" s="15" t="n"/>
      <c r="S850" s="15" t="n"/>
      <c r="T850" s="15" t="n"/>
      <c r="U850" s="15" t="n"/>
      <c r="V850" s="15" t="n"/>
      <c r="W850" s="15" t="n"/>
      <c r="X850" s="15" t="n"/>
      <c r="Y850" s="15" t="n"/>
      <c r="Z850" s="15" t="n"/>
      <c r="AA850" s="15" t="n"/>
      <c r="AB850" s="15" t="n"/>
      <c r="AC850" s="15" t="n"/>
      <c r="AD850" s="15" t="n"/>
      <c r="AE850" s="15" t="n"/>
      <c r="AF850" s="15" t="n"/>
      <c r="AG850" s="15" t="n"/>
      <c r="AH850" s="15" t="n"/>
      <c r="AI850" s="15" t="n"/>
    </row>
    <row r="851">
      <c r="A851" s="4" t="inlineStr">
        <is>
          <t>Студент2.30</t>
        </is>
      </c>
      <c r="B851" s="4" t="inlineStr"/>
      <c r="C851" s="4">
        <f>IF(A851="","",COUNTIF(F851:AI851,"+")+COUNTIF(F851:AI851,"1"))</f>
        <v/>
      </c>
      <c r="D851" s="4">
        <f>IF(A851="","",IF(C851&gt;2*COUNTA(F$821:AI$821)/3,1,IF(C851&gt;=COUNTA(F$821:AI$821)/2,0.8,0.5)))</f>
        <v/>
      </c>
      <c r="E851" s="4">
        <f>IF(A851="","",SUMIFS('Логи'!$H$4:$H$3006,'Логи'!$A$4:$A$3006,A851,'Логи'!$C$4:$C$3006,13))</f>
        <v/>
      </c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  <c r="O851" s="15" t="n"/>
      <c r="P851" s="15" t="n"/>
      <c r="Q851" s="15" t="n"/>
      <c r="R851" s="15" t="n"/>
      <c r="S851" s="15" t="n"/>
      <c r="T851" s="15" t="n"/>
      <c r="U851" s="15" t="n"/>
      <c r="V851" s="15" t="n"/>
      <c r="W851" s="15" t="n"/>
      <c r="X851" s="15" t="n"/>
      <c r="Y851" s="15" t="n"/>
      <c r="Z851" s="15" t="n"/>
      <c r="AA851" s="15" t="n"/>
      <c r="AB851" s="15" t="n"/>
      <c r="AC851" s="15" t="n"/>
      <c r="AD851" s="15" t="n"/>
      <c r="AE851" s="15" t="n"/>
      <c r="AF851" s="15" t="n"/>
      <c r="AG851" s="15" t="n"/>
      <c r="AH851" s="15" t="n"/>
      <c r="AI851" s="15" t="n"/>
    </row>
    <row r="853">
      <c r="A853" s="16" t="inlineStr">
        <is>
          <t>Практика 13 — результаты рассказа</t>
        </is>
      </c>
    </row>
    <row r="854" ht="28" customHeight="1">
      <c r="A854" s="7" t="inlineStr">
        <is>
          <t>Имя</t>
        </is>
      </c>
      <c r="B854" s="9" t="inlineStr">
        <is>
          <t>TG</t>
        </is>
      </c>
      <c r="C854" s="10" t="inlineStr"/>
      <c r="D854" s="2" t="inlineStr"/>
      <c r="E854" s="2" t="inlineStr"/>
      <c r="F854" s="11" t="inlineStr">
        <is>
          <t>1.0</t>
        </is>
      </c>
      <c r="G854" s="11" t="inlineStr">
        <is>
          <t>2.0</t>
        </is>
      </c>
      <c r="H854" s="11" t="inlineStr">
        <is>
          <t>3.0</t>
        </is>
      </c>
      <c r="I854" s="11" t="inlineStr">
        <is>
          <t>4.0</t>
        </is>
      </c>
      <c r="J854" s="11" t="inlineStr">
        <is>
          <t>5.0</t>
        </is>
      </c>
      <c r="K854" s="11" t="inlineStr">
        <is>
          <t>6</t>
        </is>
      </c>
      <c r="L854" s="11" t="inlineStr">
        <is>
          <t>7</t>
        </is>
      </c>
      <c r="M854" s="11" t="inlineStr">
        <is>
          <t>8</t>
        </is>
      </c>
      <c r="N854" s="11" t="inlineStr">
        <is>
          <t>9</t>
        </is>
      </c>
      <c r="O854" s="11" t="inlineStr">
        <is>
          <t>10</t>
        </is>
      </c>
      <c r="P854" s="11" t="inlineStr">
        <is>
          <t>11</t>
        </is>
      </c>
      <c r="Q854" s="11" t="inlineStr">
        <is>
          <t>12</t>
        </is>
      </c>
      <c r="R854" s="11" t="inlineStr">
        <is>
          <t>13</t>
        </is>
      </c>
      <c r="S854" s="11" t="inlineStr">
        <is>
          <t>14</t>
        </is>
      </c>
      <c r="T854" s="11" t="inlineStr">
        <is>
          <t>15</t>
        </is>
      </c>
      <c r="U854" s="11" t="inlineStr">
        <is>
          <t>16</t>
        </is>
      </c>
      <c r="V854" s="11" t="inlineStr">
        <is>
          <t>17</t>
        </is>
      </c>
      <c r="W854" s="11" t="inlineStr">
        <is>
          <t>18</t>
        </is>
      </c>
      <c r="X854" s="11" t="inlineStr">
        <is>
          <t>19</t>
        </is>
      </c>
      <c r="Y854" s="11" t="inlineStr">
        <is>
          <t>20</t>
        </is>
      </c>
      <c r="Z854" s="11" t="inlineStr">
        <is>
          <t>21</t>
        </is>
      </c>
      <c r="AA854" s="11" t="inlineStr">
        <is>
          <t>22</t>
        </is>
      </c>
      <c r="AB854" s="11" t="inlineStr">
        <is>
          <t>23</t>
        </is>
      </c>
      <c r="AC854" s="11" t="inlineStr">
        <is>
          <t>24</t>
        </is>
      </c>
      <c r="AD854" s="11" t="inlineStr">
        <is>
          <t>25</t>
        </is>
      </c>
      <c r="AE854" s="11" t="inlineStr">
        <is>
          <t>26</t>
        </is>
      </c>
      <c r="AF854" s="11" t="inlineStr">
        <is>
          <t>27</t>
        </is>
      </c>
      <c r="AG854" s="11" t="inlineStr">
        <is>
          <t>28</t>
        </is>
      </c>
      <c r="AH854" s="11" t="inlineStr">
        <is>
          <t>29</t>
        </is>
      </c>
      <c r="AI854" s="11" t="inlineStr">
        <is>
          <t>30</t>
        </is>
      </c>
    </row>
    <row r="855">
      <c r="A855" s="4" t="inlineStr">
        <is>
          <t>Студент2.1</t>
        </is>
      </c>
      <c r="B855" s="4" t="inlineStr"/>
      <c r="C855" s="4" t="n"/>
      <c r="D855" s="4" t="n"/>
      <c r="E855" s="4" t="n"/>
      <c r="F855" s="15" t="n"/>
      <c r="G855" s="15" t="n"/>
      <c r="H855" s="15" t="n"/>
      <c r="I855" s="15" t="n"/>
      <c r="J855" s="15" t="n"/>
      <c r="K855" s="15" t="n"/>
      <c r="L855" s="15" t="n"/>
      <c r="M855" s="15" t="n"/>
      <c r="N855" s="15" t="n"/>
      <c r="O855" s="15" t="n"/>
      <c r="P855" s="15" t="n"/>
      <c r="Q855" s="15" t="n"/>
      <c r="R855" s="15" t="n"/>
      <c r="S855" s="15" t="n"/>
      <c r="T855" s="15" t="n"/>
      <c r="U855" s="15" t="n"/>
      <c r="V855" s="15" t="n"/>
      <c r="W855" s="15" t="n"/>
      <c r="X855" s="15" t="n"/>
      <c r="Y855" s="15" t="n"/>
      <c r="Z855" s="15" t="n"/>
      <c r="AA855" s="15" t="n"/>
      <c r="AB855" s="15" t="n"/>
      <c r="AC855" s="15" t="n"/>
      <c r="AD855" s="15" t="n"/>
      <c r="AE855" s="15" t="n"/>
      <c r="AF855" s="15" t="n"/>
      <c r="AG855" s="15" t="n"/>
      <c r="AH855" s="15" t="n"/>
      <c r="AI855" s="15" t="n"/>
    </row>
    <row r="856">
      <c r="A856" s="4" t="inlineStr">
        <is>
          <t>Студент2.2</t>
        </is>
      </c>
      <c r="B856" s="4" t="inlineStr"/>
      <c r="C856" s="4" t="n"/>
      <c r="D856" s="4" t="n"/>
      <c r="E856" s="4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5" t="n"/>
      <c r="P856" s="15" t="n"/>
      <c r="Q856" s="15" t="n"/>
      <c r="R856" s="15" t="n"/>
      <c r="S856" s="15" t="n"/>
      <c r="T856" s="15" t="n"/>
      <c r="U856" s="15" t="n"/>
      <c r="V856" s="15" t="n"/>
      <c r="W856" s="15" t="n"/>
      <c r="X856" s="15" t="n"/>
      <c r="Y856" s="15" t="n"/>
      <c r="Z856" s="15" t="n"/>
      <c r="AA856" s="15" t="n"/>
      <c r="AB856" s="15" t="n"/>
      <c r="AC856" s="15" t="n"/>
      <c r="AD856" s="15" t="n"/>
      <c r="AE856" s="15" t="n"/>
      <c r="AF856" s="15" t="n"/>
      <c r="AG856" s="15" t="n"/>
      <c r="AH856" s="15" t="n"/>
      <c r="AI856" s="15" t="n"/>
    </row>
    <row r="857">
      <c r="A857" s="4" t="inlineStr">
        <is>
          <t>Студент2.3</t>
        </is>
      </c>
      <c r="B857" s="4" t="inlineStr"/>
      <c r="C857" s="4" t="n"/>
      <c r="D857" s="4" t="n"/>
      <c r="E857" s="4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  <c r="O857" s="15" t="n"/>
      <c r="P857" s="15" t="n"/>
      <c r="Q857" s="15" t="n"/>
      <c r="R857" s="15" t="n"/>
      <c r="S857" s="15" t="n"/>
      <c r="T857" s="15" t="n"/>
      <c r="U857" s="15" t="n"/>
      <c r="V857" s="15" t="n"/>
      <c r="W857" s="15" t="n"/>
      <c r="X857" s="15" t="n"/>
      <c r="Y857" s="15" t="n"/>
      <c r="Z857" s="15" t="n"/>
      <c r="AA857" s="15" t="n"/>
      <c r="AB857" s="15" t="n"/>
      <c r="AC857" s="15" t="n"/>
      <c r="AD857" s="15" t="n"/>
      <c r="AE857" s="15" t="n"/>
      <c r="AF857" s="15" t="n"/>
      <c r="AG857" s="15" t="n"/>
      <c r="AH857" s="15" t="n"/>
      <c r="AI857" s="15" t="n"/>
    </row>
    <row r="858">
      <c r="A858" s="4" t="inlineStr">
        <is>
          <t>Студент2.4</t>
        </is>
      </c>
      <c r="B858" s="4" t="inlineStr"/>
      <c r="C858" s="4" t="n"/>
      <c r="D858" s="4" t="n"/>
      <c r="E858" s="4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  <c r="O858" s="15" t="n"/>
      <c r="P858" s="15" t="n"/>
      <c r="Q858" s="15" t="n"/>
      <c r="R858" s="15" t="n"/>
      <c r="S858" s="15" t="n"/>
      <c r="T858" s="15" t="n"/>
      <c r="U858" s="15" t="n"/>
      <c r="V858" s="15" t="n"/>
      <c r="W858" s="15" t="n"/>
      <c r="X858" s="15" t="n"/>
      <c r="Y858" s="15" t="n"/>
      <c r="Z858" s="15" t="n"/>
      <c r="AA858" s="15" t="n"/>
      <c r="AB858" s="15" t="n"/>
      <c r="AC858" s="15" t="n"/>
      <c r="AD858" s="15" t="n"/>
      <c r="AE858" s="15" t="n"/>
      <c r="AF858" s="15" t="n"/>
      <c r="AG858" s="15" t="n"/>
      <c r="AH858" s="15" t="n"/>
      <c r="AI858" s="15" t="n"/>
    </row>
    <row r="859">
      <c r="A859" s="4" t="inlineStr">
        <is>
          <t>Студент2.5</t>
        </is>
      </c>
      <c r="B859" s="4" t="inlineStr"/>
      <c r="C859" s="4" t="n"/>
      <c r="D859" s="4" t="n"/>
      <c r="E859" s="4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  <c r="O859" s="15" t="n"/>
      <c r="P859" s="15" t="n"/>
      <c r="Q859" s="15" t="n"/>
      <c r="R859" s="15" t="n"/>
      <c r="S859" s="15" t="n"/>
      <c r="T859" s="15" t="n"/>
      <c r="U859" s="15" t="n"/>
      <c r="V859" s="15" t="n"/>
      <c r="W859" s="15" t="n"/>
      <c r="X859" s="15" t="n"/>
      <c r="Y859" s="15" t="n"/>
      <c r="Z859" s="15" t="n"/>
      <c r="AA859" s="15" t="n"/>
      <c r="AB859" s="15" t="n"/>
      <c r="AC859" s="15" t="n"/>
      <c r="AD859" s="15" t="n"/>
      <c r="AE859" s="15" t="n"/>
      <c r="AF859" s="15" t="n"/>
      <c r="AG859" s="15" t="n"/>
      <c r="AH859" s="15" t="n"/>
      <c r="AI859" s="15" t="n"/>
    </row>
    <row r="860">
      <c r="A860" s="4" t="inlineStr">
        <is>
          <t>Студент2.6</t>
        </is>
      </c>
      <c r="B860" s="4" t="inlineStr"/>
      <c r="C860" s="4" t="n"/>
      <c r="D860" s="4" t="n"/>
      <c r="E860" s="4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  <c r="O860" s="15" t="n"/>
      <c r="P860" s="15" t="n"/>
      <c r="Q860" s="15" t="n"/>
      <c r="R860" s="15" t="n"/>
      <c r="S860" s="15" t="n"/>
      <c r="T860" s="15" t="n"/>
      <c r="U860" s="15" t="n"/>
      <c r="V860" s="15" t="n"/>
      <c r="W860" s="15" t="n"/>
      <c r="X860" s="15" t="n"/>
      <c r="Y860" s="15" t="n"/>
      <c r="Z860" s="15" t="n"/>
      <c r="AA860" s="15" t="n"/>
      <c r="AB860" s="15" t="n"/>
      <c r="AC860" s="15" t="n"/>
      <c r="AD860" s="15" t="n"/>
      <c r="AE860" s="15" t="n"/>
      <c r="AF860" s="15" t="n"/>
      <c r="AG860" s="15" t="n"/>
      <c r="AH860" s="15" t="n"/>
      <c r="AI860" s="15" t="n"/>
    </row>
    <row r="861">
      <c r="A861" s="4" t="inlineStr">
        <is>
          <t>Студент2.7</t>
        </is>
      </c>
      <c r="B861" s="4" t="inlineStr"/>
      <c r="C861" s="4" t="n"/>
      <c r="D861" s="4" t="n"/>
      <c r="E861" s="4" t="n"/>
      <c r="F861" s="15" t="n"/>
      <c r="G861" s="15" t="n"/>
      <c r="H861" s="15" t="n"/>
      <c r="I861" s="15" t="n"/>
      <c r="J861" s="15" t="n"/>
      <c r="K861" s="15" t="n"/>
      <c r="L861" s="15" t="n"/>
      <c r="M861" s="15" t="n"/>
      <c r="N861" s="15" t="n"/>
      <c r="O861" s="15" t="n"/>
      <c r="P861" s="15" t="n"/>
      <c r="Q861" s="15" t="n"/>
      <c r="R861" s="15" t="n"/>
      <c r="S861" s="15" t="n"/>
      <c r="T861" s="15" t="n"/>
      <c r="U861" s="15" t="n"/>
      <c r="V861" s="15" t="n"/>
      <c r="W861" s="15" t="n"/>
      <c r="X861" s="15" t="n"/>
      <c r="Y861" s="15" t="n"/>
      <c r="Z861" s="15" t="n"/>
      <c r="AA861" s="15" t="n"/>
      <c r="AB861" s="15" t="n"/>
      <c r="AC861" s="15" t="n"/>
      <c r="AD861" s="15" t="n"/>
      <c r="AE861" s="15" t="n"/>
      <c r="AF861" s="15" t="n"/>
      <c r="AG861" s="15" t="n"/>
      <c r="AH861" s="15" t="n"/>
      <c r="AI861" s="15" t="n"/>
    </row>
    <row r="862">
      <c r="A862" s="4" t="inlineStr">
        <is>
          <t>Студент2.8</t>
        </is>
      </c>
      <c r="B862" s="4" t="inlineStr"/>
      <c r="C862" s="4" t="n"/>
      <c r="D862" s="4" t="n"/>
      <c r="E862" s="4" t="n"/>
      <c r="F862" s="15" t="n"/>
      <c r="G862" s="15" t="n"/>
      <c r="H862" s="15" t="n"/>
      <c r="I862" s="15" t="n"/>
      <c r="J862" s="15" t="n"/>
      <c r="K862" s="15" t="n"/>
      <c r="L862" s="15" t="n"/>
      <c r="M862" s="15" t="n"/>
      <c r="N862" s="15" t="n"/>
      <c r="O862" s="15" t="n"/>
      <c r="P862" s="15" t="n"/>
      <c r="Q862" s="15" t="n"/>
      <c r="R862" s="15" t="n"/>
      <c r="S862" s="15" t="n"/>
      <c r="T862" s="15" t="n"/>
      <c r="U862" s="15" t="n"/>
      <c r="V862" s="15" t="n"/>
      <c r="W862" s="15" t="n"/>
      <c r="X862" s="15" t="n"/>
      <c r="Y862" s="15" t="n"/>
      <c r="Z862" s="15" t="n"/>
      <c r="AA862" s="15" t="n"/>
      <c r="AB862" s="15" t="n"/>
      <c r="AC862" s="15" t="n"/>
      <c r="AD862" s="15" t="n"/>
      <c r="AE862" s="15" t="n"/>
      <c r="AF862" s="15" t="n"/>
      <c r="AG862" s="15" t="n"/>
      <c r="AH862" s="15" t="n"/>
      <c r="AI862" s="15" t="n"/>
    </row>
    <row r="863">
      <c r="A863" s="4" t="inlineStr">
        <is>
          <t>Студент2.9</t>
        </is>
      </c>
      <c r="B863" s="4" t="inlineStr"/>
      <c r="C863" s="4" t="n"/>
      <c r="D863" s="4" t="n"/>
      <c r="E863" s="4" t="n"/>
      <c r="F863" s="15" t="n"/>
      <c r="G863" s="15" t="n"/>
      <c r="H863" s="15" t="n"/>
      <c r="I863" s="15" t="n"/>
      <c r="J863" s="15" t="n"/>
      <c r="K863" s="15" t="n"/>
      <c r="L863" s="15" t="n"/>
      <c r="M863" s="15" t="n"/>
      <c r="N863" s="15" t="n"/>
      <c r="O863" s="15" t="n"/>
      <c r="P863" s="15" t="n"/>
      <c r="Q863" s="15" t="n"/>
      <c r="R863" s="15" t="n"/>
      <c r="S863" s="15" t="n"/>
      <c r="T863" s="15" t="n"/>
      <c r="U863" s="15" t="n"/>
      <c r="V863" s="15" t="n"/>
      <c r="W863" s="15" t="n"/>
      <c r="X863" s="15" t="n"/>
      <c r="Y863" s="15" t="n"/>
      <c r="Z863" s="15" t="n"/>
      <c r="AA863" s="15" t="n"/>
      <c r="AB863" s="15" t="n"/>
      <c r="AC863" s="15" t="n"/>
      <c r="AD863" s="15" t="n"/>
      <c r="AE863" s="15" t="n"/>
      <c r="AF863" s="15" t="n"/>
      <c r="AG863" s="15" t="n"/>
      <c r="AH863" s="15" t="n"/>
      <c r="AI863" s="15" t="n"/>
    </row>
    <row r="864">
      <c r="A864" s="4" t="inlineStr">
        <is>
          <t>Студент2.10</t>
        </is>
      </c>
      <c r="B864" s="4" t="inlineStr"/>
      <c r="C864" s="4" t="n"/>
      <c r="D864" s="4" t="n"/>
      <c r="E864" s="4" t="n"/>
      <c r="F864" s="15" t="n"/>
      <c r="G864" s="15" t="n"/>
      <c r="H864" s="15" t="n"/>
      <c r="I864" s="15" t="n"/>
      <c r="J864" s="15" t="n"/>
      <c r="K864" s="15" t="n"/>
      <c r="L864" s="15" t="n"/>
      <c r="M864" s="15" t="n"/>
      <c r="N864" s="15" t="n"/>
      <c r="O864" s="15" t="n"/>
      <c r="P864" s="15" t="n"/>
      <c r="Q864" s="15" t="n"/>
      <c r="R864" s="15" t="n"/>
      <c r="S864" s="15" t="n"/>
      <c r="T864" s="15" t="n"/>
      <c r="U864" s="15" t="n"/>
      <c r="V864" s="15" t="n"/>
      <c r="W864" s="15" t="n"/>
      <c r="X864" s="15" t="n"/>
      <c r="Y864" s="15" t="n"/>
      <c r="Z864" s="15" t="n"/>
      <c r="AA864" s="15" t="n"/>
      <c r="AB864" s="15" t="n"/>
      <c r="AC864" s="15" t="n"/>
      <c r="AD864" s="15" t="n"/>
      <c r="AE864" s="15" t="n"/>
      <c r="AF864" s="15" t="n"/>
      <c r="AG864" s="15" t="n"/>
      <c r="AH864" s="15" t="n"/>
      <c r="AI864" s="15" t="n"/>
    </row>
    <row r="865">
      <c r="A865" s="4" t="inlineStr">
        <is>
          <t>Студент2.11</t>
        </is>
      </c>
      <c r="B865" s="4" t="inlineStr"/>
      <c r="C865" s="4" t="n"/>
      <c r="D865" s="4" t="n"/>
      <c r="E865" s="4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  <c r="O865" s="15" t="n"/>
      <c r="P865" s="15" t="n"/>
      <c r="Q865" s="15" t="n"/>
      <c r="R865" s="15" t="n"/>
      <c r="S865" s="15" t="n"/>
      <c r="T865" s="15" t="n"/>
      <c r="U865" s="15" t="n"/>
      <c r="V865" s="15" t="n"/>
      <c r="W865" s="15" t="n"/>
      <c r="X865" s="15" t="n"/>
      <c r="Y865" s="15" t="n"/>
      <c r="Z865" s="15" t="n"/>
      <c r="AA865" s="15" t="n"/>
      <c r="AB865" s="15" t="n"/>
      <c r="AC865" s="15" t="n"/>
      <c r="AD865" s="15" t="n"/>
      <c r="AE865" s="15" t="n"/>
      <c r="AF865" s="15" t="n"/>
      <c r="AG865" s="15" t="n"/>
      <c r="AH865" s="15" t="n"/>
      <c r="AI865" s="15" t="n"/>
    </row>
    <row r="866">
      <c r="A866" s="4" t="inlineStr">
        <is>
          <t>Студент2.12</t>
        </is>
      </c>
      <c r="B866" s="4" t="inlineStr"/>
      <c r="C866" s="4" t="n"/>
      <c r="D866" s="4" t="n"/>
      <c r="E866" s="4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  <c r="O866" s="15" t="n"/>
      <c r="P866" s="15" t="n"/>
      <c r="Q866" s="15" t="n"/>
      <c r="R866" s="15" t="n"/>
      <c r="S866" s="15" t="n"/>
      <c r="T866" s="15" t="n"/>
      <c r="U866" s="15" t="n"/>
      <c r="V866" s="15" t="n"/>
      <c r="W866" s="15" t="n"/>
      <c r="X866" s="15" t="n"/>
      <c r="Y866" s="15" t="n"/>
      <c r="Z866" s="15" t="n"/>
      <c r="AA866" s="15" t="n"/>
      <c r="AB866" s="15" t="n"/>
      <c r="AC866" s="15" t="n"/>
      <c r="AD866" s="15" t="n"/>
      <c r="AE866" s="15" t="n"/>
      <c r="AF866" s="15" t="n"/>
      <c r="AG866" s="15" t="n"/>
      <c r="AH866" s="15" t="n"/>
      <c r="AI866" s="15" t="n"/>
    </row>
    <row r="867">
      <c r="A867" s="4" t="inlineStr">
        <is>
          <t>Студент2.13</t>
        </is>
      </c>
      <c r="B867" s="4" t="inlineStr"/>
      <c r="C867" s="4" t="n"/>
      <c r="D867" s="4" t="n"/>
      <c r="E867" s="4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  <c r="O867" s="15" t="n"/>
      <c r="P867" s="15" t="n"/>
      <c r="Q867" s="15" t="n"/>
      <c r="R867" s="15" t="n"/>
      <c r="S867" s="15" t="n"/>
      <c r="T867" s="15" t="n"/>
      <c r="U867" s="15" t="n"/>
      <c r="V867" s="15" t="n"/>
      <c r="W867" s="15" t="n"/>
      <c r="X867" s="15" t="n"/>
      <c r="Y867" s="15" t="n"/>
      <c r="Z867" s="15" t="n"/>
      <c r="AA867" s="15" t="n"/>
      <c r="AB867" s="15" t="n"/>
      <c r="AC867" s="15" t="n"/>
      <c r="AD867" s="15" t="n"/>
      <c r="AE867" s="15" t="n"/>
      <c r="AF867" s="15" t="n"/>
      <c r="AG867" s="15" t="n"/>
      <c r="AH867" s="15" t="n"/>
      <c r="AI867" s="15" t="n"/>
    </row>
    <row r="868">
      <c r="A868" s="4" t="inlineStr">
        <is>
          <t>Студент2.14</t>
        </is>
      </c>
      <c r="B868" s="4" t="inlineStr"/>
      <c r="C868" s="4" t="n"/>
      <c r="D868" s="4" t="n"/>
      <c r="E868" s="4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  <c r="O868" s="15" t="n"/>
      <c r="P868" s="15" t="n"/>
      <c r="Q868" s="15" t="n"/>
      <c r="R868" s="15" t="n"/>
      <c r="S868" s="15" t="n"/>
      <c r="T868" s="15" t="n"/>
      <c r="U868" s="15" t="n"/>
      <c r="V868" s="15" t="n"/>
      <c r="W868" s="15" t="n"/>
      <c r="X868" s="15" t="n"/>
      <c r="Y868" s="15" t="n"/>
      <c r="Z868" s="15" t="n"/>
      <c r="AA868" s="15" t="n"/>
      <c r="AB868" s="15" t="n"/>
      <c r="AC868" s="15" t="n"/>
      <c r="AD868" s="15" t="n"/>
      <c r="AE868" s="15" t="n"/>
      <c r="AF868" s="15" t="n"/>
      <c r="AG868" s="15" t="n"/>
      <c r="AH868" s="15" t="n"/>
      <c r="AI868" s="15" t="n"/>
    </row>
    <row r="869">
      <c r="A869" s="4" t="inlineStr">
        <is>
          <t>Студент2.15</t>
        </is>
      </c>
      <c r="B869" s="4" t="inlineStr"/>
      <c r="C869" s="4" t="n"/>
      <c r="D869" s="4" t="n"/>
      <c r="E869" s="4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  <c r="O869" s="15" t="n"/>
      <c r="P869" s="15" t="n"/>
      <c r="Q869" s="15" t="n"/>
      <c r="R869" s="15" t="n"/>
      <c r="S869" s="15" t="n"/>
      <c r="T869" s="15" t="n"/>
      <c r="U869" s="15" t="n"/>
      <c r="V869" s="15" t="n"/>
      <c r="W869" s="15" t="n"/>
      <c r="X869" s="15" t="n"/>
      <c r="Y869" s="15" t="n"/>
      <c r="Z869" s="15" t="n"/>
      <c r="AA869" s="15" t="n"/>
      <c r="AB869" s="15" t="n"/>
      <c r="AC869" s="15" t="n"/>
      <c r="AD869" s="15" t="n"/>
      <c r="AE869" s="15" t="n"/>
      <c r="AF869" s="15" t="n"/>
      <c r="AG869" s="15" t="n"/>
      <c r="AH869" s="15" t="n"/>
      <c r="AI869" s="15" t="n"/>
    </row>
    <row r="870">
      <c r="A870" s="4" t="inlineStr">
        <is>
          <t>Студент2.16</t>
        </is>
      </c>
      <c r="B870" s="4" t="inlineStr"/>
      <c r="C870" s="4" t="n"/>
      <c r="D870" s="4" t="n"/>
      <c r="E870" s="4" t="n"/>
      <c r="F870" s="15" t="n"/>
      <c r="G870" s="15" t="n"/>
      <c r="H870" s="15" t="n"/>
      <c r="I870" s="15" t="n"/>
      <c r="J870" s="15" t="n"/>
      <c r="K870" s="15" t="n"/>
      <c r="L870" s="15" t="n"/>
      <c r="M870" s="15" t="n"/>
      <c r="N870" s="15" t="n"/>
      <c r="O870" s="15" t="n"/>
      <c r="P870" s="15" t="n"/>
      <c r="Q870" s="15" t="n"/>
      <c r="R870" s="15" t="n"/>
      <c r="S870" s="15" t="n"/>
      <c r="T870" s="15" t="n"/>
      <c r="U870" s="15" t="n"/>
      <c r="V870" s="15" t="n"/>
      <c r="W870" s="15" t="n"/>
      <c r="X870" s="15" t="n"/>
      <c r="Y870" s="15" t="n"/>
      <c r="Z870" s="15" t="n"/>
      <c r="AA870" s="15" t="n"/>
      <c r="AB870" s="15" t="n"/>
      <c r="AC870" s="15" t="n"/>
      <c r="AD870" s="15" t="n"/>
      <c r="AE870" s="15" t="n"/>
      <c r="AF870" s="15" t="n"/>
      <c r="AG870" s="15" t="n"/>
      <c r="AH870" s="15" t="n"/>
      <c r="AI870" s="15" t="n"/>
    </row>
    <row r="871">
      <c r="A871" s="4" t="inlineStr">
        <is>
          <t>Студент2.17</t>
        </is>
      </c>
      <c r="B871" s="4" t="inlineStr"/>
      <c r="C871" s="4" t="n"/>
      <c r="D871" s="4" t="n"/>
      <c r="E871" s="4" t="n"/>
      <c r="F871" s="15" t="n"/>
      <c r="G871" s="15" t="n"/>
      <c r="H871" s="15" t="n"/>
      <c r="I871" s="15" t="n"/>
      <c r="J871" s="15" t="n"/>
      <c r="K871" s="15" t="n"/>
      <c r="L871" s="15" t="n"/>
      <c r="M871" s="15" t="n"/>
      <c r="N871" s="15" t="n"/>
      <c r="O871" s="15" t="n"/>
      <c r="P871" s="15" t="n"/>
      <c r="Q871" s="15" t="n"/>
      <c r="R871" s="15" t="n"/>
      <c r="S871" s="15" t="n"/>
      <c r="T871" s="15" t="n"/>
      <c r="U871" s="15" t="n"/>
      <c r="V871" s="15" t="n"/>
      <c r="W871" s="15" t="n"/>
      <c r="X871" s="15" t="n"/>
      <c r="Y871" s="15" t="n"/>
      <c r="Z871" s="15" t="n"/>
      <c r="AA871" s="15" t="n"/>
      <c r="AB871" s="15" t="n"/>
      <c r="AC871" s="15" t="n"/>
      <c r="AD871" s="15" t="n"/>
      <c r="AE871" s="15" t="n"/>
      <c r="AF871" s="15" t="n"/>
      <c r="AG871" s="15" t="n"/>
      <c r="AH871" s="15" t="n"/>
      <c r="AI871" s="15" t="n"/>
    </row>
    <row r="872">
      <c r="A872" s="4" t="inlineStr">
        <is>
          <t>Студент2.18</t>
        </is>
      </c>
      <c r="B872" s="4" t="inlineStr"/>
      <c r="C872" s="4" t="n"/>
      <c r="D872" s="4" t="n"/>
      <c r="E872" s="4" t="n"/>
      <c r="F872" s="15" t="n"/>
      <c r="G872" s="15" t="n"/>
      <c r="H872" s="15" t="n"/>
      <c r="I872" s="15" t="n"/>
      <c r="J872" s="15" t="n"/>
      <c r="K872" s="15" t="n"/>
      <c r="L872" s="15" t="n"/>
      <c r="M872" s="15" t="n"/>
      <c r="N872" s="15" t="n"/>
      <c r="O872" s="15" t="n"/>
      <c r="P872" s="15" t="n"/>
      <c r="Q872" s="15" t="n"/>
      <c r="R872" s="15" t="n"/>
      <c r="S872" s="15" t="n"/>
      <c r="T872" s="15" t="n"/>
      <c r="U872" s="15" t="n"/>
      <c r="V872" s="15" t="n"/>
      <c r="W872" s="15" t="n"/>
      <c r="X872" s="15" t="n"/>
      <c r="Y872" s="15" t="n"/>
      <c r="Z872" s="15" t="n"/>
      <c r="AA872" s="15" t="n"/>
      <c r="AB872" s="15" t="n"/>
      <c r="AC872" s="15" t="n"/>
      <c r="AD872" s="15" t="n"/>
      <c r="AE872" s="15" t="n"/>
      <c r="AF872" s="15" t="n"/>
      <c r="AG872" s="15" t="n"/>
      <c r="AH872" s="15" t="n"/>
      <c r="AI872" s="15" t="n"/>
    </row>
    <row r="873">
      <c r="A873" s="4" t="inlineStr">
        <is>
          <t>Студент2.19</t>
        </is>
      </c>
      <c r="B873" s="4" t="inlineStr"/>
      <c r="C873" s="4" t="n"/>
      <c r="D873" s="4" t="n"/>
      <c r="E873" s="4" t="n"/>
      <c r="F873" s="15" t="n"/>
      <c r="G873" s="15" t="n"/>
      <c r="H873" s="15" t="n"/>
      <c r="I873" s="15" t="n"/>
      <c r="J873" s="15" t="n"/>
      <c r="K873" s="15" t="n"/>
      <c r="L873" s="15" t="n"/>
      <c r="M873" s="15" t="n"/>
      <c r="N873" s="15" t="n"/>
      <c r="O873" s="15" t="n"/>
      <c r="P873" s="15" t="n"/>
      <c r="Q873" s="15" t="n"/>
      <c r="R873" s="15" t="n"/>
      <c r="S873" s="15" t="n"/>
      <c r="T873" s="15" t="n"/>
      <c r="U873" s="15" t="n"/>
      <c r="V873" s="15" t="n"/>
      <c r="W873" s="15" t="n"/>
      <c r="X873" s="15" t="n"/>
      <c r="Y873" s="15" t="n"/>
      <c r="Z873" s="15" t="n"/>
      <c r="AA873" s="15" t="n"/>
      <c r="AB873" s="15" t="n"/>
      <c r="AC873" s="15" t="n"/>
      <c r="AD873" s="15" t="n"/>
      <c r="AE873" s="15" t="n"/>
      <c r="AF873" s="15" t="n"/>
      <c r="AG873" s="15" t="n"/>
      <c r="AH873" s="15" t="n"/>
      <c r="AI873" s="15" t="n"/>
    </row>
    <row r="874">
      <c r="A874" s="4" t="inlineStr">
        <is>
          <t>Студент2.20</t>
        </is>
      </c>
      <c r="B874" s="4" t="inlineStr"/>
      <c r="C874" s="4" t="n"/>
      <c r="D874" s="4" t="n"/>
      <c r="E874" s="4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  <c r="O874" s="15" t="n"/>
      <c r="P874" s="15" t="n"/>
      <c r="Q874" s="15" t="n"/>
      <c r="R874" s="15" t="n"/>
      <c r="S874" s="15" t="n"/>
      <c r="T874" s="15" t="n"/>
      <c r="U874" s="15" t="n"/>
      <c r="V874" s="15" t="n"/>
      <c r="W874" s="15" t="n"/>
      <c r="X874" s="15" t="n"/>
      <c r="Y874" s="15" t="n"/>
      <c r="Z874" s="15" t="n"/>
      <c r="AA874" s="15" t="n"/>
      <c r="AB874" s="15" t="n"/>
      <c r="AC874" s="15" t="n"/>
      <c r="AD874" s="15" t="n"/>
      <c r="AE874" s="15" t="n"/>
      <c r="AF874" s="15" t="n"/>
      <c r="AG874" s="15" t="n"/>
      <c r="AH874" s="15" t="n"/>
      <c r="AI874" s="15" t="n"/>
    </row>
    <row r="875">
      <c r="A875" s="4" t="inlineStr">
        <is>
          <t>Студент2.21</t>
        </is>
      </c>
      <c r="B875" s="4" t="inlineStr"/>
      <c r="C875" s="4" t="n"/>
      <c r="D875" s="4" t="n"/>
      <c r="E875" s="4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  <c r="O875" s="15" t="n"/>
      <c r="P875" s="15" t="n"/>
      <c r="Q875" s="15" t="n"/>
      <c r="R875" s="15" t="n"/>
      <c r="S875" s="15" t="n"/>
      <c r="T875" s="15" t="n"/>
      <c r="U875" s="15" t="n"/>
      <c r="V875" s="15" t="n"/>
      <c r="W875" s="15" t="n"/>
      <c r="X875" s="15" t="n"/>
      <c r="Y875" s="15" t="n"/>
      <c r="Z875" s="15" t="n"/>
      <c r="AA875" s="15" t="n"/>
      <c r="AB875" s="15" t="n"/>
      <c r="AC875" s="15" t="n"/>
      <c r="AD875" s="15" t="n"/>
      <c r="AE875" s="15" t="n"/>
      <c r="AF875" s="15" t="n"/>
      <c r="AG875" s="15" t="n"/>
      <c r="AH875" s="15" t="n"/>
      <c r="AI875" s="15" t="n"/>
    </row>
    <row r="876">
      <c r="A876" s="4" t="inlineStr">
        <is>
          <t>Студент2.22</t>
        </is>
      </c>
      <c r="B876" s="4" t="inlineStr"/>
      <c r="C876" s="4" t="n"/>
      <c r="D876" s="4" t="n"/>
      <c r="E876" s="4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  <c r="O876" s="15" t="n"/>
      <c r="P876" s="15" t="n"/>
      <c r="Q876" s="15" t="n"/>
      <c r="R876" s="15" t="n"/>
      <c r="S876" s="15" t="n"/>
      <c r="T876" s="15" t="n"/>
      <c r="U876" s="15" t="n"/>
      <c r="V876" s="15" t="n"/>
      <c r="W876" s="15" t="n"/>
      <c r="X876" s="15" t="n"/>
      <c r="Y876" s="15" t="n"/>
      <c r="Z876" s="15" t="n"/>
      <c r="AA876" s="15" t="n"/>
      <c r="AB876" s="15" t="n"/>
      <c r="AC876" s="15" t="n"/>
      <c r="AD876" s="15" t="n"/>
      <c r="AE876" s="15" t="n"/>
      <c r="AF876" s="15" t="n"/>
      <c r="AG876" s="15" t="n"/>
      <c r="AH876" s="15" t="n"/>
      <c r="AI876" s="15" t="n"/>
    </row>
    <row r="877">
      <c r="A877" s="4" t="inlineStr">
        <is>
          <t>Студент2.23</t>
        </is>
      </c>
      <c r="B877" s="4" t="inlineStr"/>
      <c r="C877" s="4" t="n"/>
      <c r="D877" s="4" t="n"/>
      <c r="E877" s="4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  <c r="O877" s="15" t="n"/>
      <c r="P877" s="15" t="n"/>
      <c r="Q877" s="15" t="n"/>
      <c r="R877" s="15" t="n"/>
      <c r="S877" s="15" t="n"/>
      <c r="T877" s="15" t="n"/>
      <c r="U877" s="15" t="n"/>
      <c r="V877" s="15" t="n"/>
      <c r="W877" s="15" t="n"/>
      <c r="X877" s="15" t="n"/>
      <c r="Y877" s="15" t="n"/>
      <c r="Z877" s="15" t="n"/>
      <c r="AA877" s="15" t="n"/>
      <c r="AB877" s="15" t="n"/>
      <c r="AC877" s="15" t="n"/>
      <c r="AD877" s="15" t="n"/>
      <c r="AE877" s="15" t="n"/>
      <c r="AF877" s="15" t="n"/>
      <c r="AG877" s="15" t="n"/>
      <c r="AH877" s="15" t="n"/>
      <c r="AI877" s="15" t="n"/>
    </row>
    <row r="878">
      <c r="A878" s="4" t="inlineStr">
        <is>
          <t>Студент2.24</t>
        </is>
      </c>
      <c r="B878" s="4" t="inlineStr"/>
      <c r="C878" s="4" t="n"/>
      <c r="D878" s="4" t="n"/>
      <c r="E878" s="4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  <c r="O878" s="15" t="n"/>
      <c r="P878" s="15" t="n"/>
      <c r="Q878" s="15" t="n"/>
      <c r="R878" s="15" t="n"/>
      <c r="S878" s="15" t="n"/>
      <c r="T878" s="15" t="n"/>
      <c r="U878" s="15" t="n"/>
      <c r="V878" s="15" t="n"/>
      <c r="W878" s="15" t="n"/>
      <c r="X878" s="15" t="n"/>
      <c r="Y878" s="15" t="n"/>
      <c r="Z878" s="15" t="n"/>
      <c r="AA878" s="15" t="n"/>
      <c r="AB878" s="15" t="n"/>
      <c r="AC878" s="15" t="n"/>
      <c r="AD878" s="15" t="n"/>
      <c r="AE878" s="15" t="n"/>
      <c r="AF878" s="15" t="n"/>
      <c r="AG878" s="15" t="n"/>
      <c r="AH878" s="15" t="n"/>
      <c r="AI878" s="15" t="n"/>
    </row>
    <row r="879">
      <c r="A879" s="4" t="inlineStr">
        <is>
          <t>Студент2.25</t>
        </is>
      </c>
      <c r="B879" s="4" t="inlineStr"/>
      <c r="C879" s="4" t="n"/>
      <c r="D879" s="4" t="n"/>
      <c r="E879" s="4" t="n"/>
      <c r="F879" s="15" t="n"/>
      <c r="G879" s="15" t="n"/>
      <c r="H879" s="15" t="n"/>
      <c r="I879" s="15" t="n"/>
      <c r="J879" s="15" t="n"/>
      <c r="K879" s="15" t="n"/>
      <c r="L879" s="15" t="n"/>
      <c r="M879" s="15" t="n"/>
      <c r="N879" s="15" t="n"/>
      <c r="O879" s="15" t="n"/>
      <c r="P879" s="15" t="n"/>
      <c r="Q879" s="15" t="n"/>
      <c r="R879" s="15" t="n"/>
      <c r="S879" s="15" t="n"/>
      <c r="T879" s="15" t="n"/>
      <c r="U879" s="15" t="n"/>
      <c r="V879" s="15" t="n"/>
      <c r="W879" s="15" t="n"/>
      <c r="X879" s="15" t="n"/>
      <c r="Y879" s="15" t="n"/>
      <c r="Z879" s="15" t="n"/>
      <c r="AA879" s="15" t="n"/>
      <c r="AB879" s="15" t="n"/>
      <c r="AC879" s="15" t="n"/>
      <c r="AD879" s="15" t="n"/>
      <c r="AE879" s="15" t="n"/>
      <c r="AF879" s="15" t="n"/>
      <c r="AG879" s="15" t="n"/>
      <c r="AH879" s="15" t="n"/>
      <c r="AI879" s="15" t="n"/>
    </row>
    <row r="880">
      <c r="A880" s="4" t="inlineStr">
        <is>
          <t>Студент2.26</t>
        </is>
      </c>
      <c r="B880" s="4" t="inlineStr"/>
      <c r="C880" s="4" t="n"/>
      <c r="D880" s="4" t="n"/>
      <c r="E880" s="4" t="n"/>
      <c r="F880" s="15" t="n"/>
      <c r="G880" s="15" t="n"/>
      <c r="H880" s="15" t="n"/>
      <c r="I880" s="15" t="n"/>
      <c r="J880" s="15" t="n"/>
      <c r="K880" s="15" t="n"/>
      <c r="L880" s="15" t="n"/>
      <c r="M880" s="15" t="n"/>
      <c r="N880" s="15" t="n"/>
      <c r="O880" s="15" t="n"/>
      <c r="P880" s="15" t="n"/>
      <c r="Q880" s="15" t="n"/>
      <c r="R880" s="15" t="n"/>
      <c r="S880" s="15" t="n"/>
      <c r="T880" s="15" t="n"/>
      <c r="U880" s="15" t="n"/>
      <c r="V880" s="15" t="n"/>
      <c r="W880" s="15" t="n"/>
      <c r="X880" s="15" t="n"/>
      <c r="Y880" s="15" t="n"/>
      <c r="Z880" s="15" t="n"/>
      <c r="AA880" s="15" t="n"/>
      <c r="AB880" s="15" t="n"/>
      <c r="AC880" s="15" t="n"/>
      <c r="AD880" s="15" t="n"/>
      <c r="AE880" s="15" t="n"/>
      <c r="AF880" s="15" t="n"/>
      <c r="AG880" s="15" t="n"/>
      <c r="AH880" s="15" t="n"/>
      <c r="AI880" s="15" t="n"/>
    </row>
    <row r="881">
      <c r="A881" s="4" t="inlineStr">
        <is>
          <t>Студент2.27</t>
        </is>
      </c>
      <c r="B881" s="4" t="inlineStr"/>
      <c r="C881" s="4" t="n"/>
      <c r="D881" s="4" t="n"/>
      <c r="E881" s="4" t="n"/>
      <c r="F881" s="15" t="n"/>
      <c r="G881" s="15" t="n"/>
      <c r="H881" s="15" t="n"/>
      <c r="I881" s="15" t="n"/>
      <c r="J881" s="15" t="n"/>
      <c r="K881" s="15" t="n"/>
      <c r="L881" s="15" t="n"/>
      <c r="M881" s="15" t="n"/>
      <c r="N881" s="15" t="n"/>
      <c r="O881" s="15" t="n"/>
      <c r="P881" s="15" t="n"/>
      <c r="Q881" s="15" t="n"/>
      <c r="R881" s="15" t="n"/>
      <c r="S881" s="15" t="n"/>
      <c r="T881" s="15" t="n"/>
      <c r="U881" s="15" t="n"/>
      <c r="V881" s="15" t="n"/>
      <c r="W881" s="15" t="n"/>
      <c r="X881" s="15" t="n"/>
      <c r="Y881" s="15" t="n"/>
      <c r="Z881" s="15" t="n"/>
      <c r="AA881" s="15" t="n"/>
      <c r="AB881" s="15" t="n"/>
      <c r="AC881" s="15" t="n"/>
      <c r="AD881" s="15" t="n"/>
      <c r="AE881" s="15" t="n"/>
      <c r="AF881" s="15" t="n"/>
      <c r="AG881" s="15" t="n"/>
      <c r="AH881" s="15" t="n"/>
      <c r="AI881" s="15" t="n"/>
    </row>
    <row r="882">
      <c r="A882" s="4" t="inlineStr">
        <is>
          <t>Студент2.28</t>
        </is>
      </c>
      <c r="B882" s="4" t="inlineStr"/>
      <c r="C882" s="4" t="n"/>
      <c r="D882" s="4" t="n"/>
      <c r="E882" s="4" t="n"/>
      <c r="F882" s="15" t="n"/>
      <c r="G882" s="15" t="n"/>
      <c r="H882" s="15" t="n"/>
      <c r="I882" s="15" t="n"/>
      <c r="J882" s="15" t="n"/>
      <c r="K882" s="15" t="n"/>
      <c r="L882" s="15" t="n"/>
      <c r="M882" s="15" t="n"/>
      <c r="N882" s="15" t="n"/>
      <c r="O882" s="15" t="n"/>
      <c r="P882" s="15" t="n"/>
      <c r="Q882" s="15" t="n"/>
      <c r="R882" s="15" t="n"/>
      <c r="S882" s="15" t="n"/>
      <c r="T882" s="15" t="n"/>
      <c r="U882" s="15" t="n"/>
      <c r="V882" s="15" t="n"/>
      <c r="W882" s="15" t="n"/>
      <c r="X882" s="15" t="n"/>
      <c r="Y882" s="15" t="n"/>
      <c r="Z882" s="15" t="n"/>
      <c r="AA882" s="15" t="n"/>
      <c r="AB882" s="15" t="n"/>
      <c r="AC882" s="15" t="n"/>
      <c r="AD882" s="15" t="n"/>
      <c r="AE882" s="15" t="n"/>
      <c r="AF882" s="15" t="n"/>
      <c r="AG882" s="15" t="n"/>
      <c r="AH882" s="15" t="n"/>
      <c r="AI882" s="15" t="n"/>
    </row>
    <row r="883">
      <c r="A883" s="4" t="inlineStr">
        <is>
          <t>Студент2.29</t>
        </is>
      </c>
      <c r="B883" s="4" t="inlineStr"/>
      <c r="C883" s="4" t="n"/>
      <c r="D883" s="4" t="n"/>
      <c r="E883" s="4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  <c r="O883" s="15" t="n"/>
      <c r="P883" s="15" t="n"/>
      <c r="Q883" s="15" t="n"/>
      <c r="R883" s="15" t="n"/>
      <c r="S883" s="15" t="n"/>
      <c r="T883" s="15" t="n"/>
      <c r="U883" s="15" t="n"/>
      <c r="V883" s="15" t="n"/>
      <c r="W883" s="15" t="n"/>
      <c r="X883" s="15" t="n"/>
      <c r="Y883" s="15" t="n"/>
      <c r="Z883" s="15" t="n"/>
      <c r="AA883" s="15" t="n"/>
      <c r="AB883" s="15" t="n"/>
      <c r="AC883" s="15" t="n"/>
      <c r="AD883" s="15" t="n"/>
      <c r="AE883" s="15" t="n"/>
      <c r="AF883" s="15" t="n"/>
      <c r="AG883" s="15" t="n"/>
      <c r="AH883" s="15" t="n"/>
      <c r="AI883" s="15" t="n"/>
    </row>
    <row r="884">
      <c r="A884" s="4" t="inlineStr">
        <is>
          <t>Студент2.30</t>
        </is>
      </c>
      <c r="B884" s="4" t="inlineStr"/>
      <c r="C884" s="4" t="n"/>
      <c r="D884" s="4" t="n"/>
      <c r="E884" s="4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  <c r="O884" s="15" t="n"/>
      <c r="P884" s="15" t="n"/>
      <c r="Q884" s="15" t="n"/>
      <c r="R884" s="15" t="n"/>
      <c r="S884" s="15" t="n"/>
      <c r="T884" s="15" t="n"/>
      <c r="U884" s="15" t="n"/>
      <c r="V884" s="15" t="n"/>
      <c r="W884" s="15" t="n"/>
      <c r="X884" s="15" t="n"/>
      <c r="Y884" s="15" t="n"/>
      <c r="Z884" s="15" t="n"/>
      <c r="AA884" s="15" t="n"/>
      <c r="AB884" s="15" t="n"/>
      <c r="AC884" s="15" t="n"/>
      <c r="AD884" s="15" t="n"/>
      <c r="AE884" s="15" t="n"/>
      <c r="AF884" s="15" t="n"/>
      <c r="AG884" s="15" t="n"/>
      <c r="AH884" s="15" t="n"/>
      <c r="AI884" s="15" t="n"/>
    </row>
    <row r="888">
      <c r="A888" s="13" t="inlineStr">
        <is>
          <t>Практика 14 — плюсы</t>
        </is>
      </c>
    </row>
    <row r="889" ht="28" customHeight="1">
      <c r="A889" s="7" t="inlineStr">
        <is>
          <t>Имя</t>
        </is>
      </c>
      <c r="B889" s="9" t="inlineStr">
        <is>
          <t>TG</t>
        </is>
      </c>
      <c r="C889" s="10" t="inlineStr">
        <is>
          <t>S</t>
        </is>
      </c>
      <c r="D889" s="8" t="inlineStr">
        <is>
          <t>Коэффициент</t>
        </is>
      </c>
      <c r="E889" s="14" t="inlineStr">
        <is>
          <t>D за практику</t>
        </is>
      </c>
      <c r="F889" s="11" t="inlineStr">
        <is>
          <t>1.0</t>
        </is>
      </c>
      <c r="G889" s="11" t="inlineStr">
        <is>
          <t>2.0</t>
        </is>
      </c>
      <c r="H889" s="11" t="inlineStr">
        <is>
          <t>3.0</t>
        </is>
      </c>
      <c r="I889" s="11" t="inlineStr">
        <is>
          <t>4.0</t>
        </is>
      </c>
      <c r="J889" s="11" t="inlineStr">
        <is>
          <t>5.0</t>
        </is>
      </c>
      <c r="K889" s="11" t="inlineStr">
        <is>
          <t>6</t>
        </is>
      </c>
      <c r="L889" s="11" t="inlineStr">
        <is>
          <t>7</t>
        </is>
      </c>
      <c r="M889" s="11" t="inlineStr">
        <is>
          <t>8</t>
        </is>
      </c>
      <c r="N889" s="11" t="inlineStr">
        <is>
          <t>9</t>
        </is>
      </c>
      <c r="O889" s="11" t="inlineStr">
        <is>
          <t>10</t>
        </is>
      </c>
      <c r="P889" s="11" t="inlineStr">
        <is>
          <t>11</t>
        </is>
      </c>
      <c r="Q889" s="11" t="inlineStr">
        <is>
          <t>12</t>
        </is>
      </c>
      <c r="R889" s="11" t="inlineStr">
        <is>
          <t>13</t>
        </is>
      </c>
      <c r="S889" s="11" t="inlineStr">
        <is>
          <t>14</t>
        </is>
      </c>
      <c r="T889" s="11" t="inlineStr">
        <is>
          <t>15</t>
        </is>
      </c>
      <c r="U889" s="11" t="inlineStr">
        <is>
          <t>16</t>
        </is>
      </c>
      <c r="V889" s="11" t="inlineStr">
        <is>
          <t>17</t>
        </is>
      </c>
      <c r="W889" s="11" t="inlineStr">
        <is>
          <t>18</t>
        </is>
      </c>
      <c r="X889" s="11" t="inlineStr">
        <is>
          <t>19</t>
        </is>
      </c>
      <c r="Y889" s="11" t="inlineStr">
        <is>
          <t>20</t>
        </is>
      </c>
      <c r="Z889" s="11" t="inlineStr">
        <is>
          <t>21</t>
        </is>
      </c>
      <c r="AA889" s="11" t="inlineStr">
        <is>
          <t>22</t>
        </is>
      </c>
      <c r="AB889" s="11" t="inlineStr">
        <is>
          <t>23</t>
        </is>
      </c>
      <c r="AC889" s="11" t="inlineStr">
        <is>
          <t>24</t>
        </is>
      </c>
      <c r="AD889" s="11" t="inlineStr">
        <is>
          <t>25</t>
        </is>
      </c>
      <c r="AE889" s="11" t="inlineStr">
        <is>
          <t>26</t>
        </is>
      </c>
      <c r="AF889" s="11" t="inlineStr">
        <is>
          <t>27</t>
        </is>
      </c>
      <c r="AG889" s="11" t="inlineStr">
        <is>
          <t>28</t>
        </is>
      </c>
      <c r="AH889" s="11" t="inlineStr">
        <is>
          <t>29</t>
        </is>
      </c>
      <c r="AI889" s="11" t="inlineStr">
        <is>
          <t>30</t>
        </is>
      </c>
    </row>
    <row r="890">
      <c r="A890" s="4" t="inlineStr">
        <is>
          <t>Студент2.1</t>
        </is>
      </c>
      <c r="B890" s="4" t="inlineStr"/>
      <c r="C890" s="4">
        <f>IF(A890="","",COUNTIF(F890:AI890,"+")+COUNTIF(F890:AI890,"1"))</f>
        <v/>
      </c>
      <c r="D890" s="4">
        <f>IF(A890="","",IF(C890&gt;2*COUNTA(F$889:AI$889)/3,1,IF(C890&gt;=COUNTA(F$889:AI$889)/2,0.8,0.5)))</f>
        <v/>
      </c>
      <c r="E890" s="4">
        <f>IF(A890="","",SUMIFS('Логи'!$H$4:$H$3006,'Логи'!$A$4:$A$3006,A890,'Логи'!$C$4:$C$3006,14))</f>
        <v/>
      </c>
      <c r="F890" s="15" t="n"/>
      <c r="G890" s="15" t="n"/>
      <c r="H890" s="15" t="n"/>
      <c r="I890" s="15" t="n"/>
      <c r="J890" s="15" t="n"/>
      <c r="K890" s="15" t="n"/>
      <c r="L890" s="15" t="n"/>
      <c r="M890" s="15" t="n"/>
      <c r="N890" s="15" t="n"/>
      <c r="O890" s="15" t="n"/>
      <c r="P890" s="15" t="n"/>
      <c r="Q890" s="15" t="n"/>
      <c r="R890" s="15" t="n"/>
      <c r="S890" s="15" t="n"/>
      <c r="T890" s="15" t="n"/>
      <c r="U890" s="15" t="n"/>
      <c r="V890" s="15" t="n"/>
      <c r="W890" s="15" t="n"/>
      <c r="X890" s="15" t="n"/>
      <c r="Y890" s="15" t="n"/>
      <c r="Z890" s="15" t="n"/>
      <c r="AA890" s="15" t="n"/>
      <c r="AB890" s="15" t="n"/>
      <c r="AC890" s="15" t="n"/>
      <c r="AD890" s="15" t="n"/>
      <c r="AE890" s="15" t="n"/>
      <c r="AF890" s="15" t="n"/>
      <c r="AG890" s="15" t="n"/>
      <c r="AH890" s="15" t="n"/>
      <c r="AI890" s="15" t="n"/>
    </row>
    <row r="891">
      <c r="A891" s="4" t="inlineStr">
        <is>
          <t>Студент2.2</t>
        </is>
      </c>
      <c r="B891" s="4" t="inlineStr"/>
      <c r="C891" s="4">
        <f>IF(A891="","",COUNTIF(F891:AI891,"+")+COUNTIF(F891:AI891,"1"))</f>
        <v/>
      </c>
      <c r="D891" s="4">
        <f>IF(A891="","",IF(C891&gt;2*COUNTA(F$889:AI$889)/3,1,IF(C891&gt;=COUNTA(F$889:AI$889)/2,0.8,0.5)))</f>
        <v/>
      </c>
      <c r="E891" s="4">
        <f>IF(A891="","",SUMIFS('Логи'!$H$4:$H$3006,'Логи'!$A$4:$A$3006,A891,'Логи'!$C$4:$C$3006,14))</f>
        <v/>
      </c>
      <c r="F891" s="15" t="n"/>
      <c r="G891" s="15" t="n"/>
      <c r="H891" s="15" t="n"/>
      <c r="I891" s="15" t="n"/>
      <c r="J891" s="15" t="n"/>
      <c r="K891" s="15" t="n"/>
      <c r="L891" s="15" t="n"/>
      <c r="M891" s="15" t="n"/>
      <c r="N891" s="15" t="n"/>
      <c r="O891" s="15" t="n"/>
      <c r="P891" s="15" t="n"/>
      <c r="Q891" s="15" t="n"/>
      <c r="R891" s="15" t="n"/>
      <c r="S891" s="15" t="n"/>
      <c r="T891" s="15" t="n"/>
      <c r="U891" s="15" t="n"/>
      <c r="V891" s="15" t="n"/>
      <c r="W891" s="15" t="n"/>
      <c r="X891" s="15" t="n"/>
      <c r="Y891" s="15" t="n"/>
      <c r="Z891" s="15" t="n"/>
      <c r="AA891" s="15" t="n"/>
      <c r="AB891" s="15" t="n"/>
      <c r="AC891" s="15" t="n"/>
      <c r="AD891" s="15" t="n"/>
      <c r="AE891" s="15" t="n"/>
      <c r="AF891" s="15" t="n"/>
      <c r="AG891" s="15" t="n"/>
      <c r="AH891" s="15" t="n"/>
      <c r="AI891" s="15" t="n"/>
    </row>
    <row r="892">
      <c r="A892" s="4" t="inlineStr">
        <is>
          <t>Студент2.3</t>
        </is>
      </c>
      <c r="B892" s="4" t="inlineStr"/>
      <c r="C892" s="4">
        <f>IF(A892="","",COUNTIF(F892:AI892,"+")+COUNTIF(F892:AI892,"1"))</f>
        <v/>
      </c>
      <c r="D892" s="4">
        <f>IF(A892="","",IF(C892&gt;2*COUNTA(F$889:AI$889)/3,1,IF(C892&gt;=COUNTA(F$889:AI$889)/2,0.8,0.5)))</f>
        <v/>
      </c>
      <c r="E892" s="4">
        <f>IF(A892="","",SUMIFS('Логи'!$H$4:$H$3006,'Логи'!$A$4:$A$3006,A892,'Логи'!$C$4:$C$3006,14))</f>
        <v/>
      </c>
      <c r="F892" s="15" t="n"/>
      <c r="G892" s="15" t="n"/>
      <c r="H892" s="15" t="n"/>
      <c r="I892" s="15" t="n"/>
      <c r="J892" s="15" t="n"/>
      <c r="K892" s="15" t="n"/>
      <c r="L892" s="15" t="n"/>
      <c r="M892" s="15" t="n"/>
      <c r="N892" s="15" t="n"/>
      <c r="O892" s="15" t="n"/>
      <c r="P892" s="15" t="n"/>
      <c r="Q892" s="15" t="n"/>
      <c r="R892" s="15" t="n"/>
      <c r="S892" s="15" t="n"/>
      <c r="T892" s="15" t="n"/>
      <c r="U892" s="15" t="n"/>
      <c r="V892" s="15" t="n"/>
      <c r="W892" s="15" t="n"/>
      <c r="X892" s="15" t="n"/>
      <c r="Y892" s="15" t="n"/>
      <c r="Z892" s="15" t="n"/>
      <c r="AA892" s="15" t="n"/>
      <c r="AB892" s="15" t="n"/>
      <c r="AC892" s="15" t="n"/>
      <c r="AD892" s="15" t="n"/>
      <c r="AE892" s="15" t="n"/>
      <c r="AF892" s="15" t="n"/>
      <c r="AG892" s="15" t="n"/>
      <c r="AH892" s="15" t="n"/>
      <c r="AI892" s="15" t="n"/>
    </row>
    <row r="893">
      <c r="A893" s="4" t="inlineStr">
        <is>
          <t>Студент2.4</t>
        </is>
      </c>
      <c r="B893" s="4" t="inlineStr"/>
      <c r="C893" s="4">
        <f>IF(A893="","",COUNTIF(F893:AI893,"+")+COUNTIF(F893:AI893,"1"))</f>
        <v/>
      </c>
      <c r="D893" s="4">
        <f>IF(A893="","",IF(C893&gt;2*COUNTA(F$889:AI$889)/3,1,IF(C893&gt;=COUNTA(F$889:AI$889)/2,0.8,0.5)))</f>
        <v/>
      </c>
      <c r="E893" s="4">
        <f>IF(A893="","",SUMIFS('Логи'!$H$4:$H$3006,'Логи'!$A$4:$A$3006,A893,'Логи'!$C$4:$C$3006,14))</f>
        <v/>
      </c>
      <c r="F893" s="15" t="n"/>
      <c r="G893" s="15" t="n"/>
      <c r="H893" s="15" t="n"/>
      <c r="I893" s="15" t="n"/>
      <c r="J893" s="15" t="n"/>
      <c r="K893" s="15" t="n"/>
      <c r="L893" s="15" t="n"/>
      <c r="M893" s="15" t="n"/>
      <c r="N893" s="15" t="n"/>
      <c r="O893" s="15" t="n"/>
      <c r="P893" s="15" t="n"/>
      <c r="Q893" s="15" t="n"/>
      <c r="R893" s="15" t="n"/>
      <c r="S893" s="15" t="n"/>
      <c r="T893" s="15" t="n"/>
      <c r="U893" s="15" t="n"/>
      <c r="V893" s="15" t="n"/>
      <c r="W893" s="15" t="n"/>
      <c r="X893" s="15" t="n"/>
      <c r="Y893" s="15" t="n"/>
      <c r="Z893" s="15" t="n"/>
      <c r="AA893" s="15" t="n"/>
      <c r="AB893" s="15" t="n"/>
      <c r="AC893" s="15" t="n"/>
      <c r="AD893" s="15" t="n"/>
      <c r="AE893" s="15" t="n"/>
      <c r="AF893" s="15" t="n"/>
      <c r="AG893" s="15" t="n"/>
      <c r="AH893" s="15" t="n"/>
      <c r="AI893" s="15" t="n"/>
    </row>
    <row r="894">
      <c r="A894" s="4" t="inlineStr">
        <is>
          <t>Студент2.5</t>
        </is>
      </c>
      <c r="B894" s="4" t="inlineStr"/>
      <c r="C894" s="4">
        <f>IF(A894="","",COUNTIF(F894:AI894,"+")+COUNTIF(F894:AI894,"1"))</f>
        <v/>
      </c>
      <c r="D894" s="4">
        <f>IF(A894="","",IF(C894&gt;2*COUNTA(F$889:AI$889)/3,1,IF(C894&gt;=COUNTA(F$889:AI$889)/2,0.8,0.5)))</f>
        <v/>
      </c>
      <c r="E894" s="4">
        <f>IF(A894="","",SUMIFS('Логи'!$H$4:$H$3006,'Логи'!$A$4:$A$3006,A894,'Логи'!$C$4:$C$3006,14))</f>
        <v/>
      </c>
      <c r="F894" s="15" t="n"/>
      <c r="G894" s="15" t="n"/>
      <c r="H894" s="15" t="n"/>
      <c r="I894" s="15" t="n"/>
      <c r="J894" s="15" t="n"/>
      <c r="K894" s="15" t="n"/>
      <c r="L894" s="15" t="n"/>
      <c r="M894" s="15" t="n"/>
      <c r="N894" s="15" t="n"/>
      <c r="O894" s="15" t="n"/>
      <c r="P894" s="15" t="n"/>
      <c r="Q894" s="15" t="n"/>
      <c r="R894" s="15" t="n"/>
      <c r="S894" s="15" t="n"/>
      <c r="T894" s="15" t="n"/>
      <c r="U894" s="15" t="n"/>
      <c r="V894" s="15" t="n"/>
      <c r="W894" s="15" t="n"/>
      <c r="X894" s="15" t="n"/>
      <c r="Y894" s="15" t="n"/>
      <c r="Z894" s="15" t="n"/>
      <c r="AA894" s="15" t="n"/>
      <c r="AB894" s="15" t="n"/>
      <c r="AC894" s="15" t="n"/>
      <c r="AD894" s="15" t="n"/>
      <c r="AE894" s="15" t="n"/>
      <c r="AF894" s="15" t="n"/>
      <c r="AG894" s="15" t="n"/>
      <c r="AH894" s="15" t="n"/>
      <c r="AI894" s="15" t="n"/>
    </row>
    <row r="895">
      <c r="A895" s="4" t="inlineStr">
        <is>
          <t>Студент2.6</t>
        </is>
      </c>
      <c r="B895" s="4" t="inlineStr"/>
      <c r="C895" s="4">
        <f>IF(A895="","",COUNTIF(F895:AI895,"+")+COUNTIF(F895:AI895,"1"))</f>
        <v/>
      </c>
      <c r="D895" s="4">
        <f>IF(A895="","",IF(C895&gt;2*COUNTA(F$889:AI$889)/3,1,IF(C895&gt;=COUNTA(F$889:AI$889)/2,0.8,0.5)))</f>
        <v/>
      </c>
      <c r="E895" s="4">
        <f>IF(A895="","",SUMIFS('Логи'!$H$4:$H$3006,'Логи'!$A$4:$A$3006,A895,'Логи'!$C$4:$C$3006,14))</f>
        <v/>
      </c>
      <c r="F895" s="15" t="n"/>
      <c r="G895" s="15" t="n"/>
      <c r="H895" s="15" t="n"/>
      <c r="I895" s="15" t="n"/>
      <c r="J895" s="15" t="n"/>
      <c r="K895" s="15" t="n"/>
      <c r="L895" s="15" t="n"/>
      <c r="M895" s="15" t="n"/>
      <c r="N895" s="15" t="n"/>
      <c r="O895" s="15" t="n"/>
      <c r="P895" s="15" t="n"/>
      <c r="Q895" s="15" t="n"/>
      <c r="R895" s="15" t="n"/>
      <c r="S895" s="15" t="n"/>
      <c r="T895" s="15" t="n"/>
      <c r="U895" s="15" t="n"/>
      <c r="V895" s="15" t="n"/>
      <c r="W895" s="15" t="n"/>
      <c r="X895" s="15" t="n"/>
      <c r="Y895" s="15" t="n"/>
      <c r="Z895" s="15" t="n"/>
      <c r="AA895" s="15" t="n"/>
      <c r="AB895" s="15" t="n"/>
      <c r="AC895" s="15" t="n"/>
      <c r="AD895" s="15" t="n"/>
      <c r="AE895" s="15" t="n"/>
      <c r="AF895" s="15" t="n"/>
      <c r="AG895" s="15" t="n"/>
      <c r="AH895" s="15" t="n"/>
      <c r="AI895" s="15" t="n"/>
    </row>
    <row r="896">
      <c r="A896" s="4" t="inlineStr">
        <is>
          <t>Студент2.7</t>
        </is>
      </c>
      <c r="B896" s="4" t="inlineStr"/>
      <c r="C896" s="4">
        <f>IF(A896="","",COUNTIF(F896:AI896,"+")+COUNTIF(F896:AI896,"1"))</f>
        <v/>
      </c>
      <c r="D896" s="4">
        <f>IF(A896="","",IF(C896&gt;2*COUNTA(F$889:AI$889)/3,1,IF(C896&gt;=COUNTA(F$889:AI$889)/2,0.8,0.5)))</f>
        <v/>
      </c>
      <c r="E896" s="4">
        <f>IF(A896="","",SUMIFS('Логи'!$H$4:$H$3006,'Логи'!$A$4:$A$3006,A896,'Логи'!$C$4:$C$3006,14))</f>
        <v/>
      </c>
      <c r="F896" s="15" t="n"/>
      <c r="G896" s="15" t="n"/>
      <c r="H896" s="15" t="n"/>
      <c r="I896" s="15" t="n"/>
      <c r="J896" s="15" t="n"/>
      <c r="K896" s="15" t="n"/>
      <c r="L896" s="15" t="n"/>
      <c r="M896" s="15" t="n"/>
      <c r="N896" s="15" t="n"/>
      <c r="O896" s="15" t="n"/>
      <c r="P896" s="15" t="n"/>
      <c r="Q896" s="15" t="n"/>
      <c r="R896" s="15" t="n"/>
      <c r="S896" s="15" t="n"/>
      <c r="T896" s="15" t="n"/>
      <c r="U896" s="15" t="n"/>
      <c r="V896" s="15" t="n"/>
      <c r="W896" s="15" t="n"/>
      <c r="X896" s="15" t="n"/>
      <c r="Y896" s="15" t="n"/>
      <c r="Z896" s="15" t="n"/>
      <c r="AA896" s="15" t="n"/>
      <c r="AB896" s="15" t="n"/>
      <c r="AC896" s="15" t="n"/>
      <c r="AD896" s="15" t="n"/>
      <c r="AE896" s="15" t="n"/>
      <c r="AF896" s="15" t="n"/>
      <c r="AG896" s="15" t="n"/>
      <c r="AH896" s="15" t="n"/>
      <c r="AI896" s="15" t="n"/>
    </row>
    <row r="897">
      <c r="A897" s="4" t="inlineStr">
        <is>
          <t>Студент2.8</t>
        </is>
      </c>
      <c r="B897" s="4" t="inlineStr"/>
      <c r="C897" s="4">
        <f>IF(A897="","",COUNTIF(F897:AI897,"+")+COUNTIF(F897:AI897,"1"))</f>
        <v/>
      </c>
      <c r="D897" s="4">
        <f>IF(A897="","",IF(C897&gt;2*COUNTA(F$889:AI$889)/3,1,IF(C897&gt;=COUNTA(F$889:AI$889)/2,0.8,0.5)))</f>
        <v/>
      </c>
      <c r="E897" s="4">
        <f>IF(A897="","",SUMIFS('Логи'!$H$4:$H$3006,'Логи'!$A$4:$A$3006,A897,'Логи'!$C$4:$C$3006,14))</f>
        <v/>
      </c>
      <c r="F897" s="15" t="n"/>
      <c r="G897" s="15" t="n"/>
      <c r="H897" s="15" t="n"/>
      <c r="I897" s="15" t="n"/>
      <c r="J897" s="15" t="n"/>
      <c r="K897" s="15" t="n"/>
      <c r="L897" s="15" t="n"/>
      <c r="M897" s="15" t="n"/>
      <c r="N897" s="15" t="n"/>
      <c r="O897" s="15" t="n"/>
      <c r="P897" s="15" t="n"/>
      <c r="Q897" s="15" t="n"/>
      <c r="R897" s="15" t="n"/>
      <c r="S897" s="15" t="n"/>
      <c r="T897" s="15" t="n"/>
      <c r="U897" s="15" t="n"/>
      <c r="V897" s="15" t="n"/>
      <c r="W897" s="15" t="n"/>
      <c r="X897" s="15" t="n"/>
      <c r="Y897" s="15" t="n"/>
      <c r="Z897" s="15" t="n"/>
      <c r="AA897" s="15" t="n"/>
      <c r="AB897" s="15" t="n"/>
      <c r="AC897" s="15" t="n"/>
      <c r="AD897" s="15" t="n"/>
      <c r="AE897" s="15" t="n"/>
      <c r="AF897" s="15" t="n"/>
      <c r="AG897" s="15" t="n"/>
      <c r="AH897" s="15" t="n"/>
      <c r="AI897" s="15" t="n"/>
    </row>
    <row r="898">
      <c r="A898" s="4" t="inlineStr">
        <is>
          <t>Студент2.9</t>
        </is>
      </c>
      <c r="B898" s="4" t="inlineStr"/>
      <c r="C898" s="4">
        <f>IF(A898="","",COUNTIF(F898:AI898,"+")+COUNTIF(F898:AI898,"1"))</f>
        <v/>
      </c>
      <c r="D898" s="4">
        <f>IF(A898="","",IF(C898&gt;2*COUNTA(F$889:AI$889)/3,1,IF(C898&gt;=COUNTA(F$889:AI$889)/2,0.8,0.5)))</f>
        <v/>
      </c>
      <c r="E898" s="4">
        <f>IF(A898="","",SUMIFS('Логи'!$H$4:$H$3006,'Логи'!$A$4:$A$3006,A898,'Логи'!$C$4:$C$3006,14))</f>
        <v/>
      </c>
      <c r="F898" s="15" t="n"/>
      <c r="G898" s="15" t="n"/>
      <c r="H898" s="15" t="n"/>
      <c r="I898" s="15" t="n"/>
      <c r="J898" s="15" t="n"/>
      <c r="K898" s="15" t="n"/>
      <c r="L898" s="15" t="n"/>
      <c r="M898" s="15" t="n"/>
      <c r="N898" s="15" t="n"/>
      <c r="O898" s="15" t="n"/>
      <c r="P898" s="15" t="n"/>
      <c r="Q898" s="15" t="n"/>
      <c r="R898" s="15" t="n"/>
      <c r="S898" s="15" t="n"/>
      <c r="T898" s="15" t="n"/>
      <c r="U898" s="15" t="n"/>
      <c r="V898" s="15" t="n"/>
      <c r="W898" s="15" t="n"/>
      <c r="X898" s="15" t="n"/>
      <c r="Y898" s="15" t="n"/>
      <c r="Z898" s="15" t="n"/>
      <c r="AA898" s="15" t="n"/>
      <c r="AB898" s="15" t="n"/>
      <c r="AC898" s="15" t="n"/>
      <c r="AD898" s="15" t="n"/>
      <c r="AE898" s="15" t="n"/>
      <c r="AF898" s="15" t="n"/>
      <c r="AG898" s="15" t="n"/>
      <c r="AH898" s="15" t="n"/>
      <c r="AI898" s="15" t="n"/>
    </row>
    <row r="899">
      <c r="A899" s="4" t="inlineStr">
        <is>
          <t>Студент2.10</t>
        </is>
      </c>
      <c r="B899" s="4" t="inlineStr"/>
      <c r="C899" s="4">
        <f>IF(A899="","",COUNTIF(F899:AI899,"+")+COUNTIF(F899:AI899,"1"))</f>
        <v/>
      </c>
      <c r="D899" s="4">
        <f>IF(A899="","",IF(C899&gt;2*COUNTA(F$889:AI$889)/3,1,IF(C899&gt;=COUNTA(F$889:AI$889)/2,0.8,0.5)))</f>
        <v/>
      </c>
      <c r="E899" s="4">
        <f>IF(A899="","",SUMIFS('Логи'!$H$4:$H$3006,'Логи'!$A$4:$A$3006,A899,'Логи'!$C$4:$C$3006,14))</f>
        <v/>
      </c>
      <c r="F899" s="15" t="n"/>
      <c r="G899" s="15" t="n"/>
      <c r="H899" s="15" t="n"/>
      <c r="I899" s="15" t="n"/>
      <c r="J899" s="15" t="n"/>
      <c r="K899" s="15" t="n"/>
      <c r="L899" s="15" t="n"/>
      <c r="M899" s="15" t="n"/>
      <c r="N899" s="15" t="n"/>
      <c r="O899" s="15" t="n"/>
      <c r="P899" s="15" t="n"/>
      <c r="Q899" s="15" t="n"/>
      <c r="R899" s="15" t="n"/>
      <c r="S899" s="15" t="n"/>
      <c r="T899" s="15" t="n"/>
      <c r="U899" s="15" t="n"/>
      <c r="V899" s="15" t="n"/>
      <c r="W899" s="15" t="n"/>
      <c r="X899" s="15" t="n"/>
      <c r="Y899" s="15" t="n"/>
      <c r="Z899" s="15" t="n"/>
      <c r="AA899" s="15" t="n"/>
      <c r="AB899" s="15" t="n"/>
      <c r="AC899" s="15" t="n"/>
      <c r="AD899" s="15" t="n"/>
      <c r="AE899" s="15" t="n"/>
      <c r="AF899" s="15" t="n"/>
      <c r="AG899" s="15" t="n"/>
      <c r="AH899" s="15" t="n"/>
      <c r="AI899" s="15" t="n"/>
    </row>
    <row r="900">
      <c r="A900" s="4" t="inlineStr">
        <is>
          <t>Студент2.11</t>
        </is>
      </c>
      <c r="B900" s="4" t="inlineStr"/>
      <c r="C900" s="4">
        <f>IF(A900="","",COUNTIF(F900:AI900,"+")+COUNTIF(F900:AI900,"1"))</f>
        <v/>
      </c>
      <c r="D900" s="4">
        <f>IF(A900="","",IF(C900&gt;2*COUNTA(F$889:AI$889)/3,1,IF(C900&gt;=COUNTA(F$889:AI$889)/2,0.8,0.5)))</f>
        <v/>
      </c>
      <c r="E900" s="4">
        <f>IF(A900="","",SUMIFS('Логи'!$H$4:$H$3006,'Логи'!$A$4:$A$3006,A900,'Логи'!$C$4:$C$3006,14))</f>
        <v/>
      </c>
      <c r="F900" s="15" t="n"/>
      <c r="G900" s="15" t="n"/>
      <c r="H900" s="15" t="n"/>
      <c r="I900" s="15" t="n"/>
      <c r="J900" s="15" t="n"/>
      <c r="K900" s="15" t="n"/>
      <c r="L900" s="15" t="n"/>
      <c r="M900" s="15" t="n"/>
      <c r="N900" s="15" t="n"/>
      <c r="O900" s="15" t="n"/>
      <c r="P900" s="15" t="n"/>
      <c r="Q900" s="15" t="n"/>
      <c r="R900" s="15" t="n"/>
      <c r="S900" s="15" t="n"/>
      <c r="T900" s="15" t="n"/>
      <c r="U900" s="15" t="n"/>
      <c r="V900" s="15" t="n"/>
      <c r="W900" s="15" t="n"/>
      <c r="X900" s="15" t="n"/>
      <c r="Y900" s="15" t="n"/>
      <c r="Z900" s="15" t="n"/>
      <c r="AA900" s="15" t="n"/>
      <c r="AB900" s="15" t="n"/>
      <c r="AC900" s="15" t="n"/>
      <c r="AD900" s="15" t="n"/>
      <c r="AE900" s="15" t="n"/>
      <c r="AF900" s="15" t="n"/>
      <c r="AG900" s="15" t="n"/>
      <c r="AH900" s="15" t="n"/>
      <c r="AI900" s="15" t="n"/>
    </row>
    <row r="901">
      <c r="A901" s="4" t="inlineStr">
        <is>
          <t>Студент2.12</t>
        </is>
      </c>
      <c r="B901" s="4" t="inlineStr"/>
      <c r="C901" s="4">
        <f>IF(A901="","",COUNTIF(F901:AI901,"+")+COUNTIF(F901:AI901,"1"))</f>
        <v/>
      </c>
      <c r="D901" s="4">
        <f>IF(A901="","",IF(C901&gt;2*COUNTA(F$889:AI$889)/3,1,IF(C901&gt;=COUNTA(F$889:AI$889)/2,0.8,0.5)))</f>
        <v/>
      </c>
      <c r="E901" s="4">
        <f>IF(A901="","",SUMIFS('Логи'!$H$4:$H$3006,'Логи'!$A$4:$A$3006,A901,'Логи'!$C$4:$C$3006,14))</f>
        <v/>
      </c>
      <c r="F901" s="15" t="n"/>
      <c r="G901" s="15" t="n"/>
      <c r="H901" s="15" t="n"/>
      <c r="I901" s="15" t="n"/>
      <c r="J901" s="15" t="n"/>
      <c r="K901" s="15" t="n"/>
      <c r="L901" s="15" t="n"/>
      <c r="M901" s="15" t="n"/>
      <c r="N901" s="15" t="n"/>
      <c r="O901" s="15" t="n"/>
      <c r="P901" s="15" t="n"/>
      <c r="Q901" s="15" t="n"/>
      <c r="R901" s="15" t="n"/>
      <c r="S901" s="15" t="n"/>
      <c r="T901" s="15" t="n"/>
      <c r="U901" s="15" t="n"/>
      <c r="V901" s="15" t="n"/>
      <c r="W901" s="15" t="n"/>
      <c r="X901" s="15" t="n"/>
      <c r="Y901" s="15" t="n"/>
      <c r="Z901" s="15" t="n"/>
      <c r="AA901" s="15" t="n"/>
      <c r="AB901" s="15" t="n"/>
      <c r="AC901" s="15" t="n"/>
      <c r="AD901" s="15" t="n"/>
      <c r="AE901" s="15" t="n"/>
      <c r="AF901" s="15" t="n"/>
      <c r="AG901" s="15" t="n"/>
      <c r="AH901" s="15" t="n"/>
      <c r="AI901" s="15" t="n"/>
    </row>
    <row r="902">
      <c r="A902" s="4" t="inlineStr">
        <is>
          <t>Студент2.13</t>
        </is>
      </c>
      <c r="B902" s="4" t="inlineStr"/>
      <c r="C902" s="4">
        <f>IF(A902="","",COUNTIF(F902:AI902,"+")+COUNTIF(F902:AI902,"1"))</f>
        <v/>
      </c>
      <c r="D902" s="4">
        <f>IF(A902="","",IF(C902&gt;2*COUNTA(F$889:AI$889)/3,1,IF(C902&gt;=COUNTA(F$889:AI$889)/2,0.8,0.5)))</f>
        <v/>
      </c>
      <c r="E902" s="4">
        <f>IF(A902="","",SUMIFS('Логи'!$H$4:$H$3006,'Логи'!$A$4:$A$3006,A902,'Логи'!$C$4:$C$3006,14))</f>
        <v/>
      </c>
      <c r="F902" s="15" t="n"/>
      <c r="G902" s="15" t="n"/>
      <c r="H902" s="15" t="n"/>
      <c r="I902" s="15" t="n"/>
      <c r="J902" s="15" t="n"/>
      <c r="K902" s="15" t="n"/>
      <c r="L902" s="15" t="n"/>
      <c r="M902" s="15" t="n"/>
      <c r="N902" s="15" t="n"/>
      <c r="O902" s="15" t="n"/>
      <c r="P902" s="15" t="n"/>
      <c r="Q902" s="15" t="n"/>
      <c r="R902" s="15" t="n"/>
      <c r="S902" s="15" t="n"/>
      <c r="T902" s="15" t="n"/>
      <c r="U902" s="15" t="n"/>
      <c r="V902" s="15" t="n"/>
      <c r="W902" s="15" t="n"/>
      <c r="X902" s="15" t="n"/>
      <c r="Y902" s="15" t="n"/>
      <c r="Z902" s="15" t="n"/>
      <c r="AA902" s="15" t="n"/>
      <c r="AB902" s="15" t="n"/>
      <c r="AC902" s="15" t="n"/>
      <c r="AD902" s="15" t="n"/>
      <c r="AE902" s="15" t="n"/>
      <c r="AF902" s="15" t="n"/>
      <c r="AG902" s="15" t="n"/>
      <c r="AH902" s="15" t="n"/>
      <c r="AI902" s="15" t="n"/>
    </row>
    <row r="903">
      <c r="A903" s="4" t="inlineStr">
        <is>
          <t>Студент2.14</t>
        </is>
      </c>
      <c r="B903" s="4" t="inlineStr"/>
      <c r="C903" s="4">
        <f>IF(A903="","",COUNTIF(F903:AI903,"+")+COUNTIF(F903:AI903,"1"))</f>
        <v/>
      </c>
      <c r="D903" s="4">
        <f>IF(A903="","",IF(C903&gt;2*COUNTA(F$889:AI$889)/3,1,IF(C903&gt;=COUNTA(F$889:AI$889)/2,0.8,0.5)))</f>
        <v/>
      </c>
      <c r="E903" s="4">
        <f>IF(A903="","",SUMIFS('Логи'!$H$4:$H$3006,'Логи'!$A$4:$A$3006,A903,'Логи'!$C$4:$C$3006,14))</f>
        <v/>
      </c>
      <c r="F903" s="15" t="n"/>
      <c r="G903" s="15" t="n"/>
      <c r="H903" s="15" t="n"/>
      <c r="I903" s="15" t="n"/>
      <c r="J903" s="15" t="n"/>
      <c r="K903" s="15" t="n"/>
      <c r="L903" s="15" t="n"/>
      <c r="M903" s="15" t="n"/>
      <c r="N903" s="15" t="n"/>
      <c r="O903" s="15" t="n"/>
      <c r="P903" s="15" t="n"/>
      <c r="Q903" s="15" t="n"/>
      <c r="R903" s="15" t="n"/>
      <c r="S903" s="15" t="n"/>
      <c r="T903" s="15" t="n"/>
      <c r="U903" s="15" t="n"/>
      <c r="V903" s="15" t="n"/>
      <c r="W903" s="15" t="n"/>
      <c r="X903" s="15" t="n"/>
      <c r="Y903" s="15" t="n"/>
      <c r="Z903" s="15" t="n"/>
      <c r="AA903" s="15" t="n"/>
      <c r="AB903" s="15" t="n"/>
      <c r="AC903" s="15" t="n"/>
      <c r="AD903" s="15" t="n"/>
      <c r="AE903" s="15" t="n"/>
      <c r="AF903" s="15" t="n"/>
      <c r="AG903" s="15" t="n"/>
      <c r="AH903" s="15" t="n"/>
      <c r="AI903" s="15" t="n"/>
    </row>
    <row r="904">
      <c r="A904" s="4" t="inlineStr">
        <is>
          <t>Студент2.15</t>
        </is>
      </c>
      <c r="B904" s="4" t="inlineStr"/>
      <c r="C904" s="4">
        <f>IF(A904="","",COUNTIF(F904:AI904,"+")+COUNTIF(F904:AI904,"1"))</f>
        <v/>
      </c>
      <c r="D904" s="4">
        <f>IF(A904="","",IF(C904&gt;2*COUNTA(F$889:AI$889)/3,1,IF(C904&gt;=COUNTA(F$889:AI$889)/2,0.8,0.5)))</f>
        <v/>
      </c>
      <c r="E904" s="4">
        <f>IF(A904="","",SUMIFS('Логи'!$H$4:$H$3006,'Логи'!$A$4:$A$3006,A904,'Логи'!$C$4:$C$3006,14))</f>
        <v/>
      </c>
      <c r="F904" s="15" t="n"/>
      <c r="G904" s="15" t="n"/>
      <c r="H904" s="15" t="n"/>
      <c r="I904" s="15" t="n"/>
      <c r="J904" s="15" t="n"/>
      <c r="K904" s="15" t="n"/>
      <c r="L904" s="15" t="n"/>
      <c r="M904" s="15" t="n"/>
      <c r="N904" s="15" t="n"/>
      <c r="O904" s="15" t="n"/>
      <c r="P904" s="15" t="n"/>
      <c r="Q904" s="15" t="n"/>
      <c r="R904" s="15" t="n"/>
      <c r="S904" s="15" t="n"/>
      <c r="T904" s="15" t="n"/>
      <c r="U904" s="15" t="n"/>
      <c r="V904" s="15" t="n"/>
      <c r="W904" s="15" t="n"/>
      <c r="X904" s="15" t="n"/>
      <c r="Y904" s="15" t="n"/>
      <c r="Z904" s="15" t="n"/>
      <c r="AA904" s="15" t="n"/>
      <c r="AB904" s="15" t="n"/>
      <c r="AC904" s="15" t="n"/>
      <c r="AD904" s="15" t="n"/>
      <c r="AE904" s="15" t="n"/>
      <c r="AF904" s="15" t="n"/>
      <c r="AG904" s="15" t="n"/>
      <c r="AH904" s="15" t="n"/>
      <c r="AI904" s="15" t="n"/>
    </row>
    <row r="905">
      <c r="A905" s="4" t="inlineStr">
        <is>
          <t>Студент2.16</t>
        </is>
      </c>
      <c r="B905" s="4" t="inlineStr"/>
      <c r="C905" s="4">
        <f>IF(A905="","",COUNTIF(F905:AI905,"+")+COUNTIF(F905:AI905,"1"))</f>
        <v/>
      </c>
      <c r="D905" s="4">
        <f>IF(A905="","",IF(C905&gt;2*COUNTA(F$889:AI$889)/3,1,IF(C905&gt;=COUNTA(F$889:AI$889)/2,0.8,0.5)))</f>
        <v/>
      </c>
      <c r="E905" s="4">
        <f>IF(A905="","",SUMIFS('Логи'!$H$4:$H$3006,'Логи'!$A$4:$A$3006,A905,'Логи'!$C$4:$C$3006,14))</f>
        <v/>
      </c>
      <c r="F905" s="15" t="n"/>
      <c r="G905" s="15" t="n"/>
      <c r="H905" s="15" t="n"/>
      <c r="I905" s="15" t="n"/>
      <c r="J905" s="15" t="n"/>
      <c r="K905" s="15" t="n"/>
      <c r="L905" s="15" t="n"/>
      <c r="M905" s="15" t="n"/>
      <c r="N905" s="15" t="n"/>
      <c r="O905" s="15" t="n"/>
      <c r="P905" s="15" t="n"/>
      <c r="Q905" s="15" t="n"/>
      <c r="R905" s="15" t="n"/>
      <c r="S905" s="15" t="n"/>
      <c r="T905" s="15" t="n"/>
      <c r="U905" s="15" t="n"/>
      <c r="V905" s="15" t="n"/>
      <c r="W905" s="15" t="n"/>
      <c r="X905" s="15" t="n"/>
      <c r="Y905" s="15" t="n"/>
      <c r="Z905" s="15" t="n"/>
      <c r="AA905" s="15" t="n"/>
      <c r="AB905" s="15" t="n"/>
      <c r="AC905" s="15" t="n"/>
      <c r="AD905" s="15" t="n"/>
      <c r="AE905" s="15" t="n"/>
      <c r="AF905" s="15" t="n"/>
      <c r="AG905" s="15" t="n"/>
      <c r="AH905" s="15" t="n"/>
      <c r="AI905" s="15" t="n"/>
    </row>
    <row r="906">
      <c r="A906" s="4" t="inlineStr">
        <is>
          <t>Студент2.17</t>
        </is>
      </c>
      <c r="B906" s="4" t="inlineStr"/>
      <c r="C906" s="4">
        <f>IF(A906="","",COUNTIF(F906:AI906,"+")+COUNTIF(F906:AI906,"1"))</f>
        <v/>
      </c>
      <c r="D906" s="4">
        <f>IF(A906="","",IF(C906&gt;2*COUNTA(F$889:AI$889)/3,1,IF(C906&gt;=COUNTA(F$889:AI$889)/2,0.8,0.5)))</f>
        <v/>
      </c>
      <c r="E906" s="4">
        <f>IF(A906="","",SUMIFS('Логи'!$H$4:$H$3006,'Логи'!$A$4:$A$3006,A906,'Логи'!$C$4:$C$3006,14))</f>
        <v/>
      </c>
      <c r="F906" s="15" t="n"/>
      <c r="G906" s="15" t="n"/>
      <c r="H906" s="15" t="n"/>
      <c r="I906" s="15" t="n"/>
      <c r="J906" s="15" t="n"/>
      <c r="K906" s="15" t="n"/>
      <c r="L906" s="15" t="n"/>
      <c r="M906" s="15" t="n"/>
      <c r="N906" s="15" t="n"/>
      <c r="O906" s="15" t="n"/>
      <c r="P906" s="15" t="n"/>
      <c r="Q906" s="15" t="n"/>
      <c r="R906" s="15" t="n"/>
      <c r="S906" s="15" t="n"/>
      <c r="T906" s="15" t="n"/>
      <c r="U906" s="15" t="n"/>
      <c r="V906" s="15" t="n"/>
      <c r="W906" s="15" t="n"/>
      <c r="X906" s="15" t="n"/>
      <c r="Y906" s="15" t="n"/>
      <c r="Z906" s="15" t="n"/>
      <c r="AA906" s="15" t="n"/>
      <c r="AB906" s="15" t="n"/>
      <c r="AC906" s="15" t="n"/>
      <c r="AD906" s="15" t="n"/>
      <c r="AE906" s="15" t="n"/>
      <c r="AF906" s="15" t="n"/>
      <c r="AG906" s="15" t="n"/>
      <c r="AH906" s="15" t="n"/>
      <c r="AI906" s="15" t="n"/>
    </row>
    <row r="907">
      <c r="A907" s="4" t="inlineStr">
        <is>
          <t>Студент2.18</t>
        </is>
      </c>
      <c r="B907" s="4" t="inlineStr"/>
      <c r="C907" s="4">
        <f>IF(A907="","",COUNTIF(F907:AI907,"+")+COUNTIF(F907:AI907,"1"))</f>
        <v/>
      </c>
      <c r="D907" s="4">
        <f>IF(A907="","",IF(C907&gt;2*COUNTA(F$889:AI$889)/3,1,IF(C907&gt;=COUNTA(F$889:AI$889)/2,0.8,0.5)))</f>
        <v/>
      </c>
      <c r="E907" s="4">
        <f>IF(A907="","",SUMIFS('Логи'!$H$4:$H$3006,'Логи'!$A$4:$A$3006,A907,'Логи'!$C$4:$C$3006,14))</f>
        <v/>
      </c>
      <c r="F907" s="15" t="n"/>
      <c r="G907" s="15" t="n"/>
      <c r="H907" s="15" t="n"/>
      <c r="I907" s="15" t="n"/>
      <c r="J907" s="15" t="n"/>
      <c r="K907" s="15" t="n"/>
      <c r="L907" s="15" t="n"/>
      <c r="M907" s="15" t="n"/>
      <c r="N907" s="15" t="n"/>
      <c r="O907" s="15" t="n"/>
      <c r="P907" s="15" t="n"/>
      <c r="Q907" s="15" t="n"/>
      <c r="R907" s="15" t="n"/>
      <c r="S907" s="15" t="n"/>
      <c r="T907" s="15" t="n"/>
      <c r="U907" s="15" t="n"/>
      <c r="V907" s="15" t="n"/>
      <c r="W907" s="15" t="n"/>
      <c r="X907" s="15" t="n"/>
      <c r="Y907" s="15" t="n"/>
      <c r="Z907" s="15" t="n"/>
      <c r="AA907" s="15" t="n"/>
      <c r="AB907" s="15" t="n"/>
      <c r="AC907" s="15" t="n"/>
      <c r="AD907" s="15" t="n"/>
      <c r="AE907" s="15" t="n"/>
      <c r="AF907" s="15" t="n"/>
      <c r="AG907" s="15" t="n"/>
      <c r="AH907" s="15" t="n"/>
      <c r="AI907" s="15" t="n"/>
    </row>
    <row r="908">
      <c r="A908" s="4" t="inlineStr">
        <is>
          <t>Студент2.19</t>
        </is>
      </c>
      <c r="B908" s="4" t="inlineStr"/>
      <c r="C908" s="4">
        <f>IF(A908="","",COUNTIF(F908:AI908,"+")+COUNTIF(F908:AI908,"1"))</f>
        <v/>
      </c>
      <c r="D908" s="4">
        <f>IF(A908="","",IF(C908&gt;2*COUNTA(F$889:AI$889)/3,1,IF(C908&gt;=COUNTA(F$889:AI$889)/2,0.8,0.5)))</f>
        <v/>
      </c>
      <c r="E908" s="4">
        <f>IF(A908="","",SUMIFS('Логи'!$H$4:$H$3006,'Логи'!$A$4:$A$3006,A908,'Логи'!$C$4:$C$3006,14))</f>
        <v/>
      </c>
      <c r="F908" s="15" t="n"/>
      <c r="G908" s="15" t="n"/>
      <c r="H908" s="15" t="n"/>
      <c r="I908" s="15" t="n"/>
      <c r="J908" s="15" t="n"/>
      <c r="K908" s="15" t="n"/>
      <c r="L908" s="15" t="n"/>
      <c r="M908" s="15" t="n"/>
      <c r="N908" s="15" t="n"/>
      <c r="O908" s="15" t="n"/>
      <c r="P908" s="15" t="n"/>
      <c r="Q908" s="15" t="n"/>
      <c r="R908" s="15" t="n"/>
      <c r="S908" s="15" t="n"/>
      <c r="T908" s="15" t="n"/>
      <c r="U908" s="15" t="n"/>
      <c r="V908" s="15" t="n"/>
      <c r="W908" s="15" t="n"/>
      <c r="X908" s="15" t="n"/>
      <c r="Y908" s="15" t="n"/>
      <c r="Z908" s="15" t="n"/>
      <c r="AA908" s="15" t="n"/>
      <c r="AB908" s="15" t="n"/>
      <c r="AC908" s="15" t="n"/>
      <c r="AD908" s="15" t="n"/>
      <c r="AE908" s="15" t="n"/>
      <c r="AF908" s="15" t="n"/>
      <c r="AG908" s="15" t="n"/>
      <c r="AH908" s="15" t="n"/>
      <c r="AI908" s="15" t="n"/>
    </row>
    <row r="909">
      <c r="A909" s="4" t="inlineStr">
        <is>
          <t>Студент2.20</t>
        </is>
      </c>
      <c r="B909" s="4" t="inlineStr"/>
      <c r="C909" s="4">
        <f>IF(A909="","",COUNTIF(F909:AI909,"+")+COUNTIF(F909:AI909,"1"))</f>
        <v/>
      </c>
      <c r="D909" s="4">
        <f>IF(A909="","",IF(C909&gt;2*COUNTA(F$889:AI$889)/3,1,IF(C909&gt;=COUNTA(F$889:AI$889)/2,0.8,0.5)))</f>
        <v/>
      </c>
      <c r="E909" s="4">
        <f>IF(A909="","",SUMIFS('Логи'!$H$4:$H$3006,'Логи'!$A$4:$A$3006,A909,'Логи'!$C$4:$C$3006,14))</f>
        <v/>
      </c>
      <c r="F909" s="15" t="n"/>
      <c r="G909" s="15" t="n"/>
      <c r="H909" s="15" t="n"/>
      <c r="I909" s="15" t="n"/>
      <c r="J909" s="15" t="n"/>
      <c r="K909" s="15" t="n"/>
      <c r="L909" s="15" t="n"/>
      <c r="M909" s="15" t="n"/>
      <c r="N909" s="15" t="n"/>
      <c r="O909" s="15" t="n"/>
      <c r="P909" s="15" t="n"/>
      <c r="Q909" s="15" t="n"/>
      <c r="R909" s="15" t="n"/>
      <c r="S909" s="15" t="n"/>
      <c r="T909" s="15" t="n"/>
      <c r="U909" s="15" t="n"/>
      <c r="V909" s="15" t="n"/>
      <c r="W909" s="15" t="n"/>
      <c r="X909" s="15" t="n"/>
      <c r="Y909" s="15" t="n"/>
      <c r="Z909" s="15" t="n"/>
      <c r="AA909" s="15" t="n"/>
      <c r="AB909" s="15" t="n"/>
      <c r="AC909" s="15" t="n"/>
      <c r="AD909" s="15" t="n"/>
      <c r="AE909" s="15" t="n"/>
      <c r="AF909" s="15" t="n"/>
      <c r="AG909" s="15" t="n"/>
      <c r="AH909" s="15" t="n"/>
      <c r="AI909" s="15" t="n"/>
    </row>
    <row r="910">
      <c r="A910" s="4" t="inlineStr">
        <is>
          <t>Студент2.21</t>
        </is>
      </c>
      <c r="B910" s="4" t="inlineStr"/>
      <c r="C910" s="4">
        <f>IF(A910="","",COUNTIF(F910:AI910,"+")+COUNTIF(F910:AI910,"1"))</f>
        <v/>
      </c>
      <c r="D910" s="4">
        <f>IF(A910="","",IF(C910&gt;2*COUNTA(F$889:AI$889)/3,1,IF(C910&gt;=COUNTA(F$889:AI$889)/2,0.8,0.5)))</f>
        <v/>
      </c>
      <c r="E910" s="4">
        <f>IF(A910="","",SUMIFS('Логи'!$H$4:$H$3006,'Логи'!$A$4:$A$3006,A910,'Логи'!$C$4:$C$3006,14))</f>
        <v/>
      </c>
      <c r="F910" s="15" t="n"/>
      <c r="G910" s="15" t="n"/>
      <c r="H910" s="15" t="n"/>
      <c r="I910" s="15" t="n"/>
      <c r="J910" s="15" t="n"/>
      <c r="K910" s="15" t="n"/>
      <c r="L910" s="15" t="n"/>
      <c r="M910" s="15" t="n"/>
      <c r="N910" s="15" t="n"/>
      <c r="O910" s="15" t="n"/>
      <c r="P910" s="15" t="n"/>
      <c r="Q910" s="15" t="n"/>
      <c r="R910" s="15" t="n"/>
      <c r="S910" s="15" t="n"/>
      <c r="T910" s="15" t="n"/>
      <c r="U910" s="15" t="n"/>
      <c r="V910" s="15" t="n"/>
      <c r="W910" s="15" t="n"/>
      <c r="X910" s="15" t="n"/>
      <c r="Y910" s="15" t="n"/>
      <c r="Z910" s="15" t="n"/>
      <c r="AA910" s="15" t="n"/>
      <c r="AB910" s="15" t="n"/>
      <c r="AC910" s="15" t="n"/>
      <c r="AD910" s="15" t="n"/>
      <c r="AE910" s="15" t="n"/>
      <c r="AF910" s="15" t="n"/>
      <c r="AG910" s="15" t="n"/>
      <c r="AH910" s="15" t="n"/>
      <c r="AI910" s="15" t="n"/>
    </row>
    <row r="911">
      <c r="A911" s="4" t="inlineStr">
        <is>
          <t>Студент2.22</t>
        </is>
      </c>
      <c r="B911" s="4" t="inlineStr"/>
      <c r="C911" s="4">
        <f>IF(A911="","",COUNTIF(F911:AI911,"+")+COUNTIF(F911:AI911,"1"))</f>
        <v/>
      </c>
      <c r="D911" s="4">
        <f>IF(A911="","",IF(C911&gt;2*COUNTA(F$889:AI$889)/3,1,IF(C911&gt;=COUNTA(F$889:AI$889)/2,0.8,0.5)))</f>
        <v/>
      </c>
      <c r="E911" s="4">
        <f>IF(A911="","",SUMIFS('Логи'!$H$4:$H$3006,'Логи'!$A$4:$A$3006,A911,'Логи'!$C$4:$C$3006,14))</f>
        <v/>
      </c>
      <c r="F911" s="15" t="n"/>
      <c r="G911" s="15" t="n"/>
      <c r="H911" s="15" t="n"/>
      <c r="I911" s="15" t="n"/>
      <c r="J911" s="15" t="n"/>
      <c r="K911" s="15" t="n"/>
      <c r="L911" s="15" t="n"/>
      <c r="M911" s="15" t="n"/>
      <c r="N911" s="15" t="n"/>
      <c r="O911" s="15" t="n"/>
      <c r="P911" s="15" t="n"/>
      <c r="Q911" s="15" t="n"/>
      <c r="R911" s="15" t="n"/>
      <c r="S911" s="15" t="n"/>
      <c r="T911" s="15" t="n"/>
      <c r="U911" s="15" t="n"/>
      <c r="V911" s="15" t="n"/>
      <c r="W911" s="15" t="n"/>
      <c r="X911" s="15" t="n"/>
      <c r="Y911" s="15" t="n"/>
      <c r="Z911" s="15" t="n"/>
      <c r="AA911" s="15" t="n"/>
      <c r="AB911" s="15" t="n"/>
      <c r="AC911" s="15" t="n"/>
      <c r="AD911" s="15" t="n"/>
      <c r="AE911" s="15" t="n"/>
      <c r="AF911" s="15" t="n"/>
      <c r="AG911" s="15" t="n"/>
      <c r="AH911" s="15" t="n"/>
      <c r="AI911" s="15" t="n"/>
    </row>
    <row r="912">
      <c r="A912" s="4" t="inlineStr">
        <is>
          <t>Студент2.23</t>
        </is>
      </c>
      <c r="B912" s="4" t="inlineStr"/>
      <c r="C912" s="4">
        <f>IF(A912="","",COUNTIF(F912:AI912,"+")+COUNTIF(F912:AI912,"1"))</f>
        <v/>
      </c>
      <c r="D912" s="4">
        <f>IF(A912="","",IF(C912&gt;2*COUNTA(F$889:AI$889)/3,1,IF(C912&gt;=COUNTA(F$889:AI$889)/2,0.8,0.5)))</f>
        <v/>
      </c>
      <c r="E912" s="4">
        <f>IF(A912="","",SUMIFS('Логи'!$H$4:$H$3006,'Логи'!$A$4:$A$3006,A912,'Логи'!$C$4:$C$3006,14))</f>
        <v/>
      </c>
      <c r="F912" s="15" t="n"/>
      <c r="G912" s="15" t="n"/>
      <c r="H912" s="15" t="n"/>
      <c r="I912" s="15" t="n"/>
      <c r="J912" s="15" t="n"/>
      <c r="K912" s="15" t="n"/>
      <c r="L912" s="15" t="n"/>
      <c r="M912" s="15" t="n"/>
      <c r="N912" s="15" t="n"/>
      <c r="O912" s="15" t="n"/>
      <c r="P912" s="15" t="n"/>
      <c r="Q912" s="15" t="n"/>
      <c r="R912" s="15" t="n"/>
      <c r="S912" s="15" t="n"/>
      <c r="T912" s="15" t="n"/>
      <c r="U912" s="15" t="n"/>
      <c r="V912" s="15" t="n"/>
      <c r="W912" s="15" t="n"/>
      <c r="X912" s="15" t="n"/>
      <c r="Y912" s="15" t="n"/>
      <c r="Z912" s="15" t="n"/>
      <c r="AA912" s="15" t="n"/>
      <c r="AB912" s="15" t="n"/>
      <c r="AC912" s="15" t="n"/>
      <c r="AD912" s="15" t="n"/>
      <c r="AE912" s="15" t="n"/>
      <c r="AF912" s="15" t="n"/>
      <c r="AG912" s="15" t="n"/>
      <c r="AH912" s="15" t="n"/>
      <c r="AI912" s="15" t="n"/>
    </row>
    <row r="913">
      <c r="A913" s="4" t="inlineStr">
        <is>
          <t>Студент2.24</t>
        </is>
      </c>
      <c r="B913" s="4" t="inlineStr"/>
      <c r="C913" s="4">
        <f>IF(A913="","",COUNTIF(F913:AI913,"+")+COUNTIF(F913:AI913,"1"))</f>
        <v/>
      </c>
      <c r="D913" s="4">
        <f>IF(A913="","",IF(C913&gt;2*COUNTA(F$889:AI$889)/3,1,IF(C913&gt;=COUNTA(F$889:AI$889)/2,0.8,0.5)))</f>
        <v/>
      </c>
      <c r="E913" s="4">
        <f>IF(A913="","",SUMIFS('Логи'!$H$4:$H$3006,'Логи'!$A$4:$A$3006,A913,'Логи'!$C$4:$C$3006,14))</f>
        <v/>
      </c>
      <c r="F913" s="15" t="n"/>
      <c r="G913" s="15" t="n"/>
      <c r="H913" s="15" t="n"/>
      <c r="I913" s="15" t="n"/>
      <c r="J913" s="15" t="n"/>
      <c r="K913" s="15" t="n"/>
      <c r="L913" s="15" t="n"/>
      <c r="M913" s="15" t="n"/>
      <c r="N913" s="15" t="n"/>
      <c r="O913" s="15" t="n"/>
      <c r="P913" s="15" t="n"/>
      <c r="Q913" s="15" t="n"/>
      <c r="R913" s="15" t="n"/>
      <c r="S913" s="15" t="n"/>
      <c r="T913" s="15" t="n"/>
      <c r="U913" s="15" t="n"/>
      <c r="V913" s="15" t="n"/>
      <c r="W913" s="15" t="n"/>
      <c r="X913" s="15" t="n"/>
      <c r="Y913" s="15" t="n"/>
      <c r="Z913" s="15" t="n"/>
      <c r="AA913" s="15" t="n"/>
      <c r="AB913" s="15" t="n"/>
      <c r="AC913" s="15" t="n"/>
      <c r="AD913" s="15" t="n"/>
      <c r="AE913" s="15" t="n"/>
      <c r="AF913" s="15" t="n"/>
      <c r="AG913" s="15" t="n"/>
      <c r="AH913" s="15" t="n"/>
      <c r="AI913" s="15" t="n"/>
    </row>
    <row r="914">
      <c r="A914" s="4" t="inlineStr">
        <is>
          <t>Студент2.25</t>
        </is>
      </c>
      <c r="B914" s="4" t="inlineStr"/>
      <c r="C914" s="4">
        <f>IF(A914="","",COUNTIF(F914:AI914,"+")+COUNTIF(F914:AI914,"1"))</f>
        <v/>
      </c>
      <c r="D914" s="4">
        <f>IF(A914="","",IF(C914&gt;2*COUNTA(F$889:AI$889)/3,1,IF(C914&gt;=COUNTA(F$889:AI$889)/2,0.8,0.5)))</f>
        <v/>
      </c>
      <c r="E914" s="4">
        <f>IF(A914="","",SUMIFS('Логи'!$H$4:$H$3006,'Логи'!$A$4:$A$3006,A914,'Логи'!$C$4:$C$3006,14))</f>
        <v/>
      </c>
      <c r="F914" s="15" t="n"/>
      <c r="G914" s="15" t="n"/>
      <c r="H914" s="15" t="n"/>
      <c r="I914" s="15" t="n"/>
      <c r="J914" s="15" t="n"/>
      <c r="K914" s="15" t="n"/>
      <c r="L914" s="15" t="n"/>
      <c r="M914" s="15" t="n"/>
      <c r="N914" s="15" t="n"/>
      <c r="O914" s="15" t="n"/>
      <c r="P914" s="15" t="n"/>
      <c r="Q914" s="15" t="n"/>
      <c r="R914" s="15" t="n"/>
      <c r="S914" s="15" t="n"/>
      <c r="T914" s="15" t="n"/>
      <c r="U914" s="15" t="n"/>
      <c r="V914" s="15" t="n"/>
      <c r="W914" s="15" t="n"/>
      <c r="X914" s="15" t="n"/>
      <c r="Y914" s="15" t="n"/>
      <c r="Z914" s="15" t="n"/>
      <c r="AA914" s="15" t="n"/>
      <c r="AB914" s="15" t="n"/>
      <c r="AC914" s="15" t="n"/>
      <c r="AD914" s="15" t="n"/>
      <c r="AE914" s="15" t="n"/>
      <c r="AF914" s="15" t="n"/>
      <c r="AG914" s="15" t="n"/>
      <c r="AH914" s="15" t="n"/>
      <c r="AI914" s="15" t="n"/>
    </row>
    <row r="915">
      <c r="A915" s="4" t="inlineStr">
        <is>
          <t>Студент2.26</t>
        </is>
      </c>
      <c r="B915" s="4" t="inlineStr"/>
      <c r="C915" s="4">
        <f>IF(A915="","",COUNTIF(F915:AI915,"+")+COUNTIF(F915:AI915,"1"))</f>
        <v/>
      </c>
      <c r="D915" s="4">
        <f>IF(A915="","",IF(C915&gt;2*COUNTA(F$889:AI$889)/3,1,IF(C915&gt;=COUNTA(F$889:AI$889)/2,0.8,0.5)))</f>
        <v/>
      </c>
      <c r="E915" s="4">
        <f>IF(A915="","",SUMIFS('Логи'!$H$4:$H$3006,'Логи'!$A$4:$A$3006,A915,'Логи'!$C$4:$C$3006,14))</f>
        <v/>
      </c>
      <c r="F915" s="15" t="n"/>
      <c r="G915" s="15" t="n"/>
      <c r="H915" s="15" t="n"/>
      <c r="I915" s="15" t="n"/>
      <c r="J915" s="15" t="n"/>
      <c r="K915" s="15" t="n"/>
      <c r="L915" s="15" t="n"/>
      <c r="M915" s="15" t="n"/>
      <c r="N915" s="15" t="n"/>
      <c r="O915" s="15" t="n"/>
      <c r="P915" s="15" t="n"/>
      <c r="Q915" s="15" t="n"/>
      <c r="R915" s="15" t="n"/>
      <c r="S915" s="15" t="n"/>
      <c r="T915" s="15" t="n"/>
      <c r="U915" s="15" t="n"/>
      <c r="V915" s="15" t="n"/>
      <c r="W915" s="15" t="n"/>
      <c r="X915" s="15" t="n"/>
      <c r="Y915" s="15" t="n"/>
      <c r="Z915" s="15" t="n"/>
      <c r="AA915" s="15" t="n"/>
      <c r="AB915" s="15" t="n"/>
      <c r="AC915" s="15" t="n"/>
      <c r="AD915" s="15" t="n"/>
      <c r="AE915" s="15" t="n"/>
      <c r="AF915" s="15" t="n"/>
      <c r="AG915" s="15" t="n"/>
      <c r="AH915" s="15" t="n"/>
      <c r="AI915" s="15" t="n"/>
    </row>
    <row r="916">
      <c r="A916" s="4" t="inlineStr">
        <is>
          <t>Студент2.27</t>
        </is>
      </c>
      <c r="B916" s="4" t="inlineStr"/>
      <c r="C916" s="4">
        <f>IF(A916="","",COUNTIF(F916:AI916,"+")+COUNTIF(F916:AI916,"1"))</f>
        <v/>
      </c>
      <c r="D916" s="4">
        <f>IF(A916="","",IF(C916&gt;2*COUNTA(F$889:AI$889)/3,1,IF(C916&gt;=COUNTA(F$889:AI$889)/2,0.8,0.5)))</f>
        <v/>
      </c>
      <c r="E916" s="4">
        <f>IF(A916="","",SUMIFS('Логи'!$H$4:$H$3006,'Логи'!$A$4:$A$3006,A916,'Логи'!$C$4:$C$3006,14))</f>
        <v/>
      </c>
      <c r="F916" s="15" t="n"/>
      <c r="G916" s="15" t="n"/>
      <c r="H916" s="15" t="n"/>
      <c r="I916" s="15" t="n"/>
      <c r="J916" s="15" t="n"/>
      <c r="K916" s="15" t="n"/>
      <c r="L916" s="15" t="n"/>
      <c r="M916" s="15" t="n"/>
      <c r="N916" s="15" t="n"/>
      <c r="O916" s="15" t="n"/>
      <c r="P916" s="15" t="n"/>
      <c r="Q916" s="15" t="n"/>
      <c r="R916" s="15" t="n"/>
      <c r="S916" s="15" t="n"/>
      <c r="T916" s="15" t="n"/>
      <c r="U916" s="15" t="n"/>
      <c r="V916" s="15" t="n"/>
      <c r="W916" s="15" t="n"/>
      <c r="X916" s="15" t="n"/>
      <c r="Y916" s="15" t="n"/>
      <c r="Z916" s="15" t="n"/>
      <c r="AA916" s="15" t="n"/>
      <c r="AB916" s="15" t="n"/>
      <c r="AC916" s="15" t="n"/>
      <c r="AD916" s="15" t="n"/>
      <c r="AE916" s="15" t="n"/>
      <c r="AF916" s="15" t="n"/>
      <c r="AG916" s="15" t="n"/>
      <c r="AH916" s="15" t="n"/>
      <c r="AI916" s="15" t="n"/>
    </row>
    <row r="917">
      <c r="A917" s="4" t="inlineStr">
        <is>
          <t>Студент2.28</t>
        </is>
      </c>
      <c r="B917" s="4" t="inlineStr"/>
      <c r="C917" s="4">
        <f>IF(A917="","",COUNTIF(F917:AI917,"+")+COUNTIF(F917:AI917,"1"))</f>
        <v/>
      </c>
      <c r="D917" s="4">
        <f>IF(A917="","",IF(C917&gt;2*COUNTA(F$889:AI$889)/3,1,IF(C917&gt;=COUNTA(F$889:AI$889)/2,0.8,0.5)))</f>
        <v/>
      </c>
      <c r="E917" s="4">
        <f>IF(A917="","",SUMIFS('Логи'!$H$4:$H$3006,'Логи'!$A$4:$A$3006,A917,'Логи'!$C$4:$C$3006,14))</f>
        <v/>
      </c>
      <c r="F917" s="15" t="n"/>
      <c r="G917" s="15" t="n"/>
      <c r="H917" s="15" t="n"/>
      <c r="I917" s="15" t="n"/>
      <c r="J917" s="15" t="n"/>
      <c r="K917" s="15" t="n"/>
      <c r="L917" s="15" t="n"/>
      <c r="M917" s="15" t="n"/>
      <c r="N917" s="15" t="n"/>
      <c r="O917" s="15" t="n"/>
      <c r="P917" s="15" t="n"/>
      <c r="Q917" s="15" t="n"/>
      <c r="R917" s="15" t="n"/>
      <c r="S917" s="15" t="n"/>
      <c r="T917" s="15" t="n"/>
      <c r="U917" s="15" t="n"/>
      <c r="V917" s="15" t="n"/>
      <c r="W917" s="15" t="n"/>
      <c r="X917" s="15" t="n"/>
      <c r="Y917" s="15" t="n"/>
      <c r="Z917" s="15" t="n"/>
      <c r="AA917" s="15" t="n"/>
      <c r="AB917" s="15" t="n"/>
      <c r="AC917" s="15" t="n"/>
      <c r="AD917" s="15" t="n"/>
      <c r="AE917" s="15" t="n"/>
      <c r="AF917" s="15" t="n"/>
      <c r="AG917" s="15" t="n"/>
      <c r="AH917" s="15" t="n"/>
      <c r="AI917" s="15" t="n"/>
    </row>
    <row r="918">
      <c r="A918" s="4" t="inlineStr">
        <is>
          <t>Студент2.29</t>
        </is>
      </c>
      <c r="B918" s="4" t="inlineStr"/>
      <c r="C918" s="4">
        <f>IF(A918="","",COUNTIF(F918:AI918,"+")+COUNTIF(F918:AI918,"1"))</f>
        <v/>
      </c>
      <c r="D918" s="4">
        <f>IF(A918="","",IF(C918&gt;2*COUNTA(F$889:AI$889)/3,1,IF(C918&gt;=COUNTA(F$889:AI$889)/2,0.8,0.5)))</f>
        <v/>
      </c>
      <c r="E918" s="4">
        <f>IF(A918="","",SUMIFS('Логи'!$H$4:$H$3006,'Логи'!$A$4:$A$3006,A918,'Логи'!$C$4:$C$3006,14))</f>
        <v/>
      </c>
      <c r="F918" s="15" t="n"/>
      <c r="G918" s="15" t="n"/>
      <c r="H918" s="15" t="n"/>
      <c r="I918" s="15" t="n"/>
      <c r="J918" s="15" t="n"/>
      <c r="K918" s="15" t="n"/>
      <c r="L918" s="15" t="n"/>
      <c r="M918" s="15" t="n"/>
      <c r="N918" s="15" t="n"/>
      <c r="O918" s="15" t="n"/>
      <c r="P918" s="15" t="n"/>
      <c r="Q918" s="15" t="n"/>
      <c r="R918" s="15" t="n"/>
      <c r="S918" s="15" t="n"/>
      <c r="T918" s="15" t="n"/>
      <c r="U918" s="15" t="n"/>
      <c r="V918" s="15" t="n"/>
      <c r="W918" s="15" t="n"/>
      <c r="X918" s="15" t="n"/>
      <c r="Y918" s="15" t="n"/>
      <c r="Z918" s="15" t="n"/>
      <c r="AA918" s="15" t="n"/>
      <c r="AB918" s="15" t="n"/>
      <c r="AC918" s="15" t="n"/>
      <c r="AD918" s="15" t="n"/>
      <c r="AE918" s="15" t="n"/>
      <c r="AF918" s="15" t="n"/>
      <c r="AG918" s="15" t="n"/>
      <c r="AH918" s="15" t="n"/>
      <c r="AI918" s="15" t="n"/>
    </row>
    <row r="919">
      <c r="A919" s="4" t="inlineStr">
        <is>
          <t>Студент2.30</t>
        </is>
      </c>
      <c r="B919" s="4" t="inlineStr"/>
      <c r="C919" s="4">
        <f>IF(A919="","",COUNTIF(F919:AI919,"+")+COUNTIF(F919:AI919,"1"))</f>
        <v/>
      </c>
      <c r="D919" s="4">
        <f>IF(A919="","",IF(C919&gt;2*COUNTA(F$889:AI$889)/3,1,IF(C919&gt;=COUNTA(F$889:AI$889)/2,0.8,0.5)))</f>
        <v/>
      </c>
      <c r="E919" s="4">
        <f>IF(A919="","",SUMIFS('Логи'!$H$4:$H$3006,'Логи'!$A$4:$A$3006,A919,'Логи'!$C$4:$C$3006,14))</f>
        <v/>
      </c>
      <c r="F919" s="15" t="n"/>
      <c r="G919" s="15" t="n"/>
      <c r="H919" s="15" t="n"/>
      <c r="I919" s="15" t="n"/>
      <c r="J919" s="15" t="n"/>
      <c r="K919" s="15" t="n"/>
      <c r="L919" s="15" t="n"/>
      <c r="M919" s="15" t="n"/>
      <c r="N919" s="15" t="n"/>
      <c r="O919" s="15" t="n"/>
      <c r="P919" s="15" t="n"/>
      <c r="Q919" s="15" t="n"/>
      <c r="R919" s="15" t="n"/>
      <c r="S919" s="15" t="n"/>
      <c r="T919" s="15" t="n"/>
      <c r="U919" s="15" t="n"/>
      <c r="V919" s="15" t="n"/>
      <c r="W919" s="15" t="n"/>
      <c r="X919" s="15" t="n"/>
      <c r="Y919" s="15" t="n"/>
      <c r="Z919" s="15" t="n"/>
      <c r="AA919" s="15" t="n"/>
      <c r="AB919" s="15" t="n"/>
      <c r="AC919" s="15" t="n"/>
      <c r="AD919" s="15" t="n"/>
      <c r="AE919" s="15" t="n"/>
      <c r="AF919" s="15" t="n"/>
      <c r="AG919" s="15" t="n"/>
      <c r="AH919" s="15" t="n"/>
      <c r="AI919" s="15" t="n"/>
    </row>
    <row r="921">
      <c r="A921" s="16" t="inlineStr">
        <is>
          <t>Практика 14 — результаты рассказа</t>
        </is>
      </c>
    </row>
    <row r="922" ht="28" customHeight="1">
      <c r="A922" s="7" t="inlineStr">
        <is>
          <t>Имя</t>
        </is>
      </c>
      <c r="B922" s="9" t="inlineStr">
        <is>
          <t>TG</t>
        </is>
      </c>
      <c r="C922" s="10" t="inlineStr"/>
      <c r="D922" s="2" t="inlineStr"/>
      <c r="E922" s="2" t="inlineStr"/>
      <c r="F922" s="11" t="inlineStr">
        <is>
          <t>1.0</t>
        </is>
      </c>
      <c r="G922" s="11" t="inlineStr">
        <is>
          <t>2.0</t>
        </is>
      </c>
      <c r="H922" s="11" t="inlineStr">
        <is>
          <t>3.0</t>
        </is>
      </c>
      <c r="I922" s="11" t="inlineStr">
        <is>
          <t>4.0</t>
        </is>
      </c>
      <c r="J922" s="11" t="inlineStr">
        <is>
          <t>5.0</t>
        </is>
      </c>
      <c r="K922" s="11" t="inlineStr">
        <is>
          <t>6</t>
        </is>
      </c>
      <c r="L922" s="11" t="inlineStr">
        <is>
          <t>7</t>
        </is>
      </c>
      <c r="M922" s="11" t="inlineStr">
        <is>
          <t>8</t>
        </is>
      </c>
      <c r="N922" s="11" t="inlineStr">
        <is>
          <t>9</t>
        </is>
      </c>
      <c r="O922" s="11" t="inlineStr">
        <is>
          <t>10</t>
        </is>
      </c>
      <c r="P922" s="11" t="inlineStr">
        <is>
          <t>11</t>
        </is>
      </c>
      <c r="Q922" s="11" t="inlineStr">
        <is>
          <t>12</t>
        </is>
      </c>
      <c r="R922" s="11" t="inlineStr">
        <is>
          <t>13</t>
        </is>
      </c>
      <c r="S922" s="11" t="inlineStr">
        <is>
          <t>14</t>
        </is>
      </c>
      <c r="T922" s="11" t="inlineStr">
        <is>
          <t>15</t>
        </is>
      </c>
      <c r="U922" s="11" t="inlineStr">
        <is>
          <t>16</t>
        </is>
      </c>
      <c r="V922" s="11" t="inlineStr">
        <is>
          <t>17</t>
        </is>
      </c>
      <c r="W922" s="11" t="inlineStr">
        <is>
          <t>18</t>
        </is>
      </c>
      <c r="X922" s="11" t="inlineStr">
        <is>
          <t>19</t>
        </is>
      </c>
      <c r="Y922" s="11" t="inlineStr">
        <is>
          <t>20</t>
        </is>
      </c>
      <c r="Z922" s="11" t="inlineStr">
        <is>
          <t>21</t>
        </is>
      </c>
      <c r="AA922" s="11" t="inlineStr">
        <is>
          <t>22</t>
        </is>
      </c>
      <c r="AB922" s="11" t="inlineStr">
        <is>
          <t>23</t>
        </is>
      </c>
      <c r="AC922" s="11" t="inlineStr">
        <is>
          <t>24</t>
        </is>
      </c>
      <c r="AD922" s="11" t="inlineStr">
        <is>
          <t>25</t>
        </is>
      </c>
      <c r="AE922" s="11" t="inlineStr">
        <is>
          <t>26</t>
        </is>
      </c>
      <c r="AF922" s="11" t="inlineStr">
        <is>
          <t>27</t>
        </is>
      </c>
      <c r="AG922" s="11" t="inlineStr">
        <is>
          <t>28</t>
        </is>
      </c>
      <c r="AH922" s="11" t="inlineStr">
        <is>
          <t>29</t>
        </is>
      </c>
      <c r="AI922" s="11" t="inlineStr">
        <is>
          <t>30</t>
        </is>
      </c>
    </row>
    <row r="923">
      <c r="A923" s="4" t="inlineStr">
        <is>
          <t>Студент2.1</t>
        </is>
      </c>
      <c r="B923" s="4" t="inlineStr"/>
      <c r="C923" s="4" t="n"/>
      <c r="D923" s="4" t="n"/>
      <c r="E923" s="4" t="n"/>
      <c r="F923" s="15" t="n"/>
      <c r="G923" s="15" t="n"/>
      <c r="H923" s="15" t="n"/>
      <c r="I923" s="15" t="n"/>
      <c r="J923" s="15" t="n"/>
      <c r="K923" s="15" t="n"/>
      <c r="L923" s="15" t="n"/>
      <c r="M923" s="15" t="n"/>
      <c r="N923" s="15" t="n"/>
      <c r="O923" s="15" t="n"/>
      <c r="P923" s="15" t="n"/>
      <c r="Q923" s="15" t="n"/>
      <c r="R923" s="15" t="n"/>
      <c r="S923" s="15" t="n"/>
      <c r="T923" s="15" t="n"/>
      <c r="U923" s="15" t="n"/>
      <c r="V923" s="15" t="n"/>
      <c r="W923" s="15" t="n"/>
      <c r="X923" s="15" t="n"/>
      <c r="Y923" s="15" t="n"/>
      <c r="Z923" s="15" t="n"/>
      <c r="AA923" s="15" t="n"/>
      <c r="AB923" s="15" t="n"/>
      <c r="AC923" s="15" t="n"/>
      <c r="AD923" s="15" t="n"/>
      <c r="AE923" s="15" t="n"/>
      <c r="AF923" s="15" t="n"/>
      <c r="AG923" s="15" t="n"/>
      <c r="AH923" s="15" t="n"/>
      <c r="AI923" s="15" t="n"/>
    </row>
    <row r="924">
      <c r="A924" s="4" t="inlineStr">
        <is>
          <t>Студент2.2</t>
        </is>
      </c>
      <c r="B924" s="4" t="inlineStr"/>
      <c r="C924" s="4" t="n"/>
      <c r="D924" s="4" t="n"/>
      <c r="E924" s="4" t="n"/>
      <c r="F924" s="15" t="n"/>
      <c r="G924" s="15" t="n"/>
      <c r="H924" s="15" t="n"/>
      <c r="I924" s="15" t="n"/>
      <c r="J924" s="15" t="n"/>
      <c r="K924" s="15" t="n"/>
      <c r="L924" s="15" t="n"/>
      <c r="M924" s="15" t="n"/>
      <c r="N924" s="15" t="n"/>
      <c r="O924" s="15" t="n"/>
      <c r="P924" s="15" t="n"/>
      <c r="Q924" s="15" t="n"/>
      <c r="R924" s="15" t="n"/>
      <c r="S924" s="15" t="n"/>
      <c r="T924" s="15" t="n"/>
      <c r="U924" s="15" t="n"/>
      <c r="V924" s="15" t="n"/>
      <c r="W924" s="15" t="n"/>
      <c r="X924" s="15" t="n"/>
      <c r="Y924" s="15" t="n"/>
      <c r="Z924" s="15" t="n"/>
      <c r="AA924" s="15" t="n"/>
      <c r="AB924" s="15" t="n"/>
      <c r="AC924" s="15" t="n"/>
      <c r="AD924" s="15" t="n"/>
      <c r="AE924" s="15" t="n"/>
      <c r="AF924" s="15" t="n"/>
      <c r="AG924" s="15" t="n"/>
      <c r="AH924" s="15" t="n"/>
      <c r="AI924" s="15" t="n"/>
    </row>
    <row r="925">
      <c r="A925" s="4" t="inlineStr">
        <is>
          <t>Студент2.3</t>
        </is>
      </c>
      <c r="B925" s="4" t="inlineStr"/>
      <c r="C925" s="4" t="n"/>
      <c r="D925" s="4" t="n"/>
      <c r="E925" s="4" t="n"/>
      <c r="F925" s="15" t="n"/>
      <c r="G925" s="15" t="n"/>
      <c r="H925" s="15" t="n"/>
      <c r="I925" s="15" t="n"/>
      <c r="J925" s="15" t="n"/>
      <c r="K925" s="15" t="n"/>
      <c r="L925" s="15" t="n"/>
      <c r="M925" s="15" t="n"/>
      <c r="N925" s="15" t="n"/>
      <c r="O925" s="15" t="n"/>
      <c r="P925" s="15" t="n"/>
      <c r="Q925" s="15" t="n"/>
      <c r="R925" s="15" t="n"/>
      <c r="S925" s="15" t="n"/>
      <c r="T925" s="15" t="n"/>
      <c r="U925" s="15" t="n"/>
      <c r="V925" s="15" t="n"/>
      <c r="W925" s="15" t="n"/>
      <c r="X925" s="15" t="n"/>
      <c r="Y925" s="15" t="n"/>
      <c r="Z925" s="15" t="n"/>
      <c r="AA925" s="15" t="n"/>
      <c r="AB925" s="15" t="n"/>
      <c r="AC925" s="15" t="n"/>
      <c r="AD925" s="15" t="n"/>
      <c r="AE925" s="15" t="n"/>
      <c r="AF925" s="15" t="n"/>
      <c r="AG925" s="15" t="n"/>
      <c r="AH925" s="15" t="n"/>
      <c r="AI925" s="15" t="n"/>
    </row>
    <row r="926">
      <c r="A926" s="4" t="inlineStr">
        <is>
          <t>Студент2.4</t>
        </is>
      </c>
      <c r="B926" s="4" t="inlineStr"/>
      <c r="C926" s="4" t="n"/>
      <c r="D926" s="4" t="n"/>
      <c r="E926" s="4" t="n"/>
      <c r="F926" s="15" t="n"/>
      <c r="G926" s="15" t="n"/>
      <c r="H926" s="15" t="n"/>
      <c r="I926" s="15" t="n"/>
      <c r="J926" s="15" t="n"/>
      <c r="K926" s="15" t="n"/>
      <c r="L926" s="15" t="n"/>
      <c r="M926" s="15" t="n"/>
      <c r="N926" s="15" t="n"/>
      <c r="O926" s="15" t="n"/>
      <c r="P926" s="15" t="n"/>
      <c r="Q926" s="15" t="n"/>
      <c r="R926" s="15" t="n"/>
      <c r="S926" s="15" t="n"/>
      <c r="T926" s="15" t="n"/>
      <c r="U926" s="15" t="n"/>
      <c r="V926" s="15" t="n"/>
      <c r="W926" s="15" t="n"/>
      <c r="X926" s="15" t="n"/>
      <c r="Y926" s="15" t="n"/>
      <c r="Z926" s="15" t="n"/>
      <c r="AA926" s="15" t="n"/>
      <c r="AB926" s="15" t="n"/>
      <c r="AC926" s="15" t="n"/>
      <c r="AD926" s="15" t="n"/>
      <c r="AE926" s="15" t="n"/>
      <c r="AF926" s="15" t="n"/>
      <c r="AG926" s="15" t="n"/>
      <c r="AH926" s="15" t="n"/>
      <c r="AI926" s="15" t="n"/>
    </row>
    <row r="927">
      <c r="A927" s="4" t="inlineStr">
        <is>
          <t>Студент2.5</t>
        </is>
      </c>
      <c r="B927" s="4" t="inlineStr"/>
      <c r="C927" s="4" t="n"/>
      <c r="D927" s="4" t="n"/>
      <c r="E927" s="4" t="n"/>
      <c r="F927" s="15" t="n"/>
      <c r="G927" s="15" t="n"/>
      <c r="H927" s="15" t="n"/>
      <c r="I927" s="15" t="n"/>
      <c r="J927" s="15" t="n"/>
      <c r="K927" s="15" t="n"/>
      <c r="L927" s="15" t="n"/>
      <c r="M927" s="15" t="n"/>
      <c r="N927" s="15" t="n"/>
      <c r="O927" s="15" t="n"/>
      <c r="P927" s="15" t="n"/>
      <c r="Q927" s="15" t="n"/>
      <c r="R927" s="15" t="n"/>
      <c r="S927" s="15" t="n"/>
      <c r="T927" s="15" t="n"/>
      <c r="U927" s="15" t="n"/>
      <c r="V927" s="15" t="n"/>
      <c r="W927" s="15" t="n"/>
      <c r="X927" s="15" t="n"/>
      <c r="Y927" s="15" t="n"/>
      <c r="Z927" s="15" t="n"/>
      <c r="AA927" s="15" t="n"/>
      <c r="AB927" s="15" t="n"/>
      <c r="AC927" s="15" t="n"/>
      <c r="AD927" s="15" t="n"/>
      <c r="AE927" s="15" t="n"/>
      <c r="AF927" s="15" t="n"/>
      <c r="AG927" s="15" t="n"/>
      <c r="AH927" s="15" t="n"/>
      <c r="AI927" s="15" t="n"/>
    </row>
    <row r="928">
      <c r="A928" s="4" t="inlineStr">
        <is>
          <t>Студент2.6</t>
        </is>
      </c>
      <c r="B928" s="4" t="inlineStr"/>
      <c r="C928" s="4" t="n"/>
      <c r="D928" s="4" t="n"/>
      <c r="E928" s="4" t="n"/>
      <c r="F928" s="15" t="n"/>
      <c r="G928" s="15" t="n"/>
      <c r="H928" s="15" t="n"/>
      <c r="I928" s="15" t="n"/>
      <c r="J928" s="15" t="n"/>
      <c r="K928" s="15" t="n"/>
      <c r="L928" s="15" t="n"/>
      <c r="M928" s="15" t="n"/>
      <c r="N928" s="15" t="n"/>
      <c r="O928" s="15" t="n"/>
      <c r="P928" s="15" t="n"/>
      <c r="Q928" s="15" t="n"/>
      <c r="R928" s="15" t="n"/>
      <c r="S928" s="15" t="n"/>
      <c r="T928" s="15" t="n"/>
      <c r="U928" s="15" t="n"/>
      <c r="V928" s="15" t="n"/>
      <c r="W928" s="15" t="n"/>
      <c r="X928" s="15" t="n"/>
      <c r="Y928" s="15" t="n"/>
      <c r="Z928" s="15" t="n"/>
      <c r="AA928" s="15" t="n"/>
      <c r="AB928" s="15" t="n"/>
      <c r="AC928" s="15" t="n"/>
      <c r="AD928" s="15" t="n"/>
      <c r="AE928" s="15" t="n"/>
      <c r="AF928" s="15" t="n"/>
      <c r="AG928" s="15" t="n"/>
      <c r="AH928" s="15" t="n"/>
      <c r="AI928" s="15" t="n"/>
    </row>
    <row r="929">
      <c r="A929" s="4" t="inlineStr">
        <is>
          <t>Студент2.7</t>
        </is>
      </c>
      <c r="B929" s="4" t="inlineStr"/>
      <c r="C929" s="4" t="n"/>
      <c r="D929" s="4" t="n"/>
      <c r="E929" s="4" t="n"/>
      <c r="F929" s="15" t="n"/>
      <c r="G929" s="15" t="n"/>
      <c r="H929" s="15" t="n"/>
      <c r="I929" s="15" t="n"/>
      <c r="J929" s="15" t="n"/>
      <c r="K929" s="15" t="n"/>
      <c r="L929" s="15" t="n"/>
      <c r="M929" s="15" t="n"/>
      <c r="N929" s="15" t="n"/>
      <c r="O929" s="15" t="n"/>
      <c r="P929" s="15" t="n"/>
      <c r="Q929" s="15" t="n"/>
      <c r="R929" s="15" t="n"/>
      <c r="S929" s="15" t="n"/>
      <c r="T929" s="15" t="n"/>
      <c r="U929" s="15" t="n"/>
      <c r="V929" s="15" t="n"/>
      <c r="W929" s="15" t="n"/>
      <c r="X929" s="15" t="n"/>
      <c r="Y929" s="15" t="n"/>
      <c r="Z929" s="15" t="n"/>
      <c r="AA929" s="15" t="n"/>
      <c r="AB929" s="15" t="n"/>
      <c r="AC929" s="15" t="n"/>
      <c r="AD929" s="15" t="n"/>
      <c r="AE929" s="15" t="n"/>
      <c r="AF929" s="15" t="n"/>
      <c r="AG929" s="15" t="n"/>
      <c r="AH929" s="15" t="n"/>
      <c r="AI929" s="15" t="n"/>
    </row>
    <row r="930">
      <c r="A930" s="4" t="inlineStr">
        <is>
          <t>Студент2.8</t>
        </is>
      </c>
      <c r="B930" s="4" t="inlineStr"/>
      <c r="C930" s="4" t="n"/>
      <c r="D930" s="4" t="n"/>
      <c r="E930" s="4" t="n"/>
      <c r="F930" s="15" t="n"/>
      <c r="G930" s="15" t="n"/>
      <c r="H930" s="15" t="n"/>
      <c r="I930" s="15" t="n"/>
      <c r="J930" s="15" t="n"/>
      <c r="K930" s="15" t="n"/>
      <c r="L930" s="15" t="n"/>
      <c r="M930" s="15" t="n"/>
      <c r="N930" s="15" t="n"/>
      <c r="O930" s="15" t="n"/>
      <c r="P930" s="15" t="n"/>
      <c r="Q930" s="15" t="n"/>
      <c r="R930" s="15" t="n"/>
      <c r="S930" s="15" t="n"/>
      <c r="T930" s="15" t="n"/>
      <c r="U930" s="15" t="n"/>
      <c r="V930" s="15" t="n"/>
      <c r="W930" s="15" t="n"/>
      <c r="X930" s="15" t="n"/>
      <c r="Y930" s="15" t="n"/>
      <c r="Z930" s="15" t="n"/>
      <c r="AA930" s="15" t="n"/>
      <c r="AB930" s="15" t="n"/>
      <c r="AC930" s="15" t="n"/>
      <c r="AD930" s="15" t="n"/>
      <c r="AE930" s="15" t="n"/>
      <c r="AF930" s="15" t="n"/>
      <c r="AG930" s="15" t="n"/>
      <c r="AH930" s="15" t="n"/>
      <c r="AI930" s="15" t="n"/>
    </row>
    <row r="931">
      <c r="A931" s="4" t="inlineStr">
        <is>
          <t>Студент2.9</t>
        </is>
      </c>
      <c r="B931" s="4" t="inlineStr"/>
      <c r="C931" s="4" t="n"/>
      <c r="D931" s="4" t="n"/>
      <c r="E931" s="4" t="n"/>
      <c r="F931" s="15" t="n"/>
      <c r="G931" s="15" t="n"/>
      <c r="H931" s="15" t="n"/>
      <c r="I931" s="15" t="n"/>
      <c r="J931" s="15" t="n"/>
      <c r="K931" s="15" t="n"/>
      <c r="L931" s="15" t="n"/>
      <c r="M931" s="15" t="n"/>
      <c r="N931" s="15" t="n"/>
      <c r="O931" s="15" t="n"/>
      <c r="P931" s="15" t="n"/>
      <c r="Q931" s="15" t="n"/>
      <c r="R931" s="15" t="n"/>
      <c r="S931" s="15" t="n"/>
      <c r="T931" s="15" t="n"/>
      <c r="U931" s="15" t="n"/>
      <c r="V931" s="15" t="n"/>
      <c r="W931" s="15" t="n"/>
      <c r="X931" s="15" t="n"/>
      <c r="Y931" s="15" t="n"/>
      <c r="Z931" s="15" t="n"/>
      <c r="AA931" s="15" t="n"/>
      <c r="AB931" s="15" t="n"/>
      <c r="AC931" s="15" t="n"/>
      <c r="AD931" s="15" t="n"/>
      <c r="AE931" s="15" t="n"/>
      <c r="AF931" s="15" t="n"/>
      <c r="AG931" s="15" t="n"/>
      <c r="AH931" s="15" t="n"/>
      <c r="AI931" s="15" t="n"/>
    </row>
    <row r="932">
      <c r="A932" s="4" t="inlineStr">
        <is>
          <t>Студент2.10</t>
        </is>
      </c>
      <c r="B932" s="4" t="inlineStr"/>
      <c r="C932" s="4" t="n"/>
      <c r="D932" s="4" t="n"/>
      <c r="E932" s="4" t="n"/>
      <c r="F932" s="15" t="n"/>
      <c r="G932" s="15" t="n"/>
      <c r="H932" s="15" t="n"/>
      <c r="I932" s="15" t="n"/>
      <c r="J932" s="15" t="n"/>
      <c r="K932" s="15" t="n"/>
      <c r="L932" s="15" t="n"/>
      <c r="M932" s="15" t="n"/>
      <c r="N932" s="15" t="n"/>
      <c r="O932" s="15" t="n"/>
      <c r="P932" s="15" t="n"/>
      <c r="Q932" s="15" t="n"/>
      <c r="R932" s="15" t="n"/>
      <c r="S932" s="15" t="n"/>
      <c r="T932" s="15" t="n"/>
      <c r="U932" s="15" t="n"/>
      <c r="V932" s="15" t="n"/>
      <c r="W932" s="15" t="n"/>
      <c r="X932" s="15" t="n"/>
      <c r="Y932" s="15" t="n"/>
      <c r="Z932" s="15" t="n"/>
      <c r="AA932" s="15" t="n"/>
      <c r="AB932" s="15" t="n"/>
      <c r="AC932" s="15" t="n"/>
      <c r="AD932" s="15" t="n"/>
      <c r="AE932" s="15" t="n"/>
      <c r="AF932" s="15" t="n"/>
      <c r="AG932" s="15" t="n"/>
      <c r="AH932" s="15" t="n"/>
      <c r="AI932" s="15" t="n"/>
    </row>
    <row r="933">
      <c r="A933" s="4" t="inlineStr">
        <is>
          <t>Студент2.11</t>
        </is>
      </c>
      <c r="B933" s="4" t="inlineStr"/>
      <c r="C933" s="4" t="n"/>
      <c r="D933" s="4" t="n"/>
      <c r="E933" s="4" t="n"/>
      <c r="F933" s="15" t="n"/>
      <c r="G933" s="15" t="n"/>
      <c r="H933" s="15" t="n"/>
      <c r="I933" s="15" t="n"/>
      <c r="J933" s="15" t="n"/>
      <c r="K933" s="15" t="n"/>
      <c r="L933" s="15" t="n"/>
      <c r="M933" s="15" t="n"/>
      <c r="N933" s="15" t="n"/>
      <c r="O933" s="15" t="n"/>
      <c r="P933" s="15" t="n"/>
      <c r="Q933" s="15" t="n"/>
      <c r="R933" s="15" t="n"/>
      <c r="S933" s="15" t="n"/>
      <c r="T933" s="15" t="n"/>
      <c r="U933" s="15" t="n"/>
      <c r="V933" s="15" t="n"/>
      <c r="W933" s="15" t="n"/>
      <c r="X933" s="15" t="n"/>
      <c r="Y933" s="15" t="n"/>
      <c r="Z933" s="15" t="n"/>
      <c r="AA933" s="15" t="n"/>
      <c r="AB933" s="15" t="n"/>
      <c r="AC933" s="15" t="n"/>
      <c r="AD933" s="15" t="n"/>
      <c r="AE933" s="15" t="n"/>
      <c r="AF933" s="15" t="n"/>
      <c r="AG933" s="15" t="n"/>
      <c r="AH933" s="15" t="n"/>
      <c r="AI933" s="15" t="n"/>
    </row>
    <row r="934">
      <c r="A934" s="4" t="inlineStr">
        <is>
          <t>Студент2.12</t>
        </is>
      </c>
      <c r="B934" s="4" t="inlineStr"/>
      <c r="C934" s="4" t="n"/>
      <c r="D934" s="4" t="n"/>
      <c r="E934" s="4" t="n"/>
      <c r="F934" s="15" t="n"/>
      <c r="G934" s="15" t="n"/>
      <c r="H934" s="15" t="n"/>
      <c r="I934" s="15" t="n"/>
      <c r="J934" s="15" t="n"/>
      <c r="K934" s="15" t="n"/>
      <c r="L934" s="15" t="n"/>
      <c r="M934" s="15" t="n"/>
      <c r="N934" s="15" t="n"/>
      <c r="O934" s="15" t="n"/>
      <c r="P934" s="15" t="n"/>
      <c r="Q934" s="15" t="n"/>
      <c r="R934" s="15" t="n"/>
      <c r="S934" s="15" t="n"/>
      <c r="T934" s="15" t="n"/>
      <c r="U934" s="15" t="n"/>
      <c r="V934" s="15" t="n"/>
      <c r="W934" s="15" t="n"/>
      <c r="X934" s="15" t="n"/>
      <c r="Y934" s="15" t="n"/>
      <c r="Z934" s="15" t="n"/>
      <c r="AA934" s="15" t="n"/>
      <c r="AB934" s="15" t="n"/>
      <c r="AC934" s="15" t="n"/>
      <c r="AD934" s="15" t="n"/>
      <c r="AE934" s="15" t="n"/>
      <c r="AF934" s="15" t="n"/>
      <c r="AG934" s="15" t="n"/>
      <c r="AH934" s="15" t="n"/>
      <c r="AI934" s="15" t="n"/>
    </row>
    <row r="935">
      <c r="A935" s="4" t="inlineStr">
        <is>
          <t>Студент2.13</t>
        </is>
      </c>
      <c r="B935" s="4" t="inlineStr"/>
      <c r="C935" s="4" t="n"/>
      <c r="D935" s="4" t="n"/>
      <c r="E935" s="4" t="n"/>
      <c r="F935" s="15" t="n"/>
      <c r="G935" s="15" t="n"/>
      <c r="H935" s="15" t="n"/>
      <c r="I935" s="15" t="n"/>
      <c r="J935" s="15" t="n"/>
      <c r="K935" s="15" t="n"/>
      <c r="L935" s="15" t="n"/>
      <c r="M935" s="15" t="n"/>
      <c r="N935" s="15" t="n"/>
      <c r="O935" s="15" t="n"/>
      <c r="P935" s="15" t="n"/>
      <c r="Q935" s="15" t="n"/>
      <c r="R935" s="15" t="n"/>
      <c r="S935" s="15" t="n"/>
      <c r="T935" s="15" t="n"/>
      <c r="U935" s="15" t="n"/>
      <c r="V935" s="15" t="n"/>
      <c r="W935" s="15" t="n"/>
      <c r="X935" s="15" t="n"/>
      <c r="Y935" s="15" t="n"/>
      <c r="Z935" s="15" t="n"/>
      <c r="AA935" s="15" t="n"/>
      <c r="AB935" s="15" t="n"/>
      <c r="AC935" s="15" t="n"/>
      <c r="AD935" s="15" t="n"/>
      <c r="AE935" s="15" t="n"/>
      <c r="AF935" s="15" t="n"/>
      <c r="AG935" s="15" t="n"/>
      <c r="AH935" s="15" t="n"/>
      <c r="AI935" s="15" t="n"/>
    </row>
    <row r="936">
      <c r="A936" s="4" t="inlineStr">
        <is>
          <t>Студент2.14</t>
        </is>
      </c>
      <c r="B936" s="4" t="inlineStr"/>
      <c r="C936" s="4" t="n"/>
      <c r="D936" s="4" t="n"/>
      <c r="E936" s="4" t="n"/>
      <c r="F936" s="15" t="n"/>
      <c r="G936" s="15" t="n"/>
      <c r="H936" s="15" t="n"/>
      <c r="I936" s="15" t="n"/>
      <c r="J936" s="15" t="n"/>
      <c r="K936" s="15" t="n"/>
      <c r="L936" s="15" t="n"/>
      <c r="M936" s="15" t="n"/>
      <c r="N936" s="15" t="n"/>
      <c r="O936" s="15" t="n"/>
      <c r="P936" s="15" t="n"/>
      <c r="Q936" s="15" t="n"/>
      <c r="R936" s="15" t="n"/>
      <c r="S936" s="15" t="n"/>
      <c r="T936" s="15" t="n"/>
      <c r="U936" s="15" t="n"/>
      <c r="V936" s="15" t="n"/>
      <c r="W936" s="15" t="n"/>
      <c r="X936" s="15" t="n"/>
      <c r="Y936" s="15" t="n"/>
      <c r="Z936" s="15" t="n"/>
      <c r="AA936" s="15" t="n"/>
      <c r="AB936" s="15" t="n"/>
      <c r="AC936" s="15" t="n"/>
      <c r="AD936" s="15" t="n"/>
      <c r="AE936" s="15" t="n"/>
      <c r="AF936" s="15" t="n"/>
      <c r="AG936" s="15" t="n"/>
      <c r="AH936" s="15" t="n"/>
      <c r="AI936" s="15" t="n"/>
    </row>
    <row r="937">
      <c r="A937" s="4" t="inlineStr">
        <is>
          <t>Студент2.15</t>
        </is>
      </c>
      <c r="B937" s="4" t="inlineStr"/>
      <c r="C937" s="4" t="n"/>
      <c r="D937" s="4" t="n"/>
      <c r="E937" s="4" t="n"/>
      <c r="F937" s="15" t="n"/>
      <c r="G937" s="15" t="n"/>
      <c r="H937" s="15" t="n"/>
      <c r="I937" s="15" t="n"/>
      <c r="J937" s="15" t="n"/>
      <c r="K937" s="15" t="n"/>
      <c r="L937" s="15" t="n"/>
      <c r="M937" s="15" t="n"/>
      <c r="N937" s="15" t="n"/>
      <c r="O937" s="15" t="n"/>
      <c r="P937" s="15" t="n"/>
      <c r="Q937" s="15" t="n"/>
      <c r="R937" s="15" t="n"/>
      <c r="S937" s="15" t="n"/>
      <c r="T937" s="15" t="n"/>
      <c r="U937" s="15" t="n"/>
      <c r="V937" s="15" t="n"/>
      <c r="W937" s="15" t="n"/>
      <c r="X937" s="15" t="n"/>
      <c r="Y937" s="15" t="n"/>
      <c r="Z937" s="15" t="n"/>
      <c r="AA937" s="15" t="n"/>
      <c r="AB937" s="15" t="n"/>
      <c r="AC937" s="15" t="n"/>
      <c r="AD937" s="15" t="n"/>
      <c r="AE937" s="15" t="n"/>
      <c r="AF937" s="15" t="n"/>
      <c r="AG937" s="15" t="n"/>
      <c r="AH937" s="15" t="n"/>
      <c r="AI937" s="15" t="n"/>
    </row>
    <row r="938">
      <c r="A938" s="4" t="inlineStr">
        <is>
          <t>Студент2.16</t>
        </is>
      </c>
      <c r="B938" s="4" t="inlineStr"/>
      <c r="C938" s="4" t="n"/>
      <c r="D938" s="4" t="n"/>
      <c r="E938" s="4" t="n"/>
      <c r="F938" s="15" t="n"/>
      <c r="G938" s="15" t="n"/>
      <c r="H938" s="15" t="n"/>
      <c r="I938" s="15" t="n"/>
      <c r="J938" s="15" t="n"/>
      <c r="K938" s="15" t="n"/>
      <c r="L938" s="15" t="n"/>
      <c r="M938" s="15" t="n"/>
      <c r="N938" s="15" t="n"/>
      <c r="O938" s="15" t="n"/>
      <c r="P938" s="15" t="n"/>
      <c r="Q938" s="15" t="n"/>
      <c r="R938" s="15" t="n"/>
      <c r="S938" s="15" t="n"/>
      <c r="T938" s="15" t="n"/>
      <c r="U938" s="15" t="n"/>
      <c r="V938" s="15" t="n"/>
      <c r="W938" s="15" t="n"/>
      <c r="X938" s="15" t="n"/>
      <c r="Y938" s="15" t="n"/>
      <c r="Z938" s="15" t="n"/>
      <c r="AA938" s="15" t="n"/>
      <c r="AB938" s="15" t="n"/>
      <c r="AC938" s="15" t="n"/>
      <c r="AD938" s="15" t="n"/>
      <c r="AE938" s="15" t="n"/>
      <c r="AF938" s="15" t="n"/>
      <c r="AG938" s="15" t="n"/>
      <c r="AH938" s="15" t="n"/>
      <c r="AI938" s="15" t="n"/>
    </row>
    <row r="939">
      <c r="A939" s="4" t="inlineStr">
        <is>
          <t>Студент2.17</t>
        </is>
      </c>
      <c r="B939" s="4" t="inlineStr"/>
      <c r="C939" s="4" t="n"/>
      <c r="D939" s="4" t="n"/>
      <c r="E939" s="4" t="n"/>
      <c r="F939" s="15" t="n"/>
      <c r="G939" s="15" t="n"/>
      <c r="H939" s="15" t="n"/>
      <c r="I939" s="15" t="n"/>
      <c r="J939" s="15" t="n"/>
      <c r="K939" s="15" t="n"/>
      <c r="L939" s="15" t="n"/>
      <c r="M939" s="15" t="n"/>
      <c r="N939" s="15" t="n"/>
      <c r="O939" s="15" t="n"/>
      <c r="P939" s="15" t="n"/>
      <c r="Q939" s="15" t="n"/>
      <c r="R939" s="15" t="n"/>
      <c r="S939" s="15" t="n"/>
      <c r="T939" s="15" t="n"/>
      <c r="U939" s="15" t="n"/>
      <c r="V939" s="15" t="n"/>
      <c r="W939" s="15" t="n"/>
      <c r="X939" s="15" t="n"/>
      <c r="Y939" s="15" t="n"/>
      <c r="Z939" s="15" t="n"/>
      <c r="AA939" s="15" t="n"/>
      <c r="AB939" s="15" t="n"/>
      <c r="AC939" s="15" t="n"/>
      <c r="AD939" s="15" t="n"/>
      <c r="AE939" s="15" t="n"/>
      <c r="AF939" s="15" t="n"/>
      <c r="AG939" s="15" t="n"/>
      <c r="AH939" s="15" t="n"/>
      <c r="AI939" s="15" t="n"/>
    </row>
    <row r="940">
      <c r="A940" s="4" t="inlineStr">
        <is>
          <t>Студент2.18</t>
        </is>
      </c>
      <c r="B940" s="4" t="inlineStr"/>
      <c r="C940" s="4" t="n"/>
      <c r="D940" s="4" t="n"/>
      <c r="E940" s="4" t="n"/>
      <c r="F940" s="15" t="n"/>
      <c r="G940" s="15" t="n"/>
      <c r="H940" s="15" t="n"/>
      <c r="I940" s="15" t="n"/>
      <c r="J940" s="15" t="n"/>
      <c r="K940" s="15" t="n"/>
      <c r="L940" s="15" t="n"/>
      <c r="M940" s="15" t="n"/>
      <c r="N940" s="15" t="n"/>
      <c r="O940" s="15" t="n"/>
      <c r="P940" s="15" t="n"/>
      <c r="Q940" s="15" t="n"/>
      <c r="R940" s="15" t="n"/>
      <c r="S940" s="15" t="n"/>
      <c r="T940" s="15" t="n"/>
      <c r="U940" s="15" t="n"/>
      <c r="V940" s="15" t="n"/>
      <c r="W940" s="15" t="n"/>
      <c r="X940" s="15" t="n"/>
      <c r="Y940" s="15" t="n"/>
      <c r="Z940" s="15" t="n"/>
      <c r="AA940" s="15" t="n"/>
      <c r="AB940" s="15" t="n"/>
      <c r="AC940" s="15" t="n"/>
      <c r="AD940" s="15" t="n"/>
      <c r="AE940" s="15" t="n"/>
      <c r="AF940" s="15" t="n"/>
      <c r="AG940" s="15" t="n"/>
      <c r="AH940" s="15" t="n"/>
      <c r="AI940" s="15" t="n"/>
    </row>
    <row r="941">
      <c r="A941" s="4" t="inlineStr">
        <is>
          <t>Студент2.19</t>
        </is>
      </c>
      <c r="B941" s="4" t="inlineStr"/>
      <c r="C941" s="4" t="n"/>
      <c r="D941" s="4" t="n"/>
      <c r="E941" s="4" t="n"/>
      <c r="F941" s="15" t="n"/>
      <c r="G941" s="15" t="n"/>
      <c r="H941" s="15" t="n"/>
      <c r="I941" s="15" t="n"/>
      <c r="J941" s="15" t="n"/>
      <c r="K941" s="15" t="n"/>
      <c r="L941" s="15" t="n"/>
      <c r="M941" s="15" t="n"/>
      <c r="N941" s="15" t="n"/>
      <c r="O941" s="15" t="n"/>
      <c r="P941" s="15" t="n"/>
      <c r="Q941" s="15" t="n"/>
      <c r="R941" s="15" t="n"/>
      <c r="S941" s="15" t="n"/>
      <c r="T941" s="15" t="n"/>
      <c r="U941" s="15" t="n"/>
      <c r="V941" s="15" t="n"/>
      <c r="W941" s="15" t="n"/>
      <c r="X941" s="15" t="n"/>
      <c r="Y941" s="15" t="n"/>
      <c r="Z941" s="15" t="n"/>
      <c r="AA941" s="15" t="n"/>
      <c r="AB941" s="15" t="n"/>
      <c r="AC941" s="15" t="n"/>
      <c r="AD941" s="15" t="n"/>
      <c r="AE941" s="15" t="n"/>
      <c r="AF941" s="15" t="n"/>
      <c r="AG941" s="15" t="n"/>
      <c r="AH941" s="15" t="n"/>
      <c r="AI941" s="15" t="n"/>
    </row>
    <row r="942">
      <c r="A942" s="4" t="inlineStr">
        <is>
          <t>Студент2.20</t>
        </is>
      </c>
      <c r="B942" s="4" t="inlineStr"/>
      <c r="C942" s="4" t="n"/>
      <c r="D942" s="4" t="n"/>
      <c r="E942" s="4" t="n"/>
      <c r="F942" s="15" t="n"/>
      <c r="G942" s="15" t="n"/>
      <c r="H942" s="15" t="n"/>
      <c r="I942" s="15" t="n"/>
      <c r="J942" s="15" t="n"/>
      <c r="K942" s="15" t="n"/>
      <c r="L942" s="15" t="n"/>
      <c r="M942" s="15" t="n"/>
      <c r="N942" s="15" t="n"/>
      <c r="O942" s="15" t="n"/>
      <c r="P942" s="15" t="n"/>
      <c r="Q942" s="15" t="n"/>
      <c r="R942" s="15" t="n"/>
      <c r="S942" s="15" t="n"/>
      <c r="T942" s="15" t="n"/>
      <c r="U942" s="15" t="n"/>
      <c r="V942" s="15" t="n"/>
      <c r="W942" s="15" t="n"/>
      <c r="X942" s="15" t="n"/>
      <c r="Y942" s="15" t="n"/>
      <c r="Z942" s="15" t="n"/>
      <c r="AA942" s="15" t="n"/>
      <c r="AB942" s="15" t="n"/>
      <c r="AC942" s="15" t="n"/>
      <c r="AD942" s="15" t="n"/>
      <c r="AE942" s="15" t="n"/>
      <c r="AF942" s="15" t="n"/>
      <c r="AG942" s="15" t="n"/>
      <c r="AH942" s="15" t="n"/>
      <c r="AI942" s="15" t="n"/>
    </row>
    <row r="943">
      <c r="A943" s="4" t="inlineStr">
        <is>
          <t>Студент2.21</t>
        </is>
      </c>
      <c r="B943" s="4" t="inlineStr"/>
      <c r="C943" s="4" t="n"/>
      <c r="D943" s="4" t="n"/>
      <c r="E943" s="4" t="n"/>
      <c r="F943" s="15" t="n"/>
      <c r="G943" s="15" t="n"/>
      <c r="H943" s="15" t="n"/>
      <c r="I943" s="15" t="n"/>
      <c r="J943" s="15" t="n"/>
      <c r="K943" s="15" t="n"/>
      <c r="L943" s="15" t="n"/>
      <c r="M943" s="15" t="n"/>
      <c r="N943" s="15" t="n"/>
      <c r="O943" s="15" t="n"/>
      <c r="P943" s="15" t="n"/>
      <c r="Q943" s="15" t="n"/>
      <c r="R943" s="15" t="n"/>
      <c r="S943" s="15" t="n"/>
      <c r="T943" s="15" t="n"/>
      <c r="U943" s="15" t="n"/>
      <c r="V943" s="15" t="n"/>
      <c r="W943" s="15" t="n"/>
      <c r="X943" s="15" t="n"/>
      <c r="Y943" s="15" t="n"/>
      <c r="Z943" s="15" t="n"/>
      <c r="AA943" s="15" t="n"/>
      <c r="AB943" s="15" t="n"/>
      <c r="AC943" s="15" t="n"/>
      <c r="AD943" s="15" t="n"/>
      <c r="AE943" s="15" t="n"/>
      <c r="AF943" s="15" t="n"/>
      <c r="AG943" s="15" t="n"/>
      <c r="AH943" s="15" t="n"/>
      <c r="AI943" s="15" t="n"/>
    </row>
    <row r="944">
      <c r="A944" s="4" t="inlineStr">
        <is>
          <t>Студент2.22</t>
        </is>
      </c>
      <c r="B944" s="4" t="inlineStr"/>
      <c r="C944" s="4" t="n"/>
      <c r="D944" s="4" t="n"/>
      <c r="E944" s="4" t="n"/>
      <c r="F944" s="15" t="n"/>
      <c r="G944" s="15" t="n"/>
      <c r="H944" s="15" t="n"/>
      <c r="I944" s="15" t="n"/>
      <c r="J944" s="15" t="n"/>
      <c r="K944" s="15" t="n"/>
      <c r="L944" s="15" t="n"/>
      <c r="M944" s="15" t="n"/>
      <c r="N944" s="15" t="n"/>
      <c r="O944" s="15" t="n"/>
      <c r="P944" s="15" t="n"/>
      <c r="Q944" s="15" t="n"/>
      <c r="R944" s="15" t="n"/>
      <c r="S944" s="15" t="n"/>
      <c r="T944" s="15" t="n"/>
      <c r="U944" s="15" t="n"/>
      <c r="V944" s="15" t="n"/>
      <c r="W944" s="15" t="n"/>
      <c r="X944" s="15" t="n"/>
      <c r="Y944" s="15" t="n"/>
      <c r="Z944" s="15" t="n"/>
      <c r="AA944" s="15" t="n"/>
      <c r="AB944" s="15" t="n"/>
      <c r="AC944" s="15" t="n"/>
      <c r="AD944" s="15" t="n"/>
      <c r="AE944" s="15" t="n"/>
      <c r="AF944" s="15" t="n"/>
      <c r="AG944" s="15" t="n"/>
      <c r="AH944" s="15" t="n"/>
      <c r="AI944" s="15" t="n"/>
    </row>
    <row r="945">
      <c r="A945" s="4" t="inlineStr">
        <is>
          <t>Студент2.23</t>
        </is>
      </c>
      <c r="B945" s="4" t="inlineStr"/>
      <c r="C945" s="4" t="n"/>
      <c r="D945" s="4" t="n"/>
      <c r="E945" s="4" t="n"/>
      <c r="F945" s="15" t="n"/>
      <c r="G945" s="15" t="n"/>
      <c r="H945" s="15" t="n"/>
      <c r="I945" s="15" t="n"/>
      <c r="J945" s="15" t="n"/>
      <c r="K945" s="15" t="n"/>
      <c r="L945" s="15" t="n"/>
      <c r="M945" s="15" t="n"/>
      <c r="N945" s="15" t="n"/>
      <c r="O945" s="15" t="n"/>
      <c r="P945" s="15" t="n"/>
      <c r="Q945" s="15" t="n"/>
      <c r="R945" s="15" t="n"/>
      <c r="S945" s="15" t="n"/>
      <c r="T945" s="15" t="n"/>
      <c r="U945" s="15" t="n"/>
      <c r="V945" s="15" t="n"/>
      <c r="W945" s="15" t="n"/>
      <c r="X945" s="15" t="n"/>
      <c r="Y945" s="15" t="n"/>
      <c r="Z945" s="15" t="n"/>
      <c r="AA945" s="15" t="n"/>
      <c r="AB945" s="15" t="n"/>
      <c r="AC945" s="15" t="n"/>
      <c r="AD945" s="15" t="n"/>
      <c r="AE945" s="15" t="n"/>
      <c r="AF945" s="15" t="n"/>
      <c r="AG945" s="15" t="n"/>
      <c r="AH945" s="15" t="n"/>
      <c r="AI945" s="15" t="n"/>
    </row>
    <row r="946">
      <c r="A946" s="4" t="inlineStr">
        <is>
          <t>Студент2.24</t>
        </is>
      </c>
      <c r="B946" s="4" t="inlineStr"/>
      <c r="C946" s="4" t="n"/>
      <c r="D946" s="4" t="n"/>
      <c r="E946" s="4" t="n"/>
      <c r="F946" s="15" t="n"/>
      <c r="G946" s="15" t="n"/>
      <c r="H946" s="15" t="n"/>
      <c r="I946" s="15" t="n"/>
      <c r="J946" s="15" t="n"/>
      <c r="K946" s="15" t="n"/>
      <c r="L946" s="15" t="n"/>
      <c r="M946" s="15" t="n"/>
      <c r="N946" s="15" t="n"/>
      <c r="O946" s="15" t="n"/>
      <c r="P946" s="15" t="n"/>
      <c r="Q946" s="15" t="n"/>
      <c r="R946" s="15" t="n"/>
      <c r="S946" s="15" t="n"/>
      <c r="T946" s="15" t="n"/>
      <c r="U946" s="15" t="n"/>
      <c r="V946" s="15" t="n"/>
      <c r="W946" s="15" t="n"/>
      <c r="X946" s="15" t="n"/>
      <c r="Y946" s="15" t="n"/>
      <c r="Z946" s="15" t="n"/>
      <c r="AA946" s="15" t="n"/>
      <c r="AB946" s="15" t="n"/>
      <c r="AC946" s="15" t="n"/>
      <c r="AD946" s="15" t="n"/>
      <c r="AE946" s="15" t="n"/>
      <c r="AF946" s="15" t="n"/>
      <c r="AG946" s="15" t="n"/>
      <c r="AH946" s="15" t="n"/>
      <c r="AI946" s="15" t="n"/>
    </row>
    <row r="947">
      <c r="A947" s="4" t="inlineStr">
        <is>
          <t>Студент2.25</t>
        </is>
      </c>
      <c r="B947" s="4" t="inlineStr"/>
      <c r="C947" s="4" t="n"/>
      <c r="D947" s="4" t="n"/>
      <c r="E947" s="4" t="n"/>
      <c r="F947" s="15" t="n"/>
      <c r="G947" s="15" t="n"/>
      <c r="H947" s="15" t="n"/>
      <c r="I947" s="15" t="n"/>
      <c r="J947" s="15" t="n"/>
      <c r="K947" s="15" t="n"/>
      <c r="L947" s="15" t="n"/>
      <c r="M947" s="15" t="n"/>
      <c r="N947" s="15" t="n"/>
      <c r="O947" s="15" t="n"/>
      <c r="P947" s="15" t="n"/>
      <c r="Q947" s="15" t="n"/>
      <c r="R947" s="15" t="n"/>
      <c r="S947" s="15" t="n"/>
      <c r="T947" s="15" t="n"/>
      <c r="U947" s="15" t="n"/>
      <c r="V947" s="15" t="n"/>
      <c r="W947" s="15" t="n"/>
      <c r="X947" s="15" t="n"/>
      <c r="Y947" s="15" t="n"/>
      <c r="Z947" s="15" t="n"/>
      <c r="AA947" s="15" t="n"/>
      <c r="AB947" s="15" t="n"/>
      <c r="AC947" s="15" t="n"/>
      <c r="AD947" s="15" t="n"/>
      <c r="AE947" s="15" t="n"/>
      <c r="AF947" s="15" t="n"/>
      <c r="AG947" s="15" t="n"/>
      <c r="AH947" s="15" t="n"/>
      <c r="AI947" s="15" t="n"/>
    </row>
    <row r="948">
      <c r="A948" s="4" t="inlineStr">
        <is>
          <t>Студент2.26</t>
        </is>
      </c>
      <c r="B948" s="4" t="inlineStr"/>
      <c r="C948" s="4" t="n"/>
      <c r="D948" s="4" t="n"/>
      <c r="E948" s="4" t="n"/>
      <c r="F948" s="15" t="n"/>
      <c r="G948" s="15" t="n"/>
      <c r="H948" s="15" t="n"/>
      <c r="I948" s="15" t="n"/>
      <c r="J948" s="15" t="n"/>
      <c r="K948" s="15" t="n"/>
      <c r="L948" s="15" t="n"/>
      <c r="M948" s="15" t="n"/>
      <c r="N948" s="15" t="n"/>
      <c r="O948" s="15" t="n"/>
      <c r="P948" s="15" t="n"/>
      <c r="Q948" s="15" t="n"/>
      <c r="R948" s="15" t="n"/>
      <c r="S948" s="15" t="n"/>
      <c r="T948" s="15" t="n"/>
      <c r="U948" s="15" t="n"/>
      <c r="V948" s="15" t="n"/>
      <c r="W948" s="15" t="n"/>
      <c r="X948" s="15" t="n"/>
      <c r="Y948" s="15" t="n"/>
      <c r="Z948" s="15" t="n"/>
      <c r="AA948" s="15" t="n"/>
      <c r="AB948" s="15" t="n"/>
      <c r="AC948" s="15" t="n"/>
      <c r="AD948" s="15" t="n"/>
      <c r="AE948" s="15" t="n"/>
      <c r="AF948" s="15" t="n"/>
      <c r="AG948" s="15" t="n"/>
      <c r="AH948" s="15" t="n"/>
      <c r="AI948" s="15" t="n"/>
    </row>
    <row r="949">
      <c r="A949" s="4" t="inlineStr">
        <is>
          <t>Студент2.27</t>
        </is>
      </c>
      <c r="B949" s="4" t="inlineStr"/>
      <c r="C949" s="4" t="n"/>
      <c r="D949" s="4" t="n"/>
      <c r="E949" s="4" t="n"/>
      <c r="F949" s="15" t="n"/>
      <c r="G949" s="15" t="n"/>
      <c r="H949" s="15" t="n"/>
      <c r="I949" s="15" t="n"/>
      <c r="J949" s="15" t="n"/>
      <c r="K949" s="15" t="n"/>
      <c r="L949" s="15" t="n"/>
      <c r="M949" s="15" t="n"/>
      <c r="N949" s="15" t="n"/>
      <c r="O949" s="15" t="n"/>
      <c r="P949" s="15" t="n"/>
      <c r="Q949" s="15" t="n"/>
      <c r="R949" s="15" t="n"/>
      <c r="S949" s="15" t="n"/>
      <c r="T949" s="15" t="n"/>
      <c r="U949" s="15" t="n"/>
      <c r="V949" s="15" t="n"/>
      <c r="W949" s="15" t="n"/>
      <c r="X949" s="15" t="n"/>
      <c r="Y949" s="15" t="n"/>
      <c r="Z949" s="15" t="n"/>
      <c r="AA949" s="15" t="n"/>
      <c r="AB949" s="15" t="n"/>
      <c r="AC949" s="15" t="n"/>
      <c r="AD949" s="15" t="n"/>
      <c r="AE949" s="15" t="n"/>
      <c r="AF949" s="15" t="n"/>
      <c r="AG949" s="15" t="n"/>
      <c r="AH949" s="15" t="n"/>
      <c r="AI949" s="15" t="n"/>
    </row>
    <row r="950">
      <c r="A950" s="4" t="inlineStr">
        <is>
          <t>Студент2.28</t>
        </is>
      </c>
      <c r="B950" s="4" t="inlineStr"/>
      <c r="C950" s="4" t="n"/>
      <c r="D950" s="4" t="n"/>
      <c r="E950" s="4" t="n"/>
      <c r="F950" s="15" t="n"/>
      <c r="G950" s="15" t="n"/>
      <c r="H950" s="15" t="n"/>
      <c r="I950" s="15" t="n"/>
      <c r="J950" s="15" t="n"/>
      <c r="K950" s="15" t="n"/>
      <c r="L950" s="15" t="n"/>
      <c r="M950" s="15" t="n"/>
      <c r="N950" s="15" t="n"/>
      <c r="O950" s="15" t="n"/>
      <c r="P950" s="15" t="n"/>
      <c r="Q950" s="15" t="n"/>
      <c r="R950" s="15" t="n"/>
      <c r="S950" s="15" t="n"/>
      <c r="T950" s="15" t="n"/>
      <c r="U950" s="15" t="n"/>
      <c r="V950" s="15" t="n"/>
      <c r="W950" s="15" t="n"/>
      <c r="X950" s="15" t="n"/>
      <c r="Y950" s="15" t="n"/>
      <c r="Z950" s="15" t="n"/>
      <c r="AA950" s="15" t="n"/>
      <c r="AB950" s="15" t="n"/>
      <c r="AC950" s="15" t="n"/>
      <c r="AD950" s="15" t="n"/>
      <c r="AE950" s="15" t="n"/>
      <c r="AF950" s="15" t="n"/>
      <c r="AG950" s="15" t="n"/>
      <c r="AH950" s="15" t="n"/>
      <c r="AI950" s="15" t="n"/>
    </row>
    <row r="951">
      <c r="A951" s="4" t="inlineStr">
        <is>
          <t>Студент2.29</t>
        </is>
      </c>
      <c r="B951" s="4" t="inlineStr"/>
      <c r="C951" s="4" t="n"/>
      <c r="D951" s="4" t="n"/>
      <c r="E951" s="4" t="n"/>
      <c r="F951" s="15" t="n"/>
      <c r="G951" s="15" t="n"/>
      <c r="H951" s="15" t="n"/>
      <c r="I951" s="15" t="n"/>
      <c r="J951" s="15" t="n"/>
      <c r="K951" s="15" t="n"/>
      <c r="L951" s="15" t="n"/>
      <c r="M951" s="15" t="n"/>
      <c r="N951" s="15" t="n"/>
      <c r="O951" s="15" t="n"/>
      <c r="P951" s="15" t="n"/>
      <c r="Q951" s="15" t="n"/>
      <c r="R951" s="15" t="n"/>
      <c r="S951" s="15" t="n"/>
      <c r="T951" s="15" t="n"/>
      <c r="U951" s="15" t="n"/>
      <c r="V951" s="15" t="n"/>
      <c r="W951" s="15" t="n"/>
      <c r="X951" s="15" t="n"/>
      <c r="Y951" s="15" t="n"/>
      <c r="Z951" s="15" t="n"/>
      <c r="AA951" s="15" t="n"/>
      <c r="AB951" s="15" t="n"/>
      <c r="AC951" s="15" t="n"/>
      <c r="AD951" s="15" t="n"/>
      <c r="AE951" s="15" t="n"/>
      <c r="AF951" s="15" t="n"/>
      <c r="AG951" s="15" t="n"/>
      <c r="AH951" s="15" t="n"/>
      <c r="AI951" s="15" t="n"/>
    </row>
    <row r="952">
      <c r="A952" s="4" t="inlineStr">
        <is>
          <t>Студент2.30</t>
        </is>
      </c>
      <c r="B952" s="4" t="inlineStr"/>
      <c r="C952" s="4" t="n"/>
      <c r="D952" s="4" t="n"/>
      <c r="E952" s="4" t="n"/>
      <c r="F952" s="15" t="n"/>
      <c r="G952" s="15" t="n"/>
      <c r="H952" s="15" t="n"/>
      <c r="I952" s="15" t="n"/>
      <c r="J952" s="15" t="n"/>
      <c r="K952" s="15" t="n"/>
      <c r="L952" s="15" t="n"/>
      <c r="M952" s="15" t="n"/>
      <c r="N952" s="15" t="n"/>
      <c r="O952" s="15" t="n"/>
      <c r="P952" s="15" t="n"/>
      <c r="Q952" s="15" t="n"/>
      <c r="R952" s="15" t="n"/>
      <c r="S952" s="15" t="n"/>
      <c r="T952" s="15" t="n"/>
      <c r="U952" s="15" t="n"/>
      <c r="V952" s="15" t="n"/>
      <c r="W952" s="15" t="n"/>
      <c r="X952" s="15" t="n"/>
      <c r="Y952" s="15" t="n"/>
      <c r="Z952" s="15" t="n"/>
      <c r="AA952" s="15" t="n"/>
      <c r="AB952" s="15" t="n"/>
      <c r="AC952" s="15" t="n"/>
      <c r="AD952" s="15" t="n"/>
      <c r="AE952" s="15" t="n"/>
      <c r="AF952" s="15" t="n"/>
      <c r="AG952" s="15" t="n"/>
      <c r="AH952" s="15" t="n"/>
      <c r="AI952" s="15" t="n"/>
    </row>
    <row r="956">
      <c r="A956" s="13" t="inlineStr">
        <is>
          <t>Практика 15 — плюсы</t>
        </is>
      </c>
    </row>
    <row r="957" ht="28" customHeight="1">
      <c r="A957" s="7" t="inlineStr">
        <is>
          <t>Имя</t>
        </is>
      </c>
      <c r="B957" s="9" t="inlineStr">
        <is>
          <t>TG</t>
        </is>
      </c>
      <c r="C957" s="10" t="inlineStr">
        <is>
          <t>S</t>
        </is>
      </c>
      <c r="D957" s="8" t="inlineStr">
        <is>
          <t>Коэффициент</t>
        </is>
      </c>
      <c r="E957" s="14" t="inlineStr">
        <is>
          <t>D за практику</t>
        </is>
      </c>
      <c r="F957" s="11" t="inlineStr">
        <is>
          <t>1.0</t>
        </is>
      </c>
      <c r="G957" s="11" t="inlineStr">
        <is>
          <t>2.0</t>
        </is>
      </c>
      <c r="H957" s="11" t="inlineStr">
        <is>
          <t>3.0</t>
        </is>
      </c>
      <c r="I957" s="11" t="inlineStr">
        <is>
          <t>4.0</t>
        </is>
      </c>
      <c r="J957" s="11" t="inlineStr">
        <is>
          <t>5.0</t>
        </is>
      </c>
      <c r="K957" s="11" t="inlineStr">
        <is>
          <t>6</t>
        </is>
      </c>
      <c r="L957" s="11" t="inlineStr">
        <is>
          <t>7</t>
        </is>
      </c>
      <c r="M957" s="11" t="inlineStr">
        <is>
          <t>8</t>
        </is>
      </c>
      <c r="N957" s="11" t="inlineStr">
        <is>
          <t>9</t>
        </is>
      </c>
      <c r="O957" s="11" t="inlineStr">
        <is>
          <t>10</t>
        </is>
      </c>
      <c r="P957" s="11" t="inlineStr">
        <is>
          <t>11</t>
        </is>
      </c>
      <c r="Q957" s="11" t="inlineStr">
        <is>
          <t>12</t>
        </is>
      </c>
      <c r="R957" s="11" t="inlineStr">
        <is>
          <t>13</t>
        </is>
      </c>
      <c r="S957" s="11" t="inlineStr">
        <is>
          <t>14</t>
        </is>
      </c>
      <c r="T957" s="11" t="inlineStr">
        <is>
          <t>15</t>
        </is>
      </c>
      <c r="U957" s="11" t="inlineStr">
        <is>
          <t>16</t>
        </is>
      </c>
      <c r="V957" s="11" t="inlineStr">
        <is>
          <t>17</t>
        </is>
      </c>
      <c r="W957" s="11" t="inlineStr">
        <is>
          <t>18</t>
        </is>
      </c>
      <c r="X957" s="11" t="inlineStr">
        <is>
          <t>19</t>
        </is>
      </c>
      <c r="Y957" s="11" t="inlineStr">
        <is>
          <t>20</t>
        </is>
      </c>
      <c r="Z957" s="11" t="inlineStr">
        <is>
          <t>21</t>
        </is>
      </c>
      <c r="AA957" s="11" t="inlineStr">
        <is>
          <t>22</t>
        </is>
      </c>
      <c r="AB957" s="11" t="inlineStr">
        <is>
          <t>23</t>
        </is>
      </c>
      <c r="AC957" s="11" t="inlineStr">
        <is>
          <t>24</t>
        </is>
      </c>
      <c r="AD957" s="11" t="inlineStr">
        <is>
          <t>25</t>
        </is>
      </c>
      <c r="AE957" s="11" t="inlineStr">
        <is>
          <t>26</t>
        </is>
      </c>
      <c r="AF957" s="11" t="inlineStr">
        <is>
          <t>27</t>
        </is>
      </c>
      <c r="AG957" s="11" t="inlineStr">
        <is>
          <t>28</t>
        </is>
      </c>
      <c r="AH957" s="11" t="inlineStr">
        <is>
          <t>29</t>
        </is>
      </c>
      <c r="AI957" s="11" t="inlineStr">
        <is>
          <t>30</t>
        </is>
      </c>
    </row>
    <row r="958">
      <c r="A958" s="4" t="inlineStr">
        <is>
          <t>Студент2.1</t>
        </is>
      </c>
      <c r="B958" s="4" t="inlineStr"/>
      <c r="C958" s="4">
        <f>IF(A958="","",COUNTIF(F958:AI958,"+")+COUNTIF(F958:AI958,"1"))</f>
        <v/>
      </c>
      <c r="D958" s="4">
        <f>IF(A958="","",IF(C958&gt;2*COUNTA(F$957:AI$957)/3,1,IF(C958&gt;=COUNTA(F$957:AI$957)/2,0.8,0.5)))</f>
        <v/>
      </c>
      <c r="E958" s="4">
        <f>IF(A958="","",SUMIFS('Логи'!$H$4:$H$3006,'Логи'!$A$4:$A$3006,A958,'Логи'!$C$4:$C$3006,15))</f>
        <v/>
      </c>
      <c r="F958" s="15" t="n"/>
      <c r="G958" s="15" t="n"/>
      <c r="H958" s="15" t="n"/>
      <c r="I958" s="15" t="n"/>
      <c r="J958" s="15" t="n"/>
      <c r="K958" s="15" t="n"/>
      <c r="L958" s="15" t="n"/>
      <c r="M958" s="15" t="n"/>
      <c r="N958" s="15" t="n"/>
      <c r="O958" s="15" t="n"/>
      <c r="P958" s="15" t="n"/>
      <c r="Q958" s="15" t="n"/>
      <c r="R958" s="15" t="n"/>
      <c r="S958" s="15" t="n"/>
      <c r="T958" s="15" t="n"/>
      <c r="U958" s="15" t="n"/>
      <c r="V958" s="15" t="n"/>
      <c r="W958" s="15" t="n"/>
      <c r="X958" s="15" t="n"/>
      <c r="Y958" s="15" t="n"/>
      <c r="Z958" s="15" t="n"/>
      <c r="AA958" s="15" t="n"/>
      <c r="AB958" s="15" t="n"/>
      <c r="AC958" s="15" t="n"/>
      <c r="AD958" s="15" t="n"/>
      <c r="AE958" s="15" t="n"/>
      <c r="AF958" s="15" t="n"/>
      <c r="AG958" s="15" t="n"/>
      <c r="AH958" s="15" t="n"/>
      <c r="AI958" s="15" t="n"/>
    </row>
    <row r="959">
      <c r="A959" s="4" t="inlineStr">
        <is>
          <t>Студент2.2</t>
        </is>
      </c>
      <c r="B959" s="4" t="inlineStr"/>
      <c r="C959" s="4">
        <f>IF(A959="","",COUNTIF(F959:AI959,"+")+COUNTIF(F959:AI959,"1"))</f>
        <v/>
      </c>
      <c r="D959" s="4">
        <f>IF(A959="","",IF(C959&gt;2*COUNTA(F$957:AI$957)/3,1,IF(C959&gt;=COUNTA(F$957:AI$957)/2,0.8,0.5)))</f>
        <v/>
      </c>
      <c r="E959" s="4">
        <f>IF(A959="","",SUMIFS('Логи'!$H$4:$H$3006,'Логи'!$A$4:$A$3006,A959,'Логи'!$C$4:$C$3006,15))</f>
        <v/>
      </c>
      <c r="F959" s="15" t="n"/>
      <c r="G959" s="15" t="n"/>
      <c r="H959" s="15" t="n"/>
      <c r="I959" s="15" t="n"/>
      <c r="J959" s="15" t="n"/>
      <c r="K959" s="15" t="n"/>
      <c r="L959" s="15" t="n"/>
      <c r="M959" s="15" t="n"/>
      <c r="N959" s="15" t="n"/>
      <c r="O959" s="15" t="n"/>
      <c r="P959" s="15" t="n"/>
      <c r="Q959" s="15" t="n"/>
      <c r="R959" s="15" t="n"/>
      <c r="S959" s="15" t="n"/>
      <c r="T959" s="15" t="n"/>
      <c r="U959" s="15" t="n"/>
      <c r="V959" s="15" t="n"/>
      <c r="W959" s="15" t="n"/>
      <c r="X959" s="15" t="n"/>
      <c r="Y959" s="15" t="n"/>
      <c r="Z959" s="15" t="n"/>
      <c r="AA959" s="15" t="n"/>
      <c r="AB959" s="15" t="n"/>
      <c r="AC959" s="15" t="n"/>
      <c r="AD959" s="15" t="n"/>
      <c r="AE959" s="15" t="n"/>
      <c r="AF959" s="15" t="n"/>
      <c r="AG959" s="15" t="n"/>
      <c r="AH959" s="15" t="n"/>
      <c r="AI959" s="15" t="n"/>
    </row>
    <row r="960">
      <c r="A960" s="4" t="inlineStr">
        <is>
          <t>Студент2.3</t>
        </is>
      </c>
      <c r="B960" s="4" t="inlineStr"/>
      <c r="C960" s="4">
        <f>IF(A960="","",COUNTIF(F960:AI960,"+")+COUNTIF(F960:AI960,"1"))</f>
        <v/>
      </c>
      <c r="D960" s="4">
        <f>IF(A960="","",IF(C960&gt;2*COUNTA(F$957:AI$957)/3,1,IF(C960&gt;=COUNTA(F$957:AI$957)/2,0.8,0.5)))</f>
        <v/>
      </c>
      <c r="E960" s="4">
        <f>IF(A960="","",SUMIFS('Логи'!$H$4:$H$3006,'Логи'!$A$4:$A$3006,A960,'Логи'!$C$4:$C$3006,15))</f>
        <v/>
      </c>
      <c r="F960" s="15" t="n"/>
      <c r="G960" s="15" t="n"/>
      <c r="H960" s="15" t="n"/>
      <c r="I960" s="15" t="n"/>
      <c r="J960" s="15" t="n"/>
      <c r="K960" s="15" t="n"/>
      <c r="L960" s="15" t="n"/>
      <c r="M960" s="15" t="n"/>
      <c r="N960" s="15" t="n"/>
      <c r="O960" s="15" t="n"/>
      <c r="P960" s="15" t="n"/>
      <c r="Q960" s="15" t="n"/>
      <c r="R960" s="15" t="n"/>
      <c r="S960" s="15" t="n"/>
      <c r="T960" s="15" t="n"/>
      <c r="U960" s="15" t="n"/>
      <c r="V960" s="15" t="n"/>
      <c r="W960" s="15" t="n"/>
      <c r="X960" s="15" t="n"/>
      <c r="Y960" s="15" t="n"/>
      <c r="Z960" s="15" t="n"/>
      <c r="AA960" s="15" t="n"/>
      <c r="AB960" s="15" t="n"/>
      <c r="AC960" s="15" t="n"/>
      <c r="AD960" s="15" t="n"/>
      <c r="AE960" s="15" t="n"/>
      <c r="AF960" s="15" t="n"/>
      <c r="AG960" s="15" t="n"/>
      <c r="AH960" s="15" t="n"/>
      <c r="AI960" s="15" t="n"/>
    </row>
    <row r="961">
      <c r="A961" s="4" t="inlineStr">
        <is>
          <t>Студент2.4</t>
        </is>
      </c>
      <c r="B961" s="4" t="inlineStr"/>
      <c r="C961" s="4">
        <f>IF(A961="","",COUNTIF(F961:AI961,"+")+COUNTIF(F961:AI961,"1"))</f>
        <v/>
      </c>
      <c r="D961" s="4">
        <f>IF(A961="","",IF(C961&gt;2*COUNTA(F$957:AI$957)/3,1,IF(C961&gt;=COUNTA(F$957:AI$957)/2,0.8,0.5)))</f>
        <v/>
      </c>
      <c r="E961" s="4">
        <f>IF(A961="","",SUMIFS('Логи'!$H$4:$H$3006,'Логи'!$A$4:$A$3006,A961,'Логи'!$C$4:$C$3006,15))</f>
        <v/>
      </c>
      <c r="F961" s="15" t="n"/>
      <c r="G961" s="15" t="n"/>
      <c r="H961" s="15" t="n"/>
      <c r="I961" s="15" t="n"/>
      <c r="J961" s="15" t="n"/>
      <c r="K961" s="15" t="n"/>
      <c r="L961" s="15" t="n"/>
      <c r="M961" s="15" t="n"/>
      <c r="N961" s="15" t="n"/>
      <c r="O961" s="15" t="n"/>
      <c r="P961" s="15" t="n"/>
      <c r="Q961" s="15" t="n"/>
      <c r="R961" s="15" t="n"/>
      <c r="S961" s="15" t="n"/>
      <c r="T961" s="15" t="n"/>
      <c r="U961" s="15" t="n"/>
      <c r="V961" s="15" t="n"/>
      <c r="W961" s="15" t="n"/>
      <c r="X961" s="15" t="n"/>
      <c r="Y961" s="15" t="n"/>
      <c r="Z961" s="15" t="n"/>
      <c r="AA961" s="15" t="n"/>
      <c r="AB961" s="15" t="n"/>
      <c r="AC961" s="15" t="n"/>
      <c r="AD961" s="15" t="n"/>
      <c r="AE961" s="15" t="n"/>
      <c r="AF961" s="15" t="n"/>
      <c r="AG961" s="15" t="n"/>
      <c r="AH961" s="15" t="n"/>
      <c r="AI961" s="15" t="n"/>
    </row>
    <row r="962">
      <c r="A962" s="4" t="inlineStr">
        <is>
          <t>Студент2.5</t>
        </is>
      </c>
      <c r="B962" s="4" t="inlineStr"/>
      <c r="C962" s="4">
        <f>IF(A962="","",COUNTIF(F962:AI962,"+")+COUNTIF(F962:AI962,"1"))</f>
        <v/>
      </c>
      <c r="D962" s="4">
        <f>IF(A962="","",IF(C962&gt;2*COUNTA(F$957:AI$957)/3,1,IF(C962&gt;=COUNTA(F$957:AI$957)/2,0.8,0.5)))</f>
        <v/>
      </c>
      <c r="E962" s="4">
        <f>IF(A962="","",SUMIFS('Логи'!$H$4:$H$3006,'Логи'!$A$4:$A$3006,A962,'Логи'!$C$4:$C$3006,15))</f>
        <v/>
      </c>
      <c r="F962" s="15" t="n"/>
      <c r="G962" s="15" t="n"/>
      <c r="H962" s="15" t="n"/>
      <c r="I962" s="15" t="n"/>
      <c r="J962" s="15" t="n"/>
      <c r="K962" s="15" t="n"/>
      <c r="L962" s="15" t="n"/>
      <c r="M962" s="15" t="n"/>
      <c r="N962" s="15" t="n"/>
      <c r="O962" s="15" t="n"/>
      <c r="P962" s="15" t="n"/>
      <c r="Q962" s="15" t="n"/>
      <c r="R962" s="15" t="n"/>
      <c r="S962" s="15" t="n"/>
      <c r="T962" s="15" t="n"/>
      <c r="U962" s="15" t="n"/>
      <c r="V962" s="15" t="n"/>
      <c r="W962" s="15" t="n"/>
      <c r="X962" s="15" t="n"/>
      <c r="Y962" s="15" t="n"/>
      <c r="Z962" s="15" t="n"/>
      <c r="AA962" s="15" t="n"/>
      <c r="AB962" s="15" t="n"/>
      <c r="AC962" s="15" t="n"/>
      <c r="AD962" s="15" t="n"/>
      <c r="AE962" s="15" t="n"/>
      <c r="AF962" s="15" t="n"/>
      <c r="AG962" s="15" t="n"/>
      <c r="AH962" s="15" t="n"/>
      <c r="AI962" s="15" t="n"/>
    </row>
    <row r="963">
      <c r="A963" s="4" t="inlineStr">
        <is>
          <t>Студент2.6</t>
        </is>
      </c>
      <c r="B963" s="4" t="inlineStr"/>
      <c r="C963" s="4">
        <f>IF(A963="","",COUNTIF(F963:AI963,"+")+COUNTIF(F963:AI963,"1"))</f>
        <v/>
      </c>
      <c r="D963" s="4">
        <f>IF(A963="","",IF(C963&gt;2*COUNTA(F$957:AI$957)/3,1,IF(C963&gt;=COUNTA(F$957:AI$957)/2,0.8,0.5)))</f>
        <v/>
      </c>
      <c r="E963" s="4">
        <f>IF(A963="","",SUMIFS('Логи'!$H$4:$H$3006,'Логи'!$A$4:$A$3006,A963,'Логи'!$C$4:$C$3006,15))</f>
        <v/>
      </c>
      <c r="F963" s="15" t="n"/>
      <c r="G963" s="15" t="n"/>
      <c r="H963" s="15" t="n"/>
      <c r="I963" s="15" t="n"/>
      <c r="J963" s="15" t="n"/>
      <c r="K963" s="15" t="n"/>
      <c r="L963" s="15" t="n"/>
      <c r="M963" s="15" t="n"/>
      <c r="N963" s="15" t="n"/>
      <c r="O963" s="15" t="n"/>
      <c r="P963" s="15" t="n"/>
      <c r="Q963" s="15" t="n"/>
      <c r="R963" s="15" t="n"/>
      <c r="S963" s="15" t="n"/>
      <c r="T963" s="15" t="n"/>
      <c r="U963" s="15" t="n"/>
      <c r="V963" s="15" t="n"/>
      <c r="W963" s="15" t="n"/>
      <c r="X963" s="15" t="n"/>
      <c r="Y963" s="15" t="n"/>
      <c r="Z963" s="15" t="n"/>
      <c r="AA963" s="15" t="n"/>
      <c r="AB963" s="15" t="n"/>
      <c r="AC963" s="15" t="n"/>
      <c r="AD963" s="15" t="n"/>
      <c r="AE963" s="15" t="n"/>
      <c r="AF963" s="15" t="n"/>
      <c r="AG963" s="15" t="n"/>
      <c r="AH963" s="15" t="n"/>
      <c r="AI963" s="15" t="n"/>
    </row>
    <row r="964">
      <c r="A964" s="4" t="inlineStr">
        <is>
          <t>Студент2.7</t>
        </is>
      </c>
      <c r="B964" s="4" t="inlineStr"/>
      <c r="C964" s="4">
        <f>IF(A964="","",COUNTIF(F964:AI964,"+")+COUNTIF(F964:AI964,"1"))</f>
        <v/>
      </c>
      <c r="D964" s="4">
        <f>IF(A964="","",IF(C964&gt;2*COUNTA(F$957:AI$957)/3,1,IF(C964&gt;=COUNTA(F$957:AI$957)/2,0.8,0.5)))</f>
        <v/>
      </c>
      <c r="E964" s="4">
        <f>IF(A964="","",SUMIFS('Логи'!$H$4:$H$3006,'Логи'!$A$4:$A$3006,A964,'Логи'!$C$4:$C$3006,15))</f>
        <v/>
      </c>
      <c r="F964" s="15" t="n"/>
      <c r="G964" s="15" t="n"/>
      <c r="H964" s="15" t="n"/>
      <c r="I964" s="15" t="n"/>
      <c r="J964" s="15" t="n"/>
      <c r="K964" s="15" t="n"/>
      <c r="L964" s="15" t="n"/>
      <c r="M964" s="15" t="n"/>
      <c r="N964" s="15" t="n"/>
      <c r="O964" s="15" t="n"/>
      <c r="P964" s="15" t="n"/>
      <c r="Q964" s="15" t="n"/>
      <c r="R964" s="15" t="n"/>
      <c r="S964" s="15" t="n"/>
      <c r="T964" s="15" t="n"/>
      <c r="U964" s="15" t="n"/>
      <c r="V964" s="15" t="n"/>
      <c r="W964" s="15" t="n"/>
      <c r="X964" s="15" t="n"/>
      <c r="Y964" s="15" t="n"/>
      <c r="Z964" s="15" t="n"/>
      <c r="AA964" s="15" t="n"/>
      <c r="AB964" s="15" t="n"/>
      <c r="AC964" s="15" t="n"/>
      <c r="AD964" s="15" t="n"/>
      <c r="AE964" s="15" t="n"/>
      <c r="AF964" s="15" t="n"/>
      <c r="AG964" s="15" t="n"/>
      <c r="AH964" s="15" t="n"/>
      <c r="AI964" s="15" t="n"/>
    </row>
    <row r="965">
      <c r="A965" s="4" t="inlineStr">
        <is>
          <t>Студент2.8</t>
        </is>
      </c>
      <c r="B965" s="4" t="inlineStr"/>
      <c r="C965" s="4">
        <f>IF(A965="","",COUNTIF(F965:AI965,"+")+COUNTIF(F965:AI965,"1"))</f>
        <v/>
      </c>
      <c r="D965" s="4">
        <f>IF(A965="","",IF(C965&gt;2*COUNTA(F$957:AI$957)/3,1,IF(C965&gt;=COUNTA(F$957:AI$957)/2,0.8,0.5)))</f>
        <v/>
      </c>
      <c r="E965" s="4">
        <f>IF(A965="","",SUMIFS('Логи'!$H$4:$H$3006,'Логи'!$A$4:$A$3006,A965,'Логи'!$C$4:$C$3006,15))</f>
        <v/>
      </c>
      <c r="F965" s="15" t="n"/>
      <c r="G965" s="15" t="n"/>
      <c r="H965" s="15" t="n"/>
      <c r="I965" s="15" t="n"/>
      <c r="J965" s="15" t="n"/>
      <c r="K965" s="15" t="n"/>
      <c r="L965" s="15" t="n"/>
      <c r="M965" s="15" t="n"/>
      <c r="N965" s="15" t="n"/>
      <c r="O965" s="15" t="n"/>
      <c r="P965" s="15" t="n"/>
      <c r="Q965" s="15" t="n"/>
      <c r="R965" s="15" t="n"/>
      <c r="S965" s="15" t="n"/>
      <c r="T965" s="15" t="n"/>
      <c r="U965" s="15" t="n"/>
      <c r="V965" s="15" t="n"/>
      <c r="W965" s="15" t="n"/>
      <c r="X965" s="15" t="n"/>
      <c r="Y965" s="15" t="n"/>
      <c r="Z965" s="15" t="n"/>
      <c r="AA965" s="15" t="n"/>
      <c r="AB965" s="15" t="n"/>
      <c r="AC965" s="15" t="n"/>
      <c r="AD965" s="15" t="n"/>
      <c r="AE965" s="15" t="n"/>
      <c r="AF965" s="15" t="n"/>
      <c r="AG965" s="15" t="n"/>
      <c r="AH965" s="15" t="n"/>
      <c r="AI965" s="15" t="n"/>
    </row>
    <row r="966">
      <c r="A966" s="4" t="inlineStr">
        <is>
          <t>Студент2.9</t>
        </is>
      </c>
      <c r="B966" s="4" t="inlineStr"/>
      <c r="C966" s="4">
        <f>IF(A966="","",COUNTIF(F966:AI966,"+")+COUNTIF(F966:AI966,"1"))</f>
        <v/>
      </c>
      <c r="D966" s="4">
        <f>IF(A966="","",IF(C966&gt;2*COUNTA(F$957:AI$957)/3,1,IF(C966&gt;=COUNTA(F$957:AI$957)/2,0.8,0.5)))</f>
        <v/>
      </c>
      <c r="E966" s="4">
        <f>IF(A966="","",SUMIFS('Логи'!$H$4:$H$3006,'Логи'!$A$4:$A$3006,A966,'Логи'!$C$4:$C$3006,15))</f>
        <v/>
      </c>
      <c r="F966" s="15" t="n"/>
      <c r="G966" s="15" t="n"/>
      <c r="H966" s="15" t="n"/>
      <c r="I966" s="15" t="n"/>
      <c r="J966" s="15" t="n"/>
      <c r="K966" s="15" t="n"/>
      <c r="L966" s="15" t="n"/>
      <c r="M966" s="15" t="n"/>
      <c r="N966" s="15" t="n"/>
      <c r="O966" s="15" t="n"/>
      <c r="P966" s="15" t="n"/>
      <c r="Q966" s="15" t="n"/>
      <c r="R966" s="15" t="n"/>
      <c r="S966" s="15" t="n"/>
      <c r="T966" s="15" t="n"/>
      <c r="U966" s="15" t="n"/>
      <c r="V966" s="15" t="n"/>
      <c r="W966" s="15" t="n"/>
      <c r="X966" s="15" t="n"/>
      <c r="Y966" s="15" t="n"/>
      <c r="Z966" s="15" t="n"/>
      <c r="AA966" s="15" t="n"/>
      <c r="AB966" s="15" t="n"/>
      <c r="AC966" s="15" t="n"/>
      <c r="AD966" s="15" t="n"/>
      <c r="AE966" s="15" t="n"/>
      <c r="AF966" s="15" t="n"/>
      <c r="AG966" s="15" t="n"/>
      <c r="AH966" s="15" t="n"/>
      <c r="AI966" s="15" t="n"/>
    </row>
    <row r="967">
      <c r="A967" s="4" t="inlineStr">
        <is>
          <t>Студент2.10</t>
        </is>
      </c>
      <c r="B967" s="4" t="inlineStr"/>
      <c r="C967" s="4">
        <f>IF(A967="","",COUNTIF(F967:AI967,"+")+COUNTIF(F967:AI967,"1"))</f>
        <v/>
      </c>
      <c r="D967" s="4">
        <f>IF(A967="","",IF(C967&gt;2*COUNTA(F$957:AI$957)/3,1,IF(C967&gt;=COUNTA(F$957:AI$957)/2,0.8,0.5)))</f>
        <v/>
      </c>
      <c r="E967" s="4">
        <f>IF(A967="","",SUMIFS('Логи'!$H$4:$H$3006,'Логи'!$A$4:$A$3006,A967,'Логи'!$C$4:$C$3006,15))</f>
        <v/>
      </c>
      <c r="F967" s="15" t="n"/>
      <c r="G967" s="15" t="n"/>
      <c r="H967" s="15" t="n"/>
      <c r="I967" s="15" t="n"/>
      <c r="J967" s="15" t="n"/>
      <c r="K967" s="15" t="n"/>
      <c r="L967" s="15" t="n"/>
      <c r="M967" s="15" t="n"/>
      <c r="N967" s="15" t="n"/>
      <c r="O967" s="15" t="n"/>
      <c r="P967" s="15" t="n"/>
      <c r="Q967" s="15" t="n"/>
      <c r="R967" s="15" t="n"/>
      <c r="S967" s="15" t="n"/>
      <c r="T967" s="15" t="n"/>
      <c r="U967" s="15" t="n"/>
      <c r="V967" s="15" t="n"/>
      <c r="W967" s="15" t="n"/>
      <c r="X967" s="15" t="n"/>
      <c r="Y967" s="15" t="n"/>
      <c r="Z967" s="15" t="n"/>
      <c r="AA967" s="15" t="n"/>
      <c r="AB967" s="15" t="n"/>
      <c r="AC967" s="15" t="n"/>
      <c r="AD967" s="15" t="n"/>
      <c r="AE967" s="15" t="n"/>
      <c r="AF967" s="15" t="n"/>
      <c r="AG967" s="15" t="n"/>
      <c r="AH967" s="15" t="n"/>
      <c r="AI967" s="15" t="n"/>
    </row>
    <row r="968">
      <c r="A968" s="4" t="inlineStr">
        <is>
          <t>Студент2.11</t>
        </is>
      </c>
      <c r="B968" s="4" t="inlineStr"/>
      <c r="C968" s="4">
        <f>IF(A968="","",COUNTIF(F968:AI968,"+")+COUNTIF(F968:AI968,"1"))</f>
        <v/>
      </c>
      <c r="D968" s="4">
        <f>IF(A968="","",IF(C968&gt;2*COUNTA(F$957:AI$957)/3,1,IF(C968&gt;=COUNTA(F$957:AI$957)/2,0.8,0.5)))</f>
        <v/>
      </c>
      <c r="E968" s="4">
        <f>IF(A968="","",SUMIFS('Логи'!$H$4:$H$3006,'Логи'!$A$4:$A$3006,A968,'Логи'!$C$4:$C$3006,15))</f>
        <v/>
      </c>
      <c r="F968" s="15" t="n"/>
      <c r="G968" s="15" t="n"/>
      <c r="H968" s="15" t="n"/>
      <c r="I968" s="15" t="n"/>
      <c r="J968" s="15" t="n"/>
      <c r="K968" s="15" t="n"/>
      <c r="L968" s="15" t="n"/>
      <c r="M968" s="15" t="n"/>
      <c r="N968" s="15" t="n"/>
      <c r="O968" s="15" t="n"/>
      <c r="P968" s="15" t="n"/>
      <c r="Q968" s="15" t="n"/>
      <c r="R968" s="15" t="n"/>
      <c r="S968" s="15" t="n"/>
      <c r="T968" s="15" t="n"/>
      <c r="U968" s="15" t="n"/>
      <c r="V968" s="15" t="n"/>
      <c r="W968" s="15" t="n"/>
      <c r="X968" s="15" t="n"/>
      <c r="Y968" s="15" t="n"/>
      <c r="Z968" s="15" t="n"/>
      <c r="AA968" s="15" t="n"/>
      <c r="AB968" s="15" t="n"/>
      <c r="AC968" s="15" t="n"/>
      <c r="AD968" s="15" t="n"/>
      <c r="AE968" s="15" t="n"/>
      <c r="AF968" s="15" t="n"/>
      <c r="AG968" s="15" t="n"/>
      <c r="AH968" s="15" t="n"/>
      <c r="AI968" s="15" t="n"/>
    </row>
    <row r="969">
      <c r="A969" s="4" t="inlineStr">
        <is>
          <t>Студент2.12</t>
        </is>
      </c>
      <c r="B969" s="4" t="inlineStr"/>
      <c r="C969" s="4">
        <f>IF(A969="","",COUNTIF(F969:AI969,"+")+COUNTIF(F969:AI969,"1"))</f>
        <v/>
      </c>
      <c r="D969" s="4">
        <f>IF(A969="","",IF(C969&gt;2*COUNTA(F$957:AI$957)/3,1,IF(C969&gt;=COUNTA(F$957:AI$957)/2,0.8,0.5)))</f>
        <v/>
      </c>
      <c r="E969" s="4">
        <f>IF(A969="","",SUMIFS('Логи'!$H$4:$H$3006,'Логи'!$A$4:$A$3006,A969,'Логи'!$C$4:$C$3006,15))</f>
        <v/>
      </c>
      <c r="F969" s="15" t="n"/>
      <c r="G969" s="15" t="n"/>
      <c r="H969" s="15" t="n"/>
      <c r="I969" s="15" t="n"/>
      <c r="J969" s="15" t="n"/>
      <c r="K969" s="15" t="n"/>
      <c r="L969" s="15" t="n"/>
      <c r="M969" s="15" t="n"/>
      <c r="N969" s="15" t="n"/>
      <c r="O969" s="15" t="n"/>
      <c r="P969" s="15" t="n"/>
      <c r="Q969" s="15" t="n"/>
      <c r="R969" s="15" t="n"/>
      <c r="S969" s="15" t="n"/>
      <c r="T969" s="15" t="n"/>
      <c r="U969" s="15" t="n"/>
      <c r="V969" s="15" t="n"/>
      <c r="W969" s="15" t="n"/>
      <c r="X969" s="15" t="n"/>
      <c r="Y969" s="15" t="n"/>
      <c r="Z969" s="15" t="n"/>
      <c r="AA969" s="15" t="n"/>
      <c r="AB969" s="15" t="n"/>
      <c r="AC969" s="15" t="n"/>
      <c r="AD969" s="15" t="n"/>
      <c r="AE969" s="15" t="n"/>
      <c r="AF969" s="15" t="n"/>
      <c r="AG969" s="15" t="n"/>
      <c r="AH969" s="15" t="n"/>
      <c r="AI969" s="15" t="n"/>
    </row>
    <row r="970">
      <c r="A970" s="4" t="inlineStr">
        <is>
          <t>Студент2.13</t>
        </is>
      </c>
      <c r="B970" s="4" t="inlineStr"/>
      <c r="C970" s="4">
        <f>IF(A970="","",COUNTIF(F970:AI970,"+")+COUNTIF(F970:AI970,"1"))</f>
        <v/>
      </c>
      <c r="D970" s="4">
        <f>IF(A970="","",IF(C970&gt;2*COUNTA(F$957:AI$957)/3,1,IF(C970&gt;=COUNTA(F$957:AI$957)/2,0.8,0.5)))</f>
        <v/>
      </c>
      <c r="E970" s="4">
        <f>IF(A970="","",SUMIFS('Логи'!$H$4:$H$3006,'Логи'!$A$4:$A$3006,A970,'Логи'!$C$4:$C$3006,15))</f>
        <v/>
      </c>
      <c r="F970" s="15" t="n"/>
      <c r="G970" s="15" t="n"/>
      <c r="H970" s="15" t="n"/>
      <c r="I970" s="15" t="n"/>
      <c r="J970" s="15" t="n"/>
      <c r="K970" s="15" t="n"/>
      <c r="L970" s="15" t="n"/>
      <c r="M970" s="15" t="n"/>
      <c r="N970" s="15" t="n"/>
      <c r="O970" s="15" t="n"/>
      <c r="P970" s="15" t="n"/>
      <c r="Q970" s="15" t="n"/>
      <c r="R970" s="15" t="n"/>
      <c r="S970" s="15" t="n"/>
      <c r="T970" s="15" t="n"/>
      <c r="U970" s="15" t="n"/>
      <c r="V970" s="15" t="n"/>
      <c r="W970" s="15" t="n"/>
      <c r="X970" s="15" t="n"/>
      <c r="Y970" s="15" t="n"/>
      <c r="Z970" s="15" t="n"/>
      <c r="AA970" s="15" t="n"/>
      <c r="AB970" s="15" t="n"/>
      <c r="AC970" s="15" t="n"/>
      <c r="AD970" s="15" t="n"/>
      <c r="AE970" s="15" t="n"/>
      <c r="AF970" s="15" t="n"/>
      <c r="AG970" s="15" t="n"/>
      <c r="AH970" s="15" t="n"/>
      <c r="AI970" s="15" t="n"/>
    </row>
    <row r="971">
      <c r="A971" s="4" t="inlineStr">
        <is>
          <t>Студент2.14</t>
        </is>
      </c>
      <c r="B971" s="4" t="inlineStr"/>
      <c r="C971" s="4">
        <f>IF(A971="","",COUNTIF(F971:AI971,"+")+COUNTIF(F971:AI971,"1"))</f>
        <v/>
      </c>
      <c r="D971" s="4">
        <f>IF(A971="","",IF(C971&gt;2*COUNTA(F$957:AI$957)/3,1,IF(C971&gt;=COUNTA(F$957:AI$957)/2,0.8,0.5)))</f>
        <v/>
      </c>
      <c r="E971" s="4">
        <f>IF(A971="","",SUMIFS('Логи'!$H$4:$H$3006,'Логи'!$A$4:$A$3006,A971,'Логи'!$C$4:$C$3006,15))</f>
        <v/>
      </c>
      <c r="F971" s="15" t="n"/>
      <c r="G971" s="15" t="n"/>
      <c r="H971" s="15" t="n"/>
      <c r="I971" s="15" t="n"/>
      <c r="J971" s="15" t="n"/>
      <c r="K971" s="15" t="n"/>
      <c r="L971" s="15" t="n"/>
      <c r="M971" s="15" t="n"/>
      <c r="N971" s="15" t="n"/>
      <c r="O971" s="15" t="n"/>
      <c r="P971" s="15" t="n"/>
      <c r="Q971" s="15" t="n"/>
      <c r="R971" s="15" t="n"/>
      <c r="S971" s="15" t="n"/>
      <c r="T971" s="15" t="n"/>
      <c r="U971" s="15" t="n"/>
      <c r="V971" s="15" t="n"/>
      <c r="W971" s="15" t="n"/>
      <c r="X971" s="15" t="n"/>
      <c r="Y971" s="15" t="n"/>
      <c r="Z971" s="15" t="n"/>
      <c r="AA971" s="15" t="n"/>
      <c r="AB971" s="15" t="n"/>
      <c r="AC971" s="15" t="n"/>
      <c r="AD971" s="15" t="n"/>
      <c r="AE971" s="15" t="n"/>
      <c r="AF971" s="15" t="n"/>
      <c r="AG971" s="15" t="n"/>
      <c r="AH971" s="15" t="n"/>
      <c r="AI971" s="15" t="n"/>
    </row>
    <row r="972">
      <c r="A972" s="4" t="inlineStr">
        <is>
          <t>Студент2.15</t>
        </is>
      </c>
      <c r="B972" s="4" t="inlineStr"/>
      <c r="C972" s="4">
        <f>IF(A972="","",COUNTIF(F972:AI972,"+")+COUNTIF(F972:AI972,"1"))</f>
        <v/>
      </c>
      <c r="D972" s="4">
        <f>IF(A972="","",IF(C972&gt;2*COUNTA(F$957:AI$957)/3,1,IF(C972&gt;=COUNTA(F$957:AI$957)/2,0.8,0.5)))</f>
        <v/>
      </c>
      <c r="E972" s="4">
        <f>IF(A972="","",SUMIFS('Логи'!$H$4:$H$3006,'Логи'!$A$4:$A$3006,A972,'Логи'!$C$4:$C$3006,15))</f>
        <v/>
      </c>
      <c r="F972" s="15" t="n"/>
      <c r="G972" s="15" t="n"/>
      <c r="H972" s="15" t="n"/>
      <c r="I972" s="15" t="n"/>
      <c r="J972" s="15" t="n"/>
      <c r="K972" s="15" t="n"/>
      <c r="L972" s="15" t="n"/>
      <c r="M972" s="15" t="n"/>
      <c r="N972" s="15" t="n"/>
      <c r="O972" s="15" t="n"/>
      <c r="P972" s="15" t="n"/>
      <c r="Q972" s="15" t="n"/>
      <c r="R972" s="15" t="n"/>
      <c r="S972" s="15" t="n"/>
      <c r="T972" s="15" t="n"/>
      <c r="U972" s="15" t="n"/>
      <c r="V972" s="15" t="n"/>
      <c r="W972" s="15" t="n"/>
      <c r="X972" s="15" t="n"/>
      <c r="Y972" s="15" t="n"/>
      <c r="Z972" s="15" t="n"/>
      <c r="AA972" s="15" t="n"/>
      <c r="AB972" s="15" t="n"/>
      <c r="AC972" s="15" t="n"/>
      <c r="AD972" s="15" t="n"/>
      <c r="AE972" s="15" t="n"/>
      <c r="AF972" s="15" t="n"/>
      <c r="AG972" s="15" t="n"/>
      <c r="AH972" s="15" t="n"/>
      <c r="AI972" s="15" t="n"/>
    </row>
    <row r="973">
      <c r="A973" s="4" t="inlineStr">
        <is>
          <t>Студент2.16</t>
        </is>
      </c>
      <c r="B973" s="4" t="inlineStr"/>
      <c r="C973" s="4">
        <f>IF(A973="","",COUNTIF(F973:AI973,"+")+COUNTIF(F973:AI973,"1"))</f>
        <v/>
      </c>
      <c r="D973" s="4">
        <f>IF(A973="","",IF(C973&gt;2*COUNTA(F$957:AI$957)/3,1,IF(C973&gt;=COUNTA(F$957:AI$957)/2,0.8,0.5)))</f>
        <v/>
      </c>
      <c r="E973" s="4">
        <f>IF(A973="","",SUMIFS('Логи'!$H$4:$H$3006,'Логи'!$A$4:$A$3006,A973,'Логи'!$C$4:$C$3006,15))</f>
        <v/>
      </c>
      <c r="F973" s="15" t="n"/>
      <c r="G973" s="15" t="n"/>
      <c r="H973" s="15" t="n"/>
      <c r="I973" s="15" t="n"/>
      <c r="J973" s="15" t="n"/>
      <c r="K973" s="15" t="n"/>
      <c r="L973" s="15" t="n"/>
      <c r="M973" s="15" t="n"/>
      <c r="N973" s="15" t="n"/>
      <c r="O973" s="15" t="n"/>
      <c r="P973" s="15" t="n"/>
      <c r="Q973" s="15" t="n"/>
      <c r="R973" s="15" t="n"/>
      <c r="S973" s="15" t="n"/>
      <c r="T973" s="15" t="n"/>
      <c r="U973" s="15" t="n"/>
      <c r="V973" s="15" t="n"/>
      <c r="W973" s="15" t="n"/>
      <c r="X973" s="15" t="n"/>
      <c r="Y973" s="15" t="n"/>
      <c r="Z973" s="15" t="n"/>
      <c r="AA973" s="15" t="n"/>
      <c r="AB973" s="15" t="n"/>
      <c r="AC973" s="15" t="n"/>
      <c r="AD973" s="15" t="n"/>
      <c r="AE973" s="15" t="n"/>
      <c r="AF973" s="15" t="n"/>
      <c r="AG973" s="15" t="n"/>
      <c r="AH973" s="15" t="n"/>
      <c r="AI973" s="15" t="n"/>
    </row>
    <row r="974">
      <c r="A974" s="4" t="inlineStr">
        <is>
          <t>Студент2.17</t>
        </is>
      </c>
      <c r="B974" s="4" t="inlineStr"/>
      <c r="C974" s="4">
        <f>IF(A974="","",COUNTIF(F974:AI974,"+")+COUNTIF(F974:AI974,"1"))</f>
        <v/>
      </c>
      <c r="D974" s="4">
        <f>IF(A974="","",IF(C974&gt;2*COUNTA(F$957:AI$957)/3,1,IF(C974&gt;=COUNTA(F$957:AI$957)/2,0.8,0.5)))</f>
        <v/>
      </c>
      <c r="E974" s="4">
        <f>IF(A974="","",SUMIFS('Логи'!$H$4:$H$3006,'Логи'!$A$4:$A$3006,A974,'Логи'!$C$4:$C$3006,15))</f>
        <v/>
      </c>
      <c r="F974" s="15" t="n"/>
      <c r="G974" s="15" t="n"/>
      <c r="H974" s="15" t="n"/>
      <c r="I974" s="15" t="n"/>
      <c r="J974" s="15" t="n"/>
      <c r="K974" s="15" t="n"/>
      <c r="L974" s="15" t="n"/>
      <c r="M974" s="15" t="n"/>
      <c r="N974" s="15" t="n"/>
      <c r="O974" s="15" t="n"/>
      <c r="P974" s="15" t="n"/>
      <c r="Q974" s="15" t="n"/>
      <c r="R974" s="15" t="n"/>
      <c r="S974" s="15" t="n"/>
      <c r="T974" s="15" t="n"/>
      <c r="U974" s="15" t="n"/>
      <c r="V974" s="15" t="n"/>
      <c r="W974" s="15" t="n"/>
      <c r="X974" s="15" t="n"/>
      <c r="Y974" s="15" t="n"/>
      <c r="Z974" s="15" t="n"/>
      <c r="AA974" s="15" t="n"/>
      <c r="AB974" s="15" t="n"/>
      <c r="AC974" s="15" t="n"/>
      <c r="AD974" s="15" t="n"/>
      <c r="AE974" s="15" t="n"/>
      <c r="AF974" s="15" t="n"/>
      <c r="AG974" s="15" t="n"/>
      <c r="AH974" s="15" t="n"/>
      <c r="AI974" s="15" t="n"/>
    </row>
    <row r="975">
      <c r="A975" s="4" t="inlineStr">
        <is>
          <t>Студент2.18</t>
        </is>
      </c>
      <c r="B975" s="4" t="inlineStr"/>
      <c r="C975" s="4">
        <f>IF(A975="","",COUNTIF(F975:AI975,"+")+COUNTIF(F975:AI975,"1"))</f>
        <v/>
      </c>
      <c r="D975" s="4">
        <f>IF(A975="","",IF(C975&gt;2*COUNTA(F$957:AI$957)/3,1,IF(C975&gt;=COUNTA(F$957:AI$957)/2,0.8,0.5)))</f>
        <v/>
      </c>
      <c r="E975" s="4">
        <f>IF(A975="","",SUMIFS('Логи'!$H$4:$H$3006,'Логи'!$A$4:$A$3006,A975,'Логи'!$C$4:$C$3006,15))</f>
        <v/>
      </c>
      <c r="F975" s="15" t="n"/>
      <c r="G975" s="15" t="n"/>
      <c r="H975" s="15" t="n"/>
      <c r="I975" s="15" t="n"/>
      <c r="J975" s="15" t="n"/>
      <c r="K975" s="15" t="n"/>
      <c r="L975" s="15" t="n"/>
      <c r="M975" s="15" t="n"/>
      <c r="N975" s="15" t="n"/>
      <c r="O975" s="15" t="n"/>
      <c r="P975" s="15" t="n"/>
      <c r="Q975" s="15" t="n"/>
      <c r="R975" s="15" t="n"/>
      <c r="S975" s="15" t="n"/>
      <c r="T975" s="15" t="n"/>
      <c r="U975" s="15" t="n"/>
      <c r="V975" s="15" t="n"/>
      <c r="W975" s="15" t="n"/>
      <c r="X975" s="15" t="n"/>
      <c r="Y975" s="15" t="n"/>
      <c r="Z975" s="15" t="n"/>
      <c r="AA975" s="15" t="n"/>
      <c r="AB975" s="15" t="n"/>
      <c r="AC975" s="15" t="n"/>
      <c r="AD975" s="15" t="n"/>
      <c r="AE975" s="15" t="n"/>
      <c r="AF975" s="15" t="n"/>
      <c r="AG975" s="15" t="n"/>
      <c r="AH975" s="15" t="n"/>
      <c r="AI975" s="15" t="n"/>
    </row>
    <row r="976">
      <c r="A976" s="4" t="inlineStr">
        <is>
          <t>Студент2.19</t>
        </is>
      </c>
      <c r="B976" s="4" t="inlineStr"/>
      <c r="C976" s="4">
        <f>IF(A976="","",COUNTIF(F976:AI976,"+")+COUNTIF(F976:AI976,"1"))</f>
        <v/>
      </c>
      <c r="D976" s="4">
        <f>IF(A976="","",IF(C976&gt;2*COUNTA(F$957:AI$957)/3,1,IF(C976&gt;=COUNTA(F$957:AI$957)/2,0.8,0.5)))</f>
        <v/>
      </c>
      <c r="E976" s="4">
        <f>IF(A976="","",SUMIFS('Логи'!$H$4:$H$3006,'Логи'!$A$4:$A$3006,A976,'Логи'!$C$4:$C$3006,15))</f>
        <v/>
      </c>
      <c r="F976" s="15" t="n"/>
      <c r="G976" s="15" t="n"/>
      <c r="H976" s="15" t="n"/>
      <c r="I976" s="15" t="n"/>
      <c r="J976" s="15" t="n"/>
      <c r="K976" s="15" t="n"/>
      <c r="L976" s="15" t="n"/>
      <c r="M976" s="15" t="n"/>
      <c r="N976" s="15" t="n"/>
      <c r="O976" s="15" t="n"/>
      <c r="P976" s="15" t="n"/>
      <c r="Q976" s="15" t="n"/>
      <c r="R976" s="15" t="n"/>
      <c r="S976" s="15" t="n"/>
      <c r="T976" s="15" t="n"/>
      <c r="U976" s="15" t="n"/>
      <c r="V976" s="15" t="n"/>
      <c r="W976" s="15" t="n"/>
      <c r="X976" s="15" t="n"/>
      <c r="Y976" s="15" t="n"/>
      <c r="Z976" s="15" t="n"/>
      <c r="AA976" s="15" t="n"/>
      <c r="AB976" s="15" t="n"/>
      <c r="AC976" s="15" t="n"/>
      <c r="AD976" s="15" t="n"/>
      <c r="AE976" s="15" t="n"/>
      <c r="AF976" s="15" t="n"/>
      <c r="AG976" s="15" t="n"/>
      <c r="AH976" s="15" t="n"/>
      <c r="AI976" s="15" t="n"/>
    </row>
    <row r="977">
      <c r="A977" s="4" t="inlineStr">
        <is>
          <t>Студент2.20</t>
        </is>
      </c>
      <c r="B977" s="4" t="inlineStr"/>
      <c r="C977" s="4">
        <f>IF(A977="","",COUNTIF(F977:AI977,"+")+COUNTIF(F977:AI977,"1"))</f>
        <v/>
      </c>
      <c r="D977" s="4">
        <f>IF(A977="","",IF(C977&gt;2*COUNTA(F$957:AI$957)/3,1,IF(C977&gt;=COUNTA(F$957:AI$957)/2,0.8,0.5)))</f>
        <v/>
      </c>
      <c r="E977" s="4">
        <f>IF(A977="","",SUMIFS('Логи'!$H$4:$H$3006,'Логи'!$A$4:$A$3006,A977,'Логи'!$C$4:$C$3006,15))</f>
        <v/>
      </c>
      <c r="F977" s="15" t="n"/>
      <c r="G977" s="15" t="n"/>
      <c r="H977" s="15" t="n"/>
      <c r="I977" s="15" t="n"/>
      <c r="J977" s="15" t="n"/>
      <c r="K977" s="15" t="n"/>
      <c r="L977" s="15" t="n"/>
      <c r="M977" s="15" t="n"/>
      <c r="N977" s="15" t="n"/>
      <c r="O977" s="15" t="n"/>
      <c r="P977" s="15" t="n"/>
      <c r="Q977" s="15" t="n"/>
      <c r="R977" s="15" t="n"/>
      <c r="S977" s="15" t="n"/>
      <c r="T977" s="15" t="n"/>
      <c r="U977" s="15" t="n"/>
      <c r="V977" s="15" t="n"/>
      <c r="W977" s="15" t="n"/>
      <c r="X977" s="15" t="n"/>
      <c r="Y977" s="15" t="n"/>
      <c r="Z977" s="15" t="n"/>
      <c r="AA977" s="15" t="n"/>
      <c r="AB977" s="15" t="n"/>
      <c r="AC977" s="15" t="n"/>
      <c r="AD977" s="15" t="n"/>
      <c r="AE977" s="15" t="n"/>
      <c r="AF977" s="15" t="n"/>
      <c r="AG977" s="15" t="n"/>
      <c r="AH977" s="15" t="n"/>
      <c r="AI977" s="15" t="n"/>
    </row>
    <row r="978">
      <c r="A978" s="4" t="inlineStr">
        <is>
          <t>Студент2.21</t>
        </is>
      </c>
      <c r="B978" s="4" t="inlineStr"/>
      <c r="C978" s="4">
        <f>IF(A978="","",COUNTIF(F978:AI978,"+")+COUNTIF(F978:AI978,"1"))</f>
        <v/>
      </c>
      <c r="D978" s="4">
        <f>IF(A978="","",IF(C978&gt;2*COUNTA(F$957:AI$957)/3,1,IF(C978&gt;=COUNTA(F$957:AI$957)/2,0.8,0.5)))</f>
        <v/>
      </c>
      <c r="E978" s="4">
        <f>IF(A978="","",SUMIFS('Логи'!$H$4:$H$3006,'Логи'!$A$4:$A$3006,A978,'Логи'!$C$4:$C$3006,15))</f>
        <v/>
      </c>
      <c r="F978" s="15" t="n"/>
      <c r="G978" s="15" t="n"/>
      <c r="H978" s="15" t="n"/>
      <c r="I978" s="15" t="n"/>
      <c r="J978" s="15" t="n"/>
      <c r="K978" s="15" t="n"/>
      <c r="L978" s="15" t="n"/>
      <c r="M978" s="15" t="n"/>
      <c r="N978" s="15" t="n"/>
      <c r="O978" s="15" t="n"/>
      <c r="P978" s="15" t="n"/>
      <c r="Q978" s="15" t="n"/>
      <c r="R978" s="15" t="n"/>
      <c r="S978" s="15" t="n"/>
      <c r="T978" s="15" t="n"/>
      <c r="U978" s="15" t="n"/>
      <c r="V978" s="15" t="n"/>
      <c r="W978" s="15" t="n"/>
      <c r="X978" s="15" t="n"/>
      <c r="Y978" s="15" t="n"/>
      <c r="Z978" s="15" t="n"/>
      <c r="AA978" s="15" t="n"/>
      <c r="AB978" s="15" t="n"/>
      <c r="AC978" s="15" t="n"/>
      <c r="AD978" s="15" t="n"/>
      <c r="AE978" s="15" t="n"/>
      <c r="AF978" s="15" t="n"/>
      <c r="AG978" s="15" t="n"/>
      <c r="AH978" s="15" t="n"/>
      <c r="AI978" s="15" t="n"/>
    </row>
    <row r="979">
      <c r="A979" s="4" t="inlineStr">
        <is>
          <t>Студент2.22</t>
        </is>
      </c>
      <c r="B979" s="4" t="inlineStr"/>
      <c r="C979" s="4">
        <f>IF(A979="","",COUNTIF(F979:AI979,"+")+COUNTIF(F979:AI979,"1"))</f>
        <v/>
      </c>
      <c r="D979" s="4">
        <f>IF(A979="","",IF(C979&gt;2*COUNTA(F$957:AI$957)/3,1,IF(C979&gt;=COUNTA(F$957:AI$957)/2,0.8,0.5)))</f>
        <v/>
      </c>
      <c r="E979" s="4">
        <f>IF(A979="","",SUMIFS('Логи'!$H$4:$H$3006,'Логи'!$A$4:$A$3006,A979,'Логи'!$C$4:$C$3006,15))</f>
        <v/>
      </c>
      <c r="F979" s="15" t="n"/>
      <c r="G979" s="15" t="n"/>
      <c r="H979" s="15" t="n"/>
      <c r="I979" s="15" t="n"/>
      <c r="J979" s="15" t="n"/>
      <c r="K979" s="15" t="n"/>
      <c r="L979" s="15" t="n"/>
      <c r="M979" s="15" t="n"/>
      <c r="N979" s="15" t="n"/>
      <c r="O979" s="15" t="n"/>
      <c r="P979" s="15" t="n"/>
      <c r="Q979" s="15" t="n"/>
      <c r="R979" s="15" t="n"/>
      <c r="S979" s="15" t="n"/>
      <c r="T979" s="15" t="n"/>
      <c r="U979" s="15" t="n"/>
      <c r="V979" s="15" t="n"/>
      <c r="W979" s="15" t="n"/>
      <c r="X979" s="15" t="n"/>
      <c r="Y979" s="15" t="n"/>
      <c r="Z979" s="15" t="n"/>
      <c r="AA979" s="15" t="n"/>
      <c r="AB979" s="15" t="n"/>
      <c r="AC979" s="15" t="n"/>
      <c r="AD979" s="15" t="n"/>
      <c r="AE979" s="15" t="n"/>
      <c r="AF979" s="15" t="n"/>
      <c r="AG979" s="15" t="n"/>
      <c r="AH979" s="15" t="n"/>
      <c r="AI979" s="15" t="n"/>
    </row>
    <row r="980">
      <c r="A980" s="4" t="inlineStr">
        <is>
          <t>Студент2.23</t>
        </is>
      </c>
      <c r="B980" s="4" t="inlineStr"/>
      <c r="C980" s="4">
        <f>IF(A980="","",COUNTIF(F980:AI980,"+")+COUNTIF(F980:AI980,"1"))</f>
        <v/>
      </c>
      <c r="D980" s="4">
        <f>IF(A980="","",IF(C980&gt;2*COUNTA(F$957:AI$957)/3,1,IF(C980&gt;=COUNTA(F$957:AI$957)/2,0.8,0.5)))</f>
        <v/>
      </c>
      <c r="E980" s="4">
        <f>IF(A980="","",SUMIFS('Логи'!$H$4:$H$3006,'Логи'!$A$4:$A$3006,A980,'Логи'!$C$4:$C$3006,15))</f>
        <v/>
      </c>
      <c r="F980" s="15" t="n"/>
      <c r="G980" s="15" t="n"/>
      <c r="H980" s="15" t="n"/>
      <c r="I980" s="15" t="n"/>
      <c r="J980" s="15" t="n"/>
      <c r="K980" s="15" t="n"/>
      <c r="L980" s="15" t="n"/>
      <c r="M980" s="15" t="n"/>
      <c r="N980" s="15" t="n"/>
      <c r="O980" s="15" t="n"/>
      <c r="P980" s="15" t="n"/>
      <c r="Q980" s="15" t="n"/>
      <c r="R980" s="15" t="n"/>
      <c r="S980" s="15" t="n"/>
      <c r="T980" s="15" t="n"/>
      <c r="U980" s="15" t="n"/>
      <c r="V980" s="15" t="n"/>
      <c r="W980" s="15" t="n"/>
      <c r="X980" s="15" t="n"/>
      <c r="Y980" s="15" t="n"/>
      <c r="Z980" s="15" t="n"/>
      <c r="AA980" s="15" t="n"/>
      <c r="AB980" s="15" t="n"/>
      <c r="AC980" s="15" t="n"/>
      <c r="AD980" s="15" t="n"/>
      <c r="AE980" s="15" t="n"/>
      <c r="AF980" s="15" t="n"/>
      <c r="AG980" s="15" t="n"/>
      <c r="AH980" s="15" t="n"/>
      <c r="AI980" s="15" t="n"/>
    </row>
    <row r="981">
      <c r="A981" s="4" t="inlineStr">
        <is>
          <t>Студент2.24</t>
        </is>
      </c>
      <c r="B981" s="4" t="inlineStr"/>
      <c r="C981" s="4">
        <f>IF(A981="","",COUNTIF(F981:AI981,"+")+COUNTIF(F981:AI981,"1"))</f>
        <v/>
      </c>
      <c r="D981" s="4">
        <f>IF(A981="","",IF(C981&gt;2*COUNTA(F$957:AI$957)/3,1,IF(C981&gt;=COUNTA(F$957:AI$957)/2,0.8,0.5)))</f>
        <v/>
      </c>
      <c r="E981" s="4">
        <f>IF(A981="","",SUMIFS('Логи'!$H$4:$H$3006,'Логи'!$A$4:$A$3006,A981,'Логи'!$C$4:$C$3006,15))</f>
        <v/>
      </c>
      <c r="F981" s="15" t="n"/>
      <c r="G981" s="15" t="n"/>
      <c r="H981" s="15" t="n"/>
      <c r="I981" s="15" t="n"/>
      <c r="J981" s="15" t="n"/>
      <c r="K981" s="15" t="n"/>
      <c r="L981" s="15" t="n"/>
      <c r="M981" s="15" t="n"/>
      <c r="N981" s="15" t="n"/>
      <c r="O981" s="15" t="n"/>
      <c r="P981" s="15" t="n"/>
      <c r="Q981" s="15" t="n"/>
      <c r="R981" s="15" t="n"/>
      <c r="S981" s="15" t="n"/>
      <c r="T981" s="15" t="n"/>
      <c r="U981" s="15" t="n"/>
      <c r="V981" s="15" t="n"/>
      <c r="W981" s="15" t="n"/>
      <c r="X981" s="15" t="n"/>
      <c r="Y981" s="15" t="n"/>
      <c r="Z981" s="15" t="n"/>
      <c r="AA981" s="15" t="n"/>
      <c r="AB981" s="15" t="n"/>
      <c r="AC981" s="15" t="n"/>
      <c r="AD981" s="15" t="n"/>
      <c r="AE981" s="15" t="n"/>
      <c r="AF981" s="15" t="n"/>
      <c r="AG981" s="15" t="n"/>
      <c r="AH981" s="15" t="n"/>
      <c r="AI981" s="15" t="n"/>
    </row>
    <row r="982">
      <c r="A982" s="4" t="inlineStr">
        <is>
          <t>Студент2.25</t>
        </is>
      </c>
      <c r="B982" s="4" t="inlineStr"/>
      <c r="C982" s="4">
        <f>IF(A982="","",COUNTIF(F982:AI982,"+")+COUNTIF(F982:AI982,"1"))</f>
        <v/>
      </c>
      <c r="D982" s="4">
        <f>IF(A982="","",IF(C982&gt;2*COUNTA(F$957:AI$957)/3,1,IF(C982&gt;=COUNTA(F$957:AI$957)/2,0.8,0.5)))</f>
        <v/>
      </c>
      <c r="E982" s="4">
        <f>IF(A982="","",SUMIFS('Логи'!$H$4:$H$3006,'Логи'!$A$4:$A$3006,A982,'Логи'!$C$4:$C$3006,15))</f>
        <v/>
      </c>
      <c r="F982" s="15" t="n"/>
      <c r="G982" s="15" t="n"/>
      <c r="H982" s="15" t="n"/>
      <c r="I982" s="15" t="n"/>
      <c r="J982" s="15" t="n"/>
      <c r="K982" s="15" t="n"/>
      <c r="L982" s="15" t="n"/>
      <c r="M982" s="15" t="n"/>
      <c r="N982" s="15" t="n"/>
      <c r="O982" s="15" t="n"/>
      <c r="P982" s="15" t="n"/>
      <c r="Q982" s="15" t="n"/>
      <c r="R982" s="15" t="n"/>
      <c r="S982" s="15" t="n"/>
      <c r="T982" s="15" t="n"/>
      <c r="U982" s="15" t="n"/>
      <c r="V982" s="15" t="n"/>
      <c r="W982" s="15" t="n"/>
      <c r="X982" s="15" t="n"/>
      <c r="Y982" s="15" t="n"/>
      <c r="Z982" s="15" t="n"/>
      <c r="AA982" s="15" t="n"/>
      <c r="AB982" s="15" t="n"/>
      <c r="AC982" s="15" t="n"/>
      <c r="AD982" s="15" t="n"/>
      <c r="AE982" s="15" t="n"/>
      <c r="AF982" s="15" t="n"/>
      <c r="AG982" s="15" t="n"/>
      <c r="AH982" s="15" t="n"/>
      <c r="AI982" s="15" t="n"/>
    </row>
    <row r="983">
      <c r="A983" s="4" t="inlineStr">
        <is>
          <t>Студент2.26</t>
        </is>
      </c>
      <c r="B983" s="4" t="inlineStr"/>
      <c r="C983" s="4">
        <f>IF(A983="","",COUNTIF(F983:AI983,"+")+COUNTIF(F983:AI983,"1"))</f>
        <v/>
      </c>
      <c r="D983" s="4">
        <f>IF(A983="","",IF(C983&gt;2*COUNTA(F$957:AI$957)/3,1,IF(C983&gt;=COUNTA(F$957:AI$957)/2,0.8,0.5)))</f>
        <v/>
      </c>
      <c r="E983" s="4">
        <f>IF(A983="","",SUMIFS('Логи'!$H$4:$H$3006,'Логи'!$A$4:$A$3006,A983,'Логи'!$C$4:$C$3006,15))</f>
        <v/>
      </c>
      <c r="F983" s="15" t="n"/>
      <c r="G983" s="15" t="n"/>
      <c r="H983" s="15" t="n"/>
      <c r="I983" s="15" t="n"/>
      <c r="J983" s="15" t="n"/>
      <c r="K983" s="15" t="n"/>
      <c r="L983" s="15" t="n"/>
      <c r="M983" s="15" t="n"/>
      <c r="N983" s="15" t="n"/>
      <c r="O983" s="15" t="n"/>
      <c r="P983" s="15" t="n"/>
      <c r="Q983" s="15" t="n"/>
      <c r="R983" s="15" t="n"/>
      <c r="S983" s="15" t="n"/>
      <c r="T983" s="15" t="n"/>
      <c r="U983" s="15" t="n"/>
      <c r="V983" s="15" t="n"/>
      <c r="W983" s="15" t="n"/>
      <c r="X983" s="15" t="n"/>
      <c r="Y983" s="15" t="n"/>
      <c r="Z983" s="15" t="n"/>
      <c r="AA983" s="15" t="n"/>
      <c r="AB983" s="15" t="n"/>
      <c r="AC983" s="15" t="n"/>
      <c r="AD983" s="15" t="n"/>
      <c r="AE983" s="15" t="n"/>
      <c r="AF983" s="15" t="n"/>
      <c r="AG983" s="15" t="n"/>
      <c r="AH983" s="15" t="n"/>
      <c r="AI983" s="15" t="n"/>
    </row>
    <row r="984">
      <c r="A984" s="4" t="inlineStr">
        <is>
          <t>Студент2.27</t>
        </is>
      </c>
      <c r="B984" s="4" t="inlineStr"/>
      <c r="C984" s="4">
        <f>IF(A984="","",COUNTIF(F984:AI984,"+")+COUNTIF(F984:AI984,"1"))</f>
        <v/>
      </c>
      <c r="D984" s="4">
        <f>IF(A984="","",IF(C984&gt;2*COUNTA(F$957:AI$957)/3,1,IF(C984&gt;=COUNTA(F$957:AI$957)/2,0.8,0.5)))</f>
        <v/>
      </c>
      <c r="E984" s="4">
        <f>IF(A984="","",SUMIFS('Логи'!$H$4:$H$3006,'Логи'!$A$4:$A$3006,A984,'Логи'!$C$4:$C$3006,15))</f>
        <v/>
      </c>
      <c r="F984" s="15" t="n"/>
      <c r="G984" s="15" t="n"/>
      <c r="H984" s="15" t="n"/>
      <c r="I984" s="15" t="n"/>
      <c r="J984" s="15" t="n"/>
      <c r="K984" s="15" t="n"/>
      <c r="L984" s="15" t="n"/>
      <c r="M984" s="15" t="n"/>
      <c r="N984" s="15" t="n"/>
      <c r="O984" s="15" t="n"/>
      <c r="P984" s="15" t="n"/>
      <c r="Q984" s="15" t="n"/>
      <c r="R984" s="15" t="n"/>
      <c r="S984" s="15" t="n"/>
      <c r="T984" s="15" t="n"/>
      <c r="U984" s="15" t="n"/>
      <c r="V984" s="15" t="n"/>
      <c r="W984" s="15" t="n"/>
      <c r="X984" s="15" t="n"/>
      <c r="Y984" s="15" t="n"/>
      <c r="Z984" s="15" t="n"/>
      <c r="AA984" s="15" t="n"/>
      <c r="AB984" s="15" t="n"/>
      <c r="AC984" s="15" t="n"/>
      <c r="AD984" s="15" t="n"/>
      <c r="AE984" s="15" t="n"/>
      <c r="AF984" s="15" t="n"/>
      <c r="AG984" s="15" t="n"/>
      <c r="AH984" s="15" t="n"/>
      <c r="AI984" s="15" t="n"/>
    </row>
    <row r="985">
      <c r="A985" s="4" t="inlineStr">
        <is>
          <t>Студент2.28</t>
        </is>
      </c>
      <c r="B985" s="4" t="inlineStr"/>
      <c r="C985" s="4">
        <f>IF(A985="","",COUNTIF(F985:AI985,"+")+COUNTIF(F985:AI985,"1"))</f>
        <v/>
      </c>
      <c r="D985" s="4">
        <f>IF(A985="","",IF(C985&gt;2*COUNTA(F$957:AI$957)/3,1,IF(C985&gt;=COUNTA(F$957:AI$957)/2,0.8,0.5)))</f>
        <v/>
      </c>
      <c r="E985" s="4">
        <f>IF(A985="","",SUMIFS('Логи'!$H$4:$H$3006,'Логи'!$A$4:$A$3006,A985,'Логи'!$C$4:$C$3006,15))</f>
        <v/>
      </c>
      <c r="F985" s="15" t="n"/>
      <c r="G985" s="15" t="n"/>
      <c r="H985" s="15" t="n"/>
      <c r="I985" s="15" t="n"/>
      <c r="J985" s="15" t="n"/>
      <c r="K985" s="15" t="n"/>
      <c r="L985" s="15" t="n"/>
      <c r="M985" s="15" t="n"/>
      <c r="N985" s="15" t="n"/>
      <c r="O985" s="15" t="n"/>
      <c r="P985" s="15" t="n"/>
      <c r="Q985" s="15" t="n"/>
      <c r="R985" s="15" t="n"/>
      <c r="S985" s="15" t="n"/>
      <c r="T985" s="15" t="n"/>
      <c r="U985" s="15" t="n"/>
      <c r="V985" s="15" t="n"/>
      <c r="W985" s="15" t="n"/>
      <c r="X985" s="15" t="n"/>
      <c r="Y985" s="15" t="n"/>
      <c r="Z985" s="15" t="n"/>
      <c r="AA985" s="15" t="n"/>
      <c r="AB985" s="15" t="n"/>
      <c r="AC985" s="15" t="n"/>
      <c r="AD985" s="15" t="n"/>
      <c r="AE985" s="15" t="n"/>
      <c r="AF985" s="15" t="n"/>
      <c r="AG985" s="15" t="n"/>
      <c r="AH985" s="15" t="n"/>
      <c r="AI985" s="15" t="n"/>
    </row>
    <row r="986">
      <c r="A986" s="4" t="inlineStr">
        <is>
          <t>Студент2.29</t>
        </is>
      </c>
      <c r="B986" s="4" t="inlineStr"/>
      <c r="C986" s="4">
        <f>IF(A986="","",COUNTIF(F986:AI986,"+")+COUNTIF(F986:AI986,"1"))</f>
        <v/>
      </c>
      <c r="D986" s="4">
        <f>IF(A986="","",IF(C986&gt;2*COUNTA(F$957:AI$957)/3,1,IF(C986&gt;=COUNTA(F$957:AI$957)/2,0.8,0.5)))</f>
        <v/>
      </c>
      <c r="E986" s="4">
        <f>IF(A986="","",SUMIFS('Логи'!$H$4:$H$3006,'Логи'!$A$4:$A$3006,A986,'Логи'!$C$4:$C$3006,15))</f>
        <v/>
      </c>
      <c r="F986" s="15" t="n"/>
      <c r="G986" s="15" t="n"/>
      <c r="H986" s="15" t="n"/>
      <c r="I986" s="15" t="n"/>
      <c r="J986" s="15" t="n"/>
      <c r="K986" s="15" t="n"/>
      <c r="L986" s="15" t="n"/>
      <c r="M986" s="15" t="n"/>
      <c r="N986" s="15" t="n"/>
      <c r="O986" s="15" t="n"/>
      <c r="P986" s="15" t="n"/>
      <c r="Q986" s="15" t="n"/>
      <c r="R986" s="15" t="n"/>
      <c r="S986" s="15" t="n"/>
      <c r="T986" s="15" t="n"/>
      <c r="U986" s="15" t="n"/>
      <c r="V986" s="15" t="n"/>
      <c r="W986" s="15" t="n"/>
      <c r="X986" s="15" t="n"/>
      <c r="Y986" s="15" t="n"/>
      <c r="Z986" s="15" t="n"/>
      <c r="AA986" s="15" t="n"/>
      <c r="AB986" s="15" t="n"/>
      <c r="AC986" s="15" t="n"/>
      <c r="AD986" s="15" t="n"/>
      <c r="AE986" s="15" t="n"/>
      <c r="AF986" s="15" t="n"/>
      <c r="AG986" s="15" t="n"/>
      <c r="AH986" s="15" t="n"/>
      <c r="AI986" s="15" t="n"/>
    </row>
    <row r="987">
      <c r="A987" s="4" t="inlineStr">
        <is>
          <t>Студент2.30</t>
        </is>
      </c>
      <c r="B987" s="4" t="inlineStr"/>
      <c r="C987" s="4">
        <f>IF(A987="","",COUNTIF(F987:AI987,"+")+COUNTIF(F987:AI987,"1"))</f>
        <v/>
      </c>
      <c r="D987" s="4">
        <f>IF(A987="","",IF(C987&gt;2*COUNTA(F$957:AI$957)/3,1,IF(C987&gt;=COUNTA(F$957:AI$957)/2,0.8,0.5)))</f>
        <v/>
      </c>
      <c r="E987" s="4">
        <f>IF(A987="","",SUMIFS('Логи'!$H$4:$H$3006,'Логи'!$A$4:$A$3006,A987,'Логи'!$C$4:$C$3006,15))</f>
        <v/>
      </c>
      <c r="F987" s="15" t="n"/>
      <c r="G987" s="15" t="n"/>
      <c r="H987" s="15" t="n"/>
      <c r="I987" s="15" t="n"/>
      <c r="J987" s="15" t="n"/>
      <c r="K987" s="15" t="n"/>
      <c r="L987" s="15" t="n"/>
      <c r="M987" s="15" t="n"/>
      <c r="N987" s="15" t="n"/>
      <c r="O987" s="15" t="n"/>
      <c r="P987" s="15" t="n"/>
      <c r="Q987" s="15" t="n"/>
      <c r="R987" s="15" t="n"/>
      <c r="S987" s="15" t="n"/>
      <c r="T987" s="15" t="n"/>
      <c r="U987" s="15" t="n"/>
      <c r="V987" s="15" t="n"/>
      <c r="W987" s="15" t="n"/>
      <c r="X987" s="15" t="n"/>
      <c r="Y987" s="15" t="n"/>
      <c r="Z987" s="15" t="n"/>
      <c r="AA987" s="15" t="n"/>
      <c r="AB987" s="15" t="n"/>
      <c r="AC987" s="15" t="n"/>
      <c r="AD987" s="15" t="n"/>
      <c r="AE987" s="15" t="n"/>
      <c r="AF987" s="15" t="n"/>
      <c r="AG987" s="15" t="n"/>
      <c r="AH987" s="15" t="n"/>
      <c r="AI987" s="15" t="n"/>
    </row>
    <row r="989">
      <c r="A989" s="16" t="inlineStr">
        <is>
          <t>Практика 15 — результаты рассказа</t>
        </is>
      </c>
    </row>
    <row r="990" ht="28" customHeight="1">
      <c r="A990" s="7" t="inlineStr">
        <is>
          <t>Имя</t>
        </is>
      </c>
      <c r="B990" s="9" t="inlineStr">
        <is>
          <t>TG</t>
        </is>
      </c>
      <c r="C990" s="10" t="inlineStr"/>
      <c r="D990" s="2" t="inlineStr"/>
      <c r="E990" s="2" t="inlineStr"/>
      <c r="F990" s="11" t="inlineStr">
        <is>
          <t>1.0</t>
        </is>
      </c>
      <c r="G990" s="11" t="inlineStr">
        <is>
          <t>2.0</t>
        </is>
      </c>
      <c r="H990" s="11" t="inlineStr">
        <is>
          <t>3.0</t>
        </is>
      </c>
      <c r="I990" s="11" t="inlineStr">
        <is>
          <t>4.0</t>
        </is>
      </c>
      <c r="J990" s="11" t="inlineStr">
        <is>
          <t>5.0</t>
        </is>
      </c>
      <c r="K990" s="11" t="inlineStr">
        <is>
          <t>6</t>
        </is>
      </c>
      <c r="L990" s="11" t="inlineStr">
        <is>
          <t>7</t>
        </is>
      </c>
      <c r="M990" s="11" t="inlineStr">
        <is>
          <t>8</t>
        </is>
      </c>
      <c r="N990" s="11" t="inlineStr">
        <is>
          <t>9</t>
        </is>
      </c>
      <c r="O990" s="11" t="inlineStr">
        <is>
          <t>10</t>
        </is>
      </c>
      <c r="P990" s="11" t="inlineStr">
        <is>
          <t>11</t>
        </is>
      </c>
      <c r="Q990" s="11" t="inlineStr">
        <is>
          <t>12</t>
        </is>
      </c>
      <c r="R990" s="11" t="inlineStr">
        <is>
          <t>13</t>
        </is>
      </c>
      <c r="S990" s="11" t="inlineStr">
        <is>
          <t>14</t>
        </is>
      </c>
      <c r="T990" s="11" t="inlineStr">
        <is>
          <t>15</t>
        </is>
      </c>
      <c r="U990" s="11" t="inlineStr">
        <is>
          <t>16</t>
        </is>
      </c>
      <c r="V990" s="11" t="inlineStr">
        <is>
          <t>17</t>
        </is>
      </c>
      <c r="W990" s="11" t="inlineStr">
        <is>
          <t>18</t>
        </is>
      </c>
      <c r="X990" s="11" t="inlineStr">
        <is>
          <t>19</t>
        </is>
      </c>
      <c r="Y990" s="11" t="inlineStr">
        <is>
          <t>20</t>
        </is>
      </c>
      <c r="Z990" s="11" t="inlineStr">
        <is>
          <t>21</t>
        </is>
      </c>
      <c r="AA990" s="11" t="inlineStr">
        <is>
          <t>22</t>
        </is>
      </c>
      <c r="AB990" s="11" t="inlineStr">
        <is>
          <t>23</t>
        </is>
      </c>
      <c r="AC990" s="11" t="inlineStr">
        <is>
          <t>24</t>
        </is>
      </c>
      <c r="AD990" s="11" t="inlineStr">
        <is>
          <t>25</t>
        </is>
      </c>
      <c r="AE990" s="11" t="inlineStr">
        <is>
          <t>26</t>
        </is>
      </c>
      <c r="AF990" s="11" t="inlineStr">
        <is>
          <t>27</t>
        </is>
      </c>
      <c r="AG990" s="11" t="inlineStr">
        <is>
          <t>28</t>
        </is>
      </c>
      <c r="AH990" s="11" t="inlineStr">
        <is>
          <t>29</t>
        </is>
      </c>
      <c r="AI990" s="11" t="inlineStr">
        <is>
          <t>30</t>
        </is>
      </c>
    </row>
    <row r="991">
      <c r="A991" s="4" t="inlineStr">
        <is>
          <t>Студент2.1</t>
        </is>
      </c>
      <c r="B991" s="4" t="inlineStr"/>
      <c r="C991" s="4" t="n"/>
      <c r="D991" s="4" t="n"/>
      <c r="E991" s="4" t="n"/>
      <c r="F991" s="15" t="n"/>
      <c r="G991" s="15" t="n"/>
      <c r="H991" s="15" t="n"/>
      <c r="I991" s="15" t="n"/>
      <c r="J991" s="15" t="n"/>
      <c r="K991" s="15" t="n"/>
      <c r="L991" s="15" t="n"/>
      <c r="M991" s="15" t="n"/>
      <c r="N991" s="15" t="n"/>
      <c r="O991" s="15" t="n"/>
      <c r="P991" s="15" t="n"/>
      <c r="Q991" s="15" t="n"/>
      <c r="R991" s="15" t="n"/>
      <c r="S991" s="15" t="n"/>
      <c r="T991" s="15" t="n"/>
      <c r="U991" s="15" t="n"/>
      <c r="V991" s="15" t="n"/>
      <c r="W991" s="15" t="n"/>
      <c r="X991" s="15" t="n"/>
      <c r="Y991" s="15" t="n"/>
      <c r="Z991" s="15" t="n"/>
      <c r="AA991" s="15" t="n"/>
      <c r="AB991" s="15" t="n"/>
      <c r="AC991" s="15" t="n"/>
      <c r="AD991" s="15" t="n"/>
      <c r="AE991" s="15" t="n"/>
      <c r="AF991" s="15" t="n"/>
      <c r="AG991" s="15" t="n"/>
      <c r="AH991" s="15" t="n"/>
      <c r="AI991" s="15" t="n"/>
    </row>
    <row r="992">
      <c r="A992" s="4" t="inlineStr">
        <is>
          <t>Студент2.2</t>
        </is>
      </c>
      <c r="B992" s="4" t="inlineStr"/>
      <c r="C992" s="4" t="n"/>
      <c r="D992" s="4" t="n"/>
      <c r="E992" s="4" t="n"/>
      <c r="F992" s="15" t="n"/>
      <c r="G992" s="15" t="n"/>
      <c r="H992" s="15" t="n"/>
      <c r="I992" s="15" t="n"/>
      <c r="J992" s="15" t="n"/>
      <c r="K992" s="15" t="n"/>
      <c r="L992" s="15" t="n"/>
      <c r="M992" s="15" t="n"/>
      <c r="N992" s="15" t="n"/>
      <c r="O992" s="15" t="n"/>
      <c r="P992" s="15" t="n"/>
      <c r="Q992" s="15" t="n"/>
      <c r="R992" s="15" t="n"/>
      <c r="S992" s="15" t="n"/>
      <c r="T992" s="15" t="n"/>
      <c r="U992" s="15" t="n"/>
      <c r="V992" s="15" t="n"/>
      <c r="W992" s="15" t="n"/>
      <c r="X992" s="15" t="n"/>
      <c r="Y992" s="15" t="n"/>
      <c r="Z992" s="15" t="n"/>
      <c r="AA992" s="15" t="n"/>
      <c r="AB992" s="15" t="n"/>
      <c r="AC992" s="15" t="n"/>
      <c r="AD992" s="15" t="n"/>
      <c r="AE992" s="15" t="n"/>
      <c r="AF992" s="15" t="n"/>
      <c r="AG992" s="15" t="n"/>
      <c r="AH992" s="15" t="n"/>
      <c r="AI992" s="15" t="n"/>
    </row>
    <row r="993">
      <c r="A993" s="4" t="inlineStr">
        <is>
          <t>Студент2.3</t>
        </is>
      </c>
      <c r="B993" s="4" t="inlineStr"/>
      <c r="C993" s="4" t="n"/>
      <c r="D993" s="4" t="n"/>
      <c r="E993" s="4" t="n"/>
      <c r="F993" s="15" t="n"/>
      <c r="G993" s="15" t="n"/>
      <c r="H993" s="15" t="n"/>
      <c r="I993" s="15" t="n"/>
      <c r="J993" s="15" t="n"/>
      <c r="K993" s="15" t="n"/>
      <c r="L993" s="15" t="n"/>
      <c r="M993" s="15" t="n"/>
      <c r="N993" s="15" t="n"/>
      <c r="O993" s="15" t="n"/>
      <c r="P993" s="15" t="n"/>
      <c r="Q993" s="15" t="n"/>
      <c r="R993" s="15" t="n"/>
      <c r="S993" s="15" t="n"/>
      <c r="T993" s="15" t="n"/>
      <c r="U993" s="15" t="n"/>
      <c r="V993" s="15" t="n"/>
      <c r="W993" s="15" t="n"/>
      <c r="X993" s="15" t="n"/>
      <c r="Y993" s="15" t="n"/>
      <c r="Z993" s="15" t="n"/>
      <c r="AA993" s="15" t="n"/>
      <c r="AB993" s="15" t="n"/>
      <c r="AC993" s="15" t="n"/>
      <c r="AD993" s="15" t="n"/>
      <c r="AE993" s="15" t="n"/>
      <c r="AF993" s="15" t="n"/>
      <c r="AG993" s="15" t="n"/>
      <c r="AH993" s="15" t="n"/>
      <c r="AI993" s="15" t="n"/>
    </row>
    <row r="994">
      <c r="A994" s="4" t="inlineStr">
        <is>
          <t>Студент2.4</t>
        </is>
      </c>
      <c r="B994" s="4" t="inlineStr"/>
      <c r="C994" s="4" t="n"/>
      <c r="D994" s="4" t="n"/>
      <c r="E994" s="4" t="n"/>
      <c r="F994" s="15" t="n"/>
      <c r="G994" s="15" t="n"/>
      <c r="H994" s="15" t="n"/>
      <c r="I994" s="15" t="n"/>
      <c r="J994" s="15" t="n"/>
      <c r="K994" s="15" t="n"/>
      <c r="L994" s="15" t="n"/>
      <c r="M994" s="15" t="n"/>
      <c r="N994" s="15" t="n"/>
      <c r="O994" s="15" t="n"/>
      <c r="P994" s="15" t="n"/>
      <c r="Q994" s="15" t="n"/>
      <c r="R994" s="15" t="n"/>
      <c r="S994" s="15" t="n"/>
      <c r="T994" s="15" t="n"/>
      <c r="U994" s="15" t="n"/>
      <c r="V994" s="15" t="n"/>
      <c r="W994" s="15" t="n"/>
      <c r="X994" s="15" t="n"/>
      <c r="Y994" s="15" t="n"/>
      <c r="Z994" s="15" t="n"/>
      <c r="AA994" s="15" t="n"/>
      <c r="AB994" s="15" t="n"/>
      <c r="AC994" s="15" t="n"/>
      <c r="AD994" s="15" t="n"/>
      <c r="AE994" s="15" t="n"/>
      <c r="AF994" s="15" t="n"/>
      <c r="AG994" s="15" t="n"/>
      <c r="AH994" s="15" t="n"/>
      <c r="AI994" s="15" t="n"/>
    </row>
    <row r="995">
      <c r="A995" s="4" t="inlineStr">
        <is>
          <t>Студент2.5</t>
        </is>
      </c>
      <c r="B995" s="4" t="inlineStr"/>
      <c r="C995" s="4" t="n"/>
      <c r="D995" s="4" t="n"/>
      <c r="E995" s="4" t="n"/>
      <c r="F995" s="15" t="n"/>
      <c r="G995" s="15" t="n"/>
      <c r="H995" s="15" t="n"/>
      <c r="I995" s="15" t="n"/>
      <c r="J995" s="15" t="n"/>
      <c r="K995" s="15" t="n"/>
      <c r="L995" s="15" t="n"/>
      <c r="M995" s="15" t="n"/>
      <c r="N995" s="15" t="n"/>
      <c r="O995" s="15" t="n"/>
      <c r="P995" s="15" t="n"/>
      <c r="Q995" s="15" t="n"/>
      <c r="R995" s="15" t="n"/>
      <c r="S995" s="15" t="n"/>
      <c r="T995" s="15" t="n"/>
      <c r="U995" s="15" t="n"/>
      <c r="V995" s="15" t="n"/>
      <c r="W995" s="15" t="n"/>
      <c r="X995" s="15" t="n"/>
      <c r="Y995" s="15" t="n"/>
      <c r="Z995" s="15" t="n"/>
      <c r="AA995" s="15" t="n"/>
      <c r="AB995" s="15" t="n"/>
      <c r="AC995" s="15" t="n"/>
      <c r="AD995" s="15" t="n"/>
      <c r="AE995" s="15" t="n"/>
      <c r="AF995" s="15" t="n"/>
      <c r="AG995" s="15" t="n"/>
      <c r="AH995" s="15" t="n"/>
      <c r="AI995" s="15" t="n"/>
    </row>
    <row r="996">
      <c r="A996" s="4" t="inlineStr">
        <is>
          <t>Студент2.6</t>
        </is>
      </c>
      <c r="B996" s="4" t="inlineStr"/>
      <c r="C996" s="4" t="n"/>
      <c r="D996" s="4" t="n"/>
      <c r="E996" s="4" t="n"/>
      <c r="F996" s="15" t="n"/>
      <c r="G996" s="15" t="n"/>
      <c r="H996" s="15" t="n"/>
      <c r="I996" s="15" t="n"/>
      <c r="J996" s="15" t="n"/>
      <c r="K996" s="15" t="n"/>
      <c r="L996" s="15" t="n"/>
      <c r="M996" s="15" t="n"/>
      <c r="N996" s="15" t="n"/>
      <c r="O996" s="15" t="n"/>
      <c r="P996" s="15" t="n"/>
      <c r="Q996" s="15" t="n"/>
      <c r="R996" s="15" t="n"/>
      <c r="S996" s="15" t="n"/>
      <c r="T996" s="15" t="n"/>
      <c r="U996" s="15" t="n"/>
      <c r="V996" s="15" t="n"/>
      <c r="W996" s="15" t="n"/>
      <c r="X996" s="15" t="n"/>
      <c r="Y996" s="15" t="n"/>
      <c r="Z996" s="15" t="n"/>
      <c r="AA996" s="15" t="n"/>
      <c r="AB996" s="15" t="n"/>
      <c r="AC996" s="15" t="n"/>
      <c r="AD996" s="15" t="n"/>
      <c r="AE996" s="15" t="n"/>
      <c r="AF996" s="15" t="n"/>
      <c r="AG996" s="15" t="n"/>
      <c r="AH996" s="15" t="n"/>
      <c r="AI996" s="15" t="n"/>
    </row>
    <row r="997">
      <c r="A997" s="4" t="inlineStr">
        <is>
          <t>Студент2.7</t>
        </is>
      </c>
      <c r="B997" s="4" t="inlineStr"/>
      <c r="C997" s="4" t="n"/>
      <c r="D997" s="4" t="n"/>
      <c r="E997" s="4" t="n"/>
      <c r="F997" s="15" t="n"/>
      <c r="G997" s="15" t="n"/>
      <c r="H997" s="15" t="n"/>
      <c r="I997" s="15" t="n"/>
      <c r="J997" s="15" t="n"/>
      <c r="K997" s="15" t="n"/>
      <c r="L997" s="15" t="n"/>
      <c r="M997" s="15" t="n"/>
      <c r="N997" s="15" t="n"/>
      <c r="O997" s="15" t="n"/>
      <c r="P997" s="15" t="n"/>
      <c r="Q997" s="15" t="n"/>
      <c r="R997" s="15" t="n"/>
      <c r="S997" s="15" t="n"/>
      <c r="T997" s="15" t="n"/>
      <c r="U997" s="15" t="n"/>
      <c r="V997" s="15" t="n"/>
      <c r="W997" s="15" t="n"/>
      <c r="X997" s="15" t="n"/>
      <c r="Y997" s="15" t="n"/>
      <c r="Z997" s="15" t="n"/>
      <c r="AA997" s="15" t="n"/>
      <c r="AB997" s="15" t="n"/>
      <c r="AC997" s="15" t="n"/>
      <c r="AD997" s="15" t="n"/>
      <c r="AE997" s="15" t="n"/>
      <c r="AF997" s="15" t="n"/>
      <c r="AG997" s="15" t="n"/>
      <c r="AH997" s="15" t="n"/>
      <c r="AI997" s="15" t="n"/>
    </row>
    <row r="998">
      <c r="A998" s="4" t="inlineStr">
        <is>
          <t>Студент2.8</t>
        </is>
      </c>
      <c r="B998" s="4" t="inlineStr"/>
      <c r="C998" s="4" t="n"/>
      <c r="D998" s="4" t="n"/>
      <c r="E998" s="4" t="n"/>
      <c r="F998" s="15" t="n"/>
      <c r="G998" s="15" t="n"/>
      <c r="H998" s="15" t="n"/>
      <c r="I998" s="15" t="n"/>
      <c r="J998" s="15" t="n"/>
      <c r="K998" s="15" t="n"/>
      <c r="L998" s="15" t="n"/>
      <c r="M998" s="15" t="n"/>
      <c r="N998" s="15" t="n"/>
      <c r="O998" s="15" t="n"/>
      <c r="P998" s="15" t="n"/>
      <c r="Q998" s="15" t="n"/>
      <c r="R998" s="15" t="n"/>
      <c r="S998" s="15" t="n"/>
      <c r="T998" s="15" t="n"/>
      <c r="U998" s="15" t="n"/>
      <c r="V998" s="15" t="n"/>
      <c r="W998" s="15" t="n"/>
      <c r="X998" s="15" t="n"/>
      <c r="Y998" s="15" t="n"/>
      <c r="Z998" s="15" t="n"/>
      <c r="AA998" s="15" t="n"/>
      <c r="AB998" s="15" t="n"/>
      <c r="AC998" s="15" t="n"/>
      <c r="AD998" s="15" t="n"/>
      <c r="AE998" s="15" t="n"/>
      <c r="AF998" s="15" t="n"/>
      <c r="AG998" s="15" t="n"/>
      <c r="AH998" s="15" t="n"/>
      <c r="AI998" s="15" t="n"/>
    </row>
    <row r="999">
      <c r="A999" s="4" t="inlineStr">
        <is>
          <t>Студент2.9</t>
        </is>
      </c>
      <c r="B999" s="4" t="inlineStr"/>
      <c r="C999" s="4" t="n"/>
      <c r="D999" s="4" t="n"/>
      <c r="E999" s="4" t="n"/>
      <c r="F999" s="15" t="n"/>
      <c r="G999" s="15" t="n"/>
      <c r="H999" s="15" t="n"/>
      <c r="I999" s="15" t="n"/>
      <c r="J999" s="15" t="n"/>
      <c r="K999" s="15" t="n"/>
      <c r="L999" s="15" t="n"/>
      <c r="M999" s="15" t="n"/>
      <c r="N999" s="15" t="n"/>
      <c r="O999" s="15" t="n"/>
      <c r="P999" s="15" t="n"/>
      <c r="Q999" s="15" t="n"/>
      <c r="R999" s="15" t="n"/>
      <c r="S999" s="15" t="n"/>
      <c r="T999" s="15" t="n"/>
      <c r="U999" s="15" t="n"/>
      <c r="V999" s="15" t="n"/>
      <c r="W999" s="15" t="n"/>
      <c r="X999" s="15" t="n"/>
      <c r="Y999" s="15" t="n"/>
      <c r="Z999" s="15" t="n"/>
      <c r="AA999" s="15" t="n"/>
      <c r="AB999" s="15" t="n"/>
      <c r="AC999" s="15" t="n"/>
      <c r="AD999" s="15" t="n"/>
      <c r="AE999" s="15" t="n"/>
      <c r="AF999" s="15" t="n"/>
      <c r="AG999" s="15" t="n"/>
      <c r="AH999" s="15" t="n"/>
      <c r="AI999" s="15" t="n"/>
    </row>
    <row r="1000">
      <c r="A1000" s="4" t="inlineStr">
        <is>
          <t>Студент2.10</t>
        </is>
      </c>
      <c r="B1000" s="4" t="inlineStr"/>
      <c r="C1000" s="4" t="n"/>
      <c r="D1000" s="4" t="n"/>
      <c r="E1000" s="4" t="n"/>
      <c r="F1000" s="15" t="n"/>
      <c r="G1000" s="15" t="n"/>
      <c r="H1000" s="15" t="n"/>
      <c r="I1000" s="15" t="n"/>
      <c r="J1000" s="15" t="n"/>
      <c r="K1000" s="15" t="n"/>
      <c r="L1000" s="15" t="n"/>
      <c r="M1000" s="15" t="n"/>
      <c r="N1000" s="15" t="n"/>
      <c r="O1000" s="15" t="n"/>
      <c r="P1000" s="15" t="n"/>
      <c r="Q1000" s="15" t="n"/>
      <c r="R1000" s="15" t="n"/>
      <c r="S1000" s="15" t="n"/>
      <c r="T1000" s="15" t="n"/>
      <c r="U1000" s="15" t="n"/>
      <c r="V1000" s="15" t="n"/>
      <c r="W1000" s="15" t="n"/>
      <c r="X1000" s="15" t="n"/>
      <c r="Y1000" s="15" t="n"/>
      <c r="Z1000" s="15" t="n"/>
      <c r="AA1000" s="15" t="n"/>
      <c r="AB1000" s="15" t="n"/>
      <c r="AC1000" s="15" t="n"/>
      <c r="AD1000" s="15" t="n"/>
      <c r="AE1000" s="15" t="n"/>
      <c r="AF1000" s="15" t="n"/>
      <c r="AG1000" s="15" t="n"/>
      <c r="AH1000" s="15" t="n"/>
      <c r="AI1000" s="15" t="n"/>
    </row>
    <row r="1001">
      <c r="A1001" s="4" t="inlineStr">
        <is>
          <t>Студент2.11</t>
        </is>
      </c>
      <c r="B1001" s="4" t="inlineStr"/>
      <c r="C1001" s="4" t="n"/>
      <c r="D1001" s="4" t="n"/>
      <c r="E1001" s="4" t="n"/>
      <c r="F1001" s="15" t="n"/>
      <c r="G1001" s="15" t="n"/>
      <c r="H1001" s="15" t="n"/>
      <c r="I1001" s="15" t="n"/>
      <c r="J1001" s="15" t="n"/>
      <c r="K1001" s="15" t="n"/>
      <c r="L1001" s="15" t="n"/>
      <c r="M1001" s="15" t="n"/>
      <c r="N1001" s="15" t="n"/>
      <c r="O1001" s="15" t="n"/>
      <c r="P1001" s="15" t="n"/>
      <c r="Q1001" s="15" t="n"/>
      <c r="R1001" s="15" t="n"/>
      <c r="S1001" s="15" t="n"/>
      <c r="T1001" s="15" t="n"/>
      <c r="U1001" s="15" t="n"/>
      <c r="V1001" s="15" t="n"/>
      <c r="W1001" s="15" t="n"/>
      <c r="X1001" s="15" t="n"/>
      <c r="Y1001" s="15" t="n"/>
      <c r="Z1001" s="15" t="n"/>
      <c r="AA1001" s="15" t="n"/>
      <c r="AB1001" s="15" t="n"/>
      <c r="AC1001" s="15" t="n"/>
      <c r="AD1001" s="15" t="n"/>
      <c r="AE1001" s="15" t="n"/>
      <c r="AF1001" s="15" t="n"/>
      <c r="AG1001" s="15" t="n"/>
      <c r="AH1001" s="15" t="n"/>
      <c r="AI1001" s="15" t="n"/>
    </row>
    <row r="1002">
      <c r="A1002" s="4" t="inlineStr">
        <is>
          <t>Студент2.12</t>
        </is>
      </c>
      <c r="B1002" s="4" t="inlineStr"/>
      <c r="C1002" s="4" t="n"/>
      <c r="D1002" s="4" t="n"/>
      <c r="E1002" s="4" t="n"/>
      <c r="F1002" s="15" t="n"/>
      <c r="G1002" s="15" t="n"/>
      <c r="H1002" s="15" t="n"/>
      <c r="I1002" s="15" t="n"/>
      <c r="J1002" s="15" t="n"/>
      <c r="K1002" s="15" t="n"/>
      <c r="L1002" s="15" t="n"/>
      <c r="M1002" s="15" t="n"/>
      <c r="N1002" s="15" t="n"/>
      <c r="O1002" s="15" t="n"/>
      <c r="P1002" s="15" t="n"/>
      <c r="Q1002" s="15" t="n"/>
      <c r="R1002" s="15" t="n"/>
      <c r="S1002" s="15" t="n"/>
      <c r="T1002" s="15" t="n"/>
      <c r="U1002" s="15" t="n"/>
      <c r="V1002" s="15" t="n"/>
      <c r="W1002" s="15" t="n"/>
      <c r="X1002" s="15" t="n"/>
      <c r="Y1002" s="15" t="n"/>
      <c r="Z1002" s="15" t="n"/>
      <c r="AA1002" s="15" t="n"/>
      <c r="AB1002" s="15" t="n"/>
      <c r="AC1002" s="15" t="n"/>
      <c r="AD1002" s="15" t="n"/>
      <c r="AE1002" s="15" t="n"/>
      <c r="AF1002" s="15" t="n"/>
      <c r="AG1002" s="15" t="n"/>
      <c r="AH1002" s="15" t="n"/>
      <c r="AI1002" s="15" t="n"/>
    </row>
    <row r="1003">
      <c r="A1003" s="4" t="inlineStr">
        <is>
          <t>Студент2.13</t>
        </is>
      </c>
      <c r="B1003" s="4" t="inlineStr"/>
      <c r="C1003" s="4" t="n"/>
      <c r="D1003" s="4" t="n"/>
      <c r="E1003" s="4" t="n"/>
      <c r="F1003" s="15" t="n"/>
      <c r="G1003" s="15" t="n"/>
      <c r="H1003" s="15" t="n"/>
      <c r="I1003" s="15" t="n"/>
      <c r="J1003" s="15" t="n"/>
      <c r="K1003" s="15" t="n"/>
      <c r="L1003" s="15" t="n"/>
      <c r="M1003" s="15" t="n"/>
      <c r="N1003" s="15" t="n"/>
      <c r="O1003" s="15" t="n"/>
      <c r="P1003" s="15" t="n"/>
      <c r="Q1003" s="15" t="n"/>
      <c r="R1003" s="15" t="n"/>
      <c r="S1003" s="15" t="n"/>
      <c r="T1003" s="15" t="n"/>
      <c r="U1003" s="15" t="n"/>
      <c r="V1003" s="15" t="n"/>
      <c r="W1003" s="15" t="n"/>
      <c r="X1003" s="15" t="n"/>
      <c r="Y1003" s="15" t="n"/>
      <c r="Z1003" s="15" t="n"/>
      <c r="AA1003" s="15" t="n"/>
      <c r="AB1003" s="15" t="n"/>
      <c r="AC1003" s="15" t="n"/>
      <c r="AD1003" s="15" t="n"/>
      <c r="AE1003" s="15" t="n"/>
      <c r="AF1003" s="15" t="n"/>
      <c r="AG1003" s="15" t="n"/>
      <c r="AH1003" s="15" t="n"/>
      <c r="AI1003" s="15" t="n"/>
    </row>
    <row r="1004">
      <c r="A1004" s="4" t="inlineStr">
        <is>
          <t>Студент2.14</t>
        </is>
      </c>
      <c r="B1004" s="4" t="inlineStr"/>
      <c r="C1004" s="4" t="n"/>
      <c r="D1004" s="4" t="n"/>
      <c r="E1004" s="4" t="n"/>
      <c r="F1004" s="15" t="n"/>
      <c r="G1004" s="15" t="n"/>
      <c r="H1004" s="15" t="n"/>
      <c r="I1004" s="15" t="n"/>
      <c r="J1004" s="15" t="n"/>
      <c r="K1004" s="15" t="n"/>
      <c r="L1004" s="15" t="n"/>
      <c r="M1004" s="15" t="n"/>
      <c r="N1004" s="15" t="n"/>
      <c r="O1004" s="15" t="n"/>
      <c r="P1004" s="15" t="n"/>
      <c r="Q1004" s="15" t="n"/>
      <c r="R1004" s="15" t="n"/>
      <c r="S1004" s="15" t="n"/>
      <c r="T1004" s="15" t="n"/>
      <c r="U1004" s="15" t="n"/>
      <c r="V1004" s="15" t="n"/>
      <c r="W1004" s="15" t="n"/>
      <c r="X1004" s="15" t="n"/>
      <c r="Y1004" s="15" t="n"/>
      <c r="Z1004" s="15" t="n"/>
      <c r="AA1004" s="15" t="n"/>
      <c r="AB1004" s="15" t="n"/>
      <c r="AC1004" s="15" t="n"/>
      <c r="AD1004" s="15" t="n"/>
      <c r="AE1004" s="15" t="n"/>
      <c r="AF1004" s="15" t="n"/>
      <c r="AG1004" s="15" t="n"/>
      <c r="AH1004" s="15" t="n"/>
      <c r="AI1004" s="15" t="n"/>
    </row>
    <row r="1005">
      <c r="A1005" s="4" t="inlineStr">
        <is>
          <t>Студент2.15</t>
        </is>
      </c>
      <c r="B1005" s="4" t="inlineStr"/>
      <c r="C1005" s="4" t="n"/>
      <c r="D1005" s="4" t="n"/>
      <c r="E1005" s="4" t="n"/>
      <c r="F1005" s="15" t="n"/>
      <c r="G1005" s="15" t="n"/>
      <c r="H1005" s="15" t="n"/>
      <c r="I1005" s="15" t="n"/>
      <c r="J1005" s="15" t="n"/>
      <c r="K1005" s="15" t="n"/>
      <c r="L1005" s="15" t="n"/>
      <c r="M1005" s="15" t="n"/>
      <c r="N1005" s="15" t="n"/>
      <c r="O1005" s="15" t="n"/>
      <c r="P1005" s="15" t="n"/>
      <c r="Q1005" s="15" t="n"/>
      <c r="R1005" s="15" t="n"/>
      <c r="S1005" s="15" t="n"/>
      <c r="T1005" s="15" t="n"/>
      <c r="U1005" s="15" t="n"/>
      <c r="V1005" s="15" t="n"/>
      <c r="W1005" s="15" t="n"/>
      <c r="X1005" s="15" t="n"/>
      <c r="Y1005" s="15" t="n"/>
      <c r="Z1005" s="15" t="n"/>
      <c r="AA1005" s="15" t="n"/>
      <c r="AB1005" s="15" t="n"/>
      <c r="AC1005" s="15" t="n"/>
      <c r="AD1005" s="15" t="n"/>
      <c r="AE1005" s="15" t="n"/>
      <c r="AF1005" s="15" t="n"/>
      <c r="AG1005" s="15" t="n"/>
      <c r="AH1005" s="15" t="n"/>
      <c r="AI1005" s="15" t="n"/>
    </row>
    <row r="1006">
      <c r="A1006" s="4" t="inlineStr">
        <is>
          <t>Студент2.16</t>
        </is>
      </c>
      <c r="B1006" s="4" t="inlineStr"/>
      <c r="C1006" s="4" t="n"/>
      <c r="D1006" s="4" t="n"/>
      <c r="E1006" s="4" t="n"/>
      <c r="F1006" s="15" t="n"/>
      <c r="G1006" s="15" t="n"/>
      <c r="H1006" s="15" t="n"/>
      <c r="I1006" s="15" t="n"/>
      <c r="J1006" s="15" t="n"/>
      <c r="K1006" s="15" t="n"/>
      <c r="L1006" s="15" t="n"/>
      <c r="M1006" s="15" t="n"/>
      <c r="N1006" s="15" t="n"/>
      <c r="O1006" s="15" t="n"/>
      <c r="P1006" s="15" t="n"/>
      <c r="Q1006" s="15" t="n"/>
      <c r="R1006" s="15" t="n"/>
      <c r="S1006" s="15" t="n"/>
      <c r="T1006" s="15" t="n"/>
      <c r="U1006" s="15" t="n"/>
      <c r="V1006" s="15" t="n"/>
      <c r="W1006" s="15" t="n"/>
      <c r="X1006" s="15" t="n"/>
      <c r="Y1006" s="15" t="n"/>
      <c r="Z1006" s="15" t="n"/>
      <c r="AA1006" s="15" t="n"/>
      <c r="AB1006" s="15" t="n"/>
      <c r="AC1006" s="15" t="n"/>
      <c r="AD1006" s="15" t="n"/>
      <c r="AE1006" s="15" t="n"/>
      <c r="AF1006" s="15" t="n"/>
      <c r="AG1006" s="15" t="n"/>
      <c r="AH1006" s="15" t="n"/>
      <c r="AI1006" s="15" t="n"/>
    </row>
    <row r="1007">
      <c r="A1007" s="4" t="inlineStr">
        <is>
          <t>Студент2.17</t>
        </is>
      </c>
      <c r="B1007" s="4" t="inlineStr"/>
      <c r="C1007" s="4" t="n"/>
      <c r="D1007" s="4" t="n"/>
      <c r="E1007" s="4" t="n"/>
      <c r="F1007" s="15" t="n"/>
      <c r="G1007" s="15" t="n"/>
      <c r="H1007" s="15" t="n"/>
      <c r="I1007" s="15" t="n"/>
      <c r="J1007" s="15" t="n"/>
      <c r="K1007" s="15" t="n"/>
      <c r="L1007" s="15" t="n"/>
      <c r="M1007" s="15" t="n"/>
      <c r="N1007" s="15" t="n"/>
      <c r="O1007" s="15" t="n"/>
      <c r="P1007" s="15" t="n"/>
      <c r="Q1007" s="15" t="n"/>
      <c r="R1007" s="15" t="n"/>
      <c r="S1007" s="15" t="n"/>
      <c r="T1007" s="15" t="n"/>
      <c r="U1007" s="15" t="n"/>
      <c r="V1007" s="15" t="n"/>
      <c r="W1007" s="15" t="n"/>
      <c r="X1007" s="15" t="n"/>
      <c r="Y1007" s="15" t="n"/>
      <c r="Z1007" s="15" t="n"/>
      <c r="AA1007" s="15" t="n"/>
      <c r="AB1007" s="15" t="n"/>
      <c r="AC1007" s="15" t="n"/>
      <c r="AD1007" s="15" t="n"/>
      <c r="AE1007" s="15" t="n"/>
      <c r="AF1007" s="15" t="n"/>
      <c r="AG1007" s="15" t="n"/>
      <c r="AH1007" s="15" t="n"/>
      <c r="AI1007" s="15" t="n"/>
    </row>
    <row r="1008">
      <c r="A1008" s="4" t="inlineStr">
        <is>
          <t>Студент2.18</t>
        </is>
      </c>
      <c r="B1008" s="4" t="inlineStr"/>
      <c r="C1008" s="4" t="n"/>
      <c r="D1008" s="4" t="n"/>
      <c r="E1008" s="4" t="n"/>
      <c r="F1008" s="15" t="n"/>
      <c r="G1008" s="15" t="n"/>
      <c r="H1008" s="15" t="n"/>
      <c r="I1008" s="15" t="n"/>
      <c r="J1008" s="15" t="n"/>
      <c r="K1008" s="15" t="n"/>
      <c r="L1008" s="15" t="n"/>
      <c r="M1008" s="15" t="n"/>
      <c r="N1008" s="15" t="n"/>
      <c r="O1008" s="15" t="n"/>
      <c r="P1008" s="15" t="n"/>
      <c r="Q1008" s="15" t="n"/>
      <c r="R1008" s="15" t="n"/>
      <c r="S1008" s="15" t="n"/>
      <c r="T1008" s="15" t="n"/>
      <c r="U1008" s="15" t="n"/>
      <c r="V1008" s="15" t="n"/>
      <c r="W1008" s="15" t="n"/>
      <c r="X1008" s="15" t="n"/>
      <c r="Y1008" s="15" t="n"/>
      <c r="Z1008" s="15" t="n"/>
      <c r="AA1008" s="15" t="n"/>
      <c r="AB1008" s="15" t="n"/>
      <c r="AC1008" s="15" t="n"/>
      <c r="AD1008" s="15" t="n"/>
      <c r="AE1008" s="15" t="n"/>
      <c r="AF1008" s="15" t="n"/>
      <c r="AG1008" s="15" t="n"/>
      <c r="AH1008" s="15" t="n"/>
      <c r="AI1008" s="15" t="n"/>
    </row>
    <row r="1009">
      <c r="A1009" s="4" t="inlineStr">
        <is>
          <t>Студент2.19</t>
        </is>
      </c>
      <c r="B1009" s="4" t="inlineStr"/>
      <c r="C1009" s="4" t="n"/>
      <c r="D1009" s="4" t="n"/>
      <c r="E1009" s="4" t="n"/>
      <c r="F1009" s="15" t="n"/>
      <c r="G1009" s="15" t="n"/>
      <c r="H1009" s="15" t="n"/>
      <c r="I1009" s="15" t="n"/>
      <c r="J1009" s="15" t="n"/>
      <c r="K1009" s="15" t="n"/>
      <c r="L1009" s="15" t="n"/>
      <c r="M1009" s="15" t="n"/>
      <c r="N1009" s="15" t="n"/>
      <c r="O1009" s="15" t="n"/>
      <c r="P1009" s="15" t="n"/>
      <c r="Q1009" s="15" t="n"/>
      <c r="R1009" s="15" t="n"/>
      <c r="S1009" s="15" t="n"/>
      <c r="T1009" s="15" t="n"/>
      <c r="U1009" s="15" t="n"/>
      <c r="V1009" s="15" t="n"/>
      <c r="W1009" s="15" t="n"/>
      <c r="X1009" s="15" t="n"/>
      <c r="Y1009" s="15" t="n"/>
      <c r="Z1009" s="15" t="n"/>
      <c r="AA1009" s="15" t="n"/>
      <c r="AB1009" s="15" t="n"/>
      <c r="AC1009" s="15" t="n"/>
      <c r="AD1009" s="15" t="n"/>
      <c r="AE1009" s="15" t="n"/>
      <c r="AF1009" s="15" t="n"/>
      <c r="AG1009" s="15" t="n"/>
      <c r="AH1009" s="15" t="n"/>
      <c r="AI1009" s="15" t="n"/>
    </row>
    <row r="1010">
      <c r="A1010" s="4" t="inlineStr">
        <is>
          <t>Студент2.20</t>
        </is>
      </c>
      <c r="B1010" s="4" t="inlineStr"/>
      <c r="C1010" s="4" t="n"/>
      <c r="D1010" s="4" t="n"/>
      <c r="E1010" s="4" t="n"/>
      <c r="F1010" s="15" t="n"/>
      <c r="G1010" s="15" t="n"/>
      <c r="H1010" s="15" t="n"/>
      <c r="I1010" s="15" t="n"/>
      <c r="J1010" s="15" t="n"/>
      <c r="K1010" s="15" t="n"/>
      <c r="L1010" s="15" t="n"/>
      <c r="M1010" s="15" t="n"/>
      <c r="N1010" s="15" t="n"/>
      <c r="O1010" s="15" t="n"/>
      <c r="P1010" s="15" t="n"/>
      <c r="Q1010" s="15" t="n"/>
      <c r="R1010" s="15" t="n"/>
      <c r="S1010" s="15" t="n"/>
      <c r="T1010" s="15" t="n"/>
      <c r="U1010" s="15" t="n"/>
      <c r="V1010" s="15" t="n"/>
      <c r="W1010" s="15" t="n"/>
      <c r="X1010" s="15" t="n"/>
      <c r="Y1010" s="15" t="n"/>
      <c r="Z1010" s="15" t="n"/>
      <c r="AA1010" s="15" t="n"/>
      <c r="AB1010" s="15" t="n"/>
      <c r="AC1010" s="15" t="n"/>
      <c r="AD1010" s="15" t="n"/>
      <c r="AE1010" s="15" t="n"/>
      <c r="AF1010" s="15" t="n"/>
      <c r="AG1010" s="15" t="n"/>
      <c r="AH1010" s="15" t="n"/>
      <c r="AI1010" s="15" t="n"/>
    </row>
    <row r="1011">
      <c r="A1011" s="4" t="inlineStr">
        <is>
          <t>Студент2.21</t>
        </is>
      </c>
      <c r="B1011" s="4" t="inlineStr"/>
      <c r="C1011" s="4" t="n"/>
      <c r="D1011" s="4" t="n"/>
      <c r="E1011" s="4" t="n"/>
      <c r="F1011" s="15" t="n"/>
      <c r="G1011" s="15" t="n"/>
      <c r="H1011" s="15" t="n"/>
      <c r="I1011" s="15" t="n"/>
      <c r="J1011" s="15" t="n"/>
      <c r="K1011" s="15" t="n"/>
      <c r="L1011" s="15" t="n"/>
      <c r="M1011" s="15" t="n"/>
      <c r="N1011" s="15" t="n"/>
      <c r="O1011" s="15" t="n"/>
      <c r="P1011" s="15" t="n"/>
      <c r="Q1011" s="15" t="n"/>
      <c r="R1011" s="15" t="n"/>
      <c r="S1011" s="15" t="n"/>
      <c r="T1011" s="15" t="n"/>
      <c r="U1011" s="15" t="n"/>
      <c r="V1011" s="15" t="n"/>
      <c r="W1011" s="15" t="n"/>
      <c r="X1011" s="15" t="n"/>
      <c r="Y1011" s="15" t="n"/>
      <c r="Z1011" s="15" t="n"/>
      <c r="AA1011" s="15" t="n"/>
      <c r="AB1011" s="15" t="n"/>
      <c r="AC1011" s="15" t="n"/>
      <c r="AD1011" s="15" t="n"/>
      <c r="AE1011" s="15" t="n"/>
      <c r="AF1011" s="15" t="n"/>
      <c r="AG1011" s="15" t="n"/>
      <c r="AH1011" s="15" t="n"/>
      <c r="AI1011" s="15" t="n"/>
    </row>
    <row r="1012">
      <c r="A1012" s="4" t="inlineStr">
        <is>
          <t>Студент2.22</t>
        </is>
      </c>
      <c r="B1012" s="4" t="inlineStr"/>
      <c r="C1012" s="4" t="n"/>
      <c r="D1012" s="4" t="n"/>
      <c r="E1012" s="4" t="n"/>
      <c r="F1012" s="15" t="n"/>
      <c r="G1012" s="15" t="n"/>
      <c r="H1012" s="15" t="n"/>
      <c r="I1012" s="15" t="n"/>
      <c r="J1012" s="15" t="n"/>
      <c r="K1012" s="15" t="n"/>
      <c r="L1012" s="15" t="n"/>
      <c r="M1012" s="15" t="n"/>
      <c r="N1012" s="15" t="n"/>
      <c r="O1012" s="15" t="n"/>
      <c r="P1012" s="15" t="n"/>
      <c r="Q1012" s="15" t="n"/>
      <c r="R1012" s="15" t="n"/>
      <c r="S1012" s="15" t="n"/>
      <c r="T1012" s="15" t="n"/>
      <c r="U1012" s="15" t="n"/>
      <c r="V1012" s="15" t="n"/>
      <c r="W1012" s="15" t="n"/>
      <c r="X1012" s="15" t="n"/>
      <c r="Y1012" s="15" t="n"/>
      <c r="Z1012" s="15" t="n"/>
      <c r="AA1012" s="15" t="n"/>
      <c r="AB1012" s="15" t="n"/>
      <c r="AC1012" s="15" t="n"/>
      <c r="AD1012" s="15" t="n"/>
      <c r="AE1012" s="15" t="n"/>
      <c r="AF1012" s="15" t="n"/>
      <c r="AG1012" s="15" t="n"/>
      <c r="AH1012" s="15" t="n"/>
      <c r="AI1012" s="15" t="n"/>
    </row>
    <row r="1013">
      <c r="A1013" s="4" t="inlineStr">
        <is>
          <t>Студент2.23</t>
        </is>
      </c>
      <c r="B1013" s="4" t="inlineStr"/>
      <c r="C1013" s="4" t="n"/>
      <c r="D1013" s="4" t="n"/>
      <c r="E1013" s="4" t="n"/>
      <c r="F1013" s="15" t="n"/>
      <c r="G1013" s="15" t="n"/>
      <c r="H1013" s="15" t="n"/>
      <c r="I1013" s="15" t="n"/>
      <c r="J1013" s="15" t="n"/>
      <c r="K1013" s="15" t="n"/>
      <c r="L1013" s="15" t="n"/>
      <c r="M1013" s="15" t="n"/>
      <c r="N1013" s="15" t="n"/>
      <c r="O1013" s="15" t="n"/>
      <c r="P1013" s="15" t="n"/>
      <c r="Q1013" s="15" t="n"/>
      <c r="R1013" s="15" t="n"/>
      <c r="S1013" s="15" t="n"/>
      <c r="T1013" s="15" t="n"/>
      <c r="U1013" s="15" t="n"/>
      <c r="V1013" s="15" t="n"/>
      <c r="W1013" s="15" t="n"/>
      <c r="X1013" s="15" t="n"/>
      <c r="Y1013" s="15" t="n"/>
      <c r="Z1013" s="15" t="n"/>
      <c r="AA1013" s="15" t="n"/>
      <c r="AB1013" s="15" t="n"/>
      <c r="AC1013" s="15" t="n"/>
      <c r="AD1013" s="15" t="n"/>
      <c r="AE1013" s="15" t="n"/>
      <c r="AF1013" s="15" t="n"/>
      <c r="AG1013" s="15" t="n"/>
      <c r="AH1013" s="15" t="n"/>
      <c r="AI1013" s="15" t="n"/>
    </row>
    <row r="1014">
      <c r="A1014" s="4" t="inlineStr">
        <is>
          <t>Студент2.24</t>
        </is>
      </c>
      <c r="B1014" s="4" t="inlineStr"/>
      <c r="C1014" s="4" t="n"/>
      <c r="D1014" s="4" t="n"/>
      <c r="E1014" s="4" t="n"/>
      <c r="F1014" s="15" t="n"/>
      <c r="G1014" s="15" t="n"/>
      <c r="H1014" s="15" t="n"/>
      <c r="I1014" s="15" t="n"/>
      <c r="J1014" s="15" t="n"/>
      <c r="K1014" s="15" t="n"/>
      <c r="L1014" s="15" t="n"/>
      <c r="M1014" s="15" t="n"/>
      <c r="N1014" s="15" t="n"/>
      <c r="O1014" s="15" t="n"/>
      <c r="P1014" s="15" t="n"/>
      <c r="Q1014" s="15" t="n"/>
      <c r="R1014" s="15" t="n"/>
      <c r="S1014" s="15" t="n"/>
      <c r="T1014" s="15" t="n"/>
      <c r="U1014" s="15" t="n"/>
      <c r="V1014" s="15" t="n"/>
      <c r="W1014" s="15" t="n"/>
      <c r="X1014" s="15" t="n"/>
      <c r="Y1014" s="15" t="n"/>
      <c r="Z1014" s="15" t="n"/>
      <c r="AA1014" s="15" t="n"/>
      <c r="AB1014" s="15" t="n"/>
      <c r="AC1014" s="15" t="n"/>
      <c r="AD1014" s="15" t="n"/>
      <c r="AE1014" s="15" t="n"/>
      <c r="AF1014" s="15" t="n"/>
      <c r="AG1014" s="15" t="n"/>
      <c r="AH1014" s="15" t="n"/>
      <c r="AI1014" s="15" t="n"/>
    </row>
    <row r="1015">
      <c r="A1015" s="4" t="inlineStr">
        <is>
          <t>Студент2.25</t>
        </is>
      </c>
      <c r="B1015" s="4" t="inlineStr"/>
      <c r="C1015" s="4" t="n"/>
      <c r="D1015" s="4" t="n"/>
      <c r="E1015" s="4" t="n"/>
      <c r="F1015" s="15" t="n"/>
      <c r="G1015" s="15" t="n"/>
      <c r="H1015" s="15" t="n"/>
      <c r="I1015" s="15" t="n"/>
      <c r="J1015" s="15" t="n"/>
      <c r="K1015" s="15" t="n"/>
      <c r="L1015" s="15" t="n"/>
      <c r="M1015" s="15" t="n"/>
      <c r="N1015" s="15" t="n"/>
      <c r="O1015" s="15" t="n"/>
      <c r="P1015" s="15" t="n"/>
      <c r="Q1015" s="15" t="n"/>
      <c r="R1015" s="15" t="n"/>
      <c r="S1015" s="15" t="n"/>
      <c r="T1015" s="15" t="n"/>
      <c r="U1015" s="15" t="n"/>
      <c r="V1015" s="15" t="n"/>
      <c r="W1015" s="15" t="n"/>
      <c r="X1015" s="15" t="n"/>
      <c r="Y1015" s="15" t="n"/>
      <c r="Z1015" s="15" t="n"/>
      <c r="AA1015" s="15" t="n"/>
      <c r="AB1015" s="15" t="n"/>
      <c r="AC1015" s="15" t="n"/>
      <c r="AD1015" s="15" t="n"/>
      <c r="AE1015" s="15" t="n"/>
      <c r="AF1015" s="15" t="n"/>
      <c r="AG1015" s="15" t="n"/>
      <c r="AH1015" s="15" t="n"/>
      <c r="AI1015" s="15" t="n"/>
    </row>
    <row r="1016">
      <c r="A1016" s="4" t="inlineStr">
        <is>
          <t>Студент2.26</t>
        </is>
      </c>
      <c r="B1016" s="4" t="inlineStr"/>
      <c r="C1016" s="4" t="n"/>
      <c r="D1016" s="4" t="n"/>
      <c r="E1016" s="4" t="n"/>
      <c r="F1016" s="15" t="n"/>
      <c r="G1016" s="15" t="n"/>
      <c r="H1016" s="15" t="n"/>
      <c r="I1016" s="15" t="n"/>
      <c r="J1016" s="15" t="n"/>
      <c r="K1016" s="15" t="n"/>
      <c r="L1016" s="15" t="n"/>
      <c r="M1016" s="15" t="n"/>
      <c r="N1016" s="15" t="n"/>
      <c r="O1016" s="15" t="n"/>
      <c r="P1016" s="15" t="n"/>
      <c r="Q1016" s="15" t="n"/>
      <c r="R1016" s="15" t="n"/>
      <c r="S1016" s="15" t="n"/>
      <c r="T1016" s="15" t="n"/>
      <c r="U1016" s="15" t="n"/>
      <c r="V1016" s="15" t="n"/>
      <c r="W1016" s="15" t="n"/>
      <c r="X1016" s="15" t="n"/>
      <c r="Y1016" s="15" t="n"/>
      <c r="Z1016" s="15" t="n"/>
      <c r="AA1016" s="15" t="n"/>
      <c r="AB1016" s="15" t="n"/>
      <c r="AC1016" s="15" t="n"/>
      <c r="AD1016" s="15" t="n"/>
      <c r="AE1016" s="15" t="n"/>
      <c r="AF1016" s="15" t="n"/>
      <c r="AG1016" s="15" t="n"/>
      <c r="AH1016" s="15" t="n"/>
      <c r="AI1016" s="15" t="n"/>
    </row>
    <row r="1017">
      <c r="A1017" s="4" t="inlineStr">
        <is>
          <t>Студент2.27</t>
        </is>
      </c>
      <c r="B1017" s="4" t="inlineStr"/>
      <c r="C1017" s="4" t="n"/>
      <c r="D1017" s="4" t="n"/>
      <c r="E1017" s="4" t="n"/>
      <c r="F1017" s="15" t="n"/>
      <c r="G1017" s="15" t="n"/>
      <c r="H1017" s="15" t="n"/>
      <c r="I1017" s="15" t="n"/>
      <c r="J1017" s="15" t="n"/>
      <c r="K1017" s="15" t="n"/>
      <c r="L1017" s="15" t="n"/>
      <c r="M1017" s="15" t="n"/>
      <c r="N1017" s="15" t="n"/>
      <c r="O1017" s="15" t="n"/>
      <c r="P1017" s="15" t="n"/>
      <c r="Q1017" s="15" t="n"/>
      <c r="R1017" s="15" t="n"/>
      <c r="S1017" s="15" t="n"/>
      <c r="T1017" s="15" t="n"/>
      <c r="U1017" s="15" t="n"/>
      <c r="V1017" s="15" t="n"/>
      <c r="W1017" s="15" t="n"/>
      <c r="X1017" s="15" t="n"/>
      <c r="Y1017" s="15" t="n"/>
      <c r="Z1017" s="15" t="n"/>
      <c r="AA1017" s="15" t="n"/>
      <c r="AB1017" s="15" t="n"/>
      <c r="AC1017" s="15" t="n"/>
      <c r="AD1017" s="15" t="n"/>
      <c r="AE1017" s="15" t="n"/>
      <c r="AF1017" s="15" t="n"/>
      <c r="AG1017" s="15" t="n"/>
      <c r="AH1017" s="15" t="n"/>
      <c r="AI1017" s="15" t="n"/>
    </row>
    <row r="1018">
      <c r="A1018" s="4" t="inlineStr">
        <is>
          <t>Студент2.28</t>
        </is>
      </c>
      <c r="B1018" s="4" t="inlineStr"/>
      <c r="C1018" s="4" t="n"/>
      <c r="D1018" s="4" t="n"/>
      <c r="E1018" s="4" t="n"/>
      <c r="F1018" s="15" t="n"/>
      <c r="G1018" s="15" t="n"/>
      <c r="H1018" s="15" t="n"/>
      <c r="I1018" s="15" t="n"/>
      <c r="J1018" s="15" t="n"/>
      <c r="K1018" s="15" t="n"/>
      <c r="L1018" s="15" t="n"/>
      <c r="M1018" s="15" t="n"/>
      <c r="N1018" s="15" t="n"/>
      <c r="O1018" s="15" t="n"/>
      <c r="P1018" s="15" t="n"/>
      <c r="Q1018" s="15" t="n"/>
      <c r="R1018" s="15" t="n"/>
      <c r="S1018" s="15" t="n"/>
      <c r="T1018" s="15" t="n"/>
      <c r="U1018" s="15" t="n"/>
      <c r="V1018" s="15" t="n"/>
      <c r="W1018" s="15" t="n"/>
      <c r="X1018" s="15" t="n"/>
      <c r="Y1018" s="15" t="n"/>
      <c r="Z1018" s="15" t="n"/>
      <c r="AA1018" s="15" t="n"/>
      <c r="AB1018" s="15" t="n"/>
      <c r="AC1018" s="15" t="n"/>
      <c r="AD1018" s="15" t="n"/>
      <c r="AE1018" s="15" t="n"/>
      <c r="AF1018" s="15" t="n"/>
      <c r="AG1018" s="15" t="n"/>
      <c r="AH1018" s="15" t="n"/>
      <c r="AI1018" s="15" t="n"/>
    </row>
    <row r="1019">
      <c r="A1019" s="4" t="inlineStr">
        <is>
          <t>Студент2.29</t>
        </is>
      </c>
      <c r="B1019" s="4" t="inlineStr"/>
      <c r="C1019" s="4" t="n"/>
      <c r="D1019" s="4" t="n"/>
      <c r="E1019" s="4" t="n"/>
      <c r="F1019" s="15" t="n"/>
      <c r="G1019" s="15" t="n"/>
      <c r="H1019" s="15" t="n"/>
      <c r="I1019" s="15" t="n"/>
      <c r="J1019" s="15" t="n"/>
      <c r="K1019" s="15" t="n"/>
      <c r="L1019" s="15" t="n"/>
      <c r="M1019" s="15" t="n"/>
      <c r="N1019" s="15" t="n"/>
      <c r="O1019" s="15" t="n"/>
      <c r="P1019" s="15" t="n"/>
      <c r="Q1019" s="15" t="n"/>
      <c r="R1019" s="15" t="n"/>
      <c r="S1019" s="15" t="n"/>
      <c r="T1019" s="15" t="n"/>
      <c r="U1019" s="15" t="n"/>
      <c r="V1019" s="15" t="n"/>
      <c r="W1019" s="15" t="n"/>
      <c r="X1019" s="15" t="n"/>
      <c r="Y1019" s="15" t="n"/>
      <c r="Z1019" s="15" t="n"/>
      <c r="AA1019" s="15" t="n"/>
      <c r="AB1019" s="15" t="n"/>
      <c r="AC1019" s="15" t="n"/>
      <c r="AD1019" s="15" t="n"/>
      <c r="AE1019" s="15" t="n"/>
      <c r="AF1019" s="15" t="n"/>
      <c r="AG1019" s="15" t="n"/>
      <c r="AH1019" s="15" t="n"/>
      <c r="AI1019" s="15" t="n"/>
    </row>
    <row r="1020">
      <c r="A1020" s="4" t="inlineStr">
        <is>
          <t>Студент2.30</t>
        </is>
      </c>
      <c r="B1020" s="4" t="inlineStr"/>
      <c r="C1020" s="4" t="n"/>
      <c r="D1020" s="4" t="n"/>
      <c r="E1020" s="4" t="n"/>
      <c r="F1020" s="15" t="n"/>
      <c r="G1020" s="15" t="n"/>
      <c r="H1020" s="15" t="n"/>
      <c r="I1020" s="15" t="n"/>
      <c r="J1020" s="15" t="n"/>
      <c r="K1020" s="15" t="n"/>
      <c r="L1020" s="15" t="n"/>
      <c r="M1020" s="15" t="n"/>
      <c r="N1020" s="15" t="n"/>
      <c r="O1020" s="15" t="n"/>
      <c r="P1020" s="15" t="n"/>
      <c r="Q1020" s="15" t="n"/>
      <c r="R1020" s="15" t="n"/>
      <c r="S1020" s="15" t="n"/>
      <c r="T1020" s="15" t="n"/>
      <c r="U1020" s="15" t="n"/>
      <c r="V1020" s="15" t="n"/>
      <c r="W1020" s="15" t="n"/>
      <c r="X1020" s="15" t="n"/>
      <c r="Y1020" s="15" t="n"/>
      <c r="Z1020" s="15" t="n"/>
      <c r="AA1020" s="15" t="n"/>
      <c r="AB1020" s="15" t="n"/>
      <c r="AC1020" s="15" t="n"/>
      <c r="AD1020" s="15" t="n"/>
      <c r="AE1020" s="15" t="n"/>
      <c r="AF1020" s="15" t="n"/>
      <c r="AG1020" s="15" t="n"/>
      <c r="AH1020" s="15" t="n"/>
      <c r="AI1020" s="15" t="n"/>
    </row>
  </sheetData>
  <mergeCells count="32">
    <mergeCell ref="A173:AI173"/>
    <mergeCell ref="A344:AI344"/>
    <mergeCell ref="A820:AI820"/>
    <mergeCell ref="A480:AI480"/>
    <mergeCell ref="A785:AI785"/>
    <mergeCell ref="A412:AI412"/>
    <mergeCell ref="A276:AI276"/>
    <mergeCell ref="A956:AI956"/>
    <mergeCell ref="A888:AI888"/>
    <mergeCell ref="A1:AI1"/>
    <mergeCell ref="A921:AI921"/>
    <mergeCell ref="A241:AI241"/>
    <mergeCell ref="A548:AI548"/>
    <mergeCell ref="A649:AI649"/>
    <mergeCell ref="A581:AI581"/>
    <mergeCell ref="A37:AI37"/>
    <mergeCell ref="A208:AI208"/>
    <mergeCell ref="A752:AI752"/>
    <mergeCell ref="A717:AI717"/>
    <mergeCell ref="A105:AI105"/>
    <mergeCell ref="A2:AI2"/>
    <mergeCell ref="A309:AI309"/>
    <mergeCell ref="A616:AI616"/>
    <mergeCell ref="A989:AI989"/>
    <mergeCell ref="A377:AI377"/>
    <mergeCell ref="A513:AI513"/>
    <mergeCell ref="A4:AI4"/>
    <mergeCell ref="A684:AI684"/>
    <mergeCell ref="A140:AI140"/>
    <mergeCell ref="A72:AI72"/>
    <mergeCell ref="A853:AI853"/>
    <mergeCell ref="A445:AI445"/>
  </mergeCells>
  <conditionalFormatting sqref="C6:C35">
    <cfRule type="cellIs" priority="1" operator="greaterThanOrEqual" dxfId="0">
      <formula>21</formula>
    </cfRule>
    <cfRule type="cellIs" priority="2" operator="between" dxfId="1">
      <formula>15</formula>
      <formula>20</formula>
    </cfRule>
    <cfRule type="cellIs" priority="3" operator="lessThan" dxfId="2">
      <formula>15</formula>
    </cfRule>
  </conditionalFormatting>
  <conditionalFormatting sqref="F6:AI35">
    <cfRule type="expression" priority="4" dxfId="3">
      <formula>F6="+"</formula>
    </cfRule>
    <cfRule type="expression" priority="5" dxfId="4">
      <formula>F6="1"</formula>
    </cfRule>
    <cfRule type="expression" priority="6" dxfId="5">
      <formula>F6="-"</formula>
    </cfRule>
  </conditionalFormatting>
  <conditionalFormatting sqref="F39:AI68">
    <cfRule type="expression" priority="7" dxfId="3">
      <formula>F39="+"</formula>
    </cfRule>
    <cfRule type="expression" priority="8" dxfId="4">
      <formula>F39="1"</formula>
    </cfRule>
    <cfRule type="expression" priority="9" dxfId="5">
      <formula>F39="-"</formula>
    </cfRule>
  </conditionalFormatting>
  <conditionalFormatting sqref="C74:C103">
    <cfRule type="cellIs" priority="10" operator="greaterThanOrEqual" dxfId="0">
      <formula>21</formula>
    </cfRule>
    <cfRule type="cellIs" priority="11" operator="between" dxfId="1">
      <formula>15</formula>
      <formula>20</formula>
    </cfRule>
    <cfRule type="cellIs" priority="12" operator="lessThan" dxfId="2">
      <formula>15</formula>
    </cfRule>
  </conditionalFormatting>
  <conditionalFormatting sqref="F74:AI103">
    <cfRule type="expression" priority="13" dxfId="3">
      <formula>F74="+"</formula>
    </cfRule>
    <cfRule type="expression" priority="14" dxfId="4">
      <formula>F74="1"</formula>
    </cfRule>
    <cfRule type="expression" priority="15" dxfId="5">
      <formula>F74="-"</formula>
    </cfRule>
  </conditionalFormatting>
  <conditionalFormatting sqref="F107:AI136">
    <cfRule type="expression" priority="16" dxfId="3">
      <formula>F107="+"</formula>
    </cfRule>
    <cfRule type="expression" priority="17" dxfId="4">
      <formula>F107="1"</formula>
    </cfRule>
    <cfRule type="expression" priority="18" dxfId="5">
      <formula>F107="-"</formula>
    </cfRule>
  </conditionalFormatting>
  <conditionalFormatting sqref="C142:C171">
    <cfRule type="cellIs" priority="19" operator="greaterThanOrEqual" dxfId="0">
      <formula>21</formula>
    </cfRule>
    <cfRule type="cellIs" priority="20" operator="between" dxfId="1">
      <formula>15</formula>
      <formula>20</formula>
    </cfRule>
    <cfRule type="cellIs" priority="21" operator="lessThan" dxfId="2">
      <formula>15</formula>
    </cfRule>
  </conditionalFormatting>
  <conditionalFormatting sqref="F142:AI171">
    <cfRule type="expression" priority="22" dxfId="3">
      <formula>F142="+"</formula>
    </cfRule>
    <cfRule type="expression" priority="23" dxfId="4">
      <formula>F142="1"</formula>
    </cfRule>
    <cfRule type="expression" priority="24" dxfId="5">
      <formula>F142="-"</formula>
    </cfRule>
  </conditionalFormatting>
  <conditionalFormatting sqref="F175:AI204">
    <cfRule type="expression" priority="25" dxfId="3">
      <formula>F175="+"</formula>
    </cfRule>
    <cfRule type="expression" priority="26" dxfId="4">
      <formula>F175="1"</formula>
    </cfRule>
    <cfRule type="expression" priority="27" dxfId="5">
      <formula>F175="-"</formula>
    </cfRule>
  </conditionalFormatting>
  <conditionalFormatting sqref="C210:C239">
    <cfRule type="cellIs" priority="28" operator="greaterThanOrEqual" dxfId="0">
      <formula>21</formula>
    </cfRule>
    <cfRule type="cellIs" priority="29" operator="between" dxfId="1">
      <formula>15</formula>
      <formula>20</formula>
    </cfRule>
    <cfRule type="cellIs" priority="30" operator="lessThan" dxfId="2">
      <formula>15</formula>
    </cfRule>
  </conditionalFormatting>
  <conditionalFormatting sqref="F210:AI239">
    <cfRule type="expression" priority="31" dxfId="3">
      <formula>F210="+"</formula>
    </cfRule>
    <cfRule type="expression" priority="32" dxfId="4">
      <formula>F210="1"</formula>
    </cfRule>
    <cfRule type="expression" priority="33" dxfId="5">
      <formula>F210="-"</formula>
    </cfRule>
  </conditionalFormatting>
  <conditionalFormatting sqref="F243:AI272">
    <cfRule type="expression" priority="34" dxfId="3">
      <formula>F243="+"</formula>
    </cfRule>
    <cfRule type="expression" priority="35" dxfId="4">
      <formula>F243="1"</formula>
    </cfRule>
    <cfRule type="expression" priority="36" dxfId="5">
      <formula>F243="-"</formula>
    </cfRule>
  </conditionalFormatting>
  <conditionalFormatting sqref="C278:C307">
    <cfRule type="cellIs" priority="37" operator="greaterThanOrEqual" dxfId="0">
      <formula>21</formula>
    </cfRule>
    <cfRule type="cellIs" priority="38" operator="between" dxfId="1">
      <formula>15</formula>
      <formula>20</formula>
    </cfRule>
    <cfRule type="cellIs" priority="39" operator="lessThan" dxfId="2">
      <formula>15</formula>
    </cfRule>
  </conditionalFormatting>
  <conditionalFormatting sqref="F278:AI307">
    <cfRule type="expression" priority="40" dxfId="3">
      <formula>F278="+"</formula>
    </cfRule>
    <cfRule type="expression" priority="41" dxfId="4">
      <formula>F278="1"</formula>
    </cfRule>
    <cfRule type="expression" priority="42" dxfId="5">
      <formula>F278="-"</formula>
    </cfRule>
  </conditionalFormatting>
  <conditionalFormatting sqref="F311:AI340">
    <cfRule type="expression" priority="43" dxfId="3">
      <formula>F311="+"</formula>
    </cfRule>
    <cfRule type="expression" priority="44" dxfId="4">
      <formula>F311="1"</formula>
    </cfRule>
    <cfRule type="expression" priority="45" dxfId="5">
      <formula>F311="-"</formula>
    </cfRule>
  </conditionalFormatting>
  <conditionalFormatting sqref="C346:C375">
    <cfRule type="cellIs" priority="46" operator="greaterThanOrEqual" dxfId="0">
      <formula>21</formula>
    </cfRule>
    <cfRule type="cellIs" priority="47" operator="between" dxfId="1">
      <formula>15</formula>
      <formula>20</formula>
    </cfRule>
    <cfRule type="cellIs" priority="48" operator="lessThan" dxfId="2">
      <formula>15</formula>
    </cfRule>
  </conditionalFormatting>
  <conditionalFormatting sqref="F346:AI375">
    <cfRule type="expression" priority="49" dxfId="3">
      <formula>F346="+"</formula>
    </cfRule>
    <cfRule type="expression" priority="50" dxfId="4">
      <formula>F346="1"</formula>
    </cfRule>
    <cfRule type="expression" priority="51" dxfId="5">
      <formula>F346="-"</formula>
    </cfRule>
  </conditionalFormatting>
  <conditionalFormatting sqref="F379:AI408">
    <cfRule type="expression" priority="52" dxfId="3">
      <formula>F379="+"</formula>
    </cfRule>
    <cfRule type="expression" priority="53" dxfId="4">
      <formula>F379="1"</formula>
    </cfRule>
    <cfRule type="expression" priority="54" dxfId="5">
      <formula>F379="-"</formula>
    </cfRule>
  </conditionalFormatting>
  <conditionalFormatting sqref="C414:C443">
    <cfRule type="cellIs" priority="55" operator="greaterThanOrEqual" dxfId="0">
      <formula>21</formula>
    </cfRule>
    <cfRule type="cellIs" priority="56" operator="between" dxfId="1">
      <formula>15</formula>
      <formula>20</formula>
    </cfRule>
    <cfRule type="cellIs" priority="57" operator="lessThan" dxfId="2">
      <formula>15</formula>
    </cfRule>
  </conditionalFormatting>
  <conditionalFormatting sqref="F414:AI443">
    <cfRule type="expression" priority="58" dxfId="3">
      <formula>F414="+"</formula>
    </cfRule>
    <cfRule type="expression" priority="59" dxfId="4">
      <formula>F414="1"</formula>
    </cfRule>
    <cfRule type="expression" priority="60" dxfId="5">
      <formula>F414="-"</formula>
    </cfRule>
  </conditionalFormatting>
  <conditionalFormatting sqref="F447:AI476">
    <cfRule type="expression" priority="61" dxfId="3">
      <formula>F447="+"</formula>
    </cfRule>
    <cfRule type="expression" priority="62" dxfId="4">
      <formula>F447="1"</formula>
    </cfRule>
    <cfRule type="expression" priority="63" dxfId="5">
      <formula>F447="-"</formula>
    </cfRule>
  </conditionalFormatting>
  <conditionalFormatting sqref="C482:C511">
    <cfRule type="cellIs" priority="64" operator="greaterThanOrEqual" dxfId="0">
      <formula>21</formula>
    </cfRule>
    <cfRule type="cellIs" priority="65" operator="between" dxfId="1">
      <formula>15</formula>
      <formula>20</formula>
    </cfRule>
    <cfRule type="cellIs" priority="66" operator="lessThan" dxfId="2">
      <formula>15</formula>
    </cfRule>
  </conditionalFormatting>
  <conditionalFormatting sqref="F482:AI511">
    <cfRule type="expression" priority="67" dxfId="3">
      <formula>F482="+"</formula>
    </cfRule>
    <cfRule type="expression" priority="68" dxfId="4">
      <formula>F482="1"</formula>
    </cfRule>
    <cfRule type="expression" priority="69" dxfId="5">
      <formula>F482="-"</formula>
    </cfRule>
  </conditionalFormatting>
  <conditionalFormatting sqref="F515:AI544">
    <cfRule type="expression" priority="70" dxfId="3">
      <formula>F515="+"</formula>
    </cfRule>
    <cfRule type="expression" priority="71" dxfId="4">
      <formula>F515="1"</formula>
    </cfRule>
    <cfRule type="expression" priority="72" dxfId="5">
      <formula>F515="-"</formula>
    </cfRule>
  </conditionalFormatting>
  <conditionalFormatting sqref="C550:C579">
    <cfRule type="cellIs" priority="73" operator="greaterThanOrEqual" dxfId="0">
      <formula>21</formula>
    </cfRule>
    <cfRule type="cellIs" priority="74" operator="between" dxfId="1">
      <formula>15</formula>
      <formula>20</formula>
    </cfRule>
    <cfRule type="cellIs" priority="75" operator="lessThan" dxfId="2">
      <formula>15</formula>
    </cfRule>
  </conditionalFormatting>
  <conditionalFormatting sqref="F550:AI579">
    <cfRule type="expression" priority="76" dxfId="3">
      <formula>F550="+"</formula>
    </cfRule>
    <cfRule type="expression" priority="77" dxfId="4">
      <formula>F550="1"</formula>
    </cfRule>
    <cfRule type="expression" priority="78" dxfId="5">
      <formula>F550="-"</formula>
    </cfRule>
  </conditionalFormatting>
  <conditionalFormatting sqref="F583:AI612">
    <cfRule type="expression" priority="79" dxfId="3">
      <formula>F583="+"</formula>
    </cfRule>
    <cfRule type="expression" priority="80" dxfId="4">
      <formula>F583="1"</formula>
    </cfRule>
    <cfRule type="expression" priority="81" dxfId="5">
      <formula>F583="-"</formula>
    </cfRule>
  </conditionalFormatting>
  <conditionalFormatting sqref="C618:C647">
    <cfRule type="cellIs" priority="82" operator="greaterThanOrEqual" dxfId="0">
      <formula>21</formula>
    </cfRule>
    <cfRule type="cellIs" priority="83" operator="between" dxfId="1">
      <formula>15</formula>
      <formula>20</formula>
    </cfRule>
    <cfRule type="cellIs" priority="84" operator="lessThan" dxfId="2">
      <formula>15</formula>
    </cfRule>
  </conditionalFormatting>
  <conditionalFormatting sqref="F618:AI647">
    <cfRule type="expression" priority="85" dxfId="3">
      <formula>F618="+"</formula>
    </cfRule>
    <cfRule type="expression" priority="86" dxfId="4">
      <formula>F618="1"</formula>
    </cfRule>
    <cfRule type="expression" priority="87" dxfId="5">
      <formula>F618="-"</formula>
    </cfRule>
  </conditionalFormatting>
  <conditionalFormatting sqref="F651:AI680">
    <cfRule type="expression" priority="88" dxfId="3">
      <formula>F651="+"</formula>
    </cfRule>
    <cfRule type="expression" priority="89" dxfId="4">
      <formula>F651="1"</formula>
    </cfRule>
    <cfRule type="expression" priority="90" dxfId="5">
      <formula>F651="-"</formula>
    </cfRule>
  </conditionalFormatting>
  <conditionalFormatting sqref="C686:C715">
    <cfRule type="cellIs" priority="91" operator="greaterThanOrEqual" dxfId="0">
      <formula>21</formula>
    </cfRule>
    <cfRule type="cellIs" priority="92" operator="between" dxfId="1">
      <formula>15</formula>
      <formula>20</formula>
    </cfRule>
    <cfRule type="cellIs" priority="93" operator="lessThan" dxfId="2">
      <formula>15</formula>
    </cfRule>
  </conditionalFormatting>
  <conditionalFormatting sqref="F686:AI715">
    <cfRule type="expression" priority="94" dxfId="3">
      <formula>F686="+"</formula>
    </cfRule>
    <cfRule type="expression" priority="95" dxfId="4">
      <formula>F686="1"</formula>
    </cfRule>
    <cfRule type="expression" priority="96" dxfId="5">
      <formula>F686="-"</formula>
    </cfRule>
  </conditionalFormatting>
  <conditionalFormatting sqref="F719:AI748">
    <cfRule type="expression" priority="97" dxfId="3">
      <formula>F719="+"</formula>
    </cfRule>
    <cfRule type="expression" priority="98" dxfId="4">
      <formula>F719="1"</formula>
    </cfRule>
    <cfRule type="expression" priority="99" dxfId="5">
      <formula>F719="-"</formula>
    </cfRule>
  </conditionalFormatting>
  <conditionalFormatting sqref="C754:C783">
    <cfRule type="cellIs" priority="100" operator="greaterThanOrEqual" dxfId="0">
      <formula>21</formula>
    </cfRule>
    <cfRule type="cellIs" priority="101" operator="between" dxfId="1">
      <formula>15</formula>
      <formula>20</formula>
    </cfRule>
    <cfRule type="cellIs" priority="102" operator="lessThan" dxfId="2">
      <formula>15</formula>
    </cfRule>
  </conditionalFormatting>
  <conditionalFormatting sqref="F754:AI783">
    <cfRule type="expression" priority="103" dxfId="3">
      <formula>F754="+"</formula>
    </cfRule>
    <cfRule type="expression" priority="104" dxfId="4">
      <formula>F754="1"</formula>
    </cfRule>
    <cfRule type="expression" priority="105" dxfId="5">
      <formula>F754="-"</formula>
    </cfRule>
  </conditionalFormatting>
  <conditionalFormatting sqref="F787:AI816">
    <cfRule type="expression" priority="106" dxfId="3">
      <formula>F787="+"</formula>
    </cfRule>
    <cfRule type="expression" priority="107" dxfId="4">
      <formula>F787="1"</formula>
    </cfRule>
    <cfRule type="expression" priority="108" dxfId="5">
      <formula>F787="-"</formula>
    </cfRule>
  </conditionalFormatting>
  <conditionalFormatting sqref="C822:C851">
    <cfRule type="cellIs" priority="109" operator="greaterThanOrEqual" dxfId="0">
      <formula>21</formula>
    </cfRule>
    <cfRule type="cellIs" priority="110" operator="between" dxfId="1">
      <formula>15</formula>
      <formula>20</formula>
    </cfRule>
    <cfRule type="cellIs" priority="111" operator="lessThan" dxfId="2">
      <formula>15</formula>
    </cfRule>
  </conditionalFormatting>
  <conditionalFormatting sqref="F822:AI851">
    <cfRule type="expression" priority="112" dxfId="3">
      <formula>F822="+"</formula>
    </cfRule>
    <cfRule type="expression" priority="113" dxfId="4">
      <formula>F822="1"</formula>
    </cfRule>
    <cfRule type="expression" priority="114" dxfId="5">
      <formula>F822="-"</formula>
    </cfRule>
  </conditionalFormatting>
  <conditionalFormatting sqref="F855:AI884">
    <cfRule type="expression" priority="115" dxfId="3">
      <formula>F855="+"</formula>
    </cfRule>
    <cfRule type="expression" priority="116" dxfId="4">
      <formula>F855="1"</formula>
    </cfRule>
    <cfRule type="expression" priority="117" dxfId="5">
      <formula>F855="-"</formula>
    </cfRule>
  </conditionalFormatting>
  <conditionalFormatting sqref="C890:C919">
    <cfRule type="cellIs" priority="118" operator="greaterThanOrEqual" dxfId="0">
      <formula>21</formula>
    </cfRule>
    <cfRule type="cellIs" priority="119" operator="between" dxfId="1">
      <formula>15</formula>
      <formula>20</formula>
    </cfRule>
    <cfRule type="cellIs" priority="120" operator="lessThan" dxfId="2">
      <formula>15</formula>
    </cfRule>
  </conditionalFormatting>
  <conditionalFormatting sqref="F890:AI919">
    <cfRule type="expression" priority="121" dxfId="3">
      <formula>F890="+"</formula>
    </cfRule>
    <cfRule type="expression" priority="122" dxfId="4">
      <formula>F890="1"</formula>
    </cfRule>
    <cfRule type="expression" priority="123" dxfId="5">
      <formula>F890="-"</formula>
    </cfRule>
  </conditionalFormatting>
  <conditionalFormatting sqref="F923:AI952">
    <cfRule type="expression" priority="124" dxfId="3">
      <formula>F923="+"</formula>
    </cfRule>
    <cfRule type="expression" priority="125" dxfId="4">
      <formula>F923="1"</formula>
    </cfRule>
    <cfRule type="expression" priority="126" dxfId="5">
      <formula>F923="-"</formula>
    </cfRule>
  </conditionalFormatting>
  <conditionalFormatting sqref="C958:C987">
    <cfRule type="cellIs" priority="127" operator="greaterThanOrEqual" dxfId="0">
      <formula>21</formula>
    </cfRule>
    <cfRule type="cellIs" priority="128" operator="between" dxfId="1">
      <formula>15</formula>
      <formula>20</formula>
    </cfRule>
    <cfRule type="cellIs" priority="129" operator="lessThan" dxfId="2">
      <formula>15</formula>
    </cfRule>
  </conditionalFormatting>
  <conditionalFormatting sqref="F958:AI987">
    <cfRule type="expression" priority="130" dxfId="3">
      <formula>F958="+"</formula>
    </cfRule>
    <cfRule type="expression" priority="131" dxfId="4">
      <formula>F958="1"</formula>
    </cfRule>
    <cfRule type="expression" priority="132" dxfId="5">
      <formula>F958="-"</formula>
    </cfRule>
  </conditionalFormatting>
  <conditionalFormatting sqref="F991:AI1020">
    <cfRule type="expression" priority="133" dxfId="3">
      <formula>F991="+"</formula>
    </cfRule>
    <cfRule type="expression" priority="134" dxfId="4">
      <formula>F991="1"</formula>
    </cfRule>
    <cfRule type="expression" priority="135" dxfId="5">
      <formula>F991="-"</formula>
    </cfRule>
  </conditionalFormatting>
  <dataValidations count="30">
    <dataValidation sqref="F6:AI35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39:AI68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74:AI103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107:AI136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142:AI171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175:AI204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210:AI239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243:AI272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278:AI307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311:AI340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346:AI375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379:AI408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414:AI443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447:AI476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482:AI511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515:AI544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550:AI579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583:AI612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618:AI647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651:AI680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686:AI715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719:AI748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754:AI783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787:AI816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822:AI851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855:AI884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890:AI919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923:AI952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958:AI987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991:AI1020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1020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>
      <c r="A1" s="1" t="inlineStr">
        <is>
          <t>Плюсы — Немат</t>
        </is>
      </c>
    </row>
    <row r="2" ht="8" customHeight="1"/>
    <row r="4">
      <c r="A4" s="13" t="inlineStr">
        <is>
          <t>Практика 1 — плюсы</t>
        </is>
      </c>
    </row>
    <row r="5" ht="28" customHeight="1">
      <c r="A5" s="7" t="inlineStr">
        <is>
          <t>Имя</t>
        </is>
      </c>
      <c r="B5" s="9" t="inlineStr">
        <is>
          <t>TG</t>
        </is>
      </c>
      <c r="C5" s="10" t="inlineStr">
        <is>
          <t>S</t>
        </is>
      </c>
      <c r="D5" s="8" t="inlineStr">
        <is>
          <t>Коэффициент</t>
        </is>
      </c>
      <c r="E5" s="14" t="inlineStr">
        <is>
          <t>D за практику</t>
        </is>
      </c>
      <c r="F5" s="11" t="inlineStr">
        <is>
          <t>1.0</t>
        </is>
      </c>
      <c r="G5" s="11" t="inlineStr">
        <is>
          <t>2.0</t>
        </is>
      </c>
      <c r="H5" s="11" t="inlineStr">
        <is>
          <t>3.0</t>
        </is>
      </c>
      <c r="I5" s="11" t="inlineStr">
        <is>
          <t>4.0</t>
        </is>
      </c>
      <c r="J5" s="11" t="inlineStr">
        <is>
          <t>5.0</t>
        </is>
      </c>
      <c r="K5" s="11" t="inlineStr">
        <is>
          <t>6</t>
        </is>
      </c>
      <c r="L5" s="11" t="inlineStr">
        <is>
          <t>7</t>
        </is>
      </c>
      <c r="M5" s="11" t="inlineStr">
        <is>
          <t>8</t>
        </is>
      </c>
      <c r="N5" s="11" t="inlineStr">
        <is>
          <t>9</t>
        </is>
      </c>
      <c r="O5" s="11" t="inlineStr">
        <is>
          <t>10</t>
        </is>
      </c>
      <c r="P5" s="11" t="inlineStr">
        <is>
          <t>11</t>
        </is>
      </c>
      <c r="Q5" s="11" t="inlineStr">
        <is>
          <t>12</t>
        </is>
      </c>
      <c r="R5" s="11" t="inlineStr">
        <is>
          <t>13</t>
        </is>
      </c>
      <c r="S5" s="11" t="inlineStr">
        <is>
          <t>14</t>
        </is>
      </c>
      <c r="T5" s="11" t="inlineStr">
        <is>
          <t>15</t>
        </is>
      </c>
      <c r="U5" s="11" t="inlineStr">
        <is>
          <t>16</t>
        </is>
      </c>
      <c r="V5" s="11" t="inlineStr">
        <is>
          <t>17</t>
        </is>
      </c>
      <c r="W5" s="11" t="inlineStr">
        <is>
          <t>18</t>
        </is>
      </c>
      <c r="X5" s="11" t="inlineStr">
        <is>
          <t>19</t>
        </is>
      </c>
      <c r="Y5" s="11" t="inlineStr">
        <is>
          <t>20</t>
        </is>
      </c>
      <c r="Z5" s="11" t="inlineStr">
        <is>
          <t>21</t>
        </is>
      </c>
      <c r="AA5" s="11" t="inlineStr">
        <is>
          <t>22</t>
        </is>
      </c>
      <c r="AB5" s="11" t="inlineStr">
        <is>
          <t>23</t>
        </is>
      </c>
      <c r="AC5" s="11" t="inlineStr">
        <is>
          <t>24</t>
        </is>
      </c>
      <c r="AD5" s="11" t="inlineStr">
        <is>
          <t>25</t>
        </is>
      </c>
      <c r="AE5" s="11" t="inlineStr">
        <is>
          <t>26</t>
        </is>
      </c>
      <c r="AF5" s="11" t="inlineStr">
        <is>
          <t>27</t>
        </is>
      </c>
      <c r="AG5" s="11" t="inlineStr">
        <is>
          <t>28</t>
        </is>
      </c>
      <c r="AH5" s="11" t="inlineStr">
        <is>
          <t>29</t>
        </is>
      </c>
      <c r="AI5" s="11" t="inlineStr">
        <is>
          <t>30</t>
        </is>
      </c>
    </row>
    <row r="6">
      <c r="A6" s="4" t="inlineStr">
        <is>
          <t>Студент3.1</t>
        </is>
      </c>
      <c r="B6" s="4" t="inlineStr"/>
      <c r="C6" s="4">
        <f>IF(A6="","",COUNTIF(F6:AI6,"+")+COUNTIF(F6:AI6,"1"))</f>
        <v/>
      </c>
      <c r="D6" s="4">
        <f>IF(A6="","",IF(C6&gt;2*COUNTA(F$5:AI$5)/3,1,IF(C6&gt;=COUNTA(F$5:AI$5)/2,0.8,0.5)))</f>
        <v/>
      </c>
      <c r="E6" s="4">
        <f>IF(A6="","",SUMIFS('Логи'!$H$4:$H$3006,'Логи'!$A$4:$A$3006,A6,'Логи'!$C$4:$C$3006,1))</f>
        <v/>
      </c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</row>
    <row r="7">
      <c r="A7" s="4" t="inlineStr">
        <is>
          <t>Студент3.2</t>
        </is>
      </c>
      <c r="B7" s="4" t="inlineStr"/>
      <c r="C7" s="4">
        <f>IF(A7="","",COUNTIF(F7:AI7,"+")+COUNTIF(F7:AI7,"1"))</f>
        <v/>
      </c>
      <c r="D7" s="4">
        <f>IF(A7="","",IF(C7&gt;2*COUNTA(F$5:AI$5)/3,1,IF(C7&gt;=COUNTA(F$5:AI$5)/2,0.8,0.5)))</f>
        <v/>
      </c>
      <c r="E7" s="4">
        <f>IF(A7="","",SUMIFS('Логи'!$H$4:$H$3006,'Логи'!$A$4:$A$3006,A7,'Логи'!$C$4:$C$3006,1))</f>
        <v/>
      </c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</row>
    <row r="8">
      <c r="A8" s="4" t="inlineStr">
        <is>
          <t>Студент3.3</t>
        </is>
      </c>
      <c r="B8" s="4" t="inlineStr"/>
      <c r="C8" s="4">
        <f>IF(A8="","",COUNTIF(F8:AI8,"+")+COUNTIF(F8:AI8,"1"))</f>
        <v/>
      </c>
      <c r="D8" s="4">
        <f>IF(A8="","",IF(C8&gt;2*COUNTA(F$5:AI$5)/3,1,IF(C8&gt;=COUNTA(F$5:AI$5)/2,0.8,0.5)))</f>
        <v/>
      </c>
      <c r="E8" s="4">
        <f>IF(A8="","",SUMIFS('Логи'!$H$4:$H$3006,'Логи'!$A$4:$A$3006,A8,'Логи'!$C$4:$C$3006,1))</f>
        <v/>
      </c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</row>
    <row r="9">
      <c r="A9" s="4" t="inlineStr">
        <is>
          <t>Студент3.4</t>
        </is>
      </c>
      <c r="B9" s="4" t="inlineStr"/>
      <c r="C9" s="4">
        <f>IF(A9="","",COUNTIF(F9:AI9,"+")+COUNTIF(F9:AI9,"1"))</f>
        <v/>
      </c>
      <c r="D9" s="4">
        <f>IF(A9="","",IF(C9&gt;2*COUNTA(F$5:AI$5)/3,1,IF(C9&gt;=COUNTA(F$5:AI$5)/2,0.8,0.5)))</f>
        <v/>
      </c>
      <c r="E9" s="4">
        <f>IF(A9="","",SUMIFS('Логи'!$H$4:$H$3006,'Логи'!$A$4:$A$3006,A9,'Логи'!$C$4:$C$3006,1))</f>
        <v/>
      </c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</row>
    <row r="10">
      <c r="A10" s="4" t="inlineStr">
        <is>
          <t>Студент3.5</t>
        </is>
      </c>
      <c r="B10" s="4" t="inlineStr"/>
      <c r="C10" s="4">
        <f>IF(A10="","",COUNTIF(F10:AI10,"+")+COUNTIF(F10:AI10,"1"))</f>
        <v/>
      </c>
      <c r="D10" s="4">
        <f>IF(A10="","",IF(C10&gt;2*COUNTA(F$5:AI$5)/3,1,IF(C10&gt;=COUNTA(F$5:AI$5)/2,0.8,0.5)))</f>
        <v/>
      </c>
      <c r="E10" s="4">
        <f>IF(A10="","",SUMIFS('Логи'!$H$4:$H$3006,'Логи'!$A$4:$A$3006,A10,'Логи'!$C$4:$C$3006,1))</f>
        <v/>
      </c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</row>
    <row r="11">
      <c r="A11" s="4" t="inlineStr">
        <is>
          <t>Студент3.6</t>
        </is>
      </c>
      <c r="B11" s="4" t="inlineStr"/>
      <c r="C11" s="4">
        <f>IF(A11="","",COUNTIF(F11:AI11,"+")+COUNTIF(F11:AI11,"1"))</f>
        <v/>
      </c>
      <c r="D11" s="4">
        <f>IF(A11="","",IF(C11&gt;2*COUNTA(F$5:AI$5)/3,1,IF(C11&gt;=COUNTA(F$5:AI$5)/2,0.8,0.5)))</f>
        <v/>
      </c>
      <c r="E11" s="4">
        <f>IF(A11="","",SUMIFS('Логи'!$H$4:$H$3006,'Логи'!$A$4:$A$3006,A11,'Логи'!$C$4:$C$3006,1))</f>
        <v/>
      </c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</row>
    <row r="12">
      <c r="A12" s="4" t="inlineStr">
        <is>
          <t>Студент3.7</t>
        </is>
      </c>
      <c r="B12" s="4" t="inlineStr"/>
      <c r="C12" s="4">
        <f>IF(A12="","",COUNTIF(F12:AI12,"+")+COUNTIF(F12:AI12,"1"))</f>
        <v/>
      </c>
      <c r="D12" s="4">
        <f>IF(A12="","",IF(C12&gt;2*COUNTA(F$5:AI$5)/3,1,IF(C12&gt;=COUNTA(F$5:AI$5)/2,0.8,0.5)))</f>
        <v/>
      </c>
      <c r="E12" s="4">
        <f>IF(A12="","",SUMIFS('Логи'!$H$4:$H$3006,'Логи'!$A$4:$A$3006,A12,'Логи'!$C$4:$C$3006,1))</f>
        <v/>
      </c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</row>
    <row r="13">
      <c r="A13" s="4" t="inlineStr">
        <is>
          <t>Студент3.8</t>
        </is>
      </c>
      <c r="B13" s="4" t="inlineStr"/>
      <c r="C13" s="4">
        <f>IF(A13="","",COUNTIF(F13:AI13,"+")+COUNTIF(F13:AI13,"1"))</f>
        <v/>
      </c>
      <c r="D13" s="4">
        <f>IF(A13="","",IF(C13&gt;2*COUNTA(F$5:AI$5)/3,1,IF(C13&gt;=COUNTA(F$5:AI$5)/2,0.8,0.5)))</f>
        <v/>
      </c>
      <c r="E13" s="4">
        <f>IF(A13="","",SUMIFS('Логи'!$H$4:$H$3006,'Логи'!$A$4:$A$3006,A13,'Логи'!$C$4:$C$3006,1))</f>
        <v/>
      </c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</row>
    <row r="14">
      <c r="A14" s="4" t="inlineStr">
        <is>
          <t>Студент3.9</t>
        </is>
      </c>
      <c r="B14" s="4" t="inlineStr"/>
      <c r="C14" s="4">
        <f>IF(A14="","",COUNTIF(F14:AI14,"+")+COUNTIF(F14:AI14,"1"))</f>
        <v/>
      </c>
      <c r="D14" s="4">
        <f>IF(A14="","",IF(C14&gt;2*COUNTA(F$5:AI$5)/3,1,IF(C14&gt;=COUNTA(F$5:AI$5)/2,0.8,0.5)))</f>
        <v/>
      </c>
      <c r="E14" s="4">
        <f>IF(A14="","",SUMIFS('Логи'!$H$4:$H$3006,'Логи'!$A$4:$A$3006,A14,'Логи'!$C$4:$C$3006,1))</f>
        <v/>
      </c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</row>
    <row r="15">
      <c r="A15" s="4" t="inlineStr">
        <is>
          <t>Студент3.10</t>
        </is>
      </c>
      <c r="B15" s="4" t="inlineStr"/>
      <c r="C15" s="4">
        <f>IF(A15="","",COUNTIF(F15:AI15,"+")+COUNTIF(F15:AI15,"1"))</f>
        <v/>
      </c>
      <c r="D15" s="4">
        <f>IF(A15="","",IF(C15&gt;2*COUNTA(F$5:AI$5)/3,1,IF(C15&gt;=COUNTA(F$5:AI$5)/2,0.8,0.5)))</f>
        <v/>
      </c>
      <c r="E15" s="4">
        <f>IF(A15="","",SUMIFS('Логи'!$H$4:$H$3006,'Логи'!$A$4:$A$3006,A15,'Логи'!$C$4:$C$3006,1))</f>
        <v/>
      </c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</row>
    <row r="16">
      <c r="A16" s="4" t="inlineStr">
        <is>
          <t>Студент3.11</t>
        </is>
      </c>
      <c r="B16" s="4" t="inlineStr"/>
      <c r="C16" s="4">
        <f>IF(A16="","",COUNTIF(F16:AI16,"+")+COUNTIF(F16:AI16,"1"))</f>
        <v/>
      </c>
      <c r="D16" s="4">
        <f>IF(A16="","",IF(C16&gt;2*COUNTA(F$5:AI$5)/3,1,IF(C16&gt;=COUNTA(F$5:AI$5)/2,0.8,0.5)))</f>
        <v/>
      </c>
      <c r="E16" s="4">
        <f>IF(A16="","",SUMIFS('Логи'!$H$4:$H$3006,'Логи'!$A$4:$A$3006,A16,'Логи'!$C$4:$C$3006,1))</f>
        <v/>
      </c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</row>
    <row r="17">
      <c r="A17" s="4" t="inlineStr">
        <is>
          <t>Студент3.12</t>
        </is>
      </c>
      <c r="B17" s="4" t="inlineStr"/>
      <c r="C17" s="4">
        <f>IF(A17="","",COUNTIF(F17:AI17,"+")+COUNTIF(F17:AI17,"1"))</f>
        <v/>
      </c>
      <c r="D17" s="4">
        <f>IF(A17="","",IF(C17&gt;2*COUNTA(F$5:AI$5)/3,1,IF(C17&gt;=COUNTA(F$5:AI$5)/2,0.8,0.5)))</f>
        <v/>
      </c>
      <c r="E17" s="4">
        <f>IF(A17="","",SUMIFS('Логи'!$H$4:$H$3006,'Логи'!$A$4:$A$3006,A17,'Логи'!$C$4:$C$3006,1))</f>
        <v/>
      </c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</row>
    <row r="18">
      <c r="A18" s="4" t="inlineStr">
        <is>
          <t>Студент3.13</t>
        </is>
      </c>
      <c r="B18" s="4" t="inlineStr"/>
      <c r="C18" s="4">
        <f>IF(A18="","",COUNTIF(F18:AI18,"+")+COUNTIF(F18:AI18,"1"))</f>
        <v/>
      </c>
      <c r="D18" s="4">
        <f>IF(A18="","",IF(C18&gt;2*COUNTA(F$5:AI$5)/3,1,IF(C18&gt;=COUNTA(F$5:AI$5)/2,0.8,0.5)))</f>
        <v/>
      </c>
      <c r="E18" s="4">
        <f>IF(A18="","",SUMIFS('Логи'!$H$4:$H$3006,'Логи'!$A$4:$A$3006,A18,'Логи'!$C$4:$C$3006,1))</f>
        <v/>
      </c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</row>
    <row r="19">
      <c r="A19" s="4" t="inlineStr">
        <is>
          <t>Студент3.14</t>
        </is>
      </c>
      <c r="B19" s="4" t="inlineStr"/>
      <c r="C19" s="4">
        <f>IF(A19="","",COUNTIF(F19:AI19,"+")+COUNTIF(F19:AI19,"1"))</f>
        <v/>
      </c>
      <c r="D19" s="4">
        <f>IF(A19="","",IF(C19&gt;2*COUNTA(F$5:AI$5)/3,1,IF(C19&gt;=COUNTA(F$5:AI$5)/2,0.8,0.5)))</f>
        <v/>
      </c>
      <c r="E19" s="4">
        <f>IF(A19="","",SUMIFS('Логи'!$H$4:$H$3006,'Логи'!$A$4:$A$3006,A19,'Логи'!$C$4:$C$3006,1))</f>
        <v/>
      </c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</row>
    <row r="20">
      <c r="A20" s="4" t="inlineStr">
        <is>
          <t>Студент3.15</t>
        </is>
      </c>
      <c r="B20" s="4" t="inlineStr"/>
      <c r="C20" s="4">
        <f>IF(A20="","",COUNTIF(F20:AI20,"+")+COUNTIF(F20:AI20,"1"))</f>
        <v/>
      </c>
      <c r="D20" s="4">
        <f>IF(A20="","",IF(C20&gt;2*COUNTA(F$5:AI$5)/3,1,IF(C20&gt;=COUNTA(F$5:AI$5)/2,0.8,0.5)))</f>
        <v/>
      </c>
      <c r="E20" s="4">
        <f>IF(A20="","",SUMIFS('Логи'!$H$4:$H$3006,'Логи'!$A$4:$A$3006,A20,'Логи'!$C$4:$C$3006,1))</f>
        <v/>
      </c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</row>
    <row r="21">
      <c r="A21" s="4" t="inlineStr">
        <is>
          <t>Студент3.16</t>
        </is>
      </c>
      <c r="B21" s="4" t="inlineStr"/>
      <c r="C21" s="4">
        <f>IF(A21="","",COUNTIF(F21:AI21,"+")+COUNTIF(F21:AI21,"1"))</f>
        <v/>
      </c>
      <c r="D21" s="4">
        <f>IF(A21="","",IF(C21&gt;2*COUNTA(F$5:AI$5)/3,1,IF(C21&gt;=COUNTA(F$5:AI$5)/2,0.8,0.5)))</f>
        <v/>
      </c>
      <c r="E21" s="4">
        <f>IF(A21="","",SUMIFS('Логи'!$H$4:$H$3006,'Логи'!$A$4:$A$3006,A21,'Логи'!$C$4:$C$3006,1))</f>
        <v/>
      </c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</row>
    <row r="22">
      <c r="A22" s="4" t="inlineStr">
        <is>
          <t>Студент3.17</t>
        </is>
      </c>
      <c r="B22" s="4" t="inlineStr"/>
      <c r="C22" s="4">
        <f>IF(A22="","",COUNTIF(F22:AI22,"+")+COUNTIF(F22:AI22,"1"))</f>
        <v/>
      </c>
      <c r="D22" s="4">
        <f>IF(A22="","",IF(C22&gt;2*COUNTA(F$5:AI$5)/3,1,IF(C22&gt;=COUNTA(F$5:AI$5)/2,0.8,0.5)))</f>
        <v/>
      </c>
      <c r="E22" s="4">
        <f>IF(A22="","",SUMIFS('Логи'!$H$4:$H$3006,'Логи'!$A$4:$A$3006,A22,'Логи'!$C$4:$C$3006,1))</f>
        <v/>
      </c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</row>
    <row r="23">
      <c r="A23" s="4" t="inlineStr">
        <is>
          <t>Студент3.18</t>
        </is>
      </c>
      <c r="B23" s="4" t="inlineStr"/>
      <c r="C23" s="4">
        <f>IF(A23="","",COUNTIF(F23:AI23,"+")+COUNTIF(F23:AI23,"1"))</f>
        <v/>
      </c>
      <c r="D23" s="4">
        <f>IF(A23="","",IF(C23&gt;2*COUNTA(F$5:AI$5)/3,1,IF(C23&gt;=COUNTA(F$5:AI$5)/2,0.8,0.5)))</f>
        <v/>
      </c>
      <c r="E23" s="4">
        <f>IF(A23="","",SUMIFS('Логи'!$H$4:$H$3006,'Логи'!$A$4:$A$3006,A23,'Логи'!$C$4:$C$3006,1))</f>
        <v/>
      </c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</row>
    <row r="24">
      <c r="A24" s="4" t="inlineStr">
        <is>
          <t>Студент3.19</t>
        </is>
      </c>
      <c r="B24" s="4" t="inlineStr"/>
      <c r="C24" s="4">
        <f>IF(A24="","",COUNTIF(F24:AI24,"+")+COUNTIF(F24:AI24,"1"))</f>
        <v/>
      </c>
      <c r="D24" s="4">
        <f>IF(A24="","",IF(C24&gt;2*COUNTA(F$5:AI$5)/3,1,IF(C24&gt;=COUNTA(F$5:AI$5)/2,0.8,0.5)))</f>
        <v/>
      </c>
      <c r="E24" s="4">
        <f>IF(A24="","",SUMIFS('Логи'!$H$4:$H$3006,'Логи'!$A$4:$A$3006,A24,'Логи'!$C$4:$C$3006,1))</f>
        <v/>
      </c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</row>
    <row r="25">
      <c r="A25" s="4" t="inlineStr">
        <is>
          <t>Студент3.20</t>
        </is>
      </c>
      <c r="B25" s="4" t="inlineStr"/>
      <c r="C25" s="4">
        <f>IF(A25="","",COUNTIF(F25:AI25,"+")+COUNTIF(F25:AI25,"1"))</f>
        <v/>
      </c>
      <c r="D25" s="4">
        <f>IF(A25="","",IF(C25&gt;2*COUNTA(F$5:AI$5)/3,1,IF(C25&gt;=COUNTA(F$5:AI$5)/2,0.8,0.5)))</f>
        <v/>
      </c>
      <c r="E25" s="4">
        <f>IF(A25="","",SUMIFS('Логи'!$H$4:$H$3006,'Логи'!$A$4:$A$3006,A25,'Логи'!$C$4:$C$3006,1))</f>
        <v/>
      </c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</row>
    <row r="26">
      <c r="A26" s="4" t="inlineStr">
        <is>
          <t>Студент3.21</t>
        </is>
      </c>
      <c r="B26" s="4" t="inlineStr"/>
      <c r="C26" s="4">
        <f>IF(A26="","",COUNTIF(F26:AI26,"+")+COUNTIF(F26:AI26,"1"))</f>
        <v/>
      </c>
      <c r="D26" s="4">
        <f>IF(A26="","",IF(C26&gt;2*COUNTA(F$5:AI$5)/3,1,IF(C26&gt;=COUNTA(F$5:AI$5)/2,0.8,0.5)))</f>
        <v/>
      </c>
      <c r="E26" s="4">
        <f>IF(A26="","",SUMIFS('Логи'!$H$4:$H$3006,'Логи'!$A$4:$A$3006,A26,'Логи'!$C$4:$C$3006,1))</f>
        <v/>
      </c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</row>
    <row r="27">
      <c r="A27" s="4" t="inlineStr">
        <is>
          <t>Студент3.22</t>
        </is>
      </c>
      <c r="B27" s="4" t="inlineStr"/>
      <c r="C27" s="4">
        <f>IF(A27="","",COUNTIF(F27:AI27,"+")+COUNTIF(F27:AI27,"1"))</f>
        <v/>
      </c>
      <c r="D27" s="4">
        <f>IF(A27="","",IF(C27&gt;2*COUNTA(F$5:AI$5)/3,1,IF(C27&gt;=COUNTA(F$5:AI$5)/2,0.8,0.5)))</f>
        <v/>
      </c>
      <c r="E27" s="4">
        <f>IF(A27="","",SUMIFS('Логи'!$H$4:$H$3006,'Логи'!$A$4:$A$3006,A27,'Логи'!$C$4:$C$3006,1))</f>
        <v/>
      </c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</row>
    <row r="28">
      <c r="A28" s="4" t="inlineStr">
        <is>
          <t>Студент3.23</t>
        </is>
      </c>
      <c r="B28" s="4" t="inlineStr"/>
      <c r="C28" s="4">
        <f>IF(A28="","",COUNTIF(F28:AI28,"+")+COUNTIF(F28:AI28,"1"))</f>
        <v/>
      </c>
      <c r="D28" s="4">
        <f>IF(A28="","",IF(C28&gt;2*COUNTA(F$5:AI$5)/3,1,IF(C28&gt;=COUNTA(F$5:AI$5)/2,0.8,0.5)))</f>
        <v/>
      </c>
      <c r="E28" s="4">
        <f>IF(A28="","",SUMIFS('Логи'!$H$4:$H$3006,'Логи'!$A$4:$A$3006,A28,'Логи'!$C$4:$C$3006,1))</f>
        <v/>
      </c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</row>
    <row r="29">
      <c r="A29" s="4" t="inlineStr">
        <is>
          <t>Студент3.24</t>
        </is>
      </c>
      <c r="B29" s="4" t="inlineStr"/>
      <c r="C29" s="4">
        <f>IF(A29="","",COUNTIF(F29:AI29,"+")+COUNTIF(F29:AI29,"1"))</f>
        <v/>
      </c>
      <c r="D29" s="4">
        <f>IF(A29="","",IF(C29&gt;2*COUNTA(F$5:AI$5)/3,1,IF(C29&gt;=COUNTA(F$5:AI$5)/2,0.8,0.5)))</f>
        <v/>
      </c>
      <c r="E29" s="4">
        <f>IF(A29="","",SUMIFS('Логи'!$H$4:$H$3006,'Логи'!$A$4:$A$3006,A29,'Логи'!$C$4:$C$3006,1))</f>
        <v/>
      </c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</row>
    <row r="30">
      <c r="A30" s="4" t="inlineStr">
        <is>
          <t>Студент3.25</t>
        </is>
      </c>
      <c r="B30" s="4" t="inlineStr"/>
      <c r="C30" s="4">
        <f>IF(A30="","",COUNTIF(F30:AI30,"+")+COUNTIF(F30:AI30,"1"))</f>
        <v/>
      </c>
      <c r="D30" s="4">
        <f>IF(A30="","",IF(C30&gt;2*COUNTA(F$5:AI$5)/3,1,IF(C30&gt;=COUNTA(F$5:AI$5)/2,0.8,0.5)))</f>
        <v/>
      </c>
      <c r="E30" s="4">
        <f>IF(A30="","",SUMIFS('Логи'!$H$4:$H$3006,'Логи'!$A$4:$A$3006,A30,'Логи'!$C$4:$C$3006,1))</f>
        <v/>
      </c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</row>
    <row r="31">
      <c r="A31" s="4" t="inlineStr">
        <is>
          <t>Студент3.26</t>
        </is>
      </c>
      <c r="B31" s="4" t="inlineStr"/>
      <c r="C31" s="4">
        <f>IF(A31="","",COUNTIF(F31:AI31,"+")+COUNTIF(F31:AI31,"1"))</f>
        <v/>
      </c>
      <c r="D31" s="4">
        <f>IF(A31="","",IF(C31&gt;2*COUNTA(F$5:AI$5)/3,1,IF(C31&gt;=COUNTA(F$5:AI$5)/2,0.8,0.5)))</f>
        <v/>
      </c>
      <c r="E31" s="4">
        <f>IF(A31="","",SUMIFS('Логи'!$H$4:$H$3006,'Логи'!$A$4:$A$3006,A31,'Логи'!$C$4:$C$3006,1))</f>
        <v/>
      </c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</row>
    <row r="32">
      <c r="A32" s="4" t="inlineStr">
        <is>
          <t>Студент3.27</t>
        </is>
      </c>
      <c r="B32" s="4" t="inlineStr"/>
      <c r="C32" s="4">
        <f>IF(A32="","",COUNTIF(F32:AI32,"+")+COUNTIF(F32:AI32,"1"))</f>
        <v/>
      </c>
      <c r="D32" s="4">
        <f>IF(A32="","",IF(C32&gt;2*COUNTA(F$5:AI$5)/3,1,IF(C32&gt;=COUNTA(F$5:AI$5)/2,0.8,0.5)))</f>
        <v/>
      </c>
      <c r="E32" s="4">
        <f>IF(A32="","",SUMIFS('Логи'!$H$4:$H$3006,'Логи'!$A$4:$A$3006,A32,'Логи'!$C$4:$C$3006,1))</f>
        <v/>
      </c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</row>
    <row r="33">
      <c r="A33" s="4" t="inlineStr">
        <is>
          <t>Студент3.28</t>
        </is>
      </c>
      <c r="B33" s="4" t="inlineStr"/>
      <c r="C33" s="4">
        <f>IF(A33="","",COUNTIF(F33:AI33,"+")+COUNTIF(F33:AI33,"1"))</f>
        <v/>
      </c>
      <c r="D33" s="4">
        <f>IF(A33="","",IF(C33&gt;2*COUNTA(F$5:AI$5)/3,1,IF(C33&gt;=COUNTA(F$5:AI$5)/2,0.8,0.5)))</f>
        <v/>
      </c>
      <c r="E33" s="4">
        <f>IF(A33="","",SUMIFS('Логи'!$H$4:$H$3006,'Логи'!$A$4:$A$3006,A33,'Логи'!$C$4:$C$3006,1))</f>
        <v/>
      </c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</row>
    <row r="34">
      <c r="A34" s="4" t="inlineStr">
        <is>
          <t>Студент3.29</t>
        </is>
      </c>
      <c r="B34" s="4" t="inlineStr"/>
      <c r="C34" s="4">
        <f>IF(A34="","",COUNTIF(F34:AI34,"+")+COUNTIF(F34:AI34,"1"))</f>
        <v/>
      </c>
      <c r="D34" s="4">
        <f>IF(A34="","",IF(C34&gt;2*COUNTA(F$5:AI$5)/3,1,IF(C34&gt;=COUNTA(F$5:AI$5)/2,0.8,0.5)))</f>
        <v/>
      </c>
      <c r="E34" s="4">
        <f>IF(A34="","",SUMIFS('Логи'!$H$4:$H$3006,'Логи'!$A$4:$A$3006,A34,'Логи'!$C$4:$C$3006,1))</f>
        <v/>
      </c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</row>
    <row r="35">
      <c r="A35" s="4" t="inlineStr">
        <is>
          <t>Студент3.30</t>
        </is>
      </c>
      <c r="B35" s="4" t="inlineStr"/>
      <c r="C35" s="4">
        <f>IF(A35="","",COUNTIF(F35:AI35,"+")+COUNTIF(F35:AI35,"1"))</f>
        <v/>
      </c>
      <c r="D35" s="4">
        <f>IF(A35="","",IF(C35&gt;2*COUNTA(F$5:AI$5)/3,1,IF(C35&gt;=COUNTA(F$5:AI$5)/2,0.8,0.5)))</f>
        <v/>
      </c>
      <c r="E35" s="4">
        <f>IF(A35="","",SUMIFS('Логи'!$H$4:$H$3006,'Логи'!$A$4:$A$3006,A35,'Логи'!$C$4:$C$3006,1))</f>
        <v/>
      </c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</row>
    <row r="37">
      <c r="A37" s="16" t="inlineStr">
        <is>
          <t>Практика 1 — результаты рассказа</t>
        </is>
      </c>
    </row>
    <row r="38" ht="28" customHeight="1">
      <c r="A38" s="7" t="inlineStr">
        <is>
          <t>Имя</t>
        </is>
      </c>
      <c r="B38" s="9" t="inlineStr">
        <is>
          <t>TG</t>
        </is>
      </c>
      <c r="C38" s="10" t="inlineStr"/>
      <c r="D38" s="2" t="inlineStr"/>
      <c r="E38" s="2" t="inlineStr"/>
      <c r="F38" s="11" t="inlineStr">
        <is>
          <t>1.0</t>
        </is>
      </c>
      <c r="G38" s="11" t="inlineStr">
        <is>
          <t>2.0</t>
        </is>
      </c>
      <c r="H38" s="11" t="inlineStr">
        <is>
          <t>3.0</t>
        </is>
      </c>
      <c r="I38" s="11" t="inlineStr">
        <is>
          <t>4.0</t>
        </is>
      </c>
      <c r="J38" s="11" t="inlineStr">
        <is>
          <t>5.0</t>
        </is>
      </c>
      <c r="K38" s="11" t="inlineStr">
        <is>
          <t>6</t>
        </is>
      </c>
      <c r="L38" s="11" t="inlineStr">
        <is>
          <t>7</t>
        </is>
      </c>
      <c r="M38" s="11" t="inlineStr">
        <is>
          <t>8</t>
        </is>
      </c>
      <c r="N38" s="11" t="inlineStr">
        <is>
          <t>9</t>
        </is>
      </c>
      <c r="O38" s="11" t="inlineStr">
        <is>
          <t>10</t>
        </is>
      </c>
      <c r="P38" s="11" t="inlineStr">
        <is>
          <t>11</t>
        </is>
      </c>
      <c r="Q38" s="11" t="inlineStr">
        <is>
          <t>12</t>
        </is>
      </c>
      <c r="R38" s="11" t="inlineStr">
        <is>
          <t>13</t>
        </is>
      </c>
      <c r="S38" s="11" t="inlineStr">
        <is>
          <t>14</t>
        </is>
      </c>
      <c r="T38" s="11" t="inlineStr">
        <is>
          <t>15</t>
        </is>
      </c>
      <c r="U38" s="11" t="inlineStr">
        <is>
          <t>16</t>
        </is>
      </c>
      <c r="V38" s="11" t="inlineStr">
        <is>
          <t>17</t>
        </is>
      </c>
      <c r="W38" s="11" t="inlineStr">
        <is>
          <t>18</t>
        </is>
      </c>
      <c r="X38" s="11" t="inlineStr">
        <is>
          <t>19</t>
        </is>
      </c>
      <c r="Y38" s="11" t="inlineStr">
        <is>
          <t>20</t>
        </is>
      </c>
      <c r="Z38" s="11" t="inlineStr">
        <is>
          <t>21</t>
        </is>
      </c>
      <c r="AA38" s="11" t="inlineStr">
        <is>
          <t>22</t>
        </is>
      </c>
      <c r="AB38" s="11" t="inlineStr">
        <is>
          <t>23</t>
        </is>
      </c>
      <c r="AC38" s="11" t="inlineStr">
        <is>
          <t>24</t>
        </is>
      </c>
      <c r="AD38" s="11" t="inlineStr">
        <is>
          <t>25</t>
        </is>
      </c>
      <c r="AE38" s="11" t="inlineStr">
        <is>
          <t>26</t>
        </is>
      </c>
      <c r="AF38" s="11" t="inlineStr">
        <is>
          <t>27</t>
        </is>
      </c>
      <c r="AG38" s="11" t="inlineStr">
        <is>
          <t>28</t>
        </is>
      </c>
      <c r="AH38" s="11" t="inlineStr">
        <is>
          <t>29</t>
        </is>
      </c>
      <c r="AI38" s="11" t="inlineStr">
        <is>
          <t>30</t>
        </is>
      </c>
    </row>
    <row r="39">
      <c r="A39" s="4" t="inlineStr">
        <is>
          <t>Студент3.1</t>
        </is>
      </c>
      <c r="B39" s="4" t="inlineStr"/>
      <c r="C39" s="4" t="n"/>
      <c r="D39" s="4" t="n"/>
      <c r="E39" s="4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</row>
    <row r="40">
      <c r="A40" s="4" t="inlineStr">
        <is>
          <t>Студент3.2</t>
        </is>
      </c>
      <c r="B40" s="4" t="inlineStr"/>
      <c r="C40" s="4" t="n"/>
      <c r="D40" s="4" t="n"/>
      <c r="E40" s="4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</row>
    <row r="41">
      <c r="A41" s="4" t="inlineStr">
        <is>
          <t>Студент3.3</t>
        </is>
      </c>
      <c r="B41" s="4" t="inlineStr"/>
      <c r="C41" s="4" t="n"/>
      <c r="D41" s="4" t="n"/>
      <c r="E41" s="4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</row>
    <row r="42">
      <c r="A42" s="4" t="inlineStr">
        <is>
          <t>Студент3.4</t>
        </is>
      </c>
      <c r="B42" s="4" t="inlineStr"/>
      <c r="C42" s="4" t="n"/>
      <c r="D42" s="4" t="n"/>
      <c r="E42" s="4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</row>
    <row r="43">
      <c r="A43" s="4" t="inlineStr">
        <is>
          <t>Студент3.5</t>
        </is>
      </c>
      <c r="B43" s="4" t="inlineStr"/>
      <c r="C43" s="4" t="n"/>
      <c r="D43" s="4" t="n"/>
      <c r="E43" s="4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</row>
    <row r="44">
      <c r="A44" s="4" t="inlineStr">
        <is>
          <t>Студент3.6</t>
        </is>
      </c>
      <c r="B44" s="4" t="inlineStr"/>
      <c r="C44" s="4" t="n"/>
      <c r="D44" s="4" t="n"/>
      <c r="E44" s="4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</row>
    <row r="45">
      <c r="A45" s="4" t="inlineStr">
        <is>
          <t>Студент3.7</t>
        </is>
      </c>
      <c r="B45" s="4" t="inlineStr"/>
      <c r="C45" s="4" t="n"/>
      <c r="D45" s="4" t="n"/>
      <c r="E45" s="4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</row>
    <row r="46">
      <c r="A46" s="4" t="inlineStr">
        <is>
          <t>Студент3.8</t>
        </is>
      </c>
      <c r="B46" s="4" t="inlineStr"/>
      <c r="C46" s="4" t="n"/>
      <c r="D46" s="4" t="n"/>
      <c r="E46" s="4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</row>
    <row r="47">
      <c r="A47" s="4" t="inlineStr">
        <is>
          <t>Студент3.9</t>
        </is>
      </c>
      <c r="B47" s="4" t="inlineStr"/>
      <c r="C47" s="4" t="n"/>
      <c r="D47" s="4" t="n"/>
      <c r="E47" s="4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</row>
    <row r="48">
      <c r="A48" s="4" t="inlineStr">
        <is>
          <t>Студент3.10</t>
        </is>
      </c>
      <c r="B48" s="4" t="inlineStr"/>
      <c r="C48" s="4" t="n"/>
      <c r="D48" s="4" t="n"/>
      <c r="E48" s="4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</row>
    <row r="49">
      <c r="A49" s="4" t="inlineStr">
        <is>
          <t>Студент3.11</t>
        </is>
      </c>
      <c r="B49" s="4" t="inlineStr"/>
      <c r="C49" s="4" t="n"/>
      <c r="D49" s="4" t="n"/>
      <c r="E49" s="4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</row>
    <row r="50">
      <c r="A50" s="4" t="inlineStr">
        <is>
          <t>Студент3.12</t>
        </is>
      </c>
      <c r="B50" s="4" t="inlineStr"/>
      <c r="C50" s="4" t="n"/>
      <c r="D50" s="4" t="n"/>
      <c r="E50" s="4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</row>
    <row r="51">
      <c r="A51" s="4" t="inlineStr">
        <is>
          <t>Студент3.13</t>
        </is>
      </c>
      <c r="B51" s="4" t="inlineStr"/>
      <c r="C51" s="4" t="n"/>
      <c r="D51" s="4" t="n"/>
      <c r="E51" s="4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</row>
    <row r="52">
      <c r="A52" s="4" t="inlineStr">
        <is>
          <t>Студент3.14</t>
        </is>
      </c>
      <c r="B52" s="4" t="inlineStr"/>
      <c r="C52" s="4" t="n"/>
      <c r="D52" s="4" t="n"/>
      <c r="E52" s="4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</row>
    <row r="53">
      <c r="A53" s="4" t="inlineStr">
        <is>
          <t>Студент3.15</t>
        </is>
      </c>
      <c r="B53" s="4" t="inlineStr"/>
      <c r="C53" s="4" t="n"/>
      <c r="D53" s="4" t="n"/>
      <c r="E53" s="4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</row>
    <row r="54">
      <c r="A54" s="4" t="inlineStr">
        <is>
          <t>Студент3.16</t>
        </is>
      </c>
      <c r="B54" s="4" t="inlineStr"/>
      <c r="C54" s="4" t="n"/>
      <c r="D54" s="4" t="n"/>
      <c r="E54" s="4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</row>
    <row r="55">
      <c r="A55" s="4" t="inlineStr">
        <is>
          <t>Студент3.17</t>
        </is>
      </c>
      <c r="B55" s="4" t="inlineStr"/>
      <c r="C55" s="4" t="n"/>
      <c r="D55" s="4" t="n"/>
      <c r="E55" s="4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</row>
    <row r="56">
      <c r="A56" s="4" t="inlineStr">
        <is>
          <t>Студент3.18</t>
        </is>
      </c>
      <c r="B56" s="4" t="inlineStr"/>
      <c r="C56" s="4" t="n"/>
      <c r="D56" s="4" t="n"/>
      <c r="E56" s="4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</row>
    <row r="57">
      <c r="A57" s="4" t="inlineStr">
        <is>
          <t>Студент3.19</t>
        </is>
      </c>
      <c r="B57" s="4" t="inlineStr"/>
      <c r="C57" s="4" t="n"/>
      <c r="D57" s="4" t="n"/>
      <c r="E57" s="4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</row>
    <row r="58">
      <c r="A58" s="4" t="inlineStr">
        <is>
          <t>Студент3.20</t>
        </is>
      </c>
      <c r="B58" s="4" t="inlineStr"/>
      <c r="C58" s="4" t="n"/>
      <c r="D58" s="4" t="n"/>
      <c r="E58" s="4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</row>
    <row r="59">
      <c r="A59" s="4" t="inlineStr">
        <is>
          <t>Студент3.21</t>
        </is>
      </c>
      <c r="B59" s="4" t="inlineStr"/>
      <c r="C59" s="4" t="n"/>
      <c r="D59" s="4" t="n"/>
      <c r="E59" s="4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</row>
    <row r="60">
      <c r="A60" s="4" t="inlineStr">
        <is>
          <t>Студент3.22</t>
        </is>
      </c>
      <c r="B60" s="4" t="inlineStr"/>
      <c r="C60" s="4" t="n"/>
      <c r="D60" s="4" t="n"/>
      <c r="E60" s="4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</row>
    <row r="61">
      <c r="A61" s="4" t="inlineStr">
        <is>
          <t>Студент3.23</t>
        </is>
      </c>
      <c r="B61" s="4" t="inlineStr"/>
      <c r="C61" s="4" t="n"/>
      <c r="D61" s="4" t="n"/>
      <c r="E61" s="4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</row>
    <row r="62">
      <c r="A62" s="4" t="inlineStr">
        <is>
          <t>Студент3.24</t>
        </is>
      </c>
      <c r="B62" s="4" t="inlineStr"/>
      <c r="C62" s="4" t="n"/>
      <c r="D62" s="4" t="n"/>
      <c r="E62" s="4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</row>
    <row r="63">
      <c r="A63" s="4" t="inlineStr">
        <is>
          <t>Студент3.25</t>
        </is>
      </c>
      <c r="B63" s="4" t="inlineStr"/>
      <c r="C63" s="4" t="n"/>
      <c r="D63" s="4" t="n"/>
      <c r="E63" s="4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</row>
    <row r="64">
      <c r="A64" s="4" t="inlineStr">
        <is>
          <t>Студент3.26</t>
        </is>
      </c>
      <c r="B64" s="4" t="inlineStr"/>
      <c r="C64" s="4" t="n"/>
      <c r="D64" s="4" t="n"/>
      <c r="E64" s="4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</row>
    <row r="65">
      <c r="A65" s="4" t="inlineStr">
        <is>
          <t>Студент3.27</t>
        </is>
      </c>
      <c r="B65" s="4" t="inlineStr"/>
      <c r="C65" s="4" t="n"/>
      <c r="D65" s="4" t="n"/>
      <c r="E65" s="4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</row>
    <row r="66">
      <c r="A66" s="4" t="inlineStr">
        <is>
          <t>Студент3.28</t>
        </is>
      </c>
      <c r="B66" s="4" t="inlineStr"/>
      <c r="C66" s="4" t="n"/>
      <c r="D66" s="4" t="n"/>
      <c r="E66" s="4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</row>
    <row r="67">
      <c r="A67" s="4" t="inlineStr">
        <is>
          <t>Студент3.29</t>
        </is>
      </c>
      <c r="B67" s="4" t="inlineStr"/>
      <c r="C67" s="4" t="n"/>
      <c r="D67" s="4" t="n"/>
      <c r="E67" s="4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</row>
    <row r="68">
      <c r="A68" s="4" t="inlineStr">
        <is>
          <t>Студент3.30</t>
        </is>
      </c>
      <c r="B68" s="4" t="inlineStr"/>
      <c r="C68" s="4" t="n"/>
      <c r="D68" s="4" t="n"/>
      <c r="E68" s="4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</row>
    <row r="72">
      <c r="A72" s="13" t="inlineStr">
        <is>
          <t>Практика 2 — плюсы</t>
        </is>
      </c>
    </row>
    <row r="73" ht="28" customHeight="1">
      <c r="A73" s="7" t="inlineStr">
        <is>
          <t>Имя</t>
        </is>
      </c>
      <c r="B73" s="9" t="inlineStr">
        <is>
          <t>TG</t>
        </is>
      </c>
      <c r="C73" s="10" t="inlineStr">
        <is>
          <t>S</t>
        </is>
      </c>
      <c r="D73" s="8" t="inlineStr">
        <is>
          <t>Коэффициент</t>
        </is>
      </c>
      <c r="E73" s="14" t="inlineStr">
        <is>
          <t>D за практику</t>
        </is>
      </c>
      <c r="F73" s="11" t="inlineStr">
        <is>
          <t>1.0</t>
        </is>
      </c>
      <c r="G73" s="11" t="inlineStr">
        <is>
          <t>2.0</t>
        </is>
      </c>
      <c r="H73" s="11" t="inlineStr">
        <is>
          <t>3.0</t>
        </is>
      </c>
      <c r="I73" s="11" t="inlineStr">
        <is>
          <t>4.0</t>
        </is>
      </c>
      <c r="J73" s="11" t="inlineStr">
        <is>
          <t>5.0</t>
        </is>
      </c>
      <c r="K73" s="11" t="inlineStr">
        <is>
          <t>6</t>
        </is>
      </c>
      <c r="L73" s="11" t="inlineStr">
        <is>
          <t>7</t>
        </is>
      </c>
      <c r="M73" s="11" t="inlineStr">
        <is>
          <t>8</t>
        </is>
      </c>
      <c r="N73" s="11" t="inlineStr">
        <is>
          <t>9</t>
        </is>
      </c>
      <c r="O73" s="11" t="inlineStr">
        <is>
          <t>10</t>
        </is>
      </c>
      <c r="P73" s="11" t="inlineStr">
        <is>
          <t>11</t>
        </is>
      </c>
      <c r="Q73" s="11" t="inlineStr">
        <is>
          <t>12</t>
        </is>
      </c>
      <c r="R73" s="11" t="inlineStr">
        <is>
          <t>13</t>
        </is>
      </c>
      <c r="S73" s="11" t="inlineStr">
        <is>
          <t>14</t>
        </is>
      </c>
      <c r="T73" s="11" t="inlineStr">
        <is>
          <t>15</t>
        </is>
      </c>
      <c r="U73" s="11" t="inlineStr">
        <is>
          <t>16</t>
        </is>
      </c>
      <c r="V73" s="11" t="inlineStr">
        <is>
          <t>17</t>
        </is>
      </c>
      <c r="W73" s="11" t="inlineStr">
        <is>
          <t>18</t>
        </is>
      </c>
      <c r="X73" s="11" t="inlineStr">
        <is>
          <t>19</t>
        </is>
      </c>
      <c r="Y73" s="11" t="inlineStr">
        <is>
          <t>20</t>
        </is>
      </c>
      <c r="Z73" s="11" t="inlineStr">
        <is>
          <t>21</t>
        </is>
      </c>
      <c r="AA73" s="11" t="inlineStr">
        <is>
          <t>22</t>
        </is>
      </c>
      <c r="AB73" s="11" t="inlineStr">
        <is>
          <t>23</t>
        </is>
      </c>
      <c r="AC73" s="11" t="inlineStr">
        <is>
          <t>24</t>
        </is>
      </c>
      <c r="AD73" s="11" t="inlineStr">
        <is>
          <t>25</t>
        </is>
      </c>
      <c r="AE73" s="11" t="inlineStr">
        <is>
          <t>26</t>
        </is>
      </c>
      <c r="AF73" s="11" t="inlineStr">
        <is>
          <t>27</t>
        </is>
      </c>
      <c r="AG73" s="11" t="inlineStr">
        <is>
          <t>28</t>
        </is>
      </c>
      <c r="AH73" s="11" t="inlineStr">
        <is>
          <t>29</t>
        </is>
      </c>
      <c r="AI73" s="11" t="inlineStr">
        <is>
          <t>30</t>
        </is>
      </c>
    </row>
    <row r="74">
      <c r="A74" s="4" t="inlineStr">
        <is>
          <t>Студент3.1</t>
        </is>
      </c>
      <c r="B74" s="4" t="inlineStr"/>
      <c r="C74" s="4">
        <f>IF(A74="","",COUNTIF(F74:AI74,"+")+COUNTIF(F74:AI74,"1"))</f>
        <v/>
      </c>
      <c r="D74" s="4">
        <f>IF(A74="","",IF(C74&gt;2*COUNTA(F$73:AI$73)/3,1,IF(C74&gt;=COUNTA(F$73:AI$73)/2,0.8,0.5)))</f>
        <v/>
      </c>
      <c r="E74" s="4">
        <f>IF(A74="","",SUMIFS('Логи'!$H$4:$H$3006,'Логи'!$A$4:$A$3006,A74,'Логи'!$C$4:$C$3006,2))</f>
        <v/>
      </c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</row>
    <row r="75">
      <c r="A75" s="4" t="inlineStr">
        <is>
          <t>Студент3.2</t>
        </is>
      </c>
      <c r="B75" s="4" t="inlineStr"/>
      <c r="C75" s="4">
        <f>IF(A75="","",COUNTIF(F75:AI75,"+")+COUNTIF(F75:AI75,"1"))</f>
        <v/>
      </c>
      <c r="D75" s="4">
        <f>IF(A75="","",IF(C75&gt;2*COUNTA(F$73:AI$73)/3,1,IF(C75&gt;=COUNTA(F$73:AI$73)/2,0.8,0.5)))</f>
        <v/>
      </c>
      <c r="E75" s="4">
        <f>IF(A75="","",SUMIFS('Логи'!$H$4:$H$3006,'Логи'!$A$4:$A$3006,A75,'Логи'!$C$4:$C$3006,2))</f>
        <v/>
      </c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</row>
    <row r="76">
      <c r="A76" s="4" t="inlineStr">
        <is>
          <t>Студент3.3</t>
        </is>
      </c>
      <c r="B76" s="4" t="inlineStr"/>
      <c r="C76" s="4">
        <f>IF(A76="","",COUNTIF(F76:AI76,"+")+COUNTIF(F76:AI76,"1"))</f>
        <v/>
      </c>
      <c r="D76" s="4">
        <f>IF(A76="","",IF(C76&gt;2*COUNTA(F$73:AI$73)/3,1,IF(C76&gt;=COUNTA(F$73:AI$73)/2,0.8,0.5)))</f>
        <v/>
      </c>
      <c r="E76" s="4">
        <f>IF(A76="","",SUMIFS('Логи'!$H$4:$H$3006,'Логи'!$A$4:$A$3006,A76,'Логи'!$C$4:$C$3006,2))</f>
        <v/>
      </c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</row>
    <row r="77">
      <c r="A77" s="4" t="inlineStr">
        <is>
          <t>Студент3.4</t>
        </is>
      </c>
      <c r="B77" s="4" t="inlineStr"/>
      <c r="C77" s="4">
        <f>IF(A77="","",COUNTIF(F77:AI77,"+")+COUNTIF(F77:AI77,"1"))</f>
        <v/>
      </c>
      <c r="D77" s="4">
        <f>IF(A77="","",IF(C77&gt;2*COUNTA(F$73:AI$73)/3,1,IF(C77&gt;=COUNTA(F$73:AI$73)/2,0.8,0.5)))</f>
        <v/>
      </c>
      <c r="E77" s="4">
        <f>IF(A77="","",SUMIFS('Логи'!$H$4:$H$3006,'Логи'!$A$4:$A$3006,A77,'Логи'!$C$4:$C$3006,2))</f>
        <v/>
      </c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</row>
    <row r="78">
      <c r="A78" s="4" t="inlineStr">
        <is>
          <t>Студент3.5</t>
        </is>
      </c>
      <c r="B78" s="4" t="inlineStr"/>
      <c r="C78" s="4">
        <f>IF(A78="","",COUNTIF(F78:AI78,"+")+COUNTIF(F78:AI78,"1"))</f>
        <v/>
      </c>
      <c r="D78" s="4">
        <f>IF(A78="","",IF(C78&gt;2*COUNTA(F$73:AI$73)/3,1,IF(C78&gt;=COUNTA(F$73:AI$73)/2,0.8,0.5)))</f>
        <v/>
      </c>
      <c r="E78" s="4">
        <f>IF(A78="","",SUMIFS('Логи'!$H$4:$H$3006,'Логи'!$A$4:$A$3006,A78,'Логи'!$C$4:$C$3006,2))</f>
        <v/>
      </c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</row>
    <row r="79">
      <c r="A79" s="4" t="inlineStr">
        <is>
          <t>Студент3.6</t>
        </is>
      </c>
      <c r="B79" s="4" t="inlineStr"/>
      <c r="C79" s="4">
        <f>IF(A79="","",COUNTIF(F79:AI79,"+")+COUNTIF(F79:AI79,"1"))</f>
        <v/>
      </c>
      <c r="D79" s="4">
        <f>IF(A79="","",IF(C79&gt;2*COUNTA(F$73:AI$73)/3,1,IF(C79&gt;=COUNTA(F$73:AI$73)/2,0.8,0.5)))</f>
        <v/>
      </c>
      <c r="E79" s="4">
        <f>IF(A79="","",SUMIFS('Логи'!$H$4:$H$3006,'Логи'!$A$4:$A$3006,A79,'Логи'!$C$4:$C$3006,2))</f>
        <v/>
      </c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</row>
    <row r="80">
      <c r="A80" s="4" t="inlineStr">
        <is>
          <t>Студент3.7</t>
        </is>
      </c>
      <c r="B80" s="4" t="inlineStr"/>
      <c r="C80" s="4">
        <f>IF(A80="","",COUNTIF(F80:AI80,"+")+COUNTIF(F80:AI80,"1"))</f>
        <v/>
      </c>
      <c r="D80" s="4">
        <f>IF(A80="","",IF(C80&gt;2*COUNTA(F$73:AI$73)/3,1,IF(C80&gt;=COUNTA(F$73:AI$73)/2,0.8,0.5)))</f>
        <v/>
      </c>
      <c r="E80" s="4">
        <f>IF(A80="","",SUMIFS('Логи'!$H$4:$H$3006,'Логи'!$A$4:$A$3006,A80,'Логи'!$C$4:$C$3006,2))</f>
        <v/>
      </c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</row>
    <row r="81">
      <c r="A81" s="4" t="inlineStr">
        <is>
          <t>Студент3.8</t>
        </is>
      </c>
      <c r="B81" s="4" t="inlineStr"/>
      <c r="C81" s="4">
        <f>IF(A81="","",COUNTIF(F81:AI81,"+")+COUNTIF(F81:AI81,"1"))</f>
        <v/>
      </c>
      <c r="D81" s="4">
        <f>IF(A81="","",IF(C81&gt;2*COUNTA(F$73:AI$73)/3,1,IF(C81&gt;=COUNTA(F$73:AI$73)/2,0.8,0.5)))</f>
        <v/>
      </c>
      <c r="E81" s="4">
        <f>IF(A81="","",SUMIFS('Логи'!$H$4:$H$3006,'Логи'!$A$4:$A$3006,A81,'Логи'!$C$4:$C$3006,2))</f>
        <v/>
      </c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</row>
    <row r="82">
      <c r="A82" s="4" t="inlineStr">
        <is>
          <t>Студент3.9</t>
        </is>
      </c>
      <c r="B82" s="4" t="inlineStr"/>
      <c r="C82" s="4">
        <f>IF(A82="","",COUNTIF(F82:AI82,"+")+COUNTIF(F82:AI82,"1"))</f>
        <v/>
      </c>
      <c r="D82" s="4">
        <f>IF(A82="","",IF(C82&gt;2*COUNTA(F$73:AI$73)/3,1,IF(C82&gt;=COUNTA(F$73:AI$73)/2,0.8,0.5)))</f>
        <v/>
      </c>
      <c r="E82" s="4">
        <f>IF(A82="","",SUMIFS('Логи'!$H$4:$H$3006,'Логи'!$A$4:$A$3006,A82,'Логи'!$C$4:$C$3006,2))</f>
        <v/>
      </c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</row>
    <row r="83">
      <c r="A83" s="4" t="inlineStr">
        <is>
          <t>Студент3.10</t>
        </is>
      </c>
      <c r="B83" s="4" t="inlineStr"/>
      <c r="C83" s="4">
        <f>IF(A83="","",COUNTIF(F83:AI83,"+")+COUNTIF(F83:AI83,"1"))</f>
        <v/>
      </c>
      <c r="D83" s="4">
        <f>IF(A83="","",IF(C83&gt;2*COUNTA(F$73:AI$73)/3,1,IF(C83&gt;=COUNTA(F$73:AI$73)/2,0.8,0.5)))</f>
        <v/>
      </c>
      <c r="E83" s="4">
        <f>IF(A83="","",SUMIFS('Логи'!$H$4:$H$3006,'Логи'!$A$4:$A$3006,A83,'Логи'!$C$4:$C$3006,2))</f>
        <v/>
      </c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</row>
    <row r="84">
      <c r="A84" s="4" t="inlineStr">
        <is>
          <t>Студент3.11</t>
        </is>
      </c>
      <c r="B84" s="4" t="inlineStr"/>
      <c r="C84" s="4">
        <f>IF(A84="","",COUNTIF(F84:AI84,"+")+COUNTIF(F84:AI84,"1"))</f>
        <v/>
      </c>
      <c r="D84" s="4">
        <f>IF(A84="","",IF(C84&gt;2*COUNTA(F$73:AI$73)/3,1,IF(C84&gt;=COUNTA(F$73:AI$73)/2,0.8,0.5)))</f>
        <v/>
      </c>
      <c r="E84" s="4">
        <f>IF(A84="","",SUMIFS('Логи'!$H$4:$H$3006,'Логи'!$A$4:$A$3006,A84,'Логи'!$C$4:$C$3006,2))</f>
        <v/>
      </c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</row>
    <row r="85">
      <c r="A85" s="4" t="inlineStr">
        <is>
          <t>Студент3.12</t>
        </is>
      </c>
      <c r="B85" s="4" t="inlineStr"/>
      <c r="C85" s="4">
        <f>IF(A85="","",COUNTIF(F85:AI85,"+")+COUNTIF(F85:AI85,"1"))</f>
        <v/>
      </c>
      <c r="D85" s="4">
        <f>IF(A85="","",IF(C85&gt;2*COUNTA(F$73:AI$73)/3,1,IF(C85&gt;=COUNTA(F$73:AI$73)/2,0.8,0.5)))</f>
        <v/>
      </c>
      <c r="E85" s="4">
        <f>IF(A85="","",SUMIFS('Логи'!$H$4:$H$3006,'Логи'!$A$4:$A$3006,A85,'Логи'!$C$4:$C$3006,2))</f>
        <v/>
      </c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</row>
    <row r="86">
      <c r="A86" s="4" t="inlineStr">
        <is>
          <t>Студент3.13</t>
        </is>
      </c>
      <c r="B86" s="4" t="inlineStr"/>
      <c r="C86" s="4">
        <f>IF(A86="","",COUNTIF(F86:AI86,"+")+COUNTIF(F86:AI86,"1"))</f>
        <v/>
      </c>
      <c r="D86" s="4">
        <f>IF(A86="","",IF(C86&gt;2*COUNTA(F$73:AI$73)/3,1,IF(C86&gt;=COUNTA(F$73:AI$73)/2,0.8,0.5)))</f>
        <v/>
      </c>
      <c r="E86" s="4">
        <f>IF(A86="","",SUMIFS('Логи'!$H$4:$H$3006,'Логи'!$A$4:$A$3006,A86,'Логи'!$C$4:$C$3006,2))</f>
        <v/>
      </c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</row>
    <row r="87">
      <c r="A87" s="4" t="inlineStr">
        <is>
          <t>Студент3.14</t>
        </is>
      </c>
      <c r="B87" s="4" t="inlineStr"/>
      <c r="C87" s="4">
        <f>IF(A87="","",COUNTIF(F87:AI87,"+")+COUNTIF(F87:AI87,"1"))</f>
        <v/>
      </c>
      <c r="D87" s="4">
        <f>IF(A87="","",IF(C87&gt;2*COUNTA(F$73:AI$73)/3,1,IF(C87&gt;=COUNTA(F$73:AI$73)/2,0.8,0.5)))</f>
        <v/>
      </c>
      <c r="E87" s="4">
        <f>IF(A87="","",SUMIFS('Логи'!$H$4:$H$3006,'Логи'!$A$4:$A$3006,A87,'Логи'!$C$4:$C$3006,2))</f>
        <v/>
      </c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</row>
    <row r="88">
      <c r="A88" s="4" t="inlineStr">
        <is>
          <t>Студент3.15</t>
        </is>
      </c>
      <c r="B88" s="4" t="inlineStr"/>
      <c r="C88" s="4">
        <f>IF(A88="","",COUNTIF(F88:AI88,"+")+COUNTIF(F88:AI88,"1"))</f>
        <v/>
      </c>
      <c r="D88" s="4">
        <f>IF(A88="","",IF(C88&gt;2*COUNTA(F$73:AI$73)/3,1,IF(C88&gt;=COUNTA(F$73:AI$73)/2,0.8,0.5)))</f>
        <v/>
      </c>
      <c r="E88" s="4">
        <f>IF(A88="","",SUMIFS('Логи'!$H$4:$H$3006,'Логи'!$A$4:$A$3006,A88,'Логи'!$C$4:$C$3006,2))</f>
        <v/>
      </c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</row>
    <row r="89">
      <c r="A89" s="4" t="inlineStr">
        <is>
          <t>Студент3.16</t>
        </is>
      </c>
      <c r="B89" s="4" t="inlineStr"/>
      <c r="C89" s="4">
        <f>IF(A89="","",COUNTIF(F89:AI89,"+")+COUNTIF(F89:AI89,"1"))</f>
        <v/>
      </c>
      <c r="D89" s="4">
        <f>IF(A89="","",IF(C89&gt;2*COUNTA(F$73:AI$73)/3,1,IF(C89&gt;=COUNTA(F$73:AI$73)/2,0.8,0.5)))</f>
        <v/>
      </c>
      <c r="E89" s="4">
        <f>IF(A89="","",SUMIFS('Логи'!$H$4:$H$3006,'Логи'!$A$4:$A$3006,A89,'Логи'!$C$4:$C$3006,2))</f>
        <v/>
      </c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</row>
    <row r="90">
      <c r="A90" s="4" t="inlineStr">
        <is>
          <t>Студент3.17</t>
        </is>
      </c>
      <c r="B90" s="4" t="inlineStr"/>
      <c r="C90" s="4">
        <f>IF(A90="","",COUNTIF(F90:AI90,"+")+COUNTIF(F90:AI90,"1"))</f>
        <v/>
      </c>
      <c r="D90" s="4">
        <f>IF(A90="","",IF(C90&gt;2*COUNTA(F$73:AI$73)/3,1,IF(C90&gt;=COUNTA(F$73:AI$73)/2,0.8,0.5)))</f>
        <v/>
      </c>
      <c r="E90" s="4">
        <f>IF(A90="","",SUMIFS('Логи'!$H$4:$H$3006,'Логи'!$A$4:$A$3006,A90,'Логи'!$C$4:$C$3006,2))</f>
        <v/>
      </c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</row>
    <row r="91">
      <c r="A91" s="4" t="inlineStr">
        <is>
          <t>Студент3.18</t>
        </is>
      </c>
      <c r="B91" s="4" t="inlineStr"/>
      <c r="C91" s="4">
        <f>IF(A91="","",COUNTIF(F91:AI91,"+")+COUNTIF(F91:AI91,"1"))</f>
        <v/>
      </c>
      <c r="D91" s="4">
        <f>IF(A91="","",IF(C91&gt;2*COUNTA(F$73:AI$73)/3,1,IF(C91&gt;=COUNTA(F$73:AI$73)/2,0.8,0.5)))</f>
        <v/>
      </c>
      <c r="E91" s="4">
        <f>IF(A91="","",SUMIFS('Логи'!$H$4:$H$3006,'Логи'!$A$4:$A$3006,A91,'Логи'!$C$4:$C$3006,2))</f>
        <v/>
      </c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</row>
    <row r="92">
      <c r="A92" s="4" t="inlineStr">
        <is>
          <t>Студент3.19</t>
        </is>
      </c>
      <c r="B92" s="4" t="inlineStr"/>
      <c r="C92" s="4">
        <f>IF(A92="","",COUNTIF(F92:AI92,"+")+COUNTIF(F92:AI92,"1"))</f>
        <v/>
      </c>
      <c r="D92" s="4">
        <f>IF(A92="","",IF(C92&gt;2*COUNTA(F$73:AI$73)/3,1,IF(C92&gt;=COUNTA(F$73:AI$73)/2,0.8,0.5)))</f>
        <v/>
      </c>
      <c r="E92" s="4">
        <f>IF(A92="","",SUMIFS('Логи'!$H$4:$H$3006,'Логи'!$A$4:$A$3006,A92,'Логи'!$C$4:$C$3006,2))</f>
        <v/>
      </c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</row>
    <row r="93">
      <c r="A93" s="4" t="inlineStr">
        <is>
          <t>Студент3.20</t>
        </is>
      </c>
      <c r="B93" s="4" t="inlineStr"/>
      <c r="C93" s="4">
        <f>IF(A93="","",COUNTIF(F93:AI93,"+")+COUNTIF(F93:AI93,"1"))</f>
        <v/>
      </c>
      <c r="D93" s="4">
        <f>IF(A93="","",IF(C93&gt;2*COUNTA(F$73:AI$73)/3,1,IF(C93&gt;=COUNTA(F$73:AI$73)/2,0.8,0.5)))</f>
        <v/>
      </c>
      <c r="E93" s="4">
        <f>IF(A93="","",SUMIFS('Логи'!$H$4:$H$3006,'Логи'!$A$4:$A$3006,A93,'Логи'!$C$4:$C$3006,2))</f>
        <v/>
      </c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</row>
    <row r="94">
      <c r="A94" s="4" t="inlineStr">
        <is>
          <t>Студент3.21</t>
        </is>
      </c>
      <c r="B94" s="4" t="inlineStr"/>
      <c r="C94" s="4">
        <f>IF(A94="","",COUNTIF(F94:AI94,"+")+COUNTIF(F94:AI94,"1"))</f>
        <v/>
      </c>
      <c r="D94" s="4">
        <f>IF(A94="","",IF(C94&gt;2*COUNTA(F$73:AI$73)/3,1,IF(C94&gt;=COUNTA(F$73:AI$73)/2,0.8,0.5)))</f>
        <v/>
      </c>
      <c r="E94" s="4">
        <f>IF(A94="","",SUMIFS('Логи'!$H$4:$H$3006,'Логи'!$A$4:$A$3006,A94,'Логи'!$C$4:$C$3006,2))</f>
        <v/>
      </c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</row>
    <row r="95">
      <c r="A95" s="4" t="inlineStr">
        <is>
          <t>Студент3.22</t>
        </is>
      </c>
      <c r="B95" s="4" t="inlineStr"/>
      <c r="C95" s="4">
        <f>IF(A95="","",COUNTIF(F95:AI95,"+")+COUNTIF(F95:AI95,"1"))</f>
        <v/>
      </c>
      <c r="D95" s="4">
        <f>IF(A95="","",IF(C95&gt;2*COUNTA(F$73:AI$73)/3,1,IF(C95&gt;=COUNTA(F$73:AI$73)/2,0.8,0.5)))</f>
        <v/>
      </c>
      <c r="E95" s="4">
        <f>IF(A95="","",SUMIFS('Логи'!$H$4:$H$3006,'Логи'!$A$4:$A$3006,A95,'Логи'!$C$4:$C$3006,2))</f>
        <v/>
      </c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</row>
    <row r="96">
      <c r="A96" s="4" t="inlineStr">
        <is>
          <t>Студент3.23</t>
        </is>
      </c>
      <c r="B96" s="4" t="inlineStr"/>
      <c r="C96" s="4">
        <f>IF(A96="","",COUNTIF(F96:AI96,"+")+COUNTIF(F96:AI96,"1"))</f>
        <v/>
      </c>
      <c r="D96" s="4">
        <f>IF(A96="","",IF(C96&gt;2*COUNTA(F$73:AI$73)/3,1,IF(C96&gt;=COUNTA(F$73:AI$73)/2,0.8,0.5)))</f>
        <v/>
      </c>
      <c r="E96" s="4">
        <f>IF(A96="","",SUMIFS('Логи'!$H$4:$H$3006,'Логи'!$A$4:$A$3006,A96,'Логи'!$C$4:$C$3006,2))</f>
        <v/>
      </c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</row>
    <row r="97">
      <c r="A97" s="4" t="inlineStr">
        <is>
          <t>Студент3.24</t>
        </is>
      </c>
      <c r="B97" s="4" t="inlineStr"/>
      <c r="C97" s="4">
        <f>IF(A97="","",COUNTIF(F97:AI97,"+")+COUNTIF(F97:AI97,"1"))</f>
        <v/>
      </c>
      <c r="D97" s="4">
        <f>IF(A97="","",IF(C97&gt;2*COUNTA(F$73:AI$73)/3,1,IF(C97&gt;=COUNTA(F$73:AI$73)/2,0.8,0.5)))</f>
        <v/>
      </c>
      <c r="E97" s="4">
        <f>IF(A97="","",SUMIFS('Логи'!$H$4:$H$3006,'Логи'!$A$4:$A$3006,A97,'Логи'!$C$4:$C$3006,2))</f>
        <v/>
      </c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</row>
    <row r="98">
      <c r="A98" s="4" t="inlineStr">
        <is>
          <t>Студент3.25</t>
        </is>
      </c>
      <c r="B98" s="4" t="inlineStr"/>
      <c r="C98" s="4">
        <f>IF(A98="","",COUNTIF(F98:AI98,"+")+COUNTIF(F98:AI98,"1"))</f>
        <v/>
      </c>
      <c r="D98" s="4">
        <f>IF(A98="","",IF(C98&gt;2*COUNTA(F$73:AI$73)/3,1,IF(C98&gt;=COUNTA(F$73:AI$73)/2,0.8,0.5)))</f>
        <v/>
      </c>
      <c r="E98" s="4">
        <f>IF(A98="","",SUMIFS('Логи'!$H$4:$H$3006,'Логи'!$A$4:$A$3006,A98,'Логи'!$C$4:$C$3006,2))</f>
        <v/>
      </c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</row>
    <row r="99">
      <c r="A99" s="4" t="inlineStr">
        <is>
          <t>Студент3.26</t>
        </is>
      </c>
      <c r="B99" s="4" t="inlineStr"/>
      <c r="C99" s="4">
        <f>IF(A99="","",COUNTIF(F99:AI99,"+")+COUNTIF(F99:AI99,"1"))</f>
        <v/>
      </c>
      <c r="D99" s="4">
        <f>IF(A99="","",IF(C99&gt;2*COUNTA(F$73:AI$73)/3,1,IF(C99&gt;=COUNTA(F$73:AI$73)/2,0.8,0.5)))</f>
        <v/>
      </c>
      <c r="E99" s="4">
        <f>IF(A99="","",SUMIFS('Логи'!$H$4:$H$3006,'Логи'!$A$4:$A$3006,A99,'Логи'!$C$4:$C$3006,2))</f>
        <v/>
      </c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</row>
    <row r="100">
      <c r="A100" s="4" t="inlineStr">
        <is>
          <t>Студент3.27</t>
        </is>
      </c>
      <c r="B100" s="4" t="inlineStr"/>
      <c r="C100" s="4">
        <f>IF(A100="","",COUNTIF(F100:AI100,"+")+COUNTIF(F100:AI100,"1"))</f>
        <v/>
      </c>
      <c r="D100" s="4">
        <f>IF(A100="","",IF(C100&gt;2*COUNTA(F$73:AI$73)/3,1,IF(C100&gt;=COUNTA(F$73:AI$73)/2,0.8,0.5)))</f>
        <v/>
      </c>
      <c r="E100" s="4">
        <f>IF(A100="","",SUMIFS('Логи'!$H$4:$H$3006,'Логи'!$A$4:$A$3006,A100,'Логи'!$C$4:$C$3006,2))</f>
        <v/>
      </c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</row>
    <row r="101">
      <c r="A101" s="4" t="inlineStr">
        <is>
          <t>Студент3.28</t>
        </is>
      </c>
      <c r="B101" s="4" t="inlineStr"/>
      <c r="C101" s="4">
        <f>IF(A101="","",COUNTIF(F101:AI101,"+")+COUNTIF(F101:AI101,"1"))</f>
        <v/>
      </c>
      <c r="D101" s="4">
        <f>IF(A101="","",IF(C101&gt;2*COUNTA(F$73:AI$73)/3,1,IF(C101&gt;=COUNTA(F$73:AI$73)/2,0.8,0.5)))</f>
        <v/>
      </c>
      <c r="E101" s="4">
        <f>IF(A101="","",SUMIFS('Логи'!$H$4:$H$3006,'Логи'!$A$4:$A$3006,A101,'Логи'!$C$4:$C$3006,2))</f>
        <v/>
      </c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</row>
    <row r="102">
      <c r="A102" s="4" t="inlineStr">
        <is>
          <t>Студент3.29</t>
        </is>
      </c>
      <c r="B102" s="4" t="inlineStr"/>
      <c r="C102" s="4">
        <f>IF(A102="","",COUNTIF(F102:AI102,"+")+COUNTIF(F102:AI102,"1"))</f>
        <v/>
      </c>
      <c r="D102" s="4">
        <f>IF(A102="","",IF(C102&gt;2*COUNTA(F$73:AI$73)/3,1,IF(C102&gt;=COUNTA(F$73:AI$73)/2,0.8,0.5)))</f>
        <v/>
      </c>
      <c r="E102" s="4">
        <f>IF(A102="","",SUMIFS('Логи'!$H$4:$H$3006,'Логи'!$A$4:$A$3006,A102,'Логи'!$C$4:$C$3006,2))</f>
        <v/>
      </c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</row>
    <row r="103">
      <c r="A103" s="4" t="inlineStr">
        <is>
          <t>Студент3.30</t>
        </is>
      </c>
      <c r="B103" s="4" t="inlineStr"/>
      <c r="C103" s="4">
        <f>IF(A103="","",COUNTIF(F103:AI103,"+")+COUNTIF(F103:AI103,"1"))</f>
        <v/>
      </c>
      <c r="D103" s="4">
        <f>IF(A103="","",IF(C103&gt;2*COUNTA(F$73:AI$73)/3,1,IF(C103&gt;=COUNTA(F$73:AI$73)/2,0.8,0.5)))</f>
        <v/>
      </c>
      <c r="E103" s="4">
        <f>IF(A103="","",SUMIFS('Логи'!$H$4:$H$3006,'Логи'!$A$4:$A$3006,A103,'Логи'!$C$4:$C$3006,2))</f>
        <v/>
      </c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</row>
    <row r="105">
      <c r="A105" s="16" t="inlineStr">
        <is>
          <t>Практика 2 — результаты рассказа</t>
        </is>
      </c>
    </row>
    <row r="106" ht="28" customHeight="1">
      <c r="A106" s="7" t="inlineStr">
        <is>
          <t>Имя</t>
        </is>
      </c>
      <c r="B106" s="9" t="inlineStr">
        <is>
          <t>TG</t>
        </is>
      </c>
      <c r="C106" s="10" t="inlineStr"/>
      <c r="D106" s="2" t="inlineStr"/>
      <c r="E106" s="2" t="inlineStr"/>
      <c r="F106" s="11" t="inlineStr">
        <is>
          <t>1.0</t>
        </is>
      </c>
      <c r="G106" s="11" t="inlineStr">
        <is>
          <t>2.0</t>
        </is>
      </c>
      <c r="H106" s="11" t="inlineStr">
        <is>
          <t>3.0</t>
        </is>
      </c>
      <c r="I106" s="11" t="inlineStr">
        <is>
          <t>4.0</t>
        </is>
      </c>
      <c r="J106" s="11" t="inlineStr">
        <is>
          <t>5.0</t>
        </is>
      </c>
      <c r="K106" s="11" t="inlineStr">
        <is>
          <t>6</t>
        </is>
      </c>
      <c r="L106" s="11" t="inlineStr">
        <is>
          <t>7</t>
        </is>
      </c>
      <c r="M106" s="11" t="inlineStr">
        <is>
          <t>8</t>
        </is>
      </c>
      <c r="N106" s="11" t="inlineStr">
        <is>
          <t>9</t>
        </is>
      </c>
      <c r="O106" s="11" t="inlineStr">
        <is>
          <t>10</t>
        </is>
      </c>
      <c r="P106" s="11" t="inlineStr">
        <is>
          <t>11</t>
        </is>
      </c>
      <c r="Q106" s="11" t="inlineStr">
        <is>
          <t>12</t>
        </is>
      </c>
      <c r="R106" s="11" t="inlineStr">
        <is>
          <t>13</t>
        </is>
      </c>
      <c r="S106" s="11" t="inlineStr">
        <is>
          <t>14</t>
        </is>
      </c>
      <c r="T106" s="11" t="inlineStr">
        <is>
          <t>15</t>
        </is>
      </c>
      <c r="U106" s="11" t="inlineStr">
        <is>
          <t>16</t>
        </is>
      </c>
      <c r="V106" s="11" t="inlineStr">
        <is>
          <t>17</t>
        </is>
      </c>
      <c r="W106" s="11" t="inlineStr">
        <is>
          <t>18</t>
        </is>
      </c>
      <c r="X106" s="11" t="inlineStr">
        <is>
          <t>19</t>
        </is>
      </c>
      <c r="Y106" s="11" t="inlineStr">
        <is>
          <t>20</t>
        </is>
      </c>
      <c r="Z106" s="11" t="inlineStr">
        <is>
          <t>21</t>
        </is>
      </c>
      <c r="AA106" s="11" t="inlineStr">
        <is>
          <t>22</t>
        </is>
      </c>
      <c r="AB106" s="11" t="inlineStr">
        <is>
          <t>23</t>
        </is>
      </c>
      <c r="AC106" s="11" t="inlineStr">
        <is>
          <t>24</t>
        </is>
      </c>
      <c r="AD106" s="11" t="inlineStr">
        <is>
          <t>25</t>
        </is>
      </c>
      <c r="AE106" s="11" t="inlineStr">
        <is>
          <t>26</t>
        </is>
      </c>
      <c r="AF106" s="11" t="inlineStr">
        <is>
          <t>27</t>
        </is>
      </c>
      <c r="AG106" s="11" t="inlineStr">
        <is>
          <t>28</t>
        </is>
      </c>
      <c r="AH106" s="11" t="inlineStr">
        <is>
          <t>29</t>
        </is>
      </c>
      <c r="AI106" s="11" t="inlineStr">
        <is>
          <t>30</t>
        </is>
      </c>
    </row>
    <row r="107">
      <c r="A107" s="4" t="inlineStr">
        <is>
          <t>Студент3.1</t>
        </is>
      </c>
      <c r="B107" s="4" t="inlineStr"/>
      <c r="C107" s="4" t="n"/>
      <c r="D107" s="4" t="n"/>
      <c r="E107" s="4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  <c r="AG107" s="15" t="n"/>
      <c r="AH107" s="15" t="n"/>
      <c r="AI107" s="15" t="n"/>
    </row>
    <row r="108">
      <c r="A108" s="4" t="inlineStr">
        <is>
          <t>Студент3.2</t>
        </is>
      </c>
      <c r="B108" s="4" t="inlineStr"/>
      <c r="C108" s="4" t="n"/>
      <c r="D108" s="4" t="n"/>
      <c r="E108" s="4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  <c r="AF108" s="15" t="n"/>
      <c r="AG108" s="15" t="n"/>
      <c r="AH108" s="15" t="n"/>
      <c r="AI108" s="15" t="n"/>
    </row>
    <row r="109">
      <c r="A109" s="4" t="inlineStr">
        <is>
          <t>Студент3.3</t>
        </is>
      </c>
      <c r="B109" s="4" t="inlineStr"/>
      <c r="C109" s="4" t="n"/>
      <c r="D109" s="4" t="n"/>
      <c r="E109" s="4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5" t="n"/>
    </row>
    <row r="110">
      <c r="A110" s="4" t="inlineStr">
        <is>
          <t>Студент3.4</t>
        </is>
      </c>
      <c r="B110" s="4" t="inlineStr"/>
      <c r="C110" s="4" t="n"/>
      <c r="D110" s="4" t="n"/>
      <c r="E110" s="4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  <c r="AF110" s="15" t="n"/>
      <c r="AG110" s="15" t="n"/>
      <c r="AH110" s="15" t="n"/>
      <c r="AI110" s="15" t="n"/>
    </row>
    <row r="111">
      <c r="A111" s="4" t="inlineStr">
        <is>
          <t>Студент3.5</t>
        </is>
      </c>
      <c r="B111" s="4" t="inlineStr"/>
      <c r="C111" s="4" t="n"/>
      <c r="D111" s="4" t="n"/>
      <c r="E111" s="4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  <c r="AG111" s="15" t="n"/>
      <c r="AH111" s="15" t="n"/>
      <c r="AI111" s="15" t="n"/>
    </row>
    <row r="112">
      <c r="A112" s="4" t="inlineStr">
        <is>
          <t>Студент3.6</t>
        </is>
      </c>
      <c r="B112" s="4" t="inlineStr"/>
      <c r="C112" s="4" t="n"/>
      <c r="D112" s="4" t="n"/>
      <c r="E112" s="4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n"/>
      <c r="AG112" s="15" t="n"/>
      <c r="AH112" s="15" t="n"/>
      <c r="AI112" s="15" t="n"/>
    </row>
    <row r="113">
      <c r="A113" s="4" t="inlineStr">
        <is>
          <t>Студент3.7</t>
        </is>
      </c>
      <c r="B113" s="4" t="inlineStr"/>
      <c r="C113" s="4" t="n"/>
      <c r="D113" s="4" t="n"/>
      <c r="E113" s="4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  <c r="AH113" s="15" t="n"/>
      <c r="AI113" s="15" t="n"/>
    </row>
    <row r="114">
      <c r="A114" s="4" t="inlineStr">
        <is>
          <t>Студент3.8</t>
        </is>
      </c>
      <c r="B114" s="4" t="inlineStr"/>
      <c r="C114" s="4" t="n"/>
      <c r="D114" s="4" t="n"/>
      <c r="E114" s="4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  <c r="AF114" s="15" t="n"/>
      <c r="AG114" s="15" t="n"/>
      <c r="AH114" s="15" t="n"/>
      <c r="AI114" s="15" t="n"/>
    </row>
    <row r="115">
      <c r="A115" s="4" t="inlineStr">
        <is>
          <t>Студент3.9</t>
        </is>
      </c>
      <c r="B115" s="4" t="inlineStr"/>
      <c r="C115" s="4" t="n"/>
      <c r="D115" s="4" t="n"/>
      <c r="E115" s="4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</row>
    <row r="116">
      <c r="A116" s="4" t="inlineStr">
        <is>
          <t>Студент3.10</t>
        </is>
      </c>
      <c r="B116" s="4" t="inlineStr"/>
      <c r="C116" s="4" t="n"/>
      <c r="D116" s="4" t="n"/>
      <c r="E116" s="4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  <c r="AF116" s="15" t="n"/>
      <c r="AG116" s="15" t="n"/>
      <c r="AH116" s="15" t="n"/>
      <c r="AI116" s="15" t="n"/>
    </row>
    <row r="117">
      <c r="A117" s="4" t="inlineStr">
        <is>
          <t>Студент3.11</t>
        </is>
      </c>
      <c r="B117" s="4" t="inlineStr"/>
      <c r="C117" s="4" t="n"/>
      <c r="D117" s="4" t="n"/>
      <c r="E117" s="4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</row>
    <row r="118">
      <c r="A118" s="4" t="inlineStr">
        <is>
          <t>Студент3.12</t>
        </is>
      </c>
      <c r="B118" s="4" t="inlineStr"/>
      <c r="C118" s="4" t="n"/>
      <c r="D118" s="4" t="n"/>
      <c r="E118" s="4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  <c r="AI118" s="15" t="n"/>
    </row>
    <row r="119">
      <c r="A119" s="4" t="inlineStr">
        <is>
          <t>Студент3.13</t>
        </is>
      </c>
      <c r="B119" s="4" t="inlineStr"/>
      <c r="C119" s="4" t="n"/>
      <c r="D119" s="4" t="n"/>
      <c r="E119" s="4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5" t="n"/>
    </row>
    <row r="120">
      <c r="A120" s="4" t="inlineStr">
        <is>
          <t>Студент3.14</t>
        </is>
      </c>
      <c r="B120" s="4" t="inlineStr"/>
      <c r="C120" s="4" t="n"/>
      <c r="D120" s="4" t="n"/>
      <c r="E120" s="4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5" t="n"/>
    </row>
    <row r="121">
      <c r="A121" s="4" t="inlineStr">
        <is>
          <t>Студент3.15</t>
        </is>
      </c>
      <c r="B121" s="4" t="inlineStr"/>
      <c r="C121" s="4" t="n"/>
      <c r="D121" s="4" t="n"/>
      <c r="E121" s="4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  <c r="AG121" s="15" t="n"/>
      <c r="AH121" s="15" t="n"/>
      <c r="AI121" s="15" t="n"/>
    </row>
    <row r="122">
      <c r="A122" s="4" t="inlineStr">
        <is>
          <t>Студент3.16</t>
        </is>
      </c>
      <c r="B122" s="4" t="inlineStr"/>
      <c r="C122" s="4" t="n"/>
      <c r="D122" s="4" t="n"/>
      <c r="E122" s="4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  <c r="AF122" s="15" t="n"/>
      <c r="AG122" s="15" t="n"/>
      <c r="AH122" s="15" t="n"/>
      <c r="AI122" s="15" t="n"/>
    </row>
    <row r="123">
      <c r="A123" s="4" t="inlineStr">
        <is>
          <t>Студент3.17</t>
        </is>
      </c>
      <c r="B123" s="4" t="inlineStr"/>
      <c r="C123" s="4" t="n"/>
      <c r="D123" s="4" t="n"/>
      <c r="E123" s="4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5" t="n"/>
    </row>
    <row r="124">
      <c r="A124" s="4" t="inlineStr">
        <is>
          <t>Студент3.18</t>
        </is>
      </c>
      <c r="B124" s="4" t="inlineStr"/>
      <c r="C124" s="4" t="n"/>
      <c r="D124" s="4" t="n"/>
      <c r="E124" s="4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  <c r="AF124" s="15" t="n"/>
      <c r="AG124" s="15" t="n"/>
      <c r="AH124" s="15" t="n"/>
      <c r="AI124" s="15" t="n"/>
    </row>
    <row r="125">
      <c r="A125" s="4" t="inlineStr">
        <is>
          <t>Студент3.19</t>
        </is>
      </c>
      <c r="B125" s="4" t="inlineStr"/>
      <c r="C125" s="4" t="n"/>
      <c r="D125" s="4" t="n"/>
      <c r="E125" s="4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5" t="n"/>
    </row>
    <row r="126">
      <c r="A126" s="4" t="inlineStr">
        <is>
          <t>Студент3.20</t>
        </is>
      </c>
      <c r="B126" s="4" t="inlineStr"/>
      <c r="C126" s="4" t="n"/>
      <c r="D126" s="4" t="n"/>
      <c r="E126" s="4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  <c r="AF126" s="15" t="n"/>
      <c r="AG126" s="15" t="n"/>
      <c r="AH126" s="15" t="n"/>
      <c r="AI126" s="15" t="n"/>
    </row>
    <row r="127">
      <c r="A127" s="4" t="inlineStr">
        <is>
          <t>Студент3.21</t>
        </is>
      </c>
      <c r="B127" s="4" t="inlineStr"/>
      <c r="C127" s="4" t="n"/>
      <c r="D127" s="4" t="n"/>
      <c r="E127" s="4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</row>
    <row r="128">
      <c r="A128" s="4" t="inlineStr">
        <is>
          <t>Студент3.22</t>
        </is>
      </c>
      <c r="B128" s="4" t="inlineStr"/>
      <c r="C128" s="4" t="n"/>
      <c r="D128" s="4" t="n"/>
      <c r="E128" s="4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5" t="n"/>
    </row>
    <row r="129">
      <c r="A129" s="4" t="inlineStr">
        <is>
          <t>Студент3.23</t>
        </is>
      </c>
      <c r="B129" s="4" t="inlineStr"/>
      <c r="C129" s="4" t="n"/>
      <c r="D129" s="4" t="n"/>
      <c r="E129" s="4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5" t="n"/>
    </row>
    <row r="130">
      <c r="A130" s="4" t="inlineStr">
        <is>
          <t>Студент3.24</t>
        </is>
      </c>
      <c r="B130" s="4" t="inlineStr"/>
      <c r="C130" s="4" t="n"/>
      <c r="D130" s="4" t="n"/>
      <c r="E130" s="4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  <c r="AG130" s="15" t="n"/>
      <c r="AH130" s="15" t="n"/>
      <c r="AI130" s="15" t="n"/>
    </row>
    <row r="131">
      <c r="A131" s="4" t="inlineStr">
        <is>
          <t>Студент3.25</t>
        </is>
      </c>
      <c r="B131" s="4" t="inlineStr"/>
      <c r="C131" s="4" t="n"/>
      <c r="D131" s="4" t="n"/>
      <c r="E131" s="4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5" t="n"/>
    </row>
    <row r="132">
      <c r="A132" s="4" t="inlineStr">
        <is>
          <t>Студент3.26</t>
        </is>
      </c>
      <c r="B132" s="4" t="inlineStr"/>
      <c r="C132" s="4" t="n"/>
      <c r="D132" s="4" t="n"/>
      <c r="E132" s="4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  <c r="AF132" s="15" t="n"/>
      <c r="AG132" s="15" t="n"/>
      <c r="AH132" s="15" t="n"/>
      <c r="AI132" s="15" t="n"/>
    </row>
    <row r="133">
      <c r="A133" s="4" t="inlineStr">
        <is>
          <t>Студент3.27</t>
        </is>
      </c>
      <c r="B133" s="4" t="inlineStr"/>
      <c r="C133" s="4" t="n"/>
      <c r="D133" s="4" t="n"/>
      <c r="E133" s="4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</row>
    <row r="134">
      <c r="A134" s="4" t="inlineStr">
        <is>
          <t>Студент3.28</t>
        </is>
      </c>
      <c r="B134" s="4" t="inlineStr"/>
      <c r="C134" s="4" t="n"/>
      <c r="D134" s="4" t="n"/>
      <c r="E134" s="4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  <c r="AG134" s="15" t="n"/>
      <c r="AH134" s="15" t="n"/>
      <c r="AI134" s="15" t="n"/>
    </row>
    <row r="135">
      <c r="A135" s="4" t="inlineStr">
        <is>
          <t>Студент3.29</t>
        </is>
      </c>
      <c r="B135" s="4" t="inlineStr"/>
      <c r="C135" s="4" t="n"/>
      <c r="D135" s="4" t="n"/>
      <c r="E135" s="4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5" t="n"/>
    </row>
    <row r="136">
      <c r="A136" s="4" t="inlineStr">
        <is>
          <t>Студент3.30</t>
        </is>
      </c>
      <c r="B136" s="4" t="inlineStr"/>
      <c r="C136" s="4" t="n"/>
      <c r="D136" s="4" t="n"/>
      <c r="E136" s="4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</row>
    <row r="140">
      <c r="A140" s="13" t="inlineStr">
        <is>
          <t>Практика 3 — плюсы</t>
        </is>
      </c>
    </row>
    <row r="141" ht="28" customHeight="1">
      <c r="A141" s="7" t="inlineStr">
        <is>
          <t>Имя</t>
        </is>
      </c>
      <c r="B141" s="9" t="inlineStr">
        <is>
          <t>TG</t>
        </is>
      </c>
      <c r="C141" s="10" t="inlineStr">
        <is>
          <t>S</t>
        </is>
      </c>
      <c r="D141" s="8" t="inlineStr">
        <is>
          <t>Коэффициент</t>
        </is>
      </c>
      <c r="E141" s="14" t="inlineStr">
        <is>
          <t>D за практику</t>
        </is>
      </c>
      <c r="F141" s="11" t="inlineStr">
        <is>
          <t>1.0</t>
        </is>
      </c>
      <c r="G141" s="11" t="inlineStr">
        <is>
          <t>2.0</t>
        </is>
      </c>
      <c r="H141" s="11" t="inlineStr">
        <is>
          <t>3.0</t>
        </is>
      </c>
      <c r="I141" s="11" t="inlineStr">
        <is>
          <t>4.0</t>
        </is>
      </c>
      <c r="J141" s="11" t="inlineStr">
        <is>
          <t>5.0</t>
        </is>
      </c>
      <c r="K141" s="11" t="inlineStr">
        <is>
          <t>6</t>
        </is>
      </c>
      <c r="L141" s="11" t="inlineStr">
        <is>
          <t>7</t>
        </is>
      </c>
      <c r="M141" s="11" t="inlineStr">
        <is>
          <t>8</t>
        </is>
      </c>
      <c r="N141" s="11" t="inlineStr">
        <is>
          <t>9</t>
        </is>
      </c>
      <c r="O141" s="11" t="inlineStr">
        <is>
          <t>10</t>
        </is>
      </c>
      <c r="P141" s="11" t="inlineStr">
        <is>
          <t>11</t>
        </is>
      </c>
      <c r="Q141" s="11" t="inlineStr">
        <is>
          <t>12</t>
        </is>
      </c>
      <c r="R141" s="11" t="inlineStr">
        <is>
          <t>13</t>
        </is>
      </c>
      <c r="S141" s="11" t="inlineStr">
        <is>
          <t>14</t>
        </is>
      </c>
      <c r="T141" s="11" t="inlineStr">
        <is>
          <t>15</t>
        </is>
      </c>
      <c r="U141" s="11" t="inlineStr">
        <is>
          <t>16</t>
        </is>
      </c>
      <c r="V141" s="11" t="inlineStr">
        <is>
          <t>17</t>
        </is>
      </c>
      <c r="W141" s="11" t="inlineStr">
        <is>
          <t>18</t>
        </is>
      </c>
      <c r="X141" s="11" t="inlineStr">
        <is>
          <t>19</t>
        </is>
      </c>
      <c r="Y141" s="11" t="inlineStr">
        <is>
          <t>20</t>
        </is>
      </c>
      <c r="Z141" s="11" t="inlineStr">
        <is>
          <t>21</t>
        </is>
      </c>
      <c r="AA141" s="11" t="inlineStr">
        <is>
          <t>22</t>
        </is>
      </c>
      <c r="AB141" s="11" t="inlineStr">
        <is>
          <t>23</t>
        </is>
      </c>
      <c r="AC141" s="11" t="inlineStr">
        <is>
          <t>24</t>
        </is>
      </c>
      <c r="AD141" s="11" t="inlineStr">
        <is>
          <t>25</t>
        </is>
      </c>
      <c r="AE141" s="11" t="inlineStr">
        <is>
          <t>26</t>
        </is>
      </c>
      <c r="AF141" s="11" t="inlineStr">
        <is>
          <t>27</t>
        </is>
      </c>
      <c r="AG141" s="11" t="inlineStr">
        <is>
          <t>28</t>
        </is>
      </c>
      <c r="AH141" s="11" t="inlineStr">
        <is>
          <t>29</t>
        </is>
      </c>
      <c r="AI141" s="11" t="inlineStr">
        <is>
          <t>30</t>
        </is>
      </c>
    </row>
    <row r="142">
      <c r="A142" s="4" t="inlineStr">
        <is>
          <t>Студент3.1</t>
        </is>
      </c>
      <c r="B142" s="4" t="inlineStr"/>
      <c r="C142" s="4">
        <f>IF(A142="","",COUNTIF(F142:AI142,"+")+COUNTIF(F142:AI142,"1"))</f>
        <v/>
      </c>
      <c r="D142" s="4">
        <f>IF(A142="","",IF(C142&gt;2*COUNTA(F$141:AI$141)/3,1,IF(C142&gt;=COUNTA(F$141:AI$141)/2,0.8,0.5)))</f>
        <v/>
      </c>
      <c r="E142" s="4">
        <f>IF(A142="","",SUMIFS('Логи'!$H$4:$H$3006,'Логи'!$A$4:$A$3006,A142,'Логи'!$C$4:$C$3006,3))</f>
        <v/>
      </c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  <c r="AG142" s="15" t="n"/>
      <c r="AH142" s="15" t="n"/>
      <c r="AI142" s="15" t="n"/>
    </row>
    <row r="143">
      <c r="A143" s="4" t="inlineStr">
        <is>
          <t>Студент3.2</t>
        </is>
      </c>
      <c r="B143" s="4" t="inlineStr"/>
      <c r="C143" s="4">
        <f>IF(A143="","",COUNTIF(F143:AI143,"+")+COUNTIF(F143:AI143,"1"))</f>
        <v/>
      </c>
      <c r="D143" s="4">
        <f>IF(A143="","",IF(C143&gt;2*COUNTA(F$141:AI$141)/3,1,IF(C143&gt;=COUNTA(F$141:AI$141)/2,0.8,0.5)))</f>
        <v/>
      </c>
      <c r="E143" s="4">
        <f>IF(A143="","",SUMIFS('Логи'!$H$4:$H$3006,'Логи'!$A$4:$A$3006,A143,'Логи'!$C$4:$C$3006,3))</f>
        <v/>
      </c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  <c r="AG143" s="15" t="n"/>
      <c r="AH143" s="15" t="n"/>
      <c r="AI143" s="15" t="n"/>
    </row>
    <row r="144">
      <c r="A144" s="4" t="inlineStr">
        <is>
          <t>Студент3.3</t>
        </is>
      </c>
      <c r="B144" s="4" t="inlineStr"/>
      <c r="C144" s="4">
        <f>IF(A144="","",COUNTIF(F144:AI144,"+")+COUNTIF(F144:AI144,"1"))</f>
        <v/>
      </c>
      <c r="D144" s="4">
        <f>IF(A144="","",IF(C144&gt;2*COUNTA(F$141:AI$141)/3,1,IF(C144&gt;=COUNTA(F$141:AI$141)/2,0.8,0.5)))</f>
        <v/>
      </c>
      <c r="E144" s="4">
        <f>IF(A144="","",SUMIFS('Логи'!$H$4:$H$3006,'Логи'!$A$4:$A$3006,A144,'Логи'!$C$4:$C$3006,3))</f>
        <v/>
      </c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  <c r="AG144" s="15" t="n"/>
      <c r="AH144" s="15" t="n"/>
      <c r="AI144" s="15" t="n"/>
    </row>
    <row r="145">
      <c r="A145" s="4" t="inlineStr">
        <is>
          <t>Студент3.4</t>
        </is>
      </c>
      <c r="B145" s="4" t="inlineStr"/>
      <c r="C145" s="4">
        <f>IF(A145="","",COUNTIF(F145:AI145,"+")+COUNTIF(F145:AI145,"1"))</f>
        <v/>
      </c>
      <c r="D145" s="4">
        <f>IF(A145="","",IF(C145&gt;2*COUNTA(F$141:AI$141)/3,1,IF(C145&gt;=COUNTA(F$141:AI$141)/2,0.8,0.5)))</f>
        <v/>
      </c>
      <c r="E145" s="4">
        <f>IF(A145="","",SUMIFS('Логи'!$H$4:$H$3006,'Логи'!$A$4:$A$3006,A145,'Логи'!$C$4:$C$3006,3))</f>
        <v/>
      </c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  <c r="AG145" s="15" t="n"/>
      <c r="AH145" s="15" t="n"/>
      <c r="AI145" s="15" t="n"/>
    </row>
    <row r="146">
      <c r="A146" s="4" t="inlineStr">
        <is>
          <t>Студент3.5</t>
        </is>
      </c>
      <c r="B146" s="4" t="inlineStr"/>
      <c r="C146" s="4">
        <f>IF(A146="","",COUNTIF(F146:AI146,"+")+COUNTIF(F146:AI146,"1"))</f>
        <v/>
      </c>
      <c r="D146" s="4">
        <f>IF(A146="","",IF(C146&gt;2*COUNTA(F$141:AI$141)/3,1,IF(C146&gt;=COUNTA(F$141:AI$141)/2,0.8,0.5)))</f>
        <v/>
      </c>
      <c r="E146" s="4">
        <f>IF(A146="","",SUMIFS('Логи'!$H$4:$H$3006,'Логи'!$A$4:$A$3006,A146,'Логи'!$C$4:$C$3006,3))</f>
        <v/>
      </c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  <c r="AG146" s="15" t="n"/>
      <c r="AH146" s="15" t="n"/>
      <c r="AI146" s="15" t="n"/>
    </row>
    <row r="147">
      <c r="A147" s="4" t="inlineStr">
        <is>
          <t>Студент3.6</t>
        </is>
      </c>
      <c r="B147" s="4" t="inlineStr"/>
      <c r="C147" s="4">
        <f>IF(A147="","",COUNTIF(F147:AI147,"+")+COUNTIF(F147:AI147,"1"))</f>
        <v/>
      </c>
      <c r="D147" s="4">
        <f>IF(A147="","",IF(C147&gt;2*COUNTA(F$141:AI$141)/3,1,IF(C147&gt;=COUNTA(F$141:AI$141)/2,0.8,0.5)))</f>
        <v/>
      </c>
      <c r="E147" s="4">
        <f>IF(A147="","",SUMIFS('Логи'!$H$4:$H$3006,'Логи'!$A$4:$A$3006,A147,'Логи'!$C$4:$C$3006,3))</f>
        <v/>
      </c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  <c r="AG147" s="15" t="n"/>
      <c r="AH147" s="15" t="n"/>
      <c r="AI147" s="15" t="n"/>
    </row>
    <row r="148">
      <c r="A148" s="4" t="inlineStr">
        <is>
          <t>Студент3.7</t>
        </is>
      </c>
      <c r="B148" s="4" t="inlineStr"/>
      <c r="C148" s="4">
        <f>IF(A148="","",COUNTIF(F148:AI148,"+")+COUNTIF(F148:AI148,"1"))</f>
        <v/>
      </c>
      <c r="D148" s="4">
        <f>IF(A148="","",IF(C148&gt;2*COUNTA(F$141:AI$141)/3,1,IF(C148&gt;=COUNTA(F$141:AI$141)/2,0.8,0.5)))</f>
        <v/>
      </c>
      <c r="E148" s="4">
        <f>IF(A148="","",SUMIFS('Логи'!$H$4:$H$3006,'Логи'!$A$4:$A$3006,A148,'Логи'!$C$4:$C$3006,3))</f>
        <v/>
      </c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  <c r="AF148" s="15" t="n"/>
      <c r="AG148" s="15" t="n"/>
      <c r="AH148" s="15" t="n"/>
      <c r="AI148" s="15" t="n"/>
    </row>
    <row r="149">
      <c r="A149" s="4" t="inlineStr">
        <is>
          <t>Студент3.8</t>
        </is>
      </c>
      <c r="B149" s="4" t="inlineStr"/>
      <c r="C149" s="4">
        <f>IF(A149="","",COUNTIF(F149:AI149,"+")+COUNTIF(F149:AI149,"1"))</f>
        <v/>
      </c>
      <c r="D149" s="4">
        <f>IF(A149="","",IF(C149&gt;2*COUNTA(F$141:AI$141)/3,1,IF(C149&gt;=COUNTA(F$141:AI$141)/2,0.8,0.5)))</f>
        <v/>
      </c>
      <c r="E149" s="4">
        <f>IF(A149="","",SUMIFS('Логи'!$H$4:$H$3006,'Логи'!$A$4:$A$3006,A149,'Логи'!$C$4:$C$3006,3))</f>
        <v/>
      </c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  <c r="AF149" s="15" t="n"/>
      <c r="AG149" s="15" t="n"/>
      <c r="AH149" s="15" t="n"/>
      <c r="AI149" s="15" t="n"/>
    </row>
    <row r="150">
      <c r="A150" s="4" t="inlineStr">
        <is>
          <t>Студент3.9</t>
        </is>
      </c>
      <c r="B150" s="4" t="inlineStr"/>
      <c r="C150" s="4">
        <f>IF(A150="","",COUNTIF(F150:AI150,"+")+COUNTIF(F150:AI150,"1"))</f>
        <v/>
      </c>
      <c r="D150" s="4">
        <f>IF(A150="","",IF(C150&gt;2*COUNTA(F$141:AI$141)/3,1,IF(C150&gt;=COUNTA(F$141:AI$141)/2,0.8,0.5)))</f>
        <v/>
      </c>
      <c r="E150" s="4">
        <f>IF(A150="","",SUMIFS('Логи'!$H$4:$H$3006,'Логи'!$A$4:$A$3006,A150,'Логи'!$C$4:$C$3006,3))</f>
        <v/>
      </c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  <c r="AG150" s="15" t="n"/>
      <c r="AH150" s="15" t="n"/>
      <c r="AI150" s="15" t="n"/>
    </row>
    <row r="151">
      <c r="A151" s="4" t="inlineStr">
        <is>
          <t>Студент3.10</t>
        </is>
      </c>
      <c r="B151" s="4" t="inlineStr"/>
      <c r="C151" s="4">
        <f>IF(A151="","",COUNTIF(F151:AI151,"+")+COUNTIF(F151:AI151,"1"))</f>
        <v/>
      </c>
      <c r="D151" s="4">
        <f>IF(A151="","",IF(C151&gt;2*COUNTA(F$141:AI$141)/3,1,IF(C151&gt;=COUNTA(F$141:AI$141)/2,0.8,0.5)))</f>
        <v/>
      </c>
      <c r="E151" s="4">
        <f>IF(A151="","",SUMIFS('Логи'!$H$4:$H$3006,'Логи'!$A$4:$A$3006,A151,'Логи'!$C$4:$C$3006,3))</f>
        <v/>
      </c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  <c r="AG151" s="15" t="n"/>
      <c r="AH151" s="15" t="n"/>
      <c r="AI151" s="15" t="n"/>
    </row>
    <row r="152">
      <c r="A152" s="4" t="inlineStr">
        <is>
          <t>Студент3.11</t>
        </is>
      </c>
      <c r="B152" s="4" t="inlineStr"/>
      <c r="C152" s="4">
        <f>IF(A152="","",COUNTIF(F152:AI152,"+")+COUNTIF(F152:AI152,"1"))</f>
        <v/>
      </c>
      <c r="D152" s="4">
        <f>IF(A152="","",IF(C152&gt;2*COUNTA(F$141:AI$141)/3,1,IF(C152&gt;=COUNTA(F$141:AI$141)/2,0.8,0.5)))</f>
        <v/>
      </c>
      <c r="E152" s="4">
        <f>IF(A152="","",SUMIFS('Логи'!$H$4:$H$3006,'Логи'!$A$4:$A$3006,A152,'Логи'!$C$4:$C$3006,3))</f>
        <v/>
      </c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  <c r="AG152" s="15" t="n"/>
      <c r="AH152" s="15" t="n"/>
      <c r="AI152" s="15" t="n"/>
    </row>
    <row r="153">
      <c r="A153" s="4" t="inlineStr">
        <is>
          <t>Студент3.12</t>
        </is>
      </c>
      <c r="B153" s="4" t="inlineStr"/>
      <c r="C153" s="4">
        <f>IF(A153="","",COUNTIF(F153:AI153,"+")+COUNTIF(F153:AI153,"1"))</f>
        <v/>
      </c>
      <c r="D153" s="4">
        <f>IF(A153="","",IF(C153&gt;2*COUNTA(F$141:AI$141)/3,1,IF(C153&gt;=COUNTA(F$141:AI$141)/2,0.8,0.5)))</f>
        <v/>
      </c>
      <c r="E153" s="4">
        <f>IF(A153="","",SUMIFS('Логи'!$H$4:$H$3006,'Логи'!$A$4:$A$3006,A153,'Логи'!$C$4:$C$3006,3))</f>
        <v/>
      </c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  <c r="AG153" s="15" t="n"/>
      <c r="AH153" s="15" t="n"/>
      <c r="AI153" s="15" t="n"/>
    </row>
    <row r="154">
      <c r="A154" s="4" t="inlineStr">
        <is>
          <t>Студент3.13</t>
        </is>
      </c>
      <c r="B154" s="4" t="inlineStr"/>
      <c r="C154" s="4">
        <f>IF(A154="","",COUNTIF(F154:AI154,"+")+COUNTIF(F154:AI154,"1"))</f>
        <v/>
      </c>
      <c r="D154" s="4">
        <f>IF(A154="","",IF(C154&gt;2*COUNTA(F$141:AI$141)/3,1,IF(C154&gt;=COUNTA(F$141:AI$141)/2,0.8,0.5)))</f>
        <v/>
      </c>
      <c r="E154" s="4">
        <f>IF(A154="","",SUMIFS('Логи'!$H$4:$H$3006,'Логи'!$A$4:$A$3006,A154,'Логи'!$C$4:$C$3006,3))</f>
        <v/>
      </c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  <c r="AG154" s="15" t="n"/>
      <c r="AH154" s="15" t="n"/>
      <c r="AI154" s="15" t="n"/>
    </row>
    <row r="155">
      <c r="A155" s="4" t="inlineStr">
        <is>
          <t>Студент3.14</t>
        </is>
      </c>
      <c r="B155" s="4" t="inlineStr"/>
      <c r="C155" s="4">
        <f>IF(A155="","",COUNTIF(F155:AI155,"+")+COUNTIF(F155:AI155,"1"))</f>
        <v/>
      </c>
      <c r="D155" s="4">
        <f>IF(A155="","",IF(C155&gt;2*COUNTA(F$141:AI$141)/3,1,IF(C155&gt;=COUNTA(F$141:AI$141)/2,0.8,0.5)))</f>
        <v/>
      </c>
      <c r="E155" s="4">
        <f>IF(A155="","",SUMIFS('Логи'!$H$4:$H$3006,'Логи'!$A$4:$A$3006,A155,'Логи'!$C$4:$C$3006,3))</f>
        <v/>
      </c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  <c r="AH155" s="15" t="n"/>
      <c r="AI155" s="15" t="n"/>
    </row>
    <row r="156">
      <c r="A156" s="4" t="inlineStr">
        <is>
          <t>Студент3.15</t>
        </is>
      </c>
      <c r="B156" s="4" t="inlineStr"/>
      <c r="C156" s="4">
        <f>IF(A156="","",COUNTIF(F156:AI156,"+")+COUNTIF(F156:AI156,"1"))</f>
        <v/>
      </c>
      <c r="D156" s="4">
        <f>IF(A156="","",IF(C156&gt;2*COUNTA(F$141:AI$141)/3,1,IF(C156&gt;=COUNTA(F$141:AI$141)/2,0.8,0.5)))</f>
        <v/>
      </c>
      <c r="E156" s="4">
        <f>IF(A156="","",SUMIFS('Логи'!$H$4:$H$3006,'Логи'!$A$4:$A$3006,A156,'Логи'!$C$4:$C$3006,3))</f>
        <v/>
      </c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  <c r="AG156" s="15" t="n"/>
      <c r="AH156" s="15" t="n"/>
      <c r="AI156" s="15" t="n"/>
    </row>
    <row r="157">
      <c r="A157" s="4" t="inlineStr">
        <is>
          <t>Студент3.16</t>
        </is>
      </c>
      <c r="B157" s="4" t="inlineStr"/>
      <c r="C157" s="4">
        <f>IF(A157="","",COUNTIF(F157:AI157,"+")+COUNTIF(F157:AI157,"1"))</f>
        <v/>
      </c>
      <c r="D157" s="4">
        <f>IF(A157="","",IF(C157&gt;2*COUNTA(F$141:AI$141)/3,1,IF(C157&gt;=COUNTA(F$141:AI$141)/2,0.8,0.5)))</f>
        <v/>
      </c>
      <c r="E157" s="4">
        <f>IF(A157="","",SUMIFS('Логи'!$H$4:$H$3006,'Логи'!$A$4:$A$3006,A157,'Логи'!$C$4:$C$3006,3))</f>
        <v/>
      </c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5" t="n"/>
    </row>
    <row r="158">
      <c r="A158" s="4" t="inlineStr">
        <is>
          <t>Студент3.17</t>
        </is>
      </c>
      <c r="B158" s="4" t="inlineStr"/>
      <c r="C158" s="4">
        <f>IF(A158="","",COUNTIF(F158:AI158,"+")+COUNTIF(F158:AI158,"1"))</f>
        <v/>
      </c>
      <c r="D158" s="4">
        <f>IF(A158="","",IF(C158&gt;2*COUNTA(F$141:AI$141)/3,1,IF(C158&gt;=COUNTA(F$141:AI$141)/2,0.8,0.5)))</f>
        <v/>
      </c>
      <c r="E158" s="4">
        <f>IF(A158="","",SUMIFS('Логи'!$H$4:$H$3006,'Логи'!$A$4:$A$3006,A158,'Логи'!$C$4:$C$3006,3))</f>
        <v/>
      </c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  <c r="AG158" s="15" t="n"/>
      <c r="AH158" s="15" t="n"/>
      <c r="AI158" s="15" t="n"/>
    </row>
    <row r="159">
      <c r="A159" s="4" t="inlineStr">
        <is>
          <t>Студент3.18</t>
        </is>
      </c>
      <c r="B159" s="4" t="inlineStr"/>
      <c r="C159" s="4">
        <f>IF(A159="","",COUNTIF(F159:AI159,"+")+COUNTIF(F159:AI159,"1"))</f>
        <v/>
      </c>
      <c r="D159" s="4">
        <f>IF(A159="","",IF(C159&gt;2*COUNTA(F$141:AI$141)/3,1,IF(C159&gt;=COUNTA(F$141:AI$141)/2,0.8,0.5)))</f>
        <v/>
      </c>
      <c r="E159" s="4">
        <f>IF(A159="","",SUMIFS('Логи'!$H$4:$H$3006,'Логи'!$A$4:$A$3006,A159,'Логи'!$C$4:$C$3006,3))</f>
        <v/>
      </c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5" t="n"/>
    </row>
    <row r="160">
      <c r="A160" s="4" t="inlineStr">
        <is>
          <t>Студент3.19</t>
        </is>
      </c>
      <c r="B160" s="4" t="inlineStr"/>
      <c r="C160" s="4">
        <f>IF(A160="","",COUNTIF(F160:AI160,"+")+COUNTIF(F160:AI160,"1"))</f>
        <v/>
      </c>
      <c r="D160" s="4">
        <f>IF(A160="","",IF(C160&gt;2*COUNTA(F$141:AI$141)/3,1,IF(C160&gt;=COUNTA(F$141:AI$141)/2,0.8,0.5)))</f>
        <v/>
      </c>
      <c r="E160" s="4">
        <f>IF(A160="","",SUMIFS('Логи'!$H$4:$H$3006,'Логи'!$A$4:$A$3006,A160,'Логи'!$C$4:$C$3006,3))</f>
        <v/>
      </c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  <c r="AF160" s="15" t="n"/>
      <c r="AG160" s="15" t="n"/>
      <c r="AH160" s="15" t="n"/>
      <c r="AI160" s="15" t="n"/>
    </row>
    <row r="161">
      <c r="A161" s="4" t="inlineStr">
        <is>
          <t>Студент3.20</t>
        </is>
      </c>
      <c r="B161" s="4" t="inlineStr"/>
      <c r="C161" s="4">
        <f>IF(A161="","",COUNTIF(F161:AI161,"+")+COUNTIF(F161:AI161,"1"))</f>
        <v/>
      </c>
      <c r="D161" s="4">
        <f>IF(A161="","",IF(C161&gt;2*COUNTA(F$141:AI$141)/3,1,IF(C161&gt;=COUNTA(F$141:AI$141)/2,0.8,0.5)))</f>
        <v/>
      </c>
      <c r="E161" s="4">
        <f>IF(A161="","",SUMIFS('Логи'!$H$4:$H$3006,'Логи'!$A$4:$A$3006,A161,'Логи'!$C$4:$C$3006,3))</f>
        <v/>
      </c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  <c r="AG161" s="15" t="n"/>
      <c r="AH161" s="15" t="n"/>
      <c r="AI161" s="15" t="n"/>
    </row>
    <row r="162">
      <c r="A162" s="4" t="inlineStr">
        <is>
          <t>Студент3.21</t>
        </is>
      </c>
      <c r="B162" s="4" t="inlineStr"/>
      <c r="C162" s="4">
        <f>IF(A162="","",COUNTIF(F162:AI162,"+")+COUNTIF(F162:AI162,"1"))</f>
        <v/>
      </c>
      <c r="D162" s="4">
        <f>IF(A162="","",IF(C162&gt;2*COUNTA(F$141:AI$141)/3,1,IF(C162&gt;=COUNTA(F$141:AI$141)/2,0.8,0.5)))</f>
        <v/>
      </c>
      <c r="E162" s="4">
        <f>IF(A162="","",SUMIFS('Логи'!$H$4:$H$3006,'Логи'!$A$4:$A$3006,A162,'Логи'!$C$4:$C$3006,3))</f>
        <v/>
      </c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  <c r="AF162" s="15" t="n"/>
      <c r="AG162" s="15" t="n"/>
      <c r="AH162" s="15" t="n"/>
      <c r="AI162" s="15" t="n"/>
    </row>
    <row r="163">
      <c r="A163" s="4" t="inlineStr">
        <is>
          <t>Студент3.22</t>
        </is>
      </c>
      <c r="B163" s="4" t="inlineStr"/>
      <c r="C163" s="4">
        <f>IF(A163="","",COUNTIF(F163:AI163,"+")+COUNTIF(F163:AI163,"1"))</f>
        <v/>
      </c>
      <c r="D163" s="4">
        <f>IF(A163="","",IF(C163&gt;2*COUNTA(F$141:AI$141)/3,1,IF(C163&gt;=COUNTA(F$141:AI$141)/2,0.8,0.5)))</f>
        <v/>
      </c>
      <c r="E163" s="4">
        <f>IF(A163="","",SUMIFS('Логи'!$H$4:$H$3006,'Логи'!$A$4:$A$3006,A163,'Логи'!$C$4:$C$3006,3))</f>
        <v/>
      </c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  <c r="AF163" s="15" t="n"/>
      <c r="AG163" s="15" t="n"/>
      <c r="AH163" s="15" t="n"/>
      <c r="AI163" s="15" t="n"/>
    </row>
    <row r="164">
      <c r="A164" s="4" t="inlineStr">
        <is>
          <t>Студент3.23</t>
        </is>
      </c>
      <c r="B164" s="4" t="inlineStr"/>
      <c r="C164" s="4">
        <f>IF(A164="","",COUNTIF(F164:AI164,"+")+COUNTIF(F164:AI164,"1"))</f>
        <v/>
      </c>
      <c r="D164" s="4">
        <f>IF(A164="","",IF(C164&gt;2*COUNTA(F$141:AI$141)/3,1,IF(C164&gt;=COUNTA(F$141:AI$141)/2,0.8,0.5)))</f>
        <v/>
      </c>
      <c r="E164" s="4">
        <f>IF(A164="","",SUMIFS('Логи'!$H$4:$H$3006,'Логи'!$A$4:$A$3006,A164,'Логи'!$C$4:$C$3006,3))</f>
        <v/>
      </c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  <c r="AG164" s="15" t="n"/>
      <c r="AH164" s="15" t="n"/>
      <c r="AI164" s="15" t="n"/>
    </row>
    <row r="165">
      <c r="A165" s="4" t="inlineStr">
        <is>
          <t>Студент3.24</t>
        </is>
      </c>
      <c r="B165" s="4" t="inlineStr"/>
      <c r="C165" s="4">
        <f>IF(A165="","",COUNTIF(F165:AI165,"+")+COUNTIF(F165:AI165,"1"))</f>
        <v/>
      </c>
      <c r="D165" s="4">
        <f>IF(A165="","",IF(C165&gt;2*COUNTA(F$141:AI$141)/3,1,IF(C165&gt;=COUNTA(F$141:AI$141)/2,0.8,0.5)))</f>
        <v/>
      </c>
      <c r="E165" s="4">
        <f>IF(A165="","",SUMIFS('Логи'!$H$4:$H$3006,'Логи'!$A$4:$A$3006,A165,'Логи'!$C$4:$C$3006,3))</f>
        <v/>
      </c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  <c r="AF165" s="15" t="n"/>
      <c r="AG165" s="15" t="n"/>
      <c r="AH165" s="15" t="n"/>
      <c r="AI165" s="15" t="n"/>
    </row>
    <row r="166">
      <c r="A166" s="4" t="inlineStr">
        <is>
          <t>Студент3.25</t>
        </is>
      </c>
      <c r="B166" s="4" t="inlineStr"/>
      <c r="C166" s="4">
        <f>IF(A166="","",COUNTIF(F166:AI166,"+")+COUNTIF(F166:AI166,"1"))</f>
        <v/>
      </c>
      <c r="D166" s="4">
        <f>IF(A166="","",IF(C166&gt;2*COUNTA(F$141:AI$141)/3,1,IF(C166&gt;=COUNTA(F$141:AI$141)/2,0.8,0.5)))</f>
        <v/>
      </c>
      <c r="E166" s="4">
        <f>IF(A166="","",SUMIFS('Логи'!$H$4:$H$3006,'Логи'!$A$4:$A$3006,A166,'Логи'!$C$4:$C$3006,3))</f>
        <v/>
      </c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  <c r="AF166" s="15" t="n"/>
      <c r="AG166" s="15" t="n"/>
      <c r="AH166" s="15" t="n"/>
      <c r="AI166" s="15" t="n"/>
    </row>
    <row r="167">
      <c r="A167" s="4" t="inlineStr">
        <is>
          <t>Студент3.26</t>
        </is>
      </c>
      <c r="B167" s="4" t="inlineStr"/>
      <c r="C167" s="4">
        <f>IF(A167="","",COUNTIF(F167:AI167,"+")+COUNTIF(F167:AI167,"1"))</f>
        <v/>
      </c>
      <c r="D167" s="4">
        <f>IF(A167="","",IF(C167&gt;2*COUNTA(F$141:AI$141)/3,1,IF(C167&gt;=COUNTA(F$141:AI$141)/2,0.8,0.5)))</f>
        <v/>
      </c>
      <c r="E167" s="4">
        <f>IF(A167="","",SUMIFS('Логи'!$H$4:$H$3006,'Логи'!$A$4:$A$3006,A167,'Логи'!$C$4:$C$3006,3))</f>
        <v/>
      </c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  <c r="AG167" s="15" t="n"/>
      <c r="AH167" s="15" t="n"/>
      <c r="AI167" s="15" t="n"/>
    </row>
    <row r="168">
      <c r="A168" s="4" t="inlineStr">
        <is>
          <t>Студент3.27</t>
        </is>
      </c>
      <c r="B168" s="4" t="inlineStr"/>
      <c r="C168" s="4">
        <f>IF(A168="","",COUNTIF(F168:AI168,"+")+COUNTIF(F168:AI168,"1"))</f>
        <v/>
      </c>
      <c r="D168" s="4">
        <f>IF(A168="","",IF(C168&gt;2*COUNTA(F$141:AI$141)/3,1,IF(C168&gt;=COUNTA(F$141:AI$141)/2,0.8,0.5)))</f>
        <v/>
      </c>
      <c r="E168" s="4">
        <f>IF(A168="","",SUMIFS('Логи'!$H$4:$H$3006,'Логи'!$A$4:$A$3006,A168,'Логи'!$C$4:$C$3006,3))</f>
        <v/>
      </c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  <c r="AG168" s="15" t="n"/>
      <c r="AH168" s="15" t="n"/>
      <c r="AI168" s="15" t="n"/>
    </row>
    <row r="169">
      <c r="A169" s="4" t="inlineStr">
        <is>
          <t>Студент3.28</t>
        </is>
      </c>
      <c r="B169" s="4" t="inlineStr"/>
      <c r="C169" s="4">
        <f>IF(A169="","",COUNTIF(F169:AI169,"+")+COUNTIF(F169:AI169,"1"))</f>
        <v/>
      </c>
      <c r="D169" s="4">
        <f>IF(A169="","",IF(C169&gt;2*COUNTA(F$141:AI$141)/3,1,IF(C169&gt;=COUNTA(F$141:AI$141)/2,0.8,0.5)))</f>
        <v/>
      </c>
      <c r="E169" s="4">
        <f>IF(A169="","",SUMIFS('Логи'!$H$4:$H$3006,'Логи'!$A$4:$A$3006,A169,'Логи'!$C$4:$C$3006,3))</f>
        <v/>
      </c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  <c r="AG169" s="15" t="n"/>
      <c r="AH169" s="15" t="n"/>
      <c r="AI169" s="15" t="n"/>
    </row>
    <row r="170">
      <c r="A170" s="4" t="inlineStr">
        <is>
          <t>Студент3.29</t>
        </is>
      </c>
      <c r="B170" s="4" t="inlineStr"/>
      <c r="C170" s="4">
        <f>IF(A170="","",COUNTIF(F170:AI170,"+")+COUNTIF(F170:AI170,"1"))</f>
        <v/>
      </c>
      <c r="D170" s="4">
        <f>IF(A170="","",IF(C170&gt;2*COUNTA(F$141:AI$141)/3,1,IF(C170&gt;=COUNTA(F$141:AI$141)/2,0.8,0.5)))</f>
        <v/>
      </c>
      <c r="E170" s="4">
        <f>IF(A170="","",SUMIFS('Логи'!$H$4:$H$3006,'Логи'!$A$4:$A$3006,A170,'Логи'!$C$4:$C$3006,3))</f>
        <v/>
      </c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  <c r="AG170" s="15" t="n"/>
      <c r="AH170" s="15" t="n"/>
      <c r="AI170" s="15" t="n"/>
    </row>
    <row r="171">
      <c r="A171" s="4" t="inlineStr">
        <is>
          <t>Студент3.30</t>
        </is>
      </c>
      <c r="B171" s="4" t="inlineStr"/>
      <c r="C171" s="4">
        <f>IF(A171="","",COUNTIF(F171:AI171,"+")+COUNTIF(F171:AI171,"1"))</f>
        <v/>
      </c>
      <c r="D171" s="4">
        <f>IF(A171="","",IF(C171&gt;2*COUNTA(F$141:AI$141)/3,1,IF(C171&gt;=COUNTA(F$141:AI$141)/2,0.8,0.5)))</f>
        <v/>
      </c>
      <c r="E171" s="4">
        <f>IF(A171="","",SUMIFS('Логи'!$H$4:$H$3006,'Логи'!$A$4:$A$3006,A171,'Логи'!$C$4:$C$3006,3))</f>
        <v/>
      </c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  <c r="AG171" s="15" t="n"/>
      <c r="AH171" s="15" t="n"/>
      <c r="AI171" s="15" t="n"/>
    </row>
    <row r="173">
      <c r="A173" s="16" t="inlineStr">
        <is>
          <t>Практика 3 — результаты рассказа</t>
        </is>
      </c>
    </row>
    <row r="174" ht="28" customHeight="1">
      <c r="A174" s="7" t="inlineStr">
        <is>
          <t>Имя</t>
        </is>
      </c>
      <c r="B174" s="9" t="inlineStr">
        <is>
          <t>TG</t>
        </is>
      </c>
      <c r="C174" s="10" t="inlineStr"/>
      <c r="D174" s="2" t="inlineStr"/>
      <c r="E174" s="2" t="inlineStr"/>
      <c r="F174" s="11" t="inlineStr">
        <is>
          <t>1.0</t>
        </is>
      </c>
      <c r="G174" s="11" t="inlineStr">
        <is>
          <t>2.0</t>
        </is>
      </c>
      <c r="H174" s="11" t="inlineStr">
        <is>
          <t>3.0</t>
        </is>
      </c>
      <c r="I174" s="11" t="inlineStr">
        <is>
          <t>4.0</t>
        </is>
      </c>
      <c r="J174" s="11" t="inlineStr">
        <is>
          <t>5.0</t>
        </is>
      </c>
      <c r="K174" s="11" t="inlineStr">
        <is>
          <t>6</t>
        </is>
      </c>
      <c r="L174" s="11" t="inlineStr">
        <is>
          <t>7</t>
        </is>
      </c>
      <c r="M174" s="11" t="inlineStr">
        <is>
          <t>8</t>
        </is>
      </c>
      <c r="N174" s="11" t="inlineStr">
        <is>
          <t>9</t>
        </is>
      </c>
      <c r="O174" s="11" t="inlineStr">
        <is>
          <t>10</t>
        </is>
      </c>
      <c r="P174" s="11" t="inlineStr">
        <is>
          <t>11</t>
        </is>
      </c>
      <c r="Q174" s="11" t="inlineStr">
        <is>
          <t>12</t>
        </is>
      </c>
      <c r="R174" s="11" t="inlineStr">
        <is>
          <t>13</t>
        </is>
      </c>
      <c r="S174" s="11" t="inlineStr">
        <is>
          <t>14</t>
        </is>
      </c>
      <c r="T174" s="11" t="inlineStr">
        <is>
          <t>15</t>
        </is>
      </c>
      <c r="U174" s="11" t="inlineStr">
        <is>
          <t>16</t>
        </is>
      </c>
      <c r="V174" s="11" t="inlineStr">
        <is>
          <t>17</t>
        </is>
      </c>
      <c r="W174" s="11" t="inlineStr">
        <is>
          <t>18</t>
        </is>
      </c>
      <c r="X174" s="11" t="inlineStr">
        <is>
          <t>19</t>
        </is>
      </c>
      <c r="Y174" s="11" t="inlineStr">
        <is>
          <t>20</t>
        </is>
      </c>
      <c r="Z174" s="11" t="inlineStr">
        <is>
          <t>21</t>
        </is>
      </c>
      <c r="AA174" s="11" t="inlineStr">
        <is>
          <t>22</t>
        </is>
      </c>
      <c r="AB174" s="11" t="inlineStr">
        <is>
          <t>23</t>
        </is>
      </c>
      <c r="AC174" s="11" t="inlineStr">
        <is>
          <t>24</t>
        </is>
      </c>
      <c r="AD174" s="11" t="inlineStr">
        <is>
          <t>25</t>
        </is>
      </c>
      <c r="AE174" s="11" t="inlineStr">
        <is>
          <t>26</t>
        </is>
      </c>
      <c r="AF174" s="11" t="inlineStr">
        <is>
          <t>27</t>
        </is>
      </c>
      <c r="AG174" s="11" t="inlineStr">
        <is>
          <t>28</t>
        </is>
      </c>
      <c r="AH174" s="11" t="inlineStr">
        <is>
          <t>29</t>
        </is>
      </c>
      <c r="AI174" s="11" t="inlineStr">
        <is>
          <t>30</t>
        </is>
      </c>
    </row>
    <row r="175">
      <c r="A175" s="4" t="inlineStr">
        <is>
          <t>Студент3.1</t>
        </is>
      </c>
      <c r="B175" s="4" t="inlineStr"/>
      <c r="C175" s="4" t="n"/>
      <c r="D175" s="4" t="n"/>
      <c r="E175" s="4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</row>
    <row r="176">
      <c r="A176" s="4" t="inlineStr">
        <is>
          <t>Студент3.2</t>
        </is>
      </c>
      <c r="B176" s="4" t="inlineStr"/>
      <c r="C176" s="4" t="n"/>
      <c r="D176" s="4" t="n"/>
      <c r="E176" s="4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  <c r="AG176" s="15" t="n"/>
      <c r="AH176" s="15" t="n"/>
      <c r="AI176" s="15" t="n"/>
    </row>
    <row r="177">
      <c r="A177" s="4" t="inlineStr">
        <is>
          <t>Студент3.3</t>
        </is>
      </c>
      <c r="B177" s="4" t="inlineStr"/>
      <c r="C177" s="4" t="n"/>
      <c r="D177" s="4" t="n"/>
      <c r="E177" s="4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5" t="n"/>
    </row>
    <row r="178">
      <c r="A178" s="4" t="inlineStr">
        <is>
          <t>Студент3.4</t>
        </is>
      </c>
      <c r="B178" s="4" t="inlineStr"/>
      <c r="C178" s="4" t="n"/>
      <c r="D178" s="4" t="n"/>
      <c r="E178" s="4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  <c r="AG178" s="15" t="n"/>
      <c r="AH178" s="15" t="n"/>
      <c r="AI178" s="15" t="n"/>
    </row>
    <row r="179">
      <c r="A179" s="4" t="inlineStr">
        <is>
          <t>Студент3.5</t>
        </is>
      </c>
      <c r="B179" s="4" t="inlineStr"/>
      <c r="C179" s="4" t="n"/>
      <c r="D179" s="4" t="n"/>
      <c r="E179" s="4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  <c r="AG179" s="15" t="n"/>
      <c r="AH179" s="15" t="n"/>
      <c r="AI179" s="15" t="n"/>
    </row>
    <row r="180">
      <c r="A180" s="4" t="inlineStr">
        <is>
          <t>Студент3.6</t>
        </is>
      </c>
      <c r="B180" s="4" t="inlineStr"/>
      <c r="C180" s="4" t="n"/>
      <c r="D180" s="4" t="n"/>
      <c r="E180" s="4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  <c r="AH180" s="15" t="n"/>
      <c r="AI180" s="15" t="n"/>
    </row>
    <row r="181">
      <c r="A181" s="4" t="inlineStr">
        <is>
          <t>Студент3.7</t>
        </is>
      </c>
      <c r="B181" s="4" t="inlineStr"/>
      <c r="C181" s="4" t="n"/>
      <c r="D181" s="4" t="n"/>
      <c r="E181" s="4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  <c r="AG181" s="15" t="n"/>
      <c r="AH181" s="15" t="n"/>
      <c r="AI181" s="15" t="n"/>
    </row>
    <row r="182">
      <c r="A182" s="4" t="inlineStr">
        <is>
          <t>Студент3.8</t>
        </is>
      </c>
      <c r="B182" s="4" t="inlineStr"/>
      <c r="C182" s="4" t="n"/>
      <c r="D182" s="4" t="n"/>
      <c r="E182" s="4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  <c r="AH182" s="15" t="n"/>
      <c r="AI182" s="15" t="n"/>
    </row>
    <row r="183">
      <c r="A183" s="4" t="inlineStr">
        <is>
          <t>Студент3.9</t>
        </is>
      </c>
      <c r="B183" s="4" t="inlineStr"/>
      <c r="C183" s="4" t="n"/>
      <c r="D183" s="4" t="n"/>
      <c r="E183" s="4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  <c r="AG183" s="15" t="n"/>
      <c r="AH183" s="15" t="n"/>
      <c r="AI183" s="15" t="n"/>
    </row>
    <row r="184">
      <c r="A184" s="4" t="inlineStr">
        <is>
          <t>Студент3.10</t>
        </is>
      </c>
      <c r="B184" s="4" t="inlineStr"/>
      <c r="C184" s="4" t="n"/>
      <c r="D184" s="4" t="n"/>
      <c r="E184" s="4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  <c r="AG184" s="15" t="n"/>
      <c r="AH184" s="15" t="n"/>
      <c r="AI184" s="15" t="n"/>
    </row>
    <row r="185">
      <c r="A185" s="4" t="inlineStr">
        <is>
          <t>Студент3.11</t>
        </is>
      </c>
      <c r="B185" s="4" t="inlineStr"/>
      <c r="C185" s="4" t="n"/>
      <c r="D185" s="4" t="n"/>
      <c r="E185" s="4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  <c r="AG185" s="15" t="n"/>
      <c r="AH185" s="15" t="n"/>
      <c r="AI185" s="15" t="n"/>
    </row>
    <row r="186">
      <c r="A186" s="4" t="inlineStr">
        <is>
          <t>Студент3.12</t>
        </is>
      </c>
      <c r="B186" s="4" t="inlineStr"/>
      <c r="C186" s="4" t="n"/>
      <c r="D186" s="4" t="n"/>
      <c r="E186" s="4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  <c r="AG186" s="15" t="n"/>
      <c r="AH186" s="15" t="n"/>
      <c r="AI186" s="15" t="n"/>
    </row>
    <row r="187">
      <c r="A187" s="4" t="inlineStr">
        <is>
          <t>Студент3.13</t>
        </is>
      </c>
      <c r="B187" s="4" t="inlineStr"/>
      <c r="C187" s="4" t="n"/>
      <c r="D187" s="4" t="n"/>
      <c r="E187" s="4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  <c r="AH187" s="15" t="n"/>
      <c r="AI187" s="15" t="n"/>
    </row>
    <row r="188">
      <c r="A188" s="4" t="inlineStr">
        <is>
          <t>Студент3.14</t>
        </is>
      </c>
      <c r="B188" s="4" t="inlineStr"/>
      <c r="C188" s="4" t="n"/>
      <c r="D188" s="4" t="n"/>
      <c r="E188" s="4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  <c r="AH188" s="15" t="n"/>
      <c r="AI188" s="15" t="n"/>
    </row>
    <row r="189">
      <c r="A189" s="4" t="inlineStr">
        <is>
          <t>Студент3.15</t>
        </is>
      </c>
      <c r="B189" s="4" t="inlineStr"/>
      <c r="C189" s="4" t="n"/>
      <c r="D189" s="4" t="n"/>
      <c r="E189" s="4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5" t="n"/>
    </row>
    <row r="190">
      <c r="A190" s="4" t="inlineStr">
        <is>
          <t>Студент3.16</t>
        </is>
      </c>
      <c r="B190" s="4" t="inlineStr"/>
      <c r="C190" s="4" t="n"/>
      <c r="D190" s="4" t="n"/>
      <c r="E190" s="4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  <c r="AG190" s="15" t="n"/>
      <c r="AH190" s="15" t="n"/>
      <c r="AI190" s="15" t="n"/>
    </row>
    <row r="191">
      <c r="A191" s="4" t="inlineStr">
        <is>
          <t>Студент3.17</t>
        </is>
      </c>
      <c r="B191" s="4" t="inlineStr"/>
      <c r="C191" s="4" t="n"/>
      <c r="D191" s="4" t="n"/>
      <c r="E191" s="4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  <c r="AF191" s="15" t="n"/>
      <c r="AG191" s="15" t="n"/>
      <c r="AH191" s="15" t="n"/>
      <c r="AI191" s="15" t="n"/>
    </row>
    <row r="192">
      <c r="A192" s="4" t="inlineStr">
        <is>
          <t>Студент3.18</t>
        </is>
      </c>
      <c r="B192" s="4" t="inlineStr"/>
      <c r="C192" s="4" t="n"/>
      <c r="D192" s="4" t="n"/>
      <c r="E192" s="4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  <c r="AG192" s="15" t="n"/>
      <c r="AH192" s="15" t="n"/>
      <c r="AI192" s="15" t="n"/>
    </row>
    <row r="193">
      <c r="A193" s="4" t="inlineStr">
        <is>
          <t>Студент3.19</t>
        </is>
      </c>
      <c r="B193" s="4" t="inlineStr"/>
      <c r="C193" s="4" t="n"/>
      <c r="D193" s="4" t="n"/>
      <c r="E193" s="4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  <c r="AF193" s="15" t="n"/>
      <c r="AG193" s="15" t="n"/>
      <c r="AH193" s="15" t="n"/>
      <c r="AI193" s="15" t="n"/>
    </row>
    <row r="194">
      <c r="A194" s="4" t="inlineStr">
        <is>
          <t>Студент3.20</t>
        </is>
      </c>
      <c r="B194" s="4" t="inlineStr"/>
      <c r="C194" s="4" t="n"/>
      <c r="D194" s="4" t="n"/>
      <c r="E194" s="4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  <c r="AG194" s="15" t="n"/>
      <c r="AH194" s="15" t="n"/>
      <c r="AI194" s="15" t="n"/>
    </row>
    <row r="195">
      <c r="A195" s="4" t="inlineStr">
        <is>
          <t>Студент3.21</t>
        </is>
      </c>
      <c r="B195" s="4" t="inlineStr"/>
      <c r="C195" s="4" t="n"/>
      <c r="D195" s="4" t="n"/>
      <c r="E195" s="4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  <c r="AG195" s="15" t="n"/>
      <c r="AH195" s="15" t="n"/>
      <c r="AI195" s="15" t="n"/>
    </row>
    <row r="196">
      <c r="A196" s="4" t="inlineStr">
        <is>
          <t>Студент3.22</t>
        </is>
      </c>
      <c r="B196" s="4" t="inlineStr"/>
      <c r="C196" s="4" t="n"/>
      <c r="D196" s="4" t="n"/>
      <c r="E196" s="4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  <c r="AG196" s="15" t="n"/>
      <c r="AH196" s="15" t="n"/>
      <c r="AI196" s="15" t="n"/>
    </row>
    <row r="197">
      <c r="A197" s="4" t="inlineStr">
        <is>
          <t>Студент3.23</t>
        </is>
      </c>
      <c r="B197" s="4" t="inlineStr"/>
      <c r="C197" s="4" t="n"/>
      <c r="D197" s="4" t="n"/>
      <c r="E197" s="4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  <c r="AF197" s="15" t="n"/>
      <c r="AG197" s="15" t="n"/>
      <c r="AH197" s="15" t="n"/>
      <c r="AI197" s="15" t="n"/>
    </row>
    <row r="198">
      <c r="A198" s="4" t="inlineStr">
        <is>
          <t>Студент3.24</t>
        </is>
      </c>
      <c r="B198" s="4" t="inlineStr"/>
      <c r="C198" s="4" t="n"/>
      <c r="D198" s="4" t="n"/>
      <c r="E198" s="4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  <c r="AF198" s="15" t="n"/>
      <c r="AG198" s="15" t="n"/>
      <c r="AH198" s="15" t="n"/>
      <c r="AI198" s="15" t="n"/>
    </row>
    <row r="199">
      <c r="A199" s="4" t="inlineStr">
        <is>
          <t>Студент3.25</t>
        </is>
      </c>
      <c r="B199" s="4" t="inlineStr"/>
      <c r="C199" s="4" t="n"/>
      <c r="D199" s="4" t="n"/>
      <c r="E199" s="4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  <c r="AF199" s="15" t="n"/>
      <c r="AG199" s="15" t="n"/>
      <c r="AH199" s="15" t="n"/>
      <c r="AI199" s="15" t="n"/>
    </row>
    <row r="200">
      <c r="A200" s="4" t="inlineStr">
        <is>
          <t>Студент3.26</t>
        </is>
      </c>
      <c r="B200" s="4" t="inlineStr"/>
      <c r="C200" s="4" t="n"/>
      <c r="D200" s="4" t="n"/>
      <c r="E200" s="4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  <c r="AF200" s="15" t="n"/>
      <c r="AG200" s="15" t="n"/>
      <c r="AH200" s="15" t="n"/>
      <c r="AI200" s="15" t="n"/>
    </row>
    <row r="201">
      <c r="A201" s="4" t="inlineStr">
        <is>
          <t>Студент3.27</t>
        </is>
      </c>
      <c r="B201" s="4" t="inlineStr"/>
      <c r="C201" s="4" t="n"/>
      <c r="D201" s="4" t="n"/>
      <c r="E201" s="4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  <c r="AG201" s="15" t="n"/>
      <c r="AH201" s="15" t="n"/>
      <c r="AI201" s="15" t="n"/>
    </row>
    <row r="202">
      <c r="A202" s="4" t="inlineStr">
        <is>
          <t>Студент3.28</t>
        </is>
      </c>
      <c r="B202" s="4" t="inlineStr"/>
      <c r="C202" s="4" t="n"/>
      <c r="D202" s="4" t="n"/>
      <c r="E202" s="4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  <c r="AF202" s="15" t="n"/>
      <c r="AG202" s="15" t="n"/>
      <c r="AH202" s="15" t="n"/>
      <c r="AI202" s="15" t="n"/>
    </row>
    <row r="203">
      <c r="A203" s="4" t="inlineStr">
        <is>
          <t>Студент3.29</t>
        </is>
      </c>
      <c r="B203" s="4" t="inlineStr"/>
      <c r="C203" s="4" t="n"/>
      <c r="D203" s="4" t="n"/>
      <c r="E203" s="4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  <c r="AG203" s="15" t="n"/>
      <c r="AH203" s="15" t="n"/>
      <c r="AI203" s="15" t="n"/>
    </row>
    <row r="204">
      <c r="A204" s="4" t="inlineStr">
        <is>
          <t>Студент3.30</t>
        </is>
      </c>
      <c r="B204" s="4" t="inlineStr"/>
      <c r="C204" s="4" t="n"/>
      <c r="D204" s="4" t="n"/>
      <c r="E204" s="4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  <c r="AF204" s="15" t="n"/>
      <c r="AG204" s="15" t="n"/>
      <c r="AH204" s="15" t="n"/>
      <c r="AI204" s="15" t="n"/>
    </row>
    <row r="208">
      <c r="A208" s="13" t="inlineStr">
        <is>
          <t>Практика 4 — плюсы</t>
        </is>
      </c>
    </row>
    <row r="209" ht="28" customHeight="1">
      <c r="A209" s="7" t="inlineStr">
        <is>
          <t>Имя</t>
        </is>
      </c>
      <c r="B209" s="9" t="inlineStr">
        <is>
          <t>TG</t>
        </is>
      </c>
      <c r="C209" s="10" t="inlineStr">
        <is>
          <t>S</t>
        </is>
      </c>
      <c r="D209" s="8" t="inlineStr">
        <is>
          <t>Коэффициент</t>
        </is>
      </c>
      <c r="E209" s="14" t="inlineStr">
        <is>
          <t>D за практику</t>
        </is>
      </c>
      <c r="F209" s="11" t="inlineStr">
        <is>
          <t>1.0</t>
        </is>
      </c>
      <c r="G209" s="11" t="inlineStr">
        <is>
          <t>2.0</t>
        </is>
      </c>
      <c r="H209" s="11" t="inlineStr">
        <is>
          <t>3.0</t>
        </is>
      </c>
      <c r="I209" s="11" t="inlineStr">
        <is>
          <t>4.0</t>
        </is>
      </c>
      <c r="J209" s="11" t="inlineStr">
        <is>
          <t>5.0</t>
        </is>
      </c>
      <c r="K209" s="11" t="inlineStr">
        <is>
          <t>6</t>
        </is>
      </c>
      <c r="L209" s="11" t="inlineStr">
        <is>
          <t>7</t>
        </is>
      </c>
      <c r="M209" s="11" t="inlineStr">
        <is>
          <t>8</t>
        </is>
      </c>
      <c r="N209" s="11" t="inlineStr">
        <is>
          <t>9</t>
        </is>
      </c>
      <c r="O209" s="11" t="inlineStr">
        <is>
          <t>10</t>
        </is>
      </c>
      <c r="P209" s="11" t="inlineStr">
        <is>
          <t>11</t>
        </is>
      </c>
      <c r="Q209" s="11" t="inlineStr">
        <is>
          <t>12</t>
        </is>
      </c>
      <c r="R209" s="11" t="inlineStr">
        <is>
          <t>13</t>
        </is>
      </c>
      <c r="S209" s="11" t="inlineStr">
        <is>
          <t>14</t>
        </is>
      </c>
      <c r="T209" s="11" t="inlineStr">
        <is>
          <t>15</t>
        </is>
      </c>
      <c r="U209" s="11" t="inlineStr">
        <is>
          <t>16</t>
        </is>
      </c>
      <c r="V209" s="11" t="inlineStr">
        <is>
          <t>17</t>
        </is>
      </c>
      <c r="W209" s="11" t="inlineStr">
        <is>
          <t>18</t>
        </is>
      </c>
      <c r="X209" s="11" t="inlineStr">
        <is>
          <t>19</t>
        </is>
      </c>
      <c r="Y209" s="11" t="inlineStr">
        <is>
          <t>20</t>
        </is>
      </c>
      <c r="Z209" s="11" t="inlineStr">
        <is>
          <t>21</t>
        </is>
      </c>
      <c r="AA209" s="11" t="inlineStr">
        <is>
          <t>22</t>
        </is>
      </c>
      <c r="AB209" s="11" t="inlineStr">
        <is>
          <t>23</t>
        </is>
      </c>
      <c r="AC209" s="11" t="inlineStr">
        <is>
          <t>24</t>
        </is>
      </c>
      <c r="AD209" s="11" t="inlineStr">
        <is>
          <t>25</t>
        </is>
      </c>
      <c r="AE209" s="11" t="inlineStr">
        <is>
          <t>26</t>
        </is>
      </c>
      <c r="AF209" s="11" t="inlineStr">
        <is>
          <t>27</t>
        </is>
      </c>
      <c r="AG209" s="11" t="inlineStr">
        <is>
          <t>28</t>
        </is>
      </c>
      <c r="AH209" s="11" t="inlineStr">
        <is>
          <t>29</t>
        </is>
      </c>
      <c r="AI209" s="11" t="inlineStr">
        <is>
          <t>30</t>
        </is>
      </c>
    </row>
    <row r="210">
      <c r="A210" s="4" t="inlineStr">
        <is>
          <t>Студент3.1</t>
        </is>
      </c>
      <c r="B210" s="4" t="inlineStr"/>
      <c r="C210" s="4">
        <f>IF(A210="","",COUNTIF(F210:AI210,"+")+COUNTIF(F210:AI210,"1"))</f>
        <v/>
      </c>
      <c r="D210" s="4">
        <f>IF(A210="","",IF(C210&gt;2*COUNTA(F$209:AI$209)/3,1,IF(C210&gt;=COUNTA(F$209:AI$209)/2,0.8,0.5)))</f>
        <v/>
      </c>
      <c r="E210" s="4">
        <f>IF(A210="","",SUMIFS('Логи'!$H$4:$H$3006,'Логи'!$A$4:$A$3006,A210,'Логи'!$C$4:$C$3006,4))</f>
        <v/>
      </c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  <c r="AF210" s="15" t="n"/>
      <c r="AG210" s="15" t="n"/>
      <c r="AH210" s="15" t="n"/>
      <c r="AI210" s="15" t="n"/>
    </row>
    <row r="211">
      <c r="A211" s="4" t="inlineStr">
        <is>
          <t>Студент3.2</t>
        </is>
      </c>
      <c r="B211" s="4" t="inlineStr"/>
      <c r="C211" s="4">
        <f>IF(A211="","",COUNTIF(F211:AI211,"+")+COUNTIF(F211:AI211,"1"))</f>
        <v/>
      </c>
      <c r="D211" s="4">
        <f>IF(A211="","",IF(C211&gt;2*COUNTA(F$209:AI$209)/3,1,IF(C211&gt;=COUNTA(F$209:AI$209)/2,0.8,0.5)))</f>
        <v/>
      </c>
      <c r="E211" s="4">
        <f>IF(A211="","",SUMIFS('Логи'!$H$4:$H$3006,'Логи'!$A$4:$A$3006,A211,'Логи'!$C$4:$C$3006,4))</f>
        <v/>
      </c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  <c r="AF211" s="15" t="n"/>
      <c r="AG211" s="15" t="n"/>
      <c r="AH211" s="15" t="n"/>
      <c r="AI211" s="15" t="n"/>
    </row>
    <row r="212">
      <c r="A212" s="4" t="inlineStr">
        <is>
          <t>Студент3.3</t>
        </is>
      </c>
      <c r="B212" s="4" t="inlineStr"/>
      <c r="C212" s="4">
        <f>IF(A212="","",COUNTIF(F212:AI212,"+")+COUNTIF(F212:AI212,"1"))</f>
        <v/>
      </c>
      <c r="D212" s="4">
        <f>IF(A212="","",IF(C212&gt;2*COUNTA(F$209:AI$209)/3,1,IF(C212&gt;=COUNTA(F$209:AI$209)/2,0.8,0.5)))</f>
        <v/>
      </c>
      <c r="E212" s="4">
        <f>IF(A212="","",SUMIFS('Логи'!$H$4:$H$3006,'Логи'!$A$4:$A$3006,A212,'Логи'!$C$4:$C$3006,4))</f>
        <v/>
      </c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  <c r="AF212" s="15" t="n"/>
      <c r="AG212" s="15" t="n"/>
      <c r="AH212" s="15" t="n"/>
      <c r="AI212" s="15" t="n"/>
    </row>
    <row r="213">
      <c r="A213" s="4" t="inlineStr">
        <is>
          <t>Студент3.4</t>
        </is>
      </c>
      <c r="B213" s="4" t="inlineStr"/>
      <c r="C213" s="4">
        <f>IF(A213="","",COUNTIF(F213:AI213,"+")+COUNTIF(F213:AI213,"1"))</f>
        <v/>
      </c>
      <c r="D213" s="4">
        <f>IF(A213="","",IF(C213&gt;2*COUNTA(F$209:AI$209)/3,1,IF(C213&gt;=COUNTA(F$209:AI$209)/2,0.8,0.5)))</f>
        <v/>
      </c>
      <c r="E213" s="4">
        <f>IF(A213="","",SUMIFS('Логи'!$H$4:$H$3006,'Логи'!$A$4:$A$3006,A213,'Логи'!$C$4:$C$3006,4))</f>
        <v/>
      </c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  <c r="AF213" s="15" t="n"/>
      <c r="AG213" s="15" t="n"/>
      <c r="AH213" s="15" t="n"/>
      <c r="AI213" s="15" t="n"/>
    </row>
    <row r="214">
      <c r="A214" s="4" t="inlineStr">
        <is>
          <t>Студент3.5</t>
        </is>
      </c>
      <c r="B214" s="4" t="inlineStr"/>
      <c r="C214" s="4">
        <f>IF(A214="","",COUNTIF(F214:AI214,"+")+COUNTIF(F214:AI214,"1"))</f>
        <v/>
      </c>
      <c r="D214" s="4">
        <f>IF(A214="","",IF(C214&gt;2*COUNTA(F$209:AI$209)/3,1,IF(C214&gt;=COUNTA(F$209:AI$209)/2,0.8,0.5)))</f>
        <v/>
      </c>
      <c r="E214" s="4">
        <f>IF(A214="","",SUMIFS('Логи'!$H$4:$H$3006,'Логи'!$A$4:$A$3006,A214,'Логи'!$C$4:$C$3006,4))</f>
        <v/>
      </c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  <c r="AF214" s="15" t="n"/>
      <c r="AG214" s="15" t="n"/>
      <c r="AH214" s="15" t="n"/>
      <c r="AI214" s="15" t="n"/>
    </row>
    <row r="215">
      <c r="A215" s="4" t="inlineStr">
        <is>
          <t>Студент3.6</t>
        </is>
      </c>
      <c r="B215" s="4" t="inlineStr"/>
      <c r="C215" s="4">
        <f>IF(A215="","",COUNTIF(F215:AI215,"+")+COUNTIF(F215:AI215,"1"))</f>
        <v/>
      </c>
      <c r="D215" s="4">
        <f>IF(A215="","",IF(C215&gt;2*COUNTA(F$209:AI$209)/3,1,IF(C215&gt;=COUNTA(F$209:AI$209)/2,0.8,0.5)))</f>
        <v/>
      </c>
      <c r="E215" s="4">
        <f>IF(A215="","",SUMIFS('Логи'!$H$4:$H$3006,'Логи'!$A$4:$A$3006,A215,'Логи'!$C$4:$C$3006,4))</f>
        <v/>
      </c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  <c r="AG215" s="15" t="n"/>
      <c r="AH215" s="15" t="n"/>
      <c r="AI215" s="15" t="n"/>
    </row>
    <row r="216">
      <c r="A216" s="4" t="inlineStr">
        <is>
          <t>Студент3.7</t>
        </is>
      </c>
      <c r="B216" s="4" t="inlineStr"/>
      <c r="C216" s="4">
        <f>IF(A216="","",COUNTIF(F216:AI216,"+")+COUNTIF(F216:AI216,"1"))</f>
        <v/>
      </c>
      <c r="D216" s="4">
        <f>IF(A216="","",IF(C216&gt;2*COUNTA(F$209:AI$209)/3,1,IF(C216&gt;=COUNTA(F$209:AI$209)/2,0.8,0.5)))</f>
        <v/>
      </c>
      <c r="E216" s="4">
        <f>IF(A216="","",SUMIFS('Логи'!$H$4:$H$3006,'Логи'!$A$4:$A$3006,A216,'Логи'!$C$4:$C$3006,4))</f>
        <v/>
      </c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  <c r="AG216" s="15" t="n"/>
      <c r="AH216" s="15" t="n"/>
      <c r="AI216" s="15" t="n"/>
    </row>
    <row r="217">
      <c r="A217" s="4" t="inlineStr">
        <is>
          <t>Студент3.8</t>
        </is>
      </c>
      <c r="B217" s="4" t="inlineStr"/>
      <c r="C217" s="4">
        <f>IF(A217="","",COUNTIF(F217:AI217,"+")+COUNTIF(F217:AI217,"1"))</f>
        <v/>
      </c>
      <c r="D217" s="4">
        <f>IF(A217="","",IF(C217&gt;2*COUNTA(F$209:AI$209)/3,1,IF(C217&gt;=COUNTA(F$209:AI$209)/2,0.8,0.5)))</f>
        <v/>
      </c>
      <c r="E217" s="4">
        <f>IF(A217="","",SUMIFS('Логи'!$H$4:$H$3006,'Логи'!$A$4:$A$3006,A217,'Логи'!$C$4:$C$3006,4))</f>
        <v/>
      </c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</row>
    <row r="218">
      <c r="A218" s="4" t="inlineStr">
        <is>
          <t>Студент3.9</t>
        </is>
      </c>
      <c r="B218" s="4" t="inlineStr"/>
      <c r="C218" s="4">
        <f>IF(A218="","",COUNTIF(F218:AI218,"+")+COUNTIF(F218:AI218,"1"))</f>
        <v/>
      </c>
      <c r="D218" s="4">
        <f>IF(A218="","",IF(C218&gt;2*COUNTA(F$209:AI$209)/3,1,IF(C218&gt;=COUNTA(F$209:AI$209)/2,0.8,0.5)))</f>
        <v/>
      </c>
      <c r="E218" s="4">
        <f>IF(A218="","",SUMIFS('Логи'!$H$4:$H$3006,'Логи'!$A$4:$A$3006,A218,'Логи'!$C$4:$C$3006,4))</f>
        <v/>
      </c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  <c r="AG218" s="15" t="n"/>
      <c r="AH218" s="15" t="n"/>
      <c r="AI218" s="15" t="n"/>
    </row>
    <row r="219">
      <c r="A219" s="4" t="inlineStr">
        <is>
          <t>Студент3.10</t>
        </is>
      </c>
      <c r="B219" s="4" t="inlineStr"/>
      <c r="C219" s="4">
        <f>IF(A219="","",COUNTIF(F219:AI219,"+")+COUNTIF(F219:AI219,"1"))</f>
        <v/>
      </c>
      <c r="D219" s="4">
        <f>IF(A219="","",IF(C219&gt;2*COUNTA(F$209:AI$209)/3,1,IF(C219&gt;=COUNTA(F$209:AI$209)/2,0.8,0.5)))</f>
        <v/>
      </c>
      <c r="E219" s="4">
        <f>IF(A219="","",SUMIFS('Логи'!$H$4:$H$3006,'Логи'!$A$4:$A$3006,A219,'Логи'!$C$4:$C$3006,4))</f>
        <v/>
      </c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  <c r="AG219" s="15" t="n"/>
      <c r="AH219" s="15" t="n"/>
      <c r="AI219" s="15" t="n"/>
    </row>
    <row r="220">
      <c r="A220" s="4" t="inlineStr">
        <is>
          <t>Студент3.11</t>
        </is>
      </c>
      <c r="B220" s="4" t="inlineStr"/>
      <c r="C220" s="4">
        <f>IF(A220="","",COUNTIF(F220:AI220,"+")+COUNTIF(F220:AI220,"1"))</f>
        <v/>
      </c>
      <c r="D220" s="4">
        <f>IF(A220="","",IF(C220&gt;2*COUNTA(F$209:AI$209)/3,1,IF(C220&gt;=COUNTA(F$209:AI$209)/2,0.8,0.5)))</f>
        <v/>
      </c>
      <c r="E220" s="4">
        <f>IF(A220="","",SUMIFS('Логи'!$H$4:$H$3006,'Логи'!$A$4:$A$3006,A220,'Логи'!$C$4:$C$3006,4))</f>
        <v/>
      </c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  <c r="AG220" s="15" t="n"/>
      <c r="AH220" s="15" t="n"/>
      <c r="AI220" s="15" t="n"/>
    </row>
    <row r="221">
      <c r="A221" s="4" t="inlineStr">
        <is>
          <t>Студент3.12</t>
        </is>
      </c>
      <c r="B221" s="4" t="inlineStr"/>
      <c r="C221" s="4">
        <f>IF(A221="","",COUNTIF(F221:AI221,"+")+COUNTIF(F221:AI221,"1"))</f>
        <v/>
      </c>
      <c r="D221" s="4">
        <f>IF(A221="","",IF(C221&gt;2*COUNTA(F$209:AI$209)/3,1,IF(C221&gt;=COUNTA(F$209:AI$209)/2,0.8,0.5)))</f>
        <v/>
      </c>
      <c r="E221" s="4">
        <f>IF(A221="","",SUMIFS('Логи'!$H$4:$H$3006,'Логи'!$A$4:$A$3006,A221,'Логи'!$C$4:$C$3006,4))</f>
        <v/>
      </c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  <c r="AG221" s="15" t="n"/>
      <c r="AH221" s="15" t="n"/>
      <c r="AI221" s="15" t="n"/>
    </row>
    <row r="222">
      <c r="A222" s="4" t="inlineStr">
        <is>
          <t>Студент3.13</t>
        </is>
      </c>
      <c r="B222" s="4" t="inlineStr"/>
      <c r="C222" s="4">
        <f>IF(A222="","",COUNTIF(F222:AI222,"+")+COUNTIF(F222:AI222,"1"))</f>
        <v/>
      </c>
      <c r="D222" s="4">
        <f>IF(A222="","",IF(C222&gt;2*COUNTA(F$209:AI$209)/3,1,IF(C222&gt;=COUNTA(F$209:AI$209)/2,0.8,0.5)))</f>
        <v/>
      </c>
      <c r="E222" s="4">
        <f>IF(A222="","",SUMIFS('Логи'!$H$4:$H$3006,'Логи'!$A$4:$A$3006,A222,'Логи'!$C$4:$C$3006,4))</f>
        <v/>
      </c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  <c r="AG222" s="15" t="n"/>
      <c r="AH222" s="15" t="n"/>
      <c r="AI222" s="15" t="n"/>
    </row>
    <row r="223">
      <c r="A223" s="4" t="inlineStr">
        <is>
          <t>Студент3.14</t>
        </is>
      </c>
      <c r="B223" s="4" t="inlineStr"/>
      <c r="C223" s="4">
        <f>IF(A223="","",COUNTIF(F223:AI223,"+")+COUNTIF(F223:AI223,"1"))</f>
        <v/>
      </c>
      <c r="D223" s="4">
        <f>IF(A223="","",IF(C223&gt;2*COUNTA(F$209:AI$209)/3,1,IF(C223&gt;=COUNTA(F$209:AI$209)/2,0.8,0.5)))</f>
        <v/>
      </c>
      <c r="E223" s="4">
        <f>IF(A223="","",SUMIFS('Логи'!$H$4:$H$3006,'Логи'!$A$4:$A$3006,A223,'Логи'!$C$4:$C$3006,4))</f>
        <v/>
      </c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  <c r="AG223" s="15" t="n"/>
      <c r="AH223" s="15" t="n"/>
      <c r="AI223" s="15" t="n"/>
    </row>
    <row r="224">
      <c r="A224" s="4" t="inlineStr">
        <is>
          <t>Студент3.15</t>
        </is>
      </c>
      <c r="B224" s="4" t="inlineStr"/>
      <c r="C224" s="4">
        <f>IF(A224="","",COUNTIF(F224:AI224,"+")+COUNTIF(F224:AI224,"1"))</f>
        <v/>
      </c>
      <c r="D224" s="4">
        <f>IF(A224="","",IF(C224&gt;2*COUNTA(F$209:AI$209)/3,1,IF(C224&gt;=COUNTA(F$209:AI$209)/2,0.8,0.5)))</f>
        <v/>
      </c>
      <c r="E224" s="4">
        <f>IF(A224="","",SUMIFS('Логи'!$H$4:$H$3006,'Логи'!$A$4:$A$3006,A224,'Логи'!$C$4:$C$3006,4))</f>
        <v/>
      </c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  <c r="AG224" s="15" t="n"/>
      <c r="AH224" s="15" t="n"/>
      <c r="AI224" s="15" t="n"/>
    </row>
    <row r="225">
      <c r="A225" s="4" t="inlineStr">
        <is>
          <t>Студент3.16</t>
        </is>
      </c>
      <c r="B225" s="4" t="inlineStr"/>
      <c r="C225" s="4">
        <f>IF(A225="","",COUNTIF(F225:AI225,"+")+COUNTIF(F225:AI225,"1"))</f>
        <v/>
      </c>
      <c r="D225" s="4">
        <f>IF(A225="","",IF(C225&gt;2*COUNTA(F$209:AI$209)/3,1,IF(C225&gt;=COUNTA(F$209:AI$209)/2,0.8,0.5)))</f>
        <v/>
      </c>
      <c r="E225" s="4">
        <f>IF(A225="","",SUMIFS('Логи'!$H$4:$H$3006,'Логи'!$A$4:$A$3006,A225,'Логи'!$C$4:$C$3006,4))</f>
        <v/>
      </c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  <c r="AG225" s="15" t="n"/>
      <c r="AH225" s="15" t="n"/>
      <c r="AI225" s="15" t="n"/>
    </row>
    <row r="226">
      <c r="A226" s="4" t="inlineStr">
        <is>
          <t>Студент3.17</t>
        </is>
      </c>
      <c r="B226" s="4" t="inlineStr"/>
      <c r="C226" s="4">
        <f>IF(A226="","",COUNTIF(F226:AI226,"+")+COUNTIF(F226:AI226,"1"))</f>
        <v/>
      </c>
      <c r="D226" s="4">
        <f>IF(A226="","",IF(C226&gt;2*COUNTA(F$209:AI$209)/3,1,IF(C226&gt;=COUNTA(F$209:AI$209)/2,0.8,0.5)))</f>
        <v/>
      </c>
      <c r="E226" s="4">
        <f>IF(A226="","",SUMIFS('Логи'!$H$4:$H$3006,'Логи'!$A$4:$A$3006,A226,'Логи'!$C$4:$C$3006,4))</f>
        <v/>
      </c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  <c r="AG226" s="15" t="n"/>
      <c r="AH226" s="15" t="n"/>
      <c r="AI226" s="15" t="n"/>
    </row>
    <row r="227">
      <c r="A227" s="4" t="inlineStr">
        <is>
          <t>Студент3.18</t>
        </is>
      </c>
      <c r="B227" s="4" t="inlineStr"/>
      <c r="C227" s="4">
        <f>IF(A227="","",COUNTIF(F227:AI227,"+")+COUNTIF(F227:AI227,"1"))</f>
        <v/>
      </c>
      <c r="D227" s="4">
        <f>IF(A227="","",IF(C227&gt;2*COUNTA(F$209:AI$209)/3,1,IF(C227&gt;=COUNTA(F$209:AI$209)/2,0.8,0.5)))</f>
        <v/>
      </c>
      <c r="E227" s="4">
        <f>IF(A227="","",SUMIFS('Логи'!$H$4:$H$3006,'Логи'!$A$4:$A$3006,A227,'Логи'!$C$4:$C$3006,4))</f>
        <v/>
      </c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  <c r="AG227" s="15" t="n"/>
      <c r="AH227" s="15" t="n"/>
      <c r="AI227" s="15" t="n"/>
    </row>
    <row r="228">
      <c r="A228" s="4" t="inlineStr">
        <is>
          <t>Студент3.19</t>
        </is>
      </c>
      <c r="B228" s="4" t="inlineStr"/>
      <c r="C228" s="4">
        <f>IF(A228="","",COUNTIF(F228:AI228,"+")+COUNTIF(F228:AI228,"1"))</f>
        <v/>
      </c>
      <c r="D228" s="4">
        <f>IF(A228="","",IF(C228&gt;2*COUNTA(F$209:AI$209)/3,1,IF(C228&gt;=COUNTA(F$209:AI$209)/2,0.8,0.5)))</f>
        <v/>
      </c>
      <c r="E228" s="4">
        <f>IF(A228="","",SUMIFS('Логи'!$H$4:$H$3006,'Логи'!$A$4:$A$3006,A228,'Логи'!$C$4:$C$3006,4))</f>
        <v/>
      </c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  <c r="AG228" s="15" t="n"/>
      <c r="AH228" s="15" t="n"/>
      <c r="AI228" s="15" t="n"/>
    </row>
    <row r="229">
      <c r="A229" s="4" t="inlineStr">
        <is>
          <t>Студент3.20</t>
        </is>
      </c>
      <c r="B229" s="4" t="inlineStr"/>
      <c r="C229" s="4">
        <f>IF(A229="","",COUNTIF(F229:AI229,"+")+COUNTIF(F229:AI229,"1"))</f>
        <v/>
      </c>
      <c r="D229" s="4">
        <f>IF(A229="","",IF(C229&gt;2*COUNTA(F$209:AI$209)/3,1,IF(C229&gt;=COUNTA(F$209:AI$209)/2,0.8,0.5)))</f>
        <v/>
      </c>
      <c r="E229" s="4">
        <f>IF(A229="","",SUMIFS('Логи'!$H$4:$H$3006,'Логи'!$A$4:$A$3006,A229,'Логи'!$C$4:$C$3006,4))</f>
        <v/>
      </c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</row>
    <row r="230">
      <c r="A230" s="4" t="inlineStr">
        <is>
          <t>Студент3.21</t>
        </is>
      </c>
      <c r="B230" s="4" t="inlineStr"/>
      <c r="C230" s="4">
        <f>IF(A230="","",COUNTIF(F230:AI230,"+")+COUNTIF(F230:AI230,"1"))</f>
        <v/>
      </c>
      <c r="D230" s="4">
        <f>IF(A230="","",IF(C230&gt;2*COUNTA(F$209:AI$209)/3,1,IF(C230&gt;=COUNTA(F$209:AI$209)/2,0.8,0.5)))</f>
        <v/>
      </c>
      <c r="E230" s="4">
        <f>IF(A230="","",SUMIFS('Логи'!$H$4:$H$3006,'Логи'!$A$4:$A$3006,A230,'Логи'!$C$4:$C$3006,4))</f>
        <v/>
      </c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  <c r="AG230" s="15" t="n"/>
      <c r="AH230" s="15" t="n"/>
      <c r="AI230" s="15" t="n"/>
    </row>
    <row r="231">
      <c r="A231" s="4" t="inlineStr">
        <is>
          <t>Студент3.22</t>
        </is>
      </c>
      <c r="B231" s="4" t="inlineStr"/>
      <c r="C231" s="4">
        <f>IF(A231="","",COUNTIF(F231:AI231,"+")+COUNTIF(F231:AI231,"1"))</f>
        <v/>
      </c>
      <c r="D231" s="4">
        <f>IF(A231="","",IF(C231&gt;2*COUNTA(F$209:AI$209)/3,1,IF(C231&gt;=COUNTA(F$209:AI$209)/2,0.8,0.5)))</f>
        <v/>
      </c>
      <c r="E231" s="4">
        <f>IF(A231="","",SUMIFS('Логи'!$H$4:$H$3006,'Логи'!$A$4:$A$3006,A231,'Логи'!$C$4:$C$3006,4))</f>
        <v/>
      </c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</row>
    <row r="232">
      <c r="A232" s="4" t="inlineStr">
        <is>
          <t>Студент3.23</t>
        </is>
      </c>
      <c r="B232" s="4" t="inlineStr"/>
      <c r="C232" s="4">
        <f>IF(A232="","",COUNTIF(F232:AI232,"+")+COUNTIF(F232:AI232,"1"))</f>
        <v/>
      </c>
      <c r="D232" s="4">
        <f>IF(A232="","",IF(C232&gt;2*COUNTA(F$209:AI$209)/3,1,IF(C232&gt;=COUNTA(F$209:AI$209)/2,0.8,0.5)))</f>
        <v/>
      </c>
      <c r="E232" s="4">
        <f>IF(A232="","",SUMIFS('Логи'!$H$4:$H$3006,'Логи'!$A$4:$A$3006,A232,'Логи'!$C$4:$C$3006,4))</f>
        <v/>
      </c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  <c r="AG232" s="15" t="n"/>
      <c r="AH232" s="15" t="n"/>
      <c r="AI232" s="15" t="n"/>
    </row>
    <row r="233">
      <c r="A233" s="4" t="inlineStr">
        <is>
          <t>Студент3.24</t>
        </is>
      </c>
      <c r="B233" s="4" t="inlineStr"/>
      <c r="C233" s="4">
        <f>IF(A233="","",COUNTIF(F233:AI233,"+")+COUNTIF(F233:AI233,"1"))</f>
        <v/>
      </c>
      <c r="D233" s="4">
        <f>IF(A233="","",IF(C233&gt;2*COUNTA(F$209:AI$209)/3,1,IF(C233&gt;=COUNTA(F$209:AI$209)/2,0.8,0.5)))</f>
        <v/>
      </c>
      <c r="E233" s="4">
        <f>IF(A233="","",SUMIFS('Логи'!$H$4:$H$3006,'Логи'!$A$4:$A$3006,A233,'Логи'!$C$4:$C$3006,4))</f>
        <v/>
      </c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  <c r="AG233" s="15" t="n"/>
      <c r="AH233" s="15" t="n"/>
      <c r="AI233" s="15" t="n"/>
    </row>
    <row r="234">
      <c r="A234" s="4" t="inlineStr">
        <is>
          <t>Студент3.25</t>
        </is>
      </c>
      <c r="B234" s="4" t="inlineStr"/>
      <c r="C234" s="4">
        <f>IF(A234="","",COUNTIF(F234:AI234,"+")+COUNTIF(F234:AI234,"1"))</f>
        <v/>
      </c>
      <c r="D234" s="4">
        <f>IF(A234="","",IF(C234&gt;2*COUNTA(F$209:AI$209)/3,1,IF(C234&gt;=COUNTA(F$209:AI$209)/2,0.8,0.5)))</f>
        <v/>
      </c>
      <c r="E234" s="4">
        <f>IF(A234="","",SUMIFS('Логи'!$H$4:$H$3006,'Логи'!$A$4:$A$3006,A234,'Логи'!$C$4:$C$3006,4))</f>
        <v/>
      </c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  <c r="AG234" s="15" t="n"/>
      <c r="AH234" s="15" t="n"/>
      <c r="AI234" s="15" t="n"/>
    </row>
    <row r="235">
      <c r="A235" s="4" t="inlineStr">
        <is>
          <t>Студент3.26</t>
        </is>
      </c>
      <c r="B235" s="4" t="inlineStr"/>
      <c r="C235" s="4">
        <f>IF(A235="","",COUNTIF(F235:AI235,"+")+COUNTIF(F235:AI235,"1"))</f>
        <v/>
      </c>
      <c r="D235" s="4">
        <f>IF(A235="","",IF(C235&gt;2*COUNTA(F$209:AI$209)/3,1,IF(C235&gt;=COUNTA(F$209:AI$209)/2,0.8,0.5)))</f>
        <v/>
      </c>
      <c r="E235" s="4">
        <f>IF(A235="","",SUMIFS('Логи'!$H$4:$H$3006,'Логи'!$A$4:$A$3006,A235,'Логи'!$C$4:$C$3006,4))</f>
        <v/>
      </c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  <c r="AG235" s="15" t="n"/>
      <c r="AH235" s="15" t="n"/>
      <c r="AI235" s="15" t="n"/>
    </row>
    <row r="236">
      <c r="A236" s="4" t="inlineStr">
        <is>
          <t>Студент3.27</t>
        </is>
      </c>
      <c r="B236" s="4" t="inlineStr"/>
      <c r="C236" s="4">
        <f>IF(A236="","",COUNTIF(F236:AI236,"+")+COUNTIF(F236:AI236,"1"))</f>
        <v/>
      </c>
      <c r="D236" s="4">
        <f>IF(A236="","",IF(C236&gt;2*COUNTA(F$209:AI$209)/3,1,IF(C236&gt;=COUNTA(F$209:AI$209)/2,0.8,0.5)))</f>
        <v/>
      </c>
      <c r="E236" s="4">
        <f>IF(A236="","",SUMIFS('Логи'!$H$4:$H$3006,'Логи'!$A$4:$A$3006,A236,'Логи'!$C$4:$C$3006,4))</f>
        <v/>
      </c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  <c r="AG236" s="15" t="n"/>
      <c r="AH236" s="15" t="n"/>
      <c r="AI236" s="15" t="n"/>
    </row>
    <row r="237">
      <c r="A237" s="4" t="inlineStr">
        <is>
          <t>Студент3.28</t>
        </is>
      </c>
      <c r="B237" s="4" t="inlineStr"/>
      <c r="C237" s="4">
        <f>IF(A237="","",COUNTIF(F237:AI237,"+")+COUNTIF(F237:AI237,"1"))</f>
        <v/>
      </c>
      <c r="D237" s="4">
        <f>IF(A237="","",IF(C237&gt;2*COUNTA(F$209:AI$209)/3,1,IF(C237&gt;=COUNTA(F$209:AI$209)/2,0.8,0.5)))</f>
        <v/>
      </c>
      <c r="E237" s="4">
        <f>IF(A237="","",SUMIFS('Логи'!$H$4:$H$3006,'Логи'!$A$4:$A$3006,A237,'Логи'!$C$4:$C$3006,4))</f>
        <v/>
      </c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  <c r="AG237" s="15" t="n"/>
      <c r="AH237" s="15" t="n"/>
      <c r="AI237" s="15" t="n"/>
    </row>
    <row r="238">
      <c r="A238" s="4" t="inlineStr">
        <is>
          <t>Студент3.29</t>
        </is>
      </c>
      <c r="B238" s="4" t="inlineStr"/>
      <c r="C238" s="4">
        <f>IF(A238="","",COUNTIF(F238:AI238,"+")+COUNTIF(F238:AI238,"1"))</f>
        <v/>
      </c>
      <c r="D238" s="4">
        <f>IF(A238="","",IF(C238&gt;2*COUNTA(F$209:AI$209)/3,1,IF(C238&gt;=COUNTA(F$209:AI$209)/2,0.8,0.5)))</f>
        <v/>
      </c>
      <c r="E238" s="4">
        <f>IF(A238="","",SUMIFS('Логи'!$H$4:$H$3006,'Логи'!$A$4:$A$3006,A238,'Логи'!$C$4:$C$3006,4))</f>
        <v/>
      </c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  <c r="AG238" s="15" t="n"/>
      <c r="AH238" s="15" t="n"/>
      <c r="AI238" s="15" t="n"/>
    </row>
    <row r="239">
      <c r="A239" s="4" t="inlineStr">
        <is>
          <t>Студент3.30</t>
        </is>
      </c>
      <c r="B239" s="4" t="inlineStr"/>
      <c r="C239" s="4">
        <f>IF(A239="","",COUNTIF(F239:AI239,"+")+COUNTIF(F239:AI239,"1"))</f>
        <v/>
      </c>
      <c r="D239" s="4">
        <f>IF(A239="","",IF(C239&gt;2*COUNTA(F$209:AI$209)/3,1,IF(C239&gt;=COUNTA(F$209:AI$209)/2,0.8,0.5)))</f>
        <v/>
      </c>
      <c r="E239" s="4">
        <f>IF(A239="","",SUMIFS('Логи'!$H$4:$H$3006,'Логи'!$A$4:$A$3006,A239,'Логи'!$C$4:$C$3006,4))</f>
        <v/>
      </c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  <c r="AF239" s="15" t="n"/>
      <c r="AG239" s="15" t="n"/>
      <c r="AH239" s="15" t="n"/>
      <c r="AI239" s="15" t="n"/>
    </row>
    <row r="241">
      <c r="A241" s="16" t="inlineStr">
        <is>
          <t>Практика 4 — результаты рассказа</t>
        </is>
      </c>
    </row>
    <row r="242" ht="28" customHeight="1">
      <c r="A242" s="7" t="inlineStr">
        <is>
          <t>Имя</t>
        </is>
      </c>
      <c r="B242" s="9" t="inlineStr">
        <is>
          <t>TG</t>
        </is>
      </c>
      <c r="C242" s="10" t="inlineStr"/>
      <c r="D242" s="2" t="inlineStr"/>
      <c r="E242" s="2" t="inlineStr"/>
      <c r="F242" s="11" t="inlineStr">
        <is>
          <t>1.0</t>
        </is>
      </c>
      <c r="G242" s="11" t="inlineStr">
        <is>
          <t>2.0</t>
        </is>
      </c>
      <c r="H242" s="11" t="inlineStr">
        <is>
          <t>3.0</t>
        </is>
      </c>
      <c r="I242" s="11" t="inlineStr">
        <is>
          <t>4.0</t>
        </is>
      </c>
      <c r="J242" s="11" t="inlineStr">
        <is>
          <t>5.0</t>
        </is>
      </c>
      <c r="K242" s="11" t="inlineStr">
        <is>
          <t>6</t>
        </is>
      </c>
      <c r="L242" s="11" t="inlineStr">
        <is>
          <t>7</t>
        </is>
      </c>
      <c r="M242" s="11" t="inlineStr">
        <is>
          <t>8</t>
        </is>
      </c>
      <c r="N242" s="11" t="inlineStr">
        <is>
          <t>9</t>
        </is>
      </c>
      <c r="O242" s="11" t="inlineStr">
        <is>
          <t>10</t>
        </is>
      </c>
      <c r="P242" s="11" t="inlineStr">
        <is>
          <t>11</t>
        </is>
      </c>
      <c r="Q242" s="11" t="inlineStr">
        <is>
          <t>12</t>
        </is>
      </c>
      <c r="R242" s="11" t="inlineStr">
        <is>
          <t>13</t>
        </is>
      </c>
      <c r="S242" s="11" t="inlineStr">
        <is>
          <t>14</t>
        </is>
      </c>
      <c r="T242" s="11" t="inlineStr">
        <is>
          <t>15</t>
        </is>
      </c>
      <c r="U242" s="11" t="inlineStr">
        <is>
          <t>16</t>
        </is>
      </c>
      <c r="V242" s="11" t="inlineStr">
        <is>
          <t>17</t>
        </is>
      </c>
      <c r="W242" s="11" t="inlineStr">
        <is>
          <t>18</t>
        </is>
      </c>
      <c r="X242" s="11" t="inlineStr">
        <is>
          <t>19</t>
        </is>
      </c>
      <c r="Y242" s="11" t="inlineStr">
        <is>
          <t>20</t>
        </is>
      </c>
      <c r="Z242" s="11" t="inlineStr">
        <is>
          <t>21</t>
        </is>
      </c>
      <c r="AA242" s="11" t="inlineStr">
        <is>
          <t>22</t>
        </is>
      </c>
      <c r="AB242" s="11" t="inlineStr">
        <is>
          <t>23</t>
        </is>
      </c>
      <c r="AC242" s="11" t="inlineStr">
        <is>
          <t>24</t>
        </is>
      </c>
      <c r="AD242" s="11" t="inlineStr">
        <is>
          <t>25</t>
        </is>
      </c>
      <c r="AE242" s="11" t="inlineStr">
        <is>
          <t>26</t>
        </is>
      </c>
      <c r="AF242" s="11" t="inlineStr">
        <is>
          <t>27</t>
        </is>
      </c>
      <c r="AG242" s="11" t="inlineStr">
        <is>
          <t>28</t>
        </is>
      </c>
      <c r="AH242" s="11" t="inlineStr">
        <is>
          <t>29</t>
        </is>
      </c>
      <c r="AI242" s="11" t="inlineStr">
        <is>
          <t>30</t>
        </is>
      </c>
    </row>
    <row r="243">
      <c r="A243" s="4" t="inlineStr">
        <is>
          <t>Студент3.1</t>
        </is>
      </c>
      <c r="B243" s="4" t="inlineStr"/>
      <c r="C243" s="4" t="n"/>
      <c r="D243" s="4" t="n"/>
      <c r="E243" s="4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5" t="n"/>
    </row>
    <row r="244">
      <c r="A244" s="4" t="inlineStr">
        <is>
          <t>Студент3.2</t>
        </is>
      </c>
      <c r="B244" s="4" t="inlineStr"/>
      <c r="C244" s="4" t="n"/>
      <c r="D244" s="4" t="n"/>
      <c r="E244" s="4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  <c r="AG244" s="15" t="n"/>
      <c r="AH244" s="15" t="n"/>
      <c r="AI244" s="15" t="n"/>
    </row>
    <row r="245">
      <c r="A245" s="4" t="inlineStr">
        <is>
          <t>Студент3.3</t>
        </is>
      </c>
      <c r="B245" s="4" t="inlineStr"/>
      <c r="C245" s="4" t="n"/>
      <c r="D245" s="4" t="n"/>
      <c r="E245" s="4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  <c r="AG245" s="15" t="n"/>
      <c r="AH245" s="15" t="n"/>
      <c r="AI245" s="15" t="n"/>
    </row>
    <row r="246">
      <c r="A246" s="4" t="inlineStr">
        <is>
          <t>Студент3.4</t>
        </is>
      </c>
      <c r="B246" s="4" t="inlineStr"/>
      <c r="C246" s="4" t="n"/>
      <c r="D246" s="4" t="n"/>
      <c r="E246" s="4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  <c r="AF246" s="15" t="n"/>
      <c r="AG246" s="15" t="n"/>
      <c r="AH246" s="15" t="n"/>
      <c r="AI246" s="15" t="n"/>
    </row>
    <row r="247">
      <c r="A247" s="4" t="inlineStr">
        <is>
          <t>Студент3.5</t>
        </is>
      </c>
      <c r="B247" s="4" t="inlineStr"/>
      <c r="C247" s="4" t="n"/>
      <c r="D247" s="4" t="n"/>
      <c r="E247" s="4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  <c r="AF247" s="15" t="n"/>
      <c r="AG247" s="15" t="n"/>
      <c r="AH247" s="15" t="n"/>
      <c r="AI247" s="15" t="n"/>
    </row>
    <row r="248">
      <c r="A248" s="4" t="inlineStr">
        <is>
          <t>Студент3.6</t>
        </is>
      </c>
      <c r="B248" s="4" t="inlineStr"/>
      <c r="C248" s="4" t="n"/>
      <c r="D248" s="4" t="n"/>
      <c r="E248" s="4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  <c r="AF248" s="15" t="n"/>
      <c r="AG248" s="15" t="n"/>
      <c r="AH248" s="15" t="n"/>
      <c r="AI248" s="15" t="n"/>
    </row>
    <row r="249">
      <c r="A249" s="4" t="inlineStr">
        <is>
          <t>Студент3.7</t>
        </is>
      </c>
      <c r="B249" s="4" t="inlineStr"/>
      <c r="C249" s="4" t="n"/>
      <c r="D249" s="4" t="n"/>
      <c r="E249" s="4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  <c r="AF249" s="15" t="n"/>
      <c r="AG249" s="15" t="n"/>
      <c r="AH249" s="15" t="n"/>
      <c r="AI249" s="15" t="n"/>
    </row>
    <row r="250">
      <c r="A250" s="4" t="inlineStr">
        <is>
          <t>Студент3.8</t>
        </is>
      </c>
      <c r="B250" s="4" t="inlineStr"/>
      <c r="C250" s="4" t="n"/>
      <c r="D250" s="4" t="n"/>
      <c r="E250" s="4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  <c r="AF250" s="15" t="n"/>
      <c r="AG250" s="15" t="n"/>
      <c r="AH250" s="15" t="n"/>
      <c r="AI250" s="15" t="n"/>
    </row>
    <row r="251">
      <c r="A251" s="4" t="inlineStr">
        <is>
          <t>Студент3.9</t>
        </is>
      </c>
      <c r="B251" s="4" t="inlineStr"/>
      <c r="C251" s="4" t="n"/>
      <c r="D251" s="4" t="n"/>
      <c r="E251" s="4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  <c r="AF251" s="15" t="n"/>
      <c r="AG251" s="15" t="n"/>
      <c r="AH251" s="15" t="n"/>
      <c r="AI251" s="15" t="n"/>
    </row>
    <row r="252">
      <c r="A252" s="4" t="inlineStr">
        <is>
          <t>Студент3.10</t>
        </is>
      </c>
      <c r="B252" s="4" t="inlineStr"/>
      <c r="C252" s="4" t="n"/>
      <c r="D252" s="4" t="n"/>
      <c r="E252" s="4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5" t="n"/>
      <c r="AE252" s="15" t="n"/>
      <c r="AF252" s="15" t="n"/>
      <c r="AG252" s="15" t="n"/>
      <c r="AH252" s="15" t="n"/>
      <c r="AI252" s="15" t="n"/>
    </row>
    <row r="253">
      <c r="A253" s="4" t="inlineStr">
        <is>
          <t>Студент3.11</t>
        </is>
      </c>
      <c r="B253" s="4" t="inlineStr"/>
      <c r="C253" s="4" t="n"/>
      <c r="D253" s="4" t="n"/>
      <c r="E253" s="4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  <c r="AC253" s="15" t="n"/>
      <c r="AD253" s="15" t="n"/>
      <c r="AE253" s="15" t="n"/>
      <c r="AF253" s="15" t="n"/>
      <c r="AG253" s="15" t="n"/>
      <c r="AH253" s="15" t="n"/>
      <c r="AI253" s="15" t="n"/>
    </row>
    <row r="254">
      <c r="A254" s="4" t="inlineStr">
        <is>
          <t>Студент3.12</t>
        </is>
      </c>
      <c r="B254" s="4" t="inlineStr"/>
      <c r="C254" s="4" t="n"/>
      <c r="D254" s="4" t="n"/>
      <c r="E254" s="4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  <c r="AF254" s="15" t="n"/>
      <c r="AG254" s="15" t="n"/>
      <c r="AH254" s="15" t="n"/>
      <c r="AI254" s="15" t="n"/>
    </row>
    <row r="255">
      <c r="A255" s="4" t="inlineStr">
        <is>
          <t>Студент3.13</t>
        </is>
      </c>
      <c r="B255" s="4" t="inlineStr"/>
      <c r="C255" s="4" t="n"/>
      <c r="D255" s="4" t="n"/>
      <c r="E255" s="4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5" t="n"/>
      <c r="AE255" s="15" t="n"/>
      <c r="AF255" s="15" t="n"/>
      <c r="AG255" s="15" t="n"/>
      <c r="AH255" s="15" t="n"/>
      <c r="AI255" s="15" t="n"/>
    </row>
    <row r="256">
      <c r="A256" s="4" t="inlineStr">
        <is>
          <t>Студент3.14</t>
        </is>
      </c>
      <c r="B256" s="4" t="inlineStr"/>
      <c r="C256" s="4" t="n"/>
      <c r="D256" s="4" t="n"/>
      <c r="E256" s="4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  <c r="AF256" s="15" t="n"/>
      <c r="AG256" s="15" t="n"/>
      <c r="AH256" s="15" t="n"/>
      <c r="AI256" s="15" t="n"/>
    </row>
    <row r="257">
      <c r="A257" s="4" t="inlineStr">
        <is>
          <t>Студент3.15</t>
        </is>
      </c>
      <c r="B257" s="4" t="inlineStr"/>
      <c r="C257" s="4" t="n"/>
      <c r="D257" s="4" t="n"/>
      <c r="E257" s="4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  <c r="AG257" s="15" t="n"/>
      <c r="AH257" s="15" t="n"/>
      <c r="AI257" s="15" t="n"/>
    </row>
    <row r="258">
      <c r="A258" s="4" t="inlineStr">
        <is>
          <t>Студент3.16</t>
        </is>
      </c>
      <c r="B258" s="4" t="inlineStr"/>
      <c r="C258" s="4" t="n"/>
      <c r="D258" s="4" t="n"/>
      <c r="E258" s="4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  <c r="AF258" s="15" t="n"/>
      <c r="AG258" s="15" t="n"/>
      <c r="AH258" s="15" t="n"/>
      <c r="AI258" s="15" t="n"/>
    </row>
    <row r="259">
      <c r="A259" s="4" t="inlineStr">
        <is>
          <t>Студент3.17</t>
        </is>
      </c>
      <c r="B259" s="4" t="inlineStr"/>
      <c r="C259" s="4" t="n"/>
      <c r="D259" s="4" t="n"/>
      <c r="E259" s="4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  <c r="AG259" s="15" t="n"/>
      <c r="AH259" s="15" t="n"/>
      <c r="AI259" s="15" t="n"/>
    </row>
    <row r="260">
      <c r="A260" s="4" t="inlineStr">
        <is>
          <t>Студент3.18</t>
        </is>
      </c>
      <c r="B260" s="4" t="inlineStr"/>
      <c r="C260" s="4" t="n"/>
      <c r="D260" s="4" t="n"/>
      <c r="E260" s="4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  <c r="AF260" s="15" t="n"/>
      <c r="AG260" s="15" t="n"/>
      <c r="AH260" s="15" t="n"/>
      <c r="AI260" s="15" t="n"/>
    </row>
    <row r="261">
      <c r="A261" s="4" t="inlineStr">
        <is>
          <t>Студент3.19</t>
        </is>
      </c>
      <c r="B261" s="4" t="inlineStr"/>
      <c r="C261" s="4" t="n"/>
      <c r="D261" s="4" t="n"/>
      <c r="E261" s="4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  <c r="AF261" s="15" t="n"/>
      <c r="AG261" s="15" t="n"/>
      <c r="AH261" s="15" t="n"/>
      <c r="AI261" s="15" t="n"/>
    </row>
    <row r="262">
      <c r="A262" s="4" t="inlineStr">
        <is>
          <t>Студент3.20</t>
        </is>
      </c>
      <c r="B262" s="4" t="inlineStr"/>
      <c r="C262" s="4" t="n"/>
      <c r="D262" s="4" t="n"/>
      <c r="E262" s="4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  <c r="AF262" s="15" t="n"/>
      <c r="AG262" s="15" t="n"/>
      <c r="AH262" s="15" t="n"/>
      <c r="AI262" s="15" t="n"/>
    </row>
    <row r="263">
      <c r="A263" s="4" t="inlineStr">
        <is>
          <t>Студент3.21</t>
        </is>
      </c>
      <c r="B263" s="4" t="inlineStr"/>
      <c r="C263" s="4" t="n"/>
      <c r="D263" s="4" t="n"/>
      <c r="E263" s="4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  <c r="AF263" s="15" t="n"/>
      <c r="AG263" s="15" t="n"/>
      <c r="AH263" s="15" t="n"/>
      <c r="AI263" s="15" t="n"/>
    </row>
    <row r="264">
      <c r="A264" s="4" t="inlineStr">
        <is>
          <t>Студент3.22</t>
        </is>
      </c>
      <c r="B264" s="4" t="inlineStr"/>
      <c r="C264" s="4" t="n"/>
      <c r="D264" s="4" t="n"/>
      <c r="E264" s="4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  <c r="AF264" s="15" t="n"/>
      <c r="AG264" s="15" t="n"/>
      <c r="AH264" s="15" t="n"/>
      <c r="AI264" s="15" t="n"/>
    </row>
    <row r="265">
      <c r="A265" s="4" t="inlineStr">
        <is>
          <t>Студент3.23</t>
        </is>
      </c>
      <c r="B265" s="4" t="inlineStr"/>
      <c r="C265" s="4" t="n"/>
      <c r="D265" s="4" t="n"/>
      <c r="E265" s="4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  <c r="AF265" s="15" t="n"/>
      <c r="AG265" s="15" t="n"/>
      <c r="AH265" s="15" t="n"/>
      <c r="AI265" s="15" t="n"/>
    </row>
    <row r="266">
      <c r="A266" s="4" t="inlineStr">
        <is>
          <t>Студент3.24</t>
        </is>
      </c>
      <c r="B266" s="4" t="inlineStr"/>
      <c r="C266" s="4" t="n"/>
      <c r="D266" s="4" t="n"/>
      <c r="E266" s="4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  <c r="AF266" s="15" t="n"/>
      <c r="AG266" s="15" t="n"/>
      <c r="AH266" s="15" t="n"/>
      <c r="AI266" s="15" t="n"/>
    </row>
    <row r="267">
      <c r="A267" s="4" t="inlineStr">
        <is>
          <t>Студент3.25</t>
        </is>
      </c>
      <c r="B267" s="4" t="inlineStr"/>
      <c r="C267" s="4" t="n"/>
      <c r="D267" s="4" t="n"/>
      <c r="E267" s="4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  <c r="AG267" s="15" t="n"/>
      <c r="AH267" s="15" t="n"/>
      <c r="AI267" s="15" t="n"/>
    </row>
    <row r="268">
      <c r="A268" s="4" t="inlineStr">
        <is>
          <t>Студент3.26</t>
        </is>
      </c>
      <c r="B268" s="4" t="inlineStr"/>
      <c r="C268" s="4" t="n"/>
      <c r="D268" s="4" t="n"/>
      <c r="E268" s="4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  <c r="AG268" s="15" t="n"/>
      <c r="AH268" s="15" t="n"/>
      <c r="AI268" s="15" t="n"/>
    </row>
    <row r="269">
      <c r="A269" s="4" t="inlineStr">
        <is>
          <t>Студент3.27</t>
        </is>
      </c>
      <c r="B269" s="4" t="inlineStr"/>
      <c r="C269" s="4" t="n"/>
      <c r="D269" s="4" t="n"/>
      <c r="E269" s="4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  <c r="AG269" s="15" t="n"/>
      <c r="AH269" s="15" t="n"/>
      <c r="AI269" s="15" t="n"/>
    </row>
    <row r="270">
      <c r="A270" s="4" t="inlineStr">
        <is>
          <t>Студент3.28</t>
        </is>
      </c>
      <c r="B270" s="4" t="inlineStr"/>
      <c r="C270" s="4" t="n"/>
      <c r="D270" s="4" t="n"/>
      <c r="E270" s="4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  <c r="AF270" s="15" t="n"/>
      <c r="AG270" s="15" t="n"/>
      <c r="AH270" s="15" t="n"/>
      <c r="AI270" s="15" t="n"/>
    </row>
    <row r="271">
      <c r="A271" s="4" t="inlineStr">
        <is>
          <t>Студент3.29</t>
        </is>
      </c>
      <c r="B271" s="4" t="inlineStr"/>
      <c r="C271" s="4" t="n"/>
      <c r="D271" s="4" t="n"/>
      <c r="E271" s="4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  <c r="AG271" s="15" t="n"/>
      <c r="AH271" s="15" t="n"/>
      <c r="AI271" s="15" t="n"/>
    </row>
    <row r="272">
      <c r="A272" s="4" t="inlineStr">
        <is>
          <t>Студент3.30</t>
        </is>
      </c>
      <c r="B272" s="4" t="inlineStr"/>
      <c r="C272" s="4" t="n"/>
      <c r="D272" s="4" t="n"/>
      <c r="E272" s="4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  <c r="AF272" s="15" t="n"/>
      <c r="AG272" s="15" t="n"/>
      <c r="AH272" s="15" t="n"/>
      <c r="AI272" s="15" t="n"/>
    </row>
    <row r="276">
      <c r="A276" s="13" t="inlineStr">
        <is>
          <t>Практика 5 — плюсы</t>
        </is>
      </c>
    </row>
    <row r="277" ht="28" customHeight="1">
      <c r="A277" s="7" t="inlineStr">
        <is>
          <t>Имя</t>
        </is>
      </c>
      <c r="B277" s="9" t="inlineStr">
        <is>
          <t>TG</t>
        </is>
      </c>
      <c r="C277" s="10" t="inlineStr">
        <is>
          <t>S</t>
        </is>
      </c>
      <c r="D277" s="8" t="inlineStr">
        <is>
          <t>Коэффициент</t>
        </is>
      </c>
      <c r="E277" s="14" t="inlineStr">
        <is>
          <t>D за практику</t>
        </is>
      </c>
      <c r="F277" s="11" t="inlineStr">
        <is>
          <t>1.0</t>
        </is>
      </c>
      <c r="G277" s="11" t="inlineStr">
        <is>
          <t>2.0</t>
        </is>
      </c>
      <c r="H277" s="11" t="inlineStr">
        <is>
          <t>3.0</t>
        </is>
      </c>
      <c r="I277" s="11" t="inlineStr">
        <is>
          <t>4.0</t>
        </is>
      </c>
      <c r="J277" s="11" t="inlineStr">
        <is>
          <t>5.0</t>
        </is>
      </c>
      <c r="K277" s="11" t="inlineStr">
        <is>
          <t>6</t>
        </is>
      </c>
      <c r="L277" s="11" t="inlineStr">
        <is>
          <t>7</t>
        </is>
      </c>
      <c r="M277" s="11" t="inlineStr">
        <is>
          <t>8</t>
        </is>
      </c>
      <c r="N277" s="11" t="inlineStr">
        <is>
          <t>9</t>
        </is>
      </c>
      <c r="O277" s="11" t="inlineStr">
        <is>
          <t>10</t>
        </is>
      </c>
      <c r="P277" s="11" t="inlineStr">
        <is>
          <t>11</t>
        </is>
      </c>
      <c r="Q277" s="11" t="inlineStr">
        <is>
          <t>12</t>
        </is>
      </c>
      <c r="R277" s="11" t="inlineStr">
        <is>
          <t>13</t>
        </is>
      </c>
      <c r="S277" s="11" t="inlineStr">
        <is>
          <t>14</t>
        </is>
      </c>
      <c r="T277" s="11" t="inlineStr">
        <is>
          <t>15</t>
        </is>
      </c>
      <c r="U277" s="11" t="inlineStr">
        <is>
          <t>16</t>
        </is>
      </c>
      <c r="V277" s="11" t="inlineStr">
        <is>
          <t>17</t>
        </is>
      </c>
      <c r="W277" s="11" t="inlineStr">
        <is>
          <t>18</t>
        </is>
      </c>
      <c r="X277" s="11" t="inlineStr">
        <is>
          <t>19</t>
        </is>
      </c>
      <c r="Y277" s="11" t="inlineStr">
        <is>
          <t>20</t>
        </is>
      </c>
      <c r="Z277" s="11" t="inlineStr">
        <is>
          <t>21</t>
        </is>
      </c>
      <c r="AA277" s="11" t="inlineStr">
        <is>
          <t>22</t>
        </is>
      </c>
      <c r="AB277" s="11" t="inlineStr">
        <is>
          <t>23</t>
        </is>
      </c>
      <c r="AC277" s="11" t="inlineStr">
        <is>
          <t>24</t>
        </is>
      </c>
      <c r="AD277" s="11" t="inlineStr">
        <is>
          <t>25</t>
        </is>
      </c>
      <c r="AE277" s="11" t="inlineStr">
        <is>
          <t>26</t>
        </is>
      </c>
      <c r="AF277" s="11" t="inlineStr">
        <is>
          <t>27</t>
        </is>
      </c>
      <c r="AG277" s="11" t="inlineStr">
        <is>
          <t>28</t>
        </is>
      </c>
      <c r="AH277" s="11" t="inlineStr">
        <is>
          <t>29</t>
        </is>
      </c>
      <c r="AI277" s="11" t="inlineStr">
        <is>
          <t>30</t>
        </is>
      </c>
    </row>
    <row r="278">
      <c r="A278" s="4" t="inlineStr">
        <is>
          <t>Студент3.1</t>
        </is>
      </c>
      <c r="B278" s="4" t="inlineStr"/>
      <c r="C278" s="4">
        <f>IF(A278="","",COUNTIF(F278:AI278,"+")+COUNTIF(F278:AI278,"1"))</f>
        <v/>
      </c>
      <c r="D278" s="4">
        <f>IF(A278="","",IF(C278&gt;2*COUNTA(F$277:AI$277)/3,1,IF(C278&gt;=COUNTA(F$277:AI$277)/2,0.8,0.5)))</f>
        <v/>
      </c>
      <c r="E278" s="4">
        <f>IF(A278="","",SUMIFS('Логи'!$H$4:$H$3006,'Логи'!$A$4:$A$3006,A278,'Логи'!$C$4:$C$3006,5))</f>
        <v/>
      </c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  <c r="AF278" s="15" t="n"/>
      <c r="AG278" s="15" t="n"/>
      <c r="AH278" s="15" t="n"/>
      <c r="AI278" s="15" t="n"/>
    </row>
    <row r="279">
      <c r="A279" s="4" t="inlineStr">
        <is>
          <t>Студент3.2</t>
        </is>
      </c>
      <c r="B279" s="4" t="inlineStr"/>
      <c r="C279" s="4">
        <f>IF(A279="","",COUNTIF(F279:AI279,"+")+COUNTIF(F279:AI279,"1"))</f>
        <v/>
      </c>
      <c r="D279" s="4">
        <f>IF(A279="","",IF(C279&gt;2*COUNTA(F$277:AI$277)/3,1,IF(C279&gt;=COUNTA(F$277:AI$277)/2,0.8,0.5)))</f>
        <v/>
      </c>
      <c r="E279" s="4">
        <f>IF(A279="","",SUMIFS('Логи'!$H$4:$H$3006,'Логи'!$A$4:$A$3006,A279,'Логи'!$C$4:$C$3006,5))</f>
        <v/>
      </c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  <c r="AF279" s="15" t="n"/>
      <c r="AG279" s="15" t="n"/>
      <c r="AH279" s="15" t="n"/>
      <c r="AI279" s="15" t="n"/>
    </row>
    <row r="280">
      <c r="A280" s="4" t="inlineStr">
        <is>
          <t>Студент3.3</t>
        </is>
      </c>
      <c r="B280" s="4" t="inlineStr"/>
      <c r="C280" s="4">
        <f>IF(A280="","",COUNTIF(F280:AI280,"+")+COUNTIF(F280:AI280,"1"))</f>
        <v/>
      </c>
      <c r="D280" s="4">
        <f>IF(A280="","",IF(C280&gt;2*COUNTA(F$277:AI$277)/3,1,IF(C280&gt;=COUNTA(F$277:AI$277)/2,0.8,0.5)))</f>
        <v/>
      </c>
      <c r="E280" s="4">
        <f>IF(A280="","",SUMIFS('Логи'!$H$4:$H$3006,'Логи'!$A$4:$A$3006,A280,'Логи'!$C$4:$C$3006,5))</f>
        <v/>
      </c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  <c r="AF280" s="15" t="n"/>
      <c r="AG280" s="15" t="n"/>
      <c r="AH280" s="15" t="n"/>
      <c r="AI280" s="15" t="n"/>
    </row>
    <row r="281">
      <c r="A281" s="4" t="inlineStr">
        <is>
          <t>Студент3.4</t>
        </is>
      </c>
      <c r="B281" s="4" t="inlineStr"/>
      <c r="C281" s="4">
        <f>IF(A281="","",COUNTIF(F281:AI281,"+")+COUNTIF(F281:AI281,"1"))</f>
        <v/>
      </c>
      <c r="D281" s="4">
        <f>IF(A281="","",IF(C281&gt;2*COUNTA(F$277:AI$277)/3,1,IF(C281&gt;=COUNTA(F$277:AI$277)/2,0.8,0.5)))</f>
        <v/>
      </c>
      <c r="E281" s="4">
        <f>IF(A281="","",SUMIFS('Логи'!$H$4:$H$3006,'Логи'!$A$4:$A$3006,A281,'Логи'!$C$4:$C$3006,5))</f>
        <v/>
      </c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  <c r="AF281" s="15" t="n"/>
      <c r="AG281" s="15" t="n"/>
      <c r="AH281" s="15" t="n"/>
      <c r="AI281" s="15" t="n"/>
    </row>
    <row r="282">
      <c r="A282" s="4" t="inlineStr">
        <is>
          <t>Студент3.5</t>
        </is>
      </c>
      <c r="B282" s="4" t="inlineStr"/>
      <c r="C282" s="4">
        <f>IF(A282="","",COUNTIF(F282:AI282,"+")+COUNTIF(F282:AI282,"1"))</f>
        <v/>
      </c>
      <c r="D282" s="4">
        <f>IF(A282="","",IF(C282&gt;2*COUNTA(F$277:AI$277)/3,1,IF(C282&gt;=COUNTA(F$277:AI$277)/2,0.8,0.5)))</f>
        <v/>
      </c>
      <c r="E282" s="4">
        <f>IF(A282="","",SUMIFS('Логи'!$H$4:$H$3006,'Логи'!$A$4:$A$3006,A282,'Логи'!$C$4:$C$3006,5))</f>
        <v/>
      </c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  <c r="AF282" s="15" t="n"/>
      <c r="AG282" s="15" t="n"/>
      <c r="AH282" s="15" t="n"/>
      <c r="AI282" s="15" t="n"/>
    </row>
    <row r="283">
      <c r="A283" s="4" t="inlineStr">
        <is>
          <t>Студент3.6</t>
        </is>
      </c>
      <c r="B283" s="4" t="inlineStr"/>
      <c r="C283" s="4">
        <f>IF(A283="","",COUNTIF(F283:AI283,"+")+COUNTIF(F283:AI283,"1"))</f>
        <v/>
      </c>
      <c r="D283" s="4">
        <f>IF(A283="","",IF(C283&gt;2*COUNTA(F$277:AI$277)/3,1,IF(C283&gt;=COUNTA(F$277:AI$277)/2,0.8,0.5)))</f>
        <v/>
      </c>
      <c r="E283" s="4">
        <f>IF(A283="","",SUMIFS('Логи'!$H$4:$H$3006,'Логи'!$A$4:$A$3006,A283,'Логи'!$C$4:$C$3006,5))</f>
        <v/>
      </c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  <c r="AF283" s="15" t="n"/>
      <c r="AG283" s="15" t="n"/>
      <c r="AH283" s="15" t="n"/>
      <c r="AI283" s="15" t="n"/>
    </row>
    <row r="284">
      <c r="A284" s="4" t="inlineStr">
        <is>
          <t>Студент3.7</t>
        </is>
      </c>
      <c r="B284" s="4" t="inlineStr"/>
      <c r="C284" s="4">
        <f>IF(A284="","",COUNTIF(F284:AI284,"+")+COUNTIF(F284:AI284,"1"))</f>
        <v/>
      </c>
      <c r="D284" s="4">
        <f>IF(A284="","",IF(C284&gt;2*COUNTA(F$277:AI$277)/3,1,IF(C284&gt;=COUNTA(F$277:AI$277)/2,0.8,0.5)))</f>
        <v/>
      </c>
      <c r="E284" s="4">
        <f>IF(A284="","",SUMIFS('Логи'!$H$4:$H$3006,'Логи'!$A$4:$A$3006,A284,'Логи'!$C$4:$C$3006,5))</f>
        <v/>
      </c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  <c r="AF284" s="15" t="n"/>
      <c r="AG284" s="15" t="n"/>
      <c r="AH284" s="15" t="n"/>
      <c r="AI284" s="15" t="n"/>
    </row>
    <row r="285">
      <c r="A285" s="4" t="inlineStr">
        <is>
          <t>Студент3.8</t>
        </is>
      </c>
      <c r="B285" s="4" t="inlineStr"/>
      <c r="C285" s="4">
        <f>IF(A285="","",COUNTIF(F285:AI285,"+")+COUNTIF(F285:AI285,"1"))</f>
        <v/>
      </c>
      <c r="D285" s="4">
        <f>IF(A285="","",IF(C285&gt;2*COUNTA(F$277:AI$277)/3,1,IF(C285&gt;=COUNTA(F$277:AI$277)/2,0.8,0.5)))</f>
        <v/>
      </c>
      <c r="E285" s="4">
        <f>IF(A285="","",SUMIFS('Логи'!$H$4:$H$3006,'Логи'!$A$4:$A$3006,A285,'Логи'!$C$4:$C$3006,5))</f>
        <v/>
      </c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  <c r="AF285" s="15" t="n"/>
      <c r="AG285" s="15" t="n"/>
      <c r="AH285" s="15" t="n"/>
      <c r="AI285" s="15" t="n"/>
    </row>
    <row r="286">
      <c r="A286" s="4" t="inlineStr">
        <is>
          <t>Студент3.9</t>
        </is>
      </c>
      <c r="B286" s="4" t="inlineStr"/>
      <c r="C286" s="4">
        <f>IF(A286="","",COUNTIF(F286:AI286,"+")+COUNTIF(F286:AI286,"1"))</f>
        <v/>
      </c>
      <c r="D286" s="4">
        <f>IF(A286="","",IF(C286&gt;2*COUNTA(F$277:AI$277)/3,1,IF(C286&gt;=COUNTA(F$277:AI$277)/2,0.8,0.5)))</f>
        <v/>
      </c>
      <c r="E286" s="4">
        <f>IF(A286="","",SUMIFS('Логи'!$H$4:$H$3006,'Логи'!$A$4:$A$3006,A286,'Логи'!$C$4:$C$3006,5))</f>
        <v/>
      </c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  <c r="AG286" s="15" t="n"/>
      <c r="AH286" s="15" t="n"/>
      <c r="AI286" s="15" t="n"/>
    </row>
    <row r="287">
      <c r="A287" s="4" t="inlineStr">
        <is>
          <t>Студент3.10</t>
        </is>
      </c>
      <c r="B287" s="4" t="inlineStr"/>
      <c r="C287" s="4">
        <f>IF(A287="","",COUNTIF(F287:AI287,"+")+COUNTIF(F287:AI287,"1"))</f>
        <v/>
      </c>
      <c r="D287" s="4">
        <f>IF(A287="","",IF(C287&gt;2*COUNTA(F$277:AI$277)/3,1,IF(C287&gt;=COUNTA(F$277:AI$277)/2,0.8,0.5)))</f>
        <v/>
      </c>
      <c r="E287" s="4">
        <f>IF(A287="","",SUMIFS('Логи'!$H$4:$H$3006,'Логи'!$A$4:$A$3006,A287,'Логи'!$C$4:$C$3006,5))</f>
        <v/>
      </c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  <c r="AF287" s="15" t="n"/>
      <c r="AG287" s="15" t="n"/>
      <c r="AH287" s="15" t="n"/>
      <c r="AI287" s="15" t="n"/>
    </row>
    <row r="288">
      <c r="A288" s="4" t="inlineStr">
        <is>
          <t>Студент3.11</t>
        </is>
      </c>
      <c r="B288" s="4" t="inlineStr"/>
      <c r="C288" s="4">
        <f>IF(A288="","",COUNTIF(F288:AI288,"+")+COUNTIF(F288:AI288,"1"))</f>
        <v/>
      </c>
      <c r="D288" s="4">
        <f>IF(A288="","",IF(C288&gt;2*COUNTA(F$277:AI$277)/3,1,IF(C288&gt;=COUNTA(F$277:AI$277)/2,0.8,0.5)))</f>
        <v/>
      </c>
      <c r="E288" s="4">
        <f>IF(A288="","",SUMIFS('Логи'!$H$4:$H$3006,'Логи'!$A$4:$A$3006,A288,'Логи'!$C$4:$C$3006,5))</f>
        <v/>
      </c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  <c r="AG288" s="15" t="n"/>
      <c r="AH288" s="15" t="n"/>
      <c r="AI288" s="15" t="n"/>
    </row>
    <row r="289">
      <c r="A289" s="4" t="inlineStr">
        <is>
          <t>Студент3.12</t>
        </is>
      </c>
      <c r="B289" s="4" t="inlineStr"/>
      <c r="C289" s="4">
        <f>IF(A289="","",COUNTIF(F289:AI289,"+")+COUNTIF(F289:AI289,"1"))</f>
        <v/>
      </c>
      <c r="D289" s="4">
        <f>IF(A289="","",IF(C289&gt;2*COUNTA(F$277:AI$277)/3,1,IF(C289&gt;=COUNTA(F$277:AI$277)/2,0.8,0.5)))</f>
        <v/>
      </c>
      <c r="E289" s="4">
        <f>IF(A289="","",SUMIFS('Логи'!$H$4:$H$3006,'Логи'!$A$4:$A$3006,A289,'Логи'!$C$4:$C$3006,5))</f>
        <v/>
      </c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  <c r="AF289" s="15" t="n"/>
      <c r="AG289" s="15" t="n"/>
      <c r="AH289" s="15" t="n"/>
      <c r="AI289" s="15" t="n"/>
    </row>
    <row r="290">
      <c r="A290" s="4" t="inlineStr">
        <is>
          <t>Студент3.13</t>
        </is>
      </c>
      <c r="B290" s="4" t="inlineStr"/>
      <c r="C290" s="4">
        <f>IF(A290="","",COUNTIF(F290:AI290,"+")+COUNTIF(F290:AI290,"1"))</f>
        <v/>
      </c>
      <c r="D290" s="4">
        <f>IF(A290="","",IF(C290&gt;2*COUNTA(F$277:AI$277)/3,1,IF(C290&gt;=COUNTA(F$277:AI$277)/2,0.8,0.5)))</f>
        <v/>
      </c>
      <c r="E290" s="4">
        <f>IF(A290="","",SUMIFS('Логи'!$H$4:$H$3006,'Логи'!$A$4:$A$3006,A290,'Логи'!$C$4:$C$3006,5))</f>
        <v/>
      </c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  <c r="AF290" s="15" t="n"/>
      <c r="AG290" s="15" t="n"/>
      <c r="AH290" s="15" t="n"/>
      <c r="AI290" s="15" t="n"/>
    </row>
    <row r="291">
      <c r="A291" s="4" t="inlineStr">
        <is>
          <t>Студент3.14</t>
        </is>
      </c>
      <c r="B291" s="4" t="inlineStr"/>
      <c r="C291" s="4">
        <f>IF(A291="","",COUNTIF(F291:AI291,"+")+COUNTIF(F291:AI291,"1"))</f>
        <v/>
      </c>
      <c r="D291" s="4">
        <f>IF(A291="","",IF(C291&gt;2*COUNTA(F$277:AI$277)/3,1,IF(C291&gt;=COUNTA(F$277:AI$277)/2,0.8,0.5)))</f>
        <v/>
      </c>
      <c r="E291" s="4">
        <f>IF(A291="","",SUMIFS('Логи'!$H$4:$H$3006,'Логи'!$A$4:$A$3006,A291,'Логи'!$C$4:$C$3006,5))</f>
        <v/>
      </c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  <c r="AF291" s="15" t="n"/>
      <c r="AG291" s="15" t="n"/>
      <c r="AH291" s="15" t="n"/>
      <c r="AI291" s="15" t="n"/>
    </row>
    <row r="292">
      <c r="A292" s="4" t="inlineStr">
        <is>
          <t>Студент3.15</t>
        </is>
      </c>
      <c r="B292" s="4" t="inlineStr"/>
      <c r="C292" s="4">
        <f>IF(A292="","",COUNTIF(F292:AI292,"+")+COUNTIF(F292:AI292,"1"))</f>
        <v/>
      </c>
      <c r="D292" s="4">
        <f>IF(A292="","",IF(C292&gt;2*COUNTA(F$277:AI$277)/3,1,IF(C292&gt;=COUNTA(F$277:AI$277)/2,0.8,0.5)))</f>
        <v/>
      </c>
      <c r="E292" s="4">
        <f>IF(A292="","",SUMIFS('Логи'!$H$4:$H$3006,'Логи'!$A$4:$A$3006,A292,'Логи'!$C$4:$C$3006,5))</f>
        <v/>
      </c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  <c r="AF292" s="15" t="n"/>
      <c r="AG292" s="15" t="n"/>
      <c r="AH292" s="15" t="n"/>
      <c r="AI292" s="15" t="n"/>
    </row>
    <row r="293">
      <c r="A293" s="4" t="inlineStr">
        <is>
          <t>Студент3.16</t>
        </is>
      </c>
      <c r="B293" s="4" t="inlineStr"/>
      <c r="C293" s="4">
        <f>IF(A293="","",COUNTIF(F293:AI293,"+")+COUNTIF(F293:AI293,"1"))</f>
        <v/>
      </c>
      <c r="D293" s="4">
        <f>IF(A293="","",IF(C293&gt;2*COUNTA(F$277:AI$277)/3,1,IF(C293&gt;=COUNTA(F$277:AI$277)/2,0.8,0.5)))</f>
        <v/>
      </c>
      <c r="E293" s="4">
        <f>IF(A293="","",SUMIFS('Логи'!$H$4:$H$3006,'Логи'!$A$4:$A$3006,A293,'Логи'!$C$4:$C$3006,5))</f>
        <v/>
      </c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  <c r="AF293" s="15" t="n"/>
      <c r="AG293" s="15" t="n"/>
      <c r="AH293" s="15" t="n"/>
      <c r="AI293" s="15" t="n"/>
    </row>
    <row r="294">
      <c r="A294" s="4" t="inlineStr">
        <is>
          <t>Студент3.17</t>
        </is>
      </c>
      <c r="B294" s="4" t="inlineStr"/>
      <c r="C294" s="4">
        <f>IF(A294="","",COUNTIF(F294:AI294,"+")+COUNTIF(F294:AI294,"1"))</f>
        <v/>
      </c>
      <c r="D294" s="4">
        <f>IF(A294="","",IF(C294&gt;2*COUNTA(F$277:AI$277)/3,1,IF(C294&gt;=COUNTA(F$277:AI$277)/2,0.8,0.5)))</f>
        <v/>
      </c>
      <c r="E294" s="4">
        <f>IF(A294="","",SUMIFS('Логи'!$H$4:$H$3006,'Логи'!$A$4:$A$3006,A294,'Логи'!$C$4:$C$3006,5))</f>
        <v/>
      </c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  <c r="AF294" s="15" t="n"/>
      <c r="AG294" s="15" t="n"/>
      <c r="AH294" s="15" t="n"/>
      <c r="AI294" s="15" t="n"/>
    </row>
    <row r="295">
      <c r="A295" s="4" t="inlineStr">
        <is>
          <t>Студент3.18</t>
        </is>
      </c>
      <c r="B295" s="4" t="inlineStr"/>
      <c r="C295" s="4">
        <f>IF(A295="","",COUNTIF(F295:AI295,"+")+COUNTIF(F295:AI295,"1"))</f>
        <v/>
      </c>
      <c r="D295" s="4">
        <f>IF(A295="","",IF(C295&gt;2*COUNTA(F$277:AI$277)/3,1,IF(C295&gt;=COUNTA(F$277:AI$277)/2,0.8,0.5)))</f>
        <v/>
      </c>
      <c r="E295" s="4">
        <f>IF(A295="","",SUMIFS('Логи'!$H$4:$H$3006,'Логи'!$A$4:$A$3006,A295,'Логи'!$C$4:$C$3006,5))</f>
        <v/>
      </c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  <c r="AG295" s="15" t="n"/>
      <c r="AH295" s="15" t="n"/>
      <c r="AI295" s="15" t="n"/>
    </row>
    <row r="296">
      <c r="A296" s="4" t="inlineStr">
        <is>
          <t>Студент3.19</t>
        </is>
      </c>
      <c r="B296" s="4" t="inlineStr"/>
      <c r="C296" s="4">
        <f>IF(A296="","",COUNTIF(F296:AI296,"+")+COUNTIF(F296:AI296,"1"))</f>
        <v/>
      </c>
      <c r="D296" s="4">
        <f>IF(A296="","",IF(C296&gt;2*COUNTA(F$277:AI$277)/3,1,IF(C296&gt;=COUNTA(F$277:AI$277)/2,0.8,0.5)))</f>
        <v/>
      </c>
      <c r="E296" s="4">
        <f>IF(A296="","",SUMIFS('Логи'!$H$4:$H$3006,'Логи'!$A$4:$A$3006,A296,'Логи'!$C$4:$C$3006,5))</f>
        <v/>
      </c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  <c r="AG296" s="15" t="n"/>
      <c r="AH296" s="15" t="n"/>
      <c r="AI296" s="15" t="n"/>
    </row>
    <row r="297">
      <c r="A297" s="4" t="inlineStr">
        <is>
          <t>Студент3.20</t>
        </is>
      </c>
      <c r="B297" s="4" t="inlineStr"/>
      <c r="C297" s="4">
        <f>IF(A297="","",COUNTIF(F297:AI297,"+")+COUNTIF(F297:AI297,"1"))</f>
        <v/>
      </c>
      <c r="D297" s="4">
        <f>IF(A297="","",IF(C297&gt;2*COUNTA(F$277:AI$277)/3,1,IF(C297&gt;=COUNTA(F$277:AI$277)/2,0.8,0.5)))</f>
        <v/>
      </c>
      <c r="E297" s="4">
        <f>IF(A297="","",SUMIFS('Логи'!$H$4:$H$3006,'Логи'!$A$4:$A$3006,A297,'Логи'!$C$4:$C$3006,5))</f>
        <v/>
      </c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  <c r="AF297" s="15" t="n"/>
      <c r="AG297" s="15" t="n"/>
      <c r="AH297" s="15" t="n"/>
      <c r="AI297" s="15" t="n"/>
    </row>
    <row r="298">
      <c r="A298" s="4" t="inlineStr">
        <is>
          <t>Студент3.21</t>
        </is>
      </c>
      <c r="B298" s="4" t="inlineStr"/>
      <c r="C298" s="4">
        <f>IF(A298="","",COUNTIF(F298:AI298,"+")+COUNTIF(F298:AI298,"1"))</f>
        <v/>
      </c>
      <c r="D298" s="4">
        <f>IF(A298="","",IF(C298&gt;2*COUNTA(F$277:AI$277)/3,1,IF(C298&gt;=COUNTA(F$277:AI$277)/2,0.8,0.5)))</f>
        <v/>
      </c>
      <c r="E298" s="4">
        <f>IF(A298="","",SUMIFS('Логи'!$H$4:$H$3006,'Логи'!$A$4:$A$3006,A298,'Логи'!$C$4:$C$3006,5))</f>
        <v/>
      </c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  <c r="AF298" s="15" t="n"/>
      <c r="AG298" s="15" t="n"/>
      <c r="AH298" s="15" t="n"/>
      <c r="AI298" s="15" t="n"/>
    </row>
    <row r="299">
      <c r="A299" s="4" t="inlineStr">
        <is>
          <t>Студент3.22</t>
        </is>
      </c>
      <c r="B299" s="4" t="inlineStr"/>
      <c r="C299" s="4">
        <f>IF(A299="","",COUNTIF(F299:AI299,"+")+COUNTIF(F299:AI299,"1"))</f>
        <v/>
      </c>
      <c r="D299" s="4">
        <f>IF(A299="","",IF(C299&gt;2*COUNTA(F$277:AI$277)/3,1,IF(C299&gt;=COUNTA(F$277:AI$277)/2,0.8,0.5)))</f>
        <v/>
      </c>
      <c r="E299" s="4">
        <f>IF(A299="","",SUMIFS('Логи'!$H$4:$H$3006,'Логи'!$A$4:$A$3006,A299,'Логи'!$C$4:$C$3006,5))</f>
        <v/>
      </c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  <c r="AF299" s="15" t="n"/>
      <c r="AG299" s="15" t="n"/>
      <c r="AH299" s="15" t="n"/>
      <c r="AI299" s="15" t="n"/>
    </row>
    <row r="300">
      <c r="A300" s="4" t="inlineStr">
        <is>
          <t>Студент3.23</t>
        </is>
      </c>
      <c r="B300" s="4" t="inlineStr"/>
      <c r="C300" s="4">
        <f>IF(A300="","",COUNTIF(F300:AI300,"+")+COUNTIF(F300:AI300,"1"))</f>
        <v/>
      </c>
      <c r="D300" s="4">
        <f>IF(A300="","",IF(C300&gt;2*COUNTA(F$277:AI$277)/3,1,IF(C300&gt;=COUNTA(F$277:AI$277)/2,0.8,0.5)))</f>
        <v/>
      </c>
      <c r="E300" s="4">
        <f>IF(A300="","",SUMIFS('Логи'!$H$4:$H$3006,'Логи'!$A$4:$A$3006,A300,'Логи'!$C$4:$C$3006,5))</f>
        <v/>
      </c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5" t="n"/>
    </row>
    <row r="301">
      <c r="A301" s="4" t="inlineStr">
        <is>
          <t>Студент3.24</t>
        </is>
      </c>
      <c r="B301" s="4" t="inlineStr"/>
      <c r="C301" s="4">
        <f>IF(A301="","",COUNTIF(F301:AI301,"+")+COUNTIF(F301:AI301,"1"))</f>
        <v/>
      </c>
      <c r="D301" s="4">
        <f>IF(A301="","",IF(C301&gt;2*COUNTA(F$277:AI$277)/3,1,IF(C301&gt;=COUNTA(F$277:AI$277)/2,0.8,0.5)))</f>
        <v/>
      </c>
      <c r="E301" s="4">
        <f>IF(A301="","",SUMIFS('Логи'!$H$4:$H$3006,'Логи'!$A$4:$A$3006,A301,'Логи'!$C$4:$C$3006,5))</f>
        <v/>
      </c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  <c r="AF301" s="15" t="n"/>
      <c r="AG301" s="15" t="n"/>
      <c r="AH301" s="15" t="n"/>
      <c r="AI301" s="15" t="n"/>
    </row>
    <row r="302">
      <c r="A302" s="4" t="inlineStr">
        <is>
          <t>Студент3.25</t>
        </is>
      </c>
      <c r="B302" s="4" t="inlineStr"/>
      <c r="C302" s="4">
        <f>IF(A302="","",COUNTIF(F302:AI302,"+")+COUNTIF(F302:AI302,"1"))</f>
        <v/>
      </c>
      <c r="D302" s="4">
        <f>IF(A302="","",IF(C302&gt;2*COUNTA(F$277:AI$277)/3,1,IF(C302&gt;=COUNTA(F$277:AI$277)/2,0.8,0.5)))</f>
        <v/>
      </c>
      <c r="E302" s="4">
        <f>IF(A302="","",SUMIFS('Логи'!$H$4:$H$3006,'Логи'!$A$4:$A$3006,A302,'Логи'!$C$4:$C$3006,5))</f>
        <v/>
      </c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  <c r="AG302" s="15" t="n"/>
      <c r="AH302" s="15" t="n"/>
      <c r="AI302" s="15" t="n"/>
    </row>
    <row r="303">
      <c r="A303" s="4" t="inlineStr">
        <is>
          <t>Студент3.26</t>
        </is>
      </c>
      <c r="B303" s="4" t="inlineStr"/>
      <c r="C303" s="4">
        <f>IF(A303="","",COUNTIF(F303:AI303,"+")+COUNTIF(F303:AI303,"1"))</f>
        <v/>
      </c>
      <c r="D303" s="4">
        <f>IF(A303="","",IF(C303&gt;2*COUNTA(F$277:AI$277)/3,1,IF(C303&gt;=COUNTA(F$277:AI$277)/2,0.8,0.5)))</f>
        <v/>
      </c>
      <c r="E303" s="4">
        <f>IF(A303="","",SUMIFS('Логи'!$H$4:$H$3006,'Логи'!$A$4:$A$3006,A303,'Логи'!$C$4:$C$3006,5))</f>
        <v/>
      </c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  <c r="AF303" s="15" t="n"/>
      <c r="AG303" s="15" t="n"/>
      <c r="AH303" s="15" t="n"/>
      <c r="AI303" s="15" t="n"/>
    </row>
    <row r="304">
      <c r="A304" s="4" t="inlineStr">
        <is>
          <t>Студент3.27</t>
        </is>
      </c>
      <c r="B304" s="4" t="inlineStr"/>
      <c r="C304" s="4">
        <f>IF(A304="","",COUNTIF(F304:AI304,"+")+COUNTIF(F304:AI304,"1"))</f>
        <v/>
      </c>
      <c r="D304" s="4">
        <f>IF(A304="","",IF(C304&gt;2*COUNTA(F$277:AI$277)/3,1,IF(C304&gt;=COUNTA(F$277:AI$277)/2,0.8,0.5)))</f>
        <v/>
      </c>
      <c r="E304" s="4">
        <f>IF(A304="","",SUMIFS('Логи'!$H$4:$H$3006,'Логи'!$A$4:$A$3006,A304,'Логи'!$C$4:$C$3006,5))</f>
        <v/>
      </c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  <c r="AF304" s="15" t="n"/>
      <c r="AG304" s="15" t="n"/>
      <c r="AH304" s="15" t="n"/>
      <c r="AI304" s="15" t="n"/>
    </row>
    <row r="305">
      <c r="A305" s="4" t="inlineStr">
        <is>
          <t>Студент3.28</t>
        </is>
      </c>
      <c r="B305" s="4" t="inlineStr"/>
      <c r="C305" s="4">
        <f>IF(A305="","",COUNTIF(F305:AI305,"+")+COUNTIF(F305:AI305,"1"))</f>
        <v/>
      </c>
      <c r="D305" s="4">
        <f>IF(A305="","",IF(C305&gt;2*COUNTA(F$277:AI$277)/3,1,IF(C305&gt;=COUNTA(F$277:AI$277)/2,0.8,0.5)))</f>
        <v/>
      </c>
      <c r="E305" s="4">
        <f>IF(A305="","",SUMIFS('Логи'!$H$4:$H$3006,'Логи'!$A$4:$A$3006,A305,'Логи'!$C$4:$C$3006,5))</f>
        <v/>
      </c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  <c r="AF305" s="15" t="n"/>
      <c r="AG305" s="15" t="n"/>
      <c r="AH305" s="15" t="n"/>
      <c r="AI305" s="15" t="n"/>
    </row>
    <row r="306">
      <c r="A306" s="4" t="inlineStr">
        <is>
          <t>Студент3.29</t>
        </is>
      </c>
      <c r="B306" s="4" t="inlineStr"/>
      <c r="C306" s="4">
        <f>IF(A306="","",COUNTIF(F306:AI306,"+")+COUNTIF(F306:AI306,"1"))</f>
        <v/>
      </c>
      <c r="D306" s="4">
        <f>IF(A306="","",IF(C306&gt;2*COUNTA(F$277:AI$277)/3,1,IF(C306&gt;=COUNTA(F$277:AI$277)/2,0.8,0.5)))</f>
        <v/>
      </c>
      <c r="E306" s="4">
        <f>IF(A306="","",SUMIFS('Логи'!$H$4:$H$3006,'Логи'!$A$4:$A$3006,A306,'Логи'!$C$4:$C$3006,5))</f>
        <v/>
      </c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  <c r="AF306" s="15" t="n"/>
      <c r="AG306" s="15" t="n"/>
      <c r="AH306" s="15" t="n"/>
      <c r="AI306" s="15" t="n"/>
    </row>
    <row r="307">
      <c r="A307" s="4" t="inlineStr">
        <is>
          <t>Студент3.30</t>
        </is>
      </c>
      <c r="B307" s="4" t="inlineStr"/>
      <c r="C307" s="4">
        <f>IF(A307="","",COUNTIF(F307:AI307,"+")+COUNTIF(F307:AI307,"1"))</f>
        <v/>
      </c>
      <c r="D307" s="4">
        <f>IF(A307="","",IF(C307&gt;2*COUNTA(F$277:AI$277)/3,1,IF(C307&gt;=COUNTA(F$277:AI$277)/2,0.8,0.5)))</f>
        <v/>
      </c>
      <c r="E307" s="4">
        <f>IF(A307="","",SUMIFS('Логи'!$H$4:$H$3006,'Логи'!$A$4:$A$3006,A307,'Логи'!$C$4:$C$3006,5))</f>
        <v/>
      </c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  <c r="AF307" s="15" t="n"/>
      <c r="AG307" s="15" t="n"/>
      <c r="AH307" s="15" t="n"/>
      <c r="AI307" s="15" t="n"/>
    </row>
    <row r="309">
      <c r="A309" s="16" t="inlineStr">
        <is>
          <t>Практика 5 — результаты рассказа</t>
        </is>
      </c>
    </row>
    <row r="310" ht="28" customHeight="1">
      <c r="A310" s="7" t="inlineStr">
        <is>
          <t>Имя</t>
        </is>
      </c>
      <c r="B310" s="9" t="inlineStr">
        <is>
          <t>TG</t>
        </is>
      </c>
      <c r="C310" s="10" t="inlineStr"/>
      <c r="D310" s="2" t="inlineStr"/>
      <c r="E310" s="2" t="inlineStr"/>
      <c r="F310" s="11" t="inlineStr">
        <is>
          <t>1.0</t>
        </is>
      </c>
      <c r="G310" s="11" t="inlineStr">
        <is>
          <t>2.0</t>
        </is>
      </c>
      <c r="H310" s="11" t="inlineStr">
        <is>
          <t>3.0</t>
        </is>
      </c>
      <c r="I310" s="11" t="inlineStr">
        <is>
          <t>4.0</t>
        </is>
      </c>
      <c r="J310" s="11" t="inlineStr">
        <is>
          <t>5.0</t>
        </is>
      </c>
      <c r="K310" s="11" t="inlineStr">
        <is>
          <t>6</t>
        </is>
      </c>
      <c r="L310" s="11" t="inlineStr">
        <is>
          <t>7</t>
        </is>
      </c>
      <c r="M310" s="11" t="inlineStr">
        <is>
          <t>8</t>
        </is>
      </c>
      <c r="N310" s="11" t="inlineStr">
        <is>
          <t>9</t>
        </is>
      </c>
      <c r="O310" s="11" t="inlineStr">
        <is>
          <t>10</t>
        </is>
      </c>
      <c r="P310" s="11" t="inlineStr">
        <is>
          <t>11</t>
        </is>
      </c>
      <c r="Q310" s="11" t="inlineStr">
        <is>
          <t>12</t>
        </is>
      </c>
      <c r="R310" s="11" t="inlineStr">
        <is>
          <t>13</t>
        </is>
      </c>
      <c r="S310" s="11" t="inlineStr">
        <is>
          <t>14</t>
        </is>
      </c>
      <c r="T310" s="11" t="inlineStr">
        <is>
          <t>15</t>
        </is>
      </c>
      <c r="U310" s="11" t="inlineStr">
        <is>
          <t>16</t>
        </is>
      </c>
      <c r="V310" s="11" t="inlineStr">
        <is>
          <t>17</t>
        </is>
      </c>
      <c r="W310" s="11" t="inlineStr">
        <is>
          <t>18</t>
        </is>
      </c>
      <c r="X310" s="11" t="inlineStr">
        <is>
          <t>19</t>
        </is>
      </c>
      <c r="Y310" s="11" t="inlineStr">
        <is>
          <t>20</t>
        </is>
      </c>
      <c r="Z310" s="11" t="inlineStr">
        <is>
          <t>21</t>
        </is>
      </c>
      <c r="AA310" s="11" t="inlineStr">
        <is>
          <t>22</t>
        </is>
      </c>
      <c r="AB310" s="11" t="inlineStr">
        <is>
          <t>23</t>
        </is>
      </c>
      <c r="AC310" s="11" t="inlineStr">
        <is>
          <t>24</t>
        </is>
      </c>
      <c r="AD310" s="11" t="inlineStr">
        <is>
          <t>25</t>
        </is>
      </c>
      <c r="AE310" s="11" t="inlineStr">
        <is>
          <t>26</t>
        </is>
      </c>
      <c r="AF310" s="11" t="inlineStr">
        <is>
          <t>27</t>
        </is>
      </c>
      <c r="AG310" s="11" t="inlineStr">
        <is>
          <t>28</t>
        </is>
      </c>
      <c r="AH310" s="11" t="inlineStr">
        <is>
          <t>29</t>
        </is>
      </c>
      <c r="AI310" s="11" t="inlineStr">
        <is>
          <t>30</t>
        </is>
      </c>
    </row>
    <row r="311">
      <c r="A311" s="4" t="inlineStr">
        <is>
          <t>Студент3.1</t>
        </is>
      </c>
      <c r="B311" s="4" t="inlineStr"/>
      <c r="C311" s="4" t="n"/>
      <c r="D311" s="4" t="n"/>
      <c r="E311" s="4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  <c r="AF311" s="15" t="n"/>
      <c r="AG311" s="15" t="n"/>
      <c r="AH311" s="15" t="n"/>
      <c r="AI311" s="15" t="n"/>
    </row>
    <row r="312">
      <c r="A312" s="4" t="inlineStr">
        <is>
          <t>Студент3.2</t>
        </is>
      </c>
      <c r="B312" s="4" t="inlineStr"/>
      <c r="C312" s="4" t="n"/>
      <c r="D312" s="4" t="n"/>
      <c r="E312" s="4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  <c r="AF312" s="15" t="n"/>
      <c r="AG312" s="15" t="n"/>
      <c r="AH312" s="15" t="n"/>
      <c r="AI312" s="15" t="n"/>
    </row>
    <row r="313">
      <c r="A313" s="4" t="inlineStr">
        <is>
          <t>Студент3.3</t>
        </is>
      </c>
      <c r="B313" s="4" t="inlineStr"/>
      <c r="C313" s="4" t="n"/>
      <c r="D313" s="4" t="n"/>
      <c r="E313" s="4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  <c r="AF313" s="15" t="n"/>
      <c r="AG313" s="15" t="n"/>
      <c r="AH313" s="15" t="n"/>
      <c r="AI313" s="15" t="n"/>
    </row>
    <row r="314">
      <c r="A314" s="4" t="inlineStr">
        <is>
          <t>Студент3.4</t>
        </is>
      </c>
      <c r="B314" s="4" t="inlineStr"/>
      <c r="C314" s="4" t="n"/>
      <c r="D314" s="4" t="n"/>
      <c r="E314" s="4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  <c r="AG314" s="15" t="n"/>
      <c r="AH314" s="15" t="n"/>
      <c r="AI314" s="15" t="n"/>
    </row>
    <row r="315">
      <c r="A315" s="4" t="inlineStr">
        <is>
          <t>Студент3.5</t>
        </is>
      </c>
      <c r="B315" s="4" t="inlineStr"/>
      <c r="C315" s="4" t="n"/>
      <c r="D315" s="4" t="n"/>
      <c r="E315" s="4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  <c r="AG315" s="15" t="n"/>
      <c r="AH315" s="15" t="n"/>
      <c r="AI315" s="15" t="n"/>
    </row>
    <row r="316">
      <c r="A316" s="4" t="inlineStr">
        <is>
          <t>Студент3.6</t>
        </is>
      </c>
      <c r="B316" s="4" t="inlineStr"/>
      <c r="C316" s="4" t="n"/>
      <c r="D316" s="4" t="n"/>
      <c r="E316" s="4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5" t="n"/>
    </row>
    <row r="317">
      <c r="A317" s="4" t="inlineStr">
        <is>
          <t>Студент3.7</t>
        </is>
      </c>
      <c r="B317" s="4" t="inlineStr"/>
      <c r="C317" s="4" t="n"/>
      <c r="D317" s="4" t="n"/>
      <c r="E317" s="4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  <c r="AG317" s="15" t="n"/>
      <c r="AH317" s="15" t="n"/>
      <c r="AI317" s="15" t="n"/>
    </row>
    <row r="318">
      <c r="A318" s="4" t="inlineStr">
        <is>
          <t>Студент3.8</t>
        </is>
      </c>
      <c r="B318" s="4" t="inlineStr"/>
      <c r="C318" s="4" t="n"/>
      <c r="D318" s="4" t="n"/>
      <c r="E318" s="4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  <c r="AF318" s="15" t="n"/>
      <c r="AG318" s="15" t="n"/>
      <c r="AH318" s="15" t="n"/>
      <c r="AI318" s="15" t="n"/>
    </row>
    <row r="319">
      <c r="A319" s="4" t="inlineStr">
        <is>
          <t>Студент3.9</t>
        </is>
      </c>
      <c r="B319" s="4" t="inlineStr"/>
      <c r="C319" s="4" t="n"/>
      <c r="D319" s="4" t="n"/>
      <c r="E319" s="4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  <c r="AF319" s="15" t="n"/>
      <c r="AG319" s="15" t="n"/>
      <c r="AH319" s="15" t="n"/>
      <c r="AI319" s="15" t="n"/>
    </row>
    <row r="320">
      <c r="A320" s="4" t="inlineStr">
        <is>
          <t>Студент3.10</t>
        </is>
      </c>
      <c r="B320" s="4" t="inlineStr"/>
      <c r="C320" s="4" t="n"/>
      <c r="D320" s="4" t="n"/>
      <c r="E320" s="4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  <c r="AF320" s="15" t="n"/>
      <c r="AG320" s="15" t="n"/>
      <c r="AH320" s="15" t="n"/>
      <c r="AI320" s="15" t="n"/>
    </row>
    <row r="321">
      <c r="A321" s="4" t="inlineStr">
        <is>
          <t>Студент3.11</t>
        </is>
      </c>
      <c r="B321" s="4" t="inlineStr"/>
      <c r="C321" s="4" t="n"/>
      <c r="D321" s="4" t="n"/>
      <c r="E321" s="4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  <c r="AF321" s="15" t="n"/>
      <c r="AG321" s="15" t="n"/>
      <c r="AH321" s="15" t="n"/>
      <c r="AI321" s="15" t="n"/>
    </row>
    <row r="322">
      <c r="A322" s="4" t="inlineStr">
        <is>
          <t>Студент3.12</t>
        </is>
      </c>
      <c r="B322" s="4" t="inlineStr"/>
      <c r="C322" s="4" t="n"/>
      <c r="D322" s="4" t="n"/>
      <c r="E322" s="4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  <c r="AF322" s="15" t="n"/>
      <c r="AG322" s="15" t="n"/>
      <c r="AH322" s="15" t="n"/>
      <c r="AI322" s="15" t="n"/>
    </row>
    <row r="323">
      <c r="A323" s="4" t="inlineStr">
        <is>
          <t>Студент3.13</t>
        </is>
      </c>
      <c r="B323" s="4" t="inlineStr"/>
      <c r="C323" s="4" t="n"/>
      <c r="D323" s="4" t="n"/>
      <c r="E323" s="4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  <c r="AF323" s="15" t="n"/>
      <c r="AG323" s="15" t="n"/>
      <c r="AH323" s="15" t="n"/>
      <c r="AI323" s="15" t="n"/>
    </row>
    <row r="324">
      <c r="A324" s="4" t="inlineStr">
        <is>
          <t>Студент3.14</t>
        </is>
      </c>
      <c r="B324" s="4" t="inlineStr"/>
      <c r="C324" s="4" t="n"/>
      <c r="D324" s="4" t="n"/>
      <c r="E324" s="4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  <c r="AF324" s="15" t="n"/>
      <c r="AG324" s="15" t="n"/>
      <c r="AH324" s="15" t="n"/>
      <c r="AI324" s="15" t="n"/>
    </row>
    <row r="325">
      <c r="A325" s="4" t="inlineStr">
        <is>
          <t>Студент3.15</t>
        </is>
      </c>
      <c r="B325" s="4" t="inlineStr"/>
      <c r="C325" s="4" t="n"/>
      <c r="D325" s="4" t="n"/>
      <c r="E325" s="4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  <c r="AF325" s="15" t="n"/>
      <c r="AG325" s="15" t="n"/>
      <c r="AH325" s="15" t="n"/>
      <c r="AI325" s="15" t="n"/>
    </row>
    <row r="326">
      <c r="A326" s="4" t="inlineStr">
        <is>
          <t>Студент3.16</t>
        </is>
      </c>
      <c r="B326" s="4" t="inlineStr"/>
      <c r="C326" s="4" t="n"/>
      <c r="D326" s="4" t="n"/>
      <c r="E326" s="4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  <c r="AF326" s="15" t="n"/>
      <c r="AG326" s="15" t="n"/>
      <c r="AH326" s="15" t="n"/>
      <c r="AI326" s="15" t="n"/>
    </row>
    <row r="327">
      <c r="A327" s="4" t="inlineStr">
        <is>
          <t>Студент3.17</t>
        </is>
      </c>
      <c r="B327" s="4" t="inlineStr"/>
      <c r="C327" s="4" t="n"/>
      <c r="D327" s="4" t="n"/>
      <c r="E327" s="4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  <c r="AG327" s="15" t="n"/>
      <c r="AH327" s="15" t="n"/>
      <c r="AI327" s="15" t="n"/>
    </row>
    <row r="328">
      <c r="A328" s="4" t="inlineStr">
        <is>
          <t>Студент3.18</t>
        </is>
      </c>
      <c r="B328" s="4" t="inlineStr"/>
      <c r="C328" s="4" t="n"/>
      <c r="D328" s="4" t="n"/>
      <c r="E328" s="4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  <c r="AG328" s="15" t="n"/>
      <c r="AH328" s="15" t="n"/>
      <c r="AI328" s="15" t="n"/>
    </row>
    <row r="329">
      <c r="A329" s="4" t="inlineStr">
        <is>
          <t>Студент3.19</t>
        </is>
      </c>
      <c r="B329" s="4" t="inlineStr"/>
      <c r="C329" s="4" t="n"/>
      <c r="D329" s="4" t="n"/>
      <c r="E329" s="4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  <c r="AF329" s="15" t="n"/>
      <c r="AG329" s="15" t="n"/>
      <c r="AH329" s="15" t="n"/>
      <c r="AI329" s="15" t="n"/>
    </row>
    <row r="330">
      <c r="A330" s="4" t="inlineStr">
        <is>
          <t>Студент3.20</t>
        </is>
      </c>
      <c r="B330" s="4" t="inlineStr"/>
      <c r="C330" s="4" t="n"/>
      <c r="D330" s="4" t="n"/>
      <c r="E330" s="4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  <c r="AG330" s="15" t="n"/>
      <c r="AH330" s="15" t="n"/>
      <c r="AI330" s="15" t="n"/>
    </row>
    <row r="331">
      <c r="A331" s="4" t="inlineStr">
        <is>
          <t>Студент3.21</t>
        </is>
      </c>
      <c r="B331" s="4" t="inlineStr"/>
      <c r="C331" s="4" t="n"/>
      <c r="D331" s="4" t="n"/>
      <c r="E331" s="4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  <c r="AG331" s="15" t="n"/>
      <c r="AH331" s="15" t="n"/>
      <c r="AI331" s="15" t="n"/>
    </row>
    <row r="332">
      <c r="A332" s="4" t="inlineStr">
        <is>
          <t>Студент3.22</t>
        </is>
      </c>
      <c r="B332" s="4" t="inlineStr"/>
      <c r="C332" s="4" t="n"/>
      <c r="D332" s="4" t="n"/>
      <c r="E332" s="4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  <c r="AF332" s="15" t="n"/>
      <c r="AG332" s="15" t="n"/>
      <c r="AH332" s="15" t="n"/>
      <c r="AI332" s="15" t="n"/>
    </row>
    <row r="333">
      <c r="A333" s="4" t="inlineStr">
        <is>
          <t>Студент3.23</t>
        </is>
      </c>
      <c r="B333" s="4" t="inlineStr"/>
      <c r="C333" s="4" t="n"/>
      <c r="D333" s="4" t="n"/>
      <c r="E333" s="4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  <c r="AG333" s="15" t="n"/>
      <c r="AH333" s="15" t="n"/>
      <c r="AI333" s="15" t="n"/>
    </row>
    <row r="334">
      <c r="A334" s="4" t="inlineStr">
        <is>
          <t>Студент3.24</t>
        </is>
      </c>
      <c r="B334" s="4" t="inlineStr"/>
      <c r="C334" s="4" t="n"/>
      <c r="D334" s="4" t="n"/>
      <c r="E334" s="4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  <c r="AG334" s="15" t="n"/>
      <c r="AH334" s="15" t="n"/>
      <c r="AI334" s="15" t="n"/>
    </row>
    <row r="335">
      <c r="A335" s="4" t="inlineStr">
        <is>
          <t>Студент3.25</t>
        </is>
      </c>
      <c r="B335" s="4" t="inlineStr"/>
      <c r="C335" s="4" t="n"/>
      <c r="D335" s="4" t="n"/>
      <c r="E335" s="4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  <c r="AG335" s="15" t="n"/>
      <c r="AH335" s="15" t="n"/>
      <c r="AI335" s="15" t="n"/>
    </row>
    <row r="336">
      <c r="A336" s="4" t="inlineStr">
        <is>
          <t>Студент3.26</t>
        </is>
      </c>
      <c r="B336" s="4" t="inlineStr"/>
      <c r="C336" s="4" t="n"/>
      <c r="D336" s="4" t="n"/>
      <c r="E336" s="4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  <c r="AG336" s="15" t="n"/>
      <c r="AH336" s="15" t="n"/>
      <c r="AI336" s="15" t="n"/>
    </row>
    <row r="337">
      <c r="A337" s="4" t="inlineStr">
        <is>
          <t>Студент3.27</t>
        </is>
      </c>
      <c r="B337" s="4" t="inlineStr"/>
      <c r="C337" s="4" t="n"/>
      <c r="D337" s="4" t="n"/>
      <c r="E337" s="4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  <c r="AG337" s="15" t="n"/>
      <c r="AH337" s="15" t="n"/>
      <c r="AI337" s="15" t="n"/>
    </row>
    <row r="338">
      <c r="A338" s="4" t="inlineStr">
        <is>
          <t>Студент3.28</t>
        </is>
      </c>
      <c r="B338" s="4" t="inlineStr"/>
      <c r="C338" s="4" t="n"/>
      <c r="D338" s="4" t="n"/>
      <c r="E338" s="4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  <c r="AG338" s="15" t="n"/>
      <c r="AH338" s="15" t="n"/>
      <c r="AI338" s="15" t="n"/>
    </row>
    <row r="339">
      <c r="A339" s="4" t="inlineStr">
        <is>
          <t>Студент3.29</t>
        </is>
      </c>
      <c r="B339" s="4" t="inlineStr"/>
      <c r="C339" s="4" t="n"/>
      <c r="D339" s="4" t="n"/>
      <c r="E339" s="4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  <c r="AF339" s="15" t="n"/>
      <c r="AG339" s="15" t="n"/>
      <c r="AH339" s="15" t="n"/>
      <c r="AI339" s="15" t="n"/>
    </row>
    <row r="340">
      <c r="A340" s="4" t="inlineStr">
        <is>
          <t>Студент3.30</t>
        </is>
      </c>
      <c r="B340" s="4" t="inlineStr"/>
      <c r="C340" s="4" t="n"/>
      <c r="D340" s="4" t="n"/>
      <c r="E340" s="4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  <c r="AF340" s="15" t="n"/>
      <c r="AG340" s="15" t="n"/>
      <c r="AH340" s="15" t="n"/>
      <c r="AI340" s="15" t="n"/>
    </row>
    <row r="344">
      <c r="A344" s="13" t="inlineStr">
        <is>
          <t>Практика 6 — плюсы</t>
        </is>
      </c>
    </row>
    <row r="345" ht="28" customHeight="1">
      <c r="A345" s="7" t="inlineStr">
        <is>
          <t>Имя</t>
        </is>
      </c>
      <c r="B345" s="9" t="inlineStr">
        <is>
          <t>TG</t>
        </is>
      </c>
      <c r="C345" s="10" t="inlineStr">
        <is>
          <t>S</t>
        </is>
      </c>
      <c r="D345" s="8" t="inlineStr">
        <is>
          <t>Коэффициент</t>
        </is>
      </c>
      <c r="E345" s="14" t="inlineStr">
        <is>
          <t>D за практику</t>
        </is>
      </c>
      <c r="F345" s="11" t="inlineStr">
        <is>
          <t>1.0</t>
        </is>
      </c>
      <c r="G345" s="11" t="inlineStr">
        <is>
          <t>2.0</t>
        </is>
      </c>
      <c r="H345" s="11" t="inlineStr">
        <is>
          <t>3.0</t>
        </is>
      </c>
      <c r="I345" s="11" t="inlineStr">
        <is>
          <t>4.0</t>
        </is>
      </c>
      <c r="J345" s="11" t="inlineStr">
        <is>
          <t>5.0</t>
        </is>
      </c>
      <c r="K345" s="11" t="inlineStr">
        <is>
          <t>6</t>
        </is>
      </c>
      <c r="L345" s="11" t="inlineStr">
        <is>
          <t>7</t>
        </is>
      </c>
      <c r="M345" s="11" t="inlineStr">
        <is>
          <t>8</t>
        </is>
      </c>
      <c r="N345" s="11" t="inlineStr">
        <is>
          <t>9</t>
        </is>
      </c>
      <c r="O345" s="11" t="inlineStr">
        <is>
          <t>10</t>
        </is>
      </c>
      <c r="P345" s="11" t="inlineStr">
        <is>
          <t>11</t>
        </is>
      </c>
      <c r="Q345" s="11" t="inlineStr">
        <is>
          <t>12</t>
        </is>
      </c>
      <c r="R345" s="11" t="inlineStr">
        <is>
          <t>13</t>
        </is>
      </c>
      <c r="S345" s="11" t="inlineStr">
        <is>
          <t>14</t>
        </is>
      </c>
      <c r="T345" s="11" t="inlineStr">
        <is>
          <t>15</t>
        </is>
      </c>
      <c r="U345" s="11" t="inlineStr">
        <is>
          <t>16</t>
        </is>
      </c>
      <c r="V345" s="11" t="inlineStr">
        <is>
          <t>17</t>
        </is>
      </c>
      <c r="W345" s="11" t="inlineStr">
        <is>
          <t>18</t>
        </is>
      </c>
      <c r="X345" s="11" t="inlineStr">
        <is>
          <t>19</t>
        </is>
      </c>
      <c r="Y345" s="11" t="inlineStr">
        <is>
          <t>20</t>
        </is>
      </c>
      <c r="Z345" s="11" t="inlineStr">
        <is>
          <t>21</t>
        </is>
      </c>
      <c r="AA345" s="11" t="inlineStr">
        <is>
          <t>22</t>
        </is>
      </c>
      <c r="AB345" s="11" t="inlineStr">
        <is>
          <t>23</t>
        </is>
      </c>
      <c r="AC345" s="11" t="inlineStr">
        <is>
          <t>24</t>
        </is>
      </c>
      <c r="AD345" s="11" t="inlineStr">
        <is>
          <t>25</t>
        </is>
      </c>
      <c r="AE345" s="11" t="inlineStr">
        <is>
          <t>26</t>
        </is>
      </c>
      <c r="AF345" s="11" t="inlineStr">
        <is>
          <t>27</t>
        </is>
      </c>
      <c r="AG345" s="11" t="inlineStr">
        <is>
          <t>28</t>
        </is>
      </c>
      <c r="AH345" s="11" t="inlineStr">
        <is>
          <t>29</t>
        </is>
      </c>
      <c r="AI345" s="11" t="inlineStr">
        <is>
          <t>30</t>
        </is>
      </c>
    </row>
    <row r="346">
      <c r="A346" s="4" t="inlineStr">
        <is>
          <t>Студент3.1</t>
        </is>
      </c>
      <c r="B346" s="4" t="inlineStr"/>
      <c r="C346" s="4">
        <f>IF(A346="","",COUNTIF(F346:AI346,"+")+COUNTIF(F346:AI346,"1"))</f>
        <v/>
      </c>
      <c r="D346" s="4">
        <f>IF(A346="","",IF(C346&gt;2*COUNTA(F$345:AI$345)/3,1,IF(C346&gt;=COUNTA(F$345:AI$345)/2,0.8,0.5)))</f>
        <v/>
      </c>
      <c r="E346" s="4">
        <f>IF(A346="","",SUMIFS('Логи'!$H$4:$H$3006,'Логи'!$A$4:$A$3006,A346,'Логи'!$C$4:$C$3006,6))</f>
        <v/>
      </c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  <c r="AF346" s="15" t="n"/>
      <c r="AG346" s="15" t="n"/>
      <c r="AH346" s="15" t="n"/>
      <c r="AI346" s="15" t="n"/>
    </row>
    <row r="347">
      <c r="A347" s="4" t="inlineStr">
        <is>
          <t>Студент3.2</t>
        </is>
      </c>
      <c r="B347" s="4" t="inlineStr"/>
      <c r="C347" s="4">
        <f>IF(A347="","",COUNTIF(F347:AI347,"+")+COUNTIF(F347:AI347,"1"))</f>
        <v/>
      </c>
      <c r="D347" s="4">
        <f>IF(A347="","",IF(C347&gt;2*COUNTA(F$345:AI$345)/3,1,IF(C347&gt;=COUNTA(F$345:AI$345)/2,0.8,0.5)))</f>
        <v/>
      </c>
      <c r="E347" s="4">
        <f>IF(A347="","",SUMIFS('Логи'!$H$4:$H$3006,'Логи'!$A$4:$A$3006,A347,'Логи'!$C$4:$C$3006,6))</f>
        <v/>
      </c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  <c r="AF347" s="15" t="n"/>
      <c r="AG347" s="15" t="n"/>
      <c r="AH347" s="15" t="n"/>
      <c r="AI347" s="15" t="n"/>
    </row>
    <row r="348">
      <c r="A348" s="4" t="inlineStr">
        <is>
          <t>Студент3.3</t>
        </is>
      </c>
      <c r="B348" s="4" t="inlineStr"/>
      <c r="C348" s="4">
        <f>IF(A348="","",COUNTIF(F348:AI348,"+")+COUNTIF(F348:AI348,"1"))</f>
        <v/>
      </c>
      <c r="D348" s="4">
        <f>IF(A348="","",IF(C348&gt;2*COUNTA(F$345:AI$345)/3,1,IF(C348&gt;=COUNTA(F$345:AI$345)/2,0.8,0.5)))</f>
        <v/>
      </c>
      <c r="E348" s="4">
        <f>IF(A348="","",SUMIFS('Логи'!$H$4:$H$3006,'Логи'!$A$4:$A$3006,A348,'Логи'!$C$4:$C$3006,6))</f>
        <v/>
      </c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  <c r="AF348" s="15" t="n"/>
      <c r="AG348" s="15" t="n"/>
      <c r="AH348" s="15" t="n"/>
      <c r="AI348" s="15" t="n"/>
    </row>
    <row r="349">
      <c r="A349" s="4" t="inlineStr">
        <is>
          <t>Студент3.4</t>
        </is>
      </c>
      <c r="B349" s="4" t="inlineStr"/>
      <c r="C349" s="4">
        <f>IF(A349="","",COUNTIF(F349:AI349,"+")+COUNTIF(F349:AI349,"1"))</f>
        <v/>
      </c>
      <c r="D349" s="4">
        <f>IF(A349="","",IF(C349&gt;2*COUNTA(F$345:AI$345)/3,1,IF(C349&gt;=COUNTA(F$345:AI$345)/2,0.8,0.5)))</f>
        <v/>
      </c>
      <c r="E349" s="4">
        <f>IF(A349="","",SUMIFS('Логи'!$H$4:$H$3006,'Логи'!$A$4:$A$3006,A349,'Логи'!$C$4:$C$3006,6))</f>
        <v/>
      </c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  <c r="AF349" s="15" t="n"/>
      <c r="AG349" s="15" t="n"/>
      <c r="AH349" s="15" t="n"/>
      <c r="AI349" s="15" t="n"/>
    </row>
    <row r="350">
      <c r="A350" s="4" t="inlineStr">
        <is>
          <t>Студент3.5</t>
        </is>
      </c>
      <c r="B350" s="4" t="inlineStr"/>
      <c r="C350" s="4">
        <f>IF(A350="","",COUNTIF(F350:AI350,"+")+COUNTIF(F350:AI350,"1"))</f>
        <v/>
      </c>
      <c r="D350" s="4">
        <f>IF(A350="","",IF(C350&gt;2*COUNTA(F$345:AI$345)/3,1,IF(C350&gt;=COUNTA(F$345:AI$345)/2,0.8,0.5)))</f>
        <v/>
      </c>
      <c r="E350" s="4">
        <f>IF(A350="","",SUMIFS('Логи'!$H$4:$H$3006,'Логи'!$A$4:$A$3006,A350,'Логи'!$C$4:$C$3006,6))</f>
        <v/>
      </c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  <c r="AF350" s="15" t="n"/>
      <c r="AG350" s="15" t="n"/>
      <c r="AH350" s="15" t="n"/>
      <c r="AI350" s="15" t="n"/>
    </row>
    <row r="351">
      <c r="A351" s="4" t="inlineStr">
        <is>
          <t>Студент3.6</t>
        </is>
      </c>
      <c r="B351" s="4" t="inlineStr"/>
      <c r="C351" s="4">
        <f>IF(A351="","",COUNTIF(F351:AI351,"+")+COUNTIF(F351:AI351,"1"))</f>
        <v/>
      </c>
      <c r="D351" s="4">
        <f>IF(A351="","",IF(C351&gt;2*COUNTA(F$345:AI$345)/3,1,IF(C351&gt;=COUNTA(F$345:AI$345)/2,0.8,0.5)))</f>
        <v/>
      </c>
      <c r="E351" s="4">
        <f>IF(A351="","",SUMIFS('Логи'!$H$4:$H$3006,'Логи'!$A$4:$A$3006,A351,'Логи'!$C$4:$C$3006,6))</f>
        <v/>
      </c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  <c r="AF351" s="15" t="n"/>
      <c r="AG351" s="15" t="n"/>
      <c r="AH351" s="15" t="n"/>
      <c r="AI351" s="15" t="n"/>
    </row>
    <row r="352">
      <c r="A352" s="4" t="inlineStr">
        <is>
          <t>Студент3.7</t>
        </is>
      </c>
      <c r="B352" s="4" t="inlineStr"/>
      <c r="C352" s="4">
        <f>IF(A352="","",COUNTIF(F352:AI352,"+")+COUNTIF(F352:AI352,"1"))</f>
        <v/>
      </c>
      <c r="D352" s="4">
        <f>IF(A352="","",IF(C352&gt;2*COUNTA(F$345:AI$345)/3,1,IF(C352&gt;=COUNTA(F$345:AI$345)/2,0.8,0.5)))</f>
        <v/>
      </c>
      <c r="E352" s="4">
        <f>IF(A352="","",SUMIFS('Логи'!$H$4:$H$3006,'Логи'!$A$4:$A$3006,A352,'Логи'!$C$4:$C$3006,6))</f>
        <v/>
      </c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  <c r="AF352" s="15" t="n"/>
      <c r="AG352" s="15" t="n"/>
      <c r="AH352" s="15" t="n"/>
      <c r="AI352" s="15" t="n"/>
    </row>
    <row r="353">
      <c r="A353" s="4" t="inlineStr">
        <is>
          <t>Студент3.8</t>
        </is>
      </c>
      <c r="B353" s="4" t="inlineStr"/>
      <c r="C353" s="4">
        <f>IF(A353="","",COUNTIF(F353:AI353,"+")+COUNTIF(F353:AI353,"1"))</f>
        <v/>
      </c>
      <c r="D353" s="4">
        <f>IF(A353="","",IF(C353&gt;2*COUNTA(F$345:AI$345)/3,1,IF(C353&gt;=COUNTA(F$345:AI$345)/2,0.8,0.5)))</f>
        <v/>
      </c>
      <c r="E353" s="4">
        <f>IF(A353="","",SUMIFS('Логи'!$H$4:$H$3006,'Логи'!$A$4:$A$3006,A353,'Логи'!$C$4:$C$3006,6))</f>
        <v/>
      </c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  <c r="AF353" s="15" t="n"/>
      <c r="AG353" s="15" t="n"/>
      <c r="AH353" s="15" t="n"/>
      <c r="AI353" s="15" t="n"/>
    </row>
    <row r="354">
      <c r="A354" s="4" t="inlineStr">
        <is>
          <t>Студент3.9</t>
        </is>
      </c>
      <c r="B354" s="4" t="inlineStr"/>
      <c r="C354" s="4">
        <f>IF(A354="","",COUNTIF(F354:AI354,"+")+COUNTIF(F354:AI354,"1"))</f>
        <v/>
      </c>
      <c r="D354" s="4">
        <f>IF(A354="","",IF(C354&gt;2*COUNTA(F$345:AI$345)/3,1,IF(C354&gt;=COUNTA(F$345:AI$345)/2,0.8,0.5)))</f>
        <v/>
      </c>
      <c r="E354" s="4">
        <f>IF(A354="","",SUMIFS('Логи'!$H$4:$H$3006,'Логи'!$A$4:$A$3006,A354,'Логи'!$C$4:$C$3006,6))</f>
        <v/>
      </c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  <c r="AG354" s="15" t="n"/>
      <c r="AH354" s="15" t="n"/>
      <c r="AI354" s="15" t="n"/>
    </row>
    <row r="355">
      <c r="A355" s="4" t="inlineStr">
        <is>
          <t>Студент3.10</t>
        </is>
      </c>
      <c r="B355" s="4" t="inlineStr"/>
      <c r="C355" s="4">
        <f>IF(A355="","",COUNTIF(F355:AI355,"+")+COUNTIF(F355:AI355,"1"))</f>
        <v/>
      </c>
      <c r="D355" s="4">
        <f>IF(A355="","",IF(C355&gt;2*COUNTA(F$345:AI$345)/3,1,IF(C355&gt;=COUNTA(F$345:AI$345)/2,0.8,0.5)))</f>
        <v/>
      </c>
      <c r="E355" s="4">
        <f>IF(A355="","",SUMIFS('Логи'!$H$4:$H$3006,'Логи'!$A$4:$A$3006,A355,'Логи'!$C$4:$C$3006,6))</f>
        <v/>
      </c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  <c r="AG355" s="15" t="n"/>
      <c r="AH355" s="15" t="n"/>
      <c r="AI355" s="15" t="n"/>
    </row>
    <row r="356">
      <c r="A356" s="4" t="inlineStr">
        <is>
          <t>Студент3.11</t>
        </is>
      </c>
      <c r="B356" s="4" t="inlineStr"/>
      <c r="C356" s="4">
        <f>IF(A356="","",COUNTIF(F356:AI356,"+")+COUNTIF(F356:AI356,"1"))</f>
        <v/>
      </c>
      <c r="D356" s="4">
        <f>IF(A356="","",IF(C356&gt;2*COUNTA(F$345:AI$345)/3,1,IF(C356&gt;=COUNTA(F$345:AI$345)/2,0.8,0.5)))</f>
        <v/>
      </c>
      <c r="E356" s="4">
        <f>IF(A356="","",SUMIFS('Логи'!$H$4:$H$3006,'Логи'!$A$4:$A$3006,A356,'Логи'!$C$4:$C$3006,6))</f>
        <v/>
      </c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</row>
    <row r="357">
      <c r="A357" s="4" t="inlineStr">
        <is>
          <t>Студент3.12</t>
        </is>
      </c>
      <c r="B357" s="4" t="inlineStr"/>
      <c r="C357" s="4">
        <f>IF(A357="","",COUNTIF(F357:AI357,"+")+COUNTIF(F357:AI357,"1"))</f>
        <v/>
      </c>
      <c r="D357" s="4">
        <f>IF(A357="","",IF(C357&gt;2*COUNTA(F$345:AI$345)/3,1,IF(C357&gt;=COUNTA(F$345:AI$345)/2,0.8,0.5)))</f>
        <v/>
      </c>
      <c r="E357" s="4">
        <f>IF(A357="","",SUMIFS('Логи'!$H$4:$H$3006,'Логи'!$A$4:$A$3006,A357,'Логи'!$C$4:$C$3006,6))</f>
        <v/>
      </c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  <c r="AG357" s="15" t="n"/>
      <c r="AH357" s="15" t="n"/>
      <c r="AI357" s="15" t="n"/>
    </row>
    <row r="358">
      <c r="A358" s="4" t="inlineStr">
        <is>
          <t>Студент3.13</t>
        </is>
      </c>
      <c r="B358" s="4" t="inlineStr"/>
      <c r="C358" s="4">
        <f>IF(A358="","",COUNTIF(F358:AI358,"+")+COUNTIF(F358:AI358,"1"))</f>
        <v/>
      </c>
      <c r="D358" s="4">
        <f>IF(A358="","",IF(C358&gt;2*COUNTA(F$345:AI$345)/3,1,IF(C358&gt;=COUNTA(F$345:AI$345)/2,0.8,0.5)))</f>
        <v/>
      </c>
      <c r="E358" s="4">
        <f>IF(A358="","",SUMIFS('Логи'!$H$4:$H$3006,'Логи'!$A$4:$A$3006,A358,'Логи'!$C$4:$C$3006,6))</f>
        <v/>
      </c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5" t="n"/>
    </row>
    <row r="359">
      <c r="A359" s="4" t="inlineStr">
        <is>
          <t>Студент3.14</t>
        </is>
      </c>
      <c r="B359" s="4" t="inlineStr"/>
      <c r="C359" s="4">
        <f>IF(A359="","",COUNTIF(F359:AI359,"+")+COUNTIF(F359:AI359,"1"))</f>
        <v/>
      </c>
      <c r="D359" s="4">
        <f>IF(A359="","",IF(C359&gt;2*COUNTA(F$345:AI$345)/3,1,IF(C359&gt;=COUNTA(F$345:AI$345)/2,0.8,0.5)))</f>
        <v/>
      </c>
      <c r="E359" s="4">
        <f>IF(A359="","",SUMIFS('Логи'!$H$4:$H$3006,'Логи'!$A$4:$A$3006,A359,'Логи'!$C$4:$C$3006,6))</f>
        <v/>
      </c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  <c r="AF359" s="15" t="n"/>
      <c r="AG359" s="15" t="n"/>
      <c r="AH359" s="15" t="n"/>
      <c r="AI359" s="15" t="n"/>
    </row>
    <row r="360">
      <c r="A360" s="4" t="inlineStr">
        <is>
          <t>Студент3.15</t>
        </is>
      </c>
      <c r="B360" s="4" t="inlineStr"/>
      <c r="C360" s="4">
        <f>IF(A360="","",COUNTIF(F360:AI360,"+")+COUNTIF(F360:AI360,"1"))</f>
        <v/>
      </c>
      <c r="D360" s="4">
        <f>IF(A360="","",IF(C360&gt;2*COUNTA(F$345:AI$345)/3,1,IF(C360&gt;=COUNTA(F$345:AI$345)/2,0.8,0.5)))</f>
        <v/>
      </c>
      <c r="E360" s="4">
        <f>IF(A360="","",SUMIFS('Логи'!$H$4:$H$3006,'Логи'!$A$4:$A$3006,A360,'Логи'!$C$4:$C$3006,6))</f>
        <v/>
      </c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  <c r="AF360" s="15" t="n"/>
      <c r="AG360" s="15" t="n"/>
      <c r="AH360" s="15" t="n"/>
      <c r="AI360" s="15" t="n"/>
    </row>
    <row r="361">
      <c r="A361" s="4" t="inlineStr">
        <is>
          <t>Студент3.16</t>
        </is>
      </c>
      <c r="B361" s="4" t="inlineStr"/>
      <c r="C361" s="4">
        <f>IF(A361="","",COUNTIF(F361:AI361,"+")+COUNTIF(F361:AI361,"1"))</f>
        <v/>
      </c>
      <c r="D361" s="4">
        <f>IF(A361="","",IF(C361&gt;2*COUNTA(F$345:AI$345)/3,1,IF(C361&gt;=COUNTA(F$345:AI$345)/2,0.8,0.5)))</f>
        <v/>
      </c>
      <c r="E361" s="4">
        <f>IF(A361="","",SUMIFS('Логи'!$H$4:$H$3006,'Логи'!$A$4:$A$3006,A361,'Логи'!$C$4:$C$3006,6))</f>
        <v/>
      </c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  <c r="AG361" s="15" t="n"/>
      <c r="AH361" s="15" t="n"/>
      <c r="AI361" s="15" t="n"/>
    </row>
    <row r="362">
      <c r="A362" s="4" t="inlineStr">
        <is>
          <t>Студент3.17</t>
        </is>
      </c>
      <c r="B362" s="4" t="inlineStr"/>
      <c r="C362" s="4">
        <f>IF(A362="","",COUNTIF(F362:AI362,"+")+COUNTIF(F362:AI362,"1"))</f>
        <v/>
      </c>
      <c r="D362" s="4">
        <f>IF(A362="","",IF(C362&gt;2*COUNTA(F$345:AI$345)/3,1,IF(C362&gt;=COUNTA(F$345:AI$345)/2,0.8,0.5)))</f>
        <v/>
      </c>
      <c r="E362" s="4">
        <f>IF(A362="","",SUMIFS('Логи'!$H$4:$H$3006,'Логи'!$A$4:$A$3006,A362,'Логи'!$C$4:$C$3006,6))</f>
        <v/>
      </c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  <c r="AG362" s="15" t="n"/>
      <c r="AH362" s="15" t="n"/>
      <c r="AI362" s="15" t="n"/>
    </row>
    <row r="363">
      <c r="A363" s="4" t="inlineStr">
        <is>
          <t>Студент3.18</t>
        </is>
      </c>
      <c r="B363" s="4" t="inlineStr"/>
      <c r="C363" s="4">
        <f>IF(A363="","",COUNTIF(F363:AI363,"+")+COUNTIF(F363:AI363,"1"))</f>
        <v/>
      </c>
      <c r="D363" s="4">
        <f>IF(A363="","",IF(C363&gt;2*COUNTA(F$345:AI$345)/3,1,IF(C363&gt;=COUNTA(F$345:AI$345)/2,0.8,0.5)))</f>
        <v/>
      </c>
      <c r="E363" s="4">
        <f>IF(A363="","",SUMIFS('Логи'!$H$4:$H$3006,'Логи'!$A$4:$A$3006,A363,'Логи'!$C$4:$C$3006,6))</f>
        <v/>
      </c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  <c r="AG363" s="15" t="n"/>
      <c r="AH363" s="15" t="n"/>
      <c r="AI363" s="15" t="n"/>
    </row>
    <row r="364">
      <c r="A364" s="4" t="inlineStr">
        <is>
          <t>Студент3.19</t>
        </is>
      </c>
      <c r="B364" s="4" t="inlineStr"/>
      <c r="C364" s="4">
        <f>IF(A364="","",COUNTIF(F364:AI364,"+")+COUNTIF(F364:AI364,"1"))</f>
        <v/>
      </c>
      <c r="D364" s="4">
        <f>IF(A364="","",IF(C364&gt;2*COUNTA(F$345:AI$345)/3,1,IF(C364&gt;=COUNTA(F$345:AI$345)/2,0.8,0.5)))</f>
        <v/>
      </c>
      <c r="E364" s="4">
        <f>IF(A364="","",SUMIFS('Логи'!$H$4:$H$3006,'Логи'!$A$4:$A$3006,A364,'Логи'!$C$4:$C$3006,6))</f>
        <v/>
      </c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  <c r="AG364" s="15" t="n"/>
      <c r="AH364" s="15" t="n"/>
      <c r="AI364" s="15" t="n"/>
    </row>
    <row r="365">
      <c r="A365" s="4" t="inlineStr">
        <is>
          <t>Студент3.20</t>
        </is>
      </c>
      <c r="B365" s="4" t="inlineStr"/>
      <c r="C365" s="4">
        <f>IF(A365="","",COUNTIF(F365:AI365,"+")+COUNTIF(F365:AI365,"1"))</f>
        <v/>
      </c>
      <c r="D365" s="4">
        <f>IF(A365="","",IF(C365&gt;2*COUNTA(F$345:AI$345)/3,1,IF(C365&gt;=COUNTA(F$345:AI$345)/2,0.8,0.5)))</f>
        <v/>
      </c>
      <c r="E365" s="4">
        <f>IF(A365="","",SUMIFS('Логи'!$H$4:$H$3006,'Логи'!$A$4:$A$3006,A365,'Логи'!$C$4:$C$3006,6))</f>
        <v/>
      </c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  <c r="AG365" s="15" t="n"/>
      <c r="AH365" s="15" t="n"/>
      <c r="AI365" s="15" t="n"/>
    </row>
    <row r="366">
      <c r="A366" s="4" t="inlineStr">
        <is>
          <t>Студент3.21</t>
        </is>
      </c>
      <c r="B366" s="4" t="inlineStr"/>
      <c r="C366" s="4">
        <f>IF(A366="","",COUNTIF(F366:AI366,"+")+COUNTIF(F366:AI366,"1"))</f>
        <v/>
      </c>
      <c r="D366" s="4">
        <f>IF(A366="","",IF(C366&gt;2*COUNTA(F$345:AI$345)/3,1,IF(C366&gt;=COUNTA(F$345:AI$345)/2,0.8,0.5)))</f>
        <v/>
      </c>
      <c r="E366" s="4">
        <f>IF(A366="","",SUMIFS('Логи'!$H$4:$H$3006,'Логи'!$A$4:$A$3006,A366,'Логи'!$C$4:$C$3006,6))</f>
        <v/>
      </c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  <c r="AF366" s="15" t="n"/>
      <c r="AG366" s="15" t="n"/>
      <c r="AH366" s="15" t="n"/>
      <c r="AI366" s="15" t="n"/>
    </row>
    <row r="367">
      <c r="A367" s="4" t="inlineStr">
        <is>
          <t>Студент3.22</t>
        </is>
      </c>
      <c r="B367" s="4" t="inlineStr"/>
      <c r="C367" s="4">
        <f>IF(A367="","",COUNTIF(F367:AI367,"+")+COUNTIF(F367:AI367,"1"))</f>
        <v/>
      </c>
      <c r="D367" s="4">
        <f>IF(A367="","",IF(C367&gt;2*COUNTA(F$345:AI$345)/3,1,IF(C367&gt;=COUNTA(F$345:AI$345)/2,0.8,0.5)))</f>
        <v/>
      </c>
      <c r="E367" s="4">
        <f>IF(A367="","",SUMIFS('Логи'!$H$4:$H$3006,'Логи'!$A$4:$A$3006,A367,'Логи'!$C$4:$C$3006,6))</f>
        <v/>
      </c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  <c r="AF367" s="15" t="n"/>
      <c r="AG367" s="15" t="n"/>
      <c r="AH367" s="15" t="n"/>
      <c r="AI367" s="15" t="n"/>
    </row>
    <row r="368">
      <c r="A368" s="4" t="inlineStr">
        <is>
          <t>Студент3.23</t>
        </is>
      </c>
      <c r="B368" s="4" t="inlineStr"/>
      <c r="C368" s="4">
        <f>IF(A368="","",COUNTIF(F368:AI368,"+")+COUNTIF(F368:AI368,"1"))</f>
        <v/>
      </c>
      <c r="D368" s="4">
        <f>IF(A368="","",IF(C368&gt;2*COUNTA(F$345:AI$345)/3,1,IF(C368&gt;=COUNTA(F$345:AI$345)/2,0.8,0.5)))</f>
        <v/>
      </c>
      <c r="E368" s="4">
        <f>IF(A368="","",SUMIFS('Логи'!$H$4:$H$3006,'Логи'!$A$4:$A$3006,A368,'Логи'!$C$4:$C$3006,6))</f>
        <v/>
      </c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  <c r="AF368" s="15" t="n"/>
      <c r="AG368" s="15" t="n"/>
      <c r="AH368" s="15" t="n"/>
      <c r="AI368" s="15" t="n"/>
    </row>
    <row r="369">
      <c r="A369" s="4" t="inlineStr">
        <is>
          <t>Студент3.24</t>
        </is>
      </c>
      <c r="B369" s="4" t="inlineStr"/>
      <c r="C369" s="4">
        <f>IF(A369="","",COUNTIF(F369:AI369,"+")+COUNTIF(F369:AI369,"1"))</f>
        <v/>
      </c>
      <c r="D369" s="4">
        <f>IF(A369="","",IF(C369&gt;2*COUNTA(F$345:AI$345)/3,1,IF(C369&gt;=COUNTA(F$345:AI$345)/2,0.8,0.5)))</f>
        <v/>
      </c>
      <c r="E369" s="4">
        <f>IF(A369="","",SUMIFS('Логи'!$H$4:$H$3006,'Логи'!$A$4:$A$3006,A369,'Логи'!$C$4:$C$3006,6))</f>
        <v/>
      </c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  <c r="AF369" s="15" t="n"/>
      <c r="AG369" s="15" t="n"/>
      <c r="AH369" s="15" t="n"/>
      <c r="AI369" s="15" t="n"/>
    </row>
    <row r="370">
      <c r="A370" s="4" t="inlineStr">
        <is>
          <t>Студент3.25</t>
        </is>
      </c>
      <c r="B370" s="4" t="inlineStr"/>
      <c r="C370" s="4">
        <f>IF(A370="","",COUNTIF(F370:AI370,"+")+COUNTIF(F370:AI370,"1"))</f>
        <v/>
      </c>
      <c r="D370" s="4">
        <f>IF(A370="","",IF(C370&gt;2*COUNTA(F$345:AI$345)/3,1,IF(C370&gt;=COUNTA(F$345:AI$345)/2,0.8,0.5)))</f>
        <v/>
      </c>
      <c r="E370" s="4">
        <f>IF(A370="","",SUMIFS('Логи'!$H$4:$H$3006,'Логи'!$A$4:$A$3006,A370,'Логи'!$C$4:$C$3006,6))</f>
        <v/>
      </c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5" t="n"/>
    </row>
    <row r="371">
      <c r="A371" s="4" t="inlineStr">
        <is>
          <t>Студент3.26</t>
        </is>
      </c>
      <c r="B371" s="4" t="inlineStr"/>
      <c r="C371" s="4">
        <f>IF(A371="","",COUNTIF(F371:AI371,"+")+COUNTIF(F371:AI371,"1"))</f>
        <v/>
      </c>
      <c r="D371" s="4">
        <f>IF(A371="","",IF(C371&gt;2*COUNTA(F$345:AI$345)/3,1,IF(C371&gt;=COUNTA(F$345:AI$345)/2,0.8,0.5)))</f>
        <v/>
      </c>
      <c r="E371" s="4">
        <f>IF(A371="","",SUMIFS('Логи'!$H$4:$H$3006,'Логи'!$A$4:$A$3006,A371,'Логи'!$C$4:$C$3006,6))</f>
        <v/>
      </c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  <c r="AF371" s="15" t="n"/>
      <c r="AG371" s="15" t="n"/>
      <c r="AH371" s="15" t="n"/>
      <c r="AI371" s="15" t="n"/>
    </row>
    <row r="372">
      <c r="A372" s="4" t="inlineStr">
        <is>
          <t>Студент3.27</t>
        </is>
      </c>
      <c r="B372" s="4" t="inlineStr"/>
      <c r="C372" s="4">
        <f>IF(A372="","",COUNTIF(F372:AI372,"+")+COUNTIF(F372:AI372,"1"))</f>
        <v/>
      </c>
      <c r="D372" s="4">
        <f>IF(A372="","",IF(C372&gt;2*COUNTA(F$345:AI$345)/3,1,IF(C372&gt;=COUNTA(F$345:AI$345)/2,0.8,0.5)))</f>
        <v/>
      </c>
      <c r="E372" s="4">
        <f>IF(A372="","",SUMIFS('Логи'!$H$4:$H$3006,'Логи'!$A$4:$A$3006,A372,'Логи'!$C$4:$C$3006,6))</f>
        <v/>
      </c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  <c r="AG372" s="15" t="n"/>
      <c r="AH372" s="15" t="n"/>
      <c r="AI372" s="15" t="n"/>
    </row>
    <row r="373">
      <c r="A373" s="4" t="inlineStr">
        <is>
          <t>Студент3.28</t>
        </is>
      </c>
      <c r="B373" s="4" t="inlineStr"/>
      <c r="C373" s="4">
        <f>IF(A373="","",COUNTIF(F373:AI373,"+")+COUNTIF(F373:AI373,"1"))</f>
        <v/>
      </c>
      <c r="D373" s="4">
        <f>IF(A373="","",IF(C373&gt;2*COUNTA(F$345:AI$345)/3,1,IF(C373&gt;=COUNTA(F$345:AI$345)/2,0.8,0.5)))</f>
        <v/>
      </c>
      <c r="E373" s="4">
        <f>IF(A373="","",SUMIFS('Логи'!$H$4:$H$3006,'Логи'!$A$4:$A$3006,A373,'Логи'!$C$4:$C$3006,6))</f>
        <v/>
      </c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  <c r="AF373" s="15" t="n"/>
      <c r="AG373" s="15" t="n"/>
      <c r="AH373" s="15" t="n"/>
      <c r="AI373" s="15" t="n"/>
    </row>
    <row r="374">
      <c r="A374" s="4" t="inlineStr">
        <is>
          <t>Студент3.29</t>
        </is>
      </c>
      <c r="B374" s="4" t="inlineStr"/>
      <c r="C374" s="4">
        <f>IF(A374="","",COUNTIF(F374:AI374,"+")+COUNTIF(F374:AI374,"1"))</f>
        <v/>
      </c>
      <c r="D374" s="4">
        <f>IF(A374="","",IF(C374&gt;2*COUNTA(F$345:AI$345)/3,1,IF(C374&gt;=COUNTA(F$345:AI$345)/2,0.8,0.5)))</f>
        <v/>
      </c>
      <c r="E374" s="4">
        <f>IF(A374="","",SUMIFS('Логи'!$H$4:$H$3006,'Логи'!$A$4:$A$3006,A374,'Логи'!$C$4:$C$3006,6))</f>
        <v/>
      </c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  <c r="AF374" s="15" t="n"/>
      <c r="AG374" s="15" t="n"/>
      <c r="AH374" s="15" t="n"/>
      <c r="AI374" s="15" t="n"/>
    </row>
    <row r="375">
      <c r="A375" s="4" t="inlineStr">
        <is>
          <t>Студент3.30</t>
        </is>
      </c>
      <c r="B375" s="4" t="inlineStr"/>
      <c r="C375" s="4">
        <f>IF(A375="","",COUNTIF(F375:AI375,"+")+COUNTIF(F375:AI375,"1"))</f>
        <v/>
      </c>
      <c r="D375" s="4">
        <f>IF(A375="","",IF(C375&gt;2*COUNTA(F$345:AI$345)/3,1,IF(C375&gt;=COUNTA(F$345:AI$345)/2,0.8,0.5)))</f>
        <v/>
      </c>
      <c r="E375" s="4">
        <f>IF(A375="","",SUMIFS('Логи'!$H$4:$H$3006,'Логи'!$A$4:$A$3006,A375,'Логи'!$C$4:$C$3006,6))</f>
        <v/>
      </c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  <c r="AF375" s="15" t="n"/>
      <c r="AG375" s="15" t="n"/>
      <c r="AH375" s="15" t="n"/>
      <c r="AI375" s="15" t="n"/>
    </row>
    <row r="377">
      <c r="A377" s="16" t="inlineStr">
        <is>
          <t>Практика 6 — результаты рассказа</t>
        </is>
      </c>
    </row>
    <row r="378" ht="28" customHeight="1">
      <c r="A378" s="7" t="inlineStr">
        <is>
          <t>Имя</t>
        </is>
      </c>
      <c r="B378" s="9" t="inlineStr">
        <is>
          <t>TG</t>
        </is>
      </c>
      <c r="C378" s="10" t="inlineStr"/>
      <c r="D378" s="2" t="inlineStr"/>
      <c r="E378" s="2" t="inlineStr"/>
      <c r="F378" s="11" t="inlineStr">
        <is>
          <t>1.0</t>
        </is>
      </c>
      <c r="G378" s="11" t="inlineStr">
        <is>
          <t>2.0</t>
        </is>
      </c>
      <c r="H378" s="11" t="inlineStr">
        <is>
          <t>3.0</t>
        </is>
      </c>
      <c r="I378" s="11" t="inlineStr">
        <is>
          <t>4.0</t>
        </is>
      </c>
      <c r="J378" s="11" t="inlineStr">
        <is>
          <t>5.0</t>
        </is>
      </c>
      <c r="K378" s="11" t="inlineStr">
        <is>
          <t>6</t>
        </is>
      </c>
      <c r="L378" s="11" t="inlineStr">
        <is>
          <t>7</t>
        </is>
      </c>
      <c r="M378" s="11" t="inlineStr">
        <is>
          <t>8</t>
        </is>
      </c>
      <c r="N378" s="11" t="inlineStr">
        <is>
          <t>9</t>
        </is>
      </c>
      <c r="O378" s="11" t="inlineStr">
        <is>
          <t>10</t>
        </is>
      </c>
      <c r="P378" s="11" t="inlineStr">
        <is>
          <t>11</t>
        </is>
      </c>
      <c r="Q378" s="11" t="inlineStr">
        <is>
          <t>12</t>
        </is>
      </c>
      <c r="R378" s="11" t="inlineStr">
        <is>
          <t>13</t>
        </is>
      </c>
      <c r="S378" s="11" t="inlineStr">
        <is>
          <t>14</t>
        </is>
      </c>
      <c r="T378" s="11" t="inlineStr">
        <is>
          <t>15</t>
        </is>
      </c>
      <c r="U378" s="11" t="inlineStr">
        <is>
          <t>16</t>
        </is>
      </c>
      <c r="V378" s="11" t="inlineStr">
        <is>
          <t>17</t>
        </is>
      </c>
      <c r="W378" s="11" t="inlineStr">
        <is>
          <t>18</t>
        </is>
      </c>
      <c r="X378" s="11" t="inlineStr">
        <is>
          <t>19</t>
        </is>
      </c>
      <c r="Y378" s="11" t="inlineStr">
        <is>
          <t>20</t>
        </is>
      </c>
      <c r="Z378" s="11" t="inlineStr">
        <is>
          <t>21</t>
        </is>
      </c>
      <c r="AA378" s="11" t="inlineStr">
        <is>
          <t>22</t>
        </is>
      </c>
      <c r="AB378" s="11" t="inlineStr">
        <is>
          <t>23</t>
        </is>
      </c>
      <c r="AC378" s="11" t="inlineStr">
        <is>
          <t>24</t>
        </is>
      </c>
      <c r="AD378" s="11" t="inlineStr">
        <is>
          <t>25</t>
        </is>
      </c>
      <c r="AE378" s="11" t="inlineStr">
        <is>
          <t>26</t>
        </is>
      </c>
      <c r="AF378" s="11" t="inlineStr">
        <is>
          <t>27</t>
        </is>
      </c>
      <c r="AG378" s="11" t="inlineStr">
        <is>
          <t>28</t>
        </is>
      </c>
      <c r="AH378" s="11" t="inlineStr">
        <is>
          <t>29</t>
        </is>
      </c>
      <c r="AI378" s="11" t="inlineStr">
        <is>
          <t>30</t>
        </is>
      </c>
    </row>
    <row r="379">
      <c r="A379" s="4" t="inlineStr">
        <is>
          <t>Студент3.1</t>
        </is>
      </c>
      <c r="B379" s="4" t="inlineStr"/>
      <c r="C379" s="4" t="n"/>
      <c r="D379" s="4" t="n"/>
      <c r="E379" s="4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  <c r="AF379" s="15" t="n"/>
      <c r="AG379" s="15" t="n"/>
      <c r="AH379" s="15" t="n"/>
      <c r="AI379" s="15" t="n"/>
    </row>
    <row r="380">
      <c r="A380" s="4" t="inlineStr">
        <is>
          <t>Студент3.2</t>
        </is>
      </c>
      <c r="B380" s="4" t="inlineStr"/>
      <c r="C380" s="4" t="n"/>
      <c r="D380" s="4" t="n"/>
      <c r="E380" s="4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  <c r="AF380" s="15" t="n"/>
      <c r="AG380" s="15" t="n"/>
      <c r="AH380" s="15" t="n"/>
      <c r="AI380" s="15" t="n"/>
    </row>
    <row r="381">
      <c r="A381" s="4" t="inlineStr">
        <is>
          <t>Студент3.3</t>
        </is>
      </c>
      <c r="B381" s="4" t="inlineStr"/>
      <c r="C381" s="4" t="n"/>
      <c r="D381" s="4" t="n"/>
      <c r="E381" s="4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  <c r="AF381" s="15" t="n"/>
      <c r="AG381" s="15" t="n"/>
      <c r="AH381" s="15" t="n"/>
      <c r="AI381" s="15" t="n"/>
    </row>
    <row r="382">
      <c r="A382" s="4" t="inlineStr">
        <is>
          <t>Студент3.4</t>
        </is>
      </c>
      <c r="B382" s="4" t="inlineStr"/>
      <c r="C382" s="4" t="n"/>
      <c r="D382" s="4" t="n"/>
      <c r="E382" s="4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  <c r="AF382" s="15" t="n"/>
      <c r="AG382" s="15" t="n"/>
      <c r="AH382" s="15" t="n"/>
      <c r="AI382" s="15" t="n"/>
    </row>
    <row r="383">
      <c r="A383" s="4" t="inlineStr">
        <is>
          <t>Студент3.5</t>
        </is>
      </c>
      <c r="B383" s="4" t="inlineStr"/>
      <c r="C383" s="4" t="n"/>
      <c r="D383" s="4" t="n"/>
      <c r="E383" s="4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  <c r="AF383" s="15" t="n"/>
      <c r="AG383" s="15" t="n"/>
      <c r="AH383" s="15" t="n"/>
      <c r="AI383" s="15" t="n"/>
    </row>
    <row r="384">
      <c r="A384" s="4" t="inlineStr">
        <is>
          <t>Студент3.6</t>
        </is>
      </c>
      <c r="B384" s="4" t="inlineStr"/>
      <c r="C384" s="4" t="n"/>
      <c r="D384" s="4" t="n"/>
      <c r="E384" s="4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  <c r="AG384" s="15" t="n"/>
      <c r="AH384" s="15" t="n"/>
      <c r="AI384" s="15" t="n"/>
    </row>
    <row r="385">
      <c r="A385" s="4" t="inlineStr">
        <is>
          <t>Студент3.7</t>
        </is>
      </c>
      <c r="B385" s="4" t="inlineStr"/>
      <c r="C385" s="4" t="n"/>
      <c r="D385" s="4" t="n"/>
      <c r="E385" s="4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  <c r="AF385" s="15" t="n"/>
      <c r="AG385" s="15" t="n"/>
      <c r="AH385" s="15" t="n"/>
      <c r="AI385" s="15" t="n"/>
    </row>
    <row r="386">
      <c r="A386" s="4" t="inlineStr">
        <is>
          <t>Студент3.8</t>
        </is>
      </c>
      <c r="B386" s="4" t="inlineStr"/>
      <c r="C386" s="4" t="n"/>
      <c r="D386" s="4" t="n"/>
      <c r="E386" s="4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  <c r="AG386" s="15" t="n"/>
      <c r="AH386" s="15" t="n"/>
      <c r="AI386" s="15" t="n"/>
    </row>
    <row r="387">
      <c r="A387" s="4" t="inlineStr">
        <is>
          <t>Студент3.9</t>
        </is>
      </c>
      <c r="B387" s="4" t="inlineStr"/>
      <c r="C387" s="4" t="n"/>
      <c r="D387" s="4" t="n"/>
      <c r="E387" s="4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  <c r="AF387" s="15" t="n"/>
      <c r="AG387" s="15" t="n"/>
      <c r="AH387" s="15" t="n"/>
      <c r="AI387" s="15" t="n"/>
    </row>
    <row r="388">
      <c r="A388" s="4" t="inlineStr">
        <is>
          <t>Студент3.10</t>
        </is>
      </c>
      <c r="B388" s="4" t="inlineStr"/>
      <c r="C388" s="4" t="n"/>
      <c r="D388" s="4" t="n"/>
      <c r="E388" s="4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  <c r="AF388" s="15" t="n"/>
      <c r="AG388" s="15" t="n"/>
      <c r="AH388" s="15" t="n"/>
      <c r="AI388" s="15" t="n"/>
    </row>
    <row r="389">
      <c r="A389" s="4" t="inlineStr">
        <is>
          <t>Студент3.11</t>
        </is>
      </c>
      <c r="B389" s="4" t="inlineStr"/>
      <c r="C389" s="4" t="n"/>
      <c r="D389" s="4" t="n"/>
      <c r="E389" s="4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  <c r="AF389" s="15" t="n"/>
      <c r="AG389" s="15" t="n"/>
      <c r="AH389" s="15" t="n"/>
      <c r="AI389" s="15" t="n"/>
    </row>
    <row r="390">
      <c r="A390" s="4" t="inlineStr">
        <is>
          <t>Студент3.12</t>
        </is>
      </c>
      <c r="B390" s="4" t="inlineStr"/>
      <c r="C390" s="4" t="n"/>
      <c r="D390" s="4" t="n"/>
      <c r="E390" s="4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  <c r="AF390" s="15" t="n"/>
      <c r="AG390" s="15" t="n"/>
      <c r="AH390" s="15" t="n"/>
      <c r="AI390" s="15" t="n"/>
    </row>
    <row r="391">
      <c r="A391" s="4" t="inlineStr">
        <is>
          <t>Студент3.13</t>
        </is>
      </c>
      <c r="B391" s="4" t="inlineStr"/>
      <c r="C391" s="4" t="n"/>
      <c r="D391" s="4" t="n"/>
      <c r="E391" s="4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  <c r="AF391" s="15" t="n"/>
      <c r="AG391" s="15" t="n"/>
      <c r="AH391" s="15" t="n"/>
      <c r="AI391" s="15" t="n"/>
    </row>
    <row r="392">
      <c r="A392" s="4" t="inlineStr">
        <is>
          <t>Студент3.14</t>
        </is>
      </c>
      <c r="B392" s="4" t="inlineStr"/>
      <c r="C392" s="4" t="n"/>
      <c r="D392" s="4" t="n"/>
      <c r="E392" s="4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  <c r="AF392" s="15" t="n"/>
      <c r="AG392" s="15" t="n"/>
      <c r="AH392" s="15" t="n"/>
      <c r="AI392" s="15" t="n"/>
    </row>
    <row r="393">
      <c r="A393" s="4" t="inlineStr">
        <is>
          <t>Студент3.15</t>
        </is>
      </c>
      <c r="B393" s="4" t="inlineStr"/>
      <c r="C393" s="4" t="n"/>
      <c r="D393" s="4" t="n"/>
      <c r="E393" s="4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  <c r="AF393" s="15" t="n"/>
      <c r="AG393" s="15" t="n"/>
      <c r="AH393" s="15" t="n"/>
      <c r="AI393" s="15" t="n"/>
    </row>
    <row r="394">
      <c r="A394" s="4" t="inlineStr">
        <is>
          <t>Студент3.16</t>
        </is>
      </c>
      <c r="B394" s="4" t="inlineStr"/>
      <c r="C394" s="4" t="n"/>
      <c r="D394" s="4" t="n"/>
      <c r="E394" s="4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  <c r="AF394" s="15" t="n"/>
      <c r="AG394" s="15" t="n"/>
      <c r="AH394" s="15" t="n"/>
      <c r="AI394" s="15" t="n"/>
    </row>
    <row r="395">
      <c r="A395" s="4" t="inlineStr">
        <is>
          <t>Студент3.17</t>
        </is>
      </c>
      <c r="B395" s="4" t="inlineStr"/>
      <c r="C395" s="4" t="n"/>
      <c r="D395" s="4" t="n"/>
      <c r="E395" s="4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  <c r="AF395" s="15" t="n"/>
      <c r="AG395" s="15" t="n"/>
      <c r="AH395" s="15" t="n"/>
      <c r="AI395" s="15" t="n"/>
    </row>
    <row r="396">
      <c r="A396" s="4" t="inlineStr">
        <is>
          <t>Студент3.18</t>
        </is>
      </c>
      <c r="B396" s="4" t="inlineStr"/>
      <c r="C396" s="4" t="n"/>
      <c r="D396" s="4" t="n"/>
      <c r="E396" s="4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  <c r="AF396" s="15" t="n"/>
      <c r="AG396" s="15" t="n"/>
      <c r="AH396" s="15" t="n"/>
      <c r="AI396" s="15" t="n"/>
    </row>
    <row r="397">
      <c r="A397" s="4" t="inlineStr">
        <is>
          <t>Студент3.19</t>
        </is>
      </c>
      <c r="B397" s="4" t="inlineStr"/>
      <c r="C397" s="4" t="n"/>
      <c r="D397" s="4" t="n"/>
      <c r="E397" s="4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  <c r="AF397" s="15" t="n"/>
      <c r="AG397" s="15" t="n"/>
      <c r="AH397" s="15" t="n"/>
      <c r="AI397" s="15" t="n"/>
    </row>
    <row r="398">
      <c r="A398" s="4" t="inlineStr">
        <is>
          <t>Студент3.20</t>
        </is>
      </c>
      <c r="B398" s="4" t="inlineStr"/>
      <c r="C398" s="4" t="n"/>
      <c r="D398" s="4" t="n"/>
      <c r="E398" s="4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  <c r="AF398" s="15" t="n"/>
      <c r="AG398" s="15" t="n"/>
      <c r="AH398" s="15" t="n"/>
      <c r="AI398" s="15" t="n"/>
    </row>
    <row r="399">
      <c r="A399" s="4" t="inlineStr">
        <is>
          <t>Студент3.21</t>
        </is>
      </c>
      <c r="B399" s="4" t="inlineStr"/>
      <c r="C399" s="4" t="n"/>
      <c r="D399" s="4" t="n"/>
      <c r="E399" s="4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  <c r="AF399" s="15" t="n"/>
      <c r="AG399" s="15" t="n"/>
      <c r="AH399" s="15" t="n"/>
      <c r="AI399" s="15" t="n"/>
    </row>
    <row r="400">
      <c r="A400" s="4" t="inlineStr">
        <is>
          <t>Студент3.22</t>
        </is>
      </c>
      <c r="B400" s="4" t="inlineStr"/>
      <c r="C400" s="4" t="n"/>
      <c r="D400" s="4" t="n"/>
      <c r="E400" s="4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  <c r="AF400" s="15" t="n"/>
      <c r="AG400" s="15" t="n"/>
      <c r="AH400" s="15" t="n"/>
      <c r="AI400" s="15" t="n"/>
    </row>
    <row r="401">
      <c r="A401" s="4" t="inlineStr">
        <is>
          <t>Студент3.23</t>
        </is>
      </c>
      <c r="B401" s="4" t="inlineStr"/>
      <c r="C401" s="4" t="n"/>
      <c r="D401" s="4" t="n"/>
      <c r="E401" s="4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  <c r="AF401" s="15" t="n"/>
      <c r="AG401" s="15" t="n"/>
      <c r="AH401" s="15" t="n"/>
      <c r="AI401" s="15" t="n"/>
    </row>
    <row r="402">
      <c r="A402" s="4" t="inlineStr">
        <is>
          <t>Студент3.24</t>
        </is>
      </c>
      <c r="B402" s="4" t="inlineStr"/>
      <c r="C402" s="4" t="n"/>
      <c r="D402" s="4" t="n"/>
      <c r="E402" s="4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5" t="n"/>
      <c r="AE402" s="15" t="n"/>
      <c r="AF402" s="15" t="n"/>
      <c r="AG402" s="15" t="n"/>
      <c r="AH402" s="15" t="n"/>
      <c r="AI402" s="15" t="n"/>
    </row>
    <row r="403">
      <c r="A403" s="4" t="inlineStr">
        <is>
          <t>Студент3.25</t>
        </is>
      </c>
      <c r="B403" s="4" t="inlineStr"/>
      <c r="C403" s="4" t="n"/>
      <c r="D403" s="4" t="n"/>
      <c r="E403" s="4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5" t="n"/>
      <c r="AE403" s="15" t="n"/>
      <c r="AF403" s="15" t="n"/>
      <c r="AG403" s="15" t="n"/>
      <c r="AH403" s="15" t="n"/>
      <c r="AI403" s="15" t="n"/>
    </row>
    <row r="404">
      <c r="A404" s="4" t="inlineStr">
        <is>
          <t>Студент3.26</t>
        </is>
      </c>
      <c r="B404" s="4" t="inlineStr"/>
      <c r="C404" s="4" t="n"/>
      <c r="D404" s="4" t="n"/>
      <c r="E404" s="4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5" t="n"/>
      <c r="AE404" s="15" t="n"/>
      <c r="AF404" s="15" t="n"/>
      <c r="AG404" s="15" t="n"/>
      <c r="AH404" s="15" t="n"/>
      <c r="AI404" s="15" t="n"/>
    </row>
    <row r="405">
      <c r="A405" s="4" t="inlineStr">
        <is>
          <t>Студент3.27</t>
        </is>
      </c>
      <c r="B405" s="4" t="inlineStr"/>
      <c r="C405" s="4" t="n"/>
      <c r="D405" s="4" t="n"/>
      <c r="E405" s="4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5" t="n"/>
      <c r="AE405" s="15" t="n"/>
      <c r="AF405" s="15" t="n"/>
      <c r="AG405" s="15" t="n"/>
      <c r="AH405" s="15" t="n"/>
      <c r="AI405" s="15" t="n"/>
    </row>
    <row r="406">
      <c r="A406" s="4" t="inlineStr">
        <is>
          <t>Студент3.28</t>
        </is>
      </c>
      <c r="B406" s="4" t="inlineStr"/>
      <c r="C406" s="4" t="n"/>
      <c r="D406" s="4" t="n"/>
      <c r="E406" s="4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5" t="n"/>
      <c r="AE406" s="15" t="n"/>
      <c r="AF406" s="15" t="n"/>
      <c r="AG406" s="15" t="n"/>
      <c r="AH406" s="15" t="n"/>
      <c r="AI406" s="15" t="n"/>
    </row>
    <row r="407">
      <c r="A407" s="4" t="inlineStr">
        <is>
          <t>Студент3.29</t>
        </is>
      </c>
      <c r="B407" s="4" t="inlineStr"/>
      <c r="C407" s="4" t="n"/>
      <c r="D407" s="4" t="n"/>
      <c r="E407" s="4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5" t="n"/>
      <c r="AE407" s="15" t="n"/>
      <c r="AF407" s="15" t="n"/>
      <c r="AG407" s="15" t="n"/>
      <c r="AH407" s="15" t="n"/>
      <c r="AI407" s="15" t="n"/>
    </row>
    <row r="408">
      <c r="A408" s="4" t="inlineStr">
        <is>
          <t>Студент3.30</t>
        </is>
      </c>
      <c r="B408" s="4" t="inlineStr"/>
      <c r="C408" s="4" t="n"/>
      <c r="D408" s="4" t="n"/>
      <c r="E408" s="4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5" t="n"/>
      <c r="AE408" s="15" t="n"/>
      <c r="AF408" s="15" t="n"/>
      <c r="AG408" s="15" t="n"/>
      <c r="AH408" s="15" t="n"/>
      <c r="AI408" s="15" t="n"/>
    </row>
    <row r="412">
      <c r="A412" s="13" t="inlineStr">
        <is>
          <t>Практика 7 — плюсы</t>
        </is>
      </c>
    </row>
    <row r="413" ht="28" customHeight="1">
      <c r="A413" s="7" t="inlineStr">
        <is>
          <t>Имя</t>
        </is>
      </c>
      <c r="B413" s="9" t="inlineStr">
        <is>
          <t>TG</t>
        </is>
      </c>
      <c r="C413" s="10" t="inlineStr">
        <is>
          <t>S</t>
        </is>
      </c>
      <c r="D413" s="8" t="inlineStr">
        <is>
          <t>Коэффициент</t>
        </is>
      </c>
      <c r="E413" s="14" t="inlineStr">
        <is>
          <t>D за практику</t>
        </is>
      </c>
      <c r="F413" s="11" t="inlineStr">
        <is>
          <t>1.0</t>
        </is>
      </c>
      <c r="G413" s="11" t="inlineStr">
        <is>
          <t>2.0</t>
        </is>
      </c>
      <c r="H413" s="11" t="inlineStr">
        <is>
          <t>3.0</t>
        </is>
      </c>
      <c r="I413" s="11" t="inlineStr">
        <is>
          <t>4.0</t>
        </is>
      </c>
      <c r="J413" s="11" t="inlineStr">
        <is>
          <t>5.0</t>
        </is>
      </c>
      <c r="K413" s="11" t="inlineStr">
        <is>
          <t>6</t>
        </is>
      </c>
      <c r="L413" s="11" t="inlineStr">
        <is>
          <t>7</t>
        </is>
      </c>
      <c r="M413" s="11" t="inlineStr">
        <is>
          <t>8</t>
        </is>
      </c>
      <c r="N413" s="11" t="inlineStr">
        <is>
          <t>9</t>
        </is>
      </c>
      <c r="O413" s="11" t="inlineStr">
        <is>
          <t>10</t>
        </is>
      </c>
      <c r="P413" s="11" t="inlineStr">
        <is>
          <t>11</t>
        </is>
      </c>
      <c r="Q413" s="11" t="inlineStr">
        <is>
          <t>12</t>
        </is>
      </c>
      <c r="R413" s="11" t="inlineStr">
        <is>
          <t>13</t>
        </is>
      </c>
      <c r="S413" s="11" t="inlineStr">
        <is>
          <t>14</t>
        </is>
      </c>
      <c r="T413" s="11" t="inlineStr">
        <is>
          <t>15</t>
        </is>
      </c>
      <c r="U413" s="11" t="inlineStr">
        <is>
          <t>16</t>
        </is>
      </c>
      <c r="V413" s="11" t="inlineStr">
        <is>
          <t>17</t>
        </is>
      </c>
      <c r="W413" s="11" t="inlineStr">
        <is>
          <t>18</t>
        </is>
      </c>
      <c r="X413" s="11" t="inlineStr">
        <is>
          <t>19</t>
        </is>
      </c>
      <c r="Y413" s="11" t="inlineStr">
        <is>
          <t>20</t>
        </is>
      </c>
      <c r="Z413" s="11" t="inlineStr">
        <is>
          <t>21</t>
        </is>
      </c>
      <c r="AA413" s="11" t="inlineStr">
        <is>
          <t>22</t>
        </is>
      </c>
      <c r="AB413" s="11" t="inlineStr">
        <is>
          <t>23</t>
        </is>
      </c>
      <c r="AC413" s="11" t="inlineStr">
        <is>
          <t>24</t>
        </is>
      </c>
      <c r="AD413" s="11" t="inlineStr">
        <is>
          <t>25</t>
        </is>
      </c>
      <c r="AE413" s="11" t="inlineStr">
        <is>
          <t>26</t>
        </is>
      </c>
      <c r="AF413" s="11" t="inlineStr">
        <is>
          <t>27</t>
        </is>
      </c>
      <c r="AG413" s="11" t="inlineStr">
        <is>
          <t>28</t>
        </is>
      </c>
      <c r="AH413" s="11" t="inlineStr">
        <is>
          <t>29</t>
        </is>
      </c>
      <c r="AI413" s="11" t="inlineStr">
        <is>
          <t>30</t>
        </is>
      </c>
    </row>
    <row r="414">
      <c r="A414" s="4" t="inlineStr">
        <is>
          <t>Студент3.1</t>
        </is>
      </c>
      <c r="B414" s="4" t="inlineStr"/>
      <c r="C414" s="4">
        <f>IF(A414="","",COUNTIF(F414:AI414,"+")+COUNTIF(F414:AI414,"1"))</f>
        <v/>
      </c>
      <c r="D414" s="4">
        <f>IF(A414="","",IF(C414&gt;2*COUNTA(F$413:AI$413)/3,1,IF(C414&gt;=COUNTA(F$413:AI$413)/2,0.8,0.5)))</f>
        <v/>
      </c>
      <c r="E414" s="4">
        <f>IF(A414="","",SUMIFS('Логи'!$H$4:$H$3006,'Логи'!$A$4:$A$3006,A414,'Логи'!$C$4:$C$3006,7))</f>
        <v/>
      </c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  <c r="AF414" s="15" t="n"/>
      <c r="AG414" s="15" t="n"/>
      <c r="AH414" s="15" t="n"/>
      <c r="AI414" s="15" t="n"/>
    </row>
    <row r="415">
      <c r="A415" s="4" t="inlineStr">
        <is>
          <t>Студент3.2</t>
        </is>
      </c>
      <c r="B415" s="4" t="inlineStr"/>
      <c r="C415" s="4">
        <f>IF(A415="","",COUNTIF(F415:AI415,"+")+COUNTIF(F415:AI415,"1"))</f>
        <v/>
      </c>
      <c r="D415" s="4">
        <f>IF(A415="","",IF(C415&gt;2*COUNTA(F$413:AI$413)/3,1,IF(C415&gt;=COUNTA(F$413:AI$413)/2,0.8,0.5)))</f>
        <v/>
      </c>
      <c r="E415" s="4">
        <f>IF(A415="","",SUMIFS('Логи'!$H$4:$H$3006,'Логи'!$A$4:$A$3006,A415,'Логи'!$C$4:$C$3006,7))</f>
        <v/>
      </c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  <c r="AF415" s="15" t="n"/>
      <c r="AG415" s="15" t="n"/>
      <c r="AH415" s="15" t="n"/>
      <c r="AI415" s="15" t="n"/>
    </row>
    <row r="416">
      <c r="A416" s="4" t="inlineStr">
        <is>
          <t>Студент3.3</t>
        </is>
      </c>
      <c r="B416" s="4" t="inlineStr"/>
      <c r="C416" s="4">
        <f>IF(A416="","",COUNTIF(F416:AI416,"+")+COUNTIF(F416:AI416,"1"))</f>
        <v/>
      </c>
      <c r="D416" s="4">
        <f>IF(A416="","",IF(C416&gt;2*COUNTA(F$413:AI$413)/3,1,IF(C416&gt;=COUNTA(F$413:AI$413)/2,0.8,0.5)))</f>
        <v/>
      </c>
      <c r="E416" s="4">
        <f>IF(A416="","",SUMIFS('Логи'!$H$4:$H$3006,'Логи'!$A$4:$A$3006,A416,'Логи'!$C$4:$C$3006,7))</f>
        <v/>
      </c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  <c r="AF416" s="15" t="n"/>
      <c r="AG416" s="15" t="n"/>
      <c r="AH416" s="15" t="n"/>
      <c r="AI416" s="15" t="n"/>
    </row>
    <row r="417">
      <c r="A417" s="4" t="inlineStr">
        <is>
          <t>Студент3.4</t>
        </is>
      </c>
      <c r="B417" s="4" t="inlineStr"/>
      <c r="C417" s="4">
        <f>IF(A417="","",COUNTIF(F417:AI417,"+")+COUNTIF(F417:AI417,"1"))</f>
        <v/>
      </c>
      <c r="D417" s="4">
        <f>IF(A417="","",IF(C417&gt;2*COUNTA(F$413:AI$413)/3,1,IF(C417&gt;=COUNTA(F$413:AI$413)/2,0.8,0.5)))</f>
        <v/>
      </c>
      <c r="E417" s="4">
        <f>IF(A417="","",SUMIFS('Логи'!$H$4:$H$3006,'Логи'!$A$4:$A$3006,A417,'Логи'!$C$4:$C$3006,7))</f>
        <v/>
      </c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  <c r="AF417" s="15" t="n"/>
      <c r="AG417" s="15" t="n"/>
      <c r="AH417" s="15" t="n"/>
      <c r="AI417" s="15" t="n"/>
    </row>
    <row r="418">
      <c r="A418" s="4" t="inlineStr">
        <is>
          <t>Студент3.5</t>
        </is>
      </c>
      <c r="B418" s="4" t="inlineStr"/>
      <c r="C418" s="4">
        <f>IF(A418="","",COUNTIF(F418:AI418,"+")+COUNTIF(F418:AI418,"1"))</f>
        <v/>
      </c>
      <c r="D418" s="4">
        <f>IF(A418="","",IF(C418&gt;2*COUNTA(F$413:AI$413)/3,1,IF(C418&gt;=COUNTA(F$413:AI$413)/2,0.8,0.5)))</f>
        <v/>
      </c>
      <c r="E418" s="4">
        <f>IF(A418="","",SUMIFS('Логи'!$H$4:$H$3006,'Логи'!$A$4:$A$3006,A418,'Логи'!$C$4:$C$3006,7))</f>
        <v/>
      </c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  <c r="AF418" s="15" t="n"/>
      <c r="AG418" s="15" t="n"/>
      <c r="AH418" s="15" t="n"/>
      <c r="AI418" s="15" t="n"/>
    </row>
    <row r="419">
      <c r="A419" s="4" t="inlineStr">
        <is>
          <t>Студент3.6</t>
        </is>
      </c>
      <c r="B419" s="4" t="inlineStr"/>
      <c r="C419" s="4">
        <f>IF(A419="","",COUNTIF(F419:AI419,"+")+COUNTIF(F419:AI419,"1"))</f>
        <v/>
      </c>
      <c r="D419" s="4">
        <f>IF(A419="","",IF(C419&gt;2*COUNTA(F$413:AI$413)/3,1,IF(C419&gt;=COUNTA(F$413:AI$413)/2,0.8,0.5)))</f>
        <v/>
      </c>
      <c r="E419" s="4">
        <f>IF(A419="","",SUMIFS('Логи'!$H$4:$H$3006,'Логи'!$A$4:$A$3006,A419,'Логи'!$C$4:$C$3006,7))</f>
        <v/>
      </c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  <c r="AF419" s="15" t="n"/>
      <c r="AG419" s="15" t="n"/>
      <c r="AH419" s="15" t="n"/>
      <c r="AI419" s="15" t="n"/>
    </row>
    <row r="420">
      <c r="A420" s="4" t="inlineStr">
        <is>
          <t>Студент3.7</t>
        </is>
      </c>
      <c r="B420" s="4" t="inlineStr"/>
      <c r="C420" s="4">
        <f>IF(A420="","",COUNTIF(F420:AI420,"+")+COUNTIF(F420:AI420,"1"))</f>
        <v/>
      </c>
      <c r="D420" s="4">
        <f>IF(A420="","",IF(C420&gt;2*COUNTA(F$413:AI$413)/3,1,IF(C420&gt;=COUNTA(F$413:AI$413)/2,0.8,0.5)))</f>
        <v/>
      </c>
      <c r="E420" s="4">
        <f>IF(A420="","",SUMIFS('Логи'!$H$4:$H$3006,'Логи'!$A$4:$A$3006,A420,'Логи'!$C$4:$C$3006,7))</f>
        <v/>
      </c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  <c r="AF420" s="15" t="n"/>
      <c r="AG420" s="15" t="n"/>
      <c r="AH420" s="15" t="n"/>
      <c r="AI420" s="15" t="n"/>
    </row>
    <row r="421">
      <c r="A421" s="4" t="inlineStr">
        <is>
          <t>Студент3.8</t>
        </is>
      </c>
      <c r="B421" s="4" t="inlineStr"/>
      <c r="C421" s="4">
        <f>IF(A421="","",COUNTIF(F421:AI421,"+")+COUNTIF(F421:AI421,"1"))</f>
        <v/>
      </c>
      <c r="D421" s="4">
        <f>IF(A421="","",IF(C421&gt;2*COUNTA(F$413:AI$413)/3,1,IF(C421&gt;=COUNTA(F$413:AI$413)/2,0.8,0.5)))</f>
        <v/>
      </c>
      <c r="E421" s="4">
        <f>IF(A421="","",SUMIFS('Логи'!$H$4:$H$3006,'Логи'!$A$4:$A$3006,A421,'Логи'!$C$4:$C$3006,7))</f>
        <v/>
      </c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  <c r="AF421" s="15" t="n"/>
      <c r="AG421" s="15" t="n"/>
      <c r="AH421" s="15" t="n"/>
      <c r="AI421" s="15" t="n"/>
    </row>
    <row r="422">
      <c r="A422" s="4" t="inlineStr">
        <is>
          <t>Студент3.9</t>
        </is>
      </c>
      <c r="B422" s="4" t="inlineStr"/>
      <c r="C422" s="4">
        <f>IF(A422="","",COUNTIF(F422:AI422,"+")+COUNTIF(F422:AI422,"1"))</f>
        <v/>
      </c>
      <c r="D422" s="4">
        <f>IF(A422="","",IF(C422&gt;2*COUNTA(F$413:AI$413)/3,1,IF(C422&gt;=COUNTA(F$413:AI$413)/2,0.8,0.5)))</f>
        <v/>
      </c>
      <c r="E422" s="4">
        <f>IF(A422="","",SUMIFS('Логи'!$H$4:$H$3006,'Логи'!$A$4:$A$3006,A422,'Логи'!$C$4:$C$3006,7))</f>
        <v/>
      </c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  <c r="AF422" s="15" t="n"/>
      <c r="AG422" s="15" t="n"/>
      <c r="AH422" s="15" t="n"/>
      <c r="AI422" s="15" t="n"/>
    </row>
    <row r="423">
      <c r="A423" s="4" t="inlineStr">
        <is>
          <t>Студент3.10</t>
        </is>
      </c>
      <c r="B423" s="4" t="inlineStr"/>
      <c r="C423" s="4">
        <f>IF(A423="","",COUNTIF(F423:AI423,"+")+COUNTIF(F423:AI423,"1"))</f>
        <v/>
      </c>
      <c r="D423" s="4">
        <f>IF(A423="","",IF(C423&gt;2*COUNTA(F$413:AI$413)/3,1,IF(C423&gt;=COUNTA(F$413:AI$413)/2,0.8,0.5)))</f>
        <v/>
      </c>
      <c r="E423" s="4">
        <f>IF(A423="","",SUMIFS('Логи'!$H$4:$H$3006,'Логи'!$A$4:$A$3006,A423,'Логи'!$C$4:$C$3006,7))</f>
        <v/>
      </c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  <c r="AF423" s="15" t="n"/>
      <c r="AG423" s="15" t="n"/>
      <c r="AH423" s="15" t="n"/>
      <c r="AI423" s="15" t="n"/>
    </row>
    <row r="424">
      <c r="A424" s="4" t="inlineStr">
        <is>
          <t>Студент3.11</t>
        </is>
      </c>
      <c r="B424" s="4" t="inlineStr"/>
      <c r="C424" s="4">
        <f>IF(A424="","",COUNTIF(F424:AI424,"+")+COUNTIF(F424:AI424,"1"))</f>
        <v/>
      </c>
      <c r="D424" s="4">
        <f>IF(A424="","",IF(C424&gt;2*COUNTA(F$413:AI$413)/3,1,IF(C424&gt;=COUNTA(F$413:AI$413)/2,0.8,0.5)))</f>
        <v/>
      </c>
      <c r="E424" s="4">
        <f>IF(A424="","",SUMIFS('Логи'!$H$4:$H$3006,'Логи'!$A$4:$A$3006,A424,'Логи'!$C$4:$C$3006,7))</f>
        <v/>
      </c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  <c r="AF424" s="15" t="n"/>
      <c r="AG424" s="15" t="n"/>
      <c r="AH424" s="15" t="n"/>
      <c r="AI424" s="15" t="n"/>
    </row>
    <row r="425">
      <c r="A425" s="4" t="inlineStr">
        <is>
          <t>Студент3.12</t>
        </is>
      </c>
      <c r="B425" s="4" t="inlineStr"/>
      <c r="C425" s="4">
        <f>IF(A425="","",COUNTIF(F425:AI425,"+")+COUNTIF(F425:AI425,"1"))</f>
        <v/>
      </c>
      <c r="D425" s="4">
        <f>IF(A425="","",IF(C425&gt;2*COUNTA(F$413:AI$413)/3,1,IF(C425&gt;=COUNTA(F$413:AI$413)/2,0.8,0.5)))</f>
        <v/>
      </c>
      <c r="E425" s="4">
        <f>IF(A425="","",SUMIFS('Логи'!$H$4:$H$3006,'Логи'!$A$4:$A$3006,A425,'Логи'!$C$4:$C$3006,7))</f>
        <v/>
      </c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  <c r="AF425" s="15" t="n"/>
      <c r="AG425" s="15" t="n"/>
      <c r="AH425" s="15" t="n"/>
      <c r="AI425" s="15" t="n"/>
    </row>
    <row r="426">
      <c r="A426" s="4" t="inlineStr">
        <is>
          <t>Студент3.13</t>
        </is>
      </c>
      <c r="B426" s="4" t="inlineStr"/>
      <c r="C426" s="4">
        <f>IF(A426="","",COUNTIF(F426:AI426,"+")+COUNTIF(F426:AI426,"1"))</f>
        <v/>
      </c>
      <c r="D426" s="4">
        <f>IF(A426="","",IF(C426&gt;2*COUNTA(F$413:AI$413)/3,1,IF(C426&gt;=COUNTA(F$413:AI$413)/2,0.8,0.5)))</f>
        <v/>
      </c>
      <c r="E426" s="4">
        <f>IF(A426="","",SUMIFS('Логи'!$H$4:$H$3006,'Логи'!$A$4:$A$3006,A426,'Логи'!$C$4:$C$3006,7))</f>
        <v/>
      </c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  <c r="AF426" s="15" t="n"/>
      <c r="AG426" s="15" t="n"/>
      <c r="AH426" s="15" t="n"/>
      <c r="AI426" s="15" t="n"/>
    </row>
    <row r="427">
      <c r="A427" s="4" t="inlineStr">
        <is>
          <t>Студент3.14</t>
        </is>
      </c>
      <c r="B427" s="4" t="inlineStr"/>
      <c r="C427" s="4">
        <f>IF(A427="","",COUNTIF(F427:AI427,"+")+COUNTIF(F427:AI427,"1"))</f>
        <v/>
      </c>
      <c r="D427" s="4">
        <f>IF(A427="","",IF(C427&gt;2*COUNTA(F$413:AI$413)/3,1,IF(C427&gt;=COUNTA(F$413:AI$413)/2,0.8,0.5)))</f>
        <v/>
      </c>
      <c r="E427" s="4">
        <f>IF(A427="","",SUMIFS('Логи'!$H$4:$H$3006,'Логи'!$A$4:$A$3006,A427,'Логи'!$C$4:$C$3006,7))</f>
        <v/>
      </c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  <c r="AF427" s="15" t="n"/>
      <c r="AG427" s="15" t="n"/>
      <c r="AH427" s="15" t="n"/>
      <c r="AI427" s="15" t="n"/>
    </row>
    <row r="428">
      <c r="A428" s="4" t="inlineStr">
        <is>
          <t>Студент3.15</t>
        </is>
      </c>
      <c r="B428" s="4" t="inlineStr"/>
      <c r="C428" s="4">
        <f>IF(A428="","",COUNTIF(F428:AI428,"+")+COUNTIF(F428:AI428,"1"))</f>
        <v/>
      </c>
      <c r="D428" s="4">
        <f>IF(A428="","",IF(C428&gt;2*COUNTA(F$413:AI$413)/3,1,IF(C428&gt;=COUNTA(F$413:AI$413)/2,0.8,0.5)))</f>
        <v/>
      </c>
      <c r="E428" s="4">
        <f>IF(A428="","",SUMIFS('Логи'!$H$4:$H$3006,'Логи'!$A$4:$A$3006,A428,'Логи'!$C$4:$C$3006,7))</f>
        <v/>
      </c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  <c r="AF428" s="15" t="n"/>
      <c r="AG428" s="15" t="n"/>
      <c r="AH428" s="15" t="n"/>
      <c r="AI428" s="15" t="n"/>
    </row>
    <row r="429">
      <c r="A429" s="4" t="inlineStr">
        <is>
          <t>Студент3.16</t>
        </is>
      </c>
      <c r="B429" s="4" t="inlineStr"/>
      <c r="C429" s="4">
        <f>IF(A429="","",COUNTIF(F429:AI429,"+")+COUNTIF(F429:AI429,"1"))</f>
        <v/>
      </c>
      <c r="D429" s="4">
        <f>IF(A429="","",IF(C429&gt;2*COUNTA(F$413:AI$413)/3,1,IF(C429&gt;=COUNTA(F$413:AI$413)/2,0.8,0.5)))</f>
        <v/>
      </c>
      <c r="E429" s="4">
        <f>IF(A429="","",SUMIFS('Логи'!$H$4:$H$3006,'Логи'!$A$4:$A$3006,A429,'Логи'!$C$4:$C$3006,7))</f>
        <v/>
      </c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  <c r="AF429" s="15" t="n"/>
      <c r="AG429" s="15" t="n"/>
      <c r="AH429" s="15" t="n"/>
      <c r="AI429" s="15" t="n"/>
    </row>
    <row r="430">
      <c r="A430" s="4" t="inlineStr">
        <is>
          <t>Студент3.17</t>
        </is>
      </c>
      <c r="B430" s="4" t="inlineStr"/>
      <c r="C430" s="4">
        <f>IF(A430="","",COUNTIF(F430:AI430,"+")+COUNTIF(F430:AI430,"1"))</f>
        <v/>
      </c>
      <c r="D430" s="4">
        <f>IF(A430="","",IF(C430&gt;2*COUNTA(F$413:AI$413)/3,1,IF(C430&gt;=COUNTA(F$413:AI$413)/2,0.8,0.5)))</f>
        <v/>
      </c>
      <c r="E430" s="4">
        <f>IF(A430="","",SUMIFS('Логи'!$H$4:$H$3006,'Логи'!$A$4:$A$3006,A430,'Логи'!$C$4:$C$3006,7))</f>
        <v/>
      </c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  <c r="AF430" s="15" t="n"/>
      <c r="AG430" s="15" t="n"/>
      <c r="AH430" s="15" t="n"/>
      <c r="AI430" s="15" t="n"/>
    </row>
    <row r="431">
      <c r="A431" s="4" t="inlineStr">
        <is>
          <t>Студент3.18</t>
        </is>
      </c>
      <c r="B431" s="4" t="inlineStr"/>
      <c r="C431" s="4">
        <f>IF(A431="","",COUNTIF(F431:AI431,"+")+COUNTIF(F431:AI431,"1"))</f>
        <v/>
      </c>
      <c r="D431" s="4">
        <f>IF(A431="","",IF(C431&gt;2*COUNTA(F$413:AI$413)/3,1,IF(C431&gt;=COUNTA(F$413:AI$413)/2,0.8,0.5)))</f>
        <v/>
      </c>
      <c r="E431" s="4">
        <f>IF(A431="","",SUMIFS('Логи'!$H$4:$H$3006,'Логи'!$A$4:$A$3006,A431,'Логи'!$C$4:$C$3006,7))</f>
        <v/>
      </c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  <c r="AF431" s="15" t="n"/>
      <c r="AG431" s="15" t="n"/>
      <c r="AH431" s="15" t="n"/>
      <c r="AI431" s="15" t="n"/>
    </row>
    <row r="432">
      <c r="A432" s="4" t="inlineStr">
        <is>
          <t>Студент3.19</t>
        </is>
      </c>
      <c r="B432" s="4" t="inlineStr"/>
      <c r="C432" s="4">
        <f>IF(A432="","",COUNTIF(F432:AI432,"+")+COUNTIF(F432:AI432,"1"))</f>
        <v/>
      </c>
      <c r="D432" s="4">
        <f>IF(A432="","",IF(C432&gt;2*COUNTA(F$413:AI$413)/3,1,IF(C432&gt;=COUNTA(F$413:AI$413)/2,0.8,0.5)))</f>
        <v/>
      </c>
      <c r="E432" s="4">
        <f>IF(A432="","",SUMIFS('Логи'!$H$4:$H$3006,'Логи'!$A$4:$A$3006,A432,'Логи'!$C$4:$C$3006,7))</f>
        <v/>
      </c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  <c r="AF432" s="15" t="n"/>
      <c r="AG432" s="15" t="n"/>
      <c r="AH432" s="15" t="n"/>
      <c r="AI432" s="15" t="n"/>
    </row>
    <row r="433">
      <c r="A433" s="4" t="inlineStr">
        <is>
          <t>Студент3.20</t>
        </is>
      </c>
      <c r="B433" s="4" t="inlineStr"/>
      <c r="C433" s="4">
        <f>IF(A433="","",COUNTIF(F433:AI433,"+")+COUNTIF(F433:AI433,"1"))</f>
        <v/>
      </c>
      <c r="D433" s="4">
        <f>IF(A433="","",IF(C433&gt;2*COUNTA(F$413:AI$413)/3,1,IF(C433&gt;=COUNTA(F$413:AI$413)/2,0.8,0.5)))</f>
        <v/>
      </c>
      <c r="E433" s="4">
        <f>IF(A433="","",SUMIFS('Логи'!$H$4:$H$3006,'Логи'!$A$4:$A$3006,A433,'Логи'!$C$4:$C$3006,7))</f>
        <v/>
      </c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  <c r="AF433" s="15" t="n"/>
      <c r="AG433" s="15" t="n"/>
      <c r="AH433" s="15" t="n"/>
      <c r="AI433" s="15" t="n"/>
    </row>
    <row r="434">
      <c r="A434" s="4" t="inlineStr">
        <is>
          <t>Студент3.21</t>
        </is>
      </c>
      <c r="B434" s="4" t="inlineStr"/>
      <c r="C434" s="4">
        <f>IF(A434="","",COUNTIF(F434:AI434,"+")+COUNTIF(F434:AI434,"1"))</f>
        <v/>
      </c>
      <c r="D434" s="4">
        <f>IF(A434="","",IF(C434&gt;2*COUNTA(F$413:AI$413)/3,1,IF(C434&gt;=COUNTA(F$413:AI$413)/2,0.8,0.5)))</f>
        <v/>
      </c>
      <c r="E434" s="4">
        <f>IF(A434="","",SUMIFS('Логи'!$H$4:$H$3006,'Логи'!$A$4:$A$3006,A434,'Логи'!$C$4:$C$3006,7))</f>
        <v/>
      </c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  <c r="AG434" s="15" t="n"/>
      <c r="AH434" s="15" t="n"/>
      <c r="AI434" s="15" t="n"/>
    </row>
    <row r="435">
      <c r="A435" s="4" t="inlineStr">
        <is>
          <t>Студент3.22</t>
        </is>
      </c>
      <c r="B435" s="4" t="inlineStr"/>
      <c r="C435" s="4">
        <f>IF(A435="","",COUNTIF(F435:AI435,"+")+COUNTIF(F435:AI435,"1"))</f>
        <v/>
      </c>
      <c r="D435" s="4">
        <f>IF(A435="","",IF(C435&gt;2*COUNTA(F$413:AI$413)/3,1,IF(C435&gt;=COUNTA(F$413:AI$413)/2,0.8,0.5)))</f>
        <v/>
      </c>
      <c r="E435" s="4">
        <f>IF(A435="","",SUMIFS('Логи'!$H$4:$H$3006,'Логи'!$A$4:$A$3006,A435,'Логи'!$C$4:$C$3006,7))</f>
        <v/>
      </c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  <c r="AF435" s="15" t="n"/>
      <c r="AG435" s="15" t="n"/>
      <c r="AH435" s="15" t="n"/>
      <c r="AI435" s="15" t="n"/>
    </row>
    <row r="436">
      <c r="A436" s="4" t="inlineStr">
        <is>
          <t>Студент3.23</t>
        </is>
      </c>
      <c r="B436" s="4" t="inlineStr"/>
      <c r="C436" s="4">
        <f>IF(A436="","",COUNTIF(F436:AI436,"+")+COUNTIF(F436:AI436,"1"))</f>
        <v/>
      </c>
      <c r="D436" s="4">
        <f>IF(A436="","",IF(C436&gt;2*COUNTA(F$413:AI$413)/3,1,IF(C436&gt;=COUNTA(F$413:AI$413)/2,0.8,0.5)))</f>
        <v/>
      </c>
      <c r="E436" s="4">
        <f>IF(A436="","",SUMIFS('Логи'!$H$4:$H$3006,'Логи'!$A$4:$A$3006,A436,'Логи'!$C$4:$C$3006,7))</f>
        <v/>
      </c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5" t="n"/>
      <c r="AE436" s="15" t="n"/>
      <c r="AF436" s="15" t="n"/>
      <c r="AG436" s="15" t="n"/>
      <c r="AH436" s="15" t="n"/>
      <c r="AI436" s="15" t="n"/>
    </row>
    <row r="437">
      <c r="A437" s="4" t="inlineStr">
        <is>
          <t>Студент3.24</t>
        </is>
      </c>
      <c r="B437" s="4" t="inlineStr"/>
      <c r="C437" s="4">
        <f>IF(A437="","",COUNTIF(F437:AI437,"+")+COUNTIF(F437:AI437,"1"))</f>
        <v/>
      </c>
      <c r="D437" s="4">
        <f>IF(A437="","",IF(C437&gt;2*COUNTA(F$413:AI$413)/3,1,IF(C437&gt;=COUNTA(F$413:AI$413)/2,0.8,0.5)))</f>
        <v/>
      </c>
      <c r="E437" s="4">
        <f>IF(A437="","",SUMIFS('Логи'!$H$4:$H$3006,'Логи'!$A$4:$A$3006,A437,'Логи'!$C$4:$C$3006,7))</f>
        <v/>
      </c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5" t="n"/>
      <c r="AE437" s="15" t="n"/>
      <c r="AF437" s="15" t="n"/>
      <c r="AG437" s="15" t="n"/>
      <c r="AH437" s="15" t="n"/>
      <c r="AI437" s="15" t="n"/>
    </row>
    <row r="438">
      <c r="A438" s="4" t="inlineStr">
        <is>
          <t>Студент3.25</t>
        </is>
      </c>
      <c r="B438" s="4" t="inlineStr"/>
      <c r="C438" s="4">
        <f>IF(A438="","",COUNTIF(F438:AI438,"+")+COUNTIF(F438:AI438,"1"))</f>
        <v/>
      </c>
      <c r="D438" s="4">
        <f>IF(A438="","",IF(C438&gt;2*COUNTA(F$413:AI$413)/3,1,IF(C438&gt;=COUNTA(F$413:AI$413)/2,0.8,0.5)))</f>
        <v/>
      </c>
      <c r="E438" s="4">
        <f>IF(A438="","",SUMIFS('Логи'!$H$4:$H$3006,'Логи'!$A$4:$A$3006,A438,'Логи'!$C$4:$C$3006,7))</f>
        <v/>
      </c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  <c r="AF438" s="15" t="n"/>
      <c r="AG438" s="15" t="n"/>
      <c r="AH438" s="15" t="n"/>
      <c r="AI438" s="15" t="n"/>
    </row>
    <row r="439">
      <c r="A439" s="4" t="inlineStr">
        <is>
          <t>Студент3.26</t>
        </is>
      </c>
      <c r="B439" s="4" t="inlineStr"/>
      <c r="C439" s="4">
        <f>IF(A439="","",COUNTIF(F439:AI439,"+")+COUNTIF(F439:AI439,"1"))</f>
        <v/>
      </c>
      <c r="D439" s="4">
        <f>IF(A439="","",IF(C439&gt;2*COUNTA(F$413:AI$413)/3,1,IF(C439&gt;=COUNTA(F$413:AI$413)/2,0.8,0.5)))</f>
        <v/>
      </c>
      <c r="E439" s="4">
        <f>IF(A439="","",SUMIFS('Логи'!$H$4:$H$3006,'Логи'!$A$4:$A$3006,A439,'Логи'!$C$4:$C$3006,7))</f>
        <v/>
      </c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  <c r="AF439" s="15" t="n"/>
      <c r="AG439" s="15" t="n"/>
      <c r="AH439" s="15" t="n"/>
      <c r="AI439" s="15" t="n"/>
    </row>
    <row r="440">
      <c r="A440" s="4" t="inlineStr">
        <is>
          <t>Студент3.27</t>
        </is>
      </c>
      <c r="B440" s="4" t="inlineStr"/>
      <c r="C440" s="4">
        <f>IF(A440="","",COUNTIF(F440:AI440,"+")+COUNTIF(F440:AI440,"1"))</f>
        <v/>
      </c>
      <c r="D440" s="4">
        <f>IF(A440="","",IF(C440&gt;2*COUNTA(F$413:AI$413)/3,1,IF(C440&gt;=COUNTA(F$413:AI$413)/2,0.8,0.5)))</f>
        <v/>
      </c>
      <c r="E440" s="4">
        <f>IF(A440="","",SUMIFS('Логи'!$H$4:$H$3006,'Логи'!$A$4:$A$3006,A440,'Логи'!$C$4:$C$3006,7))</f>
        <v/>
      </c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  <c r="AC440" s="15" t="n"/>
      <c r="AD440" s="15" t="n"/>
      <c r="AE440" s="15" t="n"/>
      <c r="AF440" s="15" t="n"/>
      <c r="AG440" s="15" t="n"/>
      <c r="AH440" s="15" t="n"/>
      <c r="AI440" s="15" t="n"/>
    </row>
    <row r="441">
      <c r="A441" s="4" t="inlineStr">
        <is>
          <t>Студент3.28</t>
        </is>
      </c>
      <c r="B441" s="4" t="inlineStr"/>
      <c r="C441" s="4">
        <f>IF(A441="","",COUNTIF(F441:AI441,"+")+COUNTIF(F441:AI441,"1"))</f>
        <v/>
      </c>
      <c r="D441" s="4">
        <f>IF(A441="","",IF(C441&gt;2*COUNTA(F$413:AI$413)/3,1,IF(C441&gt;=COUNTA(F$413:AI$413)/2,0.8,0.5)))</f>
        <v/>
      </c>
      <c r="E441" s="4">
        <f>IF(A441="","",SUMIFS('Логи'!$H$4:$H$3006,'Логи'!$A$4:$A$3006,A441,'Логи'!$C$4:$C$3006,7))</f>
        <v/>
      </c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  <c r="AC441" s="15" t="n"/>
      <c r="AD441" s="15" t="n"/>
      <c r="AE441" s="15" t="n"/>
      <c r="AF441" s="15" t="n"/>
      <c r="AG441" s="15" t="n"/>
      <c r="AH441" s="15" t="n"/>
      <c r="AI441" s="15" t="n"/>
    </row>
    <row r="442">
      <c r="A442" s="4" t="inlineStr">
        <is>
          <t>Студент3.29</t>
        </is>
      </c>
      <c r="B442" s="4" t="inlineStr"/>
      <c r="C442" s="4">
        <f>IF(A442="","",COUNTIF(F442:AI442,"+")+COUNTIF(F442:AI442,"1"))</f>
        <v/>
      </c>
      <c r="D442" s="4">
        <f>IF(A442="","",IF(C442&gt;2*COUNTA(F$413:AI$413)/3,1,IF(C442&gt;=COUNTA(F$413:AI$413)/2,0.8,0.5)))</f>
        <v/>
      </c>
      <c r="E442" s="4">
        <f>IF(A442="","",SUMIFS('Логи'!$H$4:$H$3006,'Логи'!$A$4:$A$3006,A442,'Логи'!$C$4:$C$3006,7))</f>
        <v/>
      </c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  <c r="AC442" s="15" t="n"/>
      <c r="AD442" s="15" t="n"/>
      <c r="AE442" s="15" t="n"/>
      <c r="AF442" s="15" t="n"/>
      <c r="AG442" s="15" t="n"/>
      <c r="AH442" s="15" t="n"/>
      <c r="AI442" s="15" t="n"/>
    </row>
    <row r="443">
      <c r="A443" s="4" t="inlineStr">
        <is>
          <t>Студент3.30</t>
        </is>
      </c>
      <c r="B443" s="4" t="inlineStr"/>
      <c r="C443" s="4">
        <f>IF(A443="","",COUNTIF(F443:AI443,"+")+COUNTIF(F443:AI443,"1"))</f>
        <v/>
      </c>
      <c r="D443" s="4">
        <f>IF(A443="","",IF(C443&gt;2*COUNTA(F$413:AI$413)/3,1,IF(C443&gt;=COUNTA(F$413:AI$413)/2,0.8,0.5)))</f>
        <v/>
      </c>
      <c r="E443" s="4">
        <f>IF(A443="","",SUMIFS('Логи'!$H$4:$H$3006,'Логи'!$A$4:$A$3006,A443,'Логи'!$C$4:$C$3006,7))</f>
        <v/>
      </c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  <c r="AC443" s="15" t="n"/>
      <c r="AD443" s="15" t="n"/>
      <c r="AE443" s="15" t="n"/>
      <c r="AF443" s="15" t="n"/>
      <c r="AG443" s="15" t="n"/>
      <c r="AH443" s="15" t="n"/>
      <c r="AI443" s="15" t="n"/>
    </row>
    <row r="445">
      <c r="A445" s="16" t="inlineStr">
        <is>
          <t>Практика 7 — результаты рассказа</t>
        </is>
      </c>
    </row>
    <row r="446" ht="28" customHeight="1">
      <c r="A446" s="7" t="inlineStr">
        <is>
          <t>Имя</t>
        </is>
      </c>
      <c r="B446" s="9" t="inlineStr">
        <is>
          <t>TG</t>
        </is>
      </c>
      <c r="C446" s="10" t="inlineStr"/>
      <c r="D446" s="2" t="inlineStr"/>
      <c r="E446" s="2" t="inlineStr"/>
      <c r="F446" s="11" t="inlineStr">
        <is>
          <t>1.0</t>
        </is>
      </c>
      <c r="G446" s="11" t="inlineStr">
        <is>
          <t>2.0</t>
        </is>
      </c>
      <c r="H446" s="11" t="inlineStr">
        <is>
          <t>3.0</t>
        </is>
      </c>
      <c r="I446" s="11" t="inlineStr">
        <is>
          <t>4.0</t>
        </is>
      </c>
      <c r="J446" s="11" t="inlineStr">
        <is>
          <t>5.0</t>
        </is>
      </c>
      <c r="K446" s="11" t="inlineStr">
        <is>
          <t>6</t>
        </is>
      </c>
      <c r="L446" s="11" t="inlineStr">
        <is>
          <t>7</t>
        </is>
      </c>
      <c r="M446" s="11" t="inlineStr">
        <is>
          <t>8</t>
        </is>
      </c>
      <c r="N446" s="11" t="inlineStr">
        <is>
          <t>9</t>
        </is>
      </c>
      <c r="O446" s="11" t="inlineStr">
        <is>
          <t>10</t>
        </is>
      </c>
      <c r="P446" s="11" t="inlineStr">
        <is>
          <t>11</t>
        </is>
      </c>
      <c r="Q446" s="11" t="inlineStr">
        <is>
          <t>12</t>
        </is>
      </c>
      <c r="R446" s="11" t="inlineStr">
        <is>
          <t>13</t>
        </is>
      </c>
      <c r="S446" s="11" t="inlineStr">
        <is>
          <t>14</t>
        </is>
      </c>
      <c r="T446" s="11" t="inlineStr">
        <is>
          <t>15</t>
        </is>
      </c>
      <c r="U446" s="11" t="inlineStr">
        <is>
          <t>16</t>
        </is>
      </c>
      <c r="V446" s="11" t="inlineStr">
        <is>
          <t>17</t>
        </is>
      </c>
      <c r="W446" s="11" t="inlineStr">
        <is>
          <t>18</t>
        </is>
      </c>
      <c r="X446" s="11" t="inlineStr">
        <is>
          <t>19</t>
        </is>
      </c>
      <c r="Y446" s="11" t="inlineStr">
        <is>
          <t>20</t>
        </is>
      </c>
      <c r="Z446" s="11" t="inlineStr">
        <is>
          <t>21</t>
        </is>
      </c>
      <c r="AA446" s="11" t="inlineStr">
        <is>
          <t>22</t>
        </is>
      </c>
      <c r="AB446" s="11" t="inlineStr">
        <is>
          <t>23</t>
        </is>
      </c>
      <c r="AC446" s="11" t="inlineStr">
        <is>
          <t>24</t>
        </is>
      </c>
      <c r="AD446" s="11" t="inlineStr">
        <is>
          <t>25</t>
        </is>
      </c>
      <c r="AE446" s="11" t="inlineStr">
        <is>
          <t>26</t>
        </is>
      </c>
      <c r="AF446" s="11" t="inlineStr">
        <is>
          <t>27</t>
        </is>
      </c>
      <c r="AG446" s="11" t="inlineStr">
        <is>
          <t>28</t>
        </is>
      </c>
      <c r="AH446" s="11" t="inlineStr">
        <is>
          <t>29</t>
        </is>
      </c>
      <c r="AI446" s="11" t="inlineStr">
        <is>
          <t>30</t>
        </is>
      </c>
    </row>
    <row r="447">
      <c r="A447" s="4" t="inlineStr">
        <is>
          <t>Студент3.1</t>
        </is>
      </c>
      <c r="B447" s="4" t="inlineStr"/>
      <c r="C447" s="4" t="n"/>
      <c r="D447" s="4" t="n"/>
      <c r="E447" s="4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5" t="n"/>
      <c r="AE447" s="15" t="n"/>
      <c r="AF447" s="15" t="n"/>
      <c r="AG447" s="15" t="n"/>
      <c r="AH447" s="15" t="n"/>
      <c r="AI447" s="15" t="n"/>
    </row>
    <row r="448">
      <c r="A448" s="4" t="inlineStr">
        <is>
          <t>Студент3.2</t>
        </is>
      </c>
      <c r="B448" s="4" t="inlineStr"/>
      <c r="C448" s="4" t="n"/>
      <c r="D448" s="4" t="n"/>
      <c r="E448" s="4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5" t="n"/>
      <c r="AE448" s="15" t="n"/>
      <c r="AF448" s="15" t="n"/>
      <c r="AG448" s="15" t="n"/>
      <c r="AH448" s="15" t="n"/>
      <c r="AI448" s="15" t="n"/>
    </row>
    <row r="449">
      <c r="A449" s="4" t="inlineStr">
        <is>
          <t>Студент3.3</t>
        </is>
      </c>
      <c r="B449" s="4" t="inlineStr"/>
      <c r="C449" s="4" t="n"/>
      <c r="D449" s="4" t="n"/>
      <c r="E449" s="4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  <c r="AC449" s="15" t="n"/>
      <c r="AD449" s="15" t="n"/>
      <c r="AE449" s="15" t="n"/>
      <c r="AF449" s="15" t="n"/>
      <c r="AG449" s="15" t="n"/>
      <c r="AH449" s="15" t="n"/>
      <c r="AI449" s="15" t="n"/>
    </row>
    <row r="450">
      <c r="A450" s="4" t="inlineStr">
        <is>
          <t>Студент3.4</t>
        </is>
      </c>
      <c r="B450" s="4" t="inlineStr"/>
      <c r="C450" s="4" t="n"/>
      <c r="D450" s="4" t="n"/>
      <c r="E450" s="4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5" t="n"/>
      <c r="AE450" s="15" t="n"/>
      <c r="AF450" s="15" t="n"/>
      <c r="AG450" s="15" t="n"/>
      <c r="AH450" s="15" t="n"/>
      <c r="AI450" s="15" t="n"/>
    </row>
    <row r="451">
      <c r="A451" s="4" t="inlineStr">
        <is>
          <t>Студент3.5</t>
        </is>
      </c>
      <c r="B451" s="4" t="inlineStr"/>
      <c r="C451" s="4" t="n"/>
      <c r="D451" s="4" t="n"/>
      <c r="E451" s="4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5" t="n"/>
      <c r="AE451" s="15" t="n"/>
      <c r="AF451" s="15" t="n"/>
      <c r="AG451" s="15" t="n"/>
      <c r="AH451" s="15" t="n"/>
      <c r="AI451" s="15" t="n"/>
    </row>
    <row r="452">
      <c r="A452" s="4" t="inlineStr">
        <is>
          <t>Студент3.6</t>
        </is>
      </c>
      <c r="B452" s="4" t="inlineStr"/>
      <c r="C452" s="4" t="n"/>
      <c r="D452" s="4" t="n"/>
      <c r="E452" s="4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5" t="n"/>
      <c r="AE452" s="15" t="n"/>
      <c r="AF452" s="15" t="n"/>
      <c r="AG452" s="15" t="n"/>
      <c r="AH452" s="15" t="n"/>
      <c r="AI452" s="15" t="n"/>
    </row>
    <row r="453">
      <c r="A453" s="4" t="inlineStr">
        <is>
          <t>Студент3.7</t>
        </is>
      </c>
      <c r="B453" s="4" t="inlineStr"/>
      <c r="C453" s="4" t="n"/>
      <c r="D453" s="4" t="n"/>
      <c r="E453" s="4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5" t="n"/>
      <c r="AE453" s="15" t="n"/>
      <c r="AF453" s="15" t="n"/>
      <c r="AG453" s="15" t="n"/>
      <c r="AH453" s="15" t="n"/>
      <c r="AI453" s="15" t="n"/>
    </row>
    <row r="454">
      <c r="A454" s="4" t="inlineStr">
        <is>
          <t>Студент3.8</t>
        </is>
      </c>
      <c r="B454" s="4" t="inlineStr"/>
      <c r="C454" s="4" t="n"/>
      <c r="D454" s="4" t="n"/>
      <c r="E454" s="4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5" t="n"/>
      <c r="AE454" s="15" t="n"/>
      <c r="AF454" s="15" t="n"/>
      <c r="AG454" s="15" t="n"/>
      <c r="AH454" s="15" t="n"/>
      <c r="AI454" s="15" t="n"/>
    </row>
    <row r="455">
      <c r="A455" s="4" t="inlineStr">
        <is>
          <t>Студент3.9</t>
        </is>
      </c>
      <c r="B455" s="4" t="inlineStr"/>
      <c r="C455" s="4" t="n"/>
      <c r="D455" s="4" t="n"/>
      <c r="E455" s="4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5" t="n"/>
      <c r="AE455" s="15" t="n"/>
      <c r="AF455" s="15" t="n"/>
      <c r="AG455" s="15" t="n"/>
      <c r="AH455" s="15" t="n"/>
      <c r="AI455" s="15" t="n"/>
    </row>
    <row r="456">
      <c r="A456" s="4" t="inlineStr">
        <is>
          <t>Студент3.10</t>
        </is>
      </c>
      <c r="B456" s="4" t="inlineStr"/>
      <c r="C456" s="4" t="n"/>
      <c r="D456" s="4" t="n"/>
      <c r="E456" s="4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  <c r="AC456" s="15" t="n"/>
      <c r="AD456" s="15" t="n"/>
      <c r="AE456" s="15" t="n"/>
      <c r="AF456" s="15" t="n"/>
      <c r="AG456" s="15" t="n"/>
      <c r="AH456" s="15" t="n"/>
      <c r="AI456" s="15" t="n"/>
    </row>
    <row r="457">
      <c r="A457" s="4" t="inlineStr">
        <is>
          <t>Студент3.11</t>
        </is>
      </c>
      <c r="B457" s="4" t="inlineStr"/>
      <c r="C457" s="4" t="n"/>
      <c r="D457" s="4" t="n"/>
      <c r="E457" s="4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  <c r="AC457" s="15" t="n"/>
      <c r="AD457" s="15" t="n"/>
      <c r="AE457" s="15" t="n"/>
      <c r="AF457" s="15" t="n"/>
      <c r="AG457" s="15" t="n"/>
      <c r="AH457" s="15" t="n"/>
      <c r="AI457" s="15" t="n"/>
    </row>
    <row r="458">
      <c r="A458" s="4" t="inlineStr">
        <is>
          <t>Студент3.12</t>
        </is>
      </c>
      <c r="B458" s="4" t="inlineStr"/>
      <c r="C458" s="4" t="n"/>
      <c r="D458" s="4" t="n"/>
      <c r="E458" s="4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  <c r="AF458" s="15" t="n"/>
      <c r="AG458" s="15" t="n"/>
      <c r="AH458" s="15" t="n"/>
      <c r="AI458" s="15" t="n"/>
    </row>
    <row r="459">
      <c r="A459" s="4" t="inlineStr">
        <is>
          <t>Студент3.13</t>
        </is>
      </c>
      <c r="B459" s="4" t="inlineStr"/>
      <c r="C459" s="4" t="n"/>
      <c r="D459" s="4" t="n"/>
      <c r="E459" s="4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  <c r="AF459" s="15" t="n"/>
      <c r="AG459" s="15" t="n"/>
      <c r="AH459" s="15" t="n"/>
      <c r="AI459" s="15" t="n"/>
    </row>
    <row r="460">
      <c r="A460" s="4" t="inlineStr">
        <is>
          <t>Студент3.14</t>
        </is>
      </c>
      <c r="B460" s="4" t="inlineStr"/>
      <c r="C460" s="4" t="n"/>
      <c r="D460" s="4" t="n"/>
      <c r="E460" s="4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5" t="n"/>
      <c r="AE460" s="15" t="n"/>
      <c r="AF460" s="15" t="n"/>
      <c r="AG460" s="15" t="n"/>
      <c r="AH460" s="15" t="n"/>
      <c r="AI460" s="15" t="n"/>
    </row>
    <row r="461">
      <c r="A461" s="4" t="inlineStr">
        <is>
          <t>Студент3.15</t>
        </is>
      </c>
      <c r="B461" s="4" t="inlineStr"/>
      <c r="C461" s="4" t="n"/>
      <c r="D461" s="4" t="n"/>
      <c r="E461" s="4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  <c r="AC461" s="15" t="n"/>
      <c r="AD461" s="15" t="n"/>
      <c r="AE461" s="15" t="n"/>
      <c r="AF461" s="15" t="n"/>
      <c r="AG461" s="15" t="n"/>
      <c r="AH461" s="15" t="n"/>
      <c r="AI461" s="15" t="n"/>
    </row>
    <row r="462">
      <c r="A462" s="4" t="inlineStr">
        <is>
          <t>Студент3.16</t>
        </is>
      </c>
      <c r="B462" s="4" t="inlineStr"/>
      <c r="C462" s="4" t="n"/>
      <c r="D462" s="4" t="n"/>
      <c r="E462" s="4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5" t="n"/>
      <c r="AE462" s="15" t="n"/>
      <c r="AF462" s="15" t="n"/>
      <c r="AG462" s="15" t="n"/>
      <c r="AH462" s="15" t="n"/>
      <c r="AI462" s="15" t="n"/>
    </row>
    <row r="463">
      <c r="A463" s="4" t="inlineStr">
        <is>
          <t>Студент3.17</t>
        </is>
      </c>
      <c r="B463" s="4" t="inlineStr"/>
      <c r="C463" s="4" t="n"/>
      <c r="D463" s="4" t="n"/>
      <c r="E463" s="4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5" t="n"/>
      <c r="AE463" s="15" t="n"/>
      <c r="AF463" s="15" t="n"/>
      <c r="AG463" s="15" t="n"/>
      <c r="AH463" s="15" t="n"/>
      <c r="AI463" s="15" t="n"/>
    </row>
    <row r="464">
      <c r="A464" s="4" t="inlineStr">
        <is>
          <t>Студент3.18</t>
        </is>
      </c>
      <c r="B464" s="4" t="inlineStr"/>
      <c r="C464" s="4" t="n"/>
      <c r="D464" s="4" t="n"/>
      <c r="E464" s="4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  <c r="AC464" s="15" t="n"/>
      <c r="AD464" s="15" t="n"/>
      <c r="AE464" s="15" t="n"/>
      <c r="AF464" s="15" t="n"/>
      <c r="AG464" s="15" t="n"/>
      <c r="AH464" s="15" t="n"/>
      <c r="AI464" s="15" t="n"/>
    </row>
    <row r="465">
      <c r="A465" s="4" t="inlineStr">
        <is>
          <t>Студент3.19</t>
        </is>
      </c>
      <c r="B465" s="4" t="inlineStr"/>
      <c r="C465" s="4" t="n"/>
      <c r="D465" s="4" t="n"/>
      <c r="E465" s="4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5" t="n"/>
      <c r="AE465" s="15" t="n"/>
      <c r="AF465" s="15" t="n"/>
      <c r="AG465" s="15" t="n"/>
      <c r="AH465" s="15" t="n"/>
      <c r="AI465" s="15" t="n"/>
    </row>
    <row r="466">
      <c r="A466" s="4" t="inlineStr">
        <is>
          <t>Студент3.20</t>
        </is>
      </c>
      <c r="B466" s="4" t="inlineStr"/>
      <c r="C466" s="4" t="n"/>
      <c r="D466" s="4" t="n"/>
      <c r="E466" s="4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5" t="n"/>
      <c r="AE466" s="15" t="n"/>
      <c r="AF466" s="15" t="n"/>
      <c r="AG466" s="15" t="n"/>
      <c r="AH466" s="15" t="n"/>
      <c r="AI466" s="15" t="n"/>
    </row>
    <row r="467">
      <c r="A467" s="4" t="inlineStr">
        <is>
          <t>Студент3.21</t>
        </is>
      </c>
      <c r="B467" s="4" t="inlineStr"/>
      <c r="C467" s="4" t="n"/>
      <c r="D467" s="4" t="n"/>
      <c r="E467" s="4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5" t="n"/>
      <c r="AE467" s="15" t="n"/>
      <c r="AF467" s="15" t="n"/>
      <c r="AG467" s="15" t="n"/>
      <c r="AH467" s="15" t="n"/>
      <c r="AI467" s="15" t="n"/>
    </row>
    <row r="468">
      <c r="A468" s="4" t="inlineStr">
        <is>
          <t>Студент3.22</t>
        </is>
      </c>
      <c r="B468" s="4" t="inlineStr"/>
      <c r="C468" s="4" t="n"/>
      <c r="D468" s="4" t="n"/>
      <c r="E468" s="4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  <c r="AC468" s="15" t="n"/>
      <c r="AD468" s="15" t="n"/>
      <c r="AE468" s="15" t="n"/>
      <c r="AF468" s="15" t="n"/>
      <c r="AG468" s="15" t="n"/>
      <c r="AH468" s="15" t="n"/>
      <c r="AI468" s="15" t="n"/>
    </row>
    <row r="469">
      <c r="A469" s="4" t="inlineStr">
        <is>
          <t>Студент3.23</t>
        </is>
      </c>
      <c r="B469" s="4" t="inlineStr"/>
      <c r="C469" s="4" t="n"/>
      <c r="D469" s="4" t="n"/>
      <c r="E469" s="4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5" t="n"/>
      <c r="AE469" s="15" t="n"/>
      <c r="AF469" s="15" t="n"/>
      <c r="AG469" s="15" t="n"/>
      <c r="AH469" s="15" t="n"/>
      <c r="AI469" s="15" t="n"/>
    </row>
    <row r="470">
      <c r="A470" s="4" t="inlineStr">
        <is>
          <t>Студент3.24</t>
        </is>
      </c>
      <c r="B470" s="4" t="inlineStr"/>
      <c r="C470" s="4" t="n"/>
      <c r="D470" s="4" t="n"/>
      <c r="E470" s="4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5" t="n"/>
      <c r="AE470" s="15" t="n"/>
      <c r="AF470" s="15" t="n"/>
      <c r="AG470" s="15" t="n"/>
      <c r="AH470" s="15" t="n"/>
      <c r="AI470" s="15" t="n"/>
    </row>
    <row r="471">
      <c r="A471" s="4" t="inlineStr">
        <is>
          <t>Студент3.25</t>
        </is>
      </c>
      <c r="B471" s="4" t="inlineStr"/>
      <c r="C471" s="4" t="n"/>
      <c r="D471" s="4" t="n"/>
      <c r="E471" s="4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  <c r="AC471" s="15" t="n"/>
      <c r="AD471" s="15" t="n"/>
      <c r="AE471" s="15" t="n"/>
      <c r="AF471" s="15" t="n"/>
      <c r="AG471" s="15" t="n"/>
      <c r="AH471" s="15" t="n"/>
      <c r="AI471" s="15" t="n"/>
    </row>
    <row r="472">
      <c r="A472" s="4" t="inlineStr">
        <is>
          <t>Студент3.26</t>
        </is>
      </c>
      <c r="B472" s="4" t="inlineStr"/>
      <c r="C472" s="4" t="n"/>
      <c r="D472" s="4" t="n"/>
      <c r="E472" s="4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5" t="n"/>
      <c r="AE472" s="15" t="n"/>
      <c r="AF472" s="15" t="n"/>
      <c r="AG472" s="15" t="n"/>
      <c r="AH472" s="15" t="n"/>
      <c r="AI472" s="15" t="n"/>
    </row>
    <row r="473">
      <c r="A473" s="4" t="inlineStr">
        <is>
          <t>Студент3.27</t>
        </is>
      </c>
      <c r="B473" s="4" t="inlineStr"/>
      <c r="C473" s="4" t="n"/>
      <c r="D473" s="4" t="n"/>
      <c r="E473" s="4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5" t="n"/>
      <c r="AE473" s="15" t="n"/>
      <c r="AF473" s="15" t="n"/>
      <c r="AG473" s="15" t="n"/>
      <c r="AH473" s="15" t="n"/>
      <c r="AI473" s="15" t="n"/>
    </row>
    <row r="474">
      <c r="A474" s="4" t="inlineStr">
        <is>
          <t>Студент3.28</t>
        </is>
      </c>
      <c r="B474" s="4" t="inlineStr"/>
      <c r="C474" s="4" t="n"/>
      <c r="D474" s="4" t="n"/>
      <c r="E474" s="4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  <c r="AC474" s="15" t="n"/>
      <c r="AD474" s="15" t="n"/>
      <c r="AE474" s="15" t="n"/>
      <c r="AF474" s="15" t="n"/>
      <c r="AG474" s="15" t="n"/>
      <c r="AH474" s="15" t="n"/>
      <c r="AI474" s="15" t="n"/>
    </row>
    <row r="475">
      <c r="A475" s="4" t="inlineStr">
        <is>
          <t>Студент3.29</t>
        </is>
      </c>
      <c r="B475" s="4" t="inlineStr"/>
      <c r="C475" s="4" t="n"/>
      <c r="D475" s="4" t="n"/>
      <c r="E475" s="4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  <c r="AC475" s="15" t="n"/>
      <c r="AD475" s="15" t="n"/>
      <c r="AE475" s="15" t="n"/>
      <c r="AF475" s="15" t="n"/>
      <c r="AG475" s="15" t="n"/>
      <c r="AH475" s="15" t="n"/>
      <c r="AI475" s="15" t="n"/>
    </row>
    <row r="476">
      <c r="A476" s="4" t="inlineStr">
        <is>
          <t>Студент3.30</t>
        </is>
      </c>
      <c r="B476" s="4" t="inlineStr"/>
      <c r="C476" s="4" t="n"/>
      <c r="D476" s="4" t="n"/>
      <c r="E476" s="4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  <c r="AC476" s="15" t="n"/>
      <c r="AD476" s="15" t="n"/>
      <c r="AE476" s="15" t="n"/>
      <c r="AF476" s="15" t="n"/>
      <c r="AG476" s="15" t="n"/>
      <c r="AH476" s="15" t="n"/>
      <c r="AI476" s="15" t="n"/>
    </row>
    <row r="480">
      <c r="A480" s="13" t="inlineStr">
        <is>
          <t>Практика 8 — плюсы</t>
        </is>
      </c>
    </row>
    <row r="481" ht="28" customHeight="1">
      <c r="A481" s="7" t="inlineStr">
        <is>
          <t>Имя</t>
        </is>
      </c>
      <c r="B481" s="9" t="inlineStr">
        <is>
          <t>TG</t>
        </is>
      </c>
      <c r="C481" s="10" t="inlineStr">
        <is>
          <t>S</t>
        </is>
      </c>
      <c r="D481" s="8" t="inlineStr">
        <is>
          <t>Коэффициент</t>
        </is>
      </c>
      <c r="E481" s="14" t="inlineStr">
        <is>
          <t>D за практику</t>
        </is>
      </c>
      <c r="F481" s="11" t="inlineStr">
        <is>
          <t>1.0</t>
        </is>
      </c>
      <c r="G481" s="11" t="inlineStr">
        <is>
          <t>2.0</t>
        </is>
      </c>
      <c r="H481" s="11" t="inlineStr">
        <is>
          <t>3.0</t>
        </is>
      </c>
      <c r="I481" s="11" t="inlineStr">
        <is>
          <t>4.0</t>
        </is>
      </c>
      <c r="J481" s="11" t="inlineStr">
        <is>
          <t>5.0</t>
        </is>
      </c>
      <c r="K481" s="11" t="inlineStr">
        <is>
          <t>6</t>
        </is>
      </c>
      <c r="L481" s="11" t="inlineStr">
        <is>
          <t>7</t>
        </is>
      </c>
      <c r="M481" s="11" t="inlineStr">
        <is>
          <t>8</t>
        </is>
      </c>
      <c r="N481" s="11" t="inlineStr">
        <is>
          <t>9</t>
        </is>
      </c>
      <c r="O481" s="11" t="inlineStr">
        <is>
          <t>10</t>
        </is>
      </c>
      <c r="P481" s="11" t="inlineStr">
        <is>
          <t>11</t>
        </is>
      </c>
      <c r="Q481" s="11" t="inlineStr">
        <is>
          <t>12</t>
        </is>
      </c>
      <c r="R481" s="11" t="inlineStr">
        <is>
          <t>13</t>
        </is>
      </c>
      <c r="S481" s="11" t="inlineStr">
        <is>
          <t>14</t>
        </is>
      </c>
      <c r="T481" s="11" t="inlineStr">
        <is>
          <t>15</t>
        </is>
      </c>
      <c r="U481" s="11" t="inlineStr">
        <is>
          <t>16</t>
        </is>
      </c>
      <c r="V481" s="11" t="inlineStr">
        <is>
          <t>17</t>
        </is>
      </c>
      <c r="W481" s="11" t="inlineStr">
        <is>
          <t>18</t>
        </is>
      </c>
      <c r="X481" s="11" t="inlineStr">
        <is>
          <t>19</t>
        </is>
      </c>
      <c r="Y481" s="11" t="inlineStr">
        <is>
          <t>20</t>
        </is>
      </c>
      <c r="Z481" s="11" t="inlineStr">
        <is>
          <t>21</t>
        </is>
      </c>
      <c r="AA481" s="11" t="inlineStr">
        <is>
          <t>22</t>
        </is>
      </c>
      <c r="AB481" s="11" t="inlineStr">
        <is>
          <t>23</t>
        </is>
      </c>
      <c r="AC481" s="11" t="inlineStr">
        <is>
          <t>24</t>
        </is>
      </c>
      <c r="AD481" s="11" t="inlineStr">
        <is>
          <t>25</t>
        </is>
      </c>
      <c r="AE481" s="11" t="inlineStr">
        <is>
          <t>26</t>
        </is>
      </c>
      <c r="AF481" s="11" t="inlineStr">
        <is>
          <t>27</t>
        </is>
      </c>
      <c r="AG481" s="11" t="inlineStr">
        <is>
          <t>28</t>
        </is>
      </c>
      <c r="AH481" s="11" t="inlineStr">
        <is>
          <t>29</t>
        </is>
      </c>
      <c r="AI481" s="11" t="inlineStr">
        <is>
          <t>30</t>
        </is>
      </c>
    </row>
    <row r="482">
      <c r="A482" s="4" t="inlineStr">
        <is>
          <t>Студент3.1</t>
        </is>
      </c>
      <c r="B482" s="4" t="inlineStr"/>
      <c r="C482" s="4">
        <f>IF(A482="","",COUNTIF(F482:AI482,"+")+COUNTIF(F482:AI482,"1"))</f>
        <v/>
      </c>
      <c r="D482" s="4">
        <f>IF(A482="","",IF(C482&gt;2*COUNTA(F$481:AI$481)/3,1,IF(C482&gt;=COUNTA(F$481:AI$481)/2,0.8,0.5)))</f>
        <v/>
      </c>
      <c r="E482" s="4">
        <f>IF(A482="","",SUMIFS('Логи'!$H$4:$H$3006,'Логи'!$A$4:$A$3006,A482,'Логи'!$C$4:$C$3006,8))</f>
        <v/>
      </c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n"/>
      <c r="AE482" s="15" t="n"/>
      <c r="AF482" s="15" t="n"/>
      <c r="AG482" s="15" t="n"/>
      <c r="AH482" s="15" t="n"/>
      <c r="AI482" s="15" t="n"/>
    </row>
    <row r="483">
      <c r="A483" s="4" t="inlineStr">
        <is>
          <t>Студент3.2</t>
        </is>
      </c>
      <c r="B483" s="4" t="inlineStr"/>
      <c r="C483" s="4">
        <f>IF(A483="","",COUNTIF(F483:AI483,"+")+COUNTIF(F483:AI483,"1"))</f>
        <v/>
      </c>
      <c r="D483" s="4">
        <f>IF(A483="","",IF(C483&gt;2*COUNTA(F$481:AI$481)/3,1,IF(C483&gt;=COUNTA(F$481:AI$481)/2,0.8,0.5)))</f>
        <v/>
      </c>
      <c r="E483" s="4">
        <f>IF(A483="","",SUMIFS('Логи'!$H$4:$H$3006,'Логи'!$A$4:$A$3006,A483,'Логи'!$C$4:$C$3006,8))</f>
        <v/>
      </c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n"/>
      <c r="AE483" s="15" t="n"/>
      <c r="AF483" s="15" t="n"/>
      <c r="AG483" s="15" t="n"/>
      <c r="AH483" s="15" t="n"/>
      <c r="AI483" s="15" t="n"/>
    </row>
    <row r="484">
      <c r="A484" s="4" t="inlineStr">
        <is>
          <t>Студент3.3</t>
        </is>
      </c>
      <c r="B484" s="4" t="inlineStr"/>
      <c r="C484" s="4">
        <f>IF(A484="","",COUNTIF(F484:AI484,"+")+COUNTIF(F484:AI484,"1"))</f>
        <v/>
      </c>
      <c r="D484" s="4">
        <f>IF(A484="","",IF(C484&gt;2*COUNTA(F$481:AI$481)/3,1,IF(C484&gt;=COUNTA(F$481:AI$481)/2,0.8,0.5)))</f>
        <v/>
      </c>
      <c r="E484" s="4">
        <f>IF(A484="","",SUMIFS('Логи'!$H$4:$H$3006,'Логи'!$A$4:$A$3006,A484,'Логи'!$C$4:$C$3006,8))</f>
        <v/>
      </c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n"/>
      <c r="AE484" s="15" t="n"/>
      <c r="AF484" s="15" t="n"/>
      <c r="AG484" s="15" t="n"/>
      <c r="AH484" s="15" t="n"/>
      <c r="AI484" s="15" t="n"/>
    </row>
    <row r="485">
      <c r="A485" s="4" t="inlineStr">
        <is>
          <t>Студент3.4</t>
        </is>
      </c>
      <c r="B485" s="4" t="inlineStr"/>
      <c r="C485" s="4">
        <f>IF(A485="","",COUNTIF(F485:AI485,"+")+COUNTIF(F485:AI485,"1"))</f>
        <v/>
      </c>
      <c r="D485" s="4">
        <f>IF(A485="","",IF(C485&gt;2*COUNTA(F$481:AI$481)/3,1,IF(C485&gt;=COUNTA(F$481:AI$481)/2,0.8,0.5)))</f>
        <v/>
      </c>
      <c r="E485" s="4">
        <f>IF(A485="","",SUMIFS('Логи'!$H$4:$H$3006,'Логи'!$A$4:$A$3006,A485,'Логи'!$C$4:$C$3006,8))</f>
        <v/>
      </c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n"/>
      <c r="AE485" s="15" t="n"/>
      <c r="AF485" s="15" t="n"/>
      <c r="AG485" s="15" t="n"/>
      <c r="AH485" s="15" t="n"/>
      <c r="AI485" s="15" t="n"/>
    </row>
    <row r="486">
      <c r="A486" s="4" t="inlineStr">
        <is>
          <t>Студент3.5</t>
        </is>
      </c>
      <c r="B486" s="4" t="inlineStr"/>
      <c r="C486" s="4">
        <f>IF(A486="","",COUNTIF(F486:AI486,"+")+COUNTIF(F486:AI486,"1"))</f>
        <v/>
      </c>
      <c r="D486" s="4">
        <f>IF(A486="","",IF(C486&gt;2*COUNTA(F$481:AI$481)/3,1,IF(C486&gt;=COUNTA(F$481:AI$481)/2,0.8,0.5)))</f>
        <v/>
      </c>
      <c r="E486" s="4">
        <f>IF(A486="","",SUMIFS('Логи'!$H$4:$H$3006,'Логи'!$A$4:$A$3006,A486,'Логи'!$C$4:$C$3006,8))</f>
        <v/>
      </c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n"/>
      <c r="AE486" s="15" t="n"/>
      <c r="AF486" s="15" t="n"/>
      <c r="AG486" s="15" t="n"/>
      <c r="AH486" s="15" t="n"/>
      <c r="AI486" s="15" t="n"/>
    </row>
    <row r="487">
      <c r="A487" s="4" t="inlineStr">
        <is>
          <t>Студент3.6</t>
        </is>
      </c>
      <c r="B487" s="4" t="inlineStr"/>
      <c r="C487" s="4">
        <f>IF(A487="","",COUNTIF(F487:AI487,"+")+COUNTIF(F487:AI487,"1"))</f>
        <v/>
      </c>
      <c r="D487" s="4">
        <f>IF(A487="","",IF(C487&gt;2*COUNTA(F$481:AI$481)/3,1,IF(C487&gt;=COUNTA(F$481:AI$481)/2,0.8,0.5)))</f>
        <v/>
      </c>
      <c r="E487" s="4">
        <f>IF(A487="","",SUMIFS('Логи'!$H$4:$H$3006,'Логи'!$A$4:$A$3006,A487,'Логи'!$C$4:$C$3006,8))</f>
        <v/>
      </c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n"/>
      <c r="AE487" s="15" t="n"/>
      <c r="AF487" s="15" t="n"/>
      <c r="AG487" s="15" t="n"/>
      <c r="AH487" s="15" t="n"/>
      <c r="AI487" s="15" t="n"/>
    </row>
    <row r="488">
      <c r="A488" s="4" t="inlineStr">
        <is>
          <t>Студент3.7</t>
        </is>
      </c>
      <c r="B488" s="4" t="inlineStr"/>
      <c r="C488" s="4">
        <f>IF(A488="","",COUNTIF(F488:AI488,"+")+COUNTIF(F488:AI488,"1"))</f>
        <v/>
      </c>
      <c r="D488" s="4">
        <f>IF(A488="","",IF(C488&gt;2*COUNTA(F$481:AI$481)/3,1,IF(C488&gt;=COUNTA(F$481:AI$481)/2,0.8,0.5)))</f>
        <v/>
      </c>
      <c r="E488" s="4">
        <f>IF(A488="","",SUMIFS('Логи'!$H$4:$H$3006,'Логи'!$A$4:$A$3006,A488,'Логи'!$C$4:$C$3006,8))</f>
        <v/>
      </c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n"/>
      <c r="AE488" s="15" t="n"/>
      <c r="AF488" s="15" t="n"/>
      <c r="AG488" s="15" t="n"/>
      <c r="AH488" s="15" t="n"/>
      <c r="AI488" s="15" t="n"/>
    </row>
    <row r="489">
      <c r="A489" s="4" t="inlineStr">
        <is>
          <t>Студент3.8</t>
        </is>
      </c>
      <c r="B489" s="4" t="inlineStr"/>
      <c r="C489" s="4">
        <f>IF(A489="","",COUNTIF(F489:AI489,"+")+COUNTIF(F489:AI489,"1"))</f>
        <v/>
      </c>
      <c r="D489" s="4">
        <f>IF(A489="","",IF(C489&gt;2*COUNTA(F$481:AI$481)/3,1,IF(C489&gt;=COUNTA(F$481:AI$481)/2,0.8,0.5)))</f>
        <v/>
      </c>
      <c r="E489" s="4">
        <f>IF(A489="","",SUMIFS('Логи'!$H$4:$H$3006,'Логи'!$A$4:$A$3006,A489,'Логи'!$C$4:$C$3006,8))</f>
        <v/>
      </c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n"/>
      <c r="AE489" s="15" t="n"/>
      <c r="AF489" s="15" t="n"/>
      <c r="AG489" s="15" t="n"/>
      <c r="AH489" s="15" t="n"/>
      <c r="AI489" s="15" t="n"/>
    </row>
    <row r="490">
      <c r="A490" s="4" t="inlineStr">
        <is>
          <t>Студент3.9</t>
        </is>
      </c>
      <c r="B490" s="4" t="inlineStr"/>
      <c r="C490" s="4">
        <f>IF(A490="","",COUNTIF(F490:AI490,"+")+COUNTIF(F490:AI490,"1"))</f>
        <v/>
      </c>
      <c r="D490" s="4">
        <f>IF(A490="","",IF(C490&gt;2*COUNTA(F$481:AI$481)/3,1,IF(C490&gt;=COUNTA(F$481:AI$481)/2,0.8,0.5)))</f>
        <v/>
      </c>
      <c r="E490" s="4">
        <f>IF(A490="","",SUMIFS('Логи'!$H$4:$H$3006,'Логи'!$A$4:$A$3006,A490,'Логи'!$C$4:$C$3006,8))</f>
        <v/>
      </c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n"/>
      <c r="AE490" s="15" t="n"/>
      <c r="AF490" s="15" t="n"/>
      <c r="AG490" s="15" t="n"/>
      <c r="AH490" s="15" t="n"/>
      <c r="AI490" s="15" t="n"/>
    </row>
    <row r="491">
      <c r="A491" s="4" t="inlineStr">
        <is>
          <t>Студент3.10</t>
        </is>
      </c>
      <c r="B491" s="4" t="inlineStr"/>
      <c r="C491" s="4">
        <f>IF(A491="","",COUNTIF(F491:AI491,"+")+COUNTIF(F491:AI491,"1"))</f>
        <v/>
      </c>
      <c r="D491" s="4">
        <f>IF(A491="","",IF(C491&gt;2*COUNTA(F$481:AI$481)/3,1,IF(C491&gt;=COUNTA(F$481:AI$481)/2,0.8,0.5)))</f>
        <v/>
      </c>
      <c r="E491" s="4">
        <f>IF(A491="","",SUMIFS('Логи'!$H$4:$H$3006,'Логи'!$A$4:$A$3006,A491,'Логи'!$C$4:$C$3006,8))</f>
        <v/>
      </c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n"/>
      <c r="AE491" s="15" t="n"/>
      <c r="AF491" s="15" t="n"/>
      <c r="AG491" s="15" t="n"/>
      <c r="AH491" s="15" t="n"/>
      <c r="AI491" s="15" t="n"/>
    </row>
    <row r="492">
      <c r="A492" s="4" t="inlineStr">
        <is>
          <t>Студент3.11</t>
        </is>
      </c>
      <c r="B492" s="4" t="inlineStr"/>
      <c r="C492" s="4">
        <f>IF(A492="","",COUNTIF(F492:AI492,"+")+COUNTIF(F492:AI492,"1"))</f>
        <v/>
      </c>
      <c r="D492" s="4">
        <f>IF(A492="","",IF(C492&gt;2*COUNTA(F$481:AI$481)/3,1,IF(C492&gt;=COUNTA(F$481:AI$481)/2,0.8,0.5)))</f>
        <v/>
      </c>
      <c r="E492" s="4">
        <f>IF(A492="","",SUMIFS('Логи'!$H$4:$H$3006,'Логи'!$A$4:$A$3006,A492,'Логи'!$C$4:$C$3006,8))</f>
        <v/>
      </c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n"/>
      <c r="AE492" s="15" t="n"/>
      <c r="AF492" s="15" t="n"/>
      <c r="AG492" s="15" t="n"/>
      <c r="AH492" s="15" t="n"/>
      <c r="AI492" s="15" t="n"/>
    </row>
    <row r="493">
      <c r="A493" s="4" t="inlineStr">
        <is>
          <t>Студент3.12</t>
        </is>
      </c>
      <c r="B493" s="4" t="inlineStr"/>
      <c r="C493" s="4">
        <f>IF(A493="","",COUNTIF(F493:AI493,"+")+COUNTIF(F493:AI493,"1"))</f>
        <v/>
      </c>
      <c r="D493" s="4">
        <f>IF(A493="","",IF(C493&gt;2*COUNTA(F$481:AI$481)/3,1,IF(C493&gt;=COUNTA(F$481:AI$481)/2,0.8,0.5)))</f>
        <v/>
      </c>
      <c r="E493" s="4">
        <f>IF(A493="","",SUMIFS('Логи'!$H$4:$H$3006,'Логи'!$A$4:$A$3006,A493,'Логи'!$C$4:$C$3006,8))</f>
        <v/>
      </c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n"/>
      <c r="AE493" s="15" t="n"/>
      <c r="AF493" s="15" t="n"/>
      <c r="AG493" s="15" t="n"/>
      <c r="AH493" s="15" t="n"/>
      <c r="AI493" s="15" t="n"/>
    </row>
    <row r="494">
      <c r="A494" s="4" t="inlineStr">
        <is>
          <t>Студент3.13</t>
        </is>
      </c>
      <c r="B494" s="4" t="inlineStr"/>
      <c r="C494" s="4">
        <f>IF(A494="","",COUNTIF(F494:AI494,"+")+COUNTIF(F494:AI494,"1"))</f>
        <v/>
      </c>
      <c r="D494" s="4">
        <f>IF(A494="","",IF(C494&gt;2*COUNTA(F$481:AI$481)/3,1,IF(C494&gt;=COUNTA(F$481:AI$481)/2,0.8,0.5)))</f>
        <v/>
      </c>
      <c r="E494" s="4">
        <f>IF(A494="","",SUMIFS('Логи'!$H$4:$H$3006,'Логи'!$A$4:$A$3006,A494,'Логи'!$C$4:$C$3006,8))</f>
        <v/>
      </c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n"/>
      <c r="AE494" s="15" t="n"/>
      <c r="AF494" s="15" t="n"/>
      <c r="AG494" s="15" t="n"/>
      <c r="AH494" s="15" t="n"/>
      <c r="AI494" s="15" t="n"/>
    </row>
    <row r="495">
      <c r="A495" s="4" t="inlineStr">
        <is>
          <t>Студент3.14</t>
        </is>
      </c>
      <c r="B495" s="4" t="inlineStr"/>
      <c r="C495" s="4">
        <f>IF(A495="","",COUNTIF(F495:AI495,"+")+COUNTIF(F495:AI495,"1"))</f>
        <v/>
      </c>
      <c r="D495" s="4">
        <f>IF(A495="","",IF(C495&gt;2*COUNTA(F$481:AI$481)/3,1,IF(C495&gt;=COUNTA(F$481:AI$481)/2,0.8,0.5)))</f>
        <v/>
      </c>
      <c r="E495" s="4">
        <f>IF(A495="","",SUMIFS('Логи'!$H$4:$H$3006,'Логи'!$A$4:$A$3006,A495,'Логи'!$C$4:$C$3006,8))</f>
        <v/>
      </c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n"/>
      <c r="AE495" s="15" t="n"/>
      <c r="AF495" s="15" t="n"/>
      <c r="AG495" s="15" t="n"/>
      <c r="AH495" s="15" t="n"/>
      <c r="AI495" s="15" t="n"/>
    </row>
    <row r="496">
      <c r="A496" s="4" t="inlineStr">
        <is>
          <t>Студент3.15</t>
        </is>
      </c>
      <c r="B496" s="4" t="inlineStr"/>
      <c r="C496" s="4">
        <f>IF(A496="","",COUNTIF(F496:AI496,"+")+COUNTIF(F496:AI496,"1"))</f>
        <v/>
      </c>
      <c r="D496" s="4">
        <f>IF(A496="","",IF(C496&gt;2*COUNTA(F$481:AI$481)/3,1,IF(C496&gt;=COUNTA(F$481:AI$481)/2,0.8,0.5)))</f>
        <v/>
      </c>
      <c r="E496" s="4">
        <f>IF(A496="","",SUMIFS('Логи'!$H$4:$H$3006,'Логи'!$A$4:$A$3006,A496,'Логи'!$C$4:$C$3006,8))</f>
        <v/>
      </c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5" t="n"/>
      <c r="AE496" s="15" t="n"/>
      <c r="AF496" s="15" t="n"/>
      <c r="AG496" s="15" t="n"/>
      <c r="AH496" s="15" t="n"/>
      <c r="AI496" s="15" t="n"/>
    </row>
    <row r="497">
      <c r="A497" s="4" t="inlineStr">
        <is>
          <t>Студент3.16</t>
        </is>
      </c>
      <c r="B497" s="4" t="inlineStr"/>
      <c r="C497" s="4">
        <f>IF(A497="","",COUNTIF(F497:AI497,"+")+COUNTIF(F497:AI497,"1"))</f>
        <v/>
      </c>
      <c r="D497" s="4">
        <f>IF(A497="","",IF(C497&gt;2*COUNTA(F$481:AI$481)/3,1,IF(C497&gt;=COUNTA(F$481:AI$481)/2,0.8,0.5)))</f>
        <v/>
      </c>
      <c r="E497" s="4">
        <f>IF(A497="","",SUMIFS('Логи'!$H$4:$H$3006,'Логи'!$A$4:$A$3006,A497,'Логи'!$C$4:$C$3006,8))</f>
        <v/>
      </c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5" t="n"/>
      <c r="AE497" s="15" t="n"/>
      <c r="AF497" s="15" t="n"/>
      <c r="AG497" s="15" t="n"/>
      <c r="AH497" s="15" t="n"/>
      <c r="AI497" s="15" t="n"/>
    </row>
    <row r="498">
      <c r="A498" s="4" t="inlineStr">
        <is>
          <t>Студент3.17</t>
        </is>
      </c>
      <c r="B498" s="4" t="inlineStr"/>
      <c r="C498" s="4">
        <f>IF(A498="","",COUNTIF(F498:AI498,"+")+COUNTIF(F498:AI498,"1"))</f>
        <v/>
      </c>
      <c r="D498" s="4">
        <f>IF(A498="","",IF(C498&gt;2*COUNTA(F$481:AI$481)/3,1,IF(C498&gt;=COUNTA(F$481:AI$481)/2,0.8,0.5)))</f>
        <v/>
      </c>
      <c r="E498" s="4">
        <f>IF(A498="","",SUMIFS('Логи'!$H$4:$H$3006,'Логи'!$A$4:$A$3006,A498,'Логи'!$C$4:$C$3006,8))</f>
        <v/>
      </c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  <c r="AF498" s="15" t="n"/>
      <c r="AG498" s="15" t="n"/>
      <c r="AH498" s="15" t="n"/>
      <c r="AI498" s="15" t="n"/>
    </row>
    <row r="499">
      <c r="A499" s="4" t="inlineStr">
        <is>
          <t>Студент3.18</t>
        </is>
      </c>
      <c r="B499" s="4" t="inlineStr"/>
      <c r="C499" s="4">
        <f>IF(A499="","",COUNTIF(F499:AI499,"+")+COUNTIF(F499:AI499,"1"))</f>
        <v/>
      </c>
      <c r="D499" s="4">
        <f>IF(A499="","",IF(C499&gt;2*COUNTA(F$481:AI$481)/3,1,IF(C499&gt;=COUNTA(F$481:AI$481)/2,0.8,0.5)))</f>
        <v/>
      </c>
      <c r="E499" s="4">
        <f>IF(A499="","",SUMIFS('Логи'!$H$4:$H$3006,'Логи'!$A$4:$A$3006,A499,'Логи'!$C$4:$C$3006,8))</f>
        <v/>
      </c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  <c r="AF499" s="15" t="n"/>
      <c r="AG499" s="15" t="n"/>
      <c r="AH499" s="15" t="n"/>
      <c r="AI499" s="15" t="n"/>
    </row>
    <row r="500">
      <c r="A500" s="4" t="inlineStr">
        <is>
          <t>Студент3.19</t>
        </is>
      </c>
      <c r="B500" s="4" t="inlineStr"/>
      <c r="C500" s="4">
        <f>IF(A500="","",COUNTIF(F500:AI500,"+")+COUNTIF(F500:AI500,"1"))</f>
        <v/>
      </c>
      <c r="D500" s="4">
        <f>IF(A500="","",IF(C500&gt;2*COUNTA(F$481:AI$481)/3,1,IF(C500&gt;=COUNTA(F$481:AI$481)/2,0.8,0.5)))</f>
        <v/>
      </c>
      <c r="E500" s="4">
        <f>IF(A500="","",SUMIFS('Логи'!$H$4:$H$3006,'Логи'!$A$4:$A$3006,A500,'Логи'!$C$4:$C$3006,8))</f>
        <v/>
      </c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5" t="n"/>
      <c r="AE500" s="15" t="n"/>
      <c r="AF500" s="15" t="n"/>
      <c r="AG500" s="15" t="n"/>
      <c r="AH500" s="15" t="n"/>
      <c r="AI500" s="15" t="n"/>
    </row>
    <row r="501">
      <c r="A501" s="4" t="inlineStr">
        <is>
          <t>Студент3.20</t>
        </is>
      </c>
      <c r="B501" s="4" t="inlineStr"/>
      <c r="C501" s="4">
        <f>IF(A501="","",COUNTIF(F501:AI501,"+")+COUNTIF(F501:AI501,"1"))</f>
        <v/>
      </c>
      <c r="D501" s="4">
        <f>IF(A501="","",IF(C501&gt;2*COUNTA(F$481:AI$481)/3,1,IF(C501&gt;=COUNTA(F$481:AI$481)/2,0.8,0.5)))</f>
        <v/>
      </c>
      <c r="E501" s="4">
        <f>IF(A501="","",SUMIFS('Логи'!$H$4:$H$3006,'Логи'!$A$4:$A$3006,A501,'Логи'!$C$4:$C$3006,8))</f>
        <v/>
      </c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5" t="n"/>
      <c r="AE501" s="15" t="n"/>
      <c r="AF501" s="15" t="n"/>
      <c r="AG501" s="15" t="n"/>
      <c r="AH501" s="15" t="n"/>
      <c r="AI501" s="15" t="n"/>
    </row>
    <row r="502">
      <c r="A502" s="4" t="inlineStr">
        <is>
          <t>Студент3.21</t>
        </is>
      </c>
      <c r="B502" s="4" t="inlineStr"/>
      <c r="C502" s="4">
        <f>IF(A502="","",COUNTIF(F502:AI502,"+")+COUNTIF(F502:AI502,"1"))</f>
        <v/>
      </c>
      <c r="D502" s="4">
        <f>IF(A502="","",IF(C502&gt;2*COUNTA(F$481:AI$481)/3,1,IF(C502&gt;=COUNTA(F$481:AI$481)/2,0.8,0.5)))</f>
        <v/>
      </c>
      <c r="E502" s="4">
        <f>IF(A502="","",SUMIFS('Логи'!$H$4:$H$3006,'Логи'!$A$4:$A$3006,A502,'Логи'!$C$4:$C$3006,8))</f>
        <v/>
      </c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15" t="n"/>
      <c r="O502" s="15" t="n"/>
      <c r="P502" s="15" t="n"/>
      <c r="Q502" s="15" t="n"/>
      <c r="R502" s="15" t="n"/>
      <c r="S502" s="15" t="n"/>
      <c r="T502" s="15" t="n"/>
      <c r="U502" s="15" t="n"/>
      <c r="V502" s="15" t="n"/>
      <c r="W502" s="15" t="n"/>
      <c r="X502" s="15" t="n"/>
      <c r="Y502" s="15" t="n"/>
      <c r="Z502" s="15" t="n"/>
      <c r="AA502" s="15" t="n"/>
      <c r="AB502" s="15" t="n"/>
      <c r="AC502" s="15" t="n"/>
      <c r="AD502" s="15" t="n"/>
      <c r="AE502" s="15" t="n"/>
      <c r="AF502" s="15" t="n"/>
      <c r="AG502" s="15" t="n"/>
      <c r="AH502" s="15" t="n"/>
      <c r="AI502" s="15" t="n"/>
    </row>
    <row r="503">
      <c r="A503" s="4" t="inlineStr">
        <is>
          <t>Студент3.22</t>
        </is>
      </c>
      <c r="B503" s="4" t="inlineStr"/>
      <c r="C503" s="4">
        <f>IF(A503="","",COUNTIF(F503:AI503,"+")+COUNTIF(F503:AI503,"1"))</f>
        <v/>
      </c>
      <c r="D503" s="4">
        <f>IF(A503="","",IF(C503&gt;2*COUNTA(F$481:AI$481)/3,1,IF(C503&gt;=COUNTA(F$481:AI$481)/2,0.8,0.5)))</f>
        <v/>
      </c>
      <c r="E503" s="4">
        <f>IF(A503="","",SUMIFS('Логи'!$H$4:$H$3006,'Логи'!$A$4:$A$3006,A503,'Логи'!$C$4:$C$3006,8))</f>
        <v/>
      </c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15" t="n"/>
      <c r="O503" s="15" t="n"/>
      <c r="P503" s="15" t="n"/>
      <c r="Q503" s="15" t="n"/>
      <c r="R503" s="15" t="n"/>
      <c r="S503" s="15" t="n"/>
      <c r="T503" s="15" t="n"/>
      <c r="U503" s="15" t="n"/>
      <c r="V503" s="15" t="n"/>
      <c r="W503" s="15" t="n"/>
      <c r="X503" s="15" t="n"/>
      <c r="Y503" s="15" t="n"/>
      <c r="Z503" s="15" t="n"/>
      <c r="AA503" s="15" t="n"/>
      <c r="AB503" s="15" t="n"/>
      <c r="AC503" s="15" t="n"/>
      <c r="AD503" s="15" t="n"/>
      <c r="AE503" s="15" t="n"/>
      <c r="AF503" s="15" t="n"/>
      <c r="AG503" s="15" t="n"/>
      <c r="AH503" s="15" t="n"/>
      <c r="AI503" s="15" t="n"/>
    </row>
    <row r="504">
      <c r="A504" s="4" t="inlineStr">
        <is>
          <t>Студент3.23</t>
        </is>
      </c>
      <c r="B504" s="4" t="inlineStr"/>
      <c r="C504" s="4">
        <f>IF(A504="","",COUNTIF(F504:AI504,"+")+COUNTIF(F504:AI504,"1"))</f>
        <v/>
      </c>
      <c r="D504" s="4">
        <f>IF(A504="","",IF(C504&gt;2*COUNTA(F$481:AI$481)/3,1,IF(C504&gt;=COUNTA(F$481:AI$481)/2,0.8,0.5)))</f>
        <v/>
      </c>
      <c r="E504" s="4">
        <f>IF(A504="","",SUMIFS('Логи'!$H$4:$H$3006,'Логи'!$A$4:$A$3006,A504,'Логи'!$C$4:$C$3006,8))</f>
        <v/>
      </c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  <c r="O504" s="15" t="n"/>
      <c r="P504" s="15" t="n"/>
      <c r="Q504" s="15" t="n"/>
      <c r="R504" s="15" t="n"/>
      <c r="S504" s="15" t="n"/>
      <c r="T504" s="15" t="n"/>
      <c r="U504" s="15" t="n"/>
      <c r="V504" s="15" t="n"/>
      <c r="W504" s="15" t="n"/>
      <c r="X504" s="15" t="n"/>
      <c r="Y504" s="15" t="n"/>
      <c r="Z504" s="15" t="n"/>
      <c r="AA504" s="15" t="n"/>
      <c r="AB504" s="15" t="n"/>
      <c r="AC504" s="15" t="n"/>
      <c r="AD504" s="15" t="n"/>
      <c r="AE504" s="15" t="n"/>
      <c r="AF504" s="15" t="n"/>
      <c r="AG504" s="15" t="n"/>
      <c r="AH504" s="15" t="n"/>
      <c r="AI504" s="15" t="n"/>
    </row>
    <row r="505">
      <c r="A505" s="4" t="inlineStr">
        <is>
          <t>Студент3.24</t>
        </is>
      </c>
      <c r="B505" s="4" t="inlineStr"/>
      <c r="C505" s="4">
        <f>IF(A505="","",COUNTIF(F505:AI505,"+")+COUNTIF(F505:AI505,"1"))</f>
        <v/>
      </c>
      <c r="D505" s="4">
        <f>IF(A505="","",IF(C505&gt;2*COUNTA(F$481:AI$481)/3,1,IF(C505&gt;=COUNTA(F$481:AI$481)/2,0.8,0.5)))</f>
        <v/>
      </c>
      <c r="E505" s="4">
        <f>IF(A505="","",SUMIFS('Логи'!$H$4:$H$3006,'Логи'!$A$4:$A$3006,A505,'Логи'!$C$4:$C$3006,8))</f>
        <v/>
      </c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  <c r="O505" s="15" t="n"/>
      <c r="P505" s="15" t="n"/>
      <c r="Q505" s="15" t="n"/>
      <c r="R505" s="15" t="n"/>
      <c r="S505" s="15" t="n"/>
      <c r="T505" s="15" t="n"/>
      <c r="U505" s="15" t="n"/>
      <c r="V505" s="15" t="n"/>
      <c r="W505" s="15" t="n"/>
      <c r="X505" s="15" t="n"/>
      <c r="Y505" s="15" t="n"/>
      <c r="Z505" s="15" t="n"/>
      <c r="AA505" s="15" t="n"/>
      <c r="AB505" s="15" t="n"/>
      <c r="AC505" s="15" t="n"/>
      <c r="AD505" s="15" t="n"/>
      <c r="AE505" s="15" t="n"/>
      <c r="AF505" s="15" t="n"/>
      <c r="AG505" s="15" t="n"/>
      <c r="AH505" s="15" t="n"/>
      <c r="AI505" s="15" t="n"/>
    </row>
    <row r="506">
      <c r="A506" s="4" t="inlineStr">
        <is>
          <t>Студент3.25</t>
        </is>
      </c>
      <c r="B506" s="4" t="inlineStr"/>
      <c r="C506" s="4">
        <f>IF(A506="","",COUNTIF(F506:AI506,"+")+COUNTIF(F506:AI506,"1"))</f>
        <v/>
      </c>
      <c r="D506" s="4">
        <f>IF(A506="","",IF(C506&gt;2*COUNTA(F$481:AI$481)/3,1,IF(C506&gt;=COUNTA(F$481:AI$481)/2,0.8,0.5)))</f>
        <v/>
      </c>
      <c r="E506" s="4">
        <f>IF(A506="","",SUMIFS('Логи'!$H$4:$H$3006,'Логи'!$A$4:$A$3006,A506,'Логи'!$C$4:$C$3006,8))</f>
        <v/>
      </c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  <c r="O506" s="15" t="n"/>
      <c r="P506" s="15" t="n"/>
      <c r="Q506" s="15" t="n"/>
      <c r="R506" s="15" t="n"/>
      <c r="S506" s="15" t="n"/>
      <c r="T506" s="15" t="n"/>
      <c r="U506" s="15" t="n"/>
      <c r="V506" s="15" t="n"/>
      <c r="W506" s="15" t="n"/>
      <c r="X506" s="15" t="n"/>
      <c r="Y506" s="15" t="n"/>
      <c r="Z506" s="15" t="n"/>
      <c r="AA506" s="15" t="n"/>
      <c r="AB506" s="15" t="n"/>
      <c r="AC506" s="15" t="n"/>
      <c r="AD506" s="15" t="n"/>
      <c r="AE506" s="15" t="n"/>
      <c r="AF506" s="15" t="n"/>
      <c r="AG506" s="15" t="n"/>
      <c r="AH506" s="15" t="n"/>
      <c r="AI506" s="15" t="n"/>
    </row>
    <row r="507">
      <c r="A507" s="4" t="inlineStr">
        <is>
          <t>Студент3.26</t>
        </is>
      </c>
      <c r="B507" s="4" t="inlineStr"/>
      <c r="C507" s="4">
        <f>IF(A507="","",COUNTIF(F507:AI507,"+")+COUNTIF(F507:AI507,"1"))</f>
        <v/>
      </c>
      <c r="D507" s="4">
        <f>IF(A507="","",IF(C507&gt;2*COUNTA(F$481:AI$481)/3,1,IF(C507&gt;=COUNTA(F$481:AI$481)/2,0.8,0.5)))</f>
        <v/>
      </c>
      <c r="E507" s="4">
        <f>IF(A507="","",SUMIFS('Логи'!$H$4:$H$3006,'Логи'!$A$4:$A$3006,A507,'Логи'!$C$4:$C$3006,8))</f>
        <v/>
      </c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  <c r="O507" s="15" t="n"/>
      <c r="P507" s="15" t="n"/>
      <c r="Q507" s="15" t="n"/>
      <c r="R507" s="15" t="n"/>
      <c r="S507" s="15" t="n"/>
      <c r="T507" s="15" t="n"/>
      <c r="U507" s="15" t="n"/>
      <c r="V507" s="15" t="n"/>
      <c r="W507" s="15" t="n"/>
      <c r="X507" s="15" t="n"/>
      <c r="Y507" s="15" t="n"/>
      <c r="Z507" s="15" t="n"/>
      <c r="AA507" s="15" t="n"/>
      <c r="AB507" s="15" t="n"/>
      <c r="AC507" s="15" t="n"/>
      <c r="AD507" s="15" t="n"/>
      <c r="AE507" s="15" t="n"/>
      <c r="AF507" s="15" t="n"/>
      <c r="AG507" s="15" t="n"/>
      <c r="AH507" s="15" t="n"/>
      <c r="AI507" s="15" t="n"/>
    </row>
    <row r="508">
      <c r="A508" s="4" t="inlineStr">
        <is>
          <t>Студент3.27</t>
        </is>
      </c>
      <c r="B508" s="4" t="inlineStr"/>
      <c r="C508" s="4">
        <f>IF(A508="","",COUNTIF(F508:AI508,"+")+COUNTIF(F508:AI508,"1"))</f>
        <v/>
      </c>
      <c r="D508" s="4">
        <f>IF(A508="","",IF(C508&gt;2*COUNTA(F$481:AI$481)/3,1,IF(C508&gt;=COUNTA(F$481:AI$481)/2,0.8,0.5)))</f>
        <v/>
      </c>
      <c r="E508" s="4">
        <f>IF(A508="","",SUMIFS('Логи'!$H$4:$H$3006,'Логи'!$A$4:$A$3006,A508,'Логи'!$C$4:$C$3006,8))</f>
        <v/>
      </c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  <c r="O508" s="15" t="n"/>
      <c r="P508" s="15" t="n"/>
      <c r="Q508" s="15" t="n"/>
      <c r="R508" s="15" t="n"/>
      <c r="S508" s="15" t="n"/>
      <c r="T508" s="15" t="n"/>
      <c r="U508" s="15" t="n"/>
      <c r="V508" s="15" t="n"/>
      <c r="W508" s="15" t="n"/>
      <c r="X508" s="15" t="n"/>
      <c r="Y508" s="15" t="n"/>
      <c r="Z508" s="15" t="n"/>
      <c r="AA508" s="15" t="n"/>
      <c r="AB508" s="15" t="n"/>
      <c r="AC508" s="15" t="n"/>
      <c r="AD508" s="15" t="n"/>
      <c r="AE508" s="15" t="n"/>
      <c r="AF508" s="15" t="n"/>
      <c r="AG508" s="15" t="n"/>
      <c r="AH508" s="15" t="n"/>
      <c r="AI508" s="15" t="n"/>
    </row>
    <row r="509">
      <c r="A509" s="4" t="inlineStr">
        <is>
          <t>Студент3.28</t>
        </is>
      </c>
      <c r="B509" s="4" t="inlineStr"/>
      <c r="C509" s="4">
        <f>IF(A509="","",COUNTIF(F509:AI509,"+")+COUNTIF(F509:AI509,"1"))</f>
        <v/>
      </c>
      <c r="D509" s="4">
        <f>IF(A509="","",IF(C509&gt;2*COUNTA(F$481:AI$481)/3,1,IF(C509&gt;=COUNTA(F$481:AI$481)/2,0.8,0.5)))</f>
        <v/>
      </c>
      <c r="E509" s="4">
        <f>IF(A509="","",SUMIFS('Логи'!$H$4:$H$3006,'Логи'!$A$4:$A$3006,A509,'Логи'!$C$4:$C$3006,8))</f>
        <v/>
      </c>
      <c r="F509" s="15" t="n"/>
      <c r="G509" s="15" t="n"/>
      <c r="H509" s="15" t="n"/>
      <c r="I509" s="15" t="n"/>
      <c r="J509" s="15" t="n"/>
      <c r="K509" s="15" t="n"/>
      <c r="L509" s="15" t="n"/>
      <c r="M509" s="15" t="n"/>
      <c r="N509" s="15" t="n"/>
      <c r="O509" s="15" t="n"/>
      <c r="P509" s="15" t="n"/>
      <c r="Q509" s="15" t="n"/>
      <c r="R509" s="15" t="n"/>
      <c r="S509" s="15" t="n"/>
      <c r="T509" s="15" t="n"/>
      <c r="U509" s="15" t="n"/>
      <c r="V509" s="15" t="n"/>
      <c r="W509" s="15" t="n"/>
      <c r="X509" s="15" t="n"/>
      <c r="Y509" s="15" t="n"/>
      <c r="Z509" s="15" t="n"/>
      <c r="AA509" s="15" t="n"/>
      <c r="AB509" s="15" t="n"/>
      <c r="AC509" s="15" t="n"/>
      <c r="AD509" s="15" t="n"/>
      <c r="AE509" s="15" t="n"/>
      <c r="AF509" s="15" t="n"/>
      <c r="AG509" s="15" t="n"/>
      <c r="AH509" s="15" t="n"/>
      <c r="AI509" s="15" t="n"/>
    </row>
    <row r="510">
      <c r="A510" s="4" t="inlineStr">
        <is>
          <t>Студент3.29</t>
        </is>
      </c>
      <c r="B510" s="4" t="inlineStr"/>
      <c r="C510" s="4">
        <f>IF(A510="","",COUNTIF(F510:AI510,"+")+COUNTIF(F510:AI510,"1"))</f>
        <v/>
      </c>
      <c r="D510" s="4">
        <f>IF(A510="","",IF(C510&gt;2*COUNTA(F$481:AI$481)/3,1,IF(C510&gt;=COUNTA(F$481:AI$481)/2,0.8,0.5)))</f>
        <v/>
      </c>
      <c r="E510" s="4">
        <f>IF(A510="","",SUMIFS('Логи'!$H$4:$H$3006,'Логи'!$A$4:$A$3006,A510,'Логи'!$C$4:$C$3006,8))</f>
        <v/>
      </c>
      <c r="F510" s="15" t="n"/>
      <c r="G510" s="15" t="n"/>
      <c r="H510" s="15" t="n"/>
      <c r="I510" s="15" t="n"/>
      <c r="J510" s="15" t="n"/>
      <c r="K510" s="15" t="n"/>
      <c r="L510" s="15" t="n"/>
      <c r="M510" s="15" t="n"/>
      <c r="N510" s="15" t="n"/>
      <c r="O510" s="15" t="n"/>
      <c r="P510" s="15" t="n"/>
      <c r="Q510" s="15" t="n"/>
      <c r="R510" s="15" t="n"/>
      <c r="S510" s="15" t="n"/>
      <c r="T510" s="15" t="n"/>
      <c r="U510" s="15" t="n"/>
      <c r="V510" s="15" t="n"/>
      <c r="W510" s="15" t="n"/>
      <c r="X510" s="15" t="n"/>
      <c r="Y510" s="15" t="n"/>
      <c r="Z510" s="15" t="n"/>
      <c r="AA510" s="15" t="n"/>
      <c r="AB510" s="15" t="n"/>
      <c r="AC510" s="15" t="n"/>
      <c r="AD510" s="15" t="n"/>
      <c r="AE510" s="15" t="n"/>
      <c r="AF510" s="15" t="n"/>
      <c r="AG510" s="15" t="n"/>
      <c r="AH510" s="15" t="n"/>
      <c r="AI510" s="15" t="n"/>
    </row>
    <row r="511">
      <c r="A511" s="4" t="inlineStr">
        <is>
          <t>Студент3.30</t>
        </is>
      </c>
      <c r="B511" s="4" t="inlineStr"/>
      <c r="C511" s="4">
        <f>IF(A511="","",COUNTIF(F511:AI511,"+")+COUNTIF(F511:AI511,"1"))</f>
        <v/>
      </c>
      <c r="D511" s="4">
        <f>IF(A511="","",IF(C511&gt;2*COUNTA(F$481:AI$481)/3,1,IF(C511&gt;=COUNTA(F$481:AI$481)/2,0.8,0.5)))</f>
        <v/>
      </c>
      <c r="E511" s="4">
        <f>IF(A511="","",SUMIFS('Логи'!$H$4:$H$3006,'Логи'!$A$4:$A$3006,A511,'Логи'!$C$4:$C$3006,8))</f>
        <v/>
      </c>
      <c r="F511" s="15" t="n"/>
      <c r="G511" s="15" t="n"/>
      <c r="H511" s="15" t="n"/>
      <c r="I511" s="15" t="n"/>
      <c r="J511" s="15" t="n"/>
      <c r="K511" s="15" t="n"/>
      <c r="L511" s="15" t="n"/>
      <c r="M511" s="15" t="n"/>
      <c r="N511" s="15" t="n"/>
      <c r="O511" s="15" t="n"/>
      <c r="P511" s="15" t="n"/>
      <c r="Q511" s="15" t="n"/>
      <c r="R511" s="15" t="n"/>
      <c r="S511" s="15" t="n"/>
      <c r="T511" s="15" t="n"/>
      <c r="U511" s="15" t="n"/>
      <c r="V511" s="15" t="n"/>
      <c r="W511" s="15" t="n"/>
      <c r="X511" s="15" t="n"/>
      <c r="Y511" s="15" t="n"/>
      <c r="Z511" s="15" t="n"/>
      <c r="AA511" s="15" t="n"/>
      <c r="AB511" s="15" t="n"/>
      <c r="AC511" s="15" t="n"/>
      <c r="AD511" s="15" t="n"/>
      <c r="AE511" s="15" t="n"/>
      <c r="AF511" s="15" t="n"/>
      <c r="AG511" s="15" t="n"/>
      <c r="AH511" s="15" t="n"/>
      <c r="AI511" s="15" t="n"/>
    </row>
    <row r="513">
      <c r="A513" s="16" t="inlineStr">
        <is>
          <t>Практика 8 — результаты рассказа</t>
        </is>
      </c>
    </row>
    <row r="514" ht="28" customHeight="1">
      <c r="A514" s="7" t="inlineStr">
        <is>
          <t>Имя</t>
        </is>
      </c>
      <c r="B514" s="9" t="inlineStr">
        <is>
          <t>TG</t>
        </is>
      </c>
      <c r="C514" s="10" t="inlineStr"/>
      <c r="D514" s="2" t="inlineStr"/>
      <c r="E514" s="2" t="inlineStr"/>
      <c r="F514" s="11" t="inlineStr">
        <is>
          <t>1.0</t>
        </is>
      </c>
      <c r="G514" s="11" t="inlineStr">
        <is>
          <t>2.0</t>
        </is>
      </c>
      <c r="H514" s="11" t="inlineStr">
        <is>
          <t>3.0</t>
        </is>
      </c>
      <c r="I514" s="11" t="inlineStr">
        <is>
          <t>4.0</t>
        </is>
      </c>
      <c r="J514" s="11" t="inlineStr">
        <is>
          <t>5.0</t>
        </is>
      </c>
      <c r="K514" s="11" t="inlineStr">
        <is>
          <t>6</t>
        </is>
      </c>
      <c r="L514" s="11" t="inlineStr">
        <is>
          <t>7</t>
        </is>
      </c>
      <c r="M514" s="11" t="inlineStr">
        <is>
          <t>8</t>
        </is>
      </c>
      <c r="N514" s="11" t="inlineStr">
        <is>
          <t>9</t>
        </is>
      </c>
      <c r="O514" s="11" t="inlineStr">
        <is>
          <t>10</t>
        </is>
      </c>
      <c r="P514" s="11" t="inlineStr">
        <is>
          <t>11</t>
        </is>
      </c>
      <c r="Q514" s="11" t="inlineStr">
        <is>
          <t>12</t>
        </is>
      </c>
      <c r="R514" s="11" t="inlineStr">
        <is>
          <t>13</t>
        </is>
      </c>
      <c r="S514" s="11" t="inlineStr">
        <is>
          <t>14</t>
        </is>
      </c>
      <c r="T514" s="11" t="inlineStr">
        <is>
          <t>15</t>
        </is>
      </c>
      <c r="U514" s="11" t="inlineStr">
        <is>
          <t>16</t>
        </is>
      </c>
      <c r="V514" s="11" t="inlineStr">
        <is>
          <t>17</t>
        </is>
      </c>
      <c r="W514" s="11" t="inlineStr">
        <is>
          <t>18</t>
        </is>
      </c>
      <c r="X514" s="11" t="inlineStr">
        <is>
          <t>19</t>
        </is>
      </c>
      <c r="Y514" s="11" t="inlineStr">
        <is>
          <t>20</t>
        </is>
      </c>
      <c r="Z514" s="11" t="inlineStr">
        <is>
          <t>21</t>
        </is>
      </c>
      <c r="AA514" s="11" t="inlineStr">
        <is>
          <t>22</t>
        </is>
      </c>
      <c r="AB514" s="11" t="inlineStr">
        <is>
          <t>23</t>
        </is>
      </c>
      <c r="AC514" s="11" t="inlineStr">
        <is>
          <t>24</t>
        </is>
      </c>
      <c r="AD514" s="11" t="inlineStr">
        <is>
          <t>25</t>
        </is>
      </c>
      <c r="AE514" s="11" t="inlineStr">
        <is>
          <t>26</t>
        </is>
      </c>
      <c r="AF514" s="11" t="inlineStr">
        <is>
          <t>27</t>
        </is>
      </c>
      <c r="AG514" s="11" t="inlineStr">
        <is>
          <t>28</t>
        </is>
      </c>
      <c r="AH514" s="11" t="inlineStr">
        <is>
          <t>29</t>
        </is>
      </c>
      <c r="AI514" s="11" t="inlineStr">
        <is>
          <t>30</t>
        </is>
      </c>
    </row>
    <row r="515">
      <c r="A515" s="4" t="inlineStr">
        <is>
          <t>Студент3.1</t>
        </is>
      </c>
      <c r="B515" s="4" t="inlineStr"/>
      <c r="C515" s="4" t="n"/>
      <c r="D515" s="4" t="n"/>
      <c r="E515" s="4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  <c r="O515" s="15" t="n"/>
      <c r="P515" s="15" t="n"/>
      <c r="Q515" s="15" t="n"/>
      <c r="R515" s="15" t="n"/>
      <c r="S515" s="15" t="n"/>
      <c r="T515" s="15" t="n"/>
      <c r="U515" s="15" t="n"/>
      <c r="V515" s="15" t="n"/>
      <c r="W515" s="15" t="n"/>
      <c r="X515" s="15" t="n"/>
      <c r="Y515" s="15" t="n"/>
      <c r="Z515" s="15" t="n"/>
      <c r="AA515" s="15" t="n"/>
      <c r="AB515" s="15" t="n"/>
      <c r="AC515" s="15" t="n"/>
      <c r="AD515" s="15" t="n"/>
      <c r="AE515" s="15" t="n"/>
      <c r="AF515" s="15" t="n"/>
      <c r="AG515" s="15" t="n"/>
      <c r="AH515" s="15" t="n"/>
      <c r="AI515" s="15" t="n"/>
    </row>
    <row r="516">
      <c r="A516" s="4" t="inlineStr">
        <is>
          <t>Студент3.2</t>
        </is>
      </c>
      <c r="B516" s="4" t="inlineStr"/>
      <c r="C516" s="4" t="n"/>
      <c r="D516" s="4" t="n"/>
      <c r="E516" s="4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  <c r="O516" s="15" t="n"/>
      <c r="P516" s="15" t="n"/>
      <c r="Q516" s="15" t="n"/>
      <c r="R516" s="15" t="n"/>
      <c r="S516" s="15" t="n"/>
      <c r="T516" s="15" t="n"/>
      <c r="U516" s="15" t="n"/>
      <c r="V516" s="15" t="n"/>
      <c r="W516" s="15" t="n"/>
      <c r="X516" s="15" t="n"/>
      <c r="Y516" s="15" t="n"/>
      <c r="Z516" s="15" t="n"/>
      <c r="AA516" s="15" t="n"/>
      <c r="AB516" s="15" t="n"/>
      <c r="AC516" s="15" t="n"/>
      <c r="AD516" s="15" t="n"/>
      <c r="AE516" s="15" t="n"/>
      <c r="AF516" s="15" t="n"/>
      <c r="AG516" s="15" t="n"/>
      <c r="AH516" s="15" t="n"/>
      <c r="AI516" s="15" t="n"/>
    </row>
    <row r="517">
      <c r="A517" s="4" t="inlineStr">
        <is>
          <t>Студент3.3</t>
        </is>
      </c>
      <c r="B517" s="4" t="inlineStr"/>
      <c r="C517" s="4" t="n"/>
      <c r="D517" s="4" t="n"/>
      <c r="E517" s="4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  <c r="O517" s="15" t="n"/>
      <c r="P517" s="15" t="n"/>
      <c r="Q517" s="15" t="n"/>
      <c r="R517" s="15" t="n"/>
      <c r="S517" s="15" t="n"/>
      <c r="T517" s="15" t="n"/>
      <c r="U517" s="15" t="n"/>
      <c r="V517" s="15" t="n"/>
      <c r="W517" s="15" t="n"/>
      <c r="X517" s="15" t="n"/>
      <c r="Y517" s="15" t="n"/>
      <c r="Z517" s="15" t="n"/>
      <c r="AA517" s="15" t="n"/>
      <c r="AB517" s="15" t="n"/>
      <c r="AC517" s="15" t="n"/>
      <c r="AD517" s="15" t="n"/>
      <c r="AE517" s="15" t="n"/>
      <c r="AF517" s="15" t="n"/>
      <c r="AG517" s="15" t="n"/>
      <c r="AH517" s="15" t="n"/>
      <c r="AI517" s="15" t="n"/>
    </row>
    <row r="518">
      <c r="A518" s="4" t="inlineStr">
        <is>
          <t>Студент3.4</t>
        </is>
      </c>
      <c r="B518" s="4" t="inlineStr"/>
      <c r="C518" s="4" t="n"/>
      <c r="D518" s="4" t="n"/>
      <c r="E518" s="4" t="n"/>
      <c r="F518" s="15" t="n"/>
      <c r="G518" s="15" t="n"/>
      <c r="H518" s="15" t="n"/>
      <c r="I518" s="15" t="n"/>
      <c r="J518" s="15" t="n"/>
      <c r="K518" s="15" t="n"/>
      <c r="L518" s="15" t="n"/>
      <c r="M518" s="15" t="n"/>
      <c r="N518" s="15" t="n"/>
      <c r="O518" s="15" t="n"/>
      <c r="P518" s="15" t="n"/>
      <c r="Q518" s="15" t="n"/>
      <c r="R518" s="15" t="n"/>
      <c r="S518" s="15" t="n"/>
      <c r="T518" s="15" t="n"/>
      <c r="U518" s="15" t="n"/>
      <c r="V518" s="15" t="n"/>
      <c r="W518" s="15" t="n"/>
      <c r="X518" s="15" t="n"/>
      <c r="Y518" s="15" t="n"/>
      <c r="Z518" s="15" t="n"/>
      <c r="AA518" s="15" t="n"/>
      <c r="AB518" s="15" t="n"/>
      <c r="AC518" s="15" t="n"/>
      <c r="AD518" s="15" t="n"/>
      <c r="AE518" s="15" t="n"/>
      <c r="AF518" s="15" t="n"/>
      <c r="AG518" s="15" t="n"/>
      <c r="AH518" s="15" t="n"/>
      <c r="AI518" s="15" t="n"/>
    </row>
    <row r="519">
      <c r="A519" s="4" t="inlineStr">
        <is>
          <t>Студент3.5</t>
        </is>
      </c>
      <c r="B519" s="4" t="inlineStr"/>
      <c r="C519" s="4" t="n"/>
      <c r="D519" s="4" t="n"/>
      <c r="E519" s="4" t="n"/>
      <c r="F519" s="15" t="n"/>
      <c r="G519" s="15" t="n"/>
      <c r="H519" s="15" t="n"/>
      <c r="I519" s="15" t="n"/>
      <c r="J519" s="15" t="n"/>
      <c r="K519" s="15" t="n"/>
      <c r="L519" s="15" t="n"/>
      <c r="M519" s="15" t="n"/>
      <c r="N519" s="15" t="n"/>
      <c r="O519" s="15" t="n"/>
      <c r="P519" s="15" t="n"/>
      <c r="Q519" s="15" t="n"/>
      <c r="R519" s="15" t="n"/>
      <c r="S519" s="15" t="n"/>
      <c r="T519" s="15" t="n"/>
      <c r="U519" s="15" t="n"/>
      <c r="V519" s="15" t="n"/>
      <c r="W519" s="15" t="n"/>
      <c r="X519" s="15" t="n"/>
      <c r="Y519" s="15" t="n"/>
      <c r="Z519" s="15" t="n"/>
      <c r="AA519" s="15" t="n"/>
      <c r="AB519" s="15" t="n"/>
      <c r="AC519" s="15" t="n"/>
      <c r="AD519" s="15" t="n"/>
      <c r="AE519" s="15" t="n"/>
      <c r="AF519" s="15" t="n"/>
      <c r="AG519" s="15" t="n"/>
      <c r="AH519" s="15" t="n"/>
      <c r="AI519" s="15" t="n"/>
    </row>
    <row r="520">
      <c r="A520" s="4" t="inlineStr">
        <is>
          <t>Студент3.6</t>
        </is>
      </c>
      <c r="B520" s="4" t="inlineStr"/>
      <c r="C520" s="4" t="n"/>
      <c r="D520" s="4" t="n"/>
      <c r="E520" s="4" t="n"/>
      <c r="F520" s="15" t="n"/>
      <c r="G520" s="15" t="n"/>
      <c r="H520" s="15" t="n"/>
      <c r="I520" s="15" t="n"/>
      <c r="J520" s="15" t="n"/>
      <c r="K520" s="15" t="n"/>
      <c r="L520" s="15" t="n"/>
      <c r="M520" s="15" t="n"/>
      <c r="N520" s="15" t="n"/>
      <c r="O520" s="15" t="n"/>
      <c r="P520" s="15" t="n"/>
      <c r="Q520" s="15" t="n"/>
      <c r="R520" s="15" t="n"/>
      <c r="S520" s="15" t="n"/>
      <c r="T520" s="15" t="n"/>
      <c r="U520" s="15" t="n"/>
      <c r="V520" s="15" t="n"/>
      <c r="W520" s="15" t="n"/>
      <c r="X520" s="15" t="n"/>
      <c r="Y520" s="15" t="n"/>
      <c r="Z520" s="15" t="n"/>
      <c r="AA520" s="15" t="n"/>
      <c r="AB520" s="15" t="n"/>
      <c r="AC520" s="15" t="n"/>
      <c r="AD520" s="15" t="n"/>
      <c r="AE520" s="15" t="n"/>
      <c r="AF520" s="15" t="n"/>
      <c r="AG520" s="15" t="n"/>
      <c r="AH520" s="15" t="n"/>
      <c r="AI520" s="15" t="n"/>
    </row>
    <row r="521">
      <c r="A521" s="4" t="inlineStr">
        <is>
          <t>Студент3.7</t>
        </is>
      </c>
      <c r="B521" s="4" t="inlineStr"/>
      <c r="C521" s="4" t="n"/>
      <c r="D521" s="4" t="n"/>
      <c r="E521" s="4" t="n"/>
      <c r="F521" s="15" t="n"/>
      <c r="G521" s="15" t="n"/>
      <c r="H521" s="15" t="n"/>
      <c r="I521" s="15" t="n"/>
      <c r="J521" s="15" t="n"/>
      <c r="K521" s="15" t="n"/>
      <c r="L521" s="15" t="n"/>
      <c r="M521" s="15" t="n"/>
      <c r="N521" s="15" t="n"/>
      <c r="O521" s="15" t="n"/>
      <c r="P521" s="15" t="n"/>
      <c r="Q521" s="15" t="n"/>
      <c r="R521" s="15" t="n"/>
      <c r="S521" s="15" t="n"/>
      <c r="T521" s="15" t="n"/>
      <c r="U521" s="15" t="n"/>
      <c r="V521" s="15" t="n"/>
      <c r="W521" s="15" t="n"/>
      <c r="X521" s="15" t="n"/>
      <c r="Y521" s="15" t="n"/>
      <c r="Z521" s="15" t="n"/>
      <c r="AA521" s="15" t="n"/>
      <c r="AB521" s="15" t="n"/>
      <c r="AC521" s="15" t="n"/>
      <c r="AD521" s="15" t="n"/>
      <c r="AE521" s="15" t="n"/>
      <c r="AF521" s="15" t="n"/>
      <c r="AG521" s="15" t="n"/>
      <c r="AH521" s="15" t="n"/>
      <c r="AI521" s="15" t="n"/>
    </row>
    <row r="522">
      <c r="A522" s="4" t="inlineStr">
        <is>
          <t>Студент3.8</t>
        </is>
      </c>
      <c r="B522" s="4" t="inlineStr"/>
      <c r="C522" s="4" t="n"/>
      <c r="D522" s="4" t="n"/>
      <c r="E522" s="4" t="n"/>
      <c r="F522" s="15" t="n"/>
      <c r="G522" s="15" t="n"/>
      <c r="H522" s="15" t="n"/>
      <c r="I522" s="15" t="n"/>
      <c r="J522" s="15" t="n"/>
      <c r="K522" s="15" t="n"/>
      <c r="L522" s="15" t="n"/>
      <c r="M522" s="15" t="n"/>
      <c r="N522" s="15" t="n"/>
      <c r="O522" s="15" t="n"/>
      <c r="P522" s="15" t="n"/>
      <c r="Q522" s="15" t="n"/>
      <c r="R522" s="15" t="n"/>
      <c r="S522" s="15" t="n"/>
      <c r="T522" s="15" t="n"/>
      <c r="U522" s="15" t="n"/>
      <c r="V522" s="15" t="n"/>
      <c r="W522" s="15" t="n"/>
      <c r="X522" s="15" t="n"/>
      <c r="Y522" s="15" t="n"/>
      <c r="Z522" s="15" t="n"/>
      <c r="AA522" s="15" t="n"/>
      <c r="AB522" s="15" t="n"/>
      <c r="AC522" s="15" t="n"/>
      <c r="AD522" s="15" t="n"/>
      <c r="AE522" s="15" t="n"/>
      <c r="AF522" s="15" t="n"/>
      <c r="AG522" s="15" t="n"/>
      <c r="AH522" s="15" t="n"/>
      <c r="AI522" s="15" t="n"/>
    </row>
    <row r="523">
      <c r="A523" s="4" t="inlineStr">
        <is>
          <t>Студент3.9</t>
        </is>
      </c>
      <c r="B523" s="4" t="inlineStr"/>
      <c r="C523" s="4" t="n"/>
      <c r="D523" s="4" t="n"/>
      <c r="E523" s="4" t="n"/>
      <c r="F523" s="15" t="n"/>
      <c r="G523" s="15" t="n"/>
      <c r="H523" s="15" t="n"/>
      <c r="I523" s="15" t="n"/>
      <c r="J523" s="15" t="n"/>
      <c r="K523" s="15" t="n"/>
      <c r="L523" s="15" t="n"/>
      <c r="M523" s="15" t="n"/>
      <c r="N523" s="15" t="n"/>
      <c r="O523" s="15" t="n"/>
      <c r="P523" s="15" t="n"/>
      <c r="Q523" s="15" t="n"/>
      <c r="R523" s="15" t="n"/>
      <c r="S523" s="15" t="n"/>
      <c r="T523" s="15" t="n"/>
      <c r="U523" s="15" t="n"/>
      <c r="V523" s="15" t="n"/>
      <c r="W523" s="15" t="n"/>
      <c r="X523" s="15" t="n"/>
      <c r="Y523" s="15" t="n"/>
      <c r="Z523" s="15" t="n"/>
      <c r="AA523" s="15" t="n"/>
      <c r="AB523" s="15" t="n"/>
      <c r="AC523" s="15" t="n"/>
      <c r="AD523" s="15" t="n"/>
      <c r="AE523" s="15" t="n"/>
      <c r="AF523" s="15" t="n"/>
      <c r="AG523" s="15" t="n"/>
      <c r="AH523" s="15" t="n"/>
      <c r="AI523" s="15" t="n"/>
    </row>
    <row r="524">
      <c r="A524" s="4" t="inlineStr">
        <is>
          <t>Студент3.10</t>
        </is>
      </c>
      <c r="B524" s="4" t="inlineStr"/>
      <c r="C524" s="4" t="n"/>
      <c r="D524" s="4" t="n"/>
      <c r="E524" s="4" t="n"/>
      <c r="F524" s="15" t="n"/>
      <c r="G524" s="15" t="n"/>
      <c r="H524" s="15" t="n"/>
      <c r="I524" s="15" t="n"/>
      <c r="J524" s="15" t="n"/>
      <c r="K524" s="15" t="n"/>
      <c r="L524" s="15" t="n"/>
      <c r="M524" s="15" t="n"/>
      <c r="N524" s="15" t="n"/>
      <c r="O524" s="15" t="n"/>
      <c r="P524" s="15" t="n"/>
      <c r="Q524" s="15" t="n"/>
      <c r="R524" s="15" t="n"/>
      <c r="S524" s="15" t="n"/>
      <c r="T524" s="15" t="n"/>
      <c r="U524" s="15" t="n"/>
      <c r="V524" s="15" t="n"/>
      <c r="W524" s="15" t="n"/>
      <c r="X524" s="15" t="n"/>
      <c r="Y524" s="15" t="n"/>
      <c r="Z524" s="15" t="n"/>
      <c r="AA524" s="15" t="n"/>
      <c r="AB524" s="15" t="n"/>
      <c r="AC524" s="15" t="n"/>
      <c r="AD524" s="15" t="n"/>
      <c r="AE524" s="15" t="n"/>
      <c r="AF524" s="15" t="n"/>
      <c r="AG524" s="15" t="n"/>
      <c r="AH524" s="15" t="n"/>
      <c r="AI524" s="15" t="n"/>
    </row>
    <row r="525">
      <c r="A525" s="4" t="inlineStr">
        <is>
          <t>Студент3.11</t>
        </is>
      </c>
      <c r="B525" s="4" t="inlineStr"/>
      <c r="C525" s="4" t="n"/>
      <c r="D525" s="4" t="n"/>
      <c r="E525" s="4" t="n"/>
      <c r="F525" s="15" t="n"/>
      <c r="G525" s="15" t="n"/>
      <c r="H525" s="15" t="n"/>
      <c r="I525" s="15" t="n"/>
      <c r="J525" s="15" t="n"/>
      <c r="K525" s="15" t="n"/>
      <c r="L525" s="15" t="n"/>
      <c r="M525" s="15" t="n"/>
      <c r="N525" s="15" t="n"/>
      <c r="O525" s="15" t="n"/>
      <c r="P525" s="15" t="n"/>
      <c r="Q525" s="15" t="n"/>
      <c r="R525" s="15" t="n"/>
      <c r="S525" s="15" t="n"/>
      <c r="T525" s="15" t="n"/>
      <c r="U525" s="15" t="n"/>
      <c r="V525" s="15" t="n"/>
      <c r="W525" s="15" t="n"/>
      <c r="X525" s="15" t="n"/>
      <c r="Y525" s="15" t="n"/>
      <c r="Z525" s="15" t="n"/>
      <c r="AA525" s="15" t="n"/>
      <c r="AB525" s="15" t="n"/>
      <c r="AC525" s="15" t="n"/>
      <c r="AD525" s="15" t="n"/>
      <c r="AE525" s="15" t="n"/>
      <c r="AF525" s="15" t="n"/>
      <c r="AG525" s="15" t="n"/>
      <c r="AH525" s="15" t="n"/>
      <c r="AI525" s="15" t="n"/>
    </row>
    <row r="526">
      <c r="A526" s="4" t="inlineStr">
        <is>
          <t>Студент3.12</t>
        </is>
      </c>
      <c r="B526" s="4" t="inlineStr"/>
      <c r="C526" s="4" t="n"/>
      <c r="D526" s="4" t="n"/>
      <c r="E526" s="4" t="n"/>
      <c r="F526" s="15" t="n"/>
      <c r="G526" s="15" t="n"/>
      <c r="H526" s="15" t="n"/>
      <c r="I526" s="15" t="n"/>
      <c r="J526" s="15" t="n"/>
      <c r="K526" s="15" t="n"/>
      <c r="L526" s="15" t="n"/>
      <c r="M526" s="15" t="n"/>
      <c r="N526" s="15" t="n"/>
      <c r="O526" s="15" t="n"/>
      <c r="P526" s="15" t="n"/>
      <c r="Q526" s="15" t="n"/>
      <c r="R526" s="15" t="n"/>
      <c r="S526" s="15" t="n"/>
      <c r="T526" s="15" t="n"/>
      <c r="U526" s="15" t="n"/>
      <c r="V526" s="15" t="n"/>
      <c r="W526" s="15" t="n"/>
      <c r="X526" s="15" t="n"/>
      <c r="Y526" s="15" t="n"/>
      <c r="Z526" s="15" t="n"/>
      <c r="AA526" s="15" t="n"/>
      <c r="AB526" s="15" t="n"/>
      <c r="AC526" s="15" t="n"/>
      <c r="AD526" s="15" t="n"/>
      <c r="AE526" s="15" t="n"/>
      <c r="AF526" s="15" t="n"/>
      <c r="AG526" s="15" t="n"/>
      <c r="AH526" s="15" t="n"/>
      <c r="AI526" s="15" t="n"/>
    </row>
    <row r="527">
      <c r="A527" s="4" t="inlineStr">
        <is>
          <t>Студент3.13</t>
        </is>
      </c>
      <c r="B527" s="4" t="inlineStr"/>
      <c r="C527" s="4" t="n"/>
      <c r="D527" s="4" t="n"/>
      <c r="E527" s="4" t="n"/>
      <c r="F527" s="15" t="n"/>
      <c r="G527" s="15" t="n"/>
      <c r="H527" s="15" t="n"/>
      <c r="I527" s="15" t="n"/>
      <c r="J527" s="15" t="n"/>
      <c r="K527" s="15" t="n"/>
      <c r="L527" s="15" t="n"/>
      <c r="M527" s="15" t="n"/>
      <c r="N527" s="15" t="n"/>
      <c r="O527" s="15" t="n"/>
      <c r="P527" s="15" t="n"/>
      <c r="Q527" s="15" t="n"/>
      <c r="R527" s="15" t="n"/>
      <c r="S527" s="15" t="n"/>
      <c r="T527" s="15" t="n"/>
      <c r="U527" s="15" t="n"/>
      <c r="V527" s="15" t="n"/>
      <c r="W527" s="15" t="n"/>
      <c r="X527" s="15" t="n"/>
      <c r="Y527" s="15" t="n"/>
      <c r="Z527" s="15" t="n"/>
      <c r="AA527" s="15" t="n"/>
      <c r="AB527" s="15" t="n"/>
      <c r="AC527" s="15" t="n"/>
      <c r="AD527" s="15" t="n"/>
      <c r="AE527" s="15" t="n"/>
      <c r="AF527" s="15" t="n"/>
      <c r="AG527" s="15" t="n"/>
      <c r="AH527" s="15" t="n"/>
      <c r="AI527" s="15" t="n"/>
    </row>
    <row r="528">
      <c r="A528" s="4" t="inlineStr">
        <is>
          <t>Студент3.14</t>
        </is>
      </c>
      <c r="B528" s="4" t="inlineStr"/>
      <c r="C528" s="4" t="n"/>
      <c r="D528" s="4" t="n"/>
      <c r="E528" s="4" t="n"/>
      <c r="F528" s="15" t="n"/>
      <c r="G528" s="15" t="n"/>
      <c r="H528" s="15" t="n"/>
      <c r="I528" s="15" t="n"/>
      <c r="J528" s="15" t="n"/>
      <c r="K528" s="15" t="n"/>
      <c r="L528" s="15" t="n"/>
      <c r="M528" s="15" t="n"/>
      <c r="N528" s="15" t="n"/>
      <c r="O528" s="15" t="n"/>
      <c r="P528" s="15" t="n"/>
      <c r="Q528" s="15" t="n"/>
      <c r="R528" s="15" t="n"/>
      <c r="S528" s="15" t="n"/>
      <c r="T528" s="15" t="n"/>
      <c r="U528" s="15" t="n"/>
      <c r="V528" s="15" t="n"/>
      <c r="W528" s="15" t="n"/>
      <c r="X528" s="15" t="n"/>
      <c r="Y528" s="15" t="n"/>
      <c r="Z528" s="15" t="n"/>
      <c r="AA528" s="15" t="n"/>
      <c r="AB528" s="15" t="n"/>
      <c r="AC528" s="15" t="n"/>
      <c r="AD528" s="15" t="n"/>
      <c r="AE528" s="15" t="n"/>
      <c r="AF528" s="15" t="n"/>
      <c r="AG528" s="15" t="n"/>
      <c r="AH528" s="15" t="n"/>
      <c r="AI528" s="15" t="n"/>
    </row>
    <row r="529">
      <c r="A529" s="4" t="inlineStr">
        <is>
          <t>Студент3.15</t>
        </is>
      </c>
      <c r="B529" s="4" t="inlineStr"/>
      <c r="C529" s="4" t="n"/>
      <c r="D529" s="4" t="n"/>
      <c r="E529" s="4" t="n"/>
      <c r="F529" s="15" t="n"/>
      <c r="G529" s="15" t="n"/>
      <c r="H529" s="15" t="n"/>
      <c r="I529" s="15" t="n"/>
      <c r="J529" s="15" t="n"/>
      <c r="K529" s="15" t="n"/>
      <c r="L529" s="15" t="n"/>
      <c r="M529" s="15" t="n"/>
      <c r="N529" s="15" t="n"/>
      <c r="O529" s="15" t="n"/>
      <c r="P529" s="15" t="n"/>
      <c r="Q529" s="15" t="n"/>
      <c r="R529" s="15" t="n"/>
      <c r="S529" s="15" t="n"/>
      <c r="T529" s="15" t="n"/>
      <c r="U529" s="15" t="n"/>
      <c r="V529" s="15" t="n"/>
      <c r="W529" s="15" t="n"/>
      <c r="X529" s="15" t="n"/>
      <c r="Y529" s="15" t="n"/>
      <c r="Z529" s="15" t="n"/>
      <c r="AA529" s="15" t="n"/>
      <c r="AB529" s="15" t="n"/>
      <c r="AC529" s="15" t="n"/>
      <c r="AD529" s="15" t="n"/>
      <c r="AE529" s="15" t="n"/>
      <c r="AF529" s="15" t="n"/>
      <c r="AG529" s="15" t="n"/>
      <c r="AH529" s="15" t="n"/>
      <c r="AI529" s="15" t="n"/>
    </row>
    <row r="530">
      <c r="A530" s="4" t="inlineStr">
        <is>
          <t>Студент3.16</t>
        </is>
      </c>
      <c r="B530" s="4" t="inlineStr"/>
      <c r="C530" s="4" t="n"/>
      <c r="D530" s="4" t="n"/>
      <c r="E530" s="4" t="n"/>
      <c r="F530" s="15" t="n"/>
      <c r="G530" s="15" t="n"/>
      <c r="H530" s="15" t="n"/>
      <c r="I530" s="15" t="n"/>
      <c r="J530" s="15" t="n"/>
      <c r="K530" s="15" t="n"/>
      <c r="L530" s="15" t="n"/>
      <c r="M530" s="15" t="n"/>
      <c r="N530" s="15" t="n"/>
      <c r="O530" s="15" t="n"/>
      <c r="P530" s="15" t="n"/>
      <c r="Q530" s="15" t="n"/>
      <c r="R530" s="15" t="n"/>
      <c r="S530" s="15" t="n"/>
      <c r="T530" s="15" t="n"/>
      <c r="U530" s="15" t="n"/>
      <c r="V530" s="15" t="n"/>
      <c r="W530" s="15" t="n"/>
      <c r="X530" s="15" t="n"/>
      <c r="Y530" s="15" t="n"/>
      <c r="Z530" s="15" t="n"/>
      <c r="AA530" s="15" t="n"/>
      <c r="AB530" s="15" t="n"/>
      <c r="AC530" s="15" t="n"/>
      <c r="AD530" s="15" t="n"/>
      <c r="AE530" s="15" t="n"/>
      <c r="AF530" s="15" t="n"/>
      <c r="AG530" s="15" t="n"/>
      <c r="AH530" s="15" t="n"/>
      <c r="AI530" s="15" t="n"/>
    </row>
    <row r="531">
      <c r="A531" s="4" t="inlineStr">
        <is>
          <t>Студент3.17</t>
        </is>
      </c>
      <c r="B531" s="4" t="inlineStr"/>
      <c r="C531" s="4" t="n"/>
      <c r="D531" s="4" t="n"/>
      <c r="E531" s="4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  <c r="P531" s="15" t="n"/>
      <c r="Q531" s="15" t="n"/>
      <c r="R531" s="15" t="n"/>
      <c r="S531" s="15" t="n"/>
      <c r="T531" s="15" t="n"/>
      <c r="U531" s="15" t="n"/>
      <c r="V531" s="15" t="n"/>
      <c r="W531" s="15" t="n"/>
      <c r="X531" s="15" t="n"/>
      <c r="Y531" s="15" t="n"/>
      <c r="Z531" s="15" t="n"/>
      <c r="AA531" s="15" t="n"/>
      <c r="AB531" s="15" t="n"/>
      <c r="AC531" s="15" t="n"/>
      <c r="AD531" s="15" t="n"/>
      <c r="AE531" s="15" t="n"/>
      <c r="AF531" s="15" t="n"/>
      <c r="AG531" s="15" t="n"/>
      <c r="AH531" s="15" t="n"/>
      <c r="AI531" s="15" t="n"/>
    </row>
    <row r="532">
      <c r="A532" s="4" t="inlineStr">
        <is>
          <t>Студент3.18</t>
        </is>
      </c>
      <c r="B532" s="4" t="inlineStr"/>
      <c r="C532" s="4" t="n"/>
      <c r="D532" s="4" t="n"/>
      <c r="E532" s="4" t="n"/>
      <c r="F532" s="15" t="n"/>
      <c r="G532" s="15" t="n"/>
      <c r="H532" s="15" t="n"/>
      <c r="I532" s="15" t="n"/>
      <c r="J532" s="15" t="n"/>
      <c r="K532" s="15" t="n"/>
      <c r="L532" s="15" t="n"/>
      <c r="M532" s="15" t="n"/>
      <c r="N532" s="15" t="n"/>
      <c r="O532" s="15" t="n"/>
      <c r="P532" s="15" t="n"/>
      <c r="Q532" s="15" t="n"/>
      <c r="R532" s="15" t="n"/>
      <c r="S532" s="15" t="n"/>
      <c r="T532" s="15" t="n"/>
      <c r="U532" s="15" t="n"/>
      <c r="V532" s="15" t="n"/>
      <c r="W532" s="15" t="n"/>
      <c r="X532" s="15" t="n"/>
      <c r="Y532" s="15" t="n"/>
      <c r="Z532" s="15" t="n"/>
      <c r="AA532" s="15" t="n"/>
      <c r="AB532" s="15" t="n"/>
      <c r="AC532" s="15" t="n"/>
      <c r="AD532" s="15" t="n"/>
      <c r="AE532" s="15" t="n"/>
      <c r="AF532" s="15" t="n"/>
      <c r="AG532" s="15" t="n"/>
      <c r="AH532" s="15" t="n"/>
      <c r="AI532" s="15" t="n"/>
    </row>
    <row r="533">
      <c r="A533" s="4" t="inlineStr">
        <is>
          <t>Студент3.19</t>
        </is>
      </c>
      <c r="B533" s="4" t="inlineStr"/>
      <c r="C533" s="4" t="n"/>
      <c r="D533" s="4" t="n"/>
      <c r="E533" s="4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  <c r="O533" s="15" t="n"/>
      <c r="P533" s="15" t="n"/>
      <c r="Q533" s="15" t="n"/>
      <c r="R533" s="15" t="n"/>
      <c r="S533" s="15" t="n"/>
      <c r="T533" s="15" t="n"/>
      <c r="U533" s="15" t="n"/>
      <c r="V533" s="15" t="n"/>
      <c r="W533" s="15" t="n"/>
      <c r="X533" s="15" t="n"/>
      <c r="Y533" s="15" t="n"/>
      <c r="Z533" s="15" t="n"/>
      <c r="AA533" s="15" t="n"/>
      <c r="AB533" s="15" t="n"/>
      <c r="AC533" s="15" t="n"/>
      <c r="AD533" s="15" t="n"/>
      <c r="AE533" s="15" t="n"/>
      <c r="AF533" s="15" t="n"/>
      <c r="AG533" s="15" t="n"/>
      <c r="AH533" s="15" t="n"/>
      <c r="AI533" s="15" t="n"/>
    </row>
    <row r="534">
      <c r="A534" s="4" t="inlineStr">
        <is>
          <t>Студент3.20</t>
        </is>
      </c>
      <c r="B534" s="4" t="inlineStr"/>
      <c r="C534" s="4" t="n"/>
      <c r="D534" s="4" t="n"/>
      <c r="E534" s="4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  <c r="O534" s="15" t="n"/>
      <c r="P534" s="15" t="n"/>
      <c r="Q534" s="15" t="n"/>
      <c r="R534" s="15" t="n"/>
      <c r="S534" s="15" t="n"/>
      <c r="T534" s="15" t="n"/>
      <c r="U534" s="15" t="n"/>
      <c r="V534" s="15" t="n"/>
      <c r="W534" s="15" t="n"/>
      <c r="X534" s="15" t="n"/>
      <c r="Y534" s="15" t="n"/>
      <c r="Z534" s="15" t="n"/>
      <c r="AA534" s="15" t="n"/>
      <c r="AB534" s="15" t="n"/>
      <c r="AC534" s="15" t="n"/>
      <c r="AD534" s="15" t="n"/>
      <c r="AE534" s="15" t="n"/>
      <c r="AF534" s="15" t="n"/>
      <c r="AG534" s="15" t="n"/>
      <c r="AH534" s="15" t="n"/>
      <c r="AI534" s="15" t="n"/>
    </row>
    <row r="535">
      <c r="A535" s="4" t="inlineStr">
        <is>
          <t>Студент3.21</t>
        </is>
      </c>
      <c r="B535" s="4" t="inlineStr"/>
      <c r="C535" s="4" t="n"/>
      <c r="D535" s="4" t="n"/>
      <c r="E535" s="4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  <c r="O535" s="15" t="n"/>
      <c r="P535" s="15" t="n"/>
      <c r="Q535" s="15" t="n"/>
      <c r="R535" s="15" t="n"/>
      <c r="S535" s="15" t="n"/>
      <c r="T535" s="15" t="n"/>
      <c r="U535" s="15" t="n"/>
      <c r="V535" s="15" t="n"/>
      <c r="W535" s="15" t="n"/>
      <c r="X535" s="15" t="n"/>
      <c r="Y535" s="15" t="n"/>
      <c r="Z535" s="15" t="n"/>
      <c r="AA535" s="15" t="n"/>
      <c r="AB535" s="15" t="n"/>
      <c r="AC535" s="15" t="n"/>
      <c r="AD535" s="15" t="n"/>
      <c r="AE535" s="15" t="n"/>
      <c r="AF535" s="15" t="n"/>
      <c r="AG535" s="15" t="n"/>
      <c r="AH535" s="15" t="n"/>
      <c r="AI535" s="15" t="n"/>
    </row>
    <row r="536">
      <c r="A536" s="4" t="inlineStr">
        <is>
          <t>Студент3.22</t>
        </is>
      </c>
      <c r="B536" s="4" t="inlineStr"/>
      <c r="C536" s="4" t="n"/>
      <c r="D536" s="4" t="n"/>
      <c r="E536" s="4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5" t="n"/>
      <c r="P536" s="15" t="n"/>
      <c r="Q536" s="15" t="n"/>
      <c r="R536" s="15" t="n"/>
      <c r="S536" s="15" t="n"/>
      <c r="T536" s="15" t="n"/>
      <c r="U536" s="15" t="n"/>
      <c r="V536" s="15" t="n"/>
      <c r="W536" s="15" t="n"/>
      <c r="X536" s="15" t="n"/>
      <c r="Y536" s="15" t="n"/>
      <c r="Z536" s="15" t="n"/>
      <c r="AA536" s="15" t="n"/>
      <c r="AB536" s="15" t="n"/>
      <c r="AC536" s="15" t="n"/>
      <c r="AD536" s="15" t="n"/>
      <c r="AE536" s="15" t="n"/>
      <c r="AF536" s="15" t="n"/>
      <c r="AG536" s="15" t="n"/>
      <c r="AH536" s="15" t="n"/>
      <c r="AI536" s="15" t="n"/>
    </row>
    <row r="537">
      <c r="A537" s="4" t="inlineStr">
        <is>
          <t>Студент3.23</t>
        </is>
      </c>
      <c r="B537" s="4" t="inlineStr"/>
      <c r="C537" s="4" t="n"/>
      <c r="D537" s="4" t="n"/>
      <c r="E537" s="4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  <c r="O537" s="15" t="n"/>
      <c r="P537" s="15" t="n"/>
      <c r="Q537" s="15" t="n"/>
      <c r="R537" s="15" t="n"/>
      <c r="S537" s="15" t="n"/>
      <c r="T537" s="15" t="n"/>
      <c r="U537" s="15" t="n"/>
      <c r="V537" s="15" t="n"/>
      <c r="W537" s="15" t="n"/>
      <c r="X537" s="15" t="n"/>
      <c r="Y537" s="15" t="n"/>
      <c r="Z537" s="15" t="n"/>
      <c r="AA537" s="15" t="n"/>
      <c r="AB537" s="15" t="n"/>
      <c r="AC537" s="15" t="n"/>
      <c r="AD537" s="15" t="n"/>
      <c r="AE537" s="15" t="n"/>
      <c r="AF537" s="15" t="n"/>
      <c r="AG537" s="15" t="n"/>
      <c r="AH537" s="15" t="n"/>
      <c r="AI537" s="15" t="n"/>
    </row>
    <row r="538">
      <c r="A538" s="4" t="inlineStr">
        <is>
          <t>Студент3.24</t>
        </is>
      </c>
      <c r="B538" s="4" t="inlineStr"/>
      <c r="C538" s="4" t="n"/>
      <c r="D538" s="4" t="n"/>
      <c r="E538" s="4" t="n"/>
      <c r="F538" s="15" t="n"/>
      <c r="G538" s="15" t="n"/>
      <c r="H538" s="15" t="n"/>
      <c r="I538" s="15" t="n"/>
      <c r="J538" s="15" t="n"/>
      <c r="K538" s="15" t="n"/>
      <c r="L538" s="15" t="n"/>
      <c r="M538" s="15" t="n"/>
      <c r="N538" s="15" t="n"/>
      <c r="O538" s="15" t="n"/>
      <c r="P538" s="15" t="n"/>
      <c r="Q538" s="15" t="n"/>
      <c r="R538" s="15" t="n"/>
      <c r="S538" s="15" t="n"/>
      <c r="T538" s="15" t="n"/>
      <c r="U538" s="15" t="n"/>
      <c r="V538" s="15" t="n"/>
      <c r="W538" s="15" t="n"/>
      <c r="X538" s="15" t="n"/>
      <c r="Y538" s="15" t="n"/>
      <c r="Z538" s="15" t="n"/>
      <c r="AA538" s="15" t="n"/>
      <c r="AB538" s="15" t="n"/>
      <c r="AC538" s="15" t="n"/>
      <c r="AD538" s="15" t="n"/>
      <c r="AE538" s="15" t="n"/>
      <c r="AF538" s="15" t="n"/>
      <c r="AG538" s="15" t="n"/>
      <c r="AH538" s="15" t="n"/>
      <c r="AI538" s="15" t="n"/>
    </row>
    <row r="539">
      <c r="A539" s="4" t="inlineStr">
        <is>
          <t>Студент3.25</t>
        </is>
      </c>
      <c r="B539" s="4" t="inlineStr"/>
      <c r="C539" s="4" t="n"/>
      <c r="D539" s="4" t="n"/>
      <c r="E539" s="4" t="n"/>
      <c r="F539" s="15" t="n"/>
      <c r="G539" s="15" t="n"/>
      <c r="H539" s="15" t="n"/>
      <c r="I539" s="15" t="n"/>
      <c r="J539" s="15" t="n"/>
      <c r="K539" s="15" t="n"/>
      <c r="L539" s="15" t="n"/>
      <c r="M539" s="15" t="n"/>
      <c r="N539" s="15" t="n"/>
      <c r="O539" s="15" t="n"/>
      <c r="P539" s="15" t="n"/>
      <c r="Q539" s="15" t="n"/>
      <c r="R539" s="15" t="n"/>
      <c r="S539" s="15" t="n"/>
      <c r="T539" s="15" t="n"/>
      <c r="U539" s="15" t="n"/>
      <c r="V539" s="15" t="n"/>
      <c r="W539" s="15" t="n"/>
      <c r="X539" s="15" t="n"/>
      <c r="Y539" s="15" t="n"/>
      <c r="Z539" s="15" t="n"/>
      <c r="AA539" s="15" t="n"/>
      <c r="AB539" s="15" t="n"/>
      <c r="AC539" s="15" t="n"/>
      <c r="AD539" s="15" t="n"/>
      <c r="AE539" s="15" t="n"/>
      <c r="AF539" s="15" t="n"/>
      <c r="AG539" s="15" t="n"/>
      <c r="AH539" s="15" t="n"/>
      <c r="AI539" s="15" t="n"/>
    </row>
    <row r="540">
      <c r="A540" s="4" t="inlineStr">
        <is>
          <t>Студент3.26</t>
        </is>
      </c>
      <c r="B540" s="4" t="inlineStr"/>
      <c r="C540" s="4" t="n"/>
      <c r="D540" s="4" t="n"/>
      <c r="E540" s="4" t="n"/>
      <c r="F540" s="15" t="n"/>
      <c r="G540" s="15" t="n"/>
      <c r="H540" s="15" t="n"/>
      <c r="I540" s="15" t="n"/>
      <c r="J540" s="15" t="n"/>
      <c r="K540" s="15" t="n"/>
      <c r="L540" s="15" t="n"/>
      <c r="M540" s="15" t="n"/>
      <c r="N540" s="15" t="n"/>
      <c r="O540" s="15" t="n"/>
      <c r="P540" s="15" t="n"/>
      <c r="Q540" s="15" t="n"/>
      <c r="R540" s="15" t="n"/>
      <c r="S540" s="15" t="n"/>
      <c r="T540" s="15" t="n"/>
      <c r="U540" s="15" t="n"/>
      <c r="V540" s="15" t="n"/>
      <c r="W540" s="15" t="n"/>
      <c r="X540" s="15" t="n"/>
      <c r="Y540" s="15" t="n"/>
      <c r="Z540" s="15" t="n"/>
      <c r="AA540" s="15" t="n"/>
      <c r="AB540" s="15" t="n"/>
      <c r="AC540" s="15" t="n"/>
      <c r="AD540" s="15" t="n"/>
      <c r="AE540" s="15" t="n"/>
      <c r="AF540" s="15" t="n"/>
      <c r="AG540" s="15" t="n"/>
      <c r="AH540" s="15" t="n"/>
      <c r="AI540" s="15" t="n"/>
    </row>
    <row r="541">
      <c r="A541" s="4" t="inlineStr">
        <is>
          <t>Студент3.27</t>
        </is>
      </c>
      <c r="B541" s="4" t="inlineStr"/>
      <c r="C541" s="4" t="n"/>
      <c r="D541" s="4" t="n"/>
      <c r="E541" s="4" t="n"/>
      <c r="F541" s="15" t="n"/>
      <c r="G541" s="15" t="n"/>
      <c r="H541" s="15" t="n"/>
      <c r="I541" s="15" t="n"/>
      <c r="J541" s="15" t="n"/>
      <c r="K541" s="15" t="n"/>
      <c r="L541" s="15" t="n"/>
      <c r="M541" s="15" t="n"/>
      <c r="N541" s="15" t="n"/>
      <c r="O541" s="15" t="n"/>
      <c r="P541" s="15" t="n"/>
      <c r="Q541" s="15" t="n"/>
      <c r="R541" s="15" t="n"/>
      <c r="S541" s="15" t="n"/>
      <c r="T541" s="15" t="n"/>
      <c r="U541" s="15" t="n"/>
      <c r="V541" s="15" t="n"/>
      <c r="W541" s="15" t="n"/>
      <c r="X541" s="15" t="n"/>
      <c r="Y541" s="15" t="n"/>
      <c r="Z541" s="15" t="n"/>
      <c r="AA541" s="15" t="n"/>
      <c r="AB541" s="15" t="n"/>
      <c r="AC541" s="15" t="n"/>
      <c r="AD541" s="15" t="n"/>
      <c r="AE541" s="15" t="n"/>
      <c r="AF541" s="15" t="n"/>
      <c r="AG541" s="15" t="n"/>
      <c r="AH541" s="15" t="n"/>
      <c r="AI541" s="15" t="n"/>
    </row>
    <row r="542">
      <c r="A542" s="4" t="inlineStr">
        <is>
          <t>Студент3.28</t>
        </is>
      </c>
      <c r="B542" s="4" t="inlineStr"/>
      <c r="C542" s="4" t="n"/>
      <c r="D542" s="4" t="n"/>
      <c r="E542" s="4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  <c r="O542" s="15" t="n"/>
      <c r="P542" s="15" t="n"/>
      <c r="Q542" s="15" t="n"/>
      <c r="R542" s="15" t="n"/>
      <c r="S542" s="15" t="n"/>
      <c r="T542" s="15" t="n"/>
      <c r="U542" s="15" t="n"/>
      <c r="V542" s="15" t="n"/>
      <c r="W542" s="15" t="n"/>
      <c r="X542" s="15" t="n"/>
      <c r="Y542" s="15" t="n"/>
      <c r="Z542" s="15" t="n"/>
      <c r="AA542" s="15" t="n"/>
      <c r="AB542" s="15" t="n"/>
      <c r="AC542" s="15" t="n"/>
      <c r="AD542" s="15" t="n"/>
      <c r="AE542" s="15" t="n"/>
      <c r="AF542" s="15" t="n"/>
      <c r="AG542" s="15" t="n"/>
      <c r="AH542" s="15" t="n"/>
      <c r="AI542" s="15" t="n"/>
    </row>
    <row r="543">
      <c r="A543" s="4" t="inlineStr">
        <is>
          <t>Студент3.29</t>
        </is>
      </c>
      <c r="B543" s="4" t="inlineStr"/>
      <c r="C543" s="4" t="n"/>
      <c r="D543" s="4" t="n"/>
      <c r="E543" s="4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  <c r="O543" s="15" t="n"/>
      <c r="P543" s="15" t="n"/>
      <c r="Q543" s="15" t="n"/>
      <c r="R543" s="15" t="n"/>
      <c r="S543" s="15" t="n"/>
      <c r="T543" s="15" t="n"/>
      <c r="U543" s="15" t="n"/>
      <c r="V543" s="15" t="n"/>
      <c r="W543" s="15" t="n"/>
      <c r="X543" s="15" t="n"/>
      <c r="Y543" s="15" t="n"/>
      <c r="Z543" s="15" t="n"/>
      <c r="AA543" s="15" t="n"/>
      <c r="AB543" s="15" t="n"/>
      <c r="AC543" s="15" t="n"/>
      <c r="AD543" s="15" t="n"/>
      <c r="AE543" s="15" t="n"/>
      <c r="AF543" s="15" t="n"/>
      <c r="AG543" s="15" t="n"/>
      <c r="AH543" s="15" t="n"/>
      <c r="AI543" s="15" t="n"/>
    </row>
    <row r="544">
      <c r="A544" s="4" t="inlineStr">
        <is>
          <t>Студент3.30</t>
        </is>
      </c>
      <c r="B544" s="4" t="inlineStr"/>
      <c r="C544" s="4" t="n"/>
      <c r="D544" s="4" t="n"/>
      <c r="E544" s="4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  <c r="O544" s="15" t="n"/>
      <c r="P544" s="15" t="n"/>
      <c r="Q544" s="15" t="n"/>
      <c r="R544" s="15" t="n"/>
      <c r="S544" s="15" t="n"/>
      <c r="T544" s="15" t="n"/>
      <c r="U544" s="15" t="n"/>
      <c r="V544" s="15" t="n"/>
      <c r="W544" s="15" t="n"/>
      <c r="X544" s="15" t="n"/>
      <c r="Y544" s="15" t="n"/>
      <c r="Z544" s="15" t="n"/>
      <c r="AA544" s="15" t="n"/>
      <c r="AB544" s="15" t="n"/>
      <c r="AC544" s="15" t="n"/>
      <c r="AD544" s="15" t="n"/>
      <c r="AE544" s="15" t="n"/>
      <c r="AF544" s="15" t="n"/>
      <c r="AG544" s="15" t="n"/>
      <c r="AH544" s="15" t="n"/>
      <c r="AI544" s="15" t="n"/>
    </row>
    <row r="548">
      <c r="A548" s="13" t="inlineStr">
        <is>
          <t>Практика 9 — плюсы</t>
        </is>
      </c>
    </row>
    <row r="549" ht="28" customHeight="1">
      <c r="A549" s="7" t="inlineStr">
        <is>
          <t>Имя</t>
        </is>
      </c>
      <c r="B549" s="9" t="inlineStr">
        <is>
          <t>TG</t>
        </is>
      </c>
      <c r="C549" s="10" t="inlineStr">
        <is>
          <t>S</t>
        </is>
      </c>
      <c r="D549" s="8" t="inlineStr">
        <is>
          <t>Коэффициент</t>
        </is>
      </c>
      <c r="E549" s="14" t="inlineStr">
        <is>
          <t>D за практику</t>
        </is>
      </c>
      <c r="F549" s="11" t="inlineStr">
        <is>
          <t>1.0</t>
        </is>
      </c>
      <c r="G549" s="11" t="inlineStr">
        <is>
          <t>2.0</t>
        </is>
      </c>
      <c r="H549" s="11" t="inlineStr">
        <is>
          <t>3.0</t>
        </is>
      </c>
      <c r="I549" s="11" t="inlineStr">
        <is>
          <t>4.0</t>
        </is>
      </c>
      <c r="J549" s="11" t="inlineStr">
        <is>
          <t>5.0</t>
        </is>
      </c>
      <c r="K549" s="11" t="inlineStr">
        <is>
          <t>6</t>
        </is>
      </c>
      <c r="L549" s="11" t="inlineStr">
        <is>
          <t>7</t>
        </is>
      </c>
      <c r="M549" s="11" t="inlineStr">
        <is>
          <t>8</t>
        </is>
      </c>
      <c r="N549" s="11" t="inlineStr">
        <is>
          <t>9</t>
        </is>
      </c>
      <c r="O549" s="11" t="inlineStr">
        <is>
          <t>10</t>
        </is>
      </c>
      <c r="P549" s="11" t="inlineStr">
        <is>
          <t>11</t>
        </is>
      </c>
      <c r="Q549" s="11" t="inlineStr">
        <is>
          <t>12</t>
        </is>
      </c>
      <c r="R549" s="11" t="inlineStr">
        <is>
          <t>13</t>
        </is>
      </c>
      <c r="S549" s="11" t="inlineStr">
        <is>
          <t>14</t>
        </is>
      </c>
      <c r="T549" s="11" t="inlineStr">
        <is>
          <t>15</t>
        </is>
      </c>
      <c r="U549" s="11" t="inlineStr">
        <is>
          <t>16</t>
        </is>
      </c>
      <c r="V549" s="11" t="inlineStr">
        <is>
          <t>17</t>
        </is>
      </c>
      <c r="W549" s="11" t="inlineStr">
        <is>
          <t>18</t>
        </is>
      </c>
      <c r="X549" s="11" t="inlineStr">
        <is>
          <t>19</t>
        </is>
      </c>
      <c r="Y549" s="11" t="inlineStr">
        <is>
          <t>20</t>
        </is>
      </c>
      <c r="Z549" s="11" t="inlineStr">
        <is>
          <t>21</t>
        </is>
      </c>
      <c r="AA549" s="11" t="inlineStr">
        <is>
          <t>22</t>
        </is>
      </c>
      <c r="AB549" s="11" t="inlineStr">
        <is>
          <t>23</t>
        </is>
      </c>
      <c r="AC549" s="11" t="inlineStr">
        <is>
          <t>24</t>
        </is>
      </c>
      <c r="AD549" s="11" t="inlineStr">
        <is>
          <t>25</t>
        </is>
      </c>
      <c r="AE549" s="11" t="inlineStr">
        <is>
          <t>26</t>
        </is>
      </c>
      <c r="AF549" s="11" t="inlineStr">
        <is>
          <t>27</t>
        </is>
      </c>
      <c r="AG549" s="11" t="inlineStr">
        <is>
          <t>28</t>
        </is>
      </c>
      <c r="AH549" s="11" t="inlineStr">
        <is>
          <t>29</t>
        </is>
      </c>
      <c r="AI549" s="11" t="inlineStr">
        <is>
          <t>30</t>
        </is>
      </c>
    </row>
    <row r="550">
      <c r="A550" s="4" t="inlineStr">
        <is>
          <t>Студент3.1</t>
        </is>
      </c>
      <c r="B550" s="4" t="inlineStr"/>
      <c r="C550" s="4">
        <f>IF(A550="","",COUNTIF(F550:AI550,"+")+COUNTIF(F550:AI550,"1"))</f>
        <v/>
      </c>
      <c r="D550" s="4">
        <f>IF(A550="","",IF(C550&gt;2*COUNTA(F$549:AI$549)/3,1,IF(C550&gt;=COUNTA(F$549:AI$549)/2,0.8,0.5)))</f>
        <v/>
      </c>
      <c r="E550" s="4">
        <f>IF(A550="","",SUMIFS('Логи'!$H$4:$H$3006,'Логи'!$A$4:$A$3006,A550,'Логи'!$C$4:$C$3006,9))</f>
        <v/>
      </c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5" t="n"/>
      <c r="P550" s="15" t="n"/>
      <c r="Q550" s="15" t="n"/>
      <c r="R550" s="15" t="n"/>
      <c r="S550" s="15" t="n"/>
      <c r="T550" s="15" t="n"/>
      <c r="U550" s="15" t="n"/>
      <c r="V550" s="15" t="n"/>
      <c r="W550" s="15" t="n"/>
      <c r="X550" s="15" t="n"/>
      <c r="Y550" s="15" t="n"/>
      <c r="Z550" s="15" t="n"/>
      <c r="AA550" s="15" t="n"/>
      <c r="AB550" s="15" t="n"/>
      <c r="AC550" s="15" t="n"/>
      <c r="AD550" s="15" t="n"/>
      <c r="AE550" s="15" t="n"/>
      <c r="AF550" s="15" t="n"/>
      <c r="AG550" s="15" t="n"/>
      <c r="AH550" s="15" t="n"/>
      <c r="AI550" s="15" t="n"/>
    </row>
    <row r="551">
      <c r="A551" s="4" t="inlineStr">
        <is>
          <t>Студент3.2</t>
        </is>
      </c>
      <c r="B551" s="4" t="inlineStr"/>
      <c r="C551" s="4">
        <f>IF(A551="","",COUNTIF(F551:AI551,"+")+COUNTIF(F551:AI551,"1"))</f>
        <v/>
      </c>
      <c r="D551" s="4">
        <f>IF(A551="","",IF(C551&gt;2*COUNTA(F$549:AI$549)/3,1,IF(C551&gt;=COUNTA(F$549:AI$549)/2,0.8,0.5)))</f>
        <v/>
      </c>
      <c r="E551" s="4">
        <f>IF(A551="","",SUMIFS('Логи'!$H$4:$H$3006,'Логи'!$A$4:$A$3006,A551,'Логи'!$C$4:$C$3006,9))</f>
        <v/>
      </c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  <c r="O551" s="15" t="n"/>
      <c r="P551" s="15" t="n"/>
      <c r="Q551" s="15" t="n"/>
      <c r="R551" s="15" t="n"/>
      <c r="S551" s="15" t="n"/>
      <c r="T551" s="15" t="n"/>
      <c r="U551" s="15" t="n"/>
      <c r="V551" s="15" t="n"/>
      <c r="W551" s="15" t="n"/>
      <c r="X551" s="15" t="n"/>
      <c r="Y551" s="15" t="n"/>
      <c r="Z551" s="15" t="n"/>
      <c r="AA551" s="15" t="n"/>
      <c r="AB551" s="15" t="n"/>
      <c r="AC551" s="15" t="n"/>
      <c r="AD551" s="15" t="n"/>
      <c r="AE551" s="15" t="n"/>
      <c r="AF551" s="15" t="n"/>
      <c r="AG551" s="15" t="n"/>
      <c r="AH551" s="15" t="n"/>
      <c r="AI551" s="15" t="n"/>
    </row>
    <row r="552">
      <c r="A552" s="4" t="inlineStr">
        <is>
          <t>Студент3.3</t>
        </is>
      </c>
      <c r="B552" s="4" t="inlineStr"/>
      <c r="C552" s="4">
        <f>IF(A552="","",COUNTIF(F552:AI552,"+")+COUNTIF(F552:AI552,"1"))</f>
        <v/>
      </c>
      <c r="D552" s="4">
        <f>IF(A552="","",IF(C552&gt;2*COUNTA(F$549:AI$549)/3,1,IF(C552&gt;=COUNTA(F$549:AI$549)/2,0.8,0.5)))</f>
        <v/>
      </c>
      <c r="E552" s="4">
        <f>IF(A552="","",SUMIFS('Логи'!$H$4:$H$3006,'Логи'!$A$4:$A$3006,A552,'Логи'!$C$4:$C$3006,9))</f>
        <v/>
      </c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  <c r="O552" s="15" t="n"/>
      <c r="P552" s="15" t="n"/>
      <c r="Q552" s="15" t="n"/>
      <c r="R552" s="15" t="n"/>
      <c r="S552" s="15" t="n"/>
      <c r="T552" s="15" t="n"/>
      <c r="U552" s="15" t="n"/>
      <c r="V552" s="15" t="n"/>
      <c r="W552" s="15" t="n"/>
      <c r="X552" s="15" t="n"/>
      <c r="Y552" s="15" t="n"/>
      <c r="Z552" s="15" t="n"/>
      <c r="AA552" s="15" t="n"/>
      <c r="AB552" s="15" t="n"/>
      <c r="AC552" s="15" t="n"/>
      <c r="AD552" s="15" t="n"/>
      <c r="AE552" s="15" t="n"/>
      <c r="AF552" s="15" t="n"/>
      <c r="AG552" s="15" t="n"/>
      <c r="AH552" s="15" t="n"/>
      <c r="AI552" s="15" t="n"/>
    </row>
    <row r="553">
      <c r="A553" s="4" t="inlineStr">
        <is>
          <t>Студент3.4</t>
        </is>
      </c>
      <c r="B553" s="4" t="inlineStr"/>
      <c r="C553" s="4">
        <f>IF(A553="","",COUNTIF(F553:AI553,"+")+COUNTIF(F553:AI553,"1"))</f>
        <v/>
      </c>
      <c r="D553" s="4">
        <f>IF(A553="","",IF(C553&gt;2*COUNTA(F$549:AI$549)/3,1,IF(C553&gt;=COUNTA(F$549:AI$549)/2,0.8,0.5)))</f>
        <v/>
      </c>
      <c r="E553" s="4">
        <f>IF(A553="","",SUMIFS('Логи'!$H$4:$H$3006,'Логи'!$A$4:$A$3006,A553,'Логи'!$C$4:$C$3006,9))</f>
        <v/>
      </c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  <c r="O553" s="15" t="n"/>
      <c r="P553" s="15" t="n"/>
      <c r="Q553" s="15" t="n"/>
      <c r="R553" s="15" t="n"/>
      <c r="S553" s="15" t="n"/>
      <c r="T553" s="15" t="n"/>
      <c r="U553" s="15" t="n"/>
      <c r="V553" s="15" t="n"/>
      <c r="W553" s="15" t="n"/>
      <c r="X553" s="15" t="n"/>
      <c r="Y553" s="15" t="n"/>
      <c r="Z553" s="15" t="n"/>
      <c r="AA553" s="15" t="n"/>
      <c r="AB553" s="15" t="n"/>
      <c r="AC553" s="15" t="n"/>
      <c r="AD553" s="15" t="n"/>
      <c r="AE553" s="15" t="n"/>
      <c r="AF553" s="15" t="n"/>
      <c r="AG553" s="15" t="n"/>
      <c r="AH553" s="15" t="n"/>
      <c r="AI553" s="15" t="n"/>
    </row>
    <row r="554">
      <c r="A554" s="4" t="inlineStr">
        <is>
          <t>Студент3.5</t>
        </is>
      </c>
      <c r="B554" s="4" t="inlineStr"/>
      <c r="C554" s="4">
        <f>IF(A554="","",COUNTIF(F554:AI554,"+")+COUNTIF(F554:AI554,"1"))</f>
        <v/>
      </c>
      <c r="D554" s="4">
        <f>IF(A554="","",IF(C554&gt;2*COUNTA(F$549:AI$549)/3,1,IF(C554&gt;=COUNTA(F$549:AI$549)/2,0.8,0.5)))</f>
        <v/>
      </c>
      <c r="E554" s="4">
        <f>IF(A554="","",SUMIFS('Логи'!$H$4:$H$3006,'Логи'!$A$4:$A$3006,A554,'Логи'!$C$4:$C$3006,9))</f>
        <v/>
      </c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  <c r="O554" s="15" t="n"/>
      <c r="P554" s="15" t="n"/>
      <c r="Q554" s="15" t="n"/>
      <c r="R554" s="15" t="n"/>
      <c r="S554" s="15" t="n"/>
      <c r="T554" s="15" t="n"/>
      <c r="U554" s="15" t="n"/>
      <c r="V554" s="15" t="n"/>
      <c r="W554" s="15" t="n"/>
      <c r="X554" s="15" t="n"/>
      <c r="Y554" s="15" t="n"/>
      <c r="Z554" s="15" t="n"/>
      <c r="AA554" s="15" t="n"/>
      <c r="AB554" s="15" t="n"/>
      <c r="AC554" s="15" t="n"/>
      <c r="AD554" s="15" t="n"/>
      <c r="AE554" s="15" t="n"/>
      <c r="AF554" s="15" t="n"/>
      <c r="AG554" s="15" t="n"/>
      <c r="AH554" s="15" t="n"/>
      <c r="AI554" s="15" t="n"/>
    </row>
    <row r="555">
      <c r="A555" s="4" t="inlineStr">
        <is>
          <t>Студент3.6</t>
        </is>
      </c>
      <c r="B555" s="4" t="inlineStr"/>
      <c r="C555" s="4">
        <f>IF(A555="","",COUNTIF(F555:AI555,"+")+COUNTIF(F555:AI555,"1"))</f>
        <v/>
      </c>
      <c r="D555" s="4">
        <f>IF(A555="","",IF(C555&gt;2*COUNTA(F$549:AI$549)/3,1,IF(C555&gt;=COUNTA(F$549:AI$549)/2,0.8,0.5)))</f>
        <v/>
      </c>
      <c r="E555" s="4">
        <f>IF(A555="","",SUMIFS('Логи'!$H$4:$H$3006,'Логи'!$A$4:$A$3006,A555,'Логи'!$C$4:$C$3006,9))</f>
        <v/>
      </c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  <c r="O555" s="15" t="n"/>
      <c r="P555" s="15" t="n"/>
      <c r="Q555" s="15" t="n"/>
      <c r="R555" s="15" t="n"/>
      <c r="S555" s="15" t="n"/>
      <c r="T555" s="15" t="n"/>
      <c r="U555" s="15" t="n"/>
      <c r="V555" s="15" t="n"/>
      <c r="W555" s="15" t="n"/>
      <c r="X555" s="15" t="n"/>
      <c r="Y555" s="15" t="n"/>
      <c r="Z555" s="15" t="n"/>
      <c r="AA555" s="15" t="n"/>
      <c r="AB555" s="15" t="n"/>
      <c r="AC555" s="15" t="n"/>
      <c r="AD555" s="15" t="n"/>
      <c r="AE555" s="15" t="n"/>
      <c r="AF555" s="15" t="n"/>
      <c r="AG555" s="15" t="n"/>
      <c r="AH555" s="15" t="n"/>
      <c r="AI555" s="15" t="n"/>
    </row>
    <row r="556">
      <c r="A556" s="4" t="inlineStr">
        <is>
          <t>Студент3.7</t>
        </is>
      </c>
      <c r="B556" s="4" t="inlineStr"/>
      <c r="C556" s="4">
        <f>IF(A556="","",COUNTIF(F556:AI556,"+")+COUNTIF(F556:AI556,"1"))</f>
        <v/>
      </c>
      <c r="D556" s="4">
        <f>IF(A556="","",IF(C556&gt;2*COUNTA(F$549:AI$549)/3,1,IF(C556&gt;=COUNTA(F$549:AI$549)/2,0.8,0.5)))</f>
        <v/>
      </c>
      <c r="E556" s="4">
        <f>IF(A556="","",SUMIFS('Логи'!$H$4:$H$3006,'Логи'!$A$4:$A$3006,A556,'Логи'!$C$4:$C$3006,9))</f>
        <v/>
      </c>
      <c r="F556" s="15" t="n"/>
      <c r="G556" s="15" t="n"/>
      <c r="H556" s="15" t="n"/>
      <c r="I556" s="15" t="n"/>
      <c r="J556" s="15" t="n"/>
      <c r="K556" s="15" t="n"/>
      <c r="L556" s="15" t="n"/>
      <c r="M556" s="15" t="n"/>
      <c r="N556" s="15" t="n"/>
      <c r="O556" s="15" t="n"/>
      <c r="P556" s="15" t="n"/>
      <c r="Q556" s="15" t="n"/>
      <c r="R556" s="15" t="n"/>
      <c r="S556" s="15" t="n"/>
      <c r="T556" s="15" t="n"/>
      <c r="U556" s="15" t="n"/>
      <c r="V556" s="15" t="n"/>
      <c r="W556" s="15" t="n"/>
      <c r="X556" s="15" t="n"/>
      <c r="Y556" s="15" t="n"/>
      <c r="Z556" s="15" t="n"/>
      <c r="AA556" s="15" t="n"/>
      <c r="AB556" s="15" t="n"/>
      <c r="AC556" s="15" t="n"/>
      <c r="AD556" s="15" t="n"/>
      <c r="AE556" s="15" t="n"/>
      <c r="AF556" s="15" t="n"/>
      <c r="AG556" s="15" t="n"/>
      <c r="AH556" s="15" t="n"/>
      <c r="AI556" s="15" t="n"/>
    </row>
    <row r="557">
      <c r="A557" s="4" t="inlineStr">
        <is>
          <t>Студент3.8</t>
        </is>
      </c>
      <c r="B557" s="4" t="inlineStr"/>
      <c r="C557" s="4">
        <f>IF(A557="","",COUNTIF(F557:AI557,"+")+COUNTIF(F557:AI557,"1"))</f>
        <v/>
      </c>
      <c r="D557" s="4">
        <f>IF(A557="","",IF(C557&gt;2*COUNTA(F$549:AI$549)/3,1,IF(C557&gt;=COUNTA(F$549:AI$549)/2,0.8,0.5)))</f>
        <v/>
      </c>
      <c r="E557" s="4">
        <f>IF(A557="","",SUMIFS('Логи'!$H$4:$H$3006,'Логи'!$A$4:$A$3006,A557,'Логи'!$C$4:$C$3006,9))</f>
        <v/>
      </c>
      <c r="F557" s="15" t="n"/>
      <c r="G557" s="15" t="n"/>
      <c r="H557" s="15" t="n"/>
      <c r="I557" s="15" t="n"/>
      <c r="J557" s="15" t="n"/>
      <c r="K557" s="15" t="n"/>
      <c r="L557" s="15" t="n"/>
      <c r="M557" s="15" t="n"/>
      <c r="N557" s="15" t="n"/>
      <c r="O557" s="15" t="n"/>
      <c r="P557" s="15" t="n"/>
      <c r="Q557" s="15" t="n"/>
      <c r="R557" s="15" t="n"/>
      <c r="S557" s="15" t="n"/>
      <c r="T557" s="15" t="n"/>
      <c r="U557" s="15" t="n"/>
      <c r="V557" s="15" t="n"/>
      <c r="W557" s="15" t="n"/>
      <c r="X557" s="15" t="n"/>
      <c r="Y557" s="15" t="n"/>
      <c r="Z557" s="15" t="n"/>
      <c r="AA557" s="15" t="n"/>
      <c r="AB557" s="15" t="n"/>
      <c r="AC557" s="15" t="n"/>
      <c r="AD557" s="15" t="n"/>
      <c r="AE557" s="15" t="n"/>
      <c r="AF557" s="15" t="n"/>
      <c r="AG557" s="15" t="n"/>
      <c r="AH557" s="15" t="n"/>
      <c r="AI557" s="15" t="n"/>
    </row>
    <row r="558">
      <c r="A558" s="4" t="inlineStr">
        <is>
          <t>Студент3.9</t>
        </is>
      </c>
      <c r="B558" s="4" t="inlineStr"/>
      <c r="C558" s="4">
        <f>IF(A558="","",COUNTIF(F558:AI558,"+")+COUNTIF(F558:AI558,"1"))</f>
        <v/>
      </c>
      <c r="D558" s="4">
        <f>IF(A558="","",IF(C558&gt;2*COUNTA(F$549:AI$549)/3,1,IF(C558&gt;=COUNTA(F$549:AI$549)/2,0.8,0.5)))</f>
        <v/>
      </c>
      <c r="E558" s="4">
        <f>IF(A558="","",SUMIFS('Логи'!$H$4:$H$3006,'Логи'!$A$4:$A$3006,A558,'Логи'!$C$4:$C$3006,9))</f>
        <v/>
      </c>
      <c r="F558" s="15" t="n"/>
      <c r="G558" s="15" t="n"/>
      <c r="H558" s="15" t="n"/>
      <c r="I558" s="15" t="n"/>
      <c r="J558" s="15" t="n"/>
      <c r="K558" s="15" t="n"/>
      <c r="L558" s="15" t="n"/>
      <c r="M558" s="15" t="n"/>
      <c r="N558" s="15" t="n"/>
      <c r="O558" s="15" t="n"/>
      <c r="P558" s="15" t="n"/>
      <c r="Q558" s="15" t="n"/>
      <c r="R558" s="15" t="n"/>
      <c r="S558" s="15" t="n"/>
      <c r="T558" s="15" t="n"/>
      <c r="U558" s="15" t="n"/>
      <c r="V558" s="15" t="n"/>
      <c r="W558" s="15" t="n"/>
      <c r="X558" s="15" t="n"/>
      <c r="Y558" s="15" t="n"/>
      <c r="Z558" s="15" t="n"/>
      <c r="AA558" s="15" t="n"/>
      <c r="AB558" s="15" t="n"/>
      <c r="AC558" s="15" t="n"/>
      <c r="AD558" s="15" t="n"/>
      <c r="AE558" s="15" t="n"/>
      <c r="AF558" s="15" t="n"/>
      <c r="AG558" s="15" t="n"/>
      <c r="AH558" s="15" t="n"/>
      <c r="AI558" s="15" t="n"/>
    </row>
    <row r="559">
      <c r="A559" s="4" t="inlineStr">
        <is>
          <t>Студент3.10</t>
        </is>
      </c>
      <c r="B559" s="4" t="inlineStr"/>
      <c r="C559" s="4">
        <f>IF(A559="","",COUNTIF(F559:AI559,"+")+COUNTIF(F559:AI559,"1"))</f>
        <v/>
      </c>
      <c r="D559" s="4">
        <f>IF(A559="","",IF(C559&gt;2*COUNTA(F$549:AI$549)/3,1,IF(C559&gt;=COUNTA(F$549:AI$549)/2,0.8,0.5)))</f>
        <v/>
      </c>
      <c r="E559" s="4">
        <f>IF(A559="","",SUMIFS('Логи'!$H$4:$H$3006,'Логи'!$A$4:$A$3006,A559,'Логи'!$C$4:$C$3006,9))</f>
        <v/>
      </c>
      <c r="F559" s="15" t="n"/>
      <c r="G559" s="15" t="n"/>
      <c r="H559" s="15" t="n"/>
      <c r="I559" s="15" t="n"/>
      <c r="J559" s="15" t="n"/>
      <c r="K559" s="15" t="n"/>
      <c r="L559" s="15" t="n"/>
      <c r="M559" s="15" t="n"/>
      <c r="N559" s="15" t="n"/>
      <c r="O559" s="15" t="n"/>
      <c r="P559" s="15" t="n"/>
      <c r="Q559" s="15" t="n"/>
      <c r="R559" s="15" t="n"/>
      <c r="S559" s="15" t="n"/>
      <c r="T559" s="15" t="n"/>
      <c r="U559" s="15" t="n"/>
      <c r="V559" s="15" t="n"/>
      <c r="W559" s="15" t="n"/>
      <c r="X559" s="15" t="n"/>
      <c r="Y559" s="15" t="n"/>
      <c r="Z559" s="15" t="n"/>
      <c r="AA559" s="15" t="n"/>
      <c r="AB559" s="15" t="n"/>
      <c r="AC559" s="15" t="n"/>
      <c r="AD559" s="15" t="n"/>
      <c r="AE559" s="15" t="n"/>
      <c r="AF559" s="15" t="n"/>
      <c r="AG559" s="15" t="n"/>
      <c r="AH559" s="15" t="n"/>
      <c r="AI559" s="15" t="n"/>
    </row>
    <row r="560">
      <c r="A560" s="4" t="inlineStr">
        <is>
          <t>Студент3.11</t>
        </is>
      </c>
      <c r="B560" s="4" t="inlineStr"/>
      <c r="C560" s="4">
        <f>IF(A560="","",COUNTIF(F560:AI560,"+")+COUNTIF(F560:AI560,"1"))</f>
        <v/>
      </c>
      <c r="D560" s="4">
        <f>IF(A560="","",IF(C560&gt;2*COUNTA(F$549:AI$549)/3,1,IF(C560&gt;=COUNTA(F$549:AI$549)/2,0.8,0.5)))</f>
        <v/>
      </c>
      <c r="E560" s="4">
        <f>IF(A560="","",SUMIFS('Логи'!$H$4:$H$3006,'Логи'!$A$4:$A$3006,A560,'Логи'!$C$4:$C$3006,9))</f>
        <v/>
      </c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  <c r="O560" s="15" t="n"/>
      <c r="P560" s="15" t="n"/>
      <c r="Q560" s="15" t="n"/>
      <c r="R560" s="15" t="n"/>
      <c r="S560" s="15" t="n"/>
      <c r="T560" s="15" t="n"/>
      <c r="U560" s="15" t="n"/>
      <c r="V560" s="15" t="n"/>
      <c r="W560" s="15" t="n"/>
      <c r="X560" s="15" t="n"/>
      <c r="Y560" s="15" t="n"/>
      <c r="Z560" s="15" t="n"/>
      <c r="AA560" s="15" t="n"/>
      <c r="AB560" s="15" t="n"/>
      <c r="AC560" s="15" t="n"/>
      <c r="AD560" s="15" t="n"/>
      <c r="AE560" s="15" t="n"/>
      <c r="AF560" s="15" t="n"/>
      <c r="AG560" s="15" t="n"/>
      <c r="AH560" s="15" t="n"/>
      <c r="AI560" s="15" t="n"/>
    </row>
    <row r="561">
      <c r="A561" s="4" t="inlineStr">
        <is>
          <t>Студент3.12</t>
        </is>
      </c>
      <c r="B561" s="4" t="inlineStr"/>
      <c r="C561" s="4">
        <f>IF(A561="","",COUNTIF(F561:AI561,"+")+COUNTIF(F561:AI561,"1"))</f>
        <v/>
      </c>
      <c r="D561" s="4">
        <f>IF(A561="","",IF(C561&gt;2*COUNTA(F$549:AI$549)/3,1,IF(C561&gt;=COUNTA(F$549:AI$549)/2,0.8,0.5)))</f>
        <v/>
      </c>
      <c r="E561" s="4">
        <f>IF(A561="","",SUMIFS('Логи'!$H$4:$H$3006,'Логи'!$A$4:$A$3006,A561,'Логи'!$C$4:$C$3006,9))</f>
        <v/>
      </c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5" t="n"/>
      <c r="P561" s="15" t="n"/>
      <c r="Q561" s="15" t="n"/>
      <c r="R561" s="15" t="n"/>
      <c r="S561" s="15" t="n"/>
      <c r="T561" s="15" t="n"/>
      <c r="U561" s="15" t="n"/>
      <c r="V561" s="15" t="n"/>
      <c r="W561" s="15" t="n"/>
      <c r="X561" s="15" t="n"/>
      <c r="Y561" s="15" t="n"/>
      <c r="Z561" s="15" t="n"/>
      <c r="AA561" s="15" t="n"/>
      <c r="AB561" s="15" t="n"/>
      <c r="AC561" s="15" t="n"/>
      <c r="AD561" s="15" t="n"/>
      <c r="AE561" s="15" t="n"/>
      <c r="AF561" s="15" t="n"/>
      <c r="AG561" s="15" t="n"/>
      <c r="AH561" s="15" t="n"/>
      <c r="AI561" s="15" t="n"/>
    </row>
    <row r="562">
      <c r="A562" s="4" t="inlineStr">
        <is>
          <t>Студент3.13</t>
        </is>
      </c>
      <c r="B562" s="4" t="inlineStr"/>
      <c r="C562" s="4">
        <f>IF(A562="","",COUNTIF(F562:AI562,"+")+COUNTIF(F562:AI562,"1"))</f>
        <v/>
      </c>
      <c r="D562" s="4">
        <f>IF(A562="","",IF(C562&gt;2*COUNTA(F$549:AI$549)/3,1,IF(C562&gt;=COUNTA(F$549:AI$549)/2,0.8,0.5)))</f>
        <v/>
      </c>
      <c r="E562" s="4">
        <f>IF(A562="","",SUMIFS('Логи'!$H$4:$H$3006,'Логи'!$A$4:$A$3006,A562,'Логи'!$C$4:$C$3006,9))</f>
        <v/>
      </c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  <c r="O562" s="15" t="n"/>
      <c r="P562" s="15" t="n"/>
      <c r="Q562" s="15" t="n"/>
      <c r="R562" s="15" t="n"/>
      <c r="S562" s="15" t="n"/>
      <c r="T562" s="15" t="n"/>
      <c r="U562" s="15" t="n"/>
      <c r="V562" s="15" t="n"/>
      <c r="W562" s="15" t="n"/>
      <c r="X562" s="15" t="n"/>
      <c r="Y562" s="15" t="n"/>
      <c r="Z562" s="15" t="n"/>
      <c r="AA562" s="15" t="n"/>
      <c r="AB562" s="15" t="n"/>
      <c r="AC562" s="15" t="n"/>
      <c r="AD562" s="15" t="n"/>
      <c r="AE562" s="15" t="n"/>
      <c r="AF562" s="15" t="n"/>
      <c r="AG562" s="15" t="n"/>
      <c r="AH562" s="15" t="n"/>
      <c r="AI562" s="15" t="n"/>
    </row>
    <row r="563">
      <c r="A563" s="4" t="inlineStr">
        <is>
          <t>Студент3.14</t>
        </is>
      </c>
      <c r="B563" s="4" t="inlineStr"/>
      <c r="C563" s="4">
        <f>IF(A563="","",COUNTIF(F563:AI563,"+")+COUNTIF(F563:AI563,"1"))</f>
        <v/>
      </c>
      <c r="D563" s="4">
        <f>IF(A563="","",IF(C563&gt;2*COUNTA(F$549:AI$549)/3,1,IF(C563&gt;=COUNTA(F$549:AI$549)/2,0.8,0.5)))</f>
        <v/>
      </c>
      <c r="E563" s="4">
        <f>IF(A563="","",SUMIFS('Логи'!$H$4:$H$3006,'Логи'!$A$4:$A$3006,A563,'Логи'!$C$4:$C$3006,9))</f>
        <v/>
      </c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  <c r="O563" s="15" t="n"/>
      <c r="P563" s="15" t="n"/>
      <c r="Q563" s="15" t="n"/>
      <c r="R563" s="15" t="n"/>
      <c r="S563" s="15" t="n"/>
      <c r="T563" s="15" t="n"/>
      <c r="U563" s="15" t="n"/>
      <c r="V563" s="15" t="n"/>
      <c r="W563" s="15" t="n"/>
      <c r="X563" s="15" t="n"/>
      <c r="Y563" s="15" t="n"/>
      <c r="Z563" s="15" t="n"/>
      <c r="AA563" s="15" t="n"/>
      <c r="AB563" s="15" t="n"/>
      <c r="AC563" s="15" t="n"/>
      <c r="AD563" s="15" t="n"/>
      <c r="AE563" s="15" t="n"/>
      <c r="AF563" s="15" t="n"/>
      <c r="AG563" s="15" t="n"/>
      <c r="AH563" s="15" t="n"/>
      <c r="AI563" s="15" t="n"/>
    </row>
    <row r="564">
      <c r="A564" s="4" t="inlineStr">
        <is>
          <t>Студент3.15</t>
        </is>
      </c>
      <c r="B564" s="4" t="inlineStr"/>
      <c r="C564" s="4">
        <f>IF(A564="","",COUNTIF(F564:AI564,"+")+COUNTIF(F564:AI564,"1"))</f>
        <v/>
      </c>
      <c r="D564" s="4">
        <f>IF(A564="","",IF(C564&gt;2*COUNTA(F$549:AI$549)/3,1,IF(C564&gt;=COUNTA(F$549:AI$549)/2,0.8,0.5)))</f>
        <v/>
      </c>
      <c r="E564" s="4">
        <f>IF(A564="","",SUMIFS('Логи'!$H$4:$H$3006,'Логи'!$A$4:$A$3006,A564,'Логи'!$C$4:$C$3006,9))</f>
        <v/>
      </c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5" t="n"/>
      <c r="P564" s="15" t="n"/>
      <c r="Q564" s="15" t="n"/>
      <c r="R564" s="15" t="n"/>
      <c r="S564" s="15" t="n"/>
      <c r="T564" s="15" t="n"/>
      <c r="U564" s="15" t="n"/>
      <c r="V564" s="15" t="n"/>
      <c r="W564" s="15" t="n"/>
      <c r="X564" s="15" t="n"/>
      <c r="Y564" s="15" t="n"/>
      <c r="Z564" s="15" t="n"/>
      <c r="AA564" s="15" t="n"/>
      <c r="AB564" s="15" t="n"/>
      <c r="AC564" s="15" t="n"/>
      <c r="AD564" s="15" t="n"/>
      <c r="AE564" s="15" t="n"/>
      <c r="AF564" s="15" t="n"/>
      <c r="AG564" s="15" t="n"/>
      <c r="AH564" s="15" t="n"/>
      <c r="AI564" s="15" t="n"/>
    </row>
    <row r="565">
      <c r="A565" s="4" t="inlineStr">
        <is>
          <t>Студент3.16</t>
        </is>
      </c>
      <c r="B565" s="4" t="inlineStr"/>
      <c r="C565" s="4">
        <f>IF(A565="","",COUNTIF(F565:AI565,"+")+COUNTIF(F565:AI565,"1"))</f>
        <v/>
      </c>
      <c r="D565" s="4">
        <f>IF(A565="","",IF(C565&gt;2*COUNTA(F$549:AI$549)/3,1,IF(C565&gt;=COUNTA(F$549:AI$549)/2,0.8,0.5)))</f>
        <v/>
      </c>
      <c r="E565" s="4">
        <f>IF(A565="","",SUMIFS('Логи'!$H$4:$H$3006,'Логи'!$A$4:$A$3006,A565,'Логи'!$C$4:$C$3006,9))</f>
        <v/>
      </c>
      <c r="F565" s="15" t="n"/>
      <c r="G565" s="15" t="n"/>
      <c r="H565" s="15" t="n"/>
      <c r="I565" s="15" t="n"/>
      <c r="J565" s="15" t="n"/>
      <c r="K565" s="15" t="n"/>
      <c r="L565" s="15" t="n"/>
      <c r="M565" s="15" t="n"/>
      <c r="N565" s="15" t="n"/>
      <c r="O565" s="15" t="n"/>
      <c r="P565" s="15" t="n"/>
      <c r="Q565" s="15" t="n"/>
      <c r="R565" s="15" t="n"/>
      <c r="S565" s="15" t="n"/>
      <c r="T565" s="15" t="n"/>
      <c r="U565" s="15" t="n"/>
      <c r="V565" s="15" t="n"/>
      <c r="W565" s="15" t="n"/>
      <c r="X565" s="15" t="n"/>
      <c r="Y565" s="15" t="n"/>
      <c r="Z565" s="15" t="n"/>
      <c r="AA565" s="15" t="n"/>
      <c r="AB565" s="15" t="n"/>
      <c r="AC565" s="15" t="n"/>
      <c r="AD565" s="15" t="n"/>
      <c r="AE565" s="15" t="n"/>
      <c r="AF565" s="15" t="n"/>
      <c r="AG565" s="15" t="n"/>
      <c r="AH565" s="15" t="n"/>
      <c r="AI565" s="15" t="n"/>
    </row>
    <row r="566">
      <c r="A566" s="4" t="inlineStr">
        <is>
          <t>Студент3.17</t>
        </is>
      </c>
      <c r="B566" s="4" t="inlineStr"/>
      <c r="C566" s="4">
        <f>IF(A566="","",COUNTIF(F566:AI566,"+")+COUNTIF(F566:AI566,"1"))</f>
        <v/>
      </c>
      <c r="D566" s="4">
        <f>IF(A566="","",IF(C566&gt;2*COUNTA(F$549:AI$549)/3,1,IF(C566&gt;=COUNTA(F$549:AI$549)/2,0.8,0.5)))</f>
        <v/>
      </c>
      <c r="E566" s="4">
        <f>IF(A566="","",SUMIFS('Логи'!$H$4:$H$3006,'Логи'!$A$4:$A$3006,A566,'Логи'!$C$4:$C$3006,9))</f>
        <v/>
      </c>
      <c r="F566" s="15" t="n"/>
      <c r="G566" s="15" t="n"/>
      <c r="H566" s="15" t="n"/>
      <c r="I566" s="15" t="n"/>
      <c r="J566" s="15" t="n"/>
      <c r="K566" s="15" t="n"/>
      <c r="L566" s="15" t="n"/>
      <c r="M566" s="15" t="n"/>
      <c r="N566" s="15" t="n"/>
      <c r="O566" s="15" t="n"/>
      <c r="P566" s="15" t="n"/>
      <c r="Q566" s="15" t="n"/>
      <c r="R566" s="15" t="n"/>
      <c r="S566" s="15" t="n"/>
      <c r="T566" s="15" t="n"/>
      <c r="U566" s="15" t="n"/>
      <c r="V566" s="15" t="n"/>
      <c r="W566" s="15" t="n"/>
      <c r="X566" s="15" t="n"/>
      <c r="Y566" s="15" t="n"/>
      <c r="Z566" s="15" t="n"/>
      <c r="AA566" s="15" t="n"/>
      <c r="AB566" s="15" t="n"/>
      <c r="AC566" s="15" t="n"/>
      <c r="AD566" s="15" t="n"/>
      <c r="AE566" s="15" t="n"/>
      <c r="AF566" s="15" t="n"/>
      <c r="AG566" s="15" t="n"/>
      <c r="AH566" s="15" t="n"/>
      <c r="AI566" s="15" t="n"/>
    </row>
    <row r="567">
      <c r="A567" s="4" t="inlineStr">
        <is>
          <t>Студент3.18</t>
        </is>
      </c>
      <c r="B567" s="4" t="inlineStr"/>
      <c r="C567" s="4">
        <f>IF(A567="","",COUNTIF(F567:AI567,"+")+COUNTIF(F567:AI567,"1"))</f>
        <v/>
      </c>
      <c r="D567" s="4">
        <f>IF(A567="","",IF(C567&gt;2*COUNTA(F$549:AI$549)/3,1,IF(C567&gt;=COUNTA(F$549:AI$549)/2,0.8,0.5)))</f>
        <v/>
      </c>
      <c r="E567" s="4">
        <f>IF(A567="","",SUMIFS('Логи'!$H$4:$H$3006,'Логи'!$A$4:$A$3006,A567,'Логи'!$C$4:$C$3006,9))</f>
        <v/>
      </c>
      <c r="F567" s="15" t="n"/>
      <c r="G567" s="15" t="n"/>
      <c r="H567" s="15" t="n"/>
      <c r="I567" s="15" t="n"/>
      <c r="J567" s="15" t="n"/>
      <c r="K567" s="15" t="n"/>
      <c r="L567" s="15" t="n"/>
      <c r="M567" s="15" t="n"/>
      <c r="N567" s="15" t="n"/>
      <c r="O567" s="15" t="n"/>
      <c r="P567" s="15" t="n"/>
      <c r="Q567" s="15" t="n"/>
      <c r="R567" s="15" t="n"/>
      <c r="S567" s="15" t="n"/>
      <c r="T567" s="15" t="n"/>
      <c r="U567" s="15" t="n"/>
      <c r="V567" s="15" t="n"/>
      <c r="W567" s="15" t="n"/>
      <c r="X567" s="15" t="n"/>
      <c r="Y567" s="15" t="n"/>
      <c r="Z567" s="15" t="n"/>
      <c r="AA567" s="15" t="n"/>
      <c r="AB567" s="15" t="n"/>
      <c r="AC567" s="15" t="n"/>
      <c r="AD567" s="15" t="n"/>
      <c r="AE567" s="15" t="n"/>
      <c r="AF567" s="15" t="n"/>
      <c r="AG567" s="15" t="n"/>
      <c r="AH567" s="15" t="n"/>
      <c r="AI567" s="15" t="n"/>
    </row>
    <row r="568">
      <c r="A568" s="4" t="inlineStr">
        <is>
          <t>Студент3.19</t>
        </is>
      </c>
      <c r="B568" s="4" t="inlineStr"/>
      <c r="C568" s="4">
        <f>IF(A568="","",COUNTIF(F568:AI568,"+")+COUNTIF(F568:AI568,"1"))</f>
        <v/>
      </c>
      <c r="D568" s="4">
        <f>IF(A568="","",IF(C568&gt;2*COUNTA(F$549:AI$549)/3,1,IF(C568&gt;=COUNTA(F$549:AI$549)/2,0.8,0.5)))</f>
        <v/>
      </c>
      <c r="E568" s="4">
        <f>IF(A568="","",SUMIFS('Логи'!$H$4:$H$3006,'Логи'!$A$4:$A$3006,A568,'Логи'!$C$4:$C$3006,9))</f>
        <v/>
      </c>
      <c r="F568" s="15" t="n"/>
      <c r="G568" s="15" t="n"/>
      <c r="H568" s="15" t="n"/>
      <c r="I568" s="15" t="n"/>
      <c r="J568" s="15" t="n"/>
      <c r="K568" s="15" t="n"/>
      <c r="L568" s="15" t="n"/>
      <c r="M568" s="15" t="n"/>
      <c r="N568" s="15" t="n"/>
      <c r="O568" s="15" t="n"/>
      <c r="P568" s="15" t="n"/>
      <c r="Q568" s="15" t="n"/>
      <c r="R568" s="15" t="n"/>
      <c r="S568" s="15" t="n"/>
      <c r="T568" s="15" t="n"/>
      <c r="U568" s="15" t="n"/>
      <c r="V568" s="15" t="n"/>
      <c r="W568" s="15" t="n"/>
      <c r="X568" s="15" t="n"/>
      <c r="Y568" s="15" t="n"/>
      <c r="Z568" s="15" t="n"/>
      <c r="AA568" s="15" t="n"/>
      <c r="AB568" s="15" t="n"/>
      <c r="AC568" s="15" t="n"/>
      <c r="AD568" s="15" t="n"/>
      <c r="AE568" s="15" t="n"/>
      <c r="AF568" s="15" t="n"/>
      <c r="AG568" s="15" t="n"/>
      <c r="AH568" s="15" t="n"/>
      <c r="AI568" s="15" t="n"/>
    </row>
    <row r="569">
      <c r="A569" s="4" t="inlineStr">
        <is>
          <t>Студент3.20</t>
        </is>
      </c>
      <c r="B569" s="4" t="inlineStr"/>
      <c r="C569" s="4">
        <f>IF(A569="","",COUNTIF(F569:AI569,"+")+COUNTIF(F569:AI569,"1"))</f>
        <v/>
      </c>
      <c r="D569" s="4">
        <f>IF(A569="","",IF(C569&gt;2*COUNTA(F$549:AI$549)/3,1,IF(C569&gt;=COUNTA(F$549:AI$549)/2,0.8,0.5)))</f>
        <v/>
      </c>
      <c r="E569" s="4">
        <f>IF(A569="","",SUMIFS('Логи'!$H$4:$H$3006,'Логи'!$A$4:$A$3006,A569,'Логи'!$C$4:$C$3006,9))</f>
        <v/>
      </c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5" t="n"/>
      <c r="P569" s="15" t="n"/>
      <c r="Q569" s="15" t="n"/>
      <c r="R569" s="15" t="n"/>
      <c r="S569" s="15" t="n"/>
      <c r="T569" s="15" t="n"/>
      <c r="U569" s="15" t="n"/>
      <c r="V569" s="15" t="n"/>
      <c r="W569" s="15" t="n"/>
      <c r="X569" s="15" t="n"/>
      <c r="Y569" s="15" t="n"/>
      <c r="Z569" s="15" t="n"/>
      <c r="AA569" s="15" t="n"/>
      <c r="AB569" s="15" t="n"/>
      <c r="AC569" s="15" t="n"/>
      <c r="AD569" s="15" t="n"/>
      <c r="AE569" s="15" t="n"/>
      <c r="AF569" s="15" t="n"/>
      <c r="AG569" s="15" t="n"/>
      <c r="AH569" s="15" t="n"/>
      <c r="AI569" s="15" t="n"/>
    </row>
    <row r="570">
      <c r="A570" s="4" t="inlineStr">
        <is>
          <t>Студент3.21</t>
        </is>
      </c>
      <c r="B570" s="4" t="inlineStr"/>
      <c r="C570" s="4">
        <f>IF(A570="","",COUNTIF(F570:AI570,"+")+COUNTIF(F570:AI570,"1"))</f>
        <v/>
      </c>
      <c r="D570" s="4">
        <f>IF(A570="","",IF(C570&gt;2*COUNTA(F$549:AI$549)/3,1,IF(C570&gt;=COUNTA(F$549:AI$549)/2,0.8,0.5)))</f>
        <v/>
      </c>
      <c r="E570" s="4">
        <f>IF(A570="","",SUMIFS('Логи'!$H$4:$H$3006,'Логи'!$A$4:$A$3006,A570,'Логи'!$C$4:$C$3006,9))</f>
        <v/>
      </c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5" t="n"/>
      <c r="P570" s="15" t="n"/>
      <c r="Q570" s="15" t="n"/>
      <c r="R570" s="15" t="n"/>
      <c r="S570" s="15" t="n"/>
      <c r="T570" s="15" t="n"/>
      <c r="U570" s="15" t="n"/>
      <c r="V570" s="15" t="n"/>
      <c r="W570" s="15" t="n"/>
      <c r="X570" s="15" t="n"/>
      <c r="Y570" s="15" t="n"/>
      <c r="Z570" s="15" t="n"/>
      <c r="AA570" s="15" t="n"/>
      <c r="AB570" s="15" t="n"/>
      <c r="AC570" s="15" t="n"/>
      <c r="AD570" s="15" t="n"/>
      <c r="AE570" s="15" t="n"/>
      <c r="AF570" s="15" t="n"/>
      <c r="AG570" s="15" t="n"/>
      <c r="AH570" s="15" t="n"/>
      <c r="AI570" s="15" t="n"/>
    </row>
    <row r="571">
      <c r="A571" s="4" t="inlineStr">
        <is>
          <t>Студент3.22</t>
        </is>
      </c>
      <c r="B571" s="4" t="inlineStr"/>
      <c r="C571" s="4">
        <f>IF(A571="","",COUNTIF(F571:AI571,"+")+COUNTIF(F571:AI571,"1"))</f>
        <v/>
      </c>
      <c r="D571" s="4">
        <f>IF(A571="","",IF(C571&gt;2*COUNTA(F$549:AI$549)/3,1,IF(C571&gt;=COUNTA(F$549:AI$549)/2,0.8,0.5)))</f>
        <v/>
      </c>
      <c r="E571" s="4">
        <f>IF(A571="","",SUMIFS('Логи'!$H$4:$H$3006,'Логи'!$A$4:$A$3006,A571,'Логи'!$C$4:$C$3006,9))</f>
        <v/>
      </c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  <c r="O571" s="15" t="n"/>
      <c r="P571" s="15" t="n"/>
      <c r="Q571" s="15" t="n"/>
      <c r="R571" s="15" t="n"/>
      <c r="S571" s="15" t="n"/>
      <c r="T571" s="15" t="n"/>
      <c r="U571" s="15" t="n"/>
      <c r="V571" s="15" t="n"/>
      <c r="W571" s="15" t="n"/>
      <c r="X571" s="15" t="n"/>
      <c r="Y571" s="15" t="n"/>
      <c r="Z571" s="15" t="n"/>
      <c r="AA571" s="15" t="n"/>
      <c r="AB571" s="15" t="n"/>
      <c r="AC571" s="15" t="n"/>
      <c r="AD571" s="15" t="n"/>
      <c r="AE571" s="15" t="n"/>
      <c r="AF571" s="15" t="n"/>
      <c r="AG571" s="15" t="n"/>
      <c r="AH571" s="15" t="n"/>
      <c r="AI571" s="15" t="n"/>
    </row>
    <row r="572">
      <c r="A572" s="4" t="inlineStr">
        <is>
          <t>Студент3.23</t>
        </is>
      </c>
      <c r="B572" s="4" t="inlineStr"/>
      <c r="C572" s="4">
        <f>IF(A572="","",COUNTIF(F572:AI572,"+")+COUNTIF(F572:AI572,"1"))</f>
        <v/>
      </c>
      <c r="D572" s="4">
        <f>IF(A572="","",IF(C572&gt;2*COUNTA(F$549:AI$549)/3,1,IF(C572&gt;=COUNTA(F$549:AI$549)/2,0.8,0.5)))</f>
        <v/>
      </c>
      <c r="E572" s="4">
        <f>IF(A572="","",SUMIFS('Логи'!$H$4:$H$3006,'Логи'!$A$4:$A$3006,A572,'Логи'!$C$4:$C$3006,9))</f>
        <v/>
      </c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  <c r="O572" s="15" t="n"/>
      <c r="P572" s="15" t="n"/>
      <c r="Q572" s="15" t="n"/>
      <c r="R572" s="15" t="n"/>
      <c r="S572" s="15" t="n"/>
      <c r="T572" s="15" t="n"/>
      <c r="U572" s="15" t="n"/>
      <c r="V572" s="15" t="n"/>
      <c r="W572" s="15" t="n"/>
      <c r="X572" s="15" t="n"/>
      <c r="Y572" s="15" t="n"/>
      <c r="Z572" s="15" t="n"/>
      <c r="AA572" s="15" t="n"/>
      <c r="AB572" s="15" t="n"/>
      <c r="AC572" s="15" t="n"/>
      <c r="AD572" s="15" t="n"/>
      <c r="AE572" s="15" t="n"/>
      <c r="AF572" s="15" t="n"/>
      <c r="AG572" s="15" t="n"/>
      <c r="AH572" s="15" t="n"/>
      <c r="AI572" s="15" t="n"/>
    </row>
    <row r="573">
      <c r="A573" s="4" t="inlineStr">
        <is>
          <t>Студент3.24</t>
        </is>
      </c>
      <c r="B573" s="4" t="inlineStr"/>
      <c r="C573" s="4">
        <f>IF(A573="","",COUNTIF(F573:AI573,"+")+COUNTIF(F573:AI573,"1"))</f>
        <v/>
      </c>
      <c r="D573" s="4">
        <f>IF(A573="","",IF(C573&gt;2*COUNTA(F$549:AI$549)/3,1,IF(C573&gt;=COUNTA(F$549:AI$549)/2,0.8,0.5)))</f>
        <v/>
      </c>
      <c r="E573" s="4">
        <f>IF(A573="","",SUMIFS('Логи'!$H$4:$H$3006,'Логи'!$A$4:$A$3006,A573,'Логи'!$C$4:$C$3006,9))</f>
        <v/>
      </c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  <c r="O573" s="15" t="n"/>
      <c r="P573" s="15" t="n"/>
      <c r="Q573" s="15" t="n"/>
      <c r="R573" s="15" t="n"/>
      <c r="S573" s="15" t="n"/>
      <c r="T573" s="15" t="n"/>
      <c r="U573" s="15" t="n"/>
      <c r="V573" s="15" t="n"/>
      <c r="W573" s="15" t="n"/>
      <c r="X573" s="15" t="n"/>
      <c r="Y573" s="15" t="n"/>
      <c r="Z573" s="15" t="n"/>
      <c r="AA573" s="15" t="n"/>
      <c r="AB573" s="15" t="n"/>
      <c r="AC573" s="15" t="n"/>
      <c r="AD573" s="15" t="n"/>
      <c r="AE573" s="15" t="n"/>
      <c r="AF573" s="15" t="n"/>
      <c r="AG573" s="15" t="n"/>
      <c r="AH573" s="15" t="n"/>
      <c r="AI573" s="15" t="n"/>
    </row>
    <row r="574">
      <c r="A574" s="4" t="inlineStr">
        <is>
          <t>Студент3.25</t>
        </is>
      </c>
      <c r="B574" s="4" t="inlineStr"/>
      <c r="C574" s="4">
        <f>IF(A574="","",COUNTIF(F574:AI574,"+")+COUNTIF(F574:AI574,"1"))</f>
        <v/>
      </c>
      <c r="D574" s="4">
        <f>IF(A574="","",IF(C574&gt;2*COUNTA(F$549:AI$549)/3,1,IF(C574&gt;=COUNTA(F$549:AI$549)/2,0.8,0.5)))</f>
        <v/>
      </c>
      <c r="E574" s="4">
        <f>IF(A574="","",SUMIFS('Логи'!$H$4:$H$3006,'Логи'!$A$4:$A$3006,A574,'Логи'!$C$4:$C$3006,9))</f>
        <v/>
      </c>
      <c r="F574" s="15" t="n"/>
      <c r="G574" s="15" t="n"/>
      <c r="H574" s="15" t="n"/>
      <c r="I574" s="15" t="n"/>
      <c r="J574" s="15" t="n"/>
      <c r="K574" s="15" t="n"/>
      <c r="L574" s="15" t="n"/>
      <c r="M574" s="15" t="n"/>
      <c r="N574" s="15" t="n"/>
      <c r="O574" s="15" t="n"/>
      <c r="P574" s="15" t="n"/>
      <c r="Q574" s="15" t="n"/>
      <c r="R574" s="15" t="n"/>
      <c r="S574" s="15" t="n"/>
      <c r="T574" s="15" t="n"/>
      <c r="U574" s="15" t="n"/>
      <c r="V574" s="15" t="n"/>
      <c r="W574" s="15" t="n"/>
      <c r="X574" s="15" t="n"/>
      <c r="Y574" s="15" t="n"/>
      <c r="Z574" s="15" t="n"/>
      <c r="AA574" s="15" t="n"/>
      <c r="AB574" s="15" t="n"/>
      <c r="AC574" s="15" t="n"/>
      <c r="AD574" s="15" t="n"/>
      <c r="AE574" s="15" t="n"/>
      <c r="AF574" s="15" t="n"/>
      <c r="AG574" s="15" t="n"/>
      <c r="AH574" s="15" t="n"/>
      <c r="AI574" s="15" t="n"/>
    </row>
    <row r="575">
      <c r="A575" s="4" t="inlineStr">
        <is>
          <t>Студент3.26</t>
        </is>
      </c>
      <c r="B575" s="4" t="inlineStr"/>
      <c r="C575" s="4">
        <f>IF(A575="","",COUNTIF(F575:AI575,"+")+COUNTIF(F575:AI575,"1"))</f>
        <v/>
      </c>
      <c r="D575" s="4">
        <f>IF(A575="","",IF(C575&gt;2*COUNTA(F$549:AI$549)/3,1,IF(C575&gt;=COUNTA(F$549:AI$549)/2,0.8,0.5)))</f>
        <v/>
      </c>
      <c r="E575" s="4">
        <f>IF(A575="","",SUMIFS('Логи'!$H$4:$H$3006,'Логи'!$A$4:$A$3006,A575,'Логи'!$C$4:$C$3006,9))</f>
        <v/>
      </c>
      <c r="F575" s="15" t="n"/>
      <c r="G575" s="15" t="n"/>
      <c r="H575" s="15" t="n"/>
      <c r="I575" s="15" t="n"/>
      <c r="J575" s="15" t="n"/>
      <c r="K575" s="15" t="n"/>
      <c r="L575" s="15" t="n"/>
      <c r="M575" s="15" t="n"/>
      <c r="N575" s="15" t="n"/>
      <c r="O575" s="15" t="n"/>
      <c r="P575" s="15" t="n"/>
      <c r="Q575" s="15" t="n"/>
      <c r="R575" s="15" t="n"/>
      <c r="S575" s="15" t="n"/>
      <c r="T575" s="15" t="n"/>
      <c r="U575" s="15" t="n"/>
      <c r="V575" s="15" t="n"/>
      <c r="W575" s="15" t="n"/>
      <c r="X575" s="15" t="n"/>
      <c r="Y575" s="15" t="n"/>
      <c r="Z575" s="15" t="n"/>
      <c r="AA575" s="15" t="n"/>
      <c r="AB575" s="15" t="n"/>
      <c r="AC575" s="15" t="n"/>
      <c r="AD575" s="15" t="n"/>
      <c r="AE575" s="15" t="n"/>
      <c r="AF575" s="15" t="n"/>
      <c r="AG575" s="15" t="n"/>
      <c r="AH575" s="15" t="n"/>
      <c r="AI575" s="15" t="n"/>
    </row>
    <row r="576">
      <c r="A576" s="4" t="inlineStr">
        <is>
          <t>Студент3.27</t>
        </is>
      </c>
      <c r="B576" s="4" t="inlineStr"/>
      <c r="C576" s="4">
        <f>IF(A576="","",COUNTIF(F576:AI576,"+")+COUNTIF(F576:AI576,"1"))</f>
        <v/>
      </c>
      <c r="D576" s="4">
        <f>IF(A576="","",IF(C576&gt;2*COUNTA(F$549:AI$549)/3,1,IF(C576&gt;=COUNTA(F$549:AI$549)/2,0.8,0.5)))</f>
        <v/>
      </c>
      <c r="E576" s="4">
        <f>IF(A576="","",SUMIFS('Логи'!$H$4:$H$3006,'Логи'!$A$4:$A$3006,A576,'Логи'!$C$4:$C$3006,9))</f>
        <v/>
      </c>
      <c r="F576" s="15" t="n"/>
      <c r="G576" s="15" t="n"/>
      <c r="H576" s="15" t="n"/>
      <c r="I576" s="15" t="n"/>
      <c r="J576" s="15" t="n"/>
      <c r="K576" s="15" t="n"/>
      <c r="L576" s="15" t="n"/>
      <c r="M576" s="15" t="n"/>
      <c r="N576" s="15" t="n"/>
      <c r="O576" s="15" t="n"/>
      <c r="P576" s="15" t="n"/>
      <c r="Q576" s="15" t="n"/>
      <c r="R576" s="15" t="n"/>
      <c r="S576" s="15" t="n"/>
      <c r="T576" s="15" t="n"/>
      <c r="U576" s="15" t="n"/>
      <c r="V576" s="15" t="n"/>
      <c r="W576" s="15" t="n"/>
      <c r="X576" s="15" t="n"/>
      <c r="Y576" s="15" t="n"/>
      <c r="Z576" s="15" t="n"/>
      <c r="AA576" s="15" t="n"/>
      <c r="AB576" s="15" t="n"/>
      <c r="AC576" s="15" t="n"/>
      <c r="AD576" s="15" t="n"/>
      <c r="AE576" s="15" t="n"/>
      <c r="AF576" s="15" t="n"/>
      <c r="AG576" s="15" t="n"/>
      <c r="AH576" s="15" t="n"/>
      <c r="AI576" s="15" t="n"/>
    </row>
    <row r="577">
      <c r="A577" s="4" t="inlineStr">
        <is>
          <t>Студент3.28</t>
        </is>
      </c>
      <c r="B577" s="4" t="inlineStr"/>
      <c r="C577" s="4">
        <f>IF(A577="","",COUNTIF(F577:AI577,"+")+COUNTIF(F577:AI577,"1"))</f>
        <v/>
      </c>
      <c r="D577" s="4">
        <f>IF(A577="","",IF(C577&gt;2*COUNTA(F$549:AI$549)/3,1,IF(C577&gt;=COUNTA(F$549:AI$549)/2,0.8,0.5)))</f>
        <v/>
      </c>
      <c r="E577" s="4">
        <f>IF(A577="","",SUMIFS('Логи'!$H$4:$H$3006,'Логи'!$A$4:$A$3006,A577,'Логи'!$C$4:$C$3006,9))</f>
        <v/>
      </c>
      <c r="F577" s="15" t="n"/>
      <c r="G577" s="15" t="n"/>
      <c r="H577" s="15" t="n"/>
      <c r="I577" s="15" t="n"/>
      <c r="J577" s="15" t="n"/>
      <c r="K577" s="15" t="n"/>
      <c r="L577" s="15" t="n"/>
      <c r="M577" s="15" t="n"/>
      <c r="N577" s="15" t="n"/>
      <c r="O577" s="15" t="n"/>
      <c r="P577" s="15" t="n"/>
      <c r="Q577" s="15" t="n"/>
      <c r="R577" s="15" t="n"/>
      <c r="S577" s="15" t="n"/>
      <c r="T577" s="15" t="n"/>
      <c r="U577" s="15" t="n"/>
      <c r="V577" s="15" t="n"/>
      <c r="W577" s="15" t="n"/>
      <c r="X577" s="15" t="n"/>
      <c r="Y577" s="15" t="n"/>
      <c r="Z577" s="15" t="n"/>
      <c r="AA577" s="15" t="n"/>
      <c r="AB577" s="15" t="n"/>
      <c r="AC577" s="15" t="n"/>
      <c r="AD577" s="15" t="n"/>
      <c r="AE577" s="15" t="n"/>
      <c r="AF577" s="15" t="n"/>
      <c r="AG577" s="15" t="n"/>
      <c r="AH577" s="15" t="n"/>
      <c r="AI577" s="15" t="n"/>
    </row>
    <row r="578">
      <c r="A578" s="4" t="inlineStr">
        <is>
          <t>Студент3.29</t>
        </is>
      </c>
      <c r="B578" s="4" t="inlineStr"/>
      <c r="C578" s="4">
        <f>IF(A578="","",COUNTIF(F578:AI578,"+")+COUNTIF(F578:AI578,"1"))</f>
        <v/>
      </c>
      <c r="D578" s="4">
        <f>IF(A578="","",IF(C578&gt;2*COUNTA(F$549:AI$549)/3,1,IF(C578&gt;=COUNTA(F$549:AI$549)/2,0.8,0.5)))</f>
        <v/>
      </c>
      <c r="E578" s="4">
        <f>IF(A578="","",SUMIFS('Логи'!$H$4:$H$3006,'Логи'!$A$4:$A$3006,A578,'Логи'!$C$4:$C$3006,9))</f>
        <v/>
      </c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5" t="n"/>
      <c r="P578" s="15" t="n"/>
      <c r="Q578" s="15" t="n"/>
      <c r="R578" s="15" t="n"/>
      <c r="S578" s="15" t="n"/>
      <c r="T578" s="15" t="n"/>
      <c r="U578" s="15" t="n"/>
      <c r="V578" s="15" t="n"/>
      <c r="W578" s="15" t="n"/>
      <c r="X578" s="15" t="n"/>
      <c r="Y578" s="15" t="n"/>
      <c r="Z578" s="15" t="n"/>
      <c r="AA578" s="15" t="n"/>
      <c r="AB578" s="15" t="n"/>
      <c r="AC578" s="15" t="n"/>
      <c r="AD578" s="15" t="n"/>
      <c r="AE578" s="15" t="n"/>
      <c r="AF578" s="15" t="n"/>
      <c r="AG578" s="15" t="n"/>
      <c r="AH578" s="15" t="n"/>
      <c r="AI578" s="15" t="n"/>
    </row>
    <row r="579">
      <c r="A579" s="4" t="inlineStr">
        <is>
          <t>Студент3.30</t>
        </is>
      </c>
      <c r="B579" s="4" t="inlineStr"/>
      <c r="C579" s="4">
        <f>IF(A579="","",COUNTIF(F579:AI579,"+")+COUNTIF(F579:AI579,"1"))</f>
        <v/>
      </c>
      <c r="D579" s="4">
        <f>IF(A579="","",IF(C579&gt;2*COUNTA(F$549:AI$549)/3,1,IF(C579&gt;=COUNTA(F$549:AI$549)/2,0.8,0.5)))</f>
        <v/>
      </c>
      <c r="E579" s="4">
        <f>IF(A579="","",SUMIFS('Логи'!$H$4:$H$3006,'Логи'!$A$4:$A$3006,A579,'Логи'!$C$4:$C$3006,9))</f>
        <v/>
      </c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  <c r="O579" s="15" t="n"/>
      <c r="P579" s="15" t="n"/>
      <c r="Q579" s="15" t="n"/>
      <c r="R579" s="15" t="n"/>
      <c r="S579" s="15" t="n"/>
      <c r="T579" s="15" t="n"/>
      <c r="U579" s="15" t="n"/>
      <c r="V579" s="15" t="n"/>
      <c r="W579" s="15" t="n"/>
      <c r="X579" s="15" t="n"/>
      <c r="Y579" s="15" t="n"/>
      <c r="Z579" s="15" t="n"/>
      <c r="AA579" s="15" t="n"/>
      <c r="AB579" s="15" t="n"/>
      <c r="AC579" s="15" t="n"/>
      <c r="AD579" s="15" t="n"/>
      <c r="AE579" s="15" t="n"/>
      <c r="AF579" s="15" t="n"/>
      <c r="AG579" s="15" t="n"/>
      <c r="AH579" s="15" t="n"/>
      <c r="AI579" s="15" t="n"/>
    </row>
    <row r="581">
      <c r="A581" s="16" t="inlineStr">
        <is>
          <t>Практика 9 — результаты рассказа</t>
        </is>
      </c>
    </row>
    <row r="582" ht="28" customHeight="1">
      <c r="A582" s="7" t="inlineStr">
        <is>
          <t>Имя</t>
        </is>
      </c>
      <c r="B582" s="9" t="inlineStr">
        <is>
          <t>TG</t>
        </is>
      </c>
      <c r="C582" s="10" t="inlineStr"/>
      <c r="D582" s="2" t="inlineStr"/>
      <c r="E582" s="2" t="inlineStr"/>
      <c r="F582" s="11" t="inlineStr">
        <is>
          <t>1.0</t>
        </is>
      </c>
      <c r="G582" s="11" t="inlineStr">
        <is>
          <t>2.0</t>
        </is>
      </c>
      <c r="H582" s="11" t="inlineStr">
        <is>
          <t>3.0</t>
        </is>
      </c>
      <c r="I582" s="11" t="inlineStr">
        <is>
          <t>4.0</t>
        </is>
      </c>
      <c r="J582" s="11" t="inlineStr">
        <is>
          <t>5.0</t>
        </is>
      </c>
      <c r="K582" s="11" t="inlineStr">
        <is>
          <t>6</t>
        </is>
      </c>
      <c r="L582" s="11" t="inlineStr">
        <is>
          <t>7</t>
        </is>
      </c>
      <c r="M582" s="11" t="inlineStr">
        <is>
          <t>8</t>
        </is>
      </c>
      <c r="N582" s="11" t="inlineStr">
        <is>
          <t>9</t>
        </is>
      </c>
      <c r="O582" s="11" t="inlineStr">
        <is>
          <t>10</t>
        </is>
      </c>
      <c r="P582" s="11" t="inlineStr">
        <is>
          <t>11</t>
        </is>
      </c>
      <c r="Q582" s="11" t="inlineStr">
        <is>
          <t>12</t>
        </is>
      </c>
      <c r="R582" s="11" t="inlineStr">
        <is>
          <t>13</t>
        </is>
      </c>
      <c r="S582" s="11" t="inlineStr">
        <is>
          <t>14</t>
        </is>
      </c>
      <c r="T582" s="11" t="inlineStr">
        <is>
          <t>15</t>
        </is>
      </c>
      <c r="U582" s="11" t="inlineStr">
        <is>
          <t>16</t>
        </is>
      </c>
      <c r="V582" s="11" t="inlineStr">
        <is>
          <t>17</t>
        </is>
      </c>
      <c r="W582" s="11" t="inlineStr">
        <is>
          <t>18</t>
        </is>
      </c>
      <c r="X582" s="11" t="inlineStr">
        <is>
          <t>19</t>
        </is>
      </c>
      <c r="Y582" s="11" t="inlineStr">
        <is>
          <t>20</t>
        </is>
      </c>
      <c r="Z582" s="11" t="inlineStr">
        <is>
          <t>21</t>
        </is>
      </c>
      <c r="AA582" s="11" t="inlineStr">
        <is>
          <t>22</t>
        </is>
      </c>
      <c r="AB582" s="11" t="inlineStr">
        <is>
          <t>23</t>
        </is>
      </c>
      <c r="AC582" s="11" t="inlineStr">
        <is>
          <t>24</t>
        </is>
      </c>
      <c r="AD582" s="11" t="inlineStr">
        <is>
          <t>25</t>
        </is>
      </c>
      <c r="AE582" s="11" t="inlineStr">
        <is>
          <t>26</t>
        </is>
      </c>
      <c r="AF582" s="11" t="inlineStr">
        <is>
          <t>27</t>
        </is>
      </c>
      <c r="AG582" s="11" t="inlineStr">
        <is>
          <t>28</t>
        </is>
      </c>
      <c r="AH582" s="11" t="inlineStr">
        <is>
          <t>29</t>
        </is>
      </c>
      <c r="AI582" s="11" t="inlineStr">
        <is>
          <t>30</t>
        </is>
      </c>
    </row>
    <row r="583">
      <c r="A583" s="4" t="inlineStr">
        <is>
          <t>Студент3.1</t>
        </is>
      </c>
      <c r="B583" s="4" t="inlineStr"/>
      <c r="C583" s="4" t="n"/>
      <c r="D583" s="4" t="n"/>
      <c r="E583" s="4" t="n"/>
      <c r="F583" s="15" t="n"/>
      <c r="G583" s="15" t="n"/>
      <c r="H583" s="15" t="n"/>
      <c r="I583" s="15" t="n"/>
      <c r="J583" s="15" t="n"/>
      <c r="K583" s="15" t="n"/>
      <c r="L583" s="15" t="n"/>
      <c r="M583" s="15" t="n"/>
      <c r="N583" s="15" t="n"/>
      <c r="O583" s="15" t="n"/>
      <c r="P583" s="15" t="n"/>
      <c r="Q583" s="15" t="n"/>
      <c r="R583" s="15" t="n"/>
      <c r="S583" s="15" t="n"/>
      <c r="T583" s="15" t="n"/>
      <c r="U583" s="15" t="n"/>
      <c r="V583" s="15" t="n"/>
      <c r="W583" s="15" t="n"/>
      <c r="X583" s="15" t="n"/>
      <c r="Y583" s="15" t="n"/>
      <c r="Z583" s="15" t="n"/>
      <c r="AA583" s="15" t="n"/>
      <c r="AB583" s="15" t="n"/>
      <c r="AC583" s="15" t="n"/>
      <c r="AD583" s="15" t="n"/>
      <c r="AE583" s="15" t="n"/>
      <c r="AF583" s="15" t="n"/>
      <c r="AG583" s="15" t="n"/>
      <c r="AH583" s="15" t="n"/>
      <c r="AI583" s="15" t="n"/>
    </row>
    <row r="584">
      <c r="A584" s="4" t="inlineStr">
        <is>
          <t>Студент3.2</t>
        </is>
      </c>
      <c r="B584" s="4" t="inlineStr"/>
      <c r="C584" s="4" t="n"/>
      <c r="D584" s="4" t="n"/>
      <c r="E584" s="4" t="n"/>
      <c r="F584" s="15" t="n"/>
      <c r="G584" s="15" t="n"/>
      <c r="H584" s="15" t="n"/>
      <c r="I584" s="15" t="n"/>
      <c r="J584" s="15" t="n"/>
      <c r="K584" s="15" t="n"/>
      <c r="L584" s="15" t="n"/>
      <c r="M584" s="15" t="n"/>
      <c r="N584" s="15" t="n"/>
      <c r="O584" s="15" t="n"/>
      <c r="P584" s="15" t="n"/>
      <c r="Q584" s="15" t="n"/>
      <c r="R584" s="15" t="n"/>
      <c r="S584" s="15" t="n"/>
      <c r="T584" s="15" t="n"/>
      <c r="U584" s="15" t="n"/>
      <c r="V584" s="15" t="n"/>
      <c r="W584" s="15" t="n"/>
      <c r="X584" s="15" t="n"/>
      <c r="Y584" s="15" t="n"/>
      <c r="Z584" s="15" t="n"/>
      <c r="AA584" s="15" t="n"/>
      <c r="AB584" s="15" t="n"/>
      <c r="AC584" s="15" t="n"/>
      <c r="AD584" s="15" t="n"/>
      <c r="AE584" s="15" t="n"/>
      <c r="AF584" s="15" t="n"/>
      <c r="AG584" s="15" t="n"/>
      <c r="AH584" s="15" t="n"/>
      <c r="AI584" s="15" t="n"/>
    </row>
    <row r="585">
      <c r="A585" s="4" t="inlineStr">
        <is>
          <t>Студент3.3</t>
        </is>
      </c>
      <c r="B585" s="4" t="inlineStr"/>
      <c r="C585" s="4" t="n"/>
      <c r="D585" s="4" t="n"/>
      <c r="E585" s="4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5" t="n"/>
      <c r="P585" s="15" t="n"/>
      <c r="Q585" s="15" t="n"/>
      <c r="R585" s="15" t="n"/>
      <c r="S585" s="15" t="n"/>
      <c r="T585" s="15" t="n"/>
      <c r="U585" s="15" t="n"/>
      <c r="V585" s="15" t="n"/>
      <c r="W585" s="15" t="n"/>
      <c r="X585" s="15" t="n"/>
      <c r="Y585" s="15" t="n"/>
      <c r="Z585" s="15" t="n"/>
      <c r="AA585" s="15" t="n"/>
      <c r="AB585" s="15" t="n"/>
      <c r="AC585" s="15" t="n"/>
      <c r="AD585" s="15" t="n"/>
      <c r="AE585" s="15" t="n"/>
      <c r="AF585" s="15" t="n"/>
      <c r="AG585" s="15" t="n"/>
      <c r="AH585" s="15" t="n"/>
      <c r="AI585" s="15" t="n"/>
    </row>
    <row r="586">
      <c r="A586" s="4" t="inlineStr">
        <is>
          <t>Студент3.4</t>
        </is>
      </c>
      <c r="B586" s="4" t="inlineStr"/>
      <c r="C586" s="4" t="n"/>
      <c r="D586" s="4" t="n"/>
      <c r="E586" s="4" t="n"/>
      <c r="F586" s="15" t="n"/>
      <c r="G586" s="15" t="n"/>
      <c r="H586" s="15" t="n"/>
      <c r="I586" s="15" t="n"/>
      <c r="J586" s="15" t="n"/>
      <c r="K586" s="15" t="n"/>
      <c r="L586" s="15" t="n"/>
      <c r="M586" s="15" t="n"/>
      <c r="N586" s="15" t="n"/>
      <c r="O586" s="15" t="n"/>
      <c r="P586" s="15" t="n"/>
      <c r="Q586" s="15" t="n"/>
      <c r="R586" s="15" t="n"/>
      <c r="S586" s="15" t="n"/>
      <c r="T586" s="15" t="n"/>
      <c r="U586" s="15" t="n"/>
      <c r="V586" s="15" t="n"/>
      <c r="W586" s="15" t="n"/>
      <c r="X586" s="15" t="n"/>
      <c r="Y586" s="15" t="n"/>
      <c r="Z586" s="15" t="n"/>
      <c r="AA586" s="15" t="n"/>
      <c r="AB586" s="15" t="n"/>
      <c r="AC586" s="15" t="n"/>
      <c r="AD586" s="15" t="n"/>
      <c r="AE586" s="15" t="n"/>
      <c r="AF586" s="15" t="n"/>
      <c r="AG586" s="15" t="n"/>
      <c r="AH586" s="15" t="n"/>
      <c r="AI586" s="15" t="n"/>
    </row>
    <row r="587">
      <c r="A587" s="4" t="inlineStr">
        <is>
          <t>Студент3.5</t>
        </is>
      </c>
      <c r="B587" s="4" t="inlineStr"/>
      <c r="C587" s="4" t="n"/>
      <c r="D587" s="4" t="n"/>
      <c r="E587" s="4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5" t="n"/>
      <c r="P587" s="15" t="n"/>
      <c r="Q587" s="15" t="n"/>
      <c r="R587" s="15" t="n"/>
      <c r="S587" s="15" t="n"/>
      <c r="T587" s="15" t="n"/>
      <c r="U587" s="15" t="n"/>
      <c r="V587" s="15" t="n"/>
      <c r="W587" s="15" t="n"/>
      <c r="X587" s="15" t="n"/>
      <c r="Y587" s="15" t="n"/>
      <c r="Z587" s="15" t="n"/>
      <c r="AA587" s="15" t="n"/>
      <c r="AB587" s="15" t="n"/>
      <c r="AC587" s="15" t="n"/>
      <c r="AD587" s="15" t="n"/>
      <c r="AE587" s="15" t="n"/>
      <c r="AF587" s="15" t="n"/>
      <c r="AG587" s="15" t="n"/>
      <c r="AH587" s="15" t="n"/>
      <c r="AI587" s="15" t="n"/>
    </row>
    <row r="588">
      <c r="A588" s="4" t="inlineStr">
        <is>
          <t>Студент3.6</t>
        </is>
      </c>
      <c r="B588" s="4" t="inlineStr"/>
      <c r="C588" s="4" t="n"/>
      <c r="D588" s="4" t="n"/>
      <c r="E588" s="4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  <c r="O588" s="15" t="n"/>
      <c r="P588" s="15" t="n"/>
      <c r="Q588" s="15" t="n"/>
      <c r="R588" s="15" t="n"/>
      <c r="S588" s="15" t="n"/>
      <c r="T588" s="15" t="n"/>
      <c r="U588" s="15" t="n"/>
      <c r="V588" s="15" t="n"/>
      <c r="W588" s="15" t="n"/>
      <c r="X588" s="15" t="n"/>
      <c r="Y588" s="15" t="n"/>
      <c r="Z588" s="15" t="n"/>
      <c r="AA588" s="15" t="n"/>
      <c r="AB588" s="15" t="n"/>
      <c r="AC588" s="15" t="n"/>
      <c r="AD588" s="15" t="n"/>
      <c r="AE588" s="15" t="n"/>
      <c r="AF588" s="15" t="n"/>
      <c r="AG588" s="15" t="n"/>
      <c r="AH588" s="15" t="n"/>
      <c r="AI588" s="15" t="n"/>
    </row>
    <row r="589">
      <c r="A589" s="4" t="inlineStr">
        <is>
          <t>Студент3.7</t>
        </is>
      </c>
      <c r="B589" s="4" t="inlineStr"/>
      <c r="C589" s="4" t="n"/>
      <c r="D589" s="4" t="n"/>
      <c r="E589" s="4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  <c r="O589" s="15" t="n"/>
      <c r="P589" s="15" t="n"/>
      <c r="Q589" s="15" t="n"/>
      <c r="R589" s="15" t="n"/>
      <c r="S589" s="15" t="n"/>
      <c r="T589" s="15" t="n"/>
      <c r="U589" s="15" t="n"/>
      <c r="V589" s="15" t="n"/>
      <c r="W589" s="15" t="n"/>
      <c r="X589" s="15" t="n"/>
      <c r="Y589" s="15" t="n"/>
      <c r="Z589" s="15" t="n"/>
      <c r="AA589" s="15" t="n"/>
      <c r="AB589" s="15" t="n"/>
      <c r="AC589" s="15" t="n"/>
      <c r="AD589" s="15" t="n"/>
      <c r="AE589" s="15" t="n"/>
      <c r="AF589" s="15" t="n"/>
      <c r="AG589" s="15" t="n"/>
      <c r="AH589" s="15" t="n"/>
      <c r="AI589" s="15" t="n"/>
    </row>
    <row r="590">
      <c r="A590" s="4" t="inlineStr">
        <is>
          <t>Студент3.8</t>
        </is>
      </c>
      <c r="B590" s="4" t="inlineStr"/>
      <c r="C590" s="4" t="n"/>
      <c r="D590" s="4" t="n"/>
      <c r="E590" s="4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  <c r="O590" s="15" t="n"/>
      <c r="P590" s="15" t="n"/>
      <c r="Q590" s="15" t="n"/>
      <c r="R590" s="15" t="n"/>
      <c r="S590" s="15" t="n"/>
      <c r="T590" s="15" t="n"/>
      <c r="U590" s="15" t="n"/>
      <c r="V590" s="15" t="n"/>
      <c r="W590" s="15" t="n"/>
      <c r="X590" s="15" t="n"/>
      <c r="Y590" s="15" t="n"/>
      <c r="Z590" s="15" t="n"/>
      <c r="AA590" s="15" t="n"/>
      <c r="AB590" s="15" t="n"/>
      <c r="AC590" s="15" t="n"/>
      <c r="AD590" s="15" t="n"/>
      <c r="AE590" s="15" t="n"/>
      <c r="AF590" s="15" t="n"/>
      <c r="AG590" s="15" t="n"/>
      <c r="AH590" s="15" t="n"/>
      <c r="AI590" s="15" t="n"/>
    </row>
    <row r="591">
      <c r="A591" s="4" t="inlineStr">
        <is>
          <t>Студент3.9</t>
        </is>
      </c>
      <c r="B591" s="4" t="inlineStr"/>
      <c r="C591" s="4" t="n"/>
      <c r="D591" s="4" t="n"/>
      <c r="E591" s="4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  <c r="O591" s="15" t="n"/>
      <c r="P591" s="15" t="n"/>
      <c r="Q591" s="15" t="n"/>
      <c r="R591" s="15" t="n"/>
      <c r="S591" s="15" t="n"/>
      <c r="T591" s="15" t="n"/>
      <c r="U591" s="15" t="n"/>
      <c r="V591" s="15" t="n"/>
      <c r="W591" s="15" t="n"/>
      <c r="X591" s="15" t="n"/>
      <c r="Y591" s="15" t="n"/>
      <c r="Z591" s="15" t="n"/>
      <c r="AA591" s="15" t="n"/>
      <c r="AB591" s="15" t="n"/>
      <c r="AC591" s="15" t="n"/>
      <c r="AD591" s="15" t="n"/>
      <c r="AE591" s="15" t="n"/>
      <c r="AF591" s="15" t="n"/>
      <c r="AG591" s="15" t="n"/>
      <c r="AH591" s="15" t="n"/>
      <c r="AI591" s="15" t="n"/>
    </row>
    <row r="592">
      <c r="A592" s="4" t="inlineStr">
        <is>
          <t>Студент3.10</t>
        </is>
      </c>
      <c r="B592" s="4" t="inlineStr"/>
      <c r="C592" s="4" t="n"/>
      <c r="D592" s="4" t="n"/>
      <c r="E592" s="4" t="n"/>
      <c r="F592" s="15" t="n"/>
      <c r="G592" s="15" t="n"/>
      <c r="H592" s="15" t="n"/>
      <c r="I592" s="15" t="n"/>
      <c r="J592" s="15" t="n"/>
      <c r="K592" s="15" t="n"/>
      <c r="L592" s="15" t="n"/>
      <c r="M592" s="15" t="n"/>
      <c r="N592" s="15" t="n"/>
      <c r="O592" s="15" t="n"/>
      <c r="P592" s="15" t="n"/>
      <c r="Q592" s="15" t="n"/>
      <c r="R592" s="15" t="n"/>
      <c r="S592" s="15" t="n"/>
      <c r="T592" s="15" t="n"/>
      <c r="U592" s="15" t="n"/>
      <c r="V592" s="15" t="n"/>
      <c r="W592" s="15" t="n"/>
      <c r="X592" s="15" t="n"/>
      <c r="Y592" s="15" t="n"/>
      <c r="Z592" s="15" t="n"/>
      <c r="AA592" s="15" t="n"/>
      <c r="AB592" s="15" t="n"/>
      <c r="AC592" s="15" t="n"/>
      <c r="AD592" s="15" t="n"/>
      <c r="AE592" s="15" t="n"/>
      <c r="AF592" s="15" t="n"/>
      <c r="AG592" s="15" t="n"/>
      <c r="AH592" s="15" t="n"/>
      <c r="AI592" s="15" t="n"/>
    </row>
    <row r="593">
      <c r="A593" s="4" t="inlineStr">
        <is>
          <t>Студент3.11</t>
        </is>
      </c>
      <c r="B593" s="4" t="inlineStr"/>
      <c r="C593" s="4" t="n"/>
      <c r="D593" s="4" t="n"/>
      <c r="E593" s="4" t="n"/>
      <c r="F593" s="15" t="n"/>
      <c r="G593" s="15" t="n"/>
      <c r="H593" s="15" t="n"/>
      <c r="I593" s="15" t="n"/>
      <c r="J593" s="15" t="n"/>
      <c r="K593" s="15" t="n"/>
      <c r="L593" s="15" t="n"/>
      <c r="M593" s="15" t="n"/>
      <c r="N593" s="15" t="n"/>
      <c r="O593" s="15" t="n"/>
      <c r="P593" s="15" t="n"/>
      <c r="Q593" s="15" t="n"/>
      <c r="R593" s="15" t="n"/>
      <c r="S593" s="15" t="n"/>
      <c r="T593" s="15" t="n"/>
      <c r="U593" s="15" t="n"/>
      <c r="V593" s="15" t="n"/>
      <c r="W593" s="15" t="n"/>
      <c r="X593" s="15" t="n"/>
      <c r="Y593" s="15" t="n"/>
      <c r="Z593" s="15" t="n"/>
      <c r="AA593" s="15" t="n"/>
      <c r="AB593" s="15" t="n"/>
      <c r="AC593" s="15" t="n"/>
      <c r="AD593" s="15" t="n"/>
      <c r="AE593" s="15" t="n"/>
      <c r="AF593" s="15" t="n"/>
      <c r="AG593" s="15" t="n"/>
      <c r="AH593" s="15" t="n"/>
      <c r="AI593" s="15" t="n"/>
    </row>
    <row r="594">
      <c r="A594" s="4" t="inlineStr">
        <is>
          <t>Студент3.12</t>
        </is>
      </c>
      <c r="B594" s="4" t="inlineStr"/>
      <c r="C594" s="4" t="n"/>
      <c r="D594" s="4" t="n"/>
      <c r="E594" s="4" t="n"/>
      <c r="F594" s="15" t="n"/>
      <c r="G594" s="15" t="n"/>
      <c r="H594" s="15" t="n"/>
      <c r="I594" s="15" t="n"/>
      <c r="J594" s="15" t="n"/>
      <c r="K594" s="15" t="n"/>
      <c r="L594" s="15" t="n"/>
      <c r="M594" s="15" t="n"/>
      <c r="N594" s="15" t="n"/>
      <c r="O594" s="15" t="n"/>
      <c r="P594" s="15" t="n"/>
      <c r="Q594" s="15" t="n"/>
      <c r="R594" s="15" t="n"/>
      <c r="S594" s="15" t="n"/>
      <c r="T594" s="15" t="n"/>
      <c r="U594" s="15" t="n"/>
      <c r="V594" s="15" t="n"/>
      <c r="W594" s="15" t="n"/>
      <c r="X594" s="15" t="n"/>
      <c r="Y594" s="15" t="n"/>
      <c r="Z594" s="15" t="n"/>
      <c r="AA594" s="15" t="n"/>
      <c r="AB594" s="15" t="n"/>
      <c r="AC594" s="15" t="n"/>
      <c r="AD594" s="15" t="n"/>
      <c r="AE594" s="15" t="n"/>
      <c r="AF594" s="15" t="n"/>
      <c r="AG594" s="15" t="n"/>
      <c r="AH594" s="15" t="n"/>
      <c r="AI594" s="15" t="n"/>
    </row>
    <row r="595">
      <c r="A595" s="4" t="inlineStr">
        <is>
          <t>Студент3.13</t>
        </is>
      </c>
      <c r="B595" s="4" t="inlineStr"/>
      <c r="C595" s="4" t="n"/>
      <c r="D595" s="4" t="n"/>
      <c r="E595" s="4" t="n"/>
      <c r="F595" s="15" t="n"/>
      <c r="G595" s="15" t="n"/>
      <c r="H595" s="15" t="n"/>
      <c r="I595" s="15" t="n"/>
      <c r="J595" s="15" t="n"/>
      <c r="K595" s="15" t="n"/>
      <c r="L595" s="15" t="n"/>
      <c r="M595" s="15" t="n"/>
      <c r="N595" s="15" t="n"/>
      <c r="O595" s="15" t="n"/>
      <c r="P595" s="15" t="n"/>
      <c r="Q595" s="15" t="n"/>
      <c r="R595" s="15" t="n"/>
      <c r="S595" s="15" t="n"/>
      <c r="T595" s="15" t="n"/>
      <c r="U595" s="15" t="n"/>
      <c r="V595" s="15" t="n"/>
      <c r="W595" s="15" t="n"/>
      <c r="X595" s="15" t="n"/>
      <c r="Y595" s="15" t="n"/>
      <c r="Z595" s="15" t="n"/>
      <c r="AA595" s="15" t="n"/>
      <c r="AB595" s="15" t="n"/>
      <c r="AC595" s="15" t="n"/>
      <c r="AD595" s="15" t="n"/>
      <c r="AE595" s="15" t="n"/>
      <c r="AF595" s="15" t="n"/>
      <c r="AG595" s="15" t="n"/>
      <c r="AH595" s="15" t="n"/>
      <c r="AI595" s="15" t="n"/>
    </row>
    <row r="596">
      <c r="A596" s="4" t="inlineStr">
        <is>
          <t>Студент3.14</t>
        </is>
      </c>
      <c r="B596" s="4" t="inlineStr"/>
      <c r="C596" s="4" t="n"/>
      <c r="D596" s="4" t="n"/>
      <c r="E596" s="4" t="n"/>
      <c r="F596" s="15" t="n"/>
      <c r="G596" s="15" t="n"/>
      <c r="H596" s="15" t="n"/>
      <c r="I596" s="15" t="n"/>
      <c r="J596" s="15" t="n"/>
      <c r="K596" s="15" t="n"/>
      <c r="L596" s="15" t="n"/>
      <c r="M596" s="15" t="n"/>
      <c r="N596" s="15" t="n"/>
      <c r="O596" s="15" t="n"/>
      <c r="P596" s="15" t="n"/>
      <c r="Q596" s="15" t="n"/>
      <c r="R596" s="15" t="n"/>
      <c r="S596" s="15" t="n"/>
      <c r="T596" s="15" t="n"/>
      <c r="U596" s="15" t="n"/>
      <c r="V596" s="15" t="n"/>
      <c r="W596" s="15" t="n"/>
      <c r="X596" s="15" t="n"/>
      <c r="Y596" s="15" t="n"/>
      <c r="Z596" s="15" t="n"/>
      <c r="AA596" s="15" t="n"/>
      <c r="AB596" s="15" t="n"/>
      <c r="AC596" s="15" t="n"/>
      <c r="AD596" s="15" t="n"/>
      <c r="AE596" s="15" t="n"/>
      <c r="AF596" s="15" t="n"/>
      <c r="AG596" s="15" t="n"/>
      <c r="AH596" s="15" t="n"/>
      <c r="AI596" s="15" t="n"/>
    </row>
    <row r="597">
      <c r="A597" s="4" t="inlineStr">
        <is>
          <t>Студент3.15</t>
        </is>
      </c>
      <c r="B597" s="4" t="inlineStr"/>
      <c r="C597" s="4" t="n"/>
      <c r="D597" s="4" t="n"/>
      <c r="E597" s="4" t="n"/>
      <c r="F597" s="15" t="n"/>
      <c r="G597" s="15" t="n"/>
      <c r="H597" s="15" t="n"/>
      <c r="I597" s="15" t="n"/>
      <c r="J597" s="15" t="n"/>
      <c r="K597" s="15" t="n"/>
      <c r="L597" s="15" t="n"/>
      <c r="M597" s="15" t="n"/>
      <c r="N597" s="15" t="n"/>
      <c r="O597" s="15" t="n"/>
      <c r="P597" s="15" t="n"/>
      <c r="Q597" s="15" t="n"/>
      <c r="R597" s="15" t="n"/>
      <c r="S597" s="15" t="n"/>
      <c r="T597" s="15" t="n"/>
      <c r="U597" s="15" t="n"/>
      <c r="V597" s="15" t="n"/>
      <c r="W597" s="15" t="n"/>
      <c r="X597" s="15" t="n"/>
      <c r="Y597" s="15" t="n"/>
      <c r="Z597" s="15" t="n"/>
      <c r="AA597" s="15" t="n"/>
      <c r="AB597" s="15" t="n"/>
      <c r="AC597" s="15" t="n"/>
      <c r="AD597" s="15" t="n"/>
      <c r="AE597" s="15" t="n"/>
      <c r="AF597" s="15" t="n"/>
      <c r="AG597" s="15" t="n"/>
      <c r="AH597" s="15" t="n"/>
      <c r="AI597" s="15" t="n"/>
    </row>
    <row r="598">
      <c r="A598" s="4" t="inlineStr">
        <is>
          <t>Студент3.16</t>
        </is>
      </c>
      <c r="B598" s="4" t="inlineStr"/>
      <c r="C598" s="4" t="n"/>
      <c r="D598" s="4" t="n"/>
      <c r="E598" s="4" t="n"/>
      <c r="F598" s="15" t="n"/>
      <c r="G598" s="15" t="n"/>
      <c r="H598" s="15" t="n"/>
      <c r="I598" s="15" t="n"/>
      <c r="J598" s="15" t="n"/>
      <c r="K598" s="15" t="n"/>
      <c r="L598" s="15" t="n"/>
      <c r="M598" s="15" t="n"/>
      <c r="N598" s="15" t="n"/>
      <c r="O598" s="15" t="n"/>
      <c r="P598" s="15" t="n"/>
      <c r="Q598" s="15" t="n"/>
      <c r="R598" s="15" t="n"/>
      <c r="S598" s="15" t="n"/>
      <c r="T598" s="15" t="n"/>
      <c r="U598" s="15" t="n"/>
      <c r="V598" s="15" t="n"/>
      <c r="W598" s="15" t="n"/>
      <c r="X598" s="15" t="n"/>
      <c r="Y598" s="15" t="n"/>
      <c r="Z598" s="15" t="n"/>
      <c r="AA598" s="15" t="n"/>
      <c r="AB598" s="15" t="n"/>
      <c r="AC598" s="15" t="n"/>
      <c r="AD598" s="15" t="n"/>
      <c r="AE598" s="15" t="n"/>
      <c r="AF598" s="15" t="n"/>
      <c r="AG598" s="15" t="n"/>
      <c r="AH598" s="15" t="n"/>
      <c r="AI598" s="15" t="n"/>
    </row>
    <row r="599">
      <c r="A599" s="4" t="inlineStr">
        <is>
          <t>Студент3.17</t>
        </is>
      </c>
      <c r="B599" s="4" t="inlineStr"/>
      <c r="C599" s="4" t="n"/>
      <c r="D599" s="4" t="n"/>
      <c r="E599" s="4" t="n"/>
      <c r="F599" s="15" t="n"/>
      <c r="G599" s="15" t="n"/>
      <c r="H599" s="15" t="n"/>
      <c r="I599" s="15" t="n"/>
      <c r="J599" s="15" t="n"/>
      <c r="K599" s="15" t="n"/>
      <c r="L599" s="15" t="n"/>
      <c r="M599" s="15" t="n"/>
      <c r="N599" s="15" t="n"/>
      <c r="O599" s="15" t="n"/>
      <c r="P599" s="15" t="n"/>
      <c r="Q599" s="15" t="n"/>
      <c r="R599" s="15" t="n"/>
      <c r="S599" s="15" t="n"/>
      <c r="T599" s="15" t="n"/>
      <c r="U599" s="15" t="n"/>
      <c r="V599" s="15" t="n"/>
      <c r="W599" s="15" t="n"/>
      <c r="X599" s="15" t="n"/>
      <c r="Y599" s="15" t="n"/>
      <c r="Z599" s="15" t="n"/>
      <c r="AA599" s="15" t="n"/>
      <c r="AB599" s="15" t="n"/>
      <c r="AC599" s="15" t="n"/>
      <c r="AD599" s="15" t="n"/>
      <c r="AE599" s="15" t="n"/>
      <c r="AF599" s="15" t="n"/>
      <c r="AG599" s="15" t="n"/>
      <c r="AH599" s="15" t="n"/>
      <c r="AI599" s="15" t="n"/>
    </row>
    <row r="600">
      <c r="A600" s="4" t="inlineStr">
        <is>
          <t>Студент3.18</t>
        </is>
      </c>
      <c r="B600" s="4" t="inlineStr"/>
      <c r="C600" s="4" t="n"/>
      <c r="D600" s="4" t="n"/>
      <c r="E600" s="4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5" t="n"/>
      <c r="P600" s="15" t="n"/>
      <c r="Q600" s="15" t="n"/>
      <c r="R600" s="15" t="n"/>
      <c r="S600" s="15" t="n"/>
      <c r="T600" s="15" t="n"/>
      <c r="U600" s="15" t="n"/>
      <c r="V600" s="15" t="n"/>
      <c r="W600" s="15" t="n"/>
      <c r="X600" s="15" t="n"/>
      <c r="Y600" s="15" t="n"/>
      <c r="Z600" s="15" t="n"/>
      <c r="AA600" s="15" t="n"/>
      <c r="AB600" s="15" t="n"/>
      <c r="AC600" s="15" t="n"/>
      <c r="AD600" s="15" t="n"/>
      <c r="AE600" s="15" t="n"/>
      <c r="AF600" s="15" t="n"/>
      <c r="AG600" s="15" t="n"/>
      <c r="AH600" s="15" t="n"/>
      <c r="AI600" s="15" t="n"/>
    </row>
    <row r="601">
      <c r="A601" s="4" t="inlineStr">
        <is>
          <t>Студент3.19</t>
        </is>
      </c>
      <c r="B601" s="4" t="inlineStr"/>
      <c r="C601" s="4" t="n"/>
      <c r="D601" s="4" t="n"/>
      <c r="E601" s="4" t="n"/>
      <c r="F601" s="15" t="n"/>
      <c r="G601" s="15" t="n"/>
      <c r="H601" s="15" t="n"/>
      <c r="I601" s="15" t="n"/>
      <c r="J601" s="15" t="n"/>
      <c r="K601" s="15" t="n"/>
      <c r="L601" s="15" t="n"/>
      <c r="M601" s="15" t="n"/>
      <c r="N601" s="15" t="n"/>
      <c r="O601" s="15" t="n"/>
      <c r="P601" s="15" t="n"/>
      <c r="Q601" s="15" t="n"/>
      <c r="R601" s="15" t="n"/>
      <c r="S601" s="15" t="n"/>
      <c r="T601" s="15" t="n"/>
      <c r="U601" s="15" t="n"/>
      <c r="V601" s="15" t="n"/>
      <c r="W601" s="15" t="n"/>
      <c r="X601" s="15" t="n"/>
      <c r="Y601" s="15" t="n"/>
      <c r="Z601" s="15" t="n"/>
      <c r="AA601" s="15" t="n"/>
      <c r="AB601" s="15" t="n"/>
      <c r="AC601" s="15" t="n"/>
      <c r="AD601" s="15" t="n"/>
      <c r="AE601" s="15" t="n"/>
      <c r="AF601" s="15" t="n"/>
      <c r="AG601" s="15" t="n"/>
      <c r="AH601" s="15" t="n"/>
      <c r="AI601" s="15" t="n"/>
    </row>
    <row r="602">
      <c r="A602" s="4" t="inlineStr">
        <is>
          <t>Студент3.20</t>
        </is>
      </c>
      <c r="B602" s="4" t="inlineStr"/>
      <c r="C602" s="4" t="n"/>
      <c r="D602" s="4" t="n"/>
      <c r="E602" s="4" t="n"/>
      <c r="F602" s="15" t="n"/>
      <c r="G602" s="15" t="n"/>
      <c r="H602" s="15" t="n"/>
      <c r="I602" s="15" t="n"/>
      <c r="J602" s="15" t="n"/>
      <c r="K602" s="15" t="n"/>
      <c r="L602" s="15" t="n"/>
      <c r="M602" s="15" t="n"/>
      <c r="N602" s="15" t="n"/>
      <c r="O602" s="15" t="n"/>
      <c r="P602" s="15" t="n"/>
      <c r="Q602" s="15" t="n"/>
      <c r="R602" s="15" t="n"/>
      <c r="S602" s="15" t="n"/>
      <c r="T602" s="15" t="n"/>
      <c r="U602" s="15" t="n"/>
      <c r="V602" s="15" t="n"/>
      <c r="W602" s="15" t="n"/>
      <c r="X602" s="15" t="n"/>
      <c r="Y602" s="15" t="n"/>
      <c r="Z602" s="15" t="n"/>
      <c r="AA602" s="15" t="n"/>
      <c r="AB602" s="15" t="n"/>
      <c r="AC602" s="15" t="n"/>
      <c r="AD602" s="15" t="n"/>
      <c r="AE602" s="15" t="n"/>
      <c r="AF602" s="15" t="n"/>
      <c r="AG602" s="15" t="n"/>
      <c r="AH602" s="15" t="n"/>
      <c r="AI602" s="15" t="n"/>
    </row>
    <row r="603">
      <c r="A603" s="4" t="inlineStr">
        <is>
          <t>Студент3.21</t>
        </is>
      </c>
      <c r="B603" s="4" t="inlineStr"/>
      <c r="C603" s="4" t="n"/>
      <c r="D603" s="4" t="n"/>
      <c r="E603" s="4" t="n"/>
      <c r="F603" s="15" t="n"/>
      <c r="G603" s="15" t="n"/>
      <c r="H603" s="15" t="n"/>
      <c r="I603" s="15" t="n"/>
      <c r="J603" s="15" t="n"/>
      <c r="K603" s="15" t="n"/>
      <c r="L603" s="15" t="n"/>
      <c r="M603" s="15" t="n"/>
      <c r="N603" s="15" t="n"/>
      <c r="O603" s="15" t="n"/>
      <c r="P603" s="15" t="n"/>
      <c r="Q603" s="15" t="n"/>
      <c r="R603" s="15" t="n"/>
      <c r="S603" s="15" t="n"/>
      <c r="T603" s="15" t="n"/>
      <c r="U603" s="15" t="n"/>
      <c r="V603" s="15" t="n"/>
      <c r="W603" s="15" t="n"/>
      <c r="X603" s="15" t="n"/>
      <c r="Y603" s="15" t="n"/>
      <c r="Z603" s="15" t="n"/>
      <c r="AA603" s="15" t="n"/>
      <c r="AB603" s="15" t="n"/>
      <c r="AC603" s="15" t="n"/>
      <c r="AD603" s="15" t="n"/>
      <c r="AE603" s="15" t="n"/>
      <c r="AF603" s="15" t="n"/>
      <c r="AG603" s="15" t="n"/>
      <c r="AH603" s="15" t="n"/>
      <c r="AI603" s="15" t="n"/>
    </row>
    <row r="604">
      <c r="A604" s="4" t="inlineStr">
        <is>
          <t>Студент3.22</t>
        </is>
      </c>
      <c r="B604" s="4" t="inlineStr"/>
      <c r="C604" s="4" t="n"/>
      <c r="D604" s="4" t="n"/>
      <c r="E604" s="4" t="n"/>
      <c r="F604" s="15" t="n"/>
      <c r="G604" s="15" t="n"/>
      <c r="H604" s="15" t="n"/>
      <c r="I604" s="15" t="n"/>
      <c r="J604" s="15" t="n"/>
      <c r="K604" s="15" t="n"/>
      <c r="L604" s="15" t="n"/>
      <c r="M604" s="15" t="n"/>
      <c r="N604" s="15" t="n"/>
      <c r="O604" s="15" t="n"/>
      <c r="P604" s="15" t="n"/>
      <c r="Q604" s="15" t="n"/>
      <c r="R604" s="15" t="n"/>
      <c r="S604" s="15" t="n"/>
      <c r="T604" s="15" t="n"/>
      <c r="U604" s="15" t="n"/>
      <c r="V604" s="15" t="n"/>
      <c r="W604" s="15" t="n"/>
      <c r="X604" s="15" t="n"/>
      <c r="Y604" s="15" t="n"/>
      <c r="Z604" s="15" t="n"/>
      <c r="AA604" s="15" t="n"/>
      <c r="AB604" s="15" t="n"/>
      <c r="AC604" s="15" t="n"/>
      <c r="AD604" s="15" t="n"/>
      <c r="AE604" s="15" t="n"/>
      <c r="AF604" s="15" t="n"/>
      <c r="AG604" s="15" t="n"/>
      <c r="AH604" s="15" t="n"/>
      <c r="AI604" s="15" t="n"/>
    </row>
    <row r="605">
      <c r="A605" s="4" t="inlineStr">
        <is>
          <t>Студент3.23</t>
        </is>
      </c>
      <c r="B605" s="4" t="inlineStr"/>
      <c r="C605" s="4" t="n"/>
      <c r="D605" s="4" t="n"/>
      <c r="E605" s="4" t="n"/>
      <c r="F605" s="15" t="n"/>
      <c r="G605" s="15" t="n"/>
      <c r="H605" s="15" t="n"/>
      <c r="I605" s="15" t="n"/>
      <c r="J605" s="15" t="n"/>
      <c r="K605" s="15" t="n"/>
      <c r="L605" s="15" t="n"/>
      <c r="M605" s="15" t="n"/>
      <c r="N605" s="15" t="n"/>
      <c r="O605" s="15" t="n"/>
      <c r="P605" s="15" t="n"/>
      <c r="Q605" s="15" t="n"/>
      <c r="R605" s="15" t="n"/>
      <c r="S605" s="15" t="n"/>
      <c r="T605" s="15" t="n"/>
      <c r="U605" s="15" t="n"/>
      <c r="V605" s="15" t="n"/>
      <c r="W605" s="15" t="n"/>
      <c r="X605" s="15" t="n"/>
      <c r="Y605" s="15" t="n"/>
      <c r="Z605" s="15" t="n"/>
      <c r="AA605" s="15" t="n"/>
      <c r="AB605" s="15" t="n"/>
      <c r="AC605" s="15" t="n"/>
      <c r="AD605" s="15" t="n"/>
      <c r="AE605" s="15" t="n"/>
      <c r="AF605" s="15" t="n"/>
      <c r="AG605" s="15" t="n"/>
      <c r="AH605" s="15" t="n"/>
      <c r="AI605" s="15" t="n"/>
    </row>
    <row r="606">
      <c r="A606" s="4" t="inlineStr">
        <is>
          <t>Студент3.24</t>
        </is>
      </c>
      <c r="B606" s="4" t="inlineStr"/>
      <c r="C606" s="4" t="n"/>
      <c r="D606" s="4" t="n"/>
      <c r="E606" s="4" t="n"/>
      <c r="F606" s="15" t="n"/>
      <c r="G606" s="15" t="n"/>
      <c r="H606" s="15" t="n"/>
      <c r="I606" s="15" t="n"/>
      <c r="J606" s="15" t="n"/>
      <c r="K606" s="15" t="n"/>
      <c r="L606" s="15" t="n"/>
      <c r="M606" s="15" t="n"/>
      <c r="N606" s="15" t="n"/>
      <c r="O606" s="15" t="n"/>
      <c r="P606" s="15" t="n"/>
      <c r="Q606" s="15" t="n"/>
      <c r="R606" s="15" t="n"/>
      <c r="S606" s="15" t="n"/>
      <c r="T606" s="15" t="n"/>
      <c r="U606" s="15" t="n"/>
      <c r="V606" s="15" t="n"/>
      <c r="W606" s="15" t="n"/>
      <c r="X606" s="15" t="n"/>
      <c r="Y606" s="15" t="n"/>
      <c r="Z606" s="15" t="n"/>
      <c r="AA606" s="15" t="n"/>
      <c r="AB606" s="15" t="n"/>
      <c r="AC606" s="15" t="n"/>
      <c r="AD606" s="15" t="n"/>
      <c r="AE606" s="15" t="n"/>
      <c r="AF606" s="15" t="n"/>
      <c r="AG606" s="15" t="n"/>
      <c r="AH606" s="15" t="n"/>
      <c r="AI606" s="15" t="n"/>
    </row>
    <row r="607">
      <c r="A607" s="4" t="inlineStr">
        <is>
          <t>Студент3.25</t>
        </is>
      </c>
      <c r="B607" s="4" t="inlineStr"/>
      <c r="C607" s="4" t="n"/>
      <c r="D607" s="4" t="n"/>
      <c r="E607" s="4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5" t="n"/>
      <c r="P607" s="15" t="n"/>
      <c r="Q607" s="15" t="n"/>
      <c r="R607" s="15" t="n"/>
      <c r="S607" s="15" t="n"/>
      <c r="T607" s="15" t="n"/>
      <c r="U607" s="15" t="n"/>
      <c r="V607" s="15" t="n"/>
      <c r="W607" s="15" t="n"/>
      <c r="X607" s="15" t="n"/>
      <c r="Y607" s="15" t="n"/>
      <c r="Z607" s="15" t="n"/>
      <c r="AA607" s="15" t="n"/>
      <c r="AB607" s="15" t="n"/>
      <c r="AC607" s="15" t="n"/>
      <c r="AD607" s="15" t="n"/>
      <c r="AE607" s="15" t="n"/>
      <c r="AF607" s="15" t="n"/>
      <c r="AG607" s="15" t="n"/>
      <c r="AH607" s="15" t="n"/>
      <c r="AI607" s="15" t="n"/>
    </row>
    <row r="608">
      <c r="A608" s="4" t="inlineStr">
        <is>
          <t>Студент3.26</t>
        </is>
      </c>
      <c r="B608" s="4" t="inlineStr"/>
      <c r="C608" s="4" t="n"/>
      <c r="D608" s="4" t="n"/>
      <c r="E608" s="4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  <c r="O608" s="15" t="n"/>
      <c r="P608" s="15" t="n"/>
      <c r="Q608" s="15" t="n"/>
      <c r="R608" s="15" t="n"/>
      <c r="S608" s="15" t="n"/>
      <c r="T608" s="15" t="n"/>
      <c r="U608" s="15" t="n"/>
      <c r="V608" s="15" t="n"/>
      <c r="W608" s="15" t="n"/>
      <c r="X608" s="15" t="n"/>
      <c r="Y608" s="15" t="n"/>
      <c r="Z608" s="15" t="n"/>
      <c r="AA608" s="15" t="n"/>
      <c r="AB608" s="15" t="n"/>
      <c r="AC608" s="15" t="n"/>
      <c r="AD608" s="15" t="n"/>
      <c r="AE608" s="15" t="n"/>
      <c r="AF608" s="15" t="n"/>
      <c r="AG608" s="15" t="n"/>
      <c r="AH608" s="15" t="n"/>
      <c r="AI608" s="15" t="n"/>
    </row>
    <row r="609">
      <c r="A609" s="4" t="inlineStr">
        <is>
          <t>Студент3.27</t>
        </is>
      </c>
      <c r="B609" s="4" t="inlineStr"/>
      <c r="C609" s="4" t="n"/>
      <c r="D609" s="4" t="n"/>
      <c r="E609" s="4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  <c r="O609" s="15" t="n"/>
      <c r="P609" s="15" t="n"/>
      <c r="Q609" s="15" t="n"/>
      <c r="R609" s="15" t="n"/>
      <c r="S609" s="15" t="n"/>
      <c r="T609" s="15" t="n"/>
      <c r="U609" s="15" t="n"/>
      <c r="V609" s="15" t="n"/>
      <c r="W609" s="15" t="n"/>
      <c r="X609" s="15" t="n"/>
      <c r="Y609" s="15" t="n"/>
      <c r="Z609" s="15" t="n"/>
      <c r="AA609" s="15" t="n"/>
      <c r="AB609" s="15" t="n"/>
      <c r="AC609" s="15" t="n"/>
      <c r="AD609" s="15" t="n"/>
      <c r="AE609" s="15" t="n"/>
      <c r="AF609" s="15" t="n"/>
      <c r="AG609" s="15" t="n"/>
      <c r="AH609" s="15" t="n"/>
      <c r="AI609" s="15" t="n"/>
    </row>
    <row r="610">
      <c r="A610" s="4" t="inlineStr">
        <is>
          <t>Студент3.28</t>
        </is>
      </c>
      <c r="B610" s="4" t="inlineStr"/>
      <c r="C610" s="4" t="n"/>
      <c r="D610" s="4" t="n"/>
      <c r="E610" s="4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  <c r="O610" s="15" t="n"/>
      <c r="P610" s="15" t="n"/>
      <c r="Q610" s="15" t="n"/>
      <c r="R610" s="15" t="n"/>
      <c r="S610" s="15" t="n"/>
      <c r="T610" s="15" t="n"/>
      <c r="U610" s="15" t="n"/>
      <c r="V610" s="15" t="n"/>
      <c r="W610" s="15" t="n"/>
      <c r="X610" s="15" t="n"/>
      <c r="Y610" s="15" t="n"/>
      <c r="Z610" s="15" t="n"/>
      <c r="AA610" s="15" t="n"/>
      <c r="AB610" s="15" t="n"/>
      <c r="AC610" s="15" t="n"/>
      <c r="AD610" s="15" t="n"/>
      <c r="AE610" s="15" t="n"/>
      <c r="AF610" s="15" t="n"/>
      <c r="AG610" s="15" t="n"/>
      <c r="AH610" s="15" t="n"/>
      <c r="AI610" s="15" t="n"/>
    </row>
    <row r="611">
      <c r="A611" s="4" t="inlineStr">
        <is>
          <t>Студент3.29</t>
        </is>
      </c>
      <c r="B611" s="4" t="inlineStr"/>
      <c r="C611" s="4" t="n"/>
      <c r="D611" s="4" t="n"/>
      <c r="E611" s="4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  <c r="O611" s="15" t="n"/>
      <c r="P611" s="15" t="n"/>
      <c r="Q611" s="15" t="n"/>
      <c r="R611" s="15" t="n"/>
      <c r="S611" s="15" t="n"/>
      <c r="T611" s="15" t="n"/>
      <c r="U611" s="15" t="n"/>
      <c r="V611" s="15" t="n"/>
      <c r="W611" s="15" t="n"/>
      <c r="X611" s="15" t="n"/>
      <c r="Y611" s="15" t="n"/>
      <c r="Z611" s="15" t="n"/>
      <c r="AA611" s="15" t="n"/>
      <c r="AB611" s="15" t="n"/>
      <c r="AC611" s="15" t="n"/>
      <c r="AD611" s="15" t="n"/>
      <c r="AE611" s="15" t="n"/>
      <c r="AF611" s="15" t="n"/>
      <c r="AG611" s="15" t="n"/>
      <c r="AH611" s="15" t="n"/>
      <c r="AI611" s="15" t="n"/>
    </row>
    <row r="612">
      <c r="A612" s="4" t="inlineStr">
        <is>
          <t>Студент3.30</t>
        </is>
      </c>
      <c r="B612" s="4" t="inlineStr"/>
      <c r="C612" s="4" t="n"/>
      <c r="D612" s="4" t="n"/>
      <c r="E612" s="4" t="n"/>
      <c r="F612" s="15" t="n"/>
      <c r="G612" s="15" t="n"/>
      <c r="H612" s="15" t="n"/>
      <c r="I612" s="15" t="n"/>
      <c r="J612" s="15" t="n"/>
      <c r="K612" s="15" t="n"/>
      <c r="L612" s="15" t="n"/>
      <c r="M612" s="15" t="n"/>
      <c r="N612" s="15" t="n"/>
      <c r="O612" s="15" t="n"/>
      <c r="P612" s="15" t="n"/>
      <c r="Q612" s="15" t="n"/>
      <c r="R612" s="15" t="n"/>
      <c r="S612" s="15" t="n"/>
      <c r="T612" s="15" t="n"/>
      <c r="U612" s="15" t="n"/>
      <c r="V612" s="15" t="n"/>
      <c r="W612" s="15" t="n"/>
      <c r="X612" s="15" t="n"/>
      <c r="Y612" s="15" t="n"/>
      <c r="Z612" s="15" t="n"/>
      <c r="AA612" s="15" t="n"/>
      <c r="AB612" s="15" t="n"/>
      <c r="AC612" s="15" t="n"/>
      <c r="AD612" s="15" t="n"/>
      <c r="AE612" s="15" t="n"/>
      <c r="AF612" s="15" t="n"/>
      <c r="AG612" s="15" t="n"/>
      <c r="AH612" s="15" t="n"/>
      <c r="AI612" s="15" t="n"/>
    </row>
    <row r="616">
      <c r="A616" s="13" t="inlineStr">
        <is>
          <t>Практика 10 — плюсы</t>
        </is>
      </c>
    </row>
    <row r="617" ht="28" customHeight="1">
      <c r="A617" s="7" t="inlineStr">
        <is>
          <t>Имя</t>
        </is>
      </c>
      <c r="B617" s="9" t="inlineStr">
        <is>
          <t>TG</t>
        </is>
      </c>
      <c r="C617" s="10" t="inlineStr">
        <is>
          <t>S</t>
        </is>
      </c>
      <c r="D617" s="8" t="inlineStr">
        <is>
          <t>Коэффициент</t>
        </is>
      </c>
      <c r="E617" s="14" t="inlineStr">
        <is>
          <t>D за практику</t>
        </is>
      </c>
      <c r="F617" s="11" t="inlineStr">
        <is>
          <t>1.0</t>
        </is>
      </c>
      <c r="G617" s="11" t="inlineStr">
        <is>
          <t>2.0</t>
        </is>
      </c>
      <c r="H617" s="11" t="inlineStr">
        <is>
          <t>3.0</t>
        </is>
      </c>
      <c r="I617" s="11" t="inlineStr">
        <is>
          <t>4.0</t>
        </is>
      </c>
      <c r="J617" s="11" t="inlineStr">
        <is>
          <t>5.0</t>
        </is>
      </c>
      <c r="K617" s="11" t="inlineStr">
        <is>
          <t>6</t>
        </is>
      </c>
      <c r="L617" s="11" t="inlineStr">
        <is>
          <t>7</t>
        </is>
      </c>
      <c r="M617" s="11" t="inlineStr">
        <is>
          <t>8</t>
        </is>
      </c>
      <c r="N617" s="11" t="inlineStr">
        <is>
          <t>9</t>
        </is>
      </c>
      <c r="O617" s="11" t="inlineStr">
        <is>
          <t>10</t>
        </is>
      </c>
      <c r="P617" s="11" t="inlineStr">
        <is>
          <t>11</t>
        </is>
      </c>
      <c r="Q617" s="11" t="inlineStr">
        <is>
          <t>12</t>
        </is>
      </c>
      <c r="R617" s="11" t="inlineStr">
        <is>
          <t>13</t>
        </is>
      </c>
      <c r="S617" s="11" t="inlineStr">
        <is>
          <t>14</t>
        </is>
      </c>
      <c r="T617" s="11" t="inlineStr">
        <is>
          <t>15</t>
        </is>
      </c>
      <c r="U617" s="11" t="inlineStr">
        <is>
          <t>16</t>
        </is>
      </c>
      <c r="V617" s="11" t="inlineStr">
        <is>
          <t>17</t>
        </is>
      </c>
      <c r="W617" s="11" t="inlineStr">
        <is>
          <t>18</t>
        </is>
      </c>
      <c r="X617" s="11" t="inlineStr">
        <is>
          <t>19</t>
        </is>
      </c>
      <c r="Y617" s="11" t="inlineStr">
        <is>
          <t>20</t>
        </is>
      </c>
      <c r="Z617" s="11" t="inlineStr">
        <is>
          <t>21</t>
        </is>
      </c>
      <c r="AA617" s="11" t="inlineStr">
        <is>
          <t>22</t>
        </is>
      </c>
      <c r="AB617" s="11" t="inlineStr">
        <is>
          <t>23</t>
        </is>
      </c>
      <c r="AC617" s="11" t="inlineStr">
        <is>
          <t>24</t>
        </is>
      </c>
      <c r="AD617" s="11" t="inlineStr">
        <is>
          <t>25</t>
        </is>
      </c>
      <c r="AE617" s="11" t="inlineStr">
        <is>
          <t>26</t>
        </is>
      </c>
      <c r="AF617" s="11" t="inlineStr">
        <is>
          <t>27</t>
        </is>
      </c>
      <c r="AG617" s="11" t="inlineStr">
        <is>
          <t>28</t>
        </is>
      </c>
      <c r="AH617" s="11" t="inlineStr">
        <is>
          <t>29</t>
        </is>
      </c>
      <c r="AI617" s="11" t="inlineStr">
        <is>
          <t>30</t>
        </is>
      </c>
    </row>
    <row r="618">
      <c r="A618" s="4" t="inlineStr">
        <is>
          <t>Студент3.1</t>
        </is>
      </c>
      <c r="B618" s="4" t="inlineStr"/>
      <c r="C618" s="4">
        <f>IF(A618="","",COUNTIF(F618:AI618,"+")+COUNTIF(F618:AI618,"1"))</f>
        <v/>
      </c>
      <c r="D618" s="4">
        <f>IF(A618="","",IF(C618&gt;2*COUNTA(F$617:AI$617)/3,1,IF(C618&gt;=COUNTA(F$617:AI$617)/2,0.8,0.5)))</f>
        <v/>
      </c>
      <c r="E618" s="4">
        <f>IF(A618="","",SUMIFS('Логи'!$H$4:$H$3006,'Логи'!$A$4:$A$3006,A618,'Логи'!$C$4:$C$3006,10))</f>
        <v/>
      </c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  <c r="O618" s="15" t="n"/>
      <c r="P618" s="15" t="n"/>
      <c r="Q618" s="15" t="n"/>
      <c r="R618" s="15" t="n"/>
      <c r="S618" s="15" t="n"/>
      <c r="T618" s="15" t="n"/>
      <c r="U618" s="15" t="n"/>
      <c r="V618" s="15" t="n"/>
      <c r="W618" s="15" t="n"/>
      <c r="X618" s="15" t="n"/>
      <c r="Y618" s="15" t="n"/>
      <c r="Z618" s="15" t="n"/>
      <c r="AA618" s="15" t="n"/>
      <c r="AB618" s="15" t="n"/>
      <c r="AC618" s="15" t="n"/>
      <c r="AD618" s="15" t="n"/>
      <c r="AE618" s="15" t="n"/>
      <c r="AF618" s="15" t="n"/>
      <c r="AG618" s="15" t="n"/>
      <c r="AH618" s="15" t="n"/>
      <c r="AI618" s="15" t="n"/>
    </row>
    <row r="619">
      <c r="A619" s="4" t="inlineStr">
        <is>
          <t>Студент3.2</t>
        </is>
      </c>
      <c r="B619" s="4" t="inlineStr"/>
      <c r="C619" s="4">
        <f>IF(A619="","",COUNTIF(F619:AI619,"+")+COUNTIF(F619:AI619,"1"))</f>
        <v/>
      </c>
      <c r="D619" s="4">
        <f>IF(A619="","",IF(C619&gt;2*COUNTA(F$617:AI$617)/3,1,IF(C619&gt;=COUNTA(F$617:AI$617)/2,0.8,0.5)))</f>
        <v/>
      </c>
      <c r="E619" s="4">
        <f>IF(A619="","",SUMIFS('Логи'!$H$4:$H$3006,'Логи'!$A$4:$A$3006,A619,'Логи'!$C$4:$C$3006,10))</f>
        <v/>
      </c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5" t="n"/>
      <c r="P619" s="15" t="n"/>
      <c r="Q619" s="15" t="n"/>
      <c r="R619" s="15" t="n"/>
      <c r="S619" s="15" t="n"/>
      <c r="T619" s="15" t="n"/>
      <c r="U619" s="15" t="n"/>
      <c r="V619" s="15" t="n"/>
      <c r="W619" s="15" t="n"/>
      <c r="X619" s="15" t="n"/>
      <c r="Y619" s="15" t="n"/>
      <c r="Z619" s="15" t="n"/>
      <c r="AA619" s="15" t="n"/>
      <c r="AB619" s="15" t="n"/>
      <c r="AC619" s="15" t="n"/>
      <c r="AD619" s="15" t="n"/>
      <c r="AE619" s="15" t="n"/>
      <c r="AF619" s="15" t="n"/>
      <c r="AG619" s="15" t="n"/>
      <c r="AH619" s="15" t="n"/>
      <c r="AI619" s="15" t="n"/>
    </row>
    <row r="620">
      <c r="A620" s="4" t="inlineStr">
        <is>
          <t>Студент3.3</t>
        </is>
      </c>
      <c r="B620" s="4" t="inlineStr"/>
      <c r="C620" s="4">
        <f>IF(A620="","",COUNTIF(F620:AI620,"+")+COUNTIF(F620:AI620,"1"))</f>
        <v/>
      </c>
      <c r="D620" s="4">
        <f>IF(A620="","",IF(C620&gt;2*COUNTA(F$617:AI$617)/3,1,IF(C620&gt;=COUNTA(F$617:AI$617)/2,0.8,0.5)))</f>
        <v/>
      </c>
      <c r="E620" s="4">
        <f>IF(A620="","",SUMIFS('Логи'!$H$4:$H$3006,'Логи'!$A$4:$A$3006,A620,'Логи'!$C$4:$C$3006,10))</f>
        <v/>
      </c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5" t="n"/>
      <c r="P620" s="15" t="n"/>
      <c r="Q620" s="15" t="n"/>
      <c r="R620" s="15" t="n"/>
      <c r="S620" s="15" t="n"/>
      <c r="T620" s="15" t="n"/>
      <c r="U620" s="15" t="n"/>
      <c r="V620" s="15" t="n"/>
      <c r="W620" s="15" t="n"/>
      <c r="X620" s="15" t="n"/>
      <c r="Y620" s="15" t="n"/>
      <c r="Z620" s="15" t="n"/>
      <c r="AA620" s="15" t="n"/>
      <c r="AB620" s="15" t="n"/>
      <c r="AC620" s="15" t="n"/>
      <c r="AD620" s="15" t="n"/>
      <c r="AE620" s="15" t="n"/>
      <c r="AF620" s="15" t="n"/>
      <c r="AG620" s="15" t="n"/>
      <c r="AH620" s="15" t="n"/>
      <c r="AI620" s="15" t="n"/>
    </row>
    <row r="621">
      <c r="A621" s="4" t="inlineStr">
        <is>
          <t>Студент3.4</t>
        </is>
      </c>
      <c r="B621" s="4" t="inlineStr"/>
      <c r="C621" s="4">
        <f>IF(A621="","",COUNTIF(F621:AI621,"+")+COUNTIF(F621:AI621,"1"))</f>
        <v/>
      </c>
      <c r="D621" s="4">
        <f>IF(A621="","",IF(C621&gt;2*COUNTA(F$617:AI$617)/3,1,IF(C621&gt;=COUNTA(F$617:AI$617)/2,0.8,0.5)))</f>
        <v/>
      </c>
      <c r="E621" s="4">
        <f>IF(A621="","",SUMIFS('Логи'!$H$4:$H$3006,'Логи'!$A$4:$A$3006,A621,'Логи'!$C$4:$C$3006,10))</f>
        <v/>
      </c>
      <c r="F621" s="15" t="n"/>
      <c r="G621" s="15" t="n"/>
      <c r="H621" s="15" t="n"/>
      <c r="I621" s="15" t="n"/>
      <c r="J621" s="15" t="n"/>
      <c r="K621" s="15" t="n"/>
      <c r="L621" s="15" t="n"/>
      <c r="M621" s="15" t="n"/>
      <c r="N621" s="15" t="n"/>
      <c r="O621" s="15" t="n"/>
      <c r="P621" s="15" t="n"/>
      <c r="Q621" s="15" t="n"/>
      <c r="R621" s="15" t="n"/>
      <c r="S621" s="15" t="n"/>
      <c r="T621" s="15" t="n"/>
      <c r="U621" s="15" t="n"/>
      <c r="V621" s="15" t="n"/>
      <c r="W621" s="15" t="n"/>
      <c r="X621" s="15" t="n"/>
      <c r="Y621" s="15" t="n"/>
      <c r="Z621" s="15" t="n"/>
      <c r="AA621" s="15" t="n"/>
      <c r="AB621" s="15" t="n"/>
      <c r="AC621" s="15" t="n"/>
      <c r="AD621" s="15" t="n"/>
      <c r="AE621" s="15" t="n"/>
      <c r="AF621" s="15" t="n"/>
      <c r="AG621" s="15" t="n"/>
      <c r="AH621" s="15" t="n"/>
      <c r="AI621" s="15" t="n"/>
    </row>
    <row r="622">
      <c r="A622" s="4" t="inlineStr">
        <is>
          <t>Студент3.5</t>
        </is>
      </c>
      <c r="B622" s="4" t="inlineStr"/>
      <c r="C622" s="4">
        <f>IF(A622="","",COUNTIF(F622:AI622,"+")+COUNTIF(F622:AI622,"1"))</f>
        <v/>
      </c>
      <c r="D622" s="4">
        <f>IF(A622="","",IF(C622&gt;2*COUNTA(F$617:AI$617)/3,1,IF(C622&gt;=COUNTA(F$617:AI$617)/2,0.8,0.5)))</f>
        <v/>
      </c>
      <c r="E622" s="4">
        <f>IF(A622="","",SUMIFS('Логи'!$H$4:$H$3006,'Логи'!$A$4:$A$3006,A622,'Логи'!$C$4:$C$3006,10))</f>
        <v/>
      </c>
      <c r="F622" s="15" t="n"/>
      <c r="G622" s="15" t="n"/>
      <c r="H622" s="15" t="n"/>
      <c r="I622" s="15" t="n"/>
      <c r="J622" s="15" t="n"/>
      <c r="K622" s="15" t="n"/>
      <c r="L622" s="15" t="n"/>
      <c r="M622" s="15" t="n"/>
      <c r="N622" s="15" t="n"/>
      <c r="O622" s="15" t="n"/>
      <c r="P622" s="15" t="n"/>
      <c r="Q622" s="15" t="n"/>
      <c r="R622" s="15" t="n"/>
      <c r="S622" s="15" t="n"/>
      <c r="T622" s="15" t="n"/>
      <c r="U622" s="15" t="n"/>
      <c r="V622" s="15" t="n"/>
      <c r="W622" s="15" t="n"/>
      <c r="X622" s="15" t="n"/>
      <c r="Y622" s="15" t="n"/>
      <c r="Z622" s="15" t="n"/>
      <c r="AA622" s="15" t="n"/>
      <c r="AB622" s="15" t="n"/>
      <c r="AC622" s="15" t="n"/>
      <c r="AD622" s="15" t="n"/>
      <c r="AE622" s="15" t="n"/>
      <c r="AF622" s="15" t="n"/>
      <c r="AG622" s="15" t="n"/>
      <c r="AH622" s="15" t="n"/>
      <c r="AI622" s="15" t="n"/>
    </row>
    <row r="623">
      <c r="A623" s="4" t="inlineStr">
        <is>
          <t>Студент3.6</t>
        </is>
      </c>
      <c r="B623" s="4" t="inlineStr"/>
      <c r="C623" s="4">
        <f>IF(A623="","",COUNTIF(F623:AI623,"+")+COUNTIF(F623:AI623,"1"))</f>
        <v/>
      </c>
      <c r="D623" s="4">
        <f>IF(A623="","",IF(C623&gt;2*COUNTA(F$617:AI$617)/3,1,IF(C623&gt;=COUNTA(F$617:AI$617)/2,0.8,0.5)))</f>
        <v/>
      </c>
      <c r="E623" s="4">
        <f>IF(A623="","",SUMIFS('Логи'!$H$4:$H$3006,'Логи'!$A$4:$A$3006,A623,'Логи'!$C$4:$C$3006,10))</f>
        <v/>
      </c>
      <c r="F623" s="15" t="n"/>
      <c r="G623" s="15" t="n"/>
      <c r="H623" s="15" t="n"/>
      <c r="I623" s="15" t="n"/>
      <c r="J623" s="15" t="n"/>
      <c r="K623" s="15" t="n"/>
      <c r="L623" s="15" t="n"/>
      <c r="M623" s="15" t="n"/>
      <c r="N623" s="15" t="n"/>
      <c r="O623" s="15" t="n"/>
      <c r="P623" s="15" t="n"/>
      <c r="Q623" s="15" t="n"/>
      <c r="R623" s="15" t="n"/>
      <c r="S623" s="15" t="n"/>
      <c r="T623" s="15" t="n"/>
      <c r="U623" s="15" t="n"/>
      <c r="V623" s="15" t="n"/>
      <c r="W623" s="15" t="n"/>
      <c r="X623" s="15" t="n"/>
      <c r="Y623" s="15" t="n"/>
      <c r="Z623" s="15" t="n"/>
      <c r="AA623" s="15" t="n"/>
      <c r="AB623" s="15" t="n"/>
      <c r="AC623" s="15" t="n"/>
      <c r="AD623" s="15" t="n"/>
      <c r="AE623" s="15" t="n"/>
      <c r="AF623" s="15" t="n"/>
      <c r="AG623" s="15" t="n"/>
      <c r="AH623" s="15" t="n"/>
      <c r="AI623" s="15" t="n"/>
    </row>
    <row r="624">
      <c r="A624" s="4" t="inlineStr">
        <is>
          <t>Студент3.7</t>
        </is>
      </c>
      <c r="B624" s="4" t="inlineStr"/>
      <c r="C624" s="4">
        <f>IF(A624="","",COUNTIF(F624:AI624,"+")+COUNTIF(F624:AI624,"1"))</f>
        <v/>
      </c>
      <c r="D624" s="4">
        <f>IF(A624="","",IF(C624&gt;2*COUNTA(F$617:AI$617)/3,1,IF(C624&gt;=COUNTA(F$617:AI$617)/2,0.8,0.5)))</f>
        <v/>
      </c>
      <c r="E624" s="4">
        <f>IF(A624="","",SUMIFS('Логи'!$H$4:$H$3006,'Логи'!$A$4:$A$3006,A624,'Логи'!$C$4:$C$3006,10))</f>
        <v/>
      </c>
      <c r="F624" s="15" t="n"/>
      <c r="G624" s="15" t="n"/>
      <c r="H624" s="15" t="n"/>
      <c r="I624" s="15" t="n"/>
      <c r="J624" s="15" t="n"/>
      <c r="K624" s="15" t="n"/>
      <c r="L624" s="15" t="n"/>
      <c r="M624" s="15" t="n"/>
      <c r="N624" s="15" t="n"/>
      <c r="O624" s="15" t="n"/>
      <c r="P624" s="15" t="n"/>
      <c r="Q624" s="15" t="n"/>
      <c r="R624" s="15" t="n"/>
      <c r="S624" s="15" t="n"/>
      <c r="T624" s="15" t="n"/>
      <c r="U624" s="15" t="n"/>
      <c r="V624" s="15" t="n"/>
      <c r="W624" s="15" t="n"/>
      <c r="X624" s="15" t="n"/>
      <c r="Y624" s="15" t="n"/>
      <c r="Z624" s="15" t="n"/>
      <c r="AA624" s="15" t="n"/>
      <c r="AB624" s="15" t="n"/>
      <c r="AC624" s="15" t="n"/>
      <c r="AD624" s="15" t="n"/>
      <c r="AE624" s="15" t="n"/>
      <c r="AF624" s="15" t="n"/>
      <c r="AG624" s="15" t="n"/>
      <c r="AH624" s="15" t="n"/>
      <c r="AI624" s="15" t="n"/>
    </row>
    <row r="625">
      <c r="A625" s="4" t="inlineStr">
        <is>
          <t>Студент3.8</t>
        </is>
      </c>
      <c r="B625" s="4" t="inlineStr"/>
      <c r="C625" s="4">
        <f>IF(A625="","",COUNTIF(F625:AI625,"+")+COUNTIF(F625:AI625,"1"))</f>
        <v/>
      </c>
      <c r="D625" s="4">
        <f>IF(A625="","",IF(C625&gt;2*COUNTA(F$617:AI$617)/3,1,IF(C625&gt;=COUNTA(F$617:AI$617)/2,0.8,0.5)))</f>
        <v/>
      </c>
      <c r="E625" s="4">
        <f>IF(A625="","",SUMIFS('Логи'!$H$4:$H$3006,'Логи'!$A$4:$A$3006,A625,'Логи'!$C$4:$C$3006,10))</f>
        <v/>
      </c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  <c r="O625" s="15" t="n"/>
      <c r="P625" s="15" t="n"/>
      <c r="Q625" s="15" t="n"/>
      <c r="R625" s="15" t="n"/>
      <c r="S625" s="15" t="n"/>
      <c r="T625" s="15" t="n"/>
      <c r="U625" s="15" t="n"/>
      <c r="V625" s="15" t="n"/>
      <c r="W625" s="15" t="n"/>
      <c r="X625" s="15" t="n"/>
      <c r="Y625" s="15" t="n"/>
      <c r="Z625" s="15" t="n"/>
      <c r="AA625" s="15" t="n"/>
      <c r="AB625" s="15" t="n"/>
      <c r="AC625" s="15" t="n"/>
      <c r="AD625" s="15" t="n"/>
      <c r="AE625" s="15" t="n"/>
      <c r="AF625" s="15" t="n"/>
      <c r="AG625" s="15" t="n"/>
      <c r="AH625" s="15" t="n"/>
      <c r="AI625" s="15" t="n"/>
    </row>
    <row r="626">
      <c r="A626" s="4" t="inlineStr">
        <is>
          <t>Студент3.9</t>
        </is>
      </c>
      <c r="B626" s="4" t="inlineStr"/>
      <c r="C626" s="4">
        <f>IF(A626="","",COUNTIF(F626:AI626,"+")+COUNTIF(F626:AI626,"1"))</f>
        <v/>
      </c>
      <c r="D626" s="4">
        <f>IF(A626="","",IF(C626&gt;2*COUNTA(F$617:AI$617)/3,1,IF(C626&gt;=COUNTA(F$617:AI$617)/2,0.8,0.5)))</f>
        <v/>
      </c>
      <c r="E626" s="4">
        <f>IF(A626="","",SUMIFS('Логи'!$H$4:$H$3006,'Логи'!$A$4:$A$3006,A626,'Логи'!$C$4:$C$3006,10))</f>
        <v/>
      </c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  <c r="O626" s="15" t="n"/>
      <c r="P626" s="15" t="n"/>
      <c r="Q626" s="15" t="n"/>
      <c r="R626" s="15" t="n"/>
      <c r="S626" s="15" t="n"/>
      <c r="T626" s="15" t="n"/>
      <c r="U626" s="15" t="n"/>
      <c r="V626" s="15" t="n"/>
      <c r="W626" s="15" t="n"/>
      <c r="X626" s="15" t="n"/>
      <c r="Y626" s="15" t="n"/>
      <c r="Z626" s="15" t="n"/>
      <c r="AA626" s="15" t="n"/>
      <c r="AB626" s="15" t="n"/>
      <c r="AC626" s="15" t="n"/>
      <c r="AD626" s="15" t="n"/>
      <c r="AE626" s="15" t="n"/>
      <c r="AF626" s="15" t="n"/>
      <c r="AG626" s="15" t="n"/>
      <c r="AH626" s="15" t="n"/>
      <c r="AI626" s="15" t="n"/>
    </row>
    <row r="627">
      <c r="A627" s="4" t="inlineStr">
        <is>
          <t>Студент3.10</t>
        </is>
      </c>
      <c r="B627" s="4" t="inlineStr"/>
      <c r="C627" s="4">
        <f>IF(A627="","",COUNTIF(F627:AI627,"+")+COUNTIF(F627:AI627,"1"))</f>
        <v/>
      </c>
      <c r="D627" s="4">
        <f>IF(A627="","",IF(C627&gt;2*COUNTA(F$617:AI$617)/3,1,IF(C627&gt;=COUNTA(F$617:AI$617)/2,0.8,0.5)))</f>
        <v/>
      </c>
      <c r="E627" s="4">
        <f>IF(A627="","",SUMIFS('Логи'!$H$4:$H$3006,'Логи'!$A$4:$A$3006,A627,'Логи'!$C$4:$C$3006,10))</f>
        <v/>
      </c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  <c r="O627" s="15" t="n"/>
      <c r="P627" s="15" t="n"/>
      <c r="Q627" s="15" t="n"/>
      <c r="R627" s="15" t="n"/>
      <c r="S627" s="15" t="n"/>
      <c r="T627" s="15" t="n"/>
      <c r="U627" s="15" t="n"/>
      <c r="V627" s="15" t="n"/>
      <c r="W627" s="15" t="n"/>
      <c r="X627" s="15" t="n"/>
      <c r="Y627" s="15" t="n"/>
      <c r="Z627" s="15" t="n"/>
      <c r="AA627" s="15" t="n"/>
      <c r="AB627" s="15" t="n"/>
      <c r="AC627" s="15" t="n"/>
      <c r="AD627" s="15" t="n"/>
      <c r="AE627" s="15" t="n"/>
      <c r="AF627" s="15" t="n"/>
      <c r="AG627" s="15" t="n"/>
      <c r="AH627" s="15" t="n"/>
      <c r="AI627" s="15" t="n"/>
    </row>
    <row r="628">
      <c r="A628" s="4" t="inlineStr">
        <is>
          <t>Студент3.11</t>
        </is>
      </c>
      <c r="B628" s="4" t="inlineStr"/>
      <c r="C628" s="4">
        <f>IF(A628="","",COUNTIF(F628:AI628,"+")+COUNTIF(F628:AI628,"1"))</f>
        <v/>
      </c>
      <c r="D628" s="4">
        <f>IF(A628="","",IF(C628&gt;2*COUNTA(F$617:AI$617)/3,1,IF(C628&gt;=COUNTA(F$617:AI$617)/2,0.8,0.5)))</f>
        <v/>
      </c>
      <c r="E628" s="4">
        <f>IF(A628="","",SUMIFS('Логи'!$H$4:$H$3006,'Логи'!$A$4:$A$3006,A628,'Логи'!$C$4:$C$3006,10))</f>
        <v/>
      </c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  <c r="O628" s="15" t="n"/>
      <c r="P628" s="15" t="n"/>
      <c r="Q628" s="15" t="n"/>
      <c r="R628" s="15" t="n"/>
      <c r="S628" s="15" t="n"/>
      <c r="T628" s="15" t="n"/>
      <c r="U628" s="15" t="n"/>
      <c r="V628" s="15" t="n"/>
      <c r="W628" s="15" t="n"/>
      <c r="X628" s="15" t="n"/>
      <c r="Y628" s="15" t="n"/>
      <c r="Z628" s="15" t="n"/>
      <c r="AA628" s="15" t="n"/>
      <c r="AB628" s="15" t="n"/>
      <c r="AC628" s="15" t="n"/>
      <c r="AD628" s="15" t="n"/>
      <c r="AE628" s="15" t="n"/>
      <c r="AF628" s="15" t="n"/>
      <c r="AG628" s="15" t="n"/>
      <c r="AH628" s="15" t="n"/>
      <c r="AI628" s="15" t="n"/>
    </row>
    <row r="629">
      <c r="A629" s="4" t="inlineStr">
        <is>
          <t>Студент3.12</t>
        </is>
      </c>
      <c r="B629" s="4" t="inlineStr"/>
      <c r="C629" s="4">
        <f>IF(A629="","",COUNTIF(F629:AI629,"+")+COUNTIF(F629:AI629,"1"))</f>
        <v/>
      </c>
      <c r="D629" s="4">
        <f>IF(A629="","",IF(C629&gt;2*COUNTA(F$617:AI$617)/3,1,IF(C629&gt;=COUNTA(F$617:AI$617)/2,0.8,0.5)))</f>
        <v/>
      </c>
      <c r="E629" s="4">
        <f>IF(A629="","",SUMIFS('Логи'!$H$4:$H$3006,'Логи'!$A$4:$A$3006,A629,'Логи'!$C$4:$C$3006,10))</f>
        <v/>
      </c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  <c r="O629" s="15" t="n"/>
      <c r="P629" s="15" t="n"/>
      <c r="Q629" s="15" t="n"/>
      <c r="R629" s="15" t="n"/>
      <c r="S629" s="15" t="n"/>
      <c r="T629" s="15" t="n"/>
      <c r="U629" s="15" t="n"/>
      <c r="V629" s="15" t="n"/>
      <c r="W629" s="15" t="n"/>
      <c r="X629" s="15" t="n"/>
      <c r="Y629" s="15" t="n"/>
      <c r="Z629" s="15" t="n"/>
      <c r="AA629" s="15" t="n"/>
      <c r="AB629" s="15" t="n"/>
      <c r="AC629" s="15" t="n"/>
      <c r="AD629" s="15" t="n"/>
      <c r="AE629" s="15" t="n"/>
      <c r="AF629" s="15" t="n"/>
      <c r="AG629" s="15" t="n"/>
      <c r="AH629" s="15" t="n"/>
      <c r="AI629" s="15" t="n"/>
    </row>
    <row r="630">
      <c r="A630" s="4" t="inlineStr">
        <is>
          <t>Студент3.13</t>
        </is>
      </c>
      <c r="B630" s="4" t="inlineStr"/>
      <c r="C630" s="4">
        <f>IF(A630="","",COUNTIF(F630:AI630,"+")+COUNTIF(F630:AI630,"1"))</f>
        <v/>
      </c>
      <c r="D630" s="4">
        <f>IF(A630="","",IF(C630&gt;2*COUNTA(F$617:AI$617)/3,1,IF(C630&gt;=COUNTA(F$617:AI$617)/2,0.8,0.5)))</f>
        <v/>
      </c>
      <c r="E630" s="4">
        <f>IF(A630="","",SUMIFS('Логи'!$H$4:$H$3006,'Логи'!$A$4:$A$3006,A630,'Логи'!$C$4:$C$3006,10))</f>
        <v/>
      </c>
      <c r="F630" s="15" t="n"/>
      <c r="G630" s="15" t="n"/>
      <c r="H630" s="15" t="n"/>
      <c r="I630" s="15" t="n"/>
      <c r="J630" s="15" t="n"/>
      <c r="K630" s="15" t="n"/>
      <c r="L630" s="15" t="n"/>
      <c r="M630" s="15" t="n"/>
      <c r="N630" s="15" t="n"/>
      <c r="O630" s="15" t="n"/>
      <c r="P630" s="15" t="n"/>
      <c r="Q630" s="15" t="n"/>
      <c r="R630" s="15" t="n"/>
      <c r="S630" s="15" t="n"/>
      <c r="T630" s="15" t="n"/>
      <c r="U630" s="15" t="n"/>
      <c r="V630" s="15" t="n"/>
      <c r="W630" s="15" t="n"/>
      <c r="X630" s="15" t="n"/>
      <c r="Y630" s="15" t="n"/>
      <c r="Z630" s="15" t="n"/>
      <c r="AA630" s="15" t="n"/>
      <c r="AB630" s="15" t="n"/>
      <c r="AC630" s="15" t="n"/>
      <c r="AD630" s="15" t="n"/>
      <c r="AE630" s="15" t="n"/>
      <c r="AF630" s="15" t="n"/>
      <c r="AG630" s="15" t="n"/>
      <c r="AH630" s="15" t="n"/>
      <c r="AI630" s="15" t="n"/>
    </row>
    <row r="631">
      <c r="A631" s="4" t="inlineStr">
        <is>
          <t>Студент3.14</t>
        </is>
      </c>
      <c r="B631" s="4" t="inlineStr"/>
      <c r="C631" s="4">
        <f>IF(A631="","",COUNTIF(F631:AI631,"+")+COUNTIF(F631:AI631,"1"))</f>
        <v/>
      </c>
      <c r="D631" s="4">
        <f>IF(A631="","",IF(C631&gt;2*COUNTA(F$617:AI$617)/3,1,IF(C631&gt;=COUNTA(F$617:AI$617)/2,0.8,0.5)))</f>
        <v/>
      </c>
      <c r="E631" s="4">
        <f>IF(A631="","",SUMIFS('Логи'!$H$4:$H$3006,'Логи'!$A$4:$A$3006,A631,'Логи'!$C$4:$C$3006,10))</f>
        <v/>
      </c>
      <c r="F631" s="15" t="n"/>
      <c r="G631" s="15" t="n"/>
      <c r="H631" s="15" t="n"/>
      <c r="I631" s="15" t="n"/>
      <c r="J631" s="15" t="n"/>
      <c r="K631" s="15" t="n"/>
      <c r="L631" s="15" t="n"/>
      <c r="M631" s="15" t="n"/>
      <c r="N631" s="15" t="n"/>
      <c r="O631" s="15" t="n"/>
      <c r="P631" s="15" t="n"/>
      <c r="Q631" s="15" t="n"/>
      <c r="R631" s="15" t="n"/>
      <c r="S631" s="15" t="n"/>
      <c r="T631" s="15" t="n"/>
      <c r="U631" s="15" t="n"/>
      <c r="V631" s="15" t="n"/>
      <c r="W631" s="15" t="n"/>
      <c r="X631" s="15" t="n"/>
      <c r="Y631" s="15" t="n"/>
      <c r="Z631" s="15" t="n"/>
      <c r="AA631" s="15" t="n"/>
      <c r="AB631" s="15" t="n"/>
      <c r="AC631" s="15" t="n"/>
      <c r="AD631" s="15" t="n"/>
      <c r="AE631" s="15" t="n"/>
      <c r="AF631" s="15" t="n"/>
      <c r="AG631" s="15" t="n"/>
      <c r="AH631" s="15" t="n"/>
      <c r="AI631" s="15" t="n"/>
    </row>
    <row r="632">
      <c r="A632" s="4" t="inlineStr">
        <is>
          <t>Студент3.15</t>
        </is>
      </c>
      <c r="B632" s="4" t="inlineStr"/>
      <c r="C632" s="4">
        <f>IF(A632="","",COUNTIF(F632:AI632,"+")+COUNTIF(F632:AI632,"1"))</f>
        <v/>
      </c>
      <c r="D632" s="4">
        <f>IF(A632="","",IF(C632&gt;2*COUNTA(F$617:AI$617)/3,1,IF(C632&gt;=COUNTA(F$617:AI$617)/2,0.8,0.5)))</f>
        <v/>
      </c>
      <c r="E632" s="4">
        <f>IF(A632="","",SUMIFS('Логи'!$H$4:$H$3006,'Логи'!$A$4:$A$3006,A632,'Логи'!$C$4:$C$3006,10))</f>
        <v/>
      </c>
      <c r="F632" s="15" t="n"/>
      <c r="G632" s="15" t="n"/>
      <c r="H632" s="15" t="n"/>
      <c r="I632" s="15" t="n"/>
      <c r="J632" s="15" t="n"/>
      <c r="K632" s="15" t="n"/>
      <c r="L632" s="15" t="n"/>
      <c r="M632" s="15" t="n"/>
      <c r="N632" s="15" t="n"/>
      <c r="O632" s="15" t="n"/>
      <c r="P632" s="15" t="n"/>
      <c r="Q632" s="15" t="n"/>
      <c r="R632" s="15" t="n"/>
      <c r="S632" s="15" t="n"/>
      <c r="T632" s="15" t="n"/>
      <c r="U632" s="15" t="n"/>
      <c r="V632" s="15" t="n"/>
      <c r="W632" s="15" t="n"/>
      <c r="X632" s="15" t="n"/>
      <c r="Y632" s="15" t="n"/>
      <c r="Z632" s="15" t="n"/>
      <c r="AA632" s="15" t="n"/>
      <c r="AB632" s="15" t="n"/>
      <c r="AC632" s="15" t="n"/>
      <c r="AD632" s="15" t="n"/>
      <c r="AE632" s="15" t="n"/>
      <c r="AF632" s="15" t="n"/>
      <c r="AG632" s="15" t="n"/>
      <c r="AH632" s="15" t="n"/>
      <c r="AI632" s="15" t="n"/>
    </row>
    <row r="633">
      <c r="A633" s="4" t="inlineStr">
        <is>
          <t>Студент3.16</t>
        </is>
      </c>
      <c r="B633" s="4" t="inlineStr"/>
      <c r="C633" s="4">
        <f>IF(A633="","",COUNTIF(F633:AI633,"+")+COUNTIF(F633:AI633,"1"))</f>
        <v/>
      </c>
      <c r="D633" s="4">
        <f>IF(A633="","",IF(C633&gt;2*COUNTA(F$617:AI$617)/3,1,IF(C633&gt;=COUNTA(F$617:AI$617)/2,0.8,0.5)))</f>
        <v/>
      </c>
      <c r="E633" s="4">
        <f>IF(A633="","",SUMIFS('Логи'!$H$4:$H$3006,'Логи'!$A$4:$A$3006,A633,'Логи'!$C$4:$C$3006,10))</f>
        <v/>
      </c>
      <c r="F633" s="15" t="n"/>
      <c r="G633" s="15" t="n"/>
      <c r="H633" s="15" t="n"/>
      <c r="I633" s="15" t="n"/>
      <c r="J633" s="15" t="n"/>
      <c r="K633" s="15" t="n"/>
      <c r="L633" s="15" t="n"/>
      <c r="M633" s="15" t="n"/>
      <c r="N633" s="15" t="n"/>
      <c r="O633" s="15" t="n"/>
      <c r="P633" s="15" t="n"/>
      <c r="Q633" s="15" t="n"/>
      <c r="R633" s="15" t="n"/>
      <c r="S633" s="15" t="n"/>
      <c r="T633" s="15" t="n"/>
      <c r="U633" s="15" t="n"/>
      <c r="V633" s="15" t="n"/>
      <c r="W633" s="15" t="n"/>
      <c r="X633" s="15" t="n"/>
      <c r="Y633" s="15" t="n"/>
      <c r="Z633" s="15" t="n"/>
      <c r="AA633" s="15" t="n"/>
      <c r="AB633" s="15" t="n"/>
      <c r="AC633" s="15" t="n"/>
      <c r="AD633" s="15" t="n"/>
      <c r="AE633" s="15" t="n"/>
      <c r="AF633" s="15" t="n"/>
      <c r="AG633" s="15" t="n"/>
      <c r="AH633" s="15" t="n"/>
      <c r="AI633" s="15" t="n"/>
    </row>
    <row r="634">
      <c r="A634" s="4" t="inlineStr">
        <is>
          <t>Студент3.17</t>
        </is>
      </c>
      <c r="B634" s="4" t="inlineStr"/>
      <c r="C634" s="4">
        <f>IF(A634="","",COUNTIF(F634:AI634,"+")+COUNTIF(F634:AI634,"1"))</f>
        <v/>
      </c>
      <c r="D634" s="4">
        <f>IF(A634="","",IF(C634&gt;2*COUNTA(F$617:AI$617)/3,1,IF(C634&gt;=COUNTA(F$617:AI$617)/2,0.8,0.5)))</f>
        <v/>
      </c>
      <c r="E634" s="4">
        <f>IF(A634="","",SUMIFS('Логи'!$H$4:$H$3006,'Логи'!$A$4:$A$3006,A634,'Логи'!$C$4:$C$3006,10))</f>
        <v/>
      </c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  <c r="O634" s="15" t="n"/>
      <c r="P634" s="15" t="n"/>
      <c r="Q634" s="15" t="n"/>
      <c r="R634" s="15" t="n"/>
      <c r="S634" s="15" t="n"/>
      <c r="T634" s="15" t="n"/>
      <c r="U634" s="15" t="n"/>
      <c r="V634" s="15" t="n"/>
      <c r="W634" s="15" t="n"/>
      <c r="X634" s="15" t="n"/>
      <c r="Y634" s="15" t="n"/>
      <c r="Z634" s="15" t="n"/>
      <c r="AA634" s="15" t="n"/>
      <c r="AB634" s="15" t="n"/>
      <c r="AC634" s="15" t="n"/>
      <c r="AD634" s="15" t="n"/>
      <c r="AE634" s="15" t="n"/>
      <c r="AF634" s="15" t="n"/>
      <c r="AG634" s="15" t="n"/>
      <c r="AH634" s="15" t="n"/>
      <c r="AI634" s="15" t="n"/>
    </row>
    <row r="635">
      <c r="A635" s="4" t="inlineStr">
        <is>
          <t>Студент3.18</t>
        </is>
      </c>
      <c r="B635" s="4" t="inlineStr"/>
      <c r="C635" s="4">
        <f>IF(A635="","",COUNTIF(F635:AI635,"+")+COUNTIF(F635:AI635,"1"))</f>
        <v/>
      </c>
      <c r="D635" s="4">
        <f>IF(A635="","",IF(C635&gt;2*COUNTA(F$617:AI$617)/3,1,IF(C635&gt;=COUNTA(F$617:AI$617)/2,0.8,0.5)))</f>
        <v/>
      </c>
      <c r="E635" s="4">
        <f>IF(A635="","",SUMIFS('Логи'!$H$4:$H$3006,'Логи'!$A$4:$A$3006,A635,'Логи'!$C$4:$C$3006,10))</f>
        <v/>
      </c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  <c r="O635" s="15" t="n"/>
      <c r="P635" s="15" t="n"/>
      <c r="Q635" s="15" t="n"/>
      <c r="R635" s="15" t="n"/>
      <c r="S635" s="15" t="n"/>
      <c r="T635" s="15" t="n"/>
      <c r="U635" s="15" t="n"/>
      <c r="V635" s="15" t="n"/>
      <c r="W635" s="15" t="n"/>
      <c r="X635" s="15" t="n"/>
      <c r="Y635" s="15" t="n"/>
      <c r="Z635" s="15" t="n"/>
      <c r="AA635" s="15" t="n"/>
      <c r="AB635" s="15" t="n"/>
      <c r="AC635" s="15" t="n"/>
      <c r="AD635" s="15" t="n"/>
      <c r="AE635" s="15" t="n"/>
      <c r="AF635" s="15" t="n"/>
      <c r="AG635" s="15" t="n"/>
      <c r="AH635" s="15" t="n"/>
      <c r="AI635" s="15" t="n"/>
    </row>
    <row r="636">
      <c r="A636" s="4" t="inlineStr">
        <is>
          <t>Студент3.19</t>
        </is>
      </c>
      <c r="B636" s="4" t="inlineStr"/>
      <c r="C636" s="4">
        <f>IF(A636="","",COUNTIF(F636:AI636,"+")+COUNTIF(F636:AI636,"1"))</f>
        <v/>
      </c>
      <c r="D636" s="4">
        <f>IF(A636="","",IF(C636&gt;2*COUNTA(F$617:AI$617)/3,1,IF(C636&gt;=COUNTA(F$617:AI$617)/2,0.8,0.5)))</f>
        <v/>
      </c>
      <c r="E636" s="4">
        <f>IF(A636="","",SUMIFS('Логи'!$H$4:$H$3006,'Логи'!$A$4:$A$3006,A636,'Логи'!$C$4:$C$3006,10))</f>
        <v/>
      </c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  <c r="O636" s="15" t="n"/>
      <c r="P636" s="15" t="n"/>
      <c r="Q636" s="15" t="n"/>
      <c r="R636" s="15" t="n"/>
      <c r="S636" s="15" t="n"/>
      <c r="T636" s="15" t="n"/>
      <c r="U636" s="15" t="n"/>
      <c r="V636" s="15" t="n"/>
      <c r="W636" s="15" t="n"/>
      <c r="X636" s="15" t="n"/>
      <c r="Y636" s="15" t="n"/>
      <c r="Z636" s="15" t="n"/>
      <c r="AA636" s="15" t="n"/>
      <c r="AB636" s="15" t="n"/>
      <c r="AC636" s="15" t="n"/>
      <c r="AD636" s="15" t="n"/>
      <c r="AE636" s="15" t="n"/>
      <c r="AF636" s="15" t="n"/>
      <c r="AG636" s="15" t="n"/>
      <c r="AH636" s="15" t="n"/>
      <c r="AI636" s="15" t="n"/>
    </row>
    <row r="637">
      <c r="A637" s="4" t="inlineStr">
        <is>
          <t>Студент3.20</t>
        </is>
      </c>
      <c r="B637" s="4" t="inlineStr"/>
      <c r="C637" s="4">
        <f>IF(A637="","",COUNTIF(F637:AI637,"+")+COUNTIF(F637:AI637,"1"))</f>
        <v/>
      </c>
      <c r="D637" s="4">
        <f>IF(A637="","",IF(C637&gt;2*COUNTA(F$617:AI$617)/3,1,IF(C637&gt;=COUNTA(F$617:AI$617)/2,0.8,0.5)))</f>
        <v/>
      </c>
      <c r="E637" s="4">
        <f>IF(A637="","",SUMIFS('Логи'!$H$4:$H$3006,'Логи'!$A$4:$A$3006,A637,'Логи'!$C$4:$C$3006,10))</f>
        <v/>
      </c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  <c r="O637" s="15" t="n"/>
      <c r="P637" s="15" t="n"/>
      <c r="Q637" s="15" t="n"/>
      <c r="R637" s="15" t="n"/>
      <c r="S637" s="15" t="n"/>
      <c r="T637" s="15" t="n"/>
      <c r="U637" s="15" t="n"/>
      <c r="V637" s="15" t="n"/>
      <c r="W637" s="15" t="n"/>
      <c r="X637" s="15" t="n"/>
      <c r="Y637" s="15" t="n"/>
      <c r="Z637" s="15" t="n"/>
      <c r="AA637" s="15" t="n"/>
      <c r="AB637" s="15" t="n"/>
      <c r="AC637" s="15" t="n"/>
      <c r="AD637" s="15" t="n"/>
      <c r="AE637" s="15" t="n"/>
      <c r="AF637" s="15" t="n"/>
      <c r="AG637" s="15" t="n"/>
      <c r="AH637" s="15" t="n"/>
      <c r="AI637" s="15" t="n"/>
    </row>
    <row r="638">
      <c r="A638" s="4" t="inlineStr">
        <is>
          <t>Студент3.21</t>
        </is>
      </c>
      <c r="B638" s="4" t="inlineStr"/>
      <c r="C638" s="4">
        <f>IF(A638="","",COUNTIF(F638:AI638,"+")+COUNTIF(F638:AI638,"1"))</f>
        <v/>
      </c>
      <c r="D638" s="4">
        <f>IF(A638="","",IF(C638&gt;2*COUNTA(F$617:AI$617)/3,1,IF(C638&gt;=COUNTA(F$617:AI$617)/2,0.8,0.5)))</f>
        <v/>
      </c>
      <c r="E638" s="4">
        <f>IF(A638="","",SUMIFS('Логи'!$H$4:$H$3006,'Логи'!$A$4:$A$3006,A638,'Логи'!$C$4:$C$3006,10))</f>
        <v/>
      </c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  <c r="O638" s="15" t="n"/>
      <c r="P638" s="15" t="n"/>
      <c r="Q638" s="15" t="n"/>
      <c r="R638" s="15" t="n"/>
      <c r="S638" s="15" t="n"/>
      <c r="T638" s="15" t="n"/>
      <c r="U638" s="15" t="n"/>
      <c r="V638" s="15" t="n"/>
      <c r="W638" s="15" t="n"/>
      <c r="X638" s="15" t="n"/>
      <c r="Y638" s="15" t="n"/>
      <c r="Z638" s="15" t="n"/>
      <c r="AA638" s="15" t="n"/>
      <c r="AB638" s="15" t="n"/>
      <c r="AC638" s="15" t="n"/>
      <c r="AD638" s="15" t="n"/>
      <c r="AE638" s="15" t="n"/>
      <c r="AF638" s="15" t="n"/>
      <c r="AG638" s="15" t="n"/>
      <c r="AH638" s="15" t="n"/>
      <c r="AI638" s="15" t="n"/>
    </row>
    <row r="639">
      <c r="A639" s="4" t="inlineStr">
        <is>
          <t>Студент3.22</t>
        </is>
      </c>
      <c r="B639" s="4" t="inlineStr"/>
      <c r="C639" s="4">
        <f>IF(A639="","",COUNTIF(F639:AI639,"+")+COUNTIF(F639:AI639,"1"))</f>
        <v/>
      </c>
      <c r="D639" s="4">
        <f>IF(A639="","",IF(C639&gt;2*COUNTA(F$617:AI$617)/3,1,IF(C639&gt;=COUNTA(F$617:AI$617)/2,0.8,0.5)))</f>
        <v/>
      </c>
      <c r="E639" s="4">
        <f>IF(A639="","",SUMIFS('Логи'!$H$4:$H$3006,'Логи'!$A$4:$A$3006,A639,'Логи'!$C$4:$C$3006,10))</f>
        <v/>
      </c>
      <c r="F639" s="15" t="n"/>
      <c r="G639" s="15" t="n"/>
      <c r="H639" s="15" t="n"/>
      <c r="I639" s="15" t="n"/>
      <c r="J639" s="15" t="n"/>
      <c r="K639" s="15" t="n"/>
      <c r="L639" s="15" t="n"/>
      <c r="M639" s="15" t="n"/>
      <c r="N639" s="15" t="n"/>
      <c r="O639" s="15" t="n"/>
      <c r="P639" s="15" t="n"/>
      <c r="Q639" s="15" t="n"/>
      <c r="R639" s="15" t="n"/>
      <c r="S639" s="15" t="n"/>
      <c r="T639" s="15" t="n"/>
      <c r="U639" s="15" t="n"/>
      <c r="V639" s="15" t="n"/>
      <c r="W639" s="15" t="n"/>
      <c r="X639" s="15" t="n"/>
      <c r="Y639" s="15" t="n"/>
      <c r="Z639" s="15" t="n"/>
      <c r="AA639" s="15" t="n"/>
      <c r="AB639" s="15" t="n"/>
      <c r="AC639" s="15" t="n"/>
      <c r="AD639" s="15" t="n"/>
      <c r="AE639" s="15" t="n"/>
      <c r="AF639" s="15" t="n"/>
      <c r="AG639" s="15" t="n"/>
      <c r="AH639" s="15" t="n"/>
      <c r="AI639" s="15" t="n"/>
    </row>
    <row r="640">
      <c r="A640" s="4" t="inlineStr">
        <is>
          <t>Студент3.23</t>
        </is>
      </c>
      <c r="B640" s="4" t="inlineStr"/>
      <c r="C640" s="4">
        <f>IF(A640="","",COUNTIF(F640:AI640,"+")+COUNTIF(F640:AI640,"1"))</f>
        <v/>
      </c>
      <c r="D640" s="4">
        <f>IF(A640="","",IF(C640&gt;2*COUNTA(F$617:AI$617)/3,1,IF(C640&gt;=COUNTA(F$617:AI$617)/2,0.8,0.5)))</f>
        <v/>
      </c>
      <c r="E640" s="4">
        <f>IF(A640="","",SUMIFS('Логи'!$H$4:$H$3006,'Логи'!$A$4:$A$3006,A640,'Логи'!$C$4:$C$3006,10))</f>
        <v/>
      </c>
      <c r="F640" s="15" t="n"/>
      <c r="G640" s="15" t="n"/>
      <c r="H640" s="15" t="n"/>
      <c r="I640" s="15" t="n"/>
      <c r="J640" s="15" t="n"/>
      <c r="K640" s="15" t="n"/>
      <c r="L640" s="15" t="n"/>
      <c r="M640" s="15" t="n"/>
      <c r="N640" s="15" t="n"/>
      <c r="O640" s="15" t="n"/>
      <c r="P640" s="15" t="n"/>
      <c r="Q640" s="15" t="n"/>
      <c r="R640" s="15" t="n"/>
      <c r="S640" s="15" t="n"/>
      <c r="T640" s="15" t="n"/>
      <c r="U640" s="15" t="n"/>
      <c r="V640" s="15" t="n"/>
      <c r="W640" s="15" t="n"/>
      <c r="X640" s="15" t="n"/>
      <c r="Y640" s="15" t="n"/>
      <c r="Z640" s="15" t="n"/>
      <c r="AA640" s="15" t="n"/>
      <c r="AB640" s="15" t="n"/>
      <c r="AC640" s="15" t="n"/>
      <c r="AD640" s="15" t="n"/>
      <c r="AE640" s="15" t="n"/>
      <c r="AF640" s="15" t="n"/>
      <c r="AG640" s="15" t="n"/>
      <c r="AH640" s="15" t="n"/>
      <c r="AI640" s="15" t="n"/>
    </row>
    <row r="641">
      <c r="A641" s="4" t="inlineStr">
        <is>
          <t>Студент3.24</t>
        </is>
      </c>
      <c r="B641" s="4" t="inlineStr"/>
      <c r="C641" s="4">
        <f>IF(A641="","",COUNTIF(F641:AI641,"+")+COUNTIF(F641:AI641,"1"))</f>
        <v/>
      </c>
      <c r="D641" s="4">
        <f>IF(A641="","",IF(C641&gt;2*COUNTA(F$617:AI$617)/3,1,IF(C641&gt;=COUNTA(F$617:AI$617)/2,0.8,0.5)))</f>
        <v/>
      </c>
      <c r="E641" s="4">
        <f>IF(A641="","",SUMIFS('Логи'!$H$4:$H$3006,'Логи'!$A$4:$A$3006,A641,'Логи'!$C$4:$C$3006,10))</f>
        <v/>
      </c>
      <c r="F641" s="15" t="n"/>
      <c r="G641" s="15" t="n"/>
      <c r="H641" s="15" t="n"/>
      <c r="I641" s="15" t="n"/>
      <c r="J641" s="15" t="n"/>
      <c r="K641" s="15" t="n"/>
      <c r="L641" s="15" t="n"/>
      <c r="M641" s="15" t="n"/>
      <c r="N641" s="15" t="n"/>
      <c r="O641" s="15" t="n"/>
      <c r="P641" s="15" t="n"/>
      <c r="Q641" s="15" t="n"/>
      <c r="R641" s="15" t="n"/>
      <c r="S641" s="15" t="n"/>
      <c r="T641" s="15" t="n"/>
      <c r="U641" s="15" t="n"/>
      <c r="V641" s="15" t="n"/>
      <c r="W641" s="15" t="n"/>
      <c r="X641" s="15" t="n"/>
      <c r="Y641" s="15" t="n"/>
      <c r="Z641" s="15" t="n"/>
      <c r="AA641" s="15" t="n"/>
      <c r="AB641" s="15" t="n"/>
      <c r="AC641" s="15" t="n"/>
      <c r="AD641" s="15" t="n"/>
      <c r="AE641" s="15" t="n"/>
      <c r="AF641" s="15" t="n"/>
      <c r="AG641" s="15" t="n"/>
      <c r="AH641" s="15" t="n"/>
      <c r="AI641" s="15" t="n"/>
    </row>
    <row r="642">
      <c r="A642" s="4" t="inlineStr">
        <is>
          <t>Студент3.25</t>
        </is>
      </c>
      <c r="B642" s="4" t="inlineStr"/>
      <c r="C642" s="4">
        <f>IF(A642="","",COUNTIF(F642:AI642,"+")+COUNTIF(F642:AI642,"1"))</f>
        <v/>
      </c>
      <c r="D642" s="4">
        <f>IF(A642="","",IF(C642&gt;2*COUNTA(F$617:AI$617)/3,1,IF(C642&gt;=COUNTA(F$617:AI$617)/2,0.8,0.5)))</f>
        <v/>
      </c>
      <c r="E642" s="4">
        <f>IF(A642="","",SUMIFS('Логи'!$H$4:$H$3006,'Логи'!$A$4:$A$3006,A642,'Логи'!$C$4:$C$3006,10))</f>
        <v/>
      </c>
      <c r="F642" s="15" t="n"/>
      <c r="G642" s="15" t="n"/>
      <c r="H642" s="15" t="n"/>
      <c r="I642" s="15" t="n"/>
      <c r="J642" s="15" t="n"/>
      <c r="K642" s="15" t="n"/>
      <c r="L642" s="15" t="n"/>
      <c r="M642" s="15" t="n"/>
      <c r="N642" s="15" t="n"/>
      <c r="O642" s="15" t="n"/>
      <c r="P642" s="15" t="n"/>
      <c r="Q642" s="15" t="n"/>
      <c r="R642" s="15" t="n"/>
      <c r="S642" s="15" t="n"/>
      <c r="T642" s="15" t="n"/>
      <c r="U642" s="15" t="n"/>
      <c r="V642" s="15" t="n"/>
      <c r="W642" s="15" t="n"/>
      <c r="X642" s="15" t="n"/>
      <c r="Y642" s="15" t="n"/>
      <c r="Z642" s="15" t="n"/>
      <c r="AA642" s="15" t="n"/>
      <c r="AB642" s="15" t="n"/>
      <c r="AC642" s="15" t="n"/>
      <c r="AD642" s="15" t="n"/>
      <c r="AE642" s="15" t="n"/>
      <c r="AF642" s="15" t="n"/>
      <c r="AG642" s="15" t="n"/>
      <c r="AH642" s="15" t="n"/>
      <c r="AI642" s="15" t="n"/>
    </row>
    <row r="643">
      <c r="A643" s="4" t="inlineStr">
        <is>
          <t>Студент3.26</t>
        </is>
      </c>
      <c r="B643" s="4" t="inlineStr"/>
      <c r="C643" s="4">
        <f>IF(A643="","",COUNTIF(F643:AI643,"+")+COUNTIF(F643:AI643,"1"))</f>
        <v/>
      </c>
      <c r="D643" s="4">
        <f>IF(A643="","",IF(C643&gt;2*COUNTA(F$617:AI$617)/3,1,IF(C643&gt;=COUNTA(F$617:AI$617)/2,0.8,0.5)))</f>
        <v/>
      </c>
      <c r="E643" s="4">
        <f>IF(A643="","",SUMIFS('Логи'!$H$4:$H$3006,'Логи'!$A$4:$A$3006,A643,'Логи'!$C$4:$C$3006,10))</f>
        <v/>
      </c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  <c r="O643" s="15" t="n"/>
      <c r="P643" s="15" t="n"/>
      <c r="Q643" s="15" t="n"/>
      <c r="R643" s="15" t="n"/>
      <c r="S643" s="15" t="n"/>
      <c r="T643" s="15" t="n"/>
      <c r="U643" s="15" t="n"/>
      <c r="V643" s="15" t="n"/>
      <c r="W643" s="15" t="n"/>
      <c r="X643" s="15" t="n"/>
      <c r="Y643" s="15" t="n"/>
      <c r="Z643" s="15" t="n"/>
      <c r="AA643" s="15" t="n"/>
      <c r="AB643" s="15" t="n"/>
      <c r="AC643" s="15" t="n"/>
      <c r="AD643" s="15" t="n"/>
      <c r="AE643" s="15" t="n"/>
      <c r="AF643" s="15" t="n"/>
      <c r="AG643" s="15" t="n"/>
      <c r="AH643" s="15" t="n"/>
      <c r="AI643" s="15" t="n"/>
    </row>
    <row r="644">
      <c r="A644" s="4" t="inlineStr">
        <is>
          <t>Студент3.27</t>
        </is>
      </c>
      <c r="B644" s="4" t="inlineStr"/>
      <c r="C644" s="4">
        <f>IF(A644="","",COUNTIF(F644:AI644,"+")+COUNTIF(F644:AI644,"1"))</f>
        <v/>
      </c>
      <c r="D644" s="4">
        <f>IF(A644="","",IF(C644&gt;2*COUNTA(F$617:AI$617)/3,1,IF(C644&gt;=COUNTA(F$617:AI$617)/2,0.8,0.5)))</f>
        <v/>
      </c>
      <c r="E644" s="4">
        <f>IF(A644="","",SUMIFS('Логи'!$H$4:$H$3006,'Логи'!$A$4:$A$3006,A644,'Логи'!$C$4:$C$3006,10))</f>
        <v/>
      </c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  <c r="O644" s="15" t="n"/>
      <c r="P644" s="15" t="n"/>
      <c r="Q644" s="15" t="n"/>
      <c r="R644" s="15" t="n"/>
      <c r="S644" s="15" t="n"/>
      <c r="T644" s="15" t="n"/>
      <c r="U644" s="15" t="n"/>
      <c r="V644" s="15" t="n"/>
      <c r="W644" s="15" t="n"/>
      <c r="X644" s="15" t="n"/>
      <c r="Y644" s="15" t="n"/>
      <c r="Z644" s="15" t="n"/>
      <c r="AA644" s="15" t="n"/>
      <c r="AB644" s="15" t="n"/>
      <c r="AC644" s="15" t="n"/>
      <c r="AD644" s="15" t="n"/>
      <c r="AE644" s="15" t="n"/>
      <c r="AF644" s="15" t="n"/>
      <c r="AG644" s="15" t="n"/>
      <c r="AH644" s="15" t="n"/>
      <c r="AI644" s="15" t="n"/>
    </row>
    <row r="645">
      <c r="A645" s="4" t="inlineStr">
        <is>
          <t>Студент3.28</t>
        </is>
      </c>
      <c r="B645" s="4" t="inlineStr"/>
      <c r="C645" s="4">
        <f>IF(A645="","",COUNTIF(F645:AI645,"+")+COUNTIF(F645:AI645,"1"))</f>
        <v/>
      </c>
      <c r="D645" s="4">
        <f>IF(A645="","",IF(C645&gt;2*COUNTA(F$617:AI$617)/3,1,IF(C645&gt;=COUNTA(F$617:AI$617)/2,0.8,0.5)))</f>
        <v/>
      </c>
      <c r="E645" s="4">
        <f>IF(A645="","",SUMIFS('Логи'!$H$4:$H$3006,'Логи'!$A$4:$A$3006,A645,'Логи'!$C$4:$C$3006,10))</f>
        <v/>
      </c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  <c r="P645" s="15" t="n"/>
      <c r="Q645" s="15" t="n"/>
      <c r="R645" s="15" t="n"/>
      <c r="S645" s="15" t="n"/>
      <c r="T645" s="15" t="n"/>
      <c r="U645" s="15" t="n"/>
      <c r="V645" s="15" t="n"/>
      <c r="W645" s="15" t="n"/>
      <c r="X645" s="15" t="n"/>
      <c r="Y645" s="15" t="n"/>
      <c r="Z645" s="15" t="n"/>
      <c r="AA645" s="15" t="n"/>
      <c r="AB645" s="15" t="n"/>
      <c r="AC645" s="15" t="n"/>
      <c r="AD645" s="15" t="n"/>
      <c r="AE645" s="15" t="n"/>
      <c r="AF645" s="15" t="n"/>
      <c r="AG645" s="15" t="n"/>
      <c r="AH645" s="15" t="n"/>
      <c r="AI645" s="15" t="n"/>
    </row>
    <row r="646">
      <c r="A646" s="4" t="inlineStr">
        <is>
          <t>Студент3.29</t>
        </is>
      </c>
      <c r="B646" s="4" t="inlineStr"/>
      <c r="C646" s="4">
        <f>IF(A646="","",COUNTIF(F646:AI646,"+")+COUNTIF(F646:AI646,"1"))</f>
        <v/>
      </c>
      <c r="D646" s="4">
        <f>IF(A646="","",IF(C646&gt;2*COUNTA(F$617:AI$617)/3,1,IF(C646&gt;=COUNTA(F$617:AI$617)/2,0.8,0.5)))</f>
        <v/>
      </c>
      <c r="E646" s="4">
        <f>IF(A646="","",SUMIFS('Логи'!$H$4:$H$3006,'Логи'!$A$4:$A$3006,A646,'Логи'!$C$4:$C$3006,10))</f>
        <v/>
      </c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  <c r="O646" s="15" t="n"/>
      <c r="P646" s="15" t="n"/>
      <c r="Q646" s="15" t="n"/>
      <c r="R646" s="15" t="n"/>
      <c r="S646" s="15" t="n"/>
      <c r="T646" s="15" t="n"/>
      <c r="U646" s="15" t="n"/>
      <c r="V646" s="15" t="n"/>
      <c r="W646" s="15" t="n"/>
      <c r="X646" s="15" t="n"/>
      <c r="Y646" s="15" t="n"/>
      <c r="Z646" s="15" t="n"/>
      <c r="AA646" s="15" t="n"/>
      <c r="AB646" s="15" t="n"/>
      <c r="AC646" s="15" t="n"/>
      <c r="AD646" s="15" t="n"/>
      <c r="AE646" s="15" t="n"/>
      <c r="AF646" s="15" t="n"/>
      <c r="AG646" s="15" t="n"/>
      <c r="AH646" s="15" t="n"/>
      <c r="AI646" s="15" t="n"/>
    </row>
    <row r="647">
      <c r="A647" s="4" t="inlineStr">
        <is>
          <t>Студент3.30</t>
        </is>
      </c>
      <c r="B647" s="4" t="inlineStr"/>
      <c r="C647" s="4">
        <f>IF(A647="","",COUNTIF(F647:AI647,"+")+COUNTIF(F647:AI647,"1"))</f>
        <v/>
      </c>
      <c r="D647" s="4">
        <f>IF(A647="","",IF(C647&gt;2*COUNTA(F$617:AI$617)/3,1,IF(C647&gt;=COUNTA(F$617:AI$617)/2,0.8,0.5)))</f>
        <v/>
      </c>
      <c r="E647" s="4">
        <f>IF(A647="","",SUMIFS('Логи'!$H$4:$H$3006,'Логи'!$A$4:$A$3006,A647,'Логи'!$C$4:$C$3006,10))</f>
        <v/>
      </c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  <c r="O647" s="15" t="n"/>
      <c r="P647" s="15" t="n"/>
      <c r="Q647" s="15" t="n"/>
      <c r="R647" s="15" t="n"/>
      <c r="S647" s="15" t="n"/>
      <c r="T647" s="15" t="n"/>
      <c r="U647" s="15" t="n"/>
      <c r="V647" s="15" t="n"/>
      <c r="W647" s="15" t="n"/>
      <c r="X647" s="15" t="n"/>
      <c r="Y647" s="15" t="n"/>
      <c r="Z647" s="15" t="n"/>
      <c r="AA647" s="15" t="n"/>
      <c r="AB647" s="15" t="n"/>
      <c r="AC647" s="15" t="n"/>
      <c r="AD647" s="15" t="n"/>
      <c r="AE647" s="15" t="n"/>
      <c r="AF647" s="15" t="n"/>
      <c r="AG647" s="15" t="n"/>
      <c r="AH647" s="15" t="n"/>
      <c r="AI647" s="15" t="n"/>
    </row>
    <row r="649">
      <c r="A649" s="16" t="inlineStr">
        <is>
          <t>Практика 10 — результаты рассказа</t>
        </is>
      </c>
    </row>
    <row r="650" ht="28" customHeight="1">
      <c r="A650" s="7" t="inlineStr">
        <is>
          <t>Имя</t>
        </is>
      </c>
      <c r="B650" s="9" t="inlineStr">
        <is>
          <t>TG</t>
        </is>
      </c>
      <c r="C650" s="10" t="inlineStr"/>
      <c r="D650" s="2" t="inlineStr"/>
      <c r="E650" s="2" t="inlineStr"/>
      <c r="F650" s="11" t="inlineStr">
        <is>
          <t>1.0</t>
        </is>
      </c>
      <c r="G650" s="11" t="inlineStr">
        <is>
          <t>2.0</t>
        </is>
      </c>
      <c r="H650" s="11" t="inlineStr">
        <is>
          <t>3.0</t>
        </is>
      </c>
      <c r="I650" s="11" t="inlineStr">
        <is>
          <t>4.0</t>
        </is>
      </c>
      <c r="J650" s="11" t="inlineStr">
        <is>
          <t>5.0</t>
        </is>
      </c>
      <c r="K650" s="11" t="inlineStr">
        <is>
          <t>6</t>
        </is>
      </c>
      <c r="L650" s="11" t="inlineStr">
        <is>
          <t>7</t>
        </is>
      </c>
      <c r="M650" s="11" t="inlineStr">
        <is>
          <t>8</t>
        </is>
      </c>
      <c r="N650" s="11" t="inlineStr">
        <is>
          <t>9</t>
        </is>
      </c>
      <c r="O650" s="11" t="inlineStr">
        <is>
          <t>10</t>
        </is>
      </c>
      <c r="P650" s="11" t="inlineStr">
        <is>
          <t>11</t>
        </is>
      </c>
      <c r="Q650" s="11" t="inlineStr">
        <is>
          <t>12</t>
        </is>
      </c>
      <c r="R650" s="11" t="inlineStr">
        <is>
          <t>13</t>
        </is>
      </c>
      <c r="S650" s="11" t="inlineStr">
        <is>
          <t>14</t>
        </is>
      </c>
      <c r="T650" s="11" t="inlineStr">
        <is>
          <t>15</t>
        </is>
      </c>
      <c r="U650" s="11" t="inlineStr">
        <is>
          <t>16</t>
        </is>
      </c>
      <c r="V650" s="11" t="inlineStr">
        <is>
          <t>17</t>
        </is>
      </c>
      <c r="W650" s="11" t="inlineStr">
        <is>
          <t>18</t>
        </is>
      </c>
      <c r="X650" s="11" t="inlineStr">
        <is>
          <t>19</t>
        </is>
      </c>
      <c r="Y650" s="11" t="inlineStr">
        <is>
          <t>20</t>
        </is>
      </c>
      <c r="Z650" s="11" t="inlineStr">
        <is>
          <t>21</t>
        </is>
      </c>
      <c r="AA650" s="11" t="inlineStr">
        <is>
          <t>22</t>
        </is>
      </c>
      <c r="AB650" s="11" t="inlineStr">
        <is>
          <t>23</t>
        </is>
      </c>
      <c r="AC650" s="11" t="inlineStr">
        <is>
          <t>24</t>
        </is>
      </c>
      <c r="AD650" s="11" t="inlineStr">
        <is>
          <t>25</t>
        </is>
      </c>
      <c r="AE650" s="11" t="inlineStr">
        <is>
          <t>26</t>
        </is>
      </c>
      <c r="AF650" s="11" t="inlineStr">
        <is>
          <t>27</t>
        </is>
      </c>
      <c r="AG650" s="11" t="inlineStr">
        <is>
          <t>28</t>
        </is>
      </c>
      <c r="AH650" s="11" t="inlineStr">
        <is>
          <t>29</t>
        </is>
      </c>
      <c r="AI650" s="11" t="inlineStr">
        <is>
          <t>30</t>
        </is>
      </c>
    </row>
    <row r="651">
      <c r="A651" s="4" t="inlineStr">
        <is>
          <t>Студент3.1</t>
        </is>
      </c>
      <c r="B651" s="4" t="inlineStr"/>
      <c r="C651" s="4" t="n"/>
      <c r="D651" s="4" t="n"/>
      <c r="E651" s="4" t="n"/>
      <c r="F651" s="15" t="n"/>
      <c r="G651" s="15" t="n"/>
      <c r="H651" s="15" t="n"/>
      <c r="I651" s="15" t="n"/>
      <c r="J651" s="15" t="n"/>
      <c r="K651" s="15" t="n"/>
      <c r="L651" s="15" t="n"/>
      <c r="M651" s="15" t="n"/>
      <c r="N651" s="15" t="n"/>
      <c r="O651" s="15" t="n"/>
      <c r="P651" s="15" t="n"/>
      <c r="Q651" s="15" t="n"/>
      <c r="R651" s="15" t="n"/>
      <c r="S651" s="15" t="n"/>
      <c r="T651" s="15" t="n"/>
      <c r="U651" s="15" t="n"/>
      <c r="V651" s="15" t="n"/>
      <c r="W651" s="15" t="n"/>
      <c r="X651" s="15" t="n"/>
      <c r="Y651" s="15" t="n"/>
      <c r="Z651" s="15" t="n"/>
      <c r="AA651" s="15" t="n"/>
      <c r="AB651" s="15" t="n"/>
      <c r="AC651" s="15" t="n"/>
      <c r="AD651" s="15" t="n"/>
      <c r="AE651" s="15" t="n"/>
      <c r="AF651" s="15" t="n"/>
      <c r="AG651" s="15" t="n"/>
      <c r="AH651" s="15" t="n"/>
      <c r="AI651" s="15" t="n"/>
    </row>
    <row r="652">
      <c r="A652" s="4" t="inlineStr">
        <is>
          <t>Студент3.2</t>
        </is>
      </c>
      <c r="B652" s="4" t="inlineStr"/>
      <c r="C652" s="4" t="n"/>
      <c r="D652" s="4" t="n"/>
      <c r="E652" s="4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  <c r="O652" s="15" t="n"/>
      <c r="P652" s="15" t="n"/>
      <c r="Q652" s="15" t="n"/>
      <c r="R652" s="15" t="n"/>
      <c r="S652" s="15" t="n"/>
      <c r="T652" s="15" t="n"/>
      <c r="U652" s="15" t="n"/>
      <c r="V652" s="15" t="n"/>
      <c r="W652" s="15" t="n"/>
      <c r="X652" s="15" t="n"/>
      <c r="Y652" s="15" t="n"/>
      <c r="Z652" s="15" t="n"/>
      <c r="AA652" s="15" t="n"/>
      <c r="AB652" s="15" t="n"/>
      <c r="AC652" s="15" t="n"/>
      <c r="AD652" s="15" t="n"/>
      <c r="AE652" s="15" t="n"/>
      <c r="AF652" s="15" t="n"/>
      <c r="AG652" s="15" t="n"/>
      <c r="AH652" s="15" t="n"/>
      <c r="AI652" s="15" t="n"/>
    </row>
    <row r="653">
      <c r="A653" s="4" t="inlineStr">
        <is>
          <t>Студент3.3</t>
        </is>
      </c>
      <c r="B653" s="4" t="inlineStr"/>
      <c r="C653" s="4" t="n"/>
      <c r="D653" s="4" t="n"/>
      <c r="E653" s="4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  <c r="O653" s="15" t="n"/>
      <c r="P653" s="15" t="n"/>
      <c r="Q653" s="15" t="n"/>
      <c r="R653" s="15" t="n"/>
      <c r="S653" s="15" t="n"/>
      <c r="T653" s="15" t="n"/>
      <c r="U653" s="15" t="n"/>
      <c r="V653" s="15" t="n"/>
      <c r="W653" s="15" t="n"/>
      <c r="X653" s="15" t="n"/>
      <c r="Y653" s="15" t="n"/>
      <c r="Z653" s="15" t="n"/>
      <c r="AA653" s="15" t="n"/>
      <c r="AB653" s="15" t="n"/>
      <c r="AC653" s="15" t="n"/>
      <c r="AD653" s="15" t="n"/>
      <c r="AE653" s="15" t="n"/>
      <c r="AF653" s="15" t="n"/>
      <c r="AG653" s="15" t="n"/>
      <c r="AH653" s="15" t="n"/>
      <c r="AI653" s="15" t="n"/>
    </row>
    <row r="654">
      <c r="A654" s="4" t="inlineStr">
        <is>
          <t>Студент3.4</t>
        </is>
      </c>
      <c r="B654" s="4" t="inlineStr"/>
      <c r="C654" s="4" t="n"/>
      <c r="D654" s="4" t="n"/>
      <c r="E654" s="4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  <c r="O654" s="15" t="n"/>
      <c r="P654" s="15" t="n"/>
      <c r="Q654" s="15" t="n"/>
      <c r="R654" s="15" t="n"/>
      <c r="S654" s="15" t="n"/>
      <c r="T654" s="15" t="n"/>
      <c r="U654" s="15" t="n"/>
      <c r="V654" s="15" t="n"/>
      <c r="W654" s="15" t="n"/>
      <c r="X654" s="15" t="n"/>
      <c r="Y654" s="15" t="n"/>
      <c r="Z654" s="15" t="n"/>
      <c r="AA654" s="15" t="n"/>
      <c r="AB654" s="15" t="n"/>
      <c r="AC654" s="15" t="n"/>
      <c r="AD654" s="15" t="n"/>
      <c r="AE654" s="15" t="n"/>
      <c r="AF654" s="15" t="n"/>
      <c r="AG654" s="15" t="n"/>
      <c r="AH654" s="15" t="n"/>
      <c r="AI654" s="15" t="n"/>
    </row>
    <row r="655">
      <c r="A655" s="4" t="inlineStr">
        <is>
          <t>Студент3.5</t>
        </is>
      </c>
      <c r="B655" s="4" t="inlineStr"/>
      <c r="C655" s="4" t="n"/>
      <c r="D655" s="4" t="n"/>
      <c r="E655" s="4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  <c r="O655" s="15" t="n"/>
      <c r="P655" s="15" t="n"/>
      <c r="Q655" s="15" t="n"/>
      <c r="R655" s="15" t="n"/>
      <c r="S655" s="15" t="n"/>
      <c r="T655" s="15" t="n"/>
      <c r="U655" s="15" t="n"/>
      <c r="V655" s="15" t="n"/>
      <c r="W655" s="15" t="n"/>
      <c r="X655" s="15" t="n"/>
      <c r="Y655" s="15" t="n"/>
      <c r="Z655" s="15" t="n"/>
      <c r="AA655" s="15" t="n"/>
      <c r="AB655" s="15" t="n"/>
      <c r="AC655" s="15" t="n"/>
      <c r="AD655" s="15" t="n"/>
      <c r="AE655" s="15" t="n"/>
      <c r="AF655" s="15" t="n"/>
      <c r="AG655" s="15" t="n"/>
      <c r="AH655" s="15" t="n"/>
      <c r="AI655" s="15" t="n"/>
    </row>
    <row r="656">
      <c r="A656" s="4" t="inlineStr">
        <is>
          <t>Студент3.6</t>
        </is>
      </c>
      <c r="B656" s="4" t="inlineStr"/>
      <c r="C656" s="4" t="n"/>
      <c r="D656" s="4" t="n"/>
      <c r="E656" s="4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  <c r="O656" s="15" t="n"/>
      <c r="P656" s="15" t="n"/>
      <c r="Q656" s="15" t="n"/>
      <c r="R656" s="15" t="n"/>
      <c r="S656" s="15" t="n"/>
      <c r="T656" s="15" t="n"/>
      <c r="U656" s="15" t="n"/>
      <c r="V656" s="15" t="n"/>
      <c r="W656" s="15" t="n"/>
      <c r="X656" s="15" t="n"/>
      <c r="Y656" s="15" t="n"/>
      <c r="Z656" s="15" t="n"/>
      <c r="AA656" s="15" t="n"/>
      <c r="AB656" s="15" t="n"/>
      <c r="AC656" s="15" t="n"/>
      <c r="AD656" s="15" t="n"/>
      <c r="AE656" s="15" t="n"/>
      <c r="AF656" s="15" t="n"/>
      <c r="AG656" s="15" t="n"/>
      <c r="AH656" s="15" t="n"/>
      <c r="AI656" s="15" t="n"/>
    </row>
    <row r="657">
      <c r="A657" s="4" t="inlineStr">
        <is>
          <t>Студент3.7</t>
        </is>
      </c>
      <c r="B657" s="4" t="inlineStr"/>
      <c r="C657" s="4" t="n"/>
      <c r="D657" s="4" t="n"/>
      <c r="E657" s="4" t="n"/>
      <c r="F657" s="15" t="n"/>
      <c r="G657" s="15" t="n"/>
      <c r="H657" s="15" t="n"/>
      <c r="I657" s="15" t="n"/>
      <c r="J657" s="15" t="n"/>
      <c r="K657" s="15" t="n"/>
      <c r="L657" s="15" t="n"/>
      <c r="M657" s="15" t="n"/>
      <c r="N657" s="15" t="n"/>
      <c r="O657" s="15" t="n"/>
      <c r="P657" s="15" t="n"/>
      <c r="Q657" s="15" t="n"/>
      <c r="R657" s="15" t="n"/>
      <c r="S657" s="15" t="n"/>
      <c r="T657" s="15" t="n"/>
      <c r="U657" s="15" t="n"/>
      <c r="V657" s="15" t="n"/>
      <c r="W657" s="15" t="n"/>
      <c r="X657" s="15" t="n"/>
      <c r="Y657" s="15" t="n"/>
      <c r="Z657" s="15" t="n"/>
      <c r="AA657" s="15" t="n"/>
      <c r="AB657" s="15" t="n"/>
      <c r="AC657" s="15" t="n"/>
      <c r="AD657" s="15" t="n"/>
      <c r="AE657" s="15" t="n"/>
      <c r="AF657" s="15" t="n"/>
      <c r="AG657" s="15" t="n"/>
      <c r="AH657" s="15" t="n"/>
      <c r="AI657" s="15" t="n"/>
    </row>
    <row r="658">
      <c r="A658" s="4" t="inlineStr">
        <is>
          <t>Студент3.8</t>
        </is>
      </c>
      <c r="B658" s="4" t="inlineStr"/>
      <c r="C658" s="4" t="n"/>
      <c r="D658" s="4" t="n"/>
      <c r="E658" s="4" t="n"/>
      <c r="F658" s="15" t="n"/>
      <c r="G658" s="15" t="n"/>
      <c r="H658" s="15" t="n"/>
      <c r="I658" s="15" t="n"/>
      <c r="J658" s="15" t="n"/>
      <c r="K658" s="15" t="n"/>
      <c r="L658" s="15" t="n"/>
      <c r="M658" s="15" t="n"/>
      <c r="N658" s="15" t="n"/>
      <c r="O658" s="15" t="n"/>
      <c r="P658" s="15" t="n"/>
      <c r="Q658" s="15" t="n"/>
      <c r="R658" s="15" t="n"/>
      <c r="S658" s="15" t="n"/>
      <c r="T658" s="15" t="n"/>
      <c r="U658" s="15" t="n"/>
      <c r="V658" s="15" t="n"/>
      <c r="W658" s="15" t="n"/>
      <c r="X658" s="15" t="n"/>
      <c r="Y658" s="15" t="n"/>
      <c r="Z658" s="15" t="n"/>
      <c r="AA658" s="15" t="n"/>
      <c r="AB658" s="15" t="n"/>
      <c r="AC658" s="15" t="n"/>
      <c r="AD658" s="15" t="n"/>
      <c r="AE658" s="15" t="n"/>
      <c r="AF658" s="15" t="n"/>
      <c r="AG658" s="15" t="n"/>
      <c r="AH658" s="15" t="n"/>
      <c r="AI658" s="15" t="n"/>
    </row>
    <row r="659">
      <c r="A659" s="4" t="inlineStr">
        <is>
          <t>Студент3.9</t>
        </is>
      </c>
      <c r="B659" s="4" t="inlineStr"/>
      <c r="C659" s="4" t="n"/>
      <c r="D659" s="4" t="n"/>
      <c r="E659" s="4" t="n"/>
      <c r="F659" s="15" t="n"/>
      <c r="G659" s="15" t="n"/>
      <c r="H659" s="15" t="n"/>
      <c r="I659" s="15" t="n"/>
      <c r="J659" s="15" t="n"/>
      <c r="K659" s="15" t="n"/>
      <c r="L659" s="15" t="n"/>
      <c r="M659" s="15" t="n"/>
      <c r="N659" s="15" t="n"/>
      <c r="O659" s="15" t="n"/>
      <c r="P659" s="15" t="n"/>
      <c r="Q659" s="15" t="n"/>
      <c r="R659" s="15" t="n"/>
      <c r="S659" s="15" t="n"/>
      <c r="T659" s="15" t="n"/>
      <c r="U659" s="15" t="n"/>
      <c r="V659" s="15" t="n"/>
      <c r="W659" s="15" t="n"/>
      <c r="X659" s="15" t="n"/>
      <c r="Y659" s="15" t="n"/>
      <c r="Z659" s="15" t="n"/>
      <c r="AA659" s="15" t="n"/>
      <c r="AB659" s="15" t="n"/>
      <c r="AC659" s="15" t="n"/>
      <c r="AD659" s="15" t="n"/>
      <c r="AE659" s="15" t="n"/>
      <c r="AF659" s="15" t="n"/>
      <c r="AG659" s="15" t="n"/>
      <c r="AH659" s="15" t="n"/>
      <c r="AI659" s="15" t="n"/>
    </row>
    <row r="660">
      <c r="A660" s="4" t="inlineStr">
        <is>
          <t>Студент3.10</t>
        </is>
      </c>
      <c r="B660" s="4" t="inlineStr"/>
      <c r="C660" s="4" t="n"/>
      <c r="D660" s="4" t="n"/>
      <c r="E660" s="4" t="n"/>
      <c r="F660" s="15" t="n"/>
      <c r="G660" s="15" t="n"/>
      <c r="H660" s="15" t="n"/>
      <c r="I660" s="15" t="n"/>
      <c r="J660" s="15" t="n"/>
      <c r="K660" s="15" t="n"/>
      <c r="L660" s="15" t="n"/>
      <c r="M660" s="15" t="n"/>
      <c r="N660" s="15" t="n"/>
      <c r="O660" s="15" t="n"/>
      <c r="P660" s="15" t="n"/>
      <c r="Q660" s="15" t="n"/>
      <c r="R660" s="15" t="n"/>
      <c r="S660" s="15" t="n"/>
      <c r="T660" s="15" t="n"/>
      <c r="U660" s="15" t="n"/>
      <c r="V660" s="15" t="n"/>
      <c r="W660" s="15" t="n"/>
      <c r="X660" s="15" t="n"/>
      <c r="Y660" s="15" t="n"/>
      <c r="Z660" s="15" t="n"/>
      <c r="AA660" s="15" t="n"/>
      <c r="AB660" s="15" t="n"/>
      <c r="AC660" s="15" t="n"/>
      <c r="AD660" s="15" t="n"/>
      <c r="AE660" s="15" t="n"/>
      <c r="AF660" s="15" t="n"/>
      <c r="AG660" s="15" t="n"/>
      <c r="AH660" s="15" t="n"/>
      <c r="AI660" s="15" t="n"/>
    </row>
    <row r="661">
      <c r="A661" s="4" t="inlineStr">
        <is>
          <t>Студент3.11</t>
        </is>
      </c>
      <c r="B661" s="4" t="inlineStr"/>
      <c r="C661" s="4" t="n"/>
      <c r="D661" s="4" t="n"/>
      <c r="E661" s="4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  <c r="O661" s="15" t="n"/>
      <c r="P661" s="15" t="n"/>
      <c r="Q661" s="15" t="n"/>
      <c r="R661" s="15" t="n"/>
      <c r="S661" s="15" t="n"/>
      <c r="T661" s="15" t="n"/>
      <c r="U661" s="15" t="n"/>
      <c r="V661" s="15" t="n"/>
      <c r="W661" s="15" t="n"/>
      <c r="X661" s="15" t="n"/>
      <c r="Y661" s="15" t="n"/>
      <c r="Z661" s="15" t="n"/>
      <c r="AA661" s="15" t="n"/>
      <c r="AB661" s="15" t="n"/>
      <c r="AC661" s="15" t="n"/>
      <c r="AD661" s="15" t="n"/>
      <c r="AE661" s="15" t="n"/>
      <c r="AF661" s="15" t="n"/>
      <c r="AG661" s="15" t="n"/>
      <c r="AH661" s="15" t="n"/>
      <c r="AI661" s="15" t="n"/>
    </row>
    <row r="662">
      <c r="A662" s="4" t="inlineStr">
        <is>
          <t>Студент3.12</t>
        </is>
      </c>
      <c r="B662" s="4" t="inlineStr"/>
      <c r="C662" s="4" t="n"/>
      <c r="D662" s="4" t="n"/>
      <c r="E662" s="4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  <c r="O662" s="15" t="n"/>
      <c r="P662" s="15" t="n"/>
      <c r="Q662" s="15" t="n"/>
      <c r="R662" s="15" t="n"/>
      <c r="S662" s="15" t="n"/>
      <c r="T662" s="15" t="n"/>
      <c r="U662" s="15" t="n"/>
      <c r="V662" s="15" t="n"/>
      <c r="W662" s="15" t="n"/>
      <c r="X662" s="15" t="n"/>
      <c r="Y662" s="15" t="n"/>
      <c r="Z662" s="15" t="n"/>
      <c r="AA662" s="15" t="n"/>
      <c r="AB662" s="15" t="n"/>
      <c r="AC662" s="15" t="n"/>
      <c r="AD662" s="15" t="n"/>
      <c r="AE662" s="15" t="n"/>
      <c r="AF662" s="15" t="n"/>
      <c r="AG662" s="15" t="n"/>
      <c r="AH662" s="15" t="n"/>
      <c r="AI662" s="15" t="n"/>
    </row>
    <row r="663">
      <c r="A663" s="4" t="inlineStr">
        <is>
          <t>Студент3.13</t>
        </is>
      </c>
      <c r="B663" s="4" t="inlineStr"/>
      <c r="C663" s="4" t="n"/>
      <c r="D663" s="4" t="n"/>
      <c r="E663" s="4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  <c r="O663" s="15" t="n"/>
      <c r="P663" s="15" t="n"/>
      <c r="Q663" s="15" t="n"/>
      <c r="R663" s="15" t="n"/>
      <c r="S663" s="15" t="n"/>
      <c r="T663" s="15" t="n"/>
      <c r="U663" s="15" t="n"/>
      <c r="V663" s="15" t="n"/>
      <c r="W663" s="15" t="n"/>
      <c r="X663" s="15" t="n"/>
      <c r="Y663" s="15" t="n"/>
      <c r="Z663" s="15" t="n"/>
      <c r="AA663" s="15" t="n"/>
      <c r="AB663" s="15" t="n"/>
      <c r="AC663" s="15" t="n"/>
      <c r="AD663" s="15" t="n"/>
      <c r="AE663" s="15" t="n"/>
      <c r="AF663" s="15" t="n"/>
      <c r="AG663" s="15" t="n"/>
      <c r="AH663" s="15" t="n"/>
      <c r="AI663" s="15" t="n"/>
    </row>
    <row r="664">
      <c r="A664" s="4" t="inlineStr">
        <is>
          <t>Студент3.14</t>
        </is>
      </c>
      <c r="B664" s="4" t="inlineStr"/>
      <c r="C664" s="4" t="n"/>
      <c r="D664" s="4" t="n"/>
      <c r="E664" s="4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  <c r="O664" s="15" t="n"/>
      <c r="P664" s="15" t="n"/>
      <c r="Q664" s="15" t="n"/>
      <c r="R664" s="15" t="n"/>
      <c r="S664" s="15" t="n"/>
      <c r="T664" s="15" t="n"/>
      <c r="U664" s="15" t="n"/>
      <c r="V664" s="15" t="n"/>
      <c r="W664" s="15" t="n"/>
      <c r="X664" s="15" t="n"/>
      <c r="Y664" s="15" t="n"/>
      <c r="Z664" s="15" t="n"/>
      <c r="AA664" s="15" t="n"/>
      <c r="AB664" s="15" t="n"/>
      <c r="AC664" s="15" t="n"/>
      <c r="AD664" s="15" t="n"/>
      <c r="AE664" s="15" t="n"/>
      <c r="AF664" s="15" t="n"/>
      <c r="AG664" s="15" t="n"/>
      <c r="AH664" s="15" t="n"/>
      <c r="AI664" s="15" t="n"/>
    </row>
    <row r="665">
      <c r="A665" s="4" t="inlineStr">
        <is>
          <t>Студент3.15</t>
        </is>
      </c>
      <c r="B665" s="4" t="inlineStr"/>
      <c r="C665" s="4" t="n"/>
      <c r="D665" s="4" t="n"/>
      <c r="E665" s="4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  <c r="O665" s="15" t="n"/>
      <c r="P665" s="15" t="n"/>
      <c r="Q665" s="15" t="n"/>
      <c r="R665" s="15" t="n"/>
      <c r="S665" s="15" t="n"/>
      <c r="T665" s="15" t="n"/>
      <c r="U665" s="15" t="n"/>
      <c r="V665" s="15" t="n"/>
      <c r="W665" s="15" t="n"/>
      <c r="X665" s="15" t="n"/>
      <c r="Y665" s="15" t="n"/>
      <c r="Z665" s="15" t="n"/>
      <c r="AA665" s="15" t="n"/>
      <c r="AB665" s="15" t="n"/>
      <c r="AC665" s="15" t="n"/>
      <c r="AD665" s="15" t="n"/>
      <c r="AE665" s="15" t="n"/>
      <c r="AF665" s="15" t="n"/>
      <c r="AG665" s="15" t="n"/>
      <c r="AH665" s="15" t="n"/>
      <c r="AI665" s="15" t="n"/>
    </row>
    <row r="666">
      <c r="A666" s="4" t="inlineStr">
        <is>
          <t>Студент3.16</t>
        </is>
      </c>
      <c r="B666" s="4" t="inlineStr"/>
      <c r="C666" s="4" t="n"/>
      <c r="D666" s="4" t="n"/>
      <c r="E666" s="4" t="n"/>
      <c r="F666" s="15" t="n"/>
      <c r="G666" s="15" t="n"/>
      <c r="H666" s="15" t="n"/>
      <c r="I666" s="15" t="n"/>
      <c r="J666" s="15" t="n"/>
      <c r="K666" s="15" t="n"/>
      <c r="L666" s="15" t="n"/>
      <c r="M666" s="15" t="n"/>
      <c r="N666" s="15" t="n"/>
      <c r="O666" s="15" t="n"/>
      <c r="P666" s="15" t="n"/>
      <c r="Q666" s="15" t="n"/>
      <c r="R666" s="15" t="n"/>
      <c r="S666" s="15" t="n"/>
      <c r="T666" s="15" t="n"/>
      <c r="U666" s="15" t="n"/>
      <c r="V666" s="15" t="n"/>
      <c r="W666" s="15" t="n"/>
      <c r="X666" s="15" t="n"/>
      <c r="Y666" s="15" t="n"/>
      <c r="Z666" s="15" t="n"/>
      <c r="AA666" s="15" t="n"/>
      <c r="AB666" s="15" t="n"/>
      <c r="AC666" s="15" t="n"/>
      <c r="AD666" s="15" t="n"/>
      <c r="AE666" s="15" t="n"/>
      <c r="AF666" s="15" t="n"/>
      <c r="AG666" s="15" t="n"/>
      <c r="AH666" s="15" t="n"/>
      <c r="AI666" s="15" t="n"/>
    </row>
    <row r="667">
      <c r="A667" s="4" t="inlineStr">
        <is>
          <t>Студент3.17</t>
        </is>
      </c>
      <c r="B667" s="4" t="inlineStr"/>
      <c r="C667" s="4" t="n"/>
      <c r="D667" s="4" t="n"/>
      <c r="E667" s="4" t="n"/>
      <c r="F667" s="15" t="n"/>
      <c r="G667" s="15" t="n"/>
      <c r="H667" s="15" t="n"/>
      <c r="I667" s="15" t="n"/>
      <c r="J667" s="15" t="n"/>
      <c r="K667" s="15" t="n"/>
      <c r="L667" s="15" t="n"/>
      <c r="M667" s="15" t="n"/>
      <c r="N667" s="15" t="n"/>
      <c r="O667" s="15" t="n"/>
      <c r="P667" s="15" t="n"/>
      <c r="Q667" s="15" t="n"/>
      <c r="R667" s="15" t="n"/>
      <c r="S667" s="15" t="n"/>
      <c r="T667" s="15" t="n"/>
      <c r="U667" s="15" t="n"/>
      <c r="V667" s="15" t="n"/>
      <c r="W667" s="15" t="n"/>
      <c r="X667" s="15" t="n"/>
      <c r="Y667" s="15" t="n"/>
      <c r="Z667" s="15" t="n"/>
      <c r="AA667" s="15" t="n"/>
      <c r="AB667" s="15" t="n"/>
      <c r="AC667" s="15" t="n"/>
      <c r="AD667" s="15" t="n"/>
      <c r="AE667" s="15" t="n"/>
      <c r="AF667" s="15" t="n"/>
      <c r="AG667" s="15" t="n"/>
      <c r="AH667" s="15" t="n"/>
      <c r="AI667" s="15" t="n"/>
    </row>
    <row r="668">
      <c r="A668" s="4" t="inlineStr">
        <is>
          <t>Студент3.18</t>
        </is>
      </c>
      <c r="B668" s="4" t="inlineStr"/>
      <c r="C668" s="4" t="n"/>
      <c r="D668" s="4" t="n"/>
      <c r="E668" s="4" t="n"/>
      <c r="F668" s="15" t="n"/>
      <c r="G668" s="15" t="n"/>
      <c r="H668" s="15" t="n"/>
      <c r="I668" s="15" t="n"/>
      <c r="J668" s="15" t="n"/>
      <c r="K668" s="15" t="n"/>
      <c r="L668" s="15" t="n"/>
      <c r="M668" s="15" t="n"/>
      <c r="N668" s="15" t="n"/>
      <c r="O668" s="15" t="n"/>
      <c r="P668" s="15" t="n"/>
      <c r="Q668" s="15" t="n"/>
      <c r="R668" s="15" t="n"/>
      <c r="S668" s="15" t="n"/>
      <c r="T668" s="15" t="n"/>
      <c r="U668" s="15" t="n"/>
      <c r="V668" s="15" t="n"/>
      <c r="W668" s="15" t="n"/>
      <c r="X668" s="15" t="n"/>
      <c r="Y668" s="15" t="n"/>
      <c r="Z668" s="15" t="n"/>
      <c r="AA668" s="15" t="n"/>
      <c r="AB668" s="15" t="n"/>
      <c r="AC668" s="15" t="n"/>
      <c r="AD668" s="15" t="n"/>
      <c r="AE668" s="15" t="n"/>
      <c r="AF668" s="15" t="n"/>
      <c r="AG668" s="15" t="n"/>
      <c r="AH668" s="15" t="n"/>
      <c r="AI668" s="15" t="n"/>
    </row>
    <row r="669">
      <c r="A669" s="4" t="inlineStr">
        <is>
          <t>Студент3.19</t>
        </is>
      </c>
      <c r="B669" s="4" t="inlineStr"/>
      <c r="C669" s="4" t="n"/>
      <c r="D669" s="4" t="n"/>
      <c r="E669" s="4" t="n"/>
      <c r="F669" s="15" t="n"/>
      <c r="G669" s="15" t="n"/>
      <c r="H669" s="15" t="n"/>
      <c r="I669" s="15" t="n"/>
      <c r="J669" s="15" t="n"/>
      <c r="K669" s="15" t="n"/>
      <c r="L669" s="15" t="n"/>
      <c r="M669" s="15" t="n"/>
      <c r="N669" s="15" t="n"/>
      <c r="O669" s="15" t="n"/>
      <c r="P669" s="15" t="n"/>
      <c r="Q669" s="15" t="n"/>
      <c r="R669" s="15" t="n"/>
      <c r="S669" s="15" t="n"/>
      <c r="T669" s="15" t="n"/>
      <c r="U669" s="15" t="n"/>
      <c r="V669" s="15" t="n"/>
      <c r="W669" s="15" t="n"/>
      <c r="X669" s="15" t="n"/>
      <c r="Y669" s="15" t="n"/>
      <c r="Z669" s="15" t="n"/>
      <c r="AA669" s="15" t="n"/>
      <c r="AB669" s="15" t="n"/>
      <c r="AC669" s="15" t="n"/>
      <c r="AD669" s="15" t="n"/>
      <c r="AE669" s="15" t="n"/>
      <c r="AF669" s="15" t="n"/>
      <c r="AG669" s="15" t="n"/>
      <c r="AH669" s="15" t="n"/>
      <c r="AI669" s="15" t="n"/>
    </row>
    <row r="670">
      <c r="A670" s="4" t="inlineStr">
        <is>
          <t>Студент3.20</t>
        </is>
      </c>
      <c r="B670" s="4" t="inlineStr"/>
      <c r="C670" s="4" t="n"/>
      <c r="D670" s="4" t="n"/>
      <c r="E670" s="4" t="n"/>
      <c r="F670" s="15" t="n"/>
      <c r="G670" s="15" t="n"/>
      <c r="H670" s="15" t="n"/>
      <c r="I670" s="15" t="n"/>
      <c r="J670" s="15" t="n"/>
      <c r="K670" s="15" t="n"/>
      <c r="L670" s="15" t="n"/>
      <c r="M670" s="15" t="n"/>
      <c r="N670" s="15" t="n"/>
      <c r="O670" s="15" t="n"/>
      <c r="P670" s="15" t="n"/>
      <c r="Q670" s="15" t="n"/>
      <c r="R670" s="15" t="n"/>
      <c r="S670" s="15" t="n"/>
      <c r="T670" s="15" t="n"/>
      <c r="U670" s="15" t="n"/>
      <c r="V670" s="15" t="n"/>
      <c r="W670" s="15" t="n"/>
      <c r="X670" s="15" t="n"/>
      <c r="Y670" s="15" t="n"/>
      <c r="Z670" s="15" t="n"/>
      <c r="AA670" s="15" t="n"/>
      <c r="AB670" s="15" t="n"/>
      <c r="AC670" s="15" t="n"/>
      <c r="AD670" s="15" t="n"/>
      <c r="AE670" s="15" t="n"/>
      <c r="AF670" s="15" t="n"/>
      <c r="AG670" s="15" t="n"/>
      <c r="AH670" s="15" t="n"/>
      <c r="AI670" s="15" t="n"/>
    </row>
    <row r="671">
      <c r="A671" s="4" t="inlineStr">
        <is>
          <t>Студент3.21</t>
        </is>
      </c>
      <c r="B671" s="4" t="inlineStr"/>
      <c r="C671" s="4" t="n"/>
      <c r="D671" s="4" t="n"/>
      <c r="E671" s="4" t="n"/>
      <c r="F671" s="15" t="n"/>
      <c r="G671" s="15" t="n"/>
      <c r="H671" s="15" t="n"/>
      <c r="I671" s="15" t="n"/>
      <c r="J671" s="15" t="n"/>
      <c r="K671" s="15" t="n"/>
      <c r="L671" s="15" t="n"/>
      <c r="M671" s="15" t="n"/>
      <c r="N671" s="15" t="n"/>
      <c r="O671" s="15" t="n"/>
      <c r="P671" s="15" t="n"/>
      <c r="Q671" s="15" t="n"/>
      <c r="R671" s="15" t="n"/>
      <c r="S671" s="15" t="n"/>
      <c r="T671" s="15" t="n"/>
      <c r="U671" s="15" t="n"/>
      <c r="V671" s="15" t="n"/>
      <c r="W671" s="15" t="n"/>
      <c r="X671" s="15" t="n"/>
      <c r="Y671" s="15" t="n"/>
      <c r="Z671" s="15" t="n"/>
      <c r="AA671" s="15" t="n"/>
      <c r="AB671" s="15" t="n"/>
      <c r="AC671" s="15" t="n"/>
      <c r="AD671" s="15" t="n"/>
      <c r="AE671" s="15" t="n"/>
      <c r="AF671" s="15" t="n"/>
      <c r="AG671" s="15" t="n"/>
      <c r="AH671" s="15" t="n"/>
      <c r="AI671" s="15" t="n"/>
    </row>
    <row r="672">
      <c r="A672" s="4" t="inlineStr">
        <is>
          <t>Студент3.22</t>
        </is>
      </c>
      <c r="B672" s="4" t="inlineStr"/>
      <c r="C672" s="4" t="n"/>
      <c r="D672" s="4" t="n"/>
      <c r="E672" s="4" t="n"/>
      <c r="F672" s="15" t="n"/>
      <c r="G672" s="15" t="n"/>
      <c r="H672" s="15" t="n"/>
      <c r="I672" s="15" t="n"/>
      <c r="J672" s="15" t="n"/>
      <c r="K672" s="15" t="n"/>
      <c r="L672" s="15" t="n"/>
      <c r="M672" s="15" t="n"/>
      <c r="N672" s="15" t="n"/>
      <c r="O672" s="15" t="n"/>
      <c r="P672" s="15" t="n"/>
      <c r="Q672" s="15" t="n"/>
      <c r="R672" s="15" t="n"/>
      <c r="S672" s="15" t="n"/>
      <c r="T672" s="15" t="n"/>
      <c r="U672" s="15" t="n"/>
      <c r="V672" s="15" t="n"/>
      <c r="W672" s="15" t="n"/>
      <c r="X672" s="15" t="n"/>
      <c r="Y672" s="15" t="n"/>
      <c r="Z672" s="15" t="n"/>
      <c r="AA672" s="15" t="n"/>
      <c r="AB672" s="15" t="n"/>
      <c r="AC672" s="15" t="n"/>
      <c r="AD672" s="15" t="n"/>
      <c r="AE672" s="15" t="n"/>
      <c r="AF672" s="15" t="n"/>
      <c r="AG672" s="15" t="n"/>
      <c r="AH672" s="15" t="n"/>
      <c r="AI672" s="15" t="n"/>
    </row>
    <row r="673">
      <c r="A673" s="4" t="inlineStr">
        <is>
          <t>Студент3.23</t>
        </is>
      </c>
      <c r="B673" s="4" t="inlineStr"/>
      <c r="C673" s="4" t="n"/>
      <c r="D673" s="4" t="n"/>
      <c r="E673" s="4" t="n"/>
      <c r="F673" s="15" t="n"/>
      <c r="G673" s="15" t="n"/>
      <c r="H673" s="15" t="n"/>
      <c r="I673" s="15" t="n"/>
      <c r="J673" s="15" t="n"/>
      <c r="K673" s="15" t="n"/>
      <c r="L673" s="15" t="n"/>
      <c r="M673" s="15" t="n"/>
      <c r="N673" s="15" t="n"/>
      <c r="O673" s="15" t="n"/>
      <c r="P673" s="15" t="n"/>
      <c r="Q673" s="15" t="n"/>
      <c r="R673" s="15" t="n"/>
      <c r="S673" s="15" t="n"/>
      <c r="T673" s="15" t="n"/>
      <c r="U673" s="15" t="n"/>
      <c r="V673" s="15" t="n"/>
      <c r="W673" s="15" t="n"/>
      <c r="X673" s="15" t="n"/>
      <c r="Y673" s="15" t="n"/>
      <c r="Z673" s="15" t="n"/>
      <c r="AA673" s="15" t="n"/>
      <c r="AB673" s="15" t="n"/>
      <c r="AC673" s="15" t="n"/>
      <c r="AD673" s="15" t="n"/>
      <c r="AE673" s="15" t="n"/>
      <c r="AF673" s="15" t="n"/>
      <c r="AG673" s="15" t="n"/>
      <c r="AH673" s="15" t="n"/>
      <c r="AI673" s="15" t="n"/>
    </row>
    <row r="674">
      <c r="A674" s="4" t="inlineStr">
        <is>
          <t>Студент3.24</t>
        </is>
      </c>
      <c r="B674" s="4" t="inlineStr"/>
      <c r="C674" s="4" t="n"/>
      <c r="D674" s="4" t="n"/>
      <c r="E674" s="4" t="n"/>
      <c r="F674" s="15" t="n"/>
      <c r="G674" s="15" t="n"/>
      <c r="H674" s="15" t="n"/>
      <c r="I674" s="15" t="n"/>
      <c r="J674" s="15" t="n"/>
      <c r="K674" s="15" t="n"/>
      <c r="L674" s="15" t="n"/>
      <c r="M674" s="15" t="n"/>
      <c r="N674" s="15" t="n"/>
      <c r="O674" s="15" t="n"/>
      <c r="P674" s="15" t="n"/>
      <c r="Q674" s="15" t="n"/>
      <c r="R674" s="15" t="n"/>
      <c r="S674" s="15" t="n"/>
      <c r="T674" s="15" t="n"/>
      <c r="U674" s="15" t="n"/>
      <c r="V674" s="15" t="n"/>
      <c r="W674" s="15" t="n"/>
      <c r="X674" s="15" t="n"/>
      <c r="Y674" s="15" t="n"/>
      <c r="Z674" s="15" t="n"/>
      <c r="AA674" s="15" t="n"/>
      <c r="AB674" s="15" t="n"/>
      <c r="AC674" s="15" t="n"/>
      <c r="AD674" s="15" t="n"/>
      <c r="AE674" s="15" t="n"/>
      <c r="AF674" s="15" t="n"/>
      <c r="AG674" s="15" t="n"/>
      <c r="AH674" s="15" t="n"/>
      <c r="AI674" s="15" t="n"/>
    </row>
    <row r="675">
      <c r="A675" s="4" t="inlineStr">
        <is>
          <t>Студент3.25</t>
        </is>
      </c>
      <c r="B675" s="4" t="inlineStr"/>
      <c r="C675" s="4" t="n"/>
      <c r="D675" s="4" t="n"/>
      <c r="E675" s="4" t="n"/>
      <c r="F675" s="15" t="n"/>
      <c r="G675" s="15" t="n"/>
      <c r="H675" s="15" t="n"/>
      <c r="I675" s="15" t="n"/>
      <c r="J675" s="15" t="n"/>
      <c r="K675" s="15" t="n"/>
      <c r="L675" s="15" t="n"/>
      <c r="M675" s="15" t="n"/>
      <c r="N675" s="15" t="n"/>
      <c r="O675" s="15" t="n"/>
      <c r="P675" s="15" t="n"/>
      <c r="Q675" s="15" t="n"/>
      <c r="R675" s="15" t="n"/>
      <c r="S675" s="15" t="n"/>
      <c r="T675" s="15" t="n"/>
      <c r="U675" s="15" t="n"/>
      <c r="V675" s="15" t="n"/>
      <c r="W675" s="15" t="n"/>
      <c r="X675" s="15" t="n"/>
      <c r="Y675" s="15" t="n"/>
      <c r="Z675" s="15" t="n"/>
      <c r="AA675" s="15" t="n"/>
      <c r="AB675" s="15" t="n"/>
      <c r="AC675" s="15" t="n"/>
      <c r="AD675" s="15" t="n"/>
      <c r="AE675" s="15" t="n"/>
      <c r="AF675" s="15" t="n"/>
      <c r="AG675" s="15" t="n"/>
      <c r="AH675" s="15" t="n"/>
      <c r="AI675" s="15" t="n"/>
    </row>
    <row r="676">
      <c r="A676" s="4" t="inlineStr">
        <is>
          <t>Студент3.26</t>
        </is>
      </c>
      <c r="B676" s="4" t="inlineStr"/>
      <c r="C676" s="4" t="n"/>
      <c r="D676" s="4" t="n"/>
      <c r="E676" s="4" t="n"/>
      <c r="F676" s="15" t="n"/>
      <c r="G676" s="15" t="n"/>
      <c r="H676" s="15" t="n"/>
      <c r="I676" s="15" t="n"/>
      <c r="J676" s="15" t="n"/>
      <c r="K676" s="15" t="n"/>
      <c r="L676" s="15" t="n"/>
      <c r="M676" s="15" t="n"/>
      <c r="N676" s="15" t="n"/>
      <c r="O676" s="15" t="n"/>
      <c r="P676" s="15" t="n"/>
      <c r="Q676" s="15" t="n"/>
      <c r="R676" s="15" t="n"/>
      <c r="S676" s="15" t="n"/>
      <c r="T676" s="15" t="n"/>
      <c r="U676" s="15" t="n"/>
      <c r="V676" s="15" t="n"/>
      <c r="W676" s="15" t="n"/>
      <c r="X676" s="15" t="n"/>
      <c r="Y676" s="15" t="n"/>
      <c r="Z676" s="15" t="n"/>
      <c r="AA676" s="15" t="n"/>
      <c r="AB676" s="15" t="n"/>
      <c r="AC676" s="15" t="n"/>
      <c r="AD676" s="15" t="n"/>
      <c r="AE676" s="15" t="n"/>
      <c r="AF676" s="15" t="n"/>
      <c r="AG676" s="15" t="n"/>
      <c r="AH676" s="15" t="n"/>
      <c r="AI676" s="15" t="n"/>
    </row>
    <row r="677">
      <c r="A677" s="4" t="inlineStr">
        <is>
          <t>Студент3.27</t>
        </is>
      </c>
      <c r="B677" s="4" t="inlineStr"/>
      <c r="C677" s="4" t="n"/>
      <c r="D677" s="4" t="n"/>
      <c r="E677" s="4" t="n"/>
      <c r="F677" s="15" t="n"/>
      <c r="G677" s="15" t="n"/>
      <c r="H677" s="15" t="n"/>
      <c r="I677" s="15" t="n"/>
      <c r="J677" s="15" t="n"/>
      <c r="K677" s="15" t="n"/>
      <c r="L677" s="15" t="n"/>
      <c r="M677" s="15" t="n"/>
      <c r="N677" s="15" t="n"/>
      <c r="O677" s="15" t="n"/>
      <c r="P677" s="15" t="n"/>
      <c r="Q677" s="15" t="n"/>
      <c r="R677" s="15" t="n"/>
      <c r="S677" s="15" t="n"/>
      <c r="T677" s="15" t="n"/>
      <c r="U677" s="15" t="n"/>
      <c r="V677" s="15" t="n"/>
      <c r="W677" s="15" t="n"/>
      <c r="X677" s="15" t="n"/>
      <c r="Y677" s="15" t="n"/>
      <c r="Z677" s="15" t="n"/>
      <c r="AA677" s="15" t="n"/>
      <c r="AB677" s="15" t="n"/>
      <c r="AC677" s="15" t="n"/>
      <c r="AD677" s="15" t="n"/>
      <c r="AE677" s="15" t="n"/>
      <c r="AF677" s="15" t="n"/>
      <c r="AG677" s="15" t="n"/>
      <c r="AH677" s="15" t="n"/>
      <c r="AI677" s="15" t="n"/>
    </row>
    <row r="678">
      <c r="A678" s="4" t="inlineStr">
        <is>
          <t>Студент3.28</t>
        </is>
      </c>
      <c r="B678" s="4" t="inlineStr"/>
      <c r="C678" s="4" t="n"/>
      <c r="D678" s="4" t="n"/>
      <c r="E678" s="4" t="n"/>
      <c r="F678" s="15" t="n"/>
      <c r="G678" s="15" t="n"/>
      <c r="H678" s="15" t="n"/>
      <c r="I678" s="15" t="n"/>
      <c r="J678" s="15" t="n"/>
      <c r="K678" s="15" t="n"/>
      <c r="L678" s="15" t="n"/>
      <c r="M678" s="15" t="n"/>
      <c r="N678" s="15" t="n"/>
      <c r="O678" s="15" t="n"/>
      <c r="P678" s="15" t="n"/>
      <c r="Q678" s="15" t="n"/>
      <c r="R678" s="15" t="n"/>
      <c r="S678" s="15" t="n"/>
      <c r="T678" s="15" t="n"/>
      <c r="U678" s="15" t="n"/>
      <c r="V678" s="15" t="n"/>
      <c r="W678" s="15" t="n"/>
      <c r="X678" s="15" t="n"/>
      <c r="Y678" s="15" t="n"/>
      <c r="Z678" s="15" t="n"/>
      <c r="AA678" s="15" t="n"/>
      <c r="AB678" s="15" t="n"/>
      <c r="AC678" s="15" t="n"/>
      <c r="AD678" s="15" t="n"/>
      <c r="AE678" s="15" t="n"/>
      <c r="AF678" s="15" t="n"/>
      <c r="AG678" s="15" t="n"/>
      <c r="AH678" s="15" t="n"/>
      <c r="AI678" s="15" t="n"/>
    </row>
    <row r="679">
      <c r="A679" s="4" t="inlineStr">
        <is>
          <t>Студент3.29</t>
        </is>
      </c>
      <c r="B679" s="4" t="inlineStr"/>
      <c r="C679" s="4" t="n"/>
      <c r="D679" s="4" t="n"/>
      <c r="E679" s="4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5" t="n"/>
      <c r="P679" s="15" t="n"/>
      <c r="Q679" s="15" t="n"/>
      <c r="R679" s="15" t="n"/>
      <c r="S679" s="15" t="n"/>
      <c r="T679" s="15" t="n"/>
      <c r="U679" s="15" t="n"/>
      <c r="V679" s="15" t="n"/>
      <c r="W679" s="15" t="n"/>
      <c r="X679" s="15" t="n"/>
      <c r="Y679" s="15" t="n"/>
      <c r="Z679" s="15" t="n"/>
      <c r="AA679" s="15" t="n"/>
      <c r="AB679" s="15" t="n"/>
      <c r="AC679" s="15" t="n"/>
      <c r="AD679" s="15" t="n"/>
      <c r="AE679" s="15" t="n"/>
      <c r="AF679" s="15" t="n"/>
      <c r="AG679" s="15" t="n"/>
      <c r="AH679" s="15" t="n"/>
      <c r="AI679" s="15" t="n"/>
    </row>
    <row r="680">
      <c r="A680" s="4" t="inlineStr">
        <is>
          <t>Студент3.30</t>
        </is>
      </c>
      <c r="B680" s="4" t="inlineStr"/>
      <c r="C680" s="4" t="n"/>
      <c r="D680" s="4" t="n"/>
      <c r="E680" s="4" t="n"/>
      <c r="F680" s="15" t="n"/>
      <c r="G680" s="15" t="n"/>
      <c r="H680" s="15" t="n"/>
      <c r="I680" s="15" t="n"/>
      <c r="J680" s="15" t="n"/>
      <c r="K680" s="15" t="n"/>
      <c r="L680" s="15" t="n"/>
      <c r="M680" s="15" t="n"/>
      <c r="N680" s="15" t="n"/>
      <c r="O680" s="15" t="n"/>
      <c r="P680" s="15" t="n"/>
      <c r="Q680" s="15" t="n"/>
      <c r="R680" s="15" t="n"/>
      <c r="S680" s="15" t="n"/>
      <c r="T680" s="15" t="n"/>
      <c r="U680" s="15" t="n"/>
      <c r="V680" s="15" t="n"/>
      <c r="W680" s="15" t="n"/>
      <c r="X680" s="15" t="n"/>
      <c r="Y680" s="15" t="n"/>
      <c r="Z680" s="15" t="n"/>
      <c r="AA680" s="15" t="n"/>
      <c r="AB680" s="15" t="n"/>
      <c r="AC680" s="15" t="n"/>
      <c r="AD680" s="15" t="n"/>
      <c r="AE680" s="15" t="n"/>
      <c r="AF680" s="15" t="n"/>
      <c r="AG680" s="15" t="n"/>
      <c r="AH680" s="15" t="n"/>
      <c r="AI680" s="15" t="n"/>
    </row>
    <row r="684">
      <c r="A684" s="13" t="inlineStr">
        <is>
          <t>Практика 11 — плюсы</t>
        </is>
      </c>
    </row>
    <row r="685" ht="28" customHeight="1">
      <c r="A685" s="7" t="inlineStr">
        <is>
          <t>Имя</t>
        </is>
      </c>
      <c r="B685" s="9" t="inlineStr">
        <is>
          <t>TG</t>
        </is>
      </c>
      <c r="C685" s="10" t="inlineStr">
        <is>
          <t>S</t>
        </is>
      </c>
      <c r="D685" s="8" t="inlineStr">
        <is>
          <t>Коэффициент</t>
        </is>
      </c>
      <c r="E685" s="14" t="inlineStr">
        <is>
          <t>D за практику</t>
        </is>
      </c>
      <c r="F685" s="11" t="inlineStr">
        <is>
          <t>1.0</t>
        </is>
      </c>
      <c r="G685" s="11" t="inlineStr">
        <is>
          <t>2.0</t>
        </is>
      </c>
      <c r="H685" s="11" t="inlineStr">
        <is>
          <t>3.0</t>
        </is>
      </c>
      <c r="I685" s="11" t="inlineStr">
        <is>
          <t>4.0</t>
        </is>
      </c>
      <c r="J685" s="11" t="inlineStr">
        <is>
          <t>5.0</t>
        </is>
      </c>
      <c r="K685" s="11" t="inlineStr">
        <is>
          <t>6</t>
        </is>
      </c>
      <c r="L685" s="11" t="inlineStr">
        <is>
          <t>7</t>
        </is>
      </c>
      <c r="M685" s="11" t="inlineStr">
        <is>
          <t>8</t>
        </is>
      </c>
      <c r="N685" s="11" t="inlineStr">
        <is>
          <t>9</t>
        </is>
      </c>
      <c r="O685" s="11" t="inlineStr">
        <is>
          <t>10</t>
        </is>
      </c>
      <c r="P685" s="11" t="inlineStr">
        <is>
          <t>11</t>
        </is>
      </c>
      <c r="Q685" s="11" t="inlineStr">
        <is>
          <t>12</t>
        </is>
      </c>
      <c r="R685" s="11" t="inlineStr">
        <is>
          <t>13</t>
        </is>
      </c>
      <c r="S685" s="11" t="inlineStr">
        <is>
          <t>14</t>
        </is>
      </c>
      <c r="T685" s="11" t="inlineStr">
        <is>
          <t>15</t>
        </is>
      </c>
      <c r="U685" s="11" t="inlineStr">
        <is>
          <t>16</t>
        </is>
      </c>
      <c r="V685" s="11" t="inlineStr">
        <is>
          <t>17</t>
        </is>
      </c>
      <c r="W685" s="11" t="inlineStr">
        <is>
          <t>18</t>
        </is>
      </c>
      <c r="X685" s="11" t="inlineStr">
        <is>
          <t>19</t>
        </is>
      </c>
      <c r="Y685" s="11" t="inlineStr">
        <is>
          <t>20</t>
        </is>
      </c>
      <c r="Z685" s="11" t="inlineStr">
        <is>
          <t>21</t>
        </is>
      </c>
      <c r="AA685" s="11" t="inlineStr">
        <is>
          <t>22</t>
        </is>
      </c>
      <c r="AB685" s="11" t="inlineStr">
        <is>
          <t>23</t>
        </is>
      </c>
      <c r="AC685" s="11" t="inlineStr">
        <is>
          <t>24</t>
        </is>
      </c>
      <c r="AD685" s="11" t="inlineStr">
        <is>
          <t>25</t>
        </is>
      </c>
      <c r="AE685" s="11" t="inlineStr">
        <is>
          <t>26</t>
        </is>
      </c>
      <c r="AF685" s="11" t="inlineStr">
        <is>
          <t>27</t>
        </is>
      </c>
      <c r="AG685" s="11" t="inlineStr">
        <is>
          <t>28</t>
        </is>
      </c>
      <c r="AH685" s="11" t="inlineStr">
        <is>
          <t>29</t>
        </is>
      </c>
      <c r="AI685" s="11" t="inlineStr">
        <is>
          <t>30</t>
        </is>
      </c>
    </row>
    <row r="686">
      <c r="A686" s="4" t="inlineStr">
        <is>
          <t>Студент3.1</t>
        </is>
      </c>
      <c r="B686" s="4" t="inlineStr"/>
      <c r="C686" s="4">
        <f>IF(A686="","",COUNTIF(F686:AI686,"+")+COUNTIF(F686:AI686,"1"))</f>
        <v/>
      </c>
      <c r="D686" s="4">
        <f>IF(A686="","",IF(C686&gt;2*COUNTA(F$685:AI$685)/3,1,IF(C686&gt;=COUNTA(F$685:AI$685)/2,0.8,0.5)))</f>
        <v/>
      </c>
      <c r="E686" s="4">
        <f>IF(A686="","",SUMIFS('Логи'!$H$4:$H$3006,'Логи'!$A$4:$A$3006,A686,'Логи'!$C$4:$C$3006,11))</f>
        <v/>
      </c>
      <c r="F686" s="15" t="n"/>
      <c r="G686" s="15" t="n"/>
      <c r="H686" s="15" t="n"/>
      <c r="I686" s="15" t="n"/>
      <c r="J686" s="15" t="n"/>
      <c r="K686" s="15" t="n"/>
      <c r="L686" s="15" t="n"/>
      <c r="M686" s="15" t="n"/>
      <c r="N686" s="15" t="n"/>
      <c r="O686" s="15" t="n"/>
      <c r="P686" s="15" t="n"/>
      <c r="Q686" s="15" t="n"/>
      <c r="R686" s="15" t="n"/>
      <c r="S686" s="15" t="n"/>
      <c r="T686" s="15" t="n"/>
      <c r="U686" s="15" t="n"/>
      <c r="V686" s="15" t="n"/>
      <c r="W686" s="15" t="n"/>
      <c r="X686" s="15" t="n"/>
      <c r="Y686" s="15" t="n"/>
      <c r="Z686" s="15" t="n"/>
      <c r="AA686" s="15" t="n"/>
      <c r="AB686" s="15" t="n"/>
      <c r="AC686" s="15" t="n"/>
      <c r="AD686" s="15" t="n"/>
      <c r="AE686" s="15" t="n"/>
      <c r="AF686" s="15" t="n"/>
      <c r="AG686" s="15" t="n"/>
      <c r="AH686" s="15" t="n"/>
      <c r="AI686" s="15" t="n"/>
    </row>
    <row r="687">
      <c r="A687" s="4" t="inlineStr">
        <is>
          <t>Студент3.2</t>
        </is>
      </c>
      <c r="B687" s="4" t="inlineStr"/>
      <c r="C687" s="4">
        <f>IF(A687="","",COUNTIF(F687:AI687,"+")+COUNTIF(F687:AI687,"1"))</f>
        <v/>
      </c>
      <c r="D687" s="4">
        <f>IF(A687="","",IF(C687&gt;2*COUNTA(F$685:AI$685)/3,1,IF(C687&gt;=COUNTA(F$685:AI$685)/2,0.8,0.5)))</f>
        <v/>
      </c>
      <c r="E687" s="4">
        <f>IF(A687="","",SUMIFS('Логи'!$H$4:$H$3006,'Логи'!$A$4:$A$3006,A687,'Логи'!$C$4:$C$3006,11))</f>
        <v/>
      </c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5" t="n"/>
      <c r="P687" s="15" t="n"/>
      <c r="Q687" s="15" t="n"/>
      <c r="R687" s="15" t="n"/>
      <c r="S687" s="15" t="n"/>
      <c r="T687" s="15" t="n"/>
      <c r="U687" s="15" t="n"/>
      <c r="V687" s="15" t="n"/>
      <c r="W687" s="15" t="n"/>
      <c r="X687" s="15" t="n"/>
      <c r="Y687" s="15" t="n"/>
      <c r="Z687" s="15" t="n"/>
      <c r="AA687" s="15" t="n"/>
      <c r="AB687" s="15" t="n"/>
      <c r="AC687" s="15" t="n"/>
      <c r="AD687" s="15" t="n"/>
      <c r="AE687" s="15" t="n"/>
      <c r="AF687" s="15" t="n"/>
      <c r="AG687" s="15" t="n"/>
      <c r="AH687" s="15" t="n"/>
      <c r="AI687" s="15" t="n"/>
    </row>
    <row r="688">
      <c r="A688" s="4" t="inlineStr">
        <is>
          <t>Студент3.3</t>
        </is>
      </c>
      <c r="B688" s="4" t="inlineStr"/>
      <c r="C688" s="4">
        <f>IF(A688="","",COUNTIF(F688:AI688,"+")+COUNTIF(F688:AI688,"1"))</f>
        <v/>
      </c>
      <c r="D688" s="4">
        <f>IF(A688="","",IF(C688&gt;2*COUNTA(F$685:AI$685)/3,1,IF(C688&gt;=COUNTA(F$685:AI$685)/2,0.8,0.5)))</f>
        <v/>
      </c>
      <c r="E688" s="4">
        <f>IF(A688="","",SUMIFS('Логи'!$H$4:$H$3006,'Логи'!$A$4:$A$3006,A688,'Логи'!$C$4:$C$3006,11))</f>
        <v/>
      </c>
      <c r="F688" s="15" t="n"/>
      <c r="G688" s="15" t="n"/>
      <c r="H688" s="15" t="n"/>
      <c r="I688" s="15" t="n"/>
      <c r="J688" s="15" t="n"/>
      <c r="K688" s="15" t="n"/>
      <c r="L688" s="15" t="n"/>
      <c r="M688" s="15" t="n"/>
      <c r="N688" s="15" t="n"/>
      <c r="O688" s="15" t="n"/>
      <c r="P688" s="15" t="n"/>
      <c r="Q688" s="15" t="n"/>
      <c r="R688" s="15" t="n"/>
      <c r="S688" s="15" t="n"/>
      <c r="T688" s="15" t="n"/>
      <c r="U688" s="15" t="n"/>
      <c r="V688" s="15" t="n"/>
      <c r="W688" s="15" t="n"/>
      <c r="X688" s="15" t="n"/>
      <c r="Y688" s="15" t="n"/>
      <c r="Z688" s="15" t="n"/>
      <c r="AA688" s="15" t="n"/>
      <c r="AB688" s="15" t="n"/>
      <c r="AC688" s="15" t="n"/>
      <c r="AD688" s="15" t="n"/>
      <c r="AE688" s="15" t="n"/>
      <c r="AF688" s="15" t="n"/>
      <c r="AG688" s="15" t="n"/>
      <c r="AH688" s="15" t="n"/>
      <c r="AI688" s="15" t="n"/>
    </row>
    <row r="689">
      <c r="A689" s="4" t="inlineStr">
        <is>
          <t>Студент3.4</t>
        </is>
      </c>
      <c r="B689" s="4" t="inlineStr"/>
      <c r="C689" s="4">
        <f>IF(A689="","",COUNTIF(F689:AI689,"+")+COUNTIF(F689:AI689,"1"))</f>
        <v/>
      </c>
      <c r="D689" s="4">
        <f>IF(A689="","",IF(C689&gt;2*COUNTA(F$685:AI$685)/3,1,IF(C689&gt;=COUNTA(F$685:AI$685)/2,0.8,0.5)))</f>
        <v/>
      </c>
      <c r="E689" s="4">
        <f>IF(A689="","",SUMIFS('Логи'!$H$4:$H$3006,'Логи'!$A$4:$A$3006,A689,'Логи'!$C$4:$C$3006,11))</f>
        <v/>
      </c>
      <c r="F689" s="15" t="n"/>
      <c r="G689" s="15" t="n"/>
      <c r="H689" s="15" t="n"/>
      <c r="I689" s="15" t="n"/>
      <c r="J689" s="15" t="n"/>
      <c r="K689" s="15" t="n"/>
      <c r="L689" s="15" t="n"/>
      <c r="M689" s="15" t="n"/>
      <c r="N689" s="15" t="n"/>
      <c r="O689" s="15" t="n"/>
      <c r="P689" s="15" t="n"/>
      <c r="Q689" s="15" t="n"/>
      <c r="R689" s="15" t="n"/>
      <c r="S689" s="15" t="n"/>
      <c r="T689" s="15" t="n"/>
      <c r="U689" s="15" t="n"/>
      <c r="V689" s="15" t="n"/>
      <c r="W689" s="15" t="n"/>
      <c r="X689" s="15" t="n"/>
      <c r="Y689" s="15" t="n"/>
      <c r="Z689" s="15" t="n"/>
      <c r="AA689" s="15" t="n"/>
      <c r="AB689" s="15" t="n"/>
      <c r="AC689" s="15" t="n"/>
      <c r="AD689" s="15" t="n"/>
      <c r="AE689" s="15" t="n"/>
      <c r="AF689" s="15" t="n"/>
      <c r="AG689" s="15" t="n"/>
      <c r="AH689" s="15" t="n"/>
      <c r="AI689" s="15" t="n"/>
    </row>
    <row r="690">
      <c r="A690" s="4" t="inlineStr">
        <is>
          <t>Студент3.5</t>
        </is>
      </c>
      <c r="B690" s="4" t="inlineStr"/>
      <c r="C690" s="4">
        <f>IF(A690="","",COUNTIF(F690:AI690,"+")+COUNTIF(F690:AI690,"1"))</f>
        <v/>
      </c>
      <c r="D690" s="4">
        <f>IF(A690="","",IF(C690&gt;2*COUNTA(F$685:AI$685)/3,1,IF(C690&gt;=COUNTA(F$685:AI$685)/2,0.8,0.5)))</f>
        <v/>
      </c>
      <c r="E690" s="4">
        <f>IF(A690="","",SUMIFS('Логи'!$H$4:$H$3006,'Логи'!$A$4:$A$3006,A690,'Логи'!$C$4:$C$3006,11))</f>
        <v/>
      </c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  <c r="O690" s="15" t="n"/>
      <c r="P690" s="15" t="n"/>
      <c r="Q690" s="15" t="n"/>
      <c r="R690" s="15" t="n"/>
      <c r="S690" s="15" t="n"/>
      <c r="T690" s="15" t="n"/>
      <c r="U690" s="15" t="n"/>
      <c r="V690" s="15" t="n"/>
      <c r="W690" s="15" t="n"/>
      <c r="X690" s="15" t="n"/>
      <c r="Y690" s="15" t="n"/>
      <c r="Z690" s="15" t="n"/>
      <c r="AA690" s="15" t="n"/>
      <c r="AB690" s="15" t="n"/>
      <c r="AC690" s="15" t="n"/>
      <c r="AD690" s="15" t="n"/>
      <c r="AE690" s="15" t="n"/>
      <c r="AF690" s="15" t="n"/>
      <c r="AG690" s="15" t="n"/>
      <c r="AH690" s="15" t="n"/>
      <c r="AI690" s="15" t="n"/>
    </row>
    <row r="691">
      <c r="A691" s="4" t="inlineStr">
        <is>
          <t>Студент3.6</t>
        </is>
      </c>
      <c r="B691" s="4" t="inlineStr"/>
      <c r="C691" s="4">
        <f>IF(A691="","",COUNTIF(F691:AI691,"+")+COUNTIF(F691:AI691,"1"))</f>
        <v/>
      </c>
      <c r="D691" s="4">
        <f>IF(A691="","",IF(C691&gt;2*COUNTA(F$685:AI$685)/3,1,IF(C691&gt;=COUNTA(F$685:AI$685)/2,0.8,0.5)))</f>
        <v/>
      </c>
      <c r="E691" s="4">
        <f>IF(A691="","",SUMIFS('Логи'!$H$4:$H$3006,'Логи'!$A$4:$A$3006,A691,'Логи'!$C$4:$C$3006,11))</f>
        <v/>
      </c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  <c r="O691" s="15" t="n"/>
      <c r="P691" s="15" t="n"/>
      <c r="Q691" s="15" t="n"/>
      <c r="R691" s="15" t="n"/>
      <c r="S691" s="15" t="n"/>
      <c r="T691" s="15" t="n"/>
      <c r="U691" s="15" t="n"/>
      <c r="V691" s="15" t="n"/>
      <c r="W691" s="15" t="n"/>
      <c r="X691" s="15" t="n"/>
      <c r="Y691" s="15" t="n"/>
      <c r="Z691" s="15" t="n"/>
      <c r="AA691" s="15" t="n"/>
      <c r="AB691" s="15" t="n"/>
      <c r="AC691" s="15" t="n"/>
      <c r="AD691" s="15" t="n"/>
      <c r="AE691" s="15" t="n"/>
      <c r="AF691" s="15" t="n"/>
      <c r="AG691" s="15" t="n"/>
      <c r="AH691" s="15" t="n"/>
      <c r="AI691" s="15" t="n"/>
    </row>
    <row r="692">
      <c r="A692" s="4" t="inlineStr">
        <is>
          <t>Студент3.7</t>
        </is>
      </c>
      <c r="B692" s="4" t="inlineStr"/>
      <c r="C692" s="4">
        <f>IF(A692="","",COUNTIF(F692:AI692,"+")+COUNTIF(F692:AI692,"1"))</f>
        <v/>
      </c>
      <c r="D692" s="4">
        <f>IF(A692="","",IF(C692&gt;2*COUNTA(F$685:AI$685)/3,1,IF(C692&gt;=COUNTA(F$685:AI$685)/2,0.8,0.5)))</f>
        <v/>
      </c>
      <c r="E692" s="4">
        <f>IF(A692="","",SUMIFS('Логи'!$H$4:$H$3006,'Логи'!$A$4:$A$3006,A692,'Логи'!$C$4:$C$3006,11))</f>
        <v/>
      </c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  <c r="O692" s="15" t="n"/>
      <c r="P692" s="15" t="n"/>
      <c r="Q692" s="15" t="n"/>
      <c r="R692" s="15" t="n"/>
      <c r="S692" s="15" t="n"/>
      <c r="T692" s="15" t="n"/>
      <c r="U692" s="15" t="n"/>
      <c r="V692" s="15" t="n"/>
      <c r="W692" s="15" t="n"/>
      <c r="X692" s="15" t="n"/>
      <c r="Y692" s="15" t="n"/>
      <c r="Z692" s="15" t="n"/>
      <c r="AA692" s="15" t="n"/>
      <c r="AB692" s="15" t="n"/>
      <c r="AC692" s="15" t="n"/>
      <c r="AD692" s="15" t="n"/>
      <c r="AE692" s="15" t="n"/>
      <c r="AF692" s="15" t="n"/>
      <c r="AG692" s="15" t="n"/>
      <c r="AH692" s="15" t="n"/>
      <c r="AI692" s="15" t="n"/>
    </row>
    <row r="693">
      <c r="A693" s="4" t="inlineStr">
        <is>
          <t>Студент3.8</t>
        </is>
      </c>
      <c r="B693" s="4" t="inlineStr"/>
      <c r="C693" s="4">
        <f>IF(A693="","",COUNTIF(F693:AI693,"+")+COUNTIF(F693:AI693,"1"))</f>
        <v/>
      </c>
      <c r="D693" s="4">
        <f>IF(A693="","",IF(C693&gt;2*COUNTA(F$685:AI$685)/3,1,IF(C693&gt;=COUNTA(F$685:AI$685)/2,0.8,0.5)))</f>
        <v/>
      </c>
      <c r="E693" s="4">
        <f>IF(A693="","",SUMIFS('Логи'!$H$4:$H$3006,'Логи'!$A$4:$A$3006,A693,'Логи'!$C$4:$C$3006,11))</f>
        <v/>
      </c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  <c r="O693" s="15" t="n"/>
      <c r="P693" s="15" t="n"/>
      <c r="Q693" s="15" t="n"/>
      <c r="R693" s="15" t="n"/>
      <c r="S693" s="15" t="n"/>
      <c r="T693" s="15" t="n"/>
      <c r="U693" s="15" t="n"/>
      <c r="V693" s="15" t="n"/>
      <c r="W693" s="15" t="n"/>
      <c r="X693" s="15" t="n"/>
      <c r="Y693" s="15" t="n"/>
      <c r="Z693" s="15" t="n"/>
      <c r="AA693" s="15" t="n"/>
      <c r="AB693" s="15" t="n"/>
      <c r="AC693" s="15" t="n"/>
      <c r="AD693" s="15" t="n"/>
      <c r="AE693" s="15" t="n"/>
      <c r="AF693" s="15" t="n"/>
      <c r="AG693" s="15" t="n"/>
      <c r="AH693" s="15" t="n"/>
      <c r="AI693" s="15" t="n"/>
    </row>
    <row r="694">
      <c r="A694" s="4" t="inlineStr">
        <is>
          <t>Студент3.9</t>
        </is>
      </c>
      <c r="B694" s="4" t="inlineStr"/>
      <c r="C694" s="4">
        <f>IF(A694="","",COUNTIF(F694:AI694,"+")+COUNTIF(F694:AI694,"1"))</f>
        <v/>
      </c>
      <c r="D694" s="4">
        <f>IF(A694="","",IF(C694&gt;2*COUNTA(F$685:AI$685)/3,1,IF(C694&gt;=COUNTA(F$685:AI$685)/2,0.8,0.5)))</f>
        <v/>
      </c>
      <c r="E694" s="4">
        <f>IF(A694="","",SUMIFS('Логи'!$H$4:$H$3006,'Логи'!$A$4:$A$3006,A694,'Логи'!$C$4:$C$3006,11))</f>
        <v/>
      </c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  <c r="O694" s="15" t="n"/>
      <c r="P694" s="15" t="n"/>
      <c r="Q694" s="15" t="n"/>
      <c r="R694" s="15" t="n"/>
      <c r="S694" s="15" t="n"/>
      <c r="T694" s="15" t="n"/>
      <c r="U694" s="15" t="n"/>
      <c r="V694" s="15" t="n"/>
      <c r="W694" s="15" t="n"/>
      <c r="X694" s="15" t="n"/>
      <c r="Y694" s="15" t="n"/>
      <c r="Z694" s="15" t="n"/>
      <c r="AA694" s="15" t="n"/>
      <c r="AB694" s="15" t="n"/>
      <c r="AC694" s="15" t="n"/>
      <c r="AD694" s="15" t="n"/>
      <c r="AE694" s="15" t="n"/>
      <c r="AF694" s="15" t="n"/>
      <c r="AG694" s="15" t="n"/>
      <c r="AH694" s="15" t="n"/>
      <c r="AI694" s="15" t="n"/>
    </row>
    <row r="695">
      <c r="A695" s="4" t="inlineStr">
        <is>
          <t>Студент3.10</t>
        </is>
      </c>
      <c r="B695" s="4" t="inlineStr"/>
      <c r="C695" s="4">
        <f>IF(A695="","",COUNTIF(F695:AI695,"+")+COUNTIF(F695:AI695,"1"))</f>
        <v/>
      </c>
      <c r="D695" s="4">
        <f>IF(A695="","",IF(C695&gt;2*COUNTA(F$685:AI$685)/3,1,IF(C695&gt;=COUNTA(F$685:AI$685)/2,0.8,0.5)))</f>
        <v/>
      </c>
      <c r="E695" s="4">
        <f>IF(A695="","",SUMIFS('Логи'!$H$4:$H$3006,'Логи'!$A$4:$A$3006,A695,'Логи'!$C$4:$C$3006,11))</f>
        <v/>
      </c>
      <c r="F695" s="15" t="n"/>
      <c r="G695" s="15" t="n"/>
      <c r="H695" s="15" t="n"/>
      <c r="I695" s="15" t="n"/>
      <c r="J695" s="15" t="n"/>
      <c r="K695" s="15" t="n"/>
      <c r="L695" s="15" t="n"/>
      <c r="M695" s="15" t="n"/>
      <c r="N695" s="15" t="n"/>
      <c r="O695" s="15" t="n"/>
      <c r="P695" s="15" t="n"/>
      <c r="Q695" s="15" t="n"/>
      <c r="R695" s="15" t="n"/>
      <c r="S695" s="15" t="n"/>
      <c r="T695" s="15" t="n"/>
      <c r="U695" s="15" t="n"/>
      <c r="V695" s="15" t="n"/>
      <c r="W695" s="15" t="n"/>
      <c r="X695" s="15" t="n"/>
      <c r="Y695" s="15" t="n"/>
      <c r="Z695" s="15" t="n"/>
      <c r="AA695" s="15" t="n"/>
      <c r="AB695" s="15" t="n"/>
      <c r="AC695" s="15" t="n"/>
      <c r="AD695" s="15" t="n"/>
      <c r="AE695" s="15" t="n"/>
      <c r="AF695" s="15" t="n"/>
      <c r="AG695" s="15" t="n"/>
      <c r="AH695" s="15" t="n"/>
      <c r="AI695" s="15" t="n"/>
    </row>
    <row r="696">
      <c r="A696" s="4" t="inlineStr">
        <is>
          <t>Студент3.11</t>
        </is>
      </c>
      <c r="B696" s="4" t="inlineStr"/>
      <c r="C696" s="4">
        <f>IF(A696="","",COUNTIF(F696:AI696,"+")+COUNTIF(F696:AI696,"1"))</f>
        <v/>
      </c>
      <c r="D696" s="4">
        <f>IF(A696="","",IF(C696&gt;2*COUNTA(F$685:AI$685)/3,1,IF(C696&gt;=COUNTA(F$685:AI$685)/2,0.8,0.5)))</f>
        <v/>
      </c>
      <c r="E696" s="4">
        <f>IF(A696="","",SUMIFS('Логи'!$H$4:$H$3006,'Логи'!$A$4:$A$3006,A696,'Логи'!$C$4:$C$3006,11))</f>
        <v/>
      </c>
      <c r="F696" s="15" t="n"/>
      <c r="G696" s="15" t="n"/>
      <c r="H696" s="15" t="n"/>
      <c r="I696" s="15" t="n"/>
      <c r="J696" s="15" t="n"/>
      <c r="K696" s="15" t="n"/>
      <c r="L696" s="15" t="n"/>
      <c r="M696" s="15" t="n"/>
      <c r="N696" s="15" t="n"/>
      <c r="O696" s="15" t="n"/>
      <c r="P696" s="15" t="n"/>
      <c r="Q696" s="15" t="n"/>
      <c r="R696" s="15" t="n"/>
      <c r="S696" s="15" t="n"/>
      <c r="T696" s="15" t="n"/>
      <c r="U696" s="15" t="n"/>
      <c r="V696" s="15" t="n"/>
      <c r="W696" s="15" t="n"/>
      <c r="X696" s="15" t="n"/>
      <c r="Y696" s="15" t="n"/>
      <c r="Z696" s="15" t="n"/>
      <c r="AA696" s="15" t="n"/>
      <c r="AB696" s="15" t="n"/>
      <c r="AC696" s="15" t="n"/>
      <c r="AD696" s="15" t="n"/>
      <c r="AE696" s="15" t="n"/>
      <c r="AF696" s="15" t="n"/>
      <c r="AG696" s="15" t="n"/>
      <c r="AH696" s="15" t="n"/>
      <c r="AI696" s="15" t="n"/>
    </row>
    <row r="697">
      <c r="A697" s="4" t="inlineStr">
        <is>
          <t>Студент3.12</t>
        </is>
      </c>
      <c r="B697" s="4" t="inlineStr"/>
      <c r="C697" s="4">
        <f>IF(A697="","",COUNTIF(F697:AI697,"+")+COUNTIF(F697:AI697,"1"))</f>
        <v/>
      </c>
      <c r="D697" s="4">
        <f>IF(A697="","",IF(C697&gt;2*COUNTA(F$685:AI$685)/3,1,IF(C697&gt;=COUNTA(F$685:AI$685)/2,0.8,0.5)))</f>
        <v/>
      </c>
      <c r="E697" s="4">
        <f>IF(A697="","",SUMIFS('Логи'!$H$4:$H$3006,'Логи'!$A$4:$A$3006,A697,'Логи'!$C$4:$C$3006,11))</f>
        <v/>
      </c>
      <c r="F697" s="15" t="n"/>
      <c r="G697" s="15" t="n"/>
      <c r="H697" s="15" t="n"/>
      <c r="I697" s="15" t="n"/>
      <c r="J697" s="15" t="n"/>
      <c r="K697" s="15" t="n"/>
      <c r="L697" s="15" t="n"/>
      <c r="M697" s="15" t="n"/>
      <c r="N697" s="15" t="n"/>
      <c r="O697" s="15" t="n"/>
      <c r="P697" s="15" t="n"/>
      <c r="Q697" s="15" t="n"/>
      <c r="R697" s="15" t="n"/>
      <c r="S697" s="15" t="n"/>
      <c r="T697" s="15" t="n"/>
      <c r="U697" s="15" t="n"/>
      <c r="V697" s="15" t="n"/>
      <c r="W697" s="15" t="n"/>
      <c r="X697" s="15" t="n"/>
      <c r="Y697" s="15" t="n"/>
      <c r="Z697" s="15" t="n"/>
      <c r="AA697" s="15" t="n"/>
      <c r="AB697" s="15" t="n"/>
      <c r="AC697" s="15" t="n"/>
      <c r="AD697" s="15" t="n"/>
      <c r="AE697" s="15" t="n"/>
      <c r="AF697" s="15" t="n"/>
      <c r="AG697" s="15" t="n"/>
      <c r="AH697" s="15" t="n"/>
      <c r="AI697" s="15" t="n"/>
    </row>
    <row r="698">
      <c r="A698" s="4" t="inlineStr">
        <is>
          <t>Студент3.13</t>
        </is>
      </c>
      <c r="B698" s="4" t="inlineStr"/>
      <c r="C698" s="4">
        <f>IF(A698="","",COUNTIF(F698:AI698,"+")+COUNTIF(F698:AI698,"1"))</f>
        <v/>
      </c>
      <c r="D698" s="4">
        <f>IF(A698="","",IF(C698&gt;2*COUNTA(F$685:AI$685)/3,1,IF(C698&gt;=COUNTA(F$685:AI$685)/2,0.8,0.5)))</f>
        <v/>
      </c>
      <c r="E698" s="4">
        <f>IF(A698="","",SUMIFS('Логи'!$H$4:$H$3006,'Логи'!$A$4:$A$3006,A698,'Логи'!$C$4:$C$3006,11))</f>
        <v/>
      </c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5" t="n"/>
      <c r="P698" s="15" t="n"/>
      <c r="Q698" s="15" t="n"/>
      <c r="R698" s="15" t="n"/>
      <c r="S698" s="15" t="n"/>
      <c r="T698" s="15" t="n"/>
      <c r="U698" s="15" t="n"/>
      <c r="V698" s="15" t="n"/>
      <c r="W698" s="15" t="n"/>
      <c r="X698" s="15" t="n"/>
      <c r="Y698" s="15" t="n"/>
      <c r="Z698" s="15" t="n"/>
      <c r="AA698" s="15" t="n"/>
      <c r="AB698" s="15" t="n"/>
      <c r="AC698" s="15" t="n"/>
      <c r="AD698" s="15" t="n"/>
      <c r="AE698" s="15" t="n"/>
      <c r="AF698" s="15" t="n"/>
      <c r="AG698" s="15" t="n"/>
      <c r="AH698" s="15" t="n"/>
      <c r="AI698" s="15" t="n"/>
    </row>
    <row r="699">
      <c r="A699" s="4" t="inlineStr">
        <is>
          <t>Студент3.14</t>
        </is>
      </c>
      <c r="B699" s="4" t="inlineStr"/>
      <c r="C699" s="4">
        <f>IF(A699="","",COUNTIF(F699:AI699,"+")+COUNTIF(F699:AI699,"1"))</f>
        <v/>
      </c>
      <c r="D699" s="4">
        <f>IF(A699="","",IF(C699&gt;2*COUNTA(F$685:AI$685)/3,1,IF(C699&gt;=COUNTA(F$685:AI$685)/2,0.8,0.5)))</f>
        <v/>
      </c>
      <c r="E699" s="4">
        <f>IF(A699="","",SUMIFS('Логи'!$H$4:$H$3006,'Логи'!$A$4:$A$3006,A699,'Логи'!$C$4:$C$3006,11))</f>
        <v/>
      </c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  <c r="O699" s="15" t="n"/>
      <c r="P699" s="15" t="n"/>
      <c r="Q699" s="15" t="n"/>
      <c r="R699" s="15" t="n"/>
      <c r="S699" s="15" t="n"/>
      <c r="T699" s="15" t="n"/>
      <c r="U699" s="15" t="n"/>
      <c r="V699" s="15" t="n"/>
      <c r="W699" s="15" t="n"/>
      <c r="X699" s="15" t="n"/>
      <c r="Y699" s="15" t="n"/>
      <c r="Z699" s="15" t="n"/>
      <c r="AA699" s="15" t="n"/>
      <c r="AB699" s="15" t="n"/>
      <c r="AC699" s="15" t="n"/>
      <c r="AD699" s="15" t="n"/>
      <c r="AE699" s="15" t="n"/>
      <c r="AF699" s="15" t="n"/>
      <c r="AG699" s="15" t="n"/>
      <c r="AH699" s="15" t="n"/>
      <c r="AI699" s="15" t="n"/>
    </row>
    <row r="700">
      <c r="A700" s="4" t="inlineStr">
        <is>
          <t>Студент3.15</t>
        </is>
      </c>
      <c r="B700" s="4" t="inlineStr"/>
      <c r="C700" s="4">
        <f>IF(A700="","",COUNTIF(F700:AI700,"+")+COUNTIF(F700:AI700,"1"))</f>
        <v/>
      </c>
      <c r="D700" s="4">
        <f>IF(A700="","",IF(C700&gt;2*COUNTA(F$685:AI$685)/3,1,IF(C700&gt;=COUNTA(F$685:AI$685)/2,0.8,0.5)))</f>
        <v/>
      </c>
      <c r="E700" s="4">
        <f>IF(A700="","",SUMIFS('Логи'!$H$4:$H$3006,'Логи'!$A$4:$A$3006,A700,'Логи'!$C$4:$C$3006,11))</f>
        <v/>
      </c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  <c r="O700" s="15" t="n"/>
      <c r="P700" s="15" t="n"/>
      <c r="Q700" s="15" t="n"/>
      <c r="R700" s="15" t="n"/>
      <c r="S700" s="15" t="n"/>
      <c r="T700" s="15" t="n"/>
      <c r="U700" s="15" t="n"/>
      <c r="V700" s="15" t="n"/>
      <c r="W700" s="15" t="n"/>
      <c r="X700" s="15" t="n"/>
      <c r="Y700" s="15" t="n"/>
      <c r="Z700" s="15" t="n"/>
      <c r="AA700" s="15" t="n"/>
      <c r="AB700" s="15" t="n"/>
      <c r="AC700" s="15" t="n"/>
      <c r="AD700" s="15" t="n"/>
      <c r="AE700" s="15" t="n"/>
      <c r="AF700" s="15" t="n"/>
      <c r="AG700" s="15" t="n"/>
      <c r="AH700" s="15" t="n"/>
      <c r="AI700" s="15" t="n"/>
    </row>
    <row r="701">
      <c r="A701" s="4" t="inlineStr">
        <is>
          <t>Студент3.16</t>
        </is>
      </c>
      <c r="B701" s="4" t="inlineStr"/>
      <c r="C701" s="4">
        <f>IF(A701="","",COUNTIF(F701:AI701,"+")+COUNTIF(F701:AI701,"1"))</f>
        <v/>
      </c>
      <c r="D701" s="4">
        <f>IF(A701="","",IF(C701&gt;2*COUNTA(F$685:AI$685)/3,1,IF(C701&gt;=COUNTA(F$685:AI$685)/2,0.8,0.5)))</f>
        <v/>
      </c>
      <c r="E701" s="4">
        <f>IF(A701="","",SUMIFS('Логи'!$H$4:$H$3006,'Логи'!$A$4:$A$3006,A701,'Логи'!$C$4:$C$3006,11))</f>
        <v/>
      </c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  <c r="O701" s="15" t="n"/>
      <c r="P701" s="15" t="n"/>
      <c r="Q701" s="15" t="n"/>
      <c r="R701" s="15" t="n"/>
      <c r="S701" s="15" t="n"/>
      <c r="T701" s="15" t="n"/>
      <c r="U701" s="15" t="n"/>
      <c r="V701" s="15" t="n"/>
      <c r="W701" s="15" t="n"/>
      <c r="X701" s="15" t="n"/>
      <c r="Y701" s="15" t="n"/>
      <c r="Z701" s="15" t="n"/>
      <c r="AA701" s="15" t="n"/>
      <c r="AB701" s="15" t="n"/>
      <c r="AC701" s="15" t="n"/>
      <c r="AD701" s="15" t="n"/>
      <c r="AE701" s="15" t="n"/>
      <c r="AF701" s="15" t="n"/>
      <c r="AG701" s="15" t="n"/>
      <c r="AH701" s="15" t="n"/>
      <c r="AI701" s="15" t="n"/>
    </row>
    <row r="702">
      <c r="A702" s="4" t="inlineStr">
        <is>
          <t>Студент3.17</t>
        </is>
      </c>
      <c r="B702" s="4" t="inlineStr"/>
      <c r="C702" s="4">
        <f>IF(A702="","",COUNTIF(F702:AI702,"+")+COUNTIF(F702:AI702,"1"))</f>
        <v/>
      </c>
      <c r="D702" s="4">
        <f>IF(A702="","",IF(C702&gt;2*COUNTA(F$685:AI$685)/3,1,IF(C702&gt;=COUNTA(F$685:AI$685)/2,0.8,0.5)))</f>
        <v/>
      </c>
      <c r="E702" s="4">
        <f>IF(A702="","",SUMIFS('Логи'!$H$4:$H$3006,'Логи'!$A$4:$A$3006,A702,'Логи'!$C$4:$C$3006,11))</f>
        <v/>
      </c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  <c r="O702" s="15" t="n"/>
      <c r="P702" s="15" t="n"/>
      <c r="Q702" s="15" t="n"/>
      <c r="R702" s="15" t="n"/>
      <c r="S702" s="15" t="n"/>
      <c r="T702" s="15" t="n"/>
      <c r="U702" s="15" t="n"/>
      <c r="V702" s="15" t="n"/>
      <c r="W702" s="15" t="n"/>
      <c r="X702" s="15" t="n"/>
      <c r="Y702" s="15" t="n"/>
      <c r="Z702" s="15" t="n"/>
      <c r="AA702" s="15" t="n"/>
      <c r="AB702" s="15" t="n"/>
      <c r="AC702" s="15" t="n"/>
      <c r="AD702" s="15" t="n"/>
      <c r="AE702" s="15" t="n"/>
      <c r="AF702" s="15" t="n"/>
      <c r="AG702" s="15" t="n"/>
      <c r="AH702" s="15" t="n"/>
      <c r="AI702" s="15" t="n"/>
    </row>
    <row r="703">
      <c r="A703" s="4" t="inlineStr">
        <is>
          <t>Студент3.18</t>
        </is>
      </c>
      <c r="B703" s="4" t="inlineStr"/>
      <c r="C703" s="4">
        <f>IF(A703="","",COUNTIF(F703:AI703,"+")+COUNTIF(F703:AI703,"1"))</f>
        <v/>
      </c>
      <c r="D703" s="4">
        <f>IF(A703="","",IF(C703&gt;2*COUNTA(F$685:AI$685)/3,1,IF(C703&gt;=COUNTA(F$685:AI$685)/2,0.8,0.5)))</f>
        <v/>
      </c>
      <c r="E703" s="4">
        <f>IF(A703="","",SUMIFS('Логи'!$H$4:$H$3006,'Логи'!$A$4:$A$3006,A703,'Логи'!$C$4:$C$3006,11))</f>
        <v/>
      </c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  <c r="O703" s="15" t="n"/>
      <c r="P703" s="15" t="n"/>
      <c r="Q703" s="15" t="n"/>
      <c r="R703" s="15" t="n"/>
      <c r="S703" s="15" t="n"/>
      <c r="T703" s="15" t="n"/>
      <c r="U703" s="15" t="n"/>
      <c r="V703" s="15" t="n"/>
      <c r="W703" s="15" t="n"/>
      <c r="X703" s="15" t="n"/>
      <c r="Y703" s="15" t="n"/>
      <c r="Z703" s="15" t="n"/>
      <c r="AA703" s="15" t="n"/>
      <c r="AB703" s="15" t="n"/>
      <c r="AC703" s="15" t="n"/>
      <c r="AD703" s="15" t="n"/>
      <c r="AE703" s="15" t="n"/>
      <c r="AF703" s="15" t="n"/>
      <c r="AG703" s="15" t="n"/>
      <c r="AH703" s="15" t="n"/>
      <c r="AI703" s="15" t="n"/>
    </row>
    <row r="704">
      <c r="A704" s="4" t="inlineStr">
        <is>
          <t>Студент3.19</t>
        </is>
      </c>
      <c r="B704" s="4" t="inlineStr"/>
      <c r="C704" s="4">
        <f>IF(A704="","",COUNTIF(F704:AI704,"+")+COUNTIF(F704:AI704,"1"))</f>
        <v/>
      </c>
      <c r="D704" s="4">
        <f>IF(A704="","",IF(C704&gt;2*COUNTA(F$685:AI$685)/3,1,IF(C704&gt;=COUNTA(F$685:AI$685)/2,0.8,0.5)))</f>
        <v/>
      </c>
      <c r="E704" s="4">
        <f>IF(A704="","",SUMIFS('Логи'!$H$4:$H$3006,'Логи'!$A$4:$A$3006,A704,'Логи'!$C$4:$C$3006,11))</f>
        <v/>
      </c>
      <c r="F704" s="15" t="n"/>
      <c r="G704" s="15" t="n"/>
      <c r="H704" s="15" t="n"/>
      <c r="I704" s="15" t="n"/>
      <c r="J704" s="15" t="n"/>
      <c r="K704" s="15" t="n"/>
      <c r="L704" s="15" t="n"/>
      <c r="M704" s="15" t="n"/>
      <c r="N704" s="15" t="n"/>
      <c r="O704" s="15" t="n"/>
      <c r="P704" s="15" t="n"/>
      <c r="Q704" s="15" t="n"/>
      <c r="R704" s="15" t="n"/>
      <c r="S704" s="15" t="n"/>
      <c r="T704" s="15" t="n"/>
      <c r="U704" s="15" t="n"/>
      <c r="V704" s="15" t="n"/>
      <c r="W704" s="15" t="n"/>
      <c r="X704" s="15" t="n"/>
      <c r="Y704" s="15" t="n"/>
      <c r="Z704" s="15" t="n"/>
      <c r="AA704" s="15" t="n"/>
      <c r="AB704" s="15" t="n"/>
      <c r="AC704" s="15" t="n"/>
      <c r="AD704" s="15" t="n"/>
      <c r="AE704" s="15" t="n"/>
      <c r="AF704" s="15" t="n"/>
      <c r="AG704" s="15" t="n"/>
      <c r="AH704" s="15" t="n"/>
      <c r="AI704" s="15" t="n"/>
    </row>
    <row r="705">
      <c r="A705" s="4" t="inlineStr">
        <is>
          <t>Студент3.20</t>
        </is>
      </c>
      <c r="B705" s="4" t="inlineStr"/>
      <c r="C705" s="4">
        <f>IF(A705="","",COUNTIF(F705:AI705,"+")+COUNTIF(F705:AI705,"1"))</f>
        <v/>
      </c>
      <c r="D705" s="4">
        <f>IF(A705="","",IF(C705&gt;2*COUNTA(F$685:AI$685)/3,1,IF(C705&gt;=COUNTA(F$685:AI$685)/2,0.8,0.5)))</f>
        <v/>
      </c>
      <c r="E705" s="4">
        <f>IF(A705="","",SUMIFS('Логи'!$H$4:$H$3006,'Логи'!$A$4:$A$3006,A705,'Логи'!$C$4:$C$3006,11))</f>
        <v/>
      </c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5" t="n"/>
      <c r="P705" s="15" t="n"/>
      <c r="Q705" s="15" t="n"/>
      <c r="R705" s="15" t="n"/>
      <c r="S705" s="15" t="n"/>
      <c r="T705" s="15" t="n"/>
      <c r="U705" s="15" t="n"/>
      <c r="V705" s="15" t="n"/>
      <c r="W705" s="15" t="n"/>
      <c r="X705" s="15" t="n"/>
      <c r="Y705" s="15" t="n"/>
      <c r="Z705" s="15" t="n"/>
      <c r="AA705" s="15" t="n"/>
      <c r="AB705" s="15" t="n"/>
      <c r="AC705" s="15" t="n"/>
      <c r="AD705" s="15" t="n"/>
      <c r="AE705" s="15" t="n"/>
      <c r="AF705" s="15" t="n"/>
      <c r="AG705" s="15" t="n"/>
      <c r="AH705" s="15" t="n"/>
      <c r="AI705" s="15" t="n"/>
    </row>
    <row r="706">
      <c r="A706" s="4" t="inlineStr">
        <is>
          <t>Студент3.21</t>
        </is>
      </c>
      <c r="B706" s="4" t="inlineStr"/>
      <c r="C706" s="4">
        <f>IF(A706="","",COUNTIF(F706:AI706,"+")+COUNTIF(F706:AI706,"1"))</f>
        <v/>
      </c>
      <c r="D706" s="4">
        <f>IF(A706="","",IF(C706&gt;2*COUNTA(F$685:AI$685)/3,1,IF(C706&gt;=COUNTA(F$685:AI$685)/2,0.8,0.5)))</f>
        <v/>
      </c>
      <c r="E706" s="4">
        <f>IF(A706="","",SUMIFS('Логи'!$H$4:$H$3006,'Логи'!$A$4:$A$3006,A706,'Логи'!$C$4:$C$3006,11))</f>
        <v/>
      </c>
      <c r="F706" s="15" t="n"/>
      <c r="G706" s="15" t="n"/>
      <c r="H706" s="15" t="n"/>
      <c r="I706" s="15" t="n"/>
      <c r="J706" s="15" t="n"/>
      <c r="K706" s="15" t="n"/>
      <c r="L706" s="15" t="n"/>
      <c r="M706" s="15" t="n"/>
      <c r="N706" s="15" t="n"/>
      <c r="O706" s="15" t="n"/>
      <c r="P706" s="15" t="n"/>
      <c r="Q706" s="15" t="n"/>
      <c r="R706" s="15" t="n"/>
      <c r="S706" s="15" t="n"/>
      <c r="T706" s="15" t="n"/>
      <c r="U706" s="15" t="n"/>
      <c r="V706" s="15" t="n"/>
      <c r="W706" s="15" t="n"/>
      <c r="X706" s="15" t="n"/>
      <c r="Y706" s="15" t="n"/>
      <c r="Z706" s="15" t="n"/>
      <c r="AA706" s="15" t="n"/>
      <c r="AB706" s="15" t="n"/>
      <c r="AC706" s="15" t="n"/>
      <c r="AD706" s="15" t="n"/>
      <c r="AE706" s="15" t="n"/>
      <c r="AF706" s="15" t="n"/>
      <c r="AG706" s="15" t="n"/>
      <c r="AH706" s="15" t="n"/>
      <c r="AI706" s="15" t="n"/>
    </row>
    <row r="707">
      <c r="A707" s="4" t="inlineStr">
        <is>
          <t>Студент3.22</t>
        </is>
      </c>
      <c r="B707" s="4" t="inlineStr"/>
      <c r="C707" s="4">
        <f>IF(A707="","",COUNTIF(F707:AI707,"+")+COUNTIF(F707:AI707,"1"))</f>
        <v/>
      </c>
      <c r="D707" s="4">
        <f>IF(A707="","",IF(C707&gt;2*COUNTA(F$685:AI$685)/3,1,IF(C707&gt;=COUNTA(F$685:AI$685)/2,0.8,0.5)))</f>
        <v/>
      </c>
      <c r="E707" s="4">
        <f>IF(A707="","",SUMIFS('Логи'!$H$4:$H$3006,'Логи'!$A$4:$A$3006,A707,'Логи'!$C$4:$C$3006,11))</f>
        <v/>
      </c>
      <c r="F707" s="15" t="n"/>
      <c r="G707" s="15" t="n"/>
      <c r="H707" s="15" t="n"/>
      <c r="I707" s="15" t="n"/>
      <c r="J707" s="15" t="n"/>
      <c r="K707" s="15" t="n"/>
      <c r="L707" s="15" t="n"/>
      <c r="M707" s="15" t="n"/>
      <c r="N707" s="15" t="n"/>
      <c r="O707" s="15" t="n"/>
      <c r="P707" s="15" t="n"/>
      <c r="Q707" s="15" t="n"/>
      <c r="R707" s="15" t="n"/>
      <c r="S707" s="15" t="n"/>
      <c r="T707" s="15" t="n"/>
      <c r="U707" s="15" t="n"/>
      <c r="V707" s="15" t="n"/>
      <c r="W707" s="15" t="n"/>
      <c r="X707" s="15" t="n"/>
      <c r="Y707" s="15" t="n"/>
      <c r="Z707" s="15" t="n"/>
      <c r="AA707" s="15" t="n"/>
      <c r="AB707" s="15" t="n"/>
      <c r="AC707" s="15" t="n"/>
      <c r="AD707" s="15" t="n"/>
      <c r="AE707" s="15" t="n"/>
      <c r="AF707" s="15" t="n"/>
      <c r="AG707" s="15" t="n"/>
      <c r="AH707" s="15" t="n"/>
      <c r="AI707" s="15" t="n"/>
    </row>
    <row r="708">
      <c r="A708" s="4" t="inlineStr">
        <is>
          <t>Студент3.23</t>
        </is>
      </c>
      <c r="B708" s="4" t="inlineStr"/>
      <c r="C708" s="4">
        <f>IF(A708="","",COUNTIF(F708:AI708,"+")+COUNTIF(F708:AI708,"1"))</f>
        <v/>
      </c>
      <c r="D708" s="4">
        <f>IF(A708="","",IF(C708&gt;2*COUNTA(F$685:AI$685)/3,1,IF(C708&gt;=COUNTA(F$685:AI$685)/2,0.8,0.5)))</f>
        <v/>
      </c>
      <c r="E708" s="4">
        <f>IF(A708="","",SUMIFS('Логи'!$H$4:$H$3006,'Логи'!$A$4:$A$3006,A708,'Логи'!$C$4:$C$3006,11))</f>
        <v/>
      </c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  <c r="O708" s="15" t="n"/>
      <c r="P708" s="15" t="n"/>
      <c r="Q708" s="15" t="n"/>
      <c r="R708" s="15" t="n"/>
      <c r="S708" s="15" t="n"/>
      <c r="T708" s="15" t="n"/>
      <c r="U708" s="15" t="n"/>
      <c r="V708" s="15" t="n"/>
      <c r="W708" s="15" t="n"/>
      <c r="X708" s="15" t="n"/>
      <c r="Y708" s="15" t="n"/>
      <c r="Z708" s="15" t="n"/>
      <c r="AA708" s="15" t="n"/>
      <c r="AB708" s="15" t="n"/>
      <c r="AC708" s="15" t="n"/>
      <c r="AD708" s="15" t="n"/>
      <c r="AE708" s="15" t="n"/>
      <c r="AF708" s="15" t="n"/>
      <c r="AG708" s="15" t="n"/>
      <c r="AH708" s="15" t="n"/>
      <c r="AI708" s="15" t="n"/>
    </row>
    <row r="709">
      <c r="A709" s="4" t="inlineStr">
        <is>
          <t>Студент3.24</t>
        </is>
      </c>
      <c r="B709" s="4" t="inlineStr"/>
      <c r="C709" s="4">
        <f>IF(A709="","",COUNTIF(F709:AI709,"+")+COUNTIF(F709:AI709,"1"))</f>
        <v/>
      </c>
      <c r="D709" s="4">
        <f>IF(A709="","",IF(C709&gt;2*COUNTA(F$685:AI$685)/3,1,IF(C709&gt;=COUNTA(F$685:AI$685)/2,0.8,0.5)))</f>
        <v/>
      </c>
      <c r="E709" s="4">
        <f>IF(A709="","",SUMIFS('Логи'!$H$4:$H$3006,'Логи'!$A$4:$A$3006,A709,'Логи'!$C$4:$C$3006,11))</f>
        <v/>
      </c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5" t="n"/>
      <c r="P709" s="15" t="n"/>
      <c r="Q709" s="15" t="n"/>
      <c r="R709" s="15" t="n"/>
      <c r="S709" s="15" t="n"/>
      <c r="T709" s="15" t="n"/>
      <c r="U709" s="15" t="n"/>
      <c r="V709" s="15" t="n"/>
      <c r="W709" s="15" t="n"/>
      <c r="X709" s="15" t="n"/>
      <c r="Y709" s="15" t="n"/>
      <c r="Z709" s="15" t="n"/>
      <c r="AA709" s="15" t="n"/>
      <c r="AB709" s="15" t="n"/>
      <c r="AC709" s="15" t="n"/>
      <c r="AD709" s="15" t="n"/>
      <c r="AE709" s="15" t="n"/>
      <c r="AF709" s="15" t="n"/>
      <c r="AG709" s="15" t="n"/>
      <c r="AH709" s="15" t="n"/>
      <c r="AI709" s="15" t="n"/>
    </row>
    <row r="710">
      <c r="A710" s="4" t="inlineStr">
        <is>
          <t>Студент3.25</t>
        </is>
      </c>
      <c r="B710" s="4" t="inlineStr"/>
      <c r="C710" s="4">
        <f>IF(A710="","",COUNTIF(F710:AI710,"+")+COUNTIF(F710:AI710,"1"))</f>
        <v/>
      </c>
      <c r="D710" s="4">
        <f>IF(A710="","",IF(C710&gt;2*COUNTA(F$685:AI$685)/3,1,IF(C710&gt;=COUNTA(F$685:AI$685)/2,0.8,0.5)))</f>
        <v/>
      </c>
      <c r="E710" s="4">
        <f>IF(A710="","",SUMIFS('Логи'!$H$4:$H$3006,'Логи'!$A$4:$A$3006,A710,'Логи'!$C$4:$C$3006,11))</f>
        <v/>
      </c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  <c r="O710" s="15" t="n"/>
      <c r="P710" s="15" t="n"/>
      <c r="Q710" s="15" t="n"/>
      <c r="R710" s="15" t="n"/>
      <c r="S710" s="15" t="n"/>
      <c r="T710" s="15" t="n"/>
      <c r="U710" s="15" t="n"/>
      <c r="V710" s="15" t="n"/>
      <c r="W710" s="15" t="n"/>
      <c r="X710" s="15" t="n"/>
      <c r="Y710" s="15" t="n"/>
      <c r="Z710" s="15" t="n"/>
      <c r="AA710" s="15" t="n"/>
      <c r="AB710" s="15" t="n"/>
      <c r="AC710" s="15" t="n"/>
      <c r="AD710" s="15" t="n"/>
      <c r="AE710" s="15" t="n"/>
      <c r="AF710" s="15" t="n"/>
      <c r="AG710" s="15" t="n"/>
      <c r="AH710" s="15" t="n"/>
      <c r="AI710" s="15" t="n"/>
    </row>
    <row r="711">
      <c r="A711" s="4" t="inlineStr">
        <is>
          <t>Студент3.26</t>
        </is>
      </c>
      <c r="B711" s="4" t="inlineStr"/>
      <c r="C711" s="4">
        <f>IF(A711="","",COUNTIF(F711:AI711,"+")+COUNTIF(F711:AI711,"1"))</f>
        <v/>
      </c>
      <c r="D711" s="4">
        <f>IF(A711="","",IF(C711&gt;2*COUNTA(F$685:AI$685)/3,1,IF(C711&gt;=COUNTA(F$685:AI$685)/2,0.8,0.5)))</f>
        <v/>
      </c>
      <c r="E711" s="4">
        <f>IF(A711="","",SUMIFS('Логи'!$H$4:$H$3006,'Логи'!$A$4:$A$3006,A711,'Логи'!$C$4:$C$3006,11))</f>
        <v/>
      </c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  <c r="O711" s="15" t="n"/>
      <c r="P711" s="15" t="n"/>
      <c r="Q711" s="15" t="n"/>
      <c r="R711" s="15" t="n"/>
      <c r="S711" s="15" t="n"/>
      <c r="T711" s="15" t="n"/>
      <c r="U711" s="15" t="n"/>
      <c r="V711" s="15" t="n"/>
      <c r="W711" s="15" t="n"/>
      <c r="X711" s="15" t="n"/>
      <c r="Y711" s="15" t="n"/>
      <c r="Z711" s="15" t="n"/>
      <c r="AA711" s="15" t="n"/>
      <c r="AB711" s="15" t="n"/>
      <c r="AC711" s="15" t="n"/>
      <c r="AD711" s="15" t="n"/>
      <c r="AE711" s="15" t="n"/>
      <c r="AF711" s="15" t="n"/>
      <c r="AG711" s="15" t="n"/>
      <c r="AH711" s="15" t="n"/>
      <c r="AI711" s="15" t="n"/>
    </row>
    <row r="712">
      <c r="A712" s="4" t="inlineStr">
        <is>
          <t>Студент3.27</t>
        </is>
      </c>
      <c r="B712" s="4" t="inlineStr"/>
      <c r="C712" s="4">
        <f>IF(A712="","",COUNTIF(F712:AI712,"+")+COUNTIF(F712:AI712,"1"))</f>
        <v/>
      </c>
      <c r="D712" s="4">
        <f>IF(A712="","",IF(C712&gt;2*COUNTA(F$685:AI$685)/3,1,IF(C712&gt;=COUNTA(F$685:AI$685)/2,0.8,0.5)))</f>
        <v/>
      </c>
      <c r="E712" s="4">
        <f>IF(A712="","",SUMIFS('Логи'!$H$4:$H$3006,'Логи'!$A$4:$A$3006,A712,'Логи'!$C$4:$C$3006,11))</f>
        <v/>
      </c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  <c r="O712" s="15" t="n"/>
      <c r="P712" s="15" t="n"/>
      <c r="Q712" s="15" t="n"/>
      <c r="R712" s="15" t="n"/>
      <c r="S712" s="15" t="n"/>
      <c r="T712" s="15" t="n"/>
      <c r="U712" s="15" t="n"/>
      <c r="V712" s="15" t="n"/>
      <c r="W712" s="15" t="n"/>
      <c r="X712" s="15" t="n"/>
      <c r="Y712" s="15" t="n"/>
      <c r="Z712" s="15" t="n"/>
      <c r="AA712" s="15" t="n"/>
      <c r="AB712" s="15" t="n"/>
      <c r="AC712" s="15" t="n"/>
      <c r="AD712" s="15" t="n"/>
      <c r="AE712" s="15" t="n"/>
      <c r="AF712" s="15" t="n"/>
      <c r="AG712" s="15" t="n"/>
      <c r="AH712" s="15" t="n"/>
      <c r="AI712" s="15" t="n"/>
    </row>
    <row r="713">
      <c r="A713" s="4" t="inlineStr">
        <is>
          <t>Студент3.28</t>
        </is>
      </c>
      <c r="B713" s="4" t="inlineStr"/>
      <c r="C713" s="4">
        <f>IF(A713="","",COUNTIF(F713:AI713,"+")+COUNTIF(F713:AI713,"1"))</f>
        <v/>
      </c>
      <c r="D713" s="4">
        <f>IF(A713="","",IF(C713&gt;2*COUNTA(F$685:AI$685)/3,1,IF(C713&gt;=COUNTA(F$685:AI$685)/2,0.8,0.5)))</f>
        <v/>
      </c>
      <c r="E713" s="4">
        <f>IF(A713="","",SUMIFS('Логи'!$H$4:$H$3006,'Логи'!$A$4:$A$3006,A713,'Логи'!$C$4:$C$3006,11))</f>
        <v/>
      </c>
      <c r="F713" s="15" t="n"/>
      <c r="G713" s="15" t="n"/>
      <c r="H713" s="15" t="n"/>
      <c r="I713" s="15" t="n"/>
      <c r="J713" s="15" t="n"/>
      <c r="K713" s="15" t="n"/>
      <c r="L713" s="15" t="n"/>
      <c r="M713" s="15" t="n"/>
      <c r="N713" s="15" t="n"/>
      <c r="O713" s="15" t="n"/>
      <c r="P713" s="15" t="n"/>
      <c r="Q713" s="15" t="n"/>
      <c r="R713" s="15" t="n"/>
      <c r="S713" s="15" t="n"/>
      <c r="T713" s="15" t="n"/>
      <c r="U713" s="15" t="n"/>
      <c r="V713" s="15" t="n"/>
      <c r="W713" s="15" t="n"/>
      <c r="X713" s="15" t="n"/>
      <c r="Y713" s="15" t="n"/>
      <c r="Z713" s="15" t="n"/>
      <c r="AA713" s="15" t="n"/>
      <c r="AB713" s="15" t="n"/>
      <c r="AC713" s="15" t="n"/>
      <c r="AD713" s="15" t="n"/>
      <c r="AE713" s="15" t="n"/>
      <c r="AF713" s="15" t="n"/>
      <c r="AG713" s="15" t="n"/>
      <c r="AH713" s="15" t="n"/>
      <c r="AI713" s="15" t="n"/>
    </row>
    <row r="714">
      <c r="A714" s="4" t="inlineStr">
        <is>
          <t>Студент3.29</t>
        </is>
      </c>
      <c r="B714" s="4" t="inlineStr"/>
      <c r="C714" s="4">
        <f>IF(A714="","",COUNTIF(F714:AI714,"+")+COUNTIF(F714:AI714,"1"))</f>
        <v/>
      </c>
      <c r="D714" s="4">
        <f>IF(A714="","",IF(C714&gt;2*COUNTA(F$685:AI$685)/3,1,IF(C714&gt;=COUNTA(F$685:AI$685)/2,0.8,0.5)))</f>
        <v/>
      </c>
      <c r="E714" s="4">
        <f>IF(A714="","",SUMIFS('Логи'!$H$4:$H$3006,'Логи'!$A$4:$A$3006,A714,'Логи'!$C$4:$C$3006,11))</f>
        <v/>
      </c>
      <c r="F714" s="15" t="n"/>
      <c r="G714" s="15" t="n"/>
      <c r="H714" s="15" t="n"/>
      <c r="I714" s="15" t="n"/>
      <c r="J714" s="15" t="n"/>
      <c r="K714" s="15" t="n"/>
      <c r="L714" s="15" t="n"/>
      <c r="M714" s="15" t="n"/>
      <c r="N714" s="15" t="n"/>
      <c r="O714" s="15" t="n"/>
      <c r="P714" s="15" t="n"/>
      <c r="Q714" s="15" t="n"/>
      <c r="R714" s="15" t="n"/>
      <c r="S714" s="15" t="n"/>
      <c r="T714" s="15" t="n"/>
      <c r="U714" s="15" t="n"/>
      <c r="V714" s="15" t="n"/>
      <c r="W714" s="15" t="n"/>
      <c r="X714" s="15" t="n"/>
      <c r="Y714" s="15" t="n"/>
      <c r="Z714" s="15" t="n"/>
      <c r="AA714" s="15" t="n"/>
      <c r="AB714" s="15" t="n"/>
      <c r="AC714" s="15" t="n"/>
      <c r="AD714" s="15" t="n"/>
      <c r="AE714" s="15" t="n"/>
      <c r="AF714" s="15" t="n"/>
      <c r="AG714" s="15" t="n"/>
      <c r="AH714" s="15" t="n"/>
      <c r="AI714" s="15" t="n"/>
    </row>
    <row r="715">
      <c r="A715" s="4" t="inlineStr">
        <is>
          <t>Студент3.30</t>
        </is>
      </c>
      <c r="B715" s="4" t="inlineStr"/>
      <c r="C715" s="4">
        <f>IF(A715="","",COUNTIF(F715:AI715,"+")+COUNTIF(F715:AI715,"1"))</f>
        <v/>
      </c>
      <c r="D715" s="4">
        <f>IF(A715="","",IF(C715&gt;2*COUNTA(F$685:AI$685)/3,1,IF(C715&gt;=COUNTA(F$685:AI$685)/2,0.8,0.5)))</f>
        <v/>
      </c>
      <c r="E715" s="4">
        <f>IF(A715="","",SUMIFS('Логи'!$H$4:$H$3006,'Логи'!$A$4:$A$3006,A715,'Логи'!$C$4:$C$3006,11))</f>
        <v/>
      </c>
      <c r="F715" s="15" t="n"/>
      <c r="G715" s="15" t="n"/>
      <c r="H715" s="15" t="n"/>
      <c r="I715" s="15" t="n"/>
      <c r="J715" s="15" t="n"/>
      <c r="K715" s="15" t="n"/>
      <c r="L715" s="15" t="n"/>
      <c r="M715" s="15" t="n"/>
      <c r="N715" s="15" t="n"/>
      <c r="O715" s="15" t="n"/>
      <c r="P715" s="15" t="n"/>
      <c r="Q715" s="15" t="n"/>
      <c r="R715" s="15" t="n"/>
      <c r="S715" s="15" t="n"/>
      <c r="T715" s="15" t="n"/>
      <c r="U715" s="15" t="n"/>
      <c r="V715" s="15" t="n"/>
      <c r="W715" s="15" t="n"/>
      <c r="X715" s="15" t="n"/>
      <c r="Y715" s="15" t="n"/>
      <c r="Z715" s="15" t="n"/>
      <c r="AA715" s="15" t="n"/>
      <c r="AB715" s="15" t="n"/>
      <c r="AC715" s="15" t="n"/>
      <c r="AD715" s="15" t="n"/>
      <c r="AE715" s="15" t="n"/>
      <c r="AF715" s="15" t="n"/>
      <c r="AG715" s="15" t="n"/>
      <c r="AH715" s="15" t="n"/>
      <c r="AI715" s="15" t="n"/>
    </row>
    <row r="717">
      <c r="A717" s="16" t="inlineStr">
        <is>
          <t>Практика 11 — результаты рассказа</t>
        </is>
      </c>
    </row>
    <row r="718" ht="28" customHeight="1">
      <c r="A718" s="7" t="inlineStr">
        <is>
          <t>Имя</t>
        </is>
      </c>
      <c r="B718" s="9" t="inlineStr">
        <is>
          <t>TG</t>
        </is>
      </c>
      <c r="C718" s="10" t="inlineStr"/>
      <c r="D718" s="2" t="inlineStr"/>
      <c r="E718" s="2" t="inlineStr"/>
      <c r="F718" s="11" t="inlineStr">
        <is>
          <t>1.0</t>
        </is>
      </c>
      <c r="G718" s="11" t="inlineStr">
        <is>
          <t>2.0</t>
        </is>
      </c>
      <c r="H718" s="11" t="inlineStr">
        <is>
          <t>3.0</t>
        </is>
      </c>
      <c r="I718" s="11" t="inlineStr">
        <is>
          <t>4.0</t>
        </is>
      </c>
      <c r="J718" s="11" t="inlineStr">
        <is>
          <t>5.0</t>
        </is>
      </c>
      <c r="K718" s="11" t="inlineStr">
        <is>
          <t>6</t>
        </is>
      </c>
      <c r="L718" s="11" t="inlineStr">
        <is>
          <t>7</t>
        </is>
      </c>
      <c r="M718" s="11" t="inlineStr">
        <is>
          <t>8</t>
        </is>
      </c>
      <c r="N718" s="11" t="inlineStr">
        <is>
          <t>9</t>
        </is>
      </c>
      <c r="O718" s="11" t="inlineStr">
        <is>
          <t>10</t>
        </is>
      </c>
      <c r="P718" s="11" t="inlineStr">
        <is>
          <t>11</t>
        </is>
      </c>
      <c r="Q718" s="11" t="inlineStr">
        <is>
          <t>12</t>
        </is>
      </c>
      <c r="R718" s="11" t="inlineStr">
        <is>
          <t>13</t>
        </is>
      </c>
      <c r="S718" s="11" t="inlineStr">
        <is>
          <t>14</t>
        </is>
      </c>
      <c r="T718" s="11" t="inlineStr">
        <is>
          <t>15</t>
        </is>
      </c>
      <c r="U718" s="11" t="inlineStr">
        <is>
          <t>16</t>
        </is>
      </c>
      <c r="V718" s="11" t="inlineStr">
        <is>
          <t>17</t>
        </is>
      </c>
      <c r="W718" s="11" t="inlineStr">
        <is>
          <t>18</t>
        </is>
      </c>
      <c r="X718" s="11" t="inlineStr">
        <is>
          <t>19</t>
        </is>
      </c>
      <c r="Y718" s="11" t="inlineStr">
        <is>
          <t>20</t>
        </is>
      </c>
      <c r="Z718" s="11" t="inlineStr">
        <is>
          <t>21</t>
        </is>
      </c>
      <c r="AA718" s="11" t="inlineStr">
        <is>
          <t>22</t>
        </is>
      </c>
      <c r="AB718" s="11" t="inlineStr">
        <is>
          <t>23</t>
        </is>
      </c>
      <c r="AC718" s="11" t="inlineStr">
        <is>
          <t>24</t>
        </is>
      </c>
      <c r="AD718" s="11" t="inlineStr">
        <is>
          <t>25</t>
        </is>
      </c>
      <c r="AE718" s="11" t="inlineStr">
        <is>
          <t>26</t>
        </is>
      </c>
      <c r="AF718" s="11" t="inlineStr">
        <is>
          <t>27</t>
        </is>
      </c>
      <c r="AG718" s="11" t="inlineStr">
        <is>
          <t>28</t>
        </is>
      </c>
      <c r="AH718" s="11" t="inlineStr">
        <is>
          <t>29</t>
        </is>
      </c>
      <c r="AI718" s="11" t="inlineStr">
        <is>
          <t>30</t>
        </is>
      </c>
    </row>
    <row r="719">
      <c r="A719" s="4" t="inlineStr">
        <is>
          <t>Студент3.1</t>
        </is>
      </c>
      <c r="B719" s="4" t="inlineStr"/>
      <c r="C719" s="4" t="n"/>
      <c r="D719" s="4" t="n"/>
      <c r="E719" s="4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  <c r="O719" s="15" t="n"/>
      <c r="P719" s="15" t="n"/>
      <c r="Q719" s="15" t="n"/>
      <c r="R719" s="15" t="n"/>
      <c r="S719" s="15" t="n"/>
      <c r="T719" s="15" t="n"/>
      <c r="U719" s="15" t="n"/>
      <c r="V719" s="15" t="n"/>
      <c r="W719" s="15" t="n"/>
      <c r="X719" s="15" t="n"/>
      <c r="Y719" s="15" t="n"/>
      <c r="Z719" s="15" t="n"/>
      <c r="AA719" s="15" t="n"/>
      <c r="AB719" s="15" t="n"/>
      <c r="AC719" s="15" t="n"/>
      <c r="AD719" s="15" t="n"/>
      <c r="AE719" s="15" t="n"/>
      <c r="AF719" s="15" t="n"/>
      <c r="AG719" s="15" t="n"/>
      <c r="AH719" s="15" t="n"/>
      <c r="AI719" s="15" t="n"/>
    </row>
    <row r="720">
      <c r="A720" s="4" t="inlineStr">
        <is>
          <t>Студент3.2</t>
        </is>
      </c>
      <c r="B720" s="4" t="inlineStr"/>
      <c r="C720" s="4" t="n"/>
      <c r="D720" s="4" t="n"/>
      <c r="E720" s="4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  <c r="O720" s="15" t="n"/>
      <c r="P720" s="15" t="n"/>
      <c r="Q720" s="15" t="n"/>
      <c r="R720" s="15" t="n"/>
      <c r="S720" s="15" t="n"/>
      <c r="T720" s="15" t="n"/>
      <c r="U720" s="15" t="n"/>
      <c r="V720" s="15" t="n"/>
      <c r="W720" s="15" t="n"/>
      <c r="X720" s="15" t="n"/>
      <c r="Y720" s="15" t="n"/>
      <c r="Z720" s="15" t="n"/>
      <c r="AA720" s="15" t="n"/>
      <c r="AB720" s="15" t="n"/>
      <c r="AC720" s="15" t="n"/>
      <c r="AD720" s="15" t="n"/>
      <c r="AE720" s="15" t="n"/>
      <c r="AF720" s="15" t="n"/>
      <c r="AG720" s="15" t="n"/>
      <c r="AH720" s="15" t="n"/>
      <c r="AI720" s="15" t="n"/>
    </row>
    <row r="721">
      <c r="A721" s="4" t="inlineStr">
        <is>
          <t>Студент3.3</t>
        </is>
      </c>
      <c r="B721" s="4" t="inlineStr"/>
      <c r="C721" s="4" t="n"/>
      <c r="D721" s="4" t="n"/>
      <c r="E721" s="4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  <c r="O721" s="15" t="n"/>
      <c r="P721" s="15" t="n"/>
      <c r="Q721" s="15" t="n"/>
      <c r="R721" s="15" t="n"/>
      <c r="S721" s="15" t="n"/>
      <c r="T721" s="15" t="n"/>
      <c r="U721" s="15" t="n"/>
      <c r="V721" s="15" t="n"/>
      <c r="W721" s="15" t="n"/>
      <c r="X721" s="15" t="n"/>
      <c r="Y721" s="15" t="n"/>
      <c r="Z721" s="15" t="n"/>
      <c r="AA721" s="15" t="n"/>
      <c r="AB721" s="15" t="n"/>
      <c r="AC721" s="15" t="n"/>
      <c r="AD721" s="15" t="n"/>
      <c r="AE721" s="15" t="n"/>
      <c r="AF721" s="15" t="n"/>
      <c r="AG721" s="15" t="n"/>
      <c r="AH721" s="15" t="n"/>
      <c r="AI721" s="15" t="n"/>
    </row>
    <row r="722">
      <c r="A722" s="4" t="inlineStr">
        <is>
          <t>Студент3.4</t>
        </is>
      </c>
      <c r="B722" s="4" t="inlineStr"/>
      <c r="C722" s="4" t="n"/>
      <c r="D722" s="4" t="n"/>
      <c r="E722" s="4" t="n"/>
      <c r="F722" s="15" t="n"/>
      <c r="G722" s="15" t="n"/>
      <c r="H722" s="15" t="n"/>
      <c r="I722" s="15" t="n"/>
      <c r="J722" s="15" t="n"/>
      <c r="K722" s="15" t="n"/>
      <c r="L722" s="15" t="n"/>
      <c r="M722" s="15" t="n"/>
      <c r="N722" s="15" t="n"/>
      <c r="O722" s="15" t="n"/>
      <c r="P722" s="15" t="n"/>
      <c r="Q722" s="15" t="n"/>
      <c r="R722" s="15" t="n"/>
      <c r="S722" s="15" t="n"/>
      <c r="T722" s="15" t="n"/>
      <c r="U722" s="15" t="n"/>
      <c r="V722" s="15" t="n"/>
      <c r="W722" s="15" t="n"/>
      <c r="X722" s="15" t="n"/>
      <c r="Y722" s="15" t="n"/>
      <c r="Z722" s="15" t="n"/>
      <c r="AA722" s="15" t="n"/>
      <c r="AB722" s="15" t="n"/>
      <c r="AC722" s="15" t="n"/>
      <c r="AD722" s="15" t="n"/>
      <c r="AE722" s="15" t="n"/>
      <c r="AF722" s="15" t="n"/>
      <c r="AG722" s="15" t="n"/>
      <c r="AH722" s="15" t="n"/>
      <c r="AI722" s="15" t="n"/>
    </row>
    <row r="723">
      <c r="A723" s="4" t="inlineStr">
        <is>
          <t>Студент3.5</t>
        </is>
      </c>
      <c r="B723" s="4" t="inlineStr"/>
      <c r="C723" s="4" t="n"/>
      <c r="D723" s="4" t="n"/>
      <c r="E723" s="4" t="n"/>
      <c r="F723" s="15" t="n"/>
      <c r="G723" s="15" t="n"/>
      <c r="H723" s="15" t="n"/>
      <c r="I723" s="15" t="n"/>
      <c r="J723" s="15" t="n"/>
      <c r="K723" s="15" t="n"/>
      <c r="L723" s="15" t="n"/>
      <c r="M723" s="15" t="n"/>
      <c r="N723" s="15" t="n"/>
      <c r="O723" s="15" t="n"/>
      <c r="P723" s="15" t="n"/>
      <c r="Q723" s="15" t="n"/>
      <c r="R723" s="15" t="n"/>
      <c r="S723" s="15" t="n"/>
      <c r="T723" s="15" t="n"/>
      <c r="U723" s="15" t="n"/>
      <c r="V723" s="15" t="n"/>
      <c r="W723" s="15" t="n"/>
      <c r="X723" s="15" t="n"/>
      <c r="Y723" s="15" t="n"/>
      <c r="Z723" s="15" t="n"/>
      <c r="AA723" s="15" t="n"/>
      <c r="AB723" s="15" t="n"/>
      <c r="AC723" s="15" t="n"/>
      <c r="AD723" s="15" t="n"/>
      <c r="AE723" s="15" t="n"/>
      <c r="AF723" s="15" t="n"/>
      <c r="AG723" s="15" t="n"/>
      <c r="AH723" s="15" t="n"/>
      <c r="AI723" s="15" t="n"/>
    </row>
    <row r="724">
      <c r="A724" s="4" t="inlineStr">
        <is>
          <t>Студент3.6</t>
        </is>
      </c>
      <c r="B724" s="4" t="inlineStr"/>
      <c r="C724" s="4" t="n"/>
      <c r="D724" s="4" t="n"/>
      <c r="E724" s="4" t="n"/>
      <c r="F724" s="15" t="n"/>
      <c r="G724" s="15" t="n"/>
      <c r="H724" s="15" t="n"/>
      <c r="I724" s="15" t="n"/>
      <c r="J724" s="15" t="n"/>
      <c r="K724" s="15" t="n"/>
      <c r="L724" s="15" t="n"/>
      <c r="M724" s="15" t="n"/>
      <c r="N724" s="15" t="n"/>
      <c r="O724" s="15" t="n"/>
      <c r="P724" s="15" t="n"/>
      <c r="Q724" s="15" t="n"/>
      <c r="R724" s="15" t="n"/>
      <c r="S724" s="15" t="n"/>
      <c r="T724" s="15" t="n"/>
      <c r="U724" s="15" t="n"/>
      <c r="V724" s="15" t="n"/>
      <c r="W724" s="15" t="n"/>
      <c r="X724" s="15" t="n"/>
      <c r="Y724" s="15" t="n"/>
      <c r="Z724" s="15" t="n"/>
      <c r="AA724" s="15" t="n"/>
      <c r="AB724" s="15" t="n"/>
      <c r="AC724" s="15" t="n"/>
      <c r="AD724" s="15" t="n"/>
      <c r="AE724" s="15" t="n"/>
      <c r="AF724" s="15" t="n"/>
      <c r="AG724" s="15" t="n"/>
      <c r="AH724" s="15" t="n"/>
      <c r="AI724" s="15" t="n"/>
    </row>
    <row r="725">
      <c r="A725" s="4" t="inlineStr">
        <is>
          <t>Студент3.7</t>
        </is>
      </c>
      <c r="B725" s="4" t="inlineStr"/>
      <c r="C725" s="4" t="n"/>
      <c r="D725" s="4" t="n"/>
      <c r="E725" s="4" t="n"/>
      <c r="F725" s="15" t="n"/>
      <c r="G725" s="15" t="n"/>
      <c r="H725" s="15" t="n"/>
      <c r="I725" s="15" t="n"/>
      <c r="J725" s="15" t="n"/>
      <c r="K725" s="15" t="n"/>
      <c r="L725" s="15" t="n"/>
      <c r="M725" s="15" t="n"/>
      <c r="N725" s="15" t="n"/>
      <c r="O725" s="15" t="n"/>
      <c r="P725" s="15" t="n"/>
      <c r="Q725" s="15" t="n"/>
      <c r="R725" s="15" t="n"/>
      <c r="S725" s="15" t="n"/>
      <c r="T725" s="15" t="n"/>
      <c r="U725" s="15" t="n"/>
      <c r="V725" s="15" t="n"/>
      <c r="W725" s="15" t="n"/>
      <c r="X725" s="15" t="n"/>
      <c r="Y725" s="15" t="n"/>
      <c r="Z725" s="15" t="n"/>
      <c r="AA725" s="15" t="n"/>
      <c r="AB725" s="15" t="n"/>
      <c r="AC725" s="15" t="n"/>
      <c r="AD725" s="15" t="n"/>
      <c r="AE725" s="15" t="n"/>
      <c r="AF725" s="15" t="n"/>
      <c r="AG725" s="15" t="n"/>
      <c r="AH725" s="15" t="n"/>
      <c r="AI725" s="15" t="n"/>
    </row>
    <row r="726">
      <c r="A726" s="4" t="inlineStr">
        <is>
          <t>Студент3.8</t>
        </is>
      </c>
      <c r="B726" s="4" t="inlineStr"/>
      <c r="C726" s="4" t="n"/>
      <c r="D726" s="4" t="n"/>
      <c r="E726" s="4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  <c r="O726" s="15" t="n"/>
      <c r="P726" s="15" t="n"/>
      <c r="Q726" s="15" t="n"/>
      <c r="R726" s="15" t="n"/>
      <c r="S726" s="15" t="n"/>
      <c r="T726" s="15" t="n"/>
      <c r="U726" s="15" t="n"/>
      <c r="V726" s="15" t="n"/>
      <c r="W726" s="15" t="n"/>
      <c r="X726" s="15" t="n"/>
      <c r="Y726" s="15" t="n"/>
      <c r="Z726" s="15" t="n"/>
      <c r="AA726" s="15" t="n"/>
      <c r="AB726" s="15" t="n"/>
      <c r="AC726" s="15" t="n"/>
      <c r="AD726" s="15" t="n"/>
      <c r="AE726" s="15" t="n"/>
      <c r="AF726" s="15" t="n"/>
      <c r="AG726" s="15" t="n"/>
      <c r="AH726" s="15" t="n"/>
      <c r="AI726" s="15" t="n"/>
    </row>
    <row r="727">
      <c r="A727" s="4" t="inlineStr">
        <is>
          <t>Студент3.9</t>
        </is>
      </c>
      <c r="B727" s="4" t="inlineStr"/>
      <c r="C727" s="4" t="n"/>
      <c r="D727" s="4" t="n"/>
      <c r="E727" s="4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  <c r="O727" s="15" t="n"/>
      <c r="P727" s="15" t="n"/>
      <c r="Q727" s="15" t="n"/>
      <c r="R727" s="15" t="n"/>
      <c r="S727" s="15" t="n"/>
      <c r="T727" s="15" t="n"/>
      <c r="U727" s="15" t="n"/>
      <c r="V727" s="15" t="n"/>
      <c r="W727" s="15" t="n"/>
      <c r="X727" s="15" t="n"/>
      <c r="Y727" s="15" t="n"/>
      <c r="Z727" s="15" t="n"/>
      <c r="AA727" s="15" t="n"/>
      <c r="AB727" s="15" t="n"/>
      <c r="AC727" s="15" t="n"/>
      <c r="AD727" s="15" t="n"/>
      <c r="AE727" s="15" t="n"/>
      <c r="AF727" s="15" t="n"/>
      <c r="AG727" s="15" t="n"/>
      <c r="AH727" s="15" t="n"/>
      <c r="AI727" s="15" t="n"/>
    </row>
    <row r="728">
      <c r="A728" s="4" t="inlineStr">
        <is>
          <t>Студент3.10</t>
        </is>
      </c>
      <c r="B728" s="4" t="inlineStr"/>
      <c r="C728" s="4" t="n"/>
      <c r="D728" s="4" t="n"/>
      <c r="E728" s="4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5" t="n"/>
      <c r="P728" s="15" t="n"/>
      <c r="Q728" s="15" t="n"/>
      <c r="R728" s="15" t="n"/>
      <c r="S728" s="15" t="n"/>
      <c r="T728" s="15" t="n"/>
      <c r="U728" s="15" t="n"/>
      <c r="V728" s="15" t="n"/>
      <c r="W728" s="15" t="n"/>
      <c r="X728" s="15" t="n"/>
      <c r="Y728" s="15" t="n"/>
      <c r="Z728" s="15" t="n"/>
      <c r="AA728" s="15" t="n"/>
      <c r="AB728" s="15" t="n"/>
      <c r="AC728" s="15" t="n"/>
      <c r="AD728" s="15" t="n"/>
      <c r="AE728" s="15" t="n"/>
      <c r="AF728" s="15" t="n"/>
      <c r="AG728" s="15" t="n"/>
      <c r="AH728" s="15" t="n"/>
      <c r="AI728" s="15" t="n"/>
    </row>
    <row r="729">
      <c r="A729" s="4" t="inlineStr">
        <is>
          <t>Студент3.11</t>
        </is>
      </c>
      <c r="B729" s="4" t="inlineStr"/>
      <c r="C729" s="4" t="n"/>
      <c r="D729" s="4" t="n"/>
      <c r="E729" s="4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  <c r="O729" s="15" t="n"/>
      <c r="P729" s="15" t="n"/>
      <c r="Q729" s="15" t="n"/>
      <c r="R729" s="15" t="n"/>
      <c r="S729" s="15" t="n"/>
      <c r="T729" s="15" t="n"/>
      <c r="U729" s="15" t="n"/>
      <c r="V729" s="15" t="n"/>
      <c r="W729" s="15" t="n"/>
      <c r="X729" s="15" t="n"/>
      <c r="Y729" s="15" t="n"/>
      <c r="Z729" s="15" t="n"/>
      <c r="AA729" s="15" t="n"/>
      <c r="AB729" s="15" t="n"/>
      <c r="AC729" s="15" t="n"/>
      <c r="AD729" s="15" t="n"/>
      <c r="AE729" s="15" t="n"/>
      <c r="AF729" s="15" t="n"/>
      <c r="AG729" s="15" t="n"/>
      <c r="AH729" s="15" t="n"/>
      <c r="AI729" s="15" t="n"/>
    </row>
    <row r="730">
      <c r="A730" s="4" t="inlineStr">
        <is>
          <t>Студент3.12</t>
        </is>
      </c>
      <c r="B730" s="4" t="inlineStr"/>
      <c r="C730" s="4" t="n"/>
      <c r="D730" s="4" t="n"/>
      <c r="E730" s="4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  <c r="O730" s="15" t="n"/>
      <c r="P730" s="15" t="n"/>
      <c r="Q730" s="15" t="n"/>
      <c r="R730" s="15" t="n"/>
      <c r="S730" s="15" t="n"/>
      <c r="T730" s="15" t="n"/>
      <c r="U730" s="15" t="n"/>
      <c r="V730" s="15" t="n"/>
      <c r="W730" s="15" t="n"/>
      <c r="X730" s="15" t="n"/>
      <c r="Y730" s="15" t="n"/>
      <c r="Z730" s="15" t="n"/>
      <c r="AA730" s="15" t="n"/>
      <c r="AB730" s="15" t="n"/>
      <c r="AC730" s="15" t="n"/>
      <c r="AD730" s="15" t="n"/>
      <c r="AE730" s="15" t="n"/>
      <c r="AF730" s="15" t="n"/>
      <c r="AG730" s="15" t="n"/>
      <c r="AH730" s="15" t="n"/>
      <c r="AI730" s="15" t="n"/>
    </row>
    <row r="731">
      <c r="A731" s="4" t="inlineStr">
        <is>
          <t>Студент3.13</t>
        </is>
      </c>
      <c r="B731" s="4" t="inlineStr"/>
      <c r="C731" s="4" t="n"/>
      <c r="D731" s="4" t="n"/>
      <c r="E731" s="4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5" t="n"/>
      <c r="P731" s="15" t="n"/>
      <c r="Q731" s="15" t="n"/>
      <c r="R731" s="15" t="n"/>
      <c r="S731" s="15" t="n"/>
      <c r="T731" s="15" t="n"/>
      <c r="U731" s="15" t="n"/>
      <c r="V731" s="15" t="n"/>
      <c r="W731" s="15" t="n"/>
      <c r="X731" s="15" t="n"/>
      <c r="Y731" s="15" t="n"/>
      <c r="Z731" s="15" t="n"/>
      <c r="AA731" s="15" t="n"/>
      <c r="AB731" s="15" t="n"/>
      <c r="AC731" s="15" t="n"/>
      <c r="AD731" s="15" t="n"/>
      <c r="AE731" s="15" t="n"/>
      <c r="AF731" s="15" t="n"/>
      <c r="AG731" s="15" t="n"/>
      <c r="AH731" s="15" t="n"/>
      <c r="AI731" s="15" t="n"/>
    </row>
    <row r="732">
      <c r="A732" s="4" t="inlineStr">
        <is>
          <t>Студент3.14</t>
        </is>
      </c>
      <c r="B732" s="4" t="inlineStr"/>
      <c r="C732" s="4" t="n"/>
      <c r="D732" s="4" t="n"/>
      <c r="E732" s="4" t="n"/>
      <c r="F732" s="15" t="n"/>
      <c r="G732" s="15" t="n"/>
      <c r="H732" s="15" t="n"/>
      <c r="I732" s="15" t="n"/>
      <c r="J732" s="15" t="n"/>
      <c r="K732" s="15" t="n"/>
      <c r="L732" s="15" t="n"/>
      <c r="M732" s="15" t="n"/>
      <c r="N732" s="15" t="n"/>
      <c r="O732" s="15" t="n"/>
      <c r="P732" s="15" t="n"/>
      <c r="Q732" s="15" t="n"/>
      <c r="R732" s="15" t="n"/>
      <c r="S732" s="15" t="n"/>
      <c r="T732" s="15" t="n"/>
      <c r="U732" s="15" t="n"/>
      <c r="V732" s="15" t="n"/>
      <c r="W732" s="15" t="n"/>
      <c r="X732" s="15" t="n"/>
      <c r="Y732" s="15" t="n"/>
      <c r="Z732" s="15" t="n"/>
      <c r="AA732" s="15" t="n"/>
      <c r="AB732" s="15" t="n"/>
      <c r="AC732" s="15" t="n"/>
      <c r="AD732" s="15" t="n"/>
      <c r="AE732" s="15" t="n"/>
      <c r="AF732" s="15" t="n"/>
      <c r="AG732" s="15" t="n"/>
      <c r="AH732" s="15" t="n"/>
      <c r="AI732" s="15" t="n"/>
    </row>
    <row r="733">
      <c r="A733" s="4" t="inlineStr">
        <is>
          <t>Студент3.15</t>
        </is>
      </c>
      <c r="B733" s="4" t="inlineStr"/>
      <c r="C733" s="4" t="n"/>
      <c r="D733" s="4" t="n"/>
      <c r="E733" s="4" t="n"/>
      <c r="F733" s="15" t="n"/>
      <c r="G733" s="15" t="n"/>
      <c r="H733" s="15" t="n"/>
      <c r="I733" s="15" t="n"/>
      <c r="J733" s="15" t="n"/>
      <c r="K733" s="15" t="n"/>
      <c r="L733" s="15" t="n"/>
      <c r="M733" s="15" t="n"/>
      <c r="N733" s="15" t="n"/>
      <c r="O733" s="15" t="n"/>
      <c r="P733" s="15" t="n"/>
      <c r="Q733" s="15" t="n"/>
      <c r="R733" s="15" t="n"/>
      <c r="S733" s="15" t="n"/>
      <c r="T733" s="15" t="n"/>
      <c r="U733" s="15" t="n"/>
      <c r="V733" s="15" t="n"/>
      <c r="W733" s="15" t="n"/>
      <c r="X733" s="15" t="n"/>
      <c r="Y733" s="15" t="n"/>
      <c r="Z733" s="15" t="n"/>
      <c r="AA733" s="15" t="n"/>
      <c r="AB733" s="15" t="n"/>
      <c r="AC733" s="15" t="n"/>
      <c r="AD733" s="15" t="n"/>
      <c r="AE733" s="15" t="n"/>
      <c r="AF733" s="15" t="n"/>
      <c r="AG733" s="15" t="n"/>
      <c r="AH733" s="15" t="n"/>
      <c r="AI733" s="15" t="n"/>
    </row>
    <row r="734">
      <c r="A734" s="4" t="inlineStr">
        <is>
          <t>Студент3.16</t>
        </is>
      </c>
      <c r="B734" s="4" t="inlineStr"/>
      <c r="C734" s="4" t="n"/>
      <c r="D734" s="4" t="n"/>
      <c r="E734" s="4" t="n"/>
      <c r="F734" s="15" t="n"/>
      <c r="G734" s="15" t="n"/>
      <c r="H734" s="15" t="n"/>
      <c r="I734" s="15" t="n"/>
      <c r="J734" s="15" t="n"/>
      <c r="K734" s="15" t="n"/>
      <c r="L734" s="15" t="n"/>
      <c r="M734" s="15" t="n"/>
      <c r="N734" s="15" t="n"/>
      <c r="O734" s="15" t="n"/>
      <c r="P734" s="15" t="n"/>
      <c r="Q734" s="15" t="n"/>
      <c r="R734" s="15" t="n"/>
      <c r="S734" s="15" t="n"/>
      <c r="T734" s="15" t="n"/>
      <c r="U734" s="15" t="n"/>
      <c r="V734" s="15" t="n"/>
      <c r="W734" s="15" t="n"/>
      <c r="X734" s="15" t="n"/>
      <c r="Y734" s="15" t="n"/>
      <c r="Z734" s="15" t="n"/>
      <c r="AA734" s="15" t="n"/>
      <c r="AB734" s="15" t="n"/>
      <c r="AC734" s="15" t="n"/>
      <c r="AD734" s="15" t="n"/>
      <c r="AE734" s="15" t="n"/>
      <c r="AF734" s="15" t="n"/>
      <c r="AG734" s="15" t="n"/>
      <c r="AH734" s="15" t="n"/>
      <c r="AI734" s="15" t="n"/>
    </row>
    <row r="735">
      <c r="A735" s="4" t="inlineStr">
        <is>
          <t>Студент3.17</t>
        </is>
      </c>
      <c r="B735" s="4" t="inlineStr"/>
      <c r="C735" s="4" t="n"/>
      <c r="D735" s="4" t="n"/>
      <c r="E735" s="4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5" t="n"/>
      <c r="P735" s="15" t="n"/>
      <c r="Q735" s="15" t="n"/>
      <c r="R735" s="15" t="n"/>
      <c r="S735" s="15" t="n"/>
      <c r="T735" s="15" t="n"/>
      <c r="U735" s="15" t="n"/>
      <c r="V735" s="15" t="n"/>
      <c r="W735" s="15" t="n"/>
      <c r="X735" s="15" t="n"/>
      <c r="Y735" s="15" t="n"/>
      <c r="Z735" s="15" t="n"/>
      <c r="AA735" s="15" t="n"/>
      <c r="AB735" s="15" t="n"/>
      <c r="AC735" s="15" t="n"/>
      <c r="AD735" s="15" t="n"/>
      <c r="AE735" s="15" t="n"/>
      <c r="AF735" s="15" t="n"/>
      <c r="AG735" s="15" t="n"/>
      <c r="AH735" s="15" t="n"/>
      <c r="AI735" s="15" t="n"/>
    </row>
    <row r="736">
      <c r="A736" s="4" t="inlineStr">
        <is>
          <t>Студент3.18</t>
        </is>
      </c>
      <c r="B736" s="4" t="inlineStr"/>
      <c r="C736" s="4" t="n"/>
      <c r="D736" s="4" t="n"/>
      <c r="E736" s="4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  <c r="O736" s="15" t="n"/>
      <c r="P736" s="15" t="n"/>
      <c r="Q736" s="15" t="n"/>
      <c r="R736" s="15" t="n"/>
      <c r="S736" s="15" t="n"/>
      <c r="T736" s="15" t="n"/>
      <c r="U736" s="15" t="n"/>
      <c r="V736" s="15" t="n"/>
      <c r="W736" s="15" t="n"/>
      <c r="X736" s="15" t="n"/>
      <c r="Y736" s="15" t="n"/>
      <c r="Z736" s="15" t="n"/>
      <c r="AA736" s="15" t="n"/>
      <c r="AB736" s="15" t="n"/>
      <c r="AC736" s="15" t="n"/>
      <c r="AD736" s="15" t="n"/>
      <c r="AE736" s="15" t="n"/>
      <c r="AF736" s="15" t="n"/>
      <c r="AG736" s="15" t="n"/>
      <c r="AH736" s="15" t="n"/>
      <c r="AI736" s="15" t="n"/>
    </row>
    <row r="737">
      <c r="A737" s="4" t="inlineStr">
        <is>
          <t>Студент3.19</t>
        </is>
      </c>
      <c r="B737" s="4" t="inlineStr"/>
      <c r="C737" s="4" t="n"/>
      <c r="D737" s="4" t="n"/>
      <c r="E737" s="4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  <c r="O737" s="15" t="n"/>
      <c r="P737" s="15" t="n"/>
      <c r="Q737" s="15" t="n"/>
      <c r="R737" s="15" t="n"/>
      <c r="S737" s="15" t="n"/>
      <c r="T737" s="15" t="n"/>
      <c r="U737" s="15" t="n"/>
      <c r="V737" s="15" t="n"/>
      <c r="W737" s="15" t="n"/>
      <c r="X737" s="15" t="n"/>
      <c r="Y737" s="15" t="n"/>
      <c r="Z737" s="15" t="n"/>
      <c r="AA737" s="15" t="n"/>
      <c r="AB737" s="15" t="n"/>
      <c r="AC737" s="15" t="n"/>
      <c r="AD737" s="15" t="n"/>
      <c r="AE737" s="15" t="n"/>
      <c r="AF737" s="15" t="n"/>
      <c r="AG737" s="15" t="n"/>
      <c r="AH737" s="15" t="n"/>
      <c r="AI737" s="15" t="n"/>
    </row>
    <row r="738">
      <c r="A738" s="4" t="inlineStr">
        <is>
          <t>Студент3.20</t>
        </is>
      </c>
      <c r="B738" s="4" t="inlineStr"/>
      <c r="C738" s="4" t="n"/>
      <c r="D738" s="4" t="n"/>
      <c r="E738" s="4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5" t="n"/>
      <c r="P738" s="15" t="n"/>
      <c r="Q738" s="15" t="n"/>
      <c r="R738" s="15" t="n"/>
      <c r="S738" s="15" t="n"/>
      <c r="T738" s="15" t="n"/>
      <c r="U738" s="15" t="n"/>
      <c r="V738" s="15" t="n"/>
      <c r="W738" s="15" t="n"/>
      <c r="X738" s="15" t="n"/>
      <c r="Y738" s="15" t="n"/>
      <c r="Z738" s="15" t="n"/>
      <c r="AA738" s="15" t="n"/>
      <c r="AB738" s="15" t="n"/>
      <c r="AC738" s="15" t="n"/>
      <c r="AD738" s="15" t="n"/>
      <c r="AE738" s="15" t="n"/>
      <c r="AF738" s="15" t="n"/>
      <c r="AG738" s="15" t="n"/>
      <c r="AH738" s="15" t="n"/>
      <c r="AI738" s="15" t="n"/>
    </row>
    <row r="739">
      <c r="A739" s="4" t="inlineStr">
        <is>
          <t>Студент3.21</t>
        </is>
      </c>
      <c r="B739" s="4" t="inlineStr"/>
      <c r="C739" s="4" t="n"/>
      <c r="D739" s="4" t="n"/>
      <c r="E739" s="4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  <c r="O739" s="15" t="n"/>
      <c r="P739" s="15" t="n"/>
      <c r="Q739" s="15" t="n"/>
      <c r="R739" s="15" t="n"/>
      <c r="S739" s="15" t="n"/>
      <c r="T739" s="15" t="n"/>
      <c r="U739" s="15" t="n"/>
      <c r="V739" s="15" t="n"/>
      <c r="W739" s="15" t="n"/>
      <c r="X739" s="15" t="n"/>
      <c r="Y739" s="15" t="n"/>
      <c r="Z739" s="15" t="n"/>
      <c r="AA739" s="15" t="n"/>
      <c r="AB739" s="15" t="n"/>
      <c r="AC739" s="15" t="n"/>
      <c r="AD739" s="15" t="n"/>
      <c r="AE739" s="15" t="n"/>
      <c r="AF739" s="15" t="n"/>
      <c r="AG739" s="15" t="n"/>
      <c r="AH739" s="15" t="n"/>
      <c r="AI739" s="15" t="n"/>
    </row>
    <row r="740">
      <c r="A740" s="4" t="inlineStr">
        <is>
          <t>Студент3.22</t>
        </is>
      </c>
      <c r="B740" s="4" t="inlineStr"/>
      <c r="C740" s="4" t="n"/>
      <c r="D740" s="4" t="n"/>
      <c r="E740" s="4" t="n"/>
      <c r="F740" s="15" t="n"/>
      <c r="G740" s="15" t="n"/>
      <c r="H740" s="15" t="n"/>
      <c r="I740" s="15" t="n"/>
      <c r="J740" s="15" t="n"/>
      <c r="K740" s="15" t="n"/>
      <c r="L740" s="15" t="n"/>
      <c r="M740" s="15" t="n"/>
      <c r="N740" s="15" t="n"/>
      <c r="O740" s="15" t="n"/>
      <c r="P740" s="15" t="n"/>
      <c r="Q740" s="15" t="n"/>
      <c r="R740" s="15" t="n"/>
      <c r="S740" s="15" t="n"/>
      <c r="T740" s="15" t="n"/>
      <c r="U740" s="15" t="n"/>
      <c r="V740" s="15" t="n"/>
      <c r="W740" s="15" t="n"/>
      <c r="X740" s="15" t="n"/>
      <c r="Y740" s="15" t="n"/>
      <c r="Z740" s="15" t="n"/>
      <c r="AA740" s="15" t="n"/>
      <c r="AB740" s="15" t="n"/>
      <c r="AC740" s="15" t="n"/>
      <c r="AD740" s="15" t="n"/>
      <c r="AE740" s="15" t="n"/>
      <c r="AF740" s="15" t="n"/>
      <c r="AG740" s="15" t="n"/>
      <c r="AH740" s="15" t="n"/>
      <c r="AI740" s="15" t="n"/>
    </row>
    <row r="741">
      <c r="A741" s="4" t="inlineStr">
        <is>
          <t>Студент3.23</t>
        </is>
      </c>
      <c r="B741" s="4" t="inlineStr"/>
      <c r="C741" s="4" t="n"/>
      <c r="D741" s="4" t="n"/>
      <c r="E741" s="4" t="n"/>
      <c r="F741" s="15" t="n"/>
      <c r="G741" s="15" t="n"/>
      <c r="H741" s="15" t="n"/>
      <c r="I741" s="15" t="n"/>
      <c r="J741" s="15" t="n"/>
      <c r="K741" s="15" t="n"/>
      <c r="L741" s="15" t="n"/>
      <c r="M741" s="15" t="n"/>
      <c r="N741" s="15" t="n"/>
      <c r="O741" s="15" t="n"/>
      <c r="P741" s="15" t="n"/>
      <c r="Q741" s="15" t="n"/>
      <c r="R741" s="15" t="n"/>
      <c r="S741" s="15" t="n"/>
      <c r="T741" s="15" t="n"/>
      <c r="U741" s="15" t="n"/>
      <c r="V741" s="15" t="n"/>
      <c r="W741" s="15" t="n"/>
      <c r="X741" s="15" t="n"/>
      <c r="Y741" s="15" t="n"/>
      <c r="Z741" s="15" t="n"/>
      <c r="AA741" s="15" t="n"/>
      <c r="AB741" s="15" t="n"/>
      <c r="AC741" s="15" t="n"/>
      <c r="AD741" s="15" t="n"/>
      <c r="AE741" s="15" t="n"/>
      <c r="AF741" s="15" t="n"/>
      <c r="AG741" s="15" t="n"/>
      <c r="AH741" s="15" t="n"/>
      <c r="AI741" s="15" t="n"/>
    </row>
    <row r="742">
      <c r="A742" s="4" t="inlineStr">
        <is>
          <t>Студент3.24</t>
        </is>
      </c>
      <c r="B742" s="4" t="inlineStr"/>
      <c r="C742" s="4" t="n"/>
      <c r="D742" s="4" t="n"/>
      <c r="E742" s="4" t="n"/>
      <c r="F742" s="15" t="n"/>
      <c r="G742" s="15" t="n"/>
      <c r="H742" s="15" t="n"/>
      <c r="I742" s="15" t="n"/>
      <c r="J742" s="15" t="n"/>
      <c r="K742" s="15" t="n"/>
      <c r="L742" s="15" t="n"/>
      <c r="M742" s="15" t="n"/>
      <c r="N742" s="15" t="n"/>
      <c r="O742" s="15" t="n"/>
      <c r="P742" s="15" t="n"/>
      <c r="Q742" s="15" t="n"/>
      <c r="R742" s="15" t="n"/>
      <c r="S742" s="15" t="n"/>
      <c r="T742" s="15" t="n"/>
      <c r="U742" s="15" t="n"/>
      <c r="V742" s="15" t="n"/>
      <c r="W742" s="15" t="n"/>
      <c r="X742" s="15" t="n"/>
      <c r="Y742" s="15" t="n"/>
      <c r="Z742" s="15" t="n"/>
      <c r="AA742" s="15" t="n"/>
      <c r="AB742" s="15" t="n"/>
      <c r="AC742" s="15" t="n"/>
      <c r="AD742" s="15" t="n"/>
      <c r="AE742" s="15" t="n"/>
      <c r="AF742" s="15" t="n"/>
      <c r="AG742" s="15" t="n"/>
      <c r="AH742" s="15" t="n"/>
      <c r="AI742" s="15" t="n"/>
    </row>
    <row r="743">
      <c r="A743" s="4" t="inlineStr">
        <is>
          <t>Студент3.25</t>
        </is>
      </c>
      <c r="B743" s="4" t="inlineStr"/>
      <c r="C743" s="4" t="n"/>
      <c r="D743" s="4" t="n"/>
      <c r="E743" s="4" t="n"/>
      <c r="F743" s="15" t="n"/>
      <c r="G743" s="15" t="n"/>
      <c r="H743" s="15" t="n"/>
      <c r="I743" s="15" t="n"/>
      <c r="J743" s="15" t="n"/>
      <c r="K743" s="15" t="n"/>
      <c r="L743" s="15" t="n"/>
      <c r="M743" s="15" t="n"/>
      <c r="N743" s="15" t="n"/>
      <c r="O743" s="15" t="n"/>
      <c r="P743" s="15" t="n"/>
      <c r="Q743" s="15" t="n"/>
      <c r="R743" s="15" t="n"/>
      <c r="S743" s="15" t="n"/>
      <c r="T743" s="15" t="n"/>
      <c r="U743" s="15" t="n"/>
      <c r="V743" s="15" t="n"/>
      <c r="W743" s="15" t="n"/>
      <c r="X743" s="15" t="n"/>
      <c r="Y743" s="15" t="n"/>
      <c r="Z743" s="15" t="n"/>
      <c r="AA743" s="15" t="n"/>
      <c r="AB743" s="15" t="n"/>
      <c r="AC743" s="15" t="n"/>
      <c r="AD743" s="15" t="n"/>
      <c r="AE743" s="15" t="n"/>
      <c r="AF743" s="15" t="n"/>
      <c r="AG743" s="15" t="n"/>
      <c r="AH743" s="15" t="n"/>
      <c r="AI743" s="15" t="n"/>
    </row>
    <row r="744">
      <c r="A744" s="4" t="inlineStr">
        <is>
          <t>Студент3.26</t>
        </is>
      </c>
      <c r="B744" s="4" t="inlineStr"/>
      <c r="C744" s="4" t="n"/>
      <c r="D744" s="4" t="n"/>
      <c r="E744" s="4" t="n"/>
      <c r="F744" s="15" t="n"/>
      <c r="G744" s="15" t="n"/>
      <c r="H744" s="15" t="n"/>
      <c r="I744" s="15" t="n"/>
      <c r="J744" s="15" t="n"/>
      <c r="K744" s="15" t="n"/>
      <c r="L744" s="15" t="n"/>
      <c r="M744" s="15" t="n"/>
      <c r="N744" s="15" t="n"/>
      <c r="O744" s="15" t="n"/>
      <c r="P744" s="15" t="n"/>
      <c r="Q744" s="15" t="n"/>
      <c r="R744" s="15" t="n"/>
      <c r="S744" s="15" t="n"/>
      <c r="T744" s="15" t="n"/>
      <c r="U744" s="15" t="n"/>
      <c r="V744" s="15" t="n"/>
      <c r="W744" s="15" t="n"/>
      <c r="X744" s="15" t="n"/>
      <c r="Y744" s="15" t="n"/>
      <c r="Z744" s="15" t="n"/>
      <c r="AA744" s="15" t="n"/>
      <c r="AB744" s="15" t="n"/>
      <c r="AC744" s="15" t="n"/>
      <c r="AD744" s="15" t="n"/>
      <c r="AE744" s="15" t="n"/>
      <c r="AF744" s="15" t="n"/>
      <c r="AG744" s="15" t="n"/>
      <c r="AH744" s="15" t="n"/>
      <c r="AI744" s="15" t="n"/>
    </row>
    <row r="745">
      <c r="A745" s="4" t="inlineStr">
        <is>
          <t>Студент3.27</t>
        </is>
      </c>
      <c r="B745" s="4" t="inlineStr"/>
      <c r="C745" s="4" t="n"/>
      <c r="D745" s="4" t="n"/>
      <c r="E745" s="4" t="n"/>
      <c r="F745" s="15" t="n"/>
      <c r="G745" s="15" t="n"/>
      <c r="H745" s="15" t="n"/>
      <c r="I745" s="15" t="n"/>
      <c r="J745" s="15" t="n"/>
      <c r="K745" s="15" t="n"/>
      <c r="L745" s="15" t="n"/>
      <c r="M745" s="15" t="n"/>
      <c r="N745" s="15" t="n"/>
      <c r="O745" s="15" t="n"/>
      <c r="P745" s="15" t="n"/>
      <c r="Q745" s="15" t="n"/>
      <c r="R745" s="15" t="n"/>
      <c r="S745" s="15" t="n"/>
      <c r="T745" s="15" t="n"/>
      <c r="U745" s="15" t="n"/>
      <c r="V745" s="15" t="n"/>
      <c r="W745" s="15" t="n"/>
      <c r="X745" s="15" t="n"/>
      <c r="Y745" s="15" t="n"/>
      <c r="Z745" s="15" t="n"/>
      <c r="AA745" s="15" t="n"/>
      <c r="AB745" s="15" t="n"/>
      <c r="AC745" s="15" t="n"/>
      <c r="AD745" s="15" t="n"/>
      <c r="AE745" s="15" t="n"/>
      <c r="AF745" s="15" t="n"/>
      <c r="AG745" s="15" t="n"/>
      <c r="AH745" s="15" t="n"/>
      <c r="AI745" s="15" t="n"/>
    </row>
    <row r="746">
      <c r="A746" s="4" t="inlineStr">
        <is>
          <t>Студент3.28</t>
        </is>
      </c>
      <c r="B746" s="4" t="inlineStr"/>
      <c r="C746" s="4" t="n"/>
      <c r="D746" s="4" t="n"/>
      <c r="E746" s="4" t="n"/>
      <c r="F746" s="15" t="n"/>
      <c r="G746" s="15" t="n"/>
      <c r="H746" s="15" t="n"/>
      <c r="I746" s="15" t="n"/>
      <c r="J746" s="15" t="n"/>
      <c r="K746" s="15" t="n"/>
      <c r="L746" s="15" t="n"/>
      <c r="M746" s="15" t="n"/>
      <c r="N746" s="15" t="n"/>
      <c r="O746" s="15" t="n"/>
      <c r="P746" s="15" t="n"/>
      <c r="Q746" s="15" t="n"/>
      <c r="R746" s="15" t="n"/>
      <c r="S746" s="15" t="n"/>
      <c r="T746" s="15" t="n"/>
      <c r="U746" s="15" t="n"/>
      <c r="V746" s="15" t="n"/>
      <c r="W746" s="15" t="n"/>
      <c r="X746" s="15" t="n"/>
      <c r="Y746" s="15" t="n"/>
      <c r="Z746" s="15" t="n"/>
      <c r="AA746" s="15" t="n"/>
      <c r="AB746" s="15" t="n"/>
      <c r="AC746" s="15" t="n"/>
      <c r="AD746" s="15" t="n"/>
      <c r="AE746" s="15" t="n"/>
      <c r="AF746" s="15" t="n"/>
      <c r="AG746" s="15" t="n"/>
      <c r="AH746" s="15" t="n"/>
      <c r="AI746" s="15" t="n"/>
    </row>
    <row r="747">
      <c r="A747" s="4" t="inlineStr">
        <is>
          <t>Студент3.29</t>
        </is>
      </c>
      <c r="B747" s="4" t="inlineStr"/>
      <c r="C747" s="4" t="n"/>
      <c r="D747" s="4" t="n"/>
      <c r="E747" s="4" t="n"/>
      <c r="F747" s="15" t="n"/>
      <c r="G747" s="15" t="n"/>
      <c r="H747" s="15" t="n"/>
      <c r="I747" s="15" t="n"/>
      <c r="J747" s="15" t="n"/>
      <c r="K747" s="15" t="n"/>
      <c r="L747" s="15" t="n"/>
      <c r="M747" s="15" t="n"/>
      <c r="N747" s="15" t="n"/>
      <c r="O747" s="15" t="n"/>
      <c r="P747" s="15" t="n"/>
      <c r="Q747" s="15" t="n"/>
      <c r="R747" s="15" t="n"/>
      <c r="S747" s="15" t="n"/>
      <c r="T747" s="15" t="n"/>
      <c r="U747" s="15" t="n"/>
      <c r="V747" s="15" t="n"/>
      <c r="W747" s="15" t="n"/>
      <c r="X747" s="15" t="n"/>
      <c r="Y747" s="15" t="n"/>
      <c r="Z747" s="15" t="n"/>
      <c r="AA747" s="15" t="n"/>
      <c r="AB747" s="15" t="n"/>
      <c r="AC747" s="15" t="n"/>
      <c r="AD747" s="15" t="n"/>
      <c r="AE747" s="15" t="n"/>
      <c r="AF747" s="15" t="n"/>
      <c r="AG747" s="15" t="n"/>
      <c r="AH747" s="15" t="n"/>
      <c r="AI747" s="15" t="n"/>
    </row>
    <row r="748">
      <c r="A748" s="4" t="inlineStr">
        <is>
          <t>Студент3.30</t>
        </is>
      </c>
      <c r="B748" s="4" t="inlineStr"/>
      <c r="C748" s="4" t="n"/>
      <c r="D748" s="4" t="n"/>
      <c r="E748" s="4" t="n"/>
      <c r="F748" s="15" t="n"/>
      <c r="G748" s="15" t="n"/>
      <c r="H748" s="15" t="n"/>
      <c r="I748" s="15" t="n"/>
      <c r="J748" s="15" t="n"/>
      <c r="K748" s="15" t="n"/>
      <c r="L748" s="15" t="n"/>
      <c r="M748" s="15" t="n"/>
      <c r="N748" s="15" t="n"/>
      <c r="O748" s="15" t="n"/>
      <c r="P748" s="15" t="n"/>
      <c r="Q748" s="15" t="n"/>
      <c r="R748" s="15" t="n"/>
      <c r="S748" s="15" t="n"/>
      <c r="T748" s="15" t="n"/>
      <c r="U748" s="15" t="n"/>
      <c r="V748" s="15" t="n"/>
      <c r="W748" s="15" t="n"/>
      <c r="X748" s="15" t="n"/>
      <c r="Y748" s="15" t="n"/>
      <c r="Z748" s="15" t="n"/>
      <c r="AA748" s="15" t="n"/>
      <c r="AB748" s="15" t="n"/>
      <c r="AC748" s="15" t="n"/>
      <c r="AD748" s="15" t="n"/>
      <c r="AE748" s="15" t="n"/>
      <c r="AF748" s="15" t="n"/>
      <c r="AG748" s="15" t="n"/>
      <c r="AH748" s="15" t="n"/>
      <c r="AI748" s="15" t="n"/>
    </row>
    <row r="752">
      <c r="A752" s="13" t="inlineStr">
        <is>
          <t>Практика 12 — плюсы</t>
        </is>
      </c>
    </row>
    <row r="753" ht="28" customHeight="1">
      <c r="A753" s="7" t="inlineStr">
        <is>
          <t>Имя</t>
        </is>
      </c>
      <c r="B753" s="9" t="inlineStr">
        <is>
          <t>TG</t>
        </is>
      </c>
      <c r="C753" s="10" t="inlineStr">
        <is>
          <t>S</t>
        </is>
      </c>
      <c r="D753" s="8" t="inlineStr">
        <is>
          <t>Коэффициент</t>
        </is>
      </c>
      <c r="E753" s="14" t="inlineStr">
        <is>
          <t>D за практику</t>
        </is>
      </c>
      <c r="F753" s="11" t="inlineStr">
        <is>
          <t>1.0</t>
        </is>
      </c>
      <c r="G753" s="11" t="inlineStr">
        <is>
          <t>2.0</t>
        </is>
      </c>
      <c r="H753" s="11" t="inlineStr">
        <is>
          <t>3.0</t>
        </is>
      </c>
      <c r="I753" s="11" t="inlineStr">
        <is>
          <t>4.0</t>
        </is>
      </c>
      <c r="J753" s="11" t="inlineStr">
        <is>
          <t>5.0</t>
        </is>
      </c>
      <c r="K753" s="11" t="inlineStr">
        <is>
          <t>6</t>
        </is>
      </c>
      <c r="L753" s="11" t="inlineStr">
        <is>
          <t>7</t>
        </is>
      </c>
      <c r="M753" s="11" t="inlineStr">
        <is>
          <t>8</t>
        </is>
      </c>
      <c r="N753" s="11" t="inlineStr">
        <is>
          <t>9</t>
        </is>
      </c>
      <c r="O753" s="11" t="inlineStr">
        <is>
          <t>10</t>
        </is>
      </c>
      <c r="P753" s="11" t="inlineStr">
        <is>
          <t>11</t>
        </is>
      </c>
      <c r="Q753" s="11" t="inlineStr">
        <is>
          <t>12</t>
        </is>
      </c>
      <c r="R753" s="11" t="inlineStr">
        <is>
          <t>13</t>
        </is>
      </c>
      <c r="S753" s="11" t="inlineStr">
        <is>
          <t>14</t>
        </is>
      </c>
      <c r="T753" s="11" t="inlineStr">
        <is>
          <t>15</t>
        </is>
      </c>
      <c r="U753" s="11" t="inlineStr">
        <is>
          <t>16</t>
        </is>
      </c>
      <c r="V753" s="11" t="inlineStr">
        <is>
          <t>17</t>
        </is>
      </c>
      <c r="W753" s="11" t="inlineStr">
        <is>
          <t>18</t>
        </is>
      </c>
      <c r="X753" s="11" t="inlineStr">
        <is>
          <t>19</t>
        </is>
      </c>
      <c r="Y753" s="11" t="inlineStr">
        <is>
          <t>20</t>
        </is>
      </c>
      <c r="Z753" s="11" t="inlineStr">
        <is>
          <t>21</t>
        </is>
      </c>
      <c r="AA753" s="11" t="inlineStr">
        <is>
          <t>22</t>
        </is>
      </c>
      <c r="AB753" s="11" t="inlineStr">
        <is>
          <t>23</t>
        </is>
      </c>
      <c r="AC753" s="11" t="inlineStr">
        <is>
          <t>24</t>
        </is>
      </c>
      <c r="AD753" s="11" t="inlineStr">
        <is>
          <t>25</t>
        </is>
      </c>
      <c r="AE753" s="11" t="inlineStr">
        <is>
          <t>26</t>
        </is>
      </c>
      <c r="AF753" s="11" t="inlineStr">
        <is>
          <t>27</t>
        </is>
      </c>
      <c r="AG753" s="11" t="inlineStr">
        <is>
          <t>28</t>
        </is>
      </c>
      <c r="AH753" s="11" t="inlineStr">
        <is>
          <t>29</t>
        </is>
      </c>
      <c r="AI753" s="11" t="inlineStr">
        <is>
          <t>30</t>
        </is>
      </c>
    </row>
    <row r="754">
      <c r="A754" s="4" t="inlineStr">
        <is>
          <t>Студент3.1</t>
        </is>
      </c>
      <c r="B754" s="4" t="inlineStr"/>
      <c r="C754" s="4">
        <f>IF(A754="","",COUNTIF(F754:AI754,"+")+COUNTIF(F754:AI754,"1"))</f>
        <v/>
      </c>
      <c r="D754" s="4">
        <f>IF(A754="","",IF(C754&gt;2*COUNTA(F$753:AI$753)/3,1,IF(C754&gt;=COUNTA(F$753:AI$753)/2,0.8,0.5)))</f>
        <v/>
      </c>
      <c r="E754" s="4">
        <f>IF(A754="","",SUMIFS('Логи'!$H$4:$H$3006,'Логи'!$A$4:$A$3006,A754,'Логи'!$C$4:$C$3006,12))</f>
        <v/>
      </c>
      <c r="F754" s="15" t="n"/>
      <c r="G754" s="15" t="n"/>
      <c r="H754" s="15" t="n"/>
      <c r="I754" s="15" t="n"/>
      <c r="J754" s="15" t="n"/>
      <c r="K754" s="15" t="n"/>
      <c r="L754" s="15" t="n"/>
      <c r="M754" s="15" t="n"/>
      <c r="N754" s="15" t="n"/>
      <c r="O754" s="15" t="n"/>
      <c r="P754" s="15" t="n"/>
      <c r="Q754" s="15" t="n"/>
      <c r="R754" s="15" t="n"/>
      <c r="S754" s="15" t="n"/>
      <c r="T754" s="15" t="n"/>
      <c r="U754" s="15" t="n"/>
      <c r="V754" s="15" t="n"/>
      <c r="W754" s="15" t="n"/>
      <c r="X754" s="15" t="n"/>
      <c r="Y754" s="15" t="n"/>
      <c r="Z754" s="15" t="n"/>
      <c r="AA754" s="15" t="n"/>
      <c r="AB754" s="15" t="n"/>
      <c r="AC754" s="15" t="n"/>
      <c r="AD754" s="15" t="n"/>
      <c r="AE754" s="15" t="n"/>
      <c r="AF754" s="15" t="n"/>
      <c r="AG754" s="15" t="n"/>
      <c r="AH754" s="15" t="n"/>
      <c r="AI754" s="15" t="n"/>
    </row>
    <row r="755">
      <c r="A755" s="4" t="inlineStr">
        <is>
          <t>Студент3.2</t>
        </is>
      </c>
      <c r="B755" s="4" t="inlineStr"/>
      <c r="C755" s="4">
        <f>IF(A755="","",COUNTIF(F755:AI755,"+")+COUNTIF(F755:AI755,"1"))</f>
        <v/>
      </c>
      <c r="D755" s="4">
        <f>IF(A755="","",IF(C755&gt;2*COUNTA(F$753:AI$753)/3,1,IF(C755&gt;=COUNTA(F$753:AI$753)/2,0.8,0.5)))</f>
        <v/>
      </c>
      <c r="E755" s="4">
        <f>IF(A755="","",SUMIFS('Логи'!$H$4:$H$3006,'Логи'!$A$4:$A$3006,A755,'Логи'!$C$4:$C$3006,12))</f>
        <v/>
      </c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  <c r="O755" s="15" t="n"/>
      <c r="P755" s="15" t="n"/>
      <c r="Q755" s="15" t="n"/>
      <c r="R755" s="15" t="n"/>
      <c r="S755" s="15" t="n"/>
      <c r="T755" s="15" t="n"/>
      <c r="U755" s="15" t="n"/>
      <c r="V755" s="15" t="n"/>
      <c r="W755" s="15" t="n"/>
      <c r="X755" s="15" t="n"/>
      <c r="Y755" s="15" t="n"/>
      <c r="Z755" s="15" t="n"/>
      <c r="AA755" s="15" t="n"/>
      <c r="AB755" s="15" t="n"/>
      <c r="AC755" s="15" t="n"/>
      <c r="AD755" s="15" t="n"/>
      <c r="AE755" s="15" t="n"/>
      <c r="AF755" s="15" t="n"/>
      <c r="AG755" s="15" t="n"/>
      <c r="AH755" s="15" t="n"/>
      <c r="AI755" s="15" t="n"/>
    </row>
    <row r="756">
      <c r="A756" s="4" t="inlineStr">
        <is>
          <t>Студент3.3</t>
        </is>
      </c>
      <c r="B756" s="4" t="inlineStr"/>
      <c r="C756" s="4">
        <f>IF(A756="","",COUNTIF(F756:AI756,"+")+COUNTIF(F756:AI756,"1"))</f>
        <v/>
      </c>
      <c r="D756" s="4">
        <f>IF(A756="","",IF(C756&gt;2*COUNTA(F$753:AI$753)/3,1,IF(C756&gt;=COUNTA(F$753:AI$753)/2,0.8,0.5)))</f>
        <v/>
      </c>
      <c r="E756" s="4">
        <f>IF(A756="","",SUMIFS('Логи'!$H$4:$H$3006,'Логи'!$A$4:$A$3006,A756,'Логи'!$C$4:$C$3006,12))</f>
        <v/>
      </c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  <c r="O756" s="15" t="n"/>
      <c r="P756" s="15" t="n"/>
      <c r="Q756" s="15" t="n"/>
      <c r="R756" s="15" t="n"/>
      <c r="S756" s="15" t="n"/>
      <c r="T756" s="15" t="n"/>
      <c r="U756" s="15" t="n"/>
      <c r="V756" s="15" t="n"/>
      <c r="W756" s="15" t="n"/>
      <c r="X756" s="15" t="n"/>
      <c r="Y756" s="15" t="n"/>
      <c r="Z756" s="15" t="n"/>
      <c r="AA756" s="15" t="n"/>
      <c r="AB756" s="15" t="n"/>
      <c r="AC756" s="15" t="n"/>
      <c r="AD756" s="15" t="n"/>
      <c r="AE756" s="15" t="n"/>
      <c r="AF756" s="15" t="n"/>
      <c r="AG756" s="15" t="n"/>
      <c r="AH756" s="15" t="n"/>
      <c r="AI756" s="15" t="n"/>
    </row>
    <row r="757">
      <c r="A757" s="4" t="inlineStr">
        <is>
          <t>Студент3.4</t>
        </is>
      </c>
      <c r="B757" s="4" t="inlineStr"/>
      <c r="C757" s="4">
        <f>IF(A757="","",COUNTIF(F757:AI757,"+")+COUNTIF(F757:AI757,"1"))</f>
        <v/>
      </c>
      <c r="D757" s="4">
        <f>IF(A757="","",IF(C757&gt;2*COUNTA(F$753:AI$753)/3,1,IF(C757&gt;=COUNTA(F$753:AI$753)/2,0.8,0.5)))</f>
        <v/>
      </c>
      <c r="E757" s="4">
        <f>IF(A757="","",SUMIFS('Логи'!$H$4:$H$3006,'Логи'!$A$4:$A$3006,A757,'Логи'!$C$4:$C$3006,12))</f>
        <v/>
      </c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  <c r="O757" s="15" t="n"/>
      <c r="P757" s="15" t="n"/>
      <c r="Q757" s="15" t="n"/>
      <c r="R757" s="15" t="n"/>
      <c r="S757" s="15" t="n"/>
      <c r="T757" s="15" t="n"/>
      <c r="U757" s="15" t="n"/>
      <c r="V757" s="15" t="n"/>
      <c r="W757" s="15" t="n"/>
      <c r="X757" s="15" t="n"/>
      <c r="Y757" s="15" t="n"/>
      <c r="Z757" s="15" t="n"/>
      <c r="AA757" s="15" t="n"/>
      <c r="AB757" s="15" t="n"/>
      <c r="AC757" s="15" t="n"/>
      <c r="AD757" s="15" t="n"/>
      <c r="AE757" s="15" t="n"/>
      <c r="AF757" s="15" t="n"/>
      <c r="AG757" s="15" t="n"/>
      <c r="AH757" s="15" t="n"/>
      <c r="AI757" s="15" t="n"/>
    </row>
    <row r="758">
      <c r="A758" s="4" t="inlineStr">
        <is>
          <t>Студент3.5</t>
        </is>
      </c>
      <c r="B758" s="4" t="inlineStr"/>
      <c r="C758" s="4">
        <f>IF(A758="","",COUNTIF(F758:AI758,"+")+COUNTIF(F758:AI758,"1"))</f>
        <v/>
      </c>
      <c r="D758" s="4">
        <f>IF(A758="","",IF(C758&gt;2*COUNTA(F$753:AI$753)/3,1,IF(C758&gt;=COUNTA(F$753:AI$753)/2,0.8,0.5)))</f>
        <v/>
      </c>
      <c r="E758" s="4">
        <f>IF(A758="","",SUMIFS('Логи'!$H$4:$H$3006,'Логи'!$A$4:$A$3006,A758,'Логи'!$C$4:$C$3006,12))</f>
        <v/>
      </c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  <c r="O758" s="15" t="n"/>
      <c r="P758" s="15" t="n"/>
      <c r="Q758" s="15" t="n"/>
      <c r="R758" s="15" t="n"/>
      <c r="S758" s="15" t="n"/>
      <c r="T758" s="15" t="n"/>
      <c r="U758" s="15" t="n"/>
      <c r="V758" s="15" t="n"/>
      <c r="W758" s="15" t="n"/>
      <c r="X758" s="15" t="n"/>
      <c r="Y758" s="15" t="n"/>
      <c r="Z758" s="15" t="n"/>
      <c r="AA758" s="15" t="n"/>
      <c r="AB758" s="15" t="n"/>
      <c r="AC758" s="15" t="n"/>
      <c r="AD758" s="15" t="n"/>
      <c r="AE758" s="15" t="n"/>
      <c r="AF758" s="15" t="n"/>
      <c r="AG758" s="15" t="n"/>
      <c r="AH758" s="15" t="n"/>
      <c r="AI758" s="15" t="n"/>
    </row>
    <row r="759">
      <c r="A759" s="4" t="inlineStr">
        <is>
          <t>Студент3.6</t>
        </is>
      </c>
      <c r="B759" s="4" t="inlineStr"/>
      <c r="C759" s="4">
        <f>IF(A759="","",COUNTIF(F759:AI759,"+")+COUNTIF(F759:AI759,"1"))</f>
        <v/>
      </c>
      <c r="D759" s="4">
        <f>IF(A759="","",IF(C759&gt;2*COUNTA(F$753:AI$753)/3,1,IF(C759&gt;=COUNTA(F$753:AI$753)/2,0.8,0.5)))</f>
        <v/>
      </c>
      <c r="E759" s="4">
        <f>IF(A759="","",SUMIFS('Логи'!$H$4:$H$3006,'Логи'!$A$4:$A$3006,A759,'Логи'!$C$4:$C$3006,12))</f>
        <v/>
      </c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  <c r="O759" s="15" t="n"/>
      <c r="P759" s="15" t="n"/>
      <c r="Q759" s="15" t="n"/>
      <c r="R759" s="15" t="n"/>
      <c r="S759" s="15" t="n"/>
      <c r="T759" s="15" t="n"/>
      <c r="U759" s="15" t="n"/>
      <c r="V759" s="15" t="n"/>
      <c r="W759" s="15" t="n"/>
      <c r="X759" s="15" t="n"/>
      <c r="Y759" s="15" t="n"/>
      <c r="Z759" s="15" t="n"/>
      <c r="AA759" s="15" t="n"/>
      <c r="AB759" s="15" t="n"/>
      <c r="AC759" s="15" t="n"/>
      <c r="AD759" s="15" t="n"/>
      <c r="AE759" s="15" t="n"/>
      <c r="AF759" s="15" t="n"/>
      <c r="AG759" s="15" t="n"/>
      <c r="AH759" s="15" t="n"/>
      <c r="AI759" s="15" t="n"/>
    </row>
    <row r="760">
      <c r="A760" s="4" t="inlineStr">
        <is>
          <t>Студент3.7</t>
        </is>
      </c>
      <c r="B760" s="4" t="inlineStr"/>
      <c r="C760" s="4">
        <f>IF(A760="","",COUNTIF(F760:AI760,"+")+COUNTIF(F760:AI760,"1"))</f>
        <v/>
      </c>
      <c r="D760" s="4">
        <f>IF(A760="","",IF(C760&gt;2*COUNTA(F$753:AI$753)/3,1,IF(C760&gt;=COUNTA(F$753:AI$753)/2,0.8,0.5)))</f>
        <v/>
      </c>
      <c r="E760" s="4">
        <f>IF(A760="","",SUMIFS('Логи'!$H$4:$H$3006,'Логи'!$A$4:$A$3006,A760,'Логи'!$C$4:$C$3006,12))</f>
        <v/>
      </c>
      <c r="F760" s="15" t="n"/>
      <c r="G760" s="15" t="n"/>
      <c r="H760" s="15" t="n"/>
      <c r="I760" s="15" t="n"/>
      <c r="J760" s="15" t="n"/>
      <c r="K760" s="15" t="n"/>
      <c r="L760" s="15" t="n"/>
      <c r="M760" s="15" t="n"/>
      <c r="N760" s="15" t="n"/>
      <c r="O760" s="15" t="n"/>
      <c r="P760" s="15" t="n"/>
      <c r="Q760" s="15" t="n"/>
      <c r="R760" s="15" t="n"/>
      <c r="S760" s="15" t="n"/>
      <c r="T760" s="15" t="n"/>
      <c r="U760" s="15" t="n"/>
      <c r="V760" s="15" t="n"/>
      <c r="W760" s="15" t="n"/>
      <c r="X760" s="15" t="n"/>
      <c r="Y760" s="15" t="n"/>
      <c r="Z760" s="15" t="n"/>
      <c r="AA760" s="15" t="n"/>
      <c r="AB760" s="15" t="n"/>
      <c r="AC760" s="15" t="n"/>
      <c r="AD760" s="15" t="n"/>
      <c r="AE760" s="15" t="n"/>
      <c r="AF760" s="15" t="n"/>
      <c r="AG760" s="15" t="n"/>
      <c r="AH760" s="15" t="n"/>
      <c r="AI760" s="15" t="n"/>
    </row>
    <row r="761">
      <c r="A761" s="4" t="inlineStr">
        <is>
          <t>Студент3.8</t>
        </is>
      </c>
      <c r="B761" s="4" t="inlineStr"/>
      <c r="C761" s="4">
        <f>IF(A761="","",COUNTIF(F761:AI761,"+")+COUNTIF(F761:AI761,"1"))</f>
        <v/>
      </c>
      <c r="D761" s="4">
        <f>IF(A761="","",IF(C761&gt;2*COUNTA(F$753:AI$753)/3,1,IF(C761&gt;=COUNTA(F$753:AI$753)/2,0.8,0.5)))</f>
        <v/>
      </c>
      <c r="E761" s="4">
        <f>IF(A761="","",SUMIFS('Логи'!$H$4:$H$3006,'Логи'!$A$4:$A$3006,A761,'Логи'!$C$4:$C$3006,12))</f>
        <v/>
      </c>
      <c r="F761" s="15" t="n"/>
      <c r="G761" s="15" t="n"/>
      <c r="H761" s="15" t="n"/>
      <c r="I761" s="15" t="n"/>
      <c r="J761" s="15" t="n"/>
      <c r="K761" s="15" t="n"/>
      <c r="L761" s="15" t="n"/>
      <c r="M761" s="15" t="n"/>
      <c r="N761" s="15" t="n"/>
      <c r="O761" s="15" t="n"/>
      <c r="P761" s="15" t="n"/>
      <c r="Q761" s="15" t="n"/>
      <c r="R761" s="15" t="n"/>
      <c r="S761" s="15" t="n"/>
      <c r="T761" s="15" t="n"/>
      <c r="U761" s="15" t="n"/>
      <c r="V761" s="15" t="n"/>
      <c r="W761" s="15" t="n"/>
      <c r="X761" s="15" t="n"/>
      <c r="Y761" s="15" t="n"/>
      <c r="Z761" s="15" t="n"/>
      <c r="AA761" s="15" t="n"/>
      <c r="AB761" s="15" t="n"/>
      <c r="AC761" s="15" t="n"/>
      <c r="AD761" s="15" t="n"/>
      <c r="AE761" s="15" t="n"/>
      <c r="AF761" s="15" t="n"/>
      <c r="AG761" s="15" t="n"/>
      <c r="AH761" s="15" t="n"/>
      <c r="AI761" s="15" t="n"/>
    </row>
    <row r="762">
      <c r="A762" s="4" t="inlineStr">
        <is>
          <t>Студент3.9</t>
        </is>
      </c>
      <c r="B762" s="4" t="inlineStr"/>
      <c r="C762" s="4">
        <f>IF(A762="","",COUNTIF(F762:AI762,"+")+COUNTIF(F762:AI762,"1"))</f>
        <v/>
      </c>
      <c r="D762" s="4">
        <f>IF(A762="","",IF(C762&gt;2*COUNTA(F$753:AI$753)/3,1,IF(C762&gt;=COUNTA(F$753:AI$753)/2,0.8,0.5)))</f>
        <v/>
      </c>
      <c r="E762" s="4">
        <f>IF(A762="","",SUMIFS('Логи'!$H$4:$H$3006,'Логи'!$A$4:$A$3006,A762,'Логи'!$C$4:$C$3006,12))</f>
        <v/>
      </c>
      <c r="F762" s="15" t="n"/>
      <c r="G762" s="15" t="n"/>
      <c r="H762" s="15" t="n"/>
      <c r="I762" s="15" t="n"/>
      <c r="J762" s="15" t="n"/>
      <c r="K762" s="15" t="n"/>
      <c r="L762" s="15" t="n"/>
      <c r="M762" s="15" t="n"/>
      <c r="N762" s="15" t="n"/>
      <c r="O762" s="15" t="n"/>
      <c r="P762" s="15" t="n"/>
      <c r="Q762" s="15" t="n"/>
      <c r="R762" s="15" t="n"/>
      <c r="S762" s="15" t="n"/>
      <c r="T762" s="15" t="n"/>
      <c r="U762" s="15" t="n"/>
      <c r="V762" s="15" t="n"/>
      <c r="W762" s="15" t="n"/>
      <c r="X762" s="15" t="n"/>
      <c r="Y762" s="15" t="n"/>
      <c r="Z762" s="15" t="n"/>
      <c r="AA762" s="15" t="n"/>
      <c r="AB762" s="15" t="n"/>
      <c r="AC762" s="15" t="n"/>
      <c r="AD762" s="15" t="n"/>
      <c r="AE762" s="15" t="n"/>
      <c r="AF762" s="15" t="n"/>
      <c r="AG762" s="15" t="n"/>
      <c r="AH762" s="15" t="n"/>
      <c r="AI762" s="15" t="n"/>
    </row>
    <row r="763">
      <c r="A763" s="4" t="inlineStr">
        <is>
          <t>Студент3.10</t>
        </is>
      </c>
      <c r="B763" s="4" t="inlineStr"/>
      <c r="C763" s="4">
        <f>IF(A763="","",COUNTIF(F763:AI763,"+")+COUNTIF(F763:AI763,"1"))</f>
        <v/>
      </c>
      <c r="D763" s="4">
        <f>IF(A763="","",IF(C763&gt;2*COUNTA(F$753:AI$753)/3,1,IF(C763&gt;=COUNTA(F$753:AI$753)/2,0.8,0.5)))</f>
        <v/>
      </c>
      <c r="E763" s="4">
        <f>IF(A763="","",SUMIFS('Логи'!$H$4:$H$3006,'Логи'!$A$4:$A$3006,A763,'Логи'!$C$4:$C$3006,12))</f>
        <v/>
      </c>
      <c r="F763" s="15" t="n"/>
      <c r="G763" s="15" t="n"/>
      <c r="H763" s="15" t="n"/>
      <c r="I763" s="15" t="n"/>
      <c r="J763" s="15" t="n"/>
      <c r="K763" s="15" t="n"/>
      <c r="L763" s="15" t="n"/>
      <c r="M763" s="15" t="n"/>
      <c r="N763" s="15" t="n"/>
      <c r="O763" s="15" t="n"/>
      <c r="P763" s="15" t="n"/>
      <c r="Q763" s="15" t="n"/>
      <c r="R763" s="15" t="n"/>
      <c r="S763" s="15" t="n"/>
      <c r="T763" s="15" t="n"/>
      <c r="U763" s="15" t="n"/>
      <c r="V763" s="15" t="n"/>
      <c r="W763" s="15" t="n"/>
      <c r="X763" s="15" t="n"/>
      <c r="Y763" s="15" t="n"/>
      <c r="Z763" s="15" t="n"/>
      <c r="AA763" s="15" t="n"/>
      <c r="AB763" s="15" t="n"/>
      <c r="AC763" s="15" t="n"/>
      <c r="AD763" s="15" t="n"/>
      <c r="AE763" s="15" t="n"/>
      <c r="AF763" s="15" t="n"/>
      <c r="AG763" s="15" t="n"/>
      <c r="AH763" s="15" t="n"/>
      <c r="AI763" s="15" t="n"/>
    </row>
    <row r="764">
      <c r="A764" s="4" t="inlineStr">
        <is>
          <t>Студент3.11</t>
        </is>
      </c>
      <c r="B764" s="4" t="inlineStr"/>
      <c r="C764" s="4">
        <f>IF(A764="","",COUNTIF(F764:AI764,"+")+COUNTIF(F764:AI764,"1"))</f>
        <v/>
      </c>
      <c r="D764" s="4">
        <f>IF(A764="","",IF(C764&gt;2*COUNTA(F$753:AI$753)/3,1,IF(C764&gt;=COUNTA(F$753:AI$753)/2,0.8,0.5)))</f>
        <v/>
      </c>
      <c r="E764" s="4">
        <f>IF(A764="","",SUMIFS('Логи'!$H$4:$H$3006,'Логи'!$A$4:$A$3006,A764,'Логи'!$C$4:$C$3006,12))</f>
        <v/>
      </c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  <c r="O764" s="15" t="n"/>
      <c r="P764" s="15" t="n"/>
      <c r="Q764" s="15" t="n"/>
      <c r="R764" s="15" t="n"/>
      <c r="S764" s="15" t="n"/>
      <c r="T764" s="15" t="n"/>
      <c r="U764" s="15" t="n"/>
      <c r="V764" s="15" t="n"/>
      <c r="W764" s="15" t="n"/>
      <c r="X764" s="15" t="n"/>
      <c r="Y764" s="15" t="n"/>
      <c r="Z764" s="15" t="n"/>
      <c r="AA764" s="15" t="n"/>
      <c r="AB764" s="15" t="n"/>
      <c r="AC764" s="15" t="n"/>
      <c r="AD764" s="15" t="n"/>
      <c r="AE764" s="15" t="n"/>
      <c r="AF764" s="15" t="n"/>
      <c r="AG764" s="15" t="n"/>
      <c r="AH764" s="15" t="n"/>
      <c r="AI764" s="15" t="n"/>
    </row>
    <row r="765">
      <c r="A765" s="4" t="inlineStr">
        <is>
          <t>Студент3.12</t>
        </is>
      </c>
      <c r="B765" s="4" t="inlineStr"/>
      <c r="C765" s="4">
        <f>IF(A765="","",COUNTIF(F765:AI765,"+")+COUNTIF(F765:AI765,"1"))</f>
        <v/>
      </c>
      <c r="D765" s="4">
        <f>IF(A765="","",IF(C765&gt;2*COUNTA(F$753:AI$753)/3,1,IF(C765&gt;=COUNTA(F$753:AI$753)/2,0.8,0.5)))</f>
        <v/>
      </c>
      <c r="E765" s="4">
        <f>IF(A765="","",SUMIFS('Логи'!$H$4:$H$3006,'Логи'!$A$4:$A$3006,A765,'Логи'!$C$4:$C$3006,12))</f>
        <v/>
      </c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  <c r="O765" s="15" t="n"/>
      <c r="P765" s="15" t="n"/>
      <c r="Q765" s="15" t="n"/>
      <c r="R765" s="15" t="n"/>
      <c r="S765" s="15" t="n"/>
      <c r="T765" s="15" t="n"/>
      <c r="U765" s="15" t="n"/>
      <c r="V765" s="15" t="n"/>
      <c r="W765" s="15" t="n"/>
      <c r="X765" s="15" t="n"/>
      <c r="Y765" s="15" t="n"/>
      <c r="Z765" s="15" t="n"/>
      <c r="AA765" s="15" t="n"/>
      <c r="AB765" s="15" t="n"/>
      <c r="AC765" s="15" t="n"/>
      <c r="AD765" s="15" t="n"/>
      <c r="AE765" s="15" t="n"/>
      <c r="AF765" s="15" t="n"/>
      <c r="AG765" s="15" t="n"/>
      <c r="AH765" s="15" t="n"/>
      <c r="AI765" s="15" t="n"/>
    </row>
    <row r="766">
      <c r="A766" s="4" t="inlineStr">
        <is>
          <t>Студент3.13</t>
        </is>
      </c>
      <c r="B766" s="4" t="inlineStr"/>
      <c r="C766" s="4">
        <f>IF(A766="","",COUNTIF(F766:AI766,"+")+COUNTIF(F766:AI766,"1"))</f>
        <v/>
      </c>
      <c r="D766" s="4">
        <f>IF(A766="","",IF(C766&gt;2*COUNTA(F$753:AI$753)/3,1,IF(C766&gt;=COUNTA(F$753:AI$753)/2,0.8,0.5)))</f>
        <v/>
      </c>
      <c r="E766" s="4">
        <f>IF(A766="","",SUMIFS('Логи'!$H$4:$H$3006,'Логи'!$A$4:$A$3006,A766,'Логи'!$C$4:$C$3006,12))</f>
        <v/>
      </c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  <c r="O766" s="15" t="n"/>
      <c r="P766" s="15" t="n"/>
      <c r="Q766" s="15" t="n"/>
      <c r="R766" s="15" t="n"/>
      <c r="S766" s="15" t="n"/>
      <c r="T766" s="15" t="n"/>
      <c r="U766" s="15" t="n"/>
      <c r="V766" s="15" t="n"/>
      <c r="W766" s="15" t="n"/>
      <c r="X766" s="15" t="n"/>
      <c r="Y766" s="15" t="n"/>
      <c r="Z766" s="15" t="n"/>
      <c r="AA766" s="15" t="n"/>
      <c r="AB766" s="15" t="n"/>
      <c r="AC766" s="15" t="n"/>
      <c r="AD766" s="15" t="n"/>
      <c r="AE766" s="15" t="n"/>
      <c r="AF766" s="15" t="n"/>
      <c r="AG766" s="15" t="n"/>
      <c r="AH766" s="15" t="n"/>
      <c r="AI766" s="15" t="n"/>
    </row>
    <row r="767">
      <c r="A767" s="4" t="inlineStr">
        <is>
          <t>Студент3.14</t>
        </is>
      </c>
      <c r="B767" s="4" t="inlineStr"/>
      <c r="C767" s="4">
        <f>IF(A767="","",COUNTIF(F767:AI767,"+")+COUNTIF(F767:AI767,"1"))</f>
        <v/>
      </c>
      <c r="D767" s="4">
        <f>IF(A767="","",IF(C767&gt;2*COUNTA(F$753:AI$753)/3,1,IF(C767&gt;=COUNTA(F$753:AI$753)/2,0.8,0.5)))</f>
        <v/>
      </c>
      <c r="E767" s="4">
        <f>IF(A767="","",SUMIFS('Логи'!$H$4:$H$3006,'Логи'!$A$4:$A$3006,A767,'Логи'!$C$4:$C$3006,12))</f>
        <v/>
      </c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  <c r="O767" s="15" t="n"/>
      <c r="P767" s="15" t="n"/>
      <c r="Q767" s="15" t="n"/>
      <c r="R767" s="15" t="n"/>
      <c r="S767" s="15" t="n"/>
      <c r="T767" s="15" t="n"/>
      <c r="U767" s="15" t="n"/>
      <c r="V767" s="15" t="n"/>
      <c r="W767" s="15" t="n"/>
      <c r="X767" s="15" t="n"/>
      <c r="Y767" s="15" t="n"/>
      <c r="Z767" s="15" t="n"/>
      <c r="AA767" s="15" t="n"/>
      <c r="AB767" s="15" t="n"/>
      <c r="AC767" s="15" t="n"/>
      <c r="AD767" s="15" t="n"/>
      <c r="AE767" s="15" t="n"/>
      <c r="AF767" s="15" t="n"/>
      <c r="AG767" s="15" t="n"/>
      <c r="AH767" s="15" t="n"/>
      <c r="AI767" s="15" t="n"/>
    </row>
    <row r="768">
      <c r="A768" s="4" t="inlineStr">
        <is>
          <t>Студент3.15</t>
        </is>
      </c>
      <c r="B768" s="4" t="inlineStr"/>
      <c r="C768" s="4">
        <f>IF(A768="","",COUNTIF(F768:AI768,"+")+COUNTIF(F768:AI768,"1"))</f>
        <v/>
      </c>
      <c r="D768" s="4">
        <f>IF(A768="","",IF(C768&gt;2*COUNTA(F$753:AI$753)/3,1,IF(C768&gt;=COUNTA(F$753:AI$753)/2,0.8,0.5)))</f>
        <v/>
      </c>
      <c r="E768" s="4">
        <f>IF(A768="","",SUMIFS('Логи'!$H$4:$H$3006,'Логи'!$A$4:$A$3006,A768,'Логи'!$C$4:$C$3006,12))</f>
        <v/>
      </c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  <c r="O768" s="15" t="n"/>
      <c r="P768" s="15" t="n"/>
      <c r="Q768" s="15" t="n"/>
      <c r="R768" s="15" t="n"/>
      <c r="S768" s="15" t="n"/>
      <c r="T768" s="15" t="n"/>
      <c r="U768" s="15" t="n"/>
      <c r="V768" s="15" t="n"/>
      <c r="W768" s="15" t="n"/>
      <c r="X768" s="15" t="n"/>
      <c r="Y768" s="15" t="n"/>
      <c r="Z768" s="15" t="n"/>
      <c r="AA768" s="15" t="n"/>
      <c r="AB768" s="15" t="n"/>
      <c r="AC768" s="15" t="n"/>
      <c r="AD768" s="15" t="n"/>
      <c r="AE768" s="15" t="n"/>
      <c r="AF768" s="15" t="n"/>
      <c r="AG768" s="15" t="n"/>
      <c r="AH768" s="15" t="n"/>
      <c r="AI768" s="15" t="n"/>
    </row>
    <row r="769">
      <c r="A769" s="4" t="inlineStr">
        <is>
          <t>Студент3.16</t>
        </is>
      </c>
      <c r="B769" s="4" t="inlineStr"/>
      <c r="C769" s="4">
        <f>IF(A769="","",COUNTIF(F769:AI769,"+")+COUNTIF(F769:AI769,"1"))</f>
        <v/>
      </c>
      <c r="D769" s="4">
        <f>IF(A769="","",IF(C769&gt;2*COUNTA(F$753:AI$753)/3,1,IF(C769&gt;=COUNTA(F$753:AI$753)/2,0.8,0.5)))</f>
        <v/>
      </c>
      <c r="E769" s="4">
        <f>IF(A769="","",SUMIFS('Логи'!$H$4:$H$3006,'Логи'!$A$4:$A$3006,A769,'Логи'!$C$4:$C$3006,12))</f>
        <v/>
      </c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5" t="n"/>
      <c r="P769" s="15" t="n"/>
      <c r="Q769" s="15" t="n"/>
      <c r="R769" s="15" t="n"/>
      <c r="S769" s="15" t="n"/>
      <c r="T769" s="15" t="n"/>
      <c r="U769" s="15" t="n"/>
      <c r="V769" s="15" t="n"/>
      <c r="W769" s="15" t="n"/>
      <c r="X769" s="15" t="n"/>
      <c r="Y769" s="15" t="n"/>
      <c r="Z769" s="15" t="n"/>
      <c r="AA769" s="15" t="n"/>
      <c r="AB769" s="15" t="n"/>
      <c r="AC769" s="15" t="n"/>
      <c r="AD769" s="15" t="n"/>
      <c r="AE769" s="15" t="n"/>
      <c r="AF769" s="15" t="n"/>
      <c r="AG769" s="15" t="n"/>
      <c r="AH769" s="15" t="n"/>
      <c r="AI769" s="15" t="n"/>
    </row>
    <row r="770">
      <c r="A770" s="4" t="inlineStr">
        <is>
          <t>Студент3.17</t>
        </is>
      </c>
      <c r="B770" s="4" t="inlineStr"/>
      <c r="C770" s="4">
        <f>IF(A770="","",COUNTIF(F770:AI770,"+")+COUNTIF(F770:AI770,"1"))</f>
        <v/>
      </c>
      <c r="D770" s="4">
        <f>IF(A770="","",IF(C770&gt;2*COUNTA(F$753:AI$753)/3,1,IF(C770&gt;=COUNTA(F$753:AI$753)/2,0.8,0.5)))</f>
        <v/>
      </c>
      <c r="E770" s="4">
        <f>IF(A770="","",SUMIFS('Логи'!$H$4:$H$3006,'Логи'!$A$4:$A$3006,A770,'Логи'!$C$4:$C$3006,12))</f>
        <v/>
      </c>
      <c r="F770" s="15" t="n"/>
      <c r="G770" s="15" t="n"/>
      <c r="H770" s="15" t="n"/>
      <c r="I770" s="15" t="n"/>
      <c r="J770" s="15" t="n"/>
      <c r="K770" s="15" t="n"/>
      <c r="L770" s="15" t="n"/>
      <c r="M770" s="15" t="n"/>
      <c r="N770" s="15" t="n"/>
      <c r="O770" s="15" t="n"/>
      <c r="P770" s="15" t="n"/>
      <c r="Q770" s="15" t="n"/>
      <c r="R770" s="15" t="n"/>
      <c r="S770" s="15" t="n"/>
      <c r="T770" s="15" t="n"/>
      <c r="U770" s="15" t="n"/>
      <c r="V770" s="15" t="n"/>
      <c r="W770" s="15" t="n"/>
      <c r="X770" s="15" t="n"/>
      <c r="Y770" s="15" t="n"/>
      <c r="Z770" s="15" t="n"/>
      <c r="AA770" s="15" t="n"/>
      <c r="AB770" s="15" t="n"/>
      <c r="AC770" s="15" t="n"/>
      <c r="AD770" s="15" t="n"/>
      <c r="AE770" s="15" t="n"/>
      <c r="AF770" s="15" t="n"/>
      <c r="AG770" s="15" t="n"/>
      <c r="AH770" s="15" t="n"/>
      <c r="AI770" s="15" t="n"/>
    </row>
    <row r="771">
      <c r="A771" s="4" t="inlineStr">
        <is>
          <t>Студент3.18</t>
        </is>
      </c>
      <c r="B771" s="4" t="inlineStr"/>
      <c r="C771" s="4">
        <f>IF(A771="","",COUNTIF(F771:AI771,"+")+COUNTIF(F771:AI771,"1"))</f>
        <v/>
      </c>
      <c r="D771" s="4">
        <f>IF(A771="","",IF(C771&gt;2*COUNTA(F$753:AI$753)/3,1,IF(C771&gt;=COUNTA(F$753:AI$753)/2,0.8,0.5)))</f>
        <v/>
      </c>
      <c r="E771" s="4">
        <f>IF(A771="","",SUMIFS('Логи'!$H$4:$H$3006,'Логи'!$A$4:$A$3006,A771,'Логи'!$C$4:$C$3006,12))</f>
        <v/>
      </c>
      <c r="F771" s="15" t="n"/>
      <c r="G771" s="15" t="n"/>
      <c r="H771" s="15" t="n"/>
      <c r="I771" s="15" t="n"/>
      <c r="J771" s="15" t="n"/>
      <c r="K771" s="15" t="n"/>
      <c r="L771" s="15" t="n"/>
      <c r="M771" s="15" t="n"/>
      <c r="N771" s="15" t="n"/>
      <c r="O771" s="15" t="n"/>
      <c r="P771" s="15" t="n"/>
      <c r="Q771" s="15" t="n"/>
      <c r="R771" s="15" t="n"/>
      <c r="S771" s="15" t="n"/>
      <c r="T771" s="15" t="n"/>
      <c r="U771" s="15" t="n"/>
      <c r="V771" s="15" t="n"/>
      <c r="W771" s="15" t="n"/>
      <c r="X771" s="15" t="n"/>
      <c r="Y771" s="15" t="n"/>
      <c r="Z771" s="15" t="n"/>
      <c r="AA771" s="15" t="n"/>
      <c r="AB771" s="15" t="n"/>
      <c r="AC771" s="15" t="n"/>
      <c r="AD771" s="15" t="n"/>
      <c r="AE771" s="15" t="n"/>
      <c r="AF771" s="15" t="n"/>
      <c r="AG771" s="15" t="n"/>
      <c r="AH771" s="15" t="n"/>
      <c r="AI771" s="15" t="n"/>
    </row>
    <row r="772">
      <c r="A772" s="4" t="inlineStr">
        <is>
          <t>Студент3.19</t>
        </is>
      </c>
      <c r="B772" s="4" t="inlineStr"/>
      <c r="C772" s="4">
        <f>IF(A772="","",COUNTIF(F772:AI772,"+")+COUNTIF(F772:AI772,"1"))</f>
        <v/>
      </c>
      <c r="D772" s="4">
        <f>IF(A772="","",IF(C772&gt;2*COUNTA(F$753:AI$753)/3,1,IF(C772&gt;=COUNTA(F$753:AI$753)/2,0.8,0.5)))</f>
        <v/>
      </c>
      <c r="E772" s="4">
        <f>IF(A772="","",SUMIFS('Логи'!$H$4:$H$3006,'Логи'!$A$4:$A$3006,A772,'Логи'!$C$4:$C$3006,12))</f>
        <v/>
      </c>
      <c r="F772" s="15" t="n"/>
      <c r="G772" s="15" t="n"/>
      <c r="H772" s="15" t="n"/>
      <c r="I772" s="15" t="n"/>
      <c r="J772" s="15" t="n"/>
      <c r="K772" s="15" t="n"/>
      <c r="L772" s="15" t="n"/>
      <c r="M772" s="15" t="n"/>
      <c r="N772" s="15" t="n"/>
      <c r="O772" s="15" t="n"/>
      <c r="P772" s="15" t="n"/>
      <c r="Q772" s="15" t="n"/>
      <c r="R772" s="15" t="n"/>
      <c r="S772" s="15" t="n"/>
      <c r="T772" s="15" t="n"/>
      <c r="U772" s="15" t="n"/>
      <c r="V772" s="15" t="n"/>
      <c r="W772" s="15" t="n"/>
      <c r="X772" s="15" t="n"/>
      <c r="Y772" s="15" t="n"/>
      <c r="Z772" s="15" t="n"/>
      <c r="AA772" s="15" t="n"/>
      <c r="AB772" s="15" t="n"/>
      <c r="AC772" s="15" t="n"/>
      <c r="AD772" s="15" t="n"/>
      <c r="AE772" s="15" t="n"/>
      <c r="AF772" s="15" t="n"/>
      <c r="AG772" s="15" t="n"/>
      <c r="AH772" s="15" t="n"/>
      <c r="AI772" s="15" t="n"/>
    </row>
    <row r="773">
      <c r="A773" s="4" t="inlineStr">
        <is>
          <t>Студент3.20</t>
        </is>
      </c>
      <c r="B773" s="4" t="inlineStr"/>
      <c r="C773" s="4">
        <f>IF(A773="","",COUNTIF(F773:AI773,"+")+COUNTIF(F773:AI773,"1"))</f>
        <v/>
      </c>
      <c r="D773" s="4">
        <f>IF(A773="","",IF(C773&gt;2*COUNTA(F$753:AI$753)/3,1,IF(C773&gt;=COUNTA(F$753:AI$753)/2,0.8,0.5)))</f>
        <v/>
      </c>
      <c r="E773" s="4">
        <f>IF(A773="","",SUMIFS('Логи'!$H$4:$H$3006,'Логи'!$A$4:$A$3006,A773,'Логи'!$C$4:$C$3006,12))</f>
        <v/>
      </c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  <c r="O773" s="15" t="n"/>
      <c r="P773" s="15" t="n"/>
      <c r="Q773" s="15" t="n"/>
      <c r="R773" s="15" t="n"/>
      <c r="S773" s="15" t="n"/>
      <c r="T773" s="15" t="n"/>
      <c r="U773" s="15" t="n"/>
      <c r="V773" s="15" t="n"/>
      <c r="W773" s="15" t="n"/>
      <c r="X773" s="15" t="n"/>
      <c r="Y773" s="15" t="n"/>
      <c r="Z773" s="15" t="n"/>
      <c r="AA773" s="15" t="n"/>
      <c r="AB773" s="15" t="n"/>
      <c r="AC773" s="15" t="n"/>
      <c r="AD773" s="15" t="n"/>
      <c r="AE773" s="15" t="n"/>
      <c r="AF773" s="15" t="n"/>
      <c r="AG773" s="15" t="n"/>
      <c r="AH773" s="15" t="n"/>
      <c r="AI773" s="15" t="n"/>
    </row>
    <row r="774">
      <c r="A774" s="4" t="inlineStr">
        <is>
          <t>Студент3.21</t>
        </is>
      </c>
      <c r="B774" s="4" t="inlineStr"/>
      <c r="C774" s="4">
        <f>IF(A774="","",COUNTIF(F774:AI774,"+")+COUNTIF(F774:AI774,"1"))</f>
        <v/>
      </c>
      <c r="D774" s="4">
        <f>IF(A774="","",IF(C774&gt;2*COUNTA(F$753:AI$753)/3,1,IF(C774&gt;=COUNTA(F$753:AI$753)/2,0.8,0.5)))</f>
        <v/>
      </c>
      <c r="E774" s="4">
        <f>IF(A774="","",SUMIFS('Логи'!$H$4:$H$3006,'Логи'!$A$4:$A$3006,A774,'Логи'!$C$4:$C$3006,12))</f>
        <v/>
      </c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  <c r="O774" s="15" t="n"/>
      <c r="P774" s="15" t="n"/>
      <c r="Q774" s="15" t="n"/>
      <c r="R774" s="15" t="n"/>
      <c r="S774" s="15" t="n"/>
      <c r="T774" s="15" t="n"/>
      <c r="U774" s="15" t="n"/>
      <c r="V774" s="15" t="n"/>
      <c r="W774" s="15" t="n"/>
      <c r="X774" s="15" t="n"/>
      <c r="Y774" s="15" t="n"/>
      <c r="Z774" s="15" t="n"/>
      <c r="AA774" s="15" t="n"/>
      <c r="AB774" s="15" t="n"/>
      <c r="AC774" s="15" t="n"/>
      <c r="AD774" s="15" t="n"/>
      <c r="AE774" s="15" t="n"/>
      <c r="AF774" s="15" t="n"/>
      <c r="AG774" s="15" t="n"/>
      <c r="AH774" s="15" t="n"/>
      <c r="AI774" s="15" t="n"/>
    </row>
    <row r="775">
      <c r="A775" s="4" t="inlineStr">
        <is>
          <t>Студент3.22</t>
        </is>
      </c>
      <c r="B775" s="4" t="inlineStr"/>
      <c r="C775" s="4">
        <f>IF(A775="","",COUNTIF(F775:AI775,"+")+COUNTIF(F775:AI775,"1"))</f>
        <v/>
      </c>
      <c r="D775" s="4">
        <f>IF(A775="","",IF(C775&gt;2*COUNTA(F$753:AI$753)/3,1,IF(C775&gt;=COUNTA(F$753:AI$753)/2,0.8,0.5)))</f>
        <v/>
      </c>
      <c r="E775" s="4">
        <f>IF(A775="","",SUMIFS('Логи'!$H$4:$H$3006,'Логи'!$A$4:$A$3006,A775,'Логи'!$C$4:$C$3006,12))</f>
        <v/>
      </c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  <c r="O775" s="15" t="n"/>
      <c r="P775" s="15" t="n"/>
      <c r="Q775" s="15" t="n"/>
      <c r="R775" s="15" t="n"/>
      <c r="S775" s="15" t="n"/>
      <c r="T775" s="15" t="n"/>
      <c r="U775" s="15" t="n"/>
      <c r="V775" s="15" t="n"/>
      <c r="W775" s="15" t="n"/>
      <c r="X775" s="15" t="n"/>
      <c r="Y775" s="15" t="n"/>
      <c r="Z775" s="15" t="n"/>
      <c r="AA775" s="15" t="n"/>
      <c r="AB775" s="15" t="n"/>
      <c r="AC775" s="15" t="n"/>
      <c r="AD775" s="15" t="n"/>
      <c r="AE775" s="15" t="n"/>
      <c r="AF775" s="15" t="n"/>
      <c r="AG775" s="15" t="n"/>
      <c r="AH775" s="15" t="n"/>
      <c r="AI775" s="15" t="n"/>
    </row>
    <row r="776">
      <c r="A776" s="4" t="inlineStr">
        <is>
          <t>Студент3.23</t>
        </is>
      </c>
      <c r="B776" s="4" t="inlineStr"/>
      <c r="C776" s="4">
        <f>IF(A776="","",COUNTIF(F776:AI776,"+")+COUNTIF(F776:AI776,"1"))</f>
        <v/>
      </c>
      <c r="D776" s="4">
        <f>IF(A776="","",IF(C776&gt;2*COUNTA(F$753:AI$753)/3,1,IF(C776&gt;=COUNTA(F$753:AI$753)/2,0.8,0.5)))</f>
        <v/>
      </c>
      <c r="E776" s="4">
        <f>IF(A776="","",SUMIFS('Логи'!$H$4:$H$3006,'Логи'!$A$4:$A$3006,A776,'Логи'!$C$4:$C$3006,12))</f>
        <v/>
      </c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  <c r="O776" s="15" t="n"/>
      <c r="P776" s="15" t="n"/>
      <c r="Q776" s="15" t="n"/>
      <c r="R776" s="15" t="n"/>
      <c r="S776" s="15" t="n"/>
      <c r="T776" s="15" t="n"/>
      <c r="U776" s="15" t="n"/>
      <c r="V776" s="15" t="n"/>
      <c r="W776" s="15" t="n"/>
      <c r="X776" s="15" t="n"/>
      <c r="Y776" s="15" t="n"/>
      <c r="Z776" s="15" t="n"/>
      <c r="AA776" s="15" t="n"/>
      <c r="AB776" s="15" t="n"/>
      <c r="AC776" s="15" t="n"/>
      <c r="AD776" s="15" t="n"/>
      <c r="AE776" s="15" t="n"/>
      <c r="AF776" s="15" t="n"/>
      <c r="AG776" s="15" t="n"/>
      <c r="AH776" s="15" t="n"/>
      <c r="AI776" s="15" t="n"/>
    </row>
    <row r="777">
      <c r="A777" s="4" t="inlineStr">
        <is>
          <t>Студент3.24</t>
        </is>
      </c>
      <c r="B777" s="4" t="inlineStr"/>
      <c r="C777" s="4">
        <f>IF(A777="","",COUNTIF(F777:AI777,"+")+COUNTIF(F777:AI777,"1"))</f>
        <v/>
      </c>
      <c r="D777" s="4">
        <f>IF(A777="","",IF(C777&gt;2*COUNTA(F$753:AI$753)/3,1,IF(C777&gt;=COUNTA(F$753:AI$753)/2,0.8,0.5)))</f>
        <v/>
      </c>
      <c r="E777" s="4">
        <f>IF(A777="","",SUMIFS('Логи'!$H$4:$H$3006,'Логи'!$A$4:$A$3006,A777,'Логи'!$C$4:$C$3006,12))</f>
        <v/>
      </c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  <c r="O777" s="15" t="n"/>
      <c r="P777" s="15" t="n"/>
      <c r="Q777" s="15" t="n"/>
      <c r="R777" s="15" t="n"/>
      <c r="S777" s="15" t="n"/>
      <c r="T777" s="15" t="n"/>
      <c r="U777" s="15" t="n"/>
      <c r="V777" s="15" t="n"/>
      <c r="W777" s="15" t="n"/>
      <c r="X777" s="15" t="n"/>
      <c r="Y777" s="15" t="n"/>
      <c r="Z777" s="15" t="n"/>
      <c r="AA777" s="15" t="n"/>
      <c r="AB777" s="15" t="n"/>
      <c r="AC777" s="15" t="n"/>
      <c r="AD777" s="15" t="n"/>
      <c r="AE777" s="15" t="n"/>
      <c r="AF777" s="15" t="n"/>
      <c r="AG777" s="15" t="n"/>
      <c r="AH777" s="15" t="n"/>
      <c r="AI777" s="15" t="n"/>
    </row>
    <row r="778">
      <c r="A778" s="4" t="inlineStr">
        <is>
          <t>Студент3.25</t>
        </is>
      </c>
      <c r="B778" s="4" t="inlineStr"/>
      <c r="C778" s="4">
        <f>IF(A778="","",COUNTIF(F778:AI778,"+")+COUNTIF(F778:AI778,"1"))</f>
        <v/>
      </c>
      <c r="D778" s="4">
        <f>IF(A778="","",IF(C778&gt;2*COUNTA(F$753:AI$753)/3,1,IF(C778&gt;=COUNTA(F$753:AI$753)/2,0.8,0.5)))</f>
        <v/>
      </c>
      <c r="E778" s="4">
        <f>IF(A778="","",SUMIFS('Логи'!$H$4:$H$3006,'Логи'!$A$4:$A$3006,A778,'Логи'!$C$4:$C$3006,12))</f>
        <v/>
      </c>
      <c r="F778" s="15" t="n"/>
      <c r="G778" s="15" t="n"/>
      <c r="H778" s="15" t="n"/>
      <c r="I778" s="15" t="n"/>
      <c r="J778" s="15" t="n"/>
      <c r="K778" s="15" t="n"/>
      <c r="L778" s="15" t="n"/>
      <c r="M778" s="15" t="n"/>
      <c r="N778" s="15" t="n"/>
      <c r="O778" s="15" t="n"/>
      <c r="P778" s="15" t="n"/>
      <c r="Q778" s="15" t="n"/>
      <c r="R778" s="15" t="n"/>
      <c r="S778" s="15" t="n"/>
      <c r="T778" s="15" t="n"/>
      <c r="U778" s="15" t="n"/>
      <c r="V778" s="15" t="n"/>
      <c r="W778" s="15" t="n"/>
      <c r="X778" s="15" t="n"/>
      <c r="Y778" s="15" t="n"/>
      <c r="Z778" s="15" t="n"/>
      <c r="AA778" s="15" t="n"/>
      <c r="AB778" s="15" t="n"/>
      <c r="AC778" s="15" t="n"/>
      <c r="AD778" s="15" t="n"/>
      <c r="AE778" s="15" t="n"/>
      <c r="AF778" s="15" t="n"/>
      <c r="AG778" s="15" t="n"/>
      <c r="AH778" s="15" t="n"/>
      <c r="AI778" s="15" t="n"/>
    </row>
    <row r="779">
      <c r="A779" s="4" t="inlineStr">
        <is>
          <t>Студент3.26</t>
        </is>
      </c>
      <c r="B779" s="4" t="inlineStr"/>
      <c r="C779" s="4">
        <f>IF(A779="","",COUNTIF(F779:AI779,"+")+COUNTIF(F779:AI779,"1"))</f>
        <v/>
      </c>
      <c r="D779" s="4">
        <f>IF(A779="","",IF(C779&gt;2*COUNTA(F$753:AI$753)/3,1,IF(C779&gt;=COUNTA(F$753:AI$753)/2,0.8,0.5)))</f>
        <v/>
      </c>
      <c r="E779" s="4">
        <f>IF(A779="","",SUMIFS('Логи'!$H$4:$H$3006,'Логи'!$A$4:$A$3006,A779,'Логи'!$C$4:$C$3006,12))</f>
        <v/>
      </c>
      <c r="F779" s="15" t="n"/>
      <c r="G779" s="15" t="n"/>
      <c r="H779" s="15" t="n"/>
      <c r="I779" s="15" t="n"/>
      <c r="J779" s="15" t="n"/>
      <c r="K779" s="15" t="n"/>
      <c r="L779" s="15" t="n"/>
      <c r="M779" s="15" t="n"/>
      <c r="N779" s="15" t="n"/>
      <c r="O779" s="15" t="n"/>
      <c r="P779" s="15" t="n"/>
      <c r="Q779" s="15" t="n"/>
      <c r="R779" s="15" t="n"/>
      <c r="S779" s="15" t="n"/>
      <c r="T779" s="15" t="n"/>
      <c r="U779" s="15" t="n"/>
      <c r="V779" s="15" t="n"/>
      <c r="W779" s="15" t="n"/>
      <c r="X779" s="15" t="n"/>
      <c r="Y779" s="15" t="n"/>
      <c r="Z779" s="15" t="n"/>
      <c r="AA779" s="15" t="n"/>
      <c r="AB779" s="15" t="n"/>
      <c r="AC779" s="15" t="n"/>
      <c r="AD779" s="15" t="n"/>
      <c r="AE779" s="15" t="n"/>
      <c r="AF779" s="15" t="n"/>
      <c r="AG779" s="15" t="n"/>
      <c r="AH779" s="15" t="n"/>
      <c r="AI779" s="15" t="n"/>
    </row>
    <row r="780">
      <c r="A780" s="4" t="inlineStr">
        <is>
          <t>Студент3.27</t>
        </is>
      </c>
      <c r="B780" s="4" t="inlineStr"/>
      <c r="C780" s="4">
        <f>IF(A780="","",COUNTIF(F780:AI780,"+")+COUNTIF(F780:AI780,"1"))</f>
        <v/>
      </c>
      <c r="D780" s="4">
        <f>IF(A780="","",IF(C780&gt;2*COUNTA(F$753:AI$753)/3,1,IF(C780&gt;=COUNTA(F$753:AI$753)/2,0.8,0.5)))</f>
        <v/>
      </c>
      <c r="E780" s="4">
        <f>IF(A780="","",SUMIFS('Логи'!$H$4:$H$3006,'Логи'!$A$4:$A$3006,A780,'Логи'!$C$4:$C$3006,12))</f>
        <v/>
      </c>
      <c r="F780" s="15" t="n"/>
      <c r="G780" s="15" t="n"/>
      <c r="H780" s="15" t="n"/>
      <c r="I780" s="15" t="n"/>
      <c r="J780" s="15" t="n"/>
      <c r="K780" s="15" t="n"/>
      <c r="L780" s="15" t="n"/>
      <c r="M780" s="15" t="n"/>
      <c r="N780" s="15" t="n"/>
      <c r="O780" s="15" t="n"/>
      <c r="P780" s="15" t="n"/>
      <c r="Q780" s="15" t="n"/>
      <c r="R780" s="15" t="n"/>
      <c r="S780" s="15" t="n"/>
      <c r="T780" s="15" t="n"/>
      <c r="U780" s="15" t="n"/>
      <c r="V780" s="15" t="n"/>
      <c r="W780" s="15" t="n"/>
      <c r="X780" s="15" t="n"/>
      <c r="Y780" s="15" t="n"/>
      <c r="Z780" s="15" t="n"/>
      <c r="AA780" s="15" t="n"/>
      <c r="AB780" s="15" t="n"/>
      <c r="AC780" s="15" t="n"/>
      <c r="AD780" s="15" t="n"/>
      <c r="AE780" s="15" t="n"/>
      <c r="AF780" s="15" t="n"/>
      <c r="AG780" s="15" t="n"/>
      <c r="AH780" s="15" t="n"/>
      <c r="AI780" s="15" t="n"/>
    </row>
    <row r="781">
      <c r="A781" s="4" t="inlineStr">
        <is>
          <t>Студент3.28</t>
        </is>
      </c>
      <c r="B781" s="4" t="inlineStr"/>
      <c r="C781" s="4">
        <f>IF(A781="","",COUNTIF(F781:AI781,"+")+COUNTIF(F781:AI781,"1"))</f>
        <v/>
      </c>
      <c r="D781" s="4">
        <f>IF(A781="","",IF(C781&gt;2*COUNTA(F$753:AI$753)/3,1,IF(C781&gt;=COUNTA(F$753:AI$753)/2,0.8,0.5)))</f>
        <v/>
      </c>
      <c r="E781" s="4">
        <f>IF(A781="","",SUMIFS('Логи'!$H$4:$H$3006,'Логи'!$A$4:$A$3006,A781,'Логи'!$C$4:$C$3006,12))</f>
        <v/>
      </c>
      <c r="F781" s="15" t="n"/>
      <c r="G781" s="15" t="n"/>
      <c r="H781" s="15" t="n"/>
      <c r="I781" s="15" t="n"/>
      <c r="J781" s="15" t="n"/>
      <c r="K781" s="15" t="n"/>
      <c r="L781" s="15" t="n"/>
      <c r="M781" s="15" t="n"/>
      <c r="N781" s="15" t="n"/>
      <c r="O781" s="15" t="n"/>
      <c r="P781" s="15" t="n"/>
      <c r="Q781" s="15" t="n"/>
      <c r="R781" s="15" t="n"/>
      <c r="S781" s="15" t="n"/>
      <c r="T781" s="15" t="n"/>
      <c r="U781" s="15" t="n"/>
      <c r="V781" s="15" t="n"/>
      <c r="W781" s="15" t="n"/>
      <c r="X781" s="15" t="n"/>
      <c r="Y781" s="15" t="n"/>
      <c r="Z781" s="15" t="n"/>
      <c r="AA781" s="15" t="n"/>
      <c r="AB781" s="15" t="n"/>
      <c r="AC781" s="15" t="n"/>
      <c r="AD781" s="15" t="n"/>
      <c r="AE781" s="15" t="n"/>
      <c r="AF781" s="15" t="n"/>
      <c r="AG781" s="15" t="n"/>
      <c r="AH781" s="15" t="n"/>
      <c r="AI781" s="15" t="n"/>
    </row>
    <row r="782">
      <c r="A782" s="4" t="inlineStr">
        <is>
          <t>Студент3.29</t>
        </is>
      </c>
      <c r="B782" s="4" t="inlineStr"/>
      <c r="C782" s="4">
        <f>IF(A782="","",COUNTIF(F782:AI782,"+")+COUNTIF(F782:AI782,"1"))</f>
        <v/>
      </c>
      <c r="D782" s="4">
        <f>IF(A782="","",IF(C782&gt;2*COUNTA(F$753:AI$753)/3,1,IF(C782&gt;=COUNTA(F$753:AI$753)/2,0.8,0.5)))</f>
        <v/>
      </c>
      <c r="E782" s="4">
        <f>IF(A782="","",SUMIFS('Логи'!$H$4:$H$3006,'Логи'!$A$4:$A$3006,A782,'Логи'!$C$4:$C$3006,12))</f>
        <v/>
      </c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  <c r="O782" s="15" t="n"/>
      <c r="P782" s="15" t="n"/>
      <c r="Q782" s="15" t="n"/>
      <c r="R782" s="15" t="n"/>
      <c r="S782" s="15" t="n"/>
      <c r="T782" s="15" t="n"/>
      <c r="U782" s="15" t="n"/>
      <c r="V782" s="15" t="n"/>
      <c r="W782" s="15" t="n"/>
      <c r="X782" s="15" t="n"/>
      <c r="Y782" s="15" t="n"/>
      <c r="Z782" s="15" t="n"/>
      <c r="AA782" s="15" t="n"/>
      <c r="AB782" s="15" t="n"/>
      <c r="AC782" s="15" t="n"/>
      <c r="AD782" s="15" t="n"/>
      <c r="AE782" s="15" t="n"/>
      <c r="AF782" s="15" t="n"/>
      <c r="AG782" s="15" t="n"/>
      <c r="AH782" s="15" t="n"/>
      <c r="AI782" s="15" t="n"/>
    </row>
    <row r="783">
      <c r="A783" s="4" t="inlineStr">
        <is>
          <t>Студент3.30</t>
        </is>
      </c>
      <c r="B783" s="4" t="inlineStr"/>
      <c r="C783" s="4">
        <f>IF(A783="","",COUNTIF(F783:AI783,"+")+COUNTIF(F783:AI783,"1"))</f>
        <v/>
      </c>
      <c r="D783" s="4">
        <f>IF(A783="","",IF(C783&gt;2*COUNTA(F$753:AI$753)/3,1,IF(C783&gt;=COUNTA(F$753:AI$753)/2,0.8,0.5)))</f>
        <v/>
      </c>
      <c r="E783" s="4">
        <f>IF(A783="","",SUMIFS('Логи'!$H$4:$H$3006,'Логи'!$A$4:$A$3006,A783,'Логи'!$C$4:$C$3006,12))</f>
        <v/>
      </c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  <c r="O783" s="15" t="n"/>
      <c r="P783" s="15" t="n"/>
      <c r="Q783" s="15" t="n"/>
      <c r="R783" s="15" t="n"/>
      <c r="S783" s="15" t="n"/>
      <c r="T783" s="15" t="n"/>
      <c r="U783" s="15" t="n"/>
      <c r="V783" s="15" t="n"/>
      <c r="W783" s="15" t="n"/>
      <c r="X783" s="15" t="n"/>
      <c r="Y783" s="15" t="n"/>
      <c r="Z783" s="15" t="n"/>
      <c r="AA783" s="15" t="n"/>
      <c r="AB783" s="15" t="n"/>
      <c r="AC783" s="15" t="n"/>
      <c r="AD783" s="15" t="n"/>
      <c r="AE783" s="15" t="n"/>
      <c r="AF783" s="15" t="n"/>
      <c r="AG783" s="15" t="n"/>
      <c r="AH783" s="15" t="n"/>
      <c r="AI783" s="15" t="n"/>
    </row>
    <row r="785">
      <c r="A785" s="16" t="inlineStr">
        <is>
          <t>Практика 12 — результаты рассказа</t>
        </is>
      </c>
    </row>
    <row r="786" ht="28" customHeight="1">
      <c r="A786" s="7" t="inlineStr">
        <is>
          <t>Имя</t>
        </is>
      </c>
      <c r="B786" s="9" t="inlineStr">
        <is>
          <t>TG</t>
        </is>
      </c>
      <c r="C786" s="10" t="inlineStr"/>
      <c r="D786" s="2" t="inlineStr"/>
      <c r="E786" s="2" t="inlineStr"/>
      <c r="F786" s="11" t="inlineStr">
        <is>
          <t>1.0</t>
        </is>
      </c>
      <c r="G786" s="11" t="inlineStr">
        <is>
          <t>2.0</t>
        </is>
      </c>
      <c r="H786" s="11" t="inlineStr">
        <is>
          <t>3.0</t>
        </is>
      </c>
      <c r="I786" s="11" t="inlineStr">
        <is>
          <t>4.0</t>
        </is>
      </c>
      <c r="J786" s="11" t="inlineStr">
        <is>
          <t>5.0</t>
        </is>
      </c>
      <c r="K786" s="11" t="inlineStr">
        <is>
          <t>6</t>
        </is>
      </c>
      <c r="L786" s="11" t="inlineStr">
        <is>
          <t>7</t>
        </is>
      </c>
      <c r="M786" s="11" t="inlineStr">
        <is>
          <t>8</t>
        </is>
      </c>
      <c r="N786" s="11" t="inlineStr">
        <is>
          <t>9</t>
        </is>
      </c>
      <c r="O786" s="11" t="inlineStr">
        <is>
          <t>10</t>
        </is>
      </c>
      <c r="P786" s="11" t="inlineStr">
        <is>
          <t>11</t>
        </is>
      </c>
      <c r="Q786" s="11" t="inlineStr">
        <is>
          <t>12</t>
        </is>
      </c>
      <c r="R786" s="11" t="inlineStr">
        <is>
          <t>13</t>
        </is>
      </c>
      <c r="S786" s="11" t="inlineStr">
        <is>
          <t>14</t>
        </is>
      </c>
      <c r="T786" s="11" t="inlineStr">
        <is>
          <t>15</t>
        </is>
      </c>
      <c r="U786" s="11" t="inlineStr">
        <is>
          <t>16</t>
        </is>
      </c>
      <c r="V786" s="11" t="inlineStr">
        <is>
          <t>17</t>
        </is>
      </c>
      <c r="W786" s="11" t="inlineStr">
        <is>
          <t>18</t>
        </is>
      </c>
      <c r="X786" s="11" t="inlineStr">
        <is>
          <t>19</t>
        </is>
      </c>
      <c r="Y786" s="11" t="inlineStr">
        <is>
          <t>20</t>
        </is>
      </c>
      <c r="Z786" s="11" t="inlineStr">
        <is>
          <t>21</t>
        </is>
      </c>
      <c r="AA786" s="11" t="inlineStr">
        <is>
          <t>22</t>
        </is>
      </c>
      <c r="AB786" s="11" t="inlineStr">
        <is>
          <t>23</t>
        </is>
      </c>
      <c r="AC786" s="11" t="inlineStr">
        <is>
          <t>24</t>
        </is>
      </c>
      <c r="AD786" s="11" t="inlineStr">
        <is>
          <t>25</t>
        </is>
      </c>
      <c r="AE786" s="11" t="inlineStr">
        <is>
          <t>26</t>
        </is>
      </c>
      <c r="AF786" s="11" t="inlineStr">
        <is>
          <t>27</t>
        </is>
      </c>
      <c r="AG786" s="11" t="inlineStr">
        <is>
          <t>28</t>
        </is>
      </c>
      <c r="AH786" s="11" t="inlineStr">
        <is>
          <t>29</t>
        </is>
      </c>
      <c r="AI786" s="11" t="inlineStr">
        <is>
          <t>30</t>
        </is>
      </c>
    </row>
    <row r="787">
      <c r="A787" s="4" t="inlineStr">
        <is>
          <t>Студент3.1</t>
        </is>
      </c>
      <c r="B787" s="4" t="inlineStr"/>
      <c r="C787" s="4" t="n"/>
      <c r="D787" s="4" t="n"/>
      <c r="E787" s="4" t="n"/>
      <c r="F787" s="15" t="n"/>
      <c r="G787" s="15" t="n"/>
      <c r="H787" s="15" t="n"/>
      <c r="I787" s="15" t="n"/>
      <c r="J787" s="15" t="n"/>
      <c r="K787" s="15" t="n"/>
      <c r="L787" s="15" t="n"/>
      <c r="M787" s="15" t="n"/>
      <c r="N787" s="15" t="n"/>
      <c r="O787" s="15" t="n"/>
      <c r="P787" s="15" t="n"/>
      <c r="Q787" s="15" t="n"/>
      <c r="R787" s="15" t="n"/>
      <c r="S787" s="15" t="n"/>
      <c r="T787" s="15" t="n"/>
      <c r="U787" s="15" t="n"/>
      <c r="V787" s="15" t="n"/>
      <c r="W787" s="15" t="n"/>
      <c r="X787" s="15" t="n"/>
      <c r="Y787" s="15" t="n"/>
      <c r="Z787" s="15" t="n"/>
      <c r="AA787" s="15" t="n"/>
      <c r="AB787" s="15" t="n"/>
      <c r="AC787" s="15" t="n"/>
      <c r="AD787" s="15" t="n"/>
      <c r="AE787" s="15" t="n"/>
      <c r="AF787" s="15" t="n"/>
      <c r="AG787" s="15" t="n"/>
      <c r="AH787" s="15" t="n"/>
      <c r="AI787" s="15" t="n"/>
    </row>
    <row r="788">
      <c r="A788" s="4" t="inlineStr">
        <is>
          <t>Студент3.2</t>
        </is>
      </c>
      <c r="B788" s="4" t="inlineStr"/>
      <c r="C788" s="4" t="n"/>
      <c r="D788" s="4" t="n"/>
      <c r="E788" s="4" t="n"/>
      <c r="F788" s="15" t="n"/>
      <c r="G788" s="15" t="n"/>
      <c r="H788" s="15" t="n"/>
      <c r="I788" s="15" t="n"/>
      <c r="J788" s="15" t="n"/>
      <c r="K788" s="15" t="n"/>
      <c r="L788" s="15" t="n"/>
      <c r="M788" s="15" t="n"/>
      <c r="N788" s="15" t="n"/>
      <c r="O788" s="15" t="n"/>
      <c r="P788" s="15" t="n"/>
      <c r="Q788" s="15" t="n"/>
      <c r="R788" s="15" t="n"/>
      <c r="S788" s="15" t="n"/>
      <c r="T788" s="15" t="n"/>
      <c r="U788" s="15" t="n"/>
      <c r="V788" s="15" t="n"/>
      <c r="W788" s="15" t="n"/>
      <c r="X788" s="15" t="n"/>
      <c r="Y788" s="15" t="n"/>
      <c r="Z788" s="15" t="n"/>
      <c r="AA788" s="15" t="n"/>
      <c r="AB788" s="15" t="n"/>
      <c r="AC788" s="15" t="n"/>
      <c r="AD788" s="15" t="n"/>
      <c r="AE788" s="15" t="n"/>
      <c r="AF788" s="15" t="n"/>
      <c r="AG788" s="15" t="n"/>
      <c r="AH788" s="15" t="n"/>
      <c r="AI788" s="15" t="n"/>
    </row>
    <row r="789">
      <c r="A789" s="4" t="inlineStr">
        <is>
          <t>Студент3.3</t>
        </is>
      </c>
      <c r="B789" s="4" t="inlineStr"/>
      <c r="C789" s="4" t="n"/>
      <c r="D789" s="4" t="n"/>
      <c r="E789" s="4" t="n"/>
      <c r="F789" s="15" t="n"/>
      <c r="G789" s="15" t="n"/>
      <c r="H789" s="15" t="n"/>
      <c r="I789" s="15" t="n"/>
      <c r="J789" s="15" t="n"/>
      <c r="K789" s="15" t="n"/>
      <c r="L789" s="15" t="n"/>
      <c r="M789" s="15" t="n"/>
      <c r="N789" s="15" t="n"/>
      <c r="O789" s="15" t="n"/>
      <c r="P789" s="15" t="n"/>
      <c r="Q789" s="15" t="n"/>
      <c r="R789" s="15" t="n"/>
      <c r="S789" s="15" t="n"/>
      <c r="T789" s="15" t="n"/>
      <c r="U789" s="15" t="n"/>
      <c r="V789" s="15" t="n"/>
      <c r="W789" s="15" t="n"/>
      <c r="X789" s="15" t="n"/>
      <c r="Y789" s="15" t="n"/>
      <c r="Z789" s="15" t="n"/>
      <c r="AA789" s="15" t="n"/>
      <c r="AB789" s="15" t="n"/>
      <c r="AC789" s="15" t="n"/>
      <c r="AD789" s="15" t="n"/>
      <c r="AE789" s="15" t="n"/>
      <c r="AF789" s="15" t="n"/>
      <c r="AG789" s="15" t="n"/>
      <c r="AH789" s="15" t="n"/>
      <c r="AI789" s="15" t="n"/>
    </row>
    <row r="790">
      <c r="A790" s="4" t="inlineStr">
        <is>
          <t>Студент3.4</t>
        </is>
      </c>
      <c r="B790" s="4" t="inlineStr"/>
      <c r="C790" s="4" t="n"/>
      <c r="D790" s="4" t="n"/>
      <c r="E790" s="4" t="n"/>
      <c r="F790" s="15" t="n"/>
      <c r="G790" s="15" t="n"/>
      <c r="H790" s="15" t="n"/>
      <c r="I790" s="15" t="n"/>
      <c r="J790" s="15" t="n"/>
      <c r="K790" s="15" t="n"/>
      <c r="L790" s="15" t="n"/>
      <c r="M790" s="15" t="n"/>
      <c r="N790" s="15" t="n"/>
      <c r="O790" s="15" t="n"/>
      <c r="P790" s="15" t="n"/>
      <c r="Q790" s="15" t="n"/>
      <c r="R790" s="15" t="n"/>
      <c r="S790" s="15" t="n"/>
      <c r="T790" s="15" t="n"/>
      <c r="U790" s="15" t="n"/>
      <c r="V790" s="15" t="n"/>
      <c r="W790" s="15" t="n"/>
      <c r="X790" s="15" t="n"/>
      <c r="Y790" s="15" t="n"/>
      <c r="Z790" s="15" t="n"/>
      <c r="AA790" s="15" t="n"/>
      <c r="AB790" s="15" t="n"/>
      <c r="AC790" s="15" t="n"/>
      <c r="AD790" s="15" t="n"/>
      <c r="AE790" s="15" t="n"/>
      <c r="AF790" s="15" t="n"/>
      <c r="AG790" s="15" t="n"/>
      <c r="AH790" s="15" t="n"/>
      <c r="AI790" s="15" t="n"/>
    </row>
    <row r="791">
      <c r="A791" s="4" t="inlineStr">
        <is>
          <t>Студент3.5</t>
        </is>
      </c>
      <c r="B791" s="4" t="inlineStr"/>
      <c r="C791" s="4" t="n"/>
      <c r="D791" s="4" t="n"/>
      <c r="E791" s="4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  <c r="O791" s="15" t="n"/>
      <c r="P791" s="15" t="n"/>
      <c r="Q791" s="15" t="n"/>
      <c r="R791" s="15" t="n"/>
      <c r="S791" s="15" t="n"/>
      <c r="T791" s="15" t="n"/>
      <c r="U791" s="15" t="n"/>
      <c r="V791" s="15" t="n"/>
      <c r="W791" s="15" t="n"/>
      <c r="X791" s="15" t="n"/>
      <c r="Y791" s="15" t="n"/>
      <c r="Z791" s="15" t="n"/>
      <c r="AA791" s="15" t="n"/>
      <c r="AB791" s="15" t="n"/>
      <c r="AC791" s="15" t="n"/>
      <c r="AD791" s="15" t="n"/>
      <c r="AE791" s="15" t="n"/>
      <c r="AF791" s="15" t="n"/>
      <c r="AG791" s="15" t="n"/>
      <c r="AH791" s="15" t="n"/>
      <c r="AI791" s="15" t="n"/>
    </row>
    <row r="792">
      <c r="A792" s="4" t="inlineStr">
        <is>
          <t>Студент3.6</t>
        </is>
      </c>
      <c r="B792" s="4" t="inlineStr"/>
      <c r="C792" s="4" t="n"/>
      <c r="D792" s="4" t="n"/>
      <c r="E792" s="4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  <c r="O792" s="15" t="n"/>
      <c r="P792" s="15" t="n"/>
      <c r="Q792" s="15" t="n"/>
      <c r="R792" s="15" t="n"/>
      <c r="S792" s="15" t="n"/>
      <c r="T792" s="15" t="n"/>
      <c r="U792" s="15" t="n"/>
      <c r="V792" s="15" t="n"/>
      <c r="W792" s="15" t="n"/>
      <c r="X792" s="15" t="n"/>
      <c r="Y792" s="15" t="n"/>
      <c r="Z792" s="15" t="n"/>
      <c r="AA792" s="15" t="n"/>
      <c r="AB792" s="15" t="n"/>
      <c r="AC792" s="15" t="n"/>
      <c r="AD792" s="15" t="n"/>
      <c r="AE792" s="15" t="n"/>
      <c r="AF792" s="15" t="n"/>
      <c r="AG792" s="15" t="n"/>
      <c r="AH792" s="15" t="n"/>
      <c r="AI792" s="15" t="n"/>
    </row>
    <row r="793">
      <c r="A793" s="4" t="inlineStr">
        <is>
          <t>Студент3.7</t>
        </is>
      </c>
      <c r="B793" s="4" t="inlineStr"/>
      <c r="C793" s="4" t="n"/>
      <c r="D793" s="4" t="n"/>
      <c r="E793" s="4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  <c r="O793" s="15" t="n"/>
      <c r="P793" s="15" t="n"/>
      <c r="Q793" s="15" t="n"/>
      <c r="R793" s="15" t="n"/>
      <c r="S793" s="15" t="n"/>
      <c r="T793" s="15" t="n"/>
      <c r="U793" s="15" t="n"/>
      <c r="V793" s="15" t="n"/>
      <c r="W793" s="15" t="n"/>
      <c r="X793" s="15" t="n"/>
      <c r="Y793" s="15" t="n"/>
      <c r="Z793" s="15" t="n"/>
      <c r="AA793" s="15" t="n"/>
      <c r="AB793" s="15" t="n"/>
      <c r="AC793" s="15" t="n"/>
      <c r="AD793" s="15" t="n"/>
      <c r="AE793" s="15" t="n"/>
      <c r="AF793" s="15" t="n"/>
      <c r="AG793" s="15" t="n"/>
      <c r="AH793" s="15" t="n"/>
      <c r="AI793" s="15" t="n"/>
    </row>
    <row r="794">
      <c r="A794" s="4" t="inlineStr">
        <is>
          <t>Студент3.8</t>
        </is>
      </c>
      <c r="B794" s="4" t="inlineStr"/>
      <c r="C794" s="4" t="n"/>
      <c r="D794" s="4" t="n"/>
      <c r="E794" s="4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  <c r="O794" s="15" t="n"/>
      <c r="P794" s="15" t="n"/>
      <c r="Q794" s="15" t="n"/>
      <c r="R794" s="15" t="n"/>
      <c r="S794" s="15" t="n"/>
      <c r="T794" s="15" t="n"/>
      <c r="U794" s="15" t="n"/>
      <c r="V794" s="15" t="n"/>
      <c r="W794" s="15" t="n"/>
      <c r="X794" s="15" t="n"/>
      <c r="Y794" s="15" t="n"/>
      <c r="Z794" s="15" t="n"/>
      <c r="AA794" s="15" t="n"/>
      <c r="AB794" s="15" t="n"/>
      <c r="AC794" s="15" t="n"/>
      <c r="AD794" s="15" t="n"/>
      <c r="AE794" s="15" t="n"/>
      <c r="AF794" s="15" t="n"/>
      <c r="AG794" s="15" t="n"/>
      <c r="AH794" s="15" t="n"/>
      <c r="AI794" s="15" t="n"/>
    </row>
    <row r="795">
      <c r="A795" s="4" t="inlineStr">
        <is>
          <t>Студент3.9</t>
        </is>
      </c>
      <c r="B795" s="4" t="inlineStr"/>
      <c r="C795" s="4" t="n"/>
      <c r="D795" s="4" t="n"/>
      <c r="E795" s="4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  <c r="O795" s="15" t="n"/>
      <c r="P795" s="15" t="n"/>
      <c r="Q795" s="15" t="n"/>
      <c r="R795" s="15" t="n"/>
      <c r="S795" s="15" t="n"/>
      <c r="T795" s="15" t="n"/>
      <c r="U795" s="15" t="n"/>
      <c r="V795" s="15" t="n"/>
      <c r="W795" s="15" t="n"/>
      <c r="X795" s="15" t="n"/>
      <c r="Y795" s="15" t="n"/>
      <c r="Z795" s="15" t="n"/>
      <c r="AA795" s="15" t="n"/>
      <c r="AB795" s="15" t="n"/>
      <c r="AC795" s="15" t="n"/>
      <c r="AD795" s="15" t="n"/>
      <c r="AE795" s="15" t="n"/>
      <c r="AF795" s="15" t="n"/>
      <c r="AG795" s="15" t="n"/>
      <c r="AH795" s="15" t="n"/>
      <c r="AI795" s="15" t="n"/>
    </row>
    <row r="796">
      <c r="A796" s="4" t="inlineStr">
        <is>
          <t>Студент3.10</t>
        </is>
      </c>
      <c r="B796" s="4" t="inlineStr"/>
      <c r="C796" s="4" t="n"/>
      <c r="D796" s="4" t="n"/>
      <c r="E796" s="4" t="n"/>
      <c r="F796" s="15" t="n"/>
      <c r="G796" s="15" t="n"/>
      <c r="H796" s="15" t="n"/>
      <c r="I796" s="15" t="n"/>
      <c r="J796" s="15" t="n"/>
      <c r="K796" s="15" t="n"/>
      <c r="L796" s="15" t="n"/>
      <c r="M796" s="15" t="n"/>
      <c r="N796" s="15" t="n"/>
      <c r="O796" s="15" t="n"/>
      <c r="P796" s="15" t="n"/>
      <c r="Q796" s="15" t="n"/>
      <c r="R796" s="15" t="n"/>
      <c r="S796" s="15" t="n"/>
      <c r="T796" s="15" t="n"/>
      <c r="U796" s="15" t="n"/>
      <c r="V796" s="15" t="n"/>
      <c r="W796" s="15" t="n"/>
      <c r="X796" s="15" t="n"/>
      <c r="Y796" s="15" t="n"/>
      <c r="Z796" s="15" t="n"/>
      <c r="AA796" s="15" t="n"/>
      <c r="AB796" s="15" t="n"/>
      <c r="AC796" s="15" t="n"/>
      <c r="AD796" s="15" t="n"/>
      <c r="AE796" s="15" t="n"/>
      <c r="AF796" s="15" t="n"/>
      <c r="AG796" s="15" t="n"/>
      <c r="AH796" s="15" t="n"/>
      <c r="AI796" s="15" t="n"/>
    </row>
    <row r="797">
      <c r="A797" s="4" t="inlineStr">
        <is>
          <t>Студент3.11</t>
        </is>
      </c>
      <c r="B797" s="4" t="inlineStr"/>
      <c r="C797" s="4" t="n"/>
      <c r="D797" s="4" t="n"/>
      <c r="E797" s="4" t="n"/>
      <c r="F797" s="15" t="n"/>
      <c r="G797" s="15" t="n"/>
      <c r="H797" s="15" t="n"/>
      <c r="I797" s="15" t="n"/>
      <c r="J797" s="15" t="n"/>
      <c r="K797" s="15" t="n"/>
      <c r="L797" s="15" t="n"/>
      <c r="M797" s="15" t="n"/>
      <c r="N797" s="15" t="n"/>
      <c r="O797" s="15" t="n"/>
      <c r="P797" s="15" t="n"/>
      <c r="Q797" s="15" t="n"/>
      <c r="R797" s="15" t="n"/>
      <c r="S797" s="15" t="n"/>
      <c r="T797" s="15" t="n"/>
      <c r="U797" s="15" t="n"/>
      <c r="V797" s="15" t="n"/>
      <c r="W797" s="15" t="n"/>
      <c r="X797" s="15" t="n"/>
      <c r="Y797" s="15" t="n"/>
      <c r="Z797" s="15" t="n"/>
      <c r="AA797" s="15" t="n"/>
      <c r="AB797" s="15" t="n"/>
      <c r="AC797" s="15" t="n"/>
      <c r="AD797" s="15" t="n"/>
      <c r="AE797" s="15" t="n"/>
      <c r="AF797" s="15" t="n"/>
      <c r="AG797" s="15" t="n"/>
      <c r="AH797" s="15" t="n"/>
      <c r="AI797" s="15" t="n"/>
    </row>
    <row r="798">
      <c r="A798" s="4" t="inlineStr">
        <is>
          <t>Студент3.12</t>
        </is>
      </c>
      <c r="B798" s="4" t="inlineStr"/>
      <c r="C798" s="4" t="n"/>
      <c r="D798" s="4" t="n"/>
      <c r="E798" s="4" t="n"/>
      <c r="F798" s="15" t="n"/>
      <c r="G798" s="15" t="n"/>
      <c r="H798" s="15" t="n"/>
      <c r="I798" s="15" t="n"/>
      <c r="J798" s="15" t="n"/>
      <c r="K798" s="15" t="n"/>
      <c r="L798" s="15" t="n"/>
      <c r="M798" s="15" t="n"/>
      <c r="N798" s="15" t="n"/>
      <c r="O798" s="15" t="n"/>
      <c r="P798" s="15" t="n"/>
      <c r="Q798" s="15" t="n"/>
      <c r="R798" s="15" t="n"/>
      <c r="S798" s="15" t="n"/>
      <c r="T798" s="15" t="n"/>
      <c r="U798" s="15" t="n"/>
      <c r="V798" s="15" t="n"/>
      <c r="W798" s="15" t="n"/>
      <c r="X798" s="15" t="n"/>
      <c r="Y798" s="15" t="n"/>
      <c r="Z798" s="15" t="n"/>
      <c r="AA798" s="15" t="n"/>
      <c r="AB798" s="15" t="n"/>
      <c r="AC798" s="15" t="n"/>
      <c r="AD798" s="15" t="n"/>
      <c r="AE798" s="15" t="n"/>
      <c r="AF798" s="15" t="n"/>
      <c r="AG798" s="15" t="n"/>
      <c r="AH798" s="15" t="n"/>
      <c r="AI798" s="15" t="n"/>
    </row>
    <row r="799">
      <c r="A799" s="4" t="inlineStr">
        <is>
          <t>Студент3.13</t>
        </is>
      </c>
      <c r="B799" s="4" t="inlineStr"/>
      <c r="C799" s="4" t="n"/>
      <c r="D799" s="4" t="n"/>
      <c r="E799" s="4" t="n"/>
      <c r="F799" s="15" t="n"/>
      <c r="G799" s="15" t="n"/>
      <c r="H799" s="15" t="n"/>
      <c r="I799" s="15" t="n"/>
      <c r="J799" s="15" t="n"/>
      <c r="K799" s="15" t="n"/>
      <c r="L799" s="15" t="n"/>
      <c r="M799" s="15" t="n"/>
      <c r="N799" s="15" t="n"/>
      <c r="O799" s="15" t="n"/>
      <c r="P799" s="15" t="n"/>
      <c r="Q799" s="15" t="n"/>
      <c r="R799" s="15" t="n"/>
      <c r="S799" s="15" t="n"/>
      <c r="T799" s="15" t="n"/>
      <c r="U799" s="15" t="n"/>
      <c r="V799" s="15" t="n"/>
      <c r="W799" s="15" t="n"/>
      <c r="X799" s="15" t="n"/>
      <c r="Y799" s="15" t="n"/>
      <c r="Z799" s="15" t="n"/>
      <c r="AA799" s="15" t="n"/>
      <c r="AB799" s="15" t="n"/>
      <c r="AC799" s="15" t="n"/>
      <c r="AD799" s="15" t="n"/>
      <c r="AE799" s="15" t="n"/>
      <c r="AF799" s="15" t="n"/>
      <c r="AG799" s="15" t="n"/>
      <c r="AH799" s="15" t="n"/>
      <c r="AI799" s="15" t="n"/>
    </row>
    <row r="800">
      <c r="A800" s="4" t="inlineStr">
        <is>
          <t>Студент3.14</t>
        </is>
      </c>
      <c r="B800" s="4" t="inlineStr"/>
      <c r="C800" s="4" t="n"/>
      <c r="D800" s="4" t="n"/>
      <c r="E800" s="4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  <c r="O800" s="15" t="n"/>
      <c r="P800" s="15" t="n"/>
      <c r="Q800" s="15" t="n"/>
      <c r="R800" s="15" t="n"/>
      <c r="S800" s="15" t="n"/>
      <c r="T800" s="15" t="n"/>
      <c r="U800" s="15" t="n"/>
      <c r="V800" s="15" t="n"/>
      <c r="W800" s="15" t="n"/>
      <c r="X800" s="15" t="n"/>
      <c r="Y800" s="15" t="n"/>
      <c r="Z800" s="15" t="n"/>
      <c r="AA800" s="15" t="n"/>
      <c r="AB800" s="15" t="n"/>
      <c r="AC800" s="15" t="n"/>
      <c r="AD800" s="15" t="n"/>
      <c r="AE800" s="15" t="n"/>
      <c r="AF800" s="15" t="n"/>
      <c r="AG800" s="15" t="n"/>
      <c r="AH800" s="15" t="n"/>
      <c r="AI800" s="15" t="n"/>
    </row>
    <row r="801">
      <c r="A801" s="4" t="inlineStr">
        <is>
          <t>Студент3.15</t>
        </is>
      </c>
      <c r="B801" s="4" t="inlineStr"/>
      <c r="C801" s="4" t="n"/>
      <c r="D801" s="4" t="n"/>
      <c r="E801" s="4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  <c r="O801" s="15" t="n"/>
      <c r="P801" s="15" t="n"/>
      <c r="Q801" s="15" t="n"/>
      <c r="R801" s="15" t="n"/>
      <c r="S801" s="15" t="n"/>
      <c r="T801" s="15" t="n"/>
      <c r="U801" s="15" t="n"/>
      <c r="V801" s="15" t="n"/>
      <c r="W801" s="15" t="n"/>
      <c r="X801" s="15" t="n"/>
      <c r="Y801" s="15" t="n"/>
      <c r="Z801" s="15" t="n"/>
      <c r="AA801" s="15" t="n"/>
      <c r="AB801" s="15" t="n"/>
      <c r="AC801" s="15" t="n"/>
      <c r="AD801" s="15" t="n"/>
      <c r="AE801" s="15" t="n"/>
      <c r="AF801" s="15" t="n"/>
      <c r="AG801" s="15" t="n"/>
      <c r="AH801" s="15" t="n"/>
      <c r="AI801" s="15" t="n"/>
    </row>
    <row r="802">
      <c r="A802" s="4" t="inlineStr">
        <is>
          <t>Студент3.16</t>
        </is>
      </c>
      <c r="B802" s="4" t="inlineStr"/>
      <c r="C802" s="4" t="n"/>
      <c r="D802" s="4" t="n"/>
      <c r="E802" s="4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  <c r="O802" s="15" t="n"/>
      <c r="P802" s="15" t="n"/>
      <c r="Q802" s="15" t="n"/>
      <c r="R802" s="15" t="n"/>
      <c r="S802" s="15" t="n"/>
      <c r="T802" s="15" t="n"/>
      <c r="U802" s="15" t="n"/>
      <c r="V802" s="15" t="n"/>
      <c r="W802" s="15" t="n"/>
      <c r="X802" s="15" t="n"/>
      <c r="Y802" s="15" t="n"/>
      <c r="Z802" s="15" t="n"/>
      <c r="AA802" s="15" t="n"/>
      <c r="AB802" s="15" t="n"/>
      <c r="AC802" s="15" t="n"/>
      <c r="AD802" s="15" t="n"/>
      <c r="AE802" s="15" t="n"/>
      <c r="AF802" s="15" t="n"/>
      <c r="AG802" s="15" t="n"/>
      <c r="AH802" s="15" t="n"/>
      <c r="AI802" s="15" t="n"/>
    </row>
    <row r="803">
      <c r="A803" s="4" t="inlineStr">
        <is>
          <t>Студент3.17</t>
        </is>
      </c>
      <c r="B803" s="4" t="inlineStr"/>
      <c r="C803" s="4" t="n"/>
      <c r="D803" s="4" t="n"/>
      <c r="E803" s="4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  <c r="O803" s="15" t="n"/>
      <c r="P803" s="15" t="n"/>
      <c r="Q803" s="15" t="n"/>
      <c r="R803" s="15" t="n"/>
      <c r="S803" s="15" t="n"/>
      <c r="T803" s="15" t="n"/>
      <c r="U803" s="15" t="n"/>
      <c r="V803" s="15" t="n"/>
      <c r="W803" s="15" t="n"/>
      <c r="X803" s="15" t="n"/>
      <c r="Y803" s="15" t="n"/>
      <c r="Z803" s="15" t="n"/>
      <c r="AA803" s="15" t="n"/>
      <c r="AB803" s="15" t="n"/>
      <c r="AC803" s="15" t="n"/>
      <c r="AD803" s="15" t="n"/>
      <c r="AE803" s="15" t="n"/>
      <c r="AF803" s="15" t="n"/>
      <c r="AG803" s="15" t="n"/>
      <c r="AH803" s="15" t="n"/>
      <c r="AI803" s="15" t="n"/>
    </row>
    <row r="804">
      <c r="A804" s="4" t="inlineStr">
        <is>
          <t>Студент3.18</t>
        </is>
      </c>
      <c r="B804" s="4" t="inlineStr"/>
      <c r="C804" s="4" t="n"/>
      <c r="D804" s="4" t="n"/>
      <c r="E804" s="4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  <c r="O804" s="15" t="n"/>
      <c r="P804" s="15" t="n"/>
      <c r="Q804" s="15" t="n"/>
      <c r="R804" s="15" t="n"/>
      <c r="S804" s="15" t="n"/>
      <c r="T804" s="15" t="n"/>
      <c r="U804" s="15" t="n"/>
      <c r="V804" s="15" t="n"/>
      <c r="W804" s="15" t="n"/>
      <c r="X804" s="15" t="n"/>
      <c r="Y804" s="15" t="n"/>
      <c r="Z804" s="15" t="n"/>
      <c r="AA804" s="15" t="n"/>
      <c r="AB804" s="15" t="n"/>
      <c r="AC804" s="15" t="n"/>
      <c r="AD804" s="15" t="n"/>
      <c r="AE804" s="15" t="n"/>
      <c r="AF804" s="15" t="n"/>
      <c r="AG804" s="15" t="n"/>
      <c r="AH804" s="15" t="n"/>
      <c r="AI804" s="15" t="n"/>
    </row>
    <row r="805">
      <c r="A805" s="4" t="inlineStr">
        <is>
          <t>Студент3.19</t>
        </is>
      </c>
      <c r="B805" s="4" t="inlineStr"/>
      <c r="C805" s="4" t="n"/>
      <c r="D805" s="4" t="n"/>
      <c r="E805" s="4" t="n"/>
      <c r="F805" s="15" t="n"/>
      <c r="G805" s="15" t="n"/>
      <c r="H805" s="15" t="n"/>
      <c r="I805" s="15" t="n"/>
      <c r="J805" s="15" t="n"/>
      <c r="K805" s="15" t="n"/>
      <c r="L805" s="15" t="n"/>
      <c r="M805" s="15" t="n"/>
      <c r="N805" s="15" t="n"/>
      <c r="O805" s="15" t="n"/>
      <c r="P805" s="15" t="n"/>
      <c r="Q805" s="15" t="n"/>
      <c r="R805" s="15" t="n"/>
      <c r="S805" s="15" t="n"/>
      <c r="T805" s="15" t="n"/>
      <c r="U805" s="15" t="n"/>
      <c r="V805" s="15" t="n"/>
      <c r="W805" s="15" t="n"/>
      <c r="X805" s="15" t="n"/>
      <c r="Y805" s="15" t="n"/>
      <c r="Z805" s="15" t="n"/>
      <c r="AA805" s="15" t="n"/>
      <c r="AB805" s="15" t="n"/>
      <c r="AC805" s="15" t="n"/>
      <c r="AD805" s="15" t="n"/>
      <c r="AE805" s="15" t="n"/>
      <c r="AF805" s="15" t="n"/>
      <c r="AG805" s="15" t="n"/>
      <c r="AH805" s="15" t="n"/>
      <c r="AI805" s="15" t="n"/>
    </row>
    <row r="806">
      <c r="A806" s="4" t="inlineStr">
        <is>
          <t>Студент3.20</t>
        </is>
      </c>
      <c r="B806" s="4" t="inlineStr"/>
      <c r="C806" s="4" t="n"/>
      <c r="D806" s="4" t="n"/>
      <c r="E806" s="4" t="n"/>
      <c r="F806" s="15" t="n"/>
      <c r="G806" s="15" t="n"/>
      <c r="H806" s="15" t="n"/>
      <c r="I806" s="15" t="n"/>
      <c r="J806" s="15" t="n"/>
      <c r="K806" s="15" t="n"/>
      <c r="L806" s="15" t="n"/>
      <c r="M806" s="15" t="n"/>
      <c r="N806" s="15" t="n"/>
      <c r="O806" s="15" t="n"/>
      <c r="P806" s="15" t="n"/>
      <c r="Q806" s="15" t="n"/>
      <c r="R806" s="15" t="n"/>
      <c r="S806" s="15" t="n"/>
      <c r="T806" s="15" t="n"/>
      <c r="U806" s="15" t="n"/>
      <c r="V806" s="15" t="n"/>
      <c r="W806" s="15" t="n"/>
      <c r="X806" s="15" t="n"/>
      <c r="Y806" s="15" t="n"/>
      <c r="Z806" s="15" t="n"/>
      <c r="AA806" s="15" t="n"/>
      <c r="AB806" s="15" t="n"/>
      <c r="AC806" s="15" t="n"/>
      <c r="AD806" s="15" t="n"/>
      <c r="AE806" s="15" t="n"/>
      <c r="AF806" s="15" t="n"/>
      <c r="AG806" s="15" t="n"/>
      <c r="AH806" s="15" t="n"/>
      <c r="AI806" s="15" t="n"/>
    </row>
    <row r="807">
      <c r="A807" s="4" t="inlineStr">
        <is>
          <t>Студент3.21</t>
        </is>
      </c>
      <c r="B807" s="4" t="inlineStr"/>
      <c r="C807" s="4" t="n"/>
      <c r="D807" s="4" t="n"/>
      <c r="E807" s="4" t="n"/>
      <c r="F807" s="15" t="n"/>
      <c r="G807" s="15" t="n"/>
      <c r="H807" s="15" t="n"/>
      <c r="I807" s="15" t="n"/>
      <c r="J807" s="15" t="n"/>
      <c r="K807" s="15" t="n"/>
      <c r="L807" s="15" t="n"/>
      <c r="M807" s="15" t="n"/>
      <c r="N807" s="15" t="n"/>
      <c r="O807" s="15" t="n"/>
      <c r="P807" s="15" t="n"/>
      <c r="Q807" s="15" t="n"/>
      <c r="R807" s="15" t="n"/>
      <c r="S807" s="15" t="n"/>
      <c r="T807" s="15" t="n"/>
      <c r="U807" s="15" t="n"/>
      <c r="V807" s="15" t="n"/>
      <c r="W807" s="15" t="n"/>
      <c r="X807" s="15" t="n"/>
      <c r="Y807" s="15" t="n"/>
      <c r="Z807" s="15" t="n"/>
      <c r="AA807" s="15" t="n"/>
      <c r="AB807" s="15" t="n"/>
      <c r="AC807" s="15" t="n"/>
      <c r="AD807" s="15" t="n"/>
      <c r="AE807" s="15" t="n"/>
      <c r="AF807" s="15" t="n"/>
      <c r="AG807" s="15" t="n"/>
      <c r="AH807" s="15" t="n"/>
      <c r="AI807" s="15" t="n"/>
    </row>
    <row r="808">
      <c r="A808" s="4" t="inlineStr">
        <is>
          <t>Студент3.22</t>
        </is>
      </c>
      <c r="B808" s="4" t="inlineStr"/>
      <c r="C808" s="4" t="n"/>
      <c r="D808" s="4" t="n"/>
      <c r="E808" s="4" t="n"/>
      <c r="F808" s="15" t="n"/>
      <c r="G808" s="15" t="n"/>
      <c r="H808" s="15" t="n"/>
      <c r="I808" s="15" t="n"/>
      <c r="J808" s="15" t="n"/>
      <c r="K808" s="15" t="n"/>
      <c r="L808" s="15" t="n"/>
      <c r="M808" s="15" t="n"/>
      <c r="N808" s="15" t="n"/>
      <c r="O808" s="15" t="n"/>
      <c r="P808" s="15" t="n"/>
      <c r="Q808" s="15" t="n"/>
      <c r="R808" s="15" t="n"/>
      <c r="S808" s="15" t="n"/>
      <c r="T808" s="15" t="n"/>
      <c r="U808" s="15" t="n"/>
      <c r="V808" s="15" t="n"/>
      <c r="W808" s="15" t="n"/>
      <c r="X808" s="15" t="n"/>
      <c r="Y808" s="15" t="n"/>
      <c r="Z808" s="15" t="n"/>
      <c r="AA808" s="15" t="n"/>
      <c r="AB808" s="15" t="n"/>
      <c r="AC808" s="15" t="n"/>
      <c r="AD808" s="15" t="n"/>
      <c r="AE808" s="15" t="n"/>
      <c r="AF808" s="15" t="n"/>
      <c r="AG808" s="15" t="n"/>
      <c r="AH808" s="15" t="n"/>
      <c r="AI808" s="15" t="n"/>
    </row>
    <row r="809">
      <c r="A809" s="4" t="inlineStr">
        <is>
          <t>Студент3.23</t>
        </is>
      </c>
      <c r="B809" s="4" t="inlineStr"/>
      <c r="C809" s="4" t="n"/>
      <c r="D809" s="4" t="n"/>
      <c r="E809" s="4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  <c r="O809" s="15" t="n"/>
      <c r="P809" s="15" t="n"/>
      <c r="Q809" s="15" t="n"/>
      <c r="R809" s="15" t="n"/>
      <c r="S809" s="15" t="n"/>
      <c r="T809" s="15" t="n"/>
      <c r="U809" s="15" t="n"/>
      <c r="V809" s="15" t="n"/>
      <c r="W809" s="15" t="n"/>
      <c r="X809" s="15" t="n"/>
      <c r="Y809" s="15" t="n"/>
      <c r="Z809" s="15" t="n"/>
      <c r="AA809" s="15" t="n"/>
      <c r="AB809" s="15" t="n"/>
      <c r="AC809" s="15" t="n"/>
      <c r="AD809" s="15" t="n"/>
      <c r="AE809" s="15" t="n"/>
      <c r="AF809" s="15" t="n"/>
      <c r="AG809" s="15" t="n"/>
      <c r="AH809" s="15" t="n"/>
      <c r="AI809" s="15" t="n"/>
    </row>
    <row r="810">
      <c r="A810" s="4" t="inlineStr">
        <is>
          <t>Студент3.24</t>
        </is>
      </c>
      <c r="B810" s="4" t="inlineStr"/>
      <c r="C810" s="4" t="n"/>
      <c r="D810" s="4" t="n"/>
      <c r="E810" s="4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  <c r="O810" s="15" t="n"/>
      <c r="P810" s="15" t="n"/>
      <c r="Q810" s="15" t="n"/>
      <c r="R810" s="15" t="n"/>
      <c r="S810" s="15" t="n"/>
      <c r="T810" s="15" t="n"/>
      <c r="U810" s="15" t="n"/>
      <c r="V810" s="15" t="n"/>
      <c r="W810" s="15" t="n"/>
      <c r="X810" s="15" t="n"/>
      <c r="Y810" s="15" t="n"/>
      <c r="Z810" s="15" t="n"/>
      <c r="AA810" s="15" t="n"/>
      <c r="AB810" s="15" t="n"/>
      <c r="AC810" s="15" t="n"/>
      <c r="AD810" s="15" t="n"/>
      <c r="AE810" s="15" t="n"/>
      <c r="AF810" s="15" t="n"/>
      <c r="AG810" s="15" t="n"/>
      <c r="AH810" s="15" t="n"/>
      <c r="AI810" s="15" t="n"/>
    </row>
    <row r="811">
      <c r="A811" s="4" t="inlineStr">
        <is>
          <t>Студент3.25</t>
        </is>
      </c>
      <c r="B811" s="4" t="inlineStr"/>
      <c r="C811" s="4" t="n"/>
      <c r="D811" s="4" t="n"/>
      <c r="E811" s="4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  <c r="O811" s="15" t="n"/>
      <c r="P811" s="15" t="n"/>
      <c r="Q811" s="15" t="n"/>
      <c r="R811" s="15" t="n"/>
      <c r="S811" s="15" t="n"/>
      <c r="T811" s="15" t="n"/>
      <c r="U811" s="15" t="n"/>
      <c r="V811" s="15" t="n"/>
      <c r="W811" s="15" t="n"/>
      <c r="X811" s="15" t="n"/>
      <c r="Y811" s="15" t="n"/>
      <c r="Z811" s="15" t="n"/>
      <c r="AA811" s="15" t="n"/>
      <c r="AB811" s="15" t="n"/>
      <c r="AC811" s="15" t="n"/>
      <c r="AD811" s="15" t="n"/>
      <c r="AE811" s="15" t="n"/>
      <c r="AF811" s="15" t="n"/>
      <c r="AG811" s="15" t="n"/>
      <c r="AH811" s="15" t="n"/>
      <c r="AI811" s="15" t="n"/>
    </row>
    <row r="812">
      <c r="A812" s="4" t="inlineStr">
        <is>
          <t>Студент3.26</t>
        </is>
      </c>
      <c r="B812" s="4" t="inlineStr"/>
      <c r="C812" s="4" t="n"/>
      <c r="D812" s="4" t="n"/>
      <c r="E812" s="4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  <c r="O812" s="15" t="n"/>
      <c r="P812" s="15" t="n"/>
      <c r="Q812" s="15" t="n"/>
      <c r="R812" s="15" t="n"/>
      <c r="S812" s="15" t="n"/>
      <c r="T812" s="15" t="n"/>
      <c r="U812" s="15" t="n"/>
      <c r="V812" s="15" t="n"/>
      <c r="W812" s="15" t="n"/>
      <c r="X812" s="15" t="n"/>
      <c r="Y812" s="15" t="n"/>
      <c r="Z812" s="15" t="n"/>
      <c r="AA812" s="15" t="n"/>
      <c r="AB812" s="15" t="n"/>
      <c r="AC812" s="15" t="n"/>
      <c r="AD812" s="15" t="n"/>
      <c r="AE812" s="15" t="n"/>
      <c r="AF812" s="15" t="n"/>
      <c r="AG812" s="15" t="n"/>
      <c r="AH812" s="15" t="n"/>
      <c r="AI812" s="15" t="n"/>
    </row>
    <row r="813">
      <c r="A813" s="4" t="inlineStr">
        <is>
          <t>Студент3.27</t>
        </is>
      </c>
      <c r="B813" s="4" t="inlineStr"/>
      <c r="C813" s="4" t="n"/>
      <c r="D813" s="4" t="n"/>
      <c r="E813" s="4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  <c r="O813" s="15" t="n"/>
      <c r="P813" s="15" t="n"/>
      <c r="Q813" s="15" t="n"/>
      <c r="R813" s="15" t="n"/>
      <c r="S813" s="15" t="n"/>
      <c r="T813" s="15" t="n"/>
      <c r="U813" s="15" t="n"/>
      <c r="V813" s="15" t="n"/>
      <c r="W813" s="15" t="n"/>
      <c r="X813" s="15" t="n"/>
      <c r="Y813" s="15" t="n"/>
      <c r="Z813" s="15" t="n"/>
      <c r="AA813" s="15" t="n"/>
      <c r="AB813" s="15" t="n"/>
      <c r="AC813" s="15" t="n"/>
      <c r="AD813" s="15" t="n"/>
      <c r="AE813" s="15" t="n"/>
      <c r="AF813" s="15" t="n"/>
      <c r="AG813" s="15" t="n"/>
      <c r="AH813" s="15" t="n"/>
      <c r="AI813" s="15" t="n"/>
    </row>
    <row r="814">
      <c r="A814" s="4" t="inlineStr">
        <is>
          <t>Студент3.28</t>
        </is>
      </c>
      <c r="B814" s="4" t="inlineStr"/>
      <c r="C814" s="4" t="n"/>
      <c r="D814" s="4" t="n"/>
      <c r="E814" s="4" t="n"/>
      <c r="F814" s="15" t="n"/>
      <c r="G814" s="15" t="n"/>
      <c r="H814" s="15" t="n"/>
      <c r="I814" s="15" t="n"/>
      <c r="J814" s="15" t="n"/>
      <c r="K814" s="15" t="n"/>
      <c r="L814" s="15" t="n"/>
      <c r="M814" s="15" t="n"/>
      <c r="N814" s="15" t="n"/>
      <c r="O814" s="15" t="n"/>
      <c r="P814" s="15" t="n"/>
      <c r="Q814" s="15" t="n"/>
      <c r="R814" s="15" t="n"/>
      <c r="S814" s="15" t="n"/>
      <c r="T814" s="15" t="n"/>
      <c r="U814" s="15" t="n"/>
      <c r="V814" s="15" t="n"/>
      <c r="W814" s="15" t="n"/>
      <c r="X814" s="15" t="n"/>
      <c r="Y814" s="15" t="n"/>
      <c r="Z814" s="15" t="n"/>
      <c r="AA814" s="15" t="n"/>
      <c r="AB814" s="15" t="n"/>
      <c r="AC814" s="15" t="n"/>
      <c r="AD814" s="15" t="n"/>
      <c r="AE814" s="15" t="n"/>
      <c r="AF814" s="15" t="n"/>
      <c r="AG814" s="15" t="n"/>
      <c r="AH814" s="15" t="n"/>
      <c r="AI814" s="15" t="n"/>
    </row>
    <row r="815">
      <c r="A815" s="4" t="inlineStr">
        <is>
          <t>Студент3.29</t>
        </is>
      </c>
      <c r="B815" s="4" t="inlineStr"/>
      <c r="C815" s="4" t="n"/>
      <c r="D815" s="4" t="n"/>
      <c r="E815" s="4" t="n"/>
      <c r="F815" s="15" t="n"/>
      <c r="G815" s="15" t="n"/>
      <c r="H815" s="15" t="n"/>
      <c r="I815" s="15" t="n"/>
      <c r="J815" s="15" t="n"/>
      <c r="K815" s="15" t="n"/>
      <c r="L815" s="15" t="n"/>
      <c r="M815" s="15" t="n"/>
      <c r="N815" s="15" t="n"/>
      <c r="O815" s="15" t="n"/>
      <c r="P815" s="15" t="n"/>
      <c r="Q815" s="15" t="n"/>
      <c r="R815" s="15" t="n"/>
      <c r="S815" s="15" t="n"/>
      <c r="T815" s="15" t="n"/>
      <c r="U815" s="15" t="n"/>
      <c r="V815" s="15" t="n"/>
      <c r="W815" s="15" t="n"/>
      <c r="X815" s="15" t="n"/>
      <c r="Y815" s="15" t="n"/>
      <c r="Z815" s="15" t="n"/>
      <c r="AA815" s="15" t="n"/>
      <c r="AB815" s="15" t="n"/>
      <c r="AC815" s="15" t="n"/>
      <c r="AD815" s="15" t="n"/>
      <c r="AE815" s="15" t="n"/>
      <c r="AF815" s="15" t="n"/>
      <c r="AG815" s="15" t="n"/>
      <c r="AH815" s="15" t="n"/>
      <c r="AI815" s="15" t="n"/>
    </row>
    <row r="816">
      <c r="A816" s="4" t="inlineStr">
        <is>
          <t>Студент3.30</t>
        </is>
      </c>
      <c r="B816" s="4" t="inlineStr"/>
      <c r="C816" s="4" t="n"/>
      <c r="D816" s="4" t="n"/>
      <c r="E816" s="4" t="n"/>
      <c r="F816" s="15" t="n"/>
      <c r="G816" s="15" t="n"/>
      <c r="H816" s="15" t="n"/>
      <c r="I816" s="15" t="n"/>
      <c r="J816" s="15" t="n"/>
      <c r="K816" s="15" t="n"/>
      <c r="L816" s="15" t="n"/>
      <c r="M816" s="15" t="n"/>
      <c r="N816" s="15" t="n"/>
      <c r="O816" s="15" t="n"/>
      <c r="P816" s="15" t="n"/>
      <c r="Q816" s="15" t="n"/>
      <c r="R816" s="15" t="n"/>
      <c r="S816" s="15" t="n"/>
      <c r="T816" s="15" t="n"/>
      <c r="U816" s="15" t="n"/>
      <c r="V816" s="15" t="n"/>
      <c r="W816" s="15" t="n"/>
      <c r="X816" s="15" t="n"/>
      <c r="Y816" s="15" t="n"/>
      <c r="Z816" s="15" t="n"/>
      <c r="AA816" s="15" t="n"/>
      <c r="AB816" s="15" t="n"/>
      <c r="AC816" s="15" t="n"/>
      <c r="AD816" s="15" t="n"/>
      <c r="AE816" s="15" t="n"/>
      <c r="AF816" s="15" t="n"/>
      <c r="AG816" s="15" t="n"/>
      <c r="AH816" s="15" t="n"/>
      <c r="AI816" s="15" t="n"/>
    </row>
    <row r="820">
      <c r="A820" s="13" t="inlineStr">
        <is>
          <t>Практика 13 — плюсы</t>
        </is>
      </c>
    </row>
    <row r="821" ht="28" customHeight="1">
      <c r="A821" s="7" t="inlineStr">
        <is>
          <t>Имя</t>
        </is>
      </c>
      <c r="B821" s="9" t="inlineStr">
        <is>
          <t>TG</t>
        </is>
      </c>
      <c r="C821" s="10" t="inlineStr">
        <is>
          <t>S</t>
        </is>
      </c>
      <c r="D821" s="8" t="inlineStr">
        <is>
          <t>Коэффициент</t>
        </is>
      </c>
      <c r="E821" s="14" t="inlineStr">
        <is>
          <t>D за практику</t>
        </is>
      </c>
      <c r="F821" s="11" t="inlineStr">
        <is>
          <t>1.0</t>
        </is>
      </c>
      <c r="G821" s="11" t="inlineStr">
        <is>
          <t>2.0</t>
        </is>
      </c>
      <c r="H821" s="11" t="inlineStr">
        <is>
          <t>3.0</t>
        </is>
      </c>
      <c r="I821" s="11" t="inlineStr">
        <is>
          <t>4.0</t>
        </is>
      </c>
      <c r="J821" s="11" t="inlineStr">
        <is>
          <t>5.0</t>
        </is>
      </c>
      <c r="K821" s="11" t="inlineStr">
        <is>
          <t>6</t>
        </is>
      </c>
      <c r="L821" s="11" t="inlineStr">
        <is>
          <t>7</t>
        </is>
      </c>
      <c r="M821" s="11" t="inlineStr">
        <is>
          <t>8</t>
        </is>
      </c>
      <c r="N821" s="11" t="inlineStr">
        <is>
          <t>9</t>
        </is>
      </c>
      <c r="O821" s="11" t="inlineStr">
        <is>
          <t>10</t>
        </is>
      </c>
      <c r="P821" s="11" t="inlineStr">
        <is>
          <t>11</t>
        </is>
      </c>
      <c r="Q821" s="11" t="inlineStr">
        <is>
          <t>12</t>
        </is>
      </c>
      <c r="R821" s="11" t="inlineStr">
        <is>
          <t>13</t>
        </is>
      </c>
      <c r="S821" s="11" t="inlineStr">
        <is>
          <t>14</t>
        </is>
      </c>
      <c r="T821" s="11" t="inlineStr">
        <is>
          <t>15</t>
        </is>
      </c>
      <c r="U821" s="11" t="inlineStr">
        <is>
          <t>16</t>
        </is>
      </c>
      <c r="V821" s="11" t="inlineStr">
        <is>
          <t>17</t>
        </is>
      </c>
      <c r="W821" s="11" t="inlineStr">
        <is>
          <t>18</t>
        </is>
      </c>
      <c r="X821" s="11" t="inlineStr">
        <is>
          <t>19</t>
        </is>
      </c>
      <c r="Y821" s="11" t="inlineStr">
        <is>
          <t>20</t>
        </is>
      </c>
      <c r="Z821" s="11" t="inlineStr">
        <is>
          <t>21</t>
        </is>
      </c>
      <c r="AA821" s="11" t="inlineStr">
        <is>
          <t>22</t>
        </is>
      </c>
      <c r="AB821" s="11" t="inlineStr">
        <is>
          <t>23</t>
        </is>
      </c>
      <c r="AC821" s="11" t="inlineStr">
        <is>
          <t>24</t>
        </is>
      </c>
      <c r="AD821" s="11" t="inlineStr">
        <is>
          <t>25</t>
        </is>
      </c>
      <c r="AE821" s="11" t="inlineStr">
        <is>
          <t>26</t>
        </is>
      </c>
      <c r="AF821" s="11" t="inlineStr">
        <is>
          <t>27</t>
        </is>
      </c>
      <c r="AG821" s="11" t="inlineStr">
        <is>
          <t>28</t>
        </is>
      </c>
      <c r="AH821" s="11" t="inlineStr">
        <is>
          <t>29</t>
        </is>
      </c>
      <c r="AI821" s="11" t="inlineStr">
        <is>
          <t>30</t>
        </is>
      </c>
    </row>
    <row r="822">
      <c r="A822" s="4" t="inlineStr">
        <is>
          <t>Студент3.1</t>
        </is>
      </c>
      <c r="B822" s="4" t="inlineStr"/>
      <c r="C822" s="4">
        <f>IF(A822="","",COUNTIF(F822:AI822,"+")+COUNTIF(F822:AI822,"1"))</f>
        <v/>
      </c>
      <c r="D822" s="4">
        <f>IF(A822="","",IF(C822&gt;2*COUNTA(F$821:AI$821)/3,1,IF(C822&gt;=COUNTA(F$821:AI$821)/2,0.8,0.5)))</f>
        <v/>
      </c>
      <c r="E822" s="4">
        <f>IF(A822="","",SUMIFS('Логи'!$H$4:$H$3006,'Логи'!$A$4:$A$3006,A822,'Логи'!$C$4:$C$3006,13))</f>
        <v/>
      </c>
      <c r="F822" s="15" t="n"/>
      <c r="G822" s="15" t="n"/>
      <c r="H822" s="15" t="n"/>
      <c r="I822" s="15" t="n"/>
      <c r="J822" s="15" t="n"/>
      <c r="K822" s="15" t="n"/>
      <c r="L822" s="15" t="n"/>
      <c r="M822" s="15" t="n"/>
      <c r="N822" s="15" t="n"/>
      <c r="O822" s="15" t="n"/>
      <c r="P822" s="15" t="n"/>
      <c r="Q822" s="15" t="n"/>
      <c r="R822" s="15" t="n"/>
      <c r="S822" s="15" t="n"/>
      <c r="T822" s="15" t="n"/>
      <c r="U822" s="15" t="n"/>
      <c r="V822" s="15" t="n"/>
      <c r="W822" s="15" t="n"/>
      <c r="X822" s="15" t="n"/>
      <c r="Y822" s="15" t="n"/>
      <c r="Z822" s="15" t="n"/>
      <c r="AA822" s="15" t="n"/>
      <c r="AB822" s="15" t="n"/>
      <c r="AC822" s="15" t="n"/>
      <c r="AD822" s="15" t="n"/>
      <c r="AE822" s="15" t="n"/>
      <c r="AF822" s="15" t="n"/>
      <c r="AG822" s="15" t="n"/>
      <c r="AH822" s="15" t="n"/>
      <c r="AI822" s="15" t="n"/>
    </row>
    <row r="823">
      <c r="A823" s="4" t="inlineStr">
        <is>
          <t>Студент3.2</t>
        </is>
      </c>
      <c r="B823" s="4" t="inlineStr"/>
      <c r="C823" s="4">
        <f>IF(A823="","",COUNTIF(F823:AI823,"+")+COUNTIF(F823:AI823,"1"))</f>
        <v/>
      </c>
      <c r="D823" s="4">
        <f>IF(A823="","",IF(C823&gt;2*COUNTA(F$821:AI$821)/3,1,IF(C823&gt;=COUNTA(F$821:AI$821)/2,0.8,0.5)))</f>
        <v/>
      </c>
      <c r="E823" s="4">
        <f>IF(A823="","",SUMIFS('Логи'!$H$4:$H$3006,'Логи'!$A$4:$A$3006,A823,'Логи'!$C$4:$C$3006,13))</f>
        <v/>
      </c>
      <c r="F823" s="15" t="n"/>
      <c r="G823" s="15" t="n"/>
      <c r="H823" s="15" t="n"/>
      <c r="I823" s="15" t="n"/>
      <c r="J823" s="15" t="n"/>
      <c r="K823" s="15" t="n"/>
      <c r="L823" s="15" t="n"/>
      <c r="M823" s="15" t="n"/>
      <c r="N823" s="15" t="n"/>
      <c r="O823" s="15" t="n"/>
      <c r="P823" s="15" t="n"/>
      <c r="Q823" s="15" t="n"/>
      <c r="R823" s="15" t="n"/>
      <c r="S823" s="15" t="n"/>
      <c r="T823" s="15" t="n"/>
      <c r="U823" s="15" t="n"/>
      <c r="V823" s="15" t="n"/>
      <c r="W823" s="15" t="n"/>
      <c r="X823" s="15" t="n"/>
      <c r="Y823" s="15" t="n"/>
      <c r="Z823" s="15" t="n"/>
      <c r="AA823" s="15" t="n"/>
      <c r="AB823" s="15" t="n"/>
      <c r="AC823" s="15" t="n"/>
      <c r="AD823" s="15" t="n"/>
      <c r="AE823" s="15" t="n"/>
      <c r="AF823" s="15" t="n"/>
      <c r="AG823" s="15" t="n"/>
      <c r="AH823" s="15" t="n"/>
      <c r="AI823" s="15" t="n"/>
    </row>
    <row r="824">
      <c r="A824" s="4" t="inlineStr">
        <is>
          <t>Студент3.3</t>
        </is>
      </c>
      <c r="B824" s="4" t="inlineStr"/>
      <c r="C824" s="4">
        <f>IF(A824="","",COUNTIF(F824:AI824,"+")+COUNTIF(F824:AI824,"1"))</f>
        <v/>
      </c>
      <c r="D824" s="4">
        <f>IF(A824="","",IF(C824&gt;2*COUNTA(F$821:AI$821)/3,1,IF(C824&gt;=COUNTA(F$821:AI$821)/2,0.8,0.5)))</f>
        <v/>
      </c>
      <c r="E824" s="4">
        <f>IF(A824="","",SUMIFS('Логи'!$H$4:$H$3006,'Логи'!$A$4:$A$3006,A824,'Логи'!$C$4:$C$3006,13))</f>
        <v/>
      </c>
      <c r="F824" s="15" t="n"/>
      <c r="G824" s="15" t="n"/>
      <c r="H824" s="15" t="n"/>
      <c r="I824" s="15" t="n"/>
      <c r="J824" s="15" t="n"/>
      <c r="K824" s="15" t="n"/>
      <c r="L824" s="15" t="n"/>
      <c r="M824" s="15" t="n"/>
      <c r="N824" s="15" t="n"/>
      <c r="O824" s="15" t="n"/>
      <c r="P824" s="15" t="n"/>
      <c r="Q824" s="15" t="n"/>
      <c r="R824" s="15" t="n"/>
      <c r="S824" s="15" t="n"/>
      <c r="T824" s="15" t="n"/>
      <c r="U824" s="15" t="n"/>
      <c r="V824" s="15" t="n"/>
      <c r="W824" s="15" t="n"/>
      <c r="X824" s="15" t="n"/>
      <c r="Y824" s="15" t="n"/>
      <c r="Z824" s="15" t="n"/>
      <c r="AA824" s="15" t="n"/>
      <c r="AB824" s="15" t="n"/>
      <c r="AC824" s="15" t="n"/>
      <c r="AD824" s="15" t="n"/>
      <c r="AE824" s="15" t="n"/>
      <c r="AF824" s="15" t="n"/>
      <c r="AG824" s="15" t="n"/>
      <c r="AH824" s="15" t="n"/>
      <c r="AI824" s="15" t="n"/>
    </row>
    <row r="825">
      <c r="A825" s="4" t="inlineStr">
        <is>
          <t>Студент3.4</t>
        </is>
      </c>
      <c r="B825" s="4" t="inlineStr"/>
      <c r="C825" s="4">
        <f>IF(A825="","",COUNTIF(F825:AI825,"+")+COUNTIF(F825:AI825,"1"))</f>
        <v/>
      </c>
      <c r="D825" s="4">
        <f>IF(A825="","",IF(C825&gt;2*COUNTA(F$821:AI$821)/3,1,IF(C825&gt;=COUNTA(F$821:AI$821)/2,0.8,0.5)))</f>
        <v/>
      </c>
      <c r="E825" s="4">
        <f>IF(A825="","",SUMIFS('Логи'!$H$4:$H$3006,'Логи'!$A$4:$A$3006,A825,'Логи'!$C$4:$C$3006,13))</f>
        <v/>
      </c>
      <c r="F825" s="15" t="n"/>
      <c r="G825" s="15" t="n"/>
      <c r="H825" s="15" t="n"/>
      <c r="I825" s="15" t="n"/>
      <c r="J825" s="15" t="n"/>
      <c r="K825" s="15" t="n"/>
      <c r="L825" s="15" t="n"/>
      <c r="M825" s="15" t="n"/>
      <c r="N825" s="15" t="n"/>
      <c r="O825" s="15" t="n"/>
      <c r="P825" s="15" t="n"/>
      <c r="Q825" s="15" t="n"/>
      <c r="R825" s="15" t="n"/>
      <c r="S825" s="15" t="n"/>
      <c r="T825" s="15" t="n"/>
      <c r="U825" s="15" t="n"/>
      <c r="V825" s="15" t="n"/>
      <c r="W825" s="15" t="n"/>
      <c r="X825" s="15" t="n"/>
      <c r="Y825" s="15" t="n"/>
      <c r="Z825" s="15" t="n"/>
      <c r="AA825" s="15" t="n"/>
      <c r="AB825" s="15" t="n"/>
      <c r="AC825" s="15" t="n"/>
      <c r="AD825" s="15" t="n"/>
      <c r="AE825" s="15" t="n"/>
      <c r="AF825" s="15" t="n"/>
      <c r="AG825" s="15" t="n"/>
      <c r="AH825" s="15" t="n"/>
      <c r="AI825" s="15" t="n"/>
    </row>
    <row r="826">
      <c r="A826" s="4" t="inlineStr">
        <is>
          <t>Студент3.5</t>
        </is>
      </c>
      <c r="B826" s="4" t="inlineStr"/>
      <c r="C826" s="4">
        <f>IF(A826="","",COUNTIF(F826:AI826,"+")+COUNTIF(F826:AI826,"1"))</f>
        <v/>
      </c>
      <c r="D826" s="4">
        <f>IF(A826="","",IF(C826&gt;2*COUNTA(F$821:AI$821)/3,1,IF(C826&gt;=COUNTA(F$821:AI$821)/2,0.8,0.5)))</f>
        <v/>
      </c>
      <c r="E826" s="4">
        <f>IF(A826="","",SUMIFS('Логи'!$H$4:$H$3006,'Логи'!$A$4:$A$3006,A826,'Логи'!$C$4:$C$3006,13))</f>
        <v/>
      </c>
      <c r="F826" s="15" t="n"/>
      <c r="G826" s="15" t="n"/>
      <c r="H826" s="15" t="n"/>
      <c r="I826" s="15" t="n"/>
      <c r="J826" s="15" t="n"/>
      <c r="K826" s="15" t="n"/>
      <c r="L826" s="15" t="n"/>
      <c r="M826" s="15" t="n"/>
      <c r="N826" s="15" t="n"/>
      <c r="O826" s="15" t="n"/>
      <c r="P826" s="15" t="n"/>
      <c r="Q826" s="15" t="n"/>
      <c r="R826" s="15" t="n"/>
      <c r="S826" s="15" t="n"/>
      <c r="T826" s="15" t="n"/>
      <c r="U826" s="15" t="n"/>
      <c r="V826" s="15" t="n"/>
      <c r="W826" s="15" t="n"/>
      <c r="X826" s="15" t="n"/>
      <c r="Y826" s="15" t="n"/>
      <c r="Z826" s="15" t="n"/>
      <c r="AA826" s="15" t="n"/>
      <c r="AB826" s="15" t="n"/>
      <c r="AC826" s="15" t="n"/>
      <c r="AD826" s="15" t="n"/>
      <c r="AE826" s="15" t="n"/>
      <c r="AF826" s="15" t="n"/>
      <c r="AG826" s="15" t="n"/>
      <c r="AH826" s="15" t="n"/>
      <c r="AI826" s="15" t="n"/>
    </row>
    <row r="827">
      <c r="A827" s="4" t="inlineStr">
        <is>
          <t>Студент3.6</t>
        </is>
      </c>
      <c r="B827" s="4" t="inlineStr"/>
      <c r="C827" s="4">
        <f>IF(A827="","",COUNTIF(F827:AI827,"+")+COUNTIF(F827:AI827,"1"))</f>
        <v/>
      </c>
      <c r="D827" s="4">
        <f>IF(A827="","",IF(C827&gt;2*COUNTA(F$821:AI$821)/3,1,IF(C827&gt;=COUNTA(F$821:AI$821)/2,0.8,0.5)))</f>
        <v/>
      </c>
      <c r="E827" s="4">
        <f>IF(A827="","",SUMIFS('Логи'!$H$4:$H$3006,'Логи'!$A$4:$A$3006,A827,'Логи'!$C$4:$C$3006,13))</f>
        <v/>
      </c>
      <c r="F827" s="15" t="n"/>
      <c r="G827" s="15" t="n"/>
      <c r="H827" s="15" t="n"/>
      <c r="I827" s="15" t="n"/>
      <c r="J827" s="15" t="n"/>
      <c r="K827" s="15" t="n"/>
      <c r="L827" s="15" t="n"/>
      <c r="M827" s="15" t="n"/>
      <c r="N827" s="15" t="n"/>
      <c r="O827" s="15" t="n"/>
      <c r="P827" s="15" t="n"/>
      <c r="Q827" s="15" t="n"/>
      <c r="R827" s="15" t="n"/>
      <c r="S827" s="15" t="n"/>
      <c r="T827" s="15" t="n"/>
      <c r="U827" s="15" t="n"/>
      <c r="V827" s="15" t="n"/>
      <c r="W827" s="15" t="n"/>
      <c r="X827" s="15" t="n"/>
      <c r="Y827" s="15" t="n"/>
      <c r="Z827" s="15" t="n"/>
      <c r="AA827" s="15" t="n"/>
      <c r="AB827" s="15" t="n"/>
      <c r="AC827" s="15" t="n"/>
      <c r="AD827" s="15" t="n"/>
      <c r="AE827" s="15" t="n"/>
      <c r="AF827" s="15" t="n"/>
      <c r="AG827" s="15" t="n"/>
      <c r="AH827" s="15" t="n"/>
      <c r="AI827" s="15" t="n"/>
    </row>
    <row r="828">
      <c r="A828" s="4" t="inlineStr">
        <is>
          <t>Студент3.7</t>
        </is>
      </c>
      <c r="B828" s="4" t="inlineStr"/>
      <c r="C828" s="4">
        <f>IF(A828="","",COUNTIF(F828:AI828,"+")+COUNTIF(F828:AI828,"1"))</f>
        <v/>
      </c>
      <c r="D828" s="4">
        <f>IF(A828="","",IF(C828&gt;2*COUNTA(F$821:AI$821)/3,1,IF(C828&gt;=COUNTA(F$821:AI$821)/2,0.8,0.5)))</f>
        <v/>
      </c>
      <c r="E828" s="4">
        <f>IF(A828="","",SUMIFS('Логи'!$H$4:$H$3006,'Логи'!$A$4:$A$3006,A828,'Логи'!$C$4:$C$3006,13))</f>
        <v/>
      </c>
      <c r="F828" s="15" t="n"/>
      <c r="G828" s="15" t="n"/>
      <c r="H828" s="15" t="n"/>
      <c r="I828" s="15" t="n"/>
      <c r="J828" s="15" t="n"/>
      <c r="K828" s="15" t="n"/>
      <c r="L828" s="15" t="n"/>
      <c r="M828" s="15" t="n"/>
      <c r="N828" s="15" t="n"/>
      <c r="O828" s="15" t="n"/>
      <c r="P828" s="15" t="n"/>
      <c r="Q828" s="15" t="n"/>
      <c r="R828" s="15" t="n"/>
      <c r="S828" s="15" t="n"/>
      <c r="T828" s="15" t="n"/>
      <c r="U828" s="15" t="n"/>
      <c r="V828" s="15" t="n"/>
      <c r="W828" s="15" t="n"/>
      <c r="X828" s="15" t="n"/>
      <c r="Y828" s="15" t="n"/>
      <c r="Z828" s="15" t="n"/>
      <c r="AA828" s="15" t="n"/>
      <c r="AB828" s="15" t="n"/>
      <c r="AC828" s="15" t="n"/>
      <c r="AD828" s="15" t="n"/>
      <c r="AE828" s="15" t="n"/>
      <c r="AF828" s="15" t="n"/>
      <c r="AG828" s="15" t="n"/>
      <c r="AH828" s="15" t="n"/>
      <c r="AI828" s="15" t="n"/>
    </row>
    <row r="829">
      <c r="A829" s="4" t="inlineStr">
        <is>
          <t>Студент3.8</t>
        </is>
      </c>
      <c r="B829" s="4" t="inlineStr"/>
      <c r="C829" s="4">
        <f>IF(A829="","",COUNTIF(F829:AI829,"+")+COUNTIF(F829:AI829,"1"))</f>
        <v/>
      </c>
      <c r="D829" s="4">
        <f>IF(A829="","",IF(C829&gt;2*COUNTA(F$821:AI$821)/3,1,IF(C829&gt;=COUNTA(F$821:AI$821)/2,0.8,0.5)))</f>
        <v/>
      </c>
      <c r="E829" s="4">
        <f>IF(A829="","",SUMIFS('Логи'!$H$4:$H$3006,'Логи'!$A$4:$A$3006,A829,'Логи'!$C$4:$C$3006,13))</f>
        <v/>
      </c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  <c r="O829" s="15" t="n"/>
      <c r="P829" s="15" t="n"/>
      <c r="Q829" s="15" t="n"/>
      <c r="R829" s="15" t="n"/>
      <c r="S829" s="15" t="n"/>
      <c r="T829" s="15" t="n"/>
      <c r="U829" s="15" t="n"/>
      <c r="V829" s="15" t="n"/>
      <c r="W829" s="15" t="n"/>
      <c r="X829" s="15" t="n"/>
      <c r="Y829" s="15" t="n"/>
      <c r="Z829" s="15" t="n"/>
      <c r="AA829" s="15" t="n"/>
      <c r="AB829" s="15" t="n"/>
      <c r="AC829" s="15" t="n"/>
      <c r="AD829" s="15" t="n"/>
      <c r="AE829" s="15" t="n"/>
      <c r="AF829" s="15" t="n"/>
      <c r="AG829" s="15" t="n"/>
      <c r="AH829" s="15" t="n"/>
      <c r="AI829" s="15" t="n"/>
    </row>
    <row r="830">
      <c r="A830" s="4" t="inlineStr">
        <is>
          <t>Студент3.9</t>
        </is>
      </c>
      <c r="B830" s="4" t="inlineStr"/>
      <c r="C830" s="4">
        <f>IF(A830="","",COUNTIF(F830:AI830,"+")+COUNTIF(F830:AI830,"1"))</f>
        <v/>
      </c>
      <c r="D830" s="4">
        <f>IF(A830="","",IF(C830&gt;2*COUNTA(F$821:AI$821)/3,1,IF(C830&gt;=COUNTA(F$821:AI$821)/2,0.8,0.5)))</f>
        <v/>
      </c>
      <c r="E830" s="4">
        <f>IF(A830="","",SUMIFS('Логи'!$H$4:$H$3006,'Логи'!$A$4:$A$3006,A830,'Логи'!$C$4:$C$3006,13))</f>
        <v/>
      </c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  <c r="O830" s="15" t="n"/>
      <c r="P830" s="15" t="n"/>
      <c r="Q830" s="15" t="n"/>
      <c r="R830" s="15" t="n"/>
      <c r="S830" s="15" t="n"/>
      <c r="T830" s="15" t="n"/>
      <c r="U830" s="15" t="n"/>
      <c r="V830" s="15" t="n"/>
      <c r="W830" s="15" t="n"/>
      <c r="X830" s="15" t="n"/>
      <c r="Y830" s="15" t="n"/>
      <c r="Z830" s="15" t="n"/>
      <c r="AA830" s="15" t="n"/>
      <c r="AB830" s="15" t="n"/>
      <c r="AC830" s="15" t="n"/>
      <c r="AD830" s="15" t="n"/>
      <c r="AE830" s="15" t="n"/>
      <c r="AF830" s="15" t="n"/>
      <c r="AG830" s="15" t="n"/>
      <c r="AH830" s="15" t="n"/>
      <c r="AI830" s="15" t="n"/>
    </row>
    <row r="831">
      <c r="A831" s="4" t="inlineStr">
        <is>
          <t>Студент3.10</t>
        </is>
      </c>
      <c r="B831" s="4" t="inlineStr"/>
      <c r="C831" s="4">
        <f>IF(A831="","",COUNTIF(F831:AI831,"+")+COUNTIF(F831:AI831,"1"))</f>
        <v/>
      </c>
      <c r="D831" s="4">
        <f>IF(A831="","",IF(C831&gt;2*COUNTA(F$821:AI$821)/3,1,IF(C831&gt;=COUNTA(F$821:AI$821)/2,0.8,0.5)))</f>
        <v/>
      </c>
      <c r="E831" s="4">
        <f>IF(A831="","",SUMIFS('Логи'!$H$4:$H$3006,'Логи'!$A$4:$A$3006,A831,'Логи'!$C$4:$C$3006,13))</f>
        <v/>
      </c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  <c r="O831" s="15" t="n"/>
      <c r="P831" s="15" t="n"/>
      <c r="Q831" s="15" t="n"/>
      <c r="R831" s="15" t="n"/>
      <c r="S831" s="15" t="n"/>
      <c r="T831" s="15" t="n"/>
      <c r="U831" s="15" t="n"/>
      <c r="V831" s="15" t="n"/>
      <c r="W831" s="15" t="n"/>
      <c r="X831" s="15" t="n"/>
      <c r="Y831" s="15" t="n"/>
      <c r="Z831" s="15" t="n"/>
      <c r="AA831" s="15" t="n"/>
      <c r="AB831" s="15" t="n"/>
      <c r="AC831" s="15" t="n"/>
      <c r="AD831" s="15" t="n"/>
      <c r="AE831" s="15" t="n"/>
      <c r="AF831" s="15" t="n"/>
      <c r="AG831" s="15" t="n"/>
      <c r="AH831" s="15" t="n"/>
      <c r="AI831" s="15" t="n"/>
    </row>
    <row r="832">
      <c r="A832" s="4" t="inlineStr">
        <is>
          <t>Студент3.11</t>
        </is>
      </c>
      <c r="B832" s="4" t="inlineStr"/>
      <c r="C832" s="4">
        <f>IF(A832="","",COUNTIF(F832:AI832,"+")+COUNTIF(F832:AI832,"1"))</f>
        <v/>
      </c>
      <c r="D832" s="4">
        <f>IF(A832="","",IF(C832&gt;2*COUNTA(F$821:AI$821)/3,1,IF(C832&gt;=COUNTA(F$821:AI$821)/2,0.8,0.5)))</f>
        <v/>
      </c>
      <c r="E832" s="4">
        <f>IF(A832="","",SUMIFS('Логи'!$H$4:$H$3006,'Логи'!$A$4:$A$3006,A832,'Логи'!$C$4:$C$3006,13))</f>
        <v/>
      </c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  <c r="O832" s="15" t="n"/>
      <c r="P832" s="15" t="n"/>
      <c r="Q832" s="15" t="n"/>
      <c r="R832" s="15" t="n"/>
      <c r="S832" s="15" t="n"/>
      <c r="T832" s="15" t="n"/>
      <c r="U832" s="15" t="n"/>
      <c r="V832" s="15" t="n"/>
      <c r="W832" s="15" t="n"/>
      <c r="X832" s="15" t="n"/>
      <c r="Y832" s="15" t="n"/>
      <c r="Z832" s="15" t="n"/>
      <c r="AA832" s="15" t="n"/>
      <c r="AB832" s="15" t="n"/>
      <c r="AC832" s="15" t="n"/>
      <c r="AD832" s="15" t="n"/>
      <c r="AE832" s="15" t="n"/>
      <c r="AF832" s="15" t="n"/>
      <c r="AG832" s="15" t="n"/>
      <c r="AH832" s="15" t="n"/>
      <c r="AI832" s="15" t="n"/>
    </row>
    <row r="833">
      <c r="A833" s="4" t="inlineStr">
        <is>
          <t>Студент3.12</t>
        </is>
      </c>
      <c r="B833" s="4" t="inlineStr"/>
      <c r="C833" s="4">
        <f>IF(A833="","",COUNTIF(F833:AI833,"+")+COUNTIF(F833:AI833,"1"))</f>
        <v/>
      </c>
      <c r="D833" s="4">
        <f>IF(A833="","",IF(C833&gt;2*COUNTA(F$821:AI$821)/3,1,IF(C833&gt;=COUNTA(F$821:AI$821)/2,0.8,0.5)))</f>
        <v/>
      </c>
      <c r="E833" s="4">
        <f>IF(A833="","",SUMIFS('Логи'!$H$4:$H$3006,'Логи'!$A$4:$A$3006,A833,'Логи'!$C$4:$C$3006,13))</f>
        <v/>
      </c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  <c r="O833" s="15" t="n"/>
      <c r="P833" s="15" t="n"/>
      <c r="Q833" s="15" t="n"/>
      <c r="R833" s="15" t="n"/>
      <c r="S833" s="15" t="n"/>
      <c r="T833" s="15" t="n"/>
      <c r="U833" s="15" t="n"/>
      <c r="V833" s="15" t="n"/>
      <c r="W833" s="15" t="n"/>
      <c r="X833" s="15" t="n"/>
      <c r="Y833" s="15" t="n"/>
      <c r="Z833" s="15" t="n"/>
      <c r="AA833" s="15" t="n"/>
      <c r="AB833" s="15" t="n"/>
      <c r="AC833" s="15" t="n"/>
      <c r="AD833" s="15" t="n"/>
      <c r="AE833" s="15" t="n"/>
      <c r="AF833" s="15" t="n"/>
      <c r="AG833" s="15" t="n"/>
      <c r="AH833" s="15" t="n"/>
      <c r="AI833" s="15" t="n"/>
    </row>
    <row r="834">
      <c r="A834" s="4" t="inlineStr">
        <is>
          <t>Студент3.13</t>
        </is>
      </c>
      <c r="B834" s="4" t="inlineStr"/>
      <c r="C834" s="4">
        <f>IF(A834="","",COUNTIF(F834:AI834,"+")+COUNTIF(F834:AI834,"1"))</f>
        <v/>
      </c>
      <c r="D834" s="4">
        <f>IF(A834="","",IF(C834&gt;2*COUNTA(F$821:AI$821)/3,1,IF(C834&gt;=COUNTA(F$821:AI$821)/2,0.8,0.5)))</f>
        <v/>
      </c>
      <c r="E834" s="4">
        <f>IF(A834="","",SUMIFS('Логи'!$H$4:$H$3006,'Логи'!$A$4:$A$3006,A834,'Логи'!$C$4:$C$3006,13))</f>
        <v/>
      </c>
      <c r="F834" s="15" t="n"/>
      <c r="G834" s="15" t="n"/>
      <c r="H834" s="15" t="n"/>
      <c r="I834" s="15" t="n"/>
      <c r="J834" s="15" t="n"/>
      <c r="K834" s="15" t="n"/>
      <c r="L834" s="15" t="n"/>
      <c r="M834" s="15" t="n"/>
      <c r="N834" s="15" t="n"/>
      <c r="O834" s="15" t="n"/>
      <c r="P834" s="15" t="n"/>
      <c r="Q834" s="15" t="n"/>
      <c r="R834" s="15" t="n"/>
      <c r="S834" s="15" t="n"/>
      <c r="T834" s="15" t="n"/>
      <c r="U834" s="15" t="n"/>
      <c r="V834" s="15" t="n"/>
      <c r="W834" s="15" t="n"/>
      <c r="X834" s="15" t="n"/>
      <c r="Y834" s="15" t="n"/>
      <c r="Z834" s="15" t="n"/>
      <c r="AA834" s="15" t="n"/>
      <c r="AB834" s="15" t="n"/>
      <c r="AC834" s="15" t="n"/>
      <c r="AD834" s="15" t="n"/>
      <c r="AE834" s="15" t="n"/>
      <c r="AF834" s="15" t="n"/>
      <c r="AG834" s="15" t="n"/>
      <c r="AH834" s="15" t="n"/>
      <c r="AI834" s="15" t="n"/>
    </row>
    <row r="835">
      <c r="A835" s="4" t="inlineStr">
        <is>
          <t>Студент3.14</t>
        </is>
      </c>
      <c r="B835" s="4" t="inlineStr"/>
      <c r="C835" s="4">
        <f>IF(A835="","",COUNTIF(F835:AI835,"+")+COUNTIF(F835:AI835,"1"))</f>
        <v/>
      </c>
      <c r="D835" s="4">
        <f>IF(A835="","",IF(C835&gt;2*COUNTA(F$821:AI$821)/3,1,IF(C835&gt;=COUNTA(F$821:AI$821)/2,0.8,0.5)))</f>
        <v/>
      </c>
      <c r="E835" s="4">
        <f>IF(A835="","",SUMIFS('Логи'!$H$4:$H$3006,'Логи'!$A$4:$A$3006,A835,'Логи'!$C$4:$C$3006,13))</f>
        <v/>
      </c>
      <c r="F835" s="15" t="n"/>
      <c r="G835" s="15" t="n"/>
      <c r="H835" s="15" t="n"/>
      <c r="I835" s="15" t="n"/>
      <c r="J835" s="15" t="n"/>
      <c r="K835" s="15" t="n"/>
      <c r="L835" s="15" t="n"/>
      <c r="M835" s="15" t="n"/>
      <c r="N835" s="15" t="n"/>
      <c r="O835" s="15" t="n"/>
      <c r="P835" s="15" t="n"/>
      <c r="Q835" s="15" t="n"/>
      <c r="R835" s="15" t="n"/>
      <c r="S835" s="15" t="n"/>
      <c r="T835" s="15" t="n"/>
      <c r="U835" s="15" t="n"/>
      <c r="V835" s="15" t="n"/>
      <c r="W835" s="15" t="n"/>
      <c r="X835" s="15" t="n"/>
      <c r="Y835" s="15" t="n"/>
      <c r="Z835" s="15" t="n"/>
      <c r="AA835" s="15" t="n"/>
      <c r="AB835" s="15" t="n"/>
      <c r="AC835" s="15" t="n"/>
      <c r="AD835" s="15" t="n"/>
      <c r="AE835" s="15" t="n"/>
      <c r="AF835" s="15" t="n"/>
      <c r="AG835" s="15" t="n"/>
      <c r="AH835" s="15" t="n"/>
      <c r="AI835" s="15" t="n"/>
    </row>
    <row r="836">
      <c r="A836" s="4" t="inlineStr">
        <is>
          <t>Студент3.15</t>
        </is>
      </c>
      <c r="B836" s="4" t="inlineStr"/>
      <c r="C836" s="4">
        <f>IF(A836="","",COUNTIF(F836:AI836,"+")+COUNTIF(F836:AI836,"1"))</f>
        <v/>
      </c>
      <c r="D836" s="4">
        <f>IF(A836="","",IF(C836&gt;2*COUNTA(F$821:AI$821)/3,1,IF(C836&gt;=COUNTA(F$821:AI$821)/2,0.8,0.5)))</f>
        <v/>
      </c>
      <c r="E836" s="4">
        <f>IF(A836="","",SUMIFS('Логи'!$H$4:$H$3006,'Логи'!$A$4:$A$3006,A836,'Логи'!$C$4:$C$3006,13))</f>
        <v/>
      </c>
      <c r="F836" s="15" t="n"/>
      <c r="G836" s="15" t="n"/>
      <c r="H836" s="15" t="n"/>
      <c r="I836" s="15" t="n"/>
      <c r="J836" s="15" t="n"/>
      <c r="K836" s="15" t="n"/>
      <c r="L836" s="15" t="n"/>
      <c r="M836" s="15" t="n"/>
      <c r="N836" s="15" t="n"/>
      <c r="O836" s="15" t="n"/>
      <c r="P836" s="15" t="n"/>
      <c r="Q836" s="15" t="n"/>
      <c r="R836" s="15" t="n"/>
      <c r="S836" s="15" t="n"/>
      <c r="T836" s="15" t="n"/>
      <c r="U836" s="15" t="n"/>
      <c r="V836" s="15" t="n"/>
      <c r="W836" s="15" t="n"/>
      <c r="X836" s="15" t="n"/>
      <c r="Y836" s="15" t="n"/>
      <c r="Z836" s="15" t="n"/>
      <c r="AA836" s="15" t="n"/>
      <c r="AB836" s="15" t="n"/>
      <c r="AC836" s="15" t="n"/>
      <c r="AD836" s="15" t="n"/>
      <c r="AE836" s="15" t="n"/>
      <c r="AF836" s="15" t="n"/>
      <c r="AG836" s="15" t="n"/>
      <c r="AH836" s="15" t="n"/>
      <c r="AI836" s="15" t="n"/>
    </row>
    <row r="837">
      <c r="A837" s="4" t="inlineStr">
        <is>
          <t>Студент3.16</t>
        </is>
      </c>
      <c r="B837" s="4" t="inlineStr"/>
      <c r="C837" s="4">
        <f>IF(A837="","",COUNTIF(F837:AI837,"+")+COUNTIF(F837:AI837,"1"))</f>
        <v/>
      </c>
      <c r="D837" s="4">
        <f>IF(A837="","",IF(C837&gt;2*COUNTA(F$821:AI$821)/3,1,IF(C837&gt;=COUNTA(F$821:AI$821)/2,0.8,0.5)))</f>
        <v/>
      </c>
      <c r="E837" s="4">
        <f>IF(A837="","",SUMIFS('Логи'!$H$4:$H$3006,'Логи'!$A$4:$A$3006,A837,'Логи'!$C$4:$C$3006,13))</f>
        <v/>
      </c>
      <c r="F837" s="15" t="n"/>
      <c r="G837" s="15" t="n"/>
      <c r="H837" s="15" t="n"/>
      <c r="I837" s="15" t="n"/>
      <c r="J837" s="15" t="n"/>
      <c r="K837" s="15" t="n"/>
      <c r="L837" s="15" t="n"/>
      <c r="M837" s="15" t="n"/>
      <c r="N837" s="15" t="n"/>
      <c r="O837" s="15" t="n"/>
      <c r="P837" s="15" t="n"/>
      <c r="Q837" s="15" t="n"/>
      <c r="R837" s="15" t="n"/>
      <c r="S837" s="15" t="n"/>
      <c r="T837" s="15" t="n"/>
      <c r="U837" s="15" t="n"/>
      <c r="V837" s="15" t="n"/>
      <c r="W837" s="15" t="n"/>
      <c r="X837" s="15" t="n"/>
      <c r="Y837" s="15" t="n"/>
      <c r="Z837" s="15" t="n"/>
      <c r="AA837" s="15" t="n"/>
      <c r="AB837" s="15" t="n"/>
      <c r="AC837" s="15" t="n"/>
      <c r="AD837" s="15" t="n"/>
      <c r="AE837" s="15" t="n"/>
      <c r="AF837" s="15" t="n"/>
      <c r="AG837" s="15" t="n"/>
      <c r="AH837" s="15" t="n"/>
      <c r="AI837" s="15" t="n"/>
    </row>
    <row r="838">
      <c r="A838" s="4" t="inlineStr">
        <is>
          <t>Студент3.17</t>
        </is>
      </c>
      <c r="B838" s="4" t="inlineStr"/>
      <c r="C838" s="4">
        <f>IF(A838="","",COUNTIF(F838:AI838,"+")+COUNTIF(F838:AI838,"1"))</f>
        <v/>
      </c>
      <c r="D838" s="4">
        <f>IF(A838="","",IF(C838&gt;2*COUNTA(F$821:AI$821)/3,1,IF(C838&gt;=COUNTA(F$821:AI$821)/2,0.8,0.5)))</f>
        <v/>
      </c>
      <c r="E838" s="4">
        <f>IF(A838="","",SUMIFS('Логи'!$H$4:$H$3006,'Логи'!$A$4:$A$3006,A838,'Логи'!$C$4:$C$3006,13))</f>
        <v/>
      </c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  <c r="O838" s="15" t="n"/>
      <c r="P838" s="15" t="n"/>
      <c r="Q838" s="15" t="n"/>
      <c r="R838" s="15" t="n"/>
      <c r="S838" s="15" t="n"/>
      <c r="T838" s="15" t="n"/>
      <c r="U838" s="15" t="n"/>
      <c r="V838" s="15" t="n"/>
      <c r="W838" s="15" t="n"/>
      <c r="X838" s="15" t="n"/>
      <c r="Y838" s="15" t="n"/>
      <c r="Z838" s="15" t="n"/>
      <c r="AA838" s="15" t="n"/>
      <c r="AB838" s="15" t="n"/>
      <c r="AC838" s="15" t="n"/>
      <c r="AD838" s="15" t="n"/>
      <c r="AE838" s="15" t="n"/>
      <c r="AF838" s="15" t="n"/>
      <c r="AG838" s="15" t="n"/>
      <c r="AH838" s="15" t="n"/>
      <c r="AI838" s="15" t="n"/>
    </row>
    <row r="839">
      <c r="A839" s="4" t="inlineStr">
        <is>
          <t>Студент3.18</t>
        </is>
      </c>
      <c r="B839" s="4" t="inlineStr"/>
      <c r="C839" s="4">
        <f>IF(A839="","",COUNTIF(F839:AI839,"+")+COUNTIF(F839:AI839,"1"))</f>
        <v/>
      </c>
      <c r="D839" s="4">
        <f>IF(A839="","",IF(C839&gt;2*COUNTA(F$821:AI$821)/3,1,IF(C839&gt;=COUNTA(F$821:AI$821)/2,0.8,0.5)))</f>
        <v/>
      </c>
      <c r="E839" s="4">
        <f>IF(A839="","",SUMIFS('Логи'!$H$4:$H$3006,'Логи'!$A$4:$A$3006,A839,'Логи'!$C$4:$C$3006,13))</f>
        <v/>
      </c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  <c r="O839" s="15" t="n"/>
      <c r="P839" s="15" t="n"/>
      <c r="Q839" s="15" t="n"/>
      <c r="R839" s="15" t="n"/>
      <c r="S839" s="15" t="n"/>
      <c r="T839" s="15" t="n"/>
      <c r="U839" s="15" t="n"/>
      <c r="V839" s="15" t="n"/>
      <c r="W839" s="15" t="n"/>
      <c r="X839" s="15" t="n"/>
      <c r="Y839" s="15" t="n"/>
      <c r="Z839" s="15" t="n"/>
      <c r="AA839" s="15" t="n"/>
      <c r="AB839" s="15" t="n"/>
      <c r="AC839" s="15" t="n"/>
      <c r="AD839" s="15" t="n"/>
      <c r="AE839" s="15" t="n"/>
      <c r="AF839" s="15" t="n"/>
      <c r="AG839" s="15" t="n"/>
      <c r="AH839" s="15" t="n"/>
      <c r="AI839" s="15" t="n"/>
    </row>
    <row r="840">
      <c r="A840" s="4" t="inlineStr">
        <is>
          <t>Студент3.19</t>
        </is>
      </c>
      <c r="B840" s="4" t="inlineStr"/>
      <c r="C840" s="4">
        <f>IF(A840="","",COUNTIF(F840:AI840,"+")+COUNTIF(F840:AI840,"1"))</f>
        <v/>
      </c>
      <c r="D840" s="4">
        <f>IF(A840="","",IF(C840&gt;2*COUNTA(F$821:AI$821)/3,1,IF(C840&gt;=COUNTA(F$821:AI$821)/2,0.8,0.5)))</f>
        <v/>
      </c>
      <c r="E840" s="4">
        <f>IF(A840="","",SUMIFS('Логи'!$H$4:$H$3006,'Логи'!$A$4:$A$3006,A840,'Логи'!$C$4:$C$3006,13))</f>
        <v/>
      </c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  <c r="O840" s="15" t="n"/>
      <c r="P840" s="15" t="n"/>
      <c r="Q840" s="15" t="n"/>
      <c r="R840" s="15" t="n"/>
      <c r="S840" s="15" t="n"/>
      <c r="T840" s="15" t="n"/>
      <c r="U840" s="15" t="n"/>
      <c r="V840" s="15" t="n"/>
      <c r="W840" s="15" t="n"/>
      <c r="X840" s="15" t="n"/>
      <c r="Y840" s="15" t="n"/>
      <c r="Z840" s="15" t="n"/>
      <c r="AA840" s="15" t="n"/>
      <c r="AB840" s="15" t="n"/>
      <c r="AC840" s="15" t="n"/>
      <c r="AD840" s="15" t="n"/>
      <c r="AE840" s="15" t="n"/>
      <c r="AF840" s="15" t="n"/>
      <c r="AG840" s="15" t="n"/>
      <c r="AH840" s="15" t="n"/>
      <c r="AI840" s="15" t="n"/>
    </row>
    <row r="841">
      <c r="A841" s="4" t="inlineStr">
        <is>
          <t>Студент3.20</t>
        </is>
      </c>
      <c r="B841" s="4" t="inlineStr"/>
      <c r="C841" s="4">
        <f>IF(A841="","",COUNTIF(F841:AI841,"+")+COUNTIF(F841:AI841,"1"))</f>
        <v/>
      </c>
      <c r="D841" s="4">
        <f>IF(A841="","",IF(C841&gt;2*COUNTA(F$821:AI$821)/3,1,IF(C841&gt;=COUNTA(F$821:AI$821)/2,0.8,0.5)))</f>
        <v/>
      </c>
      <c r="E841" s="4">
        <f>IF(A841="","",SUMIFS('Логи'!$H$4:$H$3006,'Логи'!$A$4:$A$3006,A841,'Логи'!$C$4:$C$3006,13))</f>
        <v/>
      </c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  <c r="O841" s="15" t="n"/>
      <c r="P841" s="15" t="n"/>
      <c r="Q841" s="15" t="n"/>
      <c r="R841" s="15" t="n"/>
      <c r="S841" s="15" t="n"/>
      <c r="T841" s="15" t="n"/>
      <c r="U841" s="15" t="n"/>
      <c r="V841" s="15" t="n"/>
      <c r="W841" s="15" t="n"/>
      <c r="X841" s="15" t="n"/>
      <c r="Y841" s="15" t="n"/>
      <c r="Z841" s="15" t="n"/>
      <c r="AA841" s="15" t="n"/>
      <c r="AB841" s="15" t="n"/>
      <c r="AC841" s="15" t="n"/>
      <c r="AD841" s="15" t="n"/>
      <c r="AE841" s="15" t="n"/>
      <c r="AF841" s="15" t="n"/>
      <c r="AG841" s="15" t="n"/>
      <c r="AH841" s="15" t="n"/>
      <c r="AI841" s="15" t="n"/>
    </row>
    <row r="842">
      <c r="A842" s="4" t="inlineStr">
        <is>
          <t>Студент3.21</t>
        </is>
      </c>
      <c r="B842" s="4" t="inlineStr"/>
      <c r="C842" s="4">
        <f>IF(A842="","",COUNTIF(F842:AI842,"+")+COUNTIF(F842:AI842,"1"))</f>
        <v/>
      </c>
      <c r="D842" s="4">
        <f>IF(A842="","",IF(C842&gt;2*COUNTA(F$821:AI$821)/3,1,IF(C842&gt;=COUNTA(F$821:AI$821)/2,0.8,0.5)))</f>
        <v/>
      </c>
      <c r="E842" s="4">
        <f>IF(A842="","",SUMIFS('Логи'!$H$4:$H$3006,'Логи'!$A$4:$A$3006,A842,'Логи'!$C$4:$C$3006,13))</f>
        <v/>
      </c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  <c r="O842" s="15" t="n"/>
      <c r="P842" s="15" t="n"/>
      <c r="Q842" s="15" t="n"/>
      <c r="R842" s="15" t="n"/>
      <c r="S842" s="15" t="n"/>
      <c r="T842" s="15" t="n"/>
      <c r="U842" s="15" t="n"/>
      <c r="V842" s="15" t="n"/>
      <c r="W842" s="15" t="n"/>
      <c r="X842" s="15" t="n"/>
      <c r="Y842" s="15" t="n"/>
      <c r="Z842" s="15" t="n"/>
      <c r="AA842" s="15" t="n"/>
      <c r="AB842" s="15" t="n"/>
      <c r="AC842" s="15" t="n"/>
      <c r="AD842" s="15" t="n"/>
      <c r="AE842" s="15" t="n"/>
      <c r="AF842" s="15" t="n"/>
      <c r="AG842" s="15" t="n"/>
      <c r="AH842" s="15" t="n"/>
      <c r="AI842" s="15" t="n"/>
    </row>
    <row r="843">
      <c r="A843" s="4" t="inlineStr">
        <is>
          <t>Студент3.22</t>
        </is>
      </c>
      <c r="B843" s="4" t="inlineStr"/>
      <c r="C843" s="4">
        <f>IF(A843="","",COUNTIF(F843:AI843,"+")+COUNTIF(F843:AI843,"1"))</f>
        <v/>
      </c>
      <c r="D843" s="4">
        <f>IF(A843="","",IF(C843&gt;2*COUNTA(F$821:AI$821)/3,1,IF(C843&gt;=COUNTA(F$821:AI$821)/2,0.8,0.5)))</f>
        <v/>
      </c>
      <c r="E843" s="4">
        <f>IF(A843="","",SUMIFS('Логи'!$H$4:$H$3006,'Логи'!$A$4:$A$3006,A843,'Логи'!$C$4:$C$3006,13))</f>
        <v/>
      </c>
      <c r="F843" s="15" t="n"/>
      <c r="G843" s="15" t="n"/>
      <c r="H843" s="15" t="n"/>
      <c r="I843" s="15" t="n"/>
      <c r="J843" s="15" t="n"/>
      <c r="K843" s="15" t="n"/>
      <c r="L843" s="15" t="n"/>
      <c r="M843" s="15" t="n"/>
      <c r="N843" s="15" t="n"/>
      <c r="O843" s="15" t="n"/>
      <c r="P843" s="15" t="n"/>
      <c r="Q843" s="15" t="n"/>
      <c r="R843" s="15" t="n"/>
      <c r="S843" s="15" t="n"/>
      <c r="T843" s="15" t="n"/>
      <c r="U843" s="15" t="n"/>
      <c r="V843" s="15" t="n"/>
      <c r="W843" s="15" t="n"/>
      <c r="X843" s="15" t="n"/>
      <c r="Y843" s="15" t="n"/>
      <c r="Z843" s="15" t="n"/>
      <c r="AA843" s="15" t="n"/>
      <c r="AB843" s="15" t="n"/>
      <c r="AC843" s="15" t="n"/>
      <c r="AD843" s="15" t="n"/>
      <c r="AE843" s="15" t="n"/>
      <c r="AF843" s="15" t="n"/>
      <c r="AG843" s="15" t="n"/>
      <c r="AH843" s="15" t="n"/>
      <c r="AI843" s="15" t="n"/>
    </row>
    <row r="844">
      <c r="A844" s="4" t="inlineStr">
        <is>
          <t>Студент3.23</t>
        </is>
      </c>
      <c r="B844" s="4" t="inlineStr"/>
      <c r="C844" s="4">
        <f>IF(A844="","",COUNTIF(F844:AI844,"+")+COUNTIF(F844:AI844,"1"))</f>
        <v/>
      </c>
      <c r="D844" s="4">
        <f>IF(A844="","",IF(C844&gt;2*COUNTA(F$821:AI$821)/3,1,IF(C844&gt;=COUNTA(F$821:AI$821)/2,0.8,0.5)))</f>
        <v/>
      </c>
      <c r="E844" s="4">
        <f>IF(A844="","",SUMIFS('Логи'!$H$4:$H$3006,'Логи'!$A$4:$A$3006,A844,'Логи'!$C$4:$C$3006,13))</f>
        <v/>
      </c>
      <c r="F844" s="15" t="n"/>
      <c r="G844" s="15" t="n"/>
      <c r="H844" s="15" t="n"/>
      <c r="I844" s="15" t="n"/>
      <c r="J844" s="15" t="n"/>
      <c r="K844" s="15" t="n"/>
      <c r="L844" s="15" t="n"/>
      <c r="M844" s="15" t="n"/>
      <c r="N844" s="15" t="n"/>
      <c r="O844" s="15" t="n"/>
      <c r="P844" s="15" t="n"/>
      <c r="Q844" s="15" t="n"/>
      <c r="R844" s="15" t="n"/>
      <c r="S844" s="15" t="n"/>
      <c r="T844" s="15" t="n"/>
      <c r="U844" s="15" t="n"/>
      <c r="V844" s="15" t="n"/>
      <c r="W844" s="15" t="n"/>
      <c r="X844" s="15" t="n"/>
      <c r="Y844" s="15" t="n"/>
      <c r="Z844" s="15" t="n"/>
      <c r="AA844" s="15" t="n"/>
      <c r="AB844" s="15" t="n"/>
      <c r="AC844" s="15" t="n"/>
      <c r="AD844" s="15" t="n"/>
      <c r="AE844" s="15" t="n"/>
      <c r="AF844" s="15" t="n"/>
      <c r="AG844" s="15" t="n"/>
      <c r="AH844" s="15" t="n"/>
      <c r="AI844" s="15" t="n"/>
    </row>
    <row r="845">
      <c r="A845" s="4" t="inlineStr">
        <is>
          <t>Студент3.24</t>
        </is>
      </c>
      <c r="B845" s="4" t="inlineStr"/>
      <c r="C845" s="4">
        <f>IF(A845="","",COUNTIF(F845:AI845,"+")+COUNTIF(F845:AI845,"1"))</f>
        <v/>
      </c>
      <c r="D845" s="4">
        <f>IF(A845="","",IF(C845&gt;2*COUNTA(F$821:AI$821)/3,1,IF(C845&gt;=COUNTA(F$821:AI$821)/2,0.8,0.5)))</f>
        <v/>
      </c>
      <c r="E845" s="4">
        <f>IF(A845="","",SUMIFS('Логи'!$H$4:$H$3006,'Логи'!$A$4:$A$3006,A845,'Логи'!$C$4:$C$3006,13))</f>
        <v/>
      </c>
      <c r="F845" s="15" t="n"/>
      <c r="G845" s="15" t="n"/>
      <c r="H845" s="15" t="n"/>
      <c r="I845" s="15" t="n"/>
      <c r="J845" s="15" t="n"/>
      <c r="K845" s="15" t="n"/>
      <c r="L845" s="15" t="n"/>
      <c r="M845" s="15" t="n"/>
      <c r="N845" s="15" t="n"/>
      <c r="O845" s="15" t="n"/>
      <c r="P845" s="15" t="n"/>
      <c r="Q845" s="15" t="n"/>
      <c r="R845" s="15" t="n"/>
      <c r="S845" s="15" t="n"/>
      <c r="T845" s="15" t="n"/>
      <c r="U845" s="15" t="n"/>
      <c r="V845" s="15" t="n"/>
      <c r="W845" s="15" t="n"/>
      <c r="X845" s="15" t="n"/>
      <c r="Y845" s="15" t="n"/>
      <c r="Z845" s="15" t="n"/>
      <c r="AA845" s="15" t="n"/>
      <c r="AB845" s="15" t="n"/>
      <c r="AC845" s="15" t="n"/>
      <c r="AD845" s="15" t="n"/>
      <c r="AE845" s="15" t="n"/>
      <c r="AF845" s="15" t="n"/>
      <c r="AG845" s="15" t="n"/>
      <c r="AH845" s="15" t="n"/>
      <c r="AI845" s="15" t="n"/>
    </row>
    <row r="846">
      <c r="A846" s="4" t="inlineStr">
        <is>
          <t>Студент3.25</t>
        </is>
      </c>
      <c r="B846" s="4" t="inlineStr"/>
      <c r="C846" s="4">
        <f>IF(A846="","",COUNTIF(F846:AI846,"+")+COUNTIF(F846:AI846,"1"))</f>
        <v/>
      </c>
      <c r="D846" s="4">
        <f>IF(A846="","",IF(C846&gt;2*COUNTA(F$821:AI$821)/3,1,IF(C846&gt;=COUNTA(F$821:AI$821)/2,0.8,0.5)))</f>
        <v/>
      </c>
      <c r="E846" s="4">
        <f>IF(A846="","",SUMIFS('Логи'!$H$4:$H$3006,'Логи'!$A$4:$A$3006,A846,'Логи'!$C$4:$C$3006,13))</f>
        <v/>
      </c>
      <c r="F846" s="15" t="n"/>
      <c r="G846" s="15" t="n"/>
      <c r="H846" s="15" t="n"/>
      <c r="I846" s="15" t="n"/>
      <c r="J846" s="15" t="n"/>
      <c r="K846" s="15" t="n"/>
      <c r="L846" s="15" t="n"/>
      <c r="M846" s="15" t="n"/>
      <c r="N846" s="15" t="n"/>
      <c r="O846" s="15" t="n"/>
      <c r="P846" s="15" t="n"/>
      <c r="Q846" s="15" t="n"/>
      <c r="R846" s="15" t="n"/>
      <c r="S846" s="15" t="n"/>
      <c r="T846" s="15" t="n"/>
      <c r="U846" s="15" t="n"/>
      <c r="V846" s="15" t="n"/>
      <c r="W846" s="15" t="n"/>
      <c r="X846" s="15" t="n"/>
      <c r="Y846" s="15" t="n"/>
      <c r="Z846" s="15" t="n"/>
      <c r="AA846" s="15" t="n"/>
      <c r="AB846" s="15" t="n"/>
      <c r="AC846" s="15" t="n"/>
      <c r="AD846" s="15" t="n"/>
      <c r="AE846" s="15" t="n"/>
      <c r="AF846" s="15" t="n"/>
      <c r="AG846" s="15" t="n"/>
      <c r="AH846" s="15" t="n"/>
      <c r="AI846" s="15" t="n"/>
    </row>
    <row r="847">
      <c r="A847" s="4" t="inlineStr">
        <is>
          <t>Студент3.26</t>
        </is>
      </c>
      <c r="B847" s="4" t="inlineStr"/>
      <c r="C847" s="4">
        <f>IF(A847="","",COUNTIF(F847:AI847,"+")+COUNTIF(F847:AI847,"1"))</f>
        <v/>
      </c>
      <c r="D847" s="4">
        <f>IF(A847="","",IF(C847&gt;2*COUNTA(F$821:AI$821)/3,1,IF(C847&gt;=COUNTA(F$821:AI$821)/2,0.8,0.5)))</f>
        <v/>
      </c>
      <c r="E847" s="4">
        <f>IF(A847="","",SUMIFS('Логи'!$H$4:$H$3006,'Логи'!$A$4:$A$3006,A847,'Логи'!$C$4:$C$3006,13))</f>
        <v/>
      </c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  <c r="O847" s="15" t="n"/>
      <c r="P847" s="15" t="n"/>
      <c r="Q847" s="15" t="n"/>
      <c r="R847" s="15" t="n"/>
      <c r="S847" s="15" t="n"/>
      <c r="T847" s="15" t="n"/>
      <c r="U847" s="15" t="n"/>
      <c r="V847" s="15" t="n"/>
      <c r="W847" s="15" t="n"/>
      <c r="X847" s="15" t="n"/>
      <c r="Y847" s="15" t="n"/>
      <c r="Z847" s="15" t="n"/>
      <c r="AA847" s="15" t="n"/>
      <c r="AB847" s="15" t="n"/>
      <c r="AC847" s="15" t="n"/>
      <c r="AD847" s="15" t="n"/>
      <c r="AE847" s="15" t="n"/>
      <c r="AF847" s="15" t="n"/>
      <c r="AG847" s="15" t="n"/>
      <c r="AH847" s="15" t="n"/>
      <c r="AI847" s="15" t="n"/>
    </row>
    <row r="848">
      <c r="A848" s="4" t="inlineStr">
        <is>
          <t>Студент3.27</t>
        </is>
      </c>
      <c r="B848" s="4" t="inlineStr"/>
      <c r="C848" s="4">
        <f>IF(A848="","",COUNTIF(F848:AI848,"+")+COUNTIF(F848:AI848,"1"))</f>
        <v/>
      </c>
      <c r="D848" s="4">
        <f>IF(A848="","",IF(C848&gt;2*COUNTA(F$821:AI$821)/3,1,IF(C848&gt;=COUNTA(F$821:AI$821)/2,0.8,0.5)))</f>
        <v/>
      </c>
      <c r="E848" s="4">
        <f>IF(A848="","",SUMIFS('Логи'!$H$4:$H$3006,'Логи'!$A$4:$A$3006,A848,'Логи'!$C$4:$C$3006,13))</f>
        <v/>
      </c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  <c r="O848" s="15" t="n"/>
      <c r="P848" s="15" t="n"/>
      <c r="Q848" s="15" t="n"/>
      <c r="R848" s="15" t="n"/>
      <c r="S848" s="15" t="n"/>
      <c r="T848" s="15" t="n"/>
      <c r="U848" s="15" t="n"/>
      <c r="V848" s="15" t="n"/>
      <c r="W848" s="15" t="n"/>
      <c r="X848" s="15" t="n"/>
      <c r="Y848" s="15" t="n"/>
      <c r="Z848" s="15" t="n"/>
      <c r="AA848" s="15" t="n"/>
      <c r="AB848" s="15" t="n"/>
      <c r="AC848" s="15" t="n"/>
      <c r="AD848" s="15" t="n"/>
      <c r="AE848" s="15" t="n"/>
      <c r="AF848" s="15" t="n"/>
      <c r="AG848" s="15" t="n"/>
      <c r="AH848" s="15" t="n"/>
      <c r="AI848" s="15" t="n"/>
    </row>
    <row r="849">
      <c r="A849" s="4" t="inlineStr">
        <is>
          <t>Студент3.28</t>
        </is>
      </c>
      <c r="B849" s="4" t="inlineStr"/>
      <c r="C849" s="4">
        <f>IF(A849="","",COUNTIF(F849:AI849,"+")+COUNTIF(F849:AI849,"1"))</f>
        <v/>
      </c>
      <c r="D849" s="4">
        <f>IF(A849="","",IF(C849&gt;2*COUNTA(F$821:AI$821)/3,1,IF(C849&gt;=COUNTA(F$821:AI$821)/2,0.8,0.5)))</f>
        <v/>
      </c>
      <c r="E849" s="4">
        <f>IF(A849="","",SUMIFS('Логи'!$H$4:$H$3006,'Логи'!$A$4:$A$3006,A849,'Логи'!$C$4:$C$3006,13))</f>
        <v/>
      </c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  <c r="O849" s="15" t="n"/>
      <c r="P849" s="15" t="n"/>
      <c r="Q849" s="15" t="n"/>
      <c r="R849" s="15" t="n"/>
      <c r="S849" s="15" t="n"/>
      <c r="T849" s="15" t="n"/>
      <c r="U849" s="15" t="n"/>
      <c r="V849" s="15" t="n"/>
      <c r="W849" s="15" t="n"/>
      <c r="X849" s="15" t="n"/>
      <c r="Y849" s="15" t="n"/>
      <c r="Z849" s="15" t="n"/>
      <c r="AA849" s="15" t="n"/>
      <c r="AB849" s="15" t="n"/>
      <c r="AC849" s="15" t="n"/>
      <c r="AD849" s="15" t="n"/>
      <c r="AE849" s="15" t="n"/>
      <c r="AF849" s="15" t="n"/>
      <c r="AG849" s="15" t="n"/>
      <c r="AH849" s="15" t="n"/>
      <c r="AI849" s="15" t="n"/>
    </row>
    <row r="850">
      <c r="A850" s="4" t="inlineStr">
        <is>
          <t>Студент3.29</t>
        </is>
      </c>
      <c r="B850" s="4" t="inlineStr"/>
      <c r="C850" s="4">
        <f>IF(A850="","",COUNTIF(F850:AI850,"+")+COUNTIF(F850:AI850,"1"))</f>
        <v/>
      </c>
      <c r="D850" s="4">
        <f>IF(A850="","",IF(C850&gt;2*COUNTA(F$821:AI$821)/3,1,IF(C850&gt;=COUNTA(F$821:AI$821)/2,0.8,0.5)))</f>
        <v/>
      </c>
      <c r="E850" s="4">
        <f>IF(A850="","",SUMIFS('Логи'!$H$4:$H$3006,'Логи'!$A$4:$A$3006,A850,'Логи'!$C$4:$C$3006,13))</f>
        <v/>
      </c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5" t="n"/>
      <c r="P850" s="15" t="n"/>
      <c r="Q850" s="15" t="n"/>
      <c r="R850" s="15" t="n"/>
      <c r="S850" s="15" t="n"/>
      <c r="T850" s="15" t="n"/>
      <c r="U850" s="15" t="n"/>
      <c r="V850" s="15" t="n"/>
      <c r="W850" s="15" t="n"/>
      <c r="X850" s="15" t="n"/>
      <c r="Y850" s="15" t="n"/>
      <c r="Z850" s="15" t="n"/>
      <c r="AA850" s="15" t="n"/>
      <c r="AB850" s="15" t="n"/>
      <c r="AC850" s="15" t="n"/>
      <c r="AD850" s="15" t="n"/>
      <c r="AE850" s="15" t="n"/>
      <c r="AF850" s="15" t="n"/>
      <c r="AG850" s="15" t="n"/>
      <c r="AH850" s="15" t="n"/>
      <c r="AI850" s="15" t="n"/>
    </row>
    <row r="851">
      <c r="A851" s="4" t="inlineStr">
        <is>
          <t>Студент3.30</t>
        </is>
      </c>
      <c r="B851" s="4" t="inlineStr"/>
      <c r="C851" s="4">
        <f>IF(A851="","",COUNTIF(F851:AI851,"+")+COUNTIF(F851:AI851,"1"))</f>
        <v/>
      </c>
      <c r="D851" s="4">
        <f>IF(A851="","",IF(C851&gt;2*COUNTA(F$821:AI$821)/3,1,IF(C851&gt;=COUNTA(F$821:AI$821)/2,0.8,0.5)))</f>
        <v/>
      </c>
      <c r="E851" s="4">
        <f>IF(A851="","",SUMIFS('Логи'!$H$4:$H$3006,'Логи'!$A$4:$A$3006,A851,'Логи'!$C$4:$C$3006,13))</f>
        <v/>
      </c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  <c r="O851" s="15" t="n"/>
      <c r="P851" s="15" t="n"/>
      <c r="Q851" s="15" t="n"/>
      <c r="R851" s="15" t="n"/>
      <c r="S851" s="15" t="n"/>
      <c r="T851" s="15" t="n"/>
      <c r="U851" s="15" t="n"/>
      <c r="V851" s="15" t="n"/>
      <c r="W851" s="15" t="n"/>
      <c r="X851" s="15" t="n"/>
      <c r="Y851" s="15" t="n"/>
      <c r="Z851" s="15" t="n"/>
      <c r="AA851" s="15" t="n"/>
      <c r="AB851" s="15" t="n"/>
      <c r="AC851" s="15" t="n"/>
      <c r="AD851" s="15" t="n"/>
      <c r="AE851" s="15" t="n"/>
      <c r="AF851" s="15" t="n"/>
      <c r="AG851" s="15" t="n"/>
      <c r="AH851" s="15" t="n"/>
      <c r="AI851" s="15" t="n"/>
    </row>
    <row r="853">
      <c r="A853" s="16" t="inlineStr">
        <is>
          <t>Практика 13 — результаты рассказа</t>
        </is>
      </c>
    </row>
    <row r="854" ht="28" customHeight="1">
      <c r="A854" s="7" t="inlineStr">
        <is>
          <t>Имя</t>
        </is>
      </c>
      <c r="B854" s="9" t="inlineStr">
        <is>
          <t>TG</t>
        </is>
      </c>
      <c r="C854" s="10" t="inlineStr"/>
      <c r="D854" s="2" t="inlineStr"/>
      <c r="E854" s="2" t="inlineStr"/>
      <c r="F854" s="11" t="inlineStr">
        <is>
          <t>1.0</t>
        </is>
      </c>
      <c r="G854" s="11" t="inlineStr">
        <is>
          <t>2.0</t>
        </is>
      </c>
      <c r="H854" s="11" t="inlineStr">
        <is>
          <t>3.0</t>
        </is>
      </c>
      <c r="I854" s="11" t="inlineStr">
        <is>
          <t>4.0</t>
        </is>
      </c>
      <c r="J854" s="11" t="inlineStr">
        <is>
          <t>5.0</t>
        </is>
      </c>
      <c r="K854" s="11" t="inlineStr">
        <is>
          <t>6</t>
        </is>
      </c>
      <c r="L854" s="11" t="inlineStr">
        <is>
          <t>7</t>
        </is>
      </c>
      <c r="M854" s="11" t="inlineStr">
        <is>
          <t>8</t>
        </is>
      </c>
      <c r="N854" s="11" t="inlineStr">
        <is>
          <t>9</t>
        </is>
      </c>
      <c r="O854" s="11" t="inlineStr">
        <is>
          <t>10</t>
        </is>
      </c>
      <c r="P854" s="11" t="inlineStr">
        <is>
          <t>11</t>
        </is>
      </c>
      <c r="Q854" s="11" t="inlineStr">
        <is>
          <t>12</t>
        </is>
      </c>
      <c r="R854" s="11" t="inlineStr">
        <is>
          <t>13</t>
        </is>
      </c>
      <c r="S854" s="11" t="inlineStr">
        <is>
          <t>14</t>
        </is>
      </c>
      <c r="T854" s="11" t="inlineStr">
        <is>
          <t>15</t>
        </is>
      </c>
      <c r="U854" s="11" t="inlineStr">
        <is>
          <t>16</t>
        </is>
      </c>
      <c r="V854" s="11" t="inlineStr">
        <is>
          <t>17</t>
        </is>
      </c>
      <c r="W854" s="11" t="inlineStr">
        <is>
          <t>18</t>
        </is>
      </c>
      <c r="X854" s="11" t="inlineStr">
        <is>
          <t>19</t>
        </is>
      </c>
      <c r="Y854" s="11" t="inlineStr">
        <is>
          <t>20</t>
        </is>
      </c>
      <c r="Z854" s="11" t="inlineStr">
        <is>
          <t>21</t>
        </is>
      </c>
      <c r="AA854" s="11" t="inlineStr">
        <is>
          <t>22</t>
        </is>
      </c>
      <c r="AB854" s="11" t="inlineStr">
        <is>
          <t>23</t>
        </is>
      </c>
      <c r="AC854" s="11" t="inlineStr">
        <is>
          <t>24</t>
        </is>
      </c>
      <c r="AD854" s="11" t="inlineStr">
        <is>
          <t>25</t>
        </is>
      </c>
      <c r="AE854" s="11" t="inlineStr">
        <is>
          <t>26</t>
        </is>
      </c>
      <c r="AF854" s="11" t="inlineStr">
        <is>
          <t>27</t>
        </is>
      </c>
      <c r="AG854" s="11" t="inlineStr">
        <is>
          <t>28</t>
        </is>
      </c>
      <c r="AH854" s="11" t="inlineStr">
        <is>
          <t>29</t>
        </is>
      </c>
      <c r="AI854" s="11" t="inlineStr">
        <is>
          <t>30</t>
        </is>
      </c>
    </row>
    <row r="855">
      <c r="A855" s="4" t="inlineStr">
        <is>
          <t>Студент3.1</t>
        </is>
      </c>
      <c r="B855" s="4" t="inlineStr"/>
      <c r="C855" s="4" t="n"/>
      <c r="D855" s="4" t="n"/>
      <c r="E855" s="4" t="n"/>
      <c r="F855" s="15" t="n"/>
      <c r="G855" s="15" t="n"/>
      <c r="H855" s="15" t="n"/>
      <c r="I855" s="15" t="n"/>
      <c r="J855" s="15" t="n"/>
      <c r="K855" s="15" t="n"/>
      <c r="L855" s="15" t="n"/>
      <c r="M855" s="15" t="n"/>
      <c r="N855" s="15" t="n"/>
      <c r="O855" s="15" t="n"/>
      <c r="P855" s="15" t="n"/>
      <c r="Q855" s="15" t="n"/>
      <c r="R855" s="15" t="n"/>
      <c r="S855" s="15" t="n"/>
      <c r="T855" s="15" t="n"/>
      <c r="U855" s="15" t="n"/>
      <c r="V855" s="15" t="n"/>
      <c r="W855" s="15" t="n"/>
      <c r="X855" s="15" t="n"/>
      <c r="Y855" s="15" t="n"/>
      <c r="Z855" s="15" t="n"/>
      <c r="AA855" s="15" t="n"/>
      <c r="AB855" s="15" t="n"/>
      <c r="AC855" s="15" t="n"/>
      <c r="AD855" s="15" t="n"/>
      <c r="AE855" s="15" t="n"/>
      <c r="AF855" s="15" t="n"/>
      <c r="AG855" s="15" t="n"/>
      <c r="AH855" s="15" t="n"/>
      <c r="AI855" s="15" t="n"/>
    </row>
    <row r="856">
      <c r="A856" s="4" t="inlineStr">
        <is>
          <t>Студент3.2</t>
        </is>
      </c>
      <c r="B856" s="4" t="inlineStr"/>
      <c r="C856" s="4" t="n"/>
      <c r="D856" s="4" t="n"/>
      <c r="E856" s="4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5" t="n"/>
      <c r="P856" s="15" t="n"/>
      <c r="Q856" s="15" t="n"/>
      <c r="R856" s="15" t="n"/>
      <c r="S856" s="15" t="n"/>
      <c r="T856" s="15" t="n"/>
      <c r="U856" s="15" t="n"/>
      <c r="V856" s="15" t="n"/>
      <c r="W856" s="15" t="n"/>
      <c r="X856" s="15" t="n"/>
      <c r="Y856" s="15" t="n"/>
      <c r="Z856" s="15" t="n"/>
      <c r="AA856" s="15" t="n"/>
      <c r="AB856" s="15" t="n"/>
      <c r="AC856" s="15" t="n"/>
      <c r="AD856" s="15" t="n"/>
      <c r="AE856" s="15" t="n"/>
      <c r="AF856" s="15" t="n"/>
      <c r="AG856" s="15" t="n"/>
      <c r="AH856" s="15" t="n"/>
      <c r="AI856" s="15" t="n"/>
    </row>
    <row r="857">
      <c r="A857" s="4" t="inlineStr">
        <is>
          <t>Студент3.3</t>
        </is>
      </c>
      <c r="B857" s="4" t="inlineStr"/>
      <c r="C857" s="4" t="n"/>
      <c r="D857" s="4" t="n"/>
      <c r="E857" s="4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  <c r="O857" s="15" t="n"/>
      <c r="P857" s="15" t="n"/>
      <c r="Q857" s="15" t="n"/>
      <c r="R857" s="15" t="n"/>
      <c r="S857" s="15" t="n"/>
      <c r="T857" s="15" t="n"/>
      <c r="U857" s="15" t="n"/>
      <c r="V857" s="15" t="n"/>
      <c r="W857" s="15" t="n"/>
      <c r="X857" s="15" t="n"/>
      <c r="Y857" s="15" t="n"/>
      <c r="Z857" s="15" t="n"/>
      <c r="AA857" s="15" t="n"/>
      <c r="AB857" s="15" t="n"/>
      <c r="AC857" s="15" t="n"/>
      <c r="AD857" s="15" t="n"/>
      <c r="AE857" s="15" t="n"/>
      <c r="AF857" s="15" t="n"/>
      <c r="AG857" s="15" t="n"/>
      <c r="AH857" s="15" t="n"/>
      <c r="AI857" s="15" t="n"/>
    </row>
    <row r="858">
      <c r="A858" s="4" t="inlineStr">
        <is>
          <t>Студент3.4</t>
        </is>
      </c>
      <c r="B858" s="4" t="inlineStr"/>
      <c r="C858" s="4" t="n"/>
      <c r="D858" s="4" t="n"/>
      <c r="E858" s="4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  <c r="O858" s="15" t="n"/>
      <c r="P858" s="15" t="n"/>
      <c r="Q858" s="15" t="n"/>
      <c r="R858" s="15" t="n"/>
      <c r="S858" s="15" t="n"/>
      <c r="T858" s="15" t="n"/>
      <c r="U858" s="15" t="n"/>
      <c r="V858" s="15" t="n"/>
      <c r="W858" s="15" t="n"/>
      <c r="X858" s="15" t="n"/>
      <c r="Y858" s="15" t="n"/>
      <c r="Z858" s="15" t="n"/>
      <c r="AA858" s="15" t="n"/>
      <c r="AB858" s="15" t="n"/>
      <c r="AC858" s="15" t="n"/>
      <c r="AD858" s="15" t="n"/>
      <c r="AE858" s="15" t="n"/>
      <c r="AF858" s="15" t="n"/>
      <c r="AG858" s="15" t="n"/>
      <c r="AH858" s="15" t="n"/>
      <c r="AI858" s="15" t="n"/>
    </row>
    <row r="859">
      <c r="A859" s="4" t="inlineStr">
        <is>
          <t>Студент3.5</t>
        </is>
      </c>
      <c r="B859" s="4" t="inlineStr"/>
      <c r="C859" s="4" t="n"/>
      <c r="D859" s="4" t="n"/>
      <c r="E859" s="4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  <c r="O859" s="15" t="n"/>
      <c r="P859" s="15" t="n"/>
      <c r="Q859" s="15" t="n"/>
      <c r="R859" s="15" t="n"/>
      <c r="S859" s="15" t="n"/>
      <c r="T859" s="15" t="n"/>
      <c r="U859" s="15" t="n"/>
      <c r="V859" s="15" t="n"/>
      <c r="W859" s="15" t="n"/>
      <c r="X859" s="15" t="n"/>
      <c r="Y859" s="15" t="n"/>
      <c r="Z859" s="15" t="n"/>
      <c r="AA859" s="15" t="n"/>
      <c r="AB859" s="15" t="n"/>
      <c r="AC859" s="15" t="n"/>
      <c r="AD859" s="15" t="n"/>
      <c r="AE859" s="15" t="n"/>
      <c r="AF859" s="15" t="n"/>
      <c r="AG859" s="15" t="n"/>
      <c r="AH859" s="15" t="n"/>
      <c r="AI859" s="15" t="n"/>
    </row>
    <row r="860">
      <c r="A860" s="4" t="inlineStr">
        <is>
          <t>Студент3.6</t>
        </is>
      </c>
      <c r="B860" s="4" t="inlineStr"/>
      <c r="C860" s="4" t="n"/>
      <c r="D860" s="4" t="n"/>
      <c r="E860" s="4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  <c r="O860" s="15" t="n"/>
      <c r="P860" s="15" t="n"/>
      <c r="Q860" s="15" t="n"/>
      <c r="R860" s="15" t="n"/>
      <c r="S860" s="15" t="n"/>
      <c r="T860" s="15" t="n"/>
      <c r="U860" s="15" t="n"/>
      <c r="V860" s="15" t="n"/>
      <c r="W860" s="15" t="n"/>
      <c r="X860" s="15" t="n"/>
      <c r="Y860" s="15" t="n"/>
      <c r="Z860" s="15" t="n"/>
      <c r="AA860" s="15" t="n"/>
      <c r="AB860" s="15" t="n"/>
      <c r="AC860" s="15" t="n"/>
      <c r="AD860" s="15" t="n"/>
      <c r="AE860" s="15" t="n"/>
      <c r="AF860" s="15" t="n"/>
      <c r="AG860" s="15" t="n"/>
      <c r="AH860" s="15" t="n"/>
      <c r="AI860" s="15" t="n"/>
    </row>
    <row r="861">
      <c r="A861" s="4" t="inlineStr">
        <is>
          <t>Студент3.7</t>
        </is>
      </c>
      <c r="B861" s="4" t="inlineStr"/>
      <c r="C861" s="4" t="n"/>
      <c r="D861" s="4" t="n"/>
      <c r="E861" s="4" t="n"/>
      <c r="F861" s="15" t="n"/>
      <c r="G861" s="15" t="n"/>
      <c r="H861" s="15" t="n"/>
      <c r="I861" s="15" t="n"/>
      <c r="J861" s="15" t="n"/>
      <c r="K861" s="15" t="n"/>
      <c r="L861" s="15" t="n"/>
      <c r="M861" s="15" t="n"/>
      <c r="N861" s="15" t="n"/>
      <c r="O861" s="15" t="n"/>
      <c r="P861" s="15" t="n"/>
      <c r="Q861" s="15" t="n"/>
      <c r="R861" s="15" t="n"/>
      <c r="S861" s="15" t="n"/>
      <c r="T861" s="15" t="n"/>
      <c r="U861" s="15" t="n"/>
      <c r="V861" s="15" t="n"/>
      <c r="W861" s="15" t="n"/>
      <c r="X861" s="15" t="n"/>
      <c r="Y861" s="15" t="n"/>
      <c r="Z861" s="15" t="n"/>
      <c r="AA861" s="15" t="n"/>
      <c r="AB861" s="15" t="n"/>
      <c r="AC861" s="15" t="n"/>
      <c r="AD861" s="15" t="n"/>
      <c r="AE861" s="15" t="n"/>
      <c r="AF861" s="15" t="n"/>
      <c r="AG861" s="15" t="n"/>
      <c r="AH861" s="15" t="n"/>
      <c r="AI861" s="15" t="n"/>
    </row>
    <row r="862">
      <c r="A862" s="4" t="inlineStr">
        <is>
          <t>Студент3.8</t>
        </is>
      </c>
      <c r="B862" s="4" t="inlineStr"/>
      <c r="C862" s="4" t="n"/>
      <c r="D862" s="4" t="n"/>
      <c r="E862" s="4" t="n"/>
      <c r="F862" s="15" t="n"/>
      <c r="G862" s="15" t="n"/>
      <c r="H862" s="15" t="n"/>
      <c r="I862" s="15" t="n"/>
      <c r="J862" s="15" t="n"/>
      <c r="K862" s="15" t="n"/>
      <c r="L862" s="15" t="n"/>
      <c r="M862" s="15" t="n"/>
      <c r="N862" s="15" t="n"/>
      <c r="O862" s="15" t="n"/>
      <c r="P862" s="15" t="n"/>
      <c r="Q862" s="15" t="n"/>
      <c r="R862" s="15" t="n"/>
      <c r="S862" s="15" t="n"/>
      <c r="T862" s="15" t="n"/>
      <c r="U862" s="15" t="n"/>
      <c r="V862" s="15" t="n"/>
      <c r="W862" s="15" t="n"/>
      <c r="X862" s="15" t="n"/>
      <c r="Y862" s="15" t="n"/>
      <c r="Z862" s="15" t="n"/>
      <c r="AA862" s="15" t="n"/>
      <c r="AB862" s="15" t="n"/>
      <c r="AC862" s="15" t="n"/>
      <c r="AD862" s="15" t="n"/>
      <c r="AE862" s="15" t="n"/>
      <c r="AF862" s="15" t="n"/>
      <c r="AG862" s="15" t="n"/>
      <c r="AH862" s="15" t="n"/>
      <c r="AI862" s="15" t="n"/>
    </row>
    <row r="863">
      <c r="A863" s="4" t="inlineStr">
        <is>
          <t>Студент3.9</t>
        </is>
      </c>
      <c r="B863" s="4" t="inlineStr"/>
      <c r="C863" s="4" t="n"/>
      <c r="D863" s="4" t="n"/>
      <c r="E863" s="4" t="n"/>
      <c r="F863" s="15" t="n"/>
      <c r="G863" s="15" t="n"/>
      <c r="H863" s="15" t="n"/>
      <c r="I863" s="15" t="n"/>
      <c r="J863" s="15" t="n"/>
      <c r="K863" s="15" t="n"/>
      <c r="L863" s="15" t="n"/>
      <c r="M863" s="15" t="n"/>
      <c r="N863" s="15" t="n"/>
      <c r="O863" s="15" t="n"/>
      <c r="P863" s="15" t="n"/>
      <c r="Q863" s="15" t="n"/>
      <c r="R863" s="15" t="n"/>
      <c r="S863" s="15" t="n"/>
      <c r="T863" s="15" t="n"/>
      <c r="U863" s="15" t="n"/>
      <c r="V863" s="15" t="n"/>
      <c r="W863" s="15" t="n"/>
      <c r="X863" s="15" t="n"/>
      <c r="Y863" s="15" t="n"/>
      <c r="Z863" s="15" t="n"/>
      <c r="AA863" s="15" t="n"/>
      <c r="AB863" s="15" t="n"/>
      <c r="AC863" s="15" t="n"/>
      <c r="AD863" s="15" t="n"/>
      <c r="AE863" s="15" t="n"/>
      <c r="AF863" s="15" t="n"/>
      <c r="AG863" s="15" t="n"/>
      <c r="AH863" s="15" t="n"/>
      <c r="AI863" s="15" t="n"/>
    </row>
    <row r="864">
      <c r="A864" s="4" t="inlineStr">
        <is>
          <t>Студент3.10</t>
        </is>
      </c>
      <c r="B864" s="4" t="inlineStr"/>
      <c r="C864" s="4" t="n"/>
      <c r="D864" s="4" t="n"/>
      <c r="E864" s="4" t="n"/>
      <c r="F864" s="15" t="n"/>
      <c r="G864" s="15" t="n"/>
      <c r="H864" s="15" t="n"/>
      <c r="I864" s="15" t="n"/>
      <c r="J864" s="15" t="n"/>
      <c r="K864" s="15" t="n"/>
      <c r="L864" s="15" t="n"/>
      <c r="M864" s="15" t="n"/>
      <c r="N864" s="15" t="n"/>
      <c r="O864" s="15" t="n"/>
      <c r="P864" s="15" t="n"/>
      <c r="Q864" s="15" t="n"/>
      <c r="R864" s="15" t="n"/>
      <c r="S864" s="15" t="n"/>
      <c r="T864" s="15" t="n"/>
      <c r="U864" s="15" t="n"/>
      <c r="V864" s="15" t="n"/>
      <c r="W864" s="15" t="n"/>
      <c r="X864" s="15" t="n"/>
      <c r="Y864" s="15" t="n"/>
      <c r="Z864" s="15" t="n"/>
      <c r="AA864" s="15" t="n"/>
      <c r="AB864" s="15" t="n"/>
      <c r="AC864" s="15" t="n"/>
      <c r="AD864" s="15" t="n"/>
      <c r="AE864" s="15" t="n"/>
      <c r="AF864" s="15" t="n"/>
      <c r="AG864" s="15" t="n"/>
      <c r="AH864" s="15" t="n"/>
      <c r="AI864" s="15" t="n"/>
    </row>
    <row r="865">
      <c r="A865" s="4" t="inlineStr">
        <is>
          <t>Студент3.11</t>
        </is>
      </c>
      <c r="B865" s="4" t="inlineStr"/>
      <c r="C865" s="4" t="n"/>
      <c r="D865" s="4" t="n"/>
      <c r="E865" s="4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  <c r="O865" s="15" t="n"/>
      <c r="P865" s="15" t="n"/>
      <c r="Q865" s="15" t="n"/>
      <c r="R865" s="15" t="n"/>
      <c r="S865" s="15" t="n"/>
      <c r="T865" s="15" t="n"/>
      <c r="U865" s="15" t="n"/>
      <c r="V865" s="15" t="n"/>
      <c r="W865" s="15" t="n"/>
      <c r="X865" s="15" t="n"/>
      <c r="Y865" s="15" t="n"/>
      <c r="Z865" s="15" t="n"/>
      <c r="AA865" s="15" t="n"/>
      <c r="AB865" s="15" t="n"/>
      <c r="AC865" s="15" t="n"/>
      <c r="AD865" s="15" t="n"/>
      <c r="AE865" s="15" t="n"/>
      <c r="AF865" s="15" t="n"/>
      <c r="AG865" s="15" t="n"/>
      <c r="AH865" s="15" t="n"/>
      <c r="AI865" s="15" t="n"/>
    </row>
    <row r="866">
      <c r="A866" s="4" t="inlineStr">
        <is>
          <t>Студент3.12</t>
        </is>
      </c>
      <c r="B866" s="4" t="inlineStr"/>
      <c r="C866" s="4" t="n"/>
      <c r="D866" s="4" t="n"/>
      <c r="E866" s="4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  <c r="O866" s="15" t="n"/>
      <c r="P866" s="15" t="n"/>
      <c r="Q866" s="15" t="n"/>
      <c r="R866" s="15" t="n"/>
      <c r="S866" s="15" t="n"/>
      <c r="T866" s="15" t="n"/>
      <c r="U866" s="15" t="n"/>
      <c r="V866" s="15" t="n"/>
      <c r="W866" s="15" t="n"/>
      <c r="X866" s="15" t="n"/>
      <c r="Y866" s="15" t="n"/>
      <c r="Z866" s="15" t="n"/>
      <c r="AA866" s="15" t="n"/>
      <c r="AB866" s="15" t="n"/>
      <c r="AC866" s="15" t="n"/>
      <c r="AD866" s="15" t="n"/>
      <c r="AE866" s="15" t="n"/>
      <c r="AF866" s="15" t="n"/>
      <c r="AG866" s="15" t="n"/>
      <c r="AH866" s="15" t="n"/>
      <c r="AI866" s="15" t="n"/>
    </row>
    <row r="867">
      <c r="A867" s="4" t="inlineStr">
        <is>
          <t>Студент3.13</t>
        </is>
      </c>
      <c r="B867" s="4" t="inlineStr"/>
      <c r="C867" s="4" t="n"/>
      <c r="D867" s="4" t="n"/>
      <c r="E867" s="4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  <c r="O867" s="15" t="n"/>
      <c r="P867" s="15" t="n"/>
      <c r="Q867" s="15" t="n"/>
      <c r="R867" s="15" t="n"/>
      <c r="S867" s="15" t="n"/>
      <c r="T867" s="15" t="n"/>
      <c r="U867" s="15" t="n"/>
      <c r="V867" s="15" t="n"/>
      <c r="W867" s="15" t="n"/>
      <c r="X867" s="15" t="n"/>
      <c r="Y867" s="15" t="n"/>
      <c r="Z867" s="15" t="n"/>
      <c r="AA867" s="15" t="n"/>
      <c r="AB867" s="15" t="n"/>
      <c r="AC867" s="15" t="n"/>
      <c r="AD867" s="15" t="n"/>
      <c r="AE867" s="15" t="n"/>
      <c r="AF867" s="15" t="n"/>
      <c r="AG867" s="15" t="n"/>
      <c r="AH867" s="15" t="n"/>
      <c r="AI867" s="15" t="n"/>
    </row>
    <row r="868">
      <c r="A868" s="4" t="inlineStr">
        <is>
          <t>Студент3.14</t>
        </is>
      </c>
      <c r="B868" s="4" t="inlineStr"/>
      <c r="C868" s="4" t="n"/>
      <c r="D868" s="4" t="n"/>
      <c r="E868" s="4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  <c r="O868" s="15" t="n"/>
      <c r="P868" s="15" t="n"/>
      <c r="Q868" s="15" t="n"/>
      <c r="R868" s="15" t="n"/>
      <c r="S868" s="15" t="n"/>
      <c r="T868" s="15" t="n"/>
      <c r="U868" s="15" t="n"/>
      <c r="V868" s="15" t="n"/>
      <c r="W868" s="15" t="n"/>
      <c r="X868" s="15" t="n"/>
      <c r="Y868" s="15" t="n"/>
      <c r="Z868" s="15" t="n"/>
      <c r="AA868" s="15" t="n"/>
      <c r="AB868" s="15" t="n"/>
      <c r="AC868" s="15" t="n"/>
      <c r="AD868" s="15" t="n"/>
      <c r="AE868" s="15" t="n"/>
      <c r="AF868" s="15" t="n"/>
      <c r="AG868" s="15" t="n"/>
      <c r="AH868" s="15" t="n"/>
      <c r="AI868" s="15" t="n"/>
    </row>
    <row r="869">
      <c r="A869" s="4" t="inlineStr">
        <is>
          <t>Студент3.15</t>
        </is>
      </c>
      <c r="B869" s="4" t="inlineStr"/>
      <c r="C869" s="4" t="n"/>
      <c r="D869" s="4" t="n"/>
      <c r="E869" s="4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  <c r="O869" s="15" t="n"/>
      <c r="P869" s="15" t="n"/>
      <c r="Q869" s="15" t="n"/>
      <c r="R869" s="15" t="n"/>
      <c r="S869" s="15" t="n"/>
      <c r="T869" s="15" t="n"/>
      <c r="U869" s="15" t="n"/>
      <c r="V869" s="15" t="n"/>
      <c r="W869" s="15" t="n"/>
      <c r="X869" s="15" t="n"/>
      <c r="Y869" s="15" t="n"/>
      <c r="Z869" s="15" t="n"/>
      <c r="AA869" s="15" t="n"/>
      <c r="AB869" s="15" t="n"/>
      <c r="AC869" s="15" t="n"/>
      <c r="AD869" s="15" t="n"/>
      <c r="AE869" s="15" t="n"/>
      <c r="AF869" s="15" t="n"/>
      <c r="AG869" s="15" t="n"/>
      <c r="AH869" s="15" t="n"/>
      <c r="AI869" s="15" t="n"/>
    </row>
    <row r="870">
      <c r="A870" s="4" t="inlineStr">
        <is>
          <t>Студент3.16</t>
        </is>
      </c>
      <c r="B870" s="4" t="inlineStr"/>
      <c r="C870" s="4" t="n"/>
      <c r="D870" s="4" t="n"/>
      <c r="E870" s="4" t="n"/>
      <c r="F870" s="15" t="n"/>
      <c r="G870" s="15" t="n"/>
      <c r="H870" s="15" t="n"/>
      <c r="I870" s="15" t="n"/>
      <c r="J870" s="15" t="n"/>
      <c r="K870" s="15" t="n"/>
      <c r="L870" s="15" t="n"/>
      <c r="M870" s="15" t="n"/>
      <c r="N870" s="15" t="n"/>
      <c r="O870" s="15" t="n"/>
      <c r="P870" s="15" t="n"/>
      <c r="Q870" s="15" t="n"/>
      <c r="R870" s="15" t="n"/>
      <c r="S870" s="15" t="n"/>
      <c r="T870" s="15" t="n"/>
      <c r="U870" s="15" t="n"/>
      <c r="V870" s="15" t="n"/>
      <c r="W870" s="15" t="n"/>
      <c r="X870" s="15" t="n"/>
      <c r="Y870" s="15" t="n"/>
      <c r="Z870" s="15" t="n"/>
      <c r="AA870" s="15" t="n"/>
      <c r="AB870" s="15" t="n"/>
      <c r="AC870" s="15" t="n"/>
      <c r="AD870" s="15" t="n"/>
      <c r="AE870" s="15" t="n"/>
      <c r="AF870" s="15" t="n"/>
      <c r="AG870" s="15" t="n"/>
      <c r="AH870" s="15" t="n"/>
      <c r="AI870" s="15" t="n"/>
    </row>
    <row r="871">
      <c r="A871" s="4" t="inlineStr">
        <is>
          <t>Студент3.17</t>
        </is>
      </c>
      <c r="B871" s="4" t="inlineStr"/>
      <c r="C871" s="4" t="n"/>
      <c r="D871" s="4" t="n"/>
      <c r="E871" s="4" t="n"/>
      <c r="F871" s="15" t="n"/>
      <c r="G871" s="15" t="n"/>
      <c r="H871" s="15" t="n"/>
      <c r="I871" s="15" t="n"/>
      <c r="J871" s="15" t="n"/>
      <c r="K871" s="15" t="n"/>
      <c r="L871" s="15" t="n"/>
      <c r="M871" s="15" t="n"/>
      <c r="N871" s="15" t="n"/>
      <c r="O871" s="15" t="n"/>
      <c r="P871" s="15" t="n"/>
      <c r="Q871" s="15" t="n"/>
      <c r="R871" s="15" t="n"/>
      <c r="S871" s="15" t="n"/>
      <c r="T871" s="15" t="n"/>
      <c r="U871" s="15" t="n"/>
      <c r="V871" s="15" t="n"/>
      <c r="W871" s="15" t="n"/>
      <c r="X871" s="15" t="n"/>
      <c r="Y871" s="15" t="n"/>
      <c r="Z871" s="15" t="n"/>
      <c r="AA871" s="15" t="n"/>
      <c r="AB871" s="15" t="n"/>
      <c r="AC871" s="15" t="n"/>
      <c r="AD871" s="15" t="n"/>
      <c r="AE871" s="15" t="n"/>
      <c r="AF871" s="15" t="n"/>
      <c r="AG871" s="15" t="n"/>
      <c r="AH871" s="15" t="n"/>
      <c r="AI871" s="15" t="n"/>
    </row>
    <row r="872">
      <c r="A872" s="4" t="inlineStr">
        <is>
          <t>Студент3.18</t>
        </is>
      </c>
      <c r="B872" s="4" t="inlineStr"/>
      <c r="C872" s="4" t="n"/>
      <c r="D872" s="4" t="n"/>
      <c r="E872" s="4" t="n"/>
      <c r="F872" s="15" t="n"/>
      <c r="G872" s="15" t="n"/>
      <c r="H872" s="15" t="n"/>
      <c r="I872" s="15" t="n"/>
      <c r="J872" s="15" t="n"/>
      <c r="K872" s="15" t="n"/>
      <c r="L872" s="15" t="n"/>
      <c r="M872" s="15" t="n"/>
      <c r="N872" s="15" t="n"/>
      <c r="O872" s="15" t="n"/>
      <c r="P872" s="15" t="n"/>
      <c r="Q872" s="15" t="n"/>
      <c r="R872" s="15" t="n"/>
      <c r="S872" s="15" t="n"/>
      <c r="T872" s="15" t="n"/>
      <c r="U872" s="15" t="n"/>
      <c r="V872" s="15" t="n"/>
      <c r="W872" s="15" t="n"/>
      <c r="X872" s="15" t="n"/>
      <c r="Y872" s="15" t="n"/>
      <c r="Z872" s="15" t="n"/>
      <c r="AA872" s="15" t="n"/>
      <c r="AB872" s="15" t="n"/>
      <c r="AC872" s="15" t="n"/>
      <c r="AD872" s="15" t="n"/>
      <c r="AE872" s="15" t="n"/>
      <c r="AF872" s="15" t="n"/>
      <c r="AG872" s="15" t="n"/>
      <c r="AH872" s="15" t="n"/>
      <c r="AI872" s="15" t="n"/>
    </row>
    <row r="873">
      <c r="A873" s="4" t="inlineStr">
        <is>
          <t>Студент3.19</t>
        </is>
      </c>
      <c r="B873" s="4" t="inlineStr"/>
      <c r="C873" s="4" t="n"/>
      <c r="D873" s="4" t="n"/>
      <c r="E873" s="4" t="n"/>
      <c r="F873" s="15" t="n"/>
      <c r="G873" s="15" t="n"/>
      <c r="H873" s="15" t="n"/>
      <c r="I873" s="15" t="n"/>
      <c r="J873" s="15" t="n"/>
      <c r="K873" s="15" t="n"/>
      <c r="L873" s="15" t="n"/>
      <c r="M873" s="15" t="n"/>
      <c r="N873" s="15" t="n"/>
      <c r="O873" s="15" t="n"/>
      <c r="P873" s="15" t="n"/>
      <c r="Q873" s="15" t="n"/>
      <c r="R873" s="15" t="n"/>
      <c r="S873" s="15" t="n"/>
      <c r="T873" s="15" t="n"/>
      <c r="U873" s="15" t="n"/>
      <c r="V873" s="15" t="n"/>
      <c r="W873" s="15" t="n"/>
      <c r="X873" s="15" t="n"/>
      <c r="Y873" s="15" t="n"/>
      <c r="Z873" s="15" t="n"/>
      <c r="AA873" s="15" t="n"/>
      <c r="AB873" s="15" t="n"/>
      <c r="AC873" s="15" t="n"/>
      <c r="AD873" s="15" t="n"/>
      <c r="AE873" s="15" t="n"/>
      <c r="AF873" s="15" t="n"/>
      <c r="AG873" s="15" t="n"/>
      <c r="AH873" s="15" t="n"/>
      <c r="AI873" s="15" t="n"/>
    </row>
    <row r="874">
      <c r="A874" s="4" t="inlineStr">
        <is>
          <t>Студент3.20</t>
        </is>
      </c>
      <c r="B874" s="4" t="inlineStr"/>
      <c r="C874" s="4" t="n"/>
      <c r="D874" s="4" t="n"/>
      <c r="E874" s="4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  <c r="O874" s="15" t="n"/>
      <c r="P874" s="15" t="n"/>
      <c r="Q874" s="15" t="n"/>
      <c r="R874" s="15" t="n"/>
      <c r="S874" s="15" t="n"/>
      <c r="T874" s="15" t="n"/>
      <c r="U874" s="15" t="n"/>
      <c r="V874" s="15" t="n"/>
      <c r="W874" s="15" t="n"/>
      <c r="X874" s="15" t="n"/>
      <c r="Y874" s="15" t="n"/>
      <c r="Z874" s="15" t="n"/>
      <c r="AA874" s="15" t="n"/>
      <c r="AB874" s="15" t="n"/>
      <c r="AC874" s="15" t="n"/>
      <c r="AD874" s="15" t="n"/>
      <c r="AE874" s="15" t="n"/>
      <c r="AF874" s="15" t="n"/>
      <c r="AG874" s="15" t="n"/>
      <c r="AH874" s="15" t="n"/>
      <c r="AI874" s="15" t="n"/>
    </row>
    <row r="875">
      <c r="A875" s="4" t="inlineStr">
        <is>
          <t>Студент3.21</t>
        </is>
      </c>
      <c r="B875" s="4" t="inlineStr"/>
      <c r="C875" s="4" t="n"/>
      <c r="D875" s="4" t="n"/>
      <c r="E875" s="4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  <c r="O875" s="15" t="n"/>
      <c r="P875" s="15" t="n"/>
      <c r="Q875" s="15" t="n"/>
      <c r="R875" s="15" t="n"/>
      <c r="S875" s="15" t="n"/>
      <c r="T875" s="15" t="n"/>
      <c r="U875" s="15" t="n"/>
      <c r="V875" s="15" t="n"/>
      <c r="W875" s="15" t="n"/>
      <c r="X875" s="15" t="n"/>
      <c r="Y875" s="15" t="n"/>
      <c r="Z875" s="15" t="n"/>
      <c r="AA875" s="15" t="n"/>
      <c r="AB875" s="15" t="n"/>
      <c r="AC875" s="15" t="n"/>
      <c r="AD875" s="15" t="n"/>
      <c r="AE875" s="15" t="n"/>
      <c r="AF875" s="15" t="n"/>
      <c r="AG875" s="15" t="n"/>
      <c r="AH875" s="15" t="n"/>
      <c r="AI875" s="15" t="n"/>
    </row>
    <row r="876">
      <c r="A876" s="4" t="inlineStr">
        <is>
          <t>Студент3.22</t>
        </is>
      </c>
      <c r="B876" s="4" t="inlineStr"/>
      <c r="C876" s="4" t="n"/>
      <c r="D876" s="4" t="n"/>
      <c r="E876" s="4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  <c r="O876" s="15" t="n"/>
      <c r="P876" s="15" t="n"/>
      <c r="Q876" s="15" t="n"/>
      <c r="R876" s="15" t="n"/>
      <c r="S876" s="15" t="n"/>
      <c r="T876" s="15" t="n"/>
      <c r="U876" s="15" t="n"/>
      <c r="V876" s="15" t="n"/>
      <c r="W876" s="15" t="n"/>
      <c r="X876" s="15" t="n"/>
      <c r="Y876" s="15" t="n"/>
      <c r="Z876" s="15" t="n"/>
      <c r="AA876" s="15" t="n"/>
      <c r="AB876" s="15" t="n"/>
      <c r="AC876" s="15" t="n"/>
      <c r="AD876" s="15" t="n"/>
      <c r="AE876" s="15" t="n"/>
      <c r="AF876" s="15" t="n"/>
      <c r="AG876" s="15" t="n"/>
      <c r="AH876" s="15" t="n"/>
      <c r="AI876" s="15" t="n"/>
    </row>
    <row r="877">
      <c r="A877" s="4" t="inlineStr">
        <is>
          <t>Студент3.23</t>
        </is>
      </c>
      <c r="B877" s="4" t="inlineStr"/>
      <c r="C877" s="4" t="n"/>
      <c r="D877" s="4" t="n"/>
      <c r="E877" s="4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  <c r="O877" s="15" t="n"/>
      <c r="P877" s="15" t="n"/>
      <c r="Q877" s="15" t="n"/>
      <c r="R877" s="15" t="n"/>
      <c r="S877" s="15" t="n"/>
      <c r="T877" s="15" t="n"/>
      <c r="U877" s="15" t="n"/>
      <c r="V877" s="15" t="n"/>
      <c r="W877" s="15" t="n"/>
      <c r="X877" s="15" t="n"/>
      <c r="Y877" s="15" t="n"/>
      <c r="Z877" s="15" t="n"/>
      <c r="AA877" s="15" t="n"/>
      <c r="AB877" s="15" t="n"/>
      <c r="AC877" s="15" t="n"/>
      <c r="AD877" s="15" t="n"/>
      <c r="AE877" s="15" t="n"/>
      <c r="AF877" s="15" t="n"/>
      <c r="AG877" s="15" t="n"/>
      <c r="AH877" s="15" t="n"/>
      <c r="AI877" s="15" t="n"/>
    </row>
    <row r="878">
      <c r="A878" s="4" t="inlineStr">
        <is>
          <t>Студент3.24</t>
        </is>
      </c>
      <c r="B878" s="4" t="inlineStr"/>
      <c r="C878" s="4" t="n"/>
      <c r="D878" s="4" t="n"/>
      <c r="E878" s="4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  <c r="O878" s="15" t="n"/>
      <c r="P878" s="15" t="n"/>
      <c r="Q878" s="15" t="n"/>
      <c r="R878" s="15" t="n"/>
      <c r="S878" s="15" t="n"/>
      <c r="T878" s="15" t="n"/>
      <c r="U878" s="15" t="n"/>
      <c r="V878" s="15" t="n"/>
      <c r="W878" s="15" t="n"/>
      <c r="X878" s="15" t="n"/>
      <c r="Y878" s="15" t="n"/>
      <c r="Z878" s="15" t="n"/>
      <c r="AA878" s="15" t="n"/>
      <c r="AB878" s="15" t="n"/>
      <c r="AC878" s="15" t="n"/>
      <c r="AD878" s="15" t="n"/>
      <c r="AE878" s="15" t="n"/>
      <c r="AF878" s="15" t="n"/>
      <c r="AG878" s="15" t="n"/>
      <c r="AH878" s="15" t="n"/>
      <c r="AI878" s="15" t="n"/>
    </row>
    <row r="879">
      <c r="A879" s="4" t="inlineStr">
        <is>
          <t>Студент3.25</t>
        </is>
      </c>
      <c r="B879" s="4" t="inlineStr"/>
      <c r="C879" s="4" t="n"/>
      <c r="D879" s="4" t="n"/>
      <c r="E879" s="4" t="n"/>
      <c r="F879" s="15" t="n"/>
      <c r="G879" s="15" t="n"/>
      <c r="H879" s="15" t="n"/>
      <c r="I879" s="15" t="n"/>
      <c r="J879" s="15" t="n"/>
      <c r="K879" s="15" t="n"/>
      <c r="L879" s="15" t="n"/>
      <c r="M879" s="15" t="n"/>
      <c r="N879" s="15" t="n"/>
      <c r="O879" s="15" t="n"/>
      <c r="P879" s="15" t="n"/>
      <c r="Q879" s="15" t="n"/>
      <c r="R879" s="15" t="n"/>
      <c r="S879" s="15" t="n"/>
      <c r="T879" s="15" t="n"/>
      <c r="U879" s="15" t="n"/>
      <c r="V879" s="15" t="n"/>
      <c r="W879" s="15" t="n"/>
      <c r="X879" s="15" t="n"/>
      <c r="Y879" s="15" t="n"/>
      <c r="Z879" s="15" t="n"/>
      <c r="AA879" s="15" t="n"/>
      <c r="AB879" s="15" t="n"/>
      <c r="AC879" s="15" t="n"/>
      <c r="AD879" s="15" t="n"/>
      <c r="AE879" s="15" t="n"/>
      <c r="AF879" s="15" t="n"/>
      <c r="AG879" s="15" t="n"/>
      <c r="AH879" s="15" t="n"/>
      <c r="AI879" s="15" t="n"/>
    </row>
    <row r="880">
      <c r="A880" s="4" t="inlineStr">
        <is>
          <t>Студент3.26</t>
        </is>
      </c>
      <c r="B880" s="4" t="inlineStr"/>
      <c r="C880" s="4" t="n"/>
      <c r="D880" s="4" t="n"/>
      <c r="E880" s="4" t="n"/>
      <c r="F880" s="15" t="n"/>
      <c r="G880" s="15" t="n"/>
      <c r="H880" s="15" t="n"/>
      <c r="I880" s="15" t="n"/>
      <c r="J880" s="15" t="n"/>
      <c r="K880" s="15" t="n"/>
      <c r="L880" s="15" t="n"/>
      <c r="M880" s="15" t="n"/>
      <c r="N880" s="15" t="n"/>
      <c r="O880" s="15" t="n"/>
      <c r="P880" s="15" t="n"/>
      <c r="Q880" s="15" t="n"/>
      <c r="R880" s="15" t="n"/>
      <c r="S880" s="15" t="n"/>
      <c r="T880" s="15" t="n"/>
      <c r="U880" s="15" t="n"/>
      <c r="V880" s="15" t="n"/>
      <c r="W880" s="15" t="n"/>
      <c r="X880" s="15" t="n"/>
      <c r="Y880" s="15" t="n"/>
      <c r="Z880" s="15" t="n"/>
      <c r="AA880" s="15" t="n"/>
      <c r="AB880" s="15" t="n"/>
      <c r="AC880" s="15" t="n"/>
      <c r="AD880" s="15" t="n"/>
      <c r="AE880" s="15" t="n"/>
      <c r="AF880" s="15" t="n"/>
      <c r="AG880" s="15" t="n"/>
      <c r="AH880" s="15" t="n"/>
      <c r="AI880" s="15" t="n"/>
    </row>
    <row r="881">
      <c r="A881" s="4" t="inlineStr">
        <is>
          <t>Студент3.27</t>
        </is>
      </c>
      <c r="B881" s="4" t="inlineStr"/>
      <c r="C881" s="4" t="n"/>
      <c r="D881" s="4" t="n"/>
      <c r="E881" s="4" t="n"/>
      <c r="F881" s="15" t="n"/>
      <c r="G881" s="15" t="n"/>
      <c r="H881" s="15" t="n"/>
      <c r="I881" s="15" t="n"/>
      <c r="J881" s="15" t="n"/>
      <c r="K881" s="15" t="n"/>
      <c r="L881" s="15" t="n"/>
      <c r="M881" s="15" t="n"/>
      <c r="N881" s="15" t="n"/>
      <c r="O881" s="15" t="n"/>
      <c r="P881" s="15" t="n"/>
      <c r="Q881" s="15" t="n"/>
      <c r="R881" s="15" t="n"/>
      <c r="S881" s="15" t="n"/>
      <c r="T881" s="15" t="n"/>
      <c r="U881" s="15" t="n"/>
      <c r="V881" s="15" t="n"/>
      <c r="W881" s="15" t="n"/>
      <c r="X881" s="15" t="n"/>
      <c r="Y881" s="15" t="n"/>
      <c r="Z881" s="15" t="n"/>
      <c r="AA881" s="15" t="n"/>
      <c r="AB881" s="15" t="n"/>
      <c r="AC881" s="15" t="n"/>
      <c r="AD881" s="15" t="n"/>
      <c r="AE881" s="15" t="n"/>
      <c r="AF881" s="15" t="n"/>
      <c r="AG881" s="15" t="n"/>
      <c r="AH881" s="15" t="n"/>
      <c r="AI881" s="15" t="n"/>
    </row>
    <row r="882">
      <c r="A882" s="4" t="inlineStr">
        <is>
          <t>Студент3.28</t>
        </is>
      </c>
      <c r="B882" s="4" t="inlineStr"/>
      <c r="C882" s="4" t="n"/>
      <c r="D882" s="4" t="n"/>
      <c r="E882" s="4" t="n"/>
      <c r="F882" s="15" t="n"/>
      <c r="G882" s="15" t="n"/>
      <c r="H882" s="15" t="n"/>
      <c r="I882" s="15" t="n"/>
      <c r="J882" s="15" t="n"/>
      <c r="K882" s="15" t="n"/>
      <c r="L882" s="15" t="n"/>
      <c r="M882" s="15" t="n"/>
      <c r="N882" s="15" t="n"/>
      <c r="O882" s="15" t="n"/>
      <c r="P882" s="15" t="n"/>
      <c r="Q882" s="15" t="n"/>
      <c r="R882" s="15" t="n"/>
      <c r="S882" s="15" t="n"/>
      <c r="T882" s="15" t="n"/>
      <c r="U882" s="15" t="n"/>
      <c r="V882" s="15" t="n"/>
      <c r="W882" s="15" t="n"/>
      <c r="X882" s="15" t="n"/>
      <c r="Y882" s="15" t="n"/>
      <c r="Z882" s="15" t="n"/>
      <c r="AA882" s="15" t="n"/>
      <c r="AB882" s="15" t="n"/>
      <c r="AC882" s="15" t="n"/>
      <c r="AD882" s="15" t="n"/>
      <c r="AE882" s="15" t="n"/>
      <c r="AF882" s="15" t="n"/>
      <c r="AG882" s="15" t="n"/>
      <c r="AH882" s="15" t="n"/>
      <c r="AI882" s="15" t="n"/>
    </row>
    <row r="883">
      <c r="A883" s="4" t="inlineStr">
        <is>
          <t>Студент3.29</t>
        </is>
      </c>
      <c r="B883" s="4" t="inlineStr"/>
      <c r="C883" s="4" t="n"/>
      <c r="D883" s="4" t="n"/>
      <c r="E883" s="4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  <c r="O883" s="15" t="n"/>
      <c r="P883" s="15" t="n"/>
      <c r="Q883" s="15" t="n"/>
      <c r="R883" s="15" t="n"/>
      <c r="S883" s="15" t="n"/>
      <c r="T883" s="15" t="n"/>
      <c r="U883" s="15" t="n"/>
      <c r="V883" s="15" t="n"/>
      <c r="W883" s="15" t="n"/>
      <c r="X883" s="15" t="n"/>
      <c r="Y883" s="15" t="n"/>
      <c r="Z883" s="15" t="n"/>
      <c r="AA883" s="15" t="n"/>
      <c r="AB883" s="15" t="n"/>
      <c r="AC883" s="15" t="n"/>
      <c r="AD883" s="15" t="n"/>
      <c r="AE883" s="15" t="n"/>
      <c r="AF883" s="15" t="n"/>
      <c r="AG883" s="15" t="n"/>
      <c r="AH883" s="15" t="n"/>
      <c r="AI883" s="15" t="n"/>
    </row>
    <row r="884">
      <c r="A884" s="4" t="inlineStr">
        <is>
          <t>Студент3.30</t>
        </is>
      </c>
      <c r="B884" s="4" t="inlineStr"/>
      <c r="C884" s="4" t="n"/>
      <c r="D884" s="4" t="n"/>
      <c r="E884" s="4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  <c r="O884" s="15" t="n"/>
      <c r="P884" s="15" t="n"/>
      <c r="Q884" s="15" t="n"/>
      <c r="R884" s="15" t="n"/>
      <c r="S884" s="15" t="n"/>
      <c r="T884" s="15" t="n"/>
      <c r="U884" s="15" t="n"/>
      <c r="V884" s="15" t="n"/>
      <c r="W884" s="15" t="n"/>
      <c r="X884" s="15" t="n"/>
      <c r="Y884" s="15" t="n"/>
      <c r="Z884" s="15" t="n"/>
      <c r="AA884" s="15" t="n"/>
      <c r="AB884" s="15" t="n"/>
      <c r="AC884" s="15" t="n"/>
      <c r="AD884" s="15" t="n"/>
      <c r="AE884" s="15" t="n"/>
      <c r="AF884" s="15" t="n"/>
      <c r="AG884" s="15" t="n"/>
      <c r="AH884" s="15" t="n"/>
      <c r="AI884" s="15" t="n"/>
    </row>
    <row r="888">
      <c r="A888" s="13" t="inlineStr">
        <is>
          <t>Практика 14 — плюсы</t>
        </is>
      </c>
    </row>
    <row r="889" ht="28" customHeight="1">
      <c r="A889" s="7" t="inlineStr">
        <is>
          <t>Имя</t>
        </is>
      </c>
      <c r="B889" s="9" t="inlineStr">
        <is>
          <t>TG</t>
        </is>
      </c>
      <c r="C889" s="10" t="inlineStr">
        <is>
          <t>S</t>
        </is>
      </c>
      <c r="D889" s="8" t="inlineStr">
        <is>
          <t>Коэффициент</t>
        </is>
      </c>
      <c r="E889" s="14" t="inlineStr">
        <is>
          <t>D за практику</t>
        </is>
      </c>
      <c r="F889" s="11" t="inlineStr">
        <is>
          <t>1.0</t>
        </is>
      </c>
      <c r="G889" s="11" t="inlineStr">
        <is>
          <t>2.0</t>
        </is>
      </c>
      <c r="H889" s="11" t="inlineStr">
        <is>
          <t>3.0</t>
        </is>
      </c>
      <c r="I889" s="11" t="inlineStr">
        <is>
          <t>4.0</t>
        </is>
      </c>
      <c r="J889" s="11" t="inlineStr">
        <is>
          <t>5.0</t>
        </is>
      </c>
      <c r="K889" s="11" t="inlineStr">
        <is>
          <t>6</t>
        </is>
      </c>
      <c r="L889" s="11" t="inlineStr">
        <is>
          <t>7</t>
        </is>
      </c>
      <c r="M889" s="11" t="inlineStr">
        <is>
          <t>8</t>
        </is>
      </c>
      <c r="N889" s="11" t="inlineStr">
        <is>
          <t>9</t>
        </is>
      </c>
      <c r="O889" s="11" t="inlineStr">
        <is>
          <t>10</t>
        </is>
      </c>
      <c r="P889" s="11" t="inlineStr">
        <is>
          <t>11</t>
        </is>
      </c>
      <c r="Q889" s="11" t="inlineStr">
        <is>
          <t>12</t>
        </is>
      </c>
      <c r="R889" s="11" t="inlineStr">
        <is>
          <t>13</t>
        </is>
      </c>
      <c r="S889" s="11" t="inlineStr">
        <is>
          <t>14</t>
        </is>
      </c>
      <c r="T889" s="11" t="inlineStr">
        <is>
          <t>15</t>
        </is>
      </c>
      <c r="U889" s="11" t="inlineStr">
        <is>
          <t>16</t>
        </is>
      </c>
      <c r="V889" s="11" t="inlineStr">
        <is>
          <t>17</t>
        </is>
      </c>
      <c r="W889" s="11" t="inlineStr">
        <is>
          <t>18</t>
        </is>
      </c>
      <c r="X889" s="11" t="inlineStr">
        <is>
          <t>19</t>
        </is>
      </c>
      <c r="Y889" s="11" t="inlineStr">
        <is>
          <t>20</t>
        </is>
      </c>
      <c r="Z889" s="11" t="inlineStr">
        <is>
          <t>21</t>
        </is>
      </c>
      <c r="AA889" s="11" t="inlineStr">
        <is>
          <t>22</t>
        </is>
      </c>
      <c r="AB889" s="11" t="inlineStr">
        <is>
          <t>23</t>
        </is>
      </c>
      <c r="AC889" s="11" t="inlineStr">
        <is>
          <t>24</t>
        </is>
      </c>
      <c r="AD889" s="11" t="inlineStr">
        <is>
          <t>25</t>
        </is>
      </c>
      <c r="AE889" s="11" t="inlineStr">
        <is>
          <t>26</t>
        </is>
      </c>
      <c r="AF889" s="11" t="inlineStr">
        <is>
          <t>27</t>
        </is>
      </c>
      <c r="AG889" s="11" t="inlineStr">
        <is>
          <t>28</t>
        </is>
      </c>
      <c r="AH889" s="11" t="inlineStr">
        <is>
          <t>29</t>
        </is>
      </c>
      <c r="AI889" s="11" t="inlineStr">
        <is>
          <t>30</t>
        </is>
      </c>
    </row>
    <row r="890">
      <c r="A890" s="4" t="inlineStr">
        <is>
          <t>Студент3.1</t>
        </is>
      </c>
      <c r="B890" s="4" t="inlineStr"/>
      <c r="C890" s="4">
        <f>IF(A890="","",COUNTIF(F890:AI890,"+")+COUNTIF(F890:AI890,"1"))</f>
        <v/>
      </c>
      <c r="D890" s="4">
        <f>IF(A890="","",IF(C890&gt;2*COUNTA(F$889:AI$889)/3,1,IF(C890&gt;=COUNTA(F$889:AI$889)/2,0.8,0.5)))</f>
        <v/>
      </c>
      <c r="E890" s="4">
        <f>IF(A890="","",SUMIFS('Логи'!$H$4:$H$3006,'Логи'!$A$4:$A$3006,A890,'Логи'!$C$4:$C$3006,14))</f>
        <v/>
      </c>
      <c r="F890" s="15" t="n"/>
      <c r="G890" s="15" t="n"/>
      <c r="H890" s="15" t="n"/>
      <c r="I890" s="15" t="n"/>
      <c r="J890" s="15" t="n"/>
      <c r="K890" s="15" t="n"/>
      <c r="L890" s="15" t="n"/>
      <c r="M890" s="15" t="n"/>
      <c r="N890" s="15" t="n"/>
      <c r="O890" s="15" t="n"/>
      <c r="P890" s="15" t="n"/>
      <c r="Q890" s="15" t="n"/>
      <c r="R890" s="15" t="n"/>
      <c r="S890" s="15" t="n"/>
      <c r="T890" s="15" t="n"/>
      <c r="U890" s="15" t="n"/>
      <c r="V890" s="15" t="n"/>
      <c r="W890" s="15" t="n"/>
      <c r="X890" s="15" t="n"/>
      <c r="Y890" s="15" t="n"/>
      <c r="Z890" s="15" t="n"/>
      <c r="AA890" s="15" t="n"/>
      <c r="AB890" s="15" t="n"/>
      <c r="AC890" s="15" t="n"/>
      <c r="AD890" s="15" t="n"/>
      <c r="AE890" s="15" t="n"/>
      <c r="AF890" s="15" t="n"/>
      <c r="AG890" s="15" t="n"/>
      <c r="AH890" s="15" t="n"/>
      <c r="AI890" s="15" t="n"/>
    </row>
    <row r="891">
      <c r="A891" s="4" t="inlineStr">
        <is>
          <t>Студент3.2</t>
        </is>
      </c>
      <c r="B891" s="4" t="inlineStr"/>
      <c r="C891" s="4">
        <f>IF(A891="","",COUNTIF(F891:AI891,"+")+COUNTIF(F891:AI891,"1"))</f>
        <v/>
      </c>
      <c r="D891" s="4">
        <f>IF(A891="","",IF(C891&gt;2*COUNTA(F$889:AI$889)/3,1,IF(C891&gt;=COUNTA(F$889:AI$889)/2,0.8,0.5)))</f>
        <v/>
      </c>
      <c r="E891" s="4">
        <f>IF(A891="","",SUMIFS('Логи'!$H$4:$H$3006,'Логи'!$A$4:$A$3006,A891,'Логи'!$C$4:$C$3006,14))</f>
        <v/>
      </c>
      <c r="F891" s="15" t="n"/>
      <c r="G891" s="15" t="n"/>
      <c r="H891" s="15" t="n"/>
      <c r="I891" s="15" t="n"/>
      <c r="J891" s="15" t="n"/>
      <c r="K891" s="15" t="n"/>
      <c r="L891" s="15" t="n"/>
      <c r="M891" s="15" t="n"/>
      <c r="N891" s="15" t="n"/>
      <c r="O891" s="15" t="n"/>
      <c r="P891" s="15" t="n"/>
      <c r="Q891" s="15" t="n"/>
      <c r="R891" s="15" t="n"/>
      <c r="S891" s="15" t="n"/>
      <c r="T891" s="15" t="n"/>
      <c r="U891" s="15" t="n"/>
      <c r="V891" s="15" t="n"/>
      <c r="W891" s="15" t="n"/>
      <c r="X891" s="15" t="n"/>
      <c r="Y891" s="15" t="n"/>
      <c r="Z891" s="15" t="n"/>
      <c r="AA891" s="15" t="n"/>
      <c r="AB891" s="15" t="n"/>
      <c r="AC891" s="15" t="n"/>
      <c r="AD891" s="15" t="n"/>
      <c r="AE891" s="15" t="n"/>
      <c r="AF891" s="15" t="n"/>
      <c r="AG891" s="15" t="n"/>
      <c r="AH891" s="15" t="n"/>
      <c r="AI891" s="15" t="n"/>
    </row>
    <row r="892">
      <c r="A892" s="4" t="inlineStr">
        <is>
          <t>Студент3.3</t>
        </is>
      </c>
      <c r="B892" s="4" t="inlineStr"/>
      <c r="C892" s="4">
        <f>IF(A892="","",COUNTIF(F892:AI892,"+")+COUNTIF(F892:AI892,"1"))</f>
        <v/>
      </c>
      <c r="D892" s="4">
        <f>IF(A892="","",IF(C892&gt;2*COUNTA(F$889:AI$889)/3,1,IF(C892&gt;=COUNTA(F$889:AI$889)/2,0.8,0.5)))</f>
        <v/>
      </c>
      <c r="E892" s="4">
        <f>IF(A892="","",SUMIFS('Логи'!$H$4:$H$3006,'Логи'!$A$4:$A$3006,A892,'Логи'!$C$4:$C$3006,14))</f>
        <v/>
      </c>
      <c r="F892" s="15" t="n"/>
      <c r="G892" s="15" t="n"/>
      <c r="H892" s="15" t="n"/>
      <c r="I892" s="15" t="n"/>
      <c r="J892" s="15" t="n"/>
      <c r="K892" s="15" t="n"/>
      <c r="L892" s="15" t="n"/>
      <c r="M892" s="15" t="n"/>
      <c r="N892" s="15" t="n"/>
      <c r="O892" s="15" t="n"/>
      <c r="P892" s="15" t="n"/>
      <c r="Q892" s="15" t="n"/>
      <c r="R892" s="15" t="n"/>
      <c r="S892" s="15" t="n"/>
      <c r="T892" s="15" t="n"/>
      <c r="U892" s="15" t="n"/>
      <c r="V892" s="15" t="n"/>
      <c r="W892" s="15" t="n"/>
      <c r="X892" s="15" t="n"/>
      <c r="Y892" s="15" t="n"/>
      <c r="Z892" s="15" t="n"/>
      <c r="AA892" s="15" t="n"/>
      <c r="AB892" s="15" t="n"/>
      <c r="AC892" s="15" t="n"/>
      <c r="AD892" s="15" t="n"/>
      <c r="AE892" s="15" t="n"/>
      <c r="AF892" s="15" t="n"/>
      <c r="AG892" s="15" t="n"/>
      <c r="AH892" s="15" t="n"/>
      <c r="AI892" s="15" t="n"/>
    </row>
    <row r="893">
      <c r="A893" s="4" t="inlineStr">
        <is>
          <t>Студент3.4</t>
        </is>
      </c>
      <c r="B893" s="4" t="inlineStr"/>
      <c r="C893" s="4">
        <f>IF(A893="","",COUNTIF(F893:AI893,"+")+COUNTIF(F893:AI893,"1"))</f>
        <v/>
      </c>
      <c r="D893" s="4">
        <f>IF(A893="","",IF(C893&gt;2*COUNTA(F$889:AI$889)/3,1,IF(C893&gt;=COUNTA(F$889:AI$889)/2,0.8,0.5)))</f>
        <v/>
      </c>
      <c r="E893" s="4">
        <f>IF(A893="","",SUMIFS('Логи'!$H$4:$H$3006,'Логи'!$A$4:$A$3006,A893,'Логи'!$C$4:$C$3006,14))</f>
        <v/>
      </c>
      <c r="F893" s="15" t="n"/>
      <c r="G893" s="15" t="n"/>
      <c r="H893" s="15" t="n"/>
      <c r="I893" s="15" t="n"/>
      <c r="J893" s="15" t="n"/>
      <c r="K893" s="15" t="n"/>
      <c r="L893" s="15" t="n"/>
      <c r="M893" s="15" t="n"/>
      <c r="N893" s="15" t="n"/>
      <c r="O893" s="15" t="n"/>
      <c r="P893" s="15" t="n"/>
      <c r="Q893" s="15" t="n"/>
      <c r="R893" s="15" t="n"/>
      <c r="S893" s="15" t="n"/>
      <c r="T893" s="15" t="n"/>
      <c r="U893" s="15" t="n"/>
      <c r="V893" s="15" t="n"/>
      <c r="W893" s="15" t="n"/>
      <c r="X893" s="15" t="n"/>
      <c r="Y893" s="15" t="n"/>
      <c r="Z893" s="15" t="n"/>
      <c r="AA893" s="15" t="n"/>
      <c r="AB893" s="15" t="n"/>
      <c r="AC893" s="15" t="n"/>
      <c r="AD893" s="15" t="n"/>
      <c r="AE893" s="15" t="n"/>
      <c r="AF893" s="15" t="n"/>
      <c r="AG893" s="15" t="n"/>
      <c r="AH893" s="15" t="n"/>
      <c r="AI893" s="15" t="n"/>
    </row>
    <row r="894">
      <c r="A894" s="4" t="inlineStr">
        <is>
          <t>Студент3.5</t>
        </is>
      </c>
      <c r="B894" s="4" t="inlineStr"/>
      <c r="C894" s="4">
        <f>IF(A894="","",COUNTIF(F894:AI894,"+")+COUNTIF(F894:AI894,"1"))</f>
        <v/>
      </c>
      <c r="D894" s="4">
        <f>IF(A894="","",IF(C894&gt;2*COUNTA(F$889:AI$889)/3,1,IF(C894&gt;=COUNTA(F$889:AI$889)/2,0.8,0.5)))</f>
        <v/>
      </c>
      <c r="E894" s="4">
        <f>IF(A894="","",SUMIFS('Логи'!$H$4:$H$3006,'Логи'!$A$4:$A$3006,A894,'Логи'!$C$4:$C$3006,14))</f>
        <v/>
      </c>
      <c r="F894" s="15" t="n"/>
      <c r="G894" s="15" t="n"/>
      <c r="H894" s="15" t="n"/>
      <c r="I894" s="15" t="n"/>
      <c r="J894" s="15" t="n"/>
      <c r="K894" s="15" t="n"/>
      <c r="L894" s="15" t="n"/>
      <c r="M894" s="15" t="n"/>
      <c r="N894" s="15" t="n"/>
      <c r="O894" s="15" t="n"/>
      <c r="P894" s="15" t="n"/>
      <c r="Q894" s="15" t="n"/>
      <c r="R894" s="15" t="n"/>
      <c r="S894" s="15" t="n"/>
      <c r="T894" s="15" t="n"/>
      <c r="U894" s="15" t="n"/>
      <c r="V894" s="15" t="n"/>
      <c r="W894" s="15" t="n"/>
      <c r="X894" s="15" t="n"/>
      <c r="Y894" s="15" t="n"/>
      <c r="Z894" s="15" t="n"/>
      <c r="AA894" s="15" t="n"/>
      <c r="AB894" s="15" t="n"/>
      <c r="AC894" s="15" t="n"/>
      <c r="AD894" s="15" t="n"/>
      <c r="AE894" s="15" t="n"/>
      <c r="AF894" s="15" t="n"/>
      <c r="AG894" s="15" t="n"/>
      <c r="AH894" s="15" t="n"/>
      <c r="AI894" s="15" t="n"/>
    </row>
    <row r="895">
      <c r="A895" s="4" t="inlineStr">
        <is>
          <t>Студент3.6</t>
        </is>
      </c>
      <c r="B895" s="4" t="inlineStr"/>
      <c r="C895" s="4">
        <f>IF(A895="","",COUNTIF(F895:AI895,"+")+COUNTIF(F895:AI895,"1"))</f>
        <v/>
      </c>
      <c r="D895" s="4">
        <f>IF(A895="","",IF(C895&gt;2*COUNTA(F$889:AI$889)/3,1,IF(C895&gt;=COUNTA(F$889:AI$889)/2,0.8,0.5)))</f>
        <v/>
      </c>
      <c r="E895" s="4">
        <f>IF(A895="","",SUMIFS('Логи'!$H$4:$H$3006,'Логи'!$A$4:$A$3006,A895,'Логи'!$C$4:$C$3006,14))</f>
        <v/>
      </c>
      <c r="F895" s="15" t="n"/>
      <c r="G895" s="15" t="n"/>
      <c r="H895" s="15" t="n"/>
      <c r="I895" s="15" t="n"/>
      <c r="J895" s="15" t="n"/>
      <c r="K895" s="15" t="n"/>
      <c r="L895" s="15" t="n"/>
      <c r="M895" s="15" t="n"/>
      <c r="N895" s="15" t="n"/>
      <c r="O895" s="15" t="n"/>
      <c r="P895" s="15" t="n"/>
      <c r="Q895" s="15" t="n"/>
      <c r="R895" s="15" t="n"/>
      <c r="S895" s="15" t="n"/>
      <c r="T895" s="15" t="n"/>
      <c r="U895" s="15" t="n"/>
      <c r="V895" s="15" t="n"/>
      <c r="W895" s="15" t="n"/>
      <c r="X895" s="15" t="n"/>
      <c r="Y895" s="15" t="n"/>
      <c r="Z895" s="15" t="n"/>
      <c r="AA895" s="15" t="n"/>
      <c r="AB895" s="15" t="n"/>
      <c r="AC895" s="15" t="n"/>
      <c r="AD895" s="15" t="n"/>
      <c r="AE895" s="15" t="n"/>
      <c r="AF895" s="15" t="n"/>
      <c r="AG895" s="15" t="n"/>
      <c r="AH895" s="15" t="n"/>
      <c r="AI895" s="15" t="n"/>
    </row>
    <row r="896">
      <c r="A896" s="4" t="inlineStr">
        <is>
          <t>Студент3.7</t>
        </is>
      </c>
      <c r="B896" s="4" t="inlineStr"/>
      <c r="C896" s="4">
        <f>IF(A896="","",COUNTIF(F896:AI896,"+")+COUNTIF(F896:AI896,"1"))</f>
        <v/>
      </c>
      <c r="D896" s="4">
        <f>IF(A896="","",IF(C896&gt;2*COUNTA(F$889:AI$889)/3,1,IF(C896&gt;=COUNTA(F$889:AI$889)/2,0.8,0.5)))</f>
        <v/>
      </c>
      <c r="E896" s="4">
        <f>IF(A896="","",SUMIFS('Логи'!$H$4:$H$3006,'Логи'!$A$4:$A$3006,A896,'Логи'!$C$4:$C$3006,14))</f>
        <v/>
      </c>
      <c r="F896" s="15" t="n"/>
      <c r="G896" s="15" t="n"/>
      <c r="H896" s="15" t="n"/>
      <c r="I896" s="15" t="n"/>
      <c r="J896" s="15" t="n"/>
      <c r="K896" s="15" t="n"/>
      <c r="L896" s="15" t="n"/>
      <c r="M896" s="15" t="n"/>
      <c r="N896" s="15" t="n"/>
      <c r="O896" s="15" t="n"/>
      <c r="P896" s="15" t="n"/>
      <c r="Q896" s="15" t="n"/>
      <c r="R896" s="15" t="n"/>
      <c r="S896" s="15" t="n"/>
      <c r="T896" s="15" t="n"/>
      <c r="U896" s="15" t="n"/>
      <c r="V896" s="15" t="n"/>
      <c r="W896" s="15" t="n"/>
      <c r="X896" s="15" t="n"/>
      <c r="Y896" s="15" t="n"/>
      <c r="Z896" s="15" t="n"/>
      <c r="AA896" s="15" t="n"/>
      <c r="AB896" s="15" t="n"/>
      <c r="AC896" s="15" t="n"/>
      <c r="AD896" s="15" t="n"/>
      <c r="AE896" s="15" t="n"/>
      <c r="AF896" s="15" t="n"/>
      <c r="AG896" s="15" t="n"/>
      <c r="AH896" s="15" t="n"/>
      <c r="AI896" s="15" t="n"/>
    </row>
    <row r="897">
      <c r="A897" s="4" t="inlineStr">
        <is>
          <t>Студент3.8</t>
        </is>
      </c>
      <c r="B897" s="4" t="inlineStr"/>
      <c r="C897" s="4">
        <f>IF(A897="","",COUNTIF(F897:AI897,"+")+COUNTIF(F897:AI897,"1"))</f>
        <v/>
      </c>
      <c r="D897" s="4">
        <f>IF(A897="","",IF(C897&gt;2*COUNTA(F$889:AI$889)/3,1,IF(C897&gt;=COUNTA(F$889:AI$889)/2,0.8,0.5)))</f>
        <v/>
      </c>
      <c r="E897" s="4">
        <f>IF(A897="","",SUMIFS('Логи'!$H$4:$H$3006,'Логи'!$A$4:$A$3006,A897,'Логи'!$C$4:$C$3006,14))</f>
        <v/>
      </c>
      <c r="F897" s="15" t="n"/>
      <c r="G897" s="15" t="n"/>
      <c r="H897" s="15" t="n"/>
      <c r="I897" s="15" t="n"/>
      <c r="J897" s="15" t="n"/>
      <c r="K897" s="15" t="n"/>
      <c r="L897" s="15" t="n"/>
      <c r="M897" s="15" t="n"/>
      <c r="N897" s="15" t="n"/>
      <c r="O897" s="15" t="n"/>
      <c r="P897" s="15" t="n"/>
      <c r="Q897" s="15" t="n"/>
      <c r="R897" s="15" t="n"/>
      <c r="S897" s="15" t="n"/>
      <c r="T897" s="15" t="n"/>
      <c r="U897" s="15" t="n"/>
      <c r="V897" s="15" t="n"/>
      <c r="W897" s="15" t="n"/>
      <c r="X897" s="15" t="n"/>
      <c r="Y897" s="15" t="n"/>
      <c r="Z897" s="15" t="n"/>
      <c r="AA897" s="15" t="n"/>
      <c r="AB897" s="15" t="n"/>
      <c r="AC897" s="15" t="n"/>
      <c r="AD897" s="15" t="n"/>
      <c r="AE897" s="15" t="n"/>
      <c r="AF897" s="15" t="n"/>
      <c r="AG897" s="15" t="n"/>
      <c r="AH897" s="15" t="n"/>
      <c r="AI897" s="15" t="n"/>
    </row>
    <row r="898">
      <c r="A898" s="4" t="inlineStr">
        <is>
          <t>Студент3.9</t>
        </is>
      </c>
      <c r="B898" s="4" t="inlineStr"/>
      <c r="C898" s="4">
        <f>IF(A898="","",COUNTIF(F898:AI898,"+")+COUNTIF(F898:AI898,"1"))</f>
        <v/>
      </c>
      <c r="D898" s="4">
        <f>IF(A898="","",IF(C898&gt;2*COUNTA(F$889:AI$889)/3,1,IF(C898&gt;=COUNTA(F$889:AI$889)/2,0.8,0.5)))</f>
        <v/>
      </c>
      <c r="E898" s="4">
        <f>IF(A898="","",SUMIFS('Логи'!$H$4:$H$3006,'Логи'!$A$4:$A$3006,A898,'Логи'!$C$4:$C$3006,14))</f>
        <v/>
      </c>
      <c r="F898" s="15" t="n"/>
      <c r="G898" s="15" t="n"/>
      <c r="H898" s="15" t="n"/>
      <c r="I898" s="15" t="n"/>
      <c r="J898" s="15" t="n"/>
      <c r="K898" s="15" t="n"/>
      <c r="L898" s="15" t="n"/>
      <c r="M898" s="15" t="n"/>
      <c r="N898" s="15" t="n"/>
      <c r="O898" s="15" t="n"/>
      <c r="P898" s="15" t="n"/>
      <c r="Q898" s="15" t="n"/>
      <c r="R898" s="15" t="n"/>
      <c r="S898" s="15" t="n"/>
      <c r="T898" s="15" t="n"/>
      <c r="U898" s="15" t="n"/>
      <c r="V898" s="15" t="n"/>
      <c r="W898" s="15" t="n"/>
      <c r="X898" s="15" t="n"/>
      <c r="Y898" s="15" t="n"/>
      <c r="Z898" s="15" t="n"/>
      <c r="AA898" s="15" t="n"/>
      <c r="AB898" s="15" t="n"/>
      <c r="AC898" s="15" t="n"/>
      <c r="AD898" s="15" t="n"/>
      <c r="AE898" s="15" t="n"/>
      <c r="AF898" s="15" t="n"/>
      <c r="AG898" s="15" t="n"/>
      <c r="AH898" s="15" t="n"/>
      <c r="AI898" s="15" t="n"/>
    </row>
    <row r="899">
      <c r="A899" s="4" t="inlineStr">
        <is>
          <t>Студент3.10</t>
        </is>
      </c>
      <c r="B899" s="4" t="inlineStr"/>
      <c r="C899" s="4">
        <f>IF(A899="","",COUNTIF(F899:AI899,"+")+COUNTIF(F899:AI899,"1"))</f>
        <v/>
      </c>
      <c r="D899" s="4">
        <f>IF(A899="","",IF(C899&gt;2*COUNTA(F$889:AI$889)/3,1,IF(C899&gt;=COUNTA(F$889:AI$889)/2,0.8,0.5)))</f>
        <v/>
      </c>
      <c r="E899" s="4">
        <f>IF(A899="","",SUMIFS('Логи'!$H$4:$H$3006,'Логи'!$A$4:$A$3006,A899,'Логи'!$C$4:$C$3006,14))</f>
        <v/>
      </c>
      <c r="F899" s="15" t="n"/>
      <c r="G899" s="15" t="n"/>
      <c r="H899" s="15" t="n"/>
      <c r="I899" s="15" t="n"/>
      <c r="J899" s="15" t="n"/>
      <c r="K899" s="15" t="n"/>
      <c r="L899" s="15" t="n"/>
      <c r="M899" s="15" t="n"/>
      <c r="N899" s="15" t="n"/>
      <c r="O899" s="15" t="n"/>
      <c r="P899" s="15" t="n"/>
      <c r="Q899" s="15" t="n"/>
      <c r="R899" s="15" t="n"/>
      <c r="S899" s="15" t="n"/>
      <c r="T899" s="15" t="n"/>
      <c r="U899" s="15" t="n"/>
      <c r="V899" s="15" t="n"/>
      <c r="W899" s="15" t="n"/>
      <c r="X899" s="15" t="n"/>
      <c r="Y899" s="15" t="n"/>
      <c r="Z899" s="15" t="n"/>
      <c r="AA899" s="15" t="n"/>
      <c r="AB899" s="15" t="n"/>
      <c r="AC899" s="15" t="n"/>
      <c r="AD899" s="15" t="n"/>
      <c r="AE899" s="15" t="n"/>
      <c r="AF899" s="15" t="n"/>
      <c r="AG899" s="15" t="n"/>
      <c r="AH899" s="15" t="n"/>
      <c r="AI899" s="15" t="n"/>
    </row>
    <row r="900">
      <c r="A900" s="4" t="inlineStr">
        <is>
          <t>Студент3.11</t>
        </is>
      </c>
      <c r="B900" s="4" t="inlineStr"/>
      <c r="C900" s="4">
        <f>IF(A900="","",COUNTIF(F900:AI900,"+")+COUNTIF(F900:AI900,"1"))</f>
        <v/>
      </c>
      <c r="D900" s="4">
        <f>IF(A900="","",IF(C900&gt;2*COUNTA(F$889:AI$889)/3,1,IF(C900&gt;=COUNTA(F$889:AI$889)/2,0.8,0.5)))</f>
        <v/>
      </c>
      <c r="E900" s="4">
        <f>IF(A900="","",SUMIFS('Логи'!$H$4:$H$3006,'Логи'!$A$4:$A$3006,A900,'Логи'!$C$4:$C$3006,14))</f>
        <v/>
      </c>
      <c r="F900" s="15" t="n"/>
      <c r="G900" s="15" t="n"/>
      <c r="H900" s="15" t="n"/>
      <c r="I900" s="15" t="n"/>
      <c r="J900" s="15" t="n"/>
      <c r="K900" s="15" t="n"/>
      <c r="L900" s="15" t="n"/>
      <c r="M900" s="15" t="n"/>
      <c r="N900" s="15" t="n"/>
      <c r="O900" s="15" t="n"/>
      <c r="P900" s="15" t="n"/>
      <c r="Q900" s="15" t="n"/>
      <c r="R900" s="15" t="n"/>
      <c r="S900" s="15" t="n"/>
      <c r="T900" s="15" t="n"/>
      <c r="U900" s="15" t="n"/>
      <c r="V900" s="15" t="n"/>
      <c r="W900" s="15" t="n"/>
      <c r="X900" s="15" t="n"/>
      <c r="Y900" s="15" t="n"/>
      <c r="Z900" s="15" t="n"/>
      <c r="AA900" s="15" t="n"/>
      <c r="AB900" s="15" t="n"/>
      <c r="AC900" s="15" t="n"/>
      <c r="AD900" s="15" t="n"/>
      <c r="AE900" s="15" t="n"/>
      <c r="AF900" s="15" t="n"/>
      <c r="AG900" s="15" t="n"/>
      <c r="AH900" s="15" t="n"/>
      <c r="AI900" s="15" t="n"/>
    </row>
    <row r="901">
      <c r="A901" s="4" t="inlineStr">
        <is>
          <t>Студент3.12</t>
        </is>
      </c>
      <c r="B901" s="4" t="inlineStr"/>
      <c r="C901" s="4">
        <f>IF(A901="","",COUNTIF(F901:AI901,"+")+COUNTIF(F901:AI901,"1"))</f>
        <v/>
      </c>
      <c r="D901" s="4">
        <f>IF(A901="","",IF(C901&gt;2*COUNTA(F$889:AI$889)/3,1,IF(C901&gt;=COUNTA(F$889:AI$889)/2,0.8,0.5)))</f>
        <v/>
      </c>
      <c r="E901" s="4">
        <f>IF(A901="","",SUMIFS('Логи'!$H$4:$H$3006,'Логи'!$A$4:$A$3006,A901,'Логи'!$C$4:$C$3006,14))</f>
        <v/>
      </c>
      <c r="F901" s="15" t="n"/>
      <c r="G901" s="15" t="n"/>
      <c r="H901" s="15" t="n"/>
      <c r="I901" s="15" t="n"/>
      <c r="J901" s="15" t="n"/>
      <c r="K901" s="15" t="n"/>
      <c r="L901" s="15" t="n"/>
      <c r="M901" s="15" t="n"/>
      <c r="N901" s="15" t="n"/>
      <c r="O901" s="15" t="n"/>
      <c r="P901" s="15" t="n"/>
      <c r="Q901" s="15" t="n"/>
      <c r="R901" s="15" t="n"/>
      <c r="S901" s="15" t="n"/>
      <c r="T901" s="15" t="n"/>
      <c r="U901" s="15" t="n"/>
      <c r="V901" s="15" t="n"/>
      <c r="W901" s="15" t="n"/>
      <c r="X901" s="15" t="n"/>
      <c r="Y901" s="15" t="n"/>
      <c r="Z901" s="15" t="n"/>
      <c r="AA901" s="15" t="n"/>
      <c r="AB901" s="15" t="n"/>
      <c r="AC901" s="15" t="n"/>
      <c r="AD901" s="15" t="n"/>
      <c r="AE901" s="15" t="n"/>
      <c r="AF901" s="15" t="n"/>
      <c r="AG901" s="15" t="n"/>
      <c r="AH901" s="15" t="n"/>
      <c r="AI901" s="15" t="n"/>
    </row>
    <row r="902">
      <c r="A902" s="4" t="inlineStr">
        <is>
          <t>Студент3.13</t>
        </is>
      </c>
      <c r="B902" s="4" t="inlineStr"/>
      <c r="C902" s="4">
        <f>IF(A902="","",COUNTIF(F902:AI902,"+")+COUNTIF(F902:AI902,"1"))</f>
        <v/>
      </c>
      <c r="D902" s="4">
        <f>IF(A902="","",IF(C902&gt;2*COUNTA(F$889:AI$889)/3,1,IF(C902&gt;=COUNTA(F$889:AI$889)/2,0.8,0.5)))</f>
        <v/>
      </c>
      <c r="E902" s="4">
        <f>IF(A902="","",SUMIFS('Логи'!$H$4:$H$3006,'Логи'!$A$4:$A$3006,A902,'Логи'!$C$4:$C$3006,14))</f>
        <v/>
      </c>
      <c r="F902" s="15" t="n"/>
      <c r="G902" s="15" t="n"/>
      <c r="H902" s="15" t="n"/>
      <c r="I902" s="15" t="n"/>
      <c r="J902" s="15" t="n"/>
      <c r="K902" s="15" t="n"/>
      <c r="L902" s="15" t="n"/>
      <c r="M902" s="15" t="n"/>
      <c r="N902" s="15" t="n"/>
      <c r="O902" s="15" t="n"/>
      <c r="P902" s="15" t="n"/>
      <c r="Q902" s="15" t="n"/>
      <c r="R902" s="15" t="n"/>
      <c r="S902" s="15" t="n"/>
      <c r="T902" s="15" t="n"/>
      <c r="U902" s="15" t="n"/>
      <c r="V902" s="15" t="n"/>
      <c r="W902" s="15" t="n"/>
      <c r="X902" s="15" t="n"/>
      <c r="Y902" s="15" t="n"/>
      <c r="Z902" s="15" t="n"/>
      <c r="AA902" s="15" t="n"/>
      <c r="AB902" s="15" t="n"/>
      <c r="AC902" s="15" t="n"/>
      <c r="AD902" s="15" t="n"/>
      <c r="AE902" s="15" t="n"/>
      <c r="AF902" s="15" t="n"/>
      <c r="AG902" s="15" t="n"/>
      <c r="AH902" s="15" t="n"/>
      <c r="AI902" s="15" t="n"/>
    </row>
    <row r="903">
      <c r="A903" s="4" t="inlineStr">
        <is>
          <t>Студент3.14</t>
        </is>
      </c>
      <c r="B903" s="4" t="inlineStr"/>
      <c r="C903" s="4">
        <f>IF(A903="","",COUNTIF(F903:AI903,"+")+COUNTIF(F903:AI903,"1"))</f>
        <v/>
      </c>
      <c r="D903" s="4">
        <f>IF(A903="","",IF(C903&gt;2*COUNTA(F$889:AI$889)/3,1,IF(C903&gt;=COUNTA(F$889:AI$889)/2,0.8,0.5)))</f>
        <v/>
      </c>
      <c r="E903" s="4">
        <f>IF(A903="","",SUMIFS('Логи'!$H$4:$H$3006,'Логи'!$A$4:$A$3006,A903,'Логи'!$C$4:$C$3006,14))</f>
        <v/>
      </c>
      <c r="F903" s="15" t="n"/>
      <c r="G903" s="15" t="n"/>
      <c r="H903" s="15" t="n"/>
      <c r="I903" s="15" t="n"/>
      <c r="J903" s="15" t="n"/>
      <c r="K903" s="15" t="n"/>
      <c r="L903" s="15" t="n"/>
      <c r="M903" s="15" t="n"/>
      <c r="N903" s="15" t="n"/>
      <c r="O903" s="15" t="n"/>
      <c r="P903" s="15" t="n"/>
      <c r="Q903" s="15" t="n"/>
      <c r="R903" s="15" t="n"/>
      <c r="S903" s="15" t="n"/>
      <c r="T903" s="15" t="n"/>
      <c r="U903" s="15" t="n"/>
      <c r="V903" s="15" t="n"/>
      <c r="W903" s="15" t="n"/>
      <c r="X903" s="15" t="n"/>
      <c r="Y903" s="15" t="n"/>
      <c r="Z903" s="15" t="n"/>
      <c r="AA903" s="15" t="n"/>
      <c r="AB903" s="15" t="n"/>
      <c r="AC903" s="15" t="n"/>
      <c r="AD903" s="15" t="n"/>
      <c r="AE903" s="15" t="n"/>
      <c r="AF903" s="15" t="n"/>
      <c r="AG903" s="15" t="n"/>
      <c r="AH903" s="15" t="n"/>
      <c r="AI903" s="15" t="n"/>
    </row>
    <row r="904">
      <c r="A904" s="4" t="inlineStr">
        <is>
          <t>Студент3.15</t>
        </is>
      </c>
      <c r="B904" s="4" t="inlineStr"/>
      <c r="C904" s="4">
        <f>IF(A904="","",COUNTIF(F904:AI904,"+")+COUNTIF(F904:AI904,"1"))</f>
        <v/>
      </c>
      <c r="D904" s="4">
        <f>IF(A904="","",IF(C904&gt;2*COUNTA(F$889:AI$889)/3,1,IF(C904&gt;=COUNTA(F$889:AI$889)/2,0.8,0.5)))</f>
        <v/>
      </c>
      <c r="E904" s="4">
        <f>IF(A904="","",SUMIFS('Логи'!$H$4:$H$3006,'Логи'!$A$4:$A$3006,A904,'Логи'!$C$4:$C$3006,14))</f>
        <v/>
      </c>
      <c r="F904" s="15" t="n"/>
      <c r="G904" s="15" t="n"/>
      <c r="H904" s="15" t="n"/>
      <c r="I904" s="15" t="n"/>
      <c r="J904" s="15" t="n"/>
      <c r="K904" s="15" t="n"/>
      <c r="L904" s="15" t="n"/>
      <c r="M904" s="15" t="n"/>
      <c r="N904" s="15" t="n"/>
      <c r="O904" s="15" t="n"/>
      <c r="P904" s="15" t="n"/>
      <c r="Q904" s="15" t="n"/>
      <c r="R904" s="15" t="n"/>
      <c r="S904" s="15" t="n"/>
      <c r="T904" s="15" t="n"/>
      <c r="U904" s="15" t="n"/>
      <c r="V904" s="15" t="n"/>
      <c r="W904" s="15" t="n"/>
      <c r="X904" s="15" t="n"/>
      <c r="Y904" s="15" t="n"/>
      <c r="Z904" s="15" t="n"/>
      <c r="AA904" s="15" t="n"/>
      <c r="AB904" s="15" t="n"/>
      <c r="AC904" s="15" t="n"/>
      <c r="AD904" s="15" t="n"/>
      <c r="AE904" s="15" t="n"/>
      <c r="AF904" s="15" t="n"/>
      <c r="AG904" s="15" t="n"/>
      <c r="AH904" s="15" t="n"/>
      <c r="AI904" s="15" t="n"/>
    </row>
    <row r="905">
      <c r="A905" s="4" t="inlineStr">
        <is>
          <t>Студент3.16</t>
        </is>
      </c>
      <c r="B905" s="4" t="inlineStr"/>
      <c r="C905" s="4">
        <f>IF(A905="","",COUNTIF(F905:AI905,"+")+COUNTIF(F905:AI905,"1"))</f>
        <v/>
      </c>
      <c r="D905" s="4">
        <f>IF(A905="","",IF(C905&gt;2*COUNTA(F$889:AI$889)/3,1,IF(C905&gt;=COUNTA(F$889:AI$889)/2,0.8,0.5)))</f>
        <v/>
      </c>
      <c r="E905" s="4">
        <f>IF(A905="","",SUMIFS('Логи'!$H$4:$H$3006,'Логи'!$A$4:$A$3006,A905,'Логи'!$C$4:$C$3006,14))</f>
        <v/>
      </c>
      <c r="F905" s="15" t="n"/>
      <c r="G905" s="15" t="n"/>
      <c r="H905" s="15" t="n"/>
      <c r="I905" s="15" t="n"/>
      <c r="J905" s="15" t="n"/>
      <c r="K905" s="15" t="n"/>
      <c r="L905" s="15" t="n"/>
      <c r="M905" s="15" t="n"/>
      <c r="N905" s="15" t="n"/>
      <c r="O905" s="15" t="n"/>
      <c r="P905" s="15" t="n"/>
      <c r="Q905" s="15" t="n"/>
      <c r="R905" s="15" t="n"/>
      <c r="S905" s="15" t="n"/>
      <c r="T905" s="15" t="n"/>
      <c r="U905" s="15" t="n"/>
      <c r="V905" s="15" t="n"/>
      <c r="W905" s="15" t="n"/>
      <c r="X905" s="15" t="n"/>
      <c r="Y905" s="15" t="n"/>
      <c r="Z905" s="15" t="n"/>
      <c r="AA905" s="15" t="n"/>
      <c r="AB905" s="15" t="n"/>
      <c r="AC905" s="15" t="n"/>
      <c r="AD905" s="15" t="n"/>
      <c r="AE905" s="15" t="n"/>
      <c r="AF905" s="15" t="n"/>
      <c r="AG905" s="15" t="n"/>
      <c r="AH905" s="15" t="n"/>
      <c r="AI905" s="15" t="n"/>
    </row>
    <row r="906">
      <c r="A906" s="4" t="inlineStr">
        <is>
          <t>Студент3.17</t>
        </is>
      </c>
      <c r="B906" s="4" t="inlineStr"/>
      <c r="C906" s="4">
        <f>IF(A906="","",COUNTIF(F906:AI906,"+")+COUNTIF(F906:AI906,"1"))</f>
        <v/>
      </c>
      <c r="D906" s="4">
        <f>IF(A906="","",IF(C906&gt;2*COUNTA(F$889:AI$889)/3,1,IF(C906&gt;=COUNTA(F$889:AI$889)/2,0.8,0.5)))</f>
        <v/>
      </c>
      <c r="E906" s="4">
        <f>IF(A906="","",SUMIFS('Логи'!$H$4:$H$3006,'Логи'!$A$4:$A$3006,A906,'Логи'!$C$4:$C$3006,14))</f>
        <v/>
      </c>
      <c r="F906" s="15" t="n"/>
      <c r="G906" s="15" t="n"/>
      <c r="H906" s="15" t="n"/>
      <c r="I906" s="15" t="n"/>
      <c r="J906" s="15" t="n"/>
      <c r="K906" s="15" t="n"/>
      <c r="L906" s="15" t="n"/>
      <c r="M906" s="15" t="n"/>
      <c r="N906" s="15" t="n"/>
      <c r="O906" s="15" t="n"/>
      <c r="P906" s="15" t="n"/>
      <c r="Q906" s="15" t="n"/>
      <c r="R906" s="15" t="n"/>
      <c r="S906" s="15" t="n"/>
      <c r="T906" s="15" t="n"/>
      <c r="U906" s="15" t="n"/>
      <c r="V906" s="15" t="n"/>
      <c r="W906" s="15" t="n"/>
      <c r="X906" s="15" t="n"/>
      <c r="Y906" s="15" t="n"/>
      <c r="Z906" s="15" t="n"/>
      <c r="AA906" s="15" t="n"/>
      <c r="AB906" s="15" t="n"/>
      <c r="AC906" s="15" t="n"/>
      <c r="AD906" s="15" t="n"/>
      <c r="AE906" s="15" t="n"/>
      <c r="AF906" s="15" t="n"/>
      <c r="AG906" s="15" t="n"/>
      <c r="AH906" s="15" t="n"/>
      <c r="AI906" s="15" t="n"/>
    </row>
    <row r="907">
      <c r="A907" s="4" t="inlineStr">
        <is>
          <t>Студент3.18</t>
        </is>
      </c>
      <c r="B907" s="4" t="inlineStr"/>
      <c r="C907" s="4">
        <f>IF(A907="","",COUNTIF(F907:AI907,"+")+COUNTIF(F907:AI907,"1"))</f>
        <v/>
      </c>
      <c r="D907" s="4">
        <f>IF(A907="","",IF(C907&gt;2*COUNTA(F$889:AI$889)/3,1,IF(C907&gt;=COUNTA(F$889:AI$889)/2,0.8,0.5)))</f>
        <v/>
      </c>
      <c r="E907" s="4">
        <f>IF(A907="","",SUMIFS('Логи'!$H$4:$H$3006,'Логи'!$A$4:$A$3006,A907,'Логи'!$C$4:$C$3006,14))</f>
        <v/>
      </c>
      <c r="F907" s="15" t="n"/>
      <c r="G907" s="15" t="n"/>
      <c r="H907" s="15" t="n"/>
      <c r="I907" s="15" t="n"/>
      <c r="J907" s="15" t="n"/>
      <c r="K907" s="15" t="n"/>
      <c r="L907" s="15" t="n"/>
      <c r="M907" s="15" t="n"/>
      <c r="N907" s="15" t="n"/>
      <c r="O907" s="15" t="n"/>
      <c r="P907" s="15" t="n"/>
      <c r="Q907" s="15" t="n"/>
      <c r="R907" s="15" t="n"/>
      <c r="S907" s="15" t="n"/>
      <c r="T907" s="15" t="n"/>
      <c r="U907" s="15" t="n"/>
      <c r="V907" s="15" t="n"/>
      <c r="W907" s="15" t="n"/>
      <c r="X907" s="15" t="n"/>
      <c r="Y907" s="15" t="n"/>
      <c r="Z907" s="15" t="n"/>
      <c r="AA907" s="15" t="n"/>
      <c r="AB907" s="15" t="n"/>
      <c r="AC907" s="15" t="n"/>
      <c r="AD907" s="15" t="n"/>
      <c r="AE907" s="15" t="n"/>
      <c r="AF907" s="15" t="n"/>
      <c r="AG907" s="15" t="n"/>
      <c r="AH907" s="15" t="n"/>
      <c r="AI907" s="15" t="n"/>
    </row>
    <row r="908">
      <c r="A908" s="4" t="inlineStr">
        <is>
          <t>Студент3.19</t>
        </is>
      </c>
      <c r="B908" s="4" t="inlineStr"/>
      <c r="C908" s="4">
        <f>IF(A908="","",COUNTIF(F908:AI908,"+")+COUNTIF(F908:AI908,"1"))</f>
        <v/>
      </c>
      <c r="D908" s="4">
        <f>IF(A908="","",IF(C908&gt;2*COUNTA(F$889:AI$889)/3,1,IF(C908&gt;=COUNTA(F$889:AI$889)/2,0.8,0.5)))</f>
        <v/>
      </c>
      <c r="E908" s="4">
        <f>IF(A908="","",SUMIFS('Логи'!$H$4:$H$3006,'Логи'!$A$4:$A$3006,A908,'Логи'!$C$4:$C$3006,14))</f>
        <v/>
      </c>
      <c r="F908" s="15" t="n"/>
      <c r="G908" s="15" t="n"/>
      <c r="H908" s="15" t="n"/>
      <c r="I908" s="15" t="n"/>
      <c r="J908" s="15" t="n"/>
      <c r="K908" s="15" t="n"/>
      <c r="L908" s="15" t="n"/>
      <c r="M908" s="15" t="n"/>
      <c r="N908" s="15" t="n"/>
      <c r="O908" s="15" t="n"/>
      <c r="P908" s="15" t="n"/>
      <c r="Q908" s="15" t="n"/>
      <c r="R908" s="15" t="n"/>
      <c r="S908" s="15" t="n"/>
      <c r="T908" s="15" t="n"/>
      <c r="U908" s="15" t="n"/>
      <c r="V908" s="15" t="n"/>
      <c r="W908" s="15" t="n"/>
      <c r="X908" s="15" t="n"/>
      <c r="Y908" s="15" t="n"/>
      <c r="Z908" s="15" t="n"/>
      <c r="AA908" s="15" t="n"/>
      <c r="AB908" s="15" t="n"/>
      <c r="AC908" s="15" t="n"/>
      <c r="AD908" s="15" t="n"/>
      <c r="AE908" s="15" t="n"/>
      <c r="AF908" s="15" t="n"/>
      <c r="AG908" s="15" t="n"/>
      <c r="AH908" s="15" t="n"/>
      <c r="AI908" s="15" t="n"/>
    </row>
    <row r="909">
      <c r="A909" s="4" t="inlineStr">
        <is>
          <t>Студент3.20</t>
        </is>
      </c>
      <c r="B909" s="4" t="inlineStr"/>
      <c r="C909" s="4">
        <f>IF(A909="","",COUNTIF(F909:AI909,"+")+COUNTIF(F909:AI909,"1"))</f>
        <v/>
      </c>
      <c r="D909" s="4">
        <f>IF(A909="","",IF(C909&gt;2*COUNTA(F$889:AI$889)/3,1,IF(C909&gt;=COUNTA(F$889:AI$889)/2,0.8,0.5)))</f>
        <v/>
      </c>
      <c r="E909" s="4">
        <f>IF(A909="","",SUMIFS('Логи'!$H$4:$H$3006,'Логи'!$A$4:$A$3006,A909,'Логи'!$C$4:$C$3006,14))</f>
        <v/>
      </c>
      <c r="F909" s="15" t="n"/>
      <c r="G909" s="15" t="n"/>
      <c r="H909" s="15" t="n"/>
      <c r="I909" s="15" t="n"/>
      <c r="J909" s="15" t="n"/>
      <c r="K909" s="15" t="n"/>
      <c r="L909" s="15" t="n"/>
      <c r="M909" s="15" t="n"/>
      <c r="N909" s="15" t="n"/>
      <c r="O909" s="15" t="n"/>
      <c r="P909" s="15" t="n"/>
      <c r="Q909" s="15" t="n"/>
      <c r="R909" s="15" t="n"/>
      <c r="S909" s="15" t="n"/>
      <c r="T909" s="15" t="n"/>
      <c r="U909" s="15" t="n"/>
      <c r="V909" s="15" t="n"/>
      <c r="W909" s="15" t="n"/>
      <c r="X909" s="15" t="n"/>
      <c r="Y909" s="15" t="n"/>
      <c r="Z909" s="15" t="n"/>
      <c r="AA909" s="15" t="n"/>
      <c r="AB909" s="15" t="n"/>
      <c r="AC909" s="15" t="n"/>
      <c r="AD909" s="15" t="n"/>
      <c r="AE909" s="15" t="n"/>
      <c r="AF909" s="15" t="n"/>
      <c r="AG909" s="15" t="n"/>
      <c r="AH909" s="15" t="n"/>
      <c r="AI909" s="15" t="n"/>
    </row>
    <row r="910">
      <c r="A910" s="4" t="inlineStr">
        <is>
          <t>Студент3.21</t>
        </is>
      </c>
      <c r="B910" s="4" t="inlineStr"/>
      <c r="C910" s="4">
        <f>IF(A910="","",COUNTIF(F910:AI910,"+")+COUNTIF(F910:AI910,"1"))</f>
        <v/>
      </c>
      <c r="D910" s="4">
        <f>IF(A910="","",IF(C910&gt;2*COUNTA(F$889:AI$889)/3,1,IF(C910&gt;=COUNTA(F$889:AI$889)/2,0.8,0.5)))</f>
        <v/>
      </c>
      <c r="E910" s="4">
        <f>IF(A910="","",SUMIFS('Логи'!$H$4:$H$3006,'Логи'!$A$4:$A$3006,A910,'Логи'!$C$4:$C$3006,14))</f>
        <v/>
      </c>
      <c r="F910" s="15" t="n"/>
      <c r="G910" s="15" t="n"/>
      <c r="H910" s="15" t="n"/>
      <c r="I910" s="15" t="n"/>
      <c r="J910" s="15" t="n"/>
      <c r="K910" s="15" t="n"/>
      <c r="L910" s="15" t="n"/>
      <c r="M910" s="15" t="n"/>
      <c r="N910" s="15" t="n"/>
      <c r="O910" s="15" t="n"/>
      <c r="P910" s="15" t="n"/>
      <c r="Q910" s="15" t="n"/>
      <c r="R910" s="15" t="n"/>
      <c r="S910" s="15" t="n"/>
      <c r="T910" s="15" t="n"/>
      <c r="U910" s="15" t="n"/>
      <c r="V910" s="15" t="n"/>
      <c r="W910" s="15" t="n"/>
      <c r="X910" s="15" t="n"/>
      <c r="Y910" s="15" t="n"/>
      <c r="Z910" s="15" t="n"/>
      <c r="AA910" s="15" t="n"/>
      <c r="AB910" s="15" t="n"/>
      <c r="AC910" s="15" t="n"/>
      <c r="AD910" s="15" t="n"/>
      <c r="AE910" s="15" t="n"/>
      <c r="AF910" s="15" t="n"/>
      <c r="AG910" s="15" t="n"/>
      <c r="AH910" s="15" t="n"/>
      <c r="AI910" s="15" t="n"/>
    </row>
    <row r="911">
      <c r="A911" s="4" t="inlineStr">
        <is>
          <t>Студент3.22</t>
        </is>
      </c>
      <c r="B911" s="4" t="inlineStr"/>
      <c r="C911" s="4">
        <f>IF(A911="","",COUNTIF(F911:AI911,"+")+COUNTIF(F911:AI911,"1"))</f>
        <v/>
      </c>
      <c r="D911" s="4">
        <f>IF(A911="","",IF(C911&gt;2*COUNTA(F$889:AI$889)/3,1,IF(C911&gt;=COUNTA(F$889:AI$889)/2,0.8,0.5)))</f>
        <v/>
      </c>
      <c r="E911" s="4">
        <f>IF(A911="","",SUMIFS('Логи'!$H$4:$H$3006,'Логи'!$A$4:$A$3006,A911,'Логи'!$C$4:$C$3006,14))</f>
        <v/>
      </c>
      <c r="F911" s="15" t="n"/>
      <c r="G911" s="15" t="n"/>
      <c r="H911" s="15" t="n"/>
      <c r="I911" s="15" t="n"/>
      <c r="J911" s="15" t="n"/>
      <c r="K911" s="15" t="n"/>
      <c r="L911" s="15" t="n"/>
      <c r="M911" s="15" t="n"/>
      <c r="N911" s="15" t="n"/>
      <c r="O911" s="15" t="n"/>
      <c r="P911" s="15" t="n"/>
      <c r="Q911" s="15" t="n"/>
      <c r="R911" s="15" t="n"/>
      <c r="S911" s="15" t="n"/>
      <c r="T911" s="15" t="n"/>
      <c r="U911" s="15" t="n"/>
      <c r="V911" s="15" t="n"/>
      <c r="W911" s="15" t="n"/>
      <c r="X911" s="15" t="n"/>
      <c r="Y911" s="15" t="n"/>
      <c r="Z911" s="15" t="n"/>
      <c r="AA911" s="15" t="n"/>
      <c r="AB911" s="15" t="n"/>
      <c r="AC911" s="15" t="n"/>
      <c r="AD911" s="15" t="n"/>
      <c r="AE911" s="15" t="n"/>
      <c r="AF911" s="15" t="n"/>
      <c r="AG911" s="15" t="n"/>
      <c r="AH911" s="15" t="n"/>
      <c r="AI911" s="15" t="n"/>
    </row>
    <row r="912">
      <c r="A912" s="4" t="inlineStr">
        <is>
          <t>Студент3.23</t>
        </is>
      </c>
      <c r="B912" s="4" t="inlineStr"/>
      <c r="C912" s="4">
        <f>IF(A912="","",COUNTIF(F912:AI912,"+")+COUNTIF(F912:AI912,"1"))</f>
        <v/>
      </c>
      <c r="D912" s="4">
        <f>IF(A912="","",IF(C912&gt;2*COUNTA(F$889:AI$889)/3,1,IF(C912&gt;=COUNTA(F$889:AI$889)/2,0.8,0.5)))</f>
        <v/>
      </c>
      <c r="E912" s="4">
        <f>IF(A912="","",SUMIFS('Логи'!$H$4:$H$3006,'Логи'!$A$4:$A$3006,A912,'Логи'!$C$4:$C$3006,14))</f>
        <v/>
      </c>
      <c r="F912" s="15" t="n"/>
      <c r="G912" s="15" t="n"/>
      <c r="H912" s="15" t="n"/>
      <c r="I912" s="15" t="n"/>
      <c r="J912" s="15" t="n"/>
      <c r="K912" s="15" t="n"/>
      <c r="L912" s="15" t="n"/>
      <c r="M912" s="15" t="n"/>
      <c r="N912" s="15" t="n"/>
      <c r="O912" s="15" t="n"/>
      <c r="P912" s="15" t="n"/>
      <c r="Q912" s="15" t="n"/>
      <c r="R912" s="15" t="n"/>
      <c r="S912" s="15" t="n"/>
      <c r="T912" s="15" t="n"/>
      <c r="U912" s="15" t="n"/>
      <c r="V912" s="15" t="n"/>
      <c r="W912" s="15" t="n"/>
      <c r="X912" s="15" t="n"/>
      <c r="Y912" s="15" t="n"/>
      <c r="Z912" s="15" t="n"/>
      <c r="AA912" s="15" t="n"/>
      <c r="AB912" s="15" t="n"/>
      <c r="AC912" s="15" t="n"/>
      <c r="AD912" s="15" t="n"/>
      <c r="AE912" s="15" t="n"/>
      <c r="AF912" s="15" t="n"/>
      <c r="AG912" s="15" t="n"/>
      <c r="AH912" s="15" t="n"/>
      <c r="AI912" s="15" t="n"/>
    </row>
    <row r="913">
      <c r="A913" s="4" t="inlineStr">
        <is>
          <t>Студент3.24</t>
        </is>
      </c>
      <c r="B913" s="4" t="inlineStr"/>
      <c r="C913" s="4">
        <f>IF(A913="","",COUNTIF(F913:AI913,"+")+COUNTIF(F913:AI913,"1"))</f>
        <v/>
      </c>
      <c r="D913" s="4">
        <f>IF(A913="","",IF(C913&gt;2*COUNTA(F$889:AI$889)/3,1,IF(C913&gt;=COUNTA(F$889:AI$889)/2,0.8,0.5)))</f>
        <v/>
      </c>
      <c r="E913" s="4">
        <f>IF(A913="","",SUMIFS('Логи'!$H$4:$H$3006,'Логи'!$A$4:$A$3006,A913,'Логи'!$C$4:$C$3006,14))</f>
        <v/>
      </c>
      <c r="F913" s="15" t="n"/>
      <c r="G913" s="15" t="n"/>
      <c r="H913" s="15" t="n"/>
      <c r="I913" s="15" t="n"/>
      <c r="J913" s="15" t="n"/>
      <c r="K913" s="15" t="n"/>
      <c r="L913" s="15" t="n"/>
      <c r="M913" s="15" t="n"/>
      <c r="N913" s="15" t="n"/>
      <c r="O913" s="15" t="n"/>
      <c r="P913" s="15" t="n"/>
      <c r="Q913" s="15" t="n"/>
      <c r="R913" s="15" t="n"/>
      <c r="S913" s="15" t="n"/>
      <c r="T913" s="15" t="n"/>
      <c r="U913" s="15" t="n"/>
      <c r="V913" s="15" t="n"/>
      <c r="W913" s="15" t="n"/>
      <c r="X913" s="15" t="n"/>
      <c r="Y913" s="15" t="n"/>
      <c r="Z913" s="15" t="n"/>
      <c r="AA913" s="15" t="n"/>
      <c r="AB913" s="15" t="n"/>
      <c r="AC913" s="15" t="n"/>
      <c r="AD913" s="15" t="n"/>
      <c r="AE913" s="15" t="n"/>
      <c r="AF913" s="15" t="n"/>
      <c r="AG913" s="15" t="n"/>
      <c r="AH913" s="15" t="n"/>
      <c r="AI913" s="15" t="n"/>
    </row>
    <row r="914">
      <c r="A914" s="4" t="inlineStr">
        <is>
          <t>Студент3.25</t>
        </is>
      </c>
      <c r="B914" s="4" t="inlineStr"/>
      <c r="C914" s="4">
        <f>IF(A914="","",COUNTIF(F914:AI914,"+")+COUNTIF(F914:AI914,"1"))</f>
        <v/>
      </c>
      <c r="D914" s="4">
        <f>IF(A914="","",IF(C914&gt;2*COUNTA(F$889:AI$889)/3,1,IF(C914&gt;=COUNTA(F$889:AI$889)/2,0.8,0.5)))</f>
        <v/>
      </c>
      <c r="E914" s="4">
        <f>IF(A914="","",SUMIFS('Логи'!$H$4:$H$3006,'Логи'!$A$4:$A$3006,A914,'Логи'!$C$4:$C$3006,14))</f>
        <v/>
      </c>
      <c r="F914" s="15" t="n"/>
      <c r="G914" s="15" t="n"/>
      <c r="H914" s="15" t="n"/>
      <c r="I914" s="15" t="n"/>
      <c r="J914" s="15" t="n"/>
      <c r="K914" s="15" t="n"/>
      <c r="L914" s="15" t="n"/>
      <c r="M914" s="15" t="n"/>
      <c r="N914" s="15" t="n"/>
      <c r="O914" s="15" t="n"/>
      <c r="P914" s="15" t="n"/>
      <c r="Q914" s="15" t="n"/>
      <c r="R914" s="15" t="n"/>
      <c r="S914" s="15" t="n"/>
      <c r="T914" s="15" t="n"/>
      <c r="U914" s="15" t="n"/>
      <c r="V914" s="15" t="n"/>
      <c r="W914" s="15" t="n"/>
      <c r="X914" s="15" t="n"/>
      <c r="Y914" s="15" t="n"/>
      <c r="Z914" s="15" t="n"/>
      <c r="AA914" s="15" t="n"/>
      <c r="AB914" s="15" t="n"/>
      <c r="AC914" s="15" t="n"/>
      <c r="AD914" s="15" t="n"/>
      <c r="AE914" s="15" t="n"/>
      <c r="AF914" s="15" t="n"/>
      <c r="AG914" s="15" t="n"/>
      <c r="AH914" s="15" t="n"/>
      <c r="AI914" s="15" t="n"/>
    </row>
    <row r="915">
      <c r="A915" s="4" t="inlineStr">
        <is>
          <t>Студент3.26</t>
        </is>
      </c>
      <c r="B915" s="4" t="inlineStr"/>
      <c r="C915" s="4">
        <f>IF(A915="","",COUNTIF(F915:AI915,"+")+COUNTIF(F915:AI915,"1"))</f>
        <v/>
      </c>
      <c r="D915" s="4">
        <f>IF(A915="","",IF(C915&gt;2*COUNTA(F$889:AI$889)/3,1,IF(C915&gt;=COUNTA(F$889:AI$889)/2,0.8,0.5)))</f>
        <v/>
      </c>
      <c r="E915" s="4">
        <f>IF(A915="","",SUMIFS('Логи'!$H$4:$H$3006,'Логи'!$A$4:$A$3006,A915,'Логи'!$C$4:$C$3006,14))</f>
        <v/>
      </c>
      <c r="F915" s="15" t="n"/>
      <c r="G915" s="15" t="n"/>
      <c r="H915" s="15" t="n"/>
      <c r="I915" s="15" t="n"/>
      <c r="J915" s="15" t="n"/>
      <c r="K915" s="15" t="n"/>
      <c r="L915" s="15" t="n"/>
      <c r="M915" s="15" t="n"/>
      <c r="N915" s="15" t="n"/>
      <c r="O915" s="15" t="n"/>
      <c r="P915" s="15" t="n"/>
      <c r="Q915" s="15" t="n"/>
      <c r="R915" s="15" t="n"/>
      <c r="S915" s="15" t="n"/>
      <c r="T915" s="15" t="n"/>
      <c r="U915" s="15" t="n"/>
      <c r="V915" s="15" t="n"/>
      <c r="W915" s="15" t="n"/>
      <c r="X915" s="15" t="n"/>
      <c r="Y915" s="15" t="n"/>
      <c r="Z915" s="15" t="n"/>
      <c r="AA915" s="15" t="n"/>
      <c r="AB915" s="15" t="n"/>
      <c r="AC915" s="15" t="n"/>
      <c r="AD915" s="15" t="n"/>
      <c r="AE915" s="15" t="n"/>
      <c r="AF915" s="15" t="n"/>
      <c r="AG915" s="15" t="n"/>
      <c r="AH915" s="15" t="n"/>
      <c r="AI915" s="15" t="n"/>
    </row>
    <row r="916">
      <c r="A916" s="4" t="inlineStr">
        <is>
          <t>Студент3.27</t>
        </is>
      </c>
      <c r="B916" s="4" t="inlineStr"/>
      <c r="C916" s="4">
        <f>IF(A916="","",COUNTIF(F916:AI916,"+")+COUNTIF(F916:AI916,"1"))</f>
        <v/>
      </c>
      <c r="D916" s="4">
        <f>IF(A916="","",IF(C916&gt;2*COUNTA(F$889:AI$889)/3,1,IF(C916&gt;=COUNTA(F$889:AI$889)/2,0.8,0.5)))</f>
        <v/>
      </c>
      <c r="E916" s="4">
        <f>IF(A916="","",SUMIFS('Логи'!$H$4:$H$3006,'Логи'!$A$4:$A$3006,A916,'Логи'!$C$4:$C$3006,14))</f>
        <v/>
      </c>
      <c r="F916" s="15" t="n"/>
      <c r="G916" s="15" t="n"/>
      <c r="H916" s="15" t="n"/>
      <c r="I916" s="15" t="n"/>
      <c r="J916" s="15" t="n"/>
      <c r="K916" s="15" t="n"/>
      <c r="L916" s="15" t="n"/>
      <c r="M916" s="15" t="n"/>
      <c r="N916" s="15" t="n"/>
      <c r="O916" s="15" t="n"/>
      <c r="P916" s="15" t="n"/>
      <c r="Q916" s="15" t="n"/>
      <c r="R916" s="15" t="n"/>
      <c r="S916" s="15" t="n"/>
      <c r="T916" s="15" t="n"/>
      <c r="U916" s="15" t="n"/>
      <c r="V916" s="15" t="n"/>
      <c r="W916" s="15" t="n"/>
      <c r="X916" s="15" t="n"/>
      <c r="Y916" s="15" t="n"/>
      <c r="Z916" s="15" t="n"/>
      <c r="AA916" s="15" t="n"/>
      <c r="AB916" s="15" t="n"/>
      <c r="AC916" s="15" t="n"/>
      <c r="AD916" s="15" t="n"/>
      <c r="AE916" s="15" t="n"/>
      <c r="AF916" s="15" t="n"/>
      <c r="AG916" s="15" t="n"/>
      <c r="AH916" s="15" t="n"/>
      <c r="AI916" s="15" t="n"/>
    </row>
    <row r="917">
      <c r="A917" s="4" t="inlineStr">
        <is>
          <t>Студент3.28</t>
        </is>
      </c>
      <c r="B917" s="4" t="inlineStr"/>
      <c r="C917" s="4">
        <f>IF(A917="","",COUNTIF(F917:AI917,"+")+COUNTIF(F917:AI917,"1"))</f>
        <v/>
      </c>
      <c r="D917" s="4">
        <f>IF(A917="","",IF(C917&gt;2*COUNTA(F$889:AI$889)/3,1,IF(C917&gt;=COUNTA(F$889:AI$889)/2,0.8,0.5)))</f>
        <v/>
      </c>
      <c r="E917" s="4">
        <f>IF(A917="","",SUMIFS('Логи'!$H$4:$H$3006,'Логи'!$A$4:$A$3006,A917,'Логи'!$C$4:$C$3006,14))</f>
        <v/>
      </c>
      <c r="F917" s="15" t="n"/>
      <c r="G917" s="15" t="n"/>
      <c r="H917" s="15" t="n"/>
      <c r="I917" s="15" t="n"/>
      <c r="J917" s="15" t="n"/>
      <c r="K917" s="15" t="n"/>
      <c r="L917" s="15" t="n"/>
      <c r="M917" s="15" t="n"/>
      <c r="N917" s="15" t="n"/>
      <c r="O917" s="15" t="n"/>
      <c r="P917" s="15" t="n"/>
      <c r="Q917" s="15" t="n"/>
      <c r="R917" s="15" t="n"/>
      <c r="S917" s="15" t="n"/>
      <c r="T917" s="15" t="n"/>
      <c r="U917" s="15" t="n"/>
      <c r="V917" s="15" t="n"/>
      <c r="W917" s="15" t="n"/>
      <c r="X917" s="15" t="n"/>
      <c r="Y917" s="15" t="n"/>
      <c r="Z917" s="15" t="n"/>
      <c r="AA917" s="15" t="n"/>
      <c r="AB917" s="15" t="n"/>
      <c r="AC917" s="15" t="n"/>
      <c r="AD917" s="15" t="n"/>
      <c r="AE917" s="15" t="n"/>
      <c r="AF917" s="15" t="n"/>
      <c r="AG917" s="15" t="n"/>
      <c r="AH917" s="15" t="n"/>
      <c r="AI917" s="15" t="n"/>
    </row>
    <row r="918">
      <c r="A918" s="4" t="inlineStr">
        <is>
          <t>Студент3.29</t>
        </is>
      </c>
      <c r="B918" s="4" t="inlineStr"/>
      <c r="C918" s="4">
        <f>IF(A918="","",COUNTIF(F918:AI918,"+")+COUNTIF(F918:AI918,"1"))</f>
        <v/>
      </c>
      <c r="D918" s="4">
        <f>IF(A918="","",IF(C918&gt;2*COUNTA(F$889:AI$889)/3,1,IF(C918&gt;=COUNTA(F$889:AI$889)/2,0.8,0.5)))</f>
        <v/>
      </c>
      <c r="E918" s="4">
        <f>IF(A918="","",SUMIFS('Логи'!$H$4:$H$3006,'Логи'!$A$4:$A$3006,A918,'Логи'!$C$4:$C$3006,14))</f>
        <v/>
      </c>
      <c r="F918" s="15" t="n"/>
      <c r="G918" s="15" t="n"/>
      <c r="H918" s="15" t="n"/>
      <c r="I918" s="15" t="n"/>
      <c r="J918" s="15" t="n"/>
      <c r="K918" s="15" t="n"/>
      <c r="L918" s="15" t="n"/>
      <c r="M918" s="15" t="n"/>
      <c r="N918" s="15" t="n"/>
      <c r="O918" s="15" t="n"/>
      <c r="P918" s="15" t="n"/>
      <c r="Q918" s="15" t="n"/>
      <c r="R918" s="15" t="n"/>
      <c r="S918" s="15" t="n"/>
      <c r="T918" s="15" t="n"/>
      <c r="U918" s="15" t="n"/>
      <c r="V918" s="15" t="n"/>
      <c r="W918" s="15" t="n"/>
      <c r="X918" s="15" t="n"/>
      <c r="Y918" s="15" t="n"/>
      <c r="Z918" s="15" t="n"/>
      <c r="AA918" s="15" t="n"/>
      <c r="AB918" s="15" t="n"/>
      <c r="AC918" s="15" t="n"/>
      <c r="AD918" s="15" t="n"/>
      <c r="AE918" s="15" t="n"/>
      <c r="AF918" s="15" t="n"/>
      <c r="AG918" s="15" t="n"/>
      <c r="AH918" s="15" t="n"/>
      <c r="AI918" s="15" t="n"/>
    </row>
    <row r="919">
      <c r="A919" s="4" t="inlineStr">
        <is>
          <t>Студент3.30</t>
        </is>
      </c>
      <c r="B919" s="4" t="inlineStr"/>
      <c r="C919" s="4">
        <f>IF(A919="","",COUNTIF(F919:AI919,"+")+COUNTIF(F919:AI919,"1"))</f>
        <v/>
      </c>
      <c r="D919" s="4">
        <f>IF(A919="","",IF(C919&gt;2*COUNTA(F$889:AI$889)/3,1,IF(C919&gt;=COUNTA(F$889:AI$889)/2,0.8,0.5)))</f>
        <v/>
      </c>
      <c r="E919" s="4">
        <f>IF(A919="","",SUMIFS('Логи'!$H$4:$H$3006,'Логи'!$A$4:$A$3006,A919,'Логи'!$C$4:$C$3006,14))</f>
        <v/>
      </c>
      <c r="F919" s="15" t="n"/>
      <c r="G919" s="15" t="n"/>
      <c r="H919" s="15" t="n"/>
      <c r="I919" s="15" t="n"/>
      <c r="J919" s="15" t="n"/>
      <c r="K919" s="15" t="n"/>
      <c r="L919" s="15" t="n"/>
      <c r="M919" s="15" t="n"/>
      <c r="N919" s="15" t="n"/>
      <c r="O919" s="15" t="n"/>
      <c r="P919" s="15" t="n"/>
      <c r="Q919" s="15" t="n"/>
      <c r="R919" s="15" t="n"/>
      <c r="S919" s="15" t="n"/>
      <c r="T919" s="15" t="n"/>
      <c r="U919" s="15" t="n"/>
      <c r="V919" s="15" t="n"/>
      <c r="W919" s="15" t="n"/>
      <c r="X919" s="15" t="n"/>
      <c r="Y919" s="15" t="n"/>
      <c r="Z919" s="15" t="n"/>
      <c r="AA919" s="15" t="n"/>
      <c r="AB919" s="15" t="n"/>
      <c r="AC919" s="15" t="n"/>
      <c r="AD919" s="15" t="n"/>
      <c r="AE919" s="15" t="n"/>
      <c r="AF919" s="15" t="n"/>
      <c r="AG919" s="15" t="n"/>
      <c r="AH919" s="15" t="n"/>
      <c r="AI919" s="15" t="n"/>
    </row>
    <row r="921">
      <c r="A921" s="16" t="inlineStr">
        <is>
          <t>Практика 14 — результаты рассказа</t>
        </is>
      </c>
    </row>
    <row r="922" ht="28" customHeight="1">
      <c r="A922" s="7" t="inlineStr">
        <is>
          <t>Имя</t>
        </is>
      </c>
      <c r="B922" s="9" t="inlineStr">
        <is>
          <t>TG</t>
        </is>
      </c>
      <c r="C922" s="10" t="inlineStr"/>
      <c r="D922" s="2" t="inlineStr"/>
      <c r="E922" s="2" t="inlineStr"/>
      <c r="F922" s="11" t="inlineStr">
        <is>
          <t>1.0</t>
        </is>
      </c>
      <c r="G922" s="11" t="inlineStr">
        <is>
          <t>2.0</t>
        </is>
      </c>
      <c r="H922" s="11" t="inlineStr">
        <is>
          <t>3.0</t>
        </is>
      </c>
      <c r="I922" s="11" t="inlineStr">
        <is>
          <t>4.0</t>
        </is>
      </c>
      <c r="J922" s="11" t="inlineStr">
        <is>
          <t>5.0</t>
        </is>
      </c>
      <c r="K922" s="11" t="inlineStr">
        <is>
          <t>6</t>
        </is>
      </c>
      <c r="L922" s="11" t="inlineStr">
        <is>
          <t>7</t>
        </is>
      </c>
      <c r="M922" s="11" t="inlineStr">
        <is>
          <t>8</t>
        </is>
      </c>
      <c r="N922" s="11" t="inlineStr">
        <is>
          <t>9</t>
        </is>
      </c>
      <c r="O922" s="11" t="inlineStr">
        <is>
          <t>10</t>
        </is>
      </c>
      <c r="P922" s="11" t="inlineStr">
        <is>
          <t>11</t>
        </is>
      </c>
      <c r="Q922" s="11" t="inlineStr">
        <is>
          <t>12</t>
        </is>
      </c>
      <c r="R922" s="11" t="inlineStr">
        <is>
          <t>13</t>
        </is>
      </c>
      <c r="S922" s="11" t="inlineStr">
        <is>
          <t>14</t>
        </is>
      </c>
      <c r="T922" s="11" t="inlineStr">
        <is>
          <t>15</t>
        </is>
      </c>
      <c r="U922" s="11" t="inlineStr">
        <is>
          <t>16</t>
        </is>
      </c>
      <c r="V922" s="11" t="inlineStr">
        <is>
          <t>17</t>
        </is>
      </c>
      <c r="W922" s="11" t="inlineStr">
        <is>
          <t>18</t>
        </is>
      </c>
      <c r="X922" s="11" t="inlineStr">
        <is>
          <t>19</t>
        </is>
      </c>
      <c r="Y922" s="11" t="inlineStr">
        <is>
          <t>20</t>
        </is>
      </c>
      <c r="Z922" s="11" t="inlineStr">
        <is>
          <t>21</t>
        </is>
      </c>
      <c r="AA922" s="11" t="inlineStr">
        <is>
          <t>22</t>
        </is>
      </c>
      <c r="AB922" s="11" t="inlineStr">
        <is>
          <t>23</t>
        </is>
      </c>
      <c r="AC922" s="11" t="inlineStr">
        <is>
          <t>24</t>
        </is>
      </c>
      <c r="AD922" s="11" t="inlineStr">
        <is>
          <t>25</t>
        </is>
      </c>
      <c r="AE922" s="11" t="inlineStr">
        <is>
          <t>26</t>
        </is>
      </c>
      <c r="AF922" s="11" t="inlineStr">
        <is>
          <t>27</t>
        </is>
      </c>
      <c r="AG922" s="11" t="inlineStr">
        <is>
          <t>28</t>
        </is>
      </c>
      <c r="AH922" s="11" t="inlineStr">
        <is>
          <t>29</t>
        </is>
      </c>
      <c r="AI922" s="11" t="inlineStr">
        <is>
          <t>30</t>
        </is>
      </c>
    </row>
    <row r="923">
      <c r="A923" s="4" t="inlineStr">
        <is>
          <t>Студент3.1</t>
        </is>
      </c>
      <c r="B923" s="4" t="inlineStr"/>
      <c r="C923" s="4" t="n"/>
      <c r="D923" s="4" t="n"/>
      <c r="E923" s="4" t="n"/>
      <c r="F923" s="15" t="n"/>
      <c r="G923" s="15" t="n"/>
      <c r="H923" s="15" t="n"/>
      <c r="I923" s="15" t="n"/>
      <c r="J923" s="15" t="n"/>
      <c r="K923" s="15" t="n"/>
      <c r="L923" s="15" t="n"/>
      <c r="M923" s="15" t="n"/>
      <c r="N923" s="15" t="n"/>
      <c r="O923" s="15" t="n"/>
      <c r="P923" s="15" t="n"/>
      <c r="Q923" s="15" t="n"/>
      <c r="R923" s="15" t="n"/>
      <c r="S923" s="15" t="n"/>
      <c r="T923" s="15" t="n"/>
      <c r="U923" s="15" t="n"/>
      <c r="V923" s="15" t="n"/>
      <c r="W923" s="15" t="n"/>
      <c r="X923" s="15" t="n"/>
      <c r="Y923" s="15" t="n"/>
      <c r="Z923" s="15" t="n"/>
      <c r="AA923" s="15" t="n"/>
      <c r="AB923" s="15" t="n"/>
      <c r="AC923" s="15" t="n"/>
      <c r="AD923" s="15" t="n"/>
      <c r="AE923" s="15" t="n"/>
      <c r="AF923" s="15" t="n"/>
      <c r="AG923" s="15" t="n"/>
      <c r="AH923" s="15" t="n"/>
      <c r="AI923" s="15" t="n"/>
    </row>
    <row r="924">
      <c r="A924" s="4" t="inlineStr">
        <is>
          <t>Студент3.2</t>
        </is>
      </c>
      <c r="B924" s="4" t="inlineStr"/>
      <c r="C924" s="4" t="n"/>
      <c r="D924" s="4" t="n"/>
      <c r="E924" s="4" t="n"/>
      <c r="F924" s="15" t="n"/>
      <c r="G924" s="15" t="n"/>
      <c r="H924" s="15" t="n"/>
      <c r="I924" s="15" t="n"/>
      <c r="J924" s="15" t="n"/>
      <c r="K924" s="15" t="n"/>
      <c r="L924" s="15" t="n"/>
      <c r="M924" s="15" t="n"/>
      <c r="N924" s="15" t="n"/>
      <c r="O924" s="15" t="n"/>
      <c r="P924" s="15" t="n"/>
      <c r="Q924" s="15" t="n"/>
      <c r="R924" s="15" t="n"/>
      <c r="S924" s="15" t="n"/>
      <c r="T924" s="15" t="n"/>
      <c r="U924" s="15" t="n"/>
      <c r="V924" s="15" t="n"/>
      <c r="W924" s="15" t="n"/>
      <c r="X924" s="15" t="n"/>
      <c r="Y924" s="15" t="n"/>
      <c r="Z924" s="15" t="n"/>
      <c r="AA924" s="15" t="n"/>
      <c r="AB924" s="15" t="n"/>
      <c r="AC924" s="15" t="n"/>
      <c r="AD924" s="15" t="n"/>
      <c r="AE924" s="15" t="n"/>
      <c r="AF924" s="15" t="n"/>
      <c r="AG924" s="15" t="n"/>
      <c r="AH924" s="15" t="n"/>
      <c r="AI924" s="15" t="n"/>
    </row>
    <row r="925">
      <c r="A925" s="4" t="inlineStr">
        <is>
          <t>Студент3.3</t>
        </is>
      </c>
      <c r="B925" s="4" t="inlineStr"/>
      <c r="C925" s="4" t="n"/>
      <c r="D925" s="4" t="n"/>
      <c r="E925" s="4" t="n"/>
      <c r="F925" s="15" t="n"/>
      <c r="G925" s="15" t="n"/>
      <c r="H925" s="15" t="n"/>
      <c r="I925" s="15" t="n"/>
      <c r="J925" s="15" t="n"/>
      <c r="K925" s="15" t="n"/>
      <c r="L925" s="15" t="n"/>
      <c r="M925" s="15" t="n"/>
      <c r="N925" s="15" t="n"/>
      <c r="O925" s="15" t="n"/>
      <c r="P925" s="15" t="n"/>
      <c r="Q925" s="15" t="n"/>
      <c r="R925" s="15" t="n"/>
      <c r="S925" s="15" t="n"/>
      <c r="T925" s="15" t="n"/>
      <c r="U925" s="15" t="n"/>
      <c r="V925" s="15" t="n"/>
      <c r="W925" s="15" t="n"/>
      <c r="X925" s="15" t="n"/>
      <c r="Y925" s="15" t="n"/>
      <c r="Z925" s="15" t="n"/>
      <c r="AA925" s="15" t="n"/>
      <c r="AB925" s="15" t="n"/>
      <c r="AC925" s="15" t="n"/>
      <c r="AD925" s="15" t="n"/>
      <c r="AE925" s="15" t="n"/>
      <c r="AF925" s="15" t="n"/>
      <c r="AG925" s="15" t="n"/>
      <c r="AH925" s="15" t="n"/>
      <c r="AI925" s="15" t="n"/>
    </row>
    <row r="926">
      <c r="A926" s="4" t="inlineStr">
        <is>
          <t>Студент3.4</t>
        </is>
      </c>
      <c r="B926" s="4" t="inlineStr"/>
      <c r="C926" s="4" t="n"/>
      <c r="D926" s="4" t="n"/>
      <c r="E926" s="4" t="n"/>
      <c r="F926" s="15" t="n"/>
      <c r="G926" s="15" t="n"/>
      <c r="H926" s="15" t="n"/>
      <c r="I926" s="15" t="n"/>
      <c r="J926" s="15" t="n"/>
      <c r="K926" s="15" t="n"/>
      <c r="L926" s="15" t="n"/>
      <c r="M926" s="15" t="n"/>
      <c r="N926" s="15" t="n"/>
      <c r="O926" s="15" t="n"/>
      <c r="P926" s="15" t="n"/>
      <c r="Q926" s="15" t="n"/>
      <c r="R926" s="15" t="n"/>
      <c r="S926" s="15" t="n"/>
      <c r="T926" s="15" t="n"/>
      <c r="U926" s="15" t="n"/>
      <c r="V926" s="15" t="n"/>
      <c r="W926" s="15" t="n"/>
      <c r="X926" s="15" t="n"/>
      <c r="Y926" s="15" t="n"/>
      <c r="Z926" s="15" t="n"/>
      <c r="AA926" s="15" t="n"/>
      <c r="AB926" s="15" t="n"/>
      <c r="AC926" s="15" t="n"/>
      <c r="AD926" s="15" t="n"/>
      <c r="AE926" s="15" t="n"/>
      <c r="AF926" s="15" t="n"/>
      <c r="AG926" s="15" t="n"/>
      <c r="AH926" s="15" t="n"/>
      <c r="AI926" s="15" t="n"/>
    </row>
    <row r="927">
      <c r="A927" s="4" t="inlineStr">
        <is>
          <t>Студент3.5</t>
        </is>
      </c>
      <c r="B927" s="4" t="inlineStr"/>
      <c r="C927" s="4" t="n"/>
      <c r="D927" s="4" t="n"/>
      <c r="E927" s="4" t="n"/>
      <c r="F927" s="15" t="n"/>
      <c r="G927" s="15" t="n"/>
      <c r="H927" s="15" t="n"/>
      <c r="I927" s="15" t="n"/>
      <c r="J927" s="15" t="n"/>
      <c r="K927" s="15" t="n"/>
      <c r="L927" s="15" t="n"/>
      <c r="M927" s="15" t="n"/>
      <c r="N927" s="15" t="n"/>
      <c r="O927" s="15" t="n"/>
      <c r="P927" s="15" t="n"/>
      <c r="Q927" s="15" t="n"/>
      <c r="R927" s="15" t="n"/>
      <c r="S927" s="15" t="n"/>
      <c r="T927" s="15" t="n"/>
      <c r="U927" s="15" t="n"/>
      <c r="V927" s="15" t="n"/>
      <c r="W927" s="15" t="n"/>
      <c r="X927" s="15" t="n"/>
      <c r="Y927" s="15" t="n"/>
      <c r="Z927" s="15" t="n"/>
      <c r="AA927" s="15" t="n"/>
      <c r="AB927" s="15" t="n"/>
      <c r="AC927" s="15" t="n"/>
      <c r="AD927" s="15" t="n"/>
      <c r="AE927" s="15" t="n"/>
      <c r="AF927" s="15" t="n"/>
      <c r="AG927" s="15" t="n"/>
      <c r="AH927" s="15" t="n"/>
      <c r="AI927" s="15" t="n"/>
    </row>
    <row r="928">
      <c r="A928" s="4" t="inlineStr">
        <is>
          <t>Студент3.6</t>
        </is>
      </c>
      <c r="B928" s="4" t="inlineStr"/>
      <c r="C928" s="4" t="n"/>
      <c r="D928" s="4" t="n"/>
      <c r="E928" s="4" t="n"/>
      <c r="F928" s="15" t="n"/>
      <c r="G928" s="15" t="n"/>
      <c r="H928" s="15" t="n"/>
      <c r="I928" s="15" t="n"/>
      <c r="J928" s="15" t="n"/>
      <c r="K928" s="15" t="n"/>
      <c r="L928" s="15" t="n"/>
      <c r="M928" s="15" t="n"/>
      <c r="N928" s="15" t="n"/>
      <c r="O928" s="15" t="n"/>
      <c r="P928" s="15" t="n"/>
      <c r="Q928" s="15" t="n"/>
      <c r="R928" s="15" t="n"/>
      <c r="S928" s="15" t="n"/>
      <c r="T928" s="15" t="n"/>
      <c r="U928" s="15" t="n"/>
      <c r="V928" s="15" t="n"/>
      <c r="W928" s="15" t="n"/>
      <c r="X928" s="15" t="n"/>
      <c r="Y928" s="15" t="n"/>
      <c r="Z928" s="15" t="n"/>
      <c r="AA928" s="15" t="n"/>
      <c r="AB928" s="15" t="n"/>
      <c r="AC928" s="15" t="n"/>
      <c r="AD928" s="15" t="n"/>
      <c r="AE928" s="15" t="n"/>
      <c r="AF928" s="15" t="n"/>
      <c r="AG928" s="15" t="n"/>
      <c r="AH928" s="15" t="n"/>
      <c r="AI928" s="15" t="n"/>
    </row>
    <row r="929">
      <c r="A929" s="4" t="inlineStr">
        <is>
          <t>Студент3.7</t>
        </is>
      </c>
      <c r="B929" s="4" t="inlineStr"/>
      <c r="C929" s="4" t="n"/>
      <c r="D929" s="4" t="n"/>
      <c r="E929" s="4" t="n"/>
      <c r="F929" s="15" t="n"/>
      <c r="G929" s="15" t="n"/>
      <c r="H929" s="15" t="n"/>
      <c r="I929" s="15" t="n"/>
      <c r="J929" s="15" t="n"/>
      <c r="K929" s="15" t="n"/>
      <c r="L929" s="15" t="n"/>
      <c r="M929" s="15" t="n"/>
      <c r="N929" s="15" t="n"/>
      <c r="O929" s="15" t="n"/>
      <c r="P929" s="15" t="n"/>
      <c r="Q929" s="15" t="n"/>
      <c r="R929" s="15" t="n"/>
      <c r="S929" s="15" t="n"/>
      <c r="T929" s="15" t="n"/>
      <c r="U929" s="15" t="n"/>
      <c r="V929" s="15" t="n"/>
      <c r="W929" s="15" t="n"/>
      <c r="X929" s="15" t="n"/>
      <c r="Y929" s="15" t="n"/>
      <c r="Z929" s="15" t="n"/>
      <c r="AA929" s="15" t="n"/>
      <c r="AB929" s="15" t="n"/>
      <c r="AC929" s="15" t="n"/>
      <c r="AD929" s="15" t="n"/>
      <c r="AE929" s="15" t="n"/>
      <c r="AF929" s="15" t="n"/>
      <c r="AG929" s="15" t="n"/>
      <c r="AH929" s="15" t="n"/>
      <c r="AI929" s="15" t="n"/>
    </row>
    <row r="930">
      <c r="A930" s="4" t="inlineStr">
        <is>
          <t>Студент3.8</t>
        </is>
      </c>
      <c r="B930" s="4" t="inlineStr"/>
      <c r="C930" s="4" t="n"/>
      <c r="D930" s="4" t="n"/>
      <c r="E930" s="4" t="n"/>
      <c r="F930" s="15" t="n"/>
      <c r="G930" s="15" t="n"/>
      <c r="H930" s="15" t="n"/>
      <c r="I930" s="15" t="n"/>
      <c r="J930" s="15" t="n"/>
      <c r="K930" s="15" t="n"/>
      <c r="L930" s="15" t="n"/>
      <c r="M930" s="15" t="n"/>
      <c r="N930" s="15" t="n"/>
      <c r="O930" s="15" t="n"/>
      <c r="P930" s="15" t="n"/>
      <c r="Q930" s="15" t="n"/>
      <c r="R930" s="15" t="n"/>
      <c r="S930" s="15" t="n"/>
      <c r="T930" s="15" t="n"/>
      <c r="U930" s="15" t="n"/>
      <c r="V930" s="15" t="n"/>
      <c r="W930" s="15" t="n"/>
      <c r="X930" s="15" t="n"/>
      <c r="Y930" s="15" t="n"/>
      <c r="Z930" s="15" t="n"/>
      <c r="AA930" s="15" t="n"/>
      <c r="AB930" s="15" t="n"/>
      <c r="AC930" s="15" t="n"/>
      <c r="AD930" s="15" t="n"/>
      <c r="AE930" s="15" t="n"/>
      <c r="AF930" s="15" t="n"/>
      <c r="AG930" s="15" t="n"/>
      <c r="AH930" s="15" t="n"/>
      <c r="AI930" s="15" t="n"/>
    </row>
    <row r="931">
      <c r="A931" s="4" t="inlineStr">
        <is>
          <t>Студент3.9</t>
        </is>
      </c>
      <c r="B931" s="4" t="inlineStr"/>
      <c r="C931" s="4" t="n"/>
      <c r="D931" s="4" t="n"/>
      <c r="E931" s="4" t="n"/>
      <c r="F931" s="15" t="n"/>
      <c r="G931" s="15" t="n"/>
      <c r="H931" s="15" t="n"/>
      <c r="I931" s="15" t="n"/>
      <c r="J931" s="15" t="n"/>
      <c r="K931" s="15" t="n"/>
      <c r="L931" s="15" t="n"/>
      <c r="M931" s="15" t="n"/>
      <c r="N931" s="15" t="n"/>
      <c r="O931" s="15" t="n"/>
      <c r="P931" s="15" t="n"/>
      <c r="Q931" s="15" t="n"/>
      <c r="R931" s="15" t="n"/>
      <c r="S931" s="15" t="n"/>
      <c r="T931" s="15" t="n"/>
      <c r="U931" s="15" t="n"/>
      <c r="V931" s="15" t="n"/>
      <c r="W931" s="15" t="n"/>
      <c r="X931" s="15" t="n"/>
      <c r="Y931" s="15" t="n"/>
      <c r="Z931" s="15" t="n"/>
      <c r="AA931" s="15" t="n"/>
      <c r="AB931" s="15" t="n"/>
      <c r="AC931" s="15" t="n"/>
      <c r="AD931" s="15" t="n"/>
      <c r="AE931" s="15" t="n"/>
      <c r="AF931" s="15" t="n"/>
      <c r="AG931" s="15" t="n"/>
      <c r="AH931" s="15" t="n"/>
      <c r="AI931" s="15" t="n"/>
    </row>
    <row r="932">
      <c r="A932" s="4" t="inlineStr">
        <is>
          <t>Студент3.10</t>
        </is>
      </c>
      <c r="B932" s="4" t="inlineStr"/>
      <c r="C932" s="4" t="n"/>
      <c r="D932" s="4" t="n"/>
      <c r="E932" s="4" t="n"/>
      <c r="F932" s="15" t="n"/>
      <c r="G932" s="15" t="n"/>
      <c r="H932" s="15" t="n"/>
      <c r="I932" s="15" t="n"/>
      <c r="J932" s="15" t="n"/>
      <c r="K932" s="15" t="n"/>
      <c r="L932" s="15" t="n"/>
      <c r="M932" s="15" t="n"/>
      <c r="N932" s="15" t="n"/>
      <c r="O932" s="15" t="n"/>
      <c r="P932" s="15" t="n"/>
      <c r="Q932" s="15" t="n"/>
      <c r="R932" s="15" t="n"/>
      <c r="S932" s="15" t="n"/>
      <c r="T932" s="15" t="n"/>
      <c r="U932" s="15" t="n"/>
      <c r="V932" s="15" t="n"/>
      <c r="W932" s="15" t="n"/>
      <c r="X932" s="15" t="n"/>
      <c r="Y932" s="15" t="n"/>
      <c r="Z932" s="15" t="n"/>
      <c r="AA932" s="15" t="n"/>
      <c r="AB932" s="15" t="n"/>
      <c r="AC932" s="15" t="n"/>
      <c r="AD932" s="15" t="n"/>
      <c r="AE932" s="15" t="n"/>
      <c r="AF932" s="15" t="n"/>
      <c r="AG932" s="15" t="n"/>
      <c r="AH932" s="15" t="n"/>
      <c r="AI932" s="15" t="n"/>
    </row>
    <row r="933">
      <c r="A933" s="4" t="inlineStr">
        <is>
          <t>Студент3.11</t>
        </is>
      </c>
      <c r="B933" s="4" t="inlineStr"/>
      <c r="C933" s="4" t="n"/>
      <c r="D933" s="4" t="n"/>
      <c r="E933" s="4" t="n"/>
      <c r="F933" s="15" t="n"/>
      <c r="G933" s="15" t="n"/>
      <c r="H933" s="15" t="n"/>
      <c r="I933" s="15" t="n"/>
      <c r="J933" s="15" t="n"/>
      <c r="K933" s="15" t="n"/>
      <c r="L933" s="15" t="n"/>
      <c r="M933" s="15" t="n"/>
      <c r="N933" s="15" t="n"/>
      <c r="O933" s="15" t="n"/>
      <c r="P933" s="15" t="n"/>
      <c r="Q933" s="15" t="n"/>
      <c r="R933" s="15" t="n"/>
      <c r="S933" s="15" t="n"/>
      <c r="T933" s="15" t="n"/>
      <c r="U933" s="15" t="n"/>
      <c r="V933" s="15" t="n"/>
      <c r="W933" s="15" t="n"/>
      <c r="X933" s="15" t="n"/>
      <c r="Y933" s="15" t="n"/>
      <c r="Z933" s="15" t="n"/>
      <c r="AA933" s="15" t="n"/>
      <c r="AB933" s="15" t="n"/>
      <c r="AC933" s="15" t="n"/>
      <c r="AD933" s="15" t="n"/>
      <c r="AE933" s="15" t="n"/>
      <c r="AF933" s="15" t="n"/>
      <c r="AG933" s="15" t="n"/>
      <c r="AH933" s="15" t="n"/>
      <c r="AI933" s="15" t="n"/>
    </row>
    <row r="934">
      <c r="A934" s="4" t="inlineStr">
        <is>
          <t>Студент3.12</t>
        </is>
      </c>
      <c r="B934" s="4" t="inlineStr"/>
      <c r="C934" s="4" t="n"/>
      <c r="D934" s="4" t="n"/>
      <c r="E934" s="4" t="n"/>
      <c r="F934" s="15" t="n"/>
      <c r="G934" s="15" t="n"/>
      <c r="H934" s="15" t="n"/>
      <c r="I934" s="15" t="n"/>
      <c r="J934" s="15" t="n"/>
      <c r="K934" s="15" t="n"/>
      <c r="L934" s="15" t="n"/>
      <c r="M934" s="15" t="n"/>
      <c r="N934" s="15" t="n"/>
      <c r="O934" s="15" t="n"/>
      <c r="P934" s="15" t="n"/>
      <c r="Q934" s="15" t="n"/>
      <c r="R934" s="15" t="n"/>
      <c r="S934" s="15" t="n"/>
      <c r="T934" s="15" t="n"/>
      <c r="U934" s="15" t="n"/>
      <c r="V934" s="15" t="n"/>
      <c r="W934" s="15" t="n"/>
      <c r="X934" s="15" t="n"/>
      <c r="Y934" s="15" t="n"/>
      <c r="Z934" s="15" t="n"/>
      <c r="AA934" s="15" t="n"/>
      <c r="AB934" s="15" t="n"/>
      <c r="AC934" s="15" t="n"/>
      <c r="AD934" s="15" t="n"/>
      <c r="AE934" s="15" t="n"/>
      <c r="AF934" s="15" t="n"/>
      <c r="AG934" s="15" t="n"/>
      <c r="AH934" s="15" t="n"/>
      <c r="AI934" s="15" t="n"/>
    </row>
    <row r="935">
      <c r="A935" s="4" t="inlineStr">
        <is>
          <t>Студент3.13</t>
        </is>
      </c>
      <c r="B935" s="4" t="inlineStr"/>
      <c r="C935" s="4" t="n"/>
      <c r="D935" s="4" t="n"/>
      <c r="E935" s="4" t="n"/>
      <c r="F935" s="15" t="n"/>
      <c r="G935" s="15" t="n"/>
      <c r="H935" s="15" t="n"/>
      <c r="I935" s="15" t="n"/>
      <c r="J935" s="15" t="n"/>
      <c r="K935" s="15" t="n"/>
      <c r="L935" s="15" t="n"/>
      <c r="M935" s="15" t="n"/>
      <c r="N935" s="15" t="n"/>
      <c r="O935" s="15" t="n"/>
      <c r="P935" s="15" t="n"/>
      <c r="Q935" s="15" t="n"/>
      <c r="R935" s="15" t="n"/>
      <c r="S935" s="15" t="n"/>
      <c r="T935" s="15" t="n"/>
      <c r="U935" s="15" t="n"/>
      <c r="V935" s="15" t="n"/>
      <c r="W935" s="15" t="n"/>
      <c r="X935" s="15" t="n"/>
      <c r="Y935" s="15" t="n"/>
      <c r="Z935" s="15" t="n"/>
      <c r="AA935" s="15" t="n"/>
      <c r="AB935" s="15" t="n"/>
      <c r="AC935" s="15" t="n"/>
      <c r="AD935" s="15" t="n"/>
      <c r="AE935" s="15" t="n"/>
      <c r="AF935" s="15" t="n"/>
      <c r="AG935" s="15" t="n"/>
      <c r="AH935" s="15" t="n"/>
      <c r="AI935" s="15" t="n"/>
    </row>
    <row r="936">
      <c r="A936" s="4" t="inlineStr">
        <is>
          <t>Студент3.14</t>
        </is>
      </c>
      <c r="B936" s="4" t="inlineStr"/>
      <c r="C936" s="4" t="n"/>
      <c r="D936" s="4" t="n"/>
      <c r="E936" s="4" t="n"/>
      <c r="F936" s="15" t="n"/>
      <c r="G936" s="15" t="n"/>
      <c r="H936" s="15" t="n"/>
      <c r="I936" s="15" t="n"/>
      <c r="J936" s="15" t="n"/>
      <c r="K936" s="15" t="n"/>
      <c r="L936" s="15" t="n"/>
      <c r="M936" s="15" t="n"/>
      <c r="N936" s="15" t="n"/>
      <c r="O936" s="15" t="n"/>
      <c r="P936" s="15" t="n"/>
      <c r="Q936" s="15" t="n"/>
      <c r="R936" s="15" t="n"/>
      <c r="S936" s="15" t="n"/>
      <c r="T936" s="15" t="n"/>
      <c r="U936" s="15" t="n"/>
      <c r="V936" s="15" t="n"/>
      <c r="W936" s="15" t="n"/>
      <c r="X936" s="15" t="n"/>
      <c r="Y936" s="15" t="n"/>
      <c r="Z936" s="15" t="n"/>
      <c r="AA936" s="15" t="n"/>
      <c r="AB936" s="15" t="n"/>
      <c r="AC936" s="15" t="n"/>
      <c r="AD936" s="15" t="n"/>
      <c r="AE936" s="15" t="n"/>
      <c r="AF936" s="15" t="n"/>
      <c r="AG936" s="15" t="n"/>
      <c r="AH936" s="15" t="n"/>
      <c r="AI936" s="15" t="n"/>
    </row>
    <row r="937">
      <c r="A937" s="4" t="inlineStr">
        <is>
          <t>Студент3.15</t>
        </is>
      </c>
      <c r="B937" s="4" t="inlineStr"/>
      <c r="C937" s="4" t="n"/>
      <c r="D937" s="4" t="n"/>
      <c r="E937" s="4" t="n"/>
      <c r="F937" s="15" t="n"/>
      <c r="G937" s="15" t="n"/>
      <c r="H937" s="15" t="n"/>
      <c r="I937" s="15" t="n"/>
      <c r="J937" s="15" t="n"/>
      <c r="K937" s="15" t="n"/>
      <c r="L937" s="15" t="n"/>
      <c r="M937" s="15" t="n"/>
      <c r="N937" s="15" t="n"/>
      <c r="O937" s="15" t="n"/>
      <c r="P937" s="15" t="n"/>
      <c r="Q937" s="15" t="n"/>
      <c r="R937" s="15" t="n"/>
      <c r="S937" s="15" t="n"/>
      <c r="T937" s="15" t="n"/>
      <c r="U937" s="15" t="n"/>
      <c r="V937" s="15" t="n"/>
      <c r="W937" s="15" t="n"/>
      <c r="X937" s="15" t="n"/>
      <c r="Y937" s="15" t="n"/>
      <c r="Z937" s="15" t="n"/>
      <c r="AA937" s="15" t="n"/>
      <c r="AB937" s="15" t="n"/>
      <c r="AC937" s="15" t="n"/>
      <c r="AD937" s="15" t="n"/>
      <c r="AE937" s="15" t="n"/>
      <c r="AF937" s="15" t="n"/>
      <c r="AG937" s="15" t="n"/>
      <c r="AH937" s="15" t="n"/>
      <c r="AI937" s="15" t="n"/>
    </row>
    <row r="938">
      <c r="A938" s="4" t="inlineStr">
        <is>
          <t>Студент3.16</t>
        </is>
      </c>
      <c r="B938" s="4" t="inlineStr"/>
      <c r="C938" s="4" t="n"/>
      <c r="D938" s="4" t="n"/>
      <c r="E938" s="4" t="n"/>
      <c r="F938" s="15" t="n"/>
      <c r="G938" s="15" t="n"/>
      <c r="H938" s="15" t="n"/>
      <c r="I938" s="15" t="n"/>
      <c r="J938" s="15" t="n"/>
      <c r="K938" s="15" t="n"/>
      <c r="L938" s="15" t="n"/>
      <c r="M938" s="15" t="n"/>
      <c r="N938" s="15" t="n"/>
      <c r="O938" s="15" t="n"/>
      <c r="P938" s="15" t="n"/>
      <c r="Q938" s="15" t="n"/>
      <c r="R938" s="15" t="n"/>
      <c r="S938" s="15" t="n"/>
      <c r="T938" s="15" t="n"/>
      <c r="U938" s="15" t="n"/>
      <c r="V938" s="15" t="n"/>
      <c r="W938" s="15" t="n"/>
      <c r="X938" s="15" t="n"/>
      <c r="Y938" s="15" t="n"/>
      <c r="Z938" s="15" t="n"/>
      <c r="AA938" s="15" t="n"/>
      <c r="AB938" s="15" t="n"/>
      <c r="AC938" s="15" t="n"/>
      <c r="AD938" s="15" t="n"/>
      <c r="AE938" s="15" t="n"/>
      <c r="AF938" s="15" t="n"/>
      <c r="AG938" s="15" t="n"/>
      <c r="AH938" s="15" t="n"/>
      <c r="AI938" s="15" t="n"/>
    </row>
    <row r="939">
      <c r="A939" s="4" t="inlineStr">
        <is>
          <t>Студент3.17</t>
        </is>
      </c>
      <c r="B939" s="4" t="inlineStr"/>
      <c r="C939" s="4" t="n"/>
      <c r="D939" s="4" t="n"/>
      <c r="E939" s="4" t="n"/>
      <c r="F939" s="15" t="n"/>
      <c r="G939" s="15" t="n"/>
      <c r="H939" s="15" t="n"/>
      <c r="I939" s="15" t="n"/>
      <c r="J939" s="15" t="n"/>
      <c r="K939" s="15" t="n"/>
      <c r="L939" s="15" t="n"/>
      <c r="M939" s="15" t="n"/>
      <c r="N939" s="15" t="n"/>
      <c r="O939" s="15" t="n"/>
      <c r="P939" s="15" t="n"/>
      <c r="Q939" s="15" t="n"/>
      <c r="R939" s="15" t="n"/>
      <c r="S939" s="15" t="n"/>
      <c r="T939" s="15" t="n"/>
      <c r="U939" s="15" t="n"/>
      <c r="V939" s="15" t="n"/>
      <c r="W939" s="15" t="n"/>
      <c r="X939" s="15" t="n"/>
      <c r="Y939" s="15" t="n"/>
      <c r="Z939" s="15" t="n"/>
      <c r="AA939" s="15" t="n"/>
      <c r="AB939" s="15" t="n"/>
      <c r="AC939" s="15" t="n"/>
      <c r="AD939" s="15" t="n"/>
      <c r="AE939" s="15" t="n"/>
      <c r="AF939" s="15" t="n"/>
      <c r="AG939" s="15" t="n"/>
      <c r="AH939" s="15" t="n"/>
      <c r="AI939" s="15" t="n"/>
    </row>
    <row r="940">
      <c r="A940" s="4" t="inlineStr">
        <is>
          <t>Студент3.18</t>
        </is>
      </c>
      <c r="B940" s="4" t="inlineStr"/>
      <c r="C940" s="4" t="n"/>
      <c r="D940" s="4" t="n"/>
      <c r="E940" s="4" t="n"/>
      <c r="F940" s="15" t="n"/>
      <c r="G940" s="15" t="n"/>
      <c r="H940" s="15" t="n"/>
      <c r="I940" s="15" t="n"/>
      <c r="J940" s="15" t="n"/>
      <c r="K940" s="15" t="n"/>
      <c r="L940" s="15" t="n"/>
      <c r="M940" s="15" t="n"/>
      <c r="N940" s="15" t="n"/>
      <c r="O940" s="15" t="n"/>
      <c r="P940" s="15" t="n"/>
      <c r="Q940" s="15" t="n"/>
      <c r="R940" s="15" t="n"/>
      <c r="S940" s="15" t="n"/>
      <c r="T940" s="15" t="n"/>
      <c r="U940" s="15" t="n"/>
      <c r="V940" s="15" t="n"/>
      <c r="W940" s="15" t="n"/>
      <c r="X940" s="15" t="n"/>
      <c r="Y940" s="15" t="n"/>
      <c r="Z940" s="15" t="n"/>
      <c r="AA940" s="15" t="n"/>
      <c r="AB940" s="15" t="n"/>
      <c r="AC940" s="15" t="n"/>
      <c r="AD940" s="15" t="n"/>
      <c r="AE940" s="15" t="n"/>
      <c r="AF940" s="15" t="n"/>
      <c r="AG940" s="15" t="n"/>
      <c r="AH940" s="15" t="n"/>
      <c r="AI940" s="15" t="n"/>
    </row>
    <row r="941">
      <c r="A941" s="4" t="inlineStr">
        <is>
          <t>Студент3.19</t>
        </is>
      </c>
      <c r="B941" s="4" t="inlineStr"/>
      <c r="C941" s="4" t="n"/>
      <c r="D941" s="4" t="n"/>
      <c r="E941" s="4" t="n"/>
      <c r="F941" s="15" t="n"/>
      <c r="G941" s="15" t="n"/>
      <c r="H941" s="15" t="n"/>
      <c r="I941" s="15" t="n"/>
      <c r="J941" s="15" t="n"/>
      <c r="K941" s="15" t="n"/>
      <c r="L941" s="15" t="n"/>
      <c r="M941" s="15" t="n"/>
      <c r="N941" s="15" t="n"/>
      <c r="O941" s="15" t="n"/>
      <c r="P941" s="15" t="n"/>
      <c r="Q941" s="15" t="n"/>
      <c r="R941" s="15" t="n"/>
      <c r="S941" s="15" t="n"/>
      <c r="T941" s="15" t="n"/>
      <c r="U941" s="15" t="n"/>
      <c r="V941" s="15" t="n"/>
      <c r="W941" s="15" t="n"/>
      <c r="X941" s="15" t="n"/>
      <c r="Y941" s="15" t="n"/>
      <c r="Z941" s="15" t="n"/>
      <c r="AA941" s="15" t="n"/>
      <c r="AB941" s="15" t="n"/>
      <c r="AC941" s="15" t="n"/>
      <c r="AD941" s="15" t="n"/>
      <c r="AE941" s="15" t="n"/>
      <c r="AF941" s="15" t="n"/>
      <c r="AG941" s="15" t="n"/>
      <c r="AH941" s="15" t="n"/>
      <c r="AI941" s="15" t="n"/>
    </row>
    <row r="942">
      <c r="A942" s="4" t="inlineStr">
        <is>
          <t>Студент3.20</t>
        </is>
      </c>
      <c r="B942" s="4" t="inlineStr"/>
      <c r="C942" s="4" t="n"/>
      <c r="D942" s="4" t="n"/>
      <c r="E942" s="4" t="n"/>
      <c r="F942" s="15" t="n"/>
      <c r="G942" s="15" t="n"/>
      <c r="H942" s="15" t="n"/>
      <c r="I942" s="15" t="n"/>
      <c r="J942" s="15" t="n"/>
      <c r="K942" s="15" t="n"/>
      <c r="L942" s="15" t="n"/>
      <c r="M942" s="15" t="n"/>
      <c r="N942" s="15" t="n"/>
      <c r="O942" s="15" t="n"/>
      <c r="P942" s="15" t="n"/>
      <c r="Q942" s="15" t="n"/>
      <c r="R942" s="15" t="n"/>
      <c r="S942" s="15" t="n"/>
      <c r="T942" s="15" t="n"/>
      <c r="U942" s="15" t="n"/>
      <c r="V942" s="15" t="n"/>
      <c r="W942" s="15" t="n"/>
      <c r="X942" s="15" t="n"/>
      <c r="Y942" s="15" t="n"/>
      <c r="Z942" s="15" t="n"/>
      <c r="AA942" s="15" t="n"/>
      <c r="AB942" s="15" t="n"/>
      <c r="AC942" s="15" t="n"/>
      <c r="AD942" s="15" t="n"/>
      <c r="AE942" s="15" t="n"/>
      <c r="AF942" s="15" t="n"/>
      <c r="AG942" s="15" t="n"/>
      <c r="AH942" s="15" t="n"/>
      <c r="AI942" s="15" t="n"/>
    </row>
    <row r="943">
      <c r="A943" s="4" t="inlineStr">
        <is>
          <t>Студент3.21</t>
        </is>
      </c>
      <c r="B943" s="4" t="inlineStr"/>
      <c r="C943" s="4" t="n"/>
      <c r="D943" s="4" t="n"/>
      <c r="E943" s="4" t="n"/>
      <c r="F943" s="15" t="n"/>
      <c r="G943" s="15" t="n"/>
      <c r="H943" s="15" t="n"/>
      <c r="I943" s="15" t="n"/>
      <c r="J943" s="15" t="n"/>
      <c r="K943" s="15" t="n"/>
      <c r="L943" s="15" t="n"/>
      <c r="M943" s="15" t="n"/>
      <c r="N943" s="15" t="n"/>
      <c r="O943" s="15" t="n"/>
      <c r="P943" s="15" t="n"/>
      <c r="Q943" s="15" t="n"/>
      <c r="R943" s="15" t="n"/>
      <c r="S943" s="15" t="n"/>
      <c r="T943" s="15" t="n"/>
      <c r="U943" s="15" t="n"/>
      <c r="V943" s="15" t="n"/>
      <c r="W943" s="15" t="n"/>
      <c r="X943" s="15" t="n"/>
      <c r="Y943" s="15" t="n"/>
      <c r="Z943" s="15" t="n"/>
      <c r="AA943" s="15" t="n"/>
      <c r="AB943" s="15" t="n"/>
      <c r="AC943" s="15" t="n"/>
      <c r="AD943" s="15" t="n"/>
      <c r="AE943" s="15" t="n"/>
      <c r="AF943" s="15" t="n"/>
      <c r="AG943" s="15" t="n"/>
      <c r="AH943" s="15" t="n"/>
      <c r="AI943" s="15" t="n"/>
    </row>
    <row r="944">
      <c r="A944" s="4" t="inlineStr">
        <is>
          <t>Студент3.22</t>
        </is>
      </c>
      <c r="B944" s="4" t="inlineStr"/>
      <c r="C944" s="4" t="n"/>
      <c r="D944" s="4" t="n"/>
      <c r="E944" s="4" t="n"/>
      <c r="F944" s="15" t="n"/>
      <c r="G944" s="15" t="n"/>
      <c r="H944" s="15" t="n"/>
      <c r="I944" s="15" t="n"/>
      <c r="J944" s="15" t="n"/>
      <c r="K944" s="15" t="n"/>
      <c r="L944" s="15" t="n"/>
      <c r="M944" s="15" t="n"/>
      <c r="N944" s="15" t="n"/>
      <c r="O944" s="15" t="n"/>
      <c r="P944" s="15" t="n"/>
      <c r="Q944" s="15" t="n"/>
      <c r="R944" s="15" t="n"/>
      <c r="S944" s="15" t="n"/>
      <c r="T944" s="15" t="n"/>
      <c r="U944" s="15" t="n"/>
      <c r="V944" s="15" t="n"/>
      <c r="W944" s="15" t="n"/>
      <c r="X944" s="15" t="n"/>
      <c r="Y944" s="15" t="n"/>
      <c r="Z944" s="15" t="n"/>
      <c r="AA944" s="15" t="n"/>
      <c r="AB944" s="15" t="n"/>
      <c r="AC944" s="15" t="n"/>
      <c r="AD944" s="15" t="n"/>
      <c r="AE944" s="15" t="n"/>
      <c r="AF944" s="15" t="n"/>
      <c r="AG944" s="15" t="n"/>
      <c r="AH944" s="15" t="n"/>
      <c r="AI944" s="15" t="n"/>
    </row>
    <row r="945">
      <c r="A945" s="4" t="inlineStr">
        <is>
          <t>Студент3.23</t>
        </is>
      </c>
      <c r="B945" s="4" t="inlineStr"/>
      <c r="C945" s="4" t="n"/>
      <c r="D945" s="4" t="n"/>
      <c r="E945" s="4" t="n"/>
      <c r="F945" s="15" t="n"/>
      <c r="G945" s="15" t="n"/>
      <c r="H945" s="15" t="n"/>
      <c r="I945" s="15" t="n"/>
      <c r="J945" s="15" t="n"/>
      <c r="K945" s="15" t="n"/>
      <c r="L945" s="15" t="n"/>
      <c r="M945" s="15" t="n"/>
      <c r="N945" s="15" t="n"/>
      <c r="O945" s="15" t="n"/>
      <c r="P945" s="15" t="n"/>
      <c r="Q945" s="15" t="n"/>
      <c r="R945" s="15" t="n"/>
      <c r="S945" s="15" t="n"/>
      <c r="T945" s="15" t="n"/>
      <c r="U945" s="15" t="n"/>
      <c r="V945" s="15" t="n"/>
      <c r="W945" s="15" t="n"/>
      <c r="X945" s="15" t="n"/>
      <c r="Y945" s="15" t="n"/>
      <c r="Z945" s="15" t="n"/>
      <c r="AA945" s="15" t="n"/>
      <c r="AB945" s="15" t="n"/>
      <c r="AC945" s="15" t="n"/>
      <c r="AD945" s="15" t="n"/>
      <c r="AE945" s="15" t="n"/>
      <c r="AF945" s="15" t="n"/>
      <c r="AG945" s="15" t="n"/>
      <c r="AH945" s="15" t="n"/>
      <c r="AI945" s="15" t="n"/>
    </row>
    <row r="946">
      <c r="A946" s="4" t="inlineStr">
        <is>
          <t>Студент3.24</t>
        </is>
      </c>
      <c r="B946" s="4" t="inlineStr"/>
      <c r="C946" s="4" t="n"/>
      <c r="D946" s="4" t="n"/>
      <c r="E946" s="4" t="n"/>
      <c r="F946" s="15" t="n"/>
      <c r="G946" s="15" t="n"/>
      <c r="H946" s="15" t="n"/>
      <c r="I946" s="15" t="n"/>
      <c r="J946" s="15" t="n"/>
      <c r="K946" s="15" t="n"/>
      <c r="L946" s="15" t="n"/>
      <c r="M946" s="15" t="n"/>
      <c r="N946" s="15" t="n"/>
      <c r="O946" s="15" t="n"/>
      <c r="P946" s="15" t="n"/>
      <c r="Q946" s="15" t="n"/>
      <c r="R946" s="15" t="n"/>
      <c r="S946" s="15" t="n"/>
      <c r="T946" s="15" t="n"/>
      <c r="U946" s="15" t="n"/>
      <c r="V946" s="15" t="n"/>
      <c r="W946" s="15" t="n"/>
      <c r="X946" s="15" t="n"/>
      <c r="Y946" s="15" t="n"/>
      <c r="Z946" s="15" t="n"/>
      <c r="AA946" s="15" t="n"/>
      <c r="AB946" s="15" t="n"/>
      <c r="AC946" s="15" t="n"/>
      <c r="AD946" s="15" t="n"/>
      <c r="AE946" s="15" t="n"/>
      <c r="AF946" s="15" t="n"/>
      <c r="AG946" s="15" t="n"/>
      <c r="AH946" s="15" t="n"/>
      <c r="AI946" s="15" t="n"/>
    </row>
    <row r="947">
      <c r="A947" s="4" t="inlineStr">
        <is>
          <t>Студент3.25</t>
        </is>
      </c>
      <c r="B947" s="4" t="inlineStr"/>
      <c r="C947" s="4" t="n"/>
      <c r="D947" s="4" t="n"/>
      <c r="E947" s="4" t="n"/>
      <c r="F947" s="15" t="n"/>
      <c r="G947" s="15" t="n"/>
      <c r="H947" s="15" t="n"/>
      <c r="I947" s="15" t="n"/>
      <c r="J947" s="15" t="n"/>
      <c r="K947" s="15" t="n"/>
      <c r="L947" s="15" t="n"/>
      <c r="M947" s="15" t="n"/>
      <c r="N947" s="15" t="n"/>
      <c r="O947" s="15" t="n"/>
      <c r="P947" s="15" t="n"/>
      <c r="Q947" s="15" t="n"/>
      <c r="R947" s="15" t="n"/>
      <c r="S947" s="15" t="n"/>
      <c r="T947" s="15" t="n"/>
      <c r="U947" s="15" t="n"/>
      <c r="V947" s="15" t="n"/>
      <c r="W947" s="15" t="n"/>
      <c r="X947" s="15" t="n"/>
      <c r="Y947" s="15" t="n"/>
      <c r="Z947" s="15" t="n"/>
      <c r="AA947" s="15" t="n"/>
      <c r="AB947" s="15" t="n"/>
      <c r="AC947" s="15" t="n"/>
      <c r="AD947" s="15" t="n"/>
      <c r="AE947" s="15" t="n"/>
      <c r="AF947" s="15" t="n"/>
      <c r="AG947" s="15" t="n"/>
      <c r="AH947" s="15" t="n"/>
      <c r="AI947" s="15" t="n"/>
    </row>
    <row r="948">
      <c r="A948" s="4" t="inlineStr">
        <is>
          <t>Студент3.26</t>
        </is>
      </c>
      <c r="B948" s="4" t="inlineStr"/>
      <c r="C948" s="4" t="n"/>
      <c r="D948" s="4" t="n"/>
      <c r="E948" s="4" t="n"/>
      <c r="F948" s="15" t="n"/>
      <c r="G948" s="15" t="n"/>
      <c r="H948" s="15" t="n"/>
      <c r="I948" s="15" t="n"/>
      <c r="J948" s="15" t="n"/>
      <c r="K948" s="15" t="n"/>
      <c r="L948" s="15" t="n"/>
      <c r="M948" s="15" t="n"/>
      <c r="N948" s="15" t="n"/>
      <c r="O948" s="15" t="n"/>
      <c r="P948" s="15" t="n"/>
      <c r="Q948" s="15" t="n"/>
      <c r="R948" s="15" t="n"/>
      <c r="S948" s="15" t="n"/>
      <c r="T948" s="15" t="n"/>
      <c r="U948" s="15" t="n"/>
      <c r="V948" s="15" t="n"/>
      <c r="W948" s="15" t="n"/>
      <c r="X948" s="15" t="n"/>
      <c r="Y948" s="15" t="n"/>
      <c r="Z948" s="15" t="n"/>
      <c r="AA948" s="15" t="n"/>
      <c r="AB948" s="15" t="n"/>
      <c r="AC948" s="15" t="n"/>
      <c r="AD948" s="15" t="n"/>
      <c r="AE948" s="15" t="n"/>
      <c r="AF948" s="15" t="n"/>
      <c r="AG948" s="15" t="n"/>
      <c r="AH948" s="15" t="n"/>
      <c r="AI948" s="15" t="n"/>
    </row>
    <row r="949">
      <c r="A949" s="4" t="inlineStr">
        <is>
          <t>Студент3.27</t>
        </is>
      </c>
      <c r="B949" s="4" t="inlineStr"/>
      <c r="C949" s="4" t="n"/>
      <c r="D949" s="4" t="n"/>
      <c r="E949" s="4" t="n"/>
      <c r="F949" s="15" t="n"/>
      <c r="G949" s="15" t="n"/>
      <c r="H949" s="15" t="n"/>
      <c r="I949" s="15" t="n"/>
      <c r="J949" s="15" t="n"/>
      <c r="K949" s="15" t="n"/>
      <c r="L949" s="15" t="n"/>
      <c r="M949" s="15" t="n"/>
      <c r="N949" s="15" t="n"/>
      <c r="O949" s="15" t="n"/>
      <c r="P949" s="15" t="n"/>
      <c r="Q949" s="15" t="n"/>
      <c r="R949" s="15" t="n"/>
      <c r="S949" s="15" t="n"/>
      <c r="T949" s="15" t="n"/>
      <c r="U949" s="15" t="n"/>
      <c r="V949" s="15" t="n"/>
      <c r="W949" s="15" t="n"/>
      <c r="X949" s="15" t="n"/>
      <c r="Y949" s="15" t="n"/>
      <c r="Z949" s="15" t="n"/>
      <c r="AA949" s="15" t="n"/>
      <c r="AB949" s="15" t="n"/>
      <c r="AC949" s="15" t="n"/>
      <c r="AD949" s="15" t="n"/>
      <c r="AE949" s="15" t="n"/>
      <c r="AF949" s="15" t="n"/>
      <c r="AG949" s="15" t="n"/>
      <c r="AH949" s="15" t="n"/>
      <c r="AI949" s="15" t="n"/>
    </row>
    <row r="950">
      <c r="A950" s="4" t="inlineStr">
        <is>
          <t>Студент3.28</t>
        </is>
      </c>
      <c r="B950" s="4" t="inlineStr"/>
      <c r="C950" s="4" t="n"/>
      <c r="D950" s="4" t="n"/>
      <c r="E950" s="4" t="n"/>
      <c r="F950" s="15" t="n"/>
      <c r="G950" s="15" t="n"/>
      <c r="H950" s="15" t="n"/>
      <c r="I950" s="15" t="n"/>
      <c r="J950" s="15" t="n"/>
      <c r="K950" s="15" t="n"/>
      <c r="L950" s="15" t="n"/>
      <c r="M950" s="15" t="n"/>
      <c r="N950" s="15" t="n"/>
      <c r="O950" s="15" t="n"/>
      <c r="P950" s="15" t="n"/>
      <c r="Q950" s="15" t="n"/>
      <c r="R950" s="15" t="n"/>
      <c r="S950" s="15" t="n"/>
      <c r="T950" s="15" t="n"/>
      <c r="U950" s="15" t="n"/>
      <c r="V950" s="15" t="n"/>
      <c r="W950" s="15" t="n"/>
      <c r="X950" s="15" t="n"/>
      <c r="Y950" s="15" t="n"/>
      <c r="Z950" s="15" t="n"/>
      <c r="AA950" s="15" t="n"/>
      <c r="AB950" s="15" t="n"/>
      <c r="AC950" s="15" t="n"/>
      <c r="AD950" s="15" t="n"/>
      <c r="AE950" s="15" t="n"/>
      <c r="AF950" s="15" t="n"/>
      <c r="AG950" s="15" t="n"/>
      <c r="AH950" s="15" t="n"/>
      <c r="AI950" s="15" t="n"/>
    </row>
    <row r="951">
      <c r="A951" s="4" t="inlineStr">
        <is>
          <t>Студент3.29</t>
        </is>
      </c>
      <c r="B951" s="4" t="inlineStr"/>
      <c r="C951" s="4" t="n"/>
      <c r="D951" s="4" t="n"/>
      <c r="E951" s="4" t="n"/>
      <c r="F951" s="15" t="n"/>
      <c r="G951" s="15" t="n"/>
      <c r="H951" s="15" t="n"/>
      <c r="I951" s="15" t="n"/>
      <c r="J951" s="15" t="n"/>
      <c r="K951" s="15" t="n"/>
      <c r="L951" s="15" t="n"/>
      <c r="M951" s="15" t="n"/>
      <c r="N951" s="15" t="n"/>
      <c r="O951" s="15" t="n"/>
      <c r="P951" s="15" t="n"/>
      <c r="Q951" s="15" t="n"/>
      <c r="R951" s="15" t="n"/>
      <c r="S951" s="15" t="n"/>
      <c r="T951" s="15" t="n"/>
      <c r="U951" s="15" t="n"/>
      <c r="V951" s="15" t="n"/>
      <c r="W951" s="15" t="n"/>
      <c r="X951" s="15" t="n"/>
      <c r="Y951" s="15" t="n"/>
      <c r="Z951" s="15" t="n"/>
      <c r="AA951" s="15" t="n"/>
      <c r="AB951" s="15" t="n"/>
      <c r="AC951" s="15" t="n"/>
      <c r="AD951" s="15" t="n"/>
      <c r="AE951" s="15" t="n"/>
      <c r="AF951" s="15" t="n"/>
      <c r="AG951" s="15" t="n"/>
      <c r="AH951" s="15" t="n"/>
      <c r="AI951" s="15" t="n"/>
    </row>
    <row r="952">
      <c r="A952" s="4" t="inlineStr">
        <is>
          <t>Студент3.30</t>
        </is>
      </c>
      <c r="B952" s="4" t="inlineStr"/>
      <c r="C952" s="4" t="n"/>
      <c r="D952" s="4" t="n"/>
      <c r="E952" s="4" t="n"/>
      <c r="F952" s="15" t="n"/>
      <c r="G952" s="15" t="n"/>
      <c r="H952" s="15" t="n"/>
      <c r="I952" s="15" t="n"/>
      <c r="J952" s="15" t="n"/>
      <c r="K952" s="15" t="n"/>
      <c r="L952" s="15" t="n"/>
      <c r="M952" s="15" t="n"/>
      <c r="N952" s="15" t="n"/>
      <c r="O952" s="15" t="n"/>
      <c r="P952" s="15" t="n"/>
      <c r="Q952" s="15" t="n"/>
      <c r="R952" s="15" t="n"/>
      <c r="S952" s="15" t="n"/>
      <c r="T952" s="15" t="n"/>
      <c r="U952" s="15" t="n"/>
      <c r="V952" s="15" t="n"/>
      <c r="W952" s="15" t="n"/>
      <c r="X952" s="15" t="n"/>
      <c r="Y952" s="15" t="n"/>
      <c r="Z952" s="15" t="n"/>
      <c r="AA952" s="15" t="n"/>
      <c r="AB952" s="15" t="n"/>
      <c r="AC952" s="15" t="n"/>
      <c r="AD952" s="15" t="n"/>
      <c r="AE952" s="15" t="n"/>
      <c r="AF952" s="15" t="n"/>
      <c r="AG952" s="15" t="n"/>
      <c r="AH952" s="15" t="n"/>
      <c r="AI952" s="15" t="n"/>
    </row>
    <row r="956">
      <c r="A956" s="13" t="inlineStr">
        <is>
          <t>Практика 15 — плюсы</t>
        </is>
      </c>
    </row>
    <row r="957" ht="28" customHeight="1">
      <c r="A957" s="7" t="inlineStr">
        <is>
          <t>Имя</t>
        </is>
      </c>
      <c r="B957" s="9" t="inlineStr">
        <is>
          <t>TG</t>
        </is>
      </c>
      <c r="C957" s="10" t="inlineStr">
        <is>
          <t>S</t>
        </is>
      </c>
      <c r="D957" s="8" t="inlineStr">
        <is>
          <t>Коэффициент</t>
        </is>
      </c>
      <c r="E957" s="14" t="inlineStr">
        <is>
          <t>D за практику</t>
        </is>
      </c>
      <c r="F957" s="11" t="inlineStr">
        <is>
          <t>1.0</t>
        </is>
      </c>
      <c r="G957" s="11" t="inlineStr">
        <is>
          <t>2.0</t>
        </is>
      </c>
      <c r="H957" s="11" t="inlineStr">
        <is>
          <t>3.0</t>
        </is>
      </c>
      <c r="I957" s="11" t="inlineStr">
        <is>
          <t>4.0</t>
        </is>
      </c>
      <c r="J957" s="11" t="inlineStr">
        <is>
          <t>5.0</t>
        </is>
      </c>
      <c r="K957" s="11" t="inlineStr">
        <is>
          <t>6</t>
        </is>
      </c>
      <c r="L957" s="11" t="inlineStr">
        <is>
          <t>7</t>
        </is>
      </c>
      <c r="M957" s="11" t="inlineStr">
        <is>
          <t>8</t>
        </is>
      </c>
      <c r="N957" s="11" t="inlineStr">
        <is>
          <t>9</t>
        </is>
      </c>
      <c r="O957" s="11" t="inlineStr">
        <is>
          <t>10</t>
        </is>
      </c>
      <c r="P957" s="11" t="inlineStr">
        <is>
          <t>11</t>
        </is>
      </c>
      <c r="Q957" s="11" t="inlineStr">
        <is>
          <t>12</t>
        </is>
      </c>
      <c r="R957" s="11" t="inlineStr">
        <is>
          <t>13</t>
        </is>
      </c>
      <c r="S957" s="11" t="inlineStr">
        <is>
          <t>14</t>
        </is>
      </c>
      <c r="T957" s="11" t="inlineStr">
        <is>
          <t>15</t>
        </is>
      </c>
      <c r="U957" s="11" t="inlineStr">
        <is>
          <t>16</t>
        </is>
      </c>
      <c r="V957" s="11" t="inlineStr">
        <is>
          <t>17</t>
        </is>
      </c>
      <c r="W957" s="11" t="inlineStr">
        <is>
          <t>18</t>
        </is>
      </c>
      <c r="X957" s="11" t="inlineStr">
        <is>
          <t>19</t>
        </is>
      </c>
      <c r="Y957" s="11" t="inlineStr">
        <is>
          <t>20</t>
        </is>
      </c>
      <c r="Z957" s="11" t="inlineStr">
        <is>
          <t>21</t>
        </is>
      </c>
      <c r="AA957" s="11" t="inlineStr">
        <is>
          <t>22</t>
        </is>
      </c>
      <c r="AB957" s="11" t="inlineStr">
        <is>
          <t>23</t>
        </is>
      </c>
      <c r="AC957" s="11" t="inlineStr">
        <is>
          <t>24</t>
        </is>
      </c>
      <c r="AD957" s="11" t="inlineStr">
        <is>
          <t>25</t>
        </is>
      </c>
      <c r="AE957" s="11" t="inlineStr">
        <is>
          <t>26</t>
        </is>
      </c>
      <c r="AF957" s="11" t="inlineStr">
        <is>
          <t>27</t>
        </is>
      </c>
      <c r="AG957" s="11" t="inlineStr">
        <is>
          <t>28</t>
        </is>
      </c>
      <c r="AH957" s="11" t="inlineStr">
        <is>
          <t>29</t>
        </is>
      </c>
      <c r="AI957" s="11" t="inlineStr">
        <is>
          <t>30</t>
        </is>
      </c>
    </row>
    <row r="958">
      <c r="A958" s="4" t="inlineStr">
        <is>
          <t>Студент3.1</t>
        </is>
      </c>
      <c r="B958" s="4" t="inlineStr"/>
      <c r="C958" s="4">
        <f>IF(A958="","",COUNTIF(F958:AI958,"+")+COUNTIF(F958:AI958,"1"))</f>
        <v/>
      </c>
      <c r="D958" s="4">
        <f>IF(A958="","",IF(C958&gt;2*COUNTA(F$957:AI$957)/3,1,IF(C958&gt;=COUNTA(F$957:AI$957)/2,0.8,0.5)))</f>
        <v/>
      </c>
      <c r="E958" s="4">
        <f>IF(A958="","",SUMIFS('Логи'!$H$4:$H$3006,'Логи'!$A$4:$A$3006,A958,'Логи'!$C$4:$C$3006,15))</f>
        <v/>
      </c>
      <c r="F958" s="15" t="n"/>
      <c r="G958" s="15" t="n"/>
      <c r="H958" s="15" t="n"/>
      <c r="I958" s="15" t="n"/>
      <c r="J958" s="15" t="n"/>
      <c r="K958" s="15" t="n"/>
      <c r="L958" s="15" t="n"/>
      <c r="M958" s="15" t="n"/>
      <c r="N958" s="15" t="n"/>
      <c r="O958" s="15" t="n"/>
      <c r="P958" s="15" t="n"/>
      <c r="Q958" s="15" t="n"/>
      <c r="R958" s="15" t="n"/>
      <c r="S958" s="15" t="n"/>
      <c r="T958" s="15" t="n"/>
      <c r="U958" s="15" t="n"/>
      <c r="V958" s="15" t="n"/>
      <c r="W958" s="15" t="n"/>
      <c r="X958" s="15" t="n"/>
      <c r="Y958" s="15" t="n"/>
      <c r="Z958" s="15" t="n"/>
      <c r="AA958" s="15" t="n"/>
      <c r="AB958" s="15" t="n"/>
      <c r="AC958" s="15" t="n"/>
      <c r="AD958" s="15" t="n"/>
      <c r="AE958" s="15" t="n"/>
      <c r="AF958" s="15" t="n"/>
      <c r="AG958" s="15" t="n"/>
      <c r="AH958" s="15" t="n"/>
      <c r="AI958" s="15" t="n"/>
    </row>
    <row r="959">
      <c r="A959" s="4" t="inlineStr">
        <is>
          <t>Студент3.2</t>
        </is>
      </c>
      <c r="B959" s="4" t="inlineStr"/>
      <c r="C959" s="4">
        <f>IF(A959="","",COUNTIF(F959:AI959,"+")+COUNTIF(F959:AI959,"1"))</f>
        <v/>
      </c>
      <c r="D959" s="4">
        <f>IF(A959="","",IF(C959&gt;2*COUNTA(F$957:AI$957)/3,1,IF(C959&gt;=COUNTA(F$957:AI$957)/2,0.8,0.5)))</f>
        <v/>
      </c>
      <c r="E959" s="4">
        <f>IF(A959="","",SUMIFS('Логи'!$H$4:$H$3006,'Логи'!$A$4:$A$3006,A959,'Логи'!$C$4:$C$3006,15))</f>
        <v/>
      </c>
      <c r="F959" s="15" t="n"/>
      <c r="G959" s="15" t="n"/>
      <c r="H959" s="15" t="n"/>
      <c r="I959" s="15" t="n"/>
      <c r="J959" s="15" t="n"/>
      <c r="K959" s="15" t="n"/>
      <c r="L959" s="15" t="n"/>
      <c r="M959" s="15" t="n"/>
      <c r="N959" s="15" t="n"/>
      <c r="O959" s="15" t="n"/>
      <c r="P959" s="15" t="n"/>
      <c r="Q959" s="15" t="n"/>
      <c r="R959" s="15" t="n"/>
      <c r="S959" s="15" t="n"/>
      <c r="T959" s="15" t="n"/>
      <c r="U959" s="15" t="n"/>
      <c r="V959" s="15" t="n"/>
      <c r="W959" s="15" t="n"/>
      <c r="X959" s="15" t="n"/>
      <c r="Y959" s="15" t="n"/>
      <c r="Z959" s="15" t="n"/>
      <c r="AA959" s="15" t="n"/>
      <c r="AB959" s="15" t="n"/>
      <c r="AC959" s="15" t="n"/>
      <c r="AD959" s="15" t="n"/>
      <c r="AE959" s="15" t="n"/>
      <c r="AF959" s="15" t="n"/>
      <c r="AG959" s="15" t="n"/>
      <c r="AH959" s="15" t="n"/>
      <c r="AI959" s="15" t="n"/>
    </row>
    <row r="960">
      <c r="A960" s="4" t="inlineStr">
        <is>
          <t>Студент3.3</t>
        </is>
      </c>
      <c r="B960" s="4" t="inlineStr"/>
      <c r="C960" s="4">
        <f>IF(A960="","",COUNTIF(F960:AI960,"+")+COUNTIF(F960:AI960,"1"))</f>
        <v/>
      </c>
      <c r="D960" s="4">
        <f>IF(A960="","",IF(C960&gt;2*COUNTA(F$957:AI$957)/3,1,IF(C960&gt;=COUNTA(F$957:AI$957)/2,0.8,0.5)))</f>
        <v/>
      </c>
      <c r="E960" s="4">
        <f>IF(A960="","",SUMIFS('Логи'!$H$4:$H$3006,'Логи'!$A$4:$A$3006,A960,'Логи'!$C$4:$C$3006,15))</f>
        <v/>
      </c>
      <c r="F960" s="15" t="n"/>
      <c r="G960" s="15" t="n"/>
      <c r="H960" s="15" t="n"/>
      <c r="I960" s="15" t="n"/>
      <c r="J960" s="15" t="n"/>
      <c r="K960" s="15" t="n"/>
      <c r="L960" s="15" t="n"/>
      <c r="M960" s="15" t="n"/>
      <c r="N960" s="15" t="n"/>
      <c r="O960" s="15" t="n"/>
      <c r="P960" s="15" t="n"/>
      <c r="Q960" s="15" t="n"/>
      <c r="R960" s="15" t="n"/>
      <c r="S960" s="15" t="n"/>
      <c r="T960" s="15" t="n"/>
      <c r="U960" s="15" t="n"/>
      <c r="V960" s="15" t="n"/>
      <c r="W960" s="15" t="n"/>
      <c r="X960" s="15" t="n"/>
      <c r="Y960" s="15" t="n"/>
      <c r="Z960" s="15" t="n"/>
      <c r="AA960" s="15" t="n"/>
      <c r="AB960" s="15" t="n"/>
      <c r="AC960" s="15" t="n"/>
      <c r="AD960" s="15" t="n"/>
      <c r="AE960" s="15" t="n"/>
      <c r="AF960" s="15" t="n"/>
      <c r="AG960" s="15" t="n"/>
      <c r="AH960" s="15" t="n"/>
      <c r="AI960" s="15" t="n"/>
    </row>
    <row r="961">
      <c r="A961" s="4" t="inlineStr">
        <is>
          <t>Студент3.4</t>
        </is>
      </c>
      <c r="B961" s="4" t="inlineStr"/>
      <c r="C961" s="4">
        <f>IF(A961="","",COUNTIF(F961:AI961,"+")+COUNTIF(F961:AI961,"1"))</f>
        <v/>
      </c>
      <c r="D961" s="4">
        <f>IF(A961="","",IF(C961&gt;2*COUNTA(F$957:AI$957)/3,1,IF(C961&gt;=COUNTA(F$957:AI$957)/2,0.8,0.5)))</f>
        <v/>
      </c>
      <c r="E961" s="4">
        <f>IF(A961="","",SUMIFS('Логи'!$H$4:$H$3006,'Логи'!$A$4:$A$3006,A961,'Логи'!$C$4:$C$3006,15))</f>
        <v/>
      </c>
      <c r="F961" s="15" t="n"/>
      <c r="G961" s="15" t="n"/>
      <c r="H961" s="15" t="n"/>
      <c r="I961" s="15" t="n"/>
      <c r="J961" s="15" t="n"/>
      <c r="K961" s="15" t="n"/>
      <c r="L961" s="15" t="n"/>
      <c r="M961" s="15" t="n"/>
      <c r="N961" s="15" t="n"/>
      <c r="O961" s="15" t="n"/>
      <c r="P961" s="15" t="n"/>
      <c r="Q961" s="15" t="n"/>
      <c r="R961" s="15" t="n"/>
      <c r="S961" s="15" t="n"/>
      <c r="T961" s="15" t="n"/>
      <c r="U961" s="15" t="n"/>
      <c r="V961" s="15" t="n"/>
      <c r="W961" s="15" t="n"/>
      <c r="X961" s="15" t="n"/>
      <c r="Y961" s="15" t="n"/>
      <c r="Z961" s="15" t="n"/>
      <c r="AA961" s="15" t="n"/>
      <c r="AB961" s="15" t="n"/>
      <c r="AC961" s="15" t="n"/>
      <c r="AD961" s="15" t="n"/>
      <c r="AE961" s="15" t="n"/>
      <c r="AF961" s="15" t="n"/>
      <c r="AG961" s="15" t="n"/>
      <c r="AH961" s="15" t="n"/>
      <c r="AI961" s="15" t="n"/>
    </row>
    <row r="962">
      <c r="A962" s="4" t="inlineStr">
        <is>
          <t>Студент3.5</t>
        </is>
      </c>
      <c r="B962" s="4" t="inlineStr"/>
      <c r="C962" s="4">
        <f>IF(A962="","",COUNTIF(F962:AI962,"+")+COUNTIF(F962:AI962,"1"))</f>
        <v/>
      </c>
      <c r="D962" s="4">
        <f>IF(A962="","",IF(C962&gt;2*COUNTA(F$957:AI$957)/3,1,IF(C962&gt;=COUNTA(F$957:AI$957)/2,0.8,0.5)))</f>
        <v/>
      </c>
      <c r="E962" s="4">
        <f>IF(A962="","",SUMIFS('Логи'!$H$4:$H$3006,'Логи'!$A$4:$A$3006,A962,'Логи'!$C$4:$C$3006,15))</f>
        <v/>
      </c>
      <c r="F962" s="15" t="n"/>
      <c r="G962" s="15" t="n"/>
      <c r="H962" s="15" t="n"/>
      <c r="I962" s="15" t="n"/>
      <c r="J962" s="15" t="n"/>
      <c r="K962" s="15" t="n"/>
      <c r="L962" s="15" t="n"/>
      <c r="M962" s="15" t="n"/>
      <c r="N962" s="15" t="n"/>
      <c r="O962" s="15" t="n"/>
      <c r="P962" s="15" t="n"/>
      <c r="Q962" s="15" t="n"/>
      <c r="R962" s="15" t="n"/>
      <c r="S962" s="15" t="n"/>
      <c r="T962" s="15" t="n"/>
      <c r="U962" s="15" t="n"/>
      <c r="V962" s="15" t="n"/>
      <c r="W962" s="15" t="n"/>
      <c r="X962" s="15" t="n"/>
      <c r="Y962" s="15" t="n"/>
      <c r="Z962" s="15" t="n"/>
      <c r="AA962" s="15" t="n"/>
      <c r="AB962" s="15" t="n"/>
      <c r="AC962" s="15" t="n"/>
      <c r="AD962" s="15" t="n"/>
      <c r="AE962" s="15" t="n"/>
      <c r="AF962" s="15" t="n"/>
      <c r="AG962" s="15" t="n"/>
      <c r="AH962" s="15" t="n"/>
      <c r="AI962" s="15" t="n"/>
    </row>
    <row r="963">
      <c r="A963" s="4" t="inlineStr">
        <is>
          <t>Студент3.6</t>
        </is>
      </c>
      <c r="B963" s="4" t="inlineStr"/>
      <c r="C963" s="4">
        <f>IF(A963="","",COUNTIF(F963:AI963,"+")+COUNTIF(F963:AI963,"1"))</f>
        <v/>
      </c>
      <c r="D963" s="4">
        <f>IF(A963="","",IF(C963&gt;2*COUNTA(F$957:AI$957)/3,1,IF(C963&gt;=COUNTA(F$957:AI$957)/2,0.8,0.5)))</f>
        <v/>
      </c>
      <c r="E963" s="4">
        <f>IF(A963="","",SUMIFS('Логи'!$H$4:$H$3006,'Логи'!$A$4:$A$3006,A963,'Логи'!$C$4:$C$3006,15))</f>
        <v/>
      </c>
      <c r="F963" s="15" t="n"/>
      <c r="G963" s="15" t="n"/>
      <c r="H963" s="15" t="n"/>
      <c r="I963" s="15" t="n"/>
      <c r="J963" s="15" t="n"/>
      <c r="K963" s="15" t="n"/>
      <c r="L963" s="15" t="n"/>
      <c r="M963" s="15" t="n"/>
      <c r="N963" s="15" t="n"/>
      <c r="O963" s="15" t="n"/>
      <c r="P963" s="15" t="n"/>
      <c r="Q963" s="15" t="n"/>
      <c r="R963" s="15" t="n"/>
      <c r="S963" s="15" t="n"/>
      <c r="T963" s="15" t="n"/>
      <c r="U963" s="15" t="n"/>
      <c r="V963" s="15" t="n"/>
      <c r="W963" s="15" t="n"/>
      <c r="X963" s="15" t="n"/>
      <c r="Y963" s="15" t="n"/>
      <c r="Z963" s="15" t="n"/>
      <c r="AA963" s="15" t="n"/>
      <c r="AB963" s="15" t="n"/>
      <c r="AC963" s="15" t="n"/>
      <c r="AD963" s="15" t="n"/>
      <c r="AE963" s="15" t="n"/>
      <c r="AF963" s="15" t="n"/>
      <c r="AG963" s="15" t="n"/>
      <c r="AH963" s="15" t="n"/>
      <c r="AI963" s="15" t="n"/>
    </row>
    <row r="964">
      <c r="A964" s="4" t="inlineStr">
        <is>
          <t>Студент3.7</t>
        </is>
      </c>
      <c r="B964" s="4" t="inlineStr"/>
      <c r="C964" s="4">
        <f>IF(A964="","",COUNTIF(F964:AI964,"+")+COUNTIF(F964:AI964,"1"))</f>
        <v/>
      </c>
      <c r="D964" s="4">
        <f>IF(A964="","",IF(C964&gt;2*COUNTA(F$957:AI$957)/3,1,IF(C964&gt;=COUNTA(F$957:AI$957)/2,0.8,0.5)))</f>
        <v/>
      </c>
      <c r="E964" s="4">
        <f>IF(A964="","",SUMIFS('Логи'!$H$4:$H$3006,'Логи'!$A$4:$A$3006,A964,'Логи'!$C$4:$C$3006,15))</f>
        <v/>
      </c>
      <c r="F964" s="15" t="n"/>
      <c r="G964" s="15" t="n"/>
      <c r="H964" s="15" t="n"/>
      <c r="I964" s="15" t="n"/>
      <c r="J964" s="15" t="n"/>
      <c r="K964" s="15" t="n"/>
      <c r="L964" s="15" t="n"/>
      <c r="M964" s="15" t="n"/>
      <c r="N964" s="15" t="n"/>
      <c r="O964" s="15" t="n"/>
      <c r="P964" s="15" t="n"/>
      <c r="Q964" s="15" t="n"/>
      <c r="R964" s="15" t="n"/>
      <c r="S964" s="15" t="n"/>
      <c r="T964" s="15" t="n"/>
      <c r="U964" s="15" t="n"/>
      <c r="V964" s="15" t="n"/>
      <c r="W964" s="15" t="n"/>
      <c r="X964" s="15" t="n"/>
      <c r="Y964" s="15" t="n"/>
      <c r="Z964" s="15" t="n"/>
      <c r="AA964" s="15" t="n"/>
      <c r="AB964" s="15" t="n"/>
      <c r="AC964" s="15" t="n"/>
      <c r="AD964" s="15" t="n"/>
      <c r="AE964" s="15" t="n"/>
      <c r="AF964" s="15" t="n"/>
      <c r="AG964" s="15" t="n"/>
      <c r="AH964" s="15" t="n"/>
      <c r="AI964" s="15" t="n"/>
    </row>
    <row r="965">
      <c r="A965" s="4" t="inlineStr">
        <is>
          <t>Студент3.8</t>
        </is>
      </c>
      <c r="B965" s="4" t="inlineStr"/>
      <c r="C965" s="4">
        <f>IF(A965="","",COUNTIF(F965:AI965,"+")+COUNTIF(F965:AI965,"1"))</f>
        <v/>
      </c>
      <c r="D965" s="4">
        <f>IF(A965="","",IF(C965&gt;2*COUNTA(F$957:AI$957)/3,1,IF(C965&gt;=COUNTA(F$957:AI$957)/2,0.8,0.5)))</f>
        <v/>
      </c>
      <c r="E965" s="4">
        <f>IF(A965="","",SUMIFS('Логи'!$H$4:$H$3006,'Логи'!$A$4:$A$3006,A965,'Логи'!$C$4:$C$3006,15))</f>
        <v/>
      </c>
      <c r="F965" s="15" t="n"/>
      <c r="G965" s="15" t="n"/>
      <c r="H965" s="15" t="n"/>
      <c r="I965" s="15" t="n"/>
      <c r="J965" s="15" t="n"/>
      <c r="K965" s="15" t="n"/>
      <c r="L965" s="15" t="n"/>
      <c r="M965" s="15" t="n"/>
      <c r="N965" s="15" t="n"/>
      <c r="O965" s="15" t="n"/>
      <c r="P965" s="15" t="n"/>
      <c r="Q965" s="15" t="n"/>
      <c r="R965" s="15" t="n"/>
      <c r="S965" s="15" t="n"/>
      <c r="T965" s="15" t="n"/>
      <c r="U965" s="15" t="n"/>
      <c r="V965" s="15" t="n"/>
      <c r="W965" s="15" t="n"/>
      <c r="X965" s="15" t="n"/>
      <c r="Y965" s="15" t="n"/>
      <c r="Z965" s="15" t="n"/>
      <c r="AA965" s="15" t="n"/>
      <c r="AB965" s="15" t="n"/>
      <c r="AC965" s="15" t="n"/>
      <c r="AD965" s="15" t="n"/>
      <c r="AE965" s="15" t="n"/>
      <c r="AF965" s="15" t="n"/>
      <c r="AG965" s="15" t="n"/>
      <c r="AH965" s="15" t="n"/>
      <c r="AI965" s="15" t="n"/>
    </row>
    <row r="966">
      <c r="A966" s="4" t="inlineStr">
        <is>
          <t>Студент3.9</t>
        </is>
      </c>
      <c r="B966" s="4" t="inlineStr"/>
      <c r="C966" s="4">
        <f>IF(A966="","",COUNTIF(F966:AI966,"+")+COUNTIF(F966:AI966,"1"))</f>
        <v/>
      </c>
      <c r="D966" s="4">
        <f>IF(A966="","",IF(C966&gt;2*COUNTA(F$957:AI$957)/3,1,IF(C966&gt;=COUNTA(F$957:AI$957)/2,0.8,0.5)))</f>
        <v/>
      </c>
      <c r="E966" s="4">
        <f>IF(A966="","",SUMIFS('Логи'!$H$4:$H$3006,'Логи'!$A$4:$A$3006,A966,'Логи'!$C$4:$C$3006,15))</f>
        <v/>
      </c>
      <c r="F966" s="15" t="n"/>
      <c r="G966" s="15" t="n"/>
      <c r="H966" s="15" t="n"/>
      <c r="I966" s="15" t="n"/>
      <c r="J966" s="15" t="n"/>
      <c r="K966" s="15" t="n"/>
      <c r="L966" s="15" t="n"/>
      <c r="M966" s="15" t="n"/>
      <c r="N966" s="15" t="n"/>
      <c r="O966" s="15" t="n"/>
      <c r="P966" s="15" t="n"/>
      <c r="Q966" s="15" t="n"/>
      <c r="R966" s="15" t="n"/>
      <c r="S966" s="15" t="n"/>
      <c r="T966" s="15" t="n"/>
      <c r="U966" s="15" t="n"/>
      <c r="V966" s="15" t="n"/>
      <c r="W966" s="15" t="n"/>
      <c r="X966" s="15" t="n"/>
      <c r="Y966" s="15" t="n"/>
      <c r="Z966" s="15" t="n"/>
      <c r="AA966" s="15" t="n"/>
      <c r="AB966" s="15" t="n"/>
      <c r="AC966" s="15" t="n"/>
      <c r="AD966" s="15" t="n"/>
      <c r="AE966" s="15" t="n"/>
      <c r="AF966" s="15" t="n"/>
      <c r="AG966" s="15" t="n"/>
      <c r="AH966" s="15" t="n"/>
      <c r="AI966" s="15" t="n"/>
    </row>
    <row r="967">
      <c r="A967" s="4" t="inlineStr">
        <is>
          <t>Студент3.10</t>
        </is>
      </c>
      <c r="B967" s="4" t="inlineStr"/>
      <c r="C967" s="4">
        <f>IF(A967="","",COUNTIF(F967:AI967,"+")+COUNTIF(F967:AI967,"1"))</f>
        <v/>
      </c>
      <c r="D967" s="4">
        <f>IF(A967="","",IF(C967&gt;2*COUNTA(F$957:AI$957)/3,1,IF(C967&gt;=COUNTA(F$957:AI$957)/2,0.8,0.5)))</f>
        <v/>
      </c>
      <c r="E967" s="4">
        <f>IF(A967="","",SUMIFS('Логи'!$H$4:$H$3006,'Логи'!$A$4:$A$3006,A967,'Логи'!$C$4:$C$3006,15))</f>
        <v/>
      </c>
      <c r="F967" s="15" t="n"/>
      <c r="G967" s="15" t="n"/>
      <c r="H967" s="15" t="n"/>
      <c r="I967" s="15" t="n"/>
      <c r="J967" s="15" t="n"/>
      <c r="K967" s="15" t="n"/>
      <c r="L967" s="15" t="n"/>
      <c r="M967" s="15" t="n"/>
      <c r="N967" s="15" t="n"/>
      <c r="O967" s="15" t="n"/>
      <c r="P967" s="15" t="n"/>
      <c r="Q967" s="15" t="n"/>
      <c r="R967" s="15" t="n"/>
      <c r="S967" s="15" t="n"/>
      <c r="T967" s="15" t="n"/>
      <c r="U967" s="15" t="n"/>
      <c r="V967" s="15" t="n"/>
      <c r="W967" s="15" t="n"/>
      <c r="X967" s="15" t="n"/>
      <c r="Y967" s="15" t="n"/>
      <c r="Z967" s="15" t="n"/>
      <c r="AA967" s="15" t="n"/>
      <c r="AB967" s="15" t="n"/>
      <c r="AC967" s="15" t="n"/>
      <c r="AD967" s="15" t="n"/>
      <c r="AE967" s="15" t="n"/>
      <c r="AF967" s="15" t="n"/>
      <c r="AG967" s="15" t="n"/>
      <c r="AH967" s="15" t="n"/>
      <c r="AI967" s="15" t="n"/>
    </row>
    <row r="968">
      <c r="A968" s="4" t="inlineStr">
        <is>
          <t>Студент3.11</t>
        </is>
      </c>
      <c r="B968" s="4" t="inlineStr"/>
      <c r="C968" s="4">
        <f>IF(A968="","",COUNTIF(F968:AI968,"+")+COUNTIF(F968:AI968,"1"))</f>
        <v/>
      </c>
      <c r="D968" s="4">
        <f>IF(A968="","",IF(C968&gt;2*COUNTA(F$957:AI$957)/3,1,IF(C968&gt;=COUNTA(F$957:AI$957)/2,0.8,0.5)))</f>
        <v/>
      </c>
      <c r="E968" s="4">
        <f>IF(A968="","",SUMIFS('Логи'!$H$4:$H$3006,'Логи'!$A$4:$A$3006,A968,'Логи'!$C$4:$C$3006,15))</f>
        <v/>
      </c>
      <c r="F968" s="15" t="n"/>
      <c r="G968" s="15" t="n"/>
      <c r="H968" s="15" t="n"/>
      <c r="I968" s="15" t="n"/>
      <c r="J968" s="15" t="n"/>
      <c r="K968" s="15" t="n"/>
      <c r="L968" s="15" t="n"/>
      <c r="M968" s="15" t="n"/>
      <c r="N968" s="15" t="n"/>
      <c r="O968" s="15" t="n"/>
      <c r="P968" s="15" t="n"/>
      <c r="Q968" s="15" t="n"/>
      <c r="R968" s="15" t="n"/>
      <c r="S968" s="15" t="n"/>
      <c r="T968" s="15" t="n"/>
      <c r="U968" s="15" t="n"/>
      <c r="V968" s="15" t="n"/>
      <c r="W968" s="15" t="n"/>
      <c r="X968" s="15" t="n"/>
      <c r="Y968" s="15" t="n"/>
      <c r="Z968" s="15" t="n"/>
      <c r="AA968" s="15" t="n"/>
      <c r="AB968" s="15" t="n"/>
      <c r="AC968" s="15" t="n"/>
      <c r="AD968" s="15" t="n"/>
      <c r="AE968" s="15" t="n"/>
      <c r="AF968" s="15" t="n"/>
      <c r="AG968" s="15" t="n"/>
      <c r="AH968" s="15" t="n"/>
      <c r="AI968" s="15" t="n"/>
    </row>
    <row r="969">
      <c r="A969" s="4" t="inlineStr">
        <is>
          <t>Студент3.12</t>
        </is>
      </c>
      <c r="B969" s="4" t="inlineStr"/>
      <c r="C969" s="4">
        <f>IF(A969="","",COUNTIF(F969:AI969,"+")+COUNTIF(F969:AI969,"1"))</f>
        <v/>
      </c>
      <c r="D969" s="4">
        <f>IF(A969="","",IF(C969&gt;2*COUNTA(F$957:AI$957)/3,1,IF(C969&gt;=COUNTA(F$957:AI$957)/2,0.8,0.5)))</f>
        <v/>
      </c>
      <c r="E969" s="4">
        <f>IF(A969="","",SUMIFS('Логи'!$H$4:$H$3006,'Логи'!$A$4:$A$3006,A969,'Логи'!$C$4:$C$3006,15))</f>
        <v/>
      </c>
      <c r="F969" s="15" t="n"/>
      <c r="G969" s="15" t="n"/>
      <c r="H969" s="15" t="n"/>
      <c r="I969" s="15" t="n"/>
      <c r="J969" s="15" t="n"/>
      <c r="K969" s="15" t="n"/>
      <c r="L969" s="15" t="n"/>
      <c r="M969" s="15" t="n"/>
      <c r="N969" s="15" t="n"/>
      <c r="O969" s="15" t="n"/>
      <c r="P969" s="15" t="n"/>
      <c r="Q969" s="15" t="n"/>
      <c r="R969" s="15" t="n"/>
      <c r="S969" s="15" t="n"/>
      <c r="T969" s="15" t="n"/>
      <c r="U969" s="15" t="n"/>
      <c r="V969" s="15" t="n"/>
      <c r="W969" s="15" t="n"/>
      <c r="X969" s="15" t="n"/>
      <c r="Y969" s="15" t="n"/>
      <c r="Z969" s="15" t="n"/>
      <c r="AA969" s="15" t="n"/>
      <c r="AB969" s="15" t="n"/>
      <c r="AC969" s="15" t="n"/>
      <c r="AD969" s="15" t="n"/>
      <c r="AE969" s="15" t="n"/>
      <c r="AF969" s="15" t="n"/>
      <c r="AG969" s="15" t="n"/>
      <c r="AH969" s="15" t="n"/>
      <c r="AI969" s="15" t="n"/>
    </row>
    <row r="970">
      <c r="A970" s="4" t="inlineStr">
        <is>
          <t>Студент3.13</t>
        </is>
      </c>
      <c r="B970" s="4" t="inlineStr"/>
      <c r="C970" s="4">
        <f>IF(A970="","",COUNTIF(F970:AI970,"+")+COUNTIF(F970:AI970,"1"))</f>
        <v/>
      </c>
      <c r="D970" s="4">
        <f>IF(A970="","",IF(C970&gt;2*COUNTA(F$957:AI$957)/3,1,IF(C970&gt;=COUNTA(F$957:AI$957)/2,0.8,0.5)))</f>
        <v/>
      </c>
      <c r="E970" s="4">
        <f>IF(A970="","",SUMIFS('Логи'!$H$4:$H$3006,'Логи'!$A$4:$A$3006,A970,'Логи'!$C$4:$C$3006,15))</f>
        <v/>
      </c>
      <c r="F970" s="15" t="n"/>
      <c r="G970" s="15" t="n"/>
      <c r="H970" s="15" t="n"/>
      <c r="I970" s="15" t="n"/>
      <c r="J970" s="15" t="n"/>
      <c r="K970" s="15" t="n"/>
      <c r="L970" s="15" t="n"/>
      <c r="M970" s="15" t="n"/>
      <c r="N970" s="15" t="n"/>
      <c r="O970" s="15" t="n"/>
      <c r="P970" s="15" t="n"/>
      <c r="Q970" s="15" t="n"/>
      <c r="R970" s="15" t="n"/>
      <c r="S970" s="15" t="n"/>
      <c r="T970" s="15" t="n"/>
      <c r="U970" s="15" t="n"/>
      <c r="V970" s="15" t="n"/>
      <c r="W970" s="15" t="n"/>
      <c r="X970" s="15" t="n"/>
      <c r="Y970" s="15" t="n"/>
      <c r="Z970" s="15" t="n"/>
      <c r="AA970" s="15" t="n"/>
      <c r="AB970" s="15" t="n"/>
      <c r="AC970" s="15" t="n"/>
      <c r="AD970" s="15" t="n"/>
      <c r="AE970" s="15" t="n"/>
      <c r="AF970" s="15" t="n"/>
      <c r="AG970" s="15" t="n"/>
      <c r="AH970" s="15" t="n"/>
      <c r="AI970" s="15" t="n"/>
    </row>
    <row r="971">
      <c r="A971" s="4" t="inlineStr">
        <is>
          <t>Студент3.14</t>
        </is>
      </c>
      <c r="B971" s="4" t="inlineStr"/>
      <c r="C971" s="4">
        <f>IF(A971="","",COUNTIF(F971:AI971,"+")+COUNTIF(F971:AI971,"1"))</f>
        <v/>
      </c>
      <c r="D971" s="4">
        <f>IF(A971="","",IF(C971&gt;2*COUNTA(F$957:AI$957)/3,1,IF(C971&gt;=COUNTA(F$957:AI$957)/2,0.8,0.5)))</f>
        <v/>
      </c>
      <c r="E971" s="4">
        <f>IF(A971="","",SUMIFS('Логи'!$H$4:$H$3006,'Логи'!$A$4:$A$3006,A971,'Логи'!$C$4:$C$3006,15))</f>
        <v/>
      </c>
      <c r="F971" s="15" t="n"/>
      <c r="G971" s="15" t="n"/>
      <c r="H971" s="15" t="n"/>
      <c r="I971" s="15" t="n"/>
      <c r="J971" s="15" t="n"/>
      <c r="K971" s="15" t="n"/>
      <c r="L971" s="15" t="n"/>
      <c r="M971" s="15" t="n"/>
      <c r="N971" s="15" t="n"/>
      <c r="O971" s="15" t="n"/>
      <c r="P971" s="15" t="n"/>
      <c r="Q971" s="15" t="n"/>
      <c r="R971" s="15" t="n"/>
      <c r="S971" s="15" t="n"/>
      <c r="T971" s="15" t="n"/>
      <c r="U971" s="15" t="n"/>
      <c r="V971" s="15" t="n"/>
      <c r="W971" s="15" t="n"/>
      <c r="X971" s="15" t="n"/>
      <c r="Y971" s="15" t="n"/>
      <c r="Z971" s="15" t="n"/>
      <c r="AA971" s="15" t="n"/>
      <c r="AB971" s="15" t="n"/>
      <c r="AC971" s="15" t="n"/>
      <c r="AD971" s="15" t="n"/>
      <c r="AE971" s="15" t="n"/>
      <c r="AF971" s="15" t="n"/>
      <c r="AG971" s="15" t="n"/>
      <c r="AH971" s="15" t="n"/>
      <c r="AI971" s="15" t="n"/>
    </row>
    <row r="972">
      <c r="A972" s="4" t="inlineStr">
        <is>
          <t>Студент3.15</t>
        </is>
      </c>
      <c r="B972" s="4" t="inlineStr"/>
      <c r="C972" s="4">
        <f>IF(A972="","",COUNTIF(F972:AI972,"+")+COUNTIF(F972:AI972,"1"))</f>
        <v/>
      </c>
      <c r="D972" s="4">
        <f>IF(A972="","",IF(C972&gt;2*COUNTA(F$957:AI$957)/3,1,IF(C972&gt;=COUNTA(F$957:AI$957)/2,0.8,0.5)))</f>
        <v/>
      </c>
      <c r="E972" s="4">
        <f>IF(A972="","",SUMIFS('Логи'!$H$4:$H$3006,'Логи'!$A$4:$A$3006,A972,'Логи'!$C$4:$C$3006,15))</f>
        <v/>
      </c>
      <c r="F972" s="15" t="n"/>
      <c r="G972" s="15" t="n"/>
      <c r="H972" s="15" t="n"/>
      <c r="I972" s="15" t="n"/>
      <c r="J972" s="15" t="n"/>
      <c r="K972" s="15" t="n"/>
      <c r="L972" s="15" t="n"/>
      <c r="M972" s="15" t="n"/>
      <c r="N972" s="15" t="n"/>
      <c r="O972" s="15" t="n"/>
      <c r="P972" s="15" t="n"/>
      <c r="Q972" s="15" t="n"/>
      <c r="R972" s="15" t="n"/>
      <c r="S972" s="15" t="n"/>
      <c r="T972" s="15" t="n"/>
      <c r="U972" s="15" t="n"/>
      <c r="V972" s="15" t="n"/>
      <c r="W972" s="15" t="n"/>
      <c r="X972" s="15" t="n"/>
      <c r="Y972" s="15" t="n"/>
      <c r="Z972" s="15" t="n"/>
      <c r="AA972" s="15" t="n"/>
      <c r="AB972" s="15" t="n"/>
      <c r="AC972" s="15" t="n"/>
      <c r="AD972" s="15" t="n"/>
      <c r="AE972" s="15" t="n"/>
      <c r="AF972" s="15" t="n"/>
      <c r="AG972" s="15" t="n"/>
      <c r="AH972" s="15" t="n"/>
      <c r="AI972" s="15" t="n"/>
    </row>
    <row r="973">
      <c r="A973" s="4" t="inlineStr">
        <is>
          <t>Студент3.16</t>
        </is>
      </c>
      <c r="B973" s="4" t="inlineStr"/>
      <c r="C973" s="4">
        <f>IF(A973="","",COUNTIF(F973:AI973,"+")+COUNTIF(F973:AI973,"1"))</f>
        <v/>
      </c>
      <c r="D973" s="4">
        <f>IF(A973="","",IF(C973&gt;2*COUNTA(F$957:AI$957)/3,1,IF(C973&gt;=COUNTA(F$957:AI$957)/2,0.8,0.5)))</f>
        <v/>
      </c>
      <c r="E973" s="4">
        <f>IF(A973="","",SUMIFS('Логи'!$H$4:$H$3006,'Логи'!$A$4:$A$3006,A973,'Логи'!$C$4:$C$3006,15))</f>
        <v/>
      </c>
      <c r="F973" s="15" t="n"/>
      <c r="G973" s="15" t="n"/>
      <c r="H973" s="15" t="n"/>
      <c r="I973" s="15" t="n"/>
      <c r="J973" s="15" t="n"/>
      <c r="K973" s="15" t="n"/>
      <c r="L973" s="15" t="n"/>
      <c r="M973" s="15" t="n"/>
      <c r="N973" s="15" t="n"/>
      <c r="O973" s="15" t="n"/>
      <c r="P973" s="15" t="n"/>
      <c r="Q973" s="15" t="n"/>
      <c r="R973" s="15" t="n"/>
      <c r="S973" s="15" t="n"/>
      <c r="T973" s="15" t="n"/>
      <c r="U973" s="15" t="n"/>
      <c r="V973" s="15" t="n"/>
      <c r="W973" s="15" t="n"/>
      <c r="X973" s="15" t="n"/>
      <c r="Y973" s="15" t="n"/>
      <c r="Z973" s="15" t="n"/>
      <c r="AA973" s="15" t="n"/>
      <c r="AB973" s="15" t="n"/>
      <c r="AC973" s="15" t="n"/>
      <c r="AD973" s="15" t="n"/>
      <c r="AE973" s="15" t="n"/>
      <c r="AF973" s="15" t="n"/>
      <c r="AG973" s="15" t="n"/>
      <c r="AH973" s="15" t="n"/>
      <c r="AI973" s="15" t="n"/>
    </row>
    <row r="974">
      <c r="A974" s="4" t="inlineStr">
        <is>
          <t>Студент3.17</t>
        </is>
      </c>
      <c r="B974" s="4" t="inlineStr"/>
      <c r="C974" s="4">
        <f>IF(A974="","",COUNTIF(F974:AI974,"+")+COUNTIF(F974:AI974,"1"))</f>
        <v/>
      </c>
      <c r="D974" s="4">
        <f>IF(A974="","",IF(C974&gt;2*COUNTA(F$957:AI$957)/3,1,IF(C974&gt;=COUNTA(F$957:AI$957)/2,0.8,0.5)))</f>
        <v/>
      </c>
      <c r="E974" s="4">
        <f>IF(A974="","",SUMIFS('Логи'!$H$4:$H$3006,'Логи'!$A$4:$A$3006,A974,'Логи'!$C$4:$C$3006,15))</f>
        <v/>
      </c>
      <c r="F974" s="15" t="n"/>
      <c r="G974" s="15" t="n"/>
      <c r="H974" s="15" t="n"/>
      <c r="I974" s="15" t="n"/>
      <c r="J974" s="15" t="n"/>
      <c r="K974" s="15" t="n"/>
      <c r="L974" s="15" t="n"/>
      <c r="M974" s="15" t="n"/>
      <c r="N974" s="15" t="n"/>
      <c r="O974" s="15" t="n"/>
      <c r="P974" s="15" t="n"/>
      <c r="Q974" s="15" t="n"/>
      <c r="R974" s="15" t="n"/>
      <c r="S974" s="15" t="n"/>
      <c r="T974" s="15" t="n"/>
      <c r="U974" s="15" t="n"/>
      <c r="V974" s="15" t="n"/>
      <c r="W974" s="15" t="n"/>
      <c r="X974" s="15" t="n"/>
      <c r="Y974" s="15" t="n"/>
      <c r="Z974" s="15" t="n"/>
      <c r="AA974" s="15" t="n"/>
      <c r="AB974" s="15" t="n"/>
      <c r="AC974" s="15" t="n"/>
      <c r="AD974" s="15" t="n"/>
      <c r="AE974" s="15" t="n"/>
      <c r="AF974" s="15" t="n"/>
      <c r="AG974" s="15" t="n"/>
      <c r="AH974" s="15" t="n"/>
      <c r="AI974" s="15" t="n"/>
    </row>
    <row r="975">
      <c r="A975" s="4" t="inlineStr">
        <is>
          <t>Студент3.18</t>
        </is>
      </c>
      <c r="B975" s="4" t="inlineStr"/>
      <c r="C975" s="4">
        <f>IF(A975="","",COUNTIF(F975:AI975,"+")+COUNTIF(F975:AI975,"1"))</f>
        <v/>
      </c>
      <c r="D975" s="4">
        <f>IF(A975="","",IF(C975&gt;2*COUNTA(F$957:AI$957)/3,1,IF(C975&gt;=COUNTA(F$957:AI$957)/2,0.8,0.5)))</f>
        <v/>
      </c>
      <c r="E975" s="4">
        <f>IF(A975="","",SUMIFS('Логи'!$H$4:$H$3006,'Логи'!$A$4:$A$3006,A975,'Логи'!$C$4:$C$3006,15))</f>
        <v/>
      </c>
      <c r="F975" s="15" t="n"/>
      <c r="G975" s="15" t="n"/>
      <c r="H975" s="15" t="n"/>
      <c r="I975" s="15" t="n"/>
      <c r="J975" s="15" t="n"/>
      <c r="K975" s="15" t="n"/>
      <c r="L975" s="15" t="n"/>
      <c r="M975" s="15" t="n"/>
      <c r="N975" s="15" t="n"/>
      <c r="O975" s="15" t="n"/>
      <c r="P975" s="15" t="n"/>
      <c r="Q975" s="15" t="n"/>
      <c r="R975" s="15" t="n"/>
      <c r="S975" s="15" t="n"/>
      <c r="T975" s="15" t="n"/>
      <c r="U975" s="15" t="n"/>
      <c r="V975" s="15" t="n"/>
      <c r="W975" s="15" t="n"/>
      <c r="X975" s="15" t="n"/>
      <c r="Y975" s="15" t="n"/>
      <c r="Z975" s="15" t="n"/>
      <c r="AA975" s="15" t="n"/>
      <c r="AB975" s="15" t="n"/>
      <c r="AC975" s="15" t="n"/>
      <c r="AD975" s="15" t="n"/>
      <c r="AE975" s="15" t="n"/>
      <c r="AF975" s="15" t="n"/>
      <c r="AG975" s="15" t="n"/>
      <c r="AH975" s="15" t="n"/>
      <c r="AI975" s="15" t="n"/>
    </row>
    <row r="976">
      <c r="A976" s="4" t="inlineStr">
        <is>
          <t>Студент3.19</t>
        </is>
      </c>
      <c r="B976" s="4" t="inlineStr"/>
      <c r="C976" s="4">
        <f>IF(A976="","",COUNTIF(F976:AI976,"+")+COUNTIF(F976:AI976,"1"))</f>
        <v/>
      </c>
      <c r="D976" s="4">
        <f>IF(A976="","",IF(C976&gt;2*COUNTA(F$957:AI$957)/3,1,IF(C976&gt;=COUNTA(F$957:AI$957)/2,0.8,0.5)))</f>
        <v/>
      </c>
      <c r="E976" s="4">
        <f>IF(A976="","",SUMIFS('Логи'!$H$4:$H$3006,'Логи'!$A$4:$A$3006,A976,'Логи'!$C$4:$C$3006,15))</f>
        <v/>
      </c>
      <c r="F976" s="15" t="n"/>
      <c r="G976" s="15" t="n"/>
      <c r="H976" s="15" t="n"/>
      <c r="I976" s="15" t="n"/>
      <c r="J976" s="15" t="n"/>
      <c r="K976" s="15" t="n"/>
      <c r="L976" s="15" t="n"/>
      <c r="M976" s="15" t="n"/>
      <c r="N976" s="15" t="n"/>
      <c r="O976" s="15" t="n"/>
      <c r="P976" s="15" t="n"/>
      <c r="Q976" s="15" t="n"/>
      <c r="R976" s="15" t="n"/>
      <c r="S976" s="15" t="n"/>
      <c r="T976" s="15" t="n"/>
      <c r="U976" s="15" t="n"/>
      <c r="V976" s="15" t="n"/>
      <c r="W976" s="15" t="n"/>
      <c r="X976" s="15" t="n"/>
      <c r="Y976" s="15" t="n"/>
      <c r="Z976" s="15" t="n"/>
      <c r="AA976" s="15" t="n"/>
      <c r="AB976" s="15" t="n"/>
      <c r="AC976" s="15" t="n"/>
      <c r="AD976" s="15" t="n"/>
      <c r="AE976" s="15" t="n"/>
      <c r="AF976" s="15" t="n"/>
      <c r="AG976" s="15" t="n"/>
      <c r="AH976" s="15" t="n"/>
      <c r="AI976" s="15" t="n"/>
    </row>
    <row r="977">
      <c r="A977" s="4" t="inlineStr">
        <is>
          <t>Студент3.20</t>
        </is>
      </c>
      <c r="B977" s="4" t="inlineStr"/>
      <c r="C977" s="4">
        <f>IF(A977="","",COUNTIF(F977:AI977,"+")+COUNTIF(F977:AI977,"1"))</f>
        <v/>
      </c>
      <c r="D977" s="4">
        <f>IF(A977="","",IF(C977&gt;2*COUNTA(F$957:AI$957)/3,1,IF(C977&gt;=COUNTA(F$957:AI$957)/2,0.8,0.5)))</f>
        <v/>
      </c>
      <c r="E977" s="4">
        <f>IF(A977="","",SUMIFS('Логи'!$H$4:$H$3006,'Логи'!$A$4:$A$3006,A977,'Логи'!$C$4:$C$3006,15))</f>
        <v/>
      </c>
      <c r="F977" s="15" t="n"/>
      <c r="G977" s="15" t="n"/>
      <c r="H977" s="15" t="n"/>
      <c r="I977" s="15" t="n"/>
      <c r="J977" s="15" t="n"/>
      <c r="K977" s="15" t="n"/>
      <c r="L977" s="15" t="n"/>
      <c r="M977" s="15" t="n"/>
      <c r="N977" s="15" t="n"/>
      <c r="O977" s="15" t="n"/>
      <c r="P977" s="15" t="n"/>
      <c r="Q977" s="15" t="n"/>
      <c r="R977" s="15" t="n"/>
      <c r="S977" s="15" t="n"/>
      <c r="T977" s="15" t="n"/>
      <c r="U977" s="15" t="n"/>
      <c r="V977" s="15" t="n"/>
      <c r="W977" s="15" t="n"/>
      <c r="X977" s="15" t="n"/>
      <c r="Y977" s="15" t="n"/>
      <c r="Z977" s="15" t="n"/>
      <c r="AA977" s="15" t="n"/>
      <c r="AB977" s="15" t="n"/>
      <c r="AC977" s="15" t="n"/>
      <c r="AD977" s="15" t="n"/>
      <c r="AE977" s="15" t="n"/>
      <c r="AF977" s="15" t="n"/>
      <c r="AG977" s="15" t="n"/>
      <c r="AH977" s="15" t="n"/>
      <c r="AI977" s="15" t="n"/>
    </row>
    <row r="978">
      <c r="A978" s="4" t="inlineStr">
        <is>
          <t>Студент3.21</t>
        </is>
      </c>
      <c r="B978" s="4" t="inlineStr"/>
      <c r="C978" s="4">
        <f>IF(A978="","",COUNTIF(F978:AI978,"+")+COUNTIF(F978:AI978,"1"))</f>
        <v/>
      </c>
      <c r="D978" s="4">
        <f>IF(A978="","",IF(C978&gt;2*COUNTA(F$957:AI$957)/3,1,IF(C978&gt;=COUNTA(F$957:AI$957)/2,0.8,0.5)))</f>
        <v/>
      </c>
      <c r="E978" s="4">
        <f>IF(A978="","",SUMIFS('Логи'!$H$4:$H$3006,'Логи'!$A$4:$A$3006,A978,'Логи'!$C$4:$C$3006,15))</f>
        <v/>
      </c>
      <c r="F978" s="15" t="n"/>
      <c r="G978" s="15" t="n"/>
      <c r="H978" s="15" t="n"/>
      <c r="I978" s="15" t="n"/>
      <c r="J978" s="15" t="n"/>
      <c r="K978" s="15" t="n"/>
      <c r="L978" s="15" t="n"/>
      <c r="M978" s="15" t="n"/>
      <c r="N978" s="15" t="n"/>
      <c r="O978" s="15" t="n"/>
      <c r="P978" s="15" t="n"/>
      <c r="Q978" s="15" t="n"/>
      <c r="R978" s="15" t="n"/>
      <c r="S978" s="15" t="n"/>
      <c r="T978" s="15" t="n"/>
      <c r="U978" s="15" t="n"/>
      <c r="V978" s="15" t="n"/>
      <c r="W978" s="15" t="n"/>
      <c r="X978" s="15" t="n"/>
      <c r="Y978" s="15" t="n"/>
      <c r="Z978" s="15" t="n"/>
      <c r="AA978" s="15" t="n"/>
      <c r="AB978" s="15" t="n"/>
      <c r="AC978" s="15" t="n"/>
      <c r="AD978" s="15" t="n"/>
      <c r="AE978" s="15" t="n"/>
      <c r="AF978" s="15" t="n"/>
      <c r="AG978" s="15" t="n"/>
      <c r="AH978" s="15" t="n"/>
      <c r="AI978" s="15" t="n"/>
    </row>
    <row r="979">
      <c r="A979" s="4" t="inlineStr">
        <is>
          <t>Студент3.22</t>
        </is>
      </c>
      <c r="B979" s="4" t="inlineStr"/>
      <c r="C979" s="4">
        <f>IF(A979="","",COUNTIF(F979:AI979,"+")+COUNTIF(F979:AI979,"1"))</f>
        <v/>
      </c>
      <c r="D979" s="4">
        <f>IF(A979="","",IF(C979&gt;2*COUNTA(F$957:AI$957)/3,1,IF(C979&gt;=COUNTA(F$957:AI$957)/2,0.8,0.5)))</f>
        <v/>
      </c>
      <c r="E979" s="4">
        <f>IF(A979="","",SUMIFS('Логи'!$H$4:$H$3006,'Логи'!$A$4:$A$3006,A979,'Логи'!$C$4:$C$3006,15))</f>
        <v/>
      </c>
      <c r="F979" s="15" t="n"/>
      <c r="G979" s="15" t="n"/>
      <c r="H979" s="15" t="n"/>
      <c r="I979" s="15" t="n"/>
      <c r="J979" s="15" t="n"/>
      <c r="K979" s="15" t="n"/>
      <c r="L979" s="15" t="n"/>
      <c r="M979" s="15" t="n"/>
      <c r="N979" s="15" t="n"/>
      <c r="O979" s="15" t="n"/>
      <c r="P979" s="15" t="n"/>
      <c r="Q979" s="15" t="n"/>
      <c r="R979" s="15" t="n"/>
      <c r="S979" s="15" t="n"/>
      <c r="T979" s="15" t="n"/>
      <c r="U979" s="15" t="n"/>
      <c r="V979" s="15" t="n"/>
      <c r="W979" s="15" t="n"/>
      <c r="X979" s="15" t="n"/>
      <c r="Y979" s="15" t="n"/>
      <c r="Z979" s="15" t="n"/>
      <c r="AA979" s="15" t="n"/>
      <c r="AB979" s="15" t="n"/>
      <c r="AC979" s="15" t="n"/>
      <c r="AD979" s="15" t="n"/>
      <c r="AE979" s="15" t="n"/>
      <c r="AF979" s="15" t="n"/>
      <c r="AG979" s="15" t="n"/>
      <c r="AH979" s="15" t="n"/>
      <c r="AI979" s="15" t="n"/>
    </row>
    <row r="980">
      <c r="A980" s="4" t="inlineStr">
        <is>
          <t>Студент3.23</t>
        </is>
      </c>
      <c r="B980" s="4" t="inlineStr"/>
      <c r="C980" s="4">
        <f>IF(A980="","",COUNTIF(F980:AI980,"+")+COUNTIF(F980:AI980,"1"))</f>
        <v/>
      </c>
      <c r="D980" s="4">
        <f>IF(A980="","",IF(C980&gt;2*COUNTA(F$957:AI$957)/3,1,IF(C980&gt;=COUNTA(F$957:AI$957)/2,0.8,0.5)))</f>
        <v/>
      </c>
      <c r="E980" s="4">
        <f>IF(A980="","",SUMIFS('Логи'!$H$4:$H$3006,'Логи'!$A$4:$A$3006,A980,'Логи'!$C$4:$C$3006,15))</f>
        <v/>
      </c>
      <c r="F980" s="15" t="n"/>
      <c r="G980" s="15" t="n"/>
      <c r="H980" s="15" t="n"/>
      <c r="I980" s="15" t="n"/>
      <c r="J980" s="15" t="n"/>
      <c r="K980" s="15" t="n"/>
      <c r="L980" s="15" t="n"/>
      <c r="M980" s="15" t="n"/>
      <c r="N980" s="15" t="n"/>
      <c r="O980" s="15" t="n"/>
      <c r="P980" s="15" t="n"/>
      <c r="Q980" s="15" t="n"/>
      <c r="R980" s="15" t="n"/>
      <c r="S980" s="15" t="n"/>
      <c r="T980" s="15" t="n"/>
      <c r="U980" s="15" t="n"/>
      <c r="V980" s="15" t="n"/>
      <c r="W980" s="15" t="n"/>
      <c r="X980" s="15" t="n"/>
      <c r="Y980" s="15" t="n"/>
      <c r="Z980" s="15" t="n"/>
      <c r="AA980" s="15" t="n"/>
      <c r="AB980" s="15" t="n"/>
      <c r="AC980" s="15" t="n"/>
      <c r="AD980" s="15" t="n"/>
      <c r="AE980" s="15" t="n"/>
      <c r="AF980" s="15" t="n"/>
      <c r="AG980" s="15" t="n"/>
      <c r="AH980" s="15" t="n"/>
      <c r="AI980" s="15" t="n"/>
    </row>
    <row r="981">
      <c r="A981" s="4" t="inlineStr">
        <is>
          <t>Студент3.24</t>
        </is>
      </c>
      <c r="B981" s="4" t="inlineStr"/>
      <c r="C981" s="4">
        <f>IF(A981="","",COUNTIF(F981:AI981,"+")+COUNTIF(F981:AI981,"1"))</f>
        <v/>
      </c>
      <c r="D981" s="4">
        <f>IF(A981="","",IF(C981&gt;2*COUNTA(F$957:AI$957)/3,1,IF(C981&gt;=COUNTA(F$957:AI$957)/2,0.8,0.5)))</f>
        <v/>
      </c>
      <c r="E981" s="4">
        <f>IF(A981="","",SUMIFS('Логи'!$H$4:$H$3006,'Логи'!$A$4:$A$3006,A981,'Логи'!$C$4:$C$3006,15))</f>
        <v/>
      </c>
      <c r="F981" s="15" t="n"/>
      <c r="G981" s="15" t="n"/>
      <c r="H981" s="15" t="n"/>
      <c r="I981" s="15" t="n"/>
      <c r="J981" s="15" t="n"/>
      <c r="K981" s="15" t="n"/>
      <c r="L981" s="15" t="n"/>
      <c r="M981" s="15" t="n"/>
      <c r="N981" s="15" t="n"/>
      <c r="O981" s="15" t="n"/>
      <c r="P981" s="15" t="n"/>
      <c r="Q981" s="15" t="n"/>
      <c r="R981" s="15" t="n"/>
      <c r="S981" s="15" t="n"/>
      <c r="T981" s="15" t="n"/>
      <c r="U981" s="15" t="n"/>
      <c r="V981" s="15" t="n"/>
      <c r="W981" s="15" t="n"/>
      <c r="X981" s="15" t="n"/>
      <c r="Y981" s="15" t="n"/>
      <c r="Z981" s="15" t="n"/>
      <c r="AA981" s="15" t="n"/>
      <c r="AB981" s="15" t="n"/>
      <c r="AC981" s="15" t="n"/>
      <c r="AD981" s="15" t="n"/>
      <c r="AE981" s="15" t="n"/>
      <c r="AF981" s="15" t="n"/>
      <c r="AG981" s="15" t="n"/>
      <c r="AH981" s="15" t="n"/>
      <c r="AI981" s="15" t="n"/>
    </row>
    <row r="982">
      <c r="A982" s="4" t="inlineStr">
        <is>
          <t>Студент3.25</t>
        </is>
      </c>
      <c r="B982" s="4" t="inlineStr"/>
      <c r="C982" s="4">
        <f>IF(A982="","",COUNTIF(F982:AI982,"+")+COUNTIF(F982:AI982,"1"))</f>
        <v/>
      </c>
      <c r="D982" s="4">
        <f>IF(A982="","",IF(C982&gt;2*COUNTA(F$957:AI$957)/3,1,IF(C982&gt;=COUNTA(F$957:AI$957)/2,0.8,0.5)))</f>
        <v/>
      </c>
      <c r="E982" s="4">
        <f>IF(A982="","",SUMIFS('Логи'!$H$4:$H$3006,'Логи'!$A$4:$A$3006,A982,'Логи'!$C$4:$C$3006,15))</f>
        <v/>
      </c>
      <c r="F982" s="15" t="n"/>
      <c r="G982" s="15" t="n"/>
      <c r="H982" s="15" t="n"/>
      <c r="I982" s="15" t="n"/>
      <c r="J982" s="15" t="n"/>
      <c r="K982" s="15" t="n"/>
      <c r="L982" s="15" t="n"/>
      <c r="M982" s="15" t="n"/>
      <c r="N982" s="15" t="n"/>
      <c r="O982" s="15" t="n"/>
      <c r="P982" s="15" t="n"/>
      <c r="Q982" s="15" t="n"/>
      <c r="R982" s="15" t="n"/>
      <c r="S982" s="15" t="n"/>
      <c r="T982" s="15" t="n"/>
      <c r="U982" s="15" t="n"/>
      <c r="V982" s="15" t="n"/>
      <c r="W982" s="15" t="n"/>
      <c r="X982" s="15" t="n"/>
      <c r="Y982" s="15" t="n"/>
      <c r="Z982" s="15" t="n"/>
      <c r="AA982" s="15" t="n"/>
      <c r="AB982" s="15" t="n"/>
      <c r="AC982" s="15" t="n"/>
      <c r="AD982" s="15" t="n"/>
      <c r="AE982" s="15" t="n"/>
      <c r="AF982" s="15" t="n"/>
      <c r="AG982" s="15" t="n"/>
      <c r="AH982" s="15" t="n"/>
      <c r="AI982" s="15" t="n"/>
    </row>
    <row r="983">
      <c r="A983" s="4" t="inlineStr">
        <is>
          <t>Студент3.26</t>
        </is>
      </c>
      <c r="B983" s="4" t="inlineStr"/>
      <c r="C983" s="4">
        <f>IF(A983="","",COUNTIF(F983:AI983,"+")+COUNTIF(F983:AI983,"1"))</f>
        <v/>
      </c>
      <c r="D983" s="4">
        <f>IF(A983="","",IF(C983&gt;2*COUNTA(F$957:AI$957)/3,1,IF(C983&gt;=COUNTA(F$957:AI$957)/2,0.8,0.5)))</f>
        <v/>
      </c>
      <c r="E983" s="4">
        <f>IF(A983="","",SUMIFS('Логи'!$H$4:$H$3006,'Логи'!$A$4:$A$3006,A983,'Логи'!$C$4:$C$3006,15))</f>
        <v/>
      </c>
      <c r="F983" s="15" t="n"/>
      <c r="G983" s="15" t="n"/>
      <c r="H983" s="15" t="n"/>
      <c r="I983" s="15" t="n"/>
      <c r="J983" s="15" t="n"/>
      <c r="K983" s="15" t="n"/>
      <c r="L983" s="15" t="n"/>
      <c r="M983" s="15" t="n"/>
      <c r="N983" s="15" t="n"/>
      <c r="O983" s="15" t="n"/>
      <c r="P983" s="15" t="n"/>
      <c r="Q983" s="15" t="n"/>
      <c r="R983" s="15" t="n"/>
      <c r="S983" s="15" t="n"/>
      <c r="T983" s="15" t="n"/>
      <c r="U983" s="15" t="n"/>
      <c r="V983" s="15" t="n"/>
      <c r="W983" s="15" t="n"/>
      <c r="X983" s="15" t="n"/>
      <c r="Y983" s="15" t="n"/>
      <c r="Z983" s="15" t="n"/>
      <c r="AA983" s="15" t="n"/>
      <c r="AB983" s="15" t="n"/>
      <c r="AC983" s="15" t="n"/>
      <c r="AD983" s="15" t="n"/>
      <c r="AE983" s="15" t="n"/>
      <c r="AF983" s="15" t="n"/>
      <c r="AG983" s="15" t="n"/>
      <c r="AH983" s="15" t="n"/>
      <c r="AI983" s="15" t="n"/>
    </row>
    <row r="984">
      <c r="A984" s="4" t="inlineStr">
        <is>
          <t>Студент3.27</t>
        </is>
      </c>
      <c r="B984" s="4" t="inlineStr"/>
      <c r="C984" s="4">
        <f>IF(A984="","",COUNTIF(F984:AI984,"+")+COUNTIF(F984:AI984,"1"))</f>
        <v/>
      </c>
      <c r="D984" s="4">
        <f>IF(A984="","",IF(C984&gt;2*COUNTA(F$957:AI$957)/3,1,IF(C984&gt;=COUNTA(F$957:AI$957)/2,0.8,0.5)))</f>
        <v/>
      </c>
      <c r="E984" s="4">
        <f>IF(A984="","",SUMIFS('Логи'!$H$4:$H$3006,'Логи'!$A$4:$A$3006,A984,'Логи'!$C$4:$C$3006,15))</f>
        <v/>
      </c>
      <c r="F984" s="15" t="n"/>
      <c r="G984" s="15" t="n"/>
      <c r="H984" s="15" t="n"/>
      <c r="I984" s="15" t="n"/>
      <c r="J984" s="15" t="n"/>
      <c r="K984" s="15" t="n"/>
      <c r="L984" s="15" t="n"/>
      <c r="M984" s="15" t="n"/>
      <c r="N984" s="15" t="n"/>
      <c r="O984" s="15" t="n"/>
      <c r="P984" s="15" t="n"/>
      <c r="Q984" s="15" t="n"/>
      <c r="R984" s="15" t="n"/>
      <c r="S984" s="15" t="n"/>
      <c r="T984" s="15" t="n"/>
      <c r="U984" s="15" t="n"/>
      <c r="V984" s="15" t="n"/>
      <c r="W984" s="15" t="n"/>
      <c r="X984" s="15" t="n"/>
      <c r="Y984" s="15" t="n"/>
      <c r="Z984" s="15" t="n"/>
      <c r="AA984" s="15" t="n"/>
      <c r="AB984" s="15" t="n"/>
      <c r="AC984" s="15" t="n"/>
      <c r="AD984" s="15" t="n"/>
      <c r="AE984" s="15" t="n"/>
      <c r="AF984" s="15" t="n"/>
      <c r="AG984" s="15" t="n"/>
      <c r="AH984" s="15" t="n"/>
      <c r="AI984" s="15" t="n"/>
    </row>
    <row r="985">
      <c r="A985" s="4" t="inlineStr">
        <is>
          <t>Студент3.28</t>
        </is>
      </c>
      <c r="B985" s="4" t="inlineStr"/>
      <c r="C985" s="4">
        <f>IF(A985="","",COUNTIF(F985:AI985,"+")+COUNTIF(F985:AI985,"1"))</f>
        <v/>
      </c>
      <c r="D985" s="4">
        <f>IF(A985="","",IF(C985&gt;2*COUNTA(F$957:AI$957)/3,1,IF(C985&gt;=COUNTA(F$957:AI$957)/2,0.8,0.5)))</f>
        <v/>
      </c>
      <c r="E985" s="4">
        <f>IF(A985="","",SUMIFS('Логи'!$H$4:$H$3006,'Логи'!$A$4:$A$3006,A985,'Логи'!$C$4:$C$3006,15))</f>
        <v/>
      </c>
      <c r="F985" s="15" t="n"/>
      <c r="G985" s="15" t="n"/>
      <c r="H985" s="15" t="n"/>
      <c r="I985" s="15" t="n"/>
      <c r="J985" s="15" t="n"/>
      <c r="K985" s="15" t="n"/>
      <c r="L985" s="15" t="n"/>
      <c r="M985" s="15" t="n"/>
      <c r="N985" s="15" t="n"/>
      <c r="O985" s="15" t="n"/>
      <c r="P985" s="15" t="n"/>
      <c r="Q985" s="15" t="n"/>
      <c r="R985" s="15" t="n"/>
      <c r="S985" s="15" t="n"/>
      <c r="T985" s="15" t="n"/>
      <c r="U985" s="15" t="n"/>
      <c r="V985" s="15" t="n"/>
      <c r="W985" s="15" t="n"/>
      <c r="X985" s="15" t="n"/>
      <c r="Y985" s="15" t="n"/>
      <c r="Z985" s="15" t="n"/>
      <c r="AA985" s="15" t="n"/>
      <c r="AB985" s="15" t="n"/>
      <c r="AC985" s="15" t="n"/>
      <c r="AD985" s="15" t="n"/>
      <c r="AE985" s="15" t="n"/>
      <c r="AF985" s="15" t="n"/>
      <c r="AG985" s="15" t="n"/>
      <c r="AH985" s="15" t="n"/>
      <c r="AI985" s="15" t="n"/>
    </row>
    <row r="986">
      <c r="A986" s="4" t="inlineStr">
        <is>
          <t>Студент3.29</t>
        </is>
      </c>
      <c r="B986" s="4" t="inlineStr"/>
      <c r="C986" s="4">
        <f>IF(A986="","",COUNTIF(F986:AI986,"+")+COUNTIF(F986:AI986,"1"))</f>
        <v/>
      </c>
      <c r="D986" s="4">
        <f>IF(A986="","",IF(C986&gt;2*COUNTA(F$957:AI$957)/3,1,IF(C986&gt;=COUNTA(F$957:AI$957)/2,0.8,0.5)))</f>
        <v/>
      </c>
      <c r="E986" s="4">
        <f>IF(A986="","",SUMIFS('Логи'!$H$4:$H$3006,'Логи'!$A$4:$A$3006,A986,'Логи'!$C$4:$C$3006,15))</f>
        <v/>
      </c>
      <c r="F986" s="15" t="n"/>
      <c r="G986" s="15" t="n"/>
      <c r="H986" s="15" t="n"/>
      <c r="I986" s="15" t="n"/>
      <c r="J986" s="15" t="n"/>
      <c r="K986" s="15" t="n"/>
      <c r="L986" s="15" t="n"/>
      <c r="M986" s="15" t="n"/>
      <c r="N986" s="15" t="n"/>
      <c r="O986" s="15" t="n"/>
      <c r="P986" s="15" t="n"/>
      <c r="Q986" s="15" t="n"/>
      <c r="R986" s="15" t="n"/>
      <c r="S986" s="15" t="n"/>
      <c r="T986" s="15" t="n"/>
      <c r="U986" s="15" t="n"/>
      <c r="V986" s="15" t="n"/>
      <c r="W986" s="15" t="n"/>
      <c r="X986" s="15" t="n"/>
      <c r="Y986" s="15" t="n"/>
      <c r="Z986" s="15" t="n"/>
      <c r="AA986" s="15" t="n"/>
      <c r="AB986" s="15" t="n"/>
      <c r="AC986" s="15" t="n"/>
      <c r="AD986" s="15" t="n"/>
      <c r="AE986" s="15" t="n"/>
      <c r="AF986" s="15" t="n"/>
      <c r="AG986" s="15" t="n"/>
      <c r="AH986" s="15" t="n"/>
      <c r="AI986" s="15" t="n"/>
    </row>
    <row r="987">
      <c r="A987" s="4" t="inlineStr">
        <is>
          <t>Студент3.30</t>
        </is>
      </c>
      <c r="B987" s="4" t="inlineStr"/>
      <c r="C987" s="4">
        <f>IF(A987="","",COUNTIF(F987:AI987,"+")+COUNTIF(F987:AI987,"1"))</f>
        <v/>
      </c>
      <c r="D987" s="4">
        <f>IF(A987="","",IF(C987&gt;2*COUNTA(F$957:AI$957)/3,1,IF(C987&gt;=COUNTA(F$957:AI$957)/2,0.8,0.5)))</f>
        <v/>
      </c>
      <c r="E987" s="4">
        <f>IF(A987="","",SUMIFS('Логи'!$H$4:$H$3006,'Логи'!$A$4:$A$3006,A987,'Логи'!$C$4:$C$3006,15))</f>
        <v/>
      </c>
      <c r="F987" s="15" t="n"/>
      <c r="G987" s="15" t="n"/>
      <c r="H987" s="15" t="n"/>
      <c r="I987" s="15" t="n"/>
      <c r="J987" s="15" t="n"/>
      <c r="K987" s="15" t="n"/>
      <c r="L987" s="15" t="n"/>
      <c r="M987" s="15" t="n"/>
      <c r="N987" s="15" t="n"/>
      <c r="O987" s="15" t="n"/>
      <c r="P987" s="15" t="n"/>
      <c r="Q987" s="15" t="n"/>
      <c r="R987" s="15" t="n"/>
      <c r="S987" s="15" t="n"/>
      <c r="T987" s="15" t="n"/>
      <c r="U987" s="15" t="n"/>
      <c r="V987" s="15" t="n"/>
      <c r="W987" s="15" t="n"/>
      <c r="X987" s="15" t="n"/>
      <c r="Y987" s="15" t="n"/>
      <c r="Z987" s="15" t="n"/>
      <c r="AA987" s="15" t="n"/>
      <c r="AB987" s="15" t="n"/>
      <c r="AC987" s="15" t="n"/>
      <c r="AD987" s="15" t="n"/>
      <c r="AE987" s="15" t="n"/>
      <c r="AF987" s="15" t="n"/>
      <c r="AG987" s="15" t="n"/>
      <c r="AH987" s="15" t="n"/>
      <c r="AI987" s="15" t="n"/>
    </row>
    <row r="989">
      <c r="A989" s="16" t="inlineStr">
        <is>
          <t>Практика 15 — результаты рассказа</t>
        </is>
      </c>
    </row>
    <row r="990" ht="28" customHeight="1">
      <c r="A990" s="7" t="inlineStr">
        <is>
          <t>Имя</t>
        </is>
      </c>
      <c r="B990" s="9" t="inlineStr">
        <is>
          <t>TG</t>
        </is>
      </c>
      <c r="C990" s="10" t="inlineStr"/>
      <c r="D990" s="2" t="inlineStr"/>
      <c r="E990" s="2" t="inlineStr"/>
      <c r="F990" s="11" t="inlineStr">
        <is>
          <t>1.0</t>
        </is>
      </c>
      <c r="G990" s="11" t="inlineStr">
        <is>
          <t>2.0</t>
        </is>
      </c>
      <c r="H990" s="11" t="inlineStr">
        <is>
          <t>3.0</t>
        </is>
      </c>
      <c r="I990" s="11" t="inlineStr">
        <is>
          <t>4.0</t>
        </is>
      </c>
      <c r="J990" s="11" t="inlineStr">
        <is>
          <t>5.0</t>
        </is>
      </c>
      <c r="K990" s="11" t="inlineStr">
        <is>
          <t>6</t>
        </is>
      </c>
      <c r="L990" s="11" t="inlineStr">
        <is>
          <t>7</t>
        </is>
      </c>
      <c r="M990" s="11" t="inlineStr">
        <is>
          <t>8</t>
        </is>
      </c>
      <c r="N990" s="11" t="inlineStr">
        <is>
          <t>9</t>
        </is>
      </c>
      <c r="O990" s="11" t="inlineStr">
        <is>
          <t>10</t>
        </is>
      </c>
      <c r="P990" s="11" t="inlineStr">
        <is>
          <t>11</t>
        </is>
      </c>
      <c r="Q990" s="11" t="inlineStr">
        <is>
          <t>12</t>
        </is>
      </c>
      <c r="R990" s="11" t="inlineStr">
        <is>
          <t>13</t>
        </is>
      </c>
      <c r="S990" s="11" t="inlineStr">
        <is>
          <t>14</t>
        </is>
      </c>
      <c r="T990" s="11" t="inlineStr">
        <is>
          <t>15</t>
        </is>
      </c>
      <c r="U990" s="11" t="inlineStr">
        <is>
          <t>16</t>
        </is>
      </c>
      <c r="V990" s="11" t="inlineStr">
        <is>
          <t>17</t>
        </is>
      </c>
      <c r="W990" s="11" t="inlineStr">
        <is>
          <t>18</t>
        </is>
      </c>
      <c r="X990" s="11" t="inlineStr">
        <is>
          <t>19</t>
        </is>
      </c>
      <c r="Y990" s="11" t="inlineStr">
        <is>
          <t>20</t>
        </is>
      </c>
      <c r="Z990" s="11" t="inlineStr">
        <is>
          <t>21</t>
        </is>
      </c>
      <c r="AA990" s="11" t="inlineStr">
        <is>
          <t>22</t>
        </is>
      </c>
      <c r="AB990" s="11" t="inlineStr">
        <is>
          <t>23</t>
        </is>
      </c>
      <c r="AC990" s="11" t="inlineStr">
        <is>
          <t>24</t>
        </is>
      </c>
      <c r="AD990" s="11" t="inlineStr">
        <is>
          <t>25</t>
        </is>
      </c>
      <c r="AE990" s="11" t="inlineStr">
        <is>
          <t>26</t>
        </is>
      </c>
      <c r="AF990" s="11" t="inlineStr">
        <is>
          <t>27</t>
        </is>
      </c>
      <c r="AG990" s="11" t="inlineStr">
        <is>
          <t>28</t>
        </is>
      </c>
      <c r="AH990" s="11" t="inlineStr">
        <is>
          <t>29</t>
        </is>
      </c>
      <c r="AI990" s="11" t="inlineStr">
        <is>
          <t>30</t>
        </is>
      </c>
    </row>
    <row r="991">
      <c r="A991" s="4" t="inlineStr">
        <is>
          <t>Студент3.1</t>
        </is>
      </c>
      <c r="B991" s="4" t="inlineStr"/>
      <c r="C991" s="4" t="n"/>
      <c r="D991" s="4" t="n"/>
      <c r="E991" s="4" t="n"/>
      <c r="F991" s="15" t="n"/>
      <c r="G991" s="15" t="n"/>
      <c r="H991" s="15" t="n"/>
      <c r="I991" s="15" t="n"/>
      <c r="J991" s="15" t="n"/>
      <c r="K991" s="15" t="n"/>
      <c r="L991" s="15" t="n"/>
      <c r="M991" s="15" t="n"/>
      <c r="N991" s="15" t="n"/>
      <c r="O991" s="15" t="n"/>
      <c r="P991" s="15" t="n"/>
      <c r="Q991" s="15" t="n"/>
      <c r="R991" s="15" t="n"/>
      <c r="S991" s="15" t="n"/>
      <c r="T991" s="15" t="n"/>
      <c r="U991" s="15" t="n"/>
      <c r="V991" s="15" t="n"/>
      <c r="W991" s="15" t="n"/>
      <c r="X991" s="15" t="n"/>
      <c r="Y991" s="15" t="n"/>
      <c r="Z991" s="15" t="n"/>
      <c r="AA991" s="15" t="n"/>
      <c r="AB991" s="15" t="n"/>
      <c r="AC991" s="15" t="n"/>
      <c r="AD991" s="15" t="n"/>
      <c r="AE991" s="15" t="n"/>
      <c r="AF991" s="15" t="n"/>
      <c r="AG991" s="15" t="n"/>
      <c r="AH991" s="15" t="n"/>
      <c r="AI991" s="15" t="n"/>
    </row>
    <row r="992">
      <c r="A992" s="4" t="inlineStr">
        <is>
          <t>Студент3.2</t>
        </is>
      </c>
      <c r="B992" s="4" t="inlineStr"/>
      <c r="C992" s="4" t="n"/>
      <c r="D992" s="4" t="n"/>
      <c r="E992" s="4" t="n"/>
      <c r="F992" s="15" t="n"/>
      <c r="G992" s="15" t="n"/>
      <c r="H992" s="15" t="n"/>
      <c r="I992" s="15" t="n"/>
      <c r="J992" s="15" t="n"/>
      <c r="K992" s="15" t="n"/>
      <c r="L992" s="15" t="n"/>
      <c r="M992" s="15" t="n"/>
      <c r="N992" s="15" t="n"/>
      <c r="O992" s="15" t="n"/>
      <c r="P992" s="15" t="n"/>
      <c r="Q992" s="15" t="n"/>
      <c r="R992" s="15" t="n"/>
      <c r="S992" s="15" t="n"/>
      <c r="T992" s="15" t="n"/>
      <c r="U992" s="15" t="n"/>
      <c r="V992" s="15" t="n"/>
      <c r="W992" s="15" t="n"/>
      <c r="X992" s="15" t="n"/>
      <c r="Y992" s="15" t="n"/>
      <c r="Z992" s="15" t="n"/>
      <c r="AA992" s="15" t="n"/>
      <c r="AB992" s="15" t="n"/>
      <c r="AC992" s="15" t="n"/>
      <c r="AD992" s="15" t="n"/>
      <c r="AE992" s="15" t="n"/>
      <c r="AF992" s="15" t="n"/>
      <c r="AG992" s="15" t="n"/>
      <c r="AH992" s="15" t="n"/>
      <c r="AI992" s="15" t="n"/>
    </row>
    <row r="993">
      <c r="A993" s="4" t="inlineStr">
        <is>
          <t>Студент3.3</t>
        </is>
      </c>
      <c r="B993" s="4" t="inlineStr"/>
      <c r="C993" s="4" t="n"/>
      <c r="D993" s="4" t="n"/>
      <c r="E993" s="4" t="n"/>
      <c r="F993" s="15" t="n"/>
      <c r="G993" s="15" t="n"/>
      <c r="H993" s="15" t="n"/>
      <c r="I993" s="15" t="n"/>
      <c r="J993" s="15" t="n"/>
      <c r="K993" s="15" t="n"/>
      <c r="L993" s="15" t="n"/>
      <c r="M993" s="15" t="n"/>
      <c r="N993" s="15" t="n"/>
      <c r="O993" s="15" t="n"/>
      <c r="P993" s="15" t="n"/>
      <c r="Q993" s="15" t="n"/>
      <c r="R993" s="15" t="n"/>
      <c r="S993" s="15" t="n"/>
      <c r="T993" s="15" t="n"/>
      <c r="U993" s="15" t="n"/>
      <c r="V993" s="15" t="n"/>
      <c r="W993" s="15" t="n"/>
      <c r="X993" s="15" t="n"/>
      <c r="Y993" s="15" t="n"/>
      <c r="Z993" s="15" t="n"/>
      <c r="AA993" s="15" t="n"/>
      <c r="AB993" s="15" t="n"/>
      <c r="AC993" s="15" t="n"/>
      <c r="AD993" s="15" t="n"/>
      <c r="AE993" s="15" t="n"/>
      <c r="AF993" s="15" t="n"/>
      <c r="AG993" s="15" t="n"/>
      <c r="AH993" s="15" t="n"/>
      <c r="AI993" s="15" t="n"/>
    </row>
    <row r="994">
      <c r="A994" s="4" t="inlineStr">
        <is>
          <t>Студент3.4</t>
        </is>
      </c>
      <c r="B994" s="4" t="inlineStr"/>
      <c r="C994" s="4" t="n"/>
      <c r="D994" s="4" t="n"/>
      <c r="E994" s="4" t="n"/>
      <c r="F994" s="15" t="n"/>
      <c r="G994" s="15" t="n"/>
      <c r="H994" s="15" t="n"/>
      <c r="I994" s="15" t="n"/>
      <c r="J994" s="15" t="n"/>
      <c r="K994" s="15" t="n"/>
      <c r="L994" s="15" t="n"/>
      <c r="M994" s="15" t="n"/>
      <c r="N994" s="15" t="n"/>
      <c r="O994" s="15" t="n"/>
      <c r="P994" s="15" t="n"/>
      <c r="Q994" s="15" t="n"/>
      <c r="R994" s="15" t="n"/>
      <c r="S994" s="15" t="n"/>
      <c r="T994" s="15" t="n"/>
      <c r="U994" s="15" t="n"/>
      <c r="V994" s="15" t="n"/>
      <c r="W994" s="15" t="n"/>
      <c r="X994" s="15" t="n"/>
      <c r="Y994" s="15" t="n"/>
      <c r="Z994" s="15" t="n"/>
      <c r="AA994" s="15" t="n"/>
      <c r="AB994" s="15" t="n"/>
      <c r="AC994" s="15" t="n"/>
      <c r="AD994" s="15" t="n"/>
      <c r="AE994" s="15" t="n"/>
      <c r="AF994" s="15" t="n"/>
      <c r="AG994" s="15" t="n"/>
      <c r="AH994" s="15" t="n"/>
      <c r="AI994" s="15" t="n"/>
    </row>
    <row r="995">
      <c r="A995" s="4" t="inlineStr">
        <is>
          <t>Студент3.5</t>
        </is>
      </c>
      <c r="B995" s="4" t="inlineStr"/>
      <c r="C995" s="4" t="n"/>
      <c r="D995" s="4" t="n"/>
      <c r="E995" s="4" t="n"/>
      <c r="F995" s="15" t="n"/>
      <c r="G995" s="15" t="n"/>
      <c r="H995" s="15" t="n"/>
      <c r="I995" s="15" t="n"/>
      <c r="J995" s="15" t="n"/>
      <c r="K995" s="15" t="n"/>
      <c r="L995" s="15" t="n"/>
      <c r="M995" s="15" t="n"/>
      <c r="N995" s="15" t="n"/>
      <c r="O995" s="15" t="n"/>
      <c r="P995" s="15" t="n"/>
      <c r="Q995" s="15" t="n"/>
      <c r="R995" s="15" t="n"/>
      <c r="S995" s="15" t="n"/>
      <c r="T995" s="15" t="n"/>
      <c r="U995" s="15" t="n"/>
      <c r="V995" s="15" t="n"/>
      <c r="W995" s="15" t="n"/>
      <c r="X995" s="15" t="n"/>
      <c r="Y995" s="15" t="n"/>
      <c r="Z995" s="15" t="n"/>
      <c r="AA995" s="15" t="n"/>
      <c r="AB995" s="15" t="n"/>
      <c r="AC995" s="15" t="n"/>
      <c r="AD995" s="15" t="n"/>
      <c r="AE995" s="15" t="n"/>
      <c r="AF995" s="15" t="n"/>
      <c r="AG995" s="15" t="n"/>
      <c r="AH995" s="15" t="n"/>
      <c r="AI995" s="15" t="n"/>
    </row>
    <row r="996">
      <c r="A996" s="4" t="inlineStr">
        <is>
          <t>Студент3.6</t>
        </is>
      </c>
      <c r="B996" s="4" t="inlineStr"/>
      <c r="C996" s="4" t="n"/>
      <c r="D996" s="4" t="n"/>
      <c r="E996" s="4" t="n"/>
      <c r="F996" s="15" t="n"/>
      <c r="G996" s="15" t="n"/>
      <c r="H996" s="15" t="n"/>
      <c r="I996" s="15" t="n"/>
      <c r="J996" s="15" t="n"/>
      <c r="K996" s="15" t="n"/>
      <c r="L996" s="15" t="n"/>
      <c r="M996" s="15" t="n"/>
      <c r="N996" s="15" t="n"/>
      <c r="O996" s="15" t="n"/>
      <c r="P996" s="15" t="n"/>
      <c r="Q996" s="15" t="n"/>
      <c r="R996" s="15" t="n"/>
      <c r="S996" s="15" t="n"/>
      <c r="T996" s="15" t="n"/>
      <c r="U996" s="15" t="n"/>
      <c r="V996" s="15" t="n"/>
      <c r="W996" s="15" t="n"/>
      <c r="X996" s="15" t="n"/>
      <c r="Y996" s="15" t="n"/>
      <c r="Z996" s="15" t="n"/>
      <c r="AA996" s="15" t="n"/>
      <c r="AB996" s="15" t="n"/>
      <c r="AC996" s="15" t="n"/>
      <c r="AD996" s="15" t="n"/>
      <c r="AE996" s="15" t="n"/>
      <c r="AF996" s="15" t="n"/>
      <c r="AG996" s="15" t="n"/>
      <c r="AH996" s="15" t="n"/>
      <c r="AI996" s="15" t="n"/>
    </row>
    <row r="997">
      <c r="A997" s="4" t="inlineStr">
        <is>
          <t>Студент3.7</t>
        </is>
      </c>
      <c r="B997" s="4" t="inlineStr"/>
      <c r="C997" s="4" t="n"/>
      <c r="D997" s="4" t="n"/>
      <c r="E997" s="4" t="n"/>
      <c r="F997" s="15" t="n"/>
      <c r="G997" s="15" t="n"/>
      <c r="H997" s="15" t="n"/>
      <c r="I997" s="15" t="n"/>
      <c r="J997" s="15" t="n"/>
      <c r="K997" s="15" t="n"/>
      <c r="L997" s="15" t="n"/>
      <c r="M997" s="15" t="n"/>
      <c r="N997" s="15" t="n"/>
      <c r="O997" s="15" t="n"/>
      <c r="P997" s="15" t="n"/>
      <c r="Q997" s="15" t="n"/>
      <c r="R997" s="15" t="n"/>
      <c r="S997" s="15" t="n"/>
      <c r="T997" s="15" t="n"/>
      <c r="U997" s="15" t="n"/>
      <c r="V997" s="15" t="n"/>
      <c r="W997" s="15" t="n"/>
      <c r="X997" s="15" t="n"/>
      <c r="Y997" s="15" t="n"/>
      <c r="Z997" s="15" t="n"/>
      <c r="AA997" s="15" t="n"/>
      <c r="AB997" s="15" t="n"/>
      <c r="AC997" s="15" t="n"/>
      <c r="AD997" s="15" t="n"/>
      <c r="AE997" s="15" t="n"/>
      <c r="AF997" s="15" t="n"/>
      <c r="AG997" s="15" t="n"/>
      <c r="AH997" s="15" t="n"/>
      <c r="AI997" s="15" t="n"/>
    </row>
    <row r="998">
      <c r="A998" s="4" t="inlineStr">
        <is>
          <t>Студент3.8</t>
        </is>
      </c>
      <c r="B998" s="4" t="inlineStr"/>
      <c r="C998" s="4" t="n"/>
      <c r="D998" s="4" t="n"/>
      <c r="E998" s="4" t="n"/>
      <c r="F998" s="15" t="n"/>
      <c r="G998" s="15" t="n"/>
      <c r="H998" s="15" t="n"/>
      <c r="I998" s="15" t="n"/>
      <c r="J998" s="15" t="n"/>
      <c r="K998" s="15" t="n"/>
      <c r="L998" s="15" t="n"/>
      <c r="M998" s="15" t="n"/>
      <c r="N998" s="15" t="n"/>
      <c r="O998" s="15" t="n"/>
      <c r="P998" s="15" t="n"/>
      <c r="Q998" s="15" t="n"/>
      <c r="R998" s="15" t="n"/>
      <c r="S998" s="15" t="n"/>
      <c r="T998" s="15" t="n"/>
      <c r="U998" s="15" t="n"/>
      <c r="V998" s="15" t="n"/>
      <c r="W998" s="15" t="n"/>
      <c r="X998" s="15" t="n"/>
      <c r="Y998" s="15" t="n"/>
      <c r="Z998" s="15" t="n"/>
      <c r="AA998" s="15" t="n"/>
      <c r="AB998" s="15" t="n"/>
      <c r="AC998" s="15" t="n"/>
      <c r="AD998" s="15" t="n"/>
      <c r="AE998" s="15" t="n"/>
      <c r="AF998" s="15" t="n"/>
      <c r="AG998" s="15" t="n"/>
      <c r="AH998" s="15" t="n"/>
      <c r="AI998" s="15" t="n"/>
    </row>
    <row r="999">
      <c r="A999" s="4" t="inlineStr">
        <is>
          <t>Студент3.9</t>
        </is>
      </c>
      <c r="B999" s="4" t="inlineStr"/>
      <c r="C999" s="4" t="n"/>
      <c r="D999" s="4" t="n"/>
      <c r="E999" s="4" t="n"/>
      <c r="F999" s="15" t="n"/>
      <c r="G999" s="15" t="n"/>
      <c r="H999" s="15" t="n"/>
      <c r="I999" s="15" t="n"/>
      <c r="J999" s="15" t="n"/>
      <c r="K999" s="15" t="n"/>
      <c r="L999" s="15" t="n"/>
      <c r="M999" s="15" t="n"/>
      <c r="N999" s="15" t="n"/>
      <c r="O999" s="15" t="n"/>
      <c r="P999" s="15" t="n"/>
      <c r="Q999" s="15" t="n"/>
      <c r="R999" s="15" t="n"/>
      <c r="S999" s="15" t="n"/>
      <c r="T999" s="15" t="n"/>
      <c r="U999" s="15" t="n"/>
      <c r="V999" s="15" t="n"/>
      <c r="W999" s="15" t="n"/>
      <c r="X999" s="15" t="n"/>
      <c r="Y999" s="15" t="n"/>
      <c r="Z999" s="15" t="n"/>
      <c r="AA999" s="15" t="n"/>
      <c r="AB999" s="15" t="n"/>
      <c r="AC999" s="15" t="n"/>
      <c r="AD999" s="15" t="n"/>
      <c r="AE999" s="15" t="n"/>
      <c r="AF999" s="15" t="n"/>
      <c r="AG999" s="15" t="n"/>
      <c r="AH999" s="15" t="n"/>
      <c r="AI999" s="15" t="n"/>
    </row>
    <row r="1000">
      <c r="A1000" s="4" t="inlineStr">
        <is>
          <t>Студент3.10</t>
        </is>
      </c>
      <c r="B1000" s="4" t="inlineStr"/>
      <c r="C1000" s="4" t="n"/>
      <c r="D1000" s="4" t="n"/>
      <c r="E1000" s="4" t="n"/>
      <c r="F1000" s="15" t="n"/>
      <c r="G1000" s="15" t="n"/>
      <c r="H1000" s="15" t="n"/>
      <c r="I1000" s="15" t="n"/>
      <c r="J1000" s="15" t="n"/>
      <c r="K1000" s="15" t="n"/>
      <c r="L1000" s="15" t="n"/>
      <c r="M1000" s="15" t="n"/>
      <c r="N1000" s="15" t="n"/>
      <c r="O1000" s="15" t="n"/>
      <c r="P1000" s="15" t="n"/>
      <c r="Q1000" s="15" t="n"/>
      <c r="R1000" s="15" t="n"/>
      <c r="S1000" s="15" t="n"/>
      <c r="T1000" s="15" t="n"/>
      <c r="U1000" s="15" t="n"/>
      <c r="V1000" s="15" t="n"/>
      <c r="W1000" s="15" t="n"/>
      <c r="X1000" s="15" t="n"/>
      <c r="Y1000" s="15" t="n"/>
      <c r="Z1000" s="15" t="n"/>
      <c r="AA1000" s="15" t="n"/>
      <c r="AB1000" s="15" t="n"/>
      <c r="AC1000" s="15" t="n"/>
      <c r="AD1000" s="15" t="n"/>
      <c r="AE1000" s="15" t="n"/>
      <c r="AF1000" s="15" t="n"/>
      <c r="AG1000" s="15" t="n"/>
      <c r="AH1000" s="15" t="n"/>
      <c r="AI1000" s="15" t="n"/>
    </row>
    <row r="1001">
      <c r="A1001" s="4" t="inlineStr">
        <is>
          <t>Студент3.11</t>
        </is>
      </c>
      <c r="B1001" s="4" t="inlineStr"/>
      <c r="C1001" s="4" t="n"/>
      <c r="D1001" s="4" t="n"/>
      <c r="E1001" s="4" t="n"/>
      <c r="F1001" s="15" t="n"/>
      <c r="G1001" s="15" t="n"/>
      <c r="H1001" s="15" t="n"/>
      <c r="I1001" s="15" t="n"/>
      <c r="J1001" s="15" t="n"/>
      <c r="K1001" s="15" t="n"/>
      <c r="L1001" s="15" t="n"/>
      <c r="M1001" s="15" t="n"/>
      <c r="N1001" s="15" t="n"/>
      <c r="O1001" s="15" t="n"/>
      <c r="P1001" s="15" t="n"/>
      <c r="Q1001" s="15" t="n"/>
      <c r="R1001" s="15" t="n"/>
      <c r="S1001" s="15" t="n"/>
      <c r="T1001" s="15" t="n"/>
      <c r="U1001" s="15" t="n"/>
      <c r="V1001" s="15" t="n"/>
      <c r="W1001" s="15" t="n"/>
      <c r="X1001" s="15" t="n"/>
      <c r="Y1001" s="15" t="n"/>
      <c r="Z1001" s="15" t="n"/>
      <c r="AA1001" s="15" t="n"/>
      <c r="AB1001" s="15" t="n"/>
      <c r="AC1001" s="15" t="n"/>
      <c r="AD1001" s="15" t="n"/>
      <c r="AE1001" s="15" t="n"/>
      <c r="AF1001" s="15" t="n"/>
      <c r="AG1001" s="15" t="n"/>
      <c r="AH1001" s="15" t="n"/>
      <c r="AI1001" s="15" t="n"/>
    </row>
    <row r="1002">
      <c r="A1002" s="4" t="inlineStr">
        <is>
          <t>Студент3.12</t>
        </is>
      </c>
      <c r="B1002" s="4" t="inlineStr"/>
      <c r="C1002" s="4" t="n"/>
      <c r="D1002" s="4" t="n"/>
      <c r="E1002" s="4" t="n"/>
      <c r="F1002" s="15" t="n"/>
      <c r="G1002" s="15" t="n"/>
      <c r="H1002" s="15" t="n"/>
      <c r="I1002" s="15" t="n"/>
      <c r="J1002" s="15" t="n"/>
      <c r="K1002" s="15" t="n"/>
      <c r="L1002" s="15" t="n"/>
      <c r="M1002" s="15" t="n"/>
      <c r="N1002" s="15" t="n"/>
      <c r="O1002" s="15" t="n"/>
      <c r="P1002" s="15" t="n"/>
      <c r="Q1002" s="15" t="n"/>
      <c r="R1002" s="15" t="n"/>
      <c r="S1002" s="15" t="n"/>
      <c r="T1002" s="15" t="n"/>
      <c r="U1002" s="15" t="n"/>
      <c r="V1002" s="15" t="n"/>
      <c r="W1002" s="15" t="n"/>
      <c r="X1002" s="15" t="n"/>
      <c r="Y1002" s="15" t="n"/>
      <c r="Z1002" s="15" t="n"/>
      <c r="AA1002" s="15" t="n"/>
      <c r="AB1002" s="15" t="n"/>
      <c r="AC1002" s="15" t="n"/>
      <c r="AD1002" s="15" t="n"/>
      <c r="AE1002" s="15" t="n"/>
      <c r="AF1002" s="15" t="n"/>
      <c r="AG1002" s="15" t="n"/>
      <c r="AH1002" s="15" t="n"/>
      <c r="AI1002" s="15" t="n"/>
    </row>
    <row r="1003">
      <c r="A1003" s="4" t="inlineStr">
        <is>
          <t>Студент3.13</t>
        </is>
      </c>
      <c r="B1003" s="4" t="inlineStr"/>
      <c r="C1003" s="4" t="n"/>
      <c r="D1003" s="4" t="n"/>
      <c r="E1003" s="4" t="n"/>
      <c r="F1003" s="15" t="n"/>
      <c r="G1003" s="15" t="n"/>
      <c r="H1003" s="15" t="n"/>
      <c r="I1003" s="15" t="n"/>
      <c r="J1003" s="15" t="n"/>
      <c r="K1003" s="15" t="n"/>
      <c r="L1003" s="15" t="n"/>
      <c r="M1003" s="15" t="n"/>
      <c r="N1003" s="15" t="n"/>
      <c r="O1003" s="15" t="n"/>
      <c r="P1003" s="15" t="n"/>
      <c r="Q1003" s="15" t="n"/>
      <c r="R1003" s="15" t="n"/>
      <c r="S1003" s="15" t="n"/>
      <c r="T1003" s="15" t="n"/>
      <c r="U1003" s="15" t="n"/>
      <c r="V1003" s="15" t="n"/>
      <c r="W1003" s="15" t="n"/>
      <c r="X1003" s="15" t="n"/>
      <c r="Y1003" s="15" t="n"/>
      <c r="Z1003" s="15" t="n"/>
      <c r="AA1003" s="15" t="n"/>
      <c r="AB1003" s="15" t="n"/>
      <c r="AC1003" s="15" t="n"/>
      <c r="AD1003" s="15" t="n"/>
      <c r="AE1003" s="15" t="n"/>
      <c r="AF1003" s="15" t="n"/>
      <c r="AG1003" s="15" t="n"/>
      <c r="AH1003" s="15" t="n"/>
      <c r="AI1003" s="15" t="n"/>
    </row>
    <row r="1004">
      <c r="A1004" s="4" t="inlineStr">
        <is>
          <t>Студент3.14</t>
        </is>
      </c>
      <c r="B1004" s="4" t="inlineStr"/>
      <c r="C1004" s="4" t="n"/>
      <c r="D1004" s="4" t="n"/>
      <c r="E1004" s="4" t="n"/>
      <c r="F1004" s="15" t="n"/>
      <c r="G1004" s="15" t="n"/>
      <c r="H1004" s="15" t="n"/>
      <c r="I1004" s="15" t="n"/>
      <c r="J1004" s="15" t="n"/>
      <c r="K1004" s="15" t="n"/>
      <c r="L1004" s="15" t="n"/>
      <c r="M1004" s="15" t="n"/>
      <c r="N1004" s="15" t="n"/>
      <c r="O1004" s="15" t="n"/>
      <c r="P1004" s="15" t="n"/>
      <c r="Q1004" s="15" t="n"/>
      <c r="R1004" s="15" t="n"/>
      <c r="S1004" s="15" t="n"/>
      <c r="T1004" s="15" t="n"/>
      <c r="U1004" s="15" t="n"/>
      <c r="V1004" s="15" t="n"/>
      <c r="W1004" s="15" t="n"/>
      <c r="X1004" s="15" t="n"/>
      <c r="Y1004" s="15" t="n"/>
      <c r="Z1004" s="15" t="n"/>
      <c r="AA1004" s="15" t="n"/>
      <c r="AB1004" s="15" t="n"/>
      <c r="AC1004" s="15" t="n"/>
      <c r="AD1004" s="15" t="n"/>
      <c r="AE1004" s="15" t="n"/>
      <c r="AF1004" s="15" t="n"/>
      <c r="AG1004" s="15" t="n"/>
      <c r="AH1004" s="15" t="n"/>
      <c r="AI1004" s="15" t="n"/>
    </row>
    <row r="1005">
      <c r="A1005" s="4" t="inlineStr">
        <is>
          <t>Студент3.15</t>
        </is>
      </c>
      <c r="B1005" s="4" t="inlineStr"/>
      <c r="C1005" s="4" t="n"/>
      <c r="D1005" s="4" t="n"/>
      <c r="E1005" s="4" t="n"/>
      <c r="F1005" s="15" t="n"/>
      <c r="G1005" s="15" t="n"/>
      <c r="H1005" s="15" t="n"/>
      <c r="I1005" s="15" t="n"/>
      <c r="J1005" s="15" t="n"/>
      <c r="K1005" s="15" t="n"/>
      <c r="L1005" s="15" t="n"/>
      <c r="M1005" s="15" t="n"/>
      <c r="N1005" s="15" t="n"/>
      <c r="O1005" s="15" t="n"/>
      <c r="P1005" s="15" t="n"/>
      <c r="Q1005" s="15" t="n"/>
      <c r="R1005" s="15" t="n"/>
      <c r="S1005" s="15" t="n"/>
      <c r="T1005" s="15" t="n"/>
      <c r="U1005" s="15" t="n"/>
      <c r="V1005" s="15" t="n"/>
      <c r="W1005" s="15" t="n"/>
      <c r="X1005" s="15" t="n"/>
      <c r="Y1005" s="15" t="n"/>
      <c r="Z1005" s="15" t="n"/>
      <c r="AA1005" s="15" t="n"/>
      <c r="AB1005" s="15" t="n"/>
      <c r="AC1005" s="15" t="n"/>
      <c r="AD1005" s="15" t="n"/>
      <c r="AE1005" s="15" t="n"/>
      <c r="AF1005" s="15" t="n"/>
      <c r="AG1005" s="15" t="n"/>
      <c r="AH1005" s="15" t="n"/>
      <c r="AI1005" s="15" t="n"/>
    </row>
    <row r="1006">
      <c r="A1006" s="4" t="inlineStr">
        <is>
          <t>Студент3.16</t>
        </is>
      </c>
      <c r="B1006" s="4" t="inlineStr"/>
      <c r="C1006" s="4" t="n"/>
      <c r="D1006" s="4" t="n"/>
      <c r="E1006" s="4" t="n"/>
      <c r="F1006" s="15" t="n"/>
      <c r="G1006" s="15" t="n"/>
      <c r="H1006" s="15" t="n"/>
      <c r="I1006" s="15" t="n"/>
      <c r="J1006" s="15" t="n"/>
      <c r="K1006" s="15" t="n"/>
      <c r="L1006" s="15" t="n"/>
      <c r="M1006" s="15" t="n"/>
      <c r="N1006" s="15" t="n"/>
      <c r="O1006" s="15" t="n"/>
      <c r="P1006" s="15" t="n"/>
      <c r="Q1006" s="15" t="n"/>
      <c r="R1006" s="15" t="n"/>
      <c r="S1006" s="15" t="n"/>
      <c r="T1006" s="15" t="n"/>
      <c r="U1006" s="15" t="n"/>
      <c r="V1006" s="15" t="n"/>
      <c r="W1006" s="15" t="n"/>
      <c r="X1006" s="15" t="n"/>
      <c r="Y1006" s="15" t="n"/>
      <c r="Z1006" s="15" t="n"/>
      <c r="AA1006" s="15" t="n"/>
      <c r="AB1006" s="15" t="n"/>
      <c r="AC1006" s="15" t="n"/>
      <c r="AD1006" s="15" t="n"/>
      <c r="AE1006" s="15" t="n"/>
      <c r="AF1006" s="15" t="n"/>
      <c r="AG1006" s="15" t="n"/>
      <c r="AH1006" s="15" t="n"/>
      <c r="AI1006" s="15" t="n"/>
    </row>
    <row r="1007">
      <c r="A1007" s="4" t="inlineStr">
        <is>
          <t>Студент3.17</t>
        </is>
      </c>
      <c r="B1007" s="4" t="inlineStr"/>
      <c r="C1007" s="4" t="n"/>
      <c r="D1007" s="4" t="n"/>
      <c r="E1007" s="4" t="n"/>
      <c r="F1007" s="15" t="n"/>
      <c r="G1007" s="15" t="n"/>
      <c r="H1007" s="15" t="n"/>
      <c r="I1007" s="15" t="n"/>
      <c r="J1007" s="15" t="n"/>
      <c r="K1007" s="15" t="n"/>
      <c r="L1007" s="15" t="n"/>
      <c r="M1007" s="15" t="n"/>
      <c r="N1007" s="15" t="n"/>
      <c r="O1007" s="15" t="n"/>
      <c r="P1007" s="15" t="n"/>
      <c r="Q1007" s="15" t="n"/>
      <c r="R1007" s="15" t="n"/>
      <c r="S1007" s="15" t="n"/>
      <c r="T1007" s="15" t="n"/>
      <c r="U1007" s="15" t="n"/>
      <c r="V1007" s="15" t="n"/>
      <c r="W1007" s="15" t="n"/>
      <c r="X1007" s="15" t="n"/>
      <c r="Y1007" s="15" t="n"/>
      <c r="Z1007" s="15" t="n"/>
      <c r="AA1007" s="15" t="n"/>
      <c r="AB1007" s="15" t="n"/>
      <c r="AC1007" s="15" t="n"/>
      <c r="AD1007" s="15" t="n"/>
      <c r="AE1007" s="15" t="n"/>
      <c r="AF1007" s="15" t="n"/>
      <c r="AG1007" s="15" t="n"/>
      <c r="AH1007" s="15" t="n"/>
      <c r="AI1007" s="15" t="n"/>
    </row>
    <row r="1008">
      <c r="A1008" s="4" t="inlineStr">
        <is>
          <t>Студент3.18</t>
        </is>
      </c>
      <c r="B1008" s="4" t="inlineStr"/>
      <c r="C1008" s="4" t="n"/>
      <c r="D1008" s="4" t="n"/>
      <c r="E1008" s="4" t="n"/>
      <c r="F1008" s="15" t="n"/>
      <c r="G1008" s="15" t="n"/>
      <c r="H1008" s="15" t="n"/>
      <c r="I1008" s="15" t="n"/>
      <c r="J1008" s="15" t="n"/>
      <c r="K1008" s="15" t="n"/>
      <c r="L1008" s="15" t="n"/>
      <c r="M1008" s="15" t="n"/>
      <c r="N1008" s="15" t="n"/>
      <c r="O1008" s="15" t="n"/>
      <c r="P1008" s="15" t="n"/>
      <c r="Q1008" s="15" t="n"/>
      <c r="R1008" s="15" t="n"/>
      <c r="S1008" s="15" t="n"/>
      <c r="T1008" s="15" t="n"/>
      <c r="U1008" s="15" t="n"/>
      <c r="V1008" s="15" t="n"/>
      <c r="W1008" s="15" t="n"/>
      <c r="X1008" s="15" t="n"/>
      <c r="Y1008" s="15" t="n"/>
      <c r="Z1008" s="15" t="n"/>
      <c r="AA1008" s="15" t="n"/>
      <c r="AB1008" s="15" t="n"/>
      <c r="AC1008" s="15" t="n"/>
      <c r="AD1008" s="15" t="n"/>
      <c r="AE1008" s="15" t="n"/>
      <c r="AF1008" s="15" t="n"/>
      <c r="AG1008" s="15" t="n"/>
      <c r="AH1008" s="15" t="n"/>
      <c r="AI1008" s="15" t="n"/>
    </row>
    <row r="1009">
      <c r="A1009" s="4" t="inlineStr">
        <is>
          <t>Студент3.19</t>
        </is>
      </c>
      <c r="B1009" s="4" t="inlineStr"/>
      <c r="C1009" s="4" t="n"/>
      <c r="D1009" s="4" t="n"/>
      <c r="E1009" s="4" t="n"/>
      <c r="F1009" s="15" t="n"/>
      <c r="G1009" s="15" t="n"/>
      <c r="H1009" s="15" t="n"/>
      <c r="I1009" s="15" t="n"/>
      <c r="J1009" s="15" t="n"/>
      <c r="K1009" s="15" t="n"/>
      <c r="L1009" s="15" t="n"/>
      <c r="M1009" s="15" t="n"/>
      <c r="N1009" s="15" t="n"/>
      <c r="O1009" s="15" t="n"/>
      <c r="P1009" s="15" t="n"/>
      <c r="Q1009" s="15" t="n"/>
      <c r="R1009" s="15" t="n"/>
      <c r="S1009" s="15" t="n"/>
      <c r="T1009" s="15" t="n"/>
      <c r="U1009" s="15" t="n"/>
      <c r="V1009" s="15" t="n"/>
      <c r="W1009" s="15" t="n"/>
      <c r="X1009" s="15" t="n"/>
      <c r="Y1009" s="15" t="n"/>
      <c r="Z1009" s="15" t="n"/>
      <c r="AA1009" s="15" t="n"/>
      <c r="AB1009" s="15" t="n"/>
      <c r="AC1009" s="15" t="n"/>
      <c r="AD1009" s="15" t="n"/>
      <c r="AE1009" s="15" t="n"/>
      <c r="AF1009" s="15" t="n"/>
      <c r="AG1009" s="15" t="n"/>
      <c r="AH1009" s="15" t="n"/>
      <c r="AI1009" s="15" t="n"/>
    </row>
    <row r="1010">
      <c r="A1010" s="4" t="inlineStr">
        <is>
          <t>Студент3.20</t>
        </is>
      </c>
      <c r="B1010" s="4" t="inlineStr"/>
      <c r="C1010" s="4" t="n"/>
      <c r="D1010" s="4" t="n"/>
      <c r="E1010" s="4" t="n"/>
      <c r="F1010" s="15" t="n"/>
      <c r="G1010" s="15" t="n"/>
      <c r="H1010" s="15" t="n"/>
      <c r="I1010" s="15" t="n"/>
      <c r="J1010" s="15" t="n"/>
      <c r="K1010" s="15" t="n"/>
      <c r="L1010" s="15" t="n"/>
      <c r="M1010" s="15" t="n"/>
      <c r="N1010" s="15" t="n"/>
      <c r="O1010" s="15" t="n"/>
      <c r="P1010" s="15" t="n"/>
      <c r="Q1010" s="15" t="n"/>
      <c r="R1010" s="15" t="n"/>
      <c r="S1010" s="15" t="n"/>
      <c r="T1010" s="15" t="n"/>
      <c r="U1010" s="15" t="n"/>
      <c r="V1010" s="15" t="n"/>
      <c r="W1010" s="15" t="n"/>
      <c r="X1010" s="15" t="n"/>
      <c r="Y1010" s="15" t="n"/>
      <c r="Z1010" s="15" t="n"/>
      <c r="AA1010" s="15" t="n"/>
      <c r="AB1010" s="15" t="n"/>
      <c r="AC1010" s="15" t="n"/>
      <c r="AD1010" s="15" t="n"/>
      <c r="AE1010" s="15" t="n"/>
      <c r="AF1010" s="15" t="n"/>
      <c r="AG1010" s="15" t="n"/>
      <c r="AH1010" s="15" t="n"/>
      <c r="AI1010" s="15" t="n"/>
    </row>
    <row r="1011">
      <c r="A1011" s="4" t="inlineStr">
        <is>
          <t>Студент3.21</t>
        </is>
      </c>
      <c r="B1011" s="4" t="inlineStr"/>
      <c r="C1011" s="4" t="n"/>
      <c r="D1011" s="4" t="n"/>
      <c r="E1011" s="4" t="n"/>
      <c r="F1011" s="15" t="n"/>
      <c r="G1011" s="15" t="n"/>
      <c r="H1011" s="15" t="n"/>
      <c r="I1011" s="15" t="n"/>
      <c r="J1011" s="15" t="n"/>
      <c r="K1011" s="15" t="n"/>
      <c r="L1011" s="15" t="n"/>
      <c r="M1011" s="15" t="n"/>
      <c r="N1011" s="15" t="n"/>
      <c r="O1011" s="15" t="n"/>
      <c r="P1011" s="15" t="n"/>
      <c r="Q1011" s="15" t="n"/>
      <c r="R1011" s="15" t="n"/>
      <c r="S1011" s="15" t="n"/>
      <c r="T1011" s="15" t="n"/>
      <c r="U1011" s="15" t="n"/>
      <c r="V1011" s="15" t="n"/>
      <c r="W1011" s="15" t="n"/>
      <c r="X1011" s="15" t="n"/>
      <c r="Y1011" s="15" t="n"/>
      <c r="Z1011" s="15" t="n"/>
      <c r="AA1011" s="15" t="n"/>
      <c r="AB1011" s="15" t="n"/>
      <c r="AC1011" s="15" t="n"/>
      <c r="AD1011" s="15" t="n"/>
      <c r="AE1011" s="15" t="n"/>
      <c r="AF1011" s="15" t="n"/>
      <c r="AG1011" s="15" t="n"/>
      <c r="AH1011" s="15" t="n"/>
      <c r="AI1011" s="15" t="n"/>
    </row>
    <row r="1012">
      <c r="A1012" s="4" t="inlineStr">
        <is>
          <t>Студент3.22</t>
        </is>
      </c>
      <c r="B1012" s="4" t="inlineStr"/>
      <c r="C1012" s="4" t="n"/>
      <c r="D1012" s="4" t="n"/>
      <c r="E1012" s="4" t="n"/>
      <c r="F1012" s="15" t="n"/>
      <c r="G1012" s="15" t="n"/>
      <c r="H1012" s="15" t="n"/>
      <c r="I1012" s="15" t="n"/>
      <c r="J1012" s="15" t="n"/>
      <c r="K1012" s="15" t="n"/>
      <c r="L1012" s="15" t="n"/>
      <c r="M1012" s="15" t="n"/>
      <c r="N1012" s="15" t="n"/>
      <c r="O1012" s="15" t="n"/>
      <c r="P1012" s="15" t="n"/>
      <c r="Q1012" s="15" t="n"/>
      <c r="R1012" s="15" t="n"/>
      <c r="S1012" s="15" t="n"/>
      <c r="T1012" s="15" t="n"/>
      <c r="U1012" s="15" t="n"/>
      <c r="V1012" s="15" t="n"/>
      <c r="W1012" s="15" t="n"/>
      <c r="X1012" s="15" t="n"/>
      <c r="Y1012" s="15" t="n"/>
      <c r="Z1012" s="15" t="n"/>
      <c r="AA1012" s="15" t="n"/>
      <c r="AB1012" s="15" t="n"/>
      <c r="AC1012" s="15" t="n"/>
      <c r="AD1012" s="15" t="n"/>
      <c r="AE1012" s="15" t="n"/>
      <c r="AF1012" s="15" t="n"/>
      <c r="AG1012" s="15" t="n"/>
      <c r="AH1012" s="15" t="n"/>
      <c r="AI1012" s="15" t="n"/>
    </row>
    <row r="1013">
      <c r="A1013" s="4" t="inlineStr">
        <is>
          <t>Студент3.23</t>
        </is>
      </c>
      <c r="B1013" s="4" t="inlineStr"/>
      <c r="C1013" s="4" t="n"/>
      <c r="D1013" s="4" t="n"/>
      <c r="E1013" s="4" t="n"/>
      <c r="F1013" s="15" t="n"/>
      <c r="G1013" s="15" t="n"/>
      <c r="H1013" s="15" t="n"/>
      <c r="I1013" s="15" t="n"/>
      <c r="J1013" s="15" t="n"/>
      <c r="K1013" s="15" t="n"/>
      <c r="L1013" s="15" t="n"/>
      <c r="M1013" s="15" t="n"/>
      <c r="N1013" s="15" t="n"/>
      <c r="O1013" s="15" t="n"/>
      <c r="P1013" s="15" t="n"/>
      <c r="Q1013" s="15" t="n"/>
      <c r="R1013" s="15" t="n"/>
      <c r="S1013" s="15" t="n"/>
      <c r="T1013" s="15" t="n"/>
      <c r="U1013" s="15" t="n"/>
      <c r="V1013" s="15" t="n"/>
      <c r="W1013" s="15" t="n"/>
      <c r="X1013" s="15" t="n"/>
      <c r="Y1013" s="15" t="n"/>
      <c r="Z1013" s="15" t="n"/>
      <c r="AA1013" s="15" t="n"/>
      <c r="AB1013" s="15" t="n"/>
      <c r="AC1013" s="15" t="n"/>
      <c r="AD1013" s="15" t="n"/>
      <c r="AE1013" s="15" t="n"/>
      <c r="AF1013" s="15" t="n"/>
      <c r="AG1013" s="15" t="n"/>
      <c r="AH1013" s="15" t="n"/>
      <c r="AI1013" s="15" t="n"/>
    </row>
    <row r="1014">
      <c r="A1014" s="4" t="inlineStr">
        <is>
          <t>Студент3.24</t>
        </is>
      </c>
      <c r="B1014" s="4" t="inlineStr"/>
      <c r="C1014" s="4" t="n"/>
      <c r="D1014" s="4" t="n"/>
      <c r="E1014" s="4" t="n"/>
      <c r="F1014" s="15" t="n"/>
      <c r="G1014" s="15" t="n"/>
      <c r="H1014" s="15" t="n"/>
      <c r="I1014" s="15" t="n"/>
      <c r="J1014" s="15" t="n"/>
      <c r="K1014" s="15" t="n"/>
      <c r="L1014" s="15" t="n"/>
      <c r="M1014" s="15" t="n"/>
      <c r="N1014" s="15" t="n"/>
      <c r="O1014" s="15" t="n"/>
      <c r="P1014" s="15" t="n"/>
      <c r="Q1014" s="15" t="n"/>
      <c r="R1014" s="15" t="n"/>
      <c r="S1014" s="15" t="n"/>
      <c r="T1014" s="15" t="n"/>
      <c r="U1014" s="15" t="n"/>
      <c r="V1014" s="15" t="n"/>
      <c r="W1014" s="15" t="n"/>
      <c r="X1014" s="15" t="n"/>
      <c r="Y1014" s="15" t="n"/>
      <c r="Z1014" s="15" t="n"/>
      <c r="AA1014" s="15" t="n"/>
      <c r="AB1014" s="15" t="n"/>
      <c r="AC1014" s="15" t="n"/>
      <c r="AD1014" s="15" t="n"/>
      <c r="AE1014" s="15" t="n"/>
      <c r="AF1014" s="15" t="n"/>
      <c r="AG1014" s="15" t="n"/>
      <c r="AH1014" s="15" t="n"/>
      <c r="AI1014" s="15" t="n"/>
    </row>
    <row r="1015">
      <c r="A1015" s="4" t="inlineStr">
        <is>
          <t>Студент3.25</t>
        </is>
      </c>
      <c r="B1015" s="4" t="inlineStr"/>
      <c r="C1015" s="4" t="n"/>
      <c r="D1015" s="4" t="n"/>
      <c r="E1015" s="4" t="n"/>
      <c r="F1015" s="15" t="n"/>
      <c r="G1015" s="15" t="n"/>
      <c r="H1015" s="15" t="n"/>
      <c r="I1015" s="15" t="n"/>
      <c r="J1015" s="15" t="n"/>
      <c r="K1015" s="15" t="n"/>
      <c r="L1015" s="15" t="n"/>
      <c r="M1015" s="15" t="n"/>
      <c r="N1015" s="15" t="n"/>
      <c r="O1015" s="15" t="n"/>
      <c r="P1015" s="15" t="n"/>
      <c r="Q1015" s="15" t="n"/>
      <c r="R1015" s="15" t="n"/>
      <c r="S1015" s="15" t="n"/>
      <c r="T1015" s="15" t="n"/>
      <c r="U1015" s="15" t="n"/>
      <c r="V1015" s="15" t="n"/>
      <c r="W1015" s="15" t="n"/>
      <c r="X1015" s="15" t="n"/>
      <c r="Y1015" s="15" t="n"/>
      <c r="Z1015" s="15" t="n"/>
      <c r="AA1015" s="15" t="n"/>
      <c r="AB1015" s="15" t="n"/>
      <c r="AC1015" s="15" t="n"/>
      <c r="AD1015" s="15" t="n"/>
      <c r="AE1015" s="15" t="n"/>
      <c r="AF1015" s="15" t="n"/>
      <c r="AG1015" s="15" t="n"/>
      <c r="AH1015" s="15" t="n"/>
      <c r="AI1015" s="15" t="n"/>
    </row>
    <row r="1016">
      <c r="A1016" s="4" t="inlineStr">
        <is>
          <t>Студент3.26</t>
        </is>
      </c>
      <c r="B1016" s="4" t="inlineStr"/>
      <c r="C1016" s="4" t="n"/>
      <c r="D1016" s="4" t="n"/>
      <c r="E1016" s="4" t="n"/>
      <c r="F1016" s="15" t="n"/>
      <c r="G1016" s="15" t="n"/>
      <c r="H1016" s="15" t="n"/>
      <c r="I1016" s="15" t="n"/>
      <c r="J1016" s="15" t="n"/>
      <c r="K1016" s="15" t="n"/>
      <c r="L1016" s="15" t="n"/>
      <c r="M1016" s="15" t="n"/>
      <c r="N1016" s="15" t="n"/>
      <c r="O1016" s="15" t="n"/>
      <c r="P1016" s="15" t="n"/>
      <c r="Q1016" s="15" t="n"/>
      <c r="R1016" s="15" t="n"/>
      <c r="S1016" s="15" t="n"/>
      <c r="T1016" s="15" t="n"/>
      <c r="U1016" s="15" t="n"/>
      <c r="V1016" s="15" t="n"/>
      <c r="W1016" s="15" t="n"/>
      <c r="X1016" s="15" t="n"/>
      <c r="Y1016" s="15" t="n"/>
      <c r="Z1016" s="15" t="n"/>
      <c r="AA1016" s="15" t="n"/>
      <c r="AB1016" s="15" t="n"/>
      <c r="AC1016" s="15" t="n"/>
      <c r="AD1016" s="15" t="n"/>
      <c r="AE1016" s="15" t="n"/>
      <c r="AF1016" s="15" t="n"/>
      <c r="AG1016" s="15" t="n"/>
      <c r="AH1016" s="15" t="n"/>
      <c r="AI1016" s="15" t="n"/>
    </row>
    <row r="1017">
      <c r="A1017" s="4" t="inlineStr">
        <is>
          <t>Студент3.27</t>
        </is>
      </c>
      <c r="B1017" s="4" t="inlineStr"/>
      <c r="C1017" s="4" t="n"/>
      <c r="D1017" s="4" t="n"/>
      <c r="E1017" s="4" t="n"/>
      <c r="F1017" s="15" t="n"/>
      <c r="G1017" s="15" t="n"/>
      <c r="H1017" s="15" t="n"/>
      <c r="I1017" s="15" t="n"/>
      <c r="J1017" s="15" t="n"/>
      <c r="K1017" s="15" t="n"/>
      <c r="L1017" s="15" t="n"/>
      <c r="M1017" s="15" t="n"/>
      <c r="N1017" s="15" t="n"/>
      <c r="O1017" s="15" t="n"/>
      <c r="P1017" s="15" t="n"/>
      <c r="Q1017" s="15" t="n"/>
      <c r="R1017" s="15" t="n"/>
      <c r="S1017" s="15" t="n"/>
      <c r="T1017" s="15" t="n"/>
      <c r="U1017" s="15" t="n"/>
      <c r="V1017" s="15" t="n"/>
      <c r="W1017" s="15" t="n"/>
      <c r="X1017" s="15" t="n"/>
      <c r="Y1017" s="15" t="n"/>
      <c r="Z1017" s="15" t="n"/>
      <c r="AA1017" s="15" t="n"/>
      <c r="AB1017" s="15" t="n"/>
      <c r="AC1017" s="15" t="n"/>
      <c r="AD1017" s="15" t="n"/>
      <c r="AE1017" s="15" t="n"/>
      <c r="AF1017" s="15" t="n"/>
      <c r="AG1017" s="15" t="n"/>
      <c r="AH1017" s="15" t="n"/>
      <c r="AI1017" s="15" t="n"/>
    </row>
    <row r="1018">
      <c r="A1018" s="4" t="inlineStr">
        <is>
          <t>Студент3.28</t>
        </is>
      </c>
      <c r="B1018" s="4" t="inlineStr"/>
      <c r="C1018" s="4" t="n"/>
      <c r="D1018" s="4" t="n"/>
      <c r="E1018" s="4" t="n"/>
      <c r="F1018" s="15" t="n"/>
      <c r="G1018" s="15" t="n"/>
      <c r="H1018" s="15" t="n"/>
      <c r="I1018" s="15" t="n"/>
      <c r="J1018" s="15" t="n"/>
      <c r="K1018" s="15" t="n"/>
      <c r="L1018" s="15" t="n"/>
      <c r="M1018" s="15" t="n"/>
      <c r="N1018" s="15" t="n"/>
      <c r="O1018" s="15" t="n"/>
      <c r="P1018" s="15" t="n"/>
      <c r="Q1018" s="15" t="n"/>
      <c r="R1018" s="15" t="n"/>
      <c r="S1018" s="15" t="n"/>
      <c r="T1018" s="15" t="n"/>
      <c r="U1018" s="15" t="n"/>
      <c r="V1018" s="15" t="n"/>
      <c r="W1018" s="15" t="n"/>
      <c r="X1018" s="15" t="n"/>
      <c r="Y1018" s="15" t="n"/>
      <c r="Z1018" s="15" t="n"/>
      <c r="AA1018" s="15" t="n"/>
      <c r="AB1018" s="15" t="n"/>
      <c r="AC1018" s="15" t="n"/>
      <c r="AD1018" s="15" t="n"/>
      <c r="AE1018" s="15" t="n"/>
      <c r="AF1018" s="15" t="n"/>
      <c r="AG1018" s="15" t="n"/>
      <c r="AH1018" s="15" t="n"/>
      <c r="AI1018" s="15" t="n"/>
    </row>
    <row r="1019">
      <c r="A1019" s="4" t="inlineStr">
        <is>
          <t>Студент3.29</t>
        </is>
      </c>
      <c r="B1019" s="4" t="inlineStr"/>
      <c r="C1019" s="4" t="n"/>
      <c r="D1019" s="4" t="n"/>
      <c r="E1019" s="4" t="n"/>
      <c r="F1019" s="15" t="n"/>
      <c r="G1019" s="15" t="n"/>
      <c r="H1019" s="15" t="n"/>
      <c r="I1019" s="15" t="n"/>
      <c r="J1019" s="15" t="n"/>
      <c r="K1019" s="15" t="n"/>
      <c r="L1019" s="15" t="n"/>
      <c r="M1019" s="15" t="n"/>
      <c r="N1019" s="15" t="n"/>
      <c r="O1019" s="15" t="n"/>
      <c r="P1019" s="15" t="n"/>
      <c r="Q1019" s="15" t="n"/>
      <c r="R1019" s="15" t="n"/>
      <c r="S1019" s="15" t="n"/>
      <c r="T1019" s="15" t="n"/>
      <c r="U1019" s="15" t="n"/>
      <c r="V1019" s="15" t="n"/>
      <c r="W1019" s="15" t="n"/>
      <c r="X1019" s="15" t="n"/>
      <c r="Y1019" s="15" t="n"/>
      <c r="Z1019" s="15" t="n"/>
      <c r="AA1019" s="15" t="n"/>
      <c r="AB1019" s="15" t="n"/>
      <c r="AC1019" s="15" t="n"/>
      <c r="AD1019" s="15" t="n"/>
      <c r="AE1019" s="15" t="n"/>
      <c r="AF1019" s="15" t="n"/>
      <c r="AG1019" s="15" t="n"/>
      <c r="AH1019" s="15" t="n"/>
      <c r="AI1019" s="15" t="n"/>
    </row>
    <row r="1020">
      <c r="A1020" s="4" t="inlineStr">
        <is>
          <t>Студент3.30</t>
        </is>
      </c>
      <c r="B1020" s="4" t="inlineStr"/>
      <c r="C1020" s="4" t="n"/>
      <c r="D1020" s="4" t="n"/>
      <c r="E1020" s="4" t="n"/>
      <c r="F1020" s="15" t="n"/>
      <c r="G1020" s="15" t="n"/>
      <c r="H1020" s="15" t="n"/>
      <c r="I1020" s="15" t="n"/>
      <c r="J1020" s="15" t="n"/>
      <c r="K1020" s="15" t="n"/>
      <c r="L1020" s="15" t="n"/>
      <c r="M1020" s="15" t="n"/>
      <c r="N1020" s="15" t="n"/>
      <c r="O1020" s="15" t="n"/>
      <c r="P1020" s="15" t="n"/>
      <c r="Q1020" s="15" t="n"/>
      <c r="R1020" s="15" t="n"/>
      <c r="S1020" s="15" t="n"/>
      <c r="T1020" s="15" t="n"/>
      <c r="U1020" s="15" t="n"/>
      <c r="V1020" s="15" t="n"/>
      <c r="W1020" s="15" t="n"/>
      <c r="X1020" s="15" t="n"/>
      <c r="Y1020" s="15" t="n"/>
      <c r="Z1020" s="15" t="n"/>
      <c r="AA1020" s="15" t="n"/>
      <c r="AB1020" s="15" t="n"/>
      <c r="AC1020" s="15" t="n"/>
      <c r="AD1020" s="15" t="n"/>
      <c r="AE1020" s="15" t="n"/>
      <c r="AF1020" s="15" t="n"/>
      <c r="AG1020" s="15" t="n"/>
      <c r="AH1020" s="15" t="n"/>
      <c r="AI1020" s="15" t="n"/>
    </row>
  </sheetData>
  <mergeCells count="32">
    <mergeCell ref="A173:AI173"/>
    <mergeCell ref="A344:AI344"/>
    <mergeCell ref="A820:AI820"/>
    <mergeCell ref="A480:AI480"/>
    <mergeCell ref="A785:AI785"/>
    <mergeCell ref="A412:AI412"/>
    <mergeCell ref="A276:AI276"/>
    <mergeCell ref="A956:AI956"/>
    <mergeCell ref="A888:AI888"/>
    <mergeCell ref="A1:AI1"/>
    <mergeCell ref="A921:AI921"/>
    <mergeCell ref="A241:AI241"/>
    <mergeCell ref="A548:AI548"/>
    <mergeCell ref="A649:AI649"/>
    <mergeCell ref="A581:AI581"/>
    <mergeCell ref="A37:AI37"/>
    <mergeCell ref="A208:AI208"/>
    <mergeCell ref="A752:AI752"/>
    <mergeCell ref="A717:AI717"/>
    <mergeCell ref="A105:AI105"/>
    <mergeCell ref="A2:AI2"/>
    <mergeCell ref="A309:AI309"/>
    <mergeCell ref="A616:AI616"/>
    <mergeCell ref="A989:AI989"/>
    <mergeCell ref="A377:AI377"/>
    <mergeCell ref="A513:AI513"/>
    <mergeCell ref="A4:AI4"/>
    <mergeCell ref="A684:AI684"/>
    <mergeCell ref="A140:AI140"/>
    <mergeCell ref="A72:AI72"/>
    <mergeCell ref="A853:AI853"/>
    <mergeCell ref="A445:AI445"/>
  </mergeCells>
  <conditionalFormatting sqref="C6:C35">
    <cfRule type="cellIs" priority="1" operator="greaterThanOrEqual" dxfId="0">
      <formula>21</formula>
    </cfRule>
    <cfRule type="cellIs" priority="2" operator="between" dxfId="1">
      <formula>15</formula>
      <formula>20</formula>
    </cfRule>
    <cfRule type="cellIs" priority="3" operator="lessThan" dxfId="2">
      <formula>15</formula>
    </cfRule>
  </conditionalFormatting>
  <conditionalFormatting sqref="F6:AI35">
    <cfRule type="expression" priority="4" dxfId="3">
      <formula>F6="+"</formula>
    </cfRule>
    <cfRule type="expression" priority="5" dxfId="4">
      <formula>F6="1"</formula>
    </cfRule>
    <cfRule type="expression" priority="6" dxfId="5">
      <formula>F6="-"</formula>
    </cfRule>
  </conditionalFormatting>
  <conditionalFormatting sqref="F39:AI68">
    <cfRule type="expression" priority="7" dxfId="3">
      <formula>F39="+"</formula>
    </cfRule>
    <cfRule type="expression" priority="8" dxfId="4">
      <formula>F39="1"</formula>
    </cfRule>
    <cfRule type="expression" priority="9" dxfId="5">
      <formula>F39="-"</formula>
    </cfRule>
  </conditionalFormatting>
  <conditionalFormatting sqref="C74:C103">
    <cfRule type="cellIs" priority="10" operator="greaterThanOrEqual" dxfId="0">
      <formula>21</formula>
    </cfRule>
    <cfRule type="cellIs" priority="11" operator="between" dxfId="1">
      <formula>15</formula>
      <formula>20</formula>
    </cfRule>
    <cfRule type="cellIs" priority="12" operator="lessThan" dxfId="2">
      <formula>15</formula>
    </cfRule>
  </conditionalFormatting>
  <conditionalFormatting sqref="F74:AI103">
    <cfRule type="expression" priority="13" dxfId="3">
      <formula>F74="+"</formula>
    </cfRule>
    <cfRule type="expression" priority="14" dxfId="4">
      <formula>F74="1"</formula>
    </cfRule>
    <cfRule type="expression" priority="15" dxfId="5">
      <formula>F74="-"</formula>
    </cfRule>
  </conditionalFormatting>
  <conditionalFormatting sqref="F107:AI136">
    <cfRule type="expression" priority="16" dxfId="3">
      <formula>F107="+"</formula>
    </cfRule>
    <cfRule type="expression" priority="17" dxfId="4">
      <formula>F107="1"</formula>
    </cfRule>
    <cfRule type="expression" priority="18" dxfId="5">
      <formula>F107="-"</formula>
    </cfRule>
  </conditionalFormatting>
  <conditionalFormatting sqref="C142:C171">
    <cfRule type="cellIs" priority="19" operator="greaterThanOrEqual" dxfId="0">
      <formula>21</formula>
    </cfRule>
    <cfRule type="cellIs" priority="20" operator="between" dxfId="1">
      <formula>15</formula>
      <formula>20</formula>
    </cfRule>
    <cfRule type="cellIs" priority="21" operator="lessThan" dxfId="2">
      <formula>15</formula>
    </cfRule>
  </conditionalFormatting>
  <conditionalFormatting sqref="F142:AI171">
    <cfRule type="expression" priority="22" dxfId="3">
      <formula>F142="+"</formula>
    </cfRule>
    <cfRule type="expression" priority="23" dxfId="4">
      <formula>F142="1"</formula>
    </cfRule>
    <cfRule type="expression" priority="24" dxfId="5">
      <formula>F142="-"</formula>
    </cfRule>
  </conditionalFormatting>
  <conditionalFormatting sqref="F175:AI204">
    <cfRule type="expression" priority="25" dxfId="3">
      <formula>F175="+"</formula>
    </cfRule>
    <cfRule type="expression" priority="26" dxfId="4">
      <formula>F175="1"</formula>
    </cfRule>
    <cfRule type="expression" priority="27" dxfId="5">
      <formula>F175="-"</formula>
    </cfRule>
  </conditionalFormatting>
  <conditionalFormatting sqref="C210:C239">
    <cfRule type="cellIs" priority="28" operator="greaterThanOrEqual" dxfId="0">
      <formula>21</formula>
    </cfRule>
    <cfRule type="cellIs" priority="29" operator="between" dxfId="1">
      <formula>15</formula>
      <formula>20</formula>
    </cfRule>
    <cfRule type="cellIs" priority="30" operator="lessThan" dxfId="2">
      <formula>15</formula>
    </cfRule>
  </conditionalFormatting>
  <conditionalFormatting sqref="F210:AI239">
    <cfRule type="expression" priority="31" dxfId="3">
      <formula>F210="+"</formula>
    </cfRule>
    <cfRule type="expression" priority="32" dxfId="4">
      <formula>F210="1"</formula>
    </cfRule>
    <cfRule type="expression" priority="33" dxfId="5">
      <formula>F210="-"</formula>
    </cfRule>
  </conditionalFormatting>
  <conditionalFormatting sqref="F243:AI272">
    <cfRule type="expression" priority="34" dxfId="3">
      <formula>F243="+"</formula>
    </cfRule>
    <cfRule type="expression" priority="35" dxfId="4">
      <formula>F243="1"</formula>
    </cfRule>
    <cfRule type="expression" priority="36" dxfId="5">
      <formula>F243="-"</formula>
    </cfRule>
  </conditionalFormatting>
  <conditionalFormatting sqref="C278:C307">
    <cfRule type="cellIs" priority="37" operator="greaterThanOrEqual" dxfId="0">
      <formula>21</formula>
    </cfRule>
    <cfRule type="cellIs" priority="38" operator="between" dxfId="1">
      <formula>15</formula>
      <formula>20</formula>
    </cfRule>
    <cfRule type="cellIs" priority="39" operator="lessThan" dxfId="2">
      <formula>15</formula>
    </cfRule>
  </conditionalFormatting>
  <conditionalFormatting sqref="F278:AI307">
    <cfRule type="expression" priority="40" dxfId="3">
      <formula>F278="+"</formula>
    </cfRule>
    <cfRule type="expression" priority="41" dxfId="4">
      <formula>F278="1"</formula>
    </cfRule>
    <cfRule type="expression" priority="42" dxfId="5">
      <formula>F278="-"</formula>
    </cfRule>
  </conditionalFormatting>
  <conditionalFormatting sqref="F311:AI340">
    <cfRule type="expression" priority="43" dxfId="3">
      <formula>F311="+"</formula>
    </cfRule>
    <cfRule type="expression" priority="44" dxfId="4">
      <formula>F311="1"</formula>
    </cfRule>
    <cfRule type="expression" priority="45" dxfId="5">
      <formula>F311="-"</formula>
    </cfRule>
  </conditionalFormatting>
  <conditionalFormatting sqref="C346:C375">
    <cfRule type="cellIs" priority="46" operator="greaterThanOrEqual" dxfId="0">
      <formula>21</formula>
    </cfRule>
    <cfRule type="cellIs" priority="47" operator="between" dxfId="1">
      <formula>15</formula>
      <formula>20</formula>
    </cfRule>
    <cfRule type="cellIs" priority="48" operator="lessThan" dxfId="2">
      <formula>15</formula>
    </cfRule>
  </conditionalFormatting>
  <conditionalFormatting sqref="F346:AI375">
    <cfRule type="expression" priority="49" dxfId="3">
      <formula>F346="+"</formula>
    </cfRule>
    <cfRule type="expression" priority="50" dxfId="4">
      <formula>F346="1"</formula>
    </cfRule>
    <cfRule type="expression" priority="51" dxfId="5">
      <formula>F346="-"</formula>
    </cfRule>
  </conditionalFormatting>
  <conditionalFormatting sqref="F379:AI408">
    <cfRule type="expression" priority="52" dxfId="3">
      <formula>F379="+"</formula>
    </cfRule>
    <cfRule type="expression" priority="53" dxfId="4">
      <formula>F379="1"</formula>
    </cfRule>
    <cfRule type="expression" priority="54" dxfId="5">
      <formula>F379="-"</formula>
    </cfRule>
  </conditionalFormatting>
  <conditionalFormatting sqref="C414:C443">
    <cfRule type="cellIs" priority="55" operator="greaterThanOrEqual" dxfId="0">
      <formula>21</formula>
    </cfRule>
    <cfRule type="cellIs" priority="56" operator="between" dxfId="1">
      <formula>15</formula>
      <formula>20</formula>
    </cfRule>
    <cfRule type="cellIs" priority="57" operator="lessThan" dxfId="2">
      <formula>15</formula>
    </cfRule>
  </conditionalFormatting>
  <conditionalFormatting sqref="F414:AI443">
    <cfRule type="expression" priority="58" dxfId="3">
      <formula>F414="+"</formula>
    </cfRule>
    <cfRule type="expression" priority="59" dxfId="4">
      <formula>F414="1"</formula>
    </cfRule>
    <cfRule type="expression" priority="60" dxfId="5">
      <formula>F414="-"</formula>
    </cfRule>
  </conditionalFormatting>
  <conditionalFormatting sqref="F447:AI476">
    <cfRule type="expression" priority="61" dxfId="3">
      <formula>F447="+"</formula>
    </cfRule>
    <cfRule type="expression" priority="62" dxfId="4">
      <formula>F447="1"</formula>
    </cfRule>
    <cfRule type="expression" priority="63" dxfId="5">
      <formula>F447="-"</formula>
    </cfRule>
  </conditionalFormatting>
  <conditionalFormatting sqref="C482:C511">
    <cfRule type="cellIs" priority="64" operator="greaterThanOrEqual" dxfId="0">
      <formula>21</formula>
    </cfRule>
    <cfRule type="cellIs" priority="65" operator="between" dxfId="1">
      <formula>15</formula>
      <formula>20</formula>
    </cfRule>
    <cfRule type="cellIs" priority="66" operator="lessThan" dxfId="2">
      <formula>15</formula>
    </cfRule>
  </conditionalFormatting>
  <conditionalFormatting sqref="F482:AI511">
    <cfRule type="expression" priority="67" dxfId="3">
      <formula>F482="+"</formula>
    </cfRule>
    <cfRule type="expression" priority="68" dxfId="4">
      <formula>F482="1"</formula>
    </cfRule>
    <cfRule type="expression" priority="69" dxfId="5">
      <formula>F482="-"</formula>
    </cfRule>
  </conditionalFormatting>
  <conditionalFormatting sqref="F515:AI544">
    <cfRule type="expression" priority="70" dxfId="3">
      <formula>F515="+"</formula>
    </cfRule>
    <cfRule type="expression" priority="71" dxfId="4">
      <formula>F515="1"</formula>
    </cfRule>
    <cfRule type="expression" priority="72" dxfId="5">
      <formula>F515="-"</formula>
    </cfRule>
  </conditionalFormatting>
  <conditionalFormatting sqref="C550:C579">
    <cfRule type="cellIs" priority="73" operator="greaterThanOrEqual" dxfId="0">
      <formula>21</formula>
    </cfRule>
    <cfRule type="cellIs" priority="74" operator="between" dxfId="1">
      <formula>15</formula>
      <formula>20</formula>
    </cfRule>
    <cfRule type="cellIs" priority="75" operator="lessThan" dxfId="2">
      <formula>15</formula>
    </cfRule>
  </conditionalFormatting>
  <conditionalFormatting sqref="F550:AI579">
    <cfRule type="expression" priority="76" dxfId="3">
      <formula>F550="+"</formula>
    </cfRule>
    <cfRule type="expression" priority="77" dxfId="4">
      <formula>F550="1"</formula>
    </cfRule>
    <cfRule type="expression" priority="78" dxfId="5">
      <formula>F550="-"</formula>
    </cfRule>
  </conditionalFormatting>
  <conditionalFormatting sqref="F583:AI612">
    <cfRule type="expression" priority="79" dxfId="3">
      <formula>F583="+"</formula>
    </cfRule>
    <cfRule type="expression" priority="80" dxfId="4">
      <formula>F583="1"</formula>
    </cfRule>
    <cfRule type="expression" priority="81" dxfId="5">
      <formula>F583="-"</formula>
    </cfRule>
  </conditionalFormatting>
  <conditionalFormatting sqref="C618:C647">
    <cfRule type="cellIs" priority="82" operator="greaterThanOrEqual" dxfId="0">
      <formula>21</formula>
    </cfRule>
    <cfRule type="cellIs" priority="83" operator="between" dxfId="1">
      <formula>15</formula>
      <formula>20</formula>
    </cfRule>
    <cfRule type="cellIs" priority="84" operator="lessThan" dxfId="2">
      <formula>15</formula>
    </cfRule>
  </conditionalFormatting>
  <conditionalFormatting sqref="F618:AI647">
    <cfRule type="expression" priority="85" dxfId="3">
      <formula>F618="+"</formula>
    </cfRule>
    <cfRule type="expression" priority="86" dxfId="4">
      <formula>F618="1"</formula>
    </cfRule>
    <cfRule type="expression" priority="87" dxfId="5">
      <formula>F618="-"</formula>
    </cfRule>
  </conditionalFormatting>
  <conditionalFormatting sqref="F651:AI680">
    <cfRule type="expression" priority="88" dxfId="3">
      <formula>F651="+"</formula>
    </cfRule>
    <cfRule type="expression" priority="89" dxfId="4">
      <formula>F651="1"</formula>
    </cfRule>
    <cfRule type="expression" priority="90" dxfId="5">
      <formula>F651="-"</formula>
    </cfRule>
  </conditionalFormatting>
  <conditionalFormatting sqref="C686:C715">
    <cfRule type="cellIs" priority="91" operator="greaterThanOrEqual" dxfId="0">
      <formula>21</formula>
    </cfRule>
    <cfRule type="cellIs" priority="92" operator="between" dxfId="1">
      <formula>15</formula>
      <formula>20</formula>
    </cfRule>
    <cfRule type="cellIs" priority="93" operator="lessThan" dxfId="2">
      <formula>15</formula>
    </cfRule>
  </conditionalFormatting>
  <conditionalFormatting sqref="F686:AI715">
    <cfRule type="expression" priority="94" dxfId="3">
      <formula>F686="+"</formula>
    </cfRule>
    <cfRule type="expression" priority="95" dxfId="4">
      <formula>F686="1"</formula>
    </cfRule>
    <cfRule type="expression" priority="96" dxfId="5">
      <formula>F686="-"</formula>
    </cfRule>
  </conditionalFormatting>
  <conditionalFormatting sqref="F719:AI748">
    <cfRule type="expression" priority="97" dxfId="3">
      <formula>F719="+"</formula>
    </cfRule>
    <cfRule type="expression" priority="98" dxfId="4">
      <formula>F719="1"</formula>
    </cfRule>
    <cfRule type="expression" priority="99" dxfId="5">
      <formula>F719="-"</formula>
    </cfRule>
  </conditionalFormatting>
  <conditionalFormatting sqref="C754:C783">
    <cfRule type="cellIs" priority="100" operator="greaterThanOrEqual" dxfId="0">
      <formula>21</formula>
    </cfRule>
    <cfRule type="cellIs" priority="101" operator="between" dxfId="1">
      <formula>15</formula>
      <formula>20</formula>
    </cfRule>
    <cfRule type="cellIs" priority="102" operator="lessThan" dxfId="2">
      <formula>15</formula>
    </cfRule>
  </conditionalFormatting>
  <conditionalFormatting sqref="F754:AI783">
    <cfRule type="expression" priority="103" dxfId="3">
      <formula>F754="+"</formula>
    </cfRule>
    <cfRule type="expression" priority="104" dxfId="4">
      <formula>F754="1"</formula>
    </cfRule>
    <cfRule type="expression" priority="105" dxfId="5">
      <formula>F754="-"</formula>
    </cfRule>
  </conditionalFormatting>
  <conditionalFormatting sqref="F787:AI816">
    <cfRule type="expression" priority="106" dxfId="3">
      <formula>F787="+"</formula>
    </cfRule>
    <cfRule type="expression" priority="107" dxfId="4">
      <formula>F787="1"</formula>
    </cfRule>
    <cfRule type="expression" priority="108" dxfId="5">
      <formula>F787="-"</formula>
    </cfRule>
  </conditionalFormatting>
  <conditionalFormatting sqref="C822:C851">
    <cfRule type="cellIs" priority="109" operator="greaterThanOrEqual" dxfId="0">
      <formula>21</formula>
    </cfRule>
    <cfRule type="cellIs" priority="110" operator="between" dxfId="1">
      <formula>15</formula>
      <formula>20</formula>
    </cfRule>
    <cfRule type="cellIs" priority="111" operator="lessThan" dxfId="2">
      <formula>15</formula>
    </cfRule>
  </conditionalFormatting>
  <conditionalFormatting sqref="F822:AI851">
    <cfRule type="expression" priority="112" dxfId="3">
      <formula>F822="+"</formula>
    </cfRule>
    <cfRule type="expression" priority="113" dxfId="4">
      <formula>F822="1"</formula>
    </cfRule>
    <cfRule type="expression" priority="114" dxfId="5">
      <formula>F822="-"</formula>
    </cfRule>
  </conditionalFormatting>
  <conditionalFormatting sqref="F855:AI884">
    <cfRule type="expression" priority="115" dxfId="3">
      <formula>F855="+"</formula>
    </cfRule>
    <cfRule type="expression" priority="116" dxfId="4">
      <formula>F855="1"</formula>
    </cfRule>
    <cfRule type="expression" priority="117" dxfId="5">
      <formula>F855="-"</formula>
    </cfRule>
  </conditionalFormatting>
  <conditionalFormatting sqref="C890:C919">
    <cfRule type="cellIs" priority="118" operator="greaterThanOrEqual" dxfId="0">
      <formula>21</formula>
    </cfRule>
    <cfRule type="cellIs" priority="119" operator="between" dxfId="1">
      <formula>15</formula>
      <formula>20</formula>
    </cfRule>
    <cfRule type="cellIs" priority="120" operator="lessThan" dxfId="2">
      <formula>15</formula>
    </cfRule>
  </conditionalFormatting>
  <conditionalFormatting sqref="F890:AI919">
    <cfRule type="expression" priority="121" dxfId="3">
      <formula>F890="+"</formula>
    </cfRule>
    <cfRule type="expression" priority="122" dxfId="4">
      <formula>F890="1"</formula>
    </cfRule>
    <cfRule type="expression" priority="123" dxfId="5">
      <formula>F890="-"</formula>
    </cfRule>
  </conditionalFormatting>
  <conditionalFormatting sqref="F923:AI952">
    <cfRule type="expression" priority="124" dxfId="3">
      <formula>F923="+"</formula>
    </cfRule>
    <cfRule type="expression" priority="125" dxfId="4">
      <formula>F923="1"</formula>
    </cfRule>
    <cfRule type="expression" priority="126" dxfId="5">
      <formula>F923="-"</formula>
    </cfRule>
  </conditionalFormatting>
  <conditionalFormatting sqref="C958:C987">
    <cfRule type="cellIs" priority="127" operator="greaterThanOrEqual" dxfId="0">
      <formula>21</formula>
    </cfRule>
    <cfRule type="cellIs" priority="128" operator="between" dxfId="1">
      <formula>15</formula>
      <formula>20</formula>
    </cfRule>
    <cfRule type="cellIs" priority="129" operator="lessThan" dxfId="2">
      <formula>15</formula>
    </cfRule>
  </conditionalFormatting>
  <conditionalFormatting sqref="F958:AI987">
    <cfRule type="expression" priority="130" dxfId="3">
      <formula>F958="+"</formula>
    </cfRule>
    <cfRule type="expression" priority="131" dxfId="4">
      <formula>F958="1"</formula>
    </cfRule>
    <cfRule type="expression" priority="132" dxfId="5">
      <formula>F958="-"</formula>
    </cfRule>
  </conditionalFormatting>
  <conditionalFormatting sqref="F991:AI1020">
    <cfRule type="expression" priority="133" dxfId="3">
      <formula>F991="+"</formula>
    </cfRule>
    <cfRule type="expression" priority="134" dxfId="4">
      <formula>F991="1"</formula>
    </cfRule>
    <cfRule type="expression" priority="135" dxfId="5">
      <formula>F991="-"</formula>
    </cfRule>
  </conditionalFormatting>
  <dataValidations count="30">
    <dataValidation sqref="F6:AI35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39:AI68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74:AI103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107:AI136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142:AI171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175:AI204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210:AI239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243:AI272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278:AI307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311:AI340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346:AI375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379:AI408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414:AI443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447:AI476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482:AI511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515:AI544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550:AI579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583:AI612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618:AI647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651:AI680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686:AI715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719:AI748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754:AI783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787:AI816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822:AI851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855:AI884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890:AI919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923:AI952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  <dataValidation sqref="F958:AI987" showDropDown="0" showInputMessage="0" showErrorMessage="1" allowBlank="1" errorTitle="Недопустимое значение" error="Студент ставит +; практик может поставить 1 или -" type="list" errorStyle="stop">
      <formula1>"+,1,-"</formula1>
    </dataValidation>
    <dataValidation sqref="F991:AI1020" showDropDown="0" showInputMessage="0" showErrorMessage="1" allowBlank="1" errorTitle="Недопустимое значение" error="Практик может ввести только 1, - или оставить пусто" type="list" errorStyle="stop">
      <formula1>"1,-"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2026-08-22T03:04:48Z</dcterms:created>
  <dcterms:modified xsi:type="dcterms:W3CDTF">2026-08-22T03:04:59Z</dcterms:modified>
</cp:coreProperties>
</file>